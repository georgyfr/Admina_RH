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Données Employés" sheetId="1" state="visible" r:id="rId1"/>
    <sheet xmlns:r="http://schemas.openxmlformats.org/officeDocument/2006/relationships" name="1-Tableau de Bord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2-Registre Documentation RH" sheetId="4" state="visible" r:id="rId4"/>
    <sheet xmlns:r="http://schemas.openxmlformats.org/officeDocument/2006/relationships" name="3-Gestion Dossiers Employes" sheetId="5" state="visible" r:id="rId5"/>
    <sheet xmlns:r="http://schemas.openxmlformats.org/officeDocument/2006/relationships" name="4-Archivage Physique" sheetId="6" state="visible" r:id="rId6"/>
    <sheet xmlns:r="http://schemas.openxmlformats.org/officeDocument/2006/relationships" name="5-Archivage Numerique" sheetId="7" state="visible" r:id="rId7"/>
    <sheet xmlns:r="http://schemas.openxmlformats.org/officeDocument/2006/relationships" name="6-Gest. Docs. Confidentiels" sheetId="8" state="visible" r:id="rId8"/>
    <sheet xmlns:r="http://schemas.openxmlformats.org/officeDocument/2006/relationships" name="7-Suivi Retention Docs" sheetId="9" state="visible" r:id="rId9"/>
    <sheet xmlns:r="http://schemas.openxmlformats.org/officeDocument/2006/relationships" name="8-Plan Classement RH" sheetId="10" state="visible" r:id="rId10"/>
    <sheet xmlns:r="http://schemas.openxmlformats.org/officeDocument/2006/relationships" name="9-Gestion Versions Docs" sheetId="11" state="visible" r:id="rId11"/>
    <sheet xmlns:r="http://schemas.openxmlformats.org/officeDocument/2006/relationships" name="10-Registre Sortie Docs" sheetId="12" state="visible" r:id="rId12"/>
    <sheet xmlns:r="http://schemas.openxmlformats.org/officeDocument/2006/relationships" name="11-Politique Archivage" sheetId="13" state="visible" r:id="rId13"/>
    <sheet xmlns:r="http://schemas.openxmlformats.org/officeDocument/2006/relationships" name="12-Suivi Dossiers Incomplets" sheetId="14" state="visible" r:id="rId14"/>
    <sheet xmlns:r="http://schemas.openxmlformats.org/officeDocument/2006/relationships" name="13-Indicateurs Archivage" sheetId="15" state="visible" r:id="rId15"/>
    <sheet xmlns:r="http://schemas.openxmlformats.org/officeDocument/2006/relationships" name="14-Hist. Destruction Docs" sheetId="16" state="visible" r:id="rId16"/>
    <sheet xmlns:r="http://schemas.openxmlformats.org/officeDocument/2006/relationships" name="15-Suivi Docs. Confidentiels" sheetId="17" state="visible" r:id="rId17"/>
    <sheet xmlns:r="http://schemas.openxmlformats.org/officeDocument/2006/relationships" name="16-Calendrier Archivage" sheetId="18" state="visible" r:id="rId18"/>
    <sheet xmlns:r="http://schemas.openxmlformats.org/officeDocument/2006/relationships" name="17-Matrice Permissions" sheetId="19" state="visible" r:id="rId19"/>
    <sheet xmlns:r="http://schemas.openxmlformats.org/officeDocument/2006/relationships" name="18-Suivi MAJ Documents" sheetId="20" state="visible" r:id="rId20"/>
    <sheet xmlns:r="http://schemas.openxmlformats.org/officeDocument/2006/relationships" name="19-Analyse Vol. Archivage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DD/MM/YYYY"/>
    <numFmt numFmtId="166" formatCode="0.0%"/>
  </numFmts>
  <fonts count="12">
    <font>
      <name val="Calibri"/>
      <family val="2"/>
      <color theme="1"/>
      <sz val="11"/>
      <scheme val="minor"/>
    </font>
    <font>
      <name val="Noto Sans CJK SC"/>
      <b val="1"/>
      <color rgb="001B2A4A"/>
      <sz val="9"/>
    </font>
    <font>
      <name val="Noto Sans CJK SC"/>
      <sz val="9"/>
    </font>
    <font>
      <name val="Noto Sans CJK SC"/>
      <color rgb="001B2A4A"/>
      <sz val="16"/>
    </font>
    <font>
      <name val="Noto Sans CJK SC"/>
      <b val="1"/>
      <color rgb="001B7D46"/>
      <sz val="10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1B2A4A"/>
      <sz val="12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1B2A4A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3" borderId="0" pivotButton="0" quotePrefix="0" xfId="0"/>
    <xf numFmtId="165" fontId="8" fillId="3" borderId="0" applyAlignment="1" pivotButton="0" quotePrefix="0" xfId="0">
      <alignment horizontal="center" vertical="center"/>
    </xf>
    <xf numFmtId="0" fontId="8" fillId="4" borderId="0" pivotButton="0" quotePrefix="0" xfId="0"/>
    <xf numFmtId="165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1" fontId="8" fillId="3" borderId="0" applyAlignment="1" pivotButton="0" quotePrefix="0" xfId="0">
      <alignment horizontal="right" vertical="center"/>
    </xf>
    <xf numFmtId="1" fontId="8" fillId="4" borderId="0" applyAlignment="1" pivotButton="0" quotePrefix="0" xfId="0">
      <alignment horizontal="right" vertical="center"/>
    </xf>
    <xf numFmtId="0" fontId="10" fillId="5" borderId="2" applyAlignment="1" pivotButton="0" quotePrefix="0" xfId="0">
      <alignment horizontal="left" vertical="center"/>
    </xf>
    <xf numFmtId="0" fontId="10" fillId="5" borderId="2" pivotButton="0" quotePrefix="0" xfId="0"/>
    <xf numFmtId="3" fontId="10" fillId="5" borderId="2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4" borderId="0" applyAlignment="1" pivotButton="0" quotePrefix="0" xfId="0">
      <alignment horizontal="right" vertical="center"/>
    </xf>
    <xf numFmtId="166" fontId="8" fillId="3" borderId="0" applyAlignment="1" pivotButton="0" quotePrefix="0" xfId="0">
      <alignment horizontal="right" vertical="center"/>
    </xf>
    <xf numFmtId="166" fontId="8" fillId="4" borderId="0" applyAlignment="1" pivotButton="0" quotePrefix="0" xfId="0">
      <alignment horizontal="right" vertical="center"/>
    </xf>
    <xf numFmtId="4" fontId="8" fillId="3" borderId="0" applyAlignment="1" pivotButton="0" quotePrefix="0" xfId="0">
      <alignment horizontal="right" vertical="center"/>
    </xf>
    <xf numFmtId="4" fontId="8" fillId="4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166" fontId="8" fillId="3" borderId="0" applyAlignment="1" pivotButton="0" quotePrefix="0" xfId="0">
      <alignment horizontal="right" vertical="center"/>
    </xf>
    <xf numFmtId="166" fontId="8" fillId="4" borderId="0" applyAlignment="1" pivotButton="0" quotePrefix="0" xfId="0">
      <alignment horizontal="right" vertical="center"/>
    </xf>
    <xf numFmtId="0" fontId="11" fillId="6" borderId="0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C0392B"/>
      </font>
      <fill>
        <patternFill>
          <bgColor rgb="00FDEDEC"/>
        </patternFill>
      </fill>
    </dxf>
    <dxf>
      <fill>
        <patternFill patternType="solid">
          <fgColor rgb="00FFFDE7"/>
        </patternFill>
      </fill>
    </dxf>
    <dxf>
      <font>
        <b val="1"/>
        <color rgb="001F4E79"/>
      </font>
      <fill>
        <patternFill patternType="solid">
          <fgColor rgb="00D6E4F0"/>
          <b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Documents par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'1-Tableau de Bord'!C19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'1-Tableau de Bord'!$B$20:$B$25</f>
            </numRef>
          </cat>
          <val>
            <numRef>
              <f>'1-Tableau de Bord'!$C$20:$C$25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Dossiers par Statut</a:t>
            </a:r>
          </a:p>
        </rich>
      </tx>
    </title>
    <plotArea>
      <pieChart>
        <varyColors val="1"/>
        <ser>
          <idx val="0"/>
          <order val="0"/>
          <tx>
            <strRef>
              <f>'1-Tableau de Bord'!I27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cat>
            <numRef>
              <f>'1-Tableau de Bord'!$H$28:$H$31</f>
            </numRef>
          </cat>
          <val>
            <numRef>
              <f>'1-Tableau de Bord'!$I$28:$I$31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26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26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2" max="2"/>
    <col width="8" customWidth="1" min="3" max="3"/>
    <col width="14" customWidth="1" min="4" max="4"/>
    <col width="14" customWidth="1" min="5" max="5"/>
    <col width="28" customWidth="1" min="6" max="6"/>
    <col width="24" customWidth="1" min="7" max="7"/>
    <col width="18" customWidth="1" min="8" max="8"/>
  </cols>
  <sheetData>
    <row r="1"/>
    <row r="2"/>
    <row r="3"/>
    <row r="4">
      <c r="B4" s="33" t="inlineStr">
        <is>
          <t>Matricule</t>
        </is>
      </c>
      <c r="C4" s="33" t="inlineStr">
        <is>
          <t>Civilité</t>
        </is>
      </c>
      <c r="D4" s="33" t="inlineStr">
        <is>
          <t>Nom</t>
        </is>
      </c>
      <c r="E4" s="33" t="inlineStr">
        <is>
          <t>Prénom</t>
        </is>
      </c>
      <c r="F4" s="33" t="inlineStr">
        <is>
          <t>Département</t>
        </is>
      </c>
      <c r="G4" s="33" t="inlineStr">
        <is>
          <t>Poste</t>
        </is>
      </c>
      <c r="H4" s="33" t="inlineStr">
        <is>
          <t>Salaire Base (FCFA)</t>
        </is>
      </c>
    </row>
    <row r="5">
      <c r="B5" t="inlineStr">
        <is>
          <t>EMP-001</t>
        </is>
      </c>
      <c r="C5" t="inlineStr">
        <is>
          <t>M.</t>
        </is>
      </c>
      <c r="D5" t="inlineStr">
        <is>
          <t>Nganou</t>
        </is>
      </c>
      <c r="E5" t="inlineStr">
        <is>
          <t>Clarisse</t>
        </is>
      </c>
      <c r="F5" t="inlineStr">
        <is>
          <t>Cuisine &amp; Restauration</t>
        </is>
      </c>
      <c r="G5" t="inlineStr">
        <is>
          <t>Chef cuisinier</t>
        </is>
      </c>
      <c r="H5" t="n">
        <v>450000</v>
      </c>
    </row>
    <row r="6">
      <c r="B6" t="inlineStr">
        <is>
          <t>EMP-002</t>
        </is>
      </c>
      <c r="C6" t="inlineStr">
        <is>
          <t>M.</t>
        </is>
      </c>
      <c r="D6" t="inlineStr">
        <is>
          <t>Tchinda</t>
        </is>
      </c>
      <c r="E6" t="inlineStr">
        <is>
          <t>Armand</t>
        </is>
      </c>
      <c r="F6" t="inlineStr">
        <is>
          <t>Réception &amp; Front Office</t>
        </is>
      </c>
      <c r="G6" t="inlineStr">
        <is>
          <t>Réceptionniste</t>
        </is>
      </c>
      <c r="H6" t="n">
        <v>220000</v>
      </c>
    </row>
    <row r="7">
      <c r="B7" t="inlineStr">
        <is>
          <t>EMP-003</t>
        </is>
      </c>
      <c r="C7" t="inlineStr">
        <is>
          <t>Mme</t>
        </is>
      </c>
      <c r="D7" t="inlineStr">
        <is>
          <t>Fotso</t>
        </is>
      </c>
      <c r="E7" t="inlineStr">
        <is>
          <t>Marguerite</t>
        </is>
      </c>
      <c r="F7" t="inlineStr">
        <is>
          <t>Finance &amp; Comptabilité</t>
        </is>
      </c>
      <c r="G7" t="inlineStr">
        <is>
          <t>Comptable senior</t>
        </is>
      </c>
      <c r="H7" t="n">
        <v>380000</v>
      </c>
    </row>
    <row r="8">
      <c r="B8" t="inlineStr">
        <is>
          <t>EMP-004</t>
        </is>
      </c>
      <c r="C8" t="inlineStr">
        <is>
          <t>M.</t>
        </is>
      </c>
      <c r="D8" t="inlineStr">
        <is>
          <t>Nkoulou</t>
        </is>
      </c>
      <c r="E8" t="inlineStr">
        <is>
          <t>Mbarga</t>
        </is>
      </c>
      <c r="F8" t="inlineStr">
        <is>
          <t>Étage &amp; Housekeeping</t>
        </is>
      </c>
      <c r="G8" t="inlineStr">
        <is>
          <t>Gouvernant</t>
        </is>
      </c>
      <c r="H8" t="n">
        <v>195000</v>
      </c>
    </row>
    <row r="9">
      <c r="B9" t="inlineStr">
        <is>
          <t>EMP-005</t>
        </is>
      </c>
      <c r="C9" t="inlineStr">
        <is>
          <t>M.</t>
        </is>
      </c>
      <c r="D9" t="inlineStr">
        <is>
          <t>Kamga</t>
        </is>
      </c>
      <c r="E9" t="inlineStr">
        <is>
          <t>Paul</t>
        </is>
      </c>
      <c r="F9" t="inlineStr">
        <is>
          <t>Maintenance</t>
        </is>
      </c>
      <c r="G9" t="inlineStr">
        <is>
          <t>Technicien maintenance</t>
        </is>
      </c>
      <c r="H9" t="n">
        <v>165000</v>
      </c>
    </row>
    <row r="10">
      <c r="B10" t="inlineStr">
        <is>
          <t>EMP-006</t>
        </is>
      </c>
      <c r="C10" t="inlineStr">
        <is>
          <t>Mme</t>
        </is>
      </c>
      <c r="D10" t="inlineStr">
        <is>
          <t>Ngo</t>
        </is>
      </c>
      <c r="E10" t="inlineStr">
        <is>
          <t>Delphine</t>
        </is>
      </c>
      <c r="F10" t="inlineStr">
        <is>
          <t>Service Client</t>
        </is>
      </c>
      <c r="G10" t="inlineStr">
        <is>
          <t>Conseiller clientèle</t>
        </is>
      </c>
      <c r="H10" t="n">
        <v>160000</v>
      </c>
    </row>
    <row r="11">
      <c r="B11" t="inlineStr">
        <is>
          <t>EMP-007</t>
        </is>
      </c>
      <c r="C11" t="inlineStr">
        <is>
          <t>M.</t>
        </is>
      </c>
      <c r="D11" t="inlineStr">
        <is>
          <t>Essomba</t>
        </is>
      </c>
      <c r="E11" t="inlineStr">
        <is>
          <t>Serge</t>
        </is>
      </c>
      <c r="F11" t="inlineStr">
        <is>
          <t>Maintenance</t>
        </is>
      </c>
      <c r="G11" t="inlineStr">
        <is>
          <t>Agent entretien</t>
        </is>
      </c>
      <c r="H11" t="n">
        <v>130000</v>
      </c>
    </row>
    <row r="12">
      <c r="B12" t="inlineStr">
        <is>
          <t>EMP-008</t>
        </is>
      </c>
      <c r="C12" t="inlineStr">
        <is>
          <t>M.</t>
        </is>
      </c>
      <c r="D12" t="inlineStr">
        <is>
          <t>Tchouankou</t>
        </is>
      </c>
      <c r="E12" t="inlineStr">
        <is>
          <t>Paul</t>
        </is>
      </c>
      <c r="F12" t="inlineStr">
        <is>
          <t>Commercial</t>
        </is>
      </c>
      <c r="G12" t="inlineStr">
        <is>
          <t>Commercial</t>
        </is>
      </c>
      <c r="H12" t="n">
        <v>150000</v>
      </c>
    </row>
    <row r="13">
      <c r="B13" t="inlineStr">
        <is>
          <t>EMP-009</t>
        </is>
      </c>
      <c r="C13" t="inlineStr">
        <is>
          <t>M.</t>
        </is>
      </c>
      <c r="D13" t="inlineStr">
        <is>
          <t>Fokam</t>
        </is>
      </c>
      <c r="E13" t="inlineStr">
        <is>
          <t>Eric</t>
        </is>
      </c>
      <c r="F13" t="inlineStr">
        <is>
          <t>Maintenance</t>
        </is>
      </c>
      <c r="G13" t="inlineStr">
        <is>
          <t>Technicien</t>
        </is>
      </c>
      <c r="H13" t="n">
        <v>140000</v>
      </c>
    </row>
    <row r="14">
      <c r="B14" t="inlineStr">
        <is>
          <t>EMP-010</t>
        </is>
      </c>
      <c r="C14" t="inlineStr">
        <is>
          <t>M.</t>
        </is>
      </c>
      <c r="D14" t="inlineStr">
        <is>
          <t>Tagne</t>
        </is>
      </c>
      <c r="E14" t="inlineStr">
        <is>
          <t>René</t>
        </is>
      </c>
      <c r="F14" t="inlineStr">
        <is>
          <t>Cuisine &amp; Restauration</t>
        </is>
      </c>
      <c r="G14" t="inlineStr">
        <is>
          <t>Plongeur</t>
        </is>
      </c>
      <c r="H14" t="n">
        <v>90000</v>
      </c>
    </row>
    <row r="15">
      <c r="B15" t="inlineStr">
        <is>
          <t>EMP-011</t>
        </is>
      </c>
      <c r="C15" t="inlineStr">
        <is>
          <t>M.</t>
        </is>
      </c>
      <c r="D15" t="inlineStr">
        <is>
          <t>Bouba</t>
        </is>
      </c>
      <c r="E15" t="inlineStr">
        <is>
          <t>Ahmed</t>
        </is>
      </c>
      <c r="F15" t="inlineStr">
        <is>
          <t>Sécurité</t>
        </is>
      </c>
      <c r="G15" t="inlineStr">
        <is>
          <t>Agent Sécurité</t>
        </is>
      </c>
      <c r="H15" t="n">
        <v>120000</v>
      </c>
    </row>
    <row r="16">
      <c r="B16" t="inlineStr">
        <is>
          <t>EMP-012</t>
        </is>
      </c>
      <c r="C16" t="inlineStr">
        <is>
          <t>Mme</t>
        </is>
      </c>
      <c r="D16" t="inlineStr">
        <is>
          <t>Awa</t>
        </is>
      </c>
      <c r="E16" t="inlineStr">
        <is>
          <t>Fatou</t>
        </is>
      </c>
      <c r="F16" t="inlineStr">
        <is>
          <t>Réception &amp; Front Office</t>
        </is>
      </c>
      <c r="G16" t="inlineStr">
        <is>
          <t>Standardiste</t>
        </is>
      </c>
      <c r="H16" t="n">
        <v>155000</v>
      </c>
    </row>
    <row r="17">
      <c r="B17" t="inlineStr">
        <is>
          <t>EMP-028</t>
        </is>
      </c>
      <c r="C17" t="inlineStr">
        <is>
          <t>M.</t>
        </is>
      </c>
      <c r="D17" t="inlineStr">
        <is>
          <t>Nkoulou</t>
        </is>
      </c>
      <c r="E17" t="inlineStr">
        <is>
          <t>Joel</t>
        </is>
      </c>
      <c r="F17" t="inlineStr">
        <is>
          <t>Sécurité</t>
        </is>
      </c>
      <c r="G17" t="inlineStr">
        <is>
          <t>Agent Sécurité</t>
        </is>
      </c>
      <c r="H17" t="n">
        <v>140000</v>
      </c>
    </row>
    <row r="18">
      <c r="B18" t="inlineStr">
        <is>
          <t>EMP-029</t>
        </is>
      </c>
      <c r="C18" t="inlineStr">
        <is>
          <t>M.</t>
        </is>
      </c>
      <c r="D18" t="inlineStr">
        <is>
          <t>Kamga</t>
        </is>
      </c>
      <c r="E18" t="inlineStr">
        <is>
          <t>Patrice</t>
        </is>
      </c>
      <c r="F18" t="inlineStr">
        <is>
          <t>Sécurité</t>
        </is>
      </c>
      <c r="G18" t="inlineStr">
        <is>
          <t>Chef Sécurité</t>
        </is>
      </c>
      <c r="H18" t="n">
        <v>210000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5" customHeight="1"/>
    <row r="2" ht="32" customHeight="1">
      <c r="B2" s="1" t="inlineStr">
        <is>
          <t>DOMAINE 12 — DOCUMENTATION &amp; ARCHIVAGE RH</t>
        </is>
      </c>
    </row>
    <row r="3" ht="8" customHeight="1">
      <c r="B3" s="2" t="inlineStr">
        <is>
          <t>TABLEAU DE BORD — Vue synthetique de tous les indicateurs du domaine (mis a jour automatiquement)</t>
        </is>
      </c>
    </row>
    <row r="4"/>
    <row r="5">
      <c r="B5" s="3" t="inlineStr">
        <is>
          <t>Documents suivis</t>
        </is>
      </c>
      <c r="E5" s="3" t="inlineStr">
        <is>
          <t>Dossiers employes</t>
        </is>
      </c>
      <c r="H5" s="3" t="inlineStr">
        <is>
          <t>Boites archives phys.</t>
        </is>
      </c>
      <c r="K5" s="3" t="inlineStr">
        <is>
          <t>Fiches numerisees</t>
        </is>
      </c>
    </row>
    <row r="6">
      <c r="B6" s="4">
        <f>COUNTIF('2-Registre Documentation RH'!B5:B104,"&lt;&gt;")</f>
        <v/>
      </c>
      <c r="E6" s="4">
        <f>COUNTIF('3-Gestion Dossiers Employes'!B5:B104,"&lt;&gt;")</f>
        <v/>
      </c>
      <c r="H6" s="4">
        <f>COUNTIF('4-Archivage Physique'!B5:B104,"&lt;&gt;")</f>
        <v/>
      </c>
      <c r="K6" s="4">
        <f>COUNTIF('5-Archivage Numerique'!B5:B104,"&lt;&gt;")</f>
        <v/>
      </c>
    </row>
    <row r="7"/>
    <row r="8"/>
    <row r="9">
      <c r="B9" s="3" t="inlineStr">
        <is>
          <t>Docs confidentiels</t>
        </is>
      </c>
      <c r="E9" s="3" t="inlineStr">
        <is>
          <t>Regles retention</t>
        </is>
      </c>
      <c r="H9" s="3" t="inlineStr">
        <is>
          <t>Documents versionnes</t>
        </is>
      </c>
      <c r="K9" s="3" t="inlineStr">
        <is>
          <t>Sorties documents</t>
        </is>
      </c>
    </row>
    <row r="10">
      <c r="B10" s="4">
        <f>COUNTIF('6-Gest. Docs. Confidentiels'!B5:B104,"&lt;&gt;")</f>
        <v/>
      </c>
      <c r="E10" s="4">
        <f>COUNTIF('7-Suivi Retention Docs'!B5:B104,"&lt;&gt;")</f>
        <v/>
      </c>
      <c r="H10" s="4">
        <f>COUNTIF('9-Gestion Versions Docs'!B5:B104,"&lt;&gt;")</f>
        <v/>
      </c>
      <c r="K10" s="4">
        <f>COUNTIF('10-Registre Sortie Docs'!B5:B104,"&lt;&gt;")</f>
        <v/>
      </c>
    </row>
    <row r="11"/>
    <row r="12"/>
    <row r="13">
      <c r="B13" s="3" t="inlineStr">
        <is>
          <t>Dossiers incomplets</t>
        </is>
      </c>
      <c r="E13" s="3" t="inlineStr">
        <is>
          <t>Destructions effectuees</t>
        </is>
      </c>
      <c r="H13" s="3" t="inlineStr">
        <is>
          <t>Volume numerique (Mo)</t>
        </is>
      </c>
      <c r="K13" s="3" t="inlineStr">
        <is>
          <t>Politiques archivage</t>
        </is>
      </c>
    </row>
    <row r="14">
      <c r="B14" s="4">
        <f>COUNTIF('12-Suivi Dossiers Incomplets'!B5:B104,"&lt;&gt;")</f>
        <v/>
      </c>
      <c r="E14" s="4">
        <f>COUNTIF('14-Hist. Destruction Docs'!B5:B104,"&lt;&gt;")</f>
        <v/>
      </c>
      <c r="H14" s="5">
        <f>IFERROR(SUM('5-Archivage Numerique'!G5:G104)/1024,0)</f>
        <v/>
      </c>
      <c r="K14" s="4">
        <f>COUNTIF('11-Politique Archivage'!B5:B104,"&lt;&gt;")</f>
        <v/>
      </c>
    </row>
    <row r="15"/>
    <row r="16"/>
    <row r="17"/>
    <row r="18">
      <c r="B18" s="6" t="inlineStr">
        <is>
          <t>ARCHIVAGE PAR TYPE &amp; DOSSIERS PAR STATUT</t>
        </is>
      </c>
    </row>
    <row r="19" ht="15" customHeight="1">
      <c r="B19" s="3" t="inlineStr">
        <is>
          <t>Type Document</t>
        </is>
      </c>
      <c r="C19" s="3" t="inlineStr">
        <is>
          <t>Nb Fiches</t>
        </is>
      </c>
    </row>
    <row r="20" ht="15" customHeight="1">
      <c r="B20" s="7" t="inlineStr">
        <is>
          <t>Contrat travail</t>
        </is>
      </c>
      <c r="C20" s="8">
        <f>COUNTIF('2-Registre Documentation RH'!D5:D104,"*Contrat travail*")+COUNTIF('5-Archivage Numerique'!D5:D104,"*Contrat travail*")</f>
        <v/>
      </c>
    </row>
    <row r="21" ht="15" customHeight="1">
      <c r="B21" s="7" t="inlineStr">
        <is>
          <t>Bulletin paie</t>
        </is>
      </c>
      <c r="C21" s="8">
        <f>COUNTIF('2-Registre Documentation RH'!D5:D104,"*Bulletin paie*")+COUNTIF('5-Archivage Numerique'!D5:D104,"*Bulletin paie*")</f>
        <v/>
      </c>
    </row>
    <row r="22" ht="15" customHeight="1">
      <c r="B22" s="7" t="inlineStr">
        <is>
          <t>PV reunion</t>
        </is>
      </c>
      <c r="C22" s="8">
        <f>COUNTIF('2-Registre Documentation RH'!D5:D104,"*PV reunion*")+COUNTIF('5-Archivage Numerique'!D5:D104,"*PV reunion*")</f>
        <v/>
      </c>
    </row>
    <row r="23" ht="15" customHeight="1">
      <c r="B23" s="7" t="inlineStr">
        <is>
          <t>Formation</t>
        </is>
      </c>
      <c r="C23" s="8">
        <f>COUNTIF('2-Registre Documentation RH'!D5:D104,"*Formation*")+COUNTIF('5-Archivage Numerique'!D5:D104,"*Formation*")</f>
        <v/>
      </c>
    </row>
    <row r="24" ht="15" customHeight="1">
      <c r="B24" s="7" t="inlineStr">
        <is>
          <t>Reglementation</t>
        </is>
      </c>
      <c r="C24" s="8">
        <f>COUNTIF('2-Registre Documentation RH'!D5:D104,"*Reglementation*")+COUNTIF('5-Archivage Numerique'!D5:D104,"*Reglementation*")</f>
        <v/>
      </c>
    </row>
    <row r="25" ht="15" customHeight="1">
      <c r="B25" s="7" t="inlineStr">
        <is>
          <t>Autre</t>
        </is>
      </c>
      <c r="C25" s="8">
        <f>COUNTIF('2-Registre Documentation RH'!D5:D104,"*Autre*")+COUNTIF('5-Archivage Numerique'!D5:D104,"*Autre*")</f>
        <v/>
      </c>
    </row>
    <row r="26" ht="15" customHeight="1"/>
    <row r="27" ht="15" customHeight="1">
      <c r="H27" s="3" t="inlineStr">
        <is>
          <t>Statut Dossier</t>
        </is>
      </c>
      <c r="I27" s="3" t="inlineStr">
        <is>
          <t>Nombre</t>
        </is>
      </c>
    </row>
    <row r="28" ht="15" customHeight="1">
      <c r="H28" s="7" t="inlineStr">
        <is>
          <t>Complet</t>
        </is>
      </c>
      <c r="I28" s="8">
        <f>COUNTIF('3-Gestion Dossiers Employes'!J5:J104,"Complet")</f>
        <v/>
      </c>
    </row>
    <row r="29" ht="15" customHeight="1">
      <c r="H29" s="7" t="inlineStr">
        <is>
          <t>Incomplet</t>
        </is>
      </c>
      <c r="I29" s="8">
        <f>COUNTIF('3-Gestion Dossiers Employes'!J5:J104,"Incomplet")</f>
        <v/>
      </c>
    </row>
    <row r="30" ht="15" customHeight="1">
      <c r="H30" s="7" t="inlineStr">
        <is>
          <t>A mettre a jour</t>
        </is>
      </c>
      <c r="I30" s="8">
        <f>COUNTIF('3-Gestion Dossiers Employes'!J5:J104,"A mettre a jour")</f>
        <v/>
      </c>
    </row>
    <row r="31" ht="15" customHeight="1">
      <c r="H31" s="7" t="inlineStr">
        <is>
          <t>En cours de constitution</t>
        </is>
      </c>
      <c r="I31" s="8">
        <f>COUNTIF('3-Gestion Dossiers Employes'!J5:J104,"En cours de constitution")</f>
        <v/>
      </c>
    </row>
  </sheetData>
  <mergeCells count="27">
    <mergeCell ref="H10:I10"/>
    <mergeCell ref="B3:L3"/>
    <mergeCell ref="K9:L9"/>
    <mergeCell ref="E5:F5"/>
    <mergeCell ref="K5:L5"/>
    <mergeCell ref="E14:F14"/>
    <mergeCell ref="H9:I9"/>
    <mergeCell ref="B18:L18"/>
    <mergeCell ref="H6:I6"/>
    <mergeCell ref="E10:F10"/>
    <mergeCell ref="B2:L2"/>
    <mergeCell ref="B14:C14"/>
    <mergeCell ref="E13:F13"/>
    <mergeCell ref="E9:F9"/>
    <mergeCell ref="B13:C13"/>
    <mergeCell ref="E6:F6"/>
    <mergeCell ref="B10:C10"/>
    <mergeCell ref="B9:C9"/>
    <mergeCell ref="H13:I13"/>
    <mergeCell ref="K14:L14"/>
    <mergeCell ref="B6:C6"/>
    <mergeCell ref="B5:C5"/>
    <mergeCell ref="K10:L10"/>
    <mergeCell ref="H5:I5"/>
    <mergeCell ref="H14:I14"/>
    <mergeCell ref="K6:L6"/>
    <mergeCell ref="K13:L13"/>
  </mergeCells>
  <conditionalFormatting sqref="B6">
    <cfRule type="cellIs" priority="1" operator="greaterThan" dxfId="4">
      <formula>0</formula>
    </cfRule>
  </conditionalFormatting>
  <conditionalFormatting sqref="E6">
    <cfRule type="cellIs" priority="2" operator="greaterThan" dxfId="4">
      <formula>0</formula>
    </cfRule>
  </conditionalFormatting>
  <conditionalFormatting sqref="H6">
    <cfRule type="cellIs" priority="3" operator="greaterThan" dxfId="4">
      <formula>0</formula>
    </cfRule>
  </conditionalFormatting>
  <conditionalFormatting sqref="K6">
    <cfRule type="cellIs" priority="4" operator="greaterThan" dxfId="4">
      <formula>0</formula>
    </cfRule>
  </conditionalFormatting>
  <conditionalFormatting sqref="B10">
    <cfRule type="cellIs" priority="5" operator="greaterThan" dxfId="4">
      <formula>0</formula>
    </cfRule>
  </conditionalFormatting>
  <conditionalFormatting sqref="E10">
    <cfRule type="cellIs" priority="6" operator="greaterThan" dxfId="4">
      <formula>0</formula>
    </cfRule>
  </conditionalFormatting>
  <conditionalFormatting sqref="H10">
    <cfRule type="cellIs" priority="7" operator="greaterThan" dxfId="4">
      <formula>0</formula>
    </cfRule>
  </conditionalFormatting>
  <conditionalFormatting sqref="K10">
    <cfRule type="cellIs" priority="8" operator="greaterThan" dxfId="4">
      <formula>0</formula>
    </cfRule>
  </conditionalFormatting>
  <conditionalFormatting sqref="B14">
    <cfRule type="cellIs" priority="9" operator="greaterThan" dxfId="4">
      <formula>0</formula>
    </cfRule>
  </conditionalFormatting>
  <conditionalFormatting sqref="E14">
    <cfRule type="cellIs" priority="10" operator="greaterThan" dxfId="4">
      <formula>0</formula>
    </cfRule>
  </conditionalFormatting>
  <conditionalFormatting sqref="H14">
    <cfRule type="cellIs" priority="11" operator="greaterThan" dxfId="4">
      <formula>0</formula>
    </cfRule>
  </conditionalFormatting>
  <conditionalFormatting sqref="K14">
    <cfRule type="cellIs" priority="12" operator="greaterThan" dxfId="4">
      <formula>0</formula>
    </cfRule>
  </conditionalFormatting>
  <conditionalFormatting sqref="C20">
    <cfRule type="cellIs" priority="13" operator="greaterThan" dxfId="4">
      <formula>0</formula>
    </cfRule>
  </conditionalFormatting>
  <conditionalFormatting sqref="C21">
    <cfRule type="cellIs" priority="14" operator="greaterThan" dxfId="4">
      <formula>0</formula>
    </cfRule>
  </conditionalFormatting>
  <conditionalFormatting sqref="C22">
    <cfRule type="cellIs" priority="15" operator="greaterThan" dxfId="4">
      <formula>0</formula>
    </cfRule>
  </conditionalFormatting>
  <conditionalFormatting sqref="C23">
    <cfRule type="cellIs" priority="16" operator="greaterThan" dxfId="4">
      <formula>0</formula>
    </cfRule>
  </conditionalFormatting>
  <conditionalFormatting sqref="C24">
    <cfRule type="cellIs" priority="17" operator="greaterThan" dxfId="4">
      <formula>0</formula>
    </cfRule>
  </conditionalFormatting>
  <conditionalFormatting sqref="C25">
    <cfRule type="cellIs" priority="18" operator="greaterThan" dxfId="4">
      <formula>0</formula>
    </cfRule>
  </conditionalFormatting>
  <conditionalFormatting sqref="I28">
    <cfRule type="cellIs" priority="19" operator="greaterThan" dxfId="4">
      <formula>0</formula>
    </cfRule>
  </conditionalFormatting>
  <conditionalFormatting sqref="I29">
    <cfRule type="cellIs" priority="20" operator="greaterThan" dxfId="4">
      <formula>0</formula>
    </cfRule>
  </conditionalFormatting>
  <conditionalFormatting sqref="I30">
    <cfRule type="cellIs" priority="21" operator="greaterThan" dxfId="4">
      <formula>0</formula>
    </cfRule>
  </conditionalFormatting>
  <conditionalFormatting sqref="I31">
    <cfRule type="cellIs" priority="22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B1" s="9" t="inlineStr">
        <is>
          <t>departement</t>
        </is>
      </c>
      <c r="C1" s="9" t="inlineStr">
        <is>
          <t>poste_hotel</t>
        </is>
      </c>
      <c r="D1" s="9" t="inlineStr">
        <is>
          <t>type_document</t>
        </is>
      </c>
      <c r="E1" s="9" t="inlineStr">
        <is>
          <t>support_archivage</t>
        </is>
      </c>
      <c r="F1" s="9" t="inlineStr">
        <is>
          <t>statut_document</t>
        </is>
      </c>
      <c r="G1" s="9" t="inlineStr">
        <is>
          <t>niveau_confidentialite</t>
        </is>
      </c>
      <c r="H1" s="9" t="inlineStr">
        <is>
          <t>duree_conservation</t>
        </is>
      </c>
      <c r="I1" s="9" t="inlineStr">
        <is>
          <t>type_classement</t>
        </is>
      </c>
      <c r="J1" s="9" t="inlineStr">
        <is>
          <t>format_document</t>
        </is>
      </c>
      <c r="K1" s="9" t="inlineStr">
        <is>
          <t>statut_version</t>
        </is>
      </c>
      <c r="L1" s="9" t="inlineStr">
        <is>
          <t>motif_sortie</t>
        </is>
      </c>
      <c r="M1" s="9" t="inlineStr">
        <is>
          <t>statut_sortie</t>
        </is>
      </c>
      <c r="N1" s="9" t="inlineStr">
        <is>
          <t>statut_dossier</t>
        </is>
      </c>
      <c r="O1" s="9" t="inlineStr">
        <is>
          <t>statut_politique</t>
        </is>
      </c>
      <c r="P1" s="9" t="inlineStr">
        <is>
          <t>mois</t>
        </is>
      </c>
      <c r="Q1" s="9" t="inlineStr">
        <is>
          <t>annee</t>
        </is>
      </c>
      <c r="R1" s="9" t="inlineStr">
        <is>
          <t xml:space="preserve"> acces_niveau</t>
        </is>
      </c>
      <c r="S1" s="9" t="inlineStr">
        <is>
          <t>statut_action</t>
        </is>
      </c>
    </row>
    <row r="2">
      <c r="B2" s="10" t="inlineStr">
        <is>
          <t>Direction Générale</t>
        </is>
      </c>
      <c r="C2" s="10" t="inlineStr">
        <is>
          <t>DG</t>
        </is>
      </c>
      <c r="D2" s="10" t="inlineStr">
        <is>
          <t>Contrat de travail</t>
        </is>
      </c>
      <c r="E2" s="10" t="inlineStr">
        <is>
          <t>Papier - Classeur</t>
        </is>
      </c>
      <c r="F2" s="10" t="inlineStr">
        <is>
          <t>En cours</t>
        </is>
      </c>
      <c r="G2" s="10" t="inlineStr">
        <is>
          <t>Public</t>
        </is>
      </c>
      <c r="H2" s="10" t="inlineStr">
        <is>
          <t>1 an</t>
        </is>
      </c>
      <c r="I2" s="10" t="inlineStr">
        <is>
          <t>Alphabetique employe</t>
        </is>
      </c>
      <c r="J2" s="10" t="inlineStr">
        <is>
          <t>PDF</t>
        </is>
      </c>
      <c r="K2" s="10" t="inlineStr">
        <is>
          <t>Brouillon</t>
        </is>
      </c>
      <c r="L2" s="10" t="inlineStr">
        <is>
          <t>Consultation interne</t>
        </is>
      </c>
      <c r="M2" s="10" t="inlineStr">
        <is>
          <t>En cours</t>
        </is>
      </c>
      <c r="N2" s="10" t="inlineStr">
        <is>
          <t>Complet</t>
        </is>
      </c>
      <c r="O2" s="10" t="inlineStr">
        <is>
          <t>En vigueur</t>
        </is>
      </c>
      <c r="P2" s="10" t="inlineStr">
        <is>
          <t>Janvier</t>
        </is>
      </c>
      <c r="Q2" s="10" t="inlineStr">
        <is>
          <t>2024</t>
        </is>
      </c>
      <c r="R2" s="10" t="inlineStr">
        <is>
          <t>Lecture seule</t>
        </is>
      </c>
      <c r="S2" s="10" t="inlineStr">
        <is>
          <t>Planifiee</t>
        </is>
      </c>
    </row>
    <row r="3">
      <c r="B3" s="10" t="inlineStr">
        <is>
          <t>Service Client</t>
        </is>
      </c>
      <c r="C3" s="10" t="inlineStr">
        <is>
          <t>DRH</t>
        </is>
      </c>
      <c r="D3" s="10" t="inlineStr">
        <is>
          <t>Avenant contrat</t>
        </is>
      </c>
      <c r="E3" s="10" t="inlineStr">
        <is>
          <t>Papier - Chemise</t>
        </is>
      </c>
      <c r="F3" s="10" t="inlineStr">
        <is>
          <t>Archive</t>
        </is>
      </c>
      <c r="G3" s="10" t="inlineStr">
        <is>
          <t>Interne</t>
        </is>
      </c>
      <c r="H3" s="10" t="inlineStr">
        <is>
          <t>2 ans</t>
        </is>
      </c>
      <c r="I3" s="10" t="inlineStr">
        <is>
          <t>Numerique dossier</t>
        </is>
      </c>
      <c r="J3" s="10" t="inlineStr">
        <is>
          <t>Word (.docx)</t>
        </is>
      </c>
      <c r="K3" s="10" t="inlineStr">
        <is>
          <t>En revision</t>
        </is>
      </c>
      <c r="L3" s="10" t="inlineStr">
        <is>
          <t>Envoi organisme externe</t>
        </is>
      </c>
      <c r="M3" s="10" t="inlineStr">
        <is>
          <t>Restitue</t>
        </is>
      </c>
      <c r="N3" s="10" t="inlineStr">
        <is>
          <t>Incomplet</t>
        </is>
      </c>
      <c r="O3" s="10" t="inlineStr">
        <is>
          <t>En revision</t>
        </is>
      </c>
      <c r="P3" s="10" t="inlineStr">
        <is>
          <t>Fevrier</t>
        </is>
      </c>
      <c r="Q3" s="10" t="inlineStr">
        <is>
          <t>2025</t>
        </is>
      </c>
      <c r="R3" s="10" t="inlineStr">
        <is>
          <t>Lecture / Ecriture</t>
        </is>
      </c>
      <c r="S3" s="10" t="inlineStr">
        <is>
          <t>En cours</t>
        </is>
      </c>
    </row>
    <row r="4">
      <c r="B4" s="10" t="inlineStr">
        <is>
          <t>Finance &amp; Comptabilité</t>
        </is>
      </c>
      <c r="C4" s="10" t="inlineStr">
        <is>
          <t>Assistante RH</t>
        </is>
      </c>
      <c r="D4" s="10" t="inlineStr">
        <is>
          <t>Fiche de paie</t>
        </is>
      </c>
      <c r="E4" s="10" t="inlineStr">
        <is>
          <t>Papier - Boite archive</t>
        </is>
      </c>
      <c r="F4" s="10" t="inlineStr">
        <is>
          <t>A archiver</t>
        </is>
      </c>
      <c r="G4" s="10" t="inlineStr">
        <is>
          <t>Confidentiel</t>
        </is>
      </c>
      <c r="H4" s="10" t="inlineStr">
        <is>
          <t>3 ans</t>
        </is>
      </c>
      <c r="I4" s="10" t="inlineStr">
        <is>
          <t>Chronologique</t>
        </is>
      </c>
      <c r="J4" s="10" t="inlineStr">
        <is>
          <t>Excel (.xlsx)</t>
        </is>
      </c>
      <c r="K4" s="10" t="inlineStr">
        <is>
          <t>Valide</t>
        </is>
      </c>
      <c r="L4" s="10" t="inlineStr">
        <is>
          <t>Audit externe</t>
        </is>
      </c>
      <c r="M4" s="10" t="inlineStr">
        <is>
          <t>En retard</t>
        </is>
      </c>
      <c r="N4" s="10" t="inlineStr">
        <is>
          <t>En cours de constitution</t>
        </is>
      </c>
      <c r="O4" s="10" t="inlineStr">
        <is>
          <t>A approuver</t>
        </is>
      </c>
      <c r="P4" s="10" t="inlineStr">
        <is>
          <t>Mars</t>
        </is>
      </c>
      <c r="Q4" s="10" t="inlineStr">
        <is>
          <t>2026</t>
        </is>
      </c>
      <c r="R4" s="10" t="inlineStr">
        <is>
          <t>Modification</t>
        </is>
      </c>
      <c r="S4" s="10" t="inlineStr">
        <is>
          <t>Terminee</t>
        </is>
      </c>
    </row>
    <row r="5">
      <c r="B5" s="10" t="inlineStr">
        <is>
          <t>Marketing &amp; Communication</t>
        </is>
      </c>
      <c r="C5" s="10" t="inlineStr">
        <is>
          <t>DAF</t>
        </is>
      </c>
      <c r="D5" s="10" t="inlineStr">
        <is>
          <t>Attestation travail</t>
        </is>
      </c>
      <c r="E5" s="10" t="inlineStr">
        <is>
          <t>Numerique - Serveur RH</t>
        </is>
      </c>
      <c r="F5" s="10" t="inlineStr">
        <is>
          <t>A detruire</t>
        </is>
      </c>
      <c r="G5" s="10" t="inlineStr">
        <is>
          <t>Tres confidentiel</t>
        </is>
      </c>
      <c r="H5" s="10" t="inlineStr">
        <is>
          <t>5 ans</t>
        </is>
      </c>
      <c r="I5" s="10" t="inlineStr">
        <is>
          <t>Par departement</t>
        </is>
      </c>
      <c r="J5" s="10" t="inlineStr">
        <is>
          <t>Image (JPEG/PNG)</t>
        </is>
      </c>
      <c r="K5" s="10" t="inlineStr">
        <is>
          <t>Obsolete</t>
        </is>
      </c>
      <c r="L5" s="10" t="inlineStr">
        <is>
          <t>Expertise comptable</t>
        </is>
      </c>
      <c r="M5" s="10" t="inlineStr">
        <is>
          <t>Non restitue</t>
        </is>
      </c>
      <c r="N5" s="10" t="inlineStr">
        <is>
          <t>A mettre a jour</t>
        </is>
      </c>
      <c r="O5" s="10" t="inlineStr">
        <is>
          <t>Obsolette</t>
        </is>
      </c>
      <c r="P5" s="10" t="inlineStr">
        <is>
          <t>Avril</t>
        </is>
      </c>
      <c r="R5" s="10" t="inlineStr">
        <is>
          <t>Suppression</t>
        </is>
      </c>
      <c r="S5" s="10" t="inlineStr">
        <is>
          <t>Reportee</t>
        </is>
      </c>
    </row>
    <row r="6">
      <c r="B6" s="10" t="inlineStr">
        <is>
          <t>Maintenance</t>
        </is>
      </c>
      <c r="C6" s="10" t="inlineStr">
        <is>
          <t>Comptable senior</t>
        </is>
      </c>
      <c r="D6" s="10" t="inlineStr">
        <is>
          <t>Certificat travail</t>
        </is>
      </c>
      <c r="E6" s="10" t="inlineStr">
        <is>
          <t>Numerique - Cloud</t>
        </is>
      </c>
      <c r="F6" s="10" t="inlineStr">
        <is>
          <t>Perdu</t>
        </is>
      </c>
      <c r="G6" s="10" t="inlineStr">
        <is>
          <t>Secret</t>
        </is>
      </c>
      <c r="H6" s="10" t="inlineStr">
        <is>
          <t>10 ans</t>
        </is>
      </c>
      <c r="I6" s="10" t="inlineStr">
        <is>
          <t>Par type document</t>
        </is>
      </c>
      <c r="J6" s="10" t="inlineStr">
        <is>
          <t>Scan papier</t>
        </is>
      </c>
      <c r="K6" s="10" t="inlineStr">
        <is>
          <t>Archivé</t>
        </is>
      </c>
      <c r="L6" s="10" t="inlineStr">
        <is>
          <t>Inspection travail</t>
        </is>
      </c>
      <c r="N6" s="10" t="inlineStr">
        <is>
          <t>Cloture</t>
        </is>
      </c>
      <c r="O6" s="10" t="inlineStr">
        <is>
          <t>En elaboration</t>
        </is>
      </c>
      <c r="P6" s="10" t="inlineStr">
        <is>
          <t>Mai</t>
        </is>
      </c>
      <c r="R6" s="10" t="inlineStr">
        <is>
          <t>Administrateur</t>
        </is>
      </c>
      <c r="S6" s="10" t="inlineStr">
        <is>
          <t>Annulee</t>
        </is>
      </c>
    </row>
    <row r="7">
      <c r="B7" s="10" t="inlineStr">
        <is>
          <t>Commercial</t>
        </is>
      </c>
      <c r="C7" s="10" t="inlineStr">
        <is>
          <t>Chef Comptable</t>
        </is>
      </c>
      <c r="D7" s="10" t="inlineStr">
        <is>
          <t>Bulletin paie</t>
        </is>
      </c>
      <c r="E7" s="10" t="inlineStr">
        <is>
          <t>Numerique - GED</t>
        </is>
      </c>
      <c r="F7" s="10" t="inlineStr">
        <is>
          <t>En restoration</t>
        </is>
      </c>
      <c r="H7" s="10" t="inlineStr">
        <is>
          <t>30 ans</t>
        </is>
      </c>
      <c r="I7" s="10" t="inlineStr">
        <is>
          <t>Par annee</t>
        </is>
      </c>
      <c r="J7" s="10" t="inlineStr">
        <is>
          <t>Papier original</t>
        </is>
      </c>
      <c r="L7" s="10" t="inlineStr">
        <is>
          <t>Tribunal</t>
        </is>
      </c>
      <c r="P7" s="10" t="inlineStr">
        <is>
          <t>Juin</t>
        </is>
      </c>
    </row>
    <row r="8">
      <c r="B8" s="10" t="inlineStr">
        <is>
          <t>Logistique &amp; Approvisionnement</t>
        </is>
      </c>
      <c r="C8" s="10" t="inlineStr">
        <is>
          <t>Chef Marketing</t>
        </is>
      </c>
      <c r="D8" s="10" t="inlineStr">
        <is>
          <t>Decision promotion</t>
        </is>
      </c>
      <c r="E8" s="10" t="inlineStr">
        <is>
          <t>Hybride (papier + numerique)</t>
        </is>
      </c>
      <c r="F8" s="10" t="inlineStr">
        <is>
          <t>Extrait copie</t>
        </is>
      </c>
      <c r="H8" s="10" t="inlineStr">
        <is>
          <t>Durée du contrat + 5 ans</t>
        </is>
      </c>
      <c r="I8" s="10" t="inlineStr">
        <is>
          <t>Mixte</t>
        </is>
      </c>
      <c r="J8" s="10" t="inlineStr">
        <is>
          <t>Courriel imprime</t>
        </is>
      </c>
      <c r="L8" s="10" t="inlineStr">
        <is>
          <t>Photocopie employe</t>
        </is>
      </c>
      <c r="P8" s="10" t="inlineStr">
        <is>
          <t>Juillet</t>
        </is>
      </c>
    </row>
    <row r="9">
      <c r="B9" s="10" t="inlineStr">
        <is>
          <t>Cuisine &amp; Restauration</t>
        </is>
      </c>
      <c r="C9" s="10" t="inlineStr">
        <is>
          <t>Chef de service IT</t>
        </is>
      </c>
      <c r="D9" s="10" t="inlineStr">
        <is>
          <t>Decision mutation</t>
        </is>
      </c>
      <c r="E9" s="10" t="inlineStr">
        <is>
          <t>Microfilm</t>
        </is>
      </c>
      <c r="H9" s="10" t="inlineStr">
        <is>
          <t>Indéfinie</t>
        </is>
      </c>
      <c r="J9" s="10" t="inlineStr">
        <is>
          <t>Autre</t>
        </is>
      </c>
      <c r="L9" s="10" t="inlineStr">
        <is>
          <t>Pret temporaire</t>
        </is>
      </c>
      <c r="P9" s="10" t="inlineStr">
        <is>
          <t>Aout</t>
        </is>
      </c>
    </row>
    <row r="10">
      <c r="B10" s="10" t="inlineStr">
        <is>
          <t>Réception &amp; Front Office</t>
        </is>
      </c>
      <c r="C10" s="10" t="inlineStr">
        <is>
          <t>Technicien IT</t>
        </is>
      </c>
      <c r="D10" s="10" t="inlineStr">
        <is>
          <t>Proces-verbal disciplinaire</t>
        </is>
      </c>
      <c r="H10" s="10" t="inlineStr">
        <is>
          <t>A determiner</t>
        </is>
      </c>
      <c r="P10" s="10" t="inlineStr">
        <is>
          <t>Septembre</t>
        </is>
      </c>
    </row>
    <row r="11">
      <c r="B11" s="10" t="inlineStr">
        <is>
          <t>Sécurité</t>
        </is>
      </c>
      <c r="C11" s="10" t="inlineStr">
        <is>
          <t>Chef Commercial</t>
        </is>
      </c>
      <c r="D11" s="10" t="inlineStr">
        <is>
          <t>Entretien annuel</t>
        </is>
      </c>
      <c r="P11" s="10" t="inlineStr">
        <is>
          <t>Octobre</t>
        </is>
      </c>
    </row>
    <row r="12">
      <c r="B12" s="10" t="inlineStr">
        <is>
          <t>Étage &amp; Housekeeping</t>
        </is>
      </c>
      <c r="C12" s="10" t="inlineStr">
        <is>
          <t>Agent Commercial</t>
        </is>
      </c>
      <c r="D12" s="10" t="inlineStr">
        <is>
          <t>Note de service</t>
        </is>
      </c>
      <c r="P12" s="10" t="inlineStr">
        <is>
          <t>Novembre</t>
        </is>
      </c>
    </row>
    <row r="13">
      <c r="B13" s="10" t="n"/>
      <c r="C13" s="10" t="inlineStr">
        <is>
          <t>Chef Logistique</t>
        </is>
      </c>
      <c r="D13" s="10" t="inlineStr">
        <is>
          <t>Reglement interieur</t>
        </is>
      </c>
      <c r="P13" s="10" t="inlineStr">
        <is>
          <t>Decembre</t>
        </is>
      </c>
    </row>
    <row r="14">
      <c r="B14" s="10" t="n"/>
      <c r="C14" s="10" t="inlineStr">
        <is>
          <t>Magasinier</t>
        </is>
      </c>
      <c r="D14" s="10" t="inlineStr">
        <is>
          <t>Politique RH</t>
        </is>
      </c>
    </row>
    <row r="15">
      <c r="C15" s="10" t="inlineStr">
        <is>
          <t>Chef Reception</t>
        </is>
      </c>
      <c r="D15" s="10" t="inlineStr">
        <is>
          <t>Formulaire CNPS</t>
        </is>
      </c>
    </row>
    <row r="16">
      <c r="C16" s="10" t="inlineStr">
        <is>
          <t>Receptionniste</t>
        </is>
      </c>
      <c r="D16" s="10" t="inlineStr">
        <is>
          <t>Formulaire impot</t>
        </is>
      </c>
    </row>
    <row r="17">
      <c r="C17" s="10" t="inlineStr">
        <is>
          <t>Concierge</t>
        </is>
      </c>
      <c r="D17" s="10" t="inlineStr">
        <is>
          <t>Plan de formation</t>
        </is>
      </c>
    </row>
    <row r="18">
      <c r="C18" s="10" t="inlineStr">
        <is>
          <t>Chef Cuisine</t>
        </is>
      </c>
      <c r="D18" s="10" t="inlineStr">
        <is>
          <t>Bilan social</t>
        </is>
      </c>
    </row>
    <row r="19">
      <c r="C19" s="10" t="inlineStr">
        <is>
          <t>Sous-Chef</t>
        </is>
      </c>
      <c r="D19" s="10" t="inlineStr">
        <is>
          <t>PV reunion</t>
        </is>
      </c>
    </row>
    <row r="20">
      <c r="C20" s="10" t="inlineStr">
        <is>
          <t>Cuisinier</t>
        </is>
      </c>
      <c r="D20" s="10" t="inlineStr">
        <is>
          <t>Courrier</t>
        </is>
      </c>
    </row>
    <row r="21">
      <c r="C21" s="10" t="inlineStr">
        <is>
          <t>Plongeur</t>
        </is>
      </c>
      <c r="D21" s="10" t="inlineStr">
        <is>
          <t>Autre</t>
        </is>
      </c>
    </row>
    <row r="22">
      <c r="C22" s="10" t="inlineStr">
        <is>
          <t>Chef Entretien</t>
        </is>
      </c>
    </row>
    <row r="23">
      <c r="C23" s="10" t="inlineStr">
        <is>
          <t>Agent Entretien</t>
        </is>
      </c>
    </row>
    <row r="24">
      <c r="C24" s="10" t="inlineStr">
        <is>
          <t>Chef Securite</t>
        </is>
      </c>
    </row>
    <row r="25">
      <c r="C25" s="10" t="inlineStr">
        <is>
          <t>Agent Securite</t>
        </is>
      </c>
    </row>
    <row r="26"/>
    <row r="27"/>
    <row r="28"/>
    <row r="2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2" customWidth="1" min="3" max="3"/>
    <col width="22" customWidth="1" min="4" max="4"/>
    <col width="18" customWidth="1" min="5" max="5"/>
    <col width="14" customWidth="1" min="6" max="6"/>
    <col width="18" customWidth="1" min="7" max="7"/>
    <col width="10" customWidth="1" min="8" max="8"/>
    <col width="22" customWidth="1" min="9" max="9"/>
    <col width="28" customWidth="1" min="10" max="10"/>
    <col width="14" customWidth="1" min="11" max="11"/>
  </cols>
  <sheetData>
    <row r="1" ht="15" customHeight="1"/>
    <row r="2" ht="32" customHeight="1">
      <c r="B2" s="1" t="inlineStr">
        <is>
          <t>REGISTRE DOCUMENTATION RH (#127)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Titre Document</t>
        </is>
      </c>
      <c r="D4" s="11" t="inlineStr">
        <is>
          <t>Type Document</t>
        </is>
      </c>
      <c r="E4" s="11" t="inlineStr">
        <is>
          <t>Categorie</t>
        </is>
      </c>
      <c r="F4" s="11" t="inlineStr">
        <is>
          <t>Date Creation</t>
        </is>
      </c>
      <c r="G4" s="11" t="inlineStr">
        <is>
          <t>Auteur</t>
        </is>
      </c>
      <c r="H4" s="11" t="inlineStr">
        <is>
          <t>Version</t>
        </is>
      </c>
      <c r="I4" s="11" t="inlineStr">
        <is>
          <t>Support</t>
        </is>
      </c>
      <c r="J4" s="11" t="inlineStr">
        <is>
          <t>Emplacement</t>
        </is>
      </c>
      <c r="K4" s="11" t="inlineStr">
        <is>
          <t>Statut</t>
        </is>
      </c>
    </row>
    <row r="5" ht="22" customHeight="1">
      <c r="B5" s="12" t="inlineStr">
        <is>
          <t>DOC-001</t>
        </is>
      </c>
      <c r="C5" s="12" t="inlineStr">
        <is>
          <t>Reglement interieur hotel</t>
        </is>
      </c>
      <c r="D5" s="12" t="inlineStr">
        <is>
          <t>Reglement interieur</t>
        </is>
      </c>
      <c r="E5" s="12" t="inlineStr">
        <is>
          <t>Reglementation</t>
        </is>
      </c>
      <c r="F5" s="29" t="n">
        <v>45458</v>
      </c>
      <c r="G5" s="12" t="inlineStr">
        <is>
          <t>DG + DRH</t>
        </is>
      </c>
      <c r="H5" s="12" t="inlineStr">
        <is>
          <t>V3.2</t>
        </is>
      </c>
      <c r="I5" s="12" t="inlineStr">
        <is>
          <t>Papier - Classeur</t>
        </is>
      </c>
      <c r="J5" s="12" t="inlineStr">
        <is>
          <t>Armoire RH / Serveur RH</t>
        </is>
      </c>
      <c r="K5" s="12" t="inlineStr">
        <is>
          <t>En cours</t>
        </is>
      </c>
    </row>
    <row r="6" ht="22" customHeight="1">
      <c r="B6" s="14" t="inlineStr">
        <is>
          <t>DOC-002</t>
        </is>
      </c>
      <c r="C6" s="14" t="inlineStr">
        <is>
          <t>Grille salariale 2025</t>
        </is>
      </c>
      <c r="D6" s="14" t="inlineStr">
        <is>
          <t>Politique RH</t>
        </is>
      </c>
      <c r="E6" s="14" t="inlineStr">
        <is>
          <t>Remuneration</t>
        </is>
      </c>
      <c r="F6" s="30" t="n">
        <v>45667</v>
      </c>
      <c r="G6" s="14" t="inlineStr">
        <is>
          <t>DRH + DAF</t>
        </is>
      </c>
      <c r="H6" s="14" t="inlineStr">
        <is>
          <t>V2.1</t>
        </is>
      </c>
      <c r="I6" s="14" t="inlineStr">
        <is>
          <t>Numerique - Serveur RH</t>
        </is>
      </c>
      <c r="J6" s="14" t="inlineStr">
        <is>
          <t>Serveur RH / Grilles/</t>
        </is>
      </c>
      <c r="K6" s="14" t="inlineStr">
        <is>
          <t>En cours</t>
        </is>
      </c>
    </row>
    <row r="7" ht="22" customHeight="1">
      <c r="B7" s="12" t="inlineStr">
        <is>
          <t>DOC-003</t>
        </is>
      </c>
      <c r="C7" s="12" t="inlineStr">
        <is>
          <t>Procedure de recrutement</t>
        </is>
      </c>
      <c r="D7" s="12" t="inlineStr">
        <is>
          <t>Politique RH</t>
        </is>
      </c>
      <c r="E7" s="12" t="inlineStr">
        <is>
          <t>Recrutement</t>
        </is>
      </c>
      <c r="F7" s="29" t="n">
        <v>45536</v>
      </c>
      <c r="G7" s="12" t="inlineStr">
        <is>
          <t>DRH</t>
        </is>
      </c>
      <c r="H7" s="12" t="inlineStr">
        <is>
          <t>V2.0</t>
        </is>
      </c>
      <c r="I7" s="12" t="inlineStr">
        <is>
          <t>Numerique - Cloud</t>
        </is>
      </c>
      <c r="J7" s="12" t="inlineStr">
        <is>
          <t>Google Drive / Procedures/</t>
        </is>
      </c>
      <c r="K7" s="12" t="inlineStr">
        <is>
          <t>En cours</t>
        </is>
      </c>
    </row>
    <row r="8" ht="22" customHeight="1">
      <c r="B8" s="14" t="inlineStr">
        <is>
          <t>DOC-004</t>
        </is>
      </c>
      <c r="C8" s="14" t="inlineStr">
        <is>
          <t>Charte ethique et conduite</t>
        </is>
      </c>
      <c r="D8" s="14" t="inlineStr">
        <is>
          <t>Politique RH</t>
        </is>
      </c>
      <c r="E8" s="14" t="inlineStr">
        <is>
          <t>Ethique</t>
        </is>
      </c>
      <c r="F8" s="30" t="n">
        <v>45352</v>
      </c>
      <c r="G8" s="14" t="inlineStr">
        <is>
          <t>DG</t>
        </is>
      </c>
      <c r="H8" s="14" t="inlineStr">
        <is>
          <t>V1.5</t>
        </is>
      </c>
      <c r="I8" s="14" t="inlineStr">
        <is>
          <t>Papier - Classeur</t>
        </is>
      </c>
      <c r="J8" s="14" t="inlineStr">
        <is>
          <t>Armoire RH / Chartes/</t>
        </is>
      </c>
      <c r="K8" s="14" t="inlineStr">
        <is>
          <t>En cours</t>
        </is>
      </c>
    </row>
    <row r="9" ht="22" customHeight="1">
      <c r="B9" s="12" t="inlineStr">
        <is>
          <t>DOC-005</t>
        </is>
      </c>
      <c r="C9" s="12" t="inlineStr">
        <is>
          <t>Plan formation annuel 2025</t>
        </is>
      </c>
      <c r="D9" s="12" t="inlineStr">
        <is>
          <t>Plan de formation</t>
        </is>
      </c>
      <c r="E9" s="12" t="inlineStr">
        <is>
          <t>Formation</t>
        </is>
      </c>
      <c r="F9" s="29" t="n">
        <v>45662</v>
      </c>
      <c r="G9" s="12" t="inlineStr">
        <is>
          <t>DRH</t>
        </is>
      </c>
      <c r="H9" s="12" t="inlineStr">
        <is>
          <t>V1.0</t>
        </is>
      </c>
      <c r="I9" s="12" t="inlineStr">
        <is>
          <t>Numerique - Serveur RH</t>
        </is>
      </c>
      <c r="J9" s="12" t="inlineStr">
        <is>
          <t>Serveur RH / Formation/</t>
        </is>
      </c>
      <c r="K9" s="12" t="inlineStr">
        <is>
          <t>En cours</t>
        </is>
      </c>
    </row>
    <row r="10" ht="22" customHeight="1">
      <c r="B10" s="16">
        <f>IF(C10="","DOC-"&amp;TEXT(COUNTA($C$5:C10),"000"))</f>
        <v/>
      </c>
      <c r="C10" s="14" t="n"/>
      <c r="D10" s="14" t="n"/>
      <c r="E10" s="14" t="n"/>
      <c r="F10" s="30" t="n"/>
      <c r="G10" s="14" t="n"/>
      <c r="H10" s="14" t="n"/>
      <c r="I10" s="14" t="n"/>
      <c r="J10" s="14" t="n"/>
      <c r="K10" s="14" t="n"/>
    </row>
    <row r="11" ht="22" customHeight="1">
      <c r="B11" s="17">
        <f>IF(C11="","DOC-"&amp;TEXT(COUNTA($C$5:C11),"000"))</f>
        <v/>
      </c>
      <c r="C11" s="12" t="n"/>
      <c r="D11" s="12" t="n"/>
      <c r="E11" s="12" t="n"/>
      <c r="F11" s="29" t="n"/>
      <c r="G11" s="12" t="n"/>
      <c r="H11" s="12" t="n"/>
      <c r="I11" s="12" t="n"/>
      <c r="J11" s="12" t="n"/>
      <c r="K11" s="12" t="n"/>
    </row>
    <row r="12" ht="22" customHeight="1">
      <c r="B12" s="16">
        <f>IF(C12="","DOC-"&amp;TEXT(COUNTA($C$5:C12),"000"))</f>
        <v/>
      </c>
      <c r="C12" s="14" t="n"/>
      <c r="D12" s="14" t="n"/>
      <c r="E12" s="14" t="n"/>
      <c r="F12" s="30" t="n"/>
      <c r="G12" s="14" t="n"/>
      <c r="H12" s="14" t="n"/>
      <c r="I12" s="14" t="n"/>
      <c r="J12" s="14" t="n"/>
      <c r="K12" s="14" t="n"/>
    </row>
    <row r="13" ht="22" customHeight="1">
      <c r="B13" s="17">
        <f>IF(C13="","DOC-"&amp;TEXT(COUNTA($C$5:C13),"000"))</f>
        <v/>
      </c>
      <c r="C13" s="12" t="n"/>
      <c r="D13" s="12" t="n"/>
      <c r="E13" s="12" t="n"/>
      <c r="F13" s="29" t="n"/>
      <c r="G13" s="12" t="n"/>
      <c r="H13" s="12" t="n"/>
      <c r="I13" s="12" t="n"/>
      <c r="J13" s="12" t="n"/>
      <c r="K13" s="12" t="n"/>
    </row>
    <row r="14" ht="22" customHeight="1">
      <c r="B14" s="16">
        <f>IF(C14="","DOC-"&amp;TEXT(COUNTA($C$5:C14),"000"))</f>
        <v/>
      </c>
      <c r="C14" s="14" t="n"/>
      <c r="D14" s="14" t="n"/>
      <c r="E14" s="14" t="n"/>
      <c r="F14" s="30" t="n"/>
      <c r="G14" s="14" t="n"/>
      <c r="H14" s="14" t="n"/>
      <c r="I14" s="14" t="n"/>
      <c r="J14" s="14" t="n"/>
      <c r="K14" s="14" t="n"/>
    </row>
    <row r="15" ht="22" customHeight="1">
      <c r="B15" s="17">
        <f>IF(C15="","DOC-"&amp;TEXT(COUNTA($C$5:C15),"000"))</f>
        <v/>
      </c>
      <c r="C15" s="12" t="n"/>
      <c r="D15" s="12" t="n"/>
      <c r="E15" s="12" t="n"/>
      <c r="F15" s="29" t="n"/>
      <c r="G15" s="12" t="n"/>
      <c r="H15" s="12" t="n"/>
      <c r="I15" s="12" t="n"/>
      <c r="J15" s="12" t="n"/>
      <c r="K15" s="12" t="n"/>
    </row>
    <row r="16" ht="22" customHeight="1">
      <c r="B16" s="16">
        <f>IF(C16="","DOC-"&amp;TEXT(COUNTA($C$5:C16),"000"))</f>
        <v/>
      </c>
      <c r="C16" s="14" t="n"/>
      <c r="D16" s="14" t="n"/>
      <c r="E16" s="14" t="n"/>
      <c r="F16" s="30" t="n"/>
      <c r="G16" s="14" t="n"/>
      <c r="H16" s="14" t="n"/>
      <c r="I16" s="14" t="n"/>
      <c r="J16" s="14" t="n"/>
      <c r="K16" s="14" t="n"/>
    </row>
    <row r="17" ht="22" customHeight="1">
      <c r="B17" s="17">
        <f>IF(C17="","DOC-"&amp;TEXT(COUNTA($C$5:C17),"000"))</f>
        <v/>
      </c>
      <c r="C17" s="12" t="n"/>
      <c r="D17" s="12" t="n"/>
      <c r="E17" s="12" t="n"/>
      <c r="F17" s="29" t="n"/>
      <c r="G17" s="12" t="n"/>
      <c r="H17" s="12" t="n"/>
      <c r="I17" s="12" t="n"/>
      <c r="J17" s="12" t="n"/>
      <c r="K17" s="12" t="n"/>
    </row>
    <row r="18" ht="22" customHeight="1">
      <c r="B18" s="16">
        <f>IF(C18="","DOC-"&amp;TEXT(COUNTA($C$5:C18),"000"))</f>
        <v/>
      </c>
      <c r="C18" s="14" t="n"/>
      <c r="D18" s="14" t="n"/>
      <c r="E18" s="14" t="n"/>
      <c r="F18" s="30" t="n"/>
      <c r="G18" s="14" t="n"/>
      <c r="H18" s="14" t="n"/>
      <c r="I18" s="14" t="n"/>
      <c r="J18" s="14" t="n"/>
      <c r="K18" s="14" t="n"/>
    </row>
    <row r="19" ht="22" customHeight="1">
      <c r="B19" s="17">
        <f>IF(C19="","DOC-"&amp;TEXT(COUNTA($C$5:C19),"000"))</f>
        <v/>
      </c>
      <c r="C19" s="12" t="n"/>
      <c r="D19" s="12" t="n"/>
      <c r="E19" s="12" t="n"/>
      <c r="F19" s="29" t="n"/>
      <c r="G19" s="12" t="n"/>
      <c r="H19" s="12" t="n"/>
      <c r="I19" s="12" t="n"/>
      <c r="J19" s="12" t="n"/>
      <c r="K19" s="12" t="n"/>
    </row>
    <row r="20" ht="22" customHeight="1">
      <c r="B20" s="16">
        <f>IF(C20="","DOC-"&amp;TEXT(COUNTA($C$5:C20),"000"))</f>
        <v/>
      </c>
      <c r="C20" s="14" t="n"/>
      <c r="D20" s="14" t="n"/>
      <c r="E20" s="14" t="n"/>
      <c r="F20" s="30" t="n"/>
      <c r="G20" s="14" t="n"/>
      <c r="H20" s="14" t="n"/>
      <c r="I20" s="14" t="n"/>
      <c r="J20" s="14" t="n"/>
      <c r="K20" s="14" t="n"/>
    </row>
    <row r="21" ht="22" customHeight="1">
      <c r="B21" s="17">
        <f>IF(C21="","DOC-"&amp;TEXT(COUNTA($C$5:C21),"000"))</f>
        <v/>
      </c>
      <c r="C21" s="12" t="n"/>
      <c r="D21" s="12" t="n"/>
      <c r="E21" s="12" t="n"/>
      <c r="F21" s="29" t="n"/>
      <c r="G21" s="12" t="n"/>
      <c r="H21" s="12" t="n"/>
      <c r="I21" s="12" t="n"/>
      <c r="J21" s="12" t="n"/>
      <c r="K21" s="12" t="n"/>
    </row>
    <row r="22" ht="22" customHeight="1">
      <c r="B22" s="16">
        <f>IF(C22="","DOC-"&amp;TEXT(COUNTA($C$5:C22),"000"))</f>
        <v/>
      </c>
      <c r="C22" s="14" t="n"/>
      <c r="D22" s="14" t="n"/>
      <c r="E22" s="14" t="n"/>
      <c r="F22" s="30" t="n"/>
      <c r="G22" s="14" t="n"/>
      <c r="H22" s="14" t="n"/>
      <c r="I22" s="14" t="n"/>
      <c r="J22" s="14" t="n"/>
      <c r="K22" s="14" t="n"/>
    </row>
    <row r="23" ht="22" customHeight="1">
      <c r="B23" s="17">
        <f>IF(C23="","DOC-"&amp;TEXT(COUNTA($C$5:C23),"000"))</f>
        <v/>
      </c>
      <c r="C23" s="12" t="n"/>
      <c r="D23" s="12" t="n"/>
      <c r="E23" s="12" t="n"/>
      <c r="F23" s="29" t="n"/>
      <c r="G23" s="12" t="n"/>
      <c r="H23" s="12" t="n"/>
      <c r="I23" s="12" t="n"/>
      <c r="J23" s="12" t="n"/>
      <c r="K23" s="12" t="n"/>
    </row>
    <row r="24" ht="22" customHeight="1">
      <c r="B24" s="16">
        <f>IF(C24="","DOC-"&amp;TEXT(COUNTA($C$5:C24),"000"))</f>
        <v/>
      </c>
      <c r="C24" s="14" t="n"/>
      <c r="D24" s="14" t="n"/>
      <c r="E24" s="14" t="n"/>
      <c r="F24" s="30" t="n"/>
      <c r="G24" s="14" t="n"/>
      <c r="H24" s="14" t="n"/>
      <c r="I24" s="14" t="n"/>
      <c r="J24" s="14" t="n"/>
      <c r="K24" s="14" t="n"/>
    </row>
    <row r="25" ht="22" customHeight="1">
      <c r="B25" s="17">
        <f>IF(C25="","DOC-"&amp;TEXT(COUNTA($C$5:C25),"000"))</f>
        <v/>
      </c>
      <c r="C25" s="12" t="n"/>
      <c r="D25" s="12" t="n"/>
      <c r="E25" s="12" t="n"/>
      <c r="F25" s="29" t="n"/>
      <c r="G25" s="12" t="n"/>
      <c r="H25" s="12" t="n"/>
      <c r="I25" s="12" t="n"/>
      <c r="J25" s="12" t="n"/>
      <c r="K25" s="12" t="n"/>
    </row>
    <row r="26" ht="22" customHeight="1">
      <c r="B26" s="16">
        <f>IF(C26="","DOC-"&amp;TEXT(COUNTA($C$5:C26),"000"))</f>
        <v/>
      </c>
      <c r="C26" s="14" t="n"/>
      <c r="D26" s="14" t="n"/>
      <c r="E26" s="14" t="n"/>
      <c r="F26" s="30" t="n"/>
      <c r="G26" s="14" t="n"/>
      <c r="H26" s="14" t="n"/>
      <c r="I26" s="14" t="n"/>
      <c r="J26" s="14" t="n"/>
      <c r="K26" s="14" t="n"/>
    </row>
    <row r="27" ht="22" customHeight="1">
      <c r="B27" s="17">
        <f>IF(C27="","DOC-"&amp;TEXT(COUNTA($C$5:C27),"000"))</f>
        <v/>
      </c>
      <c r="C27" s="12" t="n"/>
      <c r="D27" s="12" t="n"/>
      <c r="E27" s="12" t="n"/>
      <c r="F27" s="29" t="n"/>
      <c r="G27" s="12" t="n"/>
      <c r="H27" s="12" t="n"/>
      <c r="I27" s="12" t="n"/>
      <c r="J27" s="12" t="n"/>
      <c r="K27" s="12" t="n"/>
    </row>
    <row r="28" ht="22" customHeight="1">
      <c r="B28" s="16">
        <f>IF(C28="","DOC-"&amp;TEXT(COUNTA($C$5:C28),"000"))</f>
        <v/>
      </c>
      <c r="C28" s="14" t="n"/>
      <c r="D28" s="14" t="n"/>
      <c r="E28" s="14" t="n"/>
      <c r="F28" s="30" t="n"/>
      <c r="G28" s="14" t="n"/>
      <c r="H28" s="14" t="n"/>
      <c r="I28" s="14" t="n"/>
      <c r="J28" s="14" t="n"/>
      <c r="K28" s="14" t="n"/>
    </row>
    <row r="29" ht="22" customHeight="1">
      <c r="B29" s="17">
        <f>IF(C29="","DOC-"&amp;TEXT(COUNTA($C$5:C29),"000"))</f>
        <v/>
      </c>
      <c r="C29" s="12" t="n"/>
      <c r="D29" s="12" t="n"/>
      <c r="E29" s="12" t="n"/>
      <c r="F29" s="29" t="n"/>
      <c r="G29" s="12" t="n"/>
      <c r="H29" s="12" t="n"/>
      <c r="I29" s="12" t="n"/>
      <c r="J29" s="12" t="n"/>
      <c r="K29" s="12" t="n"/>
    </row>
    <row r="30" ht="22" customHeight="1">
      <c r="B30" s="16">
        <f>IF(C30="","DOC-"&amp;TEXT(COUNTA($C$5:C30),"000"))</f>
        <v/>
      </c>
      <c r="C30" s="14" t="n"/>
      <c r="D30" s="14" t="n"/>
      <c r="E30" s="14" t="n"/>
      <c r="F30" s="30" t="n"/>
      <c r="G30" s="14" t="n"/>
      <c r="H30" s="14" t="n"/>
      <c r="I30" s="14" t="n"/>
      <c r="J30" s="14" t="n"/>
      <c r="K30" s="14" t="n"/>
    </row>
    <row r="31" ht="22" customHeight="1">
      <c r="B31" s="17">
        <f>IF(C31="","DOC-"&amp;TEXT(COUNTA($C$5:C31),"000"))</f>
        <v/>
      </c>
      <c r="C31" s="12" t="n"/>
      <c r="D31" s="12" t="n"/>
      <c r="E31" s="12" t="n"/>
      <c r="F31" s="29" t="n"/>
      <c r="G31" s="12" t="n"/>
      <c r="H31" s="12" t="n"/>
      <c r="I31" s="12" t="n"/>
      <c r="J31" s="12" t="n"/>
      <c r="K31" s="12" t="n"/>
    </row>
    <row r="32" ht="22" customHeight="1">
      <c r="B32" s="16">
        <f>IF(C32="","DOC-"&amp;TEXT(COUNTA($C$5:C32),"000"))</f>
        <v/>
      </c>
      <c r="C32" s="14" t="n"/>
      <c r="D32" s="14" t="n"/>
      <c r="E32" s="14" t="n"/>
      <c r="F32" s="30" t="n"/>
      <c r="G32" s="14" t="n"/>
      <c r="H32" s="14" t="n"/>
      <c r="I32" s="14" t="n"/>
      <c r="J32" s="14" t="n"/>
      <c r="K32" s="14" t="n"/>
    </row>
    <row r="33" ht="22" customHeight="1">
      <c r="B33" s="17">
        <f>IF(C33="","DOC-"&amp;TEXT(COUNTA($C$5:C33),"000"))</f>
        <v/>
      </c>
      <c r="C33" s="12" t="n"/>
      <c r="D33" s="12" t="n"/>
      <c r="E33" s="12" t="n"/>
      <c r="F33" s="29" t="n"/>
      <c r="G33" s="12" t="n"/>
      <c r="H33" s="12" t="n"/>
      <c r="I33" s="12" t="n"/>
      <c r="J33" s="12" t="n"/>
      <c r="K33" s="12" t="n"/>
    </row>
    <row r="34" ht="22" customHeight="1">
      <c r="B34" s="16">
        <f>IF(C34="","DOC-"&amp;TEXT(COUNTA($C$5:C34),"000"))</f>
        <v/>
      </c>
      <c r="C34" s="14" t="n"/>
      <c r="D34" s="14" t="n"/>
      <c r="E34" s="14" t="n"/>
      <c r="F34" s="30" t="n"/>
      <c r="G34" s="14" t="n"/>
      <c r="H34" s="14" t="n"/>
      <c r="I34" s="14" t="n"/>
      <c r="J34" s="14" t="n"/>
      <c r="K34" s="14" t="n"/>
    </row>
    <row r="35" ht="22" customHeight="1">
      <c r="B35" s="17">
        <f>IF(C35="","DOC-"&amp;TEXT(COUNTA($C$5:C35),"000"))</f>
        <v/>
      </c>
      <c r="C35" s="12" t="n"/>
      <c r="D35" s="12" t="n"/>
      <c r="E35" s="12" t="n"/>
      <c r="F35" s="29" t="n"/>
      <c r="G35" s="12" t="n"/>
      <c r="H35" s="12" t="n"/>
      <c r="I35" s="12" t="n"/>
      <c r="J35" s="12" t="n"/>
      <c r="K35" s="12" t="n"/>
    </row>
    <row r="36" ht="22" customHeight="1">
      <c r="B36" s="16">
        <f>IF(C36="","DOC-"&amp;TEXT(COUNTA($C$5:C36),"000"))</f>
        <v/>
      </c>
      <c r="C36" s="14" t="n"/>
      <c r="D36" s="14" t="n"/>
      <c r="E36" s="14" t="n"/>
      <c r="F36" s="30" t="n"/>
      <c r="G36" s="14" t="n"/>
      <c r="H36" s="14" t="n"/>
      <c r="I36" s="14" t="n"/>
      <c r="J36" s="14" t="n"/>
      <c r="K36" s="14" t="n"/>
    </row>
    <row r="37" ht="22" customHeight="1">
      <c r="B37" s="17">
        <f>IF(C37="","DOC-"&amp;TEXT(COUNTA($C$5:C37),"000"))</f>
        <v/>
      </c>
      <c r="C37" s="12" t="n"/>
      <c r="D37" s="12" t="n"/>
      <c r="E37" s="12" t="n"/>
      <c r="F37" s="29" t="n"/>
      <c r="G37" s="12" t="n"/>
      <c r="H37" s="12" t="n"/>
      <c r="I37" s="12" t="n"/>
      <c r="J37" s="12" t="n"/>
      <c r="K37" s="12" t="n"/>
    </row>
    <row r="38" ht="22" customHeight="1">
      <c r="B38" s="16">
        <f>IF(C38="","DOC-"&amp;TEXT(COUNTA($C$5:C38),"000"))</f>
        <v/>
      </c>
      <c r="C38" s="14" t="n"/>
      <c r="D38" s="14" t="n"/>
      <c r="E38" s="14" t="n"/>
      <c r="F38" s="30" t="n"/>
      <c r="G38" s="14" t="n"/>
      <c r="H38" s="14" t="n"/>
      <c r="I38" s="14" t="n"/>
      <c r="J38" s="14" t="n"/>
      <c r="K38" s="14" t="n"/>
    </row>
    <row r="39" ht="22" customHeight="1">
      <c r="B39" s="17">
        <f>IF(C39="","DOC-"&amp;TEXT(COUNTA($C$5:C39),"000"))</f>
        <v/>
      </c>
      <c r="C39" s="12" t="n"/>
      <c r="D39" s="12" t="n"/>
      <c r="E39" s="12" t="n"/>
      <c r="F39" s="29" t="n"/>
      <c r="G39" s="12" t="n"/>
      <c r="H39" s="12" t="n"/>
      <c r="I39" s="12" t="n"/>
      <c r="J39" s="12" t="n"/>
      <c r="K39" s="12" t="n"/>
    </row>
    <row r="40" ht="22" customHeight="1">
      <c r="B40" s="16">
        <f>IF(C40="","DOC-"&amp;TEXT(COUNTA($C$5:C40),"000"))</f>
        <v/>
      </c>
      <c r="C40" s="14" t="n"/>
      <c r="D40" s="14" t="n"/>
      <c r="E40" s="14" t="n"/>
      <c r="F40" s="30" t="n"/>
      <c r="G40" s="14" t="n"/>
      <c r="H40" s="14" t="n"/>
      <c r="I40" s="14" t="n"/>
      <c r="J40" s="14" t="n"/>
      <c r="K40" s="14" t="n"/>
    </row>
    <row r="41" ht="22" customHeight="1">
      <c r="B41" s="17">
        <f>IF(C41="","DOC-"&amp;TEXT(COUNTA($C$5:C41),"000"))</f>
        <v/>
      </c>
      <c r="C41" s="12" t="n"/>
      <c r="D41" s="12" t="n"/>
      <c r="E41" s="12" t="n"/>
      <c r="F41" s="29" t="n"/>
      <c r="G41" s="12" t="n"/>
      <c r="H41" s="12" t="n"/>
      <c r="I41" s="12" t="n"/>
      <c r="J41" s="12" t="n"/>
      <c r="K41" s="12" t="n"/>
    </row>
    <row r="42" ht="22" customHeight="1">
      <c r="B42" s="16">
        <f>IF(C42="","DOC-"&amp;TEXT(COUNTA($C$5:C42),"000"))</f>
        <v/>
      </c>
      <c r="C42" s="14" t="n"/>
      <c r="D42" s="14" t="n"/>
      <c r="E42" s="14" t="n"/>
      <c r="F42" s="30" t="n"/>
      <c r="G42" s="14" t="n"/>
      <c r="H42" s="14" t="n"/>
      <c r="I42" s="14" t="n"/>
      <c r="J42" s="14" t="n"/>
      <c r="K42" s="14" t="n"/>
    </row>
    <row r="43" ht="22" customHeight="1">
      <c r="B43" s="17">
        <f>IF(C43="","DOC-"&amp;TEXT(COUNTA($C$5:C43),"000"))</f>
        <v/>
      </c>
      <c r="C43" s="12" t="n"/>
      <c r="D43" s="12" t="n"/>
      <c r="E43" s="12" t="n"/>
      <c r="F43" s="29" t="n"/>
      <c r="G43" s="12" t="n"/>
      <c r="H43" s="12" t="n"/>
      <c r="I43" s="12" t="n"/>
      <c r="J43" s="12" t="n"/>
      <c r="K43" s="12" t="n"/>
    </row>
    <row r="44" ht="22" customHeight="1">
      <c r="B44" s="16">
        <f>IF(C44="","DOC-"&amp;TEXT(COUNTA($C$5:C44),"000"))</f>
        <v/>
      </c>
      <c r="C44" s="14" t="n"/>
      <c r="D44" s="14" t="n"/>
      <c r="E44" s="14" t="n"/>
      <c r="F44" s="30" t="n"/>
      <c r="G44" s="14" t="n"/>
      <c r="H44" s="14" t="n"/>
      <c r="I44" s="14" t="n"/>
      <c r="J44" s="14" t="n"/>
      <c r="K44" s="14" t="n"/>
    </row>
    <row r="45" ht="22" customHeight="1">
      <c r="B45" s="17">
        <f>IF(C45="","DOC-"&amp;TEXT(COUNTA($C$5:C45),"000"))</f>
        <v/>
      </c>
      <c r="C45" s="12" t="n"/>
      <c r="D45" s="12" t="n"/>
      <c r="E45" s="12" t="n"/>
      <c r="F45" s="29" t="n"/>
      <c r="G45" s="12" t="n"/>
      <c r="H45" s="12" t="n"/>
      <c r="I45" s="12" t="n"/>
      <c r="J45" s="12" t="n"/>
      <c r="K45" s="12" t="n"/>
    </row>
    <row r="46" ht="22" customHeight="1">
      <c r="B46" s="16">
        <f>IF(C46="","DOC-"&amp;TEXT(COUNTA($C$5:C46),"000"))</f>
        <v/>
      </c>
      <c r="C46" s="14" t="n"/>
      <c r="D46" s="14" t="n"/>
      <c r="E46" s="14" t="n"/>
      <c r="F46" s="30" t="n"/>
      <c r="G46" s="14" t="n"/>
      <c r="H46" s="14" t="n"/>
      <c r="I46" s="14" t="n"/>
      <c r="J46" s="14" t="n"/>
      <c r="K46" s="14" t="n"/>
    </row>
    <row r="47" ht="22" customHeight="1">
      <c r="B47" s="17">
        <f>IF(C47="","DOC-"&amp;TEXT(COUNTA($C$5:C47),"000"))</f>
        <v/>
      </c>
      <c r="C47" s="12" t="n"/>
      <c r="D47" s="12" t="n"/>
      <c r="E47" s="12" t="n"/>
      <c r="F47" s="29" t="n"/>
      <c r="G47" s="12" t="n"/>
      <c r="H47" s="12" t="n"/>
      <c r="I47" s="12" t="n"/>
      <c r="J47" s="12" t="n"/>
      <c r="K47" s="12" t="n"/>
    </row>
    <row r="48" ht="22" customHeight="1">
      <c r="B48" s="16">
        <f>IF(C48="","DOC-"&amp;TEXT(COUNTA($C$5:C48),"000"))</f>
        <v/>
      </c>
      <c r="C48" s="14" t="n"/>
      <c r="D48" s="14" t="n"/>
      <c r="E48" s="14" t="n"/>
      <c r="F48" s="30" t="n"/>
      <c r="G48" s="14" t="n"/>
      <c r="H48" s="14" t="n"/>
      <c r="I48" s="14" t="n"/>
      <c r="J48" s="14" t="n"/>
      <c r="K48" s="14" t="n"/>
    </row>
    <row r="49" ht="22" customHeight="1">
      <c r="B49" s="17">
        <f>IF(C49="","DOC-"&amp;TEXT(COUNTA($C$5:C49),"000"))</f>
        <v/>
      </c>
      <c r="C49" s="12" t="n"/>
      <c r="D49" s="12" t="n"/>
      <c r="E49" s="12" t="n"/>
      <c r="F49" s="29" t="n"/>
      <c r="G49" s="12" t="n"/>
      <c r="H49" s="12" t="n"/>
      <c r="I49" s="12" t="n"/>
      <c r="J49" s="12" t="n"/>
      <c r="K49" s="12" t="n"/>
    </row>
    <row r="50" ht="22" customHeight="1">
      <c r="B50" s="16">
        <f>IF(C50="","DOC-"&amp;TEXT(COUNTA($C$5:C50),"000"))</f>
        <v/>
      </c>
      <c r="C50" s="14" t="n"/>
      <c r="D50" s="14" t="n"/>
      <c r="E50" s="14" t="n"/>
      <c r="F50" s="30" t="n"/>
      <c r="G50" s="14" t="n"/>
      <c r="H50" s="14" t="n"/>
      <c r="I50" s="14" t="n"/>
      <c r="J50" s="14" t="n"/>
      <c r="K50" s="14" t="n"/>
    </row>
    <row r="51" ht="22" customHeight="1">
      <c r="B51" s="17">
        <f>IF(C51="","DOC-"&amp;TEXT(COUNTA($C$5:C51),"000"))</f>
        <v/>
      </c>
      <c r="C51" s="12" t="n"/>
      <c r="D51" s="12" t="n"/>
      <c r="E51" s="12" t="n"/>
      <c r="F51" s="29" t="n"/>
      <c r="G51" s="12" t="n"/>
      <c r="H51" s="12" t="n"/>
      <c r="I51" s="12" t="n"/>
      <c r="J51" s="12" t="n"/>
      <c r="K51" s="12" t="n"/>
    </row>
    <row r="52" ht="22" customHeight="1">
      <c r="B52" s="16">
        <f>IF(C52="","DOC-"&amp;TEXT(COUNTA($C$5:C52),"000"))</f>
        <v/>
      </c>
      <c r="C52" s="14" t="n"/>
      <c r="D52" s="14" t="n"/>
      <c r="E52" s="14" t="n"/>
      <c r="F52" s="30" t="n"/>
      <c r="G52" s="14" t="n"/>
      <c r="H52" s="14" t="n"/>
      <c r="I52" s="14" t="n"/>
      <c r="J52" s="14" t="n"/>
      <c r="K52" s="14" t="n"/>
    </row>
    <row r="53" ht="22" customHeight="1">
      <c r="B53" s="17">
        <f>IF(C53="","DOC-"&amp;TEXT(COUNTA($C$5:C53),"000"))</f>
        <v/>
      </c>
      <c r="C53" s="12" t="n"/>
      <c r="D53" s="12" t="n"/>
      <c r="E53" s="12" t="n"/>
      <c r="F53" s="29" t="n"/>
      <c r="G53" s="12" t="n"/>
      <c r="H53" s="12" t="n"/>
      <c r="I53" s="12" t="n"/>
      <c r="J53" s="12" t="n"/>
      <c r="K53" s="12" t="n"/>
    </row>
    <row r="54" ht="22" customHeight="1">
      <c r="B54" s="16">
        <f>IF(C54="","DOC-"&amp;TEXT(COUNTA($C$5:C54),"000"))</f>
        <v/>
      </c>
      <c r="C54" s="14" t="n"/>
      <c r="D54" s="14" t="n"/>
      <c r="E54" s="14" t="n"/>
      <c r="F54" s="30" t="n"/>
      <c r="G54" s="14" t="n"/>
      <c r="H54" s="14" t="n"/>
      <c r="I54" s="14" t="n"/>
      <c r="J54" s="14" t="n"/>
      <c r="K54" s="14" t="n"/>
    </row>
    <row r="55" ht="22" customHeight="1">
      <c r="B55" s="17">
        <f>IF(C55="","DOC-"&amp;TEXT(COUNTA($C$5:C55),"000"))</f>
        <v/>
      </c>
      <c r="C55" s="12" t="n"/>
      <c r="D55" s="12" t="n"/>
      <c r="E55" s="12" t="n"/>
      <c r="F55" s="29" t="n"/>
      <c r="G55" s="12" t="n"/>
      <c r="H55" s="12" t="n"/>
      <c r="I55" s="12" t="n"/>
      <c r="J55" s="12" t="n"/>
      <c r="K55" s="12" t="n"/>
    </row>
    <row r="56" ht="22" customHeight="1">
      <c r="B56" s="16">
        <f>IF(C56="","DOC-"&amp;TEXT(COUNTA($C$5:C56),"000"))</f>
        <v/>
      </c>
      <c r="C56" s="14" t="n"/>
      <c r="D56" s="14" t="n"/>
      <c r="E56" s="14" t="n"/>
      <c r="F56" s="30" t="n"/>
      <c r="G56" s="14" t="n"/>
      <c r="H56" s="14" t="n"/>
      <c r="I56" s="14" t="n"/>
      <c r="J56" s="14" t="n"/>
      <c r="K56" s="14" t="n"/>
    </row>
    <row r="57" ht="22" customHeight="1">
      <c r="B57" s="17">
        <f>IF(C57="","DOC-"&amp;TEXT(COUNTA($C$5:C57),"000"))</f>
        <v/>
      </c>
      <c r="C57" s="12" t="n"/>
      <c r="D57" s="12" t="n"/>
      <c r="E57" s="12" t="n"/>
      <c r="F57" s="29" t="n"/>
      <c r="G57" s="12" t="n"/>
      <c r="H57" s="12" t="n"/>
      <c r="I57" s="12" t="n"/>
      <c r="J57" s="12" t="n"/>
      <c r="K57" s="12" t="n"/>
    </row>
    <row r="58" ht="22" customHeight="1">
      <c r="B58" s="16">
        <f>IF(C58="","DOC-"&amp;TEXT(COUNTA($C$5:C58),"000"))</f>
        <v/>
      </c>
      <c r="C58" s="14" t="n"/>
      <c r="D58" s="14" t="n"/>
      <c r="E58" s="14" t="n"/>
      <c r="F58" s="30" t="n"/>
      <c r="G58" s="14" t="n"/>
      <c r="H58" s="14" t="n"/>
      <c r="I58" s="14" t="n"/>
      <c r="J58" s="14" t="n"/>
      <c r="K58" s="14" t="n"/>
    </row>
    <row r="59" ht="22" customHeight="1">
      <c r="B59" s="17">
        <f>IF(C59="","DOC-"&amp;TEXT(COUNTA($C$5:C59),"000"))</f>
        <v/>
      </c>
      <c r="C59" s="12" t="n"/>
      <c r="D59" s="12" t="n"/>
      <c r="E59" s="12" t="n"/>
      <c r="F59" s="29" t="n"/>
      <c r="G59" s="12" t="n"/>
      <c r="H59" s="12" t="n"/>
      <c r="I59" s="12" t="n"/>
      <c r="J59" s="12" t="n"/>
      <c r="K59" s="12" t="n"/>
    </row>
    <row r="60" ht="22" customHeight="1">
      <c r="B60" s="16">
        <f>IF(C60="","DOC-"&amp;TEXT(COUNTA($C$5:C60),"000"))</f>
        <v/>
      </c>
      <c r="C60" s="14" t="n"/>
      <c r="D60" s="14" t="n"/>
      <c r="E60" s="14" t="n"/>
      <c r="F60" s="30" t="n"/>
      <c r="G60" s="14" t="n"/>
      <c r="H60" s="14" t="n"/>
      <c r="I60" s="14" t="n"/>
      <c r="J60" s="14" t="n"/>
      <c r="K60" s="14" t="n"/>
    </row>
    <row r="61" ht="22" customHeight="1">
      <c r="B61" s="17">
        <f>IF(C61="","DOC-"&amp;TEXT(COUNTA($C$5:C61),"000"))</f>
        <v/>
      </c>
      <c r="C61" s="12" t="n"/>
      <c r="D61" s="12" t="n"/>
      <c r="E61" s="12" t="n"/>
      <c r="F61" s="29" t="n"/>
      <c r="G61" s="12" t="n"/>
      <c r="H61" s="12" t="n"/>
      <c r="I61" s="12" t="n"/>
      <c r="J61" s="12" t="n"/>
      <c r="K61" s="12" t="n"/>
    </row>
    <row r="62" ht="22" customHeight="1">
      <c r="B62" s="16">
        <f>IF(C62="","DOC-"&amp;TEXT(COUNTA($C$5:C62),"000"))</f>
        <v/>
      </c>
      <c r="C62" s="14" t="n"/>
      <c r="D62" s="14" t="n"/>
      <c r="E62" s="14" t="n"/>
      <c r="F62" s="30" t="n"/>
      <c r="G62" s="14" t="n"/>
      <c r="H62" s="14" t="n"/>
      <c r="I62" s="14" t="n"/>
      <c r="J62" s="14" t="n"/>
      <c r="K62" s="14" t="n"/>
    </row>
    <row r="63" ht="22" customHeight="1">
      <c r="B63" s="17">
        <f>IF(C63="","DOC-"&amp;TEXT(COUNTA($C$5:C63),"000"))</f>
        <v/>
      </c>
      <c r="C63" s="12" t="n"/>
      <c r="D63" s="12" t="n"/>
      <c r="E63" s="12" t="n"/>
      <c r="F63" s="29" t="n"/>
      <c r="G63" s="12" t="n"/>
      <c r="H63" s="12" t="n"/>
      <c r="I63" s="12" t="n"/>
      <c r="J63" s="12" t="n"/>
      <c r="K63" s="12" t="n"/>
    </row>
    <row r="64" ht="22" customHeight="1">
      <c r="B64" s="16">
        <f>IF(C64="","DOC-"&amp;TEXT(COUNTA($C$5:C64),"000"))</f>
        <v/>
      </c>
      <c r="C64" s="14" t="n"/>
      <c r="D64" s="14" t="n"/>
      <c r="E64" s="14" t="n"/>
      <c r="F64" s="30" t="n"/>
      <c r="G64" s="14" t="n"/>
      <c r="H64" s="14" t="n"/>
      <c r="I64" s="14" t="n"/>
      <c r="J64" s="14" t="n"/>
      <c r="K64" s="14" t="n"/>
    </row>
    <row r="65" ht="22" customHeight="1">
      <c r="B65" s="17">
        <f>IF(C65="","DOC-"&amp;TEXT(COUNTA($C$5:C65),"000"))</f>
        <v/>
      </c>
      <c r="C65" s="12" t="n"/>
      <c r="D65" s="12" t="n"/>
      <c r="E65" s="12" t="n"/>
      <c r="F65" s="29" t="n"/>
      <c r="G65" s="12" t="n"/>
      <c r="H65" s="12" t="n"/>
      <c r="I65" s="12" t="n"/>
      <c r="J65" s="12" t="n"/>
      <c r="K65" s="12" t="n"/>
    </row>
    <row r="66" ht="22" customHeight="1">
      <c r="B66" s="16">
        <f>IF(C66="","DOC-"&amp;TEXT(COUNTA($C$5:C66),"000"))</f>
        <v/>
      </c>
      <c r="C66" s="14" t="n"/>
      <c r="D66" s="14" t="n"/>
      <c r="E66" s="14" t="n"/>
      <c r="F66" s="30" t="n"/>
      <c r="G66" s="14" t="n"/>
      <c r="H66" s="14" t="n"/>
      <c r="I66" s="14" t="n"/>
      <c r="J66" s="14" t="n"/>
      <c r="K66" s="14" t="n"/>
    </row>
    <row r="67" ht="22" customHeight="1">
      <c r="B67" s="17">
        <f>IF(C67="","DOC-"&amp;TEXT(COUNTA($C$5:C67),"000"))</f>
        <v/>
      </c>
      <c r="C67" s="12" t="n"/>
      <c r="D67" s="12" t="n"/>
      <c r="E67" s="12" t="n"/>
      <c r="F67" s="29" t="n"/>
      <c r="G67" s="12" t="n"/>
      <c r="H67" s="12" t="n"/>
      <c r="I67" s="12" t="n"/>
      <c r="J67" s="12" t="n"/>
      <c r="K67" s="12" t="n"/>
    </row>
    <row r="68" ht="22" customHeight="1">
      <c r="B68" s="16">
        <f>IF(C68="","DOC-"&amp;TEXT(COUNTA($C$5:C68),"000"))</f>
        <v/>
      </c>
      <c r="C68" s="14" t="n"/>
      <c r="D68" s="14" t="n"/>
      <c r="E68" s="14" t="n"/>
      <c r="F68" s="30" t="n"/>
      <c r="G68" s="14" t="n"/>
      <c r="H68" s="14" t="n"/>
      <c r="I68" s="14" t="n"/>
      <c r="J68" s="14" t="n"/>
      <c r="K68" s="14" t="n"/>
    </row>
    <row r="69" ht="22" customHeight="1">
      <c r="B69" s="17">
        <f>IF(C69="","DOC-"&amp;TEXT(COUNTA($C$5:C69),"000"))</f>
        <v/>
      </c>
      <c r="C69" s="12" t="n"/>
      <c r="D69" s="12" t="n"/>
      <c r="E69" s="12" t="n"/>
      <c r="F69" s="29" t="n"/>
      <c r="G69" s="12" t="n"/>
      <c r="H69" s="12" t="n"/>
      <c r="I69" s="12" t="n"/>
      <c r="J69" s="12" t="n"/>
      <c r="K69" s="12" t="n"/>
    </row>
    <row r="70" ht="22" customHeight="1">
      <c r="B70" s="16">
        <f>IF(C70="","DOC-"&amp;TEXT(COUNTA($C$5:C70),"000"))</f>
        <v/>
      </c>
      <c r="C70" s="14" t="n"/>
      <c r="D70" s="14" t="n"/>
      <c r="E70" s="14" t="n"/>
      <c r="F70" s="30" t="n"/>
      <c r="G70" s="14" t="n"/>
      <c r="H70" s="14" t="n"/>
      <c r="I70" s="14" t="n"/>
      <c r="J70" s="14" t="n"/>
      <c r="K70" s="14" t="n"/>
    </row>
    <row r="71" ht="22" customHeight="1">
      <c r="B71" s="17">
        <f>IF(C71="","DOC-"&amp;TEXT(COUNTA($C$5:C71),"000"))</f>
        <v/>
      </c>
      <c r="C71" s="12" t="n"/>
      <c r="D71" s="12" t="n"/>
      <c r="E71" s="12" t="n"/>
      <c r="F71" s="29" t="n"/>
      <c r="G71" s="12" t="n"/>
      <c r="H71" s="12" t="n"/>
      <c r="I71" s="12" t="n"/>
      <c r="J71" s="12" t="n"/>
      <c r="K71" s="12" t="n"/>
    </row>
    <row r="72" ht="22" customHeight="1">
      <c r="B72" s="16">
        <f>IF(C72="","DOC-"&amp;TEXT(COUNTA($C$5:C72),"000"))</f>
        <v/>
      </c>
      <c r="C72" s="14" t="n"/>
      <c r="D72" s="14" t="n"/>
      <c r="E72" s="14" t="n"/>
      <c r="F72" s="30" t="n"/>
      <c r="G72" s="14" t="n"/>
      <c r="H72" s="14" t="n"/>
      <c r="I72" s="14" t="n"/>
      <c r="J72" s="14" t="n"/>
      <c r="K72" s="14" t="n"/>
    </row>
    <row r="73" ht="22" customHeight="1">
      <c r="B73" s="17">
        <f>IF(C73="","DOC-"&amp;TEXT(COUNTA($C$5:C73),"000"))</f>
        <v/>
      </c>
      <c r="C73" s="12" t="n"/>
      <c r="D73" s="12" t="n"/>
      <c r="E73" s="12" t="n"/>
      <c r="F73" s="29" t="n"/>
      <c r="G73" s="12" t="n"/>
      <c r="H73" s="12" t="n"/>
      <c r="I73" s="12" t="n"/>
      <c r="J73" s="12" t="n"/>
      <c r="K73" s="12" t="n"/>
    </row>
    <row r="74" ht="22" customHeight="1">
      <c r="B74" s="16">
        <f>IF(C74="","DOC-"&amp;TEXT(COUNTA($C$5:C74),"000"))</f>
        <v/>
      </c>
      <c r="C74" s="14" t="n"/>
      <c r="D74" s="14" t="n"/>
      <c r="E74" s="14" t="n"/>
      <c r="F74" s="30" t="n"/>
      <c r="G74" s="14" t="n"/>
      <c r="H74" s="14" t="n"/>
      <c r="I74" s="14" t="n"/>
      <c r="J74" s="14" t="n"/>
      <c r="K74" s="14" t="n"/>
    </row>
    <row r="75" ht="22" customHeight="1">
      <c r="B75" s="17">
        <f>IF(C75="","DOC-"&amp;TEXT(COUNTA($C$5:C75),"000"))</f>
        <v/>
      </c>
      <c r="C75" s="12" t="n"/>
      <c r="D75" s="12" t="n"/>
      <c r="E75" s="12" t="n"/>
      <c r="F75" s="29" t="n"/>
      <c r="G75" s="12" t="n"/>
      <c r="H75" s="12" t="n"/>
      <c r="I75" s="12" t="n"/>
      <c r="J75" s="12" t="n"/>
      <c r="K75" s="12" t="n"/>
    </row>
    <row r="76" ht="22" customHeight="1">
      <c r="B76" s="16">
        <f>IF(C76="","DOC-"&amp;TEXT(COUNTA($C$5:C76),"000"))</f>
        <v/>
      </c>
      <c r="C76" s="14" t="n"/>
      <c r="D76" s="14" t="n"/>
      <c r="E76" s="14" t="n"/>
      <c r="F76" s="30" t="n"/>
      <c r="G76" s="14" t="n"/>
      <c r="H76" s="14" t="n"/>
      <c r="I76" s="14" t="n"/>
      <c r="J76" s="14" t="n"/>
      <c r="K76" s="14" t="n"/>
    </row>
    <row r="77" ht="22" customHeight="1">
      <c r="B77" s="17">
        <f>IF(C77="","DOC-"&amp;TEXT(COUNTA($C$5:C77),"000"))</f>
        <v/>
      </c>
      <c r="C77" s="12" t="n"/>
      <c r="D77" s="12" t="n"/>
      <c r="E77" s="12" t="n"/>
      <c r="F77" s="29" t="n"/>
      <c r="G77" s="12" t="n"/>
      <c r="H77" s="12" t="n"/>
      <c r="I77" s="12" t="n"/>
      <c r="J77" s="12" t="n"/>
      <c r="K77" s="12" t="n"/>
    </row>
    <row r="78" ht="22" customHeight="1">
      <c r="B78" s="16">
        <f>IF(C78="","DOC-"&amp;TEXT(COUNTA($C$5:C78),"000"))</f>
        <v/>
      </c>
      <c r="C78" s="14" t="n"/>
      <c r="D78" s="14" t="n"/>
      <c r="E78" s="14" t="n"/>
      <c r="F78" s="30" t="n"/>
      <c r="G78" s="14" t="n"/>
      <c r="H78" s="14" t="n"/>
      <c r="I78" s="14" t="n"/>
      <c r="J78" s="14" t="n"/>
      <c r="K78" s="14" t="n"/>
    </row>
    <row r="79" ht="22" customHeight="1">
      <c r="B79" s="17">
        <f>IF(C79="","DOC-"&amp;TEXT(COUNTA($C$5:C79),"000"))</f>
        <v/>
      </c>
      <c r="C79" s="12" t="n"/>
      <c r="D79" s="12" t="n"/>
      <c r="E79" s="12" t="n"/>
      <c r="F79" s="29" t="n"/>
      <c r="G79" s="12" t="n"/>
      <c r="H79" s="12" t="n"/>
      <c r="I79" s="12" t="n"/>
      <c r="J79" s="12" t="n"/>
      <c r="K79" s="12" t="n"/>
    </row>
    <row r="80" ht="22" customHeight="1">
      <c r="B80" s="16">
        <f>IF(C80="","DOC-"&amp;TEXT(COUNTA($C$5:C80),"000"))</f>
        <v/>
      </c>
      <c r="C80" s="14" t="n"/>
      <c r="D80" s="14" t="n"/>
      <c r="E80" s="14" t="n"/>
      <c r="F80" s="30" t="n"/>
      <c r="G80" s="14" t="n"/>
      <c r="H80" s="14" t="n"/>
      <c r="I80" s="14" t="n"/>
      <c r="J80" s="14" t="n"/>
      <c r="K80" s="14" t="n"/>
    </row>
    <row r="81" ht="22" customHeight="1">
      <c r="B81" s="17">
        <f>IF(C81="","DOC-"&amp;TEXT(COUNTA($C$5:C81),"000"))</f>
        <v/>
      </c>
      <c r="C81" s="12" t="n"/>
      <c r="D81" s="12" t="n"/>
      <c r="E81" s="12" t="n"/>
      <c r="F81" s="29" t="n"/>
      <c r="G81" s="12" t="n"/>
      <c r="H81" s="12" t="n"/>
      <c r="I81" s="12" t="n"/>
      <c r="J81" s="12" t="n"/>
      <c r="K81" s="12" t="n"/>
    </row>
    <row r="82" ht="22" customHeight="1">
      <c r="B82" s="16">
        <f>IF(C82="","DOC-"&amp;TEXT(COUNTA($C$5:C82),"000"))</f>
        <v/>
      </c>
      <c r="C82" s="14" t="n"/>
      <c r="D82" s="14" t="n"/>
      <c r="E82" s="14" t="n"/>
      <c r="F82" s="30" t="n"/>
      <c r="G82" s="14" t="n"/>
      <c r="H82" s="14" t="n"/>
      <c r="I82" s="14" t="n"/>
      <c r="J82" s="14" t="n"/>
      <c r="K82" s="14" t="n"/>
    </row>
    <row r="83" ht="22" customHeight="1">
      <c r="B83" s="17">
        <f>IF(C83="","DOC-"&amp;TEXT(COUNTA($C$5:C83),"000"))</f>
        <v/>
      </c>
      <c r="C83" s="12" t="n"/>
      <c r="D83" s="12" t="n"/>
      <c r="E83" s="12" t="n"/>
      <c r="F83" s="29" t="n"/>
      <c r="G83" s="12" t="n"/>
      <c r="H83" s="12" t="n"/>
      <c r="I83" s="12" t="n"/>
      <c r="J83" s="12" t="n"/>
      <c r="K83" s="12" t="n"/>
    </row>
    <row r="84" ht="22" customHeight="1">
      <c r="B84" s="16">
        <f>IF(C84="","DOC-"&amp;TEXT(COUNTA($C$5:C84),"000"))</f>
        <v/>
      </c>
      <c r="C84" s="14" t="n"/>
      <c r="D84" s="14" t="n"/>
      <c r="E84" s="14" t="n"/>
      <c r="F84" s="30" t="n"/>
      <c r="G84" s="14" t="n"/>
      <c r="H84" s="14" t="n"/>
      <c r="I84" s="14" t="n"/>
      <c r="J84" s="14" t="n"/>
      <c r="K84" s="14" t="n"/>
    </row>
    <row r="85" ht="22" customHeight="1">
      <c r="B85" s="17">
        <f>IF(C85="","DOC-"&amp;TEXT(COUNTA($C$5:C85),"000"))</f>
        <v/>
      </c>
      <c r="C85" s="12" t="n"/>
      <c r="D85" s="12" t="n"/>
      <c r="E85" s="12" t="n"/>
      <c r="F85" s="29" t="n"/>
      <c r="G85" s="12" t="n"/>
      <c r="H85" s="12" t="n"/>
      <c r="I85" s="12" t="n"/>
      <c r="J85" s="12" t="n"/>
      <c r="K85" s="12" t="n"/>
    </row>
    <row r="86" ht="22" customHeight="1">
      <c r="B86" s="16">
        <f>IF(C86="","DOC-"&amp;TEXT(COUNTA($C$5:C86),"000"))</f>
        <v/>
      </c>
      <c r="C86" s="14" t="n"/>
      <c r="D86" s="14" t="n"/>
      <c r="E86" s="14" t="n"/>
      <c r="F86" s="30" t="n"/>
      <c r="G86" s="14" t="n"/>
      <c r="H86" s="14" t="n"/>
      <c r="I86" s="14" t="n"/>
      <c r="J86" s="14" t="n"/>
      <c r="K86" s="14" t="n"/>
    </row>
    <row r="87" ht="22" customHeight="1">
      <c r="B87" s="17">
        <f>IF(C87="","DOC-"&amp;TEXT(COUNTA($C$5:C87),"000"))</f>
        <v/>
      </c>
      <c r="C87" s="12" t="n"/>
      <c r="D87" s="12" t="n"/>
      <c r="E87" s="12" t="n"/>
      <c r="F87" s="29" t="n"/>
      <c r="G87" s="12" t="n"/>
      <c r="H87" s="12" t="n"/>
      <c r="I87" s="12" t="n"/>
      <c r="J87" s="12" t="n"/>
      <c r="K87" s="12" t="n"/>
    </row>
    <row r="88" ht="22" customHeight="1">
      <c r="B88" s="16">
        <f>IF(C88="","DOC-"&amp;TEXT(COUNTA($C$5:C88),"000"))</f>
        <v/>
      </c>
      <c r="C88" s="14" t="n"/>
      <c r="D88" s="14" t="n"/>
      <c r="E88" s="14" t="n"/>
      <c r="F88" s="30" t="n"/>
      <c r="G88" s="14" t="n"/>
      <c r="H88" s="14" t="n"/>
      <c r="I88" s="14" t="n"/>
      <c r="J88" s="14" t="n"/>
      <c r="K88" s="14" t="n"/>
    </row>
    <row r="89" ht="22" customHeight="1">
      <c r="B89" s="17">
        <f>IF(C89="","DOC-"&amp;TEXT(COUNTA($C$5:C89),"000"))</f>
        <v/>
      </c>
      <c r="C89" s="12" t="n"/>
      <c r="D89" s="12" t="n"/>
      <c r="E89" s="12" t="n"/>
      <c r="F89" s="29" t="n"/>
      <c r="G89" s="12" t="n"/>
      <c r="H89" s="12" t="n"/>
      <c r="I89" s="12" t="n"/>
      <c r="J89" s="12" t="n"/>
      <c r="K89" s="12" t="n"/>
    </row>
    <row r="90" ht="22" customHeight="1">
      <c r="B90" s="16">
        <f>IF(C90="","DOC-"&amp;TEXT(COUNTA($C$5:C90),"000"))</f>
        <v/>
      </c>
      <c r="C90" s="14" t="n"/>
      <c r="D90" s="14" t="n"/>
      <c r="E90" s="14" t="n"/>
      <c r="F90" s="30" t="n"/>
      <c r="G90" s="14" t="n"/>
      <c r="H90" s="14" t="n"/>
      <c r="I90" s="14" t="n"/>
      <c r="J90" s="14" t="n"/>
      <c r="K90" s="14" t="n"/>
    </row>
    <row r="91" ht="22" customHeight="1">
      <c r="B91" s="17">
        <f>IF(C91="","DOC-"&amp;TEXT(COUNTA($C$5:C91),"000"))</f>
        <v/>
      </c>
      <c r="C91" s="12" t="n"/>
      <c r="D91" s="12" t="n"/>
      <c r="E91" s="12" t="n"/>
      <c r="F91" s="29" t="n"/>
      <c r="G91" s="12" t="n"/>
      <c r="H91" s="12" t="n"/>
      <c r="I91" s="12" t="n"/>
      <c r="J91" s="12" t="n"/>
      <c r="K91" s="12" t="n"/>
    </row>
    <row r="92" ht="22" customHeight="1">
      <c r="B92" s="16">
        <f>IF(C92="","DOC-"&amp;TEXT(COUNTA($C$5:C92),"000"))</f>
        <v/>
      </c>
      <c r="C92" s="14" t="n"/>
      <c r="D92" s="14" t="n"/>
      <c r="E92" s="14" t="n"/>
      <c r="F92" s="30" t="n"/>
      <c r="G92" s="14" t="n"/>
      <c r="H92" s="14" t="n"/>
      <c r="I92" s="14" t="n"/>
      <c r="J92" s="14" t="n"/>
      <c r="K92" s="14" t="n"/>
    </row>
    <row r="93" ht="22" customHeight="1">
      <c r="B93" s="17">
        <f>IF(C93="","DOC-"&amp;TEXT(COUNTA($C$5:C93),"000"))</f>
        <v/>
      </c>
      <c r="C93" s="12" t="n"/>
      <c r="D93" s="12" t="n"/>
      <c r="E93" s="12" t="n"/>
      <c r="F93" s="29" t="n"/>
      <c r="G93" s="12" t="n"/>
      <c r="H93" s="12" t="n"/>
      <c r="I93" s="12" t="n"/>
      <c r="J93" s="12" t="n"/>
      <c r="K93" s="12" t="n"/>
    </row>
    <row r="94" ht="22" customHeight="1">
      <c r="B94" s="16">
        <f>IF(C94="","DOC-"&amp;TEXT(COUNTA($C$5:C94),"000"))</f>
        <v/>
      </c>
      <c r="C94" s="14" t="n"/>
      <c r="D94" s="14" t="n"/>
      <c r="E94" s="14" t="n"/>
      <c r="F94" s="30" t="n"/>
      <c r="G94" s="14" t="n"/>
      <c r="H94" s="14" t="n"/>
      <c r="I94" s="14" t="n"/>
      <c r="J94" s="14" t="n"/>
      <c r="K94" s="14" t="n"/>
    </row>
    <row r="95" ht="22" customHeight="1">
      <c r="B95" s="17">
        <f>IF(C95="","DOC-"&amp;TEXT(COUNTA($C$5:C95),"000"))</f>
        <v/>
      </c>
      <c r="C95" s="12" t="n"/>
      <c r="D95" s="12" t="n"/>
      <c r="E95" s="12" t="n"/>
      <c r="F95" s="29" t="n"/>
      <c r="G95" s="12" t="n"/>
      <c r="H95" s="12" t="n"/>
      <c r="I95" s="12" t="n"/>
      <c r="J95" s="12" t="n"/>
      <c r="K95" s="12" t="n"/>
    </row>
    <row r="96" ht="22" customHeight="1">
      <c r="B96" s="16">
        <f>IF(C96="","DOC-"&amp;TEXT(COUNTA($C$5:C96),"000"))</f>
        <v/>
      </c>
      <c r="C96" s="14" t="n"/>
      <c r="D96" s="14" t="n"/>
      <c r="E96" s="14" t="n"/>
      <c r="F96" s="30" t="n"/>
      <c r="G96" s="14" t="n"/>
      <c r="H96" s="14" t="n"/>
      <c r="I96" s="14" t="n"/>
      <c r="J96" s="14" t="n"/>
      <c r="K96" s="14" t="n"/>
    </row>
    <row r="97" ht="22" customHeight="1">
      <c r="B97" s="17">
        <f>IF(C97="","DOC-"&amp;TEXT(COUNTA($C$5:C97),"000"))</f>
        <v/>
      </c>
      <c r="C97" s="12" t="n"/>
      <c r="D97" s="12" t="n"/>
      <c r="E97" s="12" t="n"/>
      <c r="F97" s="29" t="n"/>
      <c r="G97" s="12" t="n"/>
      <c r="H97" s="12" t="n"/>
      <c r="I97" s="12" t="n"/>
      <c r="J97" s="12" t="n"/>
      <c r="K97" s="12" t="n"/>
    </row>
    <row r="98" ht="22" customHeight="1">
      <c r="B98" s="16">
        <f>IF(C98="","DOC-"&amp;TEXT(COUNTA($C$5:C98),"000"))</f>
        <v/>
      </c>
      <c r="C98" s="14" t="n"/>
      <c r="D98" s="14" t="n"/>
      <c r="E98" s="14" t="n"/>
      <c r="F98" s="30" t="n"/>
      <c r="G98" s="14" t="n"/>
      <c r="H98" s="14" t="n"/>
      <c r="I98" s="14" t="n"/>
      <c r="J98" s="14" t="n"/>
      <c r="K98" s="14" t="n"/>
    </row>
    <row r="99" ht="22" customHeight="1">
      <c r="B99" s="17">
        <f>IF(C99="","DOC-"&amp;TEXT(COUNTA($C$5:C99),"000"))</f>
        <v/>
      </c>
      <c r="C99" s="12" t="n"/>
      <c r="D99" s="12" t="n"/>
      <c r="E99" s="12" t="n"/>
      <c r="F99" s="29" t="n"/>
      <c r="G99" s="12" t="n"/>
      <c r="H99" s="12" t="n"/>
      <c r="I99" s="12" t="n"/>
      <c r="J99" s="12" t="n"/>
      <c r="K99" s="12" t="n"/>
    </row>
    <row r="100" ht="22" customHeight="1">
      <c r="B100" s="16">
        <f>IF(C100="","DOC-"&amp;TEXT(COUNTA($C$5:C100),"000"))</f>
        <v/>
      </c>
      <c r="C100" s="14" t="n"/>
      <c r="D100" s="14" t="n"/>
      <c r="E100" s="14" t="n"/>
      <c r="F100" s="30" t="n"/>
      <c r="G100" s="14" t="n"/>
      <c r="H100" s="14" t="n"/>
      <c r="I100" s="14" t="n"/>
      <c r="J100" s="14" t="n"/>
      <c r="K100" s="14" t="n"/>
    </row>
    <row r="101" ht="22" customHeight="1">
      <c r="B101" s="17">
        <f>IF(C101="","DOC-"&amp;TEXT(COUNTA($C$5:C101),"000"))</f>
        <v/>
      </c>
      <c r="C101" s="12" t="n"/>
      <c r="D101" s="12" t="n"/>
      <c r="E101" s="12" t="n"/>
      <c r="F101" s="29" t="n"/>
      <c r="G101" s="12" t="n"/>
      <c r="H101" s="12" t="n"/>
      <c r="I101" s="12" t="n"/>
      <c r="J101" s="12" t="n"/>
      <c r="K101" s="12" t="n"/>
    </row>
    <row r="102" ht="22" customHeight="1">
      <c r="B102" s="16">
        <f>IF(C102="","DOC-"&amp;TEXT(COUNTA($C$5:C102),"000"))</f>
        <v/>
      </c>
      <c r="C102" s="14" t="n"/>
      <c r="D102" s="14" t="n"/>
      <c r="E102" s="14" t="n"/>
      <c r="F102" s="30" t="n"/>
      <c r="G102" s="14" t="n"/>
      <c r="H102" s="14" t="n"/>
      <c r="I102" s="14" t="n"/>
      <c r="J102" s="14" t="n"/>
      <c r="K102" s="14" t="n"/>
    </row>
    <row r="103" ht="22" customHeight="1">
      <c r="B103" s="17">
        <f>IF(C103="","DOC-"&amp;TEXT(COUNTA($C$5:C103),"000"))</f>
        <v/>
      </c>
      <c r="C103" s="12" t="n"/>
      <c r="D103" s="12" t="n"/>
      <c r="E103" s="12" t="n"/>
      <c r="F103" s="29" t="n"/>
      <c r="G103" s="12" t="n"/>
      <c r="H103" s="12" t="n"/>
      <c r="I103" s="12" t="n"/>
      <c r="J103" s="12" t="n"/>
      <c r="K103" s="12" t="n"/>
    </row>
    <row r="104" ht="22" customHeight="1">
      <c r="B104" s="16">
        <f>IF(C104="","DOC-"&amp;TEXT(COUNTA($C$5:C104),"000"))</f>
        <v/>
      </c>
      <c r="C104" s="14" t="n"/>
      <c r="D104" s="14" t="n"/>
      <c r="E104" s="14" t="n"/>
      <c r="F104" s="30" t="n"/>
      <c r="G104" s="14" t="n"/>
      <c r="H104" s="14" t="n"/>
      <c r="I104" s="14" t="n"/>
      <c r="J104" s="14" t="n"/>
      <c r="K104" s="14" t="n"/>
    </row>
    <row r="105" ht="22" customHeight="1">
      <c r="B105" s="17">
        <f>IF(C105="","DOC-"&amp;TEXT(COUNTA($C$5:C105),"000"))</f>
        <v/>
      </c>
      <c r="C105" s="12" t="n"/>
      <c r="D105" s="12" t="n"/>
      <c r="E105" s="12" t="n"/>
      <c r="F105" s="29" t="n"/>
      <c r="G105" s="12" t="n"/>
      <c r="H105" s="12" t="n"/>
      <c r="I105" s="12" t="n"/>
      <c r="J105" s="12" t="n"/>
      <c r="K105" s="12" t="n"/>
    </row>
    <row r="106" ht="22" customHeight="1">
      <c r="B106" s="16">
        <f>IF(C106="","DOC-"&amp;TEXT(COUNTA($C$5:C106),"000"))</f>
        <v/>
      </c>
      <c r="C106" s="14" t="n"/>
      <c r="D106" s="14" t="n"/>
      <c r="E106" s="14" t="n"/>
      <c r="F106" s="30" t="n"/>
      <c r="G106" s="14" t="n"/>
      <c r="H106" s="14" t="n"/>
      <c r="I106" s="14" t="n"/>
      <c r="J106" s="14" t="n"/>
      <c r="K106" s="14" t="n"/>
    </row>
    <row r="107" ht="22" customHeight="1">
      <c r="B107" s="17">
        <f>IF(C107="","DOC-"&amp;TEXT(COUNTA($C$5:C107),"000"))</f>
        <v/>
      </c>
      <c r="C107" s="12" t="n"/>
      <c r="D107" s="12" t="n"/>
      <c r="E107" s="12" t="n"/>
      <c r="F107" s="29" t="n"/>
      <c r="G107" s="12" t="n"/>
      <c r="H107" s="12" t="n"/>
      <c r="I107" s="12" t="n"/>
      <c r="J107" s="12" t="n"/>
      <c r="K107" s="12" t="n"/>
    </row>
    <row r="108" ht="22" customHeight="1">
      <c r="B108" s="16">
        <f>IF(C108="","DOC-"&amp;TEXT(COUNTA($C$5:C108),"000"))</f>
        <v/>
      </c>
      <c r="C108" s="14" t="n"/>
      <c r="D108" s="14" t="n"/>
      <c r="E108" s="14" t="n"/>
      <c r="F108" s="30" t="n"/>
      <c r="G108" s="14" t="n"/>
      <c r="H108" s="14" t="n"/>
      <c r="I108" s="14" t="n"/>
      <c r="J108" s="14" t="n"/>
      <c r="K108" s="14" t="n"/>
    </row>
    <row r="109" ht="22" customHeight="1">
      <c r="B109" s="17">
        <f>IF(C109="","DOC-"&amp;TEXT(COUNTA($C$5:C109),"000"))</f>
        <v/>
      </c>
      <c r="C109" s="12" t="n"/>
      <c r="D109" s="12" t="n"/>
      <c r="E109" s="12" t="n"/>
      <c r="F109" s="29" t="n"/>
      <c r="G109" s="12" t="n"/>
      <c r="H109" s="12" t="n"/>
      <c r="I109" s="12" t="n"/>
      <c r="J109" s="12" t="n"/>
      <c r="K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Documents suivis</t>
        </is>
      </c>
      <c r="D112" s="3" t="inlineStr">
        <is>
          <t>En cours</t>
        </is>
      </c>
      <c r="F112" s="3" t="inlineStr">
        <is>
          <t>Archives</t>
        </is>
      </c>
    </row>
    <row r="113">
      <c r="B113" s="4">
        <f>COUNTIF(B5:B104,"&lt;&gt;")</f>
        <v/>
      </c>
      <c r="D113" s="4">
        <f>COUNTIF(K5:K104,"En cours")</f>
        <v/>
      </c>
      <c r="F113" s="4">
        <f>COUNTIF(K5:K104,"Archive")</f>
        <v/>
      </c>
    </row>
  </sheetData>
  <mergeCells count="3">
    <mergeCell ref="B111:K111"/>
    <mergeCell ref="B3:K3"/>
    <mergeCell ref="B2:K2"/>
  </mergeCells>
  <conditionalFormatting sqref="K5:K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1">
      <formula>"En attente"</formula>
    </cfRule>
    <cfRule type="cellIs" priority="77" operator="equal" dxfId="1">
      <formula>"A renouveler"</formula>
    </cfRule>
    <cfRule type="cellIs" priority="78" operator="equal" dxfId="1">
      <formula>"En cours"</formula>
    </cfRule>
    <cfRule type="cellIs" priority="79" operator="equal" dxfId="1">
      <formula>"En traitement"</formula>
    </cfRule>
    <cfRule type="cellIs" priority="80" operator="equal" dxfId="1">
      <formula>"En retard"</formula>
    </cfRule>
    <cfRule type="cellIs" priority="81" operator="equal" dxfId="1">
      <formula>"Suspendu"</formula>
    </cfRule>
    <cfRule type="cellIs" priority="82" operator="equal" dxfId="1">
      <formula>"Planifie"</formula>
    </cfRule>
    <cfRule type="cellIs" priority="83" operator="equal" dxfId="1">
      <formula>"Planifiee"</formula>
    </cfRule>
    <cfRule type="cellIs" priority="84" operator="equal" dxfId="1">
      <formula>"Brouillon"</formula>
    </cfRule>
    <cfRule type="cellIs" priority="85" operator="equal" dxfId="1">
      <formula>"En attente de justification"</formula>
    </cfRule>
    <cfRule type="cellIs" priority="86" operator="equal" dxfId="1">
      <formula>"Tolere"</formula>
    </cfRule>
    <cfRule type="cellIs" priority="87" operator="equal" dxfId="1">
      <formula>"Variable"</formula>
    </cfRule>
    <cfRule type="cellIs" priority="88" operator="equal" dxfId="1">
      <formula>"En elaboration"</formula>
    </cfRule>
    <cfRule type="cellIs" priority="89" operator="equal" dxfId="1">
      <formula>"Provisionne"</formula>
    </cfRule>
    <cfRule type="cellIs" priority="90" operator="equal" dxfId="1">
      <formula>"Consomme partiel"</formula>
    </cfRule>
    <cfRule type="cellIs" priority="91" operator="equal" dxfId="1">
      <formula>"Identifie"</formula>
    </cfRule>
    <cfRule type="cellIs" priority="92" operator="equal" dxfId="1">
      <formula>"Priorise"</formula>
    </cfRule>
    <cfRule type="cellIs" priority="93" operator="equal" dxfId="1">
      <formula>"Intermediaire"</formula>
    </cfRule>
    <cfRule type="cellIs" priority="94" operator="equal" dxfId="1">
      <formula>"Non evalue"</formula>
    </cfRule>
    <cfRule type="cellIs" priority="95" operator="equal" dxfId="1">
      <formula>"En cours de realisation"</formula>
    </cfRule>
    <cfRule type="cellIs" priority="96" operator="equal" dxfId="1">
      <formula>"Non demarre"</formula>
    </cfRule>
    <cfRule type="cellIs" priority="97" operator="equal" dxfId="1">
      <formula>"En attente N+1"</formula>
    </cfRule>
    <cfRule type="cellIs" priority="98" operator="equal" dxfId="1">
      <formula>"Prolongation essai"</formula>
    </cfRule>
    <cfRule type="cellIs" priority="99" operator="equal" dxfId="1">
      <formula>"En attente validation"</formula>
    </cfRule>
    <cfRule type="cellIs" priority="100" operator="equal" dxfId="1">
      <formula>"Bon"</formula>
    </cfRule>
    <cfRule type="cellIs" priority="101" operator="equal" dxfId="1">
      <formula>"D - Moyen"</formula>
    </cfRule>
    <cfRule type="cellIs" priority="102" operator="equal" dxfId="1">
      <formula>"En cours de repres."</formula>
    </cfRule>
    <cfRule type="cellIs" priority="103" operator="equal" dxfId="1">
      <formula>"En negociation"</formula>
    </cfRule>
    <cfRule type="cellIs" priority="104" operator="equal" dxfId="1">
      <formula>"En preparation"</formula>
    </cfRule>
    <cfRule type="cellIs" priority="105" operator="equal" dxfId="1">
      <formula>"En cours d'instruction"</formula>
    </cfRule>
    <cfRule type="cellIs" priority="106" operator="equal" dxfId="1">
      <formula>"Transferee N+1"</formula>
    </cfRule>
    <cfRule type="cellIs" priority="107" operator="equal" dxfId="1">
      <formula>"En attente reponse"</formula>
    </cfRule>
    <cfRule type="cellIs" priority="108" operator="equal" dxfId="1">
      <formula>"Enquete ouverte"</formula>
    </cfRule>
    <cfRule type="cellIs" priority="109" operator="equal" dxfId="1">
      <formula>"Convocation envoyee"</formula>
    </cfRule>
    <cfRule type="cellIs" priority="110" operator="equal" dxfId="1">
      <formula>"Entretien realise"</formula>
    </cfRule>
    <cfRule type="cellIs" priority="111" operator="equal" dxfId="1">
      <formula>"Saisie"</formula>
    </cfRule>
    <cfRule type="cellIs" priority="112" operator="equal" dxfId="1">
      <formula>"En mediation"</formula>
    </cfRule>
    <cfRule type="cellIs" priority="113" operator="equal" dxfId="1">
      <formula>"En recours"</formula>
    </cfRule>
    <cfRule type="cellIs" priority="114" operator="equal" dxfId="1">
      <formula>"Reportee"</formula>
    </cfRule>
    <cfRule type="cellIs" priority="115" operator="equal" dxfId="1">
      <formula>"Reporte"</formula>
    </cfRule>
    <cfRule type="cellIs" priority="116" operator="equal" dxfId="1">
      <formula>"Signale"</formula>
    </cfRule>
    <cfRule type="cellIs" priority="117" operator="equal" dxfId="1">
      <formula>"Precontentieux"</formula>
    </cfRule>
    <cfRule type="cellIs" priority="118" operator="equal" dxfId="1">
      <formula>"En attente election"</formula>
    </cfRule>
    <cfRule type="cellIs" priority="119" operator="equal" dxfId="1">
      <formula>"Classe"</formula>
    </cfRule>
    <cfRule type="cellIs" priority="120" operator="equal" dxfId="1">
      <formula>"En cours d'evaluation"</formula>
    </cfRule>
    <cfRule type="cellIs" priority="121" operator="equal" dxfId="1">
      <formula>"En cours d'enquete"</formula>
    </cfRule>
    <cfRule type="cellIs" priority="122" operator="equal" dxfId="1">
      <formula>"En cours de commande"</formula>
    </cfRule>
    <cfRule type="cellIs" priority="123" operator="equal" dxfId="1">
      <formula>"A revoir"</formula>
    </cfRule>
    <cfRule type="cellIs" priority="124" operator="equal" dxfId="1">
      <formula>"A remplacer"</formula>
    </cfRule>
    <cfRule type="cellIs" priority="125" operator="equal" dxfId="1">
      <formula>"En cours d'instruction CNPS"</formula>
    </cfRule>
    <cfRule type="cellIs" priority="126" operator="equal" dxfId="1">
      <formula>"En contestation"</formula>
    </cfRule>
    <cfRule type="cellIs" priority="127" operator="equal" dxfId="1">
      <formula>"Inapte temporaire"</formula>
    </cfRule>
    <cfRule type="cellIs" priority="128" operator="equal" dxfId="1">
      <formula>"Candidat identifie"</formula>
    </cfRule>
    <cfRule type="cellIs" priority="129" operator="equal" dxfId="1">
      <formula>"En formation"</formula>
    </cfRule>
    <cfRule type="cellIs" priority="130" operator="equal" dxfId="1">
      <formula>"En evaluation"</formula>
    </cfRule>
    <cfRule type="cellIs" priority="131" operator="equal" dxfId="1">
      <formula>"En transit"</formula>
    </cfRule>
    <cfRule type="cellIs" priority="132" operator="equal" dxfId="1">
      <formula>"En attente visa"</formula>
    </cfRule>
    <cfRule type="cellIs" priority="133" operator="equal" dxfId="1">
      <formula>"Proposee"</formula>
    </cfRule>
    <cfRule type="cellIs" priority="134" operator="equal" dxfId="1">
      <formula>"En cours d'acquisition"</formula>
    </cfRule>
    <cfRule type="cellIs" priority="135" operator="equal" dxfId="1">
      <formula>"A developper"</formula>
    </cfRule>
    <cfRule type="cellIs" priority="136" operator="equal" dxfId="1">
      <formula>"A renforcer"</formula>
    </cfRule>
    <cfRule type="cellIs" priority="137" operator="equal" dxfId="1">
      <formula>"En cours"</formula>
    </cfRule>
    <cfRule type="cellIs" priority="138" operator="equal" dxfId="1">
      <formula>"Partiellement conforme"</formula>
    </cfRule>
    <cfRule type="cellIs" priority="139" operator="equal" dxfId="1">
      <formula>"En mise en conformite"</formula>
    </cfRule>
    <cfRule type="cellIs" priority="140" operator="equal" dxfId="1">
      <formula>"En revision"</formula>
    </cfRule>
    <cfRule type="cellIs" priority="141" operator="equal" dxfId="1">
      <formula>"A approuver"</formula>
    </cfRule>
    <cfRule type="cellIs" priority="142" operator="equal" dxfId="1">
      <formula>"En conciliation"</formula>
    </cfRule>
    <cfRule type="cellIs" priority="143" operator="equal" dxfId="1">
      <formula>"Assigne tribunal"</formula>
    </cfRule>
    <cfRule type="cellIs" priority="144" operator="equal" dxfId="1">
      <formula>"En cours de preparation"</formula>
    </cfRule>
    <cfRule type="cellIs" priority="145" operator="equal" dxfId="1">
      <formula>"Non effectuee"</formula>
    </cfRule>
    <cfRule type="cellIs" priority="146" operator="equal" dxfId="1">
      <formula>"A archiver"</formula>
    </cfRule>
    <cfRule type="cellIs" priority="147" operator="equal" dxfId="1">
      <formula>"En cours de constitution"</formula>
    </cfRule>
    <cfRule type="cellIs" priority="148" operator="equal" dxfId="1">
      <formula>"A mettre a jour"</formula>
    </cfRule>
    <cfRule type="cellIs" priority="149" operator="equal" dxfId="1">
      <formula>"En restoration"</formula>
    </cfRule>
    <cfRule type="cellIs" priority="150" operator="equal" dxfId="1">
      <formula>"En cours de restauration"</formula>
    </cfRule>
    <cfRule type="cellIs" priority="151" operator="equal" dxfId="1">
      <formula>"A determiner"</formula>
    </cfRule>
    <cfRule type="cellIs" priority="152" operator="equal" dxfId="1">
      <formula>"En revision"</formula>
    </cfRule>
    <cfRule type="cellIs" priority="153" operator="equal" dxfId="1">
      <formula>"Obsolete"</formula>
    </cfRule>
    <cfRule type="cellIs" priority="154" operator="equal" dxfId="1">
      <formula>"Hybride (papier + numerique)"</formula>
    </cfRule>
    <cfRule type="cellIs" priority="155" operator="equal" dxfId="2">
      <formula>"Expire"</formula>
    </cfRule>
    <cfRule type="cellIs" priority="156" operator="equal" dxfId="2">
      <formula>"Rejete"</formula>
    </cfRule>
    <cfRule type="cellIs" priority="157" operator="equal" dxfId="2">
      <formula>"Rejetee"</formula>
    </cfRule>
    <cfRule type="cellIs" priority="158" operator="equal" dxfId="2">
      <formula>"Resilie"</formula>
    </cfRule>
    <cfRule type="cellIs" priority="159" operator="equal" dxfId="2">
      <formula>"Annule"</formula>
    </cfRule>
    <cfRule type="cellIs" priority="160" operator="equal" dxfId="2">
      <formula>"Annulee"</formula>
    </cfRule>
    <cfRule type="cellIs" priority="161" operator="equal" dxfId="2">
      <formula>"Refuse"</formula>
    </cfRule>
    <cfRule type="cellIs" priority="162" operator="equal" dxfId="2">
      <formula>"Non justifie"</formula>
    </cfRule>
    <cfRule type="cellIs" priority="163" operator="equal" dxfId="2">
      <formula>"Non justifiee"</formula>
    </cfRule>
    <cfRule type="cellIs" priority="164" operator="equal" dxfId="2">
      <formula>"Sanctionne"</formula>
    </cfRule>
    <cfRule type="cellIs" priority="165" operator="equal" dxfId="2">
      <formula>"Inaptitude"</formula>
    </cfRule>
    <cfRule type="cellIs" priority="166" operator="equal" dxfId="2">
      <formula>"Absent sans autorisation"</formula>
    </cfRule>
    <cfRule type="cellIs" priority="167" operator="equal" dxfId="2">
      <formula>"Abandon de poste"</formula>
    </cfRule>
    <cfRule type="cellIs" priority="168" operator="equal" dxfId="2">
      <formula>"Non satisfait"</formula>
    </cfRule>
    <cfRule type="cellIs" priority="169" operator="equal" dxfId="2">
      <formula>"Depasse"</formula>
    </cfRule>
    <cfRule type="cellIs" priority="170" operator="equal" dxfId="2">
      <formula>"Non utilise"</formula>
    </cfRule>
    <cfRule type="cellIs" priority="171" operator="equal" dxfId="2">
      <formula>"Non applicable"</formula>
    </cfRule>
    <cfRule type="cellIs" priority="172" operator="equal" dxfId="2">
      <formula>"Debutant"</formula>
    </cfRule>
    <cfRule type="cellIs" priority="173" operator="equal" dxfId="2">
      <formula>"Non atteint"</formula>
    </cfRule>
    <cfRule type="cellIs" priority="174" operator="equal" dxfId="2">
      <formula>"Abandonne"</formula>
    </cfRule>
    <cfRule type="cellIs" priority="175" operator="equal" dxfId="2">
      <formula>"Rupture essai"</formula>
    </cfRule>
    <cfRule type="cellIs" priority="176" operator="equal" dxfId="2">
      <formula>"Insuffisant"</formula>
    </cfRule>
    <cfRule type="cellIs" priority="177" operator="equal" dxfId="2">
      <formula>"Moyen"</formula>
    </cfRule>
    <cfRule type="cellIs" priority="178" operator="equal" dxfId="2">
      <formula>"E - Insuffisant"</formula>
    </cfRule>
    <cfRule type="cellIs" priority="179" operator="equal" dxfId="2">
      <formula>"Dissous"</formula>
    </cfRule>
    <cfRule type="cellIs" priority="180" operator="equal" dxfId="2">
      <formula>"Denonce"</formula>
    </cfRule>
    <cfRule type="cellIs" priority="181" operator="equal" dxfId="2">
      <formula>"Echoue"</formula>
    </cfRule>
    <cfRule type="cellIs" priority="182" operator="equal" dxfId="2">
      <formula>"Echouee"</formula>
    </cfRule>
    <cfRule type="cellIs" priority="183" operator="equal" dxfId="2">
      <formula>"Revoque"</formula>
    </cfRule>
    <cfRule type="cellIs" priority="184" operator="equal" dxfId="2">
      <formula>"Demissionnaire"</formula>
    </cfRule>
    <cfRule type="cellIs" priority="185" operator="equal" dxfId="2">
      <formula>"Licenciement pour faute"</formula>
    </cfRule>
    <cfRule type="cellIs" priority="186" operator="equal" dxfId="2">
      <formula>"Licenciement pour faute grave"</formula>
    </cfRule>
    <cfRule type="cellIs" priority="187" operator="equal" dxfId="2">
      <formula>"Terminee - Echec"</formula>
    </cfRule>
    <cfRule type="cellIs" priority="188" operator="equal" dxfId="2">
      <formula>"Abandonnee"</formula>
    </cfRule>
    <cfRule type="cellIs" priority="189" operator="equal" dxfId="2">
      <formula>"Violence physique"</formula>
    </cfRule>
    <cfRule type="cellIs" priority="190" operator="equal" dxfId="2">
      <formula>"Violence verbale"</formula>
    </cfRule>
    <cfRule type="cellIs" priority="191" operator="equal" dxfId="2">
      <formula>"Fatal"</formula>
    </cfRule>
    <cfRule type="cellIs" priority="192" operator="equal" dxfId="2">
      <formula>"Non reconnue"</formula>
    </cfRule>
    <cfRule type="cellIs" priority="193" operator="equal" dxfId="2">
      <formula>"Inapte definitif"</formula>
    </cfRule>
    <cfRule type="cellIs" priority="194" operator="equal" dxfId="2">
      <formula>"Perdu / vole"</formula>
    </cfRule>
    <cfRule type="cellIs" priority="195" operator="equal" dxfId="2">
      <formula>"Rebute"</formula>
    </cfRule>
    <cfRule type="cellIs" priority="196" operator="equal" dxfId="2">
      <formula>"Obsolette"</formula>
    </cfRule>
    <cfRule type="cellIs" priority="197" operator="equal" dxfId="2">
      <formula>"Conteste"</formula>
    </cfRule>
    <cfRule type="cellIs" priority="198" operator="equal" dxfId="2">
      <formula>"Refusee"</formula>
    </cfRule>
    <cfRule type="cellIs" priority="199" operator="equal" dxfId="2">
      <formula>"Non retenu"</formula>
    </cfRule>
    <cfRule type="cellIs" priority="200" operator="equal" dxfId="2">
      <formula>"Non acquis"</formula>
    </cfRule>
    <cfRule type="cellIs" priority="201" operator="equal" dxfId="2">
      <formula>"Contrat termine"</formula>
    </cfRule>
    <cfRule type="cellIs" priority="202" operator="equal" dxfId="2">
      <formula>"Rapatrie"</formula>
    </cfRule>
    <cfRule type="cellIs" priority="203" operator="equal" dxfId="2">
      <formula>"Non conforme"</formula>
    </cfRule>
    <cfRule type="cellIs" priority="204" operator="equal" dxfId="2">
      <formula>"Abandonne"</formula>
    </cfRule>
    <cfRule type="cellIs" priority="205" operator="equal" dxfId="2">
      <formula>"Perdu"</formula>
    </cfRule>
    <cfRule type="cellIs" priority="206" operator="equal" dxfId="2">
      <formula>"Resilie"</formula>
    </cfRule>
    <cfRule type="cellIs" priority="207" operator="equal" dxfId="2">
      <formula>"Expire"</formula>
    </cfRule>
    <cfRule type="cellIs" priority="208" operator="equal" dxfId="2">
      <formula>"Incomplet"</formula>
    </cfRule>
    <cfRule type="cellIs" priority="209" operator="equal" dxfId="2">
      <formula>"Non restitue"</formula>
    </cfRule>
    <cfRule type="cellIs" priority="210" operator="equal" dxfId="2">
      <formula>"Perdu"</formula>
    </cfRule>
    <cfRule type="cellIs" priority="211" operator="equal" dxfId="2">
      <formula>"Secret"</formula>
    </cfRule>
  </conditionalFormatting>
  <conditionalFormatting sqref="B10:B109">
    <cfRule type="expression" priority="212" dxfId="3">
      <formula>AND($C10="",$C9&lt;&gt;"")</formula>
    </cfRule>
  </conditionalFormatting>
  <conditionalFormatting sqref="C10:C109">
    <cfRule type="expression" priority="213" dxfId="3">
      <formula>AND($C10="",$C9&lt;&gt;"")</formula>
    </cfRule>
  </conditionalFormatting>
  <conditionalFormatting sqref="D10:D109">
    <cfRule type="expression" priority="214" dxfId="3">
      <formula>AND($C10="",$C9&lt;&gt;"")</formula>
    </cfRule>
  </conditionalFormatting>
  <conditionalFormatting sqref="E10:E109">
    <cfRule type="expression" priority="215" dxfId="3">
      <formula>AND($C10="",$C9&lt;&gt;"")</formula>
    </cfRule>
  </conditionalFormatting>
  <conditionalFormatting sqref="F10:F109">
    <cfRule type="expression" priority="216" dxfId="3">
      <formula>AND($C10="",$C9&lt;&gt;"")</formula>
    </cfRule>
  </conditionalFormatting>
  <conditionalFormatting sqref="G10:G109">
    <cfRule type="expression" priority="217" dxfId="3">
      <formula>AND($C10="",$C9&lt;&gt;"")</formula>
    </cfRule>
  </conditionalFormatting>
  <conditionalFormatting sqref="H10:H109">
    <cfRule type="expression" priority="218" dxfId="3">
      <formula>AND($C10="",$C9&lt;&gt;"")</formula>
    </cfRule>
  </conditionalFormatting>
  <conditionalFormatting sqref="I10:I109">
    <cfRule type="expression" priority="219" dxfId="3">
      <formula>AND($C10="",$C9&lt;&gt;"")</formula>
    </cfRule>
  </conditionalFormatting>
  <conditionalFormatting sqref="J10:J109">
    <cfRule type="expression" priority="220" dxfId="3">
      <formula>AND($C10="",$C9&lt;&gt;"")</formula>
    </cfRule>
  </conditionalFormatting>
  <conditionalFormatting sqref="K10:K109">
    <cfRule type="expression" priority="221" dxfId="3">
      <formula>AND($C10="",$C9&lt;&gt;"")</formula>
    </cfRule>
  </conditionalFormatting>
  <dataValidations count="3">
    <dataValidation sqref="D5:D109" showDropDown="0" showInputMessage="0" showErrorMessage="0" allowBlank="1" errorTitle="Erreur" error="Valeur invalide" promptTitle="Liste" prompt="Choisir dans la liste" type="list">
      <formula1>'_Lists'!$D$2:$D$21</formula1>
    </dataValidation>
    <dataValidation sqref="I5:I109" showDropDown="0" showInputMessage="0" showErrorMessage="0" allowBlank="1" errorTitle="Erreur" error="Valeur invalide" promptTitle="Liste" prompt="Choisir dans la liste" type="list">
      <formula1>'_Lists'!$E$2:$E$9</formula1>
    </dataValidation>
    <dataValidation sqref="K5:K109" showDropDown="0" showInputMessage="0" showErrorMessage="0" allowBlank="1" errorTitle="Erreur" error="Valeur invalide" promptTitle="Liste" prompt="Choisir dans la liste" type="list">
      <formula1>'_Lists'!$F$2:$F$8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8" customWidth="1" min="4" max="4"/>
    <col width="24" customWidth="1" min="5" max="5"/>
    <col width="18" customWidth="1" min="6" max="6"/>
    <col width="34" customWidth="1" min="7" max="7"/>
    <col width="30" customWidth="1" min="8" max="8"/>
    <col width="18" customWidth="1" min="9" max="9"/>
    <col width="18" customWidth="1" min="10" max="10"/>
    <col width="14" customWidth="1" min="11" max="11"/>
  </cols>
  <sheetData>
    <row r="1" ht="15" customHeight="1"/>
    <row r="2" ht="32" customHeight="1">
      <c r="B2" s="1" t="inlineStr">
        <is>
          <t>GESTION DOSSIERS EMPLOYÉS (#128)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Employe</t>
        </is>
      </c>
      <c r="D4" s="11" t="inlineStr">
        <is>
          <t>Poste</t>
        </is>
      </c>
      <c r="E4" s="11" t="inlineStr">
        <is>
          <t>Departement</t>
        </is>
      </c>
      <c r="F4" s="11" t="inlineStr">
        <is>
          <t>N° Dossier</t>
        </is>
      </c>
      <c r="G4" s="11" t="inlineStr">
        <is>
          <t>Emplacement Physique</t>
        </is>
      </c>
      <c r="H4" s="11" t="inlineStr">
        <is>
          <t>Emplacement Numerique</t>
        </is>
      </c>
      <c r="I4" s="11" t="inlineStr">
        <is>
          <t>Nb Pieces Dossier</t>
        </is>
      </c>
      <c r="J4" s="11" t="inlineStr">
        <is>
          <t>Statut Dossier</t>
        </is>
      </c>
      <c r="K4" s="11" t="inlineStr">
        <is>
          <t>Derniere MAJ</t>
        </is>
      </c>
    </row>
    <row r="5" ht="22" customHeight="1">
      <c r="B5" s="12" t="inlineStr">
        <is>
          <t>DOS-001</t>
        </is>
      </c>
      <c r="C5" s="12" t="inlineStr">
        <is>
          <t>Nkoulou Mbarga P.</t>
        </is>
      </c>
      <c r="D5" s="12" t="inlineStr">
        <is>
          <t>Chef Reception</t>
        </is>
      </c>
      <c r="E5" s="12" t="inlineStr">
        <is>
          <t>Réception &amp; Front Office</t>
        </is>
      </c>
      <c r="F5" s="12" t="inlineStr">
        <is>
          <t>DOSS-2019-001</t>
        </is>
      </c>
      <c r="G5" s="12" t="inlineStr">
        <is>
          <t>Armoire A, Etagere 2, Chemise rouge</t>
        </is>
      </c>
      <c r="H5" s="12" t="inlineStr">
        <is>
          <t>Serveur RH / Employes / NKMBP/</t>
        </is>
      </c>
      <c r="I5" s="18" t="n">
        <v>18</v>
      </c>
      <c r="J5" s="12" t="inlineStr">
        <is>
          <t>Complet</t>
        </is>
      </c>
      <c r="K5" s="29" t="n">
        <v>45823</v>
      </c>
    </row>
    <row r="6" ht="22" customHeight="1">
      <c r="B6" s="14" t="inlineStr">
        <is>
          <t>DOS-002</t>
        </is>
      </c>
      <c r="C6" s="14" t="inlineStr">
        <is>
          <t>Biyong Jean M.</t>
        </is>
      </c>
      <c r="D6" s="14" t="inlineStr">
        <is>
          <t>Chef Cuisine</t>
        </is>
      </c>
      <c r="E6" s="14" t="inlineStr">
        <is>
          <t>Cuisine &amp; Restauration</t>
        </is>
      </c>
      <c r="F6" s="14" t="inlineStr">
        <is>
          <t>DOSS-2017-003</t>
        </is>
      </c>
      <c r="G6" s="14" t="inlineStr">
        <is>
          <t>Armoire A, Etagere 1, Chemise bleue</t>
        </is>
      </c>
      <c r="H6" s="14" t="inlineStr">
        <is>
          <t>Serveur RH / Employes / BJMJM/</t>
        </is>
      </c>
      <c r="I6" s="19" t="n">
        <v>22</v>
      </c>
      <c r="J6" s="14" t="inlineStr">
        <is>
          <t>Complet</t>
        </is>
      </c>
      <c r="K6" s="30" t="n">
        <v>45797</v>
      </c>
    </row>
    <row r="7" ht="22" customHeight="1">
      <c r="B7" s="12" t="inlineStr">
        <is>
          <t>DOS-003</t>
        </is>
      </c>
      <c r="C7" s="12" t="inlineStr">
        <is>
          <t>Kamga Patrice</t>
        </is>
      </c>
      <c r="D7" s="12" t="inlineStr">
        <is>
          <t>Receptionniste</t>
        </is>
      </c>
      <c r="E7" s="12" t="inlineStr">
        <is>
          <t>Réception &amp; Front Office</t>
        </is>
      </c>
      <c r="F7" s="12" t="inlineStr">
        <is>
          <t>DOSS-2025-008</t>
        </is>
      </c>
      <c r="G7" s="12" t="inlineStr">
        <is>
          <t>Armoire B, Etagere 1, Chemise jaune</t>
        </is>
      </c>
      <c r="H7" s="12" t="inlineStr">
        <is>
          <t>Serveur RH / Employes / KPATR/</t>
        </is>
      </c>
      <c r="I7" s="18" t="n">
        <v>10</v>
      </c>
      <c r="J7" s="12" t="inlineStr">
        <is>
          <t>Incomplet</t>
        </is>
      </c>
      <c r="K7" s="29" t="n">
        <v>45809</v>
      </c>
    </row>
    <row r="8" ht="22" customHeight="1">
      <c r="B8" s="14" t="inlineStr">
        <is>
          <t>DOS-004</t>
        </is>
      </c>
      <c r="C8" s="14" t="inlineStr">
        <is>
          <t>Tamo Eric</t>
        </is>
      </c>
      <c r="D8" s="14" t="inlineStr">
        <is>
          <t>Technicien IT</t>
        </is>
      </c>
      <c r="E8" s="14" t="inlineStr">
        <is>
          <t>Informatique</t>
        </is>
      </c>
      <c r="F8" s="14" t="inlineStr">
        <is>
          <t>DOSS-2022-012</t>
        </is>
      </c>
      <c r="G8" s="14" t="inlineStr">
        <is>
          <t>Armoire B, Etagere 3, Chemise verte</t>
        </is>
      </c>
      <c r="H8" s="14" t="inlineStr">
        <is>
          <t>Serveur RH / Employes / TAMOE/</t>
        </is>
      </c>
      <c r="I8" s="19" t="n">
        <v>14</v>
      </c>
      <c r="J8" s="14" t="inlineStr">
        <is>
          <t>Complet</t>
        </is>
      </c>
      <c r="K8" s="30" t="n">
        <v>45787</v>
      </c>
    </row>
    <row r="9" ht="22" customHeight="1">
      <c r="B9" s="12" t="inlineStr">
        <is>
          <t>DOS-005</t>
        </is>
      </c>
      <c r="C9" s="12" t="inlineStr">
        <is>
          <t>Fouda M.</t>
        </is>
      </c>
      <c r="D9" s="12" t="inlineStr">
        <is>
          <t>Cuisinier</t>
        </is>
      </c>
      <c r="E9" s="12" t="inlineStr">
        <is>
          <t>Cuisine &amp; Restauration</t>
        </is>
      </c>
      <c r="F9" s="12" t="inlineStr">
        <is>
          <t>DOSS-2023-015</t>
        </is>
      </c>
      <c r="G9" s="12" t="inlineStr">
        <is>
          <t>Armoire A, Etagere 3, Chemise bleue</t>
        </is>
      </c>
      <c r="H9" s="12" t="inlineStr">
        <is>
          <t>Serveur RH / Employes / FOUDM/</t>
        </is>
      </c>
      <c r="I9" s="18" t="n">
        <v>16</v>
      </c>
      <c r="J9" s="12" t="inlineStr">
        <is>
          <t>A mettre a jour</t>
        </is>
      </c>
      <c r="K9" s="29" t="n">
        <v>45717</v>
      </c>
    </row>
    <row r="10" ht="22" customHeight="1">
      <c r="B10" s="16">
        <f>IF(C10="","DOS-"&amp;TEXT(COUNTA($C$5:C10),"000"))</f>
        <v/>
      </c>
      <c r="C10" s="14" t="n"/>
      <c r="D10" s="14" t="n"/>
      <c r="E10" s="14" t="n"/>
      <c r="F10" s="14" t="n"/>
      <c r="G10" s="14" t="n"/>
      <c r="H10" s="14" t="n"/>
      <c r="I10" s="19" t="n"/>
      <c r="J10" s="14" t="n"/>
      <c r="K10" s="30" t="n"/>
    </row>
    <row r="11" ht="22" customHeight="1">
      <c r="B11" s="17">
        <f>IF(C11="","DOS-"&amp;TEXT(COUNTA($C$5:C11),"000"))</f>
        <v/>
      </c>
      <c r="C11" s="12" t="n"/>
      <c r="D11" s="12" t="n"/>
      <c r="E11" s="12" t="n"/>
      <c r="F11" s="12" t="n"/>
      <c r="G11" s="12" t="n"/>
      <c r="H11" s="12" t="n"/>
      <c r="I11" s="18" t="n"/>
      <c r="J11" s="12" t="n"/>
      <c r="K11" s="29" t="n"/>
    </row>
    <row r="12" ht="22" customHeight="1">
      <c r="B12" s="16">
        <f>IF(C12="","DOS-"&amp;TEXT(COUNTA($C$5:C12),"000"))</f>
        <v/>
      </c>
      <c r="C12" s="14" t="n"/>
      <c r="D12" s="14" t="n"/>
      <c r="E12" s="14" t="n"/>
      <c r="F12" s="14" t="n"/>
      <c r="G12" s="14" t="n"/>
      <c r="H12" s="14" t="n"/>
      <c r="I12" s="19" t="n"/>
      <c r="J12" s="14" t="n"/>
      <c r="K12" s="30" t="n"/>
    </row>
    <row r="13" ht="22" customHeight="1">
      <c r="B13" s="17">
        <f>IF(C13="","DOS-"&amp;TEXT(COUNTA($C$5:C13),"000"))</f>
        <v/>
      </c>
      <c r="C13" s="12" t="n"/>
      <c r="D13" s="12" t="n"/>
      <c r="E13" s="12" t="n"/>
      <c r="F13" s="12" t="n"/>
      <c r="G13" s="12" t="n"/>
      <c r="H13" s="12" t="n"/>
      <c r="I13" s="18" t="n"/>
      <c r="J13" s="12" t="n"/>
      <c r="K13" s="29" t="n"/>
    </row>
    <row r="14" ht="22" customHeight="1">
      <c r="B14" s="16">
        <f>IF(C14="","DOS-"&amp;TEXT(COUNTA($C$5:C14),"000"))</f>
        <v/>
      </c>
      <c r="C14" s="14" t="n"/>
      <c r="D14" s="14" t="n"/>
      <c r="E14" s="14" t="n"/>
      <c r="F14" s="14" t="n"/>
      <c r="G14" s="14" t="n"/>
      <c r="H14" s="14" t="n"/>
      <c r="I14" s="19" t="n"/>
      <c r="J14" s="14" t="n"/>
      <c r="K14" s="30" t="n"/>
    </row>
    <row r="15" ht="22" customHeight="1">
      <c r="B15" s="17">
        <f>IF(C15="","DOS-"&amp;TEXT(COUNTA($C$5:C15),"000"))</f>
        <v/>
      </c>
      <c r="C15" s="12" t="n"/>
      <c r="D15" s="12" t="n"/>
      <c r="E15" s="12" t="n"/>
      <c r="F15" s="12" t="n"/>
      <c r="G15" s="12" t="n"/>
      <c r="H15" s="12" t="n"/>
      <c r="I15" s="18" t="n"/>
      <c r="J15" s="12" t="n"/>
      <c r="K15" s="29" t="n"/>
    </row>
    <row r="16" ht="22" customHeight="1">
      <c r="B16" s="16">
        <f>IF(C16="","DOS-"&amp;TEXT(COUNTA($C$5:C16),"000"))</f>
        <v/>
      </c>
      <c r="C16" s="14" t="n"/>
      <c r="D16" s="14" t="n"/>
      <c r="E16" s="14" t="n"/>
      <c r="F16" s="14" t="n"/>
      <c r="G16" s="14" t="n"/>
      <c r="H16" s="14" t="n"/>
      <c r="I16" s="19" t="n"/>
      <c r="J16" s="14" t="n"/>
      <c r="K16" s="30" t="n"/>
    </row>
    <row r="17" ht="22" customHeight="1">
      <c r="B17" s="17">
        <f>IF(C17="","DOS-"&amp;TEXT(COUNTA($C$5:C17),"000"))</f>
        <v/>
      </c>
      <c r="C17" s="12" t="n"/>
      <c r="D17" s="12" t="n"/>
      <c r="E17" s="12" t="n"/>
      <c r="F17" s="12" t="n"/>
      <c r="G17" s="12" t="n"/>
      <c r="H17" s="12" t="n"/>
      <c r="I17" s="18" t="n"/>
      <c r="J17" s="12" t="n"/>
      <c r="K17" s="29" t="n"/>
    </row>
    <row r="18" ht="22" customHeight="1">
      <c r="B18" s="16">
        <f>IF(C18="","DOS-"&amp;TEXT(COUNTA($C$5:C18),"000"))</f>
        <v/>
      </c>
      <c r="C18" s="14" t="n"/>
      <c r="D18" s="14" t="n"/>
      <c r="E18" s="14" t="n"/>
      <c r="F18" s="14" t="n"/>
      <c r="G18" s="14" t="n"/>
      <c r="H18" s="14" t="n"/>
      <c r="I18" s="19" t="n"/>
      <c r="J18" s="14" t="n"/>
      <c r="K18" s="30" t="n"/>
    </row>
    <row r="19" ht="22" customHeight="1">
      <c r="B19" s="17">
        <f>IF(C19="","DOS-"&amp;TEXT(COUNTA($C$5:C19),"000"))</f>
        <v/>
      </c>
      <c r="C19" s="12" t="n"/>
      <c r="D19" s="12" t="n"/>
      <c r="E19" s="12" t="n"/>
      <c r="F19" s="12" t="n"/>
      <c r="G19" s="12" t="n"/>
      <c r="H19" s="12" t="n"/>
      <c r="I19" s="18" t="n"/>
      <c r="J19" s="12" t="n"/>
      <c r="K19" s="29" t="n"/>
    </row>
    <row r="20" ht="22" customHeight="1">
      <c r="B20" s="16">
        <f>IF(C20="","DOS-"&amp;TEXT(COUNTA($C$5:C20),"000"))</f>
        <v/>
      </c>
      <c r="C20" s="14" t="n"/>
      <c r="D20" s="14" t="n"/>
      <c r="E20" s="14" t="n"/>
      <c r="F20" s="14" t="n"/>
      <c r="G20" s="14" t="n"/>
      <c r="H20" s="14" t="n"/>
      <c r="I20" s="19" t="n"/>
      <c r="J20" s="14" t="n"/>
      <c r="K20" s="30" t="n"/>
    </row>
    <row r="21" ht="22" customHeight="1">
      <c r="B21" s="17">
        <f>IF(C21="","DOS-"&amp;TEXT(COUNTA($C$5:C21),"000"))</f>
        <v/>
      </c>
      <c r="C21" s="12" t="n"/>
      <c r="D21" s="12" t="n"/>
      <c r="E21" s="12" t="n"/>
      <c r="F21" s="12" t="n"/>
      <c r="G21" s="12" t="n"/>
      <c r="H21" s="12" t="n"/>
      <c r="I21" s="18" t="n"/>
      <c r="J21" s="12" t="n"/>
      <c r="K21" s="29" t="n"/>
    </row>
    <row r="22" ht="22" customHeight="1">
      <c r="B22" s="16">
        <f>IF(C22="","DOS-"&amp;TEXT(COUNTA($C$5:C22),"000"))</f>
        <v/>
      </c>
      <c r="C22" s="14" t="n"/>
      <c r="D22" s="14" t="n"/>
      <c r="E22" s="14" t="n"/>
      <c r="F22" s="14" t="n"/>
      <c r="G22" s="14" t="n"/>
      <c r="H22" s="14" t="n"/>
      <c r="I22" s="19" t="n"/>
      <c r="J22" s="14" t="n"/>
      <c r="K22" s="30" t="n"/>
    </row>
    <row r="23" ht="22" customHeight="1">
      <c r="B23" s="17">
        <f>IF(C23="","DOS-"&amp;TEXT(COUNTA($C$5:C23),"000"))</f>
        <v/>
      </c>
      <c r="C23" s="12" t="n"/>
      <c r="D23" s="12" t="n"/>
      <c r="E23" s="12" t="n"/>
      <c r="F23" s="12" t="n"/>
      <c r="G23" s="12" t="n"/>
      <c r="H23" s="12" t="n"/>
      <c r="I23" s="18" t="n"/>
      <c r="J23" s="12" t="n"/>
      <c r="K23" s="29" t="n"/>
    </row>
    <row r="24" ht="22" customHeight="1">
      <c r="B24" s="16">
        <f>IF(C24="","DOS-"&amp;TEXT(COUNTA($C$5:C24),"000"))</f>
        <v/>
      </c>
      <c r="C24" s="14" t="n"/>
      <c r="D24" s="14" t="n"/>
      <c r="E24" s="14" t="n"/>
      <c r="F24" s="14" t="n"/>
      <c r="G24" s="14" t="n"/>
      <c r="H24" s="14" t="n"/>
      <c r="I24" s="19" t="n"/>
      <c r="J24" s="14" t="n"/>
      <c r="K24" s="30" t="n"/>
    </row>
    <row r="25" ht="22" customHeight="1">
      <c r="B25" s="17">
        <f>IF(C25="","DOS-"&amp;TEXT(COUNTA($C$5:C25),"000"))</f>
        <v/>
      </c>
      <c r="C25" s="12" t="n"/>
      <c r="D25" s="12" t="n"/>
      <c r="E25" s="12" t="n"/>
      <c r="F25" s="12" t="n"/>
      <c r="G25" s="12" t="n"/>
      <c r="H25" s="12" t="n"/>
      <c r="I25" s="18" t="n"/>
      <c r="J25" s="12" t="n"/>
      <c r="K25" s="29" t="n"/>
    </row>
    <row r="26" ht="22" customHeight="1">
      <c r="B26" s="16">
        <f>IF(C26="","DOS-"&amp;TEXT(COUNTA($C$5:C26),"000"))</f>
        <v/>
      </c>
      <c r="C26" s="14" t="n"/>
      <c r="D26" s="14" t="n"/>
      <c r="E26" s="14" t="n"/>
      <c r="F26" s="14" t="n"/>
      <c r="G26" s="14" t="n"/>
      <c r="H26" s="14" t="n"/>
      <c r="I26" s="19" t="n"/>
      <c r="J26" s="14" t="n"/>
      <c r="K26" s="30" t="n"/>
    </row>
    <row r="27" ht="22" customHeight="1">
      <c r="B27" s="17">
        <f>IF(C27="","DOS-"&amp;TEXT(COUNTA($C$5:C27),"000"))</f>
        <v/>
      </c>
      <c r="C27" s="12" t="n"/>
      <c r="D27" s="12" t="n"/>
      <c r="E27" s="12" t="n"/>
      <c r="F27" s="12" t="n"/>
      <c r="G27" s="12" t="n"/>
      <c r="H27" s="12" t="n"/>
      <c r="I27" s="18" t="n"/>
      <c r="J27" s="12" t="n"/>
      <c r="K27" s="29" t="n"/>
    </row>
    <row r="28" ht="22" customHeight="1">
      <c r="B28" s="16">
        <f>IF(C28="","DOS-"&amp;TEXT(COUNTA($C$5:C28),"000"))</f>
        <v/>
      </c>
      <c r="C28" s="14" t="n"/>
      <c r="D28" s="14" t="n"/>
      <c r="E28" s="14" t="n"/>
      <c r="F28" s="14" t="n"/>
      <c r="G28" s="14" t="n"/>
      <c r="H28" s="14" t="n"/>
      <c r="I28" s="19" t="n"/>
      <c r="J28" s="14" t="n"/>
      <c r="K28" s="30" t="n"/>
    </row>
    <row r="29" ht="22" customHeight="1">
      <c r="B29" s="17">
        <f>IF(C29="","DOS-"&amp;TEXT(COUNTA($C$5:C29),"000"))</f>
        <v/>
      </c>
      <c r="C29" s="12" t="n"/>
      <c r="D29" s="12" t="n"/>
      <c r="E29" s="12" t="n"/>
      <c r="F29" s="12" t="n"/>
      <c r="G29" s="12" t="n"/>
      <c r="H29" s="12" t="n"/>
      <c r="I29" s="18" t="n"/>
      <c r="J29" s="12" t="n"/>
      <c r="K29" s="29" t="n"/>
    </row>
    <row r="30" ht="22" customHeight="1">
      <c r="B30" s="16">
        <f>IF(C30="","DOS-"&amp;TEXT(COUNTA($C$5:C30),"000"))</f>
        <v/>
      </c>
      <c r="C30" s="14" t="n"/>
      <c r="D30" s="14" t="n"/>
      <c r="E30" s="14" t="n"/>
      <c r="F30" s="14" t="n"/>
      <c r="G30" s="14" t="n"/>
      <c r="H30" s="14" t="n"/>
      <c r="I30" s="19" t="n"/>
      <c r="J30" s="14" t="n"/>
      <c r="K30" s="30" t="n"/>
    </row>
    <row r="31" ht="22" customHeight="1">
      <c r="B31" s="17">
        <f>IF(C31="","DOS-"&amp;TEXT(COUNTA($C$5:C31),"000"))</f>
        <v/>
      </c>
      <c r="C31" s="12" t="n"/>
      <c r="D31" s="12" t="n"/>
      <c r="E31" s="12" t="n"/>
      <c r="F31" s="12" t="n"/>
      <c r="G31" s="12" t="n"/>
      <c r="H31" s="12" t="n"/>
      <c r="I31" s="18" t="n"/>
      <c r="J31" s="12" t="n"/>
      <c r="K31" s="29" t="n"/>
    </row>
    <row r="32" ht="22" customHeight="1">
      <c r="B32" s="16">
        <f>IF(C32="","DOS-"&amp;TEXT(COUNTA($C$5:C32),"000"))</f>
        <v/>
      </c>
      <c r="C32" s="14" t="n"/>
      <c r="D32" s="14" t="n"/>
      <c r="E32" s="14" t="n"/>
      <c r="F32" s="14" t="n"/>
      <c r="G32" s="14" t="n"/>
      <c r="H32" s="14" t="n"/>
      <c r="I32" s="19" t="n"/>
      <c r="J32" s="14" t="n"/>
      <c r="K32" s="30" t="n"/>
    </row>
    <row r="33" ht="22" customHeight="1">
      <c r="B33" s="17">
        <f>IF(C33="","DOS-"&amp;TEXT(COUNTA($C$5:C33),"000"))</f>
        <v/>
      </c>
      <c r="C33" s="12" t="n"/>
      <c r="D33" s="12" t="n"/>
      <c r="E33" s="12" t="n"/>
      <c r="F33" s="12" t="n"/>
      <c r="G33" s="12" t="n"/>
      <c r="H33" s="12" t="n"/>
      <c r="I33" s="18" t="n"/>
      <c r="J33" s="12" t="n"/>
      <c r="K33" s="29" t="n"/>
    </row>
    <row r="34" ht="22" customHeight="1">
      <c r="B34" s="16">
        <f>IF(C34="","DOS-"&amp;TEXT(COUNTA($C$5:C34),"000"))</f>
        <v/>
      </c>
      <c r="C34" s="14" t="n"/>
      <c r="D34" s="14" t="n"/>
      <c r="E34" s="14" t="n"/>
      <c r="F34" s="14" t="n"/>
      <c r="G34" s="14" t="n"/>
      <c r="H34" s="14" t="n"/>
      <c r="I34" s="19" t="n"/>
      <c r="J34" s="14" t="n"/>
      <c r="K34" s="30" t="n"/>
    </row>
    <row r="35" ht="22" customHeight="1">
      <c r="B35" s="17">
        <f>IF(C35="","DOS-"&amp;TEXT(COUNTA($C$5:C35),"000"))</f>
        <v/>
      </c>
      <c r="C35" s="12" t="n"/>
      <c r="D35" s="12" t="n"/>
      <c r="E35" s="12" t="n"/>
      <c r="F35" s="12" t="n"/>
      <c r="G35" s="12" t="n"/>
      <c r="H35" s="12" t="n"/>
      <c r="I35" s="18" t="n"/>
      <c r="J35" s="12" t="n"/>
      <c r="K35" s="29" t="n"/>
    </row>
    <row r="36" ht="22" customHeight="1">
      <c r="B36" s="16">
        <f>IF(C36="","DOS-"&amp;TEXT(COUNTA($C$5:C36),"000"))</f>
        <v/>
      </c>
      <c r="C36" s="14" t="n"/>
      <c r="D36" s="14" t="n"/>
      <c r="E36" s="14" t="n"/>
      <c r="F36" s="14" t="n"/>
      <c r="G36" s="14" t="n"/>
      <c r="H36" s="14" t="n"/>
      <c r="I36" s="19" t="n"/>
      <c r="J36" s="14" t="n"/>
      <c r="K36" s="30" t="n"/>
    </row>
    <row r="37" ht="22" customHeight="1">
      <c r="B37" s="17">
        <f>IF(C37="","DOS-"&amp;TEXT(COUNTA($C$5:C37),"000"))</f>
        <v/>
      </c>
      <c r="C37" s="12" t="n"/>
      <c r="D37" s="12" t="n"/>
      <c r="E37" s="12" t="n"/>
      <c r="F37" s="12" t="n"/>
      <c r="G37" s="12" t="n"/>
      <c r="H37" s="12" t="n"/>
      <c r="I37" s="18" t="n"/>
      <c r="J37" s="12" t="n"/>
      <c r="K37" s="29" t="n"/>
    </row>
    <row r="38" ht="22" customHeight="1">
      <c r="B38" s="16">
        <f>IF(C38="","DOS-"&amp;TEXT(COUNTA($C$5:C38),"000"))</f>
        <v/>
      </c>
      <c r="C38" s="14" t="n"/>
      <c r="D38" s="14" t="n"/>
      <c r="E38" s="14" t="n"/>
      <c r="F38" s="14" t="n"/>
      <c r="G38" s="14" t="n"/>
      <c r="H38" s="14" t="n"/>
      <c r="I38" s="19" t="n"/>
      <c r="J38" s="14" t="n"/>
      <c r="K38" s="30" t="n"/>
    </row>
    <row r="39" ht="22" customHeight="1">
      <c r="B39" s="17">
        <f>IF(C39="","DOS-"&amp;TEXT(COUNTA($C$5:C39),"000"))</f>
        <v/>
      </c>
      <c r="C39" s="12" t="n"/>
      <c r="D39" s="12" t="n"/>
      <c r="E39" s="12" t="n"/>
      <c r="F39" s="12" t="n"/>
      <c r="G39" s="12" t="n"/>
      <c r="H39" s="12" t="n"/>
      <c r="I39" s="18" t="n"/>
      <c r="J39" s="12" t="n"/>
      <c r="K39" s="29" t="n"/>
    </row>
    <row r="40" ht="22" customHeight="1">
      <c r="B40" s="16">
        <f>IF(C40="","DOS-"&amp;TEXT(COUNTA($C$5:C40),"000"))</f>
        <v/>
      </c>
      <c r="C40" s="14" t="n"/>
      <c r="D40" s="14" t="n"/>
      <c r="E40" s="14" t="n"/>
      <c r="F40" s="14" t="n"/>
      <c r="G40" s="14" t="n"/>
      <c r="H40" s="14" t="n"/>
      <c r="I40" s="19" t="n"/>
      <c r="J40" s="14" t="n"/>
      <c r="K40" s="30" t="n"/>
    </row>
    <row r="41" ht="22" customHeight="1">
      <c r="B41" s="17">
        <f>IF(C41="","DOS-"&amp;TEXT(COUNTA($C$5:C41),"000"))</f>
        <v/>
      </c>
      <c r="C41" s="12" t="n"/>
      <c r="D41" s="12" t="n"/>
      <c r="E41" s="12" t="n"/>
      <c r="F41" s="12" t="n"/>
      <c r="G41" s="12" t="n"/>
      <c r="H41" s="12" t="n"/>
      <c r="I41" s="18" t="n"/>
      <c r="J41" s="12" t="n"/>
      <c r="K41" s="29" t="n"/>
    </row>
    <row r="42" ht="22" customHeight="1">
      <c r="B42" s="16">
        <f>IF(C42="","DOS-"&amp;TEXT(COUNTA($C$5:C42),"000"))</f>
        <v/>
      </c>
      <c r="C42" s="14" t="n"/>
      <c r="D42" s="14" t="n"/>
      <c r="E42" s="14" t="n"/>
      <c r="F42" s="14" t="n"/>
      <c r="G42" s="14" t="n"/>
      <c r="H42" s="14" t="n"/>
      <c r="I42" s="19" t="n"/>
      <c r="J42" s="14" t="n"/>
      <c r="K42" s="30" t="n"/>
    </row>
    <row r="43" ht="22" customHeight="1">
      <c r="B43" s="17">
        <f>IF(C43="","DOS-"&amp;TEXT(COUNTA($C$5:C43),"000"))</f>
        <v/>
      </c>
      <c r="C43" s="12" t="n"/>
      <c r="D43" s="12" t="n"/>
      <c r="E43" s="12" t="n"/>
      <c r="F43" s="12" t="n"/>
      <c r="G43" s="12" t="n"/>
      <c r="H43" s="12" t="n"/>
      <c r="I43" s="18" t="n"/>
      <c r="J43" s="12" t="n"/>
      <c r="K43" s="29" t="n"/>
    </row>
    <row r="44" ht="22" customHeight="1">
      <c r="B44" s="16">
        <f>IF(C44="","DOS-"&amp;TEXT(COUNTA($C$5:C44),"000"))</f>
        <v/>
      </c>
      <c r="C44" s="14" t="n"/>
      <c r="D44" s="14" t="n"/>
      <c r="E44" s="14" t="n"/>
      <c r="F44" s="14" t="n"/>
      <c r="G44" s="14" t="n"/>
      <c r="H44" s="14" t="n"/>
      <c r="I44" s="19" t="n"/>
      <c r="J44" s="14" t="n"/>
      <c r="K44" s="30" t="n"/>
    </row>
    <row r="45" ht="22" customHeight="1">
      <c r="B45" s="17">
        <f>IF(C45="","DOS-"&amp;TEXT(COUNTA($C$5:C45),"000"))</f>
        <v/>
      </c>
      <c r="C45" s="12" t="n"/>
      <c r="D45" s="12" t="n"/>
      <c r="E45" s="12" t="n"/>
      <c r="F45" s="12" t="n"/>
      <c r="G45" s="12" t="n"/>
      <c r="H45" s="12" t="n"/>
      <c r="I45" s="18" t="n"/>
      <c r="J45" s="12" t="n"/>
      <c r="K45" s="29" t="n"/>
    </row>
    <row r="46" ht="22" customHeight="1">
      <c r="B46" s="16">
        <f>IF(C46="","DOS-"&amp;TEXT(COUNTA($C$5:C46),"000"))</f>
        <v/>
      </c>
      <c r="C46" s="14" t="n"/>
      <c r="D46" s="14" t="n"/>
      <c r="E46" s="14" t="n"/>
      <c r="F46" s="14" t="n"/>
      <c r="G46" s="14" t="n"/>
      <c r="H46" s="14" t="n"/>
      <c r="I46" s="19" t="n"/>
      <c r="J46" s="14" t="n"/>
      <c r="K46" s="30" t="n"/>
    </row>
    <row r="47" ht="22" customHeight="1">
      <c r="B47" s="17">
        <f>IF(C47="","DOS-"&amp;TEXT(COUNTA($C$5:C47),"000"))</f>
        <v/>
      </c>
      <c r="C47" s="12" t="n"/>
      <c r="D47" s="12" t="n"/>
      <c r="E47" s="12" t="n"/>
      <c r="F47" s="12" t="n"/>
      <c r="G47" s="12" t="n"/>
      <c r="H47" s="12" t="n"/>
      <c r="I47" s="18" t="n"/>
      <c r="J47" s="12" t="n"/>
      <c r="K47" s="29" t="n"/>
    </row>
    <row r="48" ht="22" customHeight="1">
      <c r="B48" s="16">
        <f>IF(C48="","DOS-"&amp;TEXT(COUNTA($C$5:C48),"000"))</f>
        <v/>
      </c>
      <c r="C48" s="14" t="n"/>
      <c r="D48" s="14" t="n"/>
      <c r="E48" s="14" t="n"/>
      <c r="F48" s="14" t="n"/>
      <c r="G48" s="14" t="n"/>
      <c r="H48" s="14" t="n"/>
      <c r="I48" s="19" t="n"/>
      <c r="J48" s="14" t="n"/>
      <c r="K48" s="30" t="n"/>
    </row>
    <row r="49" ht="22" customHeight="1">
      <c r="B49" s="17">
        <f>IF(C49="","DOS-"&amp;TEXT(COUNTA($C$5:C49),"000"))</f>
        <v/>
      </c>
      <c r="C49" s="12" t="n"/>
      <c r="D49" s="12" t="n"/>
      <c r="E49" s="12" t="n"/>
      <c r="F49" s="12" t="n"/>
      <c r="G49" s="12" t="n"/>
      <c r="H49" s="12" t="n"/>
      <c r="I49" s="18" t="n"/>
      <c r="J49" s="12" t="n"/>
      <c r="K49" s="29" t="n"/>
    </row>
    <row r="50" ht="22" customHeight="1">
      <c r="B50" s="16">
        <f>IF(C50="","DOS-"&amp;TEXT(COUNTA($C$5:C50),"000"))</f>
        <v/>
      </c>
      <c r="C50" s="14" t="n"/>
      <c r="D50" s="14" t="n"/>
      <c r="E50" s="14" t="n"/>
      <c r="F50" s="14" t="n"/>
      <c r="G50" s="14" t="n"/>
      <c r="H50" s="14" t="n"/>
      <c r="I50" s="19" t="n"/>
      <c r="J50" s="14" t="n"/>
      <c r="K50" s="30" t="n"/>
    </row>
    <row r="51" ht="22" customHeight="1">
      <c r="B51" s="17">
        <f>IF(C51="","DOS-"&amp;TEXT(COUNTA($C$5:C51),"000"))</f>
        <v/>
      </c>
      <c r="C51" s="12" t="n"/>
      <c r="D51" s="12" t="n"/>
      <c r="E51" s="12" t="n"/>
      <c r="F51" s="12" t="n"/>
      <c r="G51" s="12" t="n"/>
      <c r="H51" s="12" t="n"/>
      <c r="I51" s="18" t="n"/>
      <c r="J51" s="12" t="n"/>
      <c r="K51" s="29" t="n"/>
    </row>
    <row r="52" ht="22" customHeight="1">
      <c r="B52" s="16">
        <f>IF(C52="","DOS-"&amp;TEXT(COUNTA($C$5:C52),"000"))</f>
        <v/>
      </c>
      <c r="C52" s="14" t="n"/>
      <c r="D52" s="14" t="n"/>
      <c r="E52" s="14" t="n"/>
      <c r="F52" s="14" t="n"/>
      <c r="G52" s="14" t="n"/>
      <c r="H52" s="14" t="n"/>
      <c r="I52" s="19" t="n"/>
      <c r="J52" s="14" t="n"/>
      <c r="K52" s="30" t="n"/>
    </row>
    <row r="53" ht="22" customHeight="1">
      <c r="B53" s="17">
        <f>IF(C53="","DOS-"&amp;TEXT(COUNTA($C$5:C53),"000"))</f>
        <v/>
      </c>
      <c r="C53" s="12" t="n"/>
      <c r="D53" s="12" t="n"/>
      <c r="E53" s="12" t="n"/>
      <c r="F53" s="12" t="n"/>
      <c r="G53" s="12" t="n"/>
      <c r="H53" s="12" t="n"/>
      <c r="I53" s="18" t="n"/>
      <c r="J53" s="12" t="n"/>
      <c r="K53" s="29" t="n"/>
    </row>
    <row r="54" ht="22" customHeight="1">
      <c r="B54" s="16">
        <f>IF(C54="","DOS-"&amp;TEXT(COUNTA($C$5:C54),"000"))</f>
        <v/>
      </c>
      <c r="C54" s="14" t="n"/>
      <c r="D54" s="14" t="n"/>
      <c r="E54" s="14" t="n"/>
      <c r="F54" s="14" t="n"/>
      <c r="G54" s="14" t="n"/>
      <c r="H54" s="14" t="n"/>
      <c r="I54" s="19" t="n"/>
      <c r="J54" s="14" t="n"/>
      <c r="K54" s="30" t="n"/>
    </row>
    <row r="55" ht="22" customHeight="1">
      <c r="B55" s="17">
        <f>IF(C55="","DOS-"&amp;TEXT(COUNTA($C$5:C55),"000"))</f>
        <v/>
      </c>
      <c r="C55" s="12" t="n"/>
      <c r="D55" s="12" t="n"/>
      <c r="E55" s="12" t="n"/>
      <c r="F55" s="12" t="n"/>
      <c r="G55" s="12" t="n"/>
      <c r="H55" s="12" t="n"/>
      <c r="I55" s="18" t="n"/>
      <c r="J55" s="12" t="n"/>
      <c r="K55" s="29" t="n"/>
    </row>
    <row r="56" ht="22" customHeight="1">
      <c r="B56" s="16">
        <f>IF(C56="","DOS-"&amp;TEXT(COUNTA($C$5:C56),"000"))</f>
        <v/>
      </c>
      <c r="C56" s="14" t="n"/>
      <c r="D56" s="14" t="n"/>
      <c r="E56" s="14" t="n"/>
      <c r="F56" s="14" t="n"/>
      <c r="G56" s="14" t="n"/>
      <c r="H56" s="14" t="n"/>
      <c r="I56" s="19" t="n"/>
      <c r="J56" s="14" t="n"/>
      <c r="K56" s="30" t="n"/>
    </row>
    <row r="57" ht="22" customHeight="1">
      <c r="B57" s="17">
        <f>IF(C57="","DOS-"&amp;TEXT(COUNTA($C$5:C57),"000"))</f>
        <v/>
      </c>
      <c r="C57" s="12" t="n"/>
      <c r="D57" s="12" t="n"/>
      <c r="E57" s="12" t="n"/>
      <c r="F57" s="12" t="n"/>
      <c r="G57" s="12" t="n"/>
      <c r="H57" s="12" t="n"/>
      <c r="I57" s="18" t="n"/>
      <c r="J57" s="12" t="n"/>
      <c r="K57" s="29" t="n"/>
    </row>
    <row r="58" ht="22" customHeight="1">
      <c r="B58" s="16">
        <f>IF(C58="","DOS-"&amp;TEXT(COUNTA($C$5:C58),"000"))</f>
        <v/>
      </c>
      <c r="C58" s="14" t="n"/>
      <c r="D58" s="14" t="n"/>
      <c r="E58" s="14" t="n"/>
      <c r="F58" s="14" t="n"/>
      <c r="G58" s="14" t="n"/>
      <c r="H58" s="14" t="n"/>
      <c r="I58" s="19" t="n"/>
      <c r="J58" s="14" t="n"/>
      <c r="K58" s="30" t="n"/>
    </row>
    <row r="59" ht="22" customHeight="1">
      <c r="B59" s="17">
        <f>IF(C59="","DOS-"&amp;TEXT(COUNTA($C$5:C59),"000"))</f>
        <v/>
      </c>
      <c r="C59" s="12" t="n"/>
      <c r="D59" s="12" t="n"/>
      <c r="E59" s="12" t="n"/>
      <c r="F59" s="12" t="n"/>
      <c r="G59" s="12" t="n"/>
      <c r="H59" s="12" t="n"/>
      <c r="I59" s="18" t="n"/>
      <c r="J59" s="12" t="n"/>
      <c r="K59" s="29" t="n"/>
    </row>
    <row r="60" ht="22" customHeight="1">
      <c r="B60" s="16">
        <f>IF(C60="","DOS-"&amp;TEXT(COUNTA($C$5:C60),"000"))</f>
        <v/>
      </c>
      <c r="C60" s="14" t="n"/>
      <c r="D60" s="14" t="n"/>
      <c r="E60" s="14" t="n"/>
      <c r="F60" s="14" t="n"/>
      <c r="G60" s="14" t="n"/>
      <c r="H60" s="14" t="n"/>
      <c r="I60" s="19" t="n"/>
      <c r="J60" s="14" t="n"/>
      <c r="K60" s="30" t="n"/>
    </row>
    <row r="61" ht="22" customHeight="1">
      <c r="B61" s="17">
        <f>IF(C61="","DOS-"&amp;TEXT(COUNTA($C$5:C61),"000"))</f>
        <v/>
      </c>
      <c r="C61" s="12" t="n"/>
      <c r="D61" s="12" t="n"/>
      <c r="E61" s="12" t="n"/>
      <c r="F61" s="12" t="n"/>
      <c r="G61" s="12" t="n"/>
      <c r="H61" s="12" t="n"/>
      <c r="I61" s="18" t="n"/>
      <c r="J61" s="12" t="n"/>
      <c r="K61" s="29" t="n"/>
    </row>
    <row r="62" ht="22" customHeight="1">
      <c r="B62" s="16">
        <f>IF(C62="","DOS-"&amp;TEXT(COUNTA($C$5:C62),"000"))</f>
        <v/>
      </c>
      <c r="C62" s="14" t="n"/>
      <c r="D62" s="14" t="n"/>
      <c r="E62" s="14" t="n"/>
      <c r="F62" s="14" t="n"/>
      <c r="G62" s="14" t="n"/>
      <c r="H62" s="14" t="n"/>
      <c r="I62" s="19" t="n"/>
      <c r="J62" s="14" t="n"/>
      <c r="K62" s="30" t="n"/>
    </row>
    <row r="63" ht="22" customHeight="1">
      <c r="B63" s="17">
        <f>IF(C63="","DOS-"&amp;TEXT(COUNTA($C$5:C63),"000"))</f>
        <v/>
      </c>
      <c r="C63" s="12" t="n"/>
      <c r="D63" s="12" t="n"/>
      <c r="E63" s="12" t="n"/>
      <c r="F63" s="12" t="n"/>
      <c r="G63" s="12" t="n"/>
      <c r="H63" s="12" t="n"/>
      <c r="I63" s="18" t="n"/>
      <c r="J63" s="12" t="n"/>
      <c r="K63" s="29" t="n"/>
    </row>
    <row r="64" ht="22" customHeight="1">
      <c r="B64" s="16">
        <f>IF(C64="","DOS-"&amp;TEXT(COUNTA($C$5:C64),"000"))</f>
        <v/>
      </c>
      <c r="C64" s="14" t="n"/>
      <c r="D64" s="14" t="n"/>
      <c r="E64" s="14" t="n"/>
      <c r="F64" s="14" t="n"/>
      <c r="G64" s="14" t="n"/>
      <c r="H64" s="14" t="n"/>
      <c r="I64" s="19" t="n"/>
      <c r="J64" s="14" t="n"/>
      <c r="K64" s="30" t="n"/>
    </row>
    <row r="65" ht="22" customHeight="1">
      <c r="B65" s="17">
        <f>IF(C65="","DOS-"&amp;TEXT(COUNTA($C$5:C65),"000"))</f>
        <v/>
      </c>
      <c r="C65" s="12" t="n"/>
      <c r="D65" s="12" t="n"/>
      <c r="E65" s="12" t="n"/>
      <c r="F65" s="12" t="n"/>
      <c r="G65" s="12" t="n"/>
      <c r="H65" s="12" t="n"/>
      <c r="I65" s="18" t="n"/>
      <c r="J65" s="12" t="n"/>
      <c r="K65" s="29" t="n"/>
    </row>
    <row r="66" ht="22" customHeight="1">
      <c r="B66" s="16">
        <f>IF(C66="","DOS-"&amp;TEXT(COUNTA($C$5:C66),"000"))</f>
        <v/>
      </c>
      <c r="C66" s="14" t="n"/>
      <c r="D66" s="14" t="n"/>
      <c r="E66" s="14" t="n"/>
      <c r="F66" s="14" t="n"/>
      <c r="G66" s="14" t="n"/>
      <c r="H66" s="14" t="n"/>
      <c r="I66" s="19" t="n"/>
      <c r="J66" s="14" t="n"/>
      <c r="K66" s="30" t="n"/>
    </row>
    <row r="67" ht="22" customHeight="1">
      <c r="B67" s="17">
        <f>IF(C67="","DOS-"&amp;TEXT(COUNTA($C$5:C67),"000"))</f>
        <v/>
      </c>
      <c r="C67" s="12" t="n"/>
      <c r="D67" s="12" t="n"/>
      <c r="E67" s="12" t="n"/>
      <c r="F67" s="12" t="n"/>
      <c r="G67" s="12" t="n"/>
      <c r="H67" s="12" t="n"/>
      <c r="I67" s="18" t="n"/>
      <c r="J67" s="12" t="n"/>
      <c r="K67" s="29" t="n"/>
    </row>
    <row r="68" ht="22" customHeight="1">
      <c r="B68" s="16">
        <f>IF(C68="","DOS-"&amp;TEXT(COUNTA($C$5:C68),"000"))</f>
        <v/>
      </c>
      <c r="C68" s="14" t="n"/>
      <c r="D68" s="14" t="n"/>
      <c r="E68" s="14" t="n"/>
      <c r="F68" s="14" t="n"/>
      <c r="G68" s="14" t="n"/>
      <c r="H68" s="14" t="n"/>
      <c r="I68" s="19" t="n"/>
      <c r="J68" s="14" t="n"/>
      <c r="K68" s="30" t="n"/>
    </row>
    <row r="69" ht="22" customHeight="1">
      <c r="B69" s="17">
        <f>IF(C69="","DOS-"&amp;TEXT(COUNTA($C$5:C69),"000"))</f>
        <v/>
      </c>
      <c r="C69" s="12" t="n"/>
      <c r="D69" s="12" t="n"/>
      <c r="E69" s="12" t="n"/>
      <c r="F69" s="12" t="n"/>
      <c r="G69" s="12" t="n"/>
      <c r="H69" s="12" t="n"/>
      <c r="I69" s="18" t="n"/>
      <c r="J69" s="12" t="n"/>
      <c r="K69" s="29" t="n"/>
    </row>
    <row r="70" ht="22" customHeight="1">
      <c r="B70" s="16">
        <f>IF(C70="","DOS-"&amp;TEXT(COUNTA($C$5:C70),"000"))</f>
        <v/>
      </c>
      <c r="C70" s="14" t="n"/>
      <c r="D70" s="14" t="n"/>
      <c r="E70" s="14" t="n"/>
      <c r="F70" s="14" t="n"/>
      <c r="G70" s="14" t="n"/>
      <c r="H70" s="14" t="n"/>
      <c r="I70" s="19" t="n"/>
      <c r="J70" s="14" t="n"/>
      <c r="K70" s="30" t="n"/>
    </row>
    <row r="71" ht="22" customHeight="1">
      <c r="B71" s="17">
        <f>IF(C71="","DOS-"&amp;TEXT(COUNTA($C$5:C71),"000"))</f>
        <v/>
      </c>
      <c r="C71" s="12" t="n"/>
      <c r="D71" s="12" t="n"/>
      <c r="E71" s="12" t="n"/>
      <c r="F71" s="12" t="n"/>
      <c r="G71" s="12" t="n"/>
      <c r="H71" s="12" t="n"/>
      <c r="I71" s="18" t="n"/>
      <c r="J71" s="12" t="n"/>
      <c r="K71" s="29" t="n"/>
    </row>
    <row r="72" ht="22" customHeight="1">
      <c r="B72" s="16">
        <f>IF(C72="","DOS-"&amp;TEXT(COUNTA($C$5:C72),"000"))</f>
        <v/>
      </c>
      <c r="C72" s="14" t="n"/>
      <c r="D72" s="14" t="n"/>
      <c r="E72" s="14" t="n"/>
      <c r="F72" s="14" t="n"/>
      <c r="G72" s="14" t="n"/>
      <c r="H72" s="14" t="n"/>
      <c r="I72" s="19" t="n"/>
      <c r="J72" s="14" t="n"/>
      <c r="K72" s="30" t="n"/>
    </row>
    <row r="73" ht="22" customHeight="1">
      <c r="B73" s="17">
        <f>IF(C73="","DOS-"&amp;TEXT(COUNTA($C$5:C73),"000"))</f>
        <v/>
      </c>
      <c r="C73" s="12" t="n"/>
      <c r="D73" s="12" t="n"/>
      <c r="E73" s="12" t="n"/>
      <c r="F73" s="12" t="n"/>
      <c r="G73" s="12" t="n"/>
      <c r="H73" s="12" t="n"/>
      <c r="I73" s="18" t="n"/>
      <c r="J73" s="12" t="n"/>
      <c r="K73" s="29" t="n"/>
    </row>
    <row r="74" ht="22" customHeight="1">
      <c r="B74" s="16">
        <f>IF(C74="","DOS-"&amp;TEXT(COUNTA($C$5:C74),"000"))</f>
        <v/>
      </c>
      <c r="C74" s="14" t="n"/>
      <c r="D74" s="14" t="n"/>
      <c r="E74" s="14" t="n"/>
      <c r="F74" s="14" t="n"/>
      <c r="G74" s="14" t="n"/>
      <c r="H74" s="14" t="n"/>
      <c r="I74" s="19" t="n"/>
      <c r="J74" s="14" t="n"/>
      <c r="K74" s="30" t="n"/>
    </row>
    <row r="75" ht="22" customHeight="1">
      <c r="B75" s="17">
        <f>IF(C75="","DOS-"&amp;TEXT(COUNTA($C$5:C75),"000"))</f>
        <v/>
      </c>
      <c r="C75" s="12" t="n"/>
      <c r="D75" s="12" t="n"/>
      <c r="E75" s="12" t="n"/>
      <c r="F75" s="12" t="n"/>
      <c r="G75" s="12" t="n"/>
      <c r="H75" s="12" t="n"/>
      <c r="I75" s="18" t="n"/>
      <c r="J75" s="12" t="n"/>
      <c r="K75" s="29" t="n"/>
    </row>
    <row r="76" ht="22" customHeight="1">
      <c r="B76" s="16">
        <f>IF(C76="","DOS-"&amp;TEXT(COUNTA($C$5:C76),"000"))</f>
        <v/>
      </c>
      <c r="C76" s="14" t="n"/>
      <c r="D76" s="14" t="n"/>
      <c r="E76" s="14" t="n"/>
      <c r="F76" s="14" t="n"/>
      <c r="G76" s="14" t="n"/>
      <c r="H76" s="14" t="n"/>
      <c r="I76" s="19" t="n"/>
      <c r="J76" s="14" t="n"/>
      <c r="K76" s="30" t="n"/>
    </row>
    <row r="77" ht="22" customHeight="1">
      <c r="B77" s="17">
        <f>IF(C77="","DOS-"&amp;TEXT(COUNTA($C$5:C77),"000"))</f>
        <v/>
      </c>
      <c r="C77" s="12" t="n"/>
      <c r="D77" s="12" t="n"/>
      <c r="E77" s="12" t="n"/>
      <c r="F77" s="12" t="n"/>
      <c r="G77" s="12" t="n"/>
      <c r="H77" s="12" t="n"/>
      <c r="I77" s="18" t="n"/>
      <c r="J77" s="12" t="n"/>
      <c r="K77" s="29" t="n"/>
    </row>
    <row r="78" ht="22" customHeight="1">
      <c r="B78" s="16">
        <f>IF(C78="","DOS-"&amp;TEXT(COUNTA($C$5:C78),"000"))</f>
        <v/>
      </c>
      <c r="C78" s="14" t="n"/>
      <c r="D78" s="14" t="n"/>
      <c r="E78" s="14" t="n"/>
      <c r="F78" s="14" t="n"/>
      <c r="G78" s="14" t="n"/>
      <c r="H78" s="14" t="n"/>
      <c r="I78" s="19" t="n"/>
      <c r="J78" s="14" t="n"/>
      <c r="K78" s="30" t="n"/>
    </row>
    <row r="79" ht="22" customHeight="1">
      <c r="B79" s="17">
        <f>IF(C79="","DOS-"&amp;TEXT(COUNTA($C$5:C79),"000"))</f>
        <v/>
      </c>
      <c r="C79" s="12" t="n"/>
      <c r="D79" s="12" t="n"/>
      <c r="E79" s="12" t="n"/>
      <c r="F79" s="12" t="n"/>
      <c r="G79" s="12" t="n"/>
      <c r="H79" s="12" t="n"/>
      <c r="I79" s="18" t="n"/>
      <c r="J79" s="12" t="n"/>
      <c r="K79" s="29" t="n"/>
    </row>
    <row r="80" ht="22" customHeight="1">
      <c r="B80" s="16">
        <f>IF(C80="","DOS-"&amp;TEXT(COUNTA($C$5:C80),"000"))</f>
        <v/>
      </c>
      <c r="C80" s="14" t="n"/>
      <c r="D80" s="14" t="n"/>
      <c r="E80" s="14" t="n"/>
      <c r="F80" s="14" t="n"/>
      <c r="G80" s="14" t="n"/>
      <c r="H80" s="14" t="n"/>
      <c r="I80" s="19" t="n"/>
      <c r="J80" s="14" t="n"/>
      <c r="K80" s="30" t="n"/>
    </row>
    <row r="81" ht="22" customHeight="1">
      <c r="B81" s="17">
        <f>IF(C81="","DOS-"&amp;TEXT(COUNTA($C$5:C81),"000"))</f>
        <v/>
      </c>
      <c r="C81" s="12" t="n"/>
      <c r="D81" s="12" t="n"/>
      <c r="E81" s="12" t="n"/>
      <c r="F81" s="12" t="n"/>
      <c r="G81" s="12" t="n"/>
      <c r="H81" s="12" t="n"/>
      <c r="I81" s="18" t="n"/>
      <c r="J81" s="12" t="n"/>
      <c r="K81" s="29" t="n"/>
    </row>
    <row r="82" ht="22" customHeight="1">
      <c r="B82" s="16">
        <f>IF(C82="","DOS-"&amp;TEXT(COUNTA($C$5:C82),"000"))</f>
        <v/>
      </c>
      <c r="C82" s="14" t="n"/>
      <c r="D82" s="14" t="n"/>
      <c r="E82" s="14" t="n"/>
      <c r="F82" s="14" t="n"/>
      <c r="G82" s="14" t="n"/>
      <c r="H82" s="14" t="n"/>
      <c r="I82" s="19" t="n"/>
      <c r="J82" s="14" t="n"/>
      <c r="K82" s="30" t="n"/>
    </row>
    <row r="83" ht="22" customHeight="1">
      <c r="B83" s="17">
        <f>IF(C83="","DOS-"&amp;TEXT(COUNTA($C$5:C83),"000"))</f>
        <v/>
      </c>
      <c r="C83" s="12" t="n"/>
      <c r="D83" s="12" t="n"/>
      <c r="E83" s="12" t="n"/>
      <c r="F83" s="12" t="n"/>
      <c r="G83" s="12" t="n"/>
      <c r="H83" s="12" t="n"/>
      <c r="I83" s="18" t="n"/>
      <c r="J83" s="12" t="n"/>
      <c r="K83" s="29" t="n"/>
    </row>
    <row r="84" ht="22" customHeight="1">
      <c r="B84" s="16">
        <f>IF(C84="","DOS-"&amp;TEXT(COUNTA($C$5:C84),"000"))</f>
        <v/>
      </c>
      <c r="C84" s="14" t="n"/>
      <c r="D84" s="14" t="n"/>
      <c r="E84" s="14" t="n"/>
      <c r="F84" s="14" t="n"/>
      <c r="G84" s="14" t="n"/>
      <c r="H84" s="14" t="n"/>
      <c r="I84" s="19" t="n"/>
      <c r="J84" s="14" t="n"/>
      <c r="K84" s="30" t="n"/>
    </row>
    <row r="85" ht="22" customHeight="1">
      <c r="B85" s="17">
        <f>IF(C85="","DOS-"&amp;TEXT(COUNTA($C$5:C85),"000"))</f>
        <v/>
      </c>
      <c r="C85" s="12" t="n"/>
      <c r="D85" s="12" t="n"/>
      <c r="E85" s="12" t="n"/>
      <c r="F85" s="12" t="n"/>
      <c r="G85" s="12" t="n"/>
      <c r="H85" s="12" t="n"/>
      <c r="I85" s="18" t="n"/>
      <c r="J85" s="12" t="n"/>
      <c r="K85" s="29" t="n"/>
    </row>
    <row r="86" ht="22" customHeight="1">
      <c r="B86" s="16">
        <f>IF(C86="","DOS-"&amp;TEXT(COUNTA($C$5:C86),"000"))</f>
        <v/>
      </c>
      <c r="C86" s="14" t="n"/>
      <c r="D86" s="14" t="n"/>
      <c r="E86" s="14" t="n"/>
      <c r="F86" s="14" t="n"/>
      <c r="G86" s="14" t="n"/>
      <c r="H86" s="14" t="n"/>
      <c r="I86" s="19" t="n"/>
      <c r="J86" s="14" t="n"/>
      <c r="K86" s="30" t="n"/>
    </row>
    <row r="87" ht="22" customHeight="1">
      <c r="B87" s="17">
        <f>IF(C87="","DOS-"&amp;TEXT(COUNTA($C$5:C87),"000"))</f>
        <v/>
      </c>
      <c r="C87" s="12" t="n"/>
      <c r="D87" s="12" t="n"/>
      <c r="E87" s="12" t="n"/>
      <c r="F87" s="12" t="n"/>
      <c r="G87" s="12" t="n"/>
      <c r="H87" s="12" t="n"/>
      <c r="I87" s="18" t="n"/>
      <c r="J87" s="12" t="n"/>
      <c r="K87" s="29" t="n"/>
    </row>
    <row r="88" ht="22" customHeight="1">
      <c r="B88" s="16">
        <f>IF(C88="","DOS-"&amp;TEXT(COUNTA($C$5:C88),"000"))</f>
        <v/>
      </c>
      <c r="C88" s="14" t="n"/>
      <c r="D88" s="14" t="n"/>
      <c r="E88" s="14" t="n"/>
      <c r="F88" s="14" t="n"/>
      <c r="G88" s="14" t="n"/>
      <c r="H88" s="14" t="n"/>
      <c r="I88" s="19" t="n"/>
      <c r="J88" s="14" t="n"/>
      <c r="K88" s="30" t="n"/>
    </row>
    <row r="89" ht="22" customHeight="1">
      <c r="B89" s="17">
        <f>IF(C89="","DOS-"&amp;TEXT(COUNTA($C$5:C89),"000"))</f>
        <v/>
      </c>
      <c r="C89" s="12" t="n"/>
      <c r="D89" s="12" t="n"/>
      <c r="E89" s="12" t="n"/>
      <c r="F89" s="12" t="n"/>
      <c r="G89" s="12" t="n"/>
      <c r="H89" s="12" t="n"/>
      <c r="I89" s="18" t="n"/>
      <c r="J89" s="12" t="n"/>
      <c r="K89" s="29" t="n"/>
    </row>
    <row r="90" ht="22" customHeight="1">
      <c r="B90" s="16">
        <f>IF(C90="","DOS-"&amp;TEXT(COUNTA($C$5:C90),"000"))</f>
        <v/>
      </c>
      <c r="C90" s="14" t="n"/>
      <c r="D90" s="14" t="n"/>
      <c r="E90" s="14" t="n"/>
      <c r="F90" s="14" t="n"/>
      <c r="G90" s="14" t="n"/>
      <c r="H90" s="14" t="n"/>
      <c r="I90" s="19" t="n"/>
      <c r="J90" s="14" t="n"/>
      <c r="K90" s="30" t="n"/>
    </row>
    <row r="91" ht="22" customHeight="1">
      <c r="B91" s="17">
        <f>IF(C91="","DOS-"&amp;TEXT(COUNTA($C$5:C91),"000"))</f>
        <v/>
      </c>
      <c r="C91" s="12" t="n"/>
      <c r="D91" s="12" t="n"/>
      <c r="E91" s="12" t="n"/>
      <c r="F91" s="12" t="n"/>
      <c r="G91" s="12" t="n"/>
      <c r="H91" s="12" t="n"/>
      <c r="I91" s="18" t="n"/>
      <c r="J91" s="12" t="n"/>
      <c r="K91" s="29" t="n"/>
    </row>
    <row r="92" ht="22" customHeight="1">
      <c r="B92" s="16">
        <f>IF(C92="","DOS-"&amp;TEXT(COUNTA($C$5:C92),"000"))</f>
        <v/>
      </c>
      <c r="C92" s="14" t="n"/>
      <c r="D92" s="14" t="n"/>
      <c r="E92" s="14" t="n"/>
      <c r="F92" s="14" t="n"/>
      <c r="G92" s="14" t="n"/>
      <c r="H92" s="14" t="n"/>
      <c r="I92" s="19" t="n"/>
      <c r="J92" s="14" t="n"/>
      <c r="K92" s="30" t="n"/>
    </row>
    <row r="93" ht="22" customHeight="1">
      <c r="B93" s="17">
        <f>IF(C93="","DOS-"&amp;TEXT(COUNTA($C$5:C93),"000"))</f>
        <v/>
      </c>
      <c r="C93" s="12" t="n"/>
      <c r="D93" s="12" t="n"/>
      <c r="E93" s="12" t="n"/>
      <c r="F93" s="12" t="n"/>
      <c r="G93" s="12" t="n"/>
      <c r="H93" s="12" t="n"/>
      <c r="I93" s="18" t="n"/>
      <c r="J93" s="12" t="n"/>
      <c r="K93" s="29" t="n"/>
    </row>
    <row r="94" ht="22" customHeight="1">
      <c r="B94" s="16">
        <f>IF(C94="","DOS-"&amp;TEXT(COUNTA($C$5:C94),"000"))</f>
        <v/>
      </c>
      <c r="C94" s="14" t="n"/>
      <c r="D94" s="14" t="n"/>
      <c r="E94" s="14" t="n"/>
      <c r="F94" s="14" t="n"/>
      <c r="G94" s="14" t="n"/>
      <c r="H94" s="14" t="n"/>
      <c r="I94" s="19" t="n"/>
      <c r="J94" s="14" t="n"/>
      <c r="K94" s="30" t="n"/>
    </row>
    <row r="95" ht="22" customHeight="1">
      <c r="B95" s="17">
        <f>IF(C95="","DOS-"&amp;TEXT(COUNTA($C$5:C95),"000"))</f>
        <v/>
      </c>
      <c r="C95" s="12" t="n"/>
      <c r="D95" s="12" t="n"/>
      <c r="E95" s="12" t="n"/>
      <c r="F95" s="12" t="n"/>
      <c r="G95" s="12" t="n"/>
      <c r="H95" s="12" t="n"/>
      <c r="I95" s="18" t="n"/>
      <c r="J95" s="12" t="n"/>
      <c r="K95" s="29" t="n"/>
    </row>
    <row r="96" ht="22" customHeight="1">
      <c r="B96" s="16">
        <f>IF(C96="","DOS-"&amp;TEXT(COUNTA($C$5:C96),"000"))</f>
        <v/>
      </c>
      <c r="C96" s="14" t="n"/>
      <c r="D96" s="14" t="n"/>
      <c r="E96" s="14" t="n"/>
      <c r="F96" s="14" t="n"/>
      <c r="G96" s="14" t="n"/>
      <c r="H96" s="14" t="n"/>
      <c r="I96" s="19" t="n"/>
      <c r="J96" s="14" t="n"/>
      <c r="K96" s="30" t="n"/>
    </row>
    <row r="97" ht="22" customHeight="1">
      <c r="B97" s="17">
        <f>IF(C97="","DOS-"&amp;TEXT(COUNTA($C$5:C97),"000"))</f>
        <v/>
      </c>
      <c r="C97" s="12" t="n"/>
      <c r="D97" s="12" t="n"/>
      <c r="E97" s="12" t="n"/>
      <c r="F97" s="12" t="n"/>
      <c r="G97" s="12" t="n"/>
      <c r="H97" s="12" t="n"/>
      <c r="I97" s="18" t="n"/>
      <c r="J97" s="12" t="n"/>
      <c r="K97" s="29" t="n"/>
    </row>
    <row r="98" ht="22" customHeight="1">
      <c r="B98" s="16">
        <f>IF(C98="","DOS-"&amp;TEXT(COUNTA($C$5:C98),"000"))</f>
        <v/>
      </c>
      <c r="C98" s="14" t="n"/>
      <c r="D98" s="14" t="n"/>
      <c r="E98" s="14" t="n"/>
      <c r="F98" s="14" t="n"/>
      <c r="G98" s="14" t="n"/>
      <c r="H98" s="14" t="n"/>
      <c r="I98" s="19" t="n"/>
      <c r="J98" s="14" t="n"/>
      <c r="K98" s="30" t="n"/>
    </row>
    <row r="99" ht="22" customHeight="1">
      <c r="B99" s="17">
        <f>IF(C99="","DOS-"&amp;TEXT(COUNTA($C$5:C99),"000"))</f>
        <v/>
      </c>
      <c r="C99" s="12" t="n"/>
      <c r="D99" s="12" t="n"/>
      <c r="E99" s="12" t="n"/>
      <c r="F99" s="12" t="n"/>
      <c r="G99" s="12" t="n"/>
      <c r="H99" s="12" t="n"/>
      <c r="I99" s="18" t="n"/>
      <c r="J99" s="12" t="n"/>
      <c r="K99" s="29" t="n"/>
    </row>
    <row r="100" ht="22" customHeight="1">
      <c r="B100" s="16">
        <f>IF(C100="","DOS-"&amp;TEXT(COUNTA($C$5:C100),"000"))</f>
        <v/>
      </c>
      <c r="C100" s="14" t="n"/>
      <c r="D100" s="14" t="n"/>
      <c r="E100" s="14" t="n"/>
      <c r="F100" s="14" t="n"/>
      <c r="G100" s="14" t="n"/>
      <c r="H100" s="14" t="n"/>
      <c r="I100" s="19" t="n"/>
      <c r="J100" s="14" t="n"/>
      <c r="K100" s="30" t="n"/>
    </row>
    <row r="101" ht="22" customHeight="1">
      <c r="B101" s="17">
        <f>IF(C101="","DOS-"&amp;TEXT(COUNTA($C$5:C101),"000"))</f>
        <v/>
      </c>
      <c r="C101" s="12" t="n"/>
      <c r="D101" s="12" t="n"/>
      <c r="E101" s="12" t="n"/>
      <c r="F101" s="12" t="n"/>
      <c r="G101" s="12" t="n"/>
      <c r="H101" s="12" t="n"/>
      <c r="I101" s="18" t="n"/>
      <c r="J101" s="12" t="n"/>
      <c r="K101" s="29" t="n"/>
    </row>
    <row r="102" ht="22" customHeight="1">
      <c r="B102" s="16">
        <f>IF(C102="","DOS-"&amp;TEXT(COUNTA($C$5:C102),"000"))</f>
        <v/>
      </c>
      <c r="C102" s="14" t="n"/>
      <c r="D102" s="14" t="n"/>
      <c r="E102" s="14" t="n"/>
      <c r="F102" s="14" t="n"/>
      <c r="G102" s="14" t="n"/>
      <c r="H102" s="14" t="n"/>
      <c r="I102" s="19" t="n"/>
      <c r="J102" s="14" t="n"/>
      <c r="K102" s="30" t="n"/>
    </row>
    <row r="103" ht="22" customHeight="1">
      <c r="B103" s="17">
        <f>IF(C103="","DOS-"&amp;TEXT(COUNTA($C$5:C103),"000"))</f>
        <v/>
      </c>
      <c r="C103" s="12" t="n"/>
      <c r="D103" s="12" t="n"/>
      <c r="E103" s="12" t="n"/>
      <c r="F103" s="12" t="n"/>
      <c r="G103" s="12" t="n"/>
      <c r="H103" s="12" t="n"/>
      <c r="I103" s="18" t="n"/>
      <c r="J103" s="12" t="n"/>
      <c r="K103" s="29" t="n"/>
    </row>
    <row r="104" ht="22" customHeight="1">
      <c r="B104" s="16">
        <f>IF(C104="","DOS-"&amp;TEXT(COUNTA($C$5:C104),"000"))</f>
        <v/>
      </c>
      <c r="C104" s="14" t="n"/>
      <c r="D104" s="14" t="n"/>
      <c r="E104" s="14" t="n"/>
      <c r="F104" s="14" t="n"/>
      <c r="G104" s="14" t="n"/>
      <c r="H104" s="14" t="n"/>
      <c r="I104" s="19" t="n"/>
      <c r="J104" s="14" t="n"/>
      <c r="K104" s="30" t="n"/>
    </row>
    <row r="105" ht="22" customHeight="1">
      <c r="B105" s="17">
        <f>IF(C105="","DOS-"&amp;TEXT(COUNTA($C$5:C105),"000"))</f>
        <v/>
      </c>
      <c r="C105" s="12" t="n"/>
      <c r="D105" s="12" t="n"/>
      <c r="E105" s="12" t="n"/>
      <c r="F105" s="12" t="n"/>
      <c r="G105" s="12" t="n"/>
      <c r="H105" s="12" t="n"/>
      <c r="I105" s="18" t="n"/>
      <c r="J105" s="12" t="n"/>
      <c r="K105" s="29" t="n"/>
    </row>
    <row r="106" ht="22" customHeight="1">
      <c r="B106" s="16">
        <f>IF(C106="","DOS-"&amp;TEXT(COUNTA($C$5:C106),"000"))</f>
        <v/>
      </c>
      <c r="C106" s="14" t="n"/>
      <c r="D106" s="14" t="n"/>
      <c r="E106" s="14" t="n"/>
      <c r="F106" s="14" t="n"/>
      <c r="G106" s="14" t="n"/>
      <c r="H106" s="14" t="n"/>
      <c r="I106" s="19" t="n"/>
      <c r="J106" s="14" t="n"/>
      <c r="K106" s="30" t="n"/>
    </row>
    <row r="107" ht="22" customHeight="1">
      <c r="B107" s="17">
        <f>IF(C107="","DOS-"&amp;TEXT(COUNTA($C$5:C107),"000"))</f>
        <v/>
      </c>
      <c r="C107" s="12" t="n"/>
      <c r="D107" s="12" t="n"/>
      <c r="E107" s="12" t="n"/>
      <c r="F107" s="12" t="n"/>
      <c r="G107" s="12" t="n"/>
      <c r="H107" s="12" t="n"/>
      <c r="I107" s="18" t="n"/>
      <c r="J107" s="12" t="n"/>
      <c r="K107" s="29" t="n"/>
    </row>
    <row r="108" ht="22" customHeight="1">
      <c r="B108" s="16">
        <f>IF(C108="","DOS-"&amp;TEXT(COUNTA($C$5:C108),"000"))</f>
        <v/>
      </c>
      <c r="C108" s="14" t="n"/>
      <c r="D108" s="14" t="n"/>
      <c r="E108" s="14" t="n"/>
      <c r="F108" s="14" t="n"/>
      <c r="G108" s="14" t="n"/>
      <c r="H108" s="14" t="n"/>
      <c r="I108" s="19" t="n"/>
      <c r="J108" s="14" t="n"/>
      <c r="K108" s="30" t="n"/>
    </row>
    <row r="109" ht="22" customHeight="1">
      <c r="B109" s="17">
        <f>IF(C109="","DOS-"&amp;TEXT(COUNTA($C$5:C109),"000"))</f>
        <v/>
      </c>
      <c r="C109" s="12" t="n"/>
      <c r="D109" s="12" t="n"/>
      <c r="E109" s="12" t="n"/>
      <c r="F109" s="12" t="n"/>
      <c r="G109" s="12" t="n"/>
      <c r="H109" s="12" t="n"/>
      <c r="I109" s="18" t="n"/>
      <c r="J109" s="12" t="n"/>
      <c r="K109" s="29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Dossiers total</t>
        </is>
      </c>
      <c r="D112" s="3" t="inlineStr">
        <is>
          <t>Complets</t>
        </is>
      </c>
      <c r="F112" s="3" t="inlineStr">
        <is>
          <t>Incomplets</t>
        </is>
      </c>
    </row>
    <row r="113">
      <c r="B113" s="4">
        <f>COUNTIF(B5:B104,"&lt;&gt;")</f>
        <v/>
      </c>
      <c r="D113" s="4">
        <f>COUNTIF(J5:J104,"Complet")</f>
        <v/>
      </c>
      <c r="F113" s="4">
        <f>COUNTIF(J5:J104,"Incomplet")+COUNTIF(J5:J104,"A mettre a jour")</f>
        <v/>
      </c>
    </row>
  </sheetData>
  <mergeCells count="3">
    <mergeCell ref="B111:K111"/>
    <mergeCell ref="B3:K3"/>
    <mergeCell ref="B2:K2"/>
  </mergeCells>
  <conditionalFormatting sqref="J5:J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1">
      <formula>"En attente"</formula>
    </cfRule>
    <cfRule type="cellIs" priority="77" operator="equal" dxfId="1">
      <formula>"A renouveler"</formula>
    </cfRule>
    <cfRule type="cellIs" priority="78" operator="equal" dxfId="1">
      <formula>"En cours"</formula>
    </cfRule>
    <cfRule type="cellIs" priority="79" operator="equal" dxfId="1">
      <formula>"En traitement"</formula>
    </cfRule>
    <cfRule type="cellIs" priority="80" operator="equal" dxfId="1">
      <formula>"En retard"</formula>
    </cfRule>
    <cfRule type="cellIs" priority="81" operator="equal" dxfId="1">
      <formula>"Suspendu"</formula>
    </cfRule>
    <cfRule type="cellIs" priority="82" operator="equal" dxfId="1">
      <formula>"Planifie"</formula>
    </cfRule>
    <cfRule type="cellIs" priority="83" operator="equal" dxfId="1">
      <formula>"Planifiee"</formula>
    </cfRule>
    <cfRule type="cellIs" priority="84" operator="equal" dxfId="1">
      <formula>"Brouillon"</formula>
    </cfRule>
    <cfRule type="cellIs" priority="85" operator="equal" dxfId="1">
      <formula>"En attente de justification"</formula>
    </cfRule>
    <cfRule type="cellIs" priority="86" operator="equal" dxfId="1">
      <formula>"Tolere"</formula>
    </cfRule>
    <cfRule type="cellIs" priority="87" operator="equal" dxfId="1">
      <formula>"Variable"</formula>
    </cfRule>
    <cfRule type="cellIs" priority="88" operator="equal" dxfId="1">
      <formula>"En elaboration"</formula>
    </cfRule>
    <cfRule type="cellIs" priority="89" operator="equal" dxfId="1">
      <formula>"Provisionne"</formula>
    </cfRule>
    <cfRule type="cellIs" priority="90" operator="equal" dxfId="1">
      <formula>"Consomme partiel"</formula>
    </cfRule>
    <cfRule type="cellIs" priority="91" operator="equal" dxfId="1">
      <formula>"Identifie"</formula>
    </cfRule>
    <cfRule type="cellIs" priority="92" operator="equal" dxfId="1">
      <formula>"Priorise"</formula>
    </cfRule>
    <cfRule type="cellIs" priority="93" operator="equal" dxfId="1">
      <formula>"Intermediaire"</formula>
    </cfRule>
    <cfRule type="cellIs" priority="94" operator="equal" dxfId="1">
      <formula>"Non evalue"</formula>
    </cfRule>
    <cfRule type="cellIs" priority="95" operator="equal" dxfId="1">
      <formula>"En cours de realisation"</formula>
    </cfRule>
    <cfRule type="cellIs" priority="96" operator="equal" dxfId="1">
      <formula>"Non demarre"</formula>
    </cfRule>
    <cfRule type="cellIs" priority="97" operator="equal" dxfId="1">
      <formula>"En attente N+1"</formula>
    </cfRule>
    <cfRule type="cellIs" priority="98" operator="equal" dxfId="1">
      <formula>"Prolongation essai"</formula>
    </cfRule>
    <cfRule type="cellIs" priority="99" operator="equal" dxfId="1">
      <formula>"En attente validation"</formula>
    </cfRule>
    <cfRule type="cellIs" priority="100" operator="equal" dxfId="1">
      <formula>"Bon"</formula>
    </cfRule>
    <cfRule type="cellIs" priority="101" operator="equal" dxfId="1">
      <formula>"D - Moyen"</formula>
    </cfRule>
    <cfRule type="cellIs" priority="102" operator="equal" dxfId="1">
      <formula>"En cours de repres."</formula>
    </cfRule>
    <cfRule type="cellIs" priority="103" operator="equal" dxfId="1">
      <formula>"En negociation"</formula>
    </cfRule>
    <cfRule type="cellIs" priority="104" operator="equal" dxfId="1">
      <formula>"En preparation"</formula>
    </cfRule>
    <cfRule type="cellIs" priority="105" operator="equal" dxfId="1">
      <formula>"En cours d'instruction"</formula>
    </cfRule>
    <cfRule type="cellIs" priority="106" operator="equal" dxfId="1">
      <formula>"Transferee N+1"</formula>
    </cfRule>
    <cfRule type="cellIs" priority="107" operator="equal" dxfId="1">
      <formula>"En attente reponse"</formula>
    </cfRule>
    <cfRule type="cellIs" priority="108" operator="equal" dxfId="1">
      <formula>"Enquete ouverte"</formula>
    </cfRule>
    <cfRule type="cellIs" priority="109" operator="equal" dxfId="1">
      <formula>"Convocation envoyee"</formula>
    </cfRule>
    <cfRule type="cellIs" priority="110" operator="equal" dxfId="1">
      <formula>"Entretien realise"</formula>
    </cfRule>
    <cfRule type="cellIs" priority="111" operator="equal" dxfId="1">
      <formula>"Saisie"</formula>
    </cfRule>
    <cfRule type="cellIs" priority="112" operator="equal" dxfId="1">
      <formula>"En mediation"</formula>
    </cfRule>
    <cfRule type="cellIs" priority="113" operator="equal" dxfId="1">
      <formula>"En recours"</formula>
    </cfRule>
    <cfRule type="cellIs" priority="114" operator="equal" dxfId="1">
      <formula>"Reportee"</formula>
    </cfRule>
    <cfRule type="cellIs" priority="115" operator="equal" dxfId="1">
      <formula>"Reporte"</formula>
    </cfRule>
    <cfRule type="cellIs" priority="116" operator="equal" dxfId="1">
      <formula>"Signale"</formula>
    </cfRule>
    <cfRule type="cellIs" priority="117" operator="equal" dxfId="1">
      <formula>"Precontentieux"</formula>
    </cfRule>
    <cfRule type="cellIs" priority="118" operator="equal" dxfId="1">
      <formula>"En attente election"</formula>
    </cfRule>
    <cfRule type="cellIs" priority="119" operator="equal" dxfId="1">
      <formula>"Classe"</formula>
    </cfRule>
    <cfRule type="cellIs" priority="120" operator="equal" dxfId="1">
      <formula>"En cours d'evaluation"</formula>
    </cfRule>
    <cfRule type="cellIs" priority="121" operator="equal" dxfId="1">
      <formula>"En cours d'enquete"</formula>
    </cfRule>
    <cfRule type="cellIs" priority="122" operator="equal" dxfId="1">
      <formula>"En cours de commande"</formula>
    </cfRule>
    <cfRule type="cellIs" priority="123" operator="equal" dxfId="1">
      <formula>"A revoir"</formula>
    </cfRule>
    <cfRule type="cellIs" priority="124" operator="equal" dxfId="1">
      <formula>"A remplacer"</formula>
    </cfRule>
    <cfRule type="cellIs" priority="125" operator="equal" dxfId="1">
      <formula>"En cours d'instruction CNPS"</formula>
    </cfRule>
    <cfRule type="cellIs" priority="126" operator="equal" dxfId="1">
      <formula>"En contestation"</formula>
    </cfRule>
    <cfRule type="cellIs" priority="127" operator="equal" dxfId="1">
      <formula>"Inapte temporaire"</formula>
    </cfRule>
    <cfRule type="cellIs" priority="128" operator="equal" dxfId="1">
      <formula>"Candidat identifie"</formula>
    </cfRule>
    <cfRule type="cellIs" priority="129" operator="equal" dxfId="1">
      <formula>"En formation"</formula>
    </cfRule>
    <cfRule type="cellIs" priority="130" operator="equal" dxfId="1">
      <formula>"En evaluation"</formula>
    </cfRule>
    <cfRule type="cellIs" priority="131" operator="equal" dxfId="1">
      <formula>"En transit"</formula>
    </cfRule>
    <cfRule type="cellIs" priority="132" operator="equal" dxfId="1">
      <formula>"En attente visa"</formula>
    </cfRule>
    <cfRule type="cellIs" priority="133" operator="equal" dxfId="1">
      <formula>"Proposee"</formula>
    </cfRule>
    <cfRule type="cellIs" priority="134" operator="equal" dxfId="1">
      <formula>"En cours d'acquisition"</formula>
    </cfRule>
    <cfRule type="cellIs" priority="135" operator="equal" dxfId="1">
      <formula>"A developper"</formula>
    </cfRule>
    <cfRule type="cellIs" priority="136" operator="equal" dxfId="1">
      <formula>"A renforcer"</formula>
    </cfRule>
    <cfRule type="cellIs" priority="137" operator="equal" dxfId="1">
      <formula>"En cours"</formula>
    </cfRule>
    <cfRule type="cellIs" priority="138" operator="equal" dxfId="1">
      <formula>"Partiellement conforme"</formula>
    </cfRule>
    <cfRule type="cellIs" priority="139" operator="equal" dxfId="1">
      <formula>"En mise en conformite"</formula>
    </cfRule>
    <cfRule type="cellIs" priority="140" operator="equal" dxfId="1">
      <formula>"En revision"</formula>
    </cfRule>
    <cfRule type="cellIs" priority="141" operator="equal" dxfId="1">
      <formula>"A approuver"</formula>
    </cfRule>
    <cfRule type="cellIs" priority="142" operator="equal" dxfId="1">
      <formula>"En conciliation"</formula>
    </cfRule>
    <cfRule type="cellIs" priority="143" operator="equal" dxfId="1">
      <formula>"Assigne tribunal"</formula>
    </cfRule>
    <cfRule type="cellIs" priority="144" operator="equal" dxfId="1">
      <formula>"En cours de preparation"</formula>
    </cfRule>
    <cfRule type="cellIs" priority="145" operator="equal" dxfId="1">
      <formula>"Non effectuee"</formula>
    </cfRule>
    <cfRule type="cellIs" priority="146" operator="equal" dxfId="1">
      <formula>"A archiver"</formula>
    </cfRule>
    <cfRule type="cellIs" priority="147" operator="equal" dxfId="1">
      <formula>"En cours de constitution"</formula>
    </cfRule>
    <cfRule type="cellIs" priority="148" operator="equal" dxfId="1">
      <formula>"A mettre a jour"</formula>
    </cfRule>
    <cfRule type="cellIs" priority="149" operator="equal" dxfId="1">
      <formula>"En restoration"</formula>
    </cfRule>
    <cfRule type="cellIs" priority="150" operator="equal" dxfId="1">
      <formula>"En cours de restauration"</formula>
    </cfRule>
    <cfRule type="cellIs" priority="151" operator="equal" dxfId="1">
      <formula>"A determiner"</formula>
    </cfRule>
    <cfRule type="cellIs" priority="152" operator="equal" dxfId="1">
      <formula>"En revision"</formula>
    </cfRule>
    <cfRule type="cellIs" priority="153" operator="equal" dxfId="1">
      <formula>"Obsolete"</formula>
    </cfRule>
    <cfRule type="cellIs" priority="154" operator="equal" dxfId="1">
      <formula>"Hybride (papier + numerique)"</formula>
    </cfRule>
    <cfRule type="cellIs" priority="155" operator="equal" dxfId="2">
      <formula>"Expire"</formula>
    </cfRule>
    <cfRule type="cellIs" priority="156" operator="equal" dxfId="2">
      <formula>"Rejete"</formula>
    </cfRule>
    <cfRule type="cellIs" priority="157" operator="equal" dxfId="2">
      <formula>"Rejetee"</formula>
    </cfRule>
    <cfRule type="cellIs" priority="158" operator="equal" dxfId="2">
      <formula>"Resilie"</formula>
    </cfRule>
    <cfRule type="cellIs" priority="159" operator="equal" dxfId="2">
      <formula>"Annule"</formula>
    </cfRule>
    <cfRule type="cellIs" priority="160" operator="equal" dxfId="2">
      <formula>"Annulee"</formula>
    </cfRule>
    <cfRule type="cellIs" priority="161" operator="equal" dxfId="2">
      <formula>"Refuse"</formula>
    </cfRule>
    <cfRule type="cellIs" priority="162" operator="equal" dxfId="2">
      <formula>"Non justifie"</formula>
    </cfRule>
    <cfRule type="cellIs" priority="163" operator="equal" dxfId="2">
      <formula>"Non justifiee"</formula>
    </cfRule>
    <cfRule type="cellIs" priority="164" operator="equal" dxfId="2">
      <formula>"Sanctionne"</formula>
    </cfRule>
    <cfRule type="cellIs" priority="165" operator="equal" dxfId="2">
      <formula>"Inaptitude"</formula>
    </cfRule>
    <cfRule type="cellIs" priority="166" operator="equal" dxfId="2">
      <formula>"Absent sans autorisation"</formula>
    </cfRule>
    <cfRule type="cellIs" priority="167" operator="equal" dxfId="2">
      <formula>"Abandon de poste"</formula>
    </cfRule>
    <cfRule type="cellIs" priority="168" operator="equal" dxfId="2">
      <formula>"Non satisfait"</formula>
    </cfRule>
    <cfRule type="cellIs" priority="169" operator="equal" dxfId="2">
      <formula>"Depasse"</formula>
    </cfRule>
    <cfRule type="cellIs" priority="170" operator="equal" dxfId="2">
      <formula>"Non utilise"</formula>
    </cfRule>
    <cfRule type="cellIs" priority="171" operator="equal" dxfId="2">
      <formula>"Non applicable"</formula>
    </cfRule>
    <cfRule type="cellIs" priority="172" operator="equal" dxfId="2">
      <formula>"Debutant"</formula>
    </cfRule>
    <cfRule type="cellIs" priority="173" operator="equal" dxfId="2">
      <formula>"Non atteint"</formula>
    </cfRule>
    <cfRule type="cellIs" priority="174" operator="equal" dxfId="2">
      <formula>"Abandonne"</formula>
    </cfRule>
    <cfRule type="cellIs" priority="175" operator="equal" dxfId="2">
      <formula>"Rupture essai"</formula>
    </cfRule>
    <cfRule type="cellIs" priority="176" operator="equal" dxfId="2">
      <formula>"Insuffisant"</formula>
    </cfRule>
    <cfRule type="cellIs" priority="177" operator="equal" dxfId="2">
      <formula>"Moyen"</formula>
    </cfRule>
    <cfRule type="cellIs" priority="178" operator="equal" dxfId="2">
      <formula>"E - Insuffisant"</formula>
    </cfRule>
    <cfRule type="cellIs" priority="179" operator="equal" dxfId="2">
      <formula>"Dissous"</formula>
    </cfRule>
    <cfRule type="cellIs" priority="180" operator="equal" dxfId="2">
      <formula>"Denonce"</formula>
    </cfRule>
    <cfRule type="cellIs" priority="181" operator="equal" dxfId="2">
      <formula>"Echoue"</formula>
    </cfRule>
    <cfRule type="cellIs" priority="182" operator="equal" dxfId="2">
      <formula>"Echouee"</formula>
    </cfRule>
    <cfRule type="cellIs" priority="183" operator="equal" dxfId="2">
      <formula>"Revoque"</formula>
    </cfRule>
    <cfRule type="cellIs" priority="184" operator="equal" dxfId="2">
      <formula>"Demissionnaire"</formula>
    </cfRule>
    <cfRule type="cellIs" priority="185" operator="equal" dxfId="2">
      <formula>"Licenciement pour faute"</formula>
    </cfRule>
    <cfRule type="cellIs" priority="186" operator="equal" dxfId="2">
      <formula>"Licenciement pour faute grave"</formula>
    </cfRule>
    <cfRule type="cellIs" priority="187" operator="equal" dxfId="2">
      <formula>"Terminee - Echec"</formula>
    </cfRule>
    <cfRule type="cellIs" priority="188" operator="equal" dxfId="2">
      <formula>"Abandonnee"</formula>
    </cfRule>
    <cfRule type="cellIs" priority="189" operator="equal" dxfId="2">
      <formula>"Violence physique"</formula>
    </cfRule>
    <cfRule type="cellIs" priority="190" operator="equal" dxfId="2">
      <formula>"Violence verbale"</formula>
    </cfRule>
    <cfRule type="cellIs" priority="191" operator="equal" dxfId="2">
      <formula>"Fatal"</formula>
    </cfRule>
    <cfRule type="cellIs" priority="192" operator="equal" dxfId="2">
      <formula>"Non reconnue"</formula>
    </cfRule>
    <cfRule type="cellIs" priority="193" operator="equal" dxfId="2">
      <formula>"Inapte definitif"</formula>
    </cfRule>
    <cfRule type="cellIs" priority="194" operator="equal" dxfId="2">
      <formula>"Perdu / vole"</formula>
    </cfRule>
    <cfRule type="cellIs" priority="195" operator="equal" dxfId="2">
      <formula>"Rebute"</formula>
    </cfRule>
    <cfRule type="cellIs" priority="196" operator="equal" dxfId="2">
      <formula>"Obsolette"</formula>
    </cfRule>
    <cfRule type="cellIs" priority="197" operator="equal" dxfId="2">
      <formula>"Conteste"</formula>
    </cfRule>
    <cfRule type="cellIs" priority="198" operator="equal" dxfId="2">
      <formula>"Refusee"</formula>
    </cfRule>
    <cfRule type="cellIs" priority="199" operator="equal" dxfId="2">
      <formula>"Non retenu"</formula>
    </cfRule>
    <cfRule type="cellIs" priority="200" operator="equal" dxfId="2">
      <formula>"Non acquis"</formula>
    </cfRule>
    <cfRule type="cellIs" priority="201" operator="equal" dxfId="2">
      <formula>"Contrat termine"</formula>
    </cfRule>
    <cfRule type="cellIs" priority="202" operator="equal" dxfId="2">
      <formula>"Rapatrie"</formula>
    </cfRule>
    <cfRule type="cellIs" priority="203" operator="equal" dxfId="2">
      <formula>"Non conforme"</formula>
    </cfRule>
    <cfRule type="cellIs" priority="204" operator="equal" dxfId="2">
      <formula>"Abandonne"</formula>
    </cfRule>
    <cfRule type="cellIs" priority="205" operator="equal" dxfId="2">
      <formula>"Perdu"</formula>
    </cfRule>
    <cfRule type="cellIs" priority="206" operator="equal" dxfId="2">
      <formula>"Resilie"</formula>
    </cfRule>
    <cfRule type="cellIs" priority="207" operator="equal" dxfId="2">
      <formula>"Expire"</formula>
    </cfRule>
    <cfRule type="cellIs" priority="208" operator="equal" dxfId="2">
      <formula>"Incomplet"</formula>
    </cfRule>
    <cfRule type="cellIs" priority="209" operator="equal" dxfId="2">
      <formula>"Non restitue"</formula>
    </cfRule>
    <cfRule type="cellIs" priority="210" operator="equal" dxfId="2">
      <formula>"Perdu"</formula>
    </cfRule>
    <cfRule type="cellIs" priority="211" operator="equal" dxfId="2">
      <formula>"Secret"</formula>
    </cfRule>
  </conditionalFormatting>
  <conditionalFormatting sqref="B10:B109">
    <cfRule type="expression" priority="212" dxfId="3">
      <formula>AND($C10="",$C9&lt;&gt;"")</formula>
    </cfRule>
  </conditionalFormatting>
  <conditionalFormatting sqref="C10:C109">
    <cfRule type="expression" priority="213" dxfId="3">
      <formula>AND($C10="",$C9&lt;&gt;"")</formula>
    </cfRule>
  </conditionalFormatting>
  <conditionalFormatting sqref="D10:D109">
    <cfRule type="expression" priority="214" dxfId="3">
      <formula>AND($C10="",$C9&lt;&gt;"")</formula>
    </cfRule>
  </conditionalFormatting>
  <conditionalFormatting sqref="E10:E109">
    <cfRule type="expression" priority="215" dxfId="3">
      <formula>AND($C10="",$C9&lt;&gt;"")</formula>
    </cfRule>
  </conditionalFormatting>
  <conditionalFormatting sqref="F10:F109">
    <cfRule type="expression" priority="216" dxfId="3">
      <formula>AND($C10="",$C9&lt;&gt;"")</formula>
    </cfRule>
  </conditionalFormatting>
  <conditionalFormatting sqref="G10:G109">
    <cfRule type="expression" priority="217" dxfId="3">
      <formula>AND($C10="",$C9&lt;&gt;"")</formula>
    </cfRule>
  </conditionalFormatting>
  <conditionalFormatting sqref="H10:H109">
    <cfRule type="expression" priority="218" dxfId="3">
      <formula>AND($C10="",$C9&lt;&gt;"")</formula>
    </cfRule>
  </conditionalFormatting>
  <conditionalFormatting sqref="I10:I109">
    <cfRule type="expression" priority="219" dxfId="3">
      <formula>AND($C10="",$C9&lt;&gt;"")</formula>
    </cfRule>
  </conditionalFormatting>
  <conditionalFormatting sqref="J10:J109">
    <cfRule type="expression" priority="220" dxfId="3">
      <formula>AND($C10="",$C9&lt;&gt;"")</formula>
    </cfRule>
  </conditionalFormatting>
  <conditionalFormatting sqref="K10:K109">
    <cfRule type="expression" priority="221" dxfId="3">
      <formula>AND($C10="",$C9&lt;&gt;"")</formula>
    </cfRule>
  </conditionalFormatting>
  <dataValidations count="3">
    <dataValidation sqref="D5:D109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E5:E109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J5:J109" showDropDown="0" showInputMessage="0" showErrorMessage="0" allowBlank="1" errorTitle="Erreur" error="Valeur invalide" promptTitle="Liste" prompt="Choisir dans la liste" type="list">
      <formula1>'_Lists'!$N$2:$N$6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32" customWidth="1" min="4" max="4"/>
    <col width="28" customWidth="1" min="5" max="5"/>
    <col width="16" customWidth="1" min="6" max="6"/>
    <col width="14" customWidth="1" min="7" max="7"/>
    <col width="14" customWidth="1" min="8" max="8"/>
    <col width="26" customWidth="1" min="9" max="9"/>
    <col width="20" customWidth="1" min="10" max="10"/>
    <col width="12" customWidth="1" min="11" max="11"/>
  </cols>
  <sheetData>
    <row r="1" ht="15" customHeight="1"/>
    <row r="2" ht="32" customHeight="1">
      <c r="B2" s="1" t="inlineStr">
        <is>
          <t>ARCHIVAGE PHYSIQUE (#129)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Designation Boite</t>
        </is>
      </c>
      <c r="D4" s="11" t="inlineStr">
        <is>
          <t>Localisation</t>
        </is>
      </c>
      <c r="E4" s="11" t="inlineStr">
        <is>
          <t>Type Contenu</t>
        </is>
      </c>
      <c r="F4" s="11" t="inlineStr">
        <is>
          <t>Annee Archives</t>
        </is>
      </c>
      <c r="G4" s="11" t="inlineStr">
        <is>
          <t>Nb Dossiers</t>
        </is>
      </c>
      <c r="H4" s="11" t="inlineStr">
        <is>
          <t>Date Archivage</t>
        </is>
      </c>
      <c r="I4" s="11" t="inlineStr">
        <is>
          <t>Duree Conservation</t>
        </is>
      </c>
      <c r="J4" s="11" t="inlineStr">
        <is>
          <t>Date Destruction Prev.</t>
        </is>
      </c>
      <c r="K4" s="11" t="inlineStr">
        <is>
          <t>Statut</t>
        </is>
      </c>
    </row>
    <row r="5" ht="22" customHeight="1">
      <c r="B5" s="12" t="inlineStr">
        <is>
          <t>APH-001</t>
        </is>
      </c>
      <c r="C5" s="12" t="inlineStr">
        <is>
          <t>BOITE-ARCH-2020-A</t>
        </is>
      </c>
      <c r="D5" s="12" t="inlineStr">
        <is>
          <t>Sous-sol, Rangee 1, Etagere A</t>
        </is>
      </c>
      <c r="E5" s="12" t="inlineStr">
        <is>
          <t>Contrats travail 2020</t>
        </is>
      </c>
      <c r="F5" s="12" t="inlineStr">
        <is>
          <t>2020</t>
        </is>
      </c>
      <c r="G5" s="18" t="n">
        <v>25</v>
      </c>
      <c r="H5" s="29" t="n">
        <v>44211</v>
      </c>
      <c r="I5" s="12" t="inlineStr">
        <is>
          <t>Durée du contrat + 5 ans</t>
        </is>
      </c>
      <c r="J5" s="29" t="n">
        <v>47848</v>
      </c>
      <c r="K5" s="12" t="inlineStr">
        <is>
          <t>Archive</t>
        </is>
      </c>
    </row>
    <row r="6" ht="22" customHeight="1">
      <c r="B6" s="14" t="inlineStr">
        <is>
          <t>APH-002</t>
        </is>
      </c>
      <c r="C6" s="14" t="inlineStr">
        <is>
          <t>BOITE-ARCH-2021-B</t>
        </is>
      </c>
      <c r="D6" s="14" t="inlineStr">
        <is>
          <t>Sous-sol, Rangee 1, Etagere B</t>
        </is>
      </c>
      <c r="E6" s="14" t="inlineStr">
        <is>
          <t>Fiches de paie 2021</t>
        </is>
      </c>
      <c r="F6" s="14" t="inlineStr">
        <is>
          <t>2021</t>
        </is>
      </c>
      <c r="G6" s="19" t="n">
        <v>85</v>
      </c>
      <c r="H6" s="30" t="n">
        <v>44593</v>
      </c>
      <c r="I6" s="14" t="inlineStr">
        <is>
          <t>5 ans</t>
        </is>
      </c>
      <c r="J6" s="30" t="n">
        <v>46419</v>
      </c>
      <c r="K6" s="14" t="inlineStr">
        <is>
          <t>Archive</t>
        </is>
      </c>
    </row>
    <row r="7" ht="22" customHeight="1">
      <c r="B7" s="12" t="inlineStr">
        <is>
          <t>APH-003</t>
        </is>
      </c>
      <c r="C7" s="12" t="inlineStr">
        <is>
          <t>BOITE-ARCH-2022-A</t>
        </is>
      </c>
      <c r="D7" s="12" t="inlineStr">
        <is>
          <t>Sous-sol, Rangee 2, Etagere A</t>
        </is>
      </c>
      <c r="E7" s="12" t="inlineStr">
        <is>
          <t>Contrats + Avenants 2022</t>
        </is>
      </c>
      <c r="F7" s="12" t="inlineStr">
        <is>
          <t>2022</t>
        </is>
      </c>
      <c r="G7" s="18" t="n">
        <v>30</v>
      </c>
      <c r="H7" s="29" t="n">
        <v>44946</v>
      </c>
      <c r="I7" s="12" t="inlineStr">
        <is>
          <t>Durée du contrat + 5 ans</t>
        </is>
      </c>
      <c r="J7" s="29" t="n">
        <v>48579</v>
      </c>
      <c r="K7" s="12" t="inlineStr">
        <is>
          <t>Archive</t>
        </is>
      </c>
    </row>
    <row r="8" ht="22" customHeight="1">
      <c r="B8" s="14" t="inlineStr">
        <is>
          <t>APH-004</t>
        </is>
      </c>
      <c r="C8" s="14" t="inlineStr">
        <is>
          <t>BOITE-ARCH-2023-A</t>
        </is>
      </c>
      <c r="D8" s="14" t="inlineStr">
        <is>
          <t>Sous-sol, Rangee 2, Etagere B</t>
        </is>
      </c>
      <c r="E8" s="14" t="inlineStr">
        <is>
          <t>Bullets paie 2023</t>
        </is>
      </c>
      <c r="F8" s="14" t="inlineStr">
        <is>
          <t>2023</t>
        </is>
      </c>
      <c r="G8" s="19" t="n">
        <v>90</v>
      </c>
      <c r="H8" s="30" t="n">
        <v>45306</v>
      </c>
      <c r="I8" s="14" t="inlineStr">
        <is>
          <t>5 ans</t>
        </is>
      </c>
      <c r="J8" s="30" t="n">
        <v>47133</v>
      </c>
      <c r="K8" s="14" t="inlineStr">
        <is>
          <t>Archive</t>
        </is>
      </c>
    </row>
    <row r="9" ht="22" customHeight="1">
      <c r="B9" s="12" t="inlineStr">
        <is>
          <t>APH-005</t>
        </is>
      </c>
      <c r="C9" s="12" t="inlineStr">
        <is>
          <t>BOITE-ARCH-2024-A</t>
        </is>
      </c>
      <c r="D9" s="12" t="inlineStr">
        <is>
          <t>Sous-sol, Rangee 3, Etagere A</t>
        </is>
      </c>
      <c r="E9" s="12" t="inlineStr">
        <is>
          <t>Declarations CNPS 2024</t>
        </is>
      </c>
      <c r="F9" s="12" t="inlineStr">
        <is>
          <t>2024</t>
        </is>
      </c>
      <c r="G9" s="18" t="n">
        <v>24</v>
      </c>
      <c r="H9" s="29" t="n">
        <v>45689</v>
      </c>
      <c r="I9" s="12" t="inlineStr">
        <is>
          <t>10 ans</t>
        </is>
      </c>
      <c r="J9" s="29" t="n">
        <v>49341</v>
      </c>
      <c r="K9" s="12" t="inlineStr">
        <is>
          <t>Archive</t>
        </is>
      </c>
    </row>
    <row r="10" ht="22" customHeight="1">
      <c r="B10" s="16">
        <f>IF(C10="","APH-"&amp;TEXT(COUNTA($C$5:C10),"000"))</f>
        <v/>
      </c>
      <c r="C10" s="14" t="n"/>
      <c r="D10" s="14" t="n"/>
      <c r="E10" s="14" t="n"/>
      <c r="F10" s="14" t="n"/>
      <c r="G10" s="19" t="n"/>
      <c r="H10" s="30" t="n"/>
      <c r="I10" s="14" t="n"/>
      <c r="J10" s="30" t="n"/>
      <c r="K10" s="14" t="n"/>
    </row>
    <row r="11" ht="22" customHeight="1">
      <c r="B11" s="17">
        <f>IF(C11="","APH-"&amp;TEXT(COUNTA($C$5:C11),"000"))</f>
        <v/>
      </c>
      <c r="C11" s="12" t="n"/>
      <c r="D11" s="12" t="n"/>
      <c r="E11" s="12" t="n"/>
      <c r="F11" s="12" t="n"/>
      <c r="G11" s="18" t="n"/>
      <c r="H11" s="29" t="n"/>
      <c r="I11" s="12" t="n"/>
      <c r="J11" s="29" t="n"/>
      <c r="K11" s="12" t="n"/>
    </row>
    <row r="12" ht="22" customHeight="1">
      <c r="B12" s="16">
        <f>IF(C12="","APH-"&amp;TEXT(COUNTA($C$5:C12),"000"))</f>
        <v/>
      </c>
      <c r="C12" s="14" t="n"/>
      <c r="D12" s="14" t="n"/>
      <c r="E12" s="14" t="n"/>
      <c r="F12" s="14" t="n"/>
      <c r="G12" s="19" t="n"/>
      <c r="H12" s="30" t="n"/>
      <c r="I12" s="14" t="n"/>
      <c r="J12" s="30" t="n"/>
      <c r="K12" s="14" t="n"/>
    </row>
    <row r="13" ht="22" customHeight="1">
      <c r="B13" s="17">
        <f>IF(C13="","APH-"&amp;TEXT(COUNTA($C$5:C13),"000"))</f>
        <v/>
      </c>
      <c r="C13" s="12" t="n"/>
      <c r="D13" s="12" t="n"/>
      <c r="E13" s="12" t="n"/>
      <c r="F13" s="12" t="n"/>
      <c r="G13" s="18" t="n"/>
      <c r="H13" s="29" t="n"/>
      <c r="I13" s="12" t="n"/>
      <c r="J13" s="29" t="n"/>
      <c r="K13" s="12" t="n"/>
    </row>
    <row r="14" ht="22" customHeight="1">
      <c r="B14" s="16">
        <f>IF(C14="","APH-"&amp;TEXT(COUNTA($C$5:C14),"000"))</f>
        <v/>
      </c>
      <c r="C14" s="14" t="n"/>
      <c r="D14" s="14" t="n"/>
      <c r="E14" s="14" t="n"/>
      <c r="F14" s="14" t="n"/>
      <c r="G14" s="19" t="n"/>
      <c r="H14" s="30" t="n"/>
      <c r="I14" s="14" t="n"/>
      <c r="J14" s="30" t="n"/>
      <c r="K14" s="14" t="n"/>
    </row>
    <row r="15" ht="22" customHeight="1">
      <c r="B15" s="17">
        <f>IF(C15="","APH-"&amp;TEXT(COUNTA($C$5:C15),"000"))</f>
        <v/>
      </c>
      <c r="C15" s="12" t="n"/>
      <c r="D15" s="12" t="n"/>
      <c r="E15" s="12" t="n"/>
      <c r="F15" s="12" t="n"/>
      <c r="G15" s="18" t="n"/>
      <c r="H15" s="29" t="n"/>
      <c r="I15" s="12" t="n"/>
      <c r="J15" s="29" t="n"/>
      <c r="K15" s="12" t="n"/>
    </row>
    <row r="16" ht="22" customHeight="1">
      <c r="B16" s="16">
        <f>IF(C16="","APH-"&amp;TEXT(COUNTA($C$5:C16),"000"))</f>
        <v/>
      </c>
      <c r="C16" s="14" t="n"/>
      <c r="D16" s="14" t="n"/>
      <c r="E16" s="14" t="n"/>
      <c r="F16" s="14" t="n"/>
      <c r="G16" s="19" t="n"/>
      <c r="H16" s="30" t="n"/>
      <c r="I16" s="14" t="n"/>
      <c r="J16" s="30" t="n"/>
      <c r="K16" s="14" t="n"/>
    </row>
    <row r="17" ht="22" customHeight="1">
      <c r="B17" s="17">
        <f>IF(C17="","APH-"&amp;TEXT(COUNTA($C$5:C17),"000"))</f>
        <v/>
      </c>
      <c r="C17" s="12" t="n"/>
      <c r="D17" s="12" t="n"/>
      <c r="E17" s="12" t="n"/>
      <c r="F17" s="12" t="n"/>
      <c r="G17" s="18" t="n"/>
      <c r="H17" s="29" t="n"/>
      <c r="I17" s="12" t="n"/>
      <c r="J17" s="29" t="n"/>
      <c r="K17" s="12" t="n"/>
    </row>
    <row r="18" ht="22" customHeight="1">
      <c r="B18" s="16">
        <f>IF(C18="","APH-"&amp;TEXT(COUNTA($C$5:C18),"000"))</f>
        <v/>
      </c>
      <c r="C18" s="14" t="n"/>
      <c r="D18" s="14" t="n"/>
      <c r="E18" s="14" t="n"/>
      <c r="F18" s="14" t="n"/>
      <c r="G18" s="19" t="n"/>
      <c r="H18" s="30" t="n"/>
      <c r="I18" s="14" t="n"/>
      <c r="J18" s="30" t="n"/>
      <c r="K18" s="14" t="n"/>
    </row>
    <row r="19" ht="22" customHeight="1">
      <c r="B19" s="17">
        <f>IF(C19="","APH-"&amp;TEXT(COUNTA($C$5:C19),"000"))</f>
        <v/>
      </c>
      <c r="C19" s="12" t="n"/>
      <c r="D19" s="12" t="n"/>
      <c r="E19" s="12" t="n"/>
      <c r="F19" s="12" t="n"/>
      <c r="G19" s="18" t="n"/>
      <c r="H19" s="29" t="n"/>
      <c r="I19" s="12" t="n"/>
      <c r="J19" s="29" t="n"/>
      <c r="K19" s="12" t="n"/>
    </row>
    <row r="20" ht="22" customHeight="1">
      <c r="B20" s="16">
        <f>IF(C20="","APH-"&amp;TEXT(COUNTA($C$5:C20),"000"))</f>
        <v/>
      </c>
      <c r="C20" s="14" t="n"/>
      <c r="D20" s="14" t="n"/>
      <c r="E20" s="14" t="n"/>
      <c r="F20" s="14" t="n"/>
      <c r="G20" s="19" t="n"/>
      <c r="H20" s="30" t="n"/>
      <c r="I20" s="14" t="n"/>
      <c r="J20" s="30" t="n"/>
      <c r="K20" s="14" t="n"/>
    </row>
    <row r="21" ht="22" customHeight="1">
      <c r="B21" s="17">
        <f>IF(C21="","APH-"&amp;TEXT(COUNTA($C$5:C21),"000"))</f>
        <v/>
      </c>
      <c r="C21" s="12" t="n"/>
      <c r="D21" s="12" t="n"/>
      <c r="E21" s="12" t="n"/>
      <c r="F21" s="12" t="n"/>
      <c r="G21" s="18" t="n"/>
      <c r="H21" s="29" t="n"/>
      <c r="I21" s="12" t="n"/>
      <c r="J21" s="29" t="n"/>
      <c r="K21" s="12" t="n"/>
    </row>
    <row r="22" ht="22" customHeight="1">
      <c r="B22" s="16">
        <f>IF(C22="","APH-"&amp;TEXT(COUNTA($C$5:C22),"000"))</f>
        <v/>
      </c>
      <c r="C22" s="14" t="n"/>
      <c r="D22" s="14" t="n"/>
      <c r="E22" s="14" t="n"/>
      <c r="F22" s="14" t="n"/>
      <c r="G22" s="19" t="n"/>
      <c r="H22" s="30" t="n"/>
      <c r="I22" s="14" t="n"/>
      <c r="J22" s="30" t="n"/>
      <c r="K22" s="14" t="n"/>
    </row>
    <row r="23" ht="22" customHeight="1">
      <c r="B23" s="17">
        <f>IF(C23="","APH-"&amp;TEXT(COUNTA($C$5:C23),"000"))</f>
        <v/>
      </c>
      <c r="C23" s="12" t="n"/>
      <c r="D23" s="12" t="n"/>
      <c r="E23" s="12" t="n"/>
      <c r="F23" s="12" t="n"/>
      <c r="G23" s="18" t="n"/>
      <c r="H23" s="29" t="n"/>
      <c r="I23" s="12" t="n"/>
      <c r="J23" s="29" t="n"/>
      <c r="K23" s="12" t="n"/>
    </row>
    <row r="24" ht="22" customHeight="1">
      <c r="B24" s="16">
        <f>IF(C24="","APH-"&amp;TEXT(COUNTA($C$5:C24),"000"))</f>
        <v/>
      </c>
      <c r="C24" s="14" t="n"/>
      <c r="D24" s="14" t="n"/>
      <c r="E24" s="14" t="n"/>
      <c r="F24" s="14" t="n"/>
      <c r="G24" s="19" t="n"/>
      <c r="H24" s="30" t="n"/>
      <c r="I24" s="14" t="n"/>
      <c r="J24" s="30" t="n"/>
      <c r="K24" s="14" t="n"/>
    </row>
    <row r="25" ht="22" customHeight="1">
      <c r="B25" s="17">
        <f>IF(C25="","APH-"&amp;TEXT(COUNTA($C$5:C25),"000"))</f>
        <v/>
      </c>
      <c r="C25" s="12" t="n"/>
      <c r="D25" s="12" t="n"/>
      <c r="E25" s="12" t="n"/>
      <c r="F25" s="12" t="n"/>
      <c r="G25" s="18" t="n"/>
      <c r="H25" s="29" t="n"/>
      <c r="I25" s="12" t="n"/>
      <c r="J25" s="29" t="n"/>
      <c r="K25" s="12" t="n"/>
    </row>
    <row r="26" ht="22" customHeight="1">
      <c r="B26" s="16">
        <f>IF(C26="","APH-"&amp;TEXT(COUNTA($C$5:C26),"000"))</f>
        <v/>
      </c>
      <c r="C26" s="14" t="n"/>
      <c r="D26" s="14" t="n"/>
      <c r="E26" s="14" t="n"/>
      <c r="F26" s="14" t="n"/>
      <c r="G26" s="19" t="n"/>
      <c r="H26" s="30" t="n"/>
      <c r="I26" s="14" t="n"/>
      <c r="J26" s="30" t="n"/>
      <c r="K26" s="14" t="n"/>
    </row>
    <row r="27" ht="22" customHeight="1">
      <c r="B27" s="17">
        <f>IF(C27="","APH-"&amp;TEXT(COUNTA($C$5:C27),"000"))</f>
        <v/>
      </c>
      <c r="C27" s="12" t="n"/>
      <c r="D27" s="12" t="n"/>
      <c r="E27" s="12" t="n"/>
      <c r="F27" s="12" t="n"/>
      <c r="G27" s="18" t="n"/>
      <c r="H27" s="29" t="n"/>
      <c r="I27" s="12" t="n"/>
      <c r="J27" s="29" t="n"/>
      <c r="K27" s="12" t="n"/>
    </row>
    <row r="28" ht="22" customHeight="1">
      <c r="B28" s="16">
        <f>IF(C28="","APH-"&amp;TEXT(COUNTA($C$5:C28),"000"))</f>
        <v/>
      </c>
      <c r="C28" s="14" t="n"/>
      <c r="D28" s="14" t="n"/>
      <c r="E28" s="14" t="n"/>
      <c r="F28" s="14" t="n"/>
      <c r="G28" s="19" t="n"/>
      <c r="H28" s="30" t="n"/>
      <c r="I28" s="14" t="n"/>
      <c r="J28" s="30" t="n"/>
      <c r="K28" s="14" t="n"/>
    </row>
    <row r="29" ht="22" customHeight="1">
      <c r="B29" s="17">
        <f>IF(C29="","APH-"&amp;TEXT(COUNTA($C$5:C29),"000"))</f>
        <v/>
      </c>
      <c r="C29" s="12" t="n"/>
      <c r="D29" s="12" t="n"/>
      <c r="E29" s="12" t="n"/>
      <c r="F29" s="12" t="n"/>
      <c r="G29" s="18" t="n"/>
      <c r="H29" s="29" t="n"/>
      <c r="I29" s="12" t="n"/>
      <c r="J29" s="29" t="n"/>
      <c r="K29" s="12" t="n"/>
    </row>
    <row r="30" ht="22" customHeight="1">
      <c r="B30" s="16">
        <f>IF(C30="","APH-"&amp;TEXT(COUNTA($C$5:C30),"000"))</f>
        <v/>
      </c>
      <c r="C30" s="14" t="n"/>
      <c r="D30" s="14" t="n"/>
      <c r="E30" s="14" t="n"/>
      <c r="F30" s="14" t="n"/>
      <c r="G30" s="19" t="n"/>
      <c r="H30" s="30" t="n"/>
      <c r="I30" s="14" t="n"/>
      <c r="J30" s="30" t="n"/>
      <c r="K30" s="14" t="n"/>
    </row>
    <row r="31" ht="22" customHeight="1">
      <c r="B31" s="17">
        <f>IF(C31="","APH-"&amp;TEXT(COUNTA($C$5:C31),"000"))</f>
        <v/>
      </c>
      <c r="C31" s="12" t="n"/>
      <c r="D31" s="12" t="n"/>
      <c r="E31" s="12" t="n"/>
      <c r="F31" s="12" t="n"/>
      <c r="G31" s="18" t="n"/>
      <c r="H31" s="29" t="n"/>
      <c r="I31" s="12" t="n"/>
      <c r="J31" s="29" t="n"/>
      <c r="K31" s="12" t="n"/>
    </row>
    <row r="32" ht="22" customHeight="1">
      <c r="B32" s="16">
        <f>IF(C32="","APH-"&amp;TEXT(COUNTA($C$5:C32),"000"))</f>
        <v/>
      </c>
      <c r="C32" s="14" t="n"/>
      <c r="D32" s="14" t="n"/>
      <c r="E32" s="14" t="n"/>
      <c r="F32" s="14" t="n"/>
      <c r="G32" s="19" t="n"/>
      <c r="H32" s="30" t="n"/>
      <c r="I32" s="14" t="n"/>
      <c r="J32" s="30" t="n"/>
      <c r="K32" s="14" t="n"/>
    </row>
    <row r="33" ht="22" customHeight="1">
      <c r="B33" s="17">
        <f>IF(C33="","APH-"&amp;TEXT(COUNTA($C$5:C33),"000"))</f>
        <v/>
      </c>
      <c r="C33" s="12" t="n"/>
      <c r="D33" s="12" t="n"/>
      <c r="E33" s="12" t="n"/>
      <c r="F33" s="12" t="n"/>
      <c r="G33" s="18" t="n"/>
      <c r="H33" s="29" t="n"/>
      <c r="I33" s="12" t="n"/>
      <c r="J33" s="29" t="n"/>
      <c r="K33" s="12" t="n"/>
    </row>
    <row r="34" ht="22" customHeight="1">
      <c r="B34" s="16">
        <f>IF(C34="","APH-"&amp;TEXT(COUNTA($C$5:C34),"000"))</f>
        <v/>
      </c>
      <c r="C34" s="14" t="n"/>
      <c r="D34" s="14" t="n"/>
      <c r="E34" s="14" t="n"/>
      <c r="F34" s="14" t="n"/>
      <c r="G34" s="19" t="n"/>
      <c r="H34" s="30" t="n"/>
      <c r="I34" s="14" t="n"/>
      <c r="J34" s="30" t="n"/>
      <c r="K34" s="14" t="n"/>
    </row>
    <row r="35" ht="22" customHeight="1">
      <c r="B35" s="17">
        <f>IF(C35="","APH-"&amp;TEXT(COUNTA($C$5:C35),"000"))</f>
        <v/>
      </c>
      <c r="C35" s="12" t="n"/>
      <c r="D35" s="12" t="n"/>
      <c r="E35" s="12" t="n"/>
      <c r="F35" s="12" t="n"/>
      <c r="G35" s="18" t="n"/>
      <c r="H35" s="29" t="n"/>
      <c r="I35" s="12" t="n"/>
      <c r="J35" s="29" t="n"/>
      <c r="K35" s="12" t="n"/>
    </row>
    <row r="36" ht="22" customHeight="1">
      <c r="B36" s="16">
        <f>IF(C36="","APH-"&amp;TEXT(COUNTA($C$5:C36),"000"))</f>
        <v/>
      </c>
      <c r="C36" s="14" t="n"/>
      <c r="D36" s="14" t="n"/>
      <c r="E36" s="14" t="n"/>
      <c r="F36" s="14" t="n"/>
      <c r="G36" s="19" t="n"/>
      <c r="H36" s="30" t="n"/>
      <c r="I36" s="14" t="n"/>
      <c r="J36" s="30" t="n"/>
      <c r="K36" s="14" t="n"/>
    </row>
    <row r="37" ht="22" customHeight="1">
      <c r="B37" s="17">
        <f>IF(C37="","APH-"&amp;TEXT(COUNTA($C$5:C37),"000"))</f>
        <v/>
      </c>
      <c r="C37" s="12" t="n"/>
      <c r="D37" s="12" t="n"/>
      <c r="E37" s="12" t="n"/>
      <c r="F37" s="12" t="n"/>
      <c r="G37" s="18" t="n"/>
      <c r="H37" s="29" t="n"/>
      <c r="I37" s="12" t="n"/>
      <c r="J37" s="29" t="n"/>
      <c r="K37" s="12" t="n"/>
    </row>
    <row r="38" ht="22" customHeight="1">
      <c r="B38" s="16">
        <f>IF(C38="","APH-"&amp;TEXT(COUNTA($C$5:C38),"000"))</f>
        <v/>
      </c>
      <c r="C38" s="14" t="n"/>
      <c r="D38" s="14" t="n"/>
      <c r="E38" s="14" t="n"/>
      <c r="F38" s="14" t="n"/>
      <c r="G38" s="19" t="n"/>
      <c r="H38" s="30" t="n"/>
      <c r="I38" s="14" t="n"/>
      <c r="J38" s="30" t="n"/>
      <c r="K38" s="14" t="n"/>
    </row>
    <row r="39" ht="22" customHeight="1">
      <c r="B39" s="17">
        <f>IF(C39="","APH-"&amp;TEXT(COUNTA($C$5:C39),"000"))</f>
        <v/>
      </c>
      <c r="C39" s="12" t="n"/>
      <c r="D39" s="12" t="n"/>
      <c r="E39" s="12" t="n"/>
      <c r="F39" s="12" t="n"/>
      <c r="G39" s="18" t="n"/>
      <c r="H39" s="29" t="n"/>
      <c r="I39" s="12" t="n"/>
      <c r="J39" s="29" t="n"/>
      <c r="K39" s="12" t="n"/>
    </row>
    <row r="40" ht="22" customHeight="1">
      <c r="B40" s="16">
        <f>IF(C40="","APH-"&amp;TEXT(COUNTA($C$5:C40),"000"))</f>
        <v/>
      </c>
      <c r="C40" s="14" t="n"/>
      <c r="D40" s="14" t="n"/>
      <c r="E40" s="14" t="n"/>
      <c r="F40" s="14" t="n"/>
      <c r="G40" s="19" t="n"/>
      <c r="H40" s="30" t="n"/>
      <c r="I40" s="14" t="n"/>
      <c r="J40" s="30" t="n"/>
      <c r="K40" s="14" t="n"/>
    </row>
    <row r="41" ht="22" customHeight="1">
      <c r="B41" s="17">
        <f>IF(C41="","APH-"&amp;TEXT(COUNTA($C$5:C41),"000"))</f>
        <v/>
      </c>
      <c r="C41" s="12" t="n"/>
      <c r="D41" s="12" t="n"/>
      <c r="E41" s="12" t="n"/>
      <c r="F41" s="12" t="n"/>
      <c r="G41" s="18" t="n"/>
      <c r="H41" s="29" t="n"/>
      <c r="I41" s="12" t="n"/>
      <c r="J41" s="29" t="n"/>
      <c r="K41" s="12" t="n"/>
    </row>
    <row r="42" ht="22" customHeight="1">
      <c r="B42" s="16">
        <f>IF(C42="","APH-"&amp;TEXT(COUNTA($C$5:C42),"000"))</f>
        <v/>
      </c>
      <c r="C42" s="14" t="n"/>
      <c r="D42" s="14" t="n"/>
      <c r="E42" s="14" t="n"/>
      <c r="F42" s="14" t="n"/>
      <c r="G42" s="19" t="n"/>
      <c r="H42" s="30" t="n"/>
      <c r="I42" s="14" t="n"/>
      <c r="J42" s="30" t="n"/>
      <c r="K42" s="14" t="n"/>
    </row>
    <row r="43" ht="22" customHeight="1">
      <c r="B43" s="17">
        <f>IF(C43="","APH-"&amp;TEXT(COUNTA($C$5:C43),"000"))</f>
        <v/>
      </c>
      <c r="C43" s="12" t="n"/>
      <c r="D43" s="12" t="n"/>
      <c r="E43" s="12" t="n"/>
      <c r="F43" s="12" t="n"/>
      <c r="G43" s="18" t="n"/>
      <c r="H43" s="29" t="n"/>
      <c r="I43" s="12" t="n"/>
      <c r="J43" s="29" t="n"/>
      <c r="K43" s="12" t="n"/>
    </row>
    <row r="44" ht="22" customHeight="1">
      <c r="B44" s="16">
        <f>IF(C44="","APH-"&amp;TEXT(COUNTA($C$5:C44),"000"))</f>
        <v/>
      </c>
      <c r="C44" s="14" t="n"/>
      <c r="D44" s="14" t="n"/>
      <c r="E44" s="14" t="n"/>
      <c r="F44" s="14" t="n"/>
      <c r="G44" s="19" t="n"/>
      <c r="H44" s="30" t="n"/>
      <c r="I44" s="14" t="n"/>
      <c r="J44" s="30" t="n"/>
      <c r="K44" s="14" t="n"/>
    </row>
    <row r="45" ht="22" customHeight="1">
      <c r="B45" s="17">
        <f>IF(C45="","APH-"&amp;TEXT(COUNTA($C$5:C45),"000"))</f>
        <v/>
      </c>
      <c r="C45" s="12" t="n"/>
      <c r="D45" s="12" t="n"/>
      <c r="E45" s="12" t="n"/>
      <c r="F45" s="12" t="n"/>
      <c r="G45" s="18" t="n"/>
      <c r="H45" s="29" t="n"/>
      <c r="I45" s="12" t="n"/>
      <c r="J45" s="29" t="n"/>
      <c r="K45" s="12" t="n"/>
    </row>
    <row r="46" ht="22" customHeight="1">
      <c r="B46" s="16">
        <f>IF(C46="","APH-"&amp;TEXT(COUNTA($C$5:C46),"000"))</f>
        <v/>
      </c>
      <c r="C46" s="14" t="n"/>
      <c r="D46" s="14" t="n"/>
      <c r="E46" s="14" t="n"/>
      <c r="F46" s="14" t="n"/>
      <c r="G46" s="19" t="n"/>
      <c r="H46" s="30" t="n"/>
      <c r="I46" s="14" t="n"/>
      <c r="J46" s="30" t="n"/>
      <c r="K46" s="14" t="n"/>
    </row>
    <row r="47" ht="22" customHeight="1">
      <c r="B47" s="17">
        <f>IF(C47="","APH-"&amp;TEXT(COUNTA($C$5:C47),"000"))</f>
        <v/>
      </c>
      <c r="C47" s="12" t="n"/>
      <c r="D47" s="12" t="n"/>
      <c r="E47" s="12" t="n"/>
      <c r="F47" s="12" t="n"/>
      <c r="G47" s="18" t="n"/>
      <c r="H47" s="29" t="n"/>
      <c r="I47" s="12" t="n"/>
      <c r="J47" s="29" t="n"/>
      <c r="K47" s="12" t="n"/>
    </row>
    <row r="48" ht="22" customHeight="1">
      <c r="B48" s="16">
        <f>IF(C48="","APH-"&amp;TEXT(COUNTA($C$5:C48),"000"))</f>
        <v/>
      </c>
      <c r="C48" s="14" t="n"/>
      <c r="D48" s="14" t="n"/>
      <c r="E48" s="14" t="n"/>
      <c r="F48" s="14" t="n"/>
      <c r="G48" s="19" t="n"/>
      <c r="H48" s="30" t="n"/>
      <c r="I48" s="14" t="n"/>
      <c r="J48" s="30" t="n"/>
      <c r="K48" s="14" t="n"/>
    </row>
    <row r="49" ht="22" customHeight="1">
      <c r="B49" s="17">
        <f>IF(C49="","APH-"&amp;TEXT(COUNTA($C$5:C49),"000"))</f>
        <v/>
      </c>
      <c r="C49" s="12" t="n"/>
      <c r="D49" s="12" t="n"/>
      <c r="E49" s="12" t="n"/>
      <c r="F49" s="12" t="n"/>
      <c r="G49" s="18" t="n"/>
      <c r="H49" s="29" t="n"/>
      <c r="I49" s="12" t="n"/>
      <c r="J49" s="29" t="n"/>
      <c r="K49" s="12" t="n"/>
    </row>
    <row r="50" ht="22" customHeight="1">
      <c r="B50" s="16">
        <f>IF(C50="","APH-"&amp;TEXT(COUNTA($C$5:C50),"000"))</f>
        <v/>
      </c>
      <c r="C50" s="14" t="n"/>
      <c r="D50" s="14" t="n"/>
      <c r="E50" s="14" t="n"/>
      <c r="F50" s="14" t="n"/>
      <c r="G50" s="19" t="n"/>
      <c r="H50" s="30" t="n"/>
      <c r="I50" s="14" t="n"/>
      <c r="J50" s="30" t="n"/>
      <c r="K50" s="14" t="n"/>
    </row>
    <row r="51" ht="22" customHeight="1">
      <c r="B51" s="17">
        <f>IF(C51="","APH-"&amp;TEXT(COUNTA($C$5:C51),"000"))</f>
        <v/>
      </c>
      <c r="C51" s="12" t="n"/>
      <c r="D51" s="12" t="n"/>
      <c r="E51" s="12" t="n"/>
      <c r="F51" s="12" t="n"/>
      <c r="G51" s="18" t="n"/>
      <c r="H51" s="29" t="n"/>
      <c r="I51" s="12" t="n"/>
      <c r="J51" s="29" t="n"/>
      <c r="K51" s="12" t="n"/>
    </row>
    <row r="52" ht="22" customHeight="1">
      <c r="B52" s="16">
        <f>IF(C52="","APH-"&amp;TEXT(COUNTA($C$5:C52),"000"))</f>
        <v/>
      </c>
      <c r="C52" s="14" t="n"/>
      <c r="D52" s="14" t="n"/>
      <c r="E52" s="14" t="n"/>
      <c r="F52" s="14" t="n"/>
      <c r="G52" s="19" t="n"/>
      <c r="H52" s="30" t="n"/>
      <c r="I52" s="14" t="n"/>
      <c r="J52" s="30" t="n"/>
      <c r="K52" s="14" t="n"/>
    </row>
    <row r="53" ht="22" customHeight="1">
      <c r="B53" s="17">
        <f>IF(C53="","APH-"&amp;TEXT(COUNTA($C$5:C53),"000"))</f>
        <v/>
      </c>
      <c r="C53" s="12" t="n"/>
      <c r="D53" s="12" t="n"/>
      <c r="E53" s="12" t="n"/>
      <c r="F53" s="12" t="n"/>
      <c r="G53" s="18" t="n"/>
      <c r="H53" s="29" t="n"/>
      <c r="I53" s="12" t="n"/>
      <c r="J53" s="29" t="n"/>
      <c r="K53" s="12" t="n"/>
    </row>
    <row r="54" ht="22" customHeight="1">
      <c r="B54" s="16">
        <f>IF(C54="","APH-"&amp;TEXT(COUNTA($C$5:C54),"000"))</f>
        <v/>
      </c>
      <c r="C54" s="14" t="n"/>
      <c r="D54" s="14" t="n"/>
      <c r="E54" s="14" t="n"/>
      <c r="F54" s="14" t="n"/>
      <c r="G54" s="19" t="n"/>
      <c r="H54" s="30" t="n"/>
      <c r="I54" s="14" t="n"/>
      <c r="J54" s="30" t="n"/>
      <c r="K54" s="14" t="n"/>
    </row>
    <row r="55" ht="22" customHeight="1">
      <c r="B55" s="17">
        <f>IF(C55="","APH-"&amp;TEXT(COUNTA($C$5:C55),"000"))</f>
        <v/>
      </c>
      <c r="C55" s="12" t="n"/>
      <c r="D55" s="12" t="n"/>
      <c r="E55" s="12" t="n"/>
      <c r="F55" s="12" t="n"/>
      <c r="G55" s="18" t="n"/>
      <c r="H55" s="29" t="n"/>
      <c r="I55" s="12" t="n"/>
      <c r="J55" s="29" t="n"/>
      <c r="K55" s="12" t="n"/>
    </row>
    <row r="56" ht="22" customHeight="1">
      <c r="B56" s="16">
        <f>IF(C56="","APH-"&amp;TEXT(COUNTA($C$5:C56),"000"))</f>
        <v/>
      </c>
      <c r="C56" s="14" t="n"/>
      <c r="D56" s="14" t="n"/>
      <c r="E56" s="14" t="n"/>
      <c r="F56" s="14" t="n"/>
      <c r="G56" s="19" t="n"/>
      <c r="H56" s="30" t="n"/>
      <c r="I56" s="14" t="n"/>
      <c r="J56" s="30" t="n"/>
      <c r="K56" s="14" t="n"/>
    </row>
    <row r="57" ht="22" customHeight="1">
      <c r="B57" s="17">
        <f>IF(C57="","APH-"&amp;TEXT(COUNTA($C$5:C57),"000"))</f>
        <v/>
      </c>
      <c r="C57" s="12" t="n"/>
      <c r="D57" s="12" t="n"/>
      <c r="E57" s="12" t="n"/>
      <c r="F57" s="12" t="n"/>
      <c r="G57" s="18" t="n"/>
      <c r="H57" s="29" t="n"/>
      <c r="I57" s="12" t="n"/>
      <c r="J57" s="29" t="n"/>
      <c r="K57" s="12" t="n"/>
    </row>
    <row r="58" ht="22" customHeight="1">
      <c r="B58" s="16">
        <f>IF(C58="","APH-"&amp;TEXT(COUNTA($C$5:C58),"000"))</f>
        <v/>
      </c>
      <c r="C58" s="14" t="n"/>
      <c r="D58" s="14" t="n"/>
      <c r="E58" s="14" t="n"/>
      <c r="F58" s="14" t="n"/>
      <c r="G58" s="19" t="n"/>
      <c r="H58" s="30" t="n"/>
      <c r="I58" s="14" t="n"/>
      <c r="J58" s="30" t="n"/>
      <c r="K58" s="14" t="n"/>
    </row>
    <row r="59" ht="22" customHeight="1">
      <c r="B59" s="17">
        <f>IF(C59="","APH-"&amp;TEXT(COUNTA($C$5:C59),"000"))</f>
        <v/>
      </c>
      <c r="C59" s="12" t="n"/>
      <c r="D59" s="12" t="n"/>
      <c r="E59" s="12" t="n"/>
      <c r="F59" s="12" t="n"/>
      <c r="G59" s="18" t="n"/>
      <c r="H59" s="29" t="n"/>
      <c r="I59" s="12" t="n"/>
      <c r="J59" s="29" t="n"/>
      <c r="K59" s="12" t="n"/>
    </row>
    <row r="60" ht="22" customHeight="1">
      <c r="B60" s="16">
        <f>IF(C60="","APH-"&amp;TEXT(COUNTA($C$5:C60),"000"))</f>
        <v/>
      </c>
      <c r="C60" s="14" t="n"/>
      <c r="D60" s="14" t="n"/>
      <c r="E60" s="14" t="n"/>
      <c r="F60" s="14" t="n"/>
      <c r="G60" s="19" t="n"/>
      <c r="H60" s="30" t="n"/>
      <c r="I60" s="14" t="n"/>
      <c r="J60" s="30" t="n"/>
      <c r="K60" s="14" t="n"/>
    </row>
    <row r="61" ht="22" customHeight="1">
      <c r="B61" s="17">
        <f>IF(C61="","APH-"&amp;TEXT(COUNTA($C$5:C61),"000"))</f>
        <v/>
      </c>
      <c r="C61" s="12" t="n"/>
      <c r="D61" s="12" t="n"/>
      <c r="E61" s="12" t="n"/>
      <c r="F61" s="12" t="n"/>
      <c r="G61" s="18" t="n"/>
      <c r="H61" s="29" t="n"/>
      <c r="I61" s="12" t="n"/>
      <c r="J61" s="29" t="n"/>
      <c r="K61" s="12" t="n"/>
    </row>
    <row r="62" ht="22" customHeight="1">
      <c r="B62" s="16">
        <f>IF(C62="","APH-"&amp;TEXT(COUNTA($C$5:C62),"000"))</f>
        <v/>
      </c>
      <c r="C62" s="14" t="n"/>
      <c r="D62" s="14" t="n"/>
      <c r="E62" s="14" t="n"/>
      <c r="F62" s="14" t="n"/>
      <c r="G62" s="19" t="n"/>
      <c r="H62" s="30" t="n"/>
      <c r="I62" s="14" t="n"/>
      <c r="J62" s="30" t="n"/>
      <c r="K62" s="14" t="n"/>
    </row>
    <row r="63" ht="22" customHeight="1">
      <c r="B63" s="17">
        <f>IF(C63="","APH-"&amp;TEXT(COUNTA($C$5:C63),"000"))</f>
        <v/>
      </c>
      <c r="C63" s="12" t="n"/>
      <c r="D63" s="12" t="n"/>
      <c r="E63" s="12" t="n"/>
      <c r="F63" s="12" t="n"/>
      <c r="G63" s="18" t="n"/>
      <c r="H63" s="29" t="n"/>
      <c r="I63" s="12" t="n"/>
      <c r="J63" s="29" t="n"/>
      <c r="K63" s="12" t="n"/>
    </row>
    <row r="64" ht="22" customHeight="1">
      <c r="B64" s="16">
        <f>IF(C64="","APH-"&amp;TEXT(COUNTA($C$5:C64),"000"))</f>
        <v/>
      </c>
      <c r="C64" s="14" t="n"/>
      <c r="D64" s="14" t="n"/>
      <c r="E64" s="14" t="n"/>
      <c r="F64" s="14" t="n"/>
      <c r="G64" s="19" t="n"/>
      <c r="H64" s="30" t="n"/>
      <c r="I64" s="14" t="n"/>
      <c r="J64" s="30" t="n"/>
      <c r="K64" s="14" t="n"/>
    </row>
    <row r="65" ht="22" customHeight="1">
      <c r="B65" s="17">
        <f>IF(C65="","APH-"&amp;TEXT(COUNTA($C$5:C65),"000"))</f>
        <v/>
      </c>
      <c r="C65" s="12" t="n"/>
      <c r="D65" s="12" t="n"/>
      <c r="E65" s="12" t="n"/>
      <c r="F65" s="12" t="n"/>
      <c r="G65" s="18" t="n"/>
      <c r="H65" s="29" t="n"/>
      <c r="I65" s="12" t="n"/>
      <c r="J65" s="29" t="n"/>
      <c r="K65" s="12" t="n"/>
    </row>
    <row r="66" ht="22" customHeight="1">
      <c r="B66" s="16">
        <f>IF(C66="","APH-"&amp;TEXT(COUNTA($C$5:C66),"000"))</f>
        <v/>
      </c>
      <c r="C66" s="14" t="n"/>
      <c r="D66" s="14" t="n"/>
      <c r="E66" s="14" t="n"/>
      <c r="F66" s="14" t="n"/>
      <c r="G66" s="19" t="n"/>
      <c r="H66" s="30" t="n"/>
      <c r="I66" s="14" t="n"/>
      <c r="J66" s="30" t="n"/>
      <c r="K66" s="14" t="n"/>
    </row>
    <row r="67" ht="22" customHeight="1">
      <c r="B67" s="17">
        <f>IF(C67="","APH-"&amp;TEXT(COUNTA($C$5:C67),"000"))</f>
        <v/>
      </c>
      <c r="C67" s="12" t="n"/>
      <c r="D67" s="12" t="n"/>
      <c r="E67" s="12" t="n"/>
      <c r="F67" s="12" t="n"/>
      <c r="G67" s="18" t="n"/>
      <c r="H67" s="29" t="n"/>
      <c r="I67" s="12" t="n"/>
      <c r="J67" s="29" t="n"/>
      <c r="K67" s="12" t="n"/>
    </row>
    <row r="68" ht="22" customHeight="1">
      <c r="B68" s="16">
        <f>IF(C68="","APH-"&amp;TEXT(COUNTA($C$5:C68),"000"))</f>
        <v/>
      </c>
      <c r="C68" s="14" t="n"/>
      <c r="D68" s="14" t="n"/>
      <c r="E68" s="14" t="n"/>
      <c r="F68" s="14" t="n"/>
      <c r="G68" s="19" t="n"/>
      <c r="H68" s="30" t="n"/>
      <c r="I68" s="14" t="n"/>
      <c r="J68" s="30" t="n"/>
      <c r="K68" s="14" t="n"/>
    </row>
    <row r="69" ht="22" customHeight="1">
      <c r="B69" s="17">
        <f>IF(C69="","APH-"&amp;TEXT(COUNTA($C$5:C69),"000"))</f>
        <v/>
      </c>
      <c r="C69" s="12" t="n"/>
      <c r="D69" s="12" t="n"/>
      <c r="E69" s="12" t="n"/>
      <c r="F69" s="12" t="n"/>
      <c r="G69" s="18" t="n"/>
      <c r="H69" s="29" t="n"/>
      <c r="I69" s="12" t="n"/>
      <c r="J69" s="29" t="n"/>
      <c r="K69" s="12" t="n"/>
    </row>
    <row r="70" ht="22" customHeight="1">
      <c r="B70" s="16">
        <f>IF(C70="","APH-"&amp;TEXT(COUNTA($C$5:C70),"000"))</f>
        <v/>
      </c>
      <c r="C70" s="14" t="n"/>
      <c r="D70" s="14" t="n"/>
      <c r="E70" s="14" t="n"/>
      <c r="F70" s="14" t="n"/>
      <c r="G70" s="19" t="n"/>
      <c r="H70" s="30" t="n"/>
      <c r="I70" s="14" t="n"/>
      <c r="J70" s="30" t="n"/>
      <c r="K70" s="14" t="n"/>
    </row>
    <row r="71" ht="22" customHeight="1">
      <c r="B71" s="17">
        <f>IF(C71="","APH-"&amp;TEXT(COUNTA($C$5:C71),"000"))</f>
        <v/>
      </c>
      <c r="C71" s="12" t="n"/>
      <c r="D71" s="12" t="n"/>
      <c r="E71" s="12" t="n"/>
      <c r="F71" s="12" t="n"/>
      <c r="G71" s="18" t="n"/>
      <c r="H71" s="29" t="n"/>
      <c r="I71" s="12" t="n"/>
      <c r="J71" s="29" t="n"/>
      <c r="K71" s="12" t="n"/>
    </row>
    <row r="72" ht="22" customHeight="1">
      <c r="B72" s="16">
        <f>IF(C72="","APH-"&amp;TEXT(COUNTA($C$5:C72),"000"))</f>
        <v/>
      </c>
      <c r="C72" s="14" t="n"/>
      <c r="D72" s="14" t="n"/>
      <c r="E72" s="14" t="n"/>
      <c r="F72" s="14" t="n"/>
      <c r="G72" s="19" t="n"/>
      <c r="H72" s="30" t="n"/>
      <c r="I72" s="14" t="n"/>
      <c r="J72" s="30" t="n"/>
      <c r="K72" s="14" t="n"/>
    </row>
    <row r="73" ht="22" customHeight="1">
      <c r="B73" s="17">
        <f>IF(C73="","APH-"&amp;TEXT(COUNTA($C$5:C73),"000"))</f>
        <v/>
      </c>
      <c r="C73" s="12" t="n"/>
      <c r="D73" s="12" t="n"/>
      <c r="E73" s="12" t="n"/>
      <c r="F73" s="12" t="n"/>
      <c r="G73" s="18" t="n"/>
      <c r="H73" s="29" t="n"/>
      <c r="I73" s="12" t="n"/>
      <c r="J73" s="29" t="n"/>
      <c r="K73" s="12" t="n"/>
    </row>
    <row r="74" ht="22" customHeight="1">
      <c r="B74" s="16">
        <f>IF(C74="","APH-"&amp;TEXT(COUNTA($C$5:C74),"000"))</f>
        <v/>
      </c>
      <c r="C74" s="14" t="n"/>
      <c r="D74" s="14" t="n"/>
      <c r="E74" s="14" t="n"/>
      <c r="F74" s="14" t="n"/>
      <c r="G74" s="19" t="n"/>
      <c r="H74" s="30" t="n"/>
      <c r="I74" s="14" t="n"/>
      <c r="J74" s="30" t="n"/>
      <c r="K74" s="14" t="n"/>
    </row>
    <row r="75" ht="22" customHeight="1">
      <c r="B75" s="17">
        <f>IF(C75="","APH-"&amp;TEXT(COUNTA($C$5:C75),"000"))</f>
        <v/>
      </c>
      <c r="C75" s="12" t="n"/>
      <c r="D75" s="12" t="n"/>
      <c r="E75" s="12" t="n"/>
      <c r="F75" s="12" t="n"/>
      <c r="G75" s="18" t="n"/>
      <c r="H75" s="29" t="n"/>
      <c r="I75" s="12" t="n"/>
      <c r="J75" s="29" t="n"/>
      <c r="K75" s="12" t="n"/>
    </row>
    <row r="76" ht="22" customHeight="1">
      <c r="B76" s="16">
        <f>IF(C76="","APH-"&amp;TEXT(COUNTA($C$5:C76),"000"))</f>
        <v/>
      </c>
      <c r="C76" s="14" t="n"/>
      <c r="D76" s="14" t="n"/>
      <c r="E76" s="14" t="n"/>
      <c r="F76" s="14" t="n"/>
      <c r="G76" s="19" t="n"/>
      <c r="H76" s="30" t="n"/>
      <c r="I76" s="14" t="n"/>
      <c r="J76" s="30" t="n"/>
      <c r="K76" s="14" t="n"/>
    </row>
    <row r="77" ht="22" customHeight="1">
      <c r="B77" s="17">
        <f>IF(C77="","APH-"&amp;TEXT(COUNTA($C$5:C77),"000"))</f>
        <v/>
      </c>
      <c r="C77" s="12" t="n"/>
      <c r="D77" s="12" t="n"/>
      <c r="E77" s="12" t="n"/>
      <c r="F77" s="12" t="n"/>
      <c r="G77" s="18" t="n"/>
      <c r="H77" s="29" t="n"/>
      <c r="I77" s="12" t="n"/>
      <c r="J77" s="29" t="n"/>
      <c r="K77" s="12" t="n"/>
    </row>
    <row r="78" ht="22" customHeight="1">
      <c r="B78" s="16">
        <f>IF(C78="","APH-"&amp;TEXT(COUNTA($C$5:C78),"000"))</f>
        <v/>
      </c>
      <c r="C78" s="14" t="n"/>
      <c r="D78" s="14" t="n"/>
      <c r="E78" s="14" t="n"/>
      <c r="F78" s="14" t="n"/>
      <c r="G78" s="19" t="n"/>
      <c r="H78" s="30" t="n"/>
      <c r="I78" s="14" t="n"/>
      <c r="J78" s="30" t="n"/>
      <c r="K78" s="14" t="n"/>
    </row>
    <row r="79" ht="22" customHeight="1">
      <c r="B79" s="17">
        <f>IF(C79="","APH-"&amp;TEXT(COUNTA($C$5:C79),"000"))</f>
        <v/>
      </c>
      <c r="C79" s="12" t="n"/>
      <c r="D79" s="12" t="n"/>
      <c r="E79" s="12" t="n"/>
      <c r="F79" s="12" t="n"/>
      <c r="G79" s="18" t="n"/>
      <c r="H79" s="29" t="n"/>
      <c r="I79" s="12" t="n"/>
      <c r="J79" s="29" t="n"/>
      <c r="K79" s="12" t="n"/>
    </row>
    <row r="80" ht="22" customHeight="1">
      <c r="B80" s="16">
        <f>IF(C80="","APH-"&amp;TEXT(COUNTA($C$5:C80),"000"))</f>
        <v/>
      </c>
      <c r="C80" s="14" t="n"/>
      <c r="D80" s="14" t="n"/>
      <c r="E80" s="14" t="n"/>
      <c r="F80" s="14" t="n"/>
      <c r="G80" s="19" t="n"/>
      <c r="H80" s="30" t="n"/>
      <c r="I80" s="14" t="n"/>
      <c r="J80" s="30" t="n"/>
      <c r="K80" s="14" t="n"/>
    </row>
    <row r="81" ht="22" customHeight="1">
      <c r="B81" s="17">
        <f>IF(C81="","APH-"&amp;TEXT(COUNTA($C$5:C81),"000"))</f>
        <v/>
      </c>
      <c r="C81" s="12" t="n"/>
      <c r="D81" s="12" t="n"/>
      <c r="E81" s="12" t="n"/>
      <c r="F81" s="12" t="n"/>
      <c r="G81" s="18" t="n"/>
      <c r="H81" s="29" t="n"/>
      <c r="I81" s="12" t="n"/>
      <c r="J81" s="29" t="n"/>
      <c r="K81" s="12" t="n"/>
    </row>
    <row r="82" ht="22" customHeight="1">
      <c r="B82" s="16">
        <f>IF(C82="","APH-"&amp;TEXT(COUNTA($C$5:C82),"000"))</f>
        <v/>
      </c>
      <c r="C82" s="14" t="n"/>
      <c r="D82" s="14" t="n"/>
      <c r="E82" s="14" t="n"/>
      <c r="F82" s="14" t="n"/>
      <c r="G82" s="19" t="n"/>
      <c r="H82" s="30" t="n"/>
      <c r="I82" s="14" t="n"/>
      <c r="J82" s="30" t="n"/>
      <c r="K82" s="14" t="n"/>
    </row>
    <row r="83" ht="22" customHeight="1">
      <c r="B83" s="17">
        <f>IF(C83="","APH-"&amp;TEXT(COUNTA($C$5:C83),"000"))</f>
        <v/>
      </c>
      <c r="C83" s="12" t="n"/>
      <c r="D83" s="12" t="n"/>
      <c r="E83" s="12" t="n"/>
      <c r="F83" s="12" t="n"/>
      <c r="G83" s="18" t="n"/>
      <c r="H83" s="29" t="n"/>
      <c r="I83" s="12" t="n"/>
      <c r="J83" s="29" t="n"/>
      <c r="K83" s="12" t="n"/>
    </row>
    <row r="84" ht="22" customHeight="1">
      <c r="B84" s="16">
        <f>IF(C84="","APH-"&amp;TEXT(COUNTA($C$5:C84),"000"))</f>
        <v/>
      </c>
      <c r="C84" s="14" t="n"/>
      <c r="D84" s="14" t="n"/>
      <c r="E84" s="14" t="n"/>
      <c r="F84" s="14" t="n"/>
      <c r="G84" s="19" t="n"/>
      <c r="H84" s="30" t="n"/>
      <c r="I84" s="14" t="n"/>
      <c r="J84" s="30" t="n"/>
      <c r="K84" s="14" t="n"/>
    </row>
    <row r="85" ht="22" customHeight="1">
      <c r="B85" s="17">
        <f>IF(C85="","APH-"&amp;TEXT(COUNTA($C$5:C85),"000"))</f>
        <v/>
      </c>
      <c r="C85" s="12" t="n"/>
      <c r="D85" s="12" t="n"/>
      <c r="E85" s="12" t="n"/>
      <c r="F85" s="12" t="n"/>
      <c r="G85" s="18" t="n"/>
      <c r="H85" s="29" t="n"/>
      <c r="I85" s="12" t="n"/>
      <c r="J85" s="29" t="n"/>
      <c r="K85" s="12" t="n"/>
    </row>
    <row r="86" ht="22" customHeight="1">
      <c r="B86" s="16">
        <f>IF(C86="","APH-"&amp;TEXT(COUNTA($C$5:C86),"000"))</f>
        <v/>
      </c>
      <c r="C86" s="14" t="n"/>
      <c r="D86" s="14" t="n"/>
      <c r="E86" s="14" t="n"/>
      <c r="F86" s="14" t="n"/>
      <c r="G86" s="19" t="n"/>
      <c r="H86" s="30" t="n"/>
      <c r="I86" s="14" t="n"/>
      <c r="J86" s="30" t="n"/>
      <c r="K86" s="14" t="n"/>
    </row>
    <row r="87" ht="22" customHeight="1">
      <c r="B87" s="17">
        <f>IF(C87="","APH-"&amp;TEXT(COUNTA($C$5:C87),"000"))</f>
        <v/>
      </c>
      <c r="C87" s="12" t="n"/>
      <c r="D87" s="12" t="n"/>
      <c r="E87" s="12" t="n"/>
      <c r="F87" s="12" t="n"/>
      <c r="G87" s="18" t="n"/>
      <c r="H87" s="29" t="n"/>
      <c r="I87" s="12" t="n"/>
      <c r="J87" s="29" t="n"/>
      <c r="K87" s="12" t="n"/>
    </row>
    <row r="88" ht="22" customHeight="1">
      <c r="B88" s="16">
        <f>IF(C88="","APH-"&amp;TEXT(COUNTA($C$5:C88),"000"))</f>
        <v/>
      </c>
      <c r="C88" s="14" t="n"/>
      <c r="D88" s="14" t="n"/>
      <c r="E88" s="14" t="n"/>
      <c r="F88" s="14" t="n"/>
      <c r="G88" s="19" t="n"/>
      <c r="H88" s="30" t="n"/>
      <c r="I88" s="14" t="n"/>
      <c r="J88" s="30" t="n"/>
      <c r="K88" s="14" t="n"/>
    </row>
    <row r="89" ht="22" customHeight="1">
      <c r="B89" s="17">
        <f>IF(C89="","APH-"&amp;TEXT(COUNTA($C$5:C89),"000"))</f>
        <v/>
      </c>
      <c r="C89" s="12" t="n"/>
      <c r="D89" s="12" t="n"/>
      <c r="E89" s="12" t="n"/>
      <c r="F89" s="12" t="n"/>
      <c r="G89" s="18" t="n"/>
      <c r="H89" s="29" t="n"/>
      <c r="I89" s="12" t="n"/>
      <c r="J89" s="29" t="n"/>
      <c r="K89" s="12" t="n"/>
    </row>
    <row r="90" ht="22" customHeight="1">
      <c r="B90" s="16">
        <f>IF(C90="","APH-"&amp;TEXT(COUNTA($C$5:C90),"000"))</f>
        <v/>
      </c>
      <c r="C90" s="14" t="n"/>
      <c r="D90" s="14" t="n"/>
      <c r="E90" s="14" t="n"/>
      <c r="F90" s="14" t="n"/>
      <c r="G90" s="19" t="n"/>
      <c r="H90" s="30" t="n"/>
      <c r="I90" s="14" t="n"/>
      <c r="J90" s="30" t="n"/>
      <c r="K90" s="14" t="n"/>
    </row>
    <row r="91" ht="22" customHeight="1">
      <c r="B91" s="17">
        <f>IF(C91="","APH-"&amp;TEXT(COUNTA($C$5:C91),"000"))</f>
        <v/>
      </c>
      <c r="C91" s="12" t="n"/>
      <c r="D91" s="12" t="n"/>
      <c r="E91" s="12" t="n"/>
      <c r="F91" s="12" t="n"/>
      <c r="G91" s="18" t="n"/>
      <c r="H91" s="29" t="n"/>
      <c r="I91" s="12" t="n"/>
      <c r="J91" s="29" t="n"/>
      <c r="K91" s="12" t="n"/>
    </row>
    <row r="92" ht="22" customHeight="1">
      <c r="B92" s="16">
        <f>IF(C92="","APH-"&amp;TEXT(COUNTA($C$5:C92),"000"))</f>
        <v/>
      </c>
      <c r="C92" s="14" t="n"/>
      <c r="D92" s="14" t="n"/>
      <c r="E92" s="14" t="n"/>
      <c r="F92" s="14" t="n"/>
      <c r="G92" s="19" t="n"/>
      <c r="H92" s="30" t="n"/>
      <c r="I92" s="14" t="n"/>
      <c r="J92" s="30" t="n"/>
      <c r="K92" s="14" t="n"/>
    </row>
    <row r="93" ht="22" customHeight="1">
      <c r="B93" s="17">
        <f>IF(C93="","APH-"&amp;TEXT(COUNTA($C$5:C93),"000"))</f>
        <v/>
      </c>
      <c r="C93" s="12" t="n"/>
      <c r="D93" s="12" t="n"/>
      <c r="E93" s="12" t="n"/>
      <c r="F93" s="12" t="n"/>
      <c r="G93" s="18" t="n"/>
      <c r="H93" s="29" t="n"/>
      <c r="I93" s="12" t="n"/>
      <c r="J93" s="29" t="n"/>
      <c r="K93" s="12" t="n"/>
    </row>
    <row r="94" ht="22" customHeight="1">
      <c r="B94" s="16">
        <f>IF(C94="","APH-"&amp;TEXT(COUNTA($C$5:C94),"000"))</f>
        <v/>
      </c>
      <c r="C94" s="14" t="n"/>
      <c r="D94" s="14" t="n"/>
      <c r="E94" s="14" t="n"/>
      <c r="F94" s="14" t="n"/>
      <c r="G94" s="19" t="n"/>
      <c r="H94" s="30" t="n"/>
      <c r="I94" s="14" t="n"/>
      <c r="J94" s="30" t="n"/>
      <c r="K94" s="14" t="n"/>
    </row>
    <row r="95" ht="22" customHeight="1">
      <c r="B95" s="17">
        <f>IF(C95="","APH-"&amp;TEXT(COUNTA($C$5:C95),"000"))</f>
        <v/>
      </c>
      <c r="C95" s="12" t="n"/>
      <c r="D95" s="12" t="n"/>
      <c r="E95" s="12" t="n"/>
      <c r="F95" s="12" t="n"/>
      <c r="G95" s="18" t="n"/>
      <c r="H95" s="29" t="n"/>
      <c r="I95" s="12" t="n"/>
      <c r="J95" s="29" t="n"/>
      <c r="K95" s="12" t="n"/>
    </row>
    <row r="96" ht="22" customHeight="1">
      <c r="B96" s="16">
        <f>IF(C96="","APH-"&amp;TEXT(COUNTA($C$5:C96),"000"))</f>
        <v/>
      </c>
      <c r="C96" s="14" t="n"/>
      <c r="D96" s="14" t="n"/>
      <c r="E96" s="14" t="n"/>
      <c r="F96" s="14" t="n"/>
      <c r="G96" s="19" t="n"/>
      <c r="H96" s="30" t="n"/>
      <c r="I96" s="14" t="n"/>
      <c r="J96" s="30" t="n"/>
      <c r="K96" s="14" t="n"/>
    </row>
    <row r="97" ht="22" customHeight="1">
      <c r="B97" s="17">
        <f>IF(C97="","APH-"&amp;TEXT(COUNTA($C$5:C97),"000"))</f>
        <v/>
      </c>
      <c r="C97" s="12" t="n"/>
      <c r="D97" s="12" t="n"/>
      <c r="E97" s="12" t="n"/>
      <c r="F97" s="12" t="n"/>
      <c r="G97" s="18" t="n"/>
      <c r="H97" s="29" t="n"/>
      <c r="I97" s="12" t="n"/>
      <c r="J97" s="29" t="n"/>
      <c r="K97" s="12" t="n"/>
    </row>
    <row r="98" ht="22" customHeight="1">
      <c r="B98" s="16">
        <f>IF(C98="","APH-"&amp;TEXT(COUNTA($C$5:C98),"000"))</f>
        <v/>
      </c>
      <c r="C98" s="14" t="n"/>
      <c r="D98" s="14" t="n"/>
      <c r="E98" s="14" t="n"/>
      <c r="F98" s="14" t="n"/>
      <c r="G98" s="19" t="n"/>
      <c r="H98" s="30" t="n"/>
      <c r="I98" s="14" t="n"/>
      <c r="J98" s="30" t="n"/>
      <c r="K98" s="14" t="n"/>
    </row>
    <row r="99" ht="22" customHeight="1">
      <c r="B99" s="17">
        <f>IF(C99="","APH-"&amp;TEXT(COUNTA($C$5:C99),"000"))</f>
        <v/>
      </c>
      <c r="C99" s="12" t="n"/>
      <c r="D99" s="12" t="n"/>
      <c r="E99" s="12" t="n"/>
      <c r="F99" s="12" t="n"/>
      <c r="G99" s="18" t="n"/>
      <c r="H99" s="29" t="n"/>
      <c r="I99" s="12" t="n"/>
      <c r="J99" s="29" t="n"/>
      <c r="K99" s="12" t="n"/>
    </row>
    <row r="100" ht="22" customHeight="1">
      <c r="B100" s="16">
        <f>IF(C100="","APH-"&amp;TEXT(COUNTA($C$5:C100),"000"))</f>
        <v/>
      </c>
      <c r="C100" s="14" t="n"/>
      <c r="D100" s="14" t="n"/>
      <c r="E100" s="14" t="n"/>
      <c r="F100" s="14" t="n"/>
      <c r="G100" s="19" t="n"/>
      <c r="H100" s="30" t="n"/>
      <c r="I100" s="14" t="n"/>
      <c r="J100" s="30" t="n"/>
      <c r="K100" s="14" t="n"/>
    </row>
    <row r="101" ht="22" customHeight="1">
      <c r="B101" s="17">
        <f>IF(C101="","APH-"&amp;TEXT(COUNTA($C$5:C101),"000"))</f>
        <v/>
      </c>
      <c r="C101" s="12" t="n"/>
      <c r="D101" s="12" t="n"/>
      <c r="E101" s="12" t="n"/>
      <c r="F101" s="12" t="n"/>
      <c r="G101" s="18" t="n"/>
      <c r="H101" s="29" t="n"/>
      <c r="I101" s="12" t="n"/>
      <c r="J101" s="29" t="n"/>
      <c r="K101" s="12" t="n"/>
    </row>
    <row r="102" ht="22" customHeight="1">
      <c r="B102" s="16">
        <f>IF(C102="","APH-"&amp;TEXT(COUNTA($C$5:C102),"000"))</f>
        <v/>
      </c>
      <c r="C102" s="14" t="n"/>
      <c r="D102" s="14" t="n"/>
      <c r="E102" s="14" t="n"/>
      <c r="F102" s="14" t="n"/>
      <c r="G102" s="19" t="n"/>
      <c r="H102" s="30" t="n"/>
      <c r="I102" s="14" t="n"/>
      <c r="J102" s="30" t="n"/>
      <c r="K102" s="14" t="n"/>
    </row>
    <row r="103" ht="22" customHeight="1">
      <c r="B103" s="17">
        <f>IF(C103="","APH-"&amp;TEXT(COUNTA($C$5:C103),"000"))</f>
        <v/>
      </c>
      <c r="C103" s="12" t="n"/>
      <c r="D103" s="12" t="n"/>
      <c r="E103" s="12" t="n"/>
      <c r="F103" s="12" t="n"/>
      <c r="G103" s="18" t="n"/>
      <c r="H103" s="29" t="n"/>
      <c r="I103" s="12" t="n"/>
      <c r="J103" s="29" t="n"/>
      <c r="K103" s="12" t="n"/>
    </row>
    <row r="104" ht="22" customHeight="1">
      <c r="B104" s="16">
        <f>IF(C104="","APH-"&amp;TEXT(COUNTA($C$5:C104),"000"))</f>
        <v/>
      </c>
      <c r="C104" s="14" t="n"/>
      <c r="D104" s="14" t="n"/>
      <c r="E104" s="14" t="n"/>
      <c r="F104" s="14" t="n"/>
      <c r="G104" s="19" t="n"/>
      <c r="H104" s="30" t="n"/>
      <c r="I104" s="14" t="n"/>
      <c r="J104" s="30" t="n"/>
      <c r="K104" s="14" t="n"/>
    </row>
    <row r="105" ht="22" customHeight="1">
      <c r="B105" s="17">
        <f>IF(C105="","APH-"&amp;TEXT(COUNTA($C$5:C105),"000"))</f>
        <v/>
      </c>
      <c r="C105" s="12" t="n"/>
      <c r="D105" s="12" t="n"/>
      <c r="E105" s="12" t="n"/>
      <c r="F105" s="12" t="n"/>
      <c r="G105" s="18" t="n"/>
      <c r="H105" s="29" t="n"/>
      <c r="I105" s="12" t="n"/>
      <c r="J105" s="29" t="n"/>
      <c r="K105" s="12" t="n"/>
    </row>
    <row r="106" ht="22" customHeight="1">
      <c r="B106" s="16">
        <f>IF(C106="","APH-"&amp;TEXT(COUNTA($C$5:C106),"000"))</f>
        <v/>
      </c>
      <c r="C106" s="14" t="n"/>
      <c r="D106" s="14" t="n"/>
      <c r="E106" s="14" t="n"/>
      <c r="F106" s="14" t="n"/>
      <c r="G106" s="19" t="n"/>
      <c r="H106" s="30" t="n"/>
      <c r="I106" s="14" t="n"/>
      <c r="J106" s="30" t="n"/>
      <c r="K106" s="14" t="n"/>
    </row>
    <row r="107" ht="22" customHeight="1">
      <c r="B107" s="17">
        <f>IF(C107="","APH-"&amp;TEXT(COUNTA($C$5:C107),"000"))</f>
        <v/>
      </c>
      <c r="C107" s="12" t="n"/>
      <c r="D107" s="12" t="n"/>
      <c r="E107" s="12" t="n"/>
      <c r="F107" s="12" t="n"/>
      <c r="G107" s="18" t="n"/>
      <c r="H107" s="29" t="n"/>
      <c r="I107" s="12" t="n"/>
      <c r="J107" s="29" t="n"/>
      <c r="K107" s="12" t="n"/>
    </row>
    <row r="108" ht="22" customHeight="1">
      <c r="B108" s="16">
        <f>IF(C108="","APH-"&amp;TEXT(COUNTA($C$5:C108),"000"))</f>
        <v/>
      </c>
      <c r="C108" s="14" t="n"/>
      <c r="D108" s="14" t="n"/>
      <c r="E108" s="14" t="n"/>
      <c r="F108" s="14" t="n"/>
      <c r="G108" s="19" t="n"/>
      <c r="H108" s="30" t="n"/>
      <c r="I108" s="14" t="n"/>
      <c r="J108" s="30" t="n"/>
      <c r="K108" s="14" t="n"/>
    </row>
    <row r="109" ht="22" customHeight="1">
      <c r="B109" s="17">
        <f>IF(C109="","APH-"&amp;TEXT(COUNTA($C$5:C109),"000"))</f>
        <v/>
      </c>
      <c r="C109" s="12" t="n"/>
      <c r="D109" s="12" t="n"/>
      <c r="E109" s="12" t="n"/>
      <c r="F109" s="12" t="n"/>
      <c r="G109" s="18" t="n"/>
      <c r="H109" s="29" t="n"/>
      <c r="I109" s="12" t="n"/>
      <c r="J109" s="29" t="n"/>
      <c r="K109" s="12" t="n"/>
    </row>
    <row r="110"/>
    <row r="111" ht="26" customHeight="1">
      <c r="B111" s="20" t="inlineStr">
        <is>
          <t>TOTAL</t>
        </is>
      </c>
      <c r="C111" s="21" t="n"/>
      <c r="D111" s="21" t="n"/>
      <c r="E111" s="21" t="n"/>
      <c r="F111" s="21" t="n"/>
      <c r="G111" s="22">
        <f>SUM(G5:G104)</f>
        <v/>
      </c>
      <c r="H111" s="21" t="n"/>
      <c r="I111" s="21" t="n"/>
      <c r="J111" s="21" t="n"/>
      <c r="K111" s="21" t="n"/>
    </row>
    <row r="112"/>
    <row r="113">
      <c r="B113" s="6" t="inlineStr">
        <is>
          <t>INDICATEURS (mis a jour automatiquement)</t>
        </is>
      </c>
    </row>
    <row r="114">
      <c r="B114" s="3" t="inlineStr">
        <is>
          <t>Boites archivees</t>
        </is>
      </c>
      <c r="D114" s="3" t="inlineStr">
        <is>
          <t>Total dossiers</t>
        </is>
      </c>
      <c r="F114" s="3" t="inlineStr">
        <is>
          <t>A detruire &lt; 1 an</t>
        </is>
      </c>
    </row>
    <row r="115">
      <c r="B115" s="4">
        <f>COUNTIF(B5:B104,"&lt;&gt;")</f>
        <v/>
      </c>
      <c r="D115" s="4">
        <f>SUM(G5:G104)</f>
        <v/>
      </c>
      <c r="F115" s="4">
        <f>COUNTIF(J5:J104,"&lt;"&amp;TODAY()+365)</f>
        <v/>
      </c>
    </row>
  </sheetData>
  <mergeCells count="3">
    <mergeCell ref="B113:K113"/>
    <mergeCell ref="B3:K3"/>
    <mergeCell ref="B2:K2"/>
  </mergeCells>
  <conditionalFormatting sqref="K5:K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1">
      <formula>"En attente"</formula>
    </cfRule>
    <cfRule type="cellIs" priority="77" operator="equal" dxfId="1">
      <formula>"A renouveler"</formula>
    </cfRule>
    <cfRule type="cellIs" priority="78" operator="equal" dxfId="1">
      <formula>"En cours"</formula>
    </cfRule>
    <cfRule type="cellIs" priority="79" operator="equal" dxfId="1">
      <formula>"En traitement"</formula>
    </cfRule>
    <cfRule type="cellIs" priority="80" operator="equal" dxfId="1">
      <formula>"En retard"</formula>
    </cfRule>
    <cfRule type="cellIs" priority="81" operator="equal" dxfId="1">
      <formula>"Suspendu"</formula>
    </cfRule>
    <cfRule type="cellIs" priority="82" operator="equal" dxfId="1">
      <formula>"Planifie"</formula>
    </cfRule>
    <cfRule type="cellIs" priority="83" operator="equal" dxfId="1">
      <formula>"Planifiee"</formula>
    </cfRule>
    <cfRule type="cellIs" priority="84" operator="equal" dxfId="1">
      <formula>"Brouillon"</formula>
    </cfRule>
    <cfRule type="cellIs" priority="85" operator="equal" dxfId="1">
      <formula>"En attente de justification"</formula>
    </cfRule>
    <cfRule type="cellIs" priority="86" operator="equal" dxfId="1">
      <formula>"Tolere"</formula>
    </cfRule>
    <cfRule type="cellIs" priority="87" operator="equal" dxfId="1">
      <formula>"Variable"</formula>
    </cfRule>
    <cfRule type="cellIs" priority="88" operator="equal" dxfId="1">
      <formula>"En elaboration"</formula>
    </cfRule>
    <cfRule type="cellIs" priority="89" operator="equal" dxfId="1">
      <formula>"Provisionne"</formula>
    </cfRule>
    <cfRule type="cellIs" priority="90" operator="equal" dxfId="1">
      <formula>"Consomme partiel"</formula>
    </cfRule>
    <cfRule type="cellIs" priority="91" operator="equal" dxfId="1">
      <formula>"Identifie"</formula>
    </cfRule>
    <cfRule type="cellIs" priority="92" operator="equal" dxfId="1">
      <formula>"Priorise"</formula>
    </cfRule>
    <cfRule type="cellIs" priority="93" operator="equal" dxfId="1">
      <formula>"Intermediaire"</formula>
    </cfRule>
    <cfRule type="cellIs" priority="94" operator="equal" dxfId="1">
      <formula>"Non evalue"</formula>
    </cfRule>
    <cfRule type="cellIs" priority="95" operator="equal" dxfId="1">
      <formula>"En cours de realisation"</formula>
    </cfRule>
    <cfRule type="cellIs" priority="96" operator="equal" dxfId="1">
      <formula>"Non demarre"</formula>
    </cfRule>
    <cfRule type="cellIs" priority="97" operator="equal" dxfId="1">
      <formula>"En attente N+1"</formula>
    </cfRule>
    <cfRule type="cellIs" priority="98" operator="equal" dxfId="1">
      <formula>"Prolongation essai"</formula>
    </cfRule>
    <cfRule type="cellIs" priority="99" operator="equal" dxfId="1">
      <formula>"En attente validation"</formula>
    </cfRule>
    <cfRule type="cellIs" priority="100" operator="equal" dxfId="1">
      <formula>"Bon"</formula>
    </cfRule>
    <cfRule type="cellIs" priority="101" operator="equal" dxfId="1">
      <formula>"D - Moyen"</formula>
    </cfRule>
    <cfRule type="cellIs" priority="102" operator="equal" dxfId="1">
      <formula>"En cours de repres."</formula>
    </cfRule>
    <cfRule type="cellIs" priority="103" operator="equal" dxfId="1">
      <formula>"En negociation"</formula>
    </cfRule>
    <cfRule type="cellIs" priority="104" operator="equal" dxfId="1">
      <formula>"En preparation"</formula>
    </cfRule>
    <cfRule type="cellIs" priority="105" operator="equal" dxfId="1">
      <formula>"En cours d'instruction"</formula>
    </cfRule>
    <cfRule type="cellIs" priority="106" operator="equal" dxfId="1">
      <formula>"Transferee N+1"</formula>
    </cfRule>
    <cfRule type="cellIs" priority="107" operator="equal" dxfId="1">
      <formula>"En attente reponse"</formula>
    </cfRule>
    <cfRule type="cellIs" priority="108" operator="equal" dxfId="1">
      <formula>"Enquete ouverte"</formula>
    </cfRule>
    <cfRule type="cellIs" priority="109" operator="equal" dxfId="1">
      <formula>"Convocation envoyee"</formula>
    </cfRule>
    <cfRule type="cellIs" priority="110" operator="equal" dxfId="1">
      <formula>"Entretien realise"</formula>
    </cfRule>
    <cfRule type="cellIs" priority="111" operator="equal" dxfId="1">
      <formula>"Saisie"</formula>
    </cfRule>
    <cfRule type="cellIs" priority="112" operator="equal" dxfId="1">
      <formula>"En mediation"</formula>
    </cfRule>
    <cfRule type="cellIs" priority="113" operator="equal" dxfId="1">
      <formula>"En recours"</formula>
    </cfRule>
    <cfRule type="cellIs" priority="114" operator="equal" dxfId="1">
      <formula>"Reportee"</formula>
    </cfRule>
    <cfRule type="cellIs" priority="115" operator="equal" dxfId="1">
      <formula>"Reporte"</formula>
    </cfRule>
    <cfRule type="cellIs" priority="116" operator="equal" dxfId="1">
      <formula>"Signale"</formula>
    </cfRule>
    <cfRule type="cellIs" priority="117" operator="equal" dxfId="1">
      <formula>"Precontentieux"</formula>
    </cfRule>
    <cfRule type="cellIs" priority="118" operator="equal" dxfId="1">
      <formula>"En attente election"</formula>
    </cfRule>
    <cfRule type="cellIs" priority="119" operator="equal" dxfId="1">
      <formula>"Classe"</formula>
    </cfRule>
    <cfRule type="cellIs" priority="120" operator="equal" dxfId="1">
      <formula>"En cours d'evaluation"</formula>
    </cfRule>
    <cfRule type="cellIs" priority="121" operator="equal" dxfId="1">
      <formula>"En cours d'enquete"</formula>
    </cfRule>
    <cfRule type="cellIs" priority="122" operator="equal" dxfId="1">
      <formula>"En cours de commande"</formula>
    </cfRule>
    <cfRule type="cellIs" priority="123" operator="equal" dxfId="1">
      <formula>"A revoir"</formula>
    </cfRule>
    <cfRule type="cellIs" priority="124" operator="equal" dxfId="1">
      <formula>"A remplacer"</formula>
    </cfRule>
    <cfRule type="cellIs" priority="125" operator="equal" dxfId="1">
      <formula>"En cours d'instruction CNPS"</formula>
    </cfRule>
    <cfRule type="cellIs" priority="126" operator="equal" dxfId="1">
      <formula>"En contestation"</formula>
    </cfRule>
    <cfRule type="cellIs" priority="127" operator="equal" dxfId="1">
      <formula>"Inapte temporaire"</formula>
    </cfRule>
    <cfRule type="cellIs" priority="128" operator="equal" dxfId="1">
      <formula>"Candidat identifie"</formula>
    </cfRule>
    <cfRule type="cellIs" priority="129" operator="equal" dxfId="1">
      <formula>"En formation"</formula>
    </cfRule>
    <cfRule type="cellIs" priority="130" operator="equal" dxfId="1">
      <formula>"En evaluation"</formula>
    </cfRule>
    <cfRule type="cellIs" priority="131" operator="equal" dxfId="1">
      <formula>"En transit"</formula>
    </cfRule>
    <cfRule type="cellIs" priority="132" operator="equal" dxfId="1">
      <formula>"En attente visa"</formula>
    </cfRule>
    <cfRule type="cellIs" priority="133" operator="equal" dxfId="1">
      <formula>"Proposee"</formula>
    </cfRule>
    <cfRule type="cellIs" priority="134" operator="equal" dxfId="1">
      <formula>"En cours d'acquisition"</formula>
    </cfRule>
    <cfRule type="cellIs" priority="135" operator="equal" dxfId="1">
      <formula>"A developper"</formula>
    </cfRule>
    <cfRule type="cellIs" priority="136" operator="equal" dxfId="1">
      <formula>"A renforcer"</formula>
    </cfRule>
    <cfRule type="cellIs" priority="137" operator="equal" dxfId="1">
      <formula>"En cours"</formula>
    </cfRule>
    <cfRule type="cellIs" priority="138" operator="equal" dxfId="1">
      <formula>"Partiellement conforme"</formula>
    </cfRule>
    <cfRule type="cellIs" priority="139" operator="equal" dxfId="1">
      <formula>"En mise en conformite"</formula>
    </cfRule>
    <cfRule type="cellIs" priority="140" operator="equal" dxfId="1">
      <formula>"En revision"</formula>
    </cfRule>
    <cfRule type="cellIs" priority="141" operator="equal" dxfId="1">
      <formula>"A approuver"</formula>
    </cfRule>
    <cfRule type="cellIs" priority="142" operator="equal" dxfId="1">
      <formula>"En conciliation"</formula>
    </cfRule>
    <cfRule type="cellIs" priority="143" operator="equal" dxfId="1">
      <formula>"Assigne tribunal"</formula>
    </cfRule>
    <cfRule type="cellIs" priority="144" operator="equal" dxfId="1">
      <formula>"En cours de preparation"</formula>
    </cfRule>
    <cfRule type="cellIs" priority="145" operator="equal" dxfId="1">
      <formula>"Non effectuee"</formula>
    </cfRule>
    <cfRule type="cellIs" priority="146" operator="equal" dxfId="1">
      <formula>"A archiver"</formula>
    </cfRule>
    <cfRule type="cellIs" priority="147" operator="equal" dxfId="1">
      <formula>"En cours de constitution"</formula>
    </cfRule>
    <cfRule type="cellIs" priority="148" operator="equal" dxfId="1">
      <formula>"A mettre a jour"</formula>
    </cfRule>
    <cfRule type="cellIs" priority="149" operator="equal" dxfId="1">
      <formula>"En restoration"</formula>
    </cfRule>
    <cfRule type="cellIs" priority="150" operator="equal" dxfId="1">
      <formula>"En cours de restauration"</formula>
    </cfRule>
    <cfRule type="cellIs" priority="151" operator="equal" dxfId="1">
      <formula>"A determiner"</formula>
    </cfRule>
    <cfRule type="cellIs" priority="152" operator="equal" dxfId="1">
      <formula>"En revision"</formula>
    </cfRule>
    <cfRule type="cellIs" priority="153" operator="equal" dxfId="1">
      <formula>"Obsolete"</formula>
    </cfRule>
    <cfRule type="cellIs" priority="154" operator="equal" dxfId="1">
      <formula>"Hybride (papier + numerique)"</formula>
    </cfRule>
    <cfRule type="cellIs" priority="155" operator="equal" dxfId="2">
      <formula>"Expire"</formula>
    </cfRule>
    <cfRule type="cellIs" priority="156" operator="equal" dxfId="2">
      <formula>"Rejete"</formula>
    </cfRule>
    <cfRule type="cellIs" priority="157" operator="equal" dxfId="2">
      <formula>"Rejetee"</formula>
    </cfRule>
    <cfRule type="cellIs" priority="158" operator="equal" dxfId="2">
      <formula>"Resilie"</formula>
    </cfRule>
    <cfRule type="cellIs" priority="159" operator="equal" dxfId="2">
      <formula>"Annule"</formula>
    </cfRule>
    <cfRule type="cellIs" priority="160" operator="equal" dxfId="2">
      <formula>"Annulee"</formula>
    </cfRule>
    <cfRule type="cellIs" priority="161" operator="equal" dxfId="2">
      <formula>"Refuse"</formula>
    </cfRule>
    <cfRule type="cellIs" priority="162" operator="equal" dxfId="2">
      <formula>"Non justifie"</formula>
    </cfRule>
    <cfRule type="cellIs" priority="163" operator="equal" dxfId="2">
      <formula>"Non justifiee"</formula>
    </cfRule>
    <cfRule type="cellIs" priority="164" operator="equal" dxfId="2">
      <formula>"Sanctionne"</formula>
    </cfRule>
    <cfRule type="cellIs" priority="165" operator="equal" dxfId="2">
      <formula>"Inaptitude"</formula>
    </cfRule>
    <cfRule type="cellIs" priority="166" operator="equal" dxfId="2">
      <formula>"Absent sans autorisation"</formula>
    </cfRule>
    <cfRule type="cellIs" priority="167" operator="equal" dxfId="2">
      <formula>"Abandon de poste"</formula>
    </cfRule>
    <cfRule type="cellIs" priority="168" operator="equal" dxfId="2">
      <formula>"Non satisfait"</formula>
    </cfRule>
    <cfRule type="cellIs" priority="169" operator="equal" dxfId="2">
      <formula>"Depasse"</formula>
    </cfRule>
    <cfRule type="cellIs" priority="170" operator="equal" dxfId="2">
      <formula>"Non utilise"</formula>
    </cfRule>
    <cfRule type="cellIs" priority="171" operator="equal" dxfId="2">
      <formula>"Non applicable"</formula>
    </cfRule>
    <cfRule type="cellIs" priority="172" operator="equal" dxfId="2">
      <formula>"Debutant"</formula>
    </cfRule>
    <cfRule type="cellIs" priority="173" operator="equal" dxfId="2">
      <formula>"Non atteint"</formula>
    </cfRule>
    <cfRule type="cellIs" priority="174" operator="equal" dxfId="2">
      <formula>"Abandonne"</formula>
    </cfRule>
    <cfRule type="cellIs" priority="175" operator="equal" dxfId="2">
      <formula>"Rupture essai"</formula>
    </cfRule>
    <cfRule type="cellIs" priority="176" operator="equal" dxfId="2">
      <formula>"Insuffisant"</formula>
    </cfRule>
    <cfRule type="cellIs" priority="177" operator="equal" dxfId="2">
      <formula>"Moyen"</formula>
    </cfRule>
    <cfRule type="cellIs" priority="178" operator="equal" dxfId="2">
      <formula>"E - Insuffisant"</formula>
    </cfRule>
    <cfRule type="cellIs" priority="179" operator="equal" dxfId="2">
      <formula>"Dissous"</formula>
    </cfRule>
    <cfRule type="cellIs" priority="180" operator="equal" dxfId="2">
      <formula>"Denonce"</formula>
    </cfRule>
    <cfRule type="cellIs" priority="181" operator="equal" dxfId="2">
      <formula>"Echoue"</formula>
    </cfRule>
    <cfRule type="cellIs" priority="182" operator="equal" dxfId="2">
      <formula>"Echouee"</formula>
    </cfRule>
    <cfRule type="cellIs" priority="183" operator="equal" dxfId="2">
      <formula>"Revoque"</formula>
    </cfRule>
    <cfRule type="cellIs" priority="184" operator="equal" dxfId="2">
      <formula>"Demissionnaire"</formula>
    </cfRule>
    <cfRule type="cellIs" priority="185" operator="equal" dxfId="2">
      <formula>"Licenciement pour faute"</formula>
    </cfRule>
    <cfRule type="cellIs" priority="186" operator="equal" dxfId="2">
      <formula>"Licenciement pour faute grave"</formula>
    </cfRule>
    <cfRule type="cellIs" priority="187" operator="equal" dxfId="2">
      <formula>"Terminee - Echec"</formula>
    </cfRule>
    <cfRule type="cellIs" priority="188" operator="equal" dxfId="2">
      <formula>"Abandonnee"</formula>
    </cfRule>
    <cfRule type="cellIs" priority="189" operator="equal" dxfId="2">
      <formula>"Violence physique"</formula>
    </cfRule>
    <cfRule type="cellIs" priority="190" operator="equal" dxfId="2">
      <formula>"Violence verbale"</formula>
    </cfRule>
    <cfRule type="cellIs" priority="191" operator="equal" dxfId="2">
      <formula>"Fatal"</formula>
    </cfRule>
    <cfRule type="cellIs" priority="192" operator="equal" dxfId="2">
      <formula>"Non reconnue"</formula>
    </cfRule>
    <cfRule type="cellIs" priority="193" operator="equal" dxfId="2">
      <formula>"Inapte definitif"</formula>
    </cfRule>
    <cfRule type="cellIs" priority="194" operator="equal" dxfId="2">
      <formula>"Perdu / vole"</formula>
    </cfRule>
    <cfRule type="cellIs" priority="195" operator="equal" dxfId="2">
      <formula>"Rebute"</formula>
    </cfRule>
    <cfRule type="cellIs" priority="196" operator="equal" dxfId="2">
      <formula>"Obsolette"</formula>
    </cfRule>
    <cfRule type="cellIs" priority="197" operator="equal" dxfId="2">
      <formula>"Conteste"</formula>
    </cfRule>
    <cfRule type="cellIs" priority="198" operator="equal" dxfId="2">
      <formula>"Refusee"</formula>
    </cfRule>
    <cfRule type="cellIs" priority="199" operator="equal" dxfId="2">
      <formula>"Non retenu"</formula>
    </cfRule>
    <cfRule type="cellIs" priority="200" operator="equal" dxfId="2">
      <formula>"Non acquis"</formula>
    </cfRule>
    <cfRule type="cellIs" priority="201" operator="equal" dxfId="2">
      <formula>"Contrat termine"</formula>
    </cfRule>
    <cfRule type="cellIs" priority="202" operator="equal" dxfId="2">
      <formula>"Rapatrie"</formula>
    </cfRule>
    <cfRule type="cellIs" priority="203" operator="equal" dxfId="2">
      <formula>"Non conforme"</formula>
    </cfRule>
    <cfRule type="cellIs" priority="204" operator="equal" dxfId="2">
      <formula>"Abandonne"</formula>
    </cfRule>
    <cfRule type="cellIs" priority="205" operator="equal" dxfId="2">
      <formula>"Perdu"</formula>
    </cfRule>
    <cfRule type="cellIs" priority="206" operator="equal" dxfId="2">
      <formula>"Resilie"</formula>
    </cfRule>
    <cfRule type="cellIs" priority="207" operator="equal" dxfId="2">
      <formula>"Expire"</formula>
    </cfRule>
    <cfRule type="cellIs" priority="208" operator="equal" dxfId="2">
      <formula>"Incomplet"</formula>
    </cfRule>
    <cfRule type="cellIs" priority="209" operator="equal" dxfId="2">
      <formula>"Non restitue"</formula>
    </cfRule>
    <cfRule type="cellIs" priority="210" operator="equal" dxfId="2">
      <formula>"Perdu"</formula>
    </cfRule>
    <cfRule type="cellIs" priority="211" operator="equal" dxfId="2">
      <formula>"Secret"</formula>
    </cfRule>
  </conditionalFormatting>
  <conditionalFormatting sqref="B10:B109">
    <cfRule type="expression" priority="212" dxfId="3">
      <formula>AND($C10="",$C9&lt;&gt;"")</formula>
    </cfRule>
  </conditionalFormatting>
  <conditionalFormatting sqref="C10:C109">
    <cfRule type="expression" priority="213" dxfId="3">
      <formula>AND($C10="",$C9&lt;&gt;"")</formula>
    </cfRule>
  </conditionalFormatting>
  <conditionalFormatting sqref="D10:D109">
    <cfRule type="expression" priority="214" dxfId="3">
      <formula>AND($C10="",$C9&lt;&gt;"")</formula>
    </cfRule>
  </conditionalFormatting>
  <conditionalFormatting sqref="E10:E109">
    <cfRule type="expression" priority="215" dxfId="3">
      <formula>AND($C10="",$C9&lt;&gt;"")</formula>
    </cfRule>
  </conditionalFormatting>
  <conditionalFormatting sqref="F10:F109">
    <cfRule type="expression" priority="216" dxfId="3">
      <formula>AND($C10="",$C9&lt;&gt;"")</formula>
    </cfRule>
  </conditionalFormatting>
  <conditionalFormatting sqref="G10:G109">
    <cfRule type="expression" priority="217" dxfId="3">
      <formula>AND($C10="",$C9&lt;&gt;"")</formula>
    </cfRule>
  </conditionalFormatting>
  <conditionalFormatting sqref="H10:H109">
    <cfRule type="expression" priority="218" dxfId="3">
      <formula>AND($C10="",$C9&lt;&gt;"")</formula>
    </cfRule>
  </conditionalFormatting>
  <conditionalFormatting sqref="I10:I109">
    <cfRule type="expression" priority="219" dxfId="3">
      <formula>AND($C10="",$C9&lt;&gt;"")</formula>
    </cfRule>
  </conditionalFormatting>
  <conditionalFormatting sqref="J10:J109">
    <cfRule type="expression" priority="220" dxfId="3">
      <formula>AND($C10="",$C9&lt;&gt;"")</formula>
    </cfRule>
  </conditionalFormatting>
  <conditionalFormatting sqref="K10:K109">
    <cfRule type="expression" priority="221" dxfId="3">
      <formula>AND($C10="",$C9&lt;&gt;"")</formula>
    </cfRule>
  </conditionalFormatting>
  <dataValidations count="3">
    <dataValidation sqref="D5:D109" showDropDown="0" showInputMessage="0" showErrorMessage="0" allowBlank="1" errorTitle="Erreur" error="Valeur invalide" promptTitle="Liste" prompt="Choisir dans la liste" type="list">
      <formula1>'_Lists'!$D$2:$D$21</formula1>
    </dataValidation>
    <dataValidation sqref="I5:I109" showDropDown="0" showInputMessage="0" showErrorMessage="0" allowBlank="1" errorTitle="Erreur" error="Valeur invalide" promptTitle="Liste" prompt="Choisir dans la liste" type="list">
      <formula1>'_Lists'!$H$2:$H$10</formula1>
    </dataValidation>
    <dataValidation sqref="K5:K109" showDropDown="0" showInputMessage="0" showErrorMessage="0" allowBlank="1" errorTitle="Erreur" error="Valeur invalide" promptTitle="Liste" prompt="Choisir dans la liste" type="list">
      <formula1>'_Lists'!$F$2:$F$8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22" customWidth="1" min="4" max="4"/>
    <col width="12" customWidth="1" min="5" max="5"/>
    <col width="32" customWidth="1" min="6" max="6"/>
    <col width="14" customWidth="1" min="7" max="7"/>
    <col width="16" customWidth="1" min="8" max="8"/>
    <col width="14" customWidth="1" min="9" max="9"/>
    <col width="28" customWidth="1" min="10" max="10"/>
    <col width="12" customWidth="1" min="11" max="11"/>
  </cols>
  <sheetData>
    <row r="1" ht="15" customHeight="1"/>
    <row r="2" ht="32" customHeight="1">
      <c r="B2" s="1" t="inlineStr">
        <is>
          <t>ARCHIVAGE NUMÉRIQUE (#130)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Document</t>
        </is>
      </c>
      <c r="D4" s="11" t="inlineStr">
        <is>
          <t>Type Document</t>
        </is>
      </c>
      <c r="E4" s="11" t="inlineStr">
        <is>
          <t>Format</t>
        </is>
      </c>
      <c r="F4" s="11" t="inlineStr">
        <is>
          <t>Emplacement Serveur</t>
        </is>
      </c>
      <c r="G4" s="11" t="inlineStr">
        <is>
          <t>Taille (Ko)</t>
        </is>
      </c>
      <c r="H4" s="11" t="inlineStr">
        <is>
          <t>Date Numérisation</t>
        </is>
      </c>
      <c r="I4" s="11" t="inlineStr">
        <is>
          <t>Qualite Scan</t>
        </is>
      </c>
      <c r="J4" s="11" t="inlineStr">
        <is>
          <t>Indexation</t>
        </is>
      </c>
      <c r="K4" s="11" t="inlineStr">
        <is>
          <t>Statut</t>
        </is>
      </c>
    </row>
    <row r="5" ht="22" customHeight="1">
      <c r="B5" s="12" t="inlineStr">
        <is>
          <t>ANU-001</t>
        </is>
      </c>
      <c r="C5" s="12" t="inlineStr">
        <is>
          <t>Contrat Nkoulou Mbarga P.</t>
        </is>
      </c>
      <c r="D5" s="12" t="inlineStr">
        <is>
          <t>Contrat de travail</t>
        </is>
      </c>
      <c r="E5" s="12" t="inlineStr">
        <is>
          <t>PDF</t>
        </is>
      </c>
      <c r="F5" s="12" t="inlineStr">
        <is>
          <t>Serveur RH / Contrats / 2019 /</t>
        </is>
      </c>
      <c r="G5" s="23" t="n">
        <v>450</v>
      </c>
      <c r="H5" s="29" t="n">
        <v>45361</v>
      </c>
      <c r="I5" s="12" t="inlineStr">
        <is>
          <t>Haute</t>
        </is>
      </c>
      <c r="J5" s="12" t="inlineStr">
        <is>
          <t>Employe + Type + Date</t>
        </is>
      </c>
      <c r="K5" s="12" t="inlineStr">
        <is>
          <t>Archive</t>
        </is>
      </c>
    </row>
    <row r="6" ht="22" customHeight="1">
      <c r="B6" s="14" t="inlineStr">
        <is>
          <t>ANU-002</t>
        </is>
      </c>
      <c r="C6" s="14" t="inlineStr">
        <is>
          <t>Bulletins paie Jan-Dec 2024</t>
        </is>
      </c>
      <c r="D6" s="14" t="inlineStr">
        <is>
          <t>Bulletin paie</t>
        </is>
      </c>
      <c r="E6" s="14" t="inlineStr">
        <is>
          <t>PDF</t>
        </is>
      </c>
      <c r="F6" s="14" t="inlineStr">
        <is>
          <t>Serveur RH / Paie / 2024 /</t>
        </is>
      </c>
      <c r="G6" s="24" t="n">
        <v>2800</v>
      </c>
      <c r="H6" s="30" t="n">
        <v>45672</v>
      </c>
      <c r="I6" s="14" t="inlineStr">
        <is>
          <t>Haute</t>
        </is>
      </c>
      <c r="J6" s="14" t="inlineStr">
        <is>
          <t>Mois + Employe + Montant</t>
        </is>
      </c>
      <c r="K6" s="14" t="inlineStr">
        <is>
          <t>Archive</t>
        </is>
      </c>
    </row>
    <row r="7" ht="22" customHeight="1">
      <c r="B7" s="12" t="inlineStr">
        <is>
          <t>ANU-003</t>
        </is>
      </c>
      <c r="C7" s="12" t="inlineStr">
        <is>
          <t>PV reunion CSE 2025</t>
        </is>
      </c>
      <c r="D7" s="12" t="inlineStr">
        <is>
          <t>PV reunion</t>
        </is>
      </c>
      <c r="E7" s="12" t="inlineStr">
        <is>
          <t>PDF</t>
        </is>
      </c>
      <c r="F7" s="12" t="inlineStr">
        <is>
          <t>Serveur RH / CSE / 2025 /</t>
        </is>
      </c>
      <c r="G7" s="23" t="n">
        <v>320</v>
      </c>
      <c r="H7" s="29" t="n">
        <v>45698</v>
      </c>
      <c r="I7" s="12" t="inlineStr">
        <is>
          <t>Moyenne</t>
        </is>
      </c>
      <c r="J7" s="12" t="inlineStr">
        <is>
          <t>Date + Type reunion</t>
        </is>
      </c>
      <c r="K7" s="12" t="inlineStr">
        <is>
          <t>En cours</t>
        </is>
      </c>
    </row>
    <row r="8" ht="22" customHeight="1">
      <c r="B8" s="14" t="inlineStr">
        <is>
          <t>ANU-004</t>
        </is>
      </c>
      <c r="C8" s="14" t="inlineStr">
        <is>
          <t>Formation HACCP niveau 2</t>
        </is>
      </c>
      <c r="D8" s="14" t="inlineStr">
        <is>
          <t>Plan de formation</t>
        </is>
      </c>
      <c r="E8" s="14" t="inlineStr">
        <is>
          <t>PDF</t>
        </is>
      </c>
      <c r="F8" s="14" t="inlineStr">
        <is>
          <t>Cloud / Formation / HACCP /</t>
        </is>
      </c>
      <c r="G8" s="24" t="n">
        <v>1500</v>
      </c>
      <c r="H8" s="30" t="n">
        <v>45752</v>
      </c>
      <c r="I8" s="14" t="inlineStr">
        <is>
          <t>Haute</t>
        </is>
      </c>
      <c r="J8" s="14" t="inlineStr">
        <is>
          <t>Formation + Participant + Date</t>
        </is>
      </c>
      <c r="K8" s="14" t="inlineStr">
        <is>
          <t>En cours</t>
        </is>
      </c>
    </row>
    <row r="9" ht="22" customHeight="1">
      <c r="B9" s="12" t="inlineStr">
        <is>
          <t>ANU-005</t>
        </is>
      </c>
      <c r="C9" s="12" t="inlineStr">
        <is>
          <t>Declarations CNPS 2024</t>
        </is>
      </c>
      <c r="D9" s="12" t="inlineStr">
        <is>
          <t>Formulaire CNPS</t>
        </is>
      </c>
      <c r="E9" s="12" t="inlineStr">
        <is>
          <t>PDF</t>
        </is>
      </c>
      <c r="F9" s="12" t="inlineStr">
        <is>
          <t>Serveur RH / CNPS / 2024 /</t>
        </is>
      </c>
      <c r="G9" s="23" t="n">
        <v>1200</v>
      </c>
      <c r="H9" s="29" t="n">
        <v>45677</v>
      </c>
      <c r="I9" s="12" t="inlineStr">
        <is>
          <t>Haute</t>
        </is>
      </c>
      <c r="J9" s="12" t="inlineStr">
        <is>
          <t>Mois + Montant + Reference</t>
        </is>
      </c>
      <c r="K9" s="12" t="inlineStr">
        <is>
          <t>Archive</t>
        </is>
      </c>
    </row>
    <row r="10" ht="22" customHeight="1">
      <c r="B10" s="16">
        <f>IF(C10="","ANU-"&amp;TEXT(COUNTA($C$5:C10),"000"))</f>
        <v/>
      </c>
      <c r="C10" s="14" t="n"/>
      <c r="D10" s="14" t="n"/>
      <c r="E10" s="14" t="n"/>
      <c r="F10" s="14" t="n"/>
      <c r="G10" s="24" t="n"/>
      <c r="H10" s="30" t="n"/>
      <c r="I10" s="14" t="n"/>
      <c r="J10" s="14" t="n"/>
      <c r="K10" s="14" t="n"/>
    </row>
    <row r="11" ht="22" customHeight="1">
      <c r="B11" s="17">
        <f>IF(C11="","ANU-"&amp;TEXT(COUNTA($C$5:C11),"000"))</f>
        <v/>
      </c>
      <c r="C11" s="12" t="n"/>
      <c r="D11" s="12" t="n"/>
      <c r="E11" s="12" t="n"/>
      <c r="F11" s="12" t="n"/>
      <c r="G11" s="23" t="n"/>
      <c r="H11" s="29" t="n"/>
      <c r="I11" s="12" t="n"/>
      <c r="J11" s="12" t="n"/>
      <c r="K11" s="12" t="n"/>
    </row>
    <row r="12" ht="22" customHeight="1">
      <c r="B12" s="16">
        <f>IF(C12="","ANU-"&amp;TEXT(COUNTA($C$5:C12),"000"))</f>
        <v/>
      </c>
      <c r="C12" s="14" t="n"/>
      <c r="D12" s="14" t="n"/>
      <c r="E12" s="14" t="n"/>
      <c r="F12" s="14" t="n"/>
      <c r="G12" s="24" t="n"/>
      <c r="H12" s="30" t="n"/>
      <c r="I12" s="14" t="n"/>
      <c r="J12" s="14" t="n"/>
      <c r="K12" s="14" t="n"/>
    </row>
    <row r="13" ht="22" customHeight="1">
      <c r="B13" s="17">
        <f>IF(C13="","ANU-"&amp;TEXT(COUNTA($C$5:C13),"000"))</f>
        <v/>
      </c>
      <c r="C13" s="12" t="n"/>
      <c r="D13" s="12" t="n"/>
      <c r="E13" s="12" t="n"/>
      <c r="F13" s="12" t="n"/>
      <c r="G13" s="23" t="n"/>
      <c r="H13" s="29" t="n"/>
      <c r="I13" s="12" t="n"/>
      <c r="J13" s="12" t="n"/>
      <c r="K13" s="12" t="n"/>
    </row>
    <row r="14" ht="22" customHeight="1">
      <c r="B14" s="16">
        <f>IF(C14="","ANU-"&amp;TEXT(COUNTA($C$5:C14),"000"))</f>
        <v/>
      </c>
      <c r="C14" s="14" t="n"/>
      <c r="D14" s="14" t="n"/>
      <c r="E14" s="14" t="n"/>
      <c r="F14" s="14" t="n"/>
      <c r="G14" s="24" t="n"/>
      <c r="H14" s="30" t="n"/>
      <c r="I14" s="14" t="n"/>
      <c r="J14" s="14" t="n"/>
      <c r="K14" s="14" t="n"/>
    </row>
    <row r="15" ht="22" customHeight="1">
      <c r="B15" s="17">
        <f>IF(C15="","ANU-"&amp;TEXT(COUNTA($C$5:C15),"000"))</f>
        <v/>
      </c>
      <c r="C15" s="12" t="n"/>
      <c r="D15" s="12" t="n"/>
      <c r="E15" s="12" t="n"/>
      <c r="F15" s="12" t="n"/>
      <c r="G15" s="23" t="n"/>
      <c r="H15" s="29" t="n"/>
      <c r="I15" s="12" t="n"/>
      <c r="J15" s="12" t="n"/>
      <c r="K15" s="12" t="n"/>
    </row>
    <row r="16" ht="22" customHeight="1">
      <c r="B16" s="16">
        <f>IF(C16="","ANU-"&amp;TEXT(COUNTA($C$5:C16),"000"))</f>
        <v/>
      </c>
      <c r="C16" s="14" t="n"/>
      <c r="D16" s="14" t="n"/>
      <c r="E16" s="14" t="n"/>
      <c r="F16" s="14" t="n"/>
      <c r="G16" s="24" t="n"/>
      <c r="H16" s="30" t="n"/>
      <c r="I16" s="14" t="n"/>
      <c r="J16" s="14" t="n"/>
      <c r="K16" s="14" t="n"/>
    </row>
    <row r="17" ht="22" customHeight="1">
      <c r="B17" s="17">
        <f>IF(C17="","ANU-"&amp;TEXT(COUNTA($C$5:C17),"000"))</f>
        <v/>
      </c>
      <c r="C17" s="12" t="n"/>
      <c r="D17" s="12" t="n"/>
      <c r="E17" s="12" t="n"/>
      <c r="F17" s="12" t="n"/>
      <c r="G17" s="23" t="n"/>
      <c r="H17" s="29" t="n"/>
      <c r="I17" s="12" t="n"/>
      <c r="J17" s="12" t="n"/>
      <c r="K17" s="12" t="n"/>
    </row>
    <row r="18" ht="22" customHeight="1">
      <c r="B18" s="16">
        <f>IF(C18="","ANU-"&amp;TEXT(COUNTA($C$5:C18),"000"))</f>
        <v/>
      </c>
      <c r="C18" s="14" t="n"/>
      <c r="D18" s="14" t="n"/>
      <c r="E18" s="14" t="n"/>
      <c r="F18" s="14" t="n"/>
      <c r="G18" s="24" t="n"/>
      <c r="H18" s="30" t="n"/>
      <c r="I18" s="14" t="n"/>
      <c r="J18" s="14" t="n"/>
      <c r="K18" s="14" t="n"/>
    </row>
    <row r="19" ht="22" customHeight="1">
      <c r="B19" s="17">
        <f>IF(C19="","ANU-"&amp;TEXT(COUNTA($C$5:C19),"000"))</f>
        <v/>
      </c>
      <c r="C19" s="12" t="n"/>
      <c r="D19" s="12" t="n"/>
      <c r="E19" s="12" t="n"/>
      <c r="F19" s="12" t="n"/>
      <c r="G19" s="23" t="n"/>
      <c r="H19" s="29" t="n"/>
      <c r="I19" s="12" t="n"/>
      <c r="J19" s="12" t="n"/>
      <c r="K19" s="12" t="n"/>
    </row>
    <row r="20" ht="22" customHeight="1">
      <c r="B20" s="16">
        <f>IF(C20="","ANU-"&amp;TEXT(COUNTA($C$5:C20),"000"))</f>
        <v/>
      </c>
      <c r="C20" s="14" t="n"/>
      <c r="D20" s="14" t="n"/>
      <c r="E20" s="14" t="n"/>
      <c r="F20" s="14" t="n"/>
      <c r="G20" s="24" t="n"/>
      <c r="H20" s="30" t="n"/>
      <c r="I20" s="14" t="n"/>
      <c r="J20" s="14" t="n"/>
      <c r="K20" s="14" t="n"/>
    </row>
    <row r="21" ht="22" customHeight="1">
      <c r="B21" s="17">
        <f>IF(C21="","ANU-"&amp;TEXT(COUNTA($C$5:C21),"000"))</f>
        <v/>
      </c>
      <c r="C21" s="12" t="n"/>
      <c r="D21" s="12" t="n"/>
      <c r="E21" s="12" t="n"/>
      <c r="F21" s="12" t="n"/>
      <c r="G21" s="23" t="n"/>
      <c r="H21" s="29" t="n"/>
      <c r="I21" s="12" t="n"/>
      <c r="J21" s="12" t="n"/>
      <c r="K21" s="12" t="n"/>
    </row>
    <row r="22" ht="22" customHeight="1">
      <c r="B22" s="16">
        <f>IF(C22="","ANU-"&amp;TEXT(COUNTA($C$5:C22),"000"))</f>
        <v/>
      </c>
      <c r="C22" s="14" t="n"/>
      <c r="D22" s="14" t="n"/>
      <c r="E22" s="14" t="n"/>
      <c r="F22" s="14" t="n"/>
      <c r="G22" s="24" t="n"/>
      <c r="H22" s="30" t="n"/>
      <c r="I22" s="14" t="n"/>
      <c r="J22" s="14" t="n"/>
      <c r="K22" s="14" t="n"/>
    </row>
    <row r="23" ht="22" customHeight="1">
      <c r="B23" s="17">
        <f>IF(C23="","ANU-"&amp;TEXT(COUNTA($C$5:C23),"000"))</f>
        <v/>
      </c>
      <c r="C23" s="12" t="n"/>
      <c r="D23" s="12" t="n"/>
      <c r="E23" s="12" t="n"/>
      <c r="F23" s="12" t="n"/>
      <c r="G23" s="23" t="n"/>
      <c r="H23" s="29" t="n"/>
      <c r="I23" s="12" t="n"/>
      <c r="J23" s="12" t="n"/>
      <c r="K23" s="12" t="n"/>
    </row>
    <row r="24" ht="22" customHeight="1">
      <c r="B24" s="16">
        <f>IF(C24="","ANU-"&amp;TEXT(COUNTA($C$5:C24),"000"))</f>
        <v/>
      </c>
      <c r="C24" s="14" t="n"/>
      <c r="D24" s="14" t="n"/>
      <c r="E24" s="14" t="n"/>
      <c r="F24" s="14" t="n"/>
      <c r="G24" s="24" t="n"/>
      <c r="H24" s="30" t="n"/>
      <c r="I24" s="14" t="n"/>
      <c r="J24" s="14" t="n"/>
      <c r="K24" s="14" t="n"/>
    </row>
    <row r="25" ht="22" customHeight="1">
      <c r="B25" s="17">
        <f>IF(C25="","ANU-"&amp;TEXT(COUNTA($C$5:C25),"000"))</f>
        <v/>
      </c>
      <c r="C25" s="12" t="n"/>
      <c r="D25" s="12" t="n"/>
      <c r="E25" s="12" t="n"/>
      <c r="F25" s="12" t="n"/>
      <c r="G25" s="23" t="n"/>
      <c r="H25" s="29" t="n"/>
      <c r="I25" s="12" t="n"/>
      <c r="J25" s="12" t="n"/>
      <c r="K25" s="12" t="n"/>
    </row>
    <row r="26" ht="22" customHeight="1">
      <c r="B26" s="16">
        <f>IF(C26="","ANU-"&amp;TEXT(COUNTA($C$5:C26),"000"))</f>
        <v/>
      </c>
      <c r="C26" s="14" t="n"/>
      <c r="D26" s="14" t="n"/>
      <c r="E26" s="14" t="n"/>
      <c r="F26" s="14" t="n"/>
      <c r="G26" s="24" t="n"/>
      <c r="H26" s="30" t="n"/>
      <c r="I26" s="14" t="n"/>
      <c r="J26" s="14" t="n"/>
      <c r="K26" s="14" t="n"/>
    </row>
    <row r="27" ht="22" customHeight="1">
      <c r="B27" s="17">
        <f>IF(C27="","ANU-"&amp;TEXT(COUNTA($C$5:C27),"000"))</f>
        <v/>
      </c>
      <c r="C27" s="12" t="n"/>
      <c r="D27" s="12" t="n"/>
      <c r="E27" s="12" t="n"/>
      <c r="F27" s="12" t="n"/>
      <c r="G27" s="23" t="n"/>
      <c r="H27" s="29" t="n"/>
      <c r="I27" s="12" t="n"/>
      <c r="J27" s="12" t="n"/>
      <c r="K27" s="12" t="n"/>
    </row>
    <row r="28" ht="22" customHeight="1">
      <c r="B28" s="16">
        <f>IF(C28="","ANU-"&amp;TEXT(COUNTA($C$5:C28),"000"))</f>
        <v/>
      </c>
      <c r="C28" s="14" t="n"/>
      <c r="D28" s="14" t="n"/>
      <c r="E28" s="14" t="n"/>
      <c r="F28" s="14" t="n"/>
      <c r="G28" s="24" t="n"/>
      <c r="H28" s="30" t="n"/>
      <c r="I28" s="14" t="n"/>
      <c r="J28" s="14" t="n"/>
      <c r="K28" s="14" t="n"/>
    </row>
    <row r="29" ht="22" customHeight="1">
      <c r="B29" s="17">
        <f>IF(C29="","ANU-"&amp;TEXT(COUNTA($C$5:C29),"000"))</f>
        <v/>
      </c>
      <c r="C29" s="12" t="n"/>
      <c r="D29" s="12" t="n"/>
      <c r="E29" s="12" t="n"/>
      <c r="F29" s="12" t="n"/>
      <c r="G29" s="23" t="n"/>
      <c r="H29" s="29" t="n"/>
      <c r="I29" s="12" t="n"/>
      <c r="J29" s="12" t="n"/>
      <c r="K29" s="12" t="n"/>
    </row>
    <row r="30" ht="22" customHeight="1">
      <c r="B30" s="16">
        <f>IF(C30="","ANU-"&amp;TEXT(COUNTA($C$5:C30),"000"))</f>
        <v/>
      </c>
      <c r="C30" s="14" t="n"/>
      <c r="D30" s="14" t="n"/>
      <c r="E30" s="14" t="n"/>
      <c r="F30" s="14" t="n"/>
      <c r="G30" s="24" t="n"/>
      <c r="H30" s="30" t="n"/>
      <c r="I30" s="14" t="n"/>
      <c r="J30" s="14" t="n"/>
      <c r="K30" s="14" t="n"/>
    </row>
    <row r="31" ht="22" customHeight="1">
      <c r="B31" s="17">
        <f>IF(C31="","ANU-"&amp;TEXT(COUNTA($C$5:C31),"000"))</f>
        <v/>
      </c>
      <c r="C31" s="12" t="n"/>
      <c r="D31" s="12" t="n"/>
      <c r="E31" s="12" t="n"/>
      <c r="F31" s="12" t="n"/>
      <c r="G31" s="23" t="n"/>
      <c r="H31" s="29" t="n"/>
      <c r="I31" s="12" t="n"/>
      <c r="J31" s="12" t="n"/>
      <c r="K31" s="12" t="n"/>
    </row>
    <row r="32" ht="22" customHeight="1">
      <c r="B32" s="16">
        <f>IF(C32="","ANU-"&amp;TEXT(COUNTA($C$5:C32),"000"))</f>
        <v/>
      </c>
      <c r="C32" s="14" t="n"/>
      <c r="D32" s="14" t="n"/>
      <c r="E32" s="14" t="n"/>
      <c r="F32" s="14" t="n"/>
      <c r="G32" s="24" t="n"/>
      <c r="H32" s="30" t="n"/>
      <c r="I32" s="14" t="n"/>
      <c r="J32" s="14" t="n"/>
      <c r="K32" s="14" t="n"/>
    </row>
    <row r="33" ht="22" customHeight="1">
      <c r="B33" s="17">
        <f>IF(C33="","ANU-"&amp;TEXT(COUNTA($C$5:C33),"000"))</f>
        <v/>
      </c>
      <c r="C33" s="12" t="n"/>
      <c r="D33" s="12" t="n"/>
      <c r="E33" s="12" t="n"/>
      <c r="F33" s="12" t="n"/>
      <c r="G33" s="23" t="n"/>
      <c r="H33" s="29" t="n"/>
      <c r="I33" s="12" t="n"/>
      <c r="J33" s="12" t="n"/>
      <c r="K33" s="12" t="n"/>
    </row>
    <row r="34" ht="22" customHeight="1">
      <c r="B34" s="16">
        <f>IF(C34="","ANU-"&amp;TEXT(COUNTA($C$5:C34),"000"))</f>
        <v/>
      </c>
      <c r="C34" s="14" t="n"/>
      <c r="D34" s="14" t="n"/>
      <c r="E34" s="14" t="n"/>
      <c r="F34" s="14" t="n"/>
      <c r="G34" s="24" t="n"/>
      <c r="H34" s="30" t="n"/>
      <c r="I34" s="14" t="n"/>
      <c r="J34" s="14" t="n"/>
      <c r="K34" s="14" t="n"/>
    </row>
    <row r="35" ht="22" customHeight="1">
      <c r="B35" s="17">
        <f>IF(C35="","ANU-"&amp;TEXT(COUNTA($C$5:C35),"000"))</f>
        <v/>
      </c>
      <c r="C35" s="12" t="n"/>
      <c r="D35" s="12" t="n"/>
      <c r="E35" s="12" t="n"/>
      <c r="F35" s="12" t="n"/>
      <c r="G35" s="23" t="n"/>
      <c r="H35" s="29" t="n"/>
      <c r="I35" s="12" t="n"/>
      <c r="J35" s="12" t="n"/>
      <c r="K35" s="12" t="n"/>
    </row>
    <row r="36" ht="22" customHeight="1">
      <c r="B36" s="16">
        <f>IF(C36="","ANU-"&amp;TEXT(COUNTA($C$5:C36),"000"))</f>
        <v/>
      </c>
      <c r="C36" s="14" t="n"/>
      <c r="D36" s="14" t="n"/>
      <c r="E36" s="14" t="n"/>
      <c r="F36" s="14" t="n"/>
      <c r="G36" s="24" t="n"/>
      <c r="H36" s="30" t="n"/>
      <c r="I36" s="14" t="n"/>
      <c r="J36" s="14" t="n"/>
      <c r="K36" s="14" t="n"/>
    </row>
    <row r="37" ht="22" customHeight="1">
      <c r="B37" s="17">
        <f>IF(C37="","ANU-"&amp;TEXT(COUNTA($C$5:C37),"000"))</f>
        <v/>
      </c>
      <c r="C37" s="12" t="n"/>
      <c r="D37" s="12" t="n"/>
      <c r="E37" s="12" t="n"/>
      <c r="F37" s="12" t="n"/>
      <c r="G37" s="23" t="n"/>
      <c r="H37" s="29" t="n"/>
      <c r="I37" s="12" t="n"/>
      <c r="J37" s="12" t="n"/>
      <c r="K37" s="12" t="n"/>
    </row>
    <row r="38" ht="22" customHeight="1">
      <c r="B38" s="16">
        <f>IF(C38="","ANU-"&amp;TEXT(COUNTA($C$5:C38),"000"))</f>
        <v/>
      </c>
      <c r="C38" s="14" t="n"/>
      <c r="D38" s="14" t="n"/>
      <c r="E38" s="14" t="n"/>
      <c r="F38" s="14" t="n"/>
      <c r="G38" s="24" t="n"/>
      <c r="H38" s="30" t="n"/>
      <c r="I38" s="14" t="n"/>
      <c r="J38" s="14" t="n"/>
      <c r="K38" s="14" t="n"/>
    </row>
    <row r="39" ht="22" customHeight="1">
      <c r="B39" s="17">
        <f>IF(C39="","ANU-"&amp;TEXT(COUNTA($C$5:C39),"000"))</f>
        <v/>
      </c>
      <c r="C39" s="12" t="n"/>
      <c r="D39" s="12" t="n"/>
      <c r="E39" s="12" t="n"/>
      <c r="F39" s="12" t="n"/>
      <c r="G39" s="23" t="n"/>
      <c r="H39" s="29" t="n"/>
      <c r="I39" s="12" t="n"/>
      <c r="J39" s="12" t="n"/>
      <c r="K39" s="12" t="n"/>
    </row>
    <row r="40" ht="22" customHeight="1">
      <c r="B40" s="16">
        <f>IF(C40="","ANU-"&amp;TEXT(COUNTA($C$5:C40),"000"))</f>
        <v/>
      </c>
      <c r="C40" s="14" t="n"/>
      <c r="D40" s="14" t="n"/>
      <c r="E40" s="14" t="n"/>
      <c r="F40" s="14" t="n"/>
      <c r="G40" s="24" t="n"/>
      <c r="H40" s="30" t="n"/>
      <c r="I40" s="14" t="n"/>
      <c r="J40" s="14" t="n"/>
      <c r="K40" s="14" t="n"/>
    </row>
    <row r="41" ht="22" customHeight="1">
      <c r="B41" s="17">
        <f>IF(C41="","ANU-"&amp;TEXT(COUNTA($C$5:C41),"000"))</f>
        <v/>
      </c>
      <c r="C41" s="12" t="n"/>
      <c r="D41" s="12" t="n"/>
      <c r="E41" s="12" t="n"/>
      <c r="F41" s="12" t="n"/>
      <c r="G41" s="23" t="n"/>
      <c r="H41" s="29" t="n"/>
      <c r="I41" s="12" t="n"/>
      <c r="J41" s="12" t="n"/>
      <c r="K41" s="12" t="n"/>
    </row>
    <row r="42" ht="22" customHeight="1">
      <c r="B42" s="16">
        <f>IF(C42="","ANU-"&amp;TEXT(COUNTA($C$5:C42),"000"))</f>
        <v/>
      </c>
      <c r="C42" s="14" t="n"/>
      <c r="D42" s="14" t="n"/>
      <c r="E42" s="14" t="n"/>
      <c r="F42" s="14" t="n"/>
      <c r="G42" s="24" t="n"/>
      <c r="H42" s="30" t="n"/>
      <c r="I42" s="14" t="n"/>
      <c r="J42" s="14" t="n"/>
      <c r="K42" s="14" t="n"/>
    </row>
    <row r="43" ht="22" customHeight="1">
      <c r="B43" s="17">
        <f>IF(C43="","ANU-"&amp;TEXT(COUNTA($C$5:C43),"000"))</f>
        <v/>
      </c>
      <c r="C43" s="12" t="n"/>
      <c r="D43" s="12" t="n"/>
      <c r="E43" s="12" t="n"/>
      <c r="F43" s="12" t="n"/>
      <c r="G43" s="23" t="n"/>
      <c r="H43" s="29" t="n"/>
      <c r="I43" s="12" t="n"/>
      <c r="J43" s="12" t="n"/>
      <c r="K43" s="12" t="n"/>
    </row>
    <row r="44" ht="22" customHeight="1">
      <c r="B44" s="16">
        <f>IF(C44="","ANU-"&amp;TEXT(COUNTA($C$5:C44),"000"))</f>
        <v/>
      </c>
      <c r="C44" s="14" t="n"/>
      <c r="D44" s="14" t="n"/>
      <c r="E44" s="14" t="n"/>
      <c r="F44" s="14" t="n"/>
      <c r="G44" s="24" t="n"/>
      <c r="H44" s="30" t="n"/>
      <c r="I44" s="14" t="n"/>
      <c r="J44" s="14" t="n"/>
      <c r="K44" s="14" t="n"/>
    </row>
    <row r="45" ht="22" customHeight="1">
      <c r="B45" s="17">
        <f>IF(C45="","ANU-"&amp;TEXT(COUNTA($C$5:C45),"000"))</f>
        <v/>
      </c>
      <c r="C45" s="12" t="n"/>
      <c r="D45" s="12" t="n"/>
      <c r="E45" s="12" t="n"/>
      <c r="F45" s="12" t="n"/>
      <c r="G45" s="23" t="n"/>
      <c r="H45" s="29" t="n"/>
      <c r="I45" s="12" t="n"/>
      <c r="J45" s="12" t="n"/>
      <c r="K45" s="12" t="n"/>
    </row>
    <row r="46" ht="22" customHeight="1">
      <c r="B46" s="16">
        <f>IF(C46="","ANU-"&amp;TEXT(COUNTA($C$5:C46),"000"))</f>
        <v/>
      </c>
      <c r="C46" s="14" t="n"/>
      <c r="D46" s="14" t="n"/>
      <c r="E46" s="14" t="n"/>
      <c r="F46" s="14" t="n"/>
      <c r="G46" s="24" t="n"/>
      <c r="H46" s="30" t="n"/>
      <c r="I46" s="14" t="n"/>
      <c r="J46" s="14" t="n"/>
      <c r="K46" s="14" t="n"/>
    </row>
    <row r="47" ht="22" customHeight="1">
      <c r="B47" s="17">
        <f>IF(C47="","ANU-"&amp;TEXT(COUNTA($C$5:C47),"000"))</f>
        <v/>
      </c>
      <c r="C47" s="12" t="n"/>
      <c r="D47" s="12" t="n"/>
      <c r="E47" s="12" t="n"/>
      <c r="F47" s="12" t="n"/>
      <c r="G47" s="23" t="n"/>
      <c r="H47" s="29" t="n"/>
      <c r="I47" s="12" t="n"/>
      <c r="J47" s="12" t="n"/>
      <c r="K47" s="12" t="n"/>
    </row>
    <row r="48" ht="22" customHeight="1">
      <c r="B48" s="16">
        <f>IF(C48="","ANU-"&amp;TEXT(COUNTA($C$5:C48),"000"))</f>
        <v/>
      </c>
      <c r="C48" s="14" t="n"/>
      <c r="D48" s="14" t="n"/>
      <c r="E48" s="14" t="n"/>
      <c r="F48" s="14" t="n"/>
      <c r="G48" s="24" t="n"/>
      <c r="H48" s="30" t="n"/>
      <c r="I48" s="14" t="n"/>
      <c r="J48" s="14" t="n"/>
      <c r="K48" s="14" t="n"/>
    </row>
    <row r="49" ht="22" customHeight="1">
      <c r="B49" s="17">
        <f>IF(C49="","ANU-"&amp;TEXT(COUNTA($C$5:C49),"000"))</f>
        <v/>
      </c>
      <c r="C49" s="12" t="n"/>
      <c r="D49" s="12" t="n"/>
      <c r="E49" s="12" t="n"/>
      <c r="F49" s="12" t="n"/>
      <c r="G49" s="23" t="n"/>
      <c r="H49" s="29" t="n"/>
      <c r="I49" s="12" t="n"/>
      <c r="J49" s="12" t="n"/>
      <c r="K49" s="12" t="n"/>
    </row>
    <row r="50" ht="22" customHeight="1">
      <c r="B50" s="16">
        <f>IF(C50="","ANU-"&amp;TEXT(COUNTA($C$5:C50),"000"))</f>
        <v/>
      </c>
      <c r="C50" s="14" t="n"/>
      <c r="D50" s="14" t="n"/>
      <c r="E50" s="14" t="n"/>
      <c r="F50" s="14" t="n"/>
      <c r="G50" s="24" t="n"/>
      <c r="H50" s="30" t="n"/>
      <c r="I50" s="14" t="n"/>
      <c r="J50" s="14" t="n"/>
      <c r="K50" s="14" t="n"/>
    </row>
    <row r="51" ht="22" customHeight="1">
      <c r="B51" s="17">
        <f>IF(C51="","ANU-"&amp;TEXT(COUNTA($C$5:C51),"000"))</f>
        <v/>
      </c>
      <c r="C51" s="12" t="n"/>
      <c r="D51" s="12" t="n"/>
      <c r="E51" s="12" t="n"/>
      <c r="F51" s="12" t="n"/>
      <c r="G51" s="23" t="n"/>
      <c r="H51" s="29" t="n"/>
      <c r="I51" s="12" t="n"/>
      <c r="J51" s="12" t="n"/>
      <c r="K51" s="12" t="n"/>
    </row>
    <row r="52" ht="22" customHeight="1">
      <c r="B52" s="16">
        <f>IF(C52="","ANU-"&amp;TEXT(COUNTA($C$5:C52),"000"))</f>
        <v/>
      </c>
      <c r="C52" s="14" t="n"/>
      <c r="D52" s="14" t="n"/>
      <c r="E52" s="14" t="n"/>
      <c r="F52" s="14" t="n"/>
      <c r="G52" s="24" t="n"/>
      <c r="H52" s="30" t="n"/>
      <c r="I52" s="14" t="n"/>
      <c r="J52" s="14" t="n"/>
      <c r="K52" s="14" t="n"/>
    </row>
    <row r="53" ht="22" customHeight="1">
      <c r="B53" s="17">
        <f>IF(C53="","ANU-"&amp;TEXT(COUNTA($C$5:C53),"000"))</f>
        <v/>
      </c>
      <c r="C53" s="12" t="n"/>
      <c r="D53" s="12" t="n"/>
      <c r="E53" s="12" t="n"/>
      <c r="F53" s="12" t="n"/>
      <c r="G53" s="23" t="n"/>
      <c r="H53" s="29" t="n"/>
      <c r="I53" s="12" t="n"/>
      <c r="J53" s="12" t="n"/>
      <c r="K53" s="12" t="n"/>
    </row>
    <row r="54" ht="22" customHeight="1">
      <c r="B54" s="16">
        <f>IF(C54="","ANU-"&amp;TEXT(COUNTA($C$5:C54),"000"))</f>
        <v/>
      </c>
      <c r="C54" s="14" t="n"/>
      <c r="D54" s="14" t="n"/>
      <c r="E54" s="14" t="n"/>
      <c r="F54" s="14" t="n"/>
      <c r="G54" s="24" t="n"/>
      <c r="H54" s="30" t="n"/>
      <c r="I54" s="14" t="n"/>
      <c r="J54" s="14" t="n"/>
      <c r="K54" s="14" t="n"/>
    </row>
    <row r="55" ht="22" customHeight="1">
      <c r="B55" s="17">
        <f>IF(C55="","ANU-"&amp;TEXT(COUNTA($C$5:C55),"000"))</f>
        <v/>
      </c>
      <c r="C55" s="12" t="n"/>
      <c r="D55" s="12" t="n"/>
      <c r="E55" s="12" t="n"/>
      <c r="F55" s="12" t="n"/>
      <c r="G55" s="23" t="n"/>
      <c r="H55" s="29" t="n"/>
      <c r="I55" s="12" t="n"/>
      <c r="J55" s="12" t="n"/>
      <c r="K55" s="12" t="n"/>
    </row>
    <row r="56" ht="22" customHeight="1">
      <c r="B56" s="16">
        <f>IF(C56="","ANU-"&amp;TEXT(COUNTA($C$5:C56),"000"))</f>
        <v/>
      </c>
      <c r="C56" s="14" t="n"/>
      <c r="D56" s="14" t="n"/>
      <c r="E56" s="14" t="n"/>
      <c r="F56" s="14" t="n"/>
      <c r="G56" s="24" t="n"/>
      <c r="H56" s="30" t="n"/>
      <c r="I56" s="14" t="n"/>
      <c r="J56" s="14" t="n"/>
      <c r="K56" s="14" t="n"/>
    </row>
    <row r="57" ht="22" customHeight="1">
      <c r="B57" s="17">
        <f>IF(C57="","ANU-"&amp;TEXT(COUNTA($C$5:C57),"000"))</f>
        <v/>
      </c>
      <c r="C57" s="12" t="n"/>
      <c r="D57" s="12" t="n"/>
      <c r="E57" s="12" t="n"/>
      <c r="F57" s="12" t="n"/>
      <c r="G57" s="23" t="n"/>
      <c r="H57" s="29" t="n"/>
      <c r="I57" s="12" t="n"/>
      <c r="J57" s="12" t="n"/>
      <c r="K57" s="12" t="n"/>
    </row>
    <row r="58" ht="22" customHeight="1">
      <c r="B58" s="16">
        <f>IF(C58="","ANU-"&amp;TEXT(COUNTA($C$5:C58),"000"))</f>
        <v/>
      </c>
      <c r="C58" s="14" t="n"/>
      <c r="D58" s="14" t="n"/>
      <c r="E58" s="14" t="n"/>
      <c r="F58" s="14" t="n"/>
      <c r="G58" s="24" t="n"/>
      <c r="H58" s="30" t="n"/>
      <c r="I58" s="14" t="n"/>
      <c r="J58" s="14" t="n"/>
      <c r="K58" s="14" t="n"/>
    </row>
    <row r="59" ht="22" customHeight="1">
      <c r="B59" s="17">
        <f>IF(C59="","ANU-"&amp;TEXT(COUNTA($C$5:C59),"000"))</f>
        <v/>
      </c>
      <c r="C59" s="12" t="n"/>
      <c r="D59" s="12" t="n"/>
      <c r="E59" s="12" t="n"/>
      <c r="F59" s="12" t="n"/>
      <c r="G59" s="23" t="n"/>
      <c r="H59" s="29" t="n"/>
      <c r="I59" s="12" t="n"/>
      <c r="J59" s="12" t="n"/>
      <c r="K59" s="12" t="n"/>
    </row>
    <row r="60" ht="22" customHeight="1">
      <c r="B60" s="16">
        <f>IF(C60="","ANU-"&amp;TEXT(COUNTA($C$5:C60),"000"))</f>
        <v/>
      </c>
      <c r="C60" s="14" t="n"/>
      <c r="D60" s="14" t="n"/>
      <c r="E60" s="14" t="n"/>
      <c r="F60" s="14" t="n"/>
      <c r="G60" s="24" t="n"/>
      <c r="H60" s="30" t="n"/>
      <c r="I60" s="14" t="n"/>
      <c r="J60" s="14" t="n"/>
      <c r="K60" s="14" t="n"/>
    </row>
    <row r="61" ht="22" customHeight="1">
      <c r="B61" s="17">
        <f>IF(C61="","ANU-"&amp;TEXT(COUNTA($C$5:C61),"000"))</f>
        <v/>
      </c>
      <c r="C61" s="12" t="n"/>
      <c r="D61" s="12" t="n"/>
      <c r="E61" s="12" t="n"/>
      <c r="F61" s="12" t="n"/>
      <c r="G61" s="23" t="n"/>
      <c r="H61" s="29" t="n"/>
      <c r="I61" s="12" t="n"/>
      <c r="J61" s="12" t="n"/>
      <c r="K61" s="12" t="n"/>
    </row>
    <row r="62" ht="22" customHeight="1">
      <c r="B62" s="16">
        <f>IF(C62="","ANU-"&amp;TEXT(COUNTA($C$5:C62),"000"))</f>
        <v/>
      </c>
      <c r="C62" s="14" t="n"/>
      <c r="D62" s="14" t="n"/>
      <c r="E62" s="14" t="n"/>
      <c r="F62" s="14" t="n"/>
      <c r="G62" s="24" t="n"/>
      <c r="H62" s="30" t="n"/>
      <c r="I62" s="14" t="n"/>
      <c r="J62" s="14" t="n"/>
      <c r="K62" s="14" t="n"/>
    </row>
    <row r="63" ht="22" customHeight="1">
      <c r="B63" s="17">
        <f>IF(C63="","ANU-"&amp;TEXT(COUNTA($C$5:C63),"000"))</f>
        <v/>
      </c>
      <c r="C63" s="12" t="n"/>
      <c r="D63" s="12" t="n"/>
      <c r="E63" s="12" t="n"/>
      <c r="F63" s="12" t="n"/>
      <c r="G63" s="23" t="n"/>
      <c r="H63" s="29" t="n"/>
      <c r="I63" s="12" t="n"/>
      <c r="J63" s="12" t="n"/>
      <c r="K63" s="12" t="n"/>
    </row>
    <row r="64" ht="22" customHeight="1">
      <c r="B64" s="16">
        <f>IF(C64="","ANU-"&amp;TEXT(COUNTA($C$5:C64),"000"))</f>
        <v/>
      </c>
      <c r="C64" s="14" t="n"/>
      <c r="D64" s="14" t="n"/>
      <c r="E64" s="14" t="n"/>
      <c r="F64" s="14" t="n"/>
      <c r="G64" s="24" t="n"/>
      <c r="H64" s="30" t="n"/>
      <c r="I64" s="14" t="n"/>
      <c r="J64" s="14" t="n"/>
      <c r="K64" s="14" t="n"/>
    </row>
    <row r="65" ht="22" customHeight="1">
      <c r="B65" s="17">
        <f>IF(C65="","ANU-"&amp;TEXT(COUNTA($C$5:C65),"000"))</f>
        <v/>
      </c>
      <c r="C65" s="12" t="n"/>
      <c r="D65" s="12" t="n"/>
      <c r="E65" s="12" t="n"/>
      <c r="F65" s="12" t="n"/>
      <c r="G65" s="23" t="n"/>
      <c r="H65" s="29" t="n"/>
      <c r="I65" s="12" t="n"/>
      <c r="J65" s="12" t="n"/>
      <c r="K65" s="12" t="n"/>
    </row>
    <row r="66" ht="22" customHeight="1">
      <c r="B66" s="16">
        <f>IF(C66="","ANU-"&amp;TEXT(COUNTA($C$5:C66),"000"))</f>
        <v/>
      </c>
      <c r="C66" s="14" t="n"/>
      <c r="D66" s="14" t="n"/>
      <c r="E66" s="14" t="n"/>
      <c r="F66" s="14" t="n"/>
      <c r="G66" s="24" t="n"/>
      <c r="H66" s="30" t="n"/>
      <c r="I66" s="14" t="n"/>
      <c r="J66" s="14" t="n"/>
      <c r="K66" s="14" t="n"/>
    </row>
    <row r="67" ht="22" customHeight="1">
      <c r="B67" s="17">
        <f>IF(C67="","ANU-"&amp;TEXT(COUNTA($C$5:C67),"000"))</f>
        <v/>
      </c>
      <c r="C67" s="12" t="n"/>
      <c r="D67" s="12" t="n"/>
      <c r="E67" s="12" t="n"/>
      <c r="F67" s="12" t="n"/>
      <c r="G67" s="23" t="n"/>
      <c r="H67" s="29" t="n"/>
      <c r="I67" s="12" t="n"/>
      <c r="J67" s="12" t="n"/>
      <c r="K67" s="12" t="n"/>
    </row>
    <row r="68" ht="22" customHeight="1">
      <c r="B68" s="16">
        <f>IF(C68="","ANU-"&amp;TEXT(COUNTA($C$5:C68),"000"))</f>
        <v/>
      </c>
      <c r="C68" s="14" t="n"/>
      <c r="D68" s="14" t="n"/>
      <c r="E68" s="14" t="n"/>
      <c r="F68" s="14" t="n"/>
      <c r="G68" s="24" t="n"/>
      <c r="H68" s="30" t="n"/>
      <c r="I68" s="14" t="n"/>
      <c r="J68" s="14" t="n"/>
      <c r="K68" s="14" t="n"/>
    </row>
    <row r="69" ht="22" customHeight="1">
      <c r="B69" s="17">
        <f>IF(C69="","ANU-"&amp;TEXT(COUNTA($C$5:C69),"000"))</f>
        <v/>
      </c>
      <c r="C69" s="12" t="n"/>
      <c r="D69" s="12" t="n"/>
      <c r="E69" s="12" t="n"/>
      <c r="F69" s="12" t="n"/>
      <c r="G69" s="23" t="n"/>
      <c r="H69" s="29" t="n"/>
      <c r="I69" s="12" t="n"/>
      <c r="J69" s="12" t="n"/>
      <c r="K69" s="12" t="n"/>
    </row>
    <row r="70" ht="22" customHeight="1">
      <c r="B70" s="16">
        <f>IF(C70="","ANU-"&amp;TEXT(COUNTA($C$5:C70),"000"))</f>
        <v/>
      </c>
      <c r="C70" s="14" t="n"/>
      <c r="D70" s="14" t="n"/>
      <c r="E70" s="14" t="n"/>
      <c r="F70" s="14" t="n"/>
      <c r="G70" s="24" t="n"/>
      <c r="H70" s="30" t="n"/>
      <c r="I70" s="14" t="n"/>
      <c r="J70" s="14" t="n"/>
      <c r="K70" s="14" t="n"/>
    </row>
    <row r="71" ht="22" customHeight="1">
      <c r="B71" s="17">
        <f>IF(C71="","ANU-"&amp;TEXT(COUNTA($C$5:C71),"000"))</f>
        <v/>
      </c>
      <c r="C71" s="12" t="n"/>
      <c r="D71" s="12" t="n"/>
      <c r="E71" s="12" t="n"/>
      <c r="F71" s="12" t="n"/>
      <c r="G71" s="23" t="n"/>
      <c r="H71" s="29" t="n"/>
      <c r="I71" s="12" t="n"/>
      <c r="J71" s="12" t="n"/>
      <c r="K71" s="12" t="n"/>
    </row>
    <row r="72" ht="22" customHeight="1">
      <c r="B72" s="16">
        <f>IF(C72="","ANU-"&amp;TEXT(COUNTA($C$5:C72),"000"))</f>
        <v/>
      </c>
      <c r="C72" s="14" t="n"/>
      <c r="D72" s="14" t="n"/>
      <c r="E72" s="14" t="n"/>
      <c r="F72" s="14" t="n"/>
      <c r="G72" s="24" t="n"/>
      <c r="H72" s="30" t="n"/>
      <c r="I72" s="14" t="n"/>
      <c r="J72" s="14" t="n"/>
      <c r="K72" s="14" t="n"/>
    </row>
    <row r="73" ht="22" customHeight="1">
      <c r="B73" s="17">
        <f>IF(C73="","ANU-"&amp;TEXT(COUNTA($C$5:C73),"000"))</f>
        <v/>
      </c>
      <c r="C73" s="12" t="n"/>
      <c r="D73" s="12" t="n"/>
      <c r="E73" s="12" t="n"/>
      <c r="F73" s="12" t="n"/>
      <c r="G73" s="23" t="n"/>
      <c r="H73" s="29" t="n"/>
      <c r="I73" s="12" t="n"/>
      <c r="J73" s="12" t="n"/>
      <c r="K73" s="12" t="n"/>
    </row>
    <row r="74" ht="22" customHeight="1">
      <c r="B74" s="16">
        <f>IF(C74="","ANU-"&amp;TEXT(COUNTA($C$5:C74),"000"))</f>
        <v/>
      </c>
      <c r="C74" s="14" t="n"/>
      <c r="D74" s="14" t="n"/>
      <c r="E74" s="14" t="n"/>
      <c r="F74" s="14" t="n"/>
      <c r="G74" s="24" t="n"/>
      <c r="H74" s="30" t="n"/>
      <c r="I74" s="14" t="n"/>
      <c r="J74" s="14" t="n"/>
      <c r="K74" s="14" t="n"/>
    </row>
    <row r="75" ht="22" customHeight="1">
      <c r="B75" s="17">
        <f>IF(C75="","ANU-"&amp;TEXT(COUNTA($C$5:C75),"000"))</f>
        <v/>
      </c>
      <c r="C75" s="12" t="n"/>
      <c r="D75" s="12" t="n"/>
      <c r="E75" s="12" t="n"/>
      <c r="F75" s="12" t="n"/>
      <c r="G75" s="23" t="n"/>
      <c r="H75" s="29" t="n"/>
      <c r="I75" s="12" t="n"/>
      <c r="J75" s="12" t="n"/>
      <c r="K75" s="12" t="n"/>
    </row>
    <row r="76" ht="22" customHeight="1">
      <c r="B76" s="16">
        <f>IF(C76="","ANU-"&amp;TEXT(COUNTA($C$5:C76),"000"))</f>
        <v/>
      </c>
      <c r="C76" s="14" t="n"/>
      <c r="D76" s="14" t="n"/>
      <c r="E76" s="14" t="n"/>
      <c r="F76" s="14" t="n"/>
      <c r="G76" s="24" t="n"/>
      <c r="H76" s="30" t="n"/>
      <c r="I76" s="14" t="n"/>
      <c r="J76" s="14" t="n"/>
      <c r="K76" s="14" t="n"/>
    </row>
    <row r="77" ht="22" customHeight="1">
      <c r="B77" s="17">
        <f>IF(C77="","ANU-"&amp;TEXT(COUNTA($C$5:C77),"000"))</f>
        <v/>
      </c>
      <c r="C77" s="12" t="n"/>
      <c r="D77" s="12" t="n"/>
      <c r="E77" s="12" t="n"/>
      <c r="F77" s="12" t="n"/>
      <c r="G77" s="23" t="n"/>
      <c r="H77" s="29" t="n"/>
      <c r="I77" s="12" t="n"/>
      <c r="J77" s="12" t="n"/>
      <c r="K77" s="12" t="n"/>
    </row>
    <row r="78" ht="22" customHeight="1">
      <c r="B78" s="16">
        <f>IF(C78="","ANU-"&amp;TEXT(COUNTA($C$5:C78),"000"))</f>
        <v/>
      </c>
      <c r="C78" s="14" t="n"/>
      <c r="D78" s="14" t="n"/>
      <c r="E78" s="14" t="n"/>
      <c r="F78" s="14" t="n"/>
      <c r="G78" s="24" t="n"/>
      <c r="H78" s="30" t="n"/>
      <c r="I78" s="14" t="n"/>
      <c r="J78" s="14" t="n"/>
      <c r="K78" s="14" t="n"/>
    </row>
    <row r="79" ht="22" customHeight="1">
      <c r="B79" s="17">
        <f>IF(C79="","ANU-"&amp;TEXT(COUNTA($C$5:C79),"000"))</f>
        <v/>
      </c>
      <c r="C79" s="12" t="n"/>
      <c r="D79" s="12" t="n"/>
      <c r="E79" s="12" t="n"/>
      <c r="F79" s="12" t="n"/>
      <c r="G79" s="23" t="n"/>
      <c r="H79" s="29" t="n"/>
      <c r="I79" s="12" t="n"/>
      <c r="J79" s="12" t="n"/>
      <c r="K79" s="12" t="n"/>
    </row>
    <row r="80" ht="22" customHeight="1">
      <c r="B80" s="16">
        <f>IF(C80="","ANU-"&amp;TEXT(COUNTA($C$5:C80),"000"))</f>
        <v/>
      </c>
      <c r="C80" s="14" t="n"/>
      <c r="D80" s="14" t="n"/>
      <c r="E80" s="14" t="n"/>
      <c r="F80" s="14" t="n"/>
      <c r="G80" s="24" t="n"/>
      <c r="H80" s="30" t="n"/>
      <c r="I80" s="14" t="n"/>
      <c r="J80" s="14" t="n"/>
      <c r="K80" s="14" t="n"/>
    </row>
    <row r="81" ht="22" customHeight="1">
      <c r="B81" s="17">
        <f>IF(C81="","ANU-"&amp;TEXT(COUNTA($C$5:C81),"000"))</f>
        <v/>
      </c>
      <c r="C81" s="12" t="n"/>
      <c r="D81" s="12" t="n"/>
      <c r="E81" s="12" t="n"/>
      <c r="F81" s="12" t="n"/>
      <c r="G81" s="23" t="n"/>
      <c r="H81" s="29" t="n"/>
      <c r="I81" s="12" t="n"/>
      <c r="J81" s="12" t="n"/>
      <c r="K81" s="12" t="n"/>
    </row>
    <row r="82" ht="22" customHeight="1">
      <c r="B82" s="16">
        <f>IF(C82="","ANU-"&amp;TEXT(COUNTA($C$5:C82),"000"))</f>
        <v/>
      </c>
      <c r="C82" s="14" t="n"/>
      <c r="D82" s="14" t="n"/>
      <c r="E82" s="14" t="n"/>
      <c r="F82" s="14" t="n"/>
      <c r="G82" s="24" t="n"/>
      <c r="H82" s="30" t="n"/>
      <c r="I82" s="14" t="n"/>
      <c r="J82" s="14" t="n"/>
      <c r="K82" s="14" t="n"/>
    </row>
    <row r="83" ht="22" customHeight="1">
      <c r="B83" s="17">
        <f>IF(C83="","ANU-"&amp;TEXT(COUNTA($C$5:C83),"000"))</f>
        <v/>
      </c>
      <c r="C83" s="12" t="n"/>
      <c r="D83" s="12" t="n"/>
      <c r="E83" s="12" t="n"/>
      <c r="F83" s="12" t="n"/>
      <c r="G83" s="23" t="n"/>
      <c r="H83" s="29" t="n"/>
      <c r="I83" s="12" t="n"/>
      <c r="J83" s="12" t="n"/>
      <c r="K83" s="12" t="n"/>
    </row>
    <row r="84" ht="22" customHeight="1">
      <c r="B84" s="16">
        <f>IF(C84="","ANU-"&amp;TEXT(COUNTA($C$5:C84),"000"))</f>
        <v/>
      </c>
      <c r="C84" s="14" t="n"/>
      <c r="D84" s="14" t="n"/>
      <c r="E84" s="14" t="n"/>
      <c r="F84" s="14" t="n"/>
      <c r="G84" s="24" t="n"/>
      <c r="H84" s="30" t="n"/>
      <c r="I84" s="14" t="n"/>
      <c r="J84" s="14" t="n"/>
      <c r="K84" s="14" t="n"/>
    </row>
    <row r="85" ht="22" customHeight="1">
      <c r="B85" s="17">
        <f>IF(C85="","ANU-"&amp;TEXT(COUNTA($C$5:C85),"000"))</f>
        <v/>
      </c>
      <c r="C85" s="12" t="n"/>
      <c r="D85" s="12" t="n"/>
      <c r="E85" s="12" t="n"/>
      <c r="F85" s="12" t="n"/>
      <c r="G85" s="23" t="n"/>
      <c r="H85" s="29" t="n"/>
      <c r="I85" s="12" t="n"/>
      <c r="J85" s="12" t="n"/>
      <c r="K85" s="12" t="n"/>
    </row>
    <row r="86" ht="22" customHeight="1">
      <c r="B86" s="16">
        <f>IF(C86="","ANU-"&amp;TEXT(COUNTA($C$5:C86),"000"))</f>
        <v/>
      </c>
      <c r="C86" s="14" t="n"/>
      <c r="D86" s="14" t="n"/>
      <c r="E86" s="14" t="n"/>
      <c r="F86" s="14" t="n"/>
      <c r="G86" s="24" t="n"/>
      <c r="H86" s="30" t="n"/>
      <c r="I86" s="14" t="n"/>
      <c r="J86" s="14" t="n"/>
      <c r="K86" s="14" t="n"/>
    </row>
    <row r="87" ht="22" customHeight="1">
      <c r="B87" s="17">
        <f>IF(C87="","ANU-"&amp;TEXT(COUNTA($C$5:C87),"000"))</f>
        <v/>
      </c>
      <c r="C87" s="12" t="n"/>
      <c r="D87" s="12" t="n"/>
      <c r="E87" s="12" t="n"/>
      <c r="F87" s="12" t="n"/>
      <c r="G87" s="23" t="n"/>
      <c r="H87" s="29" t="n"/>
      <c r="I87" s="12" t="n"/>
      <c r="J87" s="12" t="n"/>
      <c r="K87" s="12" t="n"/>
    </row>
    <row r="88" ht="22" customHeight="1">
      <c r="B88" s="16">
        <f>IF(C88="","ANU-"&amp;TEXT(COUNTA($C$5:C88),"000"))</f>
        <v/>
      </c>
      <c r="C88" s="14" t="n"/>
      <c r="D88" s="14" t="n"/>
      <c r="E88" s="14" t="n"/>
      <c r="F88" s="14" t="n"/>
      <c r="G88" s="24" t="n"/>
      <c r="H88" s="30" t="n"/>
      <c r="I88" s="14" t="n"/>
      <c r="J88" s="14" t="n"/>
      <c r="K88" s="14" t="n"/>
    </row>
    <row r="89" ht="22" customHeight="1">
      <c r="B89" s="17">
        <f>IF(C89="","ANU-"&amp;TEXT(COUNTA($C$5:C89),"000"))</f>
        <v/>
      </c>
      <c r="C89" s="12" t="n"/>
      <c r="D89" s="12" t="n"/>
      <c r="E89" s="12" t="n"/>
      <c r="F89" s="12" t="n"/>
      <c r="G89" s="23" t="n"/>
      <c r="H89" s="29" t="n"/>
      <c r="I89" s="12" t="n"/>
      <c r="J89" s="12" t="n"/>
      <c r="K89" s="12" t="n"/>
    </row>
    <row r="90" ht="22" customHeight="1">
      <c r="B90" s="16">
        <f>IF(C90="","ANU-"&amp;TEXT(COUNTA($C$5:C90),"000"))</f>
        <v/>
      </c>
      <c r="C90" s="14" t="n"/>
      <c r="D90" s="14" t="n"/>
      <c r="E90" s="14" t="n"/>
      <c r="F90" s="14" t="n"/>
      <c r="G90" s="24" t="n"/>
      <c r="H90" s="30" t="n"/>
      <c r="I90" s="14" t="n"/>
      <c r="J90" s="14" t="n"/>
      <c r="K90" s="14" t="n"/>
    </row>
    <row r="91" ht="22" customHeight="1">
      <c r="B91" s="17">
        <f>IF(C91="","ANU-"&amp;TEXT(COUNTA($C$5:C91),"000"))</f>
        <v/>
      </c>
      <c r="C91" s="12" t="n"/>
      <c r="D91" s="12" t="n"/>
      <c r="E91" s="12" t="n"/>
      <c r="F91" s="12" t="n"/>
      <c r="G91" s="23" t="n"/>
      <c r="H91" s="29" t="n"/>
      <c r="I91" s="12" t="n"/>
      <c r="J91" s="12" t="n"/>
      <c r="K91" s="12" t="n"/>
    </row>
    <row r="92" ht="22" customHeight="1">
      <c r="B92" s="16">
        <f>IF(C92="","ANU-"&amp;TEXT(COUNTA($C$5:C92),"000"))</f>
        <v/>
      </c>
      <c r="C92" s="14" t="n"/>
      <c r="D92" s="14" t="n"/>
      <c r="E92" s="14" t="n"/>
      <c r="F92" s="14" t="n"/>
      <c r="G92" s="24" t="n"/>
      <c r="H92" s="30" t="n"/>
      <c r="I92" s="14" t="n"/>
      <c r="J92" s="14" t="n"/>
      <c r="K92" s="14" t="n"/>
    </row>
    <row r="93" ht="22" customHeight="1">
      <c r="B93" s="17">
        <f>IF(C93="","ANU-"&amp;TEXT(COUNTA($C$5:C93),"000"))</f>
        <v/>
      </c>
      <c r="C93" s="12" t="n"/>
      <c r="D93" s="12" t="n"/>
      <c r="E93" s="12" t="n"/>
      <c r="F93" s="12" t="n"/>
      <c r="G93" s="23" t="n"/>
      <c r="H93" s="29" t="n"/>
      <c r="I93" s="12" t="n"/>
      <c r="J93" s="12" t="n"/>
      <c r="K93" s="12" t="n"/>
    </row>
    <row r="94" ht="22" customHeight="1">
      <c r="B94" s="16">
        <f>IF(C94="","ANU-"&amp;TEXT(COUNTA($C$5:C94),"000"))</f>
        <v/>
      </c>
      <c r="C94" s="14" t="n"/>
      <c r="D94" s="14" t="n"/>
      <c r="E94" s="14" t="n"/>
      <c r="F94" s="14" t="n"/>
      <c r="G94" s="24" t="n"/>
      <c r="H94" s="30" t="n"/>
      <c r="I94" s="14" t="n"/>
      <c r="J94" s="14" t="n"/>
      <c r="K94" s="14" t="n"/>
    </row>
    <row r="95" ht="22" customHeight="1">
      <c r="B95" s="17">
        <f>IF(C95="","ANU-"&amp;TEXT(COUNTA($C$5:C95),"000"))</f>
        <v/>
      </c>
      <c r="C95" s="12" t="n"/>
      <c r="D95" s="12" t="n"/>
      <c r="E95" s="12" t="n"/>
      <c r="F95" s="12" t="n"/>
      <c r="G95" s="23" t="n"/>
      <c r="H95" s="29" t="n"/>
      <c r="I95" s="12" t="n"/>
      <c r="J95" s="12" t="n"/>
      <c r="K95" s="12" t="n"/>
    </row>
    <row r="96" ht="22" customHeight="1">
      <c r="B96" s="16">
        <f>IF(C96="","ANU-"&amp;TEXT(COUNTA($C$5:C96),"000"))</f>
        <v/>
      </c>
      <c r="C96" s="14" t="n"/>
      <c r="D96" s="14" t="n"/>
      <c r="E96" s="14" t="n"/>
      <c r="F96" s="14" t="n"/>
      <c r="G96" s="24" t="n"/>
      <c r="H96" s="30" t="n"/>
      <c r="I96" s="14" t="n"/>
      <c r="J96" s="14" t="n"/>
      <c r="K96" s="14" t="n"/>
    </row>
    <row r="97" ht="22" customHeight="1">
      <c r="B97" s="17">
        <f>IF(C97="","ANU-"&amp;TEXT(COUNTA($C$5:C97),"000"))</f>
        <v/>
      </c>
      <c r="C97" s="12" t="n"/>
      <c r="D97" s="12" t="n"/>
      <c r="E97" s="12" t="n"/>
      <c r="F97" s="12" t="n"/>
      <c r="G97" s="23" t="n"/>
      <c r="H97" s="29" t="n"/>
      <c r="I97" s="12" t="n"/>
      <c r="J97" s="12" t="n"/>
      <c r="K97" s="12" t="n"/>
    </row>
    <row r="98" ht="22" customHeight="1">
      <c r="B98" s="16">
        <f>IF(C98="","ANU-"&amp;TEXT(COUNTA($C$5:C98),"000"))</f>
        <v/>
      </c>
      <c r="C98" s="14" t="n"/>
      <c r="D98" s="14" t="n"/>
      <c r="E98" s="14" t="n"/>
      <c r="F98" s="14" t="n"/>
      <c r="G98" s="24" t="n"/>
      <c r="H98" s="30" t="n"/>
      <c r="I98" s="14" t="n"/>
      <c r="J98" s="14" t="n"/>
      <c r="K98" s="14" t="n"/>
    </row>
    <row r="99" ht="22" customHeight="1">
      <c r="B99" s="17">
        <f>IF(C99="","ANU-"&amp;TEXT(COUNTA($C$5:C99),"000"))</f>
        <v/>
      </c>
      <c r="C99" s="12" t="n"/>
      <c r="D99" s="12" t="n"/>
      <c r="E99" s="12" t="n"/>
      <c r="F99" s="12" t="n"/>
      <c r="G99" s="23" t="n"/>
      <c r="H99" s="29" t="n"/>
      <c r="I99" s="12" t="n"/>
      <c r="J99" s="12" t="n"/>
      <c r="K99" s="12" t="n"/>
    </row>
    <row r="100" ht="22" customHeight="1">
      <c r="B100" s="16">
        <f>IF(C100="","ANU-"&amp;TEXT(COUNTA($C$5:C100),"000"))</f>
        <v/>
      </c>
      <c r="C100" s="14" t="n"/>
      <c r="D100" s="14" t="n"/>
      <c r="E100" s="14" t="n"/>
      <c r="F100" s="14" t="n"/>
      <c r="G100" s="24" t="n"/>
      <c r="H100" s="30" t="n"/>
      <c r="I100" s="14" t="n"/>
      <c r="J100" s="14" t="n"/>
      <c r="K100" s="14" t="n"/>
    </row>
    <row r="101" ht="22" customHeight="1">
      <c r="B101" s="17">
        <f>IF(C101="","ANU-"&amp;TEXT(COUNTA($C$5:C101),"000"))</f>
        <v/>
      </c>
      <c r="C101" s="12" t="n"/>
      <c r="D101" s="12" t="n"/>
      <c r="E101" s="12" t="n"/>
      <c r="F101" s="12" t="n"/>
      <c r="G101" s="23" t="n"/>
      <c r="H101" s="29" t="n"/>
      <c r="I101" s="12" t="n"/>
      <c r="J101" s="12" t="n"/>
      <c r="K101" s="12" t="n"/>
    </row>
    <row r="102" ht="22" customHeight="1">
      <c r="B102" s="16">
        <f>IF(C102="","ANU-"&amp;TEXT(COUNTA($C$5:C102),"000"))</f>
        <v/>
      </c>
      <c r="C102" s="14" t="n"/>
      <c r="D102" s="14" t="n"/>
      <c r="E102" s="14" t="n"/>
      <c r="F102" s="14" t="n"/>
      <c r="G102" s="24" t="n"/>
      <c r="H102" s="30" t="n"/>
      <c r="I102" s="14" t="n"/>
      <c r="J102" s="14" t="n"/>
      <c r="K102" s="14" t="n"/>
    </row>
    <row r="103" ht="22" customHeight="1">
      <c r="B103" s="17">
        <f>IF(C103="","ANU-"&amp;TEXT(COUNTA($C$5:C103),"000"))</f>
        <v/>
      </c>
      <c r="C103" s="12" t="n"/>
      <c r="D103" s="12" t="n"/>
      <c r="E103" s="12" t="n"/>
      <c r="F103" s="12" t="n"/>
      <c r="G103" s="23" t="n"/>
      <c r="H103" s="29" t="n"/>
      <c r="I103" s="12" t="n"/>
      <c r="J103" s="12" t="n"/>
      <c r="K103" s="12" t="n"/>
    </row>
    <row r="104" ht="22" customHeight="1">
      <c r="B104" s="16">
        <f>IF(C104="","ANU-"&amp;TEXT(COUNTA($C$5:C104),"000"))</f>
        <v/>
      </c>
      <c r="C104" s="14" t="n"/>
      <c r="D104" s="14" t="n"/>
      <c r="E104" s="14" t="n"/>
      <c r="F104" s="14" t="n"/>
      <c r="G104" s="24" t="n"/>
      <c r="H104" s="30" t="n"/>
      <c r="I104" s="14" t="n"/>
      <c r="J104" s="14" t="n"/>
      <c r="K104" s="14" t="n"/>
    </row>
    <row r="105" ht="22" customHeight="1">
      <c r="B105" s="17">
        <f>IF(C105="","ANU-"&amp;TEXT(COUNTA($C$5:C105),"000"))</f>
        <v/>
      </c>
      <c r="C105" s="12" t="n"/>
      <c r="D105" s="12" t="n"/>
      <c r="E105" s="12" t="n"/>
      <c r="F105" s="12" t="n"/>
      <c r="G105" s="23" t="n"/>
      <c r="H105" s="29" t="n"/>
      <c r="I105" s="12" t="n"/>
      <c r="J105" s="12" t="n"/>
      <c r="K105" s="12" t="n"/>
    </row>
    <row r="106" ht="22" customHeight="1">
      <c r="B106" s="16">
        <f>IF(C106="","ANU-"&amp;TEXT(COUNTA($C$5:C106),"000"))</f>
        <v/>
      </c>
      <c r="C106" s="14" t="n"/>
      <c r="D106" s="14" t="n"/>
      <c r="E106" s="14" t="n"/>
      <c r="F106" s="14" t="n"/>
      <c r="G106" s="24" t="n"/>
      <c r="H106" s="30" t="n"/>
      <c r="I106" s="14" t="n"/>
      <c r="J106" s="14" t="n"/>
      <c r="K106" s="14" t="n"/>
    </row>
    <row r="107" ht="22" customHeight="1">
      <c r="B107" s="17">
        <f>IF(C107="","ANU-"&amp;TEXT(COUNTA($C$5:C107),"000"))</f>
        <v/>
      </c>
      <c r="C107" s="12" t="n"/>
      <c r="D107" s="12" t="n"/>
      <c r="E107" s="12" t="n"/>
      <c r="F107" s="12" t="n"/>
      <c r="G107" s="23" t="n"/>
      <c r="H107" s="29" t="n"/>
      <c r="I107" s="12" t="n"/>
      <c r="J107" s="12" t="n"/>
      <c r="K107" s="12" t="n"/>
    </row>
    <row r="108" ht="22" customHeight="1">
      <c r="B108" s="16">
        <f>IF(C108="","ANU-"&amp;TEXT(COUNTA($C$5:C108),"000"))</f>
        <v/>
      </c>
      <c r="C108" s="14" t="n"/>
      <c r="D108" s="14" t="n"/>
      <c r="E108" s="14" t="n"/>
      <c r="F108" s="14" t="n"/>
      <c r="G108" s="24" t="n"/>
      <c r="H108" s="30" t="n"/>
      <c r="I108" s="14" t="n"/>
      <c r="J108" s="14" t="n"/>
      <c r="K108" s="14" t="n"/>
    </row>
    <row r="109" ht="22" customHeight="1">
      <c r="B109" s="17">
        <f>IF(C109="","ANU-"&amp;TEXT(COUNTA($C$5:C109),"000"))</f>
        <v/>
      </c>
      <c r="C109" s="12" t="n"/>
      <c r="D109" s="12" t="n"/>
      <c r="E109" s="12" t="n"/>
      <c r="F109" s="12" t="n"/>
      <c r="G109" s="23" t="n"/>
      <c r="H109" s="29" t="n"/>
      <c r="I109" s="12" t="n"/>
      <c r="J109" s="12" t="n"/>
      <c r="K109" s="12" t="n"/>
    </row>
    <row r="110"/>
    <row r="111" ht="26" customHeight="1">
      <c r="B111" s="20" t="inlineStr">
        <is>
          <t>TOTAL</t>
        </is>
      </c>
      <c r="C111" s="21" t="n"/>
      <c r="D111" s="21" t="n"/>
      <c r="E111" s="21" t="n"/>
      <c r="F111" s="21" t="n"/>
      <c r="G111" s="22">
        <f>SUM(G5:G104)</f>
        <v/>
      </c>
      <c r="H111" s="21" t="n"/>
      <c r="I111" s="21" t="n"/>
      <c r="J111" s="21" t="n"/>
      <c r="K111" s="21" t="n"/>
    </row>
    <row r="112"/>
    <row r="113">
      <c r="B113" s="6" t="inlineStr">
        <is>
          <t>INDICATEURS (mis a jour automatiquement)</t>
        </is>
      </c>
    </row>
    <row r="114">
      <c r="B114" s="3" t="inlineStr">
        <is>
          <t>Fiches numerisees</t>
        </is>
      </c>
      <c r="D114" s="3" t="inlineStr">
        <is>
          <t>Volume total (Mo)</t>
        </is>
      </c>
      <c r="F114" s="3" t="inlineStr">
        <is>
          <t>En cours</t>
        </is>
      </c>
    </row>
    <row r="115">
      <c r="B115" s="4">
        <f>COUNTIF(B5:B104,"&lt;&gt;")</f>
        <v/>
      </c>
      <c r="D115" s="4">
        <f>IFERROR(SUM(G5:G104)/1024,0)</f>
        <v/>
      </c>
      <c r="F115" s="4">
        <f>COUNTIF(K5:K104,"En cours")</f>
        <v/>
      </c>
    </row>
  </sheetData>
  <mergeCells count="3">
    <mergeCell ref="B113:K113"/>
    <mergeCell ref="B3:K3"/>
    <mergeCell ref="B2:K2"/>
  </mergeCells>
  <conditionalFormatting sqref="K5:K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1">
      <formula>"En attente"</formula>
    </cfRule>
    <cfRule type="cellIs" priority="77" operator="equal" dxfId="1">
      <formula>"A renouveler"</formula>
    </cfRule>
    <cfRule type="cellIs" priority="78" operator="equal" dxfId="1">
      <formula>"En cours"</formula>
    </cfRule>
    <cfRule type="cellIs" priority="79" operator="equal" dxfId="1">
      <formula>"En traitement"</formula>
    </cfRule>
    <cfRule type="cellIs" priority="80" operator="equal" dxfId="1">
      <formula>"En retard"</formula>
    </cfRule>
    <cfRule type="cellIs" priority="81" operator="equal" dxfId="1">
      <formula>"Suspendu"</formula>
    </cfRule>
    <cfRule type="cellIs" priority="82" operator="equal" dxfId="1">
      <formula>"Planifie"</formula>
    </cfRule>
    <cfRule type="cellIs" priority="83" operator="equal" dxfId="1">
      <formula>"Planifiee"</formula>
    </cfRule>
    <cfRule type="cellIs" priority="84" operator="equal" dxfId="1">
      <formula>"Brouillon"</formula>
    </cfRule>
    <cfRule type="cellIs" priority="85" operator="equal" dxfId="1">
      <formula>"En attente de justification"</formula>
    </cfRule>
    <cfRule type="cellIs" priority="86" operator="equal" dxfId="1">
      <formula>"Tolere"</formula>
    </cfRule>
    <cfRule type="cellIs" priority="87" operator="equal" dxfId="1">
      <formula>"Variable"</formula>
    </cfRule>
    <cfRule type="cellIs" priority="88" operator="equal" dxfId="1">
      <formula>"En elaboration"</formula>
    </cfRule>
    <cfRule type="cellIs" priority="89" operator="equal" dxfId="1">
      <formula>"Provisionne"</formula>
    </cfRule>
    <cfRule type="cellIs" priority="90" operator="equal" dxfId="1">
      <formula>"Consomme partiel"</formula>
    </cfRule>
    <cfRule type="cellIs" priority="91" operator="equal" dxfId="1">
      <formula>"Identifie"</formula>
    </cfRule>
    <cfRule type="cellIs" priority="92" operator="equal" dxfId="1">
      <formula>"Priorise"</formula>
    </cfRule>
    <cfRule type="cellIs" priority="93" operator="equal" dxfId="1">
      <formula>"Intermediaire"</formula>
    </cfRule>
    <cfRule type="cellIs" priority="94" operator="equal" dxfId="1">
      <formula>"Non evalue"</formula>
    </cfRule>
    <cfRule type="cellIs" priority="95" operator="equal" dxfId="1">
      <formula>"En cours de realisation"</formula>
    </cfRule>
    <cfRule type="cellIs" priority="96" operator="equal" dxfId="1">
      <formula>"Non demarre"</formula>
    </cfRule>
    <cfRule type="cellIs" priority="97" operator="equal" dxfId="1">
      <formula>"En attente N+1"</formula>
    </cfRule>
    <cfRule type="cellIs" priority="98" operator="equal" dxfId="1">
      <formula>"Prolongation essai"</formula>
    </cfRule>
    <cfRule type="cellIs" priority="99" operator="equal" dxfId="1">
      <formula>"En attente validation"</formula>
    </cfRule>
    <cfRule type="cellIs" priority="100" operator="equal" dxfId="1">
      <formula>"Bon"</formula>
    </cfRule>
    <cfRule type="cellIs" priority="101" operator="equal" dxfId="1">
      <formula>"D - Moyen"</formula>
    </cfRule>
    <cfRule type="cellIs" priority="102" operator="equal" dxfId="1">
      <formula>"En cours de repres."</formula>
    </cfRule>
    <cfRule type="cellIs" priority="103" operator="equal" dxfId="1">
      <formula>"En negociation"</formula>
    </cfRule>
    <cfRule type="cellIs" priority="104" operator="equal" dxfId="1">
      <formula>"En preparation"</formula>
    </cfRule>
    <cfRule type="cellIs" priority="105" operator="equal" dxfId="1">
      <formula>"En cours d'instruction"</formula>
    </cfRule>
    <cfRule type="cellIs" priority="106" operator="equal" dxfId="1">
      <formula>"Transferee N+1"</formula>
    </cfRule>
    <cfRule type="cellIs" priority="107" operator="equal" dxfId="1">
      <formula>"En attente reponse"</formula>
    </cfRule>
    <cfRule type="cellIs" priority="108" operator="equal" dxfId="1">
      <formula>"Enquete ouverte"</formula>
    </cfRule>
    <cfRule type="cellIs" priority="109" operator="equal" dxfId="1">
      <formula>"Convocation envoyee"</formula>
    </cfRule>
    <cfRule type="cellIs" priority="110" operator="equal" dxfId="1">
      <formula>"Entretien realise"</formula>
    </cfRule>
    <cfRule type="cellIs" priority="111" operator="equal" dxfId="1">
      <formula>"Saisie"</formula>
    </cfRule>
    <cfRule type="cellIs" priority="112" operator="equal" dxfId="1">
      <formula>"En mediation"</formula>
    </cfRule>
    <cfRule type="cellIs" priority="113" operator="equal" dxfId="1">
      <formula>"En recours"</formula>
    </cfRule>
    <cfRule type="cellIs" priority="114" operator="equal" dxfId="1">
      <formula>"Reportee"</formula>
    </cfRule>
    <cfRule type="cellIs" priority="115" operator="equal" dxfId="1">
      <formula>"Reporte"</formula>
    </cfRule>
    <cfRule type="cellIs" priority="116" operator="equal" dxfId="1">
      <formula>"Signale"</formula>
    </cfRule>
    <cfRule type="cellIs" priority="117" operator="equal" dxfId="1">
      <formula>"Precontentieux"</formula>
    </cfRule>
    <cfRule type="cellIs" priority="118" operator="equal" dxfId="1">
      <formula>"En attente election"</formula>
    </cfRule>
    <cfRule type="cellIs" priority="119" operator="equal" dxfId="1">
      <formula>"Classe"</formula>
    </cfRule>
    <cfRule type="cellIs" priority="120" operator="equal" dxfId="1">
      <formula>"En cours d'evaluation"</formula>
    </cfRule>
    <cfRule type="cellIs" priority="121" operator="equal" dxfId="1">
      <formula>"En cours d'enquete"</formula>
    </cfRule>
    <cfRule type="cellIs" priority="122" operator="equal" dxfId="1">
      <formula>"En cours de commande"</formula>
    </cfRule>
    <cfRule type="cellIs" priority="123" operator="equal" dxfId="1">
      <formula>"A revoir"</formula>
    </cfRule>
    <cfRule type="cellIs" priority="124" operator="equal" dxfId="1">
      <formula>"A remplacer"</formula>
    </cfRule>
    <cfRule type="cellIs" priority="125" operator="equal" dxfId="1">
      <formula>"En cours d'instruction CNPS"</formula>
    </cfRule>
    <cfRule type="cellIs" priority="126" operator="equal" dxfId="1">
      <formula>"En contestation"</formula>
    </cfRule>
    <cfRule type="cellIs" priority="127" operator="equal" dxfId="1">
      <formula>"Inapte temporaire"</formula>
    </cfRule>
    <cfRule type="cellIs" priority="128" operator="equal" dxfId="1">
      <formula>"Candidat identifie"</formula>
    </cfRule>
    <cfRule type="cellIs" priority="129" operator="equal" dxfId="1">
      <formula>"En formation"</formula>
    </cfRule>
    <cfRule type="cellIs" priority="130" operator="equal" dxfId="1">
      <formula>"En evaluation"</formula>
    </cfRule>
    <cfRule type="cellIs" priority="131" operator="equal" dxfId="1">
      <formula>"En transit"</formula>
    </cfRule>
    <cfRule type="cellIs" priority="132" operator="equal" dxfId="1">
      <formula>"En attente visa"</formula>
    </cfRule>
    <cfRule type="cellIs" priority="133" operator="equal" dxfId="1">
      <formula>"Proposee"</formula>
    </cfRule>
    <cfRule type="cellIs" priority="134" operator="equal" dxfId="1">
      <formula>"En cours d'acquisition"</formula>
    </cfRule>
    <cfRule type="cellIs" priority="135" operator="equal" dxfId="1">
      <formula>"A developper"</formula>
    </cfRule>
    <cfRule type="cellIs" priority="136" operator="equal" dxfId="1">
      <formula>"A renforcer"</formula>
    </cfRule>
    <cfRule type="cellIs" priority="137" operator="equal" dxfId="1">
      <formula>"En cours"</formula>
    </cfRule>
    <cfRule type="cellIs" priority="138" operator="equal" dxfId="1">
      <formula>"Partiellement conforme"</formula>
    </cfRule>
    <cfRule type="cellIs" priority="139" operator="equal" dxfId="1">
      <formula>"En mise en conformite"</formula>
    </cfRule>
    <cfRule type="cellIs" priority="140" operator="equal" dxfId="1">
      <formula>"En revision"</formula>
    </cfRule>
    <cfRule type="cellIs" priority="141" operator="equal" dxfId="1">
      <formula>"A approuver"</formula>
    </cfRule>
    <cfRule type="cellIs" priority="142" operator="equal" dxfId="1">
      <formula>"En conciliation"</formula>
    </cfRule>
    <cfRule type="cellIs" priority="143" operator="equal" dxfId="1">
      <formula>"Assigne tribunal"</formula>
    </cfRule>
    <cfRule type="cellIs" priority="144" operator="equal" dxfId="1">
      <formula>"En cours de preparation"</formula>
    </cfRule>
    <cfRule type="cellIs" priority="145" operator="equal" dxfId="1">
      <formula>"Non effectuee"</formula>
    </cfRule>
    <cfRule type="cellIs" priority="146" operator="equal" dxfId="1">
      <formula>"A archiver"</formula>
    </cfRule>
    <cfRule type="cellIs" priority="147" operator="equal" dxfId="1">
      <formula>"En cours de constitution"</formula>
    </cfRule>
    <cfRule type="cellIs" priority="148" operator="equal" dxfId="1">
      <formula>"A mettre a jour"</formula>
    </cfRule>
    <cfRule type="cellIs" priority="149" operator="equal" dxfId="1">
      <formula>"En restoration"</formula>
    </cfRule>
    <cfRule type="cellIs" priority="150" operator="equal" dxfId="1">
      <formula>"En cours de restauration"</formula>
    </cfRule>
    <cfRule type="cellIs" priority="151" operator="equal" dxfId="1">
      <formula>"A determiner"</formula>
    </cfRule>
    <cfRule type="cellIs" priority="152" operator="equal" dxfId="1">
      <formula>"En revision"</formula>
    </cfRule>
    <cfRule type="cellIs" priority="153" operator="equal" dxfId="1">
      <formula>"Obsolete"</formula>
    </cfRule>
    <cfRule type="cellIs" priority="154" operator="equal" dxfId="1">
      <formula>"Hybride (papier + numerique)"</formula>
    </cfRule>
    <cfRule type="cellIs" priority="155" operator="equal" dxfId="2">
      <formula>"Expire"</formula>
    </cfRule>
    <cfRule type="cellIs" priority="156" operator="equal" dxfId="2">
      <formula>"Rejete"</formula>
    </cfRule>
    <cfRule type="cellIs" priority="157" operator="equal" dxfId="2">
      <formula>"Rejetee"</formula>
    </cfRule>
    <cfRule type="cellIs" priority="158" operator="equal" dxfId="2">
      <formula>"Resilie"</formula>
    </cfRule>
    <cfRule type="cellIs" priority="159" operator="equal" dxfId="2">
      <formula>"Annule"</formula>
    </cfRule>
    <cfRule type="cellIs" priority="160" operator="equal" dxfId="2">
      <formula>"Annulee"</formula>
    </cfRule>
    <cfRule type="cellIs" priority="161" operator="equal" dxfId="2">
      <formula>"Refuse"</formula>
    </cfRule>
    <cfRule type="cellIs" priority="162" operator="equal" dxfId="2">
      <formula>"Non justifie"</formula>
    </cfRule>
    <cfRule type="cellIs" priority="163" operator="equal" dxfId="2">
      <formula>"Non justifiee"</formula>
    </cfRule>
    <cfRule type="cellIs" priority="164" operator="equal" dxfId="2">
      <formula>"Sanctionne"</formula>
    </cfRule>
    <cfRule type="cellIs" priority="165" operator="equal" dxfId="2">
      <formula>"Inaptitude"</formula>
    </cfRule>
    <cfRule type="cellIs" priority="166" operator="equal" dxfId="2">
      <formula>"Absent sans autorisation"</formula>
    </cfRule>
    <cfRule type="cellIs" priority="167" operator="equal" dxfId="2">
      <formula>"Abandon de poste"</formula>
    </cfRule>
    <cfRule type="cellIs" priority="168" operator="equal" dxfId="2">
      <formula>"Non satisfait"</formula>
    </cfRule>
    <cfRule type="cellIs" priority="169" operator="equal" dxfId="2">
      <formula>"Depasse"</formula>
    </cfRule>
    <cfRule type="cellIs" priority="170" operator="equal" dxfId="2">
      <formula>"Non utilise"</formula>
    </cfRule>
    <cfRule type="cellIs" priority="171" operator="equal" dxfId="2">
      <formula>"Non applicable"</formula>
    </cfRule>
    <cfRule type="cellIs" priority="172" operator="equal" dxfId="2">
      <formula>"Debutant"</formula>
    </cfRule>
    <cfRule type="cellIs" priority="173" operator="equal" dxfId="2">
      <formula>"Non atteint"</formula>
    </cfRule>
    <cfRule type="cellIs" priority="174" operator="equal" dxfId="2">
      <formula>"Abandonne"</formula>
    </cfRule>
    <cfRule type="cellIs" priority="175" operator="equal" dxfId="2">
      <formula>"Rupture essai"</formula>
    </cfRule>
    <cfRule type="cellIs" priority="176" operator="equal" dxfId="2">
      <formula>"Insuffisant"</formula>
    </cfRule>
    <cfRule type="cellIs" priority="177" operator="equal" dxfId="2">
      <formula>"Moyen"</formula>
    </cfRule>
    <cfRule type="cellIs" priority="178" operator="equal" dxfId="2">
      <formula>"E - Insuffisant"</formula>
    </cfRule>
    <cfRule type="cellIs" priority="179" operator="equal" dxfId="2">
      <formula>"Dissous"</formula>
    </cfRule>
    <cfRule type="cellIs" priority="180" operator="equal" dxfId="2">
      <formula>"Denonce"</formula>
    </cfRule>
    <cfRule type="cellIs" priority="181" operator="equal" dxfId="2">
      <formula>"Echoue"</formula>
    </cfRule>
    <cfRule type="cellIs" priority="182" operator="equal" dxfId="2">
      <formula>"Echouee"</formula>
    </cfRule>
    <cfRule type="cellIs" priority="183" operator="equal" dxfId="2">
      <formula>"Revoque"</formula>
    </cfRule>
    <cfRule type="cellIs" priority="184" operator="equal" dxfId="2">
      <formula>"Demissionnaire"</formula>
    </cfRule>
    <cfRule type="cellIs" priority="185" operator="equal" dxfId="2">
      <formula>"Licenciement pour faute"</formula>
    </cfRule>
    <cfRule type="cellIs" priority="186" operator="equal" dxfId="2">
      <formula>"Licenciement pour faute grave"</formula>
    </cfRule>
    <cfRule type="cellIs" priority="187" operator="equal" dxfId="2">
      <formula>"Terminee - Echec"</formula>
    </cfRule>
    <cfRule type="cellIs" priority="188" operator="equal" dxfId="2">
      <formula>"Abandonnee"</formula>
    </cfRule>
    <cfRule type="cellIs" priority="189" operator="equal" dxfId="2">
      <formula>"Violence physique"</formula>
    </cfRule>
    <cfRule type="cellIs" priority="190" operator="equal" dxfId="2">
      <formula>"Violence verbale"</formula>
    </cfRule>
    <cfRule type="cellIs" priority="191" operator="equal" dxfId="2">
      <formula>"Fatal"</formula>
    </cfRule>
    <cfRule type="cellIs" priority="192" operator="equal" dxfId="2">
      <formula>"Non reconnue"</formula>
    </cfRule>
    <cfRule type="cellIs" priority="193" operator="equal" dxfId="2">
      <formula>"Inapte definitif"</formula>
    </cfRule>
    <cfRule type="cellIs" priority="194" operator="equal" dxfId="2">
      <formula>"Perdu / vole"</formula>
    </cfRule>
    <cfRule type="cellIs" priority="195" operator="equal" dxfId="2">
      <formula>"Rebute"</formula>
    </cfRule>
    <cfRule type="cellIs" priority="196" operator="equal" dxfId="2">
      <formula>"Obsolette"</formula>
    </cfRule>
    <cfRule type="cellIs" priority="197" operator="equal" dxfId="2">
      <formula>"Conteste"</formula>
    </cfRule>
    <cfRule type="cellIs" priority="198" operator="equal" dxfId="2">
      <formula>"Refusee"</formula>
    </cfRule>
    <cfRule type="cellIs" priority="199" operator="equal" dxfId="2">
      <formula>"Non retenu"</formula>
    </cfRule>
    <cfRule type="cellIs" priority="200" operator="equal" dxfId="2">
      <formula>"Non acquis"</formula>
    </cfRule>
    <cfRule type="cellIs" priority="201" operator="equal" dxfId="2">
      <formula>"Contrat termine"</formula>
    </cfRule>
    <cfRule type="cellIs" priority="202" operator="equal" dxfId="2">
      <formula>"Rapatrie"</formula>
    </cfRule>
    <cfRule type="cellIs" priority="203" operator="equal" dxfId="2">
      <formula>"Non conforme"</formula>
    </cfRule>
    <cfRule type="cellIs" priority="204" operator="equal" dxfId="2">
      <formula>"Abandonne"</formula>
    </cfRule>
    <cfRule type="cellIs" priority="205" operator="equal" dxfId="2">
      <formula>"Perdu"</formula>
    </cfRule>
    <cfRule type="cellIs" priority="206" operator="equal" dxfId="2">
      <formula>"Resilie"</formula>
    </cfRule>
    <cfRule type="cellIs" priority="207" operator="equal" dxfId="2">
      <formula>"Expire"</formula>
    </cfRule>
    <cfRule type="cellIs" priority="208" operator="equal" dxfId="2">
      <formula>"Incomplet"</formula>
    </cfRule>
    <cfRule type="cellIs" priority="209" operator="equal" dxfId="2">
      <formula>"Non restitue"</formula>
    </cfRule>
    <cfRule type="cellIs" priority="210" operator="equal" dxfId="2">
      <formula>"Perdu"</formula>
    </cfRule>
    <cfRule type="cellIs" priority="211" operator="equal" dxfId="2">
      <formula>"Secret"</formula>
    </cfRule>
  </conditionalFormatting>
  <conditionalFormatting sqref="B10:B109">
    <cfRule type="expression" priority="212" dxfId="3">
      <formula>AND($C10="",$C9&lt;&gt;"")</formula>
    </cfRule>
  </conditionalFormatting>
  <conditionalFormatting sqref="C10:C109">
    <cfRule type="expression" priority="213" dxfId="3">
      <formula>AND($C10="",$C9&lt;&gt;"")</formula>
    </cfRule>
  </conditionalFormatting>
  <conditionalFormatting sqref="D10:D109">
    <cfRule type="expression" priority="214" dxfId="3">
      <formula>AND($C10="",$C9&lt;&gt;"")</formula>
    </cfRule>
  </conditionalFormatting>
  <conditionalFormatting sqref="E10:E109">
    <cfRule type="expression" priority="215" dxfId="3">
      <formula>AND($C10="",$C9&lt;&gt;"")</formula>
    </cfRule>
  </conditionalFormatting>
  <conditionalFormatting sqref="F10:F109">
    <cfRule type="expression" priority="216" dxfId="3">
      <formula>AND($C10="",$C9&lt;&gt;"")</formula>
    </cfRule>
  </conditionalFormatting>
  <conditionalFormatting sqref="G10:G109">
    <cfRule type="expression" priority="217" dxfId="3">
      <formula>AND($C10="",$C9&lt;&gt;"")</formula>
    </cfRule>
  </conditionalFormatting>
  <conditionalFormatting sqref="H10:H109">
    <cfRule type="expression" priority="218" dxfId="3">
      <formula>AND($C10="",$C9&lt;&gt;"")</formula>
    </cfRule>
  </conditionalFormatting>
  <conditionalFormatting sqref="I10:I109">
    <cfRule type="expression" priority="219" dxfId="3">
      <formula>AND($C10="",$C9&lt;&gt;"")</formula>
    </cfRule>
  </conditionalFormatting>
  <conditionalFormatting sqref="J10:J109">
    <cfRule type="expression" priority="220" dxfId="3">
      <formula>AND($C10="",$C9&lt;&gt;"")</formula>
    </cfRule>
  </conditionalFormatting>
  <conditionalFormatting sqref="K10:K109">
    <cfRule type="expression" priority="221" dxfId="3">
      <formula>AND($C10="",$C9&lt;&gt;"")</formula>
    </cfRule>
  </conditionalFormatting>
  <dataValidations count="3">
    <dataValidation sqref="D5:D109" showDropDown="0" showInputMessage="0" showErrorMessage="0" allowBlank="1" errorTitle="Erreur" error="Valeur invalide" promptTitle="Liste" prompt="Choisir dans la liste" type="list">
      <formula1>'_Lists'!$D$2:$D$21</formula1>
    </dataValidation>
    <dataValidation sqref="F5:F109" showDropDown="0" showInputMessage="0" showErrorMessage="0" allowBlank="1" errorTitle="Erreur" error="Valeur invalide" promptTitle="Liste" prompt="Choisir dans la liste" type="list">
      <formula1>'_Lists'!$J$2:$J$9</formula1>
    </dataValidation>
    <dataValidation sqref="K5:K109" showDropDown="0" showInputMessage="0" showErrorMessage="0" allowBlank="1" errorTitle="Erreur" error="Valeur invalide" promptTitle="Liste" prompt="Choisir dans la liste" type="list">
      <formula1>'_Lists'!$F$2:$F$8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2" customWidth="1" min="3" max="3"/>
    <col width="26" customWidth="1" min="4" max="4"/>
    <col width="22" customWidth="1" min="5" max="5"/>
    <col width="30" customWidth="1" min="6" max="6"/>
    <col width="30" customWidth="1" min="7" max="7"/>
    <col width="14" customWidth="1" min="8" max="8"/>
    <col width="30" customWidth="1" min="9" max="9"/>
    <col width="16" customWidth="1" min="10" max="10"/>
    <col width="12" customWidth="1" min="11" max="11"/>
  </cols>
  <sheetData>
    <row r="1" ht="15" customHeight="1"/>
    <row r="2" ht="32" customHeight="1">
      <c r="B2" s="1" t="inlineStr">
        <is>
          <t>GESTION DOCUMENTS CONFIDENTIELS (#131)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Designation</t>
        </is>
      </c>
      <c r="D4" s="11" t="inlineStr">
        <is>
          <t>Type Document</t>
        </is>
      </c>
      <c r="E4" s="11" t="inlineStr">
        <is>
          <t>Niveau Confidentialite</t>
        </is>
      </c>
      <c r="F4" s="11" t="inlineStr">
        <is>
          <t>Emplacement</t>
        </is>
      </c>
      <c r="G4" s="11" t="inlineStr">
        <is>
          <t>Personnes Autorisees</t>
        </is>
      </c>
      <c r="H4" s="11" t="inlineStr">
        <is>
          <t>Date Classement</t>
        </is>
      </c>
      <c r="I4" s="11" t="inlineStr">
        <is>
          <t>Motif Confidentialite</t>
        </is>
      </c>
      <c r="J4" s="11" t="inlineStr">
        <is>
          <t>Date Declassement</t>
        </is>
      </c>
      <c r="K4" s="11" t="inlineStr">
        <is>
          <t>Statut</t>
        </is>
      </c>
    </row>
    <row r="5" ht="22" customHeight="1">
      <c r="B5" s="12" t="inlineStr">
        <is>
          <t>DCO-001</t>
        </is>
      </c>
      <c r="C5" s="12" t="inlineStr">
        <is>
          <t>Salaires bruts employes</t>
        </is>
      </c>
      <c r="D5" s="12" t="inlineStr">
        <is>
          <t>Fiche de paie</t>
        </is>
      </c>
      <c r="E5" s="12" t="inlineStr">
        <is>
          <t>Tres confidentiel</t>
        </is>
      </c>
      <c r="F5" s="12" t="inlineStr">
        <is>
          <t>Coffre-fort RH + Serveur securise</t>
        </is>
      </c>
      <c r="G5" s="12" t="inlineStr">
        <is>
          <t>DRH, DAF, DG</t>
        </is>
      </c>
      <c r="H5" s="29" t="n">
        <v>45292</v>
      </c>
      <c r="I5" s="12" t="inlineStr">
        <is>
          <t>Donnees personnelles sensibles</t>
        </is>
      </c>
      <c r="J5" s="29" t="n"/>
      <c r="K5" s="12" t="inlineStr">
        <is>
          <t>En cours</t>
        </is>
      </c>
    </row>
    <row r="6" ht="22" customHeight="1">
      <c r="B6" s="14" t="inlineStr">
        <is>
          <t>DCO-002</t>
        </is>
      </c>
      <c r="C6" s="14" t="inlineStr">
        <is>
          <t>Rapport medicaux employes</t>
        </is>
      </c>
      <c r="D6" s="14" t="inlineStr">
        <is>
          <t>Autre</t>
        </is>
      </c>
      <c r="E6" s="14" t="inlineStr">
        <is>
          <t>Tres confidentiel</t>
        </is>
      </c>
      <c r="F6" s="14" t="inlineStr">
        <is>
          <t>Coffre-fort medical</t>
        </is>
      </c>
      <c r="G6" s="14" t="inlineStr">
        <is>
          <t>Medecin travail, DRH</t>
        </is>
      </c>
      <c r="H6" s="30" t="n">
        <v>45292</v>
      </c>
      <c r="I6" s="14" t="inlineStr">
        <is>
          <t>Secret medical</t>
        </is>
      </c>
      <c r="J6" s="30" t="n"/>
      <c r="K6" s="14" t="inlineStr">
        <is>
          <t>En cours</t>
        </is>
      </c>
    </row>
    <row r="7" ht="22" customHeight="1">
      <c r="B7" s="12" t="inlineStr">
        <is>
          <t>DCO-003</t>
        </is>
      </c>
      <c r="C7" s="12" t="inlineStr">
        <is>
          <t>Dossier disciplinaire Tchouanku</t>
        </is>
      </c>
      <c r="D7" s="12" t="inlineStr">
        <is>
          <t>Proces-verbal disciplinaire</t>
        </is>
      </c>
      <c r="E7" s="12" t="inlineStr">
        <is>
          <t>Confidentiel</t>
        </is>
      </c>
      <c r="F7" s="12" t="inlineStr">
        <is>
          <t>Armoire verrouillee RH</t>
        </is>
      </c>
      <c r="G7" s="12" t="inlineStr">
        <is>
          <t>DRH, DG</t>
        </is>
      </c>
      <c r="H7" s="29" t="n">
        <v>45799</v>
      </c>
      <c r="I7" s="12" t="inlineStr">
        <is>
          <t>Litige en cours</t>
        </is>
      </c>
      <c r="J7" s="29" t="n">
        <v>46164</v>
      </c>
      <c r="K7" s="12" t="inlineStr">
        <is>
          <t>En cours</t>
        </is>
      </c>
    </row>
    <row r="8" ht="22" customHeight="1">
      <c r="B8" s="14" t="inlineStr">
        <is>
          <t>DCO-004</t>
        </is>
      </c>
      <c r="C8" s="14" t="inlineStr">
        <is>
          <t>Audit salaires internes</t>
        </is>
      </c>
      <c r="D8" s="14" t="inlineStr">
        <is>
          <t>Politique RH</t>
        </is>
      </c>
      <c r="E8" s="14" t="inlineStr">
        <is>
          <t>Confidentiel</t>
        </is>
      </c>
      <c r="F8" s="14" t="inlineStr">
        <is>
          <t>Serveur RH / Audits /</t>
        </is>
      </c>
      <c r="G8" s="14" t="inlineStr">
        <is>
          <t>DRH, DG, Commissaire aux comptes</t>
        </is>
      </c>
      <c r="H8" s="30" t="n">
        <v>45717</v>
      </c>
      <c r="I8" s="14" t="inlineStr">
        <is>
          <t>Audit interne en cours</t>
        </is>
      </c>
      <c r="J8" s="30" t="n">
        <v>46082</v>
      </c>
      <c r="K8" s="14" t="inlineStr">
        <is>
          <t>En cours</t>
        </is>
      </c>
    </row>
    <row r="9" ht="22" customHeight="1">
      <c r="B9" s="12" t="inlineStr">
        <is>
          <t>DCO-005</t>
        </is>
      </c>
      <c r="C9" s="12" t="inlineStr">
        <is>
          <t>Négociations salariales syndicats</t>
        </is>
      </c>
      <c r="D9" s="12" t="inlineStr">
        <is>
          <t>Note de service</t>
        </is>
      </c>
      <c r="E9" s="12" t="inlineStr">
        <is>
          <t>Confidentiel</t>
        </is>
      </c>
      <c r="F9" s="12" t="inlineStr">
        <is>
          <t>Coffre-fort RH</t>
        </is>
      </c>
      <c r="G9" s="12" t="inlineStr">
        <is>
          <t>DRH, DG</t>
        </is>
      </c>
      <c r="H9" s="29" t="n">
        <v>45762</v>
      </c>
      <c r="I9" s="12" t="inlineStr">
        <is>
          <t>Negociations confidentielles</t>
        </is>
      </c>
      <c r="J9" s="29" t="n">
        <v>46022</v>
      </c>
      <c r="K9" s="12" t="inlineStr">
        <is>
          <t>En cours</t>
        </is>
      </c>
    </row>
    <row r="10" ht="22" customHeight="1">
      <c r="B10" s="16">
        <f>IF(C10="","DCO-"&amp;TEXT(COUNTA($C$5:C10),"000"))</f>
        <v/>
      </c>
      <c r="C10" s="14" t="n"/>
      <c r="D10" s="14" t="n"/>
      <c r="E10" s="14" t="n"/>
      <c r="F10" s="14" t="n"/>
      <c r="G10" s="14" t="n"/>
      <c r="H10" s="30" t="n"/>
      <c r="I10" s="14" t="n"/>
      <c r="J10" s="30" t="n"/>
      <c r="K10" s="14" t="n"/>
    </row>
    <row r="11" ht="22" customHeight="1">
      <c r="B11" s="17">
        <f>IF(C11="","DCO-"&amp;TEXT(COUNTA($C$5:C11),"000"))</f>
        <v/>
      </c>
      <c r="C11" s="12" t="n"/>
      <c r="D11" s="12" t="n"/>
      <c r="E11" s="12" t="n"/>
      <c r="F11" s="12" t="n"/>
      <c r="G11" s="12" t="n"/>
      <c r="H11" s="29" t="n"/>
      <c r="I11" s="12" t="n"/>
      <c r="J11" s="29" t="n"/>
      <c r="K11" s="12" t="n"/>
    </row>
    <row r="12" ht="22" customHeight="1">
      <c r="B12" s="16">
        <f>IF(C12="","DCO-"&amp;TEXT(COUNTA($C$5:C12),"000"))</f>
        <v/>
      </c>
      <c r="C12" s="14" t="n"/>
      <c r="D12" s="14" t="n"/>
      <c r="E12" s="14" t="n"/>
      <c r="F12" s="14" t="n"/>
      <c r="G12" s="14" t="n"/>
      <c r="H12" s="30" t="n"/>
      <c r="I12" s="14" t="n"/>
      <c r="J12" s="30" t="n"/>
      <c r="K12" s="14" t="n"/>
    </row>
    <row r="13" ht="22" customHeight="1">
      <c r="B13" s="17">
        <f>IF(C13="","DCO-"&amp;TEXT(COUNTA($C$5:C13),"000"))</f>
        <v/>
      </c>
      <c r="C13" s="12" t="n"/>
      <c r="D13" s="12" t="n"/>
      <c r="E13" s="12" t="n"/>
      <c r="F13" s="12" t="n"/>
      <c r="G13" s="12" t="n"/>
      <c r="H13" s="29" t="n"/>
      <c r="I13" s="12" t="n"/>
      <c r="J13" s="29" t="n"/>
      <c r="K13" s="12" t="n"/>
    </row>
    <row r="14" ht="22" customHeight="1">
      <c r="B14" s="16">
        <f>IF(C14="","DCO-"&amp;TEXT(COUNTA($C$5:C14),"000"))</f>
        <v/>
      </c>
      <c r="C14" s="14" t="n"/>
      <c r="D14" s="14" t="n"/>
      <c r="E14" s="14" t="n"/>
      <c r="F14" s="14" t="n"/>
      <c r="G14" s="14" t="n"/>
      <c r="H14" s="30" t="n"/>
      <c r="I14" s="14" t="n"/>
      <c r="J14" s="30" t="n"/>
      <c r="K14" s="14" t="n"/>
    </row>
    <row r="15" ht="22" customHeight="1">
      <c r="B15" s="17">
        <f>IF(C15="","DCO-"&amp;TEXT(COUNTA($C$5:C15),"000"))</f>
        <v/>
      </c>
      <c r="C15" s="12" t="n"/>
      <c r="D15" s="12" t="n"/>
      <c r="E15" s="12" t="n"/>
      <c r="F15" s="12" t="n"/>
      <c r="G15" s="12" t="n"/>
      <c r="H15" s="29" t="n"/>
      <c r="I15" s="12" t="n"/>
      <c r="J15" s="29" t="n"/>
      <c r="K15" s="12" t="n"/>
    </row>
    <row r="16" ht="22" customHeight="1">
      <c r="B16" s="16">
        <f>IF(C16="","DCO-"&amp;TEXT(COUNTA($C$5:C16),"000"))</f>
        <v/>
      </c>
      <c r="C16" s="14" t="n"/>
      <c r="D16" s="14" t="n"/>
      <c r="E16" s="14" t="n"/>
      <c r="F16" s="14" t="n"/>
      <c r="G16" s="14" t="n"/>
      <c r="H16" s="30" t="n"/>
      <c r="I16" s="14" t="n"/>
      <c r="J16" s="30" t="n"/>
      <c r="K16" s="14" t="n"/>
    </row>
    <row r="17" ht="22" customHeight="1">
      <c r="B17" s="17">
        <f>IF(C17="","DCO-"&amp;TEXT(COUNTA($C$5:C17),"000"))</f>
        <v/>
      </c>
      <c r="C17" s="12" t="n"/>
      <c r="D17" s="12" t="n"/>
      <c r="E17" s="12" t="n"/>
      <c r="F17" s="12" t="n"/>
      <c r="G17" s="12" t="n"/>
      <c r="H17" s="29" t="n"/>
      <c r="I17" s="12" t="n"/>
      <c r="J17" s="29" t="n"/>
      <c r="K17" s="12" t="n"/>
    </row>
    <row r="18" ht="22" customHeight="1">
      <c r="B18" s="16">
        <f>IF(C18="","DCO-"&amp;TEXT(COUNTA($C$5:C18),"000"))</f>
        <v/>
      </c>
      <c r="C18" s="14" t="n"/>
      <c r="D18" s="14" t="n"/>
      <c r="E18" s="14" t="n"/>
      <c r="F18" s="14" t="n"/>
      <c r="G18" s="14" t="n"/>
      <c r="H18" s="30" t="n"/>
      <c r="I18" s="14" t="n"/>
      <c r="J18" s="30" t="n"/>
      <c r="K18" s="14" t="n"/>
    </row>
    <row r="19" ht="22" customHeight="1">
      <c r="B19" s="17">
        <f>IF(C19="","DCO-"&amp;TEXT(COUNTA($C$5:C19),"000"))</f>
        <v/>
      </c>
      <c r="C19" s="12" t="n"/>
      <c r="D19" s="12" t="n"/>
      <c r="E19" s="12" t="n"/>
      <c r="F19" s="12" t="n"/>
      <c r="G19" s="12" t="n"/>
      <c r="H19" s="29" t="n"/>
      <c r="I19" s="12" t="n"/>
      <c r="J19" s="29" t="n"/>
      <c r="K19" s="12" t="n"/>
    </row>
    <row r="20" ht="22" customHeight="1">
      <c r="B20" s="16">
        <f>IF(C20="","DCO-"&amp;TEXT(COUNTA($C$5:C20),"000"))</f>
        <v/>
      </c>
      <c r="C20" s="14" t="n"/>
      <c r="D20" s="14" t="n"/>
      <c r="E20" s="14" t="n"/>
      <c r="F20" s="14" t="n"/>
      <c r="G20" s="14" t="n"/>
      <c r="H20" s="30" t="n"/>
      <c r="I20" s="14" t="n"/>
      <c r="J20" s="30" t="n"/>
      <c r="K20" s="14" t="n"/>
    </row>
    <row r="21" ht="22" customHeight="1">
      <c r="B21" s="17">
        <f>IF(C21="","DCO-"&amp;TEXT(COUNTA($C$5:C21),"000"))</f>
        <v/>
      </c>
      <c r="C21" s="12" t="n"/>
      <c r="D21" s="12" t="n"/>
      <c r="E21" s="12" t="n"/>
      <c r="F21" s="12" t="n"/>
      <c r="G21" s="12" t="n"/>
      <c r="H21" s="29" t="n"/>
      <c r="I21" s="12" t="n"/>
      <c r="J21" s="29" t="n"/>
      <c r="K21" s="12" t="n"/>
    </row>
    <row r="22" ht="22" customHeight="1">
      <c r="B22" s="16">
        <f>IF(C22="","DCO-"&amp;TEXT(COUNTA($C$5:C22),"000"))</f>
        <v/>
      </c>
      <c r="C22" s="14" t="n"/>
      <c r="D22" s="14" t="n"/>
      <c r="E22" s="14" t="n"/>
      <c r="F22" s="14" t="n"/>
      <c r="G22" s="14" t="n"/>
      <c r="H22" s="30" t="n"/>
      <c r="I22" s="14" t="n"/>
      <c r="J22" s="30" t="n"/>
      <c r="K22" s="14" t="n"/>
    </row>
    <row r="23" ht="22" customHeight="1">
      <c r="B23" s="17">
        <f>IF(C23="","DCO-"&amp;TEXT(COUNTA($C$5:C23),"000"))</f>
        <v/>
      </c>
      <c r="C23" s="12" t="n"/>
      <c r="D23" s="12" t="n"/>
      <c r="E23" s="12" t="n"/>
      <c r="F23" s="12" t="n"/>
      <c r="G23" s="12" t="n"/>
      <c r="H23" s="29" t="n"/>
      <c r="I23" s="12" t="n"/>
      <c r="J23" s="29" t="n"/>
      <c r="K23" s="12" t="n"/>
    </row>
    <row r="24" ht="22" customHeight="1">
      <c r="B24" s="16">
        <f>IF(C24="","DCO-"&amp;TEXT(COUNTA($C$5:C24),"000"))</f>
        <v/>
      </c>
      <c r="C24" s="14" t="n"/>
      <c r="D24" s="14" t="n"/>
      <c r="E24" s="14" t="n"/>
      <c r="F24" s="14" t="n"/>
      <c r="G24" s="14" t="n"/>
      <c r="H24" s="30" t="n"/>
      <c r="I24" s="14" t="n"/>
      <c r="J24" s="30" t="n"/>
      <c r="K24" s="14" t="n"/>
    </row>
    <row r="25" ht="22" customHeight="1">
      <c r="B25" s="17">
        <f>IF(C25="","DCO-"&amp;TEXT(COUNTA($C$5:C25),"000"))</f>
        <v/>
      </c>
      <c r="C25" s="12" t="n"/>
      <c r="D25" s="12" t="n"/>
      <c r="E25" s="12" t="n"/>
      <c r="F25" s="12" t="n"/>
      <c r="G25" s="12" t="n"/>
      <c r="H25" s="29" t="n"/>
      <c r="I25" s="12" t="n"/>
      <c r="J25" s="29" t="n"/>
      <c r="K25" s="12" t="n"/>
    </row>
    <row r="26" ht="22" customHeight="1">
      <c r="B26" s="16">
        <f>IF(C26="","DCO-"&amp;TEXT(COUNTA($C$5:C26),"000"))</f>
        <v/>
      </c>
      <c r="C26" s="14" t="n"/>
      <c r="D26" s="14" t="n"/>
      <c r="E26" s="14" t="n"/>
      <c r="F26" s="14" t="n"/>
      <c r="G26" s="14" t="n"/>
      <c r="H26" s="30" t="n"/>
      <c r="I26" s="14" t="n"/>
      <c r="J26" s="30" t="n"/>
      <c r="K26" s="14" t="n"/>
    </row>
    <row r="27" ht="22" customHeight="1">
      <c r="B27" s="17">
        <f>IF(C27="","DCO-"&amp;TEXT(COUNTA($C$5:C27),"000"))</f>
        <v/>
      </c>
      <c r="C27" s="12" t="n"/>
      <c r="D27" s="12" t="n"/>
      <c r="E27" s="12" t="n"/>
      <c r="F27" s="12" t="n"/>
      <c r="G27" s="12" t="n"/>
      <c r="H27" s="29" t="n"/>
      <c r="I27" s="12" t="n"/>
      <c r="J27" s="29" t="n"/>
      <c r="K27" s="12" t="n"/>
    </row>
    <row r="28" ht="22" customHeight="1">
      <c r="B28" s="16">
        <f>IF(C28="","DCO-"&amp;TEXT(COUNTA($C$5:C28),"000"))</f>
        <v/>
      </c>
      <c r="C28" s="14" t="n"/>
      <c r="D28" s="14" t="n"/>
      <c r="E28" s="14" t="n"/>
      <c r="F28" s="14" t="n"/>
      <c r="G28" s="14" t="n"/>
      <c r="H28" s="30" t="n"/>
      <c r="I28" s="14" t="n"/>
      <c r="J28" s="30" t="n"/>
      <c r="K28" s="14" t="n"/>
    </row>
    <row r="29" ht="22" customHeight="1">
      <c r="B29" s="17">
        <f>IF(C29="","DCO-"&amp;TEXT(COUNTA($C$5:C29),"000"))</f>
        <v/>
      </c>
      <c r="C29" s="12" t="n"/>
      <c r="D29" s="12" t="n"/>
      <c r="E29" s="12" t="n"/>
      <c r="F29" s="12" t="n"/>
      <c r="G29" s="12" t="n"/>
      <c r="H29" s="29" t="n"/>
      <c r="I29" s="12" t="n"/>
      <c r="J29" s="29" t="n"/>
      <c r="K29" s="12" t="n"/>
    </row>
    <row r="30" ht="22" customHeight="1">
      <c r="B30" s="16">
        <f>IF(C30="","DCO-"&amp;TEXT(COUNTA($C$5:C30),"000"))</f>
        <v/>
      </c>
      <c r="C30" s="14" t="n"/>
      <c r="D30" s="14" t="n"/>
      <c r="E30" s="14" t="n"/>
      <c r="F30" s="14" t="n"/>
      <c r="G30" s="14" t="n"/>
      <c r="H30" s="30" t="n"/>
      <c r="I30" s="14" t="n"/>
      <c r="J30" s="30" t="n"/>
      <c r="K30" s="14" t="n"/>
    </row>
    <row r="31" ht="22" customHeight="1">
      <c r="B31" s="17">
        <f>IF(C31="","DCO-"&amp;TEXT(COUNTA($C$5:C31),"000"))</f>
        <v/>
      </c>
      <c r="C31" s="12" t="n"/>
      <c r="D31" s="12" t="n"/>
      <c r="E31" s="12" t="n"/>
      <c r="F31" s="12" t="n"/>
      <c r="G31" s="12" t="n"/>
      <c r="H31" s="29" t="n"/>
      <c r="I31" s="12" t="n"/>
      <c r="J31" s="29" t="n"/>
      <c r="K31" s="12" t="n"/>
    </row>
    <row r="32" ht="22" customHeight="1">
      <c r="B32" s="16">
        <f>IF(C32="","DCO-"&amp;TEXT(COUNTA($C$5:C32),"000"))</f>
        <v/>
      </c>
      <c r="C32" s="14" t="n"/>
      <c r="D32" s="14" t="n"/>
      <c r="E32" s="14" t="n"/>
      <c r="F32" s="14" t="n"/>
      <c r="G32" s="14" t="n"/>
      <c r="H32" s="30" t="n"/>
      <c r="I32" s="14" t="n"/>
      <c r="J32" s="30" t="n"/>
      <c r="K32" s="14" t="n"/>
    </row>
    <row r="33" ht="22" customHeight="1">
      <c r="B33" s="17">
        <f>IF(C33="","DCO-"&amp;TEXT(COUNTA($C$5:C33),"000"))</f>
        <v/>
      </c>
      <c r="C33" s="12" t="n"/>
      <c r="D33" s="12" t="n"/>
      <c r="E33" s="12" t="n"/>
      <c r="F33" s="12" t="n"/>
      <c r="G33" s="12" t="n"/>
      <c r="H33" s="29" t="n"/>
      <c r="I33" s="12" t="n"/>
      <c r="J33" s="29" t="n"/>
      <c r="K33" s="12" t="n"/>
    </row>
    <row r="34" ht="22" customHeight="1">
      <c r="B34" s="16">
        <f>IF(C34="","DCO-"&amp;TEXT(COUNTA($C$5:C34),"000"))</f>
        <v/>
      </c>
      <c r="C34" s="14" t="n"/>
      <c r="D34" s="14" t="n"/>
      <c r="E34" s="14" t="n"/>
      <c r="F34" s="14" t="n"/>
      <c r="G34" s="14" t="n"/>
      <c r="H34" s="30" t="n"/>
      <c r="I34" s="14" t="n"/>
      <c r="J34" s="30" t="n"/>
      <c r="K34" s="14" t="n"/>
    </row>
    <row r="35" ht="22" customHeight="1">
      <c r="B35" s="17">
        <f>IF(C35="","DCO-"&amp;TEXT(COUNTA($C$5:C35),"000"))</f>
        <v/>
      </c>
      <c r="C35" s="12" t="n"/>
      <c r="D35" s="12" t="n"/>
      <c r="E35" s="12" t="n"/>
      <c r="F35" s="12" t="n"/>
      <c r="G35" s="12" t="n"/>
      <c r="H35" s="29" t="n"/>
      <c r="I35" s="12" t="n"/>
      <c r="J35" s="29" t="n"/>
      <c r="K35" s="12" t="n"/>
    </row>
    <row r="36" ht="22" customHeight="1">
      <c r="B36" s="16">
        <f>IF(C36="","DCO-"&amp;TEXT(COUNTA($C$5:C36),"000"))</f>
        <v/>
      </c>
      <c r="C36" s="14" t="n"/>
      <c r="D36" s="14" t="n"/>
      <c r="E36" s="14" t="n"/>
      <c r="F36" s="14" t="n"/>
      <c r="G36" s="14" t="n"/>
      <c r="H36" s="30" t="n"/>
      <c r="I36" s="14" t="n"/>
      <c r="J36" s="30" t="n"/>
      <c r="K36" s="14" t="n"/>
    </row>
    <row r="37" ht="22" customHeight="1">
      <c r="B37" s="17">
        <f>IF(C37="","DCO-"&amp;TEXT(COUNTA($C$5:C37),"000"))</f>
        <v/>
      </c>
      <c r="C37" s="12" t="n"/>
      <c r="D37" s="12" t="n"/>
      <c r="E37" s="12" t="n"/>
      <c r="F37" s="12" t="n"/>
      <c r="G37" s="12" t="n"/>
      <c r="H37" s="29" t="n"/>
      <c r="I37" s="12" t="n"/>
      <c r="J37" s="29" t="n"/>
      <c r="K37" s="12" t="n"/>
    </row>
    <row r="38" ht="22" customHeight="1">
      <c r="B38" s="16">
        <f>IF(C38="","DCO-"&amp;TEXT(COUNTA($C$5:C38),"000"))</f>
        <v/>
      </c>
      <c r="C38" s="14" t="n"/>
      <c r="D38" s="14" t="n"/>
      <c r="E38" s="14" t="n"/>
      <c r="F38" s="14" t="n"/>
      <c r="G38" s="14" t="n"/>
      <c r="H38" s="30" t="n"/>
      <c r="I38" s="14" t="n"/>
      <c r="J38" s="30" t="n"/>
      <c r="K38" s="14" t="n"/>
    </row>
    <row r="39" ht="22" customHeight="1">
      <c r="B39" s="17">
        <f>IF(C39="","DCO-"&amp;TEXT(COUNTA($C$5:C39),"000"))</f>
        <v/>
      </c>
      <c r="C39" s="12" t="n"/>
      <c r="D39" s="12" t="n"/>
      <c r="E39" s="12" t="n"/>
      <c r="F39" s="12" t="n"/>
      <c r="G39" s="12" t="n"/>
      <c r="H39" s="29" t="n"/>
      <c r="I39" s="12" t="n"/>
      <c r="J39" s="29" t="n"/>
      <c r="K39" s="12" t="n"/>
    </row>
    <row r="40" ht="22" customHeight="1">
      <c r="B40" s="16">
        <f>IF(C40="","DCO-"&amp;TEXT(COUNTA($C$5:C40),"000"))</f>
        <v/>
      </c>
      <c r="C40" s="14" t="n"/>
      <c r="D40" s="14" t="n"/>
      <c r="E40" s="14" t="n"/>
      <c r="F40" s="14" t="n"/>
      <c r="G40" s="14" t="n"/>
      <c r="H40" s="30" t="n"/>
      <c r="I40" s="14" t="n"/>
      <c r="J40" s="30" t="n"/>
      <c r="K40" s="14" t="n"/>
    </row>
    <row r="41" ht="22" customHeight="1">
      <c r="B41" s="17">
        <f>IF(C41="","DCO-"&amp;TEXT(COUNTA($C$5:C41),"000"))</f>
        <v/>
      </c>
      <c r="C41" s="12" t="n"/>
      <c r="D41" s="12" t="n"/>
      <c r="E41" s="12" t="n"/>
      <c r="F41" s="12" t="n"/>
      <c r="G41" s="12" t="n"/>
      <c r="H41" s="29" t="n"/>
      <c r="I41" s="12" t="n"/>
      <c r="J41" s="29" t="n"/>
      <c r="K41" s="12" t="n"/>
    </row>
    <row r="42" ht="22" customHeight="1">
      <c r="B42" s="16">
        <f>IF(C42="","DCO-"&amp;TEXT(COUNTA($C$5:C42),"000"))</f>
        <v/>
      </c>
      <c r="C42" s="14" t="n"/>
      <c r="D42" s="14" t="n"/>
      <c r="E42" s="14" t="n"/>
      <c r="F42" s="14" t="n"/>
      <c r="G42" s="14" t="n"/>
      <c r="H42" s="30" t="n"/>
      <c r="I42" s="14" t="n"/>
      <c r="J42" s="30" t="n"/>
      <c r="K42" s="14" t="n"/>
    </row>
    <row r="43" ht="22" customHeight="1">
      <c r="B43" s="17">
        <f>IF(C43="","DCO-"&amp;TEXT(COUNTA($C$5:C43),"000"))</f>
        <v/>
      </c>
      <c r="C43" s="12" t="n"/>
      <c r="D43" s="12" t="n"/>
      <c r="E43" s="12" t="n"/>
      <c r="F43" s="12" t="n"/>
      <c r="G43" s="12" t="n"/>
      <c r="H43" s="29" t="n"/>
      <c r="I43" s="12" t="n"/>
      <c r="J43" s="29" t="n"/>
      <c r="K43" s="12" t="n"/>
    </row>
    <row r="44" ht="22" customHeight="1">
      <c r="B44" s="16">
        <f>IF(C44="","DCO-"&amp;TEXT(COUNTA($C$5:C44),"000"))</f>
        <v/>
      </c>
      <c r="C44" s="14" t="n"/>
      <c r="D44" s="14" t="n"/>
      <c r="E44" s="14" t="n"/>
      <c r="F44" s="14" t="n"/>
      <c r="G44" s="14" t="n"/>
      <c r="H44" s="30" t="n"/>
      <c r="I44" s="14" t="n"/>
      <c r="J44" s="30" t="n"/>
      <c r="K44" s="14" t="n"/>
    </row>
    <row r="45" ht="22" customHeight="1">
      <c r="B45" s="17">
        <f>IF(C45="","DCO-"&amp;TEXT(COUNTA($C$5:C45),"000"))</f>
        <v/>
      </c>
      <c r="C45" s="12" t="n"/>
      <c r="D45" s="12" t="n"/>
      <c r="E45" s="12" t="n"/>
      <c r="F45" s="12" t="n"/>
      <c r="G45" s="12" t="n"/>
      <c r="H45" s="29" t="n"/>
      <c r="I45" s="12" t="n"/>
      <c r="J45" s="29" t="n"/>
      <c r="K45" s="12" t="n"/>
    </row>
    <row r="46" ht="22" customHeight="1">
      <c r="B46" s="16">
        <f>IF(C46="","DCO-"&amp;TEXT(COUNTA($C$5:C46),"000"))</f>
        <v/>
      </c>
      <c r="C46" s="14" t="n"/>
      <c r="D46" s="14" t="n"/>
      <c r="E46" s="14" t="n"/>
      <c r="F46" s="14" t="n"/>
      <c r="G46" s="14" t="n"/>
      <c r="H46" s="30" t="n"/>
      <c r="I46" s="14" t="n"/>
      <c r="J46" s="30" t="n"/>
      <c r="K46" s="14" t="n"/>
    </row>
    <row r="47" ht="22" customHeight="1">
      <c r="B47" s="17">
        <f>IF(C47="","DCO-"&amp;TEXT(COUNTA($C$5:C47),"000"))</f>
        <v/>
      </c>
      <c r="C47" s="12" t="n"/>
      <c r="D47" s="12" t="n"/>
      <c r="E47" s="12" t="n"/>
      <c r="F47" s="12" t="n"/>
      <c r="G47" s="12" t="n"/>
      <c r="H47" s="29" t="n"/>
      <c r="I47" s="12" t="n"/>
      <c r="J47" s="29" t="n"/>
      <c r="K47" s="12" t="n"/>
    </row>
    <row r="48" ht="22" customHeight="1">
      <c r="B48" s="16">
        <f>IF(C48="","DCO-"&amp;TEXT(COUNTA($C$5:C48),"000"))</f>
        <v/>
      </c>
      <c r="C48" s="14" t="n"/>
      <c r="D48" s="14" t="n"/>
      <c r="E48" s="14" t="n"/>
      <c r="F48" s="14" t="n"/>
      <c r="G48" s="14" t="n"/>
      <c r="H48" s="30" t="n"/>
      <c r="I48" s="14" t="n"/>
      <c r="J48" s="30" t="n"/>
      <c r="K48" s="14" t="n"/>
    </row>
    <row r="49" ht="22" customHeight="1">
      <c r="B49" s="17">
        <f>IF(C49="","DCO-"&amp;TEXT(COUNTA($C$5:C49),"000"))</f>
        <v/>
      </c>
      <c r="C49" s="12" t="n"/>
      <c r="D49" s="12" t="n"/>
      <c r="E49" s="12" t="n"/>
      <c r="F49" s="12" t="n"/>
      <c r="G49" s="12" t="n"/>
      <c r="H49" s="29" t="n"/>
      <c r="I49" s="12" t="n"/>
      <c r="J49" s="29" t="n"/>
      <c r="K49" s="12" t="n"/>
    </row>
    <row r="50" ht="22" customHeight="1">
      <c r="B50" s="16">
        <f>IF(C50="","DCO-"&amp;TEXT(COUNTA($C$5:C50),"000"))</f>
        <v/>
      </c>
      <c r="C50" s="14" t="n"/>
      <c r="D50" s="14" t="n"/>
      <c r="E50" s="14" t="n"/>
      <c r="F50" s="14" t="n"/>
      <c r="G50" s="14" t="n"/>
      <c r="H50" s="30" t="n"/>
      <c r="I50" s="14" t="n"/>
      <c r="J50" s="30" t="n"/>
      <c r="K50" s="14" t="n"/>
    </row>
    <row r="51" ht="22" customHeight="1">
      <c r="B51" s="17">
        <f>IF(C51="","DCO-"&amp;TEXT(COUNTA($C$5:C51),"000"))</f>
        <v/>
      </c>
      <c r="C51" s="12" t="n"/>
      <c r="D51" s="12" t="n"/>
      <c r="E51" s="12" t="n"/>
      <c r="F51" s="12" t="n"/>
      <c r="G51" s="12" t="n"/>
      <c r="H51" s="29" t="n"/>
      <c r="I51" s="12" t="n"/>
      <c r="J51" s="29" t="n"/>
      <c r="K51" s="12" t="n"/>
    </row>
    <row r="52" ht="22" customHeight="1">
      <c r="B52" s="16">
        <f>IF(C52="","DCO-"&amp;TEXT(COUNTA($C$5:C52),"000"))</f>
        <v/>
      </c>
      <c r="C52" s="14" t="n"/>
      <c r="D52" s="14" t="n"/>
      <c r="E52" s="14" t="n"/>
      <c r="F52" s="14" t="n"/>
      <c r="G52" s="14" t="n"/>
      <c r="H52" s="30" t="n"/>
      <c r="I52" s="14" t="n"/>
      <c r="J52" s="30" t="n"/>
      <c r="K52" s="14" t="n"/>
    </row>
    <row r="53" ht="22" customHeight="1">
      <c r="B53" s="17">
        <f>IF(C53="","DCO-"&amp;TEXT(COUNTA($C$5:C53),"000"))</f>
        <v/>
      </c>
      <c r="C53" s="12" t="n"/>
      <c r="D53" s="12" t="n"/>
      <c r="E53" s="12" t="n"/>
      <c r="F53" s="12" t="n"/>
      <c r="G53" s="12" t="n"/>
      <c r="H53" s="29" t="n"/>
      <c r="I53" s="12" t="n"/>
      <c r="J53" s="29" t="n"/>
      <c r="K53" s="12" t="n"/>
    </row>
    <row r="54" ht="22" customHeight="1">
      <c r="B54" s="16">
        <f>IF(C54="","DCO-"&amp;TEXT(COUNTA($C$5:C54),"000"))</f>
        <v/>
      </c>
      <c r="C54" s="14" t="n"/>
      <c r="D54" s="14" t="n"/>
      <c r="E54" s="14" t="n"/>
      <c r="F54" s="14" t="n"/>
      <c r="G54" s="14" t="n"/>
      <c r="H54" s="30" t="n"/>
      <c r="I54" s="14" t="n"/>
      <c r="J54" s="30" t="n"/>
      <c r="K54" s="14" t="n"/>
    </row>
    <row r="55" ht="22" customHeight="1">
      <c r="B55" s="17">
        <f>IF(C55="","DCO-"&amp;TEXT(COUNTA($C$5:C55),"000"))</f>
        <v/>
      </c>
      <c r="C55" s="12" t="n"/>
      <c r="D55" s="12" t="n"/>
      <c r="E55" s="12" t="n"/>
      <c r="F55" s="12" t="n"/>
      <c r="G55" s="12" t="n"/>
      <c r="H55" s="29" t="n"/>
      <c r="I55" s="12" t="n"/>
      <c r="J55" s="29" t="n"/>
      <c r="K55" s="12" t="n"/>
    </row>
    <row r="56" ht="22" customHeight="1">
      <c r="B56" s="16">
        <f>IF(C56="","DCO-"&amp;TEXT(COUNTA($C$5:C56),"000"))</f>
        <v/>
      </c>
      <c r="C56" s="14" t="n"/>
      <c r="D56" s="14" t="n"/>
      <c r="E56" s="14" t="n"/>
      <c r="F56" s="14" t="n"/>
      <c r="G56" s="14" t="n"/>
      <c r="H56" s="30" t="n"/>
      <c r="I56" s="14" t="n"/>
      <c r="J56" s="30" t="n"/>
      <c r="K56" s="14" t="n"/>
    </row>
    <row r="57" ht="22" customHeight="1">
      <c r="B57" s="17">
        <f>IF(C57="","DCO-"&amp;TEXT(COUNTA($C$5:C57),"000"))</f>
        <v/>
      </c>
      <c r="C57" s="12" t="n"/>
      <c r="D57" s="12" t="n"/>
      <c r="E57" s="12" t="n"/>
      <c r="F57" s="12" t="n"/>
      <c r="G57" s="12" t="n"/>
      <c r="H57" s="29" t="n"/>
      <c r="I57" s="12" t="n"/>
      <c r="J57" s="29" t="n"/>
      <c r="K57" s="12" t="n"/>
    </row>
    <row r="58" ht="22" customHeight="1">
      <c r="B58" s="16">
        <f>IF(C58="","DCO-"&amp;TEXT(COUNTA($C$5:C58),"000"))</f>
        <v/>
      </c>
      <c r="C58" s="14" t="n"/>
      <c r="D58" s="14" t="n"/>
      <c r="E58" s="14" t="n"/>
      <c r="F58" s="14" t="n"/>
      <c r="G58" s="14" t="n"/>
      <c r="H58" s="30" t="n"/>
      <c r="I58" s="14" t="n"/>
      <c r="J58" s="30" t="n"/>
      <c r="K58" s="14" t="n"/>
    </row>
    <row r="59" ht="22" customHeight="1">
      <c r="B59" s="17">
        <f>IF(C59="","DCO-"&amp;TEXT(COUNTA($C$5:C59),"000"))</f>
        <v/>
      </c>
      <c r="C59" s="12" t="n"/>
      <c r="D59" s="12" t="n"/>
      <c r="E59" s="12" t="n"/>
      <c r="F59" s="12" t="n"/>
      <c r="G59" s="12" t="n"/>
      <c r="H59" s="29" t="n"/>
      <c r="I59" s="12" t="n"/>
      <c r="J59" s="29" t="n"/>
      <c r="K59" s="12" t="n"/>
    </row>
    <row r="60" ht="22" customHeight="1">
      <c r="B60" s="16">
        <f>IF(C60="","DCO-"&amp;TEXT(COUNTA($C$5:C60),"000"))</f>
        <v/>
      </c>
      <c r="C60" s="14" t="n"/>
      <c r="D60" s="14" t="n"/>
      <c r="E60" s="14" t="n"/>
      <c r="F60" s="14" t="n"/>
      <c r="G60" s="14" t="n"/>
      <c r="H60" s="30" t="n"/>
      <c r="I60" s="14" t="n"/>
      <c r="J60" s="30" t="n"/>
      <c r="K60" s="14" t="n"/>
    </row>
    <row r="61" ht="22" customHeight="1">
      <c r="B61" s="17">
        <f>IF(C61="","DCO-"&amp;TEXT(COUNTA($C$5:C61),"000"))</f>
        <v/>
      </c>
      <c r="C61" s="12" t="n"/>
      <c r="D61" s="12" t="n"/>
      <c r="E61" s="12" t="n"/>
      <c r="F61" s="12" t="n"/>
      <c r="G61" s="12" t="n"/>
      <c r="H61" s="29" t="n"/>
      <c r="I61" s="12" t="n"/>
      <c r="J61" s="29" t="n"/>
      <c r="K61" s="12" t="n"/>
    </row>
    <row r="62" ht="22" customHeight="1">
      <c r="B62" s="16">
        <f>IF(C62="","DCO-"&amp;TEXT(COUNTA($C$5:C62),"000"))</f>
        <v/>
      </c>
      <c r="C62" s="14" t="n"/>
      <c r="D62" s="14" t="n"/>
      <c r="E62" s="14" t="n"/>
      <c r="F62" s="14" t="n"/>
      <c r="G62" s="14" t="n"/>
      <c r="H62" s="30" t="n"/>
      <c r="I62" s="14" t="n"/>
      <c r="J62" s="30" t="n"/>
      <c r="K62" s="14" t="n"/>
    </row>
    <row r="63" ht="22" customHeight="1">
      <c r="B63" s="17">
        <f>IF(C63="","DCO-"&amp;TEXT(COUNTA($C$5:C63),"000"))</f>
        <v/>
      </c>
      <c r="C63" s="12" t="n"/>
      <c r="D63" s="12" t="n"/>
      <c r="E63" s="12" t="n"/>
      <c r="F63" s="12" t="n"/>
      <c r="G63" s="12" t="n"/>
      <c r="H63" s="29" t="n"/>
      <c r="I63" s="12" t="n"/>
      <c r="J63" s="29" t="n"/>
      <c r="K63" s="12" t="n"/>
    </row>
    <row r="64" ht="22" customHeight="1">
      <c r="B64" s="16">
        <f>IF(C64="","DCO-"&amp;TEXT(COUNTA($C$5:C64),"000"))</f>
        <v/>
      </c>
      <c r="C64" s="14" t="n"/>
      <c r="D64" s="14" t="n"/>
      <c r="E64" s="14" t="n"/>
      <c r="F64" s="14" t="n"/>
      <c r="G64" s="14" t="n"/>
      <c r="H64" s="30" t="n"/>
      <c r="I64" s="14" t="n"/>
      <c r="J64" s="30" t="n"/>
      <c r="K64" s="14" t="n"/>
    </row>
    <row r="65" ht="22" customHeight="1">
      <c r="B65" s="17">
        <f>IF(C65="","DCO-"&amp;TEXT(COUNTA($C$5:C65),"000"))</f>
        <v/>
      </c>
      <c r="C65" s="12" t="n"/>
      <c r="D65" s="12" t="n"/>
      <c r="E65" s="12" t="n"/>
      <c r="F65" s="12" t="n"/>
      <c r="G65" s="12" t="n"/>
      <c r="H65" s="29" t="n"/>
      <c r="I65" s="12" t="n"/>
      <c r="J65" s="29" t="n"/>
      <c r="K65" s="12" t="n"/>
    </row>
    <row r="66" ht="22" customHeight="1">
      <c r="B66" s="16">
        <f>IF(C66="","DCO-"&amp;TEXT(COUNTA($C$5:C66),"000"))</f>
        <v/>
      </c>
      <c r="C66" s="14" t="n"/>
      <c r="D66" s="14" t="n"/>
      <c r="E66" s="14" t="n"/>
      <c r="F66" s="14" t="n"/>
      <c r="G66" s="14" t="n"/>
      <c r="H66" s="30" t="n"/>
      <c r="I66" s="14" t="n"/>
      <c r="J66" s="30" t="n"/>
      <c r="K66" s="14" t="n"/>
    </row>
    <row r="67" ht="22" customHeight="1">
      <c r="B67" s="17">
        <f>IF(C67="","DCO-"&amp;TEXT(COUNTA($C$5:C67),"000"))</f>
        <v/>
      </c>
      <c r="C67" s="12" t="n"/>
      <c r="D67" s="12" t="n"/>
      <c r="E67" s="12" t="n"/>
      <c r="F67" s="12" t="n"/>
      <c r="G67" s="12" t="n"/>
      <c r="H67" s="29" t="n"/>
      <c r="I67" s="12" t="n"/>
      <c r="J67" s="29" t="n"/>
      <c r="K67" s="12" t="n"/>
    </row>
    <row r="68" ht="22" customHeight="1">
      <c r="B68" s="16">
        <f>IF(C68="","DCO-"&amp;TEXT(COUNTA($C$5:C68),"000"))</f>
        <v/>
      </c>
      <c r="C68" s="14" t="n"/>
      <c r="D68" s="14" t="n"/>
      <c r="E68" s="14" t="n"/>
      <c r="F68" s="14" t="n"/>
      <c r="G68" s="14" t="n"/>
      <c r="H68" s="30" t="n"/>
      <c r="I68" s="14" t="n"/>
      <c r="J68" s="30" t="n"/>
      <c r="K68" s="14" t="n"/>
    </row>
    <row r="69" ht="22" customHeight="1">
      <c r="B69" s="17">
        <f>IF(C69="","DCO-"&amp;TEXT(COUNTA($C$5:C69),"000"))</f>
        <v/>
      </c>
      <c r="C69" s="12" t="n"/>
      <c r="D69" s="12" t="n"/>
      <c r="E69" s="12" t="n"/>
      <c r="F69" s="12" t="n"/>
      <c r="G69" s="12" t="n"/>
      <c r="H69" s="29" t="n"/>
      <c r="I69" s="12" t="n"/>
      <c r="J69" s="29" t="n"/>
      <c r="K69" s="12" t="n"/>
    </row>
    <row r="70" ht="22" customHeight="1">
      <c r="B70" s="16">
        <f>IF(C70="","DCO-"&amp;TEXT(COUNTA($C$5:C70),"000"))</f>
        <v/>
      </c>
      <c r="C70" s="14" t="n"/>
      <c r="D70" s="14" t="n"/>
      <c r="E70" s="14" t="n"/>
      <c r="F70" s="14" t="n"/>
      <c r="G70" s="14" t="n"/>
      <c r="H70" s="30" t="n"/>
      <c r="I70" s="14" t="n"/>
      <c r="J70" s="30" t="n"/>
      <c r="K70" s="14" t="n"/>
    </row>
    <row r="71" ht="22" customHeight="1">
      <c r="B71" s="17">
        <f>IF(C71="","DCO-"&amp;TEXT(COUNTA($C$5:C71),"000"))</f>
        <v/>
      </c>
      <c r="C71" s="12" t="n"/>
      <c r="D71" s="12" t="n"/>
      <c r="E71" s="12" t="n"/>
      <c r="F71" s="12" t="n"/>
      <c r="G71" s="12" t="n"/>
      <c r="H71" s="29" t="n"/>
      <c r="I71" s="12" t="n"/>
      <c r="J71" s="29" t="n"/>
      <c r="K71" s="12" t="n"/>
    </row>
    <row r="72" ht="22" customHeight="1">
      <c r="B72" s="16">
        <f>IF(C72="","DCO-"&amp;TEXT(COUNTA($C$5:C72),"000"))</f>
        <v/>
      </c>
      <c r="C72" s="14" t="n"/>
      <c r="D72" s="14" t="n"/>
      <c r="E72" s="14" t="n"/>
      <c r="F72" s="14" t="n"/>
      <c r="G72" s="14" t="n"/>
      <c r="H72" s="30" t="n"/>
      <c r="I72" s="14" t="n"/>
      <c r="J72" s="30" t="n"/>
      <c r="K72" s="14" t="n"/>
    </row>
    <row r="73" ht="22" customHeight="1">
      <c r="B73" s="17">
        <f>IF(C73="","DCO-"&amp;TEXT(COUNTA($C$5:C73),"000"))</f>
        <v/>
      </c>
      <c r="C73" s="12" t="n"/>
      <c r="D73" s="12" t="n"/>
      <c r="E73" s="12" t="n"/>
      <c r="F73" s="12" t="n"/>
      <c r="G73" s="12" t="n"/>
      <c r="H73" s="29" t="n"/>
      <c r="I73" s="12" t="n"/>
      <c r="J73" s="29" t="n"/>
      <c r="K73" s="12" t="n"/>
    </row>
    <row r="74" ht="22" customHeight="1">
      <c r="B74" s="16">
        <f>IF(C74="","DCO-"&amp;TEXT(COUNTA($C$5:C74),"000"))</f>
        <v/>
      </c>
      <c r="C74" s="14" t="n"/>
      <c r="D74" s="14" t="n"/>
      <c r="E74" s="14" t="n"/>
      <c r="F74" s="14" t="n"/>
      <c r="G74" s="14" t="n"/>
      <c r="H74" s="30" t="n"/>
      <c r="I74" s="14" t="n"/>
      <c r="J74" s="30" t="n"/>
      <c r="K74" s="14" t="n"/>
    </row>
    <row r="75" ht="22" customHeight="1">
      <c r="B75" s="17">
        <f>IF(C75="","DCO-"&amp;TEXT(COUNTA($C$5:C75),"000"))</f>
        <v/>
      </c>
      <c r="C75" s="12" t="n"/>
      <c r="D75" s="12" t="n"/>
      <c r="E75" s="12" t="n"/>
      <c r="F75" s="12" t="n"/>
      <c r="G75" s="12" t="n"/>
      <c r="H75" s="29" t="n"/>
      <c r="I75" s="12" t="n"/>
      <c r="J75" s="29" t="n"/>
      <c r="K75" s="12" t="n"/>
    </row>
    <row r="76" ht="22" customHeight="1">
      <c r="B76" s="16">
        <f>IF(C76="","DCO-"&amp;TEXT(COUNTA($C$5:C76),"000"))</f>
        <v/>
      </c>
      <c r="C76" s="14" t="n"/>
      <c r="D76" s="14" t="n"/>
      <c r="E76" s="14" t="n"/>
      <c r="F76" s="14" t="n"/>
      <c r="G76" s="14" t="n"/>
      <c r="H76" s="30" t="n"/>
      <c r="I76" s="14" t="n"/>
      <c r="J76" s="30" t="n"/>
      <c r="K76" s="14" t="n"/>
    </row>
    <row r="77" ht="22" customHeight="1">
      <c r="B77" s="17">
        <f>IF(C77="","DCO-"&amp;TEXT(COUNTA($C$5:C77),"000"))</f>
        <v/>
      </c>
      <c r="C77" s="12" t="n"/>
      <c r="D77" s="12" t="n"/>
      <c r="E77" s="12" t="n"/>
      <c r="F77" s="12" t="n"/>
      <c r="G77" s="12" t="n"/>
      <c r="H77" s="29" t="n"/>
      <c r="I77" s="12" t="n"/>
      <c r="J77" s="29" t="n"/>
      <c r="K77" s="12" t="n"/>
    </row>
    <row r="78" ht="22" customHeight="1">
      <c r="B78" s="16">
        <f>IF(C78="","DCO-"&amp;TEXT(COUNTA($C$5:C78),"000"))</f>
        <v/>
      </c>
      <c r="C78" s="14" t="n"/>
      <c r="D78" s="14" t="n"/>
      <c r="E78" s="14" t="n"/>
      <c r="F78" s="14" t="n"/>
      <c r="G78" s="14" t="n"/>
      <c r="H78" s="30" t="n"/>
      <c r="I78" s="14" t="n"/>
      <c r="J78" s="30" t="n"/>
      <c r="K78" s="14" t="n"/>
    </row>
    <row r="79" ht="22" customHeight="1">
      <c r="B79" s="17">
        <f>IF(C79="","DCO-"&amp;TEXT(COUNTA($C$5:C79),"000"))</f>
        <v/>
      </c>
      <c r="C79" s="12" t="n"/>
      <c r="D79" s="12" t="n"/>
      <c r="E79" s="12" t="n"/>
      <c r="F79" s="12" t="n"/>
      <c r="G79" s="12" t="n"/>
      <c r="H79" s="29" t="n"/>
      <c r="I79" s="12" t="n"/>
      <c r="J79" s="29" t="n"/>
      <c r="K79" s="12" t="n"/>
    </row>
    <row r="80" ht="22" customHeight="1">
      <c r="B80" s="16">
        <f>IF(C80="","DCO-"&amp;TEXT(COUNTA($C$5:C80),"000"))</f>
        <v/>
      </c>
      <c r="C80" s="14" t="n"/>
      <c r="D80" s="14" t="n"/>
      <c r="E80" s="14" t="n"/>
      <c r="F80" s="14" t="n"/>
      <c r="G80" s="14" t="n"/>
      <c r="H80" s="30" t="n"/>
      <c r="I80" s="14" t="n"/>
      <c r="J80" s="30" t="n"/>
      <c r="K80" s="14" t="n"/>
    </row>
    <row r="81" ht="22" customHeight="1">
      <c r="B81" s="17">
        <f>IF(C81="","DCO-"&amp;TEXT(COUNTA($C$5:C81),"000"))</f>
        <v/>
      </c>
      <c r="C81" s="12" t="n"/>
      <c r="D81" s="12" t="n"/>
      <c r="E81" s="12" t="n"/>
      <c r="F81" s="12" t="n"/>
      <c r="G81" s="12" t="n"/>
      <c r="H81" s="29" t="n"/>
      <c r="I81" s="12" t="n"/>
      <c r="J81" s="29" t="n"/>
      <c r="K81" s="12" t="n"/>
    </row>
    <row r="82" ht="22" customHeight="1">
      <c r="B82" s="16">
        <f>IF(C82="","DCO-"&amp;TEXT(COUNTA($C$5:C82),"000"))</f>
        <v/>
      </c>
      <c r="C82" s="14" t="n"/>
      <c r="D82" s="14" t="n"/>
      <c r="E82" s="14" t="n"/>
      <c r="F82" s="14" t="n"/>
      <c r="G82" s="14" t="n"/>
      <c r="H82" s="30" t="n"/>
      <c r="I82" s="14" t="n"/>
      <c r="J82" s="30" t="n"/>
      <c r="K82" s="14" t="n"/>
    </row>
    <row r="83" ht="22" customHeight="1">
      <c r="B83" s="17">
        <f>IF(C83="","DCO-"&amp;TEXT(COUNTA($C$5:C83),"000"))</f>
        <v/>
      </c>
      <c r="C83" s="12" t="n"/>
      <c r="D83" s="12" t="n"/>
      <c r="E83" s="12" t="n"/>
      <c r="F83" s="12" t="n"/>
      <c r="G83" s="12" t="n"/>
      <c r="H83" s="29" t="n"/>
      <c r="I83" s="12" t="n"/>
      <c r="J83" s="29" t="n"/>
      <c r="K83" s="12" t="n"/>
    </row>
    <row r="84" ht="22" customHeight="1">
      <c r="B84" s="16">
        <f>IF(C84="","DCO-"&amp;TEXT(COUNTA($C$5:C84),"000"))</f>
        <v/>
      </c>
      <c r="C84" s="14" t="n"/>
      <c r="D84" s="14" t="n"/>
      <c r="E84" s="14" t="n"/>
      <c r="F84" s="14" t="n"/>
      <c r="G84" s="14" t="n"/>
      <c r="H84" s="30" t="n"/>
      <c r="I84" s="14" t="n"/>
      <c r="J84" s="30" t="n"/>
      <c r="K84" s="14" t="n"/>
    </row>
    <row r="85" ht="22" customHeight="1">
      <c r="B85" s="17">
        <f>IF(C85="","DCO-"&amp;TEXT(COUNTA($C$5:C85),"000"))</f>
        <v/>
      </c>
      <c r="C85" s="12" t="n"/>
      <c r="D85" s="12" t="n"/>
      <c r="E85" s="12" t="n"/>
      <c r="F85" s="12" t="n"/>
      <c r="G85" s="12" t="n"/>
      <c r="H85" s="29" t="n"/>
      <c r="I85" s="12" t="n"/>
      <c r="J85" s="29" t="n"/>
      <c r="K85" s="12" t="n"/>
    </row>
    <row r="86" ht="22" customHeight="1">
      <c r="B86" s="16">
        <f>IF(C86="","DCO-"&amp;TEXT(COUNTA($C$5:C86),"000"))</f>
        <v/>
      </c>
      <c r="C86" s="14" t="n"/>
      <c r="D86" s="14" t="n"/>
      <c r="E86" s="14" t="n"/>
      <c r="F86" s="14" t="n"/>
      <c r="G86" s="14" t="n"/>
      <c r="H86" s="30" t="n"/>
      <c r="I86" s="14" t="n"/>
      <c r="J86" s="30" t="n"/>
      <c r="K86" s="14" t="n"/>
    </row>
    <row r="87" ht="22" customHeight="1">
      <c r="B87" s="17">
        <f>IF(C87="","DCO-"&amp;TEXT(COUNTA($C$5:C87),"000"))</f>
        <v/>
      </c>
      <c r="C87" s="12" t="n"/>
      <c r="D87" s="12" t="n"/>
      <c r="E87" s="12" t="n"/>
      <c r="F87" s="12" t="n"/>
      <c r="G87" s="12" t="n"/>
      <c r="H87" s="29" t="n"/>
      <c r="I87" s="12" t="n"/>
      <c r="J87" s="29" t="n"/>
      <c r="K87" s="12" t="n"/>
    </row>
    <row r="88" ht="22" customHeight="1">
      <c r="B88" s="16">
        <f>IF(C88="","DCO-"&amp;TEXT(COUNTA($C$5:C88),"000"))</f>
        <v/>
      </c>
      <c r="C88" s="14" t="n"/>
      <c r="D88" s="14" t="n"/>
      <c r="E88" s="14" t="n"/>
      <c r="F88" s="14" t="n"/>
      <c r="G88" s="14" t="n"/>
      <c r="H88" s="30" t="n"/>
      <c r="I88" s="14" t="n"/>
      <c r="J88" s="30" t="n"/>
      <c r="K88" s="14" t="n"/>
    </row>
    <row r="89" ht="22" customHeight="1">
      <c r="B89" s="17">
        <f>IF(C89="","DCO-"&amp;TEXT(COUNTA($C$5:C89),"000"))</f>
        <v/>
      </c>
      <c r="C89" s="12" t="n"/>
      <c r="D89" s="12" t="n"/>
      <c r="E89" s="12" t="n"/>
      <c r="F89" s="12" t="n"/>
      <c r="G89" s="12" t="n"/>
      <c r="H89" s="29" t="n"/>
      <c r="I89" s="12" t="n"/>
      <c r="J89" s="29" t="n"/>
      <c r="K89" s="12" t="n"/>
    </row>
    <row r="90" ht="22" customHeight="1">
      <c r="B90" s="16">
        <f>IF(C90="","DCO-"&amp;TEXT(COUNTA($C$5:C90),"000"))</f>
        <v/>
      </c>
      <c r="C90" s="14" t="n"/>
      <c r="D90" s="14" t="n"/>
      <c r="E90" s="14" t="n"/>
      <c r="F90" s="14" t="n"/>
      <c r="G90" s="14" t="n"/>
      <c r="H90" s="30" t="n"/>
      <c r="I90" s="14" t="n"/>
      <c r="J90" s="30" t="n"/>
      <c r="K90" s="14" t="n"/>
    </row>
    <row r="91" ht="22" customHeight="1">
      <c r="B91" s="17">
        <f>IF(C91="","DCO-"&amp;TEXT(COUNTA($C$5:C91),"000"))</f>
        <v/>
      </c>
      <c r="C91" s="12" t="n"/>
      <c r="D91" s="12" t="n"/>
      <c r="E91" s="12" t="n"/>
      <c r="F91" s="12" t="n"/>
      <c r="G91" s="12" t="n"/>
      <c r="H91" s="29" t="n"/>
      <c r="I91" s="12" t="n"/>
      <c r="J91" s="29" t="n"/>
      <c r="K91" s="12" t="n"/>
    </row>
    <row r="92" ht="22" customHeight="1">
      <c r="B92" s="16">
        <f>IF(C92="","DCO-"&amp;TEXT(COUNTA($C$5:C92),"000"))</f>
        <v/>
      </c>
      <c r="C92" s="14" t="n"/>
      <c r="D92" s="14" t="n"/>
      <c r="E92" s="14" t="n"/>
      <c r="F92" s="14" t="n"/>
      <c r="G92" s="14" t="n"/>
      <c r="H92" s="30" t="n"/>
      <c r="I92" s="14" t="n"/>
      <c r="J92" s="30" t="n"/>
      <c r="K92" s="14" t="n"/>
    </row>
    <row r="93" ht="22" customHeight="1">
      <c r="B93" s="17">
        <f>IF(C93="","DCO-"&amp;TEXT(COUNTA($C$5:C93),"000"))</f>
        <v/>
      </c>
      <c r="C93" s="12" t="n"/>
      <c r="D93" s="12" t="n"/>
      <c r="E93" s="12" t="n"/>
      <c r="F93" s="12" t="n"/>
      <c r="G93" s="12" t="n"/>
      <c r="H93" s="29" t="n"/>
      <c r="I93" s="12" t="n"/>
      <c r="J93" s="29" t="n"/>
      <c r="K93" s="12" t="n"/>
    </row>
    <row r="94" ht="22" customHeight="1">
      <c r="B94" s="16">
        <f>IF(C94="","DCO-"&amp;TEXT(COUNTA($C$5:C94),"000"))</f>
        <v/>
      </c>
      <c r="C94" s="14" t="n"/>
      <c r="D94" s="14" t="n"/>
      <c r="E94" s="14" t="n"/>
      <c r="F94" s="14" t="n"/>
      <c r="G94" s="14" t="n"/>
      <c r="H94" s="30" t="n"/>
      <c r="I94" s="14" t="n"/>
      <c r="J94" s="30" t="n"/>
      <c r="K94" s="14" t="n"/>
    </row>
    <row r="95" ht="22" customHeight="1">
      <c r="B95" s="17">
        <f>IF(C95="","DCO-"&amp;TEXT(COUNTA($C$5:C95),"000"))</f>
        <v/>
      </c>
      <c r="C95" s="12" t="n"/>
      <c r="D95" s="12" t="n"/>
      <c r="E95" s="12" t="n"/>
      <c r="F95" s="12" t="n"/>
      <c r="G95" s="12" t="n"/>
      <c r="H95" s="29" t="n"/>
      <c r="I95" s="12" t="n"/>
      <c r="J95" s="29" t="n"/>
      <c r="K95" s="12" t="n"/>
    </row>
    <row r="96" ht="22" customHeight="1">
      <c r="B96" s="16">
        <f>IF(C96="","DCO-"&amp;TEXT(COUNTA($C$5:C96),"000"))</f>
        <v/>
      </c>
      <c r="C96" s="14" t="n"/>
      <c r="D96" s="14" t="n"/>
      <c r="E96" s="14" t="n"/>
      <c r="F96" s="14" t="n"/>
      <c r="G96" s="14" t="n"/>
      <c r="H96" s="30" t="n"/>
      <c r="I96" s="14" t="n"/>
      <c r="J96" s="30" t="n"/>
      <c r="K96" s="14" t="n"/>
    </row>
    <row r="97" ht="22" customHeight="1">
      <c r="B97" s="17">
        <f>IF(C97="","DCO-"&amp;TEXT(COUNTA($C$5:C97),"000"))</f>
        <v/>
      </c>
      <c r="C97" s="12" t="n"/>
      <c r="D97" s="12" t="n"/>
      <c r="E97" s="12" t="n"/>
      <c r="F97" s="12" t="n"/>
      <c r="G97" s="12" t="n"/>
      <c r="H97" s="29" t="n"/>
      <c r="I97" s="12" t="n"/>
      <c r="J97" s="29" t="n"/>
      <c r="K97" s="12" t="n"/>
    </row>
    <row r="98" ht="22" customHeight="1">
      <c r="B98" s="16">
        <f>IF(C98="","DCO-"&amp;TEXT(COUNTA($C$5:C98),"000"))</f>
        <v/>
      </c>
      <c r="C98" s="14" t="n"/>
      <c r="D98" s="14" t="n"/>
      <c r="E98" s="14" t="n"/>
      <c r="F98" s="14" t="n"/>
      <c r="G98" s="14" t="n"/>
      <c r="H98" s="30" t="n"/>
      <c r="I98" s="14" t="n"/>
      <c r="J98" s="30" t="n"/>
      <c r="K98" s="14" t="n"/>
    </row>
    <row r="99" ht="22" customHeight="1">
      <c r="B99" s="17">
        <f>IF(C99="","DCO-"&amp;TEXT(COUNTA($C$5:C99),"000"))</f>
        <v/>
      </c>
      <c r="C99" s="12" t="n"/>
      <c r="D99" s="12" t="n"/>
      <c r="E99" s="12" t="n"/>
      <c r="F99" s="12" t="n"/>
      <c r="G99" s="12" t="n"/>
      <c r="H99" s="29" t="n"/>
      <c r="I99" s="12" t="n"/>
      <c r="J99" s="29" t="n"/>
      <c r="K99" s="12" t="n"/>
    </row>
    <row r="100" ht="22" customHeight="1">
      <c r="B100" s="16">
        <f>IF(C100="","DCO-"&amp;TEXT(COUNTA($C$5:C100),"000"))</f>
        <v/>
      </c>
      <c r="C100" s="14" t="n"/>
      <c r="D100" s="14" t="n"/>
      <c r="E100" s="14" t="n"/>
      <c r="F100" s="14" t="n"/>
      <c r="G100" s="14" t="n"/>
      <c r="H100" s="30" t="n"/>
      <c r="I100" s="14" t="n"/>
      <c r="J100" s="30" t="n"/>
      <c r="K100" s="14" t="n"/>
    </row>
    <row r="101" ht="22" customHeight="1">
      <c r="B101" s="17">
        <f>IF(C101="","DCO-"&amp;TEXT(COUNTA($C$5:C101),"000"))</f>
        <v/>
      </c>
      <c r="C101" s="12" t="n"/>
      <c r="D101" s="12" t="n"/>
      <c r="E101" s="12" t="n"/>
      <c r="F101" s="12" t="n"/>
      <c r="G101" s="12" t="n"/>
      <c r="H101" s="29" t="n"/>
      <c r="I101" s="12" t="n"/>
      <c r="J101" s="29" t="n"/>
      <c r="K101" s="12" t="n"/>
    </row>
    <row r="102" ht="22" customHeight="1">
      <c r="B102" s="16">
        <f>IF(C102="","DCO-"&amp;TEXT(COUNTA($C$5:C102),"000"))</f>
        <v/>
      </c>
      <c r="C102" s="14" t="n"/>
      <c r="D102" s="14" t="n"/>
      <c r="E102" s="14" t="n"/>
      <c r="F102" s="14" t="n"/>
      <c r="G102" s="14" t="n"/>
      <c r="H102" s="30" t="n"/>
      <c r="I102" s="14" t="n"/>
      <c r="J102" s="30" t="n"/>
      <c r="K102" s="14" t="n"/>
    </row>
    <row r="103" ht="22" customHeight="1">
      <c r="B103" s="17">
        <f>IF(C103="","DCO-"&amp;TEXT(COUNTA($C$5:C103),"000"))</f>
        <v/>
      </c>
      <c r="C103" s="12" t="n"/>
      <c r="D103" s="12" t="n"/>
      <c r="E103" s="12" t="n"/>
      <c r="F103" s="12" t="n"/>
      <c r="G103" s="12" t="n"/>
      <c r="H103" s="29" t="n"/>
      <c r="I103" s="12" t="n"/>
      <c r="J103" s="29" t="n"/>
      <c r="K103" s="12" t="n"/>
    </row>
    <row r="104" ht="22" customHeight="1">
      <c r="B104" s="16">
        <f>IF(C104="","DCO-"&amp;TEXT(COUNTA($C$5:C104),"000"))</f>
        <v/>
      </c>
      <c r="C104" s="14" t="n"/>
      <c r="D104" s="14" t="n"/>
      <c r="E104" s="14" t="n"/>
      <c r="F104" s="14" t="n"/>
      <c r="G104" s="14" t="n"/>
      <c r="H104" s="30" t="n"/>
      <c r="I104" s="14" t="n"/>
      <c r="J104" s="30" t="n"/>
      <c r="K104" s="14" t="n"/>
    </row>
    <row r="105" ht="22" customHeight="1">
      <c r="B105" s="17">
        <f>IF(C105="","DCO-"&amp;TEXT(COUNTA($C$5:C105),"000"))</f>
        <v/>
      </c>
      <c r="C105" s="12" t="n"/>
      <c r="D105" s="12" t="n"/>
      <c r="E105" s="12" t="n"/>
      <c r="F105" s="12" t="n"/>
      <c r="G105" s="12" t="n"/>
      <c r="H105" s="29" t="n"/>
      <c r="I105" s="12" t="n"/>
      <c r="J105" s="29" t="n"/>
      <c r="K105" s="12" t="n"/>
    </row>
    <row r="106" ht="22" customHeight="1">
      <c r="B106" s="16">
        <f>IF(C106="","DCO-"&amp;TEXT(COUNTA($C$5:C106),"000"))</f>
        <v/>
      </c>
      <c r="C106" s="14" t="n"/>
      <c r="D106" s="14" t="n"/>
      <c r="E106" s="14" t="n"/>
      <c r="F106" s="14" t="n"/>
      <c r="G106" s="14" t="n"/>
      <c r="H106" s="30" t="n"/>
      <c r="I106" s="14" t="n"/>
      <c r="J106" s="30" t="n"/>
      <c r="K106" s="14" t="n"/>
    </row>
    <row r="107" ht="22" customHeight="1">
      <c r="B107" s="17">
        <f>IF(C107="","DCO-"&amp;TEXT(COUNTA($C$5:C107),"000"))</f>
        <v/>
      </c>
      <c r="C107" s="12" t="n"/>
      <c r="D107" s="12" t="n"/>
      <c r="E107" s="12" t="n"/>
      <c r="F107" s="12" t="n"/>
      <c r="G107" s="12" t="n"/>
      <c r="H107" s="29" t="n"/>
      <c r="I107" s="12" t="n"/>
      <c r="J107" s="29" t="n"/>
      <c r="K107" s="12" t="n"/>
    </row>
    <row r="108" ht="22" customHeight="1">
      <c r="B108" s="16">
        <f>IF(C108="","DCO-"&amp;TEXT(COUNTA($C$5:C108),"000"))</f>
        <v/>
      </c>
      <c r="C108" s="14" t="n"/>
      <c r="D108" s="14" t="n"/>
      <c r="E108" s="14" t="n"/>
      <c r="F108" s="14" t="n"/>
      <c r="G108" s="14" t="n"/>
      <c r="H108" s="30" t="n"/>
      <c r="I108" s="14" t="n"/>
      <c r="J108" s="30" t="n"/>
      <c r="K108" s="14" t="n"/>
    </row>
    <row r="109" ht="22" customHeight="1">
      <c r="B109" s="17">
        <f>IF(C109="","DCO-"&amp;TEXT(COUNTA($C$5:C109),"000"))</f>
        <v/>
      </c>
      <c r="C109" s="12" t="n"/>
      <c r="D109" s="12" t="n"/>
      <c r="E109" s="12" t="n"/>
      <c r="F109" s="12" t="n"/>
      <c r="G109" s="12" t="n"/>
      <c r="H109" s="29" t="n"/>
      <c r="I109" s="12" t="n"/>
      <c r="J109" s="29" t="n"/>
      <c r="K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Docs confidentiels</t>
        </is>
      </c>
      <c r="D112" s="3" t="inlineStr">
        <is>
          <t>Tres confidentiels</t>
        </is>
      </c>
      <c r="F112" s="3" t="inlineStr">
        <is>
          <t>En cours</t>
        </is>
      </c>
    </row>
    <row r="113">
      <c r="B113" s="4">
        <f>COUNTIF(B5:B104,"&lt;&gt;")</f>
        <v/>
      </c>
      <c r="D113" s="4">
        <f>COUNTIF(E5:E104,"Tres confidentiel")</f>
        <v/>
      </c>
      <c r="F113" s="4">
        <f>COUNTIF(K5:K104,"En cours")</f>
        <v/>
      </c>
    </row>
  </sheetData>
  <mergeCells count="3">
    <mergeCell ref="B111:K111"/>
    <mergeCell ref="B3:K3"/>
    <mergeCell ref="B2:K2"/>
  </mergeCells>
  <conditionalFormatting sqref="K5:K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1">
      <formula>"En attente"</formula>
    </cfRule>
    <cfRule type="cellIs" priority="77" operator="equal" dxfId="1">
      <formula>"A renouveler"</formula>
    </cfRule>
    <cfRule type="cellIs" priority="78" operator="equal" dxfId="1">
      <formula>"En cours"</formula>
    </cfRule>
    <cfRule type="cellIs" priority="79" operator="equal" dxfId="1">
      <formula>"En traitement"</formula>
    </cfRule>
    <cfRule type="cellIs" priority="80" operator="equal" dxfId="1">
      <formula>"En retard"</formula>
    </cfRule>
    <cfRule type="cellIs" priority="81" operator="equal" dxfId="1">
      <formula>"Suspendu"</formula>
    </cfRule>
    <cfRule type="cellIs" priority="82" operator="equal" dxfId="1">
      <formula>"Planifie"</formula>
    </cfRule>
    <cfRule type="cellIs" priority="83" operator="equal" dxfId="1">
      <formula>"Planifiee"</formula>
    </cfRule>
    <cfRule type="cellIs" priority="84" operator="equal" dxfId="1">
      <formula>"Brouillon"</formula>
    </cfRule>
    <cfRule type="cellIs" priority="85" operator="equal" dxfId="1">
      <formula>"En attente de justification"</formula>
    </cfRule>
    <cfRule type="cellIs" priority="86" operator="equal" dxfId="1">
      <formula>"Tolere"</formula>
    </cfRule>
    <cfRule type="cellIs" priority="87" operator="equal" dxfId="1">
      <formula>"Variable"</formula>
    </cfRule>
    <cfRule type="cellIs" priority="88" operator="equal" dxfId="1">
      <formula>"En elaboration"</formula>
    </cfRule>
    <cfRule type="cellIs" priority="89" operator="equal" dxfId="1">
      <formula>"Provisionne"</formula>
    </cfRule>
    <cfRule type="cellIs" priority="90" operator="equal" dxfId="1">
      <formula>"Consomme partiel"</formula>
    </cfRule>
    <cfRule type="cellIs" priority="91" operator="equal" dxfId="1">
      <formula>"Identifie"</formula>
    </cfRule>
    <cfRule type="cellIs" priority="92" operator="equal" dxfId="1">
      <formula>"Priorise"</formula>
    </cfRule>
    <cfRule type="cellIs" priority="93" operator="equal" dxfId="1">
      <formula>"Intermediaire"</formula>
    </cfRule>
    <cfRule type="cellIs" priority="94" operator="equal" dxfId="1">
      <formula>"Non evalue"</formula>
    </cfRule>
    <cfRule type="cellIs" priority="95" operator="equal" dxfId="1">
      <formula>"En cours de realisation"</formula>
    </cfRule>
    <cfRule type="cellIs" priority="96" operator="equal" dxfId="1">
      <formula>"Non demarre"</formula>
    </cfRule>
    <cfRule type="cellIs" priority="97" operator="equal" dxfId="1">
      <formula>"En attente N+1"</formula>
    </cfRule>
    <cfRule type="cellIs" priority="98" operator="equal" dxfId="1">
      <formula>"Prolongation essai"</formula>
    </cfRule>
    <cfRule type="cellIs" priority="99" operator="equal" dxfId="1">
      <formula>"En attente validation"</formula>
    </cfRule>
    <cfRule type="cellIs" priority="100" operator="equal" dxfId="1">
      <formula>"Bon"</formula>
    </cfRule>
    <cfRule type="cellIs" priority="101" operator="equal" dxfId="1">
      <formula>"D - Moyen"</formula>
    </cfRule>
    <cfRule type="cellIs" priority="102" operator="equal" dxfId="1">
      <formula>"En cours de repres."</formula>
    </cfRule>
    <cfRule type="cellIs" priority="103" operator="equal" dxfId="1">
      <formula>"En negociation"</formula>
    </cfRule>
    <cfRule type="cellIs" priority="104" operator="equal" dxfId="1">
      <formula>"En preparation"</formula>
    </cfRule>
    <cfRule type="cellIs" priority="105" operator="equal" dxfId="1">
      <formula>"En cours d'instruction"</formula>
    </cfRule>
    <cfRule type="cellIs" priority="106" operator="equal" dxfId="1">
      <formula>"Transferee N+1"</formula>
    </cfRule>
    <cfRule type="cellIs" priority="107" operator="equal" dxfId="1">
      <formula>"En attente reponse"</formula>
    </cfRule>
    <cfRule type="cellIs" priority="108" operator="equal" dxfId="1">
      <formula>"Enquete ouverte"</formula>
    </cfRule>
    <cfRule type="cellIs" priority="109" operator="equal" dxfId="1">
      <formula>"Convocation envoyee"</formula>
    </cfRule>
    <cfRule type="cellIs" priority="110" operator="equal" dxfId="1">
      <formula>"Entretien realise"</formula>
    </cfRule>
    <cfRule type="cellIs" priority="111" operator="equal" dxfId="1">
      <formula>"Saisie"</formula>
    </cfRule>
    <cfRule type="cellIs" priority="112" operator="equal" dxfId="1">
      <formula>"En mediation"</formula>
    </cfRule>
    <cfRule type="cellIs" priority="113" operator="equal" dxfId="1">
      <formula>"En recours"</formula>
    </cfRule>
    <cfRule type="cellIs" priority="114" operator="equal" dxfId="1">
      <formula>"Reportee"</formula>
    </cfRule>
    <cfRule type="cellIs" priority="115" operator="equal" dxfId="1">
      <formula>"Reporte"</formula>
    </cfRule>
    <cfRule type="cellIs" priority="116" operator="equal" dxfId="1">
      <formula>"Signale"</formula>
    </cfRule>
    <cfRule type="cellIs" priority="117" operator="equal" dxfId="1">
      <formula>"Precontentieux"</formula>
    </cfRule>
    <cfRule type="cellIs" priority="118" operator="equal" dxfId="1">
      <formula>"En attente election"</formula>
    </cfRule>
    <cfRule type="cellIs" priority="119" operator="equal" dxfId="1">
      <formula>"Classe"</formula>
    </cfRule>
    <cfRule type="cellIs" priority="120" operator="equal" dxfId="1">
      <formula>"En cours d'evaluation"</formula>
    </cfRule>
    <cfRule type="cellIs" priority="121" operator="equal" dxfId="1">
      <formula>"En cours d'enquete"</formula>
    </cfRule>
    <cfRule type="cellIs" priority="122" operator="equal" dxfId="1">
      <formula>"En cours de commande"</formula>
    </cfRule>
    <cfRule type="cellIs" priority="123" operator="equal" dxfId="1">
      <formula>"A revoir"</formula>
    </cfRule>
    <cfRule type="cellIs" priority="124" operator="equal" dxfId="1">
      <formula>"A remplacer"</formula>
    </cfRule>
    <cfRule type="cellIs" priority="125" operator="equal" dxfId="1">
      <formula>"En cours d'instruction CNPS"</formula>
    </cfRule>
    <cfRule type="cellIs" priority="126" operator="equal" dxfId="1">
      <formula>"En contestation"</formula>
    </cfRule>
    <cfRule type="cellIs" priority="127" operator="equal" dxfId="1">
      <formula>"Inapte temporaire"</formula>
    </cfRule>
    <cfRule type="cellIs" priority="128" operator="equal" dxfId="1">
      <formula>"Candidat identifie"</formula>
    </cfRule>
    <cfRule type="cellIs" priority="129" operator="equal" dxfId="1">
      <formula>"En formation"</formula>
    </cfRule>
    <cfRule type="cellIs" priority="130" operator="equal" dxfId="1">
      <formula>"En evaluation"</formula>
    </cfRule>
    <cfRule type="cellIs" priority="131" operator="equal" dxfId="1">
      <formula>"En transit"</formula>
    </cfRule>
    <cfRule type="cellIs" priority="132" operator="equal" dxfId="1">
      <formula>"En attente visa"</formula>
    </cfRule>
    <cfRule type="cellIs" priority="133" operator="equal" dxfId="1">
      <formula>"Proposee"</formula>
    </cfRule>
    <cfRule type="cellIs" priority="134" operator="equal" dxfId="1">
      <formula>"En cours d'acquisition"</formula>
    </cfRule>
    <cfRule type="cellIs" priority="135" operator="equal" dxfId="1">
      <formula>"A developper"</formula>
    </cfRule>
    <cfRule type="cellIs" priority="136" operator="equal" dxfId="1">
      <formula>"A renforcer"</formula>
    </cfRule>
    <cfRule type="cellIs" priority="137" operator="equal" dxfId="1">
      <formula>"En cours"</formula>
    </cfRule>
    <cfRule type="cellIs" priority="138" operator="equal" dxfId="1">
      <formula>"Partiellement conforme"</formula>
    </cfRule>
    <cfRule type="cellIs" priority="139" operator="equal" dxfId="1">
      <formula>"En mise en conformite"</formula>
    </cfRule>
    <cfRule type="cellIs" priority="140" operator="equal" dxfId="1">
      <formula>"En revision"</formula>
    </cfRule>
    <cfRule type="cellIs" priority="141" operator="equal" dxfId="1">
      <formula>"A approuver"</formula>
    </cfRule>
    <cfRule type="cellIs" priority="142" operator="equal" dxfId="1">
      <formula>"En conciliation"</formula>
    </cfRule>
    <cfRule type="cellIs" priority="143" operator="equal" dxfId="1">
      <formula>"Assigne tribunal"</formula>
    </cfRule>
    <cfRule type="cellIs" priority="144" operator="equal" dxfId="1">
      <formula>"En cours de preparation"</formula>
    </cfRule>
    <cfRule type="cellIs" priority="145" operator="equal" dxfId="1">
      <formula>"Non effectuee"</formula>
    </cfRule>
    <cfRule type="cellIs" priority="146" operator="equal" dxfId="1">
      <formula>"A archiver"</formula>
    </cfRule>
    <cfRule type="cellIs" priority="147" operator="equal" dxfId="1">
      <formula>"En cours de constitution"</formula>
    </cfRule>
    <cfRule type="cellIs" priority="148" operator="equal" dxfId="1">
      <formula>"A mettre a jour"</formula>
    </cfRule>
    <cfRule type="cellIs" priority="149" operator="equal" dxfId="1">
      <formula>"En restoration"</formula>
    </cfRule>
    <cfRule type="cellIs" priority="150" operator="equal" dxfId="1">
      <formula>"En cours de restauration"</formula>
    </cfRule>
    <cfRule type="cellIs" priority="151" operator="equal" dxfId="1">
      <formula>"A determiner"</formula>
    </cfRule>
    <cfRule type="cellIs" priority="152" operator="equal" dxfId="1">
      <formula>"En revision"</formula>
    </cfRule>
    <cfRule type="cellIs" priority="153" operator="equal" dxfId="1">
      <formula>"Obsolete"</formula>
    </cfRule>
    <cfRule type="cellIs" priority="154" operator="equal" dxfId="1">
      <formula>"Hybride (papier + numerique)"</formula>
    </cfRule>
    <cfRule type="cellIs" priority="155" operator="equal" dxfId="2">
      <formula>"Expire"</formula>
    </cfRule>
    <cfRule type="cellIs" priority="156" operator="equal" dxfId="2">
      <formula>"Rejete"</formula>
    </cfRule>
    <cfRule type="cellIs" priority="157" operator="equal" dxfId="2">
      <formula>"Rejetee"</formula>
    </cfRule>
    <cfRule type="cellIs" priority="158" operator="equal" dxfId="2">
      <formula>"Resilie"</formula>
    </cfRule>
    <cfRule type="cellIs" priority="159" operator="equal" dxfId="2">
      <formula>"Annule"</formula>
    </cfRule>
    <cfRule type="cellIs" priority="160" operator="equal" dxfId="2">
      <formula>"Annulee"</formula>
    </cfRule>
    <cfRule type="cellIs" priority="161" operator="equal" dxfId="2">
      <formula>"Refuse"</formula>
    </cfRule>
    <cfRule type="cellIs" priority="162" operator="equal" dxfId="2">
      <formula>"Non justifie"</formula>
    </cfRule>
    <cfRule type="cellIs" priority="163" operator="equal" dxfId="2">
      <formula>"Non justifiee"</formula>
    </cfRule>
    <cfRule type="cellIs" priority="164" operator="equal" dxfId="2">
      <formula>"Sanctionne"</formula>
    </cfRule>
    <cfRule type="cellIs" priority="165" operator="equal" dxfId="2">
      <formula>"Inaptitude"</formula>
    </cfRule>
    <cfRule type="cellIs" priority="166" operator="equal" dxfId="2">
      <formula>"Absent sans autorisation"</formula>
    </cfRule>
    <cfRule type="cellIs" priority="167" operator="equal" dxfId="2">
      <formula>"Abandon de poste"</formula>
    </cfRule>
    <cfRule type="cellIs" priority="168" operator="equal" dxfId="2">
      <formula>"Non satisfait"</formula>
    </cfRule>
    <cfRule type="cellIs" priority="169" operator="equal" dxfId="2">
      <formula>"Depasse"</formula>
    </cfRule>
    <cfRule type="cellIs" priority="170" operator="equal" dxfId="2">
      <formula>"Non utilise"</formula>
    </cfRule>
    <cfRule type="cellIs" priority="171" operator="equal" dxfId="2">
      <formula>"Non applicable"</formula>
    </cfRule>
    <cfRule type="cellIs" priority="172" operator="equal" dxfId="2">
      <formula>"Debutant"</formula>
    </cfRule>
    <cfRule type="cellIs" priority="173" operator="equal" dxfId="2">
      <formula>"Non atteint"</formula>
    </cfRule>
    <cfRule type="cellIs" priority="174" operator="equal" dxfId="2">
      <formula>"Abandonne"</formula>
    </cfRule>
    <cfRule type="cellIs" priority="175" operator="equal" dxfId="2">
      <formula>"Rupture essai"</formula>
    </cfRule>
    <cfRule type="cellIs" priority="176" operator="equal" dxfId="2">
      <formula>"Insuffisant"</formula>
    </cfRule>
    <cfRule type="cellIs" priority="177" operator="equal" dxfId="2">
      <formula>"Moyen"</formula>
    </cfRule>
    <cfRule type="cellIs" priority="178" operator="equal" dxfId="2">
      <formula>"E - Insuffisant"</formula>
    </cfRule>
    <cfRule type="cellIs" priority="179" operator="equal" dxfId="2">
      <formula>"Dissous"</formula>
    </cfRule>
    <cfRule type="cellIs" priority="180" operator="equal" dxfId="2">
      <formula>"Denonce"</formula>
    </cfRule>
    <cfRule type="cellIs" priority="181" operator="equal" dxfId="2">
      <formula>"Echoue"</formula>
    </cfRule>
    <cfRule type="cellIs" priority="182" operator="equal" dxfId="2">
      <formula>"Echouee"</formula>
    </cfRule>
    <cfRule type="cellIs" priority="183" operator="equal" dxfId="2">
      <formula>"Revoque"</formula>
    </cfRule>
    <cfRule type="cellIs" priority="184" operator="equal" dxfId="2">
      <formula>"Demissionnaire"</formula>
    </cfRule>
    <cfRule type="cellIs" priority="185" operator="equal" dxfId="2">
      <formula>"Licenciement pour faute"</formula>
    </cfRule>
    <cfRule type="cellIs" priority="186" operator="equal" dxfId="2">
      <formula>"Licenciement pour faute grave"</formula>
    </cfRule>
    <cfRule type="cellIs" priority="187" operator="equal" dxfId="2">
      <formula>"Terminee - Echec"</formula>
    </cfRule>
    <cfRule type="cellIs" priority="188" operator="equal" dxfId="2">
      <formula>"Abandonnee"</formula>
    </cfRule>
    <cfRule type="cellIs" priority="189" operator="equal" dxfId="2">
      <formula>"Violence physique"</formula>
    </cfRule>
    <cfRule type="cellIs" priority="190" operator="equal" dxfId="2">
      <formula>"Violence verbale"</formula>
    </cfRule>
    <cfRule type="cellIs" priority="191" operator="equal" dxfId="2">
      <formula>"Fatal"</formula>
    </cfRule>
    <cfRule type="cellIs" priority="192" operator="equal" dxfId="2">
      <formula>"Non reconnue"</formula>
    </cfRule>
    <cfRule type="cellIs" priority="193" operator="equal" dxfId="2">
      <formula>"Inapte definitif"</formula>
    </cfRule>
    <cfRule type="cellIs" priority="194" operator="equal" dxfId="2">
      <formula>"Perdu / vole"</formula>
    </cfRule>
    <cfRule type="cellIs" priority="195" operator="equal" dxfId="2">
      <formula>"Rebute"</formula>
    </cfRule>
    <cfRule type="cellIs" priority="196" operator="equal" dxfId="2">
      <formula>"Obsolette"</formula>
    </cfRule>
    <cfRule type="cellIs" priority="197" operator="equal" dxfId="2">
      <formula>"Conteste"</formula>
    </cfRule>
    <cfRule type="cellIs" priority="198" operator="equal" dxfId="2">
      <formula>"Refusee"</formula>
    </cfRule>
    <cfRule type="cellIs" priority="199" operator="equal" dxfId="2">
      <formula>"Non retenu"</formula>
    </cfRule>
    <cfRule type="cellIs" priority="200" operator="equal" dxfId="2">
      <formula>"Non acquis"</formula>
    </cfRule>
    <cfRule type="cellIs" priority="201" operator="equal" dxfId="2">
      <formula>"Contrat termine"</formula>
    </cfRule>
    <cfRule type="cellIs" priority="202" operator="equal" dxfId="2">
      <formula>"Rapatrie"</formula>
    </cfRule>
    <cfRule type="cellIs" priority="203" operator="equal" dxfId="2">
      <formula>"Non conforme"</formula>
    </cfRule>
    <cfRule type="cellIs" priority="204" operator="equal" dxfId="2">
      <formula>"Abandonne"</formula>
    </cfRule>
    <cfRule type="cellIs" priority="205" operator="equal" dxfId="2">
      <formula>"Perdu"</formula>
    </cfRule>
    <cfRule type="cellIs" priority="206" operator="equal" dxfId="2">
      <formula>"Resilie"</formula>
    </cfRule>
    <cfRule type="cellIs" priority="207" operator="equal" dxfId="2">
      <formula>"Expire"</formula>
    </cfRule>
    <cfRule type="cellIs" priority="208" operator="equal" dxfId="2">
      <formula>"Incomplet"</formula>
    </cfRule>
    <cfRule type="cellIs" priority="209" operator="equal" dxfId="2">
      <formula>"Non restitue"</formula>
    </cfRule>
    <cfRule type="cellIs" priority="210" operator="equal" dxfId="2">
      <formula>"Perdu"</formula>
    </cfRule>
    <cfRule type="cellIs" priority="211" operator="equal" dxfId="2">
      <formula>"Secret"</formula>
    </cfRule>
  </conditionalFormatting>
  <conditionalFormatting sqref="B10:B109">
    <cfRule type="expression" priority="212" dxfId="3">
      <formula>AND($C10="",$C9&lt;&gt;"")</formula>
    </cfRule>
  </conditionalFormatting>
  <conditionalFormatting sqref="C10:C109">
    <cfRule type="expression" priority="213" dxfId="3">
      <formula>AND($C10="",$C9&lt;&gt;"")</formula>
    </cfRule>
  </conditionalFormatting>
  <conditionalFormatting sqref="D10:D109">
    <cfRule type="expression" priority="214" dxfId="3">
      <formula>AND($C10="",$C9&lt;&gt;"")</formula>
    </cfRule>
  </conditionalFormatting>
  <conditionalFormatting sqref="E10:E109">
    <cfRule type="expression" priority="215" dxfId="3">
      <formula>AND($C10="",$C9&lt;&gt;"")</formula>
    </cfRule>
  </conditionalFormatting>
  <conditionalFormatting sqref="F10:F109">
    <cfRule type="expression" priority="216" dxfId="3">
      <formula>AND($C10="",$C9&lt;&gt;"")</formula>
    </cfRule>
  </conditionalFormatting>
  <conditionalFormatting sqref="G10:G109">
    <cfRule type="expression" priority="217" dxfId="3">
      <formula>AND($C10="",$C9&lt;&gt;"")</formula>
    </cfRule>
  </conditionalFormatting>
  <conditionalFormatting sqref="H10:H109">
    <cfRule type="expression" priority="218" dxfId="3">
      <formula>AND($C10="",$C9&lt;&gt;"")</formula>
    </cfRule>
  </conditionalFormatting>
  <conditionalFormatting sqref="I10:I109">
    <cfRule type="expression" priority="219" dxfId="3">
      <formula>AND($C10="",$C9&lt;&gt;"")</formula>
    </cfRule>
  </conditionalFormatting>
  <conditionalFormatting sqref="J10:J109">
    <cfRule type="expression" priority="220" dxfId="3">
      <formula>AND($C10="",$C9&lt;&gt;"")</formula>
    </cfRule>
  </conditionalFormatting>
  <conditionalFormatting sqref="K10:K109">
    <cfRule type="expression" priority="221" dxfId="3">
      <formula>AND($C10="",$C9&lt;&gt;"")</formula>
    </cfRule>
  </conditionalFormatting>
  <dataValidations count="3">
    <dataValidation sqref="D5:D109" showDropDown="0" showInputMessage="0" showErrorMessage="0" allowBlank="1" errorTitle="Erreur" error="Valeur invalide" promptTitle="Liste" prompt="Choisir dans la liste" type="list">
      <formula1>'_Lists'!$D$2:$D$21</formula1>
    </dataValidation>
    <dataValidation sqref="E5:E109" showDropDown="0" showInputMessage="0" showErrorMessage="0" allowBlank="1" errorTitle="Erreur" error="Valeur invalide" promptTitle="Liste" prompt="Choisir dans la liste" type="list">
      <formula1>'_Lists'!$G$2:$G$6</formula1>
    </dataValidation>
    <dataValidation sqref="K5:K109" showDropDown="0" showInputMessage="0" showErrorMessage="0" allowBlank="1" errorTitle="Erreur" error="Valeur invalide" promptTitle="Liste" prompt="Choisir dans la liste" type="list">
      <formula1>'_Lists'!$F$2:$F$8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6" customWidth="1" min="4" max="4"/>
    <col width="28" customWidth="1" min="5" max="5"/>
    <col width="14" customWidth="1" min="6" max="6"/>
    <col width="22" customWidth="1" min="7" max="7"/>
    <col width="16" customWidth="1" min="8" max="8"/>
    <col width="16" customWidth="1" min="9" max="9"/>
    <col width="28" customWidth="1" min="10" max="10"/>
    <col width="14" customWidth="1" min="11" max="11"/>
  </cols>
  <sheetData>
    <row r="1" ht="15" customHeight="1"/>
    <row r="2" ht="32" customHeight="1">
      <c r="B2" s="1" t="inlineStr">
        <is>
          <t>SUIVI RÉTENTION DOCUMENTS (#132)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Type Document</t>
        </is>
      </c>
      <c r="D4" s="11" t="inlineStr">
        <is>
          <t>Categorie</t>
        </is>
      </c>
      <c r="E4" s="11" t="inlineStr">
        <is>
          <t>Duree Conservation</t>
        </is>
      </c>
      <c r="F4" s="11" t="inlineStr">
        <is>
          <t>Date Debut</t>
        </is>
      </c>
      <c r="G4" s="11" t="inlineStr">
        <is>
          <t>Date Fin Conservation</t>
        </is>
      </c>
      <c r="H4" s="11" t="inlineStr">
        <is>
          <t>Jours Restants</t>
        </is>
      </c>
      <c r="I4" s="11" t="inlineStr">
        <is>
          <t>Nb Exemplaires</t>
        </is>
      </c>
      <c r="J4" s="11" t="inlineStr">
        <is>
          <t>Action Prevue</t>
        </is>
      </c>
      <c r="K4" s="11" t="inlineStr">
        <is>
          <t>Statut</t>
        </is>
      </c>
    </row>
    <row r="5" ht="22" customHeight="1">
      <c r="B5" s="12" t="inlineStr">
        <is>
          <t>SRE-001</t>
        </is>
      </c>
      <c r="C5" s="12" t="inlineStr">
        <is>
          <t>Bulletin de paie</t>
        </is>
      </c>
      <c r="D5" s="12" t="inlineStr">
        <is>
          <t>Paie</t>
        </is>
      </c>
      <c r="E5" s="12" t="inlineStr">
        <is>
          <t>5 ans</t>
        </is>
      </c>
      <c r="F5" s="29" t="n">
        <v>43831</v>
      </c>
      <c r="G5" s="29" t="n">
        <v>46022</v>
      </c>
      <c r="H5" s="12" t="n"/>
      <c r="I5" s="18" t="n">
        <v>120</v>
      </c>
      <c r="J5" s="12" t="inlineStr">
        <is>
          <t>Destruction programmee</t>
        </is>
      </c>
      <c r="K5" s="12" t="inlineStr">
        <is>
          <t>En cours</t>
        </is>
      </c>
    </row>
    <row r="6" ht="22" customHeight="1">
      <c r="B6" s="14" t="inlineStr">
        <is>
          <t>SRE-002</t>
        </is>
      </c>
      <c r="C6" s="14" t="inlineStr">
        <is>
          <t>Contrat CDD Kamga</t>
        </is>
      </c>
      <c r="D6" s="14" t="inlineStr">
        <is>
          <t>Contrat travail</t>
        </is>
      </c>
      <c r="E6" s="14" t="inlineStr">
        <is>
          <t>Durée du contrat + 5 ans</t>
        </is>
      </c>
      <c r="F6" s="30" t="n">
        <v>45658</v>
      </c>
      <c r="G6" s="30" t="n">
        <v>47664</v>
      </c>
      <c r="H6" s="14" t="n"/>
      <c r="I6" s="19" t="n">
        <v>2</v>
      </c>
      <c r="J6" s="14" t="inlineStr">
        <is>
          <t>Conservation courante</t>
        </is>
      </c>
      <c r="K6" s="14" t="inlineStr">
        <is>
          <t>En cours</t>
        </is>
      </c>
    </row>
    <row r="7" ht="22" customHeight="1">
      <c r="B7" s="12" t="inlineStr">
        <is>
          <t>SRE-003</t>
        </is>
      </c>
      <c r="C7" s="12" t="inlineStr">
        <is>
          <t>Declarations CNPS 2020</t>
        </is>
      </c>
      <c r="D7" s="12" t="inlineStr">
        <is>
          <t>Formulaire CNPS</t>
        </is>
      </c>
      <c r="E7" s="12" t="inlineStr">
        <is>
          <t>10 ans</t>
        </is>
      </c>
      <c r="F7" s="29" t="n">
        <v>43831</v>
      </c>
      <c r="G7" s="29" t="n">
        <v>47848</v>
      </c>
      <c r="H7" s="12" t="n"/>
      <c r="I7" s="18" t="n">
        <v>24</v>
      </c>
      <c r="J7" s="12" t="inlineStr">
        <is>
          <t>Conservation courante</t>
        </is>
      </c>
      <c r="K7" s="12" t="inlineStr">
        <is>
          <t>En cours</t>
        </is>
      </c>
    </row>
    <row r="8" ht="22" customHeight="1">
      <c r="B8" s="14" t="inlineStr">
        <is>
          <t>SRE-004</t>
        </is>
      </c>
      <c r="C8" s="14" t="inlineStr">
        <is>
          <t>PV disciplinaire 2020</t>
        </is>
      </c>
      <c r="D8" s="14" t="inlineStr">
        <is>
          <t>Proces-verbal disciplinaire</t>
        </is>
      </c>
      <c r="E8" s="14" t="inlineStr">
        <is>
          <t>Durée du contrat + 5 ans</t>
        </is>
      </c>
      <c r="F8" s="30" t="n">
        <v>43905</v>
      </c>
      <c r="G8" s="30" t="n">
        <v>45731</v>
      </c>
      <c r="H8" s="14" t="n"/>
      <c r="I8" s="19" t="n">
        <v>3</v>
      </c>
      <c r="J8" s="14" t="inlineStr">
        <is>
          <t>Destruction programmee</t>
        </is>
      </c>
      <c r="K8" s="14" t="inlineStr">
        <is>
          <t>En cours</t>
        </is>
      </c>
    </row>
    <row r="9" ht="22" customHeight="1">
      <c r="B9" s="12" t="inlineStr">
        <is>
          <t>SRE-005</t>
        </is>
      </c>
      <c r="C9" s="12" t="inlineStr">
        <is>
          <t>Bilan social 2020</t>
        </is>
      </c>
      <c r="D9" s="12" t="inlineStr">
        <is>
          <t>Bilan social</t>
        </is>
      </c>
      <c r="E9" s="12" t="inlineStr">
        <is>
          <t>3 ans</t>
        </is>
      </c>
      <c r="F9" s="29" t="n">
        <v>44196</v>
      </c>
      <c r="G9" s="29" t="n">
        <v>45291</v>
      </c>
      <c r="H9" s="12" t="n"/>
      <c r="I9" s="18" t="n">
        <v>5</v>
      </c>
      <c r="J9" s="12" t="inlineStr">
        <is>
          <t>Destruction programmee</t>
        </is>
      </c>
      <c r="K9" s="12" t="inlineStr">
        <is>
          <t>A detruire</t>
        </is>
      </c>
    </row>
    <row r="10" ht="22" customHeight="1">
      <c r="B10" s="16">
        <f>IF(C10="","SRE-"&amp;TEXT(COUNTA($C$5:C10),"000"))</f>
        <v/>
      </c>
      <c r="C10" s="14" t="n"/>
      <c r="D10" s="14" t="n"/>
      <c r="E10" s="14" t="n"/>
      <c r="F10" s="30" t="n"/>
      <c r="G10" s="30" t="n"/>
      <c r="H10" s="14">
        <f>IF(OR(G10="",""),G10-TODAY())</f>
        <v/>
      </c>
      <c r="I10" s="19" t="n"/>
      <c r="J10" s="14" t="n"/>
      <c r="K10" s="14" t="n"/>
    </row>
    <row r="11" ht="22" customHeight="1">
      <c r="B11" s="17">
        <f>IF(C11="","SRE-"&amp;TEXT(COUNTA($C$5:C11),"000"))</f>
        <v/>
      </c>
      <c r="C11" s="12" t="n"/>
      <c r="D11" s="12" t="n"/>
      <c r="E11" s="12" t="n"/>
      <c r="F11" s="29" t="n"/>
      <c r="G11" s="29" t="n"/>
      <c r="H11" s="12">
        <f>IF(OR(G11="",""),G11-TODAY())</f>
        <v/>
      </c>
      <c r="I11" s="18" t="n"/>
      <c r="J11" s="12" t="n"/>
      <c r="K11" s="12" t="n"/>
    </row>
    <row r="12" ht="22" customHeight="1">
      <c r="B12" s="16">
        <f>IF(C12="","SRE-"&amp;TEXT(COUNTA($C$5:C12),"000"))</f>
        <v/>
      </c>
      <c r="C12" s="14" t="n"/>
      <c r="D12" s="14" t="n"/>
      <c r="E12" s="14" t="n"/>
      <c r="F12" s="30" t="n"/>
      <c r="G12" s="30" t="n"/>
      <c r="H12" s="14">
        <f>IF(OR(G12="",""),G12-TODAY())</f>
        <v/>
      </c>
      <c r="I12" s="19" t="n"/>
      <c r="J12" s="14" t="n"/>
      <c r="K12" s="14" t="n"/>
    </row>
    <row r="13" ht="22" customHeight="1">
      <c r="B13" s="17">
        <f>IF(C13="","SRE-"&amp;TEXT(COUNTA($C$5:C13),"000"))</f>
        <v/>
      </c>
      <c r="C13" s="12" t="n"/>
      <c r="D13" s="12" t="n"/>
      <c r="E13" s="12" t="n"/>
      <c r="F13" s="29" t="n"/>
      <c r="G13" s="29" t="n"/>
      <c r="H13" s="12">
        <f>IF(OR(G13="",""),G13-TODAY())</f>
        <v/>
      </c>
      <c r="I13" s="18" t="n"/>
      <c r="J13" s="12" t="n"/>
      <c r="K13" s="12" t="n"/>
    </row>
    <row r="14" ht="22" customHeight="1">
      <c r="B14" s="16">
        <f>IF(C14="","SRE-"&amp;TEXT(COUNTA($C$5:C14),"000"))</f>
        <v/>
      </c>
      <c r="C14" s="14" t="n"/>
      <c r="D14" s="14" t="n"/>
      <c r="E14" s="14" t="n"/>
      <c r="F14" s="30" t="n"/>
      <c r="G14" s="30" t="n"/>
      <c r="H14" s="14">
        <f>IF(OR(G14="",""),G14-TODAY())</f>
        <v/>
      </c>
      <c r="I14" s="19" t="n"/>
      <c r="J14" s="14" t="n"/>
      <c r="K14" s="14" t="n"/>
    </row>
    <row r="15" ht="22" customHeight="1">
      <c r="B15" s="17">
        <f>IF(C15="","SRE-"&amp;TEXT(COUNTA($C$5:C15),"000"))</f>
        <v/>
      </c>
      <c r="C15" s="12" t="n"/>
      <c r="D15" s="12" t="n"/>
      <c r="E15" s="12" t="n"/>
      <c r="F15" s="29" t="n"/>
      <c r="G15" s="29" t="n"/>
      <c r="H15" s="12">
        <f>IF(OR(G15="",""),G15-TODAY())</f>
        <v/>
      </c>
      <c r="I15" s="18" t="n"/>
      <c r="J15" s="12" t="n"/>
      <c r="K15" s="12" t="n"/>
    </row>
    <row r="16" ht="22" customHeight="1">
      <c r="B16" s="16">
        <f>IF(C16="","SRE-"&amp;TEXT(COUNTA($C$5:C16),"000"))</f>
        <v/>
      </c>
      <c r="C16" s="14" t="n"/>
      <c r="D16" s="14" t="n"/>
      <c r="E16" s="14" t="n"/>
      <c r="F16" s="30" t="n"/>
      <c r="G16" s="30" t="n"/>
      <c r="H16" s="14">
        <f>IF(OR(G16="",""),G16-TODAY())</f>
        <v/>
      </c>
      <c r="I16" s="19" t="n"/>
      <c r="J16" s="14" t="n"/>
      <c r="K16" s="14" t="n"/>
    </row>
    <row r="17" ht="22" customHeight="1">
      <c r="B17" s="17">
        <f>IF(C17="","SRE-"&amp;TEXT(COUNTA($C$5:C17),"000"))</f>
        <v/>
      </c>
      <c r="C17" s="12" t="n"/>
      <c r="D17" s="12" t="n"/>
      <c r="E17" s="12" t="n"/>
      <c r="F17" s="29" t="n"/>
      <c r="G17" s="29" t="n"/>
      <c r="H17" s="12">
        <f>IF(OR(G17="",""),G17-TODAY())</f>
        <v/>
      </c>
      <c r="I17" s="18" t="n"/>
      <c r="J17" s="12" t="n"/>
      <c r="K17" s="12" t="n"/>
    </row>
    <row r="18" ht="22" customHeight="1">
      <c r="B18" s="16">
        <f>IF(C18="","SRE-"&amp;TEXT(COUNTA($C$5:C18),"000"))</f>
        <v/>
      </c>
      <c r="C18" s="14" t="n"/>
      <c r="D18" s="14" t="n"/>
      <c r="E18" s="14" t="n"/>
      <c r="F18" s="30" t="n"/>
      <c r="G18" s="30" t="n"/>
      <c r="H18" s="14">
        <f>IF(OR(G18="",""),G18-TODAY())</f>
        <v/>
      </c>
      <c r="I18" s="19" t="n"/>
      <c r="J18" s="14" t="n"/>
      <c r="K18" s="14" t="n"/>
    </row>
    <row r="19" ht="22" customHeight="1">
      <c r="B19" s="17">
        <f>IF(C19="","SRE-"&amp;TEXT(COUNTA($C$5:C19),"000"))</f>
        <v/>
      </c>
      <c r="C19" s="12" t="n"/>
      <c r="D19" s="12" t="n"/>
      <c r="E19" s="12" t="n"/>
      <c r="F19" s="29" t="n"/>
      <c r="G19" s="29" t="n"/>
      <c r="H19" s="12">
        <f>IF(OR(G19="",""),G19-TODAY())</f>
        <v/>
      </c>
      <c r="I19" s="18" t="n"/>
      <c r="J19" s="12" t="n"/>
      <c r="K19" s="12" t="n"/>
    </row>
    <row r="20" ht="22" customHeight="1">
      <c r="B20" s="16">
        <f>IF(C20="","SRE-"&amp;TEXT(COUNTA($C$5:C20),"000"))</f>
        <v/>
      </c>
      <c r="C20" s="14" t="n"/>
      <c r="D20" s="14" t="n"/>
      <c r="E20" s="14" t="n"/>
      <c r="F20" s="30" t="n"/>
      <c r="G20" s="30" t="n"/>
      <c r="H20" s="14">
        <f>IF(OR(G20="",""),G20-TODAY())</f>
        <v/>
      </c>
      <c r="I20" s="19" t="n"/>
      <c r="J20" s="14" t="n"/>
      <c r="K20" s="14" t="n"/>
    </row>
    <row r="21" ht="22" customHeight="1">
      <c r="B21" s="17">
        <f>IF(C21="","SRE-"&amp;TEXT(COUNTA($C$5:C21),"000"))</f>
        <v/>
      </c>
      <c r="C21" s="12" t="n"/>
      <c r="D21" s="12" t="n"/>
      <c r="E21" s="12" t="n"/>
      <c r="F21" s="29" t="n"/>
      <c r="G21" s="29" t="n"/>
      <c r="H21" s="12">
        <f>IF(OR(G21="",""),G21-TODAY())</f>
        <v/>
      </c>
      <c r="I21" s="18" t="n"/>
      <c r="J21" s="12" t="n"/>
      <c r="K21" s="12" t="n"/>
    </row>
    <row r="22" ht="22" customHeight="1">
      <c r="B22" s="16">
        <f>IF(C22="","SRE-"&amp;TEXT(COUNTA($C$5:C22),"000"))</f>
        <v/>
      </c>
      <c r="C22" s="14" t="n"/>
      <c r="D22" s="14" t="n"/>
      <c r="E22" s="14" t="n"/>
      <c r="F22" s="30" t="n"/>
      <c r="G22" s="30" t="n"/>
      <c r="H22" s="14">
        <f>IF(OR(G22="",""),G22-TODAY())</f>
        <v/>
      </c>
      <c r="I22" s="19" t="n"/>
      <c r="J22" s="14" t="n"/>
      <c r="K22" s="14" t="n"/>
    </row>
    <row r="23" ht="22" customHeight="1">
      <c r="B23" s="17">
        <f>IF(C23="","SRE-"&amp;TEXT(COUNTA($C$5:C23),"000"))</f>
        <v/>
      </c>
      <c r="C23" s="12" t="n"/>
      <c r="D23" s="12" t="n"/>
      <c r="E23" s="12" t="n"/>
      <c r="F23" s="29" t="n"/>
      <c r="G23" s="29" t="n"/>
      <c r="H23" s="12">
        <f>IF(OR(G23="",""),G23-TODAY())</f>
        <v/>
      </c>
      <c r="I23" s="18" t="n"/>
      <c r="J23" s="12" t="n"/>
      <c r="K23" s="12" t="n"/>
    </row>
    <row r="24" ht="22" customHeight="1">
      <c r="B24" s="16">
        <f>IF(C24="","SRE-"&amp;TEXT(COUNTA($C$5:C24),"000"))</f>
        <v/>
      </c>
      <c r="C24" s="14" t="n"/>
      <c r="D24" s="14" t="n"/>
      <c r="E24" s="14" t="n"/>
      <c r="F24" s="30" t="n"/>
      <c r="G24" s="30" t="n"/>
      <c r="H24" s="14">
        <f>IF(OR(G24="",""),G24-TODAY())</f>
        <v/>
      </c>
      <c r="I24" s="19" t="n"/>
      <c r="J24" s="14" t="n"/>
      <c r="K24" s="14" t="n"/>
    </row>
    <row r="25" ht="22" customHeight="1">
      <c r="B25" s="17">
        <f>IF(C25="","SRE-"&amp;TEXT(COUNTA($C$5:C25),"000"))</f>
        <v/>
      </c>
      <c r="C25" s="12" t="n"/>
      <c r="D25" s="12" t="n"/>
      <c r="E25" s="12" t="n"/>
      <c r="F25" s="29" t="n"/>
      <c r="G25" s="29" t="n"/>
      <c r="H25" s="12">
        <f>IF(OR(G25="",""),G25-TODAY())</f>
        <v/>
      </c>
      <c r="I25" s="18" t="n"/>
      <c r="J25" s="12" t="n"/>
      <c r="K25" s="12" t="n"/>
    </row>
    <row r="26" ht="22" customHeight="1">
      <c r="B26" s="16">
        <f>IF(C26="","SRE-"&amp;TEXT(COUNTA($C$5:C26),"000"))</f>
        <v/>
      </c>
      <c r="C26" s="14" t="n"/>
      <c r="D26" s="14" t="n"/>
      <c r="E26" s="14" t="n"/>
      <c r="F26" s="30" t="n"/>
      <c r="G26" s="30" t="n"/>
      <c r="H26" s="14">
        <f>IF(OR(G26="",""),G26-TODAY())</f>
        <v/>
      </c>
      <c r="I26" s="19" t="n"/>
      <c r="J26" s="14" t="n"/>
      <c r="K26" s="14" t="n"/>
    </row>
    <row r="27" ht="22" customHeight="1">
      <c r="B27" s="17">
        <f>IF(C27="","SRE-"&amp;TEXT(COUNTA($C$5:C27),"000"))</f>
        <v/>
      </c>
      <c r="C27" s="12" t="n"/>
      <c r="D27" s="12" t="n"/>
      <c r="E27" s="12" t="n"/>
      <c r="F27" s="29" t="n"/>
      <c r="G27" s="29" t="n"/>
      <c r="H27" s="12">
        <f>IF(OR(G27="",""),G27-TODAY())</f>
        <v/>
      </c>
      <c r="I27" s="18" t="n"/>
      <c r="J27" s="12" t="n"/>
      <c r="K27" s="12" t="n"/>
    </row>
    <row r="28" ht="22" customHeight="1">
      <c r="B28" s="16">
        <f>IF(C28="","SRE-"&amp;TEXT(COUNTA($C$5:C28),"000"))</f>
        <v/>
      </c>
      <c r="C28" s="14" t="n"/>
      <c r="D28" s="14" t="n"/>
      <c r="E28" s="14" t="n"/>
      <c r="F28" s="30" t="n"/>
      <c r="G28" s="30" t="n"/>
      <c r="H28" s="14">
        <f>IF(OR(G28="",""),G28-TODAY())</f>
        <v/>
      </c>
      <c r="I28" s="19" t="n"/>
      <c r="J28" s="14" t="n"/>
      <c r="K28" s="14" t="n"/>
    </row>
    <row r="29" ht="22" customHeight="1">
      <c r="B29" s="17">
        <f>IF(C29="","SRE-"&amp;TEXT(COUNTA($C$5:C29),"000"))</f>
        <v/>
      </c>
      <c r="C29" s="12" t="n"/>
      <c r="D29" s="12" t="n"/>
      <c r="E29" s="12" t="n"/>
      <c r="F29" s="29" t="n"/>
      <c r="G29" s="29" t="n"/>
      <c r="H29" s="12">
        <f>IF(OR(G29="",""),G29-TODAY())</f>
        <v/>
      </c>
      <c r="I29" s="18" t="n"/>
      <c r="J29" s="12" t="n"/>
      <c r="K29" s="12" t="n"/>
    </row>
    <row r="30" ht="22" customHeight="1">
      <c r="B30" s="16">
        <f>IF(C30="","SRE-"&amp;TEXT(COUNTA($C$5:C30),"000"))</f>
        <v/>
      </c>
      <c r="C30" s="14" t="n"/>
      <c r="D30" s="14" t="n"/>
      <c r="E30" s="14" t="n"/>
      <c r="F30" s="30" t="n"/>
      <c r="G30" s="30" t="n"/>
      <c r="H30" s="14">
        <f>IF(OR(G30="",""),G30-TODAY())</f>
        <v/>
      </c>
      <c r="I30" s="19" t="n"/>
      <c r="J30" s="14" t="n"/>
      <c r="K30" s="14" t="n"/>
    </row>
    <row r="31" ht="22" customHeight="1">
      <c r="B31" s="17">
        <f>IF(C31="","SRE-"&amp;TEXT(COUNTA($C$5:C31),"000"))</f>
        <v/>
      </c>
      <c r="C31" s="12" t="n"/>
      <c r="D31" s="12" t="n"/>
      <c r="E31" s="12" t="n"/>
      <c r="F31" s="29" t="n"/>
      <c r="G31" s="29" t="n"/>
      <c r="H31" s="12">
        <f>IF(OR(G31="",""),G31-TODAY())</f>
        <v/>
      </c>
      <c r="I31" s="18" t="n"/>
      <c r="J31" s="12" t="n"/>
      <c r="K31" s="12" t="n"/>
    </row>
    <row r="32" ht="22" customHeight="1">
      <c r="B32" s="16">
        <f>IF(C32="","SRE-"&amp;TEXT(COUNTA($C$5:C32),"000"))</f>
        <v/>
      </c>
      <c r="C32" s="14" t="n"/>
      <c r="D32" s="14" t="n"/>
      <c r="E32" s="14" t="n"/>
      <c r="F32" s="30" t="n"/>
      <c r="G32" s="30" t="n"/>
      <c r="H32" s="14">
        <f>IF(OR(G32="",""),G32-TODAY())</f>
        <v/>
      </c>
      <c r="I32" s="19" t="n"/>
      <c r="J32" s="14" t="n"/>
      <c r="K32" s="14" t="n"/>
    </row>
    <row r="33" ht="22" customHeight="1">
      <c r="B33" s="17">
        <f>IF(C33="","SRE-"&amp;TEXT(COUNTA($C$5:C33),"000"))</f>
        <v/>
      </c>
      <c r="C33" s="12" t="n"/>
      <c r="D33" s="12" t="n"/>
      <c r="E33" s="12" t="n"/>
      <c r="F33" s="29" t="n"/>
      <c r="G33" s="29" t="n"/>
      <c r="H33" s="12">
        <f>IF(OR(G33="",""),G33-TODAY())</f>
        <v/>
      </c>
      <c r="I33" s="18" t="n"/>
      <c r="J33" s="12" t="n"/>
      <c r="K33" s="12" t="n"/>
    </row>
    <row r="34" ht="22" customHeight="1">
      <c r="B34" s="16">
        <f>IF(C34="","SRE-"&amp;TEXT(COUNTA($C$5:C34),"000"))</f>
        <v/>
      </c>
      <c r="C34" s="14" t="n"/>
      <c r="D34" s="14" t="n"/>
      <c r="E34" s="14" t="n"/>
      <c r="F34" s="30" t="n"/>
      <c r="G34" s="30" t="n"/>
      <c r="H34" s="14">
        <f>IF(OR(G34="",""),G34-TODAY())</f>
        <v/>
      </c>
      <c r="I34" s="19" t="n"/>
      <c r="J34" s="14" t="n"/>
      <c r="K34" s="14" t="n"/>
    </row>
    <row r="35" ht="22" customHeight="1">
      <c r="B35" s="17">
        <f>IF(C35="","SRE-"&amp;TEXT(COUNTA($C$5:C35),"000"))</f>
        <v/>
      </c>
      <c r="C35" s="12" t="n"/>
      <c r="D35" s="12" t="n"/>
      <c r="E35" s="12" t="n"/>
      <c r="F35" s="29" t="n"/>
      <c r="G35" s="29" t="n"/>
      <c r="H35" s="12">
        <f>IF(OR(G35="",""),G35-TODAY())</f>
        <v/>
      </c>
      <c r="I35" s="18" t="n"/>
      <c r="J35" s="12" t="n"/>
      <c r="K35" s="12" t="n"/>
    </row>
    <row r="36" ht="22" customHeight="1">
      <c r="B36" s="16">
        <f>IF(C36="","SRE-"&amp;TEXT(COUNTA($C$5:C36),"000"))</f>
        <v/>
      </c>
      <c r="C36" s="14" t="n"/>
      <c r="D36" s="14" t="n"/>
      <c r="E36" s="14" t="n"/>
      <c r="F36" s="30" t="n"/>
      <c r="G36" s="30" t="n"/>
      <c r="H36" s="14">
        <f>IF(OR(G36="",""),G36-TODAY())</f>
        <v/>
      </c>
      <c r="I36" s="19" t="n"/>
      <c r="J36" s="14" t="n"/>
      <c r="K36" s="14" t="n"/>
    </row>
    <row r="37" ht="22" customHeight="1">
      <c r="B37" s="17">
        <f>IF(C37="","SRE-"&amp;TEXT(COUNTA($C$5:C37),"000"))</f>
        <v/>
      </c>
      <c r="C37" s="12" t="n"/>
      <c r="D37" s="12" t="n"/>
      <c r="E37" s="12" t="n"/>
      <c r="F37" s="29" t="n"/>
      <c r="G37" s="29" t="n"/>
      <c r="H37" s="12">
        <f>IF(OR(G37="",""),G37-TODAY())</f>
        <v/>
      </c>
      <c r="I37" s="18" t="n"/>
      <c r="J37" s="12" t="n"/>
      <c r="K37" s="12" t="n"/>
    </row>
    <row r="38" ht="22" customHeight="1">
      <c r="B38" s="16">
        <f>IF(C38="","SRE-"&amp;TEXT(COUNTA($C$5:C38),"000"))</f>
        <v/>
      </c>
      <c r="C38" s="14" t="n"/>
      <c r="D38" s="14" t="n"/>
      <c r="E38" s="14" t="n"/>
      <c r="F38" s="30" t="n"/>
      <c r="G38" s="30" t="n"/>
      <c r="H38" s="14">
        <f>IF(OR(G38="",""),G38-TODAY())</f>
        <v/>
      </c>
      <c r="I38" s="19" t="n"/>
      <c r="J38" s="14" t="n"/>
      <c r="K38" s="14" t="n"/>
    </row>
    <row r="39" ht="22" customHeight="1">
      <c r="B39" s="17">
        <f>IF(C39="","SRE-"&amp;TEXT(COUNTA($C$5:C39),"000"))</f>
        <v/>
      </c>
      <c r="C39" s="12" t="n"/>
      <c r="D39" s="12" t="n"/>
      <c r="E39" s="12" t="n"/>
      <c r="F39" s="29" t="n"/>
      <c r="G39" s="29" t="n"/>
      <c r="H39" s="12">
        <f>IF(OR(G39="",""),G39-TODAY())</f>
        <v/>
      </c>
      <c r="I39" s="18" t="n"/>
      <c r="J39" s="12" t="n"/>
      <c r="K39" s="12" t="n"/>
    </row>
    <row r="40" ht="22" customHeight="1">
      <c r="B40" s="16">
        <f>IF(C40="","SRE-"&amp;TEXT(COUNTA($C$5:C40),"000"))</f>
        <v/>
      </c>
      <c r="C40" s="14" t="n"/>
      <c r="D40" s="14" t="n"/>
      <c r="E40" s="14" t="n"/>
      <c r="F40" s="30" t="n"/>
      <c r="G40" s="30" t="n"/>
      <c r="H40" s="14">
        <f>IF(OR(G40="",""),G40-TODAY())</f>
        <v/>
      </c>
      <c r="I40" s="19" t="n"/>
      <c r="J40" s="14" t="n"/>
      <c r="K40" s="14" t="n"/>
    </row>
    <row r="41" ht="22" customHeight="1">
      <c r="B41" s="17">
        <f>IF(C41="","SRE-"&amp;TEXT(COUNTA($C$5:C41),"000"))</f>
        <v/>
      </c>
      <c r="C41" s="12" t="n"/>
      <c r="D41" s="12" t="n"/>
      <c r="E41" s="12" t="n"/>
      <c r="F41" s="29" t="n"/>
      <c r="G41" s="29" t="n"/>
      <c r="H41" s="12">
        <f>IF(OR(G41="",""),G41-TODAY())</f>
        <v/>
      </c>
      <c r="I41" s="18" t="n"/>
      <c r="J41" s="12" t="n"/>
      <c r="K41" s="12" t="n"/>
    </row>
    <row r="42" ht="22" customHeight="1">
      <c r="B42" s="16">
        <f>IF(C42="","SRE-"&amp;TEXT(COUNTA($C$5:C42),"000"))</f>
        <v/>
      </c>
      <c r="C42" s="14" t="n"/>
      <c r="D42" s="14" t="n"/>
      <c r="E42" s="14" t="n"/>
      <c r="F42" s="30" t="n"/>
      <c r="G42" s="30" t="n"/>
      <c r="H42" s="14">
        <f>IF(OR(G42="",""),G42-TODAY())</f>
        <v/>
      </c>
      <c r="I42" s="19" t="n"/>
      <c r="J42" s="14" t="n"/>
      <c r="K42" s="14" t="n"/>
    </row>
    <row r="43" ht="22" customHeight="1">
      <c r="B43" s="17">
        <f>IF(C43="","SRE-"&amp;TEXT(COUNTA($C$5:C43),"000"))</f>
        <v/>
      </c>
      <c r="C43" s="12" t="n"/>
      <c r="D43" s="12" t="n"/>
      <c r="E43" s="12" t="n"/>
      <c r="F43" s="29" t="n"/>
      <c r="G43" s="29" t="n"/>
      <c r="H43" s="12">
        <f>IF(OR(G43="",""),G43-TODAY())</f>
        <v/>
      </c>
      <c r="I43" s="18" t="n"/>
      <c r="J43" s="12" t="n"/>
      <c r="K43" s="12" t="n"/>
    </row>
    <row r="44" ht="22" customHeight="1">
      <c r="B44" s="16">
        <f>IF(C44="","SRE-"&amp;TEXT(COUNTA($C$5:C44),"000"))</f>
        <v/>
      </c>
      <c r="C44" s="14" t="n"/>
      <c r="D44" s="14" t="n"/>
      <c r="E44" s="14" t="n"/>
      <c r="F44" s="30" t="n"/>
      <c r="G44" s="30" t="n"/>
      <c r="H44" s="14">
        <f>IF(OR(G44="",""),G44-TODAY())</f>
        <v/>
      </c>
      <c r="I44" s="19" t="n"/>
      <c r="J44" s="14" t="n"/>
      <c r="K44" s="14" t="n"/>
    </row>
    <row r="45" ht="22" customHeight="1">
      <c r="B45" s="17">
        <f>IF(C45="","SRE-"&amp;TEXT(COUNTA($C$5:C45),"000"))</f>
        <v/>
      </c>
      <c r="C45" s="12" t="n"/>
      <c r="D45" s="12" t="n"/>
      <c r="E45" s="12" t="n"/>
      <c r="F45" s="29" t="n"/>
      <c r="G45" s="29" t="n"/>
      <c r="H45" s="12">
        <f>IF(OR(G45="",""),G45-TODAY())</f>
        <v/>
      </c>
      <c r="I45" s="18" t="n"/>
      <c r="J45" s="12" t="n"/>
      <c r="K45" s="12" t="n"/>
    </row>
    <row r="46" ht="22" customHeight="1">
      <c r="B46" s="16">
        <f>IF(C46="","SRE-"&amp;TEXT(COUNTA($C$5:C46),"000"))</f>
        <v/>
      </c>
      <c r="C46" s="14" t="n"/>
      <c r="D46" s="14" t="n"/>
      <c r="E46" s="14" t="n"/>
      <c r="F46" s="30" t="n"/>
      <c r="G46" s="30" t="n"/>
      <c r="H46" s="14">
        <f>IF(OR(G46="",""),G46-TODAY())</f>
        <v/>
      </c>
      <c r="I46" s="19" t="n"/>
      <c r="J46" s="14" t="n"/>
      <c r="K46" s="14" t="n"/>
    </row>
    <row r="47" ht="22" customHeight="1">
      <c r="B47" s="17">
        <f>IF(C47="","SRE-"&amp;TEXT(COUNTA($C$5:C47),"000"))</f>
        <v/>
      </c>
      <c r="C47" s="12" t="n"/>
      <c r="D47" s="12" t="n"/>
      <c r="E47" s="12" t="n"/>
      <c r="F47" s="29" t="n"/>
      <c r="G47" s="29" t="n"/>
      <c r="H47" s="12">
        <f>IF(OR(G47="",""),G47-TODAY())</f>
        <v/>
      </c>
      <c r="I47" s="18" t="n"/>
      <c r="J47" s="12" t="n"/>
      <c r="K47" s="12" t="n"/>
    </row>
    <row r="48" ht="22" customHeight="1">
      <c r="B48" s="16">
        <f>IF(C48="","SRE-"&amp;TEXT(COUNTA($C$5:C48),"000"))</f>
        <v/>
      </c>
      <c r="C48" s="14" t="n"/>
      <c r="D48" s="14" t="n"/>
      <c r="E48" s="14" t="n"/>
      <c r="F48" s="30" t="n"/>
      <c r="G48" s="30" t="n"/>
      <c r="H48" s="14">
        <f>IF(OR(G48="",""),G48-TODAY())</f>
        <v/>
      </c>
      <c r="I48" s="19" t="n"/>
      <c r="J48" s="14" t="n"/>
      <c r="K48" s="14" t="n"/>
    </row>
    <row r="49" ht="22" customHeight="1">
      <c r="B49" s="17">
        <f>IF(C49="","SRE-"&amp;TEXT(COUNTA($C$5:C49),"000"))</f>
        <v/>
      </c>
      <c r="C49" s="12" t="n"/>
      <c r="D49" s="12" t="n"/>
      <c r="E49" s="12" t="n"/>
      <c r="F49" s="29" t="n"/>
      <c r="G49" s="29" t="n"/>
      <c r="H49" s="12">
        <f>IF(OR(G49="",""),G49-TODAY())</f>
        <v/>
      </c>
      <c r="I49" s="18" t="n"/>
      <c r="J49" s="12" t="n"/>
      <c r="K49" s="12" t="n"/>
    </row>
    <row r="50" ht="22" customHeight="1">
      <c r="B50" s="16">
        <f>IF(C50="","SRE-"&amp;TEXT(COUNTA($C$5:C50),"000"))</f>
        <v/>
      </c>
      <c r="C50" s="14" t="n"/>
      <c r="D50" s="14" t="n"/>
      <c r="E50" s="14" t="n"/>
      <c r="F50" s="30" t="n"/>
      <c r="G50" s="30" t="n"/>
      <c r="H50" s="14">
        <f>IF(OR(G50="",""),G50-TODAY())</f>
        <v/>
      </c>
      <c r="I50" s="19" t="n"/>
      <c r="J50" s="14" t="n"/>
      <c r="K50" s="14" t="n"/>
    </row>
    <row r="51" ht="22" customHeight="1">
      <c r="B51" s="17">
        <f>IF(C51="","SRE-"&amp;TEXT(COUNTA($C$5:C51),"000"))</f>
        <v/>
      </c>
      <c r="C51" s="12" t="n"/>
      <c r="D51" s="12" t="n"/>
      <c r="E51" s="12" t="n"/>
      <c r="F51" s="29" t="n"/>
      <c r="G51" s="29" t="n"/>
      <c r="H51" s="12">
        <f>IF(OR(G51="",""),G51-TODAY())</f>
        <v/>
      </c>
      <c r="I51" s="18" t="n"/>
      <c r="J51" s="12" t="n"/>
      <c r="K51" s="12" t="n"/>
    </row>
    <row r="52" ht="22" customHeight="1">
      <c r="B52" s="16">
        <f>IF(C52="","SRE-"&amp;TEXT(COUNTA($C$5:C52),"000"))</f>
        <v/>
      </c>
      <c r="C52" s="14" t="n"/>
      <c r="D52" s="14" t="n"/>
      <c r="E52" s="14" t="n"/>
      <c r="F52" s="30" t="n"/>
      <c r="G52" s="30" t="n"/>
      <c r="H52" s="14">
        <f>IF(OR(G52="",""),G52-TODAY())</f>
        <v/>
      </c>
      <c r="I52" s="19" t="n"/>
      <c r="J52" s="14" t="n"/>
      <c r="K52" s="14" t="n"/>
    </row>
    <row r="53" ht="22" customHeight="1">
      <c r="B53" s="17">
        <f>IF(C53="","SRE-"&amp;TEXT(COUNTA($C$5:C53),"000"))</f>
        <v/>
      </c>
      <c r="C53" s="12" t="n"/>
      <c r="D53" s="12" t="n"/>
      <c r="E53" s="12" t="n"/>
      <c r="F53" s="29" t="n"/>
      <c r="G53" s="29" t="n"/>
      <c r="H53" s="12">
        <f>IF(OR(G53="",""),G53-TODAY())</f>
        <v/>
      </c>
      <c r="I53" s="18" t="n"/>
      <c r="J53" s="12" t="n"/>
      <c r="K53" s="12" t="n"/>
    </row>
    <row r="54" ht="22" customHeight="1">
      <c r="B54" s="16">
        <f>IF(C54="","SRE-"&amp;TEXT(COUNTA($C$5:C54),"000"))</f>
        <v/>
      </c>
      <c r="C54" s="14" t="n"/>
      <c r="D54" s="14" t="n"/>
      <c r="E54" s="14" t="n"/>
      <c r="F54" s="30" t="n"/>
      <c r="G54" s="30" t="n"/>
      <c r="H54" s="14">
        <f>IF(OR(G54="",""),G54-TODAY())</f>
        <v/>
      </c>
      <c r="I54" s="19" t="n"/>
      <c r="J54" s="14" t="n"/>
      <c r="K54" s="14" t="n"/>
    </row>
    <row r="55" ht="22" customHeight="1">
      <c r="B55" s="17">
        <f>IF(C55="","SRE-"&amp;TEXT(COUNTA($C$5:C55),"000"))</f>
        <v/>
      </c>
      <c r="C55" s="12" t="n"/>
      <c r="D55" s="12" t="n"/>
      <c r="E55" s="12" t="n"/>
      <c r="F55" s="29" t="n"/>
      <c r="G55" s="29" t="n"/>
      <c r="H55" s="12">
        <f>IF(OR(G55="",""),G55-TODAY())</f>
        <v/>
      </c>
      <c r="I55" s="18" t="n"/>
      <c r="J55" s="12" t="n"/>
      <c r="K55" s="12" t="n"/>
    </row>
    <row r="56" ht="22" customHeight="1">
      <c r="B56" s="16">
        <f>IF(C56="","SRE-"&amp;TEXT(COUNTA($C$5:C56),"000"))</f>
        <v/>
      </c>
      <c r="C56" s="14" t="n"/>
      <c r="D56" s="14" t="n"/>
      <c r="E56" s="14" t="n"/>
      <c r="F56" s="30" t="n"/>
      <c r="G56" s="30" t="n"/>
      <c r="H56" s="14">
        <f>IF(OR(G56="",""),G56-TODAY())</f>
        <v/>
      </c>
      <c r="I56" s="19" t="n"/>
      <c r="J56" s="14" t="n"/>
      <c r="K56" s="14" t="n"/>
    </row>
    <row r="57" ht="22" customHeight="1">
      <c r="B57" s="17">
        <f>IF(C57="","SRE-"&amp;TEXT(COUNTA($C$5:C57),"000"))</f>
        <v/>
      </c>
      <c r="C57" s="12" t="n"/>
      <c r="D57" s="12" t="n"/>
      <c r="E57" s="12" t="n"/>
      <c r="F57" s="29" t="n"/>
      <c r="G57" s="29" t="n"/>
      <c r="H57" s="12">
        <f>IF(OR(G57="",""),G57-TODAY())</f>
        <v/>
      </c>
      <c r="I57" s="18" t="n"/>
      <c r="J57" s="12" t="n"/>
      <c r="K57" s="12" t="n"/>
    </row>
    <row r="58" ht="22" customHeight="1">
      <c r="B58" s="16">
        <f>IF(C58="","SRE-"&amp;TEXT(COUNTA($C$5:C58),"000"))</f>
        <v/>
      </c>
      <c r="C58" s="14" t="n"/>
      <c r="D58" s="14" t="n"/>
      <c r="E58" s="14" t="n"/>
      <c r="F58" s="30" t="n"/>
      <c r="G58" s="30" t="n"/>
      <c r="H58" s="14">
        <f>IF(OR(G58="",""),G58-TODAY())</f>
        <v/>
      </c>
      <c r="I58" s="19" t="n"/>
      <c r="J58" s="14" t="n"/>
      <c r="K58" s="14" t="n"/>
    </row>
    <row r="59" ht="22" customHeight="1">
      <c r="B59" s="17">
        <f>IF(C59="","SRE-"&amp;TEXT(COUNTA($C$5:C59),"000"))</f>
        <v/>
      </c>
      <c r="C59" s="12" t="n"/>
      <c r="D59" s="12" t="n"/>
      <c r="E59" s="12" t="n"/>
      <c r="F59" s="29" t="n"/>
      <c r="G59" s="29" t="n"/>
      <c r="H59" s="12">
        <f>IF(OR(G59="",""),G59-TODAY())</f>
        <v/>
      </c>
      <c r="I59" s="18" t="n"/>
      <c r="J59" s="12" t="n"/>
      <c r="K59" s="12" t="n"/>
    </row>
    <row r="60" ht="22" customHeight="1">
      <c r="B60" s="16">
        <f>IF(C60="","SRE-"&amp;TEXT(COUNTA($C$5:C60),"000"))</f>
        <v/>
      </c>
      <c r="C60" s="14" t="n"/>
      <c r="D60" s="14" t="n"/>
      <c r="E60" s="14" t="n"/>
      <c r="F60" s="30" t="n"/>
      <c r="G60" s="30" t="n"/>
      <c r="H60" s="14">
        <f>IF(OR(G60="",""),G60-TODAY())</f>
        <v/>
      </c>
      <c r="I60" s="19" t="n"/>
      <c r="J60" s="14" t="n"/>
      <c r="K60" s="14" t="n"/>
    </row>
    <row r="61" ht="22" customHeight="1">
      <c r="B61" s="17">
        <f>IF(C61="","SRE-"&amp;TEXT(COUNTA($C$5:C61),"000"))</f>
        <v/>
      </c>
      <c r="C61" s="12" t="n"/>
      <c r="D61" s="12" t="n"/>
      <c r="E61" s="12" t="n"/>
      <c r="F61" s="29" t="n"/>
      <c r="G61" s="29" t="n"/>
      <c r="H61" s="12">
        <f>IF(OR(G61="",""),G61-TODAY())</f>
        <v/>
      </c>
      <c r="I61" s="18" t="n"/>
      <c r="J61" s="12" t="n"/>
      <c r="K61" s="12" t="n"/>
    </row>
    <row r="62" ht="22" customHeight="1">
      <c r="B62" s="16">
        <f>IF(C62="","SRE-"&amp;TEXT(COUNTA($C$5:C62),"000"))</f>
        <v/>
      </c>
      <c r="C62" s="14" t="n"/>
      <c r="D62" s="14" t="n"/>
      <c r="E62" s="14" t="n"/>
      <c r="F62" s="30" t="n"/>
      <c r="G62" s="30" t="n"/>
      <c r="H62" s="14">
        <f>IF(OR(G62="",""),G62-TODAY())</f>
        <v/>
      </c>
      <c r="I62" s="19" t="n"/>
      <c r="J62" s="14" t="n"/>
      <c r="K62" s="14" t="n"/>
    </row>
    <row r="63" ht="22" customHeight="1">
      <c r="B63" s="17">
        <f>IF(C63="","SRE-"&amp;TEXT(COUNTA($C$5:C63),"000"))</f>
        <v/>
      </c>
      <c r="C63" s="12" t="n"/>
      <c r="D63" s="12" t="n"/>
      <c r="E63" s="12" t="n"/>
      <c r="F63" s="29" t="n"/>
      <c r="G63" s="29" t="n"/>
      <c r="H63" s="12">
        <f>IF(OR(G63="",""),G63-TODAY())</f>
        <v/>
      </c>
      <c r="I63" s="18" t="n"/>
      <c r="J63" s="12" t="n"/>
      <c r="K63" s="12" t="n"/>
    </row>
    <row r="64" ht="22" customHeight="1">
      <c r="B64" s="16">
        <f>IF(C64="","SRE-"&amp;TEXT(COUNTA($C$5:C64),"000"))</f>
        <v/>
      </c>
      <c r="C64" s="14" t="n"/>
      <c r="D64" s="14" t="n"/>
      <c r="E64" s="14" t="n"/>
      <c r="F64" s="30" t="n"/>
      <c r="G64" s="30" t="n"/>
      <c r="H64" s="14">
        <f>IF(OR(G64="",""),G64-TODAY())</f>
        <v/>
      </c>
      <c r="I64" s="19" t="n"/>
      <c r="J64" s="14" t="n"/>
      <c r="K64" s="14" t="n"/>
    </row>
    <row r="65" ht="22" customHeight="1">
      <c r="B65" s="17">
        <f>IF(C65="","SRE-"&amp;TEXT(COUNTA($C$5:C65),"000"))</f>
        <v/>
      </c>
      <c r="C65" s="12" t="n"/>
      <c r="D65" s="12" t="n"/>
      <c r="E65" s="12" t="n"/>
      <c r="F65" s="29" t="n"/>
      <c r="G65" s="29" t="n"/>
      <c r="H65" s="12">
        <f>IF(OR(G65="",""),G65-TODAY())</f>
        <v/>
      </c>
      <c r="I65" s="18" t="n"/>
      <c r="J65" s="12" t="n"/>
      <c r="K65" s="12" t="n"/>
    </row>
    <row r="66" ht="22" customHeight="1">
      <c r="B66" s="16">
        <f>IF(C66="","SRE-"&amp;TEXT(COUNTA($C$5:C66),"000"))</f>
        <v/>
      </c>
      <c r="C66" s="14" t="n"/>
      <c r="D66" s="14" t="n"/>
      <c r="E66" s="14" t="n"/>
      <c r="F66" s="30" t="n"/>
      <c r="G66" s="30" t="n"/>
      <c r="H66" s="14">
        <f>IF(OR(G66="",""),G66-TODAY())</f>
        <v/>
      </c>
      <c r="I66" s="19" t="n"/>
      <c r="J66" s="14" t="n"/>
      <c r="K66" s="14" t="n"/>
    </row>
    <row r="67" ht="22" customHeight="1">
      <c r="B67" s="17">
        <f>IF(C67="","SRE-"&amp;TEXT(COUNTA($C$5:C67),"000"))</f>
        <v/>
      </c>
      <c r="C67" s="12" t="n"/>
      <c r="D67" s="12" t="n"/>
      <c r="E67" s="12" t="n"/>
      <c r="F67" s="29" t="n"/>
      <c r="G67" s="29" t="n"/>
      <c r="H67" s="12">
        <f>IF(OR(G67="",""),G67-TODAY())</f>
        <v/>
      </c>
      <c r="I67" s="18" t="n"/>
      <c r="J67" s="12" t="n"/>
      <c r="K67" s="12" t="n"/>
    </row>
    <row r="68" ht="22" customHeight="1">
      <c r="B68" s="16">
        <f>IF(C68="","SRE-"&amp;TEXT(COUNTA($C$5:C68),"000"))</f>
        <v/>
      </c>
      <c r="C68" s="14" t="n"/>
      <c r="D68" s="14" t="n"/>
      <c r="E68" s="14" t="n"/>
      <c r="F68" s="30" t="n"/>
      <c r="G68" s="30" t="n"/>
      <c r="H68" s="14">
        <f>IF(OR(G68="",""),G68-TODAY())</f>
        <v/>
      </c>
      <c r="I68" s="19" t="n"/>
      <c r="J68" s="14" t="n"/>
      <c r="K68" s="14" t="n"/>
    </row>
    <row r="69" ht="22" customHeight="1">
      <c r="B69" s="17">
        <f>IF(C69="","SRE-"&amp;TEXT(COUNTA($C$5:C69),"000"))</f>
        <v/>
      </c>
      <c r="C69" s="12" t="n"/>
      <c r="D69" s="12" t="n"/>
      <c r="E69" s="12" t="n"/>
      <c r="F69" s="29" t="n"/>
      <c r="G69" s="29" t="n"/>
      <c r="H69" s="12">
        <f>IF(OR(G69="",""),G69-TODAY())</f>
        <v/>
      </c>
      <c r="I69" s="18" t="n"/>
      <c r="J69" s="12" t="n"/>
      <c r="K69" s="12" t="n"/>
    </row>
    <row r="70" ht="22" customHeight="1">
      <c r="B70" s="16">
        <f>IF(C70="","SRE-"&amp;TEXT(COUNTA($C$5:C70),"000"))</f>
        <v/>
      </c>
      <c r="C70" s="14" t="n"/>
      <c r="D70" s="14" t="n"/>
      <c r="E70" s="14" t="n"/>
      <c r="F70" s="30" t="n"/>
      <c r="G70" s="30" t="n"/>
      <c r="H70" s="14">
        <f>IF(OR(G70="",""),G70-TODAY())</f>
        <v/>
      </c>
      <c r="I70" s="19" t="n"/>
      <c r="J70" s="14" t="n"/>
      <c r="K70" s="14" t="n"/>
    </row>
    <row r="71" ht="22" customHeight="1">
      <c r="B71" s="17">
        <f>IF(C71="","SRE-"&amp;TEXT(COUNTA($C$5:C71),"000"))</f>
        <v/>
      </c>
      <c r="C71" s="12" t="n"/>
      <c r="D71" s="12" t="n"/>
      <c r="E71" s="12" t="n"/>
      <c r="F71" s="29" t="n"/>
      <c r="G71" s="29" t="n"/>
      <c r="H71" s="12">
        <f>IF(OR(G71="",""),G71-TODAY())</f>
        <v/>
      </c>
      <c r="I71" s="18" t="n"/>
      <c r="J71" s="12" t="n"/>
      <c r="K71" s="12" t="n"/>
    </row>
    <row r="72" ht="22" customHeight="1">
      <c r="B72" s="16">
        <f>IF(C72="","SRE-"&amp;TEXT(COUNTA($C$5:C72),"000"))</f>
        <v/>
      </c>
      <c r="C72" s="14" t="n"/>
      <c r="D72" s="14" t="n"/>
      <c r="E72" s="14" t="n"/>
      <c r="F72" s="30" t="n"/>
      <c r="G72" s="30" t="n"/>
      <c r="H72" s="14">
        <f>IF(OR(G72="",""),G72-TODAY())</f>
        <v/>
      </c>
      <c r="I72" s="19" t="n"/>
      <c r="J72" s="14" t="n"/>
      <c r="K72" s="14" t="n"/>
    </row>
    <row r="73" ht="22" customHeight="1">
      <c r="B73" s="17">
        <f>IF(C73="","SRE-"&amp;TEXT(COUNTA($C$5:C73),"000"))</f>
        <v/>
      </c>
      <c r="C73" s="12" t="n"/>
      <c r="D73" s="12" t="n"/>
      <c r="E73" s="12" t="n"/>
      <c r="F73" s="29" t="n"/>
      <c r="G73" s="29" t="n"/>
      <c r="H73" s="12">
        <f>IF(OR(G73="",""),G73-TODAY())</f>
        <v/>
      </c>
      <c r="I73" s="18" t="n"/>
      <c r="J73" s="12" t="n"/>
      <c r="K73" s="12" t="n"/>
    </row>
    <row r="74" ht="22" customHeight="1">
      <c r="B74" s="16">
        <f>IF(C74="","SRE-"&amp;TEXT(COUNTA($C$5:C74),"000"))</f>
        <v/>
      </c>
      <c r="C74" s="14" t="n"/>
      <c r="D74" s="14" t="n"/>
      <c r="E74" s="14" t="n"/>
      <c r="F74" s="30" t="n"/>
      <c r="G74" s="30" t="n"/>
      <c r="H74" s="14">
        <f>IF(OR(G74="",""),G74-TODAY())</f>
        <v/>
      </c>
      <c r="I74" s="19" t="n"/>
      <c r="J74" s="14" t="n"/>
      <c r="K74" s="14" t="n"/>
    </row>
    <row r="75" ht="22" customHeight="1">
      <c r="B75" s="17">
        <f>IF(C75="","SRE-"&amp;TEXT(COUNTA($C$5:C75),"000"))</f>
        <v/>
      </c>
      <c r="C75" s="12" t="n"/>
      <c r="D75" s="12" t="n"/>
      <c r="E75" s="12" t="n"/>
      <c r="F75" s="29" t="n"/>
      <c r="G75" s="29" t="n"/>
      <c r="H75" s="12">
        <f>IF(OR(G75="",""),G75-TODAY())</f>
        <v/>
      </c>
      <c r="I75" s="18" t="n"/>
      <c r="J75" s="12" t="n"/>
      <c r="K75" s="12" t="n"/>
    </row>
    <row r="76" ht="22" customHeight="1">
      <c r="B76" s="16">
        <f>IF(C76="","SRE-"&amp;TEXT(COUNTA($C$5:C76),"000"))</f>
        <v/>
      </c>
      <c r="C76" s="14" t="n"/>
      <c r="D76" s="14" t="n"/>
      <c r="E76" s="14" t="n"/>
      <c r="F76" s="30" t="n"/>
      <c r="G76" s="30" t="n"/>
      <c r="H76" s="14">
        <f>IF(OR(G76="",""),G76-TODAY())</f>
        <v/>
      </c>
      <c r="I76" s="19" t="n"/>
      <c r="J76" s="14" t="n"/>
      <c r="K76" s="14" t="n"/>
    </row>
    <row r="77" ht="22" customHeight="1">
      <c r="B77" s="17">
        <f>IF(C77="","SRE-"&amp;TEXT(COUNTA($C$5:C77),"000"))</f>
        <v/>
      </c>
      <c r="C77" s="12" t="n"/>
      <c r="D77" s="12" t="n"/>
      <c r="E77" s="12" t="n"/>
      <c r="F77" s="29" t="n"/>
      <c r="G77" s="29" t="n"/>
      <c r="H77" s="12">
        <f>IF(OR(G77="",""),G77-TODAY())</f>
        <v/>
      </c>
      <c r="I77" s="18" t="n"/>
      <c r="J77" s="12" t="n"/>
      <c r="K77" s="12" t="n"/>
    </row>
    <row r="78" ht="22" customHeight="1">
      <c r="B78" s="16">
        <f>IF(C78="","SRE-"&amp;TEXT(COUNTA($C$5:C78),"000"))</f>
        <v/>
      </c>
      <c r="C78" s="14" t="n"/>
      <c r="D78" s="14" t="n"/>
      <c r="E78" s="14" t="n"/>
      <c r="F78" s="30" t="n"/>
      <c r="G78" s="30" t="n"/>
      <c r="H78" s="14">
        <f>IF(OR(G78="",""),G78-TODAY())</f>
        <v/>
      </c>
      <c r="I78" s="19" t="n"/>
      <c r="J78" s="14" t="n"/>
      <c r="K78" s="14" t="n"/>
    </row>
    <row r="79" ht="22" customHeight="1">
      <c r="B79" s="17">
        <f>IF(C79="","SRE-"&amp;TEXT(COUNTA($C$5:C79),"000"))</f>
        <v/>
      </c>
      <c r="C79" s="12" t="n"/>
      <c r="D79" s="12" t="n"/>
      <c r="E79" s="12" t="n"/>
      <c r="F79" s="29" t="n"/>
      <c r="G79" s="29" t="n"/>
      <c r="H79" s="12">
        <f>IF(OR(G79="",""),G79-TODAY())</f>
        <v/>
      </c>
      <c r="I79" s="18" t="n"/>
      <c r="J79" s="12" t="n"/>
      <c r="K79" s="12" t="n"/>
    </row>
    <row r="80" ht="22" customHeight="1">
      <c r="B80" s="16">
        <f>IF(C80="","SRE-"&amp;TEXT(COUNTA($C$5:C80),"000"))</f>
        <v/>
      </c>
      <c r="C80" s="14" t="n"/>
      <c r="D80" s="14" t="n"/>
      <c r="E80" s="14" t="n"/>
      <c r="F80" s="30" t="n"/>
      <c r="G80" s="30" t="n"/>
      <c r="H80" s="14">
        <f>IF(OR(G80="",""),G80-TODAY())</f>
        <v/>
      </c>
      <c r="I80" s="19" t="n"/>
      <c r="J80" s="14" t="n"/>
      <c r="K80" s="14" t="n"/>
    </row>
    <row r="81" ht="22" customHeight="1">
      <c r="B81" s="17">
        <f>IF(C81="","SRE-"&amp;TEXT(COUNTA($C$5:C81),"000"))</f>
        <v/>
      </c>
      <c r="C81" s="12" t="n"/>
      <c r="D81" s="12" t="n"/>
      <c r="E81" s="12" t="n"/>
      <c r="F81" s="29" t="n"/>
      <c r="G81" s="29" t="n"/>
      <c r="H81" s="12">
        <f>IF(OR(G81="",""),G81-TODAY())</f>
        <v/>
      </c>
      <c r="I81" s="18" t="n"/>
      <c r="J81" s="12" t="n"/>
      <c r="K81" s="12" t="n"/>
    </row>
    <row r="82" ht="22" customHeight="1">
      <c r="B82" s="16">
        <f>IF(C82="","SRE-"&amp;TEXT(COUNTA($C$5:C82),"000"))</f>
        <v/>
      </c>
      <c r="C82" s="14" t="n"/>
      <c r="D82" s="14" t="n"/>
      <c r="E82" s="14" t="n"/>
      <c r="F82" s="30" t="n"/>
      <c r="G82" s="30" t="n"/>
      <c r="H82" s="14">
        <f>IF(OR(G82="",""),G82-TODAY())</f>
        <v/>
      </c>
      <c r="I82" s="19" t="n"/>
      <c r="J82" s="14" t="n"/>
      <c r="K82" s="14" t="n"/>
    </row>
    <row r="83" ht="22" customHeight="1">
      <c r="B83" s="17">
        <f>IF(C83="","SRE-"&amp;TEXT(COUNTA($C$5:C83),"000"))</f>
        <v/>
      </c>
      <c r="C83" s="12" t="n"/>
      <c r="D83" s="12" t="n"/>
      <c r="E83" s="12" t="n"/>
      <c r="F83" s="29" t="n"/>
      <c r="G83" s="29" t="n"/>
      <c r="H83" s="12">
        <f>IF(OR(G83="",""),G83-TODAY())</f>
        <v/>
      </c>
      <c r="I83" s="18" t="n"/>
      <c r="J83" s="12" t="n"/>
      <c r="K83" s="12" t="n"/>
    </row>
    <row r="84" ht="22" customHeight="1">
      <c r="B84" s="16">
        <f>IF(C84="","SRE-"&amp;TEXT(COUNTA($C$5:C84),"000"))</f>
        <v/>
      </c>
      <c r="C84" s="14" t="n"/>
      <c r="D84" s="14" t="n"/>
      <c r="E84" s="14" t="n"/>
      <c r="F84" s="30" t="n"/>
      <c r="G84" s="30" t="n"/>
      <c r="H84" s="14">
        <f>IF(OR(G84="",""),G84-TODAY())</f>
        <v/>
      </c>
      <c r="I84" s="19" t="n"/>
      <c r="J84" s="14" t="n"/>
      <c r="K84" s="14" t="n"/>
    </row>
    <row r="85" ht="22" customHeight="1">
      <c r="B85" s="17">
        <f>IF(C85="","SRE-"&amp;TEXT(COUNTA($C$5:C85),"000"))</f>
        <v/>
      </c>
      <c r="C85" s="12" t="n"/>
      <c r="D85" s="12" t="n"/>
      <c r="E85" s="12" t="n"/>
      <c r="F85" s="29" t="n"/>
      <c r="G85" s="29" t="n"/>
      <c r="H85" s="12">
        <f>IF(OR(G85="",""),G85-TODAY())</f>
        <v/>
      </c>
      <c r="I85" s="18" t="n"/>
      <c r="J85" s="12" t="n"/>
      <c r="K85" s="12" t="n"/>
    </row>
    <row r="86" ht="22" customHeight="1">
      <c r="B86" s="16">
        <f>IF(C86="","SRE-"&amp;TEXT(COUNTA($C$5:C86),"000"))</f>
        <v/>
      </c>
      <c r="C86" s="14" t="n"/>
      <c r="D86" s="14" t="n"/>
      <c r="E86" s="14" t="n"/>
      <c r="F86" s="30" t="n"/>
      <c r="G86" s="30" t="n"/>
      <c r="H86" s="14">
        <f>IF(OR(G86="",""),G86-TODAY())</f>
        <v/>
      </c>
      <c r="I86" s="19" t="n"/>
      <c r="J86" s="14" t="n"/>
      <c r="K86" s="14" t="n"/>
    </row>
    <row r="87" ht="22" customHeight="1">
      <c r="B87" s="17">
        <f>IF(C87="","SRE-"&amp;TEXT(COUNTA($C$5:C87),"000"))</f>
        <v/>
      </c>
      <c r="C87" s="12" t="n"/>
      <c r="D87" s="12" t="n"/>
      <c r="E87" s="12" t="n"/>
      <c r="F87" s="29" t="n"/>
      <c r="G87" s="29" t="n"/>
      <c r="H87" s="12">
        <f>IF(OR(G87="",""),G87-TODAY())</f>
        <v/>
      </c>
      <c r="I87" s="18" t="n"/>
      <c r="J87" s="12" t="n"/>
      <c r="K87" s="12" t="n"/>
    </row>
    <row r="88" ht="22" customHeight="1">
      <c r="B88" s="16">
        <f>IF(C88="","SRE-"&amp;TEXT(COUNTA($C$5:C88),"000"))</f>
        <v/>
      </c>
      <c r="C88" s="14" t="n"/>
      <c r="D88" s="14" t="n"/>
      <c r="E88" s="14" t="n"/>
      <c r="F88" s="30" t="n"/>
      <c r="G88" s="30" t="n"/>
      <c r="H88" s="14">
        <f>IF(OR(G88="",""),G88-TODAY())</f>
        <v/>
      </c>
      <c r="I88" s="19" t="n"/>
      <c r="J88" s="14" t="n"/>
      <c r="K88" s="14" t="n"/>
    </row>
    <row r="89" ht="22" customHeight="1">
      <c r="B89" s="17">
        <f>IF(C89="","SRE-"&amp;TEXT(COUNTA($C$5:C89),"000"))</f>
        <v/>
      </c>
      <c r="C89" s="12" t="n"/>
      <c r="D89" s="12" t="n"/>
      <c r="E89" s="12" t="n"/>
      <c r="F89" s="29" t="n"/>
      <c r="G89" s="29" t="n"/>
      <c r="H89" s="12">
        <f>IF(OR(G89="",""),G89-TODAY())</f>
        <v/>
      </c>
      <c r="I89" s="18" t="n"/>
      <c r="J89" s="12" t="n"/>
      <c r="K89" s="12" t="n"/>
    </row>
    <row r="90" ht="22" customHeight="1">
      <c r="B90" s="16">
        <f>IF(C90="","SRE-"&amp;TEXT(COUNTA($C$5:C90),"000"))</f>
        <v/>
      </c>
      <c r="C90" s="14" t="n"/>
      <c r="D90" s="14" t="n"/>
      <c r="E90" s="14" t="n"/>
      <c r="F90" s="30" t="n"/>
      <c r="G90" s="30" t="n"/>
      <c r="H90" s="14">
        <f>IF(OR(G90="",""),G90-TODAY())</f>
        <v/>
      </c>
      <c r="I90" s="19" t="n"/>
      <c r="J90" s="14" t="n"/>
      <c r="K90" s="14" t="n"/>
    </row>
    <row r="91" ht="22" customHeight="1">
      <c r="B91" s="17">
        <f>IF(C91="","SRE-"&amp;TEXT(COUNTA($C$5:C91),"000"))</f>
        <v/>
      </c>
      <c r="C91" s="12" t="n"/>
      <c r="D91" s="12" t="n"/>
      <c r="E91" s="12" t="n"/>
      <c r="F91" s="29" t="n"/>
      <c r="G91" s="29" t="n"/>
      <c r="H91" s="12">
        <f>IF(OR(G91="",""),G91-TODAY())</f>
        <v/>
      </c>
      <c r="I91" s="18" t="n"/>
      <c r="J91" s="12" t="n"/>
      <c r="K91" s="12" t="n"/>
    </row>
    <row r="92" ht="22" customHeight="1">
      <c r="B92" s="16">
        <f>IF(C92="","SRE-"&amp;TEXT(COUNTA($C$5:C92),"000"))</f>
        <v/>
      </c>
      <c r="C92" s="14" t="n"/>
      <c r="D92" s="14" t="n"/>
      <c r="E92" s="14" t="n"/>
      <c r="F92" s="30" t="n"/>
      <c r="G92" s="30" t="n"/>
      <c r="H92" s="14">
        <f>IF(OR(G92="",""),G92-TODAY())</f>
        <v/>
      </c>
      <c r="I92" s="19" t="n"/>
      <c r="J92" s="14" t="n"/>
      <c r="K92" s="14" t="n"/>
    </row>
    <row r="93" ht="22" customHeight="1">
      <c r="B93" s="17">
        <f>IF(C93="","SRE-"&amp;TEXT(COUNTA($C$5:C93),"000"))</f>
        <v/>
      </c>
      <c r="C93" s="12" t="n"/>
      <c r="D93" s="12" t="n"/>
      <c r="E93" s="12" t="n"/>
      <c r="F93" s="29" t="n"/>
      <c r="G93" s="29" t="n"/>
      <c r="H93" s="12">
        <f>IF(OR(G93="",""),G93-TODAY())</f>
        <v/>
      </c>
      <c r="I93" s="18" t="n"/>
      <c r="J93" s="12" t="n"/>
      <c r="K93" s="12" t="n"/>
    </row>
    <row r="94" ht="22" customHeight="1">
      <c r="B94" s="16">
        <f>IF(C94="","SRE-"&amp;TEXT(COUNTA($C$5:C94),"000"))</f>
        <v/>
      </c>
      <c r="C94" s="14" t="n"/>
      <c r="D94" s="14" t="n"/>
      <c r="E94" s="14" t="n"/>
      <c r="F94" s="30" t="n"/>
      <c r="G94" s="30" t="n"/>
      <c r="H94" s="14">
        <f>IF(OR(G94="",""),G94-TODAY())</f>
        <v/>
      </c>
      <c r="I94" s="19" t="n"/>
      <c r="J94" s="14" t="n"/>
      <c r="K94" s="14" t="n"/>
    </row>
    <row r="95" ht="22" customHeight="1">
      <c r="B95" s="17">
        <f>IF(C95="","SRE-"&amp;TEXT(COUNTA($C$5:C95),"000"))</f>
        <v/>
      </c>
      <c r="C95" s="12" t="n"/>
      <c r="D95" s="12" t="n"/>
      <c r="E95" s="12" t="n"/>
      <c r="F95" s="29" t="n"/>
      <c r="G95" s="29" t="n"/>
      <c r="H95" s="12">
        <f>IF(OR(G95="",""),G95-TODAY())</f>
        <v/>
      </c>
      <c r="I95" s="18" t="n"/>
      <c r="J95" s="12" t="n"/>
      <c r="K95" s="12" t="n"/>
    </row>
    <row r="96" ht="22" customHeight="1">
      <c r="B96" s="16">
        <f>IF(C96="","SRE-"&amp;TEXT(COUNTA($C$5:C96),"000"))</f>
        <v/>
      </c>
      <c r="C96" s="14" t="n"/>
      <c r="D96" s="14" t="n"/>
      <c r="E96" s="14" t="n"/>
      <c r="F96" s="30" t="n"/>
      <c r="G96" s="30" t="n"/>
      <c r="H96" s="14">
        <f>IF(OR(G96="",""),G96-TODAY())</f>
        <v/>
      </c>
      <c r="I96" s="19" t="n"/>
      <c r="J96" s="14" t="n"/>
      <c r="K96" s="14" t="n"/>
    </row>
    <row r="97" ht="22" customHeight="1">
      <c r="B97" s="17">
        <f>IF(C97="","SRE-"&amp;TEXT(COUNTA($C$5:C97),"000"))</f>
        <v/>
      </c>
      <c r="C97" s="12" t="n"/>
      <c r="D97" s="12" t="n"/>
      <c r="E97" s="12" t="n"/>
      <c r="F97" s="29" t="n"/>
      <c r="G97" s="29" t="n"/>
      <c r="H97" s="12">
        <f>IF(OR(G97="",""),G97-TODAY())</f>
        <v/>
      </c>
      <c r="I97" s="18" t="n"/>
      <c r="J97" s="12" t="n"/>
      <c r="K97" s="12" t="n"/>
    </row>
    <row r="98" ht="22" customHeight="1">
      <c r="B98" s="16">
        <f>IF(C98="","SRE-"&amp;TEXT(COUNTA($C$5:C98),"000"))</f>
        <v/>
      </c>
      <c r="C98" s="14" t="n"/>
      <c r="D98" s="14" t="n"/>
      <c r="E98" s="14" t="n"/>
      <c r="F98" s="30" t="n"/>
      <c r="G98" s="30" t="n"/>
      <c r="H98" s="14">
        <f>IF(OR(G98="",""),G98-TODAY())</f>
        <v/>
      </c>
      <c r="I98" s="19" t="n"/>
      <c r="J98" s="14" t="n"/>
      <c r="K98" s="14" t="n"/>
    </row>
    <row r="99" ht="22" customHeight="1">
      <c r="B99" s="17">
        <f>IF(C99="","SRE-"&amp;TEXT(COUNTA($C$5:C99),"000"))</f>
        <v/>
      </c>
      <c r="C99" s="12" t="n"/>
      <c r="D99" s="12" t="n"/>
      <c r="E99" s="12" t="n"/>
      <c r="F99" s="29" t="n"/>
      <c r="G99" s="29" t="n"/>
      <c r="H99" s="12">
        <f>IF(OR(G99="",""),G99-TODAY())</f>
        <v/>
      </c>
      <c r="I99" s="18" t="n"/>
      <c r="J99" s="12" t="n"/>
      <c r="K99" s="12" t="n"/>
    </row>
    <row r="100" ht="22" customHeight="1">
      <c r="B100" s="16">
        <f>IF(C100="","SRE-"&amp;TEXT(COUNTA($C$5:C100),"000"))</f>
        <v/>
      </c>
      <c r="C100" s="14" t="n"/>
      <c r="D100" s="14" t="n"/>
      <c r="E100" s="14" t="n"/>
      <c r="F100" s="30" t="n"/>
      <c r="G100" s="30" t="n"/>
      <c r="H100" s="14">
        <f>IF(OR(G100="",""),G100-TODAY())</f>
        <v/>
      </c>
      <c r="I100" s="19" t="n"/>
      <c r="J100" s="14" t="n"/>
      <c r="K100" s="14" t="n"/>
    </row>
    <row r="101" ht="22" customHeight="1">
      <c r="B101" s="17">
        <f>IF(C101="","SRE-"&amp;TEXT(COUNTA($C$5:C101),"000"))</f>
        <v/>
      </c>
      <c r="C101" s="12" t="n"/>
      <c r="D101" s="12" t="n"/>
      <c r="E101" s="12" t="n"/>
      <c r="F101" s="29" t="n"/>
      <c r="G101" s="29" t="n"/>
      <c r="H101" s="12">
        <f>IF(OR(G101="",""),G101-TODAY())</f>
        <v/>
      </c>
      <c r="I101" s="18" t="n"/>
      <c r="J101" s="12" t="n"/>
      <c r="K101" s="12" t="n"/>
    </row>
    <row r="102" ht="22" customHeight="1">
      <c r="B102" s="16">
        <f>IF(C102="","SRE-"&amp;TEXT(COUNTA($C$5:C102),"000"))</f>
        <v/>
      </c>
      <c r="C102" s="14" t="n"/>
      <c r="D102" s="14" t="n"/>
      <c r="E102" s="14" t="n"/>
      <c r="F102" s="30" t="n"/>
      <c r="G102" s="30" t="n"/>
      <c r="H102" s="14">
        <f>IF(OR(G102="",""),G102-TODAY())</f>
        <v/>
      </c>
      <c r="I102" s="19" t="n"/>
      <c r="J102" s="14" t="n"/>
      <c r="K102" s="14" t="n"/>
    </row>
    <row r="103" ht="22" customHeight="1">
      <c r="B103" s="17">
        <f>IF(C103="","SRE-"&amp;TEXT(COUNTA($C$5:C103),"000"))</f>
        <v/>
      </c>
      <c r="C103" s="12" t="n"/>
      <c r="D103" s="12" t="n"/>
      <c r="E103" s="12" t="n"/>
      <c r="F103" s="29" t="n"/>
      <c r="G103" s="29" t="n"/>
      <c r="H103" s="12">
        <f>IF(OR(G103="",""),G103-TODAY())</f>
        <v/>
      </c>
      <c r="I103" s="18" t="n"/>
      <c r="J103" s="12" t="n"/>
      <c r="K103" s="12" t="n"/>
    </row>
    <row r="104" ht="22" customHeight="1">
      <c r="B104" s="16">
        <f>IF(C104="","SRE-"&amp;TEXT(COUNTA($C$5:C104),"000"))</f>
        <v/>
      </c>
      <c r="C104" s="14" t="n"/>
      <c r="D104" s="14" t="n"/>
      <c r="E104" s="14" t="n"/>
      <c r="F104" s="30" t="n"/>
      <c r="G104" s="30" t="n"/>
      <c r="H104" s="14">
        <f>IF(OR(G104="",""),G104-TODAY())</f>
        <v/>
      </c>
      <c r="I104" s="19" t="n"/>
      <c r="J104" s="14" t="n"/>
      <c r="K104" s="14" t="n"/>
    </row>
    <row r="105" ht="22" customHeight="1">
      <c r="B105" s="17">
        <f>IF(C105="","SRE-"&amp;TEXT(COUNTA($C$5:C105),"000"))</f>
        <v/>
      </c>
      <c r="C105" s="12" t="n"/>
      <c r="D105" s="12" t="n"/>
      <c r="E105" s="12" t="n"/>
      <c r="F105" s="29" t="n"/>
      <c r="G105" s="29" t="n"/>
      <c r="H105" s="12">
        <f>IF(OR(G105="",""),G105-TODAY())</f>
        <v/>
      </c>
      <c r="I105" s="18" t="n"/>
      <c r="J105" s="12" t="n"/>
      <c r="K105" s="12" t="n"/>
    </row>
    <row r="106" ht="22" customHeight="1">
      <c r="B106" s="16">
        <f>IF(C106="","SRE-"&amp;TEXT(COUNTA($C$5:C106),"000"))</f>
        <v/>
      </c>
      <c r="C106" s="14" t="n"/>
      <c r="D106" s="14" t="n"/>
      <c r="E106" s="14" t="n"/>
      <c r="F106" s="30" t="n"/>
      <c r="G106" s="30" t="n"/>
      <c r="H106" s="14">
        <f>IF(OR(G106="",""),G106-TODAY())</f>
        <v/>
      </c>
      <c r="I106" s="19" t="n"/>
      <c r="J106" s="14" t="n"/>
      <c r="K106" s="14" t="n"/>
    </row>
    <row r="107" ht="22" customHeight="1">
      <c r="B107" s="17">
        <f>IF(C107="","SRE-"&amp;TEXT(COUNTA($C$5:C107),"000"))</f>
        <v/>
      </c>
      <c r="C107" s="12" t="n"/>
      <c r="D107" s="12" t="n"/>
      <c r="E107" s="12" t="n"/>
      <c r="F107" s="29" t="n"/>
      <c r="G107" s="29" t="n"/>
      <c r="H107" s="12">
        <f>IF(OR(G107="",""),G107-TODAY())</f>
        <v/>
      </c>
      <c r="I107" s="18" t="n"/>
      <c r="J107" s="12" t="n"/>
      <c r="K107" s="12" t="n"/>
    </row>
    <row r="108" ht="22" customHeight="1">
      <c r="B108" s="16">
        <f>IF(C108="","SRE-"&amp;TEXT(COUNTA($C$5:C108),"000"))</f>
        <v/>
      </c>
      <c r="C108" s="14" t="n"/>
      <c r="D108" s="14" t="n"/>
      <c r="E108" s="14" t="n"/>
      <c r="F108" s="30" t="n"/>
      <c r="G108" s="30" t="n"/>
      <c r="H108" s="14">
        <f>IF(OR(G108="",""),G108-TODAY())</f>
        <v/>
      </c>
      <c r="I108" s="19" t="n"/>
      <c r="J108" s="14" t="n"/>
      <c r="K108" s="14" t="n"/>
    </row>
    <row r="109" ht="22" customHeight="1">
      <c r="B109" s="17">
        <f>IF(C109="","SRE-"&amp;TEXT(COUNTA($C$5:C109),"000"))</f>
        <v/>
      </c>
      <c r="C109" s="12" t="n"/>
      <c r="D109" s="12" t="n"/>
      <c r="E109" s="12" t="n"/>
      <c r="F109" s="29" t="n"/>
      <c r="G109" s="29" t="n"/>
      <c r="H109" s="12">
        <f>IF(OR(G109="",""),G109-TODAY())</f>
        <v/>
      </c>
      <c r="I109" s="18" t="n"/>
      <c r="J109" s="12" t="n"/>
      <c r="K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Documents suivis</t>
        </is>
      </c>
      <c r="D112" s="3" t="inlineStr">
        <is>
          <t>A detruire</t>
        </is>
      </c>
      <c r="F112" s="3" t="inlineStr">
        <is>
          <t>Expiration &lt; 6 mois</t>
        </is>
      </c>
    </row>
    <row r="113">
      <c r="B113" s="4">
        <f>COUNTIF(B5:B104,"&lt;&gt;")</f>
        <v/>
      </c>
      <c r="D113" s="4">
        <f>COUNTIF(K5:K104,"A detruire")</f>
        <v/>
      </c>
      <c r="F113" s="4">
        <f>COUNTIF(H5:H104,"&lt;"&amp;180)-COUNTIF(H5:H104,"&lt;"&amp;0)</f>
        <v/>
      </c>
    </row>
  </sheetData>
  <mergeCells count="3">
    <mergeCell ref="B111:K111"/>
    <mergeCell ref="B3:K3"/>
    <mergeCell ref="B2:K2"/>
  </mergeCells>
  <conditionalFormatting sqref="K5:K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1">
      <formula>"En attente"</formula>
    </cfRule>
    <cfRule type="cellIs" priority="77" operator="equal" dxfId="1">
      <formula>"A renouveler"</formula>
    </cfRule>
    <cfRule type="cellIs" priority="78" operator="equal" dxfId="1">
      <formula>"En cours"</formula>
    </cfRule>
    <cfRule type="cellIs" priority="79" operator="equal" dxfId="1">
      <formula>"En traitement"</formula>
    </cfRule>
    <cfRule type="cellIs" priority="80" operator="equal" dxfId="1">
      <formula>"En retard"</formula>
    </cfRule>
    <cfRule type="cellIs" priority="81" operator="equal" dxfId="1">
      <formula>"Suspendu"</formula>
    </cfRule>
    <cfRule type="cellIs" priority="82" operator="equal" dxfId="1">
      <formula>"Planifie"</formula>
    </cfRule>
    <cfRule type="cellIs" priority="83" operator="equal" dxfId="1">
      <formula>"Planifiee"</formula>
    </cfRule>
    <cfRule type="cellIs" priority="84" operator="equal" dxfId="1">
      <formula>"Brouillon"</formula>
    </cfRule>
    <cfRule type="cellIs" priority="85" operator="equal" dxfId="1">
      <formula>"En attente de justification"</formula>
    </cfRule>
    <cfRule type="cellIs" priority="86" operator="equal" dxfId="1">
      <formula>"Tolere"</formula>
    </cfRule>
    <cfRule type="cellIs" priority="87" operator="equal" dxfId="1">
      <formula>"Variable"</formula>
    </cfRule>
    <cfRule type="cellIs" priority="88" operator="equal" dxfId="1">
      <formula>"En elaboration"</formula>
    </cfRule>
    <cfRule type="cellIs" priority="89" operator="equal" dxfId="1">
      <formula>"Provisionne"</formula>
    </cfRule>
    <cfRule type="cellIs" priority="90" operator="equal" dxfId="1">
      <formula>"Consomme partiel"</formula>
    </cfRule>
    <cfRule type="cellIs" priority="91" operator="equal" dxfId="1">
      <formula>"Identifie"</formula>
    </cfRule>
    <cfRule type="cellIs" priority="92" operator="equal" dxfId="1">
      <formula>"Priorise"</formula>
    </cfRule>
    <cfRule type="cellIs" priority="93" operator="equal" dxfId="1">
      <formula>"Intermediaire"</formula>
    </cfRule>
    <cfRule type="cellIs" priority="94" operator="equal" dxfId="1">
      <formula>"Non evalue"</formula>
    </cfRule>
    <cfRule type="cellIs" priority="95" operator="equal" dxfId="1">
      <formula>"En cours de realisation"</formula>
    </cfRule>
    <cfRule type="cellIs" priority="96" operator="equal" dxfId="1">
      <formula>"Non demarre"</formula>
    </cfRule>
    <cfRule type="cellIs" priority="97" operator="equal" dxfId="1">
      <formula>"En attente N+1"</formula>
    </cfRule>
    <cfRule type="cellIs" priority="98" operator="equal" dxfId="1">
      <formula>"Prolongation essai"</formula>
    </cfRule>
    <cfRule type="cellIs" priority="99" operator="equal" dxfId="1">
      <formula>"En attente validation"</formula>
    </cfRule>
    <cfRule type="cellIs" priority="100" operator="equal" dxfId="1">
      <formula>"Bon"</formula>
    </cfRule>
    <cfRule type="cellIs" priority="101" operator="equal" dxfId="1">
      <formula>"D - Moyen"</formula>
    </cfRule>
    <cfRule type="cellIs" priority="102" operator="equal" dxfId="1">
      <formula>"En cours de repres."</formula>
    </cfRule>
    <cfRule type="cellIs" priority="103" operator="equal" dxfId="1">
      <formula>"En negociation"</formula>
    </cfRule>
    <cfRule type="cellIs" priority="104" operator="equal" dxfId="1">
      <formula>"En preparation"</formula>
    </cfRule>
    <cfRule type="cellIs" priority="105" operator="equal" dxfId="1">
      <formula>"En cours d'instruction"</formula>
    </cfRule>
    <cfRule type="cellIs" priority="106" operator="equal" dxfId="1">
      <formula>"Transferee N+1"</formula>
    </cfRule>
    <cfRule type="cellIs" priority="107" operator="equal" dxfId="1">
      <formula>"En attente reponse"</formula>
    </cfRule>
    <cfRule type="cellIs" priority="108" operator="equal" dxfId="1">
      <formula>"Enquete ouverte"</formula>
    </cfRule>
    <cfRule type="cellIs" priority="109" operator="equal" dxfId="1">
      <formula>"Convocation envoyee"</formula>
    </cfRule>
    <cfRule type="cellIs" priority="110" operator="equal" dxfId="1">
      <formula>"Entretien realise"</formula>
    </cfRule>
    <cfRule type="cellIs" priority="111" operator="equal" dxfId="1">
      <formula>"Saisie"</formula>
    </cfRule>
    <cfRule type="cellIs" priority="112" operator="equal" dxfId="1">
      <formula>"En mediation"</formula>
    </cfRule>
    <cfRule type="cellIs" priority="113" operator="equal" dxfId="1">
      <formula>"En recours"</formula>
    </cfRule>
    <cfRule type="cellIs" priority="114" operator="equal" dxfId="1">
      <formula>"Reportee"</formula>
    </cfRule>
    <cfRule type="cellIs" priority="115" operator="equal" dxfId="1">
      <formula>"Reporte"</formula>
    </cfRule>
    <cfRule type="cellIs" priority="116" operator="equal" dxfId="1">
      <formula>"Signale"</formula>
    </cfRule>
    <cfRule type="cellIs" priority="117" operator="equal" dxfId="1">
      <formula>"Precontentieux"</formula>
    </cfRule>
    <cfRule type="cellIs" priority="118" operator="equal" dxfId="1">
      <formula>"En attente election"</formula>
    </cfRule>
    <cfRule type="cellIs" priority="119" operator="equal" dxfId="1">
      <formula>"Classe"</formula>
    </cfRule>
    <cfRule type="cellIs" priority="120" operator="equal" dxfId="1">
      <formula>"En cours d'evaluation"</formula>
    </cfRule>
    <cfRule type="cellIs" priority="121" operator="equal" dxfId="1">
      <formula>"En cours d'enquete"</formula>
    </cfRule>
    <cfRule type="cellIs" priority="122" operator="equal" dxfId="1">
      <formula>"En cours de commande"</formula>
    </cfRule>
    <cfRule type="cellIs" priority="123" operator="equal" dxfId="1">
      <formula>"A revoir"</formula>
    </cfRule>
    <cfRule type="cellIs" priority="124" operator="equal" dxfId="1">
      <formula>"A remplacer"</formula>
    </cfRule>
    <cfRule type="cellIs" priority="125" operator="equal" dxfId="1">
      <formula>"En cours d'instruction CNPS"</formula>
    </cfRule>
    <cfRule type="cellIs" priority="126" operator="equal" dxfId="1">
      <formula>"En contestation"</formula>
    </cfRule>
    <cfRule type="cellIs" priority="127" operator="equal" dxfId="1">
      <formula>"Inapte temporaire"</formula>
    </cfRule>
    <cfRule type="cellIs" priority="128" operator="equal" dxfId="1">
      <formula>"Candidat identifie"</formula>
    </cfRule>
    <cfRule type="cellIs" priority="129" operator="equal" dxfId="1">
      <formula>"En formation"</formula>
    </cfRule>
    <cfRule type="cellIs" priority="130" operator="equal" dxfId="1">
      <formula>"En evaluation"</formula>
    </cfRule>
    <cfRule type="cellIs" priority="131" operator="equal" dxfId="1">
      <formula>"En transit"</formula>
    </cfRule>
    <cfRule type="cellIs" priority="132" operator="equal" dxfId="1">
      <formula>"En attente visa"</formula>
    </cfRule>
    <cfRule type="cellIs" priority="133" operator="equal" dxfId="1">
      <formula>"Proposee"</formula>
    </cfRule>
    <cfRule type="cellIs" priority="134" operator="equal" dxfId="1">
      <formula>"En cours d'acquisition"</formula>
    </cfRule>
    <cfRule type="cellIs" priority="135" operator="equal" dxfId="1">
      <formula>"A developper"</formula>
    </cfRule>
    <cfRule type="cellIs" priority="136" operator="equal" dxfId="1">
      <formula>"A renforcer"</formula>
    </cfRule>
    <cfRule type="cellIs" priority="137" operator="equal" dxfId="1">
      <formula>"En cours"</formula>
    </cfRule>
    <cfRule type="cellIs" priority="138" operator="equal" dxfId="1">
      <formula>"Partiellement conforme"</formula>
    </cfRule>
    <cfRule type="cellIs" priority="139" operator="equal" dxfId="1">
      <formula>"En mise en conformite"</formula>
    </cfRule>
    <cfRule type="cellIs" priority="140" operator="equal" dxfId="1">
      <formula>"En revision"</formula>
    </cfRule>
    <cfRule type="cellIs" priority="141" operator="equal" dxfId="1">
      <formula>"A approuver"</formula>
    </cfRule>
    <cfRule type="cellIs" priority="142" operator="equal" dxfId="1">
      <formula>"En conciliation"</formula>
    </cfRule>
    <cfRule type="cellIs" priority="143" operator="equal" dxfId="1">
      <formula>"Assigne tribunal"</formula>
    </cfRule>
    <cfRule type="cellIs" priority="144" operator="equal" dxfId="1">
      <formula>"En cours de preparation"</formula>
    </cfRule>
    <cfRule type="cellIs" priority="145" operator="equal" dxfId="1">
      <formula>"Non effectuee"</formula>
    </cfRule>
    <cfRule type="cellIs" priority="146" operator="equal" dxfId="1">
      <formula>"A archiver"</formula>
    </cfRule>
    <cfRule type="cellIs" priority="147" operator="equal" dxfId="1">
      <formula>"En cours de constitution"</formula>
    </cfRule>
    <cfRule type="cellIs" priority="148" operator="equal" dxfId="1">
      <formula>"A mettre a jour"</formula>
    </cfRule>
    <cfRule type="cellIs" priority="149" operator="equal" dxfId="1">
      <formula>"En restoration"</formula>
    </cfRule>
    <cfRule type="cellIs" priority="150" operator="equal" dxfId="1">
      <formula>"En cours de restauration"</formula>
    </cfRule>
    <cfRule type="cellIs" priority="151" operator="equal" dxfId="1">
      <formula>"A determiner"</formula>
    </cfRule>
    <cfRule type="cellIs" priority="152" operator="equal" dxfId="1">
      <formula>"En revision"</formula>
    </cfRule>
    <cfRule type="cellIs" priority="153" operator="equal" dxfId="1">
      <formula>"Obsolete"</formula>
    </cfRule>
    <cfRule type="cellIs" priority="154" operator="equal" dxfId="1">
      <formula>"Hybride (papier + numerique)"</formula>
    </cfRule>
    <cfRule type="cellIs" priority="155" operator="equal" dxfId="2">
      <formula>"Expire"</formula>
    </cfRule>
    <cfRule type="cellIs" priority="156" operator="equal" dxfId="2">
      <formula>"Rejete"</formula>
    </cfRule>
    <cfRule type="cellIs" priority="157" operator="equal" dxfId="2">
      <formula>"Rejetee"</formula>
    </cfRule>
    <cfRule type="cellIs" priority="158" operator="equal" dxfId="2">
      <formula>"Resilie"</formula>
    </cfRule>
    <cfRule type="cellIs" priority="159" operator="equal" dxfId="2">
      <formula>"Annule"</formula>
    </cfRule>
    <cfRule type="cellIs" priority="160" operator="equal" dxfId="2">
      <formula>"Annulee"</formula>
    </cfRule>
    <cfRule type="cellIs" priority="161" operator="equal" dxfId="2">
      <formula>"Refuse"</formula>
    </cfRule>
    <cfRule type="cellIs" priority="162" operator="equal" dxfId="2">
      <formula>"Non justifie"</formula>
    </cfRule>
    <cfRule type="cellIs" priority="163" operator="equal" dxfId="2">
      <formula>"Non justifiee"</formula>
    </cfRule>
    <cfRule type="cellIs" priority="164" operator="equal" dxfId="2">
      <formula>"Sanctionne"</formula>
    </cfRule>
    <cfRule type="cellIs" priority="165" operator="equal" dxfId="2">
      <formula>"Inaptitude"</formula>
    </cfRule>
    <cfRule type="cellIs" priority="166" operator="equal" dxfId="2">
      <formula>"Absent sans autorisation"</formula>
    </cfRule>
    <cfRule type="cellIs" priority="167" operator="equal" dxfId="2">
      <formula>"Abandon de poste"</formula>
    </cfRule>
    <cfRule type="cellIs" priority="168" operator="equal" dxfId="2">
      <formula>"Non satisfait"</formula>
    </cfRule>
    <cfRule type="cellIs" priority="169" operator="equal" dxfId="2">
      <formula>"Depasse"</formula>
    </cfRule>
    <cfRule type="cellIs" priority="170" operator="equal" dxfId="2">
      <formula>"Non utilise"</formula>
    </cfRule>
    <cfRule type="cellIs" priority="171" operator="equal" dxfId="2">
      <formula>"Non applicable"</formula>
    </cfRule>
    <cfRule type="cellIs" priority="172" operator="equal" dxfId="2">
      <formula>"Debutant"</formula>
    </cfRule>
    <cfRule type="cellIs" priority="173" operator="equal" dxfId="2">
      <formula>"Non atteint"</formula>
    </cfRule>
    <cfRule type="cellIs" priority="174" operator="equal" dxfId="2">
      <formula>"Abandonne"</formula>
    </cfRule>
    <cfRule type="cellIs" priority="175" operator="equal" dxfId="2">
      <formula>"Rupture essai"</formula>
    </cfRule>
    <cfRule type="cellIs" priority="176" operator="equal" dxfId="2">
      <formula>"Insuffisant"</formula>
    </cfRule>
    <cfRule type="cellIs" priority="177" operator="equal" dxfId="2">
      <formula>"Moyen"</formula>
    </cfRule>
    <cfRule type="cellIs" priority="178" operator="equal" dxfId="2">
      <formula>"E - Insuffisant"</formula>
    </cfRule>
    <cfRule type="cellIs" priority="179" operator="equal" dxfId="2">
      <formula>"Dissous"</formula>
    </cfRule>
    <cfRule type="cellIs" priority="180" operator="equal" dxfId="2">
      <formula>"Denonce"</formula>
    </cfRule>
    <cfRule type="cellIs" priority="181" operator="equal" dxfId="2">
      <formula>"Echoue"</formula>
    </cfRule>
    <cfRule type="cellIs" priority="182" operator="equal" dxfId="2">
      <formula>"Echouee"</formula>
    </cfRule>
    <cfRule type="cellIs" priority="183" operator="equal" dxfId="2">
      <formula>"Revoque"</formula>
    </cfRule>
    <cfRule type="cellIs" priority="184" operator="equal" dxfId="2">
      <formula>"Demissionnaire"</formula>
    </cfRule>
    <cfRule type="cellIs" priority="185" operator="equal" dxfId="2">
      <formula>"Licenciement pour faute"</formula>
    </cfRule>
    <cfRule type="cellIs" priority="186" operator="equal" dxfId="2">
      <formula>"Licenciement pour faute grave"</formula>
    </cfRule>
    <cfRule type="cellIs" priority="187" operator="equal" dxfId="2">
      <formula>"Terminee - Echec"</formula>
    </cfRule>
    <cfRule type="cellIs" priority="188" operator="equal" dxfId="2">
      <formula>"Abandonnee"</formula>
    </cfRule>
    <cfRule type="cellIs" priority="189" operator="equal" dxfId="2">
      <formula>"Violence physique"</formula>
    </cfRule>
    <cfRule type="cellIs" priority="190" operator="equal" dxfId="2">
      <formula>"Violence verbale"</formula>
    </cfRule>
    <cfRule type="cellIs" priority="191" operator="equal" dxfId="2">
      <formula>"Fatal"</formula>
    </cfRule>
    <cfRule type="cellIs" priority="192" operator="equal" dxfId="2">
      <formula>"Non reconnue"</formula>
    </cfRule>
    <cfRule type="cellIs" priority="193" operator="equal" dxfId="2">
      <formula>"Inapte definitif"</formula>
    </cfRule>
    <cfRule type="cellIs" priority="194" operator="equal" dxfId="2">
      <formula>"Perdu / vole"</formula>
    </cfRule>
    <cfRule type="cellIs" priority="195" operator="equal" dxfId="2">
      <formula>"Rebute"</formula>
    </cfRule>
    <cfRule type="cellIs" priority="196" operator="equal" dxfId="2">
      <formula>"Obsolette"</formula>
    </cfRule>
    <cfRule type="cellIs" priority="197" operator="equal" dxfId="2">
      <formula>"Conteste"</formula>
    </cfRule>
    <cfRule type="cellIs" priority="198" operator="equal" dxfId="2">
      <formula>"Refusee"</formula>
    </cfRule>
    <cfRule type="cellIs" priority="199" operator="equal" dxfId="2">
      <formula>"Non retenu"</formula>
    </cfRule>
    <cfRule type="cellIs" priority="200" operator="equal" dxfId="2">
      <formula>"Non acquis"</formula>
    </cfRule>
    <cfRule type="cellIs" priority="201" operator="equal" dxfId="2">
      <formula>"Contrat termine"</formula>
    </cfRule>
    <cfRule type="cellIs" priority="202" operator="equal" dxfId="2">
      <formula>"Rapatrie"</formula>
    </cfRule>
    <cfRule type="cellIs" priority="203" operator="equal" dxfId="2">
      <formula>"Non conforme"</formula>
    </cfRule>
    <cfRule type="cellIs" priority="204" operator="equal" dxfId="2">
      <formula>"Abandonne"</formula>
    </cfRule>
    <cfRule type="cellIs" priority="205" operator="equal" dxfId="2">
      <formula>"Perdu"</formula>
    </cfRule>
    <cfRule type="cellIs" priority="206" operator="equal" dxfId="2">
      <formula>"Resilie"</formula>
    </cfRule>
    <cfRule type="cellIs" priority="207" operator="equal" dxfId="2">
      <formula>"Expire"</formula>
    </cfRule>
    <cfRule type="cellIs" priority="208" operator="equal" dxfId="2">
      <formula>"Incomplet"</formula>
    </cfRule>
    <cfRule type="cellIs" priority="209" operator="equal" dxfId="2">
      <formula>"Non restitue"</formula>
    </cfRule>
    <cfRule type="cellIs" priority="210" operator="equal" dxfId="2">
      <formula>"Perdu"</formula>
    </cfRule>
    <cfRule type="cellIs" priority="211" operator="equal" dxfId="2">
      <formula>"Secret"</formula>
    </cfRule>
  </conditionalFormatting>
  <conditionalFormatting sqref="B10:B109">
    <cfRule type="expression" priority="212" dxfId="3">
      <formula>AND($C10="",$C9&lt;&gt;"")</formula>
    </cfRule>
  </conditionalFormatting>
  <conditionalFormatting sqref="C10:C109">
    <cfRule type="expression" priority="213" dxfId="3">
      <formula>AND($C10="",$C9&lt;&gt;"")</formula>
    </cfRule>
  </conditionalFormatting>
  <conditionalFormatting sqref="D10:D109">
    <cfRule type="expression" priority="214" dxfId="3">
      <formula>AND($C10="",$C9&lt;&gt;"")</formula>
    </cfRule>
  </conditionalFormatting>
  <conditionalFormatting sqref="E10:E109">
    <cfRule type="expression" priority="215" dxfId="3">
      <formula>AND($C10="",$C9&lt;&gt;"")</formula>
    </cfRule>
  </conditionalFormatting>
  <conditionalFormatting sqref="F10:F109">
    <cfRule type="expression" priority="216" dxfId="3">
      <formula>AND($C10="",$C9&lt;&gt;"")</formula>
    </cfRule>
  </conditionalFormatting>
  <conditionalFormatting sqref="G10:G109">
    <cfRule type="expression" priority="217" dxfId="3">
      <formula>AND($C10="",$C9&lt;&gt;"")</formula>
    </cfRule>
  </conditionalFormatting>
  <conditionalFormatting sqref="H10:H109">
    <cfRule type="expression" priority="218" dxfId="3">
      <formula>AND($C10="",$C9&lt;&gt;"")</formula>
    </cfRule>
  </conditionalFormatting>
  <conditionalFormatting sqref="I10:I109">
    <cfRule type="expression" priority="219" dxfId="3">
      <formula>AND($C10="",$C9&lt;&gt;"")</formula>
    </cfRule>
  </conditionalFormatting>
  <conditionalFormatting sqref="J10:J109">
    <cfRule type="expression" priority="220" dxfId="3">
      <formula>AND($C10="",$C9&lt;&gt;"")</formula>
    </cfRule>
  </conditionalFormatting>
  <conditionalFormatting sqref="K10:K109">
    <cfRule type="expression" priority="221" dxfId="3">
      <formula>AND($C10="",$C9&lt;&gt;"")</formula>
    </cfRule>
  </conditionalFormatting>
  <dataValidations count="3">
    <dataValidation sqref="C5:C109" showDropDown="0" showInputMessage="0" showErrorMessage="0" allowBlank="1" errorTitle="Erreur" error="Valeur invalide" promptTitle="Liste" prompt="Choisir dans la liste" type="list">
      <formula1>'_Lists'!$D$2:$D$21</formula1>
    </dataValidation>
    <dataValidation sqref="E5:E109" showDropDown="0" showInputMessage="0" showErrorMessage="0" allowBlank="1" errorTitle="Erreur" error="Valeur invalide" promptTitle="Liste" prompt="Choisir dans la liste" type="list">
      <formula1>'_Lists'!$H$2:$H$10</formula1>
    </dataValidation>
    <dataValidation sqref="K5:K109" showDropDown="0" showInputMessage="0" showErrorMessage="0" allowBlank="1" errorTitle="Erreur" error="Valeur invalide" promptTitle="Liste" prompt="Choisir dans la liste" type="list">
      <formula1>'_Lists'!$F$2:$F$8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26" customWidth="1" min="4" max="4"/>
    <col width="24" customWidth="1" min="5" max="5"/>
    <col width="12" customWidth="1" min="6" max="6"/>
    <col width="26" customWidth="1" min="7" max="7"/>
    <col width="28" customWidth="1" min="8" max="8"/>
    <col width="16" customWidth="1" min="9" max="9"/>
    <col width="14" customWidth="1" min="10" max="10"/>
  </cols>
  <sheetData>
    <row r="1" ht="15" customHeight="1"/>
    <row r="2" ht="32" customHeight="1">
      <c r="B2" s="1" t="inlineStr">
        <is>
          <t>PLAN DE CLASSEMENT RH (#133)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Categorie</t>
        </is>
      </c>
      <c r="D4" s="11" t="inlineStr">
        <is>
          <t>Sous-Categorie</t>
        </is>
      </c>
      <c r="E4" s="11" t="inlineStr">
        <is>
          <t>Type Classement</t>
        </is>
      </c>
      <c r="F4" s="11" t="inlineStr">
        <is>
          <t>Code</t>
        </is>
      </c>
      <c r="G4" s="11" t="inlineStr">
        <is>
          <t>Emplacement Physique</t>
        </is>
      </c>
      <c r="H4" s="11" t="inlineStr">
        <is>
          <t>Emplacement Numerique</t>
        </is>
      </c>
      <c r="I4" s="11" t="inlineStr">
        <is>
          <t>Responsable</t>
        </is>
      </c>
      <c r="J4" s="11" t="inlineStr">
        <is>
          <t>Derniere MAJ</t>
        </is>
      </c>
    </row>
    <row r="5" ht="22" customHeight="1">
      <c r="B5" s="12" t="inlineStr">
        <is>
          <t>CL-001</t>
        </is>
      </c>
      <c r="C5" s="12" t="inlineStr">
        <is>
          <t>Employes</t>
        </is>
      </c>
      <c r="D5" s="12" t="inlineStr">
        <is>
          <t>Dossiers individuels</t>
        </is>
      </c>
      <c r="E5" s="12" t="inlineStr">
        <is>
          <t>Alphabetique employe</t>
        </is>
      </c>
      <c r="F5" s="12" t="inlineStr">
        <is>
          <t>EMP-001</t>
        </is>
      </c>
      <c r="G5" s="12" t="inlineStr">
        <is>
          <t>Armoire A, Etagere 1-3</t>
        </is>
      </c>
      <c r="H5" s="12" t="inlineStr">
        <is>
          <t>Serveur RH / Employes /</t>
        </is>
      </c>
      <c r="I5" s="12" t="inlineStr">
        <is>
          <t>Assistante RH</t>
        </is>
      </c>
      <c r="J5" s="29" t="n">
        <v>45823</v>
      </c>
    </row>
    <row r="6" ht="22" customHeight="1">
      <c r="B6" s="14" t="inlineStr">
        <is>
          <t>CL-002</t>
        </is>
      </c>
      <c r="C6" s="14" t="inlineStr">
        <is>
          <t>Paie</t>
        </is>
      </c>
      <c r="D6" s="14" t="inlineStr">
        <is>
          <t>Bulletins de paie</t>
        </is>
      </c>
      <c r="E6" s="14" t="inlineStr">
        <is>
          <t>Chronologique</t>
        </is>
      </c>
      <c r="F6" s="14" t="inlineStr">
        <is>
          <t>PAIE-001</t>
        </is>
      </c>
      <c r="G6" s="14" t="inlineStr">
        <is>
          <t>Armoire B, Etagere 1</t>
        </is>
      </c>
      <c r="H6" s="14" t="inlineStr">
        <is>
          <t>Serveur RH / Paie /</t>
        </is>
      </c>
      <c r="I6" s="14" t="inlineStr">
        <is>
          <t>Comptable senior</t>
        </is>
      </c>
      <c r="J6" s="30" t="n">
        <v>45809</v>
      </c>
    </row>
    <row r="7" ht="22" customHeight="1">
      <c r="B7" s="12" t="inlineStr">
        <is>
          <t>CL-003</t>
        </is>
      </c>
      <c r="C7" s="12" t="inlineStr">
        <is>
          <t>Contrats</t>
        </is>
      </c>
      <c r="D7" s="12" t="inlineStr">
        <is>
          <t>Contrats de travail</t>
        </is>
      </c>
      <c r="E7" s="12" t="inlineStr">
        <is>
          <t>Numerique dossier</t>
        </is>
      </c>
      <c r="F7" s="12" t="inlineStr">
        <is>
          <t>CTR-001</t>
        </is>
      </c>
      <c r="G7" s="12" t="inlineStr">
        <is>
          <t>Coffre-fort RH</t>
        </is>
      </c>
      <c r="H7" s="12" t="inlineStr">
        <is>
          <t>Serveur RH / Contrats /</t>
        </is>
      </c>
      <c r="I7" s="12" t="inlineStr">
        <is>
          <t>DRH</t>
        </is>
      </c>
      <c r="J7" s="29" t="n">
        <v>45797</v>
      </c>
    </row>
    <row r="8" ht="22" customHeight="1">
      <c r="B8" s="14" t="inlineStr">
        <is>
          <t>CL-004</t>
        </is>
      </c>
      <c r="C8" s="14" t="inlineStr">
        <is>
          <t>Formation</t>
        </is>
      </c>
      <c r="D8" s="14" t="inlineStr">
        <is>
          <t>Plans &amp; Attestations</t>
        </is>
      </c>
      <c r="E8" s="14" t="inlineStr">
        <is>
          <t>Par annee</t>
        </is>
      </c>
      <c r="F8" s="14" t="inlineStr">
        <is>
          <t>FORM-001</t>
        </is>
      </c>
      <c r="G8" s="14" t="inlineStr">
        <is>
          <t>Armoire C, Etagere 1</t>
        </is>
      </c>
      <c r="H8" s="14" t="inlineStr">
        <is>
          <t>Cloud / Formation /</t>
        </is>
      </c>
      <c r="I8" s="14" t="inlineStr">
        <is>
          <t>Assistante RH</t>
        </is>
      </c>
      <c r="J8" s="30" t="n">
        <v>45787</v>
      </c>
    </row>
    <row r="9" ht="22" customHeight="1">
      <c r="B9" s="12" t="inlineStr">
        <is>
          <t>CL-005</t>
        </is>
      </c>
      <c r="C9" s="12" t="inlineStr">
        <is>
          <t>Reglementation</t>
        </is>
      </c>
      <c r="D9" s="12" t="inlineStr">
        <is>
          <t>Textes legaux &amp; PV</t>
        </is>
      </c>
      <c r="E9" s="12" t="inlineStr">
        <is>
          <t>Par type document</t>
        </is>
      </c>
      <c r="F9" s="12" t="inlineStr">
        <is>
          <t>REG-001</t>
        </is>
      </c>
      <c r="G9" s="12" t="inlineStr">
        <is>
          <t>Armoire D, Etagere 1-2</t>
        </is>
      </c>
      <c r="H9" s="12" t="inlineStr">
        <is>
          <t>Serveur RH / Reglementation /</t>
        </is>
      </c>
      <c r="I9" s="12" t="inlineStr">
        <is>
          <t>DRH</t>
        </is>
      </c>
      <c r="J9" s="29" t="n">
        <v>45748</v>
      </c>
    </row>
    <row r="10" ht="22" customHeight="1">
      <c r="B10" s="16">
        <f>IF(C10="","CL-"&amp;TEXT(COUNTA($C$5:C10),"000"))</f>
        <v/>
      </c>
      <c r="C10" s="14" t="n"/>
      <c r="D10" s="14" t="n"/>
      <c r="E10" s="14" t="n"/>
      <c r="F10" s="14" t="n"/>
      <c r="G10" s="14" t="n"/>
      <c r="H10" s="14" t="n"/>
      <c r="I10" s="14" t="n"/>
      <c r="J10" s="30" t="n"/>
    </row>
    <row r="11" ht="22" customHeight="1">
      <c r="B11" s="17">
        <f>IF(C11="","CL-"&amp;TEXT(COUNTA($C$5:C11),"000"))</f>
        <v/>
      </c>
      <c r="C11" s="12" t="n"/>
      <c r="D11" s="12" t="n"/>
      <c r="E11" s="12" t="n"/>
      <c r="F11" s="12" t="n"/>
      <c r="G11" s="12" t="n"/>
      <c r="H11" s="12" t="n"/>
      <c r="I11" s="12" t="n"/>
      <c r="J11" s="29" t="n"/>
    </row>
    <row r="12" ht="22" customHeight="1">
      <c r="B12" s="16">
        <f>IF(C12="","CL-"&amp;TEXT(COUNTA($C$5:C12),"000"))</f>
        <v/>
      </c>
      <c r="C12" s="14" t="n"/>
      <c r="D12" s="14" t="n"/>
      <c r="E12" s="14" t="n"/>
      <c r="F12" s="14" t="n"/>
      <c r="G12" s="14" t="n"/>
      <c r="H12" s="14" t="n"/>
      <c r="I12" s="14" t="n"/>
      <c r="J12" s="30" t="n"/>
    </row>
    <row r="13" ht="22" customHeight="1">
      <c r="B13" s="17">
        <f>IF(C13="","CL-"&amp;TEXT(COUNTA($C$5:C13),"000"))</f>
        <v/>
      </c>
      <c r="C13" s="12" t="n"/>
      <c r="D13" s="12" t="n"/>
      <c r="E13" s="12" t="n"/>
      <c r="F13" s="12" t="n"/>
      <c r="G13" s="12" t="n"/>
      <c r="H13" s="12" t="n"/>
      <c r="I13" s="12" t="n"/>
      <c r="J13" s="29" t="n"/>
    </row>
    <row r="14" ht="22" customHeight="1">
      <c r="B14" s="16">
        <f>IF(C14="","CL-"&amp;TEXT(COUNTA($C$5:C14),"000"))</f>
        <v/>
      </c>
      <c r="C14" s="14" t="n"/>
      <c r="D14" s="14" t="n"/>
      <c r="E14" s="14" t="n"/>
      <c r="F14" s="14" t="n"/>
      <c r="G14" s="14" t="n"/>
      <c r="H14" s="14" t="n"/>
      <c r="I14" s="14" t="n"/>
      <c r="J14" s="30" t="n"/>
    </row>
    <row r="15" ht="22" customHeight="1">
      <c r="B15" s="17">
        <f>IF(C15="","CL-"&amp;TEXT(COUNTA($C$5:C15),"000"))</f>
        <v/>
      </c>
      <c r="C15" s="12" t="n"/>
      <c r="D15" s="12" t="n"/>
      <c r="E15" s="12" t="n"/>
      <c r="F15" s="12" t="n"/>
      <c r="G15" s="12" t="n"/>
      <c r="H15" s="12" t="n"/>
      <c r="I15" s="12" t="n"/>
      <c r="J15" s="29" t="n"/>
    </row>
    <row r="16" ht="22" customHeight="1">
      <c r="B16" s="16">
        <f>IF(C16="","CL-"&amp;TEXT(COUNTA($C$5:C16),"000"))</f>
        <v/>
      </c>
      <c r="C16" s="14" t="n"/>
      <c r="D16" s="14" t="n"/>
      <c r="E16" s="14" t="n"/>
      <c r="F16" s="14" t="n"/>
      <c r="G16" s="14" t="n"/>
      <c r="H16" s="14" t="n"/>
      <c r="I16" s="14" t="n"/>
      <c r="J16" s="30" t="n"/>
    </row>
    <row r="17" ht="22" customHeight="1">
      <c r="B17" s="17">
        <f>IF(C17="","CL-"&amp;TEXT(COUNTA($C$5:C17),"000"))</f>
        <v/>
      </c>
      <c r="C17" s="12" t="n"/>
      <c r="D17" s="12" t="n"/>
      <c r="E17" s="12" t="n"/>
      <c r="F17" s="12" t="n"/>
      <c r="G17" s="12" t="n"/>
      <c r="H17" s="12" t="n"/>
      <c r="I17" s="12" t="n"/>
      <c r="J17" s="29" t="n"/>
    </row>
    <row r="18" ht="22" customHeight="1">
      <c r="B18" s="16">
        <f>IF(C18="","CL-"&amp;TEXT(COUNTA($C$5:C18),"000"))</f>
        <v/>
      </c>
      <c r="C18" s="14" t="n"/>
      <c r="D18" s="14" t="n"/>
      <c r="E18" s="14" t="n"/>
      <c r="F18" s="14" t="n"/>
      <c r="G18" s="14" t="n"/>
      <c r="H18" s="14" t="n"/>
      <c r="I18" s="14" t="n"/>
      <c r="J18" s="30" t="n"/>
    </row>
    <row r="19" ht="22" customHeight="1">
      <c r="B19" s="17">
        <f>IF(C19="","CL-"&amp;TEXT(COUNTA($C$5:C19),"000"))</f>
        <v/>
      </c>
      <c r="C19" s="12" t="n"/>
      <c r="D19" s="12" t="n"/>
      <c r="E19" s="12" t="n"/>
      <c r="F19" s="12" t="n"/>
      <c r="G19" s="12" t="n"/>
      <c r="H19" s="12" t="n"/>
      <c r="I19" s="12" t="n"/>
      <c r="J19" s="29" t="n"/>
    </row>
    <row r="20" ht="22" customHeight="1">
      <c r="B20" s="16">
        <f>IF(C20="","CL-"&amp;TEXT(COUNTA($C$5:C20),"000"))</f>
        <v/>
      </c>
      <c r="C20" s="14" t="n"/>
      <c r="D20" s="14" t="n"/>
      <c r="E20" s="14" t="n"/>
      <c r="F20" s="14" t="n"/>
      <c r="G20" s="14" t="n"/>
      <c r="H20" s="14" t="n"/>
      <c r="I20" s="14" t="n"/>
      <c r="J20" s="30" t="n"/>
    </row>
    <row r="21" ht="22" customHeight="1">
      <c r="B21" s="17">
        <f>IF(C21="","CL-"&amp;TEXT(COUNTA($C$5:C21),"000"))</f>
        <v/>
      </c>
      <c r="C21" s="12" t="n"/>
      <c r="D21" s="12" t="n"/>
      <c r="E21" s="12" t="n"/>
      <c r="F21" s="12" t="n"/>
      <c r="G21" s="12" t="n"/>
      <c r="H21" s="12" t="n"/>
      <c r="I21" s="12" t="n"/>
      <c r="J21" s="29" t="n"/>
    </row>
    <row r="22" ht="22" customHeight="1">
      <c r="B22" s="16">
        <f>IF(C22="","CL-"&amp;TEXT(COUNTA($C$5:C22),"000"))</f>
        <v/>
      </c>
      <c r="C22" s="14" t="n"/>
      <c r="D22" s="14" t="n"/>
      <c r="E22" s="14" t="n"/>
      <c r="F22" s="14" t="n"/>
      <c r="G22" s="14" t="n"/>
      <c r="H22" s="14" t="n"/>
      <c r="I22" s="14" t="n"/>
      <c r="J22" s="30" t="n"/>
    </row>
    <row r="23" ht="22" customHeight="1">
      <c r="B23" s="17">
        <f>IF(C23="","CL-"&amp;TEXT(COUNTA($C$5:C23),"000"))</f>
        <v/>
      </c>
      <c r="C23" s="12" t="n"/>
      <c r="D23" s="12" t="n"/>
      <c r="E23" s="12" t="n"/>
      <c r="F23" s="12" t="n"/>
      <c r="G23" s="12" t="n"/>
      <c r="H23" s="12" t="n"/>
      <c r="I23" s="12" t="n"/>
      <c r="J23" s="29" t="n"/>
    </row>
    <row r="24" ht="22" customHeight="1">
      <c r="B24" s="16">
        <f>IF(C24="","CL-"&amp;TEXT(COUNTA($C$5:C24),"000"))</f>
        <v/>
      </c>
      <c r="C24" s="14" t="n"/>
      <c r="D24" s="14" t="n"/>
      <c r="E24" s="14" t="n"/>
      <c r="F24" s="14" t="n"/>
      <c r="G24" s="14" t="n"/>
      <c r="H24" s="14" t="n"/>
      <c r="I24" s="14" t="n"/>
      <c r="J24" s="30" t="n"/>
    </row>
    <row r="25" ht="22" customHeight="1">
      <c r="B25" s="17">
        <f>IF(C25="","CL-"&amp;TEXT(COUNTA($C$5:C25),"000"))</f>
        <v/>
      </c>
      <c r="C25" s="12" t="n"/>
      <c r="D25" s="12" t="n"/>
      <c r="E25" s="12" t="n"/>
      <c r="F25" s="12" t="n"/>
      <c r="G25" s="12" t="n"/>
      <c r="H25" s="12" t="n"/>
      <c r="I25" s="12" t="n"/>
      <c r="J25" s="29" t="n"/>
    </row>
    <row r="26" ht="22" customHeight="1">
      <c r="B26" s="16">
        <f>IF(C26="","CL-"&amp;TEXT(COUNTA($C$5:C26),"000"))</f>
        <v/>
      </c>
      <c r="C26" s="14" t="n"/>
      <c r="D26" s="14" t="n"/>
      <c r="E26" s="14" t="n"/>
      <c r="F26" s="14" t="n"/>
      <c r="G26" s="14" t="n"/>
      <c r="H26" s="14" t="n"/>
      <c r="I26" s="14" t="n"/>
      <c r="J26" s="30" t="n"/>
    </row>
    <row r="27" ht="22" customHeight="1">
      <c r="B27" s="17">
        <f>IF(C27="","CL-"&amp;TEXT(COUNTA($C$5:C27),"000"))</f>
        <v/>
      </c>
      <c r="C27" s="12" t="n"/>
      <c r="D27" s="12" t="n"/>
      <c r="E27" s="12" t="n"/>
      <c r="F27" s="12" t="n"/>
      <c r="G27" s="12" t="n"/>
      <c r="H27" s="12" t="n"/>
      <c r="I27" s="12" t="n"/>
      <c r="J27" s="29" t="n"/>
    </row>
    <row r="28" ht="22" customHeight="1">
      <c r="B28" s="16">
        <f>IF(C28="","CL-"&amp;TEXT(COUNTA($C$5:C28),"000"))</f>
        <v/>
      </c>
      <c r="C28" s="14" t="n"/>
      <c r="D28" s="14" t="n"/>
      <c r="E28" s="14" t="n"/>
      <c r="F28" s="14" t="n"/>
      <c r="G28" s="14" t="n"/>
      <c r="H28" s="14" t="n"/>
      <c r="I28" s="14" t="n"/>
      <c r="J28" s="30" t="n"/>
    </row>
    <row r="29" ht="22" customHeight="1">
      <c r="B29" s="17">
        <f>IF(C29="","CL-"&amp;TEXT(COUNTA($C$5:C29),"000"))</f>
        <v/>
      </c>
      <c r="C29" s="12" t="n"/>
      <c r="D29" s="12" t="n"/>
      <c r="E29" s="12" t="n"/>
      <c r="F29" s="12" t="n"/>
      <c r="G29" s="12" t="n"/>
      <c r="H29" s="12" t="n"/>
      <c r="I29" s="12" t="n"/>
      <c r="J29" s="29" t="n"/>
    </row>
    <row r="30" ht="22" customHeight="1">
      <c r="B30" s="16">
        <f>IF(C30="","CL-"&amp;TEXT(COUNTA($C$5:C30),"000"))</f>
        <v/>
      </c>
      <c r="C30" s="14" t="n"/>
      <c r="D30" s="14" t="n"/>
      <c r="E30" s="14" t="n"/>
      <c r="F30" s="14" t="n"/>
      <c r="G30" s="14" t="n"/>
      <c r="H30" s="14" t="n"/>
      <c r="I30" s="14" t="n"/>
      <c r="J30" s="30" t="n"/>
    </row>
    <row r="31" ht="22" customHeight="1">
      <c r="B31" s="17">
        <f>IF(C31="","CL-"&amp;TEXT(COUNTA($C$5:C31),"000"))</f>
        <v/>
      </c>
      <c r="C31" s="12" t="n"/>
      <c r="D31" s="12" t="n"/>
      <c r="E31" s="12" t="n"/>
      <c r="F31" s="12" t="n"/>
      <c r="G31" s="12" t="n"/>
      <c r="H31" s="12" t="n"/>
      <c r="I31" s="12" t="n"/>
      <c r="J31" s="29" t="n"/>
    </row>
    <row r="32" ht="22" customHeight="1">
      <c r="B32" s="16">
        <f>IF(C32="","CL-"&amp;TEXT(COUNTA($C$5:C32),"000"))</f>
        <v/>
      </c>
      <c r="C32" s="14" t="n"/>
      <c r="D32" s="14" t="n"/>
      <c r="E32" s="14" t="n"/>
      <c r="F32" s="14" t="n"/>
      <c r="G32" s="14" t="n"/>
      <c r="H32" s="14" t="n"/>
      <c r="I32" s="14" t="n"/>
      <c r="J32" s="30" t="n"/>
    </row>
    <row r="33" ht="22" customHeight="1">
      <c r="B33" s="17">
        <f>IF(C33="","CL-"&amp;TEXT(COUNTA($C$5:C33),"000"))</f>
        <v/>
      </c>
      <c r="C33" s="12" t="n"/>
      <c r="D33" s="12" t="n"/>
      <c r="E33" s="12" t="n"/>
      <c r="F33" s="12" t="n"/>
      <c r="G33" s="12" t="n"/>
      <c r="H33" s="12" t="n"/>
      <c r="I33" s="12" t="n"/>
      <c r="J33" s="29" t="n"/>
    </row>
    <row r="34" ht="22" customHeight="1">
      <c r="B34" s="16">
        <f>IF(C34="","CL-"&amp;TEXT(COUNTA($C$5:C34),"000"))</f>
        <v/>
      </c>
      <c r="C34" s="14" t="n"/>
      <c r="D34" s="14" t="n"/>
      <c r="E34" s="14" t="n"/>
      <c r="F34" s="14" t="n"/>
      <c r="G34" s="14" t="n"/>
      <c r="H34" s="14" t="n"/>
      <c r="I34" s="14" t="n"/>
      <c r="J34" s="30" t="n"/>
    </row>
    <row r="35" ht="22" customHeight="1">
      <c r="B35" s="17">
        <f>IF(C35="","CL-"&amp;TEXT(COUNTA($C$5:C35),"000"))</f>
        <v/>
      </c>
      <c r="C35" s="12" t="n"/>
      <c r="D35" s="12" t="n"/>
      <c r="E35" s="12" t="n"/>
      <c r="F35" s="12" t="n"/>
      <c r="G35" s="12" t="n"/>
      <c r="H35" s="12" t="n"/>
      <c r="I35" s="12" t="n"/>
      <c r="J35" s="29" t="n"/>
    </row>
    <row r="36" ht="22" customHeight="1">
      <c r="B36" s="16">
        <f>IF(C36="","CL-"&amp;TEXT(COUNTA($C$5:C36),"000"))</f>
        <v/>
      </c>
      <c r="C36" s="14" t="n"/>
      <c r="D36" s="14" t="n"/>
      <c r="E36" s="14" t="n"/>
      <c r="F36" s="14" t="n"/>
      <c r="G36" s="14" t="n"/>
      <c r="H36" s="14" t="n"/>
      <c r="I36" s="14" t="n"/>
      <c r="J36" s="30" t="n"/>
    </row>
    <row r="37" ht="22" customHeight="1">
      <c r="B37" s="17">
        <f>IF(C37="","CL-"&amp;TEXT(COUNTA($C$5:C37),"000"))</f>
        <v/>
      </c>
      <c r="C37" s="12" t="n"/>
      <c r="D37" s="12" t="n"/>
      <c r="E37" s="12" t="n"/>
      <c r="F37" s="12" t="n"/>
      <c r="G37" s="12" t="n"/>
      <c r="H37" s="12" t="n"/>
      <c r="I37" s="12" t="n"/>
      <c r="J37" s="29" t="n"/>
    </row>
    <row r="38" ht="22" customHeight="1">
      <c r="B38" s="16">
        <f>IF(C38="","CL-"&amp;TEXT(COUNTA($C$5:C38),"000"))</f>
        <v/>
      </c>
      <c r="C38" s="14" t="n"/>
      <c r="D38" s="14" t="n"/>
      <c r="E38" s="14" t="n"/>
      <c r="F38" s="14" t="n"/>
      <c r="G38" s="14" t="n"/>
      <c r="H38" s="14" t="n"/>
      <c r="I38" s="14" t="n"/>
      <c r="J38" s="30" t="n"/>
    </row>
    <row r="39" ht="22" customHeight="1">
      <c r="B39" s="17">
        <f>IF(C39="","CL-"&amp;TEXT(COUNTA($C$5:C39),"000"))</f>
        <v/>
      </c>
      <c r="C39" s="12" t="n"/>
      <c r="D39" s="12" t="n"/>
      <c r="E39" s="12" t="n"/>
      <c r="F39" s="12" t="n"/>
      <c r="G39" s="12" t="n"/>
      <c r="H39" s="12" t="n"/>
      <c r="I39" s="12" t="n"/>
      <c r="J39" s="29" t="n"/>
    </row>
    <row r="40" ht="22" customHeight="1">
      <c r="B40" s="16">
        <f>IF(C40="","CL-"&amp;TEXT(COUNTA($C$5:C40),"000"))</f>
        <v/>
      </c>
      <c r="C40" s="14" t="n"/>
      <c r="D40" s="14" t="n"/>
      <c r="E40" s="14" t="n"/>
      <c r="F40" s="14" t="n"/>
      <c r="G40" s="14" t="n"/>
      <c r="H40" s="14" t="n"/>
      <c r="I40" s="14" t="n"/>
      <c r="J40" s="30" t="n"/>
    </row>
    <row r="41" ht="22" customHeight="1">
      <c r="B41" s="17">
        <f>IF(C41="","CL-"&amp;TEXT(COUNTA($C$5:C41),"000"))</f>
        <v/>
      </c>
      <c r="C41" s="12" t="n"/>
      <c r="D41" s="12" t="n"/>
      <c r="E41" s="12" t="n"/>
      <c r="F41" s="12" t="n"/>
      <c r="G41" s="12" t="n"/>
      <c r="H41" s="12" t="n"/>
      <c r="I41" s="12" t="n"/>
      <c r="J41" s="29" t="n"/>
    </row>
    <row r="42" ht="22" customHeight="1">
      <c r="B42" s="16">
        <f>IF(C42="","CL-"&amp;TEXT(COUNTA($C$5:C42),"000"))</f>
        <v/>
      </c>
      <c r="C42" s="14" t="n"/>
      <c r="D42" s="14" t="n"/>
      <c r="E42" s="14" t="n"/>
      <c r="F42" s="14" t="n"/>
      <c r="G42" s="14" t="n"/>
      <c r="H42" s="14" t="n"/>
      <c r="I42" s="14" t="n"/>
      <c r="J42" s="30" t="n"/>
    </row>
    <row r="43" ht="22" customHeight="1">
      <c r="B43" s="17">
        <f>IF(C43="","CL-"&amp;TEXT(COUNTA($C$5:C43),"000"))</f>
        <v/>
      </c>
      <c r="C43" s="12" t="n"/>
      <c r="D43" s="12" t="n"/>
      <c r="E43" s="12" t="n"/>
      <c r="F43" s="12" t="n"/>
      <c r="G43" s="12" t="n"/>
      <c r="H43" s="12" t="n"/>
      <c r="I43" s="12" t="n"/>
      <c r="J43" s="29" t="n"/>
    </row>
    <row r="44" ht="22" customHeight="1">
      <c r="B44" s="16">
        <f>IF(C44="","CL-"&amp;TEXT(COUNTA($C$5:C44),"000"))</f>
        <v/>
      </c>
      <c r="C44" s="14" t="n"/>
      <c r="D44" s="14" t="n"/>
      <c r="E44" s="14" t="n"/>
      <c r="F44" s="14" t="n"/>
      <c r="G44" s="14" t="n"/>
      <c r="H44" s="14" t="n"/>
      <c r="I44" s="14" t="n"/>
      <c r="J44" s="30" t="n"/>
    </row>
    <row r="45" ht="22" customHeight="1">
      <c r="B45" s="17">
        <f>IF(C45="","CL-"&amp;TEXT(COUNTA($C$5:C45),"000"))</f>
        <v/>
      </c>
      <c r="C45" s="12" t="n"/>
      <c r="D45" s="12" t="n"/>
      <c r="E45" s="12" t="n"/>
      <c r="F45" s="12" t="n"/>
      <c r="G45" s="12" t="n"/>
      <c r="H45" s="12" t="n"/>
      <c r="I45" s="12" t="n"/>
      <c r="J45" s="29" t="n"/>
    </row>
    <row r="46" ht="22" customHeight="1">
      <c r="B46" s="16">
        <f>IF(C46="","CL-"&amp;TEXT(COUNTA($C$5:C46),"000"))</f>
        <v/>
      </c>
      <c r="C46" s="14" t="n"/>
      <c r="D46" s="14" t="n"/>
      <c r="E46" s="14" t="n"/>
      <c r="F46" s="14" t="n"/>
      <c r="G46" s="14" t="n"/>
      <c r="H46" s="14" t="n"/>
      <c r="I46" s="14" t="n"/>
      <c r="J46" s="30" t="n"/>
    </row>
    <row r="47" ht="22" customHeight="1">
      <c r="B47" s="17">
        <f>IF(C47="","CL-"&amp;TEXT(COUNTA($C$5:C47),"000"))</f>
        <v/>
      </c>
      <c r="C47" s="12" t="n"/>
      <c r="D47" s="12" t="n"/>
      <c r="E47" s="12" t="n"/>
      <c r="F47" s="12" t="n"/>
      <c r="G47" s="12" t="n"/>
      <c r="H47" s="12" t="n"/>
      <c r="I47" s="12" t="n"/>
      <c r="J47" s="29" t="n"/>
    </row>
    <row r="48" ht="22" customHeight="1">
      <c r="B48" s="16">
        <f>IF(C48="","CL-"&amp;TEXT(COUNTA($C$5:C48),"000"))</f>
        <v/>
      </c>
      <c r="C48" s="14" t="n"/>
      <c r="D48" s="14" t="n"/>
      <c r="E48" s="14" t="n"/>
      <c r="F48" s="14" t="n"/>
      <c r="G48" s="14" t="n"/>
      <c r="H48" s="14" t="n"/>
      <c r="I48" s="14" t="n"/>
      <c r="J48" s="30" t="n"/>
    </row>
    <row r="49" ht="22" customHeight="1">
      <c r="B49" s="17">
        <f>IF(C49="","CL-"&amp;TEXT(COUNTA($C$5:C49),"000"))</f>
        <v/>
      </c>
      <c r="C49" s="12" t="n"/>
      <c r="D49" s="12" t="n"/>
      <c r="E49" s="12" t="n"/>
      <c r="F49" s="12" t="n"/>
      <c r="G49" s="12" t="n"/>
      <c r="H49" s="12" t="n"/>
      <c r="I49" s="12" t="n"/>
      <c r="J49" s="29" t="n"/>
    </row>
    <row r="50" ht="22" customHeight="1">
      <c r="B50" s="16">
        <f>IF(C50="","CL-"&amp;TEXT(COUNTA($C$5:C50),"000"))</f>
        <v/>
      </c>
      <c r="C50" s="14" t="n"/>
      <c r="D50" s="14" t="n"/>
      <c r="E50" s="14" t="n"/>
      <c r="F50" s="14" t="n"/>
      <c r="G50" s="14" t="n"/>
      <c r="H50" s="14" t="n"/>
      <c r="I50" s="14" t="n"/>
      <c r="J50" s="30" t="n"/>
    </row>
    <row r="51" ht="22" customHeight="1">
      <c r="B51" s="17">
        <f>IF(C51="","CL-"&amp;TEXT(COUNTA($C$5:C51),"000"))</f>
        <v/>
      </c>
      <c r="C51" s="12" t="n"/>
      <c r="D51" s="12" t="n"/>
      <c r="E51" s="12" t="n"/>
      <c r="F51" s="12" t="n"/>
      <c r="G51" s="12" t="n"/>
      <c r="H51" s="12" t="n"/>
      <c r="I51" s="12" t="n"/>
      <c r="J51" s="29" t="n"/>
    </row>
    <row r="52" ht="22" customHeight="1">
      <c r="B52" s="16">
        <f>IF(C52="","CL-"&amp;TEXT(COUNTA($C$5:C52),"000"))</f>
        <v/>
      </c>
      <c r="C52" s="14" t="n"/>
      <c r="D52" s="14" t="n"/>
      <c r="E52" s="14" t="n"/>
      <c r="F52" s="14" t="n"/>
      <c r="G52" s="14" t="n"/>
      <c r="H52" s="14" t="n"/>
      <c r="I52" s="14" t="n"/>
      <c r="J52" s="30" t="n"/>
    </row>
    <row r="53" ht="22" customHeight="1">
      <c r="B53" s="17">
        <f>IF(C53="","CL-"&amp;TEXT(COUNTA($C$5:C53),"000"))</f>
        <v/>
      </c>
      <c r="C53" s="12" t="n"/>
      <c r="D53" s="12" t="n"/>
      <c r="E53" s="12" t="n"/>
      <c r="F53" s="12" t="n"/>
      <c r="G53" s="12" t="n"/>
      <c r="H53" s="12" t="n"/>
      <c r="I53" s="12" t="n"/>
      <c r="J53" s="29" t="n"/>
    </row>
    <row r="54" ht="22" customHeight="1">
      <c r="B54" s="16">
        <f>IF(C54="","CL-"&amp;TEXT(COUNTA($C$5:C54),"000"))</f>
        <v/>
      </c>
      <c r="C54" s="14" t="n"/>
      <c r="D54" s="14" t="n"/>
      <c r="E54" s="14" t="n"/>
      <c r="F54" s="14" t="n"/>
      <c r="G54" s="14" t="n"/>
      <c r="H54" s="14" t="n"/>
      <c r="I54" s="14" t="n"/>
      <c r="J54" s="30" t="n"/>
    </row>
    <row r="55" ht="22" customHeight="1">
      <c r="B55" s="17">
        <f>IF(C55="","CL-"&amp;TEXT(COUNTA($C$5:C55),"000"))</f>
        <v/>
      </c>
      <c r="C55" s="12" t="n"/>
      <c r="D55" s="12" t="n"/>
      <c r="E55" s="12" t="n"/>
      <c r="F55" s="12" t="n"/>
      <c r="G55" s="12" t="n"/>
      <c r="H55" s="12" t="n"/>
      <c r="I55" s="12" t="n"/>
      <c r="J55" s="29" t="n"/>
    </row>
    <row r="56" ht="22" customHeight="1">
      <c r="B56" s="16">
        <f>IF(C56="","CL-"&amp;TEXT(COUNTA($C$5:C56),"000"))</f>
        <v/>
      </c>
      <c r="C56" s="14" t="n"/>
      <c r="D56" s="14" t="n"/>
      <c r="E56" s="14" t="n"/>
      <c r="F56" s="14" t="n"/>
      <c r="G56" s="14" t="n"/>
      <c r="H56" s="14" t="n"/>
      <c r="I56" s="14" t="n"/>
      <c r="J56" s="30" t="n"/>
    </row>
    <row r="57" ht="22" customHeight="1">
      <c r="B57" s="17">
        <f>IF(C57="","CL-"&amp;TEXT(COUNTA($C$5:C57),"000"))</f>
        <v/>
      </c>
      <c r="C57" s="12" t="n"/>
      <c r="D57" s="12" t="n"/>
      <c r="E57" s="12" t="n"/>
      <c r="F57" s="12" t="n"/>
      <c r="G57" s="12" t="n"/>
      <c r="H57" s="12" t="n"/>
      <c r="I57" s="12" t="n"/>
      <c r="J57" s="29" t="n"/>
    </row>
    <row r="58" ht="22" customHeight="1">
      <c r="B58" s="16">
        <f>IF(C58="","CL-"&amp;TEXT(COUNTA($C$5:C58),"000"))</f>
        <v/>
      </c>
      <c r="C58" s="14" t="n"/>
      <c r="D58" s="14" t="n"/>
      <c r="E58" s="14" t="n"/>
      <c r="F58" s="14" t="n"/>
      <c r="G58" s="14" t="n"/>
      <c r="H58" s="14" t="n"/>
      <c r="I58" s="14" t="n"/>
      <c r="J58" s="30" t="n"/>
    </row>
    <row r="59" ht="22" customHeight="1">
      <c r="B59" s="17">
        <f>IF(C59="","CL-"&amp;TEXT(COUNTA($C$5:C59),"000"))</f>
        <v/>
      </c>
      <c r="C59" s="12" t="n"/>
      <c r="D59" s="12" t="n"/>
      <c r="E59" s="12" t="n"/>
      <c r="F59" s="12" t="n"/>
      <c r="G59" s="12" t="n"/>
      <c r="H59" s="12" t="n"/>
      <c r="I59" s="12" t="n"/>
      <c r="J59" s="29" t="n"/>
    </row>
    <row r="60" ht="22" customHeight="1">
      <c r="B60" s="16">
        <f>IF(C60="","CL-"&amp;TEXT(COUNTA($C$5:C60),"000"))</f>
        <v/>
      </c>
      <c r="C60" s="14" t="n"/>
      <c r="D60" s="14" t="n"/>
      <c r="E60" s="14" t="n"/>
      <c r="F60" s="14" t="n"/>
      <c r="G60" s="14" t="n"/>
      <c r="H60" s="14" t="n"/>
      <c r="I60" s="14" t="n"/>
      <c r="J60" s="30" t="n"/>
    </row>
    <row r="61" ht="22" customHeight="1">
      <c r="B61" s="17">
        <f>IF(C61="","CL-"&amp;TEXT(COUNTA($C$5:C61),"000"))</f>
        <v/>
      </c>
      <c r="C61" s="12" t="n"/>
      <c r="D61" s="12" t="n"/>
      <c r="E61" s="12" t="n"/>
      <c r="F61" s="12" t="n"/>
      <c r="G61" s="12" t="n"/>
      <c r="H61" s="12" t="n"/>
      <c r="I61" s="12" t="n"/>
      <c r="J61" s="29" t="n"/>
    </row>
    <row r="62" ht="22" customHeight="1">
      <c r="B62" s="16">
        <f>IF(C62="","CL-"&amp;TEXT(COUNTA($C$5:C62),"000"))</f>
        <v/>
      </c>
      <c r="C62" s="14" t="n"/>
      <c r="D62" s="14" t="n"/>
      <c r="E62" s="14" t="n"/>
      <c r="F62" s="14" t="n"/>
      <c r="G62" s="14" t="n"/>
      <c r="H62" s="14" t="n"/>
      <c r="I62" s="14" t="n"/>
      <c r="J62" s="30" t="n"/>
    </row>
    <row r="63" ht="22" customHeight="1">
      <c r="B63" s="17">
        <f>IF(C63="","CL-"&amp;TEXT(COUNTA($C$5:C63),"000"))</f>
        <v/>
      </c>
      <c r="C63" s="12" t="n"/>
      <c r="D63" s="12" t="n"/>
      <c r="E63" s="12" t="n"/>
      <c r="F63" s="12" t="n"/>
      <c r="G63" s="12" t="n"/>
      <c r="H63" s="12" t="n"/>
      <c r="I63" s="12" t="n"/>
      <c r="J63" s="29" t="n"/>
    </row>
    <row r="64" ht="22" customHeight="1">
      <c r="B64" s="16">
        <f>IF(C64="","CL-"&amp;TEXT(COUNTA($C$5:C64),"000"))</f>
        <v/>
      </c>
      <c r="C64" s="14" t="n"/>
      <c r="D64" s="14" t="n"/>
      <c r="E64" s="14" t="n"/>
      <c r="F64" s="14" t="n"/>
      <c r="G64" s="14" t="n"/>
      <c r="H64" s="14" t="n"/>
      <c r="I64" s="14" t="n"/>
      <c r="J64" s="30" t="n"/>
    </row>
    <row r="65" ht="22" customHeight="1">
      <c r="B65" s="17">
        <f>IF(C65="","CL-"&amp;TEXT(COUNTA($C$5:C65),"000"))</f>
        <v/>
      </c>
      <c r="C65" s="12" t="n"/>
      <c r="D65" s="12" t="n"/>
      <c r="E65" s="12" t="n"/>
      <c r="F65" s="12" t="n"/>
      <c r="G65" s="12" t="n"/>
      <c r="H65" s="12" t="n"/>
      <c r="I65" s="12" t="n"/>
      <c r="J65" s="29" t="n"/>
    </row>
    <row r="66" ht="22" customHeight="1">
      <c r="B66" s="16">
        <f>IF(C66="","CL-"&amp;TEXT(COUNTA($C$5:C66),"000"))</f>
        <v/>
      </c>
      <c r="C66" s="14" t="n"/>
      <c r="D66" s="14" t="n"/>
      <c r="E66" s="14" t="n"/>
      <c r="F66" s="14" t="n"/>
      <c r="G66" s="14" t="n"/>
      <c r="H66" s="14" t="n"/>
      <c r="I66" s="14" t="n"/>
      <c r="J66" s="30" t="n"/>
    </row>
    <row r="67" ht="22" customHeight="1">
      <c r="B67" s="17">
        <f>IF(C67="","CL-"&amp;TEXT(COUNTA($C$5:C67),"000"))</f>
        <v/>
      </c>
      <c r="C67" s="12" t="n"/>
      <c r="D67" s="12" t="n"/>
      <c r="E67" s="12" t="n"/>
      <c r="F67" s="12" t="n"/>
      <c r="G67" s="12" t="n"/>
      <c r="H67" s="12" t="n"/>
      <c r="I67" s="12" t="n"/>
      <c r="J67" s="29" t="n"/>
    </row>
    <row r="68" ht="22" customHeight="1">
      <c r="B68" s="16">
        <f>IF(C68="","CL-"&amp;TEXT(COUNTA($C$5:C68),"000"))</f>
        <v/>
      </c>
      <c r="C68" s="14" t="n"/>
      <c r="D68" s="14" t="n"/>
      <c r="E68" s="14" t="n"/>
      <c r="F68" s="14" t="n"/>
      <c r="G68" s="14" t="n"/>
      <c r="H68" s="14" t="n"/>
      <c r="I68" s="14" t="n"/>
      <c r="J68" s="30" t="n"/>
    </row>
    <row r="69" ht="22" customHeight="1">
      <c r="B69" s="17">
        <f>IF(C69="","CL-"&amp;TEXT(COUNTA($C$5:C69),"000"))</f>
        <v/>
      </c>
      <c r="C69" s="12" t="n"/>
      <c r="D69" s="12" t="n"/>
      <c r="E69" s="12" t="n"/>
      <c r="F69" s="12" t="n"/>
      <c r="G69" s="12" t="n"/>
      <c r="H69" s="12" t="n"/>
      <c r="I69" s="12" t="n"/>
      <c r="J69" s="29" t="n"/>
    </row>
    <row r="70" ht="22" customHeight="1">
      <c r="B70" s="16">
        <f>IF(C70="","CL-"&amp;TEXT(COUNTA($C$5:C70),"000"))</f>
        <v/>
      </c>
      <c r="C70" s="14" t="n"/>
      <c r="D70" s="14" t="n"/>
      <c r="E70" s="14" t="n"/>
      <c r="F70" s="14" t="n"/>
      <c r="G70" s="14" t="n"/>
      <c r="H70" s="14" t="n"/>
      <c r="I70" s="14" t="n"/>
      <c r="J70" s="30" t="n"/>
    </row>
    <row r="71" ht="22" customHeight="1">
      <c r="B71" s="17">
        <f>IF(C71="","CL-"&amp;TEXT(COUNTA($C$5:C71),"000"))</f>
        <v/>
      </c>
      <c r="C71" s="12" t="n"/>
      <c r="D71" s="12" t="n"/>
      <c r="E71" s="12" t="n"/>
      <c r="F71" s="12" t="n"/>
      <c r="G71" s="12" t="n"/>
      <c r="H71" s="12" t="n"/>
      <c r="I71" s="12" t="n"/>
      <c r="J71" s="29" t="n"/>
    </row>
    <row r="72" ht="22" customHeight="1">
      <c r="B72" s="16">
        <f>IF(C72="","CL-"&amp;TEXT(COUNTA($C$5:C72),"000"))</f>
        <v/>
      </c>
      <c r="C72" s="14" t="n"/>
      <c r="D72" s="14" t="n"/>
      <c r="E72" s="14" t="n"/>
      <c r="F72" s="14" t="n"/>
      <c r="G72" s="14" t="n"/>
      <c r="H72" s="14" t="n"/>
      <c r="I72" s="14" t="n"/>
      <c r="J72" s="30" t="n"/>
    </row>
    <row r="73" ht="22" customHeight="1">
      <c r="B73" s="17">
        <f>IF(C73="","CL-"&amp;TEXT(COUNTA($C$5:C73),"000"))</f>
        <v/>
      </c>
      <c r="C73" s="12" t="n"/>
      <c r="D73" s="12" t="n"/>
      <c r="E73" s="12" t="n"/>
      <c r="F73" s="12" t="n"/>
      <c r="G73" s="12" t="n"/>
      <c r="H73" s="12" t="n"/>
      <c r="I73" s="12" t="n"/>
      <c r="J73" s="29" t="n"/>
    </row>
    <row r="74" ht="22" customHeight="1">
      <c r="B74" s="16">
        <f>IF(C74="","CL-"&amp;TEXT(COUNTA($C$5:C74),"000"))</f>
        <v/>
      </c>
      <c r="C74" s="14" t="n"/>
      <c r="D74" s="14" t="n"/>
      <c r="E74" s="14" t="n"/>
      <c r="F74" s="14" t="n"/>
      <c r="G74" s="14" t="n"/>
      <c r="H74" s="14" t="n"/>
      <c r="I74" s="14" t="n"/>
      <c r="J74" s="30" t="n"/>
    </row>
    <row r="75" ht="22" customHeight="1">
      <c r="B75" s="17">
        <f>IF(C75="","CL-"&amp;TEXT(COUNTA($C$5:C75),"000"))</f>
        <v/>
      </c>
      <c r="C75" s="12" t="n"/>
      <c r="D75" s="12" t="n"/>
      <c r="E75" s="12" t="n"/>
      <c r="F75" s="12" t="n"/>
      <c r="G75" s="12" t="n"/>
      <c r="H75" s="12" t="n"/>
      <c r="I75" s="12" t="n"/>
      <c r="J75" s="29" t="n"/>
    </row>
    <row r="76" ht="22" customHeight="1">
      <c r="B76" s="16">
        <f>IF(C76="","CL-"&amp;TEXT(COUNTA($C$5:C76),"000"))</f>
        <v/>
      </c>
      <c r="C76" s="14" t="n"/>
      <c r="D76" s="14" t="n"/>
      <c r="E76" s="14" t="n"/>
      <c r="F76" s="14" t="n"/>
      <c r="G76" s="14" t="n"/>
      <c r="H76" s="14" t="n"/>
      <c r="I76" s="14" t="n"/>
      <c r="J76" s="30" t="n"/>
    </row>
    <row r="77" ht="22" customHeight="1">
      <c r="B77" s="17">
        <f>IF(C77="","CL-"&amp;TEXT(COUNTA($C$5:C77),"000"))</f>
        <v/>
      </c>
      <c r="C77" s="12" t="n"/>
      <c r="D77" s="12" t="n"/>
      <c r="E77" s="12" t="n"/>
      <c r="F77" s="12" t="n"/>
      <c r="G77" s="12" t="n"/>
      <c r="H77" s="12" t="n"/>
      <c r="I77" s="12" t="n"/>
      <c r="J77" s="29" t="n"/>
    </row>
    <row r="78" ht="22" customHeight="1">
      <c r="B78" s="16">
        <f>IF(C78="","CL-"&amp;TEXT(COUNTA($C$5:C78),"000"))</f>
        <v/>
      </c>
      <c r="C78" s="14" t="n"/>
      <c r="D78" s="14" t="n"/>
      <c r="E78" s="14" t="n"/>
      <c r="F78" s="14" t="n"/>
      <c r="G78" s="14" t="n"/>
      <c r="H78" s="14" t="n"/>
      <c r="I78" s="14" t="n"/>
      <c r="J78" s="30" t="n"/>
    </row>
    <row r="79" ht="22" customHeight="1">
      <c r="B79" s="17">
        <f>IF(C79="","CL-"&amp;TEXT(COUNTA($C$5:C79),"000"))</f>
        <v/>
      </c>
      <c r="C79" s="12" t="n"/>
      <c r="D79" s="12" t="n"/>
      <c r="E79" s="12" t="n"/>
      <c r="F79" s="12" t="n"/>
      <c r="G79" s="12" t="n"/>
      <c r="H79" s="12" t="n"/>
      <c r="I79" s="12" t="n"/>
      <c r="J79" s="29" t="n"/>
    </row>
    <row r="80" ht="22" customHeight="1">
      <c r="B80" s="16">
        <f>IF(C80="","CL-"&amp;TEXT(COUNTA($C$5:C80),"000"))</f>
        <v/>
      </c>
      <c r="C80" s="14" t="n"/>
      <c r="D80" s="14" t="n"/>
      <c r="E80" s="14" t="n"/>
      <c r="F80" s="14" t="n"/>
      <c r="G80" s="14" t="n"/>
      <c r="H80" s="14" t="n"/>
      <c r="I80" s="14" t="n"/>
      <c r="J80" s="30" t="n"/>
    </row>
    <row r="81" ht="22" customHeight="1">
      <c r="B81" s="17">
        <f>IF(C81="","CL-"&amp;TEXT(COUNTA($C$5:C81),"000"))</f>
        <v/>
      </c>
      <c r="C81" s="12" t="n"/>
      <c r="D81" s="12" t="n"/>
      <c r="E81" s="12" t="n"/>
      <c r="F81" s="12" t="n"/>
      <c r="G81" s="12" t="n"/>
      <c r="H81" s="12" t="n"/>
      <c r="I81" s="12" t="n"/>
      <c r="J81" s="29" t="n"/>
    </row>
    <row r="82" ht="22" customHeight="1">
      <c r="B82" s="16">
        <f>IF(C82="","CL-"&amp;TEXT(COUNTA($C$5:C82),"000"))</f>
        <v/>
      </c>
      <c r="C82" s="14" t="n"/>
      <c r="D82" s="14" t="n"/>
      <c r="E82" s="14" t="n"/>
      <c r="F82" s="14" t="n"/>
      <c r="G82" s="14" t="n"/>
      <c r="H82" s="14" t="n"/>
      <c r="I82" s="14" t="n"/>
      <c r="J82" s="30" t="n"/>
    </row>
    <row r="83" ht="22" customHeight="1">
      <c r="B83" s="17">
        <f>IF(C83="","CL-"&amp;TEXT(COUNTA($C$5:C83),"000"))</f>
        <v/>
      </c>
      <c r="C83" s="12" t="n"/>
      <c r="D83" s="12" t="n"/>
      <c r="E83" s="12" t="n"/>
      <c r="F83" s="12" t="n"/>
      <c r="G83" s="12" t="n"/>
      <c r="H83" s="12" t="n"/>
      <c r="I83" s="12" t="n"/>
      <c r="J83" s="29" t="n"/>
    </row>
    <row r="84" ht="22" customHeight="1">
      <c r="B84" s="16">
        <f>IF(C84="","CL-"&amp;TEXT(COUNTA($C$5:C84),"000"))</f>
        <v/>
      </c>
      <c r="C84" s="14" t="n"/>
      <c r="D84" s="14" t="n"/>
      <c r="E84" s="14" t="n"/>
      <c r="F84" s="14" t="n"/>
      <c r="G84" s="14" t="n"/>
      <c r="H84" s="14" t="n"/>
      <c r="I84" s="14" t="n"/>
      <c r="J84" s="30" t="n"/>
    </row>
    <row r="85" ht="22" customHeight="1">
      <c r="B85" s="17">
        <f>IF(C85="","CL-"&amp;TEXT(COUNTA($C$5:C85),"000"))</f>
        <v/>
      </c>
      <c r="C85" s="12" t="n"/>
      <c r="D85" s="12" t="n"/>
      <c r="E85" s="12" t="n"/>
      <c r="F85" s="12" t="n"/>
      <c r="G85" s="12" t="n"/>
      <c r="H85" s="12" t="n"/>
      <c r="I85" s="12" t="n"/>
      <c r="J85" s="29" t="n"/>
    </row>
    <row r="86" ht="22" customHeight="1">
      <c r="B86" s="16">
        <f>IF(C86="","CL-"&amp;TEXT(COUNTA($C$5:C86),"000"))</f>
        <v/>
      </c>
      <c r="C86" s="14" t="n"/>
      <c r="D86" s="14" t="n"/>
      <c r="E86" s="14" t="n"/>
      <c r="F86" s="14" t="n"/>
      <c r="G86" s="14" t="n"/>
      <c r="H86" s="14" t="n"/>
      <c r="I86" s="14" t="n"/>
      <c r="J86" s="30" t="n"/>
    </row>
    <row r="87" ht="22" customHeight="1">
      <c r="B87" s="17">
        <f>IF(C87="","CL-"&amp;TEXT(COUNTA($C$5:C87),"000"))</f>
        <v/>
      </c>
      <c r="C87" s="12" t="n"/>
      <c r="D87" s="12" t="n"/>
      <c r="E87" s="12" t="n"/>
      <c r="F87" s="12" t="n"/>
      <c r="G87" s="12" t="n"/>
      <c r="H87" s="12" t="n"/>
      <c r="I87" s="12" t="n"/>
      <c r="J87" s="29" t="n"/>
    </row>
    <row r="88" ht="22" customHeight="1">
      <c r="B88" s="16">
        <f>IF(C88="","CL-"&amp;TEXT(COUNTA($C$5:C88),"000"))</f>
        <v/>
      </c>
      <c r="C88" s="14" t="n"/>
      <c r="D88" s="14" t="n"/>
      <c r="E88" s="14" t="n"/>
      <c r="F88" s="14" t="n"/>
      <c r="G88" s="14" t="n"/>
      <c r="H88" s="14" t="n"/>
      <c r="I88" s="14" t="n"/>
      <c r="J88" s="30" t="n"/>
    </row>
    <row r="89" ht="22" customHeight="1">
      <c r="B89" s="17">
        <f>IF(C89="","CL-"&amp;TEXT(COUNTA($C$5:C89),"000"))</f>
        <v/>
      </c>
      <c r="C89" s="12" t="n"/>
      <c r="D89" s="12" t="n"/>
      <c r="E89" s="12" t="n"/>
      <c r="F89" s="12" t="n"/>
      <c r="G89" s="12" t="n"/>
      <c r="H89" s="12" t="n"/>
      <c r="I89" s="12" t="n"/>
      <c r="J89" s="29" t="n"/>
    </row>
    <row r="90" ht="22" customHeight="1">
      <c r="B90" s="16">
        <f>IF(C90="","CL-"&amp;TEXT(COUNTA($C$5:C90),"000"))</f>
        <v/>
      </c>
      <c r="C90" s="14" t="n"/>
      <c r="D90" s="14" t="n"/>
      <c r="E90" s="14" t="n"/>
      <c r="F90" s="14" t="n"/>
      <c r="G90" s="14" t="n"/>
      <c r="H90" s="14" t="n"/>
      <c r="I90" s="14" t="n"/>
      <c r="J90" s="30" t="n"/>
    </row>
    <row r="91" ht="22" customHeight="1">
      <c r="B91" s="17">
        <f>IF(C91="","CL-"&amp;TEXT(COUNTA($C$5:C91),"000"))</f>
        <v/>
      </c>
      <c r="C91" s="12" t="n"/>
      <c r="D91" s="12" t="n"/>
      <c r="E91" s="12" t="n"/>
      <c r="F91" s="12" t="n"/>
      <c r="G91" s="12" t="n"/>
      <c r="H91" s="12" t="n"/>
      <c r="I91" s="12" t="n"/>
      <c r="J91" s="29" t="n"/>
    </row>
    <row r="92" ht="22" customHeight="1">
      <c r="B92" s="16">
        <f>IF(C92="","CL-"&amp;TEXT(COUNTA($C$5:C92),"000"))</f>
        <v/>
      </c>
      <c r="C92" s="14" t="n"/>
      <c r="D92" s="14" t="n"/>
      <c r="E92" s="14" t="n"/>
      <c r="F92" s="14" t="n"/>
      <c r="G92" s="14" t="n"/>
      <c r="H92" s="14" t="n"/>
      <c r="I92" s="14" t="n"/>
      <c r="J92" s="30" t="n"/>
    </row>
    <row r="93" ht="22" customHeight="1">
      <c r="B93" s="17">
        <f>IF(C93="","CL-"&amp;TEXT(COUNTA($C$5:C93),"000"))</f>
        <v/>
      </c>
      <c r="C93" s="12" t="n"/>
      <c r="D93" s="12" t="n"/>
      <c r="E93" s="12" t="n"/>
      <c r="F93" s="12" t="n"/>
      <c r="G93" s="12" t="n"/>
      <c r="H93" s="12" t="n"/>
      <c r="I93" s="12" t="n"/>
      <c r="J93" s="29" t="n"/>
    </row>
    <row r="94" ht="22" customHeight="1">
      <c r="B94" s="16">
        <f>IF(C94="","CL-"&amp;TEXT(COUNTA($C$5:C94),"000"))</f>
        <v/>
      </c>
      <c r="C94" s="14" t="n"/>
      <c r="D94" s="14" t="n"/>
      <c r="E94" s="14" t="n"/>
      <c r="F94" s="14" t="n"/>
      <c r="G94" s="14" t="n"/>
      <c r="H94" s="14" t="n"/>
      <c r="I94" s="14" t="n"/>
      <c r="J94" s="30" t="n"/>
    </row>
    <row r="95" ht="22" customHeight="1">
      <c r="B95" s="17">
        <f>IF(C95="","CL-"&amp;TEXT(COUNTA($C$5:C95),"000"))</f>
        <v/>
      </c>
      <c r="C95" s="12" t="n"/>
      <c r="D95" s="12" t="n"/>
      <c r="E95" s="12" t="n"/>
      <c r="F95" s="12" t="n"/>
      <c r="G95" s="12" t="n"/>
      <c r="H95" s="12" t="n"/>
      <c r="I95" s="12" t="n"/>
      <c r="J95" s="29" t="n"/>
    </row>
    <row r="96" ht="22" customHeight="1">
      <c r="B96" s="16">
        <f>IF(C96="","CL-"&amp;TEXT(COUNTA($C$5:C96),"000"))</f>
        <v/>
      </c>
      <c r="C96" s="14" t="n"/>
      <c r="D96" s="14" t="n"/>
      <c r="E96" s="14" t="n"/>
      <c r="F96" s="14" t="n"/>
      <c r="G96" s="14" t="n"/>
      <c r="H96" s="14" t="n"/>
      <c r="I96" s="14" t="n"/>
      <c r="J96" s="30" t="n"/>
    </row>
    <row r="97" ht="22" customHeight="1">
      <c r="B97" s="17">
        <f>IF(C97="","CL-"&amp;TEXT(COUNTA($C$5:C97),"000"))</f>
        <v/>
      </c>
      <c r="C97" s="12" t="n"/>
      <c r="D97" s="12" t="n"/>
      <c r="E97" s="12" t="n"/>
      <c r="F97" s="12" t="n"/>
      <c r="G97" s="12" t="n"/>
      <c r="H97" s="12" t="n"/>
      <c r="I97" s="12" t="n"/>
      <c r="J97" s="29" t="n"/>
    </row>
    <row r="98" ht="22" customHeight="1">
      <c r="B98" s="16">
        <f>IF(C98="","CL-"&amp;TEXT(COUNTA($C$5:C98),"000"))</f>
        <v/>
      </c>
      <c r="C98" s="14" t="n"/>
      <c r="D98" s="14" t="n"/>
      <c r="E98" s="14" t="n"/>
      <c r="F98" s="14" t="n"/>
      <c r="G98" s="14" t="n"/>
      <c r="H98" s="14" t="n"/>
      <c r="I98" s="14" t="n"/>
      <c r="J98" s="30" t="n"/>
    </row>
    <row r="99" ht="22" customHeight="1">
      <c r="B99" s="17">
        <f>IF(C99="","CL-"&amp;TEXT(COUNTA($C$5:C99),"000"))</f>
        <v/>
      </c>
      <c r="C99" s="12" t="n"/>
      <c r="D99" s="12" t="n"/>
      <c r="E99" s="12" t="n"/>
      <c r="F99" s="12" t="n"/>
      <c r="G99" s="12" t="n"/>
      <c r="H99" s="12" t="n"/>
      <c r="I99" s="12" t="n"/>
      <c r="J99" s="29" t="n"/>
    </row>
    <row r="100" ht="22" customHeight="1">
      <c r="B100" s="16">
        <f>IF(C100="","CL-"&amp;TEXT(COUNTA($C$5:C100),"000"))</f>
        <v/>
      </c>
      <c r="C100" s="14" t="n"/>
      <c r="D100" s="14" t="n"/>
      <c r="E100" s="14" t="n"/>
      <c r="F100" s="14" t="n"/>
      <c r="G100" s="14" t="n"/>
      <c r="H100" s="14" t="n"/>
      <c r="I100" s="14" t="n"/>
      <c r="J100" s="30" t="n"/>
    </row>
    <row r="101" ht="22" customHeight="1">
      <c r="B101" s="17">
        <f>IF(C101="","CL-"&amp;TEXT(COUNTA($C$5:C101),"000"))</f>
        <v/>
      </c>
      <c r="C101" s="12" t="n"/>
      <c r="D101" s="12" t="n"/>
      <c r="E101" s="12" t="n"/>
      <c r="F101" s="12" t="n"/>
      <c r="G101" s="12" t="n"/>
      <c r="H101" s="12" t="n"/>
      <c r="I101" s="12" t="n"/>
      <c r="J101" s="29" t="n"/>
    </row>
    <row r="102" ht="22" customHeight="1">
      <c r="B102" s="16">
        <f>IF(C102="","CL-"&amp;TEXT(COUNTA($C$5:C102),"000"))</f>
        <v/>
      </c>
      <c r="C102" s="14" t="n"/>
      <c r="D102" s="14" t="n"/>
      <c r="E102" s="14" t="n"/>
      <c r="F102" s="14" t="n"/>
      <c r="G102" s="14" t="n"/>
      <c r="H102" s="14" t="n"/>
      <c r="I102" s="14" t="n"/>
      <c r="J102" s="30" t="n"/>
    </row>
    <row r="103" ht="22" customHeight="1">
      <c r="B103" s="17">
        <f>IF(C103="","CL-"&amp;TEXT(COUNTA($C$5:C103),"000"))</f>
        <v/>
      </c>
      <c r="C103" s="12" t="n"/>
      <c r="D103" s="12" t="n"/>
      <c r="E103" s="12" t="n"/>
      <c r="F103" s="12" t="n"/>
      <c r="G103" s="12" t="n"/>
      <c r="H103" s="12" t="n"/>
      <c r="I103" s="12" t="n"/>
      <c r="J103" s="29" t="n"/>
    </row>
    <row r="104" ht="22" customHeight="1">
      <c r="B104" s="16">
        <f>IF(C104="","CL-"&amp;TEXT(COUNTA($C$5:C104),"000"))</f>
        <v/>
      </c>
      <c r="C104" s="14" t="n"/>
      <c r="D104" s="14" t="n"/>
      <c r="E104" s="14" t="n"/>
      <c r="F104" s="14" t="n"/>
      <c r="G104" s="14" t="n"/>
      <c r="H104" s="14" t="n"/>
      <c r="I104" s="14" t="n"/>
      <c r="J104" s="30" t="n"/>
    </row>
    <row r="105" ht="22" customHeight="1">
      <c r="B105" s="17">
        <f>IF(C105="","CL-"&amp;TEXT(COUNTA($C$5:C105),"000"))</f>
        <v/>
      </c>
      <c r="C105" s="12" t="n"/>
      <c r="D105" s="12" t="n"/>
      <c r="E105" s="12" t="n"/>
      <c r="F105" s="12" t="n"/>
      <c r="G105" s="12" t="n"/>
      <c r="H105" s="12" t="n"/>
      <c r="I105" s="12" t="n"/>
      <c r="J105" s="29" t="n"/>
    </row>
    <row r="106" ht="22" customHeight="1">
      <c r="B106" s="16">
        <f>IF(C106="","CL-"&amp;TEXT(COUNTA($C$5:C106),"000"))</f>
        <v/>
      </c>
      <c r="C106" s="14" t="n"/>
      <c r="D106" s="14" t="n"/>
      <c r="E106" s="14" t="n"/>
      <c r="F106" s="14" t="n"/>
      <c r="G106" s="14" t="n"/>
      <c r="H106" s="14" t="n"/>
      <c r="I106" s="14" t="n"/>
      <c r="J106" s="30" t="n"/>
    </row>
    <row r="107" ht="22" customHeight="1">
      <c r="B107" s="17">
        <f>IF(C107="","CL-"&amp;TEXT(COUNTA($C$5:C107),"000"))</f>
        <v/>
      </c>
      <c r="C107" s="12" t="n"/>
      <c r="D107" s="12" t="n"/>
      <c r="E107" s="12" t="n"/>
      <c r="F107" s="12" t="n"/>
      <c r="G107" s="12" t="n"/>
      <c r="H107" s="12" t="n"/>
      <c r="I107" s="12" t="n"/>
      <c r="J107" s="29" t="n"/>
    </row>
    <row r="108" ht="22" customHeight="1">
      <c r="B108" s="16">
        <f>IF(C108="","CL-"&amp;TEXT(COUNTA($C$5:C108),"000"))</f>
        <v/>
      </c>
      <c r="C108" s="14" t="n"/>
      <c r="D108" s="14" t="n"/>
      <c r="E108" s="14" t="n"/>
      <c r="F108" s="14" t="n"/>
      <c r="G108" s="14" t="n"/>
      <c r="H108" s="14" t="n"/>
      <c r="I108" s="14" t="n"/>
      <c r="J108" s="30" t="n"/>
    </row>
    <row r="109" ht="22" customHeight="1">
      <c r="B109" s="17">
        <f>IF(C109="","CL-"&amp;TEXT(COUNTA($C$5:C109),"000"))</f>
        <v/>
      </c>
      <c r="C109" s="12" t="n"/>
      <c r="D109" s="12" t="n"/>
      <c r="E109" s="12" t="n"/>
      <c r="F109" s="12" t="n"/>
      <c r="G109" s="12" t="n"/>
      <c r="H109" s="12" t="n"/>
      <c r="I109" s="12" t="n"/>
      <c r="J109" s="29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Categories</t>
        </is>
      </c>
    </row>
    <row r="113">
      <c r="B113" s="4">
        <f>COUNTIF(B5:B104,"&lt;&gt;")</f>
        <v/>
      </c>
    </row>
  </sheetData>
  <mergeCells count="3">
    <mergeCell ref="B3:J3"/>
    <mergeCell ref="B2:J2"/>
    <mergeCell ref="B111:J111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dataValidations count="1">
    <dataValidation sqref="E5:E109" showDropDown="0" showInputMessage="0" showErrorMessage="0" allowBlank="1" errorTitle="Erreur" error="Valeur invalide" promptTitle="Liste" prompt="Choisir dans la liste" type="list">
      <formula1>'_Lists'!$I$2:$I$8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16" customWidth="1" min="4" max="4"/>
    <col width="14" customWidth="1" min="5" max="5"/>
    <col width="18" customWidth="1" min="6" max="6"/>
    <col width="34" customWidth="1" min="7" max="7"/>
    <col width="16" customWidth="1" min="8" max="8"/>
    <col width="32" customWidth="1" min="9" max="9"/>
    <col width="14" customWidth="1" min="10" max="10"/>
  </cols>
  <sheetData>
    <row r="1" ht="15" customHeight="1"/>
    <row r="2" ht="32" customHeight="1">
      <c r="B2" s="1" t="inlineStr">
        <is>
          <t>GESTION VERSIONS DOCUMENTS (#134)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Document</t>
        </is>
      </c>
      <c r="D4" s="11" t="inlineStr">
        <is>
          <t>Version Actuelle</t>
        </is>
      </c>
      <c r="E4" s="11" t="inlineStr">
        <is>
          <t>Date Version</t>
        </is>
      </c>
      <c r="F4" s="11" t="inlineStr">
        <is>
          <t>Auteur Version</t>
        </is>
      </c>
      <c r="G4" s="11" t="inlineStr">
        <is>
          <t>Modifications</t>
        </is>
      </c>
      <c r="H4" s="11" t="inlineStr">
        <is>
          <t>Version Precedente</t>
        </is>
      </c>
      <c r="I4" s="11" t="inlineStr">
        <is>
          <t>Emplacement Archive</t>
        </is>
      </c>
      <c r="J4" s="11" t="inlineStr">
        <is>
          <t>Statut</t>
        </is>
      </c>
    </row>
    <row r="5" ht="22" customHeight="1">
      <c r="B5" s="12" t="inlineStr">
        <is>
          <t>VER-001</t>
        </is>
      </c>
      <c r="C5" s="12" t="inlineStr">
        <is>
          <t>Reglement interieur</t>
        </is>
      </c>
      <c r="D5" s="12" t="inlineStr">
        <is>
          <t>V3.2</t>
        </is>
      </c>
      <c r="E5" s="29" t="n">
        <v>45458</v>
      </c>
      <c r="F5" s="12" t="inlineStr">
        <is>
          <t>DG + DRH</t>
        </is>
      </c>
      <c r="G5" s="12" t="inlineStr">
        <is>
          <t>Ajout volet numerique + teletravail</t>
        </is>
      </c>
      <c r="H5" s="12" t="inlineStr">
        <is>
          <t>V3.1</t>
        </is>
      </c>
      <c r="I5" s="12" t="inlineStr">
        <is>
          <t>Archive / Reglement interieur / V3.1</t>
        </is>
      </c>
      <c r="J5" s="12" t="inlineStr">
        <is>
          <t>Valide</t>
        </is>
      </c>
    </row>
    <row r="6" ht="22" customHeight="1">
      <c r="B6" s="14" t="inlineStr">
        <is>
          <t>VER-002</t>
        </is>
      </c>
      <c r="C6" s="14" t="inlineStr">
        <is>
          <t>Grille salariale</t>
        </is>
      </c>
      <c r="D6" s="14" t="inlineStr">
        <is>
          <t>V2.1</t>
        </is>
      </c>
      <c r="E6" s="30" t="n">
        <v>45667</v>
      </c>
      <c r="F6" s="14" t="inlineStr">
        <is>
          <t>DRH + DAF</t>
        </is>
      </c>
      <c r="G6" s="14" t="inlineStr">
        <is>
          <t>Integre nouveau SMIG 2025</t>
        </is>
      </c>
      <c r="H6" s="14" t="inlineStr">
        <is>
          <t>V2.0</t>
        </is>
      </c>
      <c r="I6" s="14" t="inlineStr">
        <is>
          <t>Archive / Grilles / V2.0</t>
        </is>
      </c>
      <c r="J6" s="14" t="inlineStr">
        <is>
          <t>Valide</t>
        </is>
      </c>
    </row>
    <row r="7" ht="22" customHeight="1">
      <c r="B7" s="12" t="inlineStr">
        <is>
          <t>VER-003</t>
        </is>
      </c>
      <c r="C7" s="12" t="inlineStr">
        <is>
          <t>Procedure recrutement</t>
        </is>
      </c>
      <c r="D7" s="12" t="inlineStr">
        <is>
          <t>V2.0</t>
        </is>
      </c>
      <c r="E7" s="29" t="n">
        <v>45536</v>
      </c>
      <c r="F7" s="12" t="inlineStr">
        <is>
          <t>DRH</t>
        </is>
      </c>
      <c r="G7" s="12" t="inlineStr">
        <is>
          <t>Ajout test technique obligatoire</t>
        </is>
      </c>
      <c r="H7" s="12" t="inlineStr">
        <is>
          <t>V1.0</t>
        </is>
      </c>
      <c r="I7" s="12" t="inlineStr">
        <is>
          <t>Archive / Procedures / V1.0</t>
        </is>
      </c>
      <c r="J7" s="12" t="inlineStr">
        <is>
          <t>Valide</t>
        </is>
      </c>
    </row>
    <row r="8" ht="22" customHeight="1">
      <c r="B8" s="14" t="inlineStr">
        <is>
          <t>VER-004</t>
        </is>
      </c>
      <c r="C8" s="14" t="inlineStr">
        <is>
          <t>Charte ethique</t>
        </is>
      </c>
      <c r="D8" s="14" t="inlineStr">
        <is>
          <t>V1.5</t>
        </is>
      </c>
      <c r="E8" s="30" t="n">
        <v>45352</v>
      </c>
      <c r="F8" s="14" t="inlineStr">
        <is>
          <t>DG</t>
        </is>
      </c>
      <c r="G8" s="14" t="inlineStr">
        <is>
          <t>Ajout volet reseaux sociaux</t>
        </is>
      </c>
      <c r="H8" s="14" t="inlineStr">
        <is>
          <t>V1.4</t>
        </is>
      </c>
      <c r="I8" s="14" t="inlineStr">
        <is>
          <t>Archive / Chartes / V1.4</t>
        </is>
      </c>
      <c r="J8" s="14" t="inlineStr">
        <is>
          <t>Valide</t>
        </is>
      </c>
    </row>
    <row r="9" ht="22" customHeight="1">
      <c r="B9" s="12" t="inlineStr">
        <is>
          <t>VER-005</t>
        </is>
      </c>
      <c r="C9" s="12" t="inlineStr">
        <is>
          <t>Politique diversite</t>
        </is>
      </c>
      <c r="D9" s="12" t="inlineStr">
        <is>
          <t>V1.0</t>
        </is>
      </c>
      <c r="E9" s="29" t="n">
        <v>45689</v>
      </c>
      <c r="F9" s="12" t="inlineStr">
        <is>
          <t>DG + DRH</t>
        </is>
      </c>
      <c r="G9" s="12" t="inlineStr">
        <is>
          <t>Creation initiale</t>
        </is>
      </c>
      <c r="H9" s="12" t="inlineStr"/>
      <c r="I9" s="12" t="inlineStr"/>
      <c r="J9" s="12" t="inlineStr">
        <is>
          <t>En cours</t>
        </is>
      </c>
    </row>
    <row r="10" ht="22" customHeight="1">
      <c r="B10" s="16">
        <f>IF(C10="","VER-"&amp;TEXT(COUNTA($C$5:C10),"000"))</f>
        <v/>
      </c>
      <c r="C10" s="14" t="n"/>
      <c r="D10" s="14" t="n"/>
      <c r="E10" s="30" t="n"/>
      <c r="F10" s="14" t="n"/>
      <c r="G10" s="14" t="n"/>
      <c r="H10" s="14" t="n"/>
      <c r="I10" s="14" t="n"/>
      <c r="J10" s="14" t="n"/>
    </row>
    <row r="11" ht="22" customHeight="1">
      <c r="B11" s="17">
        <f>IF(C11="","VER-"&amp;TEXT(COUNTA($C$5:C11),"000"))</f>
        <v/>
      </c>
      <c r="C11" s="12" t="n"/>
      <c r="D11" s="12" t="n"/>
      <c r="E11" s="29" t="n"/>
      <c r="F11" s="12" t="n"/>
      <c r="G11" s="12" t="n"/>
      <c r="H11" s="12" t="n"/>
      <c r="I11" s="12" t="n"/>
      <c r="J11" s="12" t="n"/>
    </row>
    <row r="12" ht="22" customHeight="1">
      <c r="B12" s="16">
        <f>IF(C12="","VER-"&amp;TEXT(COUNTA($C$5:C12),"000"))</f>
        <v/>
      </c>
      <c r="C12" s="14" t="n"/>
      <c r="D12" s="14" t="n"/>
      <c r="E12" s="30" t="n"/>
      <c r="F12" s="14" t="n"/>
      <c r="G12" s="14" t="n"/>
      <c r="H12" s="14" t="n"/>
      <c r="I12" s="14" t="n"/>
      <c r="J12" s="14" t="n"/>
    </row>
    <row r="13" ht="22" customHeight="1">
      <c r="B13" s="17">
        <f>IF(C13="","VER-"&amp;TEXT(COUNTA($C$5:C13),"000"))</f>
        <v/>
      </c>
      <c r="C13" s="12" t="n"/>
      <c r="D13" s="12" t="n"/>
      <c r="E13" s="29" t="n"/>
      <c r="F13" s="12" t="n"/>
      <c r="G13" s="12" t="n"/>
      <c r="H13" s="12" t="n"/>
      <c r="I13" s="12" t="n"/>
      <c r="J13" s="12" t="n"/>
    </row>
    <row r="14" ht="22" customHeight="1">
      <c r="B14" s="16">
        <f>IF(C14="","VER-"&amp;TEXT(COUNTA($C$5:C14),"000"))</f>
        <v/>
      </c>
      <c r="C14" s="14" t="n"/>
      <c r="D14" s="14" t="n"/>
      <c r="E14" s="30" t="n"/>
      <c r="F14" s="14" t="n"/>
      <c r="G14" s="14" t="n"/>
      <c r="H14" s="14" t="n"/>
      <c r="I14" s="14" t="n"/>
      <c r="J14" s="14" t="n"/>
    </row>
    <row r="15" ht="22" customHeight="1">
      <c r="B15" s="17">
        <f>IF(C15="","VER-"&amp;TEXT(COUNTA($C$5:C15),"000"))</f>
        <v/>
      </c>
      <c r="C15" s="12" t="n"/>
      <c r="D15" s="12" t="n"/>
      <c r="E15" s="29" t="n"/>
      <c r="F15" s="12" t="n"/>
      <c r="G15" s="12" t="n"/>
      <c r="H15" s="12" t="n"/>
      <c r="I15" s="12" t="n"/>
      <c r="J15" s="12" t="n"/>
    </row>
    <row r="16" ht="22" customHeight="1">
      <c r="B16" s="16">
        <f>IF(C16="","VER-"&amp;TEXT(COUNTA($C$5:C16),"000"))</f>
        <v/>
      </c>
      <c r="C16" s="14" t="n"/>
      <c r="D16" s="14" t="n"/>
      <c r="E16" s="30" t="n"/>
      <c r="F16" s="14" t="n"/>
      <c r="G16" s="14" t="n"/>
      <c r="H16" s="14" t="n"/>
      <c r="I16" s="14" t="n"/>
      <c r="J16" s="14" t="n"/>
    </row>
    <row r="17" ht="22" customHeight="1">
      <c r="B17" s="17">
        <f>IF(C17="","VER-"&amp;TEXT(COUNTA($C$5:C17),"000"))</f>
        <v/>
      </c>
      <c r="C17" s="12" t="n"/>
      <c r="D17" s="12" t="n"/>
      <c r="E17" s="29" t="n"/>
      <c r="F17" s="12" t="n"/>
      <c r="G17" s="12" t="n"/>
      <c r="H17" s="12" t="n"/>
      <c r="I17" s="12" t="n"/>
      <c r="J17" s="12" t="n"/>
    </row>
    <row r="18" ht="22" customHeight="1">
      <c r="B18" s="16">
        <f>IF(C18="","VER-"&amp;TEXT(COUNTA($C$5:C18),"000"))</f>
        <v/>
      </c>
      <c r="C18" s="14" t="n"/>
      <c r="D18" s="14" t="n"/>
      <c r="E18" s="30" t="n"/>
      <c r="F18" s="14" t="n"/>
      <c r="G18" s="14" t="n"/>
      <c r="H18" s="14" t="n"/>
      <c r="I18" s="14" t="n"/>
      <c r="J18" s="14" t="n"/>
    </row>
    <row r="19" ht="22" customHeight="1">
      <c r="B19" s="17">
        <f>IF(C19="","VER-"&amp;TEXT(COUNTA($C$5:C19),"000"))</f>
        <v/>
      </c>
      <c r="C19" s="12" t="n"/>
      <c r="D19" s="12" t="n"/>
      <c r="E19" s="29" t="n"/>
      <c r="F19" s="12" t="n"/>
      <c r="G19" s="12" t="n"/>
      <c r="H19" s="12" t="n"/>
      <c r="I19" s="12" t="n"/>
      <c r="J19" s="12" t="n"/>
    </row>
    <row r="20" ht="22" customHeight="1">
      <c r="B20" s="16">
        <f>IF(C20="","VER-"&amp;TEXT(COUNTA($C$5:C20),"000"))</f>
        <v/>
      </c>
      <c r="C20" s="14" t="n"/>
      <c r="D20" s="14" t="n"/>
      <c r="E20" s="30" t="n"/>
      <c r="F20" s="14" t="n"/>
      <c r="G20" s="14" t="n"/>
      <c r="H20" s="14" t="n"/>
      <c r="I20" s="14" t="n"/>
      <c r="J20" s="14" t="n"/>
    </row>
    <row r="21" ht="22" customHeight="1">
      <c r="B21" s="17">
        <f>IF(C21="","VER-"&amp;TEXT(COUNTA($C$5:C21),"000"))</f>
        <v/>
      </c>
      <c r="C21" s="12" t="n"/>
      <c r="D21" s="12" t="n"/>
      <c r="E21" s="29" t="n"/>
      <c r="F21" s="12" t="n"/>
      <c r="G21" s="12" t="n"/>
      <c r="H21" s="12" t="n"/>
      <c r="I21" s="12" t="n"/>
      <c r="J21" s="12" t="n"/>
    </row>
    <row r="22" ht="22" customHeight="1">
      <c r="B22" s="16">
        <f>IF(C22="","VER-"&amp;TEXT(COUNTA($C$5:C22),"000"))</f>
        <v/>
      </c>
      <c r="C22" s="14" t="n"/>
      <c r="D22" s="14" t="n"/>
      <c r="E22" s="30" t="n"/>
      <c r="F22" s="14" t="n"/>
      <c r="G22" s="14" t="n"/>
      <c r="H22" s="14" t="n"/>
      <c r="I22" s="14" t="n"/>
      <c r="J22" s="14" t="n"/>
    </row>
    <row r="23" ht="22" customHeight="1">
      <c r="B23" s="17">
        <f>IF(C23="","VER-"&amp;TEXT(COUNTA($C$5:C23),"000"))</f>
        <v/>
      </c>
      <c r="C23" s="12" t="n"/>
      <c r="D23" s="12" t="n"/>
      <c r="E23" s="29" t="n"/>
      <c r="F23" s="12" t="n"/>
      <c r="G23" s="12" t="n"/>
      <c r="H23" s="12" t="n"/>
      <c r="I23" s="12" t="n"/>
      <c r="J23" s="12" t="n"/>
    </row>
    <row r="24" ht="22" customHeight="1">
      <c r="B24" s="16">
        <f>IF(C24="","VER-"&amp;TEXT(COUNTA($C$5:C24),"000"))</f>
        <v/>
      </c>
      <c r="C24" s="14" t="n"/>
      <c r="D24" s="14" t="n"/>
      <c r="E24" s="30" t="n"/>
      <c r="F24" s="14" t="n"/>
      <c r="G24" s="14" t="n"/>
      <c r="H24" s="14" t="n"/>
      <c r="I24" s="14" t="n"/>
      <c r="J24" s="14" t="n"/>
    </row>
    <row r="25" ht="22" customHeight="1">
      <c r="B25" s="17">
        <f>IF(C25="","VER-"&amp;TEXT(COUNTA($C$5:C25),"000"))</f>
        <v/>
      </c>
      <c r="C25" s="12" t="n"/>
      <c r="D25" s="12" t="n"/>
      <c r="E25" s="29" t="n"/>
      <c r="F25" s="12" t="n"/>
      <c r="G25" s="12" t="n"/>
      <c r="H25" s="12" t="n"/>
      <c r="I25" s="12" t="n"/>
      <c r="J25" s="12" t="n"/>
    </row>
    <row r="26" ht="22" customHeight="1">
      <c r="B26" s="16">
        <f>IF(C26="","VER-"&amp;TEXT(COUNTA($C$5:C26),"000"))</f>
        <v/>
      </c>
      <c r="C26" s="14" t="n"/>
      <c r="D26" s="14" t="n"/>
      <c r="E26" s="30" t="n"/>
      <c r="F26" s="14" t="n"/>
      <c r="G26" s="14" t="n"/>
      <c r="H26" s="14" t="n"/>
      <c r="I26" s="14" t="n"/>
      <c r="J26" s="14" t="n"/>
    </row>
    <row r="27" ht="22" customHeight="1">
      <c r="B27" s="17">
        <f>IF(C27="","VER-"&amp;TEXT(COUNTA($C$5:C27),"000"))</f>
        <v/>
      </c>
      <c r="C27" s="12" t="n"/>
      <c r="D27" s="12" t="n"/>
      <c r="E27" s="29" t="n"/>
      <c r="F27" s="12" t="n"/>
      <c r="G27" s="12" t="n"/>
      <c r="H27" s="12" t="n"/>
      <c r="I27" s="12" t="n"/>
      <c r="J27" s="12" t="n"/>
    </row>
    <row r="28" ht="22" customHeight="1">
      <c r="B28" s="16">
        <f>IF(C28="","VER-"&amp;TEXT(COUNTA($C$5:C28),"000"))</f>
        <v/>
      </c>
      <c r="C28" s="14" t="n"/>
      <c r="D28" s="14" t="n"/>
      <c r="E28" s="30" t="n"/>
      <c r="F28" s="14" t="n"/>
      <c r="G28" s="14" t="n"/>
      <c r="H28" s="14" t="n"/>
      <c r="I28" s="14" t="n"/>
      <c r="J28" s="14" t="n"/>
    </row>
    <row r="29" ht="22" customHeight="1">
      <c r="B29" s="17">
        <f>IF(C29="","VER-"&amp;TEXT(COUNTA($C$5:C29),"000"))</f>
        <v/>
      </c>
      <c r="C29" s="12" t="n"/>
      <c r="D29" s="12" t="n"/>
      <c r="E29" s="29" t="n"/>
      <c r="F29" s="12" t="n"/>
      <c r="G29" s="12" t="n"/>
      <c r="H29" s="12" t="n"/>
      <c r="I29" s="12" t="n"/>
      <c r="J29" s="12" t="n"/>
    </row>
    <row r="30" ht="22" customHeight="1">
      <c r="B30" s="16">
        <f>IF(C30="","VER-"&amp;TEXT(COUNTA($C$5:C30),"000"))</f>
        <v/>
      </c>
      <c r="C30" s="14" t="n"/>
      <c r="D30" s="14" t="n"/>
      <c r="E30" s="30" t="n"/>
      <c r="F30" s="14" t="n"/>
      <c r="G30" s="14" t="n"/>
      <c r="H30" s="14" t="n"/>
      <c r="I30" s="14" t="n"/>
      <c r="J30" s="14" t="n"/>
    </row>
    <row r="31" ht="22" customHeight="1">
      <c r="B31" s="17">
        <f>IF(C31="","VER-"&amp;TEXT(COUNTA($C$5:C31),"000"))</f>
        <v/>
      </c>
      <c r="C31" s="12" t="n"/>
      <c r="D31" s="12" t="n"/>
      <c r="E31" s="29" t="n"/>
      <c r="F31" s="12" t="n"/>
      <c r="G31" s="12" t="n"/>
      <c r="H31" s="12" t="n"/>
      <c r="I31" s="12" t="n"/>
      <c r="J31" s="12" t="n"/>
    </row>
    <row r="32" ht="22" customHeight="1">
      <c r="B32" s="16">
        <f>IF(C32="","VER-"&amp;TEXT(COUNTA($C$5:C32),"000"))</f>
        <v/>
      </c>
      <c r="C32" s="14" t="n"/>
      <c r="D32" s="14" t="n"/>
      <c r="E32" s="30" t="n"/>
      <c r="F32" s="14" t="n"/>
      <c r="G32" s="14" t="n"/>
      <c r="H32" s="14" t="n"/>
      <c r="I32" s="14" t="n"/>
      <c r="J32" s="14" t="n"/>
    </row>
    <row r="33" ht="22" customHeight="1">
      <c r="B33" s="17">
        <f>IF(C33="","VER-"&amp;TEXT(COUNTA($C$5:C33),"000"))</f>
        <v/>
      </c>
      <c r="C33" s="12" t="n"/>
      <c r="D33" s="12" t="n"/>
      <c r="E33" s="29" t="n"/>
      <c r="F33" s="12" t="n"/>
      <c r="G33" s="12" t="n"/>
      <c r="H33" s="12" t="n"/>
      <c r="I33" s="12" t="n"/>
      <c r="J33" s="12" t="n"/>
    </row>
    <row r="34" ht="22" customHeight="1">
      <c r="B34" s="16">
        <f>IF(C34="","VER-"&amp;TEXT(COUNTA($C$5:C34),"000"))</f>
        <v/>
      </c>
      <c r="C34" s="14" t="n"/>
      <c r="D34" s="14" t="n"/>
      <c r="E34" s="30" t="n"/>
      <c r="F34" s="14" t="n"/>
      <c r="G34" s="14" t="n"/>
      <c r="H34" s="14" t="n"/>
      <c r="I34" s="14" t="n"/>
      <c r="J34" s="14" t="n"/>
    </row>
    <row r="35" ht="22" customHeight="1">
      <c r="B35" s="17">
        <f>IF(C35="","VER-"&amp;TEXT(COUNTA($C$5:C35),"000"))</f>
        <v/>
      </c>
      <c r="C35" s="12" t="n"/>
      <c r="D35" s="12" t="n"/>
      <c r="E35" s="29" t="n"/>
      <c r="F35" s="12" t="n"/>
      <c r="G35" s="12" t="n"/>
      <c r="H35" s="12" t="n"/>
      <c r="I35" s="12" t="n"/>
      <c r="J35" s="12" t="n"/>
    </row>
    <row r="36" ht="22" customHeight="1">
      <c r="B36" s="16">
        <f>IF(C36="","VER-"&amp;TEXT(COUNTA($C$5:C36),"000"))</f>
        <v/>
      </c>
      <c r="C36" s="14" t="n"/>
      <c r="D36" s="14" t="n"/>
      <c r="E36" s="30" t="n"/>
      <c r="F36" s="14" t="n"/>
      <c r="G36" s="14" t="n"/>
      <c r="H36" s="14" t="n"/>
      <c r="I36" s="14" t="n"/>
      <c r="J36" s="14" t="n"/>
    </row>
    <row r="37" ht="22" customHeight="1">
      <c r="B37" s="17">
        <f>IF(C37="","VER-"&amp;TEXT(COUNTA($C$5:C37),"000"))</f>
        <v/>
      </c>
      <c r="C37" s="12" t="n"/>
      <c r="D37" s="12" t="n"/>
      <c r="E37" s="29" t="n"/>
      <c r="F37" s="12" t="n"/>
      <c r="G37" s="12" t="n"/>
      <c r="H37" s="12" t="n"/>
      <c r="I37" s="12" t="n"/>
      <c r="J37" s="12" t="n"/>
    </row>
    <row r="38" ht="22" customHeight="1">
      <c r="B38" s="16">
        <f>IF(C38="","VER-"&amp;TEXT(COUNTA($C$5:C38),"000"))</f>
        <v/>
      </c>
      <c r="C38" s="14" t="n"/>
      <c r="D38" s="14" t="n"/>
      <c r="E38" s="30" t="n"/>
      <c r="F38" s="14" t="n"/>
      <c r="G38" s="14" t="n"/>
      <c r="H38" s="14" t="n"/>
      <c r="I38" s="14" t="n"/>
      <c r="J38" s="14" t="n"/>
    </row>
    <row r="39" ht="22" customHeight="1">
      <c r="B39" s="17">
        <f>IF(C39="","VER-"&amp;TEXT(COUNTA($C$5:C39),"000"))</f>
        <v/>
      </c>
      <c r="C39" s="12" t="n"/>
      <c r="D39" s="12" t="n"/>
      <c r="E39" s="29" t="n"/>
      <c r="F39" s="12" t="n"/>
      <c r="G39" s="12" t="n"/>
      <c r="H39" s="12" t="n"/>
      <c r="I39" s="12" t="n"/>
      <c r="J39" s="12" t="n"/>
    </row>
    <row r="40" ht="22" customHeight="1">
      <c r="B40" s="16">
        <f>IF(C40="","VER-"&amp;TEXT(COUNTA($C$5:C40),"000"))</f>
        <v/>
      </c>
      <c r="C40" s="14" t="n"/>
      <c r="D40" s="14" t="n"/>
      <c r="E40" s="30" t="n"/>
      <c r="F40" s="14" t="n"/>
      <c r="G40" s="14" t="n"/>
      <c r="H40" s="14" t="n"/>
      <c r="I40" s="14" t="n"/>
      <c r="J40" s="14" t="n"/>
    </row>
    <row r="41" ht="22" customHeight="1">
      <c r="B41" s="17">
        <f>IF(C41="","VER-"&amp;TEXT(COUNTA($C$5:C41),"000"))</f>
        <v/>
      </c>
      <c r="C41" s="12" t="n"/>
      <c r="D41" s="12" t="n"/>
      <c r="E41" s="29" t="n"/>
      <c r="F41" s="12" t="n"/>
      <c r="G41" s="12" t="n"/>
      <c r="H41" s="12" t="n"/>
      <c r="I41" s="12" t="n"/>
      <c r="J41" s="12" t="n"/>
    </row>
    <row r="42" ht="22" customHeight="1">
      <c r="B42" s="16">
        <f>IF(C42="","VER-"&amp;TEXT(COUNTA($C$5:C42),"000"))</f>
        <v/>
      </c>
      <c r="C42" s="14" t="n"/>
      <c r="D42" s="14" t="n"/>
      <c r="E42" s="30" t="n"/>
      <c r="F42" s="14" t="n"/>
      <c r="G42" s="14" t="n"/>
      <c r="H42" s="14" t="n"/>
      <c r="I42" s="14" t="n"/>
      <c r="J42" s="14" t="n"/>
    </row>
    <row r="43" ht="22" customHeight="1">
      <c r="B43" s="17">
        <f>IF(C43="","VER-"&amp;TEXT(COUNTA($C$5:C43),"000"))</f>
        <v/>
      </c>
      <c r="C43" s="12" t="n"/>
      <c r="D43" s="12" t="n"/>
      <c r="E43" s="29" t="n"/>
      <c r="F43" s="12" t="n"/>
      <c r="G43" s="12" t="n"/>
      <c r="H43" s="12" t="n"/>
      <c r="I43" s="12" t="n"/>
      <c r="J43" s="12" t="n"/>
    </row>
    <row r="44" ht="22" customHeight="1">
      <c r="B44" s="16">
        <f>IF(C44="","VER-"&amp;TEXT(COUNTA($C$5:C44),"000"))</f>
        <v/>
      </c>
      <c r="C44" s="14" t="n"/>
      <c r="D44" s="14" t="n"/>
      <c r="E44" s="30" t="n"/>
      <c r="F44" s="14" t="n"/>
      <c r="G44" s="14" t="n"/>
      <c r="H44" s="14" t="n"/>
      <c r="I44" s="14" t="n"/>
      <c r="J44" s="14" t="n"/>
    </row>
    <row r="45" ht="22" customHeight="1">
      <c r="B45" s="17">
        <f>IF(C45="","VER-"&amp;TEXT(COUNTA($C$5:C45),"000"))</f>
        <v/>
      </c>
      <c r="C45" s="12" t="n"/>
      <c r="D45" s="12" t="n"/>
      <c r="E45" s="29" t="n"/>
      <c r="F45" s="12" t="n"/>
      <c r="G45" s="12" t="n"/>
      <c r="H45" s="12" t="n"/>
      <c r="I45" s="12" t="n"/>
      <c r="J45" s="12" t="n"/>
    </row>
    <row r="46" ht="22" customHeight="1">
      <c r="B46" s="16">
        <f>IF(C46="","VER-"&amp;TEXT(COUNTA($C$5:C46),"000"))</f>
        <v/>
      </c>
      <c r="C46" s="14" t="n"/>
      <c r="D46" s="14" t="n"/>
      <c r="E46" s="30" t="n"/>
      <c r="F46" s="14" t="n"/>
      <c r="G46" s="14" t="n"/>
      <c r="H46" s="14" t="n"/>
      <c r="I46" s="14" t="n"/>
      <c r="J46" s="14" t="n"/>
    </row>
    <row r="47" ht="22" customHeight="1">
      <c r="B47" s="17">
        <f>IF(C47="","VER-"&amp;TEXT(COUNTA($C$5:C47),"000"))</f>
        <v/>
      </c>
      <c r="C47" s="12" t="n"/>
      <c r="D47" s="12" t="n"/>
      <c r="E47" s="29" t="n"/>
      <c r="F47" s="12" t="n"/>
      <c r="G47" s="12" t="n"/>
      <c r="H47" s="12" t="n"/>
      <c r="I47" s="12" t="n"/>
      <c r="J47" s="12" t="n"/>
    </row>
    <row r="48" ht="22" customHeight="1">
      <c r="B48" s="16">
        <f>IF(C48="","VER-"&amp;TEXT(COUNTA($C$5:C48),"000"))</f>
        <v/>
      </c>
      <c r="C48" s="14" t="n"/>
      <c r="D48" s="14" t="n"/>
      <c r="E48" s="30" t="n"/>
      <c r="F48" s="14" t="n"/>
      <c r="G48" s="14" t="n"/>
      <c r="H48" s="14" t="n"/>
      <c r="I48" s="14" t="n"/>
      <c r="J48" s="14" t="n"/>
    </row>
    <row r="49" ht="22" customHeight="1">
      <c r="B49" s="17">
        <f>IF(C49="","VER-"&amp;TEXT(COUNTA($C$5:C49),"000"))</f>
        <v/>
      </c>
      <c r="C49" s="12" t="n"/>
      <c r="D49" s="12" t="n"/>
      <c r="E49" s="29" t="n"/>
      <c r="F49" s="12" t="n"/>
      <c r="G49" s="12" t="n"/>
      <c r="H49" s="12" t="n"/>
      <c r="I49" s="12" t="n"/>
      <c r="J49" s="12" t="n"/>
    </row>
    <row r="50" ht="22" customHeight="1">
      <c r="B50" s="16">
        <f>IF(C50="","VER-"&amp;TEXT(COUNTA($C$5:C50),"000"))</f>
        <v/>
      </c>
      <c r="C50" s="14" t="n"/>
      <c r="D50" s="14" t="n"/>
      <c r="E50" s="30" t="n"/>
      <c r="F50" s="14" t="n"/>
      <c r="G50" s="14" t="n"/>
      <c r="H50" s="14" t="n"/>
      <c r="I50" s="14" t="n"/>
      <c r="J50" s="14" t="n"/>
    </row>
    <row r="51" ht="22" customHeight="1">
      <c r="B51" s="17">
        <f>IF(C51="","VER-"&amp;TEXT(COUNTA($C$5:C51),"000"))</f>
        <v/>
      </c>
      <c r="C51" s="12" t="n"/>
      <c r="D51" s="12" t="n"/>
      <c r="E51" s="29" t="n"/>
      <c r="F51" s="12" t="n"/>
      <c r="G51" s="12" t="n"/>
      <c r="H51" s="12" t="n"/>
      <c r="I51" s="12" t="n"/>
      <c r="J51" s="12" t="n"/>
    </row>
    <row r="52" ht="22" customHeight="1">
      <c r="B52" s="16">
        <f>IF(C52="","VER-"&amp;TEXT(COUNTA($C$5:C52),"000"))</f>
        <v/>
      </c>
      <c r="C52" s="14" t="n"/>
      <c r="D52" s="14" t="n"/>
      <c r="E52" s="30" t="n"/>
      <c r="F52" s="14" t="n"/>
      <c r="G52" s="14" t="n"/>
      <c r="H52" s="14" t="n"/>
      <c r="I52" s="14" t="n"/>
      <c r="J52" s="14" t="n"/>
    </row>
    <row r="53" ht="22" customHeight="1">
      <c r="B53" s="17">
        <f>IF(C53="","VER-"&amp;TEXT(COUNTA($C$5:C53),"000"))</f>
        <v/>
      </c>
      <c r="C53" s="12" t="n"/>
      <c r="D53" s="12" t="n"/>
      <c r="E53" s="29" t="n"/>
      <c r="F53" s="12" t="n"/>
      <c r="G53" s="12" t="n"/>
      <c r="H53" s="12" t="n"/>
      <c r="I53" s="12" t="n"/>
      <c r="J53" s="12" t="n"/>
    </row>
    <row r="54" ht="22" customHeight="1">
      <c r="B54" s="16">
        <f>IF(C54="","VER-"&amp;TEXT(COUNTA($C$5:C54),"000"))</f>
        <v/>
      </c>
      <c r="C54" s="14" t="n"/>
      <c r="D54" s="14" t="n"/>
      <c r="E54" s="30" t="n"/>
      <c r="F54" s="14" t="n"/>
      <c r="G54" s="14" t="n"/>
      <c r="H54" s="14" t="n"/>
      <c r="I54" s="14" t="n"/>
      <c r="J54" s="14" t="n"/>
    </row>
    <row r="55" ht="22" customHeight="1">
      <c r="B55" s="17">
        <f>IF(C55="","VER-"&amp;TEXT(COUNTA($C$5:C55),"000"))</f>
        <v/>
      </c>
      <c r="C55" s="12" t="n"/>
      <c r="D55" s="12" t="n"/>
      <c r="E55" s="29" t="n"/>
      <c r="F55" s="12" t="n"/>
      <c r="G55" s="12" t="n"/>
      <c r="H55" s="12" t="n"/>
      <c r="I55" s="12" t="n"/>
      <c r="J55" s="12" t="n"/>
    </row>
    <row r="56" ht="22" customHeight="1">
      <c r="B56" s="16">
        <f>IF(C56="","VER-"&amp;TEXT(COUNTA($C$5:C56),"000"))</f>
        <v/>
      </c>
      <c r="C56" s="14" t="n"/>
      <c r="D56" s="14" t="n"/>
      <c r="E56" s="30" t="n"/>
      <c r="F56" s="14" t="n"/>
      <c r="G56" s="14" t="n"/>
      <c r="H56" s="14" t="n"/>
      <c r="I56" s="14" t="n"/>
      <c r="J56" s="14" t="n"/>
    </row>
    <row r="57" ht="22" customHeight="1">
      <c r="B57" s="17">
        <f>IF(C57="","VER-"&amp;TEXT(COUNTA($C$5:C57),"000"))</f>
        <v/>
      </c>
      <c r="C57" s="12" t="n"/>
      <c r="D57" s="12" t="n"/>
      <c r="E57" s="29" t="n"/>
      <c r="F57" s="12" t="n"/>
      <c r="G57" s="12" t="n"/>
      <c r="H57" s="12" t="n"/>
      <c r="I57" s="12" t="n"/>
      <c r="J57" s="12" t="n"/>
    </row>
    <row r="58" ht="22" customHeight="1">
      <c r="B58" s="16">
        <f>IF(C58="","VER-"&amp;TEXT(COUNTA($C$5:C58),"000"))</f>
        <v/>
      </c>
      <c r="C58" s="14" t="n"/>
      <c r="D58" s="14" t="n"/>
      <c r="E58" s="30" t="n"/>
      <c r="F58" s="14" t="n"/>
      <c r="G58" s="14" t="n"/>
      <c r="H58" s="14" t="n"/>
      <c r="I58" s="14" t="n"/>
      <c r="J58" s="14" t="n"/>
    </row>
    <row r="59" ht="22" customHeight="1">
      <c r="B59" s="17">
        <f>IF(C59="","VER-"&amp;TEXT(COUNTA($C$5:C59),"000"))</f>
        <v/>
      </c>
      <c r="C59" s="12" t="n"/>
      <c r="D59" s="12" t="n"/>
      <c r="E59" s="29" t="n"/>
      <c r="F59" s="12" t="n"/>
      <c r="G59" s="12" t="n"/>
      <c r="H59" s="12" t="n"/>
      <c r="I59" s="12" t="n"/>
      <c r="J59" s="12" t="n"/>
    </row>
    <row r="60" ht="22" customHeight="1">
      <c r="B60" s="16">
        <f>IF(C60="","VER-"&amp;TEXT(COUNTA($C$5:C60),"000"))</f>
        <v/>
      </c>
      <c r="C60" s="14" t="n"/>
      <c r="D60" s="14" t="n"/>
      <c r="E60" s="30" t="n"/>
      <c r="F60" s="14" t="n"/>
      <c r="G60" s="14" t="n"/>
      <c r="H60" s="14" t="n"/>
      <c r="I60" s="14" t="n"/>
      <c r="J60" s="14" t="n"/>
    </row>
    <row r="61" ht="22" customHeight="1">
      <c r="B61" s="17">
        <f>IF(C61="","VER-"&amp;TEXT(COUNTA($C$5:C61),"000"))</f>
        <v/>
      </c>
      <c r="C61" s="12" t="n"/>
      <c r="D61" s="12" t="n"/>
      <c r="E61" s="29" t="n"/>
      <c r="F61" s="12" t="n"/>
      <c r="G61" s="12" t="n"/>
      <c r="H61" s="12" t="n"/>
      <c r="I61" s="12" t="n"/>
      <c r="J61" s="12" t="n"/>
    </row>
    <row r="62" ht="22" customHeight="1">
      <c r="B62" s="16">
        <f>IF(C62="","VER-"&amp;TEXT(COUNTA($C$5:C62),"000"))</f>
        <v/>
      </c>
      <c r="C62" s="14" t="n"/>
      <c r="D62" s="14" t="n"/>
      <c r="E62" s="30" t="n"/>
      <c r="F62" s="14" t="n"/>
      <c r="G62" s="14" t="n"/>
      <c r="H62" s="14" t="n"/>
      <c r="I62" s="14" t="n"/>
      <c r="J62" s="14" t="n"/>
    </row>
    <row r="63" ht="22" customHeight="1">
      <c r="B63" s="17">
        <f>IF(C63="","VER-"&amp;TEXT(COUNTA($C$5:C63),"000"))</f>
        <v/>
      </c>
      <c r="C63" s="12" t="n"/>
      <c r="D63" s="12" t="n"/>
      <c r="E63" s="29" t="n"/>
      <c r="F63" s="12" t="n"/>
      <c r="G63" s="12" t="n"/>
      <c r="H63" s="12" t="n"/>
      <c r="I63" s="12" t="n"/>
      <c r="J63" s="12" t="n"/>
    </row>
    <row r="64" ht="22" customHeight="1">
      <c r="B64" s="16">
        <f>IF(C64="","VER-"&amp;TEXT(COUNTA($C$5:C64),"000"))</f>
        <v/>
      </c>
      <c r="C64" s="14" t="n"/>
      <c r="D64" s="14" t="n"/>
      <c r="E64" s="30" t="n"/>
      <c r="F64" s="14" t="n"/>
      <c r="G64" s="14" t="n"/>
      <c r="H64" s="14" t="n"/>
      <c r="I64" s="14" t="n"/>
      <c r="J64" s="14" t="n"/>
    </row>
    <row r="65" ht="22" customHeight="1">
      <c r="B65" s="17">
        <f>IF(C65="","VER-"&amp;TEXT(COUNTA($C$5:C65),"000"))</f>
        <v/>
      </c>
      <c r="C65" s="12" t="n"/>
      <c r="D65" s="12" t="n"/>
      <c r="E65" s="29" t="n"/>
      <c r="F65" s="12" t="n"/>
      <c r="G65" s="12" t="n"/>
      <c r="H65" s="12" t="n"/>
      <c r="I65" s="12" t="n"/>
      <c r="J65" s="12" t="n"/>
    </row>
    <row r="66" ht="22" customHeight="1">
      <c r="B66" s="16">
        <f>IF(C66="","VER-"&amp;TEXT(COUNTA($C$5:C66),"000"))</f>
        <v/>
      </c>
      <c r="C66" s="14" t="n"/>
      <c r="D66" s="14" t="n"/>
      <c r="E66" s="30" t="n"/>
      <c r="F66" s="14" t="n"/>
      <c r="G66" s="14" t="n"/>
      <c r="H66" s="14" t="n"/>
      <c r="I66" s="14" t="n"/>
      <c r="J66" s="14" t="n"/>
    </row>
    <row r="67" ht="22" customHeight="1">
      <c r="B67" s="17">
        <f>IF(C67="","VER-"&amp;TEXT(COUNTA($C$5:C67),"000"))</f>
        <v/>
      </c>
      <c r="C67" s="12" t="n"/>
      <c r="D67" s="12" t="n"/>
      <c r="E67" s="29" t="n"/>
      <c r="F67" s="12" t="n"/>
      <c r="G67" s="12" t="n"/>
      <c r="H67" s="12" t="n"/>
      <c r="I67" s="12" t="n"/>
      <c r="J67" s="12" t="n"/>
    </row>
    <row r="68" ht="22" customHeight="1">
      <c r="B68" s="16">
        <f>IF(C68="","VER-"&amp;TEXT(COUNTA($C$5:C68),"000"))</f>
        <v/>
      </c>
      <c r="C68" s="14" t="n"/>
      <c r="D68" s="14" t="n"/>
      <c r="E68" s="30" t="n"/>
      <c r="F68" s="14" t="n"/>
      <c r="G68" s="14" t="n"/>
      <c r="H68" s="14" t="n"/>
      <c r="I68" s="14" t="n"/>
      <c r="J68" s="14" t="n"/>
    </row>
    <row r="69" ht="22" customHeight="1">
      <c r="B69" s="17">
        <f>IF(C69="","VER-"&amp;TEXT(COUNTA($C$5:C69),"000"))</f>
        <v/>
      </c>
      <c r="C69" s="12" t="n"/>
      <c r="D69" s="12" t="n"/>
      <c r="E69" s="29" t="n"/>
      <c r="F69" s="12" t="n"/>
      <c r="G69" s="12" t="n"/>
      <c r="H69" s="12" t="n"/>
      <c r="I69" s="12" t="n"/>
      <c r="J69" s="12" t="n"/>
    </row>
    <row r="70" ht="22" customHeight="1">
      <c r="B70" s="16">
        <f>IF(C70="","VER-"&amp;TEXT(COUNTA($C$5:C70),"000"))</f>
        <v/>
      </c>
      <c r="C70" s="14" t="n"/>
      <c r="D70" s="14" t="n"/>
      <c r="E70" s="30" t="n"/>
      <c r="F70" s="14" t="n"/>
      <c r="G70" s="14" t="n"/>
      <c r="H70" s="14" t="n"/>
      <c r="I70" s="14" t="n"/>
      <c r="J70" s="14" t="n"/>
    </row>
    <row r="71" ht="22" customHeight="1">
      <c r="B71" s="17">
        <f>IF(C71="","VER-"&amp;TEXT(COUNTA($C$5:C71),"000"))</f>
        <v/>
      </c>
      <c r="C71" s="12" t="n"/>
      <c r="D71" s="12" t="n"/>
      <c r="E71" s="29" t="n"/>
      <c r="F71" s="12" t="n"/>
      <c r="G71" s="12" t="n"/>
      <c r="H71" s="12" t="n"/>
      <c r="I71" s="12" t="n"/>
      <c r="J71" s="12" t="n"/>
    </row>
    <row r="72" ht="22" customHeight="1">
      <c r="B72" s="16">
        <f>IF(C72="","VER-"&amp;TEXT(COUNTA($C$5:C72),"000"))</f>
        <v/>
      </c>
      <c r="C72" s="14" t="n"/>
      <c r="D72" s="14" t="n"/>
      <c r="E72" s="30" t="n"/>
      <c r="F72" s="14" t="n"/>
      <c r="G72" s="14" t="n"/>
      <c r="H72" s="14" t="n"/>
      <c r="I72" s="14" t="n"/>
      <c r="J72" s="14" t="n"/>
    </row>
    <row r="73" ht="22" customHeight="1">
      <c r="B73" s="17">
        <f>IF(C73="","VER-"&amp;TEXT(COUNTA($C$5:C73),"000"))</f>
        <v/>
      </c>
      <c r="C73" s="12" t="n"/>
      <c r="D73" s="12" t="n"/>
      <c r="E73" s="29" t="n"/>
      <c r="F73" s="12" t="n"/>
      <c r="G73" s="12" t="n"/>
      <c r="H73" s="12" t="n"/>
      <c r="I73" s="12" t="n"/>
      <c r="J73" s="12" t="n"/>
    </row>
    <row r="74" ht="22" customHeight="1">
      <c r="B74" s="16">
        <f>IF(C74="","VER-"&amp;TEXT(COUNTA($C$5:C74),"000"))</f>
        <v/>
      </c>
      <c r="C74" s="14" t="n"/>
      <c r="D74" s="14" t="n"/>
      <c r="E74" s="30" t="n"/>
      <c r="F74" s="14" t="n"/>
      <c r="G74" s="14" t="n"/>
      <c r="H74" s="14" t="n"/>
      <c r="I74" s="14" t="n"/>
      <c r="J74" s="14" t="n"/>
    </row>
    <row r="75" ht="22" customHeight="1">
      <c r="B75" s="17">
        <f>IF(C75="","VER-"&amp;TEXT(COUNTA($C$5:C75),"000"))</f>
        <v/>
      </c>
      <c r="C75" s="12" t="n"/>
      <c r="D75" s="12" t="n"/>
      <c r="E75" s="29" t="n"/>
      <c r="F75" s="12" t="n"/>
      <c r="G75" s="12" t="n"/>
      <c r="H75" s="12" t="n"/>
      <c r="I75" s="12" t="n"/>
      <c r="J75" s="12" t="n"/>
    </row>
    <row r="76" ht="22" customHeight="1">
      <c r="B76" s="16">
        <f>IF(C76="","VER-"&amp;TEXT(COUNTA($C$5:C76),"000"))</f>
        <v/>
      </c>
      <c r="C76" s="14" t="n"/>
      <c r="D76" s="14" t="n"/>
      <c r="E76" s="30" t="n"/>
      <c r="F76" s="14" t="n"/>
      <c r="G76" s="14" t="n"/>
      <c r="H76" s="14" t="n"/>
      <c r="I76" s="14" t="n"/>
      <c r="J76" s="14" t="n"/>
    </row>
    <row r="77" ht="22" customHeight="1">
      <c r="B77" s="17">
        <f>IF(C77="","VER-"&amp;TEXT(COUNTA($C$5:C77),"000"))</f>
        <v/>
      </c>
      <c r="C77" s="12" t="n"/>
      <c r="D77" s="12" t="n"/>
      <c r="E77" s="29" t="n"/>
      <c r="F77" s="12" t="n"/>
      <c r="G77" s="12" t="n"/>
      <c r="H77" s="12" t="n"/>
      <c r="I77" s="12" t="n"/>
      <c r="J77" s="12" t="n"/>
    </row>
    <row r="78" ht="22" customHeight="1">
      <c r="B78" s="16">
        <f>IF(C78="","VER-"&amp;TEXT(COUNTA($C$5:C78),"000"))</f>
        <v/>
      </c>
      <c r="C78" s="14" t="n"/>
      <c r="D78" s="14" t="n"/>
      <c r="E78" s="30" t="n"/>
      <c r="F78" s="14" t="n"/>
      <c r="G78" s="14" t="n"/>
      <c r="H78" s="14" t="n"/>
      <c r="I78" s="14" t="n"/>
      <c r="J78" s="14" t="n"/>
    </row>
    <row r="79" ht="22" customHeight="1">
      <c r="B79" s="17">
        <f>IF(C79="","VER-"&amp;TEXT(COUNTA($C$5:C79),"000"))</f>
        <v/>
      </c>
      <c r="C79" s="12" t="n"/>
      <c r="D79" s="12" t="n"/>
      <c r="E79" s="29" t="n"/>
      <c r="F79" s="12" t="n"/>
      <c r="G79" s="12" t="n"/>
      <c r="H79" s="12" t="n"/>
      <c r="I79" s="12" t="n"/>
      <c r="J79" s="12" t="n"/>
    </row>
    <row r="80" ht="22" customHeight="1">
      <c r="B80" s="16">
        <f>IF(C80="","VER-"&amp;TEXT(COUNTA($C$5:C80),"000"))</f>
        <v/>
      </c>
      <c r="C80" s="14" t="n"/>
      <c r="D80" s="14" t="n"/>
      <c r="E80" s="30" t="n"/>
      <c r="F80" s="14" t="n"/>
      <c r="G80" s="14" t="n"/>
      <c r="H80" s="14" t="n"/>
      <c r="I80" s="14" t="n"/>
      <c r="J80" s="14" t="n"/>
    </row>
    <row r="81" ht="22" customHeight="1">
      <c r="B81" s="17">
        <f>IF(C81="","VER-"&amp;TEXT(COUNTA($C$5:C81),"000"))</f>
        <v/>
      </c>
      <c r="C81" s="12" t="n"/>
      <c r="D81" s="12" t="n"/>
      <c r="E81" s="29" t="n"/>
      <c r="F81" s="12" t="n"/>
      <c r="G81" s="12" t="n"/>
      <c r="H81" s="12" t="n"/>
      <c r="I81" s="12" t="n"/>
      <c r="J81" s="12" t="n"/>
    </row>
    <row r="82" ht="22" customHeight="1">
      <c r="B82" s="16">
        <f>IF(C82="","VER-"&amp;TEXT(COUNTA($C$5:C82),"000"))</f>
        <v/>
      </c>
      <c r="C82" s="14" t="n"/>
      <c r="D82" s="14" t="n"/>
      <c r="E82" s="30" t="n"/>
      <c r="F82" s="14" t="n"/>
      <c r="G82" s="14" t="n"/>
      <c r="H82" s="14" t="n"/>
      <c r="I82" s="14" t="n"/>
      <c r="J82" s="14" t="n"/>
    </row>
    <row r="83" ht="22" customHeight="1">
      <c r="B83" s="17">
        <f>IF(C83="","VER-"&amp;TEXT(COUNTA($C$5:C83),"000"))</f>
        <v/>
      </c>
      <c r="C83" s="12" t="n"/>
      <c r="D83" s="12" t="n"/>
      <c r="E83" s="29" t="n"/>
      <c r="F83" s="12" t="n"/>
      <c r="G83" s="12" t="n"/>
      <c r="H83" s="12" t="n"/>
      <c r="I83" s="12" t="n"/>
      <c r="J83" s="12" t="n"/>
    </row>
    <row r="84" ht="22" customHeight="1">
      <c r="B84" s="16">
        <f>IF(C84="","VER-"&amp;TEXT(COUNTA($C$5:C84),"000"))</f>
        <v/>
      </c>
      <c r="C84" s="14" t="n"/>
      <c r="D84" s="14" t="n"/>
      <c r="E84" s="30" t="n"/>
      <c r="F84" s="14" t="n"/>
      <c r="G84" s="14" t="n"/>
      <c r="H84" s="14" t="n"/>
      <c r="I84" s="14" t="n"/>
      <c r="J84" s="14" t="n"/>
    </row>
    <row r="85" ht="22" customHeight="1">
      <c r="B85" s="17">
        <f>IF(C85="","VER-"&amp;TEXT(COUNTA($C$5:C85),"000"))</f>
        <v/>
      </c>
      <c r="C85" s="12" t="n"/>
      <c r="D85" s="12" t="n"/>
      <c r="E85" s="29" t="n"/>
      <c r="F85" s="12" t="n"/>
      <c r="G85" s="12" t="n"/>
      <c r="H85" s="12" t="n"/>
      <c r="I85" s="12" t="n"/>
      <c r="J85" s="12" t="n"/>
    </row>
    <row r="86" ht="22" customHeight="1">
      <c r="B86" s="16">
        <f>IF(C86="","VER-"&amp;TEXT(COUNTA($C$5:C86),"000"))</f>
        <v/>
      </c>
      <c r="C86" s="14" t="n"/>
      <c r="D86" s="14" t="n"/>
      <c r="E86" s="30" t="n"/>
      <c r="F86" s="14" t="n"/>
      <c r="G86" s="14" t="n"/>
      <c r="H86" s="14" t="n"/>
      <c r="I86" s="14" t="n"/>
      <c r="J86" s="14" t="n"/>
    </row>
    <row r="87" ht="22" customHeight="1">
      <c r="B87" s="17">
        <f>IF(C87="","VER-"&amp;TEXT(COUNTA($C$5:C87),"000"))</f>
        <v/>
      </c>
      <c r="C87" s="12" t="n"/>
      <c r="D87" s="12" t="n"/>
      <c r="E87" s="29" t="n"/>
      <c r="F87" s="12" t="n"/>
      <c r="G87" s="12" t="n"/>
      <c r="H87" s="12" t="n"/>
      <c r="I87" s="12" t="n"/>
      <c r="J87" s="12" t="n"/>
    </row>
    <row r="88" ht="22" customHeight="1">
      <c r="B88" s="16">
        <f>IF(C88="","VER-"&amp;TEXT(COUNTA($C$5:C88),"000"))</f>
        <v/>
      </c>
      <c r="C88" s="14" t="n"/>
      <c r="D88" s="14" t="n"/>
      <c r="E88" s="30" t="n"/>
      <c r="F88" s="14" t="n"/>
      <c r="G88" s="14" t="n"/>
      <c r="H88" s="14" t="n"/>
      <c r="I88" s="14" t="n"/>
      <c r="J88" s="14" t="n"/>
    </row>
    <row r="89" ht="22" customHeight="1">
      <c r="B89" s="17">
        <f>IF(C89="","VER-"&amp;TEXT(COUNTA($C$5:C89),"000"))</f>
        <v/>
      </c>
      <c r="C89" s="12" t="n"/>
      <c r="D89" s="12" t="n"/>
      <c r="E89" s="29" t="n"/>
      <c r="F89" s="12" t="n"/>
      <c r="G89" s="12" t="n"/>
      <c r="H89" s="12" t="n"/>
      <c r="I89" s="12" t="n"/>
      <c r="J89" s="12" t="n"/>
    </row>
    <row r="90" ht="22" customHeight="1">
      <c r="B90" s="16">
        <f>IF(C90="","VER-"&amp;TEXT(COUNTA($C$5:C90),"000"))</f>
        <v/>
      </c>
      <c r="C90" s="14" t="n"/>
      <c r="D90" s="14" t="n"/>
      <c r="E90" s="30" t="n"/>
      <c r="F90" s="14" t="n"/>
      <c r="G90" s="14" t="n"/>
      <c r="H90" s="14" t="n"/>
      <c r="I90" s="14" t="n"/>
      <c r="J90" s="14" t="n"/>
    </row>
    <row r="91" ht="22" customHeight="1">
      <c r="B91" s="17">
        <f>IF(C91="","VER-"&amp;TEXT(COUNTA($C$5:C91),"000"))</f>
        <v/>
      </c>
      <c r="C91" s="12" t="n"/>
      <c r="D91" s="12" t="n"/>
      <c r="E91" s="29" t="n"/>
      <c r="F91" s="12" t="n"/>
      <c r="G91" s="12" t="n"/>
      <c r="H91" s="12" t="n"/>
      <c r="I91" s="12" t="n"/>
      <c r="J91" s="12" t="n"/>
    </row>
    <row r="92" ht="22" customHeight="1">
      <c r="B92" s="16">
        <f>IF(C92="","VER-"&amp;TEXT(COUNTA($C$5:C92),"000"))</f>
        <v/>
      </c>
      <c r="C92" s="14" t="n"/>
      <c r="D92" s="14" t="n"/>
      <c r="E92" s="30" t="n"/>
      <c r="F92" s="14" t="n"/>
      <c r="G92" s="14" t="n"/>
      <c r="H92" s="14" t="n"/>
      <c r="I92" s="14" t="n"/>
      <c r="J92" s="14" t="n"/>
    </row>
    <row r="93" ht="22" customHeight="1">
      <c r="B93" s="17">
        <f>IF(C93="","VER-"&amp;TEXT(COUNTA($C$5:C93),"000"))</f>
        <v/>
      </c>
      <c r="C93" s="12" t="n"/>
      <c r="D93" s="12" t="n"/>
      <c r="E93" s="29" t="n"/>
      <c r="F93" s="12" t="n"/>
      <c r="G93" s="12" t="n"/>
      <c r="H93" s="12" t="n"/>
      <c r="I93" s="12" t="n"/>
      <c r="J93" s="12" t="n"/>
    </row>
    <row r="94" ht="22" customHeight="1">
      <c r="B94" s="16">
        <f>IF(C94="","VER-"&amp;TEXT(COUNTA($C$5:C94),"000"))</f>
        <v/>
      </c>
      <c r="C94" s="14" t="n"/>
      <c r="D94" s="14" t="n"/>
      <c r="E94" s="30" t="n"/>
      <c r="F94" s="14" t="n"/>
      <c r="G94" s="14" t="n"/>
      <c r="H94" s="14" t="n"/>
      <c r="I94" s="14" t="n"/>
      <c r="J94" s="14" t="n"/>
    </row>
    <row r="95" ht="22" customHeight="1">
      <c r="B95" s="17">
        <f>IF(C95="","VER-"&amp;TEXT(COUNTA($C$5:C95),"000"))</f>
        <v/>
      </c>
      <c r="C95" s="12" t="n"/>
      <c r="D95" s="12" t="n"/>
      <c r="E95" s="29" t="n"/>
      <c r="F95" s="12" t="n"/>
      <c r="G95" s="12" t="n"/>
      <c r="H95" s="12" t="n"/>
      <c r="I95" s="12" t="n"/>
      <c r="J95" s="12" t="n"/>
    </row>
    <row r="96" ht="22" customHeight="1">
      <c r="B96" s="16">
        <f>IF(C96="","VER-"&amp;TEXT(COUNTA($C$5:C96),"000"))</f>
        <v/>
      </c>
      <c r="C96" s="14" t="n"/>
      <c r="D96" s="14" t="n"/>
      <c r="E96" s="30" t="n"/>
      <c r="F96" s="14" t="n"/>
      <c r="G96" s="14" t="n"/>
      <c r="H96" s="14" t="n"/>
      <c r="I96" s="14" t="n"/>
      <c r="J96" s="14" t="n"/>
    </row>
    <row r="97" ht="22" customHeight="1">
      <c r="B97" s="17">
        <f>IF(C97="","VER-"&amp;TEXT(COUNTA($C$5:C97),"000"))</f>
        <v/>
      </c>
      <c r="C97" s="12" t="n"/>
      <c r="D97" s="12" t="n"/>
      <c r="E97" s="29" t="n"/>
      <c r="F97" s="12" t="n"/>
      <c r="G97" s="12" t="n"/>
      <c r="H97" s="12" t="n"/>
      <c r="I97" s="12" t="n"/>
      <c r="J97" s="12" t="n"/>
    </row>
    <row r="98" ht="22" customHeight="1">
      <c r="B98" s="16">
        <f>IF(C98="","VER-"&amp;TEXT(COUNTA($C$5:C98),"000"))</f>
        <v/>
      </c>
      <c r="C98" s="14" t="n"/>
      <c r="D98" s="14" t="n"/>
      <c r="E98" s="30" t="n"/>
      <c r="F98" s="14" t="n"/>
      <c r="G98" s="14" t="n"/>
      <c r="H98" s="14" t="n"/>
      <c r="I98" s="14" t="n"/>
      <c r="J98" s="14" t="n"/>
    </row>
    <row r="99" ht="22" customHeight="1">
      <c r="B99" s="17">
        <f>IF(C99="","VER-"&amp;TEXT(COUNTA($C$5:C99),"000"))</f>
        <v/>
      </c>
      <c r="C99" s="12" t="n"/>
      <c r="D99" s="12" t="n"/>
      <c r="E99" s="29" t="n"/>
      <c r="F99" s="12" t="n"/>
      <c r="G99" s="12" t="n"/>
      <c r="H99" s="12" t="n"/>
      <c r="I99" s="12" t="n"/>
      <c r="J99" s="12" t="n"/>
    </row>
    <row r="100" ht="22" customHeight="1">
      <c r="B100" s="16">
        <f>IF(C100="","VER-"&amp;TEXT(COUNTA($C$5:C100),"000"))</f>
        <v/>
      </c>
      <c r="C100" s="14" t="n"/>
      <c r="D100" s="14" t="n"/>
      <c r="E100" s="30" t="n"/>
      <c r="F100" s="14" t="n"/>
      <c r="G100" s="14" t="n"/>
      <c r="H100" s="14" t="n"/>
      <c r="I100" s="14" t="n"/>
      <c r="J100" s="14" t="n"/>
    </row>
    <row r="101" ht="22" customHeight="1">
      <c r="B101" s="17">
        <f>IF(C101="","VER-"&amp;TEXT(COUNTA($C$5:C101),"000"))</f>
        <v/>
      </c>
      <c r="C101" s="12" t="n"/>
      <c r="D101" s="12" t="n"/>
      <c r="E101" s="29" t="n"/>
      <c r="F101" s="12" t="n"/>
      <c r="G101" s="12" t="n"/>
      <c r="H101" s="12" t="n"/>
      <c r="I101" s="12" t="n"/>
      <c r="J101" s="12" t="n"/>
    </row>
    <row r="102" ht="22" customHeight="1">
      <c r="B102" s="16">
        <f>IF(C102="","VER-"&amp;TEXT(COUNTA($C$5:C102),"000"))</f>
        <v/>
      </c>
      <c r="C102" s="14" t="n"/>
      <c r="D102" s="14" t="n"/>
      <c r="E102" s="30" t="n"/>
      <c r="F102" s="14" t="n"/>
      <c r="G102" s="14" t="n"/>
      <c r="H102" s="14" t="n"/>
      <c r="I102" s="14" t="n"/>
      <c r="J102" s="14" t="n"/>
    </row>
    <row r="103" ht="22" customHeight="1">
      <c r="B103" s="17">
        <f>IF(C103="","VER-"&amp;TEXT(COUNTA($C$5:C103),"000"))</f>
        <v/>
      </c>
      <c r="C103" s="12" t="n"/>
      <c r="D103" s="12" t="n"/>
      <c r="E103" s="29" t="n"/>
      <c r="F103" s="12" t="n"/>
      <c r="G103" s="12" t="n"/>
      <c r="H103" s="12" t="n"/>
      <c r="I103" s="12" t="n"/>
      <c r="J103" s="12" t="n"/>
    </row>
    <row r="104" ht="22" customHeight="1">
      <c r="B104" s="16">
        <f>IF(C104="","VER-"&amp;TEXT(COUNTA($C$5:C104),"000"))</f>
        <v/>
      </c>
      <c r="C104" s="14" t="n"/>
      <c r="D104" s="14" t="n"/>
      <c r="E104" s="30" t="n"/>
      <c r="F104" s="14" t="n"/>
      <c r="G104" s="14" t="n"/>
      <c r="H104" s="14" t="n"/>
      <c r="I104" s="14" t="n"/>
      <c r="J104" s="14" t="n"/>
    </row>
    <row r="105" ht="22" customHeight="1">
      <c r="B105" s="17">
        <f>IF(C105="","VER-"&amp;TEXT(COUNTA($C$5:C105),"000"))</f>
        <v/>
      </c>
      <c r="C105" s="12" t="n"/>
      <c r="D105" s="12" t="n"/>
      <c r="E105" s="29" t="n"/>
      <c r="F105" s="12" t="n"/>
      <c r="G105" s="12" t="n"/>
      <c r="H105" s="12" t="n"/>
      <c r="I105" s="12" t="n"/>
      <c r="J105" s="12" t="n"/>
    </row>
    <row r="106" ht="22" customHeight="1">
      <c r="B106" s="16">
        <f>IF(C106="","VER-"&amp;TEXT(COUNTA($C$5:C106),"000"))</f>
        <v/>
      </c>
      <c r="C106" s="14" t="n"/>
      <c r="D106" s="14" t="n"/>
      <c r="E106" s="30" t="n"/>
      <c r="F106" s="14" t="n"/>
      <c r="G106" s="14" t="n"/>
      <c r="H106" s="14" t="n"/>
      <c r="I106" s="14" t="n"/>
      <c r="J106" s="14" t="n"/>
    </row>
    <row r="107" ht="22" customHeight="1">
      <c r="B107" s="17">
        <f>IF(C107="","VER-"&amp;TEXT(COUNTA($C$5:C107),"000"))</f>
        <v/>
      </c>
      <c r="C107" s="12" t="n"/>
      <c r="D107" s="12" t="n"/>
      <c r="E107" s="29" t="n"/>
      <c r="F107" s="12" t="n"/>
      <c r="G107" s="12" t="n"/>
      <c r="H107" s="12" t="n"/>
      <c r="I107" s="12" t="n"/>
      <c r="J107" s="12" t="n"/>
    </row>
    <row r="108" ht="22" customHeight="1">
      <c r="B108" s="16">
        <f>IF(C108="","VER-"&amp;TEXT(COUNTA($C$5:C108),"000"))</f>
        <v/>
      </c>
      <c r="C108" s="14" t="n"/>
      <c r="D108" s="14" t="n"/>
      <c r="E108" s="30" t="n"/>
      <c r="F108" s="14" t="n"/>
      <c r="G108" s="14" t="n"/>
      <c r="H108" s="14" t="n"/>
      <c r="I108" s="14" t="n"/>
      <c r="J108" s="14" t="n"/>
    </row>
    <row r="109" ht="22" customHeight="1">
      <c r="B109" s="17">
        <f>IF(C109="","VER-"&amp;TEXT(COUNTA($C$5:C109),"000"))</f>
        <v/>
      </c>
      <c r="C109" s="12" t="n"/>
      <c r="D109" s="12" t="n"/>
      <c r="E109" s="29" t="n"/>
      <c r="F109" s="12" t="n"/>
      <c r="G109" s="12" t="n"/>
      <c r="H109" s="12" t="n"/>
      <c r="I109" s="12" t="n"/>
      <c r="J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Documents versionnes</t>
        </is>
      </c>
      <c r="D112" s="3" t="inlineStr">
        <is>
          <t>Versions valides</t>
        </is>
      </c>
      <c r="F112" s="3" t="inlineStr">
        <is>
          <t>En revision</t>
        </is>
      </c>
    </row>
    <row r="113">
      <c r="B113" s="4">
        <f>COUNTIF(B5:B104,"&lt;&gt;")</f>
        <v/>
      </c>
      <c r="D113" s="4">
        <f>COUNTIF(J5:J104,"Valide")</f>
        <v/>
      </c>
      <c r="F113" s="4">
        <f>COUNTIF(J5:J104,"En revision")</f>
        <v/>
      </c>
    </row>
  </sheetData>
  <mergeCells count="3">
    <mergeCell ref="B3:J3"/>
    <mergeCell ref="B2:J2"/>
    <mergeCell ref="B111:J111"/>
  </mergeCells>
  <conditionalFormatting sqref="J5:J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1">
      <formula>"En attente"</formula>
    </cfRule>
    <cfRule type="cellIs" priority="77" operator="equal" dxfId="1">
      <formula>"A renouveler"</formula>
    </cfRule>
    <cfRule type="cellIs" priority="78" operator="equal" dxfId="1">
      <formula>"En cours"</formula>
    </cfRule>
    <cfRule type="cellIs" priority="79" operator="equal" dxfId="1">
      <formula>"En traitement"</formula>
    </cfRule>
    <cfRule type="cellIs" priority="80" operator="equal" dxfId="1">
      <formula>"En retard"</formula>
    </cfRule>
    <cfRule type="cellIs" priority="81" operator="equal" dxfId="1">
      <formula>"Suspendu"</formula>
    </cfRule>
    <cfRule type="cellIs" priority="82" operator="equal" dxfId="1">
      <formula>"Planifie"</formula>
    </cfRule>
    <cfRule type="cellIs" priority="83" operator="equal" dxfId="1">
      <formula>"Planifiee"</formula>
    </cfRule>
    <cfRule type="cellIs" priority="84" operator="equal" dxfId="1">
      <formula>"Brouillon"</formula>
    </cfRule>
    <cfRule type="cellIs" priority="85" operator="equal" dxfId="1">
      <formula>"En attente de justification"</formula>
    </cfRule>
    <cfRule type="cellIs" priority="86" operator="equal" dxfId="1">
      <formula>"Tolere"</formula>
    </cfRule>
    <cfRule type="cellIs" priority="87" operator="equal" dxfId="1">
      <formula>"Variable"</formula>
    </cfRule>
    <cfRule type="cellIs" priority="88" operator="equal" dxfId="1">
      <formula>"En elaboration"</formula>
    </cfRule>
    <cfRule type="cellIs" priority="89" operator="equal" dxfId="1">
      <formula>"Provisionne"</formula>
    </cfRule>
    <cfRule type="cellIs" priority="90" operator="equal" dxfId="1">
      <formula>"Consomme partiel"</formula>
    </cfRule>
    <cfRule type="cellIs" priority="91" operator="equal" dxfId="1">
      <formula>"Identifie"</formula>
    </cfRule>
    <cfRule type="cellIs" priority="92" operator="equal" dxfId="1">
      <formula>"Priorise"</formula>
    </cfRule>
    <cfRule type="cellIs" priority="93" operator="equal" dxfId="1">
      <formula>"Intermediaire"</formula>
    </cfRule>
    <cfRule type="cellIs" priority="94" operator="equal" dxfId="1">
      <formula>"Non evalue"</formula>
    </cfRule>
    <cfRule type="cellIs" priority="95" operator="equal" dxfId="1">
      <formula>"En cours de realisation"</formula>
    </cfRule>
    <cfRule type="cellIs" priority="96" operator="equal" dxfId="1">
      <formula>"Non demarre"</formula>
    </cfRule>
    <cfRule type="cellIs" priority="97" operator="equal" dxfId="1">
      <formula>"En attente N+1"</formula>
    </cfRule>
    <cfRule type="cellIs" priority="98" operator="equal" dxfId="1">
      <formula>"Prolongation essai"</formula>
    </cfRule>
    <cfRule type="cellIs" priority="99" operator="equal" dxfId="1">
      <formula>"En attente validation"</formula>
    </cfRule>
    <cfRule type="cellIs" priority="100" operator="equal" dxfId="1">
      <formula>"Bon"</formula>
    </cfRule>
    <cfRule type="cellIs" priority="101" operator="equal" dxfId="1">
      <formula>"D - Moyen"</formula>
    </cfRule>
    <cfRule type="cellIs" priority="102" operator="equal" dxfId="1">
      <formula>"En cours de repres."</formula>
    </cfRule>
    <cfRule type="cellIs" priority="103" operator="equal" dxfId="1">
      <formula>"En negociation"</formula>
    </cfRule>
    <cfRule type="cellIs" priority="104" operator="equal" dxfId="1">
      <formula>"En preparation"</formula>
    </cfRule>
    <cfRule type="cellIs" priority="105" operator="equal" dxfId="1">
      <formula>"En cours d'instruction"</formula>
    </cfRule>
    <cfRule type="cellIs" priority="106" operator="equal" dxfId="1">
      <formula>"Transferee N+1"</formula>
    </cfRule>
    <cfRule type="cellIs" priority="107" operator="equal" dxfId="1">
      <formula>"En attente reponse"</formula>
    </cfRule>
    <cfRule type="cellIs" priority="108" operator="equal" dxfId="1">
      <formula>"Enquete ouverte"</formula>
    </cfRule>
    <cfRule type="cellIs" priority="109" operator="equal" dxfId="1">
      <formula>"Convocation envoyee"</formula>
    </cfRule>
    <cfRule type="cellIs" priority="110" operator="equal" dxfId="1">
      <formula>"Entretien realise"</formula>
    </cfRule>
    <cfRule type="cellIs" priority="111" operator="equal" dxfId="1">
      <formula>"Saisie"</formula>
    </cfRule>
    <cfRule type="cellIs" priority="112" operator="equal" dxfId="1">
      <formula>"En mediation"</formula>
    </cfRule>
    <cfRule type="cellIs" priority="113" operator="equal" dxfId="1">
      <formula>"En recours"</formula>
    </cfRule>
    <cfRule type="cellIs" priority="114" operator="equal" dxfId="1">
      <formula>"Reportee"</formula>
    </cfRule>
    <cfRule type="cellIs" priority="115" operator="equal" dxfId="1">
      <formula>"Reporte"</formula>
    </cfRule>
    <cfRule type="cellIs" priority="116" operator="equal" dxfId="1">
      <formula>"Signale"</formula>
    </cfRule>
    <cfRule type="cellIs" priority="117" operator="equal" dxfId="1">
      <formula>"Precontentieux"</formula>
    </cfRule>
    <cfRule type="cellIs" priority="118" operator="equal" dxfId="1">
      <formula>"En attente election"</formula>
    </cfRule>
    <cfRule type="cellIs" priority="119" operator="equal" dxfId="1">
      <formula>"Classe"</formula>
    </cfRule>
    <cfRule type="cellIs" priority="120" operator="equal" dxfId="1">
      <formula>"En cours d'evaluation"</formula>
    </cfRule>
    <cfRule type="cellIs" priority="121" operator="equal" dxfId="1">
      <formula>"En cours d'enquete"</formula>
    </cfRule>
    <cfRule type="cellIs" priority="122" operator="equal" dxfId="1">
      <formula>"En cours de commande"</formula>
    </cfRule>
    <cfRule type="cellIs" priority="123" operator="equal" dxfId="1">
      <formula>"A revoir"</formula>
    </cfRule>
    <cfRule type="cellIs" priority="124" operator="equal" dxfId="1">
      <formula>"A remplacer"</formula>
    </cfRule>
    <cfRule type="cellIs" priority="125" operator="equal" dxfId="1">
      <formula>"En cours d'instruction CNPS"</formula>
    </cfRule>
    <cfRule type="cellIs" priority="126" operator="equal" dxfId="1">
      <formula>"En contestation"</formula>
    </cfRule>
    <cfRule type="cellIs" priority="127" operator="equal" dxfId="1">
      <formula>"Inapte temporaire"</formula>
    </cfRule>
    <cfRule type="cellIs" priority="128" operator="equal" dxfId="1">
      <formula>"Candidat identifie"</formula>
    </cfRule>
    <cfRule type="cellIs" priority="129" operator="equal" dxfId="1">
      <formula>"En formation"</formula>
    </cfRule>
    <cfRule type="cellIs" priority="130" operator="equal" dxfId="1">
      <formula>"En evaluation"</formula>
    </cfRule>
    <cfRule type="cellIs" priority="131" operator="equal" dxfId="1">
      <formula>"En transit"</formula>
    </cfRule>
    <cfRule type="cellIs" priority="132" operator="equal" dxfId="1">
      <formula>"En attente visa"</formula>
    </cfRule>
    <cfRule type="cellIs" priority="133" operator="equal" dxfId="1">
      <formula>"Proposee"</formula>
    </cfRule>
    <cfRule type="cellIs" priority="134" operator="equal" dxfId="1">
      <formula>"En cours d'acquisition"</formula>
    </cfRule>
    <cfRule type="cellIs" priority="135" operator="equal" dxfId="1">
      <formula>"A developper"</formula>
    </cfRule>
    <cfRule type="cellIs" priority="136" operator="equal" dxfId="1">
      <formula>"A renforcer"</formula>
    </cfRule>
    <cfRule type="cellIs" priority="137" operator="equal" dxfId="1">
      <formula>"En cours"</formula>
    </cfRule>
    <cfRule type="cellIs" priority="138" operator="equal" dxfId="1">
      <formula>"Partiellement conforme"</formula>
    </cfRule>
    <cfRule type="cellIs" priority="139" operator="equal" dxfId="1">
      <formula>"En mise en conformite"</formula>
    </cfRule>
    <cfRule type="cellIs" priority="140" operator="equal" dxfId="1">
      <formula>"En revision"</formula>
    </cfRule>
    <cfRule type="cellIs" priority="141" operator="equal" dxfId="1">
      <formula>"A approuver"</formula>
    </cfRule>
    <cfRule type="cellIs" priority="142" operator="equal" dxfId="1">
      <formula>"En conciliation"</formula>
    </cfRule>
    <cfRule type="cellIs" priority="143" operator="equal" dxfId="1">
      <formula>"Assigne tribunal"</formula>
    </cfRule>
    <cfRule type="cellIs" priority="144" operator="equal" dxfId="1">
      <formula>"En cours de preparation"</formula>
    </cfRule>
    <cfRule type="cellIs" priority="145" operator="equal" dxfId="1">
      <formula>"Non effectuee"</formula>
    </cfRule>
    <cfRule type="cellIs" priority="146" operator="equal" dxfId="1">
      <formula>"A archiver"</formula>
    </cfRule>
    <cfRule type="cellIs" priority="147" operator="equal" dxfId="1">
      <formula>"En cours de constitution"</formula>
    </cfRule>
    <cfRule type="cellIs" priority="148" operator="equal" dxfId="1">
      <formula>"A mettre a jour"</formula>
    </cfRule>
    <cfRule type="cellIs" priority="149" operator="equal" dxfId="1">
      <formula>"En restoration"</formula>
    </cfRule>
    <cfRule type="cellIs" priority="150" operator="equal" dxfId="1">
      <formula>"En cours de restauration"</formula>
    </cfRule>
    <cfRule type="cellIs" priority="151" operator="equal" dxfId="1">
      <formula>"A determiner"</formula>
    </cfRule>
    <cfRule type="cellIs" priority="152" operator="equal" dxfId="1">
      <formula>"En revision"</formula>
    </cfRule>
    <cfRule type="cellIs" priority="153" operator="equal" dxfId="1">
      <formula>"Obsolete"</formula>
    </cfRule>
    <cfRule type="cellIs" priority="154" operator="equal" dxfId="1">
      <formula>"Hybride (papier + numerique)"</formula>
    </cfRule>
    <cfRule type="cellIs" priority="155" operator="equal" dxfId="2">
      <formula>"Expire"</formula>
    </cfRule>
    <cfRule type="cellIs" priority="156" operator="equal" dxfId="2">
      <formula>"Rejete"</formula>
    </cfRule>
    <cfRule type="cellIs" priority="157" operator="equal" dxfId="2">
      <formula>"Rejetee"</formula>
    </cfRule>
    <cfRule type="cellIs" priority="158" operator="equal" dxfId="2">
      <formula>"Resilie"</formula>
    </cfRule>
    <cfRule type="cellIs" priority="159" operator="equal" dxfId="2">
      <formula>"Annule"</formula>
    </cfRule>
    <cfRule type="cellIs" priority="160" operator="equal" dxfId="2">
      <formula>"Annulee"</formula>
    </cfRule>
    <cfRule type="cellIs" priority="161" operator="equal" dxfId="2">
      <formula>"Refuse"</formula>
    </cfRule>
    <cfRule type="cellIs" priority="162" operator="equal" dxfId="2">
      <formula>"Non justifie"</formula>
    </cfRule>
    <cfRule type="cellIs" priority="163" operator="equal" dxfId="2">
      <formula>"Non justifiee"</formula>
    </cfRule>
    <cfRule type="cellIs" priority="164" operator="equal" dxfId="2">
      <formula>"Sanctionne"</formula>
    </cfRule>
    <cfRule type="cellIs" priority="165" operator="equal" dxfId="2">
      <formula>"Inaptitude"</formula>
    </cfRule>
    <cfRule type="cellIs" priority="166" operator="equal" dxfId="2">
      <formula>"Absent sans autorisation"</formula>
    </cfRule>
    <cfRule type="cellIs" priority="167" operator="equal" dxfId="2">
      <formula>"Abandon de poste"</formula>
    </cfRule>
    <cfRule type="cellIs" priority="168" operator="equal" dxfId="2">
      <formula>"Non satisfait"</formula>
    </cfRule>
    <cfRule type="cellIs" priority="169" operator="equal" dxfId="2">
      <formula>"Depasse"</formula>
    </cfRule>
    <cfRule type="cellIs" priority="170" operator="equal" dxfId="2">
      <formula>"Non utilise"</formula>
    </cfRule>
    <cfRule type="cellIs" priority="171" operator="equal" dxfId="2">
      <formula>"Non applicable"</formula>
    </cfRule>
    <cfRule type="cellIs" priority="172" operator="equal" dxfId="2">
      <formula>"Debutant"</formula>
    </cfRule>
    <cfRule type="cellIs" priority="173" operator="equal" dxfId="2">
      <formula>"Non atteint"</formula>
    </cfRule>
    <cfRule type="cellIs" priority="174" operator="equal" dxfId="2">
      <formula>"Abandonne"</formula>
    </cfRule>
    <cfRule type="cellIs" priority="175" operator="equal" dxfId="2">
      <formula>"Rupture essai"</formula>
    </cfRule>
    <cfRule type="cellIs" priority="176" operator="equal" dxfId="2">
      <formula>"Insuffisant"</formula>
    </cfRule>
    <cfRule type="cellIs" priority="177" operator="equal" dxfId="2">
      <formula>"Moyen"</formula>
    </cfRule>
    <cfRule type="cellIs" priority="178" operator="equal" dxfId="2">
      <formula>"E - Insuffisant"</formula>
    </cfRule>
    <cfRule type="cellIs" priority="179" operator="equal" dxfId="2">
      <formula>"Dissous"</formula>
    </cfRule>
    <cfRule type="cellIs" priority="180" operator="equal" dxfId="2">
      <formula>"Denonce"</formula>
    </cfRule>
    <cfRule type="cellIs" priority="181" operator="equal" dxfId="2">
      <formula>"Echoue"</formula>
    </cfRule>
    <cfRule type="cellIs" priority="182" operator="equal" dxfId="2">
      <formula>"Echouee"</formula>
    </cfRule>
    <cfRule type="cellIs" priority="183" operator="equal" dxfId="2">
      <formula>"Revoque"</formula>
    </cfRule>
    <cfRule type="cellIs" priority="184" operator="equal" dxfId="2">
      <formula>"Demissionnaire"</formula>
    </cfRule>
    <cfRule type="cellIs" priority="185" operator="equal" dxfId="2">
      <formula>"Licenciement pour faute"</formula>
    </cfRule>
    <cfRule type="cellIs" priority="186" operator="equal" dxfId="2">
      <formula>"Licenciement pour faute grave"</formula>
    </cfRule>
    <cfRule type="cellIs" priority="187" operator="equal" dxfId="2">
      <formula>"Terminee - Echec"</formula>
    </cfRule>
    <cfRule type="cellIs" priority="188" operator="equal" dxfId="2">
      <formula>"Abandonnee"</formula>
    </cfRule>
    <cfRule type="cellIs" priority="189" operator="equal" dxfId="2">
      <formula>"Violence physique"</formula>
    </cfRule>
    <cfRule type="cellIs" priority="190" operator="equal" dxfId="2">
      <formula>"Violence verbale"</formula>
    </cfRule>
    <cfRule type="cellIs" priority="191" operator="equal" dxfId="2">
      <formula>"Fatal"</formula>
    </cfRule>
    <cfRule type="cellIs" priority="192" operator="equal" dxfId="2">
      <formula>"Non reconnue"</formula>
    </cfRule>
    <cfRule type="cellIs" priority="193" operator="equal" dxfId="2">
      <formula>"Inapte definitif"</formula>
    </cfRule>
    <cfRule type="cellIs" priority="194" operator="equal" dxfId="2">
      <formula>"Perdu / vole"</formula>
    </cfRule>
    <cfRule type="cellIs" priority="195" operator="equal" dxfId="2">
      <formula>"Rebute"</formula>
    </cfRule>
    <cfRule type="cellIs" priority="196" operator="equal" dxfId="2">
      <formula>"Obsolette"</formula>
    </cfRule>
    <cfRule type="cellIs" priority="197" operator="equal" dxfId="2">
      <formula>"Conteste"</formula>
    </cfRule>
    <cfRule type="cellIs" priority="198" operator="equal" dxfId="2">
      <formula>"Refusee"</formula>
    </cfRule>
    <cfRule type="cellIs" priority="199" operator="equal" dxfId="2">
      <formula>"Non retenu"</formula>
    </cfRule>
    <cfRule type="cellIs" priority="200" operator="equal" dxfId="2">
      <formula>"Non acquis"</formula>
    </cfRule>
    <cfRule type="cellIs" priority="201" operator="equal" dxfId="2">
      <formula>"Contrat termine"</formula>
    </cfRule>
    <cfRule type="cellIs" priority="202" operator="equal" dxfId="2">
      <formula>"Rapatrie"</formula>
    </cfRule>
    <cfRule type="cellIs" priority="203" operator="equal" dxfId="2">
      <formula>"Non conforme"</formula>
    </cfRule>
    <cfRule type="cellIs" priority="204" operator="equal" dxfId="2">
      <formula>"Abandonne"</formula>
    </cfRule>
    <cfRule type="cellIs" priority="205" operator="equal" dxfId="2">
      <formula>"Perdu"</formula>
    </cfRule>
    <cfRule type="cellIs" priority="206" operator="equal" dxfId="2">
      <formula>"Resilie"</formula>
    </cfRule>
    <cfRule type="cellIs" priority="207" operator="equal" dxfId="2">
      <formula>"Expire"</formula>
    </cfRule>
    <cfRule type="cellIs" priority="208" operator="equal" dxfId="2">
      <formula>"Incomplet"</formula>
    </cfRule>
    <cfRule type="cellIs" priority="209" operator="equal" dxfId="2">
      <formula>"Non restitue"</formula>
    </cfRule>
    <cfRule type="cellIs" priority="210" operator="equal" dxfId="2">
      <formula>"Perdu"</formula>
    </cfRule>
    <cfRule type="cellIs" priority="211" operator="equal" dxfId="2">
      <formula>"Secret"</formula>
    </cfRule>
  </conditionalFormatting>
  <conditionalFormatting sqref="B10:B109">
    <cfRule type="expression" priority="212" dxfId="3">
      <formula>AND($C10="",$C9&lt;&gt;"")</formula>
    </cfRule>
  </conditionalFormatting>
  <conditionalFormatting sqref="C10:C109">
    <cfRule type="expression" priority="213" dxfId="3">
      <formula>AND($C10="",$C9&lt;&gt;"")</formula>
    </cfRule>
  </conditionalFormatting>
  <conditionalFormatting sqref="D10:D109">
    <cfRule type="expression" priority="214" dxfId="3">
      <formula>AND($C10="",$C9&lt;&gt;"")</formula>
    </cfRule>
  </conditionalFormatting>
  <conditionalFormatting sqref="E10:E109">
    <cfRule type="expression" priority="215" dxfId="3">
      <formula>AND($C10="",$C9&lt;&gt;"")</formula>
    </cfRule>
  </conditionalFormatting>
  <conditionalFormatting sqref="F10:F109">
    <cfRule type="expression" priority="216" dxfId="3">
      <formula>AND($C10="",$C9&lt;&gt;"")</formula>
    </cfRule>
  </conditionalFormatting>
  <conditionalFormatting sqref="G10:G109">
    <cfRule type="expression" priority="217" dxfId="3">
      <formula>AND($C10="",$C9&lt;&gt;"")</formula>
    </cfRule>
  </conditionalFormatting>
  <conditionalFormatting sqref="H10:H109">
    <cfRule type="expression" priority="218" dxfId="3">
      <formula>AND($C10="",$C9&lt;&gt;"")</formula>
    </cfRule>
  </conditionalFormatting>
  <conditionalFormatting sqref="I10:I109">
    <cfRule type="expression" priority="219" dxfId="3">
      <formula>AND($C10="",$C9&lt;&gt;"")</formula>
    </cfRule>
  </conditionalFormatting>
  <conditionalFormatting sqref="J10:J109">
    <cfRule type="expression" priority="220" dxfId="3">
      <formula>AND($C10="",$C9&lt;&gt;"")</formula>
    </cfRule>
  </conditionalFormatting>
  <dataValidations count="1">
    <dataValidation sqref="J5:J109" showDropDown="0" showInputMessage="0" showErrorMessage="0" allowBlank="1" errorTitle="Erreur" error="Valeur invalide" promptTitle="Liste" prompt="Choisir dans la liste" type="list">
      <formula1>'_Lists'!$K$2:$K$6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22" customWidth="1" min="4" max="4"/>
    <col width="14" customWidth="1" min="5" max="5"/>
    <col width="26" customWidth="1" min="6" max="6"/>
    <col width="26" customWidth="1" min="7" max="7"/>
    <col width="16" customWidth="1" min="8" max="8"/>
    <col width="16" customWidth="1" min="9" max="9"/>
    <col width="16" customWidth="1" min="10" max="10"/>
    <col width="14" customWidth="1" min="11" max="11"/>
  </cols>
  <sheetData>
    <row r="1" ht="15" customHeight="1"/>
    <row r="2" ht="32" customHeight="1">
      <c r="B2" s="1" t="inlineStr">
        <is>
          <t>REGISTRE SORTIE DOCUMENTS (#135)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Document</t>
        </is>
      </c>
      <c r="D4" s="11" t="inlineStr">
        <is>
          <t>Type Document</t>
        </is>
      </c>
      <c r="E4" s="11" t="inlineStr">
        <is>
          <t>Date Sortie</t>
        </is>
      </c>
      <c r="F4" s="11" t="inlineStr">
        <is>
          <t>Motif Sortie</t>
        </is>
      </c>
      <c r="G4" s="11" t="inlineStr">
        <is>
          <t>Destinataire</t>
        </is>
      </c>
      <c r="H4" s="11" t="inlineStr">
        <is>
          <t>Nbr Exemplaires</t>
        </is>
      </c>
      <c r="I4" s="11" t="inlineStr">
        <is>
          <t>Date Retour Prev.</t>
        </is>
      </c>
      <c r="J4" s="11" t="inlineStr">
        <is>
          <t>Date Retour Reel</t>
        </is>
      </c>
      <c r="K4" s="11" t="inlineStr">
        <is>
          <t>Statut</t>
        </is>
      </c>
    </row>
    <row r="5" ht="22" customHeight="1">
      <c r="B5" s="12" t="inlineStr">
        <is>
          <t>SOR-001</t>
        </is>
      </c>
      <c r="C5" s="12" t="inlineStr">
        <is>
          <t>Contrat Tchouanku G.</t>
        </is>
      </c>
      <c r="D5" s="12" t="inlineStr">
        <is>
          <t>Contrat de travail</t>
        </is>
      </c>
      <c r="E5" s="29" t="n">
        <v>45809</v>
      </c>
      <c r="F5" s="12" t="inlineStr">
        <is>
          <t>Tribunal</t>
        </is>
      </c>
      <c r="G5" s="12" t="inlineStr">
        <is>
          <t>Tribunal de travail Douala</t>
        </is>
      </c>
      <c r="H5" s="18" t="n">
        <v>1</v>
      </c>
      <c r="I5" s="29" t="n"/>
      <c r="J5" s="29" t="n"/>
      <c r="K5" s="12" t="inlineStr">
        <is>
          <t>En cours</t>
        </is>
      </c>
    </row>
    <row r="6" ht="22" customHeight="1">
      <c r="B6" s="14" t="inlineStr">
        <is>
          <t>SOR-002</t>
        </is>
      </c>
      <c r="C6" s="14" t="inlineStr">
        <is>
          <t>Bulletins paie Q1 2025</t>
        </is>
      </c>
      <c r="D6" s="14" t="inlineStr">
        <is>
          <t>Bulletin paie</t>
        </is>
      </c>
      <c r="E6" s="30" t="n">
        <v>45762</v>
      </c>
      <c r="F6" s="14" t="inlineStr">
        <is>
          <t>Expertise comptable</t>
        </is>
      </c>
      <c r="G6" s="14" t="inlineStr">
        <is>
          <t>Cabinet FIDECA</t>
        </is>
      </c>
      <c r="H6" s="19" t="n">
        <v>1</v>
      </c>
      <c r="I6" s="30" t="n">
        <v>45792</v>
      </c>
      <c r="J6" s="30" t="n">
        <v>45787</v>
      </c>
      <c r="K6" s="14" t="inlineStr">
        <is>
          <t>Restitue</t>
        </is>
      </c>
    </row>
    <row r="7" ht="22" customHeight="1">
      <c r="B7" s="12" t="inlineStr">
        <is>
          <t>SOR-003</t>
        </is>
      </c>
      <c r="C7" s="12" t="inlineStr">
        <is>
          <t>Bilan social 2024</t>
        </is>
      </c>
      <c r="D7" s="12" t="inlineStr">
        <is>
          <t>Bilan social</t>
        </is>
      </c>
      <c r="E7" s="29" t="n">
        <v>45717</v>
      </c>
      <c r="F7" s="12" t="inlineStr">
        <is>
          <t>Envoi organisme externe</t>
        </is>
      </c>
      <c r="G7" s="12" t="inlineStr">
        <is>
          <t>Inspection du travail</t>
        </is>
      </c>
      <c r="H7" s="18" t="n">
        <v>2</v>
      </c>
      <c r="I7" s="29" t="n"/>
      <c r="J7" s="29" t="n"/>
      <c r="K7" s="12" t="inlineStr">
        <is>
          <t>En cours</t>
        </is>
      </c>
    </row>
    <row r="8" ht="22" customHeight="1">
      <c r="B8" s="14" t="inlineStr">
        <is>
          <t>SOR-004</t>
        </is>
      </c>
      <c r="C8" s="14" t="inlineStr">
        <is>
          <t>Attestation travail Nkoulou</t>
        </is>
      </c>
      <c r="D8" s="14" t="inlineStr">
        <is>
          <t>Attestation travail</t>
        </is>
      </c>
      <c r="E8" s="30" t="n">
        <v>45797</v>
      </c>
      <c r="F8" s="14" t="inlineStr">
        <is>
          <t>Photocopie employe</t>
        </is>
      </c>
      <c r="G8" s="14" t="inlineStr">
        <is>
          <t>Nkoulou Mbarga P.</t>
        </is>
      </c>
      <c r="H8" s="19" t="n">
        <v>1</v>
      </c>
      <c r="I8" s="30" t="n">
        <v>45797</v>
      </c>
      <c r="J8" s="30" t="n">
        <v>45797</v>
      </c>
      <c r="K8" s="14" t="inlineStr">
        <is>
          <t>Restitue</t>
        </is>
      </c>
    </row>
    <row r="9" ht="22" customHeight="1">
      <c r="B9" s="12" t="inlineStr">
        <is>
          <t>SOR-005</t>
        </is>
      </c>
      <c r="C9" s="12" t="inlineStr">
        <is>
          <t>PV reunion CSE fevrier</t>
        </is>
      </c>
      <c r="D9" s="12" t="inlineStr">
        <is>
          <t>PV reunion</t>
        </is>
      </c>
      <c r="E9" s="29" t="n">
        <v>45726</v>
      </c>
      <c r="F9" s="12" t="inlineStr">
        <is>
          <t>Consultation interne</t>
        </is>
      </c>
      <c r="G9" s="12" t="inlineStr">
        <is>
          <t>Syndicat CSE</t>
        </is>
      </c>
      <c r="H9" s="18" t="n">
        <v>1</v>
      </c>
      <c r="I9" s="29" t="n">
        <v>45757</v>
      </c>
      <c r="J9" s="29" t="n">
        <v>45755</v>
      </c>
      <c r="K9" s="12" t="inlineStr">
        <is>
          <t>Restitue</t>
        </is>
      </c>
    </row>
    <row r="10" ht="22" customHeight="1">
      <c r="B10" s="16">
        <f>IF(C10="","SOR-"&amp;TEXT(COUNTA($C$5:C10),"000"))</f>
        <v/>
      </c>
      <c r="C10" s="14" t="n"/>
      <c r="D10" s="14" t="n"/>
      <c r="E10" s="30" t="n"/>
      <c r="F10" s="14" t="n"/>
      <c r="G10" s="14" t="n"/>
      <c r="H10" s="19" t="n"/>
      <c r="I10" s="30" t="n"/>
      <c r="J10" s="30" t="n"/>
      <c r="K10" s="14" t="n"/>
    </row>
    <row r="11" ht="22" customHeight="1">
      <c r="B11" s="17">
        <f>IF(C11="","SOR-"&amp;TEXT(COUNTA($C$5:C11),"000"))</f>
        <v/>
      </c>
      <c r="C11" s="12" t="n"/>
      <c r="D11" s="12" t="n"/>
      <c r="E11" s="29" t="n"/>
      <c r="F11" s="12" t="n"/>
      <c r="G11" s="12" t="n"/>
      <c r="H11" s="18" t="n"/>
      <c r="I11" s="29" t="n"/>
      <c r="J11" s="29" t="n"/>
      <c r="K11" s="12" t="n"/>
    </row>
    <row r="12" ht="22" customHeight="1">
      <c r="B12" s="16">
        <f>IF(C12="","SOR-"&amp;TEXT(COUNTA($C$5:C12),"000"))</f>
        <v/>
      </c>
      <c r="C12" s="14" t="n"/>
      <c r="D12" s="14" t="n"/>
      <c r="E12" s="30" t="n"/>
      <c r="F12" s="14" t="n"/>
      <c r="G12" s="14" t="n"/>
      <c r="H12" s="19" t="n"/>
      <c r="I12" s="30" t="n"/>
      <c r="J12" s="30" t="n"/>
      <c r="K12" s="14" t="n"/>
    </row>
    <row r="13" ht="22" customHeight="1">
      <c r="B13" s="17">
        <f>IF(C13="","SOR-"&amp;TEXT(COUNTA($C$5:C13),"000"))</f>
        <v/>
      </c>
      <c r="C13" s="12" t="n"/>
      <c r="D13" s="12" t="n"/>
      <c r="E13" s="29" t="n"/>
      <c r="F13" s="12" t="n"/>
      <c r="G13" s="12" t="n"/>
      <c r="H13" s="18" t="n"/>
      <c r="I13" s="29" t="n"/>
      <c r="J13" s="29" t="n"/>
      <c r="K13" s="12" t="n"/>
    </row>
    <row r="14" ht="22" customHeight="1">
      <c r="B14" s="16">
        <f>IF(C14="","SOR-"&amp;TEXT(COUNTA($C$5:C14),"000"))</f>
        <v/>
      </c>
      <c r="C14" s="14" t="n"/>
      <c r="D14" s="14" t="n"/>
      <c r="E14" s="30" t="n"/>
      <c r="F14" s="14" t="n"/>
      <c r="G14" s="14" t="n"/>
      <c r="H14" s="19" t="n"/>
      <c r="I14" s="30" t="n"/>
      <c r="J14" s="30" t="n"/>
      <c r="K14" s="14" t="n"/>
    </row>
    <row r="15" ht="22" customHeight="1">
      <c r="B15" s="17">
        <f>IF(C15="","SOR-"&amp;TEXT(COUNTA($C$5:C15),"000"))</f>
        <v/>
      </c>
      <c r="C15" s="12" t="n"/>
      <c r="D15" s="12" t="n"/>
      <c r="E15" s="29" t="n"/>
      <c r="F15" s="12" t="n"/>
      <c r="G15" s="12" t="n"/>
      <c r="H15" s="18" t="n"/>
      <c r="I15" s="29" t="n"/>
      <c r="J15" s="29" t="n"/>
      <c r="K15" s="12" t="n"/>
    </row>
    <row r="16" ht="22" customHeight="1">
      <c r="B16" s="16">
        <f>IF(C16="","SOR-"&amp;TEXT(COUNTA($C$5:C16),"000"))</f>
        <v/>
      </c>
      <c r="C16" s="14" t="n"/>
      <c r="D16" s="14" t="n"/>
      <c r="E16" s="30" t="n"/>
      <c r="F16" s="14" t="n"/>
      <c r="G16" s="14" t="n"/>
      <c r="H16" s="19" t="n"/>
      <c r="I16" s="30" t="n"/>
      <c r="J16" s="30" t="n"/>
      <c r="K16" s="14" t="n"/>
    </row>
    <row r="17" ht="22" customHeight="1">
      <c r="B17" s="17">
        <f>IF(C17="","SOR-"&amp;TEXT(COUNTA($C$5:C17),"000"))</f>
        <v/>
      </c>
      <c r="C17" s="12" t="n"/>
      <c r="D17" s="12" t="n"/>
      <c r="E17" s="29" t="n"/>
      <c r="F17" s="12" t="n"/>
      <c r="G17" s="12" t="n"/>
      <c r="H17" s="18" t="n"/>
      <c r="I17" s="29" t="n"/>
      <c r="J17" s="29" t="n"/>
      <c r="K17" s="12" t="n"/>
    </row>
    <row r="18" ht="22" customHeight="1">
      <c r="B18" s="16">
        <f>IF(C18="","SOR-"&amp;TEXT(COUNTA($C$5:C18),"000"))</f>
        <v/>
      </c>
      <c r="C18" s="14" t="n"/>
      <c r="D18" s="14" t="n"/>
      <c r="E18" s="30" t="n"/>
      <c r="F18" s="14" t="n"/>
      <c r="G18" s="14" t="n"/>
      <c r="H18" s="19" t="n"/>
      <c r="I18" s="30" t="n"/>
      <c r="J18" s="30" t="n"/>
      <c r="K18" s="14" t="n"/>
    </row>
    <row r="19" ht="22" customHeight="1">
      <c r="B19" s="17">
        <f>IF(C19="","SOR-"&amp;TEXT(COUNTA($C$5:C19),"000"))</f>
        <v/>
      </c>
      <c r="C19" s="12" t="n"/>
      <c r="D19" s="12" t="n"/>
      <c r="E19" s="29" t="n"/>
      <c r="F19" s="12" t="n"/>
      <c r="G19" s="12" t="n"/>
      <c r="H19" s="18" t="n"/>
      <c r="I19" s="29" t="n"/>
      <c r="J19" s="29" t="n"/>
      <c r="K19" s="12" t="n"/>
    </row>
    <row r="20" ht="22" customHeight="1">
      <c r="B20" s="16">
        <f>IF(C20="","SOR-"&amp;TEXT(COUNTA($C$5:C20),"000"))</f>
        <v/>
      </c>
      <c r="C20" s="14" t="n"/>
      <c r="D20" s="14" t="n"/>
      <c r="E20" s="30" t="n"/>
      <c r="F20" s="14" t="n"/>
      <c r="G20" s="14" t="n"/>
      <c r="H20" s="19" t="n"/>
      <c r="I20" s="30" t="n"/>
      <c r="J20" s="30" t="n"/>
      <c r="K20" s="14" t="n"/>
    </row>
    <row r="21" ht="22" customHeight="1">
      <c r="B21" s="17">
        <f>IF(C21="","SOR-"&amp;TEXT(COUNTA($C$5:C21),"000"))</f>
        <v/>
      </c>
      <c r="C21" s="12" t="n"/>
      <c r="D21" s="12" t="n"/>
      <c r="E21" s="29" t="n"/>
      <c r="F21" s="12" t="n"/>
      <c r="G21" s="12" t="n"/>
      <c r="H21" s="18" t="n"/>
      <c r="I21" s="29" t="n"/>
      <c r="J21" s="29" t="n"/>
      <c r="K21" s="12" t="n"/>
    </row>
    <row r="22" ht="22" customHeight="1">
      <c r="B22" s="16">
        <f>IF(C22="","SOR-"&amp;TEXT(COUNTA($C$5:C22),"000"))</f>
        <v/>
      </c>
      <c r="C22" s="14" t="n"/>
      <c r="D22" s="14" t="n"/>
      <c r="E22" s="30" t="n"/>
      <c r="F22" s="14" t="n"/>
      <c r="G22" s="14" t="n"/>
      <c r="H22" s="19" t="n"/>
      <c r="I22" s="30" t="n"/>
      <c r="J22" s="30" t="n"/>
      <c r="K22" s="14" t="n"/>
    </row>
    <row r="23" ht="22" customHeight="1">
      <c r="B23" s="17">
        <f>IF(C23="","SOR-"&amp;TEXT(COUNTA($C$5:C23),"000"))</f>
        <v/>
      </c>
      <c r="C23" s="12" t="n"/>
      <c r="D23" s="12" t="n"/>
      <c r="E23" s="29" t="n"/>
      <c r="F23" s="12" t="n"/>
      <c r="G23" s="12" t="n"/>
      <c r="H23" s="18" t="n"/>
      <c r="I23" s="29" t="n"/>
      <c r="J23" s="29" t="n"/>
      <c r="K23" s="12" t="n"/>
    </row>
    <row r="24" ht="22" customHeight="1">
      <c r="B24" s="16">
        <f>IF(C24="","SOR-"&amp;TEXT(COUNTA($C$5:C24),"000"))</f>
        <v/>
      </c>
      <c r="C24" s="14" t="n"/>
      <c r="D24" s="14" t="n"/>
      <c r="E24" s="30" t="n"/>
      <c r="F24" s="14" t="n"/>
      <c r="G24" s="14" t="n"/>
      <c r="H24" s="19" t="n"/>
      <c r="I24" s="30" t="n"/>
      <c r="J24" s="30" t="n"/>
      <c r="K24" s="14" t="n"/>
    </row>
    <row r="25" ht="22" customHeight="1">
      <c r="B25" s="17">
        <f>IF(C25="","SOR-"&amp;TEXT(COUNTA($C$5:C25),"000"))</f>
        <v/>
      </c>
      <c r="C25" s="12" t="n"/>
      <c r="D25" s="12" t="n"/>
      <c r="E25" s="29" t="n"/>
      <c r="F25" s="12" t="n"/>
      <c r="G25" s="12" t="n"/>
      <c r="H25" s="18" t="n"/>
      <c r="I25" s="29" t="n"/>
      <c r="J25" s="29" t="n"/>
      <c r="K25" s="12" t="n"/>
    </row>
    <row r="26" ht="22" customHeight="1">
      <c r="B26" s="16">
        <f>IF(C26="","SOR-"&amp;TEXT(COUNTA($C$5:C26),"000"))</f>
        <v/>
      </c>
      <c r="C26" s="14" t="n"/>
      <c r="D26" s="14" t="n"/>
      <c r="E26" s="30" t="n"/>
      <c r="F26" s="14" t="n"/>
      <c r="G26" s="14" t="n"/>
      <c r="H26" s="19" t="n"/>
      <c r="I26" s="30" t="n"/>
      <c r="J26" s="30" t="n"/>
      <c r="K26" s="14" t="n"/>
    </row>
    <row r="27" ht="22" customHeight="1">
      <c r="B27" s="17">
        <f>IF(C27="","SOR-"&amp;TEXT(COUNTA($C$5:C27),"000"))</f>
        <v/>
      </c>
      <c r="C27" s="12" t="n"/>
      <c r="D27" s="12" t="n"/>
      <c r="E27" s="29" t="n"/>
      <c r="F27" s="12" t="n"/>
      <c r="G27" s="12" t="n"/>
      <c r="H27" s="18" t="n"/>
      <c r="I27" s="29" t="n"/>
      <c r="J27" s="29" t="n"/>
      <c r="K27" s="12" t="n"/>
    </row>
    <row r="28" ht="22" customHeight="1">
      <c r="B28" s="16">
        <f>IF(C28="","SOR-"&amp;TEXT(COUNTA($C$5:C28),"000"))</f>
        <v/>
      </c>
      <c r="C28" s="14" t="n"/>
      <c r="D28" s="14" t="n"/>
      <c r="E28" s="30" t="n"/>
      <c r="F28" s="14" t="n"/>
      <c r="G28" s="14" t="n"/>
      <c r="H28" s="19" t="n"/>
      <c r="I28" s="30" t="n"/>
      <c r="J28" s="30" t="n"/>
      <c r="K28" s="14" t="n"/>
    </row>
    <row r="29" ht="22" customHeight="1">
      <c r="B29" s="17">
        <f>IF(C29="","SOR-"&amp;TEXT(COUNTA($C$5:C29),"000"))</f>
        <v/>
      </c>
      <c r="C29" s="12" t="n"/>
      <c r="D29" s="12" t="n"/>
      <c r="E29" s="29" t="n"/>
      <c r="F29" s="12" t="n"/>
      <c r="G29" s="12" t="n"/>
      <c r="H29" s="18" t="n"/>
      <c r="I29" s="29" t="n"/>
      <c r="J29" s="29" t="n"/>
      <c r="K29" s="12" t="n"/>
    </row>
    <row r="30" ht="22" customHeight="1">
      <c r="B30" s="16">
        <f>IF(C30="","SOR-"&amp;TEXT(COUNTA($C$5:C30),"000"))</f>
        <v/>
      </c>
      <c r="C30" s="14" t="n"/>
      <c r="D30" s="14" t="n"/>
      <c r="E30" s="30" t="n"/>
      <c r="F30" s="14" t="n"/>
      <c r="G30" s="14" t="n"/>
      <c r="H30" s="19" t="n"/>
      <c r="I30" s="30" t="n"/>
      <c r="J30" s="30" t="n"/>
      <c r="K30" s="14" t="n"/>
    </row>
    <row r="31" ht="22" customHeight="1">
      <c r="B31" s="17">
        <f>IF(C31="","SOR-"&amp;TEXT(COUNTA($C$5:C31),"000"))</f>
        <v/>
      </c>
      <c r="C31" s="12" t="n"/>
      <c r="D31" s="12" t="n"/>
      <c r="E31" s="29" t="n"/>
      <c r="F31" s="12" t="n"/>
      <c r="G31" s="12" t="n"/>
      <c r="H31" s="18" t="n"/>
      <c r="I31" s="29" t="n"/>
      <c r="J31" s="29" t="n"/>
      <c r="K31" s="12" t="n"/>
    </row>
    <row r="32" ht="22" customHeight="1">
      <c r="B32" s="16">
        <f>IF(C32="","SOR-"&amp;TEXT(COUNTA($C$5:C32),"000"))</f>
        <v/>
      </c>
      <c r="C32" s="14" t="n"/>
      <c r="D32" s="14" t="n"/>
      <c r="E32" s="30" t="n"/>
      <c r="F32" s="14" t="n"/>
      <c r="G32" s="14" t="n"/>
      <c r="H32" s="19" t="n"/>
      <c r="I32" s="30" t="n"/>
      <c r="J32" s="30" t="n"/>
      <c r="K32" s="14" t="n"/>
    </row>
    <row r="33" ht="22" customHeight="1">
      <c r="B33" s="17">
        <f>IF(C33="","SOR-"&amp;TEXT(COUNTA($C$5:C33),"000"))</f>
        <v/>
      </c>
      <c r="C33" s="12" t="n"/>
      <c r="D33" s="12" t="n"/>
      <c r="E33" s="29" t="n"/>
      <c r="F33" s="12" t="n"/>
      <c r="G33" s="12" t="n"/>
      <c r="H33" s="18" t="n"/>
      <c r="I33" s="29" t="n"/>
      <c r="J33" s="29" t="n"/>
      <c r="K33" s="12" t="n"/>
    </row>
    <row r="34" ht="22" customHeight="1">
      <c r="B34" s="16">
        <f>IF(C34="","SOR-"&amp;TEXT(COUNTA($C$5:C34),"000"))</f>
        <v/>
      </c>
      <c r="C34" s="14" t="n"/>
      <c r="D34" s="14" t="n"/>
      <c r="E34" s="30" t="n"/>
      <c r="F34" s="14" t="n"/>
      <c r="G34" s="14" t="n"/>
      <c r="H34" s="19" t="n"/>
      <c r="I34" s="30" t="n"/>
      <c r="J34" s="30" t="n"/>
      <c r="K34" s="14" t="n"/>
    </row>
    <row r="35" ht="22" customHeight="1">
      <c r="B35" s="17">
        <f>IF(C35="","SOR-"&amp;TEXT(COUNTA($C$5:C35),"000"))</f>
        <v/>
      </c>
      <c r="C35" s="12" t="n"/>
      <c r="D35" s="12" t="n"/>
      <c r="E35" s="29" t="n"/>
      <c r="F35" s="12" t="n"/>
      <c r="G35" s="12" t="n"/>
      <c r="H35" s="18" t="n"/>
      <c r="I35" s="29" t="n"/>
      <c r="J35" s="29" t="n"/>
      <c r="K35" s="12" t="n"/>
    </row>
    <row r="36" ht="22" customHeight="1">
      <c r="B36" s="16">
        <f>IF(C36="","SOR-"&amp;TEXT(COUNTA($C$5:C36),"000"))</f>
        <v/>
      </c>
      <c r="C36" s="14" t="n"/>
      <c r="D36" s="14" t="n"/>
      <c r="E36" s="30" t="n"/>
      <c r="F36" s="14" t="n"/>
      <c r="G36" s="14" t="n"/>
      <c r="H36" s="19" t="n"/>
      <c r="I36" s="30" t="n"/>
      <c r="J36" s="30" t="n"/>
      <c r="K36" s="14" t="n"/>
    </row>
    <row r="37" ht="22" customHeight="1">
      <c r="B37" s="17">
        <f>IF(C37="","SOR-"&amp;TEXT(COUNTA($C$5:C37),"000"))</f>
        <v/>
      </c>
      <c r="C37" s="12" t="n"/>
      <c r="D37" s="12" t="n"/>
      <c r="E37" s="29" t="n"/>
      <c r="F37" s="12" t="n"/>
      <c r="G37" s="12" t="n"/>
      <c r="H37" s="18" t="n"/>
      <c r="I37" s="29" t="n"/>
      <c r="J37" s="29" t="n"/>
      <c r="K37" s="12" t="n"/>
    </row>
    <row r="38" ht="22" customHeight="1">
      <c r="B38" s="16">
        <f>IF(C38="","SOR-"&amp;TEXT(COUNTA($C$5:C38),"000"))</f>
        <v/>
      </c>
      <c r="C38" s="14" t="n"/>
      <c r="D38" s="14" t="n"/>
      <c r="E38" s="30" t="n"/>
      <c r="F38" s="14" t="n"/>
      <c r="G38" s="14" t="n"/>
      <c r="H38" s="19" t="n"/>
      <c r="I38" s="30" t="n"/>
      <c r="J38" s="30" t="n"/>
      <c r="K38" s="14" t="n"/>
    </row>
    <row r="39" ht="22" customHeight="1">
      <c r="B39" s="17">
        <f>IF(C39="","SOR-"&amp;TEXT(COUNTA($C$5:C39),"000"))</f>
        <v/>
      </c>
      <c r="C39" s="12" t="n"/>
      <c r="D39" s="12" t="n"/>
      <c r="E39" s="29" t="n"/>
      <c r="F39" s="12" t="n"/>
      <c r="G39" s="12" t="n"/>
      <c r="H39" s="18" t="n"/>
      <c r="I39" s="29" t="n"/>
      <c r="J39" s="29" t="n"/>
      <c r="K39" s="12" t="n"/>
    </row>
    <row r="40" ht="22" customHeight="1">
      <c r="B40" s="16">
        <f>IF(C40="","SOR-"&amp;TEXT(COUNTA($C$5:C40),"000"))</f>
        <v/>
      </c>
      <c r="C40" s="14" t="n"/>
      <c r="D40" s="14" t="n"/>
      <c r="E40" s="30" t="n"/>
      <c r="F40" s="14" t="n"/>
      <c r="G40" s="14" t="n"/>
      <c r="H40" s="19" t="n"/>
      <c r="I40" s="30" t="n"/>
      <c r="J40" s="30" t="n"/>
      <c r="K40" s="14" t="n"/>
    </row>
    <row r="41" ht="22" customHeight="1">
      <c r="B41" s="17">
        <f>IF(C41="","SOR-"&amp;TEXT(COUNTA($C$5:C41),"000"))</f>
        <v/>
      </c>
      <c r="C41" s="12" t="n"/>
      <c r="D41" s="12" t="n"/>
      <c r="E41" s="29" t="n"/>
      <c r="F41" s="12" t="n"/>
      <c r="G41" s="12" t="n"/>
      <c r="H41" s="18" t="n"/>
      <c r="I41" s="29" t="n"/>
      <c r="J41" s="29" t="n"/>
      <c r="K41" s="12" t="n"/>
    </row>
    <row r="42" ht="22" customHeight="1">
      <c r="B42" s="16">
        <f>IF(C42="","SOR-"&amp;TEXT(COUNTA($C$5:C42),"000"))</f>
        <v/>
      </c>
      <c r="C42" s="14" t="n"/>
      <c r="D42" s="14" t="n"/>
      <c r="E42" s="30" t="n"/>
      <c r="F42" s="14" t="n"/>
      <c r="G42" s="14" t="n"/>
      <c r="H42" s="19" t="n"/>
      <c r="I42" s="30" t="n"/>
      <c r="J42" s="30" t="n"/>
      <c r="K42" s="14" t="n"/>
    </row>
    <row r="43" ht="22" customHeight="1">
      <c r="B43" s="17">
        <f>IF(C43="","SOR-"&amp;TEXT(COUNTA($C$5:C43),"000"))</f>
        <v/>
      </c>
      <c r="C43" s="12" t="n"/>
      <c r="D43" s="12" t="n"/>
      <c r="E43" s="29" t="n"/>
      <c r="F43" s="12" t="n"/>
      <c r="G43" s="12" t="n"/>
      <c r="H43" s="18" t="n"/>
      <c r="I43" s="29" t="n"/>
      <c r="J43" s="29" t="n"/>
      <c r="K43" s="12" t="n"/>
    </row>
    <row r="44" ht="22" customHeight="1">
      <c r="B44" s="16">
        <f>IF(C44="","SOR-"&amp;TEXT(COUNTA($C$5:C44),"000"))</f>
        <v/>
      </c>
      <c r="C44" s="14" t="n"/>
      <c r="D44" s="14" t="n"/>
      <c r="E44" s="30" t="n"/>
      <c r="F44" s="14" t="n"/>
      <c r="G44" s="14" t="n"/>
      <c r="H44" s="19" t="n"/>
      <c r="I44" s="30" t="n"/>
      <c r="J44" s="30" t="n"/>
      <c r="K44" s="14" t="n"/>
    </row>
    <row r="45" ht="22" customHeight="1">
      <c r="B45" s="17">
        <f>IF(C45="","SOR-"&amp;TEXT(COUNTA($C$5:C45),"000"))</f>
        <v/>
      </c>
      <c r="C45" s="12" t="n"/>
      <c r="D45" s="12" t="n"/>
      <c r="E45" s="29" t="n"/>
      <c r="F45" s="12" t="n"/>
      <c r="G45" s="12" t="n"/>
      <c r="H45" s="18" t="n"/>
      <c r="I45" s="29" t="n"/>
      <c r="J45" s="29" t="n"/>
      <c r="K45" s="12" t="n"/>
    </row>
    <row r="46" ht="22" customHeight="1">
      <c r="B46" s="16">
        <f>IF(C46="","SOR-"&amp;TEXT(COUNTA($C$5:C46),"000"))</f>
        <v/>
      </c>
      <c r="C46" s="14" t="n"/>
      <c r="D46" s="14" t="n"/>
      <c r="E46" s="30" t="n"/>
      <c r="F46" s="14" t="n"/>
      <c r="G46" s="14" t="n"/>
      <c r="H46" s="19" t="n"/>
      <c r="I46" s="30" t="n"/>
      <c r="J46" s="30" t="n"/>
      <c r="K46" s="14" t="n"/>
    </row>
    <row r="47" ht="22" customHeight="1">
      <c r="B47" s="17">
        <f>IF(C47="","SOR-"&amp;TEXT(COUNTA($C$5:C47),"000"))</f>
        <v/>
      </c>
      <c r="C47" s="12" t="n"/>
      <c r="D47" s="12" t="n"/>
      <c r="E47" s="29" t="n"/>
      <c r="F47" s="12" t="n"/>
      <c r="G47" s="12" t="n"/>
      <c r="H47" s="18" t="n"/>
      <c r="I47" s="29" t="n"/>
      <c r="J47" s="29" t="n"/>
      <c r="K47" s="12" t="n"/>
    </row>
    <row r="48" ht="22" customHeight="1">
      <c r="B48" s="16">
        <f>IF(C48="","SOR-"&amp;TEXT(COUNTA($C$5:C48),"000"))</f>
        <v/>
      </c>
      <c r="C48" s="14" t="n"/>
      <c r="D48" s="14" t="n"/>
      <c r="E48" s="30" t="n"/>
      <c r="F48" s="14" t="n"/>
      <c r="G48" s="14" t="n"/>
      <c r="H48" s="19" t="n"/>
      <c r="I48" s="30" t="n"/>
      <c r="J48" s="30" t="n"/>
      <c r="K48" s="14" t="n"/>
    </row>
    <row r="49" ht="22" customHeight="1">
      <c r="B49" s="17">
        <f>IF(C49="","SOR-"&amp;TEXT(COUNTA($C$5:C49),"000"))</f>
        <v/>
      </c>
      <c r="C49" s="12" t="n"/>
      <c r="D49" s="12" t="n"/>
      <c r="E49" s="29" t="n"/>
      <c r="F49" s="12" t="n"/>
      <c r="G49" s="12" t="n"/>
      <c r="H49" s="18" t="n"/>
      <c r="I49" s="29" t="n"/>
      <c r="J49" s="29" t="n"/>
      <c r="K49" s="12" t="n"/>
    </row>
    <row r="50" ht="22" customHeight="1">
      <c r="B50" s="16">
        <f>IF(C50="","SOR-"&amp;TEXT(COUNTA($C$5:C50),"000"))</f>
        <v/>
      </c>
      <c r="C50" s="14" t="n"/>
      <c r="D50" s="14" t="n"/>
      <c r="E50" s="30" t="n"/>
      <c r="F50" s="14" t="n"/>
      <c r="G50" s="14" t="n"/>
      <c r="H50" s="19" t="n"/>
      <c r="I50" s="30" t="n"/>
      <c r="J50" s="30" t="n"/>
      <c r="K50" s="14" t="n"/>
    </row>
    <row r="51" ht="22" customHeight="1">
      <c r="B51" s="17">
        <f>IF(C51="","SOR-"&amp;TEXT(COUNTA($C$5:C51),"000"))</f>
        <v/>
      </c>
      <c r="C51" s="12" t="n"/>
      <c r="D51" s="12" t="n"/>
      <c r="E51" s="29" t="n"/>
      <c r="F51" s="12" t="n"/>
      <c r="G51" s="12" t="n"/>
      <c r="H51" s="18" t="n"/>
      <c r="I51" s="29" t="n"/>
      <c r="J51" s="29" t="n"/>
      <c r="K51" s="12" t="n"/>
    </row>
    <row r="52" ht="22" customHeight="1">
      <c r="B52" s="16">
        <f>IF(C52="","SOR-"&amp;TEXT(COUNTA($C$5:C52),"000"))</f>
        <v/>
      </c>
      <c r="C52" s="14" t="n"/>
      <c r="D52" s="14" t="n"/>
      <c r="E52" s="30" t="n"/>
      <c r="F52" s="14" t="n"/>
      <c r="G52" s="14" t="n"/>
      <c r="H52" s="19" t="n"/>
      <c r="I52" s="30" t="n"/>
      <c r="J52" s="30" t="n"/>
      <c r="K52" s="14" t="n"/>
    </row>
    <row r="53" ht="22" customHeight="1">
      <c r="B53" s="17">
        <f>IF(C53="","SOR-"&amp;TEXT(COUNTA($C$5:C53),"000"))</f>
        <v/>
      </c>
      <c r="C53" s="12" t="n"/>
      <c r="D53" s="12" t="n"/>
      <c r="E53" s="29" t="n"/>
      <c r="F53" s="12" t="n"/>
      <c r="G53" s="12" t="n"/>
      <c r="H53" s="18" t="n"/>
      <c r="I53" s="29" t="n"/>
      <c r="J53" s="29" t="n"/>
      <c r="K53" s="12" t="n"/>
    </row>
    <row r="54" ht="22" customHeight="1">
      <c r="B54" s="16">
        <f>IF(C54="","SOR-"&amp;TEXT(COUNTA($C$5:C54),"000"))</f>
        <v/>
      </c>
      <c r="C54" s="14" t="n"/>
      <c r="D54" s="14" t="n"/>
      <c r="E54" s="30" t="n"/>
      <c r="F54" s="14" t="n"/>
      <c r="G54" s="14" t="n"/>
      <c r="H54" s="19" t="n"/>
      <c r="I54" s="30" t="n"/>
      <c r="J54" s="30" t="n"/>
      <c r="K54" s="14" t="n"/>
    </row>
    <row r="55" ht="22" customHeight="1">
      <c r="B55" s="17">
        <f>IF(C55="","SOR-"&amp;TEXT(COUNTA($C$5:C55),"000"))</f>
        <v/>
      </c>
      <c r="C55" s="12" t="n"/>
      <c r="D55" s="12" t="n"/>
      <c r="E55" s="29" t="n"/>
      <c r="F55" s="12" t="n"/>
      <c r="G55" s="12" t="n"/>
      <c r="H55" s="18" t="n"/>
      <c r="I55" s="29" t="n"/>
      <c r="J55" s="29" t="n"/>
      <c r="K55" s="12" t="n"/>
    </row>
    <row r="56" ht="22" customHeight="1">
      <c r="B56" s="16">
        <f>IF(C56="","SOR-"&amp;TEXT(COUNTA($C$5:C56),"000"))</f>
        <v/>
      </c>
      <c r="C56" s="14" t="n"/>
      <c r="D56" s="14" t="n"/>
      <c r="E56" s="30" t="n"/>
      <c r="F56" s="14" t="n"/>
      <c r="G56" s="14" t="n"/>
      <c r="H56" s="19" t="n"/>
      <c r="I56" s="30" t="n"/>
      <c r="J56" s="30" t="n"/>
      <c r="K56" s="14" t="n"/>
    </row>
    <row r="57" ht="22" customHeight="1">
      <c r="B57" s="17">
        <f>IF(C57="","SOR-"&amp;TEXT(COUNTA($C$5:C57),"000"))</f>
        <v/>
      </c>
      <c r="C57" s="12" t="n"/>
      <c r="D57" s="12" t="n"/>
      <c r="E57" s="29" t="n"/>
      <c r="F57" s="12" t="n"/>
      <c r="G57" s="12" t="n"/>
      <c r="H57" s="18" t="n"/>
      <c r="I57" s="29" t="n"/>
      <c r="J57" s="29" t="n"/>
      <c r="K57" s="12" t="n"/>
    </row>
    <row r="58" ht="22" customHeight="1">
      <c r="B58" s="16">
        <f>IF(C58="","SOR-"&amp;TEXT(COUNTA($C$5:C58),"000"))</f>
        <v/>
      </c>
      <c r="C58" s="14" t="n"/>
      <c r="D58" s="14" t="n"/>
      <c r="E58" s="30" t="n"/>
      <c r="F58" s="14" t="n"/>
      <c r="G58" s="14" t="n"/>
      <c r="H58" s="19" t="n"/>
      <c r="I58" s="30" t="n"/>
      <c r="J58" s="30" t="n"/>
      <c r="K58" s="14" t="n"/>
    </row>
    <row r="59" ht="22" customHeight="1">
      <c r="B59" s="17">
        <f>IF(C59="","SOR-"&amp;TEXT(COUNTA($C$5:C59),"000"))</f>
        <v/>
      </c>
      <c r="C59" s="12" t="n"/>
      <c r="D59" s="12" t="n"/>
      <c r="E59" s="29" t="n"/>
      <c r="F59" s="12" t="n"/>
      <c r="G59" s="12" t="n"/>
      <c r="H59" s="18" t="n"/>
      <c r="I59" s="29" t="n"/>
      <c r="J59" s="29" t="n"/>
      <c r="K59" s="12" t="n"/>
    </row>
    <row r="60" ht="22" customHeight="1">
      <c r="B60" s="16">
        <f>IF(C60="","SOR-"&amp;TEXT(COUNTA($C$5:C60),"000"))</f>
        <v/>
      </c>
      <c r="C60" s="14" t="n"/>
      <c r="D60" s="14" t="n"/>
      <c r="E60" s="30" t="n"/>
      <c r="F60" s="14" t="n"/>
      <c r="G60" s="14" t="n"/>
      <c r="H60" s="19" t="n"/>
      <c r="I60" s="30" t="n"/>
      <c r="J60" s="30" t="n"/>
      <c r="K60" s="14" t="n"/>
    </row>
    <row r="61" ht="22" customHeight="1">
      <c r="B61" s="17">
        <f>IF(C61="","SOR-"&amp;TEXT(COUNTA($C$5:C61),"000"))</f>
        <v/>
      </c>
      <c r="C61" s="12" t="n"/>
      <c r="D61" s="12" t="n"/>
      <c r="E61" s="29" t="n"/>
      <c r="F61" s="12" t="n"/>
      <c r="G61" s="12" t="n"/>
      <c r="H61" s="18" t="n"/>
      <c r="I61" s="29" t="n"/>
      <c r="J61" s="29" t="n"/>
      <c r="K61" s="12" t="n"/>
    </row>
    <row r="62" ht="22" customHeight="1">
      <c r="B62" s="16">
        <f>IF(C62="","SOR-"&amp;TEXT(COUNTA($C$5:C62),"000"))</f>
        <v/>
      </c>
      <c r="C62" s="14" t="n"/>
      <c r="D62" s="14" t="n"/>
      <c r="E62" s="30" t="n"/>
      <c r="F62" s="14" t="n"/>
      <c r="G62" s="14" t="n"/>
      <c r="H62" s="19" t="n"/>
      <c r="I62" s="30" t="n"/>
      <c r="J62" s="30" t="n"/>
      <c r="K62" s="14" t="n"/>
    </row>
    <row r="63" ht="22" customHeight="1">
      <c r="B63" s="17">
        <f>IF(C63="","SOR-"&amp;TEXT(COUNTA($C$5:C63),"000"))</f>
        <v/>
      </c>
      <c r="C63" s="12" t="n"/>
      <c r="D63" s="12" t="n"/>
      <c r="E63" s="29" t="n"/>
      <c r="F63" s="12" t="n"/>
      <c r="G63" s="12" t="n"/>
      <c r="H63" s="18" t="n"/>
      <c r="I63" s="29" t="n"/>
      <c r="J63" s="29" t="n"/>
      <c r="K63" s="12" t="n"/>
    </row>
    <row r="64" ht="22" customHeight="1">
      <c r="B64" s="16">
        <f>IF(C64="","SOR-"&amp;TEXT(COUNTA($C$5:C64),"000"))</f>
        <v/>
      </c>
      <c r="C64" s="14" t="n"/>
      <c r="D64" s="14" t="n"/>
      <c r="E64" s="30" t="n"/>
      <c r="F64" s="14" t="n"/>
      <c r="G64" s="14" t="n"/>
      <c r="H64" s="19" t="n"/>
      <c r="I64" s="30" t="n"/>
      <c r="J64" s="30" t="n"/>
      <c r="K64" s="14" t="n"/>
    </row>
    <row r="65" ht="22" customHeight="1">
      <c r="B65" s="17">
        <f>IF(C65="","SOR-"&amp;TEXT(COUNTA($C$5:C65),"000"))</f>
        <v/>
      </c>
      <c r="C65" s="12" t="n"/>
      <c r="D65" s="12" t="n"/>
      <c r="E65" s="29" t="n"/>
      <c r="F65" s="12" t="n"/>
      <c r="G65" s="12" t="n"/>
      <c r="H65" s="18" t="n"/>
      <c r="I65" s="29" t="n"/>
      <c r="J65" s="29" t="n"/>
      <c r="K65" s="12" t="n"/>
    </row>
    <row r="66" ht="22" customHeight="1">
      <c r="B66" s="16">
        <f>IF(C66="","SOR-"&amp;TEXT(COUNTA($C$5:C66),"000"))</f>
        <v/>
      </c>
      <c r="C66" s="14" t="n"/>
      <c r="D66" s="14" t="n"/>
      <c r="E66" s="30" t="n"/>
      <c r="F66" s="14" t="n"/>
      <c r="G66" s="14" t="n"/>
      <c r="H66" s="19" t="n"/>
      <c r="I66" s="30" t="n"/>
      <c r="J66" s="30" t="n"/>
      <c r="K66" s="14" t="n"/>
    </row>
    <row r="67" ht="22" customHeight="1">
      <c r="B67" s="17">
        <f>IF(C67="","SOR-"&amp;TEXT(COUNTA($C$5:C67),"000"))</f>
        <v/>
      </c>
      <c r="C67" s="12" t="n"/>
      <c r="D67" s="12" t="n"/>
      <c r="E67" s="29" t="n"/>
      <c r="F67" s="12" t="n"/>
      <c r="G67" s="12" t="n"/>
      <c r="H67" s="18" t="n"/>
      <c r="I67" s="29" t="n"/>
      <c r="J67" s="29" t="n"/>
      <c r="K67" s="12" t="n"/>
    </row>
    <row r="68" ht="22" customHeight="1">
      <c r="B68" s="16">
        <f>IF(C68="","SOR-"&amp;TEXT(COUNTA($C$5:C68),"000"))</f>
        <v/>
      </c>
      <c r="C68" s="14" t="n"/>
      <c r="D68" s="14" t="n"/>
      <c r="E68" s="30" t="n"/>
      <c r="F68" s="14" t="n"/>
      <c r="G68" s="14" t="n"/>
      <c r="H68" s="19" t="n"/>
      <c r="I68" s="30" t="n"/>
      <c r="J68" s="30" t="n"/>
      <c r="K68" s="14" t="n"/>
    </row>
    <row r="69" ht="22" customHeight="1">
      <c r="B69" s="17">
        <f>IF(C69="","SOR-"&amp;TEXT(COUNTA($C$5:C69),"000"))</f>
        <v/>
      </c>
      <c r="C69" s="12" t="n"/>
      <c r="D69" s="12" t="n"/>
      <c r="E69" s="29" t="n"/>
      <c r="F69" s="12" t="n"/>
      <c r="G69" s="12" t="n"/>
      <c r="H69" s="18" t="n"/>
      <c r="I69" s="29" t="n"/>
      <c r="J69" s="29" t="n"/>
      <c r="K69" s="12" t="n"/>
    </row>
    <row r="70" ht="22" customHeight="1">
      <c r="B70" s="16">
        <f>IF(C70="","SOR-"&amp;TEXT(COUNTA($C$5:C70),"000"))</f>
        <v/>
      </c>
      <c r="C70" s="14" t="n"/>
      <c r="D70" s="14" t="n"/>
      <c r="E70" s="30" t="n"/>
      <c r="F70" s="14" t="n"/>
      <c r="G70" s="14" t="n"/>
      <c r="H70" s="19" t="n"/>
      <c r="I70" s="30" t="n"/>
      <c r="J70" s="30" t="n"/>
      <c r="K70" s="14" t="n"/>
    </row>
    <row r="71" ht="22" customHeight="1">
      <c r="B71" s="17">
        <f>IF(C71="","SOR-"&amp;TEXT(COUNTA($C$5:C71),"000"))</f>
        <v/>
      </c>
      <c r="C71" s="12" t="n"/>
      <c r="D71" s="12" t="n"/>
      <c r="E71" s="29" t="n"/>
      <c r="F71" s="12" t="n"/>
      <c r="G71" s="12" t="n"/>
      <c r="H71" s="18" t="n"/>
      <c r="I71" s="29" t="n"/>
      <c r="J71" s="29" t="n"/>
      <c r="K71" s="12" t="n"/>
    </row>
    <row r="72" ht="22" customHeight="1">
      <c r="B72" s="16">
        <f>IF(C72="","SOR-"&amp;TEXT(COUNTA($C$5:C72),"000"))</f>
        <v/>
      </c>
      <c r="C72" s="14" t="n"/>
      <c r="D72" s="14" t="n"/>
      <c r="E72" s="30" t="n"/>
      <c r="F72" s="14" t="n"/>
      <c r="G72" s="14" t="n"/>
      <c r="H72" s="19" t="n"/>
      <c r="I72" s="30" t="n"/>
      <c r="J72" s="30" t="n"/>
      <c r="K72" s="14" t="n"/>
    </row>
    <row r="73" ht="22" customHeight="1">
      <c r="B73" s="17">
        <f>IF(C73="","SOR-"&amp;TEXT(COUNTA($C$5:C73),"000"))</f>
        <v/>
      </c>
      <c r="C73" s="12" t="n"/>
      <c r="D73" s="12" t="n"/>
      <c r="E73" s="29" t="n"/>
      <c r="F73" s="12" t="n"/>
      <c r="G73" s="12" t="n"/>
      <c r="H73" s="18" t="n"/>
      <c r="I73" s="29" t="n"/>
      <c r="J73" s="29" t="n"/>
      <c r="K73" s="12" t="n"/>
    </row>
    <row r="74" ht="22" customHeight="1">
      <c r="B74" s="16">
        <f>IF(C74="","SOR-"&amp;TEXT(COUNTA($C$5:C74),"000"))</f>
        <v/>
      </c>
      <c r="C74" s="14" t="n"/>
      <c r="D74" s="14" t="n"/>
      <c r="E74" s="30" t="n"/>
      <c r="F74" s="14" t="n"/>
      <c r="G74" s="14" t="n"/>
      <c r="H74" s="19" t="n"/>
      <c r="I74" s="30" t="n"/>
      <c r="J74" s="30" t="n"/>
      <c r="K74" s="14" t="n"/>
    </row>
    <row r="75" ht="22" customHeight="1">
      <c r="B75" s="17">
        <f>IF(C75="","SOR-"&amp;TEXT(COUNTA($C$5:C75),"000"))</f>
        <v/>
      </c>
      <c r="C75" s="12" t="n"/>
      <c r="D75" s="12" t="n"/>
      <c r="E75" s="29" t="n"/>
      <c r="F75" s="12" t="n"/>
      <c r="G75" s="12" t="n"/>
      <c r="H75" s="18" t="n"/>
      <c r="I75" s="29" t="n"/>
      <c r="J75" s="29" t="n"/>
      <c r="K75" s="12" t="n"/>
    </row>
    <row r="76" ht="22" customHeight="1">
      <c r="B76" s="16">
        <f>IF(C76="","SOR-"&amp;TEXT(COUNTA($C$5:C76),"000"))</f>
        <v/>
      </c>
      <c r="C76" s="14" t="n"/>
      <c r="D76" s="14" t="n"/>
      <c r="E76" s="30" t="n"/>
      <c r="F76" s="14" t="n"/>
      <c r="G76" s="14" t="n"/>
      <c r="H76" s="19" t="n"/>
      <c r="I76" s="30" t="n"/>
      <c r="J76" s="30" t="n"/>
      <c r="K76" s="14" t="n"/>
    </row>
    <row r="77" ht="22" customHeight="1">
      <c r="B77" s="17">
        <f>IF(C77="","SOR-"&amp;TEXT(COUNTA($C$5:C77),"000"))</f>
        <v/>
      </c>
      <c r="C77" s="12" t="n"/>
      <c r="D77" s="12" t="n"/>
      <c r="E77" s="29" t="n"/>
      <c r="F77" s="12" t="n"/>
      <c r="G77" s="12" t="n"/>
      <c r="H77" s="18" t="n"/>
      <c r="I77" s="29" t="n"/>
      <c r="J77" s="29" t="n"/>
      <c r="K77" s="12" t="n"/>
    </row>
    <row r="78" ht="22" customHeight="1">
      <c r="B78" s="16">
        <f>IF(C78="","SOR-"&amp;TEXT(COUNTA($C$5:C78),"000"))</f>
        <v/>
      </c>
      <c r="C78" s="14" t="n"/>
      <c r="D78" s="14" t="n"/>
      <c r="E78" s="30" t="n"/>
      <c r="F78" s="14" t="n"/>
      <c r="G78" s="14" t="n"/>
      <c r="H78" s="19" t="n"/>
      <c r="I78" s="30" t="n"/>
      <c r="J78" s="30" t="n"/>
      <c r="K78" s="14" t="n"/>
    </row>
    <row r="79" ht="22" customHeight="1">
      <c r="B79" s="17">
        <f>IF(C79="","SOR-"&amp;TEXT(COUNTA($C$5:C79),"000"))</f>
        <v/>
      </c>
      <c r="C79" s="12" t="n"/>
      <c r="D79" s="12" t="n"/>
      <c r="E79" s="29" t="n"/>
      <c r="F79" s="12" t="n"/>
      <c r="G79" s="12" t="n"/>
      <c r="H79" s="18" t="n"/>
      <c r="I79" s="29" t="n"/>
      <c r="J79" s="29" t="n"/>
      <c r="K79" s="12" t="n"/>
    </row>
    <row r="80" ht="22" customHeight="1">
      <c r="B80" s="16">
        <f>IF(C80="","SOR-"&amp;TEXT(COUNTA($C$5:C80),"000"))</f>
        <v/>
      </c>
      <c r="C80" s="14" t="n"/>
      <c r="D80" s="14" t="n"/>
      <c r="E80" s="30" t="n"/>
      <c r="F80" s="14" t="n"/>
      <c r="G80" s="14" t="n"/>
      <c r="H80" s="19" t="n"/>
      <c r="I80" s="30" t="n"/>
      <c r="J80" s="30" t="n"/>
      <c r="K80" s="14" t="n"/>
    </row>
    <row r="81" ht="22" customHeight="1">
      <c r="B81" s="17">
        <f>IF(C81="","SOR-"&amp;TEXT(COUNTA($C$5:C81),"000"))</f>
        <v/>
      </c>
      <c r="C81" s="12" t="n"/>
      <c r="D81" s="12" t="n"/>
      <c r="E81" s="29" t="n"/>
      <c r="F81" s="12" t="n"/>
      <c r="G81" s="12" t="n"/>
      <c r="H81" s="18" t="n"/>
      <c r="I81" s="29" t="n"/>
      <c r="J81" s="29" t="n"/>
      <c r="K81" s="12" t="n"/>
    </row>
    <row r="82" ht="22" customHeight="1">
      <c r="B82" s="16">
        <f>IF(C82="","SOR-"&amp;TEXT(COUNTA($C$5:C82),"000"))</f>
        <v/>
      </c>
      <c r="C82" s="14" t="n"/>
      <c r="D82" s="14" t="n"/>
      <c r="E82" s="30" t="n"/>
      <c r="F82" s="14" t="n"/>
      <c r="G82" s="14" t="n"/>
      <c r="H82" s="19" t="n"/>
      <c r="I82" s="30" t="n"/>
      <c r="J82" s="30" t="n"/>
      <c r="K82" s="14" t="n"/>
    </row>
    <row r="83" ht="22" customHeight="1">
      <c r="B83" s="17">
        <f>IF(C83="","SOR-"&amp;TEXT(COUNTA($C$5:C83),"000"))</f>
        <v/>
      </c>
      <c r="C83" s="12" t="n"/>
      <c r="D83" s="12" t="n"/>
      <c r="E83" s="29" t="n"/>
      <c r="F83" s="12" t="n"/>
      <c r="G83" s="12" t="n"/>
      <c r="H83" s="18" t="n"/>
      <c r="I83" s="29" t="n"/>
      <c r="J83" s="29" t="n"/>
      <c r="K83" s="12" t="n"/>
    </row>
    <row r="84" ht="22" customHeight="1">
      <c r="B84" s="16">
        <f>IF(C84="","SOR-"&amp;TEXT(COUNTA($C$5:C84),"000"))</f>
        <v/>
      </c>
      <c r="C84" s="14" t="n"/>
      <c r="D84" s="14" t="n"/>
      <c r="E84" s="30" t="n"/>
      <c r="F84" s="14" t="n"/>
      <c r="G84" s="14" t="n"/>
      <c r="H84" s="19" t="n"/>
      <c r="I84" s="30" t="n"/>
      <c r="J84" s="30" t="n"/>
      <c r="K84" s="14" t="n"/>
    </row>
    <row r="85" ht="22" customHeight="1">
      <c r="B85" s="17">
        <f>IF(C85="","SOR-"&amp;TEXT(COUNTA($C$5:C85),"000"))</f>
        <v/>
      </c>
      <c r="C85" s="12" t="n"/>
      <c r="D85" s="12" t="n"/>
      <c r="E85" s="29" t="n"/>
      <c r="F85" s="12" t="n"/>
      <c r="G85" s="12" t="n"/>
      <c r="H85" s="18" t="n"/>
      <c r="I85" s="29" t="n"/>
      <c r="J85" s="29" t="n"/>
      <c r="K85" s="12" t="n"/>
    </row>
    <row r="86" ht="22" customHeight="1">
      <c r="B86" s="16">
        <f>IF(C86="","SOR-"&amp;TEXT(COUNTA($C$5:C86),"000"))</f>
        <v/>
      </c>
      <c r="C86" s="14" t="n"/>
      <c r="D86" s="14" t="n"/>
      <c r="E86" s="30" t="n"/>
      <c r="F86" s="14" t="n"/>
      <c r="G86" s="14" t="n"/>
      <c r="H86" s="19" t="n"/>
      <c r="I86" s="30" t="n"/>
      <c r="J86" s="30" t="n"/>
      <c r="K86" s="14" t="n"/>
    </row>
    <row r="87" ht="22" customHeight="1">
      <c r="B87" s="17">
        <f>IF(C87="","SOR-"&amp;TEXT(COUNTA($C$5:C87),"000"))</f>
        <v/>
      </c>
      <c r="C87" s="12" t="n"/>
      <c r="D87" s="12" t="n"/>
      <c r="E87" s="29" t="n"/>
      <c r="F87" s="12" t="n"/>
      <c r="G87" s="12" t="n"/>
      <c r="H87" s="18" t="n"/>
      <c r="I87" s="29" t="n"/>
      <c r="J87" s="29" t="n"/>
      <c r="K87" s="12" t="n"/>
    </row>
    <row r="88" ht="22" customHeight="1">
      <c r="B88" s="16">
        <f>IF(C88="","SOR-"&amp;TEXT(COUNTA($C$5:C88),"000"))</f>
        <v/>
      </c>
      <c r="C88" s="14" t="n"/>
      <c r="D88" s="14" t="n"/>
      <c r="E88" s="30" t="n"/>
      <c r="F88" s="14" t="n"/>
      <c r="G88" s="14" t="n"/>
      <c r="H88" s="19" t="n"/>
      <c r="I88" s="30" t="n"/>
      <c r="J88" s="30" t="n"/>
      <c r="K88" s="14" t="n"/>
    </row>
    <row r="89" ht="22" customHeight="1">
      <c r="B89" s="17">
        <f>IF(C89="","SOR-"&amp;TEXT(COUNTA($C$5:C89),"000"))</f>
        <v/>
      </c>
      <c r="C89" s="12" t="n"/>
      <c r="D89" s="12" t="n"/>
      <c r="E89" s="29" t="n"/>
      <c r="F89" s="12" t="n"/>
      <c r="G89" s="12" t="n"/>
      <c r="H89" s="18" t="n"/>
      <c r="I89" s="29" t="n"/>
      <c r="J89" s="29" t="n"/>
      <c r="K89" s="12" t="n"/>
    </row>
    <row r="90" ht="22" customHeight="1">
      <c r="B90" s="16">
        <f>IF(C90="","SOR-"&amp;TEXT(COUNTA($C$5:C90),"000"))</f>
        <v/>
      </c>
      <c r="C90" s="14" t="n"/>
      <c r="D90" s="14" t="n"/>
      <c r="E90" s="30" t="n"/>
      <c r="F90" s="14" t="n"/>
      <c r="G90" s="14" t="n"/>
      <c r="H90" s="19" t="n"/>
      <c r="I90" s="30" t="n"/>
      <c r="J90" s="30" t="n"/>
      <c r="K90" s="14" t="n"/>
    </row>
    <row r="91" ht="22" customHeight="1">
      <c r="B91" s="17">
        <f>IF(C91="","SOR-"&amp;TEXT(COUNTA($C$5:C91),"000"))</f>
        <v/>
      </c>
      <c r="C91" s="12" t="n"/>
      <c r="D91" s="12" t="n"/>
      <c r="E91" s="29" t="n"/>
      <c r="F91" s="12" t="n"/>
      <c r="G91" s="12" t="n"/>
      <c r="H91" s="18" t="n"/>
      <c r="I91" s="29" t="n"/>
      <c r="J91" s="29" t="n"/>
      <c r="K91" s="12" t="n"/>
    </row>
    <row r="92" ht="22" customHeight="1">
      <c r="B92" s="16">
        <f>IF(C92="","SOR-"&amp;TEXT(COUNTA($C$5:C92),"000"))</f>
        <v/>
      </c>
      <c r="C92" s="14" t="n"/>
      <c r="D92" s="14" t="n"/>
      <c r="E92" s="30" t="n"/>
      <c r="F92" s="14" t="n"/>
      <c r="G92" s="14" t="n"/>
      <c r="H92" s="19" t="n"/>
      <c r="I92" s="30" t="n"/>
      <c r="J92" s="30" t="n"/>
      <c r="K92" s="14" t="n"/>
    </row>
    <row r="93" ht="22" customHeight="1">
      <c r="B93" s="17">
        <f>IF(C93="","SOR-"&amp;TEXT(COUNTA($C$5:C93),"000"))</f>
        <v/>
      </c>
      <c r="C93" s="12" t="n"/>
      <c r="D93" s="12" t="n"/>
      <c r="E93" s="29" t="n"/>
      <c r="F93" s="12" t="n"/>
      <c r="G93" s="12" t="n"/>
      <c r="H93" s="18" t="n"/>
      <c r="I93" s="29" t="n"/>
      <c r="J93" s="29" t="n"/>
      <c r="K93" s="12" t="n"/>
    </row>
    <row r="94" ht="22" customHeight="1">
      <c r="B94" s="16">
        <f>IF(C94="","SOR-"&amp;TEXT(COUNTA($C$5:C94),"000"))</f>
        <v/>
      </c>
      <c r="C94" s="14" t="n"/>
      <c r="D94" s="14" t="n"/>
      <c r="E94" s="30" t="n"/>
      <c r="F94" s="14" t="n"/>
      <c r="G94" s="14" t="n"/>
      <c r="H94" s="19" t="n"/>
      <c r="I94" s="30" t="n"/>
      <c r="J94" s="30" t="n"/>
      <c r="K94" s="14" t="n"/>
    </row>
    <row r="95" ht="22" customHeight="1">
      <c r="B95" s="17">
        <f>IF(C95="","SOR-"&amp;TEXT(COUNTA($C$5:C95),"000"))</f>
        <v/>
      </c>
      <c r="C95" s="12" t="n"/>
      <c r="D95" s="12" t="n"/>
      <c r="E95" s="29" t="n"/>
      <c r="F95" s="12" t="n"/>
      <c r="G95" s="12" t="n"/>
      <c r="H95" s="18" t="n"/>
      <c r="I95" s="29" t="n"/>
      <c r="J95" s="29" t="n"/>
      <c r="K95" s="12" t="n"/>
    </row>
    <row r="96" ht="22" customHeight="1">
      <c r="B96" s="16">
        <f>IF(C96="","SOR-"&amp;TEXT(COUNTA($C$5:C96),"000"))</f>
        <v/>
      </c>
      <c r="C96" s="14" t="n"/>
      <c r="D96" s="14" t="n"/>
      <c r="E96" s="30" t="n"/>
      <c r="F96" s="14" t="n"/>
      <c r="G96" s="14" t="n"/>
      <c r="H96" s="19" t="n"/>
      <c r="I96" s="30" t="n"/>
      <c r="J96" s="30" t="n"/>
      <c r="K96" s="14" t="n"/>
    </row>
    <row r="97" ht="22" customHeight="1">
      <c r="B97" s="17">
        <f>IF(C97="","SOR-"&amp;TEXT(COUNTA($C$5:C97),"000"))</f>
        <v/>
      </c>
      <c r="C97" s="12" t="n"/>
      <c r="D97" s="12" t="n"/>
      <c r="E97" s="29" t="n"/>
      <c r="F97" s="12" t="n"/>
      <c r="G97" s="12" t="n"/>
      <c r="H97" s="18" t="n"/>
      <c r="I97" s="29" t="n"/>
      <c r="J97" s="29" t="n"/>
      <c r="K97" s="12" t="n"/>
    </row>
    <row r="98" ht="22" customHeight="1">
      <c r="B98" s="16">
        <f>IF(C98="","SOR-"&amp;TEXT(COUNTA($C$5:C98),"000"))</f>
        <v/>
      </c>
      <c r="C98" s="14" t="n"/>
      <c r="D98" s="14" t="n"/>
      <c r="E98" s="30" t="n"/>
      <c r="F98" s="14" t="n"/>
      <c r="G98" s="14" t="n"/>
      <c r="H98" s="19" t="n"/>
      <c r="I98" s="30" t="n"/>
      <c r="J98" s="30" t="n"/>
      <c r="K98" s="14" t="n"/>
    </row>
    <row r="99" ht="22" customHeight="1">
      <c r="B99" s="17">
        <f>IF(C99="","SOR-"&amp;TEXT(COUNTA($C$5:C99),"000"))</f>
        <v/>
      </c>
      <c r="C99" s="12" t="n"/>
      <c r="D99" s="12" t="n"/>
      <c r="E99" s="29" t="n"/>
      <c r="F99" s="12" t="n"/>
      <c r="G99" s="12" t="n"/>
      <c r="H99" s="18" t="n"/>
      <c r="I99" s="29" t="n"/>
      <c r="J99" s="29" t="n"/>
      <c r="K99" s="12" t="n"/>
    </row>
    <row r="100" ht="22" customHeight="1">
      <c r="B100" s="16">
        <f>IF(C100="","SOR-"&amp;TEXT(COUNTA($C$5:C100),"000"))</f>
        <v/>
      </c>
      <c r="C100" s="14" t="n"/>
      <c r="D100" s="14" t="n"/>
      <c r="E100" s="30" t="n"/>
      <c r="F100" s="14" t="n"/>
      <c r="G100" s="14" t="n"/>
      <c r="H100" s="19" t="n"/>
      <c r="I100" s="30" t="n"/>
      <c r="J100" s="30" t="n"/>
      <c r="K100" s="14" t="n"/>
    </row>
    <row r="101" ht="22" customHeight="1">
      <c r="B101" s="17">
        <f>IF(C101="","SOR-"&amp;TEXT(COUNTA($C$5:C101),"000"))</f>
        <v/>
      </c>
      <c r="C101" s="12" t="n"/>
      <c r="D101" s="12" t="n"/>
      <c r="E101" s="29" t="n"/>
      <c r="F101" s="12" t="n"/>
      <c r="G101" s="12" t="n"/>
      <c r="H101" s="18" t="n"/>
      <c r="I101" s="29" t="n"/>
      <c r="J101" s="29" t="n"/>
      <c r="K101" s="12" t="n"/>
    </row>
    <row r="102" ht="22" customHeight="1">
      <c r="B102" s="16">
        <f>IF(C102="","SOR-"&amp;TEXT(COUNTA($C$5:C102),"000"))</f>
        <v/>
      </c>
      <c r="C102" s="14" t="n"/>
      <c r="D102" s="14" t="n"/>
      <c r="E102" s="30" t="n"/>
      <c r="F102" s="14" t="n"/>
      <c r="G102" s="14" t="n"/>
      <c r="H102" s="19" t="n"/>
      <c r="I102" s="30" t="n"/>
      <c r="J102" s="30" t="n"/>
      <c r="K102" s="14" t="n"/>
    </row>
    <row r="103" ht="22" customHeight="1">
      <c r="B103" s="17">
        <f>IF(C103="","SOR-"&amp;TEXT(COUNTA($C$5:C103),"000"))</f>
        <v/>
      </c>
      <c r="C103" s="12" t="n"/>
      <c r="D103" s="12" t="n"/>
      <c r="E103" s="29" t="n"/>
      <c r="F103" s="12" t="n"/>
      <c r="G103" s="12" t="n"/>
      <c r="H103" s="18" t="n"/>
      <c r="I103" s="29" t="n"/>
      <c r="J103" s="29" t="n"/>
      <c r="K103" s="12" t="n"/>
    </row>
    <row r="104" ht="22" customHeight="1">
      <c r="B104" s="16">
        <f>IF(C104="","SOR-"&amp;TEXT(COUNTA($C$5:C104),"000"))</f>
        <v/>
      </c>
      <c r="C104" s="14" t="n"/>
      <c r="D104" s="14" t="n"/>
      <c r="E104" s="30" t="n"/>
      <c r="F104" s="14" t="n"/>
      <c r="G104" s="14" t="n"/>
      <c r="H104" s="19" t="n"/>
      <c r="I104" s="30" t="n"/>
      <c r="J104" s="30" t="n"/>
      <c r="K104" s="14" t="n"/>
    </row>
    <row r="105" ht="22" customHeight="1">
      <c r="B105" s="17">
        <f>IF(C105="","SOR-"&amp;TEXT(COUNTA($C$5:C105),"000"))</f>
        <v/>
      </c>
      <c r="C105" s="12" t="n"/>
      <c r="D105" s="12" t="n"/>
      <c r="E105" s="29" t="n"/>
      <c r="F105" s="12" t="n"/>
      <c r="G105" s="12" t="n"/>
      <c r="H105" s="18" t="n"/>
      <c r="I105" s="29" t="n"/>
      <c r="J105" s="29" t="n"/>
      <c r="K105" s="12" t="n"/>
    </row>
    <row r="106" ht="22" customHeight="1">
      <c r="B106" s="16">
        <f>IF(C106="","SOR-"&amp;TEXT(COUNTA($C$5:C106),"000"))</f>
        <v/>
      </c>
      <c r="C106" s="14" t="n"/>
      <c r="D106" s="14" t="n"/>
      <c r="E106" s="30" t="n"/>
      <c r="F106" s="14" t="n"/>
      <c r="G106" s="14" t="n"/>
      <c r="H106" s="19" t="n"/>
      <c r="I106" s="30" t="n"/>
      <c r="J106" s="30" t="n"/>
      <c r="K106" s="14" t="n"/>
    </row>
    <row r="107" ht="22" customHeight="1">
      <c r="B107" s="17">
        <f>IF(C107="","SOR-"&amp;TEXT(COUNTA($C$5:C107),"000"))</f>
        <v/>
      </c>
      <c r="C107" s="12" t="n"/>
      <c r="D107" s="12" t="n"/>
      <c r="E107" s="29" t="n"/>
      <c r="F107" s="12" t="n"/>
      <c r="G107" s="12" t="n"/>
      <c r="H107" s="18" t="n"/>
      <c r="I107" s="29" t="n"/>
      <c r="J107" s="29" t="n"/>
      <c r="K107" s="12" t="n"/>
    </row>
    <row r="108" ht="22" customHeight="1">
      <c r="B108" s="16">
        <f>IF(C108="","SOR-"&amp;TEXT(COUNTA($C$5:C108),"000"))</f>
        <v/>
      </c>
      <c r="C108" s="14" t="n"/>
      <c r="D108" s="14" t="n"/>
      <c r="E108" s="30" t="n"/>
      <c r="F108" s="14" t="n"/>
      <c r="G108" s="14" t="n"/>
      <c r="H108" s="19" t="n"/>
      <c r="I108" s="30" t="n"/>
      <c r="J108" s="30" t="n"/>
      <c r="K108" s="14" t="n"/>
    </row>
    <row r="109" ht="22" customHeight="1">
      <c r="B109" s="17">
        <f>IF(C109="","SOR-"&amp;TEXT(COUNTA($C$5:C109),"000"))</f>
        <v/>
      </c>
      <c r="C109" s="12" t="n"/>
      <c r="D109" s="12" t="n"/>
      <c r="E109" s="29" t="n"/>
      <c r="F109" s="12" t="n"/>
      <c r="G109" s="12" t="n"/>
      <c r="H109" s="18" t="n"/>
      <c r="I109" s="29" t="n"/>
      <c r="J109" s="29" t="n"/>
      <c r="K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Sorties total</t>
        </is>
      </c>
      <c r="D112" s="3" t="inlineStr">
        <is>
          <t>Restitues</t>
        </is>
      </c>
      <c r="F112" s="3" t="inlineStr">
        <is>
          <t>En cours</t>
        </is>
      </c>
    </row>
    <row r="113">
      <c r="B113" s="4">
        <f>COUNTIF(B5:B104,"&lt;&gt;")</f>
        <v/>
      </c>
      <c r="D113" s="4">
        <f>COUNTIF(K5:K104,"Restitue")</f>
        <v/>
      </c>
      <c r="F113" s="4">
        <f>COUNTIF(K5:K104,"En cours")</f>
        <v/>
      </c>
    </row>
  </sheetData>
  <mergeCells count="3">
    <mergeCell ref="B111:K111"/>
    <mergeCell ref="B3:K3"/>
    <mergeCell ref="B2:K2"/>
  </mergeCells>
  <conditionalFormatting sqref="K5:K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1">
      <formula>"En attente"</formula>
    </cfRule>
    <cfRule type="cellIs" priority="77" operator="equal" dxfId="1">
      <formula>"A renouveler"</formula>
    </cfRule>
    <cfRule type="cellIs" priority="78" operator="equal" dxfId="1">
      <formula>"En cours"</formula>
    </cfRule>
    <cfRule type="cellIs" priority="79" operator="equal" dxfId="1">
      <formula>"En traitement"</formula>
    </cfRule>
    <cfRule type="cellIs" priority="80" operator="equal" dxfId="1">
      <formula>"En retard"</formula>
    </cfRule>
    <cfRule type="cellIs" priority="81" operator="equal" dxfId="1">
      <formula>"Suspendu"</formula>
    </cfRule>
    <cfRule type="cellIs" priority="82" operator="equal" dxfId="1">
      <formula>"Planifie"</formula>
    </cfRule>
    <cfRule type="cellIs" priority="83" operator="equal" dxfId="1">
      <formula>"Planifiee"</formula>
    </cfRule>
    <cfRule type="cellIs" priority="84" operator="equal" dxfId="1">
      <formula>"Brouillon"</formula>
    </cfRule>
    <cfRule type="cellIs" priority="85" operator="equal" dxfId="1">
      <formula>"En attente de justification"</formula>
    </cfRule>
    <cfRule type="cellIs" priority="86" operator="equal" dxfId="1">
      <formula>"Tolere"</formula>
    </cfRule>
    <cfRule type="cellIs" priority="87" operator="equal" dxfId="1">
      <formula>"Variable"</formula>
    </cfRule>
    <cfRule type="cellIs" priority="88" operator="equal" dxfId="1">
      <formula>"En elaboration"</formula>
    </cfRule>
    <cfRule type="cellIs" priority="89" operator="equal" dxfId="1">
      <formula>"Provisionne"</formula>
    </cfRule>
    <cfRule type="cellIs" priority="90" operator="equal" dxfId="1">
      <formula>"Consomme partiel"</formula>
    </cfRule>
    <cfRule type="cellIs" priority="91" operator="equal" dxfId="1">
      <formula>"Identifie"</formula>
    </cfRule>
    <cfRule type="cellIs" priority="92" operator="equal" dxfId="1">
      <formula>"Priorise"</formula>
    </cfRule>
    <cfRule type="cellIs" priority="93" operator="equal" dxfId="1">
      <formula>"Intermediaire"</formula>
    </cfRule>
    <cfRule type="cellIs" priority="94" operator="equal" dxfId="1">
      <formula>"Non evalue"</formula>
    </cfRule>
    <cfRule type="cellIs" priority="95" operator="equal" dxfId="1">
      <formula>"En cours de realisation"</formula>
    </cfRule>
    <cfRule type="cellIs" priority="96" operator="equal" dxfId="1">
      <formula>"Non demarre"</formula>
    </cfRule>
    <cfRule type="cellIs" priority="97" operator="equal" dxfId="1">
      <formula>"En attente N+1"</formula>
    </cfRule>
    <cfRule type="cellIs" priority="98" operator="equal" dxfId="1">
      <formula>"Prolongation essai"</formula>
    </cfRule>
    <cfRule type="cellIs" priority="99" operator="equal" dxfId="1">
      <formula>"En attente validation"</formula>
    </cfRule>
    <cfRule type="cellIs" priority="100" operator="equal" dxfId="1">
      <formula>"Bon"</formula>
    </cfRule>
    <cfRule type="cellIs" priority="101" operator="equal" dxfId="1">
      <formula>"D - Moyen"</formula>
    </cfRule>
    <cfRule type="cellIs" priority="102" operator="equal" dxfId="1">
      <formula>"En cours de repres."</formula>
    </cfRule>
    <cfRule type="cellIs" priority="103" operator="equal" dxfId="1">
      <formula>"En negociation"</formula>
    </cfRule>
    <cfRule type="cellIs" priority="104" operator="equal" dxfId="1">
      <formula>"En preparation"</formula>
    </cfRule>
    <cfRule type="cellIs" priority="105" operator="equal" dxfId="1">
      <formula>"En cours d'instruction"</formula>
    </cfRule>
    <cfRule type="cellIs" priority="106" operator="equal" dxfId="1">
      <formula>"Transferee N+1"</formula>
    </cfRule>
    <cfRule type="cellIs" priority="107" operator="equal" dxfId="1">
      <formula>"En attente reponse"</formula>
    </cfRule>
    <cfRule type="cellIs" priority="108" operator="equal" dxfId="1">
      <formula>"Enquete ouverte"</formula>
    </cfRule>
    <cfRule type="cellIs" priority="109" operator="equal" dxfId="1">
      <formula>"Convocation envoyee"</formula>
    </cfRule>
    <cfRule type="cellIs" priority="110" operator="equal" dxfId="1">
      <formula>"Entretien realise"</formula>
    </cfRule>
    <cfRule type="cellIs" priority="111" operator="equal" dxfId="1">
      <formula>"Saisie"</formula>
    </cfRule>
    <cfRule type="cellIs" priority="112" operator="equal" dxfId="1">
      <formula>"En mediation"</formula>
    </cfRule>
    <cfRule type="cellIs" priority="113" operator="equal" dxfId="1">
      <formula>"En recours"</formula>
    </cfRule>
    <cfRule type="cellIs" priority="114" operator="equal" dxfId="1">
      <formula>"Reportee"</formula>
    </cfRule>
    <cfRule type="cellIs" priority="115" operator="equal" dxfId="1">
      <formula>"Reporte"</formula>
    </cfRule>
    <cfRule type="cellIs" priority="116" operator="equal" dxfId="1">
      <formula>"Signale"</formula>
    </cfRule>
    <cfRule type="cellIs" priority="117" operator="equal" dxfId="1">
      <formula>"Precontentieux"</formula>
    </cfRule>
    <cfRule type="cellIs" priority="118" operator="equal" dxfId="1">
      <formula>"En attente election"</formula>
    </cfRule>
    <cfRule type="cellIs" priority="119" operator="equal" dxfId="1">
      <formula>"Classe"</formula>
    </cfRule>
    <cfRule type="cellIs" priority="120" operator="equal" dxfId="1">
      <formula>"En cours d'evaluation"</formula>
    </cfRule>
    <cfRule type="cellIs" priority="121" operator="equal" dxfId="1">
      <formula>"En cours d'enquete"</formula>
    </cfRule>
    <cfRule type="cellIs" priority="122" operator="equal" dxfId="1">
      <formula>"En cours de commande"</formula>
    </cfRule>
    <cfRule type="cellIs" priority="123" operator="equal" dxfId="1">
      <formula>"A revoir"</formula>
    </cfRule>
    <cfRule type="cellIs" priority="124" operator="equal" dxfId="1">
      <formula>"A remplacer"</formula>
    </cfRule>
    <cfRule type="cellIs" priority="125" operator="equal" dxfId="1">
      <formula>"En cours d'instruction CNPS"</formula>
    </cfRule>
    <cfRule type="cellIs" priority="126" operator="equal" dxfId="1">
      <formula>"En contestation"</formula>
    </cfRule>
    <cfRule type="cellIs" priority="127" operator="equal" dxfId="1">
      <formula>"Inapte temporaire"</formula>
    </cfRule>
    <cfRule type="cellIs" priority="128" operator="equal" dxfId="1">
      <formula>"Candidat identifie"</formula>
    </cfRule>
    <cfRule type="cellIs" priority="129" operator="equal" dxfId="1">
      <formula>"En formation"</formula>
    </cfRule>
    <cfRule type="cellIs" priority="130" operator="equal" dxfId="1">
      <formula>"En evaluation"</formula>
    </cfRule>
    <cfRule type="cellIs" priority="131" operator="equal" dxfId="1">
      <formula>"En transit"</formula>
    </cfRule>
    <cfRule type="cellIs" priority="132" operator="equal" dxfId="1">
      <formula>"En attente visa"</formula>
    </cfRule>
    <cfRule type="cellIs" priority="133" operator="equal" dxfId="1">
      <formula>"Proposee"</formula>
    </cfRule>
    <cfRule type="cellIs" priority="134" operator="equal" dxfId="1">
      <formula>"En cours d'acquisition"</formula>
    </cfRule>
    <cfRule type="cellIs" priority="135" operator="equal" dxfId="1">
      <formula>"A developper"</formula>
    </cfRule>
    <cfRule type="cellIs" priority="136" operator="equal" dxfId="1">
      <formula>"A renforcer"</formula>
    </cfRule>
    <cfRule type="cellIs" priority="137" operator="equal" dxfId="1">
      <formula>"En cours"</formula>
    </cfRule>
    <cfRule type="cellIs" priority="138" operator="equal" dxfId="1">
      <formula>"Partiellement conforme"</formula>
    </cfRule>
    <cfRule type="cellIs" priority="139" operator="equal" dxfId="1">
      <formula>"En mise en conformite"</formula>
    </cfRule>
    <cfRule type="cellIs" priority="140" operator="equal" dxfId="1">
      <formula>"En revision"</formula>
    </cfRule>
    <cfRule type="cellIs" priority="141" operator="equal" dxfId="1">
      <formula>"A approuver"</formula>
    </cfRule>
    <cfRule type="cellIs" priority="142" operator="equal" dxfId="1">
      <formula>"En conciliation"</formula>
    </cfRule>
    <cfRule type="cellIs" priority="143" operator="equal" dxfId="1">
      <formula>"Assigne tribunal"</formula>
    </cfRule>
    <cfRule type="cellIs" priority="144" operator="equal" dxfId="1">
      <formula>"En cours de preparation"</formula>
    </cfRule>
    <cfRule type="cellIs" priority="145" operator="equal" dxfId="1">
      <formula>"Non effectuee"</formula>
    </cfRule>
    <cfRule type="cellIs" priority="146" operator="equal" dxfId="1">
      <formula>"A archiver"</formula>
    </cfRule>
    <cfRule type="cellIs" priority="147" operator="equal" dxfId="1">
      <formula>"En cours de constitution"</formula>
    </cfRule>
    <cfRule type="cellIs" priority="148" operator="equal" dxfId="1">
      <formula>"A mettre a jour"</formula>
    </cfRule>
    <cfRule type="cellIs" priority="149" operator="equal" dxfId="1">
      <formula>"En restoration"</formula>
    </cfRule>
    <cfRule type="cellIs" priority="150" operator="equal" dxfId="1">
      <formula>"En cours de restauration"</formula>
    </cfRule>
    <cfRule type="cellIs" priority="151" operator="equal" dxfId="1">
      <formula>"A determiner"</formula>
    </cfRule>
    <cfRule type="cellIs" priority="152" operator="equal" dxfId="1">
      <formula>"En revision"</formula>
    </cfRule>
    <cfRule type="cellIs" priority="153" operator="equal" dxfId="1">
      <formula>"Obsolete"</formula>
    </cfRule>
    <cfRule type="cellIs" priority="154" operator="equal" dxfId="1">
      <formula>"Hybride (papier + numerique)"</formula>
    </cfRule>
    <cfRule type="cellIs" priority="155" operator="equal" dxfId="2">
      <formula>"Expire"</formula>
    </cfRule>
    <cfRule type="cellIs" priority="156" operator="equal" dxfId="2">
      <formula>"Rejete"</formula>
    </cfRule>
    <cfRule type="cellIs" priority="157" operator="equal" dxfId="2">
      <formula>"Rejetee"</formula>
    </cfRule>
    <cfRule type="cellIs" priority="158" operator="equal" dxfId="2">
      <formula>"Resilie"</formula>
    </cfRule>
    <cfRule type="cellIs" priority="159" operator="equal" dxfId="2">
      <formula>"Annule"</formula>
    </cfRule>
    <cfRule type="cellIs" priority="160" operator="equal" dxfId="2">
      <formula>"Annulee"</formula>
    </cfRule>
    <cfRule type="cellIs" priority="161" operator="equal" dxfId="2">
      <formula>"Refuse"</formula>
    </cfRule>
    <cfRule type="cellIs" priority="162" operator="equal" dxfId="2">
      <formula>"Non justifie"</formula>
    </cfRule>
    <cfRule type="cellIs" priority="163" operator="equal" dxfId="2">
      <formula>"Non justifiee"</formula>
    </cfRule>
    <cfRule type="cellIs" priority="164" operator="equal" dxfId="2">
      <formula>"Sanctionne"</formula>
    </cfRule>
    <cfRule type="cellIs" priority="165" operator="equal" dxfId="2">
      <formula>"Inaptitude"</formula>
    </cfRule>
    <cfRule type="cellIs" priority="166" operator="equal" dxfId="2">
      <formula>"Absent sans autorisation"</formula>
    </cfRule>
    <cfRule type="cellIs" priority="167" operator="equal" dxfId="2">
      <formula>"Abandon de poste"</formula>
    </cfRule>
    <cfRule type="cellIs" priority="168" operator="equal" dxfId="2">
      <formula>"Non satisfait"</formula>
    </cfRule>
    <cfRule type="cellIs" priority="169" operator="equal" dxfId="2">
      <formula>"Depasse"</formula>
    </cfRule>
    <cfRule type="cellIs" priority="170" operator="equal" dxfId="2">
      <formula>"Non utilise"</formula>
    </cfRule>
    <cfRule type="cellIs" priority="171" operator="equal" dxfId="2">
      <formula>"Non applicable"</formula>
    </cfRule>
    <cfRule type="cellIs" priority="172" operator="equal" dxfId="2">
      <formula>"Debutant"</formula>
    </cfRule>
    <cfRule type="cellIs" priority="173" operator="equal" dxfId="2">
      <formula>"Non atteint"</formula>
    </cfRule>
    <cfRule type="cellIs" priority="174" operator="equal" dxfId="2">
      <formula>"Abandonne"</formula>
    </cfRule>
    <cfRule type="cellIs" priority="175" operator="equal" dxfId="2">
      <formula>"Rupture essai"</formula>
    </cfRule>
    <cfRule type="cellIs" priority="176" operator="equal" dxfId="2">
      <formula>"Insuffisant"</formula>
    </cfRule>
    <cfRule type="cellIs" priority="177" operator="equal" dxfId="2">
      <formula>"Moyen"</formula>
    </cfRule>
    <cfRule type="cellIs" priority="178" operator="equal" dxfId="2">
      <formula>"E - Insuffisant"</formula>
    </cfRule>
    <cfRule type="cellIs" priority="179" operator="equal" dxfId="2">
      <formula>"Dissous"</formula>
    </cfRule>
    <cfRule type="cellIs" priority="180" operator="equal" dxfId="2">
      <formula>"Denonce"</formula>
    </cfRule>
    <cfRule type="cellIs" priority="181" operator="equal" dxfId="2">
      <formula>"Echoue"</formula>
    </cfRule>
    <cfRule type="cellIs" priority="182" operator="equal" dxfId="2">
      <formula>"Echouee"</formula>
    </cfRule>
    <cfRule type="cellIs" priority="183" operator="equal" dxfId="2">
      <formula>"Revoque"</formula>
    </cfRule>
    <cfRule type="cellIs" priority="184" operator="equal" dxfId="2">
      <formula>"Demissionnaire"</formula>
    </cfRule>
    <cfRule type="cellIs" priority="185" operator="equal" dxfId="2">
      <formula>"Licenciement pour faute"</formula>
    </cfRule>
    <cfRule type="cellIs" priority="186" operator="equal" dxfId="2">
      <formula>"Licenciement pour faute grave"</formula>
    </cfRule>
    <cfRule type="cellIs" priority="187" operator="equal" dxfId="2">
      <formula>"Terminee - Echec"</formula>
    </cfRule>
    <cfRule type="cellIs" priority="188" operator="equal" dxfId="2">
      <formula>"Abandonnee"</formula>
    </cfRule>
    <cfRule type="cellIs" priority="189" operator="equal" dxfId="2">
      <formula>"Violence physique"</formula>
    </cfRule>
    <cfRule type="cellIs" priority="190" operator="equal" dxfId="2">
      <formula>"Violence verbale"</formula>
    </cfRule>
    <cfRule type="cellIs" priority="191" operator="equal" dxfId="2">
      <formula>"Fatal"</formula>
    </cfRule>
    <cfRule type="cellIs" priority="192" operator="equal" dxfId="2">
      <formula>"Non reconnue"</formula>
    </cfRule>
    <cfRule type="cellIs" priority="193" operator="equal" dxfId="2">
      <formula>"Inapte definitif"</formula>
    </cfRule>
    <cfRule type="cellIs" priority="194" operator="equal" dxfId="2">
      <formula>"Perdu / vole"</formula>
    </cfRule>
    <cfRule type="cellIs" priority="195" operator="equal" dxfId="2">
      <formula>"Rebute"</formula>
    </cfRule>
    <cfRule type="cellIs" priority="196" operator="equal" dxfId="2">
      <formula>"Obsolette"</formula>
    </cfRule>
    <cfRule type="cellIs" priority="197" operator="equal" dxfId="2">
      <formula>"Conteste"</formula>
    </cfRule>
    <cfRule type="cellIs" priority="198" operator="equal" dxfId="2">
      <formula>"Refusee"</formula>
    </cfRule>
    <cfRule type="cellIs" priority="199" operator="equal" dxfId="2">
      <formula>"Non retenu"</formula>
    </cfRule>
    <cfRule type="cellIs" priority="200" operator="equal" dxfId="2">
      <formula>"Non acquis"</formula>
    </cfRule>
    <cfRule type="cellIs" priority="201" operator="equal" dxfId="2">
      <formula>"Contrat termine"</formula>
    </cfRule>
    <cfRule type="cellIs" priority="202" operator="equal" dxfId="2">
      <formula>"Rapatrie"</formula>
    </cfRule>
    <cfRule type="cellIs" priority="203" operator="equal" dxfId="2">
      <formula>"Non conforme"</formula>
    </cfRule>
    <cfRule type="cellIs" priority="204" operator="equal" dxfId="2">
      <formula>"Abandonne"</formula>
    </cfRule>
    <cfRule type="cellIs" priority="205" operator="equal" dxfId="2">
      <formula>"Perdu"</formula>
    </cfRule>
    <cfRule type="cellIs" priority="206" operator="equal" dxfId="2">
      <formula>"Resilie"</formula>
    </cfRule>
    <cfRule type="cellIs" priority="207" operator="equal" dxfId="2">
      <formula>"Expire"</formula>
    </cfRule>
    <cfRule type="cellIs" priority="208" operator="equal" dxfId="2">
      <formula>"Incomplet"</formula>
    </cfRule>
    <cfRule type="cellIs" priority="209" operator="equal" dxfId="2">
      <formula>"Non restitue"</formula>
    </cfRule>
    <cfRule type="cellIs" priority="210" operator="equal" dxfId="2">
      <formula>"Perdu"</formula>
    </cfRule>
    <cfRule type="cellIs" priority="211" operator="equal" dxfId="2">
      <formula>"Secret"</formula>
    </cfRule>
  </conditionalFormatting>
  <conditionalFormatting sqref="B10:B109">
    <cfRule type="expression" priority="212" dxfId="3">
      <formula>AND($C10="",$C9&lt;&gt;"")</formula>
    </cfRule>
  </conditionalFormatting>
  <conditionalFormatting sqref="C10:C109">
    <cfRule type="expression" priority="213" dxfId="3">
      <formula>AND($C10="",$C9&lt;&gt;"")</formula>
    </cfRule>
  </conditionalFormatting>
  <conditionalFormatting sqref="D10:D109">
    <cfRule type="expression" priority="214" dxfId="3">
      <formula>AND($C10="",$C9&lt;&gt;"")</formula>
    </cfRule>
  </conditionalFormatting>
  <conditionalFormatting sqref="E10:E109">
    <cfRule type="expression" priority="215" dxfId="3">
      <formula>AND($C10="",$C9&lt;&gt;"")</formula>
    </cfRule>
  </conditionalFormatting>
  <conditionalFormatting sqref="F10:F109">
    <cfRule type="expression" priority="216" dxfId="3">
      <formula>AND($C10="",$C9&lt;&gt;"")</formula>
    </cfRule>
  </conditionalFormatting>
  <conditionalFormatting sqref="G10:G109">
    <cfRule type="expression" priority="217" dxfId="3">
      <formula>AND($C10="",$C9&lt;&gt;"")</formula>
    </cfRule>
  </conditionalFormatting>
  <conditionalFormatting sqref="H10:H109">
    <cfRule type="expression" priority="218" dxfId="3">
      <formula>AND($C10="",$C9&lt;&gt;"")</formula>
    </cfRule>
  </conditionalFormatting>
  <conditionalFormatting sqref="I10:I109">
    <cfRule type="expression" priority="219" dxfId="3">
      <formula>AND($C10="",$C9&lt;&gt;"")</formula>
    </cfRule>
  </conditionalFormatting>
  <conditionalFormatting sqref="J10:J109">
    <cfRule type="expression" priority="220" dxfId="3">
      <formula>AND($C10="",$C9&lt;&gt;"")</formula>
    </cfRule>
  </conditionalFormatting>
  <conditionalFormatting sqref="K10:K109">
    <cfRule type="expression" priority="221" dxfId="3">
      <formula>AND($C10="",$C9&lt;&gt;"")</formula>
    </cfRule>
  </conditionalFormatting>
  <dataValidations count="3">
    <dataValidation sqref="D5:D109" showDropDown="0" showInputMessage="0" showErrorMessage="0" allowBlank="1" errorTitle="Erreur" error="Valeur invalide" promptTitle="Liste" prompt="Choisir dans la liste" type="list">
      <formula1>'_Lists'!$D$2:$D$21</formula1>
    </dataValidation>
    <dataValidation sqref="F5:F109" showDropDown="0" showInputMessage="0" showErrorMessage="0" allowBlank="1" errorTitle="Erreur" error="Valeur invalide" promptTitle="Liste" prompt="Choisir dans la liste" type="list">
      <formula1>'_Lists'!$L$2:$L$9</formula1>
    </dataValidation>
    <dataValidation sqref="K5:K109" showDropDown="0" showInputMessage="0" showErrorMessage="0" allowBlank="1" errorTitle="Erreur" error="Valeur invalide" promptTitle="Liste" prompt="Choisir dans la liste" type="list">
      <formula1>'_Lists'!$M$2:$M$5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26" customWidth="1" min="4" max="4"/>
    <col width="24" customWidth="1" min="5" max="5"/>
    <col width="24" customWidth="1" min="6" max="6"/>
    <col width="30" customWidth="1" min="7" max="7"/>
    <col width="18" customWidth="1" min="8" max="8"/>
    <col width="16" customWidth="1" min="9" max="9"/>
    <col width="16" customWidth="1" min="10" max="10"/>
    <col width="14" customWidth="1" min="11" max="11"/>
  </cols>
  <sheetData>
    <row r="1" ht="15" customHeight="1"/>
    <row r="2" ht="32" customHeight="1">
      <c r="B2" s="1" t="inlineStr">
        <is>
          <t>POLITIQUE ARCHIVAGE &amp; CONSERVATION (#136)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Politique / Regle</t>
        </is>
      </c>
      <c r="D4" s="11" t="inlineStr">
        <is>
          <t>Type Document</t>
        </is>
      </c>
      <c r="E4" s="11" t="inlineStr">
        <is>
          <t>Duree Conservation</t>
        </is>
      </c>
      <c r="F4" s="11" t="inlineStr">
        <is>
          <t>Support Obligatoire</t>
        </is>
      </c>
      <c r="G4" s="11" t="inlineStr">
        <is>
          <t>Conditions Destruction</t>
        </is>
      </c>
      <c r="H4" s="11" t="inlineStr">
        <is>
          <t>Responsable</t>
        </is>
      </c>
      <c r="I4" s="11" t="inlineStr">
        <is>
          <t>Date Approbation</t>
        </is>
      </c>
      <c r="J4" s="11" t="inlineStr">
        <is>
          <t>Prochaine Revision</t>
        </is>
      </c>
      <c r="K4" s="11" t="inlineStr">
        <is>
          <t>Statut</t>
        </is>
      </c>
    </row>
    <row r="5" ht="22" customHeight="1">
      <c r="B5" s="12" t="inlineStr">
        <is>
          <t>PAR-001</t>
        </is>
      </c>
      <c r="C5" s="12" t="inlineStr">
        <is>
          <t>Conservation contrats travail</t>
        </is>
      </c>
      <c r="D5" s="12" t="inlineStr">
        <is>
          <t>Contrat de travail</t>
        </is>
      </c>
      <c r="E5" s="12" t="inlineStr">
        <is>
          <t>Contrat + 5 ans apres fin</t>
        </is>
      </c>
      <c r="F5" s="12" t="inlineStr">
        <is>
          <t>Hybride (papier + numerique)</t>
        </is>
      </c>
      <c r="G5" s="12" t="inlineStr">
        <is>
          <t>PV destruction + temoin</t>
        </is>
      </c>
      <c r="H5" s="12" t="inlineStr">
        <is>
          <t>DRH</t>
        </is>
      </c>
      <c r="I5" s="29" t="n">
        <v>45301</v>
      </c>
      <c r="J5" s="29" t="n">
        <v>46032</v>
      </c>
      <c r="K5" s="12" t="inlineStr">
        <is>
          <t>En vigueur</t>
        </is>
      </c>
    </row>
    <row r="6" ht="22" customHeight="1">
      <c r="B6" s="14" t="inlineStr">
        <is>
          <t>PAR-002</t>
        </is>
      </c>
      <c r="C6" s="14" t="inlineStr">
        <is>
          <t>Conservation bulletins paie</t>
        </is>
      </c>
      <c r="D6" s="14" t="inlineStr">
        <is>
          <t>Bulletin paie</t>
        </is>
      </c>
      <c r="E6" s="14" t="inlineStr">
        <is>
          <t>5 ans</t>
        </is>
      </c>
      <c r="F6" s="14" t="inlineStr">
        <is>
          <t>Numerique - Serveur RH</t>
        </is>
      </c>
      <c r="G6" s="14" t="inlineStr">
        <is>
          <t>Suppression logique + PV</t>
        </is>
      </c>
      <c r="H6" s="14" t="inlineStr">
        <is>
          <t>DAF</t>
        </is>
      </c>
      <c r="I6" s="30" t="n">
        <v>45301</v>
      </c>
      <c r="J6" s="30" t="n">
        <v>46032</v>
      </c>
      <c r="K6" s="14" t="inlineStr">
        <is>
          <t>En vigueur</t>
        </is>
      </c>
    </row>
    <row r="7" ht="22" customHeight="1">
      <c r="B7" s="12" t="inlineStr">
        <is>
          <t>PAR-003</t>
        </is>
      </c>
      <c r="C7" s="12" t="inlineStr">
        <is>
          <t>Archivage documents medicaux</t>
        </is>
      </c>
      <c r="D7" s="12" t="inlineStr">
        <is>
          <t>Autre</t>
        </is>
      </c>
      <c r="E7" s="12" t="inlineStr">
        <is>
          <t>Indefinie</t>
        </is>
      </c>
      <c r="F7" s="12" t="inlineStr">
        <is>
          <t>Papier - Classeur</t>
        </is>
      </c>
      <c r="G7" s="12" t="inlineStr">
        <is>
          <t>Jamais (conservation permanente)</t>
        </is>
      </c>
      <c r="H7" s="12" t="inlineStr">
        <is>
          <t>Medecin travail</t>
        </is>
      </c>
      <c r="I7" s="29" t="n">
        <v>45301</v>
      </c>
      <c r="J7" s="29" t="n">
        <v>46032</v>
      </c>
      <c r="K7" s="12" t="inlineStr">
        <is>
          <t>En vigueur</t>
        </is>
      </c>
    </row>
    <row r="8" ht="22" customHeight="1">
      <c r="B8" s="14" t="inlineStr">
        <is>
          <t>PAR-004</t>
        </is>
      </c>
      <c r="C8" s="14" t="inlineStr">
        <is>
          <t>Conservation PV disciplinaires</t>
        </is>
      </c>
      <c r="D8" s="14" t="inlineStr">
        <is>
          <t>Proces-verbal disciplinaire</t>
        </is>
      </c>
      <c r="E8" s="14" t="inlineStr">
        <is>
          <t>Contrat + 5 ans</t>
        </is>
      </c>
      <c r="F8" s="14" t="inlineStr">
        <is>
          <t>Papier - Boite archive</t>
        </is>
      </c>
      <c r="G8" s="14" t="inlineStr">
        <is>
          <t>PV destruction + autorisation DRH</t>
        </is>
      </c>
      <c r="H8" s="14" t="inlineStr">
        <is>
          <t>DRH</t>
        </is>
      </c>
      <c r="I8" s="30" t="n">
        <v>45301</v>
      </c>
      <c r="J8" s="30" t="n">
        <v>46032</v>
      </c>
      <c r="K8" s="14" t="inlineStr">
        <is>
          <t>En vigueur</t>
        </is>
      </c>
    </row>
    <row r="9" ht="22" customHeight="1">
      <c r="B9" s="12" t="inlineStr">
        <is>
          <t>PAR-005</t>
        </is>
      </c>
      <c r="C9" s="12" t="inlineStr">
        <is>
          <t>Archivage bilans sociaux</t>
        </is>
      </c>
      <c r="D9" s="12" t="inlineStr">
        <is>
          <t>Bilan social</t>
        </is>
      </c>
      <c r="E9" s="12" t="inlineStr">
        <is>
          <t>10 ans</t>
        </is>
      </c>
      <c r="F9" s="12" t="inlineStr">
        <is>
          <t>Numerique - Serveur RH</t>
        </is>
      </c>
      <c r="G9" s="12" t="inlineStr">
        <is>
          <t>Suppression logique apres 10 ans</t>
        </is>
      </c>
      <c r="H9" s="12" t="inlineStr">
        <is>
          <t>DRH + DAF</t>
        </is>
      </c>
      <c r="I9" s="29" t="n">
        <v>45301</v>
      </c>
      <c r="J9" s="29" t="n">
        <v>46032</v>
      </c>
      <c r="K9" s="12" t="inlineStr">
        <is>
          <t>En vigueur</t>
        </is>
      </c>
    </row>
    <row r="10" ht="22" customHeight="1">
      <c r="B10" s="16">
        <f>IF(C10="","PAR-"&amp;TEXT(COUNTA($C$5:C10),"000"))</f>
        <v/>
      </c>
      <c r="C10" s="14" t="n"/>
      <c r="D10" s="14" t="n"/>
      <c r="E10" s="14" t="n"/>
      <c r="F10" s="14" t="n"/>
      <c r="G10" s="14" t="n"/>
      <c r="H10" s="14" t="n"/>
      <c r="I10" s="30" t="n"/>
      <c r="J10" s="30" t="n"/>
      <c r="K10" s="14" t="n"/>
    </row>
    <row r="11" ht="22" customHeight="1">
      <c r="B11" s="17">
        <f>IF(C11="","PAR-"&amp;TEXT(COUNTA($C$5:C11),"000"))</f>
        <v/>
      </c>
      <c r="C11" s="12" t="n"/>
      <c r="D11" s="12" t="n"/>
      <c r="E11" s="12" t="n"/>
      <c r="F11" s="12" t="n"/>
      <c r="G11" s="12" t="n"/>
      <c r="H11" s="12" t="n"/>
      <c r="I11" s="29" t="n"/>
      <c r="J11" s="29" t="n"/>
      <c r="K11" s="12" t="n"/>
    </row>
    <row r="12" ht="22" customHeight="1">
      <c r="B12" s="16">
        <f>IF(C12="","PAR-"&amp;TEXT(COUNTA($C$5:C12),"000"))</f>
        <v/>
      </c>
      <c r="C12" s="14" t="n"/>
      <c r="D12" s="14" t="n"/>
      <c r="E12" s="14" t="n"/>
      <c r="F12" s="14" t="n"/>
      <c r="G12" s="14" t="n"/>
      <c r="H12" s="14" t="n"/>
      <c r="I12" s="30" t="n"/>
      <c r="J12" s="30" t="n"/>
      <c r="K12" s="14" t="n"/>
    </row>
    <row r="13" ht="22" customHeight="1">
      <c r="B13" s="17">
        <f>IF(C13="","PAR-"&amp;TEXT(COUNTA($C$5:C13),"000"))</f>
        <v/>
      </c>
      <c r="C13" s="12" t="n"/>
      <c r="D13" s="12" t="n"/>
      <c r="E13" s="12" t="n"/>
      <c r="F13" s="12" t="n"/>
      <c r="G13" s="12" t="n"/>
      <c r="H13" s="12" t="n"/>
      <c r="I13" s="29" t="n"/>
      <c r="J13" s="29" t="n"/>
      <c r="K13" s="12" t="n"/>
    </row>
    <row r="14" ht="22" customHeight="1">
      <c r="B14" s="16">
        <f>IF(C14="","PAR-"&amp;TEXT(COUNTA($C$5:C14),"000"))</f>
        <v/>
      </c>
      <c r="C14" s="14" t="n"/>
      <c r="D14" s="14" t="n"/>
      <c r="E14" s="14" t="n"/>
      <c r="F14" s="14" t="n"/>
      <c r="G14" s="14" t="n"/>
      <c r="H14" s="14" t="n"/>
      <c r="I14" s="30" t="n"/>
      <c r="J14" s="30" t="n"/>
      <c r="K14" s="14" t="n"/>
    </row>
    <row r="15" ht="22" customHeight="1">
      <c r="B15" s="17">
        <f>IF(C15="","PAR-"&amp;TEXT(COUNTA($C$5:C15),"000"))</f>
        <v/>
      </c>
      <c r="C15" s="12" t="n"/>
      <c r="D15" s="12" t="n"/>
      <c r="E15" s="12" t="n"/>
      <c r="F15" s="12" t="n"/>
      <c r="G15" s="12" t="n"/>
      <c r="H15" s="12" t="n"/>
      <c r="I15" s="29" t="n"/>
      <c r="J15" s="29" t="n"/>
      <c r="K15" s="12" t="n"/>
    </row>
    <row r="16" ht="22" customHeight="1">
      <c r="B16" s="16">
        <f>IF(C16="","PAR-"&amp;TEXT(COUNTA($C$5:C16),"000"))</f>
        <v/>
      </c>
      <c r="C16" s="14" t="n"/>
      <c r="D16" s="14" t="n"/>
      <c r="E16" s="14" t="n"/>
      <c r="F16" s="14" t="n"/>
      <c r="G16" s="14" t="n"/>
      <c r="H16" s="14" t="n"/>
      <c r="I16" s="30" t="n"/>
      <c r="J16" s="30" t="n"/>
      <c r="K16" s="14" t="n"/>
    </row>
    <row r="17" ht="22" customHeight="1">
      <c r="B17" s="17">
        <f>IF(C17="","PAR-"&amp;TEXT(COUNTA($C$5:C17),"000"))</f>
        <v/>
      </c>
      <c r="C17" s="12" t="n"/>
      <c r="D17" s="12" t="n"/>
      <c r="E17" s="12" t="n"/>
      <c r="F17" s="12" t="n"/>
      <c r="G17" s="12" t="n"/>
      <c r="H17" s="12" t="n"/>
      <c r="I17" s="29" t="n"/>
      <c r="J17" s="29" t="n"/>
      <c r="K17" s="12" t="n"/>
    </row>
    <row r="18" ht="22" customHeight="1">
      <c r="B18" s="16">
        <f>IF(C18="","PAR-"&amp;TEXT(COUNTA($C$5:C18),"000"))</f>
        <v/>
      </c>
      <c r="C18" s="14" t="n"/>
      <c r="D18" s="14" t="n"/>
      <c r="E18" s="14" t="n"/>
      <c r="F18" s="14" t="n"/>
      <c r="G18" s="14" t="n"/>
      <c r="H18" s="14" t="n"/>
      <c r="I18" s="30" t="n"/>
      <c r="J18" s="30" t="n"/>
      <c r="K18" s="14" t="n"/>
    </row>
    <row r="19" ht="22" customHeight="1">
      <c r="B19" s="17">
        <f>IF(C19="","PAR-"&amp;TEXT(COUNTA($C$5:C19),"000"))</f>
        <v/>
      </c>
      <c r="C19" s="12" t="n"/>
      <c r="D19" s="12" t="n"/>
      <c r="E19" s="12" t="n"/>
      <c r="F19" s="12" t="n"/>
      <c r="G19" s="12" t="n"/>
      <c r="H19" s="12" t="n"/>
      <c r="I19" s="29" t="n"/>
      <c r="J19" s="29" t="n"/>
      <c r="K19" s="12" t="n"/>
    </row>
    <row r="20" ht="22" customHeight="1">
      <c r="B20" s="16">
        <f>IF(C20="","PAR-"&amp;TEXT(COUNTA($C$5:C20),"000"))</f>
        <v/>
      </c>
      <c r="C20" s="14" t="n"/>
      <c r="D20" s="14" t="n"/>
      <c r="E20" s="14" t="n"/>
      <c r="F20" s="14" t="n"/>
      <c r="G20" s="14" t="n"/>
      <c r="H20" s="14" t="n"/>
      <c r="I20" s="30" t="n"/>
      <c r="J20" s="30" t="n"/>
      <c r="K20" s="14" t="n"/>
    </row>
    <row r="21" ht="22" customHeight="1">
      <c r="B21" s="17">
        <f>IF(C21="","PAR-"&amp;TEXT(COUNTA($C$5:C21),"000"))</f>
        <v/>
      </c>
      <c r="C21" s="12" t="n"/>
      <c r="D21" s="12" t="n"/>
      <c r="E21" s="12" t="n"/>
      <c r="F21" s="12" t="n"/>
      <c r="G21" s="12" t="n"/>
      <c r="H21" s="12" t="n"/>
      <c r="I21" s="29" t="n"/>
      <c r="J21" s="29" t="n"/>
      <c r="K21" s="12" t="n"/>
    </row>
    <row r="22" ht="22" customHeight="1">
      <c r="B22" s="16">
        <f>IF(C22="","PAR-"&amp;TEXT(COUNTA($C$5:C22),"000"))</f>
        <v/>
      </c>
      <c r="C22" s="14" t="n"/>
      <c r="D22" s="14" t="n"/>
      <c r="E22" s="14" t="n"/>
      <c r="F22" s="14" t="n"/>
      <c r="G22" s="14" t="n"/>
      <c r="H22" s="14" t="n"/>
      <c r="I22" s="30" t="n"/>
      <c r="J22" s="30" t="n"/>
      <c r="K22" s="14" t="n"/>
    </row>
    <row r="23" ht="22" customHeight="1">
      <c r="B23" s="17">
        <f>IF(C23="","PAR-"&amp;TEXT(COUNTA($C$5:C23),"000"))</f>
        <v/>
      </c>
      <c r="C23" s="12" t="n"/>
      <c r="D23" s="12" t="n"/>
      <c r="E23" s="12" t="n"/>
      <c r="F23" s="12" t="n"/>
      <c r="G23" s="12" t="n"/>
      <c r="H23" s="12" t="n"/>
      <c r="I23" s="29" t="n"/>
      <c r="J23" s="29" t="n"/>
      <c r="K23" s="12" t="n"/>
    </row>
    <row r="24" ht="22" customHeight="1">
      <c r="B24" s="16">
        <f>IF(C24="","PAR-"&amp;TEXT(COUNTA($C$5:C24),"000"))</f>
        <v/>
      </c>
      <c r="C24" s="14" t="n"/>
      <c r="D24" s="14" t="n"/>
      <c r="E24" s="14" t="n"/>
      <c r="F24" s="14" t="n"/>
      <c r="G24" s="14" t="n"/>
      <c r="H24" s="14" t="n"/>
      <c r="I24" s="30" t="n"/>
      <c r="J24" s="30" t="n"/>
      <c r="K24" s="14" t="n"/>
    </row>
    <row r="25" ht="22" customHeight="1">
      <c r="B25" s="17">
        <f>IF(C25="","PAR-"&amp;TEXT(COUNTA($C$5:C25),"000"))</f>
        <v/>
      </c>
      <c r="C25" s="12" t="n"/>
      <c r="D25" s="12" t="n"/>
      <c r="E25" s="12" t="n"/>
      <c r="F25" s="12" t="n"/>
      <c r="G25" s="12" t="n"/>
      <c r="H25" s="12" t="n"/>
      <c r="I25" s="29" t="n"/>
      <c r="J25" s="29" t="n"/>
      <c r="K25" s="12" t="n"/>
    </row>
    <row r="26" ht="22" customHeight="1">
      <c r="B26" s="16">
        <f>IF(C26="","PAR-"&amp;TEXT(COUNTA($C$5:C26),"000"))</f>
        <v/>
      </c>
      <c r="C26" s="14" t="n"/>
      <c r="D26" s="14" t="n"/>
      <c r="E26" s="14" t="n"/>
      <c r="F26" s="14" t="n"/>
      <c r="G26" s="14" t="n"/>
      <c r="H26" s="14" t="n"/>
      <c r="I26" s="30" t="n"/>
      <c r="J26" s="30" t="n"/>
      <c r="K26" s="14" t="n"/>
    </row>
    <row r="27" ht="22" customHeight="1">
      <c r="B27" s="17">
        <f>IF(C27="","PAR-"&amp;TEXT(COUNTA($C$5:C27),"000"))</f>
        <v/>
      </c>
      <c r="C27" s="12" t="n"/>
      <c r="D27" s="12" t="n"/>
      <c r="E27" s="12" t="n"/>
      <c r="F27" s="12" t="n"/>
      <c r="G27" s="12" t="n"/>
      <c r="H27" s="12" t="n"/>
      <c r="I27" s="29" t="n"/>
      <c r="J27" s="29" t="n"/>
      <c r="K27" s="12" t="n"/>
    </row>
    <row r="28" ht="22" customHeight="1">
      <c r="B28" s="16">
        <f>IF(C28="","PAR-"&amp;TEXT(COUNTA($C$5:C28),"000"))</f>
        <v/>
      </c>
      <c r="C28" s="14" t="n"/>
      <c r="D28" s="14" t="n"/>
      <c r="E28" s="14" t="n"/>
      <c r="F28" s="14" t="n"/>
      <c r="G28" s="14" t="n"/>
      <c r="H28" s="14" t="n"/>
      <c r="I28" s="30" t="n"/>
      <c r="J28" s="30" t="n"/>
      <c r="K28" s="14" t="n"/>
    </row>
    <row r="29" ht="22" customHeight="1">
      <c r="B29" s="17">
        <f>IF(C29="","PAR-"&amp;TEXT(COUNTA($C$5:C29),"000"))</f>
        <v/>
      </c>
      <c r="C29" s="12" t="n"/>
      <c r="D29" s="12" t="n"/>
      <c r="E29" s="12" t="n"/>
      <c r="F29" s="12" t="n"/>
      <c r="G29" s="12" t="n"/>
      <c r="H29" s="12" t="n"/>
      <c r="I29" s="29" t="n"/>
      <c r="J29" s="29" t="n"/>
      <c r="K29" s="12" t="n"/>
    </row>
    <row r="30" ht="22" customHeight="1">
      <c r="B30" s="16">
        <f>IF(C30="","PAR-"&amp;TEXT(COUNTA($C$5:C30),"000"))</f>
        <v/>
      </c>
      <c r="C30" s="14" t="n"/>
      <c r="D30" s="14" t="n"/>
      <c r="E30" s="14" t="n"/>
      <c r="F30" s="14" t="n"/>
      <c r="G30" s="14" t="n"/>
      <c r="H30" s="14" t="n"/>
      <c r="I30" s="30" t="n"/>
      <c r="J30" s="30" t="n"/>
      <c r="K30" s="14" t="n"/>
    </row>
    <row r="31" ht="22" customHeight="1">
      <c r="B31" s="17">
        <f>IF(C31="","PAR-"&amp;TEXT(COUNTA($C$5:C31),"000"))</f>
        <v/>
      </c>
      <c r="C31" s="12" t="n"/>
      <c r="D31" s="12" t="n"/>
      <c r="E31" s="12" t="n"/>
      <c r="F31" s="12" t="n"/>
      <c r="G31" s="12" t="n"/>
      <c r="H31" s="12" t="n"/>
      <c r="I31" s="29" t="n"/>
      <c r="J31" s="29" t="n"/>
      <c r="K31" s="12" t="n"/>
    </row>
    <row r="32" ht="22" customHeight="1">
      <c r="B32" s="16">
        <f>IF(C32="","PAR-"&amp;TEXT(COUNTA($C$5:C32),"000"))</f>
        <v/>
      </c>
      <c r="C32" s="14" t="n"/>
      <c r="D32" s="14" t="n"/>
      <c r="E32" s="14" t="n"/>
      <c r="F32" s="14" t="n"/>
      <c r="G32" s="14" t="n"/>
      <c r="H32" s="14" t="n"/>
      <c r="I32" s="30" t="n"/>
      <c r="J32" s="30" t="n"/>
      <c r="K32" s="14" t="n"/>
    </row>
    <row r="33" ht="22" customHeight="1">
      <c r="B33" s="17">
        <f>IF(C33="","PAR-"&amp;TEXT(COUNTA($C$5:C33),"000"))</f>
        <v/>
      </c>
      <c r="C33" s="12" t="n"/>
      <c r="D33" s="12" t="n"/>
      <c r="E33" s="12" t="n"/>
      <c r="F33" s="12" t="n"/>
      <c r="G33" s="12" t="n"/>
      <c r="H33" s="12" t="n"/>
      <c r="I33" s="29" t="n"/>
      <c r="J33" s="29" t="n"/>
      <c r="K33" s="12" t="n"/>
    </row>
    <row r="34" ht="22" customHeight="1">
      <c r="B34" s="16">
        <f>IF(C34="","PAR-"&amp;TEXT(COUNTA($C$5:C34),"000"))</f>
        <v/>
      </c>
      <c r="C34" s="14" t="n"/>
      <c r="D34" s="14" t="n"/>
      <c r="E34" s="14" t="n"/>
      <c r="F34" s="14" t="n"/>
      <c r="G34" s="14" t="n"/>
      <c r="H34" s="14" t="n"/>
      <c r="I34" s="30" t="n"/>
      <c r="J34" s="30" t="n"/>
      <c r="K34" s="14" t="n"/>
    </row>
    <row r="35" ht="22" customHeight="1">
      <c r="B35" s="17">
        <f>IF(C35="","PAR-"&amp;TEXT(COUNTA($C$5:C35),"000"))</f>
        <v/>
      </c>
      <c r="C35" s="12" t="n"/>
      <c r="D35" s="12" t="n"/>
      <c r="E35" s="12" t="n"/>
      <c r="F35" s="12" t="n"/>
      <c r="G35" s="12" t="n"/>
      <c r="H35" s="12" t="n"/>
      <c r="I35" s="29" t="n"/>
      <c r="J35" s="29" t="n"/>
      <c r="K35" s="12" t="n"/>
    </row>
    <row r="36" ht="22" customHeight="1">
      <c r="B36" s="16">
        <f>IF(C36="","PAR-"&amp;TEXT(COUNTA($C$5:C36),"000"))</f>
        <v/>
      </c>
      <c r="C36" s="14" t="n"/>
      <c r="D36" s="14" t="n"/>
      <c r="E36" s="14" t="n"/>
      <c r="F36" s="14" t="n"/>
      <c r="G36" s="14" t="n"/>
      <c r="H36" s="14" t="n"/>
      <c r="I36" s="30" t="n"/>
      <c r="J36" s="30" t="n"/>
      <c r="K36" s="14" t="n"/>
    </row>
    <row r="37" ht="22" customHeight="1">
      <c r="B37" s="17">
        <f>IF(C37="","PAR-"&amp;TEXT(COUNTA($C$5:C37),"000"))</f>
        <v/>
      </c>
      <c r="C37" s="12" t="n"/>
      <c r="D37" s="12" t="n"/>
      <c r="E37" s="12" t="n"/>
      <c r="F37" s="12" t="n"/>
      <c r="G37" s="12" t="n"/>
      <c r="H37" s="12" t="n"/>
      <c r="I37" s="29" t="n"/>
      <c r="J37" s="29" t="n"/>
      <c r="K37" s="12" t="n"/>
    </row>
    <row r="38" ht="22" customHeight="1">
      <c r="B38" s="16">
        <f>IF(C38="","PAR-"&amp;TEXT(COUNTA($C$5:C38),"000"))</f>
        <v/>
      </c>
      <c r="C38" s="14" t="n"/>
      <c r="D38" s="14" t="n"/>
      <c r="E38" s="14" t="n"/>
      <c r="F38" s="14" t="n"/>
      <c r="G38" s="14" t="n"/>
      <c r="H38" s="14" t="n"/>
      <c r="I38" s="30" t="n"/>
      <c r="J38" s="30" t="n"/>
      <c r="K38" s="14" t="n"/>
    </row>
    <row r="39" ht="22" customHeight="1">
      <c r="B39" s="17">
        <f>IF(C39="","PAR-"&amp;TEXT(COUNTA($C$5:C39),"000"))</f>
        <v/>
      </c>
      <c r="C39" s="12" t="n"/>
      <c r="D39" s="12" t="n"/>
      <c r="E39" s="12" t="n"/>
      <c r="F39" s="12" t="n"/>
      <c r="G39" s="12" t="n"/>
      <c r="H39" s="12" t="n"/>
      <c r="I39" s="29" t="n"/>
      <c r="J39" s="29" t="n"/>
      <c r="K39" s="12" t="n"/>
    </row>
    <row r="40" ht="22" customHeight="1">
      <c r="B40" s="16">
        <f>IF(C40="","PAR-"&amp;TEXT(COUNTA($C$5:C40),"000"))</f>
        <v/>
      </c>
      <c r="C40" s="14" t="n"/>
      <c r="D40" s="14" t="n"/>
      <c r="E40" s="14" t="n"/>
      <c r="F40" s="14" t="n"/>
      <c r="G40" s="14" t="n"/>
      <c r="H40" s="14" t="n"/>
      <c r="I40" s="30" t="n"/>
      <c r="J40" s="30" t="n"/>
      <c r="K40" s="14" t="n"/>
    </row>
    <row r="41" ht="22" customHeight="1">
      <c r="B41" s="17">
        <f>IF(C41="","PAR-"&amp;TEXT(COUNTA($C$5:C41),"000"))</f>
        <v/>
      </c>
      <c r="C41" s="12" t="n"/>
      <c r="D41" s="12" t="n"/>
      <c r="E41" s="12" t="n"/>
      <c r="F41" s="12" t="n"/>
      <c r="G41" s="12" t="n"/>
      <c r="H41" s="12" t="n"/>
      <c r="I41" s="29" t="n"/>
      <c r="J41" s="29" t="n"/>
      <c r="K41" s="12" t="n"/>
    </row>
    <row r="42" ht="22" customHeight="1">
      <c r="B42" s="16">
        <f>IF(C42="","PAR-"&amp;TEXT(COUNTA($C$5:C42),"000"))</f>
        <v/>
      </c>
      <c r="C42" s="14" t="n"/>
      <c r="D42" s="14" t="n"/>
      <c r="E42" s="14" t="n"/>
      <c r="F42" s="14" t="n"/>
      <c r="G42" s="14" t="n"/>
      <c r="H42" s="14" t="n"/>
      <c r="I42" s="30" t="n"/>
      <c r="J42" s="30" t="n"/>
      <c r="K42" s="14" t="n"/>
    </row>
    <row r="43" ht="22" customHeight="1">
      <c r="B43" s="17">
        <f>IF(C43="","PAR-"&amp;TEXT(COUNTA($C$5:C43),"000"))</f>
        <v/>
      </c>
      <c r="C43" s="12" t="n"/>
      <c r="D43" s="12" t="n"/>
      <c r="E43" s="12" t="n"/>
      <c r="F43" s="12" t="n"/>
      <c r="G43" s="12" t="n"/>
      <c r="H43" s="12" t="n"/>
      <c r="I43" s="29" t="n"/>
      <c r="J43" s="29" t="n"/>
      <c r="K43" s="12" t="n"/>
    </row>
    <row r="44" ht="22" customHeight="1">
      <c r="B44" s="16">
        <f>IF(C44="","PAR-"&amp;TEXT(COUNTA($C$5:C44),"000"))</f>
        <v/>
      </c>
      <c r="C44" s="14" t="n"/>
      <c r="D44" s="14" t="n"/>
      <c r="E44" s="14" t="n"/>
      <c r="F44" s="14" t="n"/>
      <c r="G44" s="14" t="n"/>
      <c r="H44" s="14" t="n"/>
      <c r="I44" s="30" t="n"/>
      <c r="J44" s="30" t="n"/>
      <c r="K44" s="14" t="n"/>
    </row>
    <row r="45" ht="22" customHeight="1">
      <c r="B45" s="17">
        <f>IF(C45="","PAR-"&amp;TEXT(COUNTA($C$5:C45),"000"))</f>
        <v/>
      </c>
      <c r="C45" s="12" t="n"/>
      <c r="D45" s="12" t="n"/>
      <c r="E45" s="12" t="n"/>
      <c r="F45" s="12" t="n"/>
      <c r="G45" s="12" t="n"/>
      <c r="H45" s="12" t="n"/>
      <c r="I45" s="29" t="n"/>
      <c r="J45" s="29" t="n"/>
      <c r="K45" s="12" t="n"/>
    </row>
    <row r="46" ht="22" customHeight="1">
      <c r="B46" s="16">
        <f>IF(C46="","PAR-"&amp;TEXT(COUNTA($C$5:C46),"000"))</f>
        <v/>
      </c>
      <c r="C46" s="14" t="n"/>
      <c r="D46" s="14" t="n"/>
      <c r="E46" s="14" t="n"/>
      <c r="F46" s="14" t="n"/>
      <c r="G46" s="14" t="n"/>
      <c r="H46" s="14" t="n"/>
      <c r="I46" s="30" t="n"/>
      <c r="J46" s="30" t="n"/>
      <c r="K46" s="14" t="n"/>
    </row>
    <row r="47" ht="22" customHeight="1">
      <c r="B47" s="17">
        <f>IF(C47="","PAR-"&amp;TEXT(COUNTA($C$5:C47),"000"))</f>
        <v/>
      </c>
      <c r="C47" s="12" t="n"/>
      <c r="D47" s="12" t="n"/>
      <c r="E47" s="12" t="n"/>
      <c r="F47" s="12" t="n"/>
      <c r="G47" s="12" t="n"/>
      <c r="H47" s="12" t="n"/>
      <c r="I47" s="29" t="n"/>
      <c r="J47" s="29" t="n"/>
      <c r="K47" s="12" t="n"/>
    </row>
    <row r="48" ht="22" customHeight="1">
      <c r="B48" s="16">
        <f>IF(C48="","PAR-"&amp;TEXT(COUNTA($C$5:C48),"000"))</f>
        <v/>
      </c>
      <c r="C48" s="14" t="n"/>
      <c r="D48" s="14" t="n"/>
      <c r="E48" s="14" t="n"/>
      <c r="F48" s="14" t="n"/>
      <c r="G48" s="14" t="n"/>
      <c r="H48" s="14" t="n"/>
      <c r="I48" s="30" t="n"/>
      <c r="J48" s="30" t="n"/>
      <c r="K48" s="14" t="n"/>
    </row>
    <row r="49" ht="22" customHeight="1">
      <c r="B49" s="17">
        <f>IF(C49="","PAR-"&amp;TEXT(COUNTA($C$5:C49),"000"))</f>
        <v/>
      </c>
      <c r="C49" s="12" t="n"/>
      <c r="D49" s="12" t="n"/>
      <c r="E49" s="12" t="n"/>
      <c r="F49" s="12" t="n"/>
      <c r="G49" s="12" t="n"/>
      <c r="H49" s="12" t="n"/>
      <c r="I49" s="29" t="n"/>
      <c r="J49" s="29" t="n"/>
      <c r="K49" s="12" t="n"/>
    </row>
    <row r="50" ht="22" customHeight="1">
      <c r="B50" s="16">
        <f>IF(C50="","PAR-"&amp;TEXT(COUNTA($C$5:C50),"000"))</f>
        <v/>
      </c>
      <c r="C50" s="14" t="n"/>
      <c r="D50" s="14" t="n"/>
      <c r="E50" s="14" t="n"/>
      <c r="F50" s="14" t="n"/>
      <c r="G50" s="14" t="n"/>
      <c r="H50" s="14" t="n"/>
      <c r="I50" s="30" t="n"/>
      <c r="J50" s="30" t="n"/>
      <c r="K50" s="14" t="n"/>
    </row>
    <row r="51" ht="22" customHeight="1">
      <c r="B51" s="17">
        <f>IF(C51="","PAR-"&amp;TEXT(COUNTA($C$5:C51),"000"))</f>
        <v/>
      </c>
      <c r="C51" s="12" t="n"/>
      <c r="D51" s="12" t="n"/>
      <c r="E51" s="12" t="n"/>
      <c r="F51" s="12" t="n"/>
      <c r="G51" s="12" t="n"/>
      <c r="H51" s="12" t="n"/>
      <c r="I51" s="29" t="n"/>
      <c r="J51" s="29" t="n"/>
      <c r="K51" s="12" t="n"/>
    </row>
    <row r="52" ht="22" customHeight="1">
      <c r="B52" s="16">
        <f>IF(C52="","PAR-"&amp;TEXT(COUNTA($C$5:C52),"000"))</f>
        <v/>
      </c>
      <c r="C52" s="14" t="n"/>
      <c r="D52" s="14" t="n"/>
      <c r="E52" s="14" t="n"/>
      <c r="F52" s="14" t="n"/>
      <c r="G52" s="14" t="n"/>
      <c r="H52" s="14" t="n"/>
      <c r="I52" s="30" t="n"/>
      <c r="J52" s="30" t="n"/>
      <c r="K52" s="14" t="n"/>
    </row>
    <row r="53" ht="22" customHeight="1">
      <c r="B53" s="17">
        <f>IF(C53="","PAR-"&amp;TEXT(COUNTA($C$5:C53),"000"))</f>
        <v/>
      </c>
      <c r="C53" s="12" t="n"/>
      <c r="D53" s="12" t="n"/>
      <c r="E53" s="12" t="n"/>
      <c r="F53" s="12" t="n"/>
      <c r="G53" s="12" t="n"/>
      <c r="H53" s="12" t="n"/>
      <c r="I53" s="29" t="n"/>
      <c r="J53" s="29" t="n"/>
      <c r="K53" s="12" t="n"/>
    </row>
    <row r="54" ht="22" customHeight="1">
      <c r="B54" s="16">
        <f>IF(C54="","PAR-"&amp;TEXT(COUNTA($C$5:C54),"000"))</f>
        <v/>
      </c>
      <c r="C54" s="14" t="n"/>
      <c r="D54" s="14" t="n"/>
      <c r="E54" s="14" t="n"/>
      <c r="F54" s="14" t="n"/>
      <c r="G54" s="14" t="n"/>
      <c r="H54" s="14" t="n"/>
      <c r="I54" s="30" t="n"/>
      <c r="J54" s="30" t="n"/>
      <c r="K54" s="14" t="n"/>
    </row>
    <row r="55" ht="22" customHeight="1">
      <c r="B55" s="17">
        <f>IF(C55="","PAR-"&amp;TEXT(COUNTA($C$5:C55),"000"))</f>
        <v/>
      </c>
      <c r="C55" s="12" t="n"/>
      <c r="D55" s="12" t="n"/>
      <c r="E55" s="12" t="n"/>
      <c r="F55" s="12" t="n"/>
      <c r="G55" s="12" t="n"/>
      <c r="H55" s="12" t="n"/>
      <c r="I55" s="29" t="n"/>
      <c r="J55" s="29" t="n"/>
      <c r="K55" s="12" t="n"/>
    </row>
    <row r="56" ht="22" customHeight="1">
      <c r="B56" s="16">
        <f>IF(C56="","PAR-"&amp;TEXT(COUNTA($C$5:C56),"000"))</f>
        <v/>
      </c>
      <c r="C56" s="14" t="n"/>
      <c r="D56" s="14" t="n"/>
      <c r="E56" s="14" t="n"/>
      <c r="F56" s="14" t="n"/>
      <c r="G56" s="14" t="n"/>
      <c r="H56" s="14" t="n"/>
      <c r="I56" s="30" t="n"/>
      <c r="J56" s="30" t="n"/>
      <c r="K56" s="14" t="n"/>
    </row>
    <row r="57" ht="22" customHeight="1">
      <c r="B57" s="17">
        <f>IF(C57="","PAR-"&amp;TEXT(COUNTA($C$5:C57),"000"))</f>
        <v/>
      </c>
      <c r="C57" s="12" t="n"/>
      <c r="D57" s="12" t="n"/>
      <c r="E57" s="12" t="n"/>
      <c r="F57" s="12" t="n"/>
      <c r="G57" s="12" t="n"/>
      <c r="H57" s="12" t="n"/>
      <c r="I57" s="29" t="n"/>
      <c r="J57" s="29" t="n"/>
      <c r="K57" s="12" t="n"/>
    </row>
    <row r="58" ht="22" customHeight="1">
      <c r="B58" s="16">
        <f>IF(C58="","PAR-"&amp;TEXT(COUNTA($C$5:C58),"000"))</f>
        <v/>
      </c>
      <c r="C58" s="14" t="n"/>
      <c r="D58" s="14" t="n"/>
      <c r="E58" s="14" t="n"/>
      <c r="F58" s="14" t="n"/>
      <c r="G58" s="14" t="n"/>
      <c r="H58" s="14" t="n"/>
      <c r="I58" s="30" t="n"/>
      <c r="J58" s="30" t="n"/>
      <c r="K58" s="14" t="n"/>
    </row>
    <row r="59" ht="22" customHeight="1">
      <c r="B59" s="17">
        <f>IF(C59="","PAR-"&amp;TEXT(COUNTA($C$5:C59),"000"))</f>
        <v/>
      </c>
      <c r="C59" s="12" t="n"/>
      <c r="D59" s="12" t="n"/>
      <c r="E59" s="12" t="n"/>
      <c r="F59" s="12" t="n"/>
      <c r="G59" s="12" t="n"/>
      <c r="H59" s="12" t="n"/>
      <c r="I59" s="29" t="n"/>
      <c r="J59" s="29" t="n"/>
      <c r="K59" s="12" t="n"/>
    </row>
    <row r="60" ht="22" customHeight="1">
      <c r="B60" s="16">
        <f>IF(C60="","PAR-"&amp;TEXT(COUNTA($C$5:C60),"000"))</f>
        <v/>
      </c>
      <c r="C60" s="14" t="n"/>
      <c r="D60" s="14" t="n"/>
      <c r="E60" s="14" t="n"/>
      <c r="F60" s="14" t="n"/>
      <c r="G60" s="14" t="n"/>
      <c r="H60" s="14" t="n"/>
      <c r="I60" s="30" t="n"/>
      <c r="J60" s="30" t="n"/>
      <c r="K60" s="14" t="n"/>
    </row>
    <row r="61" ht="22" customHeight="1">
      <c r="B61" s="17">
        <f>IF(C61="","PAR-"&amp;TEXT(COUNTA($C$5:C61),"000"))</f>
        <v/>
      </c>
      <c r="C61" s="12" t="n"/>
      <c r="D61" s="12" t="n"/>
      <c r="E61" s="12" t="n"/>
      <c r="F61" s="12" t="n"/>
      <c r="G61" s="12" t="n"/>
      <c r="H61" s="12" t="n"/>
      <c r="I61" s="29" t="n"/>
      <c r="J61" s="29" t="n"/>
      <c r="K61" s="12" t="n"/>
    </row>
    <row r="62" ht="22" customHeight="1">
      <c r="B62" s="16">
        <f>IF(C62="","PAR-"&amp;TEXT(COUNTA($C$5:C62),"000"))</f>
        <v/>
      </c>
      <c r="C62" s="14" t="n"/>
      <c r="D62" s="14" t="n"/>
      <c r="E62" s="14" t="n"/>
      <c r="F62" s="14" t="n"/>
      <c r="G62" s="14" t="n"/>
      <c r="H62" s="14" t="n"/>
      <c r="I62" s="30" t="n"/>
      <c r="J62" s="30" t="n"/>
      <c r="K62" s="14" t="n"/>
    </row>
    <row r="63" ht="22" customHeight="1">
      <c r="B63" s="17">
        <f>IF(C63="","PAR-"&amp;TEXT(COUNTA($C$5:C63),"000"))</f>
        <v/>
      </c>
      <c r="C63" s="12" t="n"/>
      <c r="D63" s="12" t="n"/>
      <c r="E63" s="12" t="n"/>
      <c r="F63" s="12" t="n"/>
      <c r="G63" s="12" t="n"/>
      <c r="H63" s="12" t="n"/>
      <c r="I63" s="29" t="n"/>
      <c r="J63" s="29" t="n"/>
      <c r="K63" s="12" t="n"/>
    </row>
    <row r="64" ht="22" customHeight="1">
      <c r="B64" s="16">
        <f>IF(C64="","PAR-"&amp;TEXT(COUNTA($C$5:C64),"000"))</f>
        <v/>
      </c>
      <c r="C64" s="14" t="n"/>
      <c r="D64" s="14" t="n"/>
      <c r="E64" s="14" t="n"/>
      <c r="F64" s="14" t="n"/>
      <c r="G64" s="14" t="n"/>
      <c r="H64" s="14" t="n"/>
      <c r="I64" s="30" t="n"/>
      <c r="J64" s="30" t="n"/>
      <c r="K64" s="14" t="n"/>
    </row>
    <row r="65" ht="22" customHeight="1">
      <c r="B65" s="17">
        <f>IF(C65="","PAR-"&amp;TEXT(COUNTA($C$5:C65),"000"))</f>
        <v/>
      </c>
      <c r="C65" s="12" t="n"/>
      <c r="D65" s="12" t="n"/>
      <c r="E65" s="12" t="n"/>
      <c r="F65" s="12" t="n"/>
      <c r="G65" s="12" t="n"/>
      <c r="H65" s="12" t="n"/>
      <c r="I65" s="29" t="n"/>
      <c r="J65" s="29" t="n"/>
      <c r="K65" s="12" t="n"/>
    </row>
    <row r="66" ht="22" customHeight="1">
      <c r="B66" s="16">
        <f>IF(C66="","PAR-"&amp;TEXT(COUNTA($C$5:C66),"000"))</f>
        <v/>
      </c>
      <c r="C66" s="14" t="n"/>
      <c r="D66" s="14" t="n"/>
      <c r="E66" s="14" t="n"/>
      <c r="F66" s="14" t="n"/>
      <c r="G66" s="14" t="n"/>
      <c r="H66" s="14" t="n"/>
      <c r="I66" s="30" t="n"/>
      <c r="J66" s="30" t="n"/>
      <c r="K66" s="14" t="n"/>
    </row>
    <row r="67" ht="22" customHeight="1">
      <c r="B67" s="17">
        <f>IF(C67="","PAR-"&amp;TEXT(COUNTA($C$5:C67),"000"))</f>
        <v/>
      </c>
      <c r="C67" s="12" t="n"/>
      <c r="D67" s="12" t="n"/>
      <c r="E67" s="12" t="n"/>
      <c r="F67" s="12" t="n"/>
      <c r="G67" s="12" t="n"/>
      <c r="H67" s="12" t="n"/>
      <c r="I67" s="29" t="n"/>
      <c r="J67" s="29" t="n"/>
      <c r="K67" s="12" t="n"/>
    </row>
    <row r="68" ht="22" customHeight="1">
      <c r="B68" s="16">
        <f>IF(C68="","PAR-"&amp;TEXT(COUNTA($C$5:C68),"000"))</f>
        <v/>
      </c>
      <c r="C68" s="14" t="n"/>
      <c r="D68" s="14" t="n"/>
      <c r="E68" s="14" t="n"/>
      <c r="F68" s="14" t="n"/>
      <c r="G68" s="14" t="n"/>
      <c r="H68" s="14" t="n"/>
      <c r="I68" s="30" t="n"/>
      <c r="J68" s="30" t="n"/>
      <c r="K68" s="14" t="n"/>
    </row>
    <row r="69" ht="22" customHeight="1">
      <c r="B69" s="17">
        <f>IF(C69="","PAR-"&amp;TEXT(COUNTA($C$5:C69),"000"))</f>
        <v/>
      </c>
      <c r="C69" s="12" t="n"/>
      <c r="D69" s="12" t="n"/>
      <c r="E69" s="12" t="n"/>
      <c r="F69" s="12" t="n"/>
      <c r="G69" s="12" t="n"/>
      <c r="H69" s="12" t="n"/>
      <c r="I69" s="29" t="n"/>
      <c r="J69" s="29" t="n"/>
      <c r="K69" s="12" t="n"/>
    </row>
    <row r="70" ht="22" customHeight="1">
      <c r="B70" s="16">
        <f>IF(C70="","PAR-"&amp;TEXT(COUNTA($C$5:C70),"000"))</f>
        <v/>
      </c>
      <c r="C70" s="14" t="n"/>
      <c r="D70" s="14" t="n"/>
      <c r="E70" s="14" t="n"/>
      <c r="F70" s="14" t="n"/>
      <c r="G70" s="14" t="n"/>
      <c r="H70" s="14" t="n"/>
      <c r="I70" s="30" t="n"/>
      <c r="J70" s="30" t="n"/>
      <c r="K70" s="14" t="n"/>
    </row>
    <row r="71" ht="22" customHeight="1">
      <c r="B71" s="17">
        <f>IF(C71="","PAR-"&amp;TEXT(COUNTA($C$5:C71),"000"))</f>
        <v/>
      </c>
      <c r="C71" s="12" t="n"/>
      <c r="D71" s="12" t="n"/>
      <c r="E71" s="12" t="n"/>
      <c r="F71" s="12" t="n"/>
      <c r="G71" s="12" t="n"/>
      <c r="H71" s="12" t="n"/>
      <c r="I71" s="29" t="n"/>
      <c r="J71" s="29" t="n"/>
      <c r="K71" s="12" t="n"/>
    </row>
    <row r="72" ht="22" customHeight="1">
      <c r="B72" s="16">
        <f>IF(C72="","PAR-"&amp;TEXT(COUNTA($C$5:C72),"000"))</f>
        <v/>
      </c>
      <c r="C72" s="14" t="n"/>
      <c r="D72" s="14" t="n"/>
      <c r="E72" s="14" t="n"/>
      <c r="F72" s="14" t="n"/>
      <c r="G72" s="14" t="n"/>
      <c r="H72" s="14" t="n"/>
      <c r="I72" s="30" t="n"/>
      <c r="J72" s="30" t="n"/>
      <c r="K72" s="14" t="n"/>
    </row>
    <row r="73" ht="22" customHeight="1">
      <c r="B73" s="17">
        <f>IF(C73="","PAR-"&amp;TEXT(COUNTA($C$5:C73),"000"))</f>
        <v/>
      </c>
      <c r="C73" s="12" t="n"/>
      <c r="D73" s="12" t="n"/>
      <c r="E73" s="12" t="n"/>
      <c r="F73" s="12" t="n"/>
      <c r="G73" s="12" t="n"/>
      <c r="H73" s="12" t="n"/>
      <c r="I73" s="29" t="n"/>
      <c r="J73" s="29" t="n"/>
      <c r="K73" s="12" t="n"/>
    </row>
    <row r="74" ht="22" customHeight="1">
      <c r="B74" s="16">
        <f>IF(C74="","PAR-"&amp;TEXT(COUNTA($C$5:C74),"000"))</f>
        <v/>
      </c>
      <c r="C74" s="14" t="n"/>
      <c r="D74" s="14" t="n"/>
      <c r="E74" s="14" t="n"/>
      <c r="F74" s="14" t="n"/>
      <c r="G74" s="14" t="n"/>
      <c r="H74" s="14" t="n"/>
      <c r="I74" s="30" t="n"/>
      <c r="J74" s="30" t="n"/>
      <c r="K74" s="14" t="n"/>
    </row>
    <row r="75" ht="22" customHeight="1">
      <c r="B75" s="17">
        <f>IF(C75="","PAR-"&amp;TEXT(COUNTA($C$5:C75),"000"))</f>
        <v/>
      </c>
      <c r="C75" s="12" t="n"/>
      <c r="D75" s="12" t="n"/>
      <c r="E75" s="12" t="n"/>
      <c r="F75" s="12" t="n"/>
      <c r="G75" s="12" t="n"/>
      <c r="H75" s="12" t="n"/>
      <c r="I75" s="29" t="n"/>
      <c r="J75" s="29" t="n"/>
      <c r="K75" s="12" t="n"/>
    </row>
    <row r="76" ht="22" customHeight="1">
      <c r="B76" s="16">
        <f>IF(C76="","PAR-"&amp;TEXT(COUNTA($C$5:C76),"000"))</f>
        <v/>
      </c>
      <c r="C76" s="14" t="n"/>
      <c r="D76" s="14" t="n"/>
      <c r="E76" s="14" t="n"/>
      <c r="F76" s="14" t="n"/>
      <c r="G76" s="14" t="n"/>
      <c r="H76" s="14" t="n"/>
      <c r="I76" s="30" t="n"/>
      <c r="J76" s="30" t="n"/>
      <c r="K76" s="14" t="n"/>
    </row>
    <row r="77" ht="22" customHeight="1">
      <c r="B77" s="17">
        <f>IF(C77="","PAR-"&amp;TEXT(COUNTA($C$5:C77),"000"))</f>
        <v/>
      </c>
      <c r="C77" s="12" t="n"/>
      <c r="D77" s="12" t="n"/>
      <c r="E77" s="12" t="n"/>
      <c r="F77" s="12" t="n"/>
      <c r="G77" s="12" t="n"/>
      <c r="H77" s="12" t="n"/>
      <c r="I77" s="29" t="n"/>
      <c r="J77" s="29" t="n"/>
      <c r="K77" s="12" t="n"/>
    </row>
    <row r="78" ht="22" customHeight="1">
      <c r="B78" s="16">
        <f>IF(C78="","PAR-"&amp;TEXT(COUNTA($C$5:C78),"000"))</f>
        <v/>
      </c>
      <c r="C78" s="14" t="n"/>
      <c r="D78" s="14" t="n"/>
      <c r="E78" s="14" t="n"/>
      <c r="F78" s="14" t="n"/>
      <c r="G78" s="14" t="n"/>
      <c r="H78" s="14" t="n"/>
      <c r="I78" s="30" t="n"/>
      <c r="J78" s="30" t="n"/>
      <c r="K78" s="14" t="n"/>
    </row>
    <row r="79" ht="22" customHeight="1">
      <c r="B79" s="17">
        <f>IF(C79="","PAR-"&amp;TEXT(COUNTA($C$5:C79),"000"))</f>
        <v/>
      </c>
      <c r="C79" s="12" t="n"/>
      <c r="D79" s="12" t="n"/>
      <c r="E79" s="12" t="n"/>
      <c r="F79" s="12" t="n"/>
      <c r="G79" s="12" t="n"/>
      <c r="H79" s="12" t="n"/>
      <c r="I79" s="29" t="n"/>
      <c r="J79" s="29" t="n"/>
      <c r="K79" s="12" t="n"/>
    </row>
    <row r="80" ht="22" customHeight="1">
      <c r="B80" s="16">
        <f>IF(C80="","PAR-"&amp;TEXT(COUNTA($C$5:C80),"000"))</f>
        <v/>
      </c>
      <c r="C80" s="14" t="n"/>
      <c r="D80" s="14" t="n"/>
      <c r="E80" s="14" t="n"/>
      <c r="F80" s="14" t="n"/>
      <c r="G80" s="14" t="n"/>
      <c r="H80" s="14" t="n"/>
      <c r="I80" s="30" t="n"/>
      <c r="J80" s="30" t="n"/>
      <c r="K80" s="14" t="n"/>
    </row>
    <row r="81" ht="22" customHeight="1">
      <c r="B81" s="17">
        <f>IF(C81="","PAR-"&amp;TEXT(COUNTA($C$5:C81),"000"))</f>
        <v/>
      </c>
      <c r="C81" s="12" t="n"/>
      <c r="D81" s="12" t="n"/>
      <c r="E81" s="12" t="n"/>
      <c r="F81" s="12" t="n"/>
      <c r="G81" s="12" t="n"/>
      <c r="H81" s="12" t="n"/>
      <c r="I81" s="29" t="n"/>
      <c r="J81" s="29" t="n"/>
      <c r="K81" s="12" t="n"/>
    </row>
    <row r="82" ht="22" customHeight="1">
      <c r="B82" s="16">
        <f>IF(C82="","PAR-"&amp;TEXT(COUNTA($C$5:C82),"000"))</f>
        <v/>
      </c>
      <c r="C82" s="14" t="n"/>
      <c r="D82" s="14" t="n"/>
      <c r="E82" s="14" t="n"/>
      <c r="F82" s="14" t="n"/>
      <c r="G82" s="14" t="n"/>
      <c r="H82" s="14" t="n"/>
      <c r="I82" s="30" t="n"/>
      <c r="J82" s="30" t="n"/>
      <c r="K82" s="14" t="n"/>
    </row>
    <row r="83" ht="22" customHeight="1">
      <c r="B83" s="17">
        <f>IF(C83="","PAR-"&amp;TEXT(COUNTA($C$5:C83),"000"))</f>
        <v/>
      </c>
      <c r="C83" s="12" t="n"/>
      <c r="D83" s="12" t="n"/>
      <c r="E83" s="12" t="n"/>
      <c r="F83" s="12" t="n"/>
      <c r="G83" s="12" t="n"/>
      <c r="H83" s="12" t="n"/>
      <c r="I83" s="29" t="n"/>
      <c r="J83" s="29" t="n"/>
      <c r="K83" s="12" t="n"/>
    </row>
    <row r="84" ht="22" customHeight="1">
      <c r="B84" s="16">
        <f>IF(C84="","PAR-"&amp;TEXT(COUNTA($C$5:C84),"000"))</f>
        <v/>
      </c>
      <c r="C84" s="14" t="n"/>
      <c r="D84" s="14" t="n"/>
      <c r="E84" s="14" t="n"/>
      <c r="F84" s="14" t="n"/>
      <c r="G84" s="14" t="n"/>
      <c r="H84" s="14" t="n"/>
      <c r="I84" s="30" t="n"/>
      <c r="J84" s="30" t="n"/>
      <c r="K84" s="14" t="n"/>
    </row>
    <row r="85" ht="22" customHeight="1">
      <c r="B85" s="17">
        <f>IF(C85="","PAR-"&amp;TEXT(COUNTA($C$5:C85),"000"))</f>
        <v/>
      </c>
      <c r="C85" s="12" t="n"/>
      <c r="D85" s="12" t="n"/>
      <c r="E85" s="12" t="n"/>
      <c r="F85" s="12" t="n"/>
      <c r="G85" s="12" t="n"/>
      <c r="H85" s="12" t="n"/>
      <c r="I85" s="29" t="n"/>
      <c r="J85" s="29" t="n"/>
      <c r="K85" s="12" t="n"/>
    </row>
    <row r="86" ht="22" customHeight="1">
      <c r="B86" s="16">
        <f>IF(C86="","PAR-"&amp;TEXT(COUNTA($C$5:C86),"000"))</f>
        <v/>
      </c>
      <c r="C86" s="14" t="n"/>
      <c r="D86" s="14" t="n"/>
      <c r="E86" s="14" t="n"/>
      <c r="F86" s="14" t="n"/>
      <c r="G86" s="14" t="n"/>
      <c r="H86" s="14" t="n"/>
      <c r="I86" s="30" t="n"/>
      <c r="J86" s="30" t="n"/>
      <c r="K86" s="14" t="n"/>
    </row>
    <row r="87" ht="22" customHeight="1">
      <c r="B87" s="17">
        <f>IF(C87="","PAR-"&amp;TEXT(COUNTA($C$5:C87),"000"))</f>
        <v/>
      </c>
      <c r="C87" s="12" t="n"/>
      <c r="D87" s="12" t="n"/>
      <c r="E87" s="12" t="n"/>
      <c r="F87" s="12" t="n"/>
      <c r="G87" s="12" t="n"/>
      <c r="H87" s="12" t="n"/>
      <c r="I87" s="29" t="n"/>
      <c r="J87" s="29" t="n"/>
      <c r="K87" s="12" t="n"/>
    </row>
    <row r="88" ht="22" customHeight="1">
      <c r="B88" s="16">
        <f>IF(C88="","PAR-"&amp;TEXT(COUNTA($C$5:C88),"000"))</f>
        <v/>
      </c>
      <c r="C88" s="14" t="n"/>
      <c r="D88" s="14" t="n"/>
      <c r="E88" s="14" t="n"/>
      <c r="F88" s="14" t="n"/>
      <c r="G88" s="14" t="n"/>
      <c r="H88" s="14" t="n"/>
      <c r="I88" s="30" t="n"/>
      <c r="J88" s="30" t="n"/>
      <c r="K88" s="14" t="n"/>
    </row>
    <row r="89" ht="22" customHeight="1">
      <c r="B89" s="17">
        <f>IF(C89="","PAR-"&amp;TEXT(COUNTA($C$5:C89),"000"))</f>
        <v/>
      </c>
      <c r="C89" s="12" t="n"/>
      <c r="D89" s="12" t="n"/>
      <c r="E89" s="12" t="n"/>
      <c r="F89" s="12" t="n"/>
      <c r="G89" s="12" t="n"/>
      <c r="H89" s="12" t="n"/>
      <c r="I89" s="29" t="n"/>
      <c r="J89" s="29" t="n"/>
      <c r="K89" s="12" t="n"/>
    </row>
    <row r="90" ht="22" customHeight="1">
      <c r="B90" s="16">
        <f>IF(C90="","PAR-"&amp;TEXT(COUNTA($C$5:C90),"000"))</f>
        <v/>
      </c>
      <c r="C90" s="14" t="n"/>
      <c r="D90" s="14" t="n"/>
      <c r="E90" s="14" t="n"/>
      <c r="F90" s="14" t="n"/>
      <c r="G90" s="14" t="n"/>
      <c r="H90" s="14" t="n"/>
      <c r="I90" s="30" t="n"/>
      <c r="J90" s="30" t="n"/>
      <c r="K90" s="14" t="n"/>
    </row>
    <row r="91" ht="22" customHeight="1">
      <c r="B91" s="17">
        <f>IF(C91="","PAR-"&amp;TEXT(COUNTA($C$5:C91),"000"))</f>
        <v/>
      </c>
      <c r="C91" s="12" t="n"/>
      <c r="D91" s="12" t="n"/>
      <c r="E91" s="12" t="n"/>
      <c r="F91" s="12" t="n"/>
      <c r="G91" s="12" t="n"/>
      <c r="H91" s="12" t="n"/>
      <c r="I91" s="29" t="n"/>
      <c r="J91" s="29" t="n"/>
      <c r="K91" s="12" t="n"/>
    </row>
    <row r="92" ht="22" customHeight="1">
      <c r="B92" s="16">
        <f>IF(C92="","PAR-"&amp;TEXT(COUNTA($C$5:C92),"000"))</f>
        <v/>
      </c>
      <c r="C92" s="14" t="n"/>
      <c r="D92" s="14" t="n"/>
      <c r="E92" s="14" t="n"/>
      <c r="F92" s="14" t="n"/>
      <c r="G92" s="14" t="n"/>
      <c r="H92" s="14" t="n"/>
      <c r="I92" s="30" t="n"/>
      <c r="J92" s="30" t="n"/>
      <c r="K92" s="14" t="n"/>
    </row>
    <row r="93" ht="22" customHeight="1">
      <c r="B93" s="17">
        <f>IF(C93="","PAR-"&amp;TEXT(COUNTA($C$5:C93),"000"))</f>
        <v/>
      </c>
      <c r="C93" s="12" t="n"/>
      <c r="D93" s="12" t="n"/>
      <c r="E93" s="12" t="n"/>
      <c r="F93" s="12" t="n"/>
      <c r="G93" s="12" t="n"/>
      <c r="H93" s="12" t="n"/>
      <c r="I93" s="29" t="n"/>
      <c r="J93" s="29" t="n"/>
      <c r="K93" s="12" t="n"/>
    </row>
    <row r="94" ht="22" customHeight="1">
      <c r="B94" s="16">
        <f>IF(C94="","PAR-"&amp;TEXT(COUNTA($C$5:C94),"000"))</f>
        <v/>
      </c>
      <c r="C94" s="14" t="n"/>
      <c r="D94" s="14" t="n"/>
      <c r="E94" s="14" t="n"/>
      <c r="F94" s="14" t="n"/>
      <c r="G94" s="14" t="n"/>
      <c r="H94" s="14" t="n"/>
      <c r="I94" s="30" t="n"/>
      <c r="J94" s="30" t="n"/>
      <c r="K94" s="14" t="n"/>
    </row>
    <row r="95" ht="22" customHeight="1">
      <c r="B95" s="17">
        <f>IF(C95="","PAR-"&amp;TEXT(COUNTA($C$5:C95),"000"))</f>
        <v/>
      </c>
      <c r="C95" s="12" t="n"/>
      <c r="D95" s="12" t="n"/>
      <c r="E95" s="12" t="n"/>
      <c r="F95" s="12" t="n"/>
      <c r="G95" s="12" t="n"/>
      <c r="H95" s="12" t="n"/>
      <c r="I95" s="29" t="n"/>
      <c r="J95" s="29" t="n"/>
      <c r="K95" s="12" t="n"/>
    </row>
    <row r="96" ht="22" customHeight="1">
      <c r="B96" s="16">
        <f>IF(C96="","PAR-"&amp;TEXT(COUNTA($C$5:C96),"000"))</f>
        <v/>
      </c>
      <c r="C96" s="14" t="n"/>
      <c r="D96" s="14" t="n"/>
      <c r="E96" s="14" t="n"/>
      <c r="F96" s="14" t="n"/>
      <c r="G96" s="14" t="n"/>
      <c r="H96" s="14" t="n"/>
      <c r="I96" s="30" t="n"/>
      <c r="J96" s="30" t="n"/>
      <c r="K96" s="14" t="n"/>
    </row>
    <row r="97" ht="22" customHeight="1">
      <c r="B97" s="17">
        <f>IF(C97="","PAR-"&amp;TEXT(COUNTA($C$5:C97),"000"))</f>
        <v/>
      </c>
      <c r="C97" s="12" t="n"/>
      <c r="D97" s="12" t="n"/>
      <c r="E97" s="12" t="n"/>
      <c r="F97" s="12" t="n"/>
      <c r="G97" s="12" t="n"/>
      <c r="H97" s="12" t="n"/>
      <c r="I97" s="29" t="n"/>
      <c r="J97" s="29" t="n"/>
      <c r="K97" s="12" t="n"/>
    </row>
    <row r="98" ht="22" customHeight="1">
      <c r="B98" s="16">
        <f>IF(C98="","PAR-"&amp;TEXT(COUNTA($C$5:C98),"000"))</f>
        <v/>
      </c>
      <c r="C98" s="14" t="n"/>
      <c r="D98" s="14" t="n"/>
      <c r="E98" s="14" t="n"/>
      <c r="F98" s="14" t="n"/>
      <c r="G98" s="14" t="n"/>
      <c r="H98" s="14" t="n"/>
      <c r="I98" s="30" t="n"/>
      <c r="J98" s="30" t="n"/>
      <c r="K98" s="14" t="n"/>
    </row>
    <row r="99" ht="22" customHeight="1">
      <c r="B99" s="17">
        <f>IF(C99="","PAR-"&amp;TEXT(COUNTA($C$5:C99),"000"))</f>
        <v/>
      </c>
      <c r="C99" s="12" t="n"/>
      <c r="D99" s="12" t="n"/>
      <c r="E99" s="12" t="n"/>
      <c r="F99" s="12" t="n"/>
      <c r="G99" s="12" t="n"/>
      <c r="H99" s="12" t="n"/>
      <c r="I99" s="29" t="n"/>
      <c r="J99" s="29" t="n"/>
      <c r="K99" s="12" t="n"/>
    </row>
    <row r="100" ht="22" customHeight="1">
      <c r="B100" s="16">
        <f>IF(C100="","PAR-"&amp;TEXT(COUNTA($C$5:C100),"000"))</f>
        <v/>
      </c>
      <c r="C100" s="14" t="n"/>
      <c r="D100" s="14" t="n"/>
      <c r="E100" s="14" t="n"/>
      <c r="F100" s="14" t="n"/>
      <c r="G100" s="14" t="n"/>
      <c r="H100" s="14" t="n"/>
      <c r="I100" s="30" t="n"/>
      <c r="J100" s="30" t="n"/>
      <c r="K100" s="14" t="n"/>
    </row>
    <row r="101" ht="22" customHeight="1">
      <c r="B101" s="17">
        <f>IF(C101="","PAR-"&amp;TEXT(COUNTA($C$5:C101),"000"))</f>
        <v/>
      </c>
      <c r="C101" s="12" t="n"/>
      <c r="D101" s="12" t="n"/>
      <c r="E101" s="12" t="n"/>
      <c r="F101" s="12" t="n"/>
      <c r="G101" s="12" t="n"/>
      <c r="H101" s="12" t="n"/>
      <c r="I101" s="29" t="n"/>
      <c r="J101" s="29" t="n"/>
      <c r="K101" s="12" t="n"/>
    </row>
    <row r="102" ht="22" customHeight="1">
      <c r="B102" s="16">
        <f>IF(C102="","PAR-"&amp;TEXT(COUNTA($C$5:C102),"000"))</f>
        <v/>
      </c>
      <c r="C102" s="14" t="n"/>
      <c r="D102" s="14" t="n"/>
      <c r="E102" s="14" t="n"/>
      <c r="F102" s="14" t="n"/>
      <c r="G102" s="14" t="n"/>
      <c r="H102" s="14" t="n"/>
      <c r="I102" s="30" t="n"/>
      <c r="J102" s="30" t="n"/>
      <c r="K102" s="14" t="n"/>
    </row>
    <row r="103" ht="22" customHeight="1">
      <c r="B103" s="17">
        <f>IF(C103="","PAR-"&amp;TEXT(COUNTA($C$5:C103),"000"))</f>
        <v/>
      </c>
      <c r="C103" s="12" t="n"/>
      <c r="D103" s="12" t="n"/>
      <c r="E103" s="12" t="n"/>
      <c r="F103" s="12" t="n"/>
      <c r="G103" s="12" t="n"/>
      <c r="H103" s="12" t="n"/>
      <c r="I103" s="29" t="n"/>
      <c r="J103" s="29" t="n"/>
      <c r="K103" s="12" t="n"/>
    </row>
    <row r="104" ht="22" customHeight="1">
      <c r="B104" s="16">
        <f>IF(C104="","PAR-"&amp;TEXT(COUNTA($C$5:C104),"000"))</f>
        <v/>
      </c>
      <c r="C104" s="14" t="n"/>
      <c r="D104" s="14" t="n"/>
      <c r="E104" s="14" t="n"/>
      <c r="F104" s="14" t="n"/>
      <c r="G104" s="14" t="n"/>
      <c r="H104" s="14" t="n"/>
      <c r="I104" s="30" t="n"/>
      <c r="J104" s="30" t="n"/>
      <c r="K104" s="14" t="n"/>
    </row>
    <row r="105" ht="22" customHeight="1">
      <c r="B105" s="17">
        <f>IF(C105="","PAR-"&amp;TEXT(COUNTA($C$5:C105),"000"))</f>
        <v/>
      </c>
      <c r="C105" s="12" t="n"/>
      <c r="D105" s="12" t="n"/>
      <c r="E105" s="12" t="n"/>
      <c r="F105" s="12" t="n"/>
      <c r="G105" s="12" t="n"/>
      <c r="H105" s="12" t="n"/>
      <c r="I105" s="29" t="n"/>
      <c r="J105" s="29" t="n"/>
      <c r="K105" s="12" t="n"/>
    </row>
    <row r="106" ht="22" customHeight="1">
      <c r="B106" s="16">
        <f>IF(C106="","PAR-"&amp;TEXT(COUNTA($C$5:C106),"000"))</f>
        <v/>
      </c>
      <c r="C106" s="14" t="n"/>
      <c r="D106" s="14" t="n"/>
      <c r="E106" s="14" t="n"/>
      <c r="F106" s="14" t="n"/>
      <c r="G106" s="14" t="n"/>
      <c r="H106" s="14" t="n"/>
      <c r="I106" s="30" t="n"/>
      <c r="J106" s="30" t="n"/>
      <c r="K106" s="14" t="n"/>
    </row>
    <row r="107" ht="22" customHeight="1">
      <c r="B107" s="17">
        <f>IF(C107="","PAR-"&amp;TEXT(COUNTA($C$5:C107),"000"))</f>
        <v/>
      </c>
      <c r="C107" s="12" t="n"/>
      <c r="D107" s="12" t="n"/>
      <c r="E107" s="12" t="n"/>
      <c r="F107" s="12" t="n"/>
      <c r="G107" s="12" t="n"/>
      <c r="H107" s="12" t="n"/>
      <c r="I107" s="29" t="n"/>
      <c r="J107" s="29" t="n"/>
      <c r="K107" s="12" t="n"/>
    </row>
    <row r="108" ht="22" customHeight="1">
      <c r="B108" s="16">
        <f>IF(C108="","PAR-"&amp;TEXT(COUNTA($C$5:C108),"000"))</f>
        <v/>
      </c>
      <c r="C108" s="14" t="n"/>
      <c r="D108" s="14" t="n"/>
      <c r="E108" s="14" t="n"/>
      <c r="F108" s="14" t="n"/>
      <c r="G108" s="14" t="n"/>
      <c r="H108" s="14" t="n"/>
      <c r="I108" s="30" t="n"/>
      <c r="J108" s="30" t="n"/>
      <c r="K108" s="14" t="n"/>
    </row>
    <row r="109" ht="22" customHeight="1">
      <c r="B109" s="17">
        <f>IF(C109="","PAR-"&amp;TEXT(COUNTA($C$5:C109),"000"))</f>
        <v/>
      </c>
      <c r="C109" s="12" t="n"/>
      <c r="D109" s="12" t="n"/>
      <c r="E109" s="12" t="n"/>
      <c r="F109" s="12" t="n"/>
      <c r="G109" s="12" t="n"/>
      <c r="H109" s="12" t="n"/>
      <c r="I109" s="29" t="n"/>
      <c r="J109" s="29" t="n"/>
      <c r="K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Regles definies</t>
        </is>
      </c>
      <c r="D112" s="3" t="inlineStr">
        <is>
          <t>En vigueur</t>
        </is>
      </c>
    </row>
    <row r="113">
      <c r="B113" s="4">
        <f>COUNTIF(B5:B104,"&lt;&gt;")</f>
        <v/>
      </c>
      <c r="D113" s="4">
        <f>COUNTIF(K5:K104,"En vigueur")</f>
        <v/>
      </c>
    </row>
  </sheetData>
  <mergeCells count="3">
    <mergeCell ref="B111:K111"/>
    <mergeCell ref="B3:K3"/>
    <mergeCell ref="B2:K2"/>
  </mergeCells>
  <conditionalFormatting sqref="K5:K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1">
      <formula>"En attente"</formula>
    </cfRule>
    <cfRule type="cellIs" priority="77" operator="equal" dxfId="1">
      <formula>"A renouveler"</formula>
    </cfRule>
    <cfRule type="cellIs" priority="78" operator="equal" dxfId="1">
      <formula>"En cours"</formula>
    </cfRule>
    <cfRule type="cellIs" priority="79" operator="equal" dxfId="1">
      <formula>"En traitement"</formula>
    </cfRule>
    <cfRule type="cellIs" priority="80" operator="equal" dxfId="1">
      <formula>"En retard"</formula>
    </cfRule>
    <cfRule type="cellIs" priority="81" operator="equal" dxfId="1">
      <formula>"Suspendu"</formula>
    </cfRule>
    <cfRule type="cellIs" priority="82" operator="equal" dxfId="1">
      <formula>"Planifie"</formula>
    </cfRule>
    <cfRule type="cellIs" priority="83" operator="equal" dxfId="1">
      <formula>"Planifiee"</formula>
    </cfRule>
    <cfRule type="cellIs" priority="84" operator="equal" dxfId="1">
      <formula>"Brouillon"</formula>
    </cfRule>
    <cfRule type="cellIs" priority="85" operator="equal" dxfId="1">
      <formula>"En attente de justification"</formula>
    </cfRule>
    <cfRule type="cellIs" priority="86" operator="equal" dxfId="1">
      <formula>"Tolere"</formula>
    </cfRule>
    <cfRule type="cellIs" priority="87" operator="equal" dxfId="1">
      <formula>"Variable"</formula>
    </cfRule>
    <cfRule type="cellIs" priority="88" operator="equal" dxfId="1">
      <formula>"En elaboration"</formula>
    </cfRule>
    <cfRule type="cellIs" priority="89" operator="equal" dxfId="1">
      <formula>"Provisionne"</formula>
    </cfRule>
    <cfRule type="cellIs" priority="90" operator="equal" dxfId="1">
      <formula>"Consomme partiel"</formula>
    </cfRule>
    <cfRule type="cellIs" priority="91" operator="equal" dxfId="1">
      <formula>"Identifie"</formula>
    </cfRule>
    <cfRule type="cellIs" priority="92" operator="equal" dxfId="1">
      <formula>"Priorise"</formula>
    </cfRule>
    <cfRule type="cellIs" priority="93" operator="equal" dxfId="1">
      <formula>"Intermediaire"</formula>
    </cfRule>
    <cfRule type="cellIs" priority="94" operator="equal" dxfId="1">
      <formula>"Non evalue"</formula>
    </cfRule>
    <cfRule type="cellIs" priority="95" operator="equal" dxfId="1">
      <formula>"En cours de realisation"</formula>
    </cfRule>
    <cfRule type="cellIs" priority="96" operator="equal" dxfId="1">
      <formula>"Non demarre"</formula>
    </cfRule>
    <cfRule type="cellIs" priority="97" operator="equal" dxfId="1">
      <formula>"En attente N+1"</formula>
    </cfRule>
    <cfRule type="cellIs" priority="98" operator="equal" dxfId="1">
      <formula>"Prolongation essai"</formula>
    </cfRule>
    <cfRule type="cellIs" priority="99" operator="equal" dxfId="1">
      <formula>"En attente validation"</formula>
    </cfRule>
    <cfRule type="cellIs" priority="100" operator="equal" dxfId="1">
      <formula>"Bon"</formula>
    </cfRule>
    <cfRule type="cellIs" priority="101" operator="equal" dxfId="1">
      <formula>"D - Moyen"</formula>
    </cfRule>
    <cfRule type="cellIs" priority="102" operator="equal" dxfId="1">
      <formula>"En cours de repres."</formula>
    </cfRule>
    <cfRule type="cellIs" priority="103" operator="equal" dxfId="1">
      <formula>"En negociation"</formula>
    </cfRule>
    <cfRule type="cellIs" priority="104" operator="equal" dxfId="1">
      <formula>"En preparation"</formula>
    </cfRule>
    <cfRule type="cellIs" priority="105" operator="equal" dxfId="1">
      <formula>"En cours d'instruction"</formula>
    </cfRule>
    <cfRule type="cellIs" priority="106" operator="equal" dxfId="1">
      <formula>"Transferee N+1"</formula>
    </cfRule>
    <cfRule type="cellIs" priority="107" operator="equal" dxfId="1">
      <formula>"En attente reponse"</formula>
    </cfRule>
    <cfRule type="cellIs" priority="108" operator="equal" dxfId="1">
      <formula>"Enquete ouverte"</formula>
    </cfRule>
    <cfRule type="cellIs" priority="109" operator="equal" dxfId="1">
      <formula>"Convocation envoyee"</formula>
    </cfRule>
    <cfRule type="cellIs" priority="110" operator="equal" dxfId="1">
      <formula>"Entretien realise"</formula>
    </cfRule>
    <cfRule type="cellIs" priority="111" operator="equal" dxfId="1">
      <formula>"Saisie"</formula>
    </cfRule>
    <cfRule type="cellIs" priority="112" operator="equal" dxfId="1">
      <formula>"En mediation"</formula>
    </cfRule>
    <cfRule type="cellIs" priority="113" operator="equal" dxfId="1">
      <formula>"En recours"</formula>
    </cfRule>
    <cfRule type="cellIs" priority="114" operator="equal" dxfId="1">
      <formula>"Reportee"</formula>
    </cfRule>
    <cfRule type="cellIs" priority="115" operator="equal" dxfId="1">
      <formula>"Reporte"</formula>
    </cfRule>
    <cfRule type="cellIs" priority="116" operator="equal" dxfId="1">
      <formula>"Signale"</formula>
    </cfRule>
    <cfRule type="cellIs" priority="117" operator="equal" dxfId="1">
      <formula>"Precontentieux"</formula>
    </cfRule>
    <cfRule type="cellIs" priority="118" operator="equal" dxfId="1">
      <formula>"En attente election"</formula>
    </cfRule>
    <cfRule type="cellIs" priority="119" operator="equal" dxfId="1">
      <formula>"Classe"</formula>
    </cfRule>
    <cfRule type="cellIs" priority="120" operator="equal" dxfId="1">
      <formula>"En cours d'evaluation"</formula>
    </cfRule>
    <cfRule type="cellIs" priority="121" operator="equal" dxfId="1">
      <formula>"En cours d'enquete"</formula>
    </cfRule>
    <cfRule type="cellIs" priority="122" operator="equal" dxfId="1">
      <formula>"En cours de commande"</formula>
    </cfRule>
    <cfRule type="cellIs" priority="123" operator="equal" dxfId="1">
      <formula>"A revoir"</formula>
    </cfRule>
    <cfRule type="cellIs" priority="124" operator="equal" dxfId="1">
      <formula>"A remplacer"</formula>
    </cfRule>
    <cfRule type="cellIs" priority="125" operator="equal" dxfId="1">
      <formula>"En cours d'instruction CNPS"</formula>
    </cfRule>
    <cfRule type="cellIs" priority="126" operator="equal" dxfId="1">
      <formula>"En contestation"</formula>
    </cfRule>
    <cfRule type="cellIs" priority="127" operator="equal" dxfId="1">
      <formula>"Inapte temporaire"</formula>
    </cfRule>
    <cfRule type="cellIs" priority="128" operator="equal" dxfId="1">
      <formula>"Candidat identifie"</formula>
    </cfRule>
    <cfRule type="cellIs" priority="129" operator="equal" dxfId="1">
      <formula>"En formation"</formula>
    </cfRule>
    <cfRule type="cellIs" priority="130" operator="equal" dxfId="1">
      <formula>"En evaluation"</formula>
    </cfRule>
    <cfRule type="cellIs" priority="131" operator="equal" dxfId="1">
      <formula>"En transit"</formula>
    </cfRule>
    <cfRule type="cellIs" priority="132" operator="equal" dxfId="1">
      <formula>"En attente visa"</formula>
    </cfRule>
    <cfRule type="cellIs" priority="133" operator="equal" dxfId="1">
      <formula>"Proposee"</formula>
    </cfRule>
    <cfRule type="cellIs" priority="134" operator="equal" dxfId="1">
      <formula>"En cours d'acquisition"</formula>
    </cfRule>
    <cfRule type="cellIs" priority="135" operator="equal" dxfId="1">
      <formula>"A developper"</formula>
    </cfRule>
    <cfRule type="cellIs" priority="136" operator="equal" dxfId="1">
      <formula>"A renforcer"</formula>
    </cfRule>
    <cfRule type="cellIs" priority="137" operator="equal" dxfId="1">
      <formula>"En cours"</formula>
    </cfRule>
    <cfRule type="cellIs" priority="138" operator="equal" dxfId="1">
      <formula>"Partiellement conforme"</formula>
    </cfRule>
    <cfRule type="cellIs" priority="139" operator="equal" dxfId="1">
      <formula>"En mise en conformite"</formula>
    </cfRule>
    <cfRule type="cellIs" priority="140" operator="equal" dxfId="1">
      <formula>"En revision"</formula>
    </cfRule>
    <cfRule type="cellIs" priority="141" operator="equal" dxfId="1">
      <formula>"A approuver"</formula>
    </cfRule>
    <cfRule type="cellIs" priority="142" operator="equal" dxfId="1">
      <formula>"En conciliation"</formula>
    </cfRule>
    <cfRule type="cellIs" priority="143" operator="equal" dxfId="1">
      <formula>"Assigne tribunal"</formula>
    </cfRule>
    <cfRule type="cellIs" priority="144" operator="equal" dxfId="1">
      <formula>"En cours de preparation"</formula>
    </cfRule>
    <cfRule type="cellIs" priority="145" operator="equal" dxfId="1">
      <formula>"Non effectuee"</formula>
    </cfRule>
    <cfRule type="cellIs" priority="146" operator="equal" dxfId="1">
      <formula>"A archiver"</formula>
    </cfRule>
    <cfRule type="cellIs" priority="147" operator="equal" dxfId="1">
      <formula>"En cours de constitution"</formula>
    </cfRule>
    <cfRule type="cellIs" priority="148" operator="equal" dxfId="1">
      <formula>"A mettre a jour"</formula>
    </cfRule>
    <cfRule type="cellIs" priority="149" operator="equal" dxfId="1">
      <formula>"En restoration"</formula>
    </cfRule>
    <cfRule type="cellIs" priority="150" operator="equal" dxfId="1">
      <formula>"En cours de restauration"</formula>
    </cfRule>
    <cfRule type="cellIs" priority="151" operator="equal" dxfId="1">
      <formula>"A determiner"</formula>
    </cfRule>
    <cfRule type="cellIs" priority="152" operator="equal" dxfId="1">
      <formula>"En revision"</formula>
    </cfRule>
    <cfRule type="cellIs" priority="153" operator="equal" dxfId="1">
      <formula>"Obsolete"</formula>
    </cfRule>
    <cfRule type="cellIs" priority="154" operator="equal" dxfId="1">
      <formula>"Hybride (papier + numerique)"</formula>
    </cfRule>
    <cfRule type="cellIs" priority="155" operator="equal" dxfId="2">
      <formula>"Expire"</formula>
    </cfRule>
    <cfRule type="cellIs" priority="156" operator="equal" dxfId="2">
      <formula>"Rejete"</formula>
    </cfRule>
    <cfRule type="cellIs" priority="157" operator="equal" dxfId="2">
      <formula>"Rejetee"</formula>
    </cfRule>
    <cfRule type="cellIs" priority="158" operator="equal" dxfId="2">
      <formula>"Resilie"</formula>
    </cfRule>
    <cfRule type="cellIs" priority="159" operator="equal" dxfId="2">
      <formula>"Annule"</formula>
    </cfRule>
    <cfRule type="cellIs" priority="160" operator="equal" dxfId="2">
      <formula>"Annulee"</formula>
    </cfRule>
    <cfRule type="cellIs" priority="161" operator="equal" dxfId="2">
      <formula>"Refuse"</formula>
    </cfRule>
    <cfRule type="cellIs" priority="162" operator="equal" dxfId="2">
      <formula>"Non justifie"</formula>
    </cfRule>
    <cfRule type="cellIs" priority="163" operator="equal" dxfId="2">
      <formula>"Non justifiee"</formula>
    </cfRule>
    <cfRule type="cellIs" priority="164" operator="equal" dxfId="2">
      <formula>"Sanctionne"</formula>
    </cfRule>
    <cfRule type="cellIs" priority="165" operator="equal" dxfId="2">
      <formula>"Inaptitude"</formula>
    </cfRule>
    <cfRule type="cellIs" priority="166" operator="equal" dxfId="2">
      <formula>"Absent sans autorisation"</formula>
    </cfRule>
    <cfRule type="cellIs" priority="167" operator="equal" dxfId="2">
      <formula>"Abandon de poste"</formula>
    </cfRule>
    <cfRule type="cellIs" priority="168" operator="equal" dxfId="2">
      <formula>"Non satisfait"</formula>
    </cfRule>
    <cfRule type="cellIs" priority="169" operator="equal" dxfId="2">
      <formula>"Depasse"</formula>
    </cfRule>
    <cfRule type="cellIs" priority="170" operator="equal" dxfId="2">
      <formula>"Non utilise"</formula>
    </cfRule>
    <cfRule type="cellIs" priority="171" operator="equal" dxfId="2">
      <formula>"Non applicable"</formula>
    </cfRule>
    <cfRule type="cellIs" priority="172" operator="equal" dxfId="2">
      <formula>"Debutant"</formula>
    </cfRule>
    <cfRule type="cellIs" priority="173" operator="equal" dxfId="2">
      <formula>"Non atteint"</formula>
    </cfRule>
    <cfRule type="cellIs" priority="174" operator="equal" dxfId="2">
      <formula>"Abandonne"</formula>
    </cfRule>
    <cfRule type="cellIs" priority="175" operator="equal" dxfId="2">
      <formula>"Rupture essai"</formula>
    </cfRule>
    <cfRule type="cellIs" priority="176" operator="equal" dxfId="2">
      <formula>"Insuffisant"</formula>
    </cfRule>
    <cfRule type="cellIs" priority="177" operator="equal" dxfId="2">
      <formula>"Moyen"</formula>
    </cfRule>
    <cfRule type="cellIs" priority="178" operator="equal" dxfId="2">
      <formula>"E - Insuffisant"</formula>
    </cfRule>
    <cfRule type="cellIs" priority="179" operator="equal" dxfId="2">
      <formula>"Dissous"</formula>
    </cfRule>
    <cfRule type="cellIs" priority="180" operator="equal" dxfId="2">
      <formula>"Denonce"</formula>
    </cfRule>
    <cfRule type="cellIs" priority="181" operator="equal" dxfId="2">
      <formula>"Echoue"</formula>
    </cfRule>
    <cfRule type="cellIs" priority="182" operator="equal" dxfId="2">
      <formula>"Echouee"</formula>
    </cfRule>
    <cfRule type="cellIs" priority="183" operator="equal" dxfId="2">
      <formula>"Revoque"</formula>
    </cfRule>
    <cfRule type="cellIs" priority="184" operator="equal" dxfId="2">
      <formula>"Demissionnaire"</formula>
    </cfRule>
    <cfRule type="cellIs" priority="185" operator="equal" dxfId="2">
      <formula>"Licenciement pour faute"</formula>
    </cfRule>
    <cfRule type="cellIs" priority="186" operator="equal" dxfId="2">
      <formula>"Licenciement pour faute grave"</formula>
    </cfRule>
    <cfRule type="cellIs" priority="187" operator="equal" dxfId="2">
      <formula>"Terminee - Echec"</formula>
    </cfRule>
    <cfRule type="cellIs" priority="188" operator="equal" dxfId="2">
      <formula>"Abandonnee"</formula>
    </cfRule>
    <cfRule type="cellIs" priority="189" operator="equal" dxfId="2">
      <formula>"Violence physique"</formula>
    </cfRule>
    <cfRule type="cellIs" priority="190" operator="equal" dxfId="2">
      <formula>"Violence verbale"</formula>
    </cfRule>
    <cfRule type="cellIs" priority="191" operator="equal" dxfId="2">
      <formula>"Fatal"</formula>
    </cfRule>
    <cfRule type="cellIs" priority="192" operator="equal" dxfId="2">
      <formula>"Non reconnue"</formula>
    </cfRule>
    <cfRule type="cellIs" priority="193" operator="equal" dxfId="2">
      <formula>"Inapte definitif"</formula>
    </cfRule>
    <cfRule type="cellIs" priority="194" operator="equal" dxfId="2">
      <formula>"Perdu / vole"</formula>
    </cfRule>
    <cfRule type="cellIs" priority="195" operator="equal" dxfId="2">
      <formula>"Rebute"</formula>
    </cfRule>
    <cfRule type="cellIs" priority="196" operator="equal" dxfId="2">
      <formula>"Obsolette"</formula>
    </cfRule>
    <cfRule type="cellIs" priority="197" operator="equal" dxfId="2">
      <formula>"Conteste"</formula>
    </cfRule>
    <cfRule type="cellIs" priority="198" operator="equal" dxfId="2">
      <formula>"Refusee"</formula>
    </cfRule>
    <cfRule type="cellIs" priority="199" operator="equal" dxfId="2">
      <formula>"Non retenu"</formula>
    </cfRule>
    <cfRule type="cellIs" priority="200" operator="equal" dxfId="2">
      <formula>"Non acquis"</formula>
    </cfRule>
    <cfRule type="cellIs" priority="201" operator="equal" dxfId="2">
      <formula>"Contrat termine"</formula>
    </cfRule>
    <cfRule type="cellIs" priority="202" operator="equal" dxfId="2">
      <formula>"Rapatrie"</formula>
    </cfRule>
    <cfRule type="cellIs" priority="203" operator="equal" dxfId="2">
      <formula>"Non conforme"</formula>
    </cfRule>
    <cfRule type="cellIs" priority="204" operator="equal" dxfId="2">
      <formula>"Abandonne"</formula>
    </cfRule>
    <cfRule type="cellIs" priority="205" operator="equal" dxfId="2">
      <formula>"Perdu"</formula>
    </cfRule>
    <cfRule type="cellIs" priority="206" operator="equal" dxfId="2">
      <formula>"Resilie"</formula>
    </cfRule>
    <cfRule type="cellIs" priority="207" operator="equal" dxfId="2">
      <formula>"Expire"</formula>
    </cfRule>
    <cfRule type="cellIs" priority="208" operator="equal" dxfId="2">
      <formula>"Incomplet"</formula>
    </cfRule>
    <cfRule type="cellIs" priority="209" operator="equal" dxfId="2">
      <formula>"Non restitue"</formula>
    </cfRule>
    <cfRule type="cellIs" priority="210" operator="equal" dxfId="2">
      <formula>"Perdu"</formula>
    </cfRule>
    <cfRule type="cellIs" priority="211" operator="equal" dxfId="2">
      <formula>"Secret"</formula>
    </cfRule>
  </conditionalFormatting>
  <conditionalFormatting sqref="B10:B109">
    <cfRule type="expression" priority="212" dxfId="3">
      <formula>AND($C10="",$C9&lt;&gt;"")</formula>
    </cfRule>
  </conditionalFormatting>
  <conditionalFormatting sqref="C10:C109">
    <cfRule type="expression" priority="213" dxfId="3">
      <formula>AND($C10="",$C9&lt;&gt;"")</formula>
    </cfRule>
  </conditionalFormatting>
  <conditionalFormatting sqref="D10:D109">
    <cfRule type="expression" priority="214" dxfId="3">
      <formula>AND($C10="",$C9&lt;&gt;"")</formula>
    </cfRule>
  </conditionalFormatting>
  <conditionalFormatting sqref="E10:E109">
    <cfRule type="expression" priority="215" dxfId="3">
      <formula>AND($C10="",$C9&lt;&gt;"")</formula>
    </cfRule>
  </conditionalFormatting>
  <conditionalFormatting sqref="F10:F109">
    <cfRule type="expression" priority="216" dxfId="3">
      <formula>AND($C10="",$C9&lt;&gt;"")</formula>
    </cfRule>
  </conditionalFormatting>
  <conditionalFormatting sqref="G10:G109">
    <cfRule type="expression" priority="217" dxfId="3">
      <formula>AND($C10="",$C9&lt;&gt;"")</formula>
    </cfRule>
  </conditionalFormatting>
  <conditionalFormatting sqref="H10:H109">
    <cfRule type="expression" priority="218" dxfId="3">
      <formula>AND($C10="",$C9&lt;&gt;"")</formula>
    </cfRule>
  </conditionalFormatting>
  <conditionalFormatting sqref="I10:I109">
    <cfRule type="expression" priority="219" dxfId="3">
      <formula>AND($C10="",$C9&lt;&gt;"")</formula>
    </cfRule>
  </conditionalFormatting>
  <conditionalFormatting sqref="J10:J109">
    <cfRule type="expression" priority="220" dxfId="3">
      <formula>AND($C10="",$C9&lt;&gt;"")</formula>
    </cfRule>
  </conditionalFormatting>
  <conditionalFormatting sqref="K10:K109">
    <cfRule type="expression" priority="221" dxfId="3">
      <formula>AND($C10="",$C9&lt;&gt;"")</formula>
    </cfRule>
  </conditionalFormatting>
  <dataValidations count="4">
    <dataValidation sqref="D5:D109" showDropDown="0" showInputMessage="0" showErrorMessage="0" allowBlank="1" errorTitle="Erreur" error="Valeur invalide" promptTitle="Liste" prompt="Choisir dans la liste" type="list">
      <formula1>'_Lists'!$D$2:$D$21</formula1>
    </dataValidation>
    <dataValidation sqref="E5:E109" showDropDown="0" showInputMessage="0" showErrorMessage="0" allowBlank="1" errorTitle="Erreur" error="Valeur invalide" promptTitle="Liste" prompt="Choisir dans la liste" type="list">
      <formula1>'_Lists'!$H$2:$H$10</formula1>
    </dataValidation>
    <dataValidation sqref="F5:F109" showDropDown="0" showInputMessage="0" showErrorMessage="0" allowBlank="1" errorTitle="Erreur" error="Valeur invalide" promptTitle="Liste" prompt="Choisir dans la liste" type="list">
      <formula1>'_Lists'!$E$2:$E$9</formula1>
    </dataValidation>
    <dataValidation sqref="K5:K109" showDropDown="0" showInputMessage="0" showErrorMessage="0" allowBlank="1" errorTitle="Erreur" error="Valeur invalide" promptTitle="Liste" prompt="Choisir dans la liste" type="list">
      <formula1>'_Lists'!$O$2:$O$6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2" customWidth="1" min="3" max="3"/>
    <col width="18" customWidth="1" min="4" max="4"/>
    <col width="24" customWidth="1" min="5" max="5"/>
    <col width="44" customWidth="1" min="6" max="6"/>
    <col width="20" customWidth="1" min="7" max="7"/>
    <col width="16" customWidth="1" min="8" max="8"/>
    <col width="16" customWidth="1" min="9" max="9"/>
    <col width="22" customWidth="1" min="10" max="10"/>
    <col width="14" customWidth="1" min="11" max="11"/>
  </cols>
  <sheetData>
    <row r="1" ht="15" customHeight="1"/>
    <row r="2" ht="32" customHeight="1">
      <c r="B2" s="1" t="inlineStr">
        <is>
          <t>SUIVI DOSSIERS INCOMPLETS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Employe</t>
        </is>
      </c>
      <c r="D4" s="11" t="inlineStr">
        <is>
          <t>Poste</t>
        </is>
      </c>
      <c r="E4" s="11" t="inlineStr">
        <is>
          <t>Departement</t>
        </is>
      </c>
      <c r="F4" s="11" t="inlineStr">
        <is>
          <t>Pieces Manquantes</t>
        </is>
      </c>
      <c r="G4" s="11" t="inlineStr">
        <is>
          <t>Nb Pieces Manquantes</t>
        </is>
      </c>
      <c r="H4" s="11" t="inlineStr">
        <is>
          <t>Date Detection</t>
        </is>
      </c>
      <c r="I4" s="11" t="inlineStr">
        <is>
          <t>Relance Effectuee</t>
        </is>
      </c>
      <c r="J4" s="11" t="inlineStr">
        <is>
          <t>Echeance Regularisation</t>
        </is>
      </c>
      <c r="K4" s="11" t="inlineStr">
        <is>
          <t>Statut</t>
        </is>
      </c>
    </row>
    <row r="5" ht="22" customHeight="1">
      <c r="B5" s="12" t="inlineStr">
        <is>
          <t>SDI-001</t>
        </is>
      </c>
      <c r="C5" s="12" t="inlineStr">
        <is>
          <t>Kamga Patrice</t>
        </is>
      </c>
      <c r="D5" s="12" t="inlineStr">
        <is>
          <t>Receptionniste</t>
        </is>
      </c>
      <c r="E5" s="12" t="inlineStr">
        <is>
          <t>Réception &amp; Front Office</t>
        </is>
      </c>
      <c r="F5" s="12" t="inlineStr">
        <is>
          <t>Extrait casier judiciaire, Certificat travail precedent</t>
        </is>
      </c>
      <c r="G5" s="18" t="n">
        <v>2</v>
      </c>
      <c r="H5" s="29" t="n">
        <v>45792</v>
      </c>
      <c r="I5" s="12" t="inlineStr">
        <is>
          <t>Oui</t>
        </is>
      </c>
      <c r="J5" s="29" t="n">
        <v>45853</v>
      </c>
      <c r="K5" s="12" t="inlineStr">
        <is>
          <t>En cours</t>
        </is>
      </c>
    </row>
    <row r="6" ht="22" customHeight="1">
      <c r="B6" s="14" t="inlineStr">
        <is>
          <t>SDI-002</t>
        </is>
      </c>
      <c r="C6" s="14" t="inlineStr">
        <is>
          <t>Fouda M.</t>
        </is>
      </c>
      <c r="D6" s="14" t="inlineStr">
        <is>
          <t>Cuisinier</t>
        </is>
      </c>
      <c r="E6" s="14" t="inlineStr">
        <is>
          <t>Cuisine &amp; Restauration</t>
        </is>
      </c>
      <c r="F6" s="14" t="inlineStr">
        <is>
          <t>Certificat HACCP niveau 2, Photo d'identite</t>
        </is>
      </c>
      <c r="G6" s="19" t="n">
        <v>2</v>
      </c>
      <c r="H6" s="30" t="n">
        <v>45767</v>
      </c>
      <c r="I6" s="14" t="inlineStr">
        <is>
          <t>Oui</t>
        </is>
      </c>
      <c r="J6" s="30" t="n">
        <v>45828</v>
      </c>
      <c r="K6" s="14" t="inlineStr">
        <is>
          <t>En retard</t>
        </is>
      </c>
    </row>
    <row r="7" ht="22" customHeight="1">
      <c r="B7" s="12" t="inlineStr">
        <is>
          <t>SDI-003</t>
        </is>
      </c>
      <c r="C7" s="12" t="inlineStr">
        <is>
          <t>Nganou D.</t>
        </is>
      </c>
      <c r="D7" s="12" t="inlineStr">
        <is>
          <t>Receptionniste</t>
        </is>
      </c>
      <c r="E7" s="12" t="inlineStr">
        <is>
          <t>Réception &amp; Front Office</t>
        </is>
      </c>
      <c r="F7" s="12" t="inlineStr">
        <is>
          <t>Copie CNI, Formulaire CNPS</t>
        </is>
      </c>
      <c r="G7" s="18" t="n">
        <v>2</v>
      </c>
      <c r="H7" s="29" t="n">
        <v>45778</v>
      </c>
      <c r="I7" s="12" t="inlineStr">
        <is>
          <t>Oui</t>
        </is>
      </c>
      <c r="J7" s="29" t="n">
        <v>45839</v>
      </c>
      <c r="K7" s="12" t="inlineStr">
        <is>
          <t>En cours</t>
        </is>
      </c>
    </row>
    <row r="8" ht="22" customHeight="1">
      <c r="B8" s="14" t="inlineStr">
        <is>
          <t>SDI-004</t>
        </is>
      </c>
      <c r="C8" s="14" t="inlineStr">
        <is>
          <t>Bekolo A.</t>
        </is>
      </c>
      <c r="D8" s="14" t="inlineStr">
        <is>
          <t>Agent Entretien</t>
        </is>
      </c>
      <c r="E8" s="14" t="inlineStr">
        <is>
          <t>Maintenance</t>
        </is>
      </c>
      <c r="F8" s="14" t="inlineStr">
        <is>
          <t>Attestation de travail, Certificat scolaire</t>
        </is>
      </c>
      <c r="G8" s="19" t="n">
        <v>2</v>
      </c>
      <c r="H8" s="30" t="n">
        <v>45809</v>
      </c>
      <c r="I8" s="14" t="inlineStr">
        <is>
          <t>Non</t>
        </is>
      </c>
      <c r="J8" s="30" t="n">
        <v>45870</v>
      </c>
      <c r="K8" s="14" t="inlineStr">
        <is>
          <t>En cours</t>
        </is>
      </c>
    </row>
    <row r="9" ht="22" customHeight="1">
      <c r="B9" s="17">
        <f>IF(C9="","SDI-"&amp;TEXT(COUNTA($C$5:C9),"000"))</f>
        <v/>
      </c>
      <c r="C9" s="12" t="n"/>
      <c r="D9" s="12" t="n"/>
      <c r="E9" s="12" t="n"/>
      <c r="F9" s="12" t="n"/>
      <c r="G9" s="18" t="n"/>
      <c r="H9" s="29" t="n"/>
      <c r="I9" s="12" t="n"/>
      <c r="J9" s="29" t="n"/>
      <c r="K9" s="12" t="n"/>
    </row>
    <row r="10" ht="22" customHeight="1">
      <c r="B10" s="16">
        <f>IF(C10="","SDI-"&amp;TEXT(COUNTA($C$5:C10),"000"))</f>
        <v/>
      </c>
      <c r="C10" s="14" t="n"/>
      <c r="D10" s="14" t="n"/>
      <c r="E10" s="14" t="n"/>
      <c r="F10" s="14" t="n"/>
      <c r="G10" s="19" t="n"/>
      <c r="H10" s="30" t="n"/>
      <c r="I10" s="14" t="n"/>
      <c r="J10" s="30" t="n"/>
      <c r="K10" s="14" t="n"/>
    </row>
    <row r="11" ht="22" customHeight="1">
      <c r="B11" s="17">
        <f>IF(C11="","SDI-"&amp;TEXT(COUNTA($C$5:C11),"000"))</f>
        <v/>
      </c>
      <c r="C11" s="12" t="n"/>
      <c r="D11" s="12" t="n"/>
      <c r="E11" s="12" t="n"/>
      <c r="F11" s="12" t="n"/>
      <c r="G11" s="18" t="n"/>
      <c r="H11" s="29" t="n"/>
      <c r="I11" s="12" t="n"/>
      <c r="J11" s="29" t="n"/>
      <c r="K11" s="12" t="n"/>
    </row>
    <row r="12" ht="22" customHeight="1">
      <c r="B12" s="16">
        <f>IF(C12="","SDI-"&amp;TEXT(COUNTA($C$5:C12),"000"))</f>
        <v/>
      </c>
      <c r="C12" s="14" t="n"/>
      <c r="D12" s="14" t="n"/>
      <c r="E12" s="14" t="n"/>
      <c r="F12" s="14" t="n"/>
      <c r="G12" s="19" t="n"/>
      <c r="H12" s="30" t="n"/>
      <c r="I12" s="14" t="n"/>
      <c r="J12" s="30" t="n"/>
      <c r="K12" s="14" t="n"/>
    </row>
    <row r="13" ht="22" customHeight="1">
      <c r="B13" s="17">
        <f>IF(C13="","SDI-"&amp;TEXT(COUNTA($C$5:C13),"000"))</f>
        <v/>
      </c>
      <c r="C13" s="12" t="n"/>
      <c r="D13" s="12" t="n"/>
      <c r="E13" s="12" t="n"/>
      <c r="F13" s="12" t="n"/>
      <c r="G13" s="18" t="n"/>
      <c r="H13" s="29" t="n"/>
      <c r="I13" s="12" t="n"/>
      <c r="J13" s="29" t="n"/>
      <c r="K13" s="12" t="n"/>
    </row>
    <row r="14" ht="22" customHeight="1">
      <c r="B14" s="16">
        <f>IF(C14="","SDI-"&amp;TEXT(COUNTA($C$5:C14),"000"))</f>
        <v/>
      </c>
      <c r="C14" s="14" t="n"/>
      <c r="D14" s="14" t="n"/>
      <c r="E14" s="14" t="n"/>
      <c r="F14" s="14" t="n"/>
      <c r="G14" s="19" t="n"/>
      <c r="H14" s="30" t="n"/>
      <c r="I14" s="14" t="n"/>
      <c r="J14" s="30" t="n"/>
      <c r="K14" s="14" t="n"/>
    </row>
    <row r="15" ht="22" customHeight="1">
      <c r="B15" s="17">
        <f>IF(C15="","SDI-"&amp;TEXT(COUNTA($C$5:C15),"000"))</f>
        <v/>
      </c>
      <c r="C15" s="12" t="n"/>
      <c r="D15" s="12" t="n"/>
      <c r="E15" s="12" t="n"/>
      <c r="F15" s="12" t="n"/>
      <c r="G15" s="18" t="n"/>
      <c r="H15" s="29" t="n"/>
      <c r="I15" s="12" t="n"/>
      <c r="J15" s="29" t="n"/>
      <c r="K15" s="12" t="n"/>
    </row>
    <row r="16" ht="22" customHeight="1">
      <c r="B16" s="16">
        <f>IF(C16="","SDI-"&amp;TEXT(COUNTA($C$5:C16),"000"))</f>
        <v/>
      </c>
      <c r="C16" s="14" t="n"/>
      <c r="D16" s="14" t="n"/>
      <c r="E16" s="14" t="n"/>
      <c r="F16" s="14" t="n"/>
      <c r="G16" s="19" t="n"/>
      <c r="H16" s="30" t="n"/>
      <c r="I16" s="14" t="n"/>
      <c r="J16" s="30" t="n"/>
      <c r="K16" s="14" t="n"/>
    </row>
    <row r="17" ht="22" customHeight="1">
      <c r="B17" s="17">
        <f>IF(C17="","SDI-"&amp;TEXT(COUNTA($C$5:C17),"000"))</f>
        <v/>
      </c>
      <c r="C17" s="12" t="n"/>
      <c r="D17" s="12" t="n"/>
      <c r="E17" s="12" t="n"/>
      <c r="F17" s="12" t="n"/>
      <c r="G17" s="18" t="n"/>
      <c r="H17" s="29" t="n"/>
      <c r="I17" s="12" t="n"/>
      <c r="J17" s="29" t="n"/>
      <c r="K17" s="12" t="n"/>
    </row>
    <row r="18" ht="22" customHeight="1">
      <c r="B18" s="16">
        <f>IF(C18="","SDI-"&amp;TEXT(COUNTA($C$5:C18),"000"))</f>
        <v/>
      </c>
      <c r="C18" s="14" t="n"/>
      <c r="D18" s="14" t="n"/>
      <c r="E18" s="14" t="n"/>
      <c r="F18" s="14" t="n"/>
      <c r="G18" s="19" t="n"/>
      <c r="H18" s="30" t="n"/>
      <c r="I18" s="14" t="n"/>
      <c r="J18" s="30" t="n"/>
      <c r="K18" s="14" t="n"/>
    </row>
    <row r="19" ht="22" customHeight="1">
      <c r="B19" s="17">
        <f>IF(C19="","SDI-"&amp;TEXT(COUNTA($C$5:C19),"000"))</f>
        <v/>
      </c>
      <c r="C19" s="12" t="n"/>
      <c r="D19" s="12" t="n"/>
      <c r="E19" s="12" t="n"/>
      <c r="F19" s="12" t="n"/>
      <c r="G19" s="18" t="n"/>
      <c r="H19" s="29" t="n"/>
      <c r="I19" s="12" t="n"/>
      <c r="J19" s="29" t="n"/>
      <c r="K19" s="12" t="n"/>
    </row>
    <row r="20" ht="22" customHeight="1">
      <c r="B20" s="16">
        <f>IF(C20="","SDI-"&amp;TEXT(COUNTA($C$5:C20),"000"))</f>
        <v/>
      </c>
      <c r="C20" s="14" t="n"/>
      <c r="D20" s="14" t="n"/>
      <c r="E20" s="14" t="n"/>
      <c r="F20" s="14" t="n"/>
      <c r="G20" s="19" t="n"/>
      <c r="H20" s="30" t="n"/>
      <c r="I20" s="14" t="n"/>
      <c r="J20" s="30" t="n"/>
      <c r="K20" s="14" t="n"/>
    </row>
    <row r="21" ht="22" customHeight="1">
      <c r="B21" s="17">
        <f>IF(C21="","SDI-"&amp;TEXT(COUNTA($C$5:C21),"000"))</f>
        <v/>
      </c>
      <c r="C21" s="12" t="n"/>
      <c r="D21" s="12" t="n"/>
      <c r="E21" s="12" t="n"/>
      <c r="F21" s="12" t="n"/>
      <c r="G21" s="18" t="n"/>
      <c r="H21" s="29" t="n"/>
      <c r="I21" s="12" t="n"/>
      <c r="J21" s="29" t="n"/>
      <c r="K21" s="12" t="n"/>
    </row>
    <row r="22" ht="22" customHeight="1">
      <c r="B22" s="16">
        <f>IF(C22="","SDI-"&amp;TEXT(COUNTA($C$5:C22),"000"))</f>
        <v/>
      </c>
      <c r="C22" s="14" t="n"/>
      <c r="D22" s="14" t="n"/>
      <c r="E22" s="14" t="n"/>
      <c r="F22" s="14" t="n"/>
      <c r="G22" s="19" t="n"/>
      <c r="H22" s="30" t="n"/>
      <c r="I22" s="14" t="n"/>
      <c r="J22" s="30" t="n"/>
      <c r="K22" s="14" t="n"/>
    </row>
    <row r="23" ht="22" customHeight="1">
      <c r="B23" s="17">
        <f>IF(C23="","SDI-"&amp;TEXT(COUNTA($C$5:C23),"000"))</f>
        <v/>
      </c>
      <c r="C23" s="12" t="n"/>
      <c r="D23" s="12" t="n"/>
      <c r="E23" s="12" t="n"/>
      <c r="F23" s="12" t="n"/>
      <c r="G23" s="18" t="n"/>
      <c r="H23" s="29" t="n"/>
      <c r="I23" s="12" t="n"/>
      <c r="J23" s="29" t="n"/>
      <c r="K23" s="12" t="n"/>
    </row>
    <row r="24" ht="22" customHeight="1">
      <c r="B24" s="16">
        <f>IF(C24="","SDI-"&amp;TEXT(COUNTA($C$5:C24),"000"))</f>
        <v/>
      </c>
      <c r="C24" s="14" t="n"/>
      <c r="D24" s="14" t="n"/>
      <c r="E24" s="14" t="n"/>
      <c r="F24" s="14" t="n"/>
      <c r="G24" s="19" t="n"/>
      <c r="H24" s="30" t="n"/>
      <c r="I24" s="14" t="n"/>
      <c r="J24" s="30" t="n"/>
      <c r="K24" s="14" t="n"/>
    </row>
    <row r="25" ht="22" customHeight="1">
      <c r="B25" s="17">
        <f>IF(C25="","SDI-"&amp;TEXT(COUNTA($C$5:C25),"000"))</f>
        <v/>
      </c>
      <c r="C25" s="12" t="n"/>
      <c r="D25" s="12" t="n"/>
      <c r="E25" s="12" t="n"/>
      <c r="F25" s="12" t="n"/>
      <c r="G25" s="18" t="n"/>
      <c r="H25" s="29" t="n"/>
      <c r="I25" s="12" t="n"/>
      <c r="J25" s="29" t="n"/>
      <c r="K25" s="12" t="n"/>
    </row>
    <row r="26" ht="22" customHeight="1">
      <c r="B26" s="16">
        <f>IF(C26="","SDI-"&amp;TEXT(COUNTA($C$5:C26),"000"))</f>
        <v/>
      </c>
      <c r="C26" s="14" t="n"/>
      <c r="D26" s="14" t="n"/>
      <c r="E26" s="14" t="n"/>
      <c r="F26" s="14" t="n"/>
      <c r="G26" s="19" t="n"/>
      <c r="H26" s="30" t="n"/>
      <c r="I26" s="14" t="n"/>
      <c r="J26" s="30" t="n"/>
      <c r="K26" s="14" t="n"/>
    </row>
    <row r="27" ht="22" customHeight="1">
      <c r="B27" s="17">
        <f>IF(C27="","SDI-"&amp;TEXT(COUNTA($C$5:C27),"000"))</f>
        <v/>
      </c>
      <c r="C27" s="12" t="n"/>
      <c r="D27" s="12" t="n"/>
      <c r="E27" s="12" t="n"/>
      <c r="F27" s="12" t="n"/>
      <c r="G27" s="18" t="n"/>
      <c r="H27" s="29" t="n"/>
      <c r="I27" s="12" t="n"/>
      <c r="J27" s="29" t="n"/>
      <c r="K27" s="12" t="n"/>
    </row>
    <row r="28" ht="22" customHeight="1">
      <c r="B28" s="16">
        <f>IF(C28="","SDI-"&amp;TEXT(COUNTA($C$5:C28),"000"))</f>
        <v/>
      </c>
      <c r="C28" s="14" t="n"/>
      <c r="D28" s="14" t="n"/>
      <c r="E28" s="14" t="n"/>
      <c r="F28" s="14" t="n"/>
      <c r="G28" s="19" t="n"/>
      <c r="H28" s="30" t="n"/>
      <c r="I28" s="14" t="n"/>
      <c r="J28" s="30" t="n"/>
      <c r="K28" s="14" t="n"/>
    </row>
    <row r="29" ht="22" customHeight="1">
      <c r="B29" s="17">
        <f>IF(C29="","SDI-"&amp;TEXT(COUNTA($C$5:C29),"000"))</f>
        <v/>
      </c>
      <c r="C29" s="12" t="n"/>
      <c r="D29" s="12" t="n"/>
      <c r="E29" s="12" t="n"/>
      <c r="F29" s="12" t="n"/>
      <c r="G29" s="18" t="n"/>
      <c r="H29" s="29" t="n"/>
      <c r="I29" s="12" t="n"/>
      <c r="J29" s="29" t="n"/>
      <c r="K29" s="12" t="n"/>
    </row>
    <row r="30" ht="22" customHeight="1">
      <c r="B30" s="16">
        <f>IF(C30="","SDI-"&amp;TEXT(COUNTA($C$5:C30),"000"))</f>
        <v/>
      </c>
      <c r="C30" s="14" t="n"/>
      <c r="D30" s="14" t="n"/>
      <c r="E30" s="14" t="n"/>
      <c r="F30" s="14" t="n"/>
      <c r="G30" s="19" t="n"/>
      <c r="H30" s="30" t="n"/>
      <c r="I30" s="14" t="n"/>
      <c r="J30" s="30" t="n"/>
      <c r="K30" s="14" t="n"/>
    </row>
    <row r="31" ht="22" customHeight="1">
      <c r="B31" s="17">
        <f>IF(C31="","SDI-"&amp;TEXT(COUNTA($C$5:C31),"000"))</f>
        <v/>
      </c>
      <c r="C31" s="12" t="n"/>
      <c r="D31" s="12" t="n"/>
      <c r="E31" s="12" t="n"/>
      <c r="F31" s="12" t="n"/>
      <c r="G31" s="18" t="n"/>
      <c r="H31" s="29" t="n"/>
      <c r="I31" s="12" t="n"/>
      <c r="J31" s="29" t="n"/>
      <c r="K31" s="12" t="n"/>
    </row>
    <row r="32" ht="22" customHeight="1">
      <c r="B32" s="16">
        <f>IF(C32="","SDI-"&amp;TEXT(COUNTA($C$5:C32),"000"))</f>
        <v/>
      </c>
      <c r="C32" s="14" t="n"/>
      <c r="D32" s="14" t="n"/>
      <c r="E32" s="14" t="n"/>
      <c r="F32" s="14" t="n"/>
      <c r="G32" s="19" t="n"/>
      <c r="H32" s="30" t="n"/>
      <c r="I32" s="14" t="n"/>
      <c r="J32" s="30" t="n"/>
      <c r="K32" s="14" t="n"/>
    </row>
    <row r="33" ht="22" customHeight="1">
      <c r="B33" s="17">
        <f>IF(C33="","SDI-"&amp;TEXT(COUNTA($C$5:C33),"000"))</f>
        <v/>
      </c>
      <c r="C33" s="12" t="n"/>
      <c r="D33" s="12" t="n"/>
      <c r="E33" s="12" t="n"/>
      <c r="F33" s="12" t="n"/>
      <c r="G33" s="18" t="n"/>
      <c r="H33" s="29" t="n"/>
      <c r="I33" s="12" t="n"/>
      <c r="J33" s="29" t="n"/>
      <c r="K33" s="12" t="n"/>
    </row>
    <row r="34" ht="22" customHeight="1">
      <c r="B34" s="16">
        <f>IF(C34="","SDI-"&amp;TEXT(COUNTA($C$5:C34),"000"))</f>
        <v/>
      </c>
      <c r="C34" s="14" t="n"/>
      <c r="D34" s="14" t="n"/>
      <c r="E34" s="14" t="n"/>
      <c r="F34" s="14" t="n"/>
      <c r="G34" s="19" t="n"/>
      <c r="H34" s="30" t="n"/>
      <c r="I34" s="14" t="n"/>
      <c r="J34" s="30" t="n"/>
      <c r="K34" s="14" t="n"/>
    </row>
    <row r="35" ht="22" customHeight="1">
      <c r="B35" s="17">
        <f>IF(C35="","SDI-"&amp;TEXT(COUNTA($C$5:C35),"000"))</f>
        <v/>
      </c>
      <c r="C35" s="12" t="n"/>
      <c r="D35" s="12" t="n"/>
      <c r="E35" s="12" t="n"/>
      <c r="F35" s="12" t="n"/>
      <c r="G35" s="18" t="n"/>
      <c r="H35" s="29" t="n"/>
      <c r="I35" s="12" t="n"/>
      <c r="J35" s="29" t="n"/>
      <c r="K35" s="12" t="n"/>
    </row>
    <row r="36" ht="22" customHeight="1">
      <c r="B36" s="16">
        <f>IF(C36="","SDI-"&amp;TEXT(COUNTA($C$5:C36),"000"))</f>
        <v/>
      </c>
      <c r="C36" s="14" t="n"/>
      <c r="D36" s="14" t="n"/>
      <c r="E36" s="14" t="n"/>
      <c r="F36" s="14" t="n"/>
      <c r="G36" s="19" t="n"/>
      <c r="H36" s="30" t="n"/>
      <c r="I36" s="14" t="n"/>
      <c r="J36" s="30" t="n"/>
      <c r="K36" s="14" t="n"/>
    </row>
    <row r="37" ht="22" customHeight="1">
      <c r="B37" s="17">
        <f>IF(C37="","SDI-"&amp;TEXT(COUNTA($C$5:C37),"000"))</f>
        <v/>
      </c>
      <c r="C37" s="12" t="n"/>
      <c r="D37" s="12" t="n"/>
      <c r="E37" s="12" t="n"/>
      <c r="F37" s="12" t="n"/>
      <c r="G37" s="18" t="n"/>
      <c r="H37" s="29" t="n"/>
      <c r="I37" s="12" t="n"/>
      <c r="J37" s="29" t="n"/>
      <c r="K37" s="12" t="n"/>
    </row>
    <row r="38" ht="22" customHeight="1">
      <c r="B38" s="16">
        <f>IF(C38="","SDI-"&amp;TEXT(COUNTA($C$5:C38),"000"))</f>
        <v/>
      </c>
      <c r="C38" s="14" t="n"/>
      <c r="D38" s="14" t="n"/>
      <c r="E38" s="14" t="n"/>
      <c r="F38" s="14" t="n"/>
      <c r="G38" s="19" t="n"/>
      <c r="H38" s="30" t="n"/>
      <c r="I38" s="14" t="n"/>
      <c r="J38" s="30" t="n"/>
      <c r="K38" s="14" t="n"/>
    </row>
    <row r="39" ht="22" customHeight="1">
      <c r="B39" s="17">
        <f>IF(C39="","SDI-"&amp;TEXT(COUNTA($C$5:C39),"000"))</f>
        <v/>
      </c>
      <c r="C39" s="12" t="n"/>
      <c r="D39" s="12" t="n"/>
      <c r="E39" s="12" t="n"/>
      <c r="F39" s="12" t="n"/>
      <c r="G39" s="18" t="n"/>
      <c r="H39" s="29" t="n"/>
      <c r="I39" s="12" t="n"/>
      <c r="J39" s="29" t="n"/>
      <c r="K39" s="12" t="n"/>
    </row>
    <row r="40" ht="22" customHeight="1">
      <c r="B40" s="16">
        <f>IF(C40="","SDI-"&amp;TEXT(COUNTA($C$5:C40),"000"))</f>
        <v/>
      </c>
      <c r="C40" s="14" t="n"/>
      <c r="D40" s="14" t="n"/>
      <c r="E40" s="14" t="n"/>
      <c r="F40" s="14" t="n"/>
      <c r="G40" s="19" t="n"/>
      <c r="H40" s="30" t="n"/>
      <c r="I40" s="14" t="n"/>
      <c r="J40" s="30" t="n"/>
      <c r="K40" s="14" t="n"/>
    </row>
    <row r="41" ht="22" customHeight="1">
      <c r="B41" s="17">
        <f>IF(C41="","SDI-"&amp;TEXT(COUNTA($C$5:C41),"000"))</f>
        <v/>
      </c>
      <c r="C41" s="12" t="n"/>
      <c r="D41" s="12" t="n"/>
      <c r="E41" s="12" t="n"/>
      <c r="F41" s="12" t="n"/>
      <c r="G41" s="18" t="n"/>
      <c r="H41" s="29" t="n"/>
      <c r="I41" s="12" t="n"/>
      <c r="J41" s="29" t="n"/>
      <c r="K41" s="12" t="n"/>
    </row>
    <row r="42" ht="22" customHeight="1">
      <c r="B42" s="16">
        <f>IF(C42="","SDI-"&amp;TEXT(COUNTA($C$5:C42),"000"))</f>
        <v/>
      </c>
      <c r="C42" s="14" t="n"/>
      <c r="D42" s="14" t="n"/>
      <c r="E42" s="14" t="n"/>
      <c r="F42" s="14" t="n"/>
      <c r="G42" s="19" t="n"/>
      <c r="H42" s="30" t="n"/>
      <c r="I42" s="14" t="n"/>
      <c r="J42" s="30" t="n"/>
      <c r="K42" s="14" t="n"/>
    </row>
    <row r="43" ht="22" customHeight="1">
      <c r="B43" s="17">
        <f>IF(C43="","SDI-"&amp;TEXT(COUNTA($C$5:C43),"000"))</f>
        <v/>
      </c>
      <c r="C43" s="12" t="n"/>
      <c r="D43" s="12" t="n"/>
      <c r="E43" s="12" t="n"/>
      <c r="F43" s="12" t="n"/>
      <c r="G43" s="18" t="n"/>
      <c r="H43" s="29" t="n"/>
      <c r="I43" s="12" t="n"/>
      <c r="J43" s="29" t="n"/>
      <c r="K43" s="12" t="n"/>
    </row>
    <row r="44" ht="22" customHeight="1">
      <c r="B44" s="16">
        <f>IF(C44="","SDI-"&amp;TEXT(COUNTA($C$5:C44),"000"))</f>
        <v/>
      </c>
      <c r="C44" s="14" t="n"/>
      <c r="D44" s="14" t="n"/>
      <c r="E44" s="14" t="n"/>
      <c r="F44" s="14" t="n"/>
      <c r="G44" s="19" t="n"/>
      <c r="H44" s="30" t="n"/>
      <c r="I44" s="14" t="n"/>
      <c r="J44" s="30" t="n"/>
      <c r="K44" s="14" t="n"/>
    </row>
    <row r="45" ht="22" customHeight="1">
      <c r="B45" s="17">
        <f>IF(C45="","SDI-"&amp;TEXT(COUNTA($C$5:C45),"000"))</f>
        <v/>
      </c>
      <c r="C45" s="12" t="n"/>
      <c r="D45" s="12" t="n"/>
      <c r="E45" s="12" t="n"/>
      <c r="F45" s="12" t="n"/>
      <c r="G45" s="18" t="n"/>
      <c r="H45" s="29" t="n"/>
      <c r="I45" s="12" t="n"/>
      <c r="J45" s="29" t="n"/>
      <c r="K45" s="12" t="n"/>
    </row>
    <row r="46" ht="22" customHeight="1">
      <c r="B46" s="16">
        <f>IF(C46="","SDI-"&amp;TEXT(COUNTA($C$5:C46),"000"))</f>
        <v/>
      </c>
      <c r="C46" s="14" t="n"/>
      <c r="D46" s="14" t="n"/>
      <c r="E46" s="14" t="n"/>
      <c r="F46" s="14" t="n"/>
      <c r="G46" s="19" t="n"/>
      <c r="H46" s="30" t="n"/>
      <c r="I46" s="14" t="n"/>
      <c r="J46" s="30" t="n"/>
      <c r="K46" s="14" t="n"/>
    </row>
    <row r="47" ht="22" customHeight="1">
      <c r="B47" s="17">
        <f>IF(C47="","SDI-"&amp;TEXT(COUNTA($C$5:C47),"000"))</f>
        <v/>
      </c>
      <c r="C47" s="12" t="n"/>
      <c r="D47" s="12" t="n"/>
      <c r="E47" s="12" t="n"/>
      <c r="F47" s="12" t="n"/>
      <c r="G47" s="18" t="n"/>
      <c r="H47" s="29" t="n"/>
      <c r="I47" s="12" t="n"/>
      <c r="J47" s="29" t="n"/>
      <c r="K47" s="12" t="n"/>
    </row>
    <row r="48" ht="22" customHeight="1">
      <c r="B48" s="16">
        <f>IF(C48="","SDI-"&amp;TEXT(COUNTA($C$5:C48),"000"))</f>
        <v/>
      </c>
      <c r="C48" s="14" t="n"/>
      <c r="D48" s="14" t="n"/>
      <c r="E48" s="14" t="n"/>
      <c r="F48" s="14" t="n"/>
      <c r="G48" s="19" t="n"/>
      <c r="H48" s="30" t="n"/>
      <c r="I48" s="14" t="n"/>
      <c r="J48" s="30" t="n"/>
      <c r="K48" s="14" t="n"/>
    </row>
    <row r="49" ht="22" customHeight="1">
      <c r="B49" s="17">
        <f>IF(C49="","SDI-"&amp;TEXT(COUNTA($C$5:C49),"000"))</f>
        <v/>
      </c>
      <c r="C49" s="12" t="n"/>
      <c r="D49" s="12" t="n"/>
      <c r="E49" s="12" t="n"/>
      <c r="F49" s="12" t="n"/>
      <c r="G49" s="18" t="n"/>
      <c r="H49" s="29" t="n"/>
      <c r="I49" s="12" t="n"/>
      <c r="J49" s="29" t="n"/>
      <c r="K49" s="12" t="n"/>
    </row>
    <row r="50" ht="22" customHeight="1">
      <c r="B50" s="16">
        <f>IF(C50="","SDI-"&amp;TEXT(COUNTA($C$5:C50),"000"))</f>
        <v/>
      </c>
      <c r="C50" s="14" t="n"/>
      <c r="D50" s="14" t="n"/>
      <c r="E50" s="14" t="n"/>
      <c r="F50" s="14" t="n"/>
      <c r="G50" s="19" t="n"/>
      <c r="H50" s="30" t="n"/>
      <c r="I50" s="14" t="n"/>
      <c r="J50" s="30" t="n"/>
      <c r="K50" s="14" t="n"/>
    </row>
    <row r="51" ht="22" customHeight="1">
      <c r="B51" s="17">
        <f>IF(C51="","SDI-"&amp;TEXT(COUNTA($C$5:C51),"000"))</f>
        <v/>
      </c>
      <c r="C51" s="12" t="n"/>
      <c r="D51" s="12" t="n"/>
      <c r="E51" s="12" t="n"/>
      <c r="F51" s="12" t="n"/>
      <c r="G51" s="18" t="n"/>
      <c r="H51" s="29" t="n"/>
      <c r="I51" s="12" t="n"/>
      <c r="J51" s="29" t="n"/>
      <c r="K51" s="12" t="n"/>
    </row>
    <row r="52" ht="22" customHeight="1">
      <c r="B52" s="16">
        <f>IF(C52="","SDI-"&amp;TEXT(COUNTA($C$5:C52),"000"))</f>
        <v/>
      </c>
      <c r="C52" s="14" t="n"/>
      <c r="D52" s="14" t="n"/>
      <c r="E52" s="14" t="n"/>
      <c r="F52" s="14" t="n"/>
      <c r="G52" s="19" t="n"/>
      <c r="H52" s="30" t="n"/>
      <c r="I52" s="14" t="n"/>
      <c r="J52" s="30" t="n"/>
      <c r="K52" s="14" t="n"/>
    </row>
    <row r="53" ht="22" customHeight="1">
      <c r="B53" s="17">
        <f>IF(C53="","SDI-"&amp;TEXT(COUNTA($C$5:C53),"000"))</f>
        <v/>
      </c>
      <c r="C53" s="12" t="n"/>
      <c r="D53" s="12" t="n"/>
      <c r="E53" s="12" t="n"/>
      <c r="F53" s="12" t="n"/>
      <c r="G53" s="18" t="n"/>
      <c r="H53" s="29" t="n"/>
      <c r="I53" s="12" t="n"/>
      <c r="J53" s="29" t="n"/>
      <c r="K53" s="12" t="n"/>
    </row>
    <row r="54" ht="22" customHeight="1">
      <c r="B54" s="16">
        <f>IF(C54="","SDI-"&amp;TEXT(COUNTA($C$5:C54),"000"))</f>
        <v/>
      </c>
      <c r="C54" s="14" t="n"/>
      <c r="D54" s="14" t="n"/>
      <c r="E54" s="14" t="n"/>
      <c r="F54" s="14" t="n"/>
      <c r="G54" s="19" t="n"/>
      <c r="H54" s="30" t="n"/>
      <c r="I54" s="14" t="n"/>
      <c r="J54" s="30" t="n"/>
      <c r="K54" s="14" t="n"/>
    </row>
    <row r="55" ht="22" customHeight="1">
      <c r="B55" s="17">
        <f>IF(C55="","SDI-"&amp;TEXT(COUNTA($C$5:C55),"000"))</f>
        <v/>
      </c>
      <c r="C55" s="12" t="n"/>
      <c r="D55" s="12" t="n"/>
      <c r="E55" s="12" t="n"/>
      <c r="F55" s="12" t="n"/>
      <c r="G55" s="18" t="n"/>
      <c r="H55" s="29" t="n"/>
      <c r="I55" s="12" t="n"/>
      <c r="J55" s="29" t="n"/>
      <c r="K55" s="12" t="n"/>
    </row>
    <row r="56" ht="22" customHeight="1">
      <c r="B56" s="16">
        <f>IF(C56="","SDI-"&amp;TEXT(COUNTA($C$5:C56),"000"))</f>
        <v/>
      </c>
      <c r="C56" s="14" t="n"/>
      <c r="D56" s="14" t="n"/>
      <c r="E56" s="14" t="n"/>
      <c r="F56" s="14" t="n"/>
      <c r="G56" s="19" t="n"/>
      <c r="H56" s="30" t="n"/>
      <c r="I56" s="14" t="n"/>
      <c r="J56" s="30" t="n"/>
      <c r="K56" s="14" t="n"/>
    </row>
    <row r="57" ht="22" customHeight="1">
      <c r="B57" s="17">
        <f>IF(C57="","SDI-"&amp;TEXT(COUNTA($C$5:C57),"000"))</f>
        <v/>
      </c>
      <c r="C57" s="12" t="n"/>
      <c r="D57" s="12" t="n"/>
      <c r="E57" s="12" t="n"/>
      <c r="F57" s="12" t="n"/>
      <c r="G57" s="18" t="n"/>
      <c r="H57" s="29" t="n"/>
      <c r="I57" s="12" t="n"/>
      <c r="J57" s="29" t="n"/>
      <c r="K57" s="12" t="n"/>
    </row>
    <row r="58" ht="22" customHeight="1">
      <c r="B58" s="16">
        <f>IF(C58="","SDI-"&amp;TEXT(COUNTA($C$5:C58),"000"))</f>
        <v/>
      </c>
      <c r="C58" s="14" t="n"/>
      <c r="D58" s="14" t="n"/>
      <c r="E58" s="14" t="n"/>
      <c r="F58" s="14" t="n"/>
      <c r="G58" s="19" t="n"/>
      <c r="H58" s="30" t="n"/>
      <c r="I58" s="14" t="n"/>
      <c r="J58" s="30" t="n"/>
      <c r="K58" s="14" t="n"/>
    </row>
    <row r="59" ht="22" customHeight="1">
      <c r="B59" s="17">
        <f>IF(C59="","SDI-"&amp;TEXT(COUNTA($C$5:C59),"000"))</f>
        <v/>
      </c>
      <c r="C59" s="12" t="n"/>
      <c r="D59" s="12" t="n"/>
      <c r="E59" s="12" t="n"/>
      <c r="F59" s="12" t="n"/>
      <c r="G59" s="18" t="n"/>
      <c r="H59" s="29" t="n"/>
      <c r="I59" s="12" t="n"/>
      <c r="J59" s="29" t="n"/>
      <c r="K59" s="12" t="n"/>
    </row>
    <row r="60" ht="22" customHeight="1">
      <c r="B60" s="16">
        <f>IF(C60="","SDI-"&amp;TEXT(COUNTA($C$5:C60),"000"))</f>
        <v/>
      </c>
      <c r="C60" s="14" t="n"/>
      <c r="D60" s="14" t="n"/>
      <c r="E60" s="14" t="n"/>
      <c r="F60" s="14" t="n"/>
      <c r="G60" s="19" t="n"/>
      <c r="H60" s="30" t="n"/>
      <c r="I60" s="14" t="n"/>
      <c r="J60" s="30" t="n"/>
      <c r="K60" s="14" t="n"/>
    </row>
    <row r="61" ht="22" customHeight="1">
      <c r="B61" s="17">
        <f>IF(C61="","SDI-"&amp;TEXT(COUNTA($C$5:C61),"000"))</f>
        <v/>
      </c>
      <c r="C61" s="12" t="n"/>
      <c r="D61" s="12" t="n"/>
      <c r="E61" s="12" t="n"/>
      <c r="F61" s="12" t="n"/>
      <c r="G61" s="18" t="n"/>
      <c r="H61" s="29" t="n"/>
      <c r="I61" s="12" t="n"/>
      <c r="J61" s="29" t="n"/>
      <c r="K61" s="12" t="n"/>
    </row>
    <row r="62" ht="22" customHeight="1">
      <c r="B62" s="16">
        <f>IF(C62="","SDI-"&amp;TEXT(COUNTA($C$5:C62),"000"))</f>
        <v/>
      </c>
      <c r="C62" s="14" t="n"/>
      <c r="D62" s="14" t="n"/>
      <c r="E62" s="14" t="n"/>
      <c r="F62" s="14" t="n"/>
      <c r="G62" s="19" t="n"/>
      <c r="H62" s="30" t="n"/>
      <c r="I62" s="14" t="n"/>
      <c r="J62" s="30" t="n"/>
      <c r="K62" s="14" t="n"/>
    </row>
    <row r="63" ht="22" customHeight="1">
      <c r="B63" s="17">
        <f>IF(C63="","SDI-"&amp;TEXT(COUNTA($C$5:C63),"000"))</f>
        <v/>
      </c>
      <c r="C63" s="12" t="n"/>
      <c r="D63" s="12" t="n"/>
      <c r="E63" s="12" t="n"/>
      <c r="F63" s="12" t="n"/>
      <c r="G63" s="18" t="n"/>
      <c r="H63" s="29" t="n"/>
      <c r="I63" s="12" t="n"/>
      <c r="J63" s="29" t="n"/>
      <c r="K63" s="12" t="n"/>
    </row>
    <row r="64" ht="22" customHeight="1">
      <c r="B64" s="16">
        <f>IF(C64="","SDI-"&amp;TEXT(COUNTA($C$5:C64),"000"))</f>
        <v/>
      </c>
      <c r="C64" s="14" t="n"/>
      <c r="D64" s="14" t="n"/>
      <c r="E64" s="14" t="n"/>
      <c r="F64" s="14" t="n"/>
      <c r="G64" s="19" t="n"/>
      <c r="H64" s="30" t="n"/>
      <c r="I64" s="14" t="n"/>
      <c r="J64" s="30" t="n"/>
      <c r="K64" s="14" t="n"/>
    </row>
    <row r="65" ht="22" customHeight="1">
      <c r="B65" s="17">
        <f>IF(C65="","SDI-"&amp;TEXT(COUNTA($C$5:C65),"000"))</f>
        <v/>
      </c>
      <c r="C65" s="12" t="n"/>
      <c r="D65" s="12" t="n"/>
      <c r="E65" s="12" t="n"/>
      <c r="F65" s="12" t="n"/>
      <c r="G65" s="18" t="n"/>
      <c r="H65" s="29" t="n"/>
      <c r="I65" s="12" t="n"/>
      <c r="J65" s="29" t="n"/>
      <c r="K65" s="12" t="n"/>
    </row>
    <row r="66" ht="22" customHeight="1">
      <c r="B66" s="16">
        <f>IF(C66="","SDI-"&amp;TEXT(COUNTA($C$5:C66),"000"))</f>
        <v/>
      </c>
      <c r="C66" s="14" t="n"/>
      <c r="D66" s="14" t="n"/>
      <c r="E66" s="14" t="n"/>
      <c r="F66" s="14" t="n"/>
      <c r="G66" s="19" t="n"/>
      <c r="H66" s="30" t="n"/>
      <c r="I66" s="14" t="n"/>
      <c r="J66" s="30" t="n"/>
      <c r="K66" s="14" t="n"/>
    </row>
    <row r="67" ht="22" customHeight="1">
      <c r="B67" s="17">
        <f>IF(C67="","SDI-"&amp;TEXT(COUNTA($C$5:C67),"000"))</f>
        <v/>
      </c>
      <c r="C67" s="12" t="n"/>
      <c r="D67" s="12" t="n"/>
      <c r="E67" s="12" t="n"/>
      <c r="F67" s="12" t="n"/>
      <c r="G67" s="18" t="n"/>
      <c r="H67" s="29" t="n"/>
      <c r="I67" s="12" t="n"/>
      <c r="J67" s="29" t="n"/>
      <c r="K67" s="12" t="n"/>
    </row>
    <row r="68" ht="22" customHeight="1">
      <c r="B68" s="16">
        <f>IF(C68="","SDI-"&amp;TEXT(COUNTA($C$5:C68),"000"))</f>
        <v/>
      </c>
      <c r="C68" s="14" t="n"/>
      <c r="D68" s="14" t="n"/>
      <c r="E68" s="14" t="n"/>
      <c r="F68" s="14" t="n"/>
      <c r="G68" s="19" t="n"/>
      <c r="H68" s="30" t="n"/>
      <c r="I68" s="14" t="n"/>
      <c r="J68" s="30" t="n"/>
      <c r="K68" s="14" t="n"/>
    </row>
    <row r="69" ht="22" customHeight="1">
      <c r="B69" s="17">
        <f>IF(C69="","SDI-"&amp;TEXT(COUNTA($C$5:C69),"000"))</f>
        <v/>
      </c>
      <c r="C69" s="12" t="n"/>
      <c r="D69" s="12" t="n"/>
      <c r="E69" s="12" t="n"/>
      <c r="F69" s="12" t="n"/>
      <c r="G69" s="18" t="n"/>
      <c r="H69" s="29" t="n"/>
      <c r="I69" s="12" t="n"/>
      <c r="J69" s="29" t="n"/>
      <c r="K69" s="12" t="n"/>
    </row>
    <row r="70" ht="22" customHeight="1">
      <c r="B70" s="16">
        <f>IF(C70="","SDI-"&amp;TEXT(COUNTA($C$5:C70),"000"))</f>
        <v/>
      </c>
      <c r="C70" s="14" t="n"/>
      <c r="D70" s="14" t="n"/>
      <c r="E70" s="14" t="n"/>
      <c r="F70" s="14" t="n"/>
      <c r="G70" s="19" t="n"/>
      <c r="H70" s="30" t="n"/>
      <c r="I70" s="14" t="n"/>
      <c r="J70" s="30" t="n"/>
      <c r="K70" s="14" t="n"/>
    </row>
    <row r="71" ht="22" customHeight="1">
      <c r="B71" s="17">
        <f>IF(C71="","SDI-"&amp;TEXT(COUNTA($C$5:C71),"000"))</f>
        <v/>
      </c>
      <c r="C71" s="12" t="n"/>
      <c r="D71" s="12" t="n"/>
      <c r="E71" s="12" t="n"/>
      <c r="F71" s="12" t="n"/>
      <c r="G71" s="18" t="n"/>
      <c r="H71" s="29" t="n"/>
      <c r="I71" s="12" t="n"/>
      <c r="J71" s="29" t="n"/>
      <c r="K71" s="12" t="n"/>
    </row>
    <row r="72" ht="22" customHeight="1">
      <c r="B72" s="16">
        <f>IF(C72="","SDI-"&amp;TEXT(COUNTA($C$5:C72),"000"))</f>
        <v/>
      </c>
      <c r="C72" s="14" t="n"/>
      <c r="D72" s="14" t="n"/>
      <c r="E72" s="14" t="n"/>
      <c r="F72" s="14" t="n"/>
      <c r="G72" s="19" t="n"/>
      <c r="H72" s="30" t="n"/>
      <c r="I72" s="14" t="n"/>
      <c r="J72" s="30" t="n"/>
      <c r="K72" s="14" t="n"/>
    </row>
    <row r="73" ht="22" customHeight="1">
      <c r="B73" s="17">
        <f>IF(C73="","SDI-"&amp;TEXT(COUNTA($C$5:C73),"000"))</f>
        <v/>
      </c>
      <c r="C73" s="12" t="n"/>
      <c r="D73" s="12" t="n"/>
      <c r="E73" s="12" t="n"/>
      <c r="F73" s="12" t="n"/>
      <c r="G73" s="18" t="n"/>
      <c r="H73" s="29" t="n"/>
      <c r="I73" s="12" t="n"/>
      <c r="J73" s="29" t="n"/>
      <c r="K73" s="12" t="n"/>
    </row>
    <row r="74" ht="22" customHeight="1">
      <c r="B74" s="16">
        <f>IF(C74="","SDI-"&amp;TEXT(COUNTA($C$5:C74),"000"))</f>
        <v/>
      </c>
      <c r="C74" s="14" t="n"/>
      <c r="D74" s="14" t="n"/>
      <c r="E74" s="14" t="n"/>
      <c r="F74" s="14" t="n"/>
      <c r="G74" s="19" t="n"/>
      <c r="H74" s="30" t="n"/>
      <c r="I74" s="14" t="n"/>
      <c r="J74" s="30" t="n"/>
      <c r="K74" s="14" t="n"/>
    </row>
    <row r="75" ht="22" customHeight="1">
      <c r="B75" s="17">
        <f>IF(C75="","SDI-"&amp;TEXT(COUNTA($C$5:C75),"000"))</f>
        <v/>
      </c>
      <c r="C75" s="12" t="n"/>
      <c r="D75" s="12" t="n"/>
      <c r="E75" s="12" t="n"/>
      <c r="F75" s="12" t="n"/>
      <c r="G75" s="18" t="n"/>
      <c r="H75" s="29" t="n"/>
      <c r="I75" s="12" t="n"/>
      <c r="J75" s="29" t="n"/>
      <c r="K75" s="12" t="n"/>
    </row>
    <row r="76" ht="22" customHeight="1">
      <c r="B76" s="16">
        <f>IF(C76="","SDI-"&amp;TEXT(COUNTA($C$5:C76),"000"))</f>
        <v/>
      </c>
      <c r="C76" s="14" t="n"/>
      <c r="D76" s="14" t="n"/>
      <c r="E76" s="14" t="n"/>
      <c r="F76" s="14" t="n"/>
      <c r="G76" s="19" t="n"/>
      <c r="H76" s="30" t="n"/>
      <c r="I76" s="14" t="n"/>
      <c r="J76" s="30" t="n"/>
      <c r="K76" s="14" t="n"/>
    </row>
    <row r="77" ht="22" customHeight="1">
      <c r="B77" s="17">
        <f>IF(C77="","SDI-"&amp;TEXT(COUNTA($C$5:C77),"000"))</f>
        <v/>
      </c>
      <c r="C77" s="12" t="n"/>
      <c r="D77" s="12" t="n"/>
      <c r="E77" s="12" t="n"/>
      <c r="F77" s="12" t="n"/>
      <c r="G77" s="18" t="n"/>
      <c r="H77" s="29" t="n"/>
      <c r="I77" s="12" t="n"/>
      <c r="J77" s="29" t="n"/>
      <c r="K77" s="12" t="n"/>
    </row>
    <row r="78" ht="22" customHeight="1">
      <c r="B78" s="16">
        <f>IF(C78="","SDI-"&amp;TEXT(COUNTA($C$5:C78),"000"))</f>
        <v/>
      </c>
      <c r="C78" s="14" t="n"/>
      <c r="D78" s="14" t="n"/>
      <c r="E78" s="14" t="n"/>
      <c r="F78" s="14" t="n"/>
      <c r="G78" s="19" t="n"/>
      <c r="H78" s="30" t="n"/>
      <c r="I78" s="14" t="n"/>
      <c r="J78" s="30" t="n"/>
      <c r="K78" s="14" t="n"/>
    </row>
    <row r="79" ht="22" customHeight="1">
      <c r="B79" s="17">
        <f>IF(C79="","SDI-"&amp;TEXT(COUNTA($C$5:C79),"000"))</f>
        <v/>
      </c>
      <c r="C79" s="12" t="n"/>
      <c r="D79" s="12" t="n"/>
      <c r="E79" s="12" t="n"/>
      <c r="F79" s="12" t="n"/>
      <c r="G79" s="18" t="n"/>
      <c r="H79" s="29" t="n"/>
      <c r="I79" s="12" t="n"/>
      <c r="J79" s="29" t="n"/>
      <c r="K79" s="12" t="n"/>
    </row>
    <row r="80" ht="22" customHeight="1">
      <c r="B80" s="16">
        <f>IF(C80="","SDI-"&amp;TEXT(COUNTA($C$5:C80),"000"))</f>
        <v/>
      </c>
      <c r="C80" s="14" t="n"/>
      <c r="D80" s="14" t="n"/>
      <c r="E80" s="14" t="n"/>
      <c r="F80" s="14" t="n"/>
      <c r="G80" s="19" t="n"/>
      <c r="H80" s="30" t="n"/>
      <c r="I80" s="14" t="n"/>
      <c r="J80" s="30" t="n"/>
      <c r="K80" s="14" t="n"/>
    </row>
    <row r="81" ht="22" customHeight="1">
      <c r="B81" s="17">
        <f>IF(C81="","SDI-"&amp;TEXT(COUNTA($C$5:C81),"000"))</f>
        <v/>
      </c>
      <c r="C81" s="12" t="n"/>
      <c r="D81" s="12" t="n"/>
      <c r="E81" s="12" t="n"/>
      <c r="F81" s="12" t="n"/>
      <c r="G81" s="18" t="n"/>
      <c r="H81" s="29" t="n"/>
      <c r="I81" s="12" t="n"/>
      <c r="J81" s="29" t="n"/>
      <c r="K81" s="12" t="n"/>
    </row>
    <row r="82" ht="22" customHeight="1">
      <c r="B82" s="16">
        <f>IF(C82="","SDI-"&amp;TEXT(COUNTA($C$5:C82),"000"))</f>
        <v/>
      </c>
      <c r="C82" s="14" t="n"/>
      <c r="D82" s="14" t="n"/>
      <c r="E82" s="14" t="n"/>
      <c r="F82" s="14" t="n"/>
      <c r="G82" s="19" t="n"/>
      <c r="H82" s="30" t="n"/>
      <c r="I82" s="14" t="n"/>
      <c r="J82" s="30" t="n"/>
      <c r="K82" s="14" t="n"/>
    </row>
    <row r="83" ht="22" customHeight="1">
      <c r="B83" s="17">
        <f>IF(C83="","SDI-"&amp;TEXT(COUNTA($C$5:C83),"000"))</f>
        <v/>
      </c>
      <c r="C83" s="12" t="n"/>
      <c r="D83" s="12" t="n"/>
      <c r="E83" s="12" t="n"/>
      <c r="F83" s="12" t="n"/>
      <c r="G83" s="18" t="n"/>
      <c r="H83" s="29" t="n"/>
      <c r="I83" s="12" t="n"/>
      <c r="J83" s="29" t="n"/>
      <c r="K83" s="12" t="n"/>
    </row>
    <row r="84" ht="22" customHeight="1">
      <c r="B84" s="16">
        <f>IF(C84="","SDI-"&amp;TEXT(COUNTA($C$5:C84),"000"))</f>
        <v/>
      </c>
      <c r="C84" s="14" t="n"/>
      <c r="D84" s="14" t="n"/>
      <c r="E84" s="14" t="n"/>
      <c r="F84" s="14" t="n"/>
      <c r="G84" s="19" t="n"/>
      <c r="H84" s="30" t="n"/>
      <c r="I84" s="14" t="n"/>
      <c r="J84" s="30" t="n"/>
      <c r="K84" s="14" t="n"/>
    </row>
    <row r="85" ht="22" customHeight="1">
      <c r="B85" s="17">
        <f>IF(C85="","SDI-"&amp;TEXT(COUNTA($C$5:C85),"000"))</f>
        <v/>
      </c>
      <c r="C85" s="12" t="n"/>
      <c r="D85" s="12" t="n"/>
      <c r="E85" s="12" t="n"/>
      <c r="F85" s="12" t="n"/>
      <c r="G85" s="18" t="n"/>
      <c r="H85" s="29" t="n"/>
      <c r="I85" s="12" t="n"/>
      <c r="J85" s="29" t="n"/>
      <c r="K85" s="12" t="n"/>
    </row>
    <row r="86" ht="22" customHeight="1">
      <c r="B86" s="16">
        <f>IF(C86="","SDI-"&amp;TEXT(COUNTA($C$5:C86),"000"))</f>
        <v/>
      </c>
      <c r="C86" s="14" t="n"/>
      <c r="D86" s="14" t="n"/>
      <c r="E86" s="14" t="n"/>
      <c r="F86" s="14" t="n"/>
      <c r="G86" s="19" t="n"/>
      <c r="H86" s="30" t="n"/>
      <c r="I86" s="14" t="n"/>
      <c r="J86" s="30" t="n"/>
      <c r="K86" s="14" t="n"/>
    </row>
    <row r="87" ht="22" customHeight="1">
      <c r="B87" s="17">
        <f>IF(C87="","SDI-"&amp;TEXT(COUNTA($C$5:C87),"000"))</f>
        <v/>
      </c>
      <c r="C87" s="12" t="n"/>
      <c r="D87" s="12" t="n"/>
      <c r="E87" s="12" t="n"/>
      <c r="F87" s="12" t="n"/>
      <c r="G87" s="18" t="n"/>
      <c r="H87" s="29" t="n"/>
      <c r="I87" s="12" t="n"/>
      <c r="J87" s="29" t="n"/>
      <c r="K87" s="12" t="n"/>
    </row>
    <row r="88" ht="22" customHeight="1">
      <c r="B88" s="16">
        <f>IF(C88="","SDI-"&amp;TEXT(COUNTA($C$5:C88),"000"))</f>
        <v/>
      </c>
      <c r="C88" s="14" t="n"/>
      <c r="D88" s="14" t="n"/>
      <c r="E88" s="14" t="n"/>
      <c r="F88" s="14" t="n"/>
      <c r="G88" s="19" t="n"/>
      <c r="H88" s="30" t="n"/>
      <c r="I88" s="14" t="n"/>
      <c r="J88" s="30" t="n"/>
      <c r="K88" s="14" t="n"/>
    </row>
    <row r="89" ht="22" customHeight="1">
      <c r="B89" s="17">
        <f>IF(C89="","SDI-"&amp;TEXT(COUNTA($C$5:C89),"000"))</f>
        <v/>
      </c>
      <c r="C89" s="12" t="n"/>
      <c r="D89" s="12" t="n"/>
      <c r="E89" s="12" t="n"/>
      <c r="F89" s="12" t="n"/>
      <c r="G89" s="18" t="n"/>
      <c r="H89" s="29" t="n"/>
      <c r="I89" s="12" t="n"/>
      <c r="J89" s="29" t="n"/>
      <c r="K89" s="12" t="n"/>
    </row>
    <row r="90" ht="22" customHeight="1">
      <c r="B90" s="16">
        <f>IF(C90="","SDI-"&amp;TEXT(COUNTA($C$5:C90),"000"))</f>
        <v/>
      </c>
      <c r="C90" s="14" t="n"/>
      <c r="D90" s="14" t="n"/>
      <c r="E90" s="14" t="n"/>
      <c r="F90" s="14" t="n"/>
      <c r="G90" s="19" t="n"/>
      <c r="H90" s="30" t="n"/>
      <c r="I90" s="14" t="n"/>
      <c r="J90" s="30" t="n"/>
      <c r="K90" s="14" t="n"/>
    </row>
    <row r="91" ht="22" customHeight="1">
      <c r="B91" s="17">
        <f>IF(C91="","SDI-"&amp;TEXT(COUNTA($C$5:C91),"000"))</f>
        <v/>
      </c>
      <c r="C91" s="12" t="n"/>
      <c r="D91" s="12" t="n"/>
      <c r="E91" s="12" t="n"/>
      <c r="F91" s="12" t="n"/>
      <c r="G91" s="18" t="n"/>
      <c r="H91" s="29" t="n"/>
      <c r="I91" s="12" t="n"/>
      <c r="J91" s="29" t="n"/>
      <c r="K91" s="12" t="n"/>
    </row>
    <row r="92" ht="22" customHeight="1">
      <c r="B92" s="16">
        <f>IF(C92="","SDI-"&amp;TEXT(COUNTA($C$5:C92),"000"))</f>
        <v/>
      </c>
      <c r="C92" s="14" t="n"/>
      <c r="D92" s="14" t="n"/>
      <c r="E92" s="14" t="n"/>
      <c r="F92" s="14" t="n"/>
      <c r="G92" s="19" t="n"/>
      <c r="H92" s="30" t="n"/>
      <c r="I92" s="14" t="n"/>
      <c r="J92" s="30" t="n"/>
      <c r="K92" s="14" t="n"/>
    </row>
    <row r="93" ht="22" customHeight="1">
      <c r="B93" s="17">
        <f>IF(C93="","SDI-"&amp;TEXT(COUNTA($C$5:C93),"000"))</f>
        <v/>
      </c>
      <c r="C93" s="12" t="n"/>
      <c r="D93" s="12" t="n"/>
      <c r="E93" s="12" t="n"/>
      <c r="F93" s="12" t="n"/>
      <c r="G93" s="18" t="n"/>
      <c r="H93" s="29" t="n"/>
      <c r="I93" s="12" t="n"/>
      <c r="J93" s="29" t="n"/>
      <c r="K93" s="12" t="n"/>
    </row>
    <row r="94" ht="22" customHeight="1">
      <c r="B94" s="16">
        <f>IF(C94="","SDI-"&amp;TEXT(COUNTA($C$5:C94),"000"))</f>
        <v/>
      </c>
      <c r="C94" s="14" t="n"/>
      <c r="D94" s="14" t="n"/>
      <c r="E94" s="14" t="n"/>
      <c r="F94" s="14" t="n"/>
      <c r="G94" s="19" t="n"/>
      <c r="H94" s="30" t="n"/>
      <c r="I94" s="14" t="n"/>
      <c r="J94" s="30" t="n"/>
      <c r="K94" s="14" t="n"/>
    </row>
    <row r="95" ht="22" customHeight="1">
      <c r="B95" s="17">
        <f>IF(C95="","SDI-"&amp;TEXT(COUNTA($C$5:C95),"000"))</f>
        <v/>
      </c>
      <c r="C95" s="12" t="n"/>
      <c r="D95" s="12" t="n"/>
      <c r="E95" s="12" t="n"/>
      <c r="F95" s="12" t="n"/>
      <c r="G95" s="18" t="n"/>
      <c r="H95" s="29" t="n"/>
      <c r="I95" s="12" t="n"/>
      <c r="J95" s="29" t="n"/>
      <c r="K95" s="12" t="n"/>
    </row>
    <row r="96" ht="22" customHeight="1">
      <c r="B96" s="16">
        <f>IF(C96="","SDI-"&amp;TEXT(COUNTA($C$5:C96),"000"))</f>
        <v/>
      </c>
      <c r="C96" s="14" t="n"/>
      <c r="D96" s="14" t="n"/>
      <c r="E96" s="14" t="n"/>
      <c r="F96" s="14" t="n"/>
      <c r="G96" s="19" t="n"/>
      <c r="H96" s="30" t="n"/>
      <c r="I96" s="14" t="n"/>
      <c r="J96" s="30" t="n"/>
      <c r="K96" s="14" t="n"/>
    </row>
    <row r="97" ht="22" customHeight="1">
      <c r="B97" s="17">
        <f>IF(C97="","SDI-"&amp;TEXT(COUNTA($C$5:C97),"000"))</f>
        <v/>
      </c>
      <c r="C97" s="12" t="n"/>
      <c r="D97" s="12" t="n"/>
      <c r="E97" s="12" t="n"/>
      <c r="F97" s="12" t="n"/>
      <c r="G97" s="18" t="n"/>
      <c r="H97" s="29" t="n"/>
      <c r="I97" s="12" t="n"/>
      <c r="J97" s="29" t="n"/>
      <c r="K97" s="12" t="n"/>
    </row>
    <row r="98" ht="22" customHeight="1">
      <c r="B98" s="16">
        <f>IF(C98="","SDI-"&amp;TEXT(COUNTA($C$5:C98),"000"))</f>
        <v/>
      </c>
      <c r="C98" s="14" t="n"/>
      <c r="D98" s="14" t="n"/>
      <c r="E98" s="14" t="n"/>
      <c r="F98" s="14" t="n"/>
      <c r="G98" s="19" t="n"/>
      <c r="H98" s="30" t="n"/>
      <c r="I98" s="14" t="n"/>
      <c r="J98" s="30" t="n"/>
      <c r="K98" s="14" t="n"/>
    </row>
    <row r="99" ht="22" customHeight="1">
      <c r="B99" s="17">
        <f>IF(C99="","SDI-"&amp;TEXT(COUNTA($C$5:C99),"000"))</f>
        <v/>
      </c>
      <c r="C99" s="12" t="n"/>
      <c r="D99" s="12" t="n"/>
      <c r="E99" s="12" t="n"/>
      <c r="F99" s="12" t="n"/>
      <c r="G99" s="18" t="n"/>
      <c r="H99" s="29" t="n"/>
      <c r="I99" s="12" t="n"/>
      <c r="J99" s="29" t="n"/>
      <c r="K99" s="12" t="n"/>
    </row>
    <row r="100" ht="22" customHeight="1">
      <c r="B100" s="16">
        <f>IF(C100="","SDI-"&amp;TEXT(COUNTA($C$5:C100),"000"))</f>
        <v/>
      </c>
      <c r="C100" s="14" t="n"/>
      <c r="D100" s="14" t="n"/>
      <c r="E100" s="14" t="n"/>
      <c r="F100" s="14" t="n"/>
      <c r="G100" s="19" t="n"/>
      <c r="H100" s="30" t="n"/>
      <c r="I100" s="14" t="n"/>
      <c r="J100" s="30" t="n"/>
      <c r="K100" s="14" t="n"/>
    </row>
    <row r="101" ht="22" customHeight="1">
      <c r="B101" s="17">
        <f>IF(C101="","SDI-"&amp;TEXT(COUNTA($C$5:C101),"000"))</f>
        <v/>
      </c>
      <c r="C101" s="12" t="n"/>
      <c r="D101" s="12" t="n"/>
      <c r="E101" s="12" t="n"/>
      <c r="F101" s="12" t="n"/>
      <c r="G101" s="18" t="n"/>
      <c r="H101" s="29" t="n"/>
      <c r="I101" s="12" t="n"/>
      <c r="J101" s="29" t="n"/>
      <c r="K101" s="12" t="n"/>
    </row>
    <row r="102" ht="22" customHeight="1">
      <c r="B102" s="16">
        <f>IF(C102="","SDI-"&amp;TEXT(COUNTA($C$5:C102),"000"))</f>
        <v/>
      </c>
      <c r="C102" s="14" t="n"/>
      <c r="D102" s="14" t="n"/>
      <c r="E102" s="14" t="n"/>
      <c r="F102" s="14" t="n"/>
      <c r="G102" s="19" t="n"/>
      <c r="H102" s="30" t="n"/>
      <c r="I102" s="14" t="n"/>
      <c r="J102" s="30" t="n"/>
      <c r="K102" s="14" t="n"/>
    </row>
    <row r="103" ht="22" customHeight="1">
      <c r="B103" s="17">
        <f>IF(C103="","SDI-"&amp;TEXT(COUNTA($C$5:C103),"000"))</f>
        <v/>
      </c>
      <c r="C103" s="12" t="n"/>
      <c r="D103" s="12" t="n"/>
      <c r="E103" s="12" t="n"/>
      <c r="F103" s="12" t="n"/>
      <c r="G103" s="18" t="n"/>
      <c r="H103" s="29" t="n"/>
      <c r="I103" s="12" t="n"/>
      <c r="J103" s="29" t="n"/>
      <c r="K103" s="12" t="n"/>
    </row>
    <row r="104" ht="22" customHeight="1">
      <c r="B104" s="16">
        <f>IF(C104="","SDI-"&amp;TEXT(COUNTA($C$5:C104),"000"))</f>
        <v/>
      </c>
      <c r="C104" s="14" t="n"/>
      <c r="D104" s="14" t="n"/>
      <c r="E104" s="14" t="n"/>
      <c r="F104" s="14" t="n"/>
      <c r="G104" s="19" t="n"/>
      <c r="H104" s="30" t="n"/>
      <c r="I104" s="14" t="n"/>
      <c r="J104" s="30" t="n"/>
      <c r="K104" s="14" t="n"/>
    </row>
    <row r="105" ht="22" customHeight="1">
      <c r="B105" s="17">
        <f>IF(C105="","SDI-"&amp;TEXT(COUNTA($C$5:C105),"000"))</f>
        <v/>
      </c>
      <c r="C105" s="12" t="n"/>
      <c r="D105" s="12" t="n"/>
      <c r="E105" s="12" t="n"/>
      <c r="F105" s="12" t="n"/>
      <c r="G105" s="18" t="n"/>
      <c r="H105" s="29" t="n"/>
      <c r="I105" s="12" t="n"/>
      <c r="J105" s="29" t="n"/>
      <c r="K105" s="12" t="n"/>
    </row>
    <row r="106" ht="22" customHeight="1">
      <c r="B106" s="16">
        <f>IF(C106="","SDI-"&amp;TEXT(COUNTA($C$5:C106),"000"))</f>
        <v/>
      </c>
      <c r="C106" s="14" t="n"/>
      <c r="D106" s="14" t="n"/>
      <c r="E106" s="14" t="n"/>
      <c r="F106" s="14" t="n"/>
      <c r="G106" s="19" t="n"/>
      <c r="H106" s="30" t="n"/>
      <c r="I106" s="14" t="n"/>
      <c r="J106" s="30" t="n"/>
      <c r="K106" s="14" t="n"/>
    </row>
    <row r="107" ht="22" customHeight="1">
      <c r="B107" s="17">
        <f>IF(C107="","SDI-"&amp;TEXT(COUNTA($C$5:C107),"000"))</f>
        <v/>
      </c>
      <c r="C107" s="12" t="n"/>
      <c r="D107" s="12" t="n"/>
      <c r="E107" s="12" t="n"/>
      <c r="F107" s="12" t="n"/>
      <c r="G107" s="18" t="n"/>
      <c r="H107" s="29" t="n"/>
      <c r="I107" s="12" t="n"/>
      <c r="J107" s="29" t="n"/>
      <c r="K107" s="12" t="n"/>
    </row>
    <row r="108" ht="22" customHeight="1">
      <c r="B108" s="16">
        <f>IF(C108="","SDI-"&amp;TEXT(COUNTA($C$5:C108),"000"))</f>
        <v/>
      </c>
      <c r="C108" s="14" t="n"/>
      <c r="D108" s="14" t="n"/>
      <c r="E108" s="14" t="n"/>
      <c r="F108" s="14" t="n"/>
      <c r="G108" s="19" t="n"/>
      <c r="H108" s="30" t="n"/>
      <c r="I108" s="14" t="n"/>
      <c r="J108" s="30" t="n"/>
      <c r="K108" s="14" t="n"/>
    </row>
    <row r="109"/>
    <row r="110">
      <c r="B110" s="6" t="inlineStr">
        <is>
          <t>INDICATEURS (mis a jour automatiquement)</t>
        </is>
      </c>
    </row>
    <row r="111">
      <c r="B111" s="3" t="inlineStr">
        <is>
          <t>Dossiers incomplets</t>
        </is>
      </c>
      <c r="D111" s="3" t="inlineStr">
        <is>
          <t>Total pieces manq.</t>
        </is>
      </c>
      <c r="F111" s="3" t="inlineStr">
        <is>
          <t>En retard</t>
        </is>
      </c>
    </row>
    <row r="112">
      <c r="B112" s="4">
        <f>COUNTIF(B5:B104,"&lt;&gt;")</f>
        <v/>
      </c>
      <c r="D112" s="4">
        <f>SUM(G5:G104)</f>
        <v/>
      </c>
      <c r="F112" s="4">
        <f>COUNTIF(K5:K104,"En retard")</f>
        <v/>
      </c>
    </row>
  </sheetData>
  <mergeCells count="3">
    <mergeCell ref="B110:K110"/>
    <mergeCell ref="B3:K3"/>
    <mergeCell ref="B2:K2"/>
  </mergeCells>
  <conditionalFormatting sqref="K5:K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1">
      <formula>"En attente"</formula>
    </cfRule>
    <cfRule type="cellIs" priority="77" operator="equal" dxfId="1">
      <formula>"A renouveler"</formula>
    </cfRule>
    <cfRule type="cellIs" priority="78" operator="equal" dxfId="1">
      <formula>"En cours"</formula>
    </cfRule>
    <cfRule type="cellIs" priority="79" operator="equal" dxfId="1">
      <formula>"En traitement"</formula>
    </cfRule>
    <cfRule type="cellIs" priority="80" operator="equal" dxfId="1">
      <formula>"En retard"</formula>
    </cfRule>
    <cfRule type="cellIs" priority="81" operator="equal" dxfId="1">
      <formula>"Suspendu"</formula>
    </cfRule>
    <cfRule type="cellIs" priority="82" operator="equal" dxfId="1">
      <formula>"Planifie"</formula>
    </cfRule>
    <cfRule type="cellIs" priority="83" operator="equal" dxfId="1">
      <formula>"Planifiee"</formula>
    </cfRule>
    <cfRule type="cellIs" priority="84" operator="equal" dxfId="1">
      <formula>"Brouillon"</formula>
    </cfRule>
    <cfRule type="cellIs" priority="85" operator="equal" dxfId="1">
      <formula>"En attente de justification"</formula>
    </cfRule>
    <cfRule type="cellIs" priority="86" operator="equal" dxfId="1">
      <formula>"Tolere"</formula>
    </cfRule>
    <cfRule type="cellIs" priority="87" operator="equal" dxfId="1">
      <formula>"Variable"</formula>
    </cfRule>
    <cfRule type="cellIs" priority="88" operator="equal" dxfId="1">
      <formula>"En elaboration"</formula>
    </cfRule>
    <cfRule type="cellIs" priority="89" operator="equal" dxfId="1">
      <formula>"Provisionne"</formula>
    </cfRule>
    <cfRule type="cellIs" priority="90" operator="equal" dxfId="1">
      <formula>"Consomme partiel"</formula>
    </cfRule>
    <cfRule type="cellIs" priority="91" operator="equal" dxfId="1">
      <formula>"Identifie"</formula>
    </cfRule>
    <cfRule type="cellIs" priority="92" operator="equal" dxfId="1">
      <formula>"Priorise"</formula>
    </cfRule>
    <cfRule type="cellIs" priority="93" operator="equal" dxfId="1">
      <formula>"Intermediaire"</formula>
    </cfRule>
    <cfRule type="cellIs" priority="94" operator="equal" dxfId="1">
      <formula>"Non evalue"</formula>
    </cfRule>
    <cfRule type="cellIs" priority="95" operator="equal" dxfId="1">
      <formula>"En cours de realisation"</formula>
    </cfRule>
    <cfRule type="cellIs" priority="96" operator="equal" dxfId="1">
      <formula>"Non demarre"</formula>
    </cfRule>
    <cfRule type="cellIs" priority="97" operator="equal" dxfId="1">
      <formula>"En attente N+1"</formula>
    </cfRule>
    <cfRule type="cellIs" priority="98" operator="equal" dxfId="1">
      <formula>"Prolongation essai"</formula>
    </cfRule>
    <cfRule type="cellIs" priority="99" operator="equal" dxfId="1">
      <formula>"En attente validation"</formula>
    </cfRule>
    <cfRule type="cellIs" priority="100" operator="equal" dxfId="1">
      <formula>"Bon"</formula>
    </cfRule>
    <cfRule type="cellIs" priority="101" operator="equal" dxfId="1">
      <formula>"D - Moyen"</formula>
    </cfRule>
    <cfRule type="cellIs" priority="102" operator="equal" dxfId="1">
      <formula>"En cours de repres."</formula>
    </cfRule>
    <cfRule type="cellIs" priority="103" operator="equal" dxfId="1">
      <formula>"En negociation"</formula>
    </cfRule>
    <cfRule type="cellIs" priority="104" operator="equal" dxfId="1">
      <formula>"En preparation"</formula>
    </cfRule>
    <cfRule type="cellIs" priority="105" operator="equal" dxfId="1">
      <formula>"En cours d'instruction"</formula>
    </cfRule>
    <cfRule type="cellIs" priority="106" operator="equal" dxfId="1">
      <formula>"Transferee N+1"</formula>
    </cfRule>
    <cfRule type="cellIs" priority="107" operator="equal" dxfId="1">
      <formula>"En attente reponse"</formula>
    </cfRule>
    <cfRule type="cellIs" priority="108" operator="equal" dxfId="1">
      <formula>"Enquete ouverte"</formula>
    </cfRule>
    <cfRule type="cellIs" priority="109" operator="equal" dxfId="1">
      <formula>"Convocation envoyee"</formula>
    </cfRule>
    <cfRule type="cellIs" priority="110" operator="equal" dxfId="1">
      <formula>"Entretien realise"</formula>
    </cfRule>
    <cfRule type="cellIs" priority="111" operator="equal" dxfId="1">
      <formula>"Saisie"</formula>
    </cfRule>
    <cfRule type="cellIs" priority="112" operator="equal" dxfId="1">
      <formula>"En mediation"</formula>
    </cfRule>
    <cfRule type="cellIs" priority="113" operator="equal" dxfId="1">
      <formula>"En recours"</formula>
    </cfRule>
    <cfRule type="cellIs" priority="114" operator="equal" dxfId="1">
      <formula>"Reportee"</formula>
    </cfRule>
    <cfRule type="cellIs" priority="115" operator="equal" dxfId="1">
      <formula>"Reporte"</formula>
    </cfRule>
    <cfRule type="cellIs" priority="116" operator="equal" dxfId="1">
      <formula>"Signale"</formula>
    </cfRule>
    <cfRule type="cellIs" priority="117" operator="equal" dxfId="1">
      <formula>"Precontentieux"</formula>
    </cfRule>
    <cfRule type="cellIs" priority="118" operator="equal" dxfId="1">
      <formula>"En attente election"</formula>
    </cfRule>
    <cfRule type="cellIs" priority="119" operator="equal" dxfId="1">
      <formula>"Classe"</formula>
    </cfRule>
    <cfRule type="cellIs" priority="120" operator="equal" dxfId="1">
      <formula>"En cours d'evaluation"</formula>
    </cfRule>
    <cfRule type="cellIs" priority="121" operator="equal" dxfId="1">
      <formula>"En cours d'enquete"</formula>
    </cfRule>
    <cfRule type="cellIs" priority="122" operator="equal" dxfId="1">
      <formula>"En cours de commande"</formula>
    </cfRule>
    <cfRule type="cellIs" priority="123" operator="equal" dxfId="1">
      <formula>"A revoir"</formula>
    </cfRule>
    <cfRule type="cellIs" priority="124" operator="equal" dxfId="1">
      <formula>"A remplacer"</formula>
    </cfRule>
    <cfRule type="cellIs" priority="125" operator="equal" dxfId="1">
      <formula>"En cours d'instruction CNPS"</formula>
    </cfRule>
    <cfRule type="cellIs" priority="126" operator="equal" dxfId="1">
      <formula>"En contestation"</formula>
    </cfRule>
    <cfRule type="cellIs" priority="127" operator="equal" dxfId="1">
      <formula>"Inapte temporaire"</formula>
    </cfRule>
    <cfRule type="cellIs" priority="128" operator="equal" dxfId="1">
      <formula>"Candidat identifie"</formula>
    </cfRule>
    <cfRule type="cellIs" priority="129" operator="equal" dxfId="1">
      <formula>"En formation"</formula>
    </cfRule>
    <cfRule type="cellIs" priority="130" operator="equal" dxfId="1">
      <formula>"En evaluation"</formula>
    </cfRule>
    <cfRule type="cellIs" priority="131" operator="equal" dxfId="1">
      <formula>"En transit"</formula>
    </cfRule>
    <cfRule type="cellIs" priority="132" operator="equal" dxfId="1">
      <formula>"En attente visa"</formula>
    </cfRule>
    <cfRule type="cellIs" priority="133" operator="equal" dxfId="1">
      <formula>"Proposee"</formula>
    </cfRule>
    <cfRule type="cellIs" priority="134" operator="equal" dxfId="1">
      <formula>"En cours d'acquisition"</formula>
    </cfRule>
    <cfRule type="cellIs" priority="135" operator="equal" dxfId="1">
      <formula>"A developper"</formula>
    </cfRule>
    <cfRule type="cellIs" priority="136" operator="equal" dxfId="1">
      <formula>"A renforcer"</formula>
    </cfRule>
    <cfRule type="cellIs" priority="137" operator="equal" dxfId="1">
      <formula>"En cours"</formula>
    </cfRule>
    <cfRule type="cellIs" priority="138" operator="equal" dxfId="1">
      <formula>"Partiellement conforme"</formula>
    </cfRule>
    <cfRule type="cellIs" priority="139" operator="equal" dxfId="1">
      <formula>"En mise en conformite"</formula>
    </cfRule>
    <cfRule type="cellIs" priority="140" operator="equal" dxfId="1">
      <formula>"En revision"</formula>
    </cfRule>
    <cfRule type="cellIs" priority="141" operator="equal" dxfId="1">
      <formula>"A approuver"</formula>
    </cfRule>
    <cfRule type="cellIs" priority="142" operator="equal" dxfId="1">
      <formula>"En conciliation"</formula>
    </cfRule>
    <cfRule type="cellIs" priority="143" operator="equal" dxfId="1">
      <formula>"Assigne tribunal"</formula>
    </cfRule>
    <cfRule type="cellIs" priority="144" operator="equal" dxfId="1">
      <formula>"En cours de preparation"</formula>
    </cfRule>
    <cfRule type="cellIs" priority="145" operator="equal" dxfId="1">
      <formula>"Non effectuee"</formula>
    </cfRule>
    <cfRule type="cellIs" priority="146" operator="equal" dxfId="1">
      <formula>"A archiver"</formula>
    </cfRule>
    <cfRule type="cellIs" priority="147" operator="equal" dxfId="1">
      <formula>"En cours de constitution"</formula>
    </cfRule>
    <cfRule type="cellIs" priority="148" operator="equal" dxfId="1">
      <formula>"A mettre a jour"</formula>
    </cfRule>
    <cfRule type="cellIs" priority="149" operator="equal" dxfId="1">
      <formula>"En restoration"</formula>
    </cfRule>
    <cfRule type="cellIs" priority="150" operator="equal" dxfId="1">
      <formula>"En cours de restauration"</formula>
    </cfRule>
    <cfRule type="cellIs" priority="151" operator="equal" dxfId="1">
      <formula>"A determiner"</formula>
    </cfRule>
    <cfRule type="cellIs" priority="152" operator="equal" dxfId="1">
      <formula>"En revision"</formula>
    </cfRule>
    <cfRule type="cellIs" priority="153" operator="equal" dxfId="1">
      <formula>"Obsolete"</formula>
    </cfRule>
    <cfRule type="cellIs" priority="154" operator="equal" dxfId="1">
      <formula>"Hybride (papier + numerique)"</formula>
    </cfRule>
    <cfRule type="cellIs" priority="155" operator="equal" dxfId="2">
      <formula>"Expire"</formula>
    </cfRule>
    <cfRule type="cellIs" priority="156" operator="equal" dxfId="2">
      <formula>"Rejete"</formula>
    </cfRule>
    <cfRule type="cellIs" priority="157" operator="equal" dxfId="2">
      <formula>"Rejetee"</formula>
    </cfRule>
    <cfRule type="cellIs" priority="158" operator="equal" dxfId="2">
      <formula>"Resilie"</formula>
    </cfRule>
    <cfRule type="cellIs" priority="159" operator="equal" dxfId="2">
      <formula>"Annule"</formula>
    </cfRule>
    <cfRule type="cellIs" priority="160" operator="equal" dxfId="2">
      <formula>"Annulee"</formula>
    </cfRule>
    <cfRule type="cellIs" priority="161" operator="equal" dxfId="2">
      <formula>"Refuse"</formula>
    </cfRule>
    <cfRule type="cellIs" priority="162" operator="equal" dxfId="2">
      <formula>"Non justifie"</formula>
    </cfRule>
    <cfRule type="cellIs" priority="163" operator="equal" dxfId="2">
      <formula>"Non justifiee"</formula>
    </cfRule>
    <cfRule type="cellIs" priority="164" operator="equal" dxfId="2">
      <formula>"Sanctionne"</formula>
    </cfRule>
    <cfRule type="cellIs" priority="165" operator="equal" dxfId="2">
      <formula>"Inaptitude"</formula>
    </cfRule>
    <cfRule type="cellIs" priority="166" operator="equal" dxfId="2">
      <formula>"Absent sans autorisation"</formula>
    </cfRule>
    <cfRule type="cellIs" priority="167" operator="equal" dxfId="2">
      <formula>"Abandon de poste"</formula>
    </cfRule>
    <cfRule type="cellIs" priority="168" operator="equal" dxfId="2">
      <formula>"Non satisfait"</formula>
    </cfRule>
    <cfRule type="cellIs" priority="169" operator="equal" dxfId="2">
      <formula>"Depasse"</formula>
    </cfRule>
    <cfRule type="cellIs" priority="170" operator="equal" dxfId="2">
      <formula>"Non utilise"</formula>
    </cfRule>
    <cfRule type="cellIs" priority="171" operator="equal" dxfId="2">
      <formula>"Non applicable"</formula>
    </cfRule>
    <cfRule type="cellIs" priority="172" operator="equal" dxfId="2">
      <formula>"Debutant"</formula>
    </cfRule>
    <cfRule type="cellIs" priority="173" operator="equal" dxfId="2">
      <formula>"Non atteint"</formula>
    </cfRule>
    <cfRule type="cellIs" priority="174" operator="equal" dxfId="2">
      <formula>"Abandonne"</formula>
    </cfRule>
    <cfRule type="cellIs" priority="175" operator="equal" dxfId="2">
      <formula>"Rupture essai"</formula>
    </cfRule>
    <cfRule type="cellIs" priority="176" operator="equal" dxfId="2">
      <formula>"Insuffisant"</formula>
    </cfRule>
    <cfRule type="cellIs" priority="177" operator="equal" dxfId="2">
      <formula>"Moyen"</formula>
    </cfRule>
    <cfRule type="cellIs" priority="178" operator="equal" dxfId="2">
      <formula>"E - Insuffisant"</formula>
    </cfRule>
    <cfRule type="cellIs" priority="179" operator="equal" dxfId="2">
      <formula>"Dissous"</formula>
    </cfRule>
    <cfRule type="cellIs" priority="180" operator="equal" dxfId="2">
      <formula>"Denonce"</formula>
    </cfRule>
    <cfRule type="cellIs" priority="181" operator="equal" dxfId="2">
      <formula>"Echoue"</formula>
    </cfRule>
    <cfRule type="cellIs" priority="182" operator="equal" dxfId="2">
      <formula>"Echouee"</formula>
    </cfRule>
    <cfRule type="cellIs" priority="183" operator="equal" dxfId="2">
      <formula>"Revoque"</formula>
    </cfRule>
    <cfRule type="cellIs" priority="184" operator="equal" dxfId="2">
      <formula>"Demissionnaire"</formula>
    </cfRule>
    <cfRule type="cellIs" priority="185" operator="equal" dxfId="2">
      <formula>"Licenciement pour faute"</formula>
    </cfRule>
    <cfRule type="cellIs" priority="186" operator="equal" dxfId="2">
      <formula>"Licenciement pour faute grave"</formula>
    </cfRule>
    <cfRule type="cellIs" priority="187" operator="equal" dxfId="2">
      <formula>"Terminee - Echec"</formula>
    </cfRule>
    <cfRule type="cellIs" priority="188" operator="equal" dxfId="2">
      <formula>"Abandonnee"</formula>
    </cfRule>
    <cfRule type="cellIs" priority="189" operator="equal" dxfId="2">
      <formula>"Violence physique"</formula>
    </cfRule>
    <cfRule type="cellIs" priority="190" operator="equal" dxfId="2">
      <formula>"Violence verbale"</formula>
    </cfRule>
    <cfRule type="cellIs" priority="191" operator="equal" dxfId="2">
      <formula>"Fatal"</formula>
    </cfRule>
    <cfRule type="cellIs" priority="192" operator="equal" dxfId="2">
      <formula>"Non reconnue"</formula>
    </cfRule>
    <cfRule type="cellIs" priority="193" operator="equal" dxfId="2">
      <formula>"Inapte definitif"</formula>
    </cfRule>
    <cfRule type="cellIs" priority="194" operator="equal" dxfId="2">
      <formula>"Perdu / vole"</formula>
    </cfRule>
    <cfRule type="cellIs" priority="195" operator="equal" dxfId="2">
      <formula>"Rebute"</formula>
    </cfRule>
    <cfRule type="cellIs" priority="196" operator="equal" dxfId="2">
      <formula>"Obsolette"</formula>
    </cfRule>
    <cfRule type="cellIs" priority="197" operator="equal" dxfId="2">
      <formula>"Conteste"</formula>
    </cfRule>
    <cfRule type="cellIs" priority="198" operator="equal" dxfId="2">
      <formula>"Refusee"</formula>
    </cfRule>
    <cfRule type="cellIs" priority="199" operator="equal" dxfId="2">
      <formula>"Non retenu"</formula>
    </cfRule>
    <cfRule type="cellIs" priority="200" operator="equal" dxfId="2">
      <formula>"Non acquis"</formula>
    </cfRule>
    <cfRule type="cellIs" priority="201" operator="equal" dxfId="2">
      <formula>"Contrat termine"</formula>
    </cfRule>
    <cfRule type="cellIs" priority="202" operator="equal" dxfId="2">
      <formula>"Rapatrie"</formula>
    </cfRule>
    <cfRule type="cellIs" priority="203" operator="equal" dxfId="2">
      <formula>"Non conforme"</formula>
    </cfRule>
    <cfRule type="cellIs" priority="204" operator="equal" dxfId="2">
      <formula>"Abandonne"</formula>
    </cfRule>
    <cfRule type="cellIs" priority="205" operator="equal" dxfId="2">
      <formula>"Perdu"</formula>
    </cfRule>
    <cfRule type="cellIs" priority="206" operator="equal" dxfId="2">
      <formula>"Resilie"</formula>
    </cfRule>
    <cfRule type="cellIs" priority="207" operator="equal" dxfId="2">
      <formula>"Expire"</formula>
    </cfRule>
    <cfRule type="cellIs" priority="208" operator="equal" dxfId="2">
      <formula>"Incomplet"</formula>
    </cfRule>
    <cfRule type="cellIs" priority="209" operator="equal" dxfId="2">
      <formula>"Non restitue"</formula>
    </cfRule>
    <cfRule type="cellIs" priority="210" operator="equal" dxfId="2">
      <formula>"Perdu"</formula>
    </cfRule>
    <cfRule type="cellIs" priority="211" operator="equal" dxfId="2">
      <formula>"Secret"</formula>
    </cfRule>
  </conditionalFormatting>
  <conditionalFormatting sqref="B9:B108">
    <cfRule type="expression" priority="212" dxfId="3">
      <formula>AND($C9="",$C8&lt;&gt;"")</formula>
    </cfRule>
  </conditionalFormatting>
  <conditionalFormatting sqref="C9:C108">
    <cfRule type="expression" priority="213" dxfId="3">
      <formula>AND($C9="",$C8&lt;&gt;"")</formula>
    </cfRule>
  </conditionalFormatting>
  <conditionalFormatting sqref="D9:D108">
    <cfRule type="expression" priority="214" dxfId="3">
      <formula>AND($C9="",$C8&lt;&gt;"")</formula>
    </cfRule>
  </conditionalFormatting>
  <conditionalFormatting sqref="E9:E108">
    <cfRule type="expression" priority="215" dxfId="3">
      <formula>AND($C9="",$C8&lt;&gt;"")</formula>
    </cfRule>
  </conditionalFormatting>
  <conditionalFormatting sqref="F9:F108">
    <cfRule type="expression" priority="216" dxfId="3">
      <formula>AND($C9="",$C8&lt;&gt;"")</formula>
    </cfRule>
  </conditionalFormatting>
  <conditionalFormatting sqref="G9:G108">
    <cfRule type="expression" priority="217" dxfId="3">
      <formula>AND($C9="",$C8&lt;&gt;"")</formula>
    </cfRule>
  </conditionalFormatting>
  <conditionalFormatting sqref="H9:H108">
    <cfRule type="expression" priority="218" dxfId="3">
      <formula>AND($C9="",$C8&lt;&gt;"")</formula>
    </cfRule>
  </conditionalFormatting>
  <conditionalFormatting sqref="I9:I108">
    <cfRule type="expression" priority="219" dxfId="3">
      <formula>AND($C9="",$C8&lt;&gt;"")</formula>
    </cfRule>
  </conditionalFormatting>
  <conditionalFormatting sqref="J9:J108">
    <cfRule type="expression" priority="220" dxfId="3">
      <formula>AND($C9="",$C8&lt;&gt;"")</formula>
    </cfRule>
  </conditionalFormatting>
  <conditionalFormatting sqref="K9:K108">
    <cfRule type="expression" priority="221" dxfId="3">
      <formula>AND($C9="",$C8&lt;&gt;"")</formula>
    </cfRule>
  </conditionalFormatting>
  <dataValidations count="3">
    <dataValidation sqref="D5:D108" showDropDown="0" showInputMessage="0" showErrorMessage="0" allowBlank="1" errorTitle="Erreur" error="Valeur invalide" promptTitle="Liste" prompt="Choisir dans la liste" type="list">
      <formula1>'_Lists'!$C$2:$C$25</formula1>
    </dataValidation>
    <dataValidation sqref="E5:E108" showDropDown="0" showInputMessage="0" showErrorMessage="0" allowBlank="1" errorTitle="Erreur" error="Valeur invalide" promptTitle="Liste" prompt="Choisir dans la liste" type="list">
      <formula1>'_Lists'!$B$2:$B$14</formula1>
    </dataValidation>
    <dataValidation sqref="K5:K108" showDropDown="0" showInputMessage="0" showErrorMessage="0" allowBlank="1" errorTitle="Erreur" error="Valeur invalide" promptTitle="Liste" prompt="Choisir dans la liste" type="list">
      <formula1>'_Lists'!$N$2:$N$6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0" customWidth="1" min="4" max="4"/>
    <col width="22" customWidth="1" min="5" max="5"/>
    <col width="24" customWidth="1" min="6" max="6"/>
    <col width="22" customWidth="1" min="7" max="7"/>
    <col width="24" customWidth="1" min="8" max="8"/>
    <col width="20" customWidth="1" min="9" max="9"/>
  </cols>
  <sheetData>
    <row r="1" ht="15" customHeight="1"/>
    <row r="2" ht="32" customHeight="1">
      <c r="B2" s="1" t="inlineStr">
        <is>
          <t>INDICATEURS D'ARCHIVAGE — Mensuel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Mois</t>
        </is>
      </c>
      <c r="D4" s="11" t="inlineStr">
        <is>
          <t>Annee</t>
        </is>
      </c>
      <c r="E4" s="11" t="inlineStr">
        <is>
          <t>Nb Docs. Numerises</t>
        </is>
      </c>
      <c r="F4" s="11" t="inlineStr">
        <is>
          <t>Nb Docs. Archives Phys.</t>
        </is>
      </c>
      <c r="G4" s="11" t="inlineStr">
        <is>
          <t>Nb Sorties Documents</t>
        </is>
      </c>
      <c r="H4" s="11" t="inlineStr">
        <is>
          <t>Nb Dossiers Incomplets</t>
        </is>
      </c>
      <c r="I4" s="11" t="inlineStr">
        <is>
          <t>Taux Completude (%)</t>
        </is>
      </c>
    </row>
    <row r="5" ht="22" customHeight="1">
      <c r="B5" s="12" t="inlineStr">
        <is>
          <t>IA-001</t>
        </is>
      </c>
      <c r="C5" s="12" t="inlineStr">
        <is>
          <t>Janvier</t>
        </is>
      </c>
      <c r="D5" s="12" t="inlineStr">
        <is>
          <t>2025</t>
        </is>
      </c>
      <c r="E5" s="18" t="n">
        <v>45</v>
      </c>
      <c r="F5" s="18" t="n">
        <v>20</v>
      </c>
      <c r="G5" s="18" t="n">
        <v>5</v>
      </c>
      <c r="H5" s="18" t="n">
        <v>3</v>
      </c>
      <c r="I5" s="31" t="n"/>
    </row>
    <row r="6" ht="22" customHeight="1">
      <c r="B6" s="14" t="inlineStr">
        <is>
          <t>IA-002</t>
        </is>
      </c>
      <c r="C6" s="14" t="inlineStr">
        <is>
          <t>Fevrier</t>
        </is>
      </c>
      <c r="D6" s="14" t="inlineStr">
        <is>
          <t>2025</t>
        </is>
      </c>
      <c r="E6" s="19" t="n">
        <v>52</v>
      </c>
      <c r="F6" s="19" t="n">
        <v>15</v>
      </c>
      <c r="G6" s="19" t="n">
        <v>4</v>
      </c>
      <c r="H6" s="19" t="n">
        <v>2</v>
      </c>
      <c r="I6" s="32" t="n"/>
    </row>
    <row r="7" ht="22" customHeight="1">
      <c r="B7" s="12" t="inlineStr">
        <is>
          <t>IA-003</t>
        </is>
      </c>
      <c r="C7" s="12" t="inlineStr">
        <is>
          <t>Mars</t>
        </is>
      </c>
      <c r="D7" s="12" t="inlineStr">
        <is>
          <t>2025</t>
        </is>
      </c>
      <c r="E7" s="18" t="n">
        <v>38</v>
      </c>
      <c r="F7" s="18" t="n">
        <v>25</v>
      </c>
      <c r="G7" s="18" t="n">
        <v>8</v>
      </c>
      <c r="H7" s="18" t="n">
        <v>4</v>
      </c>
      <c r="I7" s="31" t="n"/>
    </row>
    <row r="8" ht="22" customHeight="1">
      <c r="B8" s="14" t="inlineStr">
        <is>
          <t>IA-004</t>
        </is>
      </c>
      <c r="C8" s="14" t="inlineStr">
        <is>
          <t>Avril</t>
        </is>
      </c>
      <c r="D8" s="14" t="inlineStr">
        <is>
          <t>2025</t>
        </is>
      </c>
      <c r="E8" s="19" t="n">
        <v>60</v>
      </c>
      <c r="F8" s="19" t="n">
        <v>10</v>
      </c>
      <c r="G8" s="19" t="n">
        <v>3</v>
      </c>
      <c r="H8" s="19" t="n">
        <v>3</v>
      </c>
      <c r="I8" s="32" t="n"/>
    </row>
    <row r="9" ht="22" customHeight="1">
      <c r="B9" s="12" t="inlineStr">
        <is>
          <t>IA-005</t>
        </is>
      </c>
      <c r="C9" s="12" t="inlineStr">
        <is>
          <t>Mai</t>
        </is>
      </c>
      <c r="D9" s="12" t="inlineStr">
        <is>
          <t>2025</t>
        </is>
      </c>
      <c r="E9" s="18" t="n">
        <v>55</v>
      </c>
      <c r="F9" s="18" t="n">
        <v>18</v>
      </c>
      <c r="G9" s="18" t="n">
        <v>6</v>
      </c>
      <c r="H9" s="18" t="n">
        <v>4</v>
      </c>
      <c r="I9" s="31" t="n"/>
    </row>
    <row r="10" ht="22" customHeight="1">
      <c r="B10" s="16">
        <f>IF(C10="","IA-"&amp;TEXT(COUNTA($C$5:C10),"000"))</f>
        <v/>
      </c>
      <c r="C10" s="14" t="n"/>
      <c r="D10" s="14" t="n"/>
      <c r="E10" s="19" t="n"/>
      <c r="F10" s="19" t="n"/>
      <c r="G10" s="19" t="n"/>
      <c r="H10" s="19" t="n"/>
      <c r="I10" s="32">
        <f>IF(89=0,"",1-H10/89)</f>
        <v/>
      </c>
    </row>
    <row r="11" ht="22" customHeight="1">
      <c r="B11" s="17">
        <f>IF(C11="","IA-"&amp;TEXT(COUNTA($C$5:C11),"000"))</f>
        <v/>
      </c>
      <c r="C11" s="12" t="n"/>
      <c r="D11" s="12" t="n"/>
      <c r="E11" s="18" t="n"/>
      <c r="F11" s="18" t="n"/>
      <c r="G11" s="18" t="n"/>
      <c r="H11" s="18" t="n"/>
      <c r="I11" s="31">
        <f>IF(89=0,"",1-H11/89)</f>
        <v/>
      </c>
    </row>
    <row r="12" ht="22" customHeight="1">
      <c r="B12" s="16">
        <f>IF(C12="","IA-"&amp;TEXT(COUNTA($C$5:C12),"000"))</f>
        <v/>
      </c>
      <c r="C12" s="14" t="n"/>
      <c r="D12" s="14" t="n"/>
      <c r="E12" s="19" t="n"/>
      <c r="F12" s="19" t="n"/>
      <c r="G12" s="19" t="n"/>
      <c r="H12" s="19" t="n"/>
      <c r="I12" s="32">
        <f>IF(89=0,"",1-H12/89)</f>
        <v/>
      </c>
    </row>
    <row r="13" ht="22" customHeight="1">
      <c r="B13" s="17">
        <f>IF(C13="","IA-"&amp;TEXT(COUNTA($C$5:C13),"000"))</f>
        <v/>
      </c>
      <c r="C13" s="12" t="n"/>
      <c r="D13" s="12" t="n"/>
      <c r="E13" s="18" t="n"/>
      <c r="F13" s="18" t="n"/>
      <c r="G13" s="18" t="n"/>
      <c r="H13" s="18" t="n"/>
      <c r="I13" s="31">
        <f>IF(89=0,"",1-H13/89)</f>
        <v/>
      </c>
    </row>
    <row r="14" ht="22" customHeight="1">
      <c r="B14" s="16">
        <f>IF(C14="","IA-"&amp;TEXT(COUNTA($C$5:C14),"000"))</f>
        <v/>
      </c>
      <c r="C14" s="14" t="n"/>
      <c r="D14" s="14" t="n"/>
      <c r="E14" s="19" t="n"/>
      <c r="F14" s="19" t="n"/>
      <c r="G14" s="19" t="n"/>
      <c r="H14" s="19" t="n"/>
      <c r="I14" s="32">
        <f>IF(89=0,"",1-H14/89)</f>
        <v/>
      </c>
    </row>
    <row r="15" ht="22" customHeight="1">
      <c r="B15" s="17">
        <f>IF(C15="","IA-"&amp;TEXT(COUNTA($C$5:C15),"000"))</f>
        <v/>
      </c>
      <c r="C15" s="12" t="n"/>
      <c r="D15" s="12" t="n"/>
      <c r="E15" s="18" t="n"/>
      <c r="F15" s="18" t="n"/>
      <c r="G15" s="18" t="n"/>
      <c r="H15" s="18" t="n"/>
      <c r="I15" s="31">
        <f>IF(89=0,"",1-H15/89)</f>
        <v/>
      </c>
    </row>
    <row r="16" ht="22" customHeight="1">
      <c r="B16" s="16">
        <f>IF(C16="","IA-"&amp;TEXT(COUNTA($C$5:C16),"000"))</f>
        <v/>
      </c>
      <c r="C16" s="14" t="n"/>
      <c r="D16" s="14" t="n"/>
      <c r="E16" s="19" t="n"/>
      <c r="F16" s="19" t="n"/>
      <c r="G16" s="19" t="n"/>
      <c r="H16" s="19" t="n"/>
      <c r="I16" s="32">
        <f>IF(89=0,"",1-H16/89)</f>
        <v/>
      </c>
    </row>
    <row r="17" ht="22" customHeight="1">
      <c r="B17" s="17">
        <f>IF(C17="","IA-"&amp;TEXT(COUNTA($C$5:C17),"000"))</f>
        <v/>
      </c>
      <c r="C17" s="12" t="n"/>
      <c r="D17" s="12" t="n"/>
      <c r="E17" s="18" t="n"/>
      <c r="F17" s="18" t="n"/>
      <c r="G17" s="18" t="n"/>
      <c r="H17" s="18" t="n"/>
      <c r="I17" s="31">
        <f>IF(89=0,"",1-H17/89)</f>
        <v/>
      </c>
    </row>
    <row r="18" ht="22" customHeight="1">
      <c r="B18" s="16">
        <f>IF(C18="","IA-"&amp;TEXT(COUNTA($C$5:C18),"000"))</f>
        <v/>
      </c>
      <c r="C18" s="14" t="n"/>
      <c r="D18" s="14" t="n"/>
      <c r="E18" s="19" t="n"/>
      <c r="F18" s="19" t="n"/>
      <c r="G18" s="19" t="n"/>
      <c r="H18" s="19" t="n"/>
      <c r="I18" s="32">
        <f>IF(89=0,"",1-H18/89)</f>
        <v/>
      </c>
    </row>
    <row r="19" ht="22" customHeight="1">
      <c r="B19" s="17">
        <f>IF(C19="","IA-"&amp;TEXT(COUNTA($C$5:C19),"000"))</f>
        <v/>
      </c>
      <c r="C19" s="12" t="n"/>
      <c r="D19" s="12" t="n"/>
      <c r="E19" s="18" t="n"/>
      <c r="F19" s="18" t="n"/>
      <c r="G19" s="18" t="n"/>
      <c r="H19" s="18" t="n"/>
      <c r="I19" s="31">
        <f>IF(89=0,"",1-H19/89)</f>
        <v/>
      </c>
    </row>
    <row r="20" ht="22" customHeight="1">
      <c r="B20" s="16">
        <f>IF(C20="","IA-"&amp;TEXT(COUNTA($C$5:C20),"000"))</f>
        <v/>
      </c>
      <c r="C20" s="14" t="n"/>
      <c r="D20" s="14" t="n"/>
      <c r="E20" s="19" t="n"/>
      <c r="F20" s="19" t="n"/>
      <c r="G20" s="19" t="n"/>
      <c r="H20" s="19" t="n"/>
      <c r="I20" s="32">
        <f>IF(89=0,"",1-H20/89)</f>
        <v/>
      </c>
    </row>
    <row r="21" ht="22" customHeight="1">
      <c r="B21" s="17">
        <f>IF(C21="","IA-"&amp;TEXT(COUNTA($C$5:C21),"000"))</f>
        <v/>
      </c>
      <c r="C21" s="12" t="n"/>
      <c r="D21" s="12" t="n"/>
      <c r="E21" s="18" t="n"/>
      <c r="F21" s="18" t="n"/>
      <c r="G21" s="18" t="n"/>
      <c r="H21" s="18" t="n"/>
      <c r="I21" s="31">
        <f>IF(89=0,"",1-H21/89)</f>
        <v/>
      </c>
    </row>
    <row r="22" ht="22" customHeight="1">
      <c r="B22" s="16">
        <f>IF(C22="","IA-"&amp;TEXT(COUNTA($C$5:C22),"000"))</f>
        <v/>
      </c>
      <c r="C22" s="14" t="n"/>
      <c r="D22" s="14" t="n"/>
      <c r="E22" s="19" t="n"/>
      <c r="F22" s="19" t="n"/>
      <c r="G22" s="19" t="n"/>
      <c r="H22" s="19" t="n"/>
      <c r="I22" s="32">
        <f>IF(89=0,"",1-H22/89)</f>
        <v/>
      </c>
    </row>
    <row r="23" ht="22" customHeight="1">
      <c r="B23" s="17">
        <f>IF(C23="","IA-"&amp;TEXT(COUNTA($C$5:C23),"000"))</f>
        <v/>
      </c>
      <c r="C23" s="12" t="n"/>
      <c r="D23" s="12" t="n"/>
      <c r="E23" s="18" t="n"/>
      <c r="F23" s="18" t="n"/>
      <c r="G23" s="18" t="n"/>
      <c r="H23" s="18" t="n"/>
      <c r="I23" s="31">
        <f>IF(89=0,"",1-H23/89)</f>
        <v/>
      </c>
    </row>
    <row r="24" ht="22" customHeight="1">
      <c r="B24" s="16">
        <f>IF(C24="","IA-"&amp;TEXT(COUNTA($C$5:C24),"000"))</f>
        <v/>
      </c>
      <c r="C24" s="14" t="n"/>
      <c r="D24" s="14" t="n"/>
      <c r="E24" s="19" t="n"/>
      <c r="F24" s="19" t="n"/>
      <c r="G24" s="19" t="n"/>
      <c r="H24" s="19" t="n"/>
      <c r="I24" s="32">
        <f>IF(89=0,"",1-H24/89)</f>
        <v/>
      </c>
    </row>
    <row r="25" ht="22" customHeight="1">
      <c r="B25" s="17">
        <f>IF(C25="","IA-"&amp;TEXT(COUNTA($C$5:C25),"000"))</f>
        <v/>
      </c>
      <c r="C25" s="12" t="n"/>
      <c r="D25" s="12" t="n"/>
      <c r="E25" s="18" t="n"/>
      <c r="F25" s="18" t="n"/>
      <c r="G25" s="18" t="n"/>
      <c r="H25" s="18" t="n"/>
      <c r="I25" s="31">
        <f>IF(89=0,"",1-H25/89)</f>
        <v/>
      </c>
    </row>
    <row r="26" ht="22" customHeight="1">
      <c r="B26" s="16">
        <f>IF(C26="","IA-"&amp;TEXT(COUNTA($C$5:C26),"000"))</f>
        <v/>
      </c>
      <c r="C26" s="14" t="n"/>
      <c r="D26" s="14" t="n"/>
      <c r="E26" s="19" t="n"/>
      <c r="F26" s="19" t="n"/>
      <c r="G26" s="19" t="n"/>
      <c r="H26" s="19" t="n"/>
      <c r="I26" s="32">
        <f>IF(89=0,"",1-H26/89)</f>
        <v/>
      </c>
    </row>
    <row r="27" ht="22" customHeight="1">
      <c r="B27" s="17">
        <f>IF(C27="","IA-"&amp;TEXT(COUNTA($C$5:C27),"000"))</f>
        <v/>
      </c>
      <c r="C27" s="12" t="n"/>
      <c r="D27" s="12" t="n"/>
      <c r="E27" s="18" t="n"/>
      <c r="F27" s="18" t="n"/>
      <c r="G27" s="18" t="n"/>
      <c r="H27" s="18" t="n"/>
      <c r="I27" s="31">
        <f>IF(89=0,"",1-H27/89)</f>
        <v/>
      </c>
    </row>
    <row r="28" ht="22" customHeight="1">
      <c r="B28" s="16">
        <f>IF(C28="","IA-"&amp;TEXT(COUNTA($C$5:C28),"000"))</f>
        <v/>
      </c>
      <c r="C28" s="14" t="n"/>
      <c r="D28" s="14" t="n"/>
      <c r="E28" s="19" t="n"/>
      <c r="F28" s="19" t="n"/>
      <c r="G28" s="19" t="n"/>
      <c r="H28" s="19" t="n"/>
      <c r="I28" s="32">
        <f>IF(89=0,"",1-H28/89)</f>
        <v/>
      </c>
    </row>
    <row r="29" ht="22" customHeight="1">
      <c r="B29" s="17">
        <f>IF(C29="","IA-"&amp;TEXT(COUNTA($C$5:C29),"000"))</f>
        <v/>
      </c>
      <c r="C29" s="12" t="n"/>
      <c r="D29" s="12" t="n"/>
      <c r="E29" s="18" t="n"/>
      <c r="F29" s="18" t="n"/>
      <c r="G29" s="18" t="n"/>
      <c r="H29" s="18" t="n"/>
      <c r="I29" s="31">
        <f>IF(89=0,"",1-H29/89)</f>
        <v/>
      </c>
    </row>
    <row r="30" ht="22" customHeight="1">
      <c r="B30" s="16">
        <f>IF(C30="","IA-"&amp;TEXT(COUNTA($C$5:C30),"000"))</f>
        <v/>
      </c>
      <c r="C30" s="14" t="n"/>
      <c r="D30" s="14" t="n"/>
      <c r="E30" s="19" t="n"/>
      <c r="F30" s="19" t="n"/>
      <c r="G30" s="19" t="n"/>
      <c r="H30" s="19" t="n"/>
      <c r="I30" s="32">
        <f>IF(89=0,"",1-H30/89)</f>
        <v/>
      </c>
    </row>
    <row r="31" ht="22" customHeight="1">
      <c r="B31" s="17">
        <f>IF(C31="","IA-"&amp;TEXT(COUNTA($C$5:C31),"000"))</f>
        <v/>
      </c>
      <c r="C31" s="12" t="n"/>
      <c r="D31" s="12" t="n"/>
      <c r="E31" s="18" t="n"/>
      <c r="F31" s="18" t="n"/>
      <c r="G31" s="18" t="n"/>
      <c r="H31" s="18" t="n"/>
      <c r="I31" s="31">
        <f>IF(89=0,"",1-H31/89)</f>
        <v/>
      </c>
    </row>
    <row r="32" ht="22" customHeight="1">
      <c r="B32" s="16">
        <f>IF(C32="","IA-"&amp;TEXT(COUNTA($C$5:C32),"000"))</f>
        <v/>
      </c>
      <c r="C32" s="14" t="n"/>
      <c r="D32" s="14" t="n"/>
      <c r="E32" s="19" t="n"/>
      <c r="F32" s="19" t="n"/>
      <c r="G32" s="19" t="n"/>
      <c r="H32" s="19" t="n"/>
      <c r="I32" s="32">
        <f>IF(89=0,"",1-H32/89)</f>
        <v/>
      </c>
    </row>
    <row r="33" ht="22" customHeight="1">
      <c r="B33" s="17">
        <f>IF(C33="","IA-"&amp;TEXT(COUNTA($C$5:C33),"000"))</f>
        <v/>
      </c>
      <c r="C33" s="12" t="n"/>
      <c r="D33" s="12" t="n"/>
      <c r="E33" s="18" t="n"/>
      <c r="F33" s="18" t="n"/>
      <c r="G33" s="18" t="n"/>
      <c r="H33" s="18" t="n"/>
      <c r="I33" s="31">
        <f>IF(89=0,"",1-H33/89)</f>
        <v/>
      </c>
    </row>
    <row r="34" ht="22" customHeight="1">
      <c r="B34" s="16">
        <f>IF(C34="","IA-"&amp;TEXT(COUNTA($C$5:C34),"000"))</f>
        <v/>
      </c>
      <c r="C34" s="14" t="n"/>
      <c r="D34" s="14" t="n"/>
      <c r="E34" s="19" t="n"/>
      <c r="F34" s="19" t="n"/>
      <c r="G34" s="19" t="n"/>
      <c r="H34" s="19" t="n"/>
      <c r="I34" s="32">
        <f>IF(89=0,"",1-H34/89)</f>
        <v/>
      </c>
    </row>
    <row r="35" ht="22" customHeight="1">
      <c r="B35" s="17">
        <f>IF(C35="","IA-"&amp;TEXT(COUNTA($C$5:C35),"000"))</f>
        <v/>
      </c>
      <c r="C35" s="12" t="n"/>
      <c r="D35" s="12" t="n"/>
      <c r="E35" s="18" t="n"/>
      <c r="F35" s="18" t="n"/>
      <c r="G35" s="18" t="n"/>
      <c r="H35" s="18" t="n"/>
      <c r="I35" s="31">
        <f>IF(89=0,"",1-H35/89)</f>
        <v/>
      </c>
    </row>
    <row r="36" ht="22" customHeight="1">
      <c r="B36" s="16">
        <f>IF(C36="","IA-"&amp;TEXT(COUNTA($C$5:C36),"000"))</f>
        <v/>
      </c>
      <c r="C36" s="14" t="n"/>
      <c r="D36" s="14" t="n"/>
      <c r="E36" s="19" t="n"/>
      <c r="F36" s="19" t="n"/>
      <c r="G36" s="19" t="n"/>
      <c r="H36" s="19" t="n"/>
      <c r="I36" s="32">
        <f>IF(89=0,"",1-H36/89)</f>
        <v/>
      </c>
    </row>
    <row r="37" ht="22" customHeight="1">
      <c r="B37" s="17">
        <f>IF(C37="","IA-"&amp;TEXT(COUNTA($C$5:C37),"000"))</f>
        <v/>
      </c>
      <c r="C37" s="12" t="n"/>
      <c r="D37" s="12" t="n"/>
      <c r="E37" s="18" t="n"/>
      <c r="F37" s="18" t="n"/>
      <c r="G37" s="18" t="n"/>
      <c r="H37" s="18" t="n"/>
      <c r="I37" s="31">
        <f>IF(89=0,"",1-H37/89)</f>
        <v/>
      </c>
    </row>
    <row r="38" ht="22" customHeight="1">
      <c r="B38" s="16">
        <f>IF(C38="","IA-"&amp;TEXT(COUNTA($C$5:C38),"000"))</f>
        <v/>
      </c>
      <c r="C38" s="14" t="n"/>
      <c r="D38" s="14" t="n"/>
      <c r="E38" s="19" t="n"/>
      <c r="F38" s="19" t="n"/>
      <c r="G38" s="19" t="n"/>
      <c r="H38" s="19" t="n"/>
      <c r="I38" s="32">
        <f>IF(89=0,"",1-H38/89)</f>
        <v/>
      </c>
    </row>
    <row r="39" ht="22" customHeight="1">
      <c r="B39" s="17">
        <f>IF(C39="","IA-"&amp;TEXT(COUNTA($C$5:C39),"000"))</f>
        <v/>
      </c>
      <c r="C39" s="12" t="n"/>
      <c r="D39" s="12" t="n"/>
      <c r="E39" s="18" t="n"/>
      <c r="F39" s="18" t="n"/>
      <c r="G39" s="18" t="n"/>
      <c r="H39" s="18" t="n"/>
      <c r="I39" s="31">
        <f>IF(89=0,"",1-H39/89)</f>
        <v/>
      </c>
    </row>
    <row r="40" ht="22" customHeight="1">
      <c r="B40" s="16">
        <f>IF(C40="","IA-"&amp;TEXT(COUNTA($C$5:C40),"000"))</f>
        <v/>
      </c>
      <c r="C40" s="14" t="n"/>
      <c r="D40" s="14" t="n"/>
      <c r="E40" s="19" t="n"/>
      <c r="F40" s="19" t="n"/>
      <c r="G40" s="19" t="n"/>
      <c r="H40" s="19" t="n"/>
      <c r="I40" s="32">
        <f>IF(89=0,"",1-H40/89)</f>
        <v/>
      </c>
    </row>
    <row r="41" ht="22" customHeight="1">
      <c r="B41" s="17">
        <f>IF(C41="","IA-"&amp;TEXT(COUNTA($C$5:C41),"000"))</f>
        <v/>
      </c>
      <c r="C41" s="12" t="n"/>
      <c r="D41" s="12" t="n"/>
      <c r="E41" s="18" t="n"/>
      <c r="F41" s="18" t="n"/>
      <c r="G41" s="18" t="n"/>
      <c r="H41" s="18" t="n"/>
      <c r="I41" s="31">
        <f>IF(89=0,"",1-H41/89)</f>
        <v/>
      </c>
    </row>
    <row r="42" ht="22" customHeight="1">
      <c r="B42" s="16">
        <f>IF(C42="","IA-"&amp;TEXT(COUNTA($C$5:C42),"000"))</f>
        <v/>
      </c>
      <c r="C42" s="14" t="n"/>
      <c r="D42" s="14" t="n"/>
      <c r="E42" s="19" t="n"/>
      <c r="F42" s="19" t="n"/>
      <c r="G42" s="19" t="n"/>
      <c r="H42" s="19" t="n"/>
      <c r="I42" s="32">
        <f>IF(89=0,"",1-H42/89)</f>
        <v/>
      </c>
    </row>
    <row r="43" ht="22" customHeight="1">
      <c r="B43" s="17">
        <f>IF(C43="","IA-"&amp;TEXT(COUNTA($C$5:C43),"000"))</f>
        <v/>
      </c>
      <c r="C43" s="12" t="n"/>
      <c r="D43" s="12" t="n"/>
      <c r="E43" s="18" t="n"/>
      <c r="F43" s="18" t="n"/>
      <c r="G43" s="18" t="n"/>
      <c r="H43" s="18" t="n"/>
      <c r="I43" s="31">
        <f>IF(89=0,"",1-H43/89)</f>
        <v/>
      </c>
    </row>
    <row r="44" ht="22" customHeight="1">
      <c r="B44" s="16">
        <f>IF(C44="","IA-"&amp;TEXT(COUNTA($C$5:C44),"000"))</f>
        <v/>
      </c>
      <c r="C44" s="14" t="n"/>
      <c r="D44" s="14" t="n"/>
      <c r="E44" s="19" t="n"/>
      <c r="F44" s="19" t="n"/>
      <c r="G44" s="19" t="n"/>
      <c r="H44" s="19" t="n"/>
      <c r="I44" s="32">
        <f>IF(89=0,"",1-H44/89)</f>
        <v/>
      </c>
    </row>
    <row r="45" ht="22" customHeight="1">
      <c r="B45" s="17">
        <f>IF(C45="","IA-"&amp;TEXT(COUNTA($C$5:C45),"000"))</f>
        <v/>
      </c>
      <c r="C45" s="12" t="n"/>
      <c r="D45" s="12" t="n"/>
      <c r="E45" s="18" t="n"/>
      <c r="F45" s="18" t="n"/>
      <c r="G45" s="18" t="n"/>
      <c r="H45" s="18" t="n"/>
      <c r="I45" s="31">
        <f>IF(89=0,"",1-H45/89)</f>
        <v/>
      </c>
    </row>
    <row r="46" ht="22" customHeight="1">
      <c r="B46" s="16">
        <f>IF(C46="","IA-"&amp;TEXT(COUNTA($C$5:C46),"000"))</f>
        <v/>
      </c>
      <c r="C46" s="14" t="n"/>
      <c r="D46" s="14" t="n"/>
      <c r="E46" s="19" t="n"/>
      <c r="F46" s="19" t="n"/>
      <c r="G46" s="19" t="n"/>
      <c r="H46" s="19" t="n"/>
      <c r="I46" s="32">
        <f>IF(89=0,"",1-H46/89)</f>
        <v/>
      </c>
    </row>
    <row r="47" ht="22" customHeight="1">
      <c r="B47" s="17">
        <f>IF(C47="","IA-"&amp;TEXT(COUNTA($C$5:C47),"000"))</f>
        <v/>
      </c>
      <c r="C47" s="12" t="n"/>
      <c r="D47" s="12" t="n"/>
      <c r="E47" s="18" t="n"/>
      <c r="F47" s="18" t="n"/>
      <c r="G47" s="18" t="n"/>
      <c r="H47" s="18" t="n"/>
      <c r="I47" s="31">
        <f>IF(89=0,"",1-H47/89)</f>
        <v/>
      </c>
    </row>
    <row r="48" ht="22" customHeight="1">
      <c r="B48" s="16">
        <f>IF(C48="","IA-"&amp;TEXT(COUNTA($C$5:C48),"000"))</f>
        <v/>
      </c>
      <c r="C48" s="14" t="n"/>
      <c r="D48" s="14" t="n"/>
      <c r="E48" s="19" t="n"/>
      <c r="F48" s="19" t="n"/>
      <c r="G48" s="19" t="n"/>
      <c r="H48" s="19" t="n"/>
      <c r="I48" s="32">
        <f>IF(89=0,"",1-H48/89)</f>
        <v/>
      </c>
    </row>
    <row r="49" ht="22" customHeight="1">
      <c r="B49" s="17">
        <f>IF(C49="","IA-"&amp;TEXT(COUNTA($C$5:C49),"000"))</f>
        <v/>
      </c>
      <c r="C49" s="12" t="n"/>
      <c r="D49" s="12" t="n"/>
      <c r="E49" s="18" t="n"/>
      <c r="F49" s="18" t="n"/>
      <c r="G49" s="18" t="n"/>
      <c r="H49" s="18" t="n"/>
      <c r="I49" s="31">
        <f>IF(89=0,"",1-H49/89)</f>
        <v/>
      </c>
    </row>
    <row r="50" ht="22" customHeight="1">
      <c r="B50" s="16">
        <f>IF(C50="","IA-"&amp;TEXT(COUNTA($C$5:C50),"000"))</f>
        <v/>
      </c>
      <c r="C50" s="14" t="n"/>
      <c r="D50" s="14" t="n"/>
      <c r="E50" s="19" t="n"/>
      <c r="F50" s="19" t="n"/>
      <c r="G50" s="19" t="n"/>
      <c r="H50" s="19" t="n"/>
      <c r="I50" s="32">
        <f>IF(89=0,"",1-H50/89)</f>
        <v/>
      </c>
    </row>
    <row r="51" ht="22" customHeight="1">
      <c r="B51" s="17">
        <f>IF(C51="","IA-"&amp;TEXT(COUNTA($C$5:C51),"000"))</f>
        <v/>
      </c>
      <c r="C51" s="12" t="n"/>
      <c r="D51" s="12" t="n"/>
      <c r="E51" s="18" t="n"/>
      <c r="F51" s="18" t="n"/>
      <c r="G51" s="18" t="n"/>
      <c r="H51" s="18" t="n"/>
      <c r="I51" s="31">
        <f>IF(89=0,"",1-H51/89)</f>
        <v/>
      </c>
    </row>
    <row r="52" ht="22" customHeight="1">
      <c r="B52" s="16">
        <f>IF(C52="","IA-"&amp;TEXT(COUNTA($C$5:C52),"000"))</f>
        <v/>
      </c>
      <c r="C52" s="14" t="n"/>
      <c r="D52" s="14" t="n"/>
      <c r="E52" s="19" t="n"/>
      <c r="F52" s="19" t="n"/>
      <c r="G52" s="19" t="n"/>
      <c r="H52" s="19" t="n"/>
      <c r="I52" s="32">
        <f>IF(89=0,"",1-H52/89)</f>
        <v/>
      </c>
    </row>
    <row r="53" ht="22" customHeight="1">
      <c r="B53" s="17">
        <f>IF(C53="","IA-"&amp;TEXT(COUNTA($C$5:C53),"000"))</f>
        <v/>
      </c>
      <c r="C53" s="12" t="n"/>
      <c r="D53" s="12" t="n"/>
      <c r="E53" s="18" t="n"/>
      <c r="F53" s="18" t="n"/>
      <c r="G53" s="18" t="n"/>
      <c r="H53" s="18" t="n"/>
      <c r="I53" s="31">
        <f>IF(89=0,"",1-H53/89)</f>
        <v/>
      </c>
    </row>
    <row r="54" ht="22" customHeight="1">
      <c r="B54" s="16">
        <f>IF(C54="","IA-"&amp;TEXT(COUNTA($C$5:C54),"000"))</f>
        <v/>
      </c>
      <c r="C54" s="14" t="n"/>
      <c r="D54" s="14" t="n"/>
      <c r="E54" s="19" t="n"/>
      <c r="F54" s="19" t="n"/>
      <c r="G54" s="19" t="n"/>
      <c r="H54" s="19" t="n"/>
      <c r="I54" s="32">
        <f>IF(89=0,"",1-H54/89)</f>
        <v/>
      </c>
    </row>
    <row r="55" ht="22" customHeight="1">
      <c r="B55" s="17">
        <f>IF(C55="","IA-"&amp;TEXT(COUNTA($C$5:C55),"000"))</f>
        <v/>
      </c>
      <c r="C55" s="12" t="n"/>
      <c r="D55" s="12" t="n"/>
      <c r="E55" s="18" t="n"/>
      <c r="F55" s="18" t="n"/>
      <c r="G55" s="18" t="n"/>
      <c r="H55" s="18" t="n"/>
      <c r="I55" s="31">
        <f>IF(89=0,"",1-H55/89)</f>
        <v/>
      </c>
    </row>
    <row r="56" ht="22" customHeight="1">
      <c r="B56" s="16">
        <f>IF(C56="","IA-"&amp;TEXT(COUNTA($C$5:C56),"000"))</f>
        <v/>
      </c>
      <c r="C56" s="14" t="n"/>
      <c r="D56" s="14" t="n"/>
      <c r="E56" s="19" t="n"/>
      <c r="F56" s="19" t="n"/>
      <c r="G56" s="19" t="n"/>
      <c r="H56" s="19" t="n"/>
      <c r="I56" s="32">
        <f>IF(89=0,"",1-H56/89)</f>
        <v/>
      </c>
    </row>
    <row r="57" ht="22" customHeight="1">
      <c r="B57" s="17">
        <f>IF(C57="","IA-"&amp;TEXT(COUNTA($C$5:C57),"000"))</f>
        <v/>
      </c>
      <c r="C57" s="12" t="n"/>
      <c r="D57" s="12" t="n"/>
      <c r="E57" s="18" t="n"/>
      <c r="F57" s="18" t="n"/>
      <c r="G57" s="18" t="n"/>
      <c r="H57" s="18" t="n"/>
      <c r="I57" s="31">
        <f>IF(89=0,"",1-H57/89)</f>
        <v/>
      </c>
    </row>
    <row r="58" ht="22" customHeight="1">
      <c r="B58" s="16">
        <f>IF(C58="","IA-"&amp;TEXT(COUNTA($C$5:C58),"000"))</f>
        <v/>
      </c>
      <c r="C58" s="14" t="n"/>
      <c r="D58" s="14" t="n"/>
      <c r="E58" s="19" t="n"/>
      <c r="F58" s="19" t="n"/>
      <c r="G58" s="19" t="n"/>
      <c r="H58" s="19" t="n"/>
      <c r="I58" s="32">
        <f>IF(89=0,"",1-H58/89)</f>
        <v/>
      </c>
    </row>
    <row r="59" ht="22" customHeight="1">
      <c r="B59" s="17">
        <f>IF(C59="","IA-"&amp;TEXT(COUNTA($C$5:C59),"000"))</f>
        <v/>
      </c>
      <c r="C59" s="12" t="n"/>
      <c r="D59" s="12" t="n"/>
      <c r="E59" s="18" t="n"/>
      <c r="F59" s="18" t="n"/>
      <c r="G59" s="18" t="n"/>
      <c r="H59" s="18" t="n"/>
      <c r="I59" s="31">
        <f>IF(89=0,"",1-H59/89)</f>
        <v/>
      </c>
    </row>
    <row r="60" ht="22" customHeight="1">
      <c r="B60" s="16">
        <f>IF(C60="","IA-"&amp;TEXT(COUNTA($C$5:C60),"000"))</f>
        <v/>
      </c>
      <c r="C60" s="14" t="n"/>
      <c r="D60" s="14" t="n"/>
      <c r="E60" s="19" t="n"/>
      <c r="F60" s="19" t="n"/>
      <c r="G60" s="19" t="n"/>
      <c r="H60" s="19" t="n"/>
      <c r="I60" s="32">
        <f>IF(89=0,"",1-H60/89)</f>
        <v/>
      </c>
    </row>
    <row r="61" ht="22" customHeight="1">
      <c r="B61" s="17">
        <f>IF(C61="","IA-"&amp;TEXT(COUNTA($C$5:C61),"000"))</f>
        <v/>
      </c>
      <c r="C61" s="12" t="n"/>
      <c r="D61" s="12" t="n"/>
      <c r="E61" s="18" t="n"/>
      <c r="F61" s="18" t="n"/>
      <c r="G61" s="18" t="n"/>
      <c r="H61" s="18" t="n"/>
      <c r="I61" s="31">
        <f>IF(89=0,"",1-H61/89)</f>
        <v/>
      </c>
    </row>
    <row r="62" ht="22" customHeight="1">
      <c r="B62" s="16">
        <f>IF(C62="","IA-"&amp;TEXT(COUNTA($C$5:C62),"000"))</f>
        <v/>
      </c>
      <c r="C62" s="14" t="n"/>
      <c r="D62" s="14" t="n"/>
      <c r="E62" s="19" t="n"/>
      <c r="F62" s="19" t="n"/>
      <c r="G62" s="19" t="n"/>
      <c r="H62" s="19" t="n"/>
      <c r="I62" s="32">
        <f>IF(89=0,"",1-H62/89)</f>
        <v/>
      </c>
    </row>
    <row r="63" ht="22" customHeight="1">
      <c r="B63" s="17">
        <f>IF(C63="","IA-"&amp;TEXT(COUNTA($C$5:C63),"000"))</f>
        <v/>
      </c>
      <c r="C63" s="12" t="n"/>
      <c r="D63" s="12" t="n"/>
      <c r="E63" s="18" t="n"/>
      <c r="F63" s="18" t="n"/>
      <c r="G63" s="18" t="n"/>
      <c r="H63" s="18" t="n"/>
      <c r="I63" s="31">
        <f>IF(89=0,"",1-H63/89)</f>
        <v/>
      </c>
    </row>
    <row r="64" ht="22" customHeight="1">
      <c r="B64" s="16">
        <f>IF(C64="","IA-"&amp;TEXT(COUNTA($C$5:C64),"000"))</f>
        <v/>
      </c>
      <c r="C64" s="14" t="n"/>
      <c r="D64" s="14" t="n"/>
      <c r="E64" s="19" t="n"/>
      <c r="F64" s="19" t="n"/>
      <c r="G64" s="19" t="n"/>
      <c r="H64" s="19" t="n"/>
      <c r="I64" s="32">
        <f>IF(89=0,"",1-H64/89)</f>
        <v/>
      </c>
    </row>
    <row r="65" ht="22" customHeight="1">
      <c r="B65" s="17">
        <f>IF(C65="","IA-"&amp;TEXT(COUNTA($C$5:C65),"000"))</f>
        <v/>
      </c>
      <c r="C65" s="12" t="n"/>
      <c r="D65" s="12" t="n"/>
      <c r="E65" s="18" t="n"/>
      <c r="F65" s="18" t="n"/>
      <c r="G65" s="18" t="n"/>
      <c r="H65" s="18" t="n"/>
      <c r="I65" s="31">
        <f>IF(89=0,"",1-H65/89)</f>
        <v/>
      </c>
    </row>
    <row r="66" ht="22" customHeight="1">
      <c r="B66" s="16">
        <f>IF(C66="","IA-"&amp;TEXT(COUNTA($C$5:C66),"000"))</f>
        <v/>
      </c>
      <c r="C66" s="14" t="n"/>
      <c r="D66" s="14" t="n"/>
      <c r="E66" s="19" t="n"/>
      <c r="F66" s="19" t="n"/>
      <c r="G66" s="19" t="n"/>
      <c r="H66" s="19" t="n"/>
      <c r="I66" s="32">
        <f>IF(89=0,"",1-H66/89)</f>
        <v/>
      </c>
    </row>
    <row r="67" ht="22" customHeight="1">
      <c r="B67" s="17">
        <f>IF(C67="","IA-"&amp;TEXT(COUNTA($C$5:C67),"000"))</f>
        <v/>
      </c>
      <c r="C67" s="12" t="n"/>
      <c r="D67" s="12" t="n"/>
      <c r="E67" s="18" t="n"/>
      <c r="F67" s="18" t="n"/>
      <c r="G67" s="18" t="n"/>
      <c r="H67" s="18" t="n"/>
      <c r="I67" s="31">
        <f>IF(89=0,"",1-H67/89)</f>
        <v/>
      </c>
    </row>
    <row r="68" ht="22" customHeight="1">
      <c r="B68" s="16">
        <f>IF(C68="","IA-"&amp;TEXT(COUNTA($C$5:C68),"000"))</f>
        <v/>
      </c>
      <c r="C68" s="14" t="n"/>
      <c r="D68" s="14" t="n"/>
      <c r="E68" s="19" t="n"/>
      <c r="F68" s="19" t="n"/>
      <c r="G68" s="19" t="n"/>
      <c r="H68" s="19" t="n"/>
      <c r="I68" s="32">
        <f>IF(89=0,"",1-H68/89)</f>
        <v/>
      </c>
    </row>
    <row r="69" ht="22" customHeight="1">
      <c r="B69" s="17">
        <f>IF(C69="","IA-"&amp;TEXT(COUNTA($C$5:C69),"000"))</f>
        <v/>
      </c>
      <c r="C69" s="12" t="n"/>
      <c r="D69" s="12" t="n"/>
      <c r="E69" s="18" t="n"/>
      <c r="F69" s="18" t="n"/>
      <c r="G69" s="18" t="n"/>
      <c r="H69" s="18" t="n"/>
      <c r="I69" s="31">
        <f>IF(89=0,"",1-H69/89)</f>
        <v/>
      </c>
    </row>
    <row r="70" ht="22" customHeight="1">
      <c r="B70" s="16">
        <f>IF(C70="","IA-"&amp;TEXT(COUNTA($C$5:C70),"000"))</f>
        <v/>
      </c>
      <c r="C70" s="14" t="n"/>
      <c r="D70" s="14" t="n"/>
      <c r="E70" s="19" t="n"/>
      <c r="F70" s="19" t="n"/>
      <c r="G70" s="19" t="n"/>
      <c r="H70" s="19" t="n"/>
      <c r="I70" s="32">
        <f>IF(89=0,"",1-H70/89)</f>
        <v/>
      </c>
    </row>
    <row r="71" ht="22" customHeight="1">
      <c r="B71" s="17">
        <f>IF(C71="","IA-"&amp;TEXT(COUNTA($C$5:C71),"000"))</f>
        <v/>
      </c>
      <c r="C71" s="12" t="n"/>
      <c r="D71" s="12" t="n"/>
      <c r="E71" s="18" t="n"/>
      <c r="F71" s="18" t="n"/>
      <c r="G71" s="18" t="n"/>
      <c r="H71" s="18" t="n"/>
      <c r="I71" s="31">
        <f>IF(89=0,"",1-H71/89)</f>
        <v/>
      </c>
    </row>
    <row r="72" ht="22" customHeight="1">
      <c r="B72" s="16">
        <f>IF(C72="","IA-"&amp;TEXT(COUNTA($C$5:C72),"000"))</f>
        <v/>
      </c>
      <c r="C72" s="14" t="n"/>
      <c r="D72" s="14" t="n"/>
      <c r="E72" s="19" t="n"/>
      <c r="F72" s="19" t="n"/>
      <c r="G72" s="19" t="n"/>
      <c r="H72" s="19" t="n"/>
      <c r="I72" s="32">
        <f>IF(89=0,"",1-H72/89)</f>
        <v/>
      </c>
    </row>
    <row r="73" ht="22" customHeight="1">
      <c r="B73" s="17">
        <f>IF(C73="","IA-"&amp;TEXT(COUNTA($C$5:C73),"000"))</f>
        <v/>
      </c>
      <c r="C73" s="12" t="n"/>
      <c r="D73" s="12" t="n"/>
      <c r="E73" s="18" t="n"/>
      <c r="F73" s="18" t="n"/>
      <c r="G73" s="18" t="n"/>
      <c r="H73" s="18" t="n"/>
      <c r="I73" s="31">
        <f>IF(89=0,"",1-H73/89)</f>
        <v/>
      </c>
    </row>
    <row r="74" ht="22" customHeight="1">
      <c r="B74" s="16">
        <f>IF(C74="","IA-"&amp;TEXT(COUNTA($C$5:C74),"000"))</f>
        <v/>
      </c>
      <c r="C74" s="14" t="n"/>
      <c r="D74" s="14" t="n"/>
      <c r="E74" s="19" t="n"/>
      <c r="F74" s="19" t="n"/>
      <c r="G74" s="19" t="n"/>
      <c r="H74" s="19" t="n"/>
      <c r="I74" s="32">
        <f>IF(89=0,"",1-H74/89)</f>
        <v/>
      </c>
    </row>
    <row r="75" ht="22" customHeight="1">
      <c r="B75" s="17">
        <f>IF(C75="","IA-"&amp;TEXT(COUNTA($C$5:C75),"000"))</f>
        <v/>
      </c>
      <c r="C75" s="12" t="n"/>
      <c r="D75" s="12" t="n"/>
      <c r="E75" s="18" t="n"/>
      <c r="F75" s="18" t="n"/>
      <c r="G75" s="18" t="n"/>
      <c r="H75" s="18" t="n"/>
      <c r="I75" s="31">
        <f>IF(89=0,"",1-H75/89)</f>
        <v/>
      </c>
    </row>
    <row r="76" ht="22" customHeight="1">
      <c r="B76" s="16">
        <f>IF(C76="","IA-"&amp;TEXT(COUNTA($C$5:C76),"000"))</f>
        <v/>
      </c>
      <c r="C76" s="14" t="n"/>
      <c r="D76" s="14" t="n"/>
      <c r="E76" s="19" t="n"/>
      <c r="F76" s="19" t="n"/>
      <c r="G76" s="19" t="n"/>
      <c r="H76" s="19" t="n"/>
      <c r="I76" s="32">
        <f>IF(89=0,"",1-H76/89)</f>
        <v/>
      </c>
    </row>
    <row r="77" ht="22" customHeight="1">
      <c r="B77" s="17">
        <f>IF(C77="","IA-"&amp;TEXT(COUNTA($C$5:C77),"000"))</f>
        <v/>
      </c>
      <c r="C77" s="12" t="n"/>
      <c r="D77" s="12" t="n"/>
      <c r="E77" s="18" t="n"/>
      <c r="F77" s="18" t="n"/>
      <c r="G77" s="18" t="n"/>
      <c r="H77" s="18" t="n"/>
      <c r="I77" s="31">
        <f>IF(89=0,"",1-H77/89)</f>
        <v/>
      </c>
    </row>
    <row r="78" ht="22" customHeight="1">
      <c r="B78" s="16">
        <f>IF(C78="","IA-"&amp;TEXT(COUNTA($C$5:C78),"000"))</f>
        <v/>
      </c>
      <c r="C78" s="14" t="n"/>
      <c r="D78" s="14" t="n"/>
      <c r="E78" s="19" t="n"/>
      <c r="F78" s="19" t="n"/>
      <c r="G78" s="19" t="n"/>
      <c r="H78" s="19" t="n"/>
      <c r="I78" s="32">
        <f>IF(89=0,"",1-H78/89)</f>
        <v/>
      </c>
    </row>
    <row r="79" ht="22" customHeight="1">
      <c r="B79" s="17">
        <f>IF(C79="","IA-"&amp;TEXT(COUNTA($C$5:C79),"000"))</f>
        <v/>
      </c>
      <c r="C79" s="12" t="n"/>
      <c r="D79" s="12" t="n"/>
      <c r="E79" s="18" t="n"/>
      <c r="F79" s="18" t="n"/>
      <c r="G79" s="18" t="n"/>
      <c r="H79" s="18" t="n"/>
      <c r="I79" s="31">
        <f>IF(89=0,"",1-H79/89)</f>
        <v/>
      </c>
    </row>
    <row r="80" ht="22" customHeight="1">
      <c r="B80" s="16">
        <f>IF(C80="","IA-"&amp;TEXT(COUNTA($C$5:C80),"000"))</f>
        <v/>
      </c>
      <c r="C80" s="14" t="n"/>
      <c r="D80" s="14" t="n"/>
      <c r="E80" s="19" t="n"/>
      <c r="F80" s="19" t="n"/>
      <c r="G80" s="19" t="n"/>
      <c r="H80" s="19" t="n"/>
      <c r="I80" s="32">
        <f>IF(89=0,"",1-H80/89)</f>
        <v/>
      </c>
    </row>
    <row r="81" ht="22" customHeight="1">
      <c r="B81" s="17">
        <f>IF(C81="","IA-"&amp;TEXT(COUNTA($C$5:C81),"000"))</f>
        <v/>
      </c>
      <c r="C81" s="12" t="n"/>
      <c r="D81" s="12" t="n"/>
      <c r="E81" s="18" t="n"/>
      <c r="F81" s="18" t="n"/>
      <c r="G81" s="18" t="n"/>
      <c r="H81" s="18" t="n"/>
      <c r="I81" s="31">
        <f>IF(89=0,"",1-H81/89)</f>
        <v/>
      </c>
    </row>
    <row r="82" ht="22" customHeight="1">
      <c r="B82" s="16">
        <f>IF(C82="","IA-"&amp;TEXT(COUNTA($C$5:C82),"000"))</f>
        <v/>
      </c>
      <c r="C82" s="14" t="n"/>
      <c r="D82" s="14" t="n"/>
      <c r="E82" s="19" t="n"/>
      <c r="F82" s="19" t="n"/>
      <c r="G82" s="19" t="n"/>
      <c r="H82" s="19" t="n"/>
      <c r="I82" s="32">
        <f>IF(89=0,"",1-H82/89)</f>
        <v/>
      </c>
    </row>
    <row r="83" ht="22" customHeight="1">
      <c r="B83" s="17">
        <f>IF(C83="","IA-"&amp;TEXT(COUNTA($C$5:C83),"000"))</f>
        <v/>
      </c>
      <c r="C83" s="12" t="n"/>
      <c r="D83" s="12" t="n"/>
      <c r="E83" s="18" t="n"/>
      <c r="F83" s="18" t="n"/>
      <c r="G83" s="18" t="n"/>
      <c r="H83" s="18" t="n"/>
      <c r="I83" s="31">
        <f>IF(89=0,"",1-H83/89)</f>
        <v/>
      </c>
    </row>
    <row r="84" ht="22" customHeight="1">
      <c r="B84" s="16">
        <f>IF(C84="","IA-"&amp;TEXT(COUNTA($C$5:C84),"000"))</f>
        <v/>
      </c>
      <c r="C84" s="14" t="n"/>
      <c r="D84" s="14" t="n"/>
      <c r="E84" s="19" t="n"/>
      <c r="F84" s="19" t="n"/>
      <c r="G84" s="19" t="n"/>
      <c r="H84" s="19" t="n"/>
      <c r="I84" s="32">
        <f>IF(89=0,"",1-H84/89)</f>
        <v/>
      </c>
    </row>
    <row r="85" ht="22" customHeight="1">
      <c r="B85" s="17">
        <f>IF(C85="","IA-"&amp;TEXT(COUNTA($C$5:C85),"000"))</f>
        <v/>
      </c>
      <c r="C85" s="12" t="n"/>
      <c r="D85" s="12" t="n"/>
      <c r="E85" s="18" t="n"/>
      <c r="F85" s="18" t="n"/>
      <c r="G85" s="18" t="n"/>
      <c r="H85" s="18" t="n"/>
      <c r="I85" s="31">
        <f>IF(89=0,"",1-H85/89)</f>
        <v/>
      </c>
    </row>
    <row r="86" ht="22" customHeight="1">
      <c r="B86" s="16">
        <f>IF(C86="","IA-"&amp;TEXT(COUNTA($C$5:C86),"000"))</f>
        <v/>
      </c>
      <c r="C86" s="14" t="n"/>
      <c r="D86" s="14" t="n"/>
      <c r="E86" s="19" t="n"/>
      <c r="F86" s="19" t="n"/>
      <c r="G86" s="19" t="n"/>
      <c r="H86" s="19" t="n"/>
      <c r="I86" s="32">
        <f>IF(89=0,"",1-H86/89)</f>
        <v/>
      </c>
    </row>
    <row r="87" ht="22" customHeight="1">
      <c r="B87" s="17">
        <f>IF(C87="","IA-"&amp;TEXT(COUNTA($C$5:C87),"000"))</f>
        <v/>
      </c>
      <c r="C87" s="12" t="n"/>
      <c r="D87" s="12" t="n"/>
      <c r="E87" s="18" t="n"/>
      <c r="F87" s="18" t="n"/>
      <c r="G87" s="18" t="n"/>
      <c r="H87" s="18" t="n"/>
      <c r="I87" s="31">
        <f>IF(89=0,"",1-H87/89)</f>
        <v/>
      </c>
    </row>
    <row r="88" ht="22" customHeight="1">
      <c r="B88" s="16">
        <f>IF(C88="","IA-"&amp;TEXT(COUNTA($C$5:C88),"000"))</f>
        <v/>
      </c>
      <c r="C88" s="14" t="n"/>
      <c r="D88" s="14" t="n"/>
      <c r="E88" s="19" t="n"/>
      <c r="F88" s="19" t="n"/>
      <c r="G88" s="19" t="n"/>
      <c r="H88" s="19" t="n"/>
      <c r="I88" s="32">
        <f>IF(89=0,"",1-H88/89)</f>
        <v/>
      </c>
    </row>
    <row r="89" ht="22" customHeight="1">
      <c r="B89" s="17">
        <f>IF(C89="","IA-"&amp;TEXT(COUNTA($C$5:C89),"000"))</f>
        <v/>
      </c>
      <c r="C89" s="12" t="n"/>
      <c r="D89" s="12" t="n"/>
      <c r="E89" s="18" t="n"/>
      <c r="F89" s="18" t="n"/>
      <c r="G89" s="18" t="n"/>
      <c r="H89" s="18" t="n"/>
      <c r="I89" s="31">
        <f>IF(89=0,"",1-H89/89)</f>
        <v/>
      </c>
    </row>
    <row r="90" ht="22" customHeight="1">
      <c r="B90" s="16">
        <f>IF(C90="","IA-"&amp;TEXT(COUNTA($C$5:C90),"000"))</f>
        <v/>
      </c>
      <c r="C90" s="14" t="n"/>
      <c r="D90" s="14" t="n"/>
      <c r="E90" s="19" t="n"/>
      <c r="F90" s="19" t="n"/>
      <c r="G90" s="19" t="n"/>
      <c r="H90" s="19" t="n"/>
      <c r="I90" s="32">
        <f>IF(89=0,"",1-H90/89)</f>
        <v/>
      </c>
    </row>
    <row r="91" ht="22" customHeight="1">
      <c r="B91" s="17">
        <f>IF(C91="","IA-"&amp;TEXT(COUNTA($C$5:C91),"000"))</f>
        <v/>
      </c>
      <c r="C91" s="12" t="n"/>
      <c r="D91" s="12" t="n"/>
      <c r="E91" s="18" t="n"/>
      <c r="F91" s="18" t="n"/>
      <c r="G91" s="18" t="n"/>
      <c r="H91" s="18" t="n"/>
      <c r="I91" s="31">
        <f>IF(89=0,"",1-H91/89)</f>
        <v/>
      </c>
    </row>
    <row r="92" ht="22" customHeight="1">
      <c r="B92" s="16">
        <f>IF(C92="","IA-"&amp;TEXT(COUNTA($C$5:C92),"000"))</f>
        <v/>
      </c>
      <c r="C92" s="14" t="n"/>
      <c r="D92" s="14" t="n"/>
      <c r="E92" s="19" t="n"/>
      <c r="F92" s="19" t="n"/>
      <c r="G92" s="19" t="n"/>
      <c r="H92" s="19" t="n"/>
      <c r="I92" s="32">
        <f>IF(89=0,"",1-H92/89)</f>
        <v/>
      </c>
    </row>
    <row r="93" ht="22" customHeight="1">
      <c r="B93" s="17">
        <f>IF(C93="","IA-"&amp;TEXT(COUNTA($C$5:C93),"000"))</f>
        <v/>
      </c>
      <c r="C93" s="12" t="n"/>
      <c r="D93" s="12" t="n"/>
      <c r="E93" s="18" t="n"/>
      <c r="F93" s="18" t="n"/>
      <c r="G93" s="18" t="n"/>
      <c r="H93" s="18" t="n"/>
      <c r="I93" s="31">
        <f>IF(89=0,"",1-H93/89)</f>
        <v/>
      </c>
    </row>
    <row r="94" ht="22" customHeight="1">
      <c r="B94" s="16">
        <f>IF(C94="","IA-"&amp;TEXT(COUNTA($C$5:C94),"000"))</f>
        <v/>
      </c>
      <c r="C94" s="14" t="n"/>
      <c r="D94" s="14" t="n"/>
      <c r="E94" s="19" t="n"/>
      <c r="F94" s="19" t="n"/>
      <c r="G94" s="19" t="n"/>
      <c r="H94" s="19" t="n"/>
      <c r="I94" s="32">
        <f>IF(89=0,"",1-H94/89)</f>
        <v/>
      </c>
    </row>
    <row r="95" ht="22" customHeight="1">
      <c r="B95" s="17">
        <f>IF(C95="","IA-"&amp;TEXT(COUNTA($C$5:C95),"000"))</f>
        <v/>
      </c>
      <c r="C95" s="12" t="n"/>
      <c r="D95" s="12" t="n"/>
      <c r="E95" s="18" t="n"/>
      <c r="F95" s="18" t="n"/>
      <c r="G95" s="18" t="n"/>
      <c r="H95" s="18" t="n"/>
      <c r="I95" s="31">
        <f>IF(89=0,"",1-H95/89)</f>
        <v/>
      </c>
    </row>
    <row r="96" ht="22" customHeight="1">
      <c r="B96" s="16">
        <f>IF(C96="","IA-"&amp;TEXT(COUNTA($C$5:C96),"000"))</f>
        <v/>
      </c>
      <c r="C96" s="14" t="n"/>
      <c r="D96" s="14" t="n"/>
      <c r="E96" s="19" t="n"/>
      <c r="F96" s="19" t="n"/>
      <c r="G96" s="19" t="n"/>
      <c r="H96" s="19" t="n"/>
      <c r="I96" s="32">
        <f>IF(89=0,"",1-H96/89)</f>
        <v/>
      </c>
    </row>
    <row r="97" ht="22" customHeight="1">
      <c r="B97" s="17">
        <f>IF(C97="","IA-"&amp;TEXT(COUNTA($C$5:C97),"000"))</f>
        <v/>
      </c>
      <c r="C97" s="12" t="n"/>
      <c r="D97" s="12" t="n"/>
      <c r="E97" s="18" t="n"/>
      <c r="F97" s="18" t="n"/>
      <c r="G97" s="18" t="n"/>
      <c r="H97" s="18" t="n"/>
      <c r="I97" s="31">
        <f>IF(89=0,"",1-H97/89)</f>
        <v/>
      </c>
    </row>
    <row r="98" ht="22" customHeight="1">
      <c r="B98" s="16">
        <f>IF(C98="","IA-"&amp;TEXT(COUNTA($C$5:C98),"000"))</f>
        <v/>
      </c>
      <c r="C98" s="14" t="n"/>
      <c r="D98" s="14" t="n"/>
      <c r="E98" s="19" t="n"/>
      <c r="F98" s="19" t="n"/>
      <c r="G98" s="19" t="n"/>
      <c r="H98" s="19" t="n"/>
      <c r="I98" s="32">
        <f>IF(89=0,"",1-H98/89)</f>
        <v/>
      </c>
    </row>
    <row r="99" ht="22" customHeight="1">
      <c r="B99" s="17">
        <f>IF(C99="","IA-"&amp;TEXT(COUNTA($C$5:C99),"000"))</f>
        <v/>
      </c>
      <c r="C99" s="12" t="n"/>
      <c r="D99" s="12" t="n"/>
      <c r="E99" s="18" t="n"/>
      <c r="F99" s="18" t="n"/>
      <c r="G99" s="18" t="n"/>
      <c r="H99" s="18" t="n"/>
      <c r="I99" s="31">
        <f>IF(89=0,"",1-H99/89)</f>
        <v/>
      </c>
    </row>
    <row r="100" ht="22" customHeight="1">
      <c r="B100" s="16">
        <f>IF(C100="","IA-"&amp;TEXT(COUNTA($C$5:C100),"000"))</f>
        <v/>
      </c>
      <c r="C100" s="14" t="n"/>
      <c r="D100" s="14" t="n"/>
      <c r="E100" s="19" t="n"/>
      <c r="F100" s="19" t="n"/>
      <c r="G100" s="19" t="n"/>
      <c r="H100" s="19" t="n"/>
      <c r="I100" s="32">
        <f>IF(89=0,"",1-H100/89)</f>
        <v/>
      </c>
    </row>
    <row r="101" ht="22" customHeight="1">
      <c r="B101" s="17">
        <f>IF(C101="","IA-"&amp;TEXT(COUNTA($C$5:C101),"000"))</f>
        <v/>
      </c>
      <c r="C101" s="12" t="n"/>
      <c r="D101" s="12" t="n"/>
      <c r="E101" s="18" t="n"/>
      <c r="F101" s="18" t="n"/>
      <c r="G101" s="18" t="n"/>
      <c r="H101" s="18" t="n"/>
      <c r="I101" s="31">
        <f>IF(89=0,"",1-H101/89)</f>
        <v/>
      </c>
    </row>
    <row r="102" ht="22" customHeight="1">
      <c r="B102" s="16">
        <f>IF(C102="","IA-"&amp;TEXT(COUNTA($C$5:C102),"000"))</f>
        <v/>
      </c>
      <c r="C102" s="14" t="n"/>
      <c r="D102" s="14" t="n"/>
      <c r="E102" s="19" t="n"/>
      <c r="F102" s="19" t="n"/>
      <c r="G102" s="19" t="n"/>
      <c r="H102" s="19" t="n"/>
      <c r="I102" s="32">
        <f>IF(89=0,"",1-H102/89)</f>
        <v/>
      </c>
    </row>
    <row r="103" ht="22" customHeight="1">
      <c r="B103" s="17">
        <f>IF(C103="","IA-"&amp;TEXT(COUNTA($C$5:C103),"000"))</f>
        <v/>
      </c>
      <c r="C103" s="12" t="n"/>
      <c r="D103" s="12" t="n"/>
      <c r="E103" s="18" t="n"/>
      <c r="F103" s="18" t="n"/>
      <c r="G103" s="18" t="n"/>
      <c r="H103" s="18" t="n"/>
      <c r="I103" s="31">
        <f>IF(89=0,"",1-H103/89)</f>
        <v/>
      </c>
    </row>
    <row r="104" ht="22" customHeight="1">
      <c r="B104" s="16">
        <f>IF(C104="","IA-"&amp;TEXT(COUNTA($C$5:C104),"000"))</f>
        <v/>
      </c>
      <c r="C104" s="14" t="n"/>
      <c r="D104" s="14" t="n"/>
      <c r="E104" s="19" t="n"/>
      <c r="F104" s="19" t="n"/>
      <c r="G104" s="19" t="n"/>
      <c r="H104" s="19" t="n"/>
      <c r="I104" s="32">
        <f>IF(89=0,"",1-H104/89)</f>
        <v/>
      </c>
    </row>
    <row r="105" ht="22" customHeight="1">
      <c r="B105" s="17">
        <f>IF(C105="","IA-"&amp;TEXT(COUNTA($C$5:C105),"000"))</f>
        <v/>
      </c>
      <c r="C105" s="12" t="n"/>
      <c r="D105" s="12" t="n"/>
      <c r="E105" s="18" t="n"/>
      <c r="F105" s="18" t="n"/>
      <c r="G105" s="18" t="n"/>
      <c r="H105" s="18" t="n"/>
      <c r="I105" s="31">
        <f>IF(89=0,"",1-H105/89)</f>
        <v/>
      </c>
    </row>
    <row r="106" ht="22" customHeight="1">
      <c r="B106" s="16">
        <f>IF(C106="","IA-"&amp;TEXT(COUNTA($C$5:C106),"000"))</f>
        <v/>
      </c>
      <c r="C106" s="14" t="n"/>
      <c r="D106" s="14" t="n"/>
      <c r="E106" s="19" t="n"/>
      <c r="F106" s="19" t="n"/>
      <c r="G106" s="19" t="n"/>
      <c r="H106" s="19" t="n"/>
      <c r="I106" s="32">
        <f>IF(89=0,"",1-H106/89)</f>
        <v/>
      </c>
    </row>
    <row r="107" ht="22" customHeight="1">
      <c r="B107" s="17">
        <f>IF(C107="","IA-"&amp;TEXT(COUNTA($C$5:C107),"000"))</f>
        <v/>
      </c>
      <c r="C107" s="12" t="n"/>
      <c r="D107" s="12" t="n"/>
      <c r="E107" s="18" t="n"/>
      <c r="F107" s="18" t="n"/>
      <c r="G107" s="18" t="n"/>
      <c r="H107" s="18" t="n"/>
      <c r="I107" s="31">
        <f>IF(89=0,"",1-H107/89)</f>
        <v/>
      </c>
    </row>
    <row r="108" ht="22" customHeight="1">
      <c r="B108" s="16">
        <f>IF(C108="","IA-"&amp;TEXT(COUNTA($C$5:C108),"000"))</f>
        <v/>
      </c>
      <c r="C108" s="14" t="n"/>
      <c r="D108" s="14" t="n"/>
      <c r="E108" s="19" t="n"/>
      <c r="F108" s="19" t="n"/>
      <c r="G108" s="19" t="n"/>
      <c r="H108" s="19" t="n"/>
      <c r="I108" s="32">
        <f>IF(89=0,"",1-H108/89)</f>
        <v/>
      </c>
    </row>
    <row r="109" ht="22" customHeight="1">
      <c r="B109" s="17">
        <f>IF(C109="","IA-"&amp;TEXT(COUNTA($C$5:C109),"000"))</f>
        <v/>
      </c>
      <c r="C109" s="12" t="n"/>
      <c r="D109" s="12" t="n"/>
      <c r="E109" s="18" t="n"/>
      <c r="F109" s="18" t="n"/>
      <c r="G109" s="18" t="n"/>
      <c r="H109" s="18" t="n"/>
      <c r="I109" s="31">
        <f>IF(89=0,"",1-H109/89)</f>
        <v/>
      </c>
    </row>
    <row r="110"/>
    <row r="111" ht="26" customHeight="1">
      <c r="B111" s="20" t="inlineStr">
        <is>
          <t>TOTAL</t>
        </is>
      </c>
      <c r="C111" s="21" t="n"/>
      <c r="D111" s="21" t="n"/>
      <c r="E111" s="22">
        <f>SUM(E5:E104)</f>
        <v/>
      </c>
      <c r="F111" s="22">
        <f>SUM(F5:F104)</f>
        <v/>
      </c>
      <c r="G111" s="22">
        <f>SUM(G5:G104)</f>
        <v/>
      </c>
      <c r="H111" s="22">
        <f>SUM(H5:H104)</f>
        <v/>
      </c>
      <c r="I111" s="21" t="n"/>
    </row>
    <row r="112"/>
    <row r="113">
      <c r="B113" s="6" t="inlineStr">
        <is>
          <t>INDICATEURS (mis a jour automatiquement)</t>
        </is>
      </c>
    </row>
    <row r="114">
      <c r="B114" s="3" t="inlineStr">
        <is>
          <t>Total numerises</t>
        </is>
      </c>
      <c r="D114" s="3" t="inlineStr">
        <is>
          <t>Total archives phys.</t>
        </is>
      </c>
      <c r="F114" s="3" t="inlineStr">
        <is>
          <t>Completude moy.</t>
        </is>
      </c>
    </row>
    <row r="115">
      <c r="B115" s="4">
        <f>SUM(E5:E104)</f>
        <v/>
      </c>
      <c r="D115" s="4">
        <f>SUM(F5:F104)</f>
        <v/>
      </c>
      <c r="F115" s="4">
        <f>IFERROR(AVERAGE(I5:I104),0)</f>
        <v/>
      </c>
    </row>
  </sheetData>
  <mergeCells count="3">
    <mergeCell ref="B3:I3"/>
    <mergeCell ref="B2:I2"/>
    <mergeCell ref="B113:I113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dataValidations count="2">
    <dataValidation sqref="C5:C109" showDropDown="0" showInputMessage="0" showErrorMessage="0" allowBlank="1" errorTitle="Erreur" error="Valeur invalide" promptTitle="Liste" prompt="Choisir dans la liste" type="list">
      <formula1>'_Lists'!$P$2:$P$13</formula1>
    </dataValidation>
    <dataValidation sqref="D5:D109" showDropDown="0" showInputMessage="0" showErrorMessage="0" allowBlank="1" errorTitle="Erreur" error="Valeur invalide" promptTitle="Liste" prompt="Choisir dans la liste" type="list">
      <formula1>'_Lists'!$Q$2:$Q$4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8" customWidth="1" min="4" max="4"/>
    <col width="20" customWidth="1" min="5" max="5"/>
    <col width="16" customWidth="1" min="6" max="6"/>
    <col width="20" customWidth="1" min="7" max="7"/>
    <col width="22" customWidth="1" min="8" max="8"/>
    <col width="16" customWidth="1" min="9" max="9"/>
    <col width="22" customWidth="1" min="10" max="10"/>
    <col width="14" customWidth="1" min="11" max="11"/>
  </cols>
  <sheetData>
    <row r="1" ht="15" customHeight="1"/>
    <row r="2" ht="32" customHeight="1">
      <c r="B2" s="1" t="inlineStr">
        <is>
          <t>HISTORIQUE DESTRUCTION DOCUMENTS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Type Document</t>
        </is>
      </c>
      <c r="D4" s="11" t="inlineStr">
        <is>
          <t>Annee Documents</t>
        </is>
      </c>
      <c r="E4" s="11" t="inlineStr">
        <is>
          <t>Quantite Detruite</t>
        </is>
      </c>
      <c r="F4" s="11" t="inlineStr">
        <is>
          <t>Date Destruction</t>
        </is>
      </c>
      <c r="G4" s="11" t="inlineStr">
        <is>
          <t>Mode Destruction</t>
        </is>
      </c>
      <c r="H4" s="11" t="inlineStr">
        <is>
          <t>Temoin Destruction</t>
        </is>
      </c>
      <c r="I4" s="11" t="inlineStr">
        <is>
          <t>Autorise Par</t>
        </is>
      </c>
      <c r="J4" s="11" t="inlineStr">
        <is>
          <t>PV Destruction</t>
        </is>
      </c>
      <c r="K4" s="11" t="inlineStr">
        <is>
          <t>Statut</t>
        </is>
      </c>
    </row>
    <row r="5" ht="22" customHeight="1">
      <c r="B5" s="12" t="inlineStr">
        <is>
          <t>HDD-001</t>
        </is>
      </c>
      <c r="C5" s="12" t="inlineStr">
        <is>
          <t>Bulletin de paie</t>
        </is>
      </c>
      <c r="D5" s="12" t="inlineStr">
        <is>
          <t>2019</t>
        </is>
      </c>
      <c r="E5" s="18" t="n">
        <v>180</v>
      </c>
      <c r="F5" s="29" t="n">
        <v>45677</v>
      </c>
      <c r="G5" s="12" t="inlineStr">
        <is>
          <t>Broyage confid.</t>
        </is>
      </c>
      <c r="H5" s="12" t="inlineStr">
        <is>
          <t>DRH + DAF</t>
        </is>
      </c>
      <c r="I5" s="12" t="inlineStr">
        <is>
          <t>DG</t>
        </is>
      </c>
      <c r="J5" s="12" t="inlineStr">
        <is>
          <t>PV-DEST-2025-001</t>
        </is>
      </c>
      <c r="K5" s="12" t="inlineStr">
        <is>
          <t>Terminee</t>
        </is>
      </c>
    </row>
    <row r="6" ht="22" customHeight="1">
      <c r="B6" s="14" t="inlineStr">
        <is>
          <t>HDD-002</t>
        </is>
      </c>
      <c r="C6" s="14" t="inlineStr">
        <is>
          <t>Declarations CNPS</t>
        </is>
      </c>
      <c r="D6" s="14" t="inlineStr">
        <is>
          <t>2014</t>
        </is>
      </c>
      <c r="E6" s="19" t="n">
        <v>24</v>
      </c>
      <c r="F6" s="30" t="n">
        <v>45703</v>
      </c>
      <c r="G6" s="14" t="inlineStr">
        <is>
          <t>Broyage confid.</t>
        </is>
      </c>
      <c r="H6" s="14" t="inlineStr">
        <is>
          <t>DAF + DRH</t>
        </is>
      </c>
      <c r="I6" s="14" t="inlineStr">
        <is>
          <t>DG</t>
        </is>
      </c>
      <c r="J6" s="14" t="inlineStr">
        <is>
          <t>PV-DEST-2025-002</t>
        </is>
      </c>
      <c r="K6" s="14" t="inlineStr">
        <is>
          <t>Terminee</t>
        </is>
      </c>
    </row>
    <row r="7" ht="22" customHeight="1">
      <c r="B7" s="12" t="inlineStr">
        <is>
          <t>HDD-003</t>
        </is>
      </c>
      <c r="C7" s="12" t="inlineStr">
        <is>
          <t>Notes service obsoletes</t>
        </is>
      </c>
      <c r="D7" s="12" t="inlineStr">
        <is>
          <t>2020</t>
        </is>
      </c>
      <c r="E7" s="18" t="n">
        <v>35</v>
      </c>
      <c r="F7" s="29" t="n">
        <v>45726</v>
      </c>
      <c r="G7" s="12" t="inlineStr">
        <is>
          <t>Pulverisation</t>
        </is>
      </c>
      <c r="H7" s="12" t="inlineStr">
        <is>
          <t>DRH</t>
        </is>
      </c>
      <c r="I7" s="12" t="inlineStr">
        <is>
          <t>DRH</t>
        </is>
      </c>
      <c r="J7" s="12" t="inlineStr">
        <is>
          <t>PV-DEST-2025-003</t>
        </is>
      </c>
      <c r="K7" s="12" t="inlineStr">
        <is>
          <t>Terminee</t>
        </is>
      </c>
    </row>
    <row r="8" ht="22" customHeight="1">
      <c r="B8" s="14" t="inlineStr">
        <is>
          <t>HDD-004</t>
        </is>
      </c>
      <c r="C8" s="14" t="inlineStr">
        <is>
          <t>PV reunions obsoletes</t>
        </is>
      </c>
      <c r="D8" s="14" t="inlineStr">
        <is>
          <t>2019</t>
        </is>
      </c>
      <c r="E8" s="19" t="n">
        <v>20</v>
      </c>
      <c r="F8" s="30" t="n">
        <v>45752</v>
      </c>
      <c r="G8" s="14" t="inlineStr">
        <is>
          <t>Pulverisation</t>
        </is>
      </c>
      <c r="H8" s="14" t="inlineStr">
        <is>
          <t>Assistante RH</t>
        </is>
      </c>
      <c r="I8" s="14" t="inlineStr">
        <is>
          <t>DRH</t>
        </is>
      </c>
      <c r="J8" s="14" t="inlineStr">
        <is>
          <t>PV-DEST-2025-004</t>
        </is>
      </c>
      <c r="K8" s="14" t="inlineStr">
        <is>
          <t>Terminee</t>
        </is>
      </c>
    </row>
    <row r="9" ht="22" customHeight="1">
      <c r="B9" s="17">
        <f>IF(C9="","HDD-"&amp;TEXT(COUNTA($C$5:C9),"000"))</f>
        <v/>
      </c>
      <c r="C9" s="12" t="n"/>
      <c r="D9" s="12" t="n"/>
      <c r="E9" s="18" t="n"/>
      <c r="F9" s="29" t="n"/>
      <c r="G9" s="12" t="n"/>
      <c r="H9" s="12" t="n"/>
      <c r="I9" s="12" t="n"/>
      <c r="J9" s="12" t="n"/>
      <c r="K9" s="12" t="n"/>
    </row>
    <row r="10" ht="22" customHeight="1">
      <c r="B10" s="16">
        <f>IF(C10="","HDD-"&amp;TEXT(COUNTA($C$5:C10),"000"))</f>
        <v/>
      </c>
      <c r="C10" s="14" t="n"/>
      <c r="D10" s="14" t="n"/>
      <c r="E10" s="19" t="n"/>
      <c r="F10" s="30" t="n"/>
      <c r="G10" s="14" t="n"/>
      <c r="H10" s="14" t="n"/>
      <c r="I10" s="14" t="n"/>
      <c r="J10" s="14" t="n"/>
      <c r="K10" s="14" t="n"/>
    </row>
    <row r="11" ht="22" customHeight="1">
      <c r="B11" s="17">
        <f>IF(C11="","HDD-"&amp;TEXT(COUNTA($C$5:C11),"000"))</f>
        <v/>
      </c>
      <c r="C11" s="12" t="n"/>
      <c r="D11" s="12" t="n"/>
      <c r="E11" s="18" t="n"/>
      <c r="F11" s="29" t="n"/>
      <c r="G11" s="12" t="n"/>
      <c r="H11" s="12" t="n"/>
      <c r="I11" s="12" t="n"/>
      <c r="J11" s="12" t="n"/>
      <c r="K11" s="12" t="n"/>
    </row>
    <row r="12" ht="22" customHeight="1">
      <c r="B12" s="16">
        <f>IF(C12="","HDD-"&amp;TEXT(COUNTA($C$5:C12),"000"))</f>
        <v/>
      </c>
      <c r="C12" s="14" t="n"/>
      <c r="D12" s="14" t="n"/>
      <c r="E12" s="19" t="n"/>
      <c r="F12" s="30" t="n"/>
      <c r="G12" s="14" t="n"/>
      <c r="H12" s="14" t="n"/>
      <c r="I12" s="14" t="n"/>
      <c r="J12" s="14" t="n"/>
      <c r="K12" s="14" t="n"/>
    </row>
    <row r="13" ht="22" customHeight="1">
      <c r="B13" s="17">
        <f>IF(C13="","HDD-"&amp;TEXT(COUNTA($C$5:C13),"000"))</f>
        <v/>
      </c>
      <c r="C13" s="12" t="n"/>
      <c r="D13" s="12" t="n"/>
      <c r="E13" s="18" t="n"/>
      <c r="F13" s="29" t="n"/>
      <c r="G13" s="12" t="n"/>
      <c r="H13" s="12" t="n"/>
      <c r="I13" s="12" t="n"/>
      <c r="J13" s="12" t="n"/>
      <c r="K13" s="12" t="n"/>
    </row>
    <row r="14" ht="22" customHeight="1">
      <c r="B14" s="16">
        <f>IF(C14="","HDD-"&amp;TEXT(COUNTA($C$5:C14),"000"))</f>
        <v/>
      </c>
      <c r="C14" s="14" t="n"/>
      <c r="D14" s="14" t="n"/>
      <c r="E14" s="19" t="n"/>
      <c r="F14" s="30" t="n"/>
      <c r="G14" s="14" t="n"/>
      <c r="H14" s="14" t="n"/>
      <c r="I14" s="14" t="n"/>
      <c r="J14" s="14" t="n"/>
      <c r="K14" s="14" t="n"/>
    </row>
    <row r="15" ht="22" customHeight="1">
      <c r="B15" s="17">
        <f>IF(C15="","HDD-"&amp;TEXT(COUNTA($C$5:C15),"000"))</f>
        <v/>
      </c>
      <c r="C15" s="12" t="n"/>
      <c r="D15" s="12" t="n"/>
      <c r="E15" s="18" t="n"/>
      <c r="F15" s="29" t="n"/>
      <c r="G15" s="12" t="n"/>
      <c r="H15" s="12" t="n"/>
      <c r="I15" s="12" t="n"/>
      <c r="J15" s="12" t="n"/>
      <c r="K15" s="12" t="n"/>
    </row>
    <row r="16" ht="22" customHeight="1">
      <c r="B16" s="16">
        <f>IF(C16="","HDD-"&amp;TEXT(COUNTA($C$5:C16),"000"))</f>
        <v/>
      </c>
      <c r="C16" s="14" t="n"/>
      <c r="D16" s="14" t="n"/>
      <c r="E16" s="19" t="n"/>
      <c r="F16" s="30" t="n"/>
      <c r="G16" s="14" t="n"/>
      <c r="H16" s="14" t="n"/>
      <c r="I16" s="14" t="n"/>
      <c r="J16" s="14" t="n"/>
      <c r="K16" s="14" t="n"/>
    </row>
    <row r="17" ht="22" customHeight="1">
      <c r="B17" s="17">
        <f>IF(C17="","HDD-"&amp;TEXT(COUNTA($C$5:C17),"000"))</f>
        <v/>
      </c>
      <c r="C17" s="12" t="n"/>
      <c r="D17" s="12" t="n"/>
      <c r="E17" s="18" t="n"/>
      <c r="F17" s="29" t="n"/>
      <c r="G17" s="12" t="n"/>
      <c r="H17" s="12" t="n"/>
      <c r="I17" s="12" t="n"/>
      <c r="J17" s="12" t="n"/>
      <c r="K17" s="12" t="n"/>
    </row>
    <row r="18" ht="22" customHeight="1">
      <c r="B18" s="16">
        <f>IF(C18="","HDD-"&amp;TEXT(COUNTA($C$5:C18),"000"))</f>
        <v/>
      </c>
      <c r="C18" s="14" t="n"/>
      <c r="D18" s="14" t="n"/>
      <c r="E18" s="19" t="n"/>
      <c r="F18" s="30" t="n"/>
      <c r="G18" s="14" t="n"/>
      <c r="H18" s="14" t="n"/>
      <c r="I18" s="14" t="n"/>
      <c r="J18" s="14" t="n"/>
      <c r="K18" s="14" t="n"/>
    </row>
    <row r="19" ht="22" customHeight="1">
      <c r="B19" s="17">
        <f>IF(C19="","HDD-"&amp;TEXT(COUNTA($C$5:C19),"000"))</f>
        <v/>
      </c>
      <c r="C19" s="12" t="n"/>
      <c r="D19" s="12" t="n"/>
      <c r="E19" s="18" t="n"/>
      <c r="F19" s="29" t="n"/>
      <c r="G19" s="12" t="n"/>
      <c r="H19" s="12" t="n"/>
      <c r="I19" s="12" t="n"/>
      <c r="J19" s="12" t="n"/>
      <c r="K19" s="12" t="n"/>
    </row>
    <row r="20" ht="22" customHeight="1">
      <c r="B20" s="16">
        <f>IF(C20="","HDD-"&amp;TEXT(COUNTA($C$5:C20),"000"))</f>
        <v/>
      </c>
      <c r="C20" s="14" t="n"/>
      <c r="D20" s="14" t="n"/>
      <c r="E20" s="19" t="n"/>
      <c r="F20" s="30" t="n"/>
      <c r="G20" s="14" t="n"/>
      <c r="H20" s="14" t="n"/>
      <c r="I20" s="14" t="n"/>
      <c r="J20" s="14" t="n"/>
      <c r="K20" s="14" t="n"/>
    </row>
    <row r="21" ht="22" customHeight="1">
      <c r="B21" s="17">
        <f>IF(C21="","HDD-"&amp;TEXT(COUNTA($C$5:C21),"000"))</f>
        <v/>
      </c>
      <c r="C21" s="12" t="n"/>
      <c r="D21" s="12" t="n"/>
      <c r="E21" s="18" t="n"/>
      <c r="F21" s="29" t="n"/>
      <c r="G21" s="12" t="n"/>
      <c r="H21" s="12" t="n"/>
      <c r="I21" s="12" t="n"/>
      <c r="J21" s="12" t="n"/>
      <c r="K21" s="12" t="n"/>
    </row>
    <row r="22" ht="22" customHeight="1">
      <c r="B22" s="16">
        <f>IF(C22="","HDD-"&amp;TEXT(COUNTA($C$5:C22),"000"))</f>
        <v/>
      </c>
      <c r="C22" s="14" t="n"/>
      <c r="D22" s="14" t="n"/>
      <c r="E22" s="19" t="n"/>
      <c r="F22" s="30" t="n"/>
      <c r="G22" s="14" t="n"/>
      <c r="H22" s="14" t="n"/>
      <c r="I22" s="14" t="n"/>
      <c r="J22" s="14" t="n"/>
      <c r="K22" s="14" t="n"/>
    </row>
    <row r="23" ht="22" customHeight="1">
      <c r="B23" s="17">
        <f>IF(C23="","HDD-"&amp;TEXT(COUNTA($C$5:C23),"000"))</f>
        <v/>
      </c>
      <c r="C23" s="12" t="n"/>
      <c r="D23" s="12" t="n"/>
      <c r="E23" s="18" t="n"/>
      <c r="F23" s="29" t="n"/>
      <c r="G23" s="12" t="n"/>
      <c r="H23" s="12" t="n"/>
      <c r="I23" s="12" t="n"/>
      <c r="J23" s="12" t="n"/>
      <c r="K23" s="12" t="n"/>
    </row>
    <row r="24" ht="22" customHeight="1">
      <c r="B24" s="16">
        <f>IF(C24="","HDD-"&amp;TEXT(COUNTA($C$5:C24),"000"))</f>
        <v/>
      </c>
      <c r="C24" s="14" t="n"/>
      <c r="D24" s="14" t="n"/>
      <c r="E24" s="19" t="n"/>
      <c r="F24" s="30" t="n"/>
      <c r="G24" s="14" t="n"/>
      <c r="H24" s="14" t="n"/>
      <c r="I24" s="14" t="n"/>
      <c r="J24" s="14" t="n"/>
      <c r="K24" s="14" t="n"/>
    </row>
    <row r="25" ht="22" customHeight="1">
      <c r="B25" s="17">
        <f>IF(C25="","HDD-"&amp;TEXT(COUNTA($C$5:C25),"000"))</f>
        <v/>
      </c>
      <c r="C25" s="12" t="n"/>
      <c r="D25" s="12" t="n"/>
      <c r="E25" s="18" t="n"/>
      <c r="F25" s="29" t="n"/>
      <c r="G25" s="12" t="n"/>
      <c r="H25" s="12" t="n"/>
      <c r="I25" s="12" t="n"/>
      <c r="J25" s="12" t="n"/>
      <c r="K25" s="12" t="n"/>
    </row>
    <row r="26" ht="22" customHeight="1">
      <c r="B26" s="16">
        <f>IF(C26="","HDD-"&amp;TEXT(COUNTA($C$5:C26),"000"))</f>
        <v/>
      </c>
      <c r="C26" s="14" t="n"/>
      <c r="D26" s="14" t="n"/>
      <c r="E26" s="19" t="n"/>
      <c r="F26" s="30" t="n"/>
      <c r="G26" s="14" t="n"/>
      <c r="H26" s="14" t="n"/>
      <c r="I26" s="14" t="n"/>
      <c r="J26" s="14" t="n"/>
      <c r="K26" s="14" t="n"/>
    </row>
    <row r="27" ht="22" customHeight="1">
      <c r="B27" s="17">
        <f>IF(C27="","HDD-"&amp;TEXT(COUNTA($C$5:C27),"000"))</f>
        <v/>
      </c>
      <c r="C27" s="12" t="n"/>
      <c r="D27" s="12" t="n"/>
      <c r="E27" s="18" t="n"/>
      <c r="F27" s="29" t="n"/>
      <c r="G27" s="12" t="n"/>
      <c r="H27" s="12" t="n"/>
      <c r="I27" s="12" t="n"/>
      <c r="J27" s="12" t="n"/>
      <c r="K27" s="12" t="n"/>
    </row>
    <row r="28" ht="22" customHeight="1">
      <c r="B28" s="16">
        <f>IF(C28="","HDD-"&amp;TEXT(COUNTA($C$5:C28),"000"))</f>
        <v/>
      </c>
      <c r="C28" s="14" t="n"/>
      <c r="D28" s="14" t="n"/>
      <c r="E28" s="19" t="n"/>
      <c r="F28" s="30" t="n"/>
      <c r="G28" s="14" t="n"/>
      <c r="H28" s="14" t="n"/>
      <c r="I28" s="14" t="n"/>
      <c r="J28" s="14" t="n"/>
      <c r="K28" s="14" t="n"/>
    </row>
    <row r="29" ht="22" customHeight="1">
      <c r="B29" s="17">
        <f>IF(C29="","HDD-"&amp;TEXT(COUNTA($C$5:C29),"000"))</f>
        <v/>
      </c>
      <c r="C29" s="12" t="n"/>
      <c r="D29" s="12" t="n"/>
      <c r="E29" s="18" t="n"/>
      <c r="F29" s="29" t="n"/>
      <c r="G29" s="12" t="n"/>
      <c r="H29" s="12" t="n"/>
      <c r="I29" s="12" t="n"/>
      <c r="J29" s="12" t="n"/>
      <c r="K29" s="12" t="n"/>
    </row>
    <row r="30" ht="22" customHeight="1">
      <c r="B30" s="16">
        <f>IF(C30="","HDD-"&amp;TEXT(COUNTA($C$5:C30),"000"))</f>
        <v/>
      </c>
      <c r="C30" s="14" t="n"/>
      <c r="D30" s="14" t="n"/>
      <c r="E30" s="19" t="n"/>
      <c r="F30" s="30" t="n"/>
      <c r="G30" s="14" t="n"/>
      <c r="H30" s="14" t="n"/>
      <c r="I30" s="14" t="n"/>
      <c r="J30" s="14" t="n"/>
      <c r="K30" s="14" t="n"/>
    </row>
    <row r="31" ht="22" customHeight="1">
      <c r="B31" s="17">
        <f>IF(C31="","HDD-"&amp;TEXT(COUNTA($C$5:C31),"000"))</f>
        <v/>
      </c>
      <c r="C31" s="12" t="n"/>
      <c r="D31" s="12" t="n"/>
      <c r="E31" s="18" t="n"/>
      <c r="F31" s="29" t="n"/>
      <c r="G31" s="12" t="n"/>
      <c r="H31" s="12" t="n"/>
      <c r="I31" s="12" t="n"/>
      <c r="J31" s="12" t="n"/>
      <c r="K31" s="12" t="n"/>
    </row>
    <row r="32" ht="22" customHeight="1">
      <c r="B32" s="16">
        <f>IF(C32="","HDD-"&amp;TEXT(COUNTA($C$5:C32),"000"))</f>
        <v/>
      </c>
      <c r="C32" s="14" t="n"/>
      <c r="D32" s="14" t="n"/>
      <c r="E32" s="19" t="n"/>
      <c r="F32" s="30" t="n"/>
      <c r="G32" s="14" t="n"/>
      <c r="H32" s="14" t="n"/>
      <c r="I32" s="14" t="n"/>
      <c r="J32" s="14" t="n"/>
      <c r="K32" s="14" t="n"/>
    </row>
    <row r="33" ht="22" customHeight="1">
      <c r="B33" s="17">
        <f>IF(C33="","HDD-"&amp;TEXT(COUNTA($C$5:C33),"000"))</f>
        <v/>
      </c>
      <c r="C33" s="12" t="n"/>
      <c r="D33" s="12" t="n"/>
      <c r="E33" s="18" t="n"/>
      <c r="F33" s="29" t="n"/>
      <c r="G33" s="12" t="n"/>
      <c r="H33" s="12" t="n"/>
      <c r="I33" s="12" t="n"/>
      <c r="J33" s="12" t="n"/>
      <c r="K33" s="12" t="n"/>
    </row>
    <row r="34" ht="22" customHeight="1">
      <c r="B34" s="16">
        <f>IF(C34="","HDD-"&amp;TEXT(COUNTA($C$5:C34),"000"))</f>
        <v/>
      </c>
      <c r="C34" s="14" t="n"/>
      <c r="D34" s="14" t="n"/>
      <c r="E34" s="19" t="n"/>
      <c r="F34" s="30" t="n"/>
      <c r="G34" s="14" t="n"/>
      <c r="H34" s="14" t="n"/>
      <c r="I34" s="14" t="n"/>
      <c r="J34" s="14" t="n"/>
      <c r="K34" s="14" t="n"/>
    </row>
    <row r="35" ht="22" customHeight="1">
      <c r="B35" s="17">
        <f>IF(C35="","HDD-"&amp;TEXT(COUNTA($C$5:C35),"000"))</f>
        <v/>
      </c>
      <c r="C35" s="12" t="n"/>
      <c r="D35" s="12" t="n"/>
      <c r="E35" s="18" t="n"/>
      <c r="F35" s="29" t="n"/>
      <c r="G35" s="12" t="n"/>
      <c r="H35" s="12" t="n"/>
      <c r="I35" s="12" t="n"/>
      <c r="J35" s="12" t="n"/>
      <c r="K35" s="12" t="n"/>
    </row>
    <row r="36" ht="22" customHeight="1">
      <c r="B36" s="16">
        <f>IF(C36="","HDD-"&amp;TEXT(COUNTA($C$5:C36),"000"))</f>
        <v/>
      </c>
      <c r="C36" s="14" t="n"/>
      <c r="D36" s="14" t="n"/>
      <c r="E36" s="19" t="n"/>
      <c r="F36" s="30" t="n"/>
      <c r="G36" s="14" t="n"/>
      <c r="H36" s="14" t="n"/>
      <c r="I36" s="14" t="n"/>
      <c r="J36" s="14" t="n"/>
      <c r="K36" s="14" t="n"/>
    </row>
    <row r="37" ht="22" customHeight="1">
      <c r="B37" s="17">
        <f>IF(C37="","HDD-"&amp;TEXT(COUNTA($C$5:C37),"000"))</f>
        <v/>
      </c>
      <c r="C37" s="12" t="n"/>
      <c r="D37" s="12" t="n"/>
      <c r="E37" s="18" t="n"/>
      <c r="F37" s="29" t="n"/>
      <c r="G37" s="12" t="n"/>
      <c r="H37" s="12" t="n"/>
      <c r="I37" s="12" t="n"/>
      <c r="J37" s="12" t="n"/>
      <c r="K37" s="12" t="n"/>
    </row>
    <row r="38" ht="22" customHeight="1">
      <c r="B38" s="16">
        <f>IF(C38="","HDD-"&amp;TEXT(COUNTA($C$5:C38),"000"))</f>
        <v/>
      </c>
      <c r="C38" s="14" t="n"/>
      <c r="D38" s="14" t="n"/>
      <c r="E38" s="19" t="n"/>
      <c r="F38" s="30" t="n"/>
      <c r="G38" s="14" t="n"/>
      <c r="H38" s="14" t="n"/>
      <c r="I38" s="14" t="n"/>
      <c r="J38" s="14" t="n"/>
      <c r="K38" s="14" t="n"/>
    </row>
    <row r="39" ht="22" customHeight="1">
      <c r="B39" s="17">
        <f>IF(C39="","HDD-"&amp;TEXT(COUNTA($C$5:C39),"000"))</f>
        <v/>
      </c>
      <c r="C39" s="12" t="n"/>
      <c r="D39" s="12" t="n"/>
      <c r="E39" s="18" t="n"/>
      <c r="F39" s="29" t="n"/>
      <c r="G39" s="12" t="n"/>
      <c r="H39" s="12" t="n"/>
      <c r="I39" s="12" t="n"/>
      <c r="J39" s="12" t="n"/>
      <c r="K39" s="12" t="n"/>
    </row>
    <row r="40" ht="22" customHeight="1">
      <c r="B40" s="16">
        <f>IF(C40="","HDD-"&amp;TEXT(COUNTA($C$5:C40),"000"))</f>
        <v/>
      </c>
      <c r="C40" s="14" t="n"/>
      <c r="D40" s="14" t="n"/>
      <c r="E40" s="19" t="n"/>
      <c r="F40" s="30" t="n"/>
      <c r="G40" s="14" t="n"/>
      <c r="H40" s="14" t="n"/>
      <c r="I40" s="14" t="n"/>
      <c r="J40" s="14" t="n"/>
      <c r="K40" s="14" t="n"/>
    </row>
    <row r="41" ht="22" customHeight="1">
      <c r="B41" s="17">
        <f>IF(C41="","HDD-"&amp;TEXT(COUNTA($C$5:C41),"000"))</f>
        <v/>
      </c>
      <c r="C41" s="12" t="n"/>
      <c r="D41" s="12" t="n"/>
      <c r="E41" s="18" t="n"/>
      <c r="F41" s="29" t="n"/>
      <c r="G41" s="12" t="n"/>
      <c r="H41" s="12" t="n"/>
      <c r="I41" s="12" t="n"/>
      <c r="J41" s="12" t="n"/>
      <c r="K41" s="12" t="n"/>
    </row>
    <row r="42" ht="22" customHeight="1">
      <c r="B42" s="16">
        <f>IF(C42="","HDD-"&amp;TEXT(COUNTA($C$5:C42),"000"))</f>
        <v/>
      </c>
      <c r="C42" s="14" t="n"/>
      <c r="D42" s="14" t="n"/>
      <c r="E42" s="19" t="n"/>
      <c r="F42" s="30" t="n"/>
      <c r="G42" s="14" t="n"/>
      <c r="H42" s="14" t="n"/>
      <c r="I42" s="14" t="n"/>
      <c r="J42" s="14" t="n"/>
      <c r="K42" s="14" t="n"/>
    </row>
    <row r="43" ht="22" customHeight="1">
      <c r="B43" s="17">
        <f>IF(C43="","HDD-"&amp;TEXT(COUNTA($C$5:C43),"000"))</f>
        <v/>
      </c>
      <c r="C43" s="12" t="n"/>
      <c r="D43" s="12" t="n"/>
      <c r="E43" s="18" t="n"/>
      <c r="F43" s="29" t="n"/>
      <c r="G43" s="12" t="n"/>
      <c r="H43" s="12" t="n"/>
      <c r="I43" s="12" t="n"/>
      <c r="J43" s="12" t="n"/>
      <c r="K43" s="12" t="n"/>
    </row>
    <row r="44" ht="22" customHeight="1">
      <c r="B44" s="16">
        <f>IF(C44="","HDD-"&amp;TEXT(COUNTA($C$5:C44),"000"))</f>
        <v/>
      </c>
      <c r="C44" s="14" t="n"/>
      <c r="D44" s="14" t="n"/>
      <c r="E44" s="19" t="n"/>
      <c r="F44" s="30" t="n"/>
      <c r="G44" s="14" t="n"/>
      <c r="H44" s="14" t="n"/>
      <c r="I44" s="14" t="n"/>
      <c r="J44" s="14" t="n"/>
      <c r="K44" s="14" t="n"/>
    </row>
    <row r="45" ht="22" customHeight="1">
      <c r="B45" s="17">
        <f>IF(C45="","HDD-"&amp;TEXT(COUNTA($C$5:C45),"000"))</f>
        <v/>
      </c>
      <c r="C45" s="12" t="n"/>
      <c r="D45" s="12" t="n"/>
      <c r="E45" s="18" t="n"/>
      <c r="F45" s="29" t="n"/>
      <c r="G45" s="12" t="n"/>
      <c r="H45" s="12" t="n"/>
      <c r="I45" s="12" t="n"/>
      <c r="J45" s="12" t="n"/>
      <c r="K45" s="12" t="n"/>
    </row>
    <row r="46" ht="22" customHeight="1">
      <c r="B46" s="16">
        <f>IF(C46="","HDD-"&amp;TEXT(COUNTA($C$5:C46),"000"))</f>
        <v/>
      </c>
      <c r="C46" s="14" t="n"/>
      <c r="D46" s="14" t="n"/>
      <c r="E46" s="19" t="n"/>
      <c r="F46" s="30" t="n"/>
      <c r="G46" s="14" t="n"/>
      <c r="H46" s="14" t="n"/>
      <c r="I46" s="14" t="n"/>
      <c r="J46" s="14" t="n"/>
      <c r="K46" s="14" t="n"/>
    </row>
    <row r="47" ht="22" customHeight="1">
      <c r="B47" s="17">
        <f>IF(C47="","HDD-"&amp;TEXT(COUNTA($C$5:C47),"000"))</f>
        <v/>
      </c>
      <c r="C47" s="12" t="n"/>
      <c r="D47" s="12" t="n"/>
      <c r="E47" s="18" t="n"/>
      <c r="F47" s="29" t="n"/>
      <c r="G47" s="12" t="n"/>
      <c r="H47" s="12" t="n"/>
      <c r="I47" s="12" t="n"/>
      <c r="J47" s="12" t="n"/>
      <c r="K47" s="12" t="n"/>
    </row>
    <row r="48" ht="22" customHeight="1">
      <c r="B48" s="16">
        <f>IF(C48="","HDD-"&amp;TEXT(COUNTA($C$5:C48),"000"))</f>
        <v/>
      </c>
      <c r="C48" s="14" t="n"/>
      <c r="D48" s="14" t="n"/>
      <c r="E48" s="19" t="n"/>
      <c r="F48" s="30" t="n"/>
      <c r="G48" s="14" t="n"/>
      <c r="H48" s="14" t="n"/>
      <c r="I48" s="14" t="n"/>
      <c r="J48" s="14" t="n"/>
      <c r="K48" s="14" t="n"/>
    </row>
    <row r="49" ht="22" customHeight="1">
      <c r="B49" s="17">
        <f>IF(C49="","HDD-"&amp;TEXT(COUNTA($C$5:C49),"000"))</f>
        <v/>
      </c>
      <c r="C49" s="12" t="n"/>
      <c r="D49" s="12" t="n"/>
      <c r="E49" s="18" t="n"/>
      <c r="F49" s="29" t="n"/>
      <c r="G49" s="12" t="n"/>
      <c r="H49" s="12" t="n"/>
      <c r="I49" s="12" t="n"/>
      <c r="J49" s="12" t="n"/>
      <c r="K49" s="12" t="n"/>
    </row>
    <row r="50" ht="22" customHeight="1">
      <c r="B50" s="16">
        <f>IF(C50="","HDD-"&amp;TEXT(COUNTA($C$5:C50),"000"))</f>
        <v/>
      </c>
      <c r="C50" s="14" t="n"/>
      <c r="D50" s="14" t="n"/>
      <c r="E50" s="19" t="n"/>
      <c r="F50" s="30" t="n"/>
      <c r="G50" s="14" t="n"/>
      <c r="H50" s="14" t="n"/>
      <c r="I50" s="14" t="n"/>
      <c r="J50" s="14" t="n"/>
      <c r="K50" s="14" t="n"/>
    </row>
    <row r="51" ht="22" customHeight="1">
      <c r="B51" s="17">
        <f>IF(C51="","HDD-"&amp;TEXT(COUNTA($C$5:C51),"000"))</f>
        <v/>
      </c>
      <c r="C51" s="12" t="n"/>
      <c r="D51" s="12" t="n"/>
      <c r="E51" s="18" t="n"/>
      <c r="F51" s="29" t="n"/>
      <c r="G51" s="12" t="n"/>
      <c r="H51" s="12" t="n"/>
      <c r="I51" s="12" t="n"/>
      <c r="J51" s="12" t="n"/>
      <c r="K51" s="12" t="n"/>
    </row>
    <row r="52" ht="22" customHeight="1">
      <c r="B52" s="16">
        <f>IF(C52="","HDD-"&amp;TEXT(COUNTA($C$5:C52),"000"))</f>
        <v/>
      </c>
      <c r="C52" s="14" t="n"/>
      <c r="D52" s="14" t="n"/>
      <c r="E52" s="19" t="n"/>
      <c r="F52" s="30" t="n"/>
      <c r="G52" s="14" t="n"/>
      <c r="H52" s="14" t="n"/>
      <c r="I52" s="14" t="n"/>
      <c r="J52" s="14" t="n"/>
      <c r="K52" s="14" t="n"/>
    </row>
    <row r="53" ht="22" customHeight="1">
      <c r="B53" s="17">
        <f>IF(C53="","HDD-"&amp;TEXT(COUNTA($C$5:C53),"000"))</f>
        <v/>
      </c>
      <c r="C53" s="12" t="n"/>
      <c r="D53" s="12" t="n"/>
      <c r="E53" s="18" t="n"/>
      <c r="F53" s="29" t="n"/>
      <c r="G53" s="12" t="n"/>
      <c r="H53" s="12" t="n"/>
      <c r="I53" s="12" t="n"/>
      <c r="J53" s="12" t="n"/>
      <c r="K53" s="12" t="n"/>
    </row>
    <row r="54" ht="22" customHeight="1">
      <c r="B54" s="16">
        <f>IF(C54="","HDD-"&amp;TEXT(COUNTA($C$5:C54),"000"))</f>
        <v/>
      </c>
      <c r="C54" s="14" t="n"/>
      <c r="D54" s="14" t="n"/>
      <c r="E54" s="19" t="n"/>
      <c r="F54" s="30" t="n"/>
      <c r="G54" s="14" t="n"/>
      <c r="H54" s="14" t="n"/>
      <c r="I54" s="14" t="n"/>
      <c r="J54" s="14" t="n"/>
      <c r="K54" s="14" t="n"/>
    </row>
    <row r="55" ht="22" customHeight="1">
      <c r="B55" s="17">
        <f>IF(C55="","HDD-"&amp;TEXT(COUNTA($C$5:C55),"000"))</f>
        <v/>
      </c>
      <c r="C55" s="12" t="n"/>
      <c r="D55" s="12" t="n"/>
      <c r="E55" s="18" t="n"/>
      <c r="F55" s="29" t="n"/>
      <c r="G55" s="12" t="n"/>
      <c r="H55" s="12" t="n"/>
      <c r="I55" s="12" t="n"/>
      <c r="J55" s="12" t="n"/>
      <c r="K55" s="12" t="n"/>
    </row>
    <row r="56" ht="22" customHeight="1">
      <c r="B56" s="16">
        <f>IF(C56="","HDD-"&amp;TEXT(COUNTA($C$5:C56),"000"))</f>
        <v/>
      </c>
      <c r="C56" s="14" t="n"/>
      <c r="D56" s="14" t="n"/>
      <c r="E56" s="19" t="n"/>
      <c r="F56" s="30" t="n"/>
      <c r="G56" s="14" t="n"/>
      <c r="H56" s="14" t="n"/>
      <c r="I56" s="14" t="n"/>
      <c r="J56" s="14" t="n"/>
      <c r="K56" s="14" t="n"/>
    </row>
    <row r="57" ht="22" customHeight="1">
      <c r="B57" s="17">
        <f>IF(C57="","HDD-"&amp;TEXT(COUNTA($C$5:C57),"000"))</f>
        <v/>
      </c>
      <c r="C57" s="12" t="n"/>
      <c r="D57" s="12" t="n"/>
      <c r="E57" s="18" t="n"/>
      <c r="F57" s="29" t="n"/>
      <c r="G57" s="12" t="n"/>
      <c r="H57" s="12" t="n"/>
      <c r="I57" s="12" t="n"/>
      <c r="J57" s="12" t="n"/>
      <c r="K57" s="12" t="n"/>
    </row>
    <row r="58" ht="22" customHeight="1">
      <c r="B58" s="16">
        <f>IF(C58="","HDD-"&amp;TEXT(COUNTA($C$5:C58),"000"))</f>
        <v/>
      </c>
      <c r="C58" s="14" t="n"/>
      <c r="D58" s="14" t="n"/>
      <c r="E58" s="19" t="n"/>
      <c r="F58" s="30" t="n"/>
      <c r="G58" s="14" t="n"/>
      <c r="H58" s="14" t="n"/>
      <c r="I58" s="14" t="n"/>
      <c r="J58" s="14" t="n"/>
      <c r="K58" s="14" t="n"/>
    </row>
    <row r="59" ht="22" customHeight="1">
      <c r="B59" s="17">
        <f>IF(C59="","HDD-"&amp;TEXT(COUNTA($C$5:C59),"000"))</f>
        <v/>
      </c>
      <c r="C59" s="12" t="n"/>
      <c r="D59" s="12" t="n"/>
      <c r="E59" s="18" t="n"/>
      <c r="F59" s="29" t="n"/>
      <c r="G59" s="12" t="n"/>
      <c r="H59" s="12" t="n"/>
      <c r="I59" s="12" t="n"/>
      <c r="J59" s="12" t="n"/>
      <c r="K59" s="12" t="n"/>
    </row>
    <row r="60" ht="22" customHeight="1">
      <c r="B60" s="16">
        <f>IF(C60="","HDD-"&amp;TEXT(COUNTA($C$5:C60),"000"))</f>
        <v/>
      </c>
      <c r="C60" s="14" t="n"/>
      <c r="D60" s="14" t="n"/>
      <c r="E60" s="19" t="n"/>
      <c r="F60" s="30" t="n"/>
      <c r="G60" s="14" t="n"/>
      <c r="H60" s="14" t="n"/>
      <c r="I60" s="14" t="n"/>
      <c r="J60" s="14" t="n"/>
      <c r="K60" s="14" t="n"/>
    </row>
    <row r="61" ht="22" customHeight="1">
      <c r="B61" s="17">
        <f>IF(C61="","HDD-"&amp;TEXT(COUNTA($C$5:C61),"000"))</f>
        <v/>
      </c>
      <c r="C61" s="12" t="n"/>
      <c r="D61" s="12" t="n"/>
      <c r="E61" s="18" t="n"/>
      <c r="F61" s="29" t="n"/>
      <c r="G61" s="12" t="n"/>
      <c r="H61" s="12" t="n"/>
      <c r="I61" s="12" t="n"/>
      <c r="J61" s="12" t="n"/>
      <c r="K61" s="12" t="n"/>
    </row>
    <row r="62" ht="22" customHeight="1">
      <c r="B62" s="16">
        <f>IF(C62="","HDD-"&amp;TEXT(COUNTA($C$5:C62),"000"))</f>
        <v/>
      </c>
      <c r="C62" s="14" t="n"/>
      <c r="D62" s="14" t="n"/>
      <c r="E62" s="19" t="n"/>
      <c r="F62" s="30" t="n"/>
      <c r="G62" s="14" t="n"/>
      <c r="H62" s="14" t="n"/>
      <c r="I62" s="14" t="n"/>
      <c r="J62" s="14" t="n"/>
      <c r="K62" s="14" t="n"/>
    </row>
    <row r="63" ht="22" customHeight="1">
      <c r="B63" s="17">
        <f>IF(C63="","HDD-"&amp;TEXT(COUNTA($C$5:C63),"000"))</f>
        <v/>
      </c>
      <c r="C63" s="12" t="n"/>
      <c r="D63" s="12" t="n"/>
      <c r="E63" s="18" t="n"/>
      <c r="F63" s="29" t="n"/>
      <c r="G63" s="12" t="n"/>
      <c r="H63" s="12" t="n"/>
      <c r="I63" s="12" t="n"/>
      <c r="J63" s="12" t="n"/>
      <c r="K63" s="12" t="n"/>
    </row>
    <row r="64" ht="22" customHeight="1">
      <c r="B64" s="16">
        <f>IF(C64="","HDD-"&amp;TEXT(COUNTA($C$5:C64),"000"))</f>
        <v/>
      </c>
      <c r="C64" s="14" t="n"/>
      <c r="D64" s="14" t="n"/>
      <c r="E64" s="19" t="n"/>
      <c r="F64" s="30" t="n"/>
      <c r="G64" s="14" t="n"/>
      <c r="H64" s="14" t="n"/>
      <c r="I64" s="14" t="n"/>
      <c r="J64" s="14" t="n"/>
      <c r="K64" s="14" t="n"/>
    </row>
    <row r="65" ht="22" customHeight="1">
      <c r="B65" s="17">
        <f>IF(C65="","HDD-"&amp;TEXT(COUNTA($C$5:C65),"000"))</f>
        <v/>
      </c>
      <c r="C65" s="12" t="n"/>
      <c r="D65" s="12" t="n"/>
      <c r="E65" s="18" t="n"/>
      <c r="F65" s="29" t="n"/>
      <c r="G65" s="12" t="n"/>
      <c r="H65" s="12" t="n"/>
      <c r="I65" s="12" t="n"/>
      <c r="J65" s="12" t="n"/>
      <c r="K65" s="12" t="n"/>
    </row>
    <row r="66" ht="22" customHeight="1">
      <c r="B66" s="16">
        <f>IF(C66="","HDD-"&amp;TEXT(COUNTA($C$5:C66),"000"))</f>
        <v/>
      </c>
      <c r="C66" s="14" t="n"/>
      <c r="D66" s="14" t="n"/>
      <c r="E66" s="19" t="n"/>
      <c r="F66" s="30" t="n"/>
      <c r="G66" s="14" t="n"/>
      <c r="H66" s="14" t="n"/>
      <c r="I66" s="14" t="n"/>
      <c r="J66" s="14" t="n"/>
      <c r="K66" s="14" t="n"/>
    </row>
    <row r="67" ht="22" customHeight="1">
      <c r="B67" s="17">
        <f>IF(C67="","HDD-"&amp;TEXT(COUNTA($C$5:C67),"000"))</f>
        <v/>
      </c>
      <c r="C67" s="12" t="n"/>
      <c r="D67" s="12" t="n"/>
      <c r="E67" s="18" t="n"/>
      <c r="F67" s="29" t="n"/>
      <c r="G67" s="12" t="n"/>
      <c r="H67" s="12" t="n"/>
      <c r="I67" s="12" t="n"/>
      <c r="J67" s="12" t="n"/>
      <c r="K67" s="12" t="n"/>
    </row>
    <row r="68" ht="22" customHeight="1">
      <c r="B68" s="16">
        <f>IF(C68="","HDD-"&amp;TEXT(COUNTA($C$5:C68),"000"))</f>
        <v/>
      </c>
      <c r="C68" s="14" t="n"/>
      <c r="D68" s="14" t="n"/>
      <c r="E68" s="19" t="n"/>
      <c r="F68" s="30" t="n"/>
      <c r="G68" s="14" t="n"/>
      <c r="H68" s="14" t="n"/>
      <c r="I68" s="14" t="n"/>
      <c r="J68" s="14" t="n"/>
      <c r="K68" s="14" t="n"/>
    </row>
    <row r="69" ht="22" customHeight="1">
      <c r="B69" s="17">
        <f>IF(C69="","HDD-"&amp;TEXT(COUNTA($C$5:C69),"000"))</f>
        <v/>
      </c>
      <c r="C69" s="12" t="n"/>
      <c r="D69" s="12" t="n"/>
      <c r="E69" s="18" t="n"/>
      <c r="F69" s="29" t="n"/>
      <c r="G69" s="12" t="n"/>
      <c r="H69" s="12" t="n"/>
      <c r="I69" s="12" t="n"/>
      <c r="J69" s="12" t="n"/>
      <c r="K69" s="12" t="n"/>
    </row>
    <row r="70" ht="22" customHeight="1">
      <c r="B70" s="16">
        <f>IF(C70="","HDD-"&amp;TEXT(COUNTA($C$5:C70),"000"))</f>
        <v/>
      </c>
      <c r="C70" s="14" t="n"/>
      <c r="D70" s="14" t="n"/>
      <c r="E70" s="19" t="n"/>
      <c r="F70" s="30" t="n"/>
      <c r="G70" s="14" t="n"/>
      <c r="H70" s="14" t="n"/>
      <c r="I70" s="14" t="n"/>
      <c r="J70" s="14" t="n"/>
      <c r="K70" s="14" t="n"/>
    </row>
    <row r="71" ht="22" customHeight="1">
      <c r="B71" s="17">
        <f>IF(C71="","HDD-"&amp;TEXT(COUNTA($C$5:C71),"000"))</f>
        <v/>
      </c>
      <c r="C71" s="12" t="n"/>
      <c r="D71" s="12" t="n"/>
      <c r="E71" s="18" t="n"/>
      <c r="F71" s="29" t="n"/>
      <c r="G71" s="12" t="n"/>
      <c r="H71" s="12" t="n"/>
      <c r="I71" s="12" t="n"/>
      <c r="J71" s="12" t="n"/>
      <c r="K71" s="12" t="n"/>
    </row>
    <row r="72" ht="22" customHeight="1">
      <c r="B72" s="16">
        <f>IF(C72="","HDD-"&amp;TEXT(COUNTA($C$5:C72),"000"))</f>
        <v/>
      </c>
      <c r="C72" s="14" t="n"/>
      <c r="D72" s="14" t="n"/>
      <c r="E72" s="19" t="n"/>
      <c r="F72" s="30" t="n"/>
      <c r="G72" s="14" t="n"/>
      <c r="H72" s="14" t="n"/>
      <c r="I72" s="14" t="n"/>
      <c r="J72" s="14" t="n"/>
      <c r="K72" s="14" t="n"/>
    </row>
    <row r="73" ht="22" customHeight="1">
      <c r="B73" s="17">
        <f>IF(C73="","HDD-"&amp;TEXT(COUNTA($C$5:C73),"000"))</f>
        <v/>
      </c>
      <c r="C73" s="12" t="n"/>
      <c r="D73" s="12" t="n"/>
      <c r="E73" s="18" t="n"/>
      <c r="F73" s="29" t="n"/>
      <c r="G73" s="12" t="n"/>
      <c r="H73" s="12" t="n"/>
      <c r="I73" s="12" t="n"/>
      <c r="J73" s="12" t="n"/>
      <c r="K73" s="12" t="n"/>
    </row>
    <row r="74" ht="22" customHeight="1">
      <c r="B74" s="16">
        <f>IF(C74="","HDD-"&amp;TEXT(COUNTA($C$5:C74),"000"))</f>
        <v/>
      </c>
      <c r="C74" s="14" t="n"/>
      <c r="D74" s="14" t="n"/>
      <c r="E74" s="19" t="n"/>
      <c r="F74" s="30" t="n"/>
      <c r="G74" s="14" t="n"/>
      <c r="H74" s="14" t="n"/>
      <c r="I74" s="14" t="n"/>
      <c r="J74" s="14" t="n"/>
      <c r="K74" s="14" t="n"/>
    </row>
    <row r="75" ht="22" customHeight="1">
      <c r="B75" s="17">
        <f>IF(C75="","HDD-"&amp;TEXT(COUNTA($C$5:C75),"000"))</f>
        <v/>
      </c>
      <c r="C75" s="12" t="n"/>
      <c r="D75" s="12" t="n"/>
      <c r="E75" s="18" t="n"/>
      <c r="F75" s="29" t="n"/>
      <c r="G75" s="12" t="n"/>
      <c r="H75" s="12" t="n"/>
      <c r="I75" s="12" t="n"/>
      <c r="J75" s="12" t="n"/>
      <c r="K75" s="12" t="n"/>
    </row>
    <row r="76" ht="22" customHeight="1">
      <c r="B76" s="16">
        <f>IF(C76="","HDD-"&amp;TEXT(COUNTA($C$5:C76),"000"))</f>
        <v/>
      </c>
      <c r="C76" s="14" t="n"/>
      <c r="D76" s="14" t="n"/>
      <c r="E76" s="19" t="n"/>
      <c r="F76" s="30" t="n"/>
      <c r="G76" s="14" t="n"/>
      <c r="H76" s="14" t="n"/>
      <c r="I76" s="14" t="n"/>
      <c r="J76" s="14" t="n"/>
      <c r="K76" s="14" t="n"/>
    </row>
    <row r="77" ht="22" customHeight="1">
      <c r="B77" s="17">
        <f>IF(C77="","HDD-"&amp;TEXT(COUNTA($C$5:C77),"000"))</f>
        <v/>
      </c>
      <c r="C77" s="12" t="n"/>
      <c r="D77" s="12" t="n"/>
      <c r="E77" s="18" t="n"/>
      <c r="F77" s="29" t="n"/>
      <c r="G77" s="12" t="n"/>
      <c r="H77" s="12" t="n"/>
      <c r="I77" s="12" t="n"/>
      <c r="J77" s="12" t="n"/>
      <c r="K77" s="12" t="n"/>
    </row>
    <row r="78" ht="22" customHeight="1">
      <c r="B78" s="16">
        <f>IF(C78="","HDD-"&amp;TEXT(COUNTA($C$5:C78),"000"))</f>
        <v/>
      </c>
      <c r="C78" s="14" t="n"/>
      <c r="D78" s="14" t="n"/>
      <c r="E78" s="19" t="n"/>
      <c r="F78" s="30" t="n"/>
      <c r="G78" s="14" t="n"/>
      <c r="H78" s="14" t="n"/>
      <c r="I78" s="14" t="n"/>
      <c r="J78" s="14" t="n"/>
      <c r="K78" s="14" t="n"/>
    </row>
    <row r="79" ht="22" customHeight="1">
      <c r="B79" s="17">
        <f>IF(C79="","HDD-"&amp;TEXT(COUNTA($C$5:C79),"000"))</f>
        <v/>
      </c>
      <c r="C79" s="12" t="n"/>
      <c r="D79" s="12" t="n"/>
      <c r="E79" s="18" t="n"/>
      <c r="F79" s="29" t="n"/>
      <c r="G79" s="12" t="n"/>
      <c r="H79" s="12" t="n"/>
      <c r="I79" s="12" t="n"/>
      <c r="J79" s="12" t="n"/>
      <c r="K79" s="12" t="n"/>
    </row>
    <row r="80" ht="22" customHeight="1">
      <c r="B80" s="16">
        <f>IF(C80="","HDD-"&amp;TEXT(COUNTA($C$5:C80),"000"))</f>
        <v/>
      </c>
      <c r="C80" s="14" t="n"/>
      <c r="D80" s="14" t="n"/>
      <c r="E80" s="19" t="n"/>
      <c r="F80" s="30" t="n"/>
      <c r="G80" s="14" t="n"/>
      <c r="H80" s="14" t="n"/>
      <c r="I80" s="14" t="n"/>
      <c r="J80" s="14" t="n"/>
      <c r="K80" s="14" t="n"/>
    </row>
    <row r="81" ht="22" customHeight="1">
      <c r="B81" s="17">
        <f>IF(C81="","HDD-"&amp;TEXT(COUNTA($C$5:C81),"000"))</f>
        <v/>
      </c>
      <c r="C81" s="12" t="n"/>
      <c r="D81" s="12" t="n"/>
      <c r="E81" s="18" t="n"/>
      <c r="F81" s="29" t="n"/>
      <c r="G81" s="12" t="n"/>
      <c r="H81" s="12" t="n"/>
      <c r="I81" s="12" t="n"/>
      <c r="J81" s="12" t="n"/>
      <c r="K81" s="12" t="n"/>
    </row>
    <row r="82" ht="22" customHeight="1">
      <c r="B82" s="16">
        <f>IF(C82="","HDD-"&amp;TEXT(COUNTA($C$5:C82),"000"))</f>
        <v/>
      </c>
      <c r="C82" s="14" t="n"/>
      <c r="D82" s="14" t="n"/>
      <c r="E82" s="19" t="n"/>
      <c r="F82" s="30" t="n"/>
      <c r="G82" s="14" t="n"/>
      <c r="H82" s="14" t="n"/>
      <c r="I82" s="14" t="n"/>
      <c r="J82" s="14" t="n"/>
      <c r="K82" s="14" t="n"/>
    </row>
    <row r="83" ht="22" customHeight="1">
      <c r="B83" s="17">
        <f>IF(C83="","HDD-"&amp;TEXT(COUNTA($C$5:C83),"000"))</f>
        <v/>
      </c>
      <c r="C83" s="12" t="n"/>
      <c r="D83" s="12" t="n"/>
      <c r="E83" s="18" t="n"/>
      <c r="F83" s="29" t="n"/>
      <c r="G83" s="12" t="n"/>
      <c r="H83" s="12" t="n"/>
      <c r="I83" s="12" t="n"/>
      <c r="J83" s="12" t="n"/>
      <c r="K83" s="12" t="n"/>
    </row>
    <row r="84" ht="22" customHeight="1">
      <c r="B84" s="16">
        <f>IF(C84="","HDD-"&amp;TEXT(COUNTA($C$5:C84),"000"))</f>
        <v/>
      </c>
      <c r="C84" s="14" t="n"/>
      <c r="D84" s="14" t="n"/>
      <c r="E84" s="19" t="n"/>
      <c r="F84" s="30" t="n"/>
      <c r="G84" s="14" t="n"/>
      <c r="H84" s="14" t="n"/>
      <c r="I84" s="14" t="n"/>
      <c r="J84" s="14" t="n"/>
      <c r="K84" s="14" t="n"/>
    </row>
    <row r="85" ht="22" customHeight="1">
      <c r="B85" s="17">
        <f>IF(C85="","HDD-"&amp;TEXT(COUNTA($C$5:C85),"000"))</f>
        <v/>
      </c>
      <c r="C85" s="12" t="n"/>
      <c r="D85" s="12" t="n"/>
      <c r="E85" s="18" t="n"/>
      <c r="F85" s="29" t="n"/>
      <c r="G85" s="12" t="n"/>
      <c r="H85" s="12" t="n"/>
      <c r="I85" s="12" t="n"/>
      <c r="J85" s="12" t="n"/>
      <c r="K85" s="12" t="n"/>
    </row>
    <row r="86" ht="22" customHeight="1">
      <c r="B86" s="16">
        <f>IF(C86="","HDD-"&amp;TEXT(COUNTA($C$5:C86),"000"))</f>
        <v/>
      </c>
      <c r="C86" s="14" t="n"/>
      <c r="D86" s="14" t="n"/>
      <c r="E86" s="19" t="n"/>
      <c r="F86" s="30" t="n"/>
      <c r="G86" s="14" t="n"/>
      <c r="H86" s="14" t="n"/>
      <c r="I86" s="14" t="n"/>
      <c r="J86" s="14" t="n"/>
      <c r="K86" s="14" t="n"/>
    </row>
    <row r="87" ht="22" customHeight="1">
      <c r="B87" s="17">
        <f>IF(C87="","HDD-"&amp;TEXT(COUNTA($C$5:C87),"000"))</f>
        <v/>
      </c>
      <c r="C87" s="12" t="n"/>
      <c r="D87" s="12" t="n"/>
      <c r="E87" s="18" t="n"/>
      <c r="F87" s="29" t="n"/>
      <c r="G87" s="12" t="n"/>
      <c r="H87" s="12" t="n"/>
      <c r="I87" s="12" t="n"/>
      <c r="J87" s="12" t="n"/>
      <c r="K87" s="12" t="n"/>
    </row>
    <row r="88" ht="22" customHeight="1">
      <c r="B88" s="16">
        <f>IF(C88="","HDD-"&amp;TEXT(COUNTA($C$5:C88),"000"))</f>
        <v/>
      </c>
      <c r="C88" s="14" t="n"/>
      <c r="D88" s="14" t="n"/>
      <c r="E88" s="19" t="n"/>
      <c r="F88" s="30" t="n"/>
      <c r="G88" s="14" t="n"/>
      <c r="H88" s="14" t="n"/>
      <c r="I88" s="14" t="n"/>
      <c r="J88" s="14" t="n"/>
      <c r="K88" s="14" t="n"/>
    </row>
    <row r="89" ht="22" customHeight="1">
      <c r="B89" s="17">
        <f>IF(C89="","HDD-"&amp;TEXT(COUNTA($C$5:C89),"000"))</f>
        <v/>
      </c>
      <c r="C89" s="12" t="n"/>
      <c r="D89" s="12" t="n"/>
      <c r="E89" s="18" t="n"/>
      <c r="F89" s="29" t="n"/>
      <c r="G89" s="12" t="n"/>
      <c r="H89" s="12" t="n"/>
      <c r="I89" s="12" t="n"/>
      <c r="J89" s="12" t="n"/>
      <c r="K89" s="12" t="n"/>
    </row>
    <row r="90" ht="22" customHeight="1">
      <c r="B90" s="16">
        <f>IF(C90="","HDD-"&amp;TEXT(COUNTA($C$5:C90),"000"))</f>
        <v/>
      </c>
      <c r="C90" s="14" t="n"/>
      <c r="D90" s="14" t="n"/>
      <c r="E90" s="19" t="n"/>
      <c r="F90" s="30" t="n"/>
      <c r="G90" s="14" t="n"/>
      <c r="H90" s="14" t="n"/>
      <c r="I90" s="14" t="n"/>
      <c r="J90" s="14" t="n"/>
      <c r="K90" s="14" t="n"/>
    </row>
    <row r="91" ht="22" customHeight="1">
      <c r="B91" s="17">
        <f>IF(C91="","HDD-"&amp;TEXT(COUNTA($C$5:C91),"000"))</f>
        <v/>
      </c>
      <c r="C91" s="12" t="n"/>
      <c r="D91" s="12" t="n"/>
      <c r="E91" s="18" t="n"/>
      <c r="F91" s="29" t="n"/>
      <c r="G91" s="12" t="n"/>
      <c r="H91" s="12" t="n"/>
      <c r="I91" s="12" t="n"/>
      <c r="J91" s="12" t="n"/>
      <c r="K91" s="12" t="n"/>
    </row>
    <row r="92" ht="22" customHeight="1">
      <c r="B92" s="16">
        <f>IF(C92="","HDD-"&amp;TEXT(COUNTA($C$5:C92),"000"))</f>
        <v/>
      </c>
      <c r="C92" s="14" t="n"/>
      <c r="D92" s="14" t="n"/>
      <c r="E92" s="19" t="n"/>
      <c r="F92" s="30" t="n"/>
      <c r="G92" s="14" t="n"/>
      <c r="H92" s="14" t="n"/>
      <c r="I92" s="14" t="n"/>
      <c r="J92" s="14" t="n"/>
      <c r="K92" s="14" t="n"/>
    </row>
    <row r="93" ht="22" customHeight="1">
      <c r="B93" s="17">
        <f>IF(C93="","HDD-"&amp;TEXT(COUNTA($C$5:C93),"000"))</f>
        <v/>
      </c>
      <c r="C93" s="12" t="n"/>
      <c r="D93" s="12" t="n"/>
      <c r="E93" s="18" t="n"/>
      <c r="F93" s="29" t="n"/>
      <c r="G93" s="12" t="n"/>
      <c r="H93" s="12" t="n"/>
      <c r="I93" s="12" t="n"/>
      <c r="J93" s="12" t="n"/>
      <c r="K93" s="12" t="n"/>
    </row>
    <row r="94" ht="22" customHeight="1">
      <c r="B94" s="16">
        <f>IF(C94="","HDD-"&amp;TEXT(COUNTA($C$5:C94),"000"))</f>
        <v/>
      </c>
      <c r="C94" s="14" t="n"/>
      <c r="D94" s="14" t="n"/>
      <c r="E94" s="19" t="n"/>
      <c r="F94" s="30" t="n"/>
      <c r="G94" s="14" t="n"/>
      <c r="H94" s="14" t="n"/>
      <c r="I94" s="14" t="n"/>
      <c r="J94" s="14" t="n"/>
      <c r="K94" s="14" t="n"/>
    </row>
    <row r="95" ht="22" customHeight="1">
      <c r="B95" s="17">
        <f>IF(C95="","HDD-"&amp;TEXT(COUNTA($C$5:C95),"000"))</f>
        <v/>
      </c>
      <c r="C95" s="12" t="n"/>
      <c r="D95" s="12" t="n"/>
      <c r="E95" s="18" t="n"/>
      <c r="F95" s="29" t="n"/>
      <c r="G95" s="12" t="n"/>
      <c r="H95" s="12" t="n"/>
      <c r="I95" s="12" t="n"/>
      <c r="J95" s="12" t="n"/>
      <c r="K95" s="12" t="n"/>
    </row>
    <row r="96" ht="22" customHeight="1">
      <c r="B96" s="16">
        <f>IF(C96="","HDD-"&amp;TEXT(COUNTA($C$5:C96),"000"))</f>
        <v/>
      </c>
      <c r="C96" s="14" t="n"/>
      <c r="D96" s="14" t="n"/>
      <c r="E96" s="19" t="n"/>
      <c r="F96" s="30" t="n"/>
      <c r="G96" s="14" t="n"/>
      <c r="H96" s="14" t="n"/>
      <c r="I96" s="14" t="n"/>
      <c r="J96" s="14" t="n"/>
      <c r="K96" s="14" t="n"/>
    </row>
    <row r="97" ht="22" customHeight="1">
      <c r="B97" s="17">
        <f>IF(C97="","HDD-"&amp;TEXT(COUNTA($C$5:C97),"000"))</f>
        <v/>
      </c>
      <c r="C97" s="12" t="n"/>
      <c r="D97" s="12" t="n"/>
      <c r="E97" s="18" t="n"/>
      <c r="F97" s="29" t="n"/>
      <c r="G97" s="12" t="n"/>
      <c r="H97" s="12" t="n"/>
      <c r="I97" s="12" t="n"/>
      <c r="J97" s="12" t="n"/>
      <c r="K97" s="12" t="n"/>
    </row>
    <row r="98" ht="22" customHeight="1">
      <c r="B98" s="16">
        <f>IF(C98="","HDD-"&amp;TEXT(COUNTA($C$5:C98),"000"))</f>
        <v/>
      </c>
      <c r="C98" s="14" t="n"/>
      <c r="D98" s="14" t="n"/>
      <c r="E98" s="19" t="n"/>
      <c r="F98" s="30" t="n"/>
      <c r="G98" s="14" t="n"/>
      <c r="H98" s="14" t="n"/>
      <c r="I98" s="14" t="n"/>
      <c r="J98" s="14" t="n"/>
      <c r="K98" s="14" t="n"/>
    </row>
    <row r="99" ht="22" customHeight="1">
      <c r="B99" s="17">
        <f>IF(C99="","HDD-"&amp;TEXT(COUNTA($C$5:C99),"000"))</f>
        <v/>
      </c>
      <c r="C99" s="12" t="n"/>
      <c r="D99" s="12" t="n"/>
      <c r="E99" s="18" t="n"/>
      <c r="F99" s="29" t="n"/>
      <c r="G99" s="12" t="n"/>
      <c r="H99" s="12" t="n"/>
      <c r="I99" s="12" t="n"/>
      <c r="J99" s="12" t="n"/>
      <c r="K99" s="12" t="n"/>
    </row>
    <row r="100" ht="22" customHeight="1">
      <c r="B100" s="16">
        <f>IF(C100="","HDD-"&amp;TEXT(COUNTA($C$5:C100),"000"))</f>
        <v/>
      </c>
      <c r="C100" s="14" t="n"/>
      <c r="D100" s="14" t="n"/>
      <c r="E100" s="19" t="n"/>
      <c r="F100" s="30" t="n"/>
      <c r="G100" s="14" t="n"/>
      <c r="H100" s="14" t="n"/>
      <c r="I100" s="14" t="n"/>
      <c r="J100" s="14" t="n"/>
      <c r="K100" s="14" t="n"/>
    </row>
    <row r="101" ht="22" customHeight="1">
      <c r="B101" s="17">
        <f>IF(C101="","HDD-"&amp;TEXT(COUNTA($C$5:C101),"000"))</f>
        <v/>
      </c>
      <c r="C101" s="12" t="n"/>
      <c r="D101" s="12" t="n"/>
      <c r="E101" s="18" t="n"/>
      <c r="F101" s="29" t="n"/>
      <c r="G101" s="12" t="n"/>
      <c r="H101" s="12" t="n"/>
      <c r="I101" s="12" t="n"/>
      <c r="J101" s="12" t="n"/>
      <c r="K101" s="12" t="n"/>
    </row>
    <row r="102" ht="22" customHeight="1">
      <c r="B102" s="16">
        <f>IF(C102="","HDD-"&amp;TEXT(COUNTA($C$5:C102),"000"))</f>
        <v/>
      </c>
      <c r="C102" s="14" t="n"/>
      <c r="D102" s="14" t="n"/>
      <c r="E102" s="19" t="n"/>
      <c r="F102" s="30" t="n"/>
      <c r="G102" s="14" t="n"/>
      <c r="H102" s="14" t="n"/>
      <c r="I102" s="14" t="n"/>
      <c r="J102" s="14" t="n"/>
      <c r="K102" s="14" t="n"/>
    </row>
    <row r="103" ht="22" customHeight="1">
      <c r="B103" s="17">
        <f>IF(C103="","HDD-"&amp;TEXT(COUNTA($C$5:C103),"000"))</f>
        <v/>
      </c>
      <c r="C103" s="12" t="n"/>
      <c r="D103" s="12" t="n"/>
      <c r="E103" s="18" t="n"/>
      <c r="F103" s="29" t="n"/>
      <c r="G103" s="12" t="n"/>
      <c r="H103" s="12" t="n"/>
      <c r="I103" s="12" t="n"/>
      <c r="J103" s="12" t="n"/>
      <c r="K103" s="12" t="n"/>
    </row>
    <row r="104" ht="22" customHeight="1">
      <c r="B104" s="16">
        <f>IF(C104="","HDD-"&amp;TEXT(COUNTA($C$5:C104),"000"))</f>
        <v/>
      </c>
      <c r="C104" s="14" t="n"/>
      <c r="D104" s="14" t="n"/>
      <c r="E104" s="19" t="n"/>
      <c r="F104" s="30" t="n"/>
      <c r="G104" s="14" t="n"/>
      <c r="H104" s="14" t="n"/>
      <c r="I104" s="14" t="n"/>
      <c r="J104" s="14" t="n"/>
      <c r="K104" s="14" t="n"/>
    </row>
    <row r="105" ht="22" customHeight="1">
      <c r="B105" s="17">
        <f>IF(C105="","HDD-"&amp;TEXT(COUNTA($C$5:C105),"000"))</f>
        <v/>
      </c>
      <c r="C105" s="12" t="n"/>
      <c r="D105" s="12" t="n"/>
      <c r="E105" s="18" t="n"/>
      <c r="F105" s="29" t="n"/>
      <c r="G105" s="12" t="n"/>
      <c r="H105" s="12" t="n"/>
      <c r="I105" s="12" t="n"/>
      <c r="J105" s="12" t="n"/>
      <c r="K105" s="12" t="n"/>
    </row>
    <row r="106" ht="22" customHeight="1">
      <c r="B106" s="16">
        <f>IF(C106="","HDD-"&amp;TEXT(COUNTA($C$5:C106),"000"))</f>
        <v/>
      </c>
      <c r="C106" s="14" t="n"/>
      <c r="D106" s="14" t="n"/>
      <c r="E106" s="19" t="n"/>
      <c r="F106" s="30" t="n"/>
      <c r="G106" s="14" t="n"/>
      <c r="H106" s="14" t="n"/>
      <c r="I106" s="14" t="n"/>
      <c r="J106" s="14" t="n"/>
      <c r="K106" s="14" t="n"/>
    </row>
    <row r="107" ht="22" customHeight="1">
      <c r="B107" s="17">
        <f>IF(C107="","HDD-"&amp;TEXT(COUNTA($C$5:C107),"000"))</f>
        <v/>
      </c>
      <c r="C107" s="12" t="n"/>
      <c r="D107" s="12" t="n"/>
      <c r="E107" s="18" t="n"/>
      <c r="F107" s="29" t="n"/>
      <c r="G107" s="12" t="n"/>
      <c r="H107" s="12" t="n"/>
      <c r="I107" s="12" t="n"/>
      <c r="J107" s="12" t="n"/>
      <c r="K107" s="12" t="n"/>
    </row>
    <row r="108" ht="22" customHeight="1">
      <c r="B108" s="16">
        <f>IF(C108="","HDD-"&amp;TEXT(COUNTA($C$5:C108),"000"))</f>
        <v/>
      </c>
      <c r="C108" s="14" t="n"/>
      <c r="D108" s="14" t="n"/>
      <c r="E108" s="19" t="n"/>
      <c r="F108" s="30" t="n"/>
      <c r="G108" s="14" t="n"/>
      <c r="H108" s="14" t="n"/>
      <c r="I108" s="14" t="n"/>
      <c r="J108" s="14" t="n"/>
      <c r="K108" s="14" t="n"/>
    </row>
    <row r="109"/>
    <row r="110" ht="26" customHeight="1">
      <c r="B110" s="20" t="inlineStr">
        <is>
          <t>TOTAL</t>
        </is>
      </c>
      <c r="C110" s="21" t="n"/>
      <c r="D110" s="21" t="n"/>
      <c r="E110" s="22">
        <f>SUM(E5:E104)</f>
        <v/>
      </c>
      <c r="F110" s="21" t="n"/>
      <c r="G110" s="21" t="n"/>
      <c r="H110" s="21" t="n"/>
      <c r="I110" s="21" t="n"/>
      <c r="J110" s="21" t="n"/>
      <c r="K110" s="21" t="n"/>
    </row>
    <row r="111"/>
    <row r="112">
      <c r="B112" s="6" t="inlineStr">
        <is>
          <t>INDICATEURS (mis a jour automatiquement)</t>
        </is>
      </c>
    </row>
    <row r="113">
      <c r="B113" s="3" t="inlineStr">
        <is>
          <t>Destructions total</t>
        </is>
      </c>
      <c r="D113" s="3" t="inlineStr">
        <is>
          <t>Total documents detruits</t>
        </is>
      </c>
      <c r="F113" s="3" t="inlineStr">
        <is>
          <t>PV emis</t>
        </is>
      </c>
    </row>
    <row r="114">
      <c r="B114" s="4">
        <f>COUNTIF(B5:B104,"&lt;&gt;")</f>
        <v/>
      </c>
      <c r="D114" s="4">
        <f>SUM(E5:E104)</f>
        <v/>
      </c>
      <c r="F114" s="4">
        <f>COUNTIF(J5:J104,"&lt;&gt;")</f>
        <v/>
      </c>
    </row>
  </sheetData>
  <mergeCells count="3">
    <mergeCell ref="B112:K112"/>
    <mergeCell ref="B3:K3"/>
    <mergeCell ref="B2:K2"/>
  </mergeCells>
  <conditionalFormatting sqref="K5:K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1">
      <formula>"En attente"</formula>
    </cfRule>
    <cfRule type="cellIs" priority="77" operator="equal" dxfId="1">
      <formula>"A renouveler"</formula>
    </cfRule>
    <cfRule type="cellIs" priority="78" operator="equal" dxfId="1">
      <formula>"En cours"</formula>
    </cfRule>
    <cfRule type="cellIs" priority="79" operator="equal" dxfId="1">
      <formula>"En traitement"</formula>
    </cfRule>
    <cfRule type="cellIs" priority="80" operator="equal" dxfId="1">
      <formula>"En retard"</formula>
    </cfRule>
    <cfRule type="cellIs" priority="81" operator="equal" dxfId="1">
      <formula>"Suspendu"</formula>
    </cfRule>
    <cfRule type="cellIs" priority="82" operator="equal" dxfId="1">
      <formula>"Planifie"</formula>
    </cfRule>
    <cfRule type="cellIs" priority="83" operator="equal" dxfId="1">
      <formula>"Planifiee"</formula>
    </cfRule>
    <cfRule type="cellIs" priority="84" operator="equal" dxfId="1">
      <formula>"Brouillon"</formula>
    </cfRule>
    <cfRule type="cellIs" priority="85" operator="equal" dxfId="1">
      <formula>"En attente de justification"</formula>
    </cfRule>
    <cfRule type="cellIs" priority="86" operator="equal" dxfId="1">
      <formula>"Tolere"</formula>
    </cfRule>
    <cfRule type="cellIs" priority="87" operator="equal" dxfId="1">
      <formula>"Variable"</formula>
    </cfRule>
    <cfRule type="cellIs" priority="88" operator="equal" dxfId="1">
      <formula>"En elaboration"</formula>
    </cfRule>
    <cfRule type="cellIs" priority="89" operator="equal" dxfId="1">
      <formula>"Provisionne"</formula>
    </cfRule>
    <cfRule type="cellIs" priority="90" operator="equal" dxfId="1">
      <formula>"Consomme partiel"</formula>
    </cfRule>
    <cfRule type="cellIs" priority="91" operator="equal" dxfId="1">
      <formula>"Identifie"</formula>
    </cfRule>
    <cfRule type="cellIs" priority="92" operator="equal" dxfId="1">
      <formula>"Priorise"</formula>
    </cfRule>
    <cfRule type="cellIs" priority="93" operator="equal" dxfId="1">
      <formula>"Intermediaire"</formula>
    </cfRule>
    <cfRule type="cellIs" priority="94" operator="equal" dxfId="1">
      <formula>"Non evalue"</formula>
    </cfRule>
    <cfRule type="cellIs" priority="95" operator="equal" dxfId="1">
      <formula>"En cours de realisation"</formula>
    </cfRule>
    <cfRule type="cellIs" priority="96" operator="equal" dxfId="1">
      <formula>"Non demarre"</formula>
    </cfRule>
    <cfRule type="cellIs" priority="97" operator="equal" dxfId="1">
      <formula>"En attente N+1"</formula>
    </cfRule>
    <cfRule type="cellIs" priority="98" operator="equal" dxfId="1">
      <formula>"Prolongation essai"</formula>
    </cfRule>
    <cfRule type="cellIs" priority="99" operator="equal" dxfId="1">
      <formula>"En attente validation"</formula>
    </cfRule>
    <cfRule type="cellIs" priority="100" operator="equal" dxfId="1">
      <formula>"Bon"</formula>
    </cfRule>
    <cfRule type="cellIs" priority="101" operator="equal" dxfId="1">
      <formula>"D - Moyen"</formula>
    </cfRule>
    <cfRule type="cellIs" priority="102" operator="equal" dxfId="1">
      <formula>"En cours de repres."</formula>
    </cfRule>
    <cfRule type="cellIs" priority="103" operator="equal" dxfId="1">
      <formula>"En negociation"</formula>
    </cfRule>
    <cfRule type="cellIs" priority="104" operator="equal" dxfId="1">
      <formula>"En preparation"</formula>
    </cfRule>
    <cfRule type="cellIs" priority="105" operator="equal" dxfId="1">
      <formula>"En cours d'instruction"</formula>
    </cfRule>
    <cfRule type="cellIs" priority="106" operator="equal" dxfId="1">
      <formula>"Transferee N+1"</formula>
    </cfRule>
    <cfRule type="cellIs" priority="107" operator="equal" dxfId="1">
      <formula>"En attente reponse"</formula>
    </cfRule>
    <cfRule type="cellIs" priority="108" operator="equal" dxfId="1">
      <formula>"Enquete ouverte"</formula>
    </cfRule>
    <cfRule type="cellIs" priority="109" operator="equal" dxfId="1">
      <formula>"Convocation envoyee"</formula>
    </cfRule>
    <cfRule type="cellIs" priority="110" operator="equal" dxfId="1">
      <formula>"Entretien realise"</formula>
    </cfRule>
    <cfRule type="cellIs" priority="111" operator="equal" dxfId="1">
      <formula>"Saisie"</formula>
    </cfRule>
    <cfRule type="cellIs" priority="112" operator="equal" dxfId="1">
      <formula>"En mediation"</formula>
    </cfRule>
    <cfRule type="cellIs" priority="113" operator="equal" dxfId="1">
      <formula>"En recours"</formula>
    </cfRule>
    <cfRule type="cellIs" priority="114" operator="equal" dxfId="1">
      <formula>"Reportee"</formula>
    </cfRule>
    <cfRule type="cellIs" priority="115" operator="equal" dxfId="1">
      <formula>"Reporte"</formula>
    </cfRule>
    <cfRule type="cellIs" priority="116" operator="equal" dxfId="1">
      <formula>"Signale"</formula>
    </cfRule>
    <cfRule type="cellIs" priority="117" operator="equal" dxfId="1">
      <formula>"Precontentieux"</formula>
    </cfRule>
    <cfRule type="cellIs" priority="118" operator="equal" dxfId="1">
      <formula>"En attente election"</formula>
    </cfRule>
    <cfRule type="cellIs" priority="119" operator="equal" dxfId="1">
      <formula>"Classe"</formula>
    </cfRule>
    <cfRule type="cellIs" priority="120" operator="equal" dxfId="1">
      <formula>"En cours d'evaluation"</formula>
    </cfRule>
    <cfRule type="cellIs" priority="121" operator="equal" dxfId="1">
      <formula>"En cours d'enquete"</formula>
    </cfRule>
    <cfRule type="cellIs" priority="122" operator="equal" dxfId="1">
      <formula>"En cours de commande"</formula>
    </cfRule>
    <cfRule type="cellIs" priority="123" operator="equal" dxfId="1">
      <formula>"A revoir"</formula>
    </cfRule>
    <cfRule type="cellIs" priority="124" operator="equal" dxfId="1">
      <formula>"A remplacer"</formula>
    </cfRule>
    <cfRule type="cellIs" priority="125" operator="equal" dxfId="1">
      <formula>"En cours d'instruction CNPS"</formula>
    </cfRule>
    <cfRule type="cellIs" priority="126" operator="equal" dxfId="1">
      <formula>"En contestation"</formula>
    </cfRule>
    <cfRule type="cellIs" priority="127" operator="equal" dxfId="1">
      <formula>"Inapte temporaire"</formula>
    </cfRule>
    <cfRule type="cellIs" priority="128" operator="equal" dxfId="1">
      <formula>"Candidat identifie"</formula>
    </cfRule>
    <cfRule type="cellIs" priority="129" operator="equal" dxfId="1">
      <formula>"En formation"</formula>
    </cfRule>
    <cfRule type="cellIs" priority="130" operator="equal" dxfId="1">
      <formula>"En evaluation"</formula>
    </cfRule>
    <cfRule type="cellIs" priority="131" operator="equal" dxfId="1">
      <formula>"En transit"</formula>
    </cfRule>
    <cfRule type="cellIs" priority="132" operator="equal" dxfId="1">
      <formula>"En attente visa"</formula>
    </cfRule>
    <cfRule type="cellIs" priority="133" operator="equal" dxfId="1">
      <formula>"Proposee"</formula>
    </cfRule>
    <cfRule type="cellIs" priority="134" operator="equal" dxfId="1">
      <formula>"En cours d'acquisition"</formula>
    </cfRule>
    <cfRule type="cellIs" priority="135" operator="equal" dxfId="1">
      <formula>"A developper"</formula>
    </cfRule>
    <cfRule type="cellIs" priority="136" operator="equal" dxfId="1">
      <formula>"A renforcer"</formula>
    </cfRule>
    <cfRule type="cellIs" priority="137" operator="equal" dxfId="1">
      <formula>"En cours"</formula>
    </cfRule>
    <cfRule type="cellIs" priority="138" operator="equal" dxfId="1">
      <formula>"Partiellement conforme"</formula>
    </cfRule>
    <cfRule type="cellIs" priority="139" operator="equal" dxfId="1">
      <formula>"En mise en conformite"</formula>
    </cfRule>
    <cfRule type="cellIs" priority="140" operator="equal" dxfId="1">
      <formula>"En revision"</formula>
    </cfRule>
    <cfRule type="cellIs" priority="141" operator="equal" dxfId="1">
      <formula>"A approuver"</formula>
    </cfRule>
    <cfRule type="cellIs" priority="142" operator="equal" dxfId="1">
      <formula>"En conciliation"</formula>
    </cfRule>
    <cfRule type="cellIs" priority="143" operator="equal" dxfId="1">
      <formula>"Assigne tribunal"</formula>
    </cfRule>
    <cfRule type="cellIs" priority="144" operator="equal" dxfId="1">
      <formula>"En cours de preparation"</formula>
    </cfRule>
    <cfRule type="cellIs" priority="145" operator="equal" dxfId="1">
      <formula>"Non effectuee"</formula>
    </cfRule>
    <cfRule type="cellIs" priority="146" operator="equal" dxfId="1">
      <formula>"A archiver"</formula>
    </cfRule>
    <cfRule type="cellIs" priority="147" operator="equal" dxfId="1">
      <formula>"En cours de constitution"</formula>
    </cfRule>
    <cfRule type="cellIs" priority="148" operator="equal" dxfId="1">
      <formula>"A mettre a jour"</formula>
    </cfRule>
    <cfRule type="cellIs" priority="149" operator="equal" dxfId="1">
      <formula>"En restoration"</formula>
    </cfRule>
    <cfRule type="cellIs" priority="150" operator="equal" dxfId="1">
      <formula>"En cours de restauration"</formula>
    </cfRule>
    <cfRule type="cellIs" priority="151" operator="equal" dxfId="1">
      <formula>"A determiner"</formula>
    </cfRule>
    <cfRule type="cellIs" priority="152" operator="equal" dxfId="1">
      <formula>"En revision"</formula>
    </cfRule>
    <cfRule type="cellIs" priority="153" operator="equal" dxfId="1">
      <formula>"Obsolete"</formula>
    </cfRule>
    <cfRule type="cellIs" priority="154" operator="equal" dxfId="1">
      <formula>"Hybride (papier + numerique)"</formula>
    </cfRule>
    <cfRule type="cellIs" priority="155" operator="equal" dxfId="2">
      <formula>"Expire"</formula>
    </cfRule>
    <cfRule type="cellIs" priority="156" operator="equal" dxfId="2">
      <formula>"Rejete"</formula>
    </cfRule>
    <cfRule type="cellIs" priority="157" operator="equal" dxfId="2">
      <formula>"Rejetee"</formula>
    </cfRule>
    <cfRule type="cellIs" priority="158" operator="equal" dxfId="2">
      <formula>"Resilie"</formula>
    </cfRule>
    <cfRule type="cellIs" priority="159" operator="equal" dxfId="2">
      <formula>"Annule"</formula>
    </cfRule>
    <cfRule type="cellIs" priority="160" operator="equal" dxfId="2">
      <formula>"Annulee"</formula>
    </cfRule>
    <cfRule type="cellIs" priority="161" operator="equal" dxfId="2">
      <formula>"Refuse"</formula>
    </cfRule>
    <cfRule type="cellIs" priority="162" operator="equal" dxfId="2">
      <formula>"Non justifie"</formula>
    </cfRule>
    <cfRule type="cellIs" priority="163" operator="equal" dxfId="2">
      <formula>"Non justifiee"</formula>
    </cfRule>
    <cfRule type="cellIs" priority="164" operator="equal" dxfId="2">
      <formula>"Sanctionne"</formula>
    </cfRule>
    <cfRule type="cellIs" priority="165" operator="equal" dxfId="2">
      <formula>"Inaptitude"</formula>
    </cfRule>
    <cfRule type="cellIs" priority="166" operator="equal" dxfId="2">
      <formula>"Absent sans autorisation"</formula>
    </cfRule>
    <cfRule type="cellIs" priority="167" operator="equal" dxfId="2">
      <formula>"Abandon de poste"</formula>
    </cfRule>
    <cfRule type="cellIs" priority="168" operator="equal" dxfId="2">
      <formula>"Non satisfait"</formula>
    </cfRule>
    <cfRule type="cellIs" priority="169" operator="equal" dxfId="2">
      <formula>"Depasse"</formula>
    </cfRule>
    <cfRule type="cellIs" priority="170" operator="equal" dxfId="2">
      <formula>"Non utilise"</formula>
    </cfRule>
    <cfRule type="cellIs" priority="171" operator="equal" dxfId="2">
      <formula>"Non applicable"</formula>
    </cfRule>
    <cfRule type="cellIs" priority="172" operator="equal" dxfId="2">
      <formula>"Debutant"</formula>
    </cfRule>
    <cfRule type="cellIs" priority="173" operator="equal" dxfId="2">
      <formula>"Non atteint"</formula>
    </cfRule>
    <cfRule type="cellIs" priority="174" operator="equal" dxfId="2">
      <formula>"Abandonne"</formula>
    </cfRule>
    <cfRule type="cellIs" priority="175" operator="equal" dxfId="2">
      <formula>"Rupture essai"</formula>
    </cfRule>
    <cfRule type="cellIs" priority="176" operator="equal" dxfId="2">
      <formula>"Insuffisant"</formula>
    </cfRule>
    <cfRule type="cellIs" priority="177" operator="equal" dxfId="2">
      <formula>"Moyen"</formula>
    </cfRule>
    <cfRule type="cellIs" priority="178" operator="equal" dxfId="2">
      <formula>"E - Insuffisant"</formula>
    </cfRule>
    <cfRule type="cellIs" priority="179" operator="equal" dxfId="2">
      <formula>"Dissous"</formula>
    </cfRule>
    <cfRule type="cellIs" priority="180" operator="equal" dxfId="2">
      <formula>"Denonce"</formula>
    </cfRule>
    <cfRule type="cellIs" priority="181" operator="equal" dxfId="2">
      <formula>"Echoue"</formula>
    </cfRule>
    <cfRule type="cellIs" priority="182" operator="equal" dxfId="2">
      <formula>"Echouee"</formula>
    </cfRule>
    <cfRule type="cellIs" priority="183" operator="equal" dxfId="2">
      <formula>"Revoque"</formula>
    </cfRule>
    <cfRule type="cellIs" priority="184" operator="equal" dxfId="2">
      <formula>"Demissionnaire"</formula>
    </cfRule>
    <cfRule type="cellIs" priority="185" operator="equal" dxfId="2">
      <formula>"Licenciement pour faute"</formula>
    </cfRule>
    <cfRule type="cellIs" priority="186" operator="equal" dxfId="2">
      <formula>"Licenciement pour faute grave"</formula>
    </cfRule>
    <cfRule type="cellIs" priority="187" operator="equal" dxfId="2">
      <formula>"Terminee - Echec"</formula>
    </cfRule>
    <cfRule type="cellIs" priority="188" operator="equal" dxfId="2">
      <formula>"Abandonnee"</formula>
    </cfRule>
    <cfRule type="cellIs" priority="189" operator="equal" dxfId="2">
      <formula>"Violence physique"</formula>
    </cfRule>
    <cfRule type="cellIs" priority="190" operator="equal" dxfId="2">
      <formula>"Violence verbale"</formula>
    </cfRule>
    <cfRule type="cellIs" priority="191" operator="equal" dxfId="2">
      <formula>"Fatal"</formula>
    </cfRule>
    <cfRule type="cellIs" priority="192" operator="equal" dxfId="2">
      <formula>"Non reconnue"</formula>
    </cfRule>
    <cfRule type="cellIs" priority="193" operator="equal" dxfId="2">
      <formula>"Inapte definitif"</formula>
    </cfRule>
    <cfRule type="cellIs" priority="194" operator="equal" dxfId="2">
      <formula>"Perdu / vole"</formula>
    </cfRule>
    <cfRule type="cellIs" priority="195" operator="equal" dxfId="2">
      <formula>"Rebute"</formula>
    </cfRule>
    <cfRule type="cellIs" priority="196" operator="equal" dxfId="2">
      <formula>"Obsolette"</formula>
    </cfRule>
    <cfRule type="cellIs" priority="197" operator="equal" dxfId="2">
      <formula>"Conteste"</formula>
    </cfRule>
    <cfRule type="cellIs" priority="198" operator="equal" dxfId="2">
      <formula>"Refusee"</formula>
    </cfRule>
    <cfRule type="cellIs" priority="199" operator="equal" dxfId="2">
      <formula>"Non retenu"</formula>
    </cfRule>
    <cfRule type="cellIs" priority="200" operator="equal" dxfId="2">
      <formula>"Non acquis"</formula>
    </cfRule>
    <cfRule type="cellIs" priority="201" operator="equal" dxfId="2">
      <formula>"Contrat termine"</formula>
    </cfRule>
    <cfRule type="cellIs" priority="202" operator="equal" dxfId="2">
      <formula>"Rapatrie"</formula>
    </cfRule>
    <cfRule type="cellIs" priority="203" operator="equal" dxfId="2">
      <formula>"Non conforme"</formula>
    </cfRule>
    <cfRule type="cellIs" priority="204" operator="equal" dxfId="2">
      <formula>"Abandonne"</formula>
    </cfRule>
    <cfRule type="cellIs" priority="205" operator="equal" dxfId="2">
      <formula>"Perdu"</formula>
    </cfRule>
    <cfRule type="cellIs" priority="206" operator="equal" dxfId="2">
      <formula>"Resilie"</formula>
    </cfRule>
    <cfRule type="cellIs" priority="207" operator="equal" dxfId="2">
      <formula>"Expire"</formula>
    </cfRule>
    <cfRule type="cellIs" priority="208" operator="equal" dxfId="2">
      <formula>"Incomplet"</formula>
    </cfRule>
    <cfRule type="cellIs" priority="209" operator="equal" dxfId="2">
      <formula>"Non restitue"</formula>
    </cfRule>
    <cfRule type="cellIs" priority="210" operator="equal" dxfId="2">
      <formula>"Perdu"</formula>
    </cfRule>
    <cfRule type="cellIs" priority="211" operator="equal" dxfId="2">
      <formula>"Secret"</formula>
    </cfRule>
  </conditionalFormatting>
  <conditionalFormatting sqref="B9:B108">
    <cfRule type="expression" priority="212" dxfId="3">
      <formula>AND($C9="",$C8&lt;&gt;"")</formula>
    </cfRule>
  </conditionalFormatting>
  <conditionalFormatting sqref="C9:C108">
    <cfRule type="expression" priority="213" dxfId="3">
      <formula>AND($C9="",$C8&lt;&gt;"")</formula>
    </cfRule>
  </conditionalFormatting>
  <conditionalFormatting sqref="D9:D108">
    <cfRule type="expression" priority="214" dxfId="3">
      <formula>AND($C9="",$C8&lt;&gt;"")</formula>
    </cfRule>
  </conditionalFormatting>
  <conditionalFormatting sqref="E9:E108">
    <cfRule type="expression" priority="215" dxfId="3">
      <formula>AND($C9="",$C8&lt;&gt;"")</formula>
    </cfRule>
  </conditionalFormatting>
  <conditionalFormatting sqref="F9:F108">
    <cfRule type="expression" priority="216" dxfId="3">
      <formula>AND($C9="",$C8&lt;&gt;"")</formula>
    </cfRule>
  </conditionalFormatting>
  <conditionalFormatting sqref="G9:G108">
    <cfRule type="expression" priority="217" dxfId="3">
      <formula>AND($C9="",$C8&lt;&gt;"")</formula>
    </cfRule>
  </conditionalFormatting>
  <conditionalFormatting sqref="H9:H108">
    <cfRule type="expression" priority="218" dxfId="3">
      <formula>AND($C9="",$C8&lt;&gt;"")</formula>
    </cfRule>
  </conditionalFormatting>
  <conditionalFormatting sqref="I9:I108">
    <cfRule type="expression" priority="219" dxfId="3">
      <formula>AND($C9="",$C8&lt;&gt;"")</formula>
    </cfRule>
  </conditionalFormatting>
  <conditionalFormatting sqref="J9:J108">
    <cfRule type="expression" priority="220" dxfId="3">
      <formula>AND($C9="",$C8&lt;&gt;"")</formula>
    </cfRule>
  </conditionalFormatting>
  <conditionalFormatting sqref="K9:K108">
    <cfRule type="expression" priority="221" dxfId="3">
      <formula>AND($C9="",$C8&lt;&gt;"")</formula>
    </cfRule>
  </conditionalFormatting>
  <dataValidations count="2">
    <dataValidation sqref="C5:C108" showDropDown="0" showInputMessage="0" showErrorMessage="0" allowBlank="1" errorTitle="Erreur" error="Valeur invalide" promptTitle="Liste" prompt="Choisir dans la liste" type="list">
      <formula1>'_Lists'!$D$2:$D$21</formula1>
    </dataValidation>
    <dataValidation sqref="K5:K108" showDropDown="0" showInputMessage="0" showErrorMessage="0" allowBlank="1" errorTitle="Erreur" error="Valeur invalide" promptTitle="Liste" prompt="Choisir dans la liste" type="list">
      <formula1>'_Lists'!$S$2:$S$6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22" customWidth="1" min="4" max="4"/>
    <col width="18" customWidth="1" min="5" max="5"/>
    <col width="20" customWidth="1" min="6" max="6"/>
    <col width="18" customWidth="1" min="7" max="7"/>
    <col width="28" customWidth="1" min="8" max="8"/>
    <col width="18" customWidth="1" min="9" max="9"/>
    <col width="12" customWidth="1" min="10" max="10"/>
  </cols>
  <sheetData>
    <row r="1" ht="15" customHeight="1"/>
    <row r="2" ht="32" customHeight="1">
      <c r="B2" s="1" t="inlineStr">
        <is>
          <t>SUIVI DOCUMENTS CONFIDENTIELS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Designation</t>
        </is>
      </c>
      <c r="D4" s="11" t="inlineStr">
        <is>
          <t>Niveau Confidentialite</t>
        </is>
      </c>
      <c r="E4" s="11" t="inlineStr">
        <is>
          <t>Nb Consultations</t>
        </is>
      </c>
      <c r="F4" s="11" t="inlineStr">
        <is>
          <t>Derniere Consultation</t>
        </is>
      </c>
      <c r="G4" s="11" t="inlineStr">
        <is>
          <t>Consultant</t>
        </is>
      </c>
      <c r="H4" s="11" t="inlineStr">
        <is>
          <t>Jours depuis Derniere Consult.</t>
        </is>
      </c>
      <c r="I4" s="11" t="inlineStr">
        <is>
          <t>Prochaine Revue</t>
        </is>
      </c>
      <c r="J4" s="11" t="inlineStr">
        <is>
          <t>Statut</t>
        </is>
      </c>
    </row>
    <row r="5" ht="22" customHeight="1">
      <c r="B5" s="12" t="inlineStr">
        <is>
          <t>SDC-001</t>
        </is>
      </c>
      <c r="C5" s="12" t="inlineStr">
        <is>
          <t>Grille salariale complete</t>
        </is>
      </c>
      <c r="D5" s="12" t="inlineStr">
        <is>
          <t>Tres confidentiel</t>
        </is>
      </c>
      <c r="E5" s="18" t="n">
        <v>5</v>
      </c>
      <c r="F5" s="29" t="n">
        <v>45818</v>
      </c>
      <c r="G5" s="12" t="inlineStr">
        <is>
          <t>DRH</t>
        </is>
      </c>
      <c r="H5" s="18" t="n"/>
      <c r="I5" s="29" t="n">
        <v>45910</v>
      </c>
      <c r="J5" s="12" t="inlineStr">
        <is>
          <t>En cours</t>
        </is>
      </c>
    </row>
    <row r="6" ht="22" customHeight="1">
      <c r="B6" s="14" t="inlineStr">
        <is>
          <t>SDC-002</t>
        </is>
      </c>
      <c r="C6" s="14" t="inlineStr">
        <is>
          <t>Dossier litige Tchouanku</t>
        </is>
      </c>
      <c r="D6" s="14" t="inlineStr">
        <is>
          <t>Confidentiel</t>
        </is>
      </c>
      <c r="E6" s="19" t="n">
        <v>8</v>
      </c>
      <c r="F6" s="30" t="n">
        <v>45820</v>
      </c>
      <c r="G6" s="14" t="inlineStr">
        <is>
          <t>DG + Avocat</t>
        </is>
      </c>
      <c r="H6" s="19" t="n"/>
      <c r="I6" s="30" t="n">
        <v>45850</v>
      </c>
      <c r="J6" s="14" t="inlineStr">
        <is>
          <t>En cours</t>
        </is>
      </c>
    </row>
    <row r="7" ht="22" customHeight="1">
      <c r="B7" s="12" t="inlineStr">
        <is>
          <t>SDC-003</t>
        </is>
      </c>
      <c r="C7" s="12" t="inlineStr">
        <is>
          <t>Rapport audit salaires</t>
        </is>
      </c>
      <c r="D7" s="12" t="inlineStr">
        <is>
          <t>Confidentiel</t>
        </is>
      </c>
      <c r="E7" s="18" t="n">
        <v>3</v>
      </c>
      <c r="F7" s="29" t="n">
        <v>45797</v>
      </c>
      <c r="G7" s="12" t="inlineStr">
        <is>
          <t>DRH</t>
        </is>
      </c>
      <c r="H7" s="18" t="n"/>
      <c r="I7" s="29" t="n">
        <v>45889</v>
      </c>
      <c r="J7" s="12" t="inlineStr">
        <is>
          <t>En cours</t>
        </is>
      </c>
    </row>
    <row r="8" ht="22" customHeight="1">
      <c r="B8" s="14" t="inlineStr">
        <is>
          <t>SDC-004</t>
        </is>
      </c>
      <c r="C8" s="14" t="inlineStr">
        <is>
          <t>Negociations syndicales</t>
        </is>
      </c>
      <c r="D8" s="14" t="inlineStr">
        <is>
          <t>Confidentiel</t>
        </is>
      </c>
      <c r="E8" s="19" t="n">
        <v>4</v>
      </c>
      <c r="F8" s="30" t="n">
        <v>45813</v>
      </c>
      <c r="G8" s="14" t="inlineStr">
        <is>
          <t>DRH + DG</t>
        </is>
      </c>
      <c r="H8" s="19" t="n"/>
      <c r="I8" s="30" t="n">
        <v>45905</v>
      </c>
      <c r="J8" s="14" t="inlineStr">
        <is>
          <t>En cours</t>
        </is>
      </c>
    </row>
    <row r="9" ht="22" customHeight="1">
      <c r="B9" s="17">
        <f>IF(C9="","SDC-"&amp;TEXT(COUNTA($C$5:C9),"000"))</f>
        <v/>
      </c>
      <c r="C9" s="12" t="n"/>
      <c r="D9" s="12" t="n"/>
      <c r="E9" s="18" t="n"/>
      <c r="F9" s="29" t="n"/>
      <c r="G9" s="12" t="n"/>
      <c r="H9" s="18">
        <f>IF(G9="","",TODAY()-G9)</f>
        <v/>
      </c>
      <c r="I9" s="29" t="n"/>
      <c r="J9" s="12" t="n"/>
    </row>
    <row r="10" ht="22" customHeight="1">
      <c r="B10" s="16">
        <f>IF(C10="","SDC-"&amp;TEXT(COUNTA($C$5:C10),"000"))</f>
        <v/>
      </c>
      <c r="C10" s="14" t="n"/>
      <c r="D10" s="14" t="n"/>
      <c r="E10" s="19" t="n"/>
      <c r="F10" s="30" t="n"/>
      <c r="G10" s="14" t="n"/>
      <c r="H10" s="19">
        <f>IF(G10="","",TODAY()-G10)</f>
        <v/>
      </c>
      <c r="I10" s="30" t="n"/>
      <c r="J10" s="14" t="n"/>
    </row>
    <row r="11" ht="22" customHeight="1">
      <c r="B11" s="17">
        <f>IF(C11="","SDC-"&amp;TEXT(COUNTA($C$5:C11),"000"))</f>
        <v/>
      </c>
      <c r="C11" s="12" t="n"/>
      <c r="D11" s="12" t="n"/>
      <c r="E11" s="18" t="n"/>
      <c r="F11" s="29" t="n"/>
      <c r="G11" s="12" t="n"/>
      <c r="H11" s="18">
        <f>IF(G11="","",TODAY()-G11)</f>
        <v/>
      </c>
      <c r="I11" s="29" t="n"/>
      <c r="J11" s="12" t="n"/>
    </row>
    <row r="12" ht="22" customHeight="1">
      <c r="B12" s="16">
        <f>IF(C12="","SDC-"&amp;TEXT(COUNTA($C$5:C12),"000"))</f>
        <v/>
      </c>
      <c r="C12" s="14" t="n"/>
      <c r="D12" s="14" t="n"/>
      <c r="E12" s="19" t="n"/>
      <c r="F12" s="30" t="n"/>
      <c r="G12" s="14" t="n"/>
      <c r="H12" s="19">
        <f>IF(G12="","",TODAY()-G12)</f>
        <v/>
      </c>
      <c r="I12" s="30" t="n"/>
      <c r="J12" s="14" t="n"/>
    </row>
    <row r="13" ht="22" customHeight="1">
      <c r="B13" s="17">
        <f>IF(C13="","SDC-"&amp;TEXT(COUNTA($C$5:C13),"000"))</f>
        <v/>
      </c>
      <c r="C13" s="12" t="n"/>
      <c r="D13" s="12" t="n"/>
      <c r="E13" s="18" t="n"/>
      <c r="F13" s="29" t="n"/>
      <c r="G13" s="12" t="n"/>
      <c r="H13" s="18">
        <f>IF(G13="","",TODAY()-G13)</f>
        <v/>
      </c>
      <c r="I13" s="29" t="n"/>
      <c r="J13" s="12" t="n"/>
    </row>
    <row r="14" ht="22" customHeight="1">
      <c r="B14" s="16">
        <f>IF(C14="","SDC-"&amp;TEXT(COUNTA($C$5:C14),"000"))</f>
        <v/>
      </c>
      <c r="C14" s="14" t="n"/>
      <c r="D14" s="14" t="n"/>
      <c r="E14" s="19" t="n"/>
      <c r="F14" s="30" t="n"/>
      <c r="G14" s="14" t="n"/>
      <c r="H14" s="19">
        <f>IF(G14="","",TODAY()-G14)</f>
        <v/>
      </c>
      <c r="I14" s="30" t="n"/>
      <c r="J14" s="14" t="n"/>
    </row>
    <row r="15" ht="22" customHeight="1">
      <c r="B15" s="17">
        <f>IF(C15="","SDC-"&amp;TEXT(COUNTA($C$5:C15),"000"))</f>
        <v/>
      </c>
      <c r="C15" s="12" t="n"/>
      <c r="D15" s="12" t="n"/>
      <c r="E15" s="18" t="n"/>
      <c r="F15" s="29" t="n"/>
      <c r="G15" s="12" t="n"/>
      <c r="H15" s="18">
        <f>IF(G15="","",TODAY()-G15)</f>
        <v/>
      </c>
      <c r="I15" s="29" t="n"/>
      <c r="J15" s="12" t="n"/>
    </row>
    <row r="16" ht="22" customHeight="1">
      <c r="B16" s="16">
        <f>IF(C16="","SDC-"&amp;TEXT(COUNTA($C$5:C16),"000"))</f>
        <v/>
      </c>
      <c r="C16" s="14" t="n"/>
      <c r="D16" s="14" t="n"/>
      <c r="E16" s="19" t="n"/>
      <c r="F16" s="30" t="n"/>
      <c r="G16" s="14" t="n"/>
      <c r="H16" s="19">
        <f>IF(G16="","",TODAY()-G16)</f>
        <v/>
      </c>
      <c r="I16" s="30" t="n"/>
      <c r="J16" s="14" t="n"/>
    </row>
    <row r="17" ht="22" customHeight="1">
      <c r="B17" s="17">
        <f>IF(C17="","SDC-"&amp;TEXT(COUNTA($C$5:C17),"000"))</f>
        <v/>
      </c>
      <c r="C17" s="12" t="n"/>
      <c r="D17" s="12" t="n"/>
      <c r="E17" s="18" t="n"/>
      <c r="F17" s="29" t="n"/>
      <c r="G17" s="12" t="n"/>
      <c r="H17" s="18">
        <f>IF(G17="","",TODAY()-G17)</f>
        <v/>
      </c>
      <c r="I17" s="29" t="n"/>
      <c r="J17" s="12" t="n"/>
    </row>
    <row r="18" ht="22" customHeight="1">
      <c r="B18" s="16">
        <f>IF(C18="","SDC-"&amp;TEXT(COUNTA($C$5:C18),"000"))</f>
        <v/>
      </c>
      <c r="C18" s="14" t="n"/>
      <c r="D18" s="14" t="n"/>
      <c r="E18" s="19" t="n"/>
      <c r="F18" s="30" t="n"/>
      <c r="G18" s="14" t="n"/>
      <c r="H18" s="19">
        <f>IF(G18="","",TODAY()-G18)</f>
        <v/>
      </c>
      <c r="I18" s="30" t="n"/>
      <c r="J18" s="14" t="n"/>
    </row>
    <row r="19" ht="22" customHeight="1">
      <c r="B19" s="17">
        <f>IF(C19="","SDC-"&amp;TEXT(COUNTA($C$5:C19),"000"))</f>
        <v/>
      </c>
      <c r="C19" s="12" t="n"/>
      <c r="D19" s="12" t="n"/>
      <c r="E19" s="18" t="n"/>
      <c r="F19" s="29" t="n"/>
      <c r="G19" s="12" t="n"/>
      <c r="H19" s="18">
        <f>IF(G19="","",TODAY()-G19)</f>
        <v/>
      </c>
      <c r="I19" s="29" t="n"/>
      <c r="J19" s="12" t="n"/>
    </row>
    <row r="20" ht="22" customHeight="1">
      <c r="B20" s="16">
        <f>IF(C20="","SDC-"&amp;TEXT(COUNTA($C$5:C20),"000"))</f>
        <v/>
      </c>
      <c r="C20" s="14" t="n"/>
      <c r="D20" s="14" t="n"/>
      <c r="E20" s="19" t="n"/>
      <c r="F20" s="30" t="n"/>
      <c r="G20" s="14" t="n"/>
      <c r="H20" s="19">
        <f>IF(G20="","",TODAY()-G20)</f>
        <v/>
      </c>
      <c r="I20" s="30" t="n"/>
      <c r="J20" s="14" t="n"/>
    </row>
    <row r="21" ht="22" customHeight="1">
      <c r="B21" s="17">
        <f>IF(C21="","SDC-"&amp;TEXT(COUNTA($C$5:C21),"000"))</f>
        <v/>
      </c>
      <c r="C21" s="12" t="n"/>
      <c r="D21" s="12" t="n"/>
      <c r="E21" s="18" t="n"/>
      <c r="F21" s="29" t="n"/>
      <c r="G21" s="12" t="n"/>
      <c r="H21" s="18">
        <f>IF(G21="","",TODAY()-G21)</f>
        <v/>
      </c>
      <c r="I21" s="29" t="n"/>
      <c r="J21" s="12" t="n"/>
    </row>
    <row r="22" ht="22" customHeight="1">
      <c r="B22" s="16">
        <f>IF(C22="","SDC-"&amp;TEXT(COUNTA($C$5:C22),"000"))</f>
        <v/>
      </c>
      <c r="C22" s="14" t="n"/>
      <c r="D22" s="14" t="n"/>
      <c r="E22" s="19" t="n"/>
      <c r="F22" s="30" t="n"/>
      <c r="G22" s="14" t="n"/>
      <c r="H22" s="19">
        <f>IF(G22="","",TODAY()-G22)</f>
        <v/>
      </c>
      <c r="I22" s="30" t="n"/>
      <c r="J22" s="14" t="n"/>
    </row>
    <row r="23" ht="22" customHeight="1">
      <c r="B23" s="17">
        <f>IF(C23="","SDC-"&amp;TEXT(COUNTA($C$5:C23),"000"))</f>
        <v/>
      </c>
      <c r="C23" s="12" t="n"/>
      <c r="D23" s="12" t="n"/>
      <c r="E23" s="18" t="n"/>
      <c r="F23" s="29" t="n"/>
      <c r="G23" s="12" t="n"/>
      <c r="H23" s="18">
        <f>IF(G23="","",TODAY()-G23)</f>
        <v/>
      </c>
      <c r="I23" s="29" t="n"/>
      <c r="J23" s="12" t="n"/>
    </row>
    <row r="24" ht="22" customHeight="1">
      <c r="B24" s="16">
        <f>IF(C24="","SDC-"&amp;TEXT(COUNTA($C$5:C24),"000"))</f>
        <v/>
      </c>
      <c r="C24" s="14" t="n"/>
      <c r="D24" s="14" t="n"/>
      <c r="E24" s="19" t="n"/>
      <c r="F24" s="30" t="n"/>
      <c r="G24" s="14" t="n"/>
      <c r="H24" s="19">
        <f>IF(G24="","",TODAY()-G24)</f>
        <v/>
      </c>
      <c r="I24" s="30" t="n"/>
      <c r="J24" s="14" t="n"/>
    </row>
    <row r="25" ht="22" customHeight="1">
      <c r="B25" s="17">
        <f>IF(C25="","SDC-"&amp;TEXT(COUNTA($C$5:C25),"000"))</f>
        <v/>
      </c>
      <c r="C25" s="12" t="n"/>
      <c r="D25" s="12" t="n"/>
      <c r="E25" s="18" t="n"/>
      <c r="F25" s="29" t="n"/>
      <c r="G25" s="12" t="n"/>
      <c r="H25" s="18">
        <f>IF(G25="","",TODAY()-G25)</f>
        <v/>
      </c>
      <c r="I25" s="29" t="n"/>
      <c r="J25" s="12" t="n"/>
    </row>
    <row r="26" ht="22" customHeight="1">
      <c r="B26" s="16">
        <f>IF(C26="","SDC-"&amp;TEXT(COUNTA($C$5:C26),"000"))</f>
        <v/>
      </c>
      <c r="C26" s="14" t="n"/>
      <c r="D26" s="14" t="n"/>
      <c r="E26" s="19" t="n"/>
      <c r="F26" s="30" t="n"/>
      <c r="G26" s="14" t="n"/>
      <c r="H26" s="19">
        <f>IF(G26="","",TODAY()-G26)</f>
        <v/>
      </c>
      <c r="I26" s="30" t="n"/>
      <c r="J26" s="14" t="n"/>
    </row>
    <row r="27" ht="22" customHeight="1">
      <c r="B27" s="17">
        <f>IF(C27="","SDC-"&amp;TEXT(COUNTA($C$5:C27),"000"))</f>
        <v/>
      </c>
      <c r="C27" s="12" t="n"/>
      <c r="D27" s="12" t="n"/>
      <c r="E27" s="18" t="n"/>
      <c r="F27" s="29" t="n"/>
      <c r="G27" s="12" t="n"/>
      <c r="H27" s="18">
        <f>IF(G27="","",TODAY()-G27)</f>
        <v/>
      </c>
      <c r="I27" s="29" t="n"/>
      <c r="J27" s="12" t="n"/>
    </row>
    <row r="28" ht="22" customHeight="1">
      <c r="B28" s="16">
        <f>IF(C28="","SDC-"&amp;TEXT(COUNTA($C$5:C28),"000"))</f>
        <v/>
      </c>
      <c r="C28" s="14" t="n"/>
      <c r="D28" s="14" t="n"/>
      <c r="E28" s="19" t="n"/>
      <c r="F28" s="30" t="n"/>
      <c r="G28" s="14" t="n"/>
      <c r="H28" s="19">
        <f>IF(G28="","",TODAY()-G28)</f>
        <v/>
      </c>
      <c r="I28" s="30" t="n"/>
      <c r="J28" s="14" t="n"/>
    </row>
    <row r="29" ht="22" customHeight="1">
      <c r="B29" s="17">
        <f>IF(C29="","SDC-"&amp;TEXT(COUNTA($C$5:C29),"000"))</f>
        <v/>
      </c>
      <c r="C29" s="12" t="n"/>
      <c r="D29" s="12" t="n"/>
      <c r="E29" s="18" t="n"/>
      <c r="F29" s="29" t="n"/>
      <c r="G29" s="12" t="n"/>
      <c r="H29" s="18">
        <f>IF(G29="","",TODAY()-G29)</f>
        <v/>
      </c>
      <c r="I29" s="29" t="n"/>
      <c r="J29" s="12" t="n"/>
    </row>
    <row r="30" ht="22" customHeight="1">
      <c r="B30" s="16">
        <f>IF(C30="","SDC-"&amp;TEXT(COUNTA($C$5:C30),"000"))</f>
        <v/>
      </c>
      <c r="C30" s="14" t="n"/>
      <c r="D30" s="14" t="n"/>
      <c r="E30" s="19" t="n"/>
      <c r="F30" s="30" t="n"/>
      <c r="G30" s="14" t="n"/>
      <c r="H30" s="19">
        <f>IF(G30="","",TODAY()-G30)</f>
        <v/>
      </c>
      <c r="I30" s="30" t="n"/>
      <c r="J30" s="14" t="n"/>
    </row>
    <row r="31" ht="22" customHeight="1">
      <c r="B31" s="17">
        <f>IF(C31="","SDC-"&amp;TEXT(COUNTA($C$5:C31),"000"))</f>
        <v/>
      </c>
      <c r="C31" s="12" t="n"/>
      <c r="D31" s="12" t="n"/>
      <c r="E31" s="18" t="n"/>
      <c r="F31" s="29" t="n"/>
      <c r="G31" s="12" t="n"/>
      <c r="H31" s="18">
        <f>IF(G31="","",TODAY()-G31)</f>
        <v/>
      </c>
      <c r="I31" s="29" t="n"/>
      <c r="J31" s="12" t="n"/>
    </row>
    <row r="32" ht="22" customHeight="1">
      <c r="B32" s="16">
        <f>IF(C32="","SDC-"&amp;TEXT(COUNTA($C$5:C32),"000"))</f>
        <v/>
      </c>
      <c r="C32" s="14" t="n"/>
      <c r="D32" s="14" t="n"/>
      <c r="E32" s="19" t="n"/>
      <c r="F32" s="30" t="n"/>
      <c r="G32" s="14" t="n"/>
      <c r="H32" s="19">
        <f>IF(G32="","",TODAY()-G32)</f>
        <v/>
      </c>
      <c r="I32" s="30" t="n"/>
      <c r="J32" s="14" t="n"/>
    </row>
    <row r="33" ht="22" customHeight="1">
      <c r="B33" s="17">
        <f>IF(C33="","SDC-"&amp;TEXT(COUNTA($C$5:C33),"000"))</f>
        <v/>
      </c>
      <c r="C33" s="12" t="n"/>
      <c r="D33" s="12" t="n"/>
      <c r="E33" s="18" t="n"/>
      <c r="F33" s="29" t="n"/>
      <c r="G33" s="12" t="n"/>
      <c r="H33" s="18">
        <f>IF(G33="","",TODAY()-G33)</f>
        <v/>
      </c>
      <c r="I33" s="29" t="n"/>
      <c r="J33" s="12" t="n"/>
    </row>
    <row r="34" ht="22" customHeight="1">
      <c r="B34" s="16">
        <f>IF(C34="","SDC-"&amp;TEXT(COUNTA($C$5:C34),"000"))</f>
        <v/>
      </c>
      <c r="C34" s="14" t="n"/>
      <c r="D34" s="14" t="n"/>
      <c r="E34" s="19" t="n"/>
      <c r="F34" s="30" t="n"/>
      <c r="G34" s="14" t="n"/>
      <c r="H34" s="19">
        <f>IF(G34="","",TODAY()-G34)</f>
        <v/>
      </c>
      <c r="I34" s="30" t="n"/>
      <c r="J34" s="14" t="n"/>
    </row>
    <row r="35" ht="22" customHeight="1">
      <c r="B35" s="17">
        <f>IF(C35="","SDC-"&amp;TEXT(COUNTA($C$5:C35),"000"))</f>
        <v/>
      </c>
      <c r="C35" s="12" t="n"/>
      <c r="D35" s="12" t="n"/>
      <c r="E35" s="18" t="n"/>
      <c r="F35" s="29" t="n"/>
      <c r="G35" s="12" t="n"/>
      <c r="H35" s="18">
        <f>IF(G35="","",TODAY()-G35)</f>
        <v/>
      </c>
      <c r="I35" s="29" t="n"/>
      <c r="J35" s="12" t="n"/>
    </row>
    <row r="36" ht="22" customHeight="1">
      <c r="B36" s="16">
        <f>IF(C36="","SDC-"&amp;TEXT(COUNTA($C$5:C36),"000"))</f>
        <v/>
      </c>
      <c r="C36" s="14" t="n"/>
      <c r="D36" s="14" t="n"/>
      <c r="E36" s="19" t="n"/>
      <c r="F36" s="30" t="n"/>
      <c r="G36" s="14" t="n"/>
      <c r="H36" s="19">
        <f>IF(G36="","",TODAY()-G36)</f>
        <v/>
      </c>
      <c r="I36" s="30" t="n"/>
      <c r="J36" s="14" t="n"/>
    </row>
    <row r="37" ht="22" customHeight="1">
      <c r="B37" s="17">
        <f>IF(C37="","SDC-"&amp;TEXT(COUNTA($C$5:C37),"000"))</f>
        <v/>
      </c>
      <c r="C37" s="12" t="n"/>
      <c r="D37" s="12" t="n"/>
      <c r="E37" s="18" t="n"/>
      <c r="F37" s="29" t="n"/>
      <c r="G37" s="12" t="n"/>
      <c r="H37" s="18">
        <f>IF(G37="","",TODAY()-G37)</f>
        <v/>
      </c>
      <c r="I37" s="29" t="n"/>
      <c r="J37" s="12" t="n"/>
    </row>
    <row r="38" ht="22" customHeight="1">
      <c r="B38" s="16">
        <f>IF(C38="","SDC-"&amp;TEXT(COUNTA($C$5:C38),"000"))</f>
        <v/>
      </c>
      <c r="C38" s="14" t="n"/>
      <c r="D38" s="14" t="n"/>
      <c r="E38" s="19" t="n"/>
      <c r="F38" s="30" t="n"/>
      <c r="G38" s="14" t="n"/>
      <c r="H38" s="19">
        <f>IF(G38="","",TODAY()-G38)</f>
        <v/>
      </c>
      <c r="I38" s="30" t="n"/>
      <c r="J38" s="14" t="n"/>
    </row>
    <row r="39" ht="22" customHeight="1">
      <c r="B39" s="17">
        <f>IF(C39="","SDC-"&amp;TEXT(COUNTA($C$5:C39),"000"))</f>
        <v/>
      </c>
      <c r="C39" s="12" t="n"/>
      <c r="D39" s="12" t="n"/>
      <c r="E39" s="18" t="n"/>
      <c r="F39" s="29" t="n"/>
      <c r="G39" s="12" t="n"/>
      <c r="H39" s="18">
        <f>IF(G39="","",TODAY()-G39)</f>
        <v/>
      </c>
      <c r="I39" s="29" t="n"/>
      <c r="J39" s="12" t="n"/>
    </row>
    <row r="40" ht="22" customHeight="1">
      <c r="B40" s="16">
        <f>IF(C40="","SDC-"&amp;TEXT(COUNTA($C$5:C40),"000"))</f>
        <v/>
      </c>
      <c r="C40" s="14" t="n"/>
      <c r="D40" s="14" t="n"/>
      <c r="E40" s="19" t="n"/>
      <c r="F40" s="30" t="n"/>
      <c r="G40" s="14" t="n"/>
      <c r="H40" s="19">
        <f>IF(G40="","",TODAY()-G40)</f>
        <v/>
      </c>
      <c r="I40" s="30" t="n"/>
      <c r="J40" s="14" t="n"/>
    </row>
    <row r="41" ht="22" customHeight="1">
      <c r="B41" s="17">
        <f>IF(C41="","SDC-"&amp;TEXT(COUNTA($C$5:C41),"000"))</f>
        <v/>
      </c>
      <c r="C41" s="12" t="n"/>
      <c r="D41" s="12" t="n"/>
      <c r="E41" s="18" t="n"/>
      <c r="F41" s="29" t="n"/>
      <c r="G41" s="12" t="n"/>
      <c r="H41" s="18">
        <f>IF(G41="","",TODAY()-G41)</f>
        <v/>
      </c>
      <c r="I41" s="29" t="n"/>
      <c r="J41" s="12" t="n"/>
    </row>
    <row r="42" ht="22" customHeight="1">
      <c r="B42" s="16">
        <f>IF(C42="","SDC-"&amp;TEXT(COUNTA($C$5:C42),"000"))</f>
        <v/>
      </c>
      <c r="C42" s="14" t="n"/>
      <c r="D42" s="14" t="n"/>
      <c r="E42" s="19" t="n"/>
      <c r="F42" s="30" t="n"/>
      <c r="G42" s="14" t="n"/>
      <c r="H42" s="19">
        <f>IF(G42="","",TODAY()-G42)</f>
        <v/>
      </c>
      <c r="I42" s="30" t="n"/>
      <c r="J42" s="14" t="n"/>
    </row>
    <row r="43" ht="22" customHeight="1">
      <c r="B43" s="17">
        <f>IF(C43="","SDC-"&amp;TEXT(COUNTA($C$5:C43),"000"))</f>
        <v/>
      </c>
      <c r="C43" s="12" t="n"/>
      <c r="D43" s="12" t="n"/>
      <c r="E43" s="18" t="n"/>
      <c r="F43" s="29" t="n"/>
      <c r="G43" s="12" t="n"/>
      <c r="H43" s="18">
        <f>IF(G43="","",TODAY()-G43)</f>
        <v/>
      </c>
      <c r="I43" s="29" t="n"/>
      <c r="J43" s="12" t="n"/>
    </row>
    <row r="44" ht="22" customHeight="1">
      <c r="B44" s="16">
        <f>IF(C44="","SDC-"&amp;TEXT(COUNTA($C$5:C44),"000"))</f>
        <v/>
      </c>
      <c r="C44" s="14" t="n"/>
      <c r="D44" s="14" t="n"/>
      <c r="E44" s="19" t="n"/>
      <c r="F44" s="30" t="n"/>
      <c r="G44" s="14" t="n"/>
      <c r="H44" s="19">
        <f>IF(G44="","",TODAY()-G44)</f>
        <v/>
      </c>
      <c r="I44" s="30" t="n"/>
      <c r="J44" s="14" t="n"/>
    </row>
    <row r="45" ht="22" customHeight="1">
      <c r="B45" s="17">
        <f>IF(C45="","SDC-"&amp;TEXT(COUNTA($C$5:C45),"000"))</f>
        <v/>
      </c>
      <c r="C45" s="12" t="n"/>
      <c r="D45" s="12" t="n"/>
      <c r="E45" s="18" t="n"/>
      <c r="F45" s="29" t="n"/>
      <c r="G45" s="12" t="n"/>
      <c r="H45" s="18">
        <f>IF(G45="","",TODAY()-G45)</f>
        <v/>
      </c>
      <c r="I45" s="29" t="n"/>
      <c r="J45" s="12" t="n"/>
    </row>
    <row r="46" ht="22" customHeight="1">
      <c r="B46" s="16">
        <f>IF(C46="","SDC-"&amp;TEXT(COUNTA($C$5:C46),"000"))</f>
        <v/>
      </c>
      <c r="C46" s="14" t="n"/>
      <c r="D46" s="14" t="n"/>
      <c r="E46" s="19" t="n"/>
      <c r="F46" s="30" t="n"/>
      <c r="G46" s="14" t="n"/>
      <c r="H46" s="19">
        <f>IF(G46="","",TODAY()-G46)</f>
        <v/>
      </c>
      <c r="I46" s="30" t="n"/>
      <c r="J46" s="14" t="n"/>
    </row>
    <row r="47" ht="22" customHeight="1">
      <c r="B47" s="17">
        <f>IF(C47="","SDC-"&amp;TEXT(COUNTA($C$5:C47),"000"))</f>
        <v/>
      </c>
      <c r="C47" s="12" t="n"/>
      <c r="D47" s="12" t="n"/>
      <c r="E47" s="18" t="n"/>
      <c r="F47" s="29" t="n"/>
      <c r="G47" s="12" t="n"/>
      <c r="H47" s="18">
        <f>IF(G47="","",TODAY()-G47)</f>
        <v/>
      </c>
      <c r="I47" s="29" t="n"/>
      <c r="J47" s="12" t="n"/>
    </row>
    <row r="48" ht="22" customHeight="1">
      <c r="B48" s="16">
        <f>IF(C48="","SDC-"&amp;TEXT(COUNTA($C$5:C48),"000"))</f>
        <v/>
      </c>
      <c r="C48" s="14" t="n"/>
      <c r="D48" s="14" t="n"/>
      <c r="E48" s="19" t="n"/>
      <c r="F48" s="30" t="n"/>
      <c r="G48" s="14" t="n"/>
      <c r="H48" s="19">
        <f>IF(G48="","",TODAY()-G48)</f>
        <v/>
      </c>
      <c r="I48" s="30" t="n"/>
      <c r="J48" s="14" t="n"/>
    </row>
    <row r="49" ht="22" customHeight="1">
      <c r="B49" s="17">
        <f>IF(C49="","SDC-"&amp;TEXT(COUNTA($C$5:C49),"000"))</f>
        <v/>
      </c>
      <c r="C49" s="12" t="n"/>
      <c r="D49" s="12" t="n"/>
      <c r="E49" s="18" t="n"/>
      <c r="F49" s="29" t="n"/>
      <c r="G49" s="12" t="n"/>
      <c r="H49" s="18">
        <f>IF(G49="","",TODAY()-G49)</f>
        <v/>
      </c>
      <c r="I49" s="29" t="n"/>
      <c r="J49" s="12" t="n"/>
    </row>
    <row r="50" ht="22" customHeight="1">
      <c r="B50" s="16">
        <f>IF(C50="","SDC-"&amp;TEXT(COUNTA($C$5:C50),"000"))</f>
        <v/>
      </c>
      <c r="C50" s="14" t="n"/>
      <c r="D50" s="14" t="n"/>
      <c r="E50" s="19" t="n"/>
      <c r="F50" s="30" t="n"/>
      <c r="G50" s="14" t="n"/>
      <c r="H50" s="19">
        <f>IF(G50="","",TODAY()-G50)</f>
        <v/>
      </c>
      <c r="I50" s="30" t="n"/>
      <c r="J50" s="14" t="n"/>
    </row>
    <row r="51" ht="22" customHeight="1">
      <c r="B51" s="17">
        <f>IF(C51="","SDC-"&amp;TEXT(COUNTA($C$5:C51),"000"))</f>
        <v/>
      </c>
      <c r="C51" s="12" t="n"/>
      <c r="D51" s="12" t="n"/>
      <c r="E51" s="18" t="n"/>
      <c r="F51" s="29" t="n"/>
      <c r="G51" s="12" t="n"/>
      <c r="H51" s="18">
        <f>IF(G51="","",TODAY()-G51)</f>
        <v/>
      </c>
      <c r="I51" s="29" t="n"/>
      <c r="J51" s="12" t="n"/>
    </row>
    <row r="52" ht="22" customHeight="1">
      <c r="B52" s="16">
        <f>IF(C52="","SDC-"&amp;TEXT(COUNTA($C$5:C52),"000"))</f>
        <v/>
      </c>
      <c r="C52" s="14" t="n"/>
      <c r="D52" s="14" t="n"/>
      <c r="E52" s="19" t="n"/>
      <c r="F52" s="30" t="n"/>
      <c r="G52" s="14" t="n"/>
      <c r="H52" s="19">
        <f>IF(G52="","",TODAY()-G52)</f>
        <v/>
      </c>
      <c r="I52" s="30" t="n"/>
      <c r="J52" s="14" t="n"/>
    </row>
    <row r="53" ht="22" customHeight="1">
      <c r="B53" s="17">
        <f>IF(C53="","SDC-"&amp;TEXT(COUNTA($C$5:C53),"000"))</f>
        <v/>
      </c>
      <c r="C53" s="12" t="n"/>
      <c r="D53" s="12" t="n"/>
      <c r="E53" s="18" t="n"/>
      <c r="F53" s="29" t="n"/>
      <c r="G53" s="12" t="n"/>
      <c r="H53" s="18">
        <f>IF(G53="","",TODAY()-G53)</f>
        <v/>
      </c>
      <c r="I53" s="29" t="n"/>
      <c r="J53" s="12" t="n"/>
    </row>
    <row r="54" ht="22" customHeight="1">
      <c r="B54" s="16">
        <f>IF(C54="","SDC-"&amp;TEXT(COUNTA($C$5:C54),"000"))</f>
        <v/>
      </c>
      <c r="C54" s="14" t="n"/>
      <c r="D54" s="14" t="n"/>
      <c r="E54" s="19" t="n"/>
      <c r="F54" s="30" t="n"/>
      <c r="G54" s="14" t="n"/>
      <c r="H54" s="19">
        <f>IF(G54="","",TODAY()-G54)</f>
        <v/>
      </c>
      <c r="I54" s="30" t="n"/>
      <c r="J54" s="14" t="n"/>
    </row>
    <row r="55" ht="22" customHeight="1">
      <c r="B55" s="17">
        <f>IF(C55="","SDC-"&amp;TEXT(COUNTA($C$5:C55),"000"))</f>
        <v/>
      </c>
      <c r="C55" s="12" t="n"/>
      <c r="D55" s="12" t="n"/>
      <c r="E55" s="18" t="n"/>
      <c r="F55" s="29" t="n"/>
      <c r="G55" s="12" t="n"/>
      <c r="H55" s="18">
        <f>IF(G55="","",TODAY()-G55)</f>
        <v/>
      </c>
      <c r="I55" s="29" t="n"/>
      <c r="J55" s="12" t="n"/>
    </row>
    <row r="56" ht="22" customHeight="1">
      <c r="B56" s="16">
        <f>IF(C56="","SDC-"&amp;TEXT(COUNTA($C$5:C56),"000"))</f>
        <v/>
      </c>
      <c r="C56" s="14" t="n"/>
      <c r="D56" s="14" t="n"/>
      <c r="E56" s="19" t="n"/>
      <c r="F56" s="30" t="n"/>
      <c r="G56" s="14" t="n"/>
      <c r="H56" s="19">
        <f>IF(G56="","",TODAY()-G56)</f>
        <v/>
      </c>
      <c r="I56" s="30" t="n"/>
      <c r="J56" s="14" t="n"/>
    </row>
    <row r="57" ht="22" customHeight="1">
      <c r="B57" s="17">
        <f>IF(C57="","SDC-"&amp;TEXT(COUNTA($C$5:C57),"000"))</f>
        <v/>
      </c>
      <c r="C57" s="12" t="n"/>
      <c r="D57" s="12" t="n"/>
      <c r="E57" s="18" t="n"/>
      <c r="F57" s="29" t="n"/>
      <c r="G57" s="12" t="n"/>
      <c r="H57" s="18">
        <f>IF(G57="","",TODAY()-G57)</f>
        <v/>
      </c>
      <c r="I57" s="29" t="n"/>
      <c r="J57" s="12" t="n"/>
    </row>
    <row r="58" ht="22" customHeight="1">
      <c r="B58" s="16">
        <f>IF(C58="","SDC-"&amp;TEXT(COUNTA($C$5:C58),"000"))</f>
        <v/>
      </c>
      <c r="C58" s="14" t="n"/>
      <c r="D58" s="14" t="n"/>
      <c r="E58" s="19" t="n"/>
      <c r="F58" s="30" t="n"/>
      <c r="G58" s="14" t="n"/>
      <c r="H58" s="19">
        <f>IF(G58="","",TODAY()-G58)</f>
        <v/>
      </c>
      <c r="I58" s="30" t="n"/>
      <c r="J58" s="14" t="n"/>
    </row>
    <row r="59" ht="22" customHeight="1">
      <c r="B59" s="17">
        <f>IF(C59="","SDC-"&amp;TEXT(COUNTA($C$5:C59),"000"))</f>
        <v/>
      </c>
      <c r="C59" s="12" t="n"/>
      <c r="D59" s="12" t="n"/>
      <c r="E59" s="18" t="n"/>
      <c r="F59" s="29" t="n"/>
      <c r="G59" s="12" t="n"/>
      <c r="H59" s="18">
        <f>IF(G59="","",TODAY()-G59)</f>
        <v/>
      </c>
      <c r="I59" s="29" t="n"/>
      <c r="J59" s="12" t="n"/>
    </row>
    <row r="60" ht="22" customHeight="1">
      <c r="B60" s="16">
        <f>IF(C60="","SDC-"&amp;TEXT(COUNTA($C$5:C60),"000"))</f>
        <v/>
      </c>
      <c r="C60" s="14" t="n"/>
      <c r="D60" s="14" t="n"/>
      <c r="E60" s="19" t="n"/>
      <c r="F60" s="30" t="n"/>
      <c r="G60" s="14" t="n"/>
      <c r="H60" s="19">
        <f>IF(G60="","",TODAY()-G60)</f>
        <v/>
      </c>
      <c r="I60" s="30" t="n"/>
      <c r="J60" s="14" t="n"/>
    </row>
    <row r="61" ht="22" customHeight="1">
      <c r="B61" s="17">
        <f>IF(C61="","SDC-"&amp;TEXT(COUNTA($C$5:C61),"000"))</f>
        <v/>
      </c>
      <c r="C61" s="12" t="n"/>
      <c r="D61" s="12" t="n"/>
      <c r="E61" s="18" t="n"/>
      <c r="F61" s="29" t="n"/>
      <c r="G61" s="12" t="n"/>
      <c r="H61" s="18">
        <f>IF(G61="","",TODAY()-G61)</f>
        <v/>
      </c>
      <c r="I61" s="29" t="n"/>
      <c r="J61" s="12" t="n"/>
    </row>
    <row r="62" ht="22" customHeight="1">
      <c r="B62" s="16">
        <f>IF(C62="","SDC-"&amp;TEXT(COUNTA($C$5:C62),"000"))</f>
        <v/>
      </c>
      <c r="C62" s="14" t="n"/>
      <c r="D62" s="14" t="n"/>
      <c r="E62" s="19" t="n"/>
      <c r="F62" s="30" t="n"/>
      <c r="G62" s="14" t="n"/>
      <c r="H62" s="19">
        <f>IF(G62="","",TODAY()-G62)</f>
        <v/>
      </c>
      <c r="I62" s="30" t="n"/>
      <c r="J62" s="14" t="n"/>
    </row>
    <row r="63" ht="22" customHeight="1">
      <c r="B63" s="17">
        <f>IF(C63="","SDC-"&amp;TEXT(COUNTA($C$5:C63),"000"))</f>
        <v/>
      </c>
      <c r="C63" s="12" t="n"/>
      <c r="D63" s="12" t="n"/>
      <c r="E63" s="18" t="n"/>
      <c r="F63" s="29" t="n"/>
      <c r="G63" s="12" t="n"/>
      <c r="H63" s="18">
        <f>IF(G63="","",TODAY()-G63)</f>
        <v/>
      </c>
      <c r="I63" s="29" t="n"/>
      <c r="J63" s="12" t="n"/>
    </row>
    <row r="64" ht="22" customHeight="1">
      <c r="B64" s="16">
        <f>IF(C64="","SDC-"&amp;TEXT(COUNTA($C$5:C64),"000"))</f>
        <v/>
      </c>
      <c r="C64" s="14" t="n"/>
      <c r="D64" s="14" t="n"/>
      <c r="E64" s="19" t="n"/>
      <c r="F64" s="30" t="n"/>
      <c r="G64" s="14" t="n"/>
      <c r="H64" s="19">
        <f>IF(G64="","",TODAY()-G64)</f>
        <v/>
      </c>
      <c r="I64" s="30" t="n"/>
      <c r="J64" s="14" t="n"/>
    </row>
    <row r="65" ht="22" customHeight="1">
      <c r="B65" s="17">
        <f>IF(C65="","SDC-"&amp;TEXT(COUNTA($C$5:C65),"000"))</f>
        <v/>
      </c>
      <c r="C65" s="12" t="n"/>
      <c r="D65" s="12" t="n"/>
      <c r="E65" s="18" t="n"/>
      <c r="F65" s="29" t="n"/>
      <c r="G65" s="12" t="n"/>
      <c r="H65" s="18">
        <f>IF(G65="","",TODAY()-G65)</f>
        <v/>
      </c>
      <c r="I65" s="29" t="n"/>
      <c r="J65" s="12" t="n"/>
    </row>
    <row r="66" ht="22" customHeight="1">
      <c r="B66" s="16">
        <f>IF(C66="","SDC-"&amp;TEXT(COUNTA($C$5:C66),"000"))</f>
        <v/>
      </c>
      <c r="C66" s="14" t="n"/>
      <c r="D66" s="14" t="n"/>
      <c r="E66" s="19" t="n"/>
      <c r="F66" s="30" t="n"/>
      <c r="G66" s="14" t="n"/>
      <c r="H66" s="19">
        <f>IF(G66="","",TODAY()-G66)</f>
        <v/>
      </c>
      <c r="I66" s="30" t="n"/>
      <c r="J66" s="14" t="n"/>
    </row>
    <row r="67" ht="22" customHeight="1">
      <c r="B67" s="17">
        <f>IF(C67="","SDC-"&amp;TEXT(COUNTA($C$5:C67),"000"))</f>
        <v/>
      </c>
      <c r="C67" s="12" t="n"/>
      <c r="D67" s="12" t="n"/>
      <c r="E67" s="18" t="n"/>
      <c r="F67" s="29" t="n"/>
      <c r="G67" s="12" t="n"/>
      <c r="H67" s="18">
        <f>IF(G67="","",TODAY()-G67)</f>
        <v/>
      </c>
      <c r="I67" s="29" t="n"/>
      <c r="J67" s="12" t="n"/>
    </row>
    <row r="68" ht="22" customHeight="1">
      <c r="B68" s="16">
        <f>IF(C68="","SDC-"&amp;TEXT(COUNTA($C$5:C68),"000"))</f>
        <v/>
      </c>
      <c r="C68" s="14" t="n"/>
      <c r="D68" s="14" t="n"/>
      <c r="E68" s="19" t="n"/>
      <c r="F68" s="30" t="n"/>
      <c r="G68" s="14" t="n"/>
      <c r="H68" s="19">
        <f>IF(G68="","",TODAY()-G68)</f>
        <v/>
      </c>
      <c r="I68" s="30" t="n"/>
      <c r="J68" s="14" t="n"/>
    </row>
    <row r="69" ht="22" customHeight="1">
      <c r="B69" s="17">
        <f>IF(C69="","SDC-"&amp;TEXT(COUNTA($C$5:C69),"000"))</f>
        <v/>
      </c>
      <c r="C69" s="12" t="n"/>
      <c r="D69" s="12" t="n"/>
      <c r="E69" s="18" t="n"/>
      <c r="F69" s="29" t="n"/>
      <c r="G69" s="12" t="n"/>
      <c r="H69" s="18">
        <f>IF(G69="","",TODAY()-G69)</f>
        <v/>
      </c>
      <c r="I69" s="29" t="n"/>
      <c r="J69" s="12" t="n"/>
    </row>
    <row r="70" ht="22" customHeight="1">
      <c r="B70" s="16">
        <f>IF(C70="","SDC-"&amp;TEXT(COUNTA($C$5:C70),"000"))</f>
        <v/>
      </c>
      <c r="C70" s="14" t="n"/>
      <c r="D70" s="14" t="n"/>
      <c r="E70" s="19" t="n"/>
      <c r="F70" s="30" t="n"/>
      <c r="G70" s="14" t="n"/>
      <c r="H70" s="19">
        <f>IF(G70="","",TODAY()-G70)</f>
        <v/>
      </c>
      <c r="I70" s="30" t="n"/>
      <c r="J70" s="14" t="n"/>
    </row>
    <row r="71" ht="22" customHeight="1">
      <c r="B71" s="17">
        <f>IF(C71="","SDC-"&amp;TEXT(COUNTA($C$5:C71),"000"))</f>
        <v/>
      </c>
      <c r="C71" s="12" t="n"/>
      <c r="D71" s="12" t="n"/>
      <c r="E71" s="18" t="n"/>
      <c r="F71" s="29" t="n"/>
      <c r="G71" s="12" t="n"/>
      <c r="H71" s="18">
        <f>IF(G71="","",TODAY()-G71)</f>
        <v/>
      </c>
      <c r="I71" s="29" t="n"/>
      <c r="J71" s="12" t="n"/>
    </row>
    <row r="72" ht="22" customHeight="1">
      <c r="B72" s="16">
        <f>IF(C72="","SDC-"&amp;TEXT(COUNTA($C$5:C72),"000"))</f>
        <v/>
      </c>
      <c r="C72" s="14" t="n"/>
      <c r="D72" s="14" t="n"/>
      <c r="E72" s="19" t="n"/>
      <c r="F72" s="30" t="n"/>
      <c r="G72" s="14" t="n"/>
      <c r="H72" s="19">
        <f>IF(G72="","",TODAY()-G72)</f>
        <v/>
      </c>
      <c r="I72" s="30" t="n"/>
      <c r="J72" s="14" t="n"/>
    </row>
    <row r="73" ht="22" customHeight="1">
      <c r="B73" s="17">
        <f>IF(C73="","SDC-"&amp;TEXT(COUNTA($C$5:C73),"000"))</f>
        <v/>
      </c>
      <c r="C73" s="12" t="n"/>
      <c r="D73" s="12" t="n"/>
      <c r="E73" s="18" t="n"/>
      <c r="F73" s="29" t="n"/>
      <c r="G73" s="12" t="n"/>
      <c r="H73" s="18">
        <f>IF(G73="","",TODAY()-G73)</f>
        <v/>
      </c>
      <c r="I73" s="29" t="n"/>
      <c r="J73" s="12" t="n"/>
    </row>
    <row r="74" ht="22" customHeight="1">
      <c r="B74" s="16">
        <f>IF(C74="","SDC-"&amp;TEXT(COUNTA($C$5:C74),"000"))</f>
        <v/>
      </c>
      <c r="C74" s="14" t="n"/>
      <c r="D74" s="14" t="n"/>
      <c r="E74" s="19" t="n"/>
      <c r="F74" s="30" t="n"/>
      <c r="G74" s="14" t="n"/>
      <c r="H74" s="19">
        <f>IF(G74="","",TODAY()-G74)</f>
        <v/>
      </c>
      <c r="I74" s="30" t="n"/>
      <c r="J74" s="14" t="n"/>
    </row>
    <row r="75" ht="22" customHeight="1">
      <c r="B75" s="17">
        <f>IF(C75="","SDC-"&amp;TEXT(COUNTA($C$5:C75),"000"))</f>
        <v/>
      </c>
      <c r="C75" s="12" t="n"/>
      <c r="D75" s="12" t="n"/>
      <c r="E75" s="18" t="n"/>
      <c r="F75" s="29" t="n"/>
      <c r="G75" s="12" t="n"/>
      <c r="H75" s="18">
        <f>IF(G75="","",TODAY()-G75)</f>
        <v/>
      </c>
      <c r="I75" s="29" t="n"/>
      <c r="J75" s="12" t="n"/>
    </row>
    <row r="76" ht="22" customHeight="1">
      <c r="B76" s="16">
        <f>IF(C76="","SDC-"&amp;TEXT(COUNTA($C$5:C76),"000"))</f>
        <v/>
      </c>
      <c r="C76" s="14" t="n"/>
      <c r="D76" s="14" t="n"/>
      <c r="E76" s="19" t="n"/>
      <c r="F76" s="30" t="n"/>
      <c r="G76" s="14" t="n"/>
      <c r="H76" s="19">
        <f>IF(G76="","",TODAY()-G76)</f>
        <v/>
      </c>
      <c r="I76" s="30" t="n"/>
      <c r="J76" s="14" t="n"/>
    </row>
    <row r="77" ht="22" customHeight="1">
      <c r="B77" s="17">
        <f>IF(C77="","SDC-"&amp;TEXT(COUNTA($C$5:C77),"000"))</f>
        <v/>
      </c>
      <c r="C77" s="12" t="n"/>
      <c r="D77" s="12" t="n"/>
      <c r="E77" s="18" t="n"/>
      <c r="F77" s="29" t="n"/>
      <c r="G77" s="12" t="n"/>
      <c r="H77" s="18">
        <f>IF(G77="","",TODAY()-G77)</f>
        <v/>
      </c>
      <c r="I77" s="29" t="n"/>
      <c r="J77" s="12" t="n"/>
    </row>
    <row r="78" ht="22" customHeight="1">
      <c r="B78" s="16">
        <f>IF(C78="","SDC-"&amp;TEXT(COUNTA($C$5:C78),"000"))</f>
        <v/>
      </c>
      <c r="C78" s="14" t="n"/>
      <c r="D78" s="14" t="n"/>
      <c r="E78" s="19" t="n"/>
      <c r="F78" s="30" t="n"/>
      <c r="G78" s="14" t="n"/>
      <c r="H78" s="19">
        <f>IF(G78="","",TODAY()-G78)</f>
        <v/>
      </c>
      <c r="I78" s="30" t="n"/>
      <c r="J78" s="14" t="n"/>
    </row>
    <row r="79" ht="22" customHeight="1">
      <c r="B79" s="17">
        <f>IF(C79="","SDC-"&amp;TEXT(COUNTA($C$5:C79),"000"))</f>
        <v/>
      </c>
      <c r="C79" s="12" t="n"/>
      <c r="D79" s="12" t="n"/>
      <c r="E79" s="18" t="n"/>
      <c r="F79" s="29" t="n"/>
      <c r="G79" s="12" t="n"/>
      <c r="H79" s="18">
        <f>IF(G79="","",TODAY()-G79)</f>
        <v/>
      </c>
      <c r="I79" s="29" t="n"/>
      <c r="J79" s="12" t="n"/>
    </row>
    <row r="80" ht="22" customHeight="1">
      <c r="B80" s="16">
        <f>IF(C80="","SDC-"&amp;TEXT(COUNTA($C$5:C80),"000"))</f>
        <v/>
      </c>
      <c r="C80" s="14" t="n"/>
      <c r="D80" s="14" t="n"/>
      <c r="E80" s="19" t="n"/>
      <c r="F80" s="30" t="n"/>
      <c r="G80" s="14" t="n"/>
      <c r="H80" s="19">
        <f>IF(G80="","",TODAY()-G80)</f>
        <v/>
      </c>
      <c r="I80" s="30" t="n"/>
      <c r="J80" s="14" t="n"/>
    </row>
    <row r="81" ht="22" customHeight="1">
      <c r="B81" s="17">
        <f>IF(C81="","SDC-"&amp;TEXT(COUNTA($C$5:C81),"000"))</f>
        <v/>
      </c>
      <c r="C81" s="12" t="n"/>
      <c r="D81" s="12" t="n"/>
      <c r="E81" s="18" t="n"/>
      <c r="F81" s="29" t="n"/>
      <c r="G81" s="12" t="n"/>
      <c r="H81" s="18">
        <f>IF(G81="","",TODAY()-G81)</f>
        <v/>
      </c>
      <c r="I81" s="29" t="n"/>
      <c r="J81" s="12" t="n"/>
    </row>
    <row r="82" ht="22" customHeight="1">
      <c r="B82" s="16">
        <f>IF(C82="","SDC-"&amp;TEXT(COUNTA($C$5:C82),"000"))</f>
        <v/>
      </c>
      <c r="C82" s="14" t="n"/>
      <c r="D82" s="14" t="n"/>
      <c r="E82" s="19" t="n"/>
      <c r="F82" s="30" t="n"/>
      <c r="G82" s="14" t="n"/>
      <c r="H82" s="19">
        <f>IF(G82="","",TODAY()-G82)</f>
        <v/>
      </c>
      <c r="I82" s="30" t="n"/>
      <c r="J82" s="14" t="n"/>
    </row>
    <row r="83" ht="22" customHeight="1">
      <c r="B83" s="17">
        <f>IF(C83="","SDC-"&amp;TEXT(COUNTA($C$5:C83),"000"))</f>
        <v/>
      </c>
      <c r="C83" s="12" t="n"/>
      <c r="D83" s="12" t="n"/>
      <c r="E83" s="18" t="n"/>
      <c r="F83" s="29" t="n"/>
      <c r="G83" s="12" t="n"/>
      <c r="H83" s="18">
        <f>IF(G83="","",TODAY()-G83)</f>
        <v/>
      </c>
      <c r="I83" s="29" t="n"/>
      <c r="J83" s="12" t="n"/>
    </row>
    <row r="84" ht="22" customHeight="1">
      <c r="B84" s="16">
        <f>IF(C84="","SDC-"&amp;TEXT(COUNTA($C$5:C84),"000"))</f>
        <v/>
      </c>
      <c r="C84" s="14" t="n"/>
      <c r="D84" s="14" t="n"/>
      <c r="E84" s="19" t="n"/>
      <c r="F84" s="30" t="n"/>
      <c r="G84" s="14" t="n"/>
      <c r="H84" s="19">
        <f>IF(G84="","",TODAY()-G84)</f>
        <v/>
      </c>
      <c r="I84" s="30" t="n"/>
      <c r="J84" s="14" t="n"/>
    </row>
    <row r="85" ht="22" customHeight="1">
      <c r="B85" s="17">
        <f>IF(C85="","SDC-"&amp;TEXT(COUNTA($C$5:C85),"000"))</f>
        <v/>
      </c>
      <c r="C85" s="12" t="n"/>
      <c r="D85" s="12" t="n"/>
      <c r="E85" s="18" t="n"/>
      <c r="F85" s="29" t="n"/>
      <c r="G85" s="12" t="n"/>
      <c r="H85" s="18">
        <f>IF(G85="","",TODAY()-G85)</f>
        <v/>
      </c>
      <c r="I85" s="29" t="n"/>
      <c r="J85" s="12" t="n"/>
    </row>
    <row r="86" ht="22" customHeight="1">
      <c r="B86" s="16">
        <f>IF(C86="","SDC-"&amp;TEXT(COUNTA($C$5:C86),"000"))</f>
        <v/>
      </c>
      <c r="C86" s="14" t="n"/>
      <c r="D86" s="14" t="n"/>
      <c r="E86" s="19" t="n"/>
      <c r="F86" s="30" t="n"/>
      <c r="G86" s="14" t="n"/>
      <c r="H86" s="19">
        <f>IF(G86="","",TODAY()-G86)</f>
        <v/>
      </c>
      <c r="I86" s="30" t="n"/>
      <c r="J86" s="14" t="n"/>
    </row>
    <row r="87" ht="22" customHeight="1">
      <c r="B87" s="17">
        <f>IF(C87="","SDC-"&amp;TEXT(COUNTA($C$5:C87),"000"))</f>
        <v/>
      </c>
      <c r="C87" s="12" t="n"/>
      <c r="D87" s="12" t="n"/>
      <c r="E87" s="18" t="n"/>
      <c r="F87" s="29" t="n"/>
      <c r="G87" s="12" t="n"/>
      <c r="H87" s="18">
        <f>IF(G87="","",TODAY()-G87)</f>
        <v/>
      </c>
      <c r="I87" s="29" t="n"/>
      <c r="J87" s="12" t="n"/>
    </row>
    <row r="88" ht="22" customHeight="1">
      <c r="B88" s="16">
        <f>IF(C88="","SDC-"&amp;TEXT(COUNTA($C$5:C88),"000"))</f>
        <v/>
      </c>
      <c r="C88" s="14" t="n"/>
      <c r="D88" s="14" t="n"/>
      <c r="E88" s="19" t="n"/>
      <c r="F88" s="30" t="n"/>
      <c r="G88" s="14" t="n"/>
      <c r="H88" s="19">
        <f>IF(G88="","",TODAY()-G88)</f>
        <v/>
      </c>
      <c r="I88" s="30" t="n"/>
      <c r="J88" s="14" t="n"/>
    </row>
    <row r="89" ht="22" customHeight="1">
      <c r="B89" s="17">
        <f>IF(C89="","SDC-"&amp;TEXT(COUNTA($C$5:C89),"000"))</f>
        <v/>
      </c>
      <c r="C89" s="12" t="n"/>
      <c r="D89" s="12" t="n"/>
      <c r="E89" s="18" t="n"/>
      <c r="F89" s="29" t="n"/>
      <c r="G89" s="12" t="n"/>
      <c r="H89" s="18">
        <f>IF(G89="","",TODAY()-G89)</f>
        <v/>
      </c>
      <c r="I89" s="29" t="n"/>
      <c r="J89" s="12" t="n"/>
    </row>
    <row r="90" ht="22" customHeight="1">
      <c r="B90" s="16">
        <f>IF(C90="","SDC-"&amp;TEXT(COUNTA($C$5:C90),"000"))</f>
        <v/>
      </c>
      <c r="C90" s="14" t="n"/>
      <c r="D90" s="14" t="n"/>
      <c r="E90" s="19" t="n"/>
      <c r="F90" s="30" t="n"/>
      <c r="G90" s="14" t="n"/>
      <c r="H90" s="19">
        <f>IF(G90="","",TODAY()-G90)</f>
        <v/>
      </c>
      <c r="I90" s="30" t="n"/>
      <c r="J90" s="14" t="n"/>
    </row>
    <row r="91" ht="22" customHeight="1">
      <c r="B91" s="17">
        <f>IF(C91="","SDC-"&amp;TEXT(COUNTA($C$5:C91),"000"))</f>
        <v/>
      </c>
      <c r="C91" s="12" t="n"/>
      <c r="D91" s="12" t="n"/>
      <c r="E91" s="18" t="n"/>
      <c r="F91" s="29" t="n"/>
      <c r="G91" s="12" t="n"/>
      <c r="H91" s="18">
        <f>IF(G91="","",TODAY()-G91)</f>
        <v/>
      </c>
      <c r="I91" s="29" t="n"/>
      <c r="J91" s="12" t="n"/>
    </row>
    <row r="92" ht="22" customHeight="1">
      <c r="B92" s="16">
        <f>IF(C92="","SDC-"&amp;TEXT(COUNTA($C$5:C92),"000"))</f>
        <v/>
      </c>
      <c r="C92" s="14" t="n"/>
      <c r="D92" s="14" t="n"/>
      <c r="E92" s="19" t="n"/>
      <c r="F92" s="30" t="n"/>
      <c r="G92" s="14" t="n"/>
      <c r="H92" s="19">
        <f>IF(G92="","",TODAY()-G92)</f>
        <v/>
      </c>
      <c r="I92" s="30" t="n"/>
      <c r="J92" s="14" t="n"/>
    </row>
    <row r="93" ht="22" customHeight="1">
      <c r="B93" s="17">
        <f>IF(C93="","SDC-"&amp;TEXT(COUNTA($C$5:C93),"000"))</f>
        <v/>
      </c>
      <c r="C93" s="12" t="n"/>
      <c r="D93" s="12" t="n"/>
      <c r="E93" s="18" t="n"/>
      <c r="F93" s="29" t="n"/>
      <c r="G93" s="12" t="n"/>
      <c r="H93" s="18">
        <f>IF(G93="","",TODAY()-G93)</f>
        <v/>
      </c>
      <c r="I93" s="29" t="n"/>
      <c r="J93" s="12" t="n"/>
    </row>
    <row r="94" ht="22" customHeight="1">
      <c r="B94" s="16">
        <f>IF(C94="","SDC-"&amp;TEXT(COUNTA($C$5:C94),"000"))</f>
        <v/>
      </c>
      <c r="C94" s="14" t="n"/>
      <c r="D94" s="14" t="n"/>
      <c r="E94" s="19" t="n"/>
      <c r="F94" s="30" t="n"/>
      <c r="G94" s="14" t="n"/>
      <c r="H94" s="19">
        <f>IF(G94="","",TODAY()-G94)</f>
        <v/>
      </c>
      <c r="I94" s="30" t="n"/>
      <c r="J94" s="14" t="n"/>
    </row>
    <row r="95" ht="22" customHeight="1">
      <c r="B95" s="17">
        <f>IF(C95="","SDC-"&amp;TEXT(COUNTA($C$5:C95),"000"))</f>
        <v/>
      </c>
      <c r="C95" s="12" t="n"/>
      <c r="D95" s="12" t="n"/>
      <c r="E95" s="18" t="n"/>
      <c r="F95" s="29" t="n"/>
      <c r="G95" s="12" t="n"/>
      <c r="H95" s="18">
        <f>IF(G95="","",TODAY()-G95)</f>
        <v/>
      </c>
      <c r="I95" s="29" t="n"/>
      <c r="J95" s="12" t="n"/>
    </row>
    <row r="96" ht="22" customHeight="1">
      <c r="B96" s="16">
        <f>IF(C96="","SDC-"&amp;TEXT(COUNTA($C$5:C96),"000"))</f>
        <v/>
      </c>
      <c r="C96" s="14" t="n"/>
      <c r="D96" s="14" t="n"/>
      <c r="E96" s="19" t="n"/>
      <c r="F96" s="30" t="n"/>
      <c r="G96" s="14" t="n"/>
      <c r="H96" s="19">
        <f>IF(G96="","",TODAY()-G96)</f>
        <v/>
      </c>
      <c r="I96" s="30" t="n"/>
      <c r="J96" s="14" t="n"/>
    </row>
    <row r="97" ht="22" customHeight="1">
      <c r="B97" s="17">
        <f>IF(C97="","SDC-"&amp;TEXT(COUNTA($C$5:C97),"000"))</f>
        <v/>
      </c>
      <c r="C97" s="12" t="n"/>
      <c r="D97" s="12" t="n"/>
      <c r="E97" s="18" t="n"/>
      <c r="F97" s="29" t="n"/>
      <c r="G97" s="12" t="n"/>
      <c r="H97" s="18">
        <f>IF(G97="","",TODAY()-G97)</f>
        <v/>
      </c>
      <c r="I97" s="29" t="n"/>
      <c r="J97" s="12" t="n"/>
    </row>
    <row r="98" ht="22" customHeight="1">
      <c r="B98" s="16">
        <f>IF(C98="","SDC-"&amp;TEXT(COUNTA($C$5:C98),"000"))</f>
        <v/>
      </c>
      <c r="C98" s="14" t="n"/>
      <c r="D98" s="14" t="n"/>
      <c r="E98" s="19" t="n"/>
      <c r="F98" s="30" t="n"/>
      <c r="G98" s="14" t="n"/>
      <c r="H98" s="19">
        <f>IF(G98="","",TODAY()-G98)</f>
        <v/>
      </c>
      <c r="I98" s="30" t="n"/>
      <c r="J98" s="14" t="n"/>
    </row>
    <row r="99" ht="22" customHeight="1">
      <c r="B99" s="17">
        <f>IF(C99="","SDC-"&amp;TEXT(COUNTA($C$5:C99),"000"))</f>
        <v/>
      </c>
      <c r="C99" s="12" t="n"/>
      <c r="D99" s="12" t="n"/>
      <c r="E99" s="18" t="n"/>
      <c r="F99" s="29" t="n"/>
      <c r="G99" s="12" t="n"/>
      <c r="H99" s="18">
        <f>IF(G99="","",TODAY()-G99)</f>
        <v/>
      </c>
      <c r="I99" s="29" t="n"/>
      <c r="J99" s="12" t="n"/>
    </row>
    <row r="100" ht="22" customHeight="1">
      <c r="B100" s="16">
        <f>IF(C100="","SDC-"&amp;TEXT(COUNTA($C$5:C100),"000"))</f>
        <v/>
      </c>
      <c r="C100" s="14" t="n"/>
      <c r="D100" s="14" t="n"/>
      <c r="E100" s="19" t="n"/>
      <c r="F100" s="30" t="n"/>
      <c r="G100" s="14" t="n"/>
      <c r="H100" s="19">
        <f>IF(G100="","",TODAY()-G100)</f>
        <v/>
      </c>
      <c r="I100" s="30" t="n"/>
      <c r="J100" s="14" t="n"/>
    </row>
    <row r="101" ht="22" customHeight="1">
      <c r="B101" s="17">
        <f>IF(C101="","SDC-"&amp;TEXT(COUNTA($C$5:C101),"000"))</f>
        <v/>
      </c>
      <c r="C101" s="12" t="n"/>
      <c r="D101" s="12" t="n"/>
      <c r="E101" s="18" t="n"/>
      <c r="F101" s="29" t="n"/>
      <c r="G101" s="12" t="n"/>
      <c r="H101" s="18">
        <f>IF(G101="","",TODAY()-G101)</f>
        <v/>
      </c>
      <c r="I101" s="29" t="n"/>
      <c r="J101" s="12" t="n"/>
    </row>
    <row r="102" ht="22" customHeight="1">
      <c r="B102" s="16">
        <f>IF(C102="","SDC-"&amp;TEXT(COUNTA($C$5:C102),"000"))</f>
        <v/>
      </c>
      <c r="C102" s="14" t="n"/>
      <c r="D102" s="14" t="n"/>
      <c r="E102" s="19" t="n"/>
      <c r="F102" s="30" t="n"/>
      <c r="G102" s="14" t="n"/>
      <c r="H102" s="19">
        <f>IF(G102="","",TODAY()-G102)</f>
        <v/>
      </c>
      <c r="I102" s="30" t="n"/>
      <c r="J102" s="14" t="n"/>
    </row>
    <row r="103" ht="22" customHeight="1">
      <c r="B103" s="17">
        <f>IF(C103="","SDC-"&amp;TEXT(COUNTA($C$5:C103),"000"))</f>
        <v/>
      </c>
      <c r="C103" s="12" t="n"/>
      <c r="D103" s="12" t="n"/>
      <c r="E103" s="18" t="n"/>
      <c r="F103" s="29" t="n"/>
      <c r="G103" s="12" t="n"/>
      <c r="H103" s="18">
        <f>IF(G103="","",TODAY()-G103)</f>
        <v/>
      </c>
      <c r="I103" s="29" t="n"/>
      <c r="J103" s="12" t="n"/>
    </row>
    <row r="104" ht="22" customHeight="1">
      <c r="B104" s="16">
        <f>IF(C104="","SDC-"&amp;TEXT(COUNTA($C$5:C104),"000"))</f>
        <v/>
      </c>
      <c r="C104" s="14" t="n"/>
      <c r="D104" s="14" t="n"/>
      <c r="E104" s="19" t="n"/>
      <c r="F104" s="30" t="n"/>
      <c r="G104" s="14" t="n"/>
      <c r="H104" s="19">
        <f>IF(G104="","",TODAY()-G104)</f>
        <v/>
      </c>
      <c r="I104" s="30" t="n"/>
      <c r="J104" s="14" t="n"/>
    </row>
    <row r="105" ht="22" customHeight="1">
      <c r="B105" s="17">
        <f>IF(C105="","SDC-"&amp;TEXT(COUNTA($C$5:C105),"000"))</f>
        <v/>
      </c>
      <c r="C105" s="12" t="n"/>
      <c r="D105" s="12" t="n"/>
      <c r="E105" s="18" t="n"/>
      <c r="F105" s="29" t="n"/>
      <c r="G105" s="12" t="n"/>
      <c r="H105" s="18">
        <f>IF(G105="","",TODAY()-G105)</f>
        <v/>
      </c>
      <c r="I105" s="29" t="n"/>
      <c r="J105" s="12" t="n"/>
    </row>
    <row r="106" ht="22" customHeight="1">
      <c r="B106" s="16">
        <f>IF(C106="","SDC-"&amp;TEXT(COUNTA($C$5:C106),"000"))</f>
        <v/>
      </c>
      <c r="C106" s="14" t="n"/>
      <c r="D106" s="14" t="n"/>
      <c r="E106" s="19" t="n"/>
      <c r="F106" s="30" t="n"/>
      <c r="G106" s="14" t="n"/>
      <c r="H106" s="19">
        <f>IF(G106="","",TODAY()-G106)</f>
        <v/>
      </c>
      <c r="I106" s="30" t="n"/>
      <c r="J106" s="14" t="n"/>
    </row>
    <row r="107" ht="22" customHeight="1">
      <c r="B107" s="17">
        <f>IF(C107="","SDC-"&amp;TEXT(COUNTA($C$5:C107),"000"))</f>
        <v/>
      </c>
      <c r="C107" s="12" t="n"/>
      <c r="D107" s="12" t="n"/>
      <c r="E107" s="18" t="n"/>
      <c r="F107" s="29" t="n"/>
      <c r="G107" s="12" t="n"/>
      <c r="H107" s="18">
        <f>IF(G107="","",TODAY()-G107)</f>
        <v/>
      </c>
      <c r="I107" s="29" t="n"/>
      <c r="J107" s="12" t="n"/>
    </row>
    <row r="108" ht="22" customHeight="1">
      <c r="B108" s="16">
        <f>IF(C108="","SDC-"&amp;TEXT(COUNTA($C$5:C108),"000"))</f>
        <v/>
      </c>
      <c r="C108" s="14" t="n"/>
      <c r="D108" s="14" t="n"/>
      <c r="E108" s="19" t="n"/>
      <c r="F108" s="30" t="n"/>
      <c r="G108" s="14" t="n"/>
      <c r="H108" s="19">
        <f>IF(G108="","",TODAY()-G108)</f>
        <v/>
      </c>
      <c r="I108" s="30" t="n"/>
      <c r="J108" s="14" t="n"/>
    </row>
    <row r="109"/>
    <row r="110">
      <c r="B110" s="6" t="inlineStr">
        <is>
          <t>INDICATEURS (mis a jour automatiquement)</t>
        </is>
      </c>
    </row>
    <row r="111">
      <c r="B111" s="3" t="inlineStr">
        <is>
          <t>Docs suivis</t>
        </is>
      </c>
      <c r="D111" s="3" t="inlineStr">
        <is>
          <t>Tres confidentiels</t>
        </is>
      </c>
      <c r="F111" s="3" t="inlineStr">
        <is>
          <t>Total consultations</t>
        </is>
      </c>
    </row>
    <row r="112">
      <c r="B112" s="4">
        <f>COUNTIF(B5:B104,"&lt;&gt;")</f>
        <v/>
      </c>
      <c r="D112" s="4">
        <f>COUNTIF(D5:D104,"Tres confidentiel")</f>
        <v/>
      </c>
      <c r="F112" s="4">
        <f>SUM(E5:E104)</f>
        <v/>
      </c>
    </row>
  </sheetData>
  <mergeCells count="3">
    <mergeCell ref="B110:J110"/>
    <mergeCell ref="B3:J3"/>
    <mergeCell ref="B2:J2"/>
  </mergeCells>
  <conditionalFormatting sqref="J5:J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1">
      <formula>"En attente"</formula>
    </cfRule>
    <cfRule type="cellIs" priority="77" operator="equal" dxfId="1">
      <formula>"A renouveler"</formula>
    </cfRule>
    <cfRule type="cellIs" priority="78" operator="equal" dxfId="1">
      <formula>"En cours"</formula>
    </cfRule>
    <cfRule type="cellIs" priority="79" operator="equal" dxfId="1">
      <formula>"En traitement"</formula>
    </cfRule>
    <cfRule type="cellIs" priority="80" operator="equal" dxfId="1">
      <formula>"En retard"</formula>
    </cfRule>
    <cfRule type="cellIs" priority="81" operator="equal" dxfId="1">
      <formula>"Suspendu"</formula>
    </cfRule>
    <cfRule type="cellIs" priority="82" operator="equal" dxfId="1">
      <formula>"Planifie"</formula>
    </cfRule>
    <cfRule type="cellIs" priority="83" operator="equal" dxfId="1">
      <formula>"Planifiee"</formula>
    </cfRule>
    <cfRule type="cellIs" priority="84" operator="equal" dxfId="1">
      <formula>"Brouillon"</formula>
    </cfRule>
    <cfRule type="cellIs" priority="85" operator="equal" dxfId="1">
      <formula>"En attente de justification"</formula>
    </cfRule>
    <cfRule type="cellIs" priority="86" operator="equal" dxfId="1">
      <formula>"Tolere"</formula>
    </cfRule>
    <cfRule type="cellIs" priority="87" operator="equal" dxfId="1">
      <formula>"Variable"</formula>
    </cfRule>
    <cfRule type="cellIs" priority="88" operator="equal" dxfId="1">
      <formula>"En elaboration"</formula>
    </cfRule>
    <cfRule type="cellIs" priority="89" operator="equal" dxfId="1">
      <formula>"Provisionne"</formula>
    </cfRule>
    <cfRule type="cellIs" priority="90" operator="equal" dxfId="1">
      <formula>"Consomme partiel"</formula>
    </cfRule>
    <cfRule type="cellIs" priority="91" operator="equal" dxfId="1">
      <formula>"Identifie"</formula>
    </cfRule>
    <cfRule type="cellIs" priority="92" operator="equal" dxfId="1">
      <formula>"Priorise"</formula>
    </cfRule>
    <cfRule type="cellIs" priority="93" operator="equal" dxfId="1">
      <formula>"Intermediaire"</formula>
    </cfRule>
    <cfRule type="cellIs" priority="94" operator="equal" dxfId="1">
      <formula>"Non evalue"</formula>
    </cfRule>
    <cfRule type="cellIs" priority="95" operator="equal" dxfId="1">
      <formula>"En cours de realisation"</formula>
    </cfRule>
    <cfRule type="cellIs" priority="96" operator="equal" dxfId="1">
      <formula>"Non demarre"</formula>
    </cfRule>
    <cfRule type="cellIs" priority="97" operator="equal" dxfId="1">
      <formula>"En attente N+1"</formula>
    </cfRule>
    <cfRule type="cellIs" priority="98" operator="equal" dxfId="1">
      <formula>"Prolongation essai"</formula>
    </cfRule>
    <cfRule type="cellIs" priority="99" operator="equal" dxfId="1">
      <formula>"En attente validation"</formula>
    </cfRule>
    <cfRule type="cellIs" priority="100" operator="equal" dxfId="1">
      <formula>"Bon"</formula>
    </cfRule>
    <cfRule type="cellIs" priority="101" operator="equal" dxfId="1">
      <formula>"D - Moyen"</formula>
    </cfRule>
    <cfRule type="cellIs" priority="102" operator="equal" dxfId="1">
      <formula>"En cours de repres."</formula>
    </cfRule>
    <cfRule type="cellIs" priority="103" operator="equal" dxfId="1">
      <formula>"En negociation"</formula>
    </cfRule>
    <cfRule type="cellIs" priority="104" operator="equal" dxfId="1">
      <formula>"En preparation"</formula>
    </cfRule>
    <cfRule type="cellIs" priority="105" operator="equal" dxfId="1">
      <formula>"En cours d'instruction"</formula>
    </cfRule>
    <cfRule type="cellIs" priority="106" operator="equal" dxfId="1">
      <formula>"Transferee N+1"</formula>
    </cfRule>
    <cfRule type="cellIs" priority="107" operator="equal" dxfId="1">
      <formula>"En attente reponse"</formula>
    </cfRule>
    <cfRule type="cellIs" priority="108" operator="equal" dxfId="1">
      <formula>"Enquete ouverte"</formula>
    </cfRule>
    <cfRule type="cellIs" priority="109" operator="equal" dxfId="1">
      <formula>"Convocation envoyee"</formula>
    </cfRule>
    <cfRule type="cellIs" priority="110" operator="equal" dxfId="1">
      <formula>"Entretien realise"</formula>
    </cfRule>
    <cfRule type="cellIs" priority="111" operator="equal" dxfId="1">
      <formula>"Saisie"</formula>
    </cfRule>
    <cfRule type="cellIs" priority="112" operator="equal" dxfId="1">
      <formula>"En mediation"</formula>
    </cfRule>
    <cfRule type="cellIs" priority="113" operator="equal" dxfId="1">
      <formula>"En recours"</formula>
    </cfRule>
    <cfRule type="cellIs" priority="114" operator="equal" dxfId="1">
      <formula>"Reportee"</formula>
    </cfRule>
    <cfRule type="cellIs" priority="115" operator="equal" dxfId="1">
      <formula>"Reporte"</formula>
    </cfRule>
    <cfRule type="cellIs" priority="116" operator="equal" dxfId="1">
      <formula>"Signale"</formula>
    </cfRule>
    <cfRule type="cellIs" priority="117" operator="equal" dxfId="1">
      <formula>"Precontentieux"</formula>
    </cfRule>
    <cfRule type="cellIs" priority="118" operator="equal" dxfId="1">
      <formula>"En attente election"</formula>
    </cfRule>
    <cfRule type="cellIs" priority="119" operator="equal" dxfId="1">
      <formula>"Classe"</formula>
    </cfRule>
    <cfRule type="cellIs" priority="120" operator="equal" dxfId="1">
      <formula>"En cours d'evaluation"</formula>
    </cfRule>
    <cfRule type="cellIs" priority="121" operator="equal" dxfId="1">
      <formula>"En cours d'enquete"</formula>
    </cfRule>
    <cfRule type="cellIs" priority="122" operator="equal" dxfId="1">
      <formula>"En cours de commande"</formula>
    </cfRule>
    <cfRule type="cellIs" priority="123" operator="equal" dxfId="1">
      <formula>"A revoir"</formula>
    </cfRule>
    <cfRule type="cellIs" priority="124" operator="equal" dxfId="1">
      <formula>"A remplacer"</formula>
    </cfRule>
    <cfRule type="cellIs" priority="125" operator="equal" dxfId="1">
      <formula>"En cours d'instruction CNPS"</formula>
    </cfRule>
    <cfRule type="cellIs" priority="126" operator="equal" dxfId="1">
      <formula>"En contestation"</formula>
    </cfRule>
    <cfRule type="cellIs" priority="127" operator="equal" dxfId="1">
      <formula>"Inapte temporaire"</formula>
    </cfRule>
    <cfRule type="cellIs" priority="128" operator="equal" dxfId="1">
      <formula>"Candidat identifie"</formula>
    </cfRule>
    <cfRule type="cellIs" priority="129" operator="equal" dxfId="1">
      <formula>"En formation"</formula>
    </cfRule>
    <cfRule type="cellIs" priority="130" operator="equal" dxfId="1">
      <formula>"En evaluation"</formula>
    </cfRule>
    <cfRule type="cellIs" priority="131" operator="equal" dxfId="1">
      <formula>"En transit"</formula>
    </cfRule>
    <cfRule type="cellIs" priority="132" operator="equal" dxfId="1">
      <formula>"En attente visa"</formula>
    </cfRule>
    <cfRule type="cellIs" priority="133" operator="equal" dxfId="1">
      <formula>"Proposee"</formula>
    </cfRule>
    <cfRule type="cellIs" priority="134" operator="equal" dxfId="1">
      <formula>"En cours d'acquisition"</formula>
    </cfRule>
    <cfRule type="cellIs" priority="135" operator="equal" dxfId="1">
      <formula>"A developper"</formula>
    </cfRule>
    <cfRule type="cellIs" priority="136" operator="equal" dxfId="1">
      <formula>"A renforcer"</formula>
    </cfRule>
    <cfRule type="cellIs" priority="137" operator="equal" dxfId="1">
      <formula>"En cours"</formula>
    </cfRule>
    <cfRule type="cellIs" priority="138" operator="equal" dxfId="1">
      <formula>"Partiellement conforme"</formula>
    </cfRule>
    <cfRule type="cellIs" priority="139" operator="equal" dxfId="1">
      <formula>"En mise en conformite"</formula>
    </cfRule>
    <cfRule type="cellIs" priority="140" operator="equal" dxfId="1">
      <formula>"En revision"</formula>
    </cfRule>
    <cfRule type="cellIs" priority="141" operator="equal" dxfId="1">
      <formula>"A approuver"</formula>
    </cfRule>
    <cfRule type="cellIs" priority="142" operator="equal" dxfId="1">
      <formula>"En conciliation"</formula>
    </cfRule>
    <cfRule type="cellIs" priority="143" operator="equal" dxfId="1">
      <formula>"Assigne tribunal"</formula>
    </cfRule>
    <cfRule type="cellIs" priority="144" operator="equal" dxfId="1">
      <formula>"En cours de preparation"</formula>
    </cfRule>
    <cfRule type="cellIs" priority="145" operator="equal" dxfId="1">
      <formula>"Non effectuee"</formula>
    </cfRule>
    <cfRule type="cellIs" priority="146" operator="equal" dxfId="1">
      <formula>"A archiver"</formula>
    </cfRule>
    <cfRule type="cellIs" priority="147" operator="equal" dxfId="1">
      <formula>"En cours de constitution"</formula>
    </cfRule>
    <cfRule type="cellIs" priority="148" operator="equal" dxfId="1">
      <formula>"A mettre a jour"</formula>
    </cfRule>
    <cfRule type="cellIs" priority="149" operator="equal" dxfId="1">
      <formula>"En restoration"</formula>
    </cfRule>
    <cfRule type="cellIs" priority="150" operator="equal" dxfId="1">
      <formula>"En cours de restauration"</formula>
    </cfRule>
    <cfRule type="cellIs" priority="151" operator="equal" dxfId="1">
      <formula>"A determiner"</formula>
    </cfRule>
    <cfRule type="cellIs" priority="152" operator="equal" dxfId="1">
      <formula>"En revision"</formula>
    </cfRule>
    <cfRule type="cellIs" priority="153" operator="equal" dxfId="1">
      <formula>"Obsolete"</formula>
    </cfRule>
    <cfRule type="cellIs" priority="154" operator="equal" dxfId="1">
      <formula>"Hybride (papier + numerique)"</formula>
    </cfRule>
    <cfRule type="cellIs" priority="155" operator="equal" dxfId="2">
      <formula>"Expire"</formula>
    </cfRule>
    <cfRule type="cellIs" priority="156" operator="equal" dxfId="2">
      <formula>"Rejete"</formula>
    </cfRule>
    <cfRule type="cellIs" priority="157" operator="equal" dxfId="2">
      <formula>"Rejetee"</formula>
    </cfRule>
    <cfRule type="cellIs" priority="158" operator="equal" dxfId="2">
      <formula>"Resilie"</formula>
    </cfRule>
    <cfRule type="cellIs" priority="159" operator="equal" dxfId="2">
      <formula>"Annule"</formula>
    </cfRule>
    <cfRule type="cellIs" priority="160" operator="equal" dxfId="2">
      <formula>"Annulee"</formula>
    </cfRule>
    <cfRule type="cellIs" priority="161" operator="equal" dxfId="2">
      <formula>"Refuse"</formula>
    </cfRule>
    <cfRule type="cellIs" priority="162" operator="equal" dxfId="2">
      <formula>"Non justifie"</formula>
    </cfRule>
    <cfRule type="cellIs" priority="163" operator="equal" dxfId="2">
      <formula>"Non justifiee"</formula>
    </cfRule>
    <cfRule type="cellIs" priority="164" operator="equal" dxfId="2">
      <formula>"Sanctionne"</formula>
    </cfRule>
    <cfRule type="cellIs" priority="165" operator="equal" dxfId="2">
      <formula>"Inaptitude"</formula>
    </cfRule>
    <cfRule type="cellIs" priority="166" operator="equal" dxfId="2">
      <formula>"Absent sans autorisation"</formula>
    </cfRule>
    <cfRule type="cellIs" priority="167" operator="equal" dxfId="2">
      <formula>"Abandon de poste"</formula>
    </cfRule>
    <cfRule type="cellIs" priority="168" operator="equal" dxfId="2">
      <formula>"Non satisfait"</formula>
    </cfRule>
    <cfRule type="cellIs" priority="169" operator="equal" dxfId="2">
      <formula>"Depasse"</formula>
    </cfRule>
    <cfRule type="cellIs" priority="170" operator="equal" dxfId="2">
      <formula>"Non utilise"</formula>
    </cfRule>
    <cfRule type="cellIs" priority="171" operator="equal" dxfId="2">
      <formula>"Non applicable"</formula>
    </cfRule>
    <cfRule type="cellIs" priority="172" operator="equal" dxfId="2">
      <formula>"Debutant"</formula>
    </cfRule>
    <cfRule type="cellIs" priority="173" operator="equal" dxfId="2">
      <formula>"Non atteint"</formula>
    </cfRule>
    <cfRule type="cellIs" priority="174" operator="equal" dxfId="2">
      <formula>"Abandonne"</formula>
    </cfRule>
    <cfRule type="cellIs" priority="175" operator="equal" dxfId="2">
      <formula>"Rupture essai"</formula>
    </cfRule>
    <cfRule type="cellIs" priority="176" operator="equal" dxfId="2">
      <formula>"Insuffisant"</formula>
    </cfRule>
    <cfRule type="cellIs" priority="177" operator="equal" dxfId="2">
      <formula>"Moyen"</formula>
    </cfRule>
    <cfRule type="cellIs" priority="178" operator="equal" dxfId="2">
      <formula>"E - Insuffisant"</formula>
    </cfRule>
    <cfRule type="cellIs" priority="179" operator="equal" dxfId="2">
      <formula>"Dissous"</formula>
    </cfRule>
    <cfRule type="cellIs" priority="180" operator="equal" dxfId="2">
      <formula>"Denonce"</formula>
    </cfRule>
    <cfRule type="cellIs" priority="181" operator="equal" dxfId="2">
      <formula>"Echoue"</formula>
    </cfRule>
    <cfRule type="cellIs" priority="182" operator="equal" dxfId="2">
      <formula>"Echouee"</formula>
    </cfRule>
    <cfRule type="cellIs" priority="183" operator="equal" dxfId="2">
      <formula>"Revoque"</formula>
    </cfRule>
    <cfRule type="cellIs" priority="184" operator="equal" dxfId="2">
      <formula>"Demissionnaire"</formula>
    </cfRule>
    <cfRule type="cellIs" priority="185" operator="equal" dxfId="2">
      <formula>"Licenciement pour faute"</formula>
    </cfRule>
    <cfRule type="cellIs" priority="186" operator="equal" dxfId="2">
      <formula>"Licenciement pour faute grave"</formula>
    </cfRule>
    <cfRule type="cellIs" priority="187" operator="equal" dxfId="2">
      <formula>"Terminee - Echec"</formula>
    </cfRule>
    <cfRule type="cellIs" priority="188" operator="equal" dxfId="2">
      <formula>"Abandonnee"</formula>
    </cfRule>
    <cfRule type="cellIs" priority="189" operator="equal" dxfId="2">
      <formula>"Violence physique"</formula>
    </cfRule>
    <cfRule type="cellIs" priority="190" operator="equal" dxfId="2">
      <formula>"Violence verbale"</formula>
    </cfRule>
    <cfRule type="cellIs" priority="191" operator="equal" dxfId="2">
      <formula>"Fatal"</formula>
    </cfRule>
    <cfRule type="cellIs" priority="192" operator="equal" dxfId="2">
      <formula>"Non reconnue"</formula>
    </cfRule>
    <cfRule type="cellIs" priority="193" operator="equal" dxfId="2">
      <formula>"Inapte definitif"</formula>
    </cfRule>
    <cfRule type="cellIs" priority="194" operator="equal" dxfId="2">
      <formula>"Perdu / vole"</formula>
    </cfRule>
    <cfRule type="cellIs" priority="195" operator="equal" dxfId="2">
      <formula>"Rebute"</formula>
    </cfRule>
    <cfRule type="cellIs" priority="196" operator="equal" dxfId="2">
      <formula>"Obsolette"</formula>
    </cfRule>
    <cfRule type="cellIs" priority="197" operator="equal" dxfId="2">
      <formula>"Conteste"</formula>
    </cfRule>
    <cfRule type="cellIs" priority="198" operator="equal" dxfId="2">
      <formula>"Refusee"</formula>
    </cfRule>
    <cfRule type="cellIs" priority="199" operator="equal" dxfId="2">
      <formula>"Non retenu"</formula>
    </cfRule>
    <cfRule type="cellIs" priority="200" operator="equal" dxfId="2">
      <formula>"Non acquis"</formula>
    </cfRule>
    <cfRule type="cellIs" priority="201" operator="equal" dxfId="2">
      <formula>"Contrat termine"</formula>
    </cfRule>
    <cfRule type="cellIs" priority="202" operator="equal" dxfId="2">
      <formula>"Rapatrie"</formula>
    </cfRule>
    <cfRule type="cellIs" priority="203" operator="equal" dxfId="2">
      <formula>"Non conforme"</formula>
    </cfRule>
    <cfRule type="cellIs" priority="204" operator="equal" dxfId="2">
      <formula>"Abandonne"</formula>
    </cfRule>
    <cfRule type="cellIs" priority="205" operator="equal" dxfId="2">
      <formula>"Perdu"</formula>
    </cfRule>
    <cfRule type="cellIs" priority="206" operator="equal" dxfId="2">
      <formula>"Resilie"</formula>
    </cfRule>
    <cfRule type="cellIs" priority="207" operator="equal" dxfId="2">
      <formula>"Expire"</formula>
    </cfRule>
    <cfRule type="cellIs" priority="208" operator="equal" dxfId="2">
      <formula>"Incomplet"</formula>
    </cfRule>
    <cfRule type="cellIs" priority="209" operator="equal" dxfId="2">
      <formula>"Non restitue"</formula>
    </cfRule>
    <cfRule type="cellIs" priority="210" operator="equal" dxfId="2">
      <formula>"Perdu"</formula>
    </cfRule>
    <cfRule type="cellIs" priority="211" operator="equal" dxfId="2">
      <formula>"Secret"</formula>
    </cfRule>
  </conditionalFormatting>
  <conditionalFormatting sqref="B9:B108">
    <cfRule type="expression" priority="212" dxfId="3">
      <formula>AND($C9="",$C8&lt;&gt;"")</formula>
    </cfRule>
  </conditionalFormatting>
  <conditionalFormatting sqref="C9:C108">
    <cfRule type="expression" priority="213" dxfId="3">
      <formula>AND($C9="",$C8&lt;&gt;"")</formula>
    </cfRule>
  </conditionalFormatting>
  <conditionalFormatting sqref="D9:D108">
    <cfRule type="expression" priority="214" dxfId="3">
      <formula>AND($C9="",$C8&lt;&gt;"")</formula>
    </cfRule>
  </conditionalFormatting>
  <conditionalFormatting sqref="E9:E108">
    <cfRule type="expression" priority="215" dxfId="3">
      <formula>AND($C9="",$C8&lt;&gt;"")</formula>
    </cfRule>
  </conditionalFormatting>
  <conditionalFormatting sqref="F9:F108">
    <cfRule type="expression" priority="216" dxfId="3">
      <formula>AND($C9="",$C8&lt;&gt;"")</formula>
    </cfRule>
  </conditionalFormatting>
  <conditionalFormatting sqref="G9:G108">
    <cfRule type="expression" priority="217" dxfId="3">
      <formula>AND($C9="",$C8&lt;&gt;"")</formula>
    </cfRule>
  </conditionalFormatting>
  <conditionalFormatting sqref="H9:H108">
    <cfRule type="expression" priority="218" dxfId="3">
      <formula>AND($C9="",$C8&lt;&gt;"")</formula>
    </cfRule>
  </conditionalFormatting>
  <conditionalFormatting sqref="I9:I108">
    <cfRule type="expression" priority="219" dxfId="3">
      <formula>AND($C9="",$C8&lt;&gt;"")</formula>
    </cfRule>
  </conditionalFormatting>
  <conditionalFormatting sqref="J9:J108">
    <cfRule type="expression" priority="220" dxfId="3">
      <formula>AND($C9="",$C8&lt;&gt;"")</formula>
    </cfRule>
  </conditionalFormatting>
  <dataValidations count="2">
    <dataValidation sqref="D5:D108" showDropDown="0" showInputMessage="0" showErrorMessage="0" allowBlank="1" errorTitle="Erreur" error="Valeur invalide" promptTitle="Liste" prompt="Choisir dans la liste" type="list">
      <formula1>'_Lists'!$G$2:$G$6</formula1>
    </dataValidation>
    <dataValidation sqref="J5:J108" showDropDown="0" showInputMessage="0" showErrorMessage="0" allowBlank="1" errorTitle="Erreur" error="Valeur invalide" promptTitle="Liste" prompt="Choisir dans la liste" type="list">
      <formula1>'_Lists'!$F$2:$F$8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4" customWidth="1" min="3" max="3"/>
    <col width="22" customWidth="1" min="4" max="4"/>
    <col width="12" customWidth="1" min="5" max="5"/>
    <col width="14" customWidth="1" min="6" max="6"/>
    <col width="16" customWidth="1" min="7" max="7"/>
    <col width="18" customWidth="1" min="8" max="8"/>
    <col width="22" customWidth="1" min="9" max="9"/>
    <col width="12" customWidth="1" min="10" max="10"/>
  </cols>
  <sheetData>
    <row r="1" ht="15" customHeight="1"/>
    <row r="2" ht="32" customHeight="1">
      <c r="B2" s="1" t="inlineStr">
        <is>
          <t>CALENDRIER ARCHIVAGE — Actions Planifiees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Action Archivage</t>
        </is>
      </c>
      <c r="D4" s="11" t="inlineStr">
        <is>
          <t>Type Document</t>
        </is>
      </c>
      <c r="E4" s="11" t="inlineStr">
        <is>
          <t>Priorite</t>
        </is>
      </c>
      <c r="F4" s="11" t="inlineStr">
        <is>
          <t>Echeance</t>
        </is>
      </c>
      <c r="G4" s="11" t="inlineStr">
        <is>
          <t>Jours Restants</t>
        </is>
      </c>
      <c r="H4" s="11" t="inlineStr">
        <is>
          <t>Responsable</t>
        </is>
      </c>
      <c r="I4" s="11" t="inlineStr">
        <is>
          <t>Volume Estime (pages)</t>
        </is>
      </c>
      <c r="J4" s="11" t="inlineStr">
        <is>
          <t>Statut</t>
        </is>
      </c>
    </row>
    <row r="5" ht="22" customHeight="1">
      <c r="B5" s="12" t="inlineStr">
        <is>
          <t>CAR-001</t>
        </is>
      </c>
      <c r="C5" s="12" t="inlineStr">
        <is>
          <t>Numerisation contrats 2020</t>
        </is>
      </c>
      <c r="D5" s="12" t="inlineStr">
        <is>
          <t>Contrat de travail</t>
        </is>
      </c>
      <c r="E5" s="12" t="inlineStr">
        <is>
          <t>Haute</t>
        </is>
      </c>
      <c r="F5" s="29" t="n">
        <v>45869</v>
      </c>
      <c r="G5" s="12" t="n"/>
      <c r="H5" s="12" t="inlineStr">
        <is>
          <t>Assistante RH</t>
        </is>
      </c>
      <c r="I5" s="23" t="n">
        <v>200</v>
      </c>
      <c r="J5" s="12" t="inlineStr">
        <is>
          <t>En cours</t>
        </is>
      </c>
    </row>
    <row r="6" ht="22" customHeight="1">
      <c r="B6" s="14" t="inlineStr">
        <is>
          <t>CAR-002</t>
        </is>
      </c>
      <c r="C6" s="14" t="inlineStr">
        <is>
          <t>Destruction bulletins 2019</t>
        </is>
      </c>
      <c r="D6" s="14" t="inlineStr">
        <is>
          <t>Bulletin paie</t>
        </is>
      </c>
      <c r="E6" s="14" t="inlineStr">
        <is>
          <t>Moyenne</t>
        </is>
      </c>
      <c r="F6" s="30" t="n">
        <v>45838</v>
      </c>
      <c r="G6" s="14" t="n"/>
      <c r="H6" s="14" t="inlineStr">
        <is>
          <t>Assistante RH</t>
        </is>
      </c>
      <c r="I6" s="24" t="n">
        <v>500</v>
      </c>
      <c r="J6" s="14" t="inlineStr">
        <is>
          <t>Terminee</t>
        </is>
      </c>
    </row>
    <row r="7" ht="22" customHeight="1">
      <c r="B7" s="12" t="inlineStr">
        <is>
          <t>CAR-003</t>
        </is>
      </c>
      <c r="C7" s="12" t="inlineStr">
        <is>
          <t>Archivage PV reunions 2024</t>
        </is>
      </c>
      <c r="D7" s="12" t="inlineStr">
        <is>
          <t>PV reunion</t>
        </is>
      </c>
      <c r="E7" s="12" t="inlineStr">
        <is>
          <t>Basse</t>
        </is>
      </c>
      <c r="F7" s="29" t="n">
        <v>45930</v>
      </c>
      <c r="G7" s="12" t="n"/>
      <c r="H7" s="12" t="inlineStr">
        <is>
          <t>Assistante RH</t>
        </is>
      </c>
      <c r="I7" s="23" t="n">
        <v>120</v>
      </c>
      <c r="J7" s="12" t="inlineStr">
        <is>
          <t>En cours</t>
        </is>
      </c>
    </row>
    <row r="8" ht="22" customHeight="1">
      <c r="B8" s="14" t="inlineStr">
        <is>
          <t>CAR-004</t>
        </is>
      </c>
      <c r="C8" s="14" t="inlineStr">
        <is>
          <t>Numerisation declarations CNPS</t>
        </is>
      </c>
      <c r="D8" s="14" t="inlineStr">
        <is>
          <t>Formulaire CNPS</t>
        </is>
      </c>
      <c r="E8" s="14" t="inlineStr">
        <is>
          <t>Haute</t>
        </is>
      </c>
      <c r="F8" s="30" t="n">
        <v>45900</v>
      </c>
      <c r="G8" s="14" t="n"/>
      <c r="H8" s="14" t="inlineStr">
        <is>
          <t>Comptable senior</t>
        </is>
      </c>
      <c r="I8" s="24" t="n">
        <v>300</v>
      </c>
      <c r="J8" s="14" t="inlineStr">
        <is>
          <t>En cours</t>
        </is>
      </c>
    </row>
    <row r="9" ht="22" customHeight="1">
      <c r="B9" s="12" t="inlineStr">
        <is>
          <t>CAR-005</t>
        </is>
      </c>
      <c r="C9" s="12" t="inlineStr">
        <is>
          <t>Classement dossiers nouveaux</t>
        </is>
      </c>
      <c r="D9" s="12" t="inlineStr">
        <is>
          <t>Contrat de travail</t>
        </is>
      </c>
      <c r="E9" s="12" t="inlineStr">
        <is>
          <t>Haute</t>
        </is>
      </c>
      <c r="F9" s="29" t="n">
        <v>45853</v>
      </c>
      <c r="G9" s="12" t="n"/>
      <c r="H9" s="12" t="inlineStr">
        <is>
          <t>Assistante RH</t>
        </is>
      </c>
      <c r="I9" s="23" t="n">
        <v>80</v>
      </c>
      <c r="J9" s="12" t="inlineStr">
        <is>
          <t>En cours</t>
        </is>
      </c>
    </row>
    <row r="10" ht="22" customHeight="1">
      <c r="B10" s="16">
        <f>IF(C10="","CAR-"&amp;TEXT(COUNTA($C$5:C10),"000"))</f>
        <v/>
      </c>
      <c r="C10" s="14" t="n"/>
      <c r="D10" s="14" t="n"/>
      <c r="E10" s="14" t="n"/>
      <c r="F10" s="30" t="n"/>
      <c r="G10" s="14">
        <f>IF(F10="","",F10-TODAY())</f>
        <v/>
      </c>
      <c r="H10" s="14" t="n"/>
      <c r="I10" s="24" t="n"/>
      <c r="J10" s="14" t="n"/>
    </row>
    <row r="11" ht="22" customHeight="1">
      <c r="B11" s="17">
        <f>IF(C11="","CAR-"&amp;TEXT(COUNTA($C$5:C11),"000"))</f>
        <v/>
      </c>
      <c r="C11" s="12" t="n"/>
      <c r="D11" s="12" t="n"/>
      <c r="E11" s="12" t="n"/>
      <c r="F11" s="29" t="n"/>
      <c r="G11" s="12">
        <f>IF(F11="","",F11-TODAY())</f>
        <v/>
      </c>
      <c r="H11" s="12" t="n"/>
      <c r="I11" s="23" t="n"/>
      <c r="J11" s="12" t="n"/>
    </row>
    <row r="12" ht="22" customHeight="1">
      <c r="B12" s="16">
        <f>IF(C12="","CAR-"&amp;TEXT(COUNTA($C$5:C12),"000"))</f>
        <v/>
      </c>
      <c r="C12" s="14" t="n"/>
      <c r="D12" s="14" t="n"/>
      <c r="E12" s="14" t="n"/>
      <c r="F12" s="30" t="n"/>
      <c r="G12" s="14">
        <f>IF(F12="","",F12-TODAY())</f>
        <v/>
      </c>
      <c r="H12" s="14" t="n"/>
      <c r="I12" s="24" t="n"/>
      <c r="J12" s="14" t="n"/>
    </row>
    <row r="13" ht="22" customHeight="1">
      <c r="B13" s="17">
        <f>IF(C13="","CAR-"&amp;TEXT(COUNTA($C$5:C13),"000"))</f>
        <v/>
      </c>
      <c r="C13" s="12" t="n"/>
      <c r="D13" s="12" t="n"/>
      <c r="E13" s="12" t="n"/>
      <c r="F13" s="29" t="n"/>
      <c r="G13" s="12">
        <f>IF(F13="","",F13-TODAY())</f>
        <v/>
      </c>
      <c r="H13" s="12" t="n"/>
      <c r="I13" s="23" t="n"/>
      <c r="J13" s="12" t="n"/>
    </row>
    <row r="14" ht="22" customHeight="1">
      <c r="B14" s="16">
        <f>IF(C14="","CAR-"&amp;TEXT(COUNTA($C$5:C14),"000"))</f>
        <v/>
      </c>
      <c r="C14" s="14" t="n"/>
      <c r="D14" s="14" t="n"/>
      <c r="E14" s="14" t="n"/>
      <c r="F14" s="30" t="n"/>
      <c r="G14" s="14">
        <f>IF(F14="","",F14-TODAY())</f>
        <v/>
      </c>
      <c r="H14" s="14" t="n"/>
      <c r="I14" s="24" t="n"/>
      <c r="J14" s="14" t="n"/>
    </row>
    <row r="15" ht="22" customHeight="1">
      <c r="B15" s="17">
        <f>IF(C15="","CAR-"&amp;TEXT(COUNTA($C$5:C15),"000"))</f>
        <v/>
      </c>
      <c r="C15" s="12" t="n"/>
      <c r="D15" s="12" t="n"/>
      <c r="E15" s="12" t="n"/>
      <c r="F15" s="29" t="n"/>
      <c r="G15" s="12">
        <f>IF(F15="","",F15-TODAY())</f>
        <v/>
      </c>
      <c r="H15" s="12" t="n"/>
      <c r="I15" s="23" t="n"/>
      <c r="J15" s="12" t="n"/>
    </row>
    <row r="16" ht="22" customHeight="1">
      <c r="B16" s="16">
        <f>IF(C16="","CAR-"&amp;TEXT(COUNTA($C$5:C16),"000"))</f>
        <v/>
      </c>
      <c r="C16" s="14" t="n"/>
      <c r="D16" s="14" t="n"/>
      <c r="E16" s="14" t="n"/>
      <c r="F16" s="30" t="n"/>
      <c r="G16" s="14">
        <f>IF(F16="","",F16-TODAY())</f>
        <v/>
      </c>
      <c r="H16" s="14" t="n"/>
      <c r="I16" s="24" t="n"/>
      <c r="J16" s="14" t="n"/>
    </row>
    <row r="17" ht="22" customHeight="1">
      <c r="B17" s="17">
        <f>IF(C17="","CAR-"&amp;TEXT(COUNTA($C$5:C17),"000"))</f>
        <v/>
      </c>
      <c r="C17" s="12" t="n"/>
      <c r="D17" s="12" t="n"/>
      <c r="E17" s="12" t="n"/>
      <c r="F17" s="29" t="n"/>
      <c r="G17" s="12">
        <f>IF(F17="","",F17-TODAY())</f>
        <v/>
      </c>
      <c r="H17" s="12" t="n"/>
      <c r="I17" s="23" t="n"/>
      <c r="J17" s="12" t="n"/>
    </row>
    <row r="18" ht="22" customHeight="1">
      <c r="B18" s="16">
        <f>IF(C18="","CAR-"&amp;TEXT(COUNTA($C$5:C18),"000"))</f>
        <v/>
      </c>
      <c r="C18" s="14" t="n"/>
      <c r="D18" s="14" t="n"/>
      <c r="E18" s="14" t="n"/>
      <c r="F18" s="30" t="n"/>
      <c r="G18" s="14">
        <f>IF(F18="","",F18-TODAY())</f>
        <v/>
      </c>
      <c r="H18" s="14" t="n"/>
      <c r="I18" s="24" t="n"/>
      <c r="J18" s="14" t="n"/>
    </row>
    <row r="19" ht="22" customHeight="1">
      <c r="B19" s="17">
        <f>IF(C19="","CAR-"&amp;TEXT(COUNTA($C$5:C19),"000"))</f>
        <v/>
      </c>
      <c r="C19" s="12" t="n"/>
      <c r="D19" s="12" t="n"/>
      <c r="E19" s="12" t="n"/>
      <c r="F19" s="29" t="n"/>
      <c r="G19" s="12">
        <f>IF(F19="","",F19-TODAY())</f>
        <v/>
      </c>
      <c r="H19" s="12" t="n"/>
      <c r="I19" s="23" t="n"/>
      <c r="J19" s="12" t="n"/>
    </row>
    <row r="20" ht="22" customHeight="1">
      <c r="B20" s="16">
        <f>IF(C20="","CAR-"&amp;TEXT(COUNTA($C$5:C20),"000"))</f>
        <v/>
      </c>
      <c r="C20" s="14" t="n"/>
      <c r="D20" s="14" t="n"/>
      <c r="E20" s="14" t="n"/>
      <c r="F20" s="30" t="n"/>
      <c r="G20" s="14">
        <f>IF(F20="","",F20-TODAY())</f>
        <v/>
      </c>
      <c r="H20" s="14" t="n"/>
      <c r="I20" s="24" t="n"/>
      <c r="J20" s="14" t="n"/>
    </row>
    <row r="21" ht="22" customHeight="1">
      <c r="B21" s="17">
        <f>IF(C21="","CAR-"&amp;TEXT(COUNTA($C$5:C21),"000"))</f>
        <v/>
      </c>
      <c r="C21" s="12" t="n"/>
      <c r="D21" s="12" t="n"/>
      <c r="E21" s="12" t="n"/>
      <c r="F21" s="29" t="n"/>
      <c r="G21" s="12">
        <f>IF(F21="","",F21-TODAY())</f>
        <v/>
      </c>
      <c r="H21" s="12" t="n"/>
      <c r="I21" s="23" t="n"/>
      <c r="J21" s="12" t="n"/>
    </row>
    <row r="22" ht="22" customHeight="1">
      <c r="B22" s="16">
        <f>IF(C22="","CAR-"&amp;TEXT(COUNTA($C$5:C22),"000"))</f>
        <v/>
      </c>
      <c r="C22" s="14" t="n"/>
      <c r="D22" s="14" t="n"/>
      <c r="E22" s="14" t="n"/>
      <c r="F22" s="30" t="n"/>
      <c r="G22" s="14">
        <f>IF(F22="","",F22-TODAY())</f>
        <v/>
      </c>
      <c r="H22" s="14" t="n"/>
      <c r="I22" s="24" t="n"/>
      <c r="J22" s="14" t="n"/>
    </row>
    <row r="23" ht="22" customHeight="1">
      <c r="B23" s="17">
        <f>IF(C23="","CAR-"&amp;TEXT(COUNTA($C$5:C23),"000"))</f>
        <v/>
      </c>
      <c r="C23" s="12" t="n"/>
      <c r="D23" s="12" t="n"/>
      <c r="E23" s="12" t="n"/>
      <c r="F23" s="29" t="n"/>
      <c r="G23" s="12">
        <f>IF(F23="","",F23-TODAY())</f>
        <v/>
      </c>
      <c r="H23" s="12" t="n"/>
      <c r="I23" s="23" t="n"/>
      <c r="J23" s="12" t="n"/>
    </row>
    <row r="24" ht="22" customHeight="1">
      <c r="B24" s="16">
        <f>IF(C24="","CAR-"&amp;TEXT(COUNTA($C$5:C24),"000"))</f>
        <v/>
      </c>
      <c r="C24" s="14" t="n"/>
      <c r="D24" s="14" t="n"/>
      <c r="E24" s="14" t="n"/>
      <c r="F24" s="30" t="n"/>
      <c r="G24" s="14">
        <f>IF(F24="","",F24-TODAY())</f>
        <v/>
      </c>
      <c r="H24" s="14" t="n"/>
      <c r="I24" s="24" t="n"/>
      <c r="J24" s="14" t="n"/>
    </row>
    <row r="25" ht="22" customHeight="1">
      <c r="B25" s="17">
        <f>IF(C25="","CAR-"&amp;TEXT(COUNTA($C$5:C25),"000"))</f>
        <v/>
      </c>
      <c r="C25" s="12" t="n"/>
      <c r="D25" s="12" t="n"/>
      <c r="E25" s="12" t="n"/>
      <c r="F25" s="29" t="n"/>
      <c r="G25" s="12">
        <f>IF(F25="","",F25-TODAY())</f>
        <v/>
      </c>
      <c r="H25" s="12" t="n"/>
      <c r="I25" s="23" t="n"/>
      <c r="J25" s="12" t="n"/>
    </row>
    <row r="26" ht="22" customHeight="1">
      <c r="B26" s="16">
        <f>IF(C26="","CAR-"&amp;TEXT(COUNTA($C$5:C26),"000"))</f>
        <v/>
      </c>
      <c r="C26" s="14" t="n"/>
      <c r="D26" s="14" t="n"/>
      <c r="E26" s="14" t="n"/>
      <c r="F26" s="30" t="n"/>
      <c r="G26" s="14">
        <f>IF(F26="","",F26-TODAY())</f>
        <v/>
      </c>
      <c r="H26" s="14" t="n"/>
      <c r="I26" s="24" t="n"/>
      <c r="J26" s="14" t="n"/>
    </row>
    <row r="27" ht="22" customHeight="1">
      <c r="B27" s="17">
        <f>IF(C27="","CAR-"&amp;TEXT(COUNTA($C$5:C27),"000"))</f>
        <v/>
      </c>
      <c r="C27" s="12" t="n"/>
      <c r="D27" s="12" t="n"/>
      <c r="E27" s="12" t="n"/>
      <c r="F27" s="29" t="n"/>
      <c r="G27" s="12">
        <f>IF(F27="","",F27-TODAY())</f>
        <v/>
      </c>
      <c r="H27" s="12" t="n"/>
      <c r="I27" s="23" t="n"/>
      <c r="J27" s="12" t="n"/>
    </row>
    <row r="28" ht="22" customHeight="1">
      <c r="B28" s="16">
        <f>IF(C28="","CAR-"&amp;TEXT(COUNTA($C$5:C28),"000"))</f>
        <v/>
      </c>
      <c r="C28" s="14" t="n"/>
      <c r="D28" s="14" t="n"/>
      <c r="E28" s="14" t="n"/>
      <c r="F28" s="30" t="n"/>
      <c r="G28" s="14">
        <f>IF(F28="","",F28-TODAY())</f>
        <v/>
      </c>
      <c r="H28" s="14" t="n"/>
      <c r="I28" s="24" t="n"/>
      <c r="J28" s="14" t="n"/>
    </row>
    <row r="29" ht="22" customHeight="1">
      <c r="B29" s="17">
        <f>IF(C29="","CAR-"&amp;TEXT(COUNTA($C$5:C29),"000"))</f>
        <v/>
      </c>
      <c r="C29" s="12" t="n"/>
      <c r="D29" s="12" t="n"/>
      <c r="E29" s="12" t="n"/>
      <c r="F29" s="29" t="n"/>
      <c r="G29" s="12">
        <f>IF(F29="","",F29-TODAY())</f>
        <v/>
      </c>
      <c r="H29" s="12" t="n"/>
      <c r="I29" s="23" t="n"/>
      <c r="J29" s="12" t="n"/>
    </row>
    <row r="30" ht="22" customHeight="1">
      <c r="B30" s="16">
        <f>IF(C30="","CAR-"&amp;TEXT(COUNTA($C$5:C30),"000"))</f>
        <v/>
      </c>
      <c r="C30" s="14" t="n"/>
      <c r="D30" s="14" t="n"/>
      <c r="E30" s="14" t="n"/>
      <c r="F30" s="30" t="n"/>
      <c r="G30" s="14">
        <f>IF(F30="","",F30-TODAY())</f>
        <v/>
      </c>
      <c r="H30" s="14" t="n"/>
      <c r="I30" s="24" t="n"/>
      <c r="J30" s="14" t="n"/>
    </row>
    <row r="31" ht="22" customHeight="1">
      <c r="B31" s="17">
        <f>IF(C31="","CAR-"&amp;TEXT(COUNTA($C$5:C31),"000"))</f>
        <v/>
      </c>
      <c r="C31" s="12" t="n"/>
      <c r="D31" s="12" t="n"/>
      <c r="E31" s="12" t="n"/>
      <c r="F31" s="29" t="n"/>
      <c r="G31" s="12">
        <f>IF(F31="","",F31-TODAY())</f>
        <v/>
      </c>
      <c r="H31" s="12" t="n"/>
      <c r="I31" s="23" t="n"/>
      <c r="J31" s="12" t="n"/>
    </row>
    <row r="32" ht="22" customHeight="1">
      <c r="B32" s="16">
        <f>IF(C32="","CAR-"&amp;TEXT(COUNTA($C$5:C32),"000"))</f>
        <v/>
      </c>
      <c r="C32" s="14" t="n"/>
      <c r="D32" s="14" t="n"/>
      <c r="E32" s="14" t="n"/>
      <c r="F32" s="30" t="n"/>
      <c r="G32" s="14">
        <f>IF(F32="","",F32-TODAY())</f>
        <v/>
      </c>
      <c r="H32" s="14" t="n"/>
      <c r="I32" s="24" t="n"/>
      <c r="J32" s="14" t="n"/>
    </row>
    <row r="33" ht="22" customHeight="1">
      <c r="B33" s="17">
        <f>IF(C33="","CAR-"&amp;TEXT(COUNTA($C$5:C33),"000"))</f>
        <v/>
      </c>
      <c r="C33" s="12" t="n"/>
      <c r="D33" s="12" t="n"/>
      <c r="E33" s="12" t="n"/>
      <c r="F33" s="29" t="n"/>
      <c r="G33" s="12">
        <f>IF(F33="","",F33-TODAY())</f>
        <v/>
      </c>
      <c r="H33" s="12" t="n"/>
      <c r="I33" s="23" t="n"/>
      <c r="J33" s="12" t="n"/>
    </row>
    <row r="34" ht="22" customHeight="1">
      <c r="B34" s="16">
        <f>IF(C34="","CAR-"&amp;TEXT(COUNTA($C$5:C34),"000"))</f>
        <v/>
      </c>
      <c r="C34" s="14" t="n"/>
      <c r="D34" s="14" t="n"/>
      <c r="E34" s="14" t="n"/>
      <c r="F34" s="30" t="n"/>
      <c r="G34" s="14">
        <f>IF(F34="","",F34-TODAY())</f>
        <v/>
      </c>
      <c r="H34" s="14" t="n"/>
      <c r="I34" s="24" t="n"/>
      <c r="J34" s="14" t="n"/>
    </row>
    <row r="35" ht="22" customHeight="1">
      <c r="B35" s="17">
        <f>IF(C35="","CAR-"&amp;TEXT(COUNTA($C$5:C35),"000"))</f>
        <v/>
      </c>
      <c r="C35" s="12" t="n"/>
      <c r="D35" s="12" t="n"/>
      <c r="E35" s="12" t="n"/>
      <c r="F35" s="29" t="n"/>
      <c r="G35" s="12">
        <f>IF(F35="","",F35-TODAY())</f>
        <v/>
      </c>
      <c r="H35" s="12" t="n"/>
      <c r="I35" s="23" t="n"/>
      <c r="J35" s="12" t="n"/>
    </row>
    <row r="36" ht="22" customHeight="1">
      <c r="B36" s="16">
        <f>IF(C36="","CAR-"&amp;TEXT(COUNTA($C$5:C36),"000"))</f>
        <v/>
      </c>
      <c r="C36" s="14" t="n"/>
      <c r="D36" s="14" t="n"/>
      <c r="E36" s="14" t="n"/>
      <c r="F36" s="30" t="n"/>
      <c r="G36" s="14">
        <f>IF(F36="","",F36-TODAY())</f>
        <v/>
      </c>
      <c r="H36" s="14" t="n"/>
      <c r="I36" s="24" t="n"/>
      <c r="J36" s="14" t="n"/>
    </row>
    <row r="37" ht="22" customHeight="1">
      <c r="B37" s="17">
        <f>IF(C37="","CAR-"&amp;TEXT(COUNTA($C$5:C37),"000"))</f>
        <v/>
      </c>
      <c r="C37" s="12" t="n"/>
      <c r="D37" s="12" t="n"/>
      <c r="E37" s="12" t="n"/>
      <c r="F37" s="29" t="n"/>
      <c r="G37" s="12">
        <f>IF(F37="","",F37-TODAY())</f>
        <v/>
      </c>
      <c r="H37" s="12" t="n"/>
      <c r="I37" s="23" t="n"/>
      <c r="J37" s="12" t="n"/>
    </row>
    <row r="38" ht="22" customHeight="1">
      <c r="B38" s="16">
        <f>IF(C38="","CAR-"&amp;TEXT(COUNTA($C$5:C38),"000"))</f>
        <v/>
      </c>
      <c r="C38" s="14" t="n"/>
      <c r="D38" s="14" t="n"/>
      <c r="E38" s="14" t="n"/>
      <c r="F38" s="30" t="n"/>
      <c r="G38" s="14">
        <f>IF(F38="","",F38-TODAY())</f>
        <v/>
      </c>
      <c r="H38" s="14" t="n"/>
      <c r="I38" s="24" t="n"/>
      <c r="J38" s="14" t="n"/>
    </row>
    <row r="39" ht="22" customHeight="1">
      <c r="B39" s="17">
        <f>IF(C39="","CAR-"&amp;TEXT(COUNTA($C$5:C39),"000"))</f>
        <v/>
      </c>
      <c r="C39" s="12" t="n"/>
      <c r="D39" s="12" t="n"/>
      <c r="E39" s="12" t="n"/>
      <c r="F39" s="29" t="n"/>
      <c r="G39" s="12">
        <f>IF(F39="","",F39-TODAY())</f>
        <v/>
      </c>
      <c r="H39" s="12" t="n"/>
      <c r="I39" s="23" t="n"/>
      <c r="J39" s="12" t="n"/>
    </row>
    <row r="40" ht="22" customHeight="1">
      <c r="B40" s="16">
        <f>IF(C40="","CAR-"&amp;TEXT(COUNTA($C$5:C40),"000"))</f>
        <v/>
      </c>
      <c r="C40" s="14" t="n"/>
      <c r="D40" s="14" t="n"/>
      <c r="E40" s="14" t="n"/>
      <c r="F40" s="30" t="n"/>
      <c r="G40" s="14">
        <f>IF(F40="","",F40-TODAY())</f>
        <v/>
      </c>
      <c r="H40" s="14" t="n"/>
      <c r="I40" s="24" t="n"/>
      <c r="J40" s="14" t="n"/>
    </row>
    <row r="41" ht="22" customHeight="1">
      <c r="B41" s="17">
        <f>IF(C41="","CAR-"&amp;TEXT(COUNTA($C$5:C41),"000"))</f>
        <v/>
      </c>
      <c r="C41" s="12" t="n"/>
      <c r="D41" s="12" t="n"/>
      <c r="E41" s="12" t="n"/>
      <c r="F41" s="29" t="n"/>
      <c r="G41" s="12">
        <f>IF(F41="","",F41-TODAY())</f>
        <v/>
      </c>
      <c r="H41" s="12" t="n"/>
      <c r="I41" s="23" t="n"/>
      <c r="J41" s="12" t="n"/>
    </row>
    <row r="42" ht="22" customHeight="1">
      <c r="B42" s="16">
        <f>IF(C42="","CAR-"&amp;TEXT(COUNTA($C$5:C42),"000"))</f>
        <v/>
      </c>
      <c r="C42" s="14" t="n"/>
      <c r="D42" s="14" t="n"/>
      <c r="E42" s="14" t="n"/>
      <c r="F42" s="30" t="n"/>
      <c r="G42" s="14">
        <f>IF(F42="","",F42-TODAY())</f>
        <v/>
      </c>
      <c r="H42" s="14" t="n"/>
      <c r="I42" s="24" t="n"/>
      <c r="J42" s="14" t="n"/>
    </row>
    <row r="43" ht="22" customHeight="1">
      <c r="B43" s="17">
        <f>IF(C43="","CAR-"&amp;TEXT(COUNTA($C$5:C43),"000"))</f>
        <v/>
      </c>
      <c r="C43" s="12" t="n"/>
      <c r="D43" s="12" t="n"/>
      <c r="E43" s="12" t="n"/>
      <c r="F43" s="29" t="n"/>
      <c r="G43" s="12">
        <f>IF(F43="","",F43-TODAY())</f>
        <v/>
      </c>
      <c r="H43" s="12" t="n"/>
      <c r="I43" s="23" t="n"/>
      <c r="J43" s="12" t="n"/>
    </row>
    <row r="44" ht="22" customHeight="1">
      <c r="B44" s="16">
        <f>IF(C44="","CAR-"&amp;TEXT(COUNTA($C$5:C44),"000"))</f>
        <v/>
      </c>
      <c r="C44" s="14" t="n"/>
      <c r="D44" s="14" t="n"/>
      <c r="E44" s="14" t="n"/>
      <c r="F44" s="30" t="n"/>
      <c r="G44" s="14">
        <f>IF(F44="","",F44-TODAY())</f>
        <v/>
      </c>
      <c r="H44" s="14" t="n"/>
      <c r="I44" s="24" t="n"/>
      <c r="J44" s="14" t="n"/>
    </row>
    <row r="45" ht="22" customHeight="1">
      <c r="B45" s="17">
        <f>IF(C45="","CAR-"&amp;TEXT(COUNTA($C$5:C45),"000"))</f>
        <v/>
      </c>
      <c r="C45" s="12" t="n"/>
      <c r="D45" s="12" t="n"/>
      <c r="E45" s="12" t="n"/>
      <c r="F45" s="29" t="n"/>
      <c r="G45" s="12">
        <f>IF(F45="","",F45-TODAY())</f>
        <v/>
      </c>
      <c r="H45" s="12" t="n"/>
      <c r="I45" s="23" t="n"/>
      <c r="J45" s="12" t="n"/>
    </row>
    <row r="46" ht="22" customHeight="1">
      <c r="B46" s="16">
        <f>IF(C46="","CAR-"&amp;TEXT(COUNTA($C$5:C46),"000"))</f>
        <v/>
      </c>
      <c r="C46" s="14" t="n"/>
      <c r="D46" s="14" t="n"/>
      <c r="E46" s="14" t="n"/>
      <c r="F46" s="30" t="n"/>
      <c r="G46" s="14">
        <f>IF(F46="","",F46-TODAY())</f>
        <v/>
      </c>
      <c r="H46" s="14" t="n"/>
      <c r="I46" s="24" t="n"/>
      <c r="J46" s="14" t="n"/>
    </row>
    <row r="47" ht="22" customHeight="1">
      <c r="B47" s="17">
        <f>IF(C47="","CAR-"&amp;TEXT(COUNTA($C$5:C47),"000"))</f>
        <v/>
      </c>
      <c r="C47" s="12" t="n"/>
      <c r="D47" s="12" t="n"/>
      <c r="E47" s="12" t="n"/>
      <c r="F47" s="29" t="n"/>
      <c r="G47" s="12">
        <f>IF(F47="","",F47-TODAY())</f>
        <v/>
      </c>
      <c r="H47" s="12" t="n"/>
      <c r="I47" s="23" t="n"/>
      <c r="J47" s="12" t="n"/>
    </row>
    <row r="48" ht="22" customHeight="1">
      <c r="B48" s="16">
        <f>IF(C48="","CAR-"&amp;TEXT(COUNTA($C$5:C48),"000"))</f>
        <v/>
      </c>
      <c r="C48" s="14" t="n"/>
      <c r="D48" s="14" t="n"/>
      <c r="E48" s="14" t="n"/>
      <c r="F48" s="30" t="n"/>
      <c r="G48" s="14">
        <f>IF(F48="","",F48-TODAY())</f>
        <v/>
      </c>
      <c r="H48" s="14" t="n"/>
      <c r="I48" s="24" t="n"/>
      <c r="J48" s="14" t="n"/>
    </row>
    <row r="49" ht="22" customHeight="1">
      <c r="B49" s="17">
        <f>IF(C49="","CAR-"&amp;TEXT(COUNTA($C$5:C49),"000"))</f>
        <v/>
      </c>
      <c r="C49" s="12" t="n"/>
      <c r="D49" s="12" t="n"/>
      <c r="E49" s="12" t="n"/>
      <c r="F49" s="29" t="n"/>
      <c r="G49" s="12">
        <f>IF(F49="","",F49-TODAY())</f>
        <v/>
      </c>
      <c r="H49" s="12" t="n"/>
      <c r="I49" s="23" t="n"/>
      <c r="J49" s="12" t="n"/>
    </row>
    <row r="50" ht="22" customHeight="1">
      <c r="B50" s="16">
        <f>IF(C50="","CAR-"&amp;TEXT(COUNTA($C$5:C50),"000"))</f>
        <v/>
      </c>
      <c r="C50" s="14" t="n"/>
      <c r="D50" s="14" t="n"/>
      <c r="E50" s="14" t="n"/>
      <c r="F50" s="30" t="n"/>
      <c r="G50" s="14">
        <f>IF(F50="","",F50-TODAY())</f>
        <v/>
      </c>
      <c r="H50" s="14" t="n"/>
      <c r="I50" s="24" t="n"/>
      <c r="J50" s="14" t="n"/>
    </row>
    <row r="51" ht="22" customHeight="1">
      <c r="B51" s="17">
        <f>IF(C51="","CAR-"&amp;TEXT(COUNTA($C$5:C51),"000"))</f>
        <v/>
      </c>
      <c r="C51" s="12" t="n"/>
      <c r="D51" s="12" t="n"/>
      <c r="E51" s="12" t="n"/>
      <c r="F51" s="29" t="n"/>
      <c r="G51" s="12">
        <f>IF(F51="","",F51-TODAY())</f>
        <v/>
      </c>
      <c r="H51" s="12" t="n"/>
      <c r="I51" s="23" t="n"/>
      <c r="J51" s="12" t="n"/>
    </row>
    <row r="52" ht="22" customHeight="1">
      <c r="B52" s="16">
        <f>IF(C52="","CAR-"&amp;TEXT(COUNTA($C$5:C52),"000"))</f>
        <v/>
      </c>
      <c r="C52" s="14" t="n"/>
      <c r="D52" s="14" t="n"/>
      <c r="E52" s="14" t="n"/>
      <c r="F52" s="30" t="n"/>
      <c r="G52" s="14">
        <f>IF(F52="","",F52-TODAY())</f>
        <v/>
      </c>
      <c r="H52" s="14" t="n"/>
      <c r="I52" s="24" t="n"/>
      <c r="J52" s="14" t="n"/>
    </row>
    <row r="53" ht="22" customHeight="1">
      <c r="B53" s="17">
        <f>IF(C53="","CAR-"&amp;TEXT(COUNTA($C$5:C53),"000"))</f>
        <v/>
      </c>
      <c r="C53" s="12" t="n"/>
      <c r="D53" s="12" t="n"/>
      <c r="E53" s="12" t="n"/>
      <c r="F53" s="29" t="n"/>
      <c r="G53" s="12">
        <f>IF(F53="","",F53-TODAY())</f>
        <v/>
      </c>
      <c r="H53" s="12" t="n"/>
      <c r="I53" s="23" t="n"/>
      <c r="J53" s="12" t="n"/>
    </row>
    <row r="54" ht="22" customHeight="1">
      <c r="B54" s="16">
        <f>IF(C54="","CAR-"&amp;TEXT(COUNTA($C$5:C54),"000"))</f>
        <v/>
      </c>
      <c r="C54" s="14" t="n"/>
      <c r="D54" s="14" t="n"/>
      <c r="E54" s="14" t="n"/>
      <c r="F54" s="30" t="n"/>
      <c r="G54" s="14">
        <f>IF(F54="","",F54-TODAY())</f>
        <v/>
      </c>
      <c r="H54" s="14" t="n"/>
      <c r="I54" s="24" t="n"/>
      <c r="J54" s="14" t="n"/>
    </row>
    <row r="55" ht="22" customHeight="1">
      <c r="B55" s="17">
        <f>IF(C55="","CAR-"&amp;TEXT(COUNTA($C$5:C55),"000"))</f>
        <v/>
      </c>
      <c r="C55" s="12" t="n"/>
      <c r="D55" s="12" t="n"/>
      <c r="E55" s="12" t="n"/>
      <c r="F55" s="29" t="n"/>
      <c r="G55" s="12">
        <f>IF(F55="","",F55-TODAY())</f>
        <v/>
      </c>
      <c r="H55" s="12" t="n"/>
      <c r="I55" s="23" t="n"/>
      <c r="J55" s="12" t="n"/>
    </row>
    <row r="56" ht="22" customHeight="1">
      <c r="B56" s="16">
        <f>IF(C56="","CAR-"&amp;TEXT(COUNTA($C$5:C56),"000"))</f>
        <v/>
      </c>
      <c r="C56" s="14" t="n"/>
      <c r="D56" s="14" t="n"/>
      <c r="E56" s="14" t="n"/>
      <c r="F56" s="30" t="n"/>
      <c r="G56" s="14">
        <f>IF(F56="","",F56-TODAY())</f>
        <v/>
      </c>
      <c r="H56" s="14" t="n"/>
      <c r="I56" s="24" t="n"/>
      <c r="J56" s="14" t="n"/>
    </row>
    <row r="57" ht="22" customHeight="1">
      <c r="B57" s="17">
        <f>IF(C57="","CAR-"&amp;TEXT(COUNTA($C$5:C57),"000"))</f>
        <v/>
      </c>
      <c r="C57" s="12" t="n"/>
      <c r="D57" s="12" t="n"/>
      <c r="E57" s="12" t="n"/>
      <c r="F57" s="29" t="n"/>
      <c r="G57" s="12">
        <f>IF(F57="","",F57-TODAY())</f>
        <v/>
      </c>
      <c r="H57" s="12" t="n"/>
      <c r="I57" s="23" t="n"/>
      <c r="J57" s="12" t="n"/>
    </row>
    <row r="58" ht="22" customHeight="1">
      <c r="B58" s="16">
        <f>IF(C58="","CAR-"&amp;TEXT(COUNTA($C$5:C58),"000"))</f>
        <v/>
      </c>
      <c r="C58" s="14" t="n"/>
      <c r="D58" s="14" t="n"/>
      <c r="E58" s="14" t="n"/>
      <c r="F58" s="30" t="n"/>
      <c r="G58" s="14">
        <f>IF(F58="","",F58-TODAY())</f>
        <v/>
      </c>
      <c r="H58" s="14" t="n"/>
      <c r="I58" s="24" t="n"/>
      <c r="J58" s="14" t="n"/>
    </row>
    <row r="59" ht="22" customHeight="1">
      <c r="B59" s="17">
        <f>IF(C59="","CAR-"&amp;TEXT(COUNTA($C$5:C59),"000"))</f>
        <v/>
      </c>
      <c r="C59" s="12" t="n"/>
      <c r="D59" s="12" t="n"/>
      <c r="E59" s="12" t="n"/>
      <c r="F59" s="29" t="n"/>
      <c r="G59" s="12">
        <f>IF(F59="","",F59-TODAY())</f>
        <v/>
      </c>
      <c r="H59" s="12" t="n"/>
      <c r="I59" s="23" t="n"/>
      <c r="J59" s="12" t="n"/>
    </row>
    <row r="60" ht="22" customHeight="1">
      <c r="B60" s="16">
        <f>IF(C60="","CAR-"&amp;TEXT(COUNTA($C$5:C60),"000"))</f>
        <v/>
      </c>
      <c r="C60" s="14" t="n"/>
      <c r="D60" s="14" t="n"/>
      <c r="E60" s="14" t="n"/>
      <c r="F60" s="30" t="n"/>
      <c r="G60" s="14">
        <f>IF(F60="","",F60-TODAY())</f>
        <v/>
      </c>
      <c r="H60" s="14" t="n"/>
      <c r="I60" s="24" t="n"/>
      <c r="J60" s="14" t="n"/>
    </row>
    <row r="61" ht="22" customHeight="1">
      <c r="B61" s="17">
        <f>IF(C61="","CAR-"&amp;TEXT(COUNTA($C$5:C61),"000"))</f>
        <v/>
      </c>
      <c r="C61" s="12" t="n"/>
      <c r="D61" s="12" t="n"/>
      <c r="E61" s="12" t="n"/>
      <c r="F61" s="29" t="n"/>
      <c r="G61" s="12">
        <f>IF(F61="","",F61-TODAY())</f>
        <v/>
      </c>
      <c r="H61" s="12" t="n"/>
      <c r="I61" s="23" t="n"/>
      <c r="J61" s="12" t="n"/>
    </row>
    <row r="62" ht="22" customHeight="1">
      <c r="B62" s="16">
        <f>IF(C62="","CAR-"&amp;TEXT(COUNTA($C$5:C62),"000"))</f>
        <v/>
      </c>
      <c r="C62" s="14" t="n"/>
      <c r="D62" s="14" t="n"/>
      <c r="E62" s="14" t="n"/>
      <c r="F62" s="30" t="n"/>
      <c r="G62" s="14">
        <f>IF(F62="","",F62-TODAY())</f>
        <v/>
      </c>
      <c r="H62" s="14" t="n"/>
      <c r="I62" s="24" t="n"/>
      <c r="J62" s="14" t="n"/>
    </row>
    <row r="63" ht="22" customHeight="1">
      <c r="B63" s="17">
        <f>IF(C63="","CAR-"&amp;TEXT(COUNTA($C$5:C63),"000"))</f>
        <v/>
      </c>
      <c r="C63" s="12" t="n"/>
      <c r="D63" s="12" t="n"/>
      <c r="E63" s="12" t="n"/>
      <c r="F63" s="29" t="n"/>
      <c r="G63" s="12">
        <f>IF(F63="","",F63-TODAY())</f>
        <v/>
      </c>
      <c r="H63" s="12" t="n"/>
      <c r="I63" s="23" t="n"/>
      <c r="J63" s="12" t="n"/>
    </row>
    <row r="64" ht="22" customHeight="1">
      <c r="B64" s="16">
        <f>IF(C64="","CAR-"&amp;TEXT(COUNTA($C$5:C64),"000"))</f>
        <v/>
      </c>
      <c r="C64" s="14" t="n"/>
      <c r="D64" s="14" t="n"/>
      <c r="E64" s="14" t="n"/>
      <c r="F64" s="30" t="n"/>
      <c r="G64" s="14">
        <f>IF(F64="","",F64-TODAY())</f>
        <v/>
      </c>
      <c r="H64" s="14" t="n"/>
      <c r="I64" s="24" t="n"/>
      <c r="J64" s="14" t="n"/>
    </row>
    <row r="65" ht="22" customHeight="1">
      <c r="B65" s="17">
        <f>IF(C65="","CAR-"&amp;TEXT(COUNTA($C$5:C65),"000"))</f>
        <v/>
      </c>
      <c r="C65" s="12" t="n"/>
      <c r="D65" s="12" t="n"/>
      <c r="E65" s="12" t="n"/>
      <c r="F65" s="29" t="n"/>
      <c r="G65" s="12">
        <f>IF(F65="","",F65-TODAY())</f>
        <v/>
      </c>
      <c r="H65" s="12" t="n"/>
      <c r="I65" s="23" t="n"/>
      <c r="J65" s="12" t="n"/>
    </row>
    <row r="66" ht="22" customHeight="1">
      <c r="B66" s="16">
        <f>IF(C66="","CAR-"&amp;TEXT(COUNTA($C$5:C66),"000"))</f>
        <v/>
      </c>
      <c r="C66" s="14" t="n"/>
      <c r="D66" s="14" t="n"/>
      <c r="E66" s="14" t="n"/>
      <c r="F66" s="30" t="n"/>
      <c r="G66" s="14">
        <f>IF(F66="","",F66-TODAY())</f>
        <v/>
      </c>
      <c r="H66" s="14" t="n"/>
      <c r="I66" s="24" t="n"/>
      <c r="J66" s="14" t="n"/>
    </row>
    <row r="67" ht="22" customHeight="1">
      <c r="B67" s="17">
        <f>IF(C67="","CAR-"&amp;TEXT(COUNTA($C$5:C67),"000"))</f>
        <v/>
      </c>
      <c r="C67" s="12" t="n"/>
      <c r="D67" s="12" t="n"/>
      <c r="E67" s="12" t="n"/>
      <c r="F67" s="29" t="n"/>
      <c r="G67" s="12">
        <f>IF(F67="","",F67-TODAY())</f>
        <v/>
      </c>
      <c r="H67" s="12" t="n"/>
      <c r="I67" s="23" t="n"/>
      <c r="J67" s="12" t="n"/>
    </row>
    <row r="68" ht="22" customHeight="1">
      <c r="B68" s="16">
        <f>IF(C68="","CAR-"&amp;TEXT(COUNTA($C$5:C68),"000"))</f>
        <v/>
      </c>
      <c r="C68" s="14" t="n"/>
      <c r="D68" s="14" t="n"/>
      <c r="E68" s="14" t="n"/>
      <c r="F68" s="30" t="n"/>
      <c r="G68" s="14">
        <f>IF(F68="","",F68-TODAY())</f>
        <v/>
      </c>
      <c r="H68" s="14" t="n"/>
      <c r="I68" s="24" t="n"/>
      <c r="J68" s="14" t="n"/>
    </row>
    <row r="69" ht="22" customHeight="1">
      <c r="B69" s="17">
        <f>IF(C69="","CAR-"&amp;TEXT(COUNTA($C$5:C69),"000"))</f>
        <v/>
      </c>
      <c r="C69" s="12" t="n"/>
      <c r="D69" s="12" t="n"/>
      <c r="E69" s="12" t="n"/>
      <c r="F69" s="29" t="n"/>
      <c r="G69" s="12">
        <f>IF(F69="","",F69-TODAY())</f>
        <v/>
      </c>
      <c r="H69" s="12" t="n"/>
      <c r="I69" s="23" t="n"/>
      <c r="J69" s="12" t="n"/>
    </row>
    <row r="70" ht="22" customHeight="1">
      <c r="B70" s="16">
        <f>IF(C70="","CAR-"&amp;TEXT(COUNTA($C$5:C70),"000"))</f>
        <v/>
      </c>
      <c r="C70" s="14" t="n"/>
      <c r="D70" s="14" t="n"/>
      <c r="E70" s="14" t="n"/>
      <c r="F70" s="30" t="n"/>
      <c r="G70" s="14">
        <f>IF(F70="","",F70-TODAY())</f>
        <v/>
      </c>
      <c r="H70" s="14" t="n"/>
      <c r="I70" s="24" t="n"/>
      <c r="J70" s="14" t="n"/>
    </row>
    <row r="71" ht="22" customHeight="1">
      <c r="B71" s="17">
        <f>IF(C71="","CAR-"&amp;TEXT(COUNTA($C$5:C71),"000"))</f>
        <v/>
      </c>
      <c r="C71" s="12" t="n"/>
      <c r="D71" s="12" t="n"/>
      <c r="E71" s="12" t="n"/>
      <c r="F71" s="29" t="n"/>
      <c r="G71" s="12">
        <f>IF(F71="","",F71-TODAY())</f>
        <v/>
      </c>
      <c r="H71" s="12" t="n"/>
      <c r="I71" s="23" t="n"/>
      <c r="J71" s="12" t="n"/>
    </row>
    <row r="72" ht="22" customHeight="1">
      <c r="B72" s="16">
        <f>IF(C72="","CAR-"&amp;TEXT(COUNTA($C$5:C72),"000"))</f>
        <v/>
      </c>
      <c r="C72" s="14" t="n"/>
      <c r="D72" s="14" t="n"/>
      <c r="E72" s="14" t="n"/>
      <c r="F72" s="30" t="n"/>
      <c r="G72" s="14">
        <f>IF(F72="","",F72-TODAY())</f>
        <v/>
      </c>
      <c r="H72" s="14" t="n"/>
      <c r="I72" s="24" t="n"/>
      <c r="J72" s="14" t="n"/>
    </row>
    <row r="73" ht="22" customHeight="1">
      <c r="B73" s="17">
        <f>IF(C73="","CAR-"&amp;TEXT(COUNTA($C$5:C73),"000"))</f>
        <v/>
      </c>
      <c r="C73" s="12" t="n"/>
      <c r="D73" s="12" t="n"/>
      <c r="E73" s="12" t="n"/>
      <c r="F73" s="29" t="n"/>
      <c r="G73" s="12">
        <f>IF(F73="","",F73-TODAY())</f>
        <v/>
      </c>
      <c r="H73" s="12" t="n"/>
      <c r="I73" s="23" t="n"/>
      <c r="J73" s="12" t="n"/>
    </row>
    <row r="74" ht="22" customHeight="1">
      <c r="B74" s="16">
        <f>IF(C74="","CAR-"&amp;TEXT(COUNTA($C$5:C74),"000"))</f>
        <v/>
      </c>
      <c r="C74" s="14" t="n"/>
      <c r="D74" s="14" t="n"/>
      <c r="E74" s="14" t="n"/>
      <c r="F74" s="30" t="n"/>
      <c r="G74" s="14">
        <f>IF(F74="","",F74-TODAY())</f>
        <v/>
      </c>
      <c r="H74" s="14" t="n"/>
      <c r="I74" s="24" t="n"/>
      <c r="J74" s="14" t="n"/>
    </row>
    <row r="75" ht="22" customHeight="1">
      <c r="B75" s="17">
        <f>IF(C75="","CAR-"&amp;TEXT(COUNTA($C$5:C75),"000"))</f>
        <v/>
      </c>
      <c r="C75" s="12" t="n"/>
      <c r="D75" s="12" t="n"/>
      <c r="E75" s="12" t="n"/>
      <c r="F75" s="29" t="n"/>
      <c r="G75" s="12">
        <f>IF(F75="","",F75-TODAY())</f>
        <v/>
      </c>
      <c r="H75" s="12" t="n"/>
      <c r="I75" s="23" t="n"/>
      <c r="J75" s="12" t="n"/>
    </row>
    <row r="76" ht="22" customHeight="1">
      <c r="B76" s="16">
        <f>IF(C76="","CAR-"&amp;TEXT(COUNTA($C$5:C76),"000"))</f>
        <v/>
      </c>
      <c r="C76" s="14" t="n"/>
      <c r="D76" s="14" t="n"/>
      <c r="E76" s="14" t="n"/>
      <c r="F76" s="30" t="n"/>
      <c r="G76" s="14">
        <f>IF(F76="","",F76-TODAY())</f>
        <v/>
      </c>
      <c r="H76" s="14" t="n"/>
      <c r="I76" s="24" t="n"/>
      <c r="J76" s="14" t="n"/>
    </row>
    <row r="77" ht="22" customHeight="1">
      <c r="B77" s="17">
        <f>IF(C77="","CAR-"&amp;TEXT(COUNTA($C$5:C77),"000"))</f>
        <v/>
      </c>
      <c r="C77" s="12" t="n"/>
      <c r="D77" s="12" t="n"/>
      <c r="E77" s="12" t="n"/>
      <c r="F77" s="29" t="n"/>
      <c r="G77" s="12">
        <f>IF(F77="","",F77-TODAY())</f>
        <v/>
      </c>
      <c r="H77" s="12" t="n"/>
      <c r="I77" s="23" t="n"/>
      <c r="J77" s="12" t="n"/>
    </row>
    <row r="78" ht="22" customHeight="1">
      <c r="B78" s="16">
        <f>IF(C78="","CAR-"&amp;TEXT(COUNTA($C$5:C78),"000"))</f>
        <v/>
      </c>
      <c r="C78" s="14" t="n"/>
      <c r="D78" s="14" t="n"/>
      <c r="E78" s="14" t="n"/>
      <c r="F78" s="30" t="n"/>
      <c r="G78" s="14">
        <f>IF(F78="","",F78-TODAY())</f>
        <v/>
      </c>
      <c r="H78" s="14" t="n"/>
      <c r="I78" s="24" t="n"/>
      <c r="J78" s="14" t="n"/>
    </row>
    <row r="79" ht="22" customHeight="1">
      <c r="B79" s="17">
        <f>IF(C79="","CAR-"&amp;TEXT(COUNTA($C$5:C79),"000"))</f>
        <v/>
      </c>
      <c r="C79" s="12" t="n"/>
      <c r="D79" s="12" t="n"/>
      <c r="E79" s="12" t="n"/>
      <c r="F79" s="29" t="n"/>
      <c r="G79" s="12">
        <f>IF(F79="","",F79-TODAY())</f>
        <v/>
      </c>
      <c r="H79" s="12" t="n"/>
      <c r="I79" s="23" t="n"/>
      <c r="J79" s="12" t="n"/>
    </row>
    <row r="80" ht="22" customHeight="1">
      <c r="B80" s="16">
        <f>IF(C80="","CAR-"&amp;TEXT(COUNTA($C$5:C80),"000"))</f>
        <v/>
      </c>
      <c r="C80" s="14" t="n"/>
      <c r="D80" s="14" t="n"/>
      <c r="E80" s="14" t="n"/>
      <c r="F80" s="30" t="n"/>
      <c r="G80" s="14">
        <f>IF(F80="","",F80-TODAY())</f>
        <v/>
      </c>
      <c r="H80" s="14" t="n"/>
      <c r="I80" s="24" t="n"/>
      <c r="J80" s="14" t="n"/>
    </row>
    <row r="81" ht="22" customHeight="1">
      <c r="B81" s="17">
        <f>IF(C81="","CAR-"&amp;TEXT(COUNTA($C$5:C81),"000"))</f>
        <v/>
      </c>
      <c r="C81" s="12" t="n"/>
      <c r="D81" s="12" t="n"/>
      <c r="E81" s="12" t="n"/>
      <c r="F81" s="29" t="n"/>
      <c r="G81" s="12">
        <f>IF(F81="","",F81-TODAY())</f>
        <v/>
      </c>
      <c r="H81" s="12" t="n"/>
      <c r="I81" s="23" t="n"/>
      <c r="J81" s="12" t="n"/>
    </row>
    <row r="82" ht="22" customHeight="1">
      <c r="B82" s="16">
        <f>IF(C82="","CAR-"&amp;TEXT(COUNTA($C$5:C82),"000"))</f>
        <v/>
      </c>
      <c r="C82" s="14" t="n"/>
      <c r="D82" s="14" t="n"/>
      <c r="E82" s="14" t="n"/>
      <c r="F82" s="30" t="n"/>
      <c r="G82" s="14">
        <f>IF(F82="","",F82-TODAY())</f>
        <v/>
      </c>
      <c r="H82" s="14" t="n"/>
      <c r="I82" s="24" t="n"/>
      <c r="J82" s="14" t="n"/>
    </row>
    <row r="83" ht="22" customHeight="1">
      <c r="B83" s="17">
        <f>IF(C83="","CAR-"&amp;TEXT(COUNTA($C$5:C83),"000"))</f>
        <v/>
      </c>
      <c r="C83" s="12" t="n"/>
      <c r="D83" s="12" t="n"/>
      <c r="E83" s="12" t="n"/>
      <c r="F83" s="29" t="n"/>
      <c r="G83" s="12">
        <f>IF(F83="","",F83-TODAY())</f>
        <v/>
      </c>
      <c r="H83" s="12" t="n"/>
      <c r="I83" s="23" t="n"/>
      <c r="J83" s="12" t="n"/>
    </row>
    <row r="84" ht="22" customHeight="1">
      <c r="B84" s="16">
        <f>IF(C84="","CAR-"&amp;TEXT(COUNTA($C$5:C84),"000"))</f>
        <v/>
      </c>
      <c r="C84" s="14" t="n"/>
      <c r="D84" s="14" t="n"/>
      <c r="E84" s="14" t="n"/>
      <c r="F84" s="30" t="n"/>
      <c r="G84" s="14">
        <f>IF(F84="","",F84-TODAY())</f>
        <v/>
      </c>
      <c r="H84" s="14" t="n"/>
      <c r="I84" s="24" t="n"/>
      <c r="J84" s="14" t="n"/>
    </row>
    <row r="85" ht="22" customHeight="1">
      <c r="B85" s="17">
        <f>IF(C85="","CAR-"&amp;TEXT(COUNTA($C$5:C85),"000"))</f>
        <v/>
      </c>
      <c r="C85" s="12" t="n"/>
      <c r="D85" s="12" t="n"/>
      <c r="E85" s="12" t="n"/>
      <c r="F85" s="29" t="n"/>
      <c r="G85" s="12">
        <f>IF(F85="","",F85-TODAY())</f>
        <v/>
      </c>
      <c r="H85" s="12" t="n"/>
      <c r="I85" s="23" t="n"/>
      <c r="J85" s="12" t="n"/>
    </row>
    <row r="86" ht="22" customHeight="1">
      <c r="B86" s="16">
        <f>IF(C86="","CAR-"&amp;TEXT(COUNTA($C$5:C86),"000"))</f>
        <v/>
      </c>
      <c r="C86" s="14" t="n"/>
      <c r="D86" s="14" t="n"/>
      <c r="E86" s="14" t="n"/>
      <c r="F86" s="30" t="n"/>
      <c r="G86" s="14">
        <f>IF(F86="","",F86-TODAY())</f>
        <v/>
      </c>
      <c r="H86" s="14" t="n"/>
      <c r="I86" s="24" t="n"/>
      <c r="J86" s="14" t="n"/>
    </row>
    <row r="87" ht="22" customHeight="1">
      <c r="B87" s="17">
        <f>IF(C87="","CAR-"&amp;TEXT(COUNTA($C$5:C87),"000"))</f>
        <v/>
      </c>
      <c r="C87" s="12" t="n"/>
      <c r="D87" s="12" t="n"/>
      <c r="E87" s="12" t="n"/>
      <c r="F87" s="29" t="n"/>
      <c r="G87" s="12">
        <f>IF(F87="","",F87-TODAY())</f>
        <v/>
      </c>
      <c r="H87" s="12" t="n"/>
      <c r="I87" s="23" t="n"/>
      <c r="J87" s="12" t="n"/>
    </row>
    <row r="88" ht="22" customHeight="1">
      <c r="B88" s="16">
        <f>IF(C88="","CAR-"&amp;TEXT(COUNTA($C$5:C88),"000"))</f>
        <v/>
      </c>
      <c r="C88" s="14" t="n"/>
      <c r="D88" s="14" t="n"/>
      <c r="E88" s="14" t="n"/>
      <c r="F88" s="30" t="n"/>
      <c r="G88" s="14">
        <f>IF(F88="","",F88-TODAY())</f>
        <v/>
      </c>
      <c r="H88" s="14" t="n"/>
      <c r="I88" s="24" t="n"/>
      <c r="J88" s="14" t="n"/>
    </row>
    <row r="89" ht="22" customHeight="1">
      <c r="B89" s="17">
        <f>IF(C89="","CAR-"&amp;TEXT(COUNTA($C$5:C89),"000"))</f>
        <v/>
      </c>
      <c r="C89" s="12" t="n"/>
      <c r="D89" s="12" t="n"/>
      <c r="E89" s="12" t="n"/>
      <c r="F89" s="29" t="n"/>
      <c r="G89" s="12">
        <f>IF(F89="","",F89-TODAY())</f>
        <v/>
      </c>
      <c r="H89" s="12" t="n"/>
      <c r="I89" s="23" t="n"/>
      <c r="J89" s="12" t="n"/>
    </row>
    <row r="90" ht="22" customHeight="1">
      <c r="B90" s="16">
        <f>IF(C90="","CAR-"&amp;TEXT(COUNTA($C$5:C90),"000"))</f>
        <v/>
      </c>
      <c r="C90" s="14" t="n"/>
      <c r="D90" s="14" t="n"/>
      <c r="E90" s="14" t="n"/>
      <c r="F90" s="30" t="n"/>
      <c r="G90" s="14">
        <f>IF(F90="","",F90-TODAY())</f>
        <v/>
      </c>
      <c r="H90" s="14" t="n"/>
      <c r="I90" s="24" t="n"/>
      <c r="J90" s="14" t="n"/>
    </row>
    <row r="91" ht="22" customHeight="1">
      <c r="B91" s="17">
        <f>IF(C91="","CAR-"&amp;TEXT(COUNTA($C$5:C91),"000"))</f>
        <v/>
      </c>
      <c r="C91" s="12" t="n"/>
      <c r="D91" s="12" t="n"/>
      <c r="E91" s="12" t="n"/>
      <c r="F91" s="29" t="n"/>
      <c r="G91" s="12">
        <f>IF(F91="","",F91-TODAY())</f>
        <v/>
      </c>
      <c r="H91" s="12" t="n"/>
      <c r="I91" s="23" t="n"/>
      <c r="J91" s="12" t="n"/>
    </row>
    <row r="92" ht="22" customHeight="1">
      <c r="B92" s="16">
        <f>IF(C92="","CAR-"&amp;TEXT(COUNTA($C$5:C92),"000"))</f>
        <v/>
      </c>
      <c r="C92" s="14" t="n"/>
      <c r="D92" s="14" t="n"/>
      <c r="E92" s="14" t="n"/>
      <c r="F92" s="30" t="n"/>
      <c r="G92" s="14">
        <f>IF(F92="","",F92-TODAY())</f>
        <v/>
      </c>
      <c r="H92" s="14" t="n"/>
      <c r="I92" s="24" t="n"/>
      <c r="J92" s="14" t="n"/>
    </row>
    <row r="93" ht="22" customHeight="1">
      <c r="B93" s="17">
        <f>IF(C93="","CAR-"&amp;TEXT(COUNTA($C$5:C93),"000"))</f>
        <v/>
      </c>
      <c r="C93" s="12" t="n"/>
      <c r="D93" s="12" t="n"/>
      <c r="E93" s="12" t="n"/>
      <c r="F93" s="29" t="n"/>
      <c r="G93" s="12">
        <f>IF(F93="","",F93-TODAY())</f>
        <v/>
      </c>
      <c r="H93" s="12" t="n"/>
      <c r="I93" s="23" t="n"/>
      <c r="J93" s="12" t="n"/>
    </row>
    <row r="94" ht="22" customHeight="1">
      <c r="B94" s="16">
        <f>IF(C94="","CAR-"&amp;TEXT(COUNTA($C$5:C94),"000"))</f>
        <v/>
      </c>
      <c r="C94" s="14" t="n"/>
      <c r="D94" s="14" t="n"/>
      <c r="E94" s="14" t="n"/>
      <c r="F94" s="30" t="n"/>
      <c r="G94" s="14">
        <f>IF(F94="","",F94-TODAY())</f>
        <v/>
      </c>
      <c r="H94" s="14" t="n"/>
      <c r="I94" s="24" t="n"/>
      <c r="J94" s="14" t="n"/>
    </row>
    <row r="95" ht="22" customHeight="1">
      <c r="B95" s="17">
        <f>IF(C95="","CAR-"&amp;TEXT(COUNTA($C$5:C95),"000"))</f>
        <v/>
      </c>
      <c r="C95" s="12" t="n"/>
      <c r="D95" s="12" t="n"/>
      <c r="E95" s="12" t="n"/>
      <c r="F95" s="29" t="n"/>
      <c r="G95" s="12">
        <f>IF(F95="","",F95-TODAY())</f>
        <v/>
      </c>
      <c r="H95" s="12" t="n"/>
      <c r="I95" s="23" t="n"/>
      <c r="J95" s="12" t="n"/>
    </row>
    <row r="96" ht="22" customHeight="1">
      <c r="B96" s="16">
        <f>IF(C96="","CAR-"&amp;TEXT(COUNTA($C$5:C96),"000"))</f>
        <v/>
      </c>
      <c r="C96" s="14" t="n"/>
      <c r="D96" s="14" t="n"/>
      <c r="E96" s="14" t="n"/>
      <c r="F96" s="30" t="n"/>
      <c r="G96" s="14">
        <f>IF(F96="","",F96-TODAY())</f>
        <v/>
      </c>
      <c r="H96" s="14" t="n"/>
      <c r="I96" s="24" t="n"/>
      <c r="J96" s="14" t="n"/>
    </row>
    <row r="97" ht="22" customHeight="1">
      <c r="B97" s="17">
        <f>IF(C97="","CAR-"&amp;TEXT(COUNTA($C$5:C97),"000"))</f>
        <v/>
      </c>
      <c r="C97" s="12" t="n"/>
      <c r="D97" s="12" t="n"/>
      <c r="E97" s="12" t="n"/>
      <c r="F97" s="29" t="n"/>
      <c r="G97" s="12">
        <f>IF(F97="","",F97-TODAY())</f>
        <v/>
      </c>
      <c r="H97" s="12" t="n"/>
      <c r="I97" s="23" t="n"/>
      <c r="J97" s="12" t="n"/>
    </row>
    <row r="98" ht="22" customHeight="1">
      <c r="B98" s="16">
        <f>IF(C98="","CAR-"&amp;TEXT(COUNTA($C$5:C98),"000"))</f>
        <v/>
      </c>
      <c r="C98" s="14" t="n"/>
      <c r="D98" s="14" t="n"/>
      <c r="E98" s="14" t="n"/>
      <c r="F98" s="30" t="n"/>
      <c r="G98" s="14">
        <f>IF(F98="","",F98-TODAY())</f>
        <v/>
      </c>
      <c r="H98" s="14" t="n"/>
      <c r="I98" s="24" t="n"/>
      <c r="J98" s="14" t="n"/>
    </row>
    <row r="99" ht="22" customHeight="1">
      <c r="B99" s="17">
        <f>IF(C99="","CAR-"&amp;TEXT(COUNTA($C$5:C99),"000"))</f>
        <v/>
      </c>
      <c r="C99" s="12" t="n"/>
      <c r="D99" s="12" t="n"/>
      <c r="E99" s="12" t="n"/>
      <c r="F99" s="29" t="n"/>
      <c r="G99" s="12">
        <f>IF(F99="","",F99-TODAY())</f>
        <v/>
      </c>
      <c r="H99" s="12" t="n"/>
      <c r="I99" s="23" t="n"/>
      <c r="J99" s="12" t="n"/>
    </row>
    <row r="100" ht="22" customHeight="1">
      <c r="B100" s="16">
        <f>IF(C100="","CAR-"&amp;TEXT(COUNTA($C$5:C100),"000"))</f>
        <v/>
      </c>
      <c r="C100" s="14" t="n"/>
      <c r="D100" s="14" t="n"/>
      <c r="E100" s="14" t="n"/>
      <c r="F100" s="30" t="n"/>
      <c r="G100" s="14">
        <f>IF(F100="","",F100-TODAY())</f>
        <v/>
      </c>
      <c r="H100" s="14" t="n"/>
      <c r="I100" s="24" t="n"/>
      <c r="J100" s="14" t="n"/>
    </row>
    <row r="101" ht="22" customHeight="1">
      <c r="B101" s="17">
        <f>IF(C101="","CAR-"&amp;TEXT(COUNTA($C$5:C101),"000"))</f>
        <v/>
      </c>
      <c r="C101" s="12" t="n"/>
      <c r="D101" s="12" t="n"/>
      <c r="E101" s="12" t="n"/>
      <c r="F101" s="29" t="n"/>
      <c r="G101" s="12">
        <f>IF(F101="","",F101-TODAY())</f>
        <v/>
      </c>
      <c r="H101" s="12" t="n"/>
      <c r="I101" s="23" t="n"/>
      <c r="J101" s="12" t="n"/>
    </row>
    <row r="102" ht="22" customHeight="1">
      <c r="B102" s="16">
        <f>IF(C102="","CAR-"&amp;TEXT(COUNTA($C$5:C102),"000"))</f>
        <v/>
      </c>
      <c r="C102" s="14" t="n"/>
      <c r="D102" s="14" t="n"/>
      <c r="E102" s="14" t="n"/>
      <c r="F102" s="30" t="n"/>
      <c r="G102" s="14">
        <f>IF(F102="","",F102-TODAY())</f>
        <v/>
      </c>
      <c r="H102" s="14" t="n"/>
      <c r="I102" s="24" t="n"/>
      <c r="J102" s="14" t="n"/>
    </row>
    <row r="103" ht="22" customHeight="1">
      <c r="B103" s="17">
        <f>IF(C103="","CAR-"&amp;TEXT(COUNTA($C$5:C103),"000"))</f>
        <v/>
      </c>
      <c r="C103" s="12" t="n"/>
      <c r="D103" s="12" t="n"/>
      <c r="E103" s="12" t="n"/>
      <c r="F103" s="29" t="n"/>
      <c r="G103" s="12">
        <f>IF(F103="","",F103-TODAY())</f>
        <v/>
      </c>
      <c r="H103" s="12" t="n"/>
      <c r="I103" s="23" t="n"/>
      <c r="J103" s="12" t="n"/>
    </row>
    <row r="104" ht="22" customHeight="1">
      <c r="B104" s="16">
        <f>IF(C104="","CAR-"&amp;TEXT(COUNTA($C$5:C104),"000"))</f>
        <v/>
      </c>
      <c r="C104" s="14" t="n"/>
      <c r="D104" s="14" t="n"/>
      <c r="E104" s="14" t="n"/>
      <c r="F104" s="30" t="n"/>
      <c r="G104" s="14">
        <f>IF(F104="","",F104-TODAY())</f>
        <v/>
      </c>
      <c r="H104" s="14" t="n"/>
      <c r="I104" s="24" t="n"/>
      <c r="J104" s="14" t="n"/>
    </row>
    <row r="105" ht="22" customHeight="1">
      <c r="B105" s="17">
        <f>IF(C105="","CAR-"&amp;TEXT(COUNTA($C$5:C105),"000"))</f>
        <v/>
      </c>
      <c r="C105" s="12" t="n"/>
      <c r="D105" s="12" t="n"/>
      <c r="E105" s="12" t="n"/>
      <c r="F105" s="29" t="n"/>
      <c r="G105" s="12">
        <f>IF(F105="","",F105-TODAY())</f>
        <v/>
      </c>
      <c r="H105" s="12" t="n"/>
      <c r="I105" s="23" t="n"/>
      <c r="J105" s="12" t="n"/>
    </row>
    <row r="106" ht="22" customHeight="1">
      <c r="B106" s="16">
        <f>IF(C106="","CAR-"&amp;TEXT(COUNTA($C$5:C106),"000"))</f>
        <v/>
      </c>
      <c r="C106" s="14" t="n"/>
      <c r="D106" s="14" t="n"/>
      <c r="E106" s="14" t="n"/>
      <c r="F106" s="30" t="n"/>
      <c r="G106" s="14">
        <f>IF(F106="","",F106-TODAY())</f>
        <v/>
      </c>
      <c r="H106" s="14" t="n"/>
      <c r="I106" s="24" t="n"/>
      <c r="J106" s="14" t="n"/>
    </row>
    <row r="107" ht="22" customHeight="1">
      <c r="B107" s="17">
        <f>IF(C107="","CAR-"&amp;TEXT(COUNTA($C$5:C107),"000"))</f>
        <v/>
      </c>
      <c r="C107" s="12" t="n"/>
      <c r="D107" s="12" t="n"/>
      <c r="E107" s="12" t="n"/>
      <c r="F107" s="29" t="n"/>
      <c r="G107" s="12">
        <f>IF(F107="","",F107-TODAY())</f>
        <v/>
      </c>
      <c r="H107" s="12" t="n"/>
      <c r="I107" s="23" t="n"/>
      <c r="J107" s="12" t="n"/>
    </row>
    <row r="108" ht="22" customHeight="1">
      <c r="B108" s="16">
        <f>IF(C108="","CAR-"&amp;TEXT(COUNTA($C$5:C108),"000"))</f>
        <v/>
      </c>
      <c r="C108" s="14" t="n"/>
      <c r="D108" s="14" t="n"/>
      <c r="E108" s="14" t="n"/>
      <c r="F108" s="30" t="n"/>
      <c r="G108" s="14">
        <f>IF(F108="","",F108-TODAY())</f>
        <v/>
      </c>
      <c r="H108" s="14" t="n"/>
      <c r="I108" s="24" t="n"/>
      <c r="J108" s="14" t="n"/>
    </row>
    <row r="109" ht="22" customHeight="1">
      <c r="B109" s="17">
        <f>IF(C109="","CAR-"&amp;TEXT(COUNTA($C$5:C109),"000"))</f>
        <v/>
      </c>
      <c r="C109" s="12" t="n"/>
      <c r="D109" s="12" t="n"/>
      <c r="E109" s="12" t="n"/>
      <c r="F109" s="29" t="n"/>
      <c r="G109" s="12">
        <f>IF(F109="","",F109-TODAY())</f>
        <v/>
      </c>
      <c r="H109" s="12" t="n"/>
      <c r="I109" s="23" t="n"/>
      <c r="J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Actions planifiees</t>
        </is>
      </c>
      <c r="D112" s="3" t="inlineStr">
        <is>
          <t>En cours</t>
        </is>
      </c>
      <c r="F112" s="3" t="inlineStr">
        <is>
          <t>A echeance &lt; 30j</t>
        </is>
      </c>
    </row>
    <row r="113">
      <c r="B113" s="4">
        <f>COUNTIF(B5:B104,"&lt;&gt;")</f>
        <v/>
      </c>
      <c r="D113" s="4">
        <f>COUNTIF(J5:J104,"En cours")</f>
        <v/>
      </c>
      <c r="F113" s="4">
        <f>COUNTIF(G5:G104,"&lt;"&amp;30)-COUNTIF(G5:G104,"&lt;"&amp;0)</f>
        <v/>
      </c>
    </row>
  </sheetData>
  <mergeCells count="3">
    <mergeCell ref="B3:J3"/>
    <mergeCell ref="B2:J2"/>
    <mergeCell ref="B111:J111"/>
  </mergeCells>
  <conditionalFormatting sqref="J5:J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1">
      <formula>"En attente"</formula>
    </cfRule>
    <cfRule type="cellIs" priority="77" operator="equal" dxfId="1">
      <formula>"A renouveler"</formula>
    </cfRule>
    <cfRule type="cellIs" priority="78" operator="equal" dxfId="1">
      <formula>"En cours"</formula>
    </cfRule>
    <cfRule type="cellIs" priority="79" operator="equal" dxfId="1">
      <formula>"En traitement"</formula>
    </cfRule>
    <cfRule type="cellIs" priority="80" operator="equal" dxfId="1">
      <formula>"En retard"</formula>
    </cfRule>
    <cfRule type="cellIs" priority="81" operator="equal" dxfId="1">
      <formula>"Suspendu"</formula>
    </cfRule>
    <cfRule type="cellIs" priority="82" operator="equal" dxfId="1">
      <formula>"Planifie"</formula>
    </cfRule>
    <cfRule type="cellIs" priority="83" operator="equal" dxfId="1">
      <formula>"Planifiee"</formula>
    </cfRule>
    <cfRule type="cellIs" priority="84" operator="equal" dxfId="1">
      <formula>"Brouillon"</formula>
    </cfRule>
    <cfRule type="cellIs" priority="85" operator="equal" dxfId="1">
      <formula>"En attente de justification"</formula>
    </cfRule>
    <cfRule type="cellIs" priority="86" operator="equal" dxfId="1">
      <formula>"Tolere"</formula>
    </cfRule>
    <cfRule type="cellIs" priority="87" operator="equal" dxfId="1">
      <formula>"Variable"</formula>
    </cfRule>
    <cfRule type="cellIs" priority="88" operator="equal" dxfId="1">
      <formula>"En elaboration"</formula>
    </cfRule>
    <cfRule type="cellIs" priority="89" operator="equal" dxfId="1">
      <formula>"Provisionne"</formula>
    </cfRule>
    <cfRule type="cellIs" priority="90" operator="equal" dxfId="1">
      <formula>"Consomme partiel"</formula>
    </cfRule>
    <cfRule type="cellIs" priority="91" operator="equal" dxfId="1">
      <formula>"Identifie"</formula>
    </cfRule>
    <cfRule type="cellIs" priority="92" operator="equal" dxfId="1">
      <formula>"Priorise"</formula>
    </cfRule>
    <cfRule type="cellIs" priority="93" operator="equal" dxfId="1">
      <formula>"Intermediaire"</formula>
    </cfRule>
    <cfRule type="cellIs" priority="94" operator="equal" dxfId="1">
      <formula>"Non evalue"</formula>
    </cfRule>
    <cfRule type="cellIs" priority="95" operator="equal" dxfId="1">
      <formula>"En cours de realisation"</formula>
    </cfRule>
    <cfRule type="cellIs" priority="96" operator="equal" dxfId="1">
      <formula>"Non demarre"</formula>
    </cfRule>
    <cfRule type="cellIs" priority="97" operator="equal" dxfId="1">
      <formula>"En attente N+1"</formula>
    </cfRule>
    <cfRule type="cellIs" priority="98" operator="equal" dxfId="1">
      <formula>"Prolongation essai"</formula>
    </cfRule>
    <cfRule type="cellIs" priority="99" operator="equal" dxfId="1">
      <formula>"En attente validation"</formula>
    </cfRule>
    <cfRule type="cellIs" priority="100" operator="equal" dxfId="1">
      <formula>"Bon"</formula>
    </cfRule>
    <cfRule type="cellIs" priority="101" operator="equal" dxfId="1">
      <formula>"D - Moyen"</formula>
    </cfRule>
    <cfRule type="cellIs" priority="102" operator="equal" dxfId="1">
      <formula>"En cours de repres."</formula>
    </cfRule>
    <cfRule type="cellIs" priority="103" operator="equal" dxfId="1">
      <formula>"En negociation"</formula>
    </cfRule>
    <cfRule type="cellIs" priority="104" operator="equal" dxfId="1">
      <formula>"En preparation"</formula>
    </cfRule>
    <cfRule type="cellIs" priority="105" operator="equal" dxfId="1">
      <formula>"En cours d'instruction"</formula>
    </cfRule>
    <cfRule type="cellIs" priority="106" operator="equal" dxfId="1">
      <formula>"Transferee N+1"</formula>
    </cfRule>
    <cfRule type="cellIs" priority="107" operator="equal" dxfId="1">
      <formula>"En attente reponse"</formula>
    </cfRule>
    <cfRule type="cellIs" priority="108" operator="equal" dxfId="1">
      <formula>"Enquete ouverte"</formula>
    </cfRule>
    <cfRule type="cellIs" priority="109" operator="equal" dxfId="1">
      <formula>"Convocation envoyee"</formula>
    </cfRule>
    <cfRule type="cellIs" priority="110" operator="equal" dxfId="1">
      <formula>"Entretien realise"</formula>
    </cfRule>
    <cfRule type="cellIs" priority="111" operator="equal" dxfId="1">
      <formula>"Saisie"</formula>
    </cfRule>
    <cfRule type="cellIs" priority="112" operator="equal" dxfId="1">
      <formula>"En mediation"</formula>
    </cfRule>
    <cfRule type="cellIs" priority="113" operator="equal" dxfId="1">
      <formula>"En recours"</formula>
    </cfRule>
    <cfRule type="cellIs" priority="114" operator="equal" dxfId="1">
      <formula>"Reportee"</formula>
    </cfRule>
    <cfRule type="cellIs" priority="115" operator="equal" dxfId="1">
      <formula>"Reporte"</formula>
    </cfRule>
    <cfRule type="cellIs" priority="116" operator="equal" dxfId="1">
      <formula>"Signale"</formula>
    </cfRule>
    <cfRule type="cellIs" priority="117" operator="equal" dxfId="1">
      <formula>"Precontentieux"</formula>
    </cfRule>
    <cfRule type="cellIs" priority="118" operator="equal" dxfId="1">
      <formula>"En attente election"</formula>
    </cfRule>
    <cfRule type="cellIs" priority="119" operator="equal" dxfId="1">
      <formula>"Classe"</formula>
    </cfRule>
    <cfRule type="cellIs" priority="120" operator="equal" dxfId="1">
      <formula>"En cours d'evaluation"</formula>
    </cfRule>
    <cfRule type="cellIs" priority="121" operator="equal" dxfId="1">
      <formula>"En cours d'enquete"</formula>
    </cfRule>
    <cfRule type="cellIs" priority="122" operator="equal" dxfId="1">
      <formula>"En cours de commande"</formula>
    </cfRule>
    <cfRule type="cellIs" priority="123" operator="equal" dxfId="1">
      <formula>"A revoir"</formula>
    </cfRule>
    <cfRule type="cellIs" priority="124" operator="equal" dxfId="1">
      <formula>"A remplacer"</formula>
    </cfRule>
    <cfRule type="cellIs" priority="125" operator="equal" dxfId="1">
      <formula>"En cours d'instruction CNPS"</formula>
    </cfRule>
    <cfRule type="cellIs" priority="126" operator="equal" dxfId="1">
      <formula>"En contestation"</formula>
    </cfRule>
    <cfRule type="cellIs" priority="127" operator="equal" dxfId="1">
      <formula>"Inapte temporaire"</formula>
    </cfRule>
    <cfRule type="cellIs" priority="128" operator="equal" dxfId="1">
      <formula>"Candidat identifie"</formula>
    </cfRule>
    <cfRule type="cellIs" priority="129" operator="equal" dxfId="1">
      <formula>"En formation"</formula>
    </cfRule>
    <cfRule type="cellIs" priority="130" operator="equal" dxfId="1">
      <formula>"En evaluation"</formula>
    </cfRule>
    <cfRule type="cellIs" priority="131" operator="equal" dxfId="1">
      <formula>"En transit"</formula>
    </cfRule>
    <cfRule type="cellIs" priority="132" operator="equal" dxfId="1">
      <formula>"En attente visa"</formula>
    </cfRule>
    <cfRule type="cellIs" priority="133" operator="equal" dxfId="1">
      <formula>"Proposee"</formula>
    </cfRule>
    <cfRule type="cellIs" priority="134" operator="equal" dxfId="1">
      <formula>"En cours d'acquisition"</formula>
    </cfRule>
    <cfRule type="cellIs" priority="135" operator="equal" dxfId="1">
      <formula>"A developper"</formula>
    </cfRule>
    <cfRule type="cellIs" priority="136" operator="equal" dxfId="1">
      <formula>"A renforcer"</formula>
    </cfRule>
    <cfRule type="cellIs" priority="137" operator="equal" dxfId="1">
      <formula>"En cours"</formula>
    </cfRule>
    <cfRule type="cellIs" priority="138" operator="equal" dxfId="1">
      <formula>"Partiellement conforme"</formula>
    </cfRule>
    <cfRule type="cellIs" priority="139" operator="equal" dxfId="1">
      <formula>"En mise en conformite"</formula>
    </cfRule>
    <cfRule type="cellIs" priority="140" operator="equal" dxfId="1">
      <formula>"En revision"</formula>
    </cfRule>
    <cfRule type="cellIs" priority="141" operator="equal" dxfId="1">
      <formula>"A approuver"</formula>
    </cfRule>
    <cfRule type="cellIs" priority="142" operator="equal" dxfId="1">
      <formula>"En conciliation"</formula>
    </cfRule>
    <cfRule type="cellIs" priority="143" operator="equal" dxfId="1">
      <formula>"Assigne tribunal"</formula>
    </cfRule>
    <cfRule type="cellIs" priority="144" operator="equal" dxfId="1">
      <formula>"En cours de preparation"</formula>
    </cfRule>
    <cfRule type="cellIs" priority="145" operator="equal" dxfId="1">
      <formula>"Non effectuee"</formula>
    </cfRule>
    <cfRule type="cellIs" priority="146" operator="equal" dxfId="1">
      <formula>"A archiver"</formula>
    </cfRule>
    <cfRule type="cellIs" priority="147" operator="equal" dxfId="1">
      <formula>"En cours de constitution"</formula>
    </cfRule>
    <cfRule type="cellIs" priority="148" operator="equal" dxfId="1">
      <formula>"A mettre a jour"</formula>
    </cfRule>
    <cfRule type="cellIs" priority="149" operator="equal" dxfId="1">
      <formula>"En restoration"</formula>
    </cfRule>
    <cfRule type="cellIs" priority="150" operator="equal" dxfId="1">
      <formula>"En cours de restauration"</formula>
    </cfRule>
    <cfRule type="cellIs" priority="151" operator="equal" dxfId="1">
      <formula>"A determiner"</formula>
    </cfRule>
    <cfRule type="cellIs" priority="152" operator="equal" dxfId="1">
      <formula>"En revision"</formula>
    </cfRule>
    <cfRule type="cellIs" priority="153" operator="equal" dxfId="1">
      <formula>"Obsolete"</formula>
    </cfRule>
    <cfRule type="cellIs" priority="154" operator="equal" dxfId="1">
      <formula>"Hybride (papier + numerique)"</formula>
    </cfRule>
    <cfRule type="cellIs" priority="155" operator="equal" dxfId="2">
      <formula>"Expire"</formula>
    </cfRule>
    <cfRule type="cellIs" priority="156" operator="equal" dxfId="2">
      <formula>"Rejete"</formula>
    </cfRule>
    <cfRule type="cellIs" priority="157" operator="equal" dxfId="2">
      <formula>"Rejetee"</formula>
    </cfRule>
    <cfRule type="cellIs" priority="158" operator="equal" dxfId="2">
      <formula>"Resilie"</formula>
    </cfRule>
    <cfRule type="cellIs" priority="159" operator="equal" dxfId="2">
      <formula>"Annule"</formula>
    </cfRule>
    <cfRule type="cellIs" priority="160" operator="equal" dxfId="2">
      <formula>"Annulee"</formula>
    </cfRule>
    <cfRule type="cellIs" priority="161" operator="equal" dxfId="2">
      <formula>"Refuse"</formula>
    </cfRule>
    <cfRule type="cellIs" priority="162" operator="equal" dxfId="2">
      <formula>"Non justifie"</formula>
    </cfRule>
    <cfRule type="cellIs" priority="163" operator="equal" dxfId="2">
      <formula>"Non justifiee"</formula>
    </cfRule>
    <cfRule type="cellIs" priority="164" operator="equal" dxfId="2">
      <formula>"Sanctionne"</formula>
    </cfRule>
    <cfRule type="cellIs" priority="165" operator="equal" dxfId="2">
      <formula>"Inaptitude"</formula>
    </cfRule>
    <cfRule type="cellIs" priority="166" operator="equal" dxfId="2">
      <formula>"Absent sans autorisation"</formula>
    </cfRule>
    <cfRule type="cellIs" priority="167" operator="equal" dxfId="2">
      <formula>"Abandon de poste"</formula>
    </cfRule>
    <cfRule type="cellIs" priority="168" operator="equal" dxfId="2">
      <formula>"Non satisfait"</formula>
    </cfRule>
    <cfRule type="cellIs" priority="169" operator="equal" dxfId="2">
      <formula>"Depasse"</formula>
    </cfRule>
    <cfRule type="cellIs" priority="170" operator="equal" dxfId="2">
      <formula>"Non utilise"</formula>
    </cfRule>
    <cfRule type="cellIs" priority="171" operator="equal" dxfId="2">
      <formula>"Non applicable"</formula>
    </cfRule>
    <cfRule type="cellIs" priority="172" operator="equal" dxfId="2">
      <formula>"Debutant"</formula>
    </cfRule>
    <cfRule type="cellIs" priority="173" operator="equal" dxfId="2">
      <formula>"Non atteint"</formula>
    </cfRule>
    <cfRule type="cellIs" priority="174" operator="equal" dxfId="2">
      <formula>"Abandonne"</formula>
    </cfRule>
    <cfRule type="cellIs" priority="175" operator="equal" dxfId="2">
      <formula>"Rupture essai"</formula>
    </cfRule>
    <cfRule type="cellIs" priority="176" operator="equal" dxfId="2">
      <formula>"Insuffisant"</formula>
    </cfRule>
    <cfRule type="cellIs" priority="177" operator="equal" dxfId="2">
      <formula>"Moyen"</formula>
    </cfRule>
    <cfRule type="cellIs" priority="178" operator="equal" dxfId="2">
      <formula>"E - Insuffisant"</formula>
    </cfRule>
    <cfRule type="cellIs" priority="179" operator="equal" dxfId="2">
      <formula>"Dissous"</formula>
    </cfRule>
    <cfRule type="cellIs" priority="180" operator="equal" dxfId="2">
      <formula>"Denonce"</formula>
    </cfRule>
    <cfRule type="cellIs" priority="181" operator="equal" dxfId="2">
      <formula>"Echoue"</formula>
    </cfRule>
    <cfRule type="cellIs" priority="182" operator="equal" dxfId="2">
      <formula>"Echouee"</formula>
    </cfRule>
    <cfRule type="cellIs" priority="183" operator="equal" dxfId="2">
      <formula>"Revoque"</formula>
    </cfRule>
    <cfRule type="cellIs" priority="184" operator="equal" dxfId="2">
      <formula>"Demissionnaire"</formula>
    </cfRule>
    <cfRule type="cellIs" priority="185" operator="equal" dxfId="2">
      <formula>"Licenciement pour faute"</formula>
    </cfRule>
    <cfRule type="cellIs" priority="186" operator="equal" dxfId="2">
      <formula>"Licenciement pour faute grave"</formula>
    </cfRule>
    <cfRule type="cellIs" priority="187" operator="equal" dxfId="2">
      <formula>"Terminee - Echec"</formula>
    </cfRule>
    <cfRule type="cellIs" priority="188" operator="equal" dxfId="2">
      <formula>"Abandonnee"</formula>
    </cfRule>
    <cfRule type="cellIs" priority="189" operator="equal" dxfId="2">
      <formula>"Violence physique"</formula>
    </cfRule>
    <cfRule type="cellIs" priority="190" operator="equal" dxfId="2">
      <formula>"Violence verbale"</formula>
    </cfRule>
    <cfRule type="cellIs" priority="191" operator="equal" dxfId="2">
      <formula>"Fatal"</formula>
    </cfRule>
    <cfRule type="cellIs" priority="192" operator="equal" dxfId="2">
      <formula>"Non reconnue"</formula>
    </cfRule>
    <cfRule type="cellIs" priority="193" operator="equal" dxfId="2">
      <formula>"Inapte definitif"</formula>
    </cfRule>
    <cfRule type="cellIs" priority="194" operator="equal" dxfId="2">
      <formula>"Perdu / vole"</formula>
    </cfRule>
    <cfRule type="cellIs" priority="195" operator="equal" dxfId="2">
      <formula>"Rebute"</formula>
    </cfRule>
    <cfRule type="cellIs" priority="196" operator="equal" dxfId="2">
      <formula>"Obsolette"</formula>
    </cfRule>
    <cfRule type="cellIs" priority="197" operator="equal" dxfId="2">
      <formula>"Conteste"</formula>
    </cfRule>
    <cfRule type="cellIs" priority="198" operator="equal" dxfId="2">
      <formula>"Refusee"</formula>
    </cfRule>
    <cfRule type="cellIs" priority="199" operator="equal" dxfId="2">
      <formula>"Non retenu"</formula>
    </cfRule>
    <cfRule type="cellIs" priority="200" operator="equal" dxfId="2">
      <formula>"Non acquis"</formula>
    </cfRule>
    <cfRule type="cellIs" priority="201" operator="equal" dxfId="2">
      <formula>"Contrat termine"</formula>
    </cfRule>
    <cfRule type="cellIs" priority="202" operator="equal" dxfId="2">
      <formula>"Rapatrie"</formula>
    </cfRule>
    <cfRule type="cellIs" priority="203" operator="equal" dxfId="2">
      <formula>"Non conforme"</formula>
    </cfRule>
    <cfRule type="cellIs" priority="204" operator="equal" dxfId="2">
      <formula>"Abandonne"</formula>
    </cfRule>
    <cfRule type="cellIs" priority="205" operator="equal" dxfId="2">
      <formula>"Perdu"</formula>
    </cfRule>
    <cfRule type="cellIs" priority="206" operator="equal" dxfId="2">
      <formula>"Resilie"</formula>
    </cfRule>
    <cfRule type="cellIs" priority="207" operator="equal" dxfId="2">
      <formula>"Expire"</formula>
    </cfRule>
    <cfRule type="cellIs" priority="208" operator="equal" dxfId="2">
      <formula>"Incomplet"</formula>
    </cfRule>
    <cfRule type="cellIs" priority="209" operator="equal" dxfId="2">
      <formula>"Non restitue"</formula>
    </cfRule>
    <cfRule type="cellIs" priority="210" operator="equal" dxfId="2">
      <formula>"Perdu"</formula>
    </cfRule>
    <cfRule type="cellIs" priority="211" operator="equal" dxfId="2">
      <formula>"Secret"</formula>
    </cfRule>
  </conditionalFormatting>
  <conditionalFormatting sqref="B10:B109">
    <cfRule type="expression" priority="212" dxfId="3">
      <formula>AND($C10="",$C9&lt;&gt;"")</formula>
    </cfRule>
  </conditionalFormatting>
  <conditionalFormatting sqref="C10:C109">
    <cfRule type="expression" priority="213" dxfId="3">
      <formula>AND($C10="",$C9&lt;&gt;"")</formula>
    </cfRule>
  </conditionalFormatting>
  <conditionalFormatting sqref="D10:D109">
    <cfRule type="expression" priority="214" dxfId="3">
      <formula>AND($C10="",$C9&lt;&gt;"")</formula>
    </cfRule>
  </conditionalFormatting>
  <conditionalFormatting sqref="E10:E109">
    <cfRule type="expression" priority="215" dxfId="3">
      <formula>AND($C10="",$C9&lt;&gt;"")</formula>
    </cfRule>
  </conditionalFormatting>
  <conditionalFormatting sqref="F10:F109">
    <cfRule type="expression" priority="216" dxfId="3">
      <formula>AND($C10="",$C9&lt;&gt;"")</formula>
    </cfRule>
  </conditionalFormatting>
  <conditionalFormatting sqref="G10:G109">
    <cfRule type="expression" priority="217" dxfId="3">
      <formula>AND($C10="",$C9&lt;&gt;"")</formula>
    </cfRule>
  </conditionalFormatting>
  <conditionalFormatting sqref="H10:H109">
    <cfRule type="expression" priority="218" dxfId="3">
      <formula>AND($C10="",$C9&lt;&gt;"")</formula>
    </cfRule>
  </conditionalFormatting>
  <conditionalFormatting sqref="I10:I109">
    <cfRule type="expression" priority="219" dxfId="3">
      <formula>AND($C10="",$C9&lt;&gt;"")</formula>
    </cfRule>
  </conditionalFormatting>
  <conditionalFormatting sqref="J10:J109">
    <cfRule type="expression" priority="220" dxfId="3">
      <formula>AND($C10="",$C9&lt;&gt;"")</formula>
    </cfRule>
  </conditionalFormatting>
  <dataValidations count="2">
    <dataValidation sqref="D5:D109" showDropDown="0" showInputMessage="0" showErrorMessage="0" allowBlank="1" errorTitle="Erreur" error="Valeur invalide" promptTitle="Liste" prompt="Choisir dans la liste" type="list">
      <formula1>'_Lists'!$D$2:$D$21</formula1>
    </dataValidation>
    <dataValidation sqref="J5:J109" showDropDown="0" showInputMessage="0" showErrorMessage="0" allowBlank="1" errorTitle="Erreur" error="Valeur invalide" promptTitle="Liste" prompt="Choisir dans la liste" type="list">
      <formula1>'_Lists'!$S$2:$S$6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8" customWidth="1" min="4" max="4"/>
    <col width="14" customWidth="1" min="5" max="5"/>
    <col width="14" customWidth="1" min="6" max="6"/>
    <col width="18" customWidth="1" min="7" max="7"/>
    <col width="18" customWidth="1" min="8" max="8"/>
    <col width="18" customWidth="1" min="9" max="9"/>
    <col width="44" customWidth="1" min="10" max="10"/>
  </cols>
  <sheetData>
    <row r="1" ht="15" customHeight="1"/>
    <row r="2" ht="32" customHeight="1">
      <c r="B2" s="1" t="inlineStr">
        <is>
          <t>MATRICE PERMISSIONS D'ACCÈS DOCUMENTS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Categorie Document</t>
        </is>
      </c>
      <c r="D4" s="11" t="inlineStr">
        <is>
          <t>DRH</t>
        </is>
      </c>
      <c r="E4" s="11" t="inlineStr">
        <is>
          <t>DG</t>
        </is>
      </c>
      <c r="F4" s="11" t="inlineStr">
        <is>
          <t>DAF</t>
        </is>
      </c>
      <c r="G4" s="11" t="inlineStr">
        <is>
          <t>Assistante RH</t>
        </is>
      </c>
      <c r="H4" s="11" t="inlineStr">
        <is>
          <t>Chef de Service</t>
        </is>
      </c>
      <c r="I4" s="11" t="inlineStr">
        <is>
          <t>Employe Concerne</t>
        </is>
      </c>
      <c r="J4" s="11" t="inlineStr">
        <is>
          <t>Observations</t>
        </is>
      </c>
    </row>
    <row r="5" ht="22" customHeight="1">
      <c r="B5" s="12" t="inlineStr">
        <is>
          <t>PER-001</t>
        </is>
      </c>
      <c r="C5" s="12" t="inlineStr">
        <is>
          <t>Contrats de travail</t>
        </is>
      </c>
      <c r="D5" s="12" t="inlineStr">
        <is>
          <t>Lecture / Ecriture</t>
        </is>
      </c>
      <c r="E5" s="12" t="inlineStr">
        <is>
          <t>Lecture / Ecriture</t>
        </is>
      </c>
      <c r="F5" s="12" t="inlineStr">
        <is>
          <t>Lecture seule</t>
        </is>
      </c>
      <c r="G5" s="12" t="inlineStr">
        <is>
          <t>Lecture / Ecriture</t>
        </is>
      </c>
      <c r="H5" s="12" t="inlineStr">
        <is>
          <t>Lecture seule</t>
        </is>
      </c>
      <c r="I5" s="12" t="inlineStr">
        <is>
          <t>Lecture seule</t>
        </is>
      </c>
      <c r="J5" s="12" t="inlineStr">
        <is>
          <t>Modification soumise a validation DG</t>
        </is>
      </c>
    </row>
    <row r="6" ht="22" customHeight="1">
      <c r="B6" s="14" t="inlineStr">
        <is>
          <t>PER-002</t>
        </is>
      </c>
      <c r="C6" s="14" t="inlineStr">
        <is>
          <t>Fiches de paie</t>
        </is>
      </c>
      <c r="D6" s="14" t="inlineStr">
        <is>
          <t>Lecture / Ecriture</t>
        </is>
      </c>
      <c r="E6" s="14" t="inlineStr">
        <is>
          <t>Lecture seule</t>
        </is>
      </c>
      <c r="F6" s="14" t="inlineStr">
        <is>
          <t>Lecture / Ecriture</t>
        </is>
      </c>
      <c r="G6" s="14" t="inlineStr">
        <is>
          <t>Lecture seule</t>
        </is>
      </c>
      <c r="H6" s="14" t="inlineStr">
        <is>
          <t>Aucun acces</t>
        </is>
      </c>
      <c r="I6" s="14" t="inlineStr">
        <is>
          <t>Lecture seule</t>
        </is>
      </c>
      <c r="J6" s="14" t="inlineStr">
        <is>
          <t>Acces individuel uniquement a sa fiche</t>
        </is>
      </c>
    </row>
    <row r="7" ht="22" customHeight="1">
      <c r="B7" s="12" t="inlineStr">
        <is>
          <t>PER-003</t>
        </is>
      </c>
      <c r="C7" s="12" t="inlineStr">
        <is>
          <t>Dossiers disciplinaires</t>
        </is>
      </c>
      <c r="D7" s="12" t="inlineStr">
        <is>
          <t>Lecture / Ecriture</t>
        </is>
      </c>
      <c r="E7" s="12" t="inlineStr">
        <is>
          <t>Lecture seule</t>
        </is>
      </c>
      <c r="F7" s="12" t="inlineStr">
        <is>
          <t>Aucun acces</t>
        </is>
      </c>
      <c r="G7" s="12" t="inlineStr">
        <is>
          <t>Aucun acces</t>
        </is>
      </c>
      <c r="H7" s="12" t="inlineStr">
        <is>
          <t>Aucun acces</t>
        </is>
      </c>
      <c r="I7" s="12" t="inlineStr">
        <is>
          <t>Lecture seule</t>
        </is>
      </c>
      <c r="J7" s="12" t="inlineStr">
        <is>
          <t>Sensible, acces restreint DG + DRH</t>
        </is>
      </c>
    </row>
    <row r="8" ht="22" customHeight="1">
      <c r="B8" s="14" t="inlineStr">
        <is>
          <t>PER-004</t>
        </is>
      </c>
      <c r="C8" s="14" t="inlineStr">
        <is>
          <t>Bilan social</t>
        </is>
      </c>
      <c r="D8" s="14" t="inlineStr">
        <is>
          <t>Lecture / Ecriture</t>
        </is>
      </c>
      <c r="E8" s="14" t="inlineStr">
        <is>
          <t>Lecture seule</t>
        </is>
      </c>
      <c r="F8" s="14" t="inlineStr">
        <is>
          <t>Lecture seule</t>
        </is>
      </c>
      <c r="G8" s="14" t="inlineStr">
        <is>
          <t>Lecture seule</t>
        </is>
      </c>
      <c r="H8" s="14" t="inlineStr">
        <is>
          <t>Aucun acces</t>
        </is>
      </c>
      <c r="I8" s="14" t="inlineStr">
        <is>
          <t>Aucun acces</t>
        </is>
      </c>
      <c r="J8" s="14" t="inlineStr">
        <is>
          <t>Diffusion restreinte direction</t>
        </is>
      </c>
    </row>
    <row r="9" ht="22" customHeight="1">
      <c r="B9" s="12" t="inlineStr">
        <is>
          <t>PER-005</t>
        </is>
      </c>
      <c r="C9" s="12" t="inlineStr">
        <is>
          <t>Reglement interieur</t>
        </is>
      </c>
      <c r="D9" s="12" t="inlineStr">
        <is>
          <t>Lecture / Ecriture</t>
        </is>
      </c>
      <c r="E9" s="12" t="inlineStr">
        <is>
          <t>Lecture seule</t>
        </is>
      </c>
      <c r="F9" s="12" t="inlineStr">
        <is>
          <t>Lecture seule</t>
        </is>
      </c>
      <c r="G9" s="12" t="inlineStr">
        <is>
          <t>Lecture seule</t>
        </is>
      </c>
      <c r="H9" s="12" t="inlineStr">
        <is>
          <t>Lecture seule</t>
        </is>
      </c>
      <c r="I9" s="12" t="inlineStr">
        <is>
          <t>Lecture seule</t>
        </is>
      </c>
      <c r="J9" s="12" t="inlineStr">
        <is>
          <t>Document public, acces lecture tous</t>
        </is>
      </c>
    </row>
    <row r="10" ht="22" customHeight="1">
      <c r="B10" s="16">
        <f>IF(C10="","PER-"&amp;TEXT(COUNTA($C$5:C10),"000"))</f>
        <v/>
      </c>
      <c r="C10" s="14" t="n"/>
      <c r="D10" s="14" t="n"/>
      <c r="E10" s="14" t="n"/>
      <c r="F10" s="14" t="n"/>
      <c r="G10" s="14" t="n"/>
      <c r="H10" s="14" t="n"/>
      <c r="I10" s="14" t="n"/>
      <c r="J10" s="14" t="n"/>
    </row>
    <row r="11" ht="22" customHeight="1">
      <c r="B11" s="17">
        <f>IF(C11="","PER-"&amp;TEXT(COUNTA($C$5:C11),"000"))</f>
        <v/>
      </c>
      <c r="C11" s="12" t="n"/>
      <c r="D11" s="12" t="n"/>
      <c r="E11" s="12" t="n"/>
      <c r="F11" s="12" t="n"/>
      <c r="G11" s="12" t="n"/>
      <c r="H11" s="12" t="n"/>
      <c r="I11" s="12" t="n"/>
      <c r="J11" s="12" t="n"/>
    </row>
    <row r="12" ht="22" customHeight="1">
      <c r="B12" s="16">
        <f>IF(C12="","PER-"&amp;TEXT(COUNTA($C$5:C12),"000"))</f>
        <v/>
      </c>
      <c r="C12" s="14" t="n"/>
      <c r="D12" s="14" t="n"/>
      <c r="E12" s="14" t="n"/>
      <c r="F12" s="14" t="n"/>
      <c r="G12" s="14" t="n"/>
      <c r="H12" s="14" t="n"/>
      <c r="I12" s="14" t="n"/>
      <c r="J12" s="14" t="n"/>
    </row>
    <row r="13" ht="22" customHeight="1">
      <c r="B13" s="17">
        <f>IF(C13="","PER-"&amp;TEXT(COUNTA($C$5:C13),"000"))</f>
        <v/>
      </c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 ht="22" customHeight="1">
      <c r="B14" s="16">
        <f>IF(C14="","PER-"&amp;TEXT(COUNTA($C$5:C14),"000"))</f>
        <v/>
      </c>
      <c r="C14" s="14" t="n"/>
      <c r="D14" s="14" t="n"/>
      <c r="E14" s="14" t="n"/>
      <c r="F14" s="14" t="n"/>
      <c r="G14" s="14" t="n"/>
      <c r="H14" s="14" t="n"/>
      <c r="I14" s="14" t="n"/>
      <c r="J14" s="14" t="n"/>
    </row>
    <row r="15" ht="22" customHeight="1">
      <c r="B15" s="17">
        <f>IF(C15="","PER-"&amp;TEXT(COUNTA($C$5:C15),"000"))</f>
        <v/>
      </c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 ht="22" customHeight="1">
      <c r="B16" s="16">
        <f>IF(C16="","PER-"&amp;TEXT(COUNTA($C$5:C16),"000"))</f>
        <v/>
      </c>
      <c r="C16" s="14" t="n"/>
      <c r="D16" s="14" t="n"/>
      <c r="E16" s="14" t="n"/>
      <c r="F16" s="14" t="n"/>
      <c r="G16" s="14" t="n"/>
      <c r="H16" s="14" t="n"/>
      <c r="I16" s="14" t="n"/>
      <c r="J16" s="14" t="n"/>
    </row>
    <row r="17" ht="22" customHeight="1">
      <c r="B17" s="17">
        <f>IF(C17="","PER-"&amp;TEXT(COUNTA($C$5:C17),"000"))</f>
        <v/>
      </c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 ht="22" customHeight="1">
      <c r="B18" s="16">
        <f>IF(C18="","PER-"&amp;TEXT(COUNTA($C$5:C18),"000"))</f>
        <v/>
      </c>
      <c r="C18" s="14" t="n"/>
      <c r="D18" s="14" t="n"/>
      <c r="E18" s="14" t="n"/>
      <c r="F18" s="14" t="n"/>
      <c r="G18" s="14" t="n"/>
      <c r="H18" s="14" t="n"/>
      <c r="I18" s="14" t="n"/>
      <c r="J18" s="14" t="n"/>
    </row>
    <row r="19" ht="22" customHeight="1">
      <c r="B19" s="17">
        <f>IF(C19="","PER-"&amp;TEXT(COUNTA($C$5:C19),"000"))</f>
        <v/>
      </c>
      <c r="C19" s="12" t="n"/>
      <c r="D19" s="12" t="n"/>
      <c r="E19" s="12" t="n"/>
      <c r="F19" s="12" t="n"/>
      <c r="G19" s="12" t="n"/>
      <c r="H19" s="12" t="n"/>
      <c r="I19" s="12" t="n"/>
      <c r="J19" s="12" t="n"/>
    </row>
    <row r="20" ht="22" customHeight="1">
      <c r="B20" s="16">
        <f>IF(C20="","PER-"&amp;TEXT(COUNTA($C$5:C20),"000"))</f>
        <v/>
      </c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 ht="22" customHeight="1">
      <c r="B21" s="17">
        <f>IF(C21="","PER-"&amp;TEXT(COUNTA($C$5:C21),"000"))</f>
        <v/>
      </c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 ht="22" customHeight="1">
      <c r="B22" s="16">
        <f>IF(C22="","PER-"&amp;TEXT(COUNTA($C$5:C22),"000"))</f>
        <v/>
      </c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 ht="22" customHeight="1">
      <c r="B23" s="17">
        <f>IF(C23="","PER-"&amp;TEXT(COUNTA($C$5:C23),"000"))</f>
        <v/>
      </c>
      <c r="C23" s="12" t="n"/>
      <c r="D23" s="12" t="n"/>
      <c r="E23" s="12" t="n"/>
      <c r="F23" s="12" t="n"/>
      <c r="G23" s="12" t="n"/>
      <c r="H23" s="12" t="n"/>
      <c r="I23" s="12" t="n"/>
      <c r="J23" s="12" t="n"/>
    </row>
    <row r="24" ht="22" customHeight="1">
      <c r="B24" s="16">
        <f>IF(C24="","PER-"&amp;TEXT(COUNTA($C$5:C24),"000"))</f>
        <v/>
      </c>
      <c r="C24" s="14" t="n"/>
      <c r="D24" s="14" t="n"/>
      <c r="E24" s="14" t="n"/>
      <c r="F24" s="14" t="n"/>
      <c r="G24" s="14" t="n"/>
      <c r="H24" s="14" t="n"/>
      <c r="I24" s="14" t="n"/>
      <c r="J24" s="14" t="n"/>
    </row>
    <row r="25" ht="22" customHeight="1">
      <c r="B25" s="17">
        <f>IF(C25="","PER-"&amp;TEXT(COUNTA($C$5:C25),"000"))</f>
        <v/>
      </c>
      <c r="C25" s="12" t="n"/>
      <c r="D25" s="12" t="n"/>
      <c r="E25" s="12" t="n"/>
      <c r="F25" s="12" t="n"/>
      <c r="G25" s="12" t="n"/>
      <c r="H25" s="12" t="n"/>
      <c r="I25" s="12" t="n"/>
      <c r="J25" s="12" t="n"/>
    </row>
    <row r="26" ht="22" customHeight="1">
      <c r="B26" s="16">
        <f>IF(C26="","PER-"&amp;TEXT(COUNTA($C$5:C26),"000"))</f>
        <v/>
      </c>
      <c r="C26" s="14" t="n"/>
      <c r="D26" s="14" t="n"/>
      <c r="E26" s="14" t="n"/>
      <c r="F26" s="14" t="n"/>
      <c r="G26" s="14" t="n"/>
      <c r="H26" s="14" t="n"/>
      <c r="I26" s="14" t="n"/>
      <c r="J26" s="14" t="n"/>
    </row>
    <row r="27" ht="22" customHeight="1">
      <c r="B27" s="17">
        <f>IF(C27="","PER-"&amp;TEXT(COUNTA($C$5:C27),"000"))</f>
        <v/>
      </c>
      <c r="C27" s="12" t="n"/>
      <c r="D27" s="12" t="n"/>
      <c r="E27" s="12" t="n"/>
      <c r="F27" s="12" t="n"/>
      <c r="G27" s="12" t="n"/>
      <c r="H27" s="12" t="n"/>
      <c r="I27" s="12" t="n"/>
      <c r="J27" s="12" t="n"/>
    </row>
    <row r="28" ht="22" customHeight="1">
      <c r="B28" s="16">
        <f>IF(C28="","PER-"&amp;TEXT(COUNTA($C$5:C28),"000"))</f>
        <v/>
      </c>
      <c r="C28" s="14" t="n"/>
      <c r="D28" s="14" t="n"/>
      <c r="E28" s="14" t="n"/>
      <c r="F28" s="14" t="n"/>
      <c r="G28" s="14" t="n"/>
      <c r="H28" s="14" t="n"/>
      <c r="I28" s="14" t="n"/>
      <c r="J28" s="14" t="n"/>
    </row>
    <row r="29" ht="22" customHeight="1">
      <c r="B29" s="17">
        <f>IF(C29="","PER-"&amp;TEXT(COUNTA($C$5:C29),"000"))</f>
        <v/>
      </c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0" ht="22" customHeight="1">
      <c r="B30" s="16">
        <f>IF(C30="","PER-"&amp;TEXT(COUNTA($C$5:C30),"000"))</f>
        <v/>
      </c>
      <c r="C30" s="14" t="n"/>
      <c r="D30" s="14" t="n"/>
      <c r="E30" s="14" t="n"/>
      <c r="F30" s="14" t="n"/>
      <c r="G30" s="14" t="n"/>
      <c r="H30" s="14" t="n"/>
      <c r="I30" s="14" t="n"/>
      <c r="J30" s="14" t="n"/>
    </row>
    <row r="31" ht="22" customHeight="1">
      <c r="B31" s="17">
        <f>IF(C31="","PER-"&amp;TEXT(COUNTA($C$5:C31),"000"))</f>
        <v/>
      </c>
      <c r="C31" s="12" t="n"/>
      <c r="D31" s="12" t="n"/>
      <c r="E31" s="12" t="n"/>
      <c r="F31" s="12" t="n"/>
      <c r="G31" s="12" t="n"/>
      <c r="H31" s="12" t="n"/>
      <c r="I31" s="12" t="n"/>
      <c r="J31" s="12" t="n"/>
    </row>
    <row r="32" ht="22" customHeight="1">
      <c r="B32" s="16">
        <f>IF(C32="","PER-"&amp;TEXT(COUNTA($C$5:C32),"000"))</f>
        <v/>
      </c>
      <c r="C32" s="14" t="n"/>
      <c r="D32" s="14" t="n"/>
      <c r="E32" s="14" t="n"/>
      <c r="F32" s="14" t="n"/>
      <c r="G32" s="14" t="n"/>
      <c r="H32" s="14" t="n"/>
      <c r="I32" s="14" t="n"/>
      <c r="J32" s="14" t="n"/>
    </row>
    <row r="33" ht="22" customHeight="1">
      <c r="B33" s="17">
        <f>IF(C33="","PER-"&amp;TEXT(COUNTA($C$5:C33),"000"))</f>
        <v/>
      </c>
      <c r="C33" s="12" t="n"/>
      <c r="D33" s="12" t="n"/>
      <c r="E33" s="12" t="n"/>
      <c r="F33" s="12" t="n"/>
      <c r="G33" s="12" t="n"/>
      <c r="H33" s="12" t="n"/>
      <c r="I33" s="12" t="n"/>
      <c r="J33" s="12" t="n"/>
    </row>
    <row r="34" ht="22" customHeight="1">
      <c r="B34" s="16">
        <f>IF(C34="","PER-"&amp;TEXT(COUNTA($C$5:C34),"000"))</f>
        <v/>
      </c>
      <c r="C34" s="14" t="n"/>
      <c r="D34" s="14" t="n"/>
      <c r="E34" s="14" t="n"/>
      <c r="F34" s="14" t="n"/>
      <c r="G34" s="14" t="n"/>
      <c r="H34" s="14" t="n"/>
      <c r="I34" s="14" t="n"/>
      <c r="J34" s="14" t="n"/>
    </row>
    <row r="35" ht="22" customHeight="1">
      <c r="B35" s="17">
        <f>IF(C35="","PER-"&amp;TEXT(COUNTA($C$5:C35),"000"))</f>
        <v/>
      </c>
      <c r="C35" s="12" t="n"/>
      <c r="D35" s="12" t="n"/>
      <c r="E35" s="12" t="n"/>
      <c r="F35" s="12" t="n"/>
      <c r="G35" s="12" t="n"/>
      <c r="H35" s="12" t="n"/>
      <c r="I35" s="12" t="n"/>
      <c r="J35" s="12" t="n"/>
    </row>
    <row r="36" ht="22" customHeight="1">
      <c r="B36" s="16">
        <f>IF(C36="","PER-"&amp;TEXT(COUNTA($C$5:C36),"000"))</f>
        <v/>
      </c>
      <c r="C36" s="14" t="n"/>
      <c r="D36" s="14" t="n"/>
      <c r="E36" s="14" t="n"/>
      <c r="F36" s="14" t="n"/>
      <c r="G36" s="14" t="n"/>
      <c r="H36" s="14" t="n"/>
      <c r="I36" s="14" t="n"/>
      <c r="J36" s="14" t="n"/>
    </row>
    <row r="37" ht="22" customHeight="1">
      <c r="B37" s="17">
        <f>IF(C37="","PER-"&amp;TEXT(COUNTA($C$5:C37),"000"))</f>
        <v/>
      </c>
      <c r="C37" s="12" t="n"/>
      <c r="D37" s="12" t="n"/>
      <c r="E37" s="12" t="n"/>
      <c r="F37" s="12" t="n"/>
      <c r="G37" s="12" t="n"/>
      <c r="H37" s="12" t="n"/>
      <c r="I37" s="12" t="n"/>
      <c r="J37" s="12" t="n"/>
    </row>
    <row r="38" ht="22" customHeight="1">
      <c r="B38" s="16">
        <f>IF(C38="","PER-"&amp;TEXT(COUNTA($C$5:C38),"000"))</f>
        <v/>
      </c>
      <c r="C38" s="14" t="n"/>
      <c r="D38" s="14" t="n"/>
      <c r="E38" s="14" t="n"/>
      <c r="F38" s="14" t="n"/>
      <c r="G38" s="14" t="n"/>
      <c r="H38" s="14" t="n"/>
      <c r="I38" s="14" t="n"/>
      <c r="J38" s="14" t="n"/>
    </row>
    <row r="39" ht="22" customHeight="1">
      <c r="B39" s="17">
        <f>IF(C39="","PER-"&amp;TEXT(COUNTA($C$5:C39),"000"))</f>
        <v/>
      </c>
      <c r="C39" s="12" t="n"/>
      <c r="D39" s="12" t="n"/>
      <c r="E39" s="12" t="n"/>
      <c r="F39" s="12" t="n"/>
      <c r="G39" s="12" t="n"/>
      <c r="H39" s="12" t="n"/>
      <c r="I39" s="12" t="n"/>
      <c r="J39" s="12" t="n"/>
    </row>
    <row r="40" ht="22" customHeight="1">
      <c r="B40" s="16">
        <f>IF(C40="","PER-"&amp;TEXT(COUNTA($C$5:C40),"000"))</f>
        <v/>
      </c>
      <c r="C40" s="14" t="n"/>
      <c r="D40" s="14" t="n"/>
      <c r="E40" s="14" t="n"/>
      <c r="F40" s="14" t="n"/>
      <c r="G40" s="14" t="n"/>
      <c r="H40" s="14" t="n"/>
      <c r="I40" s="14" t="n"/>
      <c r="J40" s="14" t="n"/>
    </row>
    <row r="41" ht="22" customHeight="1">
      <c r="B41" s="17">
        <f>IF(C41="","PER-"&amp;TEXT(COUNTA($C$5:C41),"000"))</f>
        <v/>
      </c>
      <c r="C41" s="12" t="n"/>
      <c r="D41" s="12" t="n"/>
      <c r="E41" s="12" t="n"/>
      <c r="F41" s="12" t="n"/>
      <c r="G41" s="12" t="n"/>
      <c r="H41" s="12" t="n"/>
      <c r="I41" s="12" t="n"/>
      <c r="J41" s="12" t="n"/>
    </row>
    <row r="42" ht="22" customHeight="1">
      <c r="B42" s="16">
        <f>IF(C42="","PER-"&amp;TEXT(COUNTA($C$5:C42),"000"))</f>
        <v/>
      </c>
      <c r="C42" s="14" t="n"/>
      <c r="D42" s="14" t="n"/>
      <c r="E42" s="14" t="n"/>
      <c r="F42" s="14" t="n"/>
      <c r="G42" s="14" t="n"/>
      <c r="H42" s="14" t="n"/>
      <c r="I42" s="14" t="n"/>
      <c r="J42" s="14" t="n"/>
    </row>
    <row r="43" ht="22" customHeight="1">
      <c r="B43" s="17">
        <f>IF(C43="","PER-"&amp;TEXT(COUNTA($C$5:C43),"000"))</f>
        <v/>
      </c>
      <c r="C43" s="12" t="n"/>
      <c r="D43" s="12" t="n"/>
      <c r="E43" s="12" t="n"/>
      <c r="F43" s="12" t="n"/>
      <c r="G43" s="12" t="n"/>
      <c r="H43" s="12" t="n"/>
      <c r="I43" s="12" t="n"/>
      <c r="J43" s="12" t="n"/>
    </row>
    <row r="44" ht="22" customHeight="1">
      <c r="B44" s="16">
        <f>IF(C44="","PER-"&amp;TEXT(COUNTA($C$5:C44),"000"))</f>
        <v/>
      </c>
      <c r="C44" s="14" t="n"/>
      <c r="D44" s="14" t="n"/>
      <c r="E44" s="14" t="n"/>
      <c r="F44" s="14" t="n"/>
      <c r="G44" s="14" t="n"/>
      <c r="H44" s="14" t="n"/>
      <c r="I44" s="14" t="n"/>
      <c r="J44" s="14" t="n"/>
    </row>
    <row r="45" ht="22" customHeight="1">
      <c r="B45" s="17">
        <f>IF(C45="","PER-"&amp;TEXT(COUNTA($C$5:C45),"000"))</f>
        <v/>
      </c>
      <c r="C45" s="12" t="n"/>
      <c r="D45" s="12" t="n"/>
      <c r="E45" s="12" t="n"/>
      <c r="F45" s="12" t="n"/>
      <c r="G45" s="12" t="n"/>
      <c r="H45" s="12" t="n"/>
      <c r="I45" s="12" t="n"/>
      <c r="J45" s="12" t="n"/>
    </row>
    <row r="46" ht="22" customHeight="1">
      <c r="B46" s="16">
        <f>IF(C46="","PER-"&amp;TEXT(COUNTA($C$5:C46),"000"))</f>
        <v/>
      </c>
      <c r="C46" s="14" t="n"/>
      <c r="D46" s="14" t="n"/>
      <c r="E46" s="14" t="n"/>
      <c r="F46" s="14" t="n"/>
      <c r="G46" s="14" t="n"/>
      <c r="H46" s="14" t="n"/>
      <c r="I46" s="14" t="n"/>
      <c r="J46" s="14" t="n"/>
    </row>
    <row r="47" ht="22" customHeight="1">
      <c r="B47" s="17">
        <f>IF(C47="","PER-"&amp;TEXT(COUNTA($C$5:C47),"000"))</f>
        <v/>
      </c>
      <c r="C47" s="12" t="n"/>
      <c r="D47" s="12" t="n"/>
      <c r="E47" s="12" t="n"/>
      <c r="F47" s="12" t="n"/>
      <c r="G47" s="12" t="n"/>
      <c r="H47" s="12" t="n"/>
      <c r="I47" s="12" t="n"/>
      <c r="J47" s="12" t="n"/>
    </row>
    <row r="48" ht="22" customHeight="1">
      <c r="B48" s="16">
        <f>IF(C48="","PER-"&amp;TEXT(COUNTA($C$5:C48),"000"))</f>
        <v/>
      </c>
      <c r="C48" s="14" t="n"/>
      <c r="D48" s="14" t="n"/>
      <c r="E48" s="14" t="n"/>
      <c r="F48" s="14" t="n"/>
      <c r="G48" s="14" t="n"/>
      <c r="H48" s="14" t="n"/>
      <c r="I48" s="14" t="n"/>
      <c r="J48" s="14" t="n"/>
    </row>
    <row r="49" ht="22" customHeight="1">
      <c r="B49" s="17">
        <f>IF(C49="","PER-"&amp;TEXT(COUNTA($C$5:C49),"000"))</f>
        <v/>
      </c>
      <c r="C49" s="12" t="n"/>
      <c r="D49" s="12" t="n"/>
      <c r="E49" s="12" t="n"/>
      <c r="F49" s="12" t="n"/>
      <c r="G49" s="12" t="n"/>
      <c r="H49" s="12" t="n"/>
      <c r="I49" s="12" t="n"/>
      <c r="J49" s="12" t="n"/>
    </row>
    <row r="50" ht="22" customHeight="1">
      <c r="B50" s="16">
        <f>IF(C50="","PER-"&amp;TEXT(COUNTA($C$5:C50),"000"))</f>
        <v/>
      </c>
      <c r="C50" s="14" t="n"/>
      <c r="D50" s="14" t="n"/>
      <c r="E50" s="14" t="n"/>
      <c r="F50" s="14" t="n"/>
      <c r="G50" s="14" t="n"/>
      <c r="H50" s="14" t="n"/>
      <c r="I50" s="14" t="n"/>
      <c r="J50" s="14" t="n"/>
    </row>
    <row r="51" ht="22" customHeight="1">
      <c r="B51" s="17">
        <f>IF(C51="","PER-"&amp;TEXT(COUNTA($C$5:C51),"000"))</f>
        <v/>
      </c>
      <c r="C51" s="12" t="n"/>
      <c r="D51" s="12" t="n"/>
      <c r="E51" s="12" t="n"/>
      <c r="F51" s="12" t="n"/>
      <c r="G51" s="12" t="n"/>
      <c r="H51" s="12" t="n"/>
      <c r="I51" s="12" t="n"/>
      <c r="J51" s="12" t="n"/>
    </row>
    <row r="52" ht="22" customHeight="1">
      <c r="B52" s="16">
        <f>IF(C52="","PER-"&amp;TEXT(COUNTA($C$5:C52),"000"))</f>
        <v/>
      </c>
      <c r="C52" s="14" t="n"/>
      <c r="D52" s="14" t="n"/>
      <c r="E52" s="14" t="n"/>
      <c r="F52" s="14" t="n"/>
      <c r="G52" s="14" t="n"/>
      <c r="H52" s="14" t="n"/>
      <c r="I52" s="14" t="n"/>
      <c r="J52" s="14" t="n"/>
    </row>
    <row r="53" ht="22" customHeight="1">
      <c r="B53" s="17">
        <f>IF(C53="","PER-"&amp;TEXT(COUNTA($C$5:C53),"000"))</f>
        <v/>
      </c>
      <c r="C53" s="12" t="n"/>
      <c r="D53" s="12" t="n"/>
      <c r="E53" s="12" t="n"/>
      <c r="F53" s="12" t="n"/>
      <c r="G53" s="12" t="n"/>
      <c r="H53" s="12" t="n"/>
      <c r="I53" s="12" t="n"/>
      <c r="J53" s="12" t="n"/>
    </row>
    <row r="54" ht="22" customHeight="1">
      <c r="B54" s="16">
        <f>IF(C54="","PER-"&amp;TEXT(COUNTA($C$5:C54),"000"))</f>
        <v/>
      </c>
      <c r="C54" s="14" t="n"/>
      <c r="D54" s="14" t="n"/>
      <c r="E54" s="14" t="n"/>
      <c r="F54" s="14" t="n"/>
      <c r="G54" s="14" t="n"/>
      <c r="H54" s="14" t="n"/>
      <c r="I54" s="14" t="n"/>
      <c r="J54" s="14" t="n"/>
    </row>
    <row r="55" ht="22" customHeight="1">
      <c r="B55" s="17">
        <f>IF(C55="","PER-"&amp;TEXT(COUNTA($C$5:C55),"000"))</f>
        <v/>
      </c>
      <c r="C55" s="12" t="n"/>
      <c r="D55" s="12" t="n"/>
      <c r="E55" s="12" t="n"/>
      <c r="F55" s="12" t="n"/>
      <c r="G55" s="12" t="n"/>
      <c r="H55" s="12" t="n"/>
      <c r="I55" s="12" t="n"/>
      <c r="J55" s="12" t="n"/>
    </row>
    <row r="56" ht="22" customHeight="1">
      <c r="B56" s="16">
        <f>IF(C56="","PER-"&amp;TEXT(COUNTA($C$5:C56),"000"))</f>
        <v/>
      </c>
      <c r="C56" s="14" t="n"/>
      <c r="D56" s="14" t="n"/>
      <c r="E56" s="14" t="n"/>
      <c r="F56" s="14" t="n"/>
      <c r="G56" s="14" t="n"/>
      <c r="H56" s="14" t="n"/>
      <c r="I56" s="14" t="n"/>
      <c r="J56" s="14" t="n"/>
    </row>
    <row r="57" ht="22" customHeight="1">
      <c r="B57" s="17">
        <f>IF(C57="","PER-"&amp;TEXT(COUNTA($C$5:C57),"000"))</f>
        <v/>
      </c>
      <c r="C57" s="12" t="n"/>
      <c r="D57" s="12" t="n"/>
      <c r="E57" s="12" t="n"/>
      <c r="F57" s="12" t="n"/>
      <c r="G57" s="12" t="n"/>
      <c r="H57" s="12" t="n"/>
      <c r="I57" s="12" t="n"/>
      <c r="J57" s="12" t="n"/>
    </row>
    <row r="58" ht="22" customHeight="1">
      <c r="B58" s="16">
        <f>IF(C58="","PER-"&amp;TEXT(COUNTA($C$5:C58),"000"))</f>
        <v/>
      </c>
      <c r="C58" s="14" t="n"/>
      <c r="D58" s="14" t="n"/>
      <c r="E58" s="14" t="n"/>
      <c r="F58" s="14" t="n"/>
      <c r="G58" s="14" t="n"/>
      <c r="H58" s="14" t="n"/>
      <c r="I58" s="14" t="n"/>
      <c r="J58" s="14" t="n"/>
    </row>
    <row r="59" ht="22" customHeight="1">
      <c r="B59" s="17">
        <f>IF(C59="","PER-"&amp;TEXT(COUNTA($C$5:C59),"000"))</f>
        <v/>
      </c>
      <c r="C59" s="12" t="n"/>
      <c r="D59" s="12" t="n"/>
      <c r="E59" s="12" t="n"/>
      <c r="F59" s="12" t="n"/>
      <c r="G59" s="12" t="n"/>
      <c r="H59" s="12" t="n"/>
      <c r="I59" s="12" t="n"/>
      <c r="J59" s="12" t="n"/>
    </row>
    <row r="60" ht="22" customHeight="1">
      <c r="B60" s="16">
        <f>IF(C60="","PER-"&amp;TEXT(COUNTA($C$5:C60),"000"))</f>
        <v/>
      </c>
      <c r="C60" s="14" t="n"/>
      <c r="D60" s="14" t="n"/>
      <c r="E60" s="14" t="n"/>
      <c r="F60" s="14" t="n"/>
      <c r="G60" s="14" t="n"/>
      <c r="H60" s="14" t="n"/>
      <c r="I60" s="14" t="n"/>
      <c r="J60" s="14" t="n"/>
    </row>
    <row r="61" ht="22" customHeight="1">
      <c r="B61" s="17">
        <f>IF(C61="","PER-"&amp;TEXT(COUNTA($C$5:C61),"000"))</f>
        <v/>
      </c>
      <c r="C61" s="12" t="n"/>
      <c r="D61" s="12" t="n"/>
      <c r="E61" s="12" t="n"/>
      <c r="F61" s="12" t="n"/>
      <c r="G61" s="12" t="n"/>
      <c r="H61" s="12" t="n"/>
      <c r="I61" s="12" t="n"/>
      <c r="J61" s="12" t="n"/>
    </row>
    <row r="62" ht="22" customHeight="1">
      <c r="B62" s="16">
        <f>IF(C62="","PER-"&amp;TEXT(COUNTA($C$5:C62),"000"))</f>
        <v/>
      </c>
      <c r="C62" s="14" t="n"/>
      <c r="D62" s="14" t="n"/>
      <c r="E62" s="14" t="n"/>
      <c r="F62" s="14" t="n"/>
      <c r="G62" s="14" t="n"/>
      <c r="H62" s="14" t="n"/>
      <c r="I62" s="14" t="n"/>
      <c r="J62" s="14" t="n"/>
    </row>
    <row r="63" ht="22" customHeight="1">
      <c r="B63" s="17">
        <f>IF(C63="","PER-"&amp;TEXT(COUNTA($C$5:C63),"000"))</f>
        <v/>
      </c>
      <c r="C63" s="12" t="n"/>
      <c r="D63" s="12" t="n"/>
      <c r="E63" s="12" t="n"/>
      <c r="F63" s="12" t="n"/>
      <c r="G63" s="12" t="n"/>
      <c r="H63" s="12" t="n"/>
      <c r="I63" s="12" t="n"/>
      <c r="J63" s="12" t="n"/>
    </row>
    <row r="64" ht="22" customHeight="1">
      <c r="B64" s="16">
        <f>IF(C64="","PER-"&amp;TEXT(COUNTA($C$5:C64),"000"))</f>
        <v/>
      </c>
      <c r="C64" s="14" t="n"/>
      <c r="D64" s="14" t="n"/>
      <c r="E64" s="14" t="n"/>
      <c r="F64" s="14" t="n"/>
      <c r="G64" s="14" t="n"/>
      <c r="H64" s="14" t="n"/>
      <c r="I64" s="14" t="n"/>
      <c r="J64" s="14" t="n"/>
    </row>
    <row r="65" ht="22" customHeight="1">
      <c r="B65" s="17">
        <f>IF(C65="","PER-"&amp;TEXT(COUNTA($C$5:C65),"000"))</f>
        <v/>
      </c>
      <c r="C65" s="12" t="n"/>
      <c r="D65" s="12" t="n"/>
      <c r="E65" s="12" t="n"/>
      <c r="F65" s="12" t="n"/>
      <c r="G65" s="12" t="n"/>
      <c r="H65" s="12" t="n"/>
      <c r="I65" s="12" t="n"/>
      <c r="J65" s="12" t="n"/>
    </row>
    <row r="66" ht="22" customHeight="1">
      <c r="B66" s="16">
        <f>IF(C66="","PER-"&amp;TEXT(COUNTA($C$5:C66),"000"))</f>
        <v/>
      </c>
      <c r="C66" s="14" t="n"/>
      <c r="D66" s="14" t="n"/>
      <c r="E66" s="14" t="n"/>
      <c r="F66" s="14" t="n"/>
      <c r="G66" s="14" t="n"/>
      <c r="H66" s="14" t="n"/>
      <c r="I66" s="14" t="n"/>
      <c r="J66" s="14" t="n"/>
    </row>
    <row r="67" ht="22" customHeight="1">
      <c r="B67" s="17">
        <f>IF(C67="","PER-"&amp;TEXT(COUNTA($C$5:C67),"000"))</f>
        <v/>
      </c>
      <c r="C67" s="12" t="n"/>
      <c r="D67" s="12" t="n"/>
      <c r="E67" s="12" t="n"/>
      <c r="F67" s="12" t="n"/>
      <c r="G67" s="12" t="n"/>
      <c r="H67" s="12" t="n"/>
      <c r="I67" s="12" t="n"/>
      <c r="J67" s="12" t="n"/>
    </row>
    <row r="68" ht="22" customHeight="1">
      <c r="B68" s="16">
        <f>IF(C68="","PER-"&amp;TEXT(COUNTA($C$5:C68),"000"))</f>
        <v/>
      </c>
      <c r="C68" s="14" t="n"/>
      <c r="D68" s="14" t="n"/>
      <c r="E68" s="14" t="n"/>
      <c r="F68" s="14" t="n"/>
      <c r="G68" s="14" t="n"/>
      <c r="H68" s="14" t="n"/>
      <c r="I68" s="14" t="n"/>
      <c r="J68" s="14" t="n"/>
    </row>
    <row r="69" ht="22" customHeight="1">
      <c r="B69" s="17">
        <f>IF(C69="","PER-"&amp;TEXT(COUNTA($C$5:C69),"000"))</f>
        <v/>
      </c>
      <c r="C69" s="12" t="n"/>
      <c r="D69" s="12" t="n"/>
      <c r="E69" s="12" t="n"/>
      <c r="F69" s="12" t="n"/>
      <c r="G69" s="12" t="n"/>
      <c r="H69" s="12" t="n"/>
      <c r="I69" s="12" t="n"/>
      <c r="J69" s="12" t="n"/>
    </row>
    <row r="70" ht="22" customHeight="1">
      <c r="B70" s="16">
        <f>IF(C70="","PER-"&amp;TEXT(COUNTA($C$5:C70),"000"))</f>
        <v/>
      </c>
      <c r="C70" s="14" t="n"/>
      <c r="D70" s="14" t="n"/>
      <c r="E70" s="14" t="n"/>
      <c r="F70" s="14" t="n"/>
      <c r="G70" s="14" t="n"/>
      <c r="H70" s="14" t="n"/>
      <c r="I70" s="14" t="n"/>
      <c r="J70" s="14" t="n"/>
    </row>
    <row r="71" ht="22" customHeight="1">
      <c r="B71" s="17">
        <f>IF(C71="","PER-"&amp;TEXT(COUNTA($C$5:C71),"000"))</f>
        <v/>
      </c>
      <c r="C71" s="12" t="n"/>
      <c r="D71" s="12" t="n"/>
      <c r="E71" s="12" t="n"/>
      <c r="F71" s="12" t="n"/>
      <c r="G71" s="12" t="n"/>
      <c r="H71" s="12" t="n"/>
      <c r="I71" s="12" t="n"/>
      <c r="J71" s="12" t="n"/>
    </row>
    <row r="72" ht="22" customHeight="1">
      <c r="B72" s="16">
        <f>IF(C72="","PER-"&amp;TEXT(COUNTA($C$5:C72),"000"))</f>
        <v/>
      </c>
      <c r="C72" s="14" t="n"/>
      <c r="D72" s="14" t="n"/>
      <c r="E72" s="14" t="n"/>
      <c r="F72" s="14" t="n"/>
      <c r="G72" s="14" t="n"/>
      <c r="H72" s="14" t="n"/>
      <c r="I72" s="14" t="n"/>
      <c r="J72" s="14" t="n"/>
    </row>
    <row r="73" ht="22" customHeight="1">
      <c r="B73" s="17">
        <f>IF(C73="","PER-"&amp;TEXT(COUNTA($C$5:C73),"000"))</f>
        <v/>
      </c>
      <c r="C73" s="12" t="n"/>
      <c r="D73" s="12" t="n"/>
      <c r="E73" s="12" t="n"/>
      <c r="F73" s="12" t="n"/>
      <c r="G73" s="12" t="n"/>
      <c r="H73" s="12" t="n"/>
      <c r="I73" s="12" t="n"/>
      <c r="J73" s="12" t="n"/>
    </row>
    <row r="74" ht="22" customHeight="1">
      <c r="B74" s="16">
        <f>IF(C74="","PER-"&amp;TEXT(COUNTA($C$5:C74),"000"))</f>
        <v/>
      </c>
      <c r="C74" s="14" t="n"/>
      <c r="D74" s="14" t="n"/>
      <c r="E74" s="14" t="n"/>
      <c r="F74" s="14" t="n"/>
      <c r="G74" s="14" t="n"/>
      <c r="H74" s="14" t="n"/>
      <c r="I74" s="14" t="n"/>
      <c r="J74" s="14" t="n"/>
    </row>
    <row r="75" ht="22" customHeight="1">
      <c r="B75" s="17">
        <f>IF(C75="","PER-"&amp;TEXT(COUNTA($C$5:C75),"000"))</f>
        <v/>
      </c>
      <c r="C75" s="12" t="n"/>
      <c r="D75" s="12" t="n"/>
      <c r="E75" s="12" t="n"/>
      <c r="F75" s="12" t="n"/>
      <c r="G75" s="12" t="n"/>
      <c r="H75" s="12" t="n"/>
      <c r="I75" s="12" t="n"/>
      <c r="J75" s="12" t="n"/>
    </row>
    <row r="76" ht="22" customHeight="1">
      <c r="B76" s="16">
        <f>IF(C76="","PER-"&amp;TEXT(COUNTA($C$5:C76),"000"))</f>
        <v/>
      </c>
      <c r="C76" s="14" t="n"/>
      <c r="D76" s="14" t="n"/>
      <c r="E76" s="14" t="n"/>
      <c r="F76" s="14" t="n"/>
      <c r="G76" s="14" t="n"/>
      <c r="H76" s="14" t="n"/>
      <c r="I76" s="14" t="n"/>
      <c r="J76" s="14" t="n"/>
    </row>
    <row r="77" ht="22" customHeight="1">
      <c r="B77" s="17">
        <f>IF(C77="","PER-"&amp;TEXT(COUNTA($C$5:C77),"000"))</f>
        <v/>
      </c>
      <c r="C77" s="12" t="n"/>
      <c r="D77" s="12" t="n"/>
      <c r="E77" s="12" t="n"/>
      <c r="F77" s="12" t="n"/>
      <c r="G77" s="12" t="n"/>
      <c r="H77" s="12" t="n"/>
      <c r="I77" s="12" t="n"/>
      <c r="J77" s="12" t="n"/>
    </row>
    <row r="78" ht="22" customHeight="1">
      <c r="B78" s="16">
        <f>IF(C78="","PER-"&amp;TEXT(COUNTA($C$5:C78),"000"))</f>
        <v/>
      </c>
      <c r="C78" s="14" t="n"/>
      <c r="D78" s="14" t="n"/>
      <c r="E78" s="14" t="n"/>
      <c r="F78" s="14" t="n"/>
      <c r="G78" s="14" t="n"/>
      <c r="H78" s="14" t="n"/>
      <c r="I78" s="14" t="n"/>
      <c r="J78" s="14" t="n"/>
    </row>
    <row r="79" ht="22" customHeight="1">
      <c r="B79" s="17">
        <f>IF(C79="","PER-"&amp;TEXT(COUNTA($C$5:C79),"000"))</f>
        <v/>
      </c>
      <c r="C79" s="12" t="n"/>
      <c r="D79" s="12" t="n"/>
      <c r="E79" s="12" t="n"/>
      <c r="F79" s="12" t="n"/>
      <c r="G79" s="12" t="n"/>
      <c r="H79" s="12" t="n"/>
      <c r="I79" s="12" t="n"/>
      <c r="J79" s="12" t="n"/>
    </row>
    <row r="80" ht="22" customHeight="1">
      <c r="B80" s="16">
        <f>IF(C80="","PER-"&amp;TEXT(COUNTA($C$5:C80),"000"))</f>
        <v/>
      </c>
      <c r="C80" s="14" t="n"/>
      <c r="D80" s="14" t="n"/>
      <c r="E80" s="14" t="n"/>
      <c r="F80" s="14" t="n"/>
      <c r="G80" s="14" t="n"/>
      <c r="H80" s="14" t="n"/>
      <c r="I80" s="14" t="n"/>
      <c r="J80" s="14" t="n"/>
    </row>
    <row r="81" ht="22" customHeight="1">
      <c r="B81" s="17">
        <f>IF(C81="","PER-"&amp;TEXT(COUNTA($C$5:C81),"000"))</f>
        <v/>
      </c>
      <c r="C81" s="12" t="n"/>
      <c r="D81" s="12" t="n"/>
      <c r="E81" s="12" t="n"/>
      <c r="F81" s="12" t="n"/>
      <c r="G81" s="12" t="n"/>
      <c r="H81" s="12" t="n"/>
      <c r="I81" s="12" t="n"/>
      <c r="J81" s="12" t="n"/>
    </row>
    <row r="82" ht="22" customHeight="1">
      <c r="B82" s="16">
        <f>IF(C82="","PER-"&amp;TEXT(COUNTA($C$5:C82),"000"))</f>
        <v/>
      </c>
      <c r="C82" s="14" t="n"/>
      <c r="D82" s="14" t="n"/>
      <c r="E82" s="14" t="n"/>
      <c r="F82" s="14" t="n"/>
      <c r="G82" s="14" t="n"/>
      <c r="H82" s="14" t="n"/>
      <c r="I82" s="14" t="n"/>
      <c r="J82" s="14" t="n"/>
    </row>
    <row r="83" ht="22" customHeight="1">
      <c r="B83" s="17">
        <f>IF(C83="","PER-"&amp;TEXT(COUNTA($C$5:C83),"000"))</f>
        <v/>
      </c>
      <c r="C83" s="12" t="n"/>
      <c r="D83" s="12" t="n"/>
      <c r="E83" s="12" t="n"/>
      <c r="F83" s="12" t="n"/>
      <c r="G83" s="12" t="n"/>
      <c r="H83" s="12" t="n"/>
      <c r="I83" s="12" t="n"/>
      <c r="J83" s="12" t="n"/>
    </row>
    <row r="84" ht="22" customHeight="1">
      <c r="B84" s="16">
        <f>IF(C84="","PER-"&amp;TEXT(COUNTA($C$5:C84),"000"))</f>
        <v/>
      </c>
      <c r="C84" s="14" t="n"/>
      <c r="D84" s="14" t="n"/>
      <c r="E84" s="14" t="n"/>
      <c r="F84" s="14" t="n"/>
      <c r="G84" s="14" t="n"/>
      <c r="H84" s="14" t="n"/>
      <c r="I84" s="14" t="n"/>
      <c r="J84" s="14" t="n"/>
    </row>
    <row r="85" ht="22" customHeight="1">
      <c r="B85" s="17">
        <f>IF(C85="","PER-"&amp;TEXT(COUNTA($C$5:C85),"000"))</f>
        <v/>
      </c>
      <c r="C85" s="12" t="n"/>
      <c r="D85" s="12" t="n"/>
      <c r="E85" s="12" t="n"/>
      <c r="F85" s="12" t="n"/>
      <c r="G85" s="12" t="n"/>
      <c r="H85" s="12" t="n"/>
      <c r="I85" s="12" t="n"/>
      <c r="J85" s="12" t="n"/>
    </row>
    <row r="86" ht="22" customHeight="1">
      <c r="B86" s="16">
        <f>IF(C86="","PER-"&amp;TEXT(COUNTA($C$5:C86),"000"))</f>
        <v/>
      </c>
      <c r="C86" s="14" t="n"/>
      <c r="D86" s="14" t="n"/>
      <c r="E86" s="14" t="n"/>
      <c r="F86" s="14" t="n"/>
      <c r="G86" s="14" t="n"/>
      <c r="H86" s="14" t="n"/>
      <c r="I86" s="14" t="n"/>
      <c r="J86" s="14" t="n"/>
    </row>
    <row r="87" ht="22" customHeight="1">
      <c r="B87" s="17">
        <f>IF(C87="","PER-"&amp;TEXT(COUNTA($C$5:C87),"000"))</f>
        <v/>
      </c>
      <c r="C87" s="12" t="n"/>
      <c r="D87" s="12" t="n"/>
      <c r="E87" s="12" t="n"/>
      <c r="F87" s="12" t="n"/>
      <c r="G87" s="12" t="n"/>
      <c r="H87" s="12" t="n"/>
      <c r="I87" s="12" t="n"/>
      <c r="J87" s="12" t="n"/>
    </row>
    <row r="88" ht="22" customHeight="1">
      <c r="B88" s="16">
        <f>IF(C88="","PER-"&amp;TEXT(COUNTA($C$5:C88),"000"))</f>
        <v/>
      </c>
      <c r="C88" s="14" t="n"/>
      <c r="D88" s="14" t="n"/>
      <c r="E88" s="14" t="n"/>
      <c r="F88" s="14" t="n"/>
      <c r="G88" s="14" t="n"/>
      <c r="H88" s="14" t="n"/>
      <c r="I88" s="14" t="n"/>
      <c r="J88" s="14" t="n"/>
    </row>
    <row r="89" ht="22" customHeight="1">
      <c r="B89" s="17">
        <f>IF(C89="","PER-"&amp;TEXT(COUNTA($C$5:C89),"000"))</f>
        <v/>
      </c>
      <c r="C89" s="12" t="n"/>
      <c r="D89" s="12" t="n"/>
      <c r="E89" s="12" t="n"/>
      <c r="F89" s="12" t="n"/>
      <c r="G89" s="12" t="n"/>
      <c r="H89" s="12" t="n"/>
      <c r="I89" s="12" t="n"/>
      <c r="J89" s="12" t="n"/>
    </row>
    <row r="90" ht="22" customHeight="1">
      <c r="B90" s="16">
        <f>IF(C90="","PER-"&amp;TEXT(COUNTA($C$5:C90),"000"))</f>
        <v/>
      </c>
      <c r="C90" s="14" t="n"/>
      <c r="D90" s="14" t="n"/>
      <c r="E90" s="14" t="n"/>
      <c r="F90" s="14" t="n"/>
      <c r="G90" s="14" t="n"/>
      <c r="H90" s="14" t="n"/>
      <c r="I90" s="14" t="n"/>
      <c r="J90" s="14" t="n"/>
    </row>
    <row r="91" ht="22" customHeight="1">
      <c r="B91" s="17">
        <f>IF(C91="","PER-"&amp;TEXT(COUNTA($C$5:C91),"000"))</f>
        <v/>
      </c>
      <c r="C91" s="12" t="n"/>
      <c r="D91" s="12" t="n"/>
      <c r="E91" s="12" t="n"/>
      <c r="F91" s="12" t="n"/>
      <c r="G91" s="12" t="n"/>
      <c r="H91" s="12" t="n"/>
      <c r="I91" s="12" t="n"/>
      <c r="J91" s="12" t="n"/>
    </row>
    <row r="92" ht="22" customHeight="1">
      <c r="B92" s="16">
        <f>IF(C92="","PER-"&amp;TEXT(COUNTA($C$5:C92),"000"))</f>
        <v/>
      </c>
      <c r="C92" s="14" t="n"/>
      <c r="D92" s="14" t="n"/>
      <c r="E92" s="14" t="n"/>
      <c r="F92" s="14" t="n"/>
      <c r="G92" s="14" t="n"/>
      <c r="H92" s="14" t="n"/>
      <c r="I92" s="14" t="n"/>
      <c r="J92" s="14" t="n"/>
    </row>
    <row r="93" ht="22" customHeight="1">
      <c r="B93" s="17">
        <f>IF(C93="","PER-"&amp;TEXT(COUNTA($C$5:C93),"000"))</f>
        <v/>
      </c>
      <c r="C93" s="12" t="n"/>
      <c r="D93" s="12" t="n"/>
      <c r="E93" s="12" t="n"/>
      <c r="F93" s="12" t="n"/>
      <c r="G93" s="12" t="n"/>
      <c r="H93" s="12" t="n"/>
      <c r="I93" s="12" t="n"/>
      <c r="J93" s="12" t="n"/>
    </row>
    <row r="94" ht="22" customHeight="1">
      <c r="B94" s="16">
        <f>IF(C94="","PER-"&amp;TEXT(COUNTA($C$5:C94),"000"))</f>
        <v/>
      </c>
      <c r="C94" s="14" t="n"/>
      <c r="D94" s="14" t="n"/>
      <c r="E94" s="14" t="n"/>
      <c r="F94" s="14" t="n"/>
      <c r="G94" s="14" t="n"/>
      <c r="H94" s="14" t="n"/>
      <c r="I94" s="14" t="n"/>
      <c r="J94" s="14" t="n"/>
    </row>
    <row r="95" ht="22" customHeight="1">
      <c r="B95" s="17">
        <f>IF(C95="","PER-"&amp;TEXT(COUNTA($C$5:C95),"000"))</f>
        <v/>
      </c>
      <c r="C95" s="12" t="n"/>
      <c r="D95" s="12" t="n"/>
      <c r="E95" s="12" t="n"/>
      <c r="F95" s="12" t="n"/>
      <c r="G95" s="12" t="n"/>
      <c r="H95" s="12" t="n"/>
      <c r="I95" s="12" t="n"/>
      <c r="J95" s="12" t="n"/>
    </row>
    <row r="96" ht="22" customHeight="1">
      <c r="B96" s="16">
        <f>IF(C96="","PER-"&amp;TEXT(COUNTA($C$5:C96),"000"))</f>
        <v/>
      </c>
      <c r="C96" s="14" t="n"/>
      <c r="D96" s="14" t="n"/>
      <c r="E96" s="14" t="n"/>
      <c r="F96" s="14" t="n"/>
      <c r="G96" s="14" t="n"/>
      <c r="H96" s="14" t="n"/>
      <c r="I96" s="14" t="n"/>
      <c r="J96" s="14" t="n"/>
    </row>
    <row r="97" ht="22" customHeight="1">
      <c r="B97" s="17">
        <f>IF(C97="","PER-"&amp;TEXT(COUNTA($C$5:C97),"000"))</f>
        <v/>
      </c>
      <c r="C97" s="12" t="n"/>
      <c r="D97" s="12" t="n"/>
      <c r="E97" s="12" t="n"/>
      <c r="F97" s="12" t="n"/>
      <c r="G97" s="12" t="n"/>
      <c r="H97" s="12" t="n"/>
      <c r="I97" s="12" t="n"/>
      <c r="J97" s="12" t="n"/>
    </row>
    <row r="98" ht="22" customHeight="1">
      <c r="B98" s="16">
        <f>IF(C98="","PER-"&amp;TEXT(COUNTA($C$5:C98),"000"))</f>
        <v/>
      </c>
      <c r="C98" s="14" t="n"/>
      <c r="D98" s="14" t="n"/>
      <c r="E98" s="14" t="n"/>
      <c r="F98" s="14" t="n"/>
      <c r="G98" s="14" t="n"/>
      <c r="H98" s="14" t="n"/>
      <c r="I98" s="14" t="n"/>
      <c r="J98" s="14" t="n"/>
    </row>
    <row r="99" ht="22" customHeight="1">
      <c r="B99" s="17">
        <f>IF(C99="","PER-"&amp;TEXT(COUNTA($C$5:C99),"000"))</f>
        <v/>
      </c>
      <c r="C99" s="12" t="n"/>
      <c r="D99" s="12" t="n"/>
      <c r="E99" s="12" t="n"/>
      <c r="F99" s="12" t="n"/>
      <c r="G99" s="12" t="n"/>
      <c r="H99" s="12" t="n"/>
      <c r="I99" s="12" t="n"/>
      <c r="J99" s="12" t="n"/>
    </row>
    <row r="100" ht="22" customHeight="1">
      <c r="B100" s="16">
        <f>IF(C100="","PER-"&amp;TEXT(COUNTA($C$5:C100),"000"))</f>
        <v/>
      </c>
      <c r="C100" s="14" t="n"/>
      <c r="D100" s="14" t="n"/>
      <c r="E100" s="14" t="n"/>
      <c r="F100" s="14" t="n"/>
      <c r="G100" s="14" t="n"/>
      <c r="H100" s="14" t="n"/>
      <c r="I100" s="14" t="n"/>
      <c r="J100" s="14" t="n"/>
    </row>
    <row r="101" ht="22" customHeight="1">
      <c r="B101" s="17">
        <f>IF(C101="","PER-"&amp;TEXT(COUNTA($C$5:C101),"000"))</f>
        <v/>
      </c>
      <c r="C101" s="12" t="n"/>
      <c r="D101" s="12" t="n"/>
      <c r="E101" s="12" t="n"/>
      <c r="F101" s="12" t="n"/>
      <c r="G101" s="12" t="n"/>
      <c r="H101" s="12" t="n"/>
      <c r="I101" s="12" t="n"/>
      <c r="J101" s="12" t="n"/>
    </row>
    <row r="102" ht="22" customHeight="1">
      <c r="B102" s="16">
        <f>IF(C102="","PER-"&amp;TEXT(COUNTA($C$5:C102),"000"))</f>
        <v/>
      </c>
      <c r="C102" s="14" t="n"/>
      <c r="D102" s="14" t="n"/>
      <c r="E102" s="14" t="n"/>
      <c r="F102" s="14" t="n"/>
      <c r="G102" s="14" t="n"/>
      <c r="H102" s="14" t="n"/>
      <c r="I102" s="14" t="n"/>
      <c r="J102" s="14" t="n"/>
    </row>
    <row r="103" ht="22" customHeight="1">
      <c r="B103" s="17">
        <f>IF(C103="","PER-"&amp;TEXT(COUNTA($C$5:C103),"000"))</f>
        <v/>
      </c>
      <c r="C103" s="12" t="n"/>
      <c r="D103" s="12" t="n"/>
      <c r="E103" s="12" t="n"/>
      <c r="F103" s="12" t="n"/>
      <c r="G103" s="12" t="n"/>
      <c r="H103" s="12" t="n"/>
      <c r="I103" s="12" t="n"/>
      <c r="J103" s="12" t="n"/>
    </row>
    <row r="104" ht="22" customHeight="1">
      <c r="B104" s="16">
        <f>IF(C104="","PER-"&amp;TEXT(COUNTA($C$5:C104),"000"))</f>
        <v/>
      </c>
      <c r="C104" s="14" t="n"/>
      <c r="D104" s="14" t="n"/>
      <c r="E104" s="14" t="n"/>
      <c r="F104" s="14" t="n"/>
      <c r="G104" s="14" t="n"/>
      <c r="H104" s="14" t="n"/>
      <c r="I104" s="14" t="n"/>
      <c r="J104" s="14" t="n"/>
    </row>
    <row r="105" ht="22" customHeight="1">
      <c r="B105" s="17">
        <f>IF(C105="","PER-"&amp;TEXT(COUNTA($C$5:C105),"000"))</f>
        <v/>
      </c>
      <c r="C105" s="12" t="n"/>
      <c r="D105" s="12" t="n"/>
      <c r="E105" s="12" t="n"/>
      <c r="F105" s="12" t="n"/>
      <c r="G105" s="12" t="n"/>
      <c r="H105" s="12" t="n"/>
      <c r="I105" s="12" t="n"/>
      <c r="J105" s="12" t="n"/>
    </row>
    <row r="106" ht="22" customHeight="1">
      <c r="B106" s="16">
        <f>IF(C106="","PER-"&amp;TEXT(COUNTA($C$5:C106),"000"))</f>
        <v/>
      </c>
      <c r="C106" s="14" t="n"/>
      <c r="D106" s="14" t="n"/>
      <c r="E106" s="14" t="n"/>
      <c r="F106" s="14" t="n"/>
      <c r="G106" s="14" t="n"/>
      <c r="H106" s="14" t="n"/>
      <c r="I106" s="14" t="n"/>
      <c r="J106" s="14" t="n"/>
    </row>
    <row r="107" ht="22" customHeight="1">
      <c r="B107" s="17">
        <f>IF(C107="","PER-"&amp;TEXT(COUNTA($C$5:C107),"000"))</f>
        <v/>
      </c>
      <c r="C107" s="12" t="n"/>
      <c r="D107" s="12" t="n"/>
      <c r="E107" s="12" t="n"/>
      <c r="F107" s="12" t="n"/>
      <c r="G107" s="12" t="n"/>
      <c r="H107" s="12" t="n"/>
      <c r="I107" s="12" t="n"/>
      <c r="J107" s="12" t="n"/>
    </row>
    <row r="108" ht="22" customHeight="1">
      <c r="B108" s="16">
        <f>IF(C108="","PER-"&amp;TEXT(COUNTA($C$5:C108),"000"))</f>
        <v/>
      </c>
      <c r="C108" s="14" t="n"/>
      <c r="D108" s="14" t="n"/>
      <c r="E108" s="14" t="n"/>
      <c r="F108" s="14" t="n"/>
      <c r="G108" s="14" t="n"/>
      <c r="H108" s="14" t="n"/>
      <c r="I108" s="14" t="n"/>
      <c r="J108" s="14" t="n"/>
    </row>
    <row r="109" ht="22" customHeight="1">
      <c r="B109" s="17">
        <f>IF(C109="","PER-"&amp;TEXT(COUNTA($C$5:C109),"000"))</f>
        <v/>
      </c>
      <c r="C109" s="12" t="n"/>
      <c r="D109" s="12" t="n"/>
      <c r="E109" s="12" t="n"/>
      <c r="F109" s="12" t="n"/>
      <c r="G109" s="12" t="n"/>
      <c r="H109" s="12" t="n"/>
      <c r="I109" s="12" t="n"/>
      <c r="J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Categories definies</t>
        </is>
      </c>
    </row>
    <row r="113">
      <c r="B113" s="4">
        <f>COUNTIF(B5:B104,"&lt;&gt;")</f>
        <v/>
      </c>
    </row>
  </sheetData>
  <mergeCells count="3">
    <mergeCell ref="B3:J3"/>
    <mergeCell ref="B2:J2"/>
    <mergeCell ref="B111:J111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dataValidations count="6">
    <dataValidation sqref="D5:D109" showDropDown="0" showInputMessage="0" showErrorMessage="0" allowBlank="1" errorTitle="Erreur" error="Valeur invalide" promptTitle="Liste" prompt="Choisir dans la liste" type="list">
      <formula1>'_Lists'!$R$2:$R$6</formula1>
    </dataValidation>
    <dataValidation sqref="E5:E109" showDropDown="0" showInputMessage="0" showErrorMessage="0" allowBlank="1" errorTitle="Erreur" error="Valeur invalide" promptTitle="Liste" prompt="Choisir dans la liste" type="list">
      <formula1>'_Lists'!$R$2:$R$6</formula1>
    </dataValidation>
    <dataValidation sqref="F5:F109" showDropDown="0" showInputMessage="0" showErrorMessage="0" allowBlank="1" errorTitle="Erreur" error="Valeur invalide" promptTitle="Liste" prompt="Choisir dans la liste" type="list">
      <formula1>'_Lists'!$R$2:$R$6</formula1>
    </dataValidation>
    <dataValidation sqref="G5:G109" showDropDown="0" showInputMessage="0" showErrorMessage="0" allowBlank="1" errorTitle="Erreur" error="Valeur invalide" promptTitle="Liste" prompt="Choisir dans la liste" type="list">
      <formula1>'_Lists'!$R$2:$R$6</formula1>
    </dataValidation>
    <dataValidation sqref="H5:H109" showDropDown="0" showInputMessage="0" showErrorMessage="0" allowBlank="1" errorTitle="Erreur" error="Valeur invalide" promptTitle="Liste" prompt="Choisir dans la liste" type="list">
      <formula1>'_Lists'!$R$2:$R$6</formula1>
    </dataValidation>
    <dataValidation sqref="I5:I109" showDropDown="0" showInputMessage="0" showErrorMessage="0" allowBlank="1" errorTitle="Erreur" error="Valeur invalide" promptTitle="Liste" prompt="Choisir dans la liste" type="list">
      <formula1>'_Lists'!$R$2:$R$6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30" customWidth="1" min="3" max="3"/>
    <col width="24" customWidth="1" min="4" max="4"/>
    <col width="14" customWidth="1" min="5" max="5"/>
    <col width="16" customWidth="1" min="6" max="6"/>
    <col width="18" customWidth="1" min="7" max="7"/>
    <col width="20" customWidth="1" min="8" max="8"/>
    <col width="22" customWidth="1" min="9" max="9"/>
    <col width="18" customWidth="1" min="10" max="10"/>
    <col width="14" customWidth="1" min="11" max="11"/>
  </cols>
  <sheetData>
    <row r="1" ht="15" customHeight="1"/>
    <row r="2" ht="32" customHeight="1">
      <c r="B2" s="1" t="inlineStr">
        <is>
          <t>SUIVI MISES À JOUR DOCUMENTS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Document</t>
        </is>
      </c>
      <c r="D4" s="11" t="inlineStr">
        <is>
          <t>Type Document</t>
        </is>
      </c>
      <c r="E4" s="11" t="inlineStr">
        <is>
          <t>Derniere MAJ</t>
        </is>
      </c>
      <c r="F4" s="11" t="inlineStr">
        <is>
          <t>Frequence MAJ</t>
        </is>
      </c>
      <c r="G4" s="11" t="inlineStr">
        <is>
          <t>Jours depuis MAJ</t>
        </is>
      </c>
      <c r="H4" s="11" t="inlineStr">
        <is>
          <t>Prochaine MAJ Prevue</t>
        </is>
      </c>
      <c r="I4" s="11" t="inlineStr">
        <is>
          <t>Jours avant Prochaine</t>
        </is>
      </c>
      <c r="J4" s="11" t="inlineStr">
        <is>
          <t>Responsable</t>
        </is>
      </c>
      <c r="K4" s="11" t="inlineStr">
        <is>
          <t>Statut</t>
        </is>
      </c>
    </row>
    <row r="5" ht="22" customHeight="1">
      <c r="B5" s="12" t="inlineStr">
        <is>
          <t>MAJ-001</t>
        </is>
      </c>
      <c r="C5" s="12" t="inlineStr">
        <is>
          <t>Reglement interieur</t>
        </is>
      </c>
      <c r="D5" s="12" t="inlineStr">
        <is>
          <t>Reglement interieur</t>
        </is>
      </c>
      <c r="E5" s="29" t="n">
        <v>45458</v>
      </c>
      <c r="F5" s="12" t="inlineStr">
        <is>
          <t>Annuelle</t>
        </is>
      </c>
      <c r="G5" s="18" t="n"/>
      <c r="H5" s="29" t="n">
        <v>45823</v>
      </c>
      <c r="I5" s="18" t="n"/>
      <c r="J5" s="12" t="inlineStr">
        <is>
          <t>DRH</t>
        </is>
      </c>
      <c r="K5" s="12" t="inlineStr">
        <is>
          <t>En retard</t>
        </is>
      </c>
    </row>
    <row r="6" ht="22" customHeight="1">
      <c r="B6" s="14" t="inlineStr">
        <is>
          <t>MAJ-002</t>
        </is>
      </c>
      <c r="C6" s="14" t="inlineStr">
        <is>
          <t>Grille salariale</t>
        </is>
      </c>
      <c r="D6" s="14" t="inlineStr">
        <is>
          <t>Politique RH</t>
        </is>
      </c>
      <c r="E6" s="30" t="n">
        <v>45667</v>
      </c>
      <c r="F6" s="14" t="inlineStr">
        <is>
          <t>Annuelle</t>
        </is>
      </c>
      <c r="G6" s="19" t="n"/>
      <c r="H6" s="30" t="n">
        <v>46032</v>
      </c>
      <c r="I6" s="19" t="n"/>
      <c r="J6" s="14" t="inlineStr">
        <is>
          <t>DRH + DAF</t>
        </is>
      </c>
      <c r="K6" s="14" t="inlineStr">
        <is>
          <t>En cours</t>
        </is>
      </c>
    </row>
    <row r="7" ht="22" customHeight="1">
      <c r="B7" s="12" t="inlineStr">
        <is>
          <t>MAJ-003</t>
        </is>
      </c>
      <c r="C7" s="12" t="inlineStr">
        <is>
          <t>Plan formation annuel</t>
        </is>
      </c>
      <c r="D7" s="12" t="inlineStr">
        <is>
          <t>Plan de formation</t>
        </is>
      </c>
      <c r="E7" s="29" t="n">
        <v>45662</v>
      </c>
      <c r="F7" s="12" t="inlineStr">
        <is>
          <t>Annuelle</t>
        </is>
      </c>
      <c r="G7" s="18" t="n"/>
      <c r="H7" s="29" t="n">
        <v>46027</v>
      </c>
      <c r="I7" s="18" t="n"/>
      <c r="J7" s="12" t="inlineStr">
        <is>
          <t>DRH</t>
        </is>
      </c>
      <c r="K7" s="12" t="inlineStr">
        <is>
          <t>En cours</t>
        </is>
      </c>
    </row>
    <row r="8" ht="22" customHeight="1">
      <c r="B8" s="14" t="inlineStr">
        <is>
          <t>MAJ-004</t>
        </is>
      </c>
      <c r="C8" s="14" t="inlineStr">
        <is>
          <t>Organigramme hotel</t>
        </is>
      </c>
      <c r="D8" s="14" t="inlineStr">
        <is>
          <t>Note de service</t>
        </is>
      </c>
      <c r="E8" s="30" t="n">
        <v>45717</v>
      </c>
      <c r="F8" s="14" t="inlineStr">
        <is>
          <t>Semestrielle</t>
        </is>
      </c>
      <c r="G8" s="19" t="n"/>
      <c r="H8" s="30" t="n">
        <v>45901</v>
      </c>
      <c r="I8" s="19" t="n"/>
      <c r="J8" s="14" t="inlineStr">
        <is>
          <t>DRH</t>
        </is>
      </c>
      <c r="K8" s="14" t="inlineStr">
        <is>
          <t>En cours</t>
        </is>
      </c>
    </row>
    <row r="9" ht="22" customHeight="1">
      <c r="B9" s="12" t="inlineStr">
        <is>
          <t>MAJ-005</t>
        </is>
      </c>
      <c r="C9" s="12" t="inlineStr">
        <is>
          <t>Liste contacts urgences</t>
        </is>
      </c>
      <c r="D9" s="12" t="inlineStr">
        <is>
          <t>Autre</t>
        </is>
      </c>
      <c r="E9" s="29" t="n">
        <v>45778</v>
      </c>
      <c r="F9" s="12" t="inlineStr">
        <is>
          <t>Trimestrielle</t>
        </is>
      </c>
      <c r="G9" s="18" t="n"/>
      <c r="H9" s="29" t="n">
        <v>45870</v>
      </c>
      <c r="I9" s="18" t="n"/>
      <c r="J9" s="12" t="inlineStr">
        <is>
          <t>Assistante RH</t>
        </is>
      </c>
      <c r="K9" s="12" t="inlineStr">
        <is>
          <t>En cours</t>
        </is>
      </c>
    </row>
    <row r="10" ht="22" customHeight="1">
      <c r="B10" s="16">
        <f>IF(C10="","MAJ-"&amp;TEXT(COUNTA($C$5:C10),"000"))</f>
        <v/>
      </c>
      <c r="C10" s="14" t="n"/>
      <c r="D10" s="14" t="n"/>
      <c r="E10" s="30" t="n"/>
      <c r="F10" s="14" t="n"/>
      <c r="G10" s="19">
        <f>IF(F10="","",TODAY()-F10)</f>
        <v/>
      </c>
      <c r="H10" s="30" t="n"/>
      <c r="I10" s="19">
        <f>IF(H10="","",H10-TODAY())</f>
        <v/>
      </c>
      <c r="J10" s="14" t="n"/>
      <c r="K10" s="14" t="n"/>
    </row>
    <row r="11" ht="22" customHeight="1">
      <c r="B11" s="17">
        <f>IF(C11="","MAJ-"&amp;TEXT(COUNTA($C$5:C11),"000"))</f>
        <v/>
      </c>
      <c r="C11" s="12" t="n"/>
      <c r="D11" s="12" t="n"/>
      <c r="E11" s="29" t="n"/>
      <c r="F11" s="12" t="n"/>
      <c r="G11" s="18">
        <f>IF(F11="","",TODAY()-F11)</f>
        <v/>
      </c>
      <c r="H11" s="29" t="n"/>
      <c r="I11" s="18">
        <f>IF(H11="","",H11-TODAY())</f>
        <v/>
      </c>
      <c r="J11" s="12" t="n"/>
      <c r="K11" s="12" t="n"/>
    </row>
    <row r="12" ht="22" customHeight="1">
      <c r="B12" s="16">
        <f>IF(C12="","MAJ-"&amp;TEXT(COUNTA($C$5:C12),"000"))</f>
        <v/>
      </c>
      <c r="C12" s="14" t="n"/>
      <c r="D12" s="14" t="n"/>
      <c r="E12" s="30" t="n"/>
      <c r="F12" s="14" t="n"/>
      <c r="G12" s="19">
        <f>IF(F12="","",TODAY()-F12)</f>
        <v/>
      </c>
      <c r="H12" s="30" t="n"/>
      <c r="I12" s="19">
        <f>IF(H12="","",H12-TODAY())</f>
        <v/>
      </c>
      <c r="J12" s="14" t="n"/>
      <c r="K12" s="14" t="n"/>
    </row>
    <row r="13" ht="22" customHeight="1">
      <c r="B13" s="17">
        <f>IF(C13="","MAJ-"&amp;TEXT(COUNTA($C$5:C13),"000"))</f>
        <v/>
      </c>
      <c r="C13" s="12" t="n"/>
      <c r="D13" s="12" t="n"/>
      <c r="E13" s="29" t="n"/>
      <c r="F13" s="12" t="n"/>
      <c r="G13" s="18">
        <f>IF(F13="","",TODAY()-F13)</f>
        <v/>
      </c>
      <c r="H13" s="29" t="n"/>
      <c r="I13" s="18">
        <f>IF(H13="","",H13-TODAY())</f>
        <v/>
      </c>
      <c r="J13" s="12" t="n"/>
      <c r="K13" s="12" t="n"/>
    </row>
    <row r="14" ht="22" customHeight="1">
      <c r="B14" s="16">
        <f>IF(C14="","MAJ-"&amp;TEXT(COUNTA($C$5:C14),"000"))</f>
        <v/>
      </c>
      <c r="C14" s="14" t="n"/>
      <c r="D14" s="14" t="n"/>
      <c r="E14" s="30" t="n"/>
      <c r="F14" s="14" t="n"/>
      <c r="G14" s="19">
        <f>IF(F14="","",TODAY()-F14)</f>
        <v/>
      </c>
      <c r="H14" s="30" t="n"/>
      <c r="I14" s="19">
        <f>IF(H14="","",H14-TODAY())</f>
        <v/>
      </c>
      <c r="J14" s="14" t="n"/>
      <c r="K14" s="14" t="n"/>
    </row>
    <row r="15" ht="22" customHeight="1">
      <c r="B15" s="17">
        <f>IF(C15="","MAJ-"&amp;TEXT(COUNTA($C$5:C15),"000"))</f>
        <v/>
      </c>
      <c r="C15" s="12" t="n"/>
      <c r="D15" s="12" t="n"/>
      <c r="E15" s="29" t="n"/>
      <c r="F15" s="12" t="n"/>
      <c r="G15" s="18">
        <f>IF(F15="","",TODAY()-F15)</f>
        <v/>
      </c>
      <c r="H15" s="29" t="n"/>
      <c r="I15" s="18">
        <f>IF(H15="","",H15-TODAY())</f>
        <v/>
      </c>
      <c r="J15" s="12" t="n"/>
      <c r="K15" s="12" t="n"/>
    </row>
    <row r="16" ht="22" customHeight="1">
      <c r="B16" s="16">
        <f>IF(C16="","MAJ-"&amp;TEXT(COUNTA($C$5:C16),"000"))</f>
        <v/>
      </c>
      <c r="C16" s="14" t="n"/>
      <c r="D16" s="14" t="n"/>
      <c r="E16" s="30" t="n"/>
      <c r="F16" s="14" t="n"/>
      <c r="G16" s="19">
        <f>IF(F16="","",TODAY()-F16)</f>
        <v/>
      </c>
      <c r="H16" s="30" t="n"/>
      <c r="I16" s="19">
        <f>IF(H16="","",H16-TODAY())</f>
        <v/>
      </c>
      <c r="J16" s="14" t="n"/>
      <c r="K16" s="14" t="n"/>
    </row>
    <row r="17" ht="22" customHeight="1">
      <c r="B17" s="17">
        <f>IF(C17="","MAJ-"&amp;TEXT(COUNTA($C$5:C17),"000"))</f>
        <v/>
      </c>
      <c r="C17" s="12" t="n"/>
      <c r="D17" s="12" t="n"/>
      <c r="E17" s="29" t="n"/>
      <c r="F17" s="12" t="n"/>
      <c r="G17" s="18">
        <f>IF(F17="","",TODAY()-F17)</f>
        <v/>
      </c>
      <c r="H17" s="29" t="n"/>
      <c r="I17" s="18">
        <f>IF(H17="","",H17-TODAY())</f>
        <v/>
      </c>
      <c r="J17" s="12" t="n"/>
      <c r="K17" s="12" t="n"/>
    </row>
    <row r="18" ht="22" customHeight="1">
      <c r="B18" s="16">
        <f>IF(C18="","MAJ-"&amp;TEXT(COUNTA($C$5:C18),"000"))</f>
        <v/>
      </c>
      <c r="C18" s="14" t="n"/>
      <c r="D18" s="14" t="n"/>
      <c r="E18" s="30" t="n"/>
      <c r="F18" s="14" t="n"/>
      <c r="G18" s="19">
        <f>IF(F18="","",TODAY()-F18)</f>
        <v/>
      </c>
      <c r="H18" s="30" t="n"/>
      <c r="I18" s="19">
        <f>IF(H18="","",H18-TODAY())</f>
        <v/>
      </c>
      <c r="J18" s="14" t="n"/>
      <c r="K18" s="14" t="n"/>
    </row>
    <row r="19" ht="22" customHeight="1">
      <c r="B19" s="17">
        <f>IF(C19="","MAJ-"&amp;TEXT(COUNTA($C$5:C19),"000"))</f>
        <v/>
      </c>
      <c r="C19" s="12" t="n"/>
      <c r="D19" s="12" t="n"/>
      <c r="E19" s="29" t="n"/>
      <c r="F19" s="12" t="n"/>
      <c r="G19" s="18">
        <f>IF(F19="","",TODAY()-F19)</f>
        <v/>
      </c>
      <c r="H19" s="29" t="n"/>
      <c r="I19" s="18">
        <f>IF(H19="","",H19-TODAY())</f>
        <v/>
      </c>
      <c r="J19" s="12" t="n"/>
      <c r="K19" s="12" t="n"/>
    </row>
    <row r="20" ht="22" customHeight="1">
      <c r="B20" s="16">
        <f>IF(C20="","MAJ-"&amp;TEXT(COUNTA($C$5:C20),"000"))</f>
        <v/>
      </c>
      <c r="C20" s="14" t="n"/>
      <c r="D20" s="14" t="n"/>
      <c r="E20" s="30" t="n"/>
      <c r="F20" s="14" t="n"/>
      <c r="G20" s="19">
        <f>IF(F20="","",TODAY()-F20)</f>
        <v/>
      </c>
      <c r="H20" s="30" t="n"/>
      <c r="I20" s="19">
        <f>IF(H20="","",H20-TODAY())</f>
        <v/>
      </c>
      <c r="J20" s="14" t="n"/>
      <c r="K20" s="14" t="n"/>
    </row>
    <row r="21" ht="22" customHeight="1">
      <c r="B21" s="17">
        <f>IF(C21="","MAJ-"&amp;TEXT(COUNTA($C$5:C21),"000"))</f>
        <v/>
      </c>
      <c r="C21" s="12" t="n"/>
      <c r="D21" s="12" t="n"/>
      <c r="E21" s="29" t="n"/>
      <c r="F21" s="12" t="n"/>
      <c r="G21" s="18">
        <f>IF(F21="","",TODAY()-F21)</f>
        <v/>
      </c>
      <c r="H21" s="29" t="n"/>
      <c r="I21" s="18">
        <f>IF(H21="","",H21-TODAY())</f>
        <v/>
      </c>
      <c r="J21" s="12" t="n"/>
      <c r="K21" s="12" t="n"/>
    </row>
    <row r="22" ht="22" customHeight="1">
      <c r="B22" s="16">
        <f>IF(C22="","MAJ-"&amp;TEXT(COUNTA($C$5:C22),"000"))</f>
        <v/>
      </c>
      <c r="C22" s="14" t="n"/>
      <c r="D22" s="14" t="n"/>
      <c r="E22" s="30" t="n"/>
      <c r="F22" s="14" t="n"/>
      <c r="G22" s="19">
        <f>IF(F22="","",TODAY()-F22)</f>
        <v/>
      </c>
      <c r="H22" s="30" t="n"/>
      <c r="I22" s="19">
        <f>IF(H22="","",H22-TODAY())</f>
        <v/>
      </c>
      <c r="J22" s="14" t="n"/>
      <c r="K22" s="14" t="n"/>
    </row>
    <row r="23" ht="22" customHeight="1">
      <c r="B23" s="17">
        <f>IF(C23="","MAJ-"&amp;TEXT(COUNTA($C$5:C23),"000"))</f>
        <v/>
      </c>
      <c r="C23" s="12" t="n"/>
      <c r="D23" s="12" t="n"/>
      <c r="E23" s="29" t="n"/>
      <c r="F23" s="12" t="n"/>
      <c r="G23" s="18">
        <f>IF(F23="","",TODAY()-F23)</f>
        <v/>
      </c>
      <c r="H23" s="29" t="n"/>
      <c r="I23" s="18">
        <f>IF(H23="","",H23-TODAY())</f>
        <v/>
      </c>
      <c r="J23" s="12" t="n"/>
      <c r="K23" s="12" t="n"/>
    </row>
    <row r="24" ht="22" customHeight="1">
      <c r="B24" s="16">
        <f>IF(C24="","MAJ-"&amp;TEXT(COUNTA($C$5:C24),"000"))</f>
        <v/>
      </c>
      <c r="C24" s="14" t="n"/>
      <c r="D24" s="14" t="n"/>
      <c r="E24" s="30" t="n"/>
      <c r="F24" s="14" t="n"/>
      <c r="G24" s="19">
        <f>IF(F24="","",TODAY()-F24)</f>
        <v/>
      </c>
      <c r="H24" s="30" t="n"/>
      <c r="I24" s="19">
        <f>IF(H24="","",H24-TODAY())</f>
        <v/>
      </c>
      <c r="J24" s="14" t="n"/>
      <c r="K24" s="14" t="n"/>
    </row>
    <row r="25" ht="22" customHeight="1">
      <c r="B25" s="17">
        <f>IF(C25="","MAJ-"&amp;TEXT(COUNTA($C$5:C25),"000"))</f>
        <v/>
      </c>
      <c r="C25" s="12" t="n"/>
      <c r="D25" s="12" t="n"/>
      <c r="E25" s="29" t="n"/>
      <c r="F25" s="12" t="n"/>
      <c r="G25" s="18">
        <f>IF(F25="","",TODAY()-F25)</f>
        <v/>
      </c>
      <c r="H25" s="29" t="n"/>
      <c r="I25" s="18">
        <f>IF(H25="","",H25-TODAY())</f>
        <v/>
      </c>
      <c r="J25" s="12" t="n"/>
      <c r="K25" s="12" t="n"/>
    </row>
    <row r="26" ht="22" customHeight="1">
      <c r="B26" s="16">
        <f>IF(C26="","MAJ-"&amp;TEXT(COUNTA($C$5:C26),"000"))</f>
        <v/>
      </c>
      <c r="C26" s="14" t="n"/>
      <c r="D26" s="14" t="n"/>
      <c r="E26" s="30" t="n"/>
      <c r="F26" s="14" t="n"/>
      <c r="G26" s="19">
        <f>IF(F26="","",TODAY()-F26)</f>
        <v/>
      </c>
      <c r="H26" s="30" t="n"/>
      <c r="I26" s="19">
        <f>IF(H26="","",H26-TODAY())</f>
        <v/>
      </c>
      <c r="J26" s="14" t="n"/>
      <c r="K26" s="14" t="n"/>
    </row>
    <row r="27" ht="22" customHeight="1">
      <c r="B27" s="17">
        <f>IF(C27="","MAJ-"&amp;TEXT(COUNTA($C$5:C27),"000"))</f>
        <v/>
      </c>
      <c r="C27" s="12" t="n"/>
      <c r="D27" s="12" t="n"/>
      <c r="E27" s="29" t="n"/>
      <c r="F27" s="12" t="n"/>
      <c r="G27" s="18">
        <f>IF(F27="","",TODAY()-F27)</f>
        <v/>
      </c>
      <c r="H27" s="29" t="n"/>
      <c r="I27" s="18">
        <f>IF(H27="","",H27-TODAY())</f>
        <v/>
      </c>
      <c r="J27" s="12" t="n"/>
      <c r="K27" s="12" t="n"/>
    </row>
    <row r="28" ht="22" customHeight="1">
      <c r="B28" s="16">
        <f>IF(C28="","MAJ-"&amp;TEXT(COUNTA($C$5:C28),"000"))</f>
        <v/>
      </c>
      <c r="C28" s="14" t="n"/>
      <c r="D28" s="14" t="n"/>
      <c r="E28" s="30" t="n"/>
      <c r="F28" s="14" t="n"/>
      <c r="G28" s="19">
        <f>IF(F28="","",TODAY()-F28)</f>
        <v/>
      </c>
      <c r="H28" s="30" t="n"/>
      <c r="I28" s="19">
        <f>IF(H28="","",H28-TODAY())</f>
        <v/>
      </c>
      <c r="J28" s="14" t="n"/>
      <c r="K28" s="14" t="n"/>
    </row>
    <row r="29" ht="22" customHeight="1">
      <c r="B29" s="17">
        <f>IF(C29="","MAJ-"&amp;TEXT(COUNTA($C$5:C29),"000"))</f>
        <v/>
      </c>
      <c r="C29" s="12" t="n"/>
      <c r="D29" s="12" t="n"/>
      <c r="E29" s="29" t="n"/>
      <c r="F29" s="12" t="n"/>
      <c r="G29" s="18">
        <f>IF(F29="","",TODAY()-F29)</f>
        <v/>
      </c>
      <c r="H29" s="29" t="n"/>
      <c r="I29" s="18">
        <f>IF(H29="","",H29-TODAY())</f>
        <v/>
      </c>
      <c r="J29" s="12" t="n"/>
      <c r="K29" s="12" t="n"/>
    </row>
    <row r="30" ht="22" customHeight="1">
      <c r="B30" s="16">
        <f>IF(C30="","MAJ-"&amp;TEXT(COUNTA($C$5:C30),"000"))</f>
        <v/>
      </c>
      <c r="C30" s="14" t="n"/>
      <c r="D30" s="14" t="n"/>
      <c r="E30" s="30" t="n"/>
      <c r="F30" s="14" t="n"/>
      <c r="G30" s="19">
        <f>IF(F30="","",TODAY()-F30)</f>
        <v/>
      </c>
      <c r="H30" s="30" t="n"/>
      <c r="I30" s="19">
        <f>IF(H30="","",H30-TODAY())</f>
        <v/>
      </c>
      <c r="J30" s="14" t="n"/>
      <c r="K30" s="14" t="n"/>
    </row>
    <row r="31" ht="22" customHeight="1">
      <c r="B31" s="17">
        <f>IF(C31="","MAJ-"&amp;TEXT(COUNTA($C$5:C31),"000"))</f>
        <v/>
      </c>
      <c r="C31" s="12" t="n"/>
      <c r="D31" s="12" t="n"/>
      <c r="E31" s="29" t="n"/>
      <c r="F31" s="12" t="n"/>
      <c r="G31" s="18">
        <f>IF(F31="","",TODAY()-F31)</f>
        <v/>
      </c>
      <c r="H31" s="29" t="n"/>
      <c r="I31" s="18">
        <f>IF(H31="","",H31-TODAY())</f>
        <v/>
      </c>
      <c r="J31" s="12" t="n"/>
      <c r="K31" s="12" t="n"/>
    </row>
    <row r="32" ht="22" customHeight="1">
      <c r="B32" s="16">
        <f>IF(C32="","MAJ-"&amp;TEXT(COUNTA($C$5:C32),"000"))</f>
        <v/>
      </c>
      <c r="C32" s="14" t="n"/>
      <c r="D32" s="14" t="n"/>
      <c r="E32" s="30" t="n"/>
      <c r="F32" s="14" t="n"/>
      <c r="G32" s="19">
        <f>IF(F32="","",TODAY()-F32)</f>
        <v/>
      </c>
      <c r="H32" s="30" t="n"/>
      <c r="I32" s="19">
        <f>IF(H32="","",H32-TODAY())</f>
        <v/>
      </c>
      <c r="J32" s="14" t="n"/>
      <c r="K32" s="14" t="n"/>
    </row>
    <row r="33" ht="22" customHeight="1">
      <c r="B33" s="17">
        <f>IF(C33="","MAJ-"&amp;TEXT(COUNTA($C$5:C33),"000"))</f>
        <v/>
      </c>
      <c r="C33" s="12" t="n"/>
      <c r="D33" s="12" t="n"/>
      <c r="E33" s="29" t="n"/>
      <c r="F33" s="12" t="n"/>
      <c r="G33" s="18">
        <f>IF(F33="","",TODAY()-F33)</f>
        <v/>
      </c>
      <c r="H33" s="29" t="n"/>
      <c r="I33" s="18">
        <f>IF(H33="","",H33-TODAY())</f>
        <v/>
      </c>
      <c r="J33" s="12" t="n"/>
      <c r="K33" s="12" t="n"/>
    </row>
    <row r="34" ht="22" customHeight="1">
      <c r="B34" s="16">
        <f>IF(C34="","MAJ-"&amp;TEXT(COUNTA($C$5:C34),"000"))</f>
        <v/>
      </c>
      <c r="C34" s="14" t="n"/>
      <c r="D34" s="14" t="n"/>
      <c r="E34" s="30" t="n"/>
      <c r="F34" s="14" t="n"/>
      <c r="G34" s="19">
        <f>IF(F34="","",TODAY()-F34)</f>
        <v/>
      </c>
      <c r="H34" s="30" t="n"/>
      <c r="I34" s="19">
        <f>IF(H34="","",H34-TODAY())</f>
        <v/>
      </c>
      <c r="J34" s="14" t="n"/>
      <c r="K34" s="14" t="n"/>
    </row>
    <row r="35" ht="22" customHeight="1">
      <c r="B35" s="17">
        <f>IF(C35="","MAJ-"&amp;TEXT(COUNTA($C$5:C35),"000"))</f>
        <v/>
      </c>
      <c r="C35" s="12" t="n"/>
      <c r="D35" s="12" t="n"/>
      <c r="E35" s="29" t="n"/>
      <c r="F35" s="12" t="n"/>
      <c r="G35" s="18">
        <f>IF(F35="","",TODAY()-F35)</f>
        <v/>
      </c>
      <c r="H35" s="29" t="n"/>
      <c r="I35" s="18">
        <f>IF(H35="","",H35-TODAY())</f>
        <v/>
      </c>
      <c r="J35" s="12" t="n"/>
      <c r="K35" s="12" t="n"/>
    </row>
    <row r="36" ht="22" customHeight="1">
      <c r="B36" s="16">
        <f>IF(C36="","MAJ-"&amp;TEXT(COUNTA($C$5:C36),"000"))</f>
        <v/>
      </c>
      <c r="C36" s="14" t="n"/>
      <c r="D36" s="14" t="n"/>
      <c r="E36" s="30" t="n"/>
      <c r="F36" s="14" t="n"/>
      <c r="G36" s="19">
        <f>IF(F36="","",TODAY()-F36)</f>
        <v/>
      </c>
      <c r="H36" s="30" t="n"/>
      <c r="I36" s="19">
        <f>IF(H36="","",H36-TODAY())</f>
        <v/>
      </c>
      <c r="J36" s="14" t="n"/>
      <c r="K36" s="14" t="n"/>
    </row>
    <row r="37" ht="22" customHeight="1">
      <c r="B37" s="17">
        <f>IF(C37="","MAJ-"&amp;TEXT(COUNTA($C$5:C37),"000"))</f>
        <v/>
      </c>
      <c r="C37" s="12" t="n"/>
      <c r="D37" s="12" t="n"/>
      <c r="E37" s="29" t="n"/>
      <c r="F37" s="12" t="n"/>
      <c r="G37" s="18">
        <f>IF(F37="","",TODAY()-F37)</f>
        <v/>
      </c>
      <c r="H37" s="29" t="n"/>
      <c r="I37" s="18">
        <f>IF(H37="","",H37-TODAY())</f>
        <v/>
      </c>
      <c r="J37" s="12" t="n"/>
      <c r="K37" s="12" t="n"/>
    </row>
    <row r="38" ht="22" customHeight="1">
      <c r="B38" s="16">
        <f>IF(C38="","MAJ-"&amp;TEXT(COUNTA($C$5:C38),"000"))</f>
        <v/>
      </c>
      <c r="C38" s="14" t="n"/>
      <c r="D38" s="14" t="n"/>
      <c r="E38" s="30" t="n"/>
      <c r="F38" s="14" t="n"/>
      <c r="G38" s="19">
        <f>IF(F38="","",TODAY()-F38)</f>
        <v/>
      </c>
      <c r="H38" s="30" t="n"/>
      <c r="I38" s="19">
        <f>IF(H38="","",H38-TODAY())</f>
        <v/>
      </c>
      <c r="J38" s="14" t="n"/>
      <c r="K38" s="14" t="n"/>
    </row>
    <row r="39" ht="22" customHeight="1">
      <c r="B39" s="17">
        <f>IF(C39="","MAJ-"&amp;TEXT(COUNTA($C$5:C39),"000"))</f>
        <v/>
      </c>
      <c r="C39" s="12" t="n"/>
      <c r="D39" s="12" t="n"/>
      <c r="E39" s="29" t="n"/>
      <c r="F39" s="12" t="n"/>
      <c r="G39" s="18">
        <f>IF(F39="","",TODAY()-F39)</f>
        <v/>
      </c>
      <c r="H39" s="29" t="n"/>
      <c r="I39" s="18">
        <f>IF(H39="","",H39-TODAY())</f>
        <v/>
      </c>
      <c r="J39" s="12" t="n"/>
      <c r="K39" s="12" t="n"/>
    </row>
    <row r="40" ht="22" customHeight="1">
      <c r="B40" s="16">
        <f>IF(C40="","MAJ-"&amp;TEXT(COUNTA($C$5:C40),"000"))</f>
        <v/>
      </c>
      <c r="C40" s="14" t="n"/>
      <c r="D40" s="14" t="n"/>
      <c r="E40" s="30" t="n"/>
      <c r="F40" s="14" t="n"/>
      <c r="G40" s="19">
        <f>IF(F40="","",TODAY()-F40)</f>
        <v/>
      </c>
      <c r="H40" s="30" t="n"/>
      <c r="I40" s="19">
        <f>IF(H40="","",H40-TODAY())</f>
        <v/>
      </c>
      <c r="J40" s="14" t="n"/>
      <c r="K40" s="14" t="n"/>
    </row>
    <row r="41" ht="22" customHeight="1">
      <c r="B41" s="17">
        <f>IF(C41="","MAJ-"&amp;TEXT(COUNTA($C$5:C41),"000"))</f>
        <v/>
      </c>
      <c r="C41" s="12" t="n"/>
      <c r="D41" s="12" t="n"/>
      <c r="E41" s="29" t="n"/>
      <c r="F41" s="12" t="n"/>
      <c r="G41" s="18">
        <f>IF(F41="","",TODAY()-F41)</f>
        <v/>
      </c>
      <c r="H41" s="29" t="n"/>
      <c r="I41" s="18">
        <f>IF(H41="","",H41-TODAY())</f>
        <v/>
      </c>
      <c r="J41" s="12" t="n"/>
      <c r="K41" s="12" t="n"/>
    </row>
    <row r="42" ht="22" customHeight="1">
      <c r="B42" s="16">
        <f>IF(C42="","MAJ-"&amp;TEXT(COUNTA($C$5:C42),"000"))</f>
        <v/>
      </c>
      <c r="C42" s="14" t="n"/>
      <c r="D42" s="14" t="n"/>
      <c r="E42" s="30" t="n"/>
      <c r="F42" s="14" t="n"/>
      <c r="G42" s="19">
        <f>IF(F42="","",TODAY()-F42)</f>
        <v/>
      </c>
      <c r="H42" s="30" t="n"/>
      <c r="I42" s="19">
        <f>IF(H42="","",H42-TODAY())</f>
        <v/>
      </c>
      <c r="J42" s="14" t="n"/>
      <c r="K42" s="14" t="n"/>
    </row>
    <row r="43" ht="22" customHeight="1">
      <c r="B43" s="17">
        <f>IF(C43="","MAJ-"&amp;TEXT(COUNTA($C$5:C43),"000"))</f>
        <v/>
      </c>
      <c r="C43" s="12" t="n"/>
      <c r="D43" s="12" t="n"/>
      <c r="E43" s="29" t="n"/>
      <c r="F43" s="12" t="n"/>
      <c r="G43" s="18">
        <f>IF(F43="","",TODAY()-F43)</f>
        <v/>
      </c>
      <c r="H43" s="29" t="n"/>
      <c r="I43" s="18">
        <f>IF(H43="","",H43-TODAY())</f>
        <v/>
      </c>
      <c r="J43" s="12" t="n"/>
      <c r="K43" s="12" t="n"/>
    </row>
    <row r="44" ht="22" customHeight="1">
      <c r="B44" s="16">
        <f>IF(C44="","MAJ-"&amp;TEXT(COUNTA($C$5:C44),"000"))</f>
        <v/>
      </c>
      <c r="C44" s="14" t="n"/>
      <c r="D44" s="14" t="n"/>
      <c r="E44" s="30" t="n"/>
      <c r="F44" s="14" t="n"/>
      <c r="G44" s="19">
        <f>IF(F44="","",TODAY()-F44)</f>
        <v/>
      </c>
      <c r="H44" s="30" t="n"/>
      <c r="I44" s="19">
        <f>IF(H44="","",H44-TODAY())</f>
        <v/>
      </c>
      <c r="J44" s="14" t="n"/>
      <c r="K44" s="14" t="n"/>
    </row>
    <row r="45" ht="22" customHeight="1">
      <c r="B45" s="17">
        <f>IF(C45="","MAJ-"&amp;TEXT(COUNTA($C$5:C45),"000"))</f>
        <v/>
      </c>
      <c r="C45" s="12" t="n"/>
      <c r="D45" s="12" t="n"/>
      <c r="E45" s="29" t="n"/>
      <c r="F45" s="12" t="n"/>
      <c r="G45" s="18">
        <f>IF(F45="","",TODAY()-F45)</f>
        <v/>
      </c>
      <c r="H45" s="29" t="n"/>
      <c r="I45" s="18">
        <f>IF(H45="","",H45-TODAY())</f>
        <v/>
      </c>
      <c r="J45" s="12" t="n"/>
      <c r="K45" s="12" t="n"/>
    </row>
    <row r="46" ht="22" customHeight="1">
      <c r="B46" s="16">
        <f>IF(C46="","MAJ-"&amp;TEXT(COUNTA($C$5:C46),"000"))</f>
        <v/>
      </c>
      <c r="C46" s="14" t="n"/>
      <c r="D46" s="14" t="n"/>
      <c r="E46" s="30" t="n"/>
      <c r="F46" s="14" t="n"/>
      <c r="G46" s="19">
        <f>IF(F46="","",TODAY()-F46)</f>
        <v/>
      </c>
      <c r="H46" s="30" t="n"/>
      <c r="I46" s="19">
        <f>IF(H46="","",H46-TODAY())</f>
        <v/>
      </c>
      <c r="J46" s="14" t="n"/>
      <c r="K46" s="14" t="n"/>
    </row>
    <row r="47" ht="22" customHeight="1">
      <c r="B47" s="17">
        <f>IF(C47="","MAJ-"&amp;TEXT(COUNTA($C$5:C47),"000"))</f>
        <v/>
      </c>
      <c r="C47" s="12" t="n"/>
      <c r="D47" s="12" t="n"/>
      <c r="E47" s="29" t="n"/>
      <c r="F47" s="12" t="n"/>
      <c r="G47" s="18">
        <f>IF(F47="","",TODAY()-F47)</f>
        <v/>
      </c>
      <c r="H47" s="29" t="n"/>
      <c r="I47" s="18">
        <f>IF(H47="","",H47-TODAY())</f>
        <v/>
      </c>
      <c r="J47" s="12" t="n"/>
      <c r="K47" s="12" t="n"/>
    </row>
    <row r="48" ht="22" customHeight="1">
      <c r="B48" s="16">
        <f>IF(C48="","MAJ-"&amp;TEXT(COUNTA($C$5:C48),"000"))</f>
        <v/>
      </c>
      <c r="C48" s="14" t="n"/>
      <c r="D48" s="14" t="n"/>
      <c r="E48" s="30" t="n"/>
      <c r="F48" s="14" t="n"/>
      <c r="G48" s="19">
        <f>IF(F48="","",TODAY()-F48)</f>
        <v/>
      </c>
      <c r="H48" s="30" t="n"/>
      <c r="I48" s="19">
        <f>IF(H48="","",H48-TODAY())</f>
        <v/>
      </c>
      <c r="J48" s="14" t="n"/>
      <c r="K48" s="14" t="n"/>
    </row>
    <row r="49" ht="22" customHeight="1">
      <c r="B49" s="17">
        <f>IF(C49="","MAJ-"&amp;TEXT(COUNTA($C$5:C49),"000"))</f>
        <v/>
      </c>
      <c r="C49" s="12" t="n"/>
      <c r="D49" s="12" t="n"/>
      <c r="E49" s="29" t="n"/>
      <c r="F49" s="12" t="n"/>
      <c r="G49" s="18">
        <f>IF(F49="","",TODAY()-F49)</f>
        <v/>
      </c>
      <c r="H49" s="29" t="n"/>
      <c r="I49" s="18">
        <f>IF(H49="","",H49-TODAY())</f>
        <v/>
      </c>
      <c r="J49" s="12" t="n"/>
      <c r="K49" s="12" t="n"/>
    </row>
    <row r="50" ht="22" customHeight="1">
      <c r="B50" s="16">
        <f>IF(C50="","MAJ-"&amp;TEXT(COUNTA($C$5:C50),"000"))</f>
        <v/>
      </c>
      <c r="C50" s="14" t="n"/>
      <c r="D50" s="14" t="n"/>
      <c r="E50" s="30" t="n"/>
      <c r="F50" s="14" t="n"/>
      <c r="G50" s="19">
        <f>IF(F50="","",TODAY()-F50)</f>
        <v/>
      </c>
      <c r="H50" s="30" t="n"/>
      <c r="I50" s="19">
        <f>IF(H50="","",H50-TODAY())</f>
        <v/>
      </c>
      <c r="J50" s="14" t="n"/>
      <c r="K50" s="14" t="n"/>
    </row>
    <row r="51" ht="22" customHeight="1">
      <c r="B51" s="17">
        <f>IF(C51="","MAJ-"&amp;TEXT(COUNTA($C$5:C51),"000"))</f>
        <v/>
      </c>
      <c r="C51" s="12" t="n"/>
      <c r="D51" s="12" t="n"/>
      <c r="E51" s="29" t="n"/>
      <c r="F51" s="12" t="n"/>
      <c r="G51" s="18">
        <f>IF(F51="","",TODAY()-F51)</f>
        <v/>
      </c>
      <c r="H51" s="29" t="n"/>
      <c r="I51" s="18">
        <f>IF(H51="","",H51-TODAY())</f>
        <v/>
      </c>
      <c r="J51" s="12" t="n"/>
      <c r="K51" s="12" t="n"/>
    </row>
    <row r="52" ht="22" customHeight="1">
      <c r="B52" s="16">
        <f>IF(C52="","MAJ-"&amp;TEXT(COUNTA($C$5:C52),"000"))</f>
        <v/>
      </c>
      <c r="C52" s="14" t="n"/>
      <c r="D52" s="14" t="n"/>
      <c r="E52" s="30" t="n"/>
      <c r="F52" s="14" t="n"/>
      <c r="G52" s="19">
        <f>IF(F52="","",TODAY()-F52)</f>
        <v/>
      </c>
      <c r="H52" s="30" t="n"/>
      <c r="I52" s="19">
        <f>IF(H52="","",H52-TODAY())</f>
        <v/>
      </c>
      <c r="J52" s="14" t="n"/>
      <c r="K52" s="14" t="n"/>
    </row>
    <row r="53" ht="22" customHeight="1">
      <c r="B53" s="17">
        <f>IF(C53="","MAJ-"&amp;TEXT(COUNTA($C$5:C53),"000"))</f>
        <v/>
      </c>
      <c r="C53" s="12" t="n"/>
      <c r="D53" s="12" t="n"/>
      <c r="E53" s="29" t="n"/>
      <c r="F53" s="12" t="n"/>
      <c r="G53" s="18">
        <f>IF(F53="","",TODAY()-F53)</f>
        <v/>
      </c>
      <c r="H53" s="29" t="n"/>
      <c r="I53" s="18">
        <f>IF(H53="","",H53-TODAY())</f>
        <v/>
      </c>
      <c r="J53" s="12" t="n"/>
      <c r="K53" s="12" t="n"/>
    </row>
    <row r="54" ht="22" customHeight="1">
      <c r="B54" s="16">
        <f>IF(C54="","MAJ-"&amp;TEXT(COUNTA($C$5:C54),"000"))</f>
        <v/>
      </c>
      <c r="C54" s="14" t="n"/>
      <c r="D54" s="14" t="n"/>
      <c r="E54" s="30" t="n"/>
      <c r="F54" s="14" t="n"/>
      <c r="G54" s="19">
        <f>IF(F54="","",TODAY()-F54)</f>
        <v/>
      </c>
      <c r="H54" s="30" t="n"/>
      <c r="I54" s="19">
        <f>IF(H54="","",H54-TODAY())</f>
        <v/>
      </c>
      <c r="J54" s="14" t="n"/>
      <c r="K54" s="14" t="n"/>
    </row>
    <row r="55" ht="22" customHeight="1">
      <c r="B55" s="17">
        <f>IF(C55="","MAJ-"&amp;TEXT(COUNTA($C$5:C55),"000"))</f>
        <v/>
      </c>
      <c r="C55" s="12" t="n"/>
      <c r="D55" s="12" t="n"/>
      <c r="E55" s="29" t="n"/>
      <c r="F55" s="12" t="n"/>
      <c r="G55" s="18">
        <f>IF(F55="","",TODAY()-F55)</f>
        <v/>
      </c>
      <c r="H55" s="29" t="n"/>
      <c r="I55" s="18">
        <f>IF(H55="","",H55-TODAY())</f>
        <v/>
      </c>
      <c r="J55" s="12" t="n"/>
      <c r="K55" s="12" t="n"/>
    </row>
    <row r="56" ht="22" customHeight="1">
      <c r="B56" s="16">
        <f>IF(C56="","MAJ-"&amp;TEXT(COUNTA($C$5:C56),"000"))</f>
        <v/>
      </c>
      <c r="C56" s="14" t="n"/>
      <c r="D56" s="14" t="n"/>
      <c r="E56" s="30" t="n"/>
      <c r="F56" s="14" t="n"/>
      <c r="G56" s="19">
        <f>IF(F56="","",TODAY()-F56)</f>
        <v/>
      </c>
      <c r="H56" s="30" t="n"/>
      <c r="I56" s="19">
        <f>IF(H56="","",H56-TODAY())</f>
        <v/>
      </c>
      <c r="J56" s="14" t="n"/>
      <c r="K56" s="14" t="n"/>
    </row>
    <row r="57" ht="22" customHeight="1">
      <c r="B57" s="17">
        <f>IF(C57="","MAJ-"&amp;TEXT(COUNTA($C$5:C57),"000"))</f>
        <v/>
      </c>
      <c r="C57" s="12" t="n"/>
      <c r="D57" s="12" t="n"/>
      <c r="E57" s="29" t="n"/>
      <c r="F57" s="12" t="n"/>
      <c r="G57" s="18">
        <f>IF(F57="","",TODAY()-F57)</f>
        <v/>
      </c>
      <c r="H57" s="29" t="n"/>
      <c r="I57" s="18">
        <f>IF(H57="","",H57-TODAY())</f>
        <v/>
      </c>
      <c r="J57" s="12" t="n"/>
      <c r="K57" s="12" t="n"/>
    </row>
    <row r="58" ht="22" customHeight="1">
      <c r="B58" s="16">
        <f>IF(C58="","MAJ-"&amp;TEXT(COUNTA($C$5:C58),"000"))</f>
        <v/>
      </c>
      <c r="C58" s="14" t="n"/>
      <c r="D58" s="14" t="n"/>
      <c r="E58" s="30" t="n"/>
      <c r="F58" s="14" t="n"/>
      <c r="G58" s="19">
        <f>IF(F58="","",TODAY()-F58)</f>
        <v/>
      </c>
      <c r="H58" s="30" t="n"/>
      <c r="I58" s="19">
        <f>IF(H58="","",H58-TODAY())</f>
        <v/>
      </c>
      <c r="J58" s="14" t="n"/>
      <c r="K58" s="14" t="n"/>
    </row>
    <row r="59" ht="22" customHeight="1">
      <c r="B59" s="17">
        <f>IF(C59="","MAJ-"&amp;TEXT(COUNTA($C$5:C59),"000"))</f>
        <v/>
      </c>
      <c r="C59" s="12" t="n"/>
      <c r="D59" s="12" t="n"/>
      <c r="E59" s="29" t="n"/>
      <c r="F59" s="12" t="n"/>
      <c r="G59" s="18">
        <f>IF(F59="","",TODAY()-F59)</f>
        <v/>
      </c>
      <c r="H59" s="29" t="n"/>
      <c r="I59" s="18">
        <f>IF(H59="","",H59-TODAY())</f>
        <v/>
      </c>
      <c r="J59" s="12" t="n"/>
      <c r="K59" s="12" t="n"/>
    </row>
    <row r="60" ht="22" customHeight="1">
      <c r="B60" s="16">
        <f>IF(C60="","MAJ-"&amp;TEXT(COUNTA($C$5:C60),"000"))</f>
        <v/>
      </c>
      <c r="C60" s="14" t="n"/>
      <c r="D60" s="14" t="n"/>
      <c r="E60" s="30" t="n"/>
      <c r="F60" s="14" t="n"/>
      <c r="G60" s="19">
        <f>IF(F60="","",TODAY()-F60)</f>
        <v/>
      </c>
      <c r="H60" s="30" t="n"/>
      <c r="I60" s="19">
        <f>IF(H60="","",H60-TODAY())</f>
        <v/>
      </c>
      <c r="J60" s="14" t="n"/>
      <c r="K60" s="14" t="n"/>
    </row>
    <row r="61" ht="22" customHeight="1">
      <c r="B61" s="17">
        <f>IF(C61="","MAJ-"&amp;TEXT(COUNTA($C$5:C61),"000"))</f>
        <v/>
      </c>
      <c r="C61" s="12" t="n"/>
      <c r="D61" s="12" t="n"/>
      <c r="E61" s="29" t="n"/>
      <c r="F61" s="12" t="n"/>
      <c r="G61" s="18">
        <f>IF(F61="","",TODAY()-F61)</f>
        <v/>
      </c>
      <c r="H61" s="29" t="n"/>
      <c r="I61" s="18">
        <f>IF(H61="","",H61-TODAY())</f>
        <v/>
      </c>
      <c r="J61" s="12" t="n"/>
      <c r="K61" s="12" t="n"/>
    </row>
    <row r="62" ht="22" customHeight="1">
      <c r="B62" s="16">
        <f>IF(C62="","MAJ-"&amp;TEXT(COUNTA($C$5:C62),"000"))</f>
        <v/>
      </c>
      <c r="C62" s="14" t="n"/>
      <c r="D62" s="14" t="n"/>
      <c r="E62" s="30" t="n"/>
      <c r="F62" s="14" t="n"/>
      <c r="G62" s="19">
        <f>IF(F62="","",TODAY()-F62)</f>
        <v/>
      </c>
      <c r="H62" s="30" t="n"/>
      <c r="I62" s="19">
        <f>IF(H62="","",H62-TODAY())</f>
        <v/>
      </c>
      <c r="J62" s="14" t="n"/>
      <c r="K62" s="14" t="n"/>
    </row>
    <row r="63" ht="22" customHeight="1">
      <c r="B63" s="17">
        <f>IF(C63="","MAJ-"&amp;TEXT(COUNTA($C$5:C63),"000"))</f>
        <v/>
      </c>
      <c r="C63" s="12" t="n"/>
      <c r="D63" s="12" t="n"/>
      <c r="E63" s="29" t="n"/>
      <c r="F63" s="12" t="n"/>
      <c r="G63" s="18">
        <f>IF(F63="","",TODAY()-F63)</f>
        <v/>
      </c>
      <c r="H63" s="29" t="n"/>
      <c r="I63" s="18">
        <f>IF(H63="","",H63-TODAY())</f>
        <v/>
      </c>
      <c r="J63" s="12" t="n"/>
      <c r="K63" s="12" t="n"/>
    </row>
    <row r="64" ht="22" customHeight="1">
      <c r="B64" s="16">
        <f>IF(C64="","MAJ-"&amp;TEXT(COUNTA($C$5:C64),"000"))</f>
        <v/>
      </c>
      <c r="C64" s="14" t="n"/>
      <c r="D64" s="14" t="n"/>
      <c r="E64" s="30" t="n"/>
      <c r="F64" s="14" t="n"/>
      <c r="G64" s="19">
        <f>IF(F64="","",TODAY()-F64)</f>
        <v/>
      </c>
      <c r="H64" s="30" t="n"/>
      <c r="I64" s="19">
        <f>IF(H64="","",H64-TODAY())</f>
        <v/>
      </c>
      <c r="J64" s="14" t="n"/>
      <c r="K64" s="14" t="n"/>
    </row>
    <row r="65" ht="22" customHeight="1">
      <c r="B65" s="17">
        <f>IF(C65="","MAJ-"&amp;TEXT(COUNTA($C$5:C65),"000"))</f>
        <v/>
      </c>
      <c r="C65" s="12" t="n"/>
      <c r="D65" s="12" t="n"/>
      <c r="E65" s="29" t="n"/>
      <c r="F65" s="12" t="n"/>
      <c r="G65" s="18">
        <f>IF(F65="","",TODAY()-F65)</f>
        <v/>
      </c>
      <c r="H65" s="29" t="n"/>
      <c r="I65" s="18">
        <f>IF(H65="","",H65-TODAY())</f>
        <v/>
      </c>
      <c r="J65" s="12" t="n"/>
      <c r="K65" s="12" t="n"/>
    </row>
    <row r="66" ht="22" customHeight="1">
      <c r="B66" s="16">
        <f>IF(C66="","MAJ-"&amp;TEXT(COUNTA($C$5:C66),"000"))</f>
        <v/>
      </c>
      <c r="C66" s="14" t="n"/>
      <c r="D66" s="14" t="n"/>
      <c r="E66" s="30" t="n"/>
      <c r="F66" s="14" t="n"/>
      <c r="G66" s="19">
        <f>IF(F66="","",TODAY()-F66)</f>
        <v/>
      </c>
      <c r="H66" s="30" t="n"/>
      <c r="I66" s="19">
        <f>IF(H66="","",H66-TODAY())</f>
        <v/>
      </c>
      <c r="J66" s="14" t="n"/>
      <c r="K66" s="14" t="n"/>
    </row>
    <row r="67" ht="22" customHeight="1">
      <c r="B67" s="17">
        <f>IF(C67="","MAJ-"&amp;TEXT(COUNTA($C$5:C67),"000"))</f>
        <v/>
      </c>
      <c r="C67" s="12" t="n"/>
      <c r="D67" s="12" t="n"/>
      <c r="E67" s="29" t="n"/>
      <c r="F67" s="12" t="n"/>
      <c r="G67" s="18">
        <f>IF(F67="","",TODAY()-F67)</f>
        <v/>
      </c>
      <c r="H67" s="29" t="n"/>
      <c r="I67" s="18">
        <f>IF(H67="","",H67-TODAY())</f>
        <v/>
      </c>
      <c r="J67" s="12" t="n"/>
      <c r="K67" s="12" t="n"/>
    </row>
    <row r="68" ht="22" customHeight="1">
      <c r="B68" s="16">
        <f>IF(C68="","MAJ-"&amp;TEXT(COUNTA($C$5:C68),"000"))</f>
        <v/>
      </c>
      <c r="C68" s="14" t="n"/>
      <c r="D68" s="14" t="n"/>
      <c r="E68" s="30" t="n"/>
      <c r="F68" s="14" t="n"/>
      <c r="G68" s="19">
        <f>IF(F68="","",TODAY()-F68)</f>
        <v/>
      </c>
      <c r="H68" s="30" t="n"/>
      <c r="I68" s="19">
        <f>IF(H68="","",H68-TODAY())</f>
        <v/>
      </c>
      <c r="J68" s="14" t="n"/>
      <c r="K68" s="14" t="n"/>
    </row>
    <row r="69" ht="22" customHeight="1">
      <c r="B69" s="17">
        <f>IF(C69="","MAJ-"&amp;TEXT(COUNTA($C$5:C69),"000"))</f>
        <v/>
      </c>
      <c r="C69" s="12" t="n"/>
      <c r="D69" s="12" t="n"/>
      <c r="E69" s="29" t="n"/>
      <c r="F69" s="12" t="n"/>
      <c r="G69" s="18">
        <f>IF(F69="","",TODAY()-F69)</f>
        <v/>
      </c>
      <c r="H69" s="29" t="n"/>
      <c r="I69" s="18">
        <f>IF(H69="","",H69-TODAY())</f>
        <v/>
      </c>
      <c r="J69" s="12" t="n"/>
      <c r="K69" s="12" t="n"/>
    </row>
    <row r="70" ht="22" customHeight="1">
      <c r="B70" s="16">
        <f>IF(C70="","MAJ-"&amp;TEXT(COUNTA($C$5:C70),"000"))</f>
        <v/>
      </c>
      <c r="C70" s="14" t="n"/>
      <c r="D70" s="14" t="n"/>
      <c r="E70" s="30" t="n"/>
      <c r="F70" s="14" t="n"/>
      <c r="G70" s="19">
        <f>IF(F70="","",TODAY()-F70)</f>
        <v/>
      </c>
      <c r="H70" s="30" t="n"/>
      <c r="I70" s="19">
        <f>IF(H70="","",H70-TODAY())</f>
        <v/>
      </c>
      <c r="J70" s="14" t="n"/>
      <c r="K70" s="14" t="n"/>
    </row>
    <row r="71" ht="22" customHeight="1">
      <c r="B71" s="17">
        <f>IF(C71="","MAJ-"&amp;TEXT(COUNTA($C$5:C71),"000"))</f>
        <v/>
      </c>
      <c r="C71" s="12" t="n"/>
      <c r="D71" s="12" t="n"/>
      <c r="E71" s="29" t="n"/>
      <c r="F71" s="12" t="n"/>
      <c r="G71" s="18">
        <f>IF(F71="","",TODAY()-F71)</f>
        <v/>
      </c>
      <c r="H71" s="29" t="n"/>
      <c r="I71" s="18">
        <f>IF(H71="","",H71-TODAY())</f>
        <v/>
      </c>
      <c r="J71" s="12" t="n"/>
      <c r="K71" s="12" t="n"/>
    </row>
    <row r="72" ht="22" customHeight="1">
      <c r="B72" s="16">
        <f>IF(C72="","MAJ-"&amp;TEXT(COUNTA($C$5:C72),"000"))</f>
        <v/>
      </c>
      <c r="C72" s="14" t="n"/>
      <c r="D72" s="14" t="n"/>
      <c r="E72" s="30" t="n"/>
      <c r="F72" s="14" t="n"/>
      <c r="G72" s="19">
        <f>IF(F72="","",TODAY()-F72)</f>
        <v/>
      </c>
      <c r="H72" s="30" t="n"/>
      <c r="I72" s="19">
        <f>IF(H72="","",H72-TODAY())</f>
        <v/>
      </c>
      <c r="J72" s="14" t="n"/>
      <c r="K72" s="14" t="n"/>
    </row>
    <row r="73" ht="22" customHeight="1">
      <c r="B73" s="17">
        <f>IF(C73="","MAJ-"&amp;TEXT(COUNTA($C$5:C73),"000"))</f>
        <v/>
      </c>
      <c r="C73" s="12" t="n"/>
      <c r="D73" s="12" t="n"/>
      <c r="E73" s="29" t="n"/>
      <c r="F73" s="12" t="n"/>
      <c r="G73" s="18">
        <f>IF(F73="","",TODAY()-F73)</f>
        <v/>
      </c>
      <c r="H73" s="29" t="n"/>
      <c r="I73" s="18">
        <f>IF(H73="","",H73-TODAY())</f>
        <v/>
      </c>
      <c r="J73" s="12" t="n"/>
      <c r="K73" s="12" t="n"/>
    </row>
    <row r="74" ht="22" customHeight="1">
      <c r="B74" s="16">
        <f>IF(C74="","MAJ-"&amp;TEXT(COUNTA($C$5:C74),"000"))</f>
        <v/>
      </c>
      <c r="C74" s="14" t="n"/>
      <c r="D74" s="14" t="n"/>
      <c r="E74" s="30" t="n"/>
      <c r="F74" s="14" t="n"/>
      <c r="G74" s="19">
        <f>IF(F74="","",TODAY()-F74)</f>
        <v/>
      </c>
      <c r="H74" s="30" t="n"/>
      <c r="I74" s="19">
        <f>IF(H74="","",H74-TODAY())</f>
        <v/>
      </c>
      <c r="J74" s="14" t="n"/>
      <c r="K74" s="14" t="n"/>
    </row>
    <row r="75" ht="22" customHeight="1">
      <c r="B75" s="17">
        <f>IF(C75="","MAJ-"&amp;TEXT(COUNTA($C$5:C75),"000"))</f>
        <v/>
      </c>
      <c r="C75" s="12" t="n"/>
      <c r="D75" s="12" t="n"/>
      <c r="E75" s="29" t="n"/>
      <c r="F75" s="12" t="n"/>
      <c r="G75" s="18">
        <f>IF(F75="","",TODAY()-F75)</f>
        <v/>
      </c>
      <c r="H75" s="29" t="n"/>
      <c r="I75" s="18">
        <f>IF(H75="","",H75-TODAY())</f>
        <v/>
      </c>
      <c r="J75" s="12" t="n"/>
      <c r="K75" s="12" t="n"/>
    </row>
    <row r="76" ht="22" customHeight="1">
      <c r="B76" s="16">
        <f>IF(C76="","MAJ-"&amp;TEXT(COUNTA($C$5:C76),"000"))</f>
        <v/>
      </c>
      <c r="C76" s="14" t="n"/>
      <c r="D76" s="14" t="n"/>
      <c r="E76" s="30" t="n"/>
      <c r="F76" s="14" t="n"/>
      <c r="G76" s="19">
        <f>IF(F76="","",TODAY()-F76)</f>
        <v/>
      </c>
      <c r="H76" s="30" t="n"/>
      <c r="I76" s="19">
        <f>IF(H76="","",H76-TODAY())</f>
        <v/>
      </c>
      <c r="J76" s="14" t="n"/>
      <c r="K76" s="14" t="n"/>
    </row>
    <row r="77" ht="22" customHeight="1">
      <c r="B77" s="17">
        <f>IF(C77="","MAJ-"&amp;TEXT(COUNTA($C$5:C77),"000"))</f>
        <v/>
      </c>
      <c r="C77" s="12" t="n"/>
      <c r="D77" s="12" t="n"/>
      <c r="E77" s="29" t="n"/>
      <c r="F77" s="12" t="n"/>
      <c r="G77" s="18">
        <f>IF(F77="","",TODAY()-F77)</f>
        <v/>
      </c>
      <c r="H77" s="29" t="n"/>
      <c r="I77" s="18">
        <f>IF(H77="","",H77-TODAY())</f>
        <v/>
      </c>
      <c r="J77" s="12" t="n"/>
      <c r="K77" s="12" t="n"/>
    </row>
    <row r="78" ht="22" customHeight="1">
      <c r="B78" s="16">
        <f>IF(C78="","MAJ-"&amp;TEXT(COUNTA($C$5:C78),"000"))</f>
        <v/>
      </c>
      <c r="C78" s="14" t="n"/>
      <c r="D78" s="14" t="n"/>
      <c r="E78" s="30" t="n"/>
      <c r="F78" s="14" t="n"/>
      <c r="G78" s="19">
        <f>IF(F78="","",TODAY()-F78)</f>
        <v/>
      </c>
      <c r="H78" s="30" t="n"/>
      <c r="I78" s="19">
        <f>IF(H78="","",H78-TODAY())</f>
        <v/>
      </c>
      <c r="J78" s="14" t="n"/>
      <c r="K78" s="14" t="n"/>
    </row>
    <row r="79" ht="22" customHeight="1">
      <c r="B79" s="17">
        <f>IF(C79="","MAJ-"&amp;TEXT(COUNTA($C$5:C79),"000"))</f>
        <v/>
      </c>
      <c r="C79" s="12" t="n"/>
      <c r="D79" s="12" t="n"/>
      <c r="E79" s="29" t="n"/>
      <c r="F79" s="12" t="n"/>
      <c r="G79" s="18">
        <f>IF(F79="","",TODAY()-F79)</f>
        <v/>
      </c>
      <c r="H79" s="29" t="n"/>
      <c r="I79" s="18">
        <f>IF(H79="","",H79-TODAY())</f>
        <v/>
      </c>
      <c r="J79" s="12" t="n"/>
      <c r="K79" s="12" t="n"/>
    </row>
    <row r="80" ht="22" customHeight="1">
      <c r="B80" s="16">
        <f>IF(C80="","MAJ-"&amp;TEXT(COUNTA($C$5:C80),"000"))</f>
        <v/>
      </c>
      <c r="C80" s="14" t="n"/>
      <c r="D80" s="14" t="n"/>
      <c r="E80" s="30" t="n"/>
      <c r="F80" s="14" t="n"/>
      <c r="G80" s="19">
        <f>IF(F80="","",TODAY()-F80)</f>
        <v/>
      </c>
      <c r="H80" s="30" t="n"/>
      <c r="I80" s="19">
        <f>IF(H80="","",H80-TODAY())</f>
        <v/>
      </c>
      <c r="J80" s="14" t="n"/>
      <c r="K80" s="14" t="n"/>
    </row>
    <row r="81" ht="22" customHeight="1">
      <c r="B81" s="17">
        <f>IF(C81="","MAJ-"&amp;TEXT(COUNTA($C$5:C81),"000"))</f>
        <v/>
      </c>
      <c r="C81" s="12" t="n"/>
      <c r="D81" s="12" t="n"/>
      <c r="E81" s="29" t="n"/>
      <c r="F81" s="12" t="n"/>
      <c r="G81" s="18">
        <f>IF(F81="","",TODAY()-F81)</f>
        <v/>
      </c>
      <c r="H81" s="29" t="n"/>
      <c r="I81" s="18">
        <f>IF(H81="","",H81-TODAY())</f>
        <v/>
      </c>
      <c r="J81" s="12" t="n"/>
      <c r="K81" s="12" t="n"/>
    </row>
    <row r="82" ht="22" customHeight="1">
      <c r="B82" s="16">
        <f>IF(C82="","MAJ-"&amp;TEXT(COUNTA($C$5:C82),"000"))</f>
        <v/>
      </c>
      <c r="C82" s="14" t="n"/>
      <c r="D82" s="14" t="n"/>
      <c r="E82" s="30" t="n"/>
      <c r="F82" s="14" t="n"/>
      <c r="G82" s="19">
        <f>IF(F82="","",TODAY()-F82)</f>
        <v/>
      </c>
      <c r="H82" s="30" t="n"/>
      <c r="I82" s="19">
        <f>IF(H82="","",H82-TODAY())</f>
        <v/>
      </c>
      <c r="J82" s="14" t="n"/>
      <c r="K82" s="14" t="n"/>
    </row>
    <row r="83" ht="22" customHeight="1">
      <c r="B83" s="17">
        <f>IF(C83="","MAJ-"&amp;TEXT(COUNTA($C$5:C83),"000"))</f>
        <v/>
      </c>
      <c r="C83" s="12" t="n"/>
      <c r="D83" s="12" t="n"/>
      <c r="E83" s="29" t="n"/>
      <c r="F83" s="12" t="n"/>
      <c r="G83" s="18">
        <f>IF(F83="","",TODAY()-F83)</f>
        <v/>
      </c>
      <c r="H83" s="29" t="n"/>
      <c r="I83" s="18">
        <f>IF(H83="","",H83-TODAY())</f>
        <v/>
      </c>
      <c r="J83" s="12" t="n"/>
      <c r="K83" s="12" t="n"/>
    </row>
    <row r="84" ht="22" customHeight="1">
      <c r="B84" s="16">
        <f>IF(C84="","MAJ-"&amp;TEXT(COUNTA($C$5:C84),"000"))</f>
        <v/>
      </c>
      <c r="C84" s="14" t="n"/>
      <c r="D84" s="14" t="n"/>
      <c r="E84" s="30" t="n"/>
      <c r="F84" s="14" t="n"/>
      <c r="G84" s="19">
        <f>IF(F84="","",TODAY()-F84)</f>
        <v/>
      </c>
      <c r="H84" s="30" t="n"/>
      <c r="I84" s="19">
        <f>IF(H84="","",H84-TODAY())</f>
        <v/>
      </c>
      <c r="J84" s="14" t="n"/>
      <c r="K84" s="14" t="n"/>
    </row>
    <row r="85" ht="22" customHeight="1">
      <c r="B85" s="17">
        <f>IF(C85="","MAJ-"&amp;TEXT(COUNTA($C$5:C85),"000"))</f>
        <v/>
      </c>
      <c r="C85" s="12" t="n"/>
      <c r="D85" s="12" t="n"/>
      <c r="E85" s="29" t="n"/>
      <c r="F85" s="12" t="n"/>
      <c r="G85" s="18">
        <f>IF(F85="","",TODAY()-F85)</f>
        <v/>
      </c>
      <c r="H85" s="29" t="n"/>
      <c r="I85" s="18">
        <f>IF(H85="","",H85-TODAY())</f>
        <v/>
      </c>
      <c r="J85" s="12" t="n"/>
      <c r="K85" s="12" t="n"/>
    </row>
    <row r="86" ht="22" customHeight="1">
      <c r="B86" s="16">
        <f>IF(C86="","MAJ-"&amp;TEXT(COUNTA($C$5:C86),"000"))</f>
        <v/>
      </c>
      <c r="C86" s="14" t="n"/>
      <c r="D86" s="14" t="n"/>
      <c r="E86" s="30" t="n"/>
      <c r="F86" s="14" t="n"/>
      <c r="G86" s="19">
        <f>IF(F86="","",TODAY()-F86)</f>
        <v/>
      </c>
      <c r="H86" s="30" t="n"/>
      <c r="I86" s="19">
        <f>IF(H86="","",H86-TODAY())</f>
        <v/>
      </c>
      <c r="J86" s="14" t="n"/>
      <c r="K86" s="14" t="n"/>
    </row>
    <row r="87" ht="22" customHeight="1">
      <c r="B87" s="17">
        <f>IF(C87="","MAJ-"&amp;TEXT(COUNTA($C$5:C87),"000"))</f>
        <v/>
      </c>
      <c r="C87" s="12" t="n"/>
      <c r="D87" s="12" t="n"/>
      <c r="E87" s="29" t="n"/>
      <c r="F87" s="12" t="n"/>
      <c r="G87" s="18">
        <f>IF(F87="","",TODAY()-F87)</f>
        <v/>
      </c>
      <c r="H87" s="29" t="n"/>
      <c r="I87" s="18">
        <f>IF(H87="","",H87-TODAY())</f>
        <v/>
      </c>
      <c r="J87" s="12" t="n"/>
      <c r="K87" s="12" t="n"/>
    </row>
    <row r="88" ht="22" customHeight="1">
      <c r="B88" s="16">
        <f>IF(C88="","MAJ-"&amp;TEXT(COUNTA($C$5:C88),"000"))</f>
        <v/>
      </c>
      <c r="C88" s="14" t="n"/>
      <c r="D88" s="14" t="n"/>
      <c r="E88" s="30" t="n"/>
      <c r="F88" s="14" t="n"/>
      <c r="G88" s="19">
        <f>IF(F88="","",TODAY()-F88)</f>
        <v/>
      </c>
      <c r="H88" s="30" t="n"/>
      <c r="I88" s="19">
        <f>IF(H88="","",H88-TODAY())</f>
        <v/>
      </c>
      <c r="J88" s="14" t="n"/>
      <c r="K88" s="14" t="n"/>
    </row>
    <row r="89" ht="22" customHeight="1">
      <c r="B89" s="17">
        <f>IF(C89="","MAJ-"&amp;TEXT(COUNTA($C$5:C89),"000"))</f>
        <v/>
      </c>
      <c r="C89" s="12" t="n"/>
      <c r="D89" s="12" t="n"/>
      <c r="E89" s="29" t="n"/>
      <c r="F89" s="12" t="n"/>
      <c r="G89" s="18">
        <f>IF(F89="","",TODAY()-F89)</f>
        <v/>
      </c>
      <c r="H89" s="29" t="n"/>
      <c r="I89" s="18">
        <f>IF(H89="","",H89-TODAY())</f>
        <v/>
      </c>
      <c r="J89" s="12" t="n"/>
      <c r="K89" s="12" t="n"/>
    </row>
    <row r="90" ht="22" customHeight="1">
      <c r="B90" s="16">
        <f>IF(C90="","MAJ-"&amp;TEXT(COUNTA($C$5:C90),"000"))</f>
        <v/>
      </c>
      <c r="C90" s="14" t="n"/>
      <c r="D90" s="14" t="n"/>
      <c r="E90" s="30" t="n"/>
      <c r="F90" s="14" t="n"/>
      <c r="G90" s="19">
        <f>IF(F90="","",TODAY()-F90)</f>
        <v/>
      </c>
      <c r="H90" s="30" t="n"/>
      <c r="I90" s="19">
        <f>IF(H90="","",H90-TODAY())</f>
        <v/>
      </c>
      <c r="J90" s="14" t="n"/>
      <c r="K90" s="14" t="n"/>
    </row>
    <row r="91" ht="22" customHeight="1">
      <c r="B91" s="17">
        <f>IF(C91="","MAJ-"&amp;TEXT(COUNTA($C$5:C91),"000"))</f>
        <v/>
      </c>
      <c r="C91" s="12" t="n"/>
      <c r="D91" s="12" t="n"/>
      <c r="E91" s="29" t="n"/>
      <c r="F91" s="12" t="n"/>
      <c r="G91" s="18">
        <f>IF(F91="","",TODAY()-F91)</f>
        <v/>
      </c>
      <c r="H91" s="29" t="n"/>
      <c r="I91" s="18">
        <f>IF(H91="","",H91-TODAY())</f>
        <v/>
      </c>
      <c r="J91" s="12" t="n"/>
      <c r="K91" s="12" t="n"/>
    </row>
    <row r="92" ht="22" customHeight="1">
      <c r="B92" s="16">
        <f>IF(C92="","MAJ-"&amp;TEXT(COUNTA($C$5:C92),"000"))</f>
        <v/>
      </c>
      <c r="C92" s="14" t="n"/>
      <c r="D92" s="14" t="n"/>
      <c r="E92" s="30" t="n"/>
      <c r="F92" s="14" t="n"/>
      <c r="G92" s="19">
        <f>IF(F92="","",TODAY()-F92)</f>
        <v/>
      </c>
      <c r="H92" s="30" t="n"/>
      <c r="I92" s="19">
        <f>IF(H92="","",H92-TODAY())</f>
        <v/>
      </c>
      <c r="J92" s="14" t="n"/>
      <c r="K92" s="14" t="n"/>
    </row>
    <row r="93" ht="22" customHeight="1">
      <c r="B93" s="17">
        <f>IF(C93="","MAJ-"&amp;TEXT(COUNTA($C$5:C93),"000"))</f>
        <v/>
      </c>
      <c r="C93" s="12" t="n"/>
      <c r="D93" s="12" t="n"/>
      <c r="E93" s="29" t="n"/>
      <c r="F93" s="12" t="n"/>
      <c r="G93" s="18">
        <f>IF(F93="","",TODAY()-F93)</f>
        <v/>
      </c>
      <c r="H93" s="29" t="n"/>
      <c r="I93" s="18">
        <f>IF(H93="","",H93-TODAY())</f>
        <v/>
      </c>
      <c r="J93" s="12" t="n"/>
      <c r="K93" s="12" t="n"/>
    </row>
    <row r="94" ht="22" customHeight="1">
      <c r="B94" s="16">
        <f>IF(C94="","MAJ-"&amp;TEXT(COUNTA($C$5:C94),"000"))</f>
        <v/>
      </c>
      <c r="C94" s="14" t="n"/>
      <c r="D94" s="14" t="n"/>
      <c r="E94" s="30" t="n"/>
      <c r="F94" s="14" t="n"/>
      <c r="G94" s="19">
        <f>IF(F94="","",TODAY()-F94)</f>
        <v/>
      </c>
      <c r="H94" s="30" t="n"/>
      <c r="I94" s="19">
        <f>IF(H94="","",H94-TODAY())</f>
        <v/>
      </c>
      <c r="J94" s="14" t="n"/>
      <c r="K94" s="14" t="n"/>
    </row>
    <row r="95" ht="22" customHeight="1">
      <c r="B95" s="17">
        <f>IF(C95="","MAJ-"&amp;TEXT(COUNTA($C$5:C95),"000"))</f>
        <v/>
      </c>
      <c r="C95" s="12" t="n"/>
      <c r="D95" s="12" t="n"/>
      <c r="E95" s="29" t="n"/>
      <c r="F95" s="12" t="n"/>
      <c r="G95" s="18">
        <f>IF(F95="","",TODAY()-F95)</f>
        <v/>
      </c>
      <c r="H95" s="29" t="n"/>
      <c r="I95" s="18">
        <f>IF(H95="","",H95-TODAY())</f>
        <v/>
      </c>
      <c r="J95" s="12" t="n"/>
      <c r="K95" s="12" t="n"/>
    </row>
    <row r="96" ht="22" customHeight="1">
      <c r="B96" s="16">
        <f>IF(C96="","MAJ-"&amp;TEXT(COUNTA($C$5:C96),"000"))</f>
        <v/>
      </c>
      <c r="C96" s="14" t="n"/>
      <c r="D96" s="14" t="n"/>
      <c r="E96" s="30" t="n"/>
      <c r="F96" s="14" t="n"/>
      <c r="G96" s="19">
        <f>IF(F96="","",TODAY()-F96)</f>
        <v/>
      </c>
      <c r="H96" s="30" t="n"/>
      <c r="I96" s="19">
        <f>IF(H96="","",H96-TODAY())</f>
        <v/>
      </c>
      <c r="J96" s="14" t="n"/>
      <c r="K96" s="14" t="n"/>
    </row>
    <row r="97" ht="22" customHeight="1">
      <c r="B97" s="17">
        <f>IF(C97="","MAJ-"&amp;TEXT(COUNTA($C$5:C97),"000"))</f>
        <v/>
      </c>
      <c r="C97" s="12" t="n"/>
      <c r="D97" s="12" t="n"/>
      <c r="E97" s="29" t="n"/>
      <c r="F97" s="12" t="n"/>
      <c r="G97" s="18">
        <f>IF(F97="","",TODAY()-F97)</f>
        <v/>
      </c>
      <c r="H97" s="29" t="n"/>
      <c r="I97" s="18">
        <f>IF(H97="","",H97-TODAY())</f>
        <v/>
      </c>
      <c r="J97" s="12" t="n"/>
      <c r="K97" s="12" t="n"/>
    </row>
    <row r="98" ht="22" customHeight="1">
      <c r="B98" s="16">
        <f>IF(C98="","MAJ-"&amp;TEXT(COUNTA($C$5:C98),"000"))</f>
        <v/>
      </c>
      <c r="C98" s="14" t="n"/>
      <c r="D98" s="14" t="n"/>
      <c r="E98" s="30" t="n"/>
      <c r="F98" s="14" t="n"/>
      <c r="G98" s="19">
        <f>IF(F98="","",TODAY()-F98)</f>
        <v/>
      </c>
      <c r="H98" s="30" t="n"/>
      <c r="I98" s="19">
        <f>IF(H98="","",H98-TODAY())</f>
        <v/>
      </c>
      <c r="J98" s="14" t="n"/>
      <c r="K98" s="14" t="n"/>
    </row>
    <row r="99" ht="22" customHeight="1">
      <c r="B99" s="17">
        <f>IF(C99="","MAJ-"&amp;TEXT(COUNTA($C$5:C99),"000"))</f>
        <v/>
      </c>
      <c r="C99" s="12" t="n"/>
      <c r="D99" s="12" t="n"/>
      <c r="E99" s="29" t="n"/>
      <c r="F99" s="12" t="n"/>
      <c r="G99" s="18">
        <f>IF(F99="","",TODAY()-F99)</f>
        <v/>
      </c>
      <c r="H99" s="29" t="n"/>
      <c r="I99" s="18">
        <f>IF(H99="","",H99-TODAY())</f>
        <v/>
      </c>
      <c r="J99" s="12" t="n"/>
      <c r="K99" s="12" t="n"/>
    </row>
    <row r="100" ht="22" customHeight="1">
      <c r="B100" s="16">
        <f>IF(C100="","MAJ-"&amp;TEXT(COUNTA($C$5:C100),"000"))</f>
        <v/>
      </c>
      <c r="C100" s="14" t="n"/>
      <c r="D100" s="14" t="n"/>
      <c r="E100" s="30" t="n"/>
      <c r="F100" s="14" t="n"/>
      <c r="G100" s="19">
        <f>IF(F100="","",TODAY()-F100)</f>
        <v/>
      </c>
      <c r="H100" s="30" t="n"/>
      <c r="I100" s="19">
        <f>IF(H100="","",H100-TODAY())</f>
        <v/>
      </c>
      <c r="J100" s="14" t="n"/>
      <c r="K100" s="14" t="n"/>
    </row>
    <row r="101" ht="22" customHeight="1">
      <c r="B101" s="17">
        <f>IF(C101="","MAJ-"&amp;TEXT(COUNTA($C$5:C101),"000"))</f>
        <v/>
      </c>
      <c r="C101" s="12" t="n"/>
      <c r="D101" s="12" t="n"/>
      <c r="E101" s="29" t="n"/>
      <c r="F101" s="12" t="n"/>
      <c r="G101" s="18">
        <f>IF(F101="","",TODAY()-F101)</f>
        <v/>
      </c>
      <c r="H101" s="29" t="n"/>
      <c r="I101" s="18">
        <f>IF(H101="","",H101-TODAY())</f>
        <v/>
      </c>
      <c r="J101" s="12" t="n"/>
      <c r="K101" s="12" t="n"/>
    </row>
    <row r="102" ht="22" customHeight="1">
      <c r="B102" s="16">
        <f>IF(C102="","MAJ-"&amp;TEXT(COUNTA($C$5:C102),"000"))</f>
        <v/>
      </c>
      <c r="C102" s="14" t="n"/>
      <c r="D102" s="14" t="n"/>
      <c r="E102" s="30" t="n"/>
      <c r="F102" s="14" t="n"/>
      <c r="G102" s="19">
        <f>IF(F102="","",TODAY()-F102)</f>
        <v/>
      </c>
      <c r="H102" s="30" t="n"/>
      <c r="I102" s="19">
        <f>IF(H102="","",H102-TODAY())</f>
        <v/>
      </c>
      <c r="J102" s="14" t="n"/>
      <c r="K102" s="14" t="n"/>
    </row>
    <row r="103" ht="22" customHeight="1">
      <c r="B103" s="17">
        <f>IF(C103="","MAJ-"&amp;TEXT(COUNTA($C$5:C103),"000"))</f>
        <v/>
      </c>
      <c r="C103" s="12" t="n"/>
      <c r="D103" s="12" t="n"/>
      <c r="E103" s="29" t="n"/>
      <c r="F103" s="12" t="n"/>
      <c r="G103" s="18">
        <f>IF(F103="","",TODAY()-F103)</f>
        <v/>
      </c>
      <c r="H103" s="29" t="n"/>
      <c r="I103" s="18">
        <f>IF(H103="","",H103-TODAY())</f>
        <v/>
      </c>
      <c r="J103" s="12" t="n"/>
      <c r="K103" s="12" t="n"/>
    </row>
    <row r="104" ht="22" customHeight="1">
      <c r="B104" s="16">
        <f>IF(C104="","MAJ-"&amp;TEXT(COUNTA($C$5:C104),"000"))</f>
        <v/>
      </c>
      <c r="C104" s="14" t="n"/>
      <c r="D104" s="14" t="n"/>
      <c r="E104" s="30" t="n"/>
      <c r="F104" s="14" t="n"/>
      <c r="G104" s="19">
        <f>IF(F104="","",TODAY()-F104)</f>
        <v/>
      </c>
      <c r="H104" s="30" t="n"/>
      <c r="I104" s="19">
        <f>IF(H104="","",H104-TODAY())</f>
        <v/>
      </c>
      <c r="J104" s="14" t="n"/>
      <c r="K104" s="14" t="n"/>
    </row>
    <row r="105" ht="22" customHeight="1">
      <c r="B105" s="17">
        <f>IF(C105="","MAJ-"&amp;TEXT(COUNTA($C$5:C105),"000"))</f>
        <v/>
      </c>
      <c r="C105" s="12" t="n"/>
      <c r="D105" s="12" t="n"/>
      <c r="E105" s="29" t="n"/>
      <c r="F105" s="12" t="n"/>
      <c r="G105" s="18">
        <f>IF(F105="","",TODAY()-F105)</f>
        <v/>
      </c>
      <c r="H105" s="29" t="n"/>
      <c r="I105" s="18">
        <f>IF(H105="","",H105-TODAY())</f>
        <v/>
      </c>
      <c r="J105" s="12" t="n"/>
      <c r="K105" s="12" t="n"/>
    </row>
    <row r="106" ht="22" customHeight="1">
      <c r="B106" s="16">
        <f>IF(C106="","MAJ-"&amp;TEXT(COUNTA($C$5:C106),"000"))</f>
        <v/>
      </c>
      <c r="C106" s="14" t="n"/>
      <c r="D106" s="14" t="n"/>
      <c r="E106" s="30" t="n"/>
      <c r="F106" s="14" t="n"/>
      <c r="G106" s="19">
        <f>IF(F106="","",TODAY()-F106)</f>
        <v/>
      </c>
      <c r="H106" s="30" t="n"/>
      <c r="I106" s="19">
        <f>IF(H106="","",H106-TODAY())</f>
        <v/>
      </c>
      <c r="J106" s="14" t="n"/>
      <c r="K106" s="14" t="n"/>
    </row>
    <row r="107" ht="22" customHeight="1">
      <c r="B107" s="17">
        <f>IF(C107="","MAJ-"&amp;TEXT(COUNTA($C$5:C107),"000"))</f>
        <v/>
      </c>
      <c r="C107" s="12" t="n"/>
      <c r="D107" s="12" t="n"/>
      <c r="E107" s="29" t="n"/>
      <c r="F107" s="12" t="n"/>
      <c r="G107" s="18">
        <f>IF(F107="","",TODAY()-F107)</f>
        <v/>
      </c>
      <c r="H107" s="29" t="n"/>
      <c r="I107" s="18">
        <f>IF(H107="","",H107-TODAY())</f>
        <v/>
      </c>
      <c r="J107" s="12" t="n"/>
      <c r="K107" s="12" t="n"/>
    </row>
    <row r="108" ht="22" customHeight="1">
      <c r="B108" s="16">
        <f>IF(C108="","MAJ-"&amp;TEXT(COUNTA($C$5:C108),"000"))</f>
        <v/>
      </c>
      <c r="C108" s="14" t="n"/>
      <c r="D108" s="14" t="n"/>
      <c r="E108" s="30" t="n"/>
      <c r="F108" s="14" t="n"/>
      <c r="G108" s="19">
        <f>IF(F108="","",TODAY()-F108)</f>
        <v/>
      </c>
      <c r="H108" s="30" t="n"/>
      <c r="I108" s="19">
        <f>IF(H108="","",H108-TODAY())</f>
        <v/>
      </c>
      <c r="J108" s="14" t="n"/>
      <c r="K108" s="14" t="n"/>
    </row>
    <row r="109" ht="22" customHeight="1">
      <c r="B109" s="17">
        <f>IF(C109="","MAJ-"&amp;TEXT(COUNTA($C$5:C109),"000"))</f>
        <v/>
      </c>
      <c r="C109" s="12" t="n"/>
      <c r="D109" s="12" t="n"/>
      <c r="E109" s="29" t="n"/>
      <c r="F109" s="12" t="n"/>
      <c r="G109" s="18">
        <f>IF(F109="","",TODAY()-F109)</f>
        <v/>
      </c>
      <c r="H109" s="29" t="n"/>
      <c r="I109" s="18">
        <f>IF(H109="","",H109-TODAY())</f>
        <v/>
      </c>
      <c r="J109" s="12" t="n"/>
      <c r="K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Documents suivis</t>
        </is>
      </c>
      <c r="D112" s="3" t="inlineStr">
        <is>
          <t>En retard</t>
        </is>
      </c>
      <c r="F112" s="3" t="inlineStr">
        <is>
          <t>A MAJ &lt; 30j</t>
        </is>
      </c>
    </row>
    <row r="113">
      <c r="B113" s="4">
        <f>COUNTIF(B5:B104,"&lt;&gt;")</f>
        <v/>
      </c>
      <c r="D113" s="4">
        <f>COUNTIF(K5:K104,"En retard")</f>
        <v/>
      </c>
      <c r="F113" s="4">
        <f>COUNTIF(I5:I104,"&lt;"&amp;30)-COUNTIF(I5:I104,"&lt;"&amp;0)</f>
        <v/>
      </c>
    </row>
  </sheetData>
  <mergeCells count="3">
    <mergeCell ref="B111:K111"/>
    <mergeCell ref="B3:K3"/>
    <mergeCell ref="B2:K2"/>
  </mergeCells>
  <conditionalFormatting sqref="K5:K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"Traite"</formula>
    </cfRule>
    <cfRule type="cellIs" priority="9" operator="equal" dxfId="0">
      <formula>"Clos"</formula>
    </cfRule>
    <cfRule type="cellIs" priority="10" operator="equal" dxfId="0">
      <formula>"Solde"</formula>
    </cfRule>
    <cfRule type="cellIs" priority="11" operator="equal" dxfId="0">
      <formula>"Pris"</formula>
    </cfRule>
    <cfRule type="cellIs" priority="12" operator="equal" dxfId="0">
      <formula>"Termine"</formula>
    </cfRule>
    <cfRule type="cellIs" priority="13" operator="equal" dxfId="0">
      <formula>"Terminee"</formula>
    </cfRule>
    <cfRule type="cellIs" priority="14" operator="equal" dxfId="0">
      <formula>"Reprise"</formula>
    </cfRule>
    <cfRule type="cellIs" priority="15" operator="equal" dxfId="0">
      <formula>"Aptitude"</formula>
    </cfRule>
    <cfRule type="cellIs" priority="16" operator="equal" dxfId="0">
      <formula>"Justifie"</formula>
    </cfRule>
    <cfRule type="cellIs" priority="17" operator="equal" dxfId="0">
      <formula>"Justifiee a posteriori"</formula>
    </cfRule>
    <cfRule type="cellIs" priority="18" operator="equal" dxfId="0">
      <formula>"Cloturee"</formula>
    </cfRule>
    <cfRule type="cellIs" priority="19" operator="equal" dxfId="0">
      <formula>"Prolonge"</formula>
    </cfRule>
    <cfRule type="cellIs" priority="20" operator="equal" dxfId="0">
      <formula>"Satisfait"</formula>
    </cfRule>
    <cfRule type="cellIs" priority="21" operator="equal" dxfId="0">
      <formula>"Bilan realise"</formula>
    </cfRule>
    <cfRule type="cellIs" priority="22" operator="equal" dxfId="0">
      <formula>"Archive"</formula>
    </cfRule>
    <cfRule type="cellIs" priority="23" operator="equal" dxfId="0">
      <formula>"Consomme total"</formula>
    </cfRule>
    <cfRule type="cellIs" priority="24" operator="equal" dxfId="0">
      <formula>"Completee"</formula>
    </cfRule>
    <cfRule type="cellIs" priority="25" operator="equal" dxfId="0">
      <formula>"Expert"</formula>
    </cfRule>
    <cfRule type="cellIs" priority="26" operator="equal" dxfId="0">
      <formula>"Avance"</formula>
    </cfRule>
    <cfRule type="cellIs" priority="27" operator="equal" dxfId="0">
      <formula>"Atteint"</formula>
    </cfRule>
    <cfRule type="cellIs" priority="28" operator="equal" dxfId="0">
      <formula>"Depasse"</formula>
    </cfRule>
    <cfRule type="cellIs" priority="29" operator="equal" dxfId="0">
      <formula>"Confirmation"</formula>
    </cfRule>
    <cfRule type="cellIs" priority="30" operator="equal" dxfId="0">
      <formula>"Tres bon"</formula>
    </cfRule>
    <cfRule type="cellIs" priority="31" operator="equal" dxfId="0">
      <formula>"Excellent"</formula>
    </cfRule>
    <cfRule type="cellIs" priority="32" operator="equal" dxfId="0">
      <formula>"A - Excellent"</formula>
    </cfRule>
    <cfRule type="cellIs" priority="33" operator="equal" dxfId="0">
      <formula>"B - Tres bon"</formula>
    </cfRule>
    <cfRule type="cellIs" priority="34" operator="equal" dxfId="0">
      <formula>"C - Bon"</formula>
    </cfRule>
    <cfRule type="cellIs" priority="35" operator="equal" dxfId="0">
      <formula>"Validee DRH"</formula>
    </cfRule>
    <cfRule type="cellIs" priority="36" operator="equal" dxfId="0">
      <formula>"En mandat"</formula>
    </cfRule>
    <cfRule type="cellIs" priority="37" operator="equal" dxfId="0">
      <formula>"Signe"</formula>
    </cfRule>
    <cfRule type="cellIs" priority="38" operator="equal" dxfId="0">
      <formula>"Depose"</formula>
    </cfRule>
    <cfRule type="cellIs" priority="39" operator="equal" dxfId="0">
      <formula>"Resolu"</formula>
    </cfRule>
    <cfRule type="cellIs" priority="40" operator="equal" dxfId="0">
      <formula>"Terminee - Accord"</formula>
    </cfRule>
    <cfRule type="cellIs" priority="41" operator="equal" dxfId="0">
      <formula>"Traitee"</formula>
    </cfRule>
    <cfRule type="cellIs" priority="42" operator="equal" dxfId="0">
      <formula>"Decision notifiee"</formula>
    </cfRule>
    <cfRule type="cellIs" priority="43" operator="equal" dxfId="0">
      <formula>"Tenue"</formula>
    </cfRule>
    <cfRule type="cellIs" priority="44" operator="equal" dxfId="0">
      <formula>"Declare"</formula>
    </cfRule>
    <cfRule type="cellIs" priority="45" operator="equal" dxfId="0">
      <formula>"Declaree"</formula>
    </cfRule>
    <cfRule type="cellIs" priority="46" operator="equal" dxfId="0">
      <formula>"Reconnue CNPS"</formula>
    </cfRule>
    <cfRule type="cellIs" priority="47" operator="equal" dxfId="0">
      <formula>"Guerie"</formula>
    </cfRule>
    <cfRule type="cellIs" priority="48" operator="equal" dxfId="0">
      <formula>"Apte"</formula>
    </cfRule>
    <cfRule type="cellIs" priority="49" operator="equal" dxfId="0">
      <formula>"Apte avec restriction"</formula>
    </cfRule>
    <cfRule type="cellIs" priority="50" operator="equal" dxfId="0">
      <formula>"Realise"</formula>
    </cfRule>
    <cfRule type="cellIs" priority="51" operator="equal" dxfId="0">
      <formula>"Realisee"</formula>
    </cfRule>
    <cfRule type="cellIs" priority="52" operator="equal" dxfId="0">
      <formula>"En stock"</formula>
    </cfRule>
    <cfRule type="cellIs" priority="53" operator="equal" dxfId="0">
      <formula>"Attribue"</formula>
    </cfRule>
    <cfRule type="cellIs" priority="54" operator="equal" dxfId="0">
      <formula>"Mesures en place"</formula>
    </cfRule>
    <cfRule type="cellIs" priority="55" operator="equal" dxfId="0">
      <formula>"Residuel acceptable"</formula>
    </cfRule>
    <cfRule type="cellIs" priority="56" operator="equal" dxfId="0">
      <formula>"Accepte"</formula>
    </cfRule>
    <cfRule type="cellIs" priority="57" operator="equal" dxfId="0">
      <formula>"Acceptee"</formula>
    </cfRule>
    <cfRule type="cellIs" priority="58" operator="equal" dxfId="0">
      <formula>"Nomme"</formula>
    </cfRule>
    <cfRule type="cellIs" priority="59" operator="equal" dxfId="0">
      <formula>"Pret"</formula>
    </cfRule>
    <cfRule type="cellIs" priority="60" operator="equal" dxfId="0">
      <formula>"Acquis"</formula>
    </cfRule>
    <cfRule type="cellIs" priority="61" operator="equal" dxfId="0">
      <formula>"Maitre"</formula>
    </cfRule>
    <cfRule type="cellIs" priority="62" operator="equal" dxfId="0">
      <formula>"Expert"</formula>
    </cfRule>
    <cfRule type="cellIs" priority="63" operator="equal" dxfId="0">
      <formula>"En poste"</formula>
    </cfRule>
    <cfRule type="cellIs" priority="64" operator="equal" dxfId="0">
      <formula>"Terminee"</formula>
    </cfRule>
    <cfRule type="cellIs" priority="65" operator="equal" dxfId="0">
      <formula>"Conforme"</formula>
    </cfRule>
    <cfRule type="cellIs" priority="66" operator="equal" dxfId="0">
      <formula>"Effectuee"</formula>
    </cfRule>
    <cfRule type="cellIs" priority="67" operator="equal" dxfId="0">
      <formula>"En renouvellement"</formula>
    </cfRule>
    <cfRule type="cellIs" priority="68" operator="equal" dxfId="0">
      <formula>"Gagne"</formula>
    </cfRule>
    <cfRule type="cellIs" priority="69" operator="equal" dxfId="0">
      <formula>"Transformation CDD-CDI"</formula>
    </cfRule>
    <cfRule type="cellIs" priority="70" operator="equal" dxfId="0">
      <formula>"Complet"</formula>
    </cfRule>
    <cfRule type="cellIs" priority="71" operator="equal" dxfId="0">
      <formula>"Restitue"</formula>
    </cfRule>
    <cfRule type="cellIs" priority="72" operator="equal" dxfId="0">
      <formula>"Extrait copie"</formula>
    </cfRule>
    <cfRule type="cellIs" priority="73" operator="equal" dxfId="0">
      <formula>"Archivé"</formula>
    </cfRule>
    <cfRule type="cellIs" priority="74" operator="equal" dxfId="0">
      <formula>"Indéfinie"</formula>
    </cfRule>
    <cfRule type="cellIs" priority="75" operator="equal" dxfId="0">
      <formula>"Numerique - GED"</formula>
    </cfRule>
    <cfRule type="cellIs" priority="76" operator="equal" dxfId="1">
      <formula>"En attente"</formula>
    </cfRule>
    <cfRule type="cellIs" priority="77" operator="equal" dxfId="1">
      <formula>"A renouveler"</formula>
    </cfRule>
    <cfRule type="cellIs" priority="78" operator="equal" dxfId="1">
      <formula>"En cours"</formula>
    </cfRule>
    <cfRule type="cellIs" priority="79" operator="equal" dxfId="1">
      <formula>"En traitement"</formula>
    </cfRule>
    <cfRule type="cellIs" priority="80" operator="equal" dxfId="1">
      <formula>"En retard"</formula>
    </cfRule>
    <cfRule type="cellIs" priority="81" operator="equal" dxfId="1">
      <formula>"Suspendu"</formula>
    </cfRule>
    <cfRule type="cellIs" priority="82" operator="equal" dxfId="1">
      <formula>"Planifie"</formula>
    </cfRule>
    <cfRule type="cellIs" priority="83" operator="equal" dxfId="1">
      <formula>"Planifiee"</formula>
    </cfRule>
    <cfRule type="cellIs" priority="84" operator="equal" dxfId="1">
      <formula>"Brouillon"</formula>
    </cfRule>
    <cfRule type="cellIs" priority="85" operator="equal" dxfId="1">
      <formula>"En attente de justification"</formula>
    </cfRule>
    <cfRule type="cellIs" priority="86" operator="equal" dxfId="1">
      <formula>"Tolere"</formula>
    </cfRule>
    <cfRule type="cellIs" priority="87" operator="equal" dxfId="1">
      <formula>"Variable"</formula>
    </cfRule>
    <cfRule type="cellIs" priority="88" operator="equal" dxfId="1">
      <formula>"En elaboration"</formula>
    </cfRule>
    <cfRule type="cellIs" priority="89" operator="equal" dxfId="1">
      <formula>"Provisionne"</formula>
    </cfRule>
    <cfRule type="cellIs" priority="90" operator="equal" dxfId="1">
      <formula>"Consomme partiel"</formula>
    </cfRule>
    <cfRule type="cellIs" priority="91" operator="equal" dxfId="1">
      <formula>"Identifie"</formula>
    </cfRule>
    <cfRule type="cellIs" priority="92" operator="equal" dxfId="1">
      <formula>"Priorise"</formula>
    </cfRule>
    <cfRule type="cellIs" priority="93" operator="equal" dxfId="1">
      <formula>"Intermediaire"</formula>
    </cfRule>
    <cfRule type="cellIs" priority="94" operator="equal" dxfId="1">
      <formula>"Non evalue"</formula>
    </cfRule>
    <cfRule type="cellIs" priority="95" operator="equal" dxfId="1">
      <formula>"En cours de realisation"</formula>
    </cfRule>
    <cfRule type="cellIs" priority="96" operator="equal" dxfId="1">
      <formula>"Non demarre"</formula>
    </cfRule>
    <cfRule type="cellIs" priority="97" operator="equal" dxfId="1">
      <formula>"En attente N+1"</formula>
    </cfRule>
    <cfRule type="cellIs" priority="98" operator="equal" dxfId="1">
      <formula>"Prolongation essai"</formula>
    </cfRule>
    <cfRule type="cellIs" priority="99" operator="equal" dxfId="1">
      <formula>"En attente validation"</formula>
    </cfRule>
    <cfRule type="cellIs" priority="100" operator="equal" dxfId="1">
      <formula>"Bon"</formula>
    </cfRule>
    <cfRule type="cellIs" priority="101" operator="equal" dxfId="1">
      <formula>"D - Moyen"</formula>
    </cfRule>
    <cfRule type="cellIs" priority="102" operator="equal" dxfId="1">
      <formula>"En cours de repres."</formula>
    </cfRule>
    <cfRule type="cellIs" priority="103" operator="equal" dxfId="1">
      <formula>"En negociation"</formula>
    </cfRule>
    <cfRule type="cellIs" priority="104" operator="equal" dxfId="1">
      <formula>"En preparation"</formula>
    </cfRule>
    <cfRule type="cellIs" priority="105" operator="equal" dxfId="1">
      <formula>"En cours d'instruction"</formula>
    </cfRule>
    <cfRule type="cellIs" priority="106" operator="equal" dxfId="1">
      <formula>"Transferee N+1"</formula>
    </cfRule>
    <cfRule type="cellIs" priority="107" operator="equal" dxfId="1">
      <formula>"En attente reponse"</formula>
    </cfRule>
    <cfRule type="cellIs" priority="108" operator="equal" dxfId="1">
      <formula>"Enquete ouverte"</formula>
    </cfRule>
    <cfRule type="cellIs" priority="109" operator="equal" dxfId="1">
      <formula>"Convocation envoyee"</formula>
    </cfRule>
    <cfRule type="cellIs" priority="110" operator="equal" dxfId="1">
      <formula>"Entretien realise"</formula>
    </cfRule>
    <cfRule type="cellIs" priority="111" operator="equal" dxfId="1">
      <formula>"Saisie"</formula>
    </cfRule>
    <cfRule type="cellIs" priority="112" operator="equal" dxfId="1">
      <formula>"En mediation"</formula>
    </cfRule>
    <cfRule type="cellIs" priority="113" operator="equal" dxfId="1">
      <formula>"En recours"</formula>
    </cfRule>
    <cfRule type="cellIs" priority="114" operator="equal" dxfId="1">
      <formula>"Reportee"</formula>
    </cfRule>
    <cfRule type="cellIs" priority="115" operator="equal" dxfId="1">
      <formula>"Reporte"</formula>
    </cfRule>
    <cfRule type="cellIs" priority="116" operator="equal" dxfId="1">
      <formula>"Signale"</formula>
    </cfRule>
    <cfRule type="cellIs" priority="117" operator="equal" dxfId="1">
      <formula>"Precontentieux"</formula>
    </cfRule>
    <cfRule type="cellIs" priority="118" operator="equal" dxfId="1">
      <formula>"En attente election"</formula>
    </cfRule>
    <cfRule type="cellIs" priority="119" operator="equal" dxfId="1">
      <formula>"Classe"</formula>
    </cfRule>
    <cfRule type="cellIs" priority="120" operator="equal" dxfId="1">
      <formula>"En cours d'evaluation"</formula>
    </cfRule>
    <cfRule type="cellIs" priority="121" operator="equal" dxfId="1">
      <formula>"En cours d'enquete"</formula>
    </cfRule>
    <cfRule type="cellIs" priority="122" operator="equal" dxfId="1">
      <formula>"En cours de commande"</formula>
    </cfRule>
    <cfRule type="cellIs" priority="123" operator="equal" dxfId="1">
      <formula>"A revoir"</formula>
    </cfRule>
    <cfRule type="cellIs" priority="124" operator="equal" dxfId="1">
      <formula>"A remplacer"</formula>
    </cfRule>
    <cfRule type="cellIs" priority="125" operator="equal" dxfId="1">
      <formula>"En cours d'instruction CNPS"</formula>
    </cfRule>
    <cfRule type="cellIs" priority="126" operator="equal" dxfId="1">
      <formula>"En contestation"</formula>
    </cfRule>
    <cfRule type="cellIs" priority="127" operator="equal" dxfId="1">
      <formula>"Inapte temporaire"</formula>
    </cfRule>
    <cfRule type="cellIs" priority="128" operator="equal" dxfId="1">
      <formula>"Candidat identifie"</formula>
    </cfRule>
    <cfRule type="cellIs" priority="129" operator="equal" dxfId="1">
      <formula>"En formation"</formula>
    </cfRule>
    <cfRule type="cellIs" priority="130" operator="equal" dxfId="1">
      <formula>"En evaluation"</formula>
    </cfRule>
    <cfRule type="cellIs" priority="131" operator="equal" dxfId="1">
      <formula>"En transit"</formula>
    </cfRule>
    <cfRule type="cellIs" priority="132" operator="equal" dxfId="1">
      <formula>"En attente visa"</formula>
    </cfRule>
    <cfRule type="cellIs" priority="133" operator="equal" dxfId="1">
      <formula>"Proposee"</formula>
    </cfRule>
    <cfRule type="cellIs" priority="134" operator="equal" dxfId="1">
      <formula>"En cours d'acquisition"</formula>
    </cfRule>
    <cfRule type="cellIs" priority="135" operator="equal" dxfId="1">
      <formula>"A developper"</formula>
    </cfRule>
    <cfRule type="cellIs" priority="136" operator="equal" dxfId="1">
      <formula>"A renforcer"</formula>
    </cfRule>
    <cfRule type="cellIs" priority="137" operator="equal" dxfId="1">
      <formula>"En cours"</formula>
    </cfRule>
    <cfRule type="cellIs" priority="138" operator="equal" dxfId="1">
      <formula>"Partiellement conforme"</formula>
    </cfRule>
    <cfRule type="cellIs" priority="139" operator="equal" dxfId="1">
      <formula>"En mise en conformite"</formula>
    </cfRule>
    <cfRule type="cellIs" priority="140" operator="equal" dxfId="1">
      <formula>"En revision"</formula>
    </cfRule>
    <cfRule type="cellIs" priority="141" operator="equal" dxfId="1">
      <formula>"A approuver"</formula>
    </cfRule>
    <cfRule type="cellIs" priority="142" operator="equal" dxfId="1">
      <formula>"En conciliation"</formula>
    </cfRule>
    <cfRule type="cellIs" priority="143" operator="equal" dxfId="1">
      <formula>"Assigne tribunal"</formula>
    </cfRule>
    <cfRule type="cellIs" priority="144" operator="equal" dxfId="1">
      <formula>"En cours de preparation"</formula>
    </cfRule>
    <cfRule type="cellIs" priority="145" operator="equal" dxfId="1">
      <formula>"Non effectuee"</formula>
    </cfRule>
    <cfRule type="cellIs" priority="146" operator="equal" dxfId="1">
      <formula>"A archiver"</formula>
    </cfRule>
    <cfRule type="cellIs" priority="147" operator="equal" dxfId="1">
      <formula>"En cours de constitution"</formula>
    </cfRule>
    <cfRule type="cellIs" priority="148" operator="equal" dxfId="1">
      <formula>"A mettre a jour"</formula>
    </cfRule>
    <cfRule type="cellIs" priority="149" operator="equal" dxfId="1">
      <formula>"En restoration"</formula>
    </cfRule>
    <cfRule type="cellIs" priority="150" operator="equal" dxfId="1">
      <formula>"En cours de restauration"</formula>
    </cfRule>
    <cfRule type="cellIs" priority="151" operator="equal" dxfId="1">
      <formula>"A determiner"</formula>
    </cfRule>
    <cfRule type="cellIs" priority="152" operator="equal" dxfId="1">
      <formula>"En revision"</formula>
    </cfRule>
    <cfRule type="cellIs" priority="153" operator="equal" dxfId="1">
      <formula>"Obsolete"</formula>
    </cfRule>
    <cfRule type="cellIs" priority="154" operator="equal" dxfId="1">
      <formula>"Hybride (papier + numerique)"</formula>
    </cfRule>
    <cfRule type="cellIs" priority="155" operator="equal" dxfId="2">
      <formula>"Expire"</formula>
    </cfRule>
    <cfRule type="cellIs" priority="156" operator="equal" dxfId="2">
      <formula>"Rejete"</formula>
    </cfRule>
    <cfRule type="cellIs" priority="157" operator="equal" dxfId="2">
      <formula>"Rejetee"</formula>
    </cfRule>
    <cfRule type="cellIs" priority="158" operator="equal" dxfId="2">
      <formula>"Resilie"</formula>
    </cfRule>
    <cfRule type="cellIs" priority="159" operator="equal" dxfId="2">
      <formula>"Annule"</formula>
    </cfRule>
    <cfRule type="cellIs" priority="160" operator="equal" dxfId="2">
      <formula>"Annulee"</formula>
    </cfRule>
    <cfRule type="cellIs" priority="161" operator="equal" dxfId="2">
      <formula>"Refuse"</formula>
    </cfRule>
    <cfRule type="cellIs" priority="162" operator="equal" dxfId="2">
      <formula>"Non justifie"</formula>
    </cfRule>
    <cfRule type="cellIs" priority="163" operator="equal" dxfId="2">
      <formula>"Non justifiee"</formula>
    </cfRule>
    <cfRule type="cellIs" priority="164" operator="equal" dxfId="2">
      <formula>"Sanctionne"</formula>
    </cfRule>
    <cfRule type="cellIs" priority="165" operator="equal" dxfId="2">
      <formula>"Inaptitude"</formula>
    </cfRule>
    <cfRule type="cellIs" priority="166" operator="equal" dxfId="2">
      <formula>"Absent sans autorisation"</formula>
    </cfRule>
    <cfRule type="cellIs" priority="167" operator="equal" dxfId="2">
      <formula>"Abandon de poste"</formula>
    </cfRule>
    <cfRule type="cellIs" priority="168" operator="equal" dxfId="2">
      <formula>"Non satisfait"</formula>
    </cfRule>
    <cfRule type="cellIs" priority="169" operator="equal" dxfId="2">
      <formula>"Depasse"</formula>
    </cfRule>
    <cfRule type="cellIs" priority="170" operator="equal" dxfId="2">
      <formula>"Non utilise"</formula>
    </cfRule>
    <cfRule type="cellIs" priority="171" operator="equal" dxfId="2">
      <formula>"Non applicable"</formula>
    </cfRule>
    <cfRule type="cellIs" priority="172" operator="equal" dxfId="2">
      <formula>"Debutant"</formula>
    </cfRule>
    <cfRule type="cellIs" priority="173" operator="equal" dxfId="2">
      <formula>"Non atteint"</formula>
    </cfRule>
    <cfRule type="cellIs" priority="174" operator="equal" dxfId="2">
      <formula>"Abandonne"</formula>
    </cfRule>
    <cfRule type="cellIs" priority="175" operator="equal" dxfId="2">
      <formula>"Rupture essai"</formula>
    </cfRule>
    <cfRule type="cellIs" priority="176" operator="equal" dxfId="2">
      <formula>"Insuffisant"</formula>
    </cfRule>
    <cfRule type="cellIs" priority="177" operator="equal" dxfId="2">
      <formula>"Moyen"</formula>
    </cfRule>
    <cfRule type="cellIs" priority="178" operator="equal" dxfId="2">
      <formula>"E - Insuffisant"</formula>
    </cfRule>
    <cfRule type="cellIs" priority="179" operator="equal" dxfId="2">
      <formula>"Dissous"</formula>
    </cfRule>
    <cfRule type="cellIs" priority="180" operator="equal" dxfId="2">
      <formula>"Denonce"</formula>
    </cfRule>
    <cfRule type="cellIs" priority="181" operator="equal" dxfId="2">
      <formula>"Echoue"</formula>
    </cfRule>
    <cfRule type="cellIs" priority="182" operator="equal" dxfId="2">
      <formula>"Echouee"</formula>
    </cfRule>
    <cfRule type="cellIs" priority="183" operator="equal" dxfId="2">
      <formula>"Revoque"</formula>
    </cfRule>
    <cfRule type="cellIs" priority="184" operator="equal" dxfId="2">
      <formula>"Demissionnaire"</formula>
    </cfRule>
    <cfRule type="cellIs" priority="185" operator="equal" dxfId="2">
      <formula>"Licenciement pour faute"</formula>
    </cfRule>
    <cfRule type="cellIs" priority="186" operator="equal" dxfId="2">
      <formula>"Licenciement pour faute grave"</formula>
    </cfRule>
    <cfRule type="cellIs" priority="187" operator="equal" dxfId="2">
      <formula>"Terminee - Echec"</formula>
    </cfRule>
    <cfRule type="cellIs" priority="188" operator="equal" dxfId="2">
      <formula>"Abandonnee"</formula>
    </cfRule>
    <cfRule type="cellIs" priority="189" operator="equal" dxfId="2">
      <formula>"Violence physique"</formula>
    </cfRule>
    <cfRule type="cellIs" priority="190" operator="equal" dxfId="2">
      <formula>"Violence verbale"</formula>
    </cfRule>
    <cfRule type="cellIs" priority="191" operator="equal" dxfId="2">
      <formula>"Fatal"</formula>
    </cfRule>
    <cfRule type="cellIs" priority="192" operator="equal" dxfId="2">
      <formula>"Non reconnue"</formula>
    </cfRule>
    <cfRule type="cellIs" priority="193" operator="equal" dxfId="2">
      <formula>"Inapte definitif"</formula>
    </cfRule>
    <cfRule type="cellIs" priority="194" operator="equal" dxfId="2">
      <formula>"Perdu / vole"</formula>
    </cfRule>
    <cfRule type="cellIs" priority="195" operator="equal" dxfId="2">
      <formula>"Rebute"</formula>
    </cfRule>
    <cfRule type="cellIs" priority="196" operator="equal" dxfId="2">
      <formula>"Obsolette"</formula>
    </cfRule>
    <cfRule type="cellIs" priority="197" operator="equal" dxfId="2">
      <formula>"Conteste"</formula>
    </cfRule>
    <cfRule type="cellIs" priority="198" operator="equal" dxfId="2">
      <formula>"Refusee"</formula>
    </cfRule>
    <cfRule type="cellIs" priority="199" operator="equal" dxfId="2">
      <formula>"Non retenu"</formula>
    </cfRule>
    <cfRule type="cellIs" priority="200" operator="equal" dxfId="2">
      <formula>"Non acquis"</formula>
    </cfRule>
    <cfRule type="cellIs" priority="201" operator="equal" dxfId="2">
      <formula>"Contrat termine"</formula>
    </cfRule>
    <cfRule type="cellIs" priority="202" operator="equal" dxfId="2">
      <formula>"Rapatrie"</formula>
    </cfRule>
    <cfRule type="cellIs" priority="203" operator="equal" dxfId="2">
      <formula>"Non conforme"</formula>
    </cfRule>
    <cfRule type="cellIs" priority="204" operator="equal" dxfId="2">
      <formula>"Abandonne"</formula>
    </cfRule>
    <cfRule type="cellIs" priority="205" operator="equal" dxfId="2">
      <formula>"Perdu"</formula>
    </cfRule>
    <cfRule type="cellIs" priority="206" operator="equal" dxfId="2">
      <formula>"Resilie"</formula>
    </cfRule>
    <cfRule type="cellIs" priority="207" operator="equal" dxfId="2">
      <formula>"Expire"</formula>
    </cfRule>
    <cfRule type="cellIs" priority="208" operator="equal" dxfId="2">
      <formula>"Incomplet"</formula>
    </cfRule>
    <cfRule type="cellIs" priority="209" operator="equal" dxfId="2">
      <formula>"Non restitue"</formula>
    </cfRule>
    <cfRule type="cellIs" priority="210" operator="equal" dxfId="2">
      <formula>"Perdu"</formula>
    </cfRule>
    <cfRule type="cellIs" priority="211" operator="equal" dxfId="2">
      <formula>"Secret"</formula>
    </cfRule>
  </conditionalFormatting>
  <conditionalFormatting sqref="B10:B109">
    <cfRule type="expression" priority="212" dxfId="3">
      <formula>AND($C10="",$C9&lt;&gt;"")</formula>
    </cfRule>
  </conditionalFormatting>
  <conditionalFormatting sqref="C10:C109">
    <cfRule type="expression" priority="213" dxfId="3">
      <formula>AND($C10="",$C9&lt;&gt;"")</formula>
    </cfRule>
  </conditionalFormatting>
  <conditionalFormatting sqref="D10:D109">
    <cfRule type="expression" priority="214" dxfId="3">
      <formula>AND($C10="",$C9&lt;&gt;"")</formula>
    </cfRule>
  </conditionalFormatting>
  <conditionalFormatting sqref="E10:E109">
    <cfRule type="expression" priority="215" dxfId="3">
      <formula>AND($C10="",$C9&lt;&gt;"")</formula>
    </cfRule>
  </conditionalFormatting>
  <conditionalFormatting sqref="F10:F109">
    <cfRule type="expression" priority="216" dxfId="3">
      <formula>AND($C10="",$C9&lt;&gt;"")</formula>
    </cfRule>
  </conditionalFormatting>
  <conditionalFormatting sqref="G10:G109">
    <cfRule type="expression" priority="217" dxfId="3">
      <formula>AND($C10="",$C9&lt;&gt;"")</formula>
    </cfRule>
  </conditionalFormatting>
  <conditionalFormatting sqref="H10:H109">
    <cfRule type="expression" priority="218" dxfId="3">
      <formula>AND($C10="",$C9&lt;&gt;"")</formula>
    </cfRule>
  </conditionalFormatting>
  <conditionalFormatting sqref="I10:I109">
    <cfRule type="expression" priority="219" dxfId="3">
      <formula>AND($C10="",$C9&lt;&gt;"")</formula>
    </cfRule>
  </conditionalFormatting>
  <conditionalFormatting sqref="J10:J109">
    <cfRule type="expression" priority="220" dxfId="3">
      <formula>AND($C10="",$C9&lt;&gt;"")</formula>
    </cfRule>
  </conditionalFormatting>
  <conditionalFormatting sqref="K10:K109">
    <cfRule type="expression" priority="221" dxfId="3">
      <formula>AND($C10="",$C9&lt;&gt;"")</formula>
    </cfRule>
  </conditionalFormatting>
  <dataValidations count="2">
    <dataValidation sqref="D5:D109" showDropDown="0" showInputMessage="0" showErrorMessage="0" allowBlank="1" errorTitle="Erreur" error="Valeur invalide" promptTitle="Liste" prompt="Choisir dans la liste" type="list">
      <formula1>'_Lists'!$D$2:$D$21</formula1>
    </dataValidation>
    <dataValidation sqref="K5:K109" showDropDown="0" showInputMessage="0" showErrorMessage="0" allowBlank="1" errorTitle="Erreur" error="Valeur invalide" promptTitle="Liste" prompt="Choisir dans la liste" type="list">
      <formula1>'_Lists'!$N$2:$N$6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6" customWidth="1" min="3" max="3"/>
    <col width="24" customWidth="1" min="4" max="4"/>
    <col width="26" customWidth="1" min="5" max="5"/>
    <col width="22" customWidth="1" min="6" max="6"/>
    <col width="26" customWidth="1" min="7" max="7"/>
    <col width="22" customWidth="1" min="8" max="8"/>
    <col width="24" customWidth="1" min="9" max="9"/>
  </cols>
  <sheetData>
    <row r="1" ht="15" customHeight="1"/>
    <row r="2" ht="32" customHeight="1">
      <c r="B2" s="1" t="inlineStr">
        <is>
          <t>ANALYSE VOLUME ARCHIVAGE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Type Document</t>
        </is>
      </c>
      <c r="D4" s="11" t="inlineStr">
        <is>
          <t>Volume Physique (unites)</t>
        </is>
      </c>
      <c r="E4" s="11" t="inlineStr">
        <is>
          <t>Volume Numerique (fichiers)</t>
        </is>
      </c>
      <c r="F4" s="11" t="inlineStr">
        <is>
          <t>Volume Numerique (Mo)</t>
        </is>
      </c>
      <c r="G4" s="11" t="inlineStr">
        <is>
          <t>Espace Stockage Utilise (Go)</t>
        </is>
      </c>
      <c r="H4" s="11" t="inlineStr">
        <is>
          <t>Taux Numerisation (%)</t>
        </is>
      </c>
      <c r="I4" s="11" t="inlineStr">
        <is>
          <t>Cout Stockage Estime (FCFA)</t>
        </is>
      </c>
    </row>
    <row r="5" ht="22" customHeight="1">
      <c r="B5" s="12" t="inlineStr">
        <is>
          <t>AVA-001</t>
        </is>
      </c>
      <c r="C5" s="12" t="inlineStr">
        <is>
          <t>Contrats de travail</t>
        </is>
      </c>
      <c r="D5" s="23" t="n">
        <v>85</v>
      </c>
      <c r="E5" s="23" t="n">
        <v>85</v>
      </c>
      <c r="F5" s="23" t="n">
        <v>42</v>
      </c>
      <c r="G5" s="27" t="n">
        <v>0.04</v>
      </c>
      <c r="H5" s="31" t="n"/>
      <c r="I5" s="23" t="n">
        <v>5000</v>
      </c>
    </row>
    <row r="6" ht="22" customHeight="1">
      <c r="B6" s="14" t="inlineStr">
        <is>
          <t>AVA-002</t>
        </is>
      </c>
      <c r="C6" s="14" t="inlineStr">
        <is>
          <t>Bulletins de paie</t>
        </is>
      </c>
      <c r="D6" s="24" t="n">
        <v>12</v>
      </c>
      <c r="E6" s="24" t="n">
        <v>850</v>
      </c>
      <c r="F6" s="24" t="n">
        <v>240</v>
      </c>
      <c r="G6" s="28" t="n">
        <v>0.23</v>
      </c>
      <c r="H6" s="32" t="n"/>
      <c r="I6" s="24" t="n">
        <v>15000</v>
      </c>
    </row>
    <row r="7" ht="22" customHeight="1">
      <c r="B7" s="12" t="inlineStr">
        <is>
          <t>AVA-003</t>
        </is>
      </c>
      <c r="C7" s="12" t="inlineStr">
        <is>
          <t>PV reunions</t>
        </is>
      </c>
      <c r="D7" s="23" t="n">
        <v>8</v>
      </c>
      <c r="E7" s="23" t="n">
        <v>40</v>
      </c>
      <c r="F7" s="23" t="n">
        <v>16</v>
      </c>
      <c r="G7" s="27" t="n">
        <v>0.02</v>
      </c>
      <c r="H7" s="31" t="n"/>
      <c r="I7" s="23" t="n">
        <v>3000</v>
      </c>
    </row>
    <row r="8" ht="22" customHeight="1">
      <c r="B8" s="14" t="inlineStr">
        <is>
          <t>AVA-004</t>
        </is>
      </c>
      <c r="C8" s="14" t="inlineStr">
        <is>
          <t>Formations &amp; Attestations</t>
        </is>
      </c>
      <c r="D8" s="24" t="n">
        <v>15</v>
      </c>
      <c r="E8" s="24" t="n">
        <v>120</v>
      </c>
      <c r="F8" s="24" t="n">
        <v>60</v>
      </c>
      <c r="G8" s="28" t="n">
        <v>0.06</v>
      </c>
      <c r="H8" s="32" t="n"/>
      <c r="I8" s="24" t="n">
        <v>8000</v>
      </c>
    </row>
    <row r="9" ht="22" customHeight="1">
      <c r="B9" s="12" t="inlineStr">
        <is>
          <t>AVA-005</t>
        </is>
      </c>
      <c r="C9" s="12" t="inlineStr">
        <is>
          <t>Reglementation</t>
        </is>
      </c>
      <c r="D9" s="23" t="n">
        <v>25</v>
      </c>
      <c r="E9" s="23" t="n">
        <v>75</v>
      </c>
      <c r="F9" s="23" t="n">
        <v>35</v>
      </c>
      <c r="G9" s="27" t="n">
        <v>0.03</v>
      </c>
      <c r="H9" s="31" t="n"/>
      <c r="I9" s="23" t="n">
        <v>4000</v>
      </c>
    </row>
    <row r="10" ht="22" customHeight="1">
      <c r="B10" s="16">
        <f>IF(C10="","AVA-"&amp;TEXT(COUNTA($C$5:C10),"000"))</f>
        <v/>
      </c>
      <c r="C10" s="14" t="n"/>
      <c r="D10" s="24" t="n"/>
      <c r="E10" s="24" t="n"/>
      <c r="F10" s="24" t="n"/>
      <c r="G10" s="28" t="n"/>
      <c r="H10" s="32">
        <f>IF(OR(D10="",E10=""),"",IF(D10+E10=0,"",E10/(D10+E10)))</f>
        <v/>
      </c>
      <c r="I10" s="24" t="n"/>
    </row>
    <row r="11" ht="22" customHeight="1">
      <c r="B11" s="17">
        <f>IF(C11="","AVA-"&amp;TEXT(COUNTA($C$5:C11),"000"))</f>
        <v/>
      </c>
      <c r="C11" s="12" t="n"/>
      <c r="D11" s="23" t="n"/>
      <c r="E11" s="23" t="n"/>
      <c r="F11" s="23" t="n"/>
      <c r="G11" s="27" t="n"/>
      <c r="H11" s="31">
        <f>IF(OR(D11="",E11=""),"",IF(D11+E11=0,"",E11/(D11+E11)))</f>
        <v/>
      </c>
      <c r="I11" s="23" t="n"/>
    </row>
    <row r="12" ht="22" customHeight="1">
      <c r="B12" s="16">
        <f>IF(C12="","AVA-"&amp;TEXT(COUNTA($C$5:C12),"000"))</f>
        <v/>
      </c>
      <c r="C12" s="14" t="n"/>
      <c r="D12" s="24" t="n"/>
      <c r="E12" s="24" t="n"/>
      <c r="F12" s="24" t="n"/>
      <c r="G12" s="28" t="n"/>
      <c r="H12" s="32">
        <f>IF(OR(D12="",E12=""),"",IF(D12+E12=0,"",E12/(D12+E12)))</f>
        <v/>
      </c>
      <c r="I12" s="24" t="n"/>
    </row>
    <row r="13" ht="22" customHeight="1">
      <c r="B13" s="17">
        <f>IF(C13="","AVA-"&amp;TEXT(COUNTA($C$5:C13),"000"))</f>
        <v/>
      </c>
      <c r="C13" s="12" t="n"/>
      <c r="D13" s="23" t="n"/>
      <c r="E13" s="23" t="n"/>
      <c r="F13" s="23" t="n"/>
      <c r="G13" s="27" t="n"/>
      <c r="H13" s="31">
        <f>IF(OR(D13="",E13=""),"",IF(D13+E13=0,"",E13/(D13+E13)))</f>
        <v/>
      </c>
      <c r="I13" s="23" t="n"/>
    </row>
    <row r="14" ht="22" customHeight="1">
      <c r="B14" s="16">
        <f>IF(C14="","AVA-"&amp;TEXT(COUNTA($C$5:C14),"000"))</f>
        <v/>
      </c>
      <c r="C14" s="14" t="n"/>
      <c r="D14" s="24" t="n"/>
      <c r="E14" s="24" t="n"/>
      <c r="F14" s="24" t="n"/>
      <c r="G14" s="28" t="n"/>
      <c r="H14" s="32">
        <f>IF(OR(D14="",E14=""),"",IF(D14+E14=0,"",E14/(D14+E14)))</f>
        <v/>
      </c>
      <c r="I14" s="24" t="n"/>
    </row>
    <row r="15" ht="22" customHeight="1">
      <c r="B15" s="17">
        <f>IF(C15="","AVA-"&amp;TEXT(COUNTA($C$5:C15),"000"))</f>
        <v/>
      </c>
      <c r="C15" s="12" t="n"/>
      <c r="D15" s="23" t="n"/>
      <c r="E15" s="23" t="n"/>
      <c r="F15" s="23" t="n"/>
      <c r="G15" s="27" t="n"/>
      <c r="H15" s="31">
        <f>IF(OR(D15="",E15=""),"",IF(D15+E15=0,"",E15/(D15+E15)))</f>
        <v/>
      </c>
      <c r="I15" s="23" t="n"/>
    </row>
    <row r="16" ht="22" customHeight="1">
      <c r="B16" s="16">
        <f>IF(C16="","AVA-"&amp;TEXT(COUNTA($C$5:C16),"000"))</f>
        <v/>
      </c>
      <c r="C16" s="14" t="n"/>
      <c r="D16" s="24" t="n"/>
      <c r="E16" s="24" t="n"/>
      <c r="F16" s="24" t="n"/>
      <c r="G16" s="28" t="n"/>
      <c r="H16" s="32">
        <f>IF(OR(D16="",E16=""),"",IF(D16+E16=0,"",E16/(D16+E16)))</f>
        <v/>
      </c>
      <c r="I16" s="24" t="n"/>
    </row>
    <row r="17" ht="22" customHeight="1">
      <c r="B17" s="17">
        <f>IF(C17="","AVA-"&amp;TEXT(COUNTA($C$5:C17),"000"))</f>
        <v/>
      </c>
      <c r="C17" s="12" t="n"/>
      <c r="D17" s="23" t="n"/>
      <c r="E17" s="23" t="n"/>
      <c r="F17" s="23" t="n"/>
      <c r="G17" s="27" t="n"/>
      <c r="H17" s="31">
        <f>IF(OR(D17="",E17=""),"",IF(D17+E17=0,"",E17/(D17+E17)))</f>
        <v/>
      </c>
      <c r="I17" s="23" t="n"/>
    </row>
    <row r="18" ht="22" customHeight="1">
      <c r="B18" s="16">
        <f>IF(C18="","AVA-"&amp;TEXT(COUNTA($C$5:C18),"000"))</f>
        <v/>
      </c>
      <c r="C18" s="14" t="n"/>
      <c r="D18" s="24" t="n"/>
      <c r="E18" s="24" t="n"/>
      <c r="F18" s="24" t="n"/>
      <c r="G18" s="28" t="n"/>
      <c r="H18" s="32">
        <f>IF(OR(D18="",E18=""),"",IF(D18+E18=0,"",E18/(D18+E18)))</f>
        <v/>
      </c>
      <c r="I18" s="24" t="n"/>
    </row>
    <row r="19" ht="22" customHeight="1">
      <c r="B19" s="17">
        <f>IF(C19="","AVA-"&amp;TEXT(COUNTA($C$5:C19),"000"))</f>
        <v/>
      </c>
      <c r="C19" s="12" t="n"/>
      <c r="D19" s="23" t="n"/>
      <c r="E19" s="23" t="n"/>
      <c r="F19" s="23" t="n"/>
      <c r="G19" s="27" t="n"/>
      <c r="H19" s="31">
        <f>IF(OR(D19="",E19=""),"",IF(D19+E19=0,"",E19/(D19+E19)))</f>
        <v/>
      </c>
      <c r="I19" s="23" t="n"/>
    </row>
    <row r="20" ht="22" customHeight="1">
      <c r="B20" s="16">
        <f>IF(C20="","AVA-"&amp;TEXT(COUNTA($C$5:C20),"000"))</f>
        <v/>
      </c>
      <c r="C20" s="14" t="n"/>
      <c r="D20" s="24" t="n"/>
      <c r="E20" s="24" t="n"/>
      <c r="F20" s="24" t="n"/>
      <c r="G20" s="28" t="n"/>
      <c r="H20" s="32">
        <f>IF(OR(D20="",E20=""),"",IF(D20+E20=0,"",E20/(D20+E20)))</f>
        <v/>
      </c>
      <c r="I20" s="24" t="n"/>
    </row>
    <row r="21" ht="22" customHeight="1">
      <c r="B21" s="17">
        <f>IF(C21="","AVA-"&amp;TEXT(COUNTA($C$5:C21),"000"))</f>
        <v/>
      </c>
      <c r="C21" s="12" t="n"/>
      <c r="D21" s="23" t="n"/>
      <c r="E21" s="23" t="n"/>
      <c r="F21" s="23" t="n"/>
      <c r="G21" s="27" t="n"/>
      <c r="H21" s="31">
        <f>IF(OR(D21="",E21=""),"",IF(D21+E21=0,"",E21/(D21+E21)))</f>
        <v/>
      </c>
      <c r="I21" s="23" t="n"/>
    </row>
    <row r="22" ht="22" customHeight="1">
      <c r="B22" s="16">
        <f>IF(C22="","AVA-"&amp;TEXT(COUNTA($C$5:C22),"000"))</f>
        <v/>
      </c>
      <c r="C22" s="14" t="n"/>
      <c r="D22" s="24" t="n"/>
      <c r="E22" s="24" t="n"/>
      <c r="F22" s="24" t="n"/>
      <c r="G22" s="28" t="n"/>
      <c r="H22" s="32">
        <f>IF(OR(D22="",E22=""),"",IF(D22+E22=0,"",E22/(D22+E22)))</f>
        <v/>
      </c>
      <c r="I22" s="24" t="n"/>
    </row>
    <row r="23" ht="22" customHeight="1">
      <c r="B23" s="17">
        <f>IF(C23="","AVA-"&amp;TEXT(COUNTA($C$5:C23),"000"))</f>
        <v/>
      </c>
      <c r="C23" s="12" t="n"/>
      <c r="D23" s="23" t="n"/>
      <c r="E23" s="23" t="n"/>
      <c r="F23" s="23" t="n"/>
      <c r="G23" s="27" t="n"/>
      <c r="H23" s="31">
        <f>IF(OR(D23="",E23=""),"",IF(D23+E23=0,"",E23/(D23+E23)))</f>
        <v/>
      </c>
      <c r="I23" s="23" t="n"/>
    </row>
    <row r="24" ht="22" customHeight="1">
      <c r="B24" s="16">
        <f>IF(C24="","AVA-"&amp;TEXT(COUNTA($C$5:C24),"000"))</f>
        <v/>
      </c>
      <c r="C24" s="14" t="n"/>
      <c r="D24" s="24" t="n"/>
      <c r="E24" s="24" t="n"/>
      <c r="F24" s="24" t="n"/>
      <c r="G24" s="28" t="n"/>
      <c r="H24" s="32">
        <f>IF(OR(D24="",E24=""),"",IF(D24+E24=0,"",E24/(D24+E24)))</f>
        <v/>
      </c>
      <c r="I24" s="24" t="n"/>
    </row>
    <row r="25" ht="22" customHeight="1">
      <c r="B25" s="17">
        <f>IF(C25="","AVA-"&amp;TEXT(COUNTA($C$5:C25),"000"))</f>
        <v/>
      </c>
      <c r="C25" s="12" t="n"/>
      <c r="D25" s="23" t="n"/>
      <c r="E25" s="23" t="n"/>
      <c r="F25" s="23" t="n"/>
      <c r="G25" s="27" t="n"/>
      <c r="H25" s="31">
        <f>IF(OR(D25="",E25=""),"",IF(D25+E25=0,"",E25/(D25+E25)))</f>
        <v/>
      </c>
      <c r="I25" s="23" t="n"/>
    </row>
    <row r="26" ht="22" customHeight="1">
      <c r="B26" s="16">
        <f>IF(C26="","AVA-"&amp;TEXT(COUNTA($C$5:C26),"000"))</f>
        <v/>
      </c>
      <c r="C26" s="14" t="n"/>
      <c r="D26" s="24" t="n"/>
      <c r="E26" s="24" t="n"/>
      <c r="F26" s="24" t="n"/>
      <c r="G26" s="28" t="n"/>
      <c r="H26" s="32">
        <f>IF(OR(D26="",E26=""),"",IF(D26+E26=0,"",E26/(D26+E26)))</f>
        <v/>
      </c>
      <c r="I26" s="24" t="n"/>
    </row>
    <row r="27" ht="22" customHeight="1">
      <c r="B27" s="17">
        <f>IF(C27="","AVA-"&amp;TEXT(COUNTA($C$5:C27),"000"))</f>
        <v/>
      </c>
      <c r="C27" s="12" t="n"/>
      <c r="D27" s="23" t="n"/>
      <c r="E27" s="23" t="n"/>
      <c r="F27" s="23" t="n"/>
      <c r="G27" s="27" t="n"/>
      <c r="H27" s="31">
        <f>IF(OR(D27="",E27=""),"",IF(D27+E27=0,"",E27/(D27+E27)))</f>
        <v/>
      </c>
      <c r="I27" s="23" t="n"/>
    </row>
    <row r="28" ht="22" customHeight="1">
      <c r="B28" s="16">
        <f>IF(C28="","AVA-"&amp;TEXT(COUNTA($C$5:C28),"000"))</f>
        <v/>
      </c>
      <c r="C28" s="14" t="n"/>
      <c r="D28" s="24" t="n"/>
      <c r="E28" s="24" t="n"/>
      <c r="F28" s="24" t="n"/>
      <c r="G28" s="28" t="n"/>
      <c r="H28" s="32">
        <f>IF(OR(D28="",E28=""),"",IF(D28+E28=0,"",E28/(D28+E28)))</f>
        <v/>
      </c>
      <c r="I28" s="24" t="n"/>
    </row>
    <row r="29" ht="22" customHeight="1">
      <c r="B29" s="17">
        <f>IF(C29="","AVA-"&amp;TEXT(COUNTA($C$5:C29),"000"))</f>
        <v/>
      </c>
      <c r="C29" s="12" t="n"/>
      <c r="D29" s="23" t="n"/>
      <c r="E29" s="23" t="n"/>
      <c r="F29" s="23" t="n"/>
      <c r="G29" s="27" t="n"/>
      <c r="H29" s="31">
        <f>IF(OR(D29="",E29=""),"",IF(D29+E29=0,"",E29/(D29+E29)))</f>
        <v/>
      </c>
      <c r="I29" s="23" t="n"/>
    </row>
    <row r="30" ht="22" customHeight="1">
      <c r="B30" s="16">
        <f>IF(C30="","AVA-"&amp;TEXT(COUNTA($C$5:C30),"000"))</f>
        <v/>
      </c>
      <c r="C30" s="14" t="n"/>
      <c r="D30" s="24" t="n"/>
      <c r="E30" s="24" t="n"/>
      <c r="F30" s="24" t="n"/>
      <c r="G30" s="28" t="n"/>
      <c r="H30" s="32">
        <f>IF(OR(D30="",E30=""),"",IF(D30+E30=0,"",E30/(D30+E30)))</f>
        <v/>
      </c>
      <c r="I30" s="24" t="n"/>
    </row>
    <row r="31" ht="22" customHeight="1">
      <c r="B31" s="17">
        <f>IF(C31="","AVA-"&amp;TEXT(COUNTA($C$5:C31),"000"))</f>
        <v/>
      </c>
      <c r="C31" s="12" t="n"/>
      <c r="D31" s="23" t="n"/>
      <c r="E31" s="23" t="n"/>
      <c r="F31" s="23" t="n"/>
      <c r="G31" s="27" t="n"/>
      <c r="H31" s="31">
        <f>IF(OR(D31="",E31=""),"",IF(D31+E31=0,"",E31/(D31+E31)))</f>
        <v/>
      </c>
      <c r="I31" s="23" t="n"/>
    </row>
    <row r="32" ht="22" customHeight="1">
      <c r="B32" s="16">
        <f>IF(C32="","AVA-"&amp;TEXT(COUNTA($C$5:C32),"000"))</f>
        <v/>
      </c>
      <c r="C32" s="14" t="n"/>
      <c r="D32" s="24" t="n"/>
      <c r="E32" s="24" t="n"/>
      <c r="F32" s="24" t="n"/>
      <c r="G32" s="28" t="n"/>
      <c r="H32" s="32">
        <f>IF(OR(D32="",E32=""),"",IF(D32+E32=0,"",E32/(D32+E32)))</f>
        <v/>
      </c>
      <c r="I32" s="24" t="n"/>
    </row>
    <row r="33" ht="22" customHeight="1">
      <c r="B33" s="17">
        <f>IF(C33="","AVA-"&amp;TEXT(COUNTA($C$5:C33),"000"))</f>
        <v/>
      </c>
      <c r="C33" s="12" t="n"/>
      <c r="D33" s="23" t="n"/>
      <c r="E33" s="23" t="n"/>
      <c r="F33" s="23" t="n"/>
      <c r="G33" s="27" t="n"/>
      <c r="H33" s="31">
        <f>IF(OR(D33="",E33=""),"",IF(D33+E33=0,"",E33/(D33+E33)))</f>
        <v/>
      </c>
      <c r="I33" s="23" t="n"/>
    </row>
    <row r="34" ht="22" customHeight="1">
      <c r="B34" s="16">
        <f>IF(C34="","AVA-"&amp;TEXT(COUNTA($C$5:C34),"000"))</f>
        <v/>
      </c>
      <c r="C34" s="14" t="n"/>
      <c r="D34" s="24" t="n"/>
      <c r="E34" s="24" t="n"/>
      <c r="F34" s="24" t="n"/>
      <c r="G34" s="28" t="n"/>
      <c r="H34" s="32">
        <f>IF(OR(D34="",E34=""),"",IF(D34+E34=0,"",E34/(D34+E34)))</f>
        <v/>
      </c>
      <c r="I34" s="24" t="n"/>
    </row>
    <row r="35" ht="22" customHeight="1">
      <c r="B35" s="17">
        <f>IF(C35="","AVA-"&amp;TEXT(COUNTA($C$5:C35),"000"))</f>
        <v/>
      </c>
      <c r="C35" s="12" t="n"/>
      <c r="D35" s="23" t="n"/>
      <c r="E35" s="23" t="n"/>
      <c r="F35" s="23" t="n"/>
      <c r="G35" s="27" t="n"/>
      <c r="H35" s="31">
        <f>IF(OR(D35="",E35=""),"",IF(D35+E35=0,"",E35/(D35+E35)))</f>
        <v/>
      </c>
      <c r="I35" s="23" t="n"/>
    </row>
    <row r="36" ht="22" customHeight="1">
      <c r="B36" s="16">
        <f>IF(C36="","AVA-"&amp;TEXT(COUNTA($C$5:C36),"000"))</f>
        <v/>
      </c>
      <c r="C36" s="14" t="n"/>
      <c r="D36" s="24" t="n"/>
      <c r="E36" s="24" t="n"/>
      <c r="F36" s="24" t="n"/>
      <c r="G36" s="28" t="n"/>
      <c r="H36" s="32">
        <f>IF(OR(D36="",E36=""),"",IF(D36+E36=0,"",E36/(D36+E36)))</f>
        <v/>
      </c>
      <c r="I36" s="24" t="n"/>
    </row>
    <row r="37" ht="22" customHeight="1">
      <c r="B37" s="17">
        <f>IF(C37="","AVA-"&amp;TEXT(COUNTA($C$5:C37),"000"))</f>
        <v/>
      </c>
      <c r="C37" s="12" t="n"/>
      <c r="D37" s="23" t="n"/>
      <c r="E37" s="23" t="n"/>
      <c r="F37" s="23" t="n"/>
      <c r="G37" s="27" t="n"/>
      <c r="H37" s="31">
        <f>IF(OR(D37="",E37=""),"",IF(D37+E37=0,"",E37/(D37+E37)))</f>
        <v/>
      </c>
      <c r="I37" s="23" t="n"/>
    </row>
    <row r="38" ht="22" customHeight="1">
      <c r="B38" s="16">
        <f>IF(C38="","AVA-"&amp;TEXT(COUNTA($C$5:C38),"000"))</f>
        <v/>
      </c>
      <c r="C38" s="14" t="n"/>
      <c r="D38" s="24" t="n"/>
      <c r="E38" s="24" t="n"/>
      <c r="F38" s="24" t="n"/>
      <c r="G38" s="28" t="n"/>
      <c r="H38" s="32">
        <f>IF(OR(D38="",E38=""),"",IF(D38+E38=0,"",E38/(D38+E38)))</f>
        <v/>
      </c>
      <c r="I38" s="24" t="n"/>
    </row>
    <row r="39" ht="22" customHeight="1">
      <c r="B39" s="17">
        <f>IF(C39="","AVA-"&amp;TEXT(COUNTA($C$5:C39),"000"))</f>
        <v/>
      </c>
      <c r="C39" s="12" t="n"/>
      <c r="D39" s="23" t="n"/>
      <c r="E39" s="23" t="n"/>
      <c r="F39" s="23" t="n"/>
      <c r="G39" s="27" t="n"/>
      <c r="H39" s="31">
        <f>IF(OR(D39="",E39=""),"",IF(D39+E39=0,"",E39/(D39+E39)))</f>
        <v/>
      </c>
      <c r="I39" s="23" t="n"/>
    </row>
    <row r="40" ht="22" customHeight="1">
      <c r="B40" s="16">
        <f>IF(C40="","AVA-"&amp;TEXT(COUNTA($C$5:C40),"000"))</f>
        <v/>
      </c>
      <c r="C40" s="14" t="n"/>
      <c r="D40" s="24" t="n"/>
      <c r="E40" s="24" t="n"/>
      <c r="F40" s="24" t="n"/>
      <c r="G40" s="28" t="n"/>
      <c r="H40" s="32">
        <f>IF(OR(D40="",E40=""),"",IF(D40+E40=0,"",E40/(D40+E40)))</f>
        <v/>
      </c>
      <c r="I40" s="24" t="n"/>
    </row>
    <row r="41" ht="22" customHeight="1">
      <c r="B41" s="17">
        <f>IF(C41="","AVA-"&amp;TEXT(COUNTA($C$5:C41),"000"))</f>
        <v/>
      </c>
      <c r="C41" s="12" t="n"/>
      <c r="D41" s="23" t="n"/>
      <c r="E41" s="23" t="n"/>
      <c r="F41" s="23" t="n"/>
      <c r="G41" s="27" t="n"/>
      <c r="H41" s="31">
        <f>IF(OR(D41="",E41=""),"",IF(D41+E41=0,"",E41/(D41+E41)))</f>
        <v/>
      </c>
      <c r="I41" s="23" t="n"/>
    </row>
    <row r="42" ht="22" customHeight="1">
      <c r="B42" s="16">
        <f>IF(C42="","AVA-"&amp;TEXT(COUNTA($C$5:C42),"000"))</f>
        <v/>
      </c>
      <c r="C42" s="14" t="n"/>
      <c r="D42" s="24" t="n"/>
      <c r="E42" s="24" t="n"/>
      <c r="F42" s="24" t="n"/>
      <c r="G42" s="28" t="n"/>
      <c r="H42" s="32">
        <f>IF(OR(D42="",E42=""),"",IF(D42+E42=0,"",E42/(D42+E42)))</f>
        <v/>
      </c>
      <c r="I42" s="24" t="n"/>
    </row>
    <row r="43" ht="22" customHeight="1">
      <c r="B43" s="17">
        <f>IF(C43="","AVA-"&amp;TEXT(COUNTA($C$5:C43),"000"))</f>
        <v/>
      </c>
      <c r="C43" s="12" t="n"/>
      <c r="D43" s="23" t="n"/>
      <c r="E43" s="23" t="n"/>
      <c r="F43" s="23" t="n"/>
      <c r="G43" s="27" t="n"/>
      <c r="H43" s="31">
        <f>IF(OR(D43="",E43=""),"",IF(D43+E43=0,"",E43/(D43+E43)))</f>
        <v/>
      </c>
      <c r="I43" s="23" t="n"/>
    </row>
    <row r="44" ht="22" customHeight="1">
      <c r="B44" s="16">
        <f>IF(C44="","AVA-"&amp;TEXT(COUNTA($C$5:C44),"000"))</f>
        <v/>
      </c>
      <c r="C44" s="14" t="n"/>
      <c r="D44" s="24" t="n"/>
      <c r="E44" s="24" t="n"/>
      <c r="F44" s="24" t="n"/>
      <c r="G44" s="28" t="n"/>
      <c r="H44" s="32">
        <f>IF(OR(D44="",E44=""),"",IF(D44+E44=0,"",E44/(D44+E44)))</f>
        <v/>
      </c>
      <c r="I44" s="24" t="n"/>
    </row>
    <row r="45" ht="22" customHeight="1">
      <c r="B45" s="17">
        <f>IF(C45="","AVA-"&amp;TEXT(COUNTA($C$5:C45),"000"))</f>
        <v/>
      </c>
      <c r="C45" s="12" t="n"/>
      <c r="D45" s="23" t="n"/>
      <c r="E45" s="23" t="n"/>
      <c r="F45" s="23" t="n"/>
      <c r="G45" s="27" t="n"/>
      <c r="H45" s="31">
        <f>IF(OR(D45="",E45=""),"",IF(D45+E45=0,"",E45/(D45+E45)))</f>
        <v/>
      </c>
      <c r="I45" s="23" t="n"/>
    </row>
    <row r="46" ht="22" customHeight="1">
      <c r="B46" s="16">
        <f>IF(C46="","AVA-"&amp;TEXT(COUNTA($C$5:C46),"000"))</f>
        <v/>
      </c>
      <c r="C46" s="14" t="n"/>
      <c r="D46" s="24" t="n"/>
      <c r="E46" s="24" t="n"/>
      <c r="F46" s="24" t="n"/>
      <c r="G46" s="28" t="n"/>
      <c r="H46" s="32">
        <f>IF(OR(D46="",E46=""),"",IF(D46+E46=0,"",E46/(D46+E46)))</f>
        <v/>
      </c>
      <c r="I46" s="24" t="n"/>
    </row>
    <row r="47" ht="22" customHeight="1">
      <c r="B47" s="17">
        <f>IF(C47="","AVA-"&amp;TEXT(COUNTA($C$5:C47),"000"))</f>
        <v/>
      </c>
      <c r="C47" s="12" t="n"/>
      <c r="D47" s="23" t="n"/>
      <c r="E47" s="23" t="n"/>
      <c r="F47" s="23" t="n"/>
      <c r="G47" s="27" t="n"/>
      <c r="H47" s="31">
        <f>IF(OR(D47="",E47=""),"",IF(D47+E47=0,"",E47/(D47+E47)))</f>
        <v/>
      </c>
      <c r="I47" s="23" t="n"/>
    </row>
    <row r="48" ht="22" customHeight="1">
      <c r="B48" s="16">
        <f>IF(C48="","AVA-"&amp;TEXT(COUNTA($C$5:C48),"000"))</f>
        <v/>
      </c>
      <c r="C48" s="14" t="n"/>
      <c r="D48" s="24" t="n"/>
      <c r="E48" s="24" t="n"/>
      <c r="F48" s="24" t="n"/>
      <c r="G48" s="28" t="n"/>
      <c r="H48" s="32">
        <f>IF(OR(D48="",E48=""),"",IF(D48+E48=0,"",E48/(D48+E48)))</f>
        <v/>
      </c>
      <c r="I48" s="24" t="n"/>
    </row>
    <row r="49" ht="22" customHeight="1">
      <c r="B49" s="17">
        <f>IF(C49="","AVA-"&amp;TEXT(COUNTA($C$5:C49),"000"))</f>
        <v/>
      </c>
      <c r="C49" s="12" t="n"/>
      <c r="D49" s="23" t="n"/>
      <c r="E49" s="23" t="n"/>
      <c r="F49" s="23" t="n"/>
      <c r="G49" s="27" t="n"/>
      <c r="H49" s="31">
        <f>IF(OR(D49="",E49=""),"",IF(D49+E49=0,"",E49/(D49+E49)))</f>
        <v/>
      </c>
      <c r="I49" s="23" t="n"/>
    </row>
    <row r="50" ht="22" customHeight="1">
      <c r="B50" s="16">
        <f>IF(C50="","AVA-"&amp;TEXT(COUNTA($C$5:C50),"000"))</f>
        <v/>
      </c>
      <c r="C50" s="14" t="n"/>
      <c r="D50" s="24" t="n"/>
      <c r="E50" s="24" t="n"/>
      <c r="F50" s="24" t="n"/>
      <c r="G50" s="28" t="n"/>
      <c r="H50" s="32">
        <f>IF(OR(D50="",E50=""),"",IF(D50+E50=0,"",E50/(D50+E50)))</f>
        <v/>
      </c>
      <c r="I50" s="24" t="n"/>
    </row>
    <row r="51" ht="22" customHeight="1">
      <c r="B51" s="17">
        <f>IF(C51="","AVA-"&amp;TEXT(COUNTA($C$5:C51),"000"))</f>
        <v/>
      </c>
      <c r="C51" s="12" t="n"/>
      <c r="D51" s="23" t="n"/>
      <c r="E51" s="23" t="n"/>
      <c r="F51" s="23" t="n"/>
      <c r="G51" s="27" t="n"/>
      <c r="H51" s="31">
        <f>IF(OR(D51="",E51=""),"",IF(D51+E51=0,"",E51/(D51+E51)))</f>
        <v/>
      </c>
      <c r="I51" s="23" t="n"/>
    </row>
    <row r="52" ht="22" customHeight="1">
      <c r="B52" s="16">
        <f>IF(C52="","AVA-"&amp;TEXT(COUNTA($C$5:C52),"000"))</f>
        <v/>
      </c>
      <c r="C52" s="14" t="n"/>
      <c r="D52" s="24" t="n"/>
      <c r="E52" s="24" t="n"/>
      <c r="F52" s="24" t="n"/>
      <c r="G52" s="28" t="n"/>
      <c r="H52" s="32">
        <f>IF(OR(D52="",E52=""),"",IF(D52+E52=0,"",E52/(D52+E52)))</f>
        <v/>
      </c>
      <c r="I52" s="24" t="n"/>
    </row>
    <row r="53" ht="22" customHeight="1">
      <c r="B53" s="17">
        <f>IF(C53="","AVA-"&amp;TEXT(COUNTA($C$5:C53),"000"))</f>
        <v/>
      </c>
      <c r="C53" s="12" t="n"/>
      <c r="D53" s="23" t="n"/>
      <c r="E53" s="23" t="n"/>
      <c r="F53" s="23" t="n"/>
      <c r="G53" s="27" t="n"/>
      <c r="H53" s="31">
        <f>IF(OR(D53="",E53=""),"",IF(D53+E53=0,"",E53/(D53+E53)))</f>
        <v/>
      </c>
      <c r="I53" s="23" t="n"/>
    </row>
    <row r="54" ht="22" customHeight="1">
      <c r="B54" s="16">
        <f>IF(C54="","AVA-"&amp;TEXT(COUNTA($C$5:C54),"000"))</f>
        <v/>
      </c>
      <c r="C54" s="14" t="n"/>
      <c r="D54" s="24" t="n"/>
      <c r="E54" s="24" t="n"/>
      <c r="F54" s="24" t="n"/>
      <c r="G54" s="28" t="n"/>
      <c r="H54" s="32">
        <f>IF(OR(D54="",E54=""),"",IF(D54+E54=0,"",E54/(D54+E54)))</f>
        <v/>
      </c>
      <c r="I54" s="24" t="n"/>
    </row>
    <row r="55" ht="22" customHeight="1">
      <c r="B55" s="17">
        <f>IF(C55="","AVA-"&amp;TEXT(COUNTA($C$5:C55),"000"))</f>
        <v/>
      </c>
      <c r="C55" s="12" t="n"/>
      <c r="D55" s="23" t="n"/>
      <c r="E55" s="23" t="n"/>
      <c r="F55" s="23" t="n"/>
      <c r="G55" s="27" t="n"/>
      <c r="H55" s="31">
        <f>IF(OR(D55="",E55=""),"",IF(D55+E55=0,"",E55/(D55+E55)))</f>
        <v/>
      </c>
      <c r="I55" s="23" t="n"/>
    </row>
    <row r="56" ht="22" customHeight="1">
      <c r="B56" s="16">
        <f>IF(C56="","AVA-"&amp;TEXT(COUNTA($C$5:C56),"000"))</f>
        <v/>
      </c>
      <c r="C56" s="14" t="n"/>
      <c r="D56" s="24" t="n"/>
      <c r="E56" s="24" t="n"/>
      <c r="F56" s="24" t="n"/>
      <c r="G56" s="28" t="n"/>
      <c r="H56" s="32">
        <f>IF(OR(D56="",E56=""),"",IF(D56+E56=0,"",E56/(D56+E56)))</f>
        <v/>
      </c>
      <c r="I56" s="24" t="n"/>
    </row>
    <row r="57" ht="22" customHeight="1">
      <c r="B57" s="17">
        <f>IF(C57="","AVA-"&amp;TEXT(COUNTA($C$5:C57),"000"))</f>
        <v/>
      </c>
      <c r="C57" s="12" t="n"/>
      <c r="D57" s="23" t="n"/>
      <c r="E57" s="23" t="n"/>
      <c r="F57" s="23" t="n"/>
      <c r="G57" s="27" t="n"/>
      <c r="H57" s="31">
        <f>IF(OR(D57="",E57=""),"",IF(D57+E57=0,"",E57/(D57+E57)))</f>
        <v/>
      </c>
      <c r="I57" s="23" t="n"/>
    </row>
    <row r="58" ht="22" customHeight="1">
      <c r="B58" s="16">
        <f>IF(C58="","AVA-"&amp;TEXT(COUNTA($C$5:C58),"000"))</f>
        <v/>
      </c>
      <c r="C58" s="14" t="n"/>
      <c r="D58" s="24" t="n"/>
      <c r="E58" s="24" t="n"/>
      <c r="F58" s="24" t="n"/>
      <c r="G58" s="28" t="n"/>
      <c r="H58" s="32">
        <f>IF(OR(D58="",E58=""),"",IF(D58+E58=0,"",E58/(D58+E58)))</f>
        <v/>
      </c>
      <c r="I58" s="24" t="n"/>
    </row>
    <row r="59" ht="22" customHeight="1">
      <c r="B59" s="17">
        <f>IF(C59="","AVA-"&amp;TEXT(COUNTA($C$5:C59),"000"))</f>
        <v/>
      </c>
      <c r="C59" s="12" t="n"/>
      <c r="D59" s="23" t="n"/>
      <c r="E59" s="23" t="n"/>
      <c r="F59" s="23" t="n"/>
      <c r="G59" s="27" t="n"/>
      <c r="H59" s="31">
        <f>IF(OR(D59="",E59=""),"",IF(D59+E59=0,"",E59/(D59+E59)))</f>
        <v/>
      </c>
      <c r="I59" s="23" t="n"/>
    </row>
    <row r="60" ht="22" customHeight="1">
      <c r="B60" s="16">
        <f>IF(C60="","AVA-"&amp;TEXT(COUNTA($C$5:C60),"000"))</f>
        <v/>
      </c>
      <c r="C60" s="14" t="n"/>
      <c r="D60" s="24" t="n"/>
      <c r="E60" s="24" t="n"/>
      <c r="F60" s="24" t="n"/>
      <c r="G60" s="28" t="n"/>
      <c r="H60" s="32">
        <f>IF(OR(D60="",E60=""),"",IF(D60+E60=0,"",E60/(D60+E60)))</f>
        <v/>
      </c>
      <c r="I60" s="24" t="n"/>
    </row>
    <row r="61" ht="22" customHeight="1">
      <c r="B61" s="17">
        <f>IF(C61="","AVA-"&amp;TEXT(COUNTA($C$5:C61),"000"))</f>
        <v/>
      </c>
      <c r="C61" s="12" t="n"/>
      <c r="D61" s="23" t="n"/>
      <c r="E61" s="23" t="n"/>
      <c r="F61" s="23" t="n"/>
      <c r="G61" s="27" t="n"/>
      <c r="H61" s="31">
        <f>IF(OR(D61="",E61=""),"",IF(D61+E61=0,"",E61/(D61+E61)))</f>
        <v/>
      </c>
      <c r="I61" s="23" t="n"/>
    </row>
    <row r="62" ht="22" customHeight="1">
      <c r="B62" s="16">
        <f>IF(C62="","AVA-"&amp;TEXT(COUNTA($C$5:C62),"000"))</f>
        <v/>
      </c>
      <c r="C62" s="14" t="n"/>
      <c r="D62" s="24" t="n"/>
      <c r="E62" s="24" t="n"/>
      <c r="F62" s="24" t="n"/>
      <c r="G62" s="28" t="n"/>
      <c r="H62" s="32">
        <f>IF(OR(D62="",E62=""),"",IF(D62+E62=0,"",E62/(D62+E62)))</f>
        <v/>
      </c>
      <c r="I62" s="24" t="n"/>
    </row>
    <row r="63" ht="22" customHeight="1">
      <c r="B63" s="17">
        <f>IF(C63="","AVA-"&amp;TEXT(COUNTA($C$5:C63),"000"))</f>
        <v/>
      </c>
      <c r="C63" s="12" t="n"/>
      <c r="D63" s="23" t="n"/>
      <c r="E63" s="23" t="n"/>
      <c r="F63" s="23" t="n"/>
      <c r="G63" s="27" t="n"/>
      <c r="H63" s="31">
        <f>IF(OR(D63="",E63=""),"",IF(D63+E63=0,"",E63/(D63+E63)))</f>
        <v/>
      </c>
      <c r="I63" s="23" t="n"/>
    </row>
    <row r="64" ht="22" customHeight="1">
      <c r="B64" s="16">
        <f>IF(C64="","AVA-"&amp;TEXT(COUNTA($C$5:C64),"000"))</f>
        <v/>
      </c>
      <c r="C64" s="14" t="n"/>
      <c r="D64" s="24" t="n"/>
      <c r="E64" s="24" t="n"/>
      <c r="F64" s="24" t="n"/>
      <c r="G64" s="28" t="n"/>
      <c r="H64" s="32">
        <f>IF(OR(D64="",E64=""),"",IF(D64+E64=0,"",E64/(D64+E64)))</f>
        <v/>
      </c>
      <c r="I64" s="24" t="n"/>
    </row>
    <row r="65" ht="22" customHeight="1">
      <c r="B65" s="17">
        <f>IF(C65="","AVA-"&amp;TEXT(COUNTA($C$5:C65),"000"))</f>
        <v/>
      </c>
      <c r="C65" s="12" t="n"/>
      <c r="D65" s="23" t="n"/>
      <c r="E65" s="23" t="n"/>
      <c r="F65" s="23" t="n"/>
      <c r="G65" s="27" t="n"/>
      <c r="H65" s="31">
        <f>IF(OR(D65="",E65=""),"",IF(D65+E65=0,"",E65/(D65+E65)))</f>
        <v/>
      </c>
      <c r="I65" s="23" t="n"/>
    </row>
    <row r="66" ht="22" customHeight="1">
      <c r="B66" s="16">
        <f>IF(C66="","AVA-"&amp;TEXT(COUNTA($C$5:C66),"000"))</f>
        <v/>
      </c>
      <c r="C66" s="14" t="n"/>
      <c r="D66" s="24" t="n"/>
      <c r="E66" s="24" t="n"/>
      <c r="F66" s="24" t="n"/>
      <c r="G66" s="28" t="n"/>
      <c r="H66" s="32">
        <f>IF(OR(D66="",E66=""),"",IF(D66+E66=0,"",E66/(D66+E66)))</f>
        <v/>
      </c>
      <c r="I66" s="24" t="n"/>
    </row>
    <row r="67" ht="22" customHeight="1">
      <c r="B67" s="17">
        <f>IF(C67="","AVA-"&amp;TEXT(COUNTA($C$5:C67),"000"))</f>
        <v/>
      </c>
      <c r="C67" s="12" t="n"/>
      <c r="D67" s="23" t="n"/>
      <c r="E67" s="23" t="n"/>
      <c r="F67" s="23" t="n"/>
      <c r="G67" s="27" t="n"/>
      <c r="H67" s="31">
        <f>IF(OR(D67="",E67=""),"",IF(D67+E67=0,"",E67/(D67+E67)))</f>
        <v/>
      </c>
      <c r="I67" s="23" t="n"/>
    </row>
    <row r="68" ht="22" customHeight="1">
      <c r="B68" s="16">
        <f>IF(C68="","AVA-"&amp;TEXT(COUNTA($C$5:C68),"000"))</f>
        <v/>
      </c>
      <c r="C68" s="14" t="n"/>
      <c r="D68" s="24" t="n"/>
      <c r="E68" s="24" t="n"/>
      <c r="F68" s="24" t="n"/>
      <c r="G68" s="28" t="n"/>
      <c r="H68" s="32">
        <f>IF(OR(D68="",E68=""),"",IF(D68+E68=0,"",E68/(D68+E68)))</f>
        <v/>
      </c>
      <c r="I68" s="24" t="n"/>
    </row>
    <row r="69" ht="22" customHeight="1">
      <c r="B69" s="17">
        <f>IF(C69="","AVA-"&amp;TEXT(COUNTA($C$5:C69),"000"))</f>
        <v/>
      </c>
      <c r="C69" s="12" t="n"/>
      <c r="D69" s="23" t="n"/>
      <c r="E69" s="23" t="n"/>
      <c r="F69" s="23" t="n"/>
      <c r="G69" s="27" t="n"/>
      <c r="H69" s="31">
        <f>IF(OR(D69="",E69=""),"",IF(D69+E69=0,"",E69/(D69+E69)))</f>
        <v/>
      </c>
      <c r="I69" s="23" t="n"/>
    </row>
    <row r="70" ht="22" customHeight="1">
      <c r="B70" s="16">
        <f>IF(C70="","AVA-"&amp;TEXT(COUNTA($C$5:C70),"000"))</f>
        <v/>
      </c>
      <c r="C70" s="14" t="n"/>
      <c r="D70" s="24" t="n"/>
      <c r="E70" s="24" t="n"/>
      <c r="F70" s="24" t="n"/>
      <c r="G70" s="28" t="n"/>
      <c r="H70" s="32">
        <f>IF(OR(D70="",E70=""),"",IF(D70+E70=0,"",E70/(D70+E70)))</f>
        <v/>
      </c>
      <c r="I70" s="24" t="n"/>
    </row>
    <row r="71" ht="22" customHeight="1">
      <c r="B71" s="17">
        <f>IF(C71="","AVA-"&amp;TEXT(COUNTA($C$5:C71),"000"))</f>
        <v/>
      </c>
      <c r="C71" s="12" t="n"/>
      <c r="D71" s="23" t="n"/>
      <c r="E71" s="23" t="n"/>
      <c r="F71" s="23" t="n"/>
      <c r="G71" s="27" t="n"/>
      <c r="H71" s="31">
        <f>IF(OR(D71="",E71=""),"",IF(D71+E71=0,"",E71/(D71+E71)))</f>
        <v/>
      </c>
      <c r="I71" s="23" t="n"/>
    </row>
    <row r="72" ht="22" customHeight="1">
      <c r="B72" s="16">
        <f>IF(C72="","AVA-"&amp;TEXT(COUNTA($C$5:C72),"000"))</f>
        <v/>
      </c>
      <c r="C72" s="14" t="n"/>
      <c r="D72" s="24" t="n"/>
      <c r="E72" s="24" t="n"/>
      <c r="F72" s="24" t="n"/>
      <c r="G72" s="28" t="n"/>
      <c r="H72" s="32">
        <f>IF(OR(D72="",E72=""),"",IF(D72+E72=0,"",E72/(D72+E72)))</f>
        <v/>
      </c>
      <c r="I72" s="24" t="n"/>
    </row>
    <row r="73" ht="22" customHeight="1">
      <c r="B73" s="17">
        <f>IF(C73="","AVA-"&amp;TEXT(COUNTA($C$5:C73),"000"))</f>
        <v/>
      </c>
      <c r="C73" s="12" t="n"/>
      <c r="D73" s="23" t="n"/>
      <c r="E73" s="23" t="n"/>
      <c r="F73" s="23" t="n"/>
      <c r="G73" s="27" t="n"/>
      <c r="H73" s="31">
        <f>IF(OR(D73="",E73=""),"",IF(D73+E73=0,"",E73/(D73+E73)))</f>
        <v/>
      </c>
      <c r="I73" s="23" t="n"/>
    </row>
    <row r="74" ht="22" customHeight="1">
      <c r="B74" s="16">
        <f>IF(C74="","AVA-"&amp;TEXT(COUNTA($C$5:C74),"000"))</f>
        <v/>
      </c>
      <c r="C74" s="14" t="n"/>
      <c r="D74" s="24" t="n"/>
      <c r="E74" s="24" t="n"/>
      <c r="F74" s="24" t="n"/>
      <c r="G74" s="28" t="n"/>
      <c r="H74" s="32">
        <f>IF(OR(D74="",E74=""),"",IF(D74+E74=0,"",E74/(D74+E74)))</f>
        <v/>
      </c>
      <c r="I74" s="24" t="n"/>
    </row>
    <row r="75" ht="22" customHeight="1">
      <c r="B75" s="17">
        <f>IF(C75="","AVA-"&amp;TEXT(COUNTA($C$5:C75),"000"))</f>
        <v/>
      </c>
      <c r="C75" s="12" t="n"/>
      <c r="D75" s="23" t="n"/>
      <c r="E75" s="23" t="n"/>
      <c r="F75" s="23" t="n"/>
      <c r="G75" s="27" t="n"/>
      <c r="H75" s="31">
        <f>IF(OR(D75="",E75=""),"",IF(D75+E75=0,"",E75/(D75+E75)))</f>
        <v/>
      </c>
      <c r="I75" s="23" t="n"/>
    </row>
    <row r="76" ht="22" customHeight="1">
      <c r="B76" s="16">
        <f>IF(C76="","AVA-"&amp;TEXT(COUNTA($C$5:C76),"000"))</f>
        <v/>
      </c>
      <c r="C76" s="14" t="n"/>
      <c r="D76" s="24" t="n"/>
      <c r="E76" s="24" t="n"/>
      <c r="F76" s="24" t="n"/>
      <c r="G76" s="28" t="n"/>
      <c r="H76" s="32">
        <f>IF(OR(D76="",E76=""),"",IF(D76+E76=0,"",E76/(D76+E76)))</f>
        <v/>
      </c>
      <c r="I76" s="24" t="n"/>
    </row>
    <row r="77" ht="22" customHeight="1">
      <c r="B77" s="17">
        <f>IF(C77="","AVA-"&amp;TEXT(COUNTA($C$5:C77),"000"))</f>
        <v/>
      </c>
      <c r="C77" s="12" t="n"/>
      <c r="D77" s="23" t="n"/>
      <c r="E77" s="23" t="n"/>
      <c r="F77" s="23" t="n"/>
      <c r="G77" s="27" t="n"/>
      <c r="H77" s="31">
        <f>IF(OR(D77="",E77=""),"",IF(D77+E77=0,"",E77/(D77+E77)))</f>
        <v/>
      </c>
      <c r="I77" s="23" t="n"/>
    </row>
    <row r="78" ht="22" customHeight="1">
      <c r="B78" s="16">
        <f>IF(C78="","AVA-"&amp;TEXT(COUNTA($C$5:C78),"000"))</f>
        <v/>
      </c>
      <c r="C78" s="14" t="n"/>
      <c r="D78" s="24" t="n"/>
      <c r="E78" s="24" t="n"/>
      <c r="F78" s="24" t="n"/>
      <c r="G78" s="28" t="n"/>
      <c r="H78" s="32">
        <f>IF(OR(D78="",E78=""),"",IF(D78+E78=0,"",E78/(D78+E78)))</f>
        <v/>
      </c>
      <c r="I78" s="24" t="n"/>
    </row>
    <row r="79" ht="22" customHeight="1">
      <c r="B79" s="17">
        <f>IF(C79="","AVA-"&amp;TEXT(COUNTA($C$5:C79),"000"))</f>
        <v/>
      </c>
      <c r="C79" s="12" t="n"/>
      <c r="D79" s="23" t="n"/>
      <c r="E79" s="23" t="n"/>
      <c r="F79" s="23" t="n"/>
      <c r="G79" s="27" t="n"/>
      <c r="H79" s="31">
        <f>IF(OR(D79="",E79=""),"",IF(D79+E79=0,"",E79/(D79+E79)))</f>
        <v/>
      </c>
      <c r="I79" s="23" t="n"/>
    </row>
    <row r="80" ht="22" customHeight="1">
      <c r="B80" s="16">
        <f>IF(C80="","AVA-"&amp;TEXT(COUNTA($C$5:C80),"000"))</f>
        <v/>
      </c>
      <c r="C80" s="14" t="n"/>
      <c r="D80" s="24" t="n"/>
      <c r="E80" s="24" t="n"/>
      <c r="F80" s="24" t="n"/>
      <c r="G80" s="28" t="n"/>
      <c r="H80" s="32">
        <f>IF(OR(D80="",E80=""),"",IF(D80+E80=0,"",E80/(D80+E80)))</f>
        <v/>
      </c>
      <c r="I80" s="24" t="n"/>
    </row>
    <row r="81" ht="22" customHeight="1">
      <c r="B81" s="17">
        <f>IF(C81="","AVA-"&amp;TEXT(COUNTA($C$5:C81),"000"))</f>
        <v/>
      </c>
      <c r="C81" s="12" t="n"/>
      <c r="D81" s="23" t="n"/>
      <c r="E81" s="23" t="n"/>
      <c r="F81" s="23" t="n"/>
      <c r="G81" s="27" t="n"/>
      <c r="H81" s="31">
        <f>IF(OR(D81="",E81=""),"",IF(D81+E81=0,"",E81/(D81+E81)))</f>
        <v/>
      </c>
      <c r="I81" s="23" t="n"/>
    </row>
    <row r="82" ht="22" customHeight="1">
      <c r="B82" s="16">
        <f>IF(C82="","AVA-"&amp;TEXT(COUNTA($C$5:C82),"000"))</f>
        <v/>
      </c>
      <c r="C82" s="14" t="n"/>
      <c r="D82" s="24" t="n"/>
      <c r="E82" s="24" t="n"/>
      <c r="F82" s="24" t="n"/>
      <c r="G82" s="28" t="n"/>
      <c r="H82" s="32">
        <f>IF(OR(D82="",E82=""),"",IF(D82+E82=0,"",E82/(D82+E82)))</f>
        <v/>
      </c>
      <c r="I82" s="24" t="n"/>
    </row>
    <row r="83" ht="22" customHeight="1">
      <c r="B83" s="17">
        <f>IF(C83="","AVA-"&amp;TEXT(COUNTA($C$5:C83),"000"))</f>
        <v/>
      </c>
      <c r="C83" s="12" t="n"/>
      <c r="D83" s="23" t="n"/>
      <c r="E83" s="23" t="n"/>
      <c r="F83" s="23" t="n"/>
      <c r="G83" s="27" t="n"/>
      <c r="H83" s="31">
        <f>IF(OR(D83="",E83=""),"",IF(D83+E83=0,"",E83/(D83+E83)))</f>
        <v/>
      </c>
      <c r="I83" s="23" t="n"/>
    </row>
    <row r="84" ht="22" customHeight="1">
      <c r="B84" s="16">
        <f>IF(C84="","AVA-"&amp;TEXT(COUNTA($C$5:C84),"000"))</f>
        <v/>
      </c>
      <c r="C84" s="14" t="n"/>
      <c r="D84" s="24" t="n"/>
      <c r="E84" s="24" t="n"/>
      <c r="F84" s="24" t="n"/>
      <c r="G84" s="28" t="n"/>
      <c r="H84" s="32">
        <f>IF(OR(D84="",E84=""),"",IF(D84+E84=0,"",E84/(D84+E84)))</f>
        <v/>
      </c>
      <c r="I84" s="24" t="n"/>
    </row>
    <row r="85" ht="22" customHeight="1">
      <c r="B85" s="17">
        <f>IF(C85="","AVA-"&amp;TEXT(COUNTA($C$5:C85),"000"))</f>
        <v/>
      </c>
      <c r="C85" s="12" t="n"/>
      <c r="D85" s="23" t="n"/>
      <c r="E85" s="23" t="n"/>
      <c r="F85" s="23" t="n"/>
      <c r="G85" s="27" t="n"/>
      <c r="H85" s="31">
        <f>IF(OR(D85="",E85=""),"",IF(D85+E85=0,"",E85/(D85+E85)))</f>
        <v/>
      </c>
      <c r="I85" s="23" t="n"/>
    </row>
    <row r="86" ht="22" customHeight="1">
      <c r="B86" s="16">
        <f>IF(C86="","AVA-"&amp;TEXT(COUNTA($C$5:C86),"000"))</f>
        <v/>
      </c>
      <c r="C86" s="14" t="n"/>
      <c r="D86" s="24" t="n"/>
      <c r="E86" s="24" t="n"/>
      <c r="F86" s="24" t="n"/>
      <c r="G86" s="28" t="n"/>
      <c r="H86" s="32">
        <f>IF(OR(D86="",E86=""),"",IF(D86+E86=0,"",E86/(D86+E86)))</f>
        <v/>
      </c>
      <c r="I86" s="24" t="n"/>
    </row>
    <row r="87" ht="22" customHeight="1">
      <c r="B87" s="17">
        <f>IF(C87="","AVA-"&amp;TEXT(COUNTA($C$5:C87),"000"))</f>
        <v/>
      </c>
      <c r="C87" s="12" t="n"/>
      <c r="D87" s="23" t="n"/>
      <c r="E87" s="23" t="n"/>
      <c r="F87" s="23" t="n"/>
      <c r="G87" s="27" t="n"/>
      <c r="H87" s="31">
        <f>IF(OR(D87="",E87=""),"",IF(D87+E87=0,"",E87/(D87+E87)))</f>
        <v/>
      </c>
      <c r="I87" s="23" t="n"/>
    </row>
    <row r="88" ht="22" customHeight="1">
      <c r="B88" s="16">
        <f>IF(C88="","AVA-"&amp;TEXT(COUNTA($C$5:C88),"000"))</f>
        <v/>
      </c>
      <c r="C88" s="14" t="n"/>
      <c r="D88" s="24" t="n"/>
      <c r="E88" s="24" t="n"/>
      <c r="F88" s="24" t="n"/>
      <c r="G88" s="28" t="n"/>
      <c r="H88" s="32">
        <f>IF(OR(D88="",E88=""),"",IF(D88+E88=0,"",E88/(D88+E88)))</f>
        <v/>
      </c>
      <c r="I88" s="24" t="n"/>
    </row>
    <row r="89" ht="22" customHeight="1">
      <c r="B89" s="17">
        <f>IF(C89="","AVA-"&amp;TEXT(COUNTA($C$5:C89),"000"))</f>
        <v/>
      </c>
      <c r="C89" s="12" t="n"/>
      <c r="D89" s="23" t="n"/>
      <c r="E89" s="23" t="n"/>
      <c r="F89" s="23" t="n"/>
      <c r="G89" s="27" t="n"/>
      <c r="H89" s="31">
        <f>IF(OR(D89="",E89=""),"",IF(D89+E89=0,"",E89/(D89+E89)))</f>
        <v/>
      </c>
      <c r="I89" s="23" t="n"/>
    </row>
    <row r="90" ht="22" customHeight="1">
      <c r="B90" s="16">
        <f>IF(C90="","AVA-"&amp;TEXT(COUNTA($C$5:C90),"000"))</f>
        <v/>
      </c>
      <c r="C90" s="14" t="n"/>
      <c r="D90" s="24" t="n"/>
      <c r="E90" s="24" t="n"/>
      <c r="F90" s="24" t="n"/>
      <c r="G90" s="28" t="n"/>
      <c r="H90" s="32">
        <f>IF(OR(D90="",E90=""),"",IF(D90+E90=0,"",E90/(D90+E90)))</f>
        <v/>
      </c>
      <c r="I90" s="24" t="n"/>
    </row>
    <row r="91" ht="22" customHeight="1">
      <c r="B91" s="17">
        <f>IF(C91="","AVA-"&amp;TEXT(COUNTA($C$5:C91),"000"))</f>
        <v/>
      </c>
      <c r="C91" s="12" t="n"/>
      <c r="D91" s="23" t="n"/>
      <c r="E91" s="23" t="n"/>
      <c r="F91" s="23" t="n"/>
      <c r="G91" s="27" t="n"/>
      <c r="H91" s="31">
        <f>IF(OR(D91="",E91=""),"",IF(D91+E91=0,"",E91/(D91+E91)))</f>
        <v/>
      </c>
      <c r="I91" s="23" t="n"/>
    </row>
    <row r="92" ht="22" customHeight="1">
      <c r="B92" s="16">
        <f>IF(C92="","AVA-"&amp;TEXT(COUNTA($C$5:C92),"000"))</f>
        <v/>
      </c>
      <c r="C92" s="14" t="n"/>
      <c r="D92" s="24" t="n"/>
      <c r="E92" s="24" t="n"/>
      <c r="F92" s="24" t="n"/>
      <c r="G92" s="28" t="n"/>
      <c r="H92" s="32">
        <f>IF(OR(D92="",E92=""),"",IF(D92+E92=0,"",E92/(D92+E92)))</f>
        <v/>
      </c>
      <c r="I92" s="24" t="n"/>
    </row>
    <row r="93" ht="22" customHeight="1">
      <c r="B93" s="17">
        <f>IF(C93="","AVA-"&amp;TEXT(COUNTA($C$5:C93),"000"))</f>
        <v/>
      </c>
      <c r="C93" s="12" t="n"/>
      <c r="D93" s="23" t="n"/>
      <c r="E93" s="23" t="n"/>
      <c r="F93" s="23" t="n"/>
      <c r="G93" s="27" t="n"/>
      <c r="H93" s="31">
        <f>IF(OR(D93="",E93=""),"",IF(D93+E93=0,"",E93/(D93+E93)))</f>
        <v/>
      </c>
      <c r="I93" s="23" t="n"/>
    </row>
    <row r="94" ht="22" customHeight="1">
      <c r="B94" s="16">
        <f>IF(C94="","AVA-"&amp;TEXT(COUNTA($C$5:C94),"000"))</f>
        <v/>
      </c>
      <c r="C94" s="14" t="n"/>
      <c r="D94" s="24" t="n"/>
      <c r="E94" s="24" t="n"/>
      <c r="F94" s="24" t="n"/>
      <c r="G94" s="28" t="n"/>
      <c r="H94" s="32">
        <f>IF(OR(D94="",E94=""),"",IF(D94+E94=0,"",E94/(D94+E94)))</f>
        <v/>
      </c>
      <c r="I94" s="24" t="n"/>
    </row>
    <row r="95" ht="22" customHeight="1">
      <c r="B95" s="17">
        <f>IF(C95="","AVA-"&amp;TEXT(COUNTA($C$5:C95),"000"))</f>
        <v/>
      </c>
      <c r="C95" s="12" t="n"/>
      <c r="D95" s="23" t="n"/>
      <c r="E95" s="23" t="n"/>
      <c r="F95" s="23" t="n"/>
      <c r="G95" s="27" t="n"/>
      <c r="H95" s="31">
        <f>IF(OR(D95="",E95=""),"",IF(D95+E95=0,"",E95/(D95+E95)))</f>
        <v/>
      </c>
      <c r="I95" s="23" t="n"/>
    </row>
    <row r="96" ht="22" customHeight="1">
      <c r="B96" s="16">
        <f>IF(C96="","AVA-"&amp;TEXT(COUNTA($C$5:C96),"000"))</f>
        <v/>
      </c>
      <c r="C96" s="14" t="n"/>
      <c r="D96" s="24" t="n"/>
      <c r="E96" s="24" t="n"/>
      <c r="F96" s="24" t="n"/>
      <c r="G96" s="28" t="n"/>
      <c r="H96" s="32">
        <f>IF(OR(D96="",E96=""),"",IF(D96+E96=0,"",E96/(D96+E96)))</f>
        <v/>
      </c>
      <c r="I96" s="24" t="n"/>
    </row>
    <row r="97" ht="22" customHeight="1">
      <c r="B97" s="17">
        <f>IF(C97="","AVA-"&amp;TEXT(COUNTA($C$5:C97),"000"))</f>
        <v/>
      </c>
      <c r="C97" s="12" t="n"/>
      <c r="D97" s="23" t="n"/>
      <c r="E97" s="23" t="n"/>
      <c r="F97" s="23" t="n"/>
      <c r="G97" s="27" t="n"/>
      <c r="H97" s="31">
        <f>IF(OR(D97="",E97=""),"",IF(D97+E97=0,"",E97/(D97+E97)))</f>
        <v/>
      </c>
      <c r="I97" s="23" t="n"/>
    </row>
    <row r="98" ht="22" customHeight="1">
      <c r="B98" s="16">
        <f>IF(C98="","AVA-"&amp;TEXT(COUNTA($C$5:C98),"000"))</f>
        <v/>
      </c>
      <c r="C98" s="14" t="n"/>
      <c r="D98" s="24" t="n"/>
      <c r="E98" s="24" t="n"/>
      <c r="F98" s="24" t="n"/>
      <c r="G98" s="28" t="n"/>
      <c r="H98" s="32">
        <f>IF(OR(D98="",E98=""),"",IF(D98+E98=0,"",E98/(D98+E98)))</f>
        <v/>
      </c>
      <c r="I98" s="24" t="n"/>
    </row>
    <row r="99" ht="22" customHeight="1">
      <c r="B99" s="17">
        <f>IF(C99="","AVA-"&amp;TEXT(COUNTA($C$5:C99),"000"))</f>
        <v/>
      </c>
      <c r="C99" s="12" t="n"/>
      <c r="D99" s="23" t="n"/>
      <c r="E99" s="23" t="n"/>
      <c r="F99" s="23" t="n"/>
      <c r="G99" s="27" t="n"/>
      <c r="H99" s="31">
        <f>IF(OR(D99="",E99=""),"",IF(D99+E99=0,"",E99/(D99+E99)))</f>
        <v/>
      </c>
      <c r="I99" s="23" t="n"/>
    </row>
    <row r="100" ht="22" customHeight="1">
      <c r="B100" s="16">
        <f>IF(C100="","AVA-"&amp;TEXT(COUNTA($C$5:C100),"000"))</f>
        <v/>
      </c>
      <c r="C100" s="14" t="n"/>
      <c r="D100" s="24" t="n"/>
      <c r="E100" s="24" t="n"/>
      <c r="F100" s="24" t="n"/>
      <c r="G100" s="28" t="n"/>
      <c r="H100" s="32">
        <f>IF(OR(D100="",E100=""),"",IF(D100+E100=0,"",E100/(D100+E100)))</f>
        <v/>
      </c>
      <c r="I100" s="24" t="n"/>
    </row>
    <row r="101" ht="22" customHeight="1">
      <c r="B101" s="17">
        <f>IF(C101="","AVA-"&amp;TEXT(COUNTA($C$5:C101),"000"))</f>
        <v/>
      </c>
      <c r="C101" s="12" t="n"/>
      <c r="D101" s="23" t="n"/>
      <c r="E101" s="23" t="n"/>
      <c r="F101" s="23" t="n"/>
      <c r="G101" s="27" t="n"/>
      <c r="H101" s="31">
        <f>IF(OR(D101="",E101=""),"",IF(D101+E101=0,"",E101/(D101+E101)))</f>
        <v/>
      </c>
      <c r="I101" s="23" t="n"/>
    </row>
    <row r="102" ht="22" customHeight="1">
      <c r="B102" s="16">
        <f>IF(C102="","AVA-"&amp;TEXT(COUNTA($C$5:C102),"000"))</f>
        <v/>
      </c>
      <c r="C102" s="14" t="n"/>
      <c r="D102" s="24" t="n"/>
      <c r="E102" s="24" t="n"/>
      <c r="F102" s="24" t="n"/>
      <c r="G102" s="28" t="n"/>
      <c r="H102" s="32">
        <f>IF(OR(D102="",E102=""),"",IF(D102+E102=0,"",E102/(D102+E102)))</f>
        <v/>
      </c>
      <c r="I102" s="24" t="n"/>
    </row>
    <row r="103" ht="22" customHeight="1">
      <c r="B103" s="17">
        <f>IF(C103="","AVA-"&amp;TEXT(COUNTA($C$5:C103),"000"))</f>
        <v/>
      </c>
      <c r="C103" s="12" t="n"/>
      <c r="D103" s="23" t="n"/>
      <c r="E103" s="23" t="n"/>
      <c r="F103" s="23" t="n"/>
      <c r="G103" s="27" t="n"/>
      <c r="H103" s="31">
        <f>IF(OR(D103="",E103=""),"",IF(D103+E103=0,"",E103/(D103+E103)))</f>
        <v/>
      </c>
      <c r="I103" s="23" t="n"/>
    </row>
    <row r="104" ht="22" customHeight="1">
      <c r="B104" s="16">
        <f>IF(C104="","AVA-"&amp;TEXT(COUNTA($C$5:C104),"000"))</f>
        <v/>
      </c>
      <c r="C104" s="14" t="n"/>
      <c r="D104" s="24" t="n"/>
      <c r="E104" s="24" t="n"/>
      <c r="F104" s="24" t="n"/>
      <c r="G104" s="28" t="n"/>
      <c r="H104" s="32">
        <f>IF(OR(D104="",E104=""),"",IF(D104+E104=0,"",E104/(D104+E104)))</f>
        <v/>
      </c>
      <c r="I104" s="24" t="n"/>
    </row>
    <row r="105" ht="22" customHeight="1">
      <c r="B105" s="17">
        <f>IF(C105="","AVA-"&amp;TEXT(COUNTA($C$5:C105),"000"))</f>
        <v/>
      </c>
      <c r="C105" s="12" t="n"/>
      <c r="D105" s="23" t="n"/>
      <c r="E105" s="23" t="n"/>
      <c r="F105" s="23" t="n"/>
      <c r="G105" s="27" t="n"/>
      <c r="H105" s="31">
        <f>IF(OR(D105="",E105=""),"",IF(D105+E105=0,"",E105/(D105+E105)))</f>
        <v/>
      </c>
      <c r="I105" s="23" t="n"/>
    </row>
    <row r="106" ht="22" customHeight="1">
      <c r="B106" s="16">
        <f>IF(C106="","AVA-"&amp;TEXT(COUNTA($C$5:C106),"000"))</f>
        <v/>
      </c>
      <c r="C106" s="14" t="n"/>
      <c r="D106" s="24" t="n"/>
      <c r="E106" s="24" t="n"/>
      <c r="F106" s="24" t="n"/>
      <c r="G106" s="28" t="n"/>
      <c r="H106" s="32">
        <f>IF(OR(D106="",E106=""),"",IF(D106+E106=0,"",E106/(D106+E106)))</f>
        <v/>
      </c>
      <c r="I106" s="24" t="n"/>
    </row>
    <row r="107" ht="22" customHeight="1">
      <c r="B107" s="17">
        <f>IF(C107="","AVA-"&amp;TEXT(COUNTA($C$5:C107),"000"))</f>
        <v/>
      </c>
      <c r="C107" s="12" t="n"/>
      <c r="D107" s="23" t="n"/>
      <c r="E107" s="23" t="n"/>
      <c r="F107" s="23" t="n"/>
      <c r="G107" s="27" t="n"/>
      <c r="H107" s="31">
        <f>IF(OR(D107="",E107=""),"",IF(D107+E107=0,"",E107/(D107+E107)))</f>
        <v/>
      </c>
      <c r="I107" s="23" t="n"/>
    </row>
    <row r="108" ht="22" customHeight="1">
      <c r="B108" s="16">
        <f>IF(C108="","AVA-"&amp;TEXT(COUNTA($C$5:C108),"000"))</f>
        <v/>
      </c>
      <c r="C108" s="14" t="n"/>
      <c r="D108" s="24" t="n"/>
      <c r="E108" s="24" t="n"/>
      <c r="F108" s="24" t="n"/>
      <c r="G108" s="28" t="n"/>
      <c r="H108" s="32">
        <f>IF(OR(D108="",E108=""),"",IF(D108+E108=0,"",E108/(D108+E108)))</f>
        <v/>
      </c>
      <c r="I108" s="24" t="n"/>
    </row>
    <row r="109" ht="22" customHeight="1">
      <c r="B109" s="17">
        <f>IF(C109="","AVA-"&amp;TEXT(COUNTA($C$5:C109),"000"))</f>
        <v/>
      </c>
      <c r="C109" s="12" t="n"/>
      <c r="D109" s="23" t="n"/>
      <c r="E109" s="23" t="n"/>
      <c r="F109" s="23" t="n"/>
      <c r="G109" s="27" t="n"/>
      <c r="H109" s="31">
        <f>IF(OR(D109="",E109=""),"",IF(D109+E109=0,"",E109/(D109+E109)))</f>
        <v/>
      </c>
      <c r="I109" s="23" t="n"/>
    </row>
    <row r="110"/>
    <row r="111" ht="26" customHeight="1">
      <c r="B111" s="20" t="inlineStr">
        <is>
          <t>TOTAL</t>
        </is>
      </c>
      <c r="C111" s="21" t="n"/>
      <c r="D111" s="22">
        <f>SUM(D5:D104)</f>
        <v/>
      </c>
      <c r="E111" s="22">
        <f>SUM(E5:E104)</f>
        <v/>
      </c>
      <c r="F111" s="22">
        <f>SUM(F5:F104)</f>
        <v/>
      </c>
      <c r="G111" s="21" t="n"/>
      <c r="H111" s="21" t="n"/>
      <c r="I111" s="22">
        <f>SUM(I5:I104)</f>
        <v/>
      </c>
    </row>
    <row r="112"/>
    <row r="113">
      <c r="B113" s="6" t="inlineStr">
        <is>
          <t>INDICATEURS (mis a jour automatiquement)</t>
        </is>
      </c>
    </row>
    <row r="114">
      <c r="B114" s="3" t="inlineStr">
        <is>
          <t>Total unites physiques</t>
        </is>
      </c>
      <c r="D114" s="3" t="inlineStr">
        <is>
          <t>Total fichiers numeriques</t>
        </is>
      </c>
      <c r="F114" s="3" t="inlineStr">
        <is>
          <t>Taux numerisation moy.</t>
        </is>
      </c>
    </row>
    <row r="115">
      <c r="B115" s="4">
        <f>SUM(D5:D104)</f>
        <v/>
      </c>
      <c r="D115" s="4">
        <f>SUM(E5:E104)</f>
        <v/>
      </c>
      <c r="F115" s="4">
        <f>IFERROR(AVERAGE(H5:H104),0)</f>
        <v/>
      </c>
    </row>
  </sheetData>
  <mergeCells count="3">
    <mergeCell ref="B3:I3"/>
    <mergeCell ref="B2:I2"/>
    <mergeCell ref="B113:I113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dataValidations count="1">
    <dataValidation sqref="C5:C109" showDropDown="0" showInputMessage="0" showErrorMessage="0" allowBlank="1" errorTitle="Erreur" error="Valeur invalide" promptTitle="Liste" prompt="Choisir dans la liste" type="list">
      <formula1>'_Lists'!$D$2:$D$21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2026-07-06T07:46:24Z</dcterms:created>
  <dcterms:modified xmlns:dcterms="http://purl.org/dc/terms/" xmlns:xsi="http://www.w3.org/2001/XMLSchema-instance" xsi:type="dcterms:W3CDTF">2026-07-09T17:11:43Z</dcterms:modified>
</cp:coreProperties>
</file>