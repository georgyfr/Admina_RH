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01 - _Données Stagiaires" sheetId="1" state="visible" r:id="rId1"/>
    <sheet xmlns:r="http://schemas.openxmlformats.org/officeDocument/2006/relationships" name="F02 - _Lists" sheetId="2" state="visible" r:id="rId2"/>
    <sheet xmlns:r="http://schemas.openxmlformats.org/officeDocument/2006/relationships" name="F03 - 1-Tableau de Bord" sheetId="3" state="visible" r:id="rId3"/>
    <sheet xmlns:r="http://schemas.openxmlformats.org/officeDocument/2006/relationships" name="F04 - 2-Besoins en Stagiaires" sheetId="4" state="visible" r:id="rId4"/>
    <sheet xmlns:r="http://schemas.openxmlformats.org/officeDocument/2006/relationships" name="F05 - 3-Conventions de Stage" sheetId="5" state="visible" r:id="rId5"/>
    <sheet xmlns:r="http://schemas.openxmlformats.org/officeDocument/2006/relationships" name="F06 - 4-Suivi Présence Stag." sheetId="6" state="visible" r:id="rId6"/>
    <sheet xmlns:r="http://schemas.openxmlformats.org/officeDocument/2006/relationships" name="F07 - 5-Éval. Stagiaires" sheetId="7" state="visible" r:id="rId7"/>
    <sheet xmlns:r="http://schemas.openxmlformats.org/officeDocument/2006/relationships" name="F08 - 6-Plan d'Intégration" sheetId="8" state="visible" r:id="rId8"/>
    <sheet xmlns:r="http://schemas.openxmlformats.org/officeDocument/2006/relationships" name="F09 - 7-Gestion Tuteurs" sheetId="9" state="visible" r:id="rId9"/>
    <sheet xmlns:r="http://schemas.openxmlformats.org/officeDocument/2006/relationships" name="F10 - 8-Suivi Indemnités" sheetId="10" state="visible" r:id="rId10"/>
    <sheet xmlns:r="http://schemas.openxmlformats.org/officeDocument/2006/relationships" name="F11 - 9-Rapports de Stage" sheetId="11" state="visible" r:id="rId11"/>
    <sheet xmlns:r="http://schemas.openxmlformats.org/officeDocument/2006/relationships" name="F12 - 10-Analyse Coûts Stages" sheetId="12" state="visible" r:id="rId12"/>
    <sheet xmlns:r="http://schemas.openxmlformats.org/officeDocument/2006/relationships" name="F13 - 11-Partenariats Étab." sheetId="13" state="visible" r:id="rId13"/>
    <sheet xmlns:r="http://schemas.openxmlformats.org/officeDocument/2006/relationships" name="F14 - 12-Suivi Post-Stage" sheetId="14" state="visible" r:id="rId14"/>
    <sheet xmlns:r="http://schemas.openxmlformats.org/officeDocument/2006/relationships" name="F15 - 13-Plannings Stages" sheetId="15" state="visible" r:id="rId15"/>
    <sheet xmlns:r="http://schemas.openxmlformats.org/officeDocument/2006/relationships" name="F16 - 14-Litiges Stages" sheetId="16" state="visible" r:id="rId16"/>
    <sheet xmlns:r="http://schemas.openxmlformats.org/officeDocument/2006/relationships" name="F17 - 15-Historique Stagiaires" sheetId="17" state="visible" r:id="rId17"/>
    <sheet xmlns:r="http://schemas.openxmlformats.org/officeDocument/2006/relationships" name="F18 - 16-Calendrier Stages" sheetId="18" state="visible" r:id="rId18"/>
    <sheet xmlns:r="http://schemas.openxmlformats.org/officeDocument/2006/relationships" name="F19 - 17-Matrice Stag×Dép" sheetId="19" state="visible" r:id="rId19"/>
    <sheet xmlns:r="http://schemas.openxmlformats.org/officeDocument/2006/relationships" name="F20 - 18-TdB Financier Stages" sheetId="20" state="visible" r:id="rId20"/>
    <sheet xmlns:r="http://schemas.openxmlformats.org/officeDocument/2006/relationships" name="F21 - 19-Indic. Performance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757575"/>
      <sz val="9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00695C"/>
      <sz val="10"/>
    </font>
    <font>
      <name val="Calibri"/>
      <b val="1"/>
      <color rgb="00757575"/>
      <sz val="9"/>
    </font>
    <font>
      <name val="Calibri"/>
      <b val="1"/>
      <color rgb="0000695C"/>
      <sz val="18"/>
    </font>
  </fonts>
  <fills count="7">
    <fill>
      <patternFill/>
    </fill>
    <fill>
      <patternFill patternType="gray125"/>
    </fill>
    <fill>
      <patternFill patternType="solid">
        <fgColor rgb="0000695C"/>
      </patternFill>
    </fill>
    <fill>
      <patternFill patternType="solid">
        <fgColor rgb="0000897B"/>
      </patternFill>
    </fill>
    <fill>
      <patternFill patternType="solid">
        <fgColor rgb="00FFFFFF"/>
      </patternFill>
    </fill>
    <fill>
      <patternFill patternType="solid">
        <fgColor rgb="00E0F2F1"/>
      </patternFill>
    </fill>
    <fill>
      <patternFill patternType="solid">
        <fgColor rgb="00B2DFDB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pivotButton="0" quotePrefix="0" xfId="0"/>
    <xf numFmtId="0" fontId="6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7" fillId="6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0" pivotButton="0" quotePrefix="0" xfId="0"/>
    <xf numFmtId="0" fontId="5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E0B2"/>
          <bgColor rgb="00FFE0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4" customWidth="1" min="4" max="4"/>
    <col width="20" customWidth="1" min="5" max="5"/>
    <col width="28" customWidth="1" min="6" max="6"/>
    <col width="18" customWidth="1" min="7" max="7"/>
    <col width="14" customWidth="1" min="8" max="8"/>
    <col width="14" customWidth="1" min="9" max="9"/>
    <col width="14" customWidth="1" min="10" max="10"/>
    <col width="18" customWidth="1" min="11" max="11"/>
  </cols>
  <sheetData>
    <row r="1" ht="8" customHeight="1"/>
    <row r="2" ht="30" customHeight="1">
      <c r="A2" s="1" t="inlineStr">
        <is>
          <t>DONNÉES STAGIAIRES — Base de référence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Matricule</t>
        </is>
      </c>
      <c r="B5" s="4" t="inlineStr">
        <is>
          <t>Nom</t>
        </is>
      </c>
      <c r="C5" s="4" t="inlineStr">
        <is>
          <t>Prénom</t>
        </is>
      </c>
      <c r="D5" s="4" t="inlineStr">
        <is>
          <t>Établissement</t>
        </is>
      </c>
      <c r="E5" s="4" t="inlineStr">
        <is>
          <t>Formation</t>
        </is>
      </c>
      <c r="F5" s="4" t="inlineStr">
        <is>
          <t>Département d'accueil</t>
        </is>
      </c>
      <c r="G5" s="4" t="inlineStr">
        <is>
          <t>Tuteur</t>
        </is>
      </c>
      <c r="H5" s="4" t="inlineStr">
        <is>
          <t>Date Début</t>
        </is>
      </c>
      <c r="I5" s="4" t="inlineStr">
        <is>
          <t>Date Fin</t>
        </is>
      </c>
      <c r="J5" s="4" t="inlineStr">
        <is>
          <t>Statut</t>
        </is>
      </c>
      <c r="K5" s="4" t="inlineStr">
        <is>
          <t>Indemnité (FCFA)</t>
        </is>
      </c>
    </row>
    <row r="6" ht="22" customHeight="1">
      <c r="A6" s="5" t="inlineStr">
        <is>
          <t>STA-001</t>
        </is>
      </c>
      <c r="B6" s="5" t="inlineStr">
        <is>
          <t>Koné</t>
        </is>
      </c>
      <c r="C6" s="5" t="inlineStr">
        <is>
          <t>Aminata</t>
        </is>
      </c>
      <c r="D6" s="5" t="inlineStr">
        <is>
          <t>FHB Abidjan</t>
        </is>
      </c>
      <c r="E6" s="5" t="inlineStr">
        <is>
          <t>HTM</t>
        </is>
      </c>
      <c r="F6" s="5" t="inlineStr">
        <is>
          <t>Cuisine &amp; Restauration</t>
        </is>
      </c>
      <c r="G6" s="5" t="inlineStr">
        <is>
          <t>Chef Mbarga</t>
        </is>
      </c>
      <c r="H6" s="6" t="n">
        <v>45663</v>
      </c>
      <c r="I6" s="6" t="n">
        <v>45838</v>
      </c>
      <c r="J6" s="5" t="inlineStr">
        <is>
          <t>En cours</t>
        </is>
      </c>
      <c r="K6" s="7" t="n">
        <v>75000</v>
      </c>
    </row>
    <row r="7" ht="22" customHeight="1">
      <c r="A7" s="8" t="inlineStr">
        <is>
          <t>STA-002</t>
        </is>
      </c>
      <c r="B7" s="8" t="inlineStr">
        <is>
          <t>Traoré</t>
        </is>
      </c>
      <c r="C7" s="8" t="inlineStr">
        <is>
          <t>Ibrahim</t>
        </is>
      </c>
      <c r="D7" s="8" t="inlineStr">
        <is>
          <t>INP-HB</t>
        </is>
      </c>
      <c r="E7" s="8" t="inlineStr">
        <is>
          <t>Informatique</t>
        </is>
      </c>
      <c r="F7" s="8" t="inlineStr">
        <is>
          <t>Informatique</t>
        </is>
      </c>
      <c r="G7" s="8" t="inlineStr">
        <is>
          <t>M. Bamba</t>
        </is>
      </c>
      <c r="H7" s="9" t="n">
        <v>45689</v>
      </c>
      <c r="I7" s="9" t="n">
        <v>45869</v>
      </c>
      <c r="J7" s="8" t="inlineStr">
        <is>
          <t>En cours</t>
        </is>
      </c>
      <c r="K7" s="10" t="n">
        <v>80000</v>
      </c>
    </row>
    <row r="8" ht="22" customHeight="1">
      <c r="A8" s="5" t="inlineStr">
        <is>
          <t>STA-003</t>
        </is>
      </c>
      <c r="B8" s="5" t="inlineStr">
        <is>
          <t>Diallo</t>
        </is>
      </c>
      <c r="C8" s="5" t="inlineStr">
        <is>
          <t>Fatou</t>
        </is>
      </c>
      <c r="D8" s="5" t="inlineStr">
        <is>
          <t>EHESS Abidjan</t>
        </is>
      </c>
      <c r="E8" s="5" t="inlineStr">
        <is>
          <t>Marketing</t>
        </is>
      </c>
      <c r="F8" s="5" t="inlineStr">
        <is>
          <t>Marketing &amp; Communication</t>
        </is>
      </c>
      <c r="G8" s="5" t="inlineStr">
        <is>
          <t>Mme Koffi</t>
        </is>
      </c>
      <c r="H8" s="6" t="n">
        <v>45672</v>
      </c>
      <c r="I8" s="6" t="n">
        <v>45762</v>
      </c>
      <c r="J8" s="5" t="inlineStr">
        <is>
          <t>En cours</t>
        </is>
      </c>
      <c r="K8" s="7" t="n">
        <v>70000</v>
      </c>
    </row>
    <row r="9" ht="22" customHeight="1">
      <c r="A9" s="8" t="inlineStr">
        <is>
          <t>STA-004</t>
        </is>
      </c>
      <c r="B9" s="8" t="inlineStr">
        <is>
          <t>Ouattara</t>
        </is>
      </c>
      <c r="C9" s="8" t="inlineStr">
        <is>
          <t>Moussa</t>
        </is>
      </c>
      <c r="D9" s="8" t="inlineStr">
        <is>
          <t>Université FHB</t>
        </is>
      </c>
      <c r="E9" s="8" t="inlineStr">
        <is>
          <t>Comptabilité</t>
        </is>
      </c>
      <c r="F9" s="8" t="inlineStr">
        <is>
          <t>Finance &amp; Comptabilité</t>
        </is>
      </c>
      <c r="G9" s="8" t="inlineStr">
        <is>
          <t>Mme Fotso</t>
        </is>
      </c>
      <c r="H9" s="9" t="n">
        <v>45536</v>
      </c>
      <c r="I9" s="9" t="n">
        <v>45716</v>
      </c>
      <c r="J9" s="8" t="inlineStr">
        <is>
          <t>Terminé</t>
        </is>
      </c>
      <c r="K9" s="10" t="n">
        <v>65000</v>
      </c>
    </row>
    <row r="10" ht="22" customHeight="1">
      <c r="A10" s="5" t="inlineStr">
        <is>
          <t>STA-005</t>
        </is>
      </c>
      <c r="B10" s="5" t="inlineStr">
        <is>
          <t>Bamba</t>
        </is>
      </c>
      <c r="C10" s="5" t="inlineStr">
        <is>
          <t>Mariam</t>
        </is>
      </c>
      <c r="D10" s="5" t="inlineStr">
        <is>
          <t>ESP Annecy</t>
        </is>
      </c>
      <c r="E10" s="5" t="inlineStr">
        <is>
          <t>Cuisine</t>
        </is>
      </c>
      <c r="F10" s="5" t="inlineStr">
        <is>
          <t>Cuisine &amp; Restauration</t>
        </is>
      </c>
      <c r="G10" s="5" t="inlineStr">
        <is>
          <t>Chef Mbarga</t>
        </is>
      </c>
      <c r="H10" s="6" t="n">
        <v>45717</v>
      </c>
      <c r="I10" s="6" t="n">
        <v>45900</v>
      </c>
      <c r="J10" s="5" t="inlineStr">
        <is>
          <t>Planifié</t>
        </is>
      </c>
      <c r="K10" s="7" t="n">
        <v>75000</v>
      </c>
    </row>
    <row r="11" ht="22" customHeight="1">
      <c r="A11" s="8" t="inlineStr">
        <is>
          <t>STA-006</t>
        </is>
      </c>
      <c r="B11" s="8" t="inlineStr">
        <is>
          <t>Coulibaly</t>
        </is>
      </c>
      <c r="C11" s="8" t="inlineStr">
        <is>
          <t>Adama</t>
        </is>
      </c>
      <c r="D11" s="8" t="inlineStr">
        <is>
          <t>INP-HB</t>
        </is>
      </c>
      <c r="E11" s="8" t="inlineStr">
        <is>
          <t>Génie Civil</t>
        </is>
      </c>
      <c r="F11" s="8" t="inlineStr">
        <is>
          <t>Entretien &amp; Maintenance</t>
        </is>
      </c>
      <c r="G11" s="8" t="inlineStr">
        <is>
          <t>M. Kamga</t>
        </is>
      </c>
      <c r="H11" s="9" t="n">
        <v>45663</v>
      </c>
      <c r="I11" s="9" t="n">
        <v>45838</v>
      </c>
      <c r="J11" s="8" t="inlineStr">
        <is>
          <t>En cours</t>
        </is>
      </c>
      <c r="K11" s="10" t="n">
        <v>70000</v>
      </c>
    </row>
    <row r="12" ht="22" customHeight="1">
      <c r="A12" s="5" t="inlineStr">
        <is>
          <t>STA-007</t>
        </is>
      </c>
      <c r="B12" s="5" t="inlineStr">
        <is>
          <t>Konan</t>
        </is>
      </c>
      <c r="C12" s="5" t="inlineStr">
        <is>
          <t>Yao</t>
        </is>
      </c>
      <c r="D12" s="5" t="inlineStr">
        <is>
          <t>Université Cocody</t>
        </is>
      </c>
      <c r="E12" s="5" t="inlineStr">
        <is>
          <t>Droit</t>
        </is>
      </c>
      <c r="F12" s="5" t="inlineStr">
        <is>
          <t>Ressources Humaines</t>
        </is>
      </c>
      <c r="G12" s="5" t="inlineStr">
        <is>
          <t>M. N'Goran</t>
        </is>
      </c>
      <c r="H12" s="6" t="n">
        <v>45566</v>
      </c>
      <c r="I12" s="6" t="n">
        <v>45747</v>
      </c>
      <c r="J12" s="5" t="inlineStr">
        <is>
          <t>En cours</t>
        </is>
      </c>
      <c r="K12" s="7" t="n">
        <v>65000</v>
      </c>
    </row>
    <row r="13" ht="22" customHeight="1">
      <c r="A13" s="8" t="inlineStr">
        <is>
          <t>STA-008</t>
        </is>
      </c>
      <c r="B13" s="8" t="inlineStr">
        <is>
          <t>Sangaré</t>
        </is>
      </c>
      <c r="C13" s="8" t="inlineStr">
        <is>
          <t>Awa</t>
        </is>
      </c>
      <c r="D13" s="8" t="inlineStr">
        <is>
          <t>Ecole Sup. Commerce</t>
        </is>
      </c>
      <c r="E13" s="8" t="inlineStr">
        <is>
          <t>Gestion</t>
        </is>
      </c>
      <c r="F13" s="8" t="inlineStr">
        <is>
          <t>Commercial</t>
        </is>
      </c>
      <c r="G13" s="8" t="inlineStr">
        <is>
          <t>M. Ekra</t>
        </is>
      </c>
      <c r="H13" s="9" t="n">
        <v>45703</v>
      </c>
      <c r="I13" s="9" t="n">
        <v>45853</v>
      </c>
      <c r="J13" s="8" t="inlineStr">
        <is>
          <t>En cours</t>
        </is>
      </c>
      <c r="K13" s="10" t="n">
        <v>70000</v>
      </c>
    </row>
    <row r="14" ht="22" customHeight="1">
      <c r="A14" s="5" t="inlineStr">
        <is>
          <t>STA-009</t>
        </is>
      </c>
      <c r="B14" s="5" t="inlineStr">
        <is>
          <t>Djibril</t>
        </is>
      </c>
      <c r="C14" s="5" t="inlineStr">
        <is>
          <t>Oumar</t>
        </is>
      </c>
      <c r="D14" s="5" t="inlineStr">
        <is>
          <t>ISTC Abidjan</t>
        </is>
      </c>
      <c r="E14" s="5" t="inlineStr">
        <is>
          <t>Informatique</t>
        </is>
      </c>
      <c r="F14" s="5" t="inlineStr">
        <is>
          <t>Informatique</t>
        </is>
      </c>
      <c r="G14" s="5" t="inlineStr">
        <is>
          <t>M. Bamba</t>
        </is>
      </c>
      <c r="H14" s="6" t="n">
        <v>45444</v>
      </c>
      <c r="I14" s="6" t="n">
        <v>45657</v>
      </c>
      <c r="J14" s="5" t="inlineStr">
        <is>
          <t>Terminé</t>
        </is>
      </c>
      <c r="K14" s="7" t="n">
        <v>80000</v>
      </c>
    </row>
    <row r="15" ht="22" customHeight="1">
      <c r="A15" s="8" t="inlineStr">
        <is>
          <t>STA-010</t>
        </is>
      </c>
      <c r="B15" s="8" t="inlineStr">
        <is>
          <t>Yao</t>
        </is>
      </c>
      <c r="C15" s="8" t="inlineStr">
        <is>
          <t>Akissi</t>
        </is>
      </c>
      <c r="D15" s="8" t="inlineStr">
        <is>
          <t>Université Bouaké</t>
        </is>
      </c>
      <c r="E15" s="8" t="inlineStr">
        <is>
          <t>HTM</t>
        </is>
      </c>
      <c r="F15" s="8" t="inlineStr">
        <is>
          <t>Réception &amp; Front Office</t>
        </is>
      </c>
      <c r="G15" s="8" t="inlineStr">
        <is>
          <t>Mme Djomga</t>
        </is>
      </c>
      <c r="H15" s="9" t="n">
        <v>45663</v>
      </c>
      <c r="I15" s="9" t="n">
        <v>45838</v>
      </c>
      <c r="J15" s="8" t="inlineStr">
        <is>
          <t>En cours</t>
        </is>
      </c>
      <c r="K15" s="10" t="n">
        <v>65000</v>
      </c>
    </row>
  </sheetData>
  <mergeCells count="2">
    <mergeCell ref="A2:K2"/>
    <mergeCell ref="A3:K3"/>
  </mergeCells>
  <dataValidations count="4">
    <dataValidation sqref="D6:D15" showDropDown="0" showInputMessage="0" showErrorMessage="0" allowBlank="1" errorTitle="Erreur" error="Valeur invalide" promptTitle="etablissements" prompt="Choisir dans la liste: etablissements" type="list">
      <formula1>'F02 - _Lists'!$A$6:$A$16</formula1>
    </dataValidation>
    <dataValidation sqref="E6:E15" showDropDown="0" showInputMessage="0" showErrorMessage="0" allowBlank="1" errorTitle="Erreur" error="Valeur invalide" promptTitle="formations" prompt="Choisir dans la liste: formations" type="list">
      <formula1>'F02 - _Lists'!$B$6:$B$22</formula1>
    </dataValidation>
    <dataValidation sqref="F6:F15" showDropDown="0" showInputMessage="0" showErrorMessage="0" allowBlank="1" errorTitle="Erreur" error="Valeur invalide" promptTitle="departements" prompt="Choisir dans la liste: departements" type="list">
      <formula1>'F02 - _Lists'!$C$6:$C$20</formula1>
    </dataValidation>
    <dataValidation sqref="J6:J15" showDropDown="0" showInputMessage="0" showErrorMessage="0" allowBlank="1" errorTitle="Erreur" error="Valeur invalide" promptTitle="statuts_stage" prompt="Choisir dans la liste: statuts_stage" type="list">
      <formula1>'F02 - _Lists'!$F$6:$F$11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X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</cols>
  <sheetData>
    <row r="1" ht="8" customHeight="1"/>
    <row r="2" ht="30" customHeight="1">
      <c r="A2" s="1" t="inlineStr">
        <is>
          <t>LISTES DE RÉFÉRENCE — Valeurs pour listes déroulantes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etablissements</t>
        </is>
      </c>
      <c r="B5" s="4" t="inlineStr">
        <is>
          <t>formations</t>
        </is>
      </c>
      <c r="C5" s="4" t="inlineStr">
        <is>
          <t>departements</t>
        </is>
      </c>
      <c r="D5" s="4" t="inlineStr">
        <is>
          <t>postes_stage</t>
        </is>
      </c>
      <c r="E5" s="4" t="inlineStr">
        <is>
          <t>types_stage</t>
        </is>
      </c>
      <c r="F5" s="4" t="inlineStr">
        <is>
          <t>statuts_stage</t>
        </is>
      </c>
      <c r="G5" s="4" t="inlineStr">
        <is>
          <t>evaluations</t>
        </is>
      </c>
      <c r="H5" s="4" t="inlineStr">
        <is>
          <t>recommandations</t>
        </is>
      </c>
      <c r="I5" s="4" t="inlineStr">
        <is>
          <t>niveaux_etude</t>
        </is>
      </c>
      <c r="J5" s="4" t="inlineStr">
        <is>
          <t>criteres_eval</t>
        </is>
      </c>
      <c r="K5" s="4" t="inlineStr">
        <is>
          <t>priorites</t>
        </is>
      </c>
      <c r="L5" s="4" t="inlineStr">
        <is>
          <t>conformites</t>
        </is>
      </c>
      <c r="M5" s="4" t="inlineStr">
        <is>
          <t>validations</t>
        </is>
      </c>
      <c r="N5" s="4" t="inlineStr">
        <is>
          <t>frequences</t>
        </is>
      </c>
      <c r="O5" s="4" t="inlineStr">
        <is>
          <t>mois</t>
        </is>
      </c>
      <c r="P5" s="4" t="inlineStr">
        <is>
          <t>trimestres</t>
        </is>
      </c>
      <c r="Q5" s="4" t="inlineStr">
        <is>
          <t>tendances</t>
        </is>
      </c>
      <c r="R5" s="4" t="inlineStr">
        <is>
          <t>annees</t>
        </is>
      </c>
      <c r="S5" s="4" t="inlineStr">
        <is>
          <t>modes_paiement</t>
        </is>
      </c>
      <c r="T5" s="4" t="inlineStr">
        <is>
          <t>origines</t>
        </is>
      </c>
      <c r="U5" s="4" t="inlineStr">
        <is>
          <t>notes_1_5</t>
        </is>
      </c>
      <c r="V5" s="4" t="inlineStr">
        <is>
          <t>types_litige_stage</t>
        </is>
      </c>
      <c r="W5" s="4" t="inlineStr">
        <is>
          <t>etapes_integration</t>
        </is>
      </c>
      <c r="X5" s="4" t="inlineStr">
        <is>
          <t>statuts_post_stage</t>
        </is>
      </c>
    </row>
    <row r="6" ht="22" customHeight="1">
      <c r="A6" s="5" t="inlineStr">
        <is>
          <t>FHB Abidjan</t>
        </is>
      </c>
      <c r="B6" s="5" t="inlineStr">
        <is>
          <t>HTM</t>
        </is>
      </c>
      <c r="C6" s="5" t="inlineStr">
        <is>
          <t>Direction Générale</t>
        </is>
      </c>
      <c r="D6" s="5" t="inlineStr">
        <is>
          <t>Assistant Réception</t>
        </is>
      </c>
      <c r="E6" s="5" t="inlineStr">
        <is>
          <t>Convention de stage</t>
        </is>
      </c>
      <c r="F6" s="5" t="inlineStr">
        <is>
          <t>En cours</t>
        </is>
      </c>
      <c r="G6" s="5" t="inlineStr">
        <is>
          <t>Excellent</t>
        </is>
      </c>
      <c r="H6" s="5" t="inlineStr">
        <is>
          <t>Embauche CDI recommandée</t>
        </is>
      </c>
      <c r="I6" s="5" t="inlineStr">
        <is>
          <t>BTS</t>
        </is>
      </c>
      <c r="J6" s="5" t="inlineStr">
        <is>
          <t>Assiduité</t>
        </is>
      </c>
      <c r="K6" s="5" t="inlineStr">
        <is>
          <t>Haute</t>
        </is>
      </c>
      <c r="L6" s="5" t="inlineStr">
        <is>
          <t>Conforme</t>
        </is>
      </c>
      <c r="M6" s="5" t="inlineStr">
        <is>
          <t>Validé</t>
        </is>
      </c>
      <c r="N6" s="5" t="inlineStr">
        <is>
          <t>Hebdomadaire</t>
        </is>
      </c>
      <c r="O6" s="5" t="inlineStr">
        <is>
          <t>Janvier 2024</t>
        </is>
      </c>
      <c r="P6" s="5" t="inlineStr">
        <is>
          <t>T1 2025</t>
        </is>
      </c>
      <c r="Q6" s="5" t="inlineStr">
        <is>
          <t>Hausse</t>
        </is>
      </c>
      <c r="R6" s="5" t="inlineStr">
        <is>
          <t>2023</t>
        </is>
      </c>
      <c r="S6" s="5" t="inlineStr">
        <is>
          <t>Virement</t>
        </is>
      </c>
      <c r="T6" s="5" t="inlineStr">
        <is>
          <t>Candidature spontanée</t>
        </is>
      </c>
      <c r="U6" s="5" t="inlineStr">
        <is>
          <t>1</t>
        </is>
      </c>
      <c r="V6" s="5" t="inlineStr">
        <is>
          <t>Non-respect convention</t>
        </is>
      </c>
      <c r="W6" s="5" t="inlineStr">
        <is>
          <t>Accueil administratif</t>
        </is>
      </c>
      <c r="X6" s="5" t="inlineStr">
        <is>
          <t>Embauché CDI</t>
        </is>
      </c>
    </row>
    <row r="7" ht="22" customHeight="1">
      <c r="A7" s="8" t="inlineStr">
        <is>
          <t>INP-HB</t>
        </is>
      </c>
      <c r="B7" s="8" t="inlineStr">
        <is>
          <t>Comptabilité</t>
        </is>
      </c>
      <c r="C7" s="8" t="inlineStr">
        <is>
          <t>Ressources Humaines</t>
        </is>
      </c>
      <c r="D7" s="8" t="inlineStr">
        <is>
          <t>Assistant Cuisinier</t>
        </is>
      </c>
      <c r="E7" s="8" t="inlineStr">
        <is>
          <t>Alternance</t>
        </is>
      </c>
      <c r="F7" s="8" t="inlineStr">
        <is>
          <t>Terminé</t>
        </is>
      </c>
      <c r="G7" s="8" t="inlineStr">
        <is>
          <t>Très bon</t>
        </is>
      </c>
      <c r="H7" s="8" t="inlineStr">
        <is>
          <t>Renouvellement conseillé</t>
        </is>
      </c>
      <c r="I7" s="8" t="inlineStr">
        <is>
          <t>Licence</t>
        </is>
      </c>
      <c r="J7" s="8" t="inlineStr">
        <is>
          <t>Qualité du travail</t>
        </is>
      </c>
      <c r="K7" s="8" t="inlineStr">
        <is>
          <t>Moyenne</t>
        </is>
      </c>
      <c r="L7" s="8" t="inlineStr">
        <is>
          <t>Partiellement conforme</t>
        </is>
      </c>
      <c r="M7" s="8" t="inlineStr">
        <is>
          <t>En attente</t>
        </is>
      </c>
      <c r="N7" s="8" t="inlineStr">
        <is>
          <t>Mensuelle</t>
        </is>
      </c>
      <c r="O7" s="8" t="inlineStr">
        <is>
          <t>Février 2024</t>
        </is>
      </c>
      <c r="P7" s="8" t="inlineStr">
        <is>
          <t>T2 2025</t>
        </is>
      </c>
      <c r="Q7" s="8" t="inlineStr">
        <is>
          <t>Baisse</t>
        </is>
      </c>
      <c r="R7" s="8" t="inlineStr">
        <is>
          <t>2024</t>
        </is>
      </c>
      <c r="S7" s="8" t="inlineStr">
        <is>
          <t>Chèque</t>
        </is>
      </c>
      <c r="T7" s="8" t="inlineStr">
        <is>
          <t>École partenaire</t>
        </is>
      </c>
      <c r="U7" s="8" t="inlineStr">
        <is>
          <t>2</t>
        </is>
      </c>
      <c r="V7" s="8" t="inlineStr">
        <is>
          <t>Problème indemnité</t>
        </is>
      </c>
      <c r="W7" s="8" t="inlineStr">
        <is>
          <t>Visite des locaux</t>
        </is>
      </c>
      <c r="X7" s="8" t="inlineStr">
        <is>
          <t>Embauché CDD</t>
        </is>
      </c>
    </row>
    <row r="8" ht="22" customHeight="1">
      <c r="A8" s="5" t="inlineStr">
        <is>
          <t>EHESS Abidjan</t>
        </is>
      </c>
      <c r="B8" s="5" t="inlineStr">
        <is>
          <t>Marketing</t>
        </is>
      </c>
      <c r="C8" s="5" t="inlineStr">
        <is>
          <t>Finance &amp; Comptabilité</t>
        </is>
      </c>
      <c r="D8" s="5" t="inlineStr">
        <is>
          <t>Assistant Comptable</t>
        </is>
      </c>
      <c r="E8" s="5" t="inlineStr">
        <is>
          <t>Stage de découverte</t>
        </is>
      </c>
      <c r="F8" s="5" t="inlineStr">
        <is>
          <t>Planifié</t>
        </is>
      </c>
      <c r="G8" s="5" t="inlineStr">
        <is>
          <t>Bon</t>
        </is>
      </c>
      <c r="H8" s="5" t="inlineStr">
        <is>
          <t>À retenir</t>
        </is>
      </c>
      <c r="I8" s="5" t="inlineStr">
        <is>
          <t>Master 1</t>
        </is>
      </c>
      <c r="J8" s="5" t="inlineStr">
        <is>
          <t>Intégration équipe</t>
        </is>
      </c>
      <c r="K8" s="5" t="inlineStr">
        <is>
          <t>Basse</t>
        </is>
      </c>
      <c r="L8" s="5" t="inlineStr">
        <is>
          <t>Non conforme</t>
        </is>
      </c>
      <c r="M8" s="5" t="inlineStr">
        <is>
          <t>Rejeté</t>
        </is>
      </c>
      <c r="N8" s="5" t="inlineStr">
        <is>
          <t>Trimestrielle</t>
        </is>
      </c>
      <c r="O8" s="5" t="inlineStr">
        <is>
          <t>Mars 2024</t>
        </is>
      </c>
      <c r="P8" s="5" t="inlineStr">
        <is>
          <t>T3 2025</t>
        </is>
      </c>
      <c r="Q8" s="5" t="inlineStr">
        <is>
          <t>Stable</t>
        </is>
      </c>
      <c r="R8" s="5" t="inlineStr">
        <is>
          <t>2025</t>
        </is>
      </c>
      <c r="S8" s="5" t="inlineStr">
        <is>
          <t>Espèces</t>
        </is>
      </c>
      <c r="T8" s="5" t="inlineStr">
        <is>
          <t>Ancien stagiaire</t>
        </is>
      </c>
      <c r="U8" s="5" t="inlineStr">
        <is>
          <t>3</t>
        </is>
      </c>
      <c r="V8" s="5" t="inlineStr">
        <is>
          <t>Absence injustifiée</t>
        </is>
      </c>
      <c r="W8" s="5" t="inlineStr">
        <is>
          <t>Présentation équipe</t>
        </is>
      </c>
      <c r="X8" s="5" t="inlineStr">
        <is>
          <t>En attente décision</t>
        </is>
      </c>
    </row>
    <row r="9" ht="22" customHeight="1">
      <c r="A9" s="8" t="inlineStr">
        <is>
          <t>Université FHB</t>
        </is>
      </c>
      <c r="B9" s="8" t="inlineStr">
        <is>
          <t>Informatique</t>
        </is>
      </c>
      <c r="C9" s="8" t="inlineStr">
        <is>
          <t>Marketing &amp; Communication</t>
        </is>
      </c>
      <c r="D9" s="8" t="inlineStr">
        <is>
          <t>Assistant Marketing</t>
        </is>
      </c>
      <c r="E9" s="8" t="inlineStr">
        <is>
          <t>Stage de fin d'études</t>
        </is>
      </c>
      <c r="F9" s="8" t="inlineStr">
        <is>
          <t>Annulé</t>
        </is>
      </c>
      <c r="G9" s="8" t="inlineStr">
        <is>
          <t>Satisfaisant</t>
        </is>
      </c>
      <c r="H9" s="8" t="inlineStr">
        <is>
          <t>Non recommandé</t>
        </is>
      </c>
      <c r="I9" s="8" t="inlineStr">
        <is>
          <t>Master 2</t>
        </is>
      </c>
      <c r="J9" s="8" t="inlineStr">
        <is>
          <t>Respect consignes</t>
        </is>
      </c>
      <c r="K9" s="8" t="n"/>
      <c r="L9" s="8" t="inlineStr">
        <is>
          <t>En attente</t>
        </is>
      </c>
      <c r="M9" s="8" t="inlineStr">
        <is>
          <t>Non applicable</t>
        </is>
      </c>
      <c r="N9" s="8" t="inlineStr">
        <is>
          <t>Semestrielle</t>
        </is>
      </c>
      <c r="O9" s="8" t="inlineStr">
        <is>
          <t>Avril 2024</t>
        </is>
      </c>
      <c r="P9" s="8" t="inlineStr">
        <is>
          <t>T4 2025</t>
        </is>
      </c>
      <c r="Q9" s="8" t="n"/>
      <c r="R9" s="8" t="n"/>
      <c r="S9" s="8" t="n"/>
      <c r="T9" s="8" t="inlineStr">
        <is>
          <t>Plateforme emploi</t>
        </is>
      </c>
      <c r="U9" s="8" t="inlineStr">
        <is>
          <t>4</t>
        </is>
      </c>
      <c r="V9" s="8" t="inlineStr">
        <is>
          <t>Conflit avec tuteur</t>
        </is>
      </c>
      <c r="W9" s="8" t="inlineStr">
        <is>
          <t>Formation sécurité</t>
        </is>
      </c>
      <c r="X9" s="8" t="inlineStr">
        <is>
          <t>Non retenu</t>
        </is>
      </c>
    </row>
    <row r="10" ht="22" customHeight="1">
      <c r="A10" s="5" t="inlineStr">
        <is>
          <t>Université Cocody</t>
        </is>
      </c>
      <c r="B10" s="5" t="inlineStr">
        <is>
          <t>Cuisine</t>
        </is>
      </c>
      <c r="C10" s="5" t="inlineStr">
        <is>
          <t>Informatique</t>
        </is>
      </c>
      <c r="D10" s="5" t="inlineStr">
        <is>
          <t>Développeur Stagiaire</t>
        </is>
      </c>
      <c r="E10" s="5" t="inlineStr">
        <is>
          <t>Stage de perfectionnement</t>
        </is>
      </c>
      <c r="F10" s="5" t="inlineStr">
        <is>
          <t>Prolongé</t>
        </is>
      </c>
      <c r="G10" s="5" t="inlineStr">
        <is>
          <t>Insuffisant</t>
        </is>
      </c>
      <c r="H10" s="5" t="n"/>
      <c r="I10" s="5" t="inlineStr">
        <is>
          <t>Ingénieur</t>
        </is>
      </c>
      <c r="J10" s="5" t="inlineStr">
        <is>
          <t>Initiative</t>
        </is>
      </c>
      <c r="K10" s="5" t="n"/>
      <c r="L10" s="5" t="n"/>
      <c r="M10" s="5" t="n"/>
      <c r="N10" s="5" t="inlineStr">
        <is>
          <t>Annuelle</t>
        </is>
      </c>
      <c r="O10" s="5" t="inlineStr">
        <is>
          <t>Mai 2024</t>
        </is>
      </c>
      <c r="P10" s="5" t="n"/>
      <c r="Q10" s="5" t="n"/>
      <c r="R10" s="5" t="n"/>
      <c r="S10" s="5" t="n"/>
      <c r="T10" s="5" t="inlineStr">
        <is>
          <t>Réseau DRH</t>
        </is>
      </c>
      <c r="U10" s="5" t="inlineStr">
        <is>
          <t>5</t>
        </is>
      </c>
      <c r="V10" s="5" t="inlineStr">
        <is>
          <t>Harcèlement</t>
        </is>
      </c>
      <c r="W10" s="5" t="inlineStr">
        <is>
          <t>Briefing poste</t>
        </is>
      </c>
      <c r="X10" s="5" t="inlineStr">
        <is>
          <t>Retour études</t>
        </is>
      </c>
    </row>
    <row r="11" ht="22" customHeight="1">
      <c r="A11" s="8" t="inlineStr">
        <is>
          <t>Université Bouaké</t>
        </is>
      </c>
      <c r="B11" s="8" t="inlineStr">
        <is>
          <t>Génie Civil</t>
        </is>
      </c>
      <c r="C11" s="8" t="inlineStr">
        <is>
          <t>Commercial</t>
        </is>
      </c>
      <c r="D11" s="8" t="inlineStr">
        <is>
          <t>Agent de Communication</t>
        </is>
      </c>
      <c r="E11" s="8" t="n"/>
      <c r="F11" s="8" t="inlineStr">
        <is>
          <t>Abandonné</t>
        </is>
      </c>
      <c r="G11" s="8" t="inlineStr">
        <is>
          <t>Mauvais</t>
        </is>
      </c>
      <c r="H11" s="8" t="n"/>
      <c r="I11" s="8" t="inlineStr">
        <is>
          <t>Doctorat</t>
        </is>
      </c>
      <c r="J11" s="8" t="inlineStr">
        <is>
          <t>Ponctualité</t>
        </is>
      </c>
      <c r="K11" s="8" t="n"/>
      <c r="L11" s="8" t="n"/>
      <c r="M11" s="8" t="n"/>
      <c r="N11" s="8" t="n"/>
      <c r="O11" s="8" t="inlineStr">
        <is>
          <t>Juin 2024</t>
        </is>
      </c>
      <c r="P11" s="8" t="n"/>
      <c r="Q11" s="8" t="n"/>
      <c r="R11" s="8" t="n"/>
      <c r="S11" s="8" t="n"/>
      <c r="T11" s="8" t="inlineStr">
        <is>
          <t>Salon étudiant</t>
        </is>
      </c>
      <c r="U11" s="8" t="n"/>
      <c r="V11" s="8" t="inlineStr">
        <is>
          <t>Autre</t>
        </is>
      </c>
      <c r="W11" s="8" t="inlineStr">
        <is>
          <t>Suivi semaine 1</t>
        </is>
      </c>
      <c r="X11" s="8" t="inlineStr">
        <is>
          <t>Autre établissement</t>
        </is>
      </c>
    </row>
    <row r="12" ht="22" customHeight="1">
      <c r="A12" s="5" t="inlineStr">
        <is>
          <t>ESP Annecy</t>
        </is>
      </c>
      <c r="B12" s="5" t="inlineStr">
        <is>
          <t>Droit</t>
        </is>
      </c>
      <c r="C12" s="5" t="inlineStr">
        <is>
          <t>Logistique &amp; Approvisionnement</t>
        </is>
      </c>
      <c r="D12" s="5" t="inlineStr">
        <is>
          <t>Assistant RH</t>
        </is>
      </c>
      <c r="E12" s="5" t="n"/>
      <c r="F12" s="5" t="n"/>
      <c r="G12" s="5" t="n"/>
      <c r="H12" s="5" t="n"/>
      <c r="I12" s="5" t="inlineStr">
        <is>
          <t>CAP/BEP</t>
        </is>
      </c>
      <c r="J12" s="5" t="inlineStr">
        <is>
          <t>Communication</t>
        </is>
      </c>
      <c r="K12" s="5" t="n"/>
      <c r="L12" s="5" t="n"/>
      <c r="M12" s="5" t="n"/>
      <c r="N12" s="5" t="n"/>
      <c r="O12" s="5" t="inlineStr">
        <is>
          <t>Juillet 2024</t>
        </is>
      </c>
      <c r="P12" s="5" t="n"/>
      <c r="Q12" s="5" t="n"/>
      <c r="R12" s="5" t="n"/>
      <c r="S12" s="5" t="n"/>
      <c r="T12" s="5" t="n"/>
      <c r="U12" s="5" t="n"/>
      <c r="V12" s="5" t="n"/>
      <c r="W12" s="5" t="inlineStr">
        <is>
          <t>Bilan intégration</t>
        </is>
      </c>
      <c r="X12" s="5" t="n"/>
    </row>
    <row r="13" ht="22" customHeight="1">
      <c r="A13" s="8" t="inlineStr">
        <is>
          <t>ISTC Abidjan</t>
        </is>
      </c>
      <c r="B13" s="8" t="inlineStr">
        <is>
          <t>Gestion</t>
        </is>
      </c>
      <c r="C13" s="8" t="inlineStr">
        <is>
          <t>Réception &amp; Front Office</t>
        </is>
      </c>
      <c r="D13" s="8" t="inlineStr">
        <is>
          <t>Assistant Commercial</t>
        </is>
      </c>
      <c r="E13" s="8" t="n"/>
      <c r="F13" s="8" t="n"/>
      <c r="G13" s="8" t="n"/>
      <c r="H13" s="8" t="n"/>
      <c r="I13" s="8" t="inlineStr">
        <is>
          <t>Bac</t>
        </is>
      </c>
      <c r="J13" s="8" t="n"/>
      <c r="K13" s="8" t="n"/>
      <c r="L13" s="8" t="n"/>
      <c r="M13" s="8" t="n"/>
      <c r="N13" s="8" t="n"/>
      <c r="O13" s="8" t="inlineStr">
        <is>
          <t>Août 2024</t>
        </is>
      </c>
      <c r="P13" s="8" t="n"/>
      <c r="Q13" s="8" t="n"/>
      <c r="R13" s="8" t="n"/>
      <c r="S13" s="8" t="n"/>
      <c r="T13" s="8" t="n"/>
      <c r="U13" s="8" t="n"/>
      <c r="V13" s="8" t="n"/>
      <c r="W13" s="8" t="inlineStr">
        <is>
          <t>Fin de période essai</t>
        </is>
      </c>
      <c r="X13" s="8" t="n"/>
    </row>
    <row r="14" ht="22" customHeight="1">
      <c r="A14" s="5" t="inlineStr">
        <is>
          <t>Ecole Sup. Commerce</t>
        </is>
      </c>
      <c r="B14" s="5" t="inlineStr">
        <is>
          <t>Communication</t>
        </is>
      </c>
      <c r="C14" s="5" t="inlineStr">
        <is>
          <t>Cuisine &amp; Restauration</t>
        </is>
      </c>
      <c r="D14" s="5" t="inlineStr">
        <is>
          <t>Stagiaire Entretien</t>
        </is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inlineStr">
        <is>
          <t>Septembre 2024</t>
        </is>
      </c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22" customHeight="1">
      <c r="A15" s="8" t="inlineStr">
        <is>
          <t>UFRSEG Abidjan</t>
        </is>
      </c>
      <c r="B15" s="8" t="inlineStr">
        <is>
          <t>Langues</t>
        </is>
      </c>
      <c r="C15" s="8" t="inlineStr">
        <is>
          <t>Hébergement</t>
        </is>
      </c>
      <c r="D15" s="8" t="inlineStr">
        <is>
          <t>Stagiaire Hébergement</t>
        </is>
      </c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inlineStr">
        <is>
          <t>Octobre 2024</t>
        </is>
      </c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</row>
    <row r="16" ht="22" customHeight="1">
      <c r="A16" s="5" t="inlineStr">
        <is>
          <t>Ecole Hôtelière d'Abidjan</t>
        </is>
      </c>
      <c r="B16" s="5" t="inlineStr">
        <is>
          <t>Ressources Humaines</t>
        </is>
      </c>
      <c r="C16" s="5" t="inlineStr">
        <is>
          <t>Entretien &amp; Maintenance</t>
        </is>
      </c>
      <c r="D16" s="5" t="inlineStr">
        <is>
          <t>Assistant Finance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inlineStr">
        <is>
          <t>Novembre 2024</t>
        </is>
      </c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22" customHeight="1">
      <c r="A17" s="8" t="n"/>
      <c r="B17" s="8" t="inlineStr">
        <is>
          <t>Logistique</t>
        </is>
      </c>
      <c r="C17" s="8" t="inlineStr">
        <is>
          <t>Sécurité</t>
        </is>
      </c>
      <c r="D17" s="8" t="inlineStr">
        <is>
          <t>Stagiaire Informatique</t>
        </is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inlineStr">
        <is>
          <t>Décembre 2024</t>
        </is>
      </c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</row>
    <row r="18" ht="22" customHeight="1">
      <c r="A18" s="5" t="n"/>
      <c r="B18" s="5" t="inlineStr">
        <is>
          <t>Finance</t>
        </is>
      </c>
      <c r="C18" s="5" t="inlineStr">
        <is>
          <t>Service Client</t>
        </is>
      </c>
      <c r="D18" s="5" t="inlineStr">
        <is>
          <t>Assistant Pâtissier</t>
        </is>
      </c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 ht="22" customHeight="1">
      <c r="A19" s="8" t="n"/>
      <c r="B19" s="8" t="inlineStr">
        <is>
          <t>Commerce International</t>
        </is>
      </c>
      <c r="C19" s="8" t="inlineStr">
        <is>
          <t>Animation &amp; Loisirs</t>
        </is>
      </c>
      <c r="D19" s="8" t="inlineStr">
        <is>
          <t>Stagiaire Sécurité</t>
        </is>
      </c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</row>
    <row r="20" ht="22" customHeight="1">
      <c r="A20" s="5" t="n"/>
      <c r="B20" s="5" t="inlineStr">
        <is>
          <t>Tourisme</t>
        </is>
      </c>
      <c r="C20" s="5" t="inlineStr">
        <is>
          <t>Spa &amp; Bien-être</t>
        </is>
      </c>
      <c r="D20" s="5" t="inlineStr">
        <is>
          <t>Stagiaire Service Client</t>
        </is>
      </c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</row>
    <row r="21" ht="22" customHeight="1">
      <c r="A21" s="8" t="n"/>
      <c r="B21" s="8" t="inlineStr">
        <is>
          <t>Management Hôtelier</t>
        </is>
      </c>
      <c r="C21" s="8" t="n"/>
      <c r="D21" s="8" t="inlineStr">
        <is>
          <t>Stagiaire Spa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</row>
    <row r="22" ht="22" customHeight="1">
      <c r="A22" s="5" t="n"/>
      <c r="B22" s="5" t="inlineStr">
        <is>
          <t>Pâtisserie</t>
        </is>
      </c>
      <c r="C22" s="5" t="n"/>
      <c r="D22" s="5" t="inlineStr">
        <is>
          <t>Assistant Événementiel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</row>
    <row r="23" ht="22" customHeight="1">
      <c r="A23" s="8" t="n"/>
      <c r="B23" s="8" t="n"/>
      <c r="C23" s="8" t="n"/>
      <c r="D23" s="8" t="inlineStr">
        <is>
          <t>Stagiaire Logistique</t>
        </is>
      </c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</row>
  </sheetData>
  <mergeCells count="2">
    <mergeCell ref="A3:X3"/>
    <mergeCell ref="A2:X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N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20" customWidth="1" min="4" max="4"/>
    <col width="22" customWidth="1" min="5" max="5"/>
    <col width="14" customWidth="1" min="6" max="6"/>
    <col width="4" customWidth="1" min="7" max="7"/>
    <col width="4" customWidth="1" min="8" max="8"/>
    <col width="22" customWidth="1" min="9" max="9"/>
    <col width="18" customWidth="1" min="10" max="10"/>
    <col width="16" customWidth="1" min="11" max="11"/>
    <col width="18" customWidth="1" min="12" max="12"/>
    <col width="14" customWidth="1" min="13" max="13"/>
    <col width="14" customWidth="1" min="14" max="14"/>
  </cols>
  <sheetData>
    <row r="1" ht="8" customHeight="1"/>
    <row r="2" ht="36" customHeight="1">
      <c r="A2" s="11" t="inlineStr">
        <is>
          <t>DOMAINE 24 — GESTION DES STAGIAIRES ET ALTERNANTS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12" t="inlineStr">
        <is>
          <t>Tableau de Bord Synthétique — Suivi des stagiaires, coûts et partenariats</t>
        </is>
      </c>
    </row>
    <row r="4" ht="8" customHeight="1"/>
    <row r="5" ht="24" customHeight="1">
      <c r="A5" s="13" t="inlineStr">
        <is>
          <t>INDICATEURS CLÉS</t>
        </is>
      </c>
    </row>
    <row r="6" ht="20" customHeight="1">
      <c r="A6" s="14" t="inlineStr">
        <is>
          <t>Total Stagiaires en Poste</t>
        </is>
      </c>
      <c r="B6" s="15" t="n"/>
      <c r="C6" s="14" t="inlineStr">
        <is>
          <t>Coût Mensuel Indemnités</t>
        </is>
      </c>
      <c r="D6" s="15" t="n"/>
      <c r="E6" s="14" t="inlineStr">
        <is>
          <t>Conventions Actives</t>
        </is>
      </c>
      <c r="F6" s="15" t="n"/>
      <c r="G6" s="14" t="inlineStr">
        <is>
          <t>Taux de Satisfaction Moyen</t>
        </is>
      </c>
      <c r="H6" s="15" t="n"/>
      <c r="I6" s="14" t="inlineStr">
        <is>
          <t>Taux de Transformation (stage→CDI)</t>
        </is>
      </c>
      <c r="J6" s="15" t="n"/>
      <c r="K6" s="14" t="inlineStr">
        <is>
          <t>Établissements Partenaires</t>
        </is>
      </c>
      <c r="L6" s="15" t="n"/>
    </row>
    <row r="7" ht="36" customHeight="1">
      <c r="A7" s="16" t="inlineStr">
        <is>
          <t>8</t>
        </is>
      </c>
      <c r="B7" s="15" t="n"/>
      <c r="C7" s="16" t="inlineStr">
        <is>
          <t>560 000</t>
        </is>
      </c>
      <c r="D7" s="15" t="n"/>
      <c r="E7" s="16" t="inlineStr">
        <is>
          <t>10</t>
        </is>
      </c>
      <c r="F7" s="15" t="n"/>
      <c r="G7" s="16" t="inlineStr">
        <is>
          <t>82%</t>
        </is>
      </c>
      <c r="H7" s="15" t="n"/>
      <c r="I7" s="16" t="inlineStr">
        <is>
          <t>15%</t>
        </is>
      </c>
      <c r="J7" s="15" t="n"/>
      <c r="K7" s="16" t="inlineStr">
        <is>
          <t>11</t>
        </is>
      </c>
      <c r="L7" s="15" t="n"/>
    </row>
    <row r="8" ht="8" customHeight="1"/>
    <row r="9" ht="24" customHeight="1">
      <c r="A9" s="13" t="inlineStr">
        <is>
          <t>DISTRIBUTION PAR DÉPARTEMENT</t>
        </is>
      </c>
      <c r="I9" s="13" t="inlineStr">
        <is>
          <t>DISTRIBUTION PAR TYPE DE STAGE</t>
        </is>
      </c>
    </row>
    <row r="10" ht="26" customHeight="1">
      <c r="A10" s="4" t="inlineStr">
        <is>
          <t>Département</t>
        </is>
      </c>
      <c r="B10" s="4" t="inlineStr">
        <is>
          <t>Nb Stagiaires</t>
        </is>
      </c>
      <c r="C10" s="4" t="inlineStr">
        <is>
          <t>Indemnité Totale (FCFA)</t>
        </is>
      </c>
      <c r="D10" s="4" t="inlineStr">
        <is>
          <t>% du Total</t>
        </is>
      </c>
      <c r="I10" s="4" t="inlineStr">
        <is>
          <t>Type de Stage</t>
        </is>
      </c>
      <c r="J10" s="4" t="inlineStr">
        <is>
          <t>Nb Stagiaires</t>
        </is>
      </c>
      <c r="K10" s="4" t="inlineStr">
        <is>
          <t>% du Total</t>
        </is>
      </c>
    </row>
    <row r="11" ht="22" customHeight="1">
      <c r="A11" s="17" t="inlineStr">
        <is>
          <t>Cuisine &amp; Restauration</t>
        </is>
      </c>
      <c r="B11" s="17" t="n">
        <v>2</v>
      </c>
      <c r="C11" s="18" t="n">
        <v>150000</v>
      </c>
      <c r="D11" s="17" t="inlineStr">
        <is>
          <t>25%</t>
        </is>
      </c>
      <c r="I11" s="17" t="inlineStr">
        <is>
          <t>Convention de stage</t>
        </is>
      </c>
      <c r="J11" s="17" t="n">
        <v>5</v>
      </c>
      <c r="K11" s="17" t="inlineStr">
        <is>
          <t>62.5%</t>
        </is>
      </c>
    </row>
    <row r="12" ht="22" customHeight="1">
      <c r="A12" s="19" t="inlineStr">
        <is>
          <t>Informatique</t>
        </is>
      </c>
      <c r="B12" s="19" t="n">
        <v>2</v>
      </c>
      <c r="C12" s="20" t="n">
        <v>160000</v>
      </c>
      <c r="D12" s="19" t="inlineStr">
        <is>
          <t>25%</t>
        </is>
      </c>
      <c r="I12" s="19" t="inlineStr">
        <is>
          <t>Stage de fin d'études</t>
        </is>
      </c>
      <c r="J12" s="19" t="n">
        <v>2</v>
      </c>
      <c r="K12" s="19" t="inlineStr">
        <is>
          <t>25%</t>
        </is>
      </c>
    </row>
    <row r="13" ht="22" customHeight="1">
      <c r="A13" s="17" t="inlineStr">
        <is>
          <t>Marketing &amp; Communication</t>
        </is>
      </c>
      <c r="B13" s="17" t="n">
        <v>1</v>
      </c>
      <c r="C13" s="18" t="n">
        <v>70000</v>
      </c>
      <c r="D13" s="17" t="inlineStr">
        <is>
          <t>12.5%</t>
        </is>
      </c>
      <c r="I13" s="17" t="inlineStr">
        <is>
          <t>Alternance</t>
        </is>
      </c>
      <c r="J13" s="17" t="n">
        <v>1</v>
      </c>
      <c r="K13" s="17" t="inlineStr">
        <is>
          <t>12.5%</t>
        </is>
      </c>
    </row>
    <row r="14" ht="22" customHeight="1">
      <c r="A14" s="19" t="inlineStr">
        <is>
          <t>Finance &amp; Comptabilité</t>
        </is>
      </c>
      <c r="B14" s="19" t="n">
        <v>1</v>
      </c>
      <c r="C14" s="20" t="n">
        <v>65000</v>
      </c>
      <c r="D14" s="19" t="inlineStr">
        <is>
          <t>12.5%</t>
        </is>
      </c>
    </row>
    <row r="15" ht="22" customHeight="1">
      <c r="A15" s="17" t="inlineStr">
        <is>
          <t>Entretien &amp; Maintenance</t>
        </is>
      </c>
      <c r="B15" s="17" t="n">
        <v>1</v>
      </c>
      <c r="C15" s="18" t="n">
        <v>70000</v>
      </c>
      <c r="D15" s="17" t="inlineStr">
        <is>
          <t>12.5%</t>
        </is>
      </c>
    </row>
    <row r="16" ht="22" customHeight="1">
      <c r="A16" s="19" t="inlineStr">
        <is>
          <t>Réception &amp; Front Office</t>
        </is>
      </c>
      <c r="B16" s="19" t="n">
        <v>1</v>
      </c>
      <c r="C16" s="20" t="n">
        <v>65000</v>
      </c>
      <c r="D16" s="19" t="inlineStr">
        <is>
          <t>12.5%</t>
        </is>
      </c>
    </row>
    <row r="17" ht="24" customHeight="1">
      <c r="A17" s="13" t="inlineStr">
        <is>
          <t>DISTRIBUTION PAR ÉTABLISSEMENT</t>
        </is>
      </c>
      <c r="I17" s="13" t="inlineStr">
        <is>
          <t>ACTIONS PLANIFIÉES</t>
        </is>
      </c>
    </row>
    <row r="18" ht="26" customHeight="1">
      <c r="A18" s="4" t="inlineStr">
        <is>
          <t>Établissement</t>
        </is>
      </c>
      <c r="B18" s="4" t="inlineStr">
        <is>
          <t>Nb Stagiaires</t>
        </is>
      </c>
      <c r="C18" s="4" t="inlineStr">
        <is>
          <t>Indemnité Moyenne (FCFA)</t>
        </is>
      </c>
      <c r="D18" s="4" t="inlineStr">
        <is>
          <t>Satisfaction</t>
        </is>
      </c>
      <c r="I18" s="4" t="inlineStr">
        <is>
          <t>Action</t>
        </is>
      </c>
      <c r="J18" s="4" t="inlineStr">
        <is>
          <t>Responsable</t>
        </is>
      </c>
      <c r="K18" s="4" t="inlineStr">
        <is>
          <t>Échéance</t>
        </is>
      </c>
      <c r="L18" s="4" t="inlineStr">
        <is>
          <t>Priorité</t>
        </is>
      </c>
      <c r="M18" s="4" t="inlineStr">
        <is>
          <t>Statut</t>
        </is>
      </c>
    </row>
    <row r="19">
      <c r="A19" s="17" t="inlineStr">
        <is>
          <t>FHB Abidjan</t>
        </is>
      </c>
      <c r="B19" s="17" t="n">
        <v>1</v>
      </c>
      <c r="C19" s="18" t="n">
        <v>75000</v>
      </c>
      <c r="D19" s="17" t="inlineStr">
        <is>
          <t>Très bon</t>
        </is>
      </c>
      <c r="I19" s="5" t="inlineStr">
        <is>
          <t>Renouveler convention FHB Abidjan</t>
        </is>
      </c>
      <c r="J19" s="5" t="inlineStr">
        <is>
          <t>DRH</t>
        </is>
      </c>
      <c r="K19" s="6" t="n">
        <v>45747</v>
      </c>
      <c r="L19" s="5" t="inlineStr">
        <is>
          <t>Haute</t>
        </is>
      </c>
      <c r="M19" s="5" t="inlineStr">
        <is>
          <t>En cours</t>
        </is>
      </c>
    </row>
    <row r="20">
      <c r="A20" s="19" t="inlineStr">
        <is>
          <t>INP-HB</t>
        </is>
      </c>
      <c r="B20" s="19" t="n">
        <v>2</v>
      </c>
      <c r="C20" s="20" t="n">
        <v>75000</v>
      </c>
      <c r="D20" s="19" t="inlineStr">
        <is>
          <t>Bon</t>
        </is>
      </c>
      <c r="I20" s="8" t="inlineStr">
        <is>
          <t>Organiser salon stage Q2</t>
        </is>
      </c>
      <c r="J20" s="8" t="inlineStr">
        <is>
          <t>DRH / Communication</t>
        </is>
      </c>
      <c r="K20" s="9" t="n">
        <v>45762</v>
      </c>
      <c r="L20" s="8" t="inlineStr">
        <is>
          <t>Moyenne</t>
        </is>
      </c>
      <c r="M20" s="8" t="inlineStr">
        <is>
          <t>Planifié</t>
        </is>
      </c>
    </row>
    <row r="21">
      <c r="A21" s="17" t="inlineStr">
        <is>
          <t>EHESS Abidjan</t>
        </is>
      </c>
      <c r="B21" s="17" t="n">
        <v>1</v>
      </c>
      <c r="C21" s="18" t="n">
        <v>70000</v>
      </c>
      <c r="D21" s="17" t="inlineStr">
        <is>
          <t>Bon</t>
        </is>
      </c>
      <c r="I21" s="5" t="inlineStr">
        <is>
          <t>Mettre en place portail stagiaires</t>
        </is>
      </c>
      <c r="J21" s="5" t="inlineStr">
        <is>
          <t>Informatique / DRH</t>
        </is>
      </c>
      <c r="K21" s="6" t="n">
        <v>45808</v>
      </c>
      <c r="L21" s="5" t="inlineStr">
        <is>
          <t>Haute</t>
        </is>
      </c>
      <c r="M21" s="5" t="inlineStr">
        <is>
          <t>En cours</t>
        </is>
      </c>
    </row>
    <row r="22">
      <c r="A22" s="19" t="inlineStr">
        <is>
          <t>Université FHB</t>
        </is>
      </c>
      <c r="B22" s="19" t="n">
        <v>1</v>
      </c>
      <c r="C22" s="20" t="n">
        <v>65000</v>
      </c>
      <c r="D22" s="19" t="inlineStr">
        <is>
          <t>Satisfaisant</t>
        </is>
      </c>
      <c r="I22" s="8" t="inlineStr">
        <is>
          <t>Évaluer programme tutorat</t>
        </is>
      </c>
      <c r="J22" s="8" t="inlineStr">
        <is>
          <t>DRH</t>
        </is>
      </c>
      <c r="K22" s="9" t="n">
        <v>45838</v>
      </c>
      <c r="L22" s="8" t="inlineStr">
        <is>
          <t>Moyenne</t>
        </is>
      </c>
      <c r="M22" s="8" t="inlineStr">
        <is>
          <t>Planifié</t>
        </is>
      </c>
    </row>
    <row r="23">
      <c r="A23" s="17" t="inlineStr">
        <is>
          <t>Université Cocody</t>
        </is>
      </c>
      <c r="B23" s="17" t="n">
        <v>1</v>
      </c>
      <c r="C23" s="18" t="n">
        <v>65000</v>
      </c>
      <c r="D23" s="17" t="inlineStr">
        <is>
          <t>Bon</t>
        </is>
      </c>
    </row>
    <row r="24">
      <c r="A24" s="19" t="inlineStr">
        <is>
          <t>ISTC Abidjan</t>
        </is>
      </c>
      <c r="B24" s="19" t="n">
        <v>1</v>
      </c>
      <c r="C24" s="20" t="n">
        <v>80000</v>
      </c>
      <c r="D24" s="19" t="inlineStr">
        <is>
          <t>Excellent</t>
        </is>
      </c>
    </row>
    <row r="25">
      <c r="A25" s="17" t="inlineStr">
        <is>
          <t>Autres</t>
        </is>
      </c>
      <c r="B25" s="17" t="n">
        <v>1</v>
      </c>
      <c r="C25" s="18" t="n">
        <v>70000</v>
      </c>
      <c r="D25" s="17" t="inlineStr">
        <is>
          <t>Bon</t>
        </is>
      </c>
    </row>
  </sheetData>
  <mergeCells count="19">
    <mergeCell ref="C6:D6"/>
    <mergeCell ref="I6:J6"/>
    <mergeCell ref="A17:G17"/>
    <mergeCell ref="A6:B6"/>
    <mergeCell ref="A7:B7"/>
    <mergeCell ref="G7:H7"/>
    <mergeCell ref="A9:G9"/>
    <mergeCell ref="I7:J7"/>
    <mergeCell ref="I17:N17"/>
    <mergeCell ref="G6:H6"/>
    <mergeCell ref="A3:N3"/>
    <mergeCell ref="E6:F6"/>
    <mergeCell ref="A2:N2"/>
    <mergeCell ref="I9:N9"/>
    <mergeCell ref="A5:N5"/>
    <mergeCell ref="K7:L7"/>
    <mergeCell ref="C7:D7"/>
    <mergeCell ref="E7:F7"/>
    <mergeCell ref="K6:L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22" customWidth="1" min="4" max="4"/>
    <col width="14" customWidth="1" min="5" max="5"/>
    <col width="16" customWidth="1" min="6" max="6"/>
    <col width="14" customWidth="1" min="7" max="7"/>
    <col width="14" customWidth="1" min="8" max="8"/>
    <col width="30" customWidth="1" min="9" max="9"/>
    <col width="14" customWidth="1" min="10" max="10"/>
    <col width="20" customWidth="1" min="11" max="11"/>
    <col width="14" customWidth="1" min="12" max="12"/>
    <col width="30" customWidth="1" min="13" max="13"/>
    <col width="14" customWidth="1" min="14" max="14"/>
  </cols>
  <sheetData>
    <row r="1" ht="8" customHeight="1"/>
    <row r="2" ht="30" customHeight="1">
      <c r="A2" s="1" t="inlineStr">
        <is>
          <t>2-BESOINS EN STAGIAIRES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Besoin</t>
        </is>
      </c>
      <c r="B5" s="4" t="inlineStr">
        <is>
          <t>Département</t>
        </is>
      </c>
      <c r="C5" s="4" t="inlineStr">
        <is>
          <t>Poste</t>
        </is>
      </c>
      <c r="D5" s="4" t="inlineStr">
        <is>
          <t>Type de Stage</t>
        </is>
      </c>
      <c r="E5" s="4" t="inlineStr">
        <is>
          <t>Nombre Requis</t>
        </is>
      </c>
      <c r="F5" s="4" t="inlineStr">
        <is>
          <t>Date Souhaitée</t>
        </is>
      </c>
      <c r="G5" s="4" t="inlineStr">
        <is>
          <t>Durée (mois)</t>
        </is>
      </c>
      <c r="H5" s="4" t="inlineStr">
        <is>
          <t>Priorité</t>
        </is>
      </c>
      <c r="I5" s="4" t="inlineStr">
        <is>
          <t>Justification</t>
        </is>
      </c>
      <c r="J5" s="4" t="inlineStr">
        <is>
          <t>Statut</t>
        </is>
      </c>
      <c r="K5" s="4" t="inlineStr">
        <is>
          <t>Tuteur Proposé</t>
        </is>
      </c>
      <c r="L5" s="4" t="inlineStr">
        <is>
          <t>Date Création</t>
        </is>
      </c>
      <c r="M5" s="4" t="inlineStr">
        <is>
          <t>Observations</t>
        </is>
      </c>
      <c r="N5" s="4" t="inlineStr"/>
    </row>
    <row r="6" ht="22" customHeight="1">
      <c r="A6" s="5">
        <f>IF(B6="","",IF(COUNTA($A$6:A6)=0,"BES-"&amp;TEXT(COUNTA($B$6:B6),"000"),"BES-"&amp;TEXT(ROW()-5,"000")))</f>
        <v/>
      </c>
      <c r="B6" s="5" t="inlineStr">
        <is>
          <t>Cuisine &amp; Restauration</t>
        </is>
      </c>
      <c r="C6" s="5" t="inlineStr">
        <is>
          <t>Assistant Cuisinier</t>
        </is>
      </c>
      <c r="D6" s="5" t="inlineStr">
        <is>
          <t>Convention de stage</t>
        </is>
      </c>
      <c r="E6" s="7" t="n">
        <v>2</v>
      </c>
      <c r="F6" s="6" t="n">
        <v>45717</v>
      </c>
      <c r="G6" s="7" t="n">
        <v>6</v>
      </c>
      <c r="H6" s="5" t="inlineStr">
        <is>
          <t>Haute</t>
        </is>
      </c>
      <c r="I6" s="5" t="inlineStr">
        <is>
          <t>Renfort haute saison</t>
        </is>
      </c>
      <c r="J6" s="5" t="inlineStr">
        <is>
          <t>En cours</t>
        </is>
      </c>
      <c r="K6" s="5" t="inlineStr">
        <is>
          <t>Chef Mbarga</t>
        </is>
      </c>
      <c r="L6" s="6" t="n">
        <v>45672</v>
      </c>
      <c r="M6" s="5" t="inlineStr">
        <is>
          <t>Prévoir cuisine et pâtisserie</t>
        </is>
      </c>
      <c r="N6" s="5" t="inlineStr"/>
    </row>
    <row r="7" ht="22" customHeight="1">
      <c r="A7" s="8">
        <f>IF(B7="","",IF(COUNTA($A$6:A7)=0,"BES-"&amp;TEXT(COUNTA($B$6:B7),"000"),"BES-"&amp;TEXT(ROW()-5,"000")))</f>
        <v/>
      </c>
      <c r="B7" s="8" t="inlineStr">
        <is>
          <t>Informatique</t>
        </is>
      </c>
      <c r="C7" s="8" t="inlineStr">
        <is>
          <t>Développeur Stagiaire</t>
        </is>
      </c>
      <c r="D7" s="8" t="inlineStr">
        <is>
          <t>Stage de fin d'études</t>
        </is>
      </c>
      <c r="E7" s="10" t="n">
        <v>1</v>
      </c>
      <c r="F7" s="9" t="n">
        <v>45748</v>
      </c>
      <c r="G7" s="10" t="n">
        <v>4</v>
      </c>
      <c r="H7" s="8" t="inlineStr">
        <is>
          <t>Haute</t>
        </is>
      </c>
      <c r="I7" s="8" t="inlineStr">
        <is>
          <t>Projet refonte site web</t>
        </is>
      </c>
      <c r="J7" s="8" t="inlineStr">
        <is>
          <t>En cours</t>
        </is>
      </c>
      <c r="K7" s="8" t="inlineStr">
        <is>
          <t>M. Bamba</t>
        </is>
      </c>
      <c r="L7" s="9" t="n">
        <v>45677</v>
      </c>
      <c r="M7" s="8" t="inlineStr">
        <is>
          <t>Compétences web et mobile requises</t>
        </is>
      </c>
      <c r="N7" s="8" t="inlineStr"/>
    </row>
    <row r="8" ht="22" customHeight="1">
      <c r="A8" s="5">
        <f>IF(B8="","",IF(COUNTA($A$6:A8)=0,"BES-"&amp;TEXT(COUNTA($B$6:B8),"000"),"BES-"&amp;TEXT(ROW()-5,"000")))</f>
        <v/>
      </c>
      <c r="B8" s="5" t="inlineStr">
        <is>
          <t>Marketing &amp; Communication</t>
        </is>
      </c>
      <c r="C8" s="5" t="inlineStr">
        <is>
          <t>Agent de Communication</t>
        </is>
      </c>
      <c r="D8" s="5" t="inlineStr">
        <is>
          <t>Convention de stage</t>
        </is>
      </c>
      <c r="E8" s="7" t="n">
        <v>1</v>
      </c>
      <c r="F8" s="6" t="n">
        <v>45731</v>
      </c>
      <c r="G8" s="7" t="n">
        <v>3</v>
      </c>
      <c r="H8" s="5" t="inlineStr">
        <is>
          <t>Moyenne</t>
        </is>
      </c>
      <c r="I8" s="5" t="inlineStr">
        <is>
          <t>Renfort campagne été</t>
        </is>
      </c>
      <c r="J8" s="5" t="inlineStr">
        <is>
          <t>Planifié</t>
        </is>
      </c>
      <c r="K8" s="5" t="inlineStr">
        <is>
          <t>Mme Koffi</t>
        </is>
      </c>
      <c r="L8" s="6" t="n">
        <v>45689</v>
      </c>
      <c r="M8" s="5" t="inlineStr">
        <is>
          <t>Profil créatif et rédactionnel</t>
        </is>
      </c>
      <c r="N8" s="5" t="inlineStr"/>
    </row>
    <row r="9" ht="22" customHeight="1">
      <c r="A9" s="8">
        <f>IF(B9="","",IF(COUNTA($A$6:A9)=0,"BES-"&amp;TEXT(COUNTA($B$6:B9),"000"),"BES-"&amp;TEXT(ROW()-5,"000")))</f>
        <v/>
      </c>
      <c r="B9" s="8" t="inlineStr">
        <is>
          <t>Hébergement</t>
        </is>
      </c>
      <c r="C9" s="8" t="inlineStr">
        <is>
          <t>Stagiaire Hébergement</t>
        </is>
      </c>
      <c r="D9" s="8" t="inlineStr">
        <is>
          <t>Stage de découverte</t>
        </is>
      </c>
      <c r="E9" s="10" t="n">
        <v>1</v>
      </c>
      <c r="F9" s="9" t="n">
        <v>45809</v>
      </c>
      <c r="G9" s="10" t="n">
        <v>2</v>
      </c>
      <c r="H9" s="8" t="inlineStr">
        <is>
          <t>Basse</t>
        </is>
      </c>
      <c r="I9" s="8" t="inlineStr">
        <is>
          <t>Découverte métier hôtellerie</t>
        </is>
      </c>
      <c r="J9" s="8" t="inlineStr">
        <is>
          <t>Planifié</t>
        </is>
      </c>
      <c r="K9" s="8" t="inlineStr">
        <is>
          <t>Mme Nganou</t>
        </is>
      </c>
      <c r="L9" s="9" t="n">
        <v>45698</v>
      </c>
      <c r="M9" s="8" t="inlineStr">
        <is>
          <t>Candidat lycéen ou BTS 1ère année</t>
        </is>
      </c>
      <c r="N9" s="8" t="inlineStr"/>
    </row>
    <row r="10" ht="22" customHeight="1">
      <c r="A10" s="5">
        <f>IF(B10="","",IF(COUNTA($A$6:A10)=0,"BES-"&amp;TEXT(COUNTA($B$6:B10),"000"),"BES-"&amp;TEXT(ROW()-5,"000")))</f>
        <v/>
      </c>
      <c r="B10" s="5" t="inlineStr">
        <is>
          <t>Finance &amp; Comptabilité</t>
        </is>
      </c>
      <c r="C10" s="5" t="inlineStr">
        <is>
          <t>Assistant Comptable</t>
        </is>
      </c>
      <c r="D10" s="5" t="inlineStr">
        <is>
          <t>Alternance</t>
        </is>
      </c>
      <c r="E10" s="7" t="n">
        <v>1</v>
      </c>
      <c r="F10" s="6" t="n">
        <v>45901</v>
      </c>
      <c r="G10" s="7" t="n">
        <v>12</v>
      </c>
      <c r="H10" s="5" t="inlineStr">
        <is>
          <t>Moyenne</t>
        </is>
      </c>
      <c r="I10" s="5" t="inlineStr">
        <is>
          <t>Remplacement assistant en alternance</t>
        </is>
      </c>
      <c r="J10" s="5" t="inlineStr">
        <is>
          <t>Planifié</t>
        </is>
      </c>
      <c r="K10" s="5" t="inlineStr">
        <is>
          <t>Mme Fotso</t>
        </is>
      </c>
      <c r="L10" s="6" t="n">
        <v>45703</v>
      </c>
      <c r="M10" s="5" t="inlineStr">
        <is>
          <t>Convention tripartite à signer</t>
        </is>
      </c>
      <c r="N10" s="5" t="inlineStr"/>
    </row>
    <row r="11" ht="22" customHeight="1">
      <c r="A11" s="8">
        <f>IF(B11="","",IF(COUNTA($A$6:A11)=0,"BES-"&amp;TEXT(COUNTA($B$6:B11),"000"),"BES-"&amp;TEXT(ROW()-5,"000")))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>
        <f>IF(B12="","",IF(COUNTA($A$6:A12)=0,"BES-"&amp;TEXT(COUNTA($B$6:B12),"000"),"BES-"&amp;TEXT(ROW()-5,"000")))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>
        <f>IF(B13="","",IF(COUNTA($A$6:A13)=0,"BES-"&amp;TEXT(COUNTA($B$6:B13),"000"),"BES-"&amp;TEXT(ROW()-5,"000")))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>
        <f>IF(B14="","",IF(COUNTA($A$6:A14)=0,"BES-"&amp;TEXT(COUNTA($B$6:B14),"000"),"BES-"&amp;TEXT(ROW()-5,"000")))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>
        <f>IF(B15="","",IF(COUNTA($A$6:A15)=0,"BES-"&amp;TEXT(COUNTA($B$6:B15),"000"),"BES-"&amp;TEXT(ROW()-5,"000")))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>
        <f>IF(B16="","",IF(COUNTA($A$6:A16)=0,"BES-"&amp;TEXT(COUNTA($B$6:B16),"000"),"BES-"&amp;TEXT(ROW()-5,"000")))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>
        <f>IF(B17="","",IF(COUNTA($A$6:A17)=0,"BES-"&amp;TEXT(COUNTA($B$6:B17),"000"),"BES-"&amp;TEXT(ROW()-5,"000")))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>
        <f>IF(B18="","",IF(COUNTA($A$6:A18)=0,"BES-"&amp;TEXT(COUNTA($B$6:B18),"000"),"BES-"&amp;TEXT(ROW()-5,"000")))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>
        <f>IF(B19="","",IF(COUNTA($A$6:A19)=0,"BES-"&amp;TEXT(COUNTA($B$6:B19),"000"),"BES-"&amp;TEXT(ROW()-5,"000")))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>
        <f>IF(B20="","",IF(COUNTA($A$6:A20)=0,"BES-"&amp;TEXT(COUNTA($B$6:B20),"000"),"BES-"&amp;TEXT(ROW()-5,"000")))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>
        <f>IF(B21="","",IF(COUNTA($A$6:A21)=0,"BES-"&amp;TEXT(COUNTA($B$6:B21),"000"),"BES-"&amp;TEXT(ROW()-5,"000")))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>
        <f>IF(B22="","",IF(COUNTA($A$6:A22)=0,"BES-"&amp;TEXT(COUNTA($B$6:B22),"000"),"BES-"&amp;TEXT(ROW()-5,"000")))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>
        <f>IF(B23="","",IF(COUNTA($A$6:A23)=0,"BES-"&amp;TEXT(COUNTA($B$6:B23),"000"),"BES-"&amp;TEXT(ROW()-5,"000")))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>
        <f>IF(B24="","",IF(COUNTA($A$6:A24)=0,"BES-"&amp;TEXT(COUNTA($B$6:B24),"000"),"BES-"&amp;TEXT(ROW()-5,"000")))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>
        <f>IF(B25="","",IF(COUNTA($A$6:A25)=0,"BES-"&amp;TEXT(COUNTA($B$6:B25),"000"),"BES-"&amp;TEXT(ROW()-5,"000")))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>
        <f>IF(B26="","",IF(COUNTA($A$6:A26)=0,"BES-"&amp;TEXT(COUNTA($B$6:B26),"000"),"BES-"&amp;TEXT(ROW()-5,"000")))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>
        <f>IF(B27="","",IF(COUNTA($A$6:A27)=0,"BES-"&amp;TEXT(COUNTA($B$6:B27),"000"),"BES-"&amp;TEXT(ROW()-5,"000")))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>
        <f>IF(B28="","",IF(COUNTA($A$6:A28)=0,"BES-"&amp;TEXT(COUNTA($B$6:B28),"000"),"BES-"&amp;TEXT(ROW()-5,"000")))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>
        <f>IF(B29="","",IF(COUNTA($A$6:A29)=0,"BES-"&amp;TEXT(COUNTA($B$6:B29),"000"),"BES-"&amp;TEXT(ROW()-5,"000")))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>
        <f>IF(B30="","",IF(COUNTA($A$6:A30)=0,"BES-"&amp;TEXT(COUNTA($B$6:B30),"000"),"BES-"&amp;TEXT(ROW()-5,"000")))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>
        <f>IF(B31="","",IF(COUNTA($A$6:A31)=0,"BES-"&amp;TEXT(COUNTA($B$6:B31),"000"),"BES-"&amp;TEXT(ROW()-5,"000")))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>
        <f>IF(B32="","",IF(COUNTA($A$6:A32)=0,"BES-"&amp;TEXT(COUNTA($B$6:B32),"000"),"BES-"&amp;TEXT(ROW()-5,"000")))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>
        <f>IF(B33="","",IF(COUNTA($A$6:A33)=0,"BES-"&amp;TEXT(COUNTA($B$6:B33),"000"),"BES-"&amp;TEXT(ROW()-5,"000")))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>
        <f>IF(B34="","",IF(COUNTA($A$6:A34)=0,"BES-"&amp;TEXT(COUNTA($B$6:B34),"000"),"BES-"&amp;TEXT(ROW()-5,"000")))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>
        <f>IF(B35="","",IF(COUNTA($A$6:A35)=0,"BES-"&amp;TEXT(COUNTA($B$6:B35),"000"),"BES-"&amp;TEXT(ROW()-5,"000")))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>
        <f>IF(B36="","",IF(COUNTA($A$6:A36)=0,"BES-"&amp;TEXT(COUNTA($B$6:B36),"000"),"BES-"&amp;TEXT(ROW()-5,"000")))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>
        <f>IF(B37="","",IF(COUNTA($A$6:A37)=0,"BES-"&amp;TEXT(COUNTA($B$6:B37),"000"),"BES-"&amp;TEXT(ROW()-5,"000")))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>
        <f>IF(B38="","",IF(COUNTA($A$6:A38)=0,"BES-"&amp;TEXT(COUNTA($B$6:B38),"000"),"BES-"&amp;TEXT(ROW()-5,"000")))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>
        <f>IF(B39="","",IF(COUNTA($A$6:A39)=0,"BES-"&amp;TEXT(COUNTA($B$6:B39),"000"),"BES-"&amp;TEXT(ROW()-5,"000")))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>
        <f>IF(B40="","",IF(COUNTA($A$6:A40)=0,"BES-"&amp;TEXT(COUNTA($B$6:B40),"000"),"BES-"&amp;TEXT(ROW()-5,"000")))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>
        <f>IF(B41="","",IF(COUNTA($A$6:A41)=0,"BES-"&amp;TEXT(COUNTA($B$6:B41),"000"),"BES-"&amp;TEXT(ROW()-5,"000")))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>
        <f>IF(B42="","",IF(COUNTA($A$6:A42)=0,"BES-"&amp;TEXT(COUNTA($B$6:B42),"000"),"BES-"&amp;TEXT(ROW()-5,"000")))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>
        <f>IF(B43="","",IF(COUNTA($A$6:A43)=0,"BES-"&amp;TEXT(COUNTA($B$6:B43),"000"),"BES-"&amp;TEXT(ROW()-5,"000")))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>
        <f>IF(B44="","",IF(COUNTA($A$6:A44)=0,"BES-"&amp;TEXT(COUNTA($B$6:B44),"000"),"BES-"&amp;TEXT(ROW()-5,"000")))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>
        <f>IF(B45="","",IF(COUNTA($A$6:A45)=0,"BES-"&amp;TEXT(COUNTA($B$6:B45),"000"),"BES-"&amp;TEXT(ROW()-5,"000")))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>
        <f>IF(B46="","",IF(COUNTA($A$6:A46)=0,"BES-"&amp;TEXT(COUNTA($B$6:B46),"000"),"BES-"&amp;TEXT(ROW()-5,"000")))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>
        <f>IF(B47="","",IF(COUNTA($A$6:A47)=0,"BES-"&amp;TEXT(COUNTA($B$6:B47),"000"),"BES-"&amp;TEXT(ROW()-5,"000")))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>
        <f>IF(B48="","",IF(COUNTA($A$6:A48)=0,"BES-"&amp;TEXT(COUNTA($B$6:B48),"000"),"BES-"&amp;TEXT(ROW()-5,"000")))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>
        <f>IF(B49="","",IF(COUNTA($A$6:A49)=0,"BES-"&amp;TEXT(COUNTA($B$6:B49),"000"),"BES-"&amp;TEXT(ROW()-5,"000")))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>
        <f>IF(B50="","",IF(COUNTA($A$6:A50)=0,"BES-"&amp;TEXT(COUNTA($B$6:B50),"000"),"BES-"&amp;TEXT(ROW()-5,"000")))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>
        <f>IF(B51="","",IF(COUNTA($A$6:A51)=0,"BES-"&amp;TEXT(COUNTA($B$6:B51),"000"),"BES-"&amp;TEXT(ROW()-5,"000")))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>
        <f>IF(B52="","",IF(COUNTA($A$6:A52)=0,"BES-"&amp;TEXT(COUNTA($B$6:B52),"000"),"BES-"&amp;TEXT(ROW()-5,"000")))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>
        <f>IF(B53="","",IF(COUNTA($A$6:A53)=0,"BES-"&amp;TEXT(COUNTA($B$6:B53),"000"),"BES-"&amp;TEXT(ROW()-5,"000")))</f>
        <v/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>
        <f>IF(B54="","",IF(COUNTA($A$6:A54)=0,"BES-"&amp;TEXT(COUNTA($B$6:B54),"000"),"BES-"&amp;TEXT(ROW()-5,"000")))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>
        <f>IF(B55="","",IF(COUNTA($A$6:A55)=0,"BES-"&amp;TEXT(COUNTA($B$6:B55),"000"),"BES-"&amp;TEXT(ROW()-5,"000")))</f>
        <v/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>
        <f>IF(B56="","",IF(COUNTA($A$6:A56)=0,"BES-"&amp;TEXT(COUNTA($B$6:B56),"000"),"BES-"&amp;TEXT(ROW()-5,"000")))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>
        <f>IF(B57="","",IF(COUNTA($A$6:A57)=0,"BES-"&amp;TEXT(COUNTA($B$6:B57),"000"),"BES-"&amp;TEXT(ROW()-5,"000")))</f>
        <v/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>
        <f>IF(B58="","",IF(COUNTA($A$6:A58)=0,"BES-"&amp;TEXT(COUNTA($B$6:B58),"000"),"BES-"&amp;TEXT(ROW()-5,"000")))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>
        <f>IF(B59="","",IF(COUNTA($A$6:A59)=0,"BES-"&amp;TEXT(COUNTA($B$6:B59),"000"),"BES-"&amp;TEXT(ROW()-5,"000")))</f>
        <v/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>
        <f>IF(B60="","",IF(COUNTA($A$6:A60)=0,"BES-"&amp;TEXT(COUNTA($B$6:B60),"000"),"BES-"&amp;TEXT(ROW()-5,"000")))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>
        <f>IF(B61="","",IF(COUNTA($A$6:A61)=0,"BES-"&amp;TEXT(COUNTA($B$6:B61),"000"),"BES-"&amp;TEXT(ROW()-5,"000")))</f>
        <v/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>
        <f>IF(B62="","",IF(COUNTA($A$6:A62)=0,"BES-"&amp;TEXT(COUNTA($B$6:B62),"000"),"BES-"&amp;TEXT(ROW()-5,"000")))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>
        <f>IF(B63="","",IF(COUNTA($A$6:A63)=0,"BES-"&amp;TEXT(COUNTA($B$6:B63),"000"),"BES-"&amp;TEXT(ROW()-5,"000")))</f>
        <v/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>
        <f>IF(B64="","",IF(COUNTA($A$6:A64)=0,"BES-"&amp;TEXT(COUNTA($B$6:B64),"000"),"BES-"&amp;TEXT(ROW()-5,"000")))</f>
        <v/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>
        <f>IF(B65="","",IF(COUNTA($A$6:A65)=0,"BES-"&amp;TEXT(COUNTA($B$6:B65),"000"),"BES-"&amp;TEXT(ROW()-5,"000")))</f>
        <v/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>
        <f>IF(B66="","",IF(COUNTA($A$6:A66)=0,"BES-"&amp;TEXT(COUNTA($B$6:B66),"000"),"BES-"&amp;TEXT(ROW()-5,"000")))</f>
        <v/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>
        <f>IF(B67="","",IF(COUNTA($A$6:A67)=0,"BES-"&amp;TEXT(COUNTA($B$6:B67),"000"),"BES-"&amp;TEXT(ROW()-5,"000")))</f>
        <v/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>
        <f>IF(B68="","",IF(COUNTA($A$6:A68)=0,"BES-"&amp;TEXT(COUNTA($B$6:B68),"000"),"BES-"&amp;TEXT(ROW()-5,"000")))</f>
        <v/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>
        <f>IF(B69="","",IF(COUNTA($A$6:A69)=0,"BES-"&amp;TEXT(COUNTA($B$6:B69),"000"),"BES-"&amp;TEXT(ROW()-5,"000")))</f>
        <v/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>
        <f>IF(B70="","",IF(COUNTA($A$6:A70)=0,"BES-"&amp;TEXT(COUNTA($B$6:B70),"000"),"BES-"&amp;TEXT(ROW()-5,"000")))</f>
        <v/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>
        <f>IF(B71="","",IF(COUNTA($A$6:A71)=0,"BES-"&amp;TEXT(COUNTA($B$6:B71),"000"),"BES-"&amp;TEXT(ROW()-5,"000")))</f>
        <v/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>
        <f>IF(B72="","",IF(COUNTA($A$6:A72)=0,"BES-"&amp;TEXT(COUNTA($B$6:B72),"000"),"BES-"&amp;TEXT(ROW()-5,"000")))</f>
        <v/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>
        <f>IF(B73="","",IF(COUNTA($A$6:A73)=0,"BES-"&amp;TEXT(COUNTA($B$6:B73),"000"),"BES-"&amp;TEXT(ROW()-5,"000")))</f>
        <v/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>
        <f>IF(B74="","",IF(COUNTA($A$6:A74)=0,"BES-"&amp;TEXT(COUNTA($B$6:B74),"000"),"BES-"&amp;TEXT(ROW()-5,"000")))</f>
        <v/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>
        <f>IF(B75="","",IF(COUNTA($A$6:A75)=0,"BES-"&amp;TEXT(COUNTA($B$6:B75),"000"),"BES-"&amp;TEXT(ROW()-5,"000")))</f>
        <v/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>
        <f>IF(B76="","",IF(COUNTA($A$6:A76)=0,"BES-"&amp;TEXT(COUNTA($B$6:B76),"000"),"BES-"&amp;TEXT(ROW()-5,"000")))</f>
        <v/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>
        <f>IF(B77="","",IF(COUNTA($A$6:A77)=0,"BES-"&amp;TEXT(COUNTA($B$6:B77),"000"),"BES-"&amp;TEXT(ROW()-5,"000")))</f>
        <v/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>
        <f>IF(B78="","",IF(COUNTA($A$6:A78)=0,"BES-"&amp;TEXT(COUNTA($B$6:B78),"000"),"BES-"&amp;TEXT(ROW()-5,"000")))</f>
        <v/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>
        <f>IF(B79="","",IF(COUNTA($A$6:A79)=0,"BES-"&amp;TEXT(COUNTA($B$6:B79),"000"),"BES-"&amp;TEXT(ROW()-5,"000")))</f>
        <v/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>
        <f>IF(B80="","",IF(COUNTA($A$6:A80)=0,"BES-"&amp;TEXT(COUNTA($B$6:B80),"000"),"BES-"&amp;TEXT(ROW()-5,"000")))</f>
        <v/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>
        <f>IF(B81="","",IF(COUNTA($A$6:A81)=0,"BES-"&amp;TEXT(COUNTA($B$6:B81),"000"),"BES-"&amp;TEXT(ROW()-5,"000")))</f>
        <v/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>
        <f>IF(B82="","",IF(COUNTA($A$6:A82)=0,"BES-"&amp;TEXT(COUNTA($B$6:B82),"000"),"BES-"&amp;TEXT(ROW()-5,"000")))</f>
        <v/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>
        <f>IF(B83="","",IF(COUNTA($A$6:A83)=0,"BES-"&amp;TEXT(COUNTA($B$6:B83),"000"),"BES-"&amp;TEXT(ROW()-5,"000")))</f>
        <v/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>
        <f>IF(B84="","",IF(COUNTA($A$6:A84)=0,"BES-"&amp;TEXT(COUNTA($B$6:B84),"000"),"BES-"&amp;TEXT(ROW()-5,"000")))</f>
        <v/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>
        <f>IF(B85="","",IF(COUNTA($A$6:A85)=0,"BES-"&amp;TEXT(COUNTA($B$6:B85),"000"),"BES-"&amp;TEXT(ROW()-5,"000")))</f>
        <v/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>
        <f>IF(B86="","",IF(COUNTA($A$6:A86)=0,"BES-"&amp;TEXT(COUNTA($B$6:B86),"000"),"BES-"&amp;TEXT(ROW()-5,"000")))</f>
        <v/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>
        <f>IF(B87="","",IF(COUNTA($A$6:A87)=0,"BES-"&amp;TEXT(COUNTA($B$6:B87),"000"),"BES-"&amp;TEXT(ROW()-5,"000")))</f>
        <v/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>
        <f>IF(B88="","",IF(COUNTA($A$6:A88)=0,"BES-"&amp;TEXT(COUNTA($B$6:B88),"000"),"BES-"&amp;TEXT(ROW()-5,"000")))</f>
        <v/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>
        <f>IF(B89="","",IF(COUNTA($A$6:A89)=0,"BES-"&amp;TEXT(COUNTA($B$6:B89),"000"),"BES-"&amp;TEXT(ROW()-5,"000")))</f>
        <v/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>
        <f>IF(B90="","",IF(COUNTA($A$6:A90)=0,"BES-"&amp;TEXT(COUNTA($B$6:B90),"000"),"BES-"&amp;TEXT(ROW()-5,"000")))</f>
        <v/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>
        <f>IF(B91="","",IF(COUNTA($A$6:A91)=0,"BES-"&amp;TEXT(COUNTA($B$6:B91),"000"),"BES-"&amp;TEXT(ROW()-5,"000")))</f>
        <v/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>
        <f>IF(B92="","",IF(COUNTA($A$6:A92)=0,"BES-"&amp;TEXT(COUNTA($B$6:B92),"000"),"BES-"&amp;TEXT(ROW()-5,"000")))</f>
        <v/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>
        <f>IF(B93="","",IF(COUNTA($A$6:A93)=0,"BES-"&amp;TEXT(COUNTA($B$6:B93),"000"),"BES-"&amp;TEXT(ROW()-5,"000")))</f>
        <v/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>
        <f>IF(B94="","",IF(COUNTA($A$6:A94)=0,"BES-"&amp;TEXT(COUNTA($B$6:B94),"000"),"BES-"&amp;TEXT(ROW()-5,"000")))</f>
        <v/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>
        <f>IF(B95="","",IF(COUNTA($A$6:A95)=0,"BES-"&amp;TEXT(COUNTA($B$6:B95),"000"),"BES-"&amp;TEXT(ROW()-5,"000")))</f>
        <v/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>
        <f>IF(B96="","",IF(COUNTA($A$6:A96)=0,"BES-"&amp;TEXT(COUNTA($B$6:B96),"000"),"BES-"&amp;TEXT(ROW()-5,"000")))</f>
        <v/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>
        <f>IF(B97="","",IF(COUNTA($A$6:A97)=0,"BES-"&amp;TEXT(COUNTA($B$6:B97),"000"),"BES-"&amp;TEXT(ROW()-5,"000")))</f>
        <v/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>
        <f>IF(B98="","",IF(COUNTA($A$6:A98)=0,"BES-"&amp;TEXT(COUNTA($B$6:B98),"000"),"BES-"&amp;TEXT(ROW()-5,"000")))</f>
        <v/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>
        <f>IF(B99="","",IF(COUNTA($A$6:A99)=0,"BES-"&amp;TEXT(COUNTA($B$6:B99),"000"),"BES-"&amp;TEXT(ROW()-5,"000")))</f>
        <v/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>
        <f>IF(B100="","",IF(COUNTA($A$6:A100)=0,"BES-"&amp;TEXT(COUNTA($B$6:B100),"000"),"BES-"&amp;TEXT(ROW()-5,"000")))</f>
        <v/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>
        <f>IF(B101="","",IF(COUNTA($A$6:A101)=0,"BES-"&amp;TEXT(COUNTA($B$6:B101),"000"),"BES-"&amp;TEXT(ROW()-5,"000")))</f>
        <v/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>
        <f>IF(B102="","",IF(COUNTA($A$6:A102)=0,"BES-"&amp;TEXT(COUNTA($B$6:B102),"000"),"BES-"&amp;TEXT(ROW()-5,"000")))</f>
        <v/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>
        <f>IF(B103="","",IF(COUNTA($A$6:A103)=0,"BES-"&amp;TEXT(COUNTA($B$6:B103),"000"),"BES-"&amp;TEXT(ROW()-5,"000")))</f>
        <v/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>
        <f>IF(B104="","",IF(COUNTA($A$6:A104)=0,"BES-"&amp;TEXT(COUNTA($B$6:B104),"000"),"BES-"&amp;TEXT(ROW()-5,"000")))</f>
        <v/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>
        <f>IF(B105="","",IF(COUNTA($A$6:A105)=0,"BES-"&amp;TEXT(COUNTA($B$6:B105),"000"),"BES-"&amp;TEXT(ROW()-5,"000")))</f>
        <v/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>
        <f>IF(B106="","",IF(COUNTA($A$6:A106)=0,"BES-"&amp;TEXT(COUNTA($B$6:B106),"000"),"BES-"&amp;TEXT(ROW()-5,"000")))</f>
        <v/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>
        <f>IF(B107="","",IF(COUNTA($A$6:A107)=0,"BES-"&amp;TEXT(COUNTA($B$6:B107),"000"),"BES-"&amp;TEXT(ROW()-5,"000")))</f>
        <v/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>
        <f>IF(B108="","",IF(COUNTA($A$6:A108)=0,"BES-"&amp;TEXT(COUNTA($B$6:B108),"000"),"BES-"&amp;TEXT(ROW()-5,"000")))</f>
        <v/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>
        <f>IF(B109="","",IF(COUNTA($A$6:A109)=0,"BES-"&amp;TEXT(COUNTA($B$6:B109),"000"),"BES-"&amp;TEXT(ROW()-5,"000")))</f>
        <v/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>
        <f>IF(B110="","",IF(COUNTA($A$6:A110)=0,"BES-"&amp;TEXT(COUNTA($B$6:B110),"000"),"BES-"&amp;TEXT(ROW()-5,"000")))</f>
        <v/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>
        <f>IF(B111="","",IF(COUNTA($A$6:A111)=0,"BES-"&amp;TEXT(COUNTA($B$6:B111),"000"),"BES-"&amp;TEXT(ROW()-5,"000")))</f>
        <v/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>
        <f>IF(B112="","",IF(COUNTA($A$6:A112)=0,"BES-"&amp;TEXT(COUNTA($B$6:B112),"000"),"BES-"&amp;TEXT(ROW()-5,"000")))</f>
        <v/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>
        <f>IF(B113="","",IF(COUNTA($A$6:A113)=0,"BES-"&amp;TEXT(COUNTA($B$6:B113),"000"),"BES-"&amp;TEXT(ROW()-5,"000")))</f>
        <v/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>
        <f>IF(B114="","",IF(COUNTA($A$6:A114)=0,"BES-"&amp;TEXT(COUNTA($B$6:B114),"000"),"BES-"&amp;TEXT(ROW()-5,"000")))</f>
        <v/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>
        <f>IF(B115="","",IF(COUNTA($A$6:A115)=0,"BES-"&amp;TEXT(COUNTA($B$6:B115),"000"),"BES-"&amp;TEXT(ROW()-5,"000")))</f>
        <v/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5">
    <dataValidation sqref="B6:B115" showDropDown="0" showInputMessage="0" showErrorMessage="0" allowBlank="1" errorTitle="Erreur" error="Valeur invalide" promptTitle="" prompt="Choisir dans la liste: " type="list">
      <formula1>'F02 - _Lists'!$C$6:$C$20</formula1>
    </dataValidation>
    <dataValidation sqref="C6:C115" showDropDown="0" showInputMessage="0" showErrorMessage="0" allowBlank="1" errorTitle="Erreur" error="Valeur invalide" promptTitle="" prompt="Choisir dans la liste: " type="list">
      <formula1>'F02 - _Lists'!$D$6:$D$23</formula1>
    </dataValidation>
    <dataValidation sqref="D6:D115" showDropDown="0" showInputMessage="0" showErrorMessage="0" allowBlank="1" errorTitle="Erreur" error="Valeur invalide" promptTitle="" prompt="Choisir dans la liste: " type="list">
      <formula1>'F02 - _Lists'!$E$6:$E$10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_Lists'!$K$6:$K$8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_Lists'!$F$6:$F$11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8" customWidth="1" min="4" max="4"/>
    <col width="22" customWidth="1" min="5" max="5"/>
    <col width="26" customWidth="1" min="6" max="6"/>
    <col width="24" customWidth="1" min="7" max="7"/>
    <col width="18" customWidth="1" min="8" max="8"/>
    <col width="14" customWidth="1" min="9" max="9"/>
    <col width="14" customWidth="1" min="10" max="10"/>
    <col width="22" customWidth="1" min="11" max="11"/>
    <col width="14" customWidth="1" min="12" max="12"/>
    <col width="20" customWidth="1" min="13" max="13"/>
    <col width="14" customWidth="1" min="14" max="14"/>
  </cols>
  <sheetData>
    <row r="1" ht="8" customHeight="1"/>
    <row r="2" ht="30" customHeight="1">
      <c r="A2" s="1" t="inlineStr">
        <is>
          <t>3-CONVENTIONS DE STAGE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Convention</t>
        </is>
      </c>
      <c r="B5" s="4" t="inlineStr">
        <is>
          <t>Nom Stagiaire</t>
        </is>
      </c>
      <c r="C5" s="4" t="inlineStr">
        <is>
          <t>Établissement</t>
        </is>
      </c>
      <c r="D5" s="4" t="inlineStr">
        <is>
          <t>Formation</t>
        </is>
      </c>
      <c r="E5" s="4" t="inlineStr">
        <is>
          <t>Type de Stage</t>
        </is>
      </c>
      <c r="F5" s="4" t="inlineStr">
        <is>
          <t>Département</t>
        </is>
      </c>
      <c r="G5" s="4" t="inlineStr">
        <is>
          <t>Poste</t>
        </is>
      </c>
      <c r="H5" s="4" t="inlineStr">
        <is>
          <t>Tuteur</t>
        </is>
      </c>
      <c r="I5" s="4" t="inlineStr">
        <is>
          <t>Date Début</t>
        </is>
      </c>
      <c r="J5" s="4" t="inlineStr">
        <is>
          <t>Date Fin</t>
        </is>
      </c>
      <c r="K5" s="4" t="inlineStr">
        <is>
          <t>Indemnité Mensuelle (FCFA)</t>
        </is>
      </c>
      <c r="L5" s="4" t="inlineStr">
        <is>
          <t>Statut</t>
        </is>
      </c>
      <c r="M5" s="4" t="inlineStr">
        <is>
          <t>Conformité</t>
        </is>
      </c>
      <c r="N5" s="4" t="inlineStr"/>
    </row>
    <row r="6" ht="22" customHeight="1">
      <c r="A6" s="5" t="inlineStr">
        <is>
          <t>CONV-2025-001</t>
        </is>
      </c>
      <c r="B6" s="5" t="inlineStr">
        <is>
          <t>Koné Aminata</t>
        </is>
      </c>
      <c r="C6" s="5">
        <f>IF(B6="","",VLOOKUP(B6,'F01 - _Données Stagiaires'!$B$6:$K$15,4,FALSE))</f>
        <v/>
      </c>
      <c r="D6" s="5">
        <f>IF(B6="","",VLOOKUP(B6,'F01 - _Données Stagiaires'!$B$6:$K$15,5,FALSE))</f>
        <v/>
      </c>
      <c r="E6" s="5" t="inlineStr">
        <is>
          <t>Convention de stage</t>
        </is>
      </c>
      <c r="F6" s="5" t="inlineStr">
        <is>
          <t>Cuisine &amp; Restauration</t>
        </is>
      </c>
      <c r="G6" s="5" t="inlineStr">
        <is>
          <t>Assistant Cuisinier</t>
        </is>
      </c>
      <c r="H6" s="5" t="inlineStr">
        <is>
          <t>Chef Mbarga</t>
        </is>
      </c>
      <c r="I6" s="6" t="n">
        <v>45663</v>
      </c>
      <c r="J6" s="6" t="n">
        <v>45838</v>
      </c>
      <c r="K6" s="7" t="n">
        <v>75000</v>
      </c>
      <c r="L6" s="5" t="inlineStr">
        <is>
          <t>En cours</t>
        </is>
      </c>
      <c r="M6" s="5" t="inlineStr">
        <is>
          <t>Conforme</t>
        </is>
      </c>
      <c r="N6" s="5" t="inlineStr"/>
    </row>
    <row r="7" ht="22" customHeight="1">
      <c r="A7" s="8" t="inlineStr">
        <is>
          <t>CONV-2025-002</t>
        </is>
      </c>
      <c r="B7" s="8" t="inlineStr">
        <is>
          <t>Traoré Ibrahim</t>
        </is>
      </c>
      <c r="C7" s="8">
        <f>IF(B7="","",VLOOKUP(B7,'F01 - _Données Stagiaires'!$B$6:$K$15,4,FALSE))</f>
        <v/>
      </c>
      <c r="D7" s="8">
        <f>IF(B7="","",VLOOKUP(B7,'F01 - _Données Stagiaires'!$B$6:$K$15,5,FALSE))</f>
        <v/>
      </c>
      <c r="E7" s="8" t="inlineStr">
        <is>
          <t>Stage de fin d'études</t>
        </is>
      </c>
      <c r="F7" s="8" t="inlineStr">
        <is>
          <t>Informatique</t>
        </is>
      </c>
      <c r="G7" s="8" t="inlineStr">
        <is>
          <t>Développeur Stagiaire</t>
        </is>
      </c>
      <c r="H7" s="8" t="inlineStr">
        <is>
          <t>M. Bamba</t>
        </is>
      </c>
      <c r="I7" s="9" t="n">
        <v>45689</v>
      </c>
      <c r="J7" s="9" t="n">
        <v>45869</v>
      </c>
      <c r="K7" s="10" t="n">
        <v>80000</v>
      </c>
      <c r="L7" s="8" t="inlineStr">
        <is>
          <t>En cours</t>
        </is>
      </c>
      <c r="M7" s="8" t="inlineStr">
        <is>
          <t>Conforme</t>
        </is>
      </c>
      <c r="N7" s="8" t="inlineStr"/>
    </row>
    <row r="8" ht="22" customHeight="1">
      <c r="A8" s="5" t="inlineStr">
        <is>
          <t>CONV-2024-012</t>
        </is>
      </c>
      <c r="B8" s="5" t="inlineStr">
        <is>
          <t>Ouattara Moussa</t>
        </is>
      </c>
      <c r="C8" s="5">
        <f>IF(B8="","",VLOOKUP(B8,'F01 - _Données Stagiaires'!$B$6:$K$15,4,FALSE))</f>
        <v/>
      </c>
      <c r="D8" s="5">
        <f>IF(B8="","",VLOOKUP(B8,'F01 - _Données Stagiaires'!$B$6:$K$15,5,FALSE))</f>
        <v/>
      </c>
      <c r="E8" s="5" t="inlineStr">
        <is>
          <t>Convention de stage</t>
        </is>
      </c>
      <c r="F8" s="5" t="inlineStr">
        <is>
          <t>Finance &amp; Comptabilité</t>
        </is>
      </c>
      <c r="G8" s="5" t="inlineStr">
        <is>
          <t>Assistant Comptable</t>
        </is>
      </c>
      <c r="H8" s="5" t="inlineStr">
        <is>
          <t>Mme Fotso</t>
        </is>
      </c>
      <c r="I8" s="6" t="n">
        <v>45536</v>
      </c>
      <c r="J8" s="6" t="n">
        <v>45716</v>
      </c>
      <c r="K8" s="7" t="n">
        <v>65000</v>
      </c>
      <c r="L8" s="5" t="inlineStr">
        <is>
          <t>Terminé</t>
        </is>
      </c>
      <c r="M8" s="5" t="inlineStr">
        <is>
          <t>Conforme</t>
        </is>
      </c>
      <c r="N8" s="5" t="inlineStr"/>
    </row>
    <row r="9" ht="22" customHeight="1">
      <c r="A9" s="8" t="inlineStr">
        <is>
          <t>CONV-2024-015</t>
        </is>
      </c>
      <c r="B9" s="8" t="inlineStr">
        <is>
          <t>Djibril Oumar</t>
        </is>
      </c>
      <c r="C9" s="8">
        <f>IF(B9="","",VLOOKUP(B9,'F01 - _Données Stagiaires'!$B$6:$K$15,4,FALSE))</f>
        <v/>
      </c>
      <c r="D9" s="8">
        <f>IF(B9="","",VLOOKUP(B9,'F01 - _Données Stagiaires'!$B$6:$K$15,5,FALSE))</f>
        <v/>
      </c>
      <c r="E9" s="8" t="inlineStr">
        <is>
          <t>Stage de fin d'études</t>
        </is>
      </c>
      <c r="F9" s="8" t="inlineStr">
        <is>
          <t>Informatique</t>
        </is>
      </c>
      <c r="G9" s="8" t="inlineStr">
        <is>
          <t>Stagiaire Informatique</t>
        </is>
      </c>
      <c r="H9" s="8" t="inlineStr">
        <is>
          <t>M. Bamba</t>
        </is>
      </c>
      <c r="I9" s="9" t="n">
        <v>45444</v>
      </c>
      <c r="J9" s="9" t="n">
        <v>45657</v>
      </c>
      <c r="K9" s="10" t="n">
        <v>80000</v>
      </c>
      <c r="L9" s="8" t="inlineStr">
        <is>
          <t>Terminé</t>
        </is>
      </c>
      <c r="M9" s="8" t="inlineStr">
        <is>
          <t>Conforme</t>
        </is>
      </c>
      <c r="N9" s="8" t="inlineStr"/>
    </row>
    <row r="10" ht="22" customHeight="1">
      <c r="A10" s="5" t="inlineStr">
        <is>
          <t>CONV-2025-003</t>
        </is>
      </c>
      <c r="B10" s="5" t="inlineStr">
        <is>
          <t>Bamba Mariam</t>
        </is>
      </c>
      <c r="C10" s="5">
        <f>IF(B10="","",VLOOKUP(B10,'F01 - _Données Stagiaires'!$B$6:$K$15,4,FALSE))</f>
        <v/>
      </c>
      <c r="D10" s="5">
        <f>IF(B10="","",VLOOKUP(B10,'F01 - _Données Stagiaires'!$B$6:$K$15,5,FALSE))</f>
        <v/>
      </c>
      <c r="E10" s="5" t="inlineStr">
        <is>
          <t>Convention de stage</t>
        </is>
      </c>
      <c r="F10" s="5" t="inlineStr">
        <is>
          <t>Cuisine &amp; Restauration</t>
        </is>
      </c>
      <c r="G10" s="5" t="inlineStr">
        <is>
          <t>Assistant Pâtissier</t>
        </is>
      </c>
      <c r="H10" s="5" t="inlineStr">
        <is>
          <t>Chef Mbarga</t>
        </is>
      </c>
      <c r="I10" s="6" t="n">
        <v>45717</v>
      </c>
      <c r="J10" s="6" t="n">
        <v>45900</v>
      </c>
      <c r="K10" s="7" t="n">
        <v>75000</v>
      </c>
      <c r="L10" s="5" t="inlineStr">
        <is>
          <t>Planifié</t>
        </is>
      </c>
      <c r="M10" s="5" t="inlineStr">
        <is>
          <t>En attente</t>
        </is>
      </c>
      <c r="N10" s="5" t="inlineStr"/>
    </row>
    <row r="11" ht="22" customHeight="1">
      <c r="A11" s="8" t="n"/>
      <c r="B11" s="8" t="n"/>
      <c r="C11" s="8">
        <f>IF(B11="","",VLOOKUP(B11,'F01 - _Données Stagiaires'!$B$6:$K$15,4,FALSE))</f>
        <v/>
      </c>
      <c r="D11" s="8">
        <f>IF(B11="","",VLOOKUP(B11,'F01 - _Données Stagiaires'!$B$6:$K$15,5,FALSE))</f>
        <v/>
      </c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>
        <f>IF(B12="","",VLOOKUP(B12,'F01 - _Données Stagiaires'!$B$6:$K$15,4,FALSE))</f>
        <v/>
      </c>
      <c r="D12" s="5">
        <f>IF(B12="","",VLOOKUP(B12,'F01 - _Données Stagiaires'!$B$6:$K$15,5,FALSE))</f>
        <v/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>
        <f>IF(B13="","",VLOOKUP(B13,'F01 - _Données Stagiaires'!$B$6:$K$15,4,FALSE))</f>
        <v/>
      </c>
      <c r="D13" s="8">
        <f>IF(B13="","",VLOOKUP(B13,'F01 - _Données Stagiaires'!$B$6:$K$15,5,FALSE))</f>
        <v/>
      </c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>
        <f>IF(B14="","",VLOOKUP(B14,'F01 - _Données Stagiaires'!$B$6:$K$15,4,FALSE))</f>
        <v/>
      </c>
      <c r="D14" s="5">
        <f>IF(B14="","",VLOOKUP(B14,'F01 - _Données Stagiaires'!$B$6:$K$15,5,FALSE))</f>
        <v/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>
        <f>IF(B15="","",VLOOKUP(B15,'F01 - _Données Stagiaires'!$B$6:$K$15,4,FALSE))</f>
        <v/>
      </c>
      <c r="D15" s="8">
        <f>IF(B15="","",VLOOKUP(B15,'F01 - _Données Stagiaires'!$B$6:$K$15,5,FALSE))</f>
        <v/>
      </c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>
        <f>IF(B16="","",VLOOKUP(B16,'F01 - _Données Stagiaires'!$B$6:$K$15,4,FALSE))</f>
        <v/>
      </c>
      <c r="D16" s="5">
        <f>IF(B16="","",VLOOKUP(B16,'F01 - _Données Stagiaires'!$B$6:$K$15,5,FALSE))</f>
        <v/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>
        <f>IF(B17="","",VLOOKUP(B17,'F01 - _Données Stagiaires'!$B$6:$K$15,4,FALSE))</f>
        <v/>
      </c>
      <c r="D17" s="8">
        <f>IF(B17="","",VLOOKUP(B17,'F01 - _Données Stagiaires'!$B$6:$K$15,5,FALSE))</f>
        <v/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>
        <f>IF(B18="","",VLOOKUP(B18,'F01 - _Données Stagiaires'!$B$6:$K$15,4,FALSE))</f>
        <v/>
      </c>
      <c r="D18" s="5">
        <f>IF(B18="","",VLOOKUP(B18,'F01 - _Données Stagiaires'!$B$6:$K$15,5,FALSE))</f>
        <v/>
      </c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>
        <f>IF(B19="","",VLOOKUP(B19,'F01 - _Données Stagiaires'!$B$6:$K$15,4,FALSE))</f>
        <v/>
      </c>
      <c r="D19" s="8">
        <f>IF(B19="","",VLOOKUP(B19,'F01 - _Données Stagiaires'!$B$6:$K$15,5,FALSE))</f>
        <v/>
      </c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>
        <f>IF(B20="","",VLOOKUP(B20,'F01 - _Données Stagiaires'!$B$6:$K$15,4,FALSE))</f>
        <v/>
      </c>
      <c r="D20" s="5">
        <f>IF(B20="","",VLOOKUP(B20,'F01 - _Données Stagiaires'!$B$6:$K$15,5,FALSE))</f>
        <v/>
      </c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>
        <f>IF(B21="","",VLOOKUP(B21,'F01 - _Données Stagiaires'!$B$6:$K$15,4,FALSE))</f>
        <v/>
      </c>
      <c r="D21" s="8">
        <f>IF(B21="","",VLOOKUP(B21,'F01 - _Données Stagiaires'!$B$6:$K$15,5,FALSE))</f>
        <v/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>
        <f>IF(B22="","",VLOOKUP(B22,'F01 - _Données Stagiaires'!$B$6:$K$15,4,FALSE))</f>
        <v/>
      </c>
      <c r="D22" s="5">
        <f>IF(B22="","",VLOOKUP(B22,'F01 - _Données Stagiaires'!$B$6:$K$15,5,FALSE))</f>
        <v/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>
        <f>IF(B23="","",VLOOKUP(B23,'F01 - _Données Stagiaires'!$B$6:$K$15,4,FALSE))</f>
        <v/>
      </c>
      <c r="D23" s="8">
        <f>IF(B23="","",VLOOKUP(B23,'F01 - _Données Stagiaires'!$B$6:$K$15,5,FALSE))</f>
        <v/>
      </c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>
        <f>IF(B24="","",VLOOKUP(B24,'F01 - _Données Stagiaires'!$B$6:$K$15,4,FALSE))</f>
        <v/>
      </c>
      <c r="D24" s="5">
        <f>IF(B24="","",VLOOKUP(B24,'F01 - _Données Stagiaires'!$B$6:$K$15,5,FALSE))</f>
        <v/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>
        <f>IF(B25="","",VLOOKUP(B25,'F01 - _Données Stagiaires'!$B$6:$K$15,4,FALSE))</f>
        <v/>
      </c>
      <c r="D25" s="8">
        <f>IF(B25="","",VLOOKUP(B25,'F01 - _Données Stagiaires'!$B$6:$K$15,5,FALSE))</f>
        <v/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>
        <f>IF(B26="","",VLOOKUP(B26,'F01 - _Données Stagiaires'!$B$6:$K$15,4,FALSE))</f>
        <v/>
      </c>
      <c r="D26" s="5">
        <f>IF(B26="","",VLOOKUP(B26,'F01 - _Données Stagiaires'!$B$6:$K$15,5,FALSE))</f>
        <v/>
      </c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>
        <f>IF(B27="","",VLOOKUP(B27,'F01 - _Données Stagiaires'!$B$6:$K$15,4,FALSE))</f>
        <v/>
      </c>
      <c r="D27" s="8">
        <f>IF(B27="","",VLOOKUP(B27,'F01 - _Données Stagiaires'!$B$6:$K$15,5,FALSE))</f>
        <v/>
      </c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>
        <f>IF(B28="","",VLOOKUP(B28,'F01 - _Données Stagiaires'!$B$6:$K$15,4,FALSE))</f>
        <v/>
      </c>
      <c r="D28" s="5">
        <f>IF(B28="","",VLOOKUP(B28,'F01 - _Données Stagiaires'!$B$6:$K$15,5,FALSE))</f>
        <v/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>
        <f>IF(B29="","",VLOOKUP(B29,'F01 - _Données Stagiaires'!$B$6:$K$15,4,FALSE))</f>
        <v/>
      </c>
      <c r="D29" s="8">
        <f>IF(B29="","",VLOOKUP(B29,'F01 - _Données Stagiaires'!$B$6:$K$15,5,FALSE))</f>
        <v/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>
        <f>IF(B30="","",VLOOKUP(B30,'F01 - _Données Stagiaires'!$B$6:$K$15,4,FALSE))</f>
        <v/>
      </c>
      <c r="D30" s="5">
        <f>IF(B30="","",VLOOKUP(B30,'F01 - _Données Stagiaires'!$B$6:$K$15,5,FALSE))</f>
        <v/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>
        <f>IF(B31="","",VLOOKUP(B31,'F01 - _Données Stagiaires'!$B$6:$K$15,4,FALSE))</f>
        <v/>
      </c>
      <c r="D31" s="8">
        <f>IF(B31="","",VLOOKUP(B31,'F01 - _Données Stagiaires'!$B$6:$K$15,5,FALSE))</f>
        <v/>
      </c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>
        <f>IF(B32="","",VLOOKUP(B32,'F01 - _Données Stagiaires'!$B$6:$K$15,4,FALSE))</f>
        <v/>
      </c>
      <c r="D32" s="5">
        <f>IF(B32="","",VLOOKUP(B32,'F01 - _Données Stagiaires'!$B$6:$K$15,5,FALSE))</f>
        <v/>
      </c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>
        <f>IF(B33="","",VLOOKUP(B33,'F01 - _Données Stagiaires'!$B$6:$K$15,4,FALSE))</f>
        <v/>
      </c>
      <c r="D33" s="8">
        <f>IF(B33="","",VLOOKUP(B33,'F01 - _Données Stagiaires'!$B$6:$K$15,5,FALSE))</f>
        <v/>
      </c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>
        <f>IF(B34="","",VLOOKUP(B34,'F01 - _Données Stagiaires'!$B$6:$K$15,4,FALSE))</f>
        <v/>
      </c>
      <c r="D34" s="5">
        <f>IF(B34="","",VLOOKUP(B34,'F01 - _Données Stagiaires'!$B$6:$K$15,5,FALSE))</f>
        <v/>
      </c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>
        <f>IF(B35="","",VLOOKUP(B35,'F01 - _Données Stagiaires'!$B$6:$K$15,4,FALSE))</f>
        <v/>
      </c>
      <c r="D35" s="8">
        <f>IF(B35="","",VLOOKUP(B35,'F01 - _Données Stagiaires'!$B$6:$K$15,5,FALSE))</f>
        <v/>
      </c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>
        <f>IF(B36="","",VLOOKUP(B36,'F01 - _Données Stagiaires'!$B$6:$K$15,4,FALSE))</f>
        <v/>
      </c>
      <c r="D36" s="5">
        <f>IF(B36="","",VLOOKUP(B36,'F01 - _Données Stagiaires'!$B$6:$K$15,5,FALSE))</f>
        <v/>
      </c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>
        <f>IF(B37="","",VLOOKUP(B37,'F01 - _Données Stagiaires'!$B$6:$K$15,4,FALSE))</f>
        <v/>
      </c>
      <c r="D37" s="8">
        <f>IF(B37="","",VLOOKUP(B37,'F01 - _Données Stagiaires'!$B$6:$K$15,5,FALSE))</f>
        <v/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>
        <f>IF(B38="","",VLOOKUP(B38,'F01 - _Données Stagiaires'!$B$6:$K$15,4,FALSE))</f>
        <v/>
      </c>
      <c r="D38" s="5">
        <f>IF(B38="","",VLOOKUP(B38,'F01 - _Données Stagiaires'!$B$6:$K$15,5,FALSE))</f>
        <v/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>
        <f>IF(B39="","",VLOOKUP(B39,'F01 - _Données Stagiaires'!$B$6:$K$15,4,FALSE))</f>
        <v/>
      </c>
      <c r="D39" s="8">
        <f>IF(B39="","",VLOOKUP(B39,'F01 - _Données Stagiaires'!$B$6:$K$15,5,FALSE))</f>
        <v/>
      </c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>
        <f>IF(B40="","",VLOOKUP(B40,'F01 - _Données Stagiaires'!$B$6:$K$15,4,FALSE))</f>
        <v/>
      </c>
      <c r="D40" s="5">
        <f>IF(B40="","",VLOOKUP(B40,'F01 - _Données Stagiaires'!$B$6:$K$15,5,FALSE))</f>
        <v/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>
        <f>IF(B41="","",VLOOKUP(B41,'F01 - _Données Stagiaires'!$B$6:$K$15,4,FALSE))</f>
        <v/>
      </c>
      <c r="D41" s="8">
        <f>IF(B41="","",VLOOKUP(B41,'F01 - _Données Stagiaires'!$B$6:$K$15,5,FALSE))</f>
        <v/>
      </c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>
        <f>IF(B42="","",VLOOKUP(B42,'F01 - _Données Stagiaires'!$B$6:$K$15,4,FALSE))</f>
        <v/>
      </c>
      <c r="D42" s="5">
        <f>IF(B42="","",VLOOKUP(B42,'F01 - _Données Stagiaires'!$B$6:$K$15,5,FALSE))</f>
        <v/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>
        <f>IF(B43="","",VLOOKUP(B43,'F01 - _Données Stagiaires'!$B$6:$K$15,4,FALSE))</f>
        <v/>
      </c>
      <c r="D43" s="8">
        <f>IF(B43="","",VLOOKUP(B43,'F01 - _Données Stagiaires'!$B$6:$K$15,5,FALSE))</f>
        <v/>
      </c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>
        <f>IF(B44="","",VLOOKUP(B44,'F01 - _Données Stagiaires'!$B$6:$K$15,4,FALSE))</f>
        <v/>
      </c>
      <c r="D44" s="5">
        <f>IF(B44="","",VLOOKUP(B44,'F01 - _Données Stagiaires'!$B$6:$K$15,5,FALSE))</f>
        <v/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>
        <f>IF(B45="","",VLOOKUP(B45,'F01 - _Données Stagiaires'!$B$6:$K$15,4,FALSE))</f>
        <v/>
      </c>
      <c r="D45" s="8">
        <f>IF(B45="","",VLOOKUP(B45,'F01 - _Données Stagiaires'!$B$6:$K$15,5,FALSE))</f>
        <v/>
      </c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>
        <f>IF(B46="","",VLOOKUP(B46,'F01 - _Données Stagiaires'!$B$6:$K$15,4,FALSE))</f>
        <v/>
      </c>
      <c r="D46" s="5">
        <f>IF(B46="","",VLOOKUP(B46,'F01 - _Données Stagiaires'!$B$6:$K$15,5,FALSE))</f>
        <v/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>
        <f>IF(B47="","",VLOOKUP(B47,'F01 - _Données Stagiaires'!$B$6:$K$15,4,FALSE))</f>
        <v/>
      </c>
      <c r="D47" s="8">
        <f>IF(B47="","",VLOOKUP(B47,'F01 - _Données Stagiaires'!$B$6:$K$15,5,FALSE))</f>
        <v/>
      </c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>
        <f>IF(B48="","",VLOOKUP(B48,'F01 - _Données Stagiaires'!$B$6:$K$15,4,FALSE))</f>
        <v/>
      </c>
      <c r="D48" s="5">
        <f>IF(B48="","",VLOOKUP(B48,'F01 - _Données Stagiaires'!$B$6:$K$15,5,FALSE))</f>
        <v/>
      </c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>
        <f>IF(B49="","",VLOOKUP(B49,'F01 - _Données Stagiaires'!$B$6:$K$15,4,FALSE))</f>
        <v/>
      </c>
      <c r="D49" s="8">
        <f>IF(B49="","",VLOOKUP(B49,'F01 - _Données Stagiaires'!$B$6:$K$15,5,FALSE))</f>
        <v/>
      </c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>
        <f>IF(B50="","",VLOOKUP(B50,'F01 - _Données Stagiaires'!$B$6:$K$15,4,FALSE))</f>
        <v/>
      </c>
      <c r="D50" s="5">
        <f>IF(B50="","",VLOOKUP(B50,'F01 - _Données Stagiaires'!$B$6:$K$15,5,FALSE))</f>
        <v/>
      </c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>
        <f>IF(B51="","",VLOOKUP(B51,'F01 - _Données Stagiaires'!$B$6:$K$15,4,FALSE))</f>
        <v/>
      </c>
      <c r="D51" s="8">
        <f>IF(B51="","",VLOOKUP(B51,'F01 - _Données Stagiaires'!$B$6:$K$15,5,FALSE))</f>
        <v/>
      </c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>
        <f>IF(B52="","",VLOOKUP(B52,'F01 - _Données Stagiaires'!$B$6:$K$15,4,FALSE))</f>
        <v/>
      </c>
      <c r="D52" s="5">
        <f>IF(B52="","",VLOOKUP(B52,'F01 - _Données Stagiaires'!$B$6:$K$15,5,FALSE))</f>
        <v/>
      </c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>
        <f>IF(B53="","",VLOOKUP(B53,'F01 - _Données Stagiaires'!$B$6:$K$15,4,FALSE))</f>
        <v/>
      </c>
      <c r="D53" s="8">
        <f>IF(B53="","",VLOOKUP(B53,'F01 - _Données Stagiaires'!$B$6:$K$15,5,FALSE))</f>
        <v/>
      </c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>
        <f>IF(B54="","",VLOOKUP(B54,'F01 - _Données Stagiaires'!$B$6:$K$15,4,FALSE))</f>
        <v/>
      </c>
      <c r="D54" s="5">
        <f>IF(B54="","",VLOOKUP(B54,'F01 - _Données Stagiaires'!$B$6:$K$15,5,FALSE))</f>
        <v/>
      </c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>
        <f>IF(B55="","",VLOOKUP(B55,'F01 - _Données Stagiaires'!$B$6:$K$15,4,FALSE))</f>
        <v/>
      </c>
      <c r="D55" s="8">
        <f>IF(B55="","",VLOOKUP(B55,'F01 - _Données Stagiaires'!$B$6:$K$15,5,FALSE))</f>
        <v/>
      </c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>
        <f>IF(B56="","",VLOOKUP(B56,'F01 - _Données Stagiaires'!$B$6:$K$15,4,FALSE))</f>
        <v/>
      </c>
      <c r="D56" s="5">
        <f>IF(B56="","",VLOOKUP(B56,'F01 - _Données Stagiaires'!$B$6:$K$15,5,FALSE))</f>
        <v/>
      </c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>
        <f>IF(B57="","",VLOOKUP(B57,'F01 - _Données Stagiaires'!$B$6:$K$15,4,FALSE))</f>
        <v/>
      </c>
      <c r="D57" s="8">
        <f>IF(B57="","",VLOOKUP(B57,'F01 - _Données Stagiaires'!$B$6:$K$15,5,FALSE))</f>
        <v/>
      </c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>
        <f>IF(B58="","",VLOOKUP(B58,'F01 - _Données Stagiaires'!$B$6:$K$15,4,FALSE))</f>
        <v/>
      </c>
      <c r="D58" s="5">
        <f>IF(B58="","",VLOOKUP(B58,'F01 - _Données Stagiaires'!$B$6:$K$15,5,FALSE))</f>
        <v/>
      </c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>
        <f>IF(B59="","",VLOOKUP(B59,'F01 - _Données Stagiaires'!$B$6:$K$15,4,FALSE))</f>
        <v/>
      </c>
      <c r="D59" s="8">
        <f>IF(B59="","",VLOOKUP(B59,'F01 - _Données Stagiaires'!$B$6:$K$15,5,FALSE))</f>
        <v/>
      </c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>
        <f>IF(B60="","",VLOOKUP(B60,'F01 - _Données Stagiaires'!$B$6:$K$15,4,FALSE))</f>
        <v/>
      </c>
      <c r="D60" s="5">
        <f>IF(B60="","",VLOOKUP(B60,'F01 - _Données Stagiaires'!$B$6:$K$15,5,FALSE))</f>
        <v/>
      </c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>
        <f>IF(B61="","",VLOOKUP(B61,'F01 - _Données Stagiaires'!$B$6:$K$15,4,FALSE))</f>
        <v/>
      </c>
      <c r="D61" s="8">
        <f>IF(B61="","",VLOOKUP(B61,'F01 - _Données Stagiaires'!$B$6:$K$15,5,FALSE))</f>
        <v/>
      </c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>
        <f>IF(B62="","",VLOOKUP(B62,'F01 - _Données Stagiaires'!$B$6:$K$15,4,FALSE))</f>
        <v/>
      </c>
      <c r="D62" s="5">
        <f>IF(B62="","",VLOOKUP(B62,'F01 - _Données Stagiaires'!$B$6:$K$15,5,FALSE))</f>
        <v/>
      </c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>
        <f>IF(B63="","",VLOOKUP(B63,'F01 - _Données Stagiaires'!$B$6:$K$15,4,FALSE))</f>
        <v/>
      </c>
      <c r="D63" s="8">
        <f>IF(B63="","",VLOOKUP(B63,'F01 - _Données Stagiaires'!$B$6:$K$15,5,FALSE))</f>
        <v/>
      </c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>
        <f>IF(B64="","",VLOOKUP(B64,'F01 - _Données Stagiaires'!$B$6:$K$15,4,FALSE))</f>
        <v/>
      </c>
      <c r="D64" s="5">
        <f>IF(B64="","",VLOOKUP(B64,'F01 - _Données Stagiaires'!$B$6:$K$15,5,FALSE))</f>
        <v/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>
        <f>IF(B65="","",VLOOKUP(B65,'F01 - _Données Stagiaires'!$B$6:$K$15,4,FALSE))</f>
        <v/>
      </c>
      <c r="D65" s="8">
        <f>IF(B65="","",VLOOKUP(B65,'F01 - _Données Stagiaires'!$B$6:$K$15,5,FALSE))</f>
        <v/>
      </c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>
        <f>IF(B66="","",VLOOKUP(B66,'F01 - _Données Stagiaires'!$B$6:$K$15,4,FALSE))</f>
        <v/>
      </c>
      <c r="D66" s="5">
        <f>IF(B66="","",VLOOKUP(B66,'F01 - _Données Stagiaires'!$B$6:$K$15,5,FALSE))</f>
        <v/>
      </c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>
        <f>IF(B67="","",VLOOKUP(B67,'F01 - _Données Stagiaires'!$B$6:$K$15,4,FALSE))</f>
        <v/>
      </c>
      <c r="D67" s="8">
        <f>IF(B67="","",VLOOKUP(B67,'F01 - _Données Stagiaires'!$B$6:$K$15,5,FALSE))</f>
        <v/>
      </c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>
        <f>IF(B68="","",VLOOKUP(B68,'F01 - _Données Stagiaires'!$B$6:$K$15,4,FALSE))</f>
        <v/>
      </c>
      <c r="D68" s="5">
        <f>IF(B68="","",VLOOKUP(B68,'F01 - _Données Stagiaires'!$B$6:$K$15,5,FALSE))</f>
        <v/>
      </c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>
        <f>IF(B69="","",VLOOKUP(B69,'F01 - _Données Stagiaires'!$B$6:$K$15,4,FALSE))</f>
        <v/>
      </c>
      <c r="D69" s="8">
        <f>IF(B69="","",VLOOKUP(B69,'F01 - _Données Stagiaires'!$B$6:$K$15,5,FALSE))</f>
        <v/>
      </c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>
        <f>IF(B70="","",VLOOKUP(B70,'F01 - _Données Stagiaires'!$B$6:$K$15,4,FALSE))</f>
        <v/>
      </c>
      <c r="D70" s="5">
        <f>IF(B70="","",VLOOKUP(B70,'F01 - _Données Stagiaires'!$B$6:$K$15,5,FALSE))</f>
        <v/>
      </c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>
        <f>IF(B71="","",VLOOKUP(B71,'F01 - _Données Stagiaires'!$B$6:$K$15,4,FALSE))</f>
        <v/>
      </c>
      <c r="D71" s="8">
        <f>IF(B71="","",VLOOKUP(B71,'F01 - _Données Stagiaires'!$B$6:$K$15,5,FALSE))</f>
        <v/>
      </c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>
        <f>IF(B72="","",VLOOKUP(B72,'F01 - _Données Stagiaires'!$B$6:$K$15,4,FALSE))</f>
        <v/>
      </c>
      <c r="D72" s="5">
        <f>IF(B72="","",VLOOKUP(B72,'F01 - _Données Stagiaires'!$B$6:$K$15,5,FALSE))</f>
        <v/>
      </c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>
        <f>IF(B73="","",VLOOKUP(B73,'F01 - _Données Stagiaires'!$B$6:$K$15,4,FALSE))</f>
        <v/>
      </c>
      <c r="D73" s="8">
        <f>IF(B73="","",VLOOKUP(B73,'F01 - _Données Stagiaires'!$B$6:$K$15,5,FALSE))</f>
        <v/>
      </c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>
        <f>IF(B74="","",VLOOKUP(B74,'F01 - _Données Stagiaires'!$B$6:$K$15,4,FALSE))</f>
        <v/>
      </c>
      <c r="D74" s="5">
        <f>IF(B74="","",VLOOKUP(B74,'F01 - _Données Stagiaires'!$B$6:$K$15,5,FALSE))</f>
        <v/>
      </c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>
        <f>IF(B75="","",VLOOKUP(B75,'F01 - _Données Stagiaires'!$B$6:$K$15,4,FALSE))</f>
        <v/>
      </c>
      <c r="D75" s="8">
        <f>IF(B75="","",VLOOKUP(B75,'F01 - _Données Stagiaires'!$B$6:$K$15,5,FALSE))</f>
        <v/>
      </c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>
        <f>IF(B76="","",VLOOKUP(B76,'F01 - _Données Stagiaires'!$B$6:$K$15,4,FALSE))</f>
        <v/>
      </c>
      <c r="D76" s="5">
        <f>IF(B76="","",VLOOKUP(B76,'F01 - _Données Stagiaires'!$B$6:$K$15,5,FALSE))</f>
        <v/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>
        <f>IF(B77="","",VLOOKUP(B77,'F01 - _Données Stagiaires'!$B$6:$K$15,4,FALSE))</f>
        <v/>
      </c>
      <c r="D77" s="8">
        <f>IF(B77="","",VLOOKUP(B77,'F01 - _Données Stagiaires'!$B$6:$K$15,5,FALSE))</f>
        <v/>
      </c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>
        <f>IF(B78="","",VLOOKUP(B78,'F01 - _Données Stagiaires'!$B$6:$K$15,4,FALSE))</f>
        <v/>
      </c>
      <c r="D78" s="5">
        <f>IF(B78="","",VLOOKUP(B78,'F01 - _Données Stagiaires'!$B$6:$K$15,5,FALSE))</f>
        <v/>
      </c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>
        <f>IF(B79="","",VLOOKUP(B79,'F01 - _Données Stagiaires'!$B$6:$K$15,4,FALSE))</f>
        <v/>
      </c>
      <c r="D79" s="8">
        <f>IF(B79="","",VLOOKUP(B79,'F01 - _Données Stagiaires'!$B$6:$K$15,5,FALSE))</f>
        <v/>
      </c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>
        <f>IF(B80="","",VLOOKUP(B80,'F01 - _Données Stagiaires'!$B$6:$K$15,4,FALSE))</f>
        <v/>
      </c>
      <c r="D80" s="5">
        <f>IF(B80="","",VLOOKUP(B80,'F01 - _Données Stagiaires'!$B$6:$K$15,5,FALSE))</f>
        <v/>
      </c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>
        <f>IF(B81="","",VLOOKUP(B81,'F01 - _Données Stagiaires'!$B$6:$K$15,4,FALSE))</f>
        <v/>
      </c>
      <c r="D81" s="8">
        <f>IF(B81="","",VLOOKUP(B81,'F01 - _Données Stagiaires'!$B$6:$K$15,5,FALSE))</f>
        <v/>
      </c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>
        <f>IF(B82="","",VLOOKUP(B82,'F01 - _Données Stagiaires'!$B$6:$K$15,4,FALSE))</f>
        <v/>
      </c>
      <c r="D82" s="5">
        <f>IF(B82="","",VLOOKUP(B82,'F01 - _Données Stagiaires'!$B$6:$K$15,5,FALSE))</f>
        <v/>
      </c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>
        <f>IF(B83="","",VLOOKUP(B83,'F01 - _Données Stagiaires'!$B$6:$K$15,4,FALSE))</f>
        <v/>
      </c>
      <c r="D83" s="8">
        <f>IF(B83="","",VLOOKUP(B83,'F01 - _Données Stagiaires'!$B$6:$K$15,5,FALSE))</f>
        <v/>
      </c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>
        <f>IF(B84="","",VLOOKUP(B84,'F01 - _Données Stagiaires'!$B$6:$K$15,4,FALSE))</f>
        <v/>
      </c>
      <c r="D84" s="5">
        <f>IF(B84="","",VLOOKUP(B84,'F01 - _Données Stagiaires'!$B$6:$K$15,5,FALSE))</f>
        <v/>
      </c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>
        <f>IF(B85="","",VLOOKUP(B85,'F01 - _Données Stagiaires'!$B$6:$K$15,4,FALSE))</f>
        <v/>
      </c>
      <c r="D85" s="8">
        <f>IF(B85="","",VLOOKUP(B85,'F01 - _Données Stagiaires'!$B$6:$K$15,5,FALSE))</f>
        <v/>
      </c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>
        <f>IF(B86="","",VLOOKUP(B86,'F01 - _Données Stagiaires'!$B$6:$K$15,4,FALSE))</f>
        <v/>
      </c>
      <c r="D86" s="5">
        <f>IF(B86="","",VLOOKUP(B86,'F01 - _Données Stagiaires'!$B$6:$K$15,5,FALSE))</f>
        <v/>
      </c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>
        <f>IF(B87="","",VLOOKUP(B87,'F01 - _Données Stagiaires'!$B$6:$K$15,4,FALSE))</f>
        <v/>
      </c>
      <c r="D87" s="8">
        <f>IF(B87="","",VLOOKUP(B87,'F01 - _Données Stagiaires'!$B$6:$K$15,5,FALSE))</f>
        <v/>
      </c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>
        <f>IF(B88="","",VLOOKUP(B88,'F01 - _Données Stagiaires'!$B$6:$K$15,4,FALSE))</f>
        <v/>
      </c>
      <c r="D88" s="5">
        <f>IF(B88="","",VLOOKUP(B88,'F01 - _Données Stagiaires'!$B$6:$K$15,5,FALSE))</f>
        <v/>
      </c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>
        <f>IF(B89="","",VLOOKUP(B89,'F01 - _Données Stagiaires'!$B$6:$K$15,4,FALSE))</f>
        <v/>
      </c>
      <c r="D89" s="8">
        <f>IF(B89="","",VLOOKUP(B89,'F01 - _Données Stagiaires'!$B$6:$K$15,5,FALSE))</f>
        <v/>
      </c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>
        <f>IF(B90="","",VLOOKUP(B90,'F01 - _Données Stagiaires'!$B$6:$K$15,4,FALSE))</f>
        <v/>
      </c>
      <c r="D90" s="5">
        <f>IF(B90="","",VLOOKUP(B90,'F01 - _Données Stagiaires'!$B$6:$K$15,5,FALSE))</f>
        <v/>
      </c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>
        <f>IF(B91="","",VLOOKUP(B91,'F01 - _Données Stagiaires'!$B$6:$K$15,4,FALSE))</f>
        <v/>
      </c>
      <c r="D91" s="8">
        <f>IF(B91="","",VLOOKUP(B91,'F01 - _Données Stagiaires'!$B$6:$K$15,5,FALSE))</f>
        <v/>
      </c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>
        <f>IF(B92="","",VLOOKUP(B92,'F01 - _Données Stagiaires'!$B$6:$K$15,4,FALSE))</f>
        <v/>
      </c>
      <c r="D92" s="5">
        <f>IF(B92="","",VLOOKUP(B92,'F01 - _Données Stagiaires'!$B$6:$K$15,5,FALSE))</f>
        <v/>
      </c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>
        <f>IF(B93="","",VLOOKUP(B93,'F01 - _Données Stagiaires'!$B$6:$K$15,4,FALSE))</f>
        <v/>
      </c>
      <c r="D93" s="8">
        <f>IF(B93="","",VLOOKUP(B93,'F01 - _Données Stagiaires'!$B$6:$K$15,5,FALSE))</f>
        <v/>
      </c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>
        <f>IF(B94="","",VLOOKUP(B94,'F01 - _Données Stagiaires'!$B$6:$K$15,4,FALSE))</f>
        <v/>
      </c>
      <c r="D94" s="5">
        <f>IF(B94="","",VLOOKUP(B94,'F01 - _Données Stagiaires'!$B$6:$K$15,5,FALSE))</f>
        <v/>
      </c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>
        <f>IF(B95="","",VLOOKUP(B95,'F01 - _Données Stagiaires'!$B$6:$K$15,4,FALSE))</f>
        <v/>
      </c>
      <c r="D95" s="8">
        <f>IF(B95="","",VLOOKUP(B95,'F01 - _Données Stagiaires'!$B$6:$K$15,5,FALSE))</f>
        <v/>
      </c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>
        <f>IF(B96="","",VLOOKUP(B96,'F01 - _Données Stagiaires'!$B$6:$K$15,4,FALSE))</f>
        <v/>
      </c>
      <c r="D96" s="5">
        <f>IF(B96="","",VLOOKUP(B96,'F01 - _Données Stagiaires'!$B$6:$K$15,5,FALSE))</f>
        <v/>
      </c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>
        <f>IF(B97="","",VLOOKUP(B97,'F01 - _Données Stagiaires'!$B$6:$K$15,4,FALSE))</f>
        <v/>
      </c>
      <c r="D97" s="8">
        <f>IF(B97="","",VLOOKUP(B97,'F01 - _Données Stagiaires'!$B$6:$K$15,5,FALSE))</f>
        <v/>
      </c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>
        <f>IF(B98="","",VLOOKUP(B98,'F01 - _Données Stagiaires'!$B$6:$K$15,4,FALSE))</f>
        <v/>
      </c>
      <c r="D98" s="5">
        <f>IF(B98="","",VLOOKUP(B98,'F01 - _Données Stagiaires'!$B$6:$K$15,5,FALSE))</f>
        <v/>
      </c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>
        <f>IF(B99="","",VLOOKUP(B99,'F01 - _Données Stagiaires'!$B$6:$K$15,4,FALSE))</f>
        <v/>
      </c>
      <c r="D99" s="8">
        <f>IF(B99="","",VLOOKUP(B99,'F01 - _Données Stagiaires'!$B$6:$K$15,5,FALSE))</f>
        <v/>
      </c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>
        <f>IF(B100="","",VLOOKUP(B100,'F01 - _Données Stagiaires'!$B$6:$K$15,4,FALSE))</f>
        <v/>
      </c>
      <c r="D100" s="5">
        <f>IF(B100="","",VLOOKUP(B100,'F01 - _Données Stagiaires'!$B$6:$K$15,5,FALSE))</f>
        <v/>
      </c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>
        <f>IF(B101="","",VLOOKUP(B101,'F01 - _Données Stagiaires'!$B$6:$K$15,4,FALSE))</f>
        <v/>
      </c>
      <c r="D101" s="8">
        <f>IF(B101="","",VLOOKUP(B101,'F01 - _Données Stagiaires'!$B$6:$K$15,5,FALSE))</f>
        <v/>
      </c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>
        <f>IF(B102="","",VLOOKUP(B102,'F01 - _Données Stagiaires'!$B$6:$K$15,4,FALSE))</f>
        <v/>
      </c>
      <c r="D102" s="5">
        <f>IF(B102="","",VLOOKUP(B102,'F01 - _Données Stagiaires'!$B$6:$K$15,5,FALSE))</f>
        <v/>
      </c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>
        <f>IF(B103="","",VLOOKUP(B103,'F01 - _Données Stagiaires'!$B$6:$K$15,4,FALSE))</f>
        <v/>
      </c>
      <c r="D103" s="8">
        <f>IF(B103="","",VLOOKUP(B103,'F01 - _Données Stagiaires'!$B$6:$K$15,5,FALSE))</f>
        <v/>
      </c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>
        <f>IF(B104="","",VLOOKUP(B104,'F01 - _Données Stagiaires'!$B$6:$K$15,4,FALSE))</f>
        <v/>
      </c>
      <c r="D104" s="5">
        <f>IF(B104="","",VLOOKUP(B104,'F01 - _Données Stagiaires'!$B$6:$K$15,5,FALSE))</f>
        <v/>
      </c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>
        <f>IF(B105="","",VLOOKUP(B105,'F01 - _Données Stagiaires'!$B$6:$K$15,4,FALSE))</f>
        <v/>
      </c>
      <c r="D105" s="8">
        <f>IF(B105="","",VLOOKUP(B105,'F01 - _Données Stagiaires'!$B$6:$K$15,5,FALSE))</f>
        <v/>
      </c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>
        <f>IF(B106="","",VLOOKUP(B106,'F01 - _Données Stagiaires'!$B$6:$K$15,4,FALSE))</f>
        <v/>
      </c>
      <c r="D106" s="5">
        <f>IF(B106="","",VLOOKUP(B106,'F01 - _Données Stagiaires'!$B$6:$K$15,5,FALSE))</f>
        <v/>
      </c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>
        <f>IF(B107="","",VLOOKUP(B107,'F01 - _Données Stagiaires'!$B$6:$K$15,4,FALSE))</f>
        <v/>
      </c>
      <c r="D107" s="8">
        <f>IF(B107="","",VLOOKUP(B107,'F01 - _Données Stagiaires'!$B$6:$K$15,5,FALSE))</f>
        <v/>
      </c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>
        <f>IF(B108="","",VLOOKUP(B108,'F01 - _Données Stagiaires'!$B$6:$K$15,4,FALSE))</f>
        <v/>
      </c>
      <c r="D108" s="5">
        <f>IF(B108="","",VLOOKUP(B108,'F01 - _Données Stagiaires'!$B$6:$K$15,5,FALSE))</f>
        <v/>
      </c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>
        <f>IF(B109="","",VLOOKUP(B109,'F01 - _Données Stagiaires'!$B$6:$K$15,4,FALSE))</f>
        <v/>
      </c>
      <c r="D109" s="8">
        <f>IF(B109="","",VLOOKUP(B109,'F01 - _Données Stagiaires'!$B$6:$K$15,5,FALSE))</f>
        <v/>
      </c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>
        <f>IF(B110="","",VLOOKUP(B110,'F01 - _Données Stagiaires'!$B$6:$K$15,4,FALSE))</f>
        <v/>
      </c>
      <c r="D110" s="5">
        <f>IF(B110="","",VLOOKUP(B110,'F01 - _Données Stagiaires'!$B$6:$K$15,5,FALSE))</f>
        <v/>
      </c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>
        <f>IF(B111="","",VLOOKUP(B111,'F01 - _Données Stagiaires'!$B$6:$K$15,4,FALSE))</f>
        <v/>
      </c>
      <c r="D111" s="8">
        <f>IF(B111="","",VLOOKUP(B111,'F01 - _Données Stagiaires'!$B$6:$K$15,5,FALSE))</f>
        <v/>
      </c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>
        <f>IF(B112="","",VLOOKUP(B112,'F01 - _Données Stagiaires'!$B$6:$K$15,4,FALSE))</f>
        <v/>
      </c>
      <c r="D112" s="5">
        <f>IF(B112="","",VLOOKUP(B112,'F01 - _Données Stagiaires'!$B$6:$K$15,5,FALSE))</f>
        <v/>
      </c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>
        <f>IF(B113="","",VLOOKUP(B113,'F01 - _Données Stagiaires'!$B$6:$K$15,4,FALSE))</f>
        <v/>
      </c>
      <c r="D113" s="8">
        <f>IF(B113="","",VLOOKUP(B113,'F01 - _Données Stagiaires'!$B$6:$K$15,5,FALSE))</f>
        <v/>
      </c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>
        <f>IF(B114="","",VLOOKUP(B114,'F01 - _Données Stagiaires'!$B$6:$K$15,4,FALSE))</f>
        <v/>
      </c>
      <c r="D114" s="5">
        <f>IF(B114="","",VLOOKUP(B114,'F01 - _Données Stagiaires'!$B$6:$K$15,5,FALSE))</f>
        <v/>
      </c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>
        <f>IF(B115="","",VLOOKUP(B115,'F01 - _Données Stagiaires'!$B$6:$K$15,4,FALSE))</f>
        <v/>
      </c>
      <c r="D115" s="8">
        <f>IF(B115="","",VLOOKUP(B115,'F01 - _Données Stagiaires'!$B$6:$K$15,5,FALSE))</f>
        <v/>
      </c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7">
    <dataValidation sqref="C6:C115" showDropDown="0" showInputMessage="0" showErrorMessage="0" allowBlank="1" errorTitle="Erreur" error="Valeur invalide" promptTitle="" prompt="Choisir dans la liste: " type="list">
      <formula1>'F02 - _Lists'!$A$6:$A$16</formula1>
    </dataValidation>
    <dataValidation sqref="D6:D115" showDropDown="0" showInputMessage="0" showErrorMessage="0" allowBlank="1" errorTitle="Erreur" error="Valeur invalide" promptTitle="" prompt="Choisir dans la liste: " type="list">
      <formula1>'F02 - _Lists'!$B$6:$B$22</formula1>
    </dataValidation>
    <dataValidation sqref="E6:E115" showDropDown="0" showInputMessage="0" showErrorMessage="0" allowBlank="1" errorTitle="Erreur" error="Valeur invalide" promptTitle="" prompt="Choisir dans la liste: " type="list">
      <formula1>'F02 - _Lists'!$E$6:$E$10</formula1>
    </dataValidation>
    <dataValidation sqref="F6:F115" showDropDown="0" showInputMessage="0" showErrorMessage="0" allowBlank="1" errorTitle="Erreur" error="Valeur invalide" promptTitle="" prompt="Choisir dans la liste: " type="list">
      <formula1>'F02 - _Lists'!$C$6:$C$20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_Lists'!$D$6:$D$23</formula1>
    </dataValidation>
    <dataValidation sqref="L6:L115" showDropDown="0" showInputMessage="0" showErrorMessage="0" allowBlank="1" errorTitle="Erreur" error="Valeur invalide" promptTitle="" prompt="Choisir dans la liste: " type="list">
      <formula1>'F02 - _Lists'!$F$6:$F$11</formula1>
    </dataValidation>
    <dataValidation sqref="M6:M115" showDropDown="0" showInputMessage="0" showErrorMessage="0" allowBlank="1" errorTitle="Erreur" error="Valeur invalide" promptTitle="" prompt="Choisir dans la liste: " type="list">
      <formula1>'F02 - _Lists'!$L$6:$L$9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6" customWidth="1" min="4" max="4"/>
    <col width="18" customWidth="1" min="5" max="5"/>
    <col width="16" customWidth="1" min="6" max="6"/>
    <col width="16" customWidth="1" min="7" max="7"/>
    <col width="18" customWidth="1" min="8" max="8"/>
    <col width="20" customWidth="1" min="9" max="9"/>
    <col width="36" customWidth="1" min="10" max="10"/>
    <col width="2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4-SUIVI PRÉSENCE STAGIAIRES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Matricule</t>
        </is>
      </c>
      <c r="B5" s="4" t="inlineStr">
        <is>
          <t>Nom</t>
        </is>
      </c>
      <c r="C5" s="4" t="inlineStr">
        <is>
          <t>Prénom</t>
        </is>
      </c>
      <c r="D5" s="4" t="inlineStr">
        <is>
          <t>Département</t>
        </is>
      </c>
      <c r="E5" s="4" t="inlineStr">
        <is>
          <t>Mois</t>
        </is>
      </c>
      <c r="F5" s="4" t="inlineStr">
        <is>
          <t>Jours Présents</t>
        </is>
      </c>
      <c r="G5" s="4" t="inlineStr">
        <is>
          <t>Jours Absents</t>
        </is>
      </c>
      <c r="H5" s="4" t="inlineStr">
        <is>
          <t>Jours Ouvrables</t>
        </is>
      </c>
      <c r="I5" s="4" t="inlineStr">
        <is>
          <t>Taux de Présence (%)</t>
        </is>
      </c>
      <c r="J5" s="4" t="inlineStr">
        <is>
          <t>Commentaire</t>
        </is>
      </c>
      <c r="K5" s="4" t="inlineStr">
        <is>
          <t>Observations</t>
        </is>
      </c>
      <c r="L5" s="4" t="inlineStr"/>
      <c r="M5" s="4" t="inlineStr"/>
      <c r="N5" s="4" t="inlineStr"/>
    </row>
    <row r="6" ht="22" customHeight="1">
      <c r="A6" s="5" t="inlineStr">
        <is>
          <t>STA-001</t>
        </is>
      </c>
      <c r="B6" s="5">
        <f>IF(A6="","",VLOOKUP(A6,'F01 - _Données Stagiaires'!$A$6:$K$15,2,FALSE))</f>
        <v/>
      </c>
      <c r="C6" s="5">
        <f>IF(A6="","",VLOOKUP(A6,'F01 - _Données Stagiaires'!$A$6:$K$15,3,FALSE))</f>
        <v/>
      </c>
      <c r="D6" s="5">
        <f>IF(A6="","",VLOOKUP(A6,'F01 - _Données Stagiaires'!$A$6:$K$15,6,FALSE))</f>
        <v/>
      </c>
      <c r="E6" s="5" t="inlineStr">
        <is>
          <t>Janvier 2025</t>
        </is>
      </c>
      <c r="F6" s="7" t="n">
        <v>20</v>
      </c>
      <c r="G6" s="7" t="n">
        <v>2</v>
      </c>
      <c r="H6" s="7" t="n">
        <v>22</v>
      </c>
      <c r="I6" s="21">
        <f>IF(H6="","",IFERROR(F6/H6*100,0))</f>
        <v/>
      </c>
      <c r="J6" s="5" t="inlineStr">
        <is>
          <t>2 absences justifiées (maladie)</t>
        </is>
      </c>
      <c r="K6" s="5" t="inlineStr"/>
      <c r="L6" s="5" t="inlineStr"/>
      <c r="M6" s="5" t="inlineStr"/>
      <c r="N6" s="5" t="inlineStr"/>
    </row>
    <row r="7" ht="22" customHeight="1">
      <c r="A7" s="8" t="inlineStr">
        <is>
          <t>STA-002</t>
        </is>
      </c>
      <c r="B7" s="8">
        <f>IF(A7="","",VLOOKUP(A7,'F01 - _Données Stagiaires'!$A$6:$K$15,2,FALSE))</f>
        <v/>
      </c>
      <c r="C7" s="8">
        <f>IF(A7="","",VLOOKUP(A7,'F01 - _Données Stagiaires'!$A$6:$K$15,3,FALSE))</f>
        <v/>
      </c>
      <c r="D7" s="8">
        <f>IF(A7="","",VLOOKUP(A7,'F01 - _Données Stagiaires'!$A$6:$K$15,6,FALSE))</f>
        <v/>
      </c>
      <c r="E7" s="8" t="inlineStr">
        <is>
          <t>Février 2025</t>
        </is>
      </c>
      <c r="F7" s="10" t="n">
        <v>19</v>
      </c>
      <c r="G7" s="10" t="n">
        <v>1</v>
      </c>
      <c r="H7" s="10" t="n">
        <v>20</v>
      </c>
      <c r="I7" s="22">
        <f>IF(H7="","",IFERROR(F7/H7*100,0))</f>
        <v/>
      </c>
      <c r="J7" s="8" t="inlineStr">
        <is>
          <t>1 absence autorisée (rendez-vous administratif)</t>
        </is>
      </c>
      <c r="K7" s="8" t="inlineStr"/>
      <c r="L7" s="8" t="inlineStr"/>
      <c r="M7" s="8" t="inlineStr"/>
      <c r="N7" s="8" t="inlineStr"/>
    </row>
    <row r="8" ht="22" customHeight="1">
      <c r="A8" s="5" t="inlineStr">
        <is>
          <t>STA-003</t>
        </is>
      </c>
      <c r="B8" s="5">
        <f>IF(A8="","",VLOOKUP(A8,'F01 - _Données Stagiaires'!$A$6:$K$15,2,FALSE))</f>
        <v/>
      </c>
      <c r="C8" s="5">
        <f>IF(A8="","",VLOOKUP(A8,'F01 - _Données Stagiaires'!$A$6:$K$15,3,FALSE))</f>
        <v/>
      </c>
      <c r="D8" s="5">
        <f>IF(A8="","",VLOOKUP(A8,'F01 - _Données Stagiaires'!$A$6:$K$15,6,FALSE))</f>
        <v/>
      </c>
      <c r="E8" s="5" t="inlineStr">
        <is>
          <t>Janvier 2025</t>
        </is>
      </c>
      <c r="F8" s="7" t="n">
        <v>21</v>
      </c>
      <c r="G8" s="7" t="n">
        <v>1</v>
      </c>
      <c r="H8" s="7" t="n">
        <v>22</v>
      </c>
      <c r="I8" s="21">
        <f>IF(H8="","",IFERROR(F8/H8*100,0))</f>
        <v/>
      </c>
      <c r="J8" s="5" t="inlineStr">
        <is>
          <t>Présence exemplaire</t>
        </is>
      </c>
      <c r="K8" s="5" t="inlineStr"/>
      <c r="L8" s="5" t="inlineStr"/>
      <c r="M8" s="5" t="inlineStr"/>
      <c r="N8" s="5" t="inlineStr"/>
    </row>
    <row r="9" ht="22" customHeight="1">
      <c r="A9" s="8" t="inlineStr">
        <is>
          <t>STA-006</t>
        </is>
      </c>
      <c r="B9" s="8">
        <f>IF(A9="","",VLOOKUP(A9,'F01 - _Données Stagiaires'!$A$6:$K$15,2,FALSE))</f>
        <v/>
      </c>
      <c r="C9" s="8">
        <f>IF(A9="","",VLOOKUP(A9,'F01 - _Données Stagiaires'!$A$6:$K$15,3,FALSE))</f>
        <v/>
      </c>
      <c r="D9" s="8">
        <f>IF(A9="","",VLOOKUP(A9,'F01 - _Données Stagiaires'!$A$6:$K$15,6,FALSE))</f>
        <v/>
      </c>
      <c r="E9" s="8" t="inlineStr">
        <is>
          <t>Février 2025</t>
        </is>
      </c>
      <c r="F9" s="10" t="n">
        <v>18</v>
      </c>
      <c r="G9" s="10" t="n">
        <v>2</v>
      </c>
      <c r="H9" s="10" t="n">
        <v>20</v>
      </c>
      <c r="I9" s="22">
        <f>IF(H9="","",IFERROR(F9/H9*100,0))</f>
        <v/>
      </c>
      <c r="J9" s="8" t="inlineStr">
        <is>
          <t>Retards à justifier</t>
        </is>
      </c>
      <c r="K9" s="8" t="inlineStr"/>
      <c r="L9" s="8" t="inlineStr"/>
      <c r="M9" s="8" t="inlineStr"/>
      <c r="N9" s="8" t="inlineStr"/>
    </row>
    <row r="10" ht="22" customHeight="1">
      <c r="A10" s="5" t="inlineStr">
        <is>
          <t>STA-007</t>
        </is>
      </c>
      <c r="B10" s="5">
        <f>IF(A10="","",VLOOKUP(A10,'F01 - _Données Stagiaires'!$A$6:$K$15,2,FALSE))</f>
        <v/>
      </c>
      <c r="C10" s="5">
        <f>IF(A10="","",VLOOKUP(A10,'F01 - _Données Stagiaires'!$A$6:$K$15,3,FALSE))</f>
        <v/>
      </c>
      <c r="D10" s="5">
        <f>IF(A10="","",VLOOKUP(A10,'F01 - _Données Stagiaires'!$A$6:$K$15,6,FALSE))</f>
        <v/>
      </c>
      <c r="E10" s="5" t="inlineStr">
        <is>
          <t>Janvier 2025</t>
        </is>
      </c>
      <c r="F10" s="7" t="n">
        <v>22</v>
      </c>
      <c r="G10" s="7" t="n">
        <v>0</v>
      </c>
      <c r="H10" s="7" t="n">
        <v>22</v>
      </c>
      <c r="I10" s="21">
        <f>IF(H10="","",IFERROR(F10/H10*100,0))</f>
        <v/>
      </c>
      <c r="J10" s="5" t="inlineStr">
        <is>
          <t>Assiduité parfaite</t>
        </is>
      </c>
      <c r="K10" s="5" t="inlineStr"/>
      <c r="L10" s="5" t="inlineStr"/>
      <c r="M10" s="5" t="inlineStr"/>
      <c r="N10" s="5" t="inlineStr"/>
    </row>
    <row r="11" ht="22" customHeight="1">
      <c r="A11" s="8" t="n"/>
      <c r="B11" s="8">
        <f>IF(A11="","",VLOOKUP(A11,'F01 - _Données Stagiaires'!$A$6:$K$15,2,FALSE))</f>
        <v/>
      </c>
      <c r="C11" s="8">
        <f>IF(A11="","",VLOOKUP(A11,'F01 - _Données Stagiaires'!$A$6:$K$15,3,FALSE))</f>
        <v/>
      </c>
      <c r="D11" s="8">
        <f>IF(A11="","",VLOOKUP(A11,'F01 - _Données Stagiaires'!$A$6:$K$15,6,FALSE))</f>
        <v/>
      </c>
      <c r="E11" s="8" t="n"/>
      <c r="F11" s="8" t="n"/>
      <c r="G11" s="8" t="n"/>
      <c r="H11" s="8" t="n"/>
      <c r="I11" s="22">
        <f>IF(H11="","",IFERROR(F11/H11*100,0))</f>
        <v/>
      </c>
      <c r="J11" s="8" t="n"/>
      <c r="K11" s="8" t="n"/>
      <c r="L11" s="8" t="n"/>
      <c r="M11" s="8" t="n"/>
      <c r="N11" s="8" t="n"/>
    </row>
    <row r="12" ht="22" customHeight="1">
      <c r="A12" s="5" t="n"/>
      <c r="B12" s="5">
        <f>IF(A12="","",VLOOKUP(A12,'F01 - _Données Stagiaires'!$A$6:$K$15,2,FALSE))</f>
        <v/>
      </c>
      <c r="C12" s="5">
        <f>IF(A12="","",VLOOKUP(A12,'F01 - _Données Stagiaires'!$A$6:$K$15,3,FALSE))</f>
        <v/>
      </c>
      <c r="D12" s="5">
        <f>IF(A12="","",VLOOKUP(A12,'F01 - _Données Stagiaires'!$A$6:$K$15,6,FALSE))</f>
        <v/>
      </c>
      <c r="E12" s="5" t="n"/>
      <c r="F12" s="5" t="n"/>
      <c r="G12" s="5" t="n"/>
      <c r="H12" s="5" t="n"/>
      <c r="I12" s="21">
        <f>IF(H12="","",IFERROR(F12/H12*100,0))</f>
        <v/>
      </c>
      <c r="J12" s="5" t="n"/>
      <c r="K12" s="5" t="n"/>
      <c r="L12" s="5" t="n"/>
      <c r="M12" s="5" t="n"/>
      <c r="N12" s="5" t="n"/>
    </row>
    <row r="13" ht="22" customHeight="1">
      <c r="A13" s="8" t="n"/>
      <c r="B13" s="8">
        <f>IF(A13="","",VLOOKUP(A13,'F01 - _Données Stagiaires'!$A$6:$K$15,2,FALSE))</f>
        <v/>
      </c>
      <c r="C13" s="8">
        <f>IF(A13="","",VLOOKUP(A13,'F01 - _Données Stagiaires'!$A$6:$K$15,3,FALSE))</f>
        <v/>
      </c>
      <c r="D13" s="8">
        <f>IF(A13="","",VLOOKUP(A13,'F01 - _Données Stagiaires'!$A$6:$K$15,6,FALSE))</f>
        <v/>
      </c>
      <c r="E13" s="8" t="n"/>
      <c r="F13" s="8" t="n"/>
      <c r="G13" s="8" t="n"/>
      <c r="H13" s="8" t="n"/>
      <c r="I13" s="22">
        <f>IF(H13="","",IFERROR(F13/H13*100,0))</f>
        <v/>
      </c>
      <c r="J13" s="8" t="n"/>
      <c r="K13" s="8" t="n"/>
      <c r="L13" s="8" t="n"/>
      <c r="M13" s="8" t="n"/>
      <c r="N13" s="8" t="n"/>
    </row>
    <row r="14" ht="22" customHeight="1">
      <c r="A14" s="5" t="n"/>
      <c r="B14" s="5">
        <f>IF(A14="","",VLOOKUP(A14,'F01 - _Données Stagiaires'!$A$6:$K$15,2,FALSE))</f>
        <v/>
      </c>
      <c r="C14" s="5">
        <f>IF(A14="","",VLOOKUP(A14,'F01 - _Données Stagiaires'!$A$6:$K$15,3,FALSE))</f>
        <v/>
      </c>
      <c r="D14" s="5">
        <f>IF(A14="","",VLOOKUP(A14,'F01 - _Données Stagiaires'!$A$6:$K$15,6,FALSE))</f>
        <v/>
      </c>
      <c r="E14" s="5" t="n"/>
      <c r="F14" s="5" t="n"/>
      <c r="G14" s="5" t="n"/>
      <c r="H14" s="5" t="n"/>
      <c r="I14" s="21">
        <f>IF(H14="","",IFERROR(F14/H14*100,0))</f>
        <v/>
      </c>
      <c r="J14" s="5" t="n"/>
      <c r="K14" s="5" t="n"/>
      <c r="L14" s="5" t="n"/>
      <c r="M14" s="5" t="n"/>
      <c r="N14" s="5" t="n"/>
    </row>
    <row r="15" ht="22" customHeight="1">
      <c r="A15" s="8" t="n"/>
      <c r="B15" s="8">
        <f>IF(A15="","",VLOOKUP(A15,'F01 - _Données Stagiaires'!$A$6:$K$15,2,FALSE))</f>
        <v/>
      </c>
      <c r="C15" s="8">
        <f>IF(A15="","",VLOOKUP(A15,'F01 - _Données Stagiaires'!$A$6:$K$15,3,FALSE))</f>
        <v/>
      </c>
      <c r="D15" s="8">
        <f>IF(A15="","",VLOOKUP(A15,'F01 - _Données Stagiaires'!$A$6:$K$15,6,FALSE))</f>
        <v/>
      </c>
      <c r="E15" s="8" t="n"/>
      <c r="F15" s="8" t="n"/>
      <c r="G15" s="8" t="n"/>
      <c r="H15" s="8" t="n"/>
      <c r="I15" s="22">
        <f>IF(H15="","",IFERROR(F15/H15*100,0))</f>
        <v/>
      </c>
      <c r="J15" s="8" t="n"/>
      <c r="K15" s="8" t="n"/>
      <c r="L15" s="8" t="n"/>
      <c r="M15" s="8" t="n"/>
      <c r="N15" s="8" t="n"/>
    </row>
    <row r="16" ht="22" customHeight="1">
      <c r="A16" s="5" t="n"/>
      <c r="B16" s="5">
        <f>IF(A16="","",VLOOKUP(A16,'F01 - _Données Stagiaires'!$A$6:$K$15,2,FALSE))</f>
        <v/>
      </c>
      <c r="C16" s="5">
        <f>IF(A16="","",VLOOKUP(A16,'F01 - _Données Stagiaires'!$A$6:$K$15,3,FALSE))</f>
        <v/>
      </c>
      <c r="D16" s="5">
        <f>IF(A16="","",VLOOKUP(A16,'F01 - _Données Stagiaires'!$A$6:$K$15,6,FALSE))</f>
        <v/>
      </c>
      <c r="E16" s="5" t="n"/>
      <c r="F16" s="5" t="n"/>
      <c r="G16" s="5" t="n"/>
      <c r="H16" s="5" t="n"/>
      <c r="I16" s="21">
        <f>IF(H16="","",IFERROR(F16/H16*100,0))</f>
        <v/>
      </c>
      <c r="J16" s="5" t="n"/>
      <c r="K16" s="5" t="n"/>
      <c r="L16" s="5" t="n"/>
      <c r="M16" s="5" t="n"/>
      <c r="N16" s="5" t="n"/>
    </row>
    <row r="17" ht="22" customHeight="1">
      <c r="A17" s="8" t="n"/>
      <c r="B17" s="8">
        <f>IF(A17="","",VLOOKUP(A17,'F01 - _Données Stagiaires'!$A$6:$K$15,2,FALSE))</f>
        <v/>
      </c>
      <c r="C17" s="8">
        <f>IF(A17="","",VLOOKUP(A17,'F01 - _Données Stagiaires'!$A$6:$K$15,3,FALSE))</f>
        <v/>
      </c>
      <c r="D17" s="8">
        <f>IF(A17="","",VLOOKUP(A17,'F01 - _Données Stagiaires'!$A$6:$K$15,6,FALSE))</f>
        <v/>
      </c>
      <c r="E17" s="8" t="n"/>
      <c r="F17" s="8" t="n"/>
      <c r="G17" s="8" t="n"/>
      <c r="H17" s="8" t="n"/>
      <c r="I17" s="22">
        <f>IF(H17="","",IFERROR(F17/H17*100,0))</f>
        <v/>
      </c>
      <c r="J17" s="8" t="n"/>
      <c r="K17" s="8" t="n"/>
      <c r="L17" s="8" t="n"/>
      <c r="M17" s="8" t="n"/>
      <c r="N17" s="8" t="n"/>
    </row>
    <row r="18" ht="22" customHeight="1">
      <c r="A18" s="5" t="n"/>
      <c r="B18" s="5">
        <f>IF(A18="","",VLOOKUP(A18,'F01 - _Données Stagiaires'!$A$6:$K$15,2,FALSE))</f>
        <v/>
      </c>
      <c r="C18" s="5">
        <f>IF(A18="","",VLOOKUP(A18,'F01 - _Données Stagiaires'!$A$6:$K$15,3,FALSE))</f>
        <v/>
      </c>
      <c r="D18" s="5">
        <f>IF(A18="","",VLOOKUP(A18,'F01 - _Données Stagiaires'!$A$6:$K$15,6,FALSE))</f>
        <v/>
      </c>
      <c r="E18" s="5" t="n"/>
      <c r="F18" s="5" t="n"/>
      <c r="G18" s="5" t="n"/>
      <c r="H18" s="5" t="n"/>
      <c r="I18" s="21">
        <f>IF(H18="","",IFERROR(F18/H18*100,0))</f>
        <v/>
      </c>
      <c r="J18" s="5" t="n"/>
      <c r="K18" s="5" t="n"/>
      <c r="L18" s="5" t="n"/>
      <c r="M18" s="5" t="n"/>
      <c r="N18" s="5" t="n"/>
    </row>
    <row r="19" ht="22" customHeight="1">
      <c r="A19" s="8" t="n"/>
      <c r="B19" s="8">
        <f>IF(A19="","",VLOOKUP(A19,'F01 - _Données Stagiaires'!$A$6:$K$15,2,FALSE))</f>
        <v/>
      </c>
      <c r="C19" s="8">
        <f>IF(A19="","",VLOOKUP(A19,'F01 - _Données Stagiaires'!$A$6:$K$15,3,FALSE))</f>
        <v/>
      </c>
      <c r="D19" s="8">
        <f>IF(A19="","",VLOOKUP(A19,'F01 - _Données Stagiaires'!$A$6:$K$15,6,FALSE))</f>
        <v/>
      </c>
      <c r="E19" s="8" t="n"/>
      <c r="F19" s="8" t="n"/>
      <c r="G19" s="8" t="n"/>
      <c r="H19" s="8" t="n"/>
      <c r="I19" s="22">
        <f>IF(H19="","",IFERROR(F19/H19*100,0))</f>
        <v/>
      </c>
      <c r="J19" s="8" t="n"/>
      <c r="K19" s="8" t="n"/>
      <c r="L19" s="8" t="n"/>
      <c r="M19" s="8" t="n"/>
      <c r="N19" s="8" t="n"/>
    </row>
    <row r="20" ht="22" customHeight="1">
      <c r="A20" s="5" t="n"/>
      <c r="B20" s="5">
        <f>IF(A20="","",VLOOKUP(A20,'F01 - _Données Stagiaires'!$A$6:$K$15,2,FALSE))</f>
        <v/>
      </c>
      <c r="C20" s="5">
        <f>IF(A20="","",VLOOKUP(A20,'F01 - _Données Stagiaires'!$A$6:$K$15,3,FALSE))</f>
        <v/>
      </c>
      <c r="D20" s="5">
        <f>IF(A20="","",VLOOKUP(A20,'F01 - _Données Stagiaires'!$A$6:$K$15,6,FALSE))</f>
        <v/>
      </c>
      <c r="E20" s="5" t="n"/>
      <c r="F20" s="5" t="n"/>
      <c r="G20" s="5" t="n"/>
      <c r="H20" s="5" t="n"/>
      <c r="I20" s="21">
        <f>IF(H20="","",IFERROR(F20/H20*100,0))</f>
        <v/>
      </c>
      <c r="J20" s="5" t="n"/>
      <c r="K20" s="5" t="n"/>
      <c r="L20" s="5" t="n"/>
      <c r="M20" s="5" t="n"/>
      <c r="N20" s="5" t="n"/>
    </row>
    <row r="21" ht="22" customHeight="1">
      <c r="A21" s="8" t="n"/>
      <c r="B21" s="8">
        <f>IF(A21="","",VLOOKUP(A21,'F01 - _Données Stagiaires'!$A$6:$K$15,2,FALSE))</f>
        <v/>
      </c>
      <c r="C21" s="8">
        <f>IF(A21="","",VLOOKUP(A21,'F01 - _Données Stagiaires'!$A$6:$K$15,3,FALSE))</f>
        <v/>
      </c>
      <c r="D21" s="8">
        <f>IF(A21="","",VLOOKUP(A21,'F01 - _Données Stagiaires'!$A$6:$K$15,6,FALSE))</f>
        <v/>
      </c>
      <c r="E21" s="8" t="n"/>
      <c r="F21" s="8" t="n"/>
      <c r="G21" s="8" t="n"/>
      <c r="H21" s="8" t="n"/>
      <c r="I21" s="22">
        <f>IF(H21="","",IFERROR(F21/H21*100,0))</f>
        <v/>
      </c>
      <c r="J21" s="8" t="n"/>
      <c r="K21" s="8" t="n"/>
      <c r="L21" s="8" t="n"/>
      <c r="M21" s="8" t="n"/>
      <c r="N21" s="8" t="n"/>
    </row>
    <row r="22" ht="22" customHeight="1">
      <c r="A22" s="5" t="n"/>
      <c r="B22" s="5">
        <f>IF(A22="","",VLOOKUP(A22,'F01 - _Données Stagiaires'!$A$6:$K$15,2,FALSE))</f>
        <v/>
      </c>
      <c r="C22" s="5">
        <f>IF(A22="","",VLOOKUP(A22,'F01 - _Données Stagiaires'!$A$6:$K$15,3,FALSE))</f>
        <v/>
      </c>
      <c r="D22" s="5">
        <f>IF(A22="","",VLOOKUP(A22,'F01 - _Données Stagiaires'!$A$6:$K$15,6,FALSE))</f>
        <v/>
      </c>
      <c r="E22" s="5" t="n"/>
      <c r="F22" s="5" t="n"/>
      <c r="G22" s="5" t="n"/>
      <c r="H22" s="5" t="n"/>
      <c r="I22" s="21">
        <f>IF(H22="","",IFERROR(F22/H22*100,0))</f>
        <v/>
      </c>
      <c r="J22" s="5" t="n"/>
      <c r="K22" s="5" t="n"/>
      <c r="L22" s="5" t="n"/>
      <c r="M22" s="5" t="n"/>
      <c r="N22" s="5" t="n"/>
    </row>
    <row r="23" ht="22" customHeight="1">
      <c r="A23" s="8" t="n"/>
      <c r="B23" s="8">
        <f>IF(A23="","",VLOOKUP(A23,'F01 - _Données Stagiaires'!$A$6:$K$15,2,FALSE))</f>
        <v/>
      </c>
      <c r="C23" s="8">
        <f>IF(A23="","",VLOOKUP(A23,'F01 - _Données Stagiaires'!$A$6:$K$15,3,FALSE))</f>
        <v/>
      </c>
      <c r="D23" s="8">
        <f>IF(A23="","",VLOOKUP(A23,'F01 - _Données Stagiaires'!$A$6:$K$15,6,FALSE))</f>
        <v/>
      </c>
      <c r="E23" s="8" t="n"/>
      <c r="F23" s="8" t="n"/>
      <c r="G23" s="8" t="n"/>
      <c r="H23" s="8" t="n"/>
      <c r="I23" s="22">
        <f>IF(H23="","",IFERROR(F23/H23*100,0))</f>
        <v/>
      </c>
      <c r="J23" s="8" t="n"/>
      <c r="K23" s="8" t="n"/>
      <c r="L23" s="8" t="n"/>
      <c r="M23" s="8" t="n"/>
      <c r="N23" s="8" t="n"/>
    </row>
    <row r="24" ht="22" customHeight="1">
      <c r="A24" s="5" t="n"/>
      <c r="B24" s="5">
        <f>IF(A24="","",VLOOKUP(A24,'F01 - _Données Stagiaires'!$A$6:$K$15,2,FALSE))</f>
        <v/>
      </c>
      <c r="C24" s="5">
        <f>IF(A24="","",VLOOKUP(A24,'F01 - _Données Stagiaires'!$A$6:$K$15,3,FALSE))</f>
        <v/>
      </c>
      <c r="D24" s="5">
        <f>IF(A24="","",VLOOKUP(A24,'F01 - _Données Stagiaires'!$A$6:$K$15,6,FALSE))</f>
        <v/>
      </c>
      <c r="E24" s="5" t="n"/>
      <c r="F24" s="5" t="n"/>
      <c r="G24" s="5" t="n"/>
      <c r="H24" s="5" t="n"/>
      <c r="I24" s="21">
        <f>IF(H24="","",IFERROR(F24/H24*100,0))</f>
        <v/>
      </c>
      <c r="J24" s="5" t="n"/>
      <c r="K24" s="5" t="n"/>
      <c r="L24" s="5" t="n"/>
      <c r="M24" s="5" t="n"/>
      <c r="N24" s="5" t="n"/>
    </row>
    <row r="25" ht="22" customHeight="1">
      <c r="A25" s="8" t="n"/>
      <c r="B25" s="8">
        <f>IF(A25="","",VLOOKUP(A25,'F01 - _Données Stagiaires'!$A$6:$K$15,2,FALSE))</f>
        <v/>
      </c>
      <c r="C25" s="8">
        <f>IF(A25="","",VLOOKUP(A25,'F01 - _Données Stagiaires'!$A$6:$K$15,3,FALSE))</f>
        <v/>
      </c>
      <c r="D25" s="8">
        <f>IF(A25="","",VLOOKUP(A25,'F01 - _Données Stagiaires'!$A$6:$K$15,6,FALSE))</f>
        <v/>
      </c>
      <c r="E25" s="8" t="n"/>
      <c r="F25" s="8" t="n"/>
      <c r="G25" s="8" t="n"/>
      <c r="H25" s="8" t="n"/>
      <c r="I25" s="22">
        <f>IF(H25="","",IFERROR(F25/H25*100,0))</f>
        <v/>
      </c>
      <c r="J25" s="8" t="n"/>
      <c r="K25" s="8" t="n"/>
      <c r="L25" s="8" t="n"/>
      <c r="M25" s="8" t="n"/>
      <c r="N25" s="8" t="n"/>
    </row>
    <row r="26" ht="22" customHeight="1">
      <c r="A26" s="5" t="n"/>
      <c r="B26" s="5">
        <f>IF(A26="","",VLOOKUP(A26,'F01 - _Données Stagiaires'!$A$6:$K$15,2,FALSE))</f>
        <v/>
      </c>
      <c r="C26" s="5">
        <f>IF(A26="","",VLOOKUP(A26,'F01 - _Données Stagiaires'!$A$6:$K$15,3,FALSE))</f>
        <v/>
      </c>
      <c r="D26" s="5">
        <f>IF(A26="","",VLOOKUP(A26,'F01 - _Données Stagiaires'!$A$6:$K$15,6,FALSE))</f>
        <v/>
      </c>
      <c r="E26" s="5" t="n"/>
      <c r="F26" s="5" t="n"/>
      <c r="G26" s="5" t="n"/>
      <c r="H26" s="5" t="n"/>
      <c r="I26" s="21">
        <f>IF(H26="","",IFERROR(F26/H26*100,0))</f>
        <v/>
      </c>
      <c r="J26" s="5" t="n"/>
      <c r="K26" s="5" t="n"/>
      <c r="L26" s="5" t="n"/>
      <c r="M26" s="5" t="n"/>
      <c r="N26" s="5" t="n"/>
    </row>
    <row r="27" ht="22" customHeight="1">
      <c r="A27" s="8" t="n"/>
      <c r="B27" s="8">
        <f>IF(A27="","",VLOOKUP(A27,'F01 - _Données Stagiaires'!$A$6:$K$15,2,FALSE))</f>
        <v/>
      </c>
      <c r="C27" s="8">
        <f>IF(A27="","",VLOOKUP(A27,'F01 - _Données Stagiaires'!$A$6:$K$15,3,FALSE))</f>
        <v/>
      </c>
      <c r="D27" s="8">
        <f>IF(A27="","",VLOOKUP(A27,'F01 - _Données Stagiaires'!$A$6:$K$15,6,FALSE))</f>
        <v/>
      </c>
      <c r="E27" s="8" t="n"/>
      <c r="F27" s="8" t="n"/>
      <c r="G27" s="8" t="n"/>
      <c r="H27" s="8" t="n"/>
      <c r="I27" s="22">
        <f>IF(H27="","",IFERROR(F27/H27*100,0))</f>
        <v/>
      </c>
      <c r="J27" s="8" t="n"/>
      <c r="K27" s="8" t="n"/>
      <c r="L27" s="8" t="n"/>
      <c r="M27" s="8" t="n"/>
      <c r="N27" s="8" t="n"/>
    </row>
    <row r="28" ht="22" customHeight="1">
      <c r="A28" s="5" t="n"/>
      <c r="B28" s="5">
        <f>IF(A28="","",VLOOKUP(A28,'F01 - _Données Stagiaires'!$A$6:$K$15,2,FALSE))</f>
        <v/>
      </c>
      <c r="C28" s="5">
        <f>IF(A28="","",VLOOKUP(A28,'F01 - _Données Stagiaires'!$A$6:$K$15,3,FALSE))</f>
        <v/>
      </c>
      <c r="D28" s="5">
        <f>IF(A28="","",VLOOKUP(A28,'F01 - _Données Stagiaires'!$A$6:$K$15,6,FALSE))</f>
        <v/>
      </c>
      <c r="E28" s="5" t="n"/>
      <c r="F28" s="5" t="n"/>
      <c r="G28" s="5" t="n"/>
      <c r="H28" s="5" t="n"/>
      <c r="I28" s="21">
        <f>IF(H28="","",IFERROR(F28/H28*100,0))</f>
        <v/>
      </c>
      <c r="J28" s="5" t="n"/>
      <c r="K28" s="5" t="n"/>
      <c r="L28" s="5" t="n"/>
      <c r="M28" s="5" t="n"/>
      <c r="N28" s="5" t="n"/>
    </row>
    <row r="29" ht="22" customHeight="1">
      <c r="A29" s="8" t="n"/>
      <c r="B29" s="8">
        <f>IF(A29="","",VLOOKUP(A29,'F01 - _Données Stagiaires'!$A$6:$K$15,2,FALSE))</f>
        <v/>
      </c>
      <c r="C29" s="8">
        <f>IF(A29="","",VLOOKUP(A29,'F01 - _Données Stagiaires'!$A$6:$K$15,3,FALSE))</f>
        <v/>
      </c>
      <c r="D29" s="8">
        <f>IF(A29="","",VLOOKUP(A29,'F01 - _Données Stagiaires'!$A$6:$K$15,6,FALSE))</f>
        <v/>
      </c>
      <c r="E29" s="8" t="n"/>
      <c r="F29" s="8" t="n"/>
      <c r="G29" s="8" t="n"/>
      <c r="H29" s="8" t="n"/>
      <c r="I29" s="22">
        <f>IF(H29="","",IFERROR(F29/H29*100,0))</f>
        <v/>
      </c>
      <c r="J29" s="8" t="n"/>
      <c r="K29" s="8" t="n"/>
      <c r="L29" s="8" t="n"/>
      <c r="M29" s="8" t="n"/>
      <c r="N29" s="8" t="n"/>
    </row>
    <row r="30" ht="22" customHeight="1">
      <c r="A30" s="5" t="n"/>
      <c r="B30" s="5">
        <f>IF(A30="","",VLOOKUP(A30,'F01 - _Données Stagiaires'!$A$6:$K$15,2,FALSE))</f>
        <v/>
      </c>
      <c r="C30" s="5">
        <f>IF(A30="","",VLOOKUP(A30,'F01 - _Données Stagiaires'!$A$6:$K$15,3,FALSE))</f>
        <v/>
      </c>
      <c r="D30" s="5">
        <f>IF(A30="","",VLOOKUP(A30,'F01 - _Données Stagiaires'!$A$6:$K$15,6,FALSE))</f>
        <v/>
      </c>
      <c r="E30" s="5" t="n"/>
      <c r="F30" s="5" t="n"/>
      <c r="G30" s="5" t="n"/>
      <c r="H30" s="5" t="n"/>
      <c r="I30" s="21">
        <f>IF(H30="","",IFERROR(F30/H30*100,0))</f>
        <v/>
      </c>
      <c r="J30" s="5" t="n"/>
      <c r="K30" s="5" t="n"/>
      <c r="L30" s="5" t="n"/>
      <c r="M30" s="5" t="n"/>
      <c r="N30" s="5" t="n"/>
    </row>
    <row r="31" ht="22" customHeight="1">
      <c r="A31" s="8" t="n"/>
      <c r="B31" s="8">
        <f>IF(A31="","",VLOOKUP(A31,'F01 - _Données Stagiaires'!$A$6:$K$15,2,FALSE))</f>
        <v/>
      </c>
      <c r="C31" s="8">
        <f>IF(A31="","",VLOOKUP(A31,'F01 - _Données Stagiaires'!$A$6:$K$15,3,FALSE))</f>
        <v/>
      </c>
      <c r="D31" s="8">
        <f>IF(A31="","",VLOOKUP(A31,'F01 - _Données Stagiaires'!$A$6:$K$15,6,FALSE))</f>
        <v/>
      </c>
      <c r="E31" s="8" t="n"/>
      <c r="F31" s="8" t="n"/>
      <c r="G31" s="8" t="n"/>
      <c r="H31" s="8" t="n"/>
      <c r="I31" s="22">
        <f>IF(H31="","",IFERROR(F31/H31*100,0))</f>
        <v/>
      </c>
      <c r="J31" s="8" t="n"/>
      <c r="K31" s="8" t="n"/>
      <c r="L31" s="8" t="n"/>
      <c r="M31" s="8" t="n"/>
      <c r="N31" s="8" t="n"/>
    </row>
    <row r="32" ht="22" customHeight="1">
      <c r="A32" s="5" t="n"/>
      <c r="B32" s="5">
        <f>IF(A32="","",VLOOKUP(A32,'F01 - _Données Stagiaires'!$A$6:$K$15,2,FALSE))</f>
        <v/>
      </c>
      <c r="C32" s="5">
        <f>IF(A32="","",VLOOKUP(A32,'F01 - _Données Stagiaires'!$A$6:$K$15,3,FALSE))</f>
        <v/>
      </c>
      <c r="D32" s="5">
        <f>IF(A32="","",VLOOKUP(A32,'F01 - _Données Stagiaires'!$A$6:$K$15,6,FALSE))</f>
        <v/>
      </c>
      <c r="E32" s="5" t="n"/>
      <c r="F32" s="5" t="n"/>
      <c r="G32" s="5" t="n"/>
      <c r="H32" s="5" t="n"/>
      <c r="I32" s="21">
        <f>IF(H32="","",IFERROR(F32/H32*100,0))</f>
        <v/>
      </c>
      <c r="J32" s="5" t="n"/>
      <c r="K32" s="5" t="n"/>
      <c r="L32" s="5" t="n"/>
      <c r="M32" s="5" t="n"/>
      <c r="N32" s="5" t="n"/>
    </row>
    <row r="33" ht="22" customHeight="1">
      <c r="A33" s="8" t="n"/>
      <c r="B33" s="8">
        <f>IF(A33="","",VLOOKUP(A33,'F01 - _Données Stagiaires'!$A$6:$K$15,2,FALSE))</f>
        <v/>
      </c>
      <c r="C33" s="8">
        <f>IF(A33="","",VLOOKUP(A33,'F01 - _Données Stagiaires'!$A$6:$K$15,3,FALSE))</f>
        <v/>
      </c>
      <c r="D33" s="8">
        <f>IF(A33="","",VLOOKUP(A33,'F01 - _Données Stagiaires'!$A$6:$K$15,6,FALSE))</f>
        <v/>
      </c>
      <c r="E33" s="8" t="n"/>
      <c r="F33" s="8" t="n"/>
      <c r="G33" s="8" t="n"/>
      <c r="H33" s="8" t="n"/>
      <c r="I33" s="22">
        <f>IF(H33="","",IFERROR(F33/H33*100,0))</f>
        <v/>
      </c>
      <c r="J33" s="8" t="n"/>
      <c r="K33" s="8" t="n"/>
      <c r="L33" s="8" t="n"/>
      <c r="M33" s="8" t="n"/>
      <c r="N33" s="8" t="n"/>
    </row>
    <row r="34" ht="22" customHeight="1">
      <c r="A34" s="5" t="n"/>
      <c r="B34" s="5">
        <f>IF(A34="","",VLOOKUP(A34,'F01 - _Données Stagiaires'!$A$6:$K$15,2,FALSE))</f>
        <v/>
      </c>
      <c r="C34" s="5">
        <f>IF(A34="","",VLOOKUP(A34,'F01 - _Données Stagiaires'!$A$6:$K$15,3,FALSE))</f>
        <v/>
      </c>
      <c r="D34" s="5">
        <f>IF(A34="","",VLOOKUP(A34,'F01 - _Données Stagiaires'!$A$6:$K$15,6,FALSE))</f>
        <v/>
      </c>
      <c r="E34" s="5" t="n"/>
      <c r="F34" s="5" t="n"/>
      <c r="G34" s="5" t="n"/>
      <c r="H34" s="5" t="n"/>
      <c r="I34" s="21">
        <f>IF(H34="","",IFERROR(F34/H34*100,0))</f>
        <v/>
      </c>
      <c r="J34" s="5" t="n"/>
      <c r="K34" s="5" t="n"/>
      <c r="L34" s="5" t="n"/>
      <c r="M34" s="5" t="n"/>
      <c r="N34" s="5" t="n"/>
    </row>
    <row r="35" ht="22" customHeight="1">
      <c r="A35" s="8" t="n"/>
      <c r="B35" s="8">
        <f>IF(A35="","",VLOOKUP(A35,'F01 - _Données Stagiaires'!$A$6:$K$15,2,FALSE))</f>
        <v/>
      </c>
      <c r="C35" s="8">
        <f>IF(A35="","",VLOOKUP(A35,'F01 - _Données Stagiaires'!$A$6:$K$15,3,FALSE))</f>
        <v/>
      </c>
      <c r="D35" s="8">
        <f>IF(A35="","",VLOOKUP(A35,'F01 - _Données Stagiaires'!$A$6:$K$15,6,FALSE))</f>
        <v/>
      </c>
      <c r="E35" s="8" t="n"/>
      <c r="F35" s="8" t="n"/>
      <c r="G35" s="8" t="n"/>
      <c r="H35" s="8" t="n"/>
      <c r="I35" s="22">
        <f>IF(H35="","",IFERROR(F35/H35*100,0))</f>
        <v/>
      </c>
      <c r="J35" s="8" t="n"/>
      <c r="K35" s="8" t="n"/>
      <c r="L35" s="8" t="n"/>
      <c r="M35" s="8" t="n"/>
      <c r="N35" s="8" t="n"/>
    </row>
    <row r="36" ht="22" customHeight="1">
      <c r="A36" s="5" t="n"/>
      <c r="B36" s="5">
        <f>IF(A36="","",VLOOKUP(A36,'F01 - _Données Stagiaires'!$A$6:$K$15,2,FALSE))</f>
        <v/>
      </c>
      <c r="C36" s="5">
        <f>IF(A36="","",VLOOKUP(A36,'F01 - _Données Stagiaires'!$A$6:$K$15,3,FALSE))</f>
        <v/>
      </c>
      <c r="D36" s="5">
        <f>IF(A36="","",VLOOKUP(A36,'F01 - _Données Stagiaires'!$A$6:$K$15,6,FALSE))</f>
        <v/>
      </c>
      <c r="E36" s="5" t="n"/>
      <c r="F36" s="5" t="n"/>
      <c r="G36" s="5" t="n"/>
      <c r="H36" s="5" t="n"/>
      <c r="I36" s="21">
        <f>IF(H36="","",IFERROR(F36/H36*100,0))</f>
        <v/>
      </c>
      <c r="J36" s="5" t="n"/>
      <c r="K36" s="5" t="n"/>
      <c r="L36" s="5" t="n"/>
      <c r="M36" s="5" t="n"/>
      <c r="N36" s="5" t="n"/>
    </row>
    <row r="37" ht="22" customHeight="1">
      <c r="A37" s="8" t="n"/>
      <c r="B37" s="8">
        <f>IF(A37="","",VLOOKUP(A37,'F01 - _Données Stagiaires'!$A$6:$K$15,2,FALSE))</f>
        <v/>
      </c>
      <c r="C37" s="8">
        <f>IF(A37="","",VLOOKUP(A37,'F01 - _Données Stagiaires'!$A$6:$K$15,3,FALSE))</f>
        <v/>
      </c>
      <c r="D37" s="8">
        <f>IF(A37="","",VLOOKUP(A37,'F01 - _Données Stagiaires'!$A$6:$K$15,6,FALSE))</f>
        <v/>
      </c>
      <c r="E37" s="8" t="n"/>
      <c r="F37" s="8" t="n"/>
      <c r="G37" s="8" t="n"/>
      <c r="H37" s="8" t="n"/>
      <c r="I37" s="22">
        <f>IF(H37="","",IFERROR(F37/H37*100,0))</f>
        <v/>
      </c>
      <c r="J37" s="8" t="n"/>
      <c r="K37" s="8" t="n"/>
      <c r="L37" s="8" t="n"/>
      <c r="M37" s="8" t="n"/>
      <c r="N37" s="8" t="n"/>
    </row>
    <row r="38" ht="22" customHeight="1">
      <c r="A38" s="5" t="n"/>
      <c r="B38" s="5">
        <f>IF(A38="","",VLOOKUP(A38,'F01 - _Données Stagiaires'!$A$6:$K$15,2,FALSE))</f>
        <v/>
      </c>
      <c r="C38" s="5">
        <f>IF(A38="","",VLOOKUP(A38,'F01 - _Données Stagiaires'!$A$6:$K$15,3,FALSE))</f>
        <v/>
      </c>
      <c r="D38" s="5">
        <f>IF(A38="","",VLOOKUP(A38,'F01 - _Données Stagiaires'!$A$6:$K$15,6,FALSE))</f>
        <v/>
      </c>
      <c r="E38" s="5" t="n"/>
      <c r="F38" s="5" t="n"/>
      <c r="G38" s="5" t="n"/>
      <c r="H38" s="5" t="n"/>
      <c r="I38" s="21">
        <f>IF(H38="","",IFERROR(F38/H38*100,0))</f>
        <v/>
      </c>
      <c r="J38" s="5" t="n"/>
      <c r="K38" s="5" t="n"/>
      <c r="L38" s="5" t="n"/>
      <c r="M38" s="5" t="n"/>
      <c r="N38" s="5" t="n"/>
    </row>
    <row r="39" ht="22" customHeight="1">
      <c r="A39" s="8" t="n"/>
      <c r="B39" s="8">
        <f>IF(A39="","",VLOOKUP(A39,'F01 - _Données Stagiaires'!$A$6:$K$15,2,FALSE))</f>
        <v/>
      </c>
      <c r="C39" s="8">
        <f>IF(A39="","",VLOOKUP(A39,'F01 - _Données Stagiaires'!$A$6:$K$15,3,FALSE))</f>
        <v/>
      </c>
      <c r="D39" s="8">
        <f>IF(A39="","",VLOOKUP(A39,'F01 - _Données Stagiaires'!$A$6:$K$15,6,FALSE))</f>
        <v/>
      </c>
      <c r="E39" s="8" t="n"/>
      <c r="F39" s="8" t="n"/>
      <c r="G39" s="8" t="n"/>
      <c r="H39" s="8" t="n"/>
      <c r="I39" s="22">
        <f>IF(H39="","",IFERROR(F39/H39*100,0))</f>
        <v/>
      </c>
      <c r="J39" s="8" t="n"/>
      <c r="K39" s="8" t="n"/>
      <c r="L39" s="8" t="n"/>
      <c r="M39" s="8" t="n"/>
      <c r="N39" s="8" t="n"/>
    </row>
    <row r="40" ht="22" customHeight="1">
      <c r="A40" s="5" t="n"/>
      <c r="B40" s="5">
        <f>IF(A40="","",VLOOKUP(A40,'F01 - _Données Stagiaires'!$A$6:$K$15,2,FALSE))</f>
        <v/>
      </c>
      <c r="C40" s="5">
        <f>IF(A40="","",VLOOKUP(A40,'F01 - _Données Stagiaires'!$A$6:$K$15,3,FALSE))</f>
        <v/>
      </c>
      <c r="D40" s="5">
        <f>IF(A40="","",VLOOKUP(A40,'F01 - _Données Stagiaires'!$A$6:$K$15,6,FALSE))</f>
        <v/>
      </c>
      <c r="E40" s="5" t="n"/>
      <c r="F40" s="5" t="n"/>
      <c r="G40" s="5" t="n"/>
      <c r="H40" s="5" t="n"/>
      <c r="I40" s="21">
        <f>IF(H40="","",IFERROR(F40/H40*100,0))</f>
        <v/>
      </c>
      <c r="J40" s="5" t="n"/>
      <c r="K40" s="5" t="n"/>
      <c r="L40" s="5" t="n"/>
      <c r="M40" s="5" t="n"/>
      <c r="N40" s="5" t="n"/>
    </row>
    <row r="41" ht="22" customHeight="1">
      <c r="A41" s="8" t="n"/>
      <c r="B41" s="8">
        <f>IF(A41="","",VLOOKUP(A41,'F01 - _Données Stagiaires'!$A$6:$K$15,2,FALSE))</f>
        <v/>
      </c>
      <c r="C41" s="8">
        <f>IF(A41="","",VLOOKUP(A41,'F01 - _Données Stagiaires'!$A$6:$K$15,3,FALSE))</f>
        <v/>
      </c>
      <c r="D41" s="8">
        <f>IF(A41="","",VLOOKUP(A41,'F01 - _Données Stagiaires'!$A$6:$K$15,6,FALSE))</f>
        <v/>
      </c>
      <c r="E41" s="8" t="n"/>
      <c r="F41" s="8" t="n"/>
      <c r="G41" s="8" t="n"/>
      <c r="H41" s="8" t="n"/>
      <c r="I41" s="22">
        <f>IF(H41="","",IFERROR(F41/H41*100,0))</f>
        <v/>
      </c>
      <c r="J41" s="8" t="n"/>
      <c r="K41" s="8" t="n"/>
      <c r="L41" s="8" t="n"/>
      <c r="M41" s="8" t="n"/>
      <c r="N41" s="8" t="n"/>
    </row>
    <row r="42" ht="22" customHeight="1">
      <c r="A42" s="5" t="n"/>
      <c r="B42" s="5">
        <f>IF(A42="","",VLOOKUP(A42,'F01 - _Données Stagiaires'!$A$6:$K$15,2,FALSE))</f>
        <v/>
      </c>
      <c r="C42" s="5">
        <f>IF(A42="","",VLOOKUP(A42,'F01 - _Données Stagiaires'!$A$6:$K$15,3,FALSE))</f>
        <v/>
      </c>
      <c r="D42" s="5">
        <f>IF(A42="","",VLOOKUP(A42,'F01 - _Données Stagiaires'!$A$6:$K$15,6,FALSE))</f>
        <v/>
      </c>
      <c r="E42" s="5" t="n"/>
      <c r="F42" s="5" t="n"/>
      <c r="G42" s="5" t="n"/>
      <c r="H42" s="5" t="n"/>
      <c r="I42" s="21">
        <f>IF(H42="","",IFERROR(F42/H42*100,0))</f>
        <v/>
      </c>
      <c r="J42" s="5" t="n"/>
      <c r="K42" s="5" t="n"/>
      <c r="L42" s="5" t="n"/>
      <c r="M42" s="5" t="n"/>
      <c r="N42" s="5" t="n"/>
    </row>
    <row r="43" ht="22" customHeight="1">
      <c r="A43" s="8" t="n"/>
      <c r="B43" s="8">
        <f>IF(A43="","",VLOOKUP(A43,'F01 - _Données Stagiaires'!$A$6:$K$15,2,FALSE))</f>
        <v/>
      </c>
      <c r="C43" s="8">
        <f>IF(A43="","",VLOOKUP(A43,'F01 - _Données Stagiaires'!$A$6:$K$15,3,FALSE))</f>
        <v/>
      </c>
      <c r="D43" s="8">
        <f>IF(A43="","",VLOOKUP(A43,'F01 - _Données Stagiaires'!$A$6:$K$15,6,FALSE))</f>
        <v/>
      </c>
      <c r="E43" s="8" t="n"/>
      <c r="F43" s="8" t="n"/>
      <c r="G43" s="8" t="n"/>
      <c r="H43" s="8" t="n"/>
      <c r="I43" s="22">
        <f>IF(H43="","",IFERROR(F43/H43*100,0))</f>
        <v/>
      </c>
      <c r="J43" s="8" t="n"/>
      <c r="K43" s="8" t="n"/>
      <c r="L43" s="8" t="n"/>
      <c r="M43" s="8" t="n"/>
      <c r="N43" s="8" t="n"/>
    </row>
    <row r="44" ht="22" customHeight="1">
      <c r="A44" s="5" t="n"/>
      <c r="B44" s="5">
        <f>IF(A44="","",VLOOKUP(A44,'F01 - _Données Stagiaires'!$A$6:$K$15,2,FALSE))</f>
        <v/>
      </c>
      <c r="C44" s="5">
        <f>IF(A44="","",VLOOKUP(A44,'F01 - _Données Stagiaires'!$A$6:$K$15,3,FALSE))</f>
        <v/>
      </c>
      <c r="D44" s="5">
        <f>IF(A44="","",VLOOKUP(A44,'F01 - _Données Stagiaires'!$A$6:$K$15,6,FALSE))</f>
        <v/>
      </c>
      <c r="E44" s="5" t="n"/>
      <c r="F44" s="5" t="n"/>
      <c r="G44" s="5" t="n"/>
      <c r="H44" s="5" t="n"/>
      <c r="I44" s="21">
        <f>IF(H44="","",IFERROR(F44/H44*100,0))</f>
        <v/>
      </c>
      <c r="J44" s="5" t="n"/>
      <c r="K44" s="5" t="n"/>
      <c r="L44" s="5" t="n"/>
      <c r="M44" s="5" t="n"/>
      <c r="N44" s="5" t="n"/>
    </row>
    <row r="45" ht="22" customHeight="1">
      <c r="A45" s="8" t="n"/>
      <c r="B45" s="8">
        <f>IF(A45="","",VLOOKUP(A45,'F01 - _Données Stagiaires'!$A$6:$K$15,2,FALSE))</f>
        <v/>
      </c>
      <c r="C45" s="8">
        <f>IF(A45="","",VLOOKUP(A45,'F01 - _Données Stagiaires'!$A$6:$K$15,3,FALSE))</f>
        <v/>
      </c>
      <c r="D45" s="8">
        <f>IF(A45="","",VLOOKUP(A45,'F01 - _Données Stagiaires'!$A$6:$K$15,6,FALSE))</f>
        <v/>
      </c>
      <c r="E45" s="8" t="n"/>
      <c r="F45" s="8" t="n"/>
      <c r="G45" s="8" t="n"/>
      <c r="H45" s="8" t="n"/>
      <c r="I45" s="22">
        <f>IF(H45="","",IFERROR(F45/H45*100,0))</f>
        <v/>
      </c>
      <c r="J45" s="8" t="n"/>
      <c r="K45" s="8" t="n"/>
      <c r="L45" s="8" t="n"/>
      <c r="M45" s="8" t="n"/>
      <c r="N45" s="8" t="n"/>
    </row>
    <row r="46" ht="22" customHeight="1">
      <c r="A46" s="5" t="n"/>
      <c r="B46" s="5">
        <f>IF(A46="","",VLOOKUP(A46,'F01 - _Données Stagiaires'!$A$6:$K$15,2,FALSE))</f>
        <v/>
      </c>
      <c r="C46" s="5">
        <f>IF(A46="","",VLOOKUP(A46,'F01 - _Données Stagiaires'!$A$6:$K$15,3,FALSE))</f>
        <v/>
      </c>
      <c r="D46" s="5">
        <f>IF(A46="","",VLOOKUP(A46,'F01 - _Données Stagiaires'!$A$6:$K$15,6,FALSE))</f>
        <v/>
      </c>
      <c r="E46" s="5" t="n"/>
      <c r="F46" s="5" t="n"/>
      <c r="G46" s="5" t="n"/>
      <c r="H46" s="5" t="n"/>
      <c r="I46" s="21">
        <f>IF(H46="","",IFERROR(F46/H46*100,0))</f>
        <v/>
      </c>
      <c r="J46" s="5" t="n"/>
      <c r="K46" s="5" t="n"/>
      <c r="L46" s="5" t="n"/>
      <c r="M46" s="5" t="n"/>
      <c r="N46" s="5" t="n"/>
    </row>
    <row r="47" ht="22" customHeight="1">
      <c r="A47" s="8" t="n"/>
      <c r="B47" s="8">
        <f>IF(A47="","",VLOOKUP(A47,'F01 - _Données Stagiaires'!$A$6:$K$15,2,FALSE))</f>
        <v/>
      </c>
      <c r="C47" s="8">
        <f>IF(A47="","",VLOOKUP(A47,'F01 - _Données Stagiaires'!$A$6:$K$15,3,FALSE))</f>
        <v/>
      </c>
      <c r="D47" s="8">
        <f>IF(A47="","",VLOOKUP(A47,'F01 - _Données Stagiaires'!$A$6:$K$15,6,FALSE))</f>
        <v/>
      </c>
      <c r="E47" s="8" t="n"/>
      <c r="F47" s="8" t="n"/>
      <c r="G47" s="8" t="n"/>
      <c r="H47" s="8" t="n"/>
      <c r="I47" s="22">
        <f>IF(H47="","",IFERROR(F47/H47*100,0))</f>
        <v/>
      </c>
      <c r="J47" s="8" t="n"/>
      <c r="K47" s="8" t="n"/>
      <c r="L47" s="8" t="n"/>
      <c r="M47" s="8" t="n"/>
      <c r="N47" s="8" t="n"/>
    </row>
    <row r="48" ht="22" customHeight="1">
      <c r="A48" s="5" t="n"/>
      <c r="B48" s="5">
        <f>IF(A48="","",VLOOKUP(A48,'F01 - _Données Stagiaires'!$A$6:$K$15,2,FALSE))</f>
        <v/>
      </c>
      <c r="C48" s="5">
        <f>IF(A48="","",VLOOKUP(A48,'F01 - _Données Stagiaires'!$A$6:$K$15,3,FALSE))</f>
        <v/>
      </c>
      <c r="D48" s="5">
        <f>IF(A48="","",VLOOKUP(A48,'F01 - _Données Stagiaires'!$A$6:$K$15,6,FALSE))</f>
        <v/>
      </c>
      <c r="E48" s="5" t="n"/>
      <c r="F48" s="5" t="n"/>
      <c r="G48" s="5" t="n"/>
      <c r="H48" s="5" t="n"/>
      <c r="I48" s="21">
        <f>IF(H48="","",IFERROR(F48/H48*100,0))</f>
        <v/>
      </c>
      <c r="J48" s="5" t="n"/>
      <c r="K48" s="5" t="n"/>
      <c r="L48" s="5" t="n"/>
      <c r="M48" s="5" t="n"/>
      <c r="N48" s="5" t="n"/>
    </row>
    <row r="49" ht="22" customHeight="1">
      <c r="A49" s="8" t="n"/>
      <c r="B49" s="8">
        <f>IF(A49="","",VLOOKUP(A49,'F01 - _Données Stagiaires'!$A$6:$K$15,2,FALSE))</f>
        <v/>
      </c>
      <c r="C49" s="8">
        <f>IF(A49="","",VLOOKUP(A49,'F01 - _Données Stagiaires'!$A$6:$K$15,3,FALSE))</f>
        <v/>
      </c>
      <c r="D49" s="8">
        <f>IF(A49="","",VLOOKUP(A49,'F01 - _Données Stagiaires'!$A$6:$K$15,6,FALSE))</f>
        <v/>
      </c>
      <c r="E49" s="8" t="n"/>
      <c r="F49" s="8" t="n"/>
      <c r="G49" s="8" t="n"/>
      <c r="H49" s="8" t="n"/>
      <c r="I49" s="22">
        <f>IF(H49="","",IFERROR(F49/H49*100,0))</f>
        <v/>
      </c>
      <c r="J49" s="8" t="n"/>
      <c r="K49" s="8" t="n"/>
      <c r="L49" s="8" t="n"/>
      <c r="M49" s="8" t="n"/>
      <c r="N49" s="8" t="n"/>
    </row>
    <row r="50" ht="22" customHeight="1">
      <c r="A50" s="5" t="n"/>
      <c r="B50" s="5">
        <f>IF(A50="","",VLOOKUP(A50,'F01 - _Données Stagiaires'!$A$6:$K$15,2,FALSE))</f>
        <v/>
      </c>
      <c r="C50" s="5">
        <f>IF(A50="","",VLOOKUP(A50,'F01 - _Données Stagiaires'!$A$6:$K$15,3,FALSE))</f>
        <v/>
      </c>
      <c r="D50" s="5">
        <f>IF(A50="","",VLOOKUP(A50,'F01 - _Données Stagiaires'!$A$6:$K$15,6,FALSE))</f>
        <v/>
      </c>
      <c r="E50" s="5" t="n"/>
      <c r="F50" s="5" t="n"/>
      <c r="G50" s="5" t="n"/>
      <c r="H50" s="5" t="n"/>
      <c r="I50" s="21">
        <f>IF(H50="","",IFERROR(F50/H50*100,0))</f>
        <v/>
      </c>
      <c r="J50" s="5" t="n"/>
      <c r="K50" s="5" t="n"/>
      <c r="L50" s="5" t="n"/>
      <c r="M50" s="5" t="n"/>
      <c r="N50" s="5" t="n"/>
    </row>
    <row r="51" ht="22" customHeight="1">
      <c r="A51" s="8" t="n"/>
      <c r="B51" s="8">
        <f>IF(A51="","",VLOOKUP(A51,'F01 - _Données Stagiaires'!$A$6:$K$15,2,FALSE))</f>
        <v/>
      </c>
      <c r="C51" s="8">
        <f>IF(A51="","",VLOOKUP(A51,'F01 - _Données Stagiaires'!$A$6:$K$15,3,FALSE))</f>
        <v/>
      </c>
      <c r="D51" s="8">
        <f>IF(A51="","",VLOOKUP(A51,'F01 - _Données Stagiaires'!$A$6:$K$15,6,FALSE))</f>
        <v/>
      </c>
      <c r="E51" s="8" t="n"/>
      <c r="F51" s="8" t="n"/>
      <c r="G51" s="8" t="n"/>
      <c r="H51" s="8" t="n"/>
      <c r="I51" s="22">
        <f>IF(H51="","",IFERROR(F51/H51*100,0))</f>
        <v/>
      </c>
      <c r="J51" s="8" t="n"/>
      <c r="K51" s="8" t="n"/>
      <c r="L51" s="8" t="n"/>
      <c r="M51" s="8" t="n"/>
      <c r="N51" s="8" t="n"/>
    </row>
    <row r="52" ht="22" customHeight="1">
      <c r="A52" s="5" t="n"/>
      <c r="B52" s="5">
        <f>IF(A52="","",VLOOKUP(A52,'F01 - _Données Stagiaires'!$A$6:$K$15,2,FALSE))</f>
        <v/>
      </c>
      <c r="C52" s="5">
        <f>IF(A52="","",VLOOKUP(A52,'F01 - _Données Stagiaires'!$A$6:$K$15,3,FALSE))</f>
        <v/>
      </c>
      <c r="D52" s="5">
        <f>IF(A52="","",VLOOKUP(A52,'F01 - _Données Stagiaires'!$A$6:$K$15,6,FALSE))</f>
        <v/>
      </c>
      <c r="E52" s="5" t="n"/>
      <c r="F52" s="5" t="n"/>
      <c r="G52" s="5" t="n"/>
      <c r="H52" s="5" t="n"/>
      <c r="I52" s="21">
        <f>IF(H52="","",IFERROR(F52/H52*100,0))</f>
        <v/>
      </c>
      <c r="J52" s="5" t="n"/>
      <c r="K52" s="5" t="n"/>
      <c r="L52" s="5" t="n"/>
      <c r="M52" s="5" t="n"/>
      <c r="N52" s="5" t="n"/>
    </row>
    <row r="53" ht="22" customHeight="1">
      <c r="A53" s="8" t="n"/>
      <c r="B53" s="8">
        <f>IF(A53="","",VLOOKUP(A53,'F01 - _Données Stagiaires'!$A$6:$K$15,2,FALSE))</f>
        <v/>
      </c>
      <c r="C53" s="8">
        <f>IF(A53="","",VLOOKUP(A53,'F01 - _Données Stagiaires'!$A$6:$K$15,3,FALSE))</f>
        <v/>
      </c>
      <c r="D53" s="8">
        <f>IF(A53="","",VLOOKUP(A53,'F01 - _Données Stagiaires'!$A$6:$K$15,6,FALSE))</f>
        <v/>
      </c>
      <c r="E53" s="8" t="n"/>
      <c r="F53" s="8" t="n"/>
      <c r="G53" s="8" t="n"/>
      <c r="H53" s="8" t="n"/>
      <c r="I53" s="22">
        <f>IF(H53="","",IFERROR(F53/H53*100,0))</f>
        <v/>
      </c>
      <c r="J53" s="8" t="n"/>
      <c r="K53" s="8" t="n"/>
      <c r="L53" s="8" t="n"/>
      <c r="M53" s="8" t="n"/>
      <c r="N53" s="8" t="n"/>
    </row>
    <row r="54" ht="22" customHeight="1">
      <c r="A54" s="5" t="n"/>
      <c r="B54" s="5">
        <f>IF(A54="","",VLOOKUP(A54,'F01 - _Données Stagiaires'!$A$6:$K$15,2,FALSE))</f>
        <v/>
      </c>
      <c r="C54" s="5">
        <f>IF(A54="","",VLOOKUP(A54,'F01 - _Données Stagiaires'!$A$6:$K$15,3,FALSE))</f>
        <v/>
      </c>
      <c r="D54" s="5">
        <f>IF(A54="","",VLOOKUP(A54,'F01 - _Données Stagiaires'!$A$6:$K$15,6,FALSE))</f>
        <v/>
      </c>
      <c r="E54" s="5" t="n"/>
      <c r="F54" s="5" t="n"/>
      <c r="G54" s="5" t="n"/>
      <c r="H54" s="5" t="n"/>
      <c r="I54" s="21">
        <f>IF(H54="","",IFERROR(F54/H54*100,0))</f>
        <v/>
      </c>
      <c r="J54" s="5" t="n"/>
      <c r="K54" s="5" t="n"/>
      <c r="L54" s="5" t="n"/>
      <c r="M54" s="5" t="n"/>
      <c r="N54" s="5" t="n"/>
    </row>
    <row r="55" ht="22" customHeight="1">
      <c r="A55" s="8" t="n"/>
      <c r="B55" s="8">
        <f>IF(A55="","",VLOOKUP(A55,'F01 - _Données Stagiaires'!$A$6:$K$15,2,FALSE))</f>
        <v/>
      </c>
      <c r="C55" s="8">
        <f>IF(A55="","",VLOOKUP(A55,'F01 - _Données Stagiaires'!$A$6:$K$15,3,FALSE))</f>
        <v/>
      </c>
      <c r="D55" s="8">
        <f>IF(A55="","",VLOOKUP(A55,'F01 - _Données Stagiaires'!$A$6:$K$15,6,FALSE))</f>
        <v/>
      </c>
      <c r="E55" s="8" t="n"/>
      <c r="F55" s="8" t="n"/>
      <c r="G55" s="8" t="n"/>
      <c r="H55" s="8" t="n"/>
      <c r="I55" s="22">
        <f>IF(H55="","",IFERROR(F55/H55*100,0))</f>
        <v/>
      </c>
      <c r="J55" s="8" t="n"/>
      <c r="K55" s="8" t="n"/>
      <c r="L55" s="8" t="n"/>
      <c r="M55" s="8" t="n"/>
      <c r="N55" s="8" t="n"/>
    </row>
    <row r="56" ht="22" customHeight="1">
      <c r="A56" s="5" t="n"/>
      <c r="B56" s="5">
        <f>IF(A56="","",VLOOKUP(A56,'F01 - _Données Stagiaires'!$A$6:$K$15,2,FALSE))</f>
        <v/>
      </c>
      <c r="C56" s="5">
        <f>IF(A56="","",VLOOKUP(A56,'F01 - _Données Stagiaires'!$A$6:$K$15,3,FALSE))</f>
        <v/>
      </c>
      <c r="D56" s="5">
        <f>IF(A56="","",VLOOKUP(A56,'F01 - _Données Stagiaires'!$A$6:$K$15,6,FALSE))</f>
        <v/>
      </c>
      <c r="E56" s="5" t="n"/>
      <c r="F56" s="5" t="n"/>
      <c r="G56" s="5" t="n"/>
      <c r="H56" s="5" t="n"/>
      <c r="I56" s="21">
        <f>IF(H56="","",IFERROR(F56/H56*100,0))</f>
        <v/>
      </c>
      <c r="J56" s="5" t="n"/>
      <c r="K56" s="5" t="n"/>
      <c r="L56" s="5" t="n"/>
      <c r="M56" s="5" t="n"/>
      <c r="N56" s="5" t="n"/>
    </row>
    <row r="57" ht="22" customHeight="1">
      <c r="A57" s="8" t="n"/>
      <c r="B57" s="8">
        <f>IF(A57="","",VLOOKUP(A57,'F01 - _Données Stagiaires'!$A$6:$K$15,2,FALSE))</f>
        <v/>
      </c>
      <c r="C57" s="8">
        <f>IF(A57="","",VLOOKUP(A57,'F01 - _Données Stagiaires'!$A$6:$K$15,3,FALSE))</f>
        <v/>
      </c>
      <c r="D57" s="8">
        <f>IF(A57="","",VLOOKUP(A57,'F01 - _Données Stagiaires'!$A$6:$K$15,6,FALSE))</f>
        <v/>
      </c>
      <c r="E57" s="8" t="n"/>
      <c r="F57" s="8" t="n"/>
      <c r="G57" s="8" t="n"/>
      <c r="H57" s="8" t="n"/>
      <c r="I57" s="22">
        <f>IF(H57="","",IFERROR(F57/H57*100,0))</f>
        <v/>
      </c>
      <c r="J57" s="8" t="n"/>
      <c r="K57" s="8" t="n"/>
      <c r="L57" s="8" t="n"/>
      <c r="M57" s="8" t="n"/>
      <c r="N57" s="8" t="n"/>
    </row>
    <row r="58" ht="22" customHeight="1">
      <c r="A58" s="5" t="n"/>
      <c r="B58" s="5">
        <f>IF(A58="","",VLOOKUP(A58,'F01 - _Données Stagiaires'!$A$6:$K$15,2,FALSE))</f>
        <v/>
      </c>
      <c r="C58" s="5">
        <f>IF(A58="","",VLOOKUP(A58,'F01 - _Données Stagiaires'!$A$6:$K$15,3,FALSE))</f>
        <v/>
      </c>
      <c r="D58" s="5">
        <f>IF(A58="","",VLOOKUP(A58,'F01 - _Données Stagiaires'!$A$6:$K$15,6,FALSE))</f>
        <v/>
      </c>
      <c r="E58" s="5" t="n"/>
      <c r="F58" s="5" t="n"/>
      <c r="G58" s="5" t="n"/>
      <c r="H58" s="5" t="n"/>
      <c r="I58" s="21">
        <f>IF(H58="","",IFERROR(F58/H58*100,0))</f>
        <v/>
      </c>
      <c r="J58" s="5" t="n"/>
      <c r="K58" s="5" t="n"/>
      <c r="L58" s="5" t="n"/>
      <c r="M58" s="5" t="n"/>
      <c r="N58" s="5" t="n"/>
    </row>
    <row r="59" ht="22" customHeight="1">
      <c r="A59" s="8" t="n"/>
      <c r="B59" s="8">
        <f>IF(A59="","",VLOOKUP(A59,'F01 - _Données Stagiaires'!$A$6:$K$15,2,FALSE))</f>
        <v/>
      </c>
      <c r="C59" s="8">
        <f>IF(A59="","",VLOOKUP(A59,'F01 - _Données Stagiaires'!$A$6:$K$15,3,FALSE))</f>
        <v/>
      </c>
      <c r="D59" s="8">
        <f>IF(A59="","",VLOOKUP(A59,'F01 - _Données Stagiaires'!$A$6:$K$15,6,FALSE))</f>
        <v/>
      </c>
      <c r="E59" s="8" t="n"/>
      <c r="F59" s="8" t="n"/>
      <c r="G59" s="8" t="n"/>
      <c r="H59" s="8" t="n"/>
      <c r="I59" s="22">
        <f>IF(H59="","",IFERROR(F59/H59*100,0))</f>
        <v/>
      </c>
      <c r="J59" s="8" t="n"/>
      <c r="K59" s="8" t="n"/>
      <c r="L59" s="8" t="n"/>
      <c r="M59" s="8" t="n"/>
      <c r="N59" s="8" t="n"/>
    </row>
    <row r="60" ht="22" customHeight="1">
      <c r="A60" s="5" t="n"/>
      <c r="B60" s="5">
        <f>IF(A60="","",VLOOKUP(A60,'F01 - _Données Stagiaires'!$A$6:$K$15,2,FALSE))</f>
        <v/>
      </c>
      <c r="C60" s="5">
        <f>IF(A60="","",VLOOKUP(A60,'F01 - _Données Stagiaires'!$A$6:$K$15,3,FALSE))</f>
        <v/>
      </c>
      <c r="D60" s="5">
        <f>IF(A60="","",VLOOKUP(A60,'F01 - _Données Stagiaires'!$A$6:$K$15,6,FALSE))</f>
        <v/>
      </c>
      <c r="E60" s="5" t="n"/>
      <c r="F60" s="5" t="n"/>
      <c r="G60" s="5" t="n"/>
      <c r="H60" s="5" t="n"/>
      <c r="I60" s="21">
        <f>IF(H60="","",IFERROR(F60/H60*100,0))</f>
        <v/>
      </c>
      <c r="J60" s="5" t="n"/>
      <c r="K60" s="5" t="n"/>
      <c r="L60" s="5" t="n"/>
      <c r="M60" s="5" t="n"/>
      <c r="N60" s="5" t="n"/>
    </row>
    <row r="61" ht="22" customHeight="1">
      <c r="A61" s="8" t="n"/>
      <c r="B61" s="8">
        <f>IF(A61="","",VLOOKUP(A61,'F01 - _Données Stagiaires'!$A$6:$K$15,2,FALSE))</f>
        <v/>
      </c>
      <c r="C61" s="8">
        <f>IF(A61="","",VLOOKUP(A61,'F01 - _Données Stagiaires'!$A$6:$K$15,3,FALSE))</f>
        <v/>
      </c>
      <c r="D61" s="8">
        <f>IF(A61="","",VLOOKUP(A61,'F01 - _Données Stagiaires'!$A$6:$K$15,6,FALSE))</f>
        <v/>
      </c>
      <c r="E61" s="8" t="n"/>
      <c r="F61" s="8" t="n"/>
      <c r="G61" s="8" t="n"/>
      <c r="H61" s="8" t="n"/>
      <c r="I61" s="22">
        <f>IF(H61="","",IFERROR(F61/H61*100,0))</f>
        <v/>
      </c>
      <c r="J61" s="8" t="n"/>
      <c r="K61" s="8" t="n"/>
      <c r="L61" s="8" t="n"/>
      <c r="M61" s="8" t="n"/>
      <c r="N61" s="8" t="n"/>
    </row>
    <row r="62" ht="22" customHeight="1">
      <c r="A62" s="5" t="n"/>
      <c r="B62" s="5">
        <f>IF(A62="","",VLOOKUP(A62,'F01 - _Données Stagiaires'!$A$6:$K$15,2,FALSE))</f>
        <v/>
      </c>
      <c r="C62" s="5">
        <f>IF(A62="","",VLOOKUP(A62,'F01 - _Données Stagiaires'!$A$6:$K$15,3,FALSE))</f>
        <v/>
      </c>
      <c r="D62" s="5">
        <f>IF(A62="","",VLOOKUP(A62,'F01 - _Données Stagiaires'!$A$6:$K$15,6,FALSE))</f>
        <v/>
      </c>
      <c r="E62" s="5" t="n"/>
      <c r="F62" s="5" t="n"/>
      <c r="G62" s="5" t="n"/>
      <c r="H62" s="5" t="n"/>
      <c r="I62" s="21">
        <f>IF(H62="","",IFERROR(F62/H62*100,0))</f>
        <v/>
      </c>
      <c r="J62" s="5" t="n"/>
      <c r="K62" s="5" t="n"/>
      <c r="L62" s="5" t="n"/>
      <c r="M62" s="5" t="n"/>
      <c r="N62" s="5" t="n"/>
    </row>
    <row r="63" ht="22" customHeight="1">
      <c r="A63" s="8" t="n"/>
      <c r="B63" s="8">
        <f>IF(A63="","",VLOOKUP(A63,'F01 - _Données Stagiaires'!$A$6:$K$15,2,FALSE))</f>
        <v/>
      </c>
      <c r="C63" s="8">
        <f>IF(A63="","",VLOOKUP(A63,'F01 - _Données Stagiaires'!$A$6:$K$15,3,FALSE))</f>
        <v/>
      </c>
      <c r="D63" s="8">
        <f>IF(A63="","",VLOOKUP(A63,'F01 - _Données Stagiaires'!$A$6:$K$15,6,FALSE))</f>
        <v/>
      </c>
      <c r="E63" s="8" t="n"/>
      <c r="F63" s="8" t="n"/>
      <c r="G63" s="8" t="n"/>
      <c r="H63" s="8" t="n"/>
      <c r="I63" s="22">
        <f>IF(H63="","",IFERROR(F63/H63*100,0))</f>
        <v/>
      </c>
      <c r="J63" s="8" t="n"/>
      <c r="K63" s="8" t="n"/>
      <c r="L63" s="8" t="n"/>
      <c r="M63" s="8" t="n"/>
      <c r="N63" s="8" t="n"/>
    </row>
    <row r="64" ht="22" customHeight="1">
      <c r="A64" s="5" t="n"/>
      <c r="B64" s="5">
        <f>IF(A64="","",VLOOKUP(A64,'F01 - _Données Stagiaires'!$A$6:$K$15,2,FALSE))</f>
        <v/>
      </c>
      <c r="C64" s="5">
        <f>IF(A64="","",VLOOKUP(A64,'F01 - _Données Stagiaires'!$A$6:$K$15,3,FALSE))</f>
        <v/>
      </c>
      <c r="D64" s="5">
        <f>IF(A64="","",VLOOKUP(A64,'F01 - _Données Stagiaires'!$A$6:$K$15,6,FALSE))</f>
        <v/>
      </c>
      <c r="E64" s="5" t="n"/>
      <c r="F64" s="5" t="n"/>
      <c r="G64" s="5" t="n"/>
      <c r="H64" s="5" t="n"/>
      <c r="I64" s="21">
        <f>IF(H64="","",IFERROR(F64/H64*100,0))</f>
        <v/>
      </c>
      <c r="J64" s="5" t="n"/>
      <c r="K64" s="5" t="n"/>
      <c r="L64" s="5" t="n"/>
      <c r="M64" s="5" t="n"/>
      <c r="N64" s="5" t="n"/>
    </row>
    <row r="65" ht="22" customHeight="1">
      <c r="A65" s="8" t="n"/>
      <c r="B65" s="8">
        <f>IF(A65="","",VLOOKUP(A65,'F01 - _Données Stagiaires'!$A$6:$K$15,2,FALSE))</f>
        <v/>
      </c>
      <c r="C65" s="8">
        <f>IF(A65="","",VLOOKUP(A65,'F01 - _Données Stagiaires'!$A$6:$K$15,3,FALSE))</f>
        <v/>
      </c>
      <c r="D65" s="8">
        <f>IF(A65="","",VLOOKUP(A65,'F01 - _Données Stagiaires'!$A$6:$K$15,6,FALSE))</f>
        <v/>
      </c>
      <c r="E65" s="8" t="n"/>
      <c r="F65" s="8" t="n"/>
      <c r="G65" s="8" t="n"/>
      <c r="H65" s="8" t="n"/>
      <c r="I65" s="22">
        <f>IF(H65="","",IFERROR(F65/H65*100,0))</f>
        <v/>
      </c>
      <c r="J65" s="8" t="n"/>
      <c r="K65" s="8" t="n"/>
      <c r="L65" s="8" t="n"/>
      <c r="M65" s="8" t="n"/>
      <c r="N65" s="8" t="n"/>
    </row>
    <row r="66" ht="22" customHeight="1">
      <c r="A66" s="5" t="n"/>
      <c r="B66" s="5">
        <f>IF(A66="","",VLOOKUP(A66,'F01 - _Données Stagiaires'!$A$6:$K$15,2,FALSE))</f>
        <v/>
      </c>
      <c r="C66" s="5">
        <f>IF(A66="","",VLOOKUP(A66,'F01 - _Données Stagiaires'!$A$6:$K$15,3,FALSE))</f>
        <v/>
      </c>
      <c r="D66" s="5">
        <f>IF(A66="","",VLOOKUP(A66,'F01 - _Données Stagiaires'!$A$6:$K$15,6,FALSE))</f>
        <v/>
      </c>
      <c r="E66" s="5" t="n"/>
      <c r="F66" s="5" t="n"/>
      <c r="G66" s="5" t="n"/>
      <c r="H66" s="5" t="n"/>
      <c r="I66" s="21">
        <f>IF(H66="","",IFERROR(F66/H66*100,0))</f>
        <v/>
      </c>
      <c r="J66" s="5" t="n"/>
      <c r="K66" s="5" t="n"/>
      <c r="L66" s="5" t="n"/>
      <c r="M66" s="5" t="n"/>
      <c r="N66" s="5" t="n"/>
    </row>
    <row r="67" ht="22" customHeight="1">
      <c r="A67" s="8" t="n"/>
      <c r="B67" s="8">
        <f>IF(A67="","",VLOOKUP(A67,'F01 - _Données Stagiaires'!$A$6:$K$15,2,FALSE))</f>
        <v/>
      </c>
      <c r="C67" s="8">
        <f>IF(A67="","",VLOOKUP(A67,'F01 - _Données Stagiaires'!$A$6:$K$15,3,FALSE))</f>
        <v/>
      </c>
      <c r="D67" s="8">
        <f>IF(A67="","",VLOOKUP(A67,'F01 - _Données Stagiaires'!$A$6:$K$15,6,FALSE))</f>
        <v/>
      </c>
      <c r="E67" s="8" t="n"/>
      <c r="F67" s="8" t="n"/>
      <c r="G67" s="8" t="n"/>
      <c r="H67" s="8" t="n"/>
      <c r="I67" s="22">
        <f>IF(H67="","",IFERROR(F67/H67*100,0))</f>
        <v/>
      </c>
      <c r="J67" s="8" t="n"/>
      <c r="K67" s="8" t="n"/>
      <c r="L67" s="8" t="n"/>
      <c r="M67" s="8" t="n"/>
      <c r="N67" s="8" t="n"/>
    </row>
    <row r="68" ht="22" customHeight="1">
      <c r="A68" s="5" t="n"/>
      <c r="B68" s="5">
        <f>IF(A68="","",VLOOKUP(A68,'F01 - _Données Stagiaires'!$A$6:$K$15,2,FALSE))</f>
        <v/>
      </c>
      <c r="C68" s="5">
        <f>IF(A68="","",VLOOKUP(A68,'F01 - _Données Stagiaires'!$A$6:$K$15,3,FALSE))</f>
        <v/>
      </c>
      <c r="D68" s="5">
        <f>IF(A68="","",VLOOKUP(A68,'F01 - _Données Stagiaires'!$A$6:$K$15,6,FALSE))</f>
        <v/>
      </c>
      <c r="E68" s="5" t="n"/>
      <c r="F68" s="5" t="n"/>
      <c r="G68" s="5" t="n"/>
      <c r="H68" s="5" t="n"/>
      <c r="I68" s="21">
        <f>IF(H68="","",IFERROR(F68/H68*100,0))</f>
        <v/>
      </c>
      <c r="J68" s="5" t="n"/>
      <c r="K68" s="5" t="n"/>
      <c r="L68" s="5" t="n"/>
      <c r="M68" s="5" t="n"/>
      <c r="N68" s="5" t="n"/>
    </row>
    <row r="69" ht="22" customHeight="1">
      <c r="A69" s="8" t="n"/>
      <c r="B69" s="8">
        <f>IF(A69="","",VLOOKUP(A69,'F01 - _Données Stagiaires'!$A$6:$K$15,2,FALSE))</f>
        <v/>
      </c>
      <c r="C69" s="8">
        <f>IF(A69="","",VLOOKUP(A69,'F01 - _Données Stagiaires'!$A$6:$K$15,3,FALSE))</f>
        <v/>
      </c>
      <c r="D69" s="8">
        <f>IF(A69="","",VLOOKUP(A69,'F01 - _Données Stagiaires'!$A$6:$K$15,6,FALSE))</f>
        <v/>
      </c>
      <c r="E69" s="8" t="n"/>
      <c r="F69" s="8" t="n"/>
      <c r="G69" s="8" t="n"/>
      <c r="H69" s="8" t="n"/>
      <c r="I69" s="22">
        <f>IF(H69="","",IFERROR(F69/H69*100,0))</f>
        <v/>
      </c>
      <c r="J69" s="8" t="n"/>
      <c r="K69" s="8" t="n"/>
      <c r="L69" s="8" t="n"/>
      <c r="M69" s="8" t="n"/>
      <c r="N69" s="8" t="n"/>
    </row>
    <row r="70" ht="22" customHeight="1">
      <c r="A70" s="5" t="n"/>
      <c r="B70" s="5">
        <f>IF(A70="","",VLOOKUP(A70,'F01 - _Données Stagiaires'!$A$6:$K$15,2,FALSE))</f>
        <v/>
      </c>
      <c r="C70" s="5">
        <f>IF(A70="","",VLOOKUP(A70,'F01 - _Données Stagiaires'!$A$6:$K$15,3,FALSE))</f>
        <v/>
      </c>
      <c r="D70" s="5">
        <f>IF(A70="","",VLOOKUP(A70,'F01 - _Données Stagiaires'!$A$6:$K$15,6,FALSE))</f>
        <v/>
      </c>
      <c r="E70" s="5" t="n"/>
      <c r="F70" s="5" t="n"/>
      <c r="G70" s="5" t="n"/>
      <c r="H70" s="5" t="n"/>
      <c r="I70" s="21">
        <f>IF(H70="","",IFERROR(F70/H70*100,0))</f>
        <v/>
      </c>
      <c r="J70" s="5" t="n"/>
      <c r="K70" s="5" t="n"/>
      <c r="L70" s="5" t="n"/>
      <c r="M70" s="5" t="n"/>
      <c r="N70" s="5" t="n"/>
    </row>
    <row r="71" ht="22" customHeight="1">
      <c r="A71" s="8" t="n"/>
      <c r="B71" s="8">
        <f>IF(A71="","",VLOOKUP(A71,'F01 - _Données Stagiaires'!$A$6:$K$15,2,FALSE))</f>
        <v/>
      </c>
      <c r="C71" s="8">
        <f>IF(A71="","",VLOOKUP(A71,'F01 - _Données Stagiaires'!$A$6:$K$15,3,FALSE))</f>
        <v/>
      </c>
      <c r="D71" s="8">
        <f>IF(A71="","",VLOOKUP(A71,'F01 - _Données Stagiaires'!$A$6:$K$15,6,FALSE))</f>
        <v/>
      </c>
      <c r="E71" s="8" t="n"/>
      <c r="F71" s="8" t="n"/>
      <c r="G71" s="8" t="n"/>
      <c r="H71" s="8" t="n"/>
      <c r="I71" s="22">
        <f>IF(H71="","",IFERROR(F71/H71*100,0))</f>
        <v/>
      </c>
      <c r="J71" s="8" t="n"/>
      <c r="K71" s="8" t="n"/>
      <c r="L71" s="8" t="n"/>
      <c r="M71" s="8" t="n"/>
      <c r="N71" s="8" t="n"/>
    </row>
    <row r="72" ht="22" customHeight="1">
      <c r="A72" s="5" t="n"/>
      <c r="B72" s="5">
        <f>IF(A72="","",VLOOKUP(A72,'F01 - _Données Stagiaires'!$A$6:$K$15,2,FALSE))</f>
        <v/>
      </c>
      <c r="C72" s="5">
        <f>IF(A72="","",VLOOKUP(A72,'F01 - _Données Stagiaires'!$A$6:$K$15,3,FALSE))</f>
        <v/>
      </c>
      <c r="D72" s="5">
        <f>IF(A72="","",VLOOKUP(A72,'F01 - _Données Stagiaires'!$A$6:$K$15,6,FALSE))</f>
        <v/>
      </c>
      <c r="E72" s="5" t="n"/>
      <c r="F72" s="5" t="n"/>
      <c r="G72" s="5" t="n"/>
      <c r="H72" s="5" t="n"/>
      <c r="I72" s="21">
        <f>IF(H72="","",IFERROR(F72/H72*100,0))</f>
        <v/>
      </c>
      <c r="J72" s="5" t="n"/>
      <c r="K72" s="5" t="n"/>
      <c r="L72" s="5" t="n"/>
      <c r="M72" s="5" t="n"/>
      <c r="N72" s="5" t="n"/>
    </row>
    <row r="73" ht="22" customHeight="1">
      <c r="A73" s="8" t="n"/>
      <c r="B73" s="8">
        <f>IF(A73="","",VLOOKUP(A73,'F01 - _Données Stagiaires'!$A$6:$K$15,2,FALSE))</f>
        <v/>
      </c>
      <c r="C73" s="8">
        <f>IF(A73="","",VLOOKUP(A73,'F01 - _Données Stagiaires'!$A$6:$K$15,3,FALSE))</f>
        <v/>
      </c>
      <c r="D73" s="8">
        <f>IF(A73="","",VLOOKUP(A73,'F01 - _Données Stagiaires'!$A$6:$K$15,6,FALSE))</f>
        <v/>
      </c>
      <c r="E73" s="8" t="n"/>
      <c r="F73" s="8" t="n"/>
      <c r="G73" s="8" t="n"/>
      <c r="H73" s="8" t="n"/>
      <c r="I73" s="22">
        <f>IF(H73="","",IFERROR(F73/H73*100,0))</f>
        <v/>
      </c>
      <c r="J73" s="8" t="n"/>
      <c r="K73" s="8" t="n"/>
      <c r="L73" s="8" t="n"/>
      <c r="M73" s="8" t="n"/>
      <c r="N73" s="8" t="n"/>
    </row>
    <row r="74" ht="22" customHeight="1">
      <c r="A74" s="5" t="n"/>
      <c r="B74" s="5">
        <f>IF(A74="","",VLOOKUP(A74,'F01 - _Données Stagiaires'!$A$6:$K$15,2,FALSE))</f>
        <v/>
      </c>
      <c r="C74" s="5">
        <f>IF(A74="","",VLOOKUP(A74,'F01 - _Données Stagiaires'!$A$6:$K$15,3,FALSE))</f>
        <v/>
      </c>
      <c r="D74" s="5">
        <f>IF(A74="","",VLOOKUP(A74,'F01 - _Données Stagiaires'!$A$6:$K$15,6,FALSE))</f>
        <v/>
      </c>
      <c r="E74" s="5" t="n"/>
      <c r="F74" s="5" t="n"/>
      <c r="G74" s="5" t="n"/>
      <c r="H74" s="5" t="n"/>
      <c r="I74" s="21">
        <f>IF(H74="","",IFERROR(F74/H74*100,0))</f>
        <v/>
      </c>
      <c r="J74" s="5" t="n"/>
      <c r="K74" s="5" t="n"/>
      <c r="L74" s="5" t="n"/>
      <c r="M74" s="5" t="n"/>
      <c r="N74" s="5" t="n"/>
    </row>
    <row r="75" ht="22" customHeight="1">
      <c r="A75" s="8" t="n"/>
      <c r="B75" s="8">
        <f>IF(A75="","",VLOOKUP(A75,'F01 - _Données Stagiaires'!$A$6:$K$15,2,FALSE))</f>
        <v/>
      </c>
      <c r="C75" s="8">
        <f>IF(A75="","",VLOOKUP(A75,'F01 - _Données Stagiaires'!$A$6:$K$15,3,FALSE))</f>
        <v/>
      </c>
      <c r="D75" s="8">
        <f>IF(A75="","",VLOOKUP(A75,'F01 - _Données Stagiaires'!$A$6:$K$15,6,FALSE))</f>
        <v/>
      </c>
      <c r="E75" s="8" t="n"/>
      <c r="F75" s="8" t="n"/>
      <c r="G75" s="8" t="n"/>
      <c r="H75" s="8" t="n"/>
      <c r="I75" s="22">
        <f>IF(H75="","",IFERROR(F75/H75*100,0))</f>
        <v/>
      </c>
      <c r="J75" s="8" t="n"/>
      <c r="K75" s="8" t="n"/>
      <c r="L75" s="8" t="n"/>
      <c r="M75" s="8" t="n"/>
      <c r="N75" s="8" t="n"/>
    </row>
    <row r="76" ht="22" customHeight="1">
      <c r="A76" s="5" t="n"/>
      <c r="B76" s="5">
        <f>IF(A76="","",VLOOKUP(A76,'F01 - _Données Stagiaires'!$A$6:$K$15,2,FALSE))</f>
        <v/>
      </c>
      <c r="C76" s="5">
        <f>IF(A76="","",VLOOKUP(A76,'F01 - _Données Stagiaires'!$A$6:$K$15,3,FALSE))</f>
        <v/>
      </c>
      <c r="D76" s="5">
        <f>IF(A76="","",VLOOKUP(A76,'F01 - _Données Stagiaires'!$A$6:$K$15,6,FALSE))</f>
        <v/>
      </c>
      <c r="E76" s="5" t="n"/>
      <c r="F76" s="5" t="n"/>
      <c r="G76" s="5" t="n"/>
      <c r="H76" s="5" t="n"/>
      <c r="I76" s="21">
        <f>IF(H76="","",IFERROR(F76/H76*100,0))</f>
        <v/>
      </c>
      <c r="J76" s="5" t="n"/>
      <c r="K76" s="5" t="n"/>
      <c r="L76" s="5" t="n"/>
      <c r="M76" s="5" t="n"/>
      <c r="N76" s="5" t="n"/>
    </row>
    <row r="77" ht="22" customHeight="1">
      <c r="A77" s="8" t="n"/>
      <c r="B77" s="8">
        <f>IF(A77="","",VLOOKUP(A77,'F01 - _Données Stagiaires'!$A$6:$K$15,2,FALSE))</f>
        <v/>
      </c>
      <c r="C77" s="8">
        <f>IF(A77="","",VLOOKUP(A77,'F01 - _Données Stagiaires'!$A$6:$K$15,3,FALSE))</f>
        <v/>
      </c>
      <c r="D77" s="8">
        <f>IF(A77="","",VLOOKUP(A77,'F01 - _Données Stagiaires'!$A$6:$K$15,6,FALSE))</f>
        <v/>
      </c>
      <c r="E77" s="8" t="n"/>
      <c r="F77" s="8" t="n"/>
      <c r="G77" s="8" t="n"/>
      <c r="H77" s="8" t="n"/>
      <c r="I77" s="22">
        <f>IF(H77="","",IFERROR(F77/H77*100,0))</f>
        <v/>
      </c>
      <c r="J77" s="8" t="n"/>
      <c r="K77" s="8" t="n"/>
      <c r="L77" s="8" t="n"/>
      <c r="M77" s="8" t="n"/>
      <c r="N77" s="8" t="n"/>
    </row>
    <row r="78" ht="22" customHeight="1">
      <c r="A78" s="5" t="n"/>
      <c r="B78" s="5">
        <f>IF(A78="","",VLOOKUP(A78,'F01 - _Données Stagiaires'!$A$6:$K$15,2,FALSE))</f>
        <v/>
      </c>
      <c r="C78" s="5">
        <f>IF(A78="","",VLOOKUP(A78,'F01 - _Données Stagiaires'!$A$6:$K$15,3,FALSE))</f>
        <v/>
      </c>
      <c r="D78" s="5">
        <f>IF(A78="","",VLOOKUP(A78,'F01 - _Données Stagiaires'!$A$6:$K$15,6,FALSE))</f>
        <v/>
      </c>
      <c r="E78" s="5" t="n"/>
      <c r="F78" s="5" t="n"/>
      <c r="G78" s="5" t="n"/>
      <c r="H78" s="5" t="n"/>
      <c r="I78" s="21">
        <f>IF(H78="","",IFERROR(F78/H78*100,0))</f>
        <v/>
      </c>
      <c r="J78" s="5" t="n"/>
      <c r="K78" s="5" t="n"/>
      <c r="L78" s="5" t="n"/>
      <c r="M78" s="5" t="n"/>
      <c r="N78" s="5" t="n"/>
    </row>
    <row r="79" ht="22" customHeight="1">
      <c r="A79" s="8" t="n"/>
      <c r="B79" s="8">
        <f>IF(A79="","",VLOOKUP(A79,'F01 - _Données Stagiaires'!$A$6:$K$15,2,FALSE))</f>
        <v/>
      </c>
      <c r="C79" s="8">
        <f>IF(A79="","",VLOOKUP(A79,'F01 - _Données Stagiaires'!$A$6:$K$15,3,FALSE))</f>
        <v/>
      </c>
      <c r="D79" s="8">
        <f>IF(A79="","",VLOOKUP(A79,'F01 - _Données Stagiaires'!$A$6:$K$15,6,FALSE))</f>
        <v/>
      </c>
      <c r="E79" s="8" t="n"/>
      <c r="F79" s="8" t="n"/>
      <c r="G79" s="8" t="n"/>
      <c r="H79" s="8" t="n"/>
      <c r="I79" s="22">
        <f>IF(H79="","",IFERROR(F79/H79*100,0))</f>
        <v/>
      </c>
      <c r="J79" s="8" t="n"/>
      <c r="K79" s="8" t="n"/>
      <c r="L79" s="8" t="n"/>
      <c r="M79" s="8" t="n"/>
      <c r="N79" s="8" t="n"/>
    </row>
    <row r="80" ht="22" customHeight="1">
      <c r="A80" s="5" t="n"/>
      <c r="B80" s="5">
        <f>IF(A80="","",VLOOKUP(A80,'F01 - _Données Stagiaires'!$A$6:$K$15,2,FALSE))</f>
        <v/>
      </c>
      <c r="C80" s="5">
        <f>IF(A80="","",VLOOKUP(A80,'F01 - _Données Stagiaires'!$A$6:$K$15,3,FALSE))</f>
        <v/>
      </c>
      <c r="D80" s="5">
        <f>IF(A80="","",VLOOKUP(A80,'F01 - _Données Stagiaires'!$A$6:$K$15,6,FALSE))</f>
        <v/>
      </c>
      <c r="E80" s="5" t="n"/>
      <c r="F80" s="5" t="n"/>
      <c r="G80" s="5" t="n"/>
      <c r="H80" s="5" t="n"/>
      <c r="I80" s="21">
        <f>IF(H80="","",IFERROR(F80/H80*100,0))</f>
        <v/>
      </c>
      <c r="J80" s="5" t="n"/>
      <c r="K80" s="5" t="n"/>
      <c r="L80" s="5" t="n"/>
      <c r="M80" s="5" t="n"/>
      <c r="N80" s="5" t="n"/>
    </row>
    <row r="81" ht="22" customHeight="1">
      <c r="A81" s="8" t="n"/>
      <c r="B81" s="8">
        <f>IF(A81="","",VLOOKUP(A81,'F01 - _Données Stagiaires'!$A$6:$K$15,2,FALSE))</f>
        <v/>
      </c>
      <c r="C81" s="8">
        <f>IF(A81="","",VLOOKUP(A81,'F01 - _Données Stagiaires'!$A$6:$K$15,3,FALSE))</f>
        <v/>
      </c>
      <c r="D81" s="8">
        <f>IF(A81="","",VLOOKUP(A81,'F01 - _Données Stagiaires'!$A$6:$K$15,6,FALSE))</f>
        <v/>
      </c>
      <c r="E81" s="8" t="n"/>
      <c r="F81" s="8" t="n"/>
      <c r="G81" s="8" t="n"/>
      <c r="H81" s="8" t="n"/>
      <c r="I81" s="22">
        <f>IF(H81="","",IFERROR(F81/H81*100,0))</f>
        <v/>
      </c>
      <c r="J81" s="8" t="n"/>
      <c r="K81" s="8" t="n"/>
      <c r="L81" s="8" t="n"/>
      <c r="M81" s="8" t="n"/>
      <c r="N81" s="8" t="n"/>
    </row>
    <row r="82" ht="22" customHeight="1">
      <c r="A82" s="5" t="n"/>
      <c r="B82" s="5">
        <f>IF(A82="","",VLOOKUP(A82,'F01 - _Données Stagiaires'!$A$6:$K$15,2,FALSE))</f>
        <v/>
      </c>
      <c r="C82" s="5">
        <f>IF(A82="","",VLOOKUP(A82,'F01 - _Données Stagiaires'!$A$6:$K$15,3,FALSE))</f>
        <v/>
      </c>
      <c r="D82" s="5">
        <f>IF(A82="","",VLOOKUP(A82,'F01 - _Données Stagiaires'!$A$6:$K$15,6,FALSE))</f>
        <v/>
      </c>
      <c r="E82" s="5" t="n"/>
      <c r="F82" s="5" t="n"/>
      <c r="G82" s="5" t="n"/>
      <c r="H82" s="5" t="n"/>
      <c r="I82" s="21">
        <f>IF(H82="","",IFERROR(F82/H82*100,0))</f>
        <v/>
      </c>
      <c r="J82" s="5" t="n"/>
      <c r="K82" s="5" t="n"/>
      <c r="L82" s="5" t="n"/>
      <c r="M82" s="5" t="n"/>
      <c r="N82" s="5" t="n"/>
    </row>
    <row r="83" ht="22" customHeight="1">
      <c r="A83" s="8" t="n"/>
      <c r="B83" s="8">
        <f>IF(A83="","",VLOOKUP(A83,'F01 - _Données Stagiaires'!$A$6:$K$15,2,FALSE))</f>
        <v/>
      </c>
      <c r="C83" s="8">
        <f>IF(A83="","",VLOOKUP(A83,'F01 - _Données Stagiaires'!$A$6:$K$15,3,FALSE))</f>
        <v/>
      </c>
      <c r="D83" s="8">
        <f>IF(A83="","",VLOOKUP(A83,'F01 - _Données Stagiaires'!$A$6:$K$15,6,FALSE))</f>
        <v/>
      </c>
      <c r="E83" s="8" t="n"/>
      <c r="F83" s="8" t="n"/>
      <c r="G83" s="8" t="n"/>
      <c r="H83" s="8" t="n"/>
      <c r="I83" s="22">
        <f>IF(H83="","",IFERROR(F83/H83*100,0))</f>
        <v/>
      </c>
      <c r="J83" s="8" t="n"/>
      <c r="K83" s="8" t="n"/>
      <c r="L83" s="8" t="n"/>
      <c r="M83" s="8" t="n"/>
      <c r="N83" s="8" t="n"/>
    </row>
    <row r="84" ht="22" customHeight="1">
      <c r="A84" s="5" t="n"/>
      <c r="B84" s="5">
        <f>IF(A84="","",VLOOKUP(A84,'F01 - _Données Stagiaires'!$A$6:$K$15,2,FALSE))</f>
        <v/>
      </c>
      <c r="C84" s="5">
        <f>IF(A84="","",VLOOKUP(A84,'F01 - _Données Stagiaires'!$A$6:$K$15,3,FALSE))</f>
        <v/>
      </c>
      <c r="D84" s="5">
        <f>IF(A84="","",VLOOKUP(A84,'F01 - _Données Stagiaires'!$A$6:$K$15,6,FALSE))</f>
        <v/>
      </c>
      <c r="E84" s="5" t="n"/>
      <c r="F84" s="5" t="n"/>
      <c r="G84" s="5" t="n"/>
      <c r="H84" s="5" t="n"/>
      <c r="I84" s="21">
        <f>IF(H84="","",IFERROR(F84/H84*100,0))</f>
        <v/>
      </c>
      <c r="J84" s="5" t="n"/>
      <c r="K84" s="5" t="n"/>
      <c r="L84" s="5" t="n"/>
      <c r="M84" s="5" t="n"/>
      <c r="N84" s="5" t="n"/>
    </row>
    <row r="85" ht="22" customHeight="1">
      <c r="A85" s="8" t="n"/>
      <c r="B85" s="8">
        <f>IF(A85="","",VLOOKUP(A85,'F01 - _Données Stagiaires'!$A$6:$K$15,2,FALSE))</f>
        <v/>
      </c>
      <c r="C85" s="8">
        <f>IF(A85="","",VLOOKUP(A85,'F01 - _Données Stagiaires'!$A$6:$K$15,3,FALSE))</f>
        <v/>
      </c>
      <c r="D85" s="8">
        <f>IF(A85="","",VLOOKUP(A85,'F01 - _Données Stagiaires'!$A$6:$K$15,6,FALSE))</f>
        <v/>
      </c>
      <c r="E85" s="8" t="n"/>
      <c r="F85" s="8" t="n"/>
      <c r="G85" s="8" t="n"/>
      <c r="H85" s="8" t="n"/>
      <c r="I85" s="22">
        <f>IF(H85="","",IFERROR(F85/H85*100,0))</f>
        <v/>
      </c>
      <c r="J85" s="8" t="n"/>
      <c r="K85" s="8" t="n"/>
      <c r="L85" s="8" t="n"/>
      <c r="M85" s="8" t="n"/>
      <c r="N85" s="8" t="n"/>
    </row>
    <row r="86" ht="22" customHeight="1">
      <c r="A86" s="5" t="n"/>
      <c r="B86" s="5">
        <f>IF(A86="","",VLOOKUP(A86,'F01 - _Données Stagiaires'!$A$6:$K$15,2,FALSE))</f>
        <v/>
      </c>
      <c r="C86" s="5">
        <f>IF(A86="","",VLOOKUP(A86,'F01 - _Données Stagiaires'!$A$6:$K$15,3,FALSE))</f>
        <v/>
      </c>
      <c r="D86" s="5">
        <f>IF(A86="","",VLOOKUP(A86,'F01 - _Données Stagiaires'!$A$6:$K$15,6,FALSE))</f>
        <v/>
      </c>
      <c r="E86" s="5" t="n"/>
      <c r="F86" s="5" t="n"/>
      <c r="G86" s="5" t="n"/>
      <c r="H86" s="5" t="n"/>
      <c r="I86" s="21">
        <f>IF(H86="","",IFERROR(F86/H86*100,0))</f>
        <v/>
      </c>
      <c r="J86" s="5" t="n"/>
      <c r="K86" s="5" t="n"/>
      <c r="L86" s="5" t="n"/>
      <c r="M86" s="5" t="n"/>
      <c r="N86" s="5" t="n"/>
    </row>
    <row r="87" ht="22" customHeight="1">
      <c r="A87" s="8" t="n"/>
      <c r="B87" s="8">
        <f>IF(A87="","",VLOOKUP(A87,'F01 - _Données Stagiaires'!$A$6:$K$15,2,FALSE))</f>
        <v/>
      </c>
      <c r="C87" s="8">
        <f>IF(A87="","",VLOOKUP(A87,'F01 - _Données Stagiaires'!$A$6:$K$15,3,FALSE))</f>
        <v/>
      </c>
      <c r="D87" s="8">
        <f>IF(A87="","",VLOOKUP(A87,'F01 - _Données Stagiaires'!$A$6:$K$15,6,FALSE))</f>
        <v/>
      </c>
      <c r="E87" s="8" t="n"/>
      <c r="F87" s="8" t="n"/>
      <c r="G87" s="8" t="n"/>
      <c r="H87" s="8" t="n"/>
      <c r="I87" s="22">
        <f>IF(H87="","",IFERROR(F87/H87*100,0))</f>
        <v/>
      </c>
      <c r="J87" s="8" t="n"/>
      <c r="K87" s="8" t="n"/>
      <c r="L87" s="8" t="n"/>
      <c r="M87" s="8" t="n"/>
      <c r="N87" s="8" t="n"/>
    </row>
    <row r="88" ht="22" customHeight="1">
      <c r="A88" s="5" t="n"/>
      <c r="B88" s="5">
        <f>IF(A88="","",VLOOKUP(A88,'F01 - _Données Stagiaires'!$A$6:$K$15,2,FALSE))</f>
        <v/>
      </c>
      <c r="C88" s="5">
        <f>IF(A88="","",VLOOKUP(A88,'F01 - _Données Stagiaires'!$A$6:$K$15,3,FALSE))</f>
        <v/>
      </c>
      <c r="D88" s="5">
        <f>IF(A88="","",VLOOKUP(A88,'F01 - _Données Stagiaires'!$A$6:$K$15,6,FALSE))</f>
        <v/>
      </c>
      <c r="E88" s="5" t="n"/>
      <c r="F88" s="5" t="n"/>
      <c r="G88" s="5" t="n"/>
      <c r="H88" s="5" t="n"/>
      <c r="I88" s="21">
        <f>IF(H88="","",IFERROR(F88/H88*100,0))</f>
        <v/>
      </c>
      <c r="J88" s="5" t="n"/>
      <c r="K88" s="5" t="n"/>
      <c r="L88" s="5" t="n"/>
      <c r="M88" s="5" t="n"/>
      <c r="N88" s="5" t="n"/>
    </row>
    <row r="89" ht="22" customHeight="1">
      <c r="A89" s="8" t="n"/>
      <c r="B89" s="8">
        <f>IF(A89="","",VLOOKUP(A89,'F01 - _Données Stagiaires'!$A$6:$K$15,2,FALSE))</f>
        <v/>
      </c>
      <c r="C89" s="8">
        <f>IF(A89="","",VLOOKUP(A89,'F01 - _Données Stagiaires'!$A$6:$K$15,3,FALSE))</f>
        <v/>
      </c>
      <c r="D89" s="8">
        <f>IF(A89="","",VLOOKUP(A89,'F01 - _Données Stagiaires'!$A$6:$K$15,6,FALSE))</f>
        <v/>
      </c>
      <c r="E89" s="8" t="n"/>
      <c r="F89" s="8" t="n"/>
      <c r="G89" s="8" t="n"/>
      <c r="H89" s="8" t="n"/>
      <c r="I89" s="22">
        <f>IF(H89="","",IFERROR(F89/H89*100,0))</f>
        <v/>
      </c>
      <c r="J89" s="8" t="n"/>
      <c r="K89" s="8" t="n"/>
      <c r="L89" s="8" t="n"/>
      <c r="M89" s="8" t="n"/>
      <c r="N89" s="8" t="n"/>
    </row>
    <row r="90" ht="22" customHeight="1">
      <c r="A90" s="5" t="n"/>
      <c r="B90" s="5">
        <f>IF(A90="","",VLOOKUP(A90,'F01 - _Données Stagiaires'!$A$6:$K$15,2,FALSE))</f>
        <v/>
      </c>
      <c r="C90" s="5">
        <f>IF(A90="","",VLOOKUP(A90,'F01 - _Données Stagiaires'!$A$6:$K$15,3,FALSE))</f>
        <v/>
      </c>
      <c r="D90" s="5">
        <f>IF(A90="","",VLOOKUP(A90,'F01 - _Données Stagiaires'!$A$6:$K$15,6,FALSE))</f>
        <v/>
      </c>
      <c r="E90" s="5" t="n"/>
      <c r="F90" s="5" t="n"/>
      <c r="G90" s="5" t="n"/>
      <c r="H90" s="5" t="n"/>
      <c r="I90" s="21">
        <f>IF(H90="","",IFERROR(F90/H90*100,0))</f>
        <v/>
      </c>
      <c r="J90" s="5" t="n"/>
      <c r="K90" s="5" t="n"/>
      <c r="L90" s="5" t="n"/>
      <c r="M90" s="5" t="n"/>
      <c r="N90" s="5" t="n"/>
    </row>
    <row r="91" ht="22" customHeight="1">
      <c r="A91" s="8" t="n"/>
      <c r="B91" s="8">
        <f>IF(A91="","",VLOOKUP(A91,'F01 - _Données Stagiaires'!$A$6:$K$15,2,FALSE))</f>
        <v/>
      </c>
      <c r="C91" s="8">
        <f>IF(A91="","",VLOOKUP(A91,'F01 - _Données Stagiaires'!$A$6:$K$15,3,FALSE))</f>
        <v/>
      </c>
      <c r="D91" s="8">
        <f>IF(A91="","",VLOOKUP(A91,'F01 - _Données Stagiaires'!$A$6:$K$15,6,FALSE))</f>
        <v/>
      </c>
      <c r="E91" s="8" t="n"/>
      <c r="F91" s="8" t="n"/>
      <c r="G91" s="8" t="n"/>
      <c r="H91" s="8" t="n"/>
      <c r="I91" s="22">
        <f>IF(H91="","",IFERROR(F91/H91*100,0))</f>
        <v/>
      </c>
      <c r="J91" s="8" t="n"/>
      <c r="K91" s="8" t="n"/>
      <c r="L91" s="8" t="n"/>
      <c r="M91" s="8" t="n"/>
      <c r="N91" s="8" t="n"/>
    </row>
    <row r="92" ht="22" customHeight="1">
      <c r="A92" s="5" t="n"/>
      <c r="B92" s="5">
        <f>IF(A92="","",VLOOKUP(A92,'F01 - _Données Stagiaires'!$A$6:$K$15,2,FALSE))</f>
        <v/>
      </c>
      <c r="C92" s="5">
        <f>IF(A92="","",VLOOKUP(A92,'F01 - _Données Stagiaires'!$A$6:$K$15,3,FALSE))</f>
        <v/>
      </c>
      <c r="D92" s="5">
        <f>IF(A92="","",VLOOKUP(A92,'F01 - _Données Stagiaires'!$A$6:$K$15,6,FALSE))</f>
        <v/>
      </c>
      <c r="E92" s="5" t="n"/>
      <c r="F92" s="5" t="n"/>
      <c r="G92" s="5" t="n"/>
      <c r="H92" s="5" t="n"/>
      <c r="I92" s="21">
        <f>IF(H92="","",IFERROR(F92/H92*100,0))</f>
        <v/>
      </c>
      <c r="J92" s="5" t="n"/>
      <c r="K92" s="5" t="n"/>
      <c r="L92" s="5" t="n"/>
      <c r="M92" s="5" t="n"/>
      <c r="N92" s="5" t="n"/>
    </row>
    <row r="93" ht="22" customHeight="1">
      <c r="A93" s="8" t="n"/>
      <c r="B93" s="8">
        <f>IF(A93="","",VLOOKUP(A93,'F01 - _Données Stagiaires'!$A$6:$K$15,2,FALSE))</f>
        <v/>
      </c>
      <c r="C93" s="8">
        <f>IF(A93="","",VLOOKUP(A93,'F01 - _Données Stagiaires'!$A$6:$K$15,3,FALSE))</f>
        <v/>
      </c>
      <c r="D93" s="8">
        <f>IF(A93="","",VLOOKUP(A93,'F01 - _Données Stagiaires'!$A$6:$K$15,6,FALSE))</f>
        <v/>
      </c>
      <c r="E93" s="8" t="n"/>
      <c r="F93" s="8" t="n"/>
      <c r="G93" s="8" t="n"/>
      <c r="H93" s="8" t="n"/>
      <c r="I93" s="22">
        <f>IF(H93="","",IFERROR(F93/H93*100,0))</f>
        <v/>
      </c>
      <c r="J93" s="8" t="n"/>
      <c r="K93" s="8" t="n"/>
      <c r="L93" s="8" t="n"/>
      <c r="M93" s="8" t="n"/>
      <c r="N93" s="8" t="n"/>
    </row>
    <row r="94" ht="22" customHeight="1">
      <c r="A94" s="5" t="n"/>
      <c r="B94" s="5">
        <f>IF(A94="","",VLOOKUP(A94,'F01 - _Données Stagiaires'!$A$6:$K$15,2,FALSE))</f>
        <v/>
      </c>
      <c r="C94" s="5">
        <f>IF(A94="","",VLOOKUP(A94,'F01 - _Données Stagiaires'!$A$6:$K$15,3,FALSE))</f>
        <v/>
      </c>
      <c r="D94" s="5">
        <f>IF(A94="","",VLOOKUP(A94,'F01 - _Données Stagiaires'!$A$6:$K$15,6,FALSE))</f>
        <v/>
      </c>
      <c r="E94" s="5" t="n"/>
      <c r="F94" s="5" t="n"/>
      <c r="G94" s="5" t="n"/>
      <c r="H94" s="5" t="n"/>
      <c r="I94" s="21">
        <f>IF(H94="","",IFERROR(F94/H94*100,0))</f>
        <v/>
      </c>
      <c r="J94" s="5" t="n"/>
      <c r="K94" s="5" t="n"/>
      <c r="L94" s="5" t="n"/>
      <c r="M94" s="5" t="n"/>
      <c r="N94" s="5" t="n"/>
    </row>
    <row r="95" ht="22" customHeight="1">
      <c r="A95" s="8" t="n"/>
      <c r="B95" s="8">
        <f>IF(A95="","",VLOOKUP(A95,'F01 - _Données Stagiaires'!$A$6:$K$15,2,FALSE))</f>
        <v/>
      </c>
      <c r="C95" s="8">
        <f>IF(A95="","",VLOOKUP(A95,'F01 - _Données Stagiaires'!$A$6:$K$15,3,FALSE))</f>
        <v/>
      </c>
      <c r="D95" s="8">
        <f>IF(A95="","",VLOOKUP(A95,'F01 - _Données Stagiaires'!$A$6:$K$15,6,FALSE))</f>
        <v/>
      </c>
      <c r="E95" s="8" t="n"/>
      <c r="F95" s="8" t="n"/>
      <c r="G95" s="8" t="n"/>
      <c r="H95" s="8" t="n"/>
      <c r="I95" s="22">
        <f>IF(H95="","",IFERROR(F95/H95*100,0))</f>
        <v/>
      </c>
      <c r="J95" s="8" t="n"/>
      <c r="K95" s="8" t="n"/>
      <c r="L95" s="8" t="n"/>
      <c r="M95" s="8" t="n"/>
      <c r="N95" s="8" t="n"/>
    </row>
    <row r="96" ht="22" customHeight="1">
      <c r="A96" s="5" t="n"/>
      <c r="B96" s="5">
        <f>IF(A96="","",VLOOKUP(A96,'F01 - _Données Stagiaires'!$A$6:$K$15,2,FALSE))</f>
        <v/>
      </c>
      <c r="C96" s="5">
        <f>IF(A96="","",VLOOKUP(A96,'F01 - _Données Stagiaires'!$A$6:$K$15,3,FALSE))</f>
        <v/>
      </c>
      <c r="D96" s="5">
        <f>IF(A96="","",VLOOKUP(A96,'F01 - _Données Stagiaires'!$A$6:$K$15,6,FALSE))</f>
        <v/>
      </c>
      <c r="E96" s="5" t="n"/>
      <c r="F96" s="5" t="n"/>
      <c r="G96" s="5" t="n"/>
      <c r="H96" s="5" t="n"/>
      <c r="I96" s="21">
        <f>IF(H96="","",IFERROR(F96/H96*100,0))</f>
        <v/>
      </c>
      <c r="J96" s="5" t="n"/>
      <c r="K96" s="5" t="n"/>
      <c r="L96" s="5" t="n"/>
      <c r="M96" s="5" t="n"/>
      <c r="N96" s="5" t="n"/>
    </row>
    <row r="97" ht="22" customHeight="1">
      <c r="A97" s="8" t="n"/>
      <c r="B97" s="8">
        <f>IF(A97="","",VLOOKUP(A97,'F01 - _Données Stagiaires'!$A$6:$K$15,2,FALSE))</f>
        <v/>
      </c>
      <c r="C97" s="8">
        <f>IF(A97="","",VLOOKUP(A97,'F01 - _Données Stagiaires'!$A$6:$K$15,3,FALSE))</f>
        <v/>
      </c>
      <c r="D97" s="8">
        <f>IF(A97="","",VLOOKUP(A97,'F01 - _Données Stagiaires'!$A$6:$K$15,6,FALSE))</f>
        <v/>
      </c>
      <c r="E97" s="8" t="n"/>
      <c r="F97" s="8" t="n"/>
      <c r="G97" s="8" t="n"/>
      <c r="H97" s="8" t="n"/>
      <c r="I97" s="22">
        <f>IF(H97="","",IFERROR(F97/H97*100,0))</f>
        <v/>
      </c>
      <c r="J97" s="8" t="n"/>
      <c r="K97" s="8" t="n"/>
      <c r="L97" s="8" t="n"/>
      <c r="M97" s="8" t="n"/>
      <c r="N97" s="8" t="n"/>
    </row>
    <row r="98" ht="22" customHeight="1">
      <c r="A98" s="5" t="n"/>
      <c r="B98" s="5">
        <f>IF(A98="","",VLOOKUP(A98,'F01 - _Données Stagiaires'!$A$6:$K$15,2,FALSE))</f>
        <v/>
      </c>
      <c r="C98" s="5">
        <f>IF(A98="","",VLOOKUP(A98,'F01 - _Données Stagiaires'!$A$6:$K$15,3,FALSE))</f>
        <v/>
      </c>
      <c r="D98" s="5">
        <f>IF(A98="","",VLOOKUP(A98,'F01 - _Données Stagiaires'!$A$6:$K$15,6,FALSE))</f>
        <v/>
      </c>
      <c r="E98" s="5" t="n"/>
      <c r="F98" s="5" t="n"/>
      <c r="G98" s="5" t="n"/>
      <c r="H98" s="5" t="n"/>
      <c r="I98" s="21">
        <f>IF(H98="","",IFERROR(F98/H98*100,0))</f>
        <v/>
      </c>
      <c r="J98" s="5" t="n"/>
      <c r="K98" s="5" t="n"/>
      <c r="L98" s="5" t="n"/>
      <c r="M98" s="5" t="n"/>
      <c r="N98" s="5" t="n"/>
    </row>
    <row r="99" ht="22" customHeight="1">
      <c r="A99" s="8" t="n"/>
      <c r="B99" s="8">
        <f>IF(A99="","",VLOOKUP(A99,'F01 - _Données Stagiaires'!$A$6:$K$15,2,FALSE))</f>
        <v/>
      </c>
      <c r="C99" s="8">
        <f>IF(A99="","",VLOOKUP(A99,'F01 - _Données Stagiaires'!$A$6:$K$15,3,FALSE))</f>
        <v/>
      </c>
      <c r="D99" s="8">
        <f>IF(A99="","",VLOOKUP(A99,'F01 - _Données Stagiaires'!$A$6:$K$15,6,FALSE))</f>
        <v/>
      </c>
      <c r="E99" s="8" t="n"/>
      <c r="F99" s="8" t="n"/>
      <c r="G99" s="8" t="n"/>
      <c r="H99" s="8" t="n"/>
      <c r="I99" s="22">
        <f>IF(H99="","",IFERROR(F99/H99*100,0))</f>
        <v/>
      </c>
      <c r="J99" s="8" t="n"/>
      <c r="K99" s="8" t="n"/>
      <c r="L99" s="8" t="n"/>
      <c r="M99" s="8" t="n"/>
      <c r="N99" s="8" t="n"/>
    </row>
    <row r="100" ht="22" customHeight="1">
      <c r="A100" s="5" t="n"/>
      <c r="B100" s="5">
        <f>IF(A100="","",VLOOKUP(A100,'F01 - _Données Stagiaires'!$A$6:$K$15,2,FALSE))</f>
        <v/>
      </c>
      <c r="C100" s="5">
        <f>IF(A100="","",VLOOKUP(A100,'F01 - _Données Stagiaires'!$A$6:$K$15,3,FALSE))</f>
        <v/>
      </c>
      <c r="D100" s="5">
        <f>IF(A100="","",VLOOKUP(A100,'F01 - _Données Stagiaires'!$A$6:$K$15,6,FALSE))</f>
        <v/>
      </c>
      <c r="E100" s="5" t="n"/>
      <c r="F100" s="5" t="n"/>
      <c r="G100" s="5" t="n"/>
      <c r="H100" s="5" t="n"/>
      <c r="I100" s="21">
        <f>IF(H100="","",IFERROR(F100/H100*100,0))</f>
        <v/>
      </c>
      <c r="J100" s="5" t="n"/>
      <c r="K100" s="5" t="n"/>
      <c r="L100" s="5" t="n"/>
      <c r="M100" s="5" t="n"/>
      <c r="N100" s="5" t="n"/>
    </row>
    <row r="101" ht="22" customHeight="1">
      <c r="A101" s="8" t="n"/>
      <c r="B101" s="8">
        <f>IF(A101="","",VLOOKUP(A101,'F01 - _Données Stagiaires'!$A$6:$K$15,2,FALSE))</f>
        <v/>
      </c>
      <c r="C101" s="8">
        <f>IF(A101="","",VLOOKUP(A101,'F01 - _Données Stagiaires'!$A$6:$K$15,3,FALSE))</f>
        <v/>
      </c>
      <c r="D101" s="8">
        <f>IF(A101="","",VLOOKUP(A101,'F01 - _Données Stagiaires'!$A$6:$K$15,6,FALSE))</f>
        <v/>
      </c>
      <c r="E101" s="8" t="n"/>
      <c r="F101" s="8" t="n"/>
      <c r="G101" s="8" t="n"/>
      <c r="H101" s="8" t="n"/>
      <c r="I101" s="22">
        <f>IF(H101="","",IFERROR(F101/H101*100,0))</f>
        <v/>
      </c>
      <c r="J101" s="8" t="n"/>
      <c r="K101" s="8" t="n"/>
      <c r="L101" s="8" t="n"/>
      <c r="M101" s="8" t="n"/>
      <c r="N101" s="8" t="n"/>
    </row>
    <row r="102" ht="22" customHeight="1">
      <c r="A102" s="5" t="n"/>
      <c r="B102" s="5">
        <f>IF(A102="","",VLOOKUP(A102,'F01 - _Données Stagiaires'!$A$6:$K$15,2,FALSE))</f>
        <v/>
      </c>
      <c r="C102" s="5">
        <f>IF(A102="","",VLOOKUP(A102,'F01 - _Données Stagiaires'!$A$6:$K$15,3,FALSE))</f>
        <v/>
      </c>
      <c r="D102" s="5">
        <f>IF(A102="","",VLOOKUP(A102,'F01 - _Données Stagiaires'!$A$6:$K$15,6,FALSE))</f>
        <v/>
      </c>
      <c r="E102" s="5" t="n"/>
      <c r="F102" s="5" t="n"/>
      <c r="G102" s="5" t="n"/>
      <c r="H102" s="5" t="n"/>
      <c r="I102" s="21">
        <f>IF(H102="","",IFERROR(F102/H102*100,0))</f>
        <v/>
      </c>
      <c r="J102" s="5" t="n"/>
      <c r="K102" s="5" t="n"/>
      <c r="L102" s="5" t="n"/>
      <c r="M102" s="5" t="n"/>
      <c r="N102" s="5" t="n"/>
    </row>
    <row r="103" ht="22" customHeight="1">
      <c r="A103" s="8" t="n"/>
      <c r="B103" s="8">
        <f>IF(A103="","",VLOOKUP(A103,'F01 - _Données Stagiaires'!$A$6:$K$15,2,FALSE))</f>
        <v/>
      </c>
      <c r="C103" s="8">
        <f>IF(A103="","",VLOOKUP(A103,'F01 - _Données Stagiaires'!$A$6:$K$15,3,FALSE))</f>
        <v/>
      </c>
      <c r="D103" s="8">
        <f>IF(A103="","",VLOOKUP(A103,'F01 - _Données Stagiaires'!$A$6:$K$15,6,FALSE))</f>
        <v/>
      </c>
      <c r="E103" s="8" t="n"/>
      <c r="F103" s="8" t="n"/>
      <c r="G103" s="8" t="n"/>
      <c r="H103" s="8" t="n"/>
      <c r="I103" s="22">
        <f>IF(H103="","",IFERROR(F103/H103*100,0))</f>
        <v/>
      </c>
      <c r="J103" s="8" t="n"/>
      <c r="K103" s="8" t="n"/>
      <c r="L103" s="8" t="n"/>
      <c r="M103" s="8" t="n"/>
      <c r="N103" s="8" t="n"/>
    </row>
    <row r="104" ht="22" customHeight="1">
      <c r="A104" s="5" t="n"/>
      <c r="B104" s="5">
        <f>IF(A104="","",VLOOKUP(A104,'F01 - _Données Stagiaires'!$A$6:$K$15,2,FALSE))</f>
        <v/>
      </c>
      <c r="C104" s="5">
        <f>IF(A104="","",VLOOKUP(A104,'F01 - _Données Stagiaires'!$A$6:$K$15,3,FALSE))</f>
        <v/>
      </c>
      <c r="D104" s="5">
        <f>IF(A104="","",VLOOKUP(A104,'F01 - _Données Stagiaires'!$A$6:$K$15,6,FALSE))</f>
        <v/>
      </c>
      <c r="E104" s="5" t="n"/>
      <c r="F104" s="5" t="n"/>
      <c r="G104" s="5" t="n"/>
      <c r="H104" s="5" t="n"/>
      <c r="I104" s="21">
        <f>IF(H104="","",IFERROR(F104/H104*100,0))</f>
        <v/>
      </c>
      <c r="J104" s="5" t="n"/>
      <c r="K104" s="5" t="n"/>
      <c r="L104" s="5" t="n"/>
      <c r="M104" s="5" t="n"/>
      <c r="N104" s="5" t="n"/>
    </row>
    <row r="105" ht="22" customHeight="1">
      <c r="A105" s="8" t="n"/>
      <c r="B105" s="8">
        <f>IF(A105="","",VLOOKUP(A105,'F01 - _Données Stagiaires'!$A$6:$K$15,2,FALSE))</f>
        <v/>
      </c>
      <c r="C105" s="8">
        <f>IF(A105="","",VLOOKUP(A105,'F01 - _Données Stagiaires'!$A$6:$K$15,3,FALSE))</f>
        <v/>
      </c>
      <c r="D105" s="8">
        <f>IF(A105="","",VLOOKUP(A105,'F01 - _Données Stagiaires'!$A$6:$K$15,6,FALSE))</f>
        <v/>
      </c>
      <c r="E105" s="8" t="n"/>
      <c r="F105" s="8" t="n"/>
      <c r="G105" s="8" t="n"/>
      <c r="H105" s="8" t="n"/>
      <c r="I105" s="22">
        <f>IF(H105="","",IFERROR(F105/H105*100,0))</f>
        <v/>
      </c>
      <c r="J105" s="8" t="n"/>
      <c r="K105" s="8" t="n"/>
      <c r="L105" s="8" t="n"/>
      <c r="M105" s="8" t="n"/>
      <c r="N105" s="8" t="n"/>
    </row>
    <row r="106" ht="22" customHeight="1">
      <c r="A106" s="5" t="n"/>
      <c r="B106" s="5">
        <f>IF(A106="","",VLOOKUP(A106,'F01 - _Données Stagiaires'!$A$6:$K$15,2,FALSE))</f>
        <v/>
      </c>
      <c r="C106" s="5">
        <f>IF(A106="","",VLOOKUP(A106,'F01 - _Données Stagiaires'!$A$6:$K$15,3,FALSE))</f>
        <v/>
      </c>
      <c r="D106" s="5">
        <f>IF(A106="","",VLOOKUP(A106,'F01 - _Données Stagiaires'!$A$6:$K$15,6,FALSE))</f>
        <v/>
      </c>
      <c r="E106" s="5" t="n"/>
      <c r="F106" s="5" t="n"/>
      <c r="G106" s="5" t="n"/>
      <c r="H106" s="5" t="n"/>
      <c r="I106" s="21">
        <f>IF(H106="","",IFERROR(F106/H106*100,0))</f>
        <v/>
      </c>
      <c r="J106" s="5" t="n"/>
      <c r="K106" s="5" t="n"/>
      <c r="L106" s="5" t="n"/>
      <c r="M106" s="5" t="n"/>
      <c r="N106" s="5" t="n"/>
    </row>
    <row r="107" ht="22" customHeight="1">
      <c r="A107" s="8" t="n"/>
      <c r="B107" s="8">
        <f>IF(A107="","",VLOOKUP(A107,'F01 - _Données Stagiaires'!$A$6:$K$15,2,FALSE))</f>
        <v/>
      </c>
      <c r="C107" s="8">
        <f>IF(A107="","",VLOOKUP(A107,'F01 - _Données Stagiaires'!$A$6:$K$15,3,FALSE))</f>
        <v/>
      </c>
      <c r="D107" s="8">
        <f>IF(A107="","",VLOOKUP(A107,'F01 - _Données Stagiaires'!$A$6:$K$15,6,FALSE))</f>
        <v/>
      </c>
      <c r="E107" s="8" t="n"/>
      <c r="F107" s="8" t="n"/>
      <c r="G107" s="8" t="n"/>
      <c r="H107" s="8" t="n"/>
      <c r="I107" s="22">
        <f>IF(H107="","",IFERROR(F107/H107*100,0))</f>
        <v/>
      </c>
      <c r="J107" s="8" t="n"/>
      <c r="K107" s="8" t="n"/>
      <c r="L107" s="8" t="n"/>
      <c r="M107" s="8" t="n"/>
      <c r="N107" s="8" t="n"/>
    </row>
    <row r="108" ht="22" customHeight="1">
      <c r="A108" s="5" t="n"/>
      <c r="B108" s="5">
        <f>IF(A108="","",VLOOKUP(A108,'F01 - _Données Stagiaires'!$A$6:$K$15,2,FALSE))</f>
        <v/>
      </c>
      <c r="C108" s="5">
        <f>IF(A108="","",VLOOKUP(A108,'F01 - _Données Stagiaires'!$A$6:$K$15,3,FALSE))</f>
        <v/>
      </c>
      <c r="D108" s="5">
        <f>IF(A108="","",VLOOKUP(A108,'F01 - _Données Stagiaires'!$A$6:$K$15,6,FALSE))</f>
        <v/>
      </c>
      <c r="E108" s="5" t="n"/>
      <c r="F108" s="5" t="n"/>
      <c r="G108" s="5" t="n"/>
      <c r="H108" s="5" t="n"/>
      <c r="I108" s="21">
        <f>IF(H108="","",IFERROR(F108/H108*100,0))</f>
        <v/>
      </c>
      <c r="J108" s="5" t="n"/>
      <c r="K108" s="5" t="n"/>
      <c r="L108" s="5" t="n"/>
      <c r="M108" s="5" t="n"/>
      <c r="N108" s="5" t="n"/>
    </row>
    <row r="109" ht="22" customHeight="1">
      <c r="A109" s="8" t="n"/>
      <c r="B109" s="8">
        <f>IF(A109="","",VLOOKUP(A109,'F01 - _Données Stagiaires'!$A$6:$K$15,2,FALSE))</f>
        <v/>
      </c>
      <c r="C109" s="8">
        <f>IF(A109="","",VLOOKUP(A109,'F01 - _Données Stagiaires'!$A$6:$K$15,3,FALSE))</f>
        <v/>
      </c>
      <c r="D109" s="8">
        <f>IF(A109="","",VLOOKUP(A109,'F01 - _Données Stagiaires'!$A$6:$K$15,6,FALSE))</f>
        <v/>
      </c>
      <c r="E109" s="8" t="n"/>
      <c r="F109" s="8" t="n"/>
      <c r="G109" s="8" t="n"/>
      <c r="H109" s="8" t="n"/>
      <c r="I109" s="22">
        <f>IF(H109="","",IFERROR(F109/H109*100,0))</f>
        <v/>
      </c>
      <c r="J109" s="8" t="n"/>
      <c r="K109" s="8" t="n"/>
      <c r="L109" s="8" t="n"/>
      <c r="M109" s="8" t="n"/>
      <c r="N109" s="8" t="n"/>
    </row>
    <row r="110" ht="22" customHeight="1">
      <c r="A110" s="5" t="n"/>
      <c r="B110" s="5">
        <f>IF(A110="","",VLOOKUP(A110,'F01 - _Données Stagiaires'!$A$6:$K$15,2,FALSE))</f>
        <v/>
      </c>
      <c r="C110" s="5">
        <f>IF(A110="","",VLOOKUP(A110,'F01 - _Données Stagiaires'!$A$6:$K$15,3,FALSE))</f>
        <v/>
      </c>
      <c r="D110" s="5">
        <f>IF(A110="","",VLOOKUP(A110,'F01 - _Données Stagiaires'!$A$6:$K$15,6,FALSE))</f>
        <v/>
      </c>
      <c r="E110" s="5" t="n"/>
      <c r="F110" s="5" t="n"/>
      <c r="G110" s="5" t="n"/>
      <c r="H110" s="5" t="n"/>
      <c r="I110" s="21">
        <f>IF(H110="","",IFERROR(F110/H110*100,0))</f>
        <v/>
      </c>
      <c r="J110" s="5" t="n"/>
      <c r="K110" s="5" t="n"/>
      <c r="L110" s="5" t="n"/>
      <c r="M110" s="5" t="n"/>
      <c r="N110" s="5" t="n"/>
    </row>
    <row r="111" ht="22" customHeight="1">
      <c r="A111" s="8" t="n"/>
      <c r="B111" s="8">
        <f>IF(A111="","",VLOOKUP(A111,'F01 - _Données Stagiaires'!$A$6:$K$15,2,FALSE))</f>
        <v/>
      </c>
      <c r="C111" s="8">
        <f>IF(A111="","",VLOOKUP(A111,'F01 - _Données Stagiaires'!$A$6:$K$15,3,FALSE))</f>
        <v/>
      </c>
      <c r="D111" s="8">
        <f>IF(A111="","",VLOOKUP(A111,'F01 - _Données Stagiaires'!$A$6:$K$15,6,FALSE))</f>
        <v/>
      </c>
      <c r="E111" s="8" t="n"/>
      <c r="F111" s="8" t="n"/>
      <c r="G111" s="8" t="n"/>
      <c r="H111" s="8" t="n"/>
      <c r="I111" s="22">
        <f>IF(H111="","",IFERROR(F111/H111*100,0))</f>
        <v/>
      </c>
      <c r="J111" s="8" t="n"/>
      <c r="K111" s="8" t="n"/>
      <c r="L111" s="8" t="n"/>
      <c r="M111" s="8" t="n"/>
      <c r="N111" s="8" t="n"/>
    </row>
    <row r="112" ht="22" customHeight="1">
      <c r="A112" s="5" t="n"/>
      <c r="B112" s="5">
        <f>IF(A112="","",VLOOKUP(A112,'F01 - _Données Stagiaires'!$A$6:$K$15,2,FALSE))</f>
        <v/>
      </c>
      <c r="C112" s="5">
        <f>IF(A112="","",VLOOKUP(A112,'F01 - _Données Stagiaires'!$A$6:$K$15,3,FALSE))</f>
        <v/>
      </c>
      <c r="D112" s="5">
        <f>IF(A112="","",VLOOKUP(A112,'F01 - _Données Stagiaires'!$A$6:$K$15,6,FALSE))</f>
        <v/>
      </c>
      <c r="E112" s="5" t="n"/>
      <c r="F112" s="5" t="n"/>
      <c r="G112" s="5" t="n"/>
      <c r="H112" s="5" t="n"/>
      <c r="I112" s="21">
        <f>IF(H112="","",IFERROR(F112/H112*100,0))</f>
        <v/>
      </c>
      <c r="J112" s="5" t="n"/>
      <c r="K112" s="5" t="n"/>
      <c r="L112" s="5" t="n"/>
      <c r="M112" s="5" t="n"/>
      <c r="N112" s="5" t="n"/>
    </row>
    <row r="113" ht="22" customHeight="1">
      <c r="A113" s="8" t="n"/>
      <c r="B113" s="8">
        <f>IF(A113="","",VLOOKUP(A113,'F01 - _Données Stagiaires'!$A$6:$K$15,2,FALSE))</f>
        <v/>
      </c>
      <c r="C113" s="8">
        <f>IF(A113="","",VLOOKUP(A113,'F01 - _Données Stagiaires'!$A$6:$K$15,3,FALSE))</f>
        <v/>
      </c>
      <c r="D113" s="8">
        <f>IF(A113="","",VLOOKUP(A113,'F01 - _Données Stagiaires'!$A$6:$K$15,6,FALSE))</f>
        <v/>
      </c>
      <c r="E113" s="8" t="n"/>
      <c r="F113" s="8" t="n"/>
      <c r="G113" s="8" t="n"/>
      <c r="H113" s="8" t="n"/>
      <c r="I113" s="22">
        <f>IF(H113="","",IFERROR(F113/H113*100,0))</f>
        <v/>
      </c>
      <c r="J113" s="8" t="n"/>
      <c r="K113" s="8" t="n"/>
      <c r="L113" s="8" t="n"/>
      <c r="M113" s="8" t="n"/>
      <c r="N113" s="8" t="n"/>
    </row>
    <row r="114" ht="22" customHeight="1">
      <c r="A114" s="5" t="n"/>
      <c r="B114" s="5">
        <f>IF(A114="","",VLOOKUP(A114,'F01 - _Données Stagiaires'!$A$6:$K$15,2,FALSE))</f>
        <v/>
      </c>
      <c r="C114" s="5">
        <f>IF(A114="","",VLOOKUP(A114,'F01 - _Données Stagiaires'!$A$6:$K$15,3,FALSE))</f>
        <v/>
      </c>
      <c r="D114" s="5">
        <f>IF(A114="","",VLOOKUP(A114,'F01 - _Données Stagiaires'!$A$6:$K$15,6,FALSE))</f>
        <v/>
      </c>
      <c r="E114" s="5" t="n"/>
      <c r="F114" s="5" t="n"/>
      <c r="G114" s="5" t="n"/>
      <c r="H114" s="5" t="n"/>
      <c r="I114" s="21">
        <f>IF(H114="","",IFERROR(F114/H114*100,0))</f>
        <v/>
      </c>
      <c r="J114" s="5" t="n"/>
      <c r="K114" s="5" t="n"/>
      <c r="L114" s="5" t="n"/>
      <c r="M114" s="5" t="n"/>
      <c r="N114" s="5" t="n"/>
    </row>
    <row r="115" ht="22" customHeight="1">
      <c r="A115" s="8" t="n"/>
      <c r="B115" s="8">
        <f>IF(A115="","",VLOOKUP(A115,'F01 - _Données Stagiaires'!$A$6:$K$15,2,FALSE))</f>
        <v/>
      </c>
      <c r="C115" s="8">
        <f>IF(A115="","",VLOOKUP(A115,'F01 - _Données Stagiaires'!$A$6:$K$15,3,FALSE))</f>
        <v/>
      </c>
      <c r="D115" s="8">
        <f>IF(A115="","",VLOOKUP(A115,'F01 - _Données Stagiaires'!$A$6:$K$15,6,FALSE))</f>
        <v/>
      </c>
      <c r="E115" s="8" t="n"/>
      <c r="F115" s="8" t="n"/>
      <c r="G115" s="8" t="n"/>
      <c r="H115" s="8" t="n"/>
      <c r="I115" s="22">
        <f>IF(H115="","",IFERROR(F115/H115*100,0))</f>
        <v/>
      </c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1">
    <dataValidation sqref="E6:E115" showDropDown="0" showInputMessage="0" showErrorMessage="0" allowBlank="1" errorTitle="Erreur" error="Valeur invalide" promptTitle="" prompt="Choisir dans la liste: " type="list">
      <formula1>'F02 - _Lists'!$O$6:$O$17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22" customWidth="1" min="4" max="4"/>
    <col width="12" customWidth="1" min="5" max="5"/>
    <col width="36" customWidth="1" min="6" max="6"/>
    <col width="20" customWidth="1" min="7" max="7"/>
    <col width="14" customWidth="1" min="8" max="8"/>
    <col width="16" customWidth="1" min="9" max="9"/>
    <col width="2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5-ÉVALUATION STAGIAIRES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Éval.</t>
        </is>
      </c>
      <c r="B5" s="4" t="inlineStr">
        <is>
          <t>Nom Stagiaire</t>
        </is>
      </c>
      <c r="C5" s="4" t="inlineStr">
        <is>
          <t>Département</t>
        </is>
      </c>
      <c r="D5" s="4" t="inlineStr">
        <is>
          <t>Critère</t>
        </is>
      </c>
      <c r="E5" s="4" t="inlineStr">
        <is>
          <t>Note (1-5)</t>
        </is>
      </c>
      <c r="F5" s="4" t="inlineStr">
        <is>
          <t>Commentaire</t>
        </is>
      </c>
      <c r="G5" s="4" t="inlineStr">
        <is>
          <t>Évaluateur</t>
        </is>
      </c>
      <c r="H5" s="4" t="inlineStr">
        <is>
          <t>Date Éval.</t>
        </is>
      </c>
      <c r="I5" s="4" t="inlineStr">
        <is>
          <t>Période</t>
        </is>
      </c>
      <c r="J5" s="4" t="inlineStr">
        <is>
          <t>Observations</t>
        </is>
      </c>
      <c r="K5" s="4" t="inlineStr"/>
      <c r="L5" s="4" t="inlineStr"/>
      <c r="M5" s="4" t="inlineStr"/>
      <c r="N5" s="4" t="inlineStr"/>
    </row>
    <row r="6" ht="22" customHeight="1">
      <c r="A6" s="5" t="inlineStr">
        <is>
          <t>EVA-001</t>
        </is>
      </c>
      <c r="B6" s="5">
        <f>IF(B6="","",VLOOKUP(B6,'F01 - _Données Stagiaires'!$B$6:$B$15,1,FALSE))</f>
        <v/>
      </c>
      <c r="C6" s="5">
        <f>IF(B6="","",VLOOKUP(B6,'F01 - _Données Stagiaires'!$B$6:$K$15,6,FALSE))</f>
        <v/>
      </c>
      <c r="D6" s="5" t="inlineStr">
        <is>
          <t>Assiduité</t>
        </is>
      </c>
      <c r="E6" s="7" t="n">
        <v>5</v>
      </c>
      <c r="F6" s="5" t="inlineStr">
        <is>
          <t>Toujours ponctuelle et présente</t>
        </is>
      </c>
      <c r="G6" s="5" t="inlineStr">
        <is>
          <t>Chef Mbarga</t>
        </is>
      </c>
      <c r="H6" s="6" t="n">
        <v>45731</v>
      </c>
      <c r="I6" s="5" t="inlineStr">
        <is>
          <t>Mensuelle</t>
        </is>
      </c>
      <c r="J6" s="5" t="inlineStr"/>
      <c r="K6" s="5" t="inlineStr"/>
      <c r="L6" s="5" t="inlineStr"/>
      <c r="M6" s="5" t="inlineStr"/>
      <c r="N6" s="5" t="inlineStr"/>
    </row>
    <row r="7" ht="22" customHeight="1">
      <c r="A7" s="8" t="inlineStr">
        <is>
          <t>EVA-002</t>
        </is>
      </c>
      <c r="B7" s="8">
        <f>IF(B7="","",VLOOKUP(B7,'F01 - _Données Stagiaires'!$B$6:$B$15,1,FALSE))</f>
        <v/>
      </c>
      <c r="C7" s="8">
        <f>IF(B7="","",VLOOKUP(B7,'F01 - _Données Stagiaires'!$B$6:$K$15,6,FALSE))</f>
        <v/>
      </c>
      <c r="D7" s="8" t="inlineStr">
        <is>
          <t>Qualité du travail</t>
        </is>
      </c>
      <c r="E7" s="10" t="n">
        <v>4</v>
      </c>
      <c r="F7" s="8" t="inlineStr">
        <is>
          <t>Bon travail, en progression</t>
        </is>
      </c>
      <c r="G7" s="8" t="inlineStr">
        <is>
          <t>Chef Mbarga</t>
        </is>
      </c>
      <c r="H7" s="9" t="n">
        <v>45731</v>
      </c>
      <c r="I7" s="8" t="inlineStr">
        <is>
          <t>Mensuelle</t>
        </is>
      </c>
      <c r="J7" s="8" t="inlineStr"/>
      <c r="K7" s="8" t="inlineStr"/>
      <c r="L7" s="8" t="inlineStr"/>
      <c r="M7" s="8" t="inlineStr"/>
      <c r="N7" s="8" t="inlineStr"/>
    </row>
    <row r="8" ht="22" customHeight="1">
      <c r="A8" s="5" t="inlineStr">
        <is>
          <t>EVA-003</t>
        </is>
      </c>
      <c r="B8" s="5">
        <f>IF(B8="","",VLOOKUP(B8,'F01 - _Données Stagiaires'!$B$6:$B$15,1,FALSE))</f>
        <v/>
      </c>
      <c r="C8" s="5">
        <f>IF(B8="","",VLOOKUP(B8,'F01 - _Données Stagiaires'!$B$6:$K$15,6,FALSE))</f>
        <v/>
      </c>
      <c r="D8" s="5" t="inlineStr">
        <is>
          <t>Initiative</t>
        </is>
      </c>
      <c r="E8" s="7" t="n">
        <v>5</v>
      </c>
      <c r="F8" s="5" t="inlineStr">
        <is>
          <t>Propose des solutions innovantes</t>
        </is>
      </c>
      <c r="G8" s="5" t="inlineStr">
        <is>
          <t>M. Bamba</t>
        </is>
      </c>
      <c r="H8" s="6" t="n">
        <v>45731</v>
      </c>
      <c r="I8" s="5" t="inlineStr">
        <is>
          <t>Mensuelle</t>
        </is>
      </c>
      <c r="J8" s="5" t="inlineStr"/>
      <c r="K8" s="5" t="inlineStr"/>
      <c r="L8" s="5" t="inlineStr"/>
      <c r="M8" s="5" t="inlineStr"/>
      <c r="N8" s="5" t="inlineStr"/>
    </row>
    <row r="9" ht="22" customHeight="1">
      <c r="A9" s="8" t="inlineStr">
        <is>
          <t>EVA-004</t>
        </is>
      </c>
      <c r="B9" s="8">
        <f>IF(B9="","",VLOOKUP(B9,'F01 - _Données Stagiaires'!$B$6:$B$15,1,FALSE))</f>
        <v/>
      </c>
      <c r="C9" s="8">
        <f>IF(B9="","",VLOOKUP(B9,'F01 - _Données Stagiaires'!$B$6:$K$15,6,FALSE))</f>
        <v/>
      </c>
      <c r="D9" s="8" t="inlineStr">
        <is>
          <t>Communication</t>
        </is>
      </c>
      <c r="E9" s="10" t="n">
        <v>4</v>
      </c>
      <c r="F9" s="8" t="inlineStr">
        <is>
          <t>Bonne communication orale et écrite</t>
        </is>
      </c>
      <c r="G9" s="8" t="inlineStr">
        <is>
          <t>Mme Koffi</t>
        </is>
      </c>
      <c r="H9" s="9" t="n">
        <v>45731</v>
      </c>
      <c r="I9" s="8" t="inlineStr">
        <is>
          <t>Mensuelle</t>
        </is>
      </c>
      <c r="J9" s="8" t="inlineStr"/>
      <c r="K9" s="8" t="inlineStr"/>
      <c r="L9" s="8" t="inlineStr"/>
      <c r="M9" s="8" t="inlineStr"/>
      <c r="N9" s="8" t="inlineStr"/>
    </row>
    <row r="10" ht="22" customHeight="1">
      <c r="A10" s="5" t="inlineStr">
        <is>
          <t>EVA-005</t>
        </is>
      </c>
      <c r="B10" s="5">
        <f>IF(B10="","",VLOOKUP(B10,'F01 - _Données Stagiaires'!$B$6:$B$15,1,FALSE))</f>
        <v/>
      </c>
      <c r="C10" s="5">
        <f>IF(B10="","",VLOOKUP(B10,'F01 - _Données Stagiaires'!$B$6:$K$15,6,FALSE))</f>
        <v/>
      </c>
      <c r="D10" s="5" t="inlineStr">
        <is>
          <t>Respect consignes</t>
        </is>
      </c>
      <c r="E10" s="7" t="n">
        <v>3</v>
      </c>
      <c r="F10" s="5" t="inlineStr">
        <is>
          <t>Doit améliorer l'attention aux procédures</t>
        </is>
      </c>
      <c r="G10" s="5" t="inlineStr">
        <is>
          <t>M. Kamga</t>
        </is>
      </c>
      <c r="H10" s="6" t="n">
        <v>45731</v>
      </c>
      <c r="I10" s="5" t="inlineStr">
        <is>
          <t>Mensuelle</t>
        </is>
      </c>
      <c r="J10" s="5" t="inlineStr"/>
      <c r="K10" s="5" t="inlineStr"/>
      <c r="L10" s="5" t="inlineStr"/>
      <c r="M10" s="5" t="inlineStr"/>
      <c r="N10" s="5" t="inlineStr"/>
    </row>
    <row r="11" ht="22" customHeight="1">
      <c r="A11" s="8" t="n"/>
      <c r="B11" s="8">
        <f>IF(B11="","",VLOOKUP(B11,'F01 - _Données Stagiaires'!$B$6:$B$15,1,FALSE))</f>
        <v/>
      </c>
      <c r="C11" s="8">
        <f>IF(B11="","",VLOOKUP(B11,'F01 - _Données Stagiaires'!$B$6:$K$15,6,FALSE))</f>
        <v/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>
        <f>IF(B12="","",VLOOKUP(B12,'F01 - _Données Stagiaires'!$B$6:$B$15,1,FALSE))</f>
        <v/>
      </c>
      <c r="C12" s="5">
        <f>IF(B12="","",VLOOKUP(B12,'F01 - _Données Stagiaires'!$B$6:$K$15,6,FALSE))</f>
        <v/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>
        <f>IF(B13="","",VLOOKUP(B13,'F01 - _Données Stagiaires'!$B$6:$B$15,1,FALSE))</f>
        <v/>
      </c>
      <c r="C13" s="8">
        <f>IF(B13="","",VLOOKUP(B13,'F01 - _Données Stagiaires'!$B$6:$K$15,6,FALSE))</f>
        <v/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>
        <f>IF(B14="","",VLOOKUP(B14,'F01 - _Données Stagiaires'!$B$6:$B$15,1,FALSE))</f>
        <v/>
      </c>
      <c r="C14" s="5">
        <f>IF(B14="","",VLOOKUP(B14,'F01 - _Données Stagiaires'!$B$6:$K$15,6,FALSE))</f>
        <v/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>
        <f>IF(B15="","",VLOOKUP(B15,'F01 - _Données Stagiaires'!$B$6:$B$15,1,FALSE))</f>
        <v/>
      </c>
      <c r="C15" s="8">
        <f>IF(B15="","",VLOOKUP(B15,'F01 - _Données Stagiaires'!$B$6:$K$15,6,FALSE))</f>
        <v/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>
        <f>IF(B16="","",VLOOKUP(B16,'F01 - _Données Stagiaires'!$B$6:$B$15,1,FALSE))</f>
        <v/>
      </c>
      <c r="C16" s="5">
        <f>IF(B16="","",VLOOKUP(B16,'F01 - _Données Stagiaires'!$B$6:$K$15,6,FALSE))</f>
        <v/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>
        <f>IF(B17="","",VLOOKUP(B17,'F01 - _Données Stagiaires'!$B$6:$B$15,1,FALSE))</f>
        <v/>
      </c>
      <c r="C17" s="8">
        <f>IF(B17="","",VLOOKUP(B17,'F01 - _Données Stagiaires'!$B$6:$K$15,6,FALSE))</f>
        <v/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>
        <f>IF(B18="","",VLOOKUP(B18,'F01 - _Données Stagiaires'!$B$6:$B$15,1,FALSE))</f>
        <v/>
      </c>
      <c r="C18" s="5">
        <f>IF(B18="","",VLOOKUP(B18,'F01 - _Données Stagiaires'!$B$6:$K$15,6,FALSE))</f>
        <v/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>
        <f>IF(B19="","",VLOOKUP(B19,'F01 - _Données Stagiaires'!$B$6:$B$15,1,FALSE))</f>
        <v/>
      </c>
      <c r="C19" s="8">
        <f>IF(B19="","",VLOOKUP(B19,'F01 - _Données Stagiaires'!$B$6:$K$15,6,FALSE))</f>
        <v/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>
        <f>IF(B20="","",VLOOKUP(B20,'F01 - _Données Stagiaires'!$B$6:$B$15,1,FALSE))</f>
        <v/>
      </c>
      <c r="C20" s="5">
        <f>IF(B20="","",VLOOKUP(B20,'F01 - _Données Stagiaires'!$B$6:$K$15,6,FALSE))</f>
        <v/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>
        <f>IF(B21="","",VLOOKUP(B21,'F01 - _Données Stagiaires'!$B$6:$B$15,1,FALSE))</f>
        <v/>
      </c>
      <c r="C21" s="8">
        <f>IF(B21="","",VLOOKUP(B21,'F01 - _Données Stagiaires'!$B$6:$K$15,6,FALSE))</f>
        <v/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>
        <f>IF(B22="","",VLOOKUP(B22,'F01 - _Données Stagiaires'!$B$6:$B$15,1,FALSE))</f>
        <v/>
      </c>
      <c r="C22" s="5">
        <f>IF(B22="","",VLOOKUP(B22,'F01 - _Données Stagiaires'!$B$6:$K$15,6,FALSE))</f>
        <v/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>
        <f>IF(B23="","",VLOOKUP(B23,'F01 - _Données Stagiaires'!$B$6:$B$15,1,FALSE))</f>
        <v/>
      </c>
      <c r="C23" s="8">
        <f>IF(B23="","",VLOOKUP(B23,'F01 - _Données Stagiaires'!$B$6:$K$15,6,FALSE))</f>
        <v/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>
        <f>IF(B24="","",VLOOKUP(B24,'F01 - _Données Stagiaires'!$B$6:$B$15,1,FALSE))</f>
        <v/>
      </c>
      <c r="C24" s="5">
        <f>IF(B24="","",VLOOKUP(B24,'F01 - _Données Stagiaires'!$B$6:$K$15,6,FALSE))</f>
        <v/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>
        <f>IF(B25="","",VLOOKUP(B25,'F01 - _Données Stagiaires'!$B$6:$B$15,1,FALSE))</f>
        <v/>
      </c>
      <c r="C25" s="8">
        <f>IF(B25="","",VLOOKUP(B25,'F01 - _Données Stagiaires'!$B$6:$K$15,6,FALSE))</f>
        <v/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>
        <f>IF(B26="","",VLOOKUP(B26,'F01 - _Données Stagiaires'!$B$6:$B$15,1,FALSE))</f>
        <v/>
      </c>
      <c r="C26" s="5">
        <f>IF(B26="","",VLOOKUP(B26,'F01 - _Données Stagiaires'!$B$6:$K$15,6,FALSE))</f>
        <v/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>
        <f>IF(B27="","",VLOOKUP(B27,'F01 - _Données Stagiaires'!$B$6:$B$15,1,FALSE))</f>
        <v/>
      </c>
      <c r="C27" s="8">
        <f>IF(B27="","",VLOOKUP(B27,'F01 - _Données Stagiaires'!$B$6:$K$15,6,FALSE))</f>
        <v/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>
        <f>IF(B28="","",VLOOKUP(B28,'F01 - _Données Stagiaires'!$B$6:$B$15,1,FALSE))</f>
        <v/>
      </c>
      <c r="C28" s="5">
        <f>IF(B28="","",VLOOKUP(B28,'F01 - _Données Stagiaires'!$B$6:$K$15,6,FALSE))</f>
        <v/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>
        <f>IF(B29="","",VLOOKUP(B29,'F01 - _Données Stagiaires'!$B$6:$B$15,1,FALSE))</f>
        <v/>
      </c>
      <c r="C29" s="8">
        <f>IF(B29="","",VLOOKUP(B29,'F01 - _Données Stagiaires'!$B$6:$K$15,6,FALSE))</f>
        <v/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>
        <f>IF(B30="","",VLOOKUP(B30,'F01 - _Données Stagiaires'!$B$6:$B$15,1,FALSE))</f>
        <v/>
      </c>
      <c r="C30" s="5">
        <f>IF(B30="","",VLOOKUP(B30,'F01 - _Données Stagiaires'!$B$6:$K$15,6,FALSE))</f>
        <v/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>
        <f>IF(B31="","",VLOOKUP(B31,'F01 - _Données Stagiaires'!$B$6:$B$15,1,FALSE))</f>
        <v/>
      </c>
      <c r="C31" s="8">
        <f>IF(B31="","",VLOOKUP(B31,'F01 - _Données Stagiaires'!$B$6:$K$15,6,FALSE))</f>
        <v/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>
        <f>IF(B32="","",VLOOKUP(B32,'F01 - _Données Stagiaires'!$B$6:$B$15,1,FALSE))</f>
        <v/>
      </c>
      <c r="C32" s="5">
        <f>IF(B32="","",VLOOKUP(B32,'F01 - _Données Stagiaires'!$B$6:$K$15,6,FALSE))</f>
        <v/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>
        <f>IF(B33="","",VLOOKUP(B33,'F01 - _Données Stagiaires'!$B$6:$B$15,1,FALSE))</f>
        <v/>
      </c>
      <c r="C33" s="8">
        <f>IF(B33="","",VLOOKUP(B33,'F01 - _Données Stagiaires'!$B$6:$K$15,6,FALSE))</f>
        <v/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>
        <f>IF(B34="","",VLOOKUP(B34,'F01 - _Données Stagiaires'!$B$6:$B$15,1,FALSE))</f>
        <v/>
      </c>
      <c r="C34" s="5">
        <f>IF(B34="","",VLOOKUP(B34,'F01 - _Données Stagiaires'!$B$6:$K$15,6,FALSE))</f>
        <v/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>
        <f>IF(B35="","",VLOOKUP(B35,'F01 - _Données Stagiaires'!$B$6:$B$15,1,FALSE))</f>
        <v/>
      </c>
      <c r="C35" s="8">
        <f>IF(B35="","",VLOOKUP(B35,'F01 - _Données Stagiaires'!$B$6:$K$15,6,FALSE))</f>
        <v/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>
        <f>IF(B36="","",VLOOKUP(B36,'F01 - _Données Stagiaires'!$B$6:$B$15,1,FALSE))</f>
        <v/>
      </c>
      <c r="C36" s="5">
        <f>IF(B36="","",VLOOKUP(B36,'F01 - _Données Stagiaires'!$B$6:$K$15,6,FALSE))</f>
        <v/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>
        <f>IF(B37="","",VLOOKUP(B37,'F01 - _Données Stagiaires'!$B$6:$B$15,1,FALSE))</f>
        <v/>
      </c>
      <c r="C37" s="8">
        <f>IF(B37="","",VLOOKUP(B37,'F01 - _Données Stagiaires'!$B$6:$K$15,6,FALSE))</f>
        <v/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>
        <f>IF(B38="","",VLOOKUP(B38,'F01 - _Données Stagiaires'!$B$6:$B$15,1,FALSE))</f>
        <v/>
      </c>
      <c r="C38" s="5">
        <f>IF(B38="","",VLOOKUP(B38,'F01 - _Données Stagiaires'!$B$6:$K$15,6,FALSE))</f>
        <v/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>
        <f>IF(B39="","",VLOOKUP(B39,'F01 - _Données Stagiaires'!$B$6:$B$15,1,FALSE))</f>
        <v/>
      </c>
      <c r="C39" s="8">
        <f>IF(B39="","",VLOOKUP(B39,'F01 - _Données Stagiaires'!$B$6:$K$15,6,FALSE))</f>
        <v/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>
        <f>IF(B40="","",VLOOKUP(B40,'F01 - _Données Stagiaires'!$B$6:$B$15,1,FALSE))</f>
        <v/>
      </c>
      <c r="C40" s="5">
        <f>IF(B40="","",VLOOKUP(B40,'F01 - _Données Stagiaires'!$B$6:$K$15,6,FALSE))</f>
        <v/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>
        <f>IF(B41="","",VLOOKUP(B41,'F01 - _Données Stagiaires'!$B$6:$B$15,1,FALSE))</f>
        <v/>
      </c>
      <c r="C41" s="8">
        <f>IF(B41="","",VLOOKUP(B41,'F01 - _Données Stagiaires'!$B$6:$K$15,6,FALSE))</f>
        <v/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>
        <f>IF(B42="","",VLOOKUP(B42,'F01 - _Données Stagiaires'!$B$6:$B$15,1,FALSE))</f>
        <v/>
      </c>
      <c r="C42" s="5">
        <f>IF(B42="","",VLOOKUP(B42,'F01 - _Données Stagiaires'!$B$6:$K$15,6,FALSE))</f>
        <v/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>
        <f>IF(B43="","",VLOOKUP(B43,'F01 - _Données Stagiaires'!$B$6:$B$15,1,FALSE))</f>
        <v/>
      </c>
      <c r="C43" s="8">
        <f>IF(B43="","",VLOOKUP(B43,'F01 - _Données Stagiaires'!$B$6:$K$15,6,FALSE))</f>
        <v/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>
        <f>IF(B44="","",VLOOKUP(B44,'F01 - _Données Stagiaires'!$B$6:$B$15,1,FALSE))</f>
        <v/>
      </c>
      <c r="C44" s="5">
        <f>IF(B44="","",VLOOKUP(B44,'F01 - _Données Stagiaires'!$B$6:$K$15,6,FALSE))</f>
        <v/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>
        <f>IF(B45="","",VLOOKUP(B45,'F01 - _Données Stagiaires'!$B$6:$B$15,1,FALSE))</f>
        <v/>
      </c>
      <c r="C45" s="8">
        <f>IF(B45="","",VLOOKUP(B45,'F01 - _Données Stagiaires'!$B$6:$K$15,6,FALSE))</f>
        <v/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>
        <f>IF(B46="","",VLOOKUP(B46,'F01 - _Données Stagiaires'!$B$6:$B$15,1,FALSE))</f>
        <v/>
      </c>
      <c r="C46" s="5">
        <f>IF(B46="","",VLOOKUP(B46,'F01 - _Données Stagiaires'!$B$6:$K$15,6,FALSE))</f>
        <v/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>
        <f>IF(B47="","",VLOOKUP(B47,'F01 - _Données Stagiaires'!$B$6:$B$15,1,FALSE))</f>
        <v/>
      </c>
      <c r="C47" s="8">
        <f>IF(B47="","",VLOOKUP(B47,'F01 - _Données Stagiaires'!$B$6:$K$15,6,FALSE))</f>
        <v/>
      </c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>
        <f>IF(B48="","",VLOOKUP(B48,'F01 - _Données Stagiaires'!$B$6:$B$15,1,FALSE))</f>
        <v/>
      </c>
      <c r="C48" s="5">
        <f>IF(B48="","",VLOOKUP(B48,'F01 - _Données Stagiaires'!$B$6:$K$15,6,FALSE))</f>
        <v/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>
        <f>IF(B49="","",VLOOKUP(B49,'F01 - _Données Stagiaires'!$B$6:$B$15,1,FALSE))</f>
        <v/>
      </c>
      <c r="C49" s="8">
        <f>IF(B49="","",VLOOKUP(B49,'F01 - _Données Stagiaires'!$B$6:$K$15,6,FALSE))</f>
        <v/>
      </c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>
        <f>IF(B50="","",VLOOKUP(B50,'F01 - _Données Stagiaires'!$B$6:$B$15,1,FALSE))</f>
        <v/>
      </c>
      <c r="C50" s="5">
        <f>IF(B50="","",VLOOKUP(B50,'F01 - _Données Stagiaires'!$B$6:$K$15,6,FALSE))</f>
        <v/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>
        <f>IF(B51="","",VLOOKUP(B51,'F01 - _Données Stagiaires'!$B$6:$B$15,1,FALSE))</f>
        <v/>
      </c>
      <c r="C51" s="8">
        <f>IF(B51="","",VLOOKUP(B51,'F01 - _Données Stagiaires'!$B$6:$K$15,6,FALSE))</f>
        <v/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>
        <f>IF(B52="","",VLOOKUP(B52,'F01 - _Données Stagiaires'!$B$6:$B$15,1,FALSE))</f>
        <v/>
      </c>
      <c r="C52" s="5">
        <f>IF(B52="","",VLOOKUP(B52,'F01 - _Données Stagiaires'!$B$6:$K$15,6,FALSE))</f>
        <v/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>
        <f>IF(B53="","",VLOOKUP(B53,'F01 - _Données Stagiaires'!$B$6:$B$15,1,FALSE))</f>
        <v/>
      </c>
      <c r="C53" s="8">
        <f>IF(B53="","",VLOOKUP(B53,'F01 - _Données Stagiaires'!$B$6:$K$15,6,FALSE))</f>
        <v/>
      </c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>
        <f>IF(B54="","",VLOOKUP(B54,'F01 - _Données Stagiaires'!$B$6:$B$15,1,FALSE))</f>
        <v/>
      </c>
      <c r="C54" s="5">
        <f>IF(B54="","",VLOOKUP(B54,'F01 - _Données Stagiaires'!$B$6:$K$15,6,FALSE))</f>
        <v/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>
        <f>IF(B55="","",VLOOKUP(B55,'F01 - _Données Stagiaires'!$B$6:$B$15,1,FALSE))</f>
        <v/>
      </c>
      <c r="C55" s="8">
        <f>IF(B55="","",VLOOKUP(B55,'F01 - _Données Stagiaires'!$B$6:$K$15,6,FALSE))</f>
        <v/>
      </c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>
        <f>IF(B56="","",VLOOKUP(B56,'F01 - _Données Stagiaires'!$B$6:$B$15,1,FALSE))</f>
        <v/>
      </c>
      <c r="C56" s="5">
        <f>IF(B56="","",VLOOKUP(B56,'F01 - _Données Stagiaires'!$B$6:$K$15,6,FALSE))</f>
        <v/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>
        <f>IF(B57="","",VLOOKUP(B57,'F01 - _Données Stagiaires'!$B$6:$B$15,1,FALSE))</f>
        <v/>
      </c>
      <c r="C57" s="8">
        <f>IF(B57="","",VLOOKUP(B57,'F01 - _Données Stagiaires'!$B$6:$K$15,6,FALSE))</f>
        <v/>
      </c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>
        <f>IF(B58="","",VLOOKUP(B58,'F01 - _Données Stagiaires'!$B$6:$B$15,1,FALSE))</f>
        <v/>
      </c>
      <c r="C58" s="5">
        <f>IF(B58="","",VLOOKUP(B58,'F01 - _Données Stagiaires'!$B$6:$K$15,6,FALSE))</f>
        <v/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>
        <f>IF(B59="","",VLOOKUP(B59,'F01 - _Données Stagiaires'!$B$6:$B$15,1,FALSE))</f>
        <v/>
      </c>
      <c r="C59" s="8">
        <f>IF(B59="","",VLOOKUP(B59,'F01 - _Données Stagiaires'!$B$6:$K$15,6,FALSE))</f>
        <v/>
      </c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>
        <f>IF(B60="","",VLOOKUP(B60,'F01 - _Données Stagiaires'!$B$6:$B$15,1,FALSE))</f>
        <v/>
      </c>
      <c r="C60" s="5">
        <f>IF(B60="","",VLOOKUP(B60,'F01 - _Données Stagiaires'!$B$6:$K$15,6,FALSE))</f>
        <v/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>
        <f>IF(B61="","",VLOOKUP(B61,'F01 - _Données Stagiaires'!$B$6:$B$15,1,FALSE))</f>
        <v/>
      </c>
      <c r="C61" s="8">
        <f>IF(B61="","",VLOOKUP(B61,'F01 - _Données Stagiaires'!$B$6:$K$15,6,FALSE))</f>
        <v/>
      </c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>
        <f>IF(B62="","",VLOOKUP(B62,'F01 - _Données Stagiaires'!$B$6:$B$15,1,FALSE))</f>
        <v/>
      </c>
      <c r="C62" s="5">
        <f>IF(B62="","",VLOOKUP(B62,'F01 - _Données Stagiaires'!$B$6:$K$15,6,FALSE))</f>
        <v/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>
        <f>IF(B63="","",VLOOKUP(B63,'F01 - _Données Stagiaires'!$B$6:$B$15,1,FALSE))</f>
        <v/>
      </c>
      <c r="C63" s="8">
        <f>IF(B63="","",VLOOKUP(B63,'F01 - _Données Stagiaires'!$B$6:$K$15,6,FALSE))</f>
        <v/>
      </c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>
        <f>IF(B64="","",VLOOKUP(B64,'F01 - _Données Stagiaires'!$B$6:$B$15,1,FALSE))</f>
        <v/>
      </c>
      <c r="C64" s="5">
        <f>IF(B64="","",VLOOKUP(B64,'F01 - _Données Stagiaires'!$B$6:$K$15,6,FALSE))</f>
        <v/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>
        <f>IF(B65="","",VLOOKUP(B65,'F01 - _Données Stagiaires'!$B$6:$B$15,1,FALSE))</f>
        <v/>
      </c>
      <c r="C65" s="8">
        <f>IF(B65="","",VLOOKUP(B65,'F01 - _Données Stagiaires'!$B$6:$K$15,6,FALSE))</f>
        <v/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>
        <f>IF(B66="","",VLOOKUP(B66,'F01 - _Données Stagiaires'!$B$6:$B$15,1,FALSE))</f>
        <v/>
      </c>
      <c r="C66" s="5">
        <f>IF(B66="","",VLOOKUP(B66,'F01 - _Données Stagiaires'!$B$6:$K$15,6,FALSE))</f>
        <v/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>
        <f>IF(B67="","",VLOOKUP(B67,'F01 - _Données Stagiaires'!$B$6:$B$15,1,FALSE))</f>
        <v/>
      </c>
      <c r="C67" s="8">
        <f>IF(B67="","",VLOOKUP(B67,'F01 - _Données Stagiaires'!$B$6:$K$15,6,FALSE))</f>
        <v/>
      </c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>
        <f>IF(B68="","",VLOOKUP(B68,'F01 - _Données Stagiaires'!$B$6:$B$15,1,FALSE))</f>
        <v/>
      </c>
      <c r="C68" s="5">
        <f>IF(B68="","",VLOOKUP(B68,'F01 - _Données Stagiaires'!$B$6:$K$15,6,FALSE))</f>
        <v/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>
        <f>IF(B69="","",VLOOKUP(B69,'F01 - _Données Stagiaires'!$B$6:$B$15,1,FALSE))</f>
        <v/>
      </c>
      <c r="C69" s="8">
        <f>IF(B69="","",VLOOKUP(B69,'F01 - _Données Stagiaires'!$B$6:$K$15,6,FALSE))</f>
        <v/>
      </c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>
        <f>IF(B70="","",VLOOKUP(B70,'F01 - _Données Stagiaires'!$B$6:$B$15,1,FALSE))</f>
        <v/>
      </c>
      <c r="C70" s="5">
        <f>IF(B70="","",VLOOKUP(B70,'F01 - _Données Stagiaires'!$B$6:$K$15,6,FALSE))</f>
        <v/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>
        <f>IF(B71="","",VLOOKUP(B71,'F01 - _Données Stagiaires'!$B$6:$B$15,1,FALSE))</f>
        <v/>
      </c>
      <c r="C71" s="8">
        <f>IF(B71="","",VLOOKUP(B71,'F01 - _Données Stagiaires'!$B$6:$K$15,6,FALSE))</f>
        <v/>
      </c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>
        <f>IF(B72="","",VLOOKUP(B72,'F01 - _Données Stagiaires'!$B$6:$B$15,1,FALSE))</f>
        <v/>
      </c>
      <c r="C72" s="5">
        <f>IF(B72="","",VLOOKUP(B72,'F01 - _Données Stagiaires'!$B$6:$K$15,6,FALSE))</f>
        <v/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>
        <f>IF(B73="","",VLOOKUP(B73,'F01 - _Données Stagiaires'!$B$6:$B$15,1,FALSE))</f>
        <v/>
      </c>
      <c r="C73" s="8">
        <f>IF(B73="","",VLOOKUP(B73,'F01 - _Données Stagiaires'!$B$6:$K$15,6,FALSE))</f>
        <v/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>
        <f>IF(B74="","",VLOOKUP(B74,'F01 - _Données Stagiaires'!$B$6:$B$15,1,FALSE))</f>
        <v/>
      </c>
      <c r="C74" s="5">
        <f>IF(B74="","",VLOOKUP(B74,'F01 - _Données Stagiaires'!$B$6:$K$15,6,FALSE))</f>
        <v/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>
        <f>IF(B75="","",VLOOKUP(B75,'F01 - _Données Stagiaires'!$B$6:$B$15,1,FALSE))</f>
        <v/>
      </c>
      <c r="C75" s="8">
        <f>IF(B75="","",VLOOKUP(B75,'F01 - _Données Stagiaires'!$B$6:$K$15,6,FALSE))</f>
        <v/>
      </c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>
        <f>IF(B76="","",VLOOKUP(B76,'F01 - _Données Stagiaires'!$B$6:$B$15,1,FALSE))</f>
        <v/>
      </c>
      <c r="C76" s="5">
        <f>IF(B76="","",VLOOKUP(B76,'F01 - _Données Stagiaires'!$B$6:$K$15,6,FALSE))</f>
        <v/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>
        <f>IF(B77="","",VLOOKUP(B77,'F01 - _Données Stagiaires'!$B$6:$B$15,1,FALSE))</f>
        <v/>
      </c>
      <c r="C77" s="8">
        <f>IF(B77="","",VLOOKUP(B77,'F01 - _Données Stagiaires'!$B$6:$K$15,6,FALSE))</f>
        <v/>
      </c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>
        <f>IF(B78="","",VLOOKUP(B78,'F01 - _Données Stagiaires'!$B$6:$B$15,1,FALSE))</f>
        <v/>
      </c>
      <c r="C78" s="5">
        <f>IF(B78="","",VLOOKUP(B78,'F01 - _Données Stagiaires'!$B$6:$K$15,6,FALSE))</f>
        <v/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>
        <f>IF(B79="","",VLOOKUP(B79,'F01 - _Données Stagiaires'!$B$6:$B$15,1,FALSE))</f>
        <v/>
      </c>
      <c r="C79" s="8">
        <f>IF(B79="","",VLOOKUP(B79,'F01 - _Données Stagiaires'!$B$6:$K$15,6,FALSE))</f>
        <v/>
      </c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>
        <f>IF(B80="","",VLOOKUP(B80,'F01 - _Données Stagiaires'!$B$6:$B$15,1,FALSE))</f>
        <v/>
      </c>
      <c r="C80" s="5">
        <f>IF(B80="","",VLOOKUP(B80,'F01 - _Données Stagiaires'!$B$6:$K$15,6,FALSE))</f>
        <v/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>
        <f>IF(B81="","",VLOOKUP(B81,'F01 - _Données Stagiaires'!$B$6:$B$15,1,FALSE))</f>
        <v/>
      </c>
      <c r="C81" s="8">
        <f>IF(B81="","",VLOOKUP(B81,'F01 - _Données Stagiaires'!$B$6:$K$15,6,FALSE))</f>
        <v/>
      </c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>
        <f>IF(B82="","",VLOOKUP(B82,'F01 - _Données Stagiaires'!$B$6:$B$15,1,FALSE))</f>
        <v/>
      </c>
      <c r="C82" s="5">
        <f>IF(B82="","",VLOOKUP(B82,'F01 - _Données Stagiaires'!$B$6:$K$15,6,FALSE))</f>
        <v/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>
        <f>IF(B83="","",VLOOKUP(B83,'F01 - _Données Stagiaires'!$B$6:$B$15,1,FALSE))</f>
        <v/>
      </c>
      <c r="C83" s="8">
        <f>IF(B83="","",VLOOKUP(B83,'F01 - _Données Stagiaires'!$B$6:$K$15,6,FALSE))</f>
        <v/>
      </c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>
        <f>IF(B84="","",VLOOKUP(B84,'F01 - _Données Stagiaires'!$B$6:$B$15,1,FALSE))</f>
        <v/>
      </c>
      <c r="C84" s="5">
        <f>IF(B84="","",VLOOKUP(B84,'F01 - _Données Stagiaires'!$B$6:$K$15,6,FALSE))</f>
        <v/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>
        <f>IF(B85="","",VLOOKUP(B85,'F01 - _Données Stagiaires'!$B$6:$B$15,1,FALSE))</f>
        <v/>
      </c>
      <c r="C85" s="8">
        <f>IF(B85="","",VLOOKUP(B85,'F01 - _Données Stagiaires'!$B$6:$K$15,6,FALSE))</f>
        <v/>
      </c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>
        <f>IF(B86="","",VLOOKUP(B86,'F01 - _Données Stagiaires'!$B$6:$B$15,1,FALSE))</f>
        <v/>
      </c>
      <c r="C86" s="5">
        <f>IF(B86="","",VLOOKUP(B86,'F01 - _Données Stagiaires'!$B$6:$K$15,6,FALSE))</f>
        <v/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>
        <f>IF(B87="","",VLOOKUP(B87,'F01 - _Données Stagiaires'!$B$6:$B$15,1,FALSE))</f>
        <v/>
      </c>
      <c r="C87" s="8">
        <f>IF(B87="","",VLOOKUP(B87,'F01 - _Données Stagiaires'!$B$6:$K$15,6,FALSE))</f>
        <v/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>
        <f>IF(B88="","",VLOOKUP(B88,'F01 - _Données Stagiaires'!$B$6:$B$15,1,FALSE))</f>
        <v/>
      </c>
      <c r="C88" s="5">
        <f>IF(B88="","",VLOOKUP(B88,'F01 - _Données Stagiaires'!$B$6:$K$15,6,FALSE))</f>
        <v/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>
        <f>IF(B89="","",VLOOKUP(B89,'F01 - _Données Stagiaires'!$B$6:$B$15,1,FALSE))</f>
        <v/>
      </c>
      <c r="C89" s="8">
        <f>IF(B89="","",VLOOKUP(B89,'F01 - _Données Stagiaires'!$B$6:$K$15,6,FALSE))</f>
        <v/>
      </c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>
        <f>IF(B90="","",VLOOKUP(B90,'F01 - _Données Stagiaires'!$B$6:$B$15,1,FALSE))</f>
        <v/>
      </c>
      <c r="C90" s="5">
        <f>IF(B90="","",VLOOKUP(B90,'F01 - _Données Stagiaires'!$B$6:$K$15,6,FALSE))</f>
        <v/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>
        <f>IF(B91="","",VLOOKUP(B91,'F01 - _Données Stagiaires'!$B$6:$B$15,1,FALSE))</f>
        <v/>
      </c>
      <c r="C91" s="8">
        <f>IF(B91="","",VLOOKUP(B91,'F01 - _Données Stagiaires'!$B$6:$K$15,6,FALSE))</f>
        <v/>
      </c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>
        <f>IF(B92="","",VLOOKUP(B92,'F01 - _Données Stagiaires'!$B$6:$B$15,1,FALSE))</f>
        <v/>
      </c>
      <c r="C92" s="5">
        <f>IF(B92="","",VLOOKUP(B92,'F01 - _Données Stagiaires'!$B$6:$K$15,6,FALSE))</f>
        <v/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>
        <f>IF(B93="","",VLOOKUP(B93,'F01 - _Données Stagiaires'!$B$6:$B$15,1,FALSE))</f>
        <v/>
      </c>
      <c r="C93" s="8">
        <f>IF(B93="","",VLOOKUP(B93,'F01 - _Données Stagiaires'!$B$6:$K$15,6,FALSE))</f>
        <v/>
      </c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>
        <f>IF(B94="","",VLOOKUP(B94,'F01 - _Données Stagiaires'!$B$6:$B$15,1,FALSE))</f>
        <v/>
      </c>
      <c r="C94" s="5">
        <f>IF(B94="","",VLOOKUP(B94,'F01 - _Données Stagiaires'!$B$6:$K$15,6,FALSE))</f>
        <v/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>
        <f>IF(B95="","",VLOOKUP(B95,'F01 - _Données Stagiaires'!$B$6:$B$15,1,FALSE))</f>
        <v/>
      </c>
      <c r="C95" s="8">
        <f>IF(B95="","",VLOOKUP(B95,'F01 - _Données Stagiaires'!$B$6:$K$15,6,FALSE))</f>
        <v/>
      </c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>
        <f>IF(B96="","",VLOOKUP(B96,'F01 - _Données Stagiaires'!$B$6:$B$15,1,FALSE))</f>
        <v/>
      </c>
      <c r="C96" s="5">
        <f>IF(B96="","",VLOOKUP(B96,'F01 - _Données Stagiaires'!$B$6:$K$15,6,FALSE))</f>
        <v/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>
        <f>IF(B97="","",VLOOKUP(B97,'F01 - _Données Stagiaires'!$B$6:$B$15,1,FALSE))</f>
        <v/>
      </c>
      <c r="C97" s="8">
        <f>IF(B97="","",VLOOKUP(B97,'F01 - _Données Stagiaires'!$B$6:$K$15,6,FALSE))</f>
        <v/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>
        <f>IF(B98="","",VLOOKUP(B98,'F01 - _Données Stagiaires'!$B$6:$B$15,1,FALSE))</f>
        <v/>
      </c>
      <c r="C98" s="5">
        <f>IF(B98="","",VLOOKUP(B98,'F01 - _Données Stagiaires'!$B$6:$K$15,6,FALSE))</f>
        <v/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>
        <f>IF(B99="","",VLOOKUP(B99,'F01 - _Données Stagiaires'!$B$6:$B$15,1,FALSE))</f>
        <v/>
      </c>
      <c r="C99" s="8">
        <f>IF(B99="","",VLOOKUP(B99,'F01 - _Données Stagiaires'!$B$6:$K$15,6,FALSE))</f>
        <v/>
      </c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>
        <f>IF(B100="","",VLOOKUP(B100,'F01 - _Données Stagiaires'!$B$6:$B$15,1,FALSE))</f>
        <v/>
      </c>
      <c r="C100" s="5">
        <f>IF(B100="","",VLOOKUP(B100,'F01 - _Données Stagiaires'!$B$6:$K$15,6,FALSE))</f>
        <v/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>
        <f>IF(B101="","",VLOOKUP(B101,'F01 - _Données Stagiaires'!$B$6:$B$15,1,FALSE))</f>
        <v/>
      </c>
      <c r="C101" s="8">
        <f>IF(B101="","",VLOOKUP(B101,'F01 - _Données Stagiaires'!$B$6:$K$15,6,FALSE))</f>
        <v/>
      </c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>
        <f>IF(B102="","",VLOOKUP(B102,'F01 - _Données Stagiaires'!$B$6:$B$15,1,FALSE))</f>
        <v/>
      </c>
      <c r="C102" s="5">
        <f>IF(B102="","",VLOOKUP(B102,'F01 - _Données Stagiaires'!$B$6:$K$15,6,FALSE))</f>
        <v/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>
        <f>IF(B103="","",VLOOKUP(B103,'F01 - _Données Stagiaires'!$B$6:$B$15,1,FALSE))</f>
        <v/>
      </c>
      <c r="C103" s="8">
        <f>IF(B103="","",VLOOKUP(B103,'F01 - _Données Stagiaires'!$B$6:$K$15,6,FALSE))</f>
        <v/>
      </c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>
        <f>IF(B104="","",VLOOKUP(B104,'F01 - _Données Stagiaires'!$B$6:$B$15,1,FALSE))</f>
        <v/>
      </c>
      <c r="C104" s="5">
        <f>IF(B104="","",VLOOKUP(B104,'F01 - _Données Stagiaires'!$B$6:$K$15,6,FALSE))</f>
        <v/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>
        <f>IF(B105="","",VLOOKUP(B105,'F01 - _Données Stagiaires'!$B$6:$B$15,1,FALSE))</f>
        <v/>
      </c>
      <c r="C105" s="8">
        <f>IF(B105="","",VLOOKUP(B105,'F01 - _Données Stagiaires'!$B$6:$K$15,6,FALSE))</f>
        <v/>
      </c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>
        <f>IF(B106="","",VLOOKUP(B106,'F01 - _Données Stagiaires'!$B$6:$B$15,1,FALSE))</f>
        <v/>
      </c>
      <c r="C106" s="5">
        <f>IF(B106="","",VLOOKUP(B106,'F01 - _Données Stagiaires'!$B$6:$K$15,6,FALSE))</f>
        <v/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>
        <f>IF(B107="","",VLOOKUP(B107,'F01 - _Données Stagiaires'!$B$6:$B$15,1,FALSE))</f>
        <v/>
      </c>
      <c r="C107" s="8">
        <f>IF(B107="","",VLOOKUP(B107,'F01 - _Données Stagiaires'!$B$6:$K$15,6,FALSE))</f>
        <v/>
      </c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>
        <f>IF(B108="","",VLOOKUP(B108,'F01 - _Données Stagiaires'!$B$6:$B$15,1,FALSE))</f>
        <v/>
      </c>
      <c r="C108" s="5">
        <f>IF(B108="","",VLOOKUP(B108,'F01 - _Données Stagiaires'!$B$6:$K$15,6,FALSE))</f>
        <v/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>
        <f>IF(B109="","",VLOOKUP(B109,'F01 - _Données Stagiaires'!$B$6:$B$15,1,FALSE))</f>
        <v/>
      </c>
      <c r="C109" s="8">
        <f>IF(B109="","",VLOOKUP(B109,'F01 - _Données Stagiaires'!$B$6:$K$15,6,FALSE))</f>
        <v/>
      </c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>
        <f>IF(B110="","",VLOOKUP(B110,'F01 - _Données Stagiaires'!$B$6:$B$15,1,FALSE))</f>
        <v/>
      </c>
      <c r="C110" s="5">
        <f>IF(B110="","",VLOOKUP(B110,'F01 - _Données Stagiaires'!$B$6:$K$15,6,FALSE))</f>
        <v/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>
        <f>IF(B111="","",VLOOKUP(B111,'F01 - _Données Stagiaires'!$B$6:$B$15,1,FALSE))</f>
        <v/>
      </c>
      <c r="C111" s="8">
        <f>IF(B111="","",VLOOKUP(B111,'F01 - _Données Stagiaires'!$B$6:$K$15,6,FALSE))</f>
        <v/>
      </c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>
        <f>IF(B112="","",VLOOKUP(B112,'F01 - _Données Stagiaires'!$B$6:$B$15,1,FALSE))</f>
        <v/>
      </c>
      <c r="C112" s="5">
        <f>IF(B112="","",VLOOKUP(B112,'F01 - _Données Stagiaires'!$B$6:$K$15,6,FALSE))</f>
        <v/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>
        <f>IF(B113="","",VLOOKUP(B113,'F01 - _Données Stagiaires'!$B$6:$B$15,1,FALSE))</f>
        <v/>
      </c>
      <c r="C113" s="8">
        <f>IF(B113="","",VLOOKUP(B113,'F01 - _Données Stagiaires'!$B$6:$K$15,6,FALSE))</f>
        <v/>
      </c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>
        <f>IF(B114="","",VLOOKUP(B114,'F01 - _Données Stagiaires'!$B$6:$B$15,1,FALSE))</f>
        <v/>
      </c>
      <c r="C114" s="5">
        <f>IF(B114="","",VLOOKUP(B114,'F01 - _Données Stagiaires'!$B$6:$K$15,6,FALSE))</f>
        <v/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>
        <f>IF(B115="","",VLOOKUP(B115,'F01 - _Données Stagiaires'!$B$6:$B$15,1,FALSE))</f>
        <v/>
      </c>
      <c r="C115" s="8">
        <f>IF(B115="","",VLOOKUP(B115,'F01 - _Données Stagiaires'!$B$6:$K$15,6,FALSE))</f>
        <v/>
      </c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3">
    <dataValidation sqref="D6:D115" showDropDown="0" showInputMessage="0" showErrorMessage="0" allowBlank="1" errorTitle="Erreur" error="Valeur invalide" promptTitle="" prompt="Choisir dans la liste: " type="list">
      <formula1>'F02 - _Lists'!$J$6:$J$12</formula1>
    </dataValidation>
    <dataValidation sqref="E6:E115" showDropDown="0" showInputMessage="0" showErrorMessage="0" allowBlank="1" errorTitle="Erreur" error="Valeur invalide" promptTitle="" prompt="Choisir dans la liste: " type="list">
      <formula1>'F02 - _Lists'!$U$6:$U$10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_Lists'!$N$6:$N$10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4" customWidth="1" min="3" max="3"/>
    <col width="32" customWidth="1" min="4" max="4"/>
    <col width="20" customWidth="1" min="5" max="5"/>
    <col width="14" customWidth="1" min="6" max="6"/>
    <col width="14" customWidth="1" min="7" max="7"/>
    <col width="14" customWidth="1" min="8" max="8"/>
    <col width="30" customWidth="1" min="9" max="9"/>
    <col width="2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6-PLAN D'INTÉGRATION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Nom Stagiaire</t>
        </is>
      </c>
      <c r="B5" s="4" t="inlineStr">
        <is>
          <t>Département</t>
        </is>
      </c>
      <c r="C5" s="4" t="inlineStr">
        <is>
          <t>Étape</t>
        </is>
      </c>
      <c r="D5" s="4" t="inlineStr">
        <is>
          <t>Activité</t>
        </is>
      </c>
      <c r="E5" s="4" t="inlineStr">
        <is>
          <t>Responsable</t>
        </is>
      </c>
      <c r="F5" s="4" t="inlineStr">
        <is>
          <t>Date Début</t>
        </is>
      </c>
      <c r="G5" s="4" t="inlineStr">
        <is>
          <t>Date Fin</t>
        </is>
      </c>
      <c r="H5" s="4" t="inlineStr">
        <is>
          <t>Statut</t>
        </is>
      </c>
      <c r="I5" s="4" t="inlineStr">
        <is>
          <t>Commentaire</t>
        </is>
      </c>
      <c r="J5" s="4" t="inlineStr">
        <is>
          <t>Observations</t>
        </is>
      </c>
      <c r="K5" s="4" t="inlineStr"/>
      <c r="L5" s="4" t="inlineStr"/>
      <c r="M5" s="4" t="inlineStr"/>
      <c r="N5" s="4" t="inlineStr"/>
    </row>
    <row r="6" ht="22" customHeight="1">
      <c r="A6" s="5" t="inlineStr">
        <is>
          <t>Koné Aminata</t>
        </is>
      </c>
      <c r="B6" s="5" t="inlineStr">
        <is>
          <t>Cuisine &amp; Restauration</t>
        </is>
      </c>
      <c r="C6" s="5" t="inlineStr">
        <is>
          <t>Accueil administratif</t>
        </is>
      </c>
      <c r="D6" s="5" t="inlineStr">
        <is>
          <t>Remise badge et dossier</t>
        </is>
      </c>
      <c r="E6" s="5" t="inlineStr">
        <is>
          <t>DRH</t>
        </is>
      </c>
      <c r="F6" s="6" t="n">
        <v>45663</v>
      </c>
      <c r="G6" s="6" t="n">
        <v>45663</v>
      </c>
      <c r="H6" s="5" t="inlineStr">
        <is>
          <t>Terminé</t>
        </is>
      </c>
      <c r="I6" s="5" t="inlineStr">
        <is>
          <t>Dossier complet</t>
        </is>
      </c>
      <c r="J6" s="5" t="inlineStr"/>
      <c r="K6" s="5" t="inlineStr"/>
      <c r="L6" s="5" t="inlineStr"/>
      <c r="M6" s="5" t="inlineStr"/>
      <c r="N6" s="5" t="inlineStr"/>
    </row>
    <row r="7" ht="22" customHeight="1">
      <c r="A7" s="8" t="inlineStr">
        <is>
          <t>Koné Aminata</t>
        </is>
      </c>
      <c r="B7" s="8" t="inlineStr">
        <is>
          <t>Cuisine &amp; Restauration</t>
        </is>
      </c>
      <c r="C7" s="8" t="inlineStr">
        <is>
          <t>Visite des locaux</t>
        </is>
      </c>
      <c r="D7" s="8" t="inlineStr">
        <is>
          <t>Visite cuisine, restaurant, réserve</t>
        </is>
      </c>
      <c r="E7" s="8" t="inlineStr">
        <is>
          <t>Chef Mbarga</t>
        </is>
      </c>
      <c r="F7" s="9" t="n">
        <v>45663</v>
      </c>
      <c r="G7" s="9" t="n">
        <v>45664</v>
      </c>
      <c r="H7" s="8" t="inlineStr">
        <is>
          <t>Terminé</t>
        </is>
      </c>
      <c r="I7" s="8" t="inlineStr">
        <is>
          <t>Visite complète effectuée</t>
        </is>
      </c>
      <c r="J7" s="8" t="inlineStr"/>
      <c r="K7" s="8" t="inlineStr"/>
      <c r="L7" s="8" t="inlineStr"/>
      <c r="M7" s="8" t="inlineStr"/>
      <c r="N7" s="8" t="inlineStr"/>
    </row>
    <row r="8" ht="22" customHeight="1">
      <c r="A8" s="5" t="inlineStr">
        <is>
          <t>Traoré Ibrahim</t>
        </is>
      </c>
      <c r="B8" s="5" t="inlineStr">
        <is>
          <t>Informatique</t>
        </is>
      </c>
      <c r="C8" s="5" t="inlineStr">
        <is>
          <t>Formation sécurité</t>
        </is>
      </c>
      <c r="D8" s="5" t="inlineStr">
        <is>
          <t>Sensibilisation SI et sécurité données</t>
        </is>
      </c>
      <c r="E8" s="5" t="inlineStr">
        <is>
          <t>M. Bamba</t>
        </is>
      </c>
      <c r="F8" s="6" t="n">
        <v>45689</v>
      </c>
      <c r="G8" s="6" t="n">
        <v>45689</v>
      </c>
      <c r="H8" s="5" t="inlineStr">
        <is>
          <t>Terminé</t>
        </is>
      </c>
      <c r="I8" s="5" t="inlineStr">
        <is>
          <t>Charte signée</t>
        </is>
      </c>
      <c r="J8" s="5" t="inlineStr"/>
      <c r="K8" s="5" t="inlineStr"/>
      <c r="L8" s="5" t="inlineStr"/>
      <c r="M8" s="5" t="inlineStr"/>
      <c r="N8" s="5" t="inlineStr"/>
    </row>
    <row r="9" ht="22" customHeight="1">
      <c r="A9" s="8" t="inlineStr">
        <is>
          <t>Bamba Mariam</t>
        </is>
      </c>
      <c r="B9" s="8" t="inlineStr">
        <is>
          <t>Cuisine &amp; Restauration</t>
        </is>
      </c>
      <c r="C9" s="8" t="inlineStr">
        <is>
          <t>Briefing poste</t>
        </is>
      </c>
      <c r="D9" s="8" t="inlineStr">
        <is>
          <t>Présentation brigade et planning</t>
        </is>
      </c>
      <c r="E9" s="8" t="inlineStr">
        <is>
          <t>Chef Mbarga</t>
        </is>
      </c>
      <c r="F9" s="9" t="n">
        <v>45717</v>
      </c>
      <c r="G9" s="9" t="n">
        <v>45718</v>
      </c>
      <c r="H9" s="8" t="inlineStr">
        <is>
          <t>Planifié</t>
        </is>
      </c>
      <c r="I9" s="8" t="inlineStr">
        <is>
          <t>À programmer</t>
        </is>
      </c>
      <c r="J9" s="8" t="inlineStr"/>
      <c r="K9" s="8" t="inlineStr"/>
      <c r="L9" s="8" t="inlineStr"/>
      <c r="M9" s="8" t="inlineStr"/>
      <c r="N9" s="8" t="inlineStr"/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3">
    <dataValidation sqref="B6:B115" showDropDown="0" showInputMessage="0" showErrorMessage="0" allowBlank="1" errorTitle="Erreur" error="Valeur invalide" promptTitle="" prompt="Choisir dans la liste: " type="list">
      <formula1>'F02 - _Lists'!$C$6:$C$20</formula1>
    </dataValidation>
    <dataValidation sqref="C6:C115" showDropDown="0" showInputMessage="0" showErrorMessage="0" allowBlank="1" errorTitle="Erreur" error="Valeur invalide" promptTitle="" prompt="Choisir dans la liste: " type="list">
      <formula1>'F02 - _Lists'!$W$6:$W$13</formula1>
    </dataValidation>
    <dataValidation sqref="H6:H115" showDropDown="0" showInputMessage="0" showErrorMessage="0" allowBlank="1" errorTitle="Erreur" error="Valeur invalide" promptTitle="" prompt="Choisir dans la liste: " type="list">
      <formula1>'F02 - _Lists'!$F$6:$F$11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6" customWidth="1" min="4" max="4"/>
    <col width="22" customWidth="1" min="5" max="5"/>
    <col width="16" customWidth="1" min="6" max="6"/>
    <col width="22" customWidth="1" min="7" max="7"/>
    <col width="20" customWidth="1" min="8" max="8"/>
    <col width="22" customWidth="1" min="9" max="9"/>
    <col width="20" customWidth="1" min="10" max="10"/>
    <col width="32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7-GESTION TUTEURS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Matricule Tuteur</t>
        </is>
      </c>
      <c r="B5" s="4" t="inlineStr">
        <is>
          <t>Nom</t>
        </is>
      </c>
      <c r="C5" s="4" t="inlineStr">
        <is>
          <t>Prénom</t>
        </is>
      </c>
      <c r="D5" s="4" t="inlineStr">
        <is>
          <t>Département</t>
        </is>
      </c>
      <c r="E5" s="4" t="inlineStr">
        <is>
          <t>Poste</t>
        </is>
      </c>
      <c r="F5" s="4" t="inlineStr">
        <is>
          <t>Expérience (ans)</t>
        </is>
      </c>
      <c r="G5" s="4" t="inlineStr">
        <is>
          <t>Nb Stagiaires Encadrés</t>
        </is>
      </c>
      <c r="H5" s="4" t="inlineStr">
        <is>
          <t>Évaluation Moyenne</t>
        </is>
      </c>
      <c r="I5" s="4" t="inlineStr">
        <is>
          <t>Disponibilité</t>
        </is>
      </c>
      <c r="J5" s="4" t="inlineStr">
        <is>
          <t>Certification Tuteur</t>
        </is>
      </c>
      <c r="K5" s="4" t="inlineStr">
        <is>
          <t>Observations</t>
        </is>
      </c>
      <c r="L5" s="4" t="inlineStr"/>
      <c r="M5" s="4" t="inlineStr"/>
      <c r="N5" s="4" t="inlineStr"/>
    </row>
    <row r="6" ht="22" customHeight="1">
      <c r="A6" s="5" t="inlineStr">
        <is>
          <t>TUT-001</t>
        </is>
      </c>
      <c r="B6" s="5" t="inlineStr">
        <is>
          <t>Mbarga</t>
        </is>
      </c>
      <c r="C6" s="5" t="inlineStr">
        <is>
          <t>Sylvie</t>
        </is>
      </c>
      <c r="D6" s="5" t="inlineStr">
        <is>
          <t>Cuisine &amp; Restauration</t>
        </is>
      </c>
      <c r="E6" s="5" t="inlineStr">
        <is>
          <t>Chef Cuisinier</t>
        </is>
      </c>
      <c r="F6" s="7" t="n">
        <v>12</v>
      </c>
      <c r="G6" s="7" t="n">
        <v>3</v>
      </c>
      <c r="H6" s="7" t="n">
        <v>4.5</v>
      </c>
      <c r="I6" s="5" t="inlineStr">
        <is>
          <t>Disponible</t>
        </is>
      </c>
      <c r="J6" s="5" t="inlineStr">
        <is>
          <t>Validé</t>
        </is>
      </c>
      <c r="K6" s="5" t="inlineStr">
        <is>
          <t>Excellente tutrice, 3 stagiaires formés</t>
        </is>
      </c>
      <c r="L6" s="5" t="inlineStr"/>
      <c r="M6" s="5" t="inlineStr"/>
      <c r="N6" s="5" t="inlineStr"/>
    </row>
    <row r="7" ht="22" customHeight="1">
      <c r="A7" s="8" t="inlineStr">
        <is>
          <t>TUT-002</t>
        </is>
      </c>
      <c r="B7" s="8" t="inlineStr">
        <is>
          <t>Bamba</t>
        </is>
      </c>
      <c r="C7" s="8" t="inlineStr">
        <is>
          <t>Koffi</t>
        </is>
      </c>
      <c r="D7" s="8" t="inlineStr">
        <is>
          <t>Informatique</t>
        </is>
      </c>
      <c r="E7" s="8" t="inlineStr">
        <is>
          <t>DSI</t>
        </is>
      </c>
      <c r="F7" s="10" t="n">
        <v>8</v>
      </c>
      <c r="G7" s="10" t="n">
        <v>2</v>
      </c>
      <c r="H7" s="10" t="n">
        <v>4</v>
      </c>
      <c r="I7" s="8" t="inlineStr">
        <is>
          <t>Disponible</t>
        </is>
      </c>
      <c r="J7" s="8" t="inlineStr">
        <is>
          <t>Validé</t>
        </is>
      </c>
      <c r="K7" s="8" t="inlineStr">
        <is>
          <t>Patient et pédagogue</t>
        </is>
      </c>
      <c r="L7" s="8" t="inlineStr"/>
      <c r="M7" s="8" t="inlineStr"/>
      <c r="N7" s="8" t="inlineStr"/>
    </row>
    <row r="8" ht="22" customHeight="1">
      <c r="A8" s="5" t="inlineStr">
        <is>
          <t>TUT-003</t>
        </is>
      </c>
      <c r="B8" s="5" t="inlineStr">
        <is>
          <t>Koffi</t>
        </is>
      </c>
      <c r="C8" s="5" t="inlineStr">
        <is>
          <t>Marie</t>
        </is>
      </c>
      <c r="D8" s="5" t="inlineStr">
        <is>
          <t>Marketing &amp; Communication</t>
        </is>
      </c>
      <c r="E8" s="5" t="inlineStr">
        <is>
          <t>Resp. Marketing</t>
        </is>
      </c>
      <c r="F8" s="7" t="n">
        <v>6</v>
      </c>
      <c r="G8" s="7" t="n">
        <v>1</v>
      </c>
      <c r="H8" s="7" t="n">
        <v>3.8</v>
      </c>
      <c r="I8" s="5" t="inlineStr">
        <is>
          <t>Partiellement disponible</t>
        </is>
      </c>
      <c r="J8" s="5" t="inlineStr">
        <is>
          <t>En attente</t>
        </is>
      </c>
      <c r="K8" s="5" t="inlineStr">
        <is>
          <t>Bonne communicante</t>
        </is>
      </c>
      <c r="L8" s="5" t="inlineStr"/>
      <c r="M8" s="5" t="inlineStr"/>
      <c r="N8" s="5" t="inlineStr"/>
    </row>
    <row r="9" ht="22" customHeight="1">
      <c r="A9" s="8" t="inlineStr">
        <is>
          <t>TUT-004</t>
        </is>
      </c>
      <c r="B9" s="8" t="inlineStr">
        <is>
          <t>Fotso</t>
        </is>
      </c>
      <c r="C9" s="8" t="inlineStr">
        <is>
          <t>Marie</t>
        </is>
      </c>
      <c r="D9" s="8" t="inlineStr">
        <is>
          <t>Finance &amp; Comptabilité</t>
        </is>
      </c>
      <c r="E9" s="8" t="inlineStr">
        <is>
          <t>Comptable Senior</t>
        </is>
      </c>
      <c r="F9" s="10" t="n">
        <v>10</v>
      </c>
      <c r="G9" s="10" t="n">
        <v>2</v>
      </c>
      <c r="H9" s="10" t="n">
        <v>4.2</v>
      </c>
      <c r="I9" s="8" t="inlineStr">
        <is>
          <t>Disponible</t>
        </is>
      </c>
      <c r="J9" s="8" t="inlineStr">
        <is>
          <t>Validé</t>
        </is>
      </c>
      <c r="K9" s="8" t="inlineStr">
        <is>
          <t>Expérience solide en tutorat</t>
        </is>
      </c>
      <c r="L9" s="8" t="inlineStr"/>
      <c r="M9" s="8" t="inlineStr"/>
      <c r="N9" s="8" t="inlineStr"/>
    </row>
    <row r="10" ht="22" customHeight="1">
      <c r="A10" s="5" t="inlineStr">
        <is>
          <t>TUT-005</t>
        </is>
      </c>
      <c r="B10" s="5" t="inlineStr">
        <is>
          <t>Kamga</t>
        </is>
      </c>
      <c r="C10" s="5" t="inlineStr">
        <is>
          <t>Samuel</t>
        </is>
      </c>
      <c r="D10" s="5" t="inlineStr">
        <is>
          <t>Entretien &amp; Maintenance</t>
        </is>
      </c>
      <c r="E10" s="5" t="inlineStr">
        <is>
          <t>Chef Entretien</t>
        </is>
      </c>
      <c r="F10" s="7" t="n">
        <v>7</v>
      </c>
      <c r="G10" s="7" t="n">
        <v>1</v>
      </c>
      <c r="H10" s="7" t="n">
        <v>3.5</v>
      </c>
      <c r="I10" s="5" t="inlineStr">
        <is>
          <t>Disponible</t>
        </is>
      </c>
      <c r="J10" s="5" t="inlineStr">
        <is>
          <t>Non applicable</t>
        </is>
      </c>
      <c r="K10" s="5" t="inlineStr">
        <is>
          <t>Première expérience tutorat</t>
        </is>
      </c>
      <c r="L10" s="5" t="inlineStr"/>
      <c r="M10" s="5" t="inlineStr"/>
      <c r="N10" s="5" t="inlineStr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3">
    <dataValidation sqref="D6:D115" showDropDown="0" showInputMessage="0" showErrorMessage="0" allowBlank="1" errorTitle="Erreur" error="Valeur invalide" promptTitle="" prompt="Choisir dans la liste: " type="list">
      <formula1>'F02 - _Lists'!$C$6:$C$20</formula1>
    </dataValidation>
    <dataValidation sqref="E6:E115" showDropDown="0" showInputMessage="0" showErrorMessage="0" allowBlank="1" errorTitle="Erreur" error="Valeur invalide" promptTitle="" prompt="Choisir dans la liste: " type="list">
      <formula1>'F02 - _Lists'!$D$6:$D$23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_Lists'!$M$6:$M$9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2" customWidth="1" min="4" max="4"/>
    <col width="18" customWidth="1" min="5" max="5"/>
    <col width="20" customWidth="1" min="6" max="6"/>
    <col width="16" customWidth="1" min="7" max="7"/>
    <col width="16" customWidth="1" min="8" max="8"/>
    <col width="14" customWidth="1" min="9" max="9"/>
    <col width="18" customWidth="1" min="10" max="10"/>
    <col width="2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8-SUIVI INDEMNITÉS STAGIAIRES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Paiement</t>
        </is>
      </c>
      <c r="B5" s="4" t="inlineStr">
        <is>
          <t>Nom Stagiaire</t>
        </is>
      </c>
      <c r="C5" s="4" t="inlineStr">
        <is>
          <t>Mois</t>
        </is>
      </c>
      <c r="D5" s="4" t="inlineStr">
        <is>
          <t>Montant Brut (FCFA)</t>
        </is>
      </c>
      <c r="E5" s="4" t="inlineStr">
        <is>
          <t>Retenues (FCFA)</t>
        </is>
      </c>
      <c r="F5" s="4" t="inlineStr">
        <is>
          <t>Montant Net (FCFA)</t>
        </is>
      </c>
      <c r="G5" s="4" t="inlineStr">
        <is>
          <t>Mode Paiement</t>
        </is>
      </c>
      <c r="H5" s="4" t="inlineStr">
        <is>
          <t>Date Paiement</t>
        </is>
      </c>
      <c r="I5" s="4" t="inlineStr">
        <is>
          <t>Statut</t>
        </is>
      </c>
      <c r="J5" s="4" t="inlineStr">
        <is>
          <t>Référence</t>
        </is>
      </c>
      <c r="K5" s="4" t="inlineStr">
        <is>
          <t>Observations</t>
        </is>
      </c>
      <c r="L5" s="4" t="inlineStr"/>
      <c r="M5" s="4" t="inlineStr"/>
      <c r="N5" s="4" t="inlineStr"/>
    </row>
    <row r="6" ht="22" customHeight="1">
      <c r="A6" s="5" t="inlineStr">
        <is>
          <t>PAY-2025-001</t>
        </is>
      </c>
      <c r="B6" s="5" t="inlineStr">
        <is>
          <t>Koné Aminata</t>
        </is>
      </c>
      <c r="C6" s="5" t="inlineStr">
        <is>
          <t>Janvier 2025</t>
        </is>
      </c>
      <c r="D6" s="7" t="n">
        <v>75000</v>
      </c>
      <c r="E6" s="23">
        <f>IF(D6="","",IFERROR(D6*0.015,0))</f>
        <v/>
      </c>
      <c r="F6" s="23">
        <f>IF(D6="","",D6-E6)</f>
        <v/>
      </c>
      <c r="G6" s="5" t="inlineStr">
        <is>
          <t>Virement</t>
        </is>
      </c>
      <c r="H6" s="6" t="n">
        <v>45688</v>
      </c>
      <c r="I6" s="5" t="inlineStr">
        <is>
          <t>Validé</t>
        </is>
      </c>
      <c r="J6" s="5" t="inlineStr">
        <is>
          <t>VIR-2501-001</t>
        </is>
      </c>
      <c r="K6" s="5" t="inlineStr"/>
      <c r="L6" s="5" t="inlineStr"/>
      <c r="M6" s="5" t="inlineStr"/>
      <c r="N6" s="5" t="inlineStr"/>
    </row>
    <row r="7" ht="22" customHeight="1">
      <c r="A7" s="8" t="inlineStr">
        <is>
          <t>PAY-2025-002</t>
        </is>
      </c>
      <c r="B7" s="8" t="inlineStr">
        <is>
          <t>Traoré Ibrahim</t>
        </is>
      </c>
      <c r="C7" s="8" t="inlineStr">
        <is>
          <t>Janvier 2025</t>
        </is>
      </c>
      <c r="D7" s="10" t="n">
        <v>80000</v>
      </c>
      <c r="E7" s="24">
        <f>IF(D7="","",IFERROR(D7*0.015,0))</f>
        <v/>
      </c>
      <c r="F7" s="24">
        <f>IF(D7="","",D7-E7)</f>
        <v/>
      </c>
      <c r="G7" s="8" t="inlineStr">
        <is>
          <t>Virement</t>
        </is>
      </c>
      <c r="H7" s="9" t="n">
        <v>45688</v>
      </c>
      <c r="I7" s="8" t="inlineStr">
        <is>
          <t>Validé</t>
        </is>
      </c>
      <c r="J7" s="8" t="inlineStr">
        <is>
          <t>VIR-2501-002</t>
        </is>
      </c>
      <c r="K7" s="8" t="inlineStr"/>
      <c r="L7" s="8" t="inlineStr"/>
      <c r="M7" s="8" t="inlineStr"/>
      <c r="N7" s="8" t="inlineStr"/>
    </row>
    <row r="8" ht="22" customHeight="1">
      <c r="A8" s="5" t="inlineStr">
        <is>
          <t>PAY-2025-003</t>
        </is>
      </c>
      <c r="B8" s="5" t="inlineStr">
        <is>
          <t>Diallo Fatou</t>
        </is>
      </c>
      <c r="C8" s="5" t="inlineStr">
        <is>
          <t>Janvier 2025</t>
        </is>
      </c>
      <c r="D8" s="7" t="n">
        <v>70000</v>
      </c>
      <c r="E8" s="23">
        <f>IF(D8="","",IFERROR(D8*0.015,0))</f>
        <v/>
      </c>
      <c r="F8" s="23">
        <f>IF(D8="","",D8-E8)</f>
        <v/>
      </c>
      <c r="G8" s="5" t="inlineStr">
        <is>
          <t>Virement</t>
        </is>
      </c>
      <c r="H8" s="6" t="n">
        <v>45688</v>
      </c>
      <c r="I8" s="5" t="inlineStr">
        <is>
          <t>Validé</t>
        </is>
      </c>
      <c r="J8" s="5" t="inlineStr">
        <is>
          <t>VIR-2501-003</t>
        </is>
      </c>
      <c r="K8" s="5" t="inlineStr"/>
      <c r="L8" s="5" t="inlineStr"/>
      <c r="M8" s="5" t="inlineStr"/>
      <c r="N8" s="5" t="inlineStr"/>
    </row>
    <row r="9" ht="22" customHeight="1">
      <c r="A9" s="8" t="inlineStr">
        <is>
          <t>PAY-2025-004</t>
        </is>
      </c>
      <c r="B9" s="8" t="inlineStr">
        <is>
          <t>Coulibaly Adama</t>
        </is>
      </c>
      <c r="C9" s="8" t="inlineStr">
        <is>
          <t>Janvier 2025</t>
        </is>
      </c>
      <c r="D9" s="10" t="n">
        <v>70000</v>
      </c>
      <c r="E9" s="24">
        <f>IF(D9="","",IFERROR(D9*0.015,0))</f>
        <v/>
      </c>
      <c r="F9" s="24">
        <f>IF(D9="","",D9-E9)</f>
        <v/>
      </c>
      <c r="G9" s="8" t="inlineStr">
        <is>
          <t>Chèque</t>
        </is>
      </c>
      <c r="H9" s="9" t="n">
        <v>45688</v>
      </c>
      <c r="I9" s="8" t="inlineStr">
        <is>
          <t>En attente</t>
        </is>
      </c>
      <c r="J9" s="8" t="inlineStr">
        <is>
          <t>CHQ-2501-001</t>
        </is>
      </c>
      <c r="K9" s="8" t="inlineStr"/>
      <c r="L9" s="8" t="inlineStr"/>
      <c r="M9" s="8" t="inlineStr"/>
      <c r="N9" s="8" t="inlineStr"/>
    </row>
    <row r="10" ht="22" customHeight="1">
      <c r="A10" s="5" t="inlineStr">
        <is>
          <t>PAY-2025-005</t>
        </is>
      </c>
      <c r="B10" s="5" t="inlineStr">
        <is>
          <t>Konan Yao</t>
        </is>
      </c>
      <c r="C10" s="5" t="inlineStr">
        <is>
          <t>Février 2025</t>
        </is>
      </c>
      <c r="D10" s="7" t="n">
        <v>65000</v>
      </c>
      <c r="E10" s="23">
        <f>IF(D10="","",IFERROR(D10*0.015,0))</f>
        <v/>
      </c>
      <c r="F10" s="23">
        <f>IF(D10="","",D10-E10)</f>
        <v/>
      </c>
      <c r="G10" s="5" t="inlineStr">
        <is>
          <t>Virement</t>
        </is>
      </c>
      <c r="H10" s="5" t="n"/>
      <c r="I10" s="5" t="inlineStr">
        <is>
          <t>En attente</t>
        </is>
      </c>
      <c r="J10" s="5" t="inlineStr"/>
      <c r="K10" s="5" t="inlineStr"/>
      <c r="L10" s="5" t="inlineStr"/>
      <c r="M10" s="5" t="inlineStr"/>
      <c r="N10" s="5" t="inlineStr"/>
    </row>
    <row r="11" ht="22" customHeight="1">
      <c r="A11" s="8" t="n"/>
      <c r="B11" s="8" t="n"/>
      <c r="C11" s="8" t="n"/>
      <c r="D11" s="8" t="n"/>
      <c r="E11" s="24">
        <f>IF(D11="","",IFERROR(D11*0.015,0))</f>
        <v/>
      </c>
      <c r="F11" s="24">
        <f>IF(D11="","",D11-E11)</f>
        <v/>
      </c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23">
        <f>IF(D12="","",IFERROR(D12*0.015,0))</f>
        <v/>
      </c>
      <c r="F12" s="23">
        <f>IF(D12="","",D12-E12)</f>
        <v/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24">
        <f>IF(D13="","",IFERROR(D13*0.015,0))</f>
        <v/>
      </c>
      <c r="F13" s="24">
        <f>IF(D13="","",D13-E13)</f>
        <v/>
      </c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23">
        <f>IF(D14="","",IFERROR(D14*0.015,0))</f>
        <v/>
      </c>
      <c r="F14" s="23">
        <f>IF(D14="","",D14-E14)</f>
        <v/>
      </c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24">
        <f>IF(D15="","",IFERROR(D15*0.015,0))</f>
        <v/>
      </c>
      <c r="F15" s="24">
        <f>IF(D15="","",D15-E15)</f>
        <v/>
      </c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23">
        <f>IF(D16="","",IFERROR(D16*0.015,0))</f>
        <v/>
      </c>
      <c r="F16" s="23">
        <f>IF(D16="","",D16-E16)</f>
        <v/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24">
        <f>IF(D17="","",IFERROR(D17*0.015,0))</f>
        <v/>
      </c>
      <c r="F17" s="24">
        <f>IF(D17="","",D17-E17)</f>
        <v/>
      </c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23">
        <f>IF(D18="","",IFERROR(D18*0.015,0))</f>
        <v/>
      </c>
      <c r="F18" s="23">
        <f>IF(D18="","",D18-E18)</f>
        <v/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24">
        <f>IF(D19="","",IFERROR(D19*0.015,0))</f>
        <v/>
      </c>
      <c r="F19" s="24">
        <f>IF(D19="","",D19-E19)</f>
        <v/>
      </c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23">
        <f>IF(D20="","",IFERROR(D20*0.015,0))</f>
        <v/>
      </c>
      <c r="F20" s="23">
        <f>IF(D20="","",D20-E20)</f>
        <v/>
      </c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24">
        <f>IF(D21="","",IFERROR(D21*0.015,0))</f>
        <v/>
      </c>
      <c r="F21" s="24">
        <f>IF(D21="","",D21-E21)</f>
        <v/>
      </c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23">
        <f>IF(D22="","",IFERROR(D22*0.015,0))</f>
        <v/>
      </c>
      <c r="F22" s="23">
        <f>IF(D22="","",D22-E22)</f>
        <v/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24">
        <f>IF(D23="","",IFERROR(D23*0.015,0))</f>
        <v/>
      </c>
      <c r="F23" s="24">
        <f>IF(D23="","",D23-E23)</f>
        <v/>
      </c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23">
        <f>IF(D24="","",IFERROR(D24*0.015,0))</f>
        <v/>
      </c>
      <c r="F24" s="23">
        <f>IF(D24="","",D24-E24)</f>
        <v/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24">
        <f>IF(D25="","",IFERROR(D25*0.015,0))</f>
        <v/>
      </c>
      <c r="F25" s="24">
        <f>IF(D25="","",D25-E25)</f>
        <v/>
      </c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23">
        <f>IF(D26="","",IFERROR(D26*0.015,0))</f>
        <v/>
      </c>
      <c r="F26" s="23">
        <f>IF(D26="","",D26-E26)</f>
        <v/>
      </c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24">
        <f>IF(D27="","",IFERROR(D27*0.015,0))</f>
        <v/>
      </c>
      <c r="F27" s="24">
        <f>IF(D27="","",D27-E27)</f>
        <v/>
      </c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23">
        <f>IF(D28="","",IFERROR(D28*0.015,0))</f>
        <v/>
      </c>
      <c r="F28" s="23">
        <f>IF(D28="","",D28-E28)</f>
        <v/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24">
        <f>IF(D29="","",IFERROR(D29*0.015,0))</f>
        <v/>
      </c>
      <c r="F29" s="24">
        <f>IF(D29="","",D29-E29)</f>
        <v/>
      </c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23">
        <f>IF(D30="","",IFERROR(D30*0.015,0))</f>
        <v/>
      </c>
      <c r="F30" s="23">
        <f>IF(D30="","",D30-E30)</f>
        <v/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24">
        <f>IF(D31="","",IFERROR(D31*0.015,0))</f>
        <v/>
      </c>
      <c r="F31" s="24">
        <f>IF(D31="","",D31-E31)</f>
        <v/>
      </c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23">
        <f>IF(D32="","",IFERROR(D32*0.015,0))</f>
        <v/>
      </c>
      <c r="F32" s="23">
        <f>IF(D32="","",D32-E32)</f>
        <v/>
      </c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24">
        <f>IF(D33="","",IFERROR(D33*0.015,0))</f>
        <v/>
      </c>
      <c r="F33" s="24">
        <f>IF(D33="","",D33-E33)</f>
        <v/>
      </c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23">
        <f>IF(D34="","",IFERROR(D34*0.015,0))</f>
        <v/>
      </c>
      <c r="F34" s="23">
        <f>IF(D34="","",D34-E34)</f>
        <v/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24">
        <f>IF(D35="","",IFERROR(D35*0.015,0))</f>
        <v/>
      </c>
      <c r="F35" s="24">
        <f>IF(D35="","",D35-E35)</f>
        <v/>
      </c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23">
        <f>IF(D36="","",IFERROR(D36*0.015,0))</f>
        <v/>
      </c>
      <c r="F36" s="23">
        <f>IF(D36="","",D36-E36)</f>
        <v/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24">
        <f>IF(D37="","",IFERROR(D37*0.015,0))</f>
        <v/>
      </c>
      <c r="F37" s="24">
        <f>IF(D37="","",D37-E37)</f>
        <v/>
      </c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23">
        <f>IF(D38="","",IFERROR(D38*0.015,0))</f>
        <v/>
      </c>
      <c r="F38" s="23">
        <f>IF(D38="","",D38-E38)</f>
        <v/>
      </c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24">
        <f>IF(D39="","",IFERROR(D39*0.015,0))</f>
        <v/>
      </c>
      <c r="F39" s="24">
        <f>IF(D39="","",D39-E39)</f>
        <v/>
      </c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23">
        <f>IF(D40="","",IFERROR(D40*0.015,0))</f>
        <v/>
      </c>
      <c r="F40" s="23">
        <f>IF(D40="","",D40-E40)</f>
        <v/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24">
        <f>IF(D41="","",IFERROR(D41*0.015,0))</f>
        <v/>
      </c>
      <c r="F41" s="24">
        <f>IF(D41="","",D41-E41)</f>
        <v/>
      </c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23">
        <f>IF(D42="","",IFERROR(D42*0.015,0))</f>
        <v/>
      </c>
      <c r="F42" s="23">
        <f>IF(D42="","",D42-E42)</f>
        <v/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24">
        <f>IF(D43="","",IFERROR(D43*0.015,0))</f>
        <v/>
      </c>
      <c r="F43" s="24">
        <f>IF(D43="","",D43-E43)</f>
        <v/>
      </c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23">
        <f>IF(D44="","",IFERROR(D44*0.015,0))</f>
        <v/>
      </c>
      <c r="F44" s="23">
        <f>IF(D44="","",D44-E44)</f>
        <v/>
      </c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24">
        <f>IF(D45="","",IFERROR(D45*0.015,0))</f>
        <v/>
      </c>
      <c r="F45" s="24">
        <f>IF(D45="","",D45-E45)</f>
        <v/>
      </c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23">
        <f>IF(D46="","",IFERROR(D46*0.015,0))</f>
        <v/>
      </c>
      <c r="F46" s="23">
        <f>IF(D46="","",D46-E46)</f>
        <v/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24">
        <f>IF(D47="","",IFERROR(D47*0.015,0))</f>
        <v/>
      </c>
      <c r="F47" s="24">
        <f>IF(D47="","",D47-E47)</f>
        <v/>
      </c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23">
        <f>IF(D48="","",IFERROR(D48*0.015,0))</f>
        <v/>
      </c>
      <c r="F48" s="23">
        <f>IF(D48="","",D48-E48)</f>
        <v/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24">
        <f>IF(D49="","",IFERROR(D49*0.015,0))</f>
        <v/>
      </c>
      <c r="F49" s="24">
        <f>IF(D49="","",D49-E49)</f>
        <v/>
      </c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23">
        <f>IF(D50="","",IFERROR(D50*0.015,0))</f>
        <v/>
      </c>
      <c r="F50" s="23">
        <f>IF(D50="","",D50-E50)</f>
        <v/>
      </c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24">
        <f>IF(D51="","",IFERROR(D51*0.015,0))</f>
        <v/>
      </c>
      <c r="F51" s="24">
        <f>IF(D51="","",D51-E51)</f>
        <v/>
      </c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23">
        <f>IF(D52="","",IFERROR(D52*0.015,0))</f>
        <v/>
      </c>
      <c r="F52" s="23">
        <f>IF(D52="","",D52-E52)</f>
        <v/>
      </c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24">
        <f>IF(D53="","",IFERROR(D53*0.015,0))</f>
        <v/>
      </c>
      <c r="F53" s="24">
        <f>IF(D53="","",D53-E53)</f>
        <v/>
      </c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23">
        <f>IF(D54="","",IFERROR(D54*0.015,0))</f>
        <v/>
      </c>
      <c r="F54" s="23">
        <f>IF(D54="","",D54-E54)</f>
        <v/>
      </c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24">
        <f>IF(D55="","",IFERROR(D55*0.015,0))</f>
        <v/>
      </c>
      <c r="F55" s="24">
        <f>IF(D55="","",D55-E55)</f>
        <v/>
      </c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23">
        <f>IF(D56="","",IFERROR(D56*0.015,0))</f>
        <v/>
      </c>
      <c r="F56" s="23">
        <f>IF(D56="","",D56-E56)</f>
        <v/>
      </c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24">
        <f>IF(D57="","",IFERROR(D57*0.015,0))</f>
        <v/>
      </c>
      <c r="F57" s="24">
        <f>IF(D57="","",D57-E57)</f>
        <v/>
      </c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23">
        <f>IF(D58="","",IFERROR(D58*0.015,0))</f>
        <v/>
      </c>
      <c r="F58" s="23">
        <f>IF(D58="","",D58-E58)</f>
        <v/>
      </c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24">
        <f>IF(D59="","",IFERROR(D59*0.015,0))</f>
        <v/>
      </c>
      <c r="F59" s="24">
        <f>IF(D59="","",D59-E59)</f>
        <v/>
      </c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23">
        <f>IF(D60="","",IFERROR(D60*0.015,0))</f>
        <v/>
      </c>
      <c r="F60" s="23">
        <f>IF(D60="","",D60-E60)</f>
        <v/>
      </c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24">
        <f>IF(D61="","",IFERROR(D61*0.015,0))</f>
        <v/>
      </c>
      <c r="F61" s="24">
        <f>IF(D61="","",D61-E61)</f>
        <v/>
      </c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23">
        <f>IF(D62="","",IFERROR(D62*0.015,0))</f>
        <v/>
      </c>
      <c r="F62" s="23">
        <f>IF(D62="","",D62-E62)</f>
        <v/>
      </c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24">
        <f>IF(D63="","",IFERROR(D63*0.015,0))</f>
        <v/>
      </c>
      <c r="F63" s="24">
        <f>IF(D63="","",D63-E63)</f>
        <v/>
      </c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23">
        <f>IF(D64="","",IFERROR(D64*0.015,0))</f>
        <v/>
      </c>
      <c r="F64" s="23">
        <f>IF(D64="","",D64-E64)</f>
        <v/>
      </c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24">
        <f>IF(D65="","",IFERROR(D65*0.015,0))</f>
        <v/>
      </c>
      <c r="F65" s="24">
        <f>IF(D65="","",D65-E65)</f>
        <v/>
      </c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23">
        <f>IF(D66="","",IFERROR(D66*0.015,0))</f>
        <v/>
      </c>
      <c r="F66" s="23">
        <f>IF(D66="","",D66-E66)</f>
        <v/>
      </c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24">
        <f>IF(D67="","",IFERROR(D67*0.015,0))</f>
        <v/>
      </c>
      <c r="F67" s="24">
        <f>IF(D67="","",D67-E67)</f>
        <v/>
      </c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23">
        <f>IF(D68="","",IFERROR(D68*0.015,0))</f>
        <v/>
      </c>
      <c r="F68" s="23">
        <f>IF(D68="","",D68-E68)</f>
        <v/>
      </c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24">
        <f>IF(D69="","",IFERROR(D69*0.015,0))</f>
        <v/>
      </c>
      <c r="F69" s="24">
        <f>IF(D69="","",D69-E69)</f>
        <v/>
      </c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23">
        <f>IF(D70="","",IFERROR(D70*0.015,0))</f>
        <v/>
      </c>
      <c r="F70" s="23">
        <f>IF(D70="","",D70-E70)</f>
        <v/>
      </c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24">
        <f>IF(D71="","",IFERROR(D71*0.015,0))</f>
        <v/>
      </c>
      <c r="F71" s="24">
        <f>IF(D71="","",D71-E71)</f>
        <v/>
      </c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23">
        <f>IF(D72="","",IFERROR(D72*0.015,0))</f>
        <v/>
      </c>
      <c r="F72" s="23">
        <f>IF(D72="","",D72-E72)</f>
        <v/>
      </c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24">
        <f>IF(D73="","",IFERROR(D73*0.015,0))</f>
        <v/>
      </c>
      <c r="F73" s="24">
        <f>IF(D73="","",D73-E73)</f>
        <v/>
      </c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23">
        <f>IF(D74="","",IFERROR(D74*0.015,0))</f>
        <v/>
      </c>
      <c r="F74" s="23">
        <f>IF(D74="","",D74-E74)</f>
        <v/>
      </c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24">
        <f>IF(D75="","",IFERROR(D75*0.015,0))</f>
        <v/>
      </c>
      <c r="F75" s="24">
        <f>IF(D75="","",D75-E75)</f>
        <v/>
      </c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23">
        <f>IF(D76="","",IFERROR(D76*0.015,0))</f>
        <v/>
      </c>
      <c r="F76" s="23">
        <f>IF(D76="","",D76-E76)</f>
        <v/>
      </c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24">
        <f>IF(D77="","",IFERROR(D77*0.015,0))</f>
        <v/>
      </c>
      <c r="F77" s="24">
        <f>IF(D77="","",D77-E77)</f>
        <v/>
      </c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23">
        <f>IF(D78="","",IFERROR(D78*0.015,0))</f>
        <v/>
      </c>
      <c r="F78" s="23">
        <f>IF(D78="","",D78-E78)</f>
        <v/>
      </c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24">
        <f>IF(D79="","",IFERROR(D79*0.015,0))</f>
        <v/>
      </c>
      <c r="F79" s="24">
        <f>IF(D79="","",D79-E79)</f>
        <v/>
      </c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23">
        <f>IF(D80="","",IFERROR(D80*0.015,0))</f>
        <v/>
      </c>
      <c r="F80" s="23">
        <f>IF(D80="","",D80-E80)</f>
        <v/>
      </c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24">
        <f>IF(D81="","",IFERROR(D81*0.015,0))</f>
        <v/>
      </c>
      <c r="F81" s="24">
        <f>IF(D81="","",D81-E81)</f>
        <v/>
      </c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23">
        <f>IF(D82="","",IFERROR(D82*0.015,0))</f>
        <v/>
      </c>
      <c r="F82" s="23">
        <f>IF(D82="","",D82-E82)</f>
        <v/>
      </c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24">
        <f>IF(D83="","",IFERROR(D83*0.015,0))</f>
        <v/>
      </c>
      <c r="F83" s="24">
        <f>IF(D83="","",D83-E83)</f>
        <v/>
      </c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23">
        <f>IF(D84="","",IFERROR(D84*0.015,0))</f>
        <v/>
      </c>
      <c r="F84" s="23">
        <f>IF(D84="","",D84-E84)</f>
        <v/>
      </c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24">
        <f>IF(D85="","",IFERROR(D85*0.015,0))</f>
        <v/>
      </c>
      <c r="F85" s="24">
        <f>IF(D85="","",D85-E85)</f>
        <v/>
      </c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23">
        <f>IF(D86="","",IFERROR(D86*0.015,0))</f>
        <v/>
      </c>
      <c r="F86" s="23">
        <f>IF(D86="","",D86-E86)</f>
        <v/>
      </c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24">
        <f>IF(D87="","",IFERROR(D87*0.015,0))</f>
        <v/>
      </c>
      <c r="F87" s="24">
        <f>IF(D87="","",D87-E87)</f>
        <v/>
      </c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23">
        <f>IF(D88="","",IFERROR(D88*0.015,0))</f>
        <v/>
      </c>
      <c r="F88" s="23">
        <f>IF(D88="","",D88-E88)</f>
        <v/>
      </c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24">
        <f>IF(D89="","",IFERROR(D89*0.015,0))</f>
        <v/>
      </c>
      <c r="F89" s="24">
        <f>IF(D89="","",D89-E89)</f>
        <v/>
      </c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23">
        <f>IF(D90="","",IFERROR(D90*0.015,0))</f>
        <v/>
      </c>
      <c r="F90" s="23">
        <f>IF(D90="","",D90-E90)</f>
        <v/>
      </c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24">
        <f>IF(D91="","",IFERROR(D91*0.015,0))</f>
        <v/>
      </c>
      <c r="F91" s="24">
        <f>IF(D91="","",D91-E91)</f>
        <v/>
      </c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23">
        <f>IF(D92="","",IFERROR(D92*0.015,0))</f>
        <v/>
      </c>
      <c r="F92" s="23">
        <f>IF(D92="","",D92-E92)</f>
        <v/>
      </c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24">
        <f>IF(D93="","",IFERROR(D93*0.015,0))</f>
        <v/>
      </c>
      <c r="F93" s="24">
        <f>IF(D93="","",D93-E93)</f>
        <v/>
      </c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23">
        <f>IF(D94="","",IFERROR(D94*0.015,0))</f>
        <v/>
      </c>
      <c r="F94" s="23">
        <f>IF(D94="","",D94-E94)</f>
        <v/>
      </c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24">
        <f>IF(D95="","",IFERROR(D95*0.015,0))</f>
        <v/>
      </c>
      <c r="F95" s="24">
        <f>IF(D95="","",D95-E95)</f>
        <v/>
      </c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23">
        <f>IF(D96="","",IFERROR(D96*0.015,0))</f>
        <v/>
      </c>
      <c r="F96" s="23">
        <f>IF(D96="","",D96-E96)</f>
        <v/>
      </c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24">
        <f>IF(D97="","",IFERROR(D97*0.015,0))</f>
        <v/>
      </c>
      <c r="F97" s="24">
        <f>IF(D97="","",D97-E97)</f>
        <v/>
      </c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23">
        <f>IF(D98="","",IFERROR(D98*0.015,0))</f>
        <v/>
      </c>
      <c r="F98" s="23">
        <f>IF(D98="","",D98-E98)</f>
        <v/>
      </c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24">
        <f>IF(D99="","",IFERROR(D99*0.015,0))</f>
        <v/>
      </c>
      <c r="F99" s="24">
        <f>IF(D99="","",D99-E99)</f>
        <v/>
      </c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23">
        <f>IF(D100="","",IFERROR(D100*0.015,0))</f>
        <v/>
      </c>
      <c r="F100" s="23">
        <f>IF(D100="","",D100-E100)</f>
        <v/>
      </c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24">
        <f>IF(D101="","",IFERROR(D101*0.015,0))</f>
        <v/>
      </c>
      <c r="F101" s="24">
        <f>IF(D101="","",D101-E101)</f>
        <v/>
      </c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23">
        <f>IF(D102="","",IFERROR(D102*0.015,0))</f>
        <v/>
      </c>
      <c r="F102" s="23">
        <f>IF(D102="","",D102-E102)</f>
        <v/>
      </c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24">
        <f>IF(D103="","",IFERROR(D103*0.015,0))</f>
        <v/>
      </c>
      <c r="F103" s="24">
        <f>IF(D103="","",D103-E103)</f>
        <v/>
      </c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23">
        <f>IF(D104="","",IFERROR(D104*0.015,0))</f>
        <v/>
      </c>
      <c r="F104" s="23">
        <f>IF(D104="","",D104-E104)</f>
        <v/>
      </c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24">
        <f>IF(D105="","",IFERROR(D105*0.015,0))</f>
        <v/>
      </c>
      <c r="F105" s="24">
        <f>IF(D105="","",D105-E105)</f>
        <v/>
      </c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23">
        <f>IF(D106="","",IFERROR(D106*0.015,0))</f>
        <v/>
      </c>
      <c r="F106" s="23">
        <f>IF(D106="","",D106-E106)</f>
        <v/>
      </c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24">
        <f>IF(D107="","",IFERROR(D107*0.015,0))</f>
        <v/>
      </c>
      <c r="F107" s="24">
        <f>IF(D107="","",D107-E107)</f>
        <v/>
      </c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23">
        <f>IF(D108="","",IFERROR(D108*0.015,0))</f>
        <v/>
      </c>
      <c r="F108" s="23">
        <f>IF(D108="","",D108-E108)</f>
        <v/>
      </c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24">
        <f>IF(D109="","",IFERROR(D109*0.015,0))</f>
        <v/>
      </c>
      <c r="F109" s="24">
        <f>IF(D109="","",D109-E109)</f>
        <v/>
      </c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23">
        <f>IF(D110="","",IFERROR(D110*0.015,0))</f>
        <v/>
      </c>
      <c r="F110" s="23">
        <f>IF(D110="","",D110-E110)</f>
        <v/>
      </c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24">
        <f>IF(D111="","",IFERROR(D111*0.015,0))</f>
        <v/>
      </c>
      <c r="F111" s="24">
        <f>IF(D111="","",D111-E111)</f>
        <v/>
      </c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23">
        <f>IF(D112="","",IFERROR(D112*0.015,0))</f>
        <v/>
      </c>
      <c r="F112" s="23">
        <f>IF(D112="","",D112-E112)</f>
        <v/>
      </c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24">
        <f>IF(D113="","",IFERROR(D113*0.015,0))</f>
        <v/>
      </c>
      <c r="F113" s="24">
        <f>IF(D113="","",D113-E113)</f>
        <v/>
      </c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23">
        <f>IF(D114="","",IFERROR(D114*0.015,0))</f>
        <v/>
      </c>
      <c r="F114" s="23">
        <f>IF(D114="","",D114-E114)</f>
        <v/>
      </c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24">
        <f>IF(D115="","",IFERROR(D115*0.015,0))</f>
        <v/>
      </c>
      <c r="F115" s="24">
        <f>IF(D115="","",D115-E115)</f>
        <v/>
      </c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3">
    <dataValidation sqref="C6:C115" showDropDown="0" showInputMessage="0" showErrorMessage="0" allowBlank="1" errorTitle="Erreur" error="Valeur invalide" promptTitle="" prompt="Choisir dans la liste: " type="list">
      <formula1>'F02 - _Lists'!$O$6:$O$17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_Lists'!$S$6:$S$8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_Lists'!$M$6:$M$9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40" customWidth="1" min="4" max="4"/>
    <col width="16" customWidth="1" min="5" max="5"/>
    <col width="16" customWidth="1" min="6" max="6"/>
    <col width="14" customWidth="1" min="7" max="7"/>
    <col width="36" customWidth="1" min="8" max="8"/>
    <col width="36" customWidth="1" min="9" max="9"/>
    <col width="2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9-RAPPORTS DE STAGE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Rapport</t>
        </is>
      </c>
      <c r="B5" s="4" t="inlineStr">
        <is>
          <t>Nom Stagiaire</t>
        </is>
      </c>
      <c r="C5" s="4" t="inlineStr">
        <is>
          <t>Département</t>
        </is>
      </c>
      <c r="D5" s="4" t="inlineStr">
        <is>
          <t>Titre Rapport</t>
        </is>
      </c>
      <c r="E5" s="4" t="inlineStr">
        <is>
          <t>Date Soumission</t>
        </is>
      </c>
      <c r="F5" s="4" t="inlineStr">
        <is>
          <t>Qualité</t>
        </is>
      </c>
      <c r="G5" s="4" t="inlineStr">
        <is>
          <t>Note Globale</t>
        </is>
      </c>
      <c r="H5" s="4" t="inlineStr">
        <is>
          <t>Retour Tuteur</t>
        </is>
      </c>
      <c r="I5" s="4" t="inlineStr">
        <is>
          <t>Commentaire RH</t>
        </is>
      </c>
      <c r="J5" s="4" t="inlineStr">
        <is>
          <t>Observations</t>
        </is>
      </c>
      <c r="K5" s="4" t="inlineStr"/>
      <c r="L5" s="4" t="inlineStr"/>
      <c r="M5" s="4" t="inlineStr"/>
      <c r="N5" s="4" t="inlineStr"/>
    </row>
    <row r="6" ht="22" customHeight="1">
      <c r="A6" s="5" t="inlineStr">
        <is>
          <t>RAP-2024-003</t>
        </is>
      </c>
      <c r="B6" s="5" t="inlineStr">
        <is>
          <t>Ouattara Moussa</t>
        </is>
      </c>
      <c r="C6" s="5">
        <f>IF(B6="","",VLOOKUP(B6,'F01 - _Données Stagiaires'!$B$6:$K$15,6,FALSE))</f>
        <v/>
      </c>
      <c r="D6" s="5" t="inlineStr">
        <is>
          <t>Analyse des procédures comptables hôtelières</t>
        </is>
      </c>
      <c r="E6" s="6" t="n">
        <v>45703</v>
      </c>
      <c r="F6" s="5" t="inlineStr">
        <is>
          <t>Très bon</t>
        </is>
      </c>
      <c r="G6" s="7" t="n">
        <v>4</v>
      </c>
      <c r="H6" s="5" t="inlineStr">
        <is>
          <t>Travail sérieux et approfondi</t>
        </is>
      </c>
      <c r="I6" s="5" t="inlineStr">
        <is>
          <t>Profil à retenir pour un CDD</t>
        </is>
      </c>
      <c r="J6" s="5" t="inlineStr"/>
      <c r="K6" s="5" t="inlineStr"/>
      <c r="L6" s="5" t="inlineStr"/>
      <c r="M6" s="5" t="inlineStr"/>
      <c r="N6" s="5" t="inlineStr"/>
    </row>
    <row r="7" ht="22" customHeight="1">
      <c r="A7" s="8" t="inlineStr">
        <is>
          <t>RAP-2024-005</t>
        </is>
      </c>
      <c r="B7" s="8" t="inlineStr">
        <is>
          <t>Djibril Oumar</t>
        </is>
      </c>
      <c r="C7" s="8">
        <f>IF(B7="","",VLOOKUP(B7,'F01 - _Données Stagiaires'!$B$6:$K$15,6,FALSE))</f>
        <v/>
      </c>
      <c r="D7" s="8" t="inlineStr">
        <is>
          <t>Mise en place d'un système de gestion des stocks</t>
        </is>
      </c>
      <c r="E7" s="9" t="n">
        <v>45667</v>
      </c>
      <c r="F7" s="8" t="inlineStr">
        <is>
          <t>Excellent</t>
        </is>
      </c>
      <c r="G7" s="10" t="n">
        <v>5</v>
      </c>
      <c r="H7" s="8" t="inlineStr">
        <is>
          <t>Projet innovant et fonctionnel</t>
        </is>
      </c>
      <c r="I7" s="8" t="inlineStr">
        <is>
          <t>Profil CDI fortement recommandé</t>
        </is>
      </c>
      <c r="J7" s="8" t="inlineStr"/>
      <c r="K7" s="8" t="inlineStr"/>
      <c r="L7" s="8" t="inlineStr"/>
      <c r="M7" s="8" t="inlineStr"/>
      <c r="N7" s="8" t="inlineStr"/>
    </row>
    <row r="8" ht="22" customHeight="1">
      <c r="A8" s="5" t="inlineStr">
        <is>
          <t>RAP-2024-001</t>
        </is>
      </c>
      <c r="B8" s="5" t="inlineStr">
        <is>
          <t>Konan Yao</t>
        </is>
      </c>
      <c r="C8" s="5">
        <f>IF(B8="","",VLOOKUP(B8,'F01 - _Données Stagiaires'!$B$6:$K$15,6,FALSE))</f>
        <v/>
      </c>
      <c r="D8" s="5" t="inlineStr">
        <is>
          <t>Étude du processus de recrutement</t>
        </is>
      </c>
      <c r="E8" s="6" t="n">
        <v>45726</v>
      </c>
      <c r="F8" s="5" t="inlineStr">
        <is>
          <t>Bon</t>
        </is>
      </c>
      <c r="G8" s="7" t="n">
        <v>3</v>
      </c>
      <c r="H8" s="5" t="inlineStr">
        <is>
          <t>Bon travail de recherche</t>
        </is>
      </c>
      <c r="I8" s="5" t="inlineStr">
        <is>
          <t>À retenir pour futur besoin RH</t>
        </is>
      </c>
      <c r="J8" s="5" t="inlineStr"/>
      <c r="K8" s="5" t="inlineStr"/>
      <c r="L8" s="5" t="inlineStr"/>
      <c r="M8" s="5" t="inlineStr"/>
      <c r="N8" s="5" t="inlineStr"/>
    </row>
    <row r="9" ht="22" customHeight="1">
      <c r="A9" s="8" t="inlineStr">
        <is>
          <t>RAP-2025-001</t>
        </is>
      </c>
      <c r="B9" s="8" t="inlineStr">
        <is>
          <t>Diallo Fatou</t>
        </is>
      </c>
      <c r="C9" s="8">
        <f>IF(B9="","",VLOOKUP(B9,'F01 - _Données Stagiaires'!$B$6:$K$15,6,FALSE))</f>
        <v/>
      </c>
      <c r="D9" s="8" t="inlineStr">
        <is>
          <t>Stratégie digitale pour l'hôtel</t>
        </is>
      </c>
      <c r="E9" s="9" t="n">
        <v>45736</v>
      </c>
      <c r="F9" s="8" t="inlineStr">
        <is>
          <t>Très bon</t>
        </is>
      </c>
      <c r="G9" s="10" t="n">
        <v>4</v>
      </c>
      <c r="H9" s="8" t="inlineStr">
        <is>
          <t>Excellente créativité</t>
        </is>
      </c>
      <c r="I9" s="8" t="inlineStr"/>
      <c r="J9" s="8" t="inlineStr"/>
      <c r="K9" s="8" t="inlineStr"/>
      <c r="L9" s="8" t="inlineStr"/>
      <c r="M9" s="8" t="inlineStr"/>
      <c r="N9" s="8" t="inlineStr"/>
    </row>
    <row r="10" ht="22" customHeight="1">
      <c r="A10" s="5" t="n"/>
      <c r="B10" s="5" t="n"/>
      <c r="C10" s="5">
        <f>IF(B10="","",VLOOKUP(B10,'F01 - _Données Stagiaires'!$B$6:$K$15,6,FALSE))</f>
        <v/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22" customHeight="1">
      <c r="A11" s="8" t="n"/>
      <c r="B11" s="8" t="n"/>
      <c r="C11" s="8">
        <f>IF(B11="","",VLOOKUP(B11,'F01 - _Données Stagiaires'!$B$6:$K$15,6,FALSE))</f>
        <v/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>
        <f>IF(B12="","",VLOOKUP(B12,'F01 - _Données Stagiaires'!$B$6:$K$15,6,FALSE))</f>
        <v/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>
        <f>IF(B13="","",VLOOKUP(B13,'F01 - _Données Stagiaires'!$B$6:$K$15,6,FALSE))</f>
        <v/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>
        <f>IF(B14="","",VLOOKUP(B14,'F01 - _Données Stagiaires'!$B$6:$K$15,6,FALSE))</f>
        <v/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>
        <f>IF(B15="","",VLOOKUP(B15,'F01 - _Données Stagiaires'!$B$6:$K$15,6,FALSE))</f>
        <v/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>
        <f>IF(B16="","",VLOOKUP(B16,'F01 - _Données Stagiaires'!$B$6:$K$15,6,FALSE))</f>
        <v/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>
        <f>IF(B17="","",VLOOKUP(B17,'F01 - _Données Stagiaires'!$B$6:$K$15,6,FALSE))</f>
        <v/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>
        <f>IF(B18="","",VLOOKUP(B18,'F01 - _Données Stagiaires'!$B$6:$K$15,6,FALSE))</f>
        <v/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>
        <f>IF(B19="","",VLOOKUP(B19,'F01 - _Données Stagiaires'!$B$6:$K$15,6,FALSE))</f>
        <v/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>
        <f>IF(B20="","",VLOOKUP(B20,'F01 - _Données Stagiaires'!$B$6:$K$15,6,FALSE))</f>
        <v/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>
        <f>IF(B21="","",VLOOKUP(B21,'F01 - _Données Stagiaires'!$B$6:$K$15,6,FALSE))</f>
        <v/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>
        <f>IF(B22="","",VLOOKUP(B22,'F01 - _Données Stagiaires'!$B$6:$K$15,6,FALSE))</f>
        <v/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>
        <f>IF(B23="","",VLOOKUP(B23,'F01 - _Données Stagiaires'!$B$6:$K$15,6,FALSE))</f>
        <v/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>
        <f>IF(B24="","",VLOOKUP(B24,'F01 - _Données Stagiaires'!$B$6:$K$15,6,FALSE))</f>
        <v/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>
        <f>IF(B25="","",VLOOKUP(B25,'F01 - _Données Stagiaires'!$B$6:$K$15,6,FALSE))</f>
        <v/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>
        <f>IF(B26="","",VLOOKUP(B26,'F01 - _Données Stagiaires'!$B$6:$K$15,6,FALSE))</f>
        <v/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>
        <f>IF(B27="","",VLOOKUP(B27,'F01 - _Données Stagiaires'!$B$6:$K$15,6,FALSE))</f>
        <v/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>
        <f>IF(B28="","",VLOOKUP(B28,'F01 - _Données Stagiaires'!$B$6:$K$15,6,FALSE))</f>
        <v/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>
        <f>IF(B29="","",VLOOKUP(B29,'F01 - _Données Stagiaires'!$B$6:$K$15,6,FALSE))</f>
        <v/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>
        <f>IF(B30="","",VLOOKUP(B30,'F01 - _Données Stagiaires'!$B$6:$K$15,6,FALSE))</f>
        <v/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>
        <f>IF(B31="","",VLOOKUP(B31,'F01 - _Données Stagiaires'!$B$6:$K$15,6,FALSE))</f>
        <v/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>
        <f>IF(B32="","",VLOOKUP(B32,'F01 - _Données Stagiaires'!$B$6:$K$15,6,FALSE))</f>
        <v/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>
        <f>IF(B33="","",VLOOKUP(B33,'F01 - _Données Stagiaires'!$B$6:$K$15,6,FALSE))</f>
        <v/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>
        <f>IF(B34="","",VLOOKUP(B34,'F01 - _Données Stagiaires'!$B$6:$K$15,6,FALSE))</f>
        <v/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>
        <f>IF(B35="","",VLOOKUP(B35,'F01 - _Données Stagiaires'!$B$6:$K$15,6,FALSE))</f>
        <v/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>
        <f>IF(B36="","",VLOOKUP(B36,'F01 - _Données Stagiaires'!$B$6:$K$15,6,FALSE))</f>
        <v/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>
        <f>IF(B37="","",VLOOKUP(B37,'F01 - _Données Stagiaires'!$B$6:$K$15,6,FALSE))</f>
        <v/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>
        <f>IF(B38="","",VLOOKUP(B38,'F01 - _Données Stagiaires'!$B$6:$K$15,6,FALSE))</f>
        <v/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>
        <f>IF(B39="","",VLOOKUP(B39,'F01 - _Données Stagiaires'!$B$6:$K$15,6,FALSE))</f>
        <v/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>
        <f>IF(B40="","",VLOOKUP(B40,'F01 - _Données Stagiaires'!$B$6:$K$15,6,FALSE))</f>
        <v/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>
        <f>IF(B41="","",VLOOKUP(B41,'F01 - _Données Stagiaires'!$B$6:$K$15,6,FALSE))</f>
        <v/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>
        <f>IF(B42="","",VLOOKUP(B42,'F01 - _Données Stagiaires'!$B$6:$K$15,6,FALSE))</f>
        <v/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>
        <f>IF(B43="","",VLOOKUP(B43,'F01 - _Données Stagiaires'!$B$6:$K$15,6,FALSE))</f>
        <v/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>
        <f>IF(B44="","",VLOOKUP(B44,'F01 - _Données Stagiaires'!$B$6:$K$15,6,FALSE))</f>
        <v/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>
        <f>IF(B45="","",VLOOKUP(B45,'F01 - _Données Stagiaires'!$B$6:$K$15,6,FALSE))</f>
        <v/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>
        <f>IF(B46="","",VLOOKUP(B46,'F01 - _Données Stagiaires'!$B$6:$K$15,6,FALSE))</f>
        <v/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>
        <f>IF(B47="","",VLOOKUP(B47,'F01 - _Données Stagiaires'!$B$6:$K$15,6,FALSE))</f>
        <v/>
      </c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>
        <f>IF(B48="","",VLOOKUP(B48,'F01 - _Données Stagiaires'!$B$6:$K$15,6,FALSE))</f>
        <v/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>
        <f>IF(B49="","",VLOOKUP(B49,'F01 - _Données Stagiaires'!$B$6:$K$15,6,FALSE))</f>
        <v/>
      </c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>
        <f>IF(B50="","",VLOOKUP(B50,'F01 - _Données Stagiaires'!$B$6:$K$15,6,FALSE))</f>
        <v/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>
        <f>IF(B51="","",VLOOKUP(B51,'F01 - _Données Stagiaires'!$B$6:$K$15,6,FALSE))</f>
        <v/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>
        <f>IF(B52="","",VLOOKUP(B52,'F01 - _Données Stagiaires'!$B$6:$K$15,6,FALSE))</f>
        <v/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>
        <f>IF(B53="","",VLOOKUP(B53,'F01 - _Données Stagiaires'!$B$6:$K$15,6,FALSE))</f>
        <v/>
      </c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>
        <f>IF(B54="","",VLOOKUP(B54,'F01 - _Données Stagiaires'!$B$6:$K$15,6,FALSE))</f>
        <v/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>
        <f>IF(B55="","",VLOOKUP(B55,'F01 - _Données Stagiaires'!$B$6:$K$15,6,FALSE))</f>
        <v/>
      </c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>
        <f>IF(B56="","",VLOOKUP(B56,'F01 - _Données Stagiaires'!$B$6:$K$15,6,FALSE))</f>
        <v/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>
        <f>IF(B57="","",VLOOKUP(B57,'F01 - _Données Stagiaires'!$B$6:$K$15,6,FALSE))</f>
        <v/>
      </c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>
        <f>IF(B58="","",VLOOKUP(B58,'F01 - _Données Stagiaires'!$B$6:$K$15,6,FALSE))</f>
        <v/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>
        <f>IF(B59="","",VLOOKUP(B59,'F01 - _Données Stagiaires'!$B$6:$K$15,6,FALSE))</f>
        <v/>
      </c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>
        <f>IF(B60="","",VLOOKUP(B60,'F01 - _Données Stagiaires'!$B$6:$K$15,6,FALSE))</f>
        <v/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>
        <f>IF(B61="","",VLOOKUP(B61,'F01 - _Données Stagiaires'!$B$6:$K$15,6,FALSE))</f>
        <v/>
      </c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>
        <f>IF(B62="","",VLOOKUP(B62,'F01 - _Données Stagiaires'!$B$6:$K$15,6,FALSE))</f>
        <v/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>
        <f>IF(B63="","",VLOOKUP(B63,'F01 - _Données Stagiaires'!$B$6:$K$15,6,FALSE))</f>
        <v/>
      </c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>
        <f>IF(B64="","",VLOOKUP(B64,'F01 - _Données Stagiaires'!$B$6:$K$15,6,FALSE))</f>
        <v/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>
        <f>IF(B65="","",VLOOKUP(B65,'F01 - _Données Stagiaires'!$B$6:$K$15,6,FALSE))</f>
        <v/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>
        <f>IF(B66="","",VLOOKUP(B66,'F01 - _Données Stagiaires'!$B$6:$K$15,6,FALSE))</f>
        <v/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>
        <f>IF(B67="","",VLOOKUP(B67,'F01 - _Données Stagiaires'!$B$6:$K$15,6,FALSE))</f>
        <v/>
      </c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>
        <f>IF(B68="","",VLOOKUP(B68,'F01 - _Données Stagiaires'!$B$6:$K$15,6,FALSE))</f>
        <v/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>
        <f>IF(B69="","",VLOOKUP(B69,'F01 - _Données Stagiaires'!$B$6:$K$15,6,FALSE))</f>
        <v/>
      </c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>
        <f>IF(B70="","",VLOOKUP(B70,'F01 - _Données Stagiaires'!$B$6:$K$15,6,FALSE))</f>
        <v/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>
        <f>IF(B71="","",VLOOKUP(B71,'F01 - _Données Stagiaires'!$B$6:$K$15,6,FALSE))</f>
        <v/>
      </c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>
        <f>IF(B72="","",VLOOKUP(B72,'F01 - _Données Stagiaires'!$B$6:$K$15,6,FALSE))</f>
        <v/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>
        <f>IF(B73="","",VLOOKUP(B73,'F01 - _Données Stagiaires'!$B$6:$K$15,6,FALSE))</f>
        <v/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>
        <f>IF(B74="","",VLOOKUP(B74,'F01 - _Données Stagiaires'!$B$6:$K$15,6,FALSE))</f>
        <v/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>
        <f>IF(B75="","",VLOOKUP(B75,'F01 - _Données Stagiaires'!$B$6:$K$15,6,FALSE))</f>
        <v/>
      </c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>
        <f>IF(B76="","",VLOOKUP(B76,'F01 - _Données Stagiaires'!$B$6:$K$15,6,FALSE))</f>
        <v/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>
        <f>IF(B77="","",VLOOKUP(B77,'F01 - _Données Stagiaires'!$B$6:$K$15,6,FALSE))</f>
        <v/>
      </c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>
        <f>IF(B78="","",VLOOKUP(B78,'F01 - _Données Stagiaires'!$B$6:$K$15,6,FALSE))</f>
        <v/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>
        <f>IF(B79="","",VLOOKUP(B79,'F01 - _Données Stagiaires'!$B$6:$K$15,6,FALSE))</f>
        <v/>
      </c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>
        <f>IF(B80="","",VLOOKUP(B80,'F01 - _Données Stagiaires'!$B$6:$K$15,6,FALSE))</f>
        <v/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>
        <f>IF(B81="","",VLOOKUP(B81,'F01 - _Données Stagiaires'!$B$6:$K$15,6,FALSE))</f>
        <v/>
      </c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>
        <f>IF(B82="","",VLOOKUP(B82,'F01 - _Données Stagiaires'!$B$6:$K$15,6,FALSE))</f>
        <v/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>
        <f>IF(B83="","",VLOOKUP(B83,'F01 - _Données Stagiaires'!$B$6:$K$15,6,FALSE))</f>
        <v/>
      </c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>
        <f>IF(B84="","",VLOOKUP(B84,'F01 - _Données Stagiaires'!$B$6:$K$15,6,FALSE))</f>
        <v/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>
        <f>IF(B85="","",VLOOKUP(B85,'F01 - _Données Stagiaires'!$B$6:$K$15,6,FALSE))</f>
        <v/>
      </c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>
        <f>IF(B86="","",VLOOKUP(B86,'F01 - _Données Stagiaires'!$B$6:$K$15,6,FALSE))</f>
        <v/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>
        <f>IF(B87="","",VLOOKUP(B87,'F01 - _Données Stagiaires'!$B$6:$K$15,6,FALSE))</f>
        <v/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>
        <f>IF(B88="","",VLOOKUP(B88,'F01 - _Données Stagiaires'!$B$6:$K$15,6,FALSE))</f>
        <v/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>
        <f>IF(B89="","",VLOOKUP(B89,'F01 - _Données Stagiaires'!$B$6:$K$15,6,FALSE))</f>
        <v/>
      </c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>
        <f>IF(B90="","",VLOOKUP(B90,'F01 - _Données Stagiaires'!$B$6:$K$15,6,FALSE))</f>
        <v/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>
        <f>IF(B91="","",VLOOKUP(B91,'F01 - _Données Stagiaires'!$B$6:$K$15,6,FALSE))</f>
        <v/>
      </c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>
        <f>IF(B92="","",VLOOKUP(B92,'F01 - _Données Stagiaires'!$B$6:$K$15,6,FALSE))</f>
        <v/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>
        <f>IF(B93="","",VLOOKUP(B93,'F01 - _Données Stagiaires'!$B$6:$K$15,6,FALSE))</f>
        <v/>
      </c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>
        <f>IF(B94="","",VLOOKUP(B94,'F01 - _Données Stagiaires'!$B$6:$K$15,6,FALSE))</f>
        <v/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>
        <f>IF(B95="","",VLOOKUP(B95,'F01 - _Données Stagiaires'!$B$6:$K$15,6,FALSE))</f>
        <v/>
      </c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>
        <f>IF(B96="","",VLOOKUP(B96,'F01 - _Données Stagiaires'!$B$6:$K$15,6,FALSE))</f>
        <v/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>
        <f>IF(B97="","",VLOOKUP(B97,'F01 - _Données Stagiaires'!$B$6:$K$15,6,FALSE))</f>
        <v/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>
        <f>IF(B98="","",VLOOKUP(B98,'F01 - _Données Stagiaires'!$B$6:$K$15,6,FALSE))</f>
        <v/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>
        <f>IF(B99="","",VLOOKUP(B99,'F01 - _Données Stagiaires'!$B$6:$K$15,6,FALSE))</f>
        <v/>
      </c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>
        <f>IF(B100="","",VLOOKUP(B100,'F01 - _Données Stagiaires'!$B$6:$K$15,6,FALSE))</f>
        <v/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>
        <f>IF(B101="","",VLOOKUP(B101,'F01 - _Données Stagiaires'!$B$6:$K$15,6,FALSE))</f>
        <v/>
      </c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>
        <f>IF(B102="","",VLOOKUP(B102,'F01 - _Données Stagiaires'!$B$6:$K$15,6,FALSE))</f>
        <v/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>
        <f>IF(B103="","",VLOOKUP(B103,'F01 - _Données Stagiaires'!$B$6:$K$15,6,FALSE))</f>
        <v/>
      </c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>
        <f>IF(B104="","",VLOOKUP(B104,'F01 - _Données Stagiaires'!$B$6:$K$15,6,FALSE))</f>
        <v/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>
        <f>IF(B105="","",VLOOKUP(B105,'F01 - _Données Stagiaires'!$B$6:$K$15,6,FALSE))</f>
        <v/>
      </c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>
        <f>IF(B106="","",VLOOKUP(B106,'F01 - _Données Stagiaires'!$B$6:$K$15,6,FALSE))</f>
        <v/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>
        <f>IF(B107="","",VLOOKUP(B107,'F01 - _Données Stagiaires'!$B$6:$K$15,6,FALSE))</f>
        <v/>
      </c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>
        <f>IF(B108="","",VLOOKUP(B108,'F01 - _Données Stagiaires'!$B$6:$K$15,6,FALSE))</f>
        <v/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>
        <f>IF(B109="","",VLOOKUP(B109,'F01 - _Données Stagiaires'!$B$6:$K$15,6,FALSE))</f>
        <v/>
      </c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>
        <f>IF(B110="","",VLOOKUP(B110,'F01 - _Données Stagiaires'!$B$6:$K$15,6,FALSE))</f>
        <v/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>
        <f>IF(B111="","",VLOOKUP(B111,'F01 - _Données Stagiaires'!$B$6:$K$15,6,FALSE))</f>
        <v/>
      </c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>
        <f>IF(B112="","",VLOOKUP(B112,'F01 - _Données Stagiaires'!$B$6:$K$15,6,FALSE))</f>
        <v/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>
        <f>IF(B113="","",VLOOKUP(B113,'F01 - _Données Stagiaires'!$B$6:$K$15,6,FALSE))</f>
        <v/>
      </c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>
        <f>IF(B114="","",VLOOKUP(B114,'F01 - _Données Stagiaires'!$B$6:$K$15,6,FALSE))</f>
        <v/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>
        <f>IF(B115="","",VLOOKUP(B115,'F01 - _Données Stagiaires'!$B$6:$K$15,6,FALSE))</f>
        <v/>
      </c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2">
    <dataValidation sqref="F6:F115" showDropDown="0" showInputMessage="0" showErrorMessage="0" allowBlank="1" errorTitle="Erreur" error="Valeur invalide" promptTitle="" prompt="Choisir dans la liste: " type="list">
      <formula1>'F02 - _Lists'!$G$6:$G$11</formula1>
    </dataValidation>
    <dataValidation sqref="H6:H115" showDropDown="0" showInputMessage="0" showErrorMessage="0" allowBlank="1" errorTitle="Erreur" error="Valeur invalide" promptTitle="" prompt="Choisir dans la liste: " type="list">
      <formula1>'F02 - _Lists'!$M$6:$M$9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22" customWidth="1" min="4" max="4"/>
    <col width="22" customWidth="1" min="5" max="5"/>
    <col width="18" customWidth="1" min="6" max="6"/>
    <col width="20" customWidth="1" min="7" max="7"/>
    <col width="14" customWidth="1" min="8" max="8"/>
    <col width="3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10-ANALYSE COÛTS STAGES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Mois</t>
        </is>
      </c>
      <c r="B5" s="4" t="inlineStr">
        <is>
          <t>Nb Stagiaires</t>
        </is>
      </c>
      <c r="C5" s="4" t="inlineStr">
        <is>
          <t>Total Indemnités (FCFA)</t>
        </is>
      </c>
      <c r="D5" s="4" t="inlineStr">
        <is>
          <t>Coût Moyen/Stagiaire</t>
        </is>
      </c>
      <c r="E5" s="4" t="inlineStr">
        <is>
          <t>Budget Prévu (FCFA)</t>
        </is>
      </c>
      <c r="F5" s="4" t="inlineStr">
        <is>
          <t>Écart (FCFA)</t>
        </is>
      </c>
      <c r="G5" s="4" t="inlineStr">
        <is>
          <t>Taux Réalisation (%)</t>
        </is>
      </c>
      <c r="H5" s="4" t="inlineStr">
        <is>
          <t>Tendance</t>
        </is>
      </c>
      <c r="I5" s="4" t="inlineStr">
        <is>
          <t>Observations</t>
        </is>
      </c>
      <c r="J5" s="4" t="inlineStr"/>
      <c r="K5" s="4" t="inlineStr"/>
      <c r="L5" s="4" t="inlineStr"/>
      <c r="M5" s="4" t="inlineStr"/>
      <c r="N5" s="4" t="inlineStr"/>
    </row>
    <row r="6" ht="22" customHeight="1">
      <c r="A6" s="5" t="inlineStr">
        <is>
          <t>Janvier 2025</t>
        </is>
      </c>
      <c r="B6" s="7" t="n">
        <v>8</v>
      </c>
      <c r="C6" s="7">
        <f>IFERROR(SUMIF('F10 - 8-Suivi Indemnités'!C:C,A6,'F10 - 8-Suivi Indemnités'!F:F),0)</f>
        <v/>
      </c>
      <c r="D6" s="23">
        <f>IF(B6="","",IFERROR(C6/B6,0))</f>
        <v/>
      </c>
      <c r="E6" s="7" t="n">
        <v>600000</v>
      </c>
      <c r="F6" s="23">
        <f>IF(E6="","",E6-C6)</f>
        <v/>
      </c>
      <c r="G6" s="21">
        <f>IF(E6="","",IFERROR(C6/E6*100,0))</f>
        <v/>
      </c>
      <c r="H6" s="5">
        <f>IF(G6="","",IF(G6&gt;100,"Hausse",IF(G6&lt;95,"Baisse","Stable")))</f>
        <v/>
      </c>
      <c r="I6" s="5" t="inlineStr">
        <is>
          <t>8 stagiaires actifs ce mois</t>
        </is>
      </c>
      <c r="J6" s="5" t="inlineStr"/>
      <c r="K6" s="5" t="inlineStr"/>
      <c r="L6" s="5" t="inlineStr"/>
      <c r="M6" s="5" t="inlineStr"/>
      <c r="N6" s="5" t="inlineStr"/>
    </row>
    <row r="7" ht="22" customHeight="1">
      <c r="A7" s="8" t="inlineStr">
        <is>
          <t>Février 2025</t>
        </is>
      </c>
      <c r="B7" s="10" t="n">
        <v>8</v>
      </c>
      <c r="C7" s="10">
        <f>IFERROR(SUMIF('F10 - 8-Suivi Indemnités'!C:C,A7,'F10 - 8-Suivi Indemnités'!F:F),0)</f>
        <v/>
      </c>
      <c r="D7" s="24">
        <f>IF(B7="","",IFERROR(C7/B7,0))</f>
        <v/>
      </c>
      <c r="E7" s="10" t="n">
        <v>600000</v>
      </c>
      <c r="F7" s="24">
        <f>IF(E7="","",E7-C7)</f>
        <v/>
      </c>
      <c r="G7" s="22">
        <f>IF(E7="","",IFERROR(C7/E7*100,0))</f>
        <v/>
      </c>
      <c r="H7" s="8">
        <f>IF(G7="","",IF(G7&gt;100,"Hausse",IF(G7&lt;95,"Baisse","Stable")))</f>
        <v/>
      </c>
      <c r="I7" s="8" t="inlineStr">
        <is>
          <t>Stable, pas de variation</t>
        </is>
      </c>
      <c r="J7" s="8" t="inlineStr"/>
      <c r="K7" s="8" t="inlineStr"/>
      <c r="L7" s="8" t="inlineStr"/>
      <c r="M7" s="8" t="inlineStr"/>
      <c r="N7" s="8" t="inlineStr"/>
    </row>
    <row r="8" ht="22" customHeight="1">
      <c r="A8" s="5" t="inlineStr">
        <is>
          <t>Mars 2025</t>
        </is>
      </c>
      <c r="B8" s="7" t="n">
        <v>9</v>
      </c>
      <c r="C8" s="7">
        <f>IFERROR(SUMIF('F10 - 8-Suivi Indemnités'!C:C,A8,'F10 - 8-Suivi Indemnités'!F:F),0)</f>
        <v/>
      </c>
      <c r="D8" s="23">
        <f>IF(B8="","",IFERROR(C8/B8,0))</f>
        <v/>
      </c>
      <c r="E8" s="7" t="n">
        <v>650000</v>
      </c>
      <c r="F8" s="23">
        <f>IF(E8="","",E8-C8)</f>
        <v/>
      </c>
      <c r="G8" s="21">
        <f>IF(E8="","",IFERROR(C8/E8*100,0))</f>
        <v/>
      </c>
      <c r="H8" s="5">
        <f>IF(G8="","",IF(G8&gt;100,"Hausse",IF(G8&lt;95,"Baisse","Stable")))</f>
        <v/>
      </c>
      <c r="I8" s="5" t="inlineStr">
        <is>
          <t>Arrivée nouvelle stagiaire cuisine</t>
        </is>
      </c>
      <c r="J8" s="5" t="inlineStr"/>
      <c r="K8" s="5" t="inlineStr"/>
      <c r="L8" s="5" t="inlineStr"/>
      <c r="M8" s="5" t="inlineStr"/>
      <c r="N8" s="5" t="inlineStr"/>
    </row>
    <row r="9" ht="22" customHeight="1">
      <c r="A9" s="8" t="inlineStr">
        <is>
          <t>Avril 2025</t>
        </is>
      </c>
      <c r="B9" s="10" t="n">
        <v>9</v>
      </c>
      <c r="C9" s="10">
        <f>IFERROR(SUMIF('F10 - 8-Suivi Indemnités'!C:C,A9,'F10 - 8-Suivi Indemnités'!F:F),0)</f>
        <v/>
      </c>
      <c r="D9" s="24">
        <f>IF(B9="","",IFERROR(C9/B9,0))</f>
        <v/>
      </c>
      <c r="E9" s="10" t="n">
        <v>650000</v>
      </c>
      <c r="F9" s="24">
        <f>IF(E9="","",E9-C9)</f>
        <v/>
      </c>
      <c r="G9" s="22">
        <f>IF(E9="","",IFERROR(C9/E9*100,0))</f>
        <v/>
      </c>
      <c r="H9" s="8">
        <f>IF(G9="","",IF(G9&gt;100,"Hausse",IF(G9&lt;95,"Baisse","Stable")))</f>
        <v/>
      </c>
      <c r="I9" s="8" t="inlineStr">
        <is>
          <t>Prévision stable</t>
        </is>
      </c>
      <c r="J9" s="8" t="inlineStr"/>
      <c r="K9" s="8" t="inlineStr"/>
      <c r="L9" s="8" t="inlineStr"/>
      <c r="M9" s="8" t="inlineStr"/>
      <c r="N9" s="8" t="inlineStr"/>
    </row>
    <row r="10" ht="22" customHeight="1">
      <c r="A10" s="5" t="inlineStr">
        <is>
          <t>Mai 2025</t>
        </is>
      </c>
      <c r="B10" s="7" t="n">
        <v>8</v>
      </c>
      <c r="C10" s="7">
        <f>IFERROR(SUMIF('F10 - 8-Suivi Indemnités'!C:C,A10,'F10 - 8-Suivi Indemnités'!F:F),0)</f>
        <v/>
      </c>
      <c r="D10" s="23">
        <f>IF(B10="","",IFERROR(C10/B10,0))</f>
        <v/>
      </c>
      <c r="E10" s="7" t="n">
        <v>600000</v>
      </c>
      <c r="F10" s="23">
        <f>IF(E10="","",E10-C10)</f>
        <v/>
      </c>
      <c r="G10" s="21">
        <f>IF(E10="","",IFERROR(C10/E10*100,0))</f>
        <v/>
      </c>
      <c r="H10" s="5">
        <f>IF(G10="","",IF(G10&gt;100,"Hausse",IF(G10&lt;95,"Baisse","Stable")))</f>
        <v/>
      </c>
      <c r="I10" s="5" t="inlineStr">
        <is>
          <t>Départ d'un stagiaire</t>
        </is>
      </c>
      <c r="J10" s="5" t="inlineStr"/>
      <c r="K10" s="5" t="inlineStr"/>
      <c r="L10" s="5" t="inlineStr"/>
      <c r="M10" s="5" t="inlineStr"/>
      <c r="N10" s="5" t="inlineStr"/>
    </row>
    <row r="11" ht="22" customHeight="1">
      <c r="A11" s="8" t="inlineStr">
        <is>
          <t>Juin 2025</t>
        </is>
      </c>
      <c r="B11" s="10" t="n">
        <v>7</v>
      </c>
      <c r="C11" s="10">
        <f>IFERROR(SUMIF('F10 - 8-Suivi Indemnités'!C:C,A11,'F10 - 8-Suivi Indemnités'!F:F),0)</f>
        <v/>
      </c>
      <c r="D11" s="24">
        <f>IF(B11="","",IFERROR(C11/B11,0))</f>
        <v/>
      </c>
      <c r="E11" s="10" t="n">
        <v>550000</v>
      </c>
      <c r="F11" s="24">
        <f>IF(E11="","",E11-C11)</f>
        <v/>
      </c>
      <c r="G11" s="22">
        <f>IF(E11="","",IFERROR(C11/E11*100,0))</f>
        <v/>
      </c>
      <c r="H11" s="8">
        <f>IF(G11="","",IF(G11&gt;100,"Hausse",IF(G11&lt;95,"Baisse","Stable")))</f>
        <v/>
      </c>
      <c r="I11" s="8" t="inlineStr">
        <is>
          <t>Fin de stage marketing</t>
        </is>
      </c>
      <c r="J11" s="8" t="inlineStr"/>
      <c r="K11" s="8" t="inlineStr"/>
      <c r="L11" s="8" t="inlineStr"/>
      <c r="M11" s="8" t="inlineStr"/>
      <c r="N11" s="8" t="inlineStr"/>
    </row>
    <row r="12" ht="22" customHeight="1">
      <c r="A12" s="5" t="inlineStr">
        <is>
          <t>Juillet 2025</t>
        </is>
      </c>
      <c r="B12" s="7" t="n">
        <v>8</v>
      </c>
      <c r="C12" s="7">
        <f>IFERROR(SUMIF('F10 - 8-Suivi Indemnités'!C:C,A12,'F10 - 8-Suivi Indemnités'!F:F),0)</f>
        <v/>
      </c>
      <c r="D12" s="23">
        <f>IF(B12="","",IFERROR(C12/B12,0))</f>
        <v/>
      </c>
      <c r="E12" s="7" t="n">
        <v>600000</v>
      </c>
      <c r="F12" s="23">
        <f>IF(E12="","",E12-C12)</f>
        <v/>
      </c>
      <c r="G12" s="21">
        <f>IF(E12="","",IFERROR(C12/E12*100,0))</f>
        <v/>
      </c>
      <c r="H12" s="5">
        <f>IF(G12="","",IF(G12&gt;100,"Hausse",IF(G12&lt;95,"Baisse","Stable")))</f>
        <v/>
      </c>
      <c r="I12" s="5" t="inlineStr">
        <is>
          <t>Nouvelle arrivée prévue</t>
        </is>
      </c>
      <c r="J12" s="5" t="inlineStr"/>
      <c r="K12" s="5" t="inlineStr"/>
      <c r="L12" s="5" t="inlineStr"/>
      <c r="M12" s="5" t="inlineStr"/>
      <c r="N12" s="5" t="inlineStr"/>
    </row>
    <row r="13" ht="22" customHeight="1">
      <c r="A13" s="8" t="inlineStr">
        <is>
          <t>Août 2025</t>
        </is>
      </c>
      <c r="B13" s="10" t="n">
        <v>8</v>
      </c>
      <c r="C13" s="10">
        <f>IFERROR(SUMIF('F10 - 8-Suivi Indemnités'!C:C,A13,'F10 - 8-Suivi Indemnités'!F:F),0)</f>
        <v/>
      </c>
      <c r="D13" s="24">
        <f>IF(B13="","",IFERROR(C13/B13,0))</f>
        <v/>
      </c>
      <c r="E13" s="10" t="n">
        <v>600000</v>
      </c>
      <c r="F13" s="24">
        <f>IF(E13="","",E13-C13)</f>
        <v/>
      </c>
      <c r="G13" s="22">
        <f>IF(E13="","",IFERROR(C13/E13*100,0))</f>
        <v/>
      </c>
      <c r="H13" s="8">
        <f>IF(G13="","",IF(G13&gt;100,"Hausse",IF(G13&lt;95,"Baisse","Stable")))</f>
        <v/>
      </c>
      <c r="I13" s="8" t="inlineStr">
        <is>
          <t>Haute saison</t>
        </is>
      </c>
      <c r="J13" s="8" t="inlineStr"/>
      <c r="K13" s="8" t="inlineStr"/>
      <c r="L13" s="8" t="inlineStr"/>
      <c r="M13" s="8" t="inlineStr"/>
      <c r="N13" s="8" t="inlineStr"/>
    </row>
    <row r="14" ht="22" customHeight="1">
      <c r="A14" s="5" t="inlineStr">
        <is>
          <t>Septembre 2025</t>
        </is>
      </c>
      <c r="B14" s="7" t="n">
        <v>6</v>
      </c>
      <c r="C14" s="7">
        <f>IFERROR(SUMIF('F10 - 8-Suivi Indemnités'!C:C,A14,'F10 - 8-Suivi Indemnités'!F:F),0)</f>
        <v/>
      </c>
      <c r="D14" s="23">
        <f>IF(B14="","",IFERROR(C14/B14,0))</f>
        <v/>
      </c>
      <c r="E14" s="7" t="n">
        <v>500000</v>
      </c>
      <c r="F14" s="23">
        <f>IF(E14="","",E14-C14)</f>
        <v/>
      </c>
      <c r="G14" s="21">
        <f>IF(E14="","",IFERROR(C14/E14*100,0))</f>
        <v/>
      </c>
      <c r="H14" s="5">
        <f>IF(G14="","",IF(G14&gt;100,"Hausse",IF(G14&lt;95,"Baisse","Stable")))</f>
        <v/>
      </c>
      <c r="I14" s="5" t="inlineStr">
        <is>
          <t>Départs fin de stage</t>
        </is>
      </c>
      <c r="J14" s="5" t="inlineStr"/>
      <c r="K14" s="5" t="inlineStr"/>
      <c r="L14" s="5" t="inlineStr"/>
      <c r="M14" s="5" t="inlineStr"/>
      <c r="N14" s="5" t="inlineStr"/>
    </row>
    <row r="15" ht="22" customHeight="1">
      <c r="A15" s="8" t="inlineStr">
        <is>
          <t>Octobre 2025</t>
        </is>
      </c>
      <c r="B15" s="10" t="n">
        <v>6</v>
      </c>
      <c r="C15" s="10">
        <f>IFERROR(SUMIF('F10 - 8-Suivi Indemnités'!C:C,A15,'F10 - 8-Suivi Indemnités'!F:F),0)</f>
        <v/>
      </c>
      <c r="D15" s="24">
        <f>IF(B15="","",IFERROR(C15/B15,0))</f>
        <v/>
      </c>
      <c r="E15" s="10" t="n">
        <v>500000</v>
      </c>
      <c r="F15" s="24">
        <f>IF(E15="","",E15-C15)</f>
        <v/>
      </c>
      <c r="G15" s="22">
        <f>IF(E15="","",IFERROR(C15/E15*100,0))</f>
        <v/>
      </c>
      <c r="H15" s="8">
        <f>IF(G15="","",IF(G15&gt;100,"Hausse",IF(G15&lt;95,"Baisse","Stable")))</f>
        <v/>
      </c>
      <c r="I15" s="8" t="inlineStr">
        <is>
          <t>Basse saison</t>
        </is>
      </c>
      <c r="J15" s="8" t="inlineStr"/>
      <c r="K15" s="8" t="inlineStr"/>
      <c r="L15" s="8" t="inlineStr"/>
      <c r="M15" s="8" t="inlineStr"/>
      <c r="N15" s="8" t="inlineStr"/>
    </row>
    <row r="16" ht="22" customHeight="1">
      <c r="A16" s="5" t="inlineStr">
        <is>
          <t>Novembre 2025</t>
        </is>
      </c>
      <c r="B16" s="7" t="n">
        <v>7</v>
      </c>
      <c r="C16" s="7">
        <f>IFERROR(SUMIF('F10 - 8-Suivi Indemnités'!C:C,A16,'F10 - 8-Suivi Indemnités'!F:F),0)</f>
        <v/>
      </c>
      <c r="D16" s="23">
        <f>IF(B16="","",IFERROR(C16/B16,0))</f>
        <v/>
      </c>
      <c r="E16" s="7" t="n">
        <v>550000</v>
      </c>
      <c r="F16" s="23">
        <f>IF(E16="","",E16-C16)</f>
        <v/>
      </c>
      <c r="G16" s="21">
        <f>IF(E16="","",IFERROR(C16/E16*100,0))</f>
        <v/>
      </c>
      <c r="H16" s="5">
        <f>IF(G16="","",IF(G16&gt;100,"Hausse",IF(G16&lt;95,"Baisse","Stable")))</f>
        <v/>
      </c>
      <c r="I16" s="5" t="inlineStr">
        <is>
          <t>Reprise progressive</t>
        </is>
      </c>
      <c r="J16" s="5" t="inlineStr"/>
      <c r="K16" s="5" t="inlineStr"/>
      <c r="L16" s="5" t="inlineStr"/>
      <c r="M16" s="5" t="inlineStr"/>
      <c r="N16" s="5" t="inlineStr"/>
    </row>
    <row r="17" ht="22" customHeight="1">
      <c r="A17" s="8" t="inlineStr">
        <is>
          <t>Décembre 2025</t>
        </is>
      </c>
      <c r="B17" s="10" t="n">
        <v>9</v>
      </c>
      <c r="C17" s="10">
        <f>IFERROR(SUMIF('F10 - 8-Suivi Indemnités'!C:C,A17,'F10 - 8-Suivi Indemnités'!F:F),0)</f>
        <v/>
      </c>
      <c r="D17" s="24">
        <f>IF(B17="","",IFERROR(C17/B17,0))</f>
        <v/>
      </c>
      <c r="E17" s="10" t="n">
        <v>700000</v>
      </c>
      <c r="F17" s="24">
        <f>IF(E17="","",E17-C17)</f>
        <v/>
      </c>
      <c r="G17" s="22">
        <f>IF(E17="","",IFERROR(C17/E17*100,0))</f>
        <v/>
      </c>
      <c r="H17" s="8">
        <f>IF(G17="","",IF(G17&gt;100,"Hausse",IF(G17&lt;95,"Baisse","Stable")))</f>
        <v/>
      </c>
      <c r="I17" s="8" t="inlineStr">
        <is>
          <t>Pic fêtes de fin d'année</t>
        </is>
      </c>
      <c r="J17" s="8" t="inlineStr"/>
      <c r="K17" s="8" t="inlineStr"/>
      <c r="L17" s="8" t="inlineStr"/>
      <c r="M17" s="8" t="inlineStr"/>
      <c r="N17" s="8" t="inlineStr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conditionalFormatting sqref="F6:F17">
    <cfRule type="cellIs" priority="1" operator="lessThan" dxfId="0">
      <formula>0</formula>
    </cfRule>
    <cfRule type="cellIs" priority="2" operator="greaterThanOrEqual" dxfId="1">
      <formula>0</formula>
    </cfRule>
  </conditionalFormatting>
  <dataValidations count="2">
    <dataValidation sqref="A6:A115" showDropDown="0" showInputMessage="0" showErrorMessage="0" allowBlank="1" errorTitle="Erreur" error="Valeur invalide" promptTitle="" prompt="Choisir dans la liste: " type="list">
      <formula1>'F02 - _Lists'!$O$6:$O$17</formula1>
    </dataValidation>
    <dataValidation sqref="H6:H115" showDropDown="0" showInputMessage="0" showErrorMessage="0" allowBlank="1" errorTitle="Erreur" error="Valeur invalide" promptTitle="" prompt="Choisir dans la liste: " type="list">
      <formula1>'F02 - _Lists'!$Q$6:$Q$8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28" customWidth="1" min="4" max="4"/>
    <col width="22" customWidth="1" min="5" max="5"/>
    <col width="20" customWidth="1" min="6" max="6"/>
    <col width="20" customWidth="1" min="7" max="7"/>
    <col width="16" customWidth="1" min="8" max="8"/>
    <col width="18" customWidth="1" min="9" max="9"/>
    <col width="36" customWidth="1" min="10" max="10"/>
    <col width="2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11-PARTENARIATS ÉTABLISSEMENTS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Établissement</t>
        </is>
      </c>
      <c r="B5" s="4" t="inlineStr">
        <is>
          <t>Contact</t>
        </is>
      </c>
      <c r="C5" s="4" t="inlineStr">
        <is>
          <t>Téléphone</t>
        </is>
      </c>
      <c r="D5" s="4" t="inlineStr">
        <is>
          <t>Email</t>
        </is>
      </c>
      <c r="E5" s="4" t="inlineStr">
        <is>
          <t>Type Partenariat</t>
        </is>
      </c>
      <c r="F5" s="4" t="inlineStr">
        <is>
          <t>Nb Stagiaires Reçus</t>
        </is>
      </c>
      <c r="G5" s="4" t="inlineStr">
        <is>
          <t>Satisfaction Moyenne</t>
        </is>
      </c>
      <c r="H5" s="4" t="inlineStr">
        <is>
          <t>Convention Active</t>
        </is>
      </c>
      <c r="I5" s="4" t="inlineStr">
        <is>
          <t>Date Renouvellement</t>
        </is>
      </c>
      <c r="J5" s="4" t="inlineStr">
        <is>
          <t>Commentaire</t>
        </is>
      </c>
      <c r="K5" s="4" t="inlineStr">
        <is>
          <t>Observations</t>
        </is>
      </c>
      <c r="L5" s="4" t="inlineStr"/>
      <c r="M5" s="4" t="inlineStr"/>
      <c r="N5" s="4" t="inlineStr"/>
    </row>
    <row r="6" ht="22" customHeight="1">
      <c r="A6" s="5" t="inlineStr">
        <is>
          <t>FHB Abidjan</t>
        </is>
      </c>
      <c r="B6" s="5" t="inlineStr">
        <is>
          <t>M. N'Guessan Aimé</t>
        </is>
      </c>
      <c r="C6" s="5" t="inlineStr">
        <is>
          <t>+225 07 12 34 56</t>
        </is>
      </c>
      <c r="D6" s="5" t="inlineStr">
        <is>
          <t>stage@fhb.ci</t>
        </is>
      </c>
      <c r="E6" s="5" t="inlineStr">
        <is>
          <t>Convention cadre</t>
        </is>
      </c>
      <c r="F6" s="7" t="n">
        <v>5</v>
      </c>
      <c r="G6" s="7" t="n">
        <v>4.2</v>
      </c>
      <c r="H6" s="5" t="inlineStr">
        <is>
          <t>Validé</t>
        </is>
      </c>
      <c r="I6" s="6" t="n">
        <v>46203</v>
      </c>
      <c r="J6" s="5" t="inlineStr">
        <is>
          <t>Partenariat historique, très fiable</t>
        </is>
      </c>
      <c r="K6" s="5" t="inlineStr"/>
      <c r="L6" s="5" t="inlineStr"/>
      <c r="M6" s="5" t="inlineStr"/>
      <c r="N6" s="5" t="inlineStr"/>
    </row>
    <row r="7" ht="22" customHeight="1">
      <c r="A7" s="8" t="inlineStr">
        <is>
          <t>INP-HB</t>
        </is>
      </c>
      <c r="B7" s="8" t="inlineStr">
        <is>
          <t>Mme Aka Béatrice</t>
        </is>
      </c>
      <c r="C7" s="8" t="inlineStr">
        <is>
          <t>+225 05 98 76 54</t>
        </is>
      </c>
      <c r="D7" s="8" t="inlineStr">
        <is>
          <t>scolarite@inphb.ci</t>
        </is>
      </c>
      <c r="E7" s="8" t="inlineStr">
        <is>
          <t>Convention spécifique</t>
        </is>
      </c>
      <c r="F7" s="10" t="n">
        <v>4</v>
      </c>
      <c r="G7" s="10" t="n">
        <v>4</v>
      </c>
      <c r="H7" s="8" t="inlineStr">
        <is>
          <t>Validé</t>
        </is>
      </c>
      <c r="I7" s="9" t="n">
        <v>46022</v>
      </c>
      <c r="J7" s="8" t="inlineStr">
        <is>
          <t>Profils techniques de qualité</t>
        </is>
      </c>
      <c r="K7" s="8" t="inlineStr"/>
      <c r="L7" s="8" t="inlineStr"/>
      <c r="M7" s="8" t="inlineStr"/>
      <c r="N7" s="8" t="inlineStr"/>
    </row>
    <row r="8" ht="22" customHeight="1">
      <c r="A8" s="5" t="inlineStr">
        <is>
          <t>EHESS Abidjan</t>
        </is>
      </c>
      <c r="B8" s="5" t="inlineStr">
        <is>
          <t>M. Touré Ibrahim</t>
        </is>
      </c>
      <c r="C8" s="5" t="inlineStr">
        <is>
          <t>+225 01 65 43 21</t>
        </is>
      </c>
      <c r="D8" s="5" t="inlineStr">
        <is>
          <t>stage@ehess.ci</t>
        </is>
      </c>
      <c r="E8" s="5" t="inlineStr">
        <is>
          <t>Convention stage</t>
        </is>
      </c>
      <c r="F8" s="7" t="n">
        <v>2</v>
      </c>
      <c r="G8" s="7" t="n">
        <v>3.8</v>
      </c>
      <c r="H8" s="5" t="inlineStr">
        <is>
          <t>En attente</t>
        </is>
      </c>
      <c r="I8" s="6" t="n">
        <v>45930</v>
      </c>
      <c r="J8" s="5" t="inlineStr">
        <is>
          <t>Bons profils marketing et comm.</t>
        </is>
      </c>
      <c r="K8" s="5" t="inlineStr"/>
      <c r="L8" s="5" t="inlineStr"/>
      <c r="M8" s="5" t="inlineStr"/>
      <c r="N8" s="5" t="inlineStr"/>
    </row>
    <row r="9" ht="22" customHeight="1">
      <c r="A9" s="8" t="inlineStr">
        <is>
          <t>ISTC Abidjan</t>
        </is>
      </c>
      <c r="B9" s="8" t="inlineStr">
        <is>
          <t>M. Konan Yves</t>
        </is>
      </c>
      <c r="C9" s="8" t="inlineStr">
        <is>
          <t>+225 07 88 77 66</t>
        </is>
      </c>
      <c r="D9" s="8" t="inlineStr">
        <is>
          <t>info@istc.ci</t>
        </is>
      </c>
      <c r="E9" s="8" t="inlineStr">
        <is>
          <t>Convention cadre</t>
        </is>
      </c>
      <c r="F9" s="10" t="n">
        <v>3</v>
      </c>
      <c r="G9" s="10" t="n">
        <v>4.5</v>
      </c>
      <c r="H9" s="8" t="inlineStr">
        <is>
          <t>Validé</t>
        </is>
      </c>
      <c r="I9" s="9" t="n">
        <v>46112</v>
      </c>
      <c r="J9" s="8" t="inlineStr">
        <is>
          <t>Excellents profils en informatique</t>
        </is>
      </c>
      <c r="K9" s="8" t="inlineStr"/>
      <c r="L9" s="8" t="inlineStr"/>
      <c r="M9" s="8" t="inlineStr"/>
      <c r="N9" s="8" t="inlineStr"/>
    </row>
    <row r="10" ht="22" customHeight="1">
      <c r="A10" s="5" t="inlineStr">
        <is>
          <t>Université Cocody</t>
        </is>
      </c>
      <c r="B10" s="5" t="inlineStr">
        <is>
          <t>Mme Diop Aminata</t>
        </is>
      </c>
      <c r="C10" s="5" t="inlineStr">
        <is>
          <t>+225 05 44 33 22</t>
        </is>
      </c>
      <c r="D10" s="5" t="inlineStr">
        <is>
          <t>stage@univ-cocody.ci</t>
        </is>
      </c>
      <c r="E10" s="5" t="inlineStr">
        <is>
          <t>Convention stage</t>
        </is>
      </c>
      <c r="F10" s="7" t="n">
        <v>2</v>
      </c>
      <c r="G10" s="7" t="n">
        <v>3.5</v>
      </c>
      <c r="H10" s="5" t="inlineStr">
        <is>
          <t>En attente</t>
        </is>
      </c>
      <c r="I10" s="6" t="n">
        <v>45961</v>
      </c>
      <c r="J10" s="5" t="inlineStr">
        <is>
          <t>Partenariat à renforcer</t>
        </is>
      </c>
      <c r="K10" s="5" t="inlineStr"/>
      <c r="L10" s="5" t="inlineStr"/>
      <c r="M10" s="5" t="inlineStr"/>
      <c r="N10" s="5" t="inlineStr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1">
    <dataValidation sqref="H6:H115" showDropDown="0" showInputMessage="0" showErrorMessage="0" allowBlank="1" errorTitle="Erreur" error="Valeur invalide" promptTitle="" prompt="Choisir dans la liste: " type="list">
      <formula1>'F02 - _Lists'!$M$6:$M$9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22" customWidth="1" min="4" max="4"/>
    <col width="16" customWidth="1" min="5" max="5"/>
    <col width="26" customWidth="1" min="6" max="6"/>
    <col width="14" customWidth="1" min="7" max="7"/>
    <col width="18" customWidth="1" min="8" max="8"/>
    <col width="40" customWidth="1" min="9" max="9"/>
    <col width="2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12-SUIVI POST-STAGE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Nom Stagiaire</t>
        </is>
      </c>
      <c r="B5" s="4" t="inlineStr">
        <is>
          <t>Département</t>
        </is>
      </c>
      <c r="C5" s="4" t="inlineStr">
        <is>
          <t>Date Fin Stage</t>
        </is>
      </c>
      <c r="D5" s="4" t="inlineStr">
        <is>
          <t>Statut Post-Stage</t>
        </is>
      </c>
      <c r="E5" s="4" t="inlineStr">
        <is>
          <t>Date Embauche</t>
        </is>
      </c>
      <c r="F5" s="4" t="inlineStr">
        <is>
          <t>Poste Occupé</t>
        </is>
      </c>
      <c r="G5" s="4" t="inlineStr">
        <is>
          <t>Type Contrat</t>
        </is>
      </c>
      <c r="H5" s="4" t="inlineStr">
        <is>
          <t>Salaire (FCFA)</t>
        </is>
      </c>
      <c r="I5" s="4" t="inlineStr">
        <is>
          <t>Commentaire</t>
        </is>
      </c>
      <c r="J5" s="4" t="inlineStr">
        <is>
          <t>Observations</t>
        </is>
      </c>
      <c r="K5" s="4" t="inlineStr"/>
      <c r="L5" s="4" t="inlineStr"/>
      <c r="M5" s="4" t="inlineStr"/>
      <c r="N5" s="4" t="inlineStr"/>
    </row>
    <row r="6" ht="22" customHeight="1">
      <c r="A6" s="5" t="inlineStr">
        <is>
          <t>Ouattara Moussa</t>
        </is>
      </c>
      <c r="B6" s="5">
        <f>IF(A6="","",VLOOKUP(A6,'F01 - _Données Stagiaires'!$B$6:$K$15,6,FALSE))</f>
        <v/>
      </c>
      <c r="C6" s="6" t="n">
        <v>45716</v>
      </c>
      <c r="D6" s="5" t="inlineStr">
        <is>
          <t>En attente décision</t>
        </is>
      </c>
      <c r="E6" s="5" t="n"/>
      <c r="F6" s="5" t="inlineStr"/>
      <c r="G6" s="5" t="inlineStr"/>
      <c r="H6" s="7" t="n">
        <v>0</v>
      </c>
      <c r="I6" s="5" t="inlineStr">
        <is>
          <t>Profil intéressant, en discussion avec DAF</t>
        </is>
      </c>
      <c r="J6" s="5" t="inlineStr"/>
      <c r="K6" s="5" t="inlineStr"/>
      <c r="L6" s="5" t="inlineStr"/>
      <c r="M6" s="5" t="inlineStr"/>
      <c r="N6" s="5" t="inlineStr"/>
    </row>
    <row r="7" ht="22" customHeight="1">
      <c r="A7" s="8" t="inlineStr">
        <is>
          <t>Djibril Oumar</t>
        </is>
      </c>
      <c r="B7" s="8">
        <f>IF(A7="","",VLOOKUP(A7,'F01 - _Données Stagiaires'!$B$6:$K$15,6,FALSE))</f>
        <v/>
      </c>
      <c r="C7" s="9" t="n">
        <v>45657</v>
      </c>
      <c r="D7" s="8" t="inlineStr">
        <is>
          <t>Embauché CDI</t>
        </is>
      </c>
      <c r="E7" s="9" t="n">
        <v>45672</v>
      </c>
      <c r="F7" s="8" t="inlineStr">
        <is>
          <t>Technicien Informatique</t>
        </is>
      </c>
      <c r="G7" s="8" t="inlineStr">
        <is>
          <t>CDI</t>
        </is>
      </c>
      <c r="H7" s="10" t="n">
        <v>350000</v>
      </c>
      <c r="I7" s="8" t="inlineStr">
        <is>
          <t>Embauche suite excellent rapport de stage</t>
        </is>
      </c>
      <c r="J7" s="8" t="inlineStr"/>
      <c r="K7" s="8" t="inlineStr"/>
      <c r="L7" s="8" t="inlineStr"/>
      <c r="M7" s="8" t="inlineStr"/>
      <c r="N7" s="8" t="inlineStr"/>
    </row>
    <row r="8" ht="22" customHeight="1">
      <c r="A8" s="5" t="inlineStr">
        <is>
          <t>Konan Yao</t>
        </is>
      </c>
      <c r="B8" s="5">
        <f>IF(A8="","",VLOOKUP(A8,'F01 - _Données Stagiaires'!$B$6:$K$15,6,FALSE))</f>
        <v/>
      </c>
      <c r="C8" s="6" t="n">
        <v>45747</v>
      </c>
      <c r="D8" s="5" t="inlineStr">
        <is>
          <t>En attente décision</t>
        </is>
      </c>
      <c r="E8" s="5" t="n"/>
      <c r="F8" s="5" t="inlineStr"/>
      <c r="G8" s="5" t="inlineStr"/>
      <c r="H8" s="7" t="n">
        <v>0</v>
      </c>
      <c r="I8" s="5" t="inlineStr">
        <is>
          <t>En attente validation poste disponible</t>
        </is>
      </c>
      <c r="J8" s="5" t="inlineStr"/>
      <c r="K8" s="5" t="inlineStr"/>
      <c r="L8" s="5" t="inlineStr"/>
      <c r="M8" s="5" t="inlineStr"/>
      <c r="N8" s="5" t="inlineStr"/>
    </row>
    <row r="9" ht="22" customHeight="1">
      <c r="A9" s="8" t="inlineStr">
        <is>
          <t>Sangaré Awa</t>
        </is>
      </c>
      <c r="B9" s="8">
        <f>IF(A9="","",VLOOKUP(A9,'F01 - _Données Stagiaires'!$B$6:$K$15,6,FALSE))</f>
        <v/>
      </c>
      <c r="C9" s="9" t="n">
        <v>45535</v>
      </c>
      <c r="D9" s="8" t="inlineStr">
        <is>
          <t>Non retenu</t>
        </is>
      </c>
      <c r="E9" s="8" t="n"/>
      <c r="F9" s="8" t="inlineStr"/>
      <c r="G9" s="8" t="inlineStr"/>
      <c r="H9" s="10" t="n">
        <v>0</v>
      </c>
      <c r="I9" s="8" t="inlineStr">
        <is>
          <t>Profil ne correspond pas aux attentes actuelles</t>
        </is>
      </c>
      <c r="J9" s="8" t="inlineStr"/>
      <c r="K9" s="8" t="inlineStr"/>
      <c r="L9" s="8" t="inlineStr"/>
      <c r="M9" s="8" t="inlineStr"/>
      <c r="N9" s="8" t="inlineStr"/>
    </row>
    <row r="10" ht="22" customHeight="1">
      <c r="A10" s="5" t="n"/>
      <c r="B10" s="5">
        <f>IF(A10="","",VLOOKUP(A10,'F01 - _Données Stagiaires'!$B$6:$K$15,6,FALSE))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22" customHeight="1">
      <c r="A11" s="8" t="n"/>
      <c r="B11" s="8">
        <f>IF(A11="","",VLOOKUP(A11,'F01 - _Données Stagiaires'!$B$6:$K$15,6,FALSE))</f>
        <v/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>
        <f>IF(A12="","",VLOOKUP(A12,'F01 - _Données Stagiaires'!$B$6:$K$15,6,FALSE))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>
        <f>IF(A13="","",VLOOKUP(A13,'F01 - _Données Stagiaires'!$B$6:$K$15,6,FALSE))</f>
        <v/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>
        <f>IF(A14="","",VLOOKUP(A14,'F01 - _Données Stagiaires'!$B$6:$K$15,6,FALSE))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>
        <f>IF(A15="","",VLOOKUP(A15,'F01 - _Données Stagiaires'!$B$6:$K$15,6,FALSE))</f>
        <v/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>
        <f>IF(A16="","",VLOOKUP(A16,'F01 - _Données Stagiaires'!$B$6:$K$15,6,FALSE))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>
        <f>IF(A17="","",VLOOKUP(A17,'F01 - _Données Stagiaires'!$B$6:$K$15,6,FALSE))</f>
        <v/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>
        <f>IF(A18="","",VLOOKUP(A18,'F01 - _Données Stagiaires'!$B$6:$K$15,6,FALSE))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>
        <f>IF(A19="","",VLOOKUP(A19,'F01 - _Données Stagiaires'!$B$6:$K$15,6,FALSE))</f>
        <v/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>
        <f>IF(A20="","",VLOOKUP(A20,'F01 - _Données Stagiaires'!$B$6:$K$15,6,FALSE))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>
        <f>IF(A21="","",VLOOKUP(A21,'F01 - _Données Stagiaires'!$B$6:$K$15,6,FALSE))</f>
        <v/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>
        <f>IF(A22="","",VLOOKUP(A22,'F01 - _Données Stagiaires'!$B$6:$K$15,6,FALSE))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>
        <f>IF(A23="","",VLOOKUP(A23,'F01 - _Données Stagiaires'!$B$6:$K$15,6,FALSE))</f>
        <v/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>
        <f>IF(A24="","",VLOOKUP(A24,'F01 - _Données Stagiaires'!$B$6:$K$15,6,FALSE))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>
        <f>IF(A25="","",VLOOKUP(A25,'F01 - _Données Stagiaires'!$B$6:$K$15,6,FALSE))</f>
        <v/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>
        <f>IF(A26="","",VLOOKUP(A26,'F01 - _Données Stagiaires'!$B$6:$K$15,6,FALSE))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>
        <f>IF(A27="","",VLOOKUP(A27,'F01 - _Données Stagiaires'!$B$6:$K$15,6,FALSE))</f>
        <v/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>
        <f>IF(A28="","",VLOOKUP(A28,'F01 - _Données Stagiaires'!$B$6:$K$15,6,FALSE))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>
        <f>IF(A29="","",VLOOKUP(A29,'F01 - _Données Stagiaires'!$B$6:$K$15,6,FALSE))</f>
        <v/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>
        <f>IF(A30="","",VLOOKUP(A30,'F01 - _Données Stagiaires'!$B$6:$K$15,6,FALSE))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>
        <f>IF(A31="","",VLOOKUP(A31,'F01 - _Données Stagiaires'!$B$6:$K$15,6,FALSE))</f>
        <v/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>
        <f>IF(A32="","",VLOOKUP(A32,'F01 - _Données Stagiaires'!$B$6:$K$15,6,FALSE))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>
        <f>IF(A33="","",VLOOKUP(A33,'F01 - _Données Stagiaires'!$B$6:$K$15,6,FALSE))</f>
        <v/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>
        <f>IF(A34="","",VLOOKUP(A34,'F01 - _Données Stagiaires'!$B$6:$K$15,6,FALSE))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>
        <f>IF(A35="","",VLOOKUP(A35,'F01 - _Données Stagiaires'!$B$6:$K$15,6,FALSE))</f>
        <v/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>
        <f>IF(A36="","",VLOOKUP(A36,'F01 - _Données Stagiaires'!$B$6:$K$15,6,FALSE))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>
        <f>IF(A37="","",VLOOKUP(A37,'F01 - _Données Stagiaires'!$B$6:$K$15,6,FALSE))</f>
        <v/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>
        <f>IF(A38="","",VLOOKUP(A38,'F01 - _Données Stagiaires'!$B$6:$K$15,6,FALSE))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>
        <f>IF(A39="","",VLOOKUP(A39,'F01 - _Données Stagiaires'!$B$6:$K$15,6,FALSE))</f>
        <v/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>
        <f>IF(A40="","",VLOOKUP(A40,'F01 - _Données Stagiaires'!$B$6:$K$15,6,FALSE))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>
        <f>IF(A41="","",VLOOKUP(A41,'F01 - _Données Stagiaires'!$B$6:$K$15,6,FALSE))</f>
        <v/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>
        <f>IF(A42="","",VLOOKUP(A42,'F01 - _Données Stagiaires'!$B$6:$K$15,6,FALSE))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>
        <f>IF(A43="","",VLOOKUP(A43,'F01 - _Données Stagiaires'!$B$6:$K$15,6,FALSE))</f>
        <v/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>
        <f>IF(A44="","",VLOOKUP(A44,'F01 - _Données Stagiaires'!$B$6:$K$15,6,FALSE))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>
        <f>IF(A45="","",VLOOKUP(A45,'F01 - _Données Stagiaires'!$B$6:$K$15,6,FALSE))</f>
        <v/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>
        <f>IF(A46="","",VLOOKUP(A46,'F01 - _Données Stagiaires'!$B$6:$K$15,6,FALSE))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>
        <f>IF(A47="","",VLOOKUP(A47,'F01 - _Données Stagiaires'!$B$6:$K$15,6,FALSE))</f>
        <v/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>
        <f>IF(A48="","",VLOOKUP(A48,'F01 - _Données Stagiaires'!$B$6:$K$15,6,FALSE))</f>
        <v/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>
        <f>IF(A49="","",VLOOKUP(A49,'F01 - _Données Stagiaires'!$B$6:$K$15,6,FALSE))</f>
        <v/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>
        <f>IF(A50="","",VLOOKUP(A50,'F01 - _Données Stagiaires'!$B$6:$K$15,6,FALSE))</f>
        <v/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>
        <f>IF(A51="","",VLOOKUP(A51,'F01 - _Données Stagiaires'!$B$6:$K$15,6,FALSE))</f>
        <v/>
      </c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>
        <f>IF(A52="","",VLOOKUP(A52,'F01 - _Données Stagiaires'!$B$6:$K$15,6,FALSE))</f>
        <v/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>
        <f>IF(A53="","",VLOOKUP(A53,'F01 - _Données Stagiaires'!$B$6:$K$15,6,FALSE))</f>
        <v/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>
        <f>IF(A54="","",VLOOKUP(A54,'F01 - _Données Stagiaires'!$B$6:$K$15,6,FALSE))</f>
        <v/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>
        <f>IF(A55="","",VLOOKUP(A55,'F01 - _Données Stagiaires'!$B$6:$K$15,6,FALSE))</f>
        <v/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>
        <f>IF(A56="","",VLOOKUP(A56,'F01 - _Données Stagiaires'!$B$6:$K$15,6,FALSE))</f>
        <v/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>
        <f>IF(A57="","",VLOOKUP(A57,'F01 - _Données Stagiaires'!$B$6:$K$15,6,FALSE))</f>
        <v/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>
        <f>IF(A58="","",VLOOKUP(A58,'F01 - _Données Stagiaires'!$B$6:$K$15,6,FALSE))</f>
        <v/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>
        <f>IF(A59="","",VLOOKUP(A59,'F01 - _Données Stagiaires'!$B$6:$K$15,6,FALSE))</f>
        <v/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>
        <f>IF(A60="","",VLOOKUP(A60,'F01 - _Données Stagiaires'!$B$6:$K$15,6,FALSE))</f>
        <v/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>
        <f>IF(A61="","",VLOOKUP(A61,'F01 - _Données Stagiaires'!$B$6:$K$15,6,FALSE))</f>
        <v/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>
        <f>IF(A62="","",VLOOKUP(A62,'F01 - _Données Stagiaires'!$B$6:$K$15,6,FALSE))</f>
        <v/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>
        <f>IF(A63="","",VLOOKUP(A63,'F01 - _Données Stagiaires'!$B$6:$K$15,6,FALSE))</f>
        <v/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>
        <f>IF(A64="","",VLOOKUP(A64,'F01 - _Données Stagiaires'!$B$6:$K$15,6,FALSE))</f>
        <v/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>
        <f>IF(A65="","",VLOOKUP(A65,'F01 - _Données Stagiaires'!$B$6:$K$15,6,FALSE))</f>
        <v/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>
        <f>IF(A66="","",VLOOKUP(A66,'F01 - _Données Stagiaires'!$B$6:$K$15,6,FALSE))</f>
        <v/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>
        <f>IF(A67="","",VLOOKUP(A67,'F01 - _Données Stagiaires'!$B$6:$K$15,6,FALSE))</f>
        <v/>
      </c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>
        <f>IF(A68="","",VLOOKUP(A68,'F01 - _Données Stagiaires'!$B$6:$K$15,6,FALSE))</f>
        <v/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>
        <f>IF(A69="","",VLOOKUP(A69,'F01 - _Données Stagiaires'!$B$6:$K$15,6,FALSE))</f>
        <v/>
      </c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>
        <f>IF(A70="","",VLOOKUP(A70,'F01 - _Données Stagiaires'!$B$6:$K$15,6,FALSE))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>
        <f>IF(A71="","",VLOOKUP(A71,'F01 - _Données Stagiaires'!$B$6:$K$15,6,FALSE))</f>
        <v/>
      </c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>
        <f>IF(A72="","",VLOOKUP(A72,'F01 - _Données Stagiaires'!$B$6:$K$15,6,FALSE))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>
        <f>IF(A73="","",VLOOKUP(A73,'F01 - _Données Stagiaires'!$B$6:$K$15,6,FALSE))</f>
        <v/>
      </c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>
        <f>IF(A74="","",VLOOKUP(A74,'F01 - _Données Stagiaires'!$B$6:$K$15,6,FALSE))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>
        <f>IF(A75="","",VLOOKUP(A75,'F01 - _Données Stagiaires'!$B$6:$K$15,6,FALSE))</f>
        <v/>
      </c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>
        <f>IF(A76="","",VLOOKUP(A76,'F01 - _Données Stagiaires'!$B$6:$K$15,6,FALSE))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>
        <f>IF(A77="","",VLOOKUP(A77,'F01 - _Données Stagiaires'!$B$6:$K$15,6,FALSE))</f>
        <v/>
      </c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>
        <f>IF(A78="","",VLOOKUP(A78,'F01 - _Données Stagiaires'!$B$6:$K$15,6,FALSE))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>
        <f>IF(A79="","",VLOOKUP(A79,'F01 - _Données Stagiaires'!$B$6:$K$15,6,FALSE))</f>
        <v/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>
        <f>IF(A80="","",VLOOKUP(A80,'F01 - _Données Stagiaires'!$B$6:$K$15,6,FALSE))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>
        <f>IF(A81="","",VLOOKUP(A81,'F01 - _Données Stagiaires'!$B$6:$K$15,6,FALSE))</f>
        <v/>
      </c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>
        <f>IF(A82="","",VLOOKUP(A82,'F01 - _Données Stagiaires'!$B$6:$K$15,6,FALSE))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>
        <f>IF(A83="","",VLOOKUP(A83,'F01 - _Données Stagiaires'!$B$6:$K$15,6,FALSE))</f>
        <v/>
      </c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>
        <f>IF(A84="","",VLOOKUP(A84,'F01 - _Données Stagiaires'!$B$6:$K$15,6,FALSE))</f>
        <v/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>
        <f>IF(A85="","",VLOOKUP(A85,'F01 - _Données Stagiaires'!$B$6:$K$15,6,FALSE))</f>
        <v/>
      </c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>
        <f>IF(A86="","",VLOOKUP(A86,'F01 - _Données Stagiaires'!$B$6:$K$15,6,FALSE))</f>
        <v/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>
        <f>IF(A87="","",VLOOKUP(A87,'F01 - _Données Stagiaires'!$B$6:$K$15,6,FALSE))</f>
        <v/>
      </c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>
        <f>IF(A88="","",VLOOKUP(A88,'F01 - _Données Stagiaires'!$B$6:$K$15,6,FALSE))</f>
        <v/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>
        <f>IF(A89="","",VLOOKUP(A89,'F01 - _Données Stagiaires'!$B$6:$K$15,6,FALSE))</f>
        <v/>
      </c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>
        <f>IF(A90="","",VLOOKUP(A90,'F01 - _Données Stagiaires'!$B$6:$K$15,6,FALSE))</f>
        <v/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>
        <f>IF(A91="","",VLOOKUP(A91,'F01 - _Données Stagiaires'!$B$6:$K$15,6,FALSE))</f>
        <v/>
      </c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>
        <f>IF(A92="","",VLOOKUP(A92,'F01 - _Données Stagiaires'!$B$6:$K$15,6,FALSE))</f>
        <v/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>
        <f>IF(A93="","",VLOOKUP(A93,'F01 - _Données Stagiaires'!$B$6:$K$15,6,FALSE))</f>
        <v/>
      </c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>
        <f>IF(A94="","",VLOOKUP(A94,'F01 - _Données Stagiaires'!$B$6:$K$15,6,FALSE))</f>
        <v/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>
        <f>IF(A95="","",VLOOKUP(A95,'F01 - _Données Stagiaires'!$B$6:$K$15,6,FALSE))</f>
        <v/>
      </c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>
        <f>IF(A96="","",VLOOKUP(A96,'F01 - _Données Stagiaires'!$B$6:$K$15,6,FALSE))</f>
        <v/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>
        <f>IF(A97="","",VLOOKUP(A97,'F01 - _Données Stagiaires'!$B$6:$K$15,6,FALSE))</f>
        <v/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>
        <f>IF(A98="","",VLOOKUP(A98,'F01 - _Données Stagiaires'!$B$6:$K$15,6,FALSE))</f>
        <v/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>
        <f>IF(A99="","",VLOOKUP(A99,'F01 - _Données Stagiaires'!$B$6:$K$15,6,FALSE))</f>
        <v/>
      </c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>
        <f>IF(A100="","",VLOOKUP(A100,'F01 - _Données Stagiaires'!$B$6:$K$15,6,FALSE))</f>
        <v/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>
        <f>IF(A101="","",VLOOKUP(A101,'F01 - _Données Stagiaires'!$B$6:$K$15,6,FALSE))</f>
        <v/>
      </c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>
        <f>IF(A102="","",VLOOKUP(A102,'F01 - _Données Stagiaires'!$B$6:$K$15,6,FALSE))</f>
        <v/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>
        <f>IF(A103="","",VLOOKUP(A103,'F01 - _Données Stagiaires'!$B$6:$K$15,6,FALSE))</f>
        <v/>
      </c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>
        <f>IF(A104="","",VLOOKUP(A104,'F01 - _Données Stagiaires'!$B$6:$K$15,6,FALSE))</f>
        <v/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>
        <f>IF(A105="","",VLOOKUP(A105,'F01 - _Données Stagiaires'!$B$6:$K$15,6,FALSE))</f>
        <v/>
      </c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>
        <f>IF(A106="","",VLOOKUP(A106,'F01 - _Données Stagiaires'!$B$6:$K$15,6,FALSE))</f>
        <v/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>
        <f>IF(A107="","",VLOOKUP(A107,'F01 - _Données Stagiaires'!$B$6:$K$15,6,FALSE))</f>
        <v/>
      </c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>
        <f>IF(A108="","",VLOOKUP(A108,'F01 - _Données Stagiaires'!$B$6:$K$15,6,FALSE))</f>
        <v/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>
        <f>IF(A109="","",VLOOKUP(A109,'F01 - _Données Stagiaires'!$B$6:$K$15,6,FALSE))</f>
        <v/>
      </c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>
        <f>IF(A110="","",VLOOKUP(A110,'F01 - _Données Stagiaires'!$B$6:$K$15,6,FALSE))</f>
        <v/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>
        <f>IF(A111="","",VLOOKUP(A111,'F01 - _Données Stagiaires'!$B$6:$K$15,6,FALSE))</f>
        <v/>
      </c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>
        <f>IF(A112="","",VLOOKUP(A112,'F01 - _Données Stagiaires'!$B$6:$K$15,6,FALSE))</f>
        <v/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>
        <f>IF(A113="","",VLOOKUP(A113,'F01 - _Données Stagiaires'!$B$6:$K$15,6,FALSE))</f>
        <v/>
      </c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>
        <f>IF(A114="","",VLOOKUP(A114,'F01 - _Données Stagiaires'!$B$6:$K$15,6,FALSE))</f>
        <v/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>
        <f>IF(A115="","",VLOOKUP(A115,'F01 - _Données Stagiaires'!$B$6:$K$15,6,FALSE))</f>
        <v/>
      </c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2">
    <dataValidation sqref="D6:D115" showDropDown="0" showInputMessage="0" showErrorMessage="0" allowBlank="1" errorTitle="Erreur" error="Valeur invalide" promptTitle="" prompt="Choisir dans la liste: " type="list">
      <formula1>'F02 - _Lists'!$X$6:$X$11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_Lists'!$M$6:$M$9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O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20" customWidth="1" min="9" max="9"/>
    <col width="28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13-PLANNINGS STAGES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Nom Stagiaire</t>
        </is>
      </c>
      <c r="B5" s="4" t="inlineStr">
        <is>
          <t>Département</t>
        </is>
      </c>
      <c r="C5" s="4" t="inlineStr">
        <is>
          <t>Lundi</t>
        </is>
      </c>
      <c r="D5" s="4" t="inlineStr">
        <is>
          <t>Mardi</t>
        </is>
      </c>
      <c r="E5" s="4" t="inlineStr">
        <is>
          <t>Mercredi</t>
        </is>
      </c>
      <c r="F5" s="4" t="inlineStr">
        <is>
          <t>Jeudi</t>
        </is>
      </c>
      <c r="G5" s="4" t="inlineStr">
        <is>
          <t>Vendredi</t>
        </is>
      </c>
      <c r="H5" s="4" t="inlineStr">
        <is>
          <t>Samedi</t>
        </is>
      </c>
      <c r="I5" s="4" t="inlineStr">
        <is>
          <t>Total Heures/Semaine</t>
        </is>
      </c>
      <c r="J5" s="4" t="inlineStr">
        <is>
          <t>Observations</t>
        </is>
      </c>
      <c r="K5" s="4" t="inlineStr"/>
      <c r="L5" s="4" t="inlineStr"/>
      <c r="M5" s="4" t="inlineStr"/>
      <c r="N5" s="4" t="inlineStr"/>
      <c r="O5" s="4" t="inlineStr"/>
    </row>
    <row r="6" ht="22" customHeight="1">
      <c r="A6" s="5" t="inlineStr">
        <is>
          <t>Koné Aminata</t>
        </is>
      </c>
      <c r="B6" s="5" t="inlineStr">
        <is>
          <t>Cuisine &amp; Restauration</t>
        </is>
      </c>
      <c r="C6" s="7" t="n">
        <v>8</v>
      </c>
      <c r="D6" s="7" t="n">
        <v>8</v>
      </c>
      <c r="E6" s="7" t="n">
        <v>8</v>
      </c>
      <c r="F6" s="7" t="n">
        <v>8</v>
      </c>
      <c r="G6" s="7" t="n">
        <v>8</v>
      </c>
      <c r="H6" s="7" t="n">
        <v>4</v>
      </c>
      <c r="I6" s="23">
        <f>SUM(C6:H6)</f>
        <v/>
      </c>
      <c r="J6" s="5" t="inlineStr">
        <is>
          <t>Planning brigade cuisine standard</t>
        </is>
      </c>
      <c r="K6" s="5" t="inlineStr"/>
      <c r="L6" s="5" t="inlineStr"/>
      <c r="M6" s="5" t="inlineStr"/>
      <c r="N6" s="5" t="inlineStr"/>
    </row>
    <row r="7" ht="22" customHeight="1">
      <c r="A7" s="8" t="inlineStr">
        <is>
          <t>Traoré Ibrahim</t>
        </is>
      </c>
      <c r="B7" s="8" t="inlineStr">
        <is>
          <t>Informatique</t>
        </is>
      </c>
      <c r="C7" s="10" t="n">
        <v>8</v>
      </c>
      <c r="D7" s="10" t="n">
        <v>8</v>
      </c>
      <c r="E7" s="10" t="n">
        <v>8</v>
      </c>
      <c r="F7" s="10" t="n">
        <v>8</v>
      </c>
      <c r="G7" s="10" t="n">
        <v>8</v>
      </c>
      <c r="H7" s="10" t="n">
        <v>0</v>
      </c>
      <c r="I7" s="24">
        <f>SUM(C7:H7)</f>
        <v/>
      </c>
      <c r="J7" s="8" t="inlineStr">
        <is>
          <t>Pas de travail le samedi</t>
        </is>
      </c>
      <c r="K7" s="8" t="inlineStr"/>
      <c r="L7" s="8" t="inlineStr"/>
      <c r="M7" s="8" t="inlineStr"/>
      <c r="N7" s="8" t="inlineStr"/>
    </row>
    <row r="8" ht="22" customHeight="1">
      <c r="A8" s="5" t="inlineStr">
        <is>
          <t>Diallo Fatou</t>
        </is>
      </c>
      <c r="B8" s="5" t="inlineStr">
        <is>
          <t>Marketing &amp; Communication</t>
        </is>
      </c>
      <c r="C8" s="7" t="n">
        <v>8</v>
      </c>
      <c r="D8" s="7" t="n">
        <v>8</v>
      </c>
      <c r="E8" s="7" t="n">
        <v>8</v>
      </c>
      <c r="F8" s="7" t="n">
        <v>8</v>
      </c>
      <c r="G8" s="7" t="n">
        <v>8</v>
      </c>
      <c r="H8" s="7" t="n">
        <v>0</v>
      </c>
      <c r="I8" s="23">
        <f>SUM(C8:H8)</f>
        <v/>
      </c>
      <c r="J8" s="5" t="inlineStr">
        <is>
          <t>Horaires de bureau</t>
        </is>
      </c>
      <c r="K8" s="5" t="inlineStr"/>
      <c r="L8" s="5" t="inlineStr"/>
      <c r="M8" s="5" t="inlineStr"/>
      <c r="N8" s="5" t="inlineStr"/>
    </row>
    <row r="9" ht="22" customHeight="1">
      <c r="A9" s="8" t="inlineStr">
        <is>
          <t>Coulibaly Adama</t>
        </is>
      </c>
      <c r="B9" s="8" t="inlineStr">
        <is>
          <t>Entretien &amp; Maintenance</t>
        </is>
      </c>
      <c r="C9" s="10" t="n">
        <v>8</v>
      </c>
      <c r="D9" s="10" t="n">
        <v>8</v>
      </c>
      <c r="E9" s="10" t="n">
        <v>8</v>
      </c>
      <c r="F9" s="10" t="n">
        <v>8</v>
      </c>
      <c r="G9" s="10" t="n">
        <v>8</v>
      </c>
      <c r="H9" s="10" t="n">
        <v>4</v>
      </c>
      <c r="I9" s="24">
        <f>SUM(C9:H9)</f>
        <v/>
      </c>
      <c r="J9" s="8" t="inlineStr">
        <is>
          <t>Rotation Samedi avec équipe</t>
        </is>
      </c>
      <c r="K9" s="8" t="inlineStr"/>
      <c r="L9" s="8" t="inlineStr"/>
      <c r="M9" s="8" t="inlineStr"/>
      <c r="N9" s="8" t="inlineStr"/>
    </row>
    <row r="10" ht="22" customHeight="1">
      <c r="A10" s="5" t="inlineStr">
        <is>
          <t>Yao Akissi</t>
        </is>
      </c>
      <c r="B10" s="5" t="inlineStr">
        <is>
          <t>Réception &amp; Front Office</t>
        </is>
      </c>
      <c r="C10" s="7" t="n">
        <v>8</v>
      </c>
      <c r="D10" s="7" t="n">
        <v>8</v>
      </c>
      <c r="E10" s="7" t="n">
        <v>8</v>
      </c>
      <c r="F10" s="7" t="n">
        <v>8</v>
      </c>
      <c r="G10" s="7" t="n">
        <v>8</v>
      </c>
      <c r="H10" s="7" t="n">
        <v>4</v>
      </c>
      <c r="I10" s="23">
        <f>SUM(C10:H10)</f>
        <v/>
      </c>
      <c r="J10" s="5" t="inlineStr">
        <is>
          <t>Horaires réception 3 shifts</t>
        </is>
      </c>
      <c r="K10" s="5" t="inlineStr"/>
      <c r="L10" s="5" t="inlineStr"/>
      <c r="M10" s="5" t="inlineStr"/>
      <c r="N10" s="5" t="inlineStr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24">
        <f>SUM(C11:H11)</f>
        <v/>
      </c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23">
        <f>SUM(C12:H12)</f>
        <v/>
      </c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24">
        <f>SUM(C13:H13)</f>
        <v/>
      </c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23">
        <f>SUM(C14:H14)</f>
        <v/>
      </c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24">
        <f>SUM(C15:H15)</f>
        <v/>
      </c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23">
        <f>SUM(C16:H16)</f>
        <v/>
      </c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24">
        <f>SUM(C17:H17)</f>
        <v/>
      </c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23">
        <f>SUM(C18:H18)</f>
        <v/>
      </c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24">
        <f>SUM(C19:H19)</f>
        <v/>
      </c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23">
        <f>SUM(C20:H20)</f>
        <v/>
      </c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24">
        <f>SUM(C21:H21)</f>
        <v/>
      </c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23">
        <f>SUM(C22:H22)</f>
        <v/>
      </c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24">
        <f>SUM(C23:H23)</f>
        <v/>
      </c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23">
        <f>SUM(C24:H24)</f>
        <v/>
      </c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24">
        <f>SUM(C25:H25)</f>
        <v/>
      </c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23">
        <f>SUM(C26:H26)</f>
        <v/>
      </c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24">
        <f>SUM(C27:H27)</f>
        <v/>
      </c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23">
        <f>SUM(C28:H28)</f>
        <v/>
      </c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24">
        <f>SUM(C29:H29)</f>
        <v/>
      </c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23">
        <f>SUM(C30:H30)</f>
        <v/>
      </c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24">
        <f>SUM(C31:H31)</f>
        <v/>
      </c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23">
        <f>SUM(C32:H32)</f>
        <v/>
      </c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24">
        <f>SUM(C33:H33)</f>
        <v/>
      </c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23">
        <f>SUM(C34:H34)</f>
        <v/>
      </c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24">
        <f>SUM(C35:H35)</f>
        <v/>
      </c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23">
        <f>SUM(C36:H36)</f>
        <v/>
      </c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24">
        <f>SUM(C37:H37)</f>
        <v/>
      </c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23">
        <f>SUM(C38:H38)</f>
        <v/>
      </c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24">
        <f>SUM(C39:H39)</f>
        <v/>
      </c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23">
        <f>SUM(C40:H40)</f>
        <v/>
      </c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24">
        <f>SUM(C41:H41)</f>
        <v/>
      </c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23">
        <f>SUM(C42:H42)</f>
        <v/>
      </c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24">
        <f>SUM(C43:H43)</f>
        <v/>
      </c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23">
        <f>SUM(C44:H44)</f>
        <v/>
      </c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24">
        <f>SUM(C45:H45)</f>
        <v/>
      </c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23">
        <f>SUM(C46:H46)</f>
        <v/>
      </c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24">
        <f>SUM(C47:H47)</f>
        <v/>
      </c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23">
        <f>SUM(C48:H48)</f>
        <v/>
      </c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24">
        <f>SUM(C49:H49)</f>
        <v/>
      </c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23">
        <f>SUM(C50:H50)</f>
        <v/>
      </c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24">
        <f>SUM(C51:H51)</f>
        <v/>
      </c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23">
        <f>SUM(C52:H52)</f>
        <v/>
      </c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24">
        <f>SUM(C53:H53)</f>
        <v/>
      </c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23">
        <f>SUM(C54:H54)</f>
        <v/>
      </c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24">
        <f>SUM(C55:H55)</f>
        <v/>
      </c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23">
        <f>SUM(C56:H56)</f>
        <v/>
      </c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24">
        <f>SUM(C57:H57)</f>
        <v/>
      </c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23">
        <f>SUM(C58:H58)</f>
        <v/>
      </c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24">
        <f>SUM(C59:H59)</f>
        <v/>
      </c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23">
        <f>SUM(C60:H60)</f>
        <v/>
      </c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24">
        <f>SUM(C61:H61)</f>
        <v/>
      </c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23">
        <f>SUM(C62:H62)</f>
        <v/>
      </c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24">
        <f>SUM(C63:H63)</f>
        <v/>
      </c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23">
        <f>SUM(C64:H64)</f>
        <v/>
      </c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24">
        <f>SUM(C65:H65)</f>
        <v/>
      </c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23">
        <f>SUM(C66:H66)</f>
        <v/>
      </c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24">
        <f>SUM(C67:H67)</f>
        <v/>
      </c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23">
        <f>SUM(C68:H68)</f>
        <v/>
      </c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24">
        <f>SUM(C69:H69)</f>
        <v/>
      </c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23">
        <f>SUM(C70:H70)</f>
        <v/>
      </c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24">
        <f>SUM(C71:H71)</f>
        <v/>
      </c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23">
        <f>SUM(C72:H72)</f>
        <v/>
      </c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24">
        <f>SUM(C73:H73)</f>
        <v/>
      </c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23">
        <f>SUM(C74:H74)</f>
        <v/>
      </c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24">
        <f>SUM(C75:H75)</f>
        <v/>
      </c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23">
        <f>SUM(C76:H76)</f>
        <v/>
      </c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24">
        <f>SUM(C77:H77)</f>
        <v/>
      </c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23">
        <f>SUM(C78:H78)</f>
        <v/>
      </c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24">
        <f>SUM(C79:H79)</f>
        <v/>
      </c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23">
        <f>SUM(C80:H80)</f>
        <v/>
      </c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24">
        <f>SUM(C81:H81)</f>
        <v/>
      </c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23">
        <f>SUM(C82:H82)</f>
        <v/>
      </c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24">
        <f>SUM(C83:H83)</f>
        <v/>
      </c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23">
        <f>SUM(C84:H84)</f>
        <v/>
      </c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24">
        <f>SUM(C85:H85)</f>
        <v/>
      </c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23">
        <f>SUM(C86:H86)</f>
        <v/>
      </c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24">
        <f>SUM(C87:H87)</f>
        <v/>
      </c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23">
        <f>SUM(C88:H88)</f>
        <v/>
      </c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24">
        <f>SUM(C89:H89)</f>
        <v/>
      </c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23">
        <f>SUM(C90:H90)</f>
        <v/>
      </c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24">
        <f>SUM(C91:H91)</f>
        <v/>
      </c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23">
        <f>SUM(C92:H92)</f>
        <v/>
      </c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24">
        <f>SUM(C93:H93)</f>
        <v/>
      </c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23">
        <f>SUM(C94:H94)</f>
        <v/>
      </c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24">
        <f>SUM(C95:H95)</f>
        <v/>
      </c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23">
        <f>SUM(C96:H96)</f>
        <v/>
      </c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24">
        <f>SUM(C97:H97)</f>
        <v/>
      </c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23">
        <f>SUM(C98:H98)</f>
        <v/>
      </c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24">
        <f>SUM(C99:H99)</f>
        <v/>
      </c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23">
        <f>SUM(C100:H100)</f>
        <v/>
      </c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24">
        <f>SUM(C101:H101)</f>
        <v/>
      </c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23">
        <f>SUM(C102:H102)</f>
        <v/>
      </c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24">
        <f>SUM(C103:H103)</f>
        <v/>
      </c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23">
        <f>SUM(C104:H104)</f>
        <v/>
      </c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24">
        <f>SUM(C105:H105)</f>
        <v/>
      </c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23">
        <f>SUM(C106:H106)</f>
        <v/>
      </c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24">
        <f>SUM(C107:H107)</f>
        <v/>
      </c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23">
        <f>SUM(C108:H108)</f>
        <v/>
      </c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24">
        <f>SUM(C109:H109)</f>
        <v/>
      </c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23">
        <f>SUM(C110:H110)</f>
        <v/>
      </c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24">
        <f>SUM(C111:H111)</f>
        <v/>
      </c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23">
        <f>SUM(C112:H112)</f>
        <v/>
      </c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24">
        <f>SUM(C113:H113)</f>
        <v/>
      </c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23">
        <f>SUM(C114:H114)</f>
        <v/>
      </c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24">
        <f>SUM(C115:H115)</f>
        <v/>
      </c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1">
    <dataValidation sqref="B6:B115" showDropDown="0" showInputMessage="0" showErrorMessage="0" allowBlank="1" errorTitle="Erreur" error="Valeur invalide" promptTitle="" prompt="Choisir dans la liste: " type="list">
      <formula1>'F02 - _Lists'!$C$6:$C$20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6" customWidth="1" min="4" max="4"/>
    <col width="40" customWidth="1" min="5" max="5"/>
    <col width="14" customWidth="1" min="6" max="6"/>
    <col width="14" customWidth="1" min="7" max="7"/>
    <col width="20" customWidth="1" min="8" max="8"/>
    <col width="16" customWidth="1" min="9" max="9"/>
    <col width="40" customWidth="1" min="10" max="10"/>
    <col width="2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14-GESTION LITIGES STAGES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Litige</t>
        </is>
      </c>
      <c r="B5" s="4" t="inlineStr">
        <is>
          <t>Nom Stagiaire</t>
        </is>
      </c>
      <c r="C5" s="4" t="inlineStr">
        <is>
          <t>Type Litige</t>
        </is>
      </c>
      <c r="D5" s="4" t="inlineStr">
        <is>
          <t>Date Signalement</t>
        </is>
      </c>
      <c r="E5" s="4" t="inlineStr">
        <is>
          <t>Description</t>
        </is>
      </c>
      <c r="F5" s="4" t="inlineStr">
        <is>
          <t>Priorité</t>
        </is>
      </c>
      <c r="G5" s="4" t="inlineStr">
        <is>
          <t>Statut</t>
        </is>
      </c>
      <c r="H5" s="4" t="inlineStr">
        <is>
          <t>Responsable Suivi</t>
        </is>
      </c>
      <c r="I5" s="4" t="inlineStr">
        <is>
          <t>Date Résolution</t>
        </is>
      </c>
      <c r="J5" s="4" t="inlineStr">
        <is>
          <t>Commentaire</t>
        </is>
      </c>
      <c r="K5" s="4" t="inlineStr">
        <is>
          <t>Observations</t>
        </is>
      </c>
      <c r="L5" s="4" t="inlineStr"/>
      <c r="M5" s="4" t="inlineStr"/>
      <c r="N5" s="4" t="inlineStr"/>
    </row>
    <row r="6" ht="22" customHeight="1">
      <c r="A6" s="5" t="inlineStr">
        <is>
          <t>LIT-STA-001</t>
        </is>
      </c>
      <c r="B6" s="5" t="inlineStr">
        <is>
          <t>Sangaré Awa</t>
        </is>
      </c>
      <c r="C6" s="5" t="inlineStr">
        <is>
          <t>Non-respect convention</t>
        </is>
      </c>
      <c r="D6" s="6" t="n">
        <v>45488</v>
      </c>
      <c r="E6" s="5" t="inlineStr">
        <is>
          <t>Horaires dépassés sans compensation ni validation</t>
        </is>
      </c>
      <c r="F6" s="5" t="inlineStr">
        <is>
          <t>Moyenne</t>
        </is>
      </c>
      <c r="G6" s="5" t="inlineStr">
        <is>
          <t>Résolu</t>
        </is>
      </c>
      <c r="H6" s="5" t="inlineStr">
        <is>
          <t>DRH</t>
        </is>
      </c>
      <c r="I6" s="6" t="n">
        <v>45505</v>
      </c>
      <c r="J6" s="5" t="inlineStr">
        <is>
          <t>Convention amendée, horaires respectés depuis</t>
        </is>
      </c>
      <c r="K6" s="5" t="inlineStr"/>
      <c r="L6" s="5" t="inlineStr"/>
      <c r="M6" s="5" t="inlineStr"/>
      <c r="N6" s="5" t="inlineStr"/>
    </row>
    <row r="7" ht="22" customHeight="1">
      <c r="A7" s="8" t="inlineStr">
        <is>
          <t>LIT-STA-002</t>
        </is>
      </c>
      <c r="B7" s="8" t="inlineStr">
        <is>
          <t>Djibril Oumar</t>
        </is>
      </c>
      <c r="C7" s="8" t="inlineStr">
        <is>
          <t>Problème indemnité</t>
        </is>
      </c>
      <c r="D7" s="9" t="n">
        <v>45585</v>
      </c>
      <c r="E7" s="8" t="inlineStr">
        <is>
          <t>Retard de paiement indemnité octobre de 10 jours</t>
        </is>
      </c>
      <c r="F7" s="8" t="inlineStr">
        <is>
          <t>Haute</t>
        </is>
      </c>
      <c r="G7" s="8" t="inlineStr">
        <is>
          <t>Résolu</t>
        </is>
      </c>
      <c r="H7" s="8" t="inlineStr">
        <is>
          <t>DAF</t>
        </is>
      </c>
      <c r="I7" s="9" t="n">
        <v>45595</v>
      </c>
      <c r="J7" s="8" t="inlineStr">
        <is>
          <t>Paiement effectué avec régularisation</t>
        </is>
      </c>
      <c r="K7" s="8" t="inlineStr"/>
      <c r="L7" s="8" t="inlineStr"/>
      <c r="M7" s="8" t="inlineStr"/>
      <c r="N7" s="8" t="inlineStr"/>
    </row>
    <row r="8" ht="22" customHeight="1">
      <c r="A8" s="5" t="inlineStr">
        <is>
          <t>LIT-STA-003</t>
        </is>
      </c>
      <c r="B8" s="5" t="inlineStr">
        <is>
          <t>Konan Yao</t>
        </is>
      </c>
      <c r="C8" s="5" t="inlineStr">
        <is>
          <t>Conflit avec tuteur</t>
        </is>
      </c>
      <c r="D8" s="6" t="n">
        <v>45667</v>
      </c>
      <c r="E8" s="5" t="inlineStr">
        <is>
          <t>Différend sur les tâches assignées vs. convention</t>
        </is>
      </c>
      <c r="F8" s="5" t="inlineStr">
        <is>
          <t>Moyenne</t>
        </is>
      </c>
      <c r="G8" s="5" t="inlineStr">
        <is>
          <t>En cours</t>
        </is>
      </c>
      <c r="H8" s="5" t="inlineStr">
        <is>
          <t>DRH</t>
        </is>
      </c>
      <c r="I8" s="5" t="n"/>
      <c r="J8" s="5" t="inlineStr">
        <is>
          <t>Médiation en cours entre stagiaire et tuteur</t>
        </is>
      </c>
      <c r="K8" s="5" t="inlineStr"/>
      <c r="L8" s="5" t="inlineStr"/>
      <c r="M8" s="5" t="inlineStr"/>
      <c r="N8" s="5" t="inlineStr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4">
    <dataValidation sqref="C6:C115" showDropDown="0" showInputMessage="0" showErrorMessage="0" allowBlank="1" errorTitle="Erreur" error="Valeur invalide" promptTitle="" prompt="Choisir dans la liste: " type="list">
      <formula1>'F02 - _Lists'!$V$6:$V$11</formula1>
    </dataValidation>
    <dataValidation sqref="F6:F115" showDropDown="0" showInputMessage="0" showErrorMessage="0" allowBlank="1" errorTitle="Erreur" error="Valeur invalide" promptTitle="" prompt="Choisir dans la liste: " type="list">
      <formula1>'F02 - _Lists'!$K$6:$K$8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_Lists'!$F$6:$F$11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_Lists'!$M$6:$M$9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26" customWidth="1" min="4" max="4"/>
    <col width="14" customWidth="1" min="5" max="5"/>
    <col width="14" customWidth="1" min="6" max="6"/>
    <col width="16" customWidth="1" min="7" max="7"/>
    <col width="18" customWidth="1" min="8" max="8"/>
    <col width="28" customWidth="1" min="9" max="9"/>
    <col width="14" customWidth="1" min="10" max="10"/>
    <col width="36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15-HISTORIQUE STAGIAIRES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Nom</t>
        </is>
      </c>
      <c r="B5" s="4" t="inlineStr">
        <is>
          <t>Prénom</t>
        </is>
      </c>
      <c r="C5" s="4" t="inlineStr">
        <is>
          <t>Établissement</t>
        </is>
      </c>
      <c r="D5" s="4" t="inlineStr">
        <is>
          <t>Département</t>
        </is>
      </c>
      <c r="E5" s="4" t="inlineStr">
        <is>
          <t>Date Début</t>
        </is>
      </c>
      <c r="F5" s="4" t="inlineStr">
        <is>
          <t>Date Fin</t>
        </is>
      </c>
      <c r="G5" s="4" t="inlineStr">
        <is>
          <t>Durée (jours)</t>
        </is>
      </c>
      <c r="H5" s="4" t="inlineStr">
        <is>
          <t>Évaluation Finale</t>
        </is>
      </c>
      <c r="I5" s="4" t="inlineStr">
        <is>
          <t>Recommandation</t>
        </is>
      </c>
      <c r="J5" s="4" t="inlineStr">
        <is>
          <t>Statut</t>
        </is>
      </c>
      <c r="K5" s="4" t="inlineStr">
        <is>
          <t>Observations</t>
        </is>
      </c>
      <c r="L5" s="4" t="inlineStr"/>
      <c r="M5" s="4" t="inlineStr"/>
      <c r="N5" s="4" t="inlineStr"/>
    </row>
    <row r="6" ht="22" customHeight="1">
      <c r="A6" s="5" t="inlineStr">
        <is>
          <t>Ouattara</t>
        </is>
      </c>
      <c r="B6" s="5" t="inlineStr">
        <is>
          <t>Moussa</t>
        </is>
      </c>
      <c r="C6" s="5" t="inlineStr">
        <is>
          <t>Université FHB</t>
        </is>
      </c>
      <c r="D6" s="5" t="inlineStr">
        <is>
          <t>Finance &amp; Comptabilité</t>
        </is>
      </c>
      <c r="E6" s="6" t="n">
        <v>45536</v>
      </c>
      <c r="F6" s="6" t="n">
        <v>45716</v>
      </c>
      <c r="G6" s="23">
        <f>IF(OR(E6="",F6=""),"",F6-E6)</f>
        <v/>
      </c>
      <c r="H6" s="7" t="n">
        <v>4</v>
      </c>
      <c r="I6" s="5">
        <f>IF(H6="","",IF(H6&gt;=4,"Embauche CDI recommandée",IF(H6&gt;=3,"À retenir","Non recommandé")))</f>
        <v/>
      </c>
      <c r="J6" s="5" t="inlineStr">
        <is>
          <t>Terminé</t>
        </is>
      </c>
      <c r="K6" s="5" t="inlineStr">
        <is>
          <t>Stage de fin d'études, très bon niveau</t>
        </is>
      </c>
      <c r="L6" s="5" t="inlineStr"/>
      <c r="M6" s="5" t="inlineStr"/>
      <c r="N6" s="5" t="inlineStr"/>
    </row>
    <row r="7" ht="22" customHeight="1">
      <c r="A7" s="8" t="inlineStr">
        <is>
          <t>Djibril</t>
        </is>
      </c>
      <c r="B7" s="8" t="inlineStr">
        <is>
          <t>Oumar</t>
        </is>
      </c>
      <c r="C7" s="8" t="inlineStr">
        <is>
          <t>ISTC Abidjan</t>
        </is>
      </c>
      <c r="D7" s="8" t="inlineStr">
        <is>
          <t>Informatique</t>
        </is>
      </c>
      <c r="E7" s="9" t="n">
        <v>45444</v>
      </c>
      <c r="F7" s="9" t="n">
        <v>45657</v>
      </c>
      <c r="G7" s="24">
        <f>IF(OR(E7="",F7=""),"",F7-E7)</f>
        <v/>
      </c>
      <c r="H7" s="10" t="n">
        <v>5</v>
      </c>
      <c r="I7" s="8">
        <f>IF(H7="","",IF(H7&gt;=4,"Embauche CDI recommandée",IF(H7&gt;=3,"À retenir","Non recommandé")))</f>
        <v/>
      </c>
      <c r="J7" s="8" t="inlineStr">
        <is>
          <t>Terminé</t>
        </is>
      </c>
      <c r="K7" s="8" t="inlineStr">
        <is>
          <t>Excellente performance, embauché CDI</t>
        </is>
      </c>
      <c r="L7" s="8" t="inlineStr"/>
      <c r="M7" s="8" t="inlineStr"/>
      <c r="N7" s="8" t="inlineStr"/>
    </row>
    <row r="8" ht="22" customHeight="1">
      <c r="A8" s="5" t="inlineStr">
        <is>
          <t>Sangaré</t>
        </is>
      </c>
      <c r="B8" s="5" t="inlineStr">
        <is>
          <t>Awa</t>
        </is>
      </c>
      <c r="C8" s="5" t="inlineStr">
        <is>
          <t>Ecole Sup. Commerce</t>
        </is>
      </c>
      <c r="D8" s="5" t="inlineStr">
        <is>
          <t>Commercial</t>
        </is>
      </c>
      <c r="E8" s="6" t="n">
        <v>45352</v>
      </c>
      <c r="F8" s="6" t="n">
        <v>45535</v>
      </c>
      <c r="G8" s="23">
        <f>IF(OR(E8="",F8=""),"",F8-E8)</f>
        <v/>
      </c>
      <c r="H8" s="7" t="n">
        <v>2</v>
      </c>
      <c r="I8" s="5">
        <f>IF(H8="","",IF(H8&gt;=4,"Embauche CDI recommandée",IF(H8&gt;=3,"À retenir","Non recommandé")))</f>
        <v/>
      </c>
      <c r="J8" s="5" t="inlineStr">
        <is>
          <t>Terminé</t>
        </is>
      </c>
      <c r="K8" s="5" t="inlineStr">
        <is>
          <t>Stage décevant, litige en cours</t>
        </is>
      </c>
      <c r="L8" s="5" t="inlineStr"/>
      <c r="M8" s="5" t="inlineStr"/>
      <c r="N8" s="5" t="inlineStr"/>
    </row>
    <row r="9" ht="22" customHeight="1">
      <c r="A9" s="8" t="inlineStr">
        <is>
          <t>N'dri</t>
        </is>
      </c>
      <c r="B9" s="8" t="inlineStr">
        <is>
          <t>Fatou</t>
        </is>
      </c>
      <c r="C9" s="8" t="inlineStr">
        <is>
          <t>FHB Abidjan</t>
        </is>
      </c>
      <c r="D9" s="8" t="inlineStr">
        <is>
          <t>Hébergement</t>
        </is>
      </c>
      <c r="E9" s="9" t="n">
        <v>45170</v>
      </c>
      <c r="F9" s="9" t="n">
        <v>45350</v>
      </c>
      <c r="G9" s="24">
        <f>IF(OR(E9="",F9=""),"",F9-E9)</f>
        <v/>
      </c>
      <c r="H9" s="10" t="n">
        <v>3</v>
      </c>
      <c r="I9" s="8">
        <f>IF(H9="","",IF(H9&gt;=4,"Embauche CDI recommandée",IF(H9&gt;=3,"À retenir","Non recommandé")))</f>
        <v/>
      </c>
      <c r="J9" s="8" t="inlineStr">
        <is>
          <t>Terminé</t>
        </is>
      </c>
      <c r="K9" s="8" t="inlineStr">
        <is>
          <t>Travail correct, pas de poste disponible</t>
        </is>
      </c>
      <c r="L9" s="8" t="inlineStr"/>
      <c r="M9" s="8" t="inlineStr"/>
      <c r="N9" s="8" t="inlineStr"/>
    </row>
    <row r="10" ht="22" customHeight="1">
      <c r="A10" s="5" t="inlineStr">
        <is>
          <t>Koffi</t>
        </is>
      </c>
      <c r="B10" s="5" t="inlineStr">
        <is>
          <t>Aristide</t>
        </is>
      </c>
      <c r="C10" s="5" t="inlineStr">
        <is>
          <t>INP-HB</t>
        </is>
      </c>
      <c r="D10" s="5" t="inlineStr">
        <is>
          <t>Cuisine &amp; Restauration</t>
        </is>
      </c>
      <c r="E10" s="6" t="n">
        <v>45078</v>
      </c>
      <c r="F10" s="6" t="n">
        <v>45291</v>
      </c>
      <c r="G10" s="23">
        <f>IF(OR(E10="",F10=""),"",F10-E10)</f>
        <v/>
      </c>
      <c r="H10" s="7" t="n">
        <v>4</v>
      </c>
      <c r="I10" s="5">
        <f>IF(H10="","",IF(H10&gt;=4,"Embauche CDI recommandée",IF(H10&gt;=3,"À retenir","Non recommandé")))</f>
        <v/>
      </c>
      <c r="J10" s="5" t="inlineStr">
        <is>
          <t>Terminé</t>
        </is>
      </c>
      <c r="K10" s="5" t="inlineStr">
        <is>
          <t>Bon cuisinier, parti chez concurrent</t>
        </is>
      </c>
      <c r="L10" s="5" t="inlineStr"/>
      <c r="M10" s="5" t="inlineStr"/>
      <c r="N10" s="5" t="inlineStr"/>
    </row>
    <row r="11" ht="22" customHeight="1">
      <c r="A11" s="8" t="n"/>
      <c r="B11" s="8" t="n"/>
      <c r="C11" s="8" t="n"/>
      <c r="D11" s="8" t="n"/>
      <c r="E11" s="8" t="n"/>
      <c r="F11" s="8" t="n"/>
      <c r="G11" s="24">
        <f>IF(OR(E11="",F11=""),"",F11-E11)</f>
        <v/>
      </c>
      <c r="H11" s="8" t="n"/>
      <c r="I11" s="8">
        <f>IF(H11="","",IF(H11&gt;=4,"Embauche CDI recommandée",IF(H11&gt;=3,"À retenir","Non recommandé")))</f>
        <v/>
      </c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5" t="n"/>
      <c r="G12" s="23">
        <f>IF(OR(E12="",F12=""),"",F12-E12)</f>
        <v/>
      </c>
      <c r="H12" s="5" t="n"/>
      <c r="I12" s="5">
        <f>IF(H12="","",IF(H12&gt;=4,"Embauche CDI recommandée",IF(H12&gt;=3,"À retenir","Non recommandé")))</f>
        <v/>
      </c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8" t="n"/>
      <c r="G13" s="24">
        <f>IF(OR(E13="",F13=""),"",F13-E13)</f>
        <v/>
      </c>
      <c r="H13" s="8" t="n"/>
      <c r="I13" s="8">
        <f>IF(H13="","",IF(H13&gt;=4,"Embauche CDI recommandée",IF(H13&gt;=3,"À retenir","Non recommandé")))</f>
        <v/>
      </c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5" t="n"/>
      <c r="G14" s="23">
        <f>IF(OR(E14="",F14=""),"",F14-E14)</f>
        <v/>
      </c>
      <c r="H14" s="5" t="n"/>
      <c r="I14" s="5">
        <f>IF(H14="","",IF(H14&gt;=4,"Embauche CDI recommandée",IF(H14&gt;=3,"À retenir","Non recommandé")))</f>
        <v/>
      </c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8" t="n"/>
      <c r="G15" s="24">
        <f>IF(OR(E15="",F15=""),"",F15-E15)</f>
        <v/>
      </c>
      <c r="H15" s="8" t="n"/>
      <c r="I15" s="8">
        <f>IF(H15="","",IF(H15&gt;=4,"Embauche CDI recommandée",IF(H15&gt;=3,"À retenir","Non recommandé")))</f>
        <v/>
      </c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5" t="n"/>
      <c r="G16" s="23">
        <f>IF(OR(E16="",F16=""),"",F16-E16)</f>
        <v/>
      </c>
      <c r="H16" s="5" t="n"/>
      <c r="I16" s="5">
        <f>IF(H16="","",IF(H16&gt;=4,"Embauche CDI recommandée",IF(H16&gt;=3,"À retenir","Non recommandé")))</f>
        <v/>
      </c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24">
        <f>IF(OR(E17="",F17=""),"",F17-E17)</f>
        <v/>
      </c>
      <c r="H17" s="8" t="n"/>
      <c r="I17" s="8">
        <f>IF(H17="","",IF(H17&gt;=4,"Embauche CDI recommandée",IF(H17&gt;=3,"À retenir","Non recommandé")))</f>
        <v/>
      </c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23">
        <f>IF(OR(E18="",F18=""),"",F18-E18)</f>
        <v/>
      </c>
      <c r="H18" s="5" t="n"/>
      <c r="I18" s="5">
        <f>IF(H18="","",IF(H18&gt;=4,"Embauche CDI recommandée",IF(H18&gt;=3,"À retenir","Non recommandé")))</f>
        <v/>
      </c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24">
        <f>IF(OR(E19="",F19=""),"",F19-E19)</f>
        <v/>
      </c>
      <c r="H19" s="8" t="n"/>
      <c r="I19" s="8">
        <f>IF(H19="","",IF(H19&gt;=4,"Embauche CDI recommandée",IF(H19&gt;=3,"À retenir","Non recommandé")))</f>
        <v/>
      </c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23">
        <f>IF(OR(E20="",F20=""),"",F20-E20)</f>
        <v/>
      </c>
      <c r="H20" s="5" t="n"/>
      <c r="I20" s="5">
        <f>IF(H20="","",IF(H20&gt;=4,"Embauche CDI recommandée",IF(H20&gt;=3,"À retenir","Non recommandé")))</f>
        <v/>
      </c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24">
        <f>IF(OR(E21="",F21=""),"",F21-E21)</f>
        <v/>
      </c>
      <c r="H21" s="8" t="n"/>
      <c r="I21" s="8">
        <f>IF(H21="","",IF(H21&gt;=4,"Embauche CDI recommandée",IF(H21&gt;=3,"À retenir","Non recommandé")))</f>
        <v/>
      </c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23">
        <f>IF(OR(E22="",F22=""),"",F22-E22)</f>
        <v/>
      </c>
      <c r="H22" s="5" t="n"/>
      <c r="I22" s="5">
        <f>IF(H22="","",IF(H22&gt;=4,"Embauche CDI recommandée",IF(H22&gt;=3,"À retenir","Non recommandé")))</f>
        <v/>
      </c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24">
        <f>IF(OR(E23="",F23=""),"",F23-E23)</f>
        <v/>
      </c>
      <c r="H23" s="8" t="n"/>
      <c r="I23" s="8">
        <f>IF(H23="","",IF(H23&gt;=4,"Embauche CDI recommandée",IF(H23&gt;=3,"À retenir","Non recommandé")))</f>
        <v/>
      </c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23">
        <f>IF(OR(E24="",F24=""),"",F24-E24)</f>
        <v/>
      </c>
      <c r="H24" s="5" t="n"/>
      <c r="I24" s="5">
        <f>IF(H24="","",IF(H24&gt;=4,"Embauche CDI recommandée",IF(H24&gt;=3,"À retenir","Non recommandé")))</f>
        <v/>
      </c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24">
        <f>IF(OR(E25="",F25=""),"",F25-E25)</f>
        <v/>
      </c>
      <c r="H25" s="8" t="n"/>
      <c r="I25" s="8">
        <f>IF(H25="","",IF(H25&gt;=4,"Embauche CDI recommandée",IF(H25&gt;=3,"À retenir","Non recommandé")))</f>
        <v/>
      </c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23">
        <f>IF(OR(E26="",F26=""),"",F26-E26)</f>
        <v/>
      </c>
      <c r="H26" s="5" t="n"/>
      <c r="I26" s="5">
        <f>IF(H26="","",IF(H26&gt;=4,"Embauche CDI recommandée",IF(H26&gt;=3,"À retenir","Non recommandé")))</f>
        <v/>
      </c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24">
        <f>IF(OR(E27="",F27=""),"",F27-E27)</f>
        <v/>
      </c>
      <c r="H27" s="8" t="n"/>
      <c r="I27" s="8">
        <f>IF(H27="","",IF(H27&gt;=4,"Embauche CDI recommandée",IF(H27&gt;=3,"À retenir","Non recommandé")))</f>
        <v/>
      </c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23">
        <f>IF(OR(E28="",F28=""),"",F28-E28)</f>
        <v/>
      </c>
      <c r="H28" s="5" t="n"/>
      <c r="I28" s="5">
        <f>IF(H28="","",IF(H28&gt;=4,"Embauche CDI recommandée",IF(H28&gt;=3,"À retenir","Non recommandé")))</f>
        <v/>
      </c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24">
        <f>IF(OR(E29="",F29=""),"",F29-E29)</f>
        <v/>
      </c>
      <c r="H29" s="8" t="n"/>
      <c r="I29" s="8">
        <f>IF(H29="","",IF(H29&gt;=4,"Embauche CDI recommandée",IF(H29&gt;=3,"À retenir","Non recommandé")))</f>
        <v/>
      </c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23">
        <f>IF(OR(E30="",F30=""),"",F30-E30)</f>
        <v/>
      </c>
      <c r="H30" s="5" t="n"/>
      <c r="I30" s="5">
        <f>IF(H30="","",IF(H30&gt;=4,"Embauche CDI recommandée",IF(H30&gt;=3,"À retenir","Non recommandé")))</f>
        <v/>
      </c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24">
        <f>IF(OR(E31="",F31=""),"",F31-E31)</f>
        <v/>
      </c>
      <c r="H31" s="8" t="n"/>
      <c r="I31" s="8">
        <f>IF(H31="","",IF(H31&gt;=4,"Embauche CDI recommandée",IF(H31&gt;=3,"À retenir","Non recommandé")))</f>
        <v/>
      </c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23">
        <f>IF(OR(E32="",F32=""),"",F32-E32)</f>
        <v/>
      </c>
      <c r="H32" s="5" t="n"/>
      <c r="I32" s="5">
        <f>IF(H32="","",IF(H32&gt;=4,"Embauche CDI recommandée",IF(H32&gt;=3,"À retenir","Non recommandé")))</f>
        <v/>
      </c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24">
        <f>IF(OR(E33="",F33=""),"",F33-E33)</f>
        <v/>
      </c>
      <c r="H33" s="8" t="n"/>
      <c r="I33" s="8">
        <f>IF(H33="","",IF(H33&gt;=4,"Embauche CDI recommandée",IF(H33&gt;=3,"À retenir","Non recommandé")))</f>
        <v/>
      </c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23">
        <f>IF(OR(E34="",F34=""),"",F34-E34)</f>
        <v/>
      </c>
      <c r="H34" s="5" t="n"/>
      <c r="I34" s="5">
        <f>IF(H34="","",IF(H34&gt;=4,"Embauche CDI recommandée",IF(H34&gt;=3,"À retenir","Non recommandé")))</f>
        <v/>
      </c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24">
        <f>IF(OR(E35="",F35=""),"",F35-E35)</f>
        <v/>
      </c>
      <c r="H35" s="8" t="n"/>
      <c r="I35" s="8">
        <f>IF(H35="","",IF(H35&gt;=4,"Embauche CDI recommandée",IF(H35&gt;=3,"À retenir","Non recommandé")))</f>
        <v/>
      </c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23">
        <f>IF(OR(E36="",F36=""),"",F36-E36)</f>
        <v/>
      </c>
      <c r="H36" s="5" t="n"/>
      <c r="I36" s="5">
        <f>IF(H36="","",IF(H36&gt;=4,"Embauche CDI recommandée",IF(H36&gt;=3,"À retenir","Non recommandé")))</f>
        <v/>
      </c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24">
        <f>IF(OR(E37="",F37=""),"",F37-E37)</f>
        <v/>
      </c>
      <c r="H37" s="8" t="n"/>
      <c r="I37" s="8">
        <f>IF(H37="","",IF(H37&gt;=4,"Embauche CDI recommandée",IF(H37&gt;=3,"À retenir","Non recommandé")))</f>
        <v/>
      </c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23">
        <f>IF(OR(E38="",F38=""),"",F38-E38)</f>
        <v/>
      </c>
      <c r="H38" s="5" t="n"/>
      <c r="I38" s="5">
        <f>IF(H38="","",IF(H38&gt;=4,"Embauche CDI recommandée",IF(H38&gt;=3,"À retenir","Non recommandé")))</f>
        <v/>
      </c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24">
        <f>IF(OR(E39="",F39=""),"",F39-E39)</f>
        <v/>
      </c>
      <c r="H39" s="8" t="n"/>
      <c r="I39" s="8">
        <f>IF(H39="","",IF(H39&gt;=4,"Embauche CDI recommandée",IF(H39&gt;=3,"À retenir","Non recommandé")))</f>
        <v/>
      </c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23">
        <f>IF(OR(E40="",F40=""),"",F40-E40)</f>
        <v/>
      </c>
      <c r="H40" s="5" t="n"/>
      <c r="I40" s="5">
        <f>IF(H40="","",IF(H40&gt;=4,"Embauche CDI recommandée",IF(H40&gt;=3,"À retenir","Non recommandé")))</f>
        <v/>
      </c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24">
        <f>IF(OR(E41="",F41=""),"",F41-E41)</f>
        <v/>
      </c>
      <c r="H41" s="8" t="n"/>
      <c r="I41" s="8">
        <f>IF(H41="","",IF(H41&gt;=4,"Embauche CDI recommandée",IF(H41&gt;=3,"À retenir","Non recommandé")))</f>
        <v/>
      </c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23">
        <f>IF(OR(E42="",F42=""),"",F42-E42)</f>
        <v/>
      </c>
      <c r="H42" s="5" t="n"/>
      <c r="I42" s="5">
        <f>IF(H42="","",IF(H42&gt;=4,"Embauche CDI recommandée",IF(H42&gt;=3,"À retenir","Non recommandé")))</f>
        <v/>
      </c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24">
        <f>IF(OR(E43="",F43=""),"",F43-E43)</f>
        <v/>
      </c>
      <c r="H43" s="8" t="n"/>
      <c r="I43" s="8">
        <f>IF(H43="","",IF(H43&gt;=4,"Embauche CDI recommandée",IF(H43&gt;=3,"À retenir","Non recommandé")))</f>
        <v/>
      </c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23">
        <f>IF(OR(E44="",F44=""),"",F44-E44)</f>
        <v/>
      </c>
      <c r="H44" s="5" t="n"/>
      <c r="I44" s="5">
        <f>IF(H44="","",IF(H44&gt;=4,"Embauche CDI recommandée",IF(H44&gt;=3,"À retenir","Non recommandé")))</f>
        <v/>
      </c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24">
        <f>IF(OR(E45="",F45=""),"",F45-E45)</f>
        <v/>
      </c>
      <c r="H45" s="8" t="n"/>
      <c r="I45" s="8">
        <f>IF(H45="","",IF(H45&gt;=4,"Embauche CDI recommandée",IF(H45&gt;=3,"À retenir","Non recommandé")))</f>
        <v/>
      </c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23">
        <f>IF(OR(E46="",F46=""),"",F46-E46)</f>
        <v/>
      </c>
      <c r="H46" s="5" t="n"/>
      <c r="I46" s="5">
        <f>IF(H46="","",IF(H46&gt;=4,"Embauche CDI recommandée",IF(H46&gt;=3,"À retenir","Non recommandé")))</f>
        <v/>
      </c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24">
        <f>IF(OR(E47="",F47=""),"",F47-E47)</f>
        <v/>
      </c>
      <c r="H47" s="8" t="n"/>
      <c r="I47" s="8">
        <f>IF(H47="","",IF(H47&gt;=4,"Embauche CDI recommandée",IF(H47&gt;=3,"À retenir","Non recommandé")))</f>
        <v/>
      </c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23">
        <f>IF(OR(E48="",F48=""),"",F48-E48)</f>
        <v/>
      </c>
      <c r="H48" s="5" t="n"/>
      <c r="I48" s="5">
        <f>IF(H48="","",IF(H48&gt;=4,"Embauche CDI recommandée",IF(H48&gt;=3,"À retenir","Non recommandé")))</f>
        <v/>
      </c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24">
        <f>IF(OR(E49="",F49=""),"",F49-E49)</f>
        <v/>
      </c>
      <c r="H49" s="8" t="n"/>
      <c r="I49" s="8">
        <f>IF(H49="","",IF(H49&gt;=4,"Embauche CDI recommandée",IF(H49&gt;=3,"À retenir","Non recommandé")))</f>
        <v/>
      </c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23">
        <f>IF(OR(E50="",F50=""),"",F50-E50)</f>
        <v/>
      </c>
      <c r="H50" s="5" t="n"/>
      <c r="I50" s="5">
        <f>IF(H50="","",IF(H50&gt;=4,"Embauche CDI recommandée",IF(H50&gt;=3,"À retenir","Non recommandé")))</f>
        <v/>
      </c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24">
        <f>IF(OR(E51="",F51=""),"",F51-E51)</f>
        <v/>
      </c>
      <c r="H51" s="8" t="n"/>
      <c r="I51" s="8">
        <f>IF(H51="","",IF(H51&gt;=4,"Embauche CDI recommandée",IF(H51&gt;=3,"À retenir","Non recommandé")))</f>
        <v/>
      </c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23">
        <f>IF(OR(E52="",F52=""),"",F52-E52)</f>
        <v/>
      </c>
      <c r="H52" s="5" t="n"/>
      <c r="I52" s="5">
        <f>IF(H52="","",IF(H52&gt;=4,"Embauche CDI recommandée",IF(H52&gt;=3,"À retenir","Non recommandé")))</f>
        <v/>
      </c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24">
        <f>IF(OR(E53="",F53=""),"",F53-E53)</f>
        <v/>
      </c>
      <c r="H53" s="8" t="n"/>
      <c r="I53" s="8">
        <f>IF(H53="","",IF(H53&gt;=4,"Embauche CDI recommandée",IF(H53&gt;=3,"À retenir","Non recommandé")))</f>
        <v/>
      </c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23">
        <f>IF(OR(E54="",F54=""),"",F54-E54)</f>
        <v/>
      </c>
      <c r="H54" s="5" t="n"/>
      <c r="I54" s="5">
        <f>IF(H54="","",IF(H54&gt;=4,"Embauche CDI recommandée",IF(H54&gt;=3,"À retenir","Non recommandé")))</f>
        <v/>
      </c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24">
        <f>IF(OR(E55="",F55=""),"",F55-E55)</f>
        <v/>
      </c>
      <c r="H55" s="8" t="n"/>
      <c r="I55" s="8">
        <f>IF(H55="","",IF(H55&gt;=4,"Embauche CDI recommandée",IF(H55&gt;=3,"À retenir","Non recommandé")))</f>
        <v/>
      </c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23">
        <f>IF(OR(E56="",F56=""),"",F56-E56)</f>
        <v/>
      </c>
      <c r="H56" s="5" t="n"/>
      <c r="I56" s="5">
        <f>IF(H56="","",IF(H56&gt;=4,"Embauche CDI recommandée",IF(H56&gt;=3,"À retenir","Non recommandé")))</f>
        <v/>
      </c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24">
        <f>IF(OR(E57="",F57=""),"",F57-E57)</f>
        <v/>
      </c>
      <c r="H57" s="8" t="n"/>
      <c r="I57" s="8">
        <f>IF(H57="","",IF(H57&gt;=4,"Embauche CDI recommandée",IF(H57&gt;=3,"À retenir","Non recommandé")))</f>
        <v/>
      </c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23">
        <f>IF(OR(E58="",F58=""),"",F58-E58)</f>
        <v/>
      </c>
      <c r="H58" s="5" t="n"/>
      <c r="I58" s="5">
        <f>IF(H58="","",IF(H58&gt;=4,"Embauche CDI recommandée",IF(H58&gt;=3,"À retenir","Non recommandé")))</f>
        <v/>
      </c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24">
        <f>IF(OR(E59="",F59=""),"",F59-E59)</f>
        <v/>
      </c>
      <c r="H59" s="8" t="n"/>
      <c r="I59" s="8">
        <f>IF(H59="","",IF(H59&gt;=4,"Embauche CDI recommandée",IF(H59&gt;=3,"À retenir","Non recommandé")))</f>
        <v/>
      </c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23">
        <f>IF(OR(E60="",F60=""),"",F60-E60)</f>
        <v/>
      </c>
      <c r="H60" s="5" t="n"/>
      <c r="I60" s="5">
        <f>IF(H60="","",IF(H60&gt;=4,"Embauche CDI recommandée",IF(H60&gt;=3,"À retenir","Non recommandé")))</f>
        <v/>
      </c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24">
        <f>IF(OR(E61="",F61=""),"",F61-E61)</f>
        <v/>
      </c>
      <c r="H61" s="8" t="n"/>
      <c r="I61" s="8">
        <f>IF(H61="","",IF(H61&gt;=4,"Embauche CDI recommandée",IF(H61&gt;=3,"À retenir","Non recommandé")))</f>
        <v/>
      </c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23">
        <f>IF(OR(E62="",F62=""),"",F62-E62)</f>
        <v/>
      </c>
      <c r="H62" s="5" t="n"/>
      <c r="I62" s="5">
        <f>IF(H62="","",IF(H62&gt;=4,"Embauche CDI recommandée",IF(H62&gt;=3,"À retenir","Non recommandé")))</f>
        <v/>
      </c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24">
        <f>IF(OR(E63="",F63=""),"",F63-E63)</f>
        <v/>
      </c>
      <c r="H63" s="8" t="n"/>
      <c r="I63" s="8">
        <f>IF(H63="","",IF(H63&gt;=4,"Embauche CDI recommandée",IF(H63&gt;=3,"À retenir","Non recommandé")))</f>
        <v/>
      </c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23">
        <f>IF(OR(E64="",F64=""),"",F64-E64)</f>
        <v/>
      </c>
      <c r="H64" s="5" t="n"/>
      <c r="I64" s="5">
        <f>IF(H64="","",IF(H64&gt;=4,"Embauche CDI recommandée",IF(H64&gt;=3,"À retenir","Non recommandé")))</f>
        <v/>
      </c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24">
        <f>IF(OR(E65="",F65=""),"",F65-E65)</f>
        <v/>
      </c>
      <c r="H65" s="8" t="n"/>
      <c r="I65" s="8">
        <f>IF(H65="","",IF(H65&gt;=4,"Embauche CDI recommandée",IF(H65&gt;=3,"À retenir","Non recommandé")))</f>
        <v/>
      </c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23">
        <f>IF(OR(E66="",F66=""),"",F66-E66)</f>
        <v/>
      </c>
      <c r="H66" s="5" t="n"/>
      <c r="I66" s="5">
        <f>IF(H66="","",IF(H66&gt;=4,"Embauche CDI recommandée",IF(H66&gt;=3,"À retenir","Non recommandé")))</f>
        <v/>
      </c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24">
        <f>IF(OR(E67="",F67=""),"",F67-E67)</f>
        <v/>
      </c>
      <c r="H67" s="8" t="n"/>
      <c r="I67" s="8">
        <f>IF(H67="","",IF(H67&gt;=4,"Embauche CDI recommandée",IF(H67&gt;=3,"À retenir","Non recommandé")))</f>
        <v/>
      </c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23">
        <f>IF(OR(E68="",F68=""),"",F68-E68)</f>
        <v/>
      </c>
      <c r="H68" s="5" t="n"/>
      <c r="I68" s="5">
        <f>IF(H68="","",IF(H68&gt;=4,"Embauche CDI recommandée",IF(H68&gt;=3,"À retenir","Non recommandé")))</f>
        <v/>
      </c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24">
        <f>IF(OR(E69="",F69=""),"",F69-E69)</f>
        <v/>
      </c>
      <c r="H69" s="8" t="n"/>
      <c r="I69" s="8">
        <f>IF(H69="","",IF(H69&gt;=4,"Embauche CDI recommandée",IF(H69&gt;=3,"À retenir","Non recommandé")))</f>
        <v/>
      </c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23">
        <f>IF(OR(E70="",F70=""),"",F70-E70)</f>
        <v/>
      </c>
      <c r="H70" s="5" t="n"/>
      <c r="I70" s="5">
        <f>IF(H70="","",IF(H70&gt;=4,"Embauche CDI recommandée",IF(H70&gt;=3,"À retenir","Non recommandé")))</f>
        <v/>
      </c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24">
        <f>IF(OR(E71="",F71=""),"",F71-E71)</f>
        <v/>
      </c>
      <c r="H71" s="8" t="n"/>
      <c r="I71" s="8">
        <f>IF(H71="","",IF(H71&gt;=4,"Embauche CDI recommandée",IF(H71&gt;=3,"À retenir","Non recommandé")))</f>
        <v/>
      </c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23">
        <f>IF(OR(E72="",F72=""),"",F72-E72)</f>
        <v/>
      </c>
      <c r="H72" s="5" t="n"/>
      <c r="I72" s="5">
        <f>IF(H72="","",IF(H72&gt;=4,"Embauche CDI recommandée",IF(H72&gt;=3,"À retenir","Non recommandé")))</f>
        <v/>
      </c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24">
        <f>IF(OR(E73="",F73=""),"",F73-E73)</f>
        <v/>
      </c>
      <c r="H73" s="8" t="n"/>
      <c r="I73" s="8">
        <f>IF(H73="","",IF(H73&gt;=4,"Embauche CDI recommandée",IF(H73&gt;=3,"À retenir","Non recommandé")))</f>
        <v/>
      </c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23">
        <f>IF(OR(E74="",F74=""),"",F74-E74)</f>
        <v/>
      </c>
      <c r="H74" s="5" t="n"/>
      <c r="I74" s="5">
        <f>IF(H74="","",IF(H74&gt;=4,"Embauche CDI recommandée",IF(H74&gt;=3,"À retenir","Non recommandé")))</f>
        <v/>
      </c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24">
        <f>IF(OR(E75="",F75=""),"",F75-E75)</f>
        <v/>
      </c>
      <c r="H75" s="8" t="n"/>
      <c r="I75" s="8">
        <f>IF(H75="","",IF(H75&gt;=4,"Embauche CDI recommandée",IF(H75&gt;=3,"À retenir","Non recommandé")))</f>
        <v/>
      </c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23">
        <f>IF(OR(E76="",F76=""),"",F76-E76)</f>
        <v/>
      </c>
      <c r="H76" s="5" t="n"/>
      <c r="I76" s="5">
        <f>IF(H76="","",IF(H76&gt;=4,"Embauche CDI recommandée",IF(H76&gt;=3,"À retenir","Non recommandé")))</f>
        <v/>
      </c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24">
        <f>IF(OR(E77="",F77=""),"",F77-E77)</f>
        <v/>
      </c>
      <c r="H77" s="8" t="n"/>
      <c r="I77" s="8">
        <f>IF(H77="","",IF(H77&gt;=4,"Embauche CDI recommandée",IF(H77&gt;=3,"À retenir","Non recommandé")))</f>
        <v/>
      </c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23">
        <f>IF(OR(E78="",F78=""),"",F78-E78)</f>
        <v/>
      </c>
      <c r="H78" s="5" t="n"/>
      <c r="I78" s="5">
        <f>IF(H78="","",IF(H78&gt;=4,"Embauche CDI recommandée",IF(H78&gt;=3,"À retenir","Non recommandé")))</f>
        <v/>
      </c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24">
        <f>IF(OR(E79="",F79=""),"",F79-E79)</f>
        <v/>
      </c>
      <c r="H79" s="8" t="n"/>
      <c r="I79" s="8">
        <f>IF(H79="","",IF(H79&gt;=4,"Embauche CDI recommandée",IF(H79&gt;=3,"À retenir","Non recommandé")))</f>
        <v/>
      </c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23">
        <f>IF(OR(E80="",F80=""),"",F80-E80)</f>
        <v/>
      </c>
      <c r="H80" s="5" t="n"/>
      <c r="I80" s="5">
        <f>IF(H80="","",IF(H80&gt;=4,"Embauche CDI recommandée",IF(H80&gt;=3,"À retenir","Non recommandé")))</f>
        <v/>
      </c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24">
        <f>IF(OR(E81="",F81=""),"",F81-E81)</f>
        <v/>
      </c>
      <c r="H81" s="8" t="n"/>
      <c r="I81" s="8">
        <f>IF(H81="","",IF(H81&gt;=4,"Embauche CDI recommandée",IF(H81&gt;=3,"À retenir","Non recommandé")))</f>
        <v/>
      </c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23">
        <f>IF(OR(E82="",F82=""),"",F82-E82)</f>
        <v/>
      </c>
      <c r="H82" s="5" t="n"/>
      <c r="I82" s="5">
        <f>IF(H82="","",IF(H82&gt;=4,"Embauche CDI recommandée",IF(H82&gt;=3,"À retenir","Non recommandé")))</f>
        <v/>
      </c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24">
        <f>IF(OR(E83="",F83=""),"",F83-E83)</f>
        <v/>
      </c>
      <c r="H83" s="8" t="n"/>
      <c r="I83" s="8">
        <f>IF(H83="","",IF(H83&gt;=4,"Embauche CDI recommandée",IF(H83&gt;=3,"À retenir","Non recommandé")))</f>
        <v/>
      </c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23">
        <f>IF(OR(E84="",F84=""),"",F84-E84)</f>
        <v/>
      </c>
      <c r="H84" s="5" t="n"/>
      <c r="I84" s="5">
        <f>IF(H84="","",IF(H84&gt;=4,"Embauche CDI recommandée",IF(H84&gt;=3,"À retenir","Non recommandé")))</f>
        <v/>
      </c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24">
        <f>IF(OR(E85="",F85=""),"",F85-E85)</f>
        <v/>
      </c>
      <c r="H85" s="8" t="n"/>
      <c r="I85" s="8">
        <f>IF(H85="","",IF(H85&gt;=4,"Embauche CDI recommandée",IF(H85&gt;=3,"À retenir","Non recommandé")))</f>
        <v/>
      </c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23">
        <f>IF(OR(E86="",F86=""),"",F86-E86)</f>
        <v/>
      </c>
      <c r="H86" s="5" t="n"/>
      <c r="I86" s="5">
        <f>IF(H86="","",IF(H86&gt;=4,"Embauche CDI recommandée",IF(H86&gt;=3,"À retenir","Non recommandé")))</f>
        <v/>
      </c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24">
        <f>IF(OR(E87="",F87=""),"",F87-E87)</f>
        <v/>
      </c>
      <c r="H87" s="8" t="n"/>
      <c r="I87" s="8">
        <f>IF(H87="","",IF(H87&gt;=4,"Embauche CDI recommandée",IF(H87&gt;=3,"À retenir","Non recommandé")))</f>
        <v/>
      </c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23">
        <f>IF(OR(E88="",F88=""),"",F88-E88)</f>
        <v/>
      </c>
      <c r="H88" s="5" t="n"/>
      <c r="I88" s="5">
        <f>IF(H88="","",IF(H88&gt;=4,"Embauche CDI recommandée",IF(H88&gt;=3,"À retenir","Non recommandé")))</f>
        <v/>
      </c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24">
        <f>IF(OR(E89="",F89=""),"",F89-E89)</f>
        <v/>
      </c>
      <c r="H89" s="8" t="n"/>
      <c r="I89" s="8">
        <f>IF(H89="","",IF(H89&gt;=4,"Embauche CDI recommandée",IF(H89&gt;=3,"À retenir","Non recommandé")))</f>
        <v/>
      </c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23">
        <f>IF(OR(E90="",F90=""),"",F90-E90)</f>
        <v/>
      </c>
      <c r="H90" s="5" t="n"/>
      <c r="I90" s="5">
        <f>IF(H90="","",IF(H90&gt;=4,"Embauche CDI recommandée",IF(H90&gt;=3,"À retenir","Non recommandé")))</f>
        <v/>
      </c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24">
        <f>IF(OR(E91="",F91=""),"",F91-E91)</f>
        <v/>
      </c>
      <c r="H91" s="8" t="n"/>
      <c r="I91" s="8">
        <f>IF(H91="","",IF(H91&gt;=4,"Embauche CDI recommandée",IF(H91&gt;=3,"À retenir","Non recommandé")))</f>
        <v/>
      </c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23">
        <f>IF(OR(E92="",F92=""),"",F92-E92)</f>
        <v/>
      </c>
      <c r="H92" s="5" t="n"/>
      <c r="I92" s="5">
        <f>IF(H92="","",IF(H92&gt;=4,"Embauche CDI recommandée",IF(H92&gt;=3,"À retenir","Non recommandé")))</f>
        <v/>
      </c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24">
        <f>IF(OR(E93="",F93=""),"",F93-E93)</f>
        <v/>
      </c>
      <c r="H93" s="8" t="n"/>
      <c r="I93" s="8">
        <f>IF(H93="","",IF(H93&gt;=4,"Embauche CDI recommandée",IF(H93&gt;=3,"À retenir","Non recommandé")))</f>
        <v/>
      </c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23">
        <f>IF(OR(E94="",F94=""),"",F94-E94)</f>
        <v/>
      </c>
      <c r="H94" s="5" t="n"/>
      <c r="I94" s="5">
        <f>IF(H94="","",IF(H94&gt;=4,"Embauche CDI recommandée",IF(H94&gt;=3,"À retenir","Non recommandé")))</f>
        <v/>
      </c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24">
        <f>IF(OR(E95="",F95=""),"",F95-E95)</f>
        <v/>
      </c>
      <c r="H95" s="8" t="n"/>
      <c r="I95" s="8">
        <f>IF(H95="","",IF(H95&gt;=4,"Embauche CDI recommandée",IF(H95&gt;=3,"À retenir","Non recommandé")))</f>
        <v/>
      </c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23">
        <f>IF(OR(E96="",F96=""),"",F96-E96)</f>
        <v/>
      </c>
      <c r="H96" s="5" t="n"/>
      <c r="I96" s="5">
        <f>IF(H96="","",IF(H96&gt;=4,"Embauche CDI recommandée",IF(H96&gt;=3,"À retenir","Non recommandé")))</f>
        <v/>
      </c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24">
        <f>IF(OR(E97="",F97=""),"",F97-E97)</f>
        <v/>
      </c>
      <c r="H97" s="8" t="n"/>
      <c r="I97" s="8">
        <f>IF(H97="","",IF(H97&gt;=4,"Embauche CDI recommandée",IF(H97&gt;=3,"À retenir","Non recommandé")))</f>
        <v/>
      </c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23">
        <f>IF(OR(E98="",F98=""),"",F98-E98)</f>
        <v/>
      </c>
      <c r="H98" s="5" t="n"/>
      <c r="I98" s="5">
        <f>IF(H98="","",IF(H98&gt;=4,"Embauche CDI recommandée",IF(H98&gt;=3,"À retenir","Non recommandé")))</f>
        <v/>
      </c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24">
        <f>IF(OR(E99="",F99=""),"",F99-E99)</f>
        <v/>
      </c>
      <c r="H99" s="8" t="n"/>
      <c r="I99" s="8">
        <f>IF(H99="","",IF(H99&gt;=4,"Embauche CDI recommandée",IF(H99&gt;=3,"À retenir","Non recommandé")))</f>
        <v/>
      </c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23">
        <f>IF(OR(E100="",F100=""),"",F100-E100)</f>
        <v/>
      </c>
      <c r="H100" s="5" t="n"/>
      <c r="I100" s="5">
        <f>IF(H100="","",IF(H100&gt;=4,"Embauche CDI recommandée",IF(H100&gt;=3,"À retenir","Non recommandé")))</f>
        <v/>
      </c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24">
        <f>IF(OR(E101="",F101=""),"",F101-E101)</f>
        <v/>
      </c>
      <c r="H101" s="8" t="n"/>
      <c r="I101" s="8">
        <f>IF(H101="","",IF(H101&gt;=4,"Embauche CDI recommandée",IF(H101&gt;=3,"À retenir","Non recommandé")))</f>
        <v/>
      </c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23">
        <f>IF(OR(E102="",F102=""),"",F102-E102)</f>
        <v/>
      </c>
      <c r="H102" s="5" t="n"/>
      <c r="I102" s="5">
        <f>IF(H102="","",IF(H102&gt;=4,"Embauche CDI recommandée",IF(H102&gt;=3,"À retenir","Non recommandé")))</f>
        <v/>
      </c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24">
        <f>IF(OR(E103="",F103=""),"",F103-E103)</f>
        <v/>
      </c>
      <c r="H103" s="8" t="n"/>
      <c r="I103" s="8">
        <f>IF(H103="","",IF(H103&gt;=4,"Embauche CDI recommandée",IF(H103&gt;=3,"À retenir","Non recommandé")))</f>
        <v/>
      </c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23">
        <f>IF(OR(E104="",F104=""),"",F104-E104)</f>
        <v/>
      </c>
      <c r="H104" s="5" t="n"/>
      <c r="I104" s="5">
        <f>IF(H104="","",IF(H104&gt;=4,"Embauche CDI recommandée",IF(H104&gt;=3,"À retenir","Non recommandé")))</f>
        <v/>
      </c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24">
        <f>IF(OR(E105="",F105=""),"",F105-E105)</f>
        <v/>
      </c>
      <c r="H105" s="8" t="n"/>
      <c r="I105" s="8">
        <f>IF(H105="","",IF(H105&gt;=4,"Embauche CDI recommandée",IF(H105&gt;=3,"À retenir","Non recommandé")))</f>
        <v/>
      </c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23">
        <f>IF(OR(E106="",F106=""),"",F106-E106)</f>
        <v/>
      </c>
      <c r="H106" s="5" t="n"/>
      <c r="I106" s="5">
        <f>IF(H106="","",IF(H106&gt;=4,"Embauche CDI recommandée",IF(H106&gt;=3,"À retenir","Non recommandé")))</f>
        <v/>
      </c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24">
        <f>IF(OR(E107="",F107=""),"",F107-E107)</f>
        <v/>
      </c>
      <c r="H107" s="8" t="n"/>
      <c r="I107" s="8">
        <f>IF(H107="","",IF(H107&gt;=4,"Embauche CDI recommandée",IF(H107&gt;=3,"À retenir","Non recommandé")))</f>
        <v/>
      </c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23">
        <f>IF(OR(E108="",F108=""),"",F108-E108)</f>
        <v/>
      </c>
      <c r="H108" s="5" t="n"/>
      <c r="I108" s="5">
        <f>IF(H108="","",IF(H108&gt;=4,"Embauche CDI recommandée",IF(H108&gt;=3,"À retenir","Non recommandé")))</f>
        <v/>
      </c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24">
        <f>IF(OR(E109="",F109=""),"",F109-E109)</f>
        <v/>
      </c>
      <c r="H109" s="8" t="n"/>
      <c r="I109" s="8">
        <f>IF(H109="","",IF(H109&gt;=4,"Embauche CDI recommandée",IF(H109&gt;=3,"À retenir","Non recommandé")))</f>
        <v/>
      </c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23">
        <f>IF(OR(E110="",F110=""),"",F110-E110)</f>
        <v/>
      </c>
      <c r="H110" s="5" t="n"/>
      <c r="I110" s="5">
        <f>IF(H110="","",IF(H110&gt;=4,"Embauche CDI recommandée",IF(H110&gt;=3,"À retenir","Non recommandé")))</f>
        <v/>
      </c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24">
        <f>IF(OR(E111="",F111=""),"",F111-E111)</f>
        <v/>
      </c>
      <c r="H111" s="8" t="n"/>
      <c r="I111" s="8">
        <f>IF(H111="","",IF(H111&gt;=4,"Embauche CDI recommandée",IF(H111&gt;=3,"À retenir","Non recommandé")))</f>
        <v/>
      </c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23">
        <f>IF(OR(E112="",F112=""),"",F112-E112)</f>
        <v/>
      </c>
      <c r="H112" s="5" t="n"/>
      <c r="I112" s="5">
        <f>IF(H112="","",IF(H112&gt;=4,"Embauche CDI recommandée",IF(H112&gt;=3,"À retenir","Non recommandé")))</f>
        <v/>
      </c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24">
        <f>IF(OR(E113="",F113=""),"",F113-E113)</f>
        <v/>
      </c>
      <c r="H113" s="8" t="n"/>
      <c r="I113" s="8">
        <f>IF(H113="","",IF(H113&gt;=4,"Embauche CDI recommandée",IF(H113&gt;=3,"À retenir","Non recommandé")))</f>
        <v/>
      </c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23">
        <f>IF(OR(E114="",F114=""),"",F114-E114)</f>
        <v/>
      </c>
      <c r="H114" s="5" t="n"/>
      <c r="I114" s="5">
        <f>IF(H114="","",IF(H114&gt;=4,"Embauche CDI recommandée",IF(H114&gt;=3,"À retenir","Non recommandé")))</f>
        <v/>
      </c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24">
        <f>IF(OR(E115="",F115=""),"",F115-E115)</f>
        <v/>
      </c>
      <c r="H115" s="8" t="n"/>
      <c r="I115" s="8">
        <f>IF(H115="","",IF(H115&gt;=4,"Embauche CDI recommandée",IF(H115&gt;=3,"À retenir","Non recommandé")))</f>
        <v/>
      </c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5">
    <dataValidation sqref="C6:C115" showDropDown="0" showInputMessage="0" showErrorMessage="0" allowBlank="1" errorTitle="Erreur" error="Valeur invalide" promptTitle="" prompt="Choisir dans la liste: " type="list">
      <formula1>'F02 - _Lists'!$A$6:$A$16</formula1>
    </dataValidation>
    <dataValidation sqref="D6:D115" showDropDown="0" showInputMessage="0" showErrorMessage="0" allowBlank="1" errorTitle="Erreur" error="Valeur invalide" promptTitle="" prompt="Choisir dans la liste: " type="list">
      <formula1>'F02 - _Lists'!$C$6:$C$20</formula1>
    </dataValidation>
    <dataValidation sqref="H6:H115" showDropDown="0" showInputMessage="0" showErrorMessage="0" allowBlank="1" errorTitle="Erreur" error="Valeur invalide" promptTitle="" prompt="Choisir dans la liste: " type="list">
      <formula1>'F02 - _Lists'!$G$6:$G$11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_Lists'!$H$6:$H$9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_Lists'!$F$6:$F$11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O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4" customWidth="1" min="4" max="4"/>
    <col width="16" customWidth="1" min="5" max="5"/>
    <col width="14" customWidth="1" min="6" max="6"/>
    <col width="30" customWidth="1" min="7" max="7"/>
    <col width="30" customWidth="1" min="8" max="8"/>
    <col width="2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16-CALENDRIER STAGES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Stagiaire</t>
        </is>
      </c>
      <c r="B5" s="4" t="inlineStr">
        <is>
          <t>Département</t>
        </is>
      </c>
      <c r="C5" s="4" t="inlineStr">
        <is>
          <t>Date Début</t>
        </is>
      </c>
      <c r="D5" s="4" t="inlineStr">
        <is>
          <t>Date Fin</t>
        </is>
      </c>
      <c r="E5" s="4" t="inlineStr">
        <is>
          <t>Jours Restants</t>
        </is>
      </c>
      <c r="F5" s="4" t="inlineStr">
        <is>
          <t>Alertes</t>
        </is>
      </c>
      <c r="G5" s="4" t="inlineStr">
        <is>
          <t>Événements</t>
        </is>
      </c>
      <c r="H5" s="4" t="inlineStr">
        <is>
          <t>Actions Requises</t>
        </is>
      </c>
      <c r="I5" s="4" t="inlineStr">
        <is>
          <t>Observations</t>
        </is>
      </c>
      <c r="J5" s="4" t="inlineStr"/>
      <c r="K5" s="4" t="inlineStr"/>
      <c r="L5" s="4" t="inlineStr"/>
      <c r="M5" s="4" t="inlineStr"/>
      <c r="N5" s="4" t="inlineStr"/>
      <c r="O5" s="4" t="inlineStr"/>
    </row>
    <row r="6" ht="22" customHeight="1">
      <c r="A6" s="5" t="inlineStr">
        <is>
          <t>Koné Aminata</t>
        </is>
      </c>
      <c r="B6" s="5" t="inlineStr">
        <is>
          <t>Cuisine &amp; Restauration</t>
        </is>
      </c>
      <c r="C6" s="6" t="n">
        <v>45663</v>
      </c>
      <c r="D6" s="6" t="n">
        <v>45838</v>
      </c>
      <c r="E6" s="23">
        <f>IF(D6="","",IFERROR(D6-TODAY(),0))</f>
        <v/>
      </c>
      <c r="F6" s="5">
        <f>IF(E6="","",IF(E6&lt;15,"URGENT",IF(E6&lt;30,"Attention","")))</f>
        <v/>
      </c>
      <c r="G6" s="5" t="inlineStr">
        <is>
          <t>Évaluation mi-parcours mars</t>
        </is>
      </c>
      <c r="H6" s="5" t="inlineStr">
        <is>
          <t>Planifier entretien tuteur</t>
        </is>
      </c>
      <c r="I6" s="5" t="inlineStr"/>
      <c r="J6" s="5" t="inlineStr"/>
      <c r="K6" s="5" t="inlineStr"/>
      <c r="L6" s="5" t="inlineStr"/>
      <c r="M6" s="5" t="inlineStr"/>
      <c r="N6" s="5" t="inlineStr"/>
    </row>
    <row r="7" ht="22" customHeight="1">
      <c r="A7" s="8" t="inlineStr">
        <is>
          <t>Traoré Ibrahim</t>
        </is>
      </c>
      <c r="B7" s="8" t="inlineStr">
        <is>
          <t>Informatique</t>
        </is>
      </c>
      <c r="C7" s="9" t="n">
        <v>45689</v>
      </c>
      <c r="D7" s="9" t="n">
        <v>45869</v>
      </c>
      <c r="E7" s="24">
        <f>IF(D7="","",IFERROR(D7-TODAY(),0))</f>
        <v/>
      </c>
      <c r="F7" s="8">
        <f>IF(E7="","",IF(E7&lt;15,"URGENT",IF(E7&lt;30,"Attention","")))</f>
        <v/>
      </c>
      <c r="G7" s="8" t="inlineStr">
        <is>
          <t>Soutenance rapport juillet</t>
        </is>
      </c>
      <c r="H7" s="8" t="inlineStr">
        <is>
          <t>Préparer convention fin de stage</t>
        </is>
      </c>
      <c r="I7" s="8" t="inlineStr"/>
      <c r="J7" s="8" t="inlineStr"/>
      <c r="K7" s="8" t="inlineStr"/>
      <c r="L7" s="8" t="inlineStr"/>
      <c r="M7" s="8" t="inlineStr"/>
      <c r="N7" s="8" t="inlineStr"/>
    </row>
    <row r="8" ht="22" customHeight="1">
      <c r="A8" s="5" t="inlineStr">
        <is>
          <t>Diallo Fatou</t>
        </is>
      </c>
      <c r="B8" s="5" t="inlineStr">
        <is>
          <t>Marketing &amp; Communication</t>
        </is>
      </c>
      <c r="C8" s="6" t="n">
        <v>45672</v>
      </c>
      <c r="D8" s="6" t="n">
        <v>45762</v>
      </c>
      <c r="E8" s="23">
        <f>IF(D8="","",IFERROR(D8-TODAY(),0))</f>
        <v/>
      </c>
      <c r="F8" s="5">
        <f>IF(E8="","",IF(E8&lt;15,"URGENT",IF(E8&lt;30,"Attention","")))</f>
        <v/>
      </c>
      <c r="G8" s="5" t="inlineStr">
        <is>
          <t>Fin de stage proche</t>
        </is>
      </c>
      <c r="H8" s="5" t="inlineStr">
        <is>
          <t>Organiser bilan final</t>
        </is>
      </c>
      <c r="I8" s="5" t="inlineStr"/>
      <c r="J8" s="5" t="inlineStr"/>
      <c r="K8" s="5" t="inlineStr"/>
      <c r="L8" s="5" t="inlineStr"/>
      <c r="M8" s="5" t="inlineStr"/>
      <c r="N8" s="5" t="inlineStr"/>
    </row>
    <row r="9" ht="22" customHeight="1">
      <c r="A9" s="8" t="inlineStr">
        <is>
          <t>Coulibaly Adama</t>
        </is>
      </c>
      <c r="B9" s="8" t="inlineStr">
        <is>
          <t>Entretien &amp; Maintenance</t>
        </is>
      </c>
      <c r="C9" s="9" t="n">
        <v>45663</v>
      </c>
      <c r="D9" s="9" t="n">
        <v>45838</v>
      </c>
      <c r="E9" s="24">
        <f>IF(D9="","",IFERROR(D9-TODAY(),0))</f>
        <v/>
      </c>
      <c r="F9" s="8">
        <f>IF(E9="","",IF(E9&lt;15,"URGENT",IF(E9&lt;30,"Attention","")))</f>
        <v/>
      </c>
      <c r="G9" s="8" t="inlineStr">
        <is>
          <t>Formation sécurité à jour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</row>
    <row r="10" ht="22" customHeight="1">
      <c r="A10" s="5" t="inlineStr">
        <is>
          <t>Konan Yao</t>
        </is>
      </c>
      <c r="B10" s="5" t="inlineStr">
        <is>
          <t>Ressources Humaines</t>
        </is>
      </c>
      <c r="C10" s="6" t="n">
        <v>45566</v>
      </c>
      <c r="D10" s="6" t="n">
        <v>45747</v>
      </c>
      <c r="E10" s="23">
        <f>IF(D10="","",IFERROR(D10-TODAY(),0))</f>
        <v/>
      </c>
      <c r="F10" s="5">
        <f>IF(E10="","",IF(E10&lt;15,"URGENT",IF(E10&lt;30,"Attention","")))</f>
        <v/>
      </c>
      <c r="G10" s="5" t="inlineStr">
        <is>
          <t>Fin de stage imminente</t>
        </is>
      </c>
      <c r="H10" s="5" t="inlineStr">
        <is>
          <t>Décider prolongation ou fin</t>
        </is>
      </c>
      <c r="I10" s="5" t="inlineStr"/>
      <c r="J10" s="5" t="inlineStr"/>
      <c r="K10" s="5" t="inlineStr"/>
      <c r="L10" s="5" t="inlineStr"/>
      <c r="M10" s="5" t="inlineStr"/>
      <c r="N10" s="5" t="inlineStr"/>
    </row>
    <row r="11" ht="22" customHeight="1">
      <c r="A11" s="8" t="n"/>
      <c r="B11" s="8" t="n"/>
      <c r="C11" s="8" t="n"/>
      <c r="D11" s="8" t="n"/>
      <c r="E11" s="24">
        <f>IF(D11="","",IFERROR(D11-TODAY(),0))</f>
        <v/>
      </c>
      <c r="F11" s="8">
        <f>IF(E11="","",IF(E11&lt;15,"URGENT",IF(E11&lt;30,"Attention","")))</f>
        <v/>
      </c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23">
        <f>IF(D12="","",IFERROR(D12-TODAY(),0))</f>
        <v/>
      </c>
      <c r="F12" s="5">
        <f>IF(E12="","",IF(E12&lt;15,"URGENT",IF(E12&lt;30,"Attention","")))</f>
        <v/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24">
        <f>IF(D13="","",IFERROR(D13-TODAY(),0))</f>
        <v/>
      </c>
      <c r="F13" s="8">
        <f>IF(E13="","",IF(E13&lt;15,"URGENT",IF(E13&lt;30,"Attention","")))</f>
        <v/>
      </c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23">
        <f>IF(D14="","",IFERROR(D14-TODAY(),0))</f>
        <v/>
      </c>
      <c r="F14" s="5">
        <f>IF(E14="","",IF(E14&lt;15,"URGENT",IF(E14&lt;30,"Attention","")))</f>
        <v/>
      </c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24">
        <f>IF(D15="","",IFERROR(D15-TODAY(),0))</f>
        <v/>
      </c>
      <c r="F15" s="8">
        <f>IF(E15="","",IF(E15&lt;15,"URGENT",IF(E15&lt;30,"Attention","")))</f>
        <v/>
      </c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23">
        <f>IF(D16="","",IFERROR(D16-TODAY(),0))</f>
        <v/>
      </c>
      <c r="F16" s="5">
        <f>IF(E16="","",IF(E16&lt;15,"URGENT",IF(E16&lt;30,"Attention","")))</f>
        <v/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24">
        <f>IF(D17="","",IFERROR(D17-TODAY(),0))</f>
        <v/>
      </c>
      <c r="F17" s="8">
        <f>IF(E17="","",IF(E17&lt;15,"URGENT",IF(E17&lt;30,"Attention","")))</f>
        <v/>
      </c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23">
        <f>IF(D18="","",IFERROR(D18-TODAY(),0))</f>
        <v/>
      </c>
      <c r="F18" s="5">
        <f>IF(E18="","",IF(E18&lt;15,"URGENT",IF(E18&lt;30,"Attention","")))</f>
        <v/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24">
        <f>IF(D19="","",IFERROR(D19-TODAY(),0))</f>
        <v/>
      </c>
      <c r="F19" s="8">
        <f>IF(E19="","",IF(E19&lt;15,"URGENT",IF(E19&lt;30,"Attention","")))</f>
        <v/>
      </c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23">
        <f>IF(D20="","",IFERROR(D20-TODAY(),0))</f>
        <v/>
      </c>
      <c r="F20" s="5">
        <f>IF(E20="","",IF(E20&lt;15,"URGENT",IF(E20&lt;30,"Attention","")))</f>
        <v/>
      </c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24">
        <f>IF(D21="","",IFERROR(D21-TODAY(),0))</f>
        <v/>
      </c>
      <c r="F21" s="8">
        <f>IF(E21="","",IF(E21&lt;15,"URGENT",IF(E21&lt;30,"Attention","")))</f>
        <v/>
      </c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23">
        <f>IF(D22="","",IFERROR(D22-TODAY(),0))</f>
        <v/>
      </c>
      <c r="F22" s="5">
        <f>IF(E22="","",IF(E22&lt;15,"URGENT",IF(E22&lt;30,"Attention","")))</f>
        <v/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24">
        <f>IF(D23="","",IFERROR(D23-TODAY(),0))</f>
        <v/>
      </c>
      <c r="F23" s="8">
        <f>IF(E23="","",IF(E23&lt;15,"URGENT",IF(E23&lt;30,"Attention","")))</f>
        <v/>
      </c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23">
        <f>IF(D24="","",IFERROR(D24-TODAY(),0))</f>
        <v/>
      </c>
      <c r="F24" s="5">
        <f>IF(E24="","",IF(E24&lt;15,"URGENT",IF(E24&lt;30,"Attention","")))</f>
        <v/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24">
        <f>IF(D25="","",IFERROR(D25-TODAY(),0))</f>
        <v/>
      </c>
      <c r="F25" s="8">
        <f>IF(E25="","",IF(E25&lt;15,"URGENT",IF(E25&lt;30,"Attention","")))</f>
        <v/>
      </c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23">
        <f>IF(D26="","",IFERROR(D26-TODAY(),0))</f>
        <v/>
      </c>
      <c r="F26" s="5">
        <f>IF(E26="","",IF(E26&lt;15,"URGENT",IF(E26&lt;30,"Attention","")))</f>
        <v/>
      </c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24">
        <f>IF(D27="","",IFERROR(D27-TODAY(),0))</f>
        <v/>
      </c>
      <c r="F27" s="8">
        <f>IF(E27="","",IF(E27&lt;15,"URGENT",IF(E27&lt;30,"Attention","")))</f>
        <v/>
      </c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23">
        <f>IF(D28="","",IFERROR(D28-TODAY(),0))</f>
        <v/>
      </c>
      <c r="F28" s="5">
        <f>IF(E28="","",IF(E28&lt;15,"URGENT",IF(E28&lt;30,"Attention","")))</f>
        <v/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24">
        <f>IF(D29="","",IFERROR(D29-TODAY(),0))</f>
        <v/>
      </c>
      <c r="F29" s="8">
        <f>IF(E29="","",IF(E29&lt;15,"URGENT",IF(E29&lt;30,"Attention","")))</f>
        <v/>
      </c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23">
        <f>IF(D30="","",IFERROR(D30-TODAY(),0))</f>
        <v/>
      </c>
      <c r="F30" s="5">
        <f>IF(E30="","",IF(E30&lt;15,"URGENT",IF(E30&lt;30,"Attention","")))</f>
        <v/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24">
        <f>IF(D31="","",IFERROR(D31-TODAY(),0))</f>
        <v/>
      </c>
      <c r="F31" s="8">
        <f>IF(E31="","",IF(E31&lt;15,"URGENT",IF(E31&lt;30,"Attention","")))</f>
        <v/>
      </c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23">
        <f>IF(D32="","",IFERROR(D32-TODAY(),0))</f>
        <v/>
      </c>
      <c r="F32" s="5">
        <f>IF(E32="","",IF(E32&lt;15,"URGENT",IF(E32&lt;30,"Attention","")))</f>
        <v/>
      </c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24">
        <f>IF(D33="","",IFERROR(D33-TODAY(),0))</f>
        <v/>
      </c>
      <c r="F33" s="8">
        <f>IF(E33="","",IF(E33&lt;15,"URGENT",IF(E33&lt;30,"Attention","")))</f>
        <v/>
      </c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23">
        <f>IF(D34="","",IFERROR(D34-TODAY(),0))</f>
        <v/>
      </c>
      <c r="F34" s="5">
        <f>IF(E34="","",IF(E34&lt;15,"URGENT",IF(E34&lt;30,"Attention","")))</f>
        <v/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24">
        <f>IF(D35="","",IFERROR(D35-TODAY(),0))</f>
        <v/>
      </c>
      <c r="F35" s="8">
        <f>IF(E35="","",IF(E35&lt;15,"URGENT",IF(E35&lt;30,"Attention","")))</f>
        <v/>
      </c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23">
        <f>IF(D36="","",IFERROR(D36-TODAY(),0))</f>
        <v/>
      </c>
      <c r="F36" s="5">
        <f>IF(E36="","",IF(E36&lt;15,"URGENT",IF(E36&lt;30,"Attention","")))</f>
        <v/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24">
        <f>IF(D37="","",IFERROR(D37-TODAY(),0))</f>
        <v/>
      </c>
      <c r="F37" s="8">
        <f>IF(E37="","",IF(E37&lt;15,"URGENT",IF(E37&lt;30,"Attention","")))</f>
        <v/>
      </c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23">
        <f>IF(D38="","",IFERROR(D38-TODAY(),0))</f>
        <v/>
      </c>
      <c r="F38" s="5">
        <f>IF(E38="","",IF(E38&lt;15,"URGENT",IF(E38&lt;30,"Attention","")))</f>
        <v/>
      </c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24">
        <f>IF(D39="","",IFERROR(D39-TODAY(),0))</f>
        <v/>
      </c>
      <c r="F39" s="8">
        <f>IF(E39="","",IF(E39&lt;15,"URGENT",IF(E39&lt;30,"Attention","")))</f>
        <v/>
      </c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23">
        <f>IF(D40="","",IFERROR(D40-TODAY(),0))</f>
        <v/>
      </c>
      <c r="F40" s="5">
        <f>IF(E40="","",IF(E40&lt;15,"URGENT",IF(E40&lt;30,"Attention","")))</f>
        <v/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24">
        <f>IF(D41="","",IFERROR(D41-TODAY(),0))</f>
        <v/>
      </c>
      <c r="F41" s="8">
        <f>IF(E41="","",IF(E41&lt;15,"URGENT",IF(E41&lt;30,"Attention","")))</f>
        <v/>
      </c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23">
        <f>IF(D42="","",IFERROR(D42-TODAY(),0))</f>
        <v/>
      </c>
      <c r="F42" s="5">
        <f>IF(E42="","",IF(E42&lt;15,"URGENT",IF(E42&lt;30,"Attention","")))</f>
        <v/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24">
        <f>IF(D43="","",IFERROR(D43-TODAY(),0))</f>
        <v/>
      </c>
      <c r="F43" s="8">
        <f>IF(E43="","",IF(E43&lt;15,"URGENT",IF(E43&lt;30,"Attention","")))</f>
        <v/>
      </c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23">
        <f>IF(D44="","",IFERROR(D44-TODAY(),0))</f>
        <v/>
      </c>
      <c r="F44" s="5">
        <f>IF(E44="","",IF(E44&lt;15,"URGENT",IF(E44&lt;30,"Attention","")))</f>
        <v/>
      </c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24">
        <f>IF(D45="","",IFERROR(D45-TODAY(),0))</f>
        <v/>
      </c>
      <c r="F45" s="8">
        <f>IF(E45="","",IF(E45&lt;15,"URGENT",IF(E45&lt;30,"Attention","")))</f>
        <v/>
      </c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23">
        <f>IF(D46="","",IFERROR(D46-TODAY(),0))</f>
        <v/>
      </c>
      <c r="F46" s="5">
        <f>IF(E46="","",IF(E46&lt;15,"URGENT",IF(E46&lt;30,"Attention","")))</f>
        <v/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24">
        <f>IF(D47="","",IFERROR(D47-TODAY(),0))</f>
        <v/>
      </c>
      <c r="F47" s="8">
        <f>IF(E47="","",IF(E47&lt;15,"URGENT",IF(E47&lt;30,"Attention","")))</f>
        <v/>
      </c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23">
        <f>IF(D48="","",IFERROR(D48-TODAY(),0))</f>
        <v/>
      </c>
      <c r="F48" s="5">
        <f>IF(E48="","",IF(E48&lt;15,"URGENT",IF(E48&lt;30,"Attention","")))</f>
        <v/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24">
        <f>IF(D49="","",IFERROR(D49-TODAY(),0))</f>
        <v/>
      </c>
      <c r="F49" s="8">
        <f>IF(E49="","",IF(E49&lt;15,"URGENT",IF(E49&lt;30,"Attention","")))</f>
        <v/>
      </c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23">
        <f>IF(D50="","",IFERROR(D50-TODAY(),0))</f>
        <v/>
      </c>
      <c r="F50" s="5">
        <f>IF(E50="","",IF(E50&lt;15,"URGENT",IF(E50&lt;30,"Attention","")))</f>
        <v/>
      </c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24">
        <f>IF(D51="","",IFERROR(D51-TODAY(),0))</f>
        <v/>
      </c>
      <c r="F51" s="8">
        <f>IF(E51="","",IF(E51&lt;15,"URGENT",IF(E51&lt;30,"Attention","")))</f>
        <v/>
      </c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23">
        <f>IF(D52="","",IFERROR(D52-TODAY(),0))</f>
        <v/>
      </c>
      <c r="F52" s="5">
        <f>IF(E52="","",IF(E52&lt;15,"URGENT",IF(E52&lt;30,"Attention","")))</f>
        <v/>
      </c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24">
        <f>IF(D53="","",IFERROR(D53-TODAY(),0))</f>
        <v/>
      </c>
      <c r="F53" s="8">
        <f>IF(E53="","",IF(E53&lt;15,"URGENT",IF(E53&lt;30,"Attention","")))</f>
        <v/>
      </c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23">
        <f>IF(D54="","",IFERROR(D54-TODAY(),0))</f>
        <v/>
      </c>
      <c r="F54" s="5">
        <f>IF(E54="","",IF(E54&lt;15,"URGENT",IF(E54&lt;30,"Attention","")))</f>
        <v/>
      </c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24">
        <f>IF(D55="","",IFERROR(D55-TODAY(),0))</f>
        <v/>
      </c>
      <c r="F55" s="8">
        <f>IF(E55="","",IF(E55&lt;15,"URGENT",IF(E55&lt;30,"Attention","")))</f>
        <v/>
      </c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23">
        <f>IF(D56="","",IFERROR(D56-TODAY(),0))</f>
        <v/>
      </c>
      <c r="F56" s="5">
        <f>IF(E56="","",IF(E56&lt;15,"URGENT",IF(E56&lt;30,"Attention","")))</f>
        <v/>
      </c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24">
        <f>IF(D57="","",IFERROR(D57-TODAY(),0))</f>
        <v/>
      </c>
      <c r="F57" s="8">
        <f>IF(E57="","",IF(E57&lt;15,"URGENT",IF(E57&lt;30,"Attention","")))</f>
        <v/>
      </c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23">
        <f>IF(D58="","",IFERROR(D58-TODAY(),0))</f>
        <v/>
      </c>
      <c r="F58" s="5">
        <f>IF(E58="","",IF(E58&lt;15,"URGENT",IF(E58&lt;30,"Attention","")))</f>
        <v/>
      </c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24">
        <f>IF(D59="","",IFERROR(D59-TODAY(),0))</f>
        <v/>
      </c>
      <c r="F59" s="8">
        <f>IF(E59="","",IF(E59&lt;15,"URGENT",IF(E59&lt;30,"Attention","")))</f>
        <v/>
      </c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23">
        <f>IF(D60="","",IFERROR(D60-TODAY(),0))</f>
        <v/>
      </c>
      <c r="F60" s="5">
        <f>IF(E60="","",IF(E60&lt;15,"URGENT",IF(E60&lt;30,"Attention","")))</f>
        <v/>
      </c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24">
        <f>IF(D61="","",IFERROR(D61-TODAY(),0))</f>
        <v/>
      </c>
      <c r="F61" s="8">
        <f>IF(E61="","",IF(E61&lt;15,"URGENT",IF(E61&lt;30,"Attention","")))</f>
        <v/>
      </c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23">
        <f>IF(D62="","",IFERROR(D62-TODAY(),0))</f>
        <v/>
      </c>
      <c r="F62" s="5">
        <f>IF(E62="","",IF(E62&lt;15,"URGENT",IF(E62&lt;30,"Attention","")))</f>
        <v/>
      </c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24">
        <f>IF(D63="","",IFERROR(D63-TODAY(),0))</f>
        <v/>
      </c>
      <c r="F63" s="8">
        <f>IF(E63="","",IF(E63&lt;15,"URGENT",IF(E63&lt;30,"Attention","")))</f>
        <v/>
      </c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23">
        <f>IF(D64="","",IFERROR(D64-TODAY(),0))</f>
        <v/>
      </c>
      <c r="F64" s="5">
        <f>IF(E64="","",IF(E64&lt;15,"URGENT",IF(E64&lt;30,"Attention","")))</f>
        <v/>
      </c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24">
        <f>IF(D65="","",IFERROR(D65-TODAY(),0))</f>
        <v/>
      </c>
      <c r="F65" s="8">
        <f>IF(E65="","",IF(E65&lt;15,"URGENT",IF(E65&lt;30,"Attention","")))</f>
        <v/>
      </c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23">
        <f>IF(D66="","",IFERROR(D66-TODAY(),0))</f>
        <v/>
      </c>
      <c r="F66" s="5">
        <f>IF(E66="","",IF(E66&lt;15,"URGENT",IF(E66&lt;30,"Attention","")))</f>
        <v/>
      </c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24">
        <f>IF(D67="","",IFERROR(D67-TODAY(),0))</f>
        <v/>
      </c>
      <c r="F67" s="8">
        <f>IF(E67="","",IF(E67&lt;15,"URGENT",IF(E67&lt;30,"Attention","")))</f>
        <v/>
      </c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23">
        <f>IF(D68="","",IFERROR(D68-TODAY(),0))</f>
        <v/>
      </c>
      <c r="F68" s="5">
        <f>IF(E68="","",IF(E68&lt;15,"URGENT",IF(E68&lt;30,"Attention","")))</f>
        <v/>
      </c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24">
        <f>IF(D69="","",IFERROR(D69-TODAY(),0))</f>
        <v/>
      </c>
      <c r="F69" s="8">
        <f>IF(E69="","",IF(E69&lt;15,"URGENT",IF(E69&lt;30,"Attention","")))</f>
        <v/>
      </c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23">
        <f>IF(D70="","",IFERROR(D70-TODAY(),0))</f>
        <v/>
      </c>
      <c r="F70" s="5">
        <f>IF(E70="","",IF(E70&lt;15,"URGENT",IF(E70&lt;30,"Attention","")))</f>
        <v/>
      </c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24">
        <f>IF(D71="","",IFERROR(D71-TODAY(),0))</f>
        <v/>
      </c>
      <c r="F71" s="8">
        <f>IF(E71="","",IF(E71&lt;15,"URGENT",IF(E71&lt;30,"Attention","")))</f>
        <v/>
      </c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23">
        <f>IF(D72="","",IFERROR(D72-TODAY(),0))</f>
        <v/>
      </c>
      <c r="F72" s="5">
        <f>IF(E72="","",IF(E72&lt;15,"URGENT",IF(E72&lt;30,"Attention","")))</f>
        <v/>
      </c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24">
        <f>IF(D73="","",IFERROR(D73-TODAY(),0))</f>
        <v/>
      </c>
      <c r="F73" s="8">
        <f>IF(E73="","",IF(E73&lt;15,"URGENT",IF(E73&lt;30,"Attention","")))</f>
        <v/>
      </c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23">
        <f>IF(D74="","",IFERROR(D74-TODAY(),0))</f>
        <v/>
      </c>
      <c r="F74" s="5">
        <f>IF(E74="","",IF(E74&lt;15,"URGENT",IF(E74&lt;30,"Attention","")))</f>
        <v/>
      </c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24">
        <f>IF(D75="","",IFERROR(D75-TODAY(),0))</f>
        <v/>
      </c>
      <c r="F75" s="8">
        <f>IF(E75="","",IF(E75&lt;15,"URGENT",IF(E75&lt;30,"Attention","")))</f>
        <v/>
      </c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23">
        <f>IF(D76="","",IFERROR(D76-TODAY(),0))</f>
        <v/>
      </c>
      <c r="F76" s="5">
        <f>IF(E76="","",IF(E76&lt;15,"URGENT",IF(E76&lt;30,"Attention","")))</f>
        <v/>
      </c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24">
        <f>IF(D77="","",IFERROR(D77-TODAY(),0))</f>
        <v/>
      </c>
      <c r="F77" s="8">
        <f>IF(E77="","",IF(E77&lt;15,"URGENT",IF(E77&lt;30,"Attention","")))</f>
        <v/>
      </c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23">
        <f>IF(D78="","",IFERROR(D78-TODAY(),0))</f>
        <v/>
      </c>
      <c r="F78" s="5">
        <f>IF(E78="","",IF(E78&lt;15,"URGENT",IF(E78&lt;30,"Attention","")))</f>
        <v/>
      </c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24">
        <f>IF(D79="","",IFERROR(D79-TODAY(),0))</f>
        <v/>
      </c>
      <c r="F79" s="8">
        <f>IF(E79="","",IF(E79&lt;15,"URGENT",IF(E79&lt;30,"Attention","")))</f>
        <v/>
      </c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23">
        <f>IF(D80="","",IFERROR(D80-TODAY(),0))</f>
        <v/>
      </c>
      <c r="F80" s="5">
        <f>IF(E80="","",IF(E80&lt;15,"URGENT",IF(E80&lt;30,"Attention","")))</f>
        <v/>
      </c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24">
        <f>IF(D81="","",IFERROR(D81-TODAY(),0))</f>
        <v/>
      </c>
      <c r="F81" s="8">
        <f>IF(E81="","",IF(E81&lt;15,"URGENT",IF(E81&lt;30,"Attention","")))</f>
        <v/>
      </c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23">
        <f>IF(D82="","",IFERROR(D82-TODAY(),0))</f>
        <v/>
      </c>
      <c r="F82" s="5">
        <f>IF(E82="","",IF(E82&lt;15,"URGENT",IF(E82&lt;30,"Attention","")))</f>
        <v/>
      </c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24">
        <f>IF(D83="","",IFERROR(D83-TODAY(),0))</f>
        <v/>
      </c>
      <c r="F83" s="8">
        <f>IF(E83="","",IF(E83&lt;15,"URGENT",IF(E83&lt;30,"Attention","")))</f>
        <v/>
      </c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23">
        <f>IF(D84="","",IFERROR(D84-TODAY(),0))</f>
        <v/>
      </c>
      <c r="F84" s="5">
        <f>IF(E84="","",IF(E84&lt;15,"URGENT",IF(E84&lt;30,"Attention","")))</f>
        <v/>
      </c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24">
        <f>IF(D85="","",IFERROR(D85-TODAY(),0))</f>
        <v/>
      </c>
      <c r="F85" s="8">
        <f>IF(E85="","",IF(E85&lt;15,"URGENT",IF(E85&lt;30,"Attention","")))</f>
        <v/>
      </c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23">
        <f>IF(D86="","",IFERROR(D86-TODAY(),0))</f>
        <v/>
      </c>
      <c r="F86" s="5">
        <f>IF(E86="","",IF(E86&lt;15,"URGENT",IF(E86&lt;30,"Attention","")))</f>
        <v/>
      </c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24">
        <f>IF(D87="","",IFERROR(D87-TODAY(),0))</f>
        <v/>
      </c>
      <c r="F87" s="8">
        <f>IF(E87="","",IF(E87&lt;15,"URGENT",IF(E87&lt;30,"Attention","")))</f>
        <v/>
      </c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23">
        <f>IF(D88="","",IFERROR(D88-TODAY(),0))</f>
        <v/>
      </c>
      <c r="F88" s="5">
        <f>IF(E88="","",IF(E88&lt;15,"URGENT",IF(E88&lt;30,"Attention","")))</f>
        <v/>
      </c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24">
        <f>IF(D89="","",IFERROR(D89-TODAY(),0))</f>
        <v/>
      </c>
      <c r="F89" s="8">
        <f>IF(E89="","",IF(E89&lt;15,"URGENT",IF(E89&lt;30,"Attention","")))</f>
        <v/>
      </c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23">
        <f>IF(D90="","",IFERROR(D90-TODAY(),0))</f>
        <v/>
      </c>
      <c r="F90" s="5">
        <f>IF(E90="","",IF(E90&lt;15,"URGENT",IF(E90&lt;30,"Attention","")))</f>
        <v/>
      </c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24">
        <f>IF(D91="","",IFERROR(D91-TODAY(),0))</f>
        <v/>
      </c>
      <c r="F91" s="8">
        <f>IF(E91="","",IF(E91&lt;15,"URGENT",IF(E91&lt;30,"Attention","")))</f>
        <v/>
      </c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23">
        <f>IF(D92="","",IFERROR(D92-TODAY(),0))</f>
        <v/>
      </c>
      <c r="F92" s="5">
        <f>IF(E92="","",IF(E92&lt;15,"URGENT",IF(E92&lt;30,"Attention","")))</f>
        <v/>
      </c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24">
        <f>IF(D93="","",IFERROR(D93-TODAY(),0))</f>
        <v/>
      </c>
      <c r="F93" s="8">
        <f>IF(E93="","",IF(E93&lt;15,"URGENT",IF(E93&lt;30,"Attention","")))</f>
        <v/>
      </c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23">
        <f>IF(D94="","",IFERROR(D94-TODAY(),0))</f>
        <v/>
      </c>
      <c r="F94" s="5">
        <f>IF(E94="","",IF(E94&lt;15,"URGENT",IF(E94&lt;30,"Attention","")))</f>
        <v/>
      </c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24">
        <f>IF(D95="","",IFERROR(D95-TODAY(),0))</f>
        <v/>
      </c>
      <c r="F95" s="8">
        <f>IF(E95="","",IF(E95&lt;15,"URGENT",IF(E95&lt;30,"Attention","")))</f>
        <v/>
      </c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23">
        <f>IF(D96="","",IFERROR(D96-TODAY(),0))</f>
        <v/>
      </c>
      <c r="F96" s="5">
        <f>IF(E96="","",IF(E96&lt;15,"URGENT",IF(E96&lt;30,"Attention","")))</f>
        <v/>
      </c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24">
        <f>IF(D97="","",IFERROR(D97-TODAY(),0))</f>
        <v/>
      </c>
      <c r="F97" s="8">
        <f>IF(E97="","",IF(E97&lt;15,"URGENT",IF(E97&lt;30,"Attention","")))</f>
        <v/>
      </c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23">
        <f>IF(D98="","",IFERROR(D98-TODAY(),0))</f>
        <v/>
      </c>
      <c r="F98" s="5">
        <f>IF(E98="","",IF(E98&lt;15,"URGENT",IF(E98&lt;30,"Attention","")))</f>
        <v/>
      </c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24">
        <f>IF(D99="","",IFERROR(D99-TODAY(),0))</f>
        <v/>
      </c>
      <c r="F99" s="8">
        <f>IF(E99="","",IF(E99&lt;15,"URGENT",IF(E99&lt;30,"Attention","")))</f>
        <v/>
      </c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23">
        <f>IF(D100="","",IFERROR(D100-TODAY(),0))</f>
        <v/>
      </c>
      <c r="F100" s="5">
        <f>IF(E100="","",IF(E100&lt;15,"URGENT",IF(E100&lt;30,"Attention","")))</f>
        <v/>
      </c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24">
        <f>IF(D101="","",IFERROR(D101-TODAY(),0))</f>
        <v/>
      </c>
      <c r="F101" s="8">
        <f>IF(E101="","",IF(E101&lt;15,"URGENT",IF(E101&lt;30,"Attention","")))</f>
        <v/>
      </c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23">
        <f>IF(D102="","",IFERROR(D102-TODAY(),0))</f>
        <v/>
      </c>
      <c r="F102" s="5">
        <f>IF(E102="","",IF(E102&lt;15,"URGENT",IF(E102&lt;30,"Attention","")))</f>
        <v/>
      </c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24">
        <f>IF(D103="","",IFERROR(D103-TODAY(),0))</f>
        <v/>
      </c>
      <c r="F103" s="8">
        <f>IF(E103="","",IF(E103&lt;15,"URGENT",IF(E103&lt;30,"Attention","")))</f>
        <v/>
      </c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23">
        <f>IF(D104="","",IFERROR(D104-TODAY(),0))</f>
        <v/>
      </c>
      <c r="F104" s="5">
        <f>IF(E104="","",IF(E104&lt;15,"URGENT",IF(E104&lt;30,"Attention","")))</f>
        <v/>
      </c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24">
        <f>IF(D105="","",IFERROR(D105-TODAY(),0))</f>
        <v/>
      </c>
      <c r="F105" s="8">
        <f>IF(E105="","",IF(E105&lt;15,"URGENT",IF(E105&lt;30,"Attention","")))</f>
        <v/>
      </c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23">
        <f>IF(D106="","",IFERROR(D106-TODAY(),0))</f>
        <v/>
      </c>
      <c r="F106" s="5">
        <f>IF(E106="","",IF(E106&lt;15,"URGENT",IF(E106&lt;30,"Attention","")))</f>
        <v/>
      </c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24">
        <f>IF(D107="","",IFERROR(D107-TODAY(),0))</f>
        <v/>
      </c>
      <c r="F107" s="8">
        <f>IF(E107="","",IF(E107&lt;15,"URGENT",IF(E107&lt;30,"Attention","")))</f>
        <v/>
      </c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23">
        <f>IF(D108="","",IFERROR(D108-TODAY(),0))</f>
        <v/>
      </c>
      <c r="F108" s="5">
        <f>IF(E108="","",IF(E108&lt;15,"URGENT",IF(E108&lt;30,"Attention","")))</f>
        <v/>
      </c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24">
        <f>IF(D109="","",IFERROR(D109-TODAY(),0))</f>
        <v/>
      </c>
      <c r="F109" s="8">
        <f>IF(E109="","",IF(E109&lt;15,"URGENT",IF(E109&lt;30,"Attention","")))</f>
        <v/>
      </c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23">
        <f>IF(D110="","",IFERROR(D110-TODAY(),0))</f>
        <v/>
      </c>
      <c r="F110" s="5">
        <f>IF(E110="","",IF(E110&lt;15,"URGENT",IF(E110&lt;30,"Attention","")))</f>
        <v/>
      </c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24">
        <f>IF(D111="","",IFERROR(D111-TODAY(),0))</f>
        <v/>
      </c>
      <c r="F111" s="8">
        <f>IF(E111="","",IF(E111&lt;15,"URGENT",IF(E111&lt;30,"Attention","")))</f>
        <v/>
      </c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23">
        <f>IF(D112="","",IFERROR(D112-TODAY(),0))</f>
        <v/>
      </c>
      <c r="F112" s="5">
        <f>IF(E112="","",IF(E112&lt;15,"URGENT",IF(E112&lt;30,"Attention","")))</f>
        <v/>
      </c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24">
        <f>IF(D113="","",IFERROR(D113-TODAY(),0))</f>
        <v/>
      </c>
      <c r="F113" s="8">
        <f>IF(E113="","",IF(E113&lt;15,"URGENT",IF(E113&lt;30,"Attention","")))</f>
        <v/>
      </c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23">
        <f>IF(D114="","",IFERROR(D114-TODAY(),0))</f>
        <v/>
      </c>
      <c r="F114" s="5">
        <f>IF(E114="","",IF(E114&lt;15,"URGENT",IF(E114&lt;30,"Attention","")))</f>
        <v/>
      </c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24">
        <f>IF(D115="","",IFERROR(D115-TODAY(),0))</f>
        <v/>
      </c>
      <c r="F115" s="8">
        <f>IF(E115="","",IF(E115&lt;15,"URGENT",IF(E115&lt;30,"Attention","")))</f>
        <v/>
      </c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conditionalFormatting sqref="E6:E115">
    <cfRule type="cellIs" priority="1" operator="lessThan" dxfId="0">
      <formula>15</formula>
    </cfRule>
    <cfRule type="cellIs" priority="2" operator="between" dxfId="2">
      <formula>15</formula>
      <formula>29</formula>
    </cfRule>
    <cfRule type="cellIs" priority="3" operator="greaterThanOrEqual" dxfId="1">
      <formula>30</formula>
    </cfRule>
  </conditionalFormatting>
  <conditionalFormatting sqref="F6:F115">
    <cfRule type="cellIs" priority="4" operator="equal" dxfId="0">
      <formula>"URGENT"</formula>
    </cfRule>
    <cfRule type="cellIs" priority="5" operator="equal" dxfId="2">
      <formula>"Attention"</formula>
    </cfRule>
  </conditionalFormatting>
  <dataValidations count="1">
    <dataValidation sqref="B6:B115" showDropDown="0" showInputMessage="0" showErrorMessage="0" allowBlank="1" errorTitle="Erreur" error="Valeur invalide" promptTitle="" prompt="Choisir dans la liste: " type="list">
      <formula1>'F02 - _Lists'!$C$6:$C$20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N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8" customHeight="1"/>
    <row r="2" ht="30" customHeight="1">
      <c r="A2" s="1" t="inlineStr">
        <is>
          <t>17-MATRICE STAGIAIRES × DÉPARTEMENTS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Département</t>
        </is>
      </c>
      <c r="B5" s="4" t="inlineStr">
        <is>
          <t>Total</t>
        </is>
      </c>
      <c r="C5" s="4" t="inlineStr">
        <is>
          <t>Janv.</t>
        </is>
      </c>
      <c r="D5" s="4" t="inlineStr">
        <is>
          <t>Fév.</t>
        </is>
      </c>
      <c r="E5" s="4" t="inlineStr">
        <is>
          <t>Mars</t>
        </is>
      </c>
      <c r="F5" s="4" t="inlineStr">
        <is>
          <t>Avr.</t>
        </is>
      </c>
      <c r="G5" s="4" t="inlineStr">
        <is>
          <t>Mai</t>
        </is>
      </c>
      <c r="H5" s="4" t="inlineStr">
        <is>
          <t>Juin</t>
        </is>
      </c>
      <c r="I5" s="4" t="inlineStr">
        <is>
          <t>Juil.</t>
        </is>
      </c>
      <c r="J5" s="4" t="inlineStr">
        <is>
          <t>Août</t>
        </is>
      </c>
      <c r="K5" s="4" t="inlineStr">
        <is>
          <t>Sept.</t>
        </is>
      </c>
      <c r="L5" s="4" t="inlineStr">
        <is>
          <t>Oct.</t>
        </is>
      </c>
      <c r="M5" s="4" t="inlineStr">
        <is>
          <t>Nov.</t>
        </is>
      </c>
      <c r="N5" s="4" t="inlineStr">
        <is>
          <t>Déc.</t>
        </is>
      </c>
    </row>
    <row r="6" ht="22" customHeight="1">
      <c r="A6" s="5" t="inlineStr">
        <is>
          <t>Direction Générale</t>
        </is>
      </c>
      <c r="B6" s="25">
        <f>SUM(C6:N6)</f>
        <v/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0</v>
      </c>
      <c r="J6" s="17" t="n">
        <v>0</v>
      </c>
      <c r="K6" s="17" t="n">
        <v>0</v>
      </c>
      <c r="L6" s="17" t="n">
        <v>0</v>
      </c>
      <c r="M6" s="17" t="n">
        <v>0</v>
      </c>
      <c r="N6" s="17" t="n">
        <v>0</v>
      </c>
    </row>
    <row r="7" ht="22" customHeight="1">
      <c r="A7" s="8" t="inlineStr">
        <is>
          <t>Ressources Humaines</t>
        </is>
      </c>
      <c r="B7" s="26">
        <f>SUM(C7:N7)</f>
        <v/>
      </c>
      <c r="C7" s="19" t="n">
        <v>1</v>
      </c>
      <c r="D7" s="19" t="n">
        <v>1</v>
      </c>
      <c r="E7" s="19" t="n">
        <v>1</v>
      </c>
      <c r="F7" s="19" t="n">
        <v>1</v>
      </c>
      <c r="G7" s="19" t="n">
        <v>1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1</v>
      </c>
      <c r="N7" s="19" t="n">
        <v>1</v>
      </c>
    </row>
    <row r="8" ht="22" customHeight="1">
      <c r="A8" s="5" t="inlineStr">
        <is>
          <t>Finance &amp; Comptabilité</t>
        </is>
      </c>
      <c r="B8" s="25">
        <f>SUM(C8:N8)</f>
        <v/>
      </c>
      <c r="C8" s="17" t="n">
        <v>1</v>
      </c>
      <c r="D8" s="17" t="n">
        <v>1</v>
      </c>
      <c r="E8" s="17" t="n">
        <v>1</v>
      </c>
      <c r="F8" s="17" t="n">
        <v>1</v>
      </c>
      <c r="G8" s="17" t="n">
        <v>1</v>
      </c>
      <c r="H8" s="17" t="n">
        <v>1</v>
      </c>
      <c r="I8" s="17" t="n">
        <v>1</v>
      </c>
      <c r="J8" s="17" t="n">
        <v>1</v>
      </c>
      <c r="K8" s="17" t="n">
        <v>1</v>
      </c>
      <c r="L8" s="17" t="n">
        <v>1</v>
      </c>
      <c r="M8" s="17" t="n">
        <v>1</v>
      </c>
      <c r="N8" s="17" t="n">
        <v>1</v>
      </c>
    </row>
    <row r="9" ht="22" customHeight="1">
      <c r="A9" s="8" t="inlineStr">
        <is>
          <t>Marketing &amp; Communication</t>
        </is>
      </c>
      <c r="B9" s="26">
        <f>SUM(C9:N9)</f>
        <v/>
      </c>
      <c r="C9" s="19" t="n">
        <v>1</v>
      </c>
      <c r="D9" s="19" t="n">
        <v>1</v>
      </c>
      <c r="E9" s="19" t="n">
        <v>1</v>
      </c>
      <c r="F9" s="19" t="n">
        <v>1</v>
      </c>
      <c r="G9" s="19" t="n">
        <v>1</v>
      </c>
      <c r="H9" s="19" t="n">
        <v>0</v>
      </c>
      <c r="I9" s="19" t="n">
        <v>1</v>
      </c>
      <c r="J9" s="19" t="n">
        <v>1</v>
      </c>
      <c r="K9" s="19" t="n">
        <v>1</v>
      </c>
      <c r="L9" s="19" t="n">
        <v>1</v>
      </c>
      <c r="M9" s="19" t="n">
        <v>1</v>
      </c>
      <c r="N9" s="19" t="n">
        <v>1</v>
      </c>
    </row>
    <row r="10" ht="22" customHeight="1">
      <c r="A10" s="5" t="inlineStr">
        <is>
          <t>Informatique</t>
        </is>
      </c>
      <c r="B10" s="25">
        <f>SUM(C10:N10)</f>
        <v/>
      </c>
      <c r="C10" s="17" t="n">
        <v>1</v>
      </c>
      <c r="D10" s="17" t="n">
        <v>2</v>
      </c>
      <c r="E10" s="17" t="n">
        <v>2</v>
      </c>
      <c r="F10" s="17" t="n">
        <v>2</v>
      </c>
      <c r="G10" s="17" t="n">
        <v>2</v>
      </c>
      <c r="H10" s="17" t="n">
        <v>2</v>
      </c>
      <c r="I10" s="17" t="n">
        <v>2</v>
      </c>
      <c r="J10" s="17" t="n">
        <v>2</v>
      </c>
      <c r="K10" s="17" t="n">
        <v>1</v>
      </c>
      <c r="L10" s="17" t="n">
        <v>1</v>
      </c>
      <c r="M10" s="17" t="n">
        <v>1</v>
      </c>
      <c r="N10" s="17" t="n">
        <v>2</v>
      </c>
    </row>
    <row r="11" ht="22" customHeight="1">
      <c r="A11" s="8" t="inlineStr">
        <is>
          <t>Commercial</t>
        </is>
      </c>
      <c r="B11" s="26">
        <f>SUM(C11:N11)</f>
        <v/>
      </c>
      <c r="C11" s="19" t="n">
        <v>1</v>
      </c>
      <c r="D11" s="19" t="n">
        <v>1</v>
      </c>
      <c r="E11" s="19" t="n">
        <v>1</v>
      </c>
      <c r="F11" s="19" t="n">
        <v>1</v>
      </c>
      <c r="G11" s="19" t="n">
        <v>1</v>
      </c>
      <c r="H11" s="19" t="n">
        <v>1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1</v>
      </c>
      <c r="N11" s="19" t="n">
        <v>1</v>
      </c>
    </row>
    <row r="12" ht="22" customHeight="1">
      <c r="A12" s="5" t="inlineStr">
        <is>
          <t>Logistique &amp; Approvisionnement</t>
        </is>
      </c>
      <c r="B12" s="25">
        <f>SUM(C12:N12)</f>
        <v/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</row>
    <row r="13" ht="22" customHeight="1">
      <c r="A13" s="8" t="inlineStr">
        <is>
          <t>Réception &amp; Front Office</t>
        </is>
      </c>
      <c r="B13" s="26">
        <f>SUM(C13:N13)</f>
        <v/>
      </c>
      <c r="C13" s="19" t="n">
        <v>1</v>
      </c>
      <c r="D13" s="19" t="n">
        <v>1</v>
      </c>
      <c r="E13" s="19" t="n">
        <v>1</v>
      </c>
      <c r="F13" s="19" t="n">
        <v>1</v>
      </c>
      <c r="G13" s="19" t="n">
        <v>1</v>
      </c>
      <c r="H13" s="19" t="n">
        <v>1</v>
      </c>
      <c r="I13" s="19" t="n">
        <v>1</v>
      </c>
      <c r="J13" s="19" t="n">
        <v>1</v>
      </c>
      <c r="K13" s="19" t="n">
        <v>1</v>
      </c>
      <c r="L13" s="19" t="n">
        <v>1</v>
      </c>
      <c r="M13" s="19" t="n">
        <v>1</v>
      </c>
      <c r="N13" s="19" t="n">
        <v>1</v>
      </c>
    </row>
    <row r="14" ht="22" customHeight="1">
      <c r="A14" s="5" t="inlineStr">
        <is>
          <t>Cuisine &amp; Restauration</t>
        </is>
      </c>
      <c r="B14" s="25">
        <f>SUM(C14:N14)</f>
        <v/>
      </c>
      <c r="C14" s="17" t="n">
        <v>2</v>
      </c>
      <c r="D14" s="17" t="n">
        <v>2</v>
      </c>
      <c r="E14" s="17" t="n">
        <v>3</v>
      </c>
      <c r="F14" s="17" t="n">
        <v>3</v>
      </c>
      <c r="G14" s="17" t="n">
        <v>2</v>
      </c>
      <c r="H14" s="17" t="n">
        <v>2</v>
      </c>
      <c r="I14" s="17" t="n">
        <v>2</v>
      </c>
      <c r="J14" s="17" t="n">
        <v>2</v>
      </c>
      <c r="K14" s="17" t="n">
        <v>1</v>
      </c>
      <c r="L14" s="17" t="n">
        <v>1</v>
      </c>
      <c r="M14" s="17" t="n">
        <v>2</v>
      </c>
      <c r="N14" s="17" t="n">
        <v>3</v>
      </c>
    </row>
    <row r="15" ht="22" customHeight="1">
      <c r="A15" s="8" t="inlineStr">
        <is>
          <t>Hébergement</t>
        </is>
      </c>
      <c r="B15" s="26">
        <f>SUM(C15:N15)</f>
        <v/>
      </c>
      <c r="C15" s="19" t="n">
        <v>0</v>
      </c>
      <c r="D15" s="19" t="n">
        <v>0</v>
      </c>
      <c r="E15" s="19" t="n">
        <v>1</v>
      </c>
      <c r="F15" s="19" t="n">
        <v>1</v>
      </c>
      <c r="G15" s="19" t="n">
        <v>1</v>
      </c>
      <c r="H15" s="19" t="n">
        <v>1</v>
      </c>
      <c r="I15" s="19" t="n">
        <v>1</v>
      </c>
      <c r="J15" s="19" t="n">
        <v>1</v>
      </c>
      <c r="K15" s="19" t="n">
        <v>0</v>
      </c>
      <c r="L15" s="19" t="n">
        <v>0</v>
      </c>
      <c r="M15" s="19" t="n">
        <v>1</v>
      </c>
      <c r="N15" s="19" t="n">
        <v>1</v>
      </c>
    </row>
    <row r="16" ht="22" customHeight="1">
      <c r="A16" s="5" t="inlineStr">
        <is>
          <t>Entretien &amp; Maintenance</t>
        </is>
      </c>
      <c r="B16" s="25">
        <f>SUM(C16:N16)</f>
        <v/>
      </c>
      <c r="C16" s="17" t="n">
        <v>1</v>
      </c>
      <c r="D16" s="17" t="n">
        <v>1</v>
      </c>
      <c r="E16" s="17" t="n">
        <v>1</v>
      </c>
      <c r="F16" s="17" t="n">
        <v>1</v>
      </c>
      <c r="G16" s="17" t="n">
        <v>1</v>
      </c>
      <c r="H16" s="17" t="n">
        <v>1</v>
      </c>
      <c r="I16" s="17" t="n">
        <v>1</v>
      </c>
      <c r="J16" s="17" t="n">
        <v>1</v>
      </c>
      <c r="K16" s="17" t="n">
        <v>1</v>
      </c>
      <c r="L16" s="17" t="n">
        <v>1</v>
      </c>
      <c r="M16" s="17" t="n">
        <v>1</v>
      </c>
      <c r="N16" s="17" t="n">
        <v>1</v>
      </c>
    </row>
    <row r="17" ht="22" customHeight="1">
      <c r="A17" s="8" t="inlineStr">
        <is>
          <t>Sécurité</t>
        </is>
      </c>
      <c r="B17" s="26">
        <f>SUM(C17:N17)</f>
        <v/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0</v>
      </c>
      <c r="J17" s="19" t="n">
        <v>0</v>
      </c>
      <c r="K17" s="19" t="n">
        <v>0</v>
      </c>
      <c r="L17" s="19" t="n">
        <v>0</v>
      </c>
      <c r="M17" s="19" t="n">
        <v>0</v>
      </c>
      <c r="N17" s="19" t="n">
        <v>0</v>
      </c>
    </row>
    <row r="18" ht="22" customHeight="1">
      <c r="A18" s="5" t="inlineStr">
        <is>
          <t>Service Client</t>
        </is>
      </c>
      <c r="B18" s="25">
        <f>SUM(C18:N18)</f>
        <v/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</row>
    <row r="19" ht="22" customHeight="1">
      <c r="A19" s="8" t="inlineStr">
        <is>
          <t>Animation &amp; Loisirs</t>
        </is>
      </c>
      <c r="B19" s="26">
        <f>SUM(C19:N19)</f>
        <v/>
      </c>
      <c r="C19" s="19" t="n">
        <v>0</v>
      </c>
      <c r="D19" s="19" t="n">
        <v>0</v>
      </c>
      <c r="E19" s="19" t="n">
        <v>0</v>
      </c>
      <c r="F19" s="19" t="n">
        <v>1</v>
      </c>
      <c r="G19" s="19" t="n">
        <v>1</v>
      </c>
      <c r="H19" s="19" t="n">
        <v>1</v>
      </c>
      <c r="I19" s="19" t="n">
        <v>1</v>
      </c>
      <c r="J19" s="19" t="n">
        <v>1</v>
      </c>
      <c r="K19" s="19" t="n">
        <v>0</v>
      </c>
      <c r="L19" s="19" t="n">
        <v>0</v>
      </c>
      <c r="M19" s="19" t="n">
        <v>0</v>
      </c>
      <c r="N19" s="19" t="n">
        <v>1</v>
      </c>
    </row>
    <row r="20" ht="22" customHeight="1">
      <c r="A20" s="5" t="inlineStr">
        <is>
          <t>Spa &amp; Bien-être</t>
        </is>
      </c>
      <c r="B20" s="25">
        <f>SUM(C20:N20)</f>
        <v/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</row>
    <row r="21" ht="26" customHeight="1">
      <c r="A21" s="27" t="inlineStr">
        <is>
          <t>TOTAL MENSUEL</t>
        </is>
      </c>
      <c r="B21" s="28">
        <f>SUM(B6:B20)</f>
        <v/>
      </c>
      <c r="C21" s="28">
        <f>SUM(C6:C20)</f>
        <v/>
      </c>
      <c r="D21" s="28">
        <f>SUM(D6:D20)</f>
        <v/>
      </c>
      <c r="E21" s="28">
        <f>SUM(E6:E20)</f>
        <v/>
      </c>
      <c r="F21" s="28">
        <f>SUM(F6:F20)</f>
        <v/>
      </c>
      <c r="G21" s="28">
        <f>SUM(G6:G20)</f>
        <v/>
      </c>
      <c r="H21" s="28">
        <f>SUM(H6:H20)</f>
        <v/>
      </c>
      <c r="I21" s="28">
        <f>SUM(I6:I20)</f>
        <v/>
      </c>
      <c r="J21" s="28">
        <f>SUM(J6:J20)</f>
        <v/>
      </c>
      <c r="K21" s="28">
        <f>SUM(K6:K20)</f>
        <v/>
      </c>
      <c r="L21" s="28">
        <f>SUM(L6:L20)</f>
        <v/>
      </c>
      <c r="M21" s="28">
        <f>SUM(M6:M20)</f>
        <v/>
      </c>
      <c r="N21" s="28">
        <f>SUM(N6:N20)</f>
        <v/>
      </c>
    </row>
  </sheetData>
  <mergeCells count="2">
    <mergeCell ref="A3:N3"/>
    <mergeCell ref="A2:N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8" customWidth="1" min="4" max="4"/>
    <col width="16" customWidth="1" min="5" max="5"/>
    <col width="22" customWidth="1" min="6" max="6"/>
    <col width="18" customWidth="1" min="7" max="7"/>
    <col width="18" customWidth="1" min="8" max="8"/>
    <col width="18" customWidth="1" min="9" max="9"/>
    <col width="32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18-TABLEAU DE BORD FINANCIER STAGES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Mois</t>
        </is>
      </c>
      <c r="B5" s="4" t="inlineStr">
        <is>
          <t>Indemnités Stagiaires</t>
        </is>
      </c>
      <c r="C5" s="4" t="inlineStr">
        <is>
          <t>Coûts Administratifs</t>
        </is>
      </c>
      <c r="D5" s="4" t="inlineStr">
        <is>
          <t>Coûts Formation</t>
        </is>
      </c>
      <c r="E5" s="4" t="inlineStr">
        <is>
          <t>Coûts Divers</t>
        </is>
      </c>
      <c r="F5" s="4" t="inlineStr">
        <is>
          <t>Total Coûts (FCFA)</t>
        </is>
      </c>
      <c r="G5" s="4" t="inlineStr">
        <is>
          <t>Budget (FCFA)</t>
        </is>
      </c>
      <c r="H5" s="4" t="inlineStr">
        <is>
          <t>Variance (FCFA)</t>
        </is>
      </c>
      <c r="I5" s="4" t="inlineStr">
        <is>
          <t>Taux Réalisation</t>
        </is>
      </c>
      <c r="J5" s="4" t="inlineStr">
        <is>
          <t>Observations</t>
        </is>
      </c>
      <c r="K5" s="4" t="inlineStr"/>
      <c r="L5" s="4" t="inlineStr"/>
      <c r="M5" s="4" t="inlineStr"/>
      <c r="N5" s="4" t="inlineStr"/>
    </row>
    <row r="6" ht="22" customHeight="1">
      <c r="A6" s="5" t="inlineStr">
        <is>
          <t>Janvier 2025</t>
        </is>
      </c>
      <c r="B6" s="7" t="n">
        <v>560000</v>
      </c>
      <c r="C6" s="7" t="n">
        <v>50000</v>
      </c>
      <c r="D6" s="7" t="n">
        <v>75000</v>
      </c>
      <c r="E6" s="7" t="n">
        <v>20000</v>
      </c>
      <c r="F6" s="23">
        <f>SUM(B6:E6)</f>
        <v/>
      </c>
      <c r="G6" s="7" t="n">
        <v>750000</v>
      </c>
      <c r="H6" s="23">
        <f>IF(G6="","",G6-F6)</f>
        <v/>
      </c>
      <c r="I6" s="21">
        <f>IF(G6="","",IFERROR(F6/G6*100,0))</f>
        <v/>
      </c>
      <c r="J6" s="5" t="inlineStr">
        <is>
          <t>Démarrage année, formation intégration</t>
        </is>
      </c>
      <c r="K6" s="5" t="inlineStr"/>
      <c r="L6" s="5" t="inlineStr"/>
      <c r="M6" s="5" t="inlineStr"/>
      <c r="N6" s="5" t="inlineStr"/>
    </row>
    <row r="7" ht="22" customHeight="1">
      <c r="A7" s="8" t="inlineStr">
        <is>
          <t>Février 2025</t>
        </is>
      </c>
      <c r="B7" s="10" t="n">
        <v>560000</v>
      </c>
      <c r="C7" s="10" t="n">
        <v>50000</v>
      </c>
      <c r="D7" s="10" t="n">
        <v>50000</v>
      </c>
      <c r="E7" s="10" t="n">
        <v>15000</v>
      </c>
      <c r="F7" s="24">
        <f>SUM(B7:E7)</f>
        <v/>
      </c>
      <c r="G7" s="10" t="n">
        <v>720000</v>
      </c>
      <c r="H7" s="24">
        <f>IF(G7="","",G7-F7)</f>
        <v/>
      </c>
      <c r="I7" s="22">
        <f>IF(G7="","",IFERROR(F7/G7*100,0))</f>
        <v/>
      </c>
      <c r="J7" s="8" t="inlineStr">
        <is>
          <t>Coûts stabilisés</t>
        </is>
      </c>
      <c r="K7" s="8" t="inlineStr"/>
      <c r="L7" s="8" t="inlineStr"/>
      <c r="M7" s="8" t="inlineStr"/>
      <c r="N7" s="8" t="inlineStr"/>
    </row>
    <row r="8" ht="22" customHeight="1">
      <c r="A8" s="5" t="inlineStr">
        <is>
          <t>Mars 2025</t>
        </is>
      </c>
      <c r="B8" s="7" t="n">
        <v>630000</v>
      </c>
      <c r="C8" s="7" t="n">
        <v>55000</v>
      </c>
      <c r="D8" s="7" t="n">
        <v>60000</v>
      </c>
      <c r="E8" s="7" t="n">
        <v>18000</v>
      </c>
      <c r="F8" s="23">
        <f>SUM(B8:E8)</f>
        <v/>
      </c>
      <c r="G8" s="7" t="n">
        <v>800000</v>
      </c>
      <c r="H8" s="23">
        <f>IF(G8="","",G8-F8)</f>
        <v/>
      </c>
      <c r="I8" s="21">
        <f>IF(G8="","",IFERROR(F8/G8*100,0))</f>
        <v/>
      </c>
      <c r="J8" s="5" t="inlineStr">
        <is>
          <t>Arrivée nouvelle stagiaire</t>
        </is>
      </c>
      <c r="K8" s="5" t="inlineStr"/>
      <c r="L8" s="5" t="inlineStr"/>
      <c r="M8" s="5" t="inlineStr"/>
      <c r="N8" s="5" t="inlineStr"/>
    </row>
    <row r="9" ht="22" customHeight="1">
      <c r="A9" s="8" t="inlineStr">
        <is>
          <t>Avril 2025</t>
        </is>
      </c>
      <c r="B9" s="10" t="n">
        <v>630000</v>
      </c>
      <c r="C9" s="10" t="n">
        <v>55000</v>
      </c>
      <c r="D9" s="10" t="n">
        <v>40000</v>
      </c>
      <c r="E9" s="10" t="n">
        <v>12000</v>
      </c>
      <c r="F9" s="24">
        <f>SUM(B9:E9)</f>
        <v/>
      </c>
      <c r="G9" s="10" t="n">
        <v>780000</v>
      </c>
      <c r="H9" s="24">
        <f>IF(G9="","",G9-F9)</f>
        <v/>
      </c>
      <c r="I9" s="22">
        <f>IF(G9="","",IFERROR(F9/G9*100,0))</f>
        <v/>
      </c>
      <c r="J9" s="8" t="inlineStr">
        <is>
          <t>Coûts formation réduits</t>
        </is>
      </c>
      <c r="K9" s="8" t="inlineStr"/>
      <c r="L9" s="8" t="inlineStr"/>
      <c r="M9" s="8" t="inlineStr"/>
      <c r="N9" s="8" t="inlineStr"/>
    </row>
    <row r="10" ht="22" customHeight="1">
      <c r="A10" s="5" t="inlineStr">
        <is>
          <t>Mai 2025</t>
        </is>
      </c>
      <c r="B10" s="7" t="n">
        <v>560000</v>
      </c>
      <c r="C10" s="7" t="n">
        <v>50000</v>
      </c>
      <c r="D10" s="7" t="n">
        <v>45000</v>
      </c>
      <c r="E10" s="7" t="n">
        <v>15000</v>
      </c>
      <c r="F10" s="23">
        <f>SUM(B10:E10)</f>
        <v/>
      </c>
      <c r="G10" s="7" t="n">
        <v>720000</v>
      </c>
      <c r="H10" s="23">
        <f>IF(G10="","",G10-F10)</f>
        <v/>
      </c>
      <c r="I10" s="21">
        <f>IF(G10="","",IFERROR(F10/G10*100,0))</f>
        <v/>
      </c>
      <c r="J10" s="5" t="inlineStr">
        <is>
          <t>Départ stagiaire marketing</t>
        </is>
      </c>
      <c r="K10" s="5" t="inlineStr"/>
      <c r="L10" s="5" t="inlineStr"/>
      <c r="M10" s="5" t="inlineStr"/>
      <c r="N10" s="5" t="inlineStr"/>
    </row>
    <row r="11" ht="22" customHeight="1">
      <c r="A11" s="8" t="inlineStr">
        <is>
          <t>Juin 2025</t>
        </is>
      </c>
      <c r="B11" s="10" t="n">
        <v>490000</v>
      </c>
      <c r="C11" s="10" t="n">
        <v>45000</v>
      </c>
      <c r="D11" s="10" t="n">
        <v>40000</v>
      </c>
      <c r="E11" s="10" t="n">
        <v>10000</v>
      </c>
      <c r="F11" s="24">
        <f>SUM(B11:E11)</f>
        <v/>
      </c>
      <c r="G11" s="10" t="n">
        <v>630000</v>
      </c>
      <c r="H11" s="24">
        <f>IF(G11="","",G11-F11)</f>
        <v/>
      </c>
      <c r="I11" s="22">
        <f>IF(G11="","",IFERROR(F11/G11*100,0))</f>
        <v/>
      </c>
      <c r="J11" s="8" t="inlineStr">
        <is>
          <t>Baisse prévue fin de stage</t>
        </is>
      </c>
      <c r="K11" s="8" t="inlineStr"/>
      <c r="L11" s="8" t="inlineStr"/>
      <c r="M11" s="8" t="inlineStr"/>
      <c r="N11" s="8" t="inlineStr"/>
    </row>
    <row r="12" ht="22" customHeight="1">
      <c r="A12" s="5" t="inlineStr">
        <is>
          <t>Juillet 2025</t>
        </is>
      </c>
      <c r="B12" s="7" t="n">
        <v>560000</v>
      </c>
      <c r="C12" s="7" t="n">
        <v>50000</v>
      </c>
      <c r="D12" s="7" t="n">
        <v>80000</v>
      </c>
      <c r="E12" s="7" t="n">
        <v>20000</v>
      </c>
      <c r="F12" s="23">
        <f>SUM(B12:E12)</f>
        <v/>
      </c>
      <c r="G12" s="7" t="n">
        <v>760000</v>
      </c>
      <c r="H12" s="23">
        <f>IF(G12="","",G12-F12)</f>
        <v/>
      </c>
      <c r="I12" s="21">
        <f>IF(G12="","",IFERROR(F12/G12*100,0))</f>
        <v/>
      </c>
      <c r="J12" s="5" t="inlineStr">
        <is>
          <t>Nouvelles arrivées, formations</t>
        </is>
      </c>
      <c r="K12" s="5" t="inlineStr"/>
      <c r="L12" s="5" t="inlineStr"/>
      <c r="M12" s="5" t="inlineStr"/>
      <c r="N12" s="5" t="inlineStr"/>
    </row>
    <row r="13" ht="22" customHeight="1">
      <c r="A13" s="8" t="inlineStr">
        <is>
          <t>Août 2025</t>
        </is>
      </c>
      <c r="B13" s="10" t="n">
        <v>560000</v>
      </c>
      <c r="C13" s="10" t="n">
        <v>50000</v>
      </c>
      <c r="D13" s="10" t="n">
        <v>50000</v>
      </c>
      <c r="E13" s="10" t="n">
        <v>15000</v>
      </c>
      <c r="F13" s="24">
        <f>SUM(B13:E13)</f>
        <v/>
      </c>
      <c r="G13" s="10" t="n">
        <v>720000</v>
      </c>
      <c r="H13" s="24">
        <f>IF(G13="","",G13-F13)</f>
        <v/>
      </c>
      <c r="I13" s="22">
        <f>IF(G13="","",IFERROR(F13/G13*100,0))</f>
        <v/>
      </c>
      <c r="J13" s="8" t="inlineStr">
        <is>
          <t>Haute saison, coûts stables</t>
        </is>
      </c>
      <c r="K13" s="8" t="inlineStr"/>
      <c r="L13" s="8" t="inlineStr"/>
      <c r="M13" s="8" t="inlineStr"/>
      <c r="N13" s="8" t="inlineStr"/>
    </row>
    <row r="14" ht="22" customHeight="1">
      <c r="A14" s="5" t="inlineStr">
        <is>
          <t>Septembre 2025</t>
        </is>
      </c>
      <c r="B14" s="7" t="n">
        <v>420000</v>
      </c>
      <c r="C14" s="7" t="n">
        <v>40000</v>
      </c>
      <c r="D14" s="7" t="n">
        <v>30000</v>
      </c>
      <c r="E14" s="7" t="n">
        <v>10000</v>
      </c>
      <c r="F14" s="23">
        <f>SUM(B14:E14)</f>
        <v/>
      </c>
      <c r="G14" s="7" t="n">
        <v>550000</v>
      </c>
      <c r="H14" s="23">
        <f>IF(G14="","",G14-F14)</f>
        <v/>
      </c>
      <c r="I14" s="21">
        <f>IF(G14="","",IFERROR(F14/G14*100,0))</f>
        <v/>
      </c>
      <c r="J14" s="5" t="inlineStr">
        <is>
          <t>Départs massifs fin de stage</t>
        </is>
      </c>
      <c r="K14" s="5" t="inlineStr"/>
      <c r="L14" s="5" t="inlineStr"/>
      <c r="M14" s="5" t="inlineStr"/>
      <c r="N14" s="5" t="inlineStr"/>
    </row>
    <row r="15" ht="22" customHeight="1">
      <c r="A15" s="8" t="inlineStr">
        <is>
          <t>Octobre 2025</t>
        </is>
      </c>
      <c r="B15" s="10" t="n">
        <v>420000</v>
      </c>
      <c r="C15" s="10" t="n">
        <v>40000</v>
      </c>
      <c r="D15" s="10" t="n">
        <v>35000</v>
      </c>
      <c r="E15" s="10" t="n">
        <v>12000</v>
      </c>
      <c r="F15" s="24">
        <f>SUM(B15:E15)</f>
        <v/>
      </c>
      <c r="G15" s="10" t="n">
        <v>560000</v>
      </c>
      <c r="H15" s="24">
        <f>IF(G15="","",G15-F15)</f>
        <v/>
      </c>
      <c r="I15" s="22">
        <f>IF(G15="","",IFERROR(F15/G15*100,0))</f>
        <v/>
      </c>
      <c r="J15" s="8" t="inlineStr">
        <is>
          <t>Basse saison</t>
        </is>
      </c>
      <c r="K15" s="8" t="inlineStr"/>
      <c r="L15" s="8" t="inlineStr"/>
      <c r="M15" s="8" t="inlineStr"/>
      <c r="N15" s="8" t="inlineStr"/>
    </row>
    <row r="16" ht="22" customHeight="1">
      <c r="A16" s="5" t="inlineStr">
        <is>
          <t>Novembre 2025</t>
        </is>
      </c>
      <c r="B16" s="7" t="n">
        <v>490000</v>
      </c>
      <c r="C16" s="7" t="n">
        <v>45000</v>
      </c>
      <c r="D16" s="7" t="n">
        <v>40000</v>
      </c>
      <c r="E16" s="7" t="n">
        <v>15000</v>
      </c>
      <c r="F16" s="23">
        <f>SUM(B16:E16)</f>
        <v/>
      </c>
      <c r="G16" s="7" t="n">
        <v>630000</v>
      </c>
      <c r="H16" s="23">
        <f>IF(G16="","",G16-F16)</f>
        <v/>
      </c>
      <c r="I16" s="21">
        <f>IF(G16="","",IFERROR(F16/G16*100,0))</f>
        <v/>
      </c>
      <c r="J16" s="5" t="inlineStr">
        <is>
          <t>Reprise</t>
        </is>
      </c>
      <c r="K16" s="5" t="inlineStr"/>
      <c r="L16" s="5" t="inlineStr"/>
      <c r="M16" s="5" t="inlineStr"/>
      <c r="N16" s="5" t="inlineStr"/>
    </row>
    <row r="17" ht="22" customHeight="1">
      <c r="A17" s="8" t="inlineStr">
        <is>
          <t>Décembre 2025</t>
        </is>
      </c>
      <c r="B17" s="10" t="n">
        <v>630000</v>
      </c>
      <c r="C17" s="10" t="n">
        <v>55000</v>
      </c>
      <c r="D17" s="10" t="n">
        <v>60000</v>
      </c>
      <c r="E17" s="10" t="n">
        <v>20000</v>
      </c>
      <c r="F17" s="24">
        <f>SUM(B17:E17)</f>
        <v/>
      </c>
      <c r="G17" s="10" t="n">
        <v>820000</v>
      </c>
      <c r="H17" s="24">
        <f>IF(G17="","",G17-F17)</f>
        <v/>
      </c>
      <c r="I17" s="22">
        <f>IF(G17="","",IFERROR(F17/G17*100,0))</f>
        <v/>
      </c>
      <c r="J17" s="8" t="inlineStr">
        <is>
          <t>Pic fêtes, max. stagiaires</t>
        </is>
      </c>
      <c r="K17" s="8" t="inlineStr"/>
      <c r="L17" s="8" t="inlineStr"/>
      <c r="M17" s="8" t="inlineStr"/>
      <c r="N17" s="8" t="inlineStr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conditionalFormatting sqref="H6:H17">
    <cfRule type="cellIs" priority="1" operator="lessThan" dxfId="0">
      <formula>0</formula>
    </cfRule>
    <cfRule type="cellIs" priority="2" operator="greaterThanOrEqual" dxfId="1">
      <formula>0</formula>
    </cfRule>
  </conditionalFormatting>
  <dataValidations count="1">
    <dataValidation sqref="A6:A115" showDropDown="0" showInputMessage="0" showErrorMessage="0" allowBlank="1" errorTitle="Erreur" error="Valeur invalide" promptTitle="" prompt="Choisir dans la liste: " type="list">
      <formula1>'F02 - _Lists'!$O$6:$O$17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18" customWidth="1" min="4" max="4"/>
    <col width="14" customWidth="1" min="5" max="5"/>
    <col width="14" customWidth="1" min="6" max="6"/>
    <col width="14" customWidth="1" min="7" max="7"/>
    <col width="16" customWidth="1" min="8" max="8"/>
    <col width="36" customWidth="1" min="9" max="9"/>
    <col width="2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19-INDICATEURS PERFORMANCE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Indicateur</t>
        </is>
      </c>
      <c r="B5" s="4" t="inlineStr">
        <is>
          <t>Indicateur</t>
        </is>
      </c>
      <c r="C5" s="4" t="inlineStr">
        <is>
          <t>Cible</t>
        </is>
      </c>
      <c r="D5" s="4" t="inlineStr">
        <is>
          <t>Valeur Actuelle</t>
        </is>
      </c>
      <c r="E5" s="4" t="inlineStr">
        <is>
          <t>Écart</t>
        </is>
      </c>
      <c r="F5" s="4" t="inlineStr">
        <is>
          <t>Tendance</t>
        </is>
      </c>
      <c r="G5" s="4" t="inlineStr">
        <is>
          <t>Période</t>
        </is>
      </c>
      <c r="H5" s="4" t="inlineStr">
        <is>
          <t>Responsable</t>
        </is>
      </c>
      <c r="I5" s="4" t="inlineStr">
        <is>
          <t>Commentaire</t>
        </is>
      </c>
      <c r="J5" s="4" t="inlineStr">
        <is>
          <t>Observations</t>
        </is>
      </c>
      <c r="K5" s="4" t="inlineStr"/>
      <c r="L5" s="4" t="inlineStr"/>
      <c r="M5" s="4" t="inlineStr"/>
      <c r="N5" s="4" t="inlineStr"/>
    </row>
    <row r="6" ht="22" customHeight="1">
      <c r="A6" s="5" t="inlineStr">
        <is>
          <t>STA-01</t>
        </is>
      </c>
      <c r="B6" s="5" t="inlineStr">
        <is>
          <t>Taux de satisfaction</t>
        </is>
      </c>
      <c r="C6" s="5" t="inlineStr">
        <is>
          <t>≥85%</t>
        </is>
      </c>
      <c r="D6" s="5" t="inlineStr">
        <is>
          <t>82%</t>
        </is>
      </c>
      <c r="E6" s="5">
        <f>IF(C6="","",IFERROR(D6-C6,0))</f>
        <v/>
      </c>
      <c r="F6" s="5">
        <f>IF(E6="","",IF(E6&gt;0,"Hausse","Baisse"))</f>
        <v/>
      </c>
      <c r="G6" s="5" t="inlineStr">
        <is>
          <t>T1 2025</t>
        </is>
      </c>
      <c r="H6" s="5" t="inlineStr">
        <is>
          <t>DRH</t>
        </is>
      </c>
      <c r="I6" s="5" t="inlineStr">
        <is>
          <t>Proche de la cible, actions en cours</t>
        </is>
      </c>
      <c r="J6" s="5" t="inlineStr"/>
      <c r="K6" s="5" t="inlineStr"/>
      <c r="L6" s="5" t="inlineStr"/>
      <c r="M6" s="5" t="inlineStr"/>
      <c r="N6" s="5" t="inlineStr"/>
    </row>
    <row r="7" ht="22" customHeight="1">
      <c r="A7" s="8" t="inlineStr">
        <is>
          <t>STA-02</t>
        </is>
      </c>
      <c r="B7" s="8" t="inlineStr">
        <is>
          <t>Taux de transformation (stage→CDI)</t>
        </is>
      </c>
      <c r="C7" s="8" t="inlineStr">
        <is>
          <t>≥20%</t>
        </is>
      </c>
      <c r="D7" s="8" t="inlineStr">
        <is>
          <t>15%</t>
        </is>
      </c>
      <c r="E7" s="8">
        <f>IF(C7="","",IFERROR(D7-C7,0))</f>
        <v/>
      </c>
      <c r="F7" s="8">
        <f>IF(E7="","",IF(E7&gt;0,"Hausse","Baisse"))</f>
        <v/>
      </c>
      <c r="G7" s="8" t="inlineStr">
        <is>
          <t>T1 2025</t>
        </is>
      </c>
      <c r="H7" s="8" t="inlineStr">
        <is>
          <t>DRH</t>
        </is>
      </c>
      <c r="I7" s="8" t="inlineStr">
        <is>
          <t>2 embauches sur 13 stages en 2024</t>
        </is>
      </c>
      <c r="J7" s="8" t="inlineStr"/>
      <c r="K7" s="8" t="inlineStr"/>
      <c r="L7" s="8" t="inlineStr"/>
      <c r="M7" s="8" t="inlineStr"/>
      <c r="N7" s="8" t="inlineStr"/>
    </row>
    <row r="8" ht="22" customHeight="1">
      <c r="A8" s="5" t="inlineStr">
        <is>
          <t>STA-03</t>
        </is>
      </c>
      <c r="B8" s="5" t="inlineStr">
        <is>
          <t>Délai moyen d'intégration</t>
        </is>
      </c>
      <c r="C8" s="5" t="inlineStr">
        <is>
          <t>≤3 jours</t>
        </is>
      </c>
      <c r="D8" s="5" t="inlineStr">
        <is>
          <t>2.5 jours</t>
        </is>
      </c>
      <c r="E8" s="5">
        <f>IF(C8="","",IFERROR(D8-C8,0))</f>
        <v/>
      </c>
      <c r="F8" s="5">
        <f>IF(E8="","",IF(E8&gt;0,"Hausse","Baisse"))</f>
        <v/>
      </c>
      <c r="G8" s="5" t="inlineStr">
        <is>
          <t>T1 2025</t>
        </is>
      </c>
      <c r="H8" s="5" t="inlineStr">
        <is>
          <t>DRH</t>
        </is>
      </c>
      <c r="I8" s="5" t="inlineStr">
        <is>
          <t>Processus d'accueil bien rodé</t>
        </is>
      </c>
      <c r="J8" s="5" t="inlineStr"/>
      <c r="K8" s="5" t="inlineStr"/>
      <c r="L8" s="5" t="inlineStr"/>
      <c r="M8" s="5" t="inlineStr"/>
      <c r="N8" s="5" t="inlineStr"/>
    </row>
    <row r="9" ht="22" customHeight="1">
      <c r="A9" s="8" t="inlineStr">
        <is>
          <t>STA-04</t>
        </is>
      </c>
      <c r="B9" s="8" t="inlineStr">
        <is>
          <t>Taux de présence</t>
        </is>
      </c>
      <c r="C9" s="8" t="inlineStr">
        <is>
          <t>≥90%</t>
        </is>
      </c>
      <c r="D9" s="8" t="inlineStr">
        <is>
          <t>93%</t>
        </is>
      </c>
      <c r="E9" s="8">
        <f>IF(C9="","",IFERROR(D9-C9,0))</f>
        <v/>
      </c>
      <c r="F9" s="8">
        <f>IF(E9="","",IF(E9&gt;0,"Hausse","Baisse"))</f>
        <v/>
      </c>
      <c r="G9" s="8" t="inlineStr">
        <is>
          <t>T1 2025</t>
        </is>
      </c>
      <c r="H9" s="8" t="inlineStr">
        <is>
          <t>DRH</t>
        </is>
      </c>
      <c r="I9" s="8" t="inlineStr">
        <is>
          <t>Bon niveau d'assiduité</t>
        </is>
      </c>
      <c r="J9" s="8" t="inlineStr"/>
      <c r="K9" s="8" t="inlineStr"/>
      <c r="L9" s="8" t="inlineStr"/>
      <c r="M9" s="8" t="inlineStr"/>
      <c r="N9" s="8" t="inlineStr"/>
    </row>
    <row r="10" ht="22" customHeight="1">
      <c r="A10" s="5" t="inlineStr">
        <is>
          <t>STA-05</t>
        </is>
      </c>
      <c r="B10" s="5" t="inlineStr">
        <is>
          <t>Coût moyen/stagiaire budget</t>
        </is>
      </c>
      <c r="C10" s="5" t="inlineStr">
        <is>
          <t>±10%</t>
        </is>
      </c>
      <c r="D10" s="5" t="inlineStr">
        <is>
          <t>-5%</t>
        </is>
      </c>
      <c r="E10" s="5">
        <f>IF(C10="","",IFERROR(D10-C10,0))</f>
        <v/>
      </c>
      <c r="F10" s="5">
        <f>IF(E10="","",IF(E10&gt;0,"Hausse","Baisse"))</f>
        <v/>
      </c>
      <c r="G10" s="5" t="inlineStr">
        <is>
          <t>T1 2025</t>
        </is>
      </c>
      <c r="H10" s="5" t="inlineStr">
        <is>
          <t>DAF</t>
        </is>
      </c>
      <c r="I10" s="5" t="inlineStr">
        <is>
          <t>Sous-budget, bonne gestion</t>
        </is>
      </c>
      <c r="J10" s="5" t="inlineStr"/>
      <c r="K10" s="5" t="inlineStr"/>
      <c r="L10" s="5" t="inlineStr"/>
      <c r="M10" s="5" t="inlineStr"/>
      <c r="N10" s="5" t="inlineStr"/>
    </row>
    <row r="11" ht="22" customHeight="1">
      <c r="A11" s="8" t="inlineStr">
        <is>
          <t>STA-06</t>
        </is>
      </c>
      <c r="B11" s="8" t="inlineStr">
        <is>
          <t>Nb litiges</t>
        </is>
      </c>
      <c r="C11" s="8" t="inlineStr">
        <is>
          <t>≤2/trimestre</t>
        </is>
      </c>
      <c r="D11" s="8" t="inlineStr">
        <is>
          <t>1</t>
        </is>
      </c>
      <c r="E11" s="8">
        <f>IF(C11="","",IFERROR(D11-C11,0))</f>
        <v/>
      </c>
      <c r="F11" s="8">
        <f>IF(E11="","",IF(E11&gt;0,"Hausse","Baisse"))</f>
        <v/>
      </c>
      <c r="G11" s="8" t="inlineStr">
        <is>
          <t>T1 2025</t>
        </is>
      </c>
      <c r="H11" s="8" t="inlineStr">
        <is>
          <t>DRH</t>
        </is>
      </c>
      <c r="I11" s="8" t="inlineStr">
        <is>
          <t>1 litige en cours de résolution</t>
        </is>
      </c>
      <c r="J11" s="8" t="inlineStr"/>
      <c r="K11" s="8" t="inlineStr"/>
      <c r="L11" s="8" t="inlineStr"/>
      <c r="M11" s="8" t="inlineStr"/>
      <c r="N11" s="8" t="inlineStr"/>
    </row>
    <row r="12" ht="22" customHeight="1">
      <c r="A12" s="5" t="inlineStr">
        <is>
          <t>STA-07</t>
        </is>
      </c>
      <c r="B12" s="5" t="inlineStr">
        <is>
          <t>Taux conformité conventions</t>
        </is>
      </c>
      <c r="C12" s="5" t="inlineStr">
        <is>
          <t>100%</t>
        </is>
      </c>
      <c r="D12" s="5" t="inlineStr">
        <is>
          <t>95%</t>
        </is>
      </c>
      <c r="E12" s="5">
        <f>IF(C12="","",IFERROR(D12-C12,0))</f>
        <v/>
      </c>
      <c r="F12" s="5">
        <f>IF(E12="","",IF(E12&gt;0,"Hausse","Baisse"))</f>
        <v/>
      </c>
      <c r="G12" s="5" t="inlineStr">
        <is>
          <t>T1 2025</t>
        </is>
      </c>
      <c r="H12" s="5" t="inlineStr">
        <is>
          <t>DRH</t>
        </is>
      </c>
      <c r="I12" s="5" t="inlineStr">
        <is>
          <t>1 convention en attente de signature</t>
        </is>
      </c>
      <c r="J12" s="5" t="inlineStr"/>
      <c r="K12" s="5" t="inlineStr"/>
      <c r="L12" s="5" t="inlineStr"/>
      <c r="M12" s="5" t="inlineStr"/>
      <c r="N12" s="5" t="inlineStr"/>
    </row>
    <row r="13" ht="22" customHeight="1">
      <c r="A13" s="8" t="inlineStr">
        <is>
          <t>STA-08</t>
        </is>
      </c>
      <c r="B13" s="8" t="inlineStr">
        <is>
          <t>Taux de recommandation</t>
        </is>
      </c>
      <c r="C13" s="8" t="inlineStr">
        <is>
          <t>≥60%</t>
        </is>
      </c>
      <c r="D13" s="8" t="inlineStr">
        <is>
          <t>55%</t>
        </is>
      </c>
      <c r="E13" s="8">
        <f>IF(C13="","",IFERROR(D13-C13,0))</f>
        <v/>
      </c>
      <c r="F13" s="8">
        <f>IF(E13="","",IF(E13&gt;0,"Hausse","Baisse"))</f>
        <v/>
      </c>
      <c r="G13" s="8" t="inlineStr">
        <is>
          <t>T1 2025</t>
        </is>
      </c>
      <c r="H13" s="8" t="inlineStr">
        <is>
          <t>DRH</t>
        </is>
      </c>
      <c r="I13" s="8" t="inlineStr">
        <is>
          <t>En amélioration</t>
        </is>
      </c>
      <c r="J13" s="8" t="inlineStr"/>
      <c r="K13" s="8" t="inlineStr"/>
      <c r="L13" s="8" t="inlineStr"/>
      <c r="M13" s="8" t="inlineStr"/>
      <c r="N13" s="8" t="inlineStr"/>
    </row>
    <row r="14" ht="22" customHeight="1">
      <c r="A14" s="5" t="inlineStr">
        <is>
          <t>STA-09</t>
        </is>
      </c>
      <c r="B14" s="5" t="inlineStr">
        <is>
          <t>Nb établissements partenaires</t>
        </is>
      </c>
      <c r="C14" s="5" t="inlineStr">
        <is>
          <t>≥8</t>
        </is>
      </c>
      <c r="D14" s="5" t="inlineStr">
        <is>
          <t>11</t>
        </is>
      </c>
      <c r="E14" s="5">
        <f>IF(C14="","",IFERROR(D14-C14,0))</f>
        <v/>
      </c>
      <c r="F14" s="5">
        <f>IF(E14="","",IF(E14&gt;0,"Hausse","Baisse"))</f>
        <v/>
      </c>
      <c r="G14" s="5" t="inlineStr">
        <is>
          <t>T1 2025</t>
        </is>
      </c>
      <c r="H14" s="5" t="inlineStr">
        <is>
          <t>DRH</t>
        </is>
      </c>
      <c r="I14" s="5" t="inlineStr">
        <is>
          <t>Objectif dépassé</t>
        </is>
      </c>
      <c r="J14" s="5" t="inlineStr"/>
      <c r="K14" s="5" t="inlineStr"/>
      <c r="L14" s="5" t="inlineStr"/>
      <c r="M14" s="5" t="inlineStr"/>
      <c r="N14" s="5" t="inlineStr"/>
    </row>
    <row r="15" ht="22" customHeight="1">
      <c r="A15" s="8" t="inlineStr">
        <is>
          <t>STA-10</t>
        </is>
      </c>
      <c r="B15" s="8" t="inlineStr">
        <is>
          <t>Délai paiement indemnités</t>
        </is>
      </c>
      <c r="C15" s="8" t="inlineStr">
        <is>
          <t>≤5 jours</t>
        </is>
      </c>
      <c r="D15" s="8" t="inlineStr">
        <is>
          <t>3 jours</t>
        </is>
      </c>
      <c r="E15" s="8">
        <f>IF(C15="","",IFERROR(D15-C15,0))</f>
        <v/>
      </c>
      <c r="F15" s="8">
        <f>IF(E15="","",IF(E15&gt;0,"Hausse","Baisse"))</f>
        <v/>
      </c>
      <c r="G15" s="8" t="inlineStr">
        <is>
          <t>T1 2025</t>
        </is>
      </c>
      <c r="H15" s="8" t="inlineStr">
        <is>
          <t>DAF</t>
        </is>
      </c>
      <c r="I15" s="8" t="inlineStr">
        <is>
          <t>Processus de paiement fluide</t>
        </is>
      </c>
      <c r="J15" s="8" t="inlineStr"/>
      <c r="K15" s="8" t="inlineStr"/>
      <c r="L15" s="8" t="inlineStr"/>
      <c r="M15" s="8" t="inlineStr"/>
      <c r="N15" s="8" t="inlineStr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conditionalFormatting sqref="E6:E15">
    <cfRule type="expression" priority="1" dxfId="1">
      <formula>AND(ISNUMBER(E6),E6&gt;=0)</formula>
    </cfRule>
    <cfRule type="expression" priority="2" dxfId="0">
      <formula>AND(ISNUMBER(E6),E6&lt;0)</formula>
    </cfRule>
  </conditionalFormatting>
  <dataValidations count="2">
    <dataValidation sqref="F6:F115" showDropDown="0" showInputMessage="0" showErrorMessage="0" allowBlank="1" errorTitle="Erreur" error="Valeur invalide" promptTitle="" prompt="Choisir dans la liste: " type="list">
      <formula1>'F02 - _Lists'!$Q$6:$Q$8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_Lists'!$P$6:$P$9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2026-07-15T21:07:29Z</dcterms:created>
  <dcterms:modified xmlns:dcterms="http://purl.org/dc/terms/" xmlns:xsi="http://www.w3.org/2001/XMLSchema-instance" xsi:type="dcterms:W3CDTF">2026-07-15T21:07:30Z</dcterms:modified>
</cp:coreProperties>
</file>