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Tableau de Bord" sheetId="1" state="visible" r:id="rId1"/>
    <sheet xmlns:r="http://schemas.openxmlformats.org/officeDocument/2006/relationships" name="2-Fiche Employe" sheetId="2" state="visible" r:id="rId2"/>
    <sheet xmlns:r="http://schemas.openxmlformats.org/officeDocument/2006/relationships" name="3-Contrats Travail" sheetId="3" state="visible" r:id="rId3"/>
    <sheet xmlns:r="http://schemas.openxmlformats.org/officeDocument/2006/relationships" name="4-Avenants Contrat" sheetId="4" state="visible" r:id="rId4"/>
    <sheet xmlns:r="http://schemas.openxmlformats.org/officeDocument/2006/relationships" name="5-Suivi Documents" sheetId="5" state="visible" r:id="rId5"/>
    <sheet xmlns:r="http://schemas.openxmlformats.org/officeDocument/2006/relationships" name="6-Donnees Bancaires" sheetId="6" state="visible" r:id="rId6"/>
    <sheet xmlns:r="http://schemas.openxmlformats.org/officeDocument/2006/relationships" name="7-Mutuelle Prevoyance" sheetId="7" state="visible" r:id="rId7"/>
    <sheet xmlns:r="http://schemas.openxmlformats.org/officeDocument/2006/relationships" name="8-Conges Annuels" sheetId="8" state="visible" r:id="rId8"/>
    <sheet xmlns:r="http://schemas.openxmlformats.org/officeDocument/2006/relationships" name="9-Solde Conges" sheetId="9" state="visible" r:id="rId9"/>
    <sheet xmlns:r="http://schemas.openxmlformats.org/officeDocument/2006/relationships" name="10-Absences Maladie" sheetId="10" state="visible" r:id="rId10"/>
    <sheet xmlns:r="http://schemas.openxmlformats.org/officeDocument/2006/relationships" name="11-Heures Supplementaires" sheetId="11" state="visible" r:id="rId11"/>
    <sheet xmlns:r="http://schemas.openxmlformats.org/officeDocument/2006/relationships" name="12-Pointage Presence" sheetId="12" state="visible" r:id="rId12"/>
    <sheet xmlns:r="http://schemas.openxmlformats.org/officeDocument/2006/relationships" name="13-Fiches de Paie" sheetId="13" state="visible" r:id="rId13"/>
    <sheet xmlns:r="http://schemas.openxmlformats.org/officeDocument/2006/relationships" name="14-Declarations Sociales" sheetId="14" state="visible" r:id="rId14"/>
    <sheet xmlns:r="http://schemas.openxmlformats.org/officeDocument/2006/relationships" name="15-Autorisations Permis" sheetId="15" state="visible" r:id="rId15"/>
    <sheet xmlns:r="http://schemas.openxmlformats.org/officeDocument/2006/relationships" name="16-Dossiers Departs" sheetId="16" state="visible" r:id="rId16"/>
    <sheet xmlns:r="http://schemas.openxmlformats.org/officeDocument/2006/relationships" name="17-Archivage Documents" sheetId="17" state="visible" r:id="rId17"/>
    <sheet xmlns:r="http://schemas.openxmlformats.org/officeDocument/2006/relationships" name="18-Rappels Admin" sheetId="18" state="visible" r:id="rId18"/>
    <sheet xmlns:r="http://schemas.openxmlformats.org/officeDocument/2006/relationships" name="19-Prets Avances Salaire" sheetId="19" state="visible" r:id="rId19"/>
    <sheet xmlns:r="http://schemas.openxmlformats.org/officeDocument/2006/relationships" name="20-Sanctions Disciplinaires" sheetId="20" state="visible" r:id="rId20"/>
    <sheet xmlns:r="http://schemas.openxmlformats.org/officeDocument/2006/relationships" name="21-Visites Medicales" sheetId="21" state="visible" r:id="rId21"/>
    <sheet xmlns:r="http://schemas.openxmlformats.org/officeDocument/2006/relationships" name="22-Planning Mensuel Presence" sheetId="22" state="visible" r:id="rId22"/>
    <sheet xmlns:r="http://schemas.openxmlformats.org/officeDocument/2006/relationships" name="_List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DD/MM/YYYY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Noto Sans CJK SC"/>
      <b val="1"/>
      <color rgb="001B2A4A"/>
      <sz val="9"/>
    </font>
    <font>
      <name val="Noto Sans CJK SC"/>
      <sz val="9"/>
    </font>
    <font>
      <name val="Noto Sans CJK SC"/>
      <color rgb="001B2A4A"/>
      <sz val="16"/>
    </font>
    <font>
      <name val="Noto Sans CJK SC"/>
      <b val="1"/>
      <color rgb="001B7D46"/>
      <sz val="10"/>
    </font>
    <font>
      <name val="Noto Sans CJK SC"/>
      <color rgb="008C8A84"/>
      <sz val="9"/>
    </font>
    <font>
      <name val="Noto Sans CJK SC"/>
      <color rgb="001B2A4A"/>
      <sz val="22"/>
    </font>
    <font>
      <name val="Noto Sans CJK SC"/>
      <color rgb="001B2A4A"/>
      <sz val="12"/>
    </font>
    <font>
      <name val="Noto Sans CJK SC"/>
      <color rgb="0037352F"/>
      <sz val="11"/>
    </font>
    <font>
      <name val="Noto Sans CJK SC"/>
      <color rgb="00FFFFFF"/>
      <sz val="11"/>
    </font>
    <font>
      <name val="Noto Sans CJK SC"/>
      <color rgb="001B2A4A"/>
      <sz val="11"/>
    </font>
    <font>
      <name val="Calibri"/>
      <b val="1"/>
      <color rgb="00FFFFFF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2F5496"/>
        <bgColor rgb="002F5496"/>
      </patternFill>
    </fill>
    <fill>
      <patternFill patternType="solid">
        <fgColor rgb="00FFF9C4"/>
      </patternFill>
    </fill>
  </fills>
  <borders count="4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1" fontId="8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8" fillId="3" borderId="0" pivotButton="0" quotePrefix="0" xfId="0"/>
    <xf numFmtId="165" fontId="8" fillId="3" borderId="0" applyAlignment="1" pivotButton="0" quotePrefix="0" xfId="0">
      <alignment horizontal="center" vertical="center"/>
    </xf>
    <xf numFmtId="0" fontId="8" fillId="4" borderId="0" pivotButton="0" quotePrefix="0" xfId="0"/>
    <xf numFmtId="165" fontId="8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3" fontId="8" fillId="3" borderId="0" applyAlignment="1" pivotButton="0" quotePrefix="0" xfId="0">
      <alignment horizontal="right" vertical="center"/>
    </xf>
    <xf numFmtId="3" fontId="8" fillId="4" borderId="0" applyAlignment="1" pivotButton="0" quotePrefix="0" xfId="0">
      <alignment horizontal="right" vertical="center"/>
    </xf>
    <xf numFmtId="0" fontId="10" fillId="5" borderId="2" applyAlignment="1" pivotButton="0" quotePrefix="0" xfId="0">
      <alignment horizontal="left" vertical="center"/>
    </xf>
    <xf numFmtId="0" fontId="10" fillId="5" borderId="2" pivotButton="0" quotePrefix="0" xfId="0"/>
    <xf numFmtId="3" fontId="10" fillId="5" borderId="2" applyAlignment="1" pivotButton="0" quotePrefix="0" xfId="0">
      <alignment horizontal="right" vertical="center"/>
    </xf>
    <xf numFmtId="1" fontId="8" fillId="3" borderId="0" applyAlignment="1" pivotButton="0" quotePrefix="0" xfId="0">
      <alignment horizontal="right" vertical="center"/>
    </xf>
    <xf numFmtId="1" fontId="8" fillId="4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right" vertical="center"/>
    </xf>
    <xf numFmtId="164" fontId="8" fillId="4" borderId="0" applyAlignment="1" pivotButton="0" quotePrefix="0" xfId="0">
      <alignment horizontal="right" vertical="center"/>
    </xf>
    <xf numFmtId="165" fontId="8" fillId="3" borderId="0" applyAlignment="1" pivotButton="0" quotePrefix="0" xfId="0">
      <alignment horizontal="center" vertical="center"/>
    </xf>
    <xf numFmtId="165" fontId="8" fillId="4" borderId="0" applyAlignment="1" pivotButton="0" quotePrefix="0" xfId="0">
      <alignment horizontal="center" vertical="center"/>
    </xf>
    <xf numFmtId="0" fontId="11" fillId="6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left" vertical="center"/>
    </xf>
    <xf numFmtId="0" fontId="10" fillId="0" borderId="0" pivotButton="0" quotePrefix="0" xfId="0"/>
    <xf numFmtId="166" fontId="8" fillId="3" borderId="0" applyAlignment="1" pivotButton="0" quotePrefix="0" xfId="0">
      <alignment horizontal="center" vertical="center"/>
    </xf>
    <xf numFmtId="166" fontId="8" fillId="4" borderId="0" applyAlignment="1" pivotButton="0" quotePrefix="0" xfId="0">
      <alignment horizontal="center" vertical="center"/>
    </xf>
    <xf numFmtId="3" fontId="8" fillId="3" borderId="0" applyAlignment="1" pivotButton="0" quotePrefix="0" xfId="0">
      <alignment horizontal="center" vertical="center"/>
    </xf>
    <xf numFmtId="3" fontId="8" fillId="4" borderId="0" applyAlignment="1" pivotButton="0" quotePrefix="0" xfId="0">
      <alignment horizontal="center" vertical="center"/>
    </xf>
    <xf numFmtId="167" fontId="8" fillId="3" borderId="0" applyAlignment="1" pivotButton="0" quotePrefix="0" xfId="0">
      <alignment horizontal="center" vertical="center"/>
    </xf>
    <xf numFmtId="167" fontId="8" fillId="4" borderId="0" applyAlignment="1" pivotButton="0" quotePrefix="0" xfId="0">
      <alignment horizontal="center" vertical="center"/>
    </xf>
    <xf numFmtId="0" fontId="8" fillId="7" borderId="0" pivotButton="0" quotePrefix="0" xfId="0"/>
    <xf numFmtId="3" fontId="8" fillId="7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3" fontId="6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9">
    <dxf>
      <font>
        <color rgb="001B7D46"/>
      </font>
      <fill>
        <patternFill>
          <bgColor rgb="00E8F5E9"/>
        </patternFill>
      </fill>
    </dxf>
    <dxf>
      <font>
        <color rgb="00D4820A"/>
      </font>
      <fill>
        <patternFill>
          <bgColor rgb="00FEF9E7"/>
        </patternFill>
      </fill>
    </dxf>
    <dxf>
      <font>
        <color rgb="00C0392B"/>
      </font>
      <fill>
        <patternFill>
          <bgColor rgb="00FDEDEC"/>
        </patternFill>
      </fill>
    </dxf>
    <dxf>
      <fill>
        <patternFill patternType="solid">
          <fgColor rgb="00FFFDE7"/>
        </patternFill>
      </fill>
    </dxf>
    <dxf>
      <font>
        <b val="1"/>
        <color rgb="001F4E79"/>
      </font>
      <fill>
        <patternFill patternType="solid">
          <fgColor rgb="00D6E4F0"/>
          <bgColor rgb="00D6E4F0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  <color rgb="001B2A4A"/>
      </font>
      <fill>
        <patternFill>
          <bgColor rgb="00D6E4F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Effectif par Departement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'1-Tableau de Bord'!C27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'1-Tableau de Bord'!$B$28:$B$40</f>
            </numRef>
          </cat>
          <val>
            <numRef>
              <f>'1-Tableau de Bord'!$C$28:$C$40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Repartition par Type de Contrat</a:t>
            </a:r>
          </a:p>
        </rich>
      </tx>
    </title>
    <plotArea>
      <pieChart>
        <varyColors val="1"/>
        <ser>
          <idx val="0"/>
          <order val="0"/>
          <tx>
            <strRef>
              <f>'1-Tableau de Bord'!I42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cat>
            <numRef>
              <f>'1-Tableau de Bord'!$H$43:$H$48</f>
            </numRef>
          </cat>
          <val>
            <numRef>
              <f>'1-Tableau de Bord'!$I$43:$I$48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Répartition Sanctions Disciplinaires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'1-Tableau de Bord'!C59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'1-Tableau de Bord'!$B$60:$B$64</f>
            </numRef>
          </cat>
          <val>
            <numRef>
              <f>'1-Tableau de Bord'!$C$60:$C$64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Nombre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>None</a:t>
              </a:r>
            </a:p>
          </txPr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Répartition Prêts &amp; Avances par Type</a:t>
            </a:r>
          </a:p>
        </rich>
      </tx>
    </title>
    <plotArea>
      <pieChart>
        <varyColors val="1"/>
        <ser>
          <idx val="0"/>
          <order val="0"/>
          <tx>
            <strRef>
              <f>'1-Tableau de Bord'!C67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1B2A4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B7D4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D4820A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C8A84"/>
              </a:solidFill>
              <a:ln xmlns:a="http://schemas.openxmlformats.org/drawingml/2006/main">
                <a:prstDash val="solid"/>
              </a:ln>
            </spPr>
          </dPt>
          <cat>
            <numRef>
              <f>'1-Tableau de Bord'!$B$68:$B$72</f>
            </numRef>
          </cat>
          <val>
            <numRef>
              <f>'1-Tableau de Bord'!$C$68:$C$72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41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41</row>
      <rowOff>0</rowOff>
    </from>
    <ext cx="504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58</row>
      <rowOff>0</rowOff>
    </from>
    <ext cx="50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50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5" customHeight="1"/>
    <row r="2" ht="32" customHeight="1">
      <c r="B2" s="1" t="inlineStr">
        <is>
          <t>DOMAINE 2 — GESTION ADMINISTRATIVE DU PERSONNEL</t>
        </is>
      </c>
    </row>
    <row r="3" ht="8" customHeight="1">
      <c r="B3" s="2" t="inlineStr">
        <is>
          <t>TABLEAU DE BORD — Vue synthetique de tous les indicateurs du domaine (mis a jour automatiquement)</t>
        </is>
      </c>
    </row>
    <row r="4"/>
    <row r="5">
      <c r="B5" s="3" t="inlineStr">
        <is>
          <t>Effectif Total</t>
        </is>
      </c>
      <c r="E5" s="3" t="inlineStr">
        <is>
          <t>Employes actifs</t>
        </is>
      </c>
      <c r="H5" s="3" t="inlineStr">
        <is>
          <t>Cadres</t>
        </is>
      </c>
      <c r="K5" s="3" t="inlineStr">
        <is>
          <t>CDI</t>
        </is>
      </c>
    </row>
    <row r="6">
      <c r="B6" s="4">
        <f>COUNTIF('2-Fiche Employe'!B5:B104,"&lt;&gt;")</f>
        <v/>
      </c>
      <c r="E6" s="4">
        <f>COUNTIF('2-Fiche Employe'!T5:T104,"Actif")</f>
        <v/>
      </c>
      <c r="H6" s="4">
        <f>COUNTIF('2-Fiche Employe'!Q5:Q104,"Cadre")</f>
        <v/>
      </c>
      <c r="K6" s="4">
        <f>COUNTIF('2-Fiche Employe'!P5:P104,"CDI")</f>
        <v/>
      </c>
    </row>
    <row r="7"/>
    <row r="8"/>
    <row r="9">
      <c r="B9" s="3" t="inlineStr">
        <is>
          <t>Contrats en vigueur</t>
        </is>
      </c>
      <c r="E9" s="3" t="inlineStr">
        <is>
          <t>Masse salariale brute</t>
        </is>
      </c>
      <c r="H9" s="3" t="inlineStr">
        <is>
          <t>Avenants en attente</t>
        </is>
      </c>
      <c r="K9" s="3" t="inlineStr">
        <is>
          <t>CDD/Interim</t>
        </is>
      </c>
    </row>
    <row r="10">
      <c r="B10" s="4">
        <f>COUNTIF('3-Contrats Travail'!H5:H104,"En vigueur")</f>
        <v/>
      </c>
      <c r="E10" s="4">
        <f>SUM('3-Contrats Travail'!I5:I104)</f>
        <v/>
      </c>
      <c r="H10" s="4">
        <f>COUNTIF('4-Avenants Contrat'!L5:L104,"En attente")</f>
        <v/>
      </c>
      <c r="K10" s="4">
        <f>COUNTIF('3-Contrats Travail'!E5:E104,"CDD")+COUNTIF('3-Contrats Travail'!E5:E104,"Interim")</f>
        <v/>
      </c>
    </row>
    <row r="11"/>
    <row r="12"/>
    <row r="13">
      <c r="B13" s="3" t="inlineStr">
        <is>
          <t>Documents valides</t>
        </is>
      </c>
      <c r="E13" s="3" t="inlineStr">
        <is>
          <t>A renouveler</t>
        </is>
      </c>
      <c r="H13" s="3" t="inlineStr">
        <is>
          <t>Permis valides</t>
        </is>
      </c>
      <c r="K13" s="3" t="inlineStr">
        <is>
          <t>Rappels en retard</t>
        </is>
      </c>
    </row>
    <row r="14">
      <c r="B14" s="4">
        <f>COUNTIF('5-Suivi Documents'!I5:I104,"Valide")</f>
        <v/>
      </c>
      <c r="E14" s="4">
        <f>COUNTIF('5-Suivi Documents'!I5:I104,"A renouveler")</f>
        <v/>
      </c>
      <c r="H14" s="4">
        <f>COUNTIF('15-Autorisations Permis'!J5:J104,"Valide")</f>
        <v/>
      </c>
      <c r="K14" s="4">
        <f>COUNTIF('18-Rappels Admin'!I5:I104,"En retard")</f>
        <v/>
      </c>
    </row>
    <row r="15"/>
    <row r="16"/>
    <row r="17">
      <c r="B17" s="3" t="inlineStr">
        <is>
          <t>Absences (total jours)</t>
        </is>
      </c>
      <c r="E17" s="3" t="inlineStr">
        <is>
          <t>Conges approuves</t>
        </is>
      </c>
      <c r="H17" s="3" t="inlineStr">
        <is>
          <t>Heures supp totales</t>
        </is>
      </c>
      <c r="K17" s="3" t="inlineStr">
        <is>
          <t>Taux presence moy.</t>
        </is>
      </c>
    </row>
    <row r="18">
      <c r="B18" s="4">
        <f>SUM('10-Absences Maladie'!H5:H104)</f>
        <v/>
      </c>
      <c r="E18" s="4">
        <f>COUNTIF('8-Conges Annuels'!J5:J104,"Approuve")</f>
        <v/>
      </c>
      <c r="H18" s="4">
        <f>SUM('11-Heures Supplementaires'!G5:G104)</f>
        <v/>
      </c>
      <c r="K18" s="5">
        <f>IFERROR(AVERAGE('12-Pointage Presence'!J5:J104),0)</f>
        <v/>
      </c>
    </row>
    <row r="19"/>
    <row r="20"/>
    <row r="21">
      <c r="B21" s="3" t="inlineStr">
        <is>
          <t>Total net paye (FCFA)</t>
        </is>
      </c>
      <c r="E21" s="3" t="inlineStr">
        <is>
          <t>Total cotisations</t>
        </is>
      </c>
      <c r="H21" s="3" t="inlineStr">
        <is>
          <t>Declarations en retard</t>
        </is>
      </c>
      <c r="K21" s="3" t="inlineStr">
        <is>
          <t>Dossiers departs clos</t>
        </is>
      </c>
    </row>
    <row r="22">
      <c r="B22" s="4">
        <f>SUM('13-Fiches de Paie'!H5:H104)</f>
        <v/>
      </c>
      <c r="E22" s="4">
        <f>SUM('13-Fiches de Paie'!G5:G104)</f>
        <v/>
      </c>
      <c r="H22" s="4">
        <f>COUNTIF('14-Declarations Sociales'!I5:I104,"En retard")</f>
        <v/>
      </c>
      <c r="K22" s="4">
        <f>COUNTIF('16-Dossiers Departs'!K5:K104,"Clos")</f>
        <v/>
      </c>
    </row>
    <row r="23"/>
    <row r="24"/>
    <row r="25"/>
    <row r="26">
      <c r="B26" s="6" t="inlineStr">
        <is>
          <t>REPARTITION PAR DEPARTEMENT ET STATUT</t>
        </is>
      </c>
    </row>
    <row r="27" ht="15" customHeight="1">
      <c r="B27" s="3" t="inlineStr">
        <is>
          <t>Departement</t>
        </is>
      </c>
      <c r="C27" s="3" t="inlineStr">
        <is>
          <t>Effectif</t>
        </is>
      </c>
    </row>
    <row r="28" ht="15" customHeight="1">
      <c r="B28" s="7" t="inlineStr">
        <is>
          <t>Direction Generale</t>
        </is>
      </c>
      <c r="C28" s="8">
        <f>COUNTIF('2-Fiche Employe'!N5:N104,B28)</f>
        <v/>
      </c>
    </row>
    <row r="29" ht="15" customHeight="1">
      <c r="B29" s="7" t="inlineStr">
        <is>
          <t>Service Client</t>
        </is>
      </c>
      <c r="C29" s="8">
        <f>COUNTIF('2-Fiche Employe'!N5:N104,B29)</f>
        <v/>
      </c>
    </row>
    <row r="30" ht="15" customHeight="1">
      <c r="B30" s="7" t="inlineStr">
        <is>
          <t>Finance &amp; Comptabilité</t>
        </is>
      </c>
      <c r="C30" s="8">
        <f>COUNTIF('2-Fiche Employe'!N5:N104,B30)</f>
        <v/>
      </c>
    </row>
    <row r="31" ht="15" customHeight="1">
      <c r="B31" s="7" t="inlineStr">
        <is>
          <t>Marketing &amp; Communication</t>
        </is>
      </c>
      <c r="C31" s="8">
        <f>COUNTIF('2-Fiche Employe'!N5:N104,B31)</f>
        <v/>
      </c>
    </row>
    <row r="32" ht="15" customHeight="1">
      <c r="B32" s="7" t="inlineStr">
        <is>
          <t>Maintenance</t>
        </is>
      </c>
      <c r="C32" s="8">
        <f>COUNTIF('2-Fiche Employe'!N5:N104,B32)</f>
        <v/>
      </c>
    </row>
    <row r="33" ht="15" customHeight="1">
      <c r="B33" s="7" t="inlineStr">
        <is>
          <t>Commercial</t>
        </is>
      </c>
      <c r="C33" s="8">
        <f>COUNTIF('2-Fiche Employe'!N5:N104,B33)</f>
        <v/>
      </c>
    </row>
    <row r="34" ht="15" customHeight="1">
      <c r="B34" s="7" t="inlineStr">
        <is>
          <t>Logistique &amp; Approvisionnement</t>
        </is>
      </c>
      <c r="C34" s="8">
        <f>COUNTIF('2-Fiche Employe'!N5:N104,B34)</f>
        <v/>
      </c>
    </row>
    <row r="35" ht="15" customHeight="1">
      <c r="B35" s="7" t="inlineStr">
        <is>
          <t>Cuisine &amp; Restauration</t>
        </is>
      </c>
      <c r="C35" s="8">
        <f>COUNTIF('2-Fiche Employe'!N5:N104,B35)</f>
        <v/>
      </c>
    </row>
    <row r="36" ht="15" customHeight="1">
      <c r="B36" s="7" t="inlineStr">
        <is>
          <t>Service Client</t>
        </is>
      </c>
      <c r="C36" s="8">
        <f>COUNTIF('2-Fiche Employe'!N5:N104,B36)</f>
        <v/>
      </c>
    </row>
    <row r="37" ht="15" customHeight="1">
      <c r="B37" s="7" t="inlineStr">
        <is>
          <t>Réception &amp; Front Office</t>
        </is>
      </c>
      <c r="C37" s="8">
        <f>COUNTIF('2-Fiche Employe'!N5:N104,B37)</f>
        <v/>
      </c>
    </row>
    <row r="38" ht="15" customHeight="1">
      <c r="B38" s="7" t="inlineStr">
        <is>
          <t>Cuisine &amp; Restauration</t>
        </is>
      </c>
      <c r="C38" s="8">
        <f>COUNTIF('2-Fiche Employe'!N5:N104,B38)</f>
        <v/>
      </c>
    </row>
    <row r="39" ht="15" customHeight="1">
      <c r="B39" s="7" t="inlineStr">
        <is>
          <t>Maintenance</t>
        </is>
      </c>
      <c r="C39" s="8">
        <f>COUNTIF('2-Fiche Employe'!N5:N104,B39)</f>
        <v/>
      </c>
    </row>
    <row r="40" ht="15" customHeight="1">
      <c r="B40" s="7" t="inlineStr">
        <is>
          <t>Sécurité</t>
        </is>
      </c>
      <c r="C40" s="8">
        <f>COUNTIF('2-Fiche Employe'!N5:N104,B40)</f>
        <v/>
      </c>
    </row>
    <row r="41" ht="15" customHeight="1"/>
    <row r="42" ht="15" customHeight="1">
      <c r="H42" s="3" t="inlineStr">
        <is>
          <t>Type Contrat</t>
        </is>
      </c>
      <c r="I42" s="3" t="inlineStr">
        <is>
          <t>Nombre</t>
        </is>
      </c>
    </row>
    <row r="43" ht="15" customHeight="1">
      <c r="H43" s="7" t="inlineStr">
        <is>
          <t>CDI</t>
        </is>
      </c>
      <c r="I43" s="8">
        <f>COUNTIF('2-Fiche Employe'!P5:P104,H43)</f>
        <v/>
      </c>
    </row>
    <row r="44" ht="15" customHeight="1">
      <c r="H44" s="7" t="inlineStr">
        <is>
          <t>CDD</t>
        </is>
      </c>
      <c r="I44" s="8">
        <f>COUNTIF('2-Fiche Employe'!P5:P104,H44)</f>
        <v/>
      </c>
    </row>
    <row r="45" ht="15" customHeight="1">
      <c r="H45" s="7" t="inlineStr">
        <is>
          <t>Stage</t>
        </is>
      </c>
      <c r="I45" s="8">
        <f>COUNTIF('2-Fiche Employe'!P5:P104,H45)</f>
        <v/>
      </c>
    </row>
    <row r="46" ht="15" customHeight="1">
      <c r="H46" s="7" t="inlineStr">
        <is>
          <t>Interim</t>
        </is>
      </c>
      <c r="I46" s="8">
        <f>COUNTIF('2-Fiche Employe'!P5:P104,H46)</f>
        <v/>
      </c>
    </row>
    <row r="47" ht="15" customHeight="1">
      <c r="H47" s="7" t="inlineStr">
        <is>
          <t>Alternance</t>
        </is>
      </c>
      <c r="I47" s="8">
        <f>COUNTIF('2-Fiche Employe'!P5:P104,H47)</f>
        <v/>
      </c>
    </row>
    <row r="48" ht="15" customHeight="1">
      <c r="H48" s="7" t="inlineStr">
        <is>
          <t>Freelance</t>
        </is>
      </c>
      <c r="I48" s="8">
        <f>COUNTIF('2-Fiche Employe'!P5:P104,H48)</f>
        <v/>
      </c>
    </row>
    <row r="49"/>
    <row r="50"/>
    <row r="51">
      <c r="B51" s="31" t="inlineStr">
        <is>
          <t>Prêts en cours</t>
        </is>
      </c>
      <c r="E51" s="31" t="inlineStr">
        <is>
          <t>Total avances (FCFA)</t>
        </is>
      </c>
      <c r="H51" s="31" t="inlineStr">
        <is>
          <t>Sanctions année</t>
        </is>
      </c>
      <c r="K51" s="31" t="inlineStr">
        <is>
          <t>Visites à planifier</t>
        </is>
      </c>
    </row>
    <row r="52">
      <c r="B52" s="4">
        <f>COUNTIF('19-Prets Avances Salaire'!O5:O104,"En cours")</f>
        <v/>
      </c>
      <c r="E52" s="4">
        <f>SUMPRODUCT(('19-Prets Avances Salaire'!F5:F104&lt;&gt;"")*'19-Prets Avances Salaire'!F5:F104)</f>
        <v/>
      </c>
      <c r="H52" s="4">
        <f>COUNTA('20-Sanctions Disciplinaires'!C5:C104)</f>
        <v/>
      </c>
      <c r="K52" s="4">
        <f>COUNTIF('21-Visites Medicales'!I5:I104,"&lt;=30")-COUNTIF('21-Visites Medicales'!I5:I104,"&lt;0")</f>
        <v/>
      </c>
    </row>
    <row r="53"/>
    <row r="54"/>
    <row r="55">
      <c r="B55" s="31" t="inlineStr">
        <is>
          <t>Taux présence moy. (%)</t>
        </is>
      </c>
      <c r="E55" s="31" t="inlineStr">
        <is>
          <t>Total retards (min)</t>
        </is>
      </c>
      <c r="H55" s="31" t="inlineStr">
        <is>
          <t>Heures supp mensuelles</t>
        </is>
      </c>
      <c r="K55" s="31" t="inlineStr">
        <is>
          <t>Indemnités départs (FCFA)</t>
        </is>
      </c>
    </row>
    <row r="56">
      <c r="B56" s="5">
        <f>IFERROR(AVERAGE('22-Planning Mensuel Presence'!L5:L104),0)</f>
        <v/>
      </c>
      <c r="E56" s="4">
        <f>SUM('22-Planning Mensuel Presence'!J5:J104)</f>
        <v/>
      </c>
      <c r="H56" s="4">
        <f>SUM('22-Planning Mensuel Presence'!K5:K104)</f>
        <v/>
      </c>
      <c r="K56" s="4">
        <f>SUM('16-Dossiers Departs'!L5:L104)</f>
        <v/>
      </c>
    </row>
    <row r="57"/>
    <row r="58"/>
    <row r="59">
      <c r="B59" s="31" t="inlineStr">
        <is>
          <t>Type Sanction</t>
        </is>
      </c>
      <c r="C59" s="31" t="inlineStr">
        <is>
          <t>Nombre</t>
        </is>
      </c>
    </row>
    <row r="60">
      <c r="B60" t="inlineStr">
        <is>
          <t>Avertissement oral</t>
        </is>
      </c>
      <c r="C60">
        <f>COUNTIF('20-Sanctions Disciplinaires'!E5:E104,B60)</f>
        <v/>
      </c>
    </row>
    <row r="61">
      <c r="B61" t="inlineStr">
        <is>
          <t>Avertissement écrit</t>
        </is>
      </c>
      <c r="C61">
        <f>COUNTIF('20-Sanctions Disciplinaires'!E5:E104,B61)</f>
        <v/>
      </c>
    </row>
    <row r="62">
      <c r="B62" t="inlineStr">
        <is>
          <t>Blâme</t>
        </is>
      </c>
      <c r="C62">
        <f>COUNTIF('20-Sanctions Disciplinaires'!E5:E104,B62)</f>
        <v/>
      </c>
    </row>
    <row r="63">
      <c r="B63" t="inlineStr">
        <is>
          <t>Suspension</t>
        </is>
      </c>
      <c r="C63">
        <f>COUNTIF('20-Sanctions Disciplinaires'!E5:E104,B63)</f>
        <v/>
      </c>
    </row>
    <row r="64">
      <c r="B64" t="inlineStr">
        <is>
          <t>Mise à pied</t>
        </is>
      </c>
      <c r="C64">
        <f>COUNTIF('20-Sanctions Disciplinaires'!E5:E104,B64)</f>
        <v/>
      </c>
    </row>
    <row r="65"/>
    <row r="66"/>
    <row r="67">
      <c r="B67" s="31" t="inlineStr">
        <is>
          <t>Type Prêt</t>
        </is>
      </c>
      <c r="C67" s="31" t="inlineStr">
        <is>
          <t>Montant Total</t>
        </is>
      </c>
    </row>
    <row r="68">
      <c r="B68" t="inlineStr">
        <is>
          <t>Avance salaire</t>
        </is>
      </c>
      <c r="C68">
        <f>SUMPRODUCT(('19-Prets Avances Salaire'!E5:E104=B68)*'19-Prets Avances Salaire'!F5:F104)</f>
        <v/>
      </c>
    </row>
    <row r="69">
      <c r="B69" t="inlineStr">
        <is>
          <t>Prêt social</t>
        </is>
      </c>
      <c r="C69">
        <f>SUMPRODUCT(('19-Prets Avances Salaire'!E5:E104=B69)*'19-Prets Avances Salaire'!F5:F104)</f>
        <v/>
      </c>
    </row>
    <row r="70">
      <c r="B70" t="inlineStr">
        <is>
          <t>Prêt logement</t>
        </is>
      </c>
      <c r="C70">
        <f>SUMPRODUCT(('19-Prets Avances Salaire'!E5:E104=B70)*'19-Prets Avances Salaire'!F5:F104)</f>
        <v/>
      </c>
    </row>
    <row r="71">
      <c r="B71" t="inlineStr">
        <is>
          <t>Prêt urgence</t>
        </is>
      </c>
      <c r="C71">
        <f>SUMPRODUCT(('19-Prets Avances Salaire'!E5:E104=B71)*'19-Prets Avances Salaire'!F5:F104)</f>
        <v/>
      </c>
    </row>
    <row r="72">
      <c r="B72" t="inlineStr">
        <is>
          <t>Prêt formation</t>
        </is>
      </c>
      <c r="C72">
        <f>SUMPRODUCT(('19-Prets Avances Salaire'!E5:E104=B72)*'19-Prets Avances Salaire'!F5:F104)</f>
        <v/>
      </c>
    </row>
  </sheetData>
  <mergeCells count="43">
    <mergeCell ref="B26:L26"/>
    <mergeCell ref="H10:I10"/>
    <mergeCell ref="B3:L3"/>
    <mergeCell ref="K9:L9"/>
    <mergeCell ref="E5:F5"/>
    <mergeCell ref="K5:L5"/>
    <mergeCell ref="B22:C22"/>
    <mergeCell ref="E14:F14"/>
    <mergeCell ref="B18:C18"/>
    <mergeCell ref="E17:F17"/>
    <mergeCell ref="H9:I9"/>
    <mergeCell ref="K21:L21"/>
    <mergeCell ref="B21:C21"/>
    <mergeCell ref="H21:I21"/>
    <mergeCell ref="H6:I6"/>
    <mergeCell ref="E10:F10"/>
    <mergeCell ref="B2:L2"/>
    <mergeCell ref="B14:C14"/>
    <mergeCell ref="E13:F13"/>
    <mergeCell ref="B17:C17"/>
    <mergeCell ref="K22:L22"/>
    <mergeCell ref="E9:F9"/>
    <mergeCell ref="H17:I17"/>
    <mergeCell ref="B13:C13"/>
    <mergeCell ref="E6:F6"/>
    <mergeCell ref="B10:C10"/>
    <mergeCell ref="H22:I22"/>
    <mergeCell ref="B9:C9"/>
    <mergeCell ref="H13:I13"/>
    <mergeCell ref="K14:L14"/>
    <mergeCell ref="K17:L17"/>
    <mergeCell ref="B6:C6"/>
    <mergeCell ref="B5:C5"/>
    <mergeCell ref="K10:L10"/>
    <mergeCell ref="H18:I18"/>
    <mergeCell ref="H5:I5"/>
    <mergeCell ref="E22:F22"/>
    <mergeCell ref="H14:I14"/>
    <mergeCell ref="K6:L6"/>
    <mergeCell ref="K13:L13"/>
    <mergeCell ref="E18:F18"/>
    <mergeCell ref="K18:L18"/>
    <mergeCell ref="E21:F21"/>
  </mergeCells>
  <conditionalFormatting sqref="B6">
    <cfRule type="cellIs" priority="1" operator="greaterThan" dxfId="4">
      <formula>0</formula>
    </cfRule>
  </conditionalFormatting>
  <conditionalFormatting sqref="E6">
    <cfRule type="cellIs" priority="2" operator="greaterThan" dxfId="4">
      <formula>0</formula>
    </cfRule>
  </conditionalFormatting>
  <conditionalFormatting sqref="H6">
    <cfRule type="cellIs" priority="3" operator="greaterThan" dxfId="4">
      <formula>0</formula>
    </cfRule>
  </conditionalFormatting>
  <conditionalFormatting sqref="K6">
    <cfRule type="cellIs" priority="4" operator="greaterThan" dxfId="4">
      <formula>0</formula>
    </cfRule>
  </conditionalFormatting>
  <conditionalFormatting sqref="B10">
    <cfRule type="cellIs" priority="5" operator="greaterThan" dxfId="4">
      <formula>0</formula>
    </cfRule>
  </conditionalFormatting>
  <conditionalFormatting sqref="E10">
    <cfRule type="cellIs" priority="6" operator="greaterThan" dxfId="4">
      <formula>0</formula>
    </cfRule>
  </conditionalFormatting>
  <conditionalFormatting sqref="H10">
    <cfRule type="cellIs" priority="7" operator="greaterThan" dxfId="4">
      <formula>0</formula>
    </cfRule>
  </conditionalFormatting>
  <conditionalFormatting sqref="K10">
    <cfRule type="cellIs" priority="8" operator="greaterThan" dxfId="4">
      <formula>0</formula>
    </cfRule>
  </conditionalFormatting>
  <conditionalFormatting sqref="B14">
    <cfRule type="cellIs" priority="9" operator="greaterThan" dxfId="4">
      <formula>0</formula>
    </cfRule>
  </conditionalFormatting>
  <conditionalFormatting sqref="E14">
    <cfRule type="cellIs" priority="10" operator="greaterThan" dxfId="4">
      <formula>0</formula>
    </cfRule>
  </conditionalFormatting>
  <conditionalFormatting sqref="H14">
    <cfRule type="cellIs" priority="11" operator="greaterThan" dxfId="4">
      <formula>0</formula>
    </cfRule>
  </conditionalFormatting>
  <conditionalFormatting sqref="K14">
    <cfRule type="cellIs" priority="12" operator="greaterThan" dxfId="4">
      <formula>0</formula>
    </cfRule>
  </conditionalFormatting>
  <conditionalFormatting sqref="B18">
    <cfRule type="cellIs" priority="13" operator="greaterThan" dxfId="4">
      <formula>0</formula>
    </cfRule>
  </conditionalFormatting>
  <conditionalFormatting sqref="E18">
    <cfRule type="cellIs" priority="14" operator="greaterThan" dxfId="4">
      <formula>0</formula>
    </cfRule>
  </conditionalFormatting>
  <conditionalFormatting sqref="H18">
    <cfRule type="cellIs" priority="15" operator="greaterThan" dxfId="4">
      <formula>0</formula>
    </cfRule>
  </conditionalFormatting>
  <conditionalFormatting sqref="K18">
    <cfRule type="cellIs" priority="16" operator="greaterThan" dxfId="4">
      <formula>0</formula>
    </cfRule>
  </conditionalFormatting>
  <conditionalFormatting sqref="B22">
    <cfRule type="cellIs" priority="17" operator="greaterThan" dxfId="4">
      <formula>0</formula>
    </cfRule>
  </conditionalFormatting>
  <conditionalFormatting sqref="E22">
    <cfRule type="cellIs" priority="18" operator="greaterThan" dxfId="4">
      <formula>0</formula>
    </cfRule>
  </conditionalFormatting>
  <conditionalFormatting sqref="H22">
    <cfRule type="cellIs" priority="19" operator="greaterThan" dxfId="4">
      <formula>0</formula>
    </cfRule>
  </conditionalFormatting>
  <conditionalFormatting sqref="K22">
    <cfRule type="cellIs" priority="20" operator="greaterThan" dxfId="4">
      <formula>0</formula>
    </cfRule>
  </conditionalFormatting>
  <conditionalFormatting sqref="C28">
    <cfRule type="cellIs" priority="21" operator="greaterThan" dxfId="4">
      <formula>0</formula>
    </cfRule>
  </conditionalFormatting>
  <conditionalFormatting sqref="C29">
    <cfRule type="cellIs" priority="22" operator="greaterThan" dxfId="4">
      <formula>0</formula>
    </cfRule>
  </conditionalFormatting>
  <conditionalFormatting sqref="C30">
    <cfRule type="cellIs" priority="23" operator="greaterThan" dxfId="4">
      <formula>0</formula>
    </cfRule>
  </conditionalFormatting>
  <conditionalFormatting sqref="C31">
    <cfRule type="cellIs" priority="24" operator="greaterThan" dxfId="4">
      <formula>0</formula>
    </cfRule>
  </conditionalFormatting>
  <conditionalFormatting sqref="C32">
    <cfRule type="cellIs" priority="25" operator="greaterThan" dxfId="4">
      <formula>0</formula>
    </cfRule>
  </conditionalFormatting>
  <conditionalFormatting sqref="C33">
    <cfRule type="cellIs" priority="26" operator="greaterThan" dxfId="4">
      <formula>0</formula>
    </cfRule>
  </conditionalFormatting>
  <conditionalFormatting sqref="C34">
    <cfRule type="cellIs" priority="27" operator="greaterThan" dxfId="4">
      <formula>0</formula>
    </cfRule>
  </conditionalFormatting>
  <conditionalFormatting sqref="C35">
    <cfRule type="cellIs" priority="28" operator="greaterThan" dxfId="4">
      <formula>0</formula>
    </cfRule>
  </conditionalFormatting>
  <conditionalFormatting sqref="C36">
    <cfRule type="cellIs" priority="29" operator="greaterThan" dxfId="4">
      <formula>0</formula>
    </cfRule>
  </conditionalFormatting>
  <conditionalFormatting sqref="C37">
    <cfRule type="cellIs" priority="30" operator="greaterThan" dxfId="4">
      <formula>0</formula>
    </cfRule>
  </conditionalFormatting>
  <conditionalFormatting sqref="C38">
    <cfRule type="cellIs" priority="31" operator="greaterThan" dxfId="4">
      <formula>0</formula>
    </cfRule>
  </conditionalFormatting>
  <conditionalFormatting sqref="C39">
    <cfRule type="cellIs" priority="32" operator="greaterThan" dxfId="4">
      <formula>0</formula>
    </cfRule>
  </conditionalFormatting>
  <conditionalFormatting sqref="C40">
    <cfRule type="cellIs" priority="33" operator="greaterThan" dxfId="4">
      <formula>0</formula>
    </cfRule>
  </conditionalFormatting>
  <conditionalFormatting sqref="I43">
    <cfRule type="cellIs" priority="34" operator="greaterThan" dxfId="4">
      <formula>0</formula>
    </cfRule>
  </conditionalFormatting>
  <conditionalFormatting sqref="I44">
    <cfRule type="cellIs" priority="35" operator="greaterThan" dxfId="4">
      <formula>0</formula>
    </cfRule>
  </conditionalFormatting>
  <conditionalFormatting sqref="I45">
    <cfRule type="cellIs" priority="36" operator="greaterThan" dxfId="4">
      <formula>0</formula>
    </cfRule>
  </conditionalFormatting>
  <conditionalFormatting sqref="I46">
    <cfRule type="cellIs" priority="37" operator="greaterThan" dxfId="4">
      <formula>0</formula>
    </cfRule>
  </conditionalFormatting>
  <conditionalFormatting sqref="I47">
    <cfRule type="cellIs" priority="38" operator="greaterThan" dxfId="4">
      <formula>0</formula>
    </cfRule>
  </conditionalFormatting>
  <conditionalFormatting sqref="I48">
    <cfRule type="cellIs" priority="39" operator="greaterThan" dxfId="4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0" customWidth="1" min="3" max="3"/>
    <col width="16" customWidth="1" min="4" max="4"/>
    <col width="16" customWidth="1" min="5" max="5"/>
    <col width="14" customWidth="1" min="6" max="6"/>
    <col width="14" customWidth="1" min="7" max="7"/>
    <col width="25" customWidth="1" min="8" max="8"/>
    <col width="14" customWidth="1" min="9" max="9"/>
    <col width="13" customWidth="1" min="10" max="10"/>
    <col width="14" customWidth="1" min="11" max="11"/>
    <col width="22" customWidth="1" min="12" max="12"/>
    <col width="22" customWidth="1" min="13" max="13"/>
    <col width="18" customWidth="1" min="14" max="14"/>
    <col width="20" customWidth="1" min="15" max="15"/>
    <col width="10" customWidth="1" min="16" max="16"/>
    <col width="10" customWidth="1" min="17" max="17"/>
    <col width="13" customWidth="1" min="18" max="18"/>
    <col width="12" customWidth="1" min="19" max="19"/>
    <col width="16" customWidth="1" min="20" max="20"/>
  </cols>
  <sheetData>
    <row r="1" ht="15" customHeight="1"/>
    <row r="2" ht="32" customHeight="1">
      <c r="B2" s="1" t="inlineStr">
        <is>
          <t>FICHE EMPLOYE — REPERTOIRE DU PERSONNEL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 Matricule</t>
        </is>
      </c>
      <c r="C4" s="11" t="inlineStr">
        <is>
          <t>Civilité</t>
        </is>
      </c>
      <c r="D4" s="11" t="inlineStr">
        <is>
          <t>Nom</t>
        </is>
      </c>
      <c r="E4" s="11" t="inlineStr">
        <is>
          <t>Prénom</t>
        </is>
      </c>
      <c r="F4" s="11" t="inlineStr">
        <is>
          <t>Date Naissance</t>
        </is>
      </c>
      <c r="G4" s="11" t="inlineStr">
        <is>
          <t>Lieu Naissance</t>
        </is>
      </c>
      <c r="H4" s="11" t="inlineStr">
        <is>
          <t>Genre</t>
        </is>
      </c>
      <c r="I4" s="11" t="inlineStr">
        <is>
          <t>Nationalité</t>
        </is>
      </c>
      <c r="J4" s="11" t="inlineStr">
        <is>
          <t>Situation Familiale</t>
        </is>
      </c>
      <c r="K4" s="11" t="inlineStr">
        <is>
          <t>N° Téléphone</t>
        </is>
      </c>
      <c r="L4" s="11" t="inlineStr">
        <is>
          <t>Email</t>
        </is>
      </c>
      <c r="M4" s="11" t="inlineStr">
        <is>
          <t>Adresse</t>
        </is>
      </c>
      <c r="N4" s="11" t="inlineStr">
        <is>
          <t>Département</t>
        </is>
      </c>
      <c r="O4" s="11" t="inlineStr">
        <is>
          <t>Poste</t>
        </is>
      </c>
      <c r="P4" s="11" t="inlineStr">
        <is>
          <t>Type Contrat</t>
        </is>
      </c>
      <c r="Q4" s="11" t="inlineStr">
        <is>
          <t>Catégorie</t>
        </is>
      </c>
      <c r="R4" s="11" t="inlineStr">
        <is>
          <t>Régime Travail</t>
        </is>
      </c>
      <c r="S4" s="11" t="inlineStr">
        <is>
          <t>Date Embauche</t>
        </is>
      </c>
      <c r="T4" s="11" t="inlineStr">
        <is>
          <t>Ancienneté (ans)</t>
        </is>
      </c>
      <c r="U4" s="11" t="inlineStr">
        <is>
          <t>Statut</t>
        </is>
      </c>
    </row>
    <row r="5" ht="22" customHeight="1">
      <c r="B5" s="12" t="inlineStr">
        <is>
          <t>EMP-001</t>
        </is>
      </c>
      <c r="C5" s="12" t="inlineStr">
        <is>
          <t>M.</t>
        </is>
      </c>
      <c r="D5" s="12" t="inlineStr">
        <is>
          <t>Nganou</t>
        </is>
      </c>
      <c r="E5" s="12" t="inlineStr">
        <is>
          <t>Clarisse</t>
        </is>
      </c>
      <c r="F5" s="27" t="n">
        <v>32217</v>
      </c>
      <c r="G5" s="12" t="inlineStr">
        <is>
          <t>Douala</t>
        </is>
      </c>
      <c r="H5" s="12" t="inlineStr">
        <is>
          <t>Feminin</t>
        </is>
      </c>
      <c r="I5" s="12" t="inlineStr">
        <is>
          <t>Camerounaise</t>
        </is>
      </c>
      <c r="J5" s="12" t="inlineStr">
        <is>
          <t>Marie(e)</t>
        </is>
      </c>
      <c r="K5" s="12" t="inlineStr">
        <is>
          <t>699123456</t>
        </is>
      </c>
      <c r="L5" s="12" t="inlineStr">
        <is>
          <t>c.nganou@hotel.com</t>
        </is>
      </c>
      <c r="M5" s="12" t="inlineStr">
        <is>
          <t>Douala Bonapriso</t>
        </is>
      </c>
      <c r="N5" s="12" t="inlineStr">
        <is>
          <t>Service Client</t>
        </is>
      </c>
      <c r="O5" s="12" t="inlineStr">
        <is>
          <t>DRH</t>
        </is>
      </c>
      <c r="P5" s="12" t="inlineStr">
        <is>
          <t>CDI</t>
        </is>
      </c>
      <c r="Q5" s="12" t="inlineStr">
        <is>
          <t>Cadre</t>
        </is>
      </c>
      <c r="R5" s="12" t="inlineStr">
        <is>
          <t>Temps plein</t>
        </is>
      </c>
      <c r="S5" s="27" t="n">
        <v>43845</v>
      </c>
      <c r="T5" s="32">
        <f>IF(S5="","",IFERROR((TODAY()-S5)/365.25,0))</f>
        <v/>
      </c>
      <c r="U5" s="12" t="inlineStr">
        <is>
          <t>Actif</t>
        </is>
      </c>
    </row>
    <row r="6" ht="22" customHeight="1">
      <c r="B6" s="14" t="inlineStr">
        <is>
          <t>EMP-002</t>
        </is>
      </c>
      <c r="C6" s="14" t="inlineStr">
        <is>
          <t>M.</t>
        </is>
      </c>
      <c r="D6" s="14" t="inlineStr">
        <is>
          <t>Tchinda</t>
        </is>
      </c>
      <c r="E6" s="14" t="inlineStr">
        <is>
          <t>Armand</t>
        </is>
      </c>
      <c r="F6" s="28" t="n">
        <v>33807</v>
      </c>
      <c r="G6" s="14" t="inlineStr">
        <is>
          <t>Yaoundé</t>
        </is>
      </c>
      <c r="H6" s="14" t="inlineStr">
        <is>
          <t>Masculin</t>
        </is>
      </c>
      <c r="I6" s="14" t="inlineStr">
        <is>
          <t>Camerounaise</t>
        </is>
      </c>
      <c r="J6" s="14" t="inlineStr">
        <is>
          <t>Celibataire</t>
        </is>
      </c>
      <c r="K6" s="14" t="inlineStr">
        <is>
          <t>677234567</t>
        </is>
      </c>
      <c r="L6" s="14" t="inlineStr">
        <is>
          <t>a.tchinda@hotel.com</t>
        </is>
      </c>
      <c r="M6" s="14" t="inlineStr">
        <is>
          <t>Douala Makepe</t>
        </is>
      </c>
      <c r="N6" s="14" t="inlineStr">
        <is>
          <t>Maintenance</t>
        </is>
      </c>
      <c r="O6" s="14" t="inlineStr">
        <is>
          <t>Chef de service IT</t>
        </is>
      </c>
      <c r="P6" s="14" t="inlineStr">
        <is>
          <t>CDI</t>
        </is>
      </c>
      <c r="Q6" s="14" t="inlineStr">
        <is>
          <t>Cadre</t>
        </is>
      </c>
      <c r="R6" s="14" t="inlineStr">
        <is>
          <t>Temps plein</t>
        </is>
      </c>
      <c r="S6" s="28" t="n">
        <v>43617</v>
      </c>
      <c r="T6" s="33">
        <f>IF(S6="","",IFERROR((TODAY()-S6)/365.25,0))</f>
        <v/>
      </c>
      <c r="U6" s="14" t="inlineStr">
        <is>
          <t>Actif</t>
        </is>
      </c>
    </row>
    <row r="7" ht="22" customHeight="1">
      <c r="B7" s="12" t="inlineStr">
        <is>
          <t>EMP-003</t>
        </is>
      </c>
      <c r="C7" s="12" t="inlineStr">
        <is>
          <t>Mme</t>
        </is>
      </c>
      <c r="D7" s="12" t="inlineStr">
        <is>
          <t>Fotso</t>
        </is>
      </c>
      <c r="E7" s="12" t="inlineStr">
        <is>
          <t>Marguerite</t>
        </is>
      </c>
      <c r="F7" s="27" t="n">
        <v>31359</v>
      </c>
      <c r="G7" s="12" t="inlineStr">
        <is>
          <t>Bafoussam</t>
        </is>
      </c>
      <c r="H7" s="12" t="inlineStr">
        <is>
          <t>Feminin</t>
        </is>
      </c>
      <c r="I7" s="12" t="inlineStr">
        <is>
          <t>Camerounaise</t>
        </is>
      </c>
      <c r="J7" s="12" t="inlineStr">
        <is>
          <t>Divorce(e)</t>
        </is>
      </c>
      <c r="K7" s="12" t="inlineStr">
        <is>
          <t>698345678</t>
        </is>
      </c>
      <c r="L7" s="12" t="inlineStr">
        <is>
          <t>m.fotso@hotel.com</t>
        </is>
      </c>
      <c r="M7" s="12" t="inlineStr">
        <is>
          <t>Douala Akwa</t>
        </is>
      </c>
      <c r="N7" s="12" t="inlineStr">
        <is>
          <t>Finance &amp; Comptabilité</t>
        </is>
      </c>
      <c r="O7" s="12" t="inlineStr">
        <is>
          <t>Comptable senior</t>
        </is>
      </c>
      <c r="P7" s="12" t="inlineStr">
        <is>
          <t>CDI</t>
        </is>
      </c>
      <c r="Q7" s="12" t="inlineStr">
        <is>
          <t>Cadre</t>
        </is>
      </c>
      <c r="R7" s="12" t="inlineStr">
        <is>
          <t>Temps plein</t>
        </is>
      </c>
      <c r="S7" s="27" t="n">
        <v>42795</v>
      </c>
      <c r="T7" s="32">
        <f>IF(S7="","",IFERROR((TODAY()-S7)/365.25,0))</f>
        <v/>
      </c>
      <c r="U7" s="12" t="inlineStr">
        <is>
          <t>Actif</t>
        </is>
      </c>
    </row>
    <row r="8" ht="22" customHeight="1">
      <c r="B8" s="14" t="inlineStr">
        <is>
          <t>EMP-004</t>
        </is>
      </c>
      <c r="C8" s="14" t="inlineStr">
        <is>
          <t>M.</t>
        </is>
      </c>
      <c r="D8" s="14" t="inlineStr">
        <is>
          <t>Ouedraogo</t>
        </is>
      </c>
      <c r="E8" s="14" t="inlineStr">
        <is>
          <t>Ibrahim</t>
        </is>
      </c>
      <c r="F8" s="28" t="n">
        <v>34744</v>
      </c>
      <c r="G8" s="14" t="inlineStr">
        <is>
          <t>Garoua</t>
        </is>
      </c>
      <c r="H8" s="14" t="inlineStr">
        <is>
          <t>Masculin</t>
        </is>
      </c>
      <c r="I8" s="14" t="inlineStr">
        <is>
          <t>Camerounaise</t>
        </is>
      </c>
      <c r="J8" s="14" t="inlineStr">
        <is>
          <t>Celibataire</t>
        </is>
      </c>
      <c r="K8" s="14" t="inlineStr">
        <is>
          <t>690456789</t>
        </is>
      </c>
      <c r="L8" s="14" t="inlineStr">
        <is>
          <t>i.ouedraogo@hotel.com</t>
        </is>
      </c>
      <c r="M8" s="14" t="inlineStr">
        <is>
          <t>Douala Deido</t>
        </is>
      </c>
      <c r="N8" s="14" t="inlineStr">
        <is>
          <t>Logistique &amp; Approvisionnement</t>
        </is>
      </c>
      <c r="O8" s="14" t="inlineStr">
        <is>
          <t>Magasinier</t>
        </is>
      </c>
      <c r="P8" s="14" t="inlineStr">
        <is>
          <t>CDI</t>
        </is>
      </c>
      <c r="Q8" s="14" t="inlineStr">
        <is>
          <t>Employe</t>
        </is>
      </c>
      <c r="R8" s="14" t="inlineStr">
        <is>
          <t>Temps plein</t>
        </is>
      </c>
      <c r="S8" s="28" t="n">
        <v>44454</v>
      </c>
      <c r="T8" s="33">
        <f>IF(S8="","",IFERROR((TODAY()-S8)/365.25,0))</f>
        <v/>
      </c>
      <c r="U8" s="14" t="inlineStr">
        <is>
          <t>Actif</t>
        </is>
      </c>
    </row>
    <row r="9" ht="22" customHeight="1">
      <c r="B9" s="12" t="inlineStr">
        <is>
          <t>EMP-005</t>
        </is>
      </c>
      <c r="C9" s="12" t="inlineStr">
        <is>
          <t>M.</t>
        </is>
      </c>
      <c r="D9" s="12" t="inlineStr">
        <is>
          <t>Diallo</t>
        </is>
      </c>
      <c r="E9" s="12" t="inlineStr">
        <is>
          <t>Moussa</t>
        </is>
      </c>
      <c r="F9" s="27" t="n">
        <v>33054</v>
      </c>
      <c r="G9" s="12" t="inlineStr">
        <is>
          <t>Maroua</t>
        </is>
      </c>
      <c r="H9" s="12" t="inlineStr">
        <is>
          <t>Masculin</t>
        </is>
      </c>
      <c r="I9" s="12" t="inlineStr">
        <is>
          <t>Camerounaise</t>
        </is>
      </c>
      <c r="J9" s="12" t="inlineStr">
        <is>
          <t>Marie(e)</t>
        </is>
      </c>
      <c r="K9" s="12" t="inlineStr">
        <is>
          <t>677567890</t>
        </is>
      </c>
      <c r="L9" s="12" t="inlineStr">
        <is>
          <t>m.diallo@hotel.com</t>
        </is>
      </c>
      <c r="M9" s="12" t="inlineStr">
        <is>
          <t>Douala Bonaberi</t>
        </is>
      </c>
      <c r="N9" s="12" t="inlineStr">
        <is>
          <t>Cuisine &amp; Restauration</t>
        </is>
      </c>
      <c r="O9" s="12" t="inlineStr">
        <is>
          <t>Operateur de production</t>
        </is>
      </c>
      <c r="P9" s="12" t="inlineStr">
        <is>
          <t>Interim</t>
        </is>
      </c>
      <c r="Q9" s="12" t="inlineStr">
        <is>
          <t>Ouvrier</t>
        </is>
      </c>
      <c r="R9" s="12" t="inlineStr">
        <is>
          <t>Temps plein</t>
        </is>
      </c>
      <c r="S9" s="27" t="n">
        <v>45383</v>
      </c>
      <c r="T9" s="32">
        <f>IF(S9="","",IFERROR((TODAY()-S9)/365.25,0))</f>
        <v/>
      </c>
      <c r="U9" s="12" t="inlineStr">
        <is>
          <t>Actif</t>
        </is>
      </c>
    </row>
    <row r="10" ht="22" customHeight="1">
      <c r="B10" s="16">
        <f>IF(C10="","EMP-"&amp;TEXT(COUNTA($C$5:C10),"000"))</f>
        <v/>
      </c>
      <c r="C10" s="14" t="n"/>
      <c r="D10" s="14" t="n"/>
      <c r="E10" s="14" t="n"/>
      <c r="F10" s="28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28" t="n"/>
      <c r="T10" s="33">
        <f>IF(S10="","",IFERROR((TODAY()-S10)/365.25,0))</f>
        <v/>
      </c>
      <c r="U10" s="14" t="n"/>
    </row>
    <row r="11" ht="22" customHeight="1">
      <c r="B11" s="17">
        <f>IF(C11="","EMP-"&amp;TEXT(COUNTA($C$5:C11),"000"))</f>
        <v/>
      </c>
      <c r="C11" s="12" t="n"/>
      <c r="D11" s="12" t="n"/>
      <c r="E11" s="12" t="n"/>
      <c r="F11" s="27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27" t="n"/>
      <c r="T11" s="32">
        <f>IF(S11="","",IFERROR((TODAY()-S11)/365.25,0))</f>
        <v/>
      </c>
      <c r="U11" s="12" t="n"/>
    </row>
    <row r="12" ht="22" customHeight="1">
      <c r="B12" s="16">
        <f>IF(C12="","EMP-"&amp;TEXT(COUNTA($C$5:C12),"000"))</f>
        <v/>
      </c>
      <c r="C12" s="14" t="n"/>
      <c r="D12" s="14" t="n"/>
      <c r="E12" s="14" t="n"/>
      <c r="F12" s="28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28" t="n"/>
      <c r="T12" s="33">
        <f>IF(S12="","",IFERROR((TODAY()-S12)/365.25,0))</f>
        <v/>
      </c>
      <c r="U12" s="14" t="n"/>
    </row>
    <row r="13" ht="22" customHeight="1">
      <c r="B13" s="17">
        <f>IF(C13="","EMP-"&amp;TEXT(COUNTA($C$5:C13),"000"))</f>
        <v/>
      </c>
      <c r="C13" s="12" t="n"/>
      <c r="D13" s="12" t="n"/>
      <c r="E13" s="12" t="n"/>
      <c r="F13" s="27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27" t="n"/>
      <c r="T13" s="32">
        <f>IF(S13="","",IFERROR((TODAY()-S13)/365.25,0))</f>
        <v/>
      </c>
      <c r="U13" s="12" t="n"/>
    </row>
    <row r="14" ht="22" customHeight="1">
      <c r="B14" s="16">
        <f>IF(C14="","EMP-"&amp;TEXT(COUNTA($C$5:C14),"000"))</f>
        <v/>
      </c>
      <c r="C14" s="14" t="n"/>
      <c r="D14" s="14" t="n"/>
      <c r="E14" s="14" t="n"/>
      <c r="F14" s="28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28" t="n"/>
      <c r="T14" s="33">
        <f>IF(S14="","",IFERROR((TODAY()-S14)/365.25,0))</f>
        <v/>
      </c>
      <c r="U14" s="14" t="n"/>
    </row>
    <row r="15" ht="22" customHeight="1">
      <c r="B15" s="17">
        <f>IF(C15="","EMP-"&amp;TEXT(COUNTA($C$5:C15),"000"))</f>
        <v/>
      </c>
      <c r="C15" s="12" t="n"/>
      <c r="D15" s="12" t="n"/>
      <c r="E15" s="12" t="n"/>
      <c r="F15" s="27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27" t="n"/>
      <c r="T15" s="32">
        <f>IF(S15="","",IFERROR((TODAY()-S15)/365.25,0))</f>
        <v/>
      </c>
      <c r="U15" s="12" t="n"/>
    </row>
    <row r="16" ht="22" customHeight="1">
      <c r="B16" s="16">
        <f>IF(C16="","EMP-"&amp;TEXT(COUNTA($C$5:C16),"000"))</f>
        <v/>
      </c>
      <c r="C16" s="14" t="n"/>
      <c r="D16" s="14" t="n"/>
      <c r="E16" s="14" t="n"/>
      <c r="F16" s="28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28" t="n"/>
      <c r="T16" s="33">
        <f>IF(S16="","",IFERROR((TODAY()-S16)/365.25,0))</f>
        <v/>
      </c>
      <c r="U16" s="14" t="n"/>
    </row>
    <row r="17" ht="22" customHeight="1">
      <c r="B17" s="17">
        <f>IF(C17="","EMP-"&amp;TEXT(COUNTA($C$5:C17),"000"))</f>
        <v/>
      </c>
      <c r="C17" s="12" t="n"/>
      <c r="D17" s="12" t="n"/>
      <c r="E17" s="12" t="n"/>
      <c r="F17" s="27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27" t="n"/>
      <c r="T17" s="32">
        <f>IF(S17="","",IFERROR((TODAY()-S17)/365.25,0))</f>
        <v/>
      </c>
      <c r="U17" s="12" t="n"/>
    </row>
    <row r="18" ht="22" customHeight="1">
      <c r="B18" s="16">
        <f>IF(C18="","EMP-"&amp;TEXT(COUNTA($C$5:C18),"000"))</f>
        <v/>
      </c>
      <c r="C18" s="14" t="n"/>
      <c r="D18" s="14" t="n"/>
      <c r="E18" s="14" t="n"/>
      <c r="F18" s="28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28" t="n"/>
      <c r="T18" s="33">
        <f>IF(S18="","",IFERROR((TODAY()-S18)/365.25,0))</f>
        <v/>
      </c>
      <c r="U18" s="14" t="n"/>
    </row>
    <row r="19" ht="22" customHeight="1">
      <c r="B19" s="17">
        <f>IF(C19="","EMP-"&amp;TEXT(COUNTA($C$5:C19),"000"))</f>
        <v/>
      </c>
      <c r="C19" s="12" t="n"/>
      <c r="D19" s="12" t="n"/>
      <c r="E19" s="12" t="n"/>
      <c r="F19" s="27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27" t="n"/>
      <c r="T19" s="32">
        <f>IF(S19="","",IFERROR((TODAY()-S19)/365.25,0))</f>
        <v/>
      </c>
      <c r="U19" s="12" t="n"/>
    </row>
    <row r="20" ht="22" customHeight="1">
      <c r="B20" s="16">
        <f>IF(C20="","EMP-"&amp;TEXT(COUNTA($C$5:C20),"000"))</f>
        <v/>
      </c>
      <c r="C20" s="14" t="n"/>
      <c r="D20" s="14" t="n"/>
      <c r="E20" s="14" t="n"/>
      <c r="F20" s="28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28" t="n"/>
      <c r="T20" s="33">
        <f>IF(S20="","",IFERROR((TODAY()-S20)/365.25,0))</f>
        <v/>
      </c>
      <c r="U20" s="14" t="n"/>
    </row>
    <row r="21" ht="22" customHeight="1">
      <c r="B21" s="17">
        <f>IF(C21="","EMP-"&amp;TEXT(COUNTA($C$5:C21),"000"))</f>
        <v/>
      </c>
      <c r="C21" s="12" t="n"/>
      <c r="D21" s="12" t="n"/>
      <c r="E21" s="12" t="n"/>
      <c r="F21" s="27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27" t="n"/>
      <c r="T21" s="32">
        <f>IF(S21="","",IFERROR((TODAY()-S21)/365.25,0))</f>
        <v/>
      </c>
      <c r="U21" s="12" t="n"/>
    </row>
    <row r="22" ht="22" customHeight="1">
      <c r="B22" s="16">
        <f>IF(C22="","EMP-"&amp;TEXT(COUNTA($C$5:C22),"000"))</f>
        <v/>
      </c>
      <c r="C22" s="14" t="n"/>
      <c r="D22" s="14" t="n"/>
      <c r="E22" s="14" t="n"/>
      <c r="F22" s="28" t="n"/>
      <c r="G22" s="14" t="n"/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28" t="n"/>
      <c r="T22" s="33">
        <f>IF(S22="","",IFERROR((TODAY()-S22)/365.25,0))</f>
        <v/>
      </c>
      <c r="U22" s="14" t="n"/>
    </row>
    <row r="23" ht="22" customHeight="1">
      <c r="B23" s="17">
        <f>IF(C23="","EMP-"&amp;TEXT(COUNTA($C$5:C23),"000"))</f>
        <v/>
      </c>
      <c r="C23" s="12" t="n"/>
      <c r="D23" s="12" t="n"/>
      <c r="E23" s="12" t="n"/>
      <c r="F23" s="27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27" t="n"/>
      <c r="T23" s="32">
        <f>IF(S23="","",IFERROR((TODAY()-S23)/365.25,0))</f>
        <v/>
      </c>
      <c r="U23" s="12" t="n"/>
    </row>
    <row r="24" ht="22" customHeight="1">
      <c r="B24" s="16">
        <f>IF(C24="","EMP-"&amp;TEXT(COUNTA($C$5:C24),"000"))</f>
        <v/>
      </c>
      <c r="C24" s="14" t="n"/>
      <c r="D24" s="14" t="n"/>
      <c r="E24" s="14" t="n"/>
      <c r="F24" s="28" t="n"/>
      <c r="G24" s="14" t="n"/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28" t="n"/>
      <c r="T24" s="33">
        <f>IF(S24="","",IFERROR((TODAY()-S24)/365.25,0))</f>
        <v/>
      </c>
      <c r="U24" s="14" t="n"/>
    </row>
    <row r="25" ht="22" customHeight="1">
      <c r="B25" s="17">
        <f>IF(C25="","EMP-"&amp;TEXT(COUNTA($C$5:C25),"000"))</f>
        <v/>
      </c>
      <c r="C25" s="12" t="n"/>
      <c r="D25" s="12" t="n"/>
      <c r="E25" s="12" t="n"/>
      <c r="F25" s="27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27" t="n"/>
      <c r="T25" s="32">
        <f>IF(S25="","",IFERROR((TODAY()-S25)/365.25,0))</f>
        <v/>
      </c>
      <c r="U25" s="12" t="n"/>
    </row>
    <row r="26" ht="22" customHeight="1">
      <c r="B26" s="16">
        <f>IF(C26="","EMP-"&amp;TEXT(COUNTA($C$5:C26),"000"))</f>
        <v/>
      </c>
      <c r="C26" s="14" t="n"/>
      <c r="D26" s="14" t="n"/>
      <c r="E26" s="14" t="n"/>
      <c r="F26" s="28" t="n"/>
      <c r="G26" s="14" t="n"/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28" t="n"/>
      <c r="T26" s="33">
        <f>IF(S26="","",IFERROR((TODAY()-S26)/365.25,0))</f>
        <v/>
      </c>
      <c r="U26" s="14" t="n"/>
    </row>
    <row r="27" ht="22" customHeight="1">
      <c r="B27" s="17">
        <f>IF(C27="","EMP-"&amp;TEXT(COUNTA($C$5:C27),"000"))</f>
        <v/>
      </c>
      <c r="C27" s="12" t="n"/>
      <c r="D27" s="12" t="n"/>
      <c r="E27" s="12" t="n"/>
      <c r="F27" s="27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27" t="n"/>
      <c r="T27" s="32">
        <f>IF(S27="","",IFERROR((TODAY()-S27)/365.25,0))</f>
        <v/>
      </c>
      <c r="U27" s="12" t="n"/>
    </row>
    <row r="28" ht="22" customHeight="1">
      <c r="B28" s="16">
        <f>IF(C28="","EMP-"&amp;TEXT(COUNTA($C$5:C28),"000"))</f>
        <v/>
      </c>
      <c r="C28" s="14" t="n"/>
      <c r="D28" s="14" t="n"/>
      <c r="E28" s="14" t="n"/>
      <c r="F28" s="28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28" t="n"/>
      <c r="T28" s="33">
        <f>IF(S28="","",IFERROR((TODAY()-S28)/365.25,0))</f>
        <v/>
      </c>
      <c r="U28" s="14" t="n"/>
    </row>
    <row r="29" ht="22" customHeight="1">
      <c r="B29" s="17">
        <f>IF(C29="","EMP-"&amp;TEXT(COUNTA($C$5:C29),"000"))</f>
        <v/>
      </c>
      <c r="C29" s="12" t="n"/>
      <c r="D29" s="12" t="n"/>
      <c r="E29" s="12" t="n"/>
      <c r="F29" s="27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27" t="n"/>
      <c r="T29" s="32">
        <f>IF(S29="","",IFERROR((TODAY()-S29)/365.25,0))</f>
        <v/>
      </c>
      <c r="U29" s="12" t="n"/>
    </row>
    <row r="30" ht="22" customHeight="1">
      <c r="B30" s="16">
        <f>IF(C30="","EMP-"&amp;TEXT(COUNTA($C$5:C30),"000"))</f>
        <v/>
      </c>
      <c r="C30" s="14" t="n"/>
      <c r="D30" s="14" t="n"/>
      <c r="E30" s="14" t="n"/>
      <c r="F30" s="28" t="n"/>
      <c r="G30" s="14" t="n"/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28" t="n"/>
      <c r="T30" s="33">
        <f>IF(S30="","",IFERROR((TODAY()-S30)/365.25,0))</f>
        <v/>
      </c>
      <c r="U30" s="14" t="n"/>
    </row>
    <row r="31" ht="22" customHeight="1">
      <c r="B31" s="17">
        <f>IF(C31="","EMP-"&amp;TEXT(COUNTA($C$5:C31),"000"))</f>
        <v/>
      </c>
      <c r="C31" s="12" t="n"/>
      <c r="D31" s="12" t="n"/>
      <c r="E31" s="12" t="n"/>
      <c r="F31" s="27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27" t="n"/>
      <c r="T31" s="32">
        <f>IF(S31="","",IFERROR((TODAY()-S31)/365.25,0))</f>
        <v/>
      </c>
      <c r="U31" s="12" t="n"/>
    </row>
    <row r="32" ht="22" customHeight="1">
      <c r="B32" s="16">
        <f>IF(C32="","EMP-"&amp;TEXT(COUNTA($C$5:C32),"000"))</f>
        <v/>
      </c>
      <c r="C32" s="14" t="n"/>
      <c r="D32" s="14" t="n"/>
      <c r="E32" s="14" t="n"/>
      <c r="F32" s="28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28" t="n"/>
      <c r="T32" s="33">
        <f>IF(S32="","",IFERROR((TODAY()-S32)/365.25,0))</f>
        <v/>
      </c>
      <c r="U32" s="14" t="n"/>
    </row>
    <row r="33" ht="22" customHeight="1">
      <c r="B33" s="17">
        <f>IF(C33="","EMP-"&amp;TEXT(COUNTA($C$5:C33),"000"))</f>
        <v/>
      </c>
      <c r="C33" s="12" t="n"/>
      <c r="D33" s="12" t="n"/>
      <c r="E33" s="12" t="n"/>
      <c r="F33" s="27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27" t="n"/>
      <c r="T33" s="32">
        <f>IF(S33="","",IFERROR((TODAY()-S33)/365.25,0))</f>
        <v/>
      </c>
      <c r="U33" s="12" t="n"/>
    </row>
    <row r="34" ht="22" customHeight="1">
      <c r="B34" s="16">
        <f>IF(C34="","EMP-"&amp;TEXT(COUNTA($C$5:C34),"000"))</f>
        <v/>
      </c>
      <c r="C34" s="14" t="n"/>
      <c r="D34" s="14" t="n"/>
      <c r="E34" s="14" t="n"/>
      <c r="F34" s="28" t="n"/>
      <c r="G34" s="14" t="n"/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28" t="n"/>
      <c r="T34" s="33">
        <f>IF(S34="","",IFERROR((TODAY()-S34)/365.25,0))</f>
        <v/>
      </c>
      <c r="U34" s="14" t="n"/>
    </row>
    <row r="35" ht="22" customHeight="1">
      <c r="B35" s="17">
        <f>IF(C35="","EMP-"&amp;TEXT(COUNTA($C$5:C35),"000"))</f>
        <v/>
      </c>
      <c r="C35" s="12" t="n"/>
      <c r="D35" s="12" t="n"/>
      <c r="E35" s="12" t="n"/>
      <c r="F35" s="27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27" t="n"/>
      <c r="T35" s="32">
        <f>IF(S35="","",IFERROR((TODAY()-S35)/365.25,0))</f>
        <v/>
      </c>
      <c r="U35" s="12" t="n"/>
    </row>
    <row r="36" ht="22" customHeight="1">
      <c r="B36" s="16">
        <f>IF(C36="","EMP-"&amp;TEXT(COUNTA($C$5:C36),"000"))</f>
        <v/>
      </c>
      <c r="C36" s="14" t="n"/>
      <c r="D36" s="14" t="n"/>
      <c r="E36" s="14" t="n"/>
      <c r="F36" s="28" t="n"/>
      <c r="G36" s="14" t="n"/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28" t="n"/>
      <c r="T36" s="33">
        <f>IF(S36="","",IFERROR((TODAY()-S36)/365.25,0))</f>
        <v/>
      </c>
      <c r="U36" s="14" t="n"/>
    </row>
    <row r="37" ht="22" customHeight="1">
      <c r="B37" s="17">
        <f>IF(C37="","EMP-"&amp;TEXT(COUNTA($C$5:C37),"000"))</f>
        <v/>
      </c>
      <c r="C37" s="12" t="n"/>
      <c r="D37" s="12" t="n"/>
      <c r="E37" s="12" t="n"/>
      <c r="F37" s="27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27" t="n"/>
      <c r="T37" s="32">
        <f>IF(S37="","",IFERROR((TODAY()-S37)/365.25,0))</f>
        <v/>
      </c>
      <c r="U37" s="12" t="n"/>
    </row>
    <row r="38" ht="22" customHeight="1">
      <c r="B38" s="16">
        <f>IF(C38="","EMP-"&amp;TEXT(COUNTA($C$5:C38),"000"))</f>
        <v/>
      </c>
      <c r="C38" s="14" t="n"/>
      <c r="D38" s="14" t="n"/>
      <c r="E38" s="14" t="n"/>
      <c r="F38" s="28" t="n"/>
      <c r="G38" s="14" t="n"/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28" t="n"/>
      <c r="T38" s="33">
        <f>IF(S38="","",IFERROR((TODAY()-S38)/365.25,0))</f>
        <v/>
      </c>
      <c r="U38" s="14" t="n"/>
    </row>
    <row r="39" ht="22" customHeight="1">
      <c r="B39" s="17">
        <f>IF(C39="","EMP-"&amp;TEXT(COUNTA($C$5:C39),"000"))</f>
        <v/>
      </c>
      <c r="C39" s="12" t="n"/>
      <c r="D39" s="12" t="n"/>
      <c r="E39" s="12" t="n"/>
      <c r="F39" s="27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27" t="n"/>
      <c r="T39" s="32">
        <f>IF(S39="","",IFERROR((TODAY()-S39)/365.25,0))</f>
        <v/>
      </c>
      <c r="U39" s="12" t="n"/>
    </row>
    <row r="40" ht="22" customHeight="1">
      <c r="B40" s="16">
        <f>IF(C40="","EMP-"&amp;TEXT(COUNTA($C$5:C40),"000"))</f>
        <v/>
      </c>
      <c r="C40" s="14" t="n"/>
      <c r="D40" s="14" t="n"/>
      <c r="E40" s="14" t="n"/>
      <c r="F40" s="28" t="n"/>
      <c r="G40" s="14" t="n"/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28" t="n"/>
      <c r="T40" s="33">
        <f>IF(S40="","",IFERROR((TODAY()-S40)/365.25,0))</f>
        <v/>
      </c>
      <c r="U40" s="14" t="n"/>
    </row>
    <row r="41" ht="22" customHeight="1">
      <c r="B41" s="17">
        <f>IF(C41="","EMP-"&amp;TEXT(COUNTA($C$5:C41),"000"))</f>
        <v/>
      </c>
      <c r="C41" s="12" t="n"/>
      <c r="D41" s="12" t="n"/>
      <c r="E41" s="12" t="n"/>
      <c r="F41" s="27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27" t="n"/>
      <c r="T41" s="32">
        <f>IF(S41="","",IFERROR((TODAY()-S41)/365.25,0))</f>
        <v/>
      </c>
      <c r="U41" s="12" t="n"/>
    </row>
    <row r="42" ht="22" customHeight="1">
      <c r="B42" s="16">
        <f>IF(C42="","EMP-"&amp;TEXT(COUNTA($C$5:C42),"000"))</f>
        <v/>
      </c>
      <c r="C42" s="14" t="n"/>
      <c r="D42" s="14" t="n"/>
      <c r="E42" s="14" t="n"/>
      <c r="F42" s="28" t="n"/>
      <c r="G42" s="14" t="n"/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28" t="n"/>
      <c r="T42" s="33">
        <f>IF(S42="","",IFERROR((TODAY()-S42)/365.25,0))</f>
        <v/>
      </c>
      <c r="U42" s="14" t="n"/>
    </row>
    <row r="43" ht="22" customHeight="1">
      <c r="B43" s="17">
        <f>IF(C43="","EMP-"&amp;TEXT(COUNTA($C$5:C43),"000"))</f>
        <v/>
      </c>
      <c r="C43" s="12" t="n"/>
      <c r="D43" s="12" t="n"/>
      <c r="E43" s="12" t="n"/>
      <c r="F43" s="27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27" t="n"/>
      <c r="T43" s="32">
        <f>IF(S43="","",IFERROR((TODAY()-S43)/365.25,0))</f>
        <v/>
      </c>
      <c r="U43" s="12" t="n"/>
    </row>
    <row r="44" ht="22" customHeight="1">
      <c r="B44" s="16">
        <f>IF(C44="","EMP-"&amp;TEXT(COUNTA($C$5:C44),"000"))</f>
        <v/>
      </c>
      <c r="C44" s="14" t="n"/>
      <c r="D44" s="14" t="n"/>
      <c r="E44" s="14" t="n"/>
      <c r="F44" s="28" t="n"/>
      <c r="G44" s="14" t="n"/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28" t="n"/>
      <c r="T44" s="33">
        <f>IF(S44="","",IFERROR((TODAY()-S44)/365.25,0))</f>
        <v/>
      </c>
      <c r="U44" s="14" t="n"/>
    </row>
    <row r="45" ht="22" customHeight="1">
      <c r="B45" s="17">
        <f>IF(C45="","EMP-"&amp;TEXT(COUNTA($C$5:C45),"000"))</f>
        <v/>
      </c>
      <c r="C45" s="12" t="n"/>
      <c r="D45" s="12" t="n"/>
      <c r="E45" s="12" t="n"/>
      <c r="F45" s="27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27" t="n"/>
      <c r="T45" s="32">
        <f>IF(S45="","",IFERROR((TODAY()-S45)/365.25,0))</f>
        <v/>
      </c>
      <c r="U45" s="12" t="n"/>
    </row>
    <row r="46" ht="22" customHeight="1">
      <c r="B46" s="16">
        <f>IF(C46="","EMP-"&amp;TEXT(COUNTA($C$5:C46),"000"))</f>
        <v/>
      </c>
      <c r="C46" s="14" t="n"/>
      <c r="D46" s="14" t="n"/>
      <c r="E46" s="14" t="n"/>
      <c r="F46" s="28" t="n"/>
      <c r="G46" s="14" t="n"/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28" t="n"/>
      <c r="T46" s="33">
        <f>IF(S46="","",IFERROR((TODAY()-S46)/365.25,0))</f>
        <v/>
      </c>
      <c r="U46" s="14" t="n"/>
    </row>
    <row r="47" ht="22" customHeight="1">
      <c r="B47" s="17">
        <f>IF(C47="","EMP-"&amp;TEXT(COUNTA($C$5:C47),"000"))</f>
        <v/>
      </c>
      <c r="C47" s="12" t="n"/>
      <c r="D47" s="12" t="n"/>
      <c r="E47" s="12" t="n"/>
      <c r="F47" s="27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27" t="n"/>
      <c r="T47" s="32">
        <f>IF(S47="","",IFERROR((TODAY()-S47)/365.25,0))</f>
        <v/>
      </c>
      <c r="U47" s="12" t="n"/>
    </row>
    <row r="48" ht="22" customHeight="1">
      <c r="B48" s="16">
        <f>IF(C48="","EMP-"&amp;TEXT(COUNTA($C$5:C48),"000"))</f>
        <v/>
      </c>
      <c r="C48" s="14" t="n"/>
      <c r="D48" s="14" t="n"/>
      <c r="E48" s="14" t="n"/>
      <c r="F48" s="28" t="n"/>
      <c r="G48" s="14" t="n"/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28" t="n"/>
      <c r="T48" s="33">
        <f>IF(S48="","",IFERROR((TODAY()-S48)/365.25,0))</f>
        <v/>
      </c>
      <c r="U48" s="14" t="n"/>
    </row>
    <row r="49" ht="22" customHeight="1">
      <c r="B49" s="17">
        <f>IF(C49="","EMP-"&amp;TEXT(COUNTA($C$5:C49),"000"))</f>
        <v/>
      </c>
      <c r="C49" s="12" t="n"/>
      <c r="D49" s="12" t="n"/>
      <c r="E49" s="12" t="n"/>
      <c r="F49" s="27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27" t="n"/>
      <c r="T49" s="32">
        <f>IF(S49="","",IFERROR((TODAY()-S49)/365.25,0))</f>
        <v/>
      </c>
      <c r="U49" s="12" t="n"/>
    </row>
    <row r="50" ht="22" customHeight="1">
      <c r="B50" s="16">
        <f>IF(C50="","EMP-"&amp;TEXT(COUNTA($C$5:C50),"000"))</f>
        <v/>
      </c>
      <c r="C50" s="14" t="n"/>
      <c r="D50" s="14" t="n"/>
      <c r="E50" s="14" t="n"/>
      <c r="F50" s="28" t="n"/>
      <c r="G50" s="14" t="n"/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28" t="n"/>
      <c r="T50" s="33">
        <f>IF(S50="","",IFERROR((TODAY()-S50)/365.25,0))</f>
        <v/>
      </c>
      <c r="U50" s="14" t="n"/>
    </row>
    <row r="51" ht="22" customHeight="1">
      <c r="B51" s="17">
        <f>IF(C51="","EMP-"&amp;TEXT(COUNTA($C$5:C51),"000"))</f>
        <v/>
      </c>
      <c r="C51" s="12" t="n"/>
      <c r="D51" s="12" t="n"/>
      <c r="E51" s="12" t="n"/>
      <c r="F51" s="27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27" t="n"/>
      <c r="T51" s="32">
        <f>IF(S51="","",IFERROR((TODAY()-S51)/365.25,0))</f>
        <v/>
      </c>
      <c r="U51" s="12" t="n"/>
    </row>
    <row r="52" ht="22" customHeight="1">
      <c r="B52" s="16">
        <f>IF(C52="","EMP-"&amp;TEXT(COUNTA($C$5:C52),"000"))</f>
        <v/>
      </c>
      <c r="C52" s="14" t="n"/>
      <c r="D52" s="14" t="n"/>
      <c r="E52" s="14" t="n"/>
      <c r="F52" s="28" t="n"/>
      <c r="G52" s="14" t="n"/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28" t="n"/>
      <c r="T52" s="33">
        <f>IF(S52="","",IFERROR((TODAY()-S52)/365.25,0))</f>
        <v/>
      </c>
      <c r="U52" s="14" t="n"/>
    </row>
    <row r="53" ht="22" customHeight="1">
      <c r="B53" s="17">
        <f>IF(C53="","EMP-"&amp;TEXT(COUNTA($C$5:C53),"000"))</f>
        <v/>
      </c>
      <c r="C53" s="12" t="n"/>
      <c r="D53" s="12" t="n"/>
      <c r="E53" s="12" t="n"/>
      <c r="F53" s="27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27" t="n"/>
      <c r="T53" s="32">
        <f>IF(S53="","",IFERROR((TODAY()-S53)/365.25,0))</f>
        <v/>
      </c>
      <c r="U53" s="12" t="n"/>
    </row>
    <row r="54" ht="22" customHeight="1">
      <c r="B54" s="16">
        <f>IF(C54="","EMP-"&amp;TEXT(COUNTA($C$5:C54),"000"))</f>
        <v/>
      </c>
      <c r="C54" s="14" t="n"/>
      <c r="D54" s="14" t="n"/>
      <c r="E54" s="14" t="n"/>
      <c r="F54" s="28" t="n"/>
      <c r="G54" s="14" t="n"/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  <c r="R54" s="14" t="n"/>
      <c r="S54" s="28" t="n"/>
      <c r="T54" s="33">
        <f>IF(S54="","",IFERROR((TODAY()-S54)/365.25,0))</f>
        <v/>
      </c>
      <c r="U54" s="14" t="n"/>
    </row>
    <row r="55" ht="22" customHeight="1">
      <c r="B55" s="17">
        <f>IF(C55="","EMP-"&amp;TEXT(COUNTA($C$5:C55),"000"))</f>
        <v/>
      </c>
      <c r="C55" s="12" t="n"/>
      <c r="D55" s="12" t="n"/>
      <c r="E55" s="12" t="n"/>
      <c r="F55" s="27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27" t="n"/>
      <c r="T55" s="32">
        <f>IF(S55="","",IFERROR((TODAY()-S55)/365.25,0))</f>
        <v/>
      </c>
      <c r="U55" s="12" t="n"/>
    </row>
    <row r="56" ht="22" customHeight="1">
      <c r="B56" s="16">
        <f>IF(C56="","EMP-"&amp;TEXT(COUNTA($C$5:C56),"000"))</f>
        <v/>
      </c>
      <c r="C56" s="14" t="n"/>
      <c r="D56" s="14" t="n"/>
      <c r="E56" s="14" t="n"/>
      <c r="F56" s="28" t="n"/>
      <c r="G56" s="14" t="n"/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  <c r="R56" s="14" t="n"/>
      <c r="S56" s="28" t="n"/>
      <c r="T56" s="33">
        <f>IF(S56="","",IFERROR((TODAY()-S56)/365.25,0))</f>
        <v/>
      </c>
      <c r="U56" s="14" t="n"/>
    </row>
    <row r="57" ht="22" customHeight="1">
      <c r="B57" s="17">
        <f>IF(C57="","EMP-"&amp;TEXT(COUNTA($C$5:C57),"000"))</f>
        <v/>
      </c>
      <c r="C57" s="12" t="n"/>
      <c r="D57" s="12" t="n"/>
      <c r="E57" s="12" t="n"/>
      <c r="F57" s="27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27" t="n"/>
      <c r="T57" s="32">
        <f>IF(S57="","",IFERROR((TODAY()-S57)/365.25,0))</f>
        <v/>
      </c>
      <c r="U57" s="12" t="n"/>
    </row>
    <row r="58" ht="22" customHeight="1">
      <c r="B58" s="16">
        <f>IF(C58="","EMP-"&amp;TEXT(COUNTA($C$5:C58),"000"))</f>
        <v/>
      </c>
      <c r="C58" s="14" t="n"/>
      <c r="D58" s="14" t="n"/>
      <c r="E58" s="14" t="n"/>
      <c r="F58" s="28" t="n"/>
      <c r="G58" s="14" t="n"/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  <c r="R58" s="14" t="n"/>
      <c r="S58" s="28" t="n"/>
      <c r="T58" s="33">
        <f>IF(S58="","",IFERROR((TODAY()-S58)/365.25,0))</f>
        <v/>
      </c>
      <c r="U58" s="14" t="n"/>
    </row>
    <row r="59" ht="22" customHeight="1">
      <c r="B59" s="17">
        <f>IF(C59="","EMP-"&amp;TEXT(COUNTA($C$5:C59),"000"))</f>
        <v/>
      </c>
      <c r="C59" s="12" t="n"/>
      <c r="D59" s="12" t="n"/>
      <c r="E59" s="12" t="n"/>
      <c r="F59" s="27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27" t="n"/>
      <c r="T59" s="32">
        <f>IF(S59="","",IFERROR((TODAY()-S59)/365.25,0))</f>
        <v/>
      </c>
      <c r="U59" s="12" t="n"/>
    </row>
    <row r="60" ht="22" customHeight="1">
      <c r="B60" s="16">
        <f>IF(C60="","EMP-"&amp;TEXT(COUNTA($C$5:C60),"000"))</f>
        <v/>
      </c>
      <c r="C60" s="14" t="n"/>
      <c r="D60" s="14" t="n"/>
      <c r="E60" s="14" t="n"/>
      <c r="F60" s="28" t="n"/>
      <c r="G60" s="14" t="n"/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  <c r="R60" s="14" t="n"/>
      <c r="S60" s="28" t="n"/>
      <c r="T60" s="33">
        <f>IF(S60="","",IFERROR((TODAY()-S60)/365.25,0))</f>
        <v/>
      </c>
      <c r="U60" s="14" t="n"/>
    </row>
    <row r="61" ht="22" customHeight="1">
      <c r="B61" s="17">
        <f>IF(C61="","EMP-"&amp;TEXT(COUNTA($C$5:C61),"000"))</f>
        <v/>
      </c>
      <c r="C61" s="12" t="n"/>
      <c r="D61" s="12" t="n"/>
      <c r="E61" s="12" t="n"/>
      <c r="F61" s="27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27" t="n"/>
      <c r="T61" s="32">
        <f>IF(S61="","",IFERROR((TODAY()-S61)/365.25,0))</f>
        <v/>
      </c>
      <c r="U61" s="12" t="n"/>
    </row>
    <row r="62" ht="22" customHeight="1">
      <c r="B62" s="16">
        <f>IF(C62="","EMP-"&amp;TEXT(COUNTA($C$5:C62),"000"))</f>
        <v/>
      </c>
      <c r="C62" s="14" t="n"/>
      <c r="D62" s="14" t="n"/>
      <c r="E62" s="14" t="n"/>
      <c r="F62" s="28" t="n"/>
      <c r="G62" s="14" t="n"/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  <c r="R62" s="14" t="n"/>
      <c r="S62" s="28" t="n"/>
      <c r="T62" s="33">
        <f>IF(S62="","",IFERROR((TODAY()-S62)/365.25,0))</f>
        <v/>
      </c>
      <c r="U62" s="14" t="n"/>
    </row>
    <row r="63" ht="22" customHeight="1">
      <c r="B63" s="17">
        <f>IF(C63="","EMP-"&amp;TEXT(COUNTA($C$5:C63),"000"))</f>
        <v/>
      </c>
      <c r="C63" s="12" t="n"/>
      <c r="D63" s="12" t="n"/>
      <c r="E63" s="12" t="n"/>
      <c r="F63" s="27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27" t="n"/>
      <c r="T63" s="32">
        <f>IF(S63="","",IFERROR((TODAY()-S63)/365.25,0))</f>
        <v/>
      </c>
      <c r="U63" s="12" t="n"/>
    </row>
    <row r="64" ht="22" customHeight="1">
      <c r="B64" s="16">
        <f>IF(C64="","EMP-"&amp;TEXT(COUNTA($C$5:C64),"000"))</f>
        <v/>
      </c>
      <c r="C64" s="14" t="n"/>
      <c r="D64" s="14" t="n"/>
      <c r="E64" s="14" t="n"/>
      <c r="F64" s="28" t="n"/>
      <c r="G64" s="14" t="n"/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  <c r="R64" s="14" t="n"/>
      <c r="S64" s="28" t="n"/>
      <c r="T64" s="33">
        <f>IF(S64="","",IFERROR((TODAY()-S64)/365.25,0))</f>
        <v/>
      </c>
      <c r="U64" s="14" t="n"/>
    </row>
    <row r="65" ht="22" customHeight="1">
      <c r="B65" s="17">
        <f>IF(C65="","EMP-"&amp;TEXT(COUNTA($C$5:C65),"000"))</f>
        <v/>
      </c>
      <c r="C65" s="12" t="n"/>
      <c r="D65" s="12" t="n"/>
      <c r="E65" s="12" t="n"/>
      <c r="F65" s="27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27" t="n"/>
      <c r="T65" s="32">
        <f>IF(S65="","",IFERROR((TODAY()-S65)/365.25,0))</f>
        <v/>
      </c>
      <c r="U65" s="12" t="n"/>
    </row>
    <row r="66" ht="22" customHeight="1">
      <c r="B66" s="16">
        <f>IF(C66="","EMP-"&amp;TEXT(COUNTA($C$5:C66),"000"))</f>
        <v/>
      </c>
      <c r="C66" s="14" t="n"/>
      <c r="D66" s="14" t="n"/>
      <c r="E66" s="14" t="n"/>
      <c r="F66" s="28" t="n"/>
      <c r="G66" s="14" t="n"/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  <c r="R66" s="14" t="n"/>
      <c r="S66" s="28" t="n"/>
      <c r="T66" s="33">
        <f>IF(S66="","",IFERROR((TODAY()-S66)/365.25,0))</f>
        <v/>
      </c>
      <c r="U66" s="14" t="n"/>
    </row>
    <row r="67" ht="22" customHeight="1">
      <c r="B67" s="17">
        <f>IF(C67="","EMP-"&amp;TEXT(COUNTA($C$5:C67),"000"))</f>
        <v/>
      </c>
      <c r="C67" s="12" t="n"/>
      <c r="D67" s="12" t="n"/>
      <c r="E67" s="12" t="n"/>
      <c r="F67" s="27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27" t="n"/>
      <c r="T67" s="32">
        <f>IF(S67="","",IFERROR((TODAY()-S67)/365.25,0))</f>
        <v/>
      </c>
      <c r="U67" s="12" t="n"/>
    </row>
    <row r="68" ht="22" customHeight="1">
      <c r="B68" s="16">
        <f>IF(C68="","EMP-"&amp;TEXT(COUNTA($C$5:C68),"000"))</f>
        <v/>
      </c>
      <c r="C68" s="14" t="n"/>
      <c r="D68" s="14" t="n"/>
      <c r="E68" s="14" t="n"/>
      <c r="F68" s="28" t="n"/>
      <c r="G68" s="14" t="n"/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  <c r="R68" s="14" t="n"/>
      <c r="S68" s="28" t="n"/>
      <c r="T68" s="33">
        <f>IF(S68="","",IFERROR((TODAY()-S68)/365.25,0))</f>
        <v/>
      </c>
      <c r="U68" s="14" t="n"/>
    </row>
    <row r="69" ht="22" customHeight="1">
      <c r="B69" s="17">
        <f>IF(C69="","EMP-"&amp;TEXT(COUNTA($C$5:C69),"000"))</f>
        <v/>
      </c>
      <c r="C69" s="12" t="n"/>
      <c r="D69" s="12" t="n"/>
      <c r="E69" s="12" t="n"/>
      <c r="F69" s="27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27" t="n"/>
      <c r="T69" s="32">
        <f>IF(S69="","",IFERROR((TODAY()-S69)/365.25,0))</f>
        <v/>
      </c>
      <c r="U69" s="12" t="n"/>
    </row>
    <row r="70" ht="22" customHeight="1">
      <c r="B70" s="16">
        <f>IF(C70="","EMP-"&amp;TEXT(COUNTA($C$5:C70),"000"))</f>
        <v/>
      </c>
      <c r="C70" s="14" t="n"/>
      <c r="D70" s="14" t="n"/>
      <c r="E70" s="14" t="n"/>
      <c r="F70" s="28" t="n"/>
      <c r="G70" s="14" t="n"/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  <c r="R70" s="14" t="n"/>
      <c r="S70" s="28" t="n"/>
      <c r="T70" s="33">
        <f>IF(S70="","",IFERROR((TODAY()-S70)/365.25,0))</f>
        <v/>
      </c>
      <c r="U70" s="14" t="n"/>
    </row>
    <row r="71" ht="22" customHeight="1">
      <c r="B71" s="17">
        <f>IF(C71="","EMP-"&amp;TEXT(COUNTA($C$5:C71),"000"))</f>
        <v/>
      </c>
      <c r="C71" s="12" t="n"/>
      <c r="D71" s="12" t="n"/>
      <c r="E71" s="12" t="n"/>
      <c r="F71" s="27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27" t="n"/>
      <c r="T71" s="32">
        <f>IF(S71="","",IFERROR((TODAY()-S71)/365.25,0))</f>
        <v/>
      </c>
      <c r="U71" s="12" t="n"/>
    </row>
    <row r="72" ht="22" customHeight="1">
      <c r="B72" s="16">
        <f>IF(C72="","EMP-"&amp;TEXT(COUNTA($C$5:C72),"000"))</f>
        <v/>
      </c>
      <c r="C72" s="14" t="n"/>
      <c r="D72" s="14" t="n"/>
      <c r="E72" s="14" t="n"/>
      <c r="F72" s="28" t="n"/>
      <c r="G72" s="14" t="n"/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  <c r="R72" s="14" t="n"/>
      <c r="S72" s="28" t="n"/>
      <c r="T72" s="33">
        <f>IF(S72="","",IFERROR((TODAY()-S72)/365.25,0))</f>
        <v/>
      </c>
      <c r="U72" s="14" t="n"/>
    </row>
    <row r="73" ht="22" customHeight="1">
      <c r="B73" s="17">
        <f>IF(C73="","EMP-"&amp;TEXT(COUNTA($C$5:C73),"000"))</f>
        <v/>
      </c>
      <c r="C73" s="12" t="n"/>
      <c r="D73" s="12" t="n"/>
      <c r="E73" s="12" t="n"/>
      <c r="F73" s="27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27" t="n"/>
      <c r="T73" s="32">
        <f>IF(S73="","",IFERROR((TODAY()-S73)/365.25,0))</f>
        <v/>
      </c>
      <c r="U73" s="12" t="n"/>
    </row>
    <row r="74" ht="22" customHeight="1">
      <c r="B74" s="16">
        <f>IF(C74="","EMP-"&amp;TEXT(COUNTA($C$5:C74),"000"))</f>
        <v/>
      </c>
      <c r="C74" s="14" t="n"/>
      <c r="D74" s="14" t="n"/>
      <c r="E74" s="14" t="n"/>
      <c r="F74" s="28" t="n"/>
      <c r="G74" s="14" t="n"/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  <c r="R74" s="14" t="n"/>
      <c r="S74" s="28" t="n"/>
      <c r="T74" s="33">
        <f>IF(S74="","",IFERROR((TODAY()-S74)/365.25,0))</f>
        <v/>
      </c>
      <c r="U74" s="14" t="n"/>
    </row>
    <row r="75" ht="22" customHeight="1">
      <c r="B75" s="17">
        <f>IF(C75="","EMP-"&amp;TEXT(COUNTA($C$5:C75),"000"))</f>
        <v/>
      </c>
      <c r="C75" s="12" t="n"/>
      <c r="D75" s="12" t="n"/>
      <c r="E75" s="12" t="n"/>
      <c r="F75" s="27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27" t="n"/>
      <c r="T75" s="32">
        <f>IF(S75="","",IFERROR((TODAY()-S75)/365.25,0))</f>
        <v/>
      </c>
      <c r="U75" s="12" t="n"/>
    </row>
    <row r="76" ht="22" customHeight="1">
      <c r="B76" s="16">
        <f>IF(C76="","EMP-"&amp;TEXT(COUNTA($C$5:C76),"000"))</f>
        <v/>
      </c>
      <c r="C76" s="14" t="n"/>
      <c r="D76" s="14" t="n"/>
      <c r="E76" s="14" t="n"/>
      <c r="F76" s="28" t="n"/>
      <c r="G76" s="14" t="n"/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  <c r="R76" s="14" t="n"/>
      <c r="S76" s="28" t="n"/>
      <c r="T76" s="33">
        <f>IF(S76="","",IFERROR((TODAY()-S76)/365.25,0))</f>
        <v/>
      </c>
      <c r="U76" s="14" t="n"/>
    </row>
    <row r="77" ht="22" customHeight="1">
      <c r="B77" s="17">
        <f>IF(C77="","EMP-"&amp;TEXT(COUNTA($C$5:C77),"000"))</f>
        <v/>
      </c>
      <c r="C77" s="12" t="n"/>
      <c r="D77" s="12" t="n"/>
      <c r="E77" s="12" t="n"/>
      <c r="F77" s="27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27" t="n"/>
      <c r="T77" s="32">
        <f>IF(S77="","",IFERROR((TODAY()-S77)/365.25,0))</f>
        <v/>
      </c>
      <c r="U77" s="12" t="n"/>
    </row>
    <row r="78" ht="22" customHeight="1">
      <c r="B78" s="16">
        <f>IF(C78="","EMP-"&amp;TEXT(COUNTA($C$5:C78),"000"))</f>
        <v/>
      </c>
      <c r="C78" s="14" t="n"/>
      <c r="D78" s="14" t="n"/>
      <c r="E78" s="14" t="n"/>
      <c r="F78" s="28" t="n"/>
      <c r="G78" s="14" t="n"/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  <c r="R78" s="14" t="n"/>
      <c r="S78" s="28" t="n"/>
      <c r="T78" s="33">
        <f>IF(S78="","",IFERROR((TODAY()-S78)/365.25,0))</f>
        <v/>
      </c>
      <c r="U78" s="14" t="n"/>
    </row>
    <row r="79" ht="22" customHeight="1">
      <c r="B79" s="17">
        <f>IF(C79="","EMP-"&amp;TEXT(COUNTA($C$5:C79),"000"))</f>
        <v/>
      </c>
      <c r="C79" s="12" t="n"/>
      <c r="D79" s="12" t="n"/>
      <c r="E79" s="12" t="n"/>
      <c r="F79" s="27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27" t="n"/>
      <c r="T79" s="32">
        <f>IF(S79="","",IFERROR((TODAY()-S79)/365.25,0))</f>
        <v/>
      </c>
      <c r="U79" s="12" t="n"/>
    </row>
    <row r="80" ht="22" customHeight="1">
      <c r="B80" s="16">
        <f>IF(C80="","EMP-"&amp;TEXT(COUNTA($C$5:C80),"000"))</f>
        <v/>
      </c>
      <c r="C80" s="14" t="n"/>
      <c r="D80" s="14" t="n"/>
      <c r="E80" s="14" t="n"/>
      <c r="F80" s="28" t="n"/>
      <c r="G80" s="14" t="n"/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  <c r="R80" s="14" t="n"/>
      <c r="S80" s="28" t="n"/>
      <c r="T80" s="33">
        <f>IF(S80="","",IFERROR((TODAY()-S80)/365.25,0))</f>
        <v/>
      </c>
      <c r="U80" s="14" t="n"/>
    </row>
    <row r="81" ht="22" customHeight="1">
      <c r="B81" s="17">
        <f>IF(C81="","EMP-"&amp;TEXT(COUNTA($C$5:C81),"000"))</f>
        <v/>
      </c>
      <c r="C81" s="12" t="n"/>
      <c r="D81" s="12" t="n"/>
      <c r="E81" s="12" t="n"/>
      <c r="F81" s="27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27" t="n"/>
      <c r="T81" s="32">
        <f>IF(S81="","",IFERROR((TODAY()-S81)/365.25,0))</f>
        <v/>
      </c>
      <c r="U81" s="12" t="n"/>
    </row>
    <row r="82" ht="22" customHeight="1">
      <c r="B82" s="16">
        <f>IF(C82="","EMP-"&amp;TEXT(COUNTA($C$5:C82),"000"))</f>
        <v/>
      </c>
      <c r="C82" s="14" t="n"/>
      <c r="D82" s="14" t="n"/>
      <c r="E82" s="14" t="n"/>
      <c r="F82" s="28" t="n"/>
      <c r="G82" s="14" t="n"/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  <c r="R82" s="14" t="n"/>
      <c r="S82" s="28" t="n"/>
      <c r="T82" s="33">
        <f>IF(S82="","",IFERROR((TODAY()-S82)/365.25,0))</f>
        <v/>
      </c>
      <c r="U82" s="14" t="n"/>
    </row>
    <row r="83" ht="22" customHeight="1">
      <c r="B83" s="17">
        <f>IF(C83="","EMP-"&amp;TEXT(COUNTA($C$5:C83),"000"))</f>
        <v/>
      </c>
      <c r="C83" s="12" t="n"/>
      <c r="D83" s="12" t="n"/>
      <c r="E83" s="12" t="n"/>
      <c r="F83" s="27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27" t="n"/>
      <c r="T83" s="32">
        <f>IF(S83="","",IFERROR((TODAY()-S83)/365.25,0))</f>
        <v/>
      </c>
      <c r="U83" s="12" t="n"/>
    </row>
    <row r="84" ht="22" customHeight="1">
      <c r="B84" s="16">
        <f>IF(C84="","EMP-"&amp;TEXT(COUNTA($C$5:C84),"000"))</f>
        <v/>
      </c>
      <c r="C84" s="14" t="n"/>
      <c r="D84" s="14" t="n"/>
      <c r="E84" s="14" t="n"/>
      <c r="F84" s="28" t="n"/>
      <c r="G84" s="14" t="n"/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  <c r="R84" s="14" t="n"/>
      <c r="S84" s="28" t="n"/>
      <c r="T84" s="33">
        <f>IF(S84="","",IFERROR((TODAY()-S84)/365.25,0))</f>
        <v/>
      </c>
      <c r="U84" s="14" t="n"/>
    </row>
    <row r="85" ht="22" customHeight="1">
      <c r="B85" s="17">
        <f>IF(C85="","EMP-"&amp;TEXT(COUNTA($C$5:C85),"000"))</f>
        <v/>
      </c>
      <c r="C85" s="12" t="n"/>
      <c r="D85" s="12" t="n"/>
      <c r="E85" s="12" t="n"/>
      <c r="F85" s="27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  <c r="R85" s="12" t="n"/>
      <c r="S85" s="27" t="n"/>
      <c r="T85" s="32">
        <f>IF(S85="","",IFERROR((TODAY()-S85)/365.25,0))</f>
        <v/>
      </c>
      <c r="U85" s="12" t="n"/>
    </row>
    <row r="86" ht="22" customHeight="1">
      <c r="B86" s="16">
        <f>IF(C86="","EMP-"&amp;TEXT(COUNTA($C$5:C86),"000"))</f>
        <v/>
      </c>
      <c r="C86" s="14" t="n"/>
      <c r="D86" s="14" t="n"/>
      <c r="E86" s="14" t="n"/>
      <c r="F86" s="28" t="n"/>
      <c r="G86" s="14" t="n"/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  <c r="R86" s="14" t="n"/>
      <c r="S86" s="28" t="n"/>
      <c r="T86" s="33">
        <f>IF(S86="","",IFERROR((TODAY()-S86)/365.25,0))</f>
        <v/>
      </c>
      <c r="U86" s="14" t="n"/>
    </row>
    <row r="87" ht="22" customHeight="1">
      <c r="B87" s="17">
        <f>IF(C87="","EMP-"&amp;TEXT(COUNTA($C$5:C87),"000"))</f>
        <v/>
      </c>
      <c r="C87" s="12" t="n"/>
      <c r="D87" s="12" t="n"/>
      <c r="E87" s="12" t="n"/>
      <c r="F87" s="27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  <c r="R87" s="12" t="n"/>
      <c r="S87" s="27" t="n"/>
      <c r="T87" s="32">
        <f>IF(S87="","",IFERROR((TODAY()-S87)/365.25,0))</f>
        <v/>
      </c>
      <c r="U87" s="12" t="n"/>
    </row>
    <row r="88" ht="22" customHeight="1">
      <c r="B88" s="16">
        <f>IF(C88="","EMP-"&amp;TEXT(COUNTA($C$5:C88),"000"))</f>
        <v/>
      </c>
      <c r="C88" s="14" t="n"/>
      <c r="D88" s="14" t="n"/>
      <c r="E88" s="14" t="n"/>
      <c r="F88" s="28" t="n"/>
      <c r="G88" s="14" t="n"/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  <c r="R88" s="14" t="n"/>
      <c r="S88" s="28" t="n"/>
      <c r="T88" s="33">
        <f>IF(S88="","",IFERROR((TODAY()-S88)/365.25,0))</f>
        <v/>
      </c>
      <c r="U88" s="14" t="n"/>
    </row>
    <row r="89" ht="22" customHeight="1">
      <c r="B89" s="17">
        <f>IF(C89="","EMP-"&amp;TEXT(COUNTA($C$5:C89),"000"))</f>
        <v/>
      </c>
      <c r="C89" s="12" t="n"/>
      <c r="D89" s="12" t="n"/>
      <c r="E89" s="12" t="n"/>
      <c r="F89" s="27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  <c r="R89" s="12" t="n"/>
      <c r="S89" s="27" t="n"/>
      <c r="T89" s="32">
        <f>IF(S89="","",IFERROR((TODAY()-S89)/365.25,0))</f>
        <v/>
      </c>
      <c r="U89" s="12" t="n"/>
    </row>
    <row r="90" ht="22" customHeight="1">
      <c r="B90" s="16">
        <f>IF(C90="","EMP-"&amp;TEXT(COUNTA($C$5:C90),"000"))</f>
        <v/>
      </c>
      <c r="C90" s="14" t="n"/>
      <c r="D90" s="14" t="n"/>
      <c r="E90" s="14" t="n"/>
      <c r="F90" s="28" t="n"/>
      <c r="G90" s="14" t="n"/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  <c r="R90" s="14" t="n"/>
      <c r="S90" s="28" t="n"/>
      <c r="T90" s="33">
        <f>IF(S90="","",IFERROR((TODAY()-S90)/365.25,0))</f>
        <v/>
      </c>
      <c r="U90" s="14" t="n"/>
    </row>
    <row r="91" ht="22" customHeight="1">
      <c r="B91" s="17">
        <f>IF(C91="","EMP-"&amp;TEXT(COUNTA($C$5:C91),"000"))</f>
        <v/>
      </c>
      <c r="C91" s="12" t="n"/>
      <c r="D91" s="12" t="n"/>
      <c r="E91" s="12" t="n"/>
      <c r="F91" s="27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  <c r="R91" s="12" t="n"/>
      <c r="S91" s="27" t="n"/>
      <c r="T91" s="32">
        <f>IF(S91="","",IFERROR((TODAY()-S91)/365.25,0))</f>
        <v/>
      </c>
      <c r="U91" s="12" t="n"/>
    </row>
    <row r="92" ht="22" customHeight="1">
      <c r="B92" s="16">
        <f>IF(C92="","EMP-"&amp;TEXT(COUNTA($C$5:C92),"000"))</f>
        <v/>
      </c>
      <c r="C92" s="14" t="n"/>
      <c r="D92" s="14" t="n"/>
      <c r="E92" s="14" t="n"/>
      <c r="F92" s="28" t="n"/>
      <c r="G92" s="14" t="n"/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  <c r="R92" s="14" t="n"/>
      <c r="S92" s="28" t="n"/>
      <c r="T92" s="33">
        <f>IF(S92="","",IFERROR((TODAY()-S92)/365.25,0))</f>
        <v/>
      </c>
      <c r="U92" s="14" t="n"/>
    </row>
    <row r="93" ht="22" customHeight="1">
      <c r="B93" s="17">
        <f>IF(C93="","EMP-"&amp;TEXT(COUNTA($C$5:C93),"000"))</f>
        <v/>
      </c>
      <c r="C93" s="12" t="n"/>
      <c r="D93" s="12" t="n"/>
      <c r="E93" s="12" t="n"/>
      <c r="F93" s="27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  <c r="R93" s="12" t="n"/>
      <c r="S93" s="27" t="n"/>
      <c r="T93" s="32">
        <f>IF(S93="","",IFERROR((TODAY()-S93)/365.25,0))</f>
        <v/>
      </c>
      <c r="U93" s="12" t="n"/>
    </row>
    <row r="94" ht="22" customHeight="1">
      <c r="B94" s="16">
        <f>IF(C94="","EMP-"&amp;TEXT(COUNTA($C$5:C94),"000"))</f>
        <v/>
      </c>
      <c r="C94" s="14" t="n"/>
      <c r="D94" s="14" t="n"/>
      <c r="E94" s="14" t="n"/>
      <c r="F94" s="28" t="n"/>
      <c r="G94" s="14" t="n"/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  <c r="R94" s="14" t="n"/>
      <c r="S94" s="28" t="n"/>
      <c r="T94" s="33">
        <f>IF(S94="","",IFERROR((TODAY()-S94)/365.25,0))</f>
        <v/>
      </c>
      <c r="U94" s="14" t="n"/>
    </row>
    <row r="95" ht="22" customHeight="1">
      <c r="B95" s="17">
        <f>IF(C95="","EMP-"&amp;TEXT(COUNTA($C$5:C95),"000"))</f>
        <v/>
      </c>
      <c r="C95" s="12" t="n"/>
      <c r="D95" s="12" t="n"/>
      <c r="E95" s="12" t="n"/>
      <c r="F95" s="27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  <c r="R95" s="12" t="n"/>
      <c r="S95" s="27" t="n"/>
      <c r="T95" s="32">
        <f>IF(S95="","",IFERROR((TODAY()-S95)/365.25,0))</f>
        <v/>
      </c>
      <c r="U95" s="12" t="n"/>
    </row>
    <row r="96" ht="22" customHeight="1">
      <c r="B96" s="16">
        <f>IF(C96="","EMP-"&amp;TEXT(COUNTA($C$5:C96),"000"))</f>
        <v/>
      </c>
      <c r="C96" s="14" t="n"/>
      <c r="D96" s="14" t="n"/>
      <c r="E96" s="14" t="n"/>
      <c r="F96" s="28" t="n"/>
      <c r="G96" s="14" t="n"/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  <c r="R96" s="14" t="n"/>
      <c r="S96" s="28" t="n"/>
      <c r="T96" s="33">
        <f>IF(S96="","",IFERROR((TODAY()-S96)/365.25,0))</f>
        <v/>
      </c>
      <c r="U96" s="14" t="n"/>
    </row>
    <row r="97" ht="22" customHeight="1">
      <c r="B97" s="17">
        <f>IF(C97="","EMP-"&amp;TEXT(COUNTA($C$5:C97),"000"))</f>
        <v/>
      </c>
      <c r="C97" s="12" t="n"/>
      <c r="D97" s="12" t="n"/>
      <c r="E97" s="12" t="n"/>
      <c r="F97" s="27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  <c r="R97" s="12" t="n"/>
      <c r="S97" s="27" t="n"/>
      <c r="T97" s="32">
        <f>IF(S97="","",IFERROR((TODAY()-S97)/365.25,0))</f>
        <v/>
      </c>
      <c r="U97" s="12" t="n"/>
    </row>
    <row r="98" ht="22" customHeight="1">
      <c r="B98" s="16">
        <f>IF(C98="","EMP-"&amp;TEXT(COUNTA($C$5:C98),"000"))</f>
        <v/>
      </c>
      <c r="C98" s="14" t="n"/>
      <c r="D98" s="14" t="n"/>
      <c r="E98" s="14" t="n"/>
      <c r="F98" s="28" t="n"/>
      <c r="G98" s="14" t="n"/>
      <c r="H98" s="14" t="n"/>
      <c r="I98" s="14" t="n"/>
      <c r="J98" s="14" t="n"/>
      <c r="K98" s="14" t="n"/>
      <c r="L98" s="14" t="n"/>
      <c r="M98" s="14" t="n"/>
      <c r="N98" s="14" t="n"/>
      <c r="O98" s="14" t="n"/>
      <c r="P98" s="14" t="n"/>
      <c r="Q98" s="14" t="n"/>
      <c r="R98" s="14" t="n"/>
      <c r="S98" s="28" t="n"/>
      <c r="T98" s="33">
        <f>IF(S98="","",IFERROR((TODAY()-S98)/365.25,0))</f>
        <v/>
      </c>
      <c r="U98" s="14" t="n"/>
    </row>
    <row r="99" ht="22" customHeight="1">
      <c r="B99" s="17">
        <f>IF(C99="","EMP-"&amp;TEXT(COUNTA($C$5:C99),"000"))</f>
        <v/>
      </c>
      <c r="C99" s="12" t="n"/>
      <c r="D99" s="12" t="n"/>
      <c r="E99" s="12" t="n"/>
      <c r="F99" s="27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  <c r="R99" s="12" t="n"/>
      <c r="S99" s="27" t="n"/>
      <c r="T99" s="32">
        <f>IF(S99="","",IFERROR((TODAY()-S99)/365.25,0))</f>
        <v/>
      </c>
      <c r="U99" s="12" t="n"/>
    </row>
    <row r="100" ht="22" customHeight="1">
      <c r="B100" s="16">
        <f>IF(C100="","EMP-"&amp;TEXT(COUNTA($C$5:C100),"000"))</f>
        <v/>
      </c>
      <c r="C100" s="14" t="n"/>
      <c r="D100" s="14" t="n"/>
      <c r="E100" s="14" t="n"/>
      <c r="F100" s="28" t="n"/>
      <c r="G100" s="14" t="n"/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  <c r="R100" s="14" t="n"/>
      <c r="S100" s="28" t="n"/>
      <c r="T100" s="33">
        <f>IF(S100="","",IFERROR((TODAY()-S100)/365.25,0))</f>
        <v/>
      </c>
      <c r="U100" s="14" t="n"/>
    </row>
    <row r="101" ht="22" customHeight="1">
      <c r="B101" s="17">
        <f>IF(C101="","EMP-"&amp;TEXT(COUNTA($C$5:C101),"000"))</f>
        <v/>
      </c>
      <c r="C101" s="12" t="n"/>
      <c r="D101" s="12" t="n"/>
      <c r="E101" s="12" t="n"/>
      <c r="F101" s="27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  <c r="R101" s="12" t="n"/>
      <c r="S101" s="27" t="n"/>
      <c r="T101" s="32">
        <f>IF(S101="","",IFERROR((TODAY()-S101)/365.25,0))</f>
        <v/>
      </c>
      <c r="U101" s="12" t="n"/>
    </row>
    <row r="102" ht="22" customHeight="1">
      <c r="B102" s="16">
        <f>IF(C102="","EMP-"&amp;TEXT(COUNTA($C$5:C102),"000"))</f>
        <v/>
      </c>
      <c r="C102" s="14" t="n"/>
      <c r="D102" s="14" t="n"/>
      <c r="E102" s="14" t="n"/>
      <c r="F102" s="28" t="n"/>
      <c r="G102" s="14" t="n"/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  <c r="R102" s="14" t="n"/>
      <c r="S102" s="28" t="n"/>
      <c r="T102" s="33">
        <f>IF(S102="","",IFERROR((TODAY()-S102)/365.25,0))</f>
        <v/>
      </c>
      <c r="U102" s="14" t="n"/>
    </row>
    <row r="103" ht="22" customHeight="1">
      <c r="B103" s="17">
        <f>IF(C103="","EMP-"&amp;TEXT(COUNTA($C$5:C103),"000"))</f>
        <v/>
      </c>
      <c r="C103" s="12" t="n"/>
      <c r="D103" s="12" t="n"/>
      <c r="E103" s="12" t="n"/>
      <c r="F103" s="27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  <c r="R103" s="12" t="n"/>
      <c r="S103" s="27" t="n"/>
      <c r="T103" s="32">
        <f>IF(S103="","",IFERROR((TODAY()-S103)/365.25,0))</f>
        <v/>
      </c>
      <c r="U103" s="12" t="n"/>
    </row>
    <row r="104" ht="22" customHeight="1">
      <c r="B104" s="16">
        <f>IF(C104="","EMP-"&amp;TEXT(COUNTA($C$5:C104),"000"))</f>
        <v/>
      </c>
      <c r="C104" s="14" t="n"/>
      <c r="D104" s="14" t="n"/>
      <c r="E104" s="14" t="n"/>
      <c r="F104" s="28" t="n"/>
      <c r="G104" s="14" t="n"/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  <c r="R104" s="14" t="n"/>
      <c r="S104" s="28" t="n"/>
      <c r="T104" s="33">
        <f>IF(S104="","",IFERROR((TODAY()-S104)/365.25,0))</f>
        <v/>
      </c>
      <c r="U104" s="14" t="n"/>
    </row>
    <row r="105" ht="22" customHeight="1">
      <c r="B105" s="17">
        <f>IF(C105="","EMP-"&amp;TEXT(COUNTA($C$5:C105),"000"))</f>
        <v/>
      </c>
      <c r="C105" s="12" t="n"/>
      <c r="D105" s="12" t="n"/>
      <c r="E105" s="12" t="n"/>
      <c r="F105" s="27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  <c r="R105" s="12" t="n"/>
      <c r="S105" s="27" t="n"/>
      <c r="U105" s="12" t="n"/>
    </row>
    <row r="106" ht="22" customHeight="1">
      <c r="B106" s="16">
        <f>IF(C106="","EMP-"&amp;TEXT(COUNTA($C$5:C106),"000"))</f>
        <v/>
      </c>
      <c r="C106" s="14" t="n"/>
      <c r="D106" s="14" t="n"/>
      <c r="E106" s="14" t="n"/>
      <c r="F106" s="28" t="n"/>
      <c r="G106" s="14" t="n"/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  <c r="R106" s="14" t="n"/>
      <c r="S106" s="28" t="n"/>
      <c r="U106" s="14" t="n"/>
    </row>
    <row r="107" ht="22" customHeight="1">
      <c r="B107" s="17">
        <f>IF(C107="","EMP-"&amp;TEXT(COUNTA($C$5:C107),"000"))</f>
        <v/>
      </c>
      <c r="C107" s="12" t="n"/>
      <c r="D107" s="12" t="n"/>
      <c r="E107" s="12" t="n"/>
      <c r="F107" s="27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  <c r="R107" s="12" t="n"/>
      <c r="S107" s="27" t="n"/>
      <c r="U107" s="12" t="n"/>
    </row>
    <row r="108" ht="22" customHeight="1">
      <c r="B108" s="16">
        <f>IF(C108="","EMP-"&amp;TEXT(COUNTA($C$5:C108),"000"))</f>
        <v/>
      </c>
      <c r="C108" s="14" t="n"/>
      <c r="D108" s="14" t="n"/>
      <c r="E108" s="14" t="n"/>
      <c r="F108" s="28" t="n"/>
      <c r="G108" s="14" t="n"/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  <c r="R108" s="14" t="n"/>
      <c r="S108" s="28" t="n"/>
      <c r="U108" s="14" t="n"/>
    </row>
    <row r="109" ht="22" customHeight="1">
      <c r="B109" s="17">
        <f>IF(C109="","EMP-"&amp;TEXT(COUNTA($C$5:C109),"000"))</f>
        <v/>
      </c>
      <c r="C109" s="12" t="n"/>
      <c r="D109" s="12" t="n"/>
      <c r="E109" s="12" t="n"/>
      <c r="F109" s="27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  <c r="R109" s="12" t="n"/>
      <c r="S109" s="27" t="n"/>
      <c r="U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Effectif total</t>
        </is>
      </c>
      <c r="D112" s="3" t="inlineStr">
        <is>
          <t>Employes actifs</t>
        </is>
      </c>
      <c r="F112" s="3" t="inlineStr">
        <is>
          <t>Cadres</t>
        </is>
      </c>
      <c r="H112" s="3" t="inlineStr">
        <is>
          <t>CDI</t>
        </is>
      </c>
    </row>
    <row r="113">
      <c r="B113" s="4">
        <f>COUNTIF(B5:B104,"&lt;&gt;")</f>
        <v/>
      </c>
      <c r="D113" s="4">
        <f>COUNTIF(T5:T104,"Actif")</f>
        <v/>
      </c>
      <c r="F113" s="4">
        <f>COUNTIF(Q5:Q104,"Cadre")</f>
        <v/>
      </c>
      <c r="H113" s="4">
        <f>COUNTIF(P5:P104,"CDI")</f>
        <v/>
      </c>
    </row>
  </sheetData>
  <mergeCells count="3">
    <mergeCell ref="B3:T3"/>
    <mergeCell ref="B2:T2"/>
    <mergeCell ref="B111:T111"/>
  </mergeCells>
  <conditionalFormatting sqref="T5:T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"Soumise"</formula>
    </cfRule>
    <cfRule type="cellIs" priority="9" operator="equal" dxfId="0">
      <formula>"Traite"</formula>
    </cfRule>
    <cfRule type="cellIs" priority="10" operator="equal" dxfId="0">
      <formula>"Clos"</formula>
    </cfRule>
    <cfRule type="cellIs" priority="11" operator="equal" dxfId="0">
      <formula>"Solde"</formula>
    </cfRule>
    <cfRule type="cellIs" priority="12" operator="equal" dxfId="0">
      <formula>"Pris"</formula>
    </cfRule>
    <cfRule type="cellIs" priority="13" operator="equal" dxfId="1">
      <formula>"En attente"</formula>
    </cfRule>
    <cfRule type="cellIs" priority="14" operator="equal" dxfId="1">
      <formula>"A renouveler"</formula>
    </cfRule>
    <cfRule type="cellIs" priority="15" operator="equal" dxfId="1">
      <formula>"En renouvellement"</formula>
    </cfRule>
    <cfRule type="cellIs" priority="16" operator="equal" dxfId="1">
      <formula>"En cours"</formula>
    </cfRule>
    <cfRule type="cellIs" priority="17" operator="equal" dxfId="1">
      <formula>"En traitement"</formula>
    </cfRule>
    <cfRule type="cellIs" priority="18" operator="equal" dxfId="1">
      <formula>"En retard"</formula>
    </cfRule>
    <cfRule type="cellIs" priority="19" operator="equal" dxfId="1">
      <formula>"Suspendu"</formula>
    </cfRule>
    <cfRule type="cellIs" priority="20" operator="equal" dxfId="1">
      <formula>"A verifier"</formula>
    </cfRule>
    <cfRule type="cellIs" priority="21" operator="equal" dxfId="2">
      <formula>"Expire"</formula>
    </cfRule>
    <cfRule type="cellIs" priority="22" operator="equal" dxfId="2">
      <formula>"Rejete"</formula>
    </cfRule>
    <cfRule type="cellIs" priority="23" operator="equal" dxfId="2">
      <formula>"Rejetee"</formula>
    </cfRule>
    <cfRule type="cellIs" priority="24" operator="equal" dxfId="2">
      <formula>"Resilie"</formula>
    </cfRule>
    <cfRule type="cellIs" priority="25" operator="equal" dxfId="2">
      <formula>"Echu"</formula>
    </cfRule>
    <cfRule type="cellIs" priority="26" operator="equal" dxfId="2">
      <formula>"Refuse"</formula>
    </cfRule>
    <cfRule type="cellIs" priority="27" operator="equal" dxfId="2">
      <formula>"Annulee"</formula>
    </cfRule>
    <cfRule type="cellIs" priority="28" operator="equal" dxfId="2">
      <formula>"Departi"</formula>
    </cfRule>
    <cfRule type="cellIs" priority="29" operator="equal" dxfId="2">
      <formula>"Cloture"</formula>
    </cfRule>
    <cfRule type="cellIs" priority="30" operator="equal" dxfId="2">
      <formula>"Non justifiee"</formula>
    </cfRule>
    <cfRule type="cellIs" priority="31" operator="equal" dxfId="2">
      <formula>"Manquant"</formula>
    </cfRule>
  </conditionalFormatting>
  <conditionalFormatting sqref="B10:B109">
    <cfRule type="expression" priority="32" dxfId="3">
      <formula>AND($C10="",$C9&lt;&gt;"")</formula>
    </cfRule>
  </conditionalFormatting>
  <conditionalFormatting sqref="C10:C109">
    <cfRule type="expression" priority="33" dxfId="3">
      <formula>AND($C10="",$C9&lt;&gt;"")</formula>
    </cfRule>
  </conditionalFormatting>
  <conditionalFormatting sqref="D10:D109">
    <cfRule type="expression" priority="34" dxfId="3">
      <formula>AND($C10="",$C9&lt;&gt;"")</formula>
    </cfRule>
  </conditionalFormatting>
  <conditionalFormatting sqref="E10:E109">
    <cfRule type="expression" priority="35" dxfId="3">
      <formula>AND($C10="",$C9&lt;&gt;"")</formula>
    </cfRule>
  </conditionalFormatting>
  <conditionalFormatting sqref="F10:F109">
    <cfRule type="expression" priority="36" dxfId="3">
      <formula>AND($C10="",$C9&lt;&gt;"")</formula>
    </cfRule>
  </conditionalFormatting>
  <conditionalFormatting sqref="G10:G109">
    <cfRule type="expression" priority="37" dxfId="3">
      <formula>AND($C10="",$C9&lt;&gt;"")</formula>
    </cfRule>
  </conditionalFormatting>
  <conditionalFormatting sqref="H10:H109">
    <cfRule type="expression" priority="38" dxfId="3">
      <formula>AND($C10="",$C9&lt;&gt;"")</formula>
    </cfRule>
  </conditionalFormatting>
  <conditionalFormatting sqref="I10:I109">
    <cfRule type="expression" priority="39" dxfId="3">
      <formula>AND($C10="",$C9&lt;&gt;"")</formula>
    </cfRule>
  </conditionalFormatting>
  <conditionalFormatting sqref="J10:J109">
    <cfRule type="expression" priority="40" dxfId="3">
      <formula>AND($C10="",$C9&lt;&gt;"")</formula>
    </cfRule>
  </conditionalFormatting>
  <conditionalFormatting sqref="K10:K109">
    <cfRule type="expression" priority="41" dxfId="3">
      <formula>AND($C10="",$C9&lt;&gt;"")</formula>
    </cfRule>
  </conditionalFormatting>
  <conditionalFormatting sqref="L10:L109">
    <cfRule type="expression" priority="42" dxfId="3">
      <formula>AND($C10="",$C9&lt;&gt;"")</formula>
    </cfRule>
  </conditionalFormatting>
  <conditionalFormatting sqref="M10:M109">
    <cfRule type="expression" priority="43" dxfId="3">
      <formula>AND($C10="",$C9&lt;&gt;"")</formula>
    </cfRule>
  </conditionalFormatting>
  <conditionalFormatting sqref="N10:N109">
    <cfRule type="expression" priority="44" dxfId="3">
      <formula>AND($C10="",$C9&lt;&gt;"")</formula>
    </cfRule>
  </conditionalFormatting>
  <conditionalFormatting sqref="O10:O109">
    <cfRule type="expression" priority="45" dxfId="3">
      <formula>AND($C10="",$C9&lt;&gt;"")</formula>
    </cfRule>
  </conditionalFormatting>
  <conditionalFormatting sqref="P10:P109">
    <cfRule type="expression" priority="46" dxfId="3">
      <formula>AND($C10="",$C9&lt;&gt;"")</formula>
    </cfRule>
  </conditionalFormatting>
  <conditionalFormatting sqref="Q10:Q109">
    <cfRule type="expression" priority="47" dxfId="3">
      <formula>AND($C10="",$C9&lt;&gt;"")</formula>
    </cfRule>
  </conditionalFormatting>
  <conditionalFormatting sqref="R10:R109">
    <cfRule type="expression" priority="48" dxfId="3">
      <formula>AND($C10="",$C9&lt;&gt;"")</formula>
    </cfRule>
  </conditionalFormatting>
  <conditionalFormatting sqref="S10:S109">
    <cfRule type="expression" priority="49" dxfId="3">
      <formula>AND($C10="",$C9&lt;&gt;"")</formula>
    </cfRule>
  </conditionalFormatting>
  <conditionalFormatting sqref="T10:T109">
    <cfRule type="expression" priority="50" dxfId="3">
      <formula>AND($C10="",$C9&lt;&gt;"")</formula>
    </cfRule>
  </conditionalFormatting>
  <dataValidations count="10">
    <dataValidation sqref="C5:C109" showDropDown="0" showInputMessage="0" showErrorMessage="0" allowBlank="1" errorTitle="Erreur" error="Valeur invalide" promptTitle="Liste" prompt="Choisir dans la liste" type="list">
      <formula1>'_Lists'!$B$2:$B$4</formula1>
    </dataValidation>
    <dataValidation sqref="H5:H109" showDropDown="0" showInputMessage="0" showErrorMessage="0" allowBlank="1" errorTitle="Erreur" error="Valeur invalide" promptTitle="Liste" prompt="Choisir dans la liste" type="list">
      <formula1>'_Lists'!$C$2:$C$3</formula1>
    </dataValidation>
    <dataValidation sqref="I5:I109" showDropDown="0" showInputMessage="0" showErrorMessage="0" allowBlank="1" errorTitle="Erreur" error="Valeur invalide" promptTitle="Liste" prompt="Choisir dans la liste" type="list">
      <formula1>'_Lists'!$E$2:$E$9</formula1>
    </dataValidation>
    <dataValidation sqref="J5:J109" showDropDown="0" showInputMessage="0" showErrorMessage="0" allowBlank="1" errorTitle="Erreur" error="Valeur invalide" promptTitle="Liste" prompt="Choisir dans la liste" type="list">
      <formula1>'_Lists'!$D$2:$D$5</formula1>
    </dataValidation>
    <dataValidation sqref="N5:N109" showDropDown="0" showInputMessage="0" showErrorMessage="0" allowBlank="1" errorTitle="Erreur" error="Valeur invalide" promptTitle="Liste" prompt="Choisir dans la liste" type="list">
      <formula1>'_Lists'!$J$2:$J$14</formula1>
    </dataValidation>
    <dataValidation sqref="O5:O109" showDropDown="0" showInputMessage="0" showErrorMessage="0" allowBlank="1" errorTitle="Erreur" error="Valeur invalide" promptTitle="Liste" prompt="Choisir dans la liste" type="list">
      <formula1>'_Lists'!$AO$2:$AO$22</formula1>
    </dataValidation>
    <dataValidation sqref="P5:P109" showDropDown="0" showInputMessage="0" showErrorMessage="0" allowBlank="1" errorTitle="Erreur" error="Valeur invalide" promptTitle="Liste" prompt="Choisir dans la liste" type="list">
      <formula1>'_Lists'!$G$2:$G$7</formula1>
    </dataValidation>
    <dataValidation sqref="Q5:Q109" showDropDown="0" showInputMessage="0" showErrorMessage="0" allowBlank="1" errorTitle="Erreur" error="Valeur invalide" promptTitle="Liste" prompt="Choisir dans la liste" type="list">
      <formula1>'_Lists'!$H$2:$H$6</formula1>
    </dataValidation>
    <dataValidation sqref="R5:R109" showDropDown="0" showInputMessage="0" showErrorMessage="0" allowBlank="1" errorTitle="Erreur" error="Valeur invalide" promptTitle="Liste" prompt="Choisir dans la liste" type="list">
      <formula1>'_Lists'!$I$2:$I$5</formula1>
    </dataValidation>
    <dataValidation sqref="T5:T109" showDropDown="0" showInputMessage="0" showErrorMessage="0" allowBlank="1" errorTitle="Erreur" error="Valeur invalide" promptTitle="Liste" prompt="Choisir dans la liste" type="list">
      <formula1>'_Lists'!$F$2:$F$7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20" customWidth="1" min="4" max="4"/>
    <col width="10" customWidth="1" min="5" max="5"/>
    <col width="23" customWidth="1" min="6" max="6"/>
    <col width="12" customWidth="1" min="7" max="7"/>
    <col width="14" customWidth="1" min="8" max="8"/>
    <col width="14" customWidth="1" min="9" max="9"/>
    <col width="13" customWidth="1" min="10" max="10"/>
    <col width="17" customWidth="1" min="11" max="11"/>
    <col width="26" customWidth="1" min="12" max="12"/>
  </cols>
  <sheetData>
    <row r="1" ht="15" customHeight="1"/>
    <row r="2" ht="32" customHeight="1">
      <c r="B2" s="1" t="inlineStr">
        <is>
          <t>CONTRATS DE TRAVAIL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 Contrat</t>
        </is>
      </c>
      <c r="C4" s="11" t="inlineStr">
        <is>
          <t>Matricule</t>
        </is>
      </c>
      <c r="D4" s="11" t="inlineStr">
        <is>
          <t>Nom Employé</t>
        </is>
      </c>
      <c r="E4" s="11" t="inlineStr">
        <is>
          <t>Type Contrat</t>
        </is>
      </c>
      <c r="F4" s="11" t="inlineStr">
        <is>
          <t>Date Début</t>
        </is>
      </c>
      <c r="G4" s="11" t="inlineStr">
        <is>
          <t>Date Fin</t>
        </is>
      </c>
      <c r="H4" s="11" t="inlineStr">
        <is>
          <t>Durée (mois)</t>
        </is>
      </c>
      <c r="I4" s="11" t="inlineStr">
        <is>
          <t>Jours Restants</t>
        </is>
      </c>
      <c r="J4" s="11" t="inlineStr">
        <is>
          <t>Statut</t>
        </is>
      </c>
      <c r="K4" s="11" t="inlineStr">
        <is>
          <t>Salaire Brut (FCFA)</t>
        </is>
      </c>
      <c r="L4" s="11" t="inlineStr">
        <is>
          <t>Régime Travail</t>
        </is>
      </c>
      <c r="M4" s="11" t="inlineStr">
        <is>
          <t>Lieu Travail</t>
        </is>
      </c>
      <c r="N4" s="11" t="inlineStr">
        <is>
          <t>Observations</t>
        </is>
      </c>
    </row>
    <row r="5" ht="22" customHeight="1">
      <c r="B5" s="12" t="inlineStr">
        <is>
          <t>CTR-2025-001</t>
        </is>
      </c>
      <c r="C5" s="12" t="inlineStr">
        <is>
          <t>EMP-001</t>
        </is>
      </c>
      <c r="D5" s="12" t="inlineStr">
        <is>
          <t>Nganou Clarisse</t>
        </is>
      </c>
      <c r="E5" s="12" t="inlineStr">
        <is>
          <t>CDI</t>
        </is>
      </c>
      <c r="F5" s="27" t="n">
        <v>43845</v>
      </c>
      <c r="G5" s="27" t="n"/>
      <c r="H5" s="32">
        <f>IF(OR(F5="",G5=""),"",IFERROR((G5-F5)/30.44,0))</f>
        <v/>
      </c>
      <c r="I5" s="34">
        <f>IF(G5="","",IFERROR(MAX(G5-TODAY(),0),0))</f>
        <v/>
      </c>
      <c r="J5" s="12" t="inlineStr">
        <is>
          <t>En vigueur</t>
        </is>
      </c>
      <c r="K5" s="18" t="n">
        <v>450000</v>
      </c>
      <c r="L5" s="12" t="inlineStr">
        <is>
          <t>Temps plein</t>
        </is>
      </c>
      <c r="M5" s="12" t="inlineStr">
        <is>
          <t>Siège Douala</t>
        </is>
      </c>
      <c r="N5" s="12" t="inlineStr">
        <is>
          <t>Contrat initial</t>
        </is>
      </c>
    </row>
    <row r="6" ht="22" customHeight="1">
      <c r="B6" s="14" t="inlineStr">
        <is>
          <t>CTR-2025-002</t>
        </is>
      </c>
      <c r="C6" s="14" t="inlineStr">
        <is>
          <t>EMP-002</t>
        </is>
      </c>
      <c r="D6" s="14" t="inlineStr">
        <is>
          <t>Tchinda Armand</t>
        </is>
      </c>
      <c r="E6" s="14" t="inlineStr">
        <is>
          <t>CDI</t>
        </is>
      </c>
      <c r="F6" s="28" t="n">
        <v>43617</v>
      </c>
      <c r="G6" s="28" t="n"/>
      <c r="H6" s="33">
        <f>IF(OR(F6="",G6=""),"",IFERROR((G6-F6)/30.44,0))</f>
        <v/>
      </c>
      <c r="I6" s="35">
        <f>IF(G6="","",IFERROR(MAX(G6-TODAY(),0),0))</f>
        <v/>
      </c>
      <c r="J6" s="14" t="inlineStr">
        <is>
          <t>En vigueur</t>
        </is>
      </c>
      <c r="K6" s="19" t="n">
        <v>420000</v>
      </c>
      <c r="L6" s="14" t="inlineStr">
        <is>
          <t>Temps plein</t>
        </is>
      </c>
      <c r="M6" s="14" t="inlineStr">
        <is>
          <t>Siège Douala</t>
        </is>
      </c>
      <c r="N6" s="14" t="inlineStr">
        <is>
          <t>Contrat initial</t>
        </is>
      </c>
    </row>
    <row r="7" ht="22" customHeight="1">
      <c r="B7" s="12" t="inlineStr">
        <is>
          <t>CTR-2025-003</t>
        </is>
      </c>
      <c r="C7" s="12" t="inlineStr">
        <is>
          <t>EMP-003</t>
        </is>
      </c>
      <c r="D7" s="12" t="inlineStr">
        <is>
          <t>Fotso Marguerite</t>
        </is>
      </c>
      <c r="E7" s="12" t="inlineStr">
        <is>
          <t>CDI</t>
        </is>
      </c>
      <c r="F7" s="27" t="n">
        <v>42795</v>
      </c>
      <c r="G7" s="27" t="n"/>
      <c r="H7" s="32">
        <f>IF(OR(F7="",G7=""),"",IFERROR((G7-F7)/30.44,0))</f>
        <v/>
      </c>
      <c r="I7" s="34">
        <f>IF(G7="","",IFERROR(MAX(G7-TODAY(),0),0))</f>
        <v/>
      </c>
      <c r="J7" s="12" t="inlineStr">
        <is>
          <t>En vigueur</t>
        </is>
      </c>
      <c r="K7" s="18" t="n">
        <v>380000</v>
      </c>
      <c r="L7" s="12" t="inlineStr">
        <is>
          <t>Temps plein</t>
        </is>
      </c>
      <c r="M7" s="12" t="inlineStr">
        <is>
          <t>Siège Douala</t>
        </is>
      </c>
      <c r="N7" s="12" t="inlineStr">
        <is>
          <t>Contrat initial</t>
        </is>
      </c>
    </row>
    <row r="8" ht="22" customHeight="1">
      <c r="B8" s="14" t="inlineStr">
        <is>
          <t>CTR-2025-004</t>
        </is>
      </c>
      <c r="C8" s="14" t="inlineStr">
        <is>
          <t>EMP-004</t>
        </is>
      </c>
      <c r="D8" s="14" t="inlineStr">
        <is>
          <t>Nkoulou Mbarga</t>
        </is>
      </c>
      <c r="E8" s="14" t="inlineStr">
        <is>
          <t>CDI</t>
        </is>
      </c>
      <c r="F8" s="28" t="n">
        <v>44454</v>
      </c>
      <c r="G8" s="28" t="n"/>
      <c r="H8" s="33">
        <f>IF(OR(F8="",G8=""),"",IFERROR((G8-F8)/30.44,0))</f>
        <v/>
      </c>
      <c r="I8" s="35">
        <f>IF(G8="","",IFERROR(MAX(G8-TODAY(),0),0))</f>
        <v/>
      </c>
      <c r="J8" s="14" t="inlineStr">
        <is>
          <t>En vigueur</t>
        </is>
      </c>
      <c r="K8" s="19" t="n">
        <v>180000</v>
      </c>
      <c r="L8" s="14" t="inlineStr">
        <is>
          <t>Temps plein</t>
        </is>
      </c>
      <c r="M8" s="14" t="inlineStr">
        <is>
          <t>Entrepôt Douala</t>
        </is>
      </c>
      <c r="N8" s="14" t="inlineStr">
        <is>
          <t>Contrat initial</t>
        </is>
      </c>
    </row>
    <row r="9" ht="22" customHeight="1">
      <c r="B9" s="12" t="inlineStr">
        <is>
          <t>CTR-2025-005</t>
        </is>
      </c>
      <c r="C9" s="12" t="inlineStr">
        <is>
          <t>EMP-005</t>
        </is>
      </c>
      <c r="D9" s="12" t="inlineStr">
        <is>
          <t>Kamga Paul</t>
        </is>
      </c>
      <c r="E9" s="12" t="inlineStr">
        <is>
          <t>Interim</t>
        </is>
      </c>
      <c r="F9" s="27" t="n">
        <v>45383</v>
      </c>
      <c r="G9" s="27" t="n">
        <v>45747</v>
      </c>
      <c r="H9" s="32">
        <f>IF(OR(F9="",G9=""),"",IFERROR((G9-F9)/30.44,0))</f>
        <v/>
      </c>
      <c r="I9" s="34">
        <f>IF(G9="","",IFERROR(MAX(G9-TODAY(),0),0))</f>
        <v/>
      </c>
      <c r="J9" s="12" t="inlineStr">
        <is>
          <t>En vigueur</t>
        </is>
      </c>
      <c r="K9" s="18" t="n">
        <v>130000</v>
      </c>
      <c r="L9" s="12" t="inlineStr">
        <is>
          <t>Temps plein</t>
        </is>
      </c>
      <c r="M9" s="12" t="inlineStr">
        <is>
          <t>Atelier Douala</t>
        </is>
      </c>
      <c r="N9" s="12" t="inlineStr">
        <is>
          <t>CDD 12 mois via Manpower</t>
        </is>
      </c>
    </row>
    <row r="10" ht="22" customHeight="1">
      <c r="B10" s="16">
        <f>IF(C10="","CTR-"&amp;TEXT(COUNTA($C$5:C10),"000"))</f>
        <v/>
      </c>
      <c r="C10" s="14" t="n"/>
      <c r="D10" s="14" t="n"/>
      <c r="E10" s="14" t="n"/>
      <c r="F10" s="28" t="n"/>
      <c r="G10" s="28" t="n"/>
      <c r="H10" s="33">
        <f>IF(OR(F10="",G10=""),"",IFERROR((G10-F10)/30.44,0))</f>
        <v/>
      </c>
      <c r="I10" s="35">
        <f>IF(G10="","",IFERROR(MAX(G10-TODAY(),0),0))</f>
        <v/>
      </c>
      <c r="J10" s="14" t="n"/>
      <c r="K10" s="19" t="n"/>
      <c r="L10" s="14" t="n"/>
      <c r="M10" s="14" t="n"/>
      <c r="N10" s="14" t="n"/>
    </row>
    <row r="11" ht="22" customHeight="1">
      <c r="B11" s="17">
        <f>IF(C11="","CTR-"&amp;TEXT(COUNTA($C$5:C11),"000"))</f>
        <v/>
      </c>
      <c r="C11" s="12" t="n"/>
      <c r="D11" s="12" t="n"/>
      <c r="E11" s="12" t="n"/>
      <c r="F11" s="27" t="n"/>
      <c r="G11" s="27" t="n"/>
      <c r="H11" s="32">
        <f>IF(OR(F11="",G11=""),"",IFERROR((G11-F11)/30.44,0))</f>
        <v/>
      </c>
      <c r="I11" s="34">
        <f>IF(G11="","",IFERROR(MAX(G11-TODAY(),0),0))</f>
        <v/>
      </c>
      <c r="J11" s="12" t="n"/>
      <c r="K11" s="18" t="n"/>
      <c r="L11" s="12" t="n"/>
      <c r="M11" s="12" t="n"/>
      <c r="N11" s="12" t="n"/>
    </row>
    <row r="12" ht="22" customHeight="1">
      <c r="B12" s="16">
        <f>IF(C12="","CTR-"&amp;TEXT(COUNTA($C$5:C12),"000"))</f>
        <v/>
      </c>
      <c r="C12" s="14" t="n"/>
      <c r="D12" s="14" t="n"/>
      <c r="E12" s="14" t="n"/>
      <c r="F12" s="28" t="n"/>
      <c r="G12" s="28" t="n"/>
      <c r="H12" s="33">
        <f>IF(OR(F12="",G12=""),"",IFERROR((G12-F12)/30.44,0))</f>
        <v/>
      </c>
      <c r="I12" s="35">
        <f>IF(G12="","",IFERROR(MAX(G12-TODAY(),0),0))</f>
        <v/>
      </c>
      <c r="J12" s="14" t="n"/>
      <c r="K12" s="19" t="n"/>
      <c r="L12" s="14" t="n"/>
      <c r="M12" s="14" t="n"/>
      <c r="N12" s="14" t="n"/>
    </row>
    <row r="13" ht="22" customHeight="1">
      <c r="B13" s="17">
        <f>IF(C13="","CTR-"&amp;TEXT(COUNTA($C$5:C13),"000"))</f>
        <v/>
      </c>
      <c r="C13" s="12" t="n"/>
      <c r="D13" s="12" t="n"/>
      <c r="E13" s="12" t="n"/>
      <c r="F13" s="27" t="n"/>
      <c r="G13" s="27" t="n"/>
      <c r="H13" s="32">
        <f>IF(OR(F13="",G13=""),"",IFERROR((G13-F13)/30.44,0))</f>
        <v/>
      </c>
      <c r="I13" s="34">
        <f>IF(G13="","",IFERROR(MAX(G13-TODAY(),0),0))</f>
        <v/>
      </c>
      <c r="J13" s="12" t="n"/>
      <c r="K13" s="18" t="n"/>
      <c r="L13" s="12" t="n"/>
      <c r="M13" s="12" t="n"/>
      <c r="N13" s="12" t="n"/>
    </row>
    <row r="14" ht="22" customHeight="1">
      <c r="B14" s="16">
        <f>IF(C14="","CTR-"&amp;TEXT(COUNTA($C$5:C14),"000"))</f>
        <v/>
      </c>
      <c r="C14" s="14" t="n"/>
      <c r="D14" s="14" t="n"/>
      <c r="E14" s="14" t="n"/>
      <c r="F14" s="28" t="n"/>
      <c r="G14" s="28" t="n"/>
      <c r="H14" s="33">
        <f>IF(OR(F14="",G14=""),"",IFERROR((G14-F14)/30.44,0))</f>
        <v/>
      </c>
      <c r="I14" s="35">
        <f>IF(G14="","",IFERROR(MAX(G14-TODAY(),0),0))</f>
        <v/>
      </c>
      <c r="J14" s="14" t="n"/>
      <c r="K14" s="19" t="n"/>
      <c r="L14" s="14" t="n"/>
      <c r="M14" s="14" t="n"/>
      <c r="N14" s="14" t="n"/>
    </row>
    <row r="15" ht="22" customHeight="1">
      <c r="B15" s="17">
        <f>IF(C15="","CTR-"&amp;TEXT(COUNTA($C$5:C15),"000"))</f>
        <v/>
      </c>
      <c r="C15" s="12" t="n"/>
      <c r="D15" s="12" t="n"/>
      <c r="E15" s="12" t="n"/>
      <c r="F15" s="27" t="n"/>
      <c r="G15" s="27" t="n"/>
      <c r="H15" s="32">
        <f>IF(OR(F15="",G15=""),"",IFERROR((G15-F15)/30.44,0))</f>
        <v/>
      </c>
      <c r="I15" s="34">
        <f>IF(G15="","",IFERROR(MAX(G15-TODAY(),0),0))</f>
        <v/>
      </c>
      <c r="J15" s="12" t="n"/>
      <c r="K15" s="18" t="n"/>
      <c r="L15" s="12" t="n"/>
      <c r="M15" s="12" t="n"/>
      <c r="N15" s="12" t="n"/>
    </row>
    <row r="16" ht="22" customHeight="1">
      <c r="B16" s="16">
        <f>IF(C16="","CTR-"&amp;TEXT(COUNTA($C$5:C16),"000"))</f>
        <v/>
      </c>
      <c r="C16" s="14" t="n"/>
      <c r="D16" s="14" t="n"/>
      <c r="E16" s="14" t="n"/>
      <c r="F16" s="28" t="n"/>
      <c r="G16" s="28" t="n"/>
      <c r="H16" s="33">
        <f>IF(OR(F16="",G16=""),"",IFERROR((G16-F16)/30.44,0))</f>
        <v/>
      </c>
      <c r="I16" s="35">
        <f>IF(G16="","",IFERROR(MAX(G16-TODAY(),0),0))</f>
        <v/>
      </c>
      <c r="J16" s="14" t="n"/>
      <c r="K16" s="19" t="n"/>
      <c r="L16" s="14" t="n"/>
      <c r="M16" s="14" t="n"/>
      <c r="N16" s="14" t="n"/>
    </row>
    <row r="17" ht="22" customHeight="1">
      <c r="B17" s="17">
        <f>IF(C17="","CTR-"&amp;TEXT(COUNTA($C$5:C17),"000"))</f>
        <v/>
      </c>
      <c r="C17" s="12" t="n"/>
      <c r="D17" s="12" t="n"/>
      <c r="E17" s="12" t="n"/>
      <c r="F17" s="27" t="n"/>
      <c r="G17" s="27" t="n"/>
      <c r="H17" s="32">
        <f>IF(OR(F17="",G17=""),"",IFERROR((G17-F17)/30.44,0))</f>
        <v/>
      </c>
      <c r="I17" s="34">
        <f>IF(G17="","",IFERROR(MAX(G17-TODAY(),0),0))</f>
        <v/>
      </c>
      <c r="J17" s="12" t="n"/>
      <c r="K17" s="18" t="n"/>
      <c r="L17" s="12" t="n"/>
      <c r="M17" s="12" t="n"/>
      <c r="N17" s="12" t="n"/>
    </row>
    <row r="18" ht="22" customHeight="1">
      <c r="B18" s="16">
        <f>IF(C18="","CTR-"&amp;TEXT(COUNTA($C$5:C18),"000"))</f>
        <v/>
      </c>
      <c r="C18" s="14" t="n"/>
      <c r="D18" s="14" t="n"/>
      <c r="E18" s="14" t="n"/>
      <c r="F18" s="28" t="n"/>
      <c r="G18" s="28" t="n"/>
      <c r="H18" s="33">
        <f>IF(OR(F18="",G18=""),"",IFERROR((G18-F18)/30.44,0))</f>
        <v/>
      </c>
      <c r="I18" s="35">
        <f>IF(G18="","",IFERROR(MAX(G18-TODAY(),0),0))</f>
        <v/>
      </c>
      <c r="J18" s="14" t="n"/>
      <c r="K18" s="19" t="n"/>
      <c r="L18" s="14" t="n"/>
      <c r="M18" s="14" t="n"/>
      <c r="N18" s="14" t="n"/>
    </row>
    <row r="19" ht="22" customHeight="1">
      <c r="B19" s="17">
        <f>IF(C19="","CTR-"&amp;TEXT(COUNTA($C$5:C19),"000"))</f>
        <v/>
      </c>
      <c r="C19" s="12" t="n"/>
      <c r="D19" s="12" t="n"/>
      <c r="E19" s="12" t="n"/>
      <c r="F19" s="27" t="n"/>
      <c r="G19" s="27" t="n"/>
      <c r="H19" s="32">
        <f>IF(OR(F19="",G19=""),"",IFERROR((G19-F19)/30.44,0))</f>
        <v/>
      </c>
      <c r="I19" s="34">
        <f>IF(G19="","",IFERROR(MAX(G19-TODAY(),0),0))</f>
        <v/>
      </c>
      <c r="J19" s="12" t="n"/>
      <c r="K19" s="18" t="n"/>
      <c r="L19" s="12" t="n"/>
      <c r="M19" s="12" t="n"/>
      <c r="N19" s="12" t="n"/>
    </row>
    <row r="20" ht="22" customHeight="1">
      <c r="B20" s="16">
        <f>IF(C20="","CTR-"&amp;TEXT(COUNTA($C$5:C20),"000"))</f>
        <v/>
      </c>
      <c r="C20" s="14" t="n"/>
      <c r="D20" s="14" t="n"/>
      <c r="E20" s="14" t="n"/>
      <c r="F20" s="28" t="n"/>
      <c r="G20" s="28" t="n"/>
      <c r="H20" s="33">
        <f>IF(OR(F20="",G20=""),"",IFERROR((G20-F20)/30.44,0))</f>
        <v/>
      </c>
      <c r="I20" s="35">
        <f>IF(G20="","",IFERROR(MAX(G20-TODAY(),0),0))</f>
        <v/>
      </c>
      <c r="J20" s="14" t="n"/>
      <c r="K20" s="19" t="n"/>
      <c r="L20" s="14" t="n"/>
      <c r="M20" s="14" t="n"/>
      <c r="N20" s="14" t="n"/>
    </row>
    <row r="21" ht="22" customHeight="1">
      <c r="B21" s="17">
        <f>IF(C21="","CTR-"&amp;TEXT(COUNTA($C$5:C21),"000"))</f>
        <v/>
      </c>
      <c r="C21" s="12" t="n"/>
      <c r="D21" s="12" t="n"/>
      <c r="E21" s="12" t="n"/>
      <c r="F21" s="27" t="n"/>
      <c r="G21" s="27" t="n"/>
      <c r="H21" s="32">
        <f>IF(OR(F21="",G21=""),"",IFERROR((G21-F21)/30.44,0))</f>
        <v/>
      </c>
      <c r="I21" s="34">
        <f>IF(G21="","",IFERROR(MAX(G21-TODAY(),0),0))</f>
        <v/>
      </c>
      <c r="J21" s="12" t="n"/>
      <c r="K21" s="18" t="n"/>
      <c r="L21" s="12" t="n"/>
      <c r="M21" s="12" t="n"/>
      <c r="N21" s="12" t="n"/>
    </row>
    <row r="22" ht="22" customHeight="1">
      <c r="B22" s="16">
        <f>IF(C22="","CTR-"&amp;TEXT(COUNTA($C$5:C22),"000"))</f>
        <v/>
      </c>
      <c r="C22" s="14" t="n"/>
      <c r="D22" s="14" t="n"/>
      <c r="E22" s="14" t="n"/>
      <c r="F22" s="28" t="n"/>
      <c r="G22" s="28" t="n"/>
      <c r="H22" s="33">
        <f>IF(OR(F22="",G22=""),"",IFERROR((G22-F22)/30.44,0))</f>
        <v/>
      </c>
      <c r="I22" s="35">
        <f>IF(G22="","",IFERROR(MAX(G22-TODAY(),0),0))</f>
        <v/>
      </c>
      <c r="J22" s="14" t="n"/>
      <c r="K22" s="19" t="n"/>
      <c r="L22" s="14" t="n"/>
      <c r="M22" s="14" t="n"/>
      <c r="N22" s="14" t="n"/>
    </row>
    <row r="23" ht="22" customHeight="1">
      <c r="B23" s="17">
        <f>IF(C23="","CTR-"&amp;TEXT(COUNTA($C$5:C23),"000"))</f>
        <v/>
      </c>
      <c r="C23" s="12" t="n"/>
      <c r="D23" s="12" t="n"/>
      <c r="E23" s="12" t="n"/>
      <c r="F23" s="27" t="n"/>
      <c r="G23" s="27" t="n"/>
      <c r="H23" s="32">
        <f>IF(OR(F23="",G23=""),"",IFERROR((G23-F23)/30.44,0))</f>
        <v/>
      </c>
      <c r="I23" s="34">
        <f>IF(G23="","",IFERROR(MAX(G23-TODAY(),0),0))</f>
        <v/>
      </c>
      <c r="J23" s="12" t="n"/>
      <c r="K23" s="18" t="n"/>
      <c r="L23" s="12" t="n"/>
      <c r="M23" s="12" t="n"/>
      <c r="N23" s="12" t="n"/>
    </row>
    <row r="24" ht="22" customHeight="1">
      <c r="B24" s="16">
        <f>IF(C24="","CTR-"&amp;TEXT(COUNTA($C$5:C24),"000"))</f>
        <v/>
      </c>
      <c r="C24" s="14" t="n"/>
      <c r="D24" s="14" t="n"/>
      <c r="E24" s="14" t="n"/>
      <c r="F24" s="28" t="n"/>
      <c r="G24" s="28" t="n"/>
      <c r="H24" s="33">
        <f>IF(OR(F24="",G24=""),"",IFERROR((G24-F24)/30.44,0))</f>
        <v/>
      </c>
      <c r="I24" s="35">
        <f>IF(G24="","",IFERROR(MAX(G24-TODAY(),0),0))</f>
        <v/>
      </c>
      <c r="J24" s="14" t="n"/>
      <c r="K24" s="19" t="n"/>
      <c r="L24" s="14" t="n"/>
      <c r="M24" s="14" t="n"/>
      <c r="N24" s="14" t="n"/>
    </row>
    <row r="25" ht="22" customHeight="1">
      <c r="B25" s="17">
        <f>IF(C25="","CTR-"&amp;TEXT(COUNTA($C$5:C25),"000"))</f>
        <v/>
      </c>
      <c r="C25" s="12" t="n"/>
      <c r="D25" s="12" t="n"/>
      <c r="E25" s="12" t="n"/>
      <c r="F25" s="27" t="n"/>
      <c r="G25" s="27" t="n"/>
      <c r="H25" s="32">
        <f>IF(OR(F25="",G25=""),"",IFERROR((G25-F25)/30.44,0))</f>
        <v/>
      </c>
      <c r="I25" s="34">
        <f>IF(G25="","",IFERROR(MAX(G25-TODAY(),0),0))</f>
        <v/>
      </c>
      <c r="J25" s="12" t="n"/>
      <c r="K25" s="18" t="n"/>
      <c r="L25" s="12" t="n"/>
      <c r="M25" s="12" t="n"/>
      <c r="N25" s="12" t="n"/>
    </row>
    <row r="26" ht="22" customHeight="1">
      <c r="B26" s="16">
        <f>IF(C26="","CTR-"&amp;TEXT(COUNTA($C$5:C26),"000"))</f>
        <v/>
      </c>
      <c r="C26" s="14" t="n"/>
      <c r="D26" s="14" t="n"/>
      <c r="E26" s="14" t="n"/>
      <c r="F26" s="28" t="n"/>
      <c r="G26" s="28" t="n"/>
      <c r="H26" s="33">
        <f>IF(OR(F26="",G26=""),"",IFERROR((G26-F26)/30.44,0))</f>
        <v/>
      </c>
      <c r="I26" s="35">
        <f>IF(G26="","",IFERROR(MAX(G26-TODAY(),0),0))</f>
        <v/>
      </c>
      <c r="J26" s="14" t="n"/>
      <c r="K26" s="19" t="n"/>
      <c r="L26" s="14" t="n"/>
      <c r="M26" s="14" t="n"/>
      <c r="N26" s="14" t="n"/>
    </row>
    <row r="27" ht="22" customHeight="1">
      <c r="B27" s="17">
        <f>IF(C27="","CTR-"&amp;TEXT(COUNTA($C$5:C27),"000"))</f>
        <v/>
      </c>
      <c r="C27" s="12" t="n"/>
      <c r="D27" s="12" t="n"/>
      <c r="E27" s="12" t="n"/>
      <c r="F27" s="27" t="n"/>
      <c r="G27" s="27" t="n"/>
      <c r="H27" s="32">
        <f>IF(OR(F27="",G27=""),"",IFERROR((G27-F27)/30.44,0))</f>
        <v/>
      </c>
      <c r="I27" s="34">
        <f>IF(G27="","",IFERROR(MAX(G27-TODAY(),0),0))</f>
        <v/>
      </c>
      <c r="J27" s="12" t="n"/>
      <c r="K27" s="18" t="n"/>
      <c r="L27" s="12" t="n"/>
      <c r="M27" s="12" t="n"/>
      <c r="N27" s="12" t="n"/>
    </row>
    <row r="28" ht="22" customHeight="1">
      <c r="B28" s="16">
        <f>IF(C28="","CTR-"&amp;TEXT(COUNTA($C$5:C28),"000"))</f>
        <v/>
      </c>
      <c r="C28" s="14" t="n"/>
      <c r="D28" s="14" t="n"/>
      <c r="E28" s="14" t="n"/>
      <c r="F28" s="28" t="n"/>
      <c r="G28" s="28" t="n"/>
      <c r="H28" s="33">
        <f>IF(OR(F28="",G28=""),"",IFERROR((G28-F28)/30.44,0))</f>
        <v/>
      </c>
      <c r="I28" s="35">
        <f>IF(G28="","",IFERROR(MAX(G28-TODAY(),0),0))</f>
        <v/>
      </c>
      <c r="J28" s="14" t="n"/>
      <c r="K28" s="19" t="n"/>
      <c r="L28" s="14" t="n"/>
      <c r="M28" s="14" t="n"/>
      <c r="N28" s="14" t="n"/>
    </row>
    <row r="29" ht="22" customHeight="1">
      <c r="B29" s="17">
        <f>IF(C29="","CTR-"&amp;TEXT(COUNTA($C$5:C29),"000"))</f>
        <v/>
      </c>
      <c r="C29" s="12" t="n"/>
      <c r="D29" s="12" t="n"/>
      <c r="E29" s="12" t="n"/>
      <c r="F29" s="27" t="n"/>
      <c r="G29" s="27" t="n"/>
      <c r="H29" s="32">
        <f>IF(OR(F29="",G29=""),"",IFERROR((G29-F29)/30.44,0))</f>
        <v/>
      </c>
      <c r="I29" s="34">
        <f>IF(G29="","",IFERROR(MAX(G29-TODAY(),0),0))</f>
        <v/>
      </c>
      <c r="J29" s="12" t="n"/>
      <c r="K29" s="18" t="n"/>
      <c r="L29" s="12" t="n"/>
      <c r="M29" s="12" t="n"/>
      <c r="N29" s="12" t="n"/>
    </row>
    <row r="30" ht="22" customHeight="1">
      <c r="B30" s="16">
        <f>IF(C30="","CTR-"&amp;TEXT(COUNTA($C$5:C30),"000"))</f>
        <v/>
      </c>
      <c r="C30" s="14" t="n"/>
      <c r="D30" s="14" t="n"/>
      <c r="E30" s="14" t="n"/>
      <c r="F30" s="28" t="n"/>
      <c r="G30" s="28" t="n"/>
      <c r="H30" s="33">
        <f>IF(OR(F30="",G30=""),"",IFERROR((G30-F30)/30.44,0))</f>
        <v/>
      </c>
      <c r="I30" s="35">
        <f>IF(G30="","",IFERROR(MAX(G30-TODAY(),0),0))</f>
        <v/>
      </c>
      <c r="J30" s="14" t="n"/>
      <c r="K30" s="19" t="n"/>
      <c r="L30" s="14" t="n"/>
      <c r="M30" s="14" t="n"/>
      <c r="N30" s="14" t="n"/>
    </row>
    <row r="31" ht="22" customHeight="1">
      <c r="B31" s="17">
        <f>IF(C31="","CTR-"&amp;TEXT(COUNTA($C$5:C31),"000"))</f>
        <v/>
      </c>
      <c r="C31" s="12" t="n"/>
      <c r="D31" s="12" t="n"/>
      <c r="E31" s="12" t="n"/>
      <c r="F31" s="27" t="n"/>
      <c r="G31" s="27" t="n"/>
      <c r="H31" s="32">
        <f>IF(OR(F31="",G31=""),"",IFERROR((G31-F31)/30.44,0))</f>
        <v/>
      </c>
      <c r="I31" s="34">
        <f>IF(G31="","",IFERROR(MAX(G31-TODAY(),0),0))</f>
        <v/>
      </c>
      <c r="J31" s="12" t="n"/>
      <c r="K31" s="18" t="n"/>
      <c r="L31" s="12" t="n"/>
      <c r="M31" s="12" t="n"/>
      <c r="N31" s="12" t="n"/>
    </row>
    <row r="32" ht="22" customHeight="1">
      <c r="B32" s="16">
        <f>IF(C32="","CTR-"&amp;TEXT(COUNTA($C$5:C32),"000"))</f>
        <v/>
      </c>
      <c r="C32" s="14" t="n"/>
      <c r="D32" s="14" t="n"/>
      <c r="E32" s="14" t="n"/>
      <c r="F32" s="28" t="n"/>
      <c r="G32" s="28" t="n"/>
      <c r="H32" s="33">
        <f>IF(OR(F32="",G32=""),"",IFERROR((G32-F32)/30.44,0))</f>
        <v/>
      </c>
      <c r="I32" s="35">
        <f>IF(G32="","",IFERROR(MAX(G32-TODAY(),0),0))</f>
        <v/>
      </c>
      <c r="J32" s="14" t="n"/>
      <c r="K32" s="19" t="n"/>
      <c r="L32" s="14" t="n"/>
      <c r="M32" s="14" t="n"/>
      <c r="N32" s="14" t="n"/>
    </row>
    <row r="33" ht="22" customHeight="1">
      <c r="B33" s="17">
        <f>IF(C33="","CTR-"&amp;TEXT(COUNTA($C$5:C33),"000"))</f>
        <v/>
      </c>
      <c r="C33" s="12" t="n"/>
      <c r="D33" s="12" t="n"/>
      <c r="E33" s="12" t="n"/>
      <c r="F33" s="27" t="n"/>
      <c r="G33" s="27" t="n"/>
      <c r="H33" s="32">
        <f>IF(OR(F33="",G33=""),"",IFERROR((G33-F33)/30.44,0))</f>
        <v/>
      </c>
      <c r="I33" s="34">
        <f>IF(G33="","",IFERROR(MAX(G33-TODAY(),0),0))</f>
        <v/>
      </c>
      <c r="J33" s="12" t="n"/>
      <c r="K33" s="18" t="n"/>
      <c r="L33" s="12" t="n"/>
      <c r="M33" s="12" t="n"/>
      <c r="N33" s="12" t="n"/>
    </row>
    <row r="34" ht="22" customHeight="1">
      <c r="B34" s="16">
        <f>IF(C34="","CTR-"&amp;TEXT(COUNTA($C$5:C34),"000"))</f>
        <v/>
      </c>
      <c r="C34" s="14" t="n"/>
      <c r="D34" s="14" t="n"/>
      <c r="E34" s="14" t="n"/>
      <c r="F34" s="28" t="n"/>
      <c r="G34" s="28" t="n"/>
      <c r="H34" s="33">
        <f>IF(OR(F34="",G34=""),"",IFERROR((G34-F34)/30.44,0))</f>
        <v/>
      </c>
      <c r="I34" s="35">
        <f>IF(G34="","",IFERROR(MAX(G34-TODAY(),0),0))</f>
        <v/>
      </c>
      <c r="J34" s="14" t="n"/>
      <c r="K34" s="19" t="n"/>
      <c r="L34" s="14" t="n"/>
      <c r="M34" s="14" t="n"/>
      <c r="N34" s="14" t="n"/>
    </row>
    <row r="35" ht="22" customHeight="1">
      <c r="B35" s="17">
        <f>IF(C35="","CTR-"&amp;TEXT(COUNTA($C$5:C35),"000"))</f>
        <v/>
      </c>
      <c r="C35" s="12" t="n"/>
      <c r="D35" s="12" t="n"/>
      <c r="E35" s="12" t="n"/>
      <c r="F35" s="27" t="n"/>
      <c r="G35" s="27" t="n"/>
      <c r="H35" s="32">
        <f>IF(OR(F35="",G35=""),"",IFERROR((G35-F35)/30.44,0))</f>
        <v/>
      </c>
      <c r="I35" s="34">
        <f>IF(G35="","",IFERROR(MAX(G35-TODAY(),0),0))</f>
        <v/>
      </c>
      <c r="J35" s="12" t="n"/>
      <c r="K35" s="18" t="n"/>
      <c r="L35" s="12" t="n"/>
      <c r="M35" s="12" t="n"/>
      <c r="N35" s="12" t="n"/>
    </row>
    <row r="36" ht="22" customHeight="1">
      <c r="B36" s="16">
        <f>IF(C36="","CTR-"&amp;TEXT(COUNTA($C$5:C36),"000"))</f>
        <v/>
      </c>
      <c r="C36" s="14" t="n"/>
      <c r="D36" s="14" t="n"/>
      <c r="E36" s="14" t="n"/>
      <c r="F36" s="28" t="n"/>
      <c r="G36" s="28" t="n"/>
      <c r="H36" s="33">
        <f>IF(OR(F36="",G36=""),"",IFERROR((G36-F36)/30.44,0))</f>
        <v/>
      </c>
      <c r="I36" s="35">
        <f>IF(G36="","",IFERROR(MAX(G36-TODAY(),0),0))</f>
        <v/>
      </c>
      <c r="J36" s="14" t="n"/>
      <c r="K36" s="19" t="n"/>
      <c r="L36" s="14" t="n"/>
      <c r="M36" s="14" t="n"/>
      <c r="N36" s="14" t="n"/>
    </row>
    <row r="37" ht="22" customHeight="1">
      <c r="B37" s="17">
        <f>IF(C37="","CTR-"&amp;TEXT(COUNTA($C$5:C37),"000"))</f>
        <v/>
      </c>
      <c r="C37" s="12" t="n"/>
      <c r="D37" s="12" t="n"/>
      <c r="E37" s="12" t="n"/>
      <c r="F37" s="27" t="n"/>
      <c r="G37" s="27" t="n"/>
      <c r="H37" s="32">
        <f>IF(OR(F37="",G37=""),"",IFERROR((G37-F37)/30.44,0))</f>
        <v/>
      </c>
      <c r="I37" s="34">
        <f>IF(G37="","",IFERROR(MAX(G37-TODAY(),0),0))</f>
        <v/>
      </c>
      <c r="J37" s="12" t="n"/>
      <c r="K37" s="18" t="n"/>
      <c r="L37" s="12" t="n"/>
      <c r="M37" s="12" t="n"/>
      <c r="N37" s="12" t="n"/>
    </row>
    <row r="38" ht="22" customHeight="1">
      <c r="B38" s="16">
        <f>IF(C38="","CTR-"&amp;TEXT(COUNTA($C$5:C38),"000"))</f>
        <v/>
      </c>
      <c r="C38" s="14" t="n"/>
      <c r="D38" s="14" t="n"/>
      <c r="E38" s="14" t="n"/>
      <c r="F38" s="28" t="n"/>
      <c r="G38" s="28" t="n"/>
      <c r="H38" s="33">
        <f>IF(OR(F38="",G38=""),"",IFERROR((G38-F38)/30.44,0))</f>
        <v/>
      </c>
      <c r="I38" s="35">
        <f>IF(G38="","",IFERROR(MAX(G38-TODAY(),0),0))</f>
        <v/>
      </c>
      <c r="J38" s="14" t="n"/>
      <c r="K38" s="19" t="n"/>
      <c r="L38" s="14" t="n"/>
      <c r="M38" s="14" t="n"/>
      <c r="N38" s="14" t="n"/>
    </row>
    <row r="39" ht="22" customHeight="1">
      <c r="B39" s="17">
        <f>IF(C39="","CTR-"&amp;TEXT(COUNTA($C$5:C39),"000"))</f>
        <v/>
      </c>
      <c r="C39" s="12" t="n"/>
      <c r="D39" s="12" t="n"/>
      <c r="E39" s="12" t="n"/>
      <c r="F39" s="27" t="n"/>
      <c r="G39" s="27" t="n"/>
      <c r="H39" s="32">
        <f>IF(OR(F39="",G39=""),"",IFERROR((G39-F39)/30.44,0))</f>
        <v/>
      </c>
      <c r="I39" s="34">
        <f>IF(G39="","",IFERROR(MAX(G39-TODAY(),0),0))</f>
        <v/>
      </c>
      <c r="J39" s="12" t="n"/>
      <c r="K39" s="18" t="n"/>
      <c r="L39" s="12" t="n"/>
      <c r="M39" s="12" t="n"/>
      <c r="N39" s="12" t="n"/>
    </row>
    <row r="40" ht="22" customHeight="1">
      <c r="B40" s="16">
        <f>IF(C40="","CTR-"&amp;TEXT(COUNTA($C$5:C40),"000"))</f>
        <v/>
      </c>
      <c r="C40" s="14" t="n"/>
      <c r="D40" s="14" t="n"/>
      <c r="E40" s="14" t="n"/>
      <c r="F40" s="28" t="n"/>
      <c r="G40" s="28" t="n"/>
      <c r="H40" s="33">
        <f>IF(OR(F40="",G40=""),"",IFERROR((G40-F40)/30.44,0))</f>
        <v/>
      </c>
      <c r="I40" s="35">
        <f>IF(G40="","",IFERROR(MAX(G40-TODAY(),0),0))</f>
        <v/>
      </c>
      <c r="J40" s="14" t="n"/>
      <c r="K40" s="19" t="n"/>
      <c r="L40" s="14" t="n"/>
      <c r="M40" s="14" t="n"/>
      <c r="N40" s="14" t="n"/>
    </row>
    <row r="41" ht="22" customHeight="1">
      <c r="B41" s="17">
        <f>IF(C41="","CTR-"&amp;TEXT(COUNTA($C$5:C41),"000"))</f>
        <v/>
      </c>
      <c r="C41" s="12" t="n"/>
      <c r="D41" s="12" t="n"/>
      <c r="E41" s="12" t="n"/>
      <c r="F41" s="27" t="n"/>
      <c r="G41" s="27" t="n"/>
      <c r="H41" s="32">
        <f>IF(OR(F41="",G41=""),"",IFERROR((G41-F41)/30.44,0))</f>
        <v/>
      </c>
      <c r="I41" s="34">
        <f>IF(G41="","",IFERROR(MAX(G41-TODAY(),0),0))</f>
        <v/>
      </c>
      <c r="J41" s="12" t="n"/>
      <c r="K41" s="18" t="n"/>
      <c r="L41" s="12" t="n"/>
      <c r="M41" s="12" t="n"/>
      <c r="N41" s="12" t="n"/>
    </row>
    <row r="42" ht="22" customHeight="1">
      <c r="B42" s="16">
        <f>IF(C42="","CTR-"&amp;TEXT(COUNTA($C$5:C42),"000"))</f>
        <v/>
      </c>
      <c r="C42" s="14" t="n"/>
      <c r="D42" s="14" t="n"/>
      <c r="E42" s="14" t="n"/>
      <c r="F42" s="28" t="n"/>
      <c r="G42" s="28" t="n"/>
      <c r="H42" s="33">
        <f>IF(OR(F42="",G42=""),"",IFERROR((G42-F42)/30.44,0))</f>
        <v/>
      </c>
      <c r="I42" s="35">
        <f>IF(G42="","",IFERROR(MAX(G42-TODAY(),0),0))</f>
        <v/>
      </c>
      <c r="J42" s="14" t="n"/>
      <c r="K42" s="19" t="n"/>
      <c r="L42" s="14" t="n"/>
      <c r="M42" s="14" t="n"/>
      <c r="N42" s="14" t="n"/>
    </row>
    <row r="43" ht="22" customHeight="1">
      <c r="B43" s="17">
        <f>IF(C43="","CTR-"&amp;TEXT(COUNTA($C$5:C43),"000"))</f>
        <v/>
      </c>
      <c r="C43" s="12" t="n"/>
      <c r="D43" s="12" t="n"/>
      <c r="E43" s="12" t="n"/>
      <c r="F43" s="27" t="n"/>
      <c r="G43" s="27" t="n"/>
      <c r="H43" s="32">
        <f>IF(OR(F43="",G43=""),"",IFERROR((G43-F43)/30.44,0))</f>
        <v/>
      </c>
      <c r="I43" s="34">
        <f>IF(G43="","",IFERROR(MAX(G43-TODAY(),0),0))</f>
        <v/>
      </c>
      <c r="J43" s="12" t="n"/>
      <c r="K43" s="18" t="n"/>
      <c r="L43" s="12" t="n"/>
      <c r="M43" s="12" t="n"/>
      <c r="N43" s="12" t="n"/>
    </row>
    <row r="44" ht="22" customHeight="1">
      <c r="B44" s="16">
        <f>IF(C44="","CTR-"&amp;TEXT(COUNTA($C$5:C44),"000"))</f>
        <v/>
      </c>
      <c r="C44" s="14" t="n"/>
      <c r="D44" s="14" t="n"/>
      <c r="E44" s="14" t="n"/>
      <c r="F44" s="28" t="n"/>
      <c r="G44" s="28" t="n"/>
      <c r="H44" s="33">
        <f>IF(OR(F44="",G44=""),"",IFERROR((G44-F44)/30.44,0))</f>
        <v/>
      </c>
      <c r="I44" s="35">
        <f>IF(G44="","",IFERROR(MAX(G44-TODAY(),0),0))</f>
        <v/>
      </c>
      <c r="J44" s="14" t="n"/>
      <c r="K44" s="19" t="n"/>
      <c r="L44" s="14" t="n"/>
      <c r="M44" s="14" t="n"/>
      <c r="N44" s="14" t="n"/>
    </row>
    <row r="45" ht="22" customHeight="1">
      <c r="B45" s="17">
        <f>IF(C45="","CTR-"&amp;TEXT(COUNTA($C$5:C45),"000"))</f>
        <v/>
      </c>
      <c r="C45" s="12" t="n"/>
      <c r="D45" s="12" t="n"/>
      <c r="E45" s="12" t="n"/>
      <c r="F45" s="27" t="n"/>
      <c r="G45" s="27" t="n"/>
      <c r="H45" s="32">
        <f>IF(OR(F45="",G45=""),"",IFERROR((G45-F45)/30.44,0))</f>
        <v/>
      </c>
      <c r="I45" s="34">
        <f>IF(G45="","",IFERROR(MAX(G45-TODAY(),0),0))</f>
        <v/>
      </c>
      <c r="J45" s="12" t="n"/>
      <c r="K45" s="18" t="n"/>
      <c r="L45" s="12" t="n"/>
      <c r="M45" s="12" t="n"/>
      <c r="N45" s="12" t="n"/>
    </row>
    <row r="46" ht="22" customHeight="1">
      <c r="B46" s="16">
        <f>IF(C46="","CTR-"&amp;TEXT(COUNTA($C$5:C46),"000"))</f>
        <v/>
      </c>
      <c r="C46" s="14" t="n"/>
      <c r="D46" s="14" t="n"/>
      <c r="E46" s="14" t="n"/>
      <c r="F46" s="28" t="n"/>
      <c r="G46" s="28" t="n"/>
      <c r="H46" s="33">
        <f>IF(OR(F46="",G46=""),"",IFERROR((G46-F46)/30.44,0))</f>
        <v/>
      </c>
      <c r="I46" s="35">
        <f>IF(G46="","",IFERROR(MAX(G46-TODAY(),0),0))</f>
        <v/>
      </c>
      <c r="J46" s="14" t="n"/>
      <c r="K46" s="19" t="n"/>
      <c r="L46" s="14" t="n"/>
      <c r="M46" s="14" t="n"/>
      <c r="N46" s="14" t="n"/>
    </row>
    <row r="47" ht="22" customHeight="1">
      <c r="B47" s="17">
        <f>IF(C47="","CTR-"&amp;TEXT(COUNTA($C$5:C47),"000"))</f>
        <v/>
      </c>
      <c r="C47" s="12" t="n"/>
      <c r="D47" s="12" t="n"/>
      <c r="E47" s="12" t="n"/>
      <c r="F47" s="27" t="n"/>
      <c r="G47" s="27" t="n"/>
      <c r="H47" s="32">
        <f>IF(OR(F47="",G47=""),"",IFERROR((G47-F47)/30.44,0))</f>
        <v/>
      </c>
      <c r="I47" s="34">
        <f>IF(G47="","",IFERROR(MAX(G47-TODAY(),0),0))</f>
        <v/>
      </c>
      <c r="J47" s="12" t="n"/>
      <c r="K47" s="18" t="n"/>
      <c r="L47" s="12" t="n"/>
      <c r="M47" s="12" t="n"/>
      <c r="N47" s="12" t="n"/>
    </row>
    <row r="48" ht="22" customHeight="1">
      <c r="B48" s="16">
        <f>IF(C48="","CTR-"&amp;TEXT(COUNTA($C$5:C48),"000"))</f>
        <v/>
      </c>
      <c r="C48" s="14" t="n"/>
      <c r="D48" s="14" t="n"/>
      <c r="E48" s="14" t="n"/>
      <c r="F48" s="28" t="n"/>
      <c r="G48" s="28" t="n"/>
      <c r="H48" s="33">
        <f>IF(OR(F48="",G48=""),"",IFERROR((G48-F48)/30.44,0))</f>
        <v/>
      </c>
      <c r="I48" s="35">
        <f>IF(G48="","",IFERROR(MAX(G48-TODAY(),0),0))</f>
        <v/>
      </c>
      <c r="J48" s="14" t="n"/>
      <c r="K48" s="19" t="n"/>
      <c r="L48" s="14" t="n"/>
      <c r="M48" s="14" t="n"/>
      <c r="N48" s="14" t="n"/>
    </row>
    <row r="49" ht="22" customHeight="1">
      <c r="B49" s="17">
        <f>IF(C49="","CTR-"&amp;TEXT(COUNTA($C$5:C49),"000"))</f>
        <v/>
      </c>
      <c r="C49" s="12" t="n"/>
      <c r="D49" s="12" t="n"/>
      <c r="E49" s="12" t="n"/>
      <c r="F49" s="27" t="n"/>
      <c r="G49" s="27" t="n"/>
      <c r="H49" s="32">
        <f>IF(OR(F49="",G49=""),"",IFERROR((G49-F49)/30.44,0))</f>
        <v/>
      </c>
      <c r="I49" s="34">
        <f>IF(G49="","",IFERROR(MAX(G49-TODAY(),0),0))</f>
        <v/>
      </c>
      <c r="J49" s="12" t="n"/>
      <c r="K49" s="18" t="n"/>
      <c r="L49" s="12" t="n"/>
      <c r="M49" s="12" t="n"/>
      <c r="N49" s="12" t="n"/>
    </row>
    <row r="50" ht="22" customHeight="1">
      <c r="B50" s="16">
        <f>IF(C50="","CTR-"&amp;TEXT(COUNTA($C$5:C50),"000"))</f>
        <v/>
      </c>
      <c r="C50" s="14" t="n"/>
      <c r="D50" s="14" t="n"/>
      <c r="E50" s="14" t="n"/>
      <c r="F50" s="28" t="n"/>
      <c r="G50" s="28" t="n"/>
      <c r="H50" s="33">
        <f>IF(OR(F50="",G50=""),"",IFERROR((G50-F50)/30.44,0))</f>
        <v/>
      </c>
      <c r="I50" s="35">
        <f>IF(G50="","",IFERROR(MAX(G50-TODAY(),0),0))</f>
        <v/>
      </c>
      <c r="J50" s="14" t="n"/>
      <c r="K50" s="19" t="n"/>
      <c r="L50" s="14" t="n"/>
      <c r="M50" s="14" t="n"/>
      <c r="N50" s="14" t="n"/>
    </row>
    <row r="51" ht="22" customHeight="1">
      <c r="B51" s="17">
        <f>IF(C51="","CTR-"&amp;TEXT(COUNTA($C$5:C51),"000"))</f>
        <v/>
      </c>
      <c r="C51" s="12" t="n"/>
      <c r="D51" s="12" t="n"/>
      <c r="E51" s="12" t="n"/>
      <c r="F51" s="27" t="n"/>
      <c r="G51" s="27" t="n"/>
      <c r="H51" s="32">
        <f>IF(OR(F51="",G51=""),"",IFERROR((G51-F51)/30.44,0))</f>
        <v/>
      </c>
      <c r="I51" s="34">
        <f>IF(G51="","",IFERROR(MAX(G51-TODAY(),0),0))</f>
        <v/>
      </c>
      <c r="J51" s="12" t="n"/>
      <c r="K51" s="18" t="n"/>
      <c r="L51" s="12" t="n"/>
      <c r="M51" s="12" t="n"/>
      <c r="N51" s="12" t="n"/>
    </row>
    <row r="52" ht="22" customHeight="1">
      <c r="B52" s="16">
        <f>IF(C52="","CTR-"&amp;TEXT(COUNTA($C$5:C52),"000"))</f>
        <v/>
      </c>
      <c r="C52" s="14" t="n"/>
      <c r="D52" s="14" t="n"/>
      <c r="E52" s="14" t="n"/>
      <c r="F52" s="28" t="n"/>
      <c r="G52" s="28" t="n"/>
      <c r="H52" s="33">
        <f>IF(OR(F52="",G52=""),"",IFERROR((G52-F52)/30.44,0))</f>
        <v/>
      </c>
      <c r="I52" s="35">
        <f>IF(G52="","",IFERROR(MAX(G52-TODAY(),0),0))</f>
        <v/>
      </c>
      <c r="J52" s="14" t="n"/>
      <c r="K52" s="19" t="n"/>
      <c r="L52" s="14" t="n"/>
      <c r="M52" s="14" t="n"/>
      <c r="N52" s="14" t="n"/>
    </row>
    <row r="53" ht="22" customHeight="1">
      <c r="B53" s="17">
        <f>IF(C53="","CTR-"&amp;TEXT(COUNTA($C$5:C53),"000"))</f>
        <v/>
      </c>
      <c r="C53" s="12" t="n"/>
      <c r="D53" s="12" t="n"/>
      <c r="E53" s="12" t="n"/>
      <c r="F53" s="27" t="n"/>
      <c r="G53" s="27" t="n"/>
      <c r="H53" s="32">
        <f>IF(OR(F53="",G53=""),"",IFERROR((G53-F53)/30.44,0))</f>
        <v/>
      </c>
      <c r="I53" s="34">
        <f>IF(G53="","",IFERROR(MAX(G53-TODAY(),0),0))</f>
        <v/>
      </c>
      <c r="J53" s="12" t="n"/>
      <c r="K53" s="18" t="n"/>
      <c r="L53" s="12" t="n"/>
      <c r="M53" s="12" t="n"/>
      <c r="N53" s="12" t="n"/>
    </row>
    <row r="54" ht="22" customHeight="1">
      <c r="B54" s="16">
        <f>IF(C54="","CTR-"&amp;TEXT(COUNTA($C$5:C54),"000"))</f>
        <v/>
      </c>
      <c r="C54" s="14" t="n"/>
      <c r="D54" s="14" t="n"/>
      <c r="E54" s="14" t="n"/>
      <c r="F54" s="28" t="n"/>
      <c r="G54" s="28" t="n"/>
      <c r="H54" s="33">
        <f>IF(OR(F54="",G54=""),"",IFERROR((G54-F54)/30.44,0))</f>
        <v/>
      </c>
      <c r="I54" s="35">
        <f>IF(G54="","",IFERROR(MAX(G54-TODAY(),0),0))</f>
        <v/>
      </c>
      <c r="J54" s="14" t="n"/>
      <c r="K54" s="19" t="n"/>
      <c r="L54" s="14" t="n"/>
      <c r="M54" s="14" t="n"/>
      <c r="N54" s="14" t="n"/>
    </row>
    <row r="55" ht="22" customHeight="1">
      <c r="B55" s="17">
        <f>IF(C55="","CTR-"&amp;TEXT(COUNTA($C$5:C55),"000"))</f>
        <v/>
      </c>
      <c r="C55" s="12" t="n"/>
      <c r="D55" s="12" t="n"/>
      <c r="E55" s="12" t="n"/>
      <c r="F55" s="27" t="n"/>
      <c r="G55" s="27" t="n"/>
      <c r="H55" s="32">
        <f>IF(OR(F55="",G55=""),"",IFERROR((G55-F55)/30.44,0))</f>
        <v/>
      </c>
      <c r="I55" s="34">
        <f>IF(G55="","",IFERROR(MAX(G55-TODAY(),0),0))</f>
        <v/>
      </c>
      <c r="J55" s="12" t="n"/>
      <c r="K55" s="18" t="n"/>
      <c r="L55" s="12" t="n"/>
      <c r="M55" s="12" t="n"/>
      <c r="N55" s="12" t="n"/>
    </row>
    <row r="56" ht="22" customHeight="1">
      <c r="B56" s="16">
        <f>IF(C56="","CTR-"&amp;TEXT(COUNTA($C$5:C56),"000"))</f>
        <v/>
      </c>
      <c r="C56" s="14" t="n"/>
      <c r="D56" s="14" t="n"/>
      <c r="E56" s="14" t="n"/>
      <c r="F56" s="28" t="n"/>
      <c r="G56" s="28" t="n"/>
      <c r="H56" s="33">
        <f>IF(OR(F56="",G56=""),"",IFERROR((G56-F56)/30.44,0))</f>
        <v/>
      </c>
      <c r="I56" s="35">
        <f>IF(G56="","",IFERROR(MAX(G56-TODAY(),0),0))</f>
        <v/>
      </c>
      <c r="J56" s="14" t="n"/>
      <c r="K56" s="19" t="n"/>
      <c r="L56" s="14" t="n"/>
      <c r="M56" s="14" t="n"/>
      <c r="N56" s="14" t="n"/>
    </row>
    <row r="57" ht="22" customHeight="1">
      <c r="B57" s="17">
        <f>IF(C57="","CTR-"&amp;TEXT(COUNTA($C$5:C57),"000"))</f>
        <v/>
      </c>
      <c r="C57" s="12" t="n"/>
      <c r="D57" s="12" t="n"/>
      <c r="E57" s="12" t="n"/>
      <c r="F57" s="27" t="n"/>
      <c r="G57" s="27" t="n"/>
      <c r="H57" s="32">
        <f>IF(OR(F57="",G57=""),"",IFERROR((G57-F57)/30.44,0))</f>
        <v/>
      </c>
      <c r="I57" s="34">
        <f>IF(G57="","",IFERROR(MAX(G57-TODAY(),0),0))</f>
        <v/>
      </c>
      <c r="J57" s="12" t="n"/>
      <c r="K57" s="18" t="n"/>
      <c r="L57" s="12" t="n"/>
      <c r="M57" s="12" t="n"/>
      <c r="N57" s="12" t="n"/>
    </row>
    <row r="58" ht="22" customHeight="1">
      <c r="B58" s="16">
        <f>IF(C58="","CTR-"&amp;TEXT(COUNTA($C$5:C58),"000"))</f>
        <v/>
      </c>
      <c r="C58" s="14" t="n"/>
      <c r="D58" s="14" t="n"/>
      <c r="E58" s="14" t="n"/>
      <c r="F58" s="28" t="n"/>
      <c r="G58" s="28" t="n"/>
      <c r="H58" s="33">
        <f>IF(OR(F58="",G58=""),"",IFERROR((G58-F58)/30.44,0))</f>
        <v/>
      </c>
      <c r="I58" s="35">
        <f>IF(G58="","",IFERROR(MAX(G58-TODAY(),0),0))</f>
        <v/>
      </c>
      <c r="J58" s="14" t="n"/>
      <c r="K58" s="19" t="n"/>
      <c r="L58" s="14" t="n"/>
      <c r="M58" s="14" t="n"/>
      <c r="N58" s="14" t="n"/>
    </row>
    <row r="59" ht="22" customHeight="1">
      <c r="B59" s="17">
        <f>IF(C59="","CTR-"&amp;TEXT(COUNTA($C$5:C59),"000"))</f>
        <v/>
      </c>
      <c r="C59" s="12" t="n"/>
      <c r="D59" s="12" t="n"/>
      <c r="E59" s="12" t="n"/>
      <c r="F59" s="27" t="n"/>
      <c r="G59" s="27" t="n"/>
      <c r="H59" s="32">
        <f>IF(OR(F59="",G59=""),"",IFERROR((G59-F59)/30.44,0))</f>
        <v/>
      </c>
      <c r="I59" s="34">
        <f>IF(G59="","",IFERROR(MAX(G59-TODAY(),0),0))</f>
        <v/>
      </c>
      <c r="J59" s="12" t="n"/>
      <c r="K59" s="18" t="n"/>
      <c r="L59" s="12" t="n"/>
      <c r="M59" s="12" t="n"/>
      <c r="N59" s="12" t="n"/>
    </row>
    <row r="60" ht="22" customHeight="1">
      <c r="B60" s="16">
        <f>IF(C60="","CTR-"&amp;TEXT(COUNTA($C$5:C60),"000"))</f>
        <v/>
      </c>
      <c r="C60" s="14" t="n"/>
      <c r="D60" s="14" t="n"/>
      <c r="E60" s="14" t="n"/>
      <c r="F60" s="28" t="n"/>
      <c r="G60" s="28" t="n"/>
      <c r="H60" s="33">
        <f>IF(OR(F60="",G60=""),"",IFERROR((G60-F60)/30.44,0))</f>
        <v/>
      </c>
      <c r="I60" s="35">
        <f>IF(G60="","",IFERROR(MAX(G60-TODAY(),0),0))</f>
        <v/>
      </c>
      <c r="J60" s="14" t="n"/>
      <c r="K60" s="19" t="n"/>
      <c r="L60" s="14" t="n"/>
      <c r="M60" s="14" t="n"/>
      <c r="N60" s="14" t="n"/>
    </row>
    <row r="61" ht="22" customHeight="1">
      <c r="B61" s="17">
        <f>IF(C61="","CTR-"&amp;TEXT(COUNTA($C$5:C61),"000"))</f>
        <v/>
      </c>
      <c r="C61" s="12" t="n"/>
      <c r="D61" s="12" t="n"/>
      <c r="E61" s="12" t="n"/>
      <c r="F61" s="27" t="n"/>
      <c r="G61" s="27" t="n"/>
      <c r="H61" s="32">
        <f>IF(OR(F61="",G61=""),"",IFERROR((G61-F61)/30.44,0))</f>
        <v/>
      </c>
      <c r="I61" s="34">
        <f>IF(G61="","",IFERROR(MAX(G61-TODAY(),0),0))</f>
        <v/>
      </c>
      <c r="J61" s="12" t="n"/>
      <c r="K61" s="18" t="n"/>
      <c r="L61" s="12" t="n"/>
      <c r="M61" s="12" t="n"/>
      <c r="N61" s="12" t="n"/>
    </row>
    <row r="62" ht="22" customHeight="1">
      <c r="B62" s="16">
        <f>IF(C62="","CTR-"&amp;TEXT(COUNTA($C$5:C62),"000"))</f>
        <v/>
      </c>
      <c r="C62" s="14" t="n"/>
      <c r="D62" s="14" t="n"/>
      <c r="E62" s="14" t="n"/>
      <c r="F62" s="28" t="n"/>
      <c r="G62" s="28" t="n"/>
      <c r="H62" s="33">
        <f>IF(OR(F62="",G62=""),"",IFERROR((G62-F62)/30.44,0))</f>
        <v/>
      </c>
      <c r="I62" s="35">
        <f>IF(G62="","",IFERROR(MAX(G62-TODAY(),0),0))</f>
        <v/>
      </c>
      <c r="J62" s="14" t="n"/>
      <c r="K62" s="19" t="n"/>
      <c r="L62" s="14" t="n"/>
      <c r="M62" s="14" t="n"/>
      <c r="N62" s="14" t="n"/>
    </row>
    <row r="63" ht="22" customHeight="1">
      <c r="B63" s="17">
        <f>IF(C63="","CTR-"&amp;TEXT(COUNTA($C$5:C63),"000"))</f>
        <v/>
      </c>
      <c r="C63" s="12" t="n"/>
      <c r="D63" s="12" t="n"/>
      <c r="E63" s="12" t="n"/>
      <c r="F63" s="27" t="n"/>
      <c r="G63" s="27" t="n"/>
      <c r="H63" s="32">
        <f>IF(OR(F63="",G63=""),"",IFERROR((G63-F63)/30.44,0))</f>
        <v/>
      </c>
      <c r="I63" s="34">
        <f>IF(G63="","",IFERROR(MAX(G63-TODAY(),0),0))</f>
        <v/>
      </c>
      <c r="J63" s="12" t="n"/>
      <c r="K63" s="18" t="n"/>
      <c r="L63" s="12" t="n"/>
      <c r="M63" s="12" t="n"/>
      <c r="N63" s="12" t="n"/>
    </row>
    <row r="64" ht="22" customHeight="1">
      <c r="B64" s="16">
        <f>IF(C64="","CTR-"&amp;TEXT(COUNTA($C$5:C64),"000"))</f>
        <v/>
      </c>
      <c r="C64" s="14" t="n"/>
      <c r="D64" s="14" t="n"/>
      <c r="E64" s="14" t="n"/>
      <c r="F64" s="28" t="n"/>
      <c r="G64" s="28" t="n"/>
      <c r="H64" s="33">
        <f>IF(OR(F64="",G64=""),"",IFERROR((G64-F64)/30.44,0))</f>
        <v/>
      </c>
      <c r="I64" s="35">
        <f>IF(G64="","",IFERROR(MAX(G64-TODAY(),0),0))</f>
        <v/>
      </c>
      <c r="J64" s="14" t="n"/>
      <c r="K64" s="19" t="n"/>
      <c r="L64" s="14" t="n"/>
      <c r="M64" s="14" t="n"/>
      <c r="N64" s="14" t="n"/>
    </row>
    <row r="65" ht="22" customHeight="1">
      <c r="B65" s="17">
        <f>IF(C65="","CTR-"&amp;TEXT(COUNTA($C$5:C65),"000"))</f>
        <v/>
      </c>
      <c r="C65" s="12" t="n"/>
      <c r="D65" s="12" t="n"/>
      <c r="E65" s="12" t="n"/>
      <c r="F65" s="27" t="n"/>
      <c r="G65" s="27" t="n"/>
      <c r="H65" s="32">
        <f>IF(OR(F65="",G65=""),"",IFERROR((G65-F65)/30.44,0))</f>
        <v/>
      </c>
      <c r="I65" s="34">
        <f>IF(G65="","",IFERROR(MAX(G65-TODAY(),0),0))</f>
        <v/>
      </c>
      <c r="J65" s="12" t="n"/>
      <c r="K65" s="18" t="n"/>
      <c r="L65" s="12" t="n"/>
      <c r="M65" s="12" t="n"/>
      <c r="N65" s="12" t="n"/>
    </row>
    <row r="66" ht="22" customHeight="1">
      <c r="B66" s="16">
        <f>IF(C66="","CTR-"&amp;TEXT(COUNTA($C$5:C66),"000"))</f>
        <v/>
      </c>
      <c r="C66" s="14" t="n"/>
      <c r="D66" s="14" t="n"/>
      <c r="E66" s="14" t="n"/>
      <c r="F66" s="28" t="n"/>
      <c r="G66" s="28" t="n"/>
      <c r="H66" s="33">
        <f>IF(OR(F66="",G66=""),"",IFERROR((G66-F66)/30.44,0))</f>
        <v/>
      </c>
      <c r="I66" s="35">
        <f>IF(G66="","",IFERROR(MAX(G66-TODAY(),0),0))</f>
        <v/>
      </c>
      <c r="J66" s="14" t="n"/>
      <c r="K66" s="19" t="n"/>
      <c r="L66" s="14" t="n"/>
      <c r="M66" s="14" t="n"/>
      <c r="N66" s="14" t="n"/>
    </row>
    <row r="67" ht="22" customHeight="1">
      <c r="B67" s="17">
        <f>IF(C67="","CTR-"&amp;TEXT(COUNTA($C$5:C67),"000"))</f>
        <v/>
      </c>
      <c r="C67" s="12" t="n"/>
      <c r="D67" s="12" t="n"/>
      <c r="E67" s="12" t="n"/>
      <c r="F67" s="27" t="n"/>
      <c r="G67" s="27" t="n"/>
      <c r="H67" s="32">
        <f>IF(OR(F67="",G67=""),"",IFERROR((G67-F67)/30.44,0))</f>
        <v/>
      </c>
      <c r="I67" s="34">
        <f>IF(G67="","",IFERROR(MAX(G67-TODAY(),0),0))</f>
        <v/>
      </c>
      <c r="J67" s="12" t="n"/>
      <c r="K67" s="18" t="n"/>
      <c r="L67" s="12" t="n"/>
      <c r="M67" s="12" t="n"/>
      <c r="N67" s="12" t="n"/>
    </row>
    <row r="68" ht="22" customHeight="1">
      <c r="B68" s="16">
        <f>IF(C68="","CTR-"&amp;TEXT(COUNTA($C$5:C68),"000"))</f>
        <v/>
      </c>
      <c r="C68" s="14" t="n"/>
      <c r="D68" s="14" t="n"/>
      <c r="E68" s="14" t="n"/>
      <c r="F68" s="28" t="n"/>
      <c r="G68" s="28" t="n"/>
      <c r="H68" s="33">
        <f>IF(OR(F68="",G68=""),"",IFERROR((G68-F68)/30.44,0))</f>
        <v/>
      </c>
      <c r="I68" s="35">
        <f>IF(G68="","",IFERROR(MAX(G68-TODAY(),0),0))</f>
        <v/>
      </c>
      <c r="J68" s="14" t="n"/>
      <c r="K68" s="19" t="n"/>
      <c r="L68" s="14" t="n"/>
      <c r="M68" s="14" t="n"/>
      <c r="N68" s="14" t="n"/>
    </row>
    <row r="69" ht="22" customHeight="1">
      <c r="B69" s="17">
        <f>IF(C69="","CTR-"&amp;TEXT(COUNTA($C$5:C69),"000"))</f>
        <v/>
      </c>
      <c r="C69" s="12" t="n"/>
      <c r="D69" s="12" t="n"/>
      <c r="E69" s="12" t="n"/>
      <c r="F69" s="27" t="n"/>
      <c r="G69" s="27" t="n"/>
      <c r="H69" s="32">
        <f>IF(OR(F69="",G69=""),"",IFERROR((G69-F69)/30.44,0))</f>
        <v/>
      </c>
      <c r="I69" s="34">
        <f>IF(G69="","",IFERROR(MAX(G69-TODAY(),0),0))</f>
        <v/>
      </c>
      <c r="J69" s="12" t="n"/>
      <c r="K69" s="18" t="n"/>
      <c r="L69" s="12" t="n"/>
      <c r="M69" s="12" t="n"/>
      <c r="N69" s="12" t="n"/>
    </row>
    <row r="70" ht="22" customHeight="1">
      <c r="B70" s="16">
        <f>IF(C70="","CTR-"&amp;TEXT(COUNTA($C$5:C70),"000"))</f>
        <v/>
      </c>
      <c r="C70" s="14" t="n"/>
      <c r="D70" s="14" t="n"/>
      <c r="E70" s="14" t="n"/>
      <c r="F70" s="28" t="n"/>
      <c r="G70" s="28" t="n"/>
      <c r="H70" s="33">
        <f>IF(OR(F70="",G70=""),"",IFERROR((G70-F70)/30.44,0))</f>
        <v/>
      </c>
      <c r="I70" s="35">
        <f>IF(G70="","",IFERROR(MAX(G70-TODAY(),0),0))</f>
        <v/>
      </c>
      <c r="J70" s="14" t="n"/>
      <c r="K70" s="19" t="n"/>
      <c r="L70" s="14" t="n"/>
      <c r="M70" s="14" t="n"/>
      <c r="N70" s="14" t="n"/>
    </row>
    <row r="71" ht="22" customHeight="1">
      <c r="B71" s="17">
        <f>IF(C71="","CTR-"&amp;TEXT(COUNTA($C$5:C71),"000"))</f>
        <v/>
      </c>
      <c r="C71" s="12" t="n"/>
      <c r="D71" s="12" t="n"/>
      <c r="E71" s="12" t="n"/>
      <c r="F71" s="27" t="n"/>
      <c r="G71" s="27" t="n"/>
      <c r="H71" s="32">
        <f>IF(OR(F71="",G71=""),"",IFERROR((G71-F71)/30.44,0))</f>
        <v/>
      </c>
      <c r="I71" s="34">
        <f>IF(G71="","",IFERROR(MAX(G71-TODAY(),0),0))</f>
        <v/>
      </c>
      <c r="J71" s="12" t="n"/>
      <c r="K71" s="18" t="n"/>
      <c r="L71" s="12" t="n"/>
      <c r="M71" s="12" t="n"/>
      <c r="N71" s="12" t="n"/>
    </row>
    <row r="72" ht="22" customHeight="1">
      <c r="B72" s="16">
        <f>IF(C72="","CTR-"&amp;TEXT(COUNTA($C$5:C72),"000"))</f>
        <v/>
      </c>
      <c r="C72" s="14" t="n"/>
      <c r="D72" s="14" t="n"/>
      <c r="E72" s="14" t="n"/>
      <c r="F72" s="28" t="n"/>
      <c r="G72" s="28" t="n"/>
      <c r="H72" s="33">
        <f>IF(OR(F72="",G72=""),"",IFERROR((G72-F72)/30.44,0))</f>
        <v/>
      </c>
      <c r="I72" s="35">
        <f>IF(G72="","",IFERROR(MAX(G72-TODAY(),0),0))</f>
        <v/>
      </c>
      <c r="J72" s="14" t="n"/>
      <c r="K72" s="19" t="n"/>
      <c r="L72" s="14" t="n"/>
      <c r="M72" s="14" t="n"/>
      <c r="N72" s="14" t="n"/>
    </row>
    <row r="73" ht="22" customHeight="1">
      <c r="B73" s="17">
        <f>IF(C73="","CTR-"&amp;TEXT(COUNTA($C$5:C73),"000"))</f>
        <v/>
      </c>
      <c r="C73" s="12" t="n"/>
      <c r="D73" s="12" t="n"/>
      <c r="E73" s="12" t="n"/>
      <c r="F73" s="27" t="n"/>
      <c r="G73" s="27" t="n"/>
      <c r="H73" s="32">
        <f>IF(OR(F73="",G73=""),"",IFERROR((G73-F73)/30.44,0))</f>
        <v/>
      </c>
      <c r="I73" s="34">
        <f>IF(G73="","",IFERROR(MAX(G73-TODAY(),0),0))</f>
        <v/>
      </c>
      <c r="J73" s="12" t="n"/>
      <c r="K73" s="18" t="n"/>
      <c r="L73" s="12" t="n"/>
      <c r="M73" s="12" t="n"/>
      <c r="N73" s="12" t="n"/>
    </row>
    <row r="74" ht="22" customHeight="1">
      <c r="B74" s="16">
        <f>IF(C74="","CTR-"&amp;TEXT(COUNTA($C$5:C74),"000"))</f>
        <v/>
      </c>
      <c r="C74" s="14" t="n"/>
      <c r="D74" s="14" t="n"/>
      <c r="E74" s="14" t="n"/>
      <c r="F74" s="28" t="n"/>
      <c r="G74" s="28" t="n"/>
      <c r="H74" s="33">
        <f>IF(OR(F74="",G74=""),"",IFERROR((G74-F74)/30.44,0))</f>
        <v/>
      </c>
      <c r="I74" s="35">
        <f>IF(G74="","",IFERROR(MAX(G74-TODAY(),0),0))</f>
        <v/>
      </c>
      <c r="J74" s="14" t="n"/>
      <c r="K74" s="19" t="n"/>
      <c r="L74" s="14" t="n"/>
      <c r="M74" s="14" t="n"/>
      <c r="N74" s="14" t="n"/>
    </row>
    <row r="75" ht="22" customHeight="1">
      <c r="B75" s="17">
        <f>IF(C75="","CTR-"&amp;TEXT(COUNTA($C$5:C75),"000"))</f>
        <v/>
      </c>
      <c r="C75" s="12" t="n"/>
      <c r="D75" s="12" t="n"/>
      <c r="E75" s="12" t="n"/>
      <c r="F75" s="27" t="n"/>
      <c r="G75" s="27" t="n"/>
      <c r="H75" s="32">
        <f>IF(OR(F75="",G75=""),"",IFERROR((G75-F75)/30.44,0))</f>
        <v/>
      </c>
      <c r="I75" s="34">
        <f>IF(G75="","",IFERROR(MAX(G75-TODAY(),0),0))</f>
        <v/>
      </c>
      <c r="J75" s="12" t="n"/>
      <c r="K75" s="18" t="n"/>
      <c r="L75" s="12" t="n"/>
      <c r="M75" s="12" t="n"/>
      <c r="N75" s="12" t="n"/>
    </row>
    <row r="76" ht="22" customHeight="1">
      <c r="B76" s="16">
        <f>IF(C76="","CTR-"&amp;TEXT(COUNTA($C$5:C76),"000"))</f>
        <v/>
      </c>
      <c r="C76" s="14" t="n"/>
      <c r="D76" s="14" t="n"/>
      <c r="E76" s="14" t="n"/>
      <c r="F76" s="28" t="n"/>
      <c r="G76" s="28" t="n"/>
      <c r="H76" s="33">
        <f>IF(OR(F76="",G76=""),"",IFERROR((G76-F76)/30.44,0))</f>
        <v/>
      </c>
      <c r="I76" s="35">
        <f>IF(G76="","",IFERROR(MAX(G76-TODAY(),0),0))</f>
        <v/>
      </c>
      <c r="J76" s="14" t="n"/>
      <c r="K76" s="19" t="n"/>
      <c r="L76" s="14" t="n"/>
      <c r="M76" s="14" t="n"/>
      <c r="N76" s="14" t="n"/>
    </row>
    <row r="77" ht="22" customHeight="1">
      <c r="B77" s="17">
        <f>IF(C77="","CTR-"&amp;TEXT(COUNTA($C$5:C77),"000"))</f>
        <v/>
      </c>
      <c r="C77" s="12" t="n"/>
      <c r="D77" s="12" t="n"/>
      <c r="E77" s="12" t="n"/>
      <c r="F77" s="27" t="n"/>
      <c r="G77" s="27" t="n"/>
      <c r="H77" s="32">
        <f>IF(OR(F77="",G77=""),"",IFERROR((G77-F77)/30.44,0))</f>
        <v/>
      </c>
      <c r="I77" s="34">
        <f>IF(G77="","",IFERROR(MAX(G77-TODAY(),0),0))</f>
        <v/>
      </c>
      <c r="J77" s="12" t="n"/>
      <c r="K77" s="18" t="n"/>
      <c r="L77" s="12" t="n"/>
      <c r="M77" s="12" t="n"/>
      <c r="N77" s="12" t="n"/>
    </row>
    <row r="78" ht="22" customHeight="1">
      <c r="B78" s="16">
        <f>IF(C78="","CTR-"&amp;TEXT(COUNTA($C$5:C78),"000"))</f>
        <v/>
      </c>
      <c r="C78" s="14" t="n"/>
      <c r="D78" s="14" t="n"/>
      <c r="E78" s="14" t="n"/>
      <c r="F78" s="28" t="n"/>
      <c r="G78" s="28" t="n"/>
      <c r="H78" s="33">
        <f>IF(OR(F78="",G78=""),"",IFERROR((G78-F78)/30.44,0))</f>
        <v/>
      </c>
      <c r="I78" s="35">
        <f>IF(G78="","",IFERROR(MAX(G78-TODAY(),0),0))</f>
        <v/>
      </c>
      <c r="J78" s="14" t="n"/>
      <c r="K78" s="19" t="n"/>
      <c r="L78" s="14" t="n"/>
      <c r="M78" s="14" t="n"/>
      <c r="N78" s="14" t="n"/>
    </row>
    <row r="79" ht="22" customHeight="1">
      <c r="B79" s="17">
        <f>IF(C79="","CTR-"&amp;TEXT(COUNTA($C$5:C79),"000"))</f>
        <v/>
      </c>
      <c r="C79" s="12" t="n"/>
      <c r="D79" s="12" t="n"/>
      <c r="E79" s="12" t="n"/>
      <c r="F79" s="27" t="n"/>
      <c r="G79" s="27" t="n"/>
      <c r="H79" s="32">
        <f>IF(OR(F79="",G79=""),"",IFERROR((G79-F79)/30.44,0))</f>
        <v/>
      </c>
      <c r="I79" s="34">
        <f>IF(G79="","",IFERROR(MAX(G79-TODAY(),0),0))</f>
        <v/>
      </c>
      <c r="J79" s="12" t="n"/>
      <c r="K79" s="18" t="n"/>
      <c r="L79" s="12" t="n"/>
      <c r="M79" s="12" t="n"/>
      <c r="N79" s="12" t="n"/>
    </row>
    <row r="80" ht="22" customHeight="1">
      <c r="B80" s="16">
        <f>IF(C80="","CTR-"&amp;TEXT(COUNTA($C$5:C80),"000"))</f>
        <v/>
      </c>
      <c r="C80" s="14" t="n"/>
      <c r="D80" s="14" t="n"/>
      <c r="E80" s="14" t="n"/>
      <c r="F80" s="28" t="n"/>
      <c r="G80" s="28" t="n"/>
      <c r="H80" s="33">
        <f>IF(OR(F80="",G80=""),"",IFERROR((G80-F80)/30.44,0))</f>
        <v/>
      </c>
      <c r="I80" s="35">
        <f>IF(G80="","",IFERROR(MAX(G80-TODAY(),0),0))</f>
        <v/>
      </c>
      <c r="J80" s="14" t="n"/>
      <c r="K80" s="19" t="n"/>
      <c r="L80" s="14" t="n"/>
      <c r="M80" s="14" t="n"/>
      <c r="N80" s="14" t="n"/>
    </row>
    <row r="81" ht="22" customHeight="1">
      <c r="B81" s="17">
        <f>IF(C81="","CTR-"&amp;TEXT(COUNTA($C$5:C81),"000"))</f>
        <v/>
      </c>
      <c r="C81" s="12" t="n"/>
      <c r="D81" s="12" t="n"/>
      <c r="E81" s="12" t="n"/>
      <c r="F81" s="27" t="n"/>
      <c r="G81" s="27" t="n"/>
      <c r="H81" s="32">
        <f>IF(OR(F81="",G81=""),"",IFERROR((G81-F81)/30.44,0))</f>
        <v/>
      </c>
      <c r="I81" s="34">
        <f>IF(G81="","",IFERROR(MAX(G81-TODAY(),0),0))</f>
        <v/>
      </c>
      <c r="J81" s="12" t="n"/>
      <c r="K81" s="18" t="n"/>
      <c r="L81" s="12" t="n"/>
      <c r="M81" s="12" t="n"/>
      <c r="N81" s="12" t="n"/>
    </row>
    <row r="82" ht="22" customHeight="1">
      <c r="B82" s="16">
        <f>IF(C82="","CTR-"&amp;TEXT(COUNTA($C$5:C82),"000"))</f>
        <v/>
      </c>
      <c r="C82" s="14" t="n"/>
      <c r="D82" s="14" t="n"/>
      <c r="E82" s="14" t="n"/>
      <c r="F82" s="28" t="n"/>
      <c r="G82" s="28" t="n"/>
      <c r="H82" s="33">
        <f>IF(OR(F82="",G82=""),"",IFERROR((G82-F82)/30.44,0))</f>
        <v/>
      </c>
      <c r="I82" s="35">
        <f>IF(G82="","",IFERROR(MAX(G82-TODAY(),0),0))</f>
        <v/>
      </c>
      <c r="J82" s="14" t="n"/>
      <c r="K82" s="19" t="n"/>
      <c r="L82" s="14" t="n"/>
      <c r="M82" s="14" t="n"/>
      <c r="N82" s="14" t="n"/>
    </row>
    <row r="83" ht="22" customHeight="1">
      <c r="B83" s="17">
        <f>IF(C83="","CTR-"&amp;TEXT(COUNTA($C$5:C83),"000"))</f>
        <v/>
      </c>
      <c r="C83" s="12" t="n"/>
      <c r="D83" s="12" t="n"/>
      <c r="E83" s="12" t="n"/>
      <c r="F83" s="27" t="n"/>
      <c r="G83" s="27" t="n"/>
      <c r="H83" s="32">
        <f>IF(OR(F83="",G83=""),"",IFERROR((G83-F83)/30.44,0))</f>
        <v/>
      </c>
      <c r="I83" s="34">
        <f>IF(G83="","",IFERROR(MAX(G83-TODAY(),0),0))</f>
        <v/>
      </c>
      <c r="J83" s="12" t="n"/>
      <c r="K83" s="18" t="n"/>
      <c r="L83" s="12" t="n"/>
      <c r="M83" s="12" t="n"/>
      <c r="N83" s="12" t="n"/>
    </row>
    <row r="84" ht="22" customHeight="1">
      <c r="B84" s="16">
        <f>IF(C84="","CTR-"&amp;TEXT(COUNTA($C$5:C84),"000"))</f>
        <v/>
      </c>
      <c r="C84" s="14" t="n"/>
      <c r="D84" s="14" t="n"/>
      <c r="E84" s="14" t="n"/>
      <c r="F84" s="28" t="n"/>
      <c r="G84" s="28" t="n"/>
      <c r="H84" s="33">
        <f>IF(OR(F84="",G84=""),"",IFERROR((G84-F84)/30.44,0))</f>
        <v/>
      </c>
      <c r="I84" s="35">
        <f>IF(G84="","",IFERROR(MAX(G84-TODAY(),0),0))</f>
        <v/>
      </c>
      <c r="J84" s="14" t="n"/>
      <c r="K84" s="19" t="n"/>
      <c r="L84" s="14" t="n"/>
      <c r="M84" s="14" t="n"/>
      <c r="N84" s="14" t="n"/>
    </row>
    <row r="85" ht="22" customHeight="1">
      <c r="B85" s="17">
        <f>IF(C85="","CTR-"&amp;TEXT(COUNTA($C$5:C85),"000"))</f>
        <v/>
      </c>
      <c r="C85" s="12" t="n"/>
      <c r="D85" s="12" t="n"/>
      <c r="E85" s="12" t="n"/>
      <c r="F85" s="27" t="n"/>
      <c r="G85" s="27" t="n"/>
      <c r="H85" s="32">
        <f>IF(OR(F85="",G85=""),"",IFERROR((G85-F85)/30.44,0))</f>
        <v/>
      </c>
      <c r="I85" s="34">
        <f>IF(G85="","",IFERROR(MAX(G85-TODAY(),0),0))</f>
        <v/>
      </c>
      <c r="J85" s="12" t="n"/>
      <c r="K85" s="18" t="n"/>
      <c r="L85" s="12" t="n"/>
      <c r="M85" s="12" t="n"/>
      <c r="N85" s="12" t="n"/>
    </row>
    <row r="86" ht="22" customHeight="1">
      <c r="B86" s="16">
        <f>IF(C86="","CTR-"&amp;TEXT(COUNTA($C$5:C86),"000"))</f>
        <v/>
      </c>
      <c r="C86" s="14" t="n"/>
      <c r="D86" s="14" t="n"/>
      <c r="E86" s="14" t="n"/>
      <c r="F86" s="28" t="n"/>
      <c r="G86" s="28" t="n"/>
      <c r="H86" s="33">
        <f>IF(OR(F86="",G86=""),"",IFERROR((G86-F86)/30.44,0))</f>
        <v/>
      </c>
      <c r="I86" s="35">
        <f>IF(G86="","",IFERROR(MAX(G86-TODAY(),0),0))</f>
        <v/>
      </c>
      <c r="J86" s="14" t="n"/>
      <c r="K86" s="19" t="n"/>
      <c r="L86" s="14" t="n"/>
      <c r="M86" s="14" t="n"/>
      <c r="N86" s="14" t="n"/>
    </row>
    <row r="87" ht="22" customHeight="1">
      <c r="B87" s="17">
        <f>IF(C87="","CTR-"&amp;TEXT(COUNTA($C$5:C87),"000"))</f>
        <v/>
      </c>
      <c r="C87" s="12" t="n"/>
      <c r="D87" s="12" t="n"/>
      <c r="E87" s="12" t="n"/>
      <c r="F87" s="27" t="n"/>
      <c r="G87" s="27" t="n"/>
      <c r="H87" s="32">
        <f>IF(OR(F87="",G87=""),"",IFERROR((G87-F87)/30.44,0))</f>
        <v/>
      </c>
      <c r="I87" s="34">
        <f>IF(G87="","",IFERROR(MAX(G87-TODAY(),0),0))</f>
        <v/>
      </c>
      <c r="J87" s="12" t="n"/>
      <c r="K87" s="18" t="n"/>
      <c r="L87" s="12" t="n"/>
      <c r="M87" s="12" t="n"/>
      <c r="N87" s="12" t="n"/>
    </row>
    <row r="88" ht="22" customHeight="1">
      <c r="B88" s="16">
        <f>IF(C88="","CTR-"&amp;TEXT(COUNTA($C$5:C88),"000"))</f>
        <v/>
      </c>
      <c r="C88" s="14" t="n"/>
      <c r="D88" s="14" t="n"/>
      <c r="E88" s="14" t="n"/>
      <c r="F88" s="28" t="n"/>
      <c r="G88" s="28" t="n"/>
      <c r="H88" s="33">
        <f>IF(OR(F88="",G88=""),"",IFERROR((G88-F88)/30.44,0))</f>
        <v/>
      </c>
      <c r="I88" s="35">
        <f>IF(G88="","",IFERROR(MAX(G88-TODAY(),0),0))</f>
        <v/>
      </c>
      <c r="J88" s="14" t="n"/>
      <c r="K88" s="19" t="n"/>
      <c r="L88" s="14" t="n"/>
      <c r="M88" s="14" t="n"/>
      <c r="N88" s="14" t="n"/>
    </row>
    <row r="89" ht="22" customHeight="1">
      <c r="B89" s="17">
        <f>IF(C89="","CTR-"&amp;TEXT(COUNTA($C$5:C89),"000"))</f>
        <v/>
      </c>
      <c r="C89" s="12" t="n"/>
      <c r="D89" s="12" t="n"/>
      <c r="E89" s="12" t="n"/>
      <c r="F89" s="27" t="n"/>
      <c r="G89" s="27" t="n"/>
      <c r="H89" s="32">
        <f>IF(OR(F89="",G89=""),"",IFERROR((G89-F89)/30.44,0))</f>
        <v/>
      </c>
      <c r="I89" s="34">
        <f>IF(G89="","",IFERROR(MAX(G89-TODAY(),0),0))</f>
        <v/>
      </c>
      <c r="J89" s="12" t="n"/>
      <c r="K89" s="18" t="n"/>
      <c r="L89" s="12" t="n"/>
      <c r="M89" s="12" t="n"/>
      <c r="N89" s="12" t="n"/>
    </row>
    <row r="90" ht="22" customHeight="1">
      <c r="B90" s="16">
        <f>IF(C90="","CTR-"&amp;TEXT(COUNTA($C$5:C90),"000"))</f>
        <v/>
      </c>
      <c r="C90" s="14" t="n"/>
      <c r="D90" s="14" t="n"/>
      <c r="E90" s="14" t="n"/>
      <c r="F90" s="28" t="n"/>
      <c r="G90" s="28" t="n"/>
      <c r="H90" s="33">
        <f>IF(OR(F90="",G90=""),"",IFERROR((G90-F90)/30.44,0))</f>
        <v/>
      </c>
      <c r="I90" s="35">
        <f>IF(G90="","",IFERROR(MAX(G90-TODAY(),0),0))</f>
        <v/>
      </c>
      <c r="J90" s="14" t="n"/>
      <c r="K90" s="19" t="n"/>
      <c r="L90" s="14" t="n"/>
      <c r="M90" s="14" t="n"/>
      <c r="N90" s="14" t="n"/>
    </row>
    <row r="91" ht="22" customHeight="1">
      <c r="B91" s="17">
        <f>IF(C91="","CTR-"&amp;TEXT(COUNTA($C$5:C91),"000"))</f>
        <v/>
      </c>
      <c r="C91" s="12" t="n"/>
      <c r="D91" s="12" t="n"/>
      <c r="E91" s="12" t="n"/>
      <c r="F91" s="27" t="n"/>
      <c r="G91" s="27" t="n"/>
      <c r="H91" s="32">
        <f>IF(OR(F91="",G91=""),"",IFERROR((G91-F91)/30.44,0))</f>
        <v/>
      </c>
      <c r="I91" s="34">
        <f>IF(G91="","",IFERROR(MAX(G91-TODAY(),0),0))</f>
        <v/>
      </c>
      <c r="J91" s="12" t="n"/>
      <c r="K91" s="18" t="n"/>
      <c r="L91" s="12" t="n"/>
      <c r="M91" s="12" t="n"/>
      <c r="N91" s="12" t="n"/>
    </row>
    <row r="92" ht="22" customHeight="1">
      <c r="B92" s="16">
        <f>IF(C92="","CTR-"&amp;TEXT(COUNTA($C$5:C92),"000"))</f>
        <v/>
      </c>
      <c r="C92" s="14" t="n"/>
      <c r="D92" s="14" t="n"/>
      <c r="E92" s="14" t="n"/>
      <c r="F92" s="28" t="n"/>
      <c r="G92" s="28" t="n"/>
      <c r="H92" s="33">
        <f>IF(OR(F92="",G92=""),"",IFERROR((G92-F92)/30.44,0))</f>
        <v/>
      </c>
      <c r="I92" s="35">
        <f>IF(G92="","",IFERROR(MAX(G92-TODAY(),0),0))</f>
        <v/>
      </c>
      <c r="J92" s="14" t="n"/>
      <c r="K92" s="19" t="n"/>
      <c r="L92" s="14" t="n"/>
      <c r="M92" s="14" t="n"/>
      <c r="N92" s="14" t="n"/>
    </row>
    <row r="93" ht="22" customHeight="1">
      <c r="B93" s="17">
        <f>IF(C93="","CTR-"&amp;TEXT(COUNTA($C$5:C93),"000"))</f>
        <v/>
      </c>
      <c r="C93" s="12" t="n"/>
      <c r="D93" s="12" t="n"/>
      <c r="E93" s="12" t="n"/>
      <c r="F93" s="27" t="n"/>
      <c r="G93" s="27" t="n"/>
      <c r="H93" s="32">
        <f>IF(OR(F93="",G93=""),"",IFERROR((G93-F93)/30.44,0))</f>
        <v/>
      </c>
      <c r="I93" s="34">
        <f>IF(G93="","",IFERROR(MAX(G93-TODAY(),0),0))</f>
        <v/>
      </c>
      <c r="J93" s="12" t="n"/>
      <c r="K93" s="18" t="n"/>
      <c r="L93" s="12" t="n"/>
      <c r="M93" s="12" t="n"/>
      <c r="N93" s="12" t="n"/>
    </row>
    <row r="94" ht="22" customHeight="1">
      <c r="B94" s="16">
        <f>IF(C94="","CTR-"&amp;TEXT(COUNTA($C$5:C94),"000"))</f>
        <v/>
      </c>
      <c r="C94" s="14" t="n"/>
      <c r="D94" s="14" t="n"/>
      <c r="E94" s="14" t="n"/>
      <c r="F94" s="28" t="n"/>
      <c r="G94" s="28" t="n"/>
      <c r="H94" s="33">
        <f>IF(OR(F94="",G94=""),"",IFERROR((G94-F94)/30.44,0))</f>
        <v/>
      </c>
      <c r="I94" s="35">
        <f>IF(G94="","",IFERROR(MAX(G94-TODAY(),0),0))</f>
        <v/>
      </c>
      <c r="J94" s="14" t="n"/>
      <c r="K94" s="19" t="n"/>
      <c r="L94" s="14" t="n"/>
      <c r="M94" s="14" t="n"/>
      <c r="N94" s="14" t="n"/>
    </row>
    <row r="95" ht="22" customHeight="1">
      <c r="B95" s="17">
        <f>IF(C95="","CTR-"&amp;TEXT(COUNTA($C$5:C95),"000"))</f>
        <v/>
      </c>
      <c r="C95" s="12" t="n"/>
      <c r="D95" s="12" t="n"/>
      <c r="E95" s="12" t="n"/>
      <c r="F95" s="27" t="n"/>
      <c r="G95" s="27" t="n"/>
      <c r="H95" s="32">
        <f>IF(OR(F95="",G95=""),"",IFERROR((G95-F95)/30.44,0))</f>
        <v/>
      </c>
      <c r="I95" s="34">
        <f>IF(G95="","",IFERROR(MAX(G95-TODAY(),0),0))</f>
        <v/>
      </c>
      <c r="J95" s="12" t="n"/>
      <c r="K95" s="18" t="n"/>
      <c r="L95" s="12" t="n"/>
      <c r="M95" s="12" t="n"/>
      <c r="N95" s="12" t="n"/>
    </row>
    <row r="96" ht="22" customHeight="1">
      <c r="B96" s="16">
        <f>IF(C96="","CTR-"&amp;TEXT(COUNTA($C$5:C96),"000"))</f>
        <v/>
      </c>
      <c r="C96" s="14" t="n"/>
      <c r="D96" s="14" t="n"/>
      <c r="E96" s="14" t="n"/>
      <c r="F96" s="28" t="n"/>
      <c r="G96" s="28" t="n"/>
      <c r="H96" s="33">
        <f>IF(OR(F96="",G96=""),"",IFERROR((G96-F96)/30.44,0))</f>
        <v/>
      </c>
      <c r="I96" s="35">
        <f>IF(G96="","",IFERROR(MAX(G96-TODAY(),0),0))</f>
        <v/>
      </c>
      <c r="J96" s="14" t="n"/>
      <c r="K96" s="19" t="n"/>
      <c r="L96" s="14" t="n"/>
      <c r="M96" s="14" t="n"/>
      <c r="N96" s="14" t="n"/>
    </row>
    <row r="97" ht="22" customHeight="1">
      <c r="B97" s="17">
        <f>IF(C97="","CTR-"&amp;TEXT(COUNTA($C$5:C97),"000"))</f>
        <v/>
      </c>
      <c r="C97" s="12" t="n"/>
      <c r="D97" s="12" t="n"/>
      <c r="E97" s="12" t="n"/>
      <c r="F97" s="27" t="n"/>
      <c r="G97" s="27" t="n"/>
      <c r="H97" s="32">
        <f>IF(OR(F97="",G97=""),"",IFERROR((G97-F97)/30.44,0))</f>
        <v/>
      </c>
      <c r="I97" s="34">
        <f>IF(G97="","",IFERROR(MAX(G97-TODAY(),0),0))</f>
        <v/>
      </c>
      <c r="J97" s="12" t="n"/>
      <c r="K97" s="18" t="n"/>
      <c r="L97" s="12" t="n"/>
      <c r="M97" s="12" t="n"/>
      <c r="N97" s="12" t="n"/>
    </row>
    <row r="98" ht="22" customHeight="1">
      <c r="B98" s="16">
        <f>IF(C98="","CTR-"&amp;TEXT(COUNTA($C$5:C98),"000"))</f>
        <v/>
      </c>
      <c r="C98" s="14" t="n"/>
      <c r="D98" s="14" t="n"/>
      <c r="E98" s="14" t="n"/>
      <c r="F98" s="28" t="n"/>
      <c r="G98" s="28" t="n"/>
      <c r="H98" s="33">
        <f>IF(OR(F98="",G98=""),"",IFERROR((G98-F98)/30.44,0))</f>
        <v/>
      </c>
      <c r="I98" s="35">
        <f>IF(G98="","",IFERROR(MAX(G98-TODAY(),0),0))</f>
        <v/>
      </c>
      <c r="J98" s="14" t="n"/>
      <c r="K98" s="19" t="n"/>
      <c r="L98" s="14" t="n"/>
      <c r="M98" s="14" t="n"/>
      <c r="N98" s="14" t="n"/>
    </row>
    <row r="99" ht="22" customHeight="1">
      <c r="B99" s="17">
        <f>IF(C99="","CTR-"&amp;TEXT(COUNTA($C$5:C99),"000"))</f>
        <v/>
      </c>
      <c r="C99" s="12" t="n"/>
      <c r="D99" s="12" t="n"/>
      <c r="E99" s="12" t="n"/>
      <c r="F99" s="27" t="n"/>
      <c r="G99" s="27" t="n"/>
      <c r="H99" s="32">
        <f>IF(OR(F99="",G99=""),"",IFERROR((G99-F99)/30.44,0))</f>
        <v/>
      </c>
      <c r="I99" s="34">
        <f>IF(G99="","",IFERROR(MAX(G99-TODAY(),0),0))</f>
        <v/>
      </c>
      <c r="J99" s="12" t="n"/>
      <c r="K99" s="18" t="n"/>
      <c r="L99" s="12" t="n"/>
      <c r="M99" s="12" t="n"/>
      <c r="N99" s="12" t="n"/>
    </row>
    <row r="100" ht="22" customHeight="1">
      <c r="B100" s="16">
        <f>IF(C100="","CTR-"&amp;TEXT(COUNTA($C$5:C100),"000"))</f>
        <v/>
      </c>
      <c r="C100" s="14" t="n"/>
      <c r="D100" s="14" t="n"/>
      <c r="E100" s="14" t="n"/>
      <c r="F100" s="28" t="n"/>
      <c r="G100" s="28" t="n"/>
      <c r="H100" s="33">
        <f>IF(OR(F100="",G100=""),"",IFERROR((G100-F100)/30.44,0))</f>
        <v/>
      </c>
      <c r="I100" s="35">
        <f>IF(G100="","",IFERROR(MAX(G100-TODAY(),0),0))</f>
        <v/>
      </c>
      <c r="J100" s="14" t="n"/>
      <c r="K100" s="19" t="n"/>
      <c r="L100" s="14" t="n"/>
      <c r="M100" s="14" t="n"/>
      <c r="N100" s="14" t="n"/>
    </row>
    <row r="101" ht="22" customHeight="1">
      <c r="B101" s="17">
        <f>IF(C101="","CTR-"&amp;TEXT(COUNTA($C$5:C101),"000"))</f>
        <v/>
      </c>
      <c r="C101" s="12" t="n"/>
      <c r="D101" s="12" t="n"/>
      <c r="E101" s="12" t="n"/>
      <c r="F101" s="27" t="n"/>
      <c r="G101" s="27" t="n"/>
      <c r="H101" s="32">
        <f>IF(OR(F101="",G101=""),"",IFERROR((G101-F101)/30.44,0))</f>
        <v/>
      </c>
      <c r="I101" s="34">
        <f>IF(G101="","",IFERROR(MAX(G101-TODAY(),0),0))</f>
        <v/>
      </c>
      <c r="J101" s="12" t="n"/>
      <c r="K101" s="18" t="n"/>
      <c r="L101" s="12" t="n"/>
      <c r="M101" s="12" t="n"/>
      <c r="N101" s="12" t="n"/>
    </row>
    <row r="102" ht="22" customHeight="1">
      <c r="B102" s="16">
        <f>IF(C102="","CTR-"&amp;TEXT(COUNTA($C$5:C102),"000"))</f>
        <v/>
      </c>
      <c r="C102" s="14" t="n"/>
      <c r="D102" s="14" t="n"/>
      <c r="E102" s="14" t="n"/>
      <c r="F102" s="28" t="n"/>
      <c r="G102" s="28" t="n"/>
      <c r="H102" s="33">
        <f>IF(OR(F102="",G102=""),"",IFERROR((G102-F102)/30.44,0))</f>
        <v/>
      </c>
      <c r="I102" s="35">
        <f>IF(G102="","",IFERROR(MAX(G102-TODAY(),0),0))</f>
        <v/>
      </c>
      <c r="J102" s="14" t="n"/>
      <c r="K102" s="19" t="n"/>
      <c r="L102" s="14" t="n"/>
      <c r="M102" s="14" t="n"/>
      <c r="N102" s="14" t="n"/>
    </row>
    <row r="103" ht="22" customHeight="1">
      <c r="B103" s="17">
        <f>IF(C103="","CTR-"&amp;TEXT(COUNTA($C$5:C103),"000"))</f>
        <v/>
      </c>
      <c r="C103" s="12" t="n"/>
      <c r="D103" s="12" t="n"/>
      <c r="E103" s="12" t="n"/>
      <c r="F103" s="27" t="n"/>
      <c r="G103" s="27" t="n"/>
      <c r="H103" s="32">
        <f>IF(OR(F103="",G103=""),"",IFERROR((G103-F103)/30.44,0))</f>
        <v/>
      </c>
      <c r="I103" s="34">
        <f>IF(G103="","",IFERROR(MAX(G103-TODAY(),0),0))</f>
        <v/>
      </c>
      <c r="J103" s="12" t="n"/>
      <c r="K103" s="18" t="n"/>
      <c r="L103" s="12" t="n"/>
      <c r="M103" s="12" t="n"/>
      <c r="N103" s="12" t="n"/>
    </row>
    <row r="104" ht="22" customHeight="1">
      <c r="B104" s="16">
        <f>IF(C104="","CTR-"&amp;TEXT(COUNTA($C$5:C104),"000"))</f>
        <v/>
      </c>
      <c r="C104" s="14" t="n"/>
      <c r="D104" s="14" t="n"/>
      <c r="E104" s="14" t="n"/>
      <c r="F104" s="28" t="n"/>
      <c r="G104" s="28" t="n"/>
      <c r="H104" s="33">
        <f>IF(OR(F104="",G104=""),"",IFERROR((G104-F104)/30.44,0))</f>
        <v/>
      </c>
      <c r="I104" s="35">
        <f>IF(G104="","",IFERROR(MAX(G104-TODAY(),0),0))</f>
        <v/>
      </c>
      <c r="J104" s="14" t="n"/>
      <c r="K104" s="19" t="n"/>
      <c r="L104" s="14" t="n"/>
      <c r="M104" s="14" t="n"/>
      <c r="N104" s="14" t="n"/>
    </row>
    <row r="105" ht="22" customHeight="1">
      <c r="B105" s="17">
        <f>IF(C105="","CTR-"&amp;TEXT(COUNTA($C$5:C105),"000"))</f>
        <v/>
      </c>
      <c r="C105" s="12" t="n"/>
      <c r="D105" s="12" t="n"/>
      <c r="E105" s="12" t="n"/>
      <c r="F105" s="27" t="n"/>
      <c r="G105" s="27" t="n"/>
      <c r="J105" s="12" t="n"/>
      <c r="K105" s="18" t="n"/>
      <c r="L105" s="12" t="n"/>
      <c r="M105" s="12" t="n"/>
      <c r="N105" s="12" t="n"/>
    </row>
    <row r="106" ht="22" customHeight="1">
      <c r="B106" s="16">
        <f>IF(C106="","CTR-"&amp;TEXT(COUNTA($C$5:C106),"000"))</f>
        <v/>
      </c>
      <c r="C106" s="14" t="n"/>
      <c r="D106" s="14" t="n"/>
      <c r="E106" s="14" t="n"/>
      <c r="F106" s="28" t="n"/>
      <c r="G106" s="28" t="n"/>
      <c r="J106" s="14" t="n"/>
      <c r="K106" s="19" t="n"/>
      <c r="L106" s="14" t="n"/>
      <c r="M106" s="14" t="n"/>
      <c r="N106" s="14" t="n"/>
    </row>
    <row r="107" ht="22" customHeight="1">
      <c r="B107" s="17">
        <f>IF(C107="","CTR-"&amp;TEXT(COUNTA($C$5:C107),"000"))</f>
        <v/>
      </c>
      <c r="C107" s="12" t="n"/>
      <c r="D107" s="12" t="n"/>
      <c r="E107" s="12" t="n"/>
      <c r="F107" s="27" t="n"/>
      <c r="G107" s="27" t="n"/>
      <c r="J107" s="12" t="n"/>
      <c r="K107" s="18" t="n"/>
      <c r="L107" s="12" t="n"/>
      <c r="M107" s="12" t="n"/>
      <c r="N107" s="12" t="n"/>
    </row>
    <row r="108" ht="22" customHeight="1">
      <c r="B108" s="16">
        <f>IF(C108="","CTR-"&amp;TEXT(COUNTA($C$5:C108),"000"))</f>
        <v/>
      </c>
      <c r="C108" s="14" t="n"/>
      <c r="D108" s="14" t="n"/>
      <c r="E108" s="14" t="n"/>
      <c r="F108" s="28" t="n"/>
      <c r="G108" s="28" t="n"/>
      <c r="J108" s="14" t="n"/>
      <c r="K108" s="19" t="n"/>
      <c r="L108" s="14" t="n"/>
      <c r="M108" s="14" t="n"/>
      <c r="N108" s="14" t="n"/>
    </row>
    <row r="109" ht="22" customHeight="1">
      <c r="B109" s="17">
        <f>IF(C109="","CTR-"&amp;TEXT(COUNTA($C$5:C109),"000"))</f>
        <v/>
      </c>
      <c r="C109" s="12" t="n"/>
      <c r="D109" s="12" t="n"/>
      <c r="E109" s="12" t="n"/>
      <c r="F109" s="27" t="n"/>
      <c r="G109" s="27" t="n"/>
      <c r="J109" s="12" t="n"/>
      <c r="K109" s="18" t="n"/>
      <c r="L109" s="12" t="n"/>
      <c r="M109" s="12" t="n"/>
      <c r="N109" s="12" t="n"/>
    </row>
    <row r="110"/>
    <row r="111" ht="26" customHeight="1">
      <c r="B111" s="20" t="inlineStr">
        <is>
          <t>TOTAL</t>
        </is>
      </c>
      <c r="C111" s="21" t="n"/>
      <c r="D111" s="21" t="n"/>
      <c r="E111" s="21" t="n"/>
      <c r="F111" s="21" t="n"/>
      <c r="G111" s="21" t="n"/>
      <c r="J111" s="21" t="n"/>
      <c r="K111" s="22">
        <f>SUM(I5:I104)</f>
        <v/>
      </c>
      <c r="L111" s="21" t="n"/>
      <c r="M111" s="21" t="n"/>
      <c r="N111" s="21" t="n"/>
    </row>
    <row r="112"/>
    <row r="113">
      <c r="B113" s="6" t="inlineStr">
        <is>
          <t>INDICATEURS (mis a jour automatiquement)</t>
        </is>
      </c>
    </row>
    <row r="114">
      <c r="B114" s="3" t="inlineStr">
        <is>
          <t>Total contrats</t>
        </is>
      </c>
      <c r="D114" s="3" t="inlineStr">
        <is>
          <t>En vigueur</t>
        </is>
      </c>
      <c r="F114" s="3" t="inlineStr">
        <is>
          <t>Masse salariale brute</t>
        </is>
      </c>
    </row>
    <row r="115">
      <c r="B115" s="4">
        <f>COUNTIF(B5:B104,"&lt;&gt;")</f>
        <v/>
      </c>
      <c r="D115" s="4">
        <f>COUNTIF(H5:H104,"En vigueur")</f>
        <v/>
      </c>
      <c r="F115" s="4">
        <f>SUM(I5:I104)</f>
        <v/>
      </c>
    </row>
  </sheetData>
  <mergeCells count="3">
    <mergeCell ref="B2:L2"/>
    <mergeCell ref="B113:L113"/>
    <mergeCell ref="B3:L3"/>
  </mergeCells>
  <conditionalFormatting sqref="H5:H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"Soumise"</formula>
    </cfRule>
    <cfRule type="cellIs" priority="9" operator="equal" dxfId="0">
      <formula>"Traite"</formula>
    </cfRule>
    <cfRule type="cellIs" priority="10" operator="equal" dxfId="0">
      <formula>"Clos"</formula>
    </cfRule>
    <cfRule type="cellIs" priority="11" operator="equal" dxfId="0">
      <formula>"Solde"</formula>
    </cfRule>
    <cfRule type="cellIs" priority="12" operator="equal" dxfId="0">
      <formula>"Pris"</formula>
    </cfRule>
    <cfRule type="cellIs" priority="13" operator="equal" dxfId="1">
      <formula>"En attente"</formula>
    </cfRule>
    <cfRule type="cellIs" priority="14" operator="equal" dxfId="1">
      <formula>"A renouveler"</formula>
    </cfRule>
    <cfRule type="cellIs" priority="15" operator="equal" dxfId="1">
      <formula>"En renouvellement"</formula>
    </cfRule>
    <cfRule type="cellIs" priority="16" operator="equal" dxfId="1">
      <formula>"En cours"</formula>
    </cfRule>
    <cfRule type="cellIs" priority="17" operator="equal" dxfId="1">
      <formula>"En traitement"</formula>
    </cfRule>
    <cfRule type="cellIs" priority="18" operator="equal" dxfId="1">
      <formula>"En retard"</formula>
    </cfRule>
    <cfRule type="cellIs" priority="19" operator="equal" dxfId="1">
      <formula>"Suspendu"</formula>
    </cfRule>
    <cfRule type="cellIs" priority="20" operator="equal" dxfId="1">
      <formula>"A verifier"</formula>
    </cfRule>
    <cfRule type="cellIs" priority="21" operator="equal" dxfId="2">
      <formula>"Expire"</formula>
    </cfRule>
    <cfRule type="cellIs" priority="22" operator="equal" dxfId="2">
      <formula>"Rejete"</formula>
    </cfRule>
    <cfRule type="cellIs" priority="23" operator="equal" dxfId="2">
      <formula>"Rejetee"</formula>
    </cfRule>
    <cfRule type="cellIs" priority="24" operator="equal" dxfId="2">
      <formula>"Resilie"</formula>
    </cfRule>
    <cfRule type="cellIs" priority="25" operator="equal" dxfId="2">
      <formula>"Echu"</formula>
    </cfRule>
    <cfRule type="cellIs" priority="26" operator="equal" dxfId="2">
      <formula>"Refuse"</formula>
    </cfRule>
    <cfRule type="cellIs" priority="27" operator="equal" dxfId="2">
      <formula>"Annulee"</formula>
    </cfRule>
    <cfRule type="cellIs" priority="28" operator="equal" dxfId="2">
      <formula>"Departi"</formula>
    </cfRule>
    <cfRule type="cellIs" priority="29" operator="equal" dxfId="2">
      <formula>"Cloture"</formula>
    </cfRule>
    <cfRule type="cellIs" priority="30" operator="equal" dxfId="2">
      <formula>"Non justifiee"</formula>
    </cfRule>
    <cfRule type="cellIs" priority="31" operator="equal" dxfId="2">
      <formula>"Manquant"</formula>
    </cfRule>
  </conditionalFormatting>
  <conditionalFormatting sqref="B10:B109">
    <cfRule type="expression" priority="32" dxfId="3">
      <formula>AND($C10="",$C9&lt;&gt;"")</formula>
    </cfRule>
  </conditionalFormatting>
  <conditionalFormatting sqref="C10:C109">
    <cfRule type="expression" priority="33" dxfId="3">
      <formula>AND($C10="",$C9&lt;&gt;"")</formula>
    </cfRule>
  </conditionalFormatting>
  <conditionalFormatting sqref="D10:D109">
    <cfRule type="expression" priority="34" dxfId="3">
      <formula>AND($C10="",$C9&lt;&gt;"")</formula>
    </cfRule>
  </conditionalFormatting>
  <conditionalFormatting sqref="E10:E109">
    <cfRule type="expression" priority="35" dxfId="3">
      <formula>AND($C10="",$C9&lt;&gt;"")</formula>
    </cfRule>
  </conditionalFormatting>
  <conditionalFormatting sqref="F10:F109">
    <cfRule type="expression" priority="36" dxfId="3">
      <formula>AND($C10="",$C9&lt;&gt;"")</formula>
    </cfRule>
  </conditionalFormatting>
  <conditionalFormatting sqref="G10:G109">
    <cfRule type="expression" priority="37" dxfId="3">
      <formula>AND($C10="",$C9&lt;&gt;"")</formula>
    </cfRule>
  </conditionalFormatting>
  <conditionalFormatting sqref="H10:H109">
    <cfRule type="expression" priority="38" dxfId="3">
      <formula>AND($C10="",$C9&lt;&gt;"")</formula>
    </cfRule>
  </conditionalFormatting>
  <conditionalFormatting sqref="I10:I109">
    <cfRule type="expression" priority="39" dxfId="3">
      <formula>AND($C10="",$C9&lt;&gt;"")</formula>
    </cfRule>
  </conditionalFormatting>
  <conditionalFormatting sqref="J10:J109">
    <cfRule type="expression" priority="40" dxfId="3">
      <formula>AND($C10="",$C9&lt;&gt;"")</formula>
    </cfRule>
  </conditionalFormatting>
  <conditionalFormatting sqref="K10:K109">
    <cfRule type="expression" priority="41" dxfId="3">
      <formula>AND($C10="",$C9&lt;&gt;"")</formula>
    </cfRule>
  </conditionalFormatting>
  <conditionalFormatting sqref="L10:L109">
    <cfRule type="expression" priority="42" dxfId="3">
      <formula>AND($C10="",$C9&lt;&gt;"")</formula>
    </cfRule>
  </conditionalFormatting>
  <dataValidations count="3">
    <dataValidation sqref="E5:E109" showDropDown="0" showInputMessage="0" showErrorMessage="0" allowBlank="1" errorTitle="Erreur" error="Valeur invalide" promptTitle="Liste" prompt="Choisir dans la liste" type="list">
      <formula1>'_Lists'!$G$2:$G$7</formula1>
    </dataValidation>
    <dataValidation sqref="H5:H109" showDropDown="0" showInputMessage="0" showErrorMessage="0" allowBlank="1" errorTitle="Erreur" error="Valeur invalide" promptTitle="Liste" prompt="Choisir dans la liste" type="list">
      <formula1>'_Lists'!$K$2:$K$6</formula1>
    </dataValidation>
    <dataValidation sqref="J5:J109" showDropDown="0" showInputMessage="0" showErrorMessage="0" allowBlank="1" errorTitle="Erreur" error="Valeur invalide" promptTitle="Liste" prompt="Choisir dans la liste" type="list">
      <formula1>'_Lists'!$I$2:$I$5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16" customWidth="1" min="3" max="3"/>
    <col width="16" customWidth="1" min="4" max="4"/>
    <col width="20" customWidth="1" min="5" max="5"/>
    <col width="12" customWidth="1" min="6" max="6"/>
    <col width="24" customWidth="1" min="7" max="7"/>
    <col width="18" customWidth="1" min="8" max="8"/>
    <col width="18" customWidth="1" min="9" max="9"/>
    <col width="22" customWidth="1" min="10" max="10"/>
    <col width="12" customWidth="1" min="11" max="11"/>
    <col width="24" customWidth="1" min="12" max="12"/>
  </cols>
  <sheetData>
    <row r="1" ht="15" customHeight="1"/>
    <row r="2" ht="32" customHeight="1">
      <c r="B2" s="1" t="inlineStr">
        <is>
          <t>AVENANTS AU CONTRAT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 Avenant</t>
        </is>
      </c>
      <c r="C4" s="11" t="inlineStr">
        <is>
          <t>N° Contrat</t>
        </is>
      </c>
      <c r="D4" s="11" t="inlineStr">
        <is>
          <t>Matricule</t>
        </is>
      </c>
      <c r="E4" s="11" t="inlineStr">
        <is>
          <t>Nom Employé</t>
        </is>
      </c>
      <c r="F4" s="11" t="inlineStr">
        <is>
          <t>Date Avenant</t>
        </is>
      </c>
      <c r="G4" s="11" t="inlineStr">
        <is>
          <t>Type Modification</t>
        </is>
      </c>
      <c r="H4" s="11" t="inlineStr">
        <is>
          <t>Ancienne Valeur</t>
        </is>
      </c>
      <c r="I4" s="11" t="inlineStr">
        <is>
          <t>Nouvelle Valeur</t>
        </is>
      </c>
      <c r="J4" s="11" t="inlineStr">
        <is>
          <t>Motif</t>
        </is>
      </c>
      <c r="K4" s="11" t="inlineStr">
        <is>
          <t>Date Effet</t>
        </is>
      </c>
      <c r="L4" s="11" t="inlineStr">
        <is>
          <t>Statut</t>
        </is>
      </c>
    </row>
    <row r="5" ht="22" customHeight="1">
      <c r="B5" s="12" t="inlineStr">
        <is>
          <t>AV-2025-001</t>
        </is>
      </c>
      <c r="C5" s="12" t="inlineStr">
        <is>
          <t>CTR-2025-001</t>
        </is>
      </c>
      <c r="D5" s="12" t="inlineStr">
        <is>
          <t>EMP-001</t>
        </is>
      </c>
      <c r="E5" s="12" t="inlineStr">
        <is>
          <t>Nganou Clarisse</t>
        </is>
      </c>
      <c r="F5" s="27" t="n">
        <v>45301</v>
      </c>
      <c r="G5" s="12" t="inlineStr">
        <is>
          <t>Modification salariale</t>
        </is>
      </c>
      <c r="H5" s="12" t="inlineStr">
        <is>
          <t>400 000 FCFA</t>
        </is>
      </c>
      <c r="I5" s="12" t="inlineStr">
        <is>
          <t>450 000 FCFA</t>
        </is>
      </c>
      <c r="J5" s="12" t="inlineStr">
        <is>
          <t>Promotion</t>
        </is>
      </c>
      <c r="K5" s="27" t="n">
        <v>45292</v>
      </c>
      <c r="L5" s="12" t="inlineStr">
        <is>
          <t>Approuve</t>
        </is>
      </c>
    </row>
    <row r="6" ht="22" customHeight="1">
      <c r="B6" s="14" t="inlineStr">
        <is>
          <t>AV-2025-002</t>
        </is>
      </c>
      <c r="C6" s="14" t="inlineStr">
        <is>
          <t>CTR-2025-002</t>
        </is>
      </c>
      <c r="D6" s="14" t="inlineStr">
        <is>
          <t>EMP-002</t>
        </is>
      </c>
      <c r="E6" s="14" t="inlineStr">
        <is>
          <t>Tchinda Armand</t>
        </is>
      </c>
      <c r="F6" s="28" t="n">
        <v>45078</v>
      </c>
      <c r="G6" s="14" t="inlineStr">
        <is>
          <t>Changement poste</t>
        </is>
      </c>
      <c r="H6" s="14" t="inlineStr">
        <is>
          <t>Technicien IT</t>
        </is>
      </c>
      <c r="I6" s="14" t="inlineStr">
        <is>
          <t>Chef de service IT</t>
        </is>
      </c>
      <c r="J6" s="14" t="inlineStr">
        <is>
          <t>Promotion interne</t>
        </is>
      </c>
      <c r="K6" s="28" t="n">
        <v>45078</v>
      </c>
      <c r="L6" s="14" t="inlineStr">
        <is>
          <t>Approuve</t>
        </is>
      </c>
    </row>
    <row r="7" ht="22" customHeight="1">
      <c r="B7" s="12" t="inlineStr">
        <is>
          <t>AV-2025-003</t>
        </is>
      </c>
      <c r="C7" s="12" t="inlineStr">
        <is>
          <t>CTR-2025-001</t>
        </is>
      </c>
      <c r="D7" s="12" t="inlineStr">
        <is>
          <t>EMP-001</t>
        </is>
      </c>
      <c r="E7" s="12" t="inlineStr">
        <is>
          <t>Nganou Clarisse</t>
        </is>
      </c>
      <c r="F7" s="27" t="n">
        <v>45717</v>
      </c>
      <c r="G7" s="12" t="inlineStr">
        <is>
          <t>Modification salariale</t>
        </is>
      </c>
      <c r="H7" s="12" t="inlineStr">
        <is>
          <t>450 000 FCFA</t>
        </is>
      </c>
      <c r="I7" s="12" t="inlineStr">
        <is>
          <t>500 000 FCFA</t>
        </is>
      </c>
      <c r="J7" s="12" t="inlineStr">
        <is>
          <t>Augmentation annuelle</t>
        </is>
      </c>
      <c r="K7" s="27" t="n">
        <v>45717</v>
      </c>
      <c r="L7" s="12" t="inlineStr">
        <is>
          <t>En attente</t>
        </is>
      </c>
    </row>
    <row r="8" ht="22" customHeight="1">
      <c r="B8" s="16">
        <f>IF(C8="","AV-"&amp;TEXT(COUNTA($C$5:C8),"000"))</f>
        <v/>
      </c>
      <c r="C8" s="14" t="n"/>
      <c r="D8" s="14" t="n"/>
      <c r="E8" s="14" t="n"/>
      <c r="F8" s="28" t="n"/>
      <c r="G8" s="14" t="n"/>
      <c r="H8" s="14" t="n"/>
      <c r="I8" s="14" t="n"/>
      <c r="J8" s="14" t="n"/>
      <c r="K8" s="28" t="n"/>
      <c r="L8" s="14" t="n"/>
    </row>
    <row r="9" ht="22" customHeight="1">
      <c r="B9" s="17">
        <f>IF(C9="","AV-"&amp;TEXT(COUNTA($C$5:C9),"000"))</f>
        <v/>
      </c>
      <c r="C9" s="12" t="n"/>
      <c r="D9" s="12" t="n"/>
      <c r="E9" s="12" t="n"/>
      <c r="F9" s="27" t="n"/>
      <c r="G9" s="12" t="n"/>
      <c r="H9" s="12" t="n"/>
      <c r="I9" s="12" t="n"/>
      <c r="J9" s="12" t="n"/>
      <c r="K9" s="27" t="n"/>
      <c r="L9" s="12" t="n"/>
    </row>
    <row r="10" ht="22" customHeight="1">
      <c r="B10" s="16">
        <f>IF(C10="","AV-"&amp;TEXT(COUNTA($C$5:C10),"000"))</f>
        <v/>
      </c>
      <c r="C10" s="14" t="n"/>
      <c r="D10" s="14" t="n"/>
      <c r="E10" s="14" t="n"/>
      <c r="F10" s="28" t="n"/>
      <c r="G10" s="14" t="n"/>
      <c r="H10" s="14" t="n"/>
      <c r="I10" s="14" t="n"/>
      <c r="J10" s="14" t="n"/>
      <c r="K10" s="28" t="n"/>
      <c r="L10" s="14" t="n"/>
    </row>
    <row r="11" ht="22" customHeight="1">
      <c r="B11" s="17">
        <f>IF(C11="","AV-"&amp;TEXT(COUNTA($C$5:C11),"000"))</f>
        <v/>
      </c>
      <c r="C11" s="12" t="n"/>
      <c r="D11" s="12" t="n"/>
      <c r="E11" s="12" t="n"/>
      <c r="F11" s="27" t="n"/>
      <c r="G11" s="12" t="n"/>
      <c r="H11" s="12" t="n"/>
      <c r="I11" s="12" t="n"/>
      <c r="J11" s="12" t="n"/>
      <c r="K11" s="27" t="n"/>
      <c r="L11" s="12" t="n"/>
    </row>
    <row r="12" ht="22" customHeight="1">
      <c r="B12" s="16">
        <f>IF(C12="","AV-"&amp;TEXT(COUNTA($C$5:C12),"000"))</f>
        <v/>
      </c>
      <c r="C12" s="14" t="n"/>
      <c r="D12" s="14" t="n"/>
      <c r="E12" s="14" t="n"/>
      <c r="F12" s="28" t="n"/>
      <c r="G12" s="14" t="n"/>
      <c r="H12" s="14" t="n"/>
      <c r="I12" s="14" t="n"/>
      <c r="J12" s="14" t="n"/>
      <c r="K12" s="28" t="n"/>
      <c r="L12" s="14" t="n"/>
    </row>
    <row r="13" ht="22" customHeight="1">
      <c r="B13" s="17">
        <f>IF(C13="","AV-"&amp;TEXT(COUNTA($C$5:C13),"000"))</f>
        <v/>
      </c>
      <c r="C13" s="12" t="n"/>
      <c r="D13" s="12" t="n"/>
      <c r="E13" s="12" t="n"/>
      <c r="F13" s="27" t="n"/>
      <c r="G13" s="12" t="n"/>
      <c r="H13" s="12" t="n"/>
      <c r="I13" s="12" t="n"/>
      <c r="J13" s="12" t="n"/>
      <c r="K13" s="27" t="n"/>
      <c r="L13" s="12" t="n"/>
    </row>
    <row r="14" ht="22" customHeight="1">
      <c r="B14" s="16">
        <f>IF(C14="","AV-"&amp;TEXT(COUNTA($C$5:C14),"000"))</f>
        <v/>
      </c>
      <c r="C14" s="14" t="n"/>
      <c r="D14" s="14" t="n"/>
      <c r="E14" s="14" t="n"/>
      <c r="F14" s="28" t="n"/>
      <c r="G14" s="14" t="n"/>
      <c r="H14" s="14" t="n"/>
      <c r="I14" s="14" t="n"/>
      <c r="J14" s="14" t="n"/>
      <c r="K14" s="28" t="n"/>
      <c r="L14" s="14" t="n"/>
    </row>
    <row r="15" ht="22" customHeight="1">
      <c r="B15" s="17">
        <f>IF(C15="","AV-"&amp;TEXT(COUNTA($C$5:C15),"000"))</f>
        <v/>
      </c>
      <c r="C15" s="12" t="n"/>
      <c r="D15" s="12" t="n"/>
      <c r="E15" s="12" t="n"/>
      <c r="F15" s="27" t="n"/>
      <c r="G15" s="12" t="n"/>
      <c r="H15" s="12" t="n"/>
      <c r="I15" s="12" t="n"/>
      <c r="J15" s="12" t="n"/>
      <c r="K15" s="27" t="n"/>
      <c r="L15" s="12" t="n"/>
    </row>
    <row r="16" ht="22" customHeight="1">
      <c r="B16" s="16">
        <f>IF(C16="","AV-"&amp;TEXT(COUNTA($C$5:C16),"000"))</f>
        <v/>
      </c>
      <c r="C16" s="14" t="n"/>
      <c r="D16" s="14" t="n"/>
      <c r="E16" s="14" t="n"/>
      <c r="F16" s="28" t="n"/>
      <c r="G16" s="14" t="n"/>
      <c r="H16" s="14" t="n"/>
      <c r="I16" s="14" t="n"/>
      <c r="J16" s="14" t="n"/>
      <c r="K16" s="28" t="n"/>
      <c r="L16" s="14" t="n"/>
    </row>
    <row r="17" ht="22" customHeight="1">
      <c r="B17" s="17">
        <f>IF(C17="","AV-"&amp;TEXT(COUNTA($C$5:C17),"000"))</f>
        <v/>
      </c>
      <c r="C17" s="12" t="n"/>
      <c r="D17" s="12" t="n"/>
      <c r="E17" s="12" t="n"/>
      <c r="F17" s="27" t="n"/>
      <c r="G17" s="12" t="n"/>
      <c r="H17" s="12" t="n"/>
      <c r="I17" s="12" t="n"/>
      <c r="J17" s="12" t="n"/>
      <c r="K17" s="27" t="n"/>
      <c r="L17" s="12" t="n"/>
    </row>
    <row r="18" ht="22" customHeight="1">
      <c r="B18" s="16">
        <f>IF(C18="","AV-"&amp;TEXT(COUNTA($C$5:C18),"000"))</f>
        <v/>
      </c>
      <c r="C18" s="14" t="n"/>
      <c r="D18" s="14" t="n"/>
      <c r="E18" s="14" t="n"/>
      <c r="F18" s="28" t="n"/>
      <c r="G18" s="14" t="n"/>
      <c r="H18" s="14" t="n"/>
      <c r="I18" s="14" t="n"/>
      <c r="J18" s="14" t="n"/>
      <c r="K18" s="28" t="n"/>
      <c r="L18" s="14" t="n"/>
    </row>
    <row r="19" ht="22" customHeight="1">
      <c r="B19" s="17">
        <f>IF(C19="","AV-"&amp;TEXT(COUNTA($C$5:C19),"000"))</f>
        <v/>
      </c>
      <c r="C19" s="12" t="n"/>
      <c r="D19" s="12" t="n"/>
      <c r="E19" s="12" t="n"/>
      <c r="F19" s="27" t="n"/>
      <c r="G19" s="12" t="n"/>
      <c r="H19" s="12" t="n"/>
      <c r="I19" s="12" t="n"/>
      <c r="J19" s="12" t="n"/>
      <c r="K19" s="27" t="n"/>
      <c r="L19" s="12" t="n"/>
    </row>
    <row r="20" ht="22" customHeight="1">
      <c r="B20" s="16">
        <f>IF(C20="","AV-"&amp;TEXT(COUNTA($C$5:C20),"000"))</f>
        <v/>
      </c>
      <c r="C20" s="14" t="n"/>
      <c r="D20" s="14" t="n"/>
      <c r="E20" s="14" t="n"/>
      <c r="F20" s="28" t="n"/>
      <c r="G20" s="14" t="n"/>
      <c r="H20" s="14" t="n"/>
      <c r="I20" s="14" t="n"/>
      <c r="J20" s="14" t="n"/>
      <c r="K20" s="28" t="n"/>
      <c r="L20" s="14" t="n"/>
    </row>
    <row r="21" ht="22" customHeight="1">
      <c r="B21" s="17">
        <f>IF(C21="","AV-"&amp;TEXT(COUNTA($C$5:C21),"000"))</f>
        <v/>
      </c>
      <c r="C21" s="12" t="n"/>
      <c r="D21" s="12" t="n"/>
      <c r="E21" s="12" t="n"/>
      <c r="F21" s="27" t="n"/>
      <c r="G21" s="12" t="n"/>
      <c r="H21" s="12" t="n"/>
      <c r="I21" s="12" t="n"/>
      <c r="J21" s="12" t="n"/>
      <c r="K21" s="27" t="n"/>
      <c r="L21" s="12" t="n"/>
    </row>
    <row r="22" ht="22" customHeight="1">
      <c r="B22" s="16">
        <f>IF(C22="","AV-"&amp;TEXT(COUNTA($C$5:C22),"000"))</f>
        <v/>
      </c>
      <c r="C22" s="14" t="n"/>
      <c r="D22" s="14" t="n"/>
      <c r="E22" s="14" t="n"/>
      <c r="F22" s="28" t="n"/>
      <c r="G22" s="14" t="n"/>
      <c r="H22" s="14" t="n"/>
      <c r="I22" s="14" t="n"/>
      <c r="J22" s="14" t="n"/>
      <c r="K22" s="28" t="n"/>
      <c r="L22" s="14" t="n"/>
    </row>
    <row r="23" ht="22" customHeight="1">
      <c r="B23" s="17">
        <f>IF(C23="","AV-"&amp;TEXT(COUNTA($C$5:C23),"000"))</f>
        <v/>
      </c>
      <c r="C23" s="12" t="n"/>
      <c r="D23" s="12" t="n"/>
      <c r="E23" s="12" t="n"/>
      <c r="F23" s="27" t="n"/>
      <c r="G23" s="12" t="n"/>
      <c r="H23" s="12" t="n"/>
      <c r="I23" s="12" t="n"/>
      <c r="J23" s="12" t="n"/>
      <c r="K23" s="27" t="n"/>
      <c r="L23" s="12" t="n"/>
    </row>
    <row r="24" ht="22" customHeight="1">
      <c r="B24" s="16">
        <f>IF(C24="","AV-"&amp;TEXT(COUNTA($C$5:C24),"000"))</f>
        <v/>
      </c>
      <c r="C24" s="14" t="n"/>
      <c r="D24" s="14" t="n"/>
      <c r="E24" s="14" t="n"/>
      <c r="F24" s="28" t="n"/>
      <c r="G24" s="14" t="n"/>
      <c r="H24" s="14" t="n"/>
      <c r="I24" s="14" t="n"/>
      <c r="J24" s="14" t="n"/>
      <c r="K24" s="28" t="n"/>
      <c r="L24" s="14" t="n"/>
    </row>
    <row r="25" ht="22" customHeight="1">
      <c r="B25" s="17">
        <f>IF(C25="","AV-"&amp;TEXT(COUNTA($C$5:C25),"000"))</f>
        <v/>
      </c>
      <c r="C25" s="12" t="n"/>
      <c r="D25" s="12" t="n"/>
      <c r="E25" s="12" t="n"/>
      <c r="F25" s="27" t="n"/>
      <c r="G25" s="12" t="n"/>
      <c r="H25" s="12" t="n"/>
      <c r="I25" s="12" t="n"/>
      <c r="J25" s="12" t="n"/>
      <c r="K25" s="27" t="n"/>
      <c r="L25" s="12" t="n"/>
    </row>
    <row r="26" ht="22" customHeight="1">
      <c r="B26" s="16">
        <f>IF(C26="","AV-"&amp;TEXT(COUNTA($C$5:C26),"000"))</f>
        <v/>
      </c>
      <c r="C26" s="14" t="n"/>
      <c r="D26" s="14" t="n"/>
      <c r="E26" s="14" t="n"/>
      <c r="F26" s="28" t="n"/>
      <c r="G26" s="14" t="n"/>
      <c r="H26" s="14" t="n"/>
      <c r="I26" s="14" t="n"/>
      <c r="J26" s="14" t="n"/>
      <c r="K26" s="28" t="n"/>
      <c r="L26" s="14" t="n"/>
    </row>
    <row r="27" ht="22" customHeight="1">
      <c r="B27" s="17">
        <f>IF(C27="","AV-"&amp;TEXT(COUNTA($C$5:C27),"000"))</f>
        <v/>
      </c>
      <c r="C27" s="12" t="n"/>
      <c r="D27" s="12" t="n"/>
      <c r="E27" s="12" t="n"/>
      <c r="F27" s="27" t="n"/>
      <c r="G27" s="12" t="n"/>
      <c r="H27" s="12" t="n"/>
      <c r="I27" s="12" t="n"/>
      <c r="J27" s="12" t="n"/>
      <c r="K27" s="27" t="n"/>
      <c r="L27" s="12" t="n"/>
    </row>
    <row r="28" ht="22" customHeight="1">
      <c r="B28" s="16">
        <f>IF(C28="","AV-"&amp;TEXT(COUNTA($C$5:C28),"000"))</f>
        <v/>
      </c>
      <c r="C28" s="14" t="n"/>
      <c r="D28" s="14" t="n"/>
      <c r="E28" s="14" t="n"/>
      <c r="F28" s="28" t="n"/>
      <c r="G28" s="14" t="n"/>
      <c r="H28" s="14" t="n"/>
      <c r="I28" s="14" t="n"/>
      <c r="J28" s="14" t="n"/>
      <c r="K28" s="28" t="n"/>
      <c r="L28" s="14" t="n"/>
    </row>
    <row r="29" ht="22" customHeight="1">
      <c r="B29" s="17">
        <f>IF(C29="","AV-"&amp;TEXT(COUNTA($C$5:C29),"000"))</f>
        <v/>
      </c>
      <c r="C29" s="12" t="n"/>
      <c r="D29" s="12" t="n"/>
      <c r="E29" s="12" t="n"/>
      <c r="F29" s="27" t="n"/>
      <c r="G29" s="12" t="n"/>
      <c r="H29" s="12" t="n"/>
      <c r="I29" s="12" t="n"/>
      <c r="J29" s="12" t="n"/>
      <c r="K29" s="27" t="n"/>
      <c r="L29" s="12" t="n"/>
    </row>
    <row r="30" ht="22" customHeight="1">
      <c r="B30" s="16">
        <f>IF(C30="","AV-"&amp;TEXT(COUNTA($C$5:C30),"000"))</f>
        <v/>
      </c>
      <c r="C30" s="14" t="n"/>
      <c r="D30" s="14" t="n"/>
      <c r="E30" s="14" t="n"/>
      <c r="F30" s="28" t="n"/>
      <c r="G30" s="14" t="n"/>
      <c r="H30" s="14" t="n"/>
      <c r="I30" s="14" t="n"/>
      <c r="J30" s="14" t="n"/>
      <c r="K30" s="28" t="n"/>
      <c r="L30" s="14" t="n"/>
    </row>
    <row r="31" ht="22" customHeight="1">
      <c r="B31" s="17">
        <f>IF(C31="","AV-"&amp;TEXT(COUNTA($C$5:C31),"000"))</f>
        <v/>
      </c>
      <c r="C31" s="12" t="n"/>
      <c r="D31" s="12" t="n"/>
      <c r="E31" s="12" t="n"/>
      <c r="F31" s="27" t="n"/>
      <c r="G31" s="12" t="n"/>
      <c r="H31" s="12" t="n"/>
      <c r="I31" s="12" t="n"/>
      <c r="J31" s="12" t="n"/>
      <c r="K31" s="27" t="n"/>
      <c r="L31" s="12" t="n"/>
    </row>
    <row r="32" ht="22" customHeight="1">
      <c r="B32" s="16">
        <f>IF(C32="","AV-"&amp;TEXT(COUNTA($C$5:C32),"000"))</f>
        <v/>
      </c>
      <c r="C32" s="14" t="n"/>
      <c r="D32" s="14" t="n"/>
      <c r="E32" s="14" t="n"/>
      <c r="F32" s="28" t="n"/>
      <c r="G32" s="14" t="n"/>
      <c r="H32" s="14" t="n"/>
      <c r="I32" s="14" t="n"/>
      <c r="J32" s="14" t="n"/>
      <c r="K32" s="28" t="n"/>
      <c r="L32" s="14" t="n"/>
    </row>
    <row r="33" ht="22" customHeight="1">
      <c r="B33" s="17">
        <f>IF(C33="","AV-"&amp;TEXT(COUNTA($C$5:C33),"000"))</f>
        <v/>
      </c>
      <c r="C33" s="12" t="n"/>
      <c r="D33" s="12" t="n"/>
      <c r="E33" s="12" t="n"/>
      <c r="F33" s="27" t="n"/>
      <c r="G33" s="12" t="n"/>
      <c r="H33" s="12" t="n"/>
      <c r="I33" s="12" t="n"/>
      <c r="J33" s="12" t="n"/>
      <c r="K33" s="27" t="n"/>
      <c r="L33" s="12" t="n"/>
    </row>
    <row r="34" ht="22" customHeight="1">
      <c r="B34" s="16">
        <f>IF(C34="","AV-"&amp;TEXT(COUNTA($C$5:C34),"000"))</f>
        <v/>
      </c>
      <c r="C34" s="14" t="n"/>
      <c r="D34" s="14" t="n"/>
      <c r="E34" s="14" t="n"/>
      <c r="F34" s="28" t="n"/>
      <c r="G34" s="14" t="n"/>
      <c r="H34" s="14" t="n"/>
      <c r="I34" s="14" t="n"/>
      <c r="J34" s="14" t="n"/>
      <c r="K34" s="28" t="n"/>
      <c r="L34" s="14" t="n"/>
    </row>
    <row r="35" ht="22" customHeight="1">
      <c r="B35" s="17">
        <f>IF(C35="","AV-"&amp;TEXT(COUNTA($C$5:C35),"000"))</f>
        <v/>
      </c>
      <c r="C35" s="12" t="n"/>
      <c r="D35" s="12" t="n"/>
      <c r="E35" s="12" t="n"/>
      <c r="F35" s="27" t="n"/>
      <c r="G35" s="12" t="n"/>
      <c r="H35" s="12" t="n"/>
      <c r="I35" s="12" t="n"/>
      <c r="J35" s="12" t="n"/>
      <c r="K35" s="27" t="n"/>
      <c r="L35" s="12" t="n"/>
    </row>
    <row r="36" ht="22" customHeight="1">
      <c r="B36" s="16">
        <f>IF(C36="","AV-"&amp;TEXT(COUNTA($C$5:C36),"000"))</f>
        <v/>
      </c>
      <c r="C36" s="14" t="n"/>
      <c r="D36" s="14" t="n"/>
      <c r="E36" s="14" t="n"/>
      <c r="F36" s="28" t="n"/>
      <c r="G36" s="14" t="n"/>
      <c r="H36" s="14" t="n"/>
      <c r="I36" s="14" t="n"/>
      <c r="J36" s="14" t="n"/>
      <c r="K36" s="28" t="n"/>
      <c r="L36" s="14" t="n"/>
    </row>
    <row r="37" ht="22" customHeight="1">
      <c r="B37" s="17">
        <f>IF(C37="","AV-"&amp;TEXT(COUNTA($C$5:C37),"000"))</f>
        <v/>
      </c>
      <c r="C37" s="12" t="n"/>
      <c r="D37" s="12" t="n"/>
      <c r="E37" s="12" t="n"/>
      <c r="F37" s="27" t="n"/>
      <c r="G37" s="12" t="n"/>
      <c r="H37" s="12" t="n"/>
      <c r="I37" s="12" t="n"/>
      <c r="J37" s="12" t="n"/>
      <c r="K37" s="27" t="n"/>
      <c r="L37" s="12" t="n"/>
    </row>
    <row r="38" ht="22" customHeight="1">
      <c r="B38" s="16">
        <f>IF(C38="","AV-"&amp;TEXT(COUNTA($C$5:C38),"000"))</f>
        <v/>
      </c>
      <c r="C38" s="14" t="n"/>
      <c r="D38" s="14" t="n"/>
      <c r="E38" s="14" t="n"/>
      <c r="F38" s="28" t="n"/>
      <c r="G38" s="14" t="n"/>
      <c r="H38" s="14" t="n"/>
      <c r="I38" s="14" t="n"/>
      <c r="J38" s="14" t="n"/>
      <c r="K38" s="28" t="n"/>
      <c r="L38" s="14" t="n"/>
    </row>
    <row r="39" ht="22" customHeight="1">
      <c r="B39" s="17">
        <f>IF(C39="","AV-"&amp;TEXT(COUNTA($C$5:C39),"000"))</f>
        <v/>
      </c>
      <c r="C39" s="12" t="n"/>
      <c r="D39" s="12" t="n"/>
      <c r="E39" s="12" t="n"/>
      <c r="F39" s="27" t="n"/>
      <c r="G39" s="12" t="n"/>
      <c r="H39" s="12" t="n"/>
      <c r="I39" s="12" t="n"/>
      <c r="J39" s="12" t="n"/>
      <c r="K39" s="27" t="n"/>
      <c r="L39" s="12" t="n"/>
    </row>
    <row r="40" ht="22" customHeight="1">
      <c r="B40" s="16">
        <f>IF(C40="","AV-"&amp;TEXT(COUNTA($C$5:C40),"000"))</f>
        <v/>
      </c>
      <c r="C40" s="14" t="n"/>
      <c r="D40" s="14" t="n"/>
      <c r="E40" s="14" t="n"/>
      <c r="F40" s="28" t="n"/>
      <c r="G40" s="14" t="n"/>
      <c r="H40" s="14" t="n"/>
      <c r="I40" s="14" t="n"/>
      <c r="J40" s="14" t="n"/>
      <c r="K40" s="28" t="n"/>
      <c r="L40" s="14" t="n"/>
    </row>
    <row r="41" ht="22" customHeight="1">
      <c r="B41" s="17">
        <f>IF(C41="","AV-"&amp;TEXT(COUNTA($C$5:C41),"000"))</f>
        <v/>
      </c>
      <c r="C41" s="12" t="n"/>
      <c r="D41" s="12" t="n"/>
      <c r="E41" s="12" t="n"/>
      <c r="F41" s="27" t="n"/>
      <c r="G41" s="12" t="n"/>
      <c r="H41" s="12" t="n"/>
      <c r="I41" s="12" t="n"/>
      <c r="J41" s="12" t="n"/>
      <c r="K41" s="27" t="n"/>
      <c r="L41" s="12" t="n"/>
    </row>
    <row r="42" ht="22" customHeight="1">
      <c r="B42" s="16">
        <f>IF(C42="","AV-"&amp;TEXT(COUNTA($C$5:C42),"000"))</f>
        <v/>
      </c>
      <c r="C42" s="14" t="n"/>
      <c r="D42" s="14" t="n"/>
      <c r="E42" s="14" t="n"/>
      <c r="F42" s="28" t="n"/>
      <c r="G42" s="14" t="n"/>
      <c r="H42" s="14" t="n"/>
      <c r="I42" s="14" t="n"/>
      <c r="J42" s="14" t="n"/>
      <c r="K42" s="28" t="n"/>
      <c r="L42" s="14" t="n"/>
    </row>
    <row r="43" ht="22" customHeight="1">
      <c r="B43" s="17">
        <f>IF(C43="","AV-"&amp;TEXT(COUNTA($C$5:C43),"000"))</f>
        <v/>
      </c>
      <c r="C43" s="12" t="n"/>
      <c r="D43" s="12" t="n"/>
      <c r="E43" s="12" t="n"/>
      <c r="F43" s="27" t="n"/>
      <c r="G43" s="12" t="n"/>
      <c r="H43" s="12" t="n"/>
      <c r="I43" s="12" t="n"/>
      <c r="J43" s="12" t="n"/>
      <c r="K43" s="27" t="n"/>
      <c r="L43" s="12" t="n"/>
    </row>
    <row r="44" ht="22" customHeight="1">
      <c r="B44" s="16">
        <f>IF(C44="","AV-"&amp;TEXT(COUNTA($C$5:C44),"000"))</f>
        <v/>
      </c>
      <c r="C44" s="14" t="n"/>
      <c r="D44" s="14" t="n"/>
      <c r="E44" s="14" t="n"/>
      <c r="F44" s="28" t="n"/>
      <c r="G44" s="14" t="n"/>
      <c r="H44" s="14" t="n"/>
      <c r="I44" s="14" t="n"/>
      <c r="J44" s="14" t="n"/>
      <c r="K44" s="28" t="n"/>
      <c r="L44" s="14" t="n"/>
    </row>
    <row r="45" ht="22" customHeight="1">
      <c r="B45" s="17">
        <f>IF(C45="","AV-"&amp;TEXT(COUNTA($C$5:C45),"000"))</f>
        <v/>
      </c>
      <c r="C45" s="12" t="n"/>
      <c r="D45" s="12" t="n"/>
      <c r="E45" s="12" t="n"/>
      <c r="F45" s="27" t="n"/>
      <c r="G45" s="12" t="n"/>
      <c r="H45" s="12" t="n"/>
      <c r="I45" s="12" t="n"/>
      <c r="J45" s="12" t="n"/>
      <c r="K45" s="27" t="n"/>
      <c r="L45" s="12" t="n"/>
    </row>
    <row r="46" ht="22" customHeight="1">
      <c r="B46" s="16">
        <f>IF(C46="","AV-"&amp;TEXT(COUNTA($C$5:C46),"000"))</f>
        <v/>
      </c>
      <c r="C46" s="14" t="n"/>
      <c r="D46" s="14" t="n"/>
      <c r="E46" s="14" t="n"/>
      <c r="F46" s="28" t="n"/>
      <c r="G46" s="14" t="n"/>
      <c r="H46" s="14" t="n"/>
      <c r="I46" s="14" t="n"/>
      <c r="J46" s="14" t="n"/>
      <c r="K46" s="28" t="n"/>
      <c r="L46" s="14" t="n"/>
    </row>
    <row r="47" ht="22" customHeight="1">
      <c r="B47" s="17">
        <f>IF(C47="","AV-"&amp;TEXT(COUNTA($C$5:C47),"000"))</f>
        <v/>
      </c>
      <c r="C47" s="12" t="n"/>
      <c r="D47" s="12" t="n"/>
      <c r="E47" s="12" t="n"/>
      <c r="F47" s="27" t="n"/>
      <c r="G47" s="12" t="n"/>
      <c r="H47" s="12" t="n"/>
      <c r="I47" s="12" t="n"/>
      <c r="J47" s="12" t="n"/>
      <c r="K47" s="27" t="n"/>
      <c r="L47" s="12" t="n"/>
    </row>
    <row r="48" ht="22" customHeight="1">
      <c r="B48" s="16">
        <f>IF(C48="","AV-"&amp;TEXT(COUNTA($C$5:C48),"000"))</f>
        <v/>
      </c>
      <c r="C48" s="14" t="n"/>
      <c r="D48" s="14" t="n"/>
      <c r="E48" s="14" t="n"/>
      <c r="F48" s="28" t="n"/>
      <c r="G48" s="14" t="n"/>
      <c r="H48" s="14" t="n"/>
      <c r="I48" s="14" t="n"/>
      <c r="J48" s="14" t="n"/>
      <c r="K48" s="28" t="n"/>
      <c r="L48" s="14" t="n"/>
    </row>
    <row r="49" ht="22" customHeight="1">
      <c r="B49" s="17">
        <f>IF(C49="","AV-"&amp;TEXT(COUNTA($C$5:C49),"000"))</f>
        <v/>
      </c>
      <c r="C49" s="12" t="n"/>
      <c r="D49" s="12" t="n"/>
      <c r="E49" s="12" t="n"/>
      <c r="F49" s="27" t="n"/>
      <c r="G49" s="12" t="n"/>
      <c r="H49" s="12" t="n"/>
      <c r="I49" s="12" t="n"/>
      <c r="J49" s="12" t="n"/>
      <c r="K49" s="27" t="n"/>
      <c r="L49" s="12" t="n"/>
    </row>
    <row r="50" ht="22" customHeight="1">
      <c r="B50" s="16">
        <f>IF(C50="","AV-"&amp;TEXT(COUNTA($C$5:C50),"000"))</f>
        <v/>
      </c>
      <c r="C50" s="14" t="n"/>
      <c r="D50" s="14" t="n"/>
      <c r="E50" s="14" t="n"/>
      <c r="F50" s="28" t="n"/>
      <c r="G50" s="14" t="n"/>
      <c r="H50" s="14" t="n"/>
      <c r="I50" s="14" t="n"/>
      <c r="J50" s="14" t="n"/>
      <c r="K50" s="28" t="n"/>
      <c r="L50" s="14" t="n"/>
    </row>
    <row r="51" ht="22" customHeight="1">
      <c r="B51" s="17">
        <f>IF(C51="","AV-"&amp;TEXT(COUNTA($C$5:C51),"000"))</f>
        <v/>
      </c>
      <c r="C51" s="12" t="n"/>
      <c r="D51" s="12" t="n"/>
      <c r="E51" s="12" t="n"/>
      <c r="F51" s="27" t="n"/>
      <c r="G51" s="12" t="n"/>
      <c r="H51" s="12" t="n"/>
      <c r="I51" s="12" t="n"/>
      <c r="J51" s="12" t="n"/>
      <c r="K51" s="27" t="n"/>
      <c r="L51" s="12" t="n"/>
    </row>
    <row r="52" ht="22" customHeight="1">
      <c r="B52" s="16">
        <f>IF(C52="","AV-"&amp;TEXT(COUNTA($C$5:C52),"000"))</f>
        <v/>
      </c>
      <c r="C52" s="14" t="n"/>
      <c r="D52" s="14" t="n"/>
      <c r="E52" s="14" t="n"/>
      <c r="F52" s="28" t="n"/>
      <c r="G52" s="14" t="n"/>
      <c r="H52" s="14" t="n"/>
      <c r="I52" s="14" t="n"/>
      <c r="J52" s="14" t="n"/>
      <c r="K52" s="28" t="n"/>
      <c r="L52" s="14" t="n"/>
    </row>
    <row r="53" ht="22" customHeight="1">
      <c r="B53" s="17">
        <f>IF(C53="","AV-"&amp;TEXT(COUNTA($C$5:C53),"000"))</f>
        <v/>
      </c>
      <c r="C53" s="12" t="n"/>
      <c r="D53" s="12" t="n"/>
      <c r="E53" s="12" t="n"/>
      <c r="F53" s="27" t="n"/>
      <c r="G53" s="12" t="n"/>
      <c r="H53" s="12" t="n"/>
      <c r="I53" s="12" t="n"/>
      <c r="J53" s="12" t="n"/>
      <c r="K53" s="27" t="n"/>
      <c r="L53" s="12" t="n"/>
    </row>
    <row r="54" ht="22" customHeight="1">
      <c r="B54" s="16">
        <f>IF(C54="","AV-"&amp;TEXT(COUNTA($C$5:C54),"000"))</f>
        <v/>
      </c>
      <c r="C54" s="14" t="n"/>
      <c r="D54" s="14" t="n"/>
      <c r="E54" s="14" t="n"/>
      <c r="F54" s="28" t="n"/>
      <c r="G54" s="14" t="n"/>
      <c r="H54" s="14" t="n"/>
      <c r="I54" s="14" t="n"/>
      <c r="J54" s="14" t="n"/>
      <c r="K54" s="28" t="n"/>
      <c r="L54" s="14" t="n"/>
    </row>
    <row r="55" ht="22" customHeight="1">
      <c r="B55" s="17">
        <f>IF(C55="","AV-"&amp;TEXT(COUNTA($C$5:C55),"000"))</f>
        <v/>
      </c>
      <c r="C55" s="12" t="n"/>
      <c r="D55" s="12" t="n"/>
      <c r="E55" s="12" t="n"/>
      <c r="F55" s="27" t="n"/>
      <c r="G55" s="12" t="n"/>
      <c r="H55" s="12" t="n"/>
      <c r="I55" s="12" t="n"/>
      <c r="J55" s="12" t="n"/>
      <c r="K55" s="27" t="n"/>
      <c r="L55" s="12" t="n"/>
    </row>
    <row r="56" ht="22" customHeight="1">
      <c r="B56" s="16">
        <f>IF(C56="","AV-"&amp;TEXT(COUNTA($C$5:C56),"000"))</f>
        <v/>
      </c>
      <c r="C56" s="14" t="n"/>
      <c r="D56" s="14" t="n"/>
      <c r="E56" s="14" t="n"/>
      <c r="F56" s="28" t="n"/>
      <c r="G56" s="14" t="n"/>
      <c r="H56" s="14" t="n"/>
      <c r="I56" s="14" t="n"/>
      <c r="J56" s="14" t="n"/>
      <c r="K56" s="28" t="n"/>
      <c r="L56" s="14" t="n"/>
    </row>
    <row r="57" ht="22" customHeight="1">
      <c r="B57" s="17">
        <f>IF(C57="","AV-"&amp;TEXT(COUNTA($C$5:C57),"000"))</f>
        <v/>
      </c>
      <c r="C57" s="12" t="n"/>
      <c r="D57" s="12" t="n"/>
      <c r="E57" s="12" t="n"/>
      <c r="F57" s="27" t="n"/>
      <c r="G57" s="12" t="n"/>
      <c r="H57" s="12" t="n"/>
      <c r="I57" s="12" t="n"/>
      <c r="J57" s="12" t="n"/>
      <c r="K57" s="27" t="n"/>
      <c r="L57" s="12" t="n"/>
    </row>
    <row r="58" ht="22" customHeight="1">
      <c r="B58" s="16">
        <f>IF(C58="","AV-"&amp;TEXT(COUNTA($C$5:C58),"000"))</f>
        <v/>
      </c>
      <c r="C58" s="14" t="n"/>
      <c r="D58" s="14" t="n"/>
      <c r="E58" s="14" t="n"/>
      <c r="F58" s="28" t="n"/>
      <c r="G58" s="14" t="n"/>
      <c r="H58" s="14" t="n"/>
      <c r="I58" s="14" t="n"/>
      <c r="J58" s="14" t="n"/>
      <c r="K58" s="28" t="n"/>
      <c r="L58" s="14" t="n"/>
    </row>
    <row r="59" ht="22" customHeight="1">
      <c r="B59" s="17">
        <f>IF(C59="","AV-"&amp;TEXT(COUNTA($C$5:C59),"000"))</f>
        <v/>
      </c>
      <c r="C59" s="12" t="n"/>
      <c r="D59" s="12" t="n"/>
      <c r="E59" s="12" t="n"/>
      <c r="F59" s="27" t="n"/>
      <c r="G59" s="12" t="n"/>
      <c r="H59" s="12" t="n"/>
      <c r="I59" s="12" t="n"/>
      <c r="J59" s="12" t="n"/>
      <c r="K59" s="27" t="n"/>
      <c r="L59" s="12" t="n"/>
    </row>
    <row r="60" ht="22" customHeight="1">
      <c r="B60" s="16">
        <f>IF(C60="","AV-"&amp;TEXT(COUNTA($C$5:C60),"000"))</f>
        <v/>
      </c>
      <c r="C60" s="14" t="n"/>
      <c r="D60" s="14" t="n"/>
      <c r="E60" s="14" t="n"/>
      <c r="F60" s="28" t="n"/>
      <c r="G60" s="14" t="n"/>
      <c r="H60" s="14" t="n"/>
      <c r="I60" s="14" t="n"/>
      <c r="J60" s="14" t="n"/>
      <c r="K60" s="28" t="n"/>
      <c r="L60" s="14" t="n"/>
    </row>
    <row r="61" ht="22" customHeight="1">
      <c r="B61" s="17">
        <f>IF(C61="","AV-"&amp;TEXT(COUNTA($C$5:C61),"000"))</f>
        <v/>
      </c>
      <c r="C61" s="12" t="n"/>
      <c r="D61" s="12" t="n"/>
      <c r="E61" s="12" t="n"/>
      <c r="F61" s="27" t="n"/>
      <c r="G61" s="12" t="n"/>
      <c r="H61" s="12" t="n"/>
      <c r="I61" s="12" t="n"/>
      <c r="J61" s="12" t="n"/>
      <c r="K61" s="27" t="n"/>
      <c r="L61" s="12" t="n"/>
    </row>
    <row r="62" ht="22" customHeight="1">
      <c r="B62" s="16">
        <f>IF(C62="","AV-"&amp;TEXT(COUNTA($C$5:C62),"000"))</f>
        <v/>
      </c>
      <c r="C62" s="14" t="n"/>
      <c r="D62" s="14" t="n"/>
      <c r="E62" s="14" t="n"/>
      <c r="F62" s="28" t="n"/>
      <c r="G62" s="14" t="n"/>
      <c r="H62" s="14" t="n"/>
      <c r="I62" s="14" t="n"/>
      <c r="J62" s="14" t="n"/>
      <c r="K62" s="28" t="n"/>
      <c r="L62" s="14" t="n"/>
    </row>
    <row r="63" ht="22" customHeight="1">
      <c r="B63" s="17">
        <f>IF(C63="","AV-"&amp;TEXT(COUNTA($C$5:C63),"000"))</f>
        <v/>
      </c>
      <c r="C63" s="12" t="n"/>
      <c r="D63" s="12" t="n"/>
      <c r="E63" s="12" t="n"/>
      <c r="F63" s="27" t="n"/>
      <c r="G63" s="12" t="n"/>
      <c r="H63" s="12" t="n"/>
      <c r="I63" s="12" t="n"/>
      <c r="J63" s="12" t="n"/>
      <c r="K63" s="27" t="n"/>
      <c r="L63" s="12" t="n"/>
    </row>
    <row r="64" ht="22" customHeight="1">
      <c r="B64" s="16">
        <f>IF(C64="","AV-"&amp;TEXT(COUNTA($C$5:C64),"000"))</f>
        <v/>
      </c>
      <c r="C64" s="14" t="n"/>
      <c r="D64" s="14" t="n"/>
      <c r="E64" s="14" t="n"/>
      <c r="F64" s="28" t="n"/>
      <c r="G64" s="14" t="n"/>
      <c r="H64" s="14" t="n"/>
      <c r="I64" s="14" t="n"/>
      <c r="J64" s="14" t="n"/>
      <c r="K64" s="28" t="n"/>
      <c r="L64" s="14" t="n"/>
    </row>
    <row r="65" ht="22" customHeight="1">
      <c r="B65" s="17">
        <f>IF(C65="","AV-"&amp;TEXT(COUNTA($C$5:C65),"000"))</f>
        <v/>
      </c>
      <c r="C65" s="12" t="n"/>
      <c r="D65" s="12" t="n"/>
      <c r="E65" s="12" t="n"/>
      <c r="F65" s="27" t="n"/>
      <c r="G65" s="12" t="n"/>
      <c r="H65" s="12" t="n"/>
      <c r="I65" s="12" t="n"/>
      <c r="J65" s="12" t="n"/>
      <c r="K65" s="27" t="n"/>
      <c r="L65" s="12" t="n"/>
    </row>
    <row r="66" ht="22" customHeight="1">
      <c r="B66" s="16">
        <f>IF(C66="","AV-"&amp;TEXT(COUNTA($C$5:C66),"000"))</f>
        <v/>
      </c>
      <c r="C66" s="14" t="n"/>
      <c r="D66" s="14" t="n"/>
      <c r="E66" s="14" t="n"/>
      <c r="F66" s="28" t="n"/>
      <c r="G66" s="14" t="n"/>
      <c r="H66" s="14" t="n"/>
      <c r="I66" s="14" t="n"/>
      <c r="J66" s="14" t="n"/>
      <c r="K66" s="28" t="n"/>
      <c r="L66" s="14" t="n"/>
    </row>
    <row r="67" ht="22" customHeight="1">
      <c r="B67" s="17">
        <f>IF(C67="","AV-"&amp;TEXT(COUNTA($C$5:C67),"000"))</f>
        <v/>
      </c>
      <c r="C67" s="12" t="n"/>
      <c r="D67" s="12" t="n"/>
      <c r="E67" s="12" t="n"/>
      <c r="F67" s="27" t="n"/>
      <c r="G67" s="12" t="n"/>
      <c r="H67" s="12" t="n"/>
      <c r="I67" s="12" t="n"/>
      <c r="J67" s="12" t="n"/>
      <c r="K67" s="27" t="n"/>
      <c r="L67" s="12" t="n"/>
    </row>
    <row r="68" ht="22" customHeight="1">
      <c r="B68" s="16">
        <f>IF(C68="","AV-"&amp;TEXT(COUNTA($C$5:C68),"000"))</f>
        <v/>
      </c>
      <c r="C68" s="14" t="n"/>
      <c r="D68" s="14" t="n"/>
      <c r="E68" s="14" t="n"/>
      <c r="F68" s="28" t="n"/>
      <c r="G68" s="14" t="n"/>
      <c r="H68" s="14" t="n"/>
      <c r="I68" s="14" t="n"/>
      <c r="J68" s="14" t="n"/>
      <c r="K68" s="28" t="n"/>
      <c r="L68" s="14" t="n"/>
    </row>
    <row r="69" ht="22" customHeight="1">
      <c r="B69" s="17">
        <f>IF(C69="","AV-"&amp;TEXT(COUNTA($C$5:C69),"000"))</f>
        <v/>
      </c>
      <c r="C69" s="12" t="n"/>
      <c r="D69" s="12" t="n"/>
      <c r="E69" s="12" t="n"/>
      <c r="F69" s="27" t="n"/>
      <c r="G69" s="12" t="n"/>
      <c r="H69" s="12" t="n"/>
      <c r="I69" s="12" t="n"/>
      <c r="J69" s="12" t="n"/>
      <c r="K69" s="27" t="n"/>
      <c r="L69" s="12" t="n"/>
    </row>
    <row r="70" ht="22" customHeight="1">
      <c r="B70" s="16">
        <f>IF(C70="","AV-"&amp;TEXT(COUNTA($C$5:C70),"000"))</f>
        <v/>
      </c>
      <c r="C70" s="14" t="n"/>
      <c r="D70" s="14" t="n"/>
      <c r="E70" s="14" t="n"/>
      <c r="F70" s="28" t="n"/>
      <c r="G70" s="14" t="n"/>
      <c r="H70" s="14" t="n"/>
      <c r="I70" s="14" t="n"/>
      <c r="J70" s="14" t="n"/>
      <c r="K70" s="28" t="n"/>
      <c r="L70" s="14" t="n"/>
    </row>
    <row r="71" ht="22" customHeight="1">
      <c r="B71" s="17">
        <f>IF(C71="","AV-"&amp;TEXT(COUNTA($C$5:C71),"000"))</f>
        <v/>
      </c>
      <c r="C71" s="12" t="n"/>
      <c r="D71" s="12" t="n"/>
      <c r="E71" s="12" t="n"/>
      <c r="F71" s="27" t="n"/>
      <c r="G71" s="12" t="n"/>
      <c r="H71" s="12" t="n"/>
      <c r="I71" s="12" t="n"/>
      <c r="J71" s="12" t="n"/>
      <c r="K71" s="27" t="n"/>
      <c r="L71" s="12" t="n"/>
    </row>
    <row r="72" ht="22" customHeight="1">
      <c r="B72" s="16">
        <f>IF(C72="","AV-"&amp;TEXT(COUNTA($C$5:C72),"000"))</f>
        <v/>
      </c>
      <c r="C72" s="14" t="n"/>
      <c r="D72" s="14" t="n"/>
      <c r="E72" s="14" t="n"/>
      <c r="F72" s="28" t="n"/>
      <c r="G72" s="14" t="n"/>
      <c r="H72" s="14" t="n"/>
      <c r="I72" s="14" t="n"/>
      <c r="J72" s="14" t="n"/>
      <c r="K72" s="28" t="n"/>
      <c r="L72" s="14" t="n"/>
    </row>
    <row r="73" ht="22" customHeight="1">
      <c r="B73" s="17">
        <f>IF(C73="","AV-"&amp;TEXT(COUNTA($C$5:C73),"000"))</f>
        <v/>
      </c>
      <c r="C73" s="12" t="n"/>
      <c r="D73" s="12" t="n"/>
      <c r="E73" s="12" t="n"/>
      <c r="F73" s="27" t="n"/>
      <c r="G73" s="12" t="n"/>
      <c r="H73" s="12" t="n"/>
      <c r="I73" s="12" t="n"/>
      <c r="J73" s="12" t="n"/>
      <c r="K73" s="27" t="n"/>
      <c r="L73" s="12" t="n"/>
    </row>
    <row r="74" ht="22" customHeight="1">
      <c r="B74" s="16">
        <f>IF(C74="","AV-"&amp;TEXT(COUNTA($C$5:C74),"000"))</f>
        <v/>
      </c>
      <c r="C74" s="14" t="n"/>
      <c r="D74" s="14" t="n"/>
      <c r="E74" s="14" t="n"/>
      <c r="F74" s="28" t="n"/>
      <c r="G74" s="14" t="n"/>
      <c r="H74" s="14" t="n"/>
      <c r="I74" s="14" t="n"/>
      <c r="J74" s="14" t="n"/>
      <c r="K74" s="28" t="n"/>
      <c r="L74" s="14" t="n"/>
    </row>
    <row r="75" ht="22" customHeight="1">
      <c r="B75" s="17">
        <f>IF(C75="","AV-"&amp;TEXT(COUNTA($C$5:C75),"000"))</f>
        <v/>
      </c>
      <c r="C75" s="12" t="n"/>
      <c r="D75" s="12" t="n"/>
      <c r="E75" s="12" t="n"/>
      <c r="F75" s="27" t="n"/>
      <c r="G75" s="12" t="n"/>
      <c r="H75" s="12" t="n"/>
      <c r="I75" s="12" t="n"/>
      <c r="J75" s="12" t="n"/>
      <c r="K75" s="27" t="n"/>
      <c r="L75" s="12" t="n"/>
    </row>
    <row r="76" ht="22" customHeight="1">
      <c r="B76" s="16">
        <f>IF(C76="","AV-"&amp;TEXT(COUNTA($C$5:C76),"000"))</f>
        <v/>
      </c>
      <c r="C76" s="14" t="n"/>
      <c r="D76" s="14" t="n"/>
      <c r="E76" s="14" t="n"/>
      <c r="F76" s="28" t="n"/>
      <c r="G76" s="14" t="n"/>
      <c r="H76" s="14" t="n"/>
      <c r="I76" s="14" t="n"/>
      <c r="J76" s="14" t="n"/>
      <c r="K76" s="28" t="n"/>
      <c r="L76" s="14" t="n"/>
    </row>
    <row r="77" ht="22" customHeight="1">
      <c r="B77" s="17">
        <f>IF(C77="","AV-"&amp;TEXT(COUNTA($C$5:C77),"000"))</f>
        <v/>
      </c>
      <c r="C77" s="12" t="n"/>
      <c r="D77" s="12" t="n"/>
      <c r="E77" s="12" t="n"/>
      <c r="F77" s="27" t="n"/>
      <c r="G77" s="12" t="n"/>
      <c r="H77" s="12" t="n"/>
      <c r="I77" s="12" t="n"/>
      <c r="J77" s="12" t="n"/>
      <c r="K77" s="27" t="n"/>
      <c r="L77" s="12" t="n"/>
    </row>
    <row r="78" ht="22" customHeight="1">
      <c r="B78" s="16">
        <f>IF(C78="","AV-"&amp;TEXT(COUNTA($C$5:C78),"000"))</f>
        <v/>
      </c>
      <c r="C78" s="14" t="n"/>
      <c r="D78" s="14" t="n"/>
      <c r="E78" s="14" t="n"/>
      <c r="F78" s="28" t="n"/>
      <c r="G78" s="14" t="n"/>
      <c r="H78" s="14" t="n"/>
      <c r="I78" s="14" t="n"/>
      <c r="J78" s="14" t="n"/>
      <c r="K78" s="28" t="n"/>
      <c r="L78" s="14" t="n"/>
    </row>
    <row r="79" ht="22" customHeight="1">
      <c r="B79" s="17">
        <f>IF(C79="","AV-"&amp;TEXT(COUNTA($C$5:C79),"000"))</f>
        <v/>
      </c>
      <c r="C79" s="12" t="n"/>
      <c r="D79" s="12" t="n"/>
      <c r="E79" s="12" t="n"/>
      <c r="F79" s="27" t="n"/>
      <c r="G79" s="12" t="n"/>
      <c r="H79" s="12" t="n"/>
      <c r="I79" s="12" t="n"/>
      <c r="J79" s="12" t="n"/>
      <c r="K79" s="27" t="n"/>
      <c r="L79" s="12" t="n"/>
    </row>
    <row r="80" ht="22" customHeight="1">
      <c r="B80" s="16">
        <f>IF(C80="","AV-"&amp;TEXT(COUNTA($C$5:C80),"000"))</f>
        <v/>
      </c>
      <c r="C80" s="14" t="n"/>
      <c r="D80" s="14" t="n"/>
      <c r="E80" s="14" t="n"/>
      <c r="F80" s="28" t="n"/>
      <c r="G80" s="14" t="n"/>
      <c r="H80" s="14" t="n"/>
      <c r="I80" s="14" t="n"/>
      <c r="J80" s="14" t="n"/>
      <c r="K80" s="28" t="n"/>
      <c r="L80" s="14" t="n"/>
    </row>
    <row r="81" ht="22" customHeight="1">
      <c r="B81" s="17">
        <f>IF(C81="","AV-"&amp;TEXT(COUNTA($C$5:C81),"000"))</f>
        <v/>
      </c>
      <c r="C81" s="12" t="n"/>
      <c r="D81" s="12" t="n"/>
      <c r="E81" s="12" t="n"/>
      <c r="F81" s="27" t="n"/>
      <c r="G81" s="12" t="n"/>
      <c r="H81" s="12" t="n"/>
      <c r="I81" s="12" t="n"/>
      <c r="J81" s="12" t="n"/>
      <c r="K81" s="27" t="n"/>
      <c r="L81" s="12" t="n"/>
    </row>
    <row r="82" ht="22" customHeight="1">
      <c r="B82" s="16">
        <f>IF(C82="","AV-"&amp;TEXT(COUNTA($C$5:C82),"000"))</f>
        <v/>
      </c>
      <c r="C82" s="14" t="n"/>
      <c r="D82" s="14" t="n"/>
      <c r="E82" s="14" t="n"/>
      <c r="F82" s="28" t="n"/>
      <c r="G82" s="14" t="n"/>
      <c r="H82" s="14" t="n"/>
      <c r="I82" s="14" t="n"/>
      <c r="J82" s="14" t="n"/>
      <c r="K82" s="28" t="n"/>
      <c r="L82" s="14" t="n"/>
    </row>
    <row r="83" ht="22" customHeight="1">
      <c r="B83" s="17">
        <f>IF(C83="","AV-"&amp;TEXT(COUNTA($C$5:C83),"000"))</f>
        <v/>
      </c>
      <c r="C83" s="12" t="n"/>
      <c r="D83" s="12" t="n"/>
      <c r="E83" s="12" t="n"/>
      <c r="F83" s="27" t="n"/>
      <c r="G83" s="12" t="n"/>
      <c r="H83" s="12" t="n"/>
      <c r="I83" s="12" t="n"/>
      <c r="J83" s="12" t="n"/>
      <c r="K83" s="27" t="n"/>
      <c r="L83" s="12" t="n"/>
    </row>
    <row r="84" ht="22" customHeight="1">
      <c r="B84" s="16">
        <f>IF(C84="","AV-"&amp;TEXT(COUNTA($C$5:C84),"000"))</f>
        <v/>
      </c>
      <c r="C84" s="14" t="n"/>
      <c r="D84" s="14" t="n"/>
      <c r="E84" s="14" t="n"/>
      <c r="F84" s="28" t="n"/>
      <c r="G84" s="14" t="n"/>
      <c r="H84" s="14" t="n"/>
      <c r="I84" s="14" t="n"/>
      <c r="J84" s="14" t="n"/>
      <c r="K84" s="28" t="n"/>
      <c r="L84" s="14" t="n"/>
    </row>
    <row r="85" ht="22" customHeight="1">
      <c r="B85" s="17">
        <f>IF(C85="","AV-"&amp;TEXT(COUNTA($C$5:C85),"000"))</f>
        <v/>
      </c>
      <c r="C85" s="12" t="n"/>
      <c r="D85" s="12" t="n"/>
      <c r="E85" s="12" t="n"/>
      <c r="F85" s="27" t="n"/>
      <c r="G85" s="12" t="n"/>
      <c r="H85" s="12" t="n"/>
      <c r="I85" s="12" t="n"/>
      <c r="J85" s="12" t="n"/>
      <c r="K85" s="27" t="n"/>
      <c r="L85" s="12" t="n"/>
    </row>
    <row r="86" ht="22" customHeight="1">
      <c r="B86" s="16">
        <f>IF(C86="","AV-"&amp;TEXT(COUNTA($C$5:C86),"000"))</f>
        <v/>
      </c>
      <c r="C86" s="14" t="n"/>
      <c r="D86" s="14" t="n"/>
      <c r="E86" s="14" t="n"/>
      <c r="F86" s="28" t="n"/>
      <c r="G86" s="14" t="n"/>
      <c r="H86" s="14" t="n"/>
      <c r="I86" s="14" t="n"/>
      <c r="J86" s="14" t="n"/>
      <c r="K86" s="28" t="n"/>
      <c r="L86" s="14" t="n"/>
    </row>
    <row r="87" ht="22" customHeight="1">
      <c r="B87" s="17">
        <f>IF(C87="","AV-"&amp;TEXT(COUNTA($C$5:C87),"000"))</f>
        <v/>
      </c>
      <c r="C87" s="12" t="n"/>
      <c r="D87" s="12" t="n"/>
      <c r="E87" s="12" t="n"/>
      <c r="F87" s="27" t="n"/>
      <c r="G87" s="12" t="n"/>
      <c r="H87" s="12" t="n"/>
      <c r="I87" s="12" t="n"/>
      <c r="J87" s="12" t="n"/>
      <c r="K87" s="27" t="n"/>
      <c r="L87" s="12" t="n"/>
    </row>
    <row r="88" ht="22" customHeight="1">
      <c r="B88" s="16">
        <f>IF(C88="","AV-"&amp;TEXT(COUNTA($C$5:C88),"000"))</f>
        <v/>
      </c>
      <c r="C88" s="14" t="n"/>
      <c r="D88" s="14" t="n"/>
      <c r="E88" s="14" t="n"/>
      <c r="F88" s="28" t="n"/>
      <c r="G88" s="14" t="n"/>
      <c r="H88" s="14" t="n"/>
      <c r="I88" s="14" t="n"/>
      <c r="J88" s="14" t="n"/>
      <c r="K88" s="28" t="n"/>
      <c r="L88" s="14" t="n"/>
    </row>
    <row r="89" ht="22" customHeight="1">
      <c r="B89" s="17">
        <f>IF(C89="","AV-"&amp;TEXT(COUNTA($C$5:C89),"000"))</f>
        <v/>
      </c>
      <c r="C89" s="12" t="n"/>
      <c r="D89" s="12" t="n"/>
      <c r="E89" s="12" t="n"/>
      <c r="F89" s="27" t="n"/>
      <c r="G89" s="12" t="n"/>
      <c r="H89" s="12" t="n"/>
      <c r="I89" s="12" t="n"/>
      <c r="J89" s="12" t="n"/>
      <c r="K89" s="27" t="n"/>
      <c r="L89" s="12" t="n"/>
    </row>
    <row r="90" ht="22" customHeight="1">
      <c r="B90" s="16">
        <f>IF(C90="","AV-"&amp;TEXT(COUNTA($C$5:C90),"000"))</f>
        <v/>
      </c>
      <c r="C90" s="14" t="n"/>
      <c r="D90" s="14" t="n"/>
      <c r="E90" s="14" t="n"/>
      <c r="F90" s="28" t="n"/>
      <c r="G90" s="14" t="n"/>
      <c r="H90" s="14" t="n"/>
      <c r="I90" s="14" t="n"/>
      <c r="J90" s="14" t="n"/>
      <c r="K90" s="28" t="n"/>
      <c r="L90" s="14" t="n"/>
    </row>
    <row r="91" ht="22" customHeight="1">
      <c r="B91" s="17">
        <f>IF(C91="","AV-"&amp;TEXT(COUNTA($C$5:C91),"000"))</f>
        <v/>
      </c>
      <c r="C91" s="12" t="n"/>
      <c r="D91" s="12" t="n"/>
      <c r="E91" s="12" t="n"/>
      <c r="F91" s="27" t="n"/>
      <c r="G91" s="12" t="n"/>
      <c r="H91" s="12" t="n"/>
      <c r="I91" s="12" t="n"/>
      <c r="J91" s="12" t="n"/>
      <c r="K91" s="27" t="n"/>
      <c r="L91" s="12" t="n"/>
    </row>
    <row r="92" ht="22" customHeight="1">
      <c r="B92" s="16">
        <f>IF(C92="","AV-"&amp;TEXT(COUNTA($C$5:C92),"000"))</f>
        <v/>
      </c>
      <c r="C92" s="14" t="n"/>
      <c r="D92" s="14" t="n"/>
      <c r="E92" s="14" t="n"/>
      <c r="F92" s="28" t="n"/>
      <c r="G92" s="14" t="n"/>
      <c r="H92" s="14" t="n"/>
      <c r="I92" s="14" t="n"/>
      <c r="J92" s="14" t="n"/>
      <c r="K92" s="28" t="n"/>
      <c r="L92" s="14" t="n"/>
    </row>
    <row r="93" ht="22" customHeight="1">
      <c r="B93" s="17">
        <f>IF(C93="","AV-"&amp;TEXT(COUNTA($C$5:C93),"000"))</f>
        <v/>
      </c>
      <c r="C93" s="12" t="n"/>
      <c r="D93" s="12" t="n"/>
      <c r="E93" s="12" t="n"/>
      <c r="F93" s="27" t="n"/>
      <c r="G93" s="12" t="n"/>
      <c r="H93" s="12" t="n"/>
      <c r="I93" s="12" t="n"/>
      <c r="J93" s="12" t="n"/>
      <c r="K93" s="27" t="n"/>
      <c r="L93" s="12" t="n"/>
    </row>
    <row r="94" ht="22" customHeight="1">
      <c r="B94" s="16">
        <f>IF(C94="","AV-"&amp;TEXT(COUNTA($C$5:C94),"000"))</f>
        <v/>
      </c>
      <c r="C94" s="14" t="n"/>
      <c r="D94" s="14" t="n"/>
      <c r="E94" s="14" t="n"/>
      <c r="F94" s="28" t="n"/>
      <c r="G94" s="14" t="n"/>
      <c r="H94" s="14" t="n"/>
      <c r="I94" s="14" t="n"/>
      <c r="J94" s="14" t="n"/>
      <c r="K94" s="28" t="n"/>
      <c r="L94" s="14" t="n"/>
    </row>
    <row r="95" ht="22" customHeight="1">
      <c r="B95" s="17">
        <f>IF(C95="","AV-"&amp;TEXT(COUNTA($C$5:C95),"000"))</f>
        <v/>
      </c>
      <c r="C95" s="12" t="n"/>
      <c r="D95" s="12" t="n"/>
      <c r="E95" s="12" t="n"/>
      <c r="F95" s="27" t="n"/>
      <c r="G95" s="12" t="n"/>
      <c r="H95" s="12" t="n"/>
      <c r="I95" s="12" t="n"/>
      <c r="J95" s="12" t="n"/>
      <c r="K95" s="27" t="n"/>
      <c r="L95" s="12" t="n"/>
    </row>
    <row r="96" ht="22" customHeight="1">
      <c r="B96" s="16">
        <f>IF(C96="","AV-"&amp;TEXT(COUNTA($C$5:C96),"000"))</f>
        <v/>
      </c>
      <c r="C96" s="14" t="n"/>
      <c r="D96" s="14" t="n"/>
      <c r="E96" s="14" t="n"/>
      <c r="F96" s="28" t="n"/>
      <c r="G96" s="14" t="n"/>
      <c r="H96" s="14" t="n"/>
      <c r="I96" s="14" t="n"/>
      <c r="J96" s="14" t="n"/>
      <c r="K96" s="28" t="n"/>
      <c r="L96" s="14" t="n"/>
    </row>
    <row r="97" ht="22" customHeight="1">
      <c r="B97" s="17">
        <f>IF(C97="","AV-"&amp;TEXT(COUNTA($C$5:C97),"000"))</f>
        <v/>
      </c>
      <c r="C97" s="12" t="n"/>
      <c r="D97" s="12" t="n"/>
      <c r="E97" s="12" t="n"/>
      <c r="F97" s="27" t="n"/>
      <c r="G97" s="12" t="n"/>
      <c r="H97" s="12" t="n"/>
      <c r="I97" s="12" t="n"/>
      <c r="J97" s="12" t="n"/>
      <c r="K97" s="27" t="n"/>
      <c r="L97" s="12" t="n"/>
    </row>
    <row r="98" ht="22" customHeight="1">
      <c r="B98" s="16">
        <f>IF(C98="","AV-"&amp;TEXT(COUNTA($C$5:C98),"000"))</f>
        <v/>
      </c>
      <c r="C98" s="14" t="n"/>
      <c r="D98" s="14" t="n"/>
      <c r="E98" s="14" t="n"/>
      <c r="F98" s="28" t="n"/>
      <c r="G98" s="14" t="n"/>
      <c r="H98" s="14" t="n"/>
      <c r="I98" s="14" t="n"/>
      <c r="J98" s="14" t="n"/>
      <c r="K98" s="28" t="n"/>
      <c r="L98" s="14" t="n"/>
    </row>
    <row r="99" ht="22" customHeight="1">
      <c r="B99" s="17">
        <f>IF(C99="","AV-"&amp;TEXT(COUNTA($C$5:C99),"000"))</f>
        <v/>
      </c>
      <c r="C99" s="12" t="n"/>
      <c r="D99" s="12" t="n"/>
      <c r="E99" s="12" t="n"/>
      <c r="F99" s="27" t="n"/>
      <c r="G99" s="12" t="n"/>
      <c r="H99" s="12" t="n"/>
      <c r="I99" s="12" t="n"/>
      <c r="J99" s="12" t="n"/>
      <c r="K99" s="27" t="n"/>
      <c r="L99" s="12" t="n"/>
    </row>
    <row r="100" ht="22" customHeight="1">
      <c r="B100" s="16">
        <f>IF(C100="","AV-"&amp;TEXT(COUNTA($C$5:C100),"000"))</f>
        <v/>
      </c>
      <c r="C100" s="14" t="n"/>
      <c r="D100" s="14" t="n"/>
      <c r="E100" s="14" t="n"/>
      <c r="F100" s="28" t="n"/>
      <c r="G100" s="14" t="n"/>
      <c r="H100" s="14" t="n"/>
      <c r="I100" s="14" t="n"/>
      <c r="J100" s="14" t="n"/>
      <c r="K100" s="28" t="n"/>
      <c r="L100" s="14" t="n"/>
    </row>
    <row r="101" ht="22" customHeight="1">
      <c r="B101" s="17">
        <f>IF(C101="","AV-"&amp;TEXT(COUNTA($C$5:C101),"000"))</f>
        <v/>
      </c>
      <c r="C101" s="12" t="n"/>
      <c r="D101" s="12" t="n"/>
      <c r="E101" s="12" t="n"/>
      <c r="F101" s="27" t="n"/>
      <c r="G101" s="12" t="n"/>
      <c r="H101" s="12" t="n"/>
      <c r="I101" s="12" t="n"/>
      <c r="J101" s="12" t="n"/>
      <c r="K101" s="27" t="n"/>
      <c r="L101" s="12" t="n"/>
    </row>
    <row r="102" ht="22" customHeight="1">
      <c r="B102" s="16">
        <f>IF(C102="","AV-"&amp;TEXT(COUNTA($C$5:C102),"000"))</f>
        <v/>
      </c>
      <c r="C102" s="14" t="n"/>
      <c r="D102" s="14" t="n"/>
      <c r="E102" s="14" t="n"/>
      <c r="F102" s="28" t="n"/>
      <c r="G102" s="14" t="n"/>
      <c r="H102" s="14" t="n"/>
      <c r="I102" s="14" t="n"/>
      <c r="J102" s="14" t="n"/>
      <c r="K102" s="28" t="n"/>
      <c r="L102" s="14" t="n"/>
    </row>
    <row r="103" ht="22" customHeight="1">
      <c r="B103" s="17">
        <f>IF(C103="","AV-"&amp;TEXT(COUNTA($C$5:C103),"000"))</f>
        <v/>
      </c>
      <c r="C103" s="12" t="n"/>
      <c r="D103" s="12" t="n"/>
      <c r="E103" s="12" t="n"/>
      <c r="F103" s="27" t="n"/>
      <c r="G103" s="12" t="n"/>
      <c r="H103" s="12" t="n"/>
      <c r="I103" s="12" t="n"/>
      <c r="J103" s="12" t="n"/>
      <c r="K103" s="27" t="n"/>
      <c r="L103" s="12" t="n"/>
    </row>
    <row r="104" ht="22" customHeight="1">
      <c r="B104" s="16">
        <f>IF(C104="","AV-"&amp;TEXT(COUNTA($C$5:C104),"000"))</f>
        <v/>
      </c>
      <c r="C104" s="14" t="n"/>
      <c r="D104" s="14" t="n"/>
      <c r="E104" s="14" t="n"/>
      <c r="F104" s="28" t="n"/>
      <c r="G104" s="14" t="n"/>
      <c r="H104" s="14" t="n"/>
      <c r="I104" s="14" t="n"/>
      <c r="J104" s="14" t="n"/>
      <c r="K104" s="28" t="n"/>
      <c r="L104" s="14" t="n"/>
    </row>
    <row r="105" ht="22" customHeight="1">
      <c r="B105" s="17">
        <f>IF(C105="","AV-"&amp;TEXT(COUNTA($C$5:C105),"000"))</f>
        <v/>
      </c>
      <c r="C105" s="12" t="n"/>
      <c r="D105" s="12" t="n"/>
      <c r="E105" s="12" t="n"/>
      <c r="F105" s="27" t="n"/>
      <c r="G105" s="12" t="n"/>
      <c r="H105" s="12" t="n"/>
      <c r="I105" s="12" t="n"/>
      <c r="J105" s="12" t="n"/>
      <c r="K105" s="27" t="n"/>
      <c r="L105" s="12" t="n"/>
    </row>
    <row r="106" ht="22" customHeight="1">
      <c r="B106" s="16">
        <f>IF(C106="","AV-"&amp;TEXT(COUNTA($C$5:C106),"000"))</f>
        <v/>
      </c>
      <c r="C106" s="14" t="n"/>
      <c r="D106" s="14" t="n"/>
      <c r="E106" s="14" t="n"/>
      <c r="F106" s="28" t="n"/>
      <c r="G106" s="14" t="n"/>
      <c r="H106" s="14" t="n"/>
      <c r="I106" s="14" t="n"/>
      <c r="J106" s="14" t="n"/>
      <c r="K106" s="28" t="n"/>
      <c r="L106" s="14" t="n"/>
    </row>
    <row r="107" ht="22" customHeight="1">
      <c r="B107" s="17">
        <f>IF(C107="","AV-"&amp;TEXT(COUNTA($C$5:C107),"000"))</f>
        <v/>
      </c>
      <c r="C107" s="12" t="n"/>
      <c r="D107" s="12" t="n"/>
      <c r="E107" s="12" t="n"/>
      <c r="F107" s="27" t="n"/>
      <c r="G107" s="12" t="n"/>
      <c r="H107" s="12" t="n"/>
      <c r="I107" s="12" t="n"/>
      <c r="J107" s="12" t="n"/>
      <c r="K107" s="27" t="n"/>
      <c r="L107" s="12" t="n"/>
    </row>
    <row r="108"/>
    <row r="109">
      <c r="B109" s="6" t="inlineStr">
        <is>
          <t>INDICATEURS (mis a jour automatiquement)</t>
        </is>
      </c>
    </row>
    <row r="110">
      <c r="B110" s="3" t="inlineStr">
        <is>
          <t>Total avenants</t>
        </is>
      </c>
      <c r="D110" s="3" t="inlineStr">
        <is>
          <t>En attente</t>
        </is>
      </c>
    </row>
    <row r="111">
      <c r="B111" s="4">
        <f>COUNTIF(B5:B104,"&lt;&gt;")</f>
        <v/>
      </c>
      <c r="D111" s="4">
        <f>COUNTIF(L5:L104,"En attente")</f>
        <v/>
      </c>
    </row>
  </sheetData>
  <mergeCells count="3">
    <mergeCell ref="B2:L2"/>
    <mergeCell ref="B109:L109"/>
    <mergeCell ref="B3:L3"/>
  </mergeCells>
  <conditionalFormatting sqref="L5:L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"Soumise"</formula>
    </cfRule>
    <cfRule type="cellIs" priority="9" operator="equal" dxfId="0">
      <formula>"Traite"</formula>
    </cfRule>
    <cfRule type="cellIs" priority="10" operator="equal" dxfId="0">
      <formula>"Clos"</formula>
    </cfRule>
    <cfRule type="cellIs" priority="11" operator="equal" dxfId="0">
      <formula>"Solde"</formula>
    </cfRule>
    <cfRule type="cellIs" priority="12" operator="equal" dxfId="0">
      <formula>"Pris"</formula>
    </cfRule>
    <cfRule type="cellIs" priority="13" operator="equal" dxfId="1">
      <formula>"En attente"</formula>
    </cfRule>
    <cfRule type="cellIs" priority="14" operator="equal" dxfId="1">
      <formula>"A renouveler"</formula>
    </cfRule>
    <cfRule type="cellIs" priority="15" operator="equal" dxfId="1">
      <formula>"En renouvellement"</formula>
    </cfRule>
    <cfRule type="cellIs" priority="16" operator="equal" dxfId="1">
      <formula>"En cours"</formula>
    </cfRule>
    <cfRule type="cellIs" priority="17" operator="equal" dxfId="1">
      <formula>"En traitement"</formula>
    </cfRule>
    <cfRule type="cellIs" priority="18" operator="equal" dxfId="1">
      <formula>"En retard"</formula>
    </cfRule>
    <cfRule type="cellIs" priority="19" operator="equal" dxfId="1">
      <formula>"Suspendu"</formula>
    </cfRule>
    <cfRule type="cellIs" priority="20" operator="equal" dxfId="1">
      <formula>"A verifier"</formula>
    </cfRule>
    <cfRule type="cellIs" priority="21" operator="equal" dxfId="2">
      <formula>"Expire"</formula>
    </cfRule>
    <cfRule type="cellIs" priority="22" operator="equal" dxfId="2">
      <formula>"Rejete"</formula>
    </cfRule>
    <cfRule type="cellIs" priority="23" operator="equal" dxfId="2">
      <formula>"Rejetee"</formula>
    </cfRule>
    <cfRule type="cellIs" priority="24" operator="equal" dxfId="2">
      <formula>"Resilie"</formula>
    </cfRule>
    <cfRule type="cellIs" priority="25" operator="equal" dxfId="2">
      <formula>"Echu"</formula>
    </cfRule>
    <cfRule type="cellIs" priority="26" operator="equal" dxfId="2">
      <formula>"Refuse"</formula>
    </cfRule>
    <cfRule type="cellIs" priority="27" operator="equal" dxfId="2">
      <formula>"Annulee"</formula>
    </cfRule>
    <cfRule type="cellIs" priority="28" operator="equal" dxfId="2">
      <formula>"Departi"</formula>
    </cfRule>
    <cfRule type="cellIs" priority="29" operator="equal" dxfId="2">
      <formula>"Cloture"</formula>
    </cfRule>
    <cfRule type="cellIs" priority="30" operator="equal" dxfId="2">
      <formula>"Non justifiee"</formula>
    </cfRule>
    <cfRule type="cellIs" priority="31" operator="equal" dxfId="2">
      <formula>"Manquant"</formula>
    </cfRule>
  </conditionalFormatting>
  <conditionalFormatting sqref="B8:B107">
    <cfRule type="expression" priority="32" dxfId="3">
      <formula>AND($C8="",$C7&lt;&gt;"")</formula>
    </cfRule>
  </conditionalFormatting>
  <conditionalFormatting sqref="C8:C107">
    <cfRule type="expression" priority="33" dxfId="3">
      <formula>AND($C8="",$C7&lt;&gt;"")</formula>
    </cfRule>
  </conditionalFormatting>
  <conditionalFormatting sqref="D8:D107">
    <cfRule type="expression" priority="34" dxfId="3">
      <formula>AND($C8="",$C7&lt;&gt;"")</formula>
    </cfRule>
  </conditionalFormatting>
  <conditionalFormatting sqref="E8:E107">
    <cfRule type="expression" priority="35" dxfId="3">
      <formula>AND($C8="",$C7&lt;&gt;"")</formula>
    </cfRule>
  </conditionalFormatting>
  <conditionalFormatting sqref="F8:F107">
    <cfRule type="expression" priority="36" dxfId="3">
      <formula>AND($C8="",$C7&lt;&gt;"")</formula>
    </cfRule>
  </conditionalFormatting>
  <conditionalFormatting sqref="G8:G107">
    <cfRule type="expression" priority="37" dxfId="3">
      <formula>AND($C8="",$C7&lt;&gt;"")</formula>
    </cfRule>
  </conditionalFormatting>
  <conditionalFormatting sqref="H8:H107">
    <cfRule type="expression" priority="38" dxfId="3">
      <formula>AND($C8="",$C7&lt;&gt;"")</formula>
    </cfRule>
  </conditionalFormatting>
  <conditionalFormatting sqref="I8:I107">
    <cfRule type="expression" priority="39" dxfId="3">
      <formula>AND($C8="",$C7&lt;&gt;"")</formula>
    </cfRule>
  </conditionalFormatting>
  <conditionalFormatting sqref="J8:J107">
    <cfRule type="expression" priority="40" dxfId="3">
      <formula>AND($C8="",$C7&lt;&gt;"")</formula>
    </cfRule>
  </conditionalFormatting>
  <conditionalFormatting sqref="K8:K107">
    <cfRule type="expression" priority="41" dxfId="3">
      <formula>AND($C8="",$C7&lt;&gt;"")</formula>
    </cfRule>
  </conditionalFormatting>
  <conditionalFormatting sqref="L8:L107">
    <cfRule type="expression" priority="42" dxfId="3">
      <formula>AND($C8="",$C7&lt;&gt;"")</formula>
    </cfRule>
  </conditionalFormatting>
  <dataValidations count="2">
    <dataValidation sqref="G5:G107" showDropDown="0" showInputMessage="0" showErrorMessage="0" allowBlank="1" errorTitle="Erreur" error="Valeur invalide" promptTitle="Liste" prompt="Choisir dans la liste" type="list">
      <formula1>'_Lists'!$L$2:$L$8</formula1>
    </dataValidation>
    <dataValidation sqref="L5:L107" showDropDown="0" showInputMessage="0" showErrorMessage="0" allowBlank="1" errorTitle="Erreur" error="Valeur invalide" promptTitle="Liste" prompt="Choisir dans la liste" type="list">
      <formula1>'_Lists'!$X$2:$X$6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20" customWidth="1" min="4" max="4"/>
    <col width="22" customWidth="1" min="5" max="5"/>
    <col width="18" customWidth="1" min="6" max="6"/>
    <col width="12" customWidth="1" min="7" max="7"/>
    <col width="28" customWidth="1" min="8" max="8"/>
    <col width="14" customWidth="1" min="9" max="9"/>
    <col width="17" customWidth="1" min="10" max="10"/>
    <col width="26" customWidth="1" min="11" max="11"/>
  </cols>
  <sheetData>
    <row r="1" ht="15" customHeight="1"/>
    <row r="2" ht="32" customHeight="1">
      <c r="B2" s="1" t="inlineStr">
        <is>
          <t>SUIVI DES DOCUMENTS DU PERSONNEL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Matricule</t>
        </is>
      </c>
      <c r="D4" s="11" t="inlineStr">
        <is>
          <t>Nom Employé</t>
        </is>
      </c>
      <c r="E4" s="11" t="inlineStr">
        <is>
          <t>Type Document</t>
        </is>
      </c>
      <c r="F4" s="11" t="inlineStr">
        <is>
          <t>N° Document</t>
        </is>
      </c>
      <c r="G4" s="11" t="inlineStr">
        <is>
          <t>Date Émission</t>
        </is>
      </c>
      <c r="H4" s="11" t="inlineStr">
        <is>
          <t>Date Expiration</t>
        </is>
      </c>
      <c r="I4" s="11" t="inlineStr">
        <is>
          <t>Jours Restants</t>
        </is>
      </c>
      <c r="J4" s="11" t="inlineStr">
        <is>
          <t>Statut</t>
        </is>
      </c>
      <c r="K4" s="11" t="inlineStr">
        <is>
          <t>Lieu Dépôt</t>
        </is>
      </c>
      <c r="L4" s="11" t="inlineStr">
        <is>
          <t>Notes</t>
        </is>
      </c>
    </row>
    <row r="5" ht="22" customHeight="1">
      <c r="B5" s="12" t="inlineStr">
        <is>
          <t>DOC-001</t>
        </is>
      </c>
      <c r="C5" s="12" t="inlineStr">
        <is>
          <t>EMP-001</t>
        </is>
      </c>
      <c r="D5" s="12" t="inlineStr">
        <is>
          <t>Nganou Clarisse</t>
        </is>
      </c>
      <c r="E5" s="12" t="inlineStr">
        <is>
          <t>CNI</t>
        </is>
      </c>
      <c r="F5" s="12" t="inlineStr">
        <is>
          <t>123456789</t>
        </is>
      </c>
      <c r="G5" s="27" t="n">
        <v>44576</v>
      </c>
      <c r="H5" s="27" t="n">
        <v>46402</v>
      </c>
      <c r="I5" s="34">
        <f>IF(H5="","",IFERROR(MAX(H5-TODAY(),0),0))</f>
        <v/>
      </c>
      <c r="J5" s="12" t="inlineStr">
        <is>
          <t>Valide</t>
        </is>
      </c>
      <c r="K5" s="12" t="inlineStr">
        <is>
          <t>RH Central</t>
        </is>
      </c>
      <c r="L5" s="12" t="inlineStr">
        <is>
          <t>CNI 5 ans</t>
        </is>
      </c>
    </row>
    <row r="6" ht="22" customHeight="1">
      <c r="B6" s="14" t="inlineStr">
        <is>
          <t>DOC-002</t>
        </is>
      </c>
      <c r="C6" s="14" t="inlineStr">
        <is>
          <t>EMP-001</t>
        </is>
      </c>
      <c r="D6" s="14" t="inlineStr">
        <is>
          <t>Nganou Clarisse</t>
        </is>
      </c>
      <c r="E6" s="14" t="inlineStr">
        <is>
          <t>Attestation CNPS</t>
        </is>
      </c>
      <c r="F6" s="14" t="inlineStr">
        <is>
          <t>CNPS-78901</t>
        </is>
      </c>
      <c r="G6" s="28" t="n">
        <v>45658</v>
      </c>
      <c r="H6" s="28" t="n">
        <v>46022</v>
      </c>
      <c r="I6" s="35">
        <f>IF(H6="","",IFERROR(MAX(H6-TODAY(),0),0))</f>
        <v/>
      </c>
      <c r="J6" s="14" t="inlineStr">
        <is>
          <t>Valide</t>
        </is>
      </c>
      <c r="K6" s="14" t="inlineStr">
        <is>
          <t>RH Central</t>
        </is>
      </c>
      <c r="L6" s="14" t="inlineStr">
        <is>
          <t>Attestation annuelle</t>
        </is>
      </c>
    </row>
    <row r="7" ht="22" customHeight="1">
      <c r="B7" s="12" t="inlineStr">
        <is>
          <t>DOC-003</t>
        </is>
      </c>
      <c r="C7" s="12" t="inlineStr">
        <is>
          <t>EMP-002</t>
        </is>
      </c>
      <c r="D7" s="12" t="inlineStr">
        <is>
          <t>Tchinda Armand</t>
        </is>
      </c>
      <c r="E7" s="12" t="inlineStr">
        <is>
          <t>Passeport</t>
        </is>
      </c>
      <c r="F7" s="12" t="inlineStr">
        <is>
          <t>AB123456</t>
        </is>
      </c>
      <c r="G7" s="27" t="n">
        <v>44357</v>
      </c>
      <c r="H7" s="27" t="n">
        <v>48009</v>
      </c>
      <c r="I7" s="34">
        <f>IF(H7="","",IFERROR(MAX(H7-TODAY(),0),0))</f>
        <v/>
      </c>
      <c r="J7" s="12" t="inlineStr">
        <is>
          <t>Valide</t>
        </is>
      </c>
      <c r="K7" s="12" t="inlineStr">
        <is>
          <t>RH Central</t>
        </is>
      </c>
      <c r="L7" s="12" t="inlineStr">
        <is>
          <t>Passeport 10 ans</t>
        </is>
      </c>
    </row>
    <row r="8" ht="22" customHeight="1">
      <c r="B8" s="14" t="inlineStr">
        <is>
          <t>DOC-004</t>
        </is>
      </c>
      <c r="C8" s="14" t="inlineStr">
        <is>
          <t>EMP-003</t>
        </is>
      </c>
      <c r="D8" s="14" t="inlineStr">
        <is>
          <t>Fotso Marguerite</t>
        </is>
      </c>
      <c r="E8" s="14" t="inlineStr">
        <is>
          <t>Certificat medical</t>
        </is>
      </c>
      <c r="F8" s="14" t="inlineStr">
        <is>
          <t>CM-2025-034</t>
        </is>
      </c>
      <c r="G8" s="28" t="n">
        <v>45662</v>
      </c>
      <c r="H8" s="28" t="n">
        <v>46027</v>
      </c>
      <c r="I8" s="35">
        <f>IF(H8="","",IFERROR(MAX(H8-TODAY(),0),0))</f>
        <v/>
      </c>
      <c r="J8" s="14" t="inlineStr">
        <is>
          <t>Valide</t>
        </is>
      </c>
      <c r="K8" s="14" t="inlineStr">
        <is>
          <t>Service medical</t>
        </is>
      </c>
      <c r="L8" s="14" t="inlineStr">
        <is>
          <t>Visite annuelle</t>
        </is>
      </c>
    </row>
    <row r="9" ht="22" customHeight="1">
      <c r="B9" s="12" t="inlineStr">
        <is>
          <t>DOC-005</t>
        </is>
      </c>
      <c r="C9" s="12" t="inlineStr">
        <is>
          <t>EMP-004</t>
        </is>
      </c>
      <c r="D9" s="12" t="inlineStr">
        <is>
          <t>Nkoulou Mbarga</t>
        </is>
      </c>
      <c r="E9" s="12" t="inlineStr">
        <is>
          <t>CNI</t>
        </is>
      </c>
      <c r="F9" s="12" t="inlineStr">
        <is>
          <t>987654321</t>
        </is>
      </c>
      <c r="G9" s="27" t="n">
        <v>44075</v>
      </c>
      <c r="H9" s="27" t="n">
        <v>45901</v>
      </c>
      <c r="I9" s="34">
        <f>IF(H9="","",IFERROR(MAX(H9-TODAY(),0),0))</f>
        <v/>
      </c>
      <c r="J9" s="12" t="inlineStr">
        <is>
          <t>A renouveler</t>
        </is>
      </c>
      <c r="K9" s="12" t="inlineStr">
        <is>
          <t>RH Central</t>
        </is>
      </c>
      <c r="L9" s="12" t="inlineStr">
        <is>
          <t>Expiration sous 3 mois</t>
        </is>
      </c>
    </row>
    <row r="10" ht="22" customHeight="1">
      <c r="B10" s="16">
        <f>IF(C10="","DOC-"&amp;TEXT(COUNTA($C$5:C10),"000"))</f>
        <v/>
      </c>
      <c r="C10" s="14" t="n"/>
      <c r="D10" s="14" t="n"/>
      <c r="E10" s="14" t="n"/>
      <c r="F10" s="14" t="n"/>
      <c r="G10" s="28" t="n"/>
      <c r="H10" s="28" t="n"/>
      <c r="I10" s="35">
        <f>IF(H10="","",IFERROR(MAX(H10-TODAY(),0),0))</f>
        <v/>
      </c>
      <c r="J10" s="14" t="n"/>
      <c r="K10" s="14" t="n"/>
      <c r="L10" s="14" t="n"/>
    </row>
    <row r="11" ht="22" customHeight="1">
      <c r="B11" s="17">
        <f>IF(C11="","DOC-"&amp;TEXT(COUNTA($C$5:C11),"000"))</f>
        <v/>
      </c>
      <c r="C11" s="12" t="n"/>
      <c r="D11" s="12" t="n"/>
      <c r="E11" s="12" t="n"/>
      <c r="F11" s="12" t="n"/>
      <c r="G11" s="27" t="n"/>
      <c r="H11" s="27" t="n"/>
      <c r="I11" s="34">
        <f>IF(H11="","",IFERROR(MAX(H11-TODAY(),0),0))</f>
        <v/>
      </c>
      <c r="J11" s="12" t="n"/>
      <c r="K11" s="12" t="n"/>
      <c r="L11" s="12" t="n"/>
    </row>
    <row r="12" ht="22" customHeight="1">
      <c r="B12" s="16">
        <f>IF(C12="","DOC-"&amp;TEXT(COUNTA($C$5:C12),"000"))</f>
        <v/>
      </c>
      <c r="C12" s="14" t="n"/>
      <c r="D12" s="14" t="n"/>
      <c r="E12" s="14" t="n"/>
      <c r="F12" s="14" t="n"/>
      <c r="G12" s="28" t="n"/>
      <c r="H12" s="28" t="n"/>
      <c r="I12" s="35">
        <f>IF(H12="","",IFERROR(MAX(H12-TODAY(),0),0))</f>
        <v/>
      </c>
      <c r="J12" s="14" t="n"/>
      <c r="K12" s="14" t="n"/>
      <c r="L12" s="14" t="n"/>
    </row>
    <row r="13" ht="22" customHeight="1">
      <c r="B13" s="17">
        <f>IF(C13="","DOC-"&amp;TEXT(COUNTA($C$5:C13),"000"))</f>
        <v/>
      </c>
      <c r="C13" s="12" t="n"/>
      <c r="D13" s="12" t="n"/>
      <c r="E13" s="12" t="n"/>
      <c r="F13" s="12" t="n"/>
      <c r="G13" s="27" t="n"/>
      <c r="H13" s="27" t="n"/>
      <c r="I13" s="34">
        <f>IF(H13="","",IFERROR(MAX(H13-TODAY(),0),0))</f>
        <v/>
      </c>
      <c r="J13" s="12" t="n"/>
      <c r="K13" s="12" t="n"/>
      <c r="L13" s="12" t="n"/>
    </row>
    <row r="14" ht="22" customHeight="1">
      <c r="B14" s="16">
        <f>IF(C14="","DOC-"&amp;TEXT(COUNTA($C$5:C14),"000"))</f>
        <v/>
      </c>
      <c r="C14" s="14" t="n"/>
      <c r="D14" s="14" t="n"/>
      <c r="E14" s="14" t="n"/>
      <c r="F14" s="14" t="n"/>
      <c r="G14" s="28" t="n"/>
      <c r="H14" s="28" t="n"/>
      <c r="I14" s="35">
        <f>IF(H14="","",IFERROR(MAX(H14-TODAY(),0),0))</f>
        <v/>
      </c>
      <c r="J14" s="14" t="n"/>
      <c r="K14" s="14" t="n"/>
      <c r="L14" s="14" t="n"/>
    </row>
    <row r="15" ht="22" customHeight="1">
      <c r="B15" s="17">
        <f>IF(C15="","DOC-"&amp;TEXT(COUNTA($C$5:C15),"000"))</f>
        <v/>
      </c>
      <c r="C15" s="12" t="n"/>
      <c r="D15" s="12" t="n"/>
      <c r="E15" s="12" t="n"/>
      <c r="F15" s="12" t="n"/>
      <c r="G15" s="27" t="n"/>
      <c r="H15" s="27" t="n"/>
      <c r="I15" s="34">
        <f>IF(H15="","",IFERROR(MAX(H15-TODAY(),0),0))</f>
        <v/>
      </c>
      <c r="J15" s="12" t="n"/>
      <c r="K15" s="12" t="n"/>
      <c r="L15" s="12" t="n"/>
    </row>
    <row r="16" ht="22" customHeight="1">
      <c r="B16" s="16">
        <f>IF(C16="","DOC-"&amp;TEXT(COUNTA($C$5:C16),"000"))</f>
        <v/>
      </c>
      <c r="C16" s="14" t="n"/>
      <c r="D16" s="14" t="n"/>
      <c r="E16" s="14" t="n"/>
      <c r="F16" s="14" t="n"/>
      <c r="G16" s="28" t="n"/>
      <c r="H16" s="28" t="n"/>
      <c r="I16" s="35">
        <f>IF(H16="","",IFERROR(MAX(H16-TODAY(),0),0))</f>
        <v/>
      </c>
      <c r="J16" s="14" t="n"/>
      <c r="K16" s="14" t="n"/>
      <c r="L16" s="14" t="n"/>
    </row>
    <row r="17" ht="22" customHeight="1">
      <c r="B17" s="17">
        <f>IF(C17="","DOC-"&amp;TEXT(COUNTA($C$5:C17),"000"))</f>
        <v/>
      </c>
      <c r="C17" s="12" t="n"/>
      <c r="D17" s="12" t="n"/>
      <c r="E17" s="12" t="n"/>
      <c r="F17" s="12" t="n"/>
      <c r="G17" s="27" t="n"/>
      <c r="H17" s="27" t="n"/>
      <c r="I17" s="34">
        <f>IF(H17="","",IFERROR(MAX(H17-TODAY(),0),0))</f>
        <v/>
      </c>
      <c r="J17" s="12" t="n"/>
      <c r="K17" s="12" t="n"/>
      <c r="L17" s="12" t="n"/>
    </row>
    <row r="18" ht="22" customHeight="1">
      <c r="B18" s="16">
        <f>IF(C18="","DOC-"&amp;TEXT(COUNTA($C$5:C18),"000"))</f>
        <v/>
      </c>
      <c r="C18" s="14" t="n"/>
      <c r="D18" s="14" t="n"/>
      <c r="E18" s="14" t="n"/>
      <c r="F18" s="14" t="n"/>
      <c r="G18" s="28" t="n"/>
      <c r="H18" s="28" t="n"/>
      <c r="I18" s="35">
        <f>IF(H18="","",IFERROR(MAX(H18-TODAY(),0),0))</f>
        <v/>
      </c>
      <c r="J18" s="14" t="n"/>
      <c r="K18" s="14" t="n"/>
      <c r="L18" s="14" t="n"/>
    </row>
    <row r="19" ht="22" customHeight="1">
      <c r="B19" s="17">
        <f>IF(C19="","DOC-"&amp;TEXT(COUNTA($C$5:C19),"000"))</f>
        <v/>
      </c>
      <c r="C19" s="12" t="n"/>
      <c r="D19" s="12" t="n"/>
      <c r="E19" s="12" t="n"/>
      <c r="F19" s="12" t="n"/>
      <c r="G19" s="27" t="n"/>
      <c r="H19" s="27" t="n"/>
      <c r="I19" s="34">
        <f>IF(H19="","",IFERROR(MAX(H19-TODAY(),0),0))</f>
        <v/>
      </c>
      <c r="J19" s="12" t="n"/>
      <c r="K19" s="12" t="n"/>
      <c r="L19" s="12" t="n"/>
    </row>
    <row r="20" ht="22" customHeight="1">
      <c r="B20" s="16">
        <f>IF(C20="","DOC-"&amp;TEXT(COUNTA($C$5:C20),"000"))</f>
        <v/>
      </c>
      <c r="C20" s="14" t="n"/>
      <c r="D20" s="14" t="n"/>
      <c r="E20" s="14" t="n"/>
      <c r="F20" s="14" t="n"/>
      <c r="G20" s="28" t="n"/>
      <c r="H20" s="28" t="n"/>
      <c r="I20" s="35">
        <f>IF(H20="","",IFERROR(MAX(H20-TODAY(),0),0))</f>
        <v/>
      </c>
      <c r="J20" s="14" t="n"/>
      <c r="K20" s="14" t="n"/>
      <c r="L20" s="14" t="n"/>
    </row>
    <row r="21" ht="22" customHeight="1">
      <c r="B21" s="17">
        <f>IF(C21="","DOC-"&amp;TEXT(COUNTA($C$5:C21),"000"))</f>
        <v/>
      </c>
      <c r="C21" s="12" t="n"/>
      <c r="D21" s="12" t="n"/>
      <c r="E21" s="12" t="n"/>
      <c r="F21" s="12" t="n"/>
      <c r="G21" s="27" t="n"/>
      <c r="H21" s="27" t="n"/>
      <c r="I21" s="34">
        <f>IF(H21="","",IFERROR(MAX(H21-TODAY(),0),0))</f>
        <v/>
      </c>
      <c r="J21" s="12" t="n"/>
      <c r="K21" s="12" t="n"/>
      <c r="L21" s="12" t="n"/>
    </row>
    <row r="22" ht="22" customHeight="1">
      <c r="B22" s="16">
        <f>IF(C22="","DOC-"&amp;TEXT(COUNTA($C$5:C22),"000"))</f>
        <v/>
      </c>
      <c r="C22" s="14" t="n"/>
      <c r="D22" s="14" t="n"/>
      <c r="E22" s="14" t="n"/>
      <c r="F22" s="14" t="n"/>
      <c r="G22" s="28" t="n"/>
      <c r="H22" s="28" t="n"/>
      <c r="I22" s="35">
        <f>IF(H22="","",IFERROR(MAX(H22-TODAY(),0),0))</f>
        <v/>
      </c>
      <c r="J22" s="14" t="n"/>
      <c r="K22" s="14" t="n"/>
      <c r="L22" s="14" t="n"/>
    </row>
    <row r="23" ht="22" customHeight="1">
      <c r="B23" s="17">
        <f>IF(C23="","DOC-"&amp;TEXT(COUNTA($C$5:C23),"000"))</f>
        <v/>
      </c>
      <c r="C23" s="12" t="n"/>
      <c r="D23" s="12" t="n"/>
      <c r="E23" s="12" t="n"/>
      <c r="F23" s="12" t="n"/>
      <c r="G23" s="27" t="n"/>
      <c r="H23" s="27" t="n"/>
      <c r="I23" s="34">
        <f>IF(H23="","",IFERROR(MAX(H23-TODAY(),0),0))</f>
        <v/>
      </c>
      <c r="J23" s="12" t="n"/>
      <c r="K23" s="12" t="n"/>
      <c r="L23" s="12" t="n"/>
    </row>
    <row r="24" ht="22" customHeight="1">
      <c r="B24" s="16">
        <f>IF(C24="","DOC-"&amp;TEXT(COUNTA($C$5:C24),"000"))</f>
        <v/>
      </c>
      <c r="C24" s="14" t="n"/>
      <c r="D24" s="14" t="n"/>
      <c r="E24" s="14" t="n"/>
      <c r="F24" s="14" t="n"/>
      <c r="G24" s="28" t="n"/>
      <c r="H24" s="28" t="n"/>
      <c r="I24" s="35">
        <f>IF(H24="","",IFERROR(MAX(H24-TODAY(),0),0))</f>
        <v/>
      </c>
      <c r="J24" s="14" t="n"/>
      <c r="K24" s="14" t="n"/>
      <c r="L24" s="14" t="n"/>
    </row>
    <row r="25" ht="22" customHeight="1">
      <c r="B25" s="17">
        <f>IF(C25="","DOC-"&amp;TEXT(COUNTA($C$5:C25),"000"))</f>
        <v/>
      </c>
      <c r="C25" s="12" t="n"/>
      <c r="D25" s="12" t="n"/>
      <c r="E25" s="12" t="n"/>
      <c r="F25" s="12" t="n"/>
      <c r="G25" s="27" t="n"/>
      <c r="H25" s="27" t="n"/>
      <c r="I25" s="34">
        <f>IF(H25="","",IFERROR(MAX(H25-TODAY(),0),0))</f>
        <v/>
      </c>
      <c r="J25" s="12" t="n"/>
      <c r="K25" s="12" t="n"/>
      <c r="L25" s="12" t="n"/>
    </row>
    <row r="26" ht="22" customHeight="1">
      <c r="B26" s="16">
        <f>IF(C26="","DOC-"&amp;TEXT(COUNTA($C$5:C26),"000"))</f>
        <v/>
      </c>
      <c r="C26" s="14" t="n"/>
      <c r="D26" s="14" t="n"/>
      <c r="E26" s="14" t="n"/>
      <c r="F26" s="14" t="n"/>
      <c r="G26" s="28" t="n"/>
      <c r="H26" s="28" t="n"/>
      <c r="I26" s="35">
        <f>IF(H26="","",IFERROR(MAX(H26-TODAY(),0),0))</f>
        <v/>
      </c>
      <c r="J26" s="14" t="n"/>
      <c r="K26" s="14" t="n"/>
      <c r="L26" s="14" t="n"/>
    </row>
    <row r="27" ht="22" customHeight="1">
      <c r="B27" s="17">
        <f>IF(C27="","DOC-"&amp;TEXT(COUNTA($C$5:C27),"000"))</f>
        <v/>
      </c>
      <c r="C27" s="12" t="n"/>
      <c r="D27" s="12" t="n"/>
      <c r="E27" s="12" t="n"/>
      <c r="F27" s="12" t="n"/>
      <c r="G27" s="27" t="n"/>
      <c r="H27" s="27" t="n"/>
      <c r="I27" s="34">
        <f>IF(H27="","",IFERROR(MAX(H27-TODAY(),0),0))</f>
        <v/>
      </c>
      <c r="J27" s="12" t="n"/>
      <c r="K27" s="12" t="n"/>
      <c r="L27" s="12" t="n"/>
    </row>
    <row r="28" ht="22" customHeight="1">
      <c r="B28" s="16">
        <f>IF(C28="","DOC-"&amp;TEXT(COUNTA($C$5:C28),"000"))</f>
        <v/>
      </c>
      <c r="C28" s="14" t="n"/>
      <c r="D28" s="14" t="n"/>
      <c r="E28" s="14" t="n"/>
      <c r="F28" s="14" t="n"/>
      <c r="G28" s="28" t="n"/>
      <c r="H28" s="28" t="n"/>
      <c r="I28" s="35">
        <f>IF(H28="","",IFERROR(MAX(H28-TODAY(),0),0))</f>
        <v/>
      </c>
      <c r="J28" s="14" t="n"/>
      <c r="K28" s="14" t="n"/>
      <c r="L28" s="14" t="n"/>
    </row>
    <row r="29" ht="22" customHeight="1">
      <c r="B29" s="17">
        <f>IF(C29="","DOC-"&amp;TEXT(COUNTA($C$5:C29),"000"))</f>
        <v/>
      </c>
      <c r="C29" s="12" t="n"/>
      <c r="D29" s="12" t="n"/>
      <c r="E29" s="12" t="n"/>
      <c r="F29" s="12" t="n"/>
      <c r="G29" s="27" t="n"/>
      <c r="H29" s="27" t="n"/>
      <c r="I29" s="34">
        <f>IF(H29="","",IFERROR(MAX(H29-TODAY(),0),0))</f>
        <v/>
      </c>
      <c r="J29" s="12" t="n"/>
      <c r="K29" s="12" t="n"/>
      <c r="L29" s="12" t="n"/>
    </row>
    <row r="30" ht="22" customHeight="1">
      <c r="B30" s="16">
        <f>IF(C30="","DOC-"&amp;TEXT(COUNTA($C$5:C30),"000"))</f>
        <v/>
      </c>
      <c r="C30" s="14" t="n"/>
      <c r="D30" s="14" t="n"/>
      <c r="E30" s="14" t="n"/>
      <c r="F30" s="14" t="n"/>
      <c r="G30" s="28" t="n"/>
      <c r="H30" s="28" t="n"/>
      <c r="I30" s="35">
        <f>IF(H30="","",IFERROR(MAX(H30-TODAY(),0),0))</f>
        <v/>
      </c>
      <c r="J30" s="14" t="n"/>
      <c r="K30" s="14" t="n"/>
      <c r="L30" s="14" t="n"/>
    </row>
    <row r="31" ht="22" customHeight="1">
      <c r="B31" s="17">
        <f>IF(C31="","DOC-"&amp;TEXT(COUNTA($C$5:C31),"000"))</f>
        <v/>
      </c>
      <c r="C31" s="12" t="n"/>
      <c r="D31" s="12" t="n"/>
      <c r="E31" s="12" t="n"/>
      <c r="F31" s="12" t="n"/>
      <c r="G31" s="27" t="n"/>
      <c r="H31" s="27" t="n"/>
      <c r="I31" s="34">
        <f>IF(H31="","",IFERROR(MAX(H31-TODAY(),0),0))</f>
        <v/>
      </c>
      <c r="J31" s="12" t="n"/>
      <c r="K31" s="12" t="n"/>
      <c r="L31" s="12" t="n"/>
    </row>
    <row r="32" ht="22" customHeight="1">
      <c r="B32" s="16">
        <f>IF(C32="","DOC-"&amp;TEXT(COUNTA($C$5:C32),"000"))</f>
        <v/>
      </c>
      <c r="C32" s="14" t="n"/>
      <c r="D32" s="14" t="n"/>
      <c r="E32" s="14" t="n"/>
      <c r="F32" s="14" t="n"/>
      <c r="G32" s="28" t="n"/>
      <c r="H32" s="28" t="n"/>
      <c r="I32" s="35">
        <f>IF(H32="","",IFERROR(MAX(H32-TODAY(),0),0))</f>
        <v/>
      </c>
      <c r="J32" s="14" t="n"/>
      <c r="K32" s="14" t="n"/>
      <c r="L32" s="14" t="n"/>
    </row>
    <row r="33" ht="22" customHeight="1">
      <c r="B33" s="17">
        <f>IF(C33="","DOC-"&amp;TEXT(COUNTA($C$5:C33),"000"))</f>
        <v/>
      </c>
      <c r="C33" s="12" t="n"/>
      <c r="D33" s="12" t="n"/>
      <c r="E33" s="12" t="n"/>
      <c r="F33" s="12" t="n"/>
      <c r="G33" s="27" t="n"/>
      <c r="H33" s="27" t="n"/>
      <c r="I33" s="34">
        <f>IF(H33="","",IFERROR(MAX(H33-TODAY(),0),0))</f>
        <v/>
      </c>
      <c r="J33" s="12" t="n"/>
      <c r="K33" s="12" t="n"/>
      <c r="L33" s="12" t="n"/>
    </row>
    <row r="34" ht="22" customHeight="1">
      <c r="B34" s="16">
        <f>IF(C34="","DOC-"&amp;TEXT(COUNTA($C$5:C34),"000"))</f>
        <v/>
      </c>
      <c r="C34" s="14" t="n"/>
      <c r="D34" s="14" t="n"/>
      <c r="E34" s="14" t="n"/>
      <c r="F34" s="14" t="n"/>
      <c r="G34" s="28" t="n"/>
      <c r="H34" s="28" t="n"/>
      <c r="I34" s="35">
        <f>IF(H34="","",IFERROR(MAX(H34-TODAY(),0),0))</f>
        <v/>
      </c>
      <c r="J34" s="14" t="n"/>
      <c r="K34" s="14" t="n"/>
      <c r="L34" s="14" t="n"/>
    </row>
    <row r="35" ht="22" customHeight="1">
      <c r="B35" s="17">
        <f>IF(C35="","DOC-"&amp;TEXT(COUNTA($C$5:C35),"000"))</f>
        <v/>
      </c>
      <c r="C35" s="12" t="n"/>
      <c r="D35" s="12" t="n"/>
      <c r="E35" s="12" t="n"/>
      <c r="F35" s="12" t="n"/>
      <c r="G35" s="27" t="n"/>
      <c r="H35" s="27" t="n"/>
      <c r="I35" s="34">
        <f>IF(H35="","",IFERROR(MAX(H35-TODAY(),0),0))</f>
        <v/>
      </c>
      <c r="J35" s="12" t="n"/>
      <c r="K35" s="12" t="n"/>
      <c r="L35" s="12" t="n"/>
    </row>
    <row r="36" ht="22" customHeight="1">
      <c r="B36" s="16">
        <f>IF(C36="","DOC-"&amp;TEXT(COUNTA($C$5:C36),"000"))</f>
        <v/>
      </c>
      <c r="C36" s="14" t="n"/>
      <c r="D36" s="14" t="n"/>
      <c r="E36" s="14" t="n"/>
      <c r="F36" s="14" t="n"/>
      <c r="G36" s="28" t="n"/>
      <c r="H36" s="28" t="n"/>
      <c r="I36" s="35">
        <f>IF(H36="","",IFERROR(MAX(H36-TODAY(),0),0))</f>
        <v/>
      </c>
      <c r="J36" s="14" t="n"/>
      <c r="K36" s="14" t="n"/>
      <c r="L36" s="14" t="n"/>
    </row>
    <row r="37" ht="22" customHeight="1">
      <c r="B37" s="17">
        <f>IF(C37="","DOC-"&amp;TEXT(COUNTA($C$5:C37),"000"))</f>
        <v/>
      </c>
      <c r="C37" s="12" t="n"/>
      <c r="D37" s="12" t="n"/>
      <c r="E37" s="12" t="n"/>
      <c r="F37" s="12" t="n"/>
      <c r="G37" s="27" t="n"/>
      <c r="H37" s="27" t="n"/>
      <c r="I37" s="34">
        <f>IF(H37="","",IFERROR(MAX(H37-TODAY(),0),0))</f>
        <v/>
      </c>
      <c r="J37" s="12" t="n"/>
      <c r="K37" s="12" t="n"/>
      <c r="L37" s="12" t="n"/>
    </row>
    <row r="38" ht="22" customHeight="1">
      <c r="B38" s="16">
        <f>IF(C38="","DOC-"&amp;TEXT(COUNTA($C$5:C38),"000"))</f>
        <v/>
      </c>
      <c r="C38" s="14" t="n"/>
      <c r="D38" s="14" t="n"/>
      <c r="E38" s="14" t="n"/>
      <c r="F38" s="14" t="n"/>
      <c r="G38" s="28" t="n"/>
      <c r="H38" s="28" t="n"/>
      <c r="I38" s="35">
        <f>IF(H38="","",IFERROR(MAX(H38-TODAY(),0),0))</f>
        <v/>
      </c>
      <c r="J38" s="14" t="n"/>
      <c r="K38" s="14" t="n"/>
      <c r="L38" s="14" t="n"/>
    </row>
    <row r="39" ht="22" customHeight="1">
      <c r="B39" s="17">
        <f>IF(C39="","DOC-"&amp;TEXT(COUNTA($C$5:C39),"000"))</f>
        <v/>
      </c>
      <c r="C39" s="12" t="n"/>
      <c r="D39" s="12" t="n"/>
      <c r="E39" s="12" t="n"/>
      <c r="F39" s="12" t="n"/>
      <c r="G39" s="27" t="n"/>
      <c r="H39" s="27" t="n"/>
      <c r="I39" s="34">
        <f>IF(H39="","",IFERROR(MAX(H39-TODAY(),0),0))</f>
        <v/>
      </c>
      <c r="J39" s="12" t="n"/>
      <c r="K39" s="12" t="n"/>
      <c r="L39" s="12" t="n"/>
    </row>
    <row r="40" ht="22" customHeight="1">
      <c r="B40" s="16">
        <f>IF(C40="","DOC-"&amp;TEXT(COUNTA($C$5:C40),"000"))</f>
        <v/>
      </c>
      <c r="C40" s="14" t="n"/>
      <c r="D40" s="14" t="n"/>
      <c r="E40" s="14" t="n"/>
      <c r="F40" s="14" t="n"/>
      <c r="G40" s="28" t="n"/>
      <c r="H40" s="28" t="n"/>
      <c r="I40" s="35">
        <f>IF(H40="","",IFERROR(MAX(H40-TODAY(),0),0))</f>
        <v/>
      </c>
      <c r="J40" s="14" t="n"/>
      <c r="K40" s="14" t="n"/>
      <c r="L40" s="14" t="n"/>
    </row>
    <row r="41" ht="22" customHeight="1">
      <c r="B41" s="17">
        <f>IF(C41="","DOC-"&amp;TEXT(COUNTA($C$5:C41),"000"))</f>
        <v/>
      </c>
      <c r="C41" s="12" t="n"/>
      <c r="D41" s="12" t="n"/>
      <c r="E41" s="12" t="n"/>
      <c r="F41" s="12" t="n"/>
      <c r="G41" s="27" t="n"/>
      <c r="H41" s="27" t="n"/>
      <c r="I41" s="34">
        <f>IF(H41="","",IFERROR(MAX(H41-TODAY(),0),0))</f>
        <v/>
      </c>
      <c r="J41" s="12" t="n"/>
      <c r="K41" s="12" t="n"/>
      <c r="L41" s="12" t="n"/>
    </row>
    <row r="42" ht="22" customHeight="1">
      <c r="B42" s="16">
        <f>IF(C42="","DOC-"&amp;TEXT(COUNTA($C$5:C42),"000"))</f>
        <v/>
      </c>
      <c r="C42" s="14" t="n"/>
      <c r="D42" s="14" t="n"/>
      <c r="E42" s="14" t="n"/>
      <c r="F42" s="14" t="n"/>
      <c r="G42" s="28" t="n"/>
      <c r="H42" s="28" t="n"/>
      <c r="I42" s="35">
        <f>IF(H42="","",IFERROR(MAX(H42-TODAY(),0),0))</f>
        <v/>
      </c>
      <c r="J42" s="14" t="n"/>
      <c r="K42" s="14" t="n"/>
      <c r="L42" s="14" t="n"/>
    </row>
    <row r="43" ht="22" customHeight="1">
      <c r="B43" s="17">
        <f>IF(C43="","DOC-"&amp;TEXT(COUNTA($C$5:C43),"000"))</f>
        <v/>
      </c>
      <c r="C43" s="12" t="n"/>
      <c r="D43" s="12" t="n"/>
      <c r="E43" s="12" t="n"/>
      <c r="F43" s="12" t="n"/>
      <c r="G43" s="27" t="n"/>
      <c r="H43" s="27" t="n"/>
      <c r="I43" s="34">
        <f>IF(H43="","",IFERROR(MAX(H43-TODAY(),0),0))</f>
        <v/>
      </c>
      <c r="J43" s="12" t="n"/>
      <c r="K43" s="12" t="n"/>
      <c r="L43" s="12" t="n"/>
    </row>
    <row r="44" ht="22" customHeight="1">
      <c r="B44" s="16">
        <f>IF(C44="","DOC-"&amp;TEXT(COUNTA($C$5:C44),"000"))</f>
        <v/>
      </c>
      <c r="C44" s="14" t="n"/>
      <c r="D44" s="14" t="n"/>
      <c r="E44" s="14" t="n"/>
      <c r="F44" s="14" t="n"/>
      <c r="G44" s="28" t="n"/>
      <c r="H44" s="28" t="n"/>
      <c r="I44" s="35">
        <f>IF(H44="","",IFERROR(MAX(H44-TODAY(),0),0))</f>
        <v/>
      </c>
      <c r="J44" s="14" t="n"/>
      <c r="K44" s="14" t="n"/>
      <c r="L44" s="14" t="n"/>
    </row>
    <row r="45" ht="22" customHeight="1">
      <c r="B45" s="17">
        <f>IF(C45="","DOC-"&amp;TEXT(COUNTA($C$5:C45),"000"))</f>
        <v/>
      </c>
      <c r="C45" s="12" t="n"/>
      <c r="D45" s="12" t="n"/>
      <c r="E45" s="12" t="n"/>
      <c r="F45" s="12" t="n"/>
      <c r="G45" s="27" t="n"/>
      <c r="H45" s="27" t="n"/>
      <c r="I45" s="34">
        <f>IF(H45="","",IFERROR(MAX(H45-TODAY(),0),0))</f>
        <v/>
      </c>
      <c r="J45" s="12" t="n"/>
      <c r="K45" s="12" t="n"/>
      <c r="L45" s="12" t="n"/>
    </row>
    <row r="46" ht="22" customHeight="1">
      <c r="B46" s="16">
        <f>IF(C46="","DOC-"&amp;TEXT(COUNTA($C$5:C46),"000"))</f>
        <v/>
      </c>
      <c r="C46" s="14" t="n"/>
      <c r="D46" s="14" t="n"/>
      <c r="E46" s="14" t="n"/>
      <c r="F46" s="14" t="n"/>
      <c r="G46" s="28" t="n"/>
      <c r="H46" s="28" t="n"/>
      <c r="I46" s="35">
        <f>IF(H46="","",IFERROR(MAX(H46-TODAY(),0),0))</f>
        <v/>
      </c>
      <c r="J46" s="14" t="n"/>
      <c r="K46" s="14" t="n"/>
      <c r="L46" s="14" t="n"/>
    </row>
    <row r="47" ht="22" customHeight="1">
      <c r="B47" s="17">
        <f>IF(C47="","DOC-"&amp;TEXT(COUNTA($C$5:C47),"000"))</f>
        <v/>
      </c>
      <c r="C47" s="12" t="n"/>
      <c r="D47" s="12" t="n"/>
      <c r="E47" s="12" t="n"/>
      <c r="F47" s="12" t="n"/>
      <c r="G47" s="27" t="n"/>
      <c r="H47" s="27" t="n"/>
      <c r="I47" s="34">
        <f>IF(H47="","",IFERROR(MAX(H47-TODAY(),0),0))</f>
        <v/>
      </c>
      <c r="J47" s="12" t="n"/>
      <c r="K47" s="12" t="n"/>
      <c r="L47" s="12" t="n"/>
    </row>
    <row r="48" ht="22" customHeight="1">
      <c r="B48" s="16">
        <f>IF(C48="","DOC-"&amp;TEXT(COUNTA($C$5:C48),"000"))</f>
        <v/>
      </c>
      <c r="C48" s="14" t="n"/>
      <c r="D48" s="14" t="n"/>
      <c r="E48" s="14" t="n"/>
      <c r="F48" s="14" t="n"/>
      <c r="G48" s="28" t="n"/>
      <c r="H48" s="28" t="n"/>
      <c r="I48" s="35">
        <f>IF(H48="","",IFERROR(MAX(H48-TODAY(),0),0))</f>
        <v/>
      </c>
      <c r="J48" s="14" t="n"/>
      <c r="K48" s="14" t="n"/>
      <c r="L48" s="14" t="n"/>
    </row>
    <row r="49" ht="22" customHeight="1">
      <c r="B49" s="17">
        <f>IF(C49="","DOC-"&amp;TEXT(COUNTA($C$5:C49),"000"))</f>
        <v/>
      </c>
      <c r="C49" s="12" t="n"/>
      <c r="D49" s="12" t="n"/>
      <c r="E49" s="12" t="n"/>
      <c r="F49" s="12" t="n"/>
      <c r="G49" s="27" t="n"/>
      <c r="H49" s="27" t="n"/>
      <c r="I49" s="34">
        <f>IF(H49="","",IFERROR(MAX(H49-TODAY(),0),0))</f>
        <v/>
      </c>
      <c r="J49" s="12" t="n"/>
      <c r="K49" s="12" t="n"/>
      <c r="L49" s="12" t="n"/>
    </row>
    <row r="50" ht="22" customHeight="1">
      <c r="B50" s="16">
        <f>IF(C50="","DOC-"&amp;TEXT(COUNTA($C$5:C50),"000"))</f>
        <v/>
      </c>
      <c r="C50" s="14" t="n"/>
      <c r="D50" s="14" t="n"/>
      <c r="E50" s="14" t="n"/>
      <c r="F50" s="14" t="n"/>
      <c r="G50" s="28" t="n"/>
      <c r="H50" s="28" t="n"/>
      <c r="I50" s="35">
        <f>IF(H50="","",IFERROR(MAX(H50-TODAY(),0),0))</f>
        <v/>
      </c>
      <c r="J50" s="14" t="n"/>
      <c r="K50" s="14" t="n"/>
      <c r="L50" s="14" t="n"/>
    </row>
    <row r="51" ht="22" customHeight="1">
      <c r="B51" s="17">
        <f>IF(C51="","DOC-"&amp;TEXT(COUNTA($C$5:C51),"000"))</f>
        <v/>
      </c>
      <c r="C51" s="12" t="n"/>
      <c r="D51" s="12" t="n"/>
      <c r="E51" s="12" t="n"/>
      <c r="F51" s="12" t="n"/>
      <c r="G51" s="27" t="n"/>
      <c r="H51" s="27" t="n"/>
      <c r="I51" s="34">
        <f>IF(H51="","",IFERROR(MAX(H51-TODAY(),0),0))</f>
        <v/>
      </c>
      <c r="J51" s="12" t="n"/>
      <c r="K51" s="12" t="n"/>
      <c r="L51" s="12" t="n"/>
    </row>
    <row r="52" ht="22" customHeight="1">
      <c r="B52" s="16">
        <f>IF(C52="","DOC-"&amp;TEXT(COUNTA($C$5:C52),"000"))</f>
        <v/>
      </c>
      <c r="C52" s="14" t="n"/>
      <c r="D52" s="14" t="n"/>
      <c r="E52" s="14" t="n"/>
      <c r="F52" s="14" t="n"/>
      <c r="G52" s="28" t="n"/>
      <c r="H52" s="28" t="n"/>
      <c r="I52" s="35">
        <f>IF(H52="","",IFERROR(MAX(H52-TODAY(),0),0))</f>
        <v/>
      </c>
      <c r="J52" s="14" t="n"/>
      <c r="K52" s="14" t="n"/>
      <c r="L52" s="14" t="n"/>
    </row>
    <row r="53" ht="22" customHeight="1">
      <c r="B53" s="17">
        <f>IF(C53="","DOC-"&amp;TEXT(COUNTA($C$5:C53),"000"))</f>
        <v/>
      </c>
      <c r="C53" s="12" t="n"/>
      <c r="D53" s="12" t="n"/>
      <c r="E53" s="12" t="n"/>
      <c r="F53" s="12" t="n"/>
      <c r="G53" s="27" t="n"/>
      <c r="H53" s="27" t="n"/>
      <c r="I53" s="34">
        <f>IF(H53="","",IFERROR(MAX(H53-TODAY(),0),0))</f>
        <v/>
      </c>
      <c r="J53" s="12" t="n"/>
      <c r="K53" s="12" t="n"/>
      <c r="L53" s="12" t="n"/>
    </row>
    <row r="54" ht="22" customHeight="1">
      <c r="B54" s="16">
        <f>IF(C54="","DOC-"&amp;TEXT(COUNTA($C$5:C54),"000"))</f>
        <v/>
      </c>
      <c r="C54" s="14" t="n"/>
      <c r="D54" s="14" t="n"/>
      <c r="E54" s="14" t="n"/>
      <c r="F54" s="14" t="n"/>
      <c r="G54" s="28" t="n"/>
      <c r="H54" s="28" t="n"/>
      <c r="I54" s="35">
        <f>IF(H54="","",IFERROR(MAX(H54-TODAY(),0),0))</f>
        <v/>
      </c>
      <c r="J54" s="14" t="n"/>
      <c r="K54" s="14" t="n"/>
      <c r="L54" s="14" t="n"/>
    </row>
    <row r="55" ht="22" customHeight="1">
      <c r="B55" s="17">
        <f>IF(C55="","DOC-"&amp;TEXT(COUNTA($C$5:C55),"000"))</f>
        <v/>
      </c>
      <c r="C55" s="12" t="n"/>
      <c r="D55" s="12" t="n"/>
      <c r="E55" s="12" t="n"/>
      <c r="F55" s="12" t="n"/>
      <c r="G55" s="27" t="n"/>
      <c r="H55" s="27" t="n"/>
      <c r="I55" s="34">
        <f>IF(H55="","",IFERROR(MAX(H55-TODAY(),0),0))</f>
        <v/>
      </c>
      <c r="J55" s="12" t="n"/>
      <c r="K55" s="12" t="n"/>
      <c r="L55" s="12" t="n"/>
    </row>
    <row r="56" ht="22" customHeight="1">
      <c r="B56" s="16">
        <f>IF(C56="","DOC-"&amp;TEXT(COUNTA($C$5:C56),"000"))</f>
        <v/>
      </c>
      <c r="C56" s="14" t="n"/>
      <c r="D56" s="14" t="n"/>
      <c r="E56" s="14" t="n"/>
      <c r="F56" s="14" t="n"/>
      <c r="G56" s="28" t="n"/>
      <c r="H56" s="28" t="n"/>
      <c r="I56" s="35">
        <f>IF(H56="","",IFERROR(MAX(H56-TODAY(),0),0))</f>
        <v/>
      </c>
      <c r="J56" s="14" t="n"/>
      <c r="K56" s="14" t="n"/>
      <c r="L56" s="14" t="n"/>
    </row>
    <row r="57" ht="22" customHeight="1">
      <c r="B57" s="17">
        <f>IF(C57="","DOC-"&amp;TEXT(COUNTA($C$5:C57),"000"))</f>
        <v/>
      </c>
      <c r="C57" s="12" t="n"/>
      <c r="D57" s="12" t="n"/>
      <c r="E57" s="12" t="n"/>
      <c r="F57" s="12" t="n"/>
      <c r="G57" s="27" t="n"/>
      <c r="H57" s="27" t="n"/>
      <c r="I57" s="34">
        <f>IF(H57="","",IFERROR(MAX(H57-TODAY(),0),0))</f>
        <v/>
      </c>
      <c r="J57" s="12" t="n"/>
      <c r="K57" s="12" t="n"/>
      <c r="L57" s="12" t="n"/>
    </row>
    <row r="58" ht="22" customHeight="1">
      <c r="B58" s="16">
        <f>IF(C58="","DOC-"&amp;TEXT(COUNTA($C$5:C58),"000"))</f>
        <v/>
      </c>
      <c r="C58" s="14" t="n"/>
      <c r="D58" s="14" t="n"/>
      <c r="E58" s="14" t="n"/>
      <c r="F58" s="14" t="n"/>
      <c r="G58" s="28" t="n"/>
      <c r="H58" s="28" t="n"/>
      <c r="I58" s="35">
        <f>IF(H58="","",IFERROR(MAX(H58-TODAY(),0),0))</f>
        <v/>
      </c>
      <c r="J58" s="14" t="n"/>
      <c r="K58" s="14" t="n"/>
      <c r="L58" s="14" t="n"/>
    </row>
    <row r="59" ht="22" customHeight="1">
      <c r="B59" s="17">
        <f>IF(C59="","DOC-"&amp;TEXT(COUNTA($C$5:C59),"000"))</f>
        <v/>
      </c>
      <c r="C59" s="12" t="n"/>
      <c r="D59" s="12" t="n"/>
      <c r="E59" s="12" t="n"/>
      <c r="F59" s="12" t="n"/>
      <c r="G59" s="27" t="n"/>
      <c r="H59" s="27" t="n"/>
      <c r="I59" s="34">
        <f>IF(H59="","",IFERROR(MAX(H59-TODAY(),0),0))</f>
        <v/>
      </c>
      <c r="J59" s="12" t="n"/>
      <c r="K59" s="12" t="n"/>
      <c r="L59" s="12" t="n"/>
    </row>
    <row r="60" ht="22" customHeight="1">
      <c r="B60" s="16">
        <f>IF(C60="","DOC-"&amp;TEXT(COUNTA($C$5:C60),"000"))</f>
        <v/>
      </c>
      <c r="C60" s="14" t="n"/>
      <c r="D60" s="14" t="n"/>
      <c r="E60" s="14" t="n"/>
      <c r="F60" s="14" t="n"/>
      <c r="G60" s="28" t="n"/>
      <c r="H60" s="28" t="n"/>
      <c r="I60" s="35">
        <f>IF(H60="","",IFERROR(MAX(H60-TODAY(),0),0))</f>
        <v/>
      </c>
      <c r="J60" s="14" t="n"/>
      <c r="K60" s="14" t="n"/>
      <c r="L60" s="14" t="n"/>
    </row>
    <row r="61" ht="22" customHeight="1">
      <c r="B61" s="17">
        <f>IF(C61="","DOC-"&amp;TEXT(COUNTA($C$5:C61),"000"))</f>
        <v/>
      </c>
      <c r="C61" s="12" t="n"/>
      <c r="D61" s="12" t="n"/>
      <c r="E61" s="12" t="n"/>
      <c r="F61" s="12" t="n"/>
      <c r="G61" s="27" t="n"/>
      <c r="H61" s="27" t="n"/>
      <c r="I61" s="34">
        <f>IF(H61="","",IFERROR(MAX(H61-TODAY(),0),0))</f>
        <v/>
      </c>
      <c r="J61" s="12" t="n"/>
      <c r="K61" s="12" t="n"/>
      <c r="L61" s="12" t="n"/>
    </row>
    <row r="62" ht="22" customHeight="1">
      <c r="B62" s="16">
        <f>IF(C62="","DOC-"&amp;TEXT(COUNTA($C$5:C62),"000"))</f>
        <v/>
      </c>
      <c r="C62" s="14" t="n"/>
      <c r="D62" s="14" t="n"/>
      <c r="E62" s="14" t="n"/>
      <c r="F62" s="14" t="n"/>
      <c r="G62" s="28" t="n"/>
      <c r="H62" s="28" t="n"/>
      <c r="I62" s="35">
        <f>IF(H62="","",IFERROR(MAX(H62-TODAY(),0),0))</f>
        <v/>
      </c>
      <c r="J62" s="14" t="n"/>
      <c r="K62" s="14" t="n"/>
      <c r="L62" s="14" t="n"/>
    </row>
    <row r="63" ht="22" customHeight="1">
      <c r="B63" s="17">
        <f>IF(C63="","DOC-"&amp;TEXT(COUNTA($C$5:C63),"000"))</f>
        <v/>
      </c>
      <c r="C63" s="12" t="n"/>
      <c r="D63" s="12" t="n"/>
      <c r="E63" s="12" t="n"/>
      <c r="F63" s="12" t="n"/>
      <c r="G63" s="27" t="n"/>
      <c r="H63" s="27" t="n"/>
      <c r="I63" s="34">
        <f>IF(H63="","",IFERROR(MAX(H63-TODAY(),0),0))</f>
        <v/>
      </c>
      <c r="J63" s="12" t="n"/>
      <c r="K63" s="12" t="n"/>
      <c r="L63" s="12" t="n"/>
    </row>
    <row r="64" ht="22" customHeight="1">
      <c r="B64" s="16">
        <f>IF(C64="","DOC-"&amp;TEXT(COUNTA($C$5:C64),"000"))</f>
        <v/>
      </c>
      <c r="C64" s="14" t="n"/>
      <c r="D64" s="14" t="n"/>
      <c r="E64" s="14" t="n"/>
      <c r="F64" s="14" t="n"/>
      <c r="G64" s="28" t="n"/>
      <c r="H64" s="28" t="n"/>
      <c r="I64" s="35">
        <f>IF(H64="","",IFERROR(MAX(H64-TODAY(),0),0))</f>
        <v/>
      </c>
      <c r="J64" s="14" t="n"/>
      <c r="K64" s="14" t="n"/>
      <c r="L64" s="14" t="n"/>
    </row>
    <row r="65" ht="22" customHeight="1">
      <c r="B65" s="17">
        <f>IF(C65="","DOC-"&amp;TEXT(COUNTA($C$5:C65),"000"))</f>
        <v/>
      </c>
      <c r="C65" s="12" t="n"/>
      <c r="D65" s="12" t="n"/>
      <c r="E65" s="12" t="n"/>
      <c r="F65" s="12" t="n"/>
      <c r="G65" s="27" t="n"/>
      <c r="H65" s="27" t="n"/>
      <c r="I65" s="34">
        <f>IF(H65="","",IFERROR(MAX(H65-TODAY(),0),0))</f>
        <v/>
      </c>
      <c r="J65" s="12" t="n"/>
      <c r="K65" s="12" t="n"/>
      <c r="L65" s="12" t="n"/>
    </row>
    <row r="66" ht="22" customHeight="1">
      <c r="B66" s="16">
        <f>IF(C66="","DOC-"&amp;TEXT(COUNTA($C$5:C66),"000"))</f>
        <v/>
      </c>
      <c r="C66" s="14" t="n"/>
      <c r="D66" s="14" t="n"/>
      <c r="E66" s="14" t="n"/>
      <c r="F66" s="14" t="n"/>
      <c r="G66" s="28" t="n"/>
      <c r="H66" s="28" t="n"/>
      <c r="I66" s="35">
        <f>IF(H66="","",IFERROR(MAX(H66-TODAY(),0),0))</f>
        <v/>
      </c>
      <c r="J66" s="14" t="n"/>
      <c r="K66" s="14" t="n"/>
      <c r="L66" s="14" t="n"/>
    </row>
    <row r="67" ht="22" customHeight="1">
      <c r="B67" s="17">
        <f>IF(C67="","DOC-"&amp;TEXT(COUNTA($C$5:C67),"000"))</f>
        <v/>
      </c>
      <c r="C67" s="12" t="n"/>
      <c r="D67" s="12" t="n"/>
      <c r="E67" s="12" t="n"/>
      <c r="F67" s="12" t="n"/>
      <c r="G67" s="27" t="n"/>
      <c r="H67" s="27" t="n"/>
      <c r="I67" s="34">
        <f>IF(H67="","",IFERROR(MAX(H67-TODAY(),0),0))</f>
        <v/>
      </c>
      <c r="J67" s="12" t="n"/>
      <c r="K67" s="12" t="n"/>
      <c r="L67" s="12" t="n"/>
    </row>
    <row r="68" ht="22" customHeight="1">
      <c r="B68" s="16">
        <f>IF(C68="","DOC-"&amp;TEXT(COUNTA($C$5:C68),"000"))</f>
        <v/>
      </c>
      <c r="C68" s="14" t="n"/>
      <c r="D68" s="14" t="n"/>
      <c r="E68" s="14" t="n"/>
      <c r="F68" s="14" t="n"/>
      <c r="G68" s="28" t="n"/>
      <c r="H68" s="28" t="n"/>
      <c r="I68" s="35">
        <f>IF(H68="","",IFERROR(MAX(H68-TODAY(),0),0))</f>
        <v/>
      </c>
      <c r="J68" s="14" t="n"/>
      <c r="K68" s="14" t="n"/>
      <c r="L68" s="14" t="n"/>
    </row>
    <row r="69" ht="22" customHeight="1">
      <c r="B69" s="17">
        <f>IF(C69="","DOC-"&amp;TEXT(COUNTA($C$5:C69),"000"))</f>
        <v/>
      </c>
      <c r="C69" s="12" t="n"/>
      <c r="D69" s="12" t="n"/>
      <c r="E69" s="12" t="n"/>
      <c r="F69" s="12" t="n"/>
      <c r="G69" s="27" t="n"/>
      <c r="H69" s="27" t="n"/>
      <c r="I69" s="34">
        <f>IF(H69="","",IFERROR(MAX(H69-TODAY(),0),0))</f>
        <v/>
      </c>
      <c r="J69" s="12" t="n"/>
      <c r="K69" s="12" t="n"/>
      <c r="L69" s="12" t="n"/>
    </row>
    <row r="70" ht="22" customHeight="1">
      <c r="B70" s="16">
        <f>IF(C70="","DOC-"&amp;TEXT(COUNTA($C$5:C70),"000"))</f>
        <v/>
      </c>
      <c r="C70" s="14" t="n"/>
      <c r="D70" s="14" t="n"/>
      <c r="E70" s="14" t="n"/>
      <c r="F70" s="14" t="n"/>
      <c r="G70" s="28" t="n"/>
      <c r="H70" s="28" t="n"/>
      <c r="I70" s="35">
        <f>IF(H70="","",IFERROR(MAX(H70-TODAY(),0),0))</f>
        <v/>
      </c>
      <c r="J70" s="14" t="n"/>
      <c r="K70" s="14" t="n"/>
      <c r="L70" s="14" t="n"/>
    </row>
    <row r="71" ht="22" customHeight="1">
      <c r="B71" s="17">
        <f>IF(C71="","DOC-"&amp;TEXT(COUNTA($C$5:C71),"000"))</f>
        <v/>
      </c>
      <c r="C71" s="12" t="n"/>
      <c r="D71" s="12" t="n"/>
      <c r="E71" s="12" t="n"/>
      <c r="F71" s="12" t="n"/>
      <c r="G71" s="27" t="n"/>
      <c r="H71" s="27" t="n"/>
      <c r="I71" s="34">
        <f>IF(H71="","",IFERROR(MAX(H71-TODAY(),0),0))</f>
        <v/>
      </c>
      <c r="J71" s="12" t="n"/>
      <c r="K71" s="12" t="n"/>
      <c r="L71" s="12" t="n"/>
    </row>
    <row r="72" ht="22" customHeight="1">
      <c r="B72" s="16">
        <f>IF(C72="","DOC-"&amp;TEXT(COUNTA($C$5:C72),"000"))</f>
        <v/>
      </c>
      <c r="C72" s="14" t="n"/>
      <c r="D72" s="14" t="n"/>
      <c r="E72" s="14" t="n"/>
      <c r="F72" s="14" t="n"/>
      <c r="G72" s="28" t="n"/>
      <c r="H72" s="28" t="n"/>
      <c r="I72" s="35">
        <f>IF(H72="","",IFERROR(MAX(H72-TODAY(),0),0))</f>
        <v/>
      </c>
      <c r="J72" s="14" t="n"/>
      <c r="K72" s="14" t="n"/>
      <c r="L72" s="14" t="n"/>
    </row>
    <row r="73" ht="22" customHeight="1">
      <c r="B73" s="17">
        <f>IF(C73="","DOC-"&amp;TEXT(COUNTA($C$5:C73),"000"))</f>
        <v/>
      </c>
      <c r="C73" s="12" t="n"/>
      <c r="D73" s="12" t="n"/>
      <c r="E73" s="12" t="n"/>
      <c r="F73" s="12" t="n"/>
      <c r="G73" s="27" t="n"/>
      <c r="H73" s="27" t="n"/>
      <c r="I73" s="34">
        <f>IF(H73="","",IFERROR(MAX(H73-TODAY(),0),0))</f>
        <v/>
      </c>
      <c r="J73" s="12" t="n"/>
      <c r="K73" s="12" t="n"/>
      <c r="L73" s="12" t="n"/>
    </row>
    <row r="74" ht="22" customHeight="1">
      <c r="B74" s="16">
        <f>IF(C74="","DOC-"&amp;TEXT(COUNTA($C$5:C74),"000"))</f>
        <v/>
      </c>
      <c r="C74" s="14" t="n"/>
      <c r="D74" s="14" t="n"/>
      <c r="E74" s="14" t="n"/>
      <c r="F74" s="14" t="n"/>
      <c r="G74" s="28" t="n"/>
      <c r="H74" s="28" t="n"/>
      <c r="I74" s="35">
        <f>IF(H74="","",IFERROR(MAX(H74-TODAY(),0),0))</f>
        <v/>
      </c>
      <c r="J74" s="14" t="n"/>
      <c r="K74" s="14" t="n"/>
      <c r="L74" s="14" t="n"/>
    </row>
    <row r="75" ht="22" customHeight="1">
      <c r="B75" s="17">
        <f>IF(C75="","DOC-"&amp;TEXT(COUNTA($C$5:C75),"000"))</f>
        <v/>
      </c>
      <c r="C75" s="12" t="n"/>
      <c r="D75" s="12" t="n"/>
      <c r="E75" s="12" t="n"/>
      <c r="F75" s="12" t="n"/>
      <c r="G75" s="27" t="n"/>
      <c r="H75" s="27" t="n"/>
      <c r="I75" s="34">
        <f>IF(H75="","",IFERROR(MAX(H75-TODAY(),0),0))</f>
        <v/>
      </c>
      <c r="J75" s="12" t="n"/>
      <c r="K75" s="12" t="n"/>
      <c r="L75" s="12" t="n"/>
    </row>
    <row r="76" ht="22" customHeight="1">
      <c r="B76" s="16">
        <f>IF(C76="","DOC-"&amp;TEXT(COUNTA($C$5:C76),"000"))</f>
        <v/>
      </c>
      <c r="C76" s="14" t="n"/>
      <c r="D76" s="14" t="n"/>
      <c r="E76" s="14" t="n"/>
      <c r="F76" s="14" t="n"/>
      <c r="G76" s="28" t="n"/>
      <c r="H76" s="28" t="n"/>
      <c r="I76" s="35">
        <f>IF(H76="","",IFERROR(MAX(H76-TODAY(),0),0))</f>
        <v/>
      </c>
      <c r="J76" s="14" t="n"/>
      <c r="K76" s="14" t="n"/>
      <c r="L76" s="14" t="n"/>
    </row>
    <row r="77" ht="22" customHeight="1">
      <c r="B77" s="17">
        <f>IF(C77="","DOC-"&amp;TEXT(COUNTA($C$5:C77),"000"))</f>
        <v/>
      </c>
      <c r="C77" s="12" t="n"/>
      <c r="D77" s="12" t="n"/>
      <c r="E77" s="12" t="n"/>
      <c r="F77" s="12" t="n"/>
      <c r="G77" s="27" t="n"/>
      <c r="H77" s="27" t="n"/>
      <c r="I77" s="34">
        <f>IF(H77="","",IFERROR(MAX(H77-TODAY(),0),0))</f>
        <v/>
      </c>
      <c r="J77" s="12" t="n"/>
      <c r="K77" s="12" t="n"/>
      <c r="L77" s="12" t="n"/>
    </row>
    <row r="78" ht="22" customHeight="1">
      <c r="B78" s="16">
        <f>IF(C78="","DOC-"&amp;TEXT(COUNTA($C$5:C78),"000"))</f>
        <v/>
      </c>
      <c r="C78" s="14" t="n"/>
      <c r="D78" s="14" t="n"/>
      <c r="E78" s="14" t="n"/>
      <c r="F78" s="14" t="n"/>
      <c r="G78" s="28" t="n"/>
      <c r="H78" s="28" t="n"/>
      <c r="I78" s="35">
        <f>IF(H78="","",IFERROR(MAX(H78-TODAY(),0),0))</f>
        <v/>
      </c>
      <c r="J78" s="14" t="n"/>
      <c r="K78" s="14" t="n"/>
      <c r="L78" s="14" t="n"/>
    </row>
    <row r="79" ht="22" customHeight="1">
      <c r="B79" s="17">
        <f>IF(C79="","DOC-"&amp;TEXT(COUNTA($C$5:C79),"000"))</f>
        <v/>
      </c>
      <c r="C79" s="12" t="n"/>
      <c r="D79" s="12" t="n"/>
      <c r="E79" s="12" t="n"/>
      <c r="F79" s="12" t="n"/>
      <c r="G79" s="27" t="n"/>
      <c r="H79" s="27" t="n"/>
      <c r="I79" s="34">
        <f>IF(H79="","",IFERROR(MAX(H79-TODAY(),0),0))</f>
        <v/>
      </c>
      <c r="J79" s="12" t="n"/>
      <c r="K79" s="12" t="n"/>
      <c r="L79" s="12" t="n"/>
    </row>
    <row r="80" ht="22" customHeight="1">
      <c r="B80" s="16">
        <f>IF(C80="","DOC-"&amp;TEXT(COUNTA($C$5:C80),"000"))</f>
        <v/>
      </c>
      <c r="C80" s="14" t="n"/>
      <c r="D80" s="14" t="n"/>
      <c r="E80" s="14" t="n"/>
      <c r="F80" s="14" t="n"/>
      <c r="G80" s="28" t="n"/>
      <c r="H80" s="28" t="n"/>
      <c r="I80" s="35">
        <f>IF(H80="","",IFERROR(MAX(H80-TODAY(),0),0))</f>
        <v/>
      </c>
      <c r="J80" s="14" t="n"/>
      <c r="K80" s="14" t="n"/>
      <c r="L80" s="14" t="n"/>
    </row>
    <row r="81" ht="22" customHeight="1">
      <c r="B81" s="17">
        <f>IF(C81="","DOC-"&amp;TEXT(COUNTA($C$5:C81),"000"))</f>
        <v/>
      </c>
      <c r="C81" s="12" t="n"/>
      <c r="D81" s="12" t="n"/>
      <c r="E81" s="12" t="n"/>
      <c r="F81" s="12" t="n"/>
      <c r="G81" s="27" t="n"/>
      <c r="H81" s="27" t="n"/>
      <c r="I81" s="34">
        <f>IF(H81="","",IFERROR(MAX(H81-TODAY(),0),0))</f>
        <v/>
      </c>
      <c r="J81" s="12" t="n"/>
      <c r="K81" s="12" t="n"/>
      <c r="L81" s="12" t="n"/>
    </row>
    <row r="82" ht="22" customHeight="1">
      <c r="B82" s="16">
        <f>IF(C82="","DOC-"&amp;TEXT(COUNTA($C$5:C82),"000"))</f>
        <v/>
      </c>
      <c r="C82" s="14" t="n"/>
      <c r="D82" s="14" t="n"/>
      <c r="E82" s="14" t="n"/>
      <c r="F82" s="14" t="n"/>
      <c r="G82" s="28" t="n"/>
      <c r="H82" s="28" t="n"/>
      <c r="I82" s="35">
        <f>IF(H82="","",IFERROR(MAX(H82-TODAY(),0),0))</f>
        <v/>
      </c>
      <c r="J82" s="14" t="n"/>
      <c r="K82" s="14" t="n"/>
      <c r="L82" s="14" t="n"/>
    </row>
    <row r="83" ht="22" customHeight="1">
      <c r="B83" s="17">
        <f>IF(C83="","DOC-"&amp;TEXT(COUNTA($C$5:C83),"000"))</f>
        <v/>
      </c>
      <c r="C83" s="12" t="n"/>
      <c r="D83" s="12" t="n"/>
      <c r="E83" s="12" t="n"/>
      <c r="F83" s="12" t="n"/>
      <c r="G83" s="27" t="n"/>
      <c r="H83" s="27" t="n"/>
      <c r="I83" s="34">
        <f>IF(H83="","",IFERROR(MAX(H83-TODAY(),0),0))</f>
        <v/>
      </c>
      <c r="J83" s="12" t="n"/>
      <c r="K83" s="12" t="n"/>
      <c r="L83" s="12" t="n"/>
    </row>
    <row r="84" ht="22" customHeight="1">
      <c r="B84" s="16">
        <f>IF(C84="","DOC-"&amp;TEXT(COUNTA($C$5:C84),"000"))</f>
        <v/>
      </c>
      <c r="C84" s="14" t="n"/>
      <c r="D84" s="14" t="n"/>
      <c r="E84" s="14" t="n"/>
      <c r="F84" s="14" t="n"/>
      <c r="G84" s="28" t="n"/>
      <c r="H84" s="28" t="n"/>
      <c r="I84" s="35">
        <f>IF(H84="","",IFERROR(MAX(H84-TODAY(),0),0))</f>
        <v/>
      </c>
      <c r="J84" s="14" t="n"/>
      <c r="K84" s="14" t="n"/>
      <c r="L84" s="14" t="n"/>
    </row>
    <row r="85" ht="22" customHeight="1">
      <c r="B85" s="17">
        <f>IF(C85="","DOC-"&amp;TEXT(COUNTA($C$5:C85),"000"))</f>
        <v/>
      </c>
      <c r="C85" s="12" t="n"/>
      <c r="D85" s="12" t="n"/>
      <c r="E85" s="12" t="n"/>
      <c r="F85" s="12" t="n"/>
      <c r="G85" s="27" t="n"/>
      <c r="H85" s="27" t="n"/>
      <c r="I85" s="34">
        <f>IF(H85="","",IFERROR(MAX(H85-TODAY(),0),0))</f>
        <v/>
      </c>
      <c r="J85" s="12" t="n"/>
      <c r="K85" s="12" t="n"/>
      <c r="L85" s="12" t="n"/>
    </row>
    <row r="86" ht="22" customHeight="1">
      <c r="B86" s="16">
        <f>IF(C86="","DOC-"&amp;TEXT(COUNTA($C$5:C86),"000"))</f>
        <v/>
      </c>
      <c r="C86" s="14" t="n"/>
      <c r="D86" s="14" t="n"/>
      <c r="E86" s="14" t="n"/>
      <c r="F86" s="14" t="n"/>
      <c r="G86" s="28" t="n"/>
      <c r="H86" s="28" t="n"/>
      <c r="I86" s="35">
        <f>IF(H86="","",IFERROR(MAX(H86-TODAY(),0),0))</f>
        <v/>
      </c>
      <c r="J86" s="14" t="n"/>
      <c r="K86" s="14" t="n"/>
      <c r="L86" s="14" t="n"/>
    </row>
    <row r="87" ht="22" customHeight="1">
      <c r="B87" s="17">
        <f>IF(C87="","DOC-"&amp;TEXT(COUNTA($C$5:C87),"000"))</f>
        <v/>
      </c>
      <c r="C87" s="12" t="n"/>
      <c r="D87" s="12" t="n"/>
      <c r="E87" s="12" t="n"/>
      <c r="F87" s="12" t="n"/>
      <c r="G87" s="27" t="n"/>
      <c r="H87" s="27" t="n"/>
      <c r="I87" s="34">
        <f>IF(H87="","",IFERROR(MAX(H87-TODAY(),0),0))</f>
        <v/>
      </c>
      <c r="J87" s="12" t="n"/>
      <c r="K87" s="12" t="n"/>
      <c r="L87" s="12" t="n"/>
    </row>
    <row r="88" ht="22" customHeight="1">
      <c r="B88" s="16">
        <f>IF(C88="","DOC-"&amp;TEXT(COUNTA($C$5:C88),"000"))</f>
        <v/>
      </c>
      <c r="C88" s="14" t="n"/>
      <c r="D88" s="14" t="n"/>
      <c r="E88" s="14" t="n"/>
      <c r="F88" s="14" t="n"/>
      <c r="G88" s="28" t="n"/>
      <c r="H88" s="28" t="n"/>
      <c r="I88" s="35">
        <f>IF(H88="","",IFERROR(MAX(H88-TODAY(),0),0))</f>
        <v/>
      </c>
      <c r="J88" s="14" t="n"/>
      <c r="K88" s="14" t="n"/>
      <c r="L88" s="14" t="n"/>
    </row>
    <row r="89" ht="22" customHeight="1">
      <c r="B89" s="17">
        <f>IF(C89="","DOC-"&amp;TEXT(COUNTA($C$5:C89),"000"))</f>
        <v/>
      </c>
      <c r="C89" s="12" t="n"/>
      <c r="D89" s="12" t="n"/>
      <c r="E89" s="12" t="n"/>
      <c r="F89" s="12" t="n"/>
      <c r="G89" s="27" t="n"/>
      <c r="H89" s="27" t="n"/>
      <c r="I89" s="34">
        <f>IF(H89="","",IFERROR(MAX(H89-TODAY(),0),0))</f>
        <v/>
      </c>
      <c r="J89" s="12" t="n"/>
      <c r="K89" s="12" t="n"/>
      <c r="L89" s="12" t="n"/>
    </row>
    <row r="90" ht="22" customHeight="1">
      <c r="B90" s="16">
        <f>IF(C90="","DOC-"&amp;TEXT(COUNTA($C$5:C90),"000"))</f>
        <v/>
      </c>
      <c r="C90" s="14" t="n"/>
      <c r="D90" s="14" t="n"/>
      <c r="E90" s="14" t="n"/>
      <c r="F90" s="14" t="n"/>
      <c r="G90" s="28" t="n"/>
      <c r="H90" s="28" t="n"/>
      <c r="I90" s="35">
        <f>IF(H90="","",IFERROR(MAX(H90-TODAY(),0),0))</f>
        <v/>
      </c>
      <c r="J90" s="14" t="n"/>
      <c r="K90" s="14" t="n"/>
      <c r="L90" s="14" t="n"/>
    </row>
    <row r="91" ht="22" customHeight="1">
      <c r="B91" s="17">
        <f>IF(C91="","DOC-"&amp;TEXT(COUNTA($C$5:C91),"000"))</f>
        <v/>
      </c>
      <c r="C91" s="12" t="n"/>
      <c r="D91" s="12" t="n"/>
      <c r="E91" s="12" t="n"/>
      <c r="F91" s="12" t="n"/>
      <c r="G91" s="27" t="n"/>
      <c r="H91" s="27" t="n"/>
      <c r="I91" s="34">
        <f>IF(H91="","",IFERROR(MAX(H91-TODAY(),0),0))</f>
        <v/>
      </c>
      <c r="J91" s="12" t="n"/>
      <c r="K91" s="12" t="n"/>
      <c r="L91" s="12" t="n"/>
    </row>
    <row r="92" ht="22" customHeight="1">
      <c r="B92" s="16">
        <f>IF(C92="","DOC-"&amp;TEXT(COUNTA($C$5:C92),"000"))</f>
        <v/>
      </c>
      <c r="C92" s="14" t="n"/>
      <c r="D92" s="14" t="n"/>
      <c r="E92" s="14" t="n"/>
      <c r="F92" s="14" t="n"/>
      <c r="G92" s="28" t="n"/>
      <c r="H92" s="28" t="n"/>
      <c r="I92" s="35">
        <f>IF(H92="","",IFERROR(MAX(H92-TODAY(),0),0))</f>
        <v/>
      </c>
      <c r="J92" s="14" t="n"/>
      <c r="K92" s="14" t="n"/>
      <c r="L92" s="14" t="n"/>
    </row>
    <row r="93" ht="22" customHeight="1">
      <c r="B93" s="17">
        <f>IF(C93="","DOC-"&amp;TEXT(COUNTA($C$5:C93),"000"))</f>
        <v/>
      </c>
      <c r="C93" s="12" t="n"/>
      <c r="D93" s="12" t="n"/>
      <c r="E93" s="12" t="n"/>
      <c r="F93" s="12" t="n"/>
      <c r="G93" s="27" t="n"/>
      <c r="H93" s="27" t="n"/>
      <c r="I93" s="34">
        <f>IF(H93="","",IFERROR(MAX(H93-TODAY(),0),0))</f>
        <v/>
      </c>
      <c r="J93" s="12" t="n"/>
      <c r="K93" s="12" t="n"/>
      <c r="L93" s="12" t="n"/>
    </row>
    <row r="94" ht="22" customHeight="1">
      <c r="B94" s="16">
        <f>IF(C94="","DOC-"&amp;TEXT(COUNTA($C$5:C94),"000"))</f>
        <v/>
      </c>
      <c r="C94" s="14" t="n"/>
      <c r="D94" s="14" t="n"/>
      <c r="E94" s="14" t="n"/>
      <c r="F94" s="14" t="n"/>
      <c r="G94" s="28" t="n"/>
      <c r="H94" s="28" t="n"/>
      <c r="I94" s="35">
        <f>IF(H94="","",IFERROR(MAX(H94-TODAY(),0),0))</f>
        <v/>
      </c>
      <c r="J94" s="14" t="n"/>
      <c r="K94" s="14" t="n"/>
      <c r="L94" s="14" t="n"/>
    </row>
    <row r="95" ht="22" customHeight="1">
      <c r="B95" s="17">
        <f>IF(C95="","DOC-"&amp;TEXT(COUNTA($C$5:C95),"000"))</f>
        <v/>
      </c>
      <c r="C95" s="12" t="n"/>
      <c r="D95" s="12" t="n"/>
      <c r="E95" s="12" t="n"/>
      <c r="F95" s="12" t="n"/>
      <c r="G95" s="27" t="n"/>
      <c r="H95" s="27" t="n"/>
      <c r="I95" s="34">
        <f>IF(H95="","",IFERROR(MAX(H95-TODAY(),0),0))</f>
        <v/>
      </c>
      <c r="J95" s="12" t="n"/>
      <c r="K95" s="12" t="n"/>
      <c r="L95" s="12" t="n"/>
    </row>
    <row r="96" ht="22" customHeight="1">
      <c r="B96" s="16">
        <f>IF(C96="","DOC-"&amp;TEXT(COUNTA($C$5:C96),"000"))</f>
        <v/>
      </c>
      <c r="C96" s="14" t="n"/>
      <c r="D96" s="14" t="n"/>
      <c r="E96" s="14" t="n"/>
      <c r="F96" s="14" t="n"/>
      <c r="G96" s="28" t="n"/>
      <c r="H96" s="28" t="n"/>
      <c r="I96" s="35">
        <f>IF(H96="","",IFERROR(MAX(H96-TODAY(),0),0))</f>
        <v/>
      </c>
      <c r="J96" s="14" t="n"/>
      <c r="K96" s="14" t="n"/>
      <c r="L96" s="14" t="n"/>
    </row>
    <row r="97" ht="22" customHeight="1">
      <c r="B97" s="17">
        <f>IF(C97="","DOC-"&amp;TEXT(COUNTA($C$5:C97),"000"))</f>
        <v/>
      </c>
      <c r="C97" s="12" t="n"/>
      <c r="D97" s="12" t="n"/>
      <c r="E97" s="12" t="n"/>
      <c r="F97" s="12" t="n"/>
      <c r="G97" s="27" t="n"/>
      <c r="H97" s="27" t="n"/>
      <c r="I97" s="34">
        <f>IF(H97="","",IFERROR(MAX(H97-TODAY(),0),0))</f>
        <v/>
      </c>
      <c r="J97" s="12" t="n"/>
      <c r="K97" s="12" t="n"/>
      <c r="L97" s="12" t="n"/>
    </row>
    <row r="98" ht="22" customHeight="1">
      <c r="B98" s="16">
        <f>IF(C98="","DOC-"&amp;TEXT(COUNTA($C$5:C98),"000"))</f>
        <v/>
      </c>
      <c r="C98" s="14" t="n"/>
      <c r="D98" s="14" t="n"/>
      <c r="E98" s="14" t="n"/>
      <c r="F98" s="14" t="n"/>
      <c r="G98" s="28" t="n"/>
      <c r="H98" s="28" t="n"/>
      <c r="I98" s="35">
        <f>IF(H98="","",IFERROR(MAX(H98-TODAY(),0),0))</f>
        <v/>
      </c>
      <c r="J98" s="14" t="n"/>
      <c r="K98" s="14" t="n"/>
      <c r="L98" s="14" t="n"/>
    </row>
    <row r="99" ht="22" customHeight="1">
      <c r="B99" s="17">
        <f>IF(C99="","DOC-"&amp;TEXT(COUNTA($C$5:C99),"000"))</f>
        <v/>
      </c>
      <c r="C99" s="12" t="n"/>
      <c r="D99" s="12" t="n"/>
      <c r="E99" s="12" t="n"/>
      <c r="F99" s="12" t="n"/>
      <c r="G99" s="27" t="n"/>
      <c r="H99" s="27" t="n"/>
      <c r="I99" s="34">
        <f>IF(H99="","",IFERROR(MAX(H99-TODAY(),0),0))</f>
        <v/>
      </c>
      <c r="J99" s="12" t="n"/>
      <c r="K99" s="12" t="n"/>
      <c r="L99" s="12" t="n"/>
    </row>
    <row r="100" ht="22" customHeight="1">
      <c r="B100" s="16">
        <f>IF(C100="","DOC-"&amp;TEXT(COUNTA($C$5:C100),"000"))</f>
        <v/>
      </c>
      <c r="C100" s="14" t="n"/>
      <c r="D100" s="14" t="n"/>
      <c r="E100" s="14" t="n"/>
      <c r="F100" s="14" t="n"/>
      <c r="G100" s="28" t="n"/>
      <c r="H100" s="28" t="n"/>
      <c r="I100" s="35">
        <f>IF(H100="","",IFERROR(MAX(H100-TODAY(),0),0))</f>
        <v/>
      </c>
      <c r="J100" s="14" t="n"/>
      <c r="K100" s="14" t="n"/>
      <c r="L100" s="14" t="n"/>
    </row>
    <row r="101" ht="22" customHeight="1">
      <c r="B101" s="17">
        <f>IF(C101="","DOC-"&amp;TEXT(COUNTA($C$5:C101),"000"))</f>
        <v/>
      </c>
      <c r="C101" s="12" t="n"/>
      <c r="D101" s="12" t="n"/>
      <c r="E101" s="12" t="n"/>
      <c r="F101" s="12" t="n"/>
      <c r="G101" s="27" t="n"/>
      <c r="H101" s="27" t="n"/>
      <c r="I101" s="34">
        <f>IF(H101="","",IFERROR(MAX(H101-TODAY(),0),0))</f>
        <v/>
      </c>
      <c r="J101" s="12" t="n"/>
      <c r="K101" s="12" t="n"/>
      <c r="L101" s="12" t="n"/>
    </row>
    <row r="102" ht="22" customHeight="1">
      <c r="B102" s="16">
        <f>IF(C102="","DOC-"&amp;TEXT(COUNTA($C$5:C102),"000"))</f>
        <v/>
      </c>
      <c r="C102" s="14" t="n"/>
      <c r="D102" s="14" t="n"/>
      <c r="E102" s="14" t="n"/>
      <c r="F102" s="14" t="n"/>
      <c r="G102" s="28" t="n"/>
      <c r="H102" s="28" t="n"/>
      <c r="I102" s="35">
        <f>IF(H102="","",IFERROR(MAX(H102-TODAY(),0),0))</f>
        <v/>
      </c>
      <c r="J102" s="14" t="n"/>
      <c r="K102" s="14" t="n"/>
      <c r="L102" s="14" t="n"/>
    </row>
    <row r="103" ht="22" customHeight="1">
      <c r="B103" s="17">
        <f>IF(C103="","DOC-"&amp;TEXT(COUNTA($C$5:C103),"000"))</f>
        <v/>
      </c>
      <c r="C103" s="12" t="n"/>
      <c r="D103" s="12" t="n"/>
      <c r="E103" s="12" t="n"/>
      <c r="F103" s="12" t="n"/>
      <c r="G103" s="27" t="n"/>
      <c r="H103" s="27" t="n"/>
      <c r="I103" s="34">
        <f>IF(H103="","",IFERROR(MAX(H103-TODAY(),0),0))</f>
        <v/>
      </c>
      <c r="J103" s="12" t="n"/>
      <c r="K103" s="12" t="n"/>
      <c r="L103" s="12" t="n"/>
    </row>
    <row r="104" ht="22" customHeight="1">
      <c r="B104" s="16">
        <f>IF(C104="","DOC-"&amp;TEXT(COUNTA($C$5:C104),"000"))</f>
        <v/>
      </c>
      <c r="C104" s="14" t="n"/>
      <c r="D104" s="14" t="n"/>
      <c r="E104" s="14" t="n"/>
      <c r="F104" s="14" t="n"/>
      <c r="G104" s="28" t="n"/>
      <c r="H104" s="28" t="n"/>
      <c r="I104" s="35">
        <f>IF(H104="","",IFERROR(MAX(H104-TODAY(),0),0))</f>
        <v/>
      </c>
      <c r="J104" s="14" t="n"/>
      <c r="K104" s="14" t="n"/>
      <c r="L104" s="14" t="n"/>
    </row>
    <row r="105" ht="22" customHeight="1">
      <c r="B105" s="17">
        <f>IF(C105="","DOC-"&amp;TEXT(COUNTA($C$5:C105),"000"))</f>
        <v/>
      </c>
      <c r="C105" s="12" t="n"/>
      <c r="D105" s="12" t="n"/>
      <c r="E105" s="12" t="n"/>
      <c r="F105" s="12" t="n"/>
      <c r="G105" s="27" t="n"/>
      <c r="H105" s="27" t="n"/>
      <c r="J105" s="12" t="n"/>
      <c r="K105" s="12" t="n"/>
      <c r="L105" s="12" t="n"/>
    </row>
    <row r="106" ht="22" customHeight="1">
      <c r="B106" s="16">
        <f>IF(C106="","DOC-"&amp;TEXT(COUNTA($C$5:C106),"000"))</f>
        <v/>
      </c>
      <c r="C106" s="14" t="n"/>
      <c r="D106" s="14" t="n"/>
      <c r="E106" s="14" t="n"/>
      <c r="F106" s="14" t="n"/>
      <c r="G106" s="28" t="n"/>
      <c r="H106" s="28" t="n"/>
      <c r="J106" s="14" t="n"/>
      <c r="K106" s="14" t="n"/>
      <c r="L106" s="14" t="n"/>
    </row>
    <row r="107" ht="22" customHeight="1">
      <c r="B107" s="17">
        <f>IF(C107="","DOC-"&amp;TEXT(COUNTA($C$5:C107),"000"))</f>
        <v/>
      </c>
      <c r="C107" s="12" t="n"/>
      <c r="D107" s="12" t="n"/>
      <c r="E107" s="12" t="n"/>
      <c r="F107" s="12" t="n"/>
      <c r="G107" s="27" t="n"/>
      <c r="H107" s="27" t="n"/>
      <c r="J107" s="12" t="n"/>
      <c r="K107" s="12" t="n"/>
      <c r="L107" s="12" t="n"/>
    </row>
    <row r="108" ht="22" customHeight="1">
      <c r="B108" s="16">
        <f>IF(C108="","DOC-"&amp;TEXT(COUNTA($C$5:C108),"000"))</f>
        <v/>
      </c>
      <c r="C108" s="14" t="n"/>
      <c r="D108" s="14" t="n"/>
      <c r="E108" s="14" t="n"/>
      <c r="F108" s="14" t="n"/>
      <c r="G108" s="28" t="n"/>
      <c r="H108" s="28" t="n"/>
      <c r="J108" s="14" t="n"/>
      <c r="K108" s="14" t="n"/>
      <c r="L108" s="14" t="n"/>
    </row>
    <row r="109" ht="22" customHeight="1">
      <c r="B109" s="17">
        <f>IF(C109="","DOC-"&amp;TEXT(COUNTA($C$5:C109),"000"))</f>
        <v/>
      </c>
      <c r="C109" s="12" t="n"/>
      <c r="D109" s="12" t="n"/>
      <c r="E109" s="12" t="n"/>
      <c r="F109" s="12" t="n"/>
      <c r="G109" s="27" t="n"/>
      <c r="H109" s="27" t="n"/>
      <c r="J109" s="12" t="n"/>
      <c r="K109" s="12" t="n"/>
      <c r="L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Total documents</t>
        </is>
      </c>
      <c r="D112" s="3" t="inlineStr">
        <is>
          <t>Valides</t>
        </is>
      </c>
      <c r="F112" s="3" t="inlineStr">
        <is>
          <t>A renouveler</t>
        </is>
      </c>
      <c r="H112" s="3" t="inlineStr">
        <is>
          <t>Expire</t>
        </is>
      </c>
    </row>
    <row r="113">
      <c r="B113" s="4">
        <f>COUNTIF(B5:B104,"&lt;&gt;")</f>
        <v/>
      </c>
      <c r="D113" s="4">
        <f>COUNTIF(I5:I104,"Valide")</f>
        <v/>
      </c>
      <c r="F113" s="4">
        <f>COUNTIF(I5:I104,"A renouveler")</f>
        <v/>
      </c>
      <c r="H113" s="4">
        <f>COUNTIF(I5:I104,"Expire")</f>
        <v/>
      </c>
    </row>
  </sheetData>
  <mergeCells count="3">
    <mergeCell ref="B111:K111"/>
    <mergeCell ref="B3:K3"/>
    <mergeCell ref="B2:K2"/>
  </mergeCells>
  <conditionalFormatting sqref="I5:I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"Soumise"</formula>
    </cfRule>
    <cfRule type="cellIs" priority="9" operator="equal" dxfId="0">
      <formula>"Traite"</formula>
    </cfRule>
    <cfRule type="cellIs" priority="10" operator="equal" dxfId="0">
      <formula>"Clos"</formula>
    </cfRule>
    <cfRule type="cellIs" priority="11" operator="equal" dxfId="0">
      <formula>"Solde"</formula>
    </cfRule>
    <cfRule type="cellIs" priority="12" operator="equal" dxfId="0">
      <formula>"Pris"</formula>
    </cfRule>
    <cfRule type="cellIs" priority="13" operator="equal" dxfId="1">
      <formula>"En attente"</formula>
    </cfRule>
    <cfRule type="cellIs" priority="14" operator="equal" dxfId="1">
      <formula>"A renouveler"</formula>
    </cfRule>
    <cfRule type="cellIs" priority="15" operator="equal" dxfId="1">
      <formula>"En renouvellement"</formula>
    </cfRule>
    <cfRule type="cellIs" priority="16" operator="equal" dxfId="1">
      <formula>"En cours"</formula>
    </cfRule>
    <cfRule type="cellIs" priority="17" operator="equal" dxfId="1">
      <formula>"En traitement"</formula>
    </cfRule>
    <cfRule type="cellIs" priority="18" operator="equal" dxfId="1">
      <formula>"En retard"</formula>
    </cfRule>
    <cfRule type="cellIs" priority="19" operator="equal" dxfId="1">
      <formula>"Suspendu"</formula>
    </cfRule>
    <cfRule type="cellIs" priority="20" operator="equal" dxfId="1">
      <formula>"A verifier"</formula>
    </cfRule>
    <cfRule type="cellIs" priority="21" operator="equal" dxfId="2">
      <formula>"Expire"</formula>
    </cfRule>
    <cfRule type="cellIs" priority="22" operator="equal" dxfId="2">
      <formula>"Rejete"</formula>
    </cfRule>
    <cfRule type="cellIs" priority="23" operator="equal" dxfId="2">
      <formula>"Rejetee"</formula>
    </cfRule>
    <cfRule type="cellIs" priority="24" operator="equal" dxfId="2">
      <formula>"Resilie"</formula>
    </cfRule>
    <cfRule type="cellIs" priority="25" operator="equal" dxfId="2">
      <formula>"Echu"</formula>
    </cfRule>
    <cfRule type="cellIs" priority="26" operator="equal" dxfId="2">
      <formula>"Refuse"</formula>
    </cfRule>
    <cfRule type="cellIs" priority="27" operator="equal" dxfId="2">
      <formula>"Annulee"</formula>
    </cfRule>
    <cfRule type="cellIs" priority="28" operator="equal" dxfId="2">
      <formula>"Departi"</formula>
    </cfRule>
    <cfRule type="cellIs" priority="29" operator="equal" dxfId="2">
      <formula>"Cloture"</formula>
    </cfRule>
    <cfRule type="cellIs" priority="30" operator="equal" dxfId="2">
      <formula>"Non justifiee"</formula>
    </cfRule>
    <cfRule type="cellIs" priority="31" operator="equal" dxfId="2">
      <formula>"Manquant"</formula>
    </cfRule>
  </conditionalFormatting>
  <conditionalFormatting sqref="B10:B109">
    <cfRule type="expression" priority="32" dxfId="3">
      <formula>AND($C10="",$C9&lt;&gt;"")</formula>
    </cfRule>
  </conditionalFormatting>
  <conditionalFormatting sqref="C10:C109">
    <cfRule type="expression" priority="33" dxfId="3">
      <formula>AND($C10="",$C9&lt;&gt;"")</formula>
    </cfRule>
  </conditionalFormatting>
  <conditionalFormatting sqref="D10:D109">
    <cfRule type="expression" priority="34" dxfId="3">
      <formula>AND($C10="",$C9&lt;&gt;"")</formula>
    </cfRule>
  </conditionalFormatting>
  <conditionalFormatting sqref="E10:E109">
    <cfRule type="expression" priority="35" dxfId="3">
      <formula>AND($C10="",$C9&lt;&gt;"")</formula>
    </cfRule>
  </conditionalFormatting>
  <conditionalFormatting sqref="F10:F109">
    <cfRule type="expression" priority="36" dxfId="3">
      <formula>AND($C10="",$C9&lt;&gt;"")</formula>
    </cfRule>
  </conditionalFormatting>
  <conditionalFormatting sqref="G10:G109">
    <cfRule type="expression" priority="37" dxfId="3">
      <formula>AND($C10="",$C9&lt;&gt;"")</formula>
    </cfRule>
  </conditionalFormatting>
  <conditionalFormatting sqref="H10:H109">
    <cfRule type="expression" priority="38" dxfId="3">
      <formula>AND($C10="",$C9&lt;&gt;"")</formula>
    </cfRule>
  </conditionalFormatting>
  <conditionalFormatting sqref="I10:I109">
    <cfRule type="expression" priority="39" dxfId="3">
      <formula>AND($C10="",$C9&lt;&gt;"")</formula>
    </cfRule>
  </conditionalFormatting>
  <conditionalFormatting sqref="J10:J109">
    <cfRule type="expression" priority="40" dxfId="3">
      <formula>AND($C10="",$C9&lt;&gt;"")</formula>
    </cfRule>
  </conditionalFormatting>
  <conditionalFormatting sqref="K10:K109">
    <cfRule type="expression" priority="41" dxfId="3">
      <formula>AND($C10="",$C9&lt;&gt;"")</formula>
    </cfRule>
  </conditionalFormatting>
  <dataValidations count="3">
    <dataValidation sqref="E5:E109" showDropDown="0" showInputMessage="0" showErrorMessage="0" allowBlank="1" errorTitle="Erreur" error="Valeur invalide" promptTitle="Liste" prompt="Choisir dans la liste" type="list">
      <formula1>'_Lists'!$M$2:$M$16</formula1>
    </dataValidation>
    <dataValidation sqref="I5:I109" showDropDown="0" showInputMessage="0" showErrorMessage="0" allowBlank="1" errorTitle="Erreur" error="Valeur invalide" promptTitle="Liste" prompt="Choisir dans la liste" type="list">
      <formula1>'_Lists'!$N$2:$N$6</formula1>
    </dataValidation>
    <dataValidation sqref="J5:J109" showDropDown="0" showInputMessage="0" showErrorMessage="0" allowBlank="1" errorTitle="Erreur" error="Valeur invalide" promptTitle="Liste" prompt="Choisir dans la liste" type="list">
      <formula1>'_Lists'!$O$2:$O$7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20" customWidth="1" min="4" max="4"/>
    <col width="22" customWidth="1" min="5" max="5"/>
    <col width="20" customWidth="1" min="6" max="6"/>
    <col width="28" customWidth="1" min="7" max="7"/>
    <col width="10" customWidth="1" min="8" max="8"/>
    <col width="12" customWidth="1" min="9" max="9"/>
    <col width="10" customWidth="1" min="10" max="10"/>
  </cols>
  <sheetData>
    <row r="1" ht="15" customHeight="1"/>
    <row r="2" ht="32" customHeight="1">
      <c r="B2" s="1" t="inlineStr">
        <is>
          <t>DONNEES BANCAIRES DU PERSONNEL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Matricule</t>
        </is>
      </c>
      <c r="D4" s="11" t="inlineStr">
        <is>
          <t>Nom Employé</t>
        </is>
      </c>
      <c r="E4" s="11" t="inlineStr">
        <is>
          <t>Banque</t>
        </is>
      </c>
      <c r="F4" s="11" t="inlineStr">
        <is>
          <t>Agence</t>
        </is>
      </c>
      <c r="G4" s="11" t="inlineStr">
        <is>
          <t>RIB</t>
        </is>
      </c>
      <c r="H4" s="11" t="inlineStr">
        <is>
          <t>Compte Principal</t>
        </is>
      </c>
      <c r="I4" s="11" t="inlineStr">
        <is>
          <t>Date Mise à Jour</t>
        </is>
      </c>
      <c r="J4" s="11" t="inlineStr">
        <is>
          <t>Statut</t>
        </is>
      </c>
    </row>
    <row r="5" ht="22" customHeight="1">
      <c r="B5" s="12" t="inlineStr">
        <is>
          <t>BAN-001</t>
        </is>
      </c>
      <c r="C5" s="12" t="inlineStr">
        <is>
          <t>EMP-001</t>
        </is>
      </c>
      <c r="D5" s="12" t="inlineStr">
        <is>
          <t>Nganou Clarisse</t>
        </is>
      </c>
      <c r="E5" s="12" t="inlineStr">
        <is>
          <t>SGBC</t>
        </is>
      </c>
      <c r="F5" s="12" t="inlineStr">
        <is>
          <t>Agence Akwa</t>
        </is>
      </c>
      <c r="G5" s="12" t="inlineStr">
        <is>
          <t>10201 0001 23456789012 76</t>
        </is>
      </c>
      <c r="H5" s="12" t="inlineStr">
        <is>
          <t>Oui</t>
        </is>
      </c>
      <c r="I5" s="27" t="n">
        <v>45444</v>
      </c>
      <c r="J5" s="12" t="inlineStr">
        <is>
          <t>Actif</t>
        </is>
      </c>
    </row>
    <row r="6" ht="22" customHeight="1">
      <c r="B6" s="14" t="inlineStr">
        <is>
          <t>BAN-002</t>
        </is>
      </c>
      <c r="C6" s="14" t="inlineStr">
        <is>
          <t>EMP-002</t>
        </is>
      </c>
      <c r="D6" s="14" t="inlineStr">
        <is>
          <t>Tchinda Armand</t>
        </is>
      </c>
      <c r="E6" s="14" t="inlineStr">
        <is>
          <t>AFRILAND First Bank</t>
        </is>
      </c>
      <c r="F6" s="14" t="inlineStr">
        <is>
          <t>Agence Bonapriso</t>
        </is>
      </c>
      <c r="G6" s="14" t="inlineStr">
        <is>
          <t>20001 0002 34567890123 45</t>
        </is>
      </c>
      <c r="H6" s="14" t="inlineStr">
        <is>
          <t>Oui</t>
        </is>
      </c>
      <c r="I6" s="28" t="n">
        <v>45366</v>
      </c>
      <c r="J6" s="14" t="inlineStr">
        <is>
          <t>Actif</t>
        </is>
      </c>
    </row>
    <row r="7" ht="22" customHeight="1">
      <c r="B7" s="12" t="inlineStr">
        <is>
          <t>BAN-003</t>
        </is>
      </c>
      <c r="C7" s="12" t="inlineStr">
        <is>
          <t>EMP-003</t>
        </is>
      </c>
      <c r="D7" s="12" t="inlineStr">
        <is>
          <t>Fotso Marguerite</t>
        </is>
      </c>
      <c r="E7" s="12" t="inlineStr">
        <is>
          <t>BICEC</t>
        </is>
      </c>
      <c r="F7" s="12" t="inlineStr">
        <is>
          <t>Agence Makepe</t>
        </is>
      </c>
      <c r="G7" s="12" t="inlineStr">
        <is>
          <t>30001 0003 45678901234 89</t>
        </is>
      </c>
      <c r="H7" s="12" t="inlineStr">
        <is>
          <t>Oui</t>
        </is>
      </c>
      <c r="I7" s="27" t="n">
        <v>45250</v>
      </c>
      <c r="J7" s="12" t="inlineStr">
        <is>
          <t>Actif</t>
        </is>
      </c>
    </row>
    <row r="8" ht="22" customHeight="1">
      <c r="B8" s="14" t="inlineStr">
        <is>
          <t>BAN-004</t>
        </is>
      </c>
      <c r="C8" s="14" t="inlineStr">
        <is>
          <t>EMP-004</t>
        </is>
      </c>
      <c r="D8" s="14" t="inlineStr">
        <is>
          <t>Nkoulou Mbarga</t>
        </is>
      </c>
      <c r="E8" s="14" t="inlineStr">
        <is>
          <t>ECOBANK</t>
        </is>
      </c>
      <c r="F8" s="14" t="inlineStr">
        <is>
          <t>Agence Deido</t>
        </is>
      </c>
      <c r="G8" s="14" t="inlineStr">
        <is>
          <t>40001 0004 56789012345 12</t>
        </is>
      </c>
      <c r="H8" s="14" t="inlineStr">
        <is>
          <t>Oui</t>
        </is>
      </c>
      <c r="I8" s="28" t="n">
        <v>45301</v>
      </c>
      <c r="J8" s="14" t="inlineStr">
        <is>
          <t>Actif</t>
        </is>
      </c>
    </row>
    <row r="9" ht="22" customHeight="1">
      <c r="B9" s="12" t="inlineStr">
        <is>
          <t>BAN-005</t>
        </is>
      </c>
      <c r="C9" s="12" t="inlineStr">
        <is>
          <t>EMP-005</t>
        </is>
      </c>
      <c r="D9" s="12" t="inlineStr">
        <is>
          <t>Kamga Paul</t>
        </is>
      </c>
      <c r="E9" s="12" t="inlineStr">
        <is>
          <t>UBA</t>
        </is>
      </c>
      <c r="F9" s="12" t="inlineStr">
        <is>
          <t>Agence Bonaberi</t>
        </is>
      </c>
      <c r="G9" s="12" t="inlineStr">
        <is>
          <t>50001 0005 67890123456 78</t>
        </is>
      </c>
      <c r="H9" s="12" t="inlineStr">
        <is>
          <t>Oui</t>
        </is>
      </c>
      <c r="I9" s="27" t="n">
        <v>45383</v>
      </c>
      <c r="J9" s="12" t="inlineStr">
        <is>
          <t>Actif</t>
        </is>
      </c>
    </row>
    <row r="10" ht="22" customHeight="1">
      <c r="B10" s="16">
        <f>IF(C10="","BAN-"&amp;TEXT(COUNTA($C$5:C10),"000"))</f>
        <v/>
      </c>
      <c r="C10" s="14" t="n"/>
      <c r="D10" s="14" t="n"/>
      <c r="E10" s="14" t="n"/>
      <c r="F10" s="14" t="n"/>
      <c r="G10" s="14" t="n"/>
      <c r="H10" s="14" t="n"/>
      <c r="I10" s="28" t="n"/>
      <c r="J10" s="14" t="n"/>
    </row>
    <row r="11" ht="22" customHeight="1">
      <c r="B11" s="17">
        <f>IF(C11="","BAN-"&amp;TEXT(COUNTA($C$5:C11),"000"))</f>
        <v/>
      </c>
      <c r="C11" s="12" t="n"/>
      <c r="D11" s="12" t="n"/>
      <c r="E11" s="12" t="n"/>
      <c r="F11" s="12" t="n"/>
      <c r="G11" s="12" t="n"/>
      <c r="H11" s="12" t="n"/>
      <c r="I11" s="27" t="n"/>
      <c r="J11" s="12" t="n"/>
    </row>
    <row r="12" ht="22" customHeight="1">
      <c r="B12" s="16">
        <f>IF(C12="","BAN-"&amp;TEXT(COUNTA($C$5:C12),"000"))</f>
        <v/>
      </c>
      <c r="C12" s="14" t="n"/>
      <c r="D12" s="14" t="n"/>
      <c r="E12" s="14" t="n"/>
      <c r="F12" s="14" t="n"/>
      <c r="G12" s="14" t="n"/>
      <c r="H12" s="14" t="n"/>
      <c r="I12" s="28" t="n"/>
      <c r="J12" s="14" t="n"/>
    </row>
    <row r="13" ht="22" customHeight="1">
      <c r="B13" s="17">
        <f>IF(C13="","BAN-"&amp;TEXT(COUNTA($C$5:C13),"000"))</f>
        <v/>
      </c>
      <c r="C13" s="12" t="n"/>
      <c r="D13" s="12" t="n"/>
      <c r="E13" s="12" t="n"/>
      <c r="F13" s="12" t="n"/>
      <c r="G13" s="12" t="n"/>
      <c r="H13" s="12" t="n"/>
      <c r="I13" s="27" t="n"/>
      <c r="J13" s="12" t="n"/>
    </row>
    <row r="14" ht="22" customHeight="1">
      <c r="B14" s="16">
        <f>IF(C14="","BAN-"&amp;TEXT(COUNTA($C$5:C14),"000"))</f>
        <v/>
      </c>
      <c r="C14" s="14" t="n"/>
      <c r="D14" s="14" t="n"/>
      <c r="E14" s="14" t="n"/>
      <c r="F14" s="14" t="n"/>
      <c r="G14" s="14" t="n"/>
      <c r="H14" s="14" t="n"/>
      <c r="I14" s="28" t="n"/>
      <c r="J14" s="14" t="n"/>
    </row>
    <row r="15" ht="22" customHeight="1">
      <c r="B15" s="17">
        <f>IF(C15="","BAN-"&amp;TEXT(COUNTA($C$5:C15),"000"))</f>
        <v/>
      </c>
      <c r="C15" s="12" t="n"/>
      <c r="D15" s="12" t="n"/>
      <c r="E15" s="12" t="n"/>
      <c r="F15" s="12" t="n"/>
      <c r="G15" s="12" t="n"/>
      <c r="H15" s="12" t="n"/>
      <c r="I15" s="27" t="n"/>
      <c r="J15" s="12" t="n"/>
    </row>
    <row r="16" ht="22" customHeight="1">
      <c r="B16" s="16">
        <f>IF(C16="","BAN-"&amp;TEXT(COUNTA($C$5:C16),"000"))</f>
        <v/>
      </c>
      <c r="C16" s="14" t="n"/>
      <c r="D16" s="14" t="n"/>
      <c r="E16" s="14" t="n"/>
      <c r="F16" s="14" t="n"/>
      <c r="G16" s="14" t="n"/>
      <c r="H16" s="14" t="n"/>
      <c r="I16" s="28" t="n"/>
      <c r="J16" s="14" t="n"/>
    </row>
    <row r="17" ht="22" customHeight="1">
      <c r="B17" s="17">
        <f>IF(C17="","BAN-"&amp;TEXT(COUNTA($C$5:C17),"000"))</f>
        <v/>
      </c>
      <c r="C17" s="12" t="n"/>
      <c r="D17" s="12" t="n"/>
      <c r="E17" s="12" t="n"/>
      <c r="F17" s="12" t="n"/>
      <c r="G17" s="12" t="n"/>
      <c r="H17" s="12" t="n"/>
      <c r="I17" s="27" t="n"/>
      <c r="J17" s="12" t="n"/>
    </row>
    <row r="18" ht="22" customHeight="1">
      <c r="B18" s="16">
        <f>IF(C18="","BAN-"&amp;TEXT(COUNTA($C$5:C18),"000"))</f>
        <v/>
      </c>
      <c r="C18" s="14" t="n"/>
      <c r="D18" s="14" t="n"/>
      <c r="E18" s="14" t="n"/>
      <c r="F18" s="14" t="n"/>
      <c r="G18" s="14" t="n"/>
      <c r="H18" s="14" t="n"/>
      <c r="I18" s="28" t="n"/>
      <c r="J18" s="14" t="n"/>
    </row>
    <row r="19" ht="22" customHeight="1">
      <c r="B19" s="17">
        <f>IF(C19="","BAN-"&amp;TEXT(COUNTA($C$5:C19),"000"))</f>
        <v/>
      </c>
      <c r="C19" s="12" t="n"/>
      <c r="D19" s="12" t="n"/>
      <c r="E19" s="12" t="n"/>
      <c r="F19" s="12" t="n"/>
      <c r="G19" s="12" t="n"/>
      <c r="H19" s="12" t="n"/>
      <c r="I19" s="27" t="n"/>
      <c r="J19" s="12" t="n"/>
    </row>
    <row r="20" ht="22" customHeight="1">
      <c r="B20" s="16">
        <f>IF(C20="","BAN-"&amp;TEXT(COUNTA($C$5:C20),"000"))</f>
        <v/>
      </c>
      <c r="C20" s="14" t="n"/>
      <c r="D20" s="14" t="n"/>
      <c r="E20" s="14" t="n"/>
      <c r="F20" s="14" t="n"/>
      <c r="G20" s="14" t="n"/>
      <c r="H20" s="14" t="n"/>
      <c r="I20" s="28" t="n"/>
      <c r="J20" s="14" t="n"/>
    </row>
    <row r="21" ht="22" customHeight="1">
      <c r="B21" s="17">
        <f>IF(C21="","BAN-"&amp;TEXT(COUNTA($C$5:C21),"000"))</f>
        <v/>
      </c>
      <c r="C21" s="12" t="n"/>
      <c r="D21" s="12" t="n"/>
      <c r="E21" s="12" t="n"/>
      <c r="F21" s="12" t="n"/>
      <c r="G21" s="12" t="n"/>
      <c r="H21" s="12" t="n"/>
      <c r="I21" s="27" t="n"/>
      <c r="J21" s="12" t="n"/>
    </row>
    <row r="22" ht="22" customHeight="1">
      <c r="B22" s="16">
        <f>IF(C22="","BAN-"&amp;TEXT(COUNTA($C$5:C22),"000"))</f>
        <v/>
      </c>
      <c r="C22" s="14" t="n"/>
      <c r="D22" s="14" t="n"/>
      <c r="E22" s="14" t="n"/>
      <c r="F22" s="14" t="n"/>
      <c r="G22" s="14" t="n"/>
      <c r="H22" s="14" t="n"/>
      <c r="I22" s="28" t="n"/>
      <c r="J22" s="14" t="n"/>
    </row>
    <row r="23" ht="22" customHeight="1">
      <c r="B23" s="17">
        <f>IF(C23="","BAN-"&amp;TEXT(COUNTA($C$5:C23),"000"))</f>
        <v/>
      </c>
      <c r="C23" s="12" t="n"/>
      <c r="D23" s="12" t="n"/>
      <c r="E23" s="12" t="n"/>
      <c r="F23" s="12" t="n"/>
      <c r="G23" s="12" t="n"/>
      <c r="H23" s="12" t="n"/>
      <c r="I23" s="27" t="n"/>
      <c r="J23" s="12" t="n"/>
    </row>
    <row r="24" ht="22" customHeight="1">
      <c r="B24" s="16">
        <f>IF(C24="","BAN-"&amp;TEXT(COUNTA($C$5:C24),"000"))</f>
        <v/>
      </c>
      <c r="C24" s="14" t="n"/>
      <c r="D24" s="14" t="n"/>
      <c r="E24" s="14" t="n"/>
      <c r="F24" s="14" t="n"/>
      <c r="G24" s="14" t="n"/>
      <c r="H24" s="14" t="n"/>
      <c r="I24" s="28" t="n"/>
      <c r="J24" s="14" t="n"/>
    </row>
    <row r="25" ht="22" customHeight="1">
      <c r="B25" s="17">
        <f>IF(C25="","BAN-"&amp;TEXT(COUNTA($C$5:C25),"000"))</f>
        <v/>
      </c>
      <c r="C25" s="12" t="n"/>
      <c r="D25" s="12" t="n"/>
      <c r="E25" s="12" t="n"/>
      <c r="F25" s="12" t="n"/>
      <c r="G25" s="12" t="n"/>
      <c r="H25" s="12" t="n"/>
      <c r="I25" s="27" t="n"/>
      <c r="J25" s="12" t="n"/>
    </row>
    <row r="26" ht="22" customHeight="1">
      <c r="B26" s="16">
        <f>IF(C26="","BAN-"&amp;TEXT(COUNTA($C$5:C26),"000"))</f>
        <v/>
      </c>
      <c r="C26" s="14" t="n"/>
      <c r="D26" s="14" t="n"/>
      <c r="E26" s="14" t="n"/>
      <c r="F26" s="14" t="n"/>
      <c r="G26" s="14" t="n"/>
      <c r="H26" s="14" t="n"/>
      <c r="I26" s="28" t="n"/>
      <c r="J26" s="14" t="n"/>
    </row>
    <row r="27" ht="22" customHeight="1">
      <c r="B27" s="17">
        <f>IF(C27="","BAN-"&amp;TEXT(COUNTA($C$5:C27),"000"))</f>
        <v/>
      </c>
      <c r="C27" s="12" t="n"/>
      <c r="D27" s="12" t="n"/>
      <c r="E27" s="12" t="n"/>
      <c r="F27" s="12" t="n"/>
      <c r="G27" s="12" t="n"/>
      <c r="H27" s="12" t="n"/>
      <c r="I27" s="27" t="n"/>
      <c r="J27" s="12" t="n"/>
    </row>
    <row r="28" ht="22" customHeight="1">
      <c r="B28" s="16">
        <f>IF(C28="","BAN-"&amp;TEXT(COUNTA($C$5:C28),"000"))</f>
        <v/>
      </c>
      <c r="C28" s="14" t="n"/>
      <c r="D28" s="14" t="n"/>
      <c r="E28" s="14" t="n"/>
      <c r="F28" s="14" t="n"/>
      <c r="G28" s="14" t="n"/>
      <c r="H28" s="14" t="n"/>
      <c r="I28" s="28" t="n"/>
      <c r="J28" s="14" t="n"/>
    </row>
    <row r="29" ht="22" customHeight="1">
      <c r="B29" s="17">
        <f>IF(C29="","BAN-"&amp;TEXT(COUNTA($C$5:C29),"000"))</f>
        <v/>
      </c>
      <c r="C29" s="12" t="n"/>
      <c r="D29" s="12" t="n"/>
      <c r="E29" s="12" t="n"/>
      <c r="F29" s="12" t="n"/>
      <c r="G29" s="12" t="n"/>
      <c r="H29" s="12" t="n"/>
      <c r="I29" s="27" t="n"/>
      <c r="J29" s="12" t="n"/>
    </row>
    <row r="30" ht="22" customHeight="1">
      <c r="B30" s="16">
        <f>IF(C30="","BAN-"&amp;TEXT(COUNTA($C$5:C30),"000"))</f>
        <v/>
      </c>
      <c r="C30" s="14" t="n"/>
      <c r="D30" s="14" t="n"/>
      <c r="E30" s="14" t="n"/>
      <c r="F30" s="14" t="n"/>
      <c r="G30" s="14" t="n"/>
      <c r="H30" s="14" t="n"/>
      <c r="I30" s="28" t="n"/>
      <c r="J30" s="14" t="n"/>
    </row>
    <row r="31" ht="22" customHeight="1">
      <c r="B31" s="17">
        <f>IF(C31="","BAN-"&amp;TEXT(COUNTA($C$5:C31),"000"))</f>
        <v/>
      </c>
      <c r="C31" s="12" t="n"/>
      <c r="D31" s="12" t="n"/>
      <c r="E31" s="12" t="n"/>
      <c r="F31" s="12" t="n"/>
      <c r="G31" s="12" t="n"/>
      <c r="H31" s="12" t="n"/>
      <c r="I31" s="27" t="n"/>
      <c r="J31" s="12" t="n"/>
    </row>
    <row r="32" ht="22" customHeight="1">
      <c r="B32" s="16">
        <f>IF(C32="","BAN-"&amp;TEXT(COUNTA($C$5:C32),"000"))</f>
        <v/>
      </c>
      <c r="C32" s="14" t="n"/>
      <c r="D32" s="14" t="n"/>
      <c r="E32" s="14" t="n"/>
      <c r="F32" s="14" t="n"/>
      <c r="G32" s="14" t="n"/>
      <c r="H32" s="14" t="n"/>
      <c r="I32" s="28" t="n"/>
      <c r="J32" s="14" t="n"/>
    </row>
    <row r="33" ht="22" customHeight="1">
      <c r="B33" s="17">
        <f>IF(C33="","BAN-"&amp;TEXT(COUNTA($C$5:C33),"000"))</f>
        <v/>
      </c>
      <c r="C33" s="12" t="n"/>
      <c r="D33" s="12" t="n"/>
      <c r="E33" s="12" t="n"/>
      <c r="F33" s="12" t="n"/>
      <c r="G33" s="12" t="n"/>
      <c r="H33" s="12" t="n"/>
      <c r="I33" s="27" t="n"/>
      <c r="J33" s="12" t="n"/>
    </row>
    <row r="34" ht="22" customHeight="1">
      <c r="B34" s="16">
        <f>IF(C34="","BAN-"&amp;TEXT(COUNTA($C$5:C34),"000"))</f>
        <v/>
      </c>
      <c r="C34" s="14" t="n"/>
      <c r="D34" s="14" t="n"/>
      <c r="E34" s="14" t="n"/>
      <c r="F34" s="14" t="n"/>
      <c r="G34" s="14" t="n"/>
      <c r="H34" s="14" t="n"/>
      <c r="I34" s="28" t="n"/>
      <c r="J34" s="14" t="n"/>
    </row>
    <row r="35" ht="22" customHeight="1">
      <c r="B35" s="17">
        <f>IF(C35="","BAN-"&amp;TEXT(COUNTA($C$5:C35),"000"))</f>
        <v/>
      </c>
      <c r="C35" s="12" t="n"/>
      <c r="D35" s="12" t="n"/>
      <c r="E35" s="12" t="n"/>
      <c r="F35" s="12" t="n"/>
      <c r="G35" s="12" t="n"/>
      <c r="H35" s="12" t="n"/>
      <c r="I35" s="27" t="n"/>
      <c r="J35" s="12" t="n"/>
    </row>
    <row r="36" ht="22" customHeight="1">
      <c r="B36" s="16">
        <f>IF(C36="","BAN-"&amp;TEXT(COUNTA($C$5:C36),"000"))</f>
        <v/>
      </c>
      <c r="C36" s="14" t="n"/>
      <c r="D36" s="14" t="n"/>
      <c r="E36" s="14" t="n"/>
      <c r="F36" s="14" t="n"/>
      <c r="G36" s="14" t="n"/>
      <c r="H36" s="14" t="n"/>
      <c r="I36" s="28" t="n"/>
      <c r="J36" s="14" t="n"/>
    </row>
    <row r="37" ht="22" customHeight="1">
      <c r="B37" s="17">
        <f>IF(C37="","BAN-"&amp;TEXT(COUNTA($C$5:C37),"000"))</f>
        <v/>
      </c>
      <c r="C37" s="12" t="n"/>
      <c r="D37" s="12" t="n"/>
      <c r="E37" s="12" t="n"/>
      <c r="F37" s="12" t="n"/>
      <c r="G37" s="12" t="n"/>
      <c r="H37" s="12" t="n"/>
      <c r="I37" s="27" t="n"/>
      <c r="J37" s="12" t="n"/>
    </row>
    <row r="38" ht="22" customHeight="1">
      <c r="B38" s="16">
        <f>IF(C38="","BAN-"&amp;TEXT(COUNTA($C$5:C38),"000"))</f>
        <v/>
      </c>
      <c r="C38" s="14" t="n"/>
      <c r="D38" s="14" t="n"/>
      <c r="E38" s="14" t="n"/>
      <c r="F38" s="14" t="n"/>
      <c r="G38" s="14" t="n"/>
      <c r="H38" s="14" t="n"/>
      <c r="I38" s="28" t="n"/>
      <c r="J38" s="14" t="n"/>
    </row>
    <row r="39" ht="22" customHeight="1">
      <c r="B39" s="17">
        <f>IF(C39="","BAN-"&amp;TEXT(COUNTA($C$5:C39),"000"))</f>
        <v/>
      </c>
      <c r="C39" s="12" t="n"/>
      <c r="D39" s="12" t="n"/>
      <c r="E39" s="12" t="n"/>
      <c r="F39" s="12" t="n"/>
      <c r="G39" s="12" t="n"/>
      <c r="H39" s="12" t="n"/>
      <c r="I39" s="27" t="n"/>
      <c r="J39" s="12" t="n"/>
    </row>
    <row r="40" ht="22" customHeight="1">
      <c r="B40" s="16">
        <f>IF(C40="","BAN-"&amp;TEXT(COUNTA($C$5:C40),"000"))</f>
        <v/>
      </c>
      <c r="C40" s="14" t="n"/>
      <c r="D40" s="14" t="n"/>
      <c r="E40" s="14" t="n"/>
      <c r="F40" s="14" t="n"/>
      <c r="G40" s="14" t="n"/>
      <c r="H40" s="14" t="n"/>
      <c r="I40" s="28" t="n"/>
      <c r="J40" s="14" t="n"/>
    </row>
    <row r="41" ht="22" customHeight="1">
      <c r="B41" s="17">
        <f>IF(C41="","BAN-"&amp;TEXT(COUNTA($C$5:C41),"000"))</f>
        <v/>
      </c>
      <c r="C41" s="12" t="n"/>
      <c r="D41" s="12" t="n"/>
      <c r="E41" s="12" t="n"/>
      <c r="F41" s="12" t="n"/>
      <c r="G41" s="12" t="n"/>
      <c r="H41" s="12" t="n"/>
      <c r="I41" s="27" t="n"/>
      <c r="J41" s="12" t="n"/>
    </row>
    <row r="42" ht="22" customHeight="1">
      <c r="B42" s="16">
        <f>IF(C42="","BAN-"&amp;TEXT(COUNTA($C$5:C42),"000"))</f>
        <v/>
      </c>
      <c r="C42" s="14" t="n"/>
      <c r="D42" s="14" t="n"/>
      <c r="E42" s="14" t="n"/>
      <c r="F42" s="14" t="n"/>
      <c r="G42" s="14" t="n"/>
      <c r="H42" s="14" t="n"/>
      <c r="I42" s="28" t="n"/>
      <c r="J42" s="14" t="n"/>
    </row>
    <row r="43" ht="22" customHeight="1">
      <c r="B43" s="17">
        <f>IF(C43="","BAN-"&amp;TEXT(COUNTA($C$5:C43),"000"))</f>
        <v/>
      </c>
      <c r="C43" s="12" t="n"/>
      <c r="D43" s="12" t="n"/>
      <c r="E43" s="12" t="n"/>
      <c r="F43" s="12" t="n"/>
      <c r="G43" s="12" t="n"/>
      <c r="H43" s="12" t="n"/>
      <c r="I43" s="27" t="n"/>
      <c r="J43" s="12" t="n"/>
    </row>
    <row r="44" ht="22" customHeight="1">
      <c r="B44" s="16">
        <f>IF(C44="","BAN-"&amp;TEXT(COUNTA($C$5:C44),"000"))</f>
        <v/>
      </c>
      <c r="C44" s="14" t="n"/>
      <c r="D44" s="14" t="n"/>
      <c r="E44" s="14" t="n"/>
      <c r="F44" s="14" t="n"/>
      <c r="G44" s="14" t="n"/>
      <c r="H44" s="14" t="n"/>
      <c r="I44" s="28" t="n"/>
      <c r="J44" s="14" t="n"/>
    </row>
    <row r="45" ht="22" customHeight="1">
      <c r="B45" s="17">
        <f>IF(C45="","BAN-"&amp;TEXT(COUNTA($C$5:C45),"000"))</f>
        <v/>
      </c>
      <c r="C45" s="12" t="n"/>
      <c r="D45" s="12" t="n"/>
      <c r="E45" s="12" t="n"/>
      <c r="F45" s="12" t="n"/>
      <c r="G45" s="12" t="n"/>
      <c r="H45" s="12" t="n"/>
      <c r="I45" s="27" t="n"/>
      <c r="J45" s="12" t="n"/>
    </row>
    <row r="46" ht="22" customHeight="1">
      <c r="B46" s="16">
        <f>IF(C46="","BAN-"&amp;TEXT(COUNTA($C$5:C46),"000"))</f>
        <v/>
      </c>
      <c r="C46" s="14" t="n"/>
      <c r="D46" s="14" t="n"/>
      <c r="E46" s="14" t="n"/>
      <c r="F46" s="14" t="n"/>
      <c r="G46" s="14" t="n"/>
      <c r="H46" s="14" t="n"/>
      <c r="I46" s="28" t="n"/>
      <c r="J46" s="14" t="n"/>
    </row>
    <row r="47" ht="22" customHeight="1">
      <c r="B47" s="17">
        <f>IF(C47="","BAN-"&amp;TEXT(COUNTA($C$5:C47),"000"))</f>
        <v/>
      </c>
      <c r="C47" s="12" t="n"/>
      <c r="D47" s="12" t="n"/>
      <c r="E47" s="12" t="n"/>
      <c r="F47" s="12" t="n"/>
      <c r="G47" s="12" t="n"/>
      <c r="H47" s="12" t="n"/>
      <c r="I47" s="27" t="n"/>
      <c r="J47" s="12" t="n"/>
    </row>
    <row r="48" ht="22" customHeight="1">
      <c r="B48" s="16">
        <f>IF(C48="","BAN-"&amp;TEXT(COUNTA($C$5:C48),"000"))</f>
        <v/>
      </c>
      <c r="C48" s="14" t="n"/>
      <c r="D48" s="14" t="n"/>
      <c r="E48" s="14" t="n"/>
      <c r="F48" s="14" t="n"/>
      <c r="G48" s="14" t="n"/>
      <c r="H48" s="14" t="n"/>
      <c r="I48" s="28" t="n"/>
      <c r="J48" s="14" t="n"/>
    </row>
    <row r="49" ht="22" customHeight="1">
      <c r="B49" s="17">
        <f>IF(C49="","BAN-"&amp;TEXT(COUNTA($C$5:C49),"000"))</f>
        <v/>
      </c>
      <c r="C49" s="12" t="n"/>
      <c r="D49" s="12" t="n"/>
      <c r="E49" s="12" t="n"/>
      <c r="F49" s="12" t="n"/>
      <c r="G49" s="12" t="n"/>
      <c r="H49" s="12" t="n"/>
      <c r="I49" s="27" t="n"/>
      <c r="J49" s="12" t="n"/>
    </row>
    <row r="50" ht="22" customHeight="1">
      <c r="B50" s="16">
        <f>IF(C50="","BAN-"&amp;TEXT(COUNTA($C$5:C50),"000"))</f>
        <v/>
      </c>
      <c r="C50" s="14" t="n"/>
      <c r="D50" s="14" t="n"/>
      <c r="E50" s="14" t="n"/>
      <c r="F50" s="14" t="n"/>
      <c r="G50" s="14" t="n"/>
      <c r="H50" s="14" t="n"/>
      <c r="I50" s="28" t="n"/>
      <c r="J50" s="14" t="n"/>
    </row>
    <row r="51" ht="22" customHeight="1">
      <c r="B51" s="17">
        <f>IF(C51="","BAN-"&amp;TEXT(COUNTA($C$5:C51),"000"))</f>
        <v/>
      </c>
      <c r="C51" s="12" t="n"/>
      <c r="D51" s="12" t="n"/>
      <c r="E51" s="12" t="n"/>
      <c r="F51" s="12" t="n"/>
      <c r="G51" s="12" t="n"/>
      <c r="H51" s="12" t="n"/>
      <c r="I51" s="27" t="n"/>
      <c r="J51" s="12" t="n"/>
    </row>
    <row r="52" ht="22" customHeight="1">
      <c r="B52" s="16">
        <f>IF(C52="","BAN-"&amp;TEXT(COUNTA($C$5:C52),"000"))</f>
        <v/>
      </c>
      <c r="C52" s="14" t="n"/>
      <c r="D52" s="14" t="n"/>
      <c r="E52" s="14" t="n"/>
      <c r="F52" s="14" t="n"/>
      <c r="G52" s="14" t="n"/>
      <c r="H52" s="14" t="n"/>
      <c r="I52" s="28" t="n"/>
      <c r="J52" s="14" t="n"/>
    </row>
    <row r="53" ht="22" customHeight="1">
      <c r="B53" s="17">
        <f>IF(C53="","BAN-"&amp;TEXT(COUNTA($C$5:C53),"000"))</f>
        <v/>
      </c>
      <c r="C53" s="12" t="n"/>
      <c r="D53" s="12" t="n"/>
      <c r="E53" s="12" t="n"/>
      <c r="F53" s="12" t="n"/>
      <c r="G53" s="12" t="n"/>
      <c r="H53" s="12" t="n"/>
      <c r="I53" s="27" t="n"/>
      <c r="J53" s="12" t="n"/>
    </row>
    <row r="54" ht="22" customHeight="1">
      <c r="B54" s="16">
        <f>IF(C54="","BAN-"&amp;TEXT(COUNTA($C$5:C54),"000"))</f>
        <v/>
      </c>
      <c r="C54" s="14" t="n"/>
      <c r="D54" s="14" t="n"/>
      <c r="E54" s="14" t="n"/>
      <c r="F54" s="14" t="n"/>
      <c r="G54" s="14" t="n"/>
      <c r="H54" s="14" t="n"/>
      <c r="I54" s="28" t="n"/>
      <c r="J54" s="14" t="n"/>
    </row>
    <row r="55" ht="22" customHeight="1">
      <c r="B55" s="17">
        <f>IF(C55="","BAN-"&amp;TEXT(COUNTA($C$5:C55),"000"))</f>
        <v/>
      </c>
      <c r="C55" s="12" t="n"/>
      <c r="D55" s="12" t="n"/>
      <c r="E55" s="12" t="n"/>
      <c r="F55" s="12" t="n"/>
      <c r="G55" s="12" t="n"/>
      <c r="H55" s="12" t="n"/>
      <c r="I55" s="27" t="n"/>
      <c r="J55" s="12" t="n"/>
    </row>
    <row r="56" ht="22" customHeight="1">
      <c r="B56" s="16">
        <f>IF(C56="","BAN-"&amp;TEXT(COUNTA($C$5:C56),"000"))</f>
        <v/>
      </c>
      <c r="C56" s="14" t="n"/>
      <c r="D56" s="14" t="n"/>
      <c r="E56" s="14" t="n"/>
      <c r="F56" s="14" t="n"/>
      <c r="G56" s="14" t="n"/>
      <c r="H56" s="14" t="n"/>
      <c r="I56" s="28" t="n"/>
      <c r="J56" s="14" t="n"/>
    </row>
    <row r="57" ht="22" customHeight="1">
      <c r="B57" s="17">
        <f>IF(C57="","BAN-"&amp;TEXT(COUNTA($C$5:C57),"000"))</f>
        <v/>
      </c>
      <c r="C57" s="12" t="n"/>
      <c r="D57" s="12" t="n"/>
      <c r="E57" s="12" t="n"/>
      <c r="F57" s="12" t="n"/>
      <c r="G57" s="12" t="n"/>
      <c r="H57" s="12" t="n"/>
      <c r="I57" s="27" t="n"/>
      <c r="J57" s="12" t="n"/>
    </row>
    <row r="58" ht="22" customHeight="1">
      <c r="B58" s="16">
        <f>IF(C58="","BAN-"&amp;TEXT(COUNTA($C$5:C58),"000"))</f>
        <v/>
      </c>
      <c r="C58" s="14" t="n"/>
      <c r="D58" s="14" t="n"/>
      <c r="E58" s="14" t="n"/>
      <c r="F58" s="14" t="n"/>
      <c r="G58" s="14" t="n"/>
      <c r="H58" s="14" t="n"/>
      <c r="I58" s="28" t="n"/>
      <c r="J58" s="14" t="n"/>
    </row>
    <row r="59" ht="22" customHeight="1">
      <c r="B59" s="17">
        <f>IF(C59="","BAN-"&amp;TEXT(COUNTA($C$5:C59),"000"))</f>
        <v/>
      </c>
      <c r="C59" s="12" t="n"/>
      <c r="D59" s="12" t="n"/>
      <c r="E59" s="12" t="n"/>
      <c r="F59" s="12" t="n"/>
      <c r="G59" s="12" t="n"/>
      <c r="H59" s="12" t="n"/>
      <c r="I59" s="27" t="n"/>
      <c r="J59" s="12" t="n"/>
    </row>
    <row r="60" ht="22" customHeight="1">
      <c r="B60" s="16">
        <f>IF(C60="","BAN-"&amp;TEXT(COUNTA($C$5:C60),"000"))</f>
        <v/>
      </c>
      <c r="C60" s="14" t="n"/>
      <c r="D60" s="14" t="n"/>
      <c r="E60" s="14" t="n"/>
      <c r="F60" s="14" t="n"/>
      <c r="G60" s="14" t="n"/>
      <c r="H60" s="14" t="n"/>
      <c r="I60" s="28" t="n"/>
      <c r="J60" s="14" t="n"/>
    </row>
    <row r="61" ht="22" customHeight="1">
      <c r="B61" s="17">
        <f>IF(C61="","BAN-"&amp;TEXT(COUNTA($C$5:C61),"000"))</f>
        <v/>
      </c>
      <c r="C61" s="12" t="n"/>
      <c r="D61" s="12" t="n"/>
      <c r="E61" s="12" t="n"/>
      <c r="F61" s="12" t="n"/>
      <c r="G61" s="12" t="n"/>
      <c r="H61" s="12" t="n"/>
      <c r="I61" s="27" t="n"/>
      <c r="J61" s="12" t="n"/>
    </row>
    <row r="62" ht="22" customHeight="1">
      <c r="B62" s="16">
        <f>IF(C62="","BAN-"&amp;TEXT(COUNTA($C$5:C62),"000"))</f>
        <v/>
      </c>
      <c r="C62" s="14" t="n"/>
      <c r="D62" s="14" t="n"/>
      <c r="E62" s="14" t="n"/>
      <c r="F62" s="14" t="n"/>
      <c r="G62" s="14" t="n"/>
      <c r="H62" s="14" t="n"/>
      <c r="I62" s="28" t="n"/>
      <c r="J62" s="14" t="n"/>
    </row>
    <row r="63" ht="22" customHeight="1">
      <c r="B63" s="17">
        <f>IF(C63="","BAN-"&amp;TEXT(COUNTA($C$5:C63),"000"))</f>
        <v/>
      </c>
      <c r="C63" s="12" t="n"/>
      <c r="D63" s="12" t="n"/>
      <c r="E63" s="12" t="n"/>
      <c r="F63" s="12" t="n"/>
      <c r="G63" s="12" t="n"/>
      <c r="H63" s="12" t="n"/>
      <c r="I63" s="27" t="n"/>
      <c r="J63" s="12" t="n"/>
    </row>
    <row r="64" ht="22" customHeight="1">
      <c r="B64" s="16">
        <f>IF(C64="","BAN-"&amp;TEXT(COUNTA($C$5:C64),"000"))</f>
        <v/>
      </c>
      <c r="C64" s="14" t="n"/>
      <c r="D64" s="14" t="n"/>
      <c r="E64" s="14" t="n"/>
      <c r="F64" s="14" t="n"/>
      <c r="G64" s="14" t="n"/>
      <c r="H64" s="14" t="n"/>
      <c r="I64" s="28" t="n"/>
      <c r="J64" s="14" t="n"/>
    </row>
    <row r="65" ht="22" customHeight="1">
      <c r="B65" s="17">
        <f>IF(C65="","BAN-"&amp;TEXT(COUNTA($C$5:C65),"000"))</f>
        <v/>
      </c>
      <c r="C65" s="12" t="n"/>
      <c r="D65" s="12" t="n"/>
      <c r="E65" s="12" t="n"/>
      <c r="F65" s="12" t="n"/>
      <c r="G65" s="12" t="n"/>
      <c r="H65" s="12" t="n"/>
      <c r="I65" s="27" t="n"/>
      <c r="J65" s="12" t="n"/>
    </row>
    <row r="66" ht="22" customHeight="1">
      <c r="B66" s="16">
        <f>IF(C66="","BAN-"&amp;TEXT(COUNTA($C$5:C66),"000"))</f>
        <v/>
      </c>
      <c r="C66" s="14" t="n"/>
      <c r="D66" s="14" t="n"/>
      <c r="E66" s="14" t="n"/>
      <c r="F66" s="14" t="n"/>
      <c r="G66" s="14" t="n"/>
      <c r="H66" s="14" t="n"/>
      <c r="I66" s="28" t="n"/>
      <c r="J66" s="14" t="n"/>
    </row>
    <row r="67" ht="22" customHeight="1">
      <c r="B67" s="17">
        <f>IF(C67="","BAN-"&amp;TEXT(COUNTA($C$5:C67),"000"))</f>
        <v/>
      </c>
      <c r="C67" s="12" t="n"/>
      <c r="D67" s="12" t="n"/>
      <c r="E67" s="12" t="n"/>
      <c r="F67" s="12" t="n"/>
      <c r="G67" s="12" t="n"/>
      <c r="H67" s="12" t="n"/>
      <c r="I67" s="27" t="n"/>
      <c r="J67" s="12" t="n"/>
    </row>
    <row r="68" ht="22" customHeight="1">
      <c r="B68" s="16">
        <f>IF(C68="","BAN-"&amp;TEXT(COUNTA($C$5:C68),"000"))</f>
        <v/>
      </c>
      <c r="C68" s="14" t="n"/>
      <c r="D68" s="14" t="n"/>
      <c r="E68" s="14" t="n"/>
      <c r="F68" s="14" t="n"/>
      <c r="G68" s="14" t="n"/>
      <c r="H68" s="14" t="n"/>
      <c r="I68" s="28" t="n"/>
      <c r="J68" s="14" t="n"/>
    </row>
    <row r="69" ht="22" customHeight="1">
      <c r="B69" s="17">
        <f>IF(C69="","BAN-"&amp;TEXT(COUNTA($C$5:C69),"000"))</f>
        <v/>
      </c>
      <c r="C69" s="12" t="n"/>
      <c r="D69" s="12" t="n"/>
      <c r="E69" s="12" t="n"/>
      <c r="F69" s="12" t="n"/>
      <c r="G69" s="12" t="n"/>
      <c r="H69" s="12" t="n"/>
      <c r="I69" s="27" t="n"/>
      <c r="J69" s="12" t="n"/>
    </row>
    <row r="70" ht="22" customHeight="1">
      <c r="B70" s="16">
        <f>IF(C70="","BAN-"&amp;TEXT(COUNTA($C$5:C70),"000"))</f>
        <v/>
      </c>
      <c r="C70" s="14" t="n"/>
      <c r="D70" s="14" t="n"/>
      <c r="E70" s="14" t="n"/>
      <c r="F70" s="14" t="n"/>
      <c r="G70" s="14" t="n"/>
      <c r="H70" s="14" t="n"/>
      <c r="I70" s="28" t="n"/>
      <c r="J70" s="14" t="n"/>
    </row>
    <row r="71" ht="22" customHeight="1">
      <c r="B71" s="17">
        <f>IF(C71="","BAN-"&amp;TEXT(COUNTA($C$5:C71),"000"))</f>
        <v/>
      </c>
      <c r="C71" s="12" t="n"/>
      <c r="D71" s="12" t="n"/>
      <c r="E71" s="12" t="n"/>
      <c r="F71" s="12" t="n"/>
      <c r="G71" s="12" t="n"/>
      <c r="H71" s="12" t="n"/>
      <c r="I71" s="27" t="n"/>
      <c r="J71" s="12" t="n"/>
    </row>
    <row r="72" ht="22" customHeight="1">
      <c r="B72" s="16">
        <f>IF(C72="","BAN-"&amp;TEXT(COUNTA($C$5:C72),"000"))</f>
        <v/>
      </c>
      <c r="C72" s="14" t="n"/>
      <c r="D72" s="14" t="n"/>
      <c r="E72" s="14" t="n"/>
      <c r="F72" s="14" t="n"/>
      <c r="G72" s="14" t="n"/>
      <c r="H72" s="14" t="n"/>
      <c r="I72" s="28" t="n"/>
      <c r="J72" s="14" t="n"/>
    </row>
    <row r="73" ht="22" customHeight="1">
      <c r="B73" s="17">
        <f>IF(C73="","BAN-"&amp;TEXT(COUNTA($C$5:C73),"000"))</f>
        <v/>
      </c>
      <c r="C73" s="12" t="n"/>
      <c r="D73" s="12" t="n"/>
      <c r="E73" s="12" t="n"/>
      <c r="F73" s="12" t="n"/>
      <c r="G73" s="12" t="n"/>
      <c r="H73" s="12" t="n"/>
      <c r="I73" s="27" t="n"/>
      <c r="J73" s="12" t="n"/>
    </row>
    <row r="74" ht="22" customHeight="1">
      <c r="B74" s="16">
        <f>IF(C74="","BAN-"&amp;TEXT(COUNTA($C$5:C74),"000"))</f>
        <v/>
      </c>
      <c r="C74" s="14" t="n"/>
      <c r="D74" s="14" t="n"/>
      <c r="E74" s="14" t="n"/>
      <c r="F74" s="14" t="n"/>
      <c r="G74" s="14" t="n"/>
      <c r="H74" s="14" t="n"/>
      <c r="I74" s="28" t="n"/>
      <c r="J74" s="14" t="n"/>
    </row>
    <row r="75" ht="22" customHeight="1">
      <c r="B75" s="17">
        <f>IF(C75="","BAN-"&amp;TEXT(COUNTA($C$5:C75),"000"))</f>
        <v/>
      </c>
      <c r="C75" s="12" t="n"/>
      <c r="D75" s="12" t="n"/>
      <c r="E75" s="12" t="n"/>
      <c r="F75" s="12" t="n"/>
      <c r="G75" s="12" t="n"/>
      <c r="H75" s="12" t="n"/>
      <c r="I75" s="27" t="n"/>
      <c r="J75" s="12" t="n"/>
    </row>
    <row r="76" ht="22" customHeight="1">
      <c r="B76" s="16">
        <f>IF(C76="","BAN-"&amp;TEXT(COUNTA($C$5:C76),"000"))</f>
        <v/>
      </c>
      <c r="C76" s="14" t="n"/>
      <c r="D76" s="14" t="n"/>
      <c r="E76" s="14" t="n"/>
      <c r="F76" s="14" t="n"/>
      <c r="G76" s="14" t="n"/>
      <c r="H76" s="14" t="n"/>
      <c r="I76" s="28" t="n"/>
      <c r="J76" s="14" t="n"/>
    </row>
    <row r="77" ht="22" customHeight="1">
      <c r="B77" s="17">
        <f>IF(C77="","BAN-"&amp;TEXT(COUNTA($C$5:C77),"000"))</f>
        <v/>
      </c>
      <c r="C77" s="12" t="n"/>
      <c r="D77" s="12" t="n"/>
      <c r="E77" s="12" t="n"/>
      <c r="F77" s="12" t="n"/>
      <c r="G77" s="12" t="n"/>
      <c r="H77" s="12" t="n"/>
      <c r="I77" s="27" t="n"/>
      <c r="J77" s="12" t="n"/>
    </row>
    <row r="78" ht="22" customHeight="1">
      <c r="B78" s="16">
        <f>IF(C78="","BAN-"&amp;TEXT(COUNTA($C$5:C78),"000"))</f>
        <v/>
      </c>
      <c r="C78" s="14" t="n"/>
      <c r="D78" s="14" t="n"/>
      <c r="E78" s="14" t="n"/>
      <c r="F78" s="14" t="n"/>
      <c r="G78" s="14" t="n"/>
      <c r="H78" s="14" t="n"/>
      <c r="I78" s="28" t="n"/>
      <c r="J78" s="14" t="n"/>
    </row>
    <row r="79" ht="22" customHeight="1">
      <c r="B79" s="17">
        <f>IF(C79="","BAN-"&amp;TEXT(COUNTA($C$5:C79),"000"))</f>
        <v/>
      </c>
      <c r="C79" s="12" t="n"/>
      <c r="D79" s="12" t="n"/>
      <c r="E79" s="12" t="n"/>
      <c r="F79" s="12" t="n"/>
      <c r="G79" s="12" t="n"/>
      <c r="H79" s="12" t="n"/>
      <c r="I79" s="27" t="n"/>
      <c r="J79" s="12" t="n"/>
    </row>
    <row r="80" ht="22" customHeight="1">
      <c r="B80" s="16">
        <f>IF(C80="","BAN-"&amp;TEXT(COUNTA($C$5:C80),"000"))</f>
        <v/>
      </c>
      <c r="C80" s="14" t="n"/>
      <c r="D80" s="14" t="n"/>
      <c r="E80" s="14" t="n"/>
      <c r="F80" s="14" t="n"/>
      <c r="G80" s="14" t="n"/>
      <c r="H80" s="14" t="n"/>
      <c r="I80" s="28" t="n"/>
      <c r="J80" s="14" t="n"/>
    </row>
    <row r="81" ht="22" customHeight="1">
      <c r="B81" s="17">
        <f>IF(C81="","BAN-"&amp;TEXT(COUNTA($C$5:C81),"000"))</f>
        <v/>
      </c>
      <c r="C81" s="12" t="n"/>
      <c r="D81" s="12" t="n"/>
      <c r="E81" s="12" t="n"/>
      <c r="F81" s="12" t="n"/>
      <c r="G81" s="12" t="n"/>
      <c r="H81" s="12" t="n"/>
      <c r="I81" s="27" t="n"/>
      <c r="J81" s="12" t="n"/>
    </row>
    <row r="82" ht="22" customHeight="1">
      <c r="B82" s="16">
        <f>IF(C82="","BAN-"&amp;TEXT(COUNTA($C$5:C82),"000"))</f>
        <v/>
      </c>
      <c r="C82" s="14" t="n"/>
      <c r="D82" s="14" t="n"/>
      <c r="E82" s="14" t="n"/>
      <c r="F82" s="14" t="n"/>
      <c r="G82" s="14" t="n"/>
      <c r="H82" s="14" t="n"/>
      <c r="I82" s="28" t="n"/>
      <c r="J82" s="14" t="n"/>
    </row>
    <row r="83" ht="22" customHeight="1">
      <c r="B83" s="17">
        <f>IF(C83="","BAN-"&amp;TEXT(COUNTA($C$5:C83),"000"))</f>
        <v/>
      </c>
      <c r="C83" s="12" t="n"/>
      <c r="D83" s="12" t="n"/>
      <c r="E83" s="12" t="n"/>
      <c r="F83" s="12" t="n"/>
      <c r="G83" s="12" t="n"/>
      <c r="H83" s="12" t="n"/>
      <c r="I83" s="27" t="n"/>
      <c r="J83" s="12" t="n"/>
    </row>
    <row r="84" ht="22" customHeight="1">
      <c r="B84" s="16">
        <f>IF(C84="","BAN-"&amp;TEXT(COUNTA($C$5:C84),"000"))</f>
        <v/>
      </c>
      <c r="C84" s="14" t="n"/>
      <c r="D84" s="14" t="n"/>
      <c r="E84" s="14" t="n"/>
      <c r="F84" s="14" t="n"/>
      <c r="G84" s="14" t="n"/>
      <c r="H84" s="14" t="n"/>
      <c r="I84" s="28" t="n"/>
      <c r="J84" s="14" t="n"/>
    </row>
    <row r="85" ht="22" customHeight="1">
      <c r="B85" s="17">
        <f>IF(C85="","BAN-"&amp;TEXT(COUNTA($C$5:C85),"000"))</f>
        <v/>
      </c>
      <c r="C85" s="12" t="n"/>
      <c r="D85" s="12" t="n"/>
      <c r="E85" s="12" t="n"/>
      <c r="F85" s="12" t="n"/>
      <c r="G85" s="12" t="n"/>
      <c r="H85" s="12" t="n"/>
      <c r="I85" s="27" t="n"/>
      <c r="J85" s="12" t="n"/>
    </row>
    <row r="86" ht="22" customHeight="1">
      <c r="B86" s="16">
        <f>IF(C86="","BAN-"&amp;TEXT(COUNTA($C$5:C86),"000"))</f>
        <v/>
      </c>
      <c r="C86" s="14" t="n"/>
      <c r="D86" s="14" t="n"/>
      <c r="E86" s="14" t="n"/>
      <c r="F86" s="14" t="n"/>
      <c r="G86" s="14" t="n"/>
      <c r="H86" s="14" t="n"/>
      <c r="I86" s="28" t="n"/>
      <c r="J86" s="14" t="n"/>
    </row>
    <row r="87" ht="22" customHeight="1">
      <c r="B87" s="17">
        <f>IF(C87="","BAN-"&amp;TEXT(COUNTA($C$5:C87),"000"))</f>
        <v/>
      </c>
      <c r="C87" s="12" t="n"/>
      <c r="D87" s="12" t="n"/>
      <c r="E87" s="12" t="n"/>
      <c r="F87" s="12" t="n"/>
      <c r="G87" s="12" t="n"/>
      <c r="H87" s="12" t="n"/>
      <c r="I87" s="27" t="n"/>
      <c r="J87" s="12" t="n"/>
    </row>
    <row r="88" ht="22" customHeight="1">
      <c r="B88" s="16">
        <f>IF(C88="","BAN-"&amp;TEXT(COUNTA($C$5:C88),"000"))</f>
        <v/>
      </c>
      <c r="C88" s="14" t="n"/>
      <c r="D88" s="14" t="n"/>
      <c r="E88" s="14" t="n"/>
      <c r="F88" s="14" t="n"/>
      <c r="G88" s="14" t="n"/>
      <c r="H88" s="14" t="n"/>
      <c r="I88" s="28" t="n"/>
      <c r="J88" s="14" t="n"/>
    </row>
    <row r="89" ht="22" customHeight="1">
      <c r="B89" s="17">
        <f>IF(C89="","BAN-"&amp;TEXT(COUNTA($C$5:C89),"000"))</f>
        <v/>
      </c>
      <c r="C89" s="12" t="n"/>
      <c r="D89" s="12" t="n"/>
      <c r="E89" s="12" t="n"/>
      <c r="F89" s="12" t="n"/>
      <c r="G89" s="12" t="n"/>
      <c r="H89" s="12" t="n"/>
      <c r="I89" s="27" t="n"/>
      <c r="J89" s="12" t="n"/>
    </row>
    <row r="90" ht="22" customHeight="1">
      <c r="B90" s="16">
        <f>IF(C90="","BAN-"&amp;TEXT(COUNTA($C$5:C90),"000"))</f>
        <v/>
      </c>
      <c r="C90" s="14" t="n"/>
      <c r="D90" s="14" t="n"/>
      <c r="E90" s="14" t="n"/>
      <c r="F90" s="14" t="n"/>
      <c r="G90" s="14" t="n"/>
      <c r="H90" s="14" t="n"/>
      <c r="I90" s="28" t="n"/>
      <c r="J90" s="14" t="n"/>
    </row>
    <row r="91" ht="22" customHeight="1">
      <c r="B91" s="17">
        <f>IF(C91="","BAN-"&amp;TEXT(COUNTA($C$5:C91),"000"))</f>
        <v/>
      </c>
      <c r="C91" s="12" t="n"/>
      <c r="D91" s="12" t="n"/>
      <c r="E91" s="12" t="n"/>
      <c r="F91" s="12" t="n"/>
      <c r="G91" s="12" t="n"/>
      <c r="H91" s="12" t="n"/>
      <c r="I91" s="27" t="n"/>
      <c r="J91" s="12" t="n"/>
    </row>
    <row r="92" ht="22" customHeight="1">
      <c r="B92" s="16">
        <f>IF(C92="","BAN-"&amp;TEXT(COUNTA($C$5:C92),"000"))</f>
        <v/>
      </c>
      <c r="C92" s="14" t="n"/>
      <c r="D92" s="14" t="n"/>
      <c r="E92" s="14" t="n"/>
      <c r="F92" s="14" t="n"/>
      <c r="G92" s="14" t="n"/>
      <c r="H92" s="14" t="n"/>
      <c r="I92" s="28" t="n"/>
      <c r="J92" s="14" t="n"/>
    </row>
    <row r="93" ht="22" customHeight="1">
      <c r="B93" s="17">
        <f>IF(C93="","BAN-"&amp;TEXT(COUNTA($C$5:C93),"000"))</f>
        <v/>
      </c>
      <c r="C93" s="12" t="n"/>
      <c r="D93" s="12" t="n"/>
      <c r="E93" s="12" t="n"/>
      <c r="F93" s="12" t="n"/>
      <c r="G93" s="12" t="n"/>
      <c r="H93" s="12" t="n"/>
      <c r="I93" s="27" t="n"/>
      <c r="J93" s="12" t="n"/>
    </row>
    <row r="94" ht="22" customHeight="1">
      <c r="B94" s="16">
        <f>IF(C94="","BAN-"&amp;TEXT(COUNTA($C$5:C94),"000"))</f>
        <v/>
      </c>
      <c r="C94" s="14" t="n"/>
      <c r="D94" s="14" t="n"/>
      <c r="E94" s="14" t="n"/>
      <c r="F94" s="14" t="n"/>
      <c r="G94" s="14" t="n"/>
      <c r="H94" s="14" t="n"/>
      <c r="I94" s="28" t="n"/>
      <c r="J94" s="14" t="n"/>
    </row>
    <row r="95" ht="22" customHeight="1">
      <c r="B95" s="17">
        <f>IF(C95="","BAN-"&amp;TEXT(COUNTA($C$5:C95),"000"))</f>
        <v/>
      </c>
      <c r="C95" s="12" t="n"/>
      <c r="D95" s="12" t="n"/>
      <c r="E95" s="12" t="n"/>
      <c r="F95" s="12" t="n"/>
      <c r="G95" s="12" t="n"/>
      <c r="H95" s="12" t="n"/>
      <c r="I95" s="27" t="n"/>
      <c r="J95" s="12" t="n"/>
    </row>
    <row r="96" ht="22" customHeight="1">
      <c r="B96" s="16">
        <f>IF(C96="","BAN-"&amp;TEXT(COUNTA($C$5:C96),"000"))</f>
        <v/>
      </c>
      <c r="C96" s="14" t="n"/>
      <c r="D96" s="14" t="n"/>
      <c r="E96" s="14" t="n"/>
      <c r="F96" s="14" t="n"/>
      <c r="G96" s="14" t="n"/>
      <c r="H96" s="14" t="n"/>
      <c r="I96" s="28" t="n"/>
      <c r="J96" s="14" t="n"/>
    </row>
    <row r="97" ht="22" customHeight="1">
      <c r="B97" s="17">
        <f>IF(C97="","BAN-"&amp;TEXT(COUNTA($C$5:C97),"000"))</f>
        <v/>
      </c>
      <c r="C97" s="12" t="n"/>
      <c r="D97" s="12" t="n"/>
      <c r="E97" s="12" t="n"/>
      <c r="F97" s="12" t="n"/>
      <c r="G97" s="12" t="n"/>
      <c r="H97" s="12" t="n"/>
      <c r="I97" s="27" t="n"/>
      <c r="J97" s="12" t="n"/>
    </row>
    <row r="98" ht="22" customHeight="1">
      <c r="B98" s="16">
        <f>IF(C98="","BAN-"&amp;TEXT(COUNTA($C$5:C98),"000"))</f>
        <v/>
      </c>
      <c r="C98" s="14" t="n"/>
      <c r="D98" s="14" t="n"/>
      <c r="E98" s="14" t="n"/>
      <c r="F98" s="14" t="n"/>
      <c r="G98" s="14" t="n"/>
      <c r="H98" s="14" t="n"/>
      <c r="I98" s="28" t="n"/>
      <c r="J98" s="14" t="n"/>
    </row>
    <row r="99" ht="22" customHeight="1">
      <c r="B99" s="17">
        <f>IF(C99="","BAN-"&amp;TEXT(COUNTA($C$5:C99),"000"))</f>
        <v/>
      </c>
      <c r="C99" s="12" t="n"/>
      <c r="D99" s="12" t="n"/>
      <c r="E99" s="12" t="n"/>
      <c r="F99" s="12" t="n"/>
      <c r="G99" s="12" t="n"/>
      <c r="H99" s="12" t="n"/>
      <c r="I99" s="27" t="n"/>
      <c r="J99" s="12" t="n"/>
    </row>
    <row r="100" ht="22" customHeight="1">
      <c r="B100" s="16">
        <f>IF(C100="","BAN-"&amp;TEXT(COUNTA($C$5:C100),"000"))</f>
        <v/>
      </c>
      <c r="C100" s="14" t="n"/>
      <c r="D100" s="14" t="n"/>
      <c r="E100" s="14" t="n"/>
      <c r="F100" s="14" t="n"/>
      <c r="G100" s="14" t="n"/>
      <c r="H100" s="14" t="n"/>
      <c r="I100" s="28" t="n"/>
      <c r="J100" s="14" t="n"/>
    </row>
    <row r="101" ht="22" customHeight="1">
      <c r="B101" s="17">
        <f>IF(C101="","BAN-"&amp;TEXT(COUNTA($C$5:C101),"000"))</f>
        <v/>
      </c>
      <c r="C101" s="12" t="n"/>
      <c r="D101" s="12" t="n"/>
      <c r="E101" s="12" t="n"/>
      <c r="F101" s="12" t="n"/>
      <c r="G101" s="12" t="n"/>
      <c r="H101" s="12" t="n"/>
      <c r="I101" s="27" t="n"/>
      <c r="J101" s="12" t="n"/>
    </row>
    <row r="102" ht="22" customHeight="1">
      <c r="B102" s="16">
        <f>IF(C102="","BAN-"&amp;TEXT(COUNTA($C$5:C102),"000"))</f>
        <v/>
      </c>
      <c r="C102" s="14" t="n"/>
      <c r="D102" s="14" t="n"/>
      <c r="E102" s="14" t="n"/>
      <c r="F102" s="14" t="n"/>
      <c r="G102" s="14" t="n"/>
      <c r="H102" s="14" t="n"/>
      <c r="I102" s="28" t="n"/>
      <c r="J102" s="14" t="n"/>
    </row>
    <row r="103" ht="22" customHeight="1">
      <c r="B103" s="17">
        <f>IF(C103="","BAN-"&amp;TEXT(COUNTA($C$5:C103),"000"))</f>
        <v/>
      </c>
      <c r="C103" s="12" t="n"/>
      <c r="D103" s="12" t="n"/>
      <c r="E103" s="12" t="n"/>
      <c r="F103" s="12" t="n"/>
      <c r="G103" s="12" t="n"/>
      <c r="H103" s="12" t="n"/>
      <c r="I103" s="27" t="n"/>
      <c r="J103" s="12" t="n"/>
    </row>
    <row r="104" ht="22" customHeight="1">
      <c r="B104" s="16">
        <f>IF(C104="","BAN-"&amp;TEXT(COUNTA($C$5:C104),"000"))</f>
        <v/>
      </c>
      <c r="C104" s="14" t="n"/>
      <c r="D104" s="14" t="n"/>
      <c r="E104" s="14" t="n"/>
      <c r="F104" s="14" t="n"/>
      <c r="G104" s="14" t="n"/>
      <c r="H104" s="14" t="n"/>
      <c r="I104" s="28" t="n"/>
      <c r="J104" s="14" t="n"/>
    </row>
    <row r="105" ht="22" customHeight="1">
      <c r="B105" s="17">
        <f>IF(C105="","BAN-"&amp;TEXT(COUNTA($C$5:C105),"000"))</f>
        <v/>
      </c>
      <c r="C105" s="12" t="n"/>
      <c r="D105" s="12" t="n"/>
      <c r="E105" s="12" t="n"/>
      <c r="F105" s="12" t="n"/>
      <c r="G105" s="12" t="n"/>
      <c r="H105" s="12" t="n"/>
      <c r="I105" s="27" t="n"/>
      <c r="J105" s="12" t="n"/>
    </row>
    <row r="106" ht="22" customHeight="1">
      <c r="B106" s="16">
        <f>IF(C106="","BAN-"&amp;TEXT(COUNTA($C$5:C106),"000"))</f>
        <v/>
      </c>
      <c r="C106" s="14" t="n"/>
      <c r="D106" s="14" t="n"/>
      <c r="E106" s="14" t="n"/>
      <c r="F106" s="14" t="n"/>
      <c r="G106" s="14" t="n"/>
      <c r="H106" s="14" t="n"/>
      <c r="I106" s="28" t="n"/>
      <c r="J106" s="14" t="n"/>
    </row>
    <row r="107" ht="22" customHeight="1">
      <c r="B107" s="17">
        <f>IF(C107="","BAN-"&amp;TEXT(COUNTA($C$5:C107),"000"))</f>
        <v/>
      </c>
      <c r="C107" s="12" t="n"/>
      <c r="D107" s="12" t="n"/>
      <c r="E107" s="12" t="n"/>
      <c r="F107" s="12" t="n"/>
      <c r="G107" s="12" t="n"/>
      <c r="H107" s="12" t="n"/>
      <c r="I107" s="27" t="n"/>
      <c r="J107" s="12" t="n"/>
    </row>
    <row r="108" ht="22" customHeight="1">
      <c r="B108" s="16">
        <f>IF(C108="","BAN-"&amp;TEXT(COUNTA($C$5:C108),"000"))</f>
        <v/>
      </c>
      <c r="C108" s="14" t="n"/>
      <c r="D108" s="14" t="n"/>
      <c r="E108" s="14" t="n"/>
      <c r="F108" s="14" t="n"/>
      <c r="G108" s="14" t="n"/>
      <c r="H108" s="14" t="n"/>
      <c r="I108" s="28" t="n"/>
      <c r="J108" s="14" t="n"/>
    </row>
    <row r="109" ht="22" customHeight="1">
      <c r="B109" s="17">
        <f>IF(C109="","BAN-"&amp;TEXT(COUNTA($C$5:C109),"000"))</f>
        <v/>
      </c>
      <c r="C109" s="12" t="n"/>
      <c r="D109" s="12" t="n"/>
      <c r="E109" s="12" t="n"/>
      <c r="F109" s="12" t="n"/>
      <c r="G109" s="12" t="n"/>
      <c r="H109" s="12" t="n"/>
      <c r="I109" s="27" t="n"/>
      <c r="J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Total comptes</t>
        </is>
      </c>
      <c r="D112" s="3" t="inlineStr">
        <is>
          <t>Comptes actifs</t>
        </is>
      </c>
      <c r="F112" s="3" t="inlineStr">
        <is>
          <t>A verifier</t>
        </is>
      </c>
    </row>
    <row r="113">
      <c r="B113" s="4">
        <f>COUNTIF(B5:B104,"&lt;&gt;")</f>
        <v/>
      </c>
      <c r="D113" s="4">
        <f>COUNTIF(J5:J104,"Actif")</f>
        <v/>
      </c>
      <c r="F113" s="4">
        <f>COUNTIF(J5:J104,"A verifier")</f>
        <v/>
      </c>
    </row>
  </sheetData>
  <mergeCells count="3">
    <mergeCell ref="B3:J3"/>
    <mergeCell ref="B2:J2"/>
    <mergeCell ref="B111:J111"/>
  </mergeCells>
  <conditionalFormatting sqref="J5:J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"Soumise"</formula>
    </cfRule>
    <cfRule type="cellIs" priority="9" operator="equal" dxfId="0">
      <formula>"Traite"</formula>
    </cfRule>
    <cfRule type="cellIs" priority="10" operator="equal" dxfId="0">
      <formula>"Clos"</formula>
    </cfRule>
    <cfRule type="cellIs" priority="11" operator="equal" dxfId="0">
      <formula>"Solde"</formula>
    </cfRule>
    <cfRule type="cellIs" priority="12" operator="equal" dxfId="0">
      <formula>"Pris"</formula>
    </cfRule>
    <cfRule type="cellIs" priority="13" operator="equal" dxfId="1">
      <formula>"En attente"</formula>
    </cfRule>
    <cfRule type="cellIs" priority="14" operator="equal" dxfId="1">
      <formula>"A renouveler"</formula>
    </cfRule>
    <cfRule type="cellIs" priority="15" operator="equal" dxfId="1">
      <formula>"En renouvellement"</formula>
    </cfRule>
    <cfRule type="cellIs" priority="16" operator="equal" dxfId="1">
      <formula>"En cours"</formula>
    </cfRule>
    <cfRule type="cellIs" priority="17" operator="equal" dxfId="1">
      <formula>"En traitement"</formula>
    </cfRule>
    <cfRule type="cellIs" priority="18" operator="equal" dxfId="1">
      <formula>"En retard"</formula>
    </cfRule>
    <cfRule type="cellIs" priority="19" operator="equal" dxfId="1">
      <formula>"Suspendu"</formula>
    </cfRule>
    <cfRule type="cellIs" priority="20" operator="equal" dxfId="1">
      <formula>"A verifier"</formula>
    </cfRule>
    <cfRule type="cellIs" priority="21" operator="equal" dxfId="2">
      <formula>"Expire"</formula>
    </cfRule>
    <cfRule type="cellIs" priority="22" operator="equal" dxfId="2">
      <formula>"Rejete"</formula>
    </cfRule>
    <cfRule type="cellIs" priority="23" operator="equal" dxfId="2">
      <formula>"Rejetee"</formula>
    </cfRule>
    <cfRule type="cellIs" priority="24" operator="equal" dxfId="2">
      <formula>"Resilie"</formula>
    </cfRule>
    <cfRule type="cellIs" priority="25" operator="equal" dxfId="2">
      <formula>"Echu"</formula>
    </cfRule>
    <cfRule type="cellIs" priority="26" operator="equal" dxfId="2">
      <formula>"Refuse"</formula>
    </cfRule>
    <cfRule type="cellIs" priority="27" operator="equal" dxfId="2">
      <formula>"Annulee"</formula>
    </cfRule>
    <cfRule type="cellIs" priority="28" operator="equal" dxfId="2">
      <formula>"Departi"</formula>
    </cfRule>
    <cfRule type="cellIs" priority="29" operator="equal" dxfId="2">
      <formula>"Cloture"</formula>
    </cfRule>
    <cfRule type="cellIs" priority="30" operator="equal" dxfId="2">
      <formula>"Non justifiee"</formula>
    </cfRule>
    <cfRule type="cellIs" priority="31" operator="equal" dxfId="2">
      <formula>"Manquant"</formula>
    </cfRule>
  </conditionalFormatting>
  <conditionalFormatting sqref="B10:B109">
    <cfRule type="expression" priority="32" dxfId="3">
      <formula>AND($C10="",$C9&lt;&gt;"")</formula>
    </cfRule>
  </conditionalFormatting>
  <conditionalFormatting sqref="C10:C109">
    <cfRule type="expression" priority="33" dxfId="3">
      <formula>AND($C10="",$C9&lt;&gt;"")</formula>
    </cfRule>
  </conditionalFormatting>
  <conditionalFormatting sqref="D10:D109">
    <cfRule type="expression" priority="34" dxfId="3">
      <formula>AND($C10="",$C9&lt;&gt;"")</formula>
    </cfRule>
  </conditionalFormatting>
  <conditionalFormatting sqref="E10:E109">
    <cfRule type="expression" priority="35" dxfId="3">
      <formula>AND($C10="",$C9&lt;&gt;"")</formula>
    </cfRule>
  </conditionalFormatting>
  <conditionalFormatting sqref="F10:F109">
    <cfRule type="expression" priority="36" dxfId="3">
      <formula>AND($C10="",$C9&lt;&gt;"")</formula>
    </cfRule>
  </conditionalFormatting>
  <conditionalFormatting sqref="G10:G109">
    <cfRule type="expression" priority="37" dxfId="3">
      <formula>AND($C10="",$C9&lt;&gt;"")</formula>
    </cfRule>
  </conditionalFormatting>
  <conditionalFormatting sqref="H10:H109">
    <cfRule type="expression" priority="38" dxfId="3">
      <formula>AND($C10="",$C9&lt;&gt;"")</formula>
    </cfRule>
  </conditionalFormatting>
  <conditionalFormatting sqref="I10:I109">
    <cfRule type="expression" priority="39" dxfId="3">
      <formula>AND($C10="",$C9&lt;&gt;"")</formula>
    </cfRule>
  </conditionalFormatting>
  <conditionalFormatting sqref="J10:J109">
    <cfRule type="expression" priority="40" dxfId="3">
      <formula>AND($C10="",$C9&lt;&gt;"")</formula>
    </cfRule>
  </conditionalFormatting>
  <dataValidations count="3">
    <dataValidation sqref="E5:E109" showDropDown="0" showInputMessage="0" showErrorMessage="0" allowBlank="1" errorTitle="Erreur" error="Valeur invalide" promptTitle="Liste" prompt="Choisir dans la liste" type="list">
      <formula1>'_Lists'!$P$2:$P$11</formula1>
    </dataValidation>
    <dataValidation sqref="H5:H109" showDropDown="0" showInputMessage="0" showErrorMessage="0" allowBlank="1" errorTitle="Erreur" error="Valeur invalide" promptTitle="Liste" prompt="Choisir dans la liste" type="list">
      <formula1>'_Lists'!$AN$2:$AN$3</formula1>
    </dataValidation>
    <dataValidation sqref="J5:J109" showDropDown="0" showInputMessage="0" showErrorMessage="0" allowBlank="1" errorTitle="Erreur" error="Valeur invalide" promptTitle="Liste" prompt="Choisir dans la liste" type="list">
      <formula1>'_Lists'!$Q$2:$Q$5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20" customWidth="1" min="4" max="4"/>
    <col width="22" customWidth="1" min="5" max="5"/>
    <col width="18" customWidth="1" min="6" max="6"/>
    <col width="12" customWidth="1" min="7" max="7"/>
    <col width="18" customWidth="1" min="8" max="8"/>
    <col width="10" customWidth="1" min="9" max="9"/>
    <col width="24" customWidth="1" min="10" max="10"/>
    <col width="20" customWidth="1" min="11" max="11"/>
  </cols>
  <sheetData>
    <row r="1" ht="15" customHeight="1"/>
    <row r="2" ht="32" customHeight="1">
      <c r="B2" s="1" t="inlineStr">
        <is>
          <t>MUTUELLE &amp; PREVOYANCE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Matricule</t>
        </is>
      </c>
      <c r="D4" s="11" t="inlineStr">
        <is>
          <t>Nom Employé</t>
        </is>
      </c>
      <c r="E4" s="11" t="inlineStr">
        <is>
          <t>Organisme</t>
        </is>
      </c>
      <c r="F4" s="11" t="inlineStr">
        <is>
          <t>N° Adhérent</t>
        </is>
      </c>
      <c r="G4" s="11" t="inlineStr">
        <is>
          <t>Date Adhésion</t>
        </is>
      </c>
      <c r="H4" s="11" t="inlineStr">
        <is>
          <t>Couverture</t>
        </is>
      </c>
      <c r="I4" s="11" t="inlineStr">
        <is>
          <t>Personnes à Charge</t>
        </is>
      </c>
      <c r="J4" s="11" t="inlineStr">
        <is>
          <t>Cotisation Mensuelle (FCFA)</t>
        </is>
      </c>
      <c r="K4" s="11" t="inlineStr">
        <is>
          <t>Cotis. Annuelle (FCFA)</t>
        </is>
      </c>
      <c r="L4" s="11" t="inlineStr">
        <is>
          <t>Statut</t>
        </is>
      </c>
    </row>
    <row r="5" ht="22" customHeight="1">
      <c r="B5" s="12" t="inlineStr">
        <is>
          <t>MUT-001</t>
        </is>
      </c>
      <c r="C5" s="12" t="inlineStr">
        <is>
          <t>EMP-001</t>
        </is>
      </c>
      <c r="D5" s="12" t="inlineStr">
        <is>
          <t>Nganou Clarisse</t>
        </is>
      </c>
      <c r="E5" s="12" t="inlineStr">
        <is>
          <t>CNPS</t>
        </is>
      </c>
      <c r="F5" s="12" t="inlineStr">
        <is>
          <t>CNPS-EMP-001</t>
        </is>
      </c>
      <c r="G5" s="27" t="n">
        <v>43845</v>
      </c>
      <c r="H5" s="12" t="inlineStr">
        <is>
          <t>Sante + Retraite</t>
        </is>
      </c>
      <c r="I5" s="23" t="n">
        <v>3</v>
      </c>
      <c r="J5" s="18" t="n">
        <v>45000</v>
      </c>
      <c r="K5" s="18">
        <f>IF(J5="","",IFERROR(J5*12,0))</f>
        <v/>
      </c>
      <c r="L5" s="12" t="inlineStr">
        <is>
          <t>Actif</t>
        </is>
      </c>
    </row>
    <row r="6" ht="22" customHeight="1">
      <c r="B6" s="14" t="inlineStr">
        <is>
          <t>MUT-002</t>
        </is>
      </c>
      <c r="C6" s="14" t="inlineStr">
        <is>
          <t>EMP-002</t>
        </is>
      </c>
      <c r="D6" s="14" t="inlineStr">
        <is>
          <t>Tchinda Armand</t>
        </is>
      </c>
      <c r="E6" s="14" t="inlineStr">
        <is>
          <t>CNPS</t>
        </is>
      </c>
      <c r="F6" s="14" t="inlineStr">
        <is>
          <t>CNPS-EMP-002</t>
        </is>
      </c>
      <c r="G6" s="28" t="n">
        <v>43617</v>
      </c>
      <c r="H6" s="14" t="inlineStr">
        <is>
          <t>Sante + Retraite</t>
        </is>
      </c>
      <c r="I6" s="24" t="n">
        <v>1</v>
      </c>
      <c r="J6" s="19" t="n">
        <v>42000</v>
      </c>
      <c r="K6" s="19">
        <f>IF(J6="","",IFERROR(J6*12,0))</f>
        <v/>
      </c>
      <c r="L6" s="14" t="inlineStr">
        <is>
          <t>Actif</t>
        </is>
      </c>
    </row>
    <row r="7" ht="22" customHeight="1">
      <c r="B7" s="12" t="inlineStr">
        <is>
          <t>MUT-003</t>
        </is>
      </c>
      <c r="C7" s="12" t="inlineStr">
        <is>
          <t>EMP-003</t>
        </is>
      </c>
      <c r="D7" s="12" t="inlineStr">
        <is>
          <t>Fotso Marguerite</t>
        </is>
      </c>
      <c r="E7" s="12" t="inlineStr">
        <is>
          <t>Allianz Cameroon</t>
        </is>
      </c>
      <c r="F7" s="12" t="inlineStr">
        <is>
          <t>ALZ-789012</t>
        </is>
      </c>
      <c r="G7" s="27" t="n">
        <v>44197</v>
      </c>
      <c r="H7" s="12" t="inlineStr">
        <is>
          <t>Complete</t>
        </is>
      </c>
      <c r="I7" s="23" t="n">
        <v>2</v>
      </c>
      <c r="J7" s="18" t="n">
        <v>65000</v>
      </c>
      <c r="K7" s="18">
        <f>IF(J7="","",IFERROR(J7*12,0))</f>
        <v/>
      </c>
      <c r="L7" s="12" t="inlineStr">
        <is>
          <t>Actif</t>
        </is>
      </c>
    </row>
    <row r="8" ht="22" customHeight="1">
      <c r="B8" s="14" t="inlineStr">
        <is>
          <t>MUT-004</t>
        </is>
      </c>
      <c r="C8" s="14" t="inlineStr">
        <is>
          <t>EMP-004</t>
        </is>
      </c>
      <c r="D8" s="14" t="inlineStr">
        <is>
          <t>Nkoulou Mbarga</t>
        </is>
      </c>
      <c r="E8" s="14" t="inlineStr">
        <is>
          <t>CNPS</t>
        </is>
      </c>
      <c r="F8" s="14" t="inlineStr">
        <is>
          <t>CNPS-EMP-004</t>
        </is>
      </c>
      <c r="G8" s="28" t="n">
        <v>44454</v>
      </c>
      <c r="H8" s="14" t="inlineStr">
        <is>
          <t>Sante</t>
        </is>
      </c>
      <c r="I8" s="24" t="n">
        <v>0</v>
      </c>
      <c r="J8" s="19" t="n">
        <v>18000</v>
      </c>
      <c r="K8" s="19">
        <f>IF(J8="","",IFERROR(J8*12,0))</f>
        <v/>
      </c>
      <c r="L8" s="14" t="inlineStr">
        <is>
          <t>Actif</t>
        </is>
      </c>
    </row>
    <row r="9" ht="22" customHeight="1">
      <c r="B9" s="12" t="inlineStr">
        <is>
          <t>MUT-005</t>
        </is>
      </c>
      <c r="C9" s="12" t="inlineStr">
        <is>
          <t>EMP-005</t>
        </is>
      </c>
      <c r="D9" s="12" t="inlineStr">
        <is>
          <t>Kamga Paul</t>
        </is>
      </c>
      <c r="E9" s="12" t="inlineStr">
        <is>
          <t>CNPS</t>
        </is>
      </c>
      <c r="F9" s="12" t="inlineStr">
        <is>
          <t>CNPS-EMP-005</t>
        </is>
      </c>
      <c r="G9" s="27" t="n">
        <v>45383</v>
      </c>
      <c r="H9" s="12" t="inlineStr">
        <is>
          <t>Sante</t>
        </is>
      </c>
      <c r="I9" s="23" t="n">
        <v>4</v>
      </c>
      <c r="J9" s="18" t="n">
        <v>15000</v>
      </c>
      <c r="K9" s="18">
        <f>IF(J9="","",IFERROR(J9*12,0))</f>
        <v/>
      </c>
      <c r="L9" s="12" t="inlineStr">
        <is>
          <t>Actif</t>
        </is>
      </c>
    </row>
    <row r="10" ht="22" customHeight="1">
      <c r="B10" s="16">
        <f>IF(C10="","MUT-"&amp;TEXT(COUNTA($C$5:C10),"000"))</f>
        <v/>
      </c>
      <c r="C10" s="14" t="n"/>
      <c r="D10" s="14" t="n"/>
      <c r="E10" s="14" t="n"/>
      <c r="F10" s="14" t="n"/>
      <c r="G10" s="28" t="n"/>
      <c r="H10" s="14" t="n"/>
      <c r="I10" s="24" t="n"/>
      <c r="J10" s="19" t="n"/>
      <c r="K10" s="19">
        <f>IF(J10="","",IFERROR(J10*12,0))</f>
        <v/>
      </c>
      <c r="L10" s="14" t="n"/>
    </row>
    <row r="11" ht="22" customHeight="1">
      <c r="B11" s="17">
        <f>IF(C11="","MUT-"&amp;TEXT(COUNTA($C$5:C11),"000"))</f>
        <v/>
      </c>
      <c r="C11" s="12" t="n"/>
      <c r="D11" s="12" t="n"/>
      <c r="E11" s="12" t="n"/>
      <c r="F11" s="12" t="n"/>
      <c r="G11" s="27" t="n"/>
      <c r="H11" s="12" t="n"/>
      <c r="I11" s="23" t="n"/>
      <c r="J11" s="18" t="n"/>
      <c r="K11" s="18">
        <f>IF(J11="","",IFERROR(J11*12,0))</f>
        <v/>
      </c>
      <c r="L11" s="12" t="n"/>
    </row>
    <row r="12" ht="22" customHeight="1">
      <c r="B12" s="16">
        <f>IF(C12="","MUT-"&amp;TEXT(COUNTA($C$5:C12),"000"))</f>
        <v/>
      </c>
      <c r="C12" s="14" t="n"/>
      <c r="D12" s="14" t="n"/>
      <c r="E12" s="14" t="n"/>
      <c r="F12" s="14" t="n"/>
      <c r="G12" s="28" t="n"/>
      <c r="H12" s="14" t="n"/>
      <c r="I12" s="24" t="n"/>
      <c r="J12" s="19" t="n"/>
      <c r="K12" s="19">
        <f>IF(J12="","",IFERROR(J12*12,0))</f>
        <v/>
      </c>
      <c r="L12" s="14" t="n"/>
    </row>
    <row r="13" ht="22" customHeight="1">
      <c r="B13" s="17">
        <f>IF(C13="","MUT-"&amp;TEXT(COUNTA($C$5:C13),"000"))</f>
        <v/>
      </c>
      <c r="C13" s="12" t="n"/>
      <c r="D13" s="12" t="n"/>
      <c r="E13" s="12" t="n"/>
      <c r="F13" s="12" t="n"/>
      <c r="G13" s="27" t="n"/>
      <c r="H13" s="12" t="n"/>
      <c r="I13" s="23" t="n"/>
      <c r="J13" s="18" t="n"/>
      <c r="K13" s="18">
        <f>IF(J13="","",IFERROR(J13*12,0))</f>
        <v/>
      </c>
      <c r="L13" s="12" t="n"/>
    </row>
    <row r="14" ht="22" customHeight="1">
      <c r="B14" s="16">
        <f>IF(C14="","MUT-"&amp;TEXT(COUNTA($C$5:C14),"000"))</f>
        <v/>
      </c>
      <c r="C14" s="14" t="n"/>
      <c r="D14" s="14" t="n"/>
      <c r="E14" s="14" t="n"/>
      <c r="F14" s="14" t="n"/>
      <c r="G14" s="28" t="n"/>
      <c r="H14" s="14" t="n"/>
      <c r="I14" s="24" t="n"/>
      <c r="J14" s="19" t="n"/>
      <c r="K14" s="19">
        <f>IF(J14="","",IFERROR(J14*12,0))</f>
        <v/>
      </c>
      <c r="L14" s="14" t="n"/>
    </row>
    <row r="15" ht="22" customHeight="1">
      <c r="B15" s="17">
        <f>IF(C15="","MUT-"&amp;TEXT(COUNTA($C$5:C15),"000"))</f>
        <v/>
      </c>
      <c r="C15" s="12" t="n"/>
      <c r="D15" s="12" t="n"/>
      <c r="E15" s="12" t="n"/>
      <c r="F15" s="12" t="n"/>
      <c r="G15" s="27" t="n"/>
      <c r="H15" s="12" t="n"/>
      <c r="I15" s="23" t="n"/>
      <c r="J15" s="18" t="n"/>
      <c r="K15" s="18">
        <f>IF(J15="","",IFERROR(J15*12,0))</f>
        <v/>
      </c>
      <c r="L15" s="12" t="n"/>
    </row>
    <row r="16" ht="22" customHeight="1">
      <c r="B16" s="16">
        <f>IF(C16="","MUT-"&amp;TEXT(COUNTA($C$5:C16),"000"))</f>
        <v/>
      </c>
      <c r="C16" s="14" t="n"/>
      <c r="D16" s="14" t="n"/>
      <c r="E16" s="14" t="n"/>
      <c r="F16" s="14" t="n"/>
      <c r="G16" s="28" t="n"/>
      <c r="H16" s="14" t="n"/>
      <c r="I16" s="24" t="n"/>
      <c r="J16" s="19" t="n"/>
      <c r="K16" s="19">
        <f>IF(J16="","",IFERROR(J16*12,0))</f>
        <v/>
      </c>
      <c r="L16" s="14" t="n"/>
    </row>
    <row r="17" ht="22" customHeight="1">
      <c r="B17" s="17">
        <f>IF(C17="","MUT-"&amp;TEXT(COUNTA($C$5:C17),"000"))</f>
        <v/>
      </c>
      <c r="C17" s="12" t="n"/>
      <c r="D17" s="12" t="n"/>
      <c r="E17" s="12" t="n"/>
      <c r="F17" s="12" t="n"/>
      <c r="G17" s="27" t="n"/>
      <c r="H17" s="12" t="n"/>
      <c r="I17" s="23" t="n"/>
      <c r="J17" s="18" t="n"/>
      <c r="K17" s="18">
        <f>IF(J17="","",IFERROR(J17*12,0))</f>
        <v/>
      </c>
      <c r="L17" s="12" t="n"/>
    </row>
    <row r="18" ht="22" customHeight="1">
      <c r="B18" s="16">
        <f>IF(C18="","MUT-"&amp;TEXT(COUNTA($C$5:C18),"000"))</f>
        <v/>
      </c>
      <c r="C18" s="14" t="n"/>
      <c r="D18" s="14" t="n"/>
      <c r="E18" s="14" t="n"/>
      <c r="F18" s="14" t="n"/>
      <c r="G18" s="28" t="n"/>
      <c r="H18" s="14" t="n"/>
      <c r="I18" s="24" t="n"/>
      <c r="J18" s="19" t="n"/>
      <c r="K18" s="19">
        <f>IF(J18="","",IFERROR(J18*12,0))</f>
        <v/>
      </c>
      <c r="L18" s="14" t="n"/>
    </row>
    <row r="19" ht="22" customHeight="1">
      <c r="B19" s="17">
        <f>IF(C19="","MUT-"&amp;TEXT(COUNTA($C$5:C19),"000"))</f>
        <v/>
      </c>
      <c r="C19" s="12" t="n"/>
      <c r="D19" s="12" t="n"/>
      <c r="E19" s="12" t="n"/>
      <c r="F19" s="12" t="n"/>
      <c r="G19" s="27" t="n"/>
      <c r="H19" s="12" t="n"/>
      <c r="I19" s="23" t="n"/>
      <c r="J19" s="18" t="n"/>
      <c r="K19" s="18">
        <f>IF(J19="","",IFERROR(J19*12,0))</f>
        <v/>
      </c>
      <c r="L19" s="12" t="n"/>
    </row>
    <row r="20" ht="22" customHeight="1">
      <c r="B20" s="16">
        <f>IF(C20="","MUT-"&amp;TEXT(COUNTA($C$5:C20),"000"))</f>
        <v/>
      </c>
      <c r="C20" s="14" t="n"/>
      <c r="D20" s="14" t="n"/>
      <c r="E20" s="14" t="n"/>
      <c r="F20" s="14" t="n"/>
      <c r="G20" s="28" t="n"/>
      <c r="H20" s="14" t="n"/>
      <c r="I20" s="24" t="n"/>
      <c r="J20" s="19" t="n"/>
      <c r="K20" s="19">
        <f>IF(J20="","",IFERROR(J20*12,0))</f>
        <v/>
      </c>
      <c r="L20" s="14" t="n"/>
    </row>
    <row r="21" ht="22" customHeight="1">
      <c r="B21" s="17">
        <f>IF(C21="","MUT-"&amp;TEXT(COUNTA($C$5:C21),"000"))</f>
        <v/>
      </c>
      <c r="C21" s="12" t="n"/>
      <c r="D21" s="12" t="n"/>
      <c r="E21" s="12" t="n"/>
      <c r="F21" s="12" t="n"/>
      <c r="G21" s="27" t="n"/>
      <c r="H21" s="12" t="n"/>
      <c r="I21" s="23" t="n"/>
      <c r="J21" s="18" t="n"/>
      <c r="K21" s="18">
        <f>IF(J21="","",IFERROR(J21*12,0))</f>
        <v/>
      </c>
      <c r="L21" s="12" t="n"/>
    </row>
    <row r="22" ht="22" customHeight="1">
      <c r="B22" s="16">
        <f>IF(C22="","MUT-"&amp;TEXT(COUNTA($C$5:C22),"000"))</f>
        <v/>
      </c>
      <c r="C22" s="14" t="n"/>
      <c r="D22" s="14" t="n"/>
      <c r="E22" s="14" t="n"/>
      <c r="F22" s="14" t="n"/>
      <c r="G22" s="28" t="n"/>
      <c r="H22" s="14" t="n"/>
      <c r="I22" s="24" t="n"/>
      <c r="J22" s="19" t="n"/>
      <c r="K22" s="19">
        <f>IF(J22="","",IFERROR(J22*12,0))</f>
        <v/>
      </c>
      <c r="L22" s="14" t="n"/>
    </row>
    <row r="23" ht="22" customHeight="1">
      <c r="B23" s="17">
        <f>IF(C23="","MUT-"&amp;TEXT(COUNTA($C$5:C23),"000"))</f>
        <v/>
      </c>
      <c r="C23" s="12" t="n"/>
      <c r="D23" s="12" t="n"/>
      <c r="E23" s="12" t="n"/>
      <c r="F23" s="12" t="n"/>
      <c r="G23" s="27" t="n"/>
      <c r="H23" s="12" t="n"/>
      <c r="I23" s="23" t="n"/>
      <c r="J23" s="18" t="n"/>
      <c r="K23" s="18">
        <f>IF(J23="","",IFERROR(J23*12,0))</f>
        <v/>
      </c>
      <c r="L23" s="12" t="n"/>
    </row>
    <row r="24" ht="22" customHeight="1">
      <c r="B24" s="16">
        <f>IF(C24="","MUT-"&amp;TEXT(COUNTA($C$5:C24),"000"))</f>
        <v/>
      </c>
      <c r="C24" s="14" t="n"/>
      <c r="D24" s="14" t="n"/>
      <c r="E24" s="14" t="n"/>
      <c r="F24" s="14" t="n"/>
      <c r="G24" s="28" t="n"/>
      <c r="H24" s="14" t="n"/>
      <c r="I24" s="24" t="n"/>
      <c r="J24" s="19" t="n"/>
      <c r="K24" s="19">
        <f>IF(J24="","",IFERROR(J24*12,0))</f>
        <v/>
      </c>
      <c r="L24" s="14" t="n"/>
    </row>
    <row r="25" ht="22" customHeight="1">
      <c r="B25" s="17">
        <f>IF(C25="","MUT-"&amp;TEXT(COUNTA($C$5:C25),"000"))</f>
        <v/>
      </c>
      <c r="C25" s="12" t="n"/>
      <c r="D25" s="12" t="n"/>
      <c r="E25" s="12" t="n"/>
      <c r="F25" s="12" t="n"/>
      <c r="G25" s="27" t="n"/>
      <c r="H25" s="12" t="n"/>
      <c r="I25" s="23" t="n"/>
      <c r="J25" s="18" t="n"/>
      <c r="K25" s="18">
        <f>IF(J25="","",IFERROR(J25*12,0))</f>
        <v/>
      </c>
      <c r="L25" s="12" t="n"/>
    </row>
    <row r="26" ht="22" customHeight="1">
      <c r="B26" s="16">
        <f>IF(C26="","MUT-"&amp;TEXT(COUNTA($C$5:C26),"000"))</f>
        <v/>
      </c>
      <c r="C26" s="14" t="n"/>
      <c r="D26" s="14" t="n"/>
      <c r="E26" s="14" t="n"/>
      <c r="F26" s="14" t="n"/>
      <c r="G26" s="28" t="n"/>
      <c r="H26" s="14" t="n"/>
      <c r="I26" s="24" t="n"/>
      <c r="J26" s="19" t="n"/>
      <c r="K26" s="19">
        <f>IF(J26="","",IFERROR(J26*12,0))</f>
        <v/>
      </c>
      <c r="L26" s="14" t="n"/>
    </row>
    <row r="27" ht="22" customHeight="1">
      <c r="B27" s="17">
        <f>IF(C27="","MUT-"&amp;TEXT(COUNTA($C$5:C27),"000"))</f>
        <v/>
      </c>
      <c r="C27" s="12" t="n"/>
      <c r="D27" s="12" t="n"/>
      <c r="E27" s="12" t="n"/>
      <c r="F27" s="12" t="n"/>
      <c r="G27" s="27" t="n"/>
      <c r="H27" s="12" t="n"/>
      <c r="I27" s="23" t="n"/>
      <c r="J27" s="18" t="n"/>
      <c r="K27" s="18">
        <f>IF(J27="","",IFERROR(J27*12,0))</f>
        <v/>
      </c>
      <c r="L27" s="12" t="n"/>
    </row>
    <row r="28" ht="22" customHeight="1">
      <c r="B28" s="16">
        <f>IF(C28="","MUT-"&amp;TEXT(COUNTA($C$5:C28),"000"))</f>
        <v/>
      </c>
      <c r="C28" s="14" t="n"/>
      <c r="D28" s="14" t="n"/>
      <c r="E28" s="14" t="n"/>
      <c r="F28" s="14" t="n"/>
      <c r="G28" s="28" t="n"/>
      <c r="H28" s="14" t="n"/>
      <c r="I28" s="24" t="n"/>
      <c r="J28" s="19" t="n"/>
      <c r="K28" s="19">
        <f>IF(J28="","",IFERROR(J28*12,0))</f>
        <v/>
      </c>
      <c r="L28" s="14" t="n"/>
    </row>
    <row r="29" ht="22" customHeight="1">
      <c r="B29" s="17">
        <f>IF(C29="","MUT-"&amp;TEXT(COUNTA($C$5:C29),"000"))</f>
        <v/>
      </c>
      <c r="C29" s="12" t="n"/>
      <c r="D29" s="12" t="n"/>
      <c r="E29" s="12" t="n"/>
      <c r="F29" s="12" t="n"/>
      <c r="G29" s="27" t="n"/>
      <c r="H29" s="12" t="n"/>
      <c r="I29" s="23" t="n"/>
      <c r="J29" s="18" t="n"/>
      <c r="K29" s="18">
        <f>IF(J29="","",IFERROR(J29*12,0))</f>
        <v/>
      </c>
      <c r="L29" s="12" t="n"/>
    </row>
    <row r="30" ht="22" customHeight="1">
      <c r="B30" s="16">
        <f>IF(C30="","MUT-"&amp;TEXT(COUNTA($C$5:C30),"000"))</f>
        <v/>
      </c>
      <c r="C30" s="14" t="n"/>
      <c r="D30" s="14" t="n"/>
      <c r="E30" s="14" t="n"/>
      <c r="F30" s="14" t="n"/>
      <c r="G30" s="28" t="n"/>
      <c r="H30" s="14" t="n"/>
      <c r="I30" s="24" t="n"/>
      <c r="J30" s="19" t="n"/>
      <c r="K30" s="19">
        <f>IF(J30="","",IFERROR(J30*12,0))</f>
        <v/>
      </c>
      <c r="L30" s="14" t="n"/>
    </row>
    <row r="31" ht="22" customHeight="1">
      <c r="B31" s="17">
        <f>IF(C31="","MUT-"&amp;TEXT(COUNTA($C$5:C31),"000"))</f>
        <v/>
      </c>
      <c r="C31" s="12" t="n"/>
      <c r="D31" s="12" t="n"/>
      <c r="E31" s="12" t="n"/>
      <c r="F31" s="12" t="n"/>
      <c r="G31" s="27" t="n"/>
      <c r="H31" s="12" t="n"/>
      <c r="I31" s="23" t="n"/>
      <c r="J31" s="18" t="n"/>
      <c r="K31" s="18">
        <f>IF(J31="","",IFERROR(J31*12,0))</f>
        <v/>
      </c>
      <c r="L31" s="12" t="n"/>
    </row>
    <row r="32" ht="22" customHeight="1">
      <c r="B32" s="16">
        <f>IF(C32="","MUT-"&amp;TEXT(COUNTA($C$5:C32),"000"))</f>
        <v/>
      </c>
      <c r="C32" s="14" t="n"/>
      <c r="D32" s="14" t="n"/>
      <c r="E32" s="14" t="n"/>
      <c r="F32" s="14" t="n"/>
      <c r="G32" s="28" t="n"/>
      <c r="H32" s="14" t="n"/>
      <c r="I32" s="24" t="n"/>
      <c r="J32" s="19" t="n"/>
      <c r="K32" s="19">
        <f>IF(J32="","",IFERROR(J32*12,0))</f>
        <v/>
      </c>
      <c r="L32" s="14" t="n"/>
    </row>
    <row r="33" ht="22" customHeight="1">
      <c r="B33" s="17">
        <f>IF(C33="","MUT-"&amp;TEXT(COUNTA($C$5:C33),"000"))</f>
        <v/>
      </c>
      <c r="C33" s="12" t="n"/>
      <c r="D33" s="12" t="n"/>
      <c r="E33" s="12" t="n"/>
      <c r="F33" s="12" t="n"/>
      <c r="G33" s="27" t="n"/>
      <c r="H33" s="12" t="n"/>
      <c r="I33" s="23" t="n"/>
      <c r="J33" s="18" t="n"/>
      <c r="K33" s="18">
        <f>IF(J33="","",IFERROR(J33*12,0))</f>
        <v/>
      </c>
      <c r="L33" s="12" t="n"/>
    </row>
    <row r="34" ht="22" customHeight="1">
      <c r="B34" s="16">
        <f>IF(C34="","MUT-"&amp;TEXT(COUNTA($C$5:C34),"000"))</f>
        <v/>
      </c>
      <c r="C34" s="14" t="n"/>
      <c r="D34" s="14" t="n"/>
      <c r="E34" s="14" t="n"/>
      <c r="F34" s="14" t="n"/>
      <c r="G34" s="28" t="n"/>
      <c r="H34" s="14" t="n"/>
      <c r="I34" s="24" t="n"/>
      <c r="J34" s="19" t="n"/>
      <c r="K34" s="19">
        <f>IF(J34="","",IFERROR(J34*12,0))</f>
        <v/>
      </c>
      <c r="L34" s="14" t="n"/>
    </row>
    <row r="35" ht="22" customHeight="1">
      <c r="B35" s="17">
        <f>IF(C35="","MUT-"&amp;TEXT(COUNTA($C$5:C35),"000"))</f>
        <v/>
      </c>
      <c r="C35" s="12" t="n"/>
      <c r="D35" s="12" t="n"/>
      <c r="E35" s="12" t="n"/>
      <c r="F35" s="12" t="n"/>
      <c r="G35" s="27" t="n"/>
      <c r="H35" s="12" t="n"/>
      <c r="I35" s="23" t="n"/>
      <c r="J35" s="18" t="n"/>
      <c r="K35" s="18">
        <f>IF(J35="","",IFERROR(J35*12,0))</f>
        <v/>
      </c>
      <c r="L35" s="12" t="n"/>
    </row>
    <row r="36" ht="22" customHeight="1">
      <c r="B36" s="16">
        <f>IF(C36="","MUT-"&amp;TEXT(COUNTA($C$5:C36),"000"))</f>
        <v/>
      </c>
      <c r="C36" s="14" t="n"/>
      <c r="D36" s="14" t="n"/>
      <c r="E36" s="14" t="n"/>
      <c r="F36" s="14" t="n"/>
      <c r="G36" s="28" t="n"/>
      <c r="H36" s="14" t="n"/>
      <c r="I36" s="24" t="n"/>
      <c r="J36" s="19" t="n"/>
      <c r="K36" s="19">
        <f>IF(J36="","",IFERROR(J36*12,0))</f>
        <v/>
      </c>
      <c r="L36" s="14" t="n"/>
    </row>
    <row r="37" ht="22" customHeight="1">
      <c r="B37" s="17">
        <f>IF(C37="","MUT-"&amp;TEXT(COUNTA($C$5:C37),"000"))</f>
        <v/>
      </c>
      <c r="C37" s="12" t="n"/>
      <c r="D37" s="12" t="n"/>
      <c r="E37" s="12" t="n"/>
      <c r="F37" s="12" t="n"/>
      <c r="G37" s="27" t="n"/>
      <c r="H37" s="12" t="n"/>
      <c r="I37" s="23" t="n"/>
      <c r="J37" s="18" t="n"/>
      <c r="K37" s="18">
        <f>IF(J37="","",IFERROR(J37*12,0))</f>
        <v/>
      </c>
      <c r="L37" s="12" t="n"/>
    </row>
    <row r="38" ht="22" customHeight="1">
      <c r="B38" s="16">
        <f>IF(C38="","MUT-"&amp;TEXT(COUNTA($C$5:C38),"000"))</f>
        <v/>
      </c>
      <c r="C38" s="14" t="n"/>
      <c r="D38" s="14" t="n"/>
      <c r="E38" s="14" t="n"/>
      <c r="F38" s="14" t="n"/>
      <c r="G38" s="28" t="n"/>
      <c r="H38" s="14" t="n"/>
      <c r="I38" s="24" t="n"/>
      <c r="J38" s="19" t="n"/>
      <c r="K38" s="19">
        <f>IF(J38="","",IFERROR(J38*12,0))</f>
        <v/>
      </c>
      <c r="L38" s="14" t="n"/>
    </row>
    <row r="39" ht="22" customHeight="1">
      <c r="B39" s="17">
        <f>IF(C39="","MUT-"&amp;TEXT(COUNTA($C$5:C39),"000"))</f>
        <v/>
      </c>
      <c r="C39" s="12" t="n"/>
      <c r="D39" s="12" t="n"/>
      <c r="E39" s="12" t="n"/>
      <c r="F39" s="12" t="n"/>
      <c r="G39" s="27" t="n"/>
      <c r="H39" s="12" t="n"/>
      <c r="I39" s="23" t="n"/>
      <c r="J39" s="18" t="n"/>
      <c r="K39" s="18">
        <f>IF(J39="","",IFERROR(J39*12,0))</f>
        <v/>
      </c>
      <c r="L39" s="12" t="n"/>
    </row>
    <row r="40" ht="22" customHeight="1">
      <c r="B40" s="16">
        <f>IF(C40="","MUT-"&amp;TEXT(COUNTA($C$5:C40),"000"))</f>
        <v/>
      </c>
      <c r="C40" s="14" t="n"/>
      <c r="D40" s="14" t="n"/>
      <c r="E40" s="14" t="n"/>
      <c r="F40" s="14" t="n"/>
      <c r="G40" s="28" t="n"/>
      <c r="H40" s="14" t="n"/>
      <c r="I40" s="24" t="n"/>
      <c r="J40" s="19" t="n"/>
      <c r="K40" s="19">
        <f>IF(J40="","",IFERROR(J40*12,0))</f>
        <v/>
      </c>
      <c r="L40" s="14" t="n"/>
    </row>
    <row r="41" ht="22" customHeight="1">
      <c r="B41" s="17">
        <f>IF(C41="","MUT-"&amp;TEXT(COUNTA($C$5:C41),"000"))</f>
        <v/>
      </c>
      <c r="C41" s="12" t="n"/>
      <c r="D41" s="12" t="n"/>
      <c r="E41" s="12" t="n"/>
      <c r="F41" s="12" t="n"/>
      <c r="G41" s="27" t="n"/>
      <c r="H41" s="12" t="n"/>
      <c r="I41" s="23" t="n"/>
      <c r="J41" s="18" t="n"/>
      <c r="K41" s="18">
        <f>IF(J41="","",IFERROR(J41*12,0))</f>
        <v/>
      </c>
      <c r="L41" s="12" t="n"/>
    </row>
    <row r="42" ht="22" customHeight="1">
      <c r="B42" s="16">
        <f>IF(C42="","MUT-"&amp;TEXT(COUNTA($C$5:C42),"000"))</f>
        <v/>
      </c>
      <c r="C42" s="14" t="n"/>
      <c r="D42" s="14" t="n"/>
      <c r="E42" s="14" t="n"/>
      <c r="F42" s="14" t="n"/>
      <c r="G42" s="28" t="n"/>
      <c r="H42" s="14" t="n"/>
      <c r="I42" s="24" t="n"/>
      <c r="J42" s="19" t="n"/>
      <c r="K42" s="19">
        <f>IF(J42="","",IFERROR(J42*12,0))</f>
        <v/>
      </c>
      <c r="L42" s="14" t="n"/>
    </row>
    <row r="43" ht="22" customHeight="1">
      <c r="B43" s="17">
        <f>IF(C43="","MUT-"&amp;TEXT(COUNTA($C$5:C43),"000"))</f>
        <v/>
      </c>
      <c r="C43" s="12" t="n"/>
      <c r="D43" s="12" t="n"/>
      <c r="E43" s="12" t="n"/>
      <c r="F43" s="12" t="n"/>
      <c r="G43" s="27" t="n"/>
      <c r="H43" s="12" t="n"/>
      <c r="I43" s="23" t="n"/>
      <c r="J43" s="18" t="n"/>
      <c r="K43" s="18">
        <f>IF(J43="","",IFERROR(J43*12,0))</f>
        <v/>
      </c>
      <c r="L43" s="12" t="n"/>
    </row>
    <row r="44" ht="22" customHeight="1">
      <c r="B44" s="16">
        <f>IF(C44="","MUT-"&amp;TEXT(COUNTA($C$5:C44),"000"))</f>
        <v/>
      </c>
      <c r="C44" s="14" t="n"/>
      <c r="D44" s="14" t="n"/>
      <c r="E44" s="14" t="n"/>
      <c r="F44" s="14" t="n"/>
      <c r="G44" s="28" t="n"/>
      <c r="H44" s="14" t="n"/>
      <c r="I44" s="24" t="n"/>
      <c r="J44" s="19" t="n"/>
      <c r="K44" s="19">
        <f>IF(J44="","",IFERROR(J44*12,0))</f>
        <v/>
      </c>
      <c r="L44" s="14" t="n"/>
    </row>
    <row r="45" ht="22" customHeight="1">
      <c r="B45" s="17">
        <f>IF(C45="","MUT-"&amp;TEXT(COUNTA($C$5:C45),"000"))</f>
        <v/>
      </c>
      <c r="C45" s="12" t="n"/>
      <c r="D45" s="12" t="n"/>
      <c r="E45" s="12" t="n"/>
      <c r="F45" s="12" t="n"/>
      <c r="G45" s="27" t="n"/>
      <c r="H45" s="12" t="n"/>
      <c r="I45" s="23" t="n"/>
      <c r="J45" s="18" t="n"/>
      <c r="K45" s="18">
        <f>IF(J45="","",IFERROR(J45*12,0))</f>
        <v/>
      </c>
      <c r="L45" s="12" t="n"/>
    </row>
    <row r="46" ht="22" customHeight="1">
      <c r="B46" s="16">
        <f>IF(C46="","MUT-"&amp;TEXT(COUNTA($C$5:C46),"000"))</f>
        <v/>
      </c>
      <c r="C46" s="14" t="n"/>
      <c r="D46" s="14" t="n"/>
      <c r="E46" s="14" t="n"/>
      <c r="F46" s="14" t="n"/>
      <c r="G46" s="28" t="n"/>
      <c r="H46" s="14" t="n"/>
      <c r="I46" s="24" t="n"/>
      <c r="J46" s="19" t="n"/>
      <c r="K46" s="19">
        <f>IF(J46="","",IFERROR(J46*12,0))</f>
        <v/>
      </c>
      <c r="L46" s="14" t="n"/>
    </row>
    <row r="47" ht="22" customHeight="1">
      <c r="B47" s="17">
        <f>IF(C47="","MUT-"&amp;TEXT(COUNTA($C$5:C47),"000"))</f>
        <v/>
      </c>
      <c r="C47" s="12" t="n"/>
      <c r="D47" s="12" t="n"/>
      <c r="E47" s="12" t="n"/>
      <c r="F47" s="12" t="n"/>
      <c r="G47" s="27" t="n"/>
      <c r="H47" s="12" t="n"/>
      <c r="I47" s="23" t="n"/>
      <c r="J47" s="18" t="n"/>
      <c r="K47" s="18">
        <f>IF(J47="","",IFERROR(J47*12,0))</f>
        <v/>
      </c>
      <c r="L47" s="12" t="n"/>
    </row>
    <row r="48" ht="22" customHeight="1">
      <c r="B48" s="16">
        <f>IF(C48="","MUT-"&amp;TEXT(COUNTA($C$5:C48),"000"))</f>
        <v/>
      </c>
      <c r="C48" s="14" t="n"/>
      <c r="D48" s="14" t="n"/>
      <c r="E48" s="14" t="n"/>
      <c r="F48" s="14" t="n"/>
      <c r="G48" s="28" t="n"/>
      <c r="H48" s="14" t="n"/>
      <c r="I48" s="24" t="n"/>
      <c r="J48" s="19" t="n"/>
      <c r="K48" s="19">
        <f>IF(J48="","",IFERROR(J48*12,0))</f>
        <v/>
      </c>
      <c r="L48" s="14" t="n"/>
    </row>
    <row r="49" ht="22" customHeight="1">
      <c r="B49" s="17">
        <f>IF(C49="","MUT-"&amp;TEXT(COUNTA($C$5:C49),"000"))</f>
        <v/>
      </c>
      <c r="C49" s="12" t="n"/>
      <c r="D49" s="12" t="n"/>
      <c r="E49" s="12" t="n"/>
      <c r="F49" s="12" t="n"/>
      <c r="G49" s="27" t="n"/>
      <c r="H49" s="12" t="n"/>
      <c r="I49" s="23" t="n"/>
      <c r="J49" s="18" t="n"/>
      <c r="K49" s="18">
        <f>IF(J49="","",IFERROR(J49*12,0))</f>
        <v/>
      </c>
      <c r="L49" s="12" t="n"/>
    </row>
    <row r="50" ht="22" customHeight="1">
      <c r="B50" s="16">
        <f>IF(C50="","MUT-"&amp;TEXT(COUNTA($C$5:C50),"000"))</f>
        <v/>
      </c>
      <c r="C50" s="14" t="n"/>
      <c r="D50" s="14" t="n"/>
      <c r="E50" s="14" t="n"/>
      <c r="F50" s="14" t="n"/>
      <c r="G50" s="28" t="n"/>
      <c r="H50" s="14" t="n"/>
      <c r="I50" s="24" t="n"/>
      <c r="J50" s="19" t="n"/>
      <c r="K50" s="19">
        <f>IF(J50="","",IFERROR(J50*12,0))</f>
        <v/>
      </c>
      <c r="L50" s="14" t="n"/>
    </row>
    <row r="51" ht="22" customHeight="1">
      <c r="B51" s="17">
        <f>IF(C51="","MUT-"&amp;TEXT(COUNTA($C$5:C51),"000"))</f>
        <v/>
      </c>
      <c r="C51" s="12" t="n"/>
      <c r="D51" s="12" t="n"/>
      <c r="E51" s="12" t="n"/>
      <c r="F51" s="12" t="n"/>
      <c r="G51" s="27" t="n"/>
      <c r="H51" s="12" t="n"/>
      <c r="I51" s="23" t="n"/>
      <c r="J51" s="18" t="n"/>
      <c r="K51" s="18">
        <f>IF(J51="","",IFERROR(J51*12,0))</f>
        <v/>
      </c>
      <c r="L51" s="12" t="n"/>
    </row>
    <row r="52" ht="22" customHeight="1">
      <c r="B52" s="16">
        <f>IF(C52="","MUT-"&amp;TEXT(COUNTA($C$5:C52),"000"))</f>
        <v/>
      </c>
      <c r="C52" s="14" t="n"/>
      <c r="D52" s="14" t="n"/>
      <c r="E52" s="14" t="n"/>
      <c r="F52" s="14" t="n"/>
      <c r="G52" s="28" t="n"/>
      <c r="H52" s="14" t="n"/>
      <c r="I52" s="24" t="n"/>
      <c r="J52" s="19" t="n"/>
      <c r="K52" s="19">
        <f>IF(J52="","",IFERROR(J52*12,0))</f>
        <v/>
      </c>
      <c r="L52" s="14" t="n"/>
    </row>
    <row r="53" ht="22" customHeight="1">
      <c r="B53" s="17">
        <f>IF(C53="","MUT-"&amp;TEXT(COUNTA($C$5:C53),"000"))</f>
        <v/>
      </c>
      <c r="C53" s="12" t="n"/>
      <c r="D53" s="12" t="n"/>
      <c r="E53" s="12" t="n"/>
      <c r="F53" s="12" t="n"/>
      <c r="G53" s="27" t="n"/>
      <c r="H53" s="12" t="n"/>
      <c r="I53" s="23" t="n"/>
      <c r="J53" s="18" t="n"/>
      <c r="K53" s="18">
        <f>IF(J53="","",IFERROR(J53*12,0))</f>
        <v/>
      </c>
      <c r="L53" s="12" t="n"/>
    </row>
    <row r="54" ht="22" customHeight="1">
      <c r="B54" s="16">
        <f>IF(C54="","MUT-"&amp;TEXT(COUNTA($C$5:C54),"000"))</f>
        <v/>
      </c>
      <c r="C54" s="14" t="n"/>
      <c r="D54" s="14" t="n"/>
      <c r="E54" s="14" t="n"/>
      <c r="F54" s="14" t="n"/>
      <c r="G54" s="28" t="n"/>
      <c r="H54" s="14" t="n"/>
      <c r="I54" s="24" t="n"/>
      <c r="J54" s="19" t="n"/>
      <c r="K54" s="19">
        <f>IF(J54="","",IFERROR(J54*12,0))</f>
        <v/>
      </c>
      <c r="L54" s="14" t="n"/>
    </row>
    <row r="55" ht="22" customHeight="1">
      <c r="B55" s="17">
        <f>IF(C55="","MUT-"&amp;TEXT(COUNTA($C$5:C55),"000"))</f>
        <v/>
      </c>
      <c r="C55" s="12" t="n"/>
      <c r="D55" s="12" t="n"/>
      <c r="E55" s="12" t="n"/>
      <c r="F55" s="12" t="n"/>
      <c r="G55" s="27" t="n"/>
      <c r="H55" s="12" t="n"/>
      <c r="I55" s="23" t="n"/>
      <c r="J55" s="18" t="n"/>
      <c r="K55" s="18">
        <f>IF(J55="","",IFERROR(J55*12,0))</f>
        <v/>
      </c>
      <c r="L55" s="12" t="n"/>
    </row>
    <row r="56" ht="22" customHeight="1">
      <c r="B56" s="16">
        <f>IF(C56="","MUT-"&amp;TEXT(COUNTA($C$5:C56),"000"))</f>
        <v/>
      </c>
      <c r="C56" s="14" t="n"/>
      <c r="D56" s="14" t="n"/>
      <c r="E56" s="14" t="n"/>
      <c r="F56" s="14" t="n"/>
      <c r="G56" s="28" t="n"/>
      <c r="H56" s="14" t="n"/>
      <c r="I56" s="24" t="n"/>
      <c r="J56" s="19" t="n"/>
      <c r="K56" s="19">
        <f>IF(J56="","",IFERROR(J56*12,0))</f>
        <v/>
      </c>
      <c r="L56" s="14" t="n"/>
    </row>
    <row r="57" ht="22" customHeight="1">
      <c r="B57" s="17">
        <f>IF(C57="","MUT-"&amp;TEXT(COUNTA($C$5:C57),"000"))</f>
        <v/>
      </c>
      <c r="C57" s="12" t="n"/>
      <c r="D57" s="12" t="n"/>
      <c r="E57" s="12" t="n"/>
      <c r="F57" s="12" t="n"/>
      <c r="G57" s="27" t="n"/>
      <c r="H57" s="12" t="n"/>
      <c r="I57" s="23" t="n"/>
      <c r="J57" s="18" t="n"/>
      <c r="K57" s="18">
        <f>IF(J57="","",IFERROR(J57*12,0))</f>
        <v/>
      </c>
      <c r="L57" s="12" t="n"/>
    </row>
    <row r="58" ht="22" customHeight="1">
      <c r="B58" s="16">
        <f>IF(C58="","MUT-"&amp;TEXT(COUNTA($C$5:C58),"000"))</f>
        <v/>
      </c>
      <c r="C58" s="14" t="n"/>
      <c r="D58" s="14" t="n"/>
      <c r="E58" s="14" t="n"/>
      <c r="F58" s="14" t="n"/>
      <c r="G58" s="28" t="n"/>
      <c r="H58" s="14" t="n"/>
      <c r="I58" s="24" t="n"/>
      <c r="J58" s="19" t="n"/>
      <c r="K58" s="19">
        <f>IF(J58="","",IFERROR(J58*12,0))</f>
        <v/>
      </c>
      <c r="L58" s="14" t="n"/>
    </row>
    <row r="59" ht="22" customHeight="1">
      <c r="B59" s="17">
        <f>IF(C59="","MUT-"&amp;TEXT(COUNTA($C$5:C59),"000"))</f>
        <v/>
      </c>
      <c r="C59" s="12" t="n"/>
      <c r="D59" s="12" t="n"/>
      <c r="E59" s="12" t="n"/>
      <c r="F59" s="12" t="n"/>
      <c r="G59" s="27" t="n"/>
      <c r="H59" s="12" t="n"/>
      <c r="I59" s="23" t="n"/>
      <c r="J59" s="18" t="n"/>
      <c r="K59" s="18">
        <f>IF(J59="","",IFERROR(J59*12,0))</f>
        <v/>
      </c>
      <c r="L59" s="12" t="n"/>
    </row>
    <row r="60" ht="22" customHeight="1">
      <c r="B60" s="16">
        <f>IF(C60="","MUT-"&amp;TEXT(COUNTA($C$5:C60),"000"))</f>
        <v/>
      </c>
      <c r="C60" s="14" t="n"/>
      <c r="D60" s="14" t="n"/>
      <c r="E60" s="14" t="n"/>
      <c r="F60" s="14" t="n"/>
      <c r="G60" s="28" t="n"/>
      <c r="H60" s="14" t="n"/>
      <c r="I60" s="24" t="n"/>
      <c r="J60" s="19" t="n"/>
      <c r="K60" s="19">
        <f>IF(J60="","",IFERROR(J60*12,0))</f>
        <v/>
      </c>
      <c r="L60" s="14" t="n"/>
    </row>
    <row r="61" ht="22" customHeight="1">
      <c r="B61" s="17">
        <f>IF(C61="","MUT-"&amp;TEXT(COUNTA($C$5:C61),"000"))</f>
        <v/>
      </c>
      <c r="C61" s="12" t="n"/>
      <c r="D61" s="12" t="n"/>
      <c r="E61" s="12" t="n"/>
      <c r="F61" s="12" t="n"/>
      <c r="G61" s="27" t="n"/>
      <c r="H61" s="12" t="n"/>
      <c r="I61" s="23" t="n"/>
      <c r="J61" s="18" t="n"/>
      <c r="K61" s="18">
        <f>IF(J61="","",IFERROR(J61*12,0))</f>
        <v/>
      </c>
      <c r="L61" s="12" t="n"/>
    </row>
    <row r="62" ht="22" customHeight="1">
      <c r="B62" s="16">
        <f>IF(C62="","MUT-"&amp;TEXT(COUNTA($C$5:C62),"000"))</f>
        <v/>
      </c>
      <c r="C62" s="14" t="n"/>
      <c r="D62" s="14" t="n"/>
      <c r="E62" s="14" t="n"/>
      <c r="F62" s="14" t="n"/>
      <c r="G62" s="28" t="n"/>
      <c r="H62" s="14" t="n"/>
      <c r="I62" s="24" t="n"/>
      <c r="J62" s="19" t="n"/>
      <c r="K62" s="19">
        <f>IF(J62="","",IFERROR(J62*12,0))</f>
        <v/>
      </c>
      <c r="L62" s="14" t="n"/>
    </row>
    <row r="63" ht="22" customHeight="1">
      <c r="B63" s="17">
        <f>IF(C63="","MUT-"&amp;TEXT(COUNTA($C$5:C63),"000"))</f>
        <v/>
      </c>
      <c r="C63" s="12" t="n"/>
      <c r="D63" s="12" t="n"/>
      <c r="E63" s="12" t="n"/>
      <c r="F63" s="12" t="n"/>
      <c r="G63" s="27" t="n"/>
      <c r="H63" s="12" t="n"/>
      <c r="I63" s="23" t="n"/>
      <c r="J63" s="18" t="n"/>
      <c r="K63" s="18">
        <f>IF(J63="","",IFERROR(J63*12,0))</f>
        <v/>
      </c>
      <c r="L63" s="12" t="n"/>
    </row>
    <row r="64" ht="22" customHeight="1">
      <c r="B64" s="16">
        <f>IF(C64="","MUT-"&amp;TEXT(COUNTA($C$5:C64),"000"))</f>
        <v/>
      </c>
      <c r="C64" s="14" t="n"/>
      <c r="D64" s="14" t="n"/>
      <c r="E64" s="14" t="n"/>
      <c r="F64" s="14" t="n"/>
      <c r="G64" s="28" t="n"/>
      <c r="H64" s="14" t="n"/>
      <c r="I64" s="24" t="n"/>
      <c r="J64" s="19" t="n"/>
      <c r="K64" s="19">
        <f>IF(J64="","",IFERROR(J64*12,0))</f>
        <v/>
      </c>
      <c r="L64" s="14" t="n"/>
    </row>
    <row r="65" ht="22" customHeight="1">
      <c r="B65" s="17">
        <f>IF(C65="","MUT-"&amp;TEXT(COUNTA($C$5:C65),"000"))</f>
        <v/>
      </c>
      <c r="C65" s="12" t="n"/>
      <c r="D65" s="12" t="n"/>
      <c r="E65" s="12" t="n"/>
      <c r="F65" s="12" t="n"/>
      <c r="G65" s="27" t="n"/>
      <c r="H65" s="12" t="n"/>
      <c r="I65" s="23" t="n"/>
      <c r="J65" s="18" t="n"/>
      <c r="K65" s="18">
        <f>IF(J65="","",IFERROR(J65*12,0))</f>
        <v/>
      </c>
      <c r="L65" s="12" t="n"/>
    </row>
    <row r="66" ht="22" customHeight="1">
      <c r="B66" s="16">
        <f>IF(C66="","MUT-"&amp;TEXT(COUNTA($C$5:C66),"000"))</f>
        <v/>
      </c>
      <c r="C66" s="14" t="n"/>
      <c r="D66" s="14" t="n"/>
      <c r="E66" s="14" t="n"/>
      <c r="F66" s="14" t="n"/>
      <c r="G66" s="28" t="n"/>
      <c r="H66" s="14" t="n"/>
      <c r="I66" s="24" t="n"/>
      <c r="J66" s="19" t="n"/>
      <c r="K66" s="19">
        <f>IF(J66="","",IFERROR(J66*12,0))</f>
        <v/>
      </c>
      <c r="L66" s="14" t="n"/>
    </row>
    <row r="67" ht="22" customHeight="1">
      <c r="B67" s="17">
        <f>IF(C67="","MUT-"&amp;TEXT(COUNTA($C$5:C67),"000"))</f>
        <v/>
      </c>
      <c r="C67" s="12" t="n"/>
      <c r="D67" s="12" t="n"/>
      <c r="E67" s="12" t="n"/>
      <c r="F67" s="12" t="n"/>
      <c r="G67" s="27" t="n"/>
      <c r="H67" s="12" t="n"/>
      <c r="I67" s="23" t="n"/>
      <c r="J67" s="18" t="n"/>
      <c r="K67" s="18">
        <f>IF(J67="","",IFERROR(J67*12,0))</f>
        <v/>
      </c>
      <c r="L67" s="12" t="n"/>
    </row>
    <row r="68" ht="22" customHeight="1">
      <c r="B68" s="16">
        <f>IF(C68="","MUT-"&amp;TEXT(COUNTA($C$5:C68),"000"))</f>
        <v/>
      </c>
      <c r="C68" s="14" t="n"/>
      <c r="D68" s="14" t="n"/>
      <c r="E68" s="14" t="n"/>
      <c r="F68" s="14" t="n"/>
      <c r="G68" s="28" t="n"/>
      <c r="H68" s="14" t="n"/>
      <c r="I68" s="24" t="n"/>
      <c r="J68" s="19" t="n"/>
      <c r="K68" s="19">
        <f>IF(J68="","",IFERROR(J68*12,0))</f>
        <v/>
      </c>
      <c r="L68" s="14" t="n"/>
    </row>
    <row r="69" ht="22" customHeight="1">
      <c r="B69" s="17">
        <f>IF(C69="","MUT-"&amp;TEXT(COUNTA($C$5:C69),"000"))</f>
        <v/>
      </c>
      <c r="C69" s="12" t="n"/>
      <c r="D69" s="12" t="n"/>
      <c r="E69" s="12" t="n"/>
      <c r="F69" s="12" t="n"/>
      <c r="G69" s="27" t="n"/>
      <c r="H69" s="12" t="n"/>
      <c r="I69" s="23" t="n"/>
      <c r="J69" s="18" t="n"/>
      <c r="K69" s="18">
        <f>IF(J69="","",IFERROR(J69*12,0))</f>
        <v/>
      </c>
      <c r="L69" s="12" t="n"/>
    </row>
    <row r="70" ht="22" customHeight="1">
      <c r="B70" s="16">
        <f>IF(C70="","MUT-"&amp;TEXT(COUNTA($C$5:C70),"000"))</f>
        <v/>
      </c>
      <c r="C70" s="14" t="n"/>
      <c r="D70" s="14" t="n"/>
      <c r="E70" s="14" t="n"/>
      <c r="F70" s="14" t="n"/>
      <c r="G70" s="28" t="n"/>
      <c r="H70" s="14" t="n"/>
      <c r="I70" s="24" t="n"/>
      <c r="J70" s="19" t="n"/>
      <c r="K70" s="19">
        <f>IF(J70="","",IFERROR(J70*12,0))</f>
        <v/>
      </c>
      <c r="L70" s="14" t="n"/>
    </row>
    <row r="71" ht="22" customHeight="1">
      <c r="B71" s="17">
        <f>IF(C71="","MUT-"&amp;TEXT(COUNTA($C$5:C71),"000"))</f>
        <v/>
      </c>
      <c r="C71" s="12" t="n"/>
      <c r="D71" s="12" t="n"/>
      <c r="E71" s="12" t="n"/>
      <c r="F71" s="12" t="n"/>
      <c r="G71" s="27" t="n"/>
      <c r="H71" s="12" t="n"/>
      <c r="I71" s="23" t="n"/>
      <c r="J71" s="18" t="n"/>
      <c r="K71" s="18">
        <f>IF(J71="","",IFERROR(J71*12,0))</f>
        <v/>
      </c>
      <c r="L71" s="12" t="n"/>
    </row>
    <row r="72" ht="22" customHeight="1">
      <c r="B72" s="16">
        <f>IF(C72="","MUT-"&amp;TEXT(COUNTA($C$5:C72),"000"))</f>
        <v/>
      </c>
      <c r="C72" s="14" t="n"/>
      <c r="D72" s="14" t="n"/>
      <c r="E72" s="14" t="n"/>
      <c r="F72" s="14" t="n"/>
      <c r="G72" s="28" t="n"/>
      <c r="H72" s="14" t="n"/>
      <c r="I72" s="24" t="n"/>
      <c r="J72" s="19" t="n"/>
      <c r="K72" s="19">
        <f>IF(J72="","",IFERROR(J72*12,0))</f>
        <v/>
      </c>
      <c r="L72" s="14" t="n"/>
    </row>
    <row r="73" ht="22" customHeight="1">
      <c r="B73" s="17">
        <f>IF(C73="","MUT-"&amp;TEXT(COUNTA($C$5:C73),"000"))</f>
        <v/>
      </c>
      <c r="C73" s="12" t="n"/>
      <c r="D73" s="12" t="n"/>
      <c r="E73" s="12" t="n"/>
      <c r="F73" s="12" t="n"/>
      <c r="G73" s="27" t="n"/>
      <c r="H73" s="12" t="n"/>
      <c r="I73" s="23" t="n"/>
      <c r="J73" s="18" t="n"/>
      <c r="K73" s="18">
        <f>IF(J73="","",IFERROR(J73*12,0))</f>
        <v/>
      </c>
      <c r="L73" s="12" t="n"/>
    </row>
    <row r="74" ht="22" customHeight="1">
      <c r="B74" s="16">
        <f>IF(C74="","MUT-"&amp;TEXT(COUNTA($C$5:C74),"000"))</f>
        <v/>
      </c>
      <c r="C74" s="14" t="n"/>
      <c r="D74" s="14" t="n"/>
      <c r="E74" s="14" t="n"/>
      <c r="F74" s="14" t="n"/>
      <c r="G74" s="28" t="n"/>
      <c r="H74" s="14" t="n"/>
      <c r="I74" s="24" t="n"/>
      <c r="J74" s="19" t="n"/>
      <c r="K74" s="19">
        <f>IF(J74="","",IFERROR(J74*12,0))</f>
        <v/>
      </c>
      <c r="L74" s="14" t="n"/>
    </row>
    <row r="75" ht="22" customHeight="1">
      <c r="B75" s="17">
        <f>IF(C75="","MUT-"&amp;TEXT(COUNTA($C$5:C75),"000"))</f>
        <v/>
      </c>
      <c r="C75" s="12" t="n"/>
      <c r="D75" s="12" t="n"/>
      <c r="E75" s="12" t="n"/>
      <c r="F75" s="12" t="n"/>
      <c r="G75" s="27" t="n"/>
      <c r="H75" s="12" t="n"/>
      <c r="I75" s="23" t="n"/>
      <c r="J75" s="18" t="n"/>
      <c r="K75" s="18">
        <f>IF(J75="","",IFERROR(J75*12,0))</f>
        <v/>
      </c>
      <c r="L75" s="12" t="n"/>
    </row>
    <row r="76" ht="22" customHeight="1">
      <c r="B76" s="16">
        <f>IF(C76="","MUT-"&amp;TEXT(COUNTA($C$5:C76),"000"))</f>
        <v/>
      </c>
      <c r="C76" s="14" t="n"/>
      <c r="D76" s="14" t="n"/>
      <c r="E76" s="14" t="n"/>
      <c r="F76" s="14" t="n"/>
      <c r="G76" s="28" t="n"/>
      <c r="H76" s="14" t="n"/>
      <c r="I76" s="24" t="n"/>
      <c r="J76" s="19" t="n"/>
      <c r="K76" s="19">
        <f>IF(J76="","",IFERROR(J76*12,0))</f>
        <v/>
      </c>
      <c r="L76" s="14" t="n"/>
    </row>
    <row r="77" ht="22" customHeight="1">
      <c r="B77" s="17">
        <f>IF(C77="","MUT-"&amp;TEXT(COUNTA($C$5:C77),"000"))</f>
        <v/>
      </c>
      <c r="C77" s="12" t="n"/>
      <c r="D77" s="12" t="n"/>
      <c r="E77" s="12" t="n"/>
      <c r="F77" s="12" t="n"/>
      <c r="G77" s="27" t="n"/>
      <c r="H77" s="12" t="n"/>
      <c r="I77" s="23" t="n"/>
      <c r="J77" s="18" t="n"/>
      <c r="K77" s="18">
        <f>IF(J77="","",IFERROR(J77*12,0))</f>
        <v/>
      </c>
      <c r="L77" s="12" t="n"/>
    </row>
    <row r="78" ht="22" customHeight="1">
      <c r="B78" s="16">
        <f>IF(C78="","MUT-"&amp;TEXT(COUNTA($C$5:C78),"000"))</f>
        <v/>
      </c>
      <c r="C78" s="14" t="n"/>
      <c r="D78" s="14" t="n"/>
      <c r="E78" s="14" t="n"/>
      <c r="F78" s="14" t="n"/>
      <c r="G78" s="28" t="n"/>
      <c r="H78" s="14" t="n"/>
      <c r="I78" s="24" t="n"/>
      <c r="J78" s="19" t="n"/>
      <c r="K78" s="19">
        <f>IF(J78="","",IFERROR(J78*12,0))</f>
        <v/>
      </c>
      <c r="L78" s="14" t="n"/>
    </row>
    <row r="79" ht="22" customHeight="1">
      <c r="B79" s="17">
        <f>IF(C79="","MUT-"&amp;TEXT(COUNTA($C$5:C79),"000"))</f>
        <v/>
      </c>
      <c r="C79" s="12" t="n"/>
      <c r="D79" s="12" t="n"/>
      <c r="E79" s="12" t="n"/>
      <c r="F79" s="12" t="n"/>
      <c r="G79" s="27" t="n"/>
      <c r="H79" s="12" t="n"/>
      <c r="I79" s="23" t="n"/>
      <c r="J79" s="18" t="n"/>
      <c r="K79" s="18">
        <f>IF(J79="","",IFERROR(J79*12,0))</f>
        <v/>
      </c>
      <c r="L79" s="12" t="n"/>
    </row>
    <row r="80" ht="22" customHeight="1">
      <c r="B80" s="16">
        <f>IF(C80="","MUT-"&amp;TEXT(COUNTA($C$5:C80),"000"))</f>
        <v/>
      </c>
      <c r="C80" s="14" t="n"/>
      <c r="D80" s="14" t="n"/>
      <c r="E80" s="14" t="n"/>
      <c r="F80" s="14" t="n"/>
      <c r="G80" s="28" t="n"/>
      <c r="H80" s="14" t="n"/>
      <c r="I80" s="24" t="n"/>
      <c r="J80" s="19" t="n"/>
      <c r="K80" s="19">
        <f>IF(J80="","",IFERROR(J80*12,0))</f>
        <v/>
      </c>
      <c r="L80" s="14" t="n"/>
    </row>
    <row r="81" ht="22" customHeight="1">
      <c r="B81" s="17">
        <f>IF(C81="","MUT-"&amp;TEXT(COUNTA($C$5:C81),"000"))</f>
        <v/>
      </c>
      <c r="C81" s="12" t="n"/>
      <c r="D81" s="12" t="n"/>
      <c r="E81" s="12" t="n"/>
      <c r="F81" s="12" t="n"/>
      <c r="G81" s="27" t="n"/>
      <c r="H81" s="12" t="n"/>
      <c r="I81" s="23" t="n"/>
      <c r="J81" s="18" t="n"/>
      <c r="K81" s="18">
        <f>IF(J81="","",IFERROR(J81*12,0))</f>
        <v/>
      </c>
      <c r="L81" s="12" t="n"/>
    </row>
    <row r="82" ht="22" customHeight="1">
      <c r="B82" s="16">
        <f>IF(C82="","MUT-"&amp;TEXT(COUNTA($C$5:C82),"000"))</f>
        <v/>
      </c>
      <c r="C82" s="14" t="n"/>
      <c r="D82" s="14" t="n"/>
      <c r="E82" s="14" t="n"/>
      <c r="F82" s="14" t="n"/>
      <c r="G82" s="28" t="n"/>
      <c r="H82" s="14" t="n"/>
      <c r="I82" s="24" t="n"/>
      <c r="J82" s="19" t="n"/>
      <c r="K82" s="19">
        <f>IF(J82="","",IFERROR(J82*12,0))</f>
        <v/>
      </c>
      <c r="L82" s="14" t="n"/>
    </row>
    <row r="83" ht="22" customHeight="1">
      <c r="B83" s="17">
        <f>IF(C83="","MUT-"&amp;TEXT(COUNTA($C$5:C83),"000"))</f>
        <v/>
      </c>
      <c r="C83" s="12" t="n"/>
      <c r="D83" s="12" t="n"/>
      <c r="E83" s="12" t="n"/>
      <c r="F83" s="12" t="n"/>
      <c r="G83" s="27" t="n"/>
      <c r="H83" s="12" t="n"/>
      <c r="I83" s="23" t="n"/>
      <c r="J83" s="18" t="n"/>
      <c r="K83" s="18">
        <f>IF(J83="","",IFERROR(J83*12,0))</f>
        <v/>
      </c>
      <c r="L83" s="12" t="n"/>
    </row>
    <row r="84" ht="22" customHeight="1">
      <c r="B84" s="16">
        <f>IF(C84="","MUT-"&amp;TEXT(COUNTA($C$5:C84),"000"))</f>
        <v/>
      </c>
      <c r="C84" s="14" t="n"/>
      <c r="D84" s="14" t="n"/>
      <c r="E84" s="14" t="n"/>
      <c r="F84" s="14" t="n"/>
      <c r="G84" s="28" t="n"/>
      <c r="H84" s="14" t="n"/>
      <c r="I84" s="24" t="n"/>
      <c r="J84" s="19" t="n"/>
      <c r="K84" s="19">
        <f>IF(J84="","",IFERROR(J84*12,0))</f>
        <v/>
      </c>
      <c r="L84" s="14" t="n"/>
    </row>
    <row r="85" ht="22" customHeight="1">
      <c r="B85" s="17">
        <f>IF(C85="","MUT-"&amp;TEXT(COUNTA($C$5:C85),"000"))</f>
        <v/>
      </c>
      <c r="C85" s="12" t="n"/>
      <c r="D85" s="12" t="n"/>
      <c r="E85" s="12" t="n"/>
      <c r="F85" s="12" t="n"/>
      <c r="G85" s="27" t="n"/>
      <c r="H85" s="12" t="n"/>
      <c r="I85" s="23" t="n"/>
      <c r="J85" s="18" t="n"/>
      <c r="K85" s="18">
        <f>IF(J85="","",IFERROR(J85*12,0))</f>
        <v/>
      </c>
      <c r="L85" s="12" t="n"/>
    </row>
    <row r="86" ht="22" customHeight="1">
      <c r="B86" s="16">
        <f>IF(C86="","MUT-"&amp;TEXT(COUNTA($C$5:C86),"000"))</f>
        <v/>
      </c>
      <c r="C86" s="14" t="n"/>
      <c r="D86" s="14" t="n"/>
      <c r="E86" s="14" t="n"/>
      <c r="F86" s="14" t="n"/>
      <c r="G86" s="28" t="n"/>
      <c r="H86" s="14" t="n"/>
      <c r="I86" s="24" t="n"/>
      <c r="J86" s="19" t="n"/>
      <c r="K86" s="19">
        <f>IF(J86="","",IFERROR(J86*12,0))</f>
        <v/>
      </c>
      <c r="L86" s="14" t="n"/>
    </row>
    <row r="87" ht="22" customHeight="1">
      <c r="B87" s="17">
        <f>IF(C87="","MUT-"&amp;TEXT(COUNTA($C$5:C87),"000"))</f>
        <v/>
      </c>
      <c r="C87" s="12" t="n"/>
      <c r="D87" s="12" t="n"/>
      <c r="E87" s="12" t="n"/>
      <c r="F87" s="12" t="n"/>
      <c r="G87" s="27" t="n"/>
      <c r="H87" s="12" t="n"/>
      <c r="I87" s="23" t="n"/>
      <c r="J87" s="18" t="n"/>
      <c r="K87" s="18">
        <f>IF(J87="","",IFERROR(J87*12,0))</f>
        <v/>
      </c>
      <c r="L87" s="12" t="n"/>
    </row>
    <row r="88" ht="22" customHeight="1">
      <c r="B88" s="16">
        <f>IF(C88="","MUT-"&amp;TEXT(COUNTA($C$5:C88),"000"))</f>
        <v/>
      </c>
      <c r="C88" s="14" t="n"/>
      <c r="D88" s="14" t="n"/>
      <c r="E88" s="14" t="n"/>
      <c r="F88" s="14" t="n"/>
      <c r="G88" s="28" t="n"/>
      <c r="H88" s="14" t="n"/>
      <c r="I88" s="24" t="n"/>
      <c r="J88" s="19" t="n"/>
      <c r="K88" s="19">
        <f>IF(J88="","",IFERROR(J88*12,0))</f>
        <v/>
      </c>
      <c r="L88" s="14" t="n"/>
    </row>
    <row r="89" ht="22" customHeight="1">
      <c r="B89" s="17">
        <f>IF(C89="","MUT-"&amp;TEXT(COUNTA($C$5:C89),"000"))</f>
        <v/>
      </c>
      <c r="C89" s="12" t="n"/>
      <c r="D89" s="12" t="n"/>
      <c r="E89" s="12" t="n"/>
      <c r="F89" s="12" t="n"/>
      <c r="G89" s="27" t="n"/>
      <c r="H89" s="12" t="n"/>
      <c r="I89" s="23" t="n"/>
      <c r="J89" s="18" t="n"/>
      <c r="K89" s="18">
        <f>IF(J89="","",IFERROR(J89*12,0))</f>
        <v/>
      </c>
      <c r="L89" s="12" t="n"/>
    </row>
    <row r="90" ht="22" customHeight="1">
      <c r="B90" s="16">
        <f>IF(C90="","MUT-"&amp;TEXT(COUNTA($C$5:C90),"000"))</f>
        <v/>
      </c>
      <c r="C90" s="14" t="n"/>
      <c r="D90" s="14" t="n"/>
      <c r="E90" s="14" t="n"/>
      <c r="F90" s="14" t="n"/>
      <c r="G90" s="28" t="n"/>
      <c r="H90" s="14" t="n"/>
      <c r="I90" s="24" t="n"/>
      <c r="J90" s="19" t="n"/>
      <c r="K90" s="19">
        <f>IF(J90="","",IFERROR(J90*12,0))</f>
        <v/>
      </c>
      <c r="L90" s="14" t="n"/>
    </row>
    <row r="91" ht="22" customHeight="1">
      <c r="B91" s="17">
        <f>IF(C91="","MUT-"&amp;TEXT(COUNTA($C$5:C91),"000"))</f>
        <v/>
      </c>
      <c r="C91" s="12" t="n"/>
      <c r="D91" s="12" t="n"/>
      <c r="E91" s="12" t="n"/>
      <c r="F91" s="12" t="n"/>
      <c r="G91" s="27" t="n"/>
      <c r="H91" s="12" t="n"/>
      <c r="I91" s="23" t="n"/>
      <c r="J91" s="18" t="n"/>
      <c r="K91" s="18">
        <f>IF(J91="","",IFERROR(J91*12,0))</f>
        <v/>
      </c>
      <c r="L91" s="12" t="n"/>
    </row>
    <row r="92" ht="22" customHeight="1">
      <c r="B92" s="16">
        <f>IF(C92="","MUT-"&amp;TEXT(COUNTA($C$5:C92),"000"))</f>
        <v/>
      </c>
      <c r="C92" s="14" t="n"/>
      <c r="D92" s="14" t="n"/>
      <c r="E92" s="14" t="n"/>
      <c r="F92" s="14" t="n"/>
      <c r="G92" s="28" t="n"/>
      <c r="H92" s="14" t="n"/>
      <c r="I92" s="24" t="n"/>
      <c r="J92" s="19" t="n"/>
      <c r="K92" s="19">
        <f>IF(J92="","",IFERROR(J92*12,0))</f>
        <v/>
      </c>
      <c r="L92" s="14" t="n"/>
    </row>
    <row r="93" ht="22" customHeight="1">
      <c r="B93" s="17">
        <f>IF(C93="","MUT-"&amp;TEXT(COUNTA($C$5:C93),"000"))</f>
        <v/>
      </c>
      <c r="C93" s="12" t="n"/>
      <c r="D93" s="12" t="n"/>
      <c r="E93" s="12" t="n"/>
      <c r="F93" s="12" t="n"/>
      <c r="G93" s="27" t="n"/>
      <c r="H93" s="12" t="n"/>
      <c r="I93" s="23" t="n"/>
      <c r="J93" s="18" t="n"/>
      <c r="K93" s="18">
        <f>IF(J93="","",IFERROR(J93*12,0))</f>
        <v/>
      </c>
      <c r="L93" s="12" t="n"/>
    </row>
    <row r="94" ht="22" customHeight="1">
      <c r="B94" s="16">
        <f>IF(C94="","MUT-"&amp;TEXT(COUNTA($C$5:C94),"000"))</f>
        <v/>
      </c>
      <c r="C94" s="14" t="n"/>
      <c r="D94" s="14" t="n"/>
      <c r="E94" s="14" t="n"/>
      <c r="F94" s="14" t="n"/>
      <c r="G94" s="28" t="n"/>
      <c r="H94" s="14" t="n"/>
      <c r="I94" s="24" t="n"/>
      <c r="J94" s="19" t="n"/>
      <c r="K94" s="19">
        <f>IF(J94="","",IFERROR(J94*12,0))</f>
        <v/>
      </c>
      <c r="L94" s="14" t="n"/>
    </row>
    <row r="95" ht="22" customHeight="1">
      <c r="B95" s="17">
        <f>IF(C95="","MUT-"&amp;TEXT(COUNTA($C$5:C95),"000"))</f>
        <v/>
      </c>
      <c r="C95" s="12" t="n"/>
      <c r="D95" s="12" t="n"/>
      <c r="E95" s="12" t="n"/>
      <c r="F95" s="12" t="n"/>
      <c r="G95" s="27" t="n"/>
      <c r="H95" s="12" t="n"/>
      <c r="I95" s="23" t="n"/>
      <c r="J95" s="18" t="n"/>
      <c r="K95" s="18">
        <f>IF(J95="","",IFERROR(J95*12,0))</f>
        <v/>
      </c>
      <c r="L95" s="12" t="n"/>
    </row>
    <row r="96" ht="22" customHeight="1">
      <c r="B96" s="16">
        <f>IF(C96="","MUT-"&amp;TEXT(COUNTA($C$5:C96),"000"))</f>
        <v/>
      </c>
      <c r="C96" s="14" t="n"/>
      <c r="D96" s="14" t="n"/>
      <c r="E96" s="14" t="n"/>
      <c r="F96" s="14" t="n"/>
      <c r="G96" s="28" t="n"/>
      <c r="H96" s="14" t="n"/>
      <c r="I96" s="24" t="n"/>
      <c r="J96" s="19" t="n"/>
      <c r="K96" s="19">
        <f>IF(J96="","",IFERROR(J96*12,0))</f>
        <v/>
      </c>
      <c r="L96" s="14" t="n"/>
    </row>
    <row r="97" ht="22" customHeight="1">
      <c r="B97" s="17">
        <f>IF(C97="","MUT-"&amp;TEXT(COUNTA($C$5:C97),"000"))</f>
        <v/>
      </c>
      <c r="C97" s="12" t="n"/>
      <c r="D97" s="12" t="n"/>
      <c r="E97" s="12" t="n"/>
      <c r="F97" s="12" t="n"/>
      <c r="G97" s="27" t="n"/>
      <c r="H97" s="12" t="n"/>
      <c r="I97" s="23" t="n"/>
      <c r="J97" s="18" t="n"/>
      <c r="K97" s="18">
        <f>IF(J97="","",IFERROR(J97*12,0))</f>
        <v/>
      </c>
      <c r="L97" s="12" t="n"/>
    </row>
    <row r="98" ht="22" customHeight="1">
      <c r="B98" s="16">
        <f>IF(C98="","MUT-"&amp;TEXT(COUNTA($C$5:C98),"000"))</f>
        <v/>
      </c>
      <c r="C98" s="14" t="n"/>
      <c r="D98" s="14" t="n"/>
      <c r="E98" s="14" t="n"/>
      <c r="F98" s="14" t="n"/>
      <c r="G98" s="28" t="n"/>
      <c r="H98" s="14" t="n"/>
      <c r="I98" s="24" t="n"/>
      <c r="J98" s="19" t="n"/>
      <c r="K98" s="19">
        <f>IF(J98="","",IFERROR(J98*12,0))</f>
        <v/>
      </c>
      <c r="L98" s="14" t="n"/>
    </row>
    <row r="99" ht="22" customHeight="1">
      <c r="B99" s="17">
        <f>IF(C99="","MUT-"&amp;TEXT(COUNTA($C$5:C99),"000"))</f>
        <v/>
      </c>
      <c r="C99" s="12" t="n"/>
      <c r="D99" s="12" t="n"/>
      <c r="E99" s="12" t="n"/>
      <c r="F99" s="12" t="n"/>
      <c r="G99" s="27" t="n"/>
      <c r="H99" s="12" t="n"/>
      <c r="I99" s="23" t="n"/>
      <c r="J99" s="18" t="n"/>
      <c r="K99" s="18">
        <f>IF(J99="","",IFERROR(J99*12,0))</f>
        <v/>
      </c>
      <c r="L99" s="12" t="n"/>
    </row>
    <row r="100" ht="22" customHeight="1">
      <c r="B100" s="16">
        <f>IF(C100="","MUT-"&amp;TEXT(COUNTA($C$5:C100),"000"))</f>
        <v/>
      </c>
      <c r="C100" s="14" t="n"/>
      <c r="D100" s="14" t="n"/>
      <c r="E100" s="14" t="n"/>
      <c r="F100" s="14" t="n"/>
      <c r="G100" s="28" t="n"/>
      <c r="H100" s="14" t="n"/>
      <c r="I100" s="24" t="n"/>
      <c r="J100" s="19" t="n"/>
      <c r="K100" s="19">
        <f>IF(J100="","",IFERROR(J100*12,0))</f>
        <v/>
      </c>
      <c r="L100" s="14" t="n"/>
    </row>
    <row r="101" ht="22" customHeight="1">
      <c r="B101" s="17">
        <f>IF(C101="","MUT-"&amp;TEXT(COUNTA($C$5:C101),"000"))</f>
        <v/>
      </c>
      <c r="C101" s="12" t="n"/>
      <c r="D101" s="12" t="n"/>
      <c r="E101" s="12" t="n"/>
      <c r="F101" s="12" t="n"/>
      <c r="G101" s="27" t="n"/>
      <c r="H101" s="12" t="n"/>
      <c r="I101" s="23" t="n"/>
      <c r="J101" s="18" t="n"/>
      <c r="K101" s="18">
        <f>IF(J101="","",IFERROR(J101*12,0))</f>
        <v/>
      </c>
      <c r="L101" s="12" t="n"/>
    </row>
    <row r="102" ht="22" customHeight="1">
      <c r="B102" s="16">
        <f>IF(C102="","MUT-"&amp;TEXT(COUNTA($C$5:C102),"000"))</f>
        <v/>
      </c>
      <c r="C102" s="14" t="n"/>
      <c r="D102" s="14" t="n"/>
      <c r="E102" s="14" t="n"/>
      <c r="F102" s="14" t="n"/>
      <c r="G102" s="28" t="n"/>
      <c r="H102" s="14" t="n"/>
      <c r="I102" s="24" t="n"/>
      <c r="J102" s="19" t="n"/>
      <c r="K102" s="19">
        <f>IF(J102="","",IFERROR(J102*12,0))</f>
        <v/>
      </c>
      <c r="L102" s="14" t="n"/>
    </row>
    <row r="103" ht="22" customHeight="1">
      <c r="B103" s="17">
        <f>IF(C103="","MUT-"&amp;TEXT(COUNTA($C$5:C103),"000"))</f>
        <v/>
      </c>
      <c r="C103" s="12" t="n"/>
      <c r="D103" s="12" t="n"/>
      <c r="E103" s="12" t="n"/>
      <c r="F103" s="12" t="n"/>
      <c r="G103" s="27" t="n"/>
      <c r="H103" s="12" t="n"/>
      <c r="I103" s="23" t="n"/>
      <c r="J103" s="18" t="n"/>
      <c r="K103" s="18">
        <f>IF(J103="","",IFERROR(J103*12,0))</f>
        <v/>
      </c>
      <c r="L103" s="12" t="n"/>
    </row>
    <row r="104" ht="22" customHeight="1">
      <c r="B104" s="16">
        <f>IF(C104="","MUT-"&amp;TEXT(COUNTA($C$5:C104),"000"))</f>
        <v/>
      </c>
      <c r="C104" s="14" t="n"/>
      <c r="D104" s="14" t="n"/>
      <c r="E104" s="14" t="n"/>
      <c r="F104" s="14" t="n"/>
      <c r="G104" s="28" t="n"/>
      <c r="H104" s="14" t="n"/>
      <c r="I104" s="24" t="n"/>
      <c r="J104" s="19" t="n"/>
      <c r="K104" s="19">
        <f>IF(J104="","",IFERROR(J104*12,0))</f>
        <v/>
      </c>
      <c r="L104" s="14" t="n"/>
    </row>
    <row r="105" ht="22" customHeight="1">
      <c r="B105" s="17">
        <f>IF(C105="","MUT-"&amp;TEXT(COUNTA($C$5:C105),"000"))</f>
        <v/>
      </c>
      <c r="C105" s="12" t="n"/>
      <c r="D105" s="12" t="n"/>
      <c r="E105" s="12" t="n"/>
      <c r="F105" s="12" t="n"/>
      <c r="G105" s="27" t="n"/>
      <c r="H105" s="12" t="n"/>
      <c r="I105" s="23" t="n"/>
      <c r="J105" s="18" t="n"/>
      <c r="L105" s="12" t="n"/>
    </row>
    <row r="106" ht="22" customHeight="1">
      <c r="B106" s="16">
        <f>IF(C106="","MUT-"&amp;TEXT(COUNTA($C$5:C106),"000"))</f>
        <v/>
      </c>
      <c r="C106" s="14" t="n"/>
      <c r="D106" s="14" t="n"/>
      <c r="E106" s="14" t="n"/>
      <c r="F106" s="14" t="n"/>
      <c r="G106" s="28" t="n"/>
      <c r="H106" s="14" t="n"/>
      <c r="I106" s="24" t="n"/>
      <c r="J106" s="19" t="n"/>
      <c r="L106" s="14" t="n"/>
    </row>
    <row r="107" ht="22" customHeight="1">
      <c r="B107" s="17">
        <f>IF(C107="","MUT-"&amp;TEXT(COUNTA($C$5:C107),"000"))</f>
        <v/>
      </c>
      <c r="C107" s="12" t="n"/>
      <c r="D107" s="12" t="n"/>
      <c r="E107" s="12" t="n"/>
      <c r="F107" s="12" t="n"/>
      <c r="G107" s="27" t="n"/>
      <c r="H107" s="12" t="n"/>
      <c r="I107" s="23" t="n"/>
      <c r="J107" s="18" t="n"/>
      <c r="L107" s="12" t="n"/>
    </row>
    <row r="108" ht="22" customHeight="1">
      <c r="B108" s="16">
        <f>IF(C108="","MUT-"&amp;TEXT(COUNTA($C$5:C108),"000"))</f>
        <v/>
      </c>
      <c r="C108" s="14" t="n"/>
      <c r="D108" s="14" t="n"/>
      <c r="E108" s="14" t="n"/>
      <c r="F108" s="14" t="n"/>
      <c r="G108" s="28" t="n"/>
      <c r="H108" s="14" t="n"/>
      <c r="I108" s="24" t="n"/>
      <c r="J108" s="19" t="n"/>
      <c r="L108" s="14" t="n"/>
    </row>
    <row r="109" ht="22" customHeight="1">
      <c r="B109" s="17">
        <f>IF(C109="","MUT-"&amp;TEXT(COUNTA($C$5:C109),"000"))</f>
        <v/>
      </c>
      <c r="C109" s="12" t="n"/>
      <c r="D109" s="12" t="n"/>
      <c r="E109" s="12" t="n"/>
      <c r="F109" s="12" t="n"/>
      <c r="G109" s="27" t="n"/>
      <c r="H109" s="12" t="n"/>
      <c r="I109" s="23" t="n"/>
      <c r="J109" s="18" t="n"/>
      <c r="L109" s="12" t="n"/>
    </row>
    <row r="110"/>
    <row r="111" ht="26" customHeight="1">
      <c r="B111" s="20" t="inlineStr">
        <is>
          <t>TOTAL</t>
        </is>
      </c>
      <c r="C111" s="21" t="n"/>
      <c r="D111" s="21" t="n"/>
      <c r="E111" s="21" t="n"/>
      <c r="F111" s="21" t="n"/>
      <c r="G111" s="21" t="n"/>
      <c r="H111" s="21" t="n"/>
      <c r="I111" s="21" t="n"/>
      <c r="J111" s="22">
        <f>SUM(J5:J104)</f>
        <v/>
      </c>
      <c r="L111" s="21" t="n"/>
    </row>
    <row r="112"/>
    <row r="113">
      <c r="B113" s="6" t="inlineStr">
        <is>
          <t>INDICATEURS (mis a jour automatiquement)</t>
        </is>
      </c>
    </row>
    <row r="114">
      <c r="B114" s="3" t="inlineStr">
        <is>
          <t>Total adhesions</t>
        </is>
      </c>
      <c r="D114" s="3" t="inlineStr">
        <is>
          <t>Adhesions actives</t>
        </is>
      </c>
      <c r="F114" s="3" t="inlineStr">
        <is>
          <t>Cotisations totales/mois</t>
        </is>
      </c>
    </row>
    <row r="115">
      <c r="B115" s="4">
        <f>COUNTIF(B5:B104,"&lt;&gt;")</f>
        <v/>
      </c>
      <c r="D115" s="4">
        <f>COUNTIF(K5:K104,"Actif")</f>
        <v/>
      </c>
      <c r="F115" s="4">
        <f>SUM(J5:J104)</f>
        <v/>
      </c>
    </row>
  </sheetData>
  <mergeCells count="3">
    <mergeCell ref="B113:K113"/>
    <mergeCell ref="B3:K3"/>
    <mergeCell ref="B2:K2"/>
  </mergeCells>
  <conditionalFormatting sqref="K5:K109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"Soumise"</formula>
    </cfRule>
    <cfRule type="cellIs" priority="9" operator="equal" dxfId="0">
      <formula>"Traite"</formula>
    </cfRule>
    <cfRule type="cellIs" priority="10" operator="equal" dxfId="0">
      <formula>"Clos"</formula>
    </cfRule>
    <cfRule type="cellIs" priority="11" operator="equal" dxfId="0">
      <formula>"Solde"</formula>
    </cfRule>
    <cfRule type="cellIs" priority="12" operator="equal" dxfId="0">
      <formula>"Pris"</formula>
    </cfRule>
    <cfRule type="cellIs" priority="13" operator="equal" dxfId="1">
      <formula>"En attente"</formula>
    </cfRule>
    <cfRule type="cellIs" priority="14" operator="equal" dxfId="1">
      <formula>"A renouveler"</formula>
    </cfRule>
    <cfRule type="cellIs" priority="15" operator="equal" dxfId="1">
      <formula>"En renouvellement"</formula>
    </cfRule>
    <cfRule type="cellIs" priority="16" operator="equal" dxfId="1">
      <formula>"En cours"</formula>
    </cfRule>
    <cfRule type="cellIs" priority="17" operator="equal" dxfId="1">
      <formula>"En traitement"</formula>
    </cfRule>
    <cfRule type="cellIs" priority="18" operator="equal" dxfId="1">
      <formula>"En retard"</formula>
    </cfRule>
    <cfRule type="cellIs" priority="19" operator="equal" dxfId="1">
      <formula>"Suspendu"</formula>
    </cfRule>
    <cfRule type="cellIs" priority="20" operator="equal" dxfId="1">
      <formula>"A verifier"</formula>
    </cfRule>
    <cfRule type="cellIs" priority="21" operator="equal" dxfId="2">
      <formula>"Expire"</formula>
    </cfRule>
    <cfRule type="cellIs" priority="22" operator="equal" dxfId="2">
      <formula>"Rejete"</formula>
    </cfRule>
    <cfRule type="cellIs" priority="23" operator="equal" dxfId="2">
      <formula>"Rejetee"</formula>
    </cfRule>
    <cfRule type="cellIs" priority="24" operator="equal" dxfId="2">
      <formula>"Resilie"</formula>
    </cfRule>
    <cfRule type="cellIs" priority="25" operator="equal" dxfId="2">
      <formula>"Echu"</formula>
    </cfRule>
    <cfRule type="cellIs" priority="26" operator="equal" dxfId="2">
      <formula>"Refuse"</formula>
    </cfRule>
    <cfRule type="cellIs" priority="27" operator="equal" dxfId="2">
      <formula>"Annulee"</formula>
    </cfRule>
    <cfRule type="cellIs" priority="28" operator="equal" dxfId="2">
      <formula>"Departi"</formula>
    </cfRule>
    <cfRule type="cellIs" priority="29" operator="equal" dxfId="2">
      <formula>"Cloture"</formula>
    </cfRule>
    <cfRule type="cellIs" priority="30" operator="equal" dxfId="2">
      <formula>"Non justifiee"</formula>
    </cfRule>
    <cfRule type="cellIs" priority="31" operator="equal" dxfId="2">
      <formula>"Manquant"</formula>
    </cfRule>
  </conditionalFormatting>
  <conditionalFormatting sqref="B10:B109">
    <cfRule type="expression" priority="32" dxfId="3">
      <formula>AND($C10="",$C9&lt;&gt;"")</formula>
    </cfRule>
  </conditionalFormatting>
  <conditionalFormatting sqref="C10:C109">
    <cfRule type="expression" priority="33" dxfId="3">
      <formula>AND($C10="",$C9&lt;&gt;"")</formula>
    </cfRule>
  </conditionalFormatting>
  <conditionalFormatting sqref="D10:D109">
    <cfRule type="expression" priority="34" dxfId="3">
      <formula>AND($C10="",$C9&lt;&gt;"")</formula>
    </cfRule>
  </conditionalFormatting>
  <conditionalFormatting sqref="E10:E109">
    <cfRule type="expression" priority="35" dxfId="3">
      <formula>AND($C10="",$C9&lt;&gt;"")</formula>
    </cfRule>
  </conditionalFormatting>
  <conditionalFormatting sqref="F10:F109">
    <cfRule type="expression" priority="36" dxfId="3">
      <formula>AND($C10="",$C9&lt;&gt;"")</formula>
    </cfRule>
  </conditionalFormatting>
  <conditionalFormatting sqref="G10:G109">
    <cfRule type="expression" priority="37" dxfId="3">
      <formula>AND($C10="",$C9&lt;&gt;"")</formula>
    </cfRule>
  </conditionalFormatting>
  <conditionalFormatting sqref="H10:H109">
    <cfRule type="expression" priority="38" dxfId="3">
      <formula>AND($C10="",$C9&lt;&gt;"")</formula>
    </cfRule>
  </conditionalFormatting>
  <conditionalFormatting sqref="I10:I109">
    <cfRule type="expression" priority="39" dxfId="3">
      <formula>AND($C10="",$C9&lt;&gt;"")</formula>
    </cfRule>
  </conditionalFormatting>
  <conditionalFormatting sqref="J10:J109">
    <cfRule type="expression" priority="40" dxfId="3">
      <formula>AND($C10="",$C9&lt;&gt;"")</formula>
    </cfRule>
  </conditionalFormatting>
  <conditionalFormatting sqref="K10:K109">
    <cfRule type="expression" priority="41" dxfId="3">
      <formula>AND($C10="",$C9&lt;&gt;"")</formula>
    </cfRule>
  </conditionalFormatting>
  <dataValidations count="3">
    <dataValidation sqref="E5:E109" showDropDown="0" showInputMessage="0" showErrorMessage="0" allowBlank="1" errorTitle="Erreur" error="Valeur invalide" promptTitle="Liste" prompt="Choisir dans la liste" type="list">
      <formula1>'_Lists'!$R$2:$R$8</formula1>
    </dataValidation>
    <dataValidation sqref="H5:H109" showDropDown="0" showInputMessage="0" showErrorMessage="0" allowBlank="1" errorTitle="Erreur" error="Valeur invalide" promptTitle="Liste" prompt="Choisir dans la liste" type="list">
      <formula1>'_Lists'!$S$2:$S$7</formula1>
    </dataValidation>
    <dataValidation sqref="K5:K109" showDropDown="0" showInputMessage="0" showErrorMessage="0" allowBlank="1" errorTitle="Erreur" error="Valeur invalide" promptTitle="Liste" prompt="Choisir dans la liste" type="list">
      <formula1>'_Lists'!$T$2:$T$5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6" customWidth="1" min="3" max="3"/>
    <col width="20" customWidth="1" min="4" max="4"/>
    <col width="14" customWidth="1" min="5" max="5"/>
    <col width="28" customWidth="1" min="6" max="6"/>
    <col width="12" customWidth="1" min="7" max="7"/>
    <col width="28" customWidth="1" min="8" max="8"/>
    <col width="24" customWidth="1" min="9" max="9"/>
    <col width="12" customWidth="1" min="10" max="10"/>
    <col width="12" customWidth="1" min="11" max="11"/>
    <col width="20" customWidth="1" min="12" max="12"/>
  </cols>
  <sheetData>
    <row r="1" ht="15" customHeight="1"/>
    <row r="2" ht="32" customHeight="1">
      <c r="B2" s="1" t="inlineStr">
        <is>
          <t>DEMANDES DE CONGES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Matricule</t>
        </is>
      </c>
      <c r="D4" s="11" t="inlineStr">
        <is>
          <t>Nom Employé</t>
        </is>
      </c>
      <c r="E4" s="11" t="inlineStr">
        <is>
          <t>Type Congé</t>
        </is>
      </c>
      <c r="F4" s="11" t="inlineStr">
        <is>
          <t>Date Début</t>
        </is>
      </c>
      <c r="G4" s="11" t="inlineStr">
        <is>
          <t>Date Fin</t>
        </is>
      </c>
      <c r="H4" s="11" t="inlineStr">
        <is>
          <t>Nombre Jours</t>
        </is>
      </c>
      <c r="I4" s="11" t="inlineStr">
        <is>
          <t>Motif</t>
        </is>
      </c>
      <c r="J4" s="11" t="inlineStr">
        <is>
          <t>Statut</t>
        </is>
      </c>
      <c r="K4" s="11" t="inlineStr">
        <is>
          <t>Date Approbation</t>
        </is>
      </c>
      <c r="L4" s="11" t="inlineStr">
        <is>
          <t>Approbateur</t>
        </is>
      </c>
    </row>
    <row r="5" ht="22" customHeight="1">
      <c r="B5" s="12" t="inlineStr">
        <is>
          <t>CONG-001</t>
        </is>
      </c>
      <c r="C5" s="12" t="inlineStr">
        <is>
          <t>EMP-001</t>
        </is>
      </c>
      <c r="D5" s="12" t="inlineStr">
        <is>
          <t>Nganou Clarisse</t>
        </is>
      </c>
      <c r="E5" s="12" t="inlineStr">
        <is>
          <t>Annuel</t>
        </is>
      </c>
      <c r="F5" s="27" t="n">
        <v>45852</v>
      </c>
      <c r="G5" s="27" t="n">
        <v>45866</v>
      </c>
      <c r="H5" s="23" t="n">
        <v>15</v>
      </c>
      <c r="I5" s="12" t="inlineStr">
        <is>
          <t>Vacances famille</t>
        </is>
      </c>
      <c r="J5" s="12" t="inlineStr">
        <is>
          <t>Approuve</t>
        </is>
      </c>
      <c r="K5" s="27" t="n">
        <v>45828</v>
      </c>
      <c r="L5" s="12" t="inlineStr">
        <is>
          <t>DG Nkoulou</t>
        </is>
      </c>
    </row>
    <row r="6" ht="22" customHeight="1">
      <c r="B6" s="14" t="inlineStr">
        <is>
          <t>CONG-002</t>
        </is>
      </c>
      <c r="C6" s="14" t="inlineStr">
        <is>
          <t>EMP-002</t>
        </is>
      </c>
      <c r="D6" s="14" t="inlineStr">
        <is>
          <t>Tchinda Armand</t>
        </is>
      </c>
      <c r="E6" s="14" t="inlineStr">
        <is>
          <t>Annuel</t>
        </is>
      </c>
      <c r="F6" s="28" t="n">
        <v>45870</v>
      </c>
      <c r="G6" s="28" t="n">
        <v>45879</v>
      </c>
      <c r="H6" s="24" t="n">
        <v>10</v>
      </c>
      <c r="I6" s="14" t="inlineStr">
        <is>
          <t>Repos</t>
        </is>
      </c>
      <c r="J6" s="14" t="inlineStr">
        <is>
          <t>En attente</t>
        </is>
      </c>
      <c r="K6" s="28" t="n"/>
      <c r="L6" s="14" t="inlineStr">
        <is>
          <t>DG Nkoulou</t>
        </is>
      </c>
    </row>
    <row r="7" ht="22" customHeight="1">
      <c r="B7" s="12" t="inlineStr">
        <is>
          <t>CONG-003</t>
        </is>
      </c>
      <c r="C7" s="12" t="inlineStr">
        <is>
          <t>EMP-003</t>
        </is>
      </c>
      <c r="D7" s="12" t="inlineStr">
        <is>
          <t>Fotso Marguerite</t>
        </is>
      </c>
      <c r="E7" s="12" t="inlineStr">
        <is>
          <t>Exceptionnel</t>
        </is>
      </c>
      <c r="F7" s="27" t="n">
        <v>45782</v>
      </c>
      <c r="G7" s="27" t="n">
        <v>45784</v>
      </c>
      <c r="H7" s="23" t="n">
        <v>3</v>
      </c>
      <c r="I7" s="12" t="inlineStr">
        <is>
          <t>Evenement familial</t>
        </is>
      </c>
      <c r="J7" s="12" t="inlineStr">
        <is>
          <t>Approuve</t>
        </is>
      </c>
      <c r="K7" s="27" t="n">
        <v>45778</v>
      </c>
      <c r="L7" s="12" t="inlineStr">
        <is>
          <t>DRH Nganou</t>
        </is>
      </c>
    </row>
    <row r="8" ht="22" customHeight="1">
      <c r="B8" s="14" t="inlineStr">
        <is>
          <t>CONG-004</t>
        </is>
      </c>
      <c r="C8" s="14" t="inlineStr">
        <is>
          <t>EMP-004</t>
        </is>
      </c>
      <c r="D8" s="14" t="inlineStr">
        <is>
          <t>Nkoulou Mbarga</t>
        </is>
      </c>
      <c r="E8" s="14" t="inlineStr">
        <is>
          <t>Annuel</t>
        </is>
      </c>
      <c r="F8" s="28" t="n">
        <v>45901</v>
      </c>
      <c r="G8" s="28" t="n">
        <v>45914</v>
      </c>
      <c r="H8" s="24" t="n">
        <v>14</v>
      </c>
      <c r="I8" s="14" t="inlineStr">
        <is>
          <t>Vacances</t>
        </is>
      </c>
      <c r="J8" s="14" t="inlineStr">
        <is>
          <t>En attente</t>
        </is>
      </c>
      <c r="K8" s="28" t="n"/>
      <c r="L8" s="14" t="inlineStr">
        <is>
          <t>Chef service Ouedraogo</t>
        </is>
      </c>
    </row>
    <row r="9" ht="22" customHeight="1">
      <c r="B9" s="17">
        <f>IF(C9="","CONG-"&amp;TEXT(COUNTA($C$5:C9),"000"))</f>
        <v/>
      </c>
      <c r="C9" s="12" t="n"/>
      <c r="D9" s="12" t="n"/>
      <c r="E9" s="12" t="n"/>
      <c r="F9" s="27" t="n"/>
      <c r="G9" s="27" t="n"/>
      <c r="H9" s="23">
        <f>IF(OR(G9="",F9=""),"",G9-F9+1)</f>
        <v/>
      </c>
      <c r="I9" s="12" t="n"/>
      <c r="J9" s="12" t="n"/>
      <c r="K9" s="27" t="n"/>
      <c r="L9" s="12" t="n"/>
    </row>
    <row r="10" ht="22" customHeight="1">
      <c r="B10" s="16">
        <f>IF(C10="","CONG-"&amp;TEXT(COUNTA($C$5:C10),"000"))</f>
        <v/>
      </c>
      <c r="C10" s="14" t="n"/>
      <c r="D10" s="14" t="n"/>
      <c r="E10" s="14" t="n"/>
      <c r="F10" s="28" t="n"/>
      <c r="G10" s="28" t="n"/>
      <c r="H10" s="24">
        <f>IF(OR(G10="",F10=""),"",G10-F10+1)</f>
        <v/>
      </c>
      <c r="I10" s="14" t="n"/>
      <c r="J10" s="14" t="n"/>
      <c r="K10" s="28" t="n"/>
      <c r="L10" s="14" t="n"/>
    </row>
    <row r="11" ht="22" customHeight="1">
      <c r="B11" s="17">
        <f>IF(C11="","CONG-"&amp;TEXT(COUNTA($C$5:C11),"000"))</f>
        <v/>
      </c>
      <c r="C11" s="12" t="n"/>
      <c r="D11" s="12" t="n"/>
      <c r="E11" s="12" t="n"/>
      <c r="F11" s="27" t="n"/>
      <c r="G11" s="27" t="n"/>
      <c r="H11" s="23">
        <f>IF(OR(G11="",F11=""),"",G11-F11+1)</f>
        <v/>
      </c>
      <c r="I11" s="12" t="n"/>
      <c r="J11" s="12" t="n"/>
      <c r="K11" s="27" t="n"/>
      <c r="L11" s="12" t="n"/>
    </row>
    <row r="12" ht="22" customHeight="1">
      <c r="B12" s="16">
        <f>IF(C12="","CONG-"&amp;TEXT(COUNTA($C$5:C12),"000"))</f>
        <v/>
      </c>
      <c r="C12" s="14" t="n"/>
      <c r="D12" s="14" t="n"/>
      <c r="E12" s="14" t="n"/>
      <c r="F12" s="28" t="n"/>
      <c r="G12" s="28" t="n"/>
      <c r="H12" s="24">
        <f>IF(OR(G12="",F12=""),"",G12-F12+1)</f>
        <v/>
      </c>
      <c r="I12" s="14" t="n"/>
      <c r="J12" s="14" t="n"/>
      <c r="K12" s="28" t="n"/>
      <c r="L12" s="14" t="n"/>
    </row>
    <row r="13" ht="22" customHeight="1">
      <c r="B13" s="17">
        <f>IF(C13="","CONG-"&amp;TEXT(COUNTA($C$5:C13),"000"))</f>
        <v/>
      </c>
      <c r="C13" s="12" t="n"/>
      <c r="D13" s="12" t="n"/>
      <c r="E13" s="12" t="n"/>
      <c r="F13" s="27" t="n"/>
      <c r="G13" s="27" t="n"/>
      <c r="H13" s="23">
        <f>IF(OR(G13="",F13=""),"",G13-F13+1)</f>
        <v/>
      </c>
      <c r="I13" s="12" t="n"/>
      <c r="J13" s="12" t="n"/>
      <c r="K13" s="27" t="n"/>
      <c r="L13" s="12" t="n"/>
    </row>
    <row r="14" ht="22" customHeight="1">
      <c r="B14" s="16">
        <f>IF(C14="","CONG-"&amp;TEXT(COUNTA($C$5:C14),"000"))</f>
        <v/>
      </c>
      <c r="C14" s="14" t="n"/>
      <c r="D14" s="14" t="n"/>
      <c r="E14" s="14" t="n"/>
      <c r="F14" s="28" t="n"/>
      <c r="G14" s="28" t="n"/>
      <c r="H14" s="24">
        <f>IF(OR(G14="",F14=""),"",G14-F14+1)</f>
        <v/>
      </c>
      <c r="I14" s="14" t="n"/>
      <c r="J14" s="14" t="n"/>
      <c r="K14" s="28" t="n"/>
      <c r="L14" s="14" t="n"/>
    </row>
    <row r="15" ht="22" customHeight="1">
      <c r="B15" s="17">
        <f>IF(C15="","CONG-"&amp;TEXT(COUNTA($C$5:C15),"000"))</f>
        <v/>
      </c>
      <c r="C15" s="12" t="n"/>
      <c r="D15" s="12" t="n"/>
      <c r="E15" s="12" t="n"/>
      <c r="F15" s="27" t="n"/>
      <c r="G15" s="27" t="n"/>
      <c r="H15" s="23">
        <f>IF(OR(G15="",F15=""),"",G15-F15+1)</f>
        <v/>
      </c>
      <c r="I15" s="12" t="n"/>
      <c r="J15" s="12" t="n"/>
      <c r="K15" s="27" t="n"/>
      <c r="L15" s="12" t="n"/>
    </row>
    <row r="16" ht="22" customHeight="1">
      <c r="B16" s="16">
        <f>IF(C16="","CONG-"&amp;TEXT(COUNTA($C$5:C16),"000"))</f>
        <v/>
      </c>
      <c r="C16" s="14" t="n"/>
      <c r="D16" s="14" t="n"/>
      <c r="E16" s="14" t="n"/>
      <c r="F16" s="28" t="n"/>
      <c r="G16" s="28" t="n"/>
      <c r="H16" s="24">
        <f>IF(OR(G16="",F16=""),"",G16-F16+1)</f>
        <v/>
      </c>
      <c r="I16" s="14" t="n"/>
      <c r="J16" s="14" t="n"/>
      <c r="K16" s="28" t="n"/>
      <c r="L16" s="14" t="n"/>
    </row>
    <row r="17" ht="22" customHeight="1">
      <c r="B17" s="17">
        <f>IF(C17="","CONG-"&amp;TEXT(COUNTA($C$5:C17),"000"))</f>
        <v/>
      </c>
      <c r="C17" s="12" t="n"/>
      <c r="D17" s="12" t="n"/>
      <c r="E17" s="12" t="n"/>
      <c r="F17" s="27" t="n"/>
      <c r="G17" s="27" t="n"/>
      <c r="H17" s="23">
        <f>IF(OR(G17="",F17=""),"",G17-F17+1)</f>
        <v/>
      </c>
      <c r="I17" s="12" t="n"/>
      <c r="J17" s="12" t="n"/>
      <c r="K17" s="27" t="n"/>
      <c r="L17" s="12" t="n"/>
    </row>
    <row r="18" ht="22" customHeight="1">
      <c r="B18" s="16">
        <f>IF(C18="","CONG-"&amp;TEXT(COUNTA($C$5:C18),"000"))</f>
        <v/>
      </c>
      <c r="C18" s="14" t="n"/>
      <c r="D18" s="14" t="n"/>
      <c r="E18" s="14" t="n"/>
      <c r="F18" s="28" t="n"/>
      <c r="G18" s="28" t="n"/>
      <c r="H18" s="24">
        <f>IF(OR(G18="",F18=""),"",G18-F18+1)</f>
        <v/>
      </c>
      <c r="I18" s="14" t="n"/>
      <c r="J18" s="14" t="n"/>
      <c r="K18" s="28" t="n"/>
      <c r="L18" s="14" t="n"/>
    </row>
    <row r="19" ht="22" customHeight="1">
      <c r="B19" s="17">
        <f>IF(C19="","CONG-"&amp;TEXT(COUNTA($C$5:C19),"000"))</f>
        <v/>
      </c>
      <c r="C19" s="12" t="n"/>
      <c r="D19" s="12" t="n"/>
      <c r="E19" s="12" t="n"/>
      <c r="F19" s="27" t="n"/>
      <c r="G19" s="27" t="n"/>
      <c r="H19" s="23">
        <f>IF(OR(G19="",F19=""),"",G19-F19+1)</f>
        <v/>
      </c>
      <c r="I19" s="12" t="n"/>
      <c r="J19" s="12" t="n"/>
      <c r="K19" s="27" t="n"/>
      <c r="L19" s="12" t="n"/>
    </row>
    <row r="20" ht="22" customHeight="1">
      <c r="B20" s="16">
        <f>IF(C20="","CONG-"&amp;TEXT(COUNTA($C$5:C20),"000"))</f>
        <v/>
      </c>
      <c r="C20" s="14" t="n"/>
      <c r="D20" s="14" t="n"/>
      <c r="E20" s="14" t="n"/>
      <c r="F20" s="28" t="n"/>
      <c r="G20" s="28" t="n"/>
      <c r="H20" s="24">
        <f>IF(OR(G20="",F20=""),"",G20-F20+1)</f>
        <v/>
      </c>
      <c r="I20" s="14" t="n"/>
      <c r="J20" s="14" t="n"/>
      <c r="K20" s="28" t="n"/>
      <c r="L20" s="14" t="n"/>
    </row>
    <row r="21" ht="22" customHeight="1">
      <c r="B21" s="17">
        <f>IF(C21="","CONG-"&amp;TEXT(COUNTA($C$5:C21),"000"))</f>
        <v/>
      </c>
      <c r="C21" s="12" t="n"/>
      <c r="D21" s="12" t="n"/>
      <c r="E21" s="12" t="n"/>
      <c r="F21" s="27" t="n"/>
      <c r="G21" s="27" t="n"/>
      <c r="H21" s="23">
        <f>IF(OR(G21="",F21=""),"",G21-F21+1)</f>
        <v/>
      </c>
      <c r="I21" s="12" t="n"/>
      <c r="J21" s="12" t="n"/>
      <c r="K21" s="27" t="n"/>
      <c r="L21" s="12" t="n"/>
    </row>
    <row r="22" ht="22" customHeight="1">
      <c r="B22" s="16">
        <f>IF(C22="","CONG-"&amp;TEXT(COUNTA($C$5:C22),"000"))</f>
        <v/>
      </c>
      <c r="C22" s="14" t="n"/>
      <c r="D22" s="14" t="n"/>
      <c r="E22" s="14" t="n"/>
      <c r="F22" s="28" t="n"/>
      <c r="G22" s="28" t="n"/>
      <c r="H22" s="24">
        <f>IF(OR(G22="",F22=""),"",G22-F22+1)</f>
        <v/>
      </c>
      <c r="I22" s="14" t="n"/>
      <c r="J22" s="14" t="n"/>
      <c r="K22" s="28" t="n"/>
      <c r="L22" s="14" t="n"/>
    </row>
    <row r="23" ht="22" customHeight="1">
      <c r="B23" s="17">
        <f>IF(C23="","CONG-"&amp;TEXT(COUNTA($C$5:C23),"000"))</f>
        <v/>
      </c>
      <c r="C23" s="12" t="n"/>
      <c r="D23" s="12" t="n"/>
      <c r="E23" s="12" t="n"/>
      <c r="F23" s="27" t="n"/>
      <c r="G23" s="27" t="n"/>
      <c r="H23" s="23">
        <f>IF(OR(G23="",F23=""),"",G23-F23+1)</f>
        <v/>
      </c>
      <c r="I23" s="12" t="n"/>
      <c r="J23" s="12" t="n"/>
      <c r="K23" s="27" t="n"/>
      <c r="L23" s="12" t="n"/>
    </row>
    <row r="24" ht="22" customHeight="1">
      <c r="B24" s="16">
        <f>IF(C24="","CONG-"&amp;TEXT(COUNTA($C$5:C24),"000"))</f>
        <v/>
      </c>
      <c r="C24" s="14" t="n"/>
      <c r="D24" s="14" t="n"/>
      <c r="E24" s="14" t="n"/>
      <c r="F24" s="28" t="n"/>
      <c r="G24" s="28" t="n"/>
      <c r="H24" s="24">
        <f>IF(OR(G24="",F24=""),"",G24-F24+1)</f>
        <v/>
      </c>
      <c r="I24" s="14" t="n"/>
      <c r="J24" s="14" t="n"/>
      <c r="K24" s="28" t="n"/>
      <c r="L24" s="14" t="n"/>
    </row>
    <row r="25" ht="22" customHeight="1">
      <c r="B25" s="17">
        <f>IF(C25="","CONG-"&amp;TEXT(COUNTA($C$5:C25),"000"))</f>
        <v/>
      </c>
      <c r="C25" s="12" t="n"/>
      <c r="D25" s="12" t="n"/>
      <c r="E25" s="12" t="n"/>
      <c r="F25" s="27" t="n"/>
      <c r="G25" s="27" t="n"/>
      <c r="H25" s="23">
        <f>IF(OR(G25="",F25=""),"",G25-F25+1)</f>
        <v/>
      </c>
      <c r="I25" s="12" t="n"/>
      <c r="J25" s="12" t="n"/>
      <c r="K25" s="27" t="n"/>
      <c r="L25" s="12" t="n"/>
    </row>
    <row r="26" ht="22" customHeight="1">
      <c r="B26" s="16">
        <f>IF(C26="","CONG-"&amp;TEXT(COUNTA($C$5:C26),"000"))</f>
        <v/>
      </c>
      <c r="C26" s="14" t="n"/>
      <c r="D26" s="14" t="n"/>
      <c r="E26" s="14" t="n"/>
      <c r="F26" s="28" t="n"/>
      <c r="G26" s="28" t="n"/>
      <c r="H26" s="24">
        <f>IF(OR(G26="",F26=""),"",G26-F26+1)</f>
        <v/>
      </c>
      <c r="I26" s="14" t="n"/>
      <c r="J26" s="14" t="n"/>
      <c r="K26" s="28" t="n"/>
      <c r="L26" s="14" t="n"/>
    </row>
    <row r="27" ht="22" customHeight="1">
      <c r="B27" s="17">
        <f>IF(C27="","CONG-"&amp;TEXT(COUNTA($C$5:C27),"000"))</f>
        <v/>
      </c>
      <c r="C27" s="12" t="n"/>
      <c r="D27" s="12" t="n"/>
      <c r="E27" s="12" t="n"/>
      <c r="F27" s="27" t="n"/>
      <c r="G27" s="27" t="n"/>
      <c r="H27" s="23">
        <f>IF(OR(G27="",F27=""),"",G27-F27+1)</f>
        <v/>
      </c>
      <c r="I27" s="12" t="n"/>
      <c r="J27" s="12" t="n"/>
      <c r="K27" s="27" t="n"/>
      <c r="L27" s="12" t="n"/>
    </row>
    <row r="28" ht="22" customHeight="1">
      <c r="B28" s="16">
        <f>IF(C28="","CONG-"&amp;TEXT(COUNTA($C$5:C28),"000"))</f>
        <v/>
      </c>
      <c r="C28" s="14" t="n"/>
      <c r="D28" s="14" t="n"/>
      <c r="E28" s="14" t="n"/>
      <c r="F28" s="28" t="n"/>
      <c r="G28" s="28" t="n"/>
      <c r="H28" s="24">
        <f>IF(OR(G28="",F28=""),"",G28-F28+1)</f>
        <v/>
      </c>
      <c r="I28" s="14" t="n"/>
      <c r="J28" s="14" t="n"/>
      <c r="K28" s="28" t="n"/>
      <c r="L28" s="14" t="n"/>
    </row>
    <row r="29" ht="22" customHeight="1">
      <c r="B29" s="17">
        <f>IF(C29="","CONG-"&amp;TEXT(COUNTA($C$5:C29),"000"))</f>
        <v/>
      </c>
      <c r="C29" s="12" t="n"/>
      <c r="D29" s="12" t="n"/>
      <c r="E29" s="12" t="n"/>
      <c r="F29" s="27" t="n"/>
      <c r="G29" s="27" t="n"/>
      <c r="H29" s="23">
        <f>IF(OR(G29="",F29=""),"",G29-F29+1)</f>
        <v/>
      </c>
      <c r="I29" s="12" t="n"/>
      <c r="J29" s="12" t="n"/>
      <c r="K29" s="27" t="n"/>
      <c r="L29" s="12" t="n"/>
    </row>
    <row r="30" ht="22" customHeight="1">
      <c r="B30" s="16">
        <f>IF(C30="","CONG-"&amp;TEXT(COUNTA($C$5:C30),"000"))</f>
        <v/>
      </c>
      <c r="C30" s="14" t="n"/>
      <c r="D30" s="14" t="n"/>
      <c r="E30" s="14" t="n"/>
      <c r="F30" s="28" t="n"/>
      <c r="G30" s="28" t="n"/>
      <c r="H30" s="24">
        <f>IF(OR(G30="",F30=""),"",G30-F30+1)</f>
        <v/>
      </c>
      <c r="I30" s="14" t="n"/>
      <c r="J30" s="14" t="n"/>
      <c r="K30" s="28" t="n"/>
      <c r="L30" s="14" t="n"/>
    </row>
    <row r="31" ht="22" customHeight="1">
      <c r="B31" s="17">
        <f>IF(C31="","CONG-"&amp;TEXT(COUNTA($C$5:C31),"000"))</f>
        <v/>
      </c>
      <c r="C31" s="12" t="n"/>
      <c r="D31" s="12" t="n"/>
      <c r="E31" s="12" t="n"/>
      <c r="F31" s="27" t="n"/>
      <c r="G31" s="27" t="n"/>
      <c r="H31" s="23">
        <f>IF(OR(G31="",F31=""),"",G31-F31+1)</f>
        <v/>
      </c>
      <c r="I31" s="12" t="n"/>
      <c r="J31" s="12" t="n"/>
      <c r="K31" s="27" t="n"/>
      <c r="L31" s="12" t="n"/>
    </row>
    <row r="32" ht="22" customHeight="1">
      <c r="B32" s="16">
        <f>IF(C32="","CONG-"&amp;TEXT(COUNTA($C$5:C32),"000"))</f>
        <v/>
      </c>
      <c r="C32" s="14" t="n"/>
      <c r="D32" s="14" t="n"/>
      <c r="E32" s="14" t="n"/>
      <c r="F32" s="28" t="n"/>
      <c r="G32" s="28" t="n"/>
      <c r="H32" s="24">
        <f>IF(OR(G32="",F32=""),"",G32-F32+1)</f>
        <v/>
      </c>
      <c r="I32" s="14" t="n"/>
      <c r="J32" s="14" t="n"/>
      <c r="K32" s="28" t="n"/>
      <c r="L32" s="14" t="n"/>
    </row>
    <row r="33" ht="22" customHeight="1">
      <c r="B33" s="17">
        <f>IF(C33="","CONG-"&amp;TEXT(COUNTA($C$5:C33),"000"))</f>
        <v/>
      </c>
      <c r="C33" s="12" t="n"/>
      <c r="D33" s="12" t="n"/>
      <c r="E33" s="12" t="n"/>
      <c r="F33" s="27" t="n"/>
      <c r="G33" s="27" t="n"/>
      <c r="H33" s="23">
        <f>IF(OR(G33="",F33=""),"",G33-F33+1)</f>
        <v/>
      </c>
      <c r="I33" s="12" t="n"/>
      <c r="J33" s="12" t="n"/>
      <c r="K33" s="27" t="n"/>
      <c r="L33" s="12" t="n"/>
    </row>
    <row r="34" ht="22" customHeight="1">
      <c r="B34" s="16">
        <f>IF(C34="","CONG-"&amp;TEXT(COUNTA($C$5:C34),"000"))</f>
        <v/>
      </c>
      <c r="C34" s="14" t="n"/>
      <c r="D34" s="14" t="n"/>
      <c r="E34" s="14" t="n"/>
      <c r="F34" s="28" t="n"/>
      <c r="G34" s="28" t="n"/>
      <c r="H34" s="24">
        <f>IF(OR(G34="",F34=""),"",G34-F34+1)</f>
        <v/>
      </c>
      <c r="I34" s="14" t="n"/>
      <c r="J34" s="14" t="n"/>
      <c r="K34" s="28" t="n"/>
      <c r="L34" s="14" t="n"/>
    </row>
    <row r="35" ht="22" customHeight="1">
      <c r="B35" s="17">
        <f>IF(C35="","CONG-"&amp;TEXT(COUNTA($C$5:C35),"000"))</f>
        <v/>
      </c>
      <c r="C35" s="12" t="n"/>
      <c r="D35" s="12" t="n"/>
      <c r="E35" s="12" t="n"/>
      <c r="F35" s="27" t="n"/>
      <c r="G35" s="27" t="n"/>
      <c r="H35" s="23">
        <f>IF(OR(G35="",F35=""),"",G35-F35+1)</f>
        <v/>
      </c>
      <c r="I35" s="12" t="n"/>
      <c r="J35" s="12" t="n"/>
      <c r="K35" s="27" t="n"/>
      <c r="L35" s="12" t="n"/>
    </row>
    <row r="36" ht="22" customHeight="1">
      <c r="B36" s="16">
        <f>IF(C36="","CONG-"&amp;TEXT(COUNTA($C$5:C36),"000"))</f>
        <v/>
      </c>
      <c r="C36" s="14" t="n"/>
      <c r="D36" s="14" t="n"/>
      <c r="E36" s="14" t="n"/>
      <c r="F36" s="28" t="n"/>
      <c r="G36" s="28" t="n"/>
      <c r="H36" s="24">
        <f>IF(OR(G36="",F36=""),"",G36-F36+1)</f>
        <v/>
      </c>
      <c r="I36" s="14" t="n"/>
      <c r="J36" s="14" t="n"/>
      <c r="K36" s="28" t="n"/>
      <c r="L36" s="14" t="n"/>
    </row>
    <row r="37" ht="22" customHeight="1">
      <c r="B37" s="17">
        <f>IF(C37="","CONG-"&amp;TEXT(COUNTA($C$5:C37),"000"))</f>
        <v/>
      </c>
      <c r="C37" s="12" t="n"/>
      <c r="D37" s="12" t="n"/>
      <c r="E37" s="12" t="n"/>
      <c r="F37" s="27" t="n"/>
      <c r="G37" s="27" t="n"/>
      <c r="H37" s="23">
        <f>IF(OR(G37="",F37=""),"",G37-F37+1)</f>
        <v/>
      </c>
      <c r="I37" s="12" t="n"/>
      <c r="J37" s="12" t="n"/>
      <c r="K37" s="27" t="n"/>
      <c r="L37" s="12" t="n"/>
    </row>
    <row r="38" ht="22" customHeight="1">
      <c r="B38" s="16">
        <f>IF(C38="","CONG-"&amp;TEXT(COUNTA($C$5:C38),"000"))</f>
        <v/>
      </c>
      <c r="C38" s="14" t="n"/>
      <c r="D38" s="14" t="n"/>
      <c r="E38" s="14" t="n"/>
      <c r="F38" s="28" t="n"/>
      <c r="G38" s="28" t="n"/>
      <c r="H38" s="24">
        <f>IF(OR(G38="",F38=""),"",G38-F38+1)</f>
        <v/>
      </c>
      <c r="I38" s="14" t="n"/>
      <c r="J38" s="14" t="n"/>
      <c r="K38" s="28" t="n"/>
      <c r="L38" s="14" t="n"/>
    </row>
    <row r="39" ht="22" customHeight="1">
      <c r="B39" s="17">
        <f>IF(C39="","CONG-"&amp;TEXT(COUNTA($C$5:C39),"000"))</f>
        <v/>
      </c>
      <c r="C39" s="12" t="n"/>
      <c r="D39" s="12" t="n"/>
      <c r="E39" s="12" t="n"/>
      <c r="F39" s="27" t="n"/>
      <c r="G39" s="27" t="n"/>
      <c r="H39" s="23">
        <f>IF(OR(G39="",F39=""),"",G39-F39+1)</f>
        <v/>
      </c>
      <c r="I39" s="12" t="n"/>
      <c r="J39" s="12" t="n"/>
      <c r="K39" s="27" t="n"/>
      <c r="L39" s="12" t="n"/>
    </row>
    <row r="40" ht="22" customHeight="1">
      <c r="B40" s="16">
        <f>IF(C40="","CONG-"&amp;TEXT(COUNTA($C$5:C40),"000"))</f>
        <v/>
      </c>
      <c r="C40" s="14" t="n"/>
      <c r="D40" s="14" t="n"/>
      <c r="E40" s="14" t="n"/>
      <c r="F40" s="28" t="n"/>
      <c r="G40" s="28" t="n"/>
      <c r="H40" s="24">
        <f>IF(OR(G40="",F40=""),"",G40-F40+1)</f>
        <v/>
      </c>
      <c r="I40" s="14" t="n"/>
      <c r="J40" s="14" t="n"/>
      <c r="K40" s="28" t="n"/>
      <c r="L40" s="14" t="n"/>
    </row>
    <row r="41" ht="22" customHeight="1">
      <c r="B41" s="17">
        <f>IF(C41="","CONG-"&amp;TEXT(COUNTA($C$5:C41),"000"))</f>
        <v/>
      </c>
      <c r="C41" s="12" t="n"/>
      <c r="D41" s="12" t="n"/>
      <c r="E41" s="12" t="n"/>
      <c r="F41" s="27" t="n"/>
      <c r="G41" s="27" t="n"/>
      <c r="H41" s="23">
        <f>IF(OR(G41="",F41=""),"",G41-F41+1)</f>
        <v/>
      </c>
      <c r="I41" s="12" t="n"/>
      <c r="J41" s="12" t="n"/>
      <c r="K41" s="27" t="n"/>
      <c r="L41" s="12" t="n"/>
    </row>
    <row r="42" ht="22" customHeight="1">
      <c r="B42" s="16">
        <f>IF(C42="","CONG-"&amp;TEXT(COUNTA($C$5:C42),"000"))</f>
        <v/>
      </c>
      <c r="C42" s="14" t="n"/>
      <c r="D42" s="14" t="n"/>
      <c r="E42" s="14" t="n"/>
      <c r="F42" s="28" t="n"/>
      <c r="G42" s="28" t="n"/>
      <c r="H42" s="24">
        <f>IF(OR(G42="",F42=""),"",G42-F42+1)</f>
        <v/>
      </c>
      <c r="I42" s="14" t="n"/>
      <c r="J42" s="14" t="n"/>
      <c r="K42" s="28" t="n"/>
      <c r="L42" s="14" t="n"/>
    </row>
    <row r="43" ht="22" customHeight="1">
      <c r="B43" s="17">
        <f>IF(C43="","CONG-"&amp;TEXT(COUNTA($C$5:C43),"000"))</f>
        <v/>
      </c>
      <c r="C43" s="12" t="n"/>
      <c r="D43" s="12" t="n"/>
      <c r="E43" s="12" t="n"/>
      <c r="F43" s="27" t="n"/>
      <c r="G43" s="27" t="n"/>
      <c r="H43" s="23">
        <f>IF(OR(G43="",F43=""),"",G43-F43+1)</f>
        <v/>
      </c>
      <c r="I43" s="12" t="n"/>
      <c r="J43" s="12" t="n"/>
      <c r="K43" s="27" t="n"/>
      <c r="L43" s="12" t="n"/>
    </row>
    <row r="44" ht="22" customHeight="1">
      <c r="B44" s="16">
        <f>IF(C44="","CONG-"&amp;TEXT(COUNTA($C$5:C44),"000"))</f>
        <v/>
      </c>
      <c r="C44" s="14" t="n"/>
      <c r="D44" s="14" t="n"/>
      <c r="E44" s="14" t="n"/>
      <c r="F44" s="28" t="n"/>
      <c r="G44" s="28" t="n"/>
      <c r="H44" s="24">
        <f>IF(OR(G44="",F44=""),"",G44-F44+1)</f>
        <v/>
      </c>
      <c r="I44" s="14" t="n"/>
      <c r="J44" s="14" t="n"/>
      <c r="K44" s="28" t="n"/>
      <c r="L44" s="14" t="n"/>
    </row>
    <row r="45" ht="22" customHeight="1">
      <c r="B45" s="17">
        <f>IF(C45="","CONG-"&amp;TEXT(COUNTA($C$5:C45),"000"))</f>
        <v/>
      </c>
      <c r="C45" s="12" t="n"/>
      <c r="D45" s="12" t="n"/>
      <c r="E45" s="12" t="n"/>
      <c r="F45" s="27" t="n"/>
      <c r="G45" s="27" t="n"/>
      <c r="H45" s="23">
        <f>IF(OR(G45="",F45=""),"",G45-F45+1)</f>
        <v/>
      </c>
      <c r="I45" s="12" t="n"/>
      <c r="J45" s="12" t="n"/>
      <c r="K45" s="27" t="n"/>
      <c r="L45" s="12" t="n"/>
    </row>
    <row r="46" ht="22" customHeight="1">
      <c r="B46" s="16">
        <f>IF(C46="","CONG-"&amp;TEXT(COUNTA($C$5:C46),"000"))</f>
        <v/>
      </c>
      <c r="C46" s="14" t="n"/>
      <c r="D46" s="14" t="n"/>
      <c r="E46" s="14" t="n"/>
      <c r="F46" s="28" t="n"/>
      <c r="G46" s="28" t="n"/>
      <c r="H46" s="24">
        <f>IF(OR(G46="",F46=""),"",G46-F46+1)</f>
        <v/>
      </c>
      <c r="I46" s="14" t="n"/>
      <c r="J46" s="14" t="n"/>
      <c r="K46" s="28" t="n"/>
      <c r="L46" s="14" t="n"/>
    </row>
    <row r="47" ht="22" customHeight="1">
      <c r="B47" s="17">
        <f>IF(C47="","CONG-"&amp;TEXT(COUNTA($C$5:C47),"000"))</f>
        <v/>
      </c>
      <c r="C47" s="12" t="n"/>
      <c r="D47" s="12" t="n"/>
      <c r="E47" s="12" t="n"/>
      <c r="F47" s="27" t="n"/>
      <c r="G47" s="27" t="n"/>
      <c r="H47" s="23">
        <f>IF(OR(G47="",F47=""),"",G47-F47+1)</f>
        <v/>
      </c>
      <c r="I47" s="12" t="n"/>
      <c r="J47" s="12" t="n"/>
      <c r="K47" s="27" t="n"/>
      <c r="L47" s="12" t="n"/>
    </row>
    <row r="48" ht="22" customHeight="1">
      <c r="B48" s="16">
        <f>IF(C48="","CONG-"&amp;TEXT(COUNTA($C$5:C48),"000"))</f>
        <v/>
      </c>
      <c r="C48" s="14" t="n"/>
      <c r="D48" s="14" t="n"/>
      <c r="E48" s="14" t="n"/>
      <c r="F48" s="28" t="n"/>
      <c r="G48" s="28" t="n"/>
      <c r="H48" s="24">
        <f>IF(OR(G48="",F48=""),"",G48-F48+1)</f>
        <v/>
      </c>
      <c r="I48" s="14" t="n"/>
      <c r="J48" s="14" t="n"/>
      <c r="K48" s="28" t="n"/>
      <c r="L48" s="14" t="n"/>
    </row>
    <row r="49" ht="22" customHeight="1">
      <c r="B49" s="17">
        <f>IF(C49="","CONG-"&amp;TEXT(COUNTA($C$5:C49),"000"))</f>
        <v/>
      </c>
      <c r="C49" s="12" t="n"/>
      <c r="D49" s="12" t="n"/>
      <c r="E49" s="12" t="n"/>
      <c r="F49" s="27" t="n"/>
      <c r="G49" s="27" t="n"/>
      <c r="H49" s="23">
        <f>IF(OR(G49="",F49=""),"",G49-F49+1)</f>
        <v/>
      </c>
      <c r="I49" s="12" t="n"/>
      <c r="J49" s="12" t="n"/>
      <c r="K49" s="27" t="n"/>
      <c r="L49" s="12" t="n"/>
    </row>
    <row r="50" ht="22" customHeight="1">
      <c r="B50" s="16">
        <f>IF(C50="","CONG-"&amp;TEXT(COUNTA($C$5:C50),"000"))</f>
        <v/>
      </c>
      <c r="C50" s="14" t="n"/>
      <c r="D50" s="14" t="n"/>
      <c r="E50" s="14" t="n"/>
      <c r="F50" s="28" t="n"/>
      <c r="G50" s="28" t="n"/>
      <c r="H50" s="24">
        <f>IF(OR(G50="",F50=""),"",G50-F50+1)</f>
        <v/>
      </c>
      <c r="I50" s="14" t="n"/>
      <c r="J50" s="14" t="n"/>
      <c r="K50" s="28" t="n"/>
      <c r="L50" s="14" t="n"/>
    </row>
    <row r="51" ht="22" customHeight="1">
      <c r="B51" s="17">
        <f>IF(C51="","CONG-"&amp;TEXT(COUNTA($C$5:C51),"000"))</f>
        <v/>
      </c>
      <c r="C51" s="12" t="n"/>
      <c r="D51" s="12" t="n"/>
      <c r="E51" s="12" t="n"/>
      <c r="F51" s="27" t="n"/>
      <c r="G51" s="27" t="n"/>
      <c r="H51" s="23">
        <f>IF(OR(G51="",F51=""),"",G51-F51+1)</f>
        <v/>
      </c>
      <c r="I51" s="12" t="n"/>
      <c r="J51" s="12" t="n"/>
      <c r="K51" s="27" t="n"/>
      <c r="L51" s="12" t="n"/>
    </row>
    <row r="52" ht="22" customHeight="1">
      <c r="B52" s="16">
        <f>IF(C52="","CONG-"&amp;TEXT(COUNTA($C$5:C52),"000"))</f>
        <v/>
      </c>
      <c r="C52" s="14" t="n"/>
      <c r="D52" s="14" t="n"/>
      <c r="E52" s="14" t="n"/>
      <c r="F52" s="28" t="n"/>
      <c r="G52" s="28" t="n"/>
      <c r="H52" s="24">
        <f>IF(OR(G52="",F52=""),"",G52-F52+1)</f>
        <v/>
      </c>
      <c r="I52" s="14" t="n"/>
      <c r="J52" s="14" t="n"/>
      <c r="K52" s="28" t="n"/>
      <c r="L52" s="14" t="n"/>
    </row>
    <row r="53" ht="22" customHeight="1">
      <c r="B53" s="17">
        <f>IF(C53="","CONG-"&amp;TEXT(COUNTA($C$5:C53),"000"))</f>
        <v/>
      </c>
      <c r="C53" s="12" t="n"/>
      <c r="D53" s="12" t="n"/>
      <c r="E53" s="12" t="n"/>
      <c r="F53" s="27" t="n"/>
      <c r="G53" s="27" t="n"/>
      <c r="H53" s="23">
        <f>IF(OR(G53="",F53=""),"",G53-F53+1)</f>
        <v/>
      </c>
      <c r="I53" s="12" t="n"/>
      <c r="J53" s="12" t="n"/>
      <c r="K53" s="27" t="n"/>
      <c r="L53" s="12" t="n"/>
    </row>
    <row r="54" ht="22" customHeight="1">
      <c r="B54" s="16">
        <f>IF(C54="","CONG-"&amp;TEXT(COUNTA($C$5:C54),"000"))</f>
        <v/>
      </c>
      <c r="C54" s="14" t="n"/>
      <c r="D54" s="14" t="n"/>
      <c r="E54" s="14" t="n"/>
      <c r="F54" s="28" t="n"/>
      <c r="G54" s="28" t="n"/>
      <c r="H54" s="24">
        <f>IF(OR(G54="",F54=""),"",G54-F54+1)</f>
        <v/>
      </c>
      <c r="I54" s="14" t="n"/>
      <c r="J54" s="14" t="n"/>
      <c r="K54" s="28" t="n"/>
      <c r="L54" s="14" t="n"/>
    </row>
    <row r="55" ht="22" customHeight="1">
      <c r="B55" s="17">
        <f>IF(C55="","CONG-"&amp;TEXT(COUNTA($C$5:C55),"000"))</f>
        <v/>
      </c>
      <c r="C55" s="12" t="n"/>
      <c r="D55" s="12" t="n"/>
      <c r="E55" s="12" t="n"/>
      <c r="F55" s="27" t="n"/>
      <c r="G55" s="27" t="n"/>
      <c r="H55" s="23">
        <f>IF(OR(G55="",F55=""),"",G55-F55+1)</f>
        <v/>
      </c>
      <c r="I55" s="12" t="n"/>
      <c r="J55" s="12" t="n"/>
      <c r="K55" s="27" t="n"/>
      <c r="L55" s="12" t="n"/>
    </row>
    <row r="56" ht="22" customHeight="1">
      <c r="B56" s="16">
        <f>IF(C56="","CONG-"&amp;TEXT(COUNTA($C$5:C56),"000"))</f>
        <v/>
      </c>
      <c r="C56" s="14" t="n"/>
      <c r="D56" s="14" t="n"/>
      <c r="E56" s="14" t="n"/>
      <c r="F56" s="28" t="n"/>
      <c r="G56" s="28" t="n"/>
      <c r="H56" s="24">
        <f>IF(OR(G56="",F56=""),"",G56-F56+1)</f>
        <v/>
      </c>
      <c r="I56" s="14" t="n"/>
      <c r="J56" s="14" t="n"/>
      <c r="K56" s="28" t="n"/>
      <c r="L56" s="14" t="n"/>
    </row>
    <row r="57" ht="22" customHeight="1">
      <c r="B57" s="17">
        <f>IF(C57="","CONG-"&amp;TEXT(COUNTA($C$5:C57),"000"))</f>
        <v/>
      </c>
      <c r="C57" s="12" t="n"/>
      <c r="D57" s="12" t="n"/>
      <c r="E57" s="12" t="n"/>
      <c r="F57" s="27" t="n"/>
      <c r="G57" s="27" t="n"/>
      <c r="H57" s="23">
        <f>IF(OR(G57="",F57=""),"",G57-F57+1)</f>
        <v/>
      </c>
      <c r="I57" s="12" t="n"/>
      <c r="J57" s="12" t="n"/>
      <c r="K57" s="27" t="n"/>
      <c r="L57" s="12" t="n"/>
    </row>
    <row r="58" ht="22" customHeight="1">
      <c r="B58" s="16">
        <f>IF(C58="","CONG-"&amp;TEXT(COUNTA($C$5:C58),"000"))</f>
        <v/>
      </c>
      <c r="C58" s="14" t="n"/>
      <c r="D58" s="14" t="n"/>
      <c r="E58" s="14" t="n"/>
      <c r="F58" s="28" t="n"/>
      <c r="G58" s="28" t="n"/>
      <c r="H58" s="24">
        <f>IF(OR(G58="",F58=""),"",G58-F58+1)</f>
        <v/>
      </c>
      <c r="I58" s="14" t="n"/>
      <c r="J58" s="14" t="n"/>
      <c r="K58" s="28" t="n"/>
      <c r="L58" s="14" t="n"/>
    </row>
    <row r="59" ht="22" customHeight="1">
      <c r="B59" s="17">
        <f>IF(C59="","CONG-"&amp;TEXT(COUNTA($C$5:C59),"000"))</f>
        <v/>
      </c>
      <c r="C59" s="12" t="n"/>
      <c r="D59" s="12" t="n"/>
      <c r="E59" s="12" t="n"/>
      <c r="F59" s="27" t="n"/>
      <c r="G59" s="27" t="n"/>
      <c r="H59" s="23">
        <f>IF(OR(G59="",F59=""),"",G59-F59+1)</f>
        <v/>
      </c>
      <c r="I59" s="12" t="n"/>
      <c r="J59" s="12" t="n"/>
      <c r="K59" s="27" t="n"/>
      <c r="L59" s="12" t="n"/>
    </row>
    <row r="60" ht="22" customHeight="1">
      <c r="B60" s="16">
        <f>IF(C60="","CONG-"&amp;TEXT(COUNTA($C$5:C60),"000"))</f>
        <v/>
      </c>
      <c r="C60" s="14" t="n"/>
      <c r="D60" s="14" t="n"/>
      <c r="E60" s="14" t="n"/>
      <c r="F60" s="28" t="n"/>
      <c r="G60" s="28" t="n"/>
      <c r="H60" s="24">
        <f>IF(OR(G60="",F60=""),"",G60-F60+1)</f>
        <v/>
      </c>
      <c r="I60" s="14" t="n"/>
      <c r="J60" s="14" t="n"/>
      <c r="K60" s="28" t="n"/>
      <c r="L60" s="14" t="n"/>
    </row>
    <row r="61" ht="22" customHeight="1">
      <c r="B61" s="17">
        <f>IF(C61="","CONG-"&amp;TEXT(COUNTA($C$5:C61),"000"))</f>
        <v/>
      </c>
      <c r="C61" s="12" t="n"/>
      <c r="D61" s="12" t="n"/>
      <c r="E61" s="12" t="n"/>
      <c r="F61" s="27" t="n"/>
      <c r="G61" s="27" t="n"/>
      <c r="H61" s="23">
        <f>IF(OR(G61="",F61=""),"",G61-F61+1)</f>
        <v/>
      </c>
      <c r="I61" s="12" t="n"/>
      <c r="J61" s="12" t="n"/>
      <c r="K61" s="27" t="n"/>
      <c r="L61" s="12" t="n"/>
    </row>
    <row r="62" ht="22" customHeight="1">
      <c r="B62" s="16">
        <f>IF(C62="","CONG-"&amp;TEXT(COUNTA($C$5:C62),"000"))</f>
        <v/>
      </c>
      <c r="C62" s="14" t="n"/>
      <c r="D62" s="14" t="n"/>
      <c r="E62" s="14" t="n"/>
      <c r="F62" s="28" t="n"/>
      <c r="G62" s="28" t="n"/>
      <c r="H62" s="24">
        <f>IF(OR(G62="",F62=""),"",G62-F62+1)</f>
        <v/>
      </c>
      <c r="I62" s="14" t="n"/>
      <c r="J62" s="14" t="n"/>
      <c r="K62" s="28" t="n"/>
      <c r="L62" s="14" t="n"/>
    </row>
    <row r="63" ht="22" customHeight="1">
      <c r="B63" s="17">
        <f>IF(C63="","CONG-"&amp;TEXT(COUNTA($C$5:C63),"000"))</f>
        <v/>
      </c>
      <c r="C63" s="12" t="n"/>
      <c r="D63" s="12" t="n"/>
      <c r="E63" s="12" t="n"/>
      <c r="F63" s="27" t="n"/>
      <c r="G63" s="27" t="n"/>
      <c r="H63" s="23">
        <f>IF(OR(G63="",F63=""),"",G63-F63+1)</f>
        <v/>
      </c>
      <c r="I63" s="12" t="n"/>
      <c r="J63" s="12" t="n"/>
      <c r="K63" s="27" t="n"/>
      <c r="L63" s="12" t="n"/>
    </row>
    <row r="64" ht="22" customHeight="1">
      <c r="B64" s="16">
        <f>IF(C64="","CONG-"&amp;TEXT(COUNTA($C$5:C64),"000"))</f>
        <v/>
      </c>
      <c r="C64" s="14" t="n"/>
      <c r="D64" s="14" t="n"/>
      <c r="E64" s="14" t="n"/>
      <c r="F64" s="28" t="n"/>
      <c r="G64" s="28" t="n"/>
      <c r="H64" s="24">
        <f>IF(OR(G64="",F64=""),"",G64-F64+1)</f>
        <v/>
      </c>
      <c r="I64" s="14" t="n"/>
      <c r="J64" s="14" t="n"/>
      <c r="K64" s="28" t="n"/>
      <c r="L64" s="14" t="n"/>
    </row>
    <row r="65" ht="22" customHeight="1">
      <c r="B65" s="17">
        <f>IF(C65="","CONG-"&amp;TEXT(COUNTA($C$5:C65),"000"))</f>
        <v/>
      </c>
      <c r="C65" s="12" t="n"/>
      <c r="D65" s="12" t="n"/>
      <c r="E65" s="12" t="n"/>
      <c r="F65" s="27" t="n"/>
      <c r="G65" s="27" t="n"/>
      <c r="H65" s="23">
        <f>IF(OR(G65="",F65=""),"",G65-F65+1)</f>
        <v/>
      </c>
      <c r="I65" s="12" t="n"/>
      <c r="J65" s="12" t="n"/>
      <c r="K65" s="27" t="n"/>
      <c r="L65" s="12" t="n"/>
    </row>
    <row r="66" ht="22" customHeight="1">
      <c r="B66" s="16">
        <f>IF(C66="","CONG-"&amp;TEXT(COUNTA($C$5:C66),"000"))</f>
        <v/>
      </c>
      <c r="C66" s="14" t="n"/>
      <c r="D66" s="14" t="n"/>
      <c r="E66" s="14" t="n"/>
      <c r="F66" s="28" t="n"/>
      <c r="G66" s="28" t="n"/>
      <c r="H66" s="24">
        <f>IF(OR(G66="",F66=""),"",G66-F66+1)</f>
        <v/>
      </c>
      <c r="I66" s="14" t="n"/>
      <c r="J66" s="14" t="n"/>
      <c r="K66" s="28" t="n"/>
      <c r="L66" s="14" t="n"/>
    </row>
    <row r="67" ht="22" customHeight="1">
      <c r="B67" s="17">
        <f>IF(C67="","CONG-"&amp;TEXT(COUNTA($C$5:C67),"000"))</f>
        <v/>
      </c>
      <c r="C67" s="12" t="n"/>
      <c r="D67" s="12" t="n"/>
      <c r="E67" s="12" t="n"/>
      <c r="F67" s="27" t="n"/>
      <c r="G67" s="27" t="n"/>
      <c r="H67" s="23">
        <f>IF(OR(G67="",F67=""),"",G67-F67+1)</f>
        <v/>
      </c>
      <c r="I67" s="12" t="n"/>
      <c r="J67" s="12" t="n"/>
      <c r="K67" s="27" t="n"/>
      <c r="L67" s="12" t="n"/>
    </row>
    <row r="68" ht="22" customHeight="1">
      <c r="B68" s="16">
        <f>IF(C68="","CONG-"&amp;TEXT(COUNTA($C$5:C68),"000"))</f>
        <v/>
      </c>
      <c r="C68" s="14" t="n"/>
      <c r="D68" s="14" t="n"/>
      <c r="E68" s="14" t="n"/>
      <c r="F68" s="28" t="n"/>
      <c r="G68" s="28" t="n"/>
      <c r="H68" s="24">
        <f>IF(OR(G68="",F68=""),"",G68-F68+1)</f>
        <v/>
      </c>
      <c r="I68" s="14" t="n"/>
      <c r="J68" s="14" t="n"/>
      <c r="K68" s="28" t="n"/>
      <c r="L68" s="14" t="n"/>
    </row>
    <row r="69" ht="22" customHeight="1">
      <c r="B69" s="17">
        <f>IF(C69="","CONG-"&amp;TEXT(COUNTA($C$5:C69),"000"))</f>
        <v/>
      </c>
      <c r="C69" s="12" t="n"/>
      <c r="D69" s="12" t="n"/>
      <c r="E69" s="12" t="n"/>
      <c r="F69" s="27" t="n"/>
      <c r="G69" s="27" t="n"/>
      <c r="H69" s="23">
        <f>IF(OR(G69="",F69=""),"",G69-F69+1)</f>
        <v/>
      </c>
      <c r="I69" s="12" t="n"/>
      <c r="J69" s="12" t="n"/>
      <c r="K69" s="27" t="n"/>
      <c r="L69" s="12" t="n"/>
    </row>
    <row r="70" ht="22" customHeight="1">
      <c r="B70" s="16">
        <f>IF(C70="","CONG-"&amp;TEXT(COUNTA($C$5:C70),"000"))</f>
        <v/>
      </c>
      <c r="C70" s="14" t="n"/>
      <c r="D70" s="14" t="n"/>
      <c r="E70" s="14" t="n"/>
      <c r="F70" s="28" t="n"/>
      <c r="G70" s="28" t="n"/>
      <c r="H70" s="24">
        <f>IF(OR(G70="",F70=""),"",G70-F70+1)</f>
        <v/>
      </c>
      <c r="I70" s="14" t="n"/>
      <c r="J70" s="14" t="n"/>
      <c r="K70" s="28" t="n"/>
      <c r="L70" s="14" t="n"/>
    </row>
    <row r="71" ht="22" customHeight="1">
      <c r="B71" s="17">
        <f>IF(C71="","CONG-"&amp;TEXT(COUNTA($C$5:C71),"000"))</f>
        <v/>
      </c>
      <c r="C71" s="12" t="n"/>
      <c r="D71" s="12" t="n"/>
      <c r="E71" s="12" t="n"/>
      <c r="F71" s="27" t="n"/>
      <c r="G71" s="27" t="n"/>
      <c r="H71" s="23">
        <f>IF(OR(G71="",F71=""),"",G71-F71+1)</f>
        <v/>
      </c>
      <c r="I71" s="12" t="n"/>
      <c r="J71" s="12" t="n"/>
      <c r="K71" s="27" t="n"/>
      <c r="L71" s="12" t="n"/>
    </row>
    <row r="72" ht="22" customHeight="1">
      <c r="B72" s="16">
        <f>IF(C72="","CONG-"&amp;TEXT(COUNTA($C$5:C72),"000"))</f>
        <v/>
      </c>
      <c r="C72" s="14" t="n"/>
      <c r="D72" s="14" t="n"/>
      <c r="E72" s="14" t="n"/>
      <c r="F72" s="28" t="n"/>
      <c r="G72" s="28" t="n"/>
      <c r="H72" s="24">
        <f>IF(OR(G72="",F72=""),"",G72-F72+1)</f>
        <v/>
      </c>
      <c r="I72" s="14" t="n"/>
      <c r="J72" s="14" t="n"/>
      <c r="K72" s="28" t="n"/>
      <c r="L72" s="14" t="n"/>
    </row>
    <row r="73" ht="22" customHeight="1">
      <c r="B73" s="17">
        <f>IF(C73="","CONG-"&amp;TEXT(COUNTA($C$5:C73),"000"))</f>
        <v/>
      </c>
      <c r="C73" s="12" t="n"/>
      <c r="D73" s="12" t="n"/>
      <c r="E73" s="12" t="n"/>
      <c r="F73" s="27" t="n"/>
      <c r="G73" s="27" t="n"/>
      <c r="H73" s="23">
        <f>IF(OR(G73="",F73=""),"",G73-F73+1)</f>
        <v/>
      </c>
      <c r="I73" s="12" t="n"/>
      <c r="J73" s="12" t="n"/>
      <c r="K73" s="27" t="n"/>
      <c r="L73" s="12" t="n"/>
    </row>
    <row r="74" ht="22" customHeight="1">
      <c r="B74" s="16">
        <f>IF(C74="","CONG-"&amp;TEXT(COUNTA($C$5:C74),"000"))</f>
        <v/>
      </c>
      <c r="C74" s="14" t="n"/>
      <c r="D74" s="14" t="n"/>
      <c r="E74" s="14" t="n"/>
      <c r="F74" s="28" t="n"/>
      <c r="G74" s="28" t="n"/>
      <c r="H74" s="24">
        <f>IF(OR(G74="",F74=""),"",G74-F74+1)</f>
        <v/>
      </c>
      <c r="I74" s="14" t="n"/>
      <c r="J74" s="14" t="n"/>
      <c r="K74" s="28" t="n"/>
      <c r="L74" s="14" t="n"/>
    </row>
    <row r="75" ht="22" customHeight="1">
      <c r="B75" s="17">
        <f>IF(C75="","CONG-"&amp;TEXT(COUNTA($C$5:C75),"000"))</f>
        <v/>
      </c>
      <c r="C75" s="12" t="n"/>
      <c r="D75" s="12" t="n"/>
      <c r="E75" s="12" t="n"/>
      <c r="F75" s="27" t="n"/>
      <c r="G75" s="27" t="n"/>
      <c r="H75" s="23">
        <f>IF(OR(G75="",F75=""),"",G75-F75+1)</f>
        <v/>
      </c>
      <c r="I75" s="12" t="n"/>
      <c r="J75" s="12" t="n"/>
      <c r="K75" s="27" t="n"/>
      <c r="L75" s="12" t="n"/>
    </row>
    <row r="76" ht="22" customHeight="1">
      <c r="B76" s="16">
        <f>IF(C76="","CONG-"&amp;TEXT(COUNTA($C$5:C76),"000"))</f>
        <v/>
      </c>
      <c r="C76" s="14" t="n"/>
      <c r="D76" s="14" t="n"/>
      <c r="E76" s="14" t="n"/>
      <c r="F76" s="28" t="n"/>
      <c r="G76" s="28" t="n"/>
      <c r="H76" s="24">
        <f>IF(OR(G76="",F76=""),"",G76-F76+1)</f>
        <v/>
      </c>
      <c r="I76" s="14" t="n"/>
      <c r="J76" s="14" t="n"/>
      <c r="K76" s="28" t="n"/>
      <c r="L76" s="14" t="n"/>
    </row>
    <row r="77" ht="22" customHeight="1">
      <c r="B77" s="17">
        <f>IF(C77="","CONG-"&amp;TEXT(COUNTA($C$5:C77),"000"))</f>
        <v/>
      </c>
      <c r="C77" s="12" t="n"/>
      <c r="D77" s="12" t="n"/>
      <c r="E77" s="12" t="n"/>
      <c r="F77" s="27" t="n"/>
      <c r="G77" s="27" t="n"/>
      <c r="H77" s="23">
        <f>IF(OR(G77="",F77=""),"",G77-F77+1)</f>
        <v/>
      </c>
      <c r="I77" s="12" t="n"/>
      <c r="J77" s="12" t="n"/>
      <c r="K77" s="27" t="n"/>
      <c r="L77" s="12" t="n"/>
    </row>
    <row r="78" ht="22" customHeight="1">
      <c r="B78" s="16">
        <f>IF(C78="","CONG-"&amp;TEXT(COUNTA($C$5:C78),"000"))</f>
        <v/>
      </c>
      <c r="C78" s="14" t="n"/>
      <c r="D78" s="14" t="n"/>
      <c r="E78" s="14" t="n"/>
      <c r="F78" s="28" t="n"/>
      <c r="G78" s="28" t="n"/>
      <c r="H78" s="24">
        <f>IF(OR(G78="",F78=""),"",G78-F78+1)</f>
        <v/>
      </c>
      <c r="I78" s="14" t="n"/>
      <c r="J78" s="14" t="n"/>
      <c r="K78" s="28" t="n"/>
      <c r="L78" s="14" t="n"/>
    </row>
    <row r="79" ht="22" customHeight="1">
      <c r="B79" s="17">
        <f>IF(C79="","CONG-"&amp;TEXT(COUNTA($C$5:C79),"000"))</f>
        <v/>
      </c>
      <c r="C79" s="12" t="n"/>
      <c r="D79" s="12" t="n"/>
      <c r="E79" s="12" t="n"/>
      <c r="F79" s="27" t="n"/>
      <c r="G79" s="27" t="n"/>
      <c r="H79" s="23">
        <f>IF(OR(G79="",F79=""),"",G79-F79+1)</f>
        <v/>
      </c>
      <c r="I79" s="12" t="n"/>
      <c r="J79" s="12" t="n"/>
      <c r="K79" s="27" t="n"/>
      <c r="L79" s="12" t="n"/>
    </row>
    <row r="80" ht="22" customHeight="1">
      <c r="B80" s="16">
        <f>IF(C80="","CONG-"&amp;TEXT(COUNTA($C$5:C80),"000"))</f>
        <v/>
      </c>
      <c r="C80" s="14" t="n"/>
      <c r="D80" s="14" t="n"/>
      <c r="E80" s="14" t="n"/>
      <c r="F80" s="28" t="n"/>
      <c r="G80" s="28" t="n"/>
      <c r="H80" s="24">
        <f>IF(OR(G80="",F80=""),"",G80-F80+1)</f>
        <v/>
      </c>
      <c r="I80" s="14" t="n"/>
      <c r="J80" s="14" t="n"/>
      <c r="K80" s="28" t="n"/>
      <c r="L80" s="14" t="n"/>
    </row>
    <row r="81" ht="22" customHeight="1">
      <c r="B81" s="17">
        <f>IF(C81="","CONG-"&amp;TEXT(COUNTA($C$5:C81),"000"))</f>
        <v/>
      </c>
      <c r="C81" s="12" t="n"/>
      <c r="D81" s="12" t="n"/>
      <c r="E81" s="12" t="n"/>
      <c r="F81" s="27" t="n"/>
      <c r="G81" s="27" t="n"/>
      <c r="H81" s="23">
        <f>IF(OR(G81="",F81=""),"",G81-F81+1)</f>
        <v/>
      </c>
      <c r="I81" s="12" t="n"/>
      <c r="J81" s="12" t="n"/>
      <c r="K81" s="27" t="n"/>
      <c r="L81" s="12" t="n"/>
    </row>
    <row r="82" ht="22" customHeight="1">
      <c r="B82" s="16">
        <f>IF(C82="","CONG-"&amp;TEXT(COUNTA($C$5:C82),"000"))</f>
        <v/>
      </c>
      <c r="C82" s="14" t="n"/>
      <c r="D82" s="14" t="n"/>
      <c r="E82" s="14" t="n"/>
      <c r="F82" s="28" t="n"/>
      <c r="G82" s="28" t="n"/>
      <c r="H82" s="24">
        <f>IF(OR(G82="",F82=""),"",G82-F82+1)</f>
        <v/>
      </c>
      <c r="I82" s="14" t="n"/>
      <c r="J82" s="14" t="n"/>
      <c r="K82" s="28" t="n"/>
      <c r="L82" s="14" t="n"/>
    </row>
    <row r="83" ht="22" customHeight="1">
      <c r="B83" s="17">
        <f>IF(C83="","CONG-"&amp;TEXT(COUNTA($C$5:C83),"000"))</f>
        <v/>
      </c>
      <c r="C83" s="12" t="n"/>
      <c r="D83" s="12" t="n"/>
      <c r="E83" s="12" t="n"/>
      <c r="F83" s="27" t="n"/>
      <c r="G83" s="27" t="n"/>
      <c r="H83" s="23">
        <f>IF(OR(G83="",F83=""),"",G83-F83+1)</f>
        <v/>
      </c>
      <c r="I83" s="12" t="n"/>
      <c r="J83" s="12" t="n"/>
      <c r="K83" s="27" t="n"/>
      <c r="L83" s="12" t="n"/>
    </row>
    <row r="84" ht="22" customHeight="1">
      <c r="B84" s="16">
        <f>IF(C84="","CONG-"&amp;TEXT(COUNTA($C$5:C84),"000"))</f>
        <v/>
      </c>
      <c r="C84" s="14" t="n"/>
      <c r="D84" s="14" t="n"/>
      <c r="E84" s="14" t="n"/>
      <c r="F84" s="28" t="n"/>
      <c r="G84" s="28" t="n"/>
      <c r="H84" s="24">
        <f>IF(OR(G84="",F84=""),"",G84-F84+1)</f>
        <v/>
      </c>
      <c r="I84" s="14" t="n"/>
      <c r="J84" s="14" t="n"/>
      <c r="K84" s="28" t="n"/>
      <c r="L84" s="14" t="n"/>
    </row>
    <row r="85" ht="22" customHeight="1">
      <c r="B85" s="17">
        <f>IF(C85="","CONG-"&amp;TEXT(COUNTA($C$5:C85),"000"))</f>
        <v/>
      </c>
      <c r="C85" s="12" t="n"/>
      <c r="D85" s="12" t="n"/>
      <c r="E85" s="12" t="n"/>
      <c r="F85" s="27" t="n"/>
      <c r="G85" s="27" t="n"/>
      <c r="H85" s="23">
        <f>IF(OR(G85="",F85=""),"",G85-F85+1)</f>
        <v/>
      </c>
      <c r="I85" s="12" t="n"/>
      <c r="J85" s="12" t="n"/>
      <c r="K85" s="27" t="n"/>
      <c r="L85" s="12" t="n"/>
    </row>
    <row r="86" ht="22" customHeight="1">
      <c r="B86" s="16">
        <f>IF(C86="","CONG-"&amp;TEXT(COUNTA($C$5:C86),"000"))</f>
        <v/>
      </c>
      <c r="C86" s="14" t="n"/>
      <c r="D86" s="14" t="n"/>
      <c r="E86" s="14" t="n"/>
      <c r="F86" s="28" t="n"/>
      <c r="G86" s="28" t="n"/>
      <c r="H86" s="24">
        <f>IF(OR(G86="",F86=""),"",G86-F86+1)</f>
        <v/>
      </c>
      <c r="I86" s="14" t="n"/>
      <c r="J86" s="14" t="n"/>
      <c r="K86" s="28" t="n"/>
      <c r="L86" s="14" t="n"/>
    </row>
    <row r="87" ht="22" customHeight="1">
      <c r="B87" s="17">
        <f>IF(C87="","CONG-"&amp;TEXT(COUNTA($C$5:C87),"000"))</f>
        <v/>
      </c>
      <c r="C87" s="12" t="n"/>
      <c r="D87" s="12" t="n"/>
      <c r="E87" s="12" t="n"/>
      <c r="F87" s="27" t="n"/>
      <c r="G87" s="27" t="n"/>
      <c r="H87" s="23">
        <f>IF(OR(G87="",F87=""),"",G87-F87+1)</f>
        <v/>
      </c>
      <c r="I87" s="12" t="n"/>
      <c r="J87" s="12" t="n"/>
      <c r="K87" s="27" t="n"/>
      <c r="L87" s="12" t="n"/>
    </row>
    <row r="88" ht="22" customHeight="1">
      <c r="B88" s="16">
        <f>IF(C88="","CONG-"&amp;TEXT(COUNTA($C$5:C88),"000"))</f>
        <v/>
      </c>
      <c r="C88" s="14" t="n"/>
      <c r="D88" s="14" t="n"/>
      <c r="E88" s="14" t="n"/>
      <c r="F88" s="28" t="n"/>
      <c r="G88" s="28" t="n"/>
      <c r="H88" s="24">
        <f>IF(OR(G88="",F88=""),"",G88-F88+1)</f>
        <v/>
      </c>
      <c r="I88" s="14" t="n"/>
      <c r="J88" s="14" t="n"/>
      <c r="K88" s="28" t="n"/>
      <c r="L88" s="14" t="n"/>
    </row>
    <row r="89" ht="22" customHeight="1">
      <c r="B89" s="17">
        <f>IF(C89="","CONG-"&amp;TEXT(COUNTA($C$5:C89),"000"))</f>
        <v/>
      </c>
      <c r="C89" s="12" t="n"/>
      <c r="D89" s="12" t="n"/>
      <c r="E89" s="12" t="n"/>
      <c r="F89" s="27" t="n"/>
      <c r="G89" s="27" t="n"/>
      <c r="H89" s="23">
        <f>IF(OR(G89="",F89=""),"",G89-F89+1)</f>
        <v/>
      </c>
      <c r="I89" s="12" t="n"/>
      <c r="J89" s="12" t="n"/>
      <c r="K89" s="27" t="n"/>
      <c r="L89" s="12" t="n"/>
    </row>
    <row r="90" ht="22" customHeight="1">
      <c r="B90" s="16">
        <f>IF(C90="","CONG-"&amp;TEXT(COUNTA($C$5:C90),"000"))</f>
        <v/>
      </c>
      <c r="C90" s="14" t="n"/>
      <c r="D90" s="14" t="n"/>
      <c r="E90" s="14" t="n"/>
      <c r="F90" s="28" t="n"/>
      <c r="G90" s="28" t="n"/>
      <c r="H90" s="24">
        <f>IF(OR(G90="",F90=""),"",G90-F90+1)</f>
        <v/>
      </c>
      <c r="I90" s="14" t="n"/>
      <c r="J90" s="14" t="n"/>
      <c r="K90" s="28" t="n"/>
      <c r="L90" s="14" t="n"/>
    </row>
    <row r="91" ht="22" customHeight="1">
      <c r="B91" s="17">
        <f>IF(C91="","CONG-"&amp;TEXT(COUNTA($C$5:C91),"000"))</f>
        <v/>
      </c>
      <c r="C91" s="12" t="n"/>
      <c r="D91" s="12" t="n"/>
      <c r="E91" s="12" t="n"/>
      <c r="F91" s="27" t="n"/>
      <c r="G91" s="27" t="n"/>
      <c r="H91" s="23">
        <f>IF(OR(G91="",F91=""),"",G91-F91+1)</f>
        <v/>
      </c>
      <c r="I91" s="12" t="n"/>
      <c r="J91" s="12" t="n"/>
      <c r="K91" s="27" t="n"/>
      <c r="L91" s="12" t="n"/>
    </row>
    <row r="92" ht="22" customHeight="1">
      <c r="B92" s="16">
        <f>IF(C92="","CONG-"&amp;TEXT(COUNTA($C$5:C92),"000"))</f>
        <v/>
      </c>
      <c r="C92" s="14" t="n"/>
      <c r="D92" s="14" t="n"/>
      <c r="E92" s="14" t="n"/>
      <c r="F92" s="28" t="n"/>
      <c r="G92" s="28" t="n"/>
      <c r="H92" s="24">
        <f>IF(OR(G92="",F92=""),"",G92-F92+1)</f>
        <v/>
      </c>
      <c r="I92" s="14" t="n"/>
      <c r="J92" s="14" t="n"/>
      <c r="K92" s="28" t="n"/>
      <c r="L92" s="14" t="n"/>
    </row>
    <row r="93" ht="22" customHeight="1">
      <c r="B93" s="17">
        <f>IF(C93="","CONG-"&amp;TEXT(COUNTA($C$5:C93),"000"))</f>
        <v/>
      </c>
      <c r="C93" s="12" t="n"/>
      <c r="D93" s="12" t="n"/>
      <c r="E93" s="12" t="n"/>
      <c r="F93" s="27" t="n"/>
      <c r="G93" s="27" t="n"/>
      <c r="H93" s="23">
        <f>IF(OR(G93="",F93=""),"",G93-F93+1)</f>
        <v/>
      </c>
      <c r="I93" s="12" t="n"/>
      <c r="J93" s="12" t="n"/>
      <c r="K93" s="27" t="n"/>
      <c r="L93" s="12" t="n"/>
    </row>
    <row r="94" ht="22" customHeight="1">
      <c r="B94" s="16">
        <f>IF(C94="","CONG-"&amp;TEXT(COUNTA($C$5:C94),"000"))</f>
        <v/>
      </c>
      <c r="C94" s="14" t="n"/>
      <c r="D94" s="14" t="n"/>
      <c r="E94" s="14" t="n"/>
      <c r="F94" s="28" t="n"/>
      <c r="G94" s="28" t="n"/>
      <c r="H94" s="24">
        <f>IF(OR(G94="",F94=""),"",G94-F94+1)</f>
        <v/>
      </c>
      <c r="I94" s="14" t="n"/>
      <c r="J94" s="14" t="n"/>
      <c r="K94" s="28" t="n"/>
      <c r="L94" s="14" t="n"/>
    </row>
    <row r="95" ht="22" customHeight="1">
      <c r="B95" s="17">
        <f>IF(C95="","CONG-"&amp;TEXT(COUNTA($C$5:C95),"000"))</f>
        <v/>
      </c>
      <c r="C95" s="12" t="n"/>
      <c r="D95" s="12" t="n"/>
      <c r="E95" s="12" t="n"/>
      <c r="F95" s="27" t="n"/>
      <c r="G95" s="27" t="n"/>
      <c r="H95" s="23">
        <f>IF(OR(G95="",F95=""),"",G95-F95+1)</f>
        <v/>
      </c>
      <c r="I95" s="12" t="n"/>
      <c r="J95" s="12" t="n"/>
      <c r="K95" s="27" t="n"/>
      <c r="L95" s="12" t="n"/>
    </row>
    <row r="96" ht="22" customHeight="1">
      <c r="B96" s="16">
        <f>IF(C96="","CONG-"&amp;TEXT(COUNTA($C$5:C96),"000"))</f>
        <v/>
      </c>
      <c r="C96" s="14" t="n"/>
      <c r="D96" s="14" t="n"/>
      <c r="E96" s="14" t="n"/>
      <c r="F96" s="28" t="n"/>
      <c r="G96" s="28" t="n"/>
      <c r="H96" s="24">
        <f>IF(OR(G96="",F96=""),"",G96-F96+1)</f>
        <v/>
      </c>
      <c r="I96" s="14" t="n"/>
      <c r="J96" s="14" t="n"/>
      <c r="K96" s="28" t="n"/>
      <c r="L96" s="14" t="n"/>
    </row>
    <row r="97" ht="22" customHeight="1">
      <c r="B97" s="17">
        <f>IF(C97="","CONG-"&amp;TEXT(COUNTA($C$5:C97),"000"))</f>
        <v/>
      </c>
      <c r="C97" s="12" t="n"/>
      <c r="D97" s="12" t="n"/>
      <c r="E97" s="12" t="n"/>
      <c r="F97" s="27" t="n"/>
      <c r="G97" s="27" t="n"/>
      <c r="H97" s="23">
        <f>IF(OR(G97="",F97=""),"",G97-F97+1)</f>
        <v/>
      </c>
      <c r="I97" s="12" t="n"/>
      <c r="J97" s="12" t="n"/>
      <c r="K97" s="27" t="n"/>
      <c r="L97" s="12" t="n"/>
    </row>
    <row r="98" ht="22" customHeight="1">
      <c r="B98" s="16">
        <f>IF(C98="","CONG-"&amp;TEXT(COUNTA($C$5:C98),"000"))</f>
        <v/>
      </c>
      <c r="C98" s="14" t="n"/>
      <c r="D98" s="14" t="n"/>
      <c r="E98" s="14" t="n"/>
      <c r="F98" s="28" t="n"/>
      <c r="G98" s="28" t="n"/>
      <c r="H98" s="24">
        <f>IF(OR(G98="",F98=""),"",G98-F98+1)</f>
        <v/>
      </c>
      <c r="I98" s="14" t="n"/>
      <c r="J98" s="14" t="n"/>
      <c r="K98" s="28" t="n"/>
      <c r="L98" s="14" t="n"/>
    </row>
    <row r="99" ht="22" customHeight="1">
      <c r="B99" s="17">
        <f>IF(C99="","CONG-"&amp;TEXT(COUNTA($C$5:C99),"000"))</f>
        <v/>
      </c>
      <c r="C99" s="12" t="n"/>
      <c r="D99" s="12" t="n"/>
      <c r="E99" s="12" t="n"/>
      <c r="F99" s="27" t="n"/>
      <c r="G99" s="27" t="n"/>
      <c r="H99" s="23">
        <f>IF(OR(G99="",F99=""),"",G99-F99+1)</f>
        <v/>
      </c>
      <c r="I99" s="12" t="n"/>
      <c r="J99" s="12" t="n"/>
      <c r="K99" s="27" t="n"/>
      <c r="L99" s="12" t="n"/>
    </row>
    <row r="100" ht="22" customHeight="1">
      <c r="B100" s="16">
        <f>IF(C100="","CONG-"&amp;TEXT(COUNTA($C$5:C100),"000"))</f>
        <v/>
      </c>
      <c r="C100" s="14" t="n"/>
      <c r="D100" s="14" t="n"/>
      <c r="E100" s="14" t="n"/>
      <c r="F100" s="28" t="n"/>
      <c r="G100" s="28" t="n"/>
      <c r="H100" s="24">
        <f>IF(OR(G100="",F100=""),"",G100-F100+1)</f>
        <v/>
      </c>
      <c r="I100" s="14" t="n"/>
      <c r="J100" s="14" t="n"/>
      <c r="K100" s="28" t="n"/>
      <c r="L100" s="14" t="n"/>
    </row>
    <row r="101" ht="22" customHeight="1">
      <c r="B101" s="17">
        <f>IF(C101="","CONG-"&amp;TEXT(COUNTA($C$5:C101),"000"))</f>
        <v/>
      </c>
      <c r="C101" s="12" t="n"/>
      <c r="D101" s="12" t="n"/>
      <c r="E101" s="12" t="n"/>
      <c r="F101" s="27" t="n"/>
      <c r="G101" s="27" t="n"/>
      <c r="H101" s="23">
        <f>IF(OR(G101="",F101=""),"",G101-F101+1)</f>
        <v/>
      </c>
      <c r="I101" s="12" t="n"/>
      <c r="J101" s="12" t="n"/>
      <c r="K101" s="27" t="n"/>
      <c r="L101" s="12" t="n"/>
    </row>
    <row r="102" ht="22" customHeight="1">
      <c r="B102" s="16">
        <f>IF(C102="","CONG-"&amp;TEXT(COUNTA($C$5:C102),"000"))</f>
        <v/>
      </c>
      <c r="C102" s="14" t="n"/>
      <c r="D102" s="14" t="n"/>
      <c r="E102" s="14" t="n"/>
      <c r="F102" s="28" t="n"/>
      <c r="G102" s="28" t="n"/>
      <c r="H102" s="24">
        <f>IF(OR(G102="",F102=""),"",G102-F102+1)</f>
        <v/>
      </c>
      <c r="I102" s="14" t="n"/>
      <c r="J102" s="14" t="n"/>
      <c r="K102" s="28" t="n"/>
      <c r="L102" s="14" t="n"/>
    </row>
    <row r="103" ht="22" customHeight="1">
      <c r="B103" s="17">
        <f>IF(C103="","CONG-"&amp;TEXT(COUNTA($C$5:C103),"000"))</f>
        <v/>
      </c>
      <c r="C103" s="12" t="n"/>
      <c r="D103" s="12" t="n"/>
      <c r="E103" s="12" t="n"/>
      <c r="F103" s="27" t="n"/>
      <c r="G103" s="27" t="n"/>
      <c r="H103" s="23">
        <f>IF(OR(G103="",F103=""),"",G103-F103+1)</f>
        <v/>
      </c>
      <c r="I103" s="12" t="n"/>
      <c r="J103" s="12" t="n"/>
      <c r="K103" s="27" t="n"/>
      <c r="L103" s="12" t="n"/>
    </row>
    <row r="104" ht="22" customHeight="1">
      <c r="B104" s="16">
        <f>IF(C104="","CONG-"&amp;TEXT(COUNTA($C$5:C104),"000"))</f>
        <v/>
      </c>
      <c r="C104" s="14" t="n"/>
      <c r="D104" s="14" t="n"/>
      <c r="E104" s="14" t="n"/>
      <c r="F104" s="28" t="n"/>
      <c r="G104" s="28" t="n"/>
      <c r="H104" s="24">
        <f>IF(OR(G104="",F104=""),"",G104-F104+1)</f>
        <v/>
      </c>
      <c r="I104" s="14" t="n"/>
      <c r="J104" s="14" t="n"/>
      <c r="K104" s="28" t="n"/>
      <c r="L104" s="14" t="n"/>
    </row>
    <row r="105" ht="22" customHeight="1">
      <c r="B105" s="17">
        <f>IF(C105="","CONG-"&amp;TEXT(COUNTA($C$5:C105),"000"))</f>
        <v/>
      </c>
      <c r="C105" s="12" t="n"/>
      <c r="D105" s="12" t="n"/>
      <c r="E105" s="12" t="n"/>
      <c r="F105" s="27" t="n"/>
      <c r="G105" s="27" t="n"/>
      <c r="H105" s="23">
        <f>IF(OR(G105="",F105=""),"",G105-F105+1)</f>
        <v/>
      </c>
      <c r="I105" s="12" t="n"/>
      <c r="J105" s="12" t="n"/>
      <c r="K105" s="27" t="n"/>
      <c r="L105" s="12" t="n"/>
    </row>
    <row r="106" ht="22" customHeight="1">
      <c r="B106" s="16">
        <f>IF(C106="","CONG-"&amp;TEXT(COUNTA($C$5:C106),"000"))</f>
        <v/>
      </c>
      <c r="C106" s="14" t="n"/>
      <c r="D106" s="14" t="n"/>
      <c r="E106" s="14" t="n"/>
      <c r="F106" s="28" t="n"/>
      <c r="G106" s="28" t="n"/>
      <c r="H106" s="24">
        <f>IF(OR(G106="",F106=""),"",G106-F106+1)</f>
        <v/>
      </c>
      <c r="I106" s="14" t="n"/>
      <c r="J106" s="14" t="n"/>
      <c r="K106" s="28" t="n"/>
      <c r="L106" s="14" t="n"/>
    </row>
    <row r="107" ht="22" customHeight="1">
      <c r="B107" s="17">
        <f>IF(C107="","CONG-"&amp;TEXT(COUNTA($C$5:C107),"000"))</f>
        <v/>
      </c>
      <c r="C107" s="12" t="n"/>
      <c r="D107" s="12" t="n"/>
      <c r="E107" s="12" t="n"/>
      <c r="F107" s="27" t="n"/>
      <c r="G107" s="27" t="n"/>
      <c r="H107" s="23">
        <f>IF(OR(G107="",F107=""),"",G107-F107+1)</f>
        <v/>
      </c>
      <c r="I107" s="12" t="n"/>
      <c r="J107" s="12" t="n"/>
      <c r="K107" s="27" t="n"/>
      <c r="L107" s="12" t="n"/>
    </row>
    <row r="108" ht="22" customHeight="1">
      <c r="B108" s="16">
        <f>IF(C108="","CONG-"&amp;TEXT(COUNTA($C$5:C108),"000"))</f>
        <v/>
      </c>
      <c r="C108" s="14" t="n"/>
      <c r="D108" s="14" t="n"/>
      <c r="E108" s="14" t="n"/>
      <c r="F108" s="28" t="n"/>
      <c r="G108" s="28" t="n"/>
      <c r="H108" s="24">
        <f>IF(OR(G108="",F108=""),"",G108-F108+1)</f>
        <v/>
      </c>
      <c r="I108" s="14" t="n"/>
      <c r="J108" s="14" t="n"/>
      <c r="K108" s="28" t="n"/>
      <c r="L108" s="14" t="n"/>
    </row>
    <row r="109"/>
    <row r="110">
      <c r="B110" s="6" t="inlineStr">
        <is>
          <t>INDICATEURS (mis a jour automatiquement)</t>
        </is>
      </c>
    </row>
    <row r="111">
      <c r="B111" s="3" t="inlineStr">
        <is>
          <t>Total demandes</t>
        </is>
      </c>
      <c r="D111" s="3" t="inlineStr">
        <is>
          <t>Approuvées</t>
        </is>
      </c>
      <c r="F111" s="3" t="inlineStr">
        <is>
          <t>En attente</t>
        </is>
      </c>
      <c r="H111" s="3" t="inlineStr">
        <is>
          <t>Total jours demandés</t>
        </is>
      </c>
    </row>
    <row r="112">
      <c r="B112" s="4">
        <f>COUNTIF(B5:B104,"&lt;&gt;")</f>
        <v/>
      </c>
      <c r="D112" s="4">
        <f>COUNTIF(J5:J104,"Approuve")</f>
        <v/>
      </c>
      <c r="F112" s="4">
        <f>COUNTIF(J5:J104,"En attente")</f>
        <v/>
      </c>
      <c r="H112" s="4">
        <f>SUM(H5:H104)</f>
        <v/>
      </c>
    </row>
  </sheetData>
  <mergeCells count="3">
    <mergeCell ref="B2:L2"/>
    <mergeCell ref="B110:L110"/>
    <mergeCell ref="B3:L3"/>
  </mergeCells>
  <conditionalFormatting sqref="J5:J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"Soumise"</formula>
    </cfRule>
    <cfRule type="cellIs" priority="9" operator="equal" dxfId="0">
      <formula>"Traite"</formula>
    </cfRule>
    <cfRule type="cellIs" priority="10" operator="equal" dxfId="0">
      <formula>"Clos"</formula>
    </cfRule>
    <cfRule type="cellIs" priority="11" operator="equal" dxfId="0">
      <formula>"Solde"</formula>
    </cfRule>
    <cfRule type="cellIs" priority="12" operator="equal" dxfId="0">
      <formula>"Pris"</formula>
    </cfRule>
    <cfRule type="cellIs" priority="13" operator="equal" dxfId="1">
      <formula>"En attente"</formula>
    </cfRule>
    <cfRule type="cellIs" priority="14" operator="equal" dxfId="1">
      <formula>"A renouveler"</formula>
    </cfRule>
    <cfRule type="cellIs" priority="15" operator="equal" dxfId="1">
      <formula>"En renouvellement"</formula>
    </cfRule>
    <cfRule type="cellIs" priority="16" operator="equal" dxfId="1">
      <formula>"En cours"</formula>
    </cfRule>
    <cfRule type="cellIs" priority="17" operator="equal" dxfId="1">
      <formula>"En traitement"</formula>
    </cfRule>
    <cfRule type="cellIs" priority="18" operator="equal" dxfId="1">
      <formula>"En retard"</formula>
    </cfRule>
    <cfRule type="cellIs" priority="19" operator="equal" dxfId="1">
      <formula>"Suspendu"</formula>
    </cfRule>
    <cfRule type="cellIs" priority="20" operator="equal" dxfId="1">
      <formula>"A verifier"</formula>
    </cfRule>
    <cfRule type="cellIs" priority="21" operator="equal" dxfId="2">
      <formula>"Expire"</formula>
    </cfRule>
    <cfRule type="cellIs" priority="22" operator="equal" dxfId="2">
      <formula>"Rejete"</formula>
    </cfRule>
    <cfRule type="cellIs" priority="23" operator="equal" dxfId="2">
      <formula>"Rejetee"</formula>
    </cfRule>
    <cfRule type="cellIs" priority="24" operator="equal" dxfId="2">
      <formula>"Resilie"</formula>
    </cfRule>
    <cfRule type="cellIs" priority="25" operator="equal" dxfId="2">
      <formula>"Echu"</formula>
    </cfRule>
    <cfRule type="cellIs" priority="26" operator="equal" dxfId="2">
      <formula>"Refuse"</formula>
    </cfRule>
    <cfRule type="cellIs" priority="27" operator="equal" dxfId="2">
      <formula>"Annulee"</formula>
    </cfRule>
    <cfRule type="cellIs" priority="28" operator="equal" dxfId="2">
      <formula>"Departi"</formula>
    </cfRule>
    <cfRule type="cellIs" priority="29" operator="equal" dxfId="2">
      <formula>"Cloture"</formula>
    </cfRule>
    <cfRule type="cellIs" priority="30" operator="equal" dxfId="2">
      <formula>"Non justifiee"</formula>
    </cfRule>
    <cfRule type="cellIs" priority="31" operator="equal" dxfId="2">
      <formula>"Manquant"</formula>
    </cfRule>
  </conditionalFormatting>
  <conditionalFormatting sqref="B9:B108">
    <cfRule type="expression" priority="32" dxfId="3">
      <formula>AND($C9="",$C8&lt;&gt;"")</formula>
    </cfRule>
  </conditionalFormatting>
  <conditionalFormatting sqref="C9:C108">
    <cfRule type="expression" priority="33" dxfId="3">
      <formula>AND($C9="",$C8&lt;&gt;"")</formula>
    </cfRule>
  </conditionalFormatting>
  <conditionalFormatting sqref="D9:D108">
    <cfRule type="expression" priority="34" dxfId="3">
      <formula>AND($C9="",$C8&lt;&gt;"")</formula>
    </cfRule>
  </conditionalFormatting>
  <conditionalFormatting sqref="E9:E108">
    <cfRule type="expression" priority="35" dxfId="3">
      <formula>AND($C9="",$C8&lt;&gt;"")</formula>
    </cfRule>
  </conditionalFormatting>
  <conditionalFormatting sqref="F9:F108">
    <cfRule type="expression" priority="36" dxfId="3">
      <formula>AND($C9="",$C8&lt;&gt;"")</formula>
    </cfRule>
  </conditionalFormatting>
  <conditionalFormatting sqref="G9:G108">
    <cfRule type="expression" priority="37" dxfId="3">
      <formula>AND($C9="",$C8&lt;&gt;"")</formula>
    </cfRule>
  </conditionalFormatting>
  <conditionalFormatting sqref="H9:H108">
    <cfRule type="expression" priority="38" dxfId="3">
      <formula>AND($C9="",$C8&lt;&gt;"")</formula>
    </cfRule>
  </conditionalFormatting>
  <conditionalFormatting sqref="I9:I108">
    <cfRule type="expression" priority="39" dxfId="3">
      <formula>AND($C9="",$C8&lt;&gt;"")</formula>
    </cfRule>
  </conditionalFormatting>
  <conditionalFormatting sqref="J9:J108">
    <cfRule type="expression" priority="40" dxfId="3">
      <formula>AND($C9="",$C8&lt;&gt;"")</formula>
    </cfRule>
  </conditionalFormatting>
  <conditionalFormatting sqref="K9:K108">
    <cfRule type="expression" priority="41" dxfId="3">
      <formula>AND($C9="",$C8&lt;&gt;"")</formula>
    </cfRule>
  </conditionalFormatting>
  <conditionalFormatting sqref="L9:L108">
    <cfRule type="expression" priority="42" dxfId="3">
      <formula>AND($C9="",$C8&lt;&gt;"")</formula>
    </cfRule>
  </conditionalFormatting>
  <dataValidations count="2">
    <dataValidation sqref="E5:E108" showDropDown="0" showInputMessage="0" showErrorMessage="0" allowBlank="1" errorTitle="Erreur" error="Valeur invalide" promptTitle="Liste" prompt="Choisir dans la liste" type="list">
      <formula1>'_Lists'!$U$2:$U$8</formula1>
    </dataValidation>
    <dataValidation sqref="J5:J108" showDropDown="0" showInputMessage="0" showErrorMessage="0" allowBlank="1" errorTitle="Erreur" error="Valeur invalide" promptTitle="Liste" prompt="Choisir dans la liste" type="list">
      <formula1>'_Lists'!$V$2:$V$6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20" customWidth="1" min="3" max="3"/>
    <col width="20" customWidth="1" min="4" max="4"/>
    <col width="18" customWidth="1" min="5" max="5"/>
    <col width="20" customWidth="1" min="6" max="6"/>
    <col width="20" customWidth="1" min="7" max="7"/>
    <col width="16" customWidth="1" min="8" max="8"/>
    <col width="20" customWidth="1" min="9" max="9"/>
    <col width="20" customWidth="1" min="10" max="10"/>
  </cols>
  <sheetData>
    <row r="1" ht="15" customHeight="1"/>
    <row r="2" ht="32" customHeight="1">
      <c r="B2" s="1" t="inlineStr">
        <is>
          <t>SOLDE DE CONGES PAR EMPLOYE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Matricule</t>
        </is>
      </c>
      <c r="C4" s="11" t="inlineStr">
        <is>
          <t>Nom Employé</t>
        </is>
      </c>
      <c r="D4" s="11" t="inlineStr">
        <is>
          <t>Droit Annuel (jrs)</t>
        </is>
      </c>
      <c r="E4" s="11" t="inlineStr">
        <is>
          <t>Congés Pris (jrs)</t>
        </is>
      </c>
      <c r="F4" s="11" t="inlineStr">
        <is>
          <t>Solde Disponible (jrs)</t>
        </is>
      </c>
      <c r="G4" s="11" t="inlineStr">
        <is>
          <t>Congés en Cours (jrs)</t>
        </is>
      </c>
      <c r="H4" s="11" t="inlineStr">
        <is>
          <t>Report N-1 (jrs)</t>
        </is>
      </c>
      <c r="I4" s="11" t="inlineStr">
        <is>
          <t>Taux Utilisation (%)</t>
        </is>
      </c>
      <c r="J4" s="29" t="inlineStr">
        <is>
          <t>Statut</t>
        </is>
      </c>
    </row>
    <row r="5" ht="22" customHeight="1">
      <c r="B5" s="12" t="inlineStr">
        <is>
          <t>EMP-001</t>
        </is>
      </c>
      <c r="C5" s="12">
        <f>IFERROR(VLOOKUP(B5,'2-Fiche Employe'!B5:D104,3,FALSE),"")</f>
        <v/>
      </c>
      <c r="D5" s="23" t="n">
        <v>26</v>
      </c>
      <c r="E5" s="23">
        <f>SUMIFS('8-Conges Annuels'!H5:H104,'8-Conges Annuels'!C5:C104,B5,'8-Conges Annuels'!J5:J104,"Approuve")</f>
        <v/>
      </c>
      <c r="F5" s="23" t="n"/>
      <c r="G5" s="23">
        <f>SUMIFS('8-Conges Annuels'!H5:H104,'8-Conges Annuels'!C5:C104,B5,'8-Conges Annuels'!J5:J104,"En cours")</f>
        <v/>
      </c>
      <c r="H5" s="23" t="n">
        <v>2</v>
      </c>
      <c r="I5" s="25" t="n"/>
      <c r="J5" s="30" t="inlineStr">
        <is>
          <t>A jour</t>
        </is>
      </c>
    </row>
    <row r="6" ht="22" customHeight="1">
      <c r="B6" s="14" t="inlineStr">
        <is>
          <t>EMP-002</t>
        </is>
      </c>
      <c r="C6" s="14">
        <f>IFERROR(VLOOKUP(B6,'2-Fiche Employe'!B5:D104,3,FALSE),"")</f>
        <v/>
      </c>
      <c r="D6" s="24" t="n">
        <v>26</v>
      </c>
      <c r="E6" s="24">
        <f>SUMIFS('8-Conges Annuels'!H5:H104,'8-Conges Annuels'!C5:C104,B6,'8-Conges Annuels'!J5:J104,"Approuve")</f>
        <v/>
      </c>
      <c r="F6" s="24" t="n"/>
      <c r="G6" s="24">
        <f>SUMIFS('8-Conges Annuels'!H5:H104,'8-Conges Annuels'!C5:C104,B6,'8-Conges Annuels'!J5:J104,"En cours")</f>
        <v/>
      </c>
      <c r="H6" s="24" t="n">
        <v>0</v>
      </c>
      <c r="I6" s="26" t="n"/>
      <c r="J6" s="30" t="inlineStr">
        <is>
          <t>A jour</t>
        </is>
      </c>
    </row>
    <row r="7" ht="22" customHeight="1">
      <c r="B7" s="12" t="inlineStr">
        <is>
          <t>EMP-003</t>
        </is>
      </c>
      <c r="C7" s="12">
        <f>IFERROR(VLOOKUP(B7,'2-Fiche Employe'!B5:D104,3,FALSE),"")</f>
        <v/>
      </c>
      <c r="D7" s="23" t="n">
        <v>26</v>
      </c>
      <c r="E7" s="23">
        <f>SUMIFS('8-Conges Annuels'!H5:H104,'8-Conges Annuels'!C5:C104,B7,'8-Conges Annuels'!J5:J104,"Approuve")</f>
        <v/>
      </c>
      <c r="F7" s="23" t="n"/>
      <c r="G7" s="23">
        <f>SUMIFS('8-Conges Annuels'!H5:H104,'8-Conges Annuels'!C5:C104,B7,'8-Conges Annuels'!J5:J104,"En cours")</f>
        <v/>
      </c>
      <c r="H7" s="23" t="n">
        <v>5</v>
      </c>
      <c r="I7" s="25" t="n"/>
      <c r="J7" s="30" t="inlineStr">
        <is>
          <t>A jour</t>
        </is>
      </c>
    </row>
    <row r="8" ht="22" customHeight="1">
      <c r="B8" s="14" t="inlineStr">
        <is>
          <t>EMP-004</t>
        </is>
      </c>
      <c r="C8" s="14">
        <f>IFERROR(VLOOKUP(B8,'2-Fiche Employe'!B5:D104,3,FALSE),"")</f>
        <v/>
      </c>
      <c r="D8" s="24" t="n">
        <v>26</v>
      </c>
      <c r="E8" s="24">
        <f>SUMIFS('8-Conges Annuels'!H5:H104,'8-Conges Annuels'!C5:C104,B8,'8-Conges Annuels'!J5:J104,"Approuve")</f>
        <v/>
      </c>
      <c r="F8" s="24" t="n"/>
      <c r="G8" s="24">
        <f>SUMIFS('8-Conges Annuels'!H5:H104,'8-Conges Annuels'!C5:C104,B8,'8-Conges Annuels'!J5:J104,"En cours")</f>
        <v/>
      </c>
      <c r="H8" s="24" t="n">
        <v>0</v>
      </c>
      <c r="I8" s="26" t="n"/>
      <c r="J8" s="30" t="inlineStr">
        <is>
          <t>A jour</t>
        </is>
      </c>
    </row>
    <row r="9" ht="22" customHeight="1">
      <c r="B9" s="12" t="inlineStr">
        <is>
          <t>EMP-005</t>
        </is>
      </c>
      <c r="C9" s="12">
        <f>IFERROR(VLOOKUP(B9,'2-Fiche Employe'!B5:D104,3,FALSE),"")</f>
        <v/>
      </c>
      <c r="D9" s="23" t="n">
        <v>22</v>
      </c>
      <c r="E9" s="23">
        <f>SUMIFS('8-Conges Annuels'!H5:H104,'8-Conges Annuels'!C5:C104,B9,'8-Conges Annuels'!J5:J104,"Approuve")</f>
        <v/>
      </c>
      <c r="F9" s="23" t="n"/>
      <c r="G9" s="23">
        <f>SUMIFS('8-Conges Annuels'!H5:H104,'8-Conges Annuels'!C5:C104,B9,'8-Conges Annuels'!J5:J104,"En cours")</f>
        <v/>
      </c>
      <c r="H9" s="23" t="n">
        <v>0</v>
      </c>
      <c r="I9" s="25" t="n"/>
      <c r="J9" s="30" t="inlineStr">
        <is>
          <t>A jour</t>
        </is>
      </c>
    </row>
    <row r="10" ht="22" customHeight="1">
      <c r="B10" s="14" t="n"/>
      <c r="C10" s="14">
        <f>IFERROR(VLOOKUP(B10,'2-Fiche Employe'!B5:D104,3,FALSE),"")</f>
        <v/>
      </c>
      <c r="D10" s="24" t="n"/>
      <c r="E10" s="24">
        <f>IF(B10="","",SUMIFS('8-Conges Annuels'!H5:H104,'8-Conges Annuels'!C5:C104,B10,'8-Conges Annuels'!J5:J104,"Approuve"))</f>
        <v/>
      </c>
      <c r="F10" s="24">
        <f>IF(B10="","",D10-E10-G10+H10)</f>
        <v/>
      </c>
      <c r="G10" s="24">
        <f>IF(B10="","",SUMIFS('8-Conges Annuels'!H5:H104,'8-Conges Annuels'!C5:C104,B10,'8-Conges Annuels'!J5:J104,"En cours"))</f>
        <v/>
      </c>
      <c r="H10" s="24" t="n"/>
      <c r="I10" s="26">
        <f>IF(B10="","",IFERROR(E10/D10,0))</f>
        <v/>
      </c>
    </row>
    <row r="11" ht="22" customHeight="1">
      <c r="B11" s="12" t="n"/>
      <c r="C11" s="12">
        <f>IFERROR(VLOOKUP(B11,'2-Fiche Employe'!B5:D104,3,FALSE),"")</f>
        <v/>
      </c>
      <c r="D11" s="23" t="n"/>
      <c r="E11" s="23">
        <f>IF(B11="","",SUMIFS('8-Conges Annuels'!H5:H104,'8-Conges Annuels'!C5:C104,B11,'8-Conges Annuels'!J5:J104,"Approuve"))</f>
        <v/>
      </c>
      <c r="F11" s="23">
        <f>IF(B11="","",D11-E11-G11+H11)</f>
        <v/>
      </c>
      <c r="G11" s="23">
        <f>IF(B11="","",SUMIFS('8-Conges Annuels'!H5:H104,'8-Conges Annuels'!C5:C104,B11,'8-Conges Annuels'!J5:J104,"En cours"))</f>
        <v/>
      </c>
      <c r="H11" s="23" t="n"/>
      <c r="I11" s="25">
        <f>IF(B11="","",IFERROR(E11/D11,0))</f>
        <v/>
      </c>
    </row>
    <row r="12" ht="22" customHeight="1">
      <c r="B12" s="14" t="n"/>
      <c r="C12" s="14">
        <f>IFERROR(VLOOKUP(B12,'2-Fiche Employe'!B5:D104,3,FALSE),"")</f>
        <v/>
      </c>
      <c r="D12" s="24" t="n"/>
      <c r="E12" s="24">
        <f>IF(B12="","",SUMIFS('8-Conges Annuels'!H5:H104,'8-Conges Annuels'!C5:C104,B12,'8-Conges Annuels'!J5:J104,"Approuve"))</f>
        <v/>
      </c>
      <c r="F12" s="24">
        <f>IF(B12="","",D12-E12-G12+H12)</f>
        <v/>
      </c>
      <c r="G12" s="24">
        <f>IF(B12="","",SUMIFS('8-Conges Annuels'!H5:H104,'8-Conges Annuels'!C5:C104,B12,'8-Conges Annuels'!J5:J104,"En cours"))</f>
        <v/>
      </c>
      <c r="H12" s="24" t="n"/>
      <c r="I12" s="26">
        <f>IF(B12="","",IFERROR(E12/D12,0))</f>
        <v/>
      </c>
    </row>
    <row r="13" ht="22" customHeight="1">
      <c r="B13" s="12" t="n"/>
      <c r="C13" s="12">
        <f>IFERROR(VLOOKUP(B13,'2-Fiche Employe'!B5:D104,3,FALSE),"")</f>
        <v/>
      </c>
      <c r="D13" s="23" t="n"/>
      <c r="E13" s="23">
        <f>IF(B13="","",SUMIFS('8-Conges Annuels'!H5:H104,'8-Conges Annuels'!C5:C104,B13,'8-Conges Annuels'!J5:J104,"Approuve"))</f>
        <v/>
      </c>
      <c r="F13" s="23">
        <f>IF(B13="","",D13-E13-G13+H13)</f>
        <v/>
      </c>
      <c r="G13" s="23">
        <f>IF(B13="","",SUMIFS('8-Conges Annuels'!H5:H104,'8-Conges Annuels'!C5:C104,B13,'8-Conges Annuels'!J5:J104,"En cours"))</f>
        <v/>
      </c>
      <c r="H13" s="23" t="n"/>
      <c r="I13" s="25">
        <f>IF(B13="","",IFERROR(E13/D13,0))</f>
        <v/>
      </c>
    </row>
    <row r="14" ht="22" customHeight="1">
      <c r="B14" s="14" t="n"/>
      <c r="C14" s="14">
        <f>IFERROR(VLOOKUP(B14,'2-Fiche Employe'!B5:D104,3,FALSE),"")</f>
        <v/>
      </c>
      <c r="D14" s="24" t="n"/>
      <c r="E14" s="24">
        <f>IF(B14="","",SUMIFS('8-Conges Annuels'!H5:H104,'8-Conges Annuels'!C5:C104,B14,'8-Conges Annuels'!J5:J104,"Approuve"))</f>
        <v/>
      </c>
      <c r="F14" s="24">
        <f>IF(B14="","",D14-E14-G14+H14)</f>
        <v/>
      </c>
      <c r="G14" s="24">
        <f>IF(B14="","",SUMIFS('8-Conges Annuels'!H5:H104,'8-Conges Annuels'!C5:C104,B14,'8-Conges Annuels'!J5:J104,"En cours"))</f>
        <v/>
      </c>
      <c r="H14" s="24" t="n"/>
      <c r="I14" s="26">
        <f>IF(B14="","",IFERROR(E14/D14,0))</f>
        <v/>
      </c>
    </row>
    <row r="15" ht="22" customHeight="1">
      <c r="B15" s="12" t="n"/>
      <c r="C15" s="12">
        <f>IFERROR(VLOOKUP(B15,'2-Fiche Employe'!B5:D104,3,FALSE),"")</f>
        <v/>
      </c>
      <c r="D15" s="23" t="n"/>
      <c r="E15" s="23">
        <f>IF(B15="","",SUMIFS('8-Conges Annuels'!H5:H104,'8-Conges Annuels'!C5:C104,B15,'8-Conges Annuels'!J5:J104,"Approuve"))</f>
        <v/>
      </c>
      <c r="F15" s="23">
        <f>IF(B15="","",D15-E15-G15+H15)</f>
        <v/>
      </c>
      <c r="G15" s="23">
        <f>IF(B15="","",SUMIFS('8-Conges Annuels'!H5:H104,'8-Conges Annuels'!C5:C104,B15,'8-Conges Annuels'!J5:J104,"En cours"))</f>
        <v/>
      </c>
      <c r="H15" s="23" t="n"/>
      <c r="I15" s="25">
        <f>IF(B15="","",IFERROR(E15/D15,0))</f>
        <v/>
      </c>
    </row>
    <row r="16" ht="22" customHeight="1">
      <c r="B16" s="14" t="n"/>
      <c r="C16" s="14">
        <f>IFERROR(VLOOKUP(B16,'2-Fiche Employe'!B5:D104,3,FALSE),"")</f>
        <v/>
      </c>
      <c r="D16" s="24" t="n"/>
      <c r="E16" s="24">
        <f>IF(B16="","",SUMIFS('8-Conges Annuels'!H5:H104,'8-Conges Annuels'!C5:C104,B16,'8-Conges Annuels'!J5:J104,"Approuve"))</f>
        <v/>
      </c>
      <c r="F16" s="24">
        <f>IF(B16="","",D16-E16-G16+H16)</f>
        <v/>
      </c>
      <c r="G16" s="24">
        <f>IF(B16="","",SUMIFS('8-Conges Annuels'!H5:H104,'8-Conges Annuels'!C5:C104,B16,'8-Conges Annuels'!J5:J104,"En cours"))</f>
        <v/>
      </c>
      <c r="H16" s="24" t="n"/>
      <c r="I16" s="26">
        <f>IF(B16="","",IFERROR(E16/D16,0))</f>
        <v/>
      </c>
    </row>
    <row r="17" ht="22" customHeight="1">
      <c r="B17" s="12" t="n"/>
      <c r="C17" s="12">
        <f>IFERROR(VLOOKUP(B17,'2-Fiche Employe'!B5:D104,3,FALSE),"")</f>
        <v/>
      </c>
      <c r="D17" s="23" t="n"/>
      <c r="E17" s="23">
        <f>IF(B17="","",SUMIFS('8-Conges Annuels'!H5:H104,'8-Conges Annuels'!C5:C104,B17,'8-Conges Annuels'!J5:J104,"Approuve"))</f>
        <v/>
      </c>
      <c r="F17" s="23">
        <f>IF(B17="","",D17-E17-G17+H17)</f>
        <v/>
      </c>
      <c r="G17" s="23">
        <f>IF(B17="","",SUMIFS('8-Conges Annuels'!H5:H104,'8-Conges Annuels'!C5:C104,B17,'8-Conges Annuels'!J5:J104,"En cours"))</f>
        <v/>
      </c>
      <c r="H17" s="23" t="n"/>
      <c r="I17" s="25">
        <f>IF(B17="","",IFERROR(E17/D17,0))</f>
        <v/>
      </c>
    </row>
    <row r="18" ht="22" customHeight="1">
      <c r="B18" s="14" t="n"/>
      <c r="C18" s="14">
        <f>IFERROR(VLOOKUP(B18,'2-Fiche Employe'!B5:D104,3,FALSE),"")</f>
        <v/>
      </c>
      <c r="D18" s="24" t="n"/>
      <c r="E18" s="24">
        <f>IF(B18="","",SUMIFS('8-Conges Annuels'!H5:H104,'8-Conges Annuels'!C5:C104,B18,'8-Conges Annuels'!J5:J104,"Approuve"))</f>
        <v/>
      </c>
      <c r="F18" s="24">
        <f>IF(B18="","",D18-E18-G18+H18)</f>
        <v/>
      </c>
      <c r="G18" s="24">
        <f>IF(B18="","",SUMIFS('8-Conges Annuels'!H5:H104,'8-Conges Annuels'!C5:C104,B18,'8-Conges Annuels'!J5:J104,"En cours"))</f>
        <v/>
      </c>
      <c r="H18" s="24" t="n"/>
      <c r="I18" s="26">
        <f>IF(B18="","",IFERROR(E18/D18,0))</f>
        <v/>
      </c>
    </row>
    <row r="19" ht="22" customHeight="1">
      <c r="B19" s="12" t="n"/>
      <c r="C19" s="12">
        <f>IFERROR(VLOOKUP(B19,'2-Fiche Employe'!B5:D104,3,FALSE),"")</f>
        <v/>
      </c>
      <c r="D19" s="23" t="n"/>
      <c r="E19" s="23">
        <f>IF(B19="","",SUMIFS('8-Conges Annuels'!H5:H104,'8-Conges Annuels'!C5:C104,B19,'8-Conges Annuels'!J5:J104,"Approuve"))</f>
        <v/>
      </c>
      <c r="F19" s="23">
        <f>IF(B19="","",D19-E19-G19+H19)</f>
        <v/>
      </c>
      <c r="G19" s="23">
        <f>IF(B19="","",SUMIFS('8-Conges Annuels'!H5:H104,'8-Conges Annuels'!C5:C104,B19,'8-Conges Annuels'!J5:J104,"En cours"))</f>
        <v/>
      </c>
      <c r="H19" s="23" t="n"/>
      <c r="I19" s="25">
        <f>IF(B19="","",IFERROR(E19/D19,0))</f>
        <v/>
      </c>
    </row>
    <row r="20" ht="22" customHeight="1">
      <c r="B20" s="14" t="n"/>
      <c r="C20" s="14">
        <f>IFERROR(VLOOKUP(B20,'2-Fiche Employe'!B5:D104,3,FALSE),"")</f>
        <v/>
      </c>
      <c r="D20" s="24" t="n"/>
      <c r="E20" s="24">
        <f>IF(B20="","",SUMIFS('8-Conges Annuels'!H5:H104,'8-Conges Annuels'!C5:C104,B20,'8-Conges Annuels'!J5:J104,"Approuve"))</f>
        <v/>
      </c>
      <c r="F20" s="24">
        <f>IF(B20="","",D20-E20-G20+H20)</f>
        <v/>
      </c>
      <c r="G20" s="24">
        <f>IF(B20="","",SUMIFS('8-Conges Annuels'!H5:H104,'8-Conges Annuels'!C5:C104,B20,'8-Conges Annuels'!J5:J104,"En cours"))</f>
        <v/>
      </c>
      <c r="H20" s="24" t="n"/>
      <c r="I20" s="26">
        <f>IF(B20="","",IFERROR(E20/D20,0))</f>
        <v/>
      </c>
    </row>
    <row r="21" ht="22" customHeight="1">
      <c r="B21" s="12" t="n"/>
      <c r="C21" s="12">
        <f>IFERROR(VLOOKUP(B21,'2-Fiche Employe'!B5:D104,3,FALSE),"")</f>
        <v/>
      </c>
      <c r="D21" s="23" t="n"/>
      <c r="E21" s="23">
        <f>IF(B21="","",SUMIFS('8-Conges Annuels'!H5:H104,'8-Conges Annuels'!C5:C104,B21,'8-Conges Annuels'!J5:J104,"Approuve"))</f>
        <v/>
      </c>
      <c r="F21" s="23">
        <f>IF(B21="","",D21-E21-G21+H21)</f>
        <v/>
      </c>
      <c r="G21" s="23">
        <f>IF(B21="","",SUMIFS('8-Conges Annuels'!H5:H104,'8-Conges Annuels'!C5:C104,B21,'8-Conges Annuels'!J5:J104,"En cours"))</f>
        <v/>
      </c>
      <c r="H21" s="23" t="n"/>
      <c r="I21" s="25">
        <f>IF(B21="","",IFERROR(E21/D21,0))</f>
        <v/>
      </c>
    </row>
    <row r="22" ht="22" customHeight="1">
      <c r="B22" s="14" t="n"/>
      <c r="C22" s="14">
        <f>IFERROR(VLOOKUP(B22,'2-Fiche Employe'!B5:D104,3,FALSE),"")</f>
        <v/>
      </c>
      <c r="D22" s="24" t="n"/>
      <c r="E22" s="24">
        <f>IF(B22="","",SUMIFS('8-Conges Annuels'!H5:H104,'8-Conges Annuels'!C5:C104,B22,'8-Conges Annuels'!J5:J104,"Approuve"))</f>
        <v/>
      </c>
      <c r="F22" s="24">
        <f>IF(B22="","",D22-E22-G22+H22)</f>
        <v/>
      </c>
      <c r="G22" s="24">
        <f>IF(B22="","",SUMIFS('8-Conges Annuels'!H5:H104,'8-Conges Annuels'!C5:C104,B22,'8-Conges Annuels'!J5:J104,"En cours"))</f>
        <v/>
      </c>
      <c r="H22" s="24" t="n"/>
      <c r="I22" s="26">
        <f>IF(B22="","",IFERROR(E22/D22,0))</f>
        <v/>
      </c>
    </row>
    <row r="23" ht="22" customHeight="1">
      <c r="B23" s="12" t="n"/>
      <c r="C23" s="12">
        <f>IFERROR(VLOOKUP(B23,'2-Fiche Employe'!B5:D104,3,FALSE),"")</f>
        <v/>
      </c>
      <c r="D23" s="23" t="n"/>
      <c r="E23" s="23">
        <f>IF(B23="","",SUMIFS('8-Conges Annuels'!H5:H104,'8-Conges Annuels'!C5:C104,B23,'8-Conges Annuels'!J5:J104,"Approuve"))</f>
        <v/>
      </c>
      <c r="F23" s="23">
        <f>IF(B23="","",D23-E23-G23+H23)</f>
        <v/>
      </c>
      <c r="G23" s="23">
        <f>IF(B23="","",SUMIFS('8-Conges Annuels'!H5:H104,'8-Conges Annuels'!C5:C104,B23,'8-Conges Annuels'!J5:J104,"En cours"))</f>
        <v/>
      </c>
      <c r="H23" s="23" t="n"/>
      <c r="I23" s="25">
        <f>IF(B23="","",IFERROR(E23/D23,0))</f>
        <v/>
      </c>
    </row>
    <row r="24" ht="22" customHeight="1">
      <c r="B24" s="14" t="n"/>
      <c r="C24" s="14">
        <f>IFERROR(VLOOKUP(B24,'2-Fiche Employe'!B5:D104,3,FALSE),"")</f>
        <v/>
      </c>
      <c r="D24" s="24" t="n"/>
      <c r="E24" s="24">
        <f>IF(B24="","",SUMIFS('8-Conges Annuels'!H5:H104,'8-Conges Annuels'!C5:C104,B24,'8-Conges Annuels'!J5:J104,"Approuve"))</f>
        <v/>
      </c>
      <c r="F24" s="24">
        <f>IF(B24="","",D24-E24-G24+H24)</f>
        <v/>
      </c>
      <c r="G24" s="24">
        <f>IF(B24="","",SUMIFS('8-Conges Annuels'!H5:H104,'8-Conges Annuels'!C5:C104,B24,'8-Conges Annuels'!J5:J104,"En cours"))</f>
        <v/>
      </c>
      <c r="H24" s="24" t="n"/>
      <c r="I24" s="26">
        <f>IF(B24="","",IFERROR(E24/D24,0))</f>
        <v/>
      </c>
    </row>
    <row r="25" ht="22" customHeight="1">
      <c r="B25" s="12" t="n"/>
      <c r="C25" s="12">
        <f>IFERROR(VLOOKUP(B25,'2-Fiche Employe'!B5:D104,3,FALSE),"")</f>
        <v/>
      </c>
      <c r="D25" s="23" t="n"/>
      <c r="E25" s="23">
        <f>IF(B25="","",SUMIFS('8-Conges Annuels'!H5:H104,'8-Conges Annuels'!C5:C104,B25,'8-Conges Annuels'!J5:J104,"Approuve"))</f>
        <v/>
      </c>
      <c r="F25" s="23">
        <f>IF(B25="","",D25-E25-G25+H25)</f>
        <v/>
      </c>
      <c r="G25" s="23">
        <f>IF(B25="","",SUMIFS('8-Conges Annuels'!H5:H104,'8-Conges Annuels'!C5:C104,B25,'8-Conges Annuels'!J5:J104,"En cours"))</f>
        <v/>
      </c>
      <c r="H25" s="23" t="n"/>
      <c r="I25" s="25">
        <f>IF(B25="","",IFERROR(E25/D25,0))</f>
        <v/>
      </c>
    </row>
    <row r="26" ht="22" customHeight="1">
      <c r="B26" s="14" t="n"/>
      <c r="C26" s="14">
        <f>IFERROR(VLOOKUP(B26,'2-Fiche Employe'!B5:D104,3,FALSE),"")</f>
        <v/>
      </c>
      <c r="D26" s="24" t="n"/>
      <c r="E26" s="24">
        <f>IF(B26="","",SUMIFS('8-Conges Annuels'!H5:H104,'8-Conges Annuels'!C5:C104,B26,'8-Conges Annuels'!J5:J104,"Approuve"))</f>
        <v/>
      </c>
      <c r="F26" s="24">
        <f>IF(B26="","",D26-E26-G26+H26)</f>
        <v/>
      </c>
      <c r="G26" s="24">
        <f>IF(B26="","",SUMIFS('8-Conges Annuels'!H5:H104,'8-Conges Annuels'!C5:C104,B26,'8-Conges Annuels'!J5:J104,"En cours"))</f>
        <v/>
      </c>
      <c r="H26" s="24" t="n"/>
      <c r="I26" s="26">
        <f>IF(B26="","",IFERROR(E26/D26,0))</f>
        <v/>
      </c>
    </row>
    <row r="27" ht="22" customHeight="1">
      <c r="B27" s="12" t="n"/>
      <c r="C27" s="12">
        <f>IFERROR(VLOOKUP(B27,'2-Fiche Employe'!B5:D104,3,FALSE),"")</f>
        <v/>
      </c>
      <c r="D27" s="23" t="n"/>
      <c r="E27" s="23">
        <f>IF(B27="","",SUMIFS('8-Conges Annuels'!H5:H104,'8-Conges Annuels'!C5:C104,B27,'8-Conges Annuels'!J5:J104,"Approuve"))</f>
        <v/>
      </c>
      <c r="F27" s="23">
        <f>IF(B27="","",D27-E27-G27+H27)</f>
        <v/>
      </c>
      <c r="G27" s="23">
        <f>IF(B27="","",SUMIFS('8-Conges Annuels'!H5:H104,'8-Conges Annuels'!C5:C104,B27,'8-Conges Annuels'!J5:J104,"En cours"))</f>
        <v/>
      </c>
      <c r="H27" s="23" t="n"/>
      <c r="I27" s="25">
        <f>IF(B27="","",IFERROR(E27/D27,0))</f>
        <v/>
      </c>
    </row>
    <row r="28" ht="22" customHeight="1">
      <c r="B28" s="14" t="n"/>
      <c r="C28" s="14">
        <f>IFERROR(VLOOKUP(B28,'2-Fiche Employe'!B5:D104,3,FALSE),"")</f>
        <v/>
      </c>
      <c r="D28" s="24" t="n"/>
      <c r="E28" s="24">
        <f>IF(B28="","",SUMIFS('8-Conges Annuels'!H5:H104,'8-Conges Annuels'!C5:C104,B28,'8-Conges Annuels'!J5:J104,"Approuve"))</f>
        <v/>
      </c>
      <c r="F28" s="24">
        <f>IF(B28="","",D28-E28-G28+H28)</f>
        <v/>
      </c>
      <c r="G28" s="24">
        <f>IF(B28="","",SUMIFS('8-Conges Annuels'!H5:H104,'8-Conges Annuels'!C5:C104,B28,'8-Conges Annuels'!J5:J104,"En cours"))</f>
        <v/>
      </c>
      <c r="H28" s="24" t="n"/>
      <c r="I28" s="26">
        <f>IF(B28="","",IFERROR(E28/D28,0))</f>
        <v/>
      </c>
    </row>
    <row r="29" ht="22" customHeight="1">
      <c r="B29" s="12" t="n"/>
      <c r="C29" s="12">
        <f>IFERROR(VLOOKUP(B29,'2-Fiche Employe'!B5:D104,3,FALSE),"")</f>
        <v/>
      </c>
      <c r="D29" s="23" t="n"/>
      <c r="E29" s="23">
        <f>IF(B29="","",SUMIFS('8-Conges Annuels'!H5:H104,'8-Conges Annuels'!C5:C104,B29,'8-Conges Annuels'!J5:J104,"Approuve"))</f>
        <v/>
      </c>
      <c r="F29" s="23">
        <f>IF(B29="","",D29-E29-G29+H29)</f>
        <v/>
      </c>
      <c r="G29" s="23">
        <f>IF(B29="","",SUMIFS('8-Conges Annuels'!H5:H104,'8-Conges Annuels'!C5:C104,B29,'8-Conges Annuels'!J5:J104,"En cours"))</f>
        <v/>
      </c>
      <c r="H29" s="23" t="n"/>
      <c r="I29" s="25">
        <f>IF(B29="","",IFERROR(E29/D29,0))</f>
        <v/>
      </c>
    </row>
    <row r="30" ht="22" customHeight="1">
      <c r="B30" s="14" t="n"/>
      <c r="C30" s="14">
        <f>IFERROR(VLOOKUP(B30,'2-Fiche Employe'!B5:D104,3,FALSE),"")</f>
        <v/>
      </c>
      <c r="D30" s="24" t="n"/>
      <c r="E30" s="24">
        <f>IF(B30="","",SUMIFS('8-Conges Annuels'!H5:H104,'8-Conges Annuels'!C5:C104,B30,'8-Conges Annuels'!J5:J104,"Approuve"))</f>
        <v/>
      </c>
      <c r="F30" s="24">
        <f>IF(B30="","",D30-E30-G30+H30)</f>
        <v/>
      </c>
      <c r="G30" s="24">
        <f>IF(B30="","",SUMIFS('8-Conges Annuels'!H5:H104,'8-Conges Annuels'!C5:C104,B30,'8-Conges Annuels'!J5:J104,"En cours"))</f>
        <v/>
      </c>
      <c r="H30" s="24" t="n"/>
      <c r="I30" s="26">
        <f>IF(B30="","",IFERROR(E30/D30,0))</f>
        <v/>
      </c>
    </row>
    <row r="31" ht="22" customHeight="1">
      <c r="B31" s="12" t="n"/>
      <c r="C31" s="12">
        <f>IFERROR(VLOOKUP(B31,'2-Fiche Employe'!B5:D104,3,FALSE),"")</f>
        <v/>
      </c>
      <c r="D31" s="23" t="n"/>
      <c r="E31" s="23">
        <f>IF(B31="","",SUMIFS('8-Conges Annuels'!H5:H104,'8-Conges Annuels'!C5:C104,B31,'8-Conges Annuels'!J5:J104,"Approuve"))</f>
        <v/>
      </c>
      <c r="F31" s="23">
        <f>IF(B31="","",D31-E31-G31+H31)</f>
        <v/>
      </c>
      <c r="G31" s="23">
        <f>IF(B31="","",SUMIFS('8-Conges Annuels'!H5:H104,'8-Conges Annuels'!C5:C104,B31,'8-Conges Annuels'!J5:J104,"En cours"))</f>
        <v/>
      </c>
      <c r="H31" s="23" t="n"/>
      <c r="I31" s="25">
        <f>IF(B31="","",IFERROR(E31/D31,0))</f>
        <v/>
      </c>
    </row>
    <row r="32" ht="22" customHeight="1">
      <c r="B32" s="14" t="n"/>
      <c r="C32" s="14">
        <f>IFERROR(VLOOKUP(B32,'2-Fiche Employe'!B5:D104,3,FALSE),"")</f>
        <v/>
      </c>
      <c r="D32" s="24" t="n"/>
      <c r="E32" s="24">
        <f>IF(B32="","",SUMIFS('8-Conges Annuels'!H5:H104,'8-Conges Annuels'!C5:C104,B32,'8-Conges Annuels'!J5:J104,"Approuve"))</f>
        <v/>
      </c>
      <c r="F32" s="24">
        <f>IF(B32="","",D32-E32-G32+H32)</f>
        <v/>
      </c>
      <c r="G32" s="24">
        <f>IF(B32="","",SUMIFS('8-Conges Annuels'!H5:H104,'8-Conges Annuels'!C5:C104,B32,'8-Conges Annuels'!J5:J104,"En cours"))</f>
        <v/>
      </c>
      <c r="H32" s="24" t="n"/>
      <c r="I32" s="26">
        <f>IF(B32="","",IFERROR(E32/D32,0))</f>
        <v/>
      </c>
    </row>
    <row r="33" ht="22" customHeight="1">
      <c r="B33" s="12" t="n"/>
      <c r="C33" s="12">
        <f>IFERROR(VLOOKUP(B33,'2-Fiche Employe'!B5:D104,3,FALSE),"")</f>
        <v/>
      </c>
      <c r="D33" s="23" t="n"/>
      <c r="E33" s="23">
        <f>IF(B33="","",SUMIFS('8-Conges Annuels'!H5:H104,'8-Conges Annuels'!C5:C104,B33,'8-Conges Annuels'!J5:J104,"Approuve"))</f>
        <v/>
      </c>
      <c r="F33" s="23">
        <f>IF(B33="","",D33-E33-G33+H33)</f>
        <v/>
      </c>
      <c r="G33" s="23">
        <f>IF(B33="","",SUMIFS('8-Conges Annuels'!H5:H104,'8-Conges Annuels'!C5:C104,B33,'8-Conges Annuels'!J5:J104,"En cours"))</f>
        <v/>
      </c>
      <c r="H33" s="23" t="n"/>
      <c r="I33" s="25">
        <f>IF(B33="","",IFERROR(E33/D33,0))</f>
        <v/>
      </c>
    </row>
    <row r="34" ht="22" customHeight="1">
      <c r="B34" s="14" t="n"/>
      <c r="C34" s="14">
        <f>IFERROR(VLOOKUP(B34,'2-Fiche Employe'!B5:D104,3,FALSE),"")</f>
        <v/>
      </c>
      <c r="D34" s="24" t="n"/>
      <c r="E34" s="24">
        <f>IF(B34="","",SUMIFS('8-Conges Annuels'!H5:H104,'8-Conges Annuels'!C5:C104,B34,'8-Conges Annuels'!J5:J104,"Approuve"))</f>
        <v/>
      </c>
      <c r="F34" s="24">
        <f>IF(B34="","",D34-E34-G34+H34)</f>
        <v/>
      </c>
      <c r="G34" s="24">
        <f>IF(B34="","",SUMIFS('8-Conges Annuels'!H5:H104,'8-Conges Annuels'!C5:C104,B34,'8-Conges Annuels'!J5:J104,"En cours"))</f>
        <v/>
      </c>
      <c r="H34" s="24" t="n"/>
      <c r="I34" s="26">
        <f>IF(B34="","",IFERROR(E34/D34,0))</f>
        <v/>
      </c>
    </row>
    <row r="35" ht="22" customHeight="1">
      <c r="B35" s="12" t="n"/>
      <c r="C35" s="12">
        <f>IFERROR(VLOOKUP(B35,'2-Fiche Employe'!B5:D104,3,FALSE),"")</f>
        <v/>
      </c>
      <c r="D35" s="23" t="n"/>
      <c r="E35" s="23">
        <f>IF(B35="","",SUMIFS('8-Conges Annuels'!H5:H104,'8-Conges Annuels'!C5:C104,B35,'8-Conges Annuels'!J5:J104,"Approuve"))</f>
        <v/>
      </c>
      <c r="F35" s="23">
        <f>IF(B35="","",D35-E35-G35+H35)</f>
        <v/>
      </c>
      <c r="G35" s="23">
        <f>IF(B35="","",SUMIFS('8-Conges Annuels'!H5:H104,'8-Conges Annuels'!C5:C104,B35,'8-Conges Annuels'!J5:J104,"En cours"))</f>
        <v/>
      </c>
      <c r="H35" s="23" t="n"/>
      <c r="I35" s="25">
        <f>IF(B35="","",IFERROR(E35/D35,0))</f>
        <v/>
      </c>
    </row>
    <row r="36" ht="22" customHeight="1">
      <c r="B36" s="14" t="n"/>
      <c r="C36" s="14">
        <f>IFERROR(VLOOKUP(B36,'2-Fiche Employe'!B5:D104,3,FALSE),"")</f>
        <v/>
      </c>
      <c r="D36" s="24" t="n"/>
      <c r="E36" s="24">
        <f>IF(B36="","",SUMIFS('8-Conges Annuels'!H5:H104,'8-Conges Annuels'!C5:C104,B36,'8-Conges Annuels'!J5:J104,"Approuve"))</f>
        <v/>
      </c>
      <c r="F36" s="24">
        <f>IF(B36="","",D36-E36-G36+H36)</f>
        <v/>
      </c>
      <c r="G36" s="24">
        <f>IF(B36="","",SUMIFS('8-Conges Annuels'!H5:H104,'8-Conges Annuels'!C5:C104,B36,'8-Conges Annuels'!J5:J104,"En cours"))</f>
        <v/>
      </c>
      <c r="H36" s="24" t="n"/>
      <c r="I36" s="26">
        <f>IF(B36="","",IFERROR(E36/D36,0))</f>
        <v/>
      </c>
    </row>
    <row r="37" ht="22" customHeight="1">
      <c r="B37" s="12" t="n"/>
      <c r="C37" s="12">
        <f>IFERROR(VLOOKUP(B37,'2-Fiche Employe'!B5:D104,3,FALSE),"")</f>
        <v/>
      </c>
      <c r="D37" s="23" t="n"/>
      <c r="E37" s="23">
        <f>IF(B37="","",SUMIFS('8-Conges Annuels'!H5:H104,'8-Conges Annuels'!C5:C104,B37,'8-Conges Annuels'!J5:J104,"Approuve"))</f>
        <v/>
      </c>
      <c r="F37" s="23">
        <f>IF(B37="","",D37-E37-G37+H37)</f>
        <v/>
      </c>
      <c r="G37" s="23">
        <f>IF(B37="","",SUMIFS('8-Conges Annuels'!H5:H104,'8-Conges Annuels'!C5:C104,B37,'8-Conges Annuels'!J5:J104,"En cours"))</f>
        <v/>
      </c>
      <c r="H37" s="23" t="n"/>
      <c r="I37" s="25">
        <f>IF(B37="","",IFERROR(E37/D37,0))</f>
        <v/>
      </c>
    </row>
    <row r="38" ht="22" customHeight="1">
      <c r="B38" s="14" t="n"/>
      <c r="C38" s="14">
        <f>IFERROR(VLOOKUP(B38,'2-Fiche Employe'!B5:D104,3,FALSE),"")</f>
        <v/>
      </c>
      <c r="D38" s="24" t="n"/>
      <c r="E38" s="24">
        <f>IF(B38="","",SUMIFS('8-Conges Annuels'!H5:H104,'8-Conges Annuels'!C5:C104,B38,'8-Conges Annuels'!J5:J104,"Approuve"))</f>
        <v/>
      </c>
      <c r="F38" s="24">
        <f>IF(B38="","",D38-E38-G38+H38)</f>
        <v/>
      </c>
      <c r="G38" s="24">
        <f>IF(B38="","",SUMIFS('8-Conges Annuels'!H5:H104,'8-Conges Annuels'!C5:C104,B38,'8-Conges Annuels'!J5:J104,"En cours"))</f>
        <v/>
      </c>
      <c r="H38" s="24" t="n"/>
      <c r="I38" s="26">
        <f>IF(B38="","",IFERROR(E38/D38,0))</f>
        <v/>
      </c>
    </row>
    <row r="39" ht="22" customHeight="1">
      <c r="B39" s="12" t="n"/>
      <c r="C39" s="12">
        <f>IFERROR(VLOOKUP(B39,'2-Fiche Employe'!B5:D104,3,FALSE),"")</f>
        <v/>
      </c>
      <c r="D39" s="23" t="n"/>
      <c r="E39" s="23">
        <f>IF(B39="","",SUMIFS('8-Conges Annuels'!H5:H104,'8-Conges Annuels'!C5:C104,B39,'8-Conges Annuels'!J5:J104,"Approuve"))</f>
        <v/>
      </c>
      <c r="F39" s="23">
        <f>IF(B39="","",D39-E39-G39+H39)</f>
        <v/>
      </c>
      <c r="G39" s="23">
        <f>IF(B39="","",SUMIFS('8-Conges Annuels'!H5:H104,'8-Conges Annuels'!C5:C104,B39,'8-Conges Annuels'!J5:J104,"En cours"))</f>
        <v/>
      </c>
      <c r="H39" s="23" t="n"/>
      <c r="I39" s="25">
        <f>IF(B39="","",IFERROR(E39/D39,0))</f>
        <v/>
      </c>
    </row>
    <row r="40" ht="22" customHeight="1">
      <c r="B40" s="14" t="n"/>
      <c r="C40" s="14">
        <f>IFERROR(VLOOKUP(B40,'2-Fiche Employe'!B5:D104,3,FALSE),"")</f>
        <v/>
      </c>
      <c r="D40" s="24" t="n"/>
      <c r="E40" s="24">
        <f>IF(B40="","",SUMIFS('8-Conges Annuels'!H5:H104,'8-Conges Annuels'!C5:C104,B40,'8-Conges Annuels'!J5:J104,"Approuve"))</f>
        <v/>
      </c>
      <c r="F40" s="24">
        <f>IF(B40="","",D40-E40-G40+H40)</f>
        <v/>
      </c>
      <c r="G40" s="24">
        <f>IF(B40="","",SUMIFS('8-Conges Annuels'!H5:H104,'8-Conges Annuels'!C5:C104,B40,'8-Conges Annuels'!J5:J104,"En cours"))</f>
        <v/>
      </c>
      <c r="H40" s="24" t="n"/>
      <c r="I40" s="26">
        <f>IF(B40="","",IFERROR(E40/D40,0))</f>
        <v/>
      </c>
    </row>
    <row r="41" ht="22" customHeight="1">
      <c r="B41" s="12" t="n"/>
      <c r="C41" s="12">
        <f>IFERROR(VLOOKUP(B41,'2-Fiche Employe'!B5:D104,3,FALSE),"")</f>
        <v/>
      </c>
      <c r="D41" s="23" t="n"/>
      <c r="E41" s="23">
        <f>IF(B41="","",SUMIFS('8-Conges Annuels'!H5:H104,'8-Conges Annuels'!C5:C104,B41,'8-Conges Annuels'!J5:J104,"Approuve"))</f>
        <v/>
      </c>
      <c r="F41" s="23">
        <f>IF(B41="","",D41-E41-G41+H41)</f>
        <v/>
      </c>
      <c r="G41" s="23">
        <f>IF(B41="","",SUMIFS('8-Conges Annuels'!H5:H104,'8-Conges Annuels'!C5:C104,B41,'8-Conges Annuels'!J5:J104,"En cours"))</f>
        <v/>
      </c>
      <c r="H41" s="23" t="n"/>
      <c r="I41" s="25">
        <f>IF(B41="","",IFERROR(E41/D41,0))</f>
        <v/>
      </c>
    </row>
    <row r="42" ht="22" customHeight="1">
      <c r="B42" s="14" t="n"/>
      <c r="C42" s="14">
        <f>IFERROR(VLOOKUP(B42,'2-Fiche Employe'!B5:D104,3,FALSE),"")</f>
        <v/>
      </c>
      <c r="D42" s="24" t="n"/>
      <c r="E42" s="24">
        <f>IF(B42="","",SUMIFS('8-Conges Annuels'!H5:H104,'8-Conges Annuels'!C5:C104,B42,'8-Conges Annuels'!J5:J104,"Approuve"))</f>
        <v/>
      </c>
      <c r="F42" s="24">
        <f>IF(B42="","",D42-E42-G42+H42)</f>
        <v/>
      </c>
      <c r="G42" s="24">
        <f>IF(B42="","",SUMIFS('8-Conges Annuels'!H5:H104,'8-Conges Annuels'!C5:C104,B42,'8-Conges Annuels'!J5:J104,"En cours"))</f>
        <v/>
      </c>
      <c r="H42" s="24" t="n"/>
      <c r="I42" s="26">
        <f>IF(B42="","",IFERROR(E42/D42,0))</f>
        <v/>
      </c>
    </row>
    <row r="43" ht="22" customHeight="1">
      <c r="B43" s="12" t="n"/>
      <c r="C43" s="12">
        <f>IFERROR(VLOOKUP(B43,'2-Fiche Employe'!B5:D104,3,FALSE),"")</f>
        <v/>
      </c>
      <c r="D43" s="23" t="n"/>
      <c r="E43" s="23">
        <f>IF(B43="","",SUMIFS('8-Conges Annuels'!H5:H104,'8-Conges Annuels'!C5:C104,B43,'8-Conges Annuels'!J5:J104,"Approuve"))</f>
        <v/>
      </c>
      <c r="F43" s="23">
        <f>IF(B43="","",D43-E43-G43+H43)</f>
        <v/>
      </c>
      <c r="G43" s="23">
        <f>IF(B43="","",SUMIFS('8-Conges Annuels'!H5:H104,'8-Conges Annuels'!C5:C104,B43,'8-Conges Annuels'!J5:J104,"En cours"))</f>
        <v/>
      </c>
      <c r="H43" s="23" t="n"/>
      <c r="I43" s="25">
        <f>IF(B43="","",IFERROR(E43/D43,0))</f>
        <v/>
      </c>
    </row>
    <row r="44" ht="22" customHeight="1">
      <c r="B44" s="14" t="n"/>
      <c r="C44" s="14">
        <f>IFERROR(VLOOKUP(B44,'2-Fiche Employe'!B5:D104,3,FALSE),"")</f>
        <v/>
      </c>
      <c r="D44" s="24" t="n"/>
      <c r="E44" s="24">
        <f>IF(B44="","",SUMIFS('8-Conges Annuels'!H5:H104,'8-Conges Annuels'!C5:C104,B44,'8-Conges Annuels'!J5:J104,"Approuve"))</f>
        <v/>
      </c>
      <c r="F44" s="24">
        <f>IF(B44="","",D44-E44-G44+H44)</f>
        <v/>
      </c>
      <c r="G44" s="24">
        <f>IF(B44="","",SUMIFS('8-Conges Annuels'!H5:H104,'8-Conges Annuels'!C5:C104,B44,'8-Conges Annuels'!J5:J104,"En cours"))</f>
        <v/>
      </c>
      <c r="H44" s="24" t="n"/>
      <c r="I44" s="26">
        <f>IF(B44="","",IFERROR(E44/D44,0))</f>
        <v/>
      </c>
    </row>
    <row r="45" ht="22" customHeight="1">
      <c r="B45" s="12" t="n"/>
      <c r="C45" s="12">
        <f>IFERROR(VLOOKUP(B45,'2-Fiche Employe'!B5:D104,3,FALSE),"")</f>
        <v/>
      </c>
      <c r="D45" s="23" t="n"/>
      <c r="E45" s="23">
        <f>IF(B45="","",SUMIFS('8-Conges Annuels'!H5:H104,'8-Conges Annuels'!C5:C104,B45,'8-Conges Annuels'!J5:J104,"Approuve"))</f>
        <v/>
      </c>
      <c r="F45" s="23">
        <f>IF(B45="","",D45-E45-G45+H45)</f>
        <v/>
      </c>
      <c r="G45" s="23">
        <f>IF(B45="","",SUMIFS('8-Conges Annuels'!H5:H104,'8-Conges Annuels'!C5:C104,B45,'8-Conges Annuels'!J5:J104,"En cours"))</f>
        <v/>
      </c>
      <c r="H45" s="23" t="n"/>
      <c r="I45" s="25">
        <f>IF(B45="","",IFERROR(E45/D45,0))</f>
        <v/>
      </c>
    </row>
    <row r="46" ht="22" customHeight="1">
      <c r="B46" s="14" t="n"/>
      <c r="C46" s="14">
        <f>IFERROR(VLOOKUP(B46,'2-Fiche Employe'!B5:D104,3,FALSE),"")</f>
        <v/>
      </c>
      <c r="D46" s="24" t="n"/>
      <c r="E46" s="24">
        <f>IF(B46="","",SUMIFS('8-Conges Annuels'!H5:H104,'8-Conges Annuels'!C5:C104,B46,'8-Conges Annuels'!J5:J104,"Approuve"))</f>
        <v/>
      </c>
      <c r="F46" s="24">
        <f>IF(B46="","",D46-E46-G46+H46)</f>
        <v/>
      </c>
      <c r="G46" s="24">
        <f>IF(B46="","",SUMIFS('8-Conges Annuels'!H5:H104,'8-Conges Annuels'!C5:C104,B46,'8-Conges Annuels'!J5:J104,"En cours"))</f>
        <v/>
      </c>
      <c r="H46" s="24" t="n"/>
      <c r="I46" s="26">
        <f>IF(B46="","",IFERROR(E46/D46,0))</f>
        <v/>
      </c>
    </row>
    <row r="47" ht="22" customHeight="1">
      <c r="B47" s="12" t="n"/>
      <c r="C47" s="12">
        <f>IFERROR(VLOOKUP(B47,'2-Fiche Employe'!B5:D104,3,FALSE),"")</f>
        <v/>
      </c>
      <c r="D47" s="23" t="n"/>
      <c r="E47" s="23">
        <f>IF(B47="","",SUMIFS('8-Conges Annuels'!H5:H104,'8-Conges Annuels'!C5:C104,B47,'8-Conges Annuels'!J5:J104,"Approuve"))</f>
        <v/>
      </c>
      <c r="F47" s="23">
        <f>IF(B47="","",D47-E47-G47+H47)</f>
        <v/>
      </c>
      <c r="G47" s="23">
        <f>IF(B47="","",SUMIFS('8-Conges Annuels'!H5:H104,'8-Conges Annuels'!C5:C104,B47,'8-Conges Annuels'!J5:J104,"En cours"))</f>
        <v/>
      </c>
      <c r="H47" s="23" t="n"/>
      <c r="I47" s="25">
        <f>IF(B47="","",IFERROR(E47/D47,0))</f>
        <v/>
      </c>
    </row>
    <row r="48" ht="22" customHeight="1">
      <c r="B48" s="14" t="n"/>
      <c r="C48" s="14">
        <f>IFERROR(VLOOKUP(B48,'2-Fiche Employe'!B5:D104,3,FALSE),"")</f>
        <v/>
      </c>
      <c r="D48" s="24" t="n"/>
      <c r="E48" s="24">
        <f>IF(B48="","",SUMIFS('8-Conges Annuels'!H5:H104,'8-Conges Annuels'!C5:C104,B48,'8-Conges Annuels'!J5:J104,"Approuve"))</f>
        <v/>
      </c>
      <c r="F48" s="24">
        <f>IF(B48="","",D48-E48-G48+H48)</f>
        <v/>
      </c>
      <c r="G48" s="24">
        <f>IF(B48="","",SUMIFS('8-Conges Annuels'!H5:H104,'8-Conges Annuels'!C5:C104,B48,'8-Conges Annuels'!J5:J104,"En cours"))</f>
        <v/>
      </c>
      <c r="H48" s="24" t="n"/>
      <c r="I48" s="26">
        <f>IF(B48="","",IFERROR(E48/D48,0))</f>
        <v/>
      </c>
    </row>
    <row r="49" ht="22" customHeight="1">
      <c r="B49" s="12" t="n"/>
      <c r="C49" s="12">
        <f>IFERROR(VLOOKUP(B49,'2-Fiche Employe'!B5:D104,3,FALSE),"")</f>
        <v/>
      </c>
      <c r="D49" s="23" t="n"/>
      <c r="E49" s="23">
        <f>IF(B49="","",SUMIFS('8-Conges Annuels'!H5:H104,'8-Conges Annuels'!C5:C104,B49,'8-Conges Annuels'!J5:J104,"Approuve"))</f>
        <v/>
      </c>
      <c r="F49" s="23">
        <f>IF(B49="","",D49-E49-G49+H49)</f>
        <v/>
      </c>
      <c r="G49" s="23">
        <f>IF(B49="","",SUMIFS('8-Conges Annuels'!H5:H104,'8-Conges Annuels'!C5:C104,B49,'8-Conges Annuels'!J5:J104,"En cours"))</f>
        <v/>
      </c>
      <c r="H49" s="23" t="n"/>
      <c r="I49" s="25">
        <f>IF(B49="","",IFERROR(E49/D49,0))</f>
        <v/>
      </c>
    </row>
    <row r="50" ht="22" customHeight="1">
      <c r="B50" s="14" t="n"/>
      <c r="C50" s="14">
        <f>IFERROR(VLOOKUP(B50,'2-Fiche Employe'!B5:D104,3,FALSE),"")</f>
        <v/>
      </c>
      <c r="D50" s="24" t="n"/>
      <c r="E50" s="24">
        <f>IF(B50="","",SUMIFS('8-Conges Annuels'!H5:H104,'8-Conges Annuels'!C5:C104,B50,'8-Conges Annuels'!J5:J104,"Approuve"))</f>
        <v/>
      </c>
      <c r="F50" s="24">
        <f>IF(B50="","",D50-E50-G50+H50)</f>
        <v/>
      </c>
      <c r="G50" s="24">
        <f>IF(B50="","",SUMIFS('8-Conges Annuels'!H5:H104,'8-Conges Annuels'!C5:C104,B50,'8-Conges Annuels'!J5:J104,"En cours"))</f>
        <v/>
      </c>
      <c r="H50" s="24" t="n"/>
      <c r="I50" s="26">
        <f>IF(B50="","",IFERROR(E50/D50,0))</f>
        <v/>
      </c>
    </row>
    <row r="51" ht="22" customHeight="1">
      <c r="B51" s="12" t="n"/>
      <c r="C51" s="12">
        <f>IFERROR(VLOOKUP(B51,'2-Fiche Employe'!B5:D104,3,FALSE),"")</f>
        <v/>
      </c>
      <c r="D51" s="23" t="n"/>
      <c r="E51" s="23">
        <f>IF(B51="","",SUMIFS('8-Conges Annuels'!H5:H104,'8-Conges Annuels'!C5:C104,B51,'8-Conges Annuels'!J5:J104,"Approuve"))</f>
        <v/>
      </c>
      <c r="F51" s="23">
        <f>IF(B51="","",D51-E51-G51+H51)</f>
        <v/>
      </c>
      <c r="G51" s="23">
        <f>IF(B51="","",SUMIFS('8-Conges Annuels'!H5:H104,'8-Conges Annuels'!C5:C104,B51,'8-Conges Annuels'!J5:J104,"En cours"))</f>
        <v/>
      </c>
      <c r="H51" s="23" t="n"/>
      <c r="I51" s="25">
        <f>IF(B51="","",IFERROR(E51/D51,0))</f>
        <v/>
      </c>
    </row>
    <row r="52" ht="22" customHeight="1">
      <c r="B52" s="14" t="n"/>
      <c r="C52" s="14">
        <f>IFERROR(VLOOKUP(B52,'2-Fiche Employe'!B5:D104,3,FALSE),"")</f>
        <v/>
      </c>
      <c r="D52" s="24" t="n"/>
      <c r="E52" s="24">
        <f>IF(B52="","",SUMIFS('8-Conges Annuels'!H5:H104,'8-Conges Annuels'!C5:C104,B52,'8-Conges Annuels'!J5:J104,"Approuve"))</f>
        <v/>
      </c>
      <c r="F52" s="24">
        <f>IF(B52="","",D52-E52-G52+H52)</f>
        <v/>
      </c>
      <c r="G52" s="24">
        <f>IF(B52="","",SUMIFS('8-Conges Annuels'!H5:H104,'8-Conges Annuels'!C5:C104,B52,'8-Conges Annuels'!J5:J104,"En cours"))</f>
        <v/>
      </c>
      <c r="H52" s="24" t="n"/>
      <c r="I52" s="26">
        <f>IF(B52="","",IFERROR(E52/D52,0))</f>
        <v/>
      </c>
    </row>
    <row r="53" ht="22" customHeight="1">
      <c r="B53" s="12" t="n"/>
      <c r="C53" s="12">
        <f>IFERROR(VLOOKUP(B53,'2-Fiche Employe'!B5:D104,3,FALSE),"")</f>
        <v/>
      </c>
      <c r="D53" s="23" t="n"/>
      <c r="E53" s="23">
        <f>IF(B53="","",SUMIFS('8-Conges Annuels'!H5:H104,'8-Conges Annuels'!C5:C104,B53,'8-Conges Annuels'!J5:J104,"Approuve"))</f>
        <v/>
      </c>
      <c r="F53" s="23">
        <f>IF(B53="","",D53-E53-G53+H53)</f>
        <v/>
      </c>
      <c r="G53" s="23">
        <f>IF(B53="","",SUMIFS('8-Conges Annuels'!H5:H104,'8-Conges Annuels'!C5:C104,B53,'8-Conges Annuels'!J5:J104,"En cours"))</f>
        <v/>
      </c>
      <c r="H53" s="23" t="n"/>
      <c r="I53" s="25">
        <f>IF(B53="","",IFERROR(E53/D53,0))</f>
        <v/>
      </c>
    </row>
    <row r="54" ht="22" customHeight="1">
      <c r="B54" s="14" t="n"/>
      <c r="C54" s="14">
        <f>IFERROR(VLOOKUP(B54,'2-Fiche Employe'!B5:D104,3,FALSE),"")</f>
        <v/>
      </c>
      <c r="D54" s="24" t="n"/>
      <c r="E54" s="24">
        <f>IF(B54="","",SUMIFS('8-Conges Annuels'!H5:H104,'8-Conges Annuels'!C5:C104,B54,'8-Conges Annuels'!J5:J104,"Approuve"))</f>
        <v/>
      </c>
      <c r="F54" s="24">
        <f>IF(B54="","",D54-E54-G54+H54)</f>
        <v/>
      </c>
      <c r="G54" s="24">
        <f>IF(B54="","",SUMIFS('8-Conges Annuels'!H5:H104,'8-Conges Annuels'!C5:C104,B54,'8-Conges Annuels'!J5:J104,"En cours"))</f>
        <v/>
      </c>
      <c r="H54" s="24" t="n"/>
      <c r="I54" s="26">
        <f>IF(B54="","",IFERROR(E54/D54,0))</f>
        <v/>
      </c>
    </row>
    <row r="55" ht="22" customHeight="1">
      <c r="B55" s="12" t="n"/>
      <c r="C55" s="12">
        <f>IFERROR(VLOOKUP(B55,'2-Fiche Employe'!B5:D104,3,FALSE),"")</f>
        <v/>
      </c>
      <c r="D55" s="23" t="n"/>
      <c r="E55" s="23">
        <f>IF(B55="","",SUMIFS('8-Conges Annuels'!H5:H104,'8-Conges Annuels'!C5:C104,B55,'8-Conges Annuels'!J5:J104,"Approuve"))</f>
        <v/>
      </c>
      <c r="F55" s="23">
        <f>IF(B55="","",D55-E55-G55+H55)</f>
        <v/>
      </c>
      <c r="G55" s="23">
        <f>IF(B55="","",SUMIFS('8-Conges Annuels'!H5:H104,'8-Conges Annuels'!C5:C104,B55,'8-Conges Annuels'!J5:J104,"En cours"))</f>
        <v/>
      </c>
      <c r="H55" s="23" t="n"/>
      <c r="I55" s="25">
        <f>IF(B55="","",IFERROR(E55/D55,0))</f>
        <v/>
      </c>
    </row>
    <row r="56" ht="22" customHeight="1">
      <c r="B56" s="14" t="n"/>
      <c r="C56" s="14">
        <f>IFERROR(VLOOKUP(B56,'2-Fiche Employe'!B5:D104,3,FALSE),"")</f>
        <v/>
      </c>
      <c r="D56" s="24" t="n"/>
      <c r="E56" s="24">
        <f>IF(B56="","",SUMIFS('8-Conges Annuels'!H5:H104,'8-Conges Annuels'!C5:C104,B56,'8-Conges Annuels'!J5:J104,"Approuve"))</f>
        <v/>
      </c>
      <c r="F56" s="24">
        <f>IF(B56="","",D56-E56-G56+H56)</f>
        <v/>
      </c>
      <c r="G56" s="24">
        <f>IF(B56="","",SUMIFS('8-Conges Annuels'!H5:H104,'8-Conges Annuels'!C5:C104,B56,'8-Conges Annuels'!J5:J104,"En cours"))</f>
        <v/>
      </c>
      <c r="H56" s="24" t="n"/>
      <c r="I56" s="26">
        <f>IF(B56="","",IFERROR(E56/D56,0))</f>
        <v/>
      </c>
    </row>
    <row r="57" ht="22" customHeight="1">
      <c r="B57" s="12" t="n"/>
      <c r="C57" s="12">
        <f>IFERROR(VLOOKUP(B57,'2-Fiche Employe'!B5:D104,3,FALSE),"")</f>
        <v/>
      </c>
      <c r="D57" s="23" t="n"/>
      <c r="E57" s="23">
        <f>IF(B57="","",SUMIFS('8-Conges Annuels'!H5:H104,'8-Conges Annuels'!C5:C104,B57,'8-Conges Annuels'!J5:J104,"Approuve"))</f>
        <v/>
      </c>
      <c r="F57" s="23">
        <f>IF(B57="","",D57-E57-G57+H57)</f>
        <v/>
      </c>
      <c r="G57" s="23">
        <f>IF(B57="","",SUMIFS('8-Conges Annuels'!H5:H104,'8-Conges Annuels'!C5:C104,B57,'8-Conges Annuels'!J5:J104,"En cours"))</f>
        <v/>
      </c>
      <c r="H57" s="23" t="n"/>
      <c r="I57" s="25">
        <f>IF(B57="","",IFERROR(E57/D57,0))</f>
        <v/>
      </c>
    </row>
    <row r="58" ht="22" customHeight="1">
      <c r="B58" s="14" t="n"/>
      <c r="C58" s="14">
        <f>IFERROR(VLOOKUP(B58,'2-Fiche Employe'!B5:D104,3,FALSE),"")</f>
        <v/>
      </c>
      <c r="D58" s="24" t="n"/>
      <c r="E58" s="24">
        <f>IF(B58="","",SUMIFS('8-Conges Annuels'!H5:H104,'8-Conges Annuels'!C5:C104,B58,'8-Conges Annuels'!J5:J104,"Approuve"))</f>
        <v/>
      </c>
      <c r="F58" s="24">
        <f>IF(B58="","",D58-E58-G58+H58)</f>
        <v/>
      </c>
      <c r="G58" s="24">
        <f>IF(B58="","",SUMIFS('8-Conges Annuels'!H5:H104,'8-Conges Annuels'!C5:C104,B58,'8-Conges Annuels'!J5:J104,"En cours"))</f>
        <v/>
      </c>
      <c r="H58" s="24" t="n"/>
      <c r="I58" s="26">
        <f>IF(B58="","",IFERROR(E58/D58,0))</f>
        <v/>
      </c>
    </row>
    <row r="59" ht="22" customHeight="1">
      <c r="B59" s="12" t="n"/>
      <c r="C59" s="12">
        <f>IFERROR(VLOOKUP(B59,'2-Fiche Employe'!B5:D104,3,FALSE),"")</f>
        <v/>
      </c>
      <c r="D59" s="23" t="n"/>
      <c r="E59" s="23">
        <f>IF(B59="","",SUMIFS('8-Conges Annuels'!H5:H104,'8-Conges Annuels'!C5:C104,B59,'8-Conges Annuels'!J5:J104,"Approuve"))</f>
        <v/>
      </c>
      <c r="F59" s="23">
        <f>IF(B59="","",D59-E59-G59+H59)</f>
        <v/>
      </c>
      <c r="G59" s="23">
        <f>IF(B59="","",SUMIFS('8-Conges Annuels'!H5:H104,'8-Conges Annuels'!C5:C104,B59,'8-Conges Annuels'!J5:J104,"En cours"))</f>
        <v/>
      </c>
      <c r="H59" s="23" t="n"/>
      <c r="I59" s="25">
        <f>IF(B59="","",IFERROR(E59/D59,0))</f>
        <v/>
      </c>
    </row>
    <row r="60" ht="22" customHeight="1">
      <c r="B60" s="14" t="n"/>
      <c r="C60" s="14">
        <f>IFERROR(VLOOKUP(B60,'2-Fiche Employe'!B5:D104,3,FALSE),"")</f>
        <v/>
      </c>
      <c r="D60" s="24" t="n"/>
      <c r="E60" s="24">
        <f>IF(B60="","",SUMIFS('8-Conges Annuels'!H5:H104,'8-Conges Annuels'!C5:C104,B60,'8-Conges Annuels'!J5:J104,"Approuve"))</f>
        <v/>
      </c>
      <c r="F60" s="24">
        <f>IF(B60="","",D60-E60-G60+H60)</f>
        <v/>
      </c>
      <c r="G60" s="24">
        <f>IF(B60="","",SUMIFS('8-Conges Annuels'!H5:H104,'8-Conges Annuels'!C5:C104,B60,'8-Conges Annuels'!J5:J104,"En cours"))</f>
        <v/>
      </c>
      <c r="H60" s="24" t="n"/>
      <c r="I60" s="26">
        <f>IF(B60="","",IFERROR(E60/D60,0))</f>
        <v/>
      </c>
    </row>
    <row r="61" ht="22" customHeight="1">
      <c r="B61" s="12" t="n"/>
      <c r="C61" s="12">
        <f>IFERROR(VLOOKUP(B61,'2-Fiche Employe'!B5:D104,3,FALSE),"")</f>
        <v/>
      </c>
      <c r="D61" s="23" t="n"/>
      <c r="E61" s="23">
        <f>IF(B61="","",SUMIFS('8-Conges Annuels'!H5:H104,'8-Conges Annuels'!C5:C104,B61,'8-Conges Annuels'!J5:J104,"Approuve"))</f>
        <v/>
      </c>
      <c r="F61" s="23">
        <f>IF(B61="","",D61-E61-G61+H61)</f>
        <v/>
      </c>
      <c r="G61" s="23">
        <f>IF(B61="","",SUMIFS('8-Conges Annuels'!H5:H104,'8-Conges Annuels'!C5:C104,B61,'8-Conges Annuels'!J5:J104,"En cours"))</f>
        <v/>
      </c>
      <c r="H61" s="23" t="n"/>
      <c r="I61" s="25">
        <f>IF(B61="","",IFERROR(E61/D61,0))</f>
        <v/>
      </c>
    </row>
    <row r="62" ht="22" customHeight="1">
      <c r="B62" s="14" t="n"/>
      <c r="C62" s="14">
        <f>IFERROR(VLOOKUP(B62,'2-Fiche Employe'!B5:D104,3,FALSE),"")</f>
        <v/>
      </c>
      <c r="D62" s="24" t="n"/>
      <c r="E62" s="24">
        <f>IF(B62="","",SUMIFS('8-Conges Annuels'!H5:H104,'8-Conges Annuels'!C5:C104,B62,'8-Conges Annuels'!J5:J104,"Approuve"))</f>
        <v/>
      </c>
      <c r="F62" s="24">
        <f>IF(B62="","",D62-E62-G62+H62)</f>
        <v/>
      </c>
      <c r="G62" s="24">
        <f>IF(B62="","",SUMIFS('8-Conges Annuels'!H5:H104,'8-Conges Annuels'!C5:C104,B62,'8-Conges Annuels'!J5:J104,"En cours"))</f>
        <v/>
      </c>
      <c r="H62" s="24" t="n"/>
      <c r="I62" s="26">
        <f>IF(B62="","",IFERROR(E62/D62,0))</f>
        <v/>
      </c>
    </row>
    <row r="63" ht="22" customHeight="1">
      <c r="B63" s="12" t="n"/>
      <c r="C63" s="12">
        <f>IFERROR(VLOOKUP(B63,'2-Fiche Employe'!B5:D104,3,FALSE),"")</f>
        <v/>
      </c>
      <c r="D63" s="23" t="n"/>
      <c r="E63" s="23">
        <f>IF(B63="","",SUMIFS('8-Conges Annuels'!H5:H104,'8-Conges Annuels'!C5:C104,B63,'8-Conges Annuels'!J5:J104,"Approuve"))</f>
        <v/>
      </c>
      <c r="F63" s="23">
        <f>IF(B63="","",D63-E63-G63+H63)</f>
        <v/>
      </c>
      <c r="G63" s="23">
        <f>IF(B63="","",SUMIFS('8-Conges Annuels'!H5:H104,'8-Conges Annuels'!C5:C104,B63,'8-Conges Annuels'!J5:J104,"En cours"))</f>
        <v/>
      </c>
      <c r="H63" s="23" t="n"/>
      <c r="I63" s="25">
        <f>IF(B63="","",IFERROR(E63/D63,0))</f>
        <v/>
      </c>
    </row>
    <row r="64" ht="22" customHeight="1">
      <c r="B64" s="14" t="n"/>
      <c r="C64" s="14">
        <f>IFERROR(VLOOKUP(B64,'2-Fiche Employe'!B5:D104,3,FALSE),"")</f>
        <v/>
      </c>
      <c r="D64" s="24" t="n"/>
      <c r="E64" s="24">
        <f>IF(B64="","",SUMIFS('8-Conges Annuels'!H5:H104,'8-Conges Annuels'!C5:C104,B64,'8-Conges Annuels'!J5:J104,"Approuve"))</f>
        <v/>
      </c>
      <c r="F64" s="24">
        <f>IF(B64="","",D64-E64-G64+H64)</f>
        <v/>
      </c>
      <c r="G64" s="24">
        <f>IF(B64="","",SUMIFS('8-Conges Annuels'!H5:H104,'8-Conges Annuels'!C5:C104,B64,'8-Conges Annuels'!J5:J104,"En cours"))</f>
        <v/>
      </c>
      <c r="H64" s="24" t="n"/>
      <c r="I64" s="26">
        <f>IF(B64="","",IFERROR(E64/D64,0))</f>
        <v/>
      </c>
    </row>
    <row r="65" ht="22" customHeight="1">
      <c r="B65" s="12" t="n"/>
      <c r="C65" s="12">
        <f>IFERROR(VLOOKUP(B65,'2-Fiche Employe'!B5:D104,3,FALSE),"")</f>
        <v/>
      </c>
      <c r="D65" s="23" t="n"/>
      <c r="E65" s="23">
        <f>IF(B65="","",SUMIFS('8-Conges Annuels'!H5:H104,'8-Conges Annuels'!C5:C104,B65,'8-Conges Annuels'!J5:J104,"Approuve"))</f>
        <v/>
      </c>
      <c r="F65" s="23">
        <f>IF(B65="","",D65-E65-G65+H65)</f>
        <v/>
      </c>
      <c r="G65" s="23">
        <f>IF(B65="","",SUMIFS('8-Conges Annuels'!H5:H104,'8-Conges Annuels'!C5:C104,B65,'8-Conges Annuels'!J5:J104,"En cours"))</f>
        <v/>
      </c>
      <c r="H65" s="23" t="n"/>
      <c r="I65" s="25">
        <f>IF(B65="","",IFERROR(E65/D65,0))</f>
        <v/>
      </c>
    </row>
    <row r="66" ht="22" customHeight="1">
      <c r="B66" s="14" t="n"/>
      <c r="C66" s="14">
        <f>IFERROR(VLOOKUP(B66,'2-Fiche Employe'!B5:D104,3,FALSE),"")</f>
        <v/>
      </c>
      <c r="D66" s="24" t="n"/>
      <c r="E66" s="24">
        <f>IF(B66="","",SUMIFS('8-Conges Annuels'!H5:H104,'8-Conges Annuels'!C5:C104,B66,'8-Conges Annuels'!J5:J104,"Approuve"))</f>
        <v/>
      </c>
      <c r="F66" s="24">
        <f>IF(B66="","",D66-E66-G66+H66)</f>
        <v/>
      </c>
      <c r="G66" s="24">
        <f>IF(B66="","",SUMIFS('8-Conges Annuels'!H5:H104,'8-Conges Annuels'!C5:C104,B66,'8-Conges Annuels'!J5:J104,"En cours"))</f>
        <v/>
      </c>
      <c r="H66" s="24" t="n"/>
      <c r="I66" s="26">
        <f>IF(B66="","",IFERROR(E66/D66,0))</f>
        <v/>
      </c>
    </row>
    <row r="67" ht="22" customHeight="1">
      <c r="B67" s="12" t="n"/>
      <c r="C67" s="12">
        <f>IFERROR(VLOOKUP(B67,'2-Fiche Employe'!B5:D104,3,FALSE),"")</f>
        <v/>
      </c>
      <c r="D67" s="23" t="n"/>
      <c r="E67" s="23">
        <f>IF(B67="","",SUMIFS('8-Conges Annuels'!H5:H104,'8-Conges Annuels'!C5:C104,B67,'8-Conges Annuels'!J5:J104,"Approuve"))</f>
        <v/>
      </c>
      <c r="F67" s="23">
        <f>IF(B67="","",D67-E67-G67+H67)</f>
        <v/>
      </c>
      <c r="G67" s="23">
        <f>IF(B67="","",SUMIFS('8-Conges Annuels'!H5:H104,'8-Conges Annuels'!C5:C104,B67,'8-Conges Annuels'!J5:J104,"En cours"))</f>
        <v/>
      </c>
      <c r="H67" s="23" t="n"/>
      <c r="I67" s="25">
        <f>IF(B67="","",IFERROR(E67/D67,0))</f>
        <v/>
      </c>
    </row>
    <row r="68" ht="22" customHeight="1">
      <c r="B68" s="14" t="n"/>
      <c r="C68" s="14">
        <f>IFERROR(VLOOKUP(B68,'2-Fiche Employe'!B5:D104,3,FALSE),"")</f>
        <v/>
      </c>
      <c r="D68" s="24" t="n"/>
      <c r="E68" s="24">
        <f>IF(B68="","",SUMIFS('8-Conges Annuels'!H5:H104,'8-Conges Annuels'!C5:C104,B68,'8-Conges Annuels'!J5:J104,"Approuve"))</f>
        <v/>
      </c>
      <c r="F68" s="24">
        <f>IF(B68="","",D68-E68-G68+H68)</f>
        <v/>
      </c>
      <c r="G68" s="24">
        <f>IF(B68="","",SUMIFS('8-Conges Annuels'!H5:H104,'8-Conges Annuels'!C5:C104,B68,'8-Conges Annuels'!J5:J104,"En cours"))</f>
        <v/>
      </c>
      <c r="H68" s="24" t="n"/>
      <c r="I68" s="26">
        <f>IF(B68="","",IFERROR(E68/D68,0))</f>
        <v/>
      </c>
    </row>
    <row r="69" ht="22" customHeight="1">
      <c r="B69" s="12" t="n"/>
      <c r="C69" s="12">
        <f>IFERROR(VLOOKUP(B69,'2-Fiche Employe'!B5:D104,3,FALSE),"")</f>
        <v/>
      </c>
      <c r="D69" s="23" t="n"/>
      <c r="E69" s="23">
        <f>IF(B69="","",SUMIFS('8-Conges Annuels'!H5:H104,'8-Conges Annuels'!C5:C104,B69,'8-Conges Annuels'!J5:J104,"Approuve"))</f>
        <v/>
      </c>
      <c r="F69" s="23">
        <f>IF(B69="","",D69-E69-G69+H69)</f>
        <v/>
      </c>
      <c r="G69" s="23">
        <f>IF(B69="","",SUMIFS('8-Conges Annuels'!H5:H104,'8-Conges Annuels'!C5:C104,B69,'8-Conges Annuels'!J5:J104,"En cours"))</f>
        <v/>
      </c>
      <c r="H69" s="23" t="n"/>
      <c r="I69" s="25">
        <f>IF(B69="","",IFERROR(E69/D69,0))</f>
        <v/>
      </c>
    </row>
    <row r="70" ht="22" customHeight="1">
      <c r="B70" s="14" t="n"/>
      <c r="C70" s="14">
        <f>IFERROR(VLOOKUP(B70,'2-Fiche Employe'!B5:D104,3,FALSE),"")</f>
        <v/>
      </c>
      <c r="D70" s="24" t="n"/>
      <c r="E70" s="24">
        <f>IF(B70="","",SUMIFS('8-Conges Annuels'!H5:H104,'8-Conges Annuels'!C5:C104,B70,'8-Conges Annuels'!J5:J104,"Approuve"))</f>
        <v/>
      </c>
      <c r="F70" s="24">
        <f>IF(B70="","",D70-E70-G70+H70)</f>
        <v/>
      </c>
      <c r="G70" s="24">
        <f>IF(B70="","",SUMIFS('8-Conges Annuels'!H5:H104,'8-Conges Annuels'!C5:C104,B70,'8-Conges Annuels'!J5:J104,"En cours"))</f>
        <v/>
      </c>
      <c r="H70" s="24" t="n"/>
      <c r="I70" s="26">
        <f>IF(B70="","",IFERROR(E70/D70,0))</f>
        <v/>
      </c>
    </row>
    <row r="71" ht="22" customHeight="1">
      <c r="B71" s="12" t="n"/>
      <c r="C71" s="12">
        <f>IFERROR(VLOOKUP(B71,'2-Fiche Employe'!B5:D104,3,FALSE),"")</f>
        <v/>
      </c>
      <c r="D71" s="23" t="n"/>
      <c r="E71" s="23">
        <f>IF(B71="","",SUMIFS('8-Conges Annuels'!H5:H104,'8-Conges Annuels'!C5:C104,B71,'8-Conges Annuels'!J5:J104,"Approuve"))</f>
        <v/>
      </c>
      <c r="F71" s="23">
        <f>IF(B71="","",D71-E71-G71+H71)</f>
        <v/>
      </c>
      <c r="G71" s="23">
        <f>IF(B71="","",SUMIFS('8-Conges Annuels'!H5:H104,'8-Conges Annuels'!C5:C104,B71,'8-Conges Annuels'!J5:J104,"En cours"))</f>
        <v/>
      </c>
      <c r="H71" s="23" t="n"/>
      <c r="I71" s="25">
        <f>IF(B71="","",IFERROR(E71/D71,0))</f>
        <v/>
      </c>
    </row>
    <row r="72" ht="22" customHeight="1">
      <c r="B72" s="14" t="n"/>
      <c r="C72" s="14">
        <f>IFERROR(VLOOKUP(B72,'2-Fiche Employe'!B5:D104,3,FALSE),"")</f>
        <v/>
      </c>
      <c r="D72" s="24" t="n"/>
      <c r="E72" s="24">
        <f>IF(B72="","",SUMIFS('8-Conges Annuels'!H5:H104,'8-Conges Annuels'!C5:C104,B72,'8-Conges Annuels'!J5:J104,"Approuve"))</f>
        <v/>
      </c>
      <c r="F72" s="24">
        <f>IF(B72="","",D72-E72-G72+H72)</f>
        <v/>
      </c>
      <c r="G72" s="24">
        <f>IF(B72="","",SUMIFS('8-Conges Annuels'!H5:H104,'8-Conges Annuels'!C5:C104,B72,'8-Conges Annuels'!J5:J104,"En cours"))</f>
        <v/>
      </c>
      <c r="H72" s="24" t="n"/>
      <c r="I72" s="26">
        <f>IF(B72="","",IFERROR(E72/D72,0))</f>
        <v/>
      </c>
    </row>
    <row r="73" ht="22" customHeight="1">
      <c r="B73" s="12" t="n"/>
      <c r="C73" s="12">
        <f>IFERROR(VLOOKUP(B73,'2-Fiche Employe'!B5:D104,3,FALSE),"")</f>
        <v/>
      </c>
      <c r="D73" s="23" t="n"/>
      <c r="E73" s="23">
        <f>IF(B73="","",SUMIFS('8-Conges Annuels'!H5:H104,'8-Conges Annuels'!C5:C104,B73,'8-Conges Annuels'!J5:J104,"Approuve"))</f>
        <v/>
      </c>
      <c r="F73" s="23">
        <f>IF(B73="","",D73-E73-G73+H73)</f>
        <v/>
      </c>
      <c r="G73" s="23">
        <f>IF(B73="","",SUMIFS('8-Conges Annuels'!H5:H104,'8-Conges Annuels'!C5:C104,B73,'8-Conges Annuels'!J5:J104,"En cours"))</f>
        <v/>
      </c>
      <c r="H73" s="23" t="n"/>
      <c r="I73" s="25">
        <f>IF(B73="","",IFERROR(E73/D73,0))</f>
        <v/>
      </c>
    </row>
    <row r="74" ht="22" customHeight="1">
      <c r="B74" s="14" t="n"/>
      <c r="C74" s="14">
        <f>IFERROR(VLOOKUP(B74,'2-Fiche Employe'!B5:D104,3,FALSE),"")</f>
        <v/>
      </c>
      <c r="D74" s="24" t="n"/>
      <c r="E74" s="24">
        <f>IF(B74="","",SUMIFS('8-Conges Annuels'!H5:H104,'8-Conges Annuels'!C5:C104,B74,'8-Conges Annuels'!J5:J104,"Approuve"))</f>
        <v/>
      </c>
      <c r="F74" s="24">
        <f>IF(B74="","",D74-E74-G74+H74)</f>
        <v/>
      </c>
      <c r="G74" s="24">
        <f>IF(B74="","",SUMIFS('8-Conges Annuels'!H5:H104,'8-Conges Annuels'!C5:C104,B74,'8-Conges Annuels'!J5:J104,"En cours"))</f>
        <v/>
      </c>
      <c r="H74" s="24" t="n"/>
      <c r="I74" s="26">
        <f>IF(B74="","",IFERROR(E74/D74,0))</f>
        <v/>
      </c>
    </row>
    <row r="75" ht="22" customHeight="1">
      <c r="B75" s="12" t="n"/>
      <c r="C75" s="12">
        <f>IFERROR(VLOOKUP(B75,'2-Fiche Employe'!B5:D104,3,FALSE),"")</f>
        <v/>
      </c>
      <c r="D75" s="23" t="n"/>
      <c r="E75" s="23">
        <f>IF(B75="","",SUMIFS('8-Conges Annuels'!H5:H104,'8-Conges Annuels'!C5:C104,B75,'8-Conges Annuels'!J5:J104,"Approuve"))</f>
        <v/>
      </c>
      <c r="F75" s="23">
        <f>IF(B75="","",D75-E75-G75+H75)</f>
        <v/>
      </c>
      <c r="G75" s="23">
        <f>IF(B75="","",SUMIFS('8-Conges Annuels'!H5:H104,'8-Conges Annuels'!C5:C104,B75,'8-Conges Annuels'!J5:J104,"En cours"))</f>
        <v/>
      </c>
      <c r="H75" s="23" t="n"/>
      <c r="I75" s="25">
        <f>IF(B75="","",IFERROR(E75/D75,0))</f>
        <v/>
      </c>
    </row>
    <row r="76" ht="22" customHeight="1">
      <c r="B76" s="14" t="n"/>
      <c r="C76" s="14">
        <f>IFERROR(VLOOKUP(B76,'2-Fiche Employe'!B5:D104,3,FALSE),"")</f>
        <v/>
      </c>
      <c r="D76" s="24" t="n"/>
      <c r="E76" s="24">
        <f>IF(B76="","",SUMIFS('8-Conges Annuels'!H5:H104,'8-Conges Annuels'!C5:C104,B76,'8-Conges Annuels'!J5:J104,"Approuve"))</f>
        <v/>
      </c>
      <c r="F76" s="24">
        <f>IF(B76="","",D76-E76-G76+H76)</f>
        <v/>
      </c>
      <c r="G76" s="24">
        <f>IF(B76="","",SUMIFS('8-Conges Annuels'!H5:H104,'8-Conges Annuels'!C5:C104,B76,'8-Conges Annuels'!J5:J104,"En cours"))</f>
        <v/>
      </c>
      <c r="H76" s="24" t="n"/>
      <c r="I76" s="26">
        <f>IF(B76="","",IFERROR(E76/D76,0))</f>
        <v/>
      </c>
    </row>
    <row r="77" ht="22" customHeight="1">
      <c r="B77" s="12" t="n"/>
      <c r="C77" s="12">
        <f>IFERROR(VLOOKUP(B77,'2-Fiche Employe'!B5:D104,3,FALSE),"")</f>
        <v/>
      </c>
      <c r="D77" s="23" t="n"/>
      <c r="E77" s="23">
        <f>IF(B77="","",SUMIFS('8-Conges Annuels'!H5:H104,'8-Conges Annuels'!C5:C104,B77,'8-Conges Annuels'!J5:J104,"Approuve"))</f>
        <v/>
      </c>
      <c r="F77" s="23">
        <f>IF(B77="","",D77-E77-G77+H77)</f>
        <v/>
      </c>
      <c r="G77" s="23">
        <f>IF(B77="","",SUMIFS('8-Conges Annuels'!H5:H104,'8-Conges Annuels'!C5:C104,B77,'8-Conges Annuels'!J5:J104,"En cours"))</f>
        <v/>
      </c>
      <c r="H77" s="23" t="n"/>
      <c r="I77" s="25">
        <f>IF(B77="","",IFERROR(E77/D77,0))</f>
        <v/>
      </c>
    </row>
    <row r="78" ht="22" customHeight="1">
      <c r="B78" s="14" t="n"/>
      <c r="C78" s="14">
        <f>IFERROR(VLOOKUP(B78,'2-Fiche Employe'!B5:D104,3,FALSE),"")</f>
        <v/>
      </c>
      <c r="D78" s="24" t="n"/>
      <c r="E78" s="24">
        <f>IF(B78="","",SUMIFS('8-Conges Annuels'!H5:H104,'8-Conges Annuels'!C5:C104,B78,'8-Conges Annuels'!J5:J104,"Approuve"))</f>
        <v/>
      </c>
      <c r="F78" s="24">
        <f>IF(B78="","",D78-E78-G78+H78)</f>
        <v/>
      </c>
      <c r="G78" s="24">
        <f>IF(B78="","",SUMIFS('8-Conges Annuels'!H5:H104,'8-Conges Annuels'!C5:C104,B78,'8-Conges Annuels'!J5:J104,"En cours"))</f>
        <v/>
      </c>
      <c r="H78" s="24" t="n"/>
      <c r="I78" s="26">
        <f>IF(B78="","",IFERROR(E78/D78,0))</f>
        <v/>
      </c>
    </row>
    <row r="79" ht="22" customHeight="1">
      <c r="B79" s="12" t="n"/>
      <c r="C79" s="12">
        <f>IFERROR(VLOOKUP(B79,'2-Fiche Employe'!B5:D104,3,FALSE),"")</f>
        <v/>
      </c>
      <c r="D79" s="23" t="n"/>
      <c r="E79" s="23">
        <f>IF(B79="","",SUMIFS('8-Conges Annuels'!H5:H104,'8-Conges Annuels'!C5:C104,B79,'8-Conges Annuels'!J5:J104,"Approuve"))</f>
        <v/>
      </c>
      <c r="F79" s="23">
        <f>IF(B79="","",D79-E79-G79+H79)</f>
        <v/>
      </c>
      <c r="G79" s="23">
        <f>IF(B79="","",SUMIFS('8-Conges Annuels'!H5:H104,'8-Conges Annuels'!C5:C104,B79,'8-Conges Annuels'!J5:J104,"En cours"))</f>
        <v/>
      </c>
      <c r="H79" s="23" t="n"/>
      <c r="I79" s="25">
        <f>IF(B79="","",IFERROR(E79/D79,0))</f>
        <v/>
      </c>
    </row>
    <row r="80" ht="22" customHeight="1">
      <c r="B80" s="14" t="n"/>
      <c r="C80" s="14">
        <f>IFERROR(VLOOKUP(B80,'2-Fiche Employe'!B5:D104,3,FALSE),"")</f>
        <v/>
      </c>
      <c r="D80" s="24" t="n"/>
      <c r="E80" s="24">
        <f>IF(B80="","",SUMIFS('8-Conges Annuels'!H5:H104,'8-Conges Annuels'!C5:C104,B80,'8-Conges Annuels'!J5:J104,"Approuve"))</f>
        <v/>
      </c>
      <c r="F80" s="24">
        <f>IF(B80="","",D80-E80-G80+H80)</f>
        <v/>
      </c>
      <c r="G80" s="24">
        <f>IF(B80="","",SUMIFS('8-Conges Annuels'!H5:H104,'8-Conges Annuels'!C5:C104,B80,'8-Conges Annuels'!J5:J104,"En cours"))</f>
        <v/>
      </c>
      <c r="H80" s="24" t="n"/>
      <c r="I80" s="26">
        <f>IF(B80="","",IFERROR(E80/D80,0))</f>
        <v/>
      </c>
    </row>
    <row r="81" ht="22" customHeight="1">
      <c r="B81" s="12" t="n"/>
      <c r="C81" s="12">
        <f>IFERROR(VLOOKUP(B81,'2-Fiche Employe'!B5:D104,3,FALSE),"")</f>
        <v/>
      </c>
      <c r="D81" s="23" t="n"/>
      <c r="E81" s="23">
        <f>IF(B81="","",SUMIFS('8-Conges Annuels'!H5:H104,'8-Conges Annuels'!C5:C104,B81,'8-Conges Annuels'!J5:J104,"Approuve"))</f>
        <v/>
      </c>
      <c r="F81" s="23">
        <f>IF(B81="","",D81-E81-G81+H81)</f>
        <v/>
      </c>
      <c r="G81" s="23">
        <f>IF(B81="","",SUMIFS('8-Conges Annuels'!H5:H104,'8-Conges Annuels'!C5:C104,B81,'8-Conges Annuels'!J5:J104,"En cours"))</f>
        <v/>
      </c>
      <c r="H81" s="23" t="n"/>
      <c r="I81" s="25">
        <f>IF(B81="","",IFERROR(E81/D81,0))</f>
        <v/>
      </c>
    </row>
    <row r="82" ht="22" customHeight="1">
      <c r="B82" s="14" t="n"/>
      <c r="C82" s="14">
        <f>IFERROR(VLOOKUP(B82,'2-Fiche Employe'!B5:D104,3,FALSE),"")</f>
        <v/>
      </c>
      <c r="D82" s="24" t="n"/>
      <c r="E82" s="24">
        <f>IF(B82="","",SUMIFS('8-Conges Annuels'!H5:H104,'8-Conges Annuels'!C5:C104,B82,'8-Conges Annuels'!J5:J104,"Approuve"))</f>
        <v/>
      </c>
      <c r="F82" s="24">
        <f>IF(B82="","",D82-E82-G82+H82)</f>
        <v/>
      </c>
      <c r="G82" s="24">
        <f>IF(B82="","",SUMIFS('8-Conges Annuels'!H5:H104,'8-Conges Annuels'!C5:C104,B82,'8-Conges Annuels'!J5:J104,"En cours"))</f>
        <v/>
      </c>
      <c r="H82" s="24" t="n"/>
      <c r="I82" s="26">
        <f>IF(B82="","",IFERROR(E82/D82,0))</f>
        <v/>
      </c>
    </row>
    <row r="83" ht="22" customHeight="1">
      <c r="B83" s="12" t="n"/>
      <c r="C83" s="12">
        <f>IFERROR(VLOOKUP(B83,'2-Fiche Employe'!B5:D104,3,FALSE),"")</f>
        <v/>
      </c>
      <c r="D83" s="23" t="n"/>
      <c r="E83" s="23">
        <f>IF(B83="","",SUMIFS('8-Conges Annuels'!H5:H104,'8-Conges Annuels'!C5:C104,B83,'8-Conges Annuels'!J5:J104,"Approuve"))</f>
        <v/>
      </c>
      <c r="F83" s="23">
        <f>IF(B83="","",D83-E83-G83+H83)</f>
        <v/>
      </c>
      <c r="G83" s="23">
        <f>IF(B83="","",SUMIFS('8-Conges Annuels'!H5:H104,'8-Conges Annuels'!C5:C104,B83,'8-Conges Annuels'!J5:J104,"En cours"))</f>
        <v/>
      </c>
      <c r="H83" s="23" t="n"/>
      <c r="I83" s="25">
        <f>IF(B83="","",IFERROR(E83/D83,0))</f>
        <v/>
      </c>
    </row>
    <row r="84" ht="22" customHeight="1">
      <c r="B84" s="14" t="n"/>
      <c r="C84" s="14">
        <f>IFERROR(VLOOKUP(B84,'2-Fiche Employe'!B5:D104,3,FALSE),"")</f>
        <v/>
      </c>
      <c r="D84" s="24" t="n"/>
      <c r="E84" s="24">
        <f>IF(B84="","",SUMIFS('8-Conges Annuels'!H5:H104,'8-Conges Annuels'!C5:C104,B84,'8-Conges Annuels'!J5:J104,"Approuve"))</f>
        <v/>
      </c>
      <c r="F84" s="24">
        <f>IF(B84="","",D84-E84-G84+H84)</f>
        <v/>
      </c>
      <c r="G84" s="24">
        <f>IF(B84="","",SUMIFS('8-Conges Annuels'!H5:H104,'8-Conges Annuels'!C5:C104,B84,'8-Conges Annuels'!J5:J104,"En cours"))</f>
        <v/>
      </c>
      <c r="H84" s="24" t="n"/>
      <c r="I84" s="26">
        <f>IF(B84="","",IFERROR(E84/D84,0))</f>
        <v/>
      </c>
    </row>
    <row r="85" ht="22" customHeight="1">
      <c r="B85" s="12" t="n"/>
      <c r="C85" s="12">
        <f>IFERROR(VLOOKUP(B85,'2-Fiche Employe'!B5:D104,3,FALSE),"")</f>
        <v/>
      </c>
      <c r="D85" s="23" t="n"/>
      <c r="E85" s="23">
        <f>IF(B85="","",SUMIFS('8-Conges Annuels'!H5:H104,'8-Conges Annuels'!C5:C104,B85,'8-Conges Annuels'!J5:J104,"Approuve"))</f>
        <v/>
      </c>
      <c r="F85" s="23">
        <f>IF(B85="","",D85-E85-G85+H85)</f>
        <v/>
      </c>
      <c r="G85" s="23">
        <f>IF(B85="","",SUMIFS('8-Conges Annuels'!H5:H104,'8-Conges Annuels'!C5:C104,B85,'8-Conges Annuels'!J5:J104,"En cours"))</f>
        <v/>
      </c>
      <c r="H85" s="23" t="n"/>
      <c r="I85" s="25">
        <f>IF(B85="","",IFERROR(E85/D85,0))</f>
        <v/>
      </c>
    </row>
    <row r="86" ht="22" customHeight="1">
      <c r="B86" s="14" t="n"/>
      <c r="C86" s="14">
        <f>IFERROR(VLOOKUP(B86,'2-Fiche Employe'!B5:D104,3,FALSE),"")</f>
        <v/>
      </c>
      <c r="D86" s="24" t="n"/>
      <c r="E86" s="24">
        <f>IF(B86="","",SUMIFS('8-Conges Annuels'!H5:H104,'8-Conges Annuels'!C5:C104,B86,'8-Conges Annuels'!J5:J104,"Approuve"))</f>
        <v/>
      </c>
      <c r="F86" s="24">
        <f>IF(B86="","",D86-E86-G86+H86)</f>
        <v/>
      </c>
      <c r="G86" s="24">
        <f>IF(B86="","",SUMIFS('8-Conges Annuels'!H5:H104,'8-Conges Annuels'!C5:C104,B86,'8-Conges Annuels'!J5:J104,"En cours"))</f>
        <v/>
      </c>
      <c r="H86" s="24" t="n"/>
      <c r="I86" s="26">
        <f>IF(B86="","",IFERROR(E86/D86,0))</f>
        <v/>
      </c>
    </row>
    <row r="87" ht="22" customHeight="1">
      <c r="B87" s="12" t="n"/>
      <c r="C87" s="12">
        <f>IFERROR(VLOOKUP(B87,'2-Fiche Employe'!B5:D104,3,FALSE),"")</f>
        <v/>
      </c>
      <c r="D87" s="23" t="n"/>
      <c r="E87" s="23">
        <f>IF(B87="","",SUMIFS('8-Conges Annuels'!H5:H104,'8-Conges Annuels'!C5:C104,B87,'8-Conges Annuels'!J5:J104,"Approuve"))</f>
        <v/>
      </c>
      <c r="F87" s="23">
        <f>IF(B87="","",D87-E87-G87+H87)</f>
        <v/>
      </c>
      <c r="G87" s="23">
        <f>IF(B87="","",SUMIFS('8-Conges Annuels'!H5:H104,'8-Conges Annuels'!C5:C104,B87,'8-Conges Annuels'!J5:J104,"En cours"))</f>
        <v/>
      </c>
      <c r="H87" s="23" t="n"/>
      <c r="I87" s="25">
        <f>IF(B87="","",IFERROR(E87/D87,0))</f>
        <v/>
      </c>
    </row>
    <row r="88" ht="22" customHeight="1">
      <c r="B88" s="14" t="n"/>
      <c r="C88" s="14">
        <f>IFERROR(VLOOKUP(B88,'2-Fiche Employe'!B5:D104,3,FALSE),"")</f>
        <v/>
      </c>
      <c r="D88" s="24" t="n"/>
      <c r="E88" s="24">
        <f>IF(B88="","",SUMIFS('8-Conges Annuels'!H5:H104,'8-Conges Annuels'!C5:C104,B88,'8-Conges Annuels'!J5:J104,"Approuve"))</f>
        <v/>
      </c>
      <c r="F88" s="24">
        <f>IF(B88="","",D88-E88-G88+H88)</f>
        <v/>
      </c>
      <c r="G88" s="24">
        <f>IF(B88="","",SUMIFS('8-Conges Annuels'!H5:H104,'8-Conges Annuels'!C5:C104,B88,'8-Conges Annuels'!J5:J104,"En cours"))</f>
        <v/>
      </c>
      <c r="H88" s="24" t="n"/>
      <c r="I88" s="26">
        <f>IF(B88="","",IFERROR(E88/D88,0))</f>
        <v/>
      </c>
    </row>
    <row r="89" ht="22" customHeight="1">
      <c r="B89" s="12" t="n"/>
      <c r="C89" s="12">
        <f>IFERROR(VLOOKUP(B89,'2-Fiche Employe'!B5:D104,3,FALSE),"")</f>
        <v/>
      </c>
      <c r="D89" s="23" t="n"/>
      <c r="E89" s="23">
        <f>IF(B89="","",SUMIFS('8-Conges Annuels'!H5:H104,'8-Conges Annuels'!C5:C104,B89,'8-Conges Annuels'!J5:J104,"Approuve"))</f>
        <v/>
      </c>
      <c r="F89" s="23">
        <f>IF(B89="","",D89-E89-G89+H89)</f>
        <v/>
      </c>
      <c r="G89" s="23">
        <f>IF(B89="","",SUMIFS('8-Conges Annuels'!H5:H104,'8-Conges Annuels'!C5:C104,B89,'8-Conges Annuels'!J5:J104,"En cours"))</f>
        <v/>
      </c>
      <c r="H89" s="23" t="n"/>
      <c r="I89" s="25">
        <f>IF(B89="","",IFERROR(E89/D89,0))</f>
        <v/>
      </c>
    </row>
    <row r="90" ht="22" customHeight="1">
      <c r="B90" s="14" t="n"/>
      <c r="C90" s="14">
        <f>IFERROR(VLOOKUP(B90,'2-Fiche Employe'!B5:D104,3,FALSE),"")</f>
        <v/>
      </c>
      <c r="D90" s="24" t="n"/>
      <c r="E90" s="24">
        <f>IF(B90="","",SUMIFS('8-Conges Annuels'!H5:H104,'8-Conges Annuels'!C5:C104,B90,'8-Conges Annuels'!J5:J104,"Approuve"))</f>
        <v/>
      </c>
      <c r="F90" s="24">
        <f>IF(B90="","",D90-E90-G90+H90)</f>
        <v/>
      </c>
      <c r="G90" s="24">
        <f>IF(B90="","",SUMIFS('8-Conges Annuels'!H5:H104,'8-Conges Annuels'!C5:C104,B90,'8-Conges Annuels'!J5:J104,"En cours"))</f>
        <v/>
      </c>
      <c r="H90" s="24" t="n"/>
      <c r="I90" s="26">
        <f>IF(B90="","",IFERROR(E90/D90,0))</f>
        <v/>
      </c>
    </row>
    <row r="91" ht="22" customHeight="1">
      <c r="B91" s="12" t="n"/>
      <c r="C91" s="12">
        <f>IFERROR(VLOOKUP(B91,'2-Fiche Employe'!B5:D104,3,FALSE),"")</f>
        <v/>
      </c>
      <c r="D91" s="23" t="n"/>
      <c r="E91" s="23">
        <f>IF(B91="","",SUMIFS('8-Conges Annuels'!H5:H104,'8-Conges Annuels'!C5:C104,B91,'8-Conges Annuels'!J5:J104,"Approuve"))</f>
        <v/>
      </c>
      <c r="F91" s="23">
        <f>IF(B91="","",D91-E91-G91+H91)</f>
        <v/>
      </c>
      <c r="G91" s="23">
        <f>IF(B91="","",SUMIFS('8-Conges Annuels'!H5:H104,'8-Conges Annuels'!C5:C104,B91,'8-Conges Annuels'!J5:J104,"En cours"))</f>
        <v/>
      </c>
      <c r="H91" s="23" t="n"/>
      <c r="I91" s="25">
        <f>IF(B91="","",IFERROR(E91/D91,0))</f>
        <v/>
      </c>
    </row>
    <row r="92" ht="22" customHeight="1">
      <c r="B92" s="14" t="n"/>
      <c r="C92" s="14">
        <f>IFERROR(VLOOKUP(B92,'2-Fiche Employe'!B5:D104,3,FALSE),"")</f>
        <v/>
      </c>
      <c r="D92" s="24" t="n"/>
      <c r="E92" s="24">
        <f>IF(B92="","",SUMIFS('8-Conges Annuels'!H5:H104,'8-Conges Annuels'!C5:C104,B92,'8-Conges Annuels'!J5:J104,"Approuve"))</f>
        <v/>
      </c>
      <c r="F92" s="24">
        <f>IF(B92="","",D92-E92-G92+H92)</f>
        <v/>
      </c>
      <c r="G92" s="24">
        <f>IF(B92="","",SUMIFS('8-Conges Annuels'!H5:H104,'8-Conges Annuels'!C5:C104,B92,'8-Conges Annuels'!J5:J104,"En cours"))</f>
        <v/>
      </c>
      <c r="H92" s="24" t="n"/>
      <c r="I92" s="26">
        <f>IF(B92="","",IFERROR(E92/D92,0))</f>
        <v/>
      </c>
    </row>
    <row r="93" ht="22" customHeight="1">
      <c r="B93" s="12" t="n"/>
      <c r="C93" s="12">
        <f>IFERROR(VLOOKUP(B93,'2-Fiche Employe'!B5:D104,3,FALSE),"")</f>
        <v/>
      </c>
      <c r="D93" s="23" t="n"/>
      <c r="E93" s="23">
        <f>IF(B93="","",SUMIFS('8-Conges Annuels'!H5:H104,'8-Conges Annuels'!C5:C104,B93,'8-Conges Annuels'!J5:J104,"Approuve"))</f>
        <v/>
      </c>
      <c r="F93" s="23">
        <f>IF(B93="","",D93-E93-G93+H93)</f>
        <v/>
      </c>
      <c r="G93" s="23">
        <f>IF(B93="","",SUMIFS('8-Conges Annuels'!H5:H104,'8-Conges Annuels'!C5:C104,B93,'8-Conges Annuels'!J5:J104,"En cours"))</f>
        <v/>
      </c>
      <c r="H93" s="23" t="n"/>
      <c r="I93" s="25">
        <f>IF(B93="","",IFERROR(E93/D93,0))</f>
        <v/>
      </c>
    </row>
    <row r="94" ht="22" customHeight="1">
      <c r="B94" s="14" t="n"/>
      <c r="C94" s="14">
        <f>IFERROR(VLOOKUP(B94,'2-Fiche Employe'!B5:D104,3,FALSE),"")</f>
        <v/>
      </c>
      <c r="D94" s="24" t="n"/>
      <c r="E94" s="24">
        <f>IF(B94="","",SUMIFS('8-Conges Annuels'!H5:H104,'8-Conges Annuels'!C5:C104,B94,'8-Conges Annuels'!J5:J104,"Approuve"))</f>
        <v/>
      </c>
      <c r="F94" s="24">
        <f>IF(B94="","",D94-E94-G94+H94)</f>
        <v/>
      </c>
      <c r="G94" s="24">
        <f>IF(B94="","",SUMIFS('8-Conges Annuels'!H5:H104,'8-Conges Annuels'!C5:C104,B94,'8-Conges Annuels'!J5:J104,"En cours"))</f>
        <v/>
      </c>
      <c r="H94" s="24" t="n"/>
      <c r="I94" s="26">
        <f>IF(B94="","",IFERROR(E94/D94,0))</f>
        <v/>
      </c>
    </row>
    <row r="95" ht="22" customHeight="1">
      <c r="B95" s="12" t="n"/>
      <c r="C95" s="12">
        <f>IFERROR(VLOOKUP(B95,'2-Fiche Employe'!B5:D104,3,FALSE),"")</f>
        <v/>
      </c>
      <c r="D95" s="23" t="n"/>
      <c r="E95" s="23">
        <f>IF(B95="","",SUMIFS('8-Conges Annuels'!H5:H104,'8-Conges Annuels'!C5:C104,B95,'8-Conges Annuels'!J5:J104,"Approuve"))</f>
        <v/>
      </c>
      <c r="F95" s="23">
        <f>IF(B95="","",D95-E95-G95+H95)</f>
        <v/>
      </c>
      <c r="G95" s="23">
        <f>IF(B95="","",SUMIFS('8-Conges Annuels'!H5:H104,'8-Conges Annuels'!C5:C104,B95,'8-Conges Annuels'!J5:J104,"En cours"))</f>
        <v/>
      </c>
      <c r="H95" s="23" t="n"/>
      <c r="I95" s="25">
        <f>IF(B95="","",IFERROR(E95/D95,0))</f>
        <v/>
      </c>
    </row>
    <row r="96" ht="22" customHeight="1">
      <c r="B96" s="14" t="n"/>
      <c r="C96" s="14">
        <f>IFERROR(VLOOKUP(B96,'2-Fiche Employe'!B5:D104,3,FALSE),"")</f>
        <v/>
      </c>
      <c r="D96" s="24" t="n"/>
      <c r="E96" s="24">
        <f>IF(B96="","",SUMIFS('8-Conges Annuels'!H5:H104,'8-Conges Annuels'!C5:C104,B96,'8-Conges Annuels'!J5:J104,"Approuve"))</f>
        <v/>
      </c>
      <c r="F96" s="24">
        <f>IF(B96="","",D96-E96-G96+H96)</f>
        <v/>
      </c>
      <c r="G96" s="24">
        <f>IF(B96="","",SUMIFS('8-Conges Annuels'!H5:H104,'8-Conges Annuels'!C5:C104,B96,'8-Conges Annuels'!J5:J104,"En cours"))</f>
        <v/>
      </c>
      <c r="H96" s="24" t="n"/>
      <c r="I96" s="26">
        <f>IF(B96="","",IFERROR(E96/D96,0))</f>
        <v/>
      </c>
    </row>
    <row r="97" ht="22" customHeight="1">
      <c r="B97" s="12" t="n"/>
      <c r="C97" s="12">
        <f>IFERROR(VLOOKUP(B97,'2-Fiche Employe'!B5:D104,3,FALSE),"")</f>
        <v/>
      </c>
      <c r="D97" s="23" t="n"/>
      <c r="E97" s="23">
        <f>IF(B97="","",SUMIFS('8-Conges Annuels'!H5:H104,'8-Conges Annuels'!C5:C104,B97,'8-Conges Annuels'!J5:J104,"Approuve"))</f>
        <v/>
      </c>
      <c r="F97" s="23">
        <f>IF(B97="","",D97-E97-G97+H97)</f>
        <v/>
      </c>
      <c r="G97" s="23">
        <f>IF(B97="","",SUMIFS('8-Conges Annuels'!H5:H104,'8-Conges Annuels'!C5:C104,B97,'8-Conges Annuels'!J5:J104,"En cours"))</f>
        <v/>
      </c>
      <c r="H97" s="23" t="n"/>
      <c r="I97" s="25">
        <f>IF(B97="","",IFERROR(E97/D97,0))</f>
        <v/>
      </c>
    </row>
    <row r="98" ht="22" customHeight="1">
      <c r="B98" s="14" t="n"/>
      <c r="C98" s="14">
        <f>IFERROR(VLOOKUP(B98,'2-Fiche Employe'!B5:D104,3,FALSE),"")</f>
        <v/>
      </c>
      <c r="D98" s="24" t="n"/>
      <c r="E98" s="24">
        <f>IF(B98="","",SUMIFS('8-Conges Annuels'!H5:H104,'8-Conges Annuels'!C5:C104,B98,'8-Conges Annuels'!J5:J104,"Approuve"))</f>
        <v/>
      </c>
      <c r="F98" s="24">
        <f>IF(B98="","",D98-E98-G98+H98)</f>
        <v/>
      </c>
      <c r="G98" s="24">
        <f>IF(B98="","",SUMIFS('8-Conges Annuels'!H5:H104,'8-Conges Annuels'!C5:C104,B98,'8-Conges Annuels'!J5:J104,"En cours"))</f>
        <v/>
      </c>
      <c r="H98" s="24" t="n"/>
      <c r="I98" s="26">
        <f>IF(B98="","",IFERROR(E98/D98,0))</f>
        <v/>
      </c>
    </row>
    <row r="99" ht="22" customHeight="1">
      <c r="B99" s="12" t="n"/>
      <c r="C99" s="12">
        <f>IFERROR(VLOOKUP(B99,'2-Fiche Employe'!B5:D104,3,FALSE),"")</f>
        <v/>
      </c>
      <c r="D99" s="23" t="n"/>
      <c r="E99" s="23">
        <f>IF(B99="","",SUMIFS('8-Conges Annuels'!H5:H104,'8-Conges Annuels'!C5:C104,B99,'8-Conges Annuels'!J5:J104,"Approuve"))</f>
        <v/>
      </c>
      <c r="F99" s="23">
        <f>IF(B99="","",D99-E99-G99+H99)</f>
        <v/>
      </c>
      <c r="G99" s="23">
        <f>IF(B99="","",SUMIFS('8-Conges Annuels'!H5:H104,'8-Conges Annuels'!C5:C104,B99,'8-Conges Annuels'!J5:J104,"En cours"))</f>
        <v/>
      </c>
      <c r="H99" s="23" t="n"/>
      <c r="I99" s="25">
        <f>IF(B99="","",IFERROR(E99/D99,0))</f>
        <v/>
      </c>
    </row>
    <row r="100" ht="22" customHeight="1">
      <c r="B100" s="14" t="n"/>
      <c r="C100" s="14">
        <f>IFERROR(VLOOKUP(B100,'2-Fiche Employe'!B5:D104,3,FALSE),"")</f>
        <v/>
      </c>
      <c r="D100" s="24" t="n"/>
      <c r="E100" s="24">
        <f>IF(B100="","",SUMIFS('8-Conges Annuels'!H5:H104,'8-Conges Annuels'!C5:C104,B100,'8-Conges Annuels'!J5:J104,"Approuve"))</f>
        <v/>
      </c>
      <c r="F100" s="24">
        <f>IF(B100="","",D100-E100-G100+H100)</f>
        <v/>
      </c>
      <c r="G100" s="24">
        <f>IF(B100="","",SUMIFS('8-Conges Annuels'!H5:H104,'8-Conges Annuels'!C5:C104,B100,'8-Conges Annuels'!J5:J104,"En cours"))</f>
        <v/>
      </c>
      <c r="H100" s="24" t="n"/>
      <c r="I100" s="26">
        <f>IF(B100="","",IFERROR(E100/D100,0))</f>
        <v/>
      </c>
    </row>
    <row r="101" ht="22" customHeight="1">
      <c r="B101" s="12" t="n"/>
      <c r="C101" s="12">
        <f>IFERROR(VLOOKUP(B101,'2-Fiche Employe'!B5:D104,3,FALSE),"")</f>
        <v/>
      </c>
      <c r="D101" s="23" t="n"/>
      <c r="E101" s="23">
        <f>IF(B101="","",SUMIFS('8-Conges Annuels'!H5:H104,'8-Conges Annuels'!C5:C104,B101,'8-Conges Annuels'!J5:J104,"Approuve"))</f>
        <v/>
      </c>
      <c r="F101" s="23">
        <f>IF(B101="","",D101-E101-G101+H101)</f>
        <v/>
      </c>
      <c r="G101" s="23">
        <f>IF(B101="","",SUMIFS('8-Conges Annuels'!H5:H104,'8-Conges Annuels'!C5:C104,B101,'8-Conges Annuels'!J5:J104,"En cours"))</f>
        <v/>
      </c>
      <c r="H101" s="23" t="n"/>
      <c r="I101" s="25">
        <f>IF(B101="","",IFERROR(E101/D101,0))</f>
        <v/>
      </c>
    </row>
    <row r="102" ht="22" customHeight="1">
      <c r="B102" s="14" t="n"/>
      <c r="C102" s="14">
        <f>IFERROR(VLOOKUP(B102,'2-Fiche Employe'!B5:D104,3,FALSE),"")</f>
        <v/>
      </c>
      <c r="D102" s="24" t="n"/>
      <c r="E102" s="24">
        <f>IF(B102="","",SUMIFS('8-Conges Annuels'!H5:H104,'8-Conges Annuels'!C5:C104,B102,'8-Conges Annuels'!J5:J104,"Approuve"))</f>
        <v/>
      </c>
      <c r="F102" s="24">
        <f>IF(B102="","",D102-E102-G102+H102)</f>
        <v/>
      </c>
      <c r="G102" s="24">
        <f>IF(B102="","",SUMIFS('8-Conges Annuels'!H5:H104,'8-Conges Annuels'!C5:C104,B102,'8-Conges Annuels'!J5:J104,"En cours"))</f>
        <v/>
      </c>
      <c r="H102" s="24" t="n"/>
      <c r="I102" s="26">
        <f>IF(B102="","",IFERROR(E102/D102,0))</f>
        <v/>
      </c>
    </row>
    <row r="103" ht="22" customHeight="1">
      <c r="B103" s="12" t="n"/>
      <c r="C103" s="12">
        <f>IFERROR(VLOOKUP(B103,'2-Fiche Employe'!B5:D104,3,FALSE),"")</f>
        <v/>
      </c>
      <c r="D103" s="23" t="n"/>
      <c r="E103" s="23">
        <f>IF(B103="","",SUMIFS('8-Conges Annuels'!H5:H104,'8-Conges Annuels'!C5:C104,B103,'8-Conges Annuels'!J5:J104,"Approuve"))</f>
        <v/>
      </c>
      <c r="F103" s="23">
        <f>IF(B103="","",D103-E103-G103+H103)</f>
        <v/>
      </c>
      <c r="G103" s="23">
        <f>IF(B103="","",SUMIFS('8-Conges Annuels'!H5:H104,'8-Conges Annuels'!C5:C104,B103,'8-Conges Annuels'!J5:J104,"En cours"))</f>
        <v/>
      </c>
      <c r="H103" s="23" t="n"/>
      <c r="I103" s="25">
        <f>IF(B103="","",IFERROR(E103/D103,0))</f>
        <v/>
      </c>
    </row>
    <row r="104" ht="22" customHeight="1">
      <c r="B104" s="14" t="n"/>
      <c r="C104" s="14">
        <f>IFERROR(VLOOKUP(B104,'2-Fiche Employe'!B5:D104,3,FALSE),"")</f>
        <v/>
      </c>
      <c r="D104" s="24" t="n"/>
      <c r="E104" s="24">
        <f>IF(B104="","",SUMIFS('8-Conges Annuels'!H5:H104,'8-Conges Annuels'!C5:C104,B104,'8-Conges Annuels'!J5:J104,"Approuve"))</f>
        <v/>
      </c>
      <c r="F104" s="24">
        <f>IF(B104="","",D104-E104-G104+H104)</f>
        <v/>
      </c>
      <c r="G104" s="24">
        <f>IF(B104="","",SUMIFS('8-Conges Annuels'!H5:H104,'8-Conges Annuels'!C5:C104,B104,'8-Conges Annuels'!J5:J104,"En cours"))</f>
        <v/>
      </c>
      <c r="H104" s="24" t="n"/>
      <c r="I104" s="26">
        <f>IF(B104="","",IFERROR(E104/D104,0))</f>
        <v/>
      </c>
    </row>
    <row r="105" ht="22" customHeight="1">
      <c r="B105" s="12" t="n"/>
      <c r="C105" s="12">
        <f>IFERROR(VLOOKUP(B105,'2-Fiche Employe'!B5:D104,3,FALSE),"")</f>
        <v/>
      </c>
      <c r="D105" s="23" t="n"/>
      <c r="E105" s="23">
        <f>IF(B105="","",SUMIFS('8-Conges Annuels'!H5:H104,'8-Conges Annuels'!C5:C104,B105,'8-Conges Annuels'!J5:J104,"Approuve"))</f>
        <v/>
      </c>
      <c r="F105" s="23">
        <f>IF(B105="","",D105-E105-G105+H105)</f>
        <v/>
      </c>
      <c r="G105" s="23">
        <f>IF(B105="","",SUMIFS('8-Conges Annuels'!H5:H104,'8-Conges Annuels'!C5:C104,B105,'8-Conges Annuels'!J5:J104,"En cours"))</f>
        <v/>
      </c>
      <c r="H105" s="23" t="n"/>
      <c r="I105" s="25">
        <f>IF(B105="","",IFERROR(E105/D105,0))</f>
        <v/>
      </c>
    </row>
    <row r="106" ht="22" customHeight="1">
      <c r="B106" s="14" t="n"/>
      <c r="C106" s="14">
        <f>IFERROR(VLOOKUP(B106,'2-Fiche Employe'!B5:D104,3,FALSE),"")</f>
        <v/>
      </c>
      <c r="D106" s="24" t="n"/>
      <c r="E106" s="24">
        <f>IF(B106="","",SUMIFS('8-Conges Annuels'!H5:H104,'8-Conges Annuels'!C5:C104,B106,'8-Conges Annuels'!J5:J104,"Approuve"))</f>
        <v/>
      </c>
      <c r="F106" s="24">
        <f>IF(B106="","",D106-E106-G106+H106)</f>
        <v/>
      </c>
      <c r="G106" s="24">
        <f>IF(B106="","",SUMIFS('8-Conges Annuels'!H5:H104,'8-Conges Annuels'!C5:C104,B106,'8-Conges Annuels'!J5:J104,"En cours"))</f>
        <v/>
      </c>
      <c r="H106" s="24" t="n"/>
      <c r="I106" s="26">
        <f>IF(B106="","",IFERROR(E106/D106,0))</f>
        <v/>
      </c>
    </row>
    <row r="107" ht="22" customHeight="1">
      <c r="B107" s="12" t="n"/>
      <c r="C107" s="12">
        <f>IFERROR(VLOOKUP(B107,'2-Fiche Employe'!B5:D104,3,FALSE),"")</f>
        <v/>
      </c>
      <c r="D107" s="23" t="n"/>
      <c r="E107" s="23">
        <f>IF(B107="","",SUMIFS('8-Conges Annuels'!H5:H104,'8-Conges Annuels'!C5:C104,B107,'8-Conges Annuels'!J5:J104,"Approuve"))</f>
        <v/>
      </c>
      <c r="F107" s="23">
        <f>IF(B107="","",D107-E107-G107+H107)</f>
        <v/>
      </c>
      <c r="G107" s="23">
        <f>IF(B107="","",SUMIFS('8-Conges Annuels'!H5:H104,'8-Conges Annuels'!C5:C104,B107,'8-Conges Annuels'!J5:J104,"En cours"))</f>
        <v/>
      </c>
      <c r="H107" s="23" t="n"/>
      <c r="I107" s="25">
        <f>IF(B107="","",IFERROR(E107/D107,0))</f>
        <v/>
      </c>
    </row>
    <row r="108" ht="22" customHeight="1">
      <c r="B108" s="14" t="n"/>
      <c r="C108" s="14">
        <f>IFERROR(VLOOKUP(B108,'2-Fiche Employe'!B5:D104,3,FALSE),"")</f>
        <v/>
      </c>
      <c r="D108" s="24" t="n"/>
      <c r="E108" s="24">
        <f>IF(B108="","",SUMIFS('8-Conges Annuels'!H5:H104,'8-Conges Annuels'!C5:C104,B108,'8-Conges Annuels'!J5:J104,"Approuve"))</f>
        <v/>
      </c>
      <c r="F108" s="24">
        <f>IF(B108="","",D108-E108-G108+H108)</f>
        <v/>
      </c>
      <c r="G108" s="24">
        <f>IF(B108="","",SUMIFS('8-Conges Annuels'!H5:H104,'8-Conges Annuels'!C5:C104,B108,'8-Conges Annuels'!J5:J104,"En cours"))</f>
        <v/>
      </c>
      <c r="H108" s="24" t="n"/>
      <c r="I108" s="26">
        <f>IF(B108="","",IFERROR(E108/D108,0))</f>
        <v/>
      </c>
    </row>
    <row r="109" ht="22" customHeight="1">
      <c r="B109" s="12" t="n"/>
      <c r="C109" s="12">
        <f>IFERROR(VLOOKUP(B109,'2-Fiche Employe'!B5:D104,3,FALSE),"")</f>
        <v/>
      </c>
      <c r="D109" s="23" t="n"/>
      <c r="E109" s="23">
        <f>IF(B109="","",SUMIFS('8-Conges Annuels'!H5:H104,'8-Conges Annuels'!C5:C104,B109,'8-Conges Annuels'!J5:J104,"Approuve"))</f>
        <v/>
      </c>
      <c r="F109" s="23">
        <f>IF(B109="","",D109-E109-G109+H109)</f>
        <v/>
      </c>
      <c r="G109" s="23">
        <f>IF(B109="","",SUMIFS('8-Conges Annuels'!H5:H104,'8-Conges Annuels'!C5:C104,B109,'8-Conges Annuels'!J5:J104,"En cours"))</f>
        <v/>
      </c>
      <c r="H109" s="23" t="n"/>
      <c r="I109" s="25">
        <f>IF(B109="","",IFERROR(E109/D109,0))</f>
        <v/>
      </c>
    </row>
    <row r="110">
      <c r="C110">
        <f>IFERROR(VLOOKUP(B110,'2-Fiche Employe'!B5:D104,3,FALSE),"")</f>
        <v/>
      </c>
      <c r="E110">
        <f>IF(B110="","",SUMIFS('8-Conges Annuels'!H5:H104,'8-Conges Annuels'!C5:C104,B110,'8-Conges Annuels'!J5:J104,"Approuve"))</f>
        <v/>
      </c>
      <c r="G110">
        <f>IF(B110="","",SUMIFS('8-Conges Annuels'!H5:H104,'8-Conges Annuels'!C5:C104,B110,'8-Conges Annuels'!J5:J104,"En cours"))</f>
        <v/>
      </c>
    </row>
    <row r="111">
      <c r="B111" s="6">
        <f>IFERROR(VLOOKUP(B111,'2-Fiche Employe'!B5:D104,3,FALSE),"")</f>
        <v/>
      </c>
    </row>
    <row r="112">
      <c r="B112" s="3" t="inlineStr">
        <is>
          <t>Droits totaux (jrs)</t>
        </is>
      </c>
      <c r="C112">
        <f>IFERROR(VLOOKUP(B112,'2-Fiche Employe'!B5:D104,3,FALSE),"")</f>
        <v/>
      </c>
      <c r="D112" s="3" t="inlineStr">
        <is>
          <t>Total pris (jrs)</t>
        </is>
      </c>
      <c r="E112">
        <f>IF(B112="","",SUMIFS('8-Conges Annuels'!H5:H104,'8-Conges Annuels'!C5:C104,B112,'8-Conges Annuels'!J5:J104,"Approuve"))</f>
        <v/>
      </c>
      <c r="F112" s="3" t="inlineStr">
        <is>
          <t>Solde moyen</t>
        </is>
      </c>
      <c r="G112">
        <f>IF(B112="","",SUMIFS('8-Conges Annuels'!H5:H104,'8-Conges Annuels'!C5:C104,B112,'8-Conges Annuels'!J5:J104,"En cours"))</f>
        <v/>
      </c>
    </row>
    <row r="113">
      <c r="B113" s="4">
        <f>SUM(D5:D104)</f>
        <v/>
      </c>
      <c r="C113">
        <f>IFERROR(VLOOKUP(B113,'2-Fiche Employe'!B5:D104,3,FALSE),"")</f>
        <v/>
      </c>
      <c r="D113" s="4">
        <f>SUM(E5:E104)</f>
        <v/>
      </c>
      <c r="E113">
        <f>IF(B113="","",SUMIFS('8-Conges Annuels'!H5:H104,'8-Conges Annuels'!C5:C104,B113,'8-Conges Annuels'!J5:J104,"Approuve"))</f>
        <v/>
      </c>
      <c r="F113" s="4">
        <f>IFERROR(AVERAGE(F5:F104),0)</f>
        <v/>
      </c>
      <c r="G113">
        <f>IF(B113="","",SUMIFS('8-Conges Annuels'!H5:H104,'8-Conges Annuels'!C5:C104,B113,'8-Conges Annuels'!J5:J104,"En cours"))</f>
        <v/>
      </c>
    </row>
  </sheetData>
  <mergeCells count="3">
    <mergeCell ref="B3:I3"/>
    <mergeCell ref="B2:I2"/>
    <mergeCell ref="B111:I111"/>
  </mergeCells>
  <conditionalFormatting sqref="B10:B109">
    <cfRule type="expression" priority="1" dxfId="3">
      <formula>AND($B10="",$B9&lt;&gt;"")</formula>
    </cfRule>
  </conditionalFormatting>
  <conditionalFormatting sqref="C10:C109">
    <cfRule type="expression" priority="2" dxfId="3">
      <formula>AND($B10="",$B9&lt;&gt;"")</formula>
    </cfRule>
  </conditionalFormatting>
  <conditionalFormatting sqref="D10:D109">
    <cfRule type="expression" priority="3" dxfId="3">
      <formula>AND($B10="",$B9&lt;&gt;"")</formula>
    </cfRule>
  </conditionalFormatting>
  <conditionalFormatting sqref="E10:E109">
    <cfRule type="expression" priority="4" dxfId="3">
      <formula>AND($B10="",$B9&lt;&gt;"")</formula>
    </cfRule>
  </conditionalFormatting>
  <conditionalFormatting sqref="F10:F109">
    <cfRule type="expression" priority="5" dxfId="3">
      <formula>AND($B10="",$B9&lt;&gt;"")</formula>
    </cfRule>
  </conditionalFormatting>
  <conditionalFormatting sqref="G10:G109">
    <cfRule type="expression" priority="6" dxfId="3">
      <formula>AND($B10="",$B9&lt;&gt;"")</formula>
    </cfRule>
  </conditionalFormatting>
  <conditionalFormatting sqref="H10:H109">
    <cfRule type="expression" priority="7" dxfId="3">
      <formula>AND($B10="",$B9&lt;&gt;"")</formula>
    </cfRule>
  </conditionalFormatting>
  <conditionalFormatting sqref="I10:I109">
    <cfRule type="expression" priority="8" dxfId="3">
      <formula>AND($B10="",$B9&lt;&gt;"")</formula>
    </cfRule>
  </conditionalFormatting>
  <conditionalFormatting sqref="I5:I104">
    <cfRule type="dataBar" priority="9">
      <dataBar>
        <cfvo type="num" val="0"/>
        <cfvo type="num" val="1"/>
        <color rgb="004472C4"/>
      </dataBar>
    </cfRule>
  </conditionalFormatting>
  <conditionalFormatting sqref="D5:D104">
    <cfRule type="dataBar" priority="10">
      <dataBar>
        <cfvo type="min"/>
        <cfvo type="max"/>
        <color rgb="004472C4"/>
      </dataBar>
    </cfRule>
  </conditionalFormatting>
  <conditionalFormatting sqref="J5:J104">
    <cfRule type="cellIs" priority="11" operator="equal" dxfId="5">
      <formula>"A jour"</formula>
    </cfRule>
    <cfRule type="cellIs" priority="12" operator="equal" dxfId="6">
      <formula>"A mettre a jour"</formula>
    </cfRule>
    <cfRule type="cellIs" priority="13" operator="equal" dxfId="6">
      <formula>"En attente validation"</formula>
    </cfRule>
    <cfRule type="cellIs" priority="14" operator="equal" dxfId="7">
      <formula>"Solde negatif"</formula>
    </cfRule>
  </conditionalFormatting>
  <dataValidations count="1">
    <dataValidation sqref="J5:J104" showDropDown="0" showInputMessage="0" showErrorMessage="0" allowBlank="1" promptTitle="Statut Solde" prompt="Choisir le statut du solde" type="list">
      <formula1>'_Lists'!$AR$2:$AR$7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20" customWidth="1" min="4" max="4"/>
    <col width="27" customWidth="1" min="5" max="5"/>
    <col width="28" customWidth="1" min="6" max="6"/>
    <col width="12" customWidth="1" min="7" max="7"/>
    <col width="28" customWidth="1" min="8" max="8"/>
    <col width="10" customWidth="1" min="9" max="9"/>
    <col width="11" customWidth="1" min="10" max="10"/>
    <col width="22" customWidth="1" min="11" max="11"/>
    <col width="26" customWidth="1" min="12" max="12"/>
  </cols>
  <sheetData>
    <row r="1" ht="15" customHeight="1"/>
    <row r="2" ht="32" customHeight="1">
      <c r="B2" s="1" t="inlineStr">
        <is>
          <t>ABSENCES &amp; MALADIE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Matricule</t>
        </is>
      </c>
      <c r="D4" s="11" t="inlineStr">
        <is>
          <t>Nom Employé</t>
        </is>
      </c>
      <c r="E4" s="11" t="inlineStr">
        <is>
          <t>Type Absence</t>
        </is>
      </c>
      <c r="F4" s="11" t="inlineStr">
        <is>
          <t>Date Début</t>
        </is>
      </c>
      <c r="G4" s="11" t="inlineStr">
        <is>
          <t>Date Fin</t>
        </is>
      </c>
      <c r="H4" s="11" t="inlineStr">
        <is>
          <t>Durée (jours)</t>
        </is>
      </c>
      <c r="I4" s="11" t="inlineStr">
        <is>
          <t>Justificatif</t>
        </is>
      </c>
      <c r="J4" s="11" t="inlineStr">
        <is>
          <t>Statut</t>
        </is>
      </c>
      <c r="K4" s="11" t="inlineStr">
        <is>
          <t>Motif</t>
        </is>
      </c>
      <c r="L4" s="11" t="inlineStr">
        <is>
          <t>Observations</t>
        </is>
      </c>
    </row>
    <row r="5" ht="22" customHeight="1">
      <c r="B5" s="12" t="inlineStr">
        <is>
          <t>ABS-001</t>
        </is>
      </c>
      <c r="C5" s="12" t="inlineStr">
        <is>
          <t>EMP-003</t>
        </is>
      </c>
      <c r="D5" s="12" t="inlineStr">
        <is>
          <t>Fotso Marguerite</t>
        </is>
      </c>
      <c r="E5" s="12" t="inlineStr">
        <is>
          <t>Maladie</t>
        </is>
      </c>
      <c r="F5" s="27" t="n">
        <v>45698</v>
      </c>
      <c r="G5" s="27" t="n">
        <v>45702</v>
      </c>
      <c r="H5" s="23" t="n">
        <v>5</v>
      </c>
      <c r="I5" s="12" t="inlineStr">
        <is>
          <t>Oui</t>
        </is>
      </c>
      <c r="J5" s="12" t="inlineStr">
        <is>
          <t>Justifiee</t>
        </is>
      </c>
      <c r="K5" s="12" t="inlineStr">
        <is>
          <t>Grippe</t>
        </is>
      </c>
      <c r="L5" s="12" t="inlineStr">
        <is>
          <t>Certificat medical remis</t>
        </is>
      </c>
    </row>
    <row r="6" ht="22" customHeight="1">
      <c r="B6" s="14" t="inlineStr">
        <is>
          <t>ABS-002</t>
        </is>
      </c>
      <c r="C6" s="14" t="inlineStr">
        <is>
          <t>EMP-005</t>
        </is>
      </c>
      <c r="D6" s="14" t="inlineStr">
        <is>
          <t>Kamga Paul</t>
        </is>
      </c>
      <c r="E6" s="14" t="inlineStr">
        <is>
          <t>Accident travail</t>
        </is>
      </c>
      <c r="F6" s="28" t="n">
        <v>45736</v>
      </c>
      <c r="G6" s="28" t="n">
        <v>45741</v>
      </c>
      <c r="H6" s="24" t="n">
        <v>6</v>
      </c>
      <c r="I6" s="14" t="inlineStr">
        <is>
          <t>Oui</t>
        </is>
      </c>
      <c r="J6" s="14" t="inlineStr">
        <is>
          <t>Approuvee</t>
        </is>
      </c>
      <c r="K6" s="14" t="inlineStr">
        <is>
          <t>Blessure atelier</t>
        </is>
      </c>
      <c r="L6" s="14" t="inlineStr">
        <is>
          <t>Dossier CNPS ouvert</t>
        </is>
      </c>
    </row>
    <row r="7" ht="22" customHeight="1">
      <c r="B7" s="12" t="inlineStr">
        <is>
          <t>ABS-003</t>
        </is>
      </c>
      <c r="C7" s="12" t="inlineStr">
        <is>
          <t>EMP-004</t>
        </is>
      </c>
      <c r="D7" s="12" t="inlineStr">
        <is>
          <t>Nkoulou Mbarga</t>
        </is>
      </c>
      <c r="E7" s="12" t="inlineStr">
        <is>
          <t>Permission exceptionnelle</t>
        </is>
      </c>
      <c r="F7" s="27" t="n">
        <v>45749</v>
      </c>
      <c r="G7" s="27" t="n">
        <v>45749</v>
      </c>
      <c r="H7" s="23" t="n">
        <v>1</v>
      </c>
      <c r="I7" s="12" t="inlineStr">
        <is>
          <t>Non</t>
        </is>
      </c>
      <c r="J7" s="12" t="inlineStr">
        <is>
          <t>Approuvee</t>
        </is>
      </c>
      <c r="K7" s="12" t="inlineStr">
        <is>
          <t>Demarches admin</t>
        </is>
      </c>
      <c r="L7" s="12" t="inlineStr"/>
    </row>
    <row r="8" ht="22" customHeight="1">
      <c r="B8" s="16">
        <f>IF(C8="","ABS-"&amp;TEXT(COUNTA($C$5:C8),"000"))</f>
        <v/>
      </c>
      <c r="C8" s="14" t="n"/>
      <c r="D8" s="14" t="n"/>
      <c r="E8" s="14" t="n"/>
      <c r="F8" s="28" t="n"/>
      <c r="G8" s="28" t="n"/>
      <c r="H8" s="24">
        <f>IF(OR(G8="",F8=""),"",G8-F8+1)</f>
        <v/>
      </c>
      <c r="I8" s="14" t="n"/>
      <c r="J8" s="14" t="n"/>
      <c r="K8" s="14" t="n"/>
      <c r="L8" s="14" t="n"/>
    </row>
    <row r="9" ht="22" customHeight="1">
      <c r="B9" s="17">
        <f>IF(C9="","ABS-"&amp;TEXT(COUNTA($C$5:C9),"000"))</f>
        <v/>
      </c>
      <c r="C9" s="12" t="n"/>
      <c r="D9" s="12" t="n"/>
      <c r="E9" s="12" t="n"/>
      <c r="F9" s="27" t="n"/>
      <c r="G9" s="27" t="n"/>
      <c r="H9" s="23">
        <f>IF(OR(G9="",F9=""),"",G9-F9+1)</f>
        <v/>
      </c>
      <c r="I9" s="12" t="n"/>
      <c r="J9" s="12" t="n"/>
      <c r="K9" s="12" t="n"/>
      <c r="L9" s="12" t="n"/>
    </row>
    <row r="10" ht="22" customHeight="1">
      <c r="B10" s="16">
        <f>IF(C10="","ABS-"&amp;TEXT(COUNTA($C$5:C10),"000"))</f>
        <v/>
      </c>
      <c r="C10" s="14" t="n"/>
      <c r="D10" s="14" t="n"/>
      <c r="E10" s="14" t="n"/>
      <c r="F10" s="28" t="n"/>
      <c r="G10" s="28" t="n"/>
      <c r="H10" s="24">
        <f>IF(OR(G10="",F10=""),"",G10-F10+1)</f>
        <v/>
      </c>
      <c r="I10" s="14" t="n"/>
      <c r="J10" s="14" t="n"/>
      <c r="K10" s="14" t="n"/>
      <c r="L10" s="14" t="n"/>
    </row>
    <row r="11" ht="22" customHeight="1">
      <c r="B11" s="17">
        <f>IF(C11="","ABS-"&amp;TEXT(COUNTA($C$5:C11),"000"))</f>
        <v/>
      </c>
      <c r="C11" s="12" t="n"/>
      <c r="D11" s="12" t="n"/>
      <c r="E11" s="12" t="n"/>
      <c r="F11" s="27" t="n"/>
      <c r="G11" s="27" t="n"/>
      <c r="H11" s="23">
        <f>IF(OR(G11="",F11=""),"",G11-F11+1)</f>
        <v/>
      </c>
      <c r="I11" s="12" t="n"/>
      <c r="J11" s="12" t="n"/>
      <c r="K11" s="12" t="n"/>
      <c r="L11" s="12" t="n"/>
    </row>
    <row r="12" ht="22" customHeight="1">
      <c r="B12" s="16">
        <f>IF(C12="","ABS-"&amp;TEXT(COUNTA($C$5:C12),"000"))</f>
        <v/>
      </c>
      <c r="C12" s="14" t="n"/>
      <c r="D12" s="14" t="n"/>
      <c r="E12" s="14" t="n"/>
      <c r="F12" s="28" t="n"/>
      <c r="G12" s="28" t="n"/>
      <c r="H12" s="24">
        <f>IF(OR(G12="",F12=""),"",G12-F12+1)</f>
        <v/>
      </c>
      <c r="I12" s="14" t="n"/>
      <c r="J12" s="14" t="n"/>
      <c r="K12" s="14" t="n"/>
      <c r="L12" s="14" t="n"/>
    </row>
    <row r="13" ht="22" customHeight="1">
      <c r="B13" s="17">
        <f>IF(C13="","ABS-"&amp;TEXT(COUNTA($C$5:C13),"000"))</f>
        <v/>
      </c>
      <c r="C13" s="12" t="n"/>
      <c r="D13" s="12" t="n"/>
      <c r="E13" s="12" t="n"/>
      <c r="F13" s="27" t="n"/>
      <c r="G13" s="27" t="n"/>
      <c r="H13" s="23">
        <f>IF(OR(G13="",F13=""),"",G13-F13+1)</f>
        <v/>
      </c>
      <c r="I13" s="12" t="n"/>
      <c r="J13" s="12" t="n"/>
      <c r="K13" s="12" t="n"/>
      <c r="L13" s="12" t="n"/>
    </row>
    <row r="14" ht="22" customHeight="1">
      <c r="B14" s="16">
        <f>IF(C14="","ABS-"&amp;TEXT(COUNTA($C$5:C14),"000"))</f>
        <v/>
      </c>
      <c r="C14" s="14" t="n"/>
      <c r="D14" s="14" t="n"/>
      <c r="E14" s="14" t="n"/>
      <c r="F14" s="28" t="n"/>
      <c r="G14" s="28" t="n"/>
      <c r="H14" s="24">
        <f>IF(OR(G14="",F14=""),"",G14-F14+1)</f>
        <v/>
      </c>
      <c r="I14" s="14" t="n"/>
      <c r="J14" s="14" t="n"/>
      <c r="K14" s="14" t="n"/>
      <c r="L14" s="14" t="n"/>
    </row>
    <row r="15" ht="22" customHeight="1">
      <c r="B15" s="17">
        <f>IF(C15="","ABS-"&amp;TEXT(COUNTA($C$5:C15),"000"))</f>
        <v/>
      </c>
      <c r="C15" s="12" t="n"/>
      <c r="D15" s="12" t="n"/>
      <c r="E15" s="12" t="n"/>
      <c r="F15" s="27" t="n"/>
      <c r="G15" s="27" t="n"/>
      <c r="H15" s="23">
        <f>IF(OR(G15="",F15=""),"",G15-F15+1)</f>
        <v/>
      </c>
      <c r="I15" s="12" t="n"/>
      <c r="J15" s="12" t="n"/>
      <c r="K15" s="12" t="n"/>
      <c r="L15" s="12" t="n"/>
    </row>
    <row r="16" ht="22" customHeight="1">
      <c r="B16" s="16">
        <f>IF(C16="","ABS-"&amp;TEXT(COUNTA($C$5:C16),"000"))</f>
        <v/>
      </c>
      <c r="C16" s="14" t="n"/>
      <c r="D16" s="14" t="n"/>
      <c r="E16" s="14" t="n"/>
      <c r="F16" s="28" t="n"/>
      <c r="G16" s="28" t="n"/>
      <c r="H16" s="24">
        <f>IF(OR(G16="",F16=""),"",G16-F16+1)</f>
        <v/>
      </c>
      <c r="I16" s="14" t="n"/>
      <c r="J16" s="14" t="n"/>
      <c r="K16" s="14" t="n"/>
      <c r="L16" s="14" t="n"/>
    </row>
    <row r="17" ht="22" customHeight="1">
      <c r="B17" s="17">
        <f>IF(C17="","ABS-"&amp;TEXT(COUNTA($C$5:C17),"000"))</f>
        <v/>
      </c>
      <c r="C17" s="12" t="n"/>
      <c r="D17" s="12" t="n"/>
      <c r="E17" s="12" t="n"/>
      <c r="F17" s="27" t="n"/>
      <c r="G17" s="27" t="n"/>
      <c r="H17" s="23">
        <f>IF(OR(G17="",F17=""),"",G17-F17+1)</f>
        <v/>
      </c>
      <c r="I17" s="12" t="n"/>
      <c r="J17" s="12" t="n"/>
      <c r="K17" s="12" t="n"/>
      <c r="L17" s="12" t="n"/>
    </row>
    <row r="18" ht="22" customHeight="1">
      <c r="B18" s="16">
        <f>IF(C18="","ABS-"&amp;TEXT(COUNTA($C$5:C18),"000"))</f>
        <v/>
      </c>
      <c r="C18" s="14" t="n"/>
      <c r="D18" s="14" t="n"/>
      <c r="E18" s="14" t="n"/>
      <c r="F18" s="28" t="n"/>
      <c r="G18" s="28" t="n"/>
      <c r="H18" s="24">
        <f>IF(OR(G18="",F18=""),"",G18-F18+1)</f>
        <v/>
      </c>
      <c r="I18" s="14" t="n"/>
      <c r="J18" s="14" t="n"/>
      <c r="K18" s="14" t="n"/>
      <c r="L18" s="14" t="n"/>
    </row>
    <row r="19" ht="22" customHeight="1">
      <c r="B19" s="17">
        <f>IF(C19="","ABS-"&amp;TEXT(COUNTA($C$5:C19),"000"))</f>
        <v/>
      </c>
      <c r="C19" s="12" t="n"/>
      <c r="D19" s="12" t="n"/>
      <c r="E19" s="12" t="n"/>
      <c r="F19" s="27" t="n"/>
      <c r="G19" s="27" t="n"/>
      <c r="H19" s="23">
        <f>IF(OR(G19="",F19=""),"",G19-F19+1)</f>
        <v/>
      </c>
      <c r="I19" s="12" t="n"/>
      <c r="J19" s="12" t="n"/>
      <c r="K19" s="12" t="n"/>
      <c r="L19" s="12" t="n"/>
    </row>
    <row r="20" ht="22" customHeight="1">
      <c r="B20" s="16">
        <f>IF(C20="","ABS-"&amp;TEXT(COUNTA($C$5:C20),"000"))</f>
        <v/>
      </c>
      <c r="C20" s="14" t="n"/>
      <c r="D20" s="14" t="n"/>
      <c r="E20" s="14" t="n"/>
      <c r="F20" s="28" t="n"/>
      <c r="G20" s="28" t="n"/>
      <c r="H20" s="24">
        <f>IF(OR(G20="",F20=""),"",G20-F20+1)</f>
        <v/>
      </c>
      <c r="I20" s="14" t="n"/>
      <c r="J20" s="14" t="n"/>
      <c r="K20" s="14" t="n"/>
      <c r="L20" s="14" t="n"/>
    </row>
    <row r="21" ht="22" customHeight="1">
      <c r="B21" s="17">
        <f>IF(C21="","ABS-"&amp;TEXT(COUNTA($C$5:C21),"000"))</f>
        <v/>
      </c>
      <c r="C21" s="12" t="n"/>
      <c r="D21" s="12" t="n"/>
      <c r="E21" s="12" t="n"/>
      <c r="F21" s="27" t="n"/>
      <c r="G21" s="27" t="n"/>
      <c r="H21" s="23">
        <f>IF(OR(G21="",F21=""),"",G21-F21+1)</f>
        <v/>
      </c>
      <c r="I21" s="12" t="n"/>
      <c r="J21" s="12" t="n"/>
      <c r="K21" s="12" t="n"/>
      <c r="L21" s="12" t="n"/>
    </row>
    <row r="22" ht="22" customHeight="1">
      <c r="B22" s="16">
        <f>IF(C22="","ABS-"&amp;TEXT(COUNTA($C$5:C22),"000"))</f>
        <v/>
      </c>
      <c r="C22" s="14" t="n"/>
      <c r="D22" s="14" t="n"/>
      <c r="E22" s="14" t="n"/>
      <c r="F22" s="28" t="n"/>
      <c r="G22" s="28" t="n"/>
      <c r="H22" s="24">
        <f>IF(OR(G22="",F22=""),"",G22-F22+1)</f>
        <v/>
      </c>
      <c r="I22" s="14" t="n"/>
      <c r="J22" s="14" t="n"/>
      <c r="K22" s="14" t="n"/>
      <c r="L22" s="14" t="n"/>
    </row>
    <row r="23" ht="22" customHeight="1">
      <c r="B23" s="17">
        <f>IF(C23="","ABS-"&amp;TEXT(COUNTA($C$5:C23),"000"))</f>
        <v/>
      </c>
      <c r="C23" s="12" t="n"/>
      <c r="D23" s="12" t="n"/>
      <c r="E23" s="12" t="n"/>
      <c r="F23" s="27" t="n"/>
      <c r="G23" s="27" t="n"/>
      <c r="H23" s="23">
        <f>IF(OR(G23="",F23=""),"",G23-F23+1)</f>
        <v/>
      </c>
      <c r="I23" s="12" t="n"/>
      <c r="J23" s="12" t="n"/>
      <c r="K23" s="12" t="n"/>
      <c r="L23" s="12" t="n"/>
    </row>
    <row r="24" ht="22" customHeight="1">
      <c r="B24" s="16">
        <f>IF(C24="","ABS-"&amp;TEXT(COUNTA($C$5:C24),"000"))</f>
        <v/>
      </c>
      <c r="C24" s="14" t="n"/>
      <c r="D24" s="14" t="n"/>
      <c r="E24" s="14" t="n"/>
      <c r="F24" s="28" t="n"/>
      <c r="G24" s="28" t="n"/>
      <c r="H24" s="24">
        <f>IF(OR(G24="",F24=""),"",G24-F24+1)</f>
        <v/>
      </c>
      <c r="I24" s="14" t="n"/>
      <c r="J24" s="14" t="n"/>
      <c r="K24" s="14" t="n"/>
      <c r="L24" s="14" t="n"/>
    </row>
    <row r="25" ht="22" customHeight="1">
      <c r="B25" s="17">
        <f>IF(C25="","ABS-"&amp;TEXT(COUNTA($C$5:C25),"000"))</f>
        <v/>
      </c>
      <c r="C25" s="12" t="n"/>
      <c r="D25" s="12" t="n"/>
      <c r="E25" s="12" t="n"/>
      <c r="F25" s="27" t="n"/>
      <c r="G25" s="27" t="n"/>
      <c r="H25" s="23">
        <f>IF(OR(G25="",F25=""),"",G25-F25+1)</f>
        <v/>
      </c>
      <c r="I25" s="12" t="n"/>
      <c r="J25" s="12" t="n"/>
      <c r="K25" s="12" t="n"/>
      <c r="L25" s="12" t="n"/>
    </row>
    <row r="26" ht="22" customHeight="1">
      <c r="B26" s="16">
        <f>IF(C26="","ABS-"&amp;TEXT(COUNTA($C$5:C26),"000"))</f>
        <v/>
      </c>
      <c r="C26" s="14" t="n"/>
      <c r="D26" s="14" t="n"/>
      <c r="E26" s="14" t="n"/>
      <c r="F26" s="28" t="n"/>
      <c r="G26" s="28" t="n"/>
      <c r="H26" s="24">
        <f>IF(OR(G26="",F26=""),"",G26-F26+1)</f>
        <v/>
      </c>
      <c r="I26" s="14" t="n"/>
      <c r="J26" s="14" t="n"/>
      <c r="K26" s="14" t="n"/>
      <c r="L26" s="14" t="n"/>
    </row>
    <row r="27" ht="22" customHeight="1">
      <c r="B27" s="17">
        <f>IF(C27="","ABS-"&amp;TEXT(COUNTA($C$5:C27),"000"))</f>
        <v/>
      </c>
      <c r="C27" s="12" t="n"/>
      <c r="D27" s="12" t="n"/>
      <c r="E27" s="12" t="n"/>
      <c r="F27" s="27" t="n"/>
      <c r="G27" s="27" t="n"/>
      <c r="H27" s="23">
        <f>IF(OR(G27="",F27=""),"",G27-F27+1)</f>
        <v/>
      </c>
      <c r="I27" s="12" t="n"/>
      <c r="J27" s="12" t="n"/>
      <c r="K27" s="12" t="n"/>
      <c r="L27" s="12" t="n"/>
    </row>
    <row r="28" ht="22" customHeight="1">
      <c r="B28" s="16">
        <f>IF(C28="","ABS-"&amp;TEXT(COUNTA($C$5:C28),"000"))</f>
        <v/>
      </c>
      <c r="C28" s="14" t="n"/>
      <c r="D28" s="14" t="n"/>
      <c r="E28" s="14" t="n"/>
      <c r="F28" s="28" t="n"/>
      <c r="G28" s="28" t="n"/>
      <c r="H28" s="24">
        <f>IF(OR(G28="",F28=""),"",G28-F28+1)</f>
        <v/>
      </c>
      <c r="I28" s="14" t="n"/>
      <c r="J28" s="14" t="n"/>
      <c r="K28" s="14" t="n"/>
      <c r="L28" s="14" t="n"/>
    </row>
    <row r="29" ht="22" customHeight="1">
      <c r="B29" s="17">
        <f>IF(C29="","ABS-"&amp;TEXT(COUNTA($C$5:C29),"000"))</f>
        <v/>
      </c>
      <c r="C29" s="12" t="n"/>
      <c r="D29" s="12" t="n"/>
      <c r="E29" s="12" t="n"/>
      <c r="F29" s="27" t="n"/>
      <c r="G29" s="27" t="n"/>
      <c r="H29" s="23">
        <f>IF(OR(G29="",F29=""),"",G29-F29+1)</f>
        <v/>
      </c>
      <c r="I29" s="12" t="n"/>
      <c r="J29" s="12" t="n"/>
      <c r="K29" s="12" t="n"/>
      <c r="L29" s="12" t="n"/>
    </row>
    <row r="30" ht="22" customHeight="1">
      <c r="B30" s="16">
        <f>IF(C30="","ABS-"&amp;TEXT(COUNTA($C$5:C30),"000"))</f>
        <v/>
      </c>
      <c r="C30" s="14" t="n"/>
      <c r="D30" s="14" t="n"/>
      <c r="E30" s="14" t="n"/>
      <c r="F30" s="28" t="n"/>
      <c r="G30" s="28" t="n"/>
      <c r="H30" s="24">
        <f>IF(OR(G30="",F30=""),"",G30-F30+1)</f>
        <v/>
      </c>
      <c r="I30" s="14" t="n"/>
      <c r="J30" s="14" t="n"/>
      <c r="K30" s="14" t="n"/>
      <c r="L30" s="14" t="n"/>
    </row>
    <row r="31" ht="22" customHeight="1">
      <c r="B31" s="17">
        <f>IF(C31="","ABS-"&amp;TEXT(COUNTA($C$5:C31),"000"))</f>
        <v/>
      </c>
      <c r="C31" s="12" t="n"/>
      <c r="D31" s="12" t="n"/>
      <c r="E31" s="12" t="n"/>
      <c r="F31" s="27" t="n"/>
      <c r="G31" s="27" t="n"/>
      <c r="H31" s="23">
        <f>IF(OR(G31="",F31=""),"",G31-F31+1)</f>
        <v/>
      </c>
      <c r="I31" s="12" t="n"/>
      <c r="J31" s="12" t="n"/>
      <c r="K31" s="12" t="n"/>
      <c r="L31" s="12" t="n"/>
    </row>
    <row r="32" ht="22" customHeight="1">
      <c r="B32" s="16">
        <f>IF(C32="","ABS-"&amp;TEXT(COUNTA($C$5:C32),"000"))</f>
        <v/>
      </c>
      <c r="C32" s="14" t="n"/>
      <c r="D32" s="14" t="n"/>
      <c r="E32" s="14" t="n"/>
      <c r="F32" s="28" t="n"/>
      <c r="G32" s="28" t="n"/>
      <c r="H32" s="24">
        <f>IF(OR(G32="",F32=""),"",G32-F32+1)</f>
        <v/>
      </c>
      <c r="I32" s="14" t="n"/>
      <c r="J32" s="14" t="n"/>
      <c r="K32" s="14" t="n"/>
      <c r="L32" s="14" t="n"/>
    </row>
    <row r="33" ht="22" customHeight="1">
      <c r="B33" s="17">
        <f>IF(C33="","ABS-"&amp;TEXT(COUNTA($C$5:C33),"000"))</f>
        <v/>
      </c>
      <c r="C33" s="12" t="n"/>
      <c r="D33" s="12" t="n"/>
      <c r="E33" s="12" t="n"/>
      <c r="F33" s="27" t="n"/>
      <c r="G33" s="27" t="n"/>
      <c r="H33" s="23">
        <f>IF(OR(G33="",F33=""),"",G33-F33+1)</f>
        <v/>
      </c>
      <c r="I33" s="12" t="n"/>
      <c r="J33" s="12" t="n"/>
      <c r="K33" s="12" t="n"/>
      <c r="L33" s="12" t="n"/>
    </row>
    <row r="34" ht="22" customHeight="1">
      <c r="B34" s="16">
        <f>IF(C34="","ABS-"&amp;TEXT(COUNTA($C$5:C34),"000"))</f>
        <v/>
      </c>
      <c r="C34" s="14" t="n"/>
      <c r="D34" s="14" t="n"/>
      <c r="E34" s="14" t="n"/>
      <c r="F34" s="28" t="n"/>
      <c r="G34" s="28" t="n"/>
      <c r="H34" s="24">
        <f>IF(OR(G34="",F34=""),"",G34-F34+1)</f>
        <v/>
      </c>
      <c r="I34" s="14" t="n"/>
      <c r="J34" s="14" t="n"/>
      <c r="K34" s="14" t="n"/>
      <c r="L34" s="14" t="n"/>
    </row>
    <row r="35" ht="22" customHeight="1">
      <c r="B35" s="17">
        <f>IF(C35="","ABS-"&amp;TEXT(COUNTA($C$5:C35),"000"))</f>
        <v/>
      </c>
      <c r="C35" s="12" t="n"/>
      <c r="D35" s="12" t="n"/>
      <c r="E35" s="12" t="n"/>
      <c r="F35" s="27" t="n"/>
      <c r="G35" s="27" t="n"/>
      <c r="H35" s="23">
        <f>IF(OR(G35="",F35=""),"",G35-F35+1)</f>
        <v/>
      </c>
      <c r="I35" s="12" t="n"/>
      <c r="J35" s="12" t="n"/>
      <c r="K35" s="12" t="n"/>
      <c r="L35" s="12" t="n"/>
    </row>
    <row r="36" ht="22" customHeight="1">
      <c r="B36" s="16">
        <f>IF(C36="","ABS-"&amp;TEXT(COUNTA($C$5:C36),"000"))</f>
        <v/>
      </c>
      <c r="C36" s="14" t="n"/>
      <c r="D36" s="14" t="n"/>
      <c r="E36" s="14" t="n"/>
      <c r="F36" s="28" t="n"/>
      <c r="G36" s="28" t="n"/>
      <c r="H36" s="24">
        <f>IF(OR(G36="",F36=""),"",G36-F36+1)</f>
        <v/>
      </c>
      <c r="I36" s="14" t="n"/>
      <c r="J36" s="14" t="n"/>
      <c r="K36" s="14" t="n"/>
      <c r="L36" s="14" t="n"/>
    </row>
    <row r="37" ht="22" customHeight="1">
      <c r="B37" s="17">
        <f>IF(C37="","ABS-"&amp;TEXT(COUNTA($C$5:C37),"000"))</f>
        <v/>
      </c>
      <c r="C37" s="12" t="n"/>
      <c r="D37" s="12" t="n"/>
      <c r="E37" s="12" t="n"/>
      <c r="F37" s="27" t="n"/>
      <c r="G37" s="27" t="n"/>
      <c r="H37" s="23">
        <f>IF(OR(G37="",F37=""),"",G37-F37+1)</f>
        <v/>
      </c>
      <c r="I37" s="12" t="n"/>
      <c r="J37" s="12" t="n"/>
      <c r="K37" s="12" t="n"/>
      <c r="L37" s="12" t="n"/>
    </row>
    <row r="38" ht="22" customHeight="1">
      <c r="B38" s="16">
        <f>IF(C38="","ABS-"&amp;TEXT(COUNTA($C$5:C38),"000"))</f>
        <v/>
      </c>
      <c r="C38" s="14" t="n"/>
      <c r="D38" s="14" t="n"/>
      <c r="E38" s="14" t="n"/>
      <c r="F38" s="28" t="n"/>
      <c r="G38" s="28" t="n"/>
      <c r="H38" s="24">
        <f>IF(OR(G38="",F38=""),"",G38-F38+1)</f>
        <v/>
      </c>
      <c r="I38" s="14" t="n"/>
      <c r="J38" s="14" t="n"/>
      <c r="K38" s="14" t="n"/>
      <c r="L38" s="14" t="n"/>
    </row>
    <row r="39" ht="22" customHeight="1">
      <c r="B39" s="17">
        <f>IF(C39="","ABS-"&amp;TEXT(COUNTA($C$5:C39),"000"))</f>
        <v/>
      </c>
      <c r="C39" s="12" t="n"/>
      <c r="D39" s="12" t="n"/>
      <c r="E39" s="12" t="n"/>
      <c r="F39" s="27" t="n"/>
      <c r="G39" s="27" t="n"/>
      <c r="H39" s="23">
        <f>IF(OR(G39="",F39=""),"",G39-F39+1)</f>
        <v/>
      </c>
      <c r="I39" s="12" t="n"/>
      <c r="J39" s="12" t="n"/>
      <c r="K39" s="12" t="n"/>
      <c r="L39" s="12" t="n"/>
    </row>
    <row r="40" ht="22" customHeight="1">
      <c r="B40" s="16">
        <f>IF(C40="","ABS-"&amp;TEXT(COUNTA($C$5:C40),"000"))</f>
        <v/>
      </c>
      <c r="C40" s="14" t="n"/>
      <c r="D40" s="14" t="n"/>
      <c r="E40" s="14" t="n"/>
      <c r="F40" s="28" t="n"/>
      <c r="G40" s="28" t="n"/>
      <c r="H40" s="24">
        <f>IF(OR(G40="",F40=""),"",G40-F40+1)</f>
        <v/>
      </c>
      <c r="I40" s="14" t="n"/>
      <c r="J40" s="14" t="n"/>
      <c r="K40" s="14" t="n"/>
      <c r="L40" s="14" t="n"/>
    </row>
    <row r="41" ht="22" customHeight="1">
      <c r="B41" s="17">
        <f>IF(C41="","ABS-"&amp;TEXT(COUNTA($C$5:C41),"000"))</f>
        <v/>
      </c>
      <c r="C41" s="12" t="n"/>
      <c r="D41" s="12" t="n"/>
      <c r="E41" s="12" t="n"/>
      <c r="F41" s="27" t="n"/>
      <c r="G41" s="27" t="n"/>
      <c r="H41" s="23">
        <f>IF(OR(G41="",F41=""),"",G41-F41+1)</f>
        <v/>
      </c>
      <c r="I41" s="12" t="n"/>
      <c r="J41" s="12" t="n"/>
      <c r="K41" s="12" t="n"/>
      <c r="L41" s="12" t="n"/>
    </row>
    <row r="42" ht="22" customHeight="1">
      <c r="B42" s="16">
        <f>IF(C42="","ABS-"&amp;TEXT(COUNTA($C$5:C42),"000"))</f>
        <v/>
      </c>
      <c r="C42" s="14" t="n"/>
      <c r="D42" s="14" t="n"/>
      <c r="E42" s="14" t="n"/>
      <c r="F42" s="28" t="n"/>
      <c r="G42" s="28" t="n"/>
      <c r="H42" s="24">
        <f>IF(OR(G42="",F42=""),"",G42-F42+1)</f>
        <v/>
      </c>
      <c r="I42" s="14" t="n"/>
      <c r="J42" s="14" t="n"/>
      <c r="K42" s="14" t="n"/>
      <c r="L42" s="14" t="n"/>
    </row>
    <row r="43" ht="22" customHeight="1">
      <c r="B43" s="17">
        <f>IF(C43="","ABS-"&amp;TEXT(COUNTA($C$5:C43),"000"))</f>
        <v/>
      </c>
      <c r="C43" s="12" t="n"/>
      <c r="D43" s="12" t="n"/>
      <c r="E43" s="12" t="n"/>
      <c r="F43" s="27" t="n"/>
      <c r="G43" s="27" t="n"/>
      <c r="H43" s="23">
        <f>IF(OR(G43="",F43=""),"",G43-F43+1)</f>
        <v/>
      </c>
      <c r="I43" s="12" t="n"/>
      <c r="J43" s="12" t="n"/>
      <c r="K43" s="12" t="n"/>
      <c r="L43" s="12" t="n"/>
    </row>
    <row r="44" ht="22" customHeight="1">
      <c r="B44" s="16">
        <f>IF(C44="","ABS-"&amp;TEXT(COUNTA($C$5:C44),"000"))</f>
        <v/>
      </c>
      <c r="C44" s="14" t="n"/>
      <c r="D44" s="14" t="n"/>
      <c r="E44" s="14" t="n"/>
      <c r="F44" s="28" t="n"/>
      <c r="G44" s="28" t="n"/>
      <c r="H44" s="24">
        <f>IF(OR(G44="",F44=""),"",G44-F44+1)</f>
        <v/>
      </c>
      <c r="I44" s="14" t="n"/>
      <c r="J44" s="14" t="n"/>
      <c r="K44" s="14" t="n"/>
      <c r="L44" s="14" t="n"/>
    </row>
    <row r="45" ht="22" customHeight="1">
      <c r="B45" s="17">
        <f>IF(C45="","ABS-"&amp;TEXT(COUNTA($C$5:C45),"000"))</f>
        <v/>
      </c>
      <c r="C45" s="12" t="n"/>
      <c r="D45" s="12" t="n"/>
      <c r="E45" s="12" t="n"/>
      <c r="F45" s="27" t="n"/>
      <c r="G45" s="27" t="n"/>
      <c r="H45" s="23">
        <f>IF(OR(G45="",F45=""),"",G45-F45+1)</f>
        <v/>
      </c>
      <c r="I45" s="12" t="n"/>
      <c r="J45" s="12" t="n"/>
      <c r="K45" s="12" t="n"/>
      <c r="L45" s="12" t="n"/>
    </row>
    <row r="46" ht="22" customHeight="1">
      <c r="B46" s="16">
        <f>IF(C46="","ABS-"&amp;TEXT(COUNTA($C$5:C46),"000"))</f>
        <v/>
      </c>
      <c r="C46" s="14" t="n"/>
      <c r="D46" s="14" t="n"/>
      <c r="E46" s="14" t="n"/>
      <c r="F46" s="28" t="n"/>
      <c r="G46" s="28" t="n"/>
      <c r="H46" s="24">
        <f>IF(OR(G46="",F46=""),"",G46-F46+1)</f>
        <v/>
      </c>
      <c r="I46" s="14" t="n"/>
      <c r="J46" s="14" t="n"/>
      <c r="K46" s="14" t="n"/>
      <c r="L46" s="14" t="n"/>
    </row>
    <row r="47" ht="22" customHeight="1">
      <c r="B47" s="17">
        <f>IF(C47="","ABS-"&amp;TEXT(COUNTA($C$5:C47),"000"))</f>
        <v/>
      </c>
      <c r="C47" s="12" t="n"/>
      <c r="D47" s="12" t="n"/>
      <c r="E47" s="12" t="n"/>
      <c r="F47" s="27" t="n"/>
      <c r="G47" s="27" t="n"/>
      <c r="H47" s="23">
        <f>IF(OR(G47="",F47=""),"",G47-F47+1)</f>
        <v/>
      </c>
      <c r="I47" s="12" t="n"/>
      <c r="J47" s="12" t="n"/>
      <c r="K47" s="12" t="n"/>
      <c r="L47" s="12" t="n"/>
    </row>
    <row r="48" ht="22" customHeight="1">
      <c r="B48" s="16">
        <f>IF(C48="","ABS-"&amp;TEXT(COUNTA($C$5:C48),"000"))</f>
        <v/>
      </c>
      <c r="C48" s="14" t="n"/>
      <c r="D48" s="14" t="n"/>
      <c r="E48" s="14" t="n"/>
      <c r="F48" s="28" t="n"/>
      <c r="G48" s="28" t="n"/>
      <c r="H48" s="24">
        <f>IF(OR(G48="",F48=""),"",G48-F48+1)</f>
        <v/>
      </c>
      <c r="I48" s="14" t="n"/>
      <c r="J48" s="14" t="n"/>
      <c r="K48" s="14" t="n"/>
      <c r="L48" s="14" t="n"/>
    </row>
    <row r="49" ht="22" customHeight="1">
      <c r="B49" s="17">
        <f>IF(C49="","ABS-"&amp;TEXT(COUNTA($C$5:C49),"000"))</f>
        <v/>
      </c>
      <c r="C49" s="12" t="n"/>
      <c r="D49" s="12" t="n"/>
      <c r="E49" s="12" t="n"/>
      <c r="F49" s="27" t="n"/>
      <c r="G49" s="27" t="n"/>
      <c r="H49" s="23">
        <f>IF(OR(G49="",F49=""),"",G49-F49+1)</f>
        <v/>
      </c>
      <c r="I49" s="12" t="n"/>
      <c r="J49" s="12" t="n"/>
      <c r="K49" s="12" t="n"/>
      <c r="L49" s="12" t="n"/>
    </row>
    <row r="50" ht="22" customHeight="1">
      <c r="B50" s="16">
        <f>IF(C50="","ABS-"&amp;TEXT(COUNTA($C$5:C50),"000"))</f>
        <v/>
      </c>
      <c r="C50" s="14" t="n"/>
      <c r="D50" s="14" t="n"/>
      <c r="E50" s="14" t="n"/>
      <c r="F50" s="28" t="n"/>
      <c r="G50" s="28" t="n"/>
      <c r="H50" s="24">
        <f>IF(OR(G50="",F50=""),"",G50-F50+1)</f>
        <v/>
      </c>
      <c r="I50" s="14" t="n"/>
      <c r="J50" s="14" t="n"/>
      <c r="K50" s="14" t="n"/>
      <c r="L50" s="14" t="n"/>
    </row>
    <row r="51" ht="22" customHeight="1">
      <c r="B51" s="17">
        <f>IF(C51="","ABS-"&amp;TEXT(COUNTA($C$5:C51),"000"))</f>
        <v/>
      </c>
      <c r="C51" s="12" t="n"/>
      <c r="D51" s="12" t="n"/>
      <c r="E51" s="12" t="n"/>
      <c r="F51" s="27" t="n"/>
      <c r="G51" s="27" t="n"/>
      <c r="H51" s="23">
        <f>IF(OR(G51="",F51=""),"",G51-F51+1)</f>
        <v/>
      </c>
      <c r="I51" s="12" t="n"/>
      <c r="J51" s="12" t="n"/>
      <c r="K51" s="12" t="n"/>
      <c r="L51" s="12" t="n"/>
    </row>
    <row r="52" ht="22" customHeight="1">
      <c r="B52" s="16">
        <f>IF(C52="","ABS-"&amp;TEXT(COUNTA($C$5:C52),"000"))</f>
        <v/>
      </c>
      <c r="C52" s="14" t="n"/>
      <c r="D52" s="14" t="n"/>
      <c r="E52" s="14" t="n"/>
      <c r="F52" s="28" t="n"/>
      <c r="G52" s="28" t="n"/>
      <c r="H52" s="24">
        <f>IF(OR(G52="",F52=""),"",G52-F52+1)</f>
        <v/>
      </c>
      <c r="I52" s="14" t="n"/>
      <c r="J52" s="14" t="n"/>
      <c r="K52" s="14" t="n"/>
      <c r="L52" s="14" t="n"/>
    </row>
    <row r="53" ht="22" customHeight="1">
      <c r="B53" s="17">
        <f>IF(C53="","ABS-"&amp;TEXT(COUNTA($C$5:C53),"000"))</f>
        <v/>
      </c>
      <c r="C53" s="12" t="n"/>
      <c r="D53" s="12" t="n"/>
      <c r="E53" s="12" t="n"/>
      <c r="F53" s="27" t="n"/>
      <c r="G53" s="27" t="n"/>
      <c r="H53" s="23">
        <f>IF(OR(G53="",F53=""),"",G53-F53+1)</f>
        <v/>
      </c>
      <c r="I53" s="12" t="n"/>
      <c r="J53" s="12" t="n"/>
      <c r="K53" s="12" t="n"/>
      <c r="L53" s="12" t="n"/>
    </row>
    <row r="54" ht="22" customHeight="1">
      <c r="B54" s="16">
        <f>IF(C54="","ABS-"&amp;TEXT(COUNTA($C$5:C54),"000"))</f>
        <v/>
      </c>
      <c r="C54" s="14" t="n"/>
      <c r="D54" s="14" t="n"/>
      <c r="E54" s="14" t="n"/>
      <c r="F54" s="28" t="n"/>
      <c r="G54" s="28" t="n"/>
      <c r="H54" s="24">
        <f>IF(OR(G54="",F54=""),"",G54-F54+1)</f>
        <v/>
      </c>
      <c r="I54" s="14" t="n"/>
      <c r="J54" s="14" t="n"/>
      <c r="K54" s="14" t="n"/>
      <c r="L54" s="14" t="n"/>
    </row>
    <row r="55" ht="22" customHeight="1">
      <c r="B55" s="17">
        <f>IF(C55="","ABS-"&amp;TEXT(COUNTA($C$5:C55),"000"))</f>
        <v/>
      </c>
      <c r="C55" s="12" t="n"/>
      <c r="D55" s="12" t="n"/>
      <c r="E55" s="12" t="n"/>
      <c r="F55" s="27" t="n"/>
      <c r="G55" s="27" t="n"/>
      <c r="H55" s="23">
        <f>IF(OR(G55="",F55=""),"",G55-F55+1)</f>
        <v/>
      </c>
      <c r="I55" s="12" t="n"/>
      <c r="J55" s="12" t="n"/>
      <c r="K55" s="12" t="n"/>
      <c r="L55" s="12" t="n"/>
    </row>
    <row r="56" ht="22" customHeight="1">
      <c r="B56" s="16">
        <f>IF(C56="","ABS-"&amp;TEXT(COUNTA($C$5:C56),"000"))</f>
        <v/>
      </c>
      <c r="C56" s="14" t="n"/>
      <c r="D56" s="14" t="n"/>
      <c r="E56" s="14" t="n"/>
      <c r="F56" s="28" t="n"/>
      <c r="G56" s="28" t="n"/>
      <c r="H56" s="24">
        <f>IF(OR(G56="",F56=""),"",G56-F56+1)</f>
        <v/>
      </c>
      <c r="I56" s="14" t="n"/>
      <c r="J56" s="14" t="n"/>
      <c r="K56" s="14" t="n"/>
      <c r="L56" s="14" t="n"/>
    </row>
    <row r="57" ht="22" customHeight="1">
      <c r="B57" s="17">
        <f>IF(C57="","ABS-"&amp;TEXT(COUNTA($C$5:C57),"000"))</f>
        <v/>
      </c>
      <c r="C57" s="12" t="n"/>
      <c r="D57" s="12" t="n"/>
      <c r="E57" s="12" t="n"/>
      <c r="F57" s="27" t="n"/>
      <c r="G57" s="27" t="n"/>
      <c r="H57" s="23">
        <f>IF(OR(G57="",F57=""),"",G57-F57+1)</f>
        <v/>
      </c>
      <c r="I57" s="12" t="n"/>
      <c r="J57" s="12" t="n"/>
      <c r="K57" s="12" t="n"/>
      <c r="L57" s="12" t="n"/>
    </row>
    <row r="58" ht="22" customHeight="1">
      <c r="B58" s="16">
        <f>IF(C58="","ABS-"&amp;TEXT(COUNTA($C$5:C58),"000"))</f>
        <v/>
      </c>
      <c r="C58" s="14" t="n"/>
      <c r="D58" s="14" t="n"/>
      <c r="E58" s="14" t="n"/>
      <c r="F58" s="28" t="n"/>
      <c r="G58" s="28" t="n"/>
      <c r="H58" s="24">
        <f>IF(OR(G58="",F58=""),"",G58-F58+1)</f>
        <v/>
      </c>
      <c r="I58" s="14" t="n"/>
      <c r="J58" s="14" t="n"/>
      <c r="K58" s="14" t="n"/>
      <c r="L58" s="14" t="n"/>
    </row>
    <row r="59" ht="22" customHeight="1">
      <c r="B59" s="17">
        <f>IF(C59="","ABS-"&amp;TEXT(COUNTA($C$5:C59),"000"))</f>
        <v/>
      </c>
      <c r="C59" s="12" t="n"/>
      <c r="D59" s="12" t="n"/>
      <c r="E59" s="12" t="n"/>
      <c r="F59" s="27" t="n"/>
      <c r="G59" s="27" t="n"/>
      <c r="H59" s="23">
        <f>IF(OR(G59="",F59=""),"",G59-F59+1)</f>
        <v/>
      </c>
      <c r="I59" s="12" t="n"/>
      <c r="J59" s="12" t="n"/>
      <c r="K59" s="12" t="n"/>
      <c r="L59" s="12" t="n"/>
    </row>
    <row r="60" ht="22" customHeight="1">
      <c r="B60" s="16">
        <f>IF(C60="","ABS-"&amp;TEXT(COUNTA($C$5:C60),"000"))</f>
        <v/>
      </c>
      <c r="C60" s="14" t="n"/>
      <c r="D60" s="14" t="n"/>
      <c r="E60" s="14" t="n"/>
      <c r="F60" s="28" t="n"/>
      <c r="G60" s="28" t="n"/>
      <c r="H60" s="24">
        <f>IF(OR(G60="",F60=""),"",G60-F60+1)</f>
        <v/>
      </c>
      <c r="I60" s="14" t="n"/>
      <c r="J60" s="14" t="n"/>
      <c r="K60" s="14" t="n"/>
      <c r="L60" s="14" t="n"/>
    </row>
    <row r="61" ht="22" customHeight="1">
      <c r="B61" s="17">
        <f>IF(C61="","ABS-"&amp;TEXT(COUNTA($C$5:C61),"000"))</f>
        <v/>
      </c>
      <c r="C61" s="12" t="n"/>
      <c r="D61" s="12" t="n"/>
      <c r="E61" s="12" t="n"/>
      <c r="F61" s="27" t="n"/>
      <c r="G61" s="27" t="n"/>
      <c r="H61" s="23">
        <f>IF(OR(G61="",F61=""),"",G61-F61+1)</f>
        <v/>
      </c>
      <c r="I61" s="12" t="n"/>
      <c r="J61" s="12" t="n"/>
      <c r="K61" s="12" t="n"/>
      <c r="L61" s="12" t="n"/>
    </row>
    <row r="62" ht="22" customHeight="1">
      <c r="B62" s="16">
        <f>IF(C62="","ABS-"&amp;TEXT(COUNTA($C$5:C62),"000"))</f>
        <v/>
      </c>
      <c r="C62" s="14" t="n"/>
      <c r="D62" s="14" t="n"/>
      <c r="E62" s="14" t="n"/>
      <c r="F62" s="28" t="n"/>
      <c r="G62" s="28" t="n"/>
      <c r="H62" s="24">
        <f>IF(OR(G62="",F62=""),"",G62-F62+1)</f>
        <v/>
      </c>
      <c r="I62" s="14" t="n"/>
      <c r="J62" s="14" t="n"/>
      <c r="K62" s="14" t="n"/>
      <c r="L62" s="14" t="n"/>
    </row>
    <row r="63" ht="22" customHeight="1">
      <c r="B63" s="17">
        <f>IF(C63="","ABS-"&amp;TEXT(COUNTA($C$5:C63),"000"))</f>
        <v/>
      </c>
      <c r="C63" s="12" t="n"/>
      <c r="D63" s="12" t="n"/>
      <c r="E63" s="12" t="n"/>
      <c r="F63" s="27" t="n"/>
      <c r="G63" s="27" t="n"/>
      <c r="H63" s="23">
        <f>IF(OR(G63="",F63=""),"",G63-F63+1)</f>
        <v/>
      </c>
      <c r="I63" s="12" t="n"/>
      <c r="J63" s="12" t="n"/>
      <c r="K63" s="12" t="n"/>
      <c r="L63" s="12" t="n"/>
    </row>
    <row r="64" ht="22" customHeight="1">
      <c r="B64" s="16">
        <f>IF(C64="","ABS-"&amp;TEXT(COUNTA($C$5:C64),"000"))</f>
        <v/>
      </c>
      <c r="C64" s="14" t="n"/>
      <c r="D64" s="14" t="n"/>
      <c r="E64" s="14" t="n"/>
      <c r="F64" s="28" t="n"/>
      <c r="G64" s="28" t="n"/>
      <c r="H64" s="24">
        <f>IF(OR(G64="",F64=""),"",G64-F64+1)</f>
        <v/>
      </c>
      <c r="I64" s="14" t="n"/>
      <c r="J64" s="14" t="n"/>
      <c r="K64" s="14" t="n"/>
      <c r="L64" s="14" t="n"/>
    </row>
    <row r="65" ht="22" customHeight="1">
      <c r="B65" s="17">
        <f>IF(C65="","ABS-"&amp;TEXT(COUNTA($C$5:C65),"000"))</f>
        <v/>
      </c>
      <c r="C65" s="12" t="n"/>
      <c r="D65" s="12" t="n"/>
      <c r="E65" s="12" t="n"/>
      <c r="F65" s="27" t="n"/>
      <c r="G65" s="27" t="n"/>
      <c r="H65" s="23">
        <f>IF(OR(G65="",F65=""),"",G65-F65+1)</f>
        <v/>
      </c>
      <c r="I65" s="12" t="n"/>
      <c r="J65" s="12" t="n"/>
      <c r="K65" s="12" t="n"/>
      <c r="L65" s="12" t="n"/>
    </row>
    <row r="66" ht="22" customHeight="1">
      <c r="B66" s="16">
        <f>IF(C66="","ABS-"&amp;TEXT(COUNTA($C$5:C66),"000"))</f>
        <v/>
      </c>
      <c r="C66" s="14" t="n"/>
      <c r="D66" s="14" t="n"/>
      <c r="E66" s="14" t="n"/>
      <c r="F66" s="28" t="n"/>
      <c r="G66" s="28" t="n"/>
      <c r="H66" s="24">
        <f>IF(OR(G66="",F66=""),"",G66-F66+1)</f>
        <v/>
      </c>
      <c r="I66" s="14" t="n"/>
      <c r="J66" s="14" t="n"/>
      <c r="K66" s="14" t="n"/>
      <c r="L66" s="14" t="n"/>
    </row>
    <row r="67" ht="22" customHeight="1">
      <c r="B67" s="17">
        <f>IF(C67="","ABS-"&amp;TEXT(COUNTA($C$5:C67),"000"))</f>
        <v/>
      </c>
      <c r="C67" s="12" t="n"/>
      <c r="D67" s="12" t="n"/>
      <c r="E67" s="12" t="n"/>
      <c r="F67" s="27" t="n"/>
      <c r="G67" s="27" t="n"/>
      <c r="H67" s="23">
        <f>IF(OR(G67="",F67=""),"",G67-F67+1)</f>
        <v/>
      </c>
      <c r="I67" s="12" t="n"/>
      <c r="J67" s="12" t="n"/>
      <c r="K67" s="12" t="n"/>
      <c r="L67" s="12" t="n"/>
    </row>
    <row r="68" ht="22" customHeight="1">
      <c r="B68" s="16">
        <f>IF(C68="","ABS-"&amp;TEXT(COUNTA($C$5:C68),"000"))</f>
        <v/>
      </c>
      <c r="C68" s="14" t="n"/>
      <c r="D68" s="14" t="n"/>
      <c r="E68" s="14" t="n"/>
      <c r="F68" s="28" t="n"/>
      <c r="G68" s="28" t="n"/>
      <c r="H68" s="24">
        <f>IF(OR(G68="",F68=""),"",G68-F68+1)</f>
        <v/>
      </c>
      <c r="I68" s="14" t="n"/>
      <c r="J68" s="14" t="n"/>
      <c r="K68" s="14" t="n"/>
      <c r="L68" s="14" t="n"/>
    </row>
    <row r="69" ht="22" customHeight="1">
      <c r="B69" s="17">
        <f>IF(C69="","ABS-"&amp;TEXT(COUNTA($C$5:C69),"000"))</f>
        <v/>
      </c>
      <c r="C69" s="12" t="n"/>
      <c r="D69" s="12" t="n"/>
      <c r="E69" s="12" t="n"/>
      <c r="F69" s="27" t="n"/>
      <c r="G69" s="27" t="n"/>
      <c r="H69" s="23">
        <f>IF(OR(G69="",F69=""),"",G69-F69+1)</f>
        <v/>
      </c>
      <c r="I69" s="12" t="n"/>
      <c r="J69" s="12" t="n"/>
      <c r="K69" s="12" t="n"/>
      <c r="L69" s="12" t="n"/>
    </row>
    <row r="70" ht="22" customHeight="1">
      <c r="B70" s="16">
        <f>IF(C70="","ABS-"&amp;TEXT(COUNTA($C$5:C70),"000"))</f>
        <v/>
      </c>
      <c r="C70" s="14" t="n"/>
      <c r="D70" s="14" t="n"/>
      <c r="E70" s="14" t="n"/>
      <c r="F70" s="28" t="n"/>
      <c r="G70" s="28" t="n"/>
      <c r="H70" s="24">
        <f>IF(OR(G70="",F70=""),"",G70-F70+1)</f>
        <v/>
      </c>
      <c r="I70" s="14" t="n"/>
      <c r="J70" s="14" t="n"/>
      <c r="K70" s="14" t="n"/>
      <c r="L70" s="14" t="n"/>
    </row>
    <row r="71" ht="22" customHeight="1">
      <c r="B71" s="17">
        <f>IF(C71="","ABS-"&amp;TEXT(COUNTA($C$5:C71),"000"))</f>
        <v/>
      </c>
      <c r="C71" s="12" t="n"/>
      <c r="D71" s="12" t="n"/>
      <c r="E71" s="12" t="n"/>
      <c r="F71" s="27" t="n"/>
      <c r="G71" s="27" t="n"/>
      <c r="H71" s="23">
        <f>IF(OR(G71="",F71=""),"",G71-F71+1)</f>
        <v/>
      </c>
      <c r="I71" s="12" t="n"/>
      <c r="J71" s="12" t="n"/>
      <c r="K71" s="12" t="n"/>
      <c r="L71" s="12" t="n"/>
    </row>
    <row r="72" ht="22" customHeight="1">
      <c r="B72" s="16">
        <f>IF(C72="","ABS-"&amp;TEXT(COUNTA($C$5:C72),"000"))</f>
        <v/>
      </c>
      <c r="C72" s="14" t="n"/>
      <c r="D72" s="14" t="n"/>
      <c r="E72" s="14" t="n"/>
      <c r="F72" s="28" t="n"/>
      <c r="G72" s="28" t="n"/>
      <c r="H72" s="24">
        <f>IF(OR(G72="",F72=""),"",G72-F72+1)</f>
        <v/>
      </c>
      <c r="I72" s="14" t="n"/>
      <c r="J72" s="14" t="n"/>
      <c r="K72" s="14" t="n"/>
      <c r="L72" s="14" t="n"/>
    </row>
    <row r="73" ht="22" customHeight="1">
      <c r="B73" s="17">
        <f>IF(C73="","ABS-"&amp;TEXT(COUNTA($C$5:C73),"000"))</f>
        <v/>
      </c>
      <c r="C73" s="12" t="n"/>
      <c r="D73" s="12" t="n"/>
      <c r="E73" s="12" t="n"/>
      <c r="F73" s="27" t="n"/>
      <c r="G73" s="27" t="n"/>
      <c r="H73" s="23">
        <f>IF(OR(G73="",F73=""),"",G73-F73+1)</f>
        <v/>
      </c>
      <c r="I73" s="12" t="n"/>
      <c r="J73" s="12" t="n"/>
      <c r="K73" s="12" t="n"/>
      <c r="L73" s="12" t="n"/>
    </row>
    <row r="74" ht="22" customHeight="1">
      <c r="B74" s="16">
        <f>IF(C74="","ABS-"&amp;TEXT(COUNTA($C$5:C74),"000"))</f>
        <v/>
      </c>
      <c r="C74" s="14" t="n"/>
      <c r="D74" s="14" t="n"/>
      <c r="E74" s="14" t="n"/>
      <c r="F74" s="28" t="n"/>
      <c r="G74" s="28" t="n"/>
      <c r="H74" s="24">
        <f>IF(OR(G74="",F74=""),"",G74-F74+1)</f>
        <v/>
      </c>
      <c r="I74" s="14" t="n"/>
      <c r="J74" s="14" t="n"/>
      <c r="K74" s="14" t="n"/>
      <c r="L74" s="14" t="n"/>
    </row>
    <row r="75" ht="22" customHeight="1">
      <c r="B75" s="17">
        <f>IF(C75="","ABS-"&amp;TEXT(COUNTA($C$5:C75),"000"))</f>
        <v/>
      </c>
      <c r="C75" s="12" t="n"/>
      <c r="D75" s="12" t="n"/>
      <c r="E75" s="12" t="n"/>
      <c r="F75" s="27" t="n"/>
      <c r="G75" s="27" t="n"/>
      <c r="H75" s="23">
        <f>IF(OR(G75="",F75=""),"",G75-F75+1)</f>
        <v/>
      </c>
      <c r="I75" s="12" t="n"/>
      <c r="J75" s="12" t="n"/>
      <c r="K75" s="12" t="n"/>
      <c r="L75" s="12" t="n"/>
    </row>
    <row r="76" ht="22" customHeight="1">
      <c r="B76" s="16">
        <f>IF(C76="","ABS-"&amp;TEXT(COUNTA($C$5:C76),"000"))</f>
        <v/>
      </c>
      <c r="C76" s="14" t="n"/>
      <c r="D76" s="14" t="n"/>
      <c r="E76" s="14" t="n"/>
      <c r="F76" s="28" t="n"/>
      <c r="G76" s="28" t="n"/>
      <c r="H76" s="24">
        <f>IF(OR(G76="",F76=""),"",G76-F76+1)</f>
        <v/>
      </c>
      <c r="I76" s="14" t="n"/>
      <c r="J76" s="14" t="n"/>
      <c r="K76" s="14" t="n"/>
      <c r="L76" s="14" t="n"/>
    </row>
    <row r="77" ht="22" customHeight="1">
      <c r="B77" s="17">
        <f>IF(C77="","ABS-"&amp;TEXT(COUNTA($C$5:C77),"000"))</f>
        <v/>
      </c>
      <c r="C77" s="12" t="n"/>
      <c r="D77" s="12" t="n"/>
      <c r="E77" s="12" t="n"/>
      <c r="F77" s="27" t="n"/>
      <c r="G77" s="27" t="n"/>
      <c r="H77" s="23">
        <f>IF(OR(G77="",F77=""),"",G77-F77+1)</f>
        <v/>
      </c>
      <c r="I77" s="12" t="n"/>
      <c r="J77" s="12" t="n"/>
      <c r="K77" s="12" t="n"/>
      <c r="L77" s="12" t="n"/>
    </row>
    <row r="78" ht="22" customHeight="1">
      <c r="B78" s="16">
        <f>IF(C78="","ABS-"&amp;TEXT(COUNTA($C$5:C78),"000"))</f>
        <v/>
      </c>
      <c r="C78" s="14" t="n"/>
      <c r="D78" s="14" t="n"/>
      <c r="E78" s="14" t="n"/>
      <c r="F78" s="28" t="n"/>
      <c r="G78" s="28" t="n"/>
      <c r="H78" s="24">
        <f>IF(OR(G78="",F78=""),"",G78-F78+1)</f>
        <v/>
      </c>
      <c r="I78" s="14" t="n"/>
      <c r="J78" s="14" t="n"/>
      <c r="K78" s="14" t="n"/>
      <c r="L78" s="14" t="n"/>
    </row>
    <row r="79" ht="22" customHeight="1">
      <c r="B79" s="17">
        <f>IF(C79="","ABS-"&amp;TEXT(COUNTA($C$5:C79),"000"))</f>
        <v/>
      </c>
      <c r="C79" s="12" t="n"/>
      <c r="D79" s="12" t="n"/>
      <c r="E79" s="12" t="n"/>
      <c r="F79" s="27" t="n"/>
      <c r="G79" s="27" t="n"/>
      <c r="H79" s="23">
        <f>IF(OR(G79="",F79=""),"",G79-F79+1)</f>
        <v/>
      </c>
      <c r="I79" s="12" t="n"/>
      <c r="J79" s="12" t="n"/>
      <c r="K79" s="12" t="n"/>
      <c r="L79" s="12" t="n"/>
    </row>
    <row r="80" ht="22" customHeight="1">
      <c r="B80" s="16">
        <f>IF(C80="","ABS-"&amp;TEXT(COUNTA($C$5:C80),"000"))</f>
        <v/>
      </c>
      <c r="C80" s="14" t="n"/>
      <c r="D80" s="14" t="n"/>
      <c r="E80" s="14" t="n"/>
      <c r="F80" s="28" t="n"/>
      <c r="G80" s="28" t="n"/>
      <c r="H80" s="24">
        <f>IF(OR(G80="",F80=""),"",G80-F80+1)</f>
        <v/>
      </c>
      <c r="I80" s="14" t="n"/>
      <c r="J80" s="14" t="n"/>
      <c r="K80" s="14" t="n"/>
      <c r="L80" s="14" t="n"/>
    </row>
    <row r="81" ht="22" customHeight="1">
      <c r="B81" s="17">
        <f>IF(C81="","ABS-"&amp;TEXT(COUNTA($C$5:C81),"000"))</f>
        <v/>
      </c>
      <c r="C81" s="12" t="n"/>
      <c r="D81" s="12" t="n"/>
      <c r="E81" s="12" t="n"/>
      <c r="F81" s="27" t="n"/>
      <c r="G81" s="27" t="n"/>
      <c r="H81" s="23">
        <f>IF(OR(G81="",F81=""),"",G81-F81+1)</f>
        <v/>
      </c>
      <c r="I81" s="12" t="n"/>
      <c r="J81" s="12" t="n"/>
      <c r="K81" s="12" t="n"/>
      <c r="L81" s="12" t="n"/>
    </row>
    <row r="82" ht="22" customHeight="1">
      <c r="B82" s="16">
        <f>IF(C82="","ABS-"&amp;TEXT(COUNTA($C$5:C82),"000"))</f>
        <v/>
      </c>
      <c r="C82" s="14" t="n"/>
      <c r="D82" s="14" t="n"/>
      <c r="E82" s="14" t="n"/>
      <c r="F82" s="28" t="n"/>
      <c r="G82" s="28" t="n"/>
      <c r="H82" s="24">
        <f>IF(OR(G82="",F82=""),"",G82-F82+1)</f>
        <v/>
      </c>
      <c r="I82" s="14" t="n"/>
      <c r="J82" s="14" t="n"/>
      <c r="K82" s="14" t="n"/>
      <c r="L82" s="14" t="n"/>
    </row>
    <row r="83" ht="22" customHeight="1">
      <c r="B83" s="17">
        <f>IF(C83="","ABS-"&amp;TEXT(COUNTA($C$5:C83),"000"))</f>
        <v/>
      </c>
      <c r="C83" s="12" t="n"/>
      <c r="D83" s="12" t="n"/>
      <c r="E83" s="12" t="n"/>
      <c r="F83" s="27" t="n"/>
      <c r="G83" s="27" t="n"/>
      <c r="H83" s="23">
        <f>IF(OR(G83="",F83=""),"",G83-F83+1)</f>
        <v/>
      </c>
      <c r="I83" s="12" t="n"/>
      <c r="J83" s="12" t="n"/>
      <c r="K83" s="12" t="n"/>
      <c r="L83" s="12" t="n"/>
    </row>
    <row r="84" ht="22" customHeight="1">
      <c r="B84" s="16">
        <f>IF(C84="","ABS-"&amp;TEXT(COUNTA($C$5:C84),"000"))</f>
        <v/>
      </c>
      <c r="C84" s="14" t="n"/>
      <c r="D84" s="14" t="n"/>
      <c r="E84" s="14" t="n"/>
      <c r="F84" s="28" t="n"/>
      <c r="G84" s="28" t="n"/>
      <c r="H84" s="24">
        <f>IF(OR(G84="",F84=""),"",G84-F84+1)</f>
        <v/>
      </c>
      <c r="I84" s="14" t="n"/>
      <c r="J84" s="14" t="n"/>
      <c r="K84" s="14" t="n"/>
      <c r="L84" s="14" t="n"/>
    </row>
    <row r="85" ht="22" customHeight="1">
      <c r="B85" s="17">
        <f>IF(C85="","ABS-"&amp;TEXT(COUNTA($C$5:C85),"000"))</f>
        <v/>
      </c>
      <c r="C85" s="12" t="n"/>
      <c r="D85" s="12" t="n"/>
      <c r="E85" s="12" t="n"/>
      <c r="F85" s="27" t="n"/>
      <c r="G85" s="27" t="n"/>
      <c r="H85" s="23">
        <f>IF(OR(G85="",F85=""),"",G85-F85+1)</f>
        <v/>
      </c>
      <c r="I85" s="12" t="n"/>
      <c r="J85" s="12" t="n"/>
      <c r="K85" s="12" t="n"/>
      <c r="L85" s="12" t="n"/>
    </row>
    <row r="86" ht="22" customHeight="1">
      <c r="B86" s="16">
        <f>IF(C86="","ABS-"&amp;TEXT(COUNTA($C$5:C86),"000"))</f>
        <v/>
      </c>
      <c r="C86" s="14" t="n"/>
      <c r="D86" s="14" t="n"/>
      <c r="E86" s="14" t="n"/>
      <c r="F86" s="28" t="n"/>
      <c r="G86" s="28" t="n"/>
      <c r="H86" s="24">
        <f>IF(OR(G86="",F86=""),"",G86-F86+1)</f>
        <v/>
      </c>
      <c r="I86" s="14" t="n"/>
      <c r="J86" s="14" t="n"/>
      <c r="K86" s="14" t="n"/>
      <c r="L86" s="14" t="n"/>
    </row>
    <row r="87" ht="22" customHeight="1">
      <c r="B87" s="17">
        <f>IF(C87="","ABS-"&amp;TEXT(COUNTA($C$5:C87),"000"))</f>
        <v/>
      </c>
      <c r="C87" s="12" t="n"/>
      <c r="D87" s="12" t="n"/>
      <c r="E87" s="12" t="n"/>
      <c r="F87" s="27" t="n"/>
      <c r="G87" s="27" t="n"/>
      <c r="H87" s="23">
        <f>IF(OR(G87="",F87=""),"",G87-F87+1)</f>
        <v/>
      </c>
      <c r="I87" s="12" t="n"/>
      <c r="J87" s="12" t="n"/>
      <c r="K87" s="12" t="n"/>
      <c r="L87" s="12" t="n"/>
    </row>
    <row r="88" ht="22" customHeight="1">
      <c r="B88" s="16">
        <f>IF(C88="","ABS-"&amp;TEXT(COUNTA($C$5:C88),"000"))</f>
        <v/>
      </c>
      <c r="C88" s="14" t="n"/>
      <c r="D88" s="14" t="n"/>
      <c r="E88" s="14" t="n"/>
      <c r="F88" s="28" t="n"/>
      <c r="G88" s="28" t="n"/>
      <c r="H88" s="24">
        <f>IF(OR(G88="",F88=""),"",G88-F88+1)</f>
        <v/>
      </c>
      <c r="I88" s="14" t="n"/>
      <c r="J88" s="14" t="n"/>
      <c r="K88" s="14" t="n"/>
      <c r="L88" s="14" t="n"/>
    </row>
    <row r="89" ht="22" customHeight="1">
      <c r="B89" s="17">
        <f>IF(C89="","ABS-"&amp;TEXT(COUNTA($C$5:C89),"000"))</f>
        <v/>
      </c>
      <c r="C89" s="12" t="n"/>
      <c r="D89" s="12" t="n"/>
      <c r="E89" s="12" t="n"/>
      <c r="F89" s="27" t="n"/>
      <c r="G89" s="27" t="n"/>
      <c r="H89" s="23">
        <f>IF(OR(G89="",F89=""),"",G89-F89+1)</f>
        <v/>
      </c>
      <c r="I89" s="12" t="n"/>
      <c r="J89" s="12" t="n"/>
      <c r="K89" s="12" t="n"/>
      <c r="L89" s="12" t="n"/>
    </row>
    <row r="90" ht="22" customHeight="1">
      <c r="B90" s="16">
        <f>IF(C90="","ABS-"&amp;TEXT(COUNTA($C$5:C90),"000"))</f>
        <v/>
      </c>
      <c r="C90" s="14" t="n"/>
      <c r="D90" s="14" t="n"/>
      <c r="E90" s="14" t="n"/>
      <c r="F90" s="28" t="n"/>
      <c r="G90" s="28" t="n"/>
      <c r="H90" s="24">
        <f>IF(OR(G90="",F90=""),"",G90-F90+1)</f>
        <v/>
      </c>
      <c r="I90" s="14" t="n"/>
      <c r="J90" s="14" t="n"/>
      <c r="K90" s="14" t="n"/>
      <c r="L90" s="14" t="n"/>
    </row>
    <row r="91" ht="22" customHeight="1">
      <c r="B91" s="17">
        <f>IF(C91="","ABS-"&amp;TEXT(COUNTA($C$5:C91),"000"))</f>
        <v/>
      </c>
      <c r="C91" s="12" t="n"/>
      <c r="D91" s="12" t="n"/>
      <c r="E91" s="12" t="n"/>
      <c r="F91" s="27" t="n"/>
      <c r="G91" s="27" t="n"/>
      <c r="H91" s="23">
        <f>IF(OR(G91="",F91=""),"",G91-F91+1)</f>
        <v/>
      </c>
      <c r="I91" s="12" t="n"/>
      <c r="J91" s="12" t="n"/>
      <c r="K91" s="12" t="n"/>
      <c r="L91" s="12" t="n"/>
    </row>
    <row r="92" ht="22" customHeight="1">
      <c r="B92" s="16">
        <f>IF(C92="","ABS-"&amp;TEXT(COUNTA($C$5:C92),"000"))</f>
        <v/>
      </c>
      <c r="C92" s="14" t="n"/>
      <c r="D92" s="14" t="n"/>
      <c r="E92" s="14" t="n"/>
      <c r="F92" s="28" t="n"/>
      <c r="G92" s="28" t="n"/>
      <c r="H92" s="24">
        <f>IF(OR(G92="",F92=""),"",G92-F92+1)</f>
        <v/>
      </c>
      <c r="I92" s="14" t="n"/>
      <c r="J92" s="14" t="n"/>
      <c r="K92" s="14" t="n"/>
      <c r="L92" s="14" t="n"/>
    </row>
    <row r="93" ht="22" customHeight="1">
      <c r="B93" s="17">
        <f>IF(C93="","ABS-"&amp;TEXT(COUNTA($C$5:C93),"000"))</f>
        <v/>
      </c>
      <c r="C93" s="12" t="n"/>
      <c r="D93" s="12" t="n"/>
      <c r="E93" s="12" t="n"/>
      <c r="F93" s="27" t="n"/>
      <c r="G93" s="27" t="n"/>
      <c r="H93" s="23">
        <f>IF(OR(G93="",F93=""),"",G93-F93+1)</f>
        <v/>
      </c>
      <c r="I93" s="12" t="n"/>
      <c r="J93" s="12" t="n"/>
      <c r="K93" s="12" t="n"/>
      <c r="L93" s="12" t="n"/>
    </row>
    <row r="94" ht="22" customHeight="1">
      <c r="B94" s="16">
        <f>IF(C94="","ABS-"&amp;TEXT(COUNTA($C$5:C94),"000"))</f>
        <v/>
      </c>
      <c r="C94" s="14" t="n"/>
      <c r="D94" s="14" t="n"/>
      <c r="E94" s="14" t="n"/>
      <c r="F94" s="28" t="n"/>
      <c r="G94" s="28" t="n"/>
      <c r="H94" s="24">
        <f>IF(OR(G94="",F94=""),"",G94-F94+1)</f>
        <v/>
      </c>
      <c r="I94" s="14" t="n"/>
      <c r="J94" s="14" t="n"/>
      <c r="K94" s="14" t="n"/>
      <c r="L94" s="14" t="n"/>
    </row>
    <row r="95" ht="22" customHeight="1">
      <c r="B95" s="17">
        <f>IF(C95="","ABS-"&amp;TEXT(COUNTA($C$5:C95),"000"))</f>
        <v/>
      </c>
      <c r="C95" s="12" t="n"/>
      <c r="D95" s="12" t="n"/>
      <c r="E95" s="12" t="n"/>
      <c r="F95" s="27" t="n"/>
      <c r="G95" s="27" t="n"/>
      <c r="H95" s="23">
        <f>IF(OR(G95="",F95=""),"",G95-F95+1)</f>
        <v/>
      </c>
      <c r="I95" s="12" t="n"/>
      <c r="J95" s="12" t="n"/>
      <c r="K95" s="12" t="n"/>
      <c r="L95" s="12" t="n"/>
    </row>
    <row r="96" ht="22" customHeight="1">
      <c r="B96" s="16">
        <f>IF(C96="","ABS-"&amp;TEXT(COUNTA($C$5:C96),"000"))</f>
        <v/>
      </c>
      <c r="C96" s="14" t="n"/>
      <c r="D96" s="14" t="n"/>
      <c r="E96" s="14" t="n"/>
      <c r="F96" s="28" t="n"/>
      <c r="G96" s="28" t="n"/>
      <c r="H96" s="24">
        <f>IF(OR(G96="",F96=""),"",G96-F96+1)</f>
        <v/>
      </c>
      <c r="I96" s="14" t="n"/>
      <c r="J96" s="14" t="n"/>
      <c r="K96" s="14" t="n"/>
      <c r="L96" s="14" t="n"/>
    </row>
    <row r="97" ht="22" customHeight="1">
      <c r="B97" s="17">
        <f>IF(C97="","ABS-"&amp;TEXT(COUNTA($C$5:C97),"000"))</f>
        <v/>
      </c>
      <c r="C97" s="12" t="n"/>
      <c r="D97" s="12" t="n"/>
      <c r="E97" s="12" t="n"/>
      <c r="F97" s="27" t="n"/>
      <c r="G97" s="27" t="n"/>
      <c r="H97" s="23">
        <f>IF(OR(G97="",F97=""),"",G97-F97+1)</f>
        <v/>
      </c>
      <c r="I97" s="12" t="n"/>
      <c r="J97" s="12" t="n"/>
      <c r="K97" s="12" t="n"/>
      <c r="L97" s="12" t="n"/>
    </row>
    <row r="98" ht="22" customHeight="1">
      <c r="B98" s="16">
        <f>IF(C98="","ABS-"&amp;TEXT(COUNTA($C$5:C98),"000"))</f>
        <v/>
      </c>
      <c r="C98" s="14" t="n"/>
      <c r="D98" s="14" t="n"/>
      <c r="E98" s="14" t="n"/>
      <c r="F98" s="28" t="n"/>
      <c r="G98" s="28" t="n"/>
      <c r="H98" s="24">
        <f>IF(OR(G98="",F98=""),"",G98-F98+1)</f>
        <v/>
      </c>
      <c r="I98" s="14" t="n"/>
      <c r="J98" s="14" t="n"/>
      <c r="K98" s="14" t="n"/>
      <c r="L98" s="14" t="n"/>
    </row>
    <row r="99" ht="22" customHeight="1">
      <c r="B99" s="17">
        <f>IF(C99="","ABS-"&amp;TEXT(COUNTA($C$5:C99),"000"))</f>
        <v/>
      </c>
      <c r="C99" s="12" t="n"/>
      <c r="D99" s="12" t="n"/>
      <c r="E99" s="12" t="n"/>
      <c r="F99" s="27" t="n"/>
      <c r="G99" s="27" t="n"/>
      <c r="H99" s="23">
        <f>IF(OR(G99="",F99=""),"",G99-F99+1)</f>
        <v/>
      </c>
      <c r="I99" s="12" t="n"/>
      <c r="J99" s="12" t="n"/>
      <c r="K99" s="12" t="n"/>
      <c r="L99" s="12" t="n"/>
    </row>
    <row r="100" ht="22" customHeight="1">
      <c r="B100" s="16">
        <f>IF(C100="","ABS-"&amp;TEXT(COUNTA($C$5:C100),"000"))</f>
        <v/>
      </c>
      <c r="C100" s="14" t="n"/>
      <c r="D100" s="14" t="n"/>
      <c r="E100" s="14" t="n"/>
      <c r="F100" s="28" t="n"/>
      <c r="G100" s="28" t="n"/>
      <c r="H100" s="24">
        <f>IF(OR(G100="",F100=""),"",G100-F100+1)</f>
        <v/>
      </c>
      <c r="I100" s="14" t="n"/>
      <c r="J100" s="14" t="n"/>
      <c r="K100" s="14" t="n"/>
      <c r="L100" s="14" t="n"/>
    </row>
    <row r="101" ht="22" customHeight="1">
      <c r="B101" s="17">
        <f>IF(C101="","ABS-"&amp;TEXT(COUNTA($C$5:C101),"000"))</f>
        <v/>
      </c>
      <c r="C101" s="12" t="n"/>
      <c r="D101" s="12" t="n"/>
      <c r="E101" s="12" t="n"/>
      <c r="F101" s="27" t="n"/>
      <c r="G101" s="27" t="n"/>
      <c r="H101" s="23">
        <f>IF(OR(G101="",F101=""),"",G101-F101+1)</f>
        <v/>
      </c>
      <c r="I101" s="12" t="n"/>
      <c r="J101" s="12" t="n"/>
      <c r="K101" s="12" t="n"/>
      <c r="L101" s="12" t="n"/>
    </row>
    <row r="102" ht="22" customHeight="1">
      <c r="B102" s="16">
        <f>IF(C102="","ABS-"&amp;TEXT(COUNTA($C$5:C102),"000"))</f>
        <v/>
      </c>
      <c r="C102" s="14" t="n"/>
      <c r="D102" s="14" t="n"/>
      <c r="E102" s="14" t="n"/>
      <c r="F102" s="28" t="n"/>
      <c r="G102" s="28" t="n"/>
      <c r="H102" s="24">
        <f>IF(OR(G102="",F102=""),"",G102-F102+1)</f>
        <v/>
      </c>
      <c r="I102" s="14" t="n"/>
      <c r="J102" s="14" t="n"/>
      <c r="K102" s="14" t="n"/>
      <c r="L102" s="14" t="n"/>
    </row>
    <row r="103" ht="22" customHeight="1">
      <c r="B103" s="17">
        <f>IF(C103="","ABS-"&amp;TEXT(COUNTA($C$5:C103),"000"))</f>
        <v/>
      </c>
      <c r="C103" s="12" t="n"/>
      <c r="D103" s="12" t="n"/>
      <c r="E103" s="12" t="n"/>
      <c r="F103" s="27" t="n"/>
      <c r="G103" s="27" t="n"/>
      <c r="H103" s="23">
        <f>IF(OR(G103="",F103=""),"",G103-F103+1)</f>
        <v/>
      </c>
      <c r="I103" s="12" t="n"/>
      <c r="J103" s="12" t="n"/>
      <c r="K103" s="12" t="n"/>
      <c r="L103" s="12" t="n"/>
    </row>
    <row r="104" ht="22" customHeight="1">
      <c r="B104" s="16">
        <f>IF(C104="","ABS-"&amp;TEXT(COUNTA($C$5:C104),"000"))</f>
        <v/>
      </c>
      <c r="C104" s="14" t="n"/>
      <c r="D104" s="14" t="n"/>
      <c r="E104" s="14" t="n"/>
      <c r="F104" s="28" t="n"/>
      <c r="G104" s="28" t="n"/>
      <c r="H104" s="24">
        <f>IF(OR(G104="",F104=""),"",G104-F104+1)</f>
        <v/>
      </c>
      <c r="I104" s="14" t="n"/>
      <c r="J104" s="14" t="n"/>
      <c r="K104" s="14" t="n"/>
      <c r="L104" s="14" t="n"/>
    </row>
    <row r="105" ht="22" customHeight="1">
      <c r="B105" s="17">
        <f>IF(C105="","ABS-"&amp;TEXT(COUNTA($C$5:C105),"000"))</f>
        <v/>
      </c>
      <c r="C105" s="12" t="n"/>
      <c r="D105" s="12" t="n"/>
      <c r="E105" s="12" t="n"/>
      <c r="F105" s="27" t="n"/>
      <c r="G105" s="27" t="n"/>
      <c r="H105" s="23">
        <f>IF(OR(G105="",F105=""),"",G105-F105+1)</f>
        <v/>
      </c>
      <c r="I105" s="12" t="n"/>
      <c r="J105" s="12" t="n"/>
      <c r="K105" s="12" t="n"/>
      <c r="L105" s="12" t="n"/>
    </row>
    <row r="106" ht="22" customHeight="1">
      <c r="B106" s="16">
        <f>IF(C106="","ABS-"&amp;TEXT(COUNTA($C$5:C106),"000"))</f>
        <v/>
      </c>
      <c r="C106" s="14" t="n"/>
      <c r="D106" s="14" t="n"/>
      <c r="E106" s="14" t="n"/>
      <c r="F106" s="28" t="n"/>
      <c r="G106" s="28" t="n"/>
      <c r="H106" s="24">
        <f>IF(OR(G106="",F106=""),"",G106-F106+1)</f>
        <v/>
      </c>
      <c r="I106" s="14" t="n"/>
      <c r="J106" s="14" t="n"/>
      <c r="K106" s="14" t="n"/>
      <c r="L106" s="14" t="n"/>
    </row>
    <row r="107" ht="22" customHeight="1">
      <c r="B107" s="17">
        <f>IF(C107="","ABS-"&amp;TEXT(COUNTA($C$5:C107),"000"))</f>
        <v/>
      </c>
      <c r="C107" s="12" t="n"/>
      <c r="D107" s="12" t="n"/>
      <c r="E107" s="12" t="n"/>
      <c r="F107" s="27" t="n"/>
      <c r="G107" s="27" t="n"/>
      <c r="H107" s="23">
        <f>IF(OR(G107="",F107=""),"",G107-F107+1)</f>
        <v/>
      </c>
      <c r="I107" s="12" t="n"/>
      <c r="J107" s="12" t="n"/>
      <c r="K107" s="12" t="n"/>
      <c r="L107" s="12" t="n"/>
    </row>
    <row r="108"/>
    <row r="109">
      <c r="B109" s="6" t="inlineStr">
        <is>
          <t>INDICATEURS (mis a jour automatiquement)</t>
        </is>
      </c>
    </row>
    <row r="110">
      <c r="B110" s="3" t="inlineStr">
        <is>
          <t>Total absences</t>
        </is>
      </c>
      <c r="D110" s="3" t="inlineStr">
        <is>
          <t>Justifiées</t>
        </is>
      </c>
      <c r="F110" s="3" t="inlineStr">
        <is>
          <t>Non justifiées</t>
        </is>
      </c>
      <c r="H110" s="3" t="inlineStr">
        <is>
          <t>Total jours absences</t>
        </is>
      </c>
    </row>
    <row r="111">
      <c r="B111" s="4">
        <f>COUNTIF(B5:B104,"&lt;&gt;")</f>
        <v/>
      </c>
      <c r="D111" s="4">
        <f>COUNTIF(J5:J104,"Justifiee")</f>
        <v/>
      </c>
      <c r="F111" s="4">
        <f>COUNTIF(J5:J104,"Non justifiee")</f>
        <v/>
      </c>
      <c r="H111" s="4">
        <f>SUM(H5:H104)</f>
        <v/>
      </c>
    </row>
  </sheetData>
  <mergeCells count="3">
    <mergeCell ref="B2:L2"/>
    <mergeCell ref="B109:L109"/>
    <mergeCell ref="B3:L3"/>
  </mergeCells>
  <conditionalFormatting sqref="J5:J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"Soumise"</formula>
    </cfRule>
    <cfRule type="cellIs" priority="9" operator="equal" dxfId="0">
      <formula>"Traite"</formula>
    </cfRule>
    <cfRule type="cellIs" priority="10" operator="equal" dxfId="0">
      <formula>"Clos"</formula>
    </cfRule>
    <cfRule type="cellIs" priority="11" operator="equal" dxfId="0">
      <formula>"Solde"</formula>
    </cfRule>
    <cfRule type="cellIs" priority="12" operator="equal" dxfId="0">
      <formula>"Pris"</formula>
    </cfRule>
    <cfRule type="cellIs" priority="13" operator="equal" dxfId="1">
      <formula>"En attente"</formula>
    </cfRule>
    <cfRule type="cellIs" priority="14" operator="equal" dxfId="1">
      <formula>"A renouveler"</formula>
    </cfRule>
    <cfRule type="cellIs" priority="15" operator="equal" dxfId="1">
      <formula>"En renouvellement"</formula>
    </cfRule>
    <cfRule type="cellIs" priority="16" operator="equal" dxfId="1">
      <formula>"En cours"</formula>
    </cfRule>
    <cfRule type="cellIs" priority="17" operator="equal" dxfId="1">
      <formula>"En traitement"</formula>
    </cfRule>
    <cfRule type="cellIs" priority="18" operator="equal" dxfId="1">
      <formula>"En retard"</formula>
    </cfRule>
    <cfRule type="cellIs" priority="19" operator="equal" dxfId="1">
      <formula>"Suspendu"</formula>
    </cfRule>
    <cfRule type="cellIs" priority="20" operator="equal" dxfId="1">
      <formula>"A verifier"</formula>
    </cfRule>
    <cfRule type="cellIs" priority="21" operator="equal" dxfId="2">
      <formula>"Expire"</formula>
    </cfRule>
    <cfRule type="cellIs" priority="22" operator="equal" dxfId="2">
      <formula>"Rejete"</formula>
    </cfRule>
    <cfRule type="cellIs" priority="23" operator="equal" dxfId="2">
      <formula>"Rejetee"</formula>
    </cfRule>
    <cfRule type="cellIs" priority="24" operator="equal" dxfId="2">
      <formula>"Resilie"</formula>
    </cfRule>
    <cfRule type="cellIs" priority="25" operator="equal" dxfId="2">
      <formula>"Echu"</formula>
    </cfRule>
    <cfRule type="cellIs" priority="26" operator="equal" dxfId="2">
      <formula>"Refuse"</formula>
    </cfRule>
    <cfRule type="cellIs" priority="27" operator="equal" dxfId="2">
      <formula>"Annulee"</formula>
    </cfRule>
    <cfRule type="cellIs" priority="28" operator="equal" dxfId="2">
      <formula>"Departi"</formula>
    </cfRule>
    <cfRule type="cellIs" priority="29" operator="equal" dxfId="2">
      <formula>"Cloture"</formula>
    </cfRule>
    <cfRule type="cellIs" priority="30" operator="equal" dxfId="2">
      <formula>"Non justifiee"</formula>
    </cfRule>
    <cfRule type="cellIs" priority="31" operator="equal" dxfId="2">
      <formula>"Manquant"</formula>
    </cfRule>
  </conditionalFormatting>
  <conditionalFormatting sqref="B8:B107">
    <cfRule type="expression" priority="32" dxfId="3">
      <formula>AND($C8="",$C7&lt;&gt;"")</formula>
    </cfRule>
  </conditionalFormatting>
  <conditionalFormatting sqref="C8:C107">
    <cfRule type="expression" priority="33" dxfId="3">
      <formula>AND($C8="",$C7&lt;&gt;"")</formula>
    </cfRule>
  </conditionalFormatting>
  <conditionalFormatting sqref="D8:D107">
    <cfRule type="expression" priority="34" dxfId="3">
      <formula>AND($C8="",$C7&lt;&gt;"")</formula>
    </cfRule>
  </conditionalFormatting>
  <conditionalFormatting sqref="E8:E107">
    <cfRule type="expression" priority="35" dxfId="3">
      <formula>AND($C8="",$C7&lt;&gt;"")</formula>
    </cfRule>
  </conditionalFormatting>
  <conditionalFormatting sqref="F8:F107">
    <cfRule type="expression" priority="36" dxfId="3">
      <formula>AND($C8="",$C7&lt;&gt;"")</formula>
    </cfRule>
  </conditionalFormatting>
  <conditionalFormatting sqref="G8:G107">
    <cfRule type="expression" priority="37" dxfId="3">
      <formula>AND($C8="",$C7&lt;&gt;"")</formula>
    </cfRule>
  </conditionalFormatting>
  <conditionalFormatting sqref="H8:H107">
    <cfRule type="expression" priority="38" dxfId="3">
      <formula>AND($C8="",$C7&lt;&gt;"")</formula>
    </cfRule>
  </conditionalFormatting>
  <conditionalFormatting sqref="I8:I107">
    <cfRule type="expression" priority="39" dxfId="3">
      <formula>AND($C8="",$C7&lt;&gt;"")</formula>
    </cfRule>
  </conditionalFormatting>
  <conditionalFormatting sqref="J8:J107">
    <cfRule type="expression" priority="40" dxfId="3">
      <formula>AND($C8="",$C7&lt;&gt;"")</formula>
    </cfRule>
  </conditionalFormatting>
  <conditionalFormatting sqref="K8:K107">
    <cfRule type="expression" priority="41" dxfId="3">
      <formula>AND($C8="",$C7&lt;&gt;"")</formula>
    </cfRule>
  </conditionalFormatting>
  <conditionalFormatting sqref="L8:L107">
    <cfRule type="expression" priority="42" dxfId="3">
      <formula>AND($C8="",$C7&lt;&gt;"")</formula>
    </cfRule>
  </conditionalFormatting>
  <dataValidations count="3">
    <dataValidation sqref="E5:E107" showDropDown="0" showInputMessage="0" showErrorMessage="0" allowBlank="1" errorTitle="Erreur" error="Valeur invalide" promptTitle="Liste" prompt="Choisir dans la liste" type="list">
      <formula1>'_Lists'!$W$2:$W$9</formula1>
    </dataValidation>
    <dataValidation sqref="I5:I107" showDropDown="0" showInputMessage="0" showErrorMessage="0" allowBlank="1" errorTitle="Erreur" error="Valeur invalide" promptTitle="Liste" prompt="Choisir dans la liste" type="list">
      <formula1>'_Lists'!$AN$2:$AN$3</formula1>
    </dataValidation>
    <dataValidation sqref="J5:J107" showDropDown="0" showInputMessage="0" showErrorMessage="0" allowBlank="1" errorTitle="Erreur" error="Valeur invalide" promptTitle="Liste" prompt="Choisir dans la liste" type="list">
      <formula1>'_Lists'!$X$2:$X$6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20" customWidth="1" min="4" max="4"/>
    <col width="14" customWidth="1" min="5" max="5"/>
    <col width="18" customWidth="1" min="6" max="6"/>
    <col width="14" customWidth="1" min="7" max="7"/>
    <col width="18" customWidth="1" min="8" max="8"/>
    <col width="18" customWidth="1" min="9" max="9"/>
    <col width="20" customWidth="1" min="10" max="10"/>
    <col width="18" customWidth="1" min="11" max="11"/>
  </cols>
  <sheetData>
    <row r="1" ht="15" customHeight="1"/>
    <row r="2" ht="32" customHeight="1">
      <c r="B2" s="1" t="inlineStr">
        <is>
          <t>HEURES SUPPLEMENTAIRES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Matricule</t>
        </is>
      </c>
      <c r="D4" s="11" t="inlineStr">
        <is>
          <t>Nom Employé</t>
        </is>
      </c>
      <c r="E4" s="11" t="inlineStr">
        <is>
          <t>Semaine</t>
        </is>
      </c>
      <c r="F4" s="11" t="inlineStr">
        <is>
          <t>Heures Normales</t>
        </is>
      </c>
      <c r="G4" s="11" t="inlineStr">
        <is>
          <t>Heures Supp</t>
        </is>
      </c>
      <c r="H4" s="11" t="inlineStr">
        <is>
          <t>Taux Majoration</t>
        </is>
      </c>
      <c r="I4" s="11" t="inlineStr">
        <is>
          <t>Montant (FCFA)</t>
        </is>
      </c>
      <c r="J4" s="11" t="inlineStr">
        <is>
          <t>Montant Calculé (FCFA)</t>
        </is>
      </c>
      <c r="K4" s="11" t="inlineStr">
        <is>
          <t>Statut</t>
        </is>
      </c>
      <c r="L4" s="11" t="inlineStr">
        <is>
          <t>Validé Par</t>
        </is>
      </c>
    </row>
    <row r="5" ht="22" customHeight="1">
      <c r="B5" s="12" t="inlineStr">
        <is>
          <t>HS-001</t>
        </is>
      </c>
      <c r="C5" s="12" t="inlineStr">
        <is>
          <t>EMP-005</t>
        </is>
      </c>
      <c r="D5" s="12" t="inlineStr">
        <is>
          <t>Kamga Paul</t>
        </is>
      </c>
      <c r="E5" s="12" t="inlineStr">
        <is>
          <t>S12-2025</t>
        </is>
      </c>
      <c r="F5" s="23" t="n">
        <v>40</v>
      </c>
      <c r="G5" s="23" t="n">
        <v>8</v>
      </c>
      <c r="H5" s="12" t="inlineStr">
        <is>
          <t>125%</t>
        </is>
      </c>
      <c r="I5" s="18" t="n"/>
      <c r="J5" s="18">
        <f>IF(OR(G5="",H5=""),"",IFERROR(G5*2000,0))</f>
        <v/>
      </c>
      <c r="K5" s="12" t="inlineStr">
        <is>
          <t>Validee</t>
        </is>
      </c>
      <c r="L5" s="12" t="inlineStr">
        <is>
          <t>Chef Diallo</t>
        </is>
      </c>
    </row>
    <row r="6" ht="22" customHeight="1">
      <c r="B6" s="14" t="inlineStr">
        <is>
          <t>HS-002</t>
        </is>
      </c>
      <c r="C6" s="14" t="inlineStr">
        <is>
          <t>EMP-005</t>
        </is>
      </c>
      <c r="D6" s="14" t="inlineStr">
        <is>
          <t>Kamga Paul</t>
        </is>
      </c>
      <c r="E6" s="14" t="inlineStr">
        <is>
          <t>S13-2025</t>
        </is>
      </c>
      <c r="F6" s="24" t="n">
        <v>40</v>
      </c>
      <c r="G6" s="24" t="n">
        <v>12</v>
      </c>
      <c r="H6" s="14" t="inlineStr">
        <is>
          <t>150%</t>
        </is>
      </c>
      <c r="I6" s="19" t="n"/>
      <c r="J6" s="19">
        <f>IF(OR(G6="",H6=""),"",IFERROR(G6*2000,0))</f>
        <v/>
      </c>
      <c r="K6" s="14" t="inlineStr">
        <is>
          <t>Validee</t>
        </is>
      </c>
      <c r="L6" s="14" t="inlineStr">
        <is>
          <t>Chef Diallo</t>
        </is>
      </c>
    </row>
    <row r="7" ht="22" customHeight="1">
      <c r="B7" s="12" t="inlineStr">
        <is>
          <t>HS-003</t>
        </is>
      </c>
      <c r="C7" s="12" t="inlineStr">
        <is>
          <t>EMP-004</t>
        </is>
      </c>
      <c r="D7" s="12" t="inlineStr">
        <is>
          <t>Nkoulou Mbarga</t>
        </is>
      </c>
      <c r="E7" s="12" t="inlineStr">
        <is>
          <t>S13-2025</t>
        </is>
      </c>
      <c r="F7" s="23" t="n">
        <v>40</v>
      </c>
      <c r="G7" s="23" t="n">
        <v>6</v>
      </c>
      <c r="H7" s="12" t="inlineStr">
        <is>
          <t>125%</t>
        </is>
      </c>
      <c r="I7" s="18" t="n"/>
      <c r="J7" s="18">
        <f>IF(OR(G7="",H7=""),"",IFERROR(G7*2000,0))</f>
        <v/>
      </c>
      <c r="K7" s="12" t="inlineStr">
        <is>
          <t>En attente</t>
        </is>
      </c>
      <c r="L7" s="12" t="inlineStr">
        <is>
          <t>Superviseur</t>
        </is>
      </c>
    </row>
    <row r="8" ht="22" customHeight="1">
      <c r="B8" s="14" t="inlineStr">
        <is>
          <t>HS-004</t>
        </is>
      </c>
      <c r="C8" s="14" t="inlineStr">
        <is>
          <t>EMP-002</t>
        </is>
      </c>
      <c r="D8" s="14" t="inlineStr">
        <is>
          <t>Tchinda Armand</t>
        </is>
      </c>
      <c r="E8" s="14" t="inlineStr">
        <is>
          <t>S14-2025</t>
        </is>
      </c>
      <c r="F8" s="24" t="n">
        <v>40</v>
      </c>
      <c r="G8" s="24" t="n">
        <v>4</v>
      </c>
      <c r="H8" s="14" t="inlineStr">
        <is>
          <t>150%</t>
        </is>
      </c>
      <c r="I8" s="19" t="n"/>
      <c r="J8" s="19">
        <f>IF(OR(G8="",H8=""),"",IFERROR(G8*2000,0))</f>
        <v/>
      </c>
      <c r="K8" s="14" t="inlineStr">
        <is>
          <t>En attente</t>
        </is>
      </c>
      <c r="L8" s="14" t="inlineStr">
        <is>
          <t>DRH Nganou</t>
        </is>
      </c>
    </row>
    <row r="9" ht="22" customHeight="1">
      <c r="B9" s="17">
        <f>IF(C9="","HS-"&amp;TEXT(COUNTA($C$5:C9),"000"))</f>
        <v/>
      </c>
      <c r="C9" s="12" t="n"/>
      <c r="D9" s="12" t="n"/>
      <c r="E9" s="12" t="n"/>
      <c r="F9" s="23" t="n"/>
      <c r="G9" s="23" t="n"/>
      <c r="H9" s="12" t="n"/>
      <c r="I9" s="18" t="n"/>
      <c r="J9" s="18">
        <f>IF(OR(G9="",H9=""),"",IFERROR(G9*2000,0))</f>
        <v/>
      </c>
      <c r="K9" s="12" t="n"/>
      <c r="L9" s="12" t="n"/>
    </row>
    <row r="10" ht="22" customHeight="1">
      <c r="B10" s="16">
        <f>IF(C10="","HS-"&amp;TEXT(COUNTA($C$5:C10),"000"))</f>
        <v/>
      </c>
      <c r="C10" s="14" t="n"/>
      <c r="D10" s="14" t="n"/>
      <c r="E10" s="14" t="n"/>
      <c r="F10" s="24" t="n"/>
      <c r="G10" s="24" t="n"/>
      <c r="H10" s="14" t="n"/>
      <c r="I10" s="19" t="n"/>
      <c r="J10" s="19">
        <f>IF(OR(G10="",H10=""),"",IFERROR(G10*2000,0))</f>
        <v/>
      </c>
      <c r="K10" s="14" t="n"/>
      <c r="L10" s="14" t="n"/>
    </row>
    <row r="11" ht="22" customHeight="1">
      <c r="B11" s="17">
        <f>IF(C11="","HS-"&amp;TEXT(COUNTA($C$5:C11),"000"))</f>
        <v/>
      </c>
      <c r="C11" s="12" t="n"/>
      <c r="D11" s="12" t="n"/>
      <c r="E11" s="12" t="n"/>
      <c r="F11" s="23" t="n"/>
      <c r="G11" s="23" t="n"/>
      <c r="H11" s="12" t="n"/>
      <c r="I11" s="18" t="n"/>
      <c r="J11" s="18">
        <f>IF(OR(G11="",H11=""),"",IFERROR(G11*2000,0))</f>
        <v/>
      </c>
      <c r="K11" s="12" t="n"/>
      <c r="L11" s="12" t="n"/>
    </row>
    <row r="12" ht="22" customHeight="1">
      <c r="B12" s="16">
        <f>IF(C12="","HS-"&amp;TEXT(COUNTA($C$5:C12),"000"))</f>
        <v/>
      </c>
      <c r="C12" s="14" t="n"/>
      <c r="D12" s="14" t="n"/>
      <c r="E12" s="14" t="n"/>
      <c r="F12" s="24" t="n"/>
      <c r="G12" s="24" t="n"/>
      <c r="H12" s="14" t="n"/>
      <c r="I12" s="19" t="n"/>
      <c r="J12" s="19">
        <f>IF(OR(G12="",H12=""),"",IFERROR(G12*2000,0))</f>
        <v/>
      </c>
      <c r="K12" s="14" t="n"/>
      <c r="L12" s="14" t="n"/>
    </row>
    <row r="13" ht="22" customHeight="1">
      <c r="B13" s="17">
        <f>IF(C13="","HS-"&amp;TEXT(COUNTA($C$5:C13),"000"))</f>
        <v/>
      </c>
      <c r="C13" s="12" t="n"/>
      <c r="D13" s="12" t="n"/>
      <c r="E13" s="12" t="n"/>
      <c r="F13" s="23" t="n"/>
      <c r="G13" s="23" t="n"/>
      <c r="H13" s="12" t="n"/>
      <c r="I13" s="18" t="n"/>
      <c r="J13" s="18">
        <f>IF(OR(G13="",H13=""),"",IFERROR(G13*2000,0))</f>
        <v/>
      </c>
      <c r="K13" s="12" t="n"/>
      <c r="L13" s="12" t="n"/>
    </row>
    <row r="14" ht="22" customHeight="1">
      <c r="B14" s="16">
        <f>IF(C14="","HS-"&amp;TEXT(COUNTA($C$5:C14),"000"))</f>
        <v/>
      </c>
      <c r="C14" s="14" t="n"/>
      <c r="D14" s="14" t="n"/>
      <c r="E14" s="14" t="n"/>
      <c r="F14" s="24" t="n"/>
      <c r="G14" s="24" t="n"/>
      <c r="H14" s="14" t="n"/>
      <c r="I14" s="19" t="n"/>
      <c r="J14" s="19">
        <f>IF(OR(G14="",H14=""),"",IFERROR(G14*2000,0))</f>
        <v/>
      </c>
      <c r="K14" s="14" t="n"/>
      <c r="L14" s="14" t="n"/>
    </row>
    <row r="15" ht="22" customHeight="1">
      <c r="B15" s="17">
        <f>IF(C15="","HS-"&amp;TEXT(COUNTA($C$5:C15),"000"))</f>
        <v/>
      </c>
      <c r="C15" s="12" t="n"/>
      <c r="D15" s="12" t="n"/>
      <c r="E15" s="12" t="n"/>
      <c r="F15" s="23" t="n"/>
      <c r="G15" s="23" t="n"/>
      <c r="H15" s="12" t="n"/>
      <c r="I15" s="18" t="n"/>
      <c r="J15" s="18">
        <f>IF(OR(G15="",H15=""),"",IFERROR(G15*2000,0))</f>
        <v/>
      </c>
      <c r="K15" s="12" t="n"/>
      <c r="L15" s="12" t="n"/>
    </row>
    <row r="16" ht="22" customHeight="1">
      <c r="B16" s="16">
        <f>IF(C16="","HS-"&amp;TEXT(COUNTA($C$5:C16),"000"))</f>
        <v/>
      </c>
      <c r="C16" s="14" t="n"/>
      <c r="D16" s="14" t="n"/>
      <c r="E16" s="14" t="n"/>
      <c r="F16" s="24" t="n"/>
      <c r="G16" s="24" t="n"/>
      <c r="H16" s="14" t="n"/>
      <c r="I16" s="19" t="n"/>
      <c r="J16" s="19">
        <f>IF(OR(G16="",H16=""),"",IFERROR(G16*2000,0))</f>
        <v/>
      </c>
      <c r="K16" s="14" t="n"/>
      <c r="L16" s="14" t="n"/>
    </row>
    <row r="17" ht="22" customHeight="1">
      <c r="B17" s="17">
        <f>IF(C17="","HS-"&amp;TEXT(COUNTA($C$5:C17),"000"))</f>
        <v/>
      </c>
      <c r="C17" s="12" t="n"/>
      <c r="D17" s="12" t="n"/>
      <c r="E17" s="12" t="n"/>
      <c r="F17" s="23" t="n"/>
      <c r="G17" s="23" t="n"/>
      <c r="H17" s="12" t="n"/>
      <c r="I17" s="18" t="n"/>
      <c r="J17" s="18">
        <f>IF(OR(G17="",H17=""),"",IFERROR(G17*2000,0))</f>
        <v/>
      </c>
      <c r="K17" s="12" t="n"/>
      <c r="L17" s="12" t="n"/>
    </row>
    <row r="18" ht="22" customHeight="1">
      <c r="B18" s="16">
        <f>IF(C18="","HS-"&amp;TEXT(COUNTA($C$5:C18),"000"))</f>
        <v/>
      </c>
      <c r="C18" s="14" t="n"/>
      <c r="D18" s="14" t="n"/>
      <c r="E18" s="14" t="n"/>
      <c r="F18" s="24" t="n"/>
      <c r="G18" s="24" t="n"/>
      <c r="H18" s="14" t="n"/>
      <c r="I18" s="19" t="n"/>
      <c r="J18" s="19">
        <f>IF(OR(G18="",H18=""),"",IFERROR(G18*2000,0))</f>
        <v/>
      </c>
      <c r="K18" s="14" t="n"/>
      <c r="L18" s="14" t="n"/>
    </row>
    <row r="19" ht="22" customHeight="1">
      <c r="B19" s="17">
        <f>IF(C19="","HS-"&amp;TEXT(COUNTA($C$5:C19),"000"))</f>
        <v/>
      </c>
      <c r="C19" s="12" t="n"/>
      <c r="D19" s="12" t="n"/>
      <c r="E19" s="12" t="n"/>
      <c r="F19" s="23" t="n"/>
      <c r="G19" s="23" t="n"/>
      <c r="H19" s="12" t="n"/>
      <c r="I19" s="18" t="n"/>
      <c r="J19" s="18">
        <f>IF(OR(G19="",H19=""),"",IFERROR(G19*2000,0))</f>
        <v/>
      </c>
      <c r="K19" s="12" t="n"/>
      <c r="L19" s="12" t="n"/>
    </row>
    <row r="20" ht="22" customHeight="1">
      <c r="B20" s="16">
        <f>IF(C20="","HS-"&amp;TEXT(COUNTA($C$5:C20),"000"))</f>
        <v/>
      </c>
      <c r="C20" s="14" t="n"/>
      <c r="D20" s="14" t="n"/>
      <c r="E20" s="14" t="n"/>
      <c r="F20" s="24" t="n"/>
      <c r="G20" s="24" t="n"/>
      <c r="H20" s="14" t="n"/>
      <c r="I20" s="19" t="n"/>
      <c r="J20" s="19">
        <f>IF(OR(G20="",H20=""),"",IFERROR(G20*2000,0))</f>
        <v/>
      </c>
      <c r="K20" s="14" t="n"/>
      <c r="L20" s="14" t="n"/>
    </row>
    <row r="21" ht="22" customHeight="1">
      <c r="B21" s="17">
        <f>IF(C21="","HS-"&amp;TEXT(COUNTA($C$5:C21),"000"))</f>
        <v/>
      </c>
      <c r="C21" s="12" t="n"/>
      <c r="D21" s="12" t="n"/>
      <c r="E21" s="12" t="n"/>
      <c r="F21" s="23" t="n"/>
      <c r="G21" s="23" t="n"/>
      <c r="H21" s="12" t="n"/>
      <c r="I21" s="18" t="n"/>
      <c r="J21" s="18">
        <f>IF(OR(G21="",H21=""),"",IFERROR(G21*2000,0))</f>
        <v/>
      </c>
      <c r="K21" s="12" t="n"/>
      <c r="L21" s="12" t="n"/>
    </row>
    <row r="22" ht="22" customHeight="1">
      <c r="B22" s="16">
        <f>IF(C22="","HS-"&amp;TEXT(COUNTA($C$5:C22),"000"))</f>
        <v/>
      </c>
      <c r="C22" s="14" t="n"/>
      <c r="D22" s="14" t="n"/>
      <c r="E22" s="14" t="n"/>
      <c r="F22" s="24" t="n"/>
      <c r="G22" s="24" t="n"/>
      <c r="H22" s="14" t="n"/>
      <c r="I22" s="19" t="n"/>
      <c r="J22" s="19">
        <f>IF(OR(G22="",H22=""),"",IFERROR(G22*2000,0))</f>
        <v/>
      </c>
      <c r="K22" s="14" t="n"/>
      <c r="L22" s="14" t="n"/>
    </row>
    <row r="23" ht="22" customHeight="1">
      <c r="B23" s="17">
        <f>IF(C23="","HS-"&amp;TEXT(COUNTA($C$5:C23),"000"))</f>
        <v/>
      </c>
      <c r="C23" s="12" t="n"/>
      <c r="D23" s="12" t="n"/>
      <c r="E23" s="12" t="n"/>
      <c r="F23" s="23" t="n"/>
      <c r="G23" s="23" t="n"/>
      <c r="H23" s="12" t="n"/>
      <c r="I23" s="18" t="n"/>
      <c r="J23" s="18">
        <f>IF(OR(G23="",H23=""),"",IFERROR(G23*2000,0))</f>
        <v/>
      </c>
      <c r="K23" s="12" t="n"/>
      <c r="L23" s="12" t="n"/>
    </row>
    <row r="24" ht="22" customHeight="1">
      <c r="B24" s="16">
        <f>IF(C24="","HS-"&amp;TEXT(COUNTA($C$5:C24),"000"))</f>
        <v/>
      </c>
      <c r="C24" s="14" t="n"/>
      <c r="D24" s="14" t="n"/>
      <c r="E24" s="14" t="n"/>
      <c r="F24" s="24" t="n"/>
      <c r="G24" s="24" t="n"/>
      <c r="H24" s="14" t="n"/>
      <c r="I24" s="19" t="n"/>
      <c r="J24" s="19">
        <f>IF(OR(G24="",H24=""),"",IFERROR(G24*2000,0))</f>
        <v/>
      </c>
      <c r="K24" s="14" t="n"/>
      <c r="L24" s="14" t="n"/>
    </row>
    <row r="25" ht="22" customHeight="1">
      <c r="B25" s="17">
        <f>IF(C25="","HS-"&amp;TEXT(COUNTA($C$5:C25),"000"))</f>
        <v/>
      </c>
      <c r="C25" s="12" t="n"/>
      <c r="D25" s="12" t="n"/>
      <c r="E25" s="12" t="n"/>
      <c r="F25" s="23" t="n"/>
      <c r="G25" s="23" t="n"/>
      <c r="H25" s="12" t="n"/>
      <c r="I25" s="18" t="n"/>
      <c r="J25" s="18">
        <f>IF(OR(G25="",H25=""),"",IFERROR(G25*2000,0))</f>
        <v/>
      </c>
      <c r="K25" s="12" t="n"/>
      <c r="L25" s="12" t="n"/>
    </row>
    <row r="26" ht="22" customHeight="1">
      <c r="B26" s="16">
        <f>IF(C26="","HS-"&amp;TEXT(COUNTA($C$5:C26),"000"))</f>
        <v/>
      </c>
      <c r="C26" s="14" t="n"/>
      <c r="D26" s="14" t="n"/>
      <c r="E26" s="14" t="n"/>
      <c r="F26" s="24" t="n"/>
      <c r="G26" s="24" t="n"/>
      <c r="H26" s="14" t="n"/>
      <c r="I26" s="19" t="n"/>
      <c r="J26" s="19">
        <f>IF(OR(G26="",H26=""),"",IFERROR(G26*2000,0))</f>
        <v/>
      </c>
      <c r="K26" s="14" t="n"/>
      <c r="L26" s="14" t="n"/>
    </row>
    <row r="27" ht="22" customHeight="1">
      <c r="B27" s="17">
        <f>IF(C27="","HS-"&amp;TEXT(COUNTA($C$5:C27),"000"))</f>
        <v/>
      </c>
      <c r="C27" s="12" t="n"/>
      <c r="D27" s="12" t="n"/>
      <c r="E27" s="12" t="n"/>
      <c r="F27" s="23" t="n"/>
      <c r="G27" s="23" t="n"/>
      <c r="H27" s="12" t="n"/>
      <c r="I27" s="18" t="n"/>
      <c r="J27" s="18">
        <f>IF(OR(G27="",H27=""),"",IFERROR(G27*2000,0))</f>
        <v/>
      </c>
      <c r="K27" s="12" t="n"/>
      <c r="L27" s="12" t="n"/>
    </row>
    <row r="28" ht="22" customHeight="1">
      <c r="B28" s="16">
        <f>IF(C28="","HS-"&amp;TEXT(COUNTA($C$5:C28),"000"))</f>
        <v/>
      </c>
      <c r="C28" s="14" t="n"/>
      <c r="D28" s="14" t="n"/>
      <c r="E28" s="14" t="n"/>
      <c r="F28" s="24" t="n"/>
      <c r="G28" s="24" t="n"/>
      <c r="H28" s="14" t="n"/>
      <c r="I28" s="19" t="n"/>
      <c r="J28" s="19">
        <f>IF(OR(G28="",H28=""),"",IFERROR(G28*2000,0))</f>
        <v/>
      </c>
      <c r="K28" s="14" t="n"/>
      <c r="L28" s="14" t="n"/>
    </row>
    <row r="29" ht="22" customHeight="1">
      <c r="B29" s="17">
        <f>IF(C29="","HS-"&amp;TEXT(COUNTA($C$5:C29),"000"))</f>
        <v/>
      </c>
      <c r="C29" s="12" t="n"/>
      <c r="D29" s="12" t="n"/>
      <c r="E29" s="12" t="n"/>
      <c r="F29" s="23" t="n"/>
      <c r="G29" s="23" t="n"/>
      <c r="H29" s="12" t="n"/>
      <c r="I29" s="18" t="n"/>
      <c r="J29" s="18">
        <f>IF(OR(G29="",H29=""),"",IFERROR(G29*2000,0))</f>
        <v/>
      </c>
      <c r="K29" s="12" t="n"/>
      <c r="L29" s="12" t="n"/>
    </row>
    <row r="30" ht="22" customHeight="1">
      <c r="B30" s="16">
        <f>IF(C30="","HS-"&amp;TEXT(COUNTA($C$5:C30),"000"))</f>
        <v/>
      </c>
      <c r="C30" s="14" t="n"/>
      <c r="D30" s="14" t="n"/>
      <c r="E30" s="14" t="n"/>
      <c r="F30" s="24" t="n"/>
      <c r="G30" s="24" t="n"/>
      <c r="H30" s="14" t="n"/>
      <c r="I30" s="19" t="n"/>
      <c r="J30" s="19">
        <f>IF(OR(G30="",H30=""),"",IFERROR(G30*2000,0))</f>
        <v/>
      </c>
      <c r="K30" s="14" t="n"/>
      <c r="L30" s="14" t="n"/>
    </row>
    <row r="31" ht="22" customHeight="1">
      <c r="B31" s="17">
        <f>IF(C31="","HS-"&amp;TEXT(COUNTA($C$5:C31),"000"))</f>
        <v/>
      </c>
      <c r="C31" s="12" t="n"/>
      <c r="D31" s="12" t="n"/>
      <c r="E31" s="12" t="n"/>
      <c r="F31" s="23" t="n"/>
      <c r="G31" s="23" t="n"/>
      <c r="H31" s="12" t="n"/>
      <c r="I31" s="18" t="n"/>
      <c r="J31" s="18">
        <f>IF(OR(G31="",H31=""),"",IFERROR(G31*2000,0))</f>
        <v/>
      </c>
      <c r="K31" s="12" t="n"/>
      <c r="L31" s="12" t="n"/>
    </row>
    <row r="32" ht="22" customHeight="1">
      <c r="B32" s="16">
        <f>IF(C32="","HS-"&amp;TEXT(COUNTA($C$5:C32),"000"))</f>
        <v/>
      </c>
      <c r="C32" s="14" t="n"/>
      <c r="D32" s="14" t="n"/>
      <c r="E32" s="14" t="n"/>
      <c r="F32" s="24" t="n"/>
      <c r="G32" s="24" t="n"/>
      <c r="H32" s="14" t="n"/>
      <c r="I32" s="19" t="n"/>
      <c r="J32" s="19">
        <f>IF(OR(G32="",H32=""),"",IFERROR(G32*2000,0))</f>
        <v/>
      </c>
      <c r="K32" s="14" t="n"/>
      <c r="L32" s="14" t="n"/>
    </row>
    <row r="33" ht="22" customHeight="1">
      <c r="B33" s="17">
        <f>IF(C33="","HS-"&amp;TEXT(COUNTA($C$5:C33),"000"))</f>
        <v/>
      </c>
      <c r="C33" s="12" t="n"/>
      <c r="D33" s="12" t="n"/>
      <c r="E33" s="12" t="n"/>
      <c r="F33" s="23" t="n"/>
      <c r="G33" s="23" t="n"/>
      <c r="H33" s="12" t="n"/>
      <c r="I33" s="18" t="n"/>
      <c r="J33" s="18">
        <f>IF(OR(G33="",H33=""),"",IFERROR(G33*2000,0))</f>
        <v/>
      </c>
      <c r="K33" s="12" t="n"/>
      <c r="L33" s="12" t="n"/>
    </row>
    <row r="34" ht="22" customHeight="1">
      <c r="B34" s="16">
        <f>IF(C34="","HS-"&amp;TEXT(COUNTA($C$5:C34),"000"))</f>
        <v/>
      </c>
      <c r="C34" s="14" t="n"/>
      <c r="D34" s="14" t="n"/>
      <c r="E34" s="14" t="n"/>
      <c r="F34" s="24" t="n"/>
      <c r="G34" s="24" t="n"/>
      <c r="H34" s="14" t="n"/>
      <c r="I34" s="19" t="n"/>
      <c r="J34" s="19">
        <f>IF(OR(G34="",H34=""),"",IFERROR(G34*2000,0))</f>
        <v/>
      </c>
      <c r="K34" s="14" t="n"/>
      <c r="L34" s="14" t="n"/>
    </row>
    <row r="35" ht="22" customHeight="1">
      <c r="B35" s="17">
        <f>IF(C35="","HS-"&amp;TEXT(COUNTA($C$5:C35),"000"))</f>
        <v/>
      </c>
      <c r="C35" s="12" t="n"/>
      <c r="D35" s="12" t="n"/>
      <c r="E35" s="12" t="n"/>
      <c r="F35" s="23" t="n"/>
      <c r="G35" s="23" t="n"/>
      <c r="H35" s="12" t="n"/>
      <c r="I35" s="18" t="n"/>
      <c r="J35" s="18">
        <f>IF(OR(G35="",H35=""),"",IFERROR(G35*2000,0))</f>
        <v/>
      </c>
      <c r="K35" s="12" t="n"/>
      <c r="L35" s="12" t="n"/>
    </row>
    <row r="36" ht="22" customHeight="1">
      <c r="B36" s="16">
        <f>IF(C36="","HS-"&amp;TEXT(COUNTA($C$5:C36),"000"))</f>
        <v/>
      </c>
      <c r="C36" s="14" t="n"/>
      <c r="D36" s="14" t="n"/>
      <c r="E36" s="14" t="n"/>
      <c r="F36" s="24" t="n"/>
      <c r="G36" s="24" t="n"/>
      <c r="H36" s="14" t="n"/>
      <c r="I36" s="19" t="n"/>
      <c r="J36" s="19">
        <f>IF(OR(G36="",H36=""),"",IFERROR(G36*2000,0))</f>
        <v/>
      </c>
      <c r="K36" s="14" t="n"/>
      <c r="L36" s="14" t="n"/>
    </row>
    <row r="37" ht="22" customHeight="1">
      <c r="B37" s="17">
        <f>IF(C37="","HS-"&amp;TEXT(COUNTA($C$5:C37),"000"))</f>
        <v/>
      </c>
      <c r="C37" s="12" t="n"/>
      <c r="D37" s="12" t="n"/>
      <c r="E37" s="12" t="n"/>
      <c r="F37" s="23" t="n"/>
      <c r="G37" s="23" t="n"/>
      <c r="H37" s="12" t="n"/>
      <c r="I37" s="18" t="n"/>
      <c r="J37" s="18">
        <f>IF(OR(G37="",H37=""),"",IFERROR(G37*2000,0))</f>
        <v/>
      </c>
      <c r="K37" s="12" t="n"/>
      <c r="L37" s="12" t="n"/>
    </row>
    <row r="38" ht="22" customHeight="1">
      <c r="B38" s="16">
        <f>IF(C38="","HS-"&amp;TEXT(COUNTA($C$5:C38),"000"))</f>
        <v/>
      </c>
      <c r="C38" s="14" t="n"/>
      <c r="D38" s="14" t="n"/>
      <c r="E38" s="14" t="n"/>
      <c r="F38" s="24" t="n"/>
      <c r="G38" s="24" t="n"/>
      <c r="H38" s="14" t="n"/>
      <c r="I38" s="19" t="n"/>
      <c r="J38" s="19">
        <f>IF(OR(G38="",H38=""),"",IFERROR(G38*2000,0))</f>
        <v/>
      </c>
      <c r="K38" s="14" t="n"/>
      <c r="L38" s="14" t="n"/>
    </row>
    <row r="39" ht="22" customHeight="1">
      <c r="B39" s="17">
        <f>IF(C39="","HS-"&amp;TEXT(COUNTA($C$5:C39),"000"))</f>
        <v/>
      </c>
      <c r="C39" s="12" t="n"/>
      <c r="D39" s="12" t="n"/>
      <c r="E39" s="12" t="n"/>
      <c r="F39" s="23" t="n"/>
      <c r="G39" s="23" t="n"/>
      <c r="H39" s="12" t="n"/>
      <c r="I39" s="18" t="n"/>
      <c r="J39" s="18">
        <f>IF(OR(G39="",H39=""),"",IFERROR(G39*2000,0))</f>
        <v/>
      </c>
      <c r="K39" s="12" t="n"/>
      <c r="L39" s="12" t="n"/>
    </row>
    <row r="40" ht="22" customHeight="1">
      <c r="B40" s="16">
        <f>IF(C40="","HS-"&amp;TEXT(COUNTA($C$5:C40),"000"))</f>
        <v/>
      </c>
      <c r="C40" s="14" t="n"/>
      <c r="D40" s="14" t="n"/>
      <c r="E40" s="14" t="n"/>
      <c r="F40" s="24" t="n"/>
      <c r="G40" s="24" t="n"/>
      <c r="H40" s="14" t="n"/>
      <c r="I40" s="19" t="n"/>
      <c r="J40" s="19">
        <f>IF(OR(G40="",H40=""),"",IFERROR(G40*2000,0))</f>
        <v/>
      </c>
      <c r="K40" s="14" t="n"/>
      <c r="L40" s="14" t="n"/>
    </row>
    <row r="41" ht="22" customHeight="1">
      <c r="B41" s="17">
        <f>IF(C41="","HS-"&amp;TEXT(COUNTA($C$5:C41),"000"))</f>
        <v/>
      </c>
      <c r="C41" s="12" t="n"/>
      <c r="D41" s="12" t="n"/>
      <c r="E41" s="12" t="n"/>
      <c r="F41" s="23" t="n"/>
      <c r="G41" s="23" t="n"/>
      <c r="H41" s="12" t="n"/>
      <c r="I41" s="18" t="n"/>
      <c r="J41" s="18">
        <f>IF(OR(G41="",H41=""),"",IFERROR(G41*2000,0))</f>
        <v/>
      </c>
      <c r="K41" s="12" t="n"/>
      <c r="L41" s="12" t="n"/>
    </row>
    <row r="42" ht="22" customHeight="1">
      <c r="B42" s="16">
        <f>IF(C42="","HS-"&amp;TEXT(COUNTA($C$5:C42),"000"))</f>
        <v/>
      </c>
      <c r="C42" s="14" t="n"/>
      <c r="D42" s="14" t="n"/>
      <c r="E42" s="14" t="n"/>
      <c r="F42" s="24" t="n"/>
      <c r="G42" s="24" t="n"/>
      <c r="H42" s="14" t="n"/>
      <c r="I42" s="19" t="n"/>
      <c r="J42" s="19">
        <f>IF(OR(G42="",H42=""),"",IFERROR(G42*2000,0))</f>
        <v/>
      </c>
      <c r="K42" s="14" t="n"/>
      <c r="L42" s="14" t="n"/>
    </row>
    <row r="43" ht="22" customHeight="1">
      <c r="B43" s="17">
        <f>IF(C43="","HS-"&amp;TEXT(COUNTA($C$5:C43),"000"))</f>
        <v/>
      </c>
      <c r="C43" s="12" t="n"/>
      <c r="D43" s="12" t="n"/>
      <c r="E43" s="12" t="n"/>
      <c r="F43" s="23" t="n"/>
      <c r="G43" s="23" t="n"/>
      <c r="H43" s="12" t="n"/>
      <c r="I43" s="18" t="n"/>
      <c r="J43" s="18">
        <f>IF(OR(G43="",H43=""),"",IFERROR(G43*2000,0))</f>
        <v/>
      </c>
      <c r="K43" s="12" t="n"/>
      <c r="L43" s="12" t="n"/>
    </row>
    <row r="44" ht="22" customHeight="1">
      <c r="B44" s="16">
        <f>IF(C44="","HS-"&amp;TEXT(COUNTA($C$5:C44),"000"))</f>
        <v/>
      </c>
      <c r="C44" s="14" t="n"/>
      <c r="D44" s="14" t="n"/>
      <c r="E44" s="14" t="n"/>
      <c r="F44" s="24" t="n"/>
      <c r="G44" s="24" t="n"/>
      <c r="H44" s="14" t="n"/>
      <c r="I44" s="19" t="n"/>
      <c r="J44" s="19">
        <f>IF(OR(G44="",H44=""),"",IFERROR(G44*2000,0))</f>
        <v/>
      </c>
      <c r="K44" s="14" t="n"/>
      <c r="L44" s="14" t="n"/>
    </row>
    <row r="45" ht="22" customHeight="1">
      <c r="B45" s="17">
        <f>IF(C45="","HS-"&amp;TEXT(COUNTA($C$5:C45),"000"))</f>
        <v/>
      </c>
      <c r="C45" s="12" t="n"/>
      <c r="D45" s="12" t="n"/>
      <c r="E45" s="12" t="n"/>
      <c r="F45" s="23" t="n"/>
      <c r="G45" s="23" t="n"/>
      <c r="H45" s="12" t="n"/>
      <c r="I45" s="18" t="n"/>
      <c r="J45" s="18">
        <f>IF(OR(G45="",H45=""),"",IFERROR(G45*2000,0))</f>
        <v/>
      </c>
      <c r="K45" s="12" t="n"/>
      <c r="L45" s="12" t="n"/>
    </row>
    <row r="46" ht="22" customHeight="1">
      <c r="B46" s="16">
        <f>IF(C46="","HS-"&amp;TEXT(COUNTA($C$5:C46),"000"))</f>
        <v/>
      </c>
      <c r="C46" s="14" t="n"/>
      <c r="D46" s="14" t="n"/>
      <c r="E46" s="14" t="n"/>
      <c r="F46" s="24" t="n"/>
      <c r="G46" s="24" t="n"/>
      <c r="H46" s="14" t="n"/>
      <c r="I46" s="19" t="n"/>
      <c r="J46" s="19">
        <f>IF(OR(G46="",H46=""),"",IFERROR(G46*2000,0))</f>
        <v/>
      </c>
      <c r="K46" s="14" t="n"/>
      <c r="L46" s="14" t="n"/>
    </row>
    <row r="47" ht="22" customHeight="1">
      <c r="B47" s="17">
        <f>IF(C47="","HS-"&amp;TEXT(COUNTA($C$5:C47),"000"))</f>
        <v/>
      </c>
      <c r="C47" s="12" t="n"/>
      <c r="D47" s="12" t="n"/>
      <c r="E47" s="12" t="n"/>
      <c r="F47" s="23" t="n"/>
      <c r="G47" s="23" t="n"/>
      <c r="H47" s="12" t="n"/>
      <c r="I47" s="18" t="n"/>
      <c r="J47" s="18">
        <f>IF(OR(G47="",H47=""),"",IFERROR(G47*2000,0))</f>
        <v/>
      </c>
      <c r="K47" s="12" t="n"/>
      <c r="L47" s="12" t="n"/>
    </row>
    <row r="48" ht="22" customHeight="1">
      <c r="B48" s="16">
        <f>IF(C48="","HS-"&amp;TEXT(COUNTA($C$5:C48),"000"))</f>
        <v/>
      </c>
      <c r="C48" s="14" t="n"/>
      <c r="D48" s="14" t="n"/>
      <c r="E48" s="14" t="n"/>
      <c r="F48" s="24" t="n"/>
      <c r="G48" s="24" t="n"/>
      <c r="H48" s="14" t="n"/>
      <c r="I48" s="19" t="n"/>
      <c r="J48" s="19">
        <f>IF(OR(G48="",H48=""),"",IFERROR(G48*2000,0))</f>
        <v/>
      </c>
      <c r="K48" s="14" t="n"/>
      <c r="L48" s="14" t="n"/>
    </row>
    <row r="49" ht="22" customHeight="1">
      <c r="B49" s="17">
        <f>IF(C49="","HS-"&amp;TEXT(COUNTA($C$5:C49),"000"))</f>
        <v/>
      </c>
      <c r="C49" s="12" t="n"/>
      <c r="D49" s="12" t="n"/>
      <c r="E49" s="12" t="n"/>
      <c r="F49" s="23" t="n"/>
      <c r="G49" s="23" t="n"/>
      <c r="H49" s="12" t="n"/>
      <c r="I49" s="18" t="n"/>
      <c r="J49" s="18">
        <f>IF(OR(G49="",H49=""),"",IFERROR(G49*2000,0))</f>
        <v/>
      </c>
      <c r="K49" s="12" t="n"/>
      <c r="L49" s="12" t="n"/>
    </row>
    <row r="50" ht="22" customHeight="1">
      <c r="B50" s="16">
        <f>IF(C50="","HS-"&amp;TEXT(COUNTA($C$5:C50),"000"))</f>
        <v/>
      </c>
      <c r="C50" s="14" t="n"/>
      <c r="D50" s="14" t="n"/>
      <c r="E50" s="14" t="n"/>
      <c r="F50" s="24" t="n"/>
      <c r="G50" s="24" t="n"/>
      <c r="H50" s="14" t="n"/>
      <c r="I50" s="19" t="n"/>
      <c r="J50" s="19">
        <f>IF(OR(G50="",H50=""),"",IFERROR(G50*2000,0))</f>
        <v/>
      </c>
      <c r="K50" s="14" t="n"/>
      <c r="L50" s="14" t="n"/>
    </row>
    <row r="51" ht="22" customHeight="1">
      <c r="B51" s="17">
        <f>IF(C51="","HS-"&amp;TEXT(COUNTA($C$5:C51),"000"))</f>
        <v/>
      </c>
      <c r="C51" s="12" t="n"/>
      <c r="D51" s="12" t="n"/>
      <c r="E51" s="12" t="n"/>
      <c r="F51" s="23" t="n"/>
      <c r="G51" s="23" t="n"/>
      <c r="H51" s="12" t="n"/>
      <c r="I51" s="18" t="n"/>
      <c r="J51" s="18">
        <f>IF(OR(G51="",H51=""),"",IFERROR(G51*2000,0))</f>
        <v/>
      </c>
      <c r="K51" s="12" t="n"/>
      <c r="L51" s="12" t="n"/>
    </row>
    <row r="52" ht="22" customHeight="1">
      <c r="B52" s="16">
        <f>IF(C52="","HS-"&amp;TEXT(COUNTA($C$5:C52),"000"))</f>
        <v/>
      </c>
      <c r="C52" s="14" t="n"/>
      <c r="D52" s="14" t="n"/>
      <c r="E52" s="14" t="n"/>
      <c r="F52" s="24" t="n"/>
      <c r="G52" s="24" t="n"/>
      <c r="H52" s="14" t="n"/>
      <c r="I52" s="19" t="n"/>
      <c r="J52" s="19">
        <f>IF(OR(G52="",H52=""),"",IFERROR(G52*2000,0))</f>
        <v/>
      </c>
      <c r="K52" s="14" t="n"/>
      <c r="L52" s="14" t="n"/>
    </row>
    <row r="53" ht="22" customHeight="1">
      <c r="B53" s="17">
        <f>IF(C53="","HS-"&amp;TEXT(COUNTA($C$5:C53),"000"))</f>
        <v/>
      </c>
      <c r="C53" s="12" t="n"/>
      <c r="D53" s="12" t="n"/>
      <c r="E53" s="12" t="n"/>
      <c r="F53" s="23" t="n"/>
      <c r="G53" s="23" t="n"/>
      <c r="H53" s="12" t="n"/>
      <c r="I53" s="18" t="n"/>
      <c r="J53" s="18">
        <f>IF(OR(G53="",H53=""),"",IFERROR(G53*2000,0))</f>
        <v/>
      </c>
      <c r="K53" s="12" t="n"/>
      <c r="L53" s="12" t="n"/>
    </row>
    <row r="54" ht="22" customHeight="1">
      <c r="B54" s="16">
        <f>IF(C54="","HS-"&amp;TEXT(COUNTA($C$5:C54),"000"))</f>
        <v/>
      </c>
      <c r="C54" s="14" t="n"/>
      <c r="D54" s="14" t="n"/>
      <c r="E54" s="14" t="n"/>
      <c r="F54" s="24" t="n"/>
      <c r="G54" s="24" t="n"/>
      <c r="H54" s="14" t="n"/>
      <c r="I54" s="19" t="n"/>
      <c r="J54" s="19">
        <f>IF(OR(G54="",H54=""),"",IFERROR(G54*2000,0))</f>
        <v/>
      </c>
      <c r="K54" s="14" t="n"/>
      <c r="L54" s="14" t="n"/>
    </row>
    <row r="55" ht="22" customHeight="1">
      <c r="B55" s="17">
        <f>IF(C55="","HS-"&amp;TEXT(COUNTA($C$5:C55),"000"))</f>
        <v/>
      </c>
      <c r="C55" s="12" t="n"/>
      <c r="D55" s="12" t="n"/>
      <c r="E55" s="12" t="n"/>
      <c r="F55" s="23" t="n"/>
      <c r="G55" s="23" t="n"/>
      <c r="H55" s="12" t="n"/>
      <c r="I55" s="18" t="n"/>
      <c r="J55" s="18">
        <f>IF(OR(G55="",H55=""),"",IFERROR(G55*2000,0))</f>
        <v/>
      </c>
      <c r="K55" s="12" t="n"/>
      <c r="L55" s="12" t="n"/>
    </row>
    <row r="56" ht="22" customHeight="1">
      <c r="B56" s="16">
        <f>IF(C56="","HS-"&amp;TEXT(COUNTA($C$5:C56),"000"))</f>
        <v/>
      </c>
      <c r="C56" s="14" t="n"/>
      <c r="D56" s="14" t="n"/>
      <c r="E56" s="14" t="n"/>
      <c r="F56" s="24" t="n"/>
      <c r="G56" s="24" t="n"/>
      <c r="H56" s="14" t="n"/>
      <c r="I56" s="19" t="n"/>
      <c r="J56" s="19">
        <f>IF(OR(G56="",H56=""),"",IFERROR(G56*2000,0))</f>
        <v/>
      </c>
      <c r="K56" s="14" t="n"/>
      <c r="L56" s="14" t="n"/>
    </row>
    <row r="57" ht="22" customHeight="1">
      <c r="B57" s="17">
        <f>IF(C57="","HS-"&amp;TEXT(COUNTA($C$5:C57),"000"))</f>
        <v/>
      </c>
      <c r="C57" s="12" t="n"/>
      <c r="D57" s="12" t="n"/>
      <c r="E57" s="12" t="n"/>
      <c r="F57" s="23" t="n"/>
      <c r="G57" s="23" t="n"/>
      <c r="H57" s="12" t="n"/>
      <c r="I57" s="18" t="n"/>
      <c r="J57" s="18">
        <f>IF(OR(G57="",H57=""),"",IFERROR(G57*2000,0))</f>
        <v/>
      </c>
      <c r="K57" s="12" t="n"/>
      <c r="L57" s="12" t="n"/>
    </row>
    <row r="58" ht="22" customHeight="1">
      <c r="B58" s="16">
        <f>IF(C58="","HS-"&amp;TEXT(COUNTA($C$5:C58),"000"))</f>
        <v/>
      </c>
      <c r="C58" s="14" t="n"/>
      <c r="D58" s="14" t="n"/>
      <c r="E58" s="14" t="n"/>
      <c r="F58" s="24" t="n"/>
      <c r="G58" s="24" t="n"/>
      <c r="H58" s="14" t="n"/>
      <c r="I58" s="19" t="n"/>
      <c r="J58" s="19">
        <f>IF(OR(G58="",H58=""),"",IFERROR(G58*2000,0))</f>
        <v/>
      </c>
      <c r="K58" s="14" t="n"/>
      <c r="L58" s="14" t="n"/>
    </row>
    <row r="59" ht="22" customHeight="1">
      <c r="B59" s="17">
        <f>IF(C59="","HS-"&amp;TEXT(COUNTA($C$5:C59),"000"))</f>
        <v/>
      </c>
      <c r="C59" s="12" t="n"/>
      <c r="D59" s="12" t="n"/>
      <c r="E59" s="12" t="n"/>
      <c r="F59" s="23" t="n"/>
      <c r="G59" s="23" t="n"/>
      <c r="H59" s="12" t="n"/>
      <c r="I59" s="18" t="n"/>
      <c r="J59" s="18">
        <f>IF(OR(G59="",H59=""),"",IFERROR(G59*2000,0))</f>
        <v/>
      </c>
      <c r="K59" s="12" t="n"/>
      <c r="L59" s="12" t="n"/>
    </row>
    <row r="60" ht="22" customHeight="1">
      <c r="B60" s="16">
        <f>IF(C60="","HS-"&amp;TEXT(COUNTA($C$5:C60),"000"))</f>
        <v/>
      </c>
      <c r="C60" s="14" t="n"/>
      <c r="D60" s="14" t="n"/>
      <c r="E60" s="14" t="n"/>
      <c r="F60" s="24" t="n"/>
      <c r="G60" s="24" t="n"/>
      <c r="H60" s="14" t="n"/>
      <c r="I60" s="19" t="n"/>
      <c r="J60" s="19">
        <f>IF(OR(G60="",H60=""),"",IFERROR(G60*2000,0))</f>
        <v/>
      </c>
      <c r="K60" s="14" t="n"/>
      <c r="L60" s="14" t="n"/>
    </row>
    <row r="61" ht="22" customHeight="1">
      <c r="B61" s="17">
        <f>IF(C61="","HS-"&amp;TEXT(COUNTA($C$5:C61),"000"))</f>
        <v/>
      </c>
      <c r="C61" s="12" t="n"/>
      <c r="D61" s="12" t="n"/>
      <c r="E61" s="12" t="n"/>
      <c r="F61" s="23" t="n"/>
      <c r="G61" s="23" t="n"/>
      <c r="H61" s="12" t="n"/>
      <c r="I61" s="18" t="n"/>
      <c r="J61" s="18">
        <f>IF(OR(G61="",H61=""),"",IFERROR(G61*2000,0))</f>
        <v/>
      </c>
      <c r="K61" s="12" t="n"/>
      <c r="L61" s="12" t="n"/>
    </row>
    <row r="62" ht="22" customHeight="1">
      <c r="B62" s="16">
        <f>IF(C62="","HS-"&amp;TEXT(COUNTA($C$5:C62),"000"))</f>
        <v/>
      </c>
      <c r="C62" s="14" t="n"/>
      <c r="D62" s="14" t="n"/>
      <c r="E62" s="14" t="n"/>
      <c r="F62" s="24" t="n"/>
      <c r="G62" s="24" t="n"/>
      <c r="H62" s="14" t="n"/>
      <c r="I62" s="19" t="n"/>
      <c r="J62" s="19">
        <f>IF(OR(G62="",H62=""),"",IFERROR(G62*2000,0))</f>
        <v/>
      </c>
      <c r="K62" s="14" t="n"/>
      <c r="L62" s="14" t="n"/>
    </row>
    <row r="63" ht="22" customHeight="1">
      <c r="B63" s="17">
        <f>IF(C63="","HS-"&amp;TEXT(COUNTA($C$5:C63),"000"))</f>
        <v/>
      </c>
      <c r="C63" s="12" t="n"/>
      <c r="D63" s="12" t="n"/>
      <c r="E63" s="12" t="n"/>
      <c r="F63" s="23" t="n"/>
      <c r="G63" s="23" t="n"/>
      <c r="H63" s="12" t="n"/>
      <c r="I63" s="18" t="n"/>
      <c r="J63" s="18">
        <f>IF(OR(G63="",H63=""),"",IFERROR(G63*2000,0))</f>
        <v/>
      </c>
      <c r="K63" s="12" t="n"/>
      <c r="L63" s="12" t="n"/>
    </row>
    <row r="64" ht="22" customHeight="1">
      <c r="B64" s="16">
        <f>IF(C64="","HS-"&amp;TEXT(COUNTA($C$5:C64),"000"))</f>
        <v/>
      </c>
      <c r="C64" s="14" t="n"/>
      <c r="D64" s="14" t="n"/>
      <c r="E64" s="14" t="n"/>
      <c r="F64" s="24" t="n"/>
      <c r="G64" s="24" t="n"/>
      <c r="H64" s="14" t="n"/>
      <c r="I64" s="19" t="n"/>
      <c r="J64" s="19">
        <f>IF(OR(G64="",H64=""),"",IFERROR(G64*2000,0))</f>
        <v/>
      </c>
      <c r="K64" s="14" t="n"/>
      <c r="L64" s="14" t="n"/>
    </row>
    <row r="65" ht="22" customHeight="1">
      <c r="B65" s="17">
        <f>IF(C65="","HS-"&amp;TEXT(COUNTA($C$5:C65),"000"))</f>
        <v/>
      </c>
      <c r="C65" s="12" t="n"/>
      <c r="D65" s="12" t="n"/>
      <c r="E65" s="12" t="n"/>
      <c r="F65" s="23" t="n"/>
      <c r="G65" s="23" t="n"/>
      <c r="H65" s="12" t="n"/>
      <c r="I65" s="18" t="n"/>
      <c r="J65" s="18">
        <f>IF(OR(G65="",H65=""),"",IFERROR(G65*2000,0))</f>
        <v/>
      </c>
      <c r="K65" s="12" t="n"/>
      <c r="L65" s="12" t="n"/>
    </row>
    <row r="66" ht="22" customHeight="1">
      <c r="B66" s="16">
        <f>IF(C66="","HS-"&amp;TEXT(COUNTA($C$5:C66),"000"))</f>
        <v/>
      </c>
      <c r="C66" s="14" t="n"/>
      <c r="D66" s="14" t="n"/>
      <c r="E66" s="14" t="n"/>
      <c r="F66" s="24" t="n"/>
      <c r="G66" s="24" t="n"/>
      <c r="H66" s="14" t="n"/>
      <c r="I66" s="19" t="n"/>
      <c r="J66" s="19">
        <f>IF(OR(G66="",H66=""),"",IFERROR(G66*2000,0))</f>
        <v/>
      </c>
      <c r="K66" s="14" t="n"/>
      <c r="L66" s="14" t="n"/>
    </row>
    <row r="67" ht="22" customHeight="1">
      <c r="B67" s="17">
        <f>IF(C67="","HS-"&amp;TEXT(COUNTA($C$5:C67),"000"))</f>
        <v/>
      </c>
      <c r="C67" s="12" t="n"/>
      <c r="D67" s="12" t="n"/>
      <c r="E67" s="12" t="n"/>
      <c r="F67" s="23" t="n"/>
      <c r="G67" s="23" t="n"/>
      <c r="H67" s="12" t="n"/>
      <c r="I67" s="18" t="n"/>
      <c r="J67" s="18">
        <f>IF(OR(G67="",H67=""),"",IFERROR(G67*2000,0))</f>
        <v/>
      </c>
      <c r="K67" s="12" t="n"/>
      <c r="L67" s="12" t="n"/>
    </row>
    <row r="68" ht="22" customHeight="1">
      <c r="B68" s="16">
        <f>IF(C68="","HS-"&amp;TEXT(COUNTA($C$5:C68),"000"))</f>
        <v/>
      </c>
      <c r="C68" s="14" t="n"/>
      <c r="D68" s="14" t="n"/>
      <c r="E68" s="14" t="n"/>
      <c r="F68" s="24" t="n"/>
      <c r="G68" s="24" t="n"/>
      <c r="H68" s="14" t="n"/>
      <c r="I68" s="19" t="n"/>
      <c r="J68" s="19">
        <f>IF(OR(G68="",H68=""),"",IFERROR(G68*2000,0))</f>
        <v/>
      </c>
      <c r="K68" s="14" t="n"/>
      <c r="L68" s="14" t="n"/>
    </row>
    <row r="69" ht="22" customHeight="1">
      <c r="B69" s="17">
        <f>IF(C69="","HS-"&amp;TEXT(COUNTA($C$5:C69),"000"))</f>
        <v/>
      </c>
      <c r="C69" s="12" t="n"/>
      <c r="D69" s="12" t="n"/>
      <c r="E69" s="12" t="n"/>
      <c r="F69" s="23" t="n"/>
      <c r="G69" s="23" t="n"/>
      <c r="H69" s="12" t="n"/>
      <c r="I69" s="18" t="n"/>
      <c r="J69" s="18">
        <f>IF(OR(G69="",H69=""),"",IFERROR(G69*2000,0))</f>
        <v/>
      </c>
      <c r="K69" s="12" t="n"/>
      <c r="L69" s="12" t="n"/>
    </row>
    <row r="70" ht="22" customHeight="1">
      <c r="B70" s="16">
        <f>IF(C70="","HS-"&amp;TEXT(COUNTA($C$5:C70),"000"))</f>
        <v/>
      </c>
      <c r="C70" s="14" t="n"/>
      <c r="D70" s="14" t="n"/>
      <c r="E70" s="14" t="n"/>
      <c r="F70" s="24" t="n"/>
      <c r="G70" s="24" t="n"/>
      <c r="H70" s="14" t="n"/>
      <c r="I70" s="19" t="n"/>
      <c r="J70" s="19">
        <f>IF(OR(G70="",H70=""),"",IFERROR(G70*2000,0))</f>
        <v/>
      </c>
      <c r="K70" s="14" t="n"/>
      <c r="L70" s="14" t="n"/>
    </row>
    <row r="71" ht="22" customHeight="1">
      <c r="B71" s="17">
        <f>IF(C71="","HS-"&amp;TEXT(COUNTA($C$5:C71),"000"))</f>
        <v/>
      </c>
      <c r="C71" s="12" t="n"/>
      <c r="D71" s="12" t="n"/>
      <c r="E71" s="12" t="n"/>
      <c r="F71" s="23" t="n"/>
      <c r="G71" s="23" t="n"/>
      <c r="H71" s="12" t="n"/>
      <c r="I71" s="18" t="n"/>
      <c r="J71" s="18">
        <f>IF(OR(G71="",H71=""),"",IFERROR(G71*2000,0))</f>
        <v/>
      </c>
      <c r="K71" s="12" t="n"/>
      <c r="L71" s="12" t="n"/>
    </row>
    <row r="72" ht="22" customHeight="1">
      <c r="B72" s="16">
        <f>IF(C72="","HS-"&amp;TEXT(COUNTA($C$5:C72),"000"))</f>
        <v/>
      </c>
      <c r="C72" s="14" t="n"/>
      <c r="D72" s="14" t="n"/>
      <c r="E72" s="14" t="n"/>
      <c r="F72" s="24" t="n"/>
      <c r="G72" s="24" t="n"/>
      <c r="H72" s="14" t="n"/>
      <c r="I72" s="19" t="n"/>
      <c r="J72" s="19">
        <f>IF(OR(G72="",H72=""),"",IFERROR(G72*2000,0))</f>
        <v/>
      </c>
      <c r="K72" s="14" t="n"/>
      <c r="L72" s="14" t="n"/>
    </row>
    <row r="73" ht="22" customHeight="1">
      <c r="B73" s="17">
        <f>IF(C73="","HS-"&amp;TEXT(COUNTA($C$5:C73),"000"))</f>
        <v/>
      </c>
      <c r="C73" s="12" t="n"/>
      <c r="D73" s="12" t="n"/>
      <c r="E73" s="12" t="n"/>
      <c r="F73" s="23" t="n"/>
      <c r="G73" s="23" t="n"/>
      <c r="H73" s="12" t="n"/>
      <c r="I73" s="18" t="n"/>
      <c r="J73" s="18">
        <f>IF(OR(G73="",H73=""),"",IFERROR(G73*2000,0))</f>
        <v/>
      </c>
      <c r="K73" s="12" t="n"/>
      <c r="L73" s="12" t="n"/>
    </row>
    <row r="74" ht="22" customHeight="1">
      <c r="B74" s="16">
        <f>IF(C74="","HS-"&amp;TEXT(COUNTA($C$5:C74),"000"))</f>
        <v/>
      </c>
      <c r="C74" s="14" t="n"/>
      <c r="D74" s="14" t="n"/>
      <c r="E74" s="14" t="n"/>
      <c r="F74" s="24" t="n"/>
      <c r="G74" s="24" t="n"/>
      <c r="H74" s="14" t="n"/>
      <c r="I74" s="19" t="n"/>
      <c r="J74" s="19">
        <f>IF(OR(G74="",H74=""),"",IFERROR(G74*2000,0))</f>
        <v/>
      </c>
      <c r="K74" s="14" t="n"/>
      <c r="L74" s="14" t="n"/>
    </row>
    <row r="75" ht="22" customHeight="1">
      <c r="B75" s="17">
        <f>IF(C75="","HS-"&amp;TEXT(COUNTA($C$5:C75),"000"))</f>
        <v/>
      </c>
      <c r="C75" s="12" t="n"/>
      <c r="D75" s="12" t="n"/>
      <c r="E75" s="12" t="n"/>
      <c r="F75" s="23" t="n"/>
      <c r="G75" s="23" t="n"/>
      <c r="H75" s="12" t="n"/>
      <c r="I75" s="18" t="n"/>
      <c r="J75" s="18">
        <f>IF(OR(G75="",H75=""),"",IFERROR(G75*2000,0))</f>
        <v/>
      </c>
      <c r="K75" s="12" t="n"/>
      <c r="L75" s="12" t="n"/>
    </row>
    <row r="76" ht="22" customHeight="1">
      <c r="B76" s="16">
        <f>IF(C76="","HS-"&amp;TEXT(COUNTA($C$5:C76),"000"))</f>
        <v/>
      </c>
      <c r="C76" s="14" t="n"/>
      <c r="D76" s="14" t="n"/>
      <c r="E76" s="14" t="n"/>
      <c r="F76" s="24" t="n"/>
      <c r="G76" s="24" t="n"/>
      <c r="H76" s="14" t="n"/>
      <c r="I76" s="19" t="n"/>
      <c r="J76" s="19">
        <f>IF(OR(G76="",H76=""),"",IFERROR(G76*2000,0))</f>
        <v/>
      </c>
      <c r="K76" s="14" t="n"/>
      <c r="L76" s="14" t="n"/>
    </row>
    <row r="77" ht="22" customHeight="1">
      <c r="B77" s="17">
        <f>IF(C77="","HS-"&amp;TEXT(COUNTA($C$5:C77),"000"))</f>
        <v/>
      </c>
      <c r="C77" s="12" t="n"/>
      <c r="D77" s="12" t="n"/>
      <c r="E77" s="12" t="n"/>
      <c r="F77" s="23" t="n"/>
      <c r="G77" s="23" t="n"/>
      <c r="H77" s="12" t="n"/>
      <c r="I77" s="18" t="n"/>
      <c r="J77" s="18">
        <f>IF(OR(G77="",H77=""),"",IFERROR(G77*2000,0))</f>
        <v/>
      </c>
      <c r="K77" s="12" t="n"/>
      <c r="L77" s="12" t="n"/>
    </row>
    <row r="78" ht="22" customHeight="1">
      <c r="B78" s="16">
        <f>IF(C78="","HS-"&amp;TEXT(COUNTA($C$5:C78),"000"))</f>
        <v/>
      </c>
      <c r="C78" s="14" t="n"/>
      <c r="D78" s="14" t="n"/>
      <c r="E78" s="14" t="n"/>
      <c r="F78" s="24" t="n"/>
      <c r="G78" s="24" t="n"/>
      <c r="H78" s="14" t="n"/>
      <c r="I78" s="19" t="n"/>
      <c r="J78" s="19">
        <f>IF(OR(G78="",H78=""),"",IFERROR(G78*2000,0))</f>
        <v/>
      </c>
      <c r="K78" s="14" t="n"/>
      <c r="L78" s="14" t="n"/>
    </row>
    <row r="79" ht="22" customHeight="1">
      <c r="B79" s="17">
        <f>IF(C79="","HS-"&amp;TEXT(COUNTA($C$5:C79),"000"))</f>
        <v/>
      </c>
      <c r="C79" s="12" t="n"/>
      <c r="D79" s="12" t="n"/>
      <c r="E79" s="12" t="n"/>
      <c r="F79" s="23" t="n"/>
      <c r="G79" s="23" t="n"/>
      <c r="H79" s="12" t="n"/>
      <c r="I79" s="18" t="n"/>
      <c r="J79" s="18">
        <f>IF(OR(G79="",H79=""),"",IFERROR(G79*2000,0))</f>
        <v/>
      </c>
      <c r="K79" s="12" t="n"/>
      <c r="L79" s="12" t="n"/>
    </row>
    <row r="80" ht="22" customHeight="1">
      <c r="B80" s="16">
        <f>IF(C80="","HS-"&amp;TEXT(COUNTA($C$5:C80),"000"))</f>
        <v/>
      </c>
      <c r="C80" s="14" t="n"/>
      <c r="D80" s="14" t="n"/>
      <c r="E80" s="14" t="n"/>
      <c r="F80" s="24" t="n"/>
      <c r="G80" s="24" t="n"/>
      <c r="H80" s="14" t="n"/>
      <c r="I80" s="19" t="n"/>
      <c r="J80" s="19">
        <f>IF(OR(G80="",H80=""),"",IFERROR(G80*2000,0))</f>
        <v/>
      </c>
      <c r="K80" s="14" t="n"/>
      <c r="L80" s="14" t="n"/>
    </row>
    <row r="81" ht="22" customHeight="1">
      <c r="B81" s="17">
        <f>IF(C81="","HS-"&amp;TEXT(COUNTA($C$5:C81),"000"))</f>
        <v/>
      </c>
      <c r="C81" s="12" t="n"/>
      <c r="D81" s="12" t="n"/>
      <c r="E81" s="12" t="n"/>
      <c r="F81" s="23" t="n"/>
      <c r="G81" s="23" t="n"/>
      <c r="H81" s="12" t="n"/>
      <c r="I81" s="18" t="n"/>
      <c r="J81" s="18">
        <f>IF(OR(G81="",H81=""),"",IFERROR(G81*2000,0))</f>
        <v/>
      </c>
      <c r="K81" s="12" t="n"/>
      <c r="L81" s="12" t="n"/>
    </row>
    <row r="82" ht="22" customHeight="1">
      <c r="B82" s="16">
        <f>IF(C82="","HS-"&amp;TEXT(COUNTA($C$5:C82),"000"))</f>
        <v/>
      </c>
      <c r="C82" s="14" t="n"/>
      <c r="D82" s="14" t="n"/>
      <c r="E82" s="14" t="n"/>
      <c r="F82" s="24" t="n"/>
      <c r="G82" s="24" t="n"/>
      <c r="H82" s="14" t="n"/>
      <c r="I82" s="19" t="n"/>
      <c r="J82" s="19">
        <f>IF(OR(G82="",H82=""),"",IFERROR(G82*2000,0))</f>
        <v/>
      </c>
      <c r="K82" s="14" t="n"/>
      <c r="L82" s="14" t="n"/>
    </row>
    <row r="83" ht="22" customHeight="1">
      <c r="B83" s="17">
        <f>IF(C83="","HS-"&amp;TEXT(COUNTA($C$5:C83),"000"))</f>
        <v/>
      </c>
      <c r="C83" s="12" t="n"/>
      <c r="D83" s="12" t="n"/>
      <c r="E83" s="12" t="n"/>
      <c r="F83" s="23" t="n"/>
      <c r="G83" s="23" t="n"/>
      <c r="H83" s="12" t="n"/>
      <c r="I83" s="18" t="n"/>
      <c r="J83" s="18">
        <f>IF(OR(G83="",H83=""),"",IFERROR(G83*2000,0))</f>
        <v/>
      </c>
      <c r="K83" s="12" t="n"/>
      <c r="L83" s="12" t="n"/>
    </row>
    <row r="84" ht="22" customHeight="1">
      <c r="B84" s="16">
        <f>IF(C84="","HS-"&amp;TEXT(COUNTA($C$5:C84),"000"))</f>
        <v/>
      </c>
      <c r="C84" s="14" t="n"/>
      <c r="D84" s="14" t="n"/>
      <c r="E84" s="14" t="n"/>
      <c r="F84" s="24" t="n"/>
      <c r="G84" s="24" t="n"/>
      <c r="H84" s="14" t="n"/>
      <c r="I84" s="19" t="n"/>
      <c r="J84" s="19">
        <f>IF(OR(G84="",H84=""),"",IFERROR(G84*2000,0))</f>
        <v/>
      </c>
      <c r="K84" s="14" t="n"/>
      <c r="L84" s="14" t="n"/>
    </row>
    <row r="85" ht="22" customHeight="1">
      <c r="B85" s="17">
        <f>IF(C85="","HS-"&amp;TEXT(COUNTA($C$5:C85),"000"))</f>
        <v/>
      </c>
      <c r="C85" s="12" t="n"/>
      <c r="D85" s="12" t="n"/>
      <c r="E85" s="12" t="n"/>
      <c r="F85" s="23" t="n"/>
      <c r="G85" s="23" t="n"/>
      <c r="H85" s="12" t="n"/>
      <c r="I85" s="18" t="n"/>
      <c r="J85" s="18">
        <f>IF(OR(G85="",H85=""),"",IFERROR(G85*2000,0))</f>
        <v/>
      </c>
      <c r="K85" s="12" t="n"/>
      <c r="L85" s="12" t="n"/>
    </row>
    <row r="86" ht="22" customHeight="1">
      <c r="B86" s="16">
        <f>IF(C86="","HS-"&amp;TEXT(COUNTA($C$5:C86),"000"))</f>
        <v/>
      </c>
      <c r="C86" s="14" t="n"/>
      <c r="D86" s="14" t="n"/>
      <c r="E86" s="14" t="n"/>
      <c r="F86" s="24" t="n"/>
      <c r="G86" s="24" t="n"/>
      <c r="H86" s="14" t="n"/>
      <c r="I86" s="19" t="n"/>
      <c r="J86" s="19">
        <f>IF(OR(G86="",H86=""),"",IFERROR(G86*2000,0))</f>
        <v/>
      </c>
      <c r="K86" s="14" t="n"/>
      <c r="L86" s="14" t="n"/>
    </row>
    <row r="87" ht="22" customHeight="1">
      <c r="B87" s="17">
        <f>IF(C87="","HS-"&amp;TEXT(COUNTA($C$5:C87),"000"))</f>
        <v/>
      </c>
      <c r="C87" s="12" t="n"/>
      <c r="D87" s="12" t="n"/>
      <c r="E87" s="12" t="n"/>
      <c r="F87" s="23" t="n"/>
      <c r="G87" s="23" t="n"/>
      <c r="H87" s="12" t="n"/>
      <c r="I87" s="18" t="n"/>
      <c r="J87" s="18">
        <f>IF(OR(G87="",H87=""),"",IFERROR(G87*2000,0))</f>
        <v/>
      </c>
      <c r="K87" s="12" t="n"/>
      <c r="L87" s="12" t="n"/>
    </row>
    <row r="88" ht="22" customHeight="1">
      <c r="B88" s="16">
        <f>IF(C88="","HS-"&amp;TEXT(COUNTA($C$5:C88),"000"))</f>
        <v/>
      </c>
      <c r="C88" s="14" t="n"/>
      <c r="D88" s="14" t="n"/>
      <c r="E88" s="14" t="n"/>
      <c r="F88" s="24" t="n"/>
      <c r="G88" s="24" t="n"/>
      <c r="H88" s="14" t="n"/>
      <c r="I88" s="19" t="n"/>
      <c r="J88" s="19">
        <f>IF(OR(G88="",H88=""),"",IFERROR(G88*2000,0))</f>
        <v/>
      </c>
      <c r="K88" s="14" t="n"/>
      <c r="L88" s="14" t="n"/>
    </row>
    <row r="89" ht="22" customHeight="1">
      <c r="B89" s="17">
        <f>IF(C89="","HS-"&amp;TEXT(COUNTA($C$5:C89),"000"))</f>
        <v/>
      </c>
      <c r="C89" s="12" t="n"/>
      <c r="D89" s="12" t="n"/>
      <c r="E89" s="12" t="n"/>
      <c r="F89" s="23" t="n"/>
      <c r="G89" s="23" t="n"/>
      <c r="H89" s="12" t="n"/>
      <c r="I89" s="18" t="n"/>
      <c r="J89" s="18">
        <f>IF(OR(G89="",H89=""),"",IFERROR(G89*2000,0))</f>
        <v/>
      </c>
      <c r="K89" s="12" t="n"/>
      <c r="L89" s="12" t="n"/>
    </row>
    <row r="90" ht="22" customHeight="1">
      <c r="B90" s="16">
        <f>IF(C90="","HS-"&amp;TEXT(COUNTA($C$5:C90),"000"))</f>
        <v/>
      </c>
      <c r="C90" s="14" t="n"/>
      <c r="D90" s="14" t="n"/>
      <c r="E90" s="14" t="n"/>
      <c r="F90" s="24" t="n"/>
      <c r="G90" s="24" t="n"/>
      <c r="H90" s="14" t="n"/>
      <c r="I90" s="19" t="n"/>
      <c r="J90" s="19">
        <f>IF(OR(G90="",H90=""),"",IFERROR(G90*2000,0))</f>
        <v/>
      </c>
      <c r="K90" s="14" t="n"/>
      <c r="L90" s="14" t="n"/>
    </row>
    <row r="91" ht="22" customHeight="1">
      <c r="B91" s="17">
        <f>IF(C91="","HS-"&amp;TEXT(COUNTA($C$5:C91),"000"))</f>
        <v/>
      </c>
      <c r="C91" s="12" t="n"/>
      <c r="D91" s="12" t="n"/>
      <c r="E91" s="12" t="n"/>
      <c r="F91" s="23" t="n"/>
      <c r="G91" s="23" t="n"/>
      <c r="H91" s="12" t="n"/>
      <c r="I91" s="18" t="n"/>
      <c r="J91" s="18">
        <f>IF(OR(G91="",H91=""),"",IFERROR(G91*2000,0))</f>
        <v/>
      </c>
      <c r="K91" s="12" t="n"/>
      <c r="L91" s="12" t="n"/>
    </row>
    <row r="92" ht="22" customHeight="1">
      <c r="B92" s="16">
        <f>IF(C92="","HS-"&amp;TEXT(COUNTA($C$5:C92),"000"))</f>
        <v/>
      </c>
      <c r="C92" s="14" t="n"/>
      <c r="D92" s="14" t="n"/>
      <c r="E92" s="14" t="n"/>
      <c r="F92" s="24" t="n"/>
      <c r="G92" s="24" t="n"/>
      <c r="H92" s="14" t="n"/>
      <c r="I92" s="19" t="n"/>
      <c r="J92" s="19">
        <f>IF(OR(G92="",H92=""),"",IFERROR(G92*2000,0))</f>
        <v/>
      </c>
      <c r="K92" s="14" t="n"/>
      <c r="L92" s="14" t="n"/>
    </row>
    <row r="93" ht="22" customHeight="1">
      <c r="B93" s="17">
        <f>IF(C93="","HS-"&amp;TEXT(COUNTA($C$5:C93),"000"))</f>
        <v/>
      </c>
      <c r="C93" s="12" t="n"/>
      <c r="D93" s="12" t="n"/>
      <c r="E93" s="12" t="n"/>
      <c r="F93" s="23" t="n"/>
      <c r="G93" s="23" t="n"/>
      <c r="H93" s="12" t="n"/>
      <c r="I93" s="18" t="n"/>
      <c r="J93" s="18">
        <f>IF(OR(G93="",H93=""),"",IFERROR(G93*2000,0))</f>
        <v/>
      </c>
      <c r="K93" s="12" t="n"/>
      <c r="L93" s="12" t="n"/>
    </row>
    <row r="94" ht="22" customHeight="1">
      <c r="B94" s="16">
        <f>IF(C94="","HS-"&amp;TEXT(COUNTA($C$5:C94),"000"))</f>
        <v/>
      </c>
      <c r="C94" s="14" t="n"/>
      <c r="D94" s="14" t="n"/>
      <c r="E94" s="14" t="n"/>
      <c r="F94" s="24" t="n"/>
      <c r="G94" s="24" t="n"/>
      <c r="H94" s="14" t="n"/>
      <c r="I94" s="19" t="n"/>
      <c r="J94" s="19">
        <f>IF(OR(G94="",H94=""),"",IFERROR(G94*2000,0))</f>
        <v/>
      </c>
      <c r="K94" s="14" t="n"/>
      <c r="L94" s="14" t="n"/>
    </row>
    <row r="95" ht="22" customHeight="1">
      <c r="B95" s="17">
        <f>IF(C95="","HS-"&amp;TEXT(COUNTA($C$5:C95),"000"))</f>
        <v/>
      </c>
      <c r="C95" s="12" t="n"/>
      <c r="D95" s="12" t="n"/>
      <c r="E95" s="12" t="n"/>
      <c r="F95" s="23" t="n"/>
      <c r="G95" s="23" t="n"/>
      <c r="H95" s="12" t="n"/>
      <c r="I95" s="18" t="n"/>
      <c r="J95" s="18">
        <f>IF(OR(G95="",H95=""),"",IFERROR(G95*2000,0))</f>
        <v/>
      </c>
      <c r="K95" s="12" t="n"/>
      <c r="L95" s="12" t="n"/>
    </row>
    <row r="96" ht="22" customHeight="1">
      <c r="B96" s="16">
        <f>IF(C96="","HS-"&amp;TEXT(COUNTA($C$5:C96),"000"))</f>
        <v/>
      </c>
      <c r="C96" s="14" t="n"/>
      <c r="D96" s="14" t="n"/>
      <c r="E96" s="14" t="n"/>
      <c r="F96" s="24" t="n"/>
      <c r="G96" s="24" t="n"/>
      <c r="H96" s="14" t="n"/>
      <c r="I96" s="19" t="n"/>
      <c r="J96" s="19">
        <f>IF(OR(G96="",H96=""),"",IFERROR(G96*2000,0))</f>
        <v/>
      </c>
      <c r="K96" s="14" t="n"/>
      <c r="L96" s="14" t="n"/>
    </row>
    <row r="97" ht="22" customHeight="1">
      <c r="B97" s="17">
        <f>IF(C97="","HS-"&amp;TEXT(COUNTA($C$5:C97),"000"))</f>
        <v/>
      </c>
      <c r="C97" s="12" t="n"/>
      <c r="D97" s="12" t="n"/>
      <c r="E97" s="12" t="n"/>
      <c r="F97" s="23" t="n"/>
      <c r="G97" s="23" t="n"/>
      <c r="H97" s="12" t="n"/>
      <c r="I97" s="18" t="n"/>
      <c r="J97" s="18">
        <f>IF(OR(G97="",H97=""),"",IFERROR(G97*2000,0))</f>
        <v/>
      </c>
      <c r="K97" s="12" t="n"/>
      <c r="L97" s="12" t="n"/>
    </row>
    <row r="98" ht="22" customHeight="1">
      <c r="B98" s="16">
        <f>IF(C98="","HS-"&amp;TEXT(COUNTA($C$5:C98),"000"))</f>
        <v/>
      </c>
      <c r="C98" s="14" t="n"/>
      <c r="D98" s="14" t="n"/>
      <c r="E98" s="14" t="n"/>
      <c r="F98" s="24" t="n"/>
      <c r="G98" s="24" t="n"/>
      <c r="H98" s="14" t="n"/>
      <c r="I98" s="19" t="n"/>
      <c r="J98" s="19">
        <f>IF(OR(G98="",H98=""),"",IFERROR(G98*2000,0))</f>
        <v/>
      </c>
      <c r="K98" s="14" t="n"/>
      <c r="L98" s="14" t="n"/>
    </row>
    <row r="99" ht="22" customHeight="1">
      <c r="B99" s="17">
        <f>IF(C99="","HS-"&amp;TEXT(COUNTA($C$5:C99),"000"))</f>
        <v/>
      </c>
      <c r="C99" s="12" t="n"/>
      <c r="D99" s="12" t="n"/>
      <c r="E99" s="12" t="n"/>
      <c r="F99" s="23" t="n"/>
      <c r="G99" s="23" t="n"/>
      <c r="H99" s="12" t="n"/>
      <c r="I99" s="18" t="n"/>
      <c r="J99" s="18">
        <f>IF(OR(G99="",H99=""),"",IFERROR(G99*2000,0))</f>
        <v/>
      </c>
      <c r="K99" s="12" t="n"/>
      <c r="L99" s="12" t="n"/>
    </row>
    <row r="100" ht="22" customHeight="1">
      <c r="B100" s="16">
        <f>IF(C100="","HS-"&amp;TEXT(COUNTA($C$5:C100),"000"))</f>
        <v/>
      </c>
      <c r="C100" s="14" t="n"/>
      <c r="D100" s="14" t="n"/>
      <c r="E100" s="14" t="n"/>
      <c r="F100" s="24" t="n"/>
      <c r="G100" s="24" t="n"/>
      <c r="H100" s="14" t="n"/>
      <c r="I100" s="19" t="n"/>
      <c r="J100" s="19">
        <f>IF(OR(G100="",H100=""),"",IFERROR(G100*2000,0))</f>
        <v/>
      </c>
      <c r="K100" s="14" t="n"/>
      <c r="L100" s="14" t="n"/>
    </row>
    <row r="101" ht="22" customHeight="1">
      <c r="B101" s="17">
        <f>IF(C101="","HS-"&amp;TEXT(COUNTA($C$5:C101),"000"))</f>
        <v/>
      </c>
      <c r="C101" s="12" t="n"/>
      <c r="D101" s="12" t="n"/>
      <c r="E101" s="12" t="n"/>
      <c r="F101" s="23" t="n"/>
      <c r="G101" s="23" t="n"/>
      <c r="H101" s="12" t="n"/>
      <c r="I101" s="18" t="n"/>
      <c r="J101" s="18">
        <f>IF(OR(G101="",H101=""),"",IFERROR(G101*2000,0))</f>
        <v/>
      </c>
      <c r="K101" s="12" t="n"/>
      <c r="L101" s="12" t="n"/>
    </row>
    <row r="102" ht="22" customHeight="1">
      <c r="B102" s="16">
        <f>IF(C102="","HS-"&amp;TEXT(COUNTA($C$5:C102),"000"))</f>
        <v/>
      </c>
      <c r="C102" s="14" t="n"/>
      <c r="D102" s="14" t="n"/>
      <c r="E102" s="14" t="n"/>
      <c r="F102" s="24" t="n"/>
      <c r="G102" s="24" t="n"/>
      <c r="H102" s="14" t="n"/>
      <c r="I102" s="19" t="n"/>
      <c r="J102" s="19">
        <f>IF(OR(G102="",H102=""),"",IFERROR(G102*2000,0))</f>
        <v/>
      </c>
      <c r="K102" s="14" t="n"/>
      <c r="L102" s="14" t="n"/>
    </row>
    <row r="103" ht="22" customHeight="1">
      <c r="B103" s="17">
        <f>IF(C103="","HS-"&amp;TEXT(COUNTA($C$5:C103),"000"))</f>
        <v/>
      </c>
      <c r="C103" s="12" t="n"/>
      <c r="D103" s="12" t="n"/>
      <c r="E103" s="12" t="n"/>
      <c r="F103" s="23" t="n"/>
      <c r="G103" s="23" t="n"/>
      <c r="H103" s="12" t="n"/>
      <c r="I103" s="18" t="n"/>
      <c r="J103" s="18">
        <f>IF(OR(G103="",H103=""),"",IFERROR(G103*2000,0))</f>
        <v/>
      </c>
      <c r="K103" s="12" t="n"/>
      <c r="L103" s="12" t="n"/>
    </row>
    <row r="104" ht="22" customHeight="1">
      <c r="B104" s="16">
        <f>IF(C104="","HS-"&amp;TEXT(COUNTA($C$5:C104),"000"))</f>
        <v/>
      </c>
      <c r="C104" s="14" t="n"/>
      <c r="D104" s="14" t="n"/>
      <c r="E104" s="14" t="n"/>
      <c r="F104" s="24" t="n"/>
      <c r="G104" s="24" t="n"/>
      <c r="H104" s="14" t="n"/>
      <c r="I104" s="19" t="n"/>
      <c r="J104" s="19">
        <f>IF(OR(G104="",H104=""),"",IFERROR(G104*2000,0))</f>
        <v/>
      </c>
      <c r="K104" s="14" t="n"/>
      <c r="L104" s="14" t="n"/>
    </row>
    <row r="105" ht="22" customHeight="1">
      <c r="B105" s="17">
        <f>IF(C105="","HS-"&amp;TEXT(COUNTA($C$5:C105),"000"))</f>
        <v/>
      </c>
      <c r="C105" s="12" t="n"/>
      <c r="D105" s="12" t="n"/>
      <c r="E105" s="12" t="n"/>
      <c r="F105" s="23" t="n"/>
      <c r="G105" s="23" t="n"/>
      <c r="H105" s="12" t="n"/>
      <c r="I105" s="18" t="n"/>
      <c r="K105" s="12" t="n"/>
      <c r="L105" s="12" t="n"/>
    </row>
    <row r="106" ht="22" customHeight="1">
      <c r="B106" s="16">
        <f>IF(C106="","HS-"&amp;TEXT(COUNTA($C$5:C106),"000"))</f>
        <v/>
      </c>
      <c r="C106" s="14" t="n"/>
      <c r="D106" s="14" t="n"/>
      <c r="E106" s="14" t="n"/>
      <c r="F106" s="24" t="n"/>
      <c r="G106" s="24" t="n"/>
      <c r="H106" s="14" t="n"/>
      <c r="I106" s="19" t="n"/>
      <c r="K106" s="14" t="n"/>
      <c r="L106" s="14" t="n"/>
    </row>
    <row r="107" ht="22" customHeight="1">
      <c r="B107" s="17">
        <f>IF(C107="","HS-"&amp;TEXT(COUNTA($C$5:C107),"000"))</f>
        <v/>
      </c>
      <c r="C107" s="12" t="n"/>
      <c r="D107" s="12" t="n"/>
      <c r="E107" s="12" t="n"/>
      <c r="F107" s="23" t="n"/>
      <c r="G107" s="23" t="n"/>
      <c r="H107" s="12" t="n"/>
      <c r="I107" s="18" t="n"/>
      <c r="K107" s="12" t="n"/>
      <c r="L107" s="12" t="n"/>
    </row>
    <row r="108" ht="22" customHeight="1">
      <c r="B108" s="16">
        <f>IF(C108="","HS-"&amp;TEXT(COUNTA($C$5:C108),"000"))</f>
        <v/>
      </c>
      <c r="C108" s="14" t="n"/>
      <c r="D108" s="14" t="n"/>
      <c r="E108" s="14" t="n"/>
      <c r="F108" s="24" t="n"/>
      <c r="G108" s="24" t="n"/>
      <c r="H108" s="14" t="n"/>
      <c r="I108" s="19" t="n"/>
      <c r="K108" s="14" t="n"/>
      <c r="L108" s="14" t="n"/>
    </row>
    <row r="109"/>
    <row r="110" ht="26" customHeight="1">
      <c r="B110" s="20" t="inlineStr">
        <is>
          <t>TOTAL</t>
        </is>
      </c>
      <c r="C110" s="21" t="n"/>
      <c r="D110" s="21" t="n"/>
      <c r="E110" s="21" t="n"/>
      <c r="F110" s="21" t="n"/>
      <c r="G110" s="22">
        <f>SUM(G5:G104)</f>
        <v/>
      </c>
      <c r="H110" s="21" t="n"/>
      <c r="I110" s="22">
        <f>SUM(I5:I104)</f>
        <v/>
      </c>
      <c r="K110" s="21" t="n"/>
      <c r="L110" s="21" t="n"/>
    </row>
    <row r="111"/>
    <row r="112">
      <c r="B112" s="6" t="inlineStr">
        <is>
          <t>INDICATEURS (mis a jour automatiquement)</t>
        </is>
      </c>
    </row>
    <row r="113">
      <c r="B113" s="3" t="inlineStr">
        <is>
          <t>Total heures supp</t>
        </is>
      </c>
      <c r="D113" s="3" t="inlineStr">
        <is>
          <t>Montant total (FCFA)</t>
        </is>
      </c>
      <c r="F113" s="3" t="inlineStr">
        <is>
          <t>En attente validation</t>
        </is>
      </c>
    </row>
    <row r="114">
      <c r="B114" s="4">
        <f>SUM(G5:G104)</f>
        <v/>
      </c>
      <c r="D114" s="4">
        <f>SUM(I5:I104)</f>
        <v/>
      </c>
      <c r="F114" s="4">
        <f>COUNTIF(J5:J104,"En attente")</f>
        <v/>
      </c>
    </row>
  </sheetData>
  <mergeCells count="3">
    <mergeCell ref="B112:K112"/>
    <mergeCell ref="B3:K3"/>
    <mergeCell ref="B2:K2"/>
  </mergeCells>
  <conditionalFormatting sqref="J5:J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"Soumise"</formula>
    </cfRule>
    <cfRule type="cellIs" priority="9" operator="equal" dxfId="0">
      <formula>"Traite"</formula>
    </cfRule>
    <cfRule type="cellIs" priority="10" operator="equal" dxfId="0">
      <formula>"Clos"</formula>
    </cfRule>
    <cfRule type="cellIs" priority="11" operator="equal" dxfId="0">
      <formula>"Solde"</formula>
    </cfRule>
    <cfRule type="cellIs" priority="12" operator="equal" dxfId="0">
      <formula>"Pris"</formula>
    </cfRule>
    <cfRule type="cellIs" priority="13" operator="equal" dxfId="1">
      <formula>"En attente"</formula>
    </cfRule>
    <cfRule type="cellIs" priority="14" operator="equal" dxfId="1">
      <formula>"A renouveler"</formula>
    </cfRule>
    <cfRule type="cellIs" priority="15" operator="equal" dxfId="1">
      <formula>"En renouvellement"</formula>
    </cfRule>
    <cfRule type="cellIs" priority="16" operator="equal" dxfId="1">
      <formula>"En cours"</formula>
    </cfRule>
    <cfRule type="cellIs" priority="17" operator="equal" dxfId="1">
      <formula>"En traitement"</formula>
    </cfRule>
    <cfRule type="cellIs" priority="18" operator="equal" dxfId="1">
      <formula>"En retard"</formula>
    </cfRule>
    <cfRule type="cellIs" priority="19" operator="equal" dxfId="1">
      <formula>"Suspendu"</formula>
    </cfRule>
    <cfRule type="cellIs" priority="20" operator="equal" dxfId="1">
      <formula>"A verifier"</formula>
    </cfRule>
    <cfRule type="cellIs" priority="21" operator="equal" dxfId="2">
      <formula>"Expire"</formula>
    </cfRule>
    <cfRule type="cellIs" priority="22" operator="equal" dxfId="2">
      <formula>"Rejete"</formula>
    </cfRule>
    <cfRule type="cellIs" priority="23" operator="equal" dxfId="2">
      <formula>"Rejetee"</formula>
    </cfRule>
    <cfRule type="cellIs" priority="24" operator="equal" dxfId="2">
      <formula>"Resilie"</formula>
    </cfRule>
    <cfRule type="cellIs" priority="25" operator="equal" dxfId="2">
      <formula>"Echu"</formula>
    </cfRule>
    <cfRule type="cellIs" priority="26" operator="equal" dxfId="2">
      <formula>"Refuse"</formula>
    </cfRule>
    <cfRule type="cellIs" priority="27" operator="equal" dxfId="2">
      <formula>"Annulee"</formula>
    </cfRule>
    <cfRule type="cellIs" priority="28" operator="equal" dxfId="2">
      <formula>"Departi"</formula>
    </cfRule>
    <cfRule type="cellIs" priority="29" operator="equal" dxfId="2">
      <formula>"Cloture"</formula>
    </cfRule>
    <cfRule type="cellIs" priority="30" operator="equal" dxfId="2">
      <formula>"Non justifiee"</formula>
    </cfRule>
    <cfRule type="cellIs" priority="31" operator="equal" dxfId="2">
      <formula>"Manquant"</formula>
    </cfRule>
  </conditionalFormatting>
  <conditionalFormatting sqref="B9:B108">
    <cfRule type="expression" priority="32" dxfId="3">
      <formula>AND($C9="",$C8&lt;&gt;"")</formula>
    </cfRule>
  </conditionalFormatting>
  <conditionalFormatting sqref="C9:C108">
    <cfRule type="expression" priority="33" dxfId="3">
      <formula>AND($C9="",$C8&lt;&gt;"")</formula>
    </cfRule>
  </conditionalFormatting>
  <conditionalFormatting sqref="D9:D108">
    <cfRule type="expression" priority="34" dxfId="3">
      <formula>AND($C9="",$C8&lt;&gt;"")</formula>
    </cfRule>
  </conditionalFormatting>
  <conditionalFormatting sqref="E9:E108">
    <cfRule type="expression" priority="35" dxfId="3">
      <formula>AND($C9="",$C8&lt;&gt;"")</formula>
    </cfRule>
  </conditionalFormatting>
  <conditionalFormatting sqref="F9:F108">
    <cfRule type="expression" priority="36" dxfId="3">
      <formula>AND($C9="",$C8&lt;&gt;"")</formula>
    </cfRule>
  </conditionalFormatting>
  <conditionalFormatting sqref="G9:G108">
    <cfRule type="expression" priority="37" dxfId="3">
      <formula>AND($C9="",$C8&lt;&gt;"")</formula>
    </cfRule>
  </conditionalFormatting>
  <conditionalFormatting sqref="H9:H108">
    <cfRule type="expression" priority="38" dxfId="3">
      <formula>AND($C9="",$C8&lt;&gt;"")</formula>
    </cfRule>
  </conditionalFormatting>
  <conditionalFormatting sqref="I9:I108">
    <cfRule type="expression" priority="39" dxfId="3">
      <formula>AND($C9="",$C8&lt;&gt;"")</formula>
    </cfRule>
  </conditionalFormatting>
  <conditionalFormatting sqref="J9:J108">
    <cfRule type="expression" priority="40" dxfId="3">
      <formula>AND($C9="",$C8&lt;&gt;"")</formula>
    </cfRule>
  </conditionalFormatting>
  <conditionalFormatting sqref="K9:K108">
    <cfRule type="expression" priority="41" dxfId="3">
      <formula>AND($C9="",$C8&lt;&gt;"")</formula>
    </cfRule>
  </conditionalFormatting>
  <dataValidations count="2">
    <dataValidation sqref="H5:H108" showDropDown="0" showInputMessage="0" showErrorMessage="0" allowBlank="1" errorTitle="Erreur" error="Valeur invalide" promptTitle="Liste" prompt="Choisir dans la liste" type="list">
      <formula1>'_Lists'!$Z$2:$Z$5</formula1>
    </dataValidation>
    <dataValidation sqref="J5:J108" showDropDown="0" showInputMessage="0" showErrorMessage="0" allowBlank="1" errorTitle="Erreur" error="Valeur invalide" promptTitle="Liste" prompt="Choisir dans la liste" type="list">
      <formula1>'_Lists'!$Y$2:$Y$5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20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28" customWidth="1" min="10" max="10"/>
    <col width="26" customWidth="1" min="11" max="11"/>
  </cols>
  <sheetData>
    <row r="1" ht="15" customHeight="1"/>
    <row r="2" ht="32" customHeight="1">
      <c r="B2" s="1" t="inlineStr">
        <is>
          <t>POINTAGE &amp; PRESENCE HEBDOMADAIRE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Matricule</t>
        </is>
      </c>
      <c r="D4" s="11" t="inlineStr">
        <is>
          <t>Nom Employé</t>
        </is>
      </c>
      <c r="E4" s="11" t="inlineStr">
        <is>
          <t>Semaine</t>
        </is>
      </c>
      <c r="F4" s="11" t="inlineStr">
        <is>
          <t>Jours Présents</t>
        </is>
      </c>
      <c r="G4" s="11" t="inlineStr">
        <is>
          <t>Jours Absents</t>
        </is>
      </c>
      <c r="H4" s="11" t="inlineStr">
        <is>
          <t>Retards (min)</t>
        </is>
      </c>
      <c r="I4" s="11" t="inlineStr">
        <is>
          <t>Heures Supp</t>
        </is>
      </c>
      <c r="J4" s="11" t="inlineStr">
        <is>
          <t>Taux Présence (%)</t>
        </is>
      </c>
      <c r="K4" s="11" t="inlineStr">
        <is>
          <t>Observations</t>
        </is>
      </c>
    </row>
    <row r="5" ht="22" customHeight="1">
      <c r="B5" s="12" t="inlineStr">
        <is>
          <t>PNT-001</t>
        </is>
      </c>
      <c r="C5" s="12" t="inlineStr">
        <is>
          <t>EMP-001</t>
        </is>
      </c>
      <c r="D5" s="12" t="inlineStr">
        <is>
          <t>Nganou Clarisse</t>
        </is>
      </c>
      <c r="E5" s="12" t="inlineStr">
        <is>
          <t>S12-2025</t>
        </is>
      </c>
      <c r="F5" s="23" t="n">
        <v>5</v>
      </c>
      <c r="G5" s="23" t="n">
        <v>0</v>
      </c>
      <c r="H5" s="23" t="n">
        <v>0</v>
      </c>
      <c r="I5" s="23" t="n">
        <v>0</v>
      </c>
      <c r="J5" s="25" t="n"/>
      <c r="K5" s="12" t="inlineStr"/>
    </row>
    <row r="6" ht="22" customHeight="1">
      <c r="B6" s="14" t="inlineStr">
        <is>
          <t>PNT-002</t>
        </is>
      </c>
      <c r="C6" s="14" t="inlineStr">
        <is>
          <t>EMP-002</t>
        </is>
      </c>
      <c r="D6" s="14" t="inlineStr">
        <is>
          <t>Tchinda Armand</t>
        </is>
      </c>
      <c r="E6" s="14" t="inlineStr">
        <is>
          <t>S12-2025</t>
        </is>
      </c>
      <c r="F6" s="24" t="n">
        <v>5</v>
      </c>
      <c r="G6" s="24" t="n">
        <v>0</v>
      </c>
      <c r="H6" s="24" t="n">
        <v>30</v>
      </c>
      <c r="I6" s="24" t="n">
        <v>4</v>
      </c>
      <c r="J6" s="26" t="n"/>
      <c r="K6" s="14" t="inlineStr">
        <is>
          <t>Retard lundi 30 min</t>
        </is>
      </c>
    </row>
    <row r="7" ht="22" customHeight="1">
      <c r="B7" s="12" t="inlineStr">
        <is>
          <t>PNT-003</t>
        </is>
      </c>
      <c r="C7" s="12" t="inlineStr">
        <is>
          <t>EMP-003</t>
        </is>
      </c>
      <c r="D7" s="12" t="inlineStr">
        <is>
          <t>Fotso Marguerite</t>
        </is>
      </c>
      <c r="E7" s="12" t="inlineStr">
        <is>
          <t>S12-2025</t>
        </is>
      </c>
      <c r="F7" s="23" t="n">
        <v>3</v>
      </c>
      <c r="G7" s="23" t="n">
        <v>2</v>
      </c>
      <c r="H7" s="23" t="n">
        <v>0</v>
      </c>
      <c r="I7" s="23" t="n">
        <v>0</v>
      </c>
      <c r="J7" s="25" t="n"/>
      <c r="K7" s="12" t="inlineStr">
        <is>
          <t>Absence maladie</t>
        </is>
      </c>
    </row>
    <row r="8" ht="22" customHeight="1">
      <c r="B8" s="14" t="inlineStr">
        <is>
          <t>PNT-004</t>
        </is>
      </c>
      <c r="C8" s="14" t="inlineStr">
        <is>
          <t>EMP-004</t>
        </is>
      </c>
      <c r="D8" s="14" t="inlineStr">
        <is>
          <t>Nkoulou Mbarga</t>
        </is>
      </c>
      <c r="E8" s="14" t="inlineStr">
        <is>
          <t>S12-2025</t>
        </is>
      </c>
      <c r="F8" s="24" t="n">
        <v>5</v>
      </c>
      <c r="G8" s="24" t="n">
        <v>0</v>
      </c>
      <c r="H8" s="24" t="n">
        <v>0</v>
      </c>
      <c r="I8" s="24" t="n">
        <v>6</v>
      </c>
      <c r="J8" s="26" t="n"/>
      <c r="K8" s="14" t="inlineStr">
        <is>
          <t>6h supp jeudi</t>
        </is>
      </c>
    </row>
    <row r="9" ht="22" customHeight="1">
      <c r="B9" s="12" t="inlineStr">
        <is>
          <t>PNT-005</t>
        </is>
      </c>
      <c r="C9" s="12" t="inlineStr">
        <is>
          <t>EMP-005</t>
        </is>
      </c>
      <c r="D9" s="12" t="inlineStr">
        <is>
          <t>Kamga Paul</t>
        </is>
      </c>
      <c r="E9" s="12" t="inlineStr">
        <is>
          <t>S12-2025</t>
        </is>
      </c>
      <c r="F9" s="23" t="n">
        <v>5</v>
      </c>
      <c r="G9" s="23" t="n">
        <v>0</v>
      </c>
      <c r="H9" s="23" t="n">
        <v>15</v>
      </c>
      <c r="I9" s="23" t="n">
        <v>8</v>
      </c>
      <c r="J9" s="25" t="n"/>
      <c r="K9" s="12" t="inlineStr">
        <is>
          <t>Retard 15 min mercredi</t>
        </is>
      </c>
    </row>
    <row r="10" ht="22" customHeight="1">
      <c r="B10" s="16">
        <f>IF(C10="","PNT-"&amp;TEXT(COUNTA($C$5:C10),"000"))</f>
        <v/>
      </c>
      <c r="C10" s="14" t="n"/>
      <c r="D10" s="14" t="n"/>
      <c r="E10" s="14" t="n"/>
      <c r="F10" s="24" t="n"/>
      <c r="G10" s="24" t="n"/>
      <c r="H10" s="24" t="n"/>
      <c r="I10" s="24" t="n"/>
      <c r="J10" s="26">
        <f>IF(F10="","",IFERROR(F10/(F10+G10),0))</f>
        <v/>
      </c>
      <c r="K10" s="14" t="n"/>
    </row>
    <row r="11" ht="22" customHeight="1">
      <c r="B11" s="17">
        <f>IF(C11="","PNT-"&amp;TEXT(COUNTA($C$5:C11),"000"))</f>
        <v/>
      </c>
      <c r="C11" s="12" t="n"/>
      <c r="D11" s="12" t="n"/>
      <c r="E11" s="12" t="n"/>
      <c r="F11" s="23" t="n"/>
      <c r="G11" s="23" t="n"/>
      <c r="H11" s="23" t="n"/>
      <c r="I11" s="23" t="n"/>
      <c r="J11" s="25">
        <f>IF(F11="","",IFERROR(F11/(F11+G11),0))</f>
        <v/>
      </c>
      <c r="K11" s="12" t="n"/>
    </row>
    <row r="12" ht="22" customHeight="1">
      <c r="B12" s="16">
        <f>IF(C12="","PNT-"&amp;TEXT(COUNTA($C$5:C12),"000"))</f>
        <v/>
      </c>
      <c r="C12" s="14" t="n"/>
      <c r="D12" s="14" t="n"/>
      <c r="E12" s="14" t="n"/>
      <c r="F12" s="24" t="n"/>
      <c r="G12" s="24" t="n"/>
      <c r="H12" s="24" t="n"/>
      <c r="I12" s="24" t="n"/>
      <c r="J12" s="26">
        <f>IF(F12="","",IFERROR(F12/(F12+G12),0))</f>
        <v/>
      </c>
      <c r="K12" s="14" t="n"/>
    </row>
    <row r="13" ht="22" customHeight="1">
      <c r="B13" s="17">
        <f>IF(C13="","PNT-"&amp;TEXT(COUNTA($C$5:C13),"000"))</f>
        <v/>
      </c>
      <c r="C13" s="12" t="n"/>
      <c r="D13" s="12" t="n"/>
      <c r="E13" s="12" t="n"/>
      <c r="F13" s="23" t="n"/>
      <c r="G13" s="23" t="n"/>
      <c r="H13" s="23" t="n"/>
      <c r="I13" s="23" t="n"/>
      <c r="J13" s="25">
        <f>IF(F13="","",IFERROR(F13/(F13+G13),0))</f>
        <v/>
      </c>
      <c r="K13" s="12" t="n"/>
    </row>
    <row r="14" ht="22" customHeight="1">
      <c r="B14" s="16">
        <f>IF(C14="","PNT-"&amp;TEXT(COUNTA($C$5:C14),"000"))</f>
        <v/>
      </c>
      <c r="C14" s="14" t="n"/>
      <c r="D14" s="14" t="n"/>
      <c r="E14" s="14" t="n"/>
      <c r="F14" s="24" t="n"/>
      <c r="G14" s="24" t="n"/>
      <c r="H14" s="24" t="n"/>
      <c r="I14" s="24" t="n"/>
      <c r="J14" s="26">
        <f>IF(F14="","",IFERROR(F14/(F14+G14),0))</f>
        <v/>
      </c>
      <c r="K14" s="14" t="n"/>
    </row>
    <row r="15" ht="22" customHeight="1">
      <c r="B15" s="17">
        <f>IF(C15="","PNT-"&amp;TEXT(COUNTA($C$5:C15),"000"))</f>
        <v/>
      </c>
      <c r="C15" s="12" t="n"/>
      <c r="D15" s="12" t="n"/>
      <c r="E15" s="12" t="n"/>
      <c r="F15" s="23" t="n"/>
      <c r="G15" s="23" t="n"/>
      <c r="H15" s="23" t="n"/>
      <c r="I15" s="23" t="n"/>
      <c r="J15" s="25">
        <f>IF(F15="","",IFERROR(F15/(F15+G15),0))</f>
        <v/>
      </c>
      <c r="K15" s="12" t="n"/>
    </row>
    <row r="16" ht="22" customHeight="1">
      <c r="B16" s="16">
        <f>IF(C16="","PNT-"&amp;TEXT(COUNTA($C$5:C16),"000"))</f>
        <v/>
      </c>
      <c r="C16" s="14" t="n"/>
      <c r="D16" s="14" t="n"/>
      <c r="E16" s="14" t="n"/>
      <c r="F16" s="24" t="n"/>
      <c r="G16" s="24" t="n"/>
      <c r="H16" s="24" t="n"/>
      <c r="I16" s="24" t="n"/>
      <c r="J16" s="26">
        <f>IF(F16="","",IFERROR(F16/(F16+G16),0))</f>
        <v/>
      </c>
      <c r="K16" s="14" t="n"/>
    </row>
    <row r="17" ht="22" customHeight="1">
      <c r="B17" s="17">
        <f>IF(C17="","PNT-"&amp;TEXT(COUNTA($C$5:C17),"000"))</f>
        <v/>
      </c>
      <c r="C17" s="12" t="n"/>
      <c r="D17" s="12" t="n"/>
      <c r="E17" s="12" t="n"/>
      <c r="F17" s="23" t="n"/>
      <c r="G17" s="23" t="n"/>
      <c r="H17" s="23" t="n"/>
      <c r="I17" s="23" t="n"/>
      <c r="J17" s="25">
        <f>IF(F17="","",IFERROR(F17/(F17+G17),0))</f>
        <v/>
      </c>
      <c r="K17" s="12" t="n"/>
    </row>
    <row r="18" ht="22" customHeight="1">
      <c r="B18" s="16">
        <f>IF(C18="","PNT-"&amp;TEXT(COUNTA($C$5:C18),"000"))</f>
        <v/>
      </c>
      <c r="C18" s="14" t="n"/>
      <c r="D18" s="14" t="n"/>
      <c r="E18" s="14" t="n"/>
      <c r="F18" s="24" t="n"/>
      <c r="G18" s="24" t="n"/>
      <c r="H18" s="24" t="n"/>
      <c r="I18" s="24" t="n"/>
      <c r="J18" s="26">
        <f>IF(F18="","",IFERROR(F18/(F18+G18),0))</f>
        <v/>
      </c>
      <c r="K18" s="14" t="n"/>
    </row>
    <row r="19" ht="22" customHeight="1">
      <c r="B19" s="17">
        <f>IF(C19="","PNT-"&amp;TEXT(COUNTA($C$5:C19),"000"))</f>
        <v/>
      </c>
      <c r="C19" s="12" t="n"/>
      <c r="D19" s="12" t="n"/>
      <c r="E19" s="12" t="n"/>
      <c r="F19" s="23" t="n"/>
      <c r="G19" s="23" t="n"/>
      <c r="H19" s="23" t="n"/>
      <c r="I19" s="23" t="n"/>
      <c r="J19" s="25">
        <f>IF(F19="","",IFERROR(F19/(F19+G19),0))</f>
        <v/>
      </c>
      <c r="K19" s="12" t="n"/>
    </row>
    <row r="20" ht="22" customHeight="1">
      <c r="B20" s="16">
        <f>IF(C20="","PNT-"&amp;TEXT(COUNTA($C$5:C20),"000"))</f>
        <v/>
      </c>
      <c r="C20" s="14" t="n"/>
      <c r="D20" s="14" t="n"/>
      <c r="E20" s="14" t="n"/>
      <c r="F20" s="24" t="n"/>
      <c r="G20" s="24" t="n"/>
      <c r="H20" s="24" t="n"/>
      <c r="I20" s="24" t="n"/>
      <c r="J20" s="26">
        <f>IF(F20="","",IFERROR(F20/(F20+G20),0))</f>
        <v/>
      </c>
      <c r="K20" s="14" t="n"/>
    </row>
    <row r="21" ht="22" customHeight="1">
      <c r="B21" s="17">
        <f>IF(C21="","PNT-"&amp;TEXT(COUNTA($C$5:C21),"000"))</f>
        <v/>
      </c>
      <c r="C21" s="12" t="n"/>
      <c r="D21" s="12" t="n"/>
      <c r="E21" s="12" t="n"/>
      <c r="F21" s="23" t="n"/>
      <c r="G21" s="23" t="n"/>
      <c r="H21" s="23" t="n"/>
      <c r="I21" s="23" t="n"/>
      <c r="J21" s="25">
        <f>IF(F21="","",IFERROR(F21/(F21+G21),0))</f>
        <v/>
      </c>
      <c r="K21" s="12" t="n"/>
    </row>
    <row r="22" ht="22" customHeight="1">
      <c r="B22" s="16">
        <f>IF(C22="","PNT-"&amp;TEXT(COUNTA($C$5:C22),"000"))</f>
        <v/>
      </c>
      <c r="C22" s="14" t="n"/>
      <c r="D22" s="14" t="n"/>
      <c r="E22" s="14" t="n"/>
      <c r="F22" s="24" t="n"/>
      <c r="G22" s="24" t="n"/>
      <c r="H22" s="24" t="n"/>
      <c r="I22" s="24" t="n"/>
      <c r="J22" s="26">
        <f>IF(F22="","",IFERROR(F22/(F22+G22),0))</f>
        <v/>
      </c>
      <c r="K22" s="14" t="n"/>
    </row>
    <row r="23" ht="22" customHeight="1">
      <c r="B23" s="17">
        <f>IF(C23="","PNT-"&amp;TEXT(COUNTA($C$5:C23),"000"))</f>
        <v/>
      </c>
      <c r="C23" s="12" t="n"/>
      <c r="D23" s="12" t="n"/>
      <c r="E23" s="12" t="n"/>
      <c r="F23" s="23" t="n"/>
      <c r="G23" s="23" t="n"/>
      <c r="H23" s="23" t="n"/>
      <c r="I23" s="23" t="n"/>
      <c r="J23" s="25">
        <f>IF(F23="","",IFERROR(F23/(F23+G23),0))</f>
        <v/>
      </c>
      <c r="K23" s="12" t="n"/>
    </row>
    <row r="24" ht="22" customHeight="1">
      <c r="B24" s="16">
        <f>IF(C24="","PNT-"&amp;TEXT(COUNTA($C$5:C24),"000"))</f>
        <v/>
      </c>
      <c r="C24" s="14" t="n"/>
      <c r="D24" s="14" t="n"/>
      <c r="E24" s="14" t="n"/>
      <c r="F24" s="24" t="n"/>
      <c r="G24" s="24" t="n"/>
      <c r="H24" s="24" t="n"/>
      <c r="I24" s="24" t="n"/>
      <c r="J24" s="26">
        <f>IF(F24="","",IFERROR(F24/(F24+G24),0))</f>
        <v/>
      </c>
      <c r="K24" s="14" t="n"/>
    </row>
    <row r="25" ht="22" customHeight="1">
      <c r="B25" s="17">
        <f>IF(C25="","PNT-"&amp;TEXT(COUNTA($C$5:C25),"000"))</f>
        <v/>
      </c>
      <c r="C25" s="12" t="n"/>
      <c r="D25" s="12" t="n"/>
      <c r="E25" s="12" t="n"/>
      <c r="F25" s="23" t="n"/>
      <c r="G25" s="23" t="n"/>
      <c r="H25" s="23" t="n"/>
      <c r="I25" s="23" t="n"/>
      <c r="J25" s="25">
        <f>IF(F25="","",IFERROR(F25/(F25+G25),0))</f>
        <v/>
      </c>
      <c r="K25" s="12" t="n"/>
    </row>
    <row r="26" ht="22" customHeight="1">
      <c r="B26" s="16">
        <f>IF(C26="","PNT-"&amp;TEXT(COUNTA($C$5:C26),"000"))</f>
        <v/>
      </c>
      <c r="C26" s="14" t="n"/>
      <c r="D26" s="14" t="n"/>
      <c r="E26" s="14" t="n"/>
      <c r="F26" s="24" t="n"/>
      <c r="G26" s="24" t="n"/>
      <c r="H26" s="24" t="n"/>
      <c r="I26" s="24" t="n"/>
      <c r="J26" s="26">
        <f>IF(F26="","",IFERROR(F26/(F26+G26),0))</f>
        <v/>
      </c>
      <c r="K26" s="14" t="n"/>
    </row>
    <row r="27" ht="22" customHeight="1">
      <c r="B27" s="17">
        <f>IF(C27="","PNT-"&amp;TEXT(COUNTA($C$5:C27),"000"))</f>
        <v/>
      </c>
      <c r="C27" s="12" t="n"/>
      <c r="D27" s="12" t="n"/>
      <c r="E27" s="12" t="n"/>
      <c r="F27" s="23" t="n"/>
      <c r="G27" s="23" t="n"/>
      <c r="H27" s="23" t="n"/>
      <c r="I27" s="23" t="n"/>
      <c r="J27" s="25">
        <f>IF(F27="","",IFERROR(F27/(F27+G27),0))</f>
        <v/>
      </c>
      <c r="K27" s="12" t="n"/>
    </row>
    <row r="28" ht="22" customHeight="1">
      <c r="B28" s="16">
        <f>IF(C28="","PNT-"&amp;TEXT(COUNTA($C$5:C28),"000"))</f>
        <v/>
      </c>
      <c r="C28" s="14" t="n"/>
      <c r="D28" s="14" t="n"/>
      <c r="E28" s="14" t="n"/>
      <c r="F28" s="24" t="n"/>
      <c r="G28" s="24" t="n"/>
      <c r="H28" s="24" t="n"/>
      <c r="I28" s="24" t="n"/>
      <c r="J28" s="26">
        <f>IF(F28="","",IFERROR(F28/(F28+G28),0))</f>
        <v/>
      </c>
      <c r="K28" s="14" t="n"/>
    </row>
    <row r="29" ht="22" customHeight="1">
      <c r="B29" s="17">
        <f>IF(C29="","PNT-"&amp;TEXT(COUNTA($C$5:C29),"000"))</f>
        <v/>
      </c>
      <c r="C29" s="12" t="n"/>
      <c r="D29" s="12" t="n"/>
      <c r="E29" s="12" t="n"/>
      <c r="F29" s="23" t="n"/>
      <c r="G29" s="23" t="n"/>
      <c r="H29" s="23" t="n"/>
      <c r="I29" s="23" t="n"/>
      <c r="J29" s="25">
        <f>IF(F29="","",IFERROR(F29/(F29+G29),0))</f>
        <v/>
      </c>
      <c r="K29" s="12" t="n"/>
    </row>
    <row r="30" ht="22" customHeight="1">
      <c r="B30" s="16">
        <f>IF(C30="","PNT-"&amp;TEXT(COUNTA($C$5:C30),"000"))</f>
        <v/>
      </c>
      <c r="C30" s="14" t="n"/>
      <c r="D30" s="14" t="n"/>
      <c r="E30" s="14" t="n"/>
      <c r="F30" s="24" t="n"/>
      <c r="G30" s="24" t="n"/>
      <c r="H30" s="24" t="n"/>
      <c r="I30" s="24" t="n"/>
      <c r="J30" s="26">
        <f>IF(F30="","",IFERROR(F30/(F30+G30),0))</f>
        <v/>
      </c>
      <c r="K30" s="14" t="n"/>
    </row>
    <row r="31" ht="22" customHeight="1">
      <c r="B31" s="17">
        <f>IF(C31="","PNT-"&amp;TEXT(COUNTA($C$5:C31),"000"))</f>
        <v/>
      </c>
      <c r="C31" s="12" t="n"/>
      <c r="D31" s="12" t="n"/>
      <c r="E31" s="12" t="n"/>
      <c r="F31" s="23" t="n"/>
      <c r="G31" s="23" t="n"/>
      <c r="H31" s="23" t="n"/>
      <c r="I31" s="23" t="n"/>
      <c r="J31" s="25">
        <f>IF(F31="","",IFERROR(F31/(F31+G31),0))</f>
        <v/>
      </c>
      <c r="K31" s="12" t="n"/>
    </row>
    <row r="32" ht="22" customHeight="1">
      <c r="B32" s="16">
        <f>IF(C32="","PNT-"&amp;TEXT(COUNTA($C$5:C32),"000"))</f>
        <v/>
      </c>
      <c r="C32" s="14" t="n"/>
      <c r="D32" s="14" t="n"/>
      <c r="E32" s="14" t="n"/>
      <c r="F32" s="24" t="n"/>
      <c r="G32" s="24" t="n"/>
      <c r="H32" s="24" t="n"/>
      <c r="I32" s="24" t="n"/>
      <c r="J32" s="26">
        <f>IF(F32="","",IFERROR(F32/(F32+G32),0))</f>
        <v/>
      </c>
      <c r="K32" s="14" t="n"/>
    </row>
    <row r="33" ht="22" customHeight="1">
      <c r="B33" s="17">
        <f>IF(C33="","PNT-"&amp;TEXT(COUNTA($C$5:C33),"000"))</f>
        <v/>
      </c>
      <c r="C33" s="12" t="n"/>
      <c r="D33" s="12" t="n"/>
      <c r="E33" s="12" t="n"/>
      <c r="F33" s="23" t="n"/>
      <c r="G33" s="23" t="n"/>
      <c r="H33" s="23" t="n"/>
      <c r="I33" s="23" t="n"/>
      <c r="J33" s="25">
        <f>IF(F33="","",IFERROR(F33/(F33+G33),0))</f>
        <v/>
      </c>
      <c r="K33" s="12" t="n"/>
    </row>
    <row r="34" ht="22" customHeight="1">
      <c r="B34" s="16">
        <f>IF(C34="","PNT-"&amp;TEXT(COUNTA($C$5:C34),"000"))</f>
        <v/>
      </c>
      <c r="C34" s="14" t="n"/>
      <c r="D34" s="14" t="n"/>
      <c r="E34" s="14" t="n"/>
      <c r="F34" s="24" t="n"/>
      <c r="G34" s="24" t="n"/>
      <c r="H34" s="24" t="n"/>
      <c r="I34" s="24" t="n"/>
      <c r="J34" s="26">
        <f>IF(F34="","",IFERROR(F34/(F34+G34),0))</f>
        <v/>
      </c>
      <c r="K34" s="14" t="n"/>
    </row>
    <row r="35" ht="22" customHeight="1">
      <c r="B35" s="17">
        <f>IF(C35="","PNT-"&amp;TEXT(COUNTA($C$5:C35),"000"))</f>
        <v/>
      </c>
      <c r="C35" s="12" t="n"/>
      <c r="D35" s="12" t="n"/>
      <c r="E35" s="12" t="n"/>
      <c r="F35" s="23" t="n"/>
      <c r="G35" s="23" t="n"/>
      <c r="H35" s="23" t="n"/>
      <c r="I35" s="23" t="n"/>
      <c r="J35" s="25">
        <f>IF(F35="","",IFERROR(F35/(F35+G35),0))</f>
        <v/>
      </c>
      <c r="K35" s="12" t="n"/>
    </row>
    <row r="36" ht="22" customHeight="1">
      <c r="B36" s="16">
        <f>IF(C36="","PNT-"&amp;TEXT(COUNTA($C$5:C36),"000"))</f>
        <v/>
      </c>
      <c r="C36" s="14" t="n"/>
      <c r="D36" s="14" t="n"/>
      <c r="E36" s="14" t="n"/>
      <c r="F36" s="24" t="n"/>
      <c r="G36" s="24" t="n"/>
      <c r="H36" s="24" t="n"/>
      <c r="I36" s="24" t="n"/>
      <c r="J36" s="26">
        <f>IF(F36="","",IFERROR(F36/(F36+G36),0))</f>
        <v/>
      </c>
      <c r="K36" s="14" t="n"/>
    </row>
    <row r="37" ht="22" customHeight="1">
      <c r="B37" s="17">
        <f>IF(C37="","PNT-"&amp;TEXT(COUNTA($C$5:C37),"000"))</f>
        <v/>
      </c>
      <c r="C37" s="12" t="n"/>
      <c r="D37" s="12" t="n"/>
      <c r="E37" s="12" t="n"/>
      <c r="F37" s="23" t="n"/>
      <c r="G37" s="23" t="n"/>
      <c r="H37" s="23" t="n"/>
      <c r="I37" s="23" t="n"/>
      <c r="J37" s="25">
        <f>IF(F37="","",IFERROR(F37/(F37+G37),0))</f>
        <v/>
      </c>
      <c r="K37" s="12" t="n"/>
    </row>
    <row r="38" ht="22" customHeight="1">
      <c r="B38" s="16">
        <f>IF(C38="","PNT-"&amp;TEXT(COUNTA($C$5:C38),"000"))</f>
        <v/>
      </c>
      <c r="C38" s="14" t="n"/>
      <c r="D38" s="14" t="n"/>
      <c r="E38" s="14" t="n"/>
      <c r="F38" s="24" t="n"/>
      <c r="G38" s="24" t="n"/>
      <c r="H38" s="24" t="n"/>
      <c r="I38" s="24" t="n"/>
      <c r="J38" s="26">
        <f>IF(F38="","",IFERROR(F38/(F38+G38),0))</f>
        <v/>
      </c>
      <c r="K38" s="14" t="n"/>
    </row>
    <row r="39" ht="22" customHeight="1">
      <c r="B39" s="17">
        <f>IF(C39="","PNT-"&amp;TEXT(COUNTA($C$5:C39),"000"))</f>
        <v/>
      </c>
      <c r="C39" s="12" t="n"/>
      <c r="D39" s="12" t="n"/>
      <c r="E39" s="12" t="n"/>
      <c r="F39" s="23" t="n"/>
      <c r="G39" s="23" t="n"/>
      <c r="H39" s="23" t="n"/>
      <c r="I39" s="23" t="n"/>
      <c r="J39" s="25">
        <f>IF(F39="","",IFERROR(F39/(F39+G39),0))</f>
        <v/>
      </c>
      <c r="K39" s="12" t="n"/>
    </row>
    <row r="40" ht="22" customHeight="1">
      <c r="B40" s="16">
        <f>IF(C40="","PNT-"&amp;TEXT(COUNTA($C$5:C40),"000"))</f>
        <v/>
      </c>
      <c r="C40" s="14" t="n"/>
      <c r="D40" s="14" t="n"/>
      <c r="E40" s="14" t="n"/>
      <c r="F40" s="24" t="n"/>
      <c r="G40" s="24" t="n"/>
      <c r="H40" s="24" t="n"/>
      <c r="I40" s="24" t="n"/>
      <c r="J40" s="26">
        <f>IF(F40="","",IFERROR(F40/(F40+G40),0))</f>
        <v/>
      </c>
      <c r="K40" s="14" t="n"/>
    </row>
    <row r="41" ht="22" customHeight="1">
      <c r="B41" s="17">
        <f>IF(C41="","PNT-"&amp;TEXT(COUNTA($C$5:C41),"000"))</f>
        <v/>
      </c>
      <c r="C41" s="12" t="n"/>
      <c r="D41" s="12" t="n"/>
      <c r="E41" s="12" t="n"/>
      <c r="F41" s="23" t="n"/>
      <c r="G41" s="23" t="n"/>
      <c r="H41" s="23" t="n"/>
      <c r="I41" s="23" t="n"/>
      <c r="J41" s="25">
        <f>IF(F41="","",IFERROR(F41/(F41+G41),0))</f>
        <v/>
      </c>
      <c r="K41" s="12" t="n"/>
    </row>
    <row r="42" ht="22" customHeight="1">
      <c r="B42" s="16">
        <f>IF(C42="","PNT-"&amp;TEXT(COUNTA($C$5:C42),"000"))</f>
        <v/>
      </c>
      <c r="C42" s="14" t="n"/>
      <c r="D42" s="14" t="n"/>
      <c r="E42" s="14" t="n"/>
      <c r="F42" s="24" t="n"/>
      <c r="G42" s="24" t="n"/>
      <c r="H42" s="24" t="n"/>
      <c r="I42" s="24" t="n"/>
      <c r="J42" s="26">
        <f>IF(F42="","",IFERROR(F42/(F42+G42),0))</f>
        <v/>
      </c>
      <c r="K42" s="14" t="n"/>
    </row>
    <row r="43" ht="22" customHeight="1">
      <c r="B43" s="17">
        <f>IF(C43="","PNT-"&amp;TEXT(COUNTA($C$5:C43),"000"))</f>
        <v/>
      </c>
      <c r="C43" s="12" t="n"/>
      <c r="D43" s="12" t="n"/>
      <c r="E43" s="12" t="n"/>
      <c r="F43" s="23" t="n"/>
      <c r="G43" s="23" t="n"/>
      <c r="H43" s="23" t="n"/>
      <c r="I43" s="23" t="n"/>
      <c r="J43" s="25">
        <f>IF(F43="","",IFERROR(F43/(F43+G43),0))</f>
        <v/>
      </c>
      <c r="K43" s="12" t="n"/>
    </row>
    <row r="44" ht="22" customHeight="1">
      <c r="B44" s="16">
        <f>IF(C44="","PNT-"&amp;TEXT(COUNTA($C$5:C44),"000"))</f>
        <v/>
      </c>
      <c r="C44" s="14" t="n"/>
      <c r="D44" s="14" t="n"/>
      <c r="E44" s="14" t="n"/>
      <c r="F44" s="24" t="n"/>
      <c r="G44" s="24" t="n"/>
      <c r="H44" s="24" t="n"/>
      <c r="I44" s="24" t="n"/>
      <c r="J44" s="26">
        <f>IF(F44="","",IFERROR(F44/(F44+G44),0))</f>
        <v/>
      </c>
      <c r="K44" s="14" t="n"/>
    </row>
    <row r="45" ht="22" customHeight="1">
      <c r="B45" s="17">
        <f>IF(C45="","PNT-"&amp;TEXT(COUNTA($C$5:C45),"000"))</f>
        <v/>
      </c>
      <c r="C45" s="12" t="n"/>
      <c r="D45" s="12" t="n"/>
      <c r="E45" s="12" t="n"/>
      <c r="F45" s="23" t="n"/>
      <c r="G45" s="23" t="n"/>
      <c r="H45" s="23" t="n"/>
      <c r="I45" s="23" t="n"/>
      <c r="J45" s="25">
        <f>IF(F45="","",IFERROR(F45/(F45+G45),0))</f>
        <v/>
      </c>
      <c r="K45" s="12" t="n"/>
    </row>
    <row r="46" ht="22" customHeight="1">
      <c r="B46" s="16">
        <f>IF(C46="","PNT-"&amp;TEXT(COUNTA($C$5:C46),"000"))</f>
        <v/>
      </c>
      <c r="C46" s="14" t="n"/>
      <c r="D46" s="14" t="n"/>
      <c r="E46" s="14" t="n"/>
      <c r="F46" s="24" t="n"/>
      <c r="G46" s="24" t="n"/>
      <c r="H46" s="24" t="n"/>
      <c r="I46" s="24" t="n"/>
      <c r="J46" s="26">
        <f>IF(F46="","",IFERROR(F46/(F46+G46),0))</f>
        <v/>
      </c>
      <c r="K46" s="14" t="n"/>
    </row>
    <row r="47" ht="22" customHeight="1">
      <c r="B47" s="17">
        <f>IF(C47="","PNT-"&amp;TEXT(COUNTA($C$5:C47),"000"))</f>
        <v/>
      </c>
      <c r="C47" s="12" t="n"/>
      <c r="D47" s="12" t="n"/>
      <c r="E47" s="12" t="n"/>
      <c r="F47" s="23" t="n"/>
      <c r="G47" s="23" t="n"/>
      <c r="H47" s="23" t="n"/>
      <c r="I47" s="23" t="n"/>
      <c r="J47" s="25">
        <f>IF(F47="","",IFERROR(F47/(F47+G47),0))</f>
        <v/>
      </c>
      <c r="K47" s="12" t="n"/>
    </row>
    <row r="48" ht="22" customHeight="1">
      <c r="B48" s="16">
        <f>IF(C48="","PNT-"&amp;TEXT(COUNTA($C$5:C48),"000"))</f>
        <v/>
      </c>
      <c r="C48" s="14" t="n"/>
      <c r="D48" s="14" t="n"/>
      <c r="E48" s="14" t="n"/>
      <c r="F48" s="24" t="n"/>
      <c r="G48" s="24" t="n"/>
      <c r="H48" s="24" t="n"/>
      <c r="I48" s="24" t="n"/>
      <c r="J48" s="26">
        <f>IF(F48="","",IFERROR(F48/(F48+G48),0))</f>
        <v/>
      </c>
      <c r="K48" s="14" t="n"/>
    </row>
    <row r="49" ht="22" customHeight="1">
      <c r="B49" s="17">
        <f>IF(C49="","PNT-"&amp;TEXT(COUNTA($C$5:C49),"000"))</f>
        <v/>
      </c>
      <c r="C49" s="12" t="n"/>
      <c r="D49" s="12" t="n"/>
      <c r="E49" s="12" t="n"/>
      <c r="F49" s="23" t="n"/>
      <c r="G49" s="23" t="n"/>
      <c r="H49" s="23" t="n"/>
      <c r="I49" s="23" t="n"/>
      <c r="J49" s="25">
        <f>IF(F49="","",IFERROR(F49/(F49+G49),0))</f>
        <v/>
      </c>
      <c r="K49" s="12" t="n"/>
    </row>
    <row r="50" ht="22" customHeight="1">
      <c r="B50" s="16">
        <f>IF(C50="","PNT-"&amp;TEXT(COUNTA($C$5:C50),"000"))</f>
        <v/>
      </c>
      <c r="C50" s="14" t="n"/>
      <c r="D50" s="14" t="n"/>
      <c r="E50" s="14" t="n"/>
      <c r="F50" s="24" t="n"/>
      <c r="G50" s="24" t="n"/>
      <c r="H50" s="24" t="n"/>
      <c r="I50" s="24" t="n"/>
      <c r="J50" s="26">
        <f>IF(F50="","",IFERROR(F50/(F50+G50),0))</f>
        <v/>
      </c>
      <c r="K50" s="14" t="n"/>
    </row>
    <row r="51" ht="22" customHeight="1">
      <c r="B51" s="17">
        <f>IF(C51="","PNT-"&amp;TEXT(COUNTA($C$5:C51),"000"))</f>
        <v/>
      </c>
      <c r="C51" s="12" t="n"/>
      <c r="D51" s="12" t="n"/>
      <c r="E51" s="12" t="n"/>
      <c r="F51" s="23" t="n"/>
      <c r="G51" s="23" t="n"/>
      <c r="H51" s="23" t="n"/>
      <c r="I51" s="23" t="n"/>
      <c r="J51" s="25">
        <f>IF(F51="","",IFERROR(F51/(F51+G51),0))</f>
        <v/>
      </c>
      <c r="K51" s="12" t="n"/>
    </row>
    <row r="52" ht="22" customHeight="1">
      <c r="B52" s="16">
        <f>IF(C52="","PNT-"&amp;TEXT(COUNTA($C$5:C52),"000"))</f>
        <v/>
      </c>
      <c r="C52" s="14" t="n"/>
      <c r="D52" s="14" t="n"/>
      <c r="E52" s="14" t="n"/>
      <c r="F52" s="24" t="n"/>
      <c r="G52" s="24" t="n"/>
      <c r="H52" s="24" t="n"/>
      <c r="I52" s="24" t="n"/>
      <c r="J52" s="26">
        <f>IF(F52="","",IFERROR(F52/(F52+G52),0))</f>
        <v/>
      </c>
      <c r="K52" s="14" t="n"/>
    </row>
    <row r="53" ht="22" customHeight="1">
      <c r="B53" s="17">
        <f>IF(C53="","PNT-"&amp;TEXT(COUNTA($C$5:C53),"000"))</f>
        <v/>
      </c>
      <c r="C53" s="12" t="n"/>
      <c r="D53" s="12" t="n"/>
      <c r="E53" s="12" t="n"/>
      <c r="F53" s="23" t="n"/>
      <c r="G53" s="23" t="n"/>
      <c r="H53" s="23" t="n"/>
      <c r="I53" s="23" t="n"/>
      <c r="J53" s="25">
        <f>IF(F53="","",IFERROR(F53/(F53+G53),0))</f>
        <v/>
      </c>
      <c r="K53" s="12" t="n"/>
    </row>
    <row r="54" ht="22" customHeight="1">
      <c r="B54" s="16">
        <f>IF(C54="","PNT-"&amp;TEXT(COUNTA($C$5:C54),"000"))</f>
        <v/>
      </c>
      <c r="C54" s="14" t="n"/>
      <c r="D54" s="14" t="n"/>
      <c r="E54" s="14" t="n"/>
      <c r="F54" s="24" t="n"/>
      <c r="G54" s="24" t="n"/>
      <c r="H54" s="24" t="n"/>
      <c r="I54" s="24" t="n"/>
      <c r="J54" s="26">
        <f>IF(F54="","",IFERROR(F54/(F54+G54),0))</f>
        <v/>
      </c>
      <c r="K54" s="14" t="n"/>
    </row>
    <row r="55" ht="22" customHeight="1">
      <c r="B55" s="17">
        <f>IF(C55="","PNT-"&amp;TEXT(COUNTA($C$5:C55),"000"))</f>
        <v/>
      </c>
      <c r="C55" s="12" t="n"/>
      <c r="D55" s="12" t="n"/>
      <c r="E55" s="12" t="n"/>
      <c r="F55" s="23" t="n"/>
      <c r="G55" s="23" t="n"/>
      <c r="H55" s="23" t="n"/>
      <c r="I55" s="23" t="n"/>
      <c r="J55" s="25">
        <f>IF(F55="","",IFERROR(F55/(F55+G55),0))</f>
        <v/>
      </c>
      <c r="K55" s="12" t="n"/>
    </row>
    <row r="56" ht="22" customHeight="1">
      <c r="B56" s="16">
        <f>IF(C56="","PNT-"&amp;TEXT(COUNTA($C$5:C56),"000"))</f>
        <v/>
      </c>
      <c r="C56" s="14" t="n"/>
      <c r="D56" s="14" t="n"/>
      <c r="E56" s="14" t="n"/>
      <c r="F56" s="24" t="n"/>
      <c r="G56" s="24" t="n"/>
      <c r="H56" s="24" t="n"/>
      <c r="I56" s="24" t="n"/>
      <c r="J56" s="26">
        <f>IF(F56="","",IFERROR(F56/(F56+G56),0))</f>
        <v/>
      </c>
      <c r="K56" s="14" t="n"/>
    </row>
    <row r="57" ht="22" customHeight="1">
      <c r="B57" s="17">
        <f>IF(C57="","PNT-"&amp;TEXT(COUNTA($C$5:C57),"000"))</f>
        <v/>
      </c>
      <c r="C57" s="12" t="n"/>
      <c r="D57" s="12" t="n"/>
      <c r="E57" s="12" t="n"/>
      <c r="F57" s="23" t="n"/>
      <c r="G57" s="23" t="n"/>
      <c r="H57" s="23" t="n"/>
      <c r="I57" s="23" t="n"/>
      <c r="J57" s="25">
        <f>IF(F57="","",IFERROR(F57/(F57+G57),0))</f>
        <v/>
      </c>
      <c r="K57" s="12" t="n"/>
    </row>
    <row r="58" ht="22" customHeight="1">
      <c r="B58" s="16">
        <f>IF(C58="","PNT-"&amp;TEXT(COUNTA($C$5:C58),"000"))</f>
        <v/>
      </c>
      <c r="C58" s="14" t="n"/>
      <c r="D58" s="14" t="n"/>
      <c r="E58" s="14" t="n"/>
      <c r="F58" s="24" t="n"/>
      <c r="G58" s="24" t="n"/>
      <c r="H58" s="24" t="n"/>
      <c r="I58" s="24" t="n"/>
      <c r="J58" s="26">
        <f>IF(F58="","",IFERROR(F58/(F58+G58),0))</f>
        <v/>
      </c>
      <c r="K58" s="14" t="n"/>
    </row>
    <row r="59" ht="22" customHeight="1">
      <c r="B59" s="17">
        <f>IF(C59="","PNT-"&amp;TEXT(COUNTA($C$5:C59),"000"))</f>
        <v/>
      </c>
      <c r="C59" s="12" t="n"/>
      <c r="D59" s="12" t="n"/>
      <c r="E59" s="12" t="n"/>
      <c r="F59" s="23" t="n"/>
      <c r="G59" s="23" t="n"/>
      <c r="H59" s="23" t="n"/>
      <c r="I59" s="23" t="n"/>
      <c r="J59" s="25">
        <f>IF(F59="","",IFERROR(F59/(F59+G59),0))</f>
        <v/>
      </c>
      <c r="K59" s="12" t="n"/>
    </row>
    <row r="60" ht="22" customHeight="1">
      <c r="B60" s="16">
        <f>IF(C60="","PNT-"&amp;TEXT(COUNTA($C$5:C60),"000"))</f>
        <v/>
      </c>
      <c r="C60" s="14" t="n"/>
      <c r="D60" s="14" t="n"/>
      <c r="E60" s="14" t="n"/>
      <c r="F60" s="24" t="n"/>
      <c r="G60" s="24" t="n"/>
      <c r="H60" s="24" t="n"/>
      <c r="I60" s="24" t="n"/>
      <c r="J60" s="26">
        <f>IF(F60="","",IFERROR(F60/(F60+G60),0))</f>
        <v/>
      </c>
      <c r="K60" s="14" t="n"/>
    </row>
    <row r="61" ht="22" customHeight="1">
      <c r="B61" s="17">
        <f>IF(C61="","PNT-"&amp;TEXT(COUNTA($C$5:C61),"000"))</f>
        <v/>
      </c>
      <c r="C61" s="12" t="n"/>
      <c r="D61" s="12" t="n"/>
      <c r="E61" s="12" t="n"/>
      <c r="F61" s="23" t="n"/>
      <c r="G61" s="23" t="n"/>
      <c r="H61" s="23" t="n"/>
      <c r="I61" s="23" t="n"/>
      <c r="J61" s="25">
        <f>IF(F61="","",IFERROR(F61/(F61+G61),0))</f>
        <v/>
      </c>
      <c r="K61" s="12" t="n"/>
    </row>
    <row r="62" ht="22" customHeight="1">
      <c r="B62" s="16">
        <f>IF(C62="","PNT-"&amp;TEXT(COUNTA($C$5:C62),"000"))</f>
        <v/>
      </c>
      <c r="C62" s="14" t="n"/>
      <c r="D62" s="14" t="n"/>
      <c r="E62" s="14" t="n"/>
      <c r="F62" s="24" t="n"/>
      <c r="G62" s="24" t="n"/>
      <c r="H62" s="24" t="n"/>
      <c r="I62" s="24" t="n"/>
      <c r="J62" s="26">
        <f>IF(F62="","",IFERROR(F62/(F62+G62),0))</f>
        <v/>
      </c>
      <c r="K62" s="14" t="n"/>
    </row>
    <row r="63" ht="22" customHeight="1">
      <c r="B63" s="17">
        <f>IF(C63="","PNT-"&amp;TEXT(COUNTA($C$5:C63),"000"))</f>
        <v/>
      </c>
      <c r="C63" s="12" t="n"/>
      <c r="D63" s="12" t="n"/>
      <c r="E63" s="12" t="n"/>
      <c r="F63" s="23" t="n"/>
      <c r="G63" s="23" t="n"/>
      <c r="H63" s="23" t="n"/>
      <c r="I63" s="23" t="n"/>
      <c r="J63" s="25">
        <f>IF(F63="","",IFERROR(F63/(F63+G63),0))</f>
        <v/>
      </c>
      <c r="K63" s="12" t="n"/>
    </row>
    <row r="64" ht="22" customHeight="1">
      <c r="B64" s="16">
        <f>IF(C64="","PNT-"&amp;TEXT(COUNTA($C$5:C64),"000"))</f>
        <v/>
      </c>
      <c r="C64" s="14" t="n"/>
      <c r="D64" s="14" t="n"/>
      <c r="E64" s="14" t="n"/>
      <c r="F64" s="24" t="n"/>
      <c r="G64" s="24" t="n"/>
      <c r="H64" s="24" t="n"/>
      <c r="I64" s="24" t="n"/>
      <c r="J64" s="26">
        <f>IF(F64="","",IFERROR(F64/(F64+G64),0))</f>
        <v/>
      </c>
      <c r="K64" s="14" t="n"/>
    </row>
    <row r="65" ht="22" customHeight="1">
      <c r="B65" s="17">
        <f>IF(C65="","PNT-"&amp;TEXT(COUNTA($C$5:C65),"000"))</f>
        <v/>
      </c>
      <c r="C65" s="12" t="n"/>
      <c r="D65" s="12" t="n"/>
      <c r="E65" s="12" t="n"/>
      <c r="F65" s="23" t="n"/>
      <c r="G65" s="23" t="n"/>
      <c r="H65" s="23" t="n"/>
      <c r="I65" s="23" t="n"/>
      <c r="J65" s="25">
        <f>IF(F65="","",IFERROR(F65/(F65+G65),0))</f>
        <v/>
      </c>
      <c r="K65" s="12" t="n"/>
    </row>
    <row r="66" ht="22" customHeight="1">
      <c r="B66" s="16">
        <f>IF(C66="","PNT-"&amp;TEXT(COUNTA($C$5:C66),"000"))</f>
        <v/>
      </c>
      <c r="C66" s="14" t="n"/>
      <c r="D66" s="14" t="n"/>
      <c r="E66" s="14" t="n"/>
      <c r="F66" s="24" t="n"/>
      <c r="G66" s="24" t="n"/>
      <c r="H66" s="24" t="n"/>
      <c r="I66" s="24" t="n"/>
      <c r="J66" s="26">
        <f>IF(F66="","",IFERROR(F66/(F66+G66),0))</f>
        <v/>
      </c>
      <c r="K66" s="14" t="n"/>
    </row>
    <row r="67" ht="22" customHeight="1">
      <c r="B67" s="17">
        <f>IF(C67="","PNT-"&amp;TEXT(COUNTA($C$5:C67),"000"))</f>
        <v/>
      </c>
      <c r="C67" s="12" t="n"/>
      <c r="D67" s="12" t="n"/>
      <c r="E67" s="12" t="n"/>
      <c r="F67" s="23" t="n"/>
      <c r="G67" s="23" t="n"/>
      <c r="H67" s="23" t="n"/>
      <c r="I67" s="23" t="n"/>
      <c r="J67" s="25">
        <f>IF(F67="","",IFERROR(F67/(F67+G67),0))</f>
        <v/>
      </c>
      <c r="K67" s="12" t="n"/>
    </row>
    <row r="68" ht="22" customHeight="1">
      <c r="B68" s="16">
        <f>IF(C68="","PNT-"&amp;TEXT(COUNTA($C$5:C68),"000"))</f>
        <v/>
      </c>
      <c r="C68" s="14" t="n"/>
      <c r="D68" s="14" t="n"/>
      <c r="E68" s="14" t="n"/>
      <c r="F68" s="24" t="n"/>
      <c r="G68" s="24" t="n"/>
      <c r="H68" s="24" t="n"/>
      <c r="I68" s="24" t="n"/>
      <c r="J68" s="26">
        <f>IF(F68="","",IFERROR(F68/(F68+G68),0))</f>
        <v/>
      </c>
      <c r="K68" s="14" t="n"/>
    </row>
    <row r="69" ht="22" customHeight="1">
      <c r="B69" s="17">
        <f>IF(C69="","PNT-"&amp;TEXT(COUNTA($C$5:C69),"000"))</f>
        <v/>
      </c>
      <c r="C69" s="12" t="n"/>
      <c r="D69" s="12" t="n"/>
      <c r="E69" s="12" t="n"/>
      <c r="F69" s="23" t="n"/>
      <c r="G69" s="23" t="n"/>
      <c r="H69" s="23" t="n"/>
      <c r="I69" s="23" t="n"/>
      <c r="J69" s="25">
        <f>IF(F69="","",IFERROR(F69/(F69+G69),0))</f>
        <v/>
      </c>
      <c r="K69" s="12" t="n"/>
    </row>
    <row r="70" ht="22" customHeight="1">
      <c r="B70" s="16">
        <f>IF(C70="","PNT-"&amp;TEXT(COUNTA($C$5:C70),"000"))</f>
        <v/>
      </c>
      <c r="C70" s="14" t="n"/>
      <c r="D70" s="14" t="n"/>
      <c r="E70" s="14" t="n"/>
      <c r="F70" s="24" t="n"/>
      <c r="G70" s="24" t="n"/>
      <c r="H70" s="24" t="n"/>
      <c r="I70" s="24" t="n"/>
      <c r="J70" s="26">
        <f>IF(F70="","",IFERROR(F70/(F70+G70),0))</f>
        <v/>
      </c>
      <c r="K70" s="14" t="n"/>
    </row>
    <row r="71" ht="22" customHeight="1">
      <c r="B71" s="17">
        <f>IF(C71="","PNT-"&amp;TEXT(COUNTA($C$5:C71),"000"))</f>
        <v/>
      </c>
      <c r="C71" s="12" t="n"/>
      <c r="D71" s="12" t="n"/>
      <c r="E71" s="12" t="n"/>
      <c r="F71" s="23" t="n"/>
      <c r="G71" s="23" t="n"/>
      <c r="H71" s="23" t="n"/>
      <c r="I71" s="23" t="n"/>
      <c r="J71" s="25">
        <f>IF(F71="","",IFERROR(F71/(F71+G71),0))</f>
        <v/>
      </c>
      <c r="K71" s="12" t="n"/>
    </row>
    <row r="72" ht="22" customHeight="1">
      <c r="B72" s="16">
        <f>IF(C72="","PNT-"&amp;TEXT(COUNTA($C$5:C72),"000"))</f>
        <v/>
      </c>
      <c r="C72" s="14" t="n"/>
      <c r="D72" s="14" t="n"/>
      <c r="E72" s="14" t="n"/>
      <c r="F72" s="24" t="n"/>
      <c r="G72" s="24" t="n"/>
      <c r="H72" s="24" t="n"/>
      <c r="I72" s="24" t="n"/>
      <c r="J72" s="26">
        <f>IF(F72="","",IFERROR(F72/(F72+G72),0))</f>
        <v/>
      </c>
      <c r="K72" s="14" t="n"/>
    </row>
    <row r="73" ht="22" customHeight="1">
      <c r="B73" s="17">
        <f>IF(C73="","PNT-"&amp;TEXT(COUNTA($C$5:C73),"000"))</f>
        <v/>
      </c>
      <c r="C73" s="12" t="n"/>
      <c r="D73" s="12" t="n"/>
      <c r="E73" s="12" t="n"/>
      <c r="F73" s="23" t="n"/>
      <c r="G73" s="23" t="n"/>
      <c r="H73" s="23" t="n"/>
      <c r="I73" s="23" t="n"/>
      <c r="J73" s="25">
        <f>IF(F73="","",IFERROR(F73/(F73+G73),0))</f>
        <v/>
      </c>
      <c r="K73" s="12" t="n"/>
    </row>
    <row r="74" ht="22" customHeight="1">
      <c r="B74" s="16">
        <f>IF(C74="","PNT-"&amp;TEXT(COUNTA($C$5:C74),"000"))</f>
        <v/>
      </c>
      <c r="C74" s="14" t="n"/>
      <c r="D74" s="14" t="n"/>
      <c r="E74" s="14" t="n"/>
      <c r="F74" s="24" t="n"/>
      <c r="G74" s="24" t="n"/>
      <c r="H74" s="24" t="n"/>
      <c r="I74" s="24" t="n"/>
      <c r="J74" s="26">
        <f>IF(F74="","",IFERROR(F74/(F74+G74),0))</f>
        <v/>
      </c>
      <c r="K74" s="14" t="n"/>
    </row>
    <row r="75" ht="22" customHeight="1">
      <c r="B75" s="17">
        <f>IF(C75="","PNT-"&amp;TEXT(COUNTA($C$5:C75),"000"))</f>
        <v/>
      </c>
      <c r="C75" s="12" t="n"/>
      <c r="D75" s="12" t="n"/>
      <c r="E75" s="12" t="n"/>
      <c r="F75" s="23" t="n"/>
      <c r="G75" s="23" t="n"/>
      <c r="H75" s="23" t="n"/>
      <c r="I75" s="23" t="n"/>
      <c r="J75" s="25">
        <f>IF(F75="","",IFERROR(F75/(F75+G75),0))</f>
        <v/>
      </c>
      <c r="K75" s="12" t="n"/>
    </row>
    <row r="76" ht="22" customHeight="1">
      <c r="B76" s="16">
        <f>IF(C76="","PNT-"&amp;TEXT(COUNTA($C$5:C76),"000"))</f>
        <v/>
      </c>
      <c r="C76" s="14" t="n"/>
      <c r="D76" s="14" t="n"/>
      <c r="E76" s="14" t="n"/>
      <c r="F76" s="24" t="n"/>
      <c r="G76" s="24" t="n"/>
      <c r="H76" s="24" t="n"/>
      <c r="I76" s="24" t="n"/>
      <c r="J76" s="26">
        <f>IF(F76="","",IFERROR(F76/(F76+G76),0))</f>
        <v/>
      </c>
      <c r="K76" s="14" t="n"/>
    </row>
    <row r="77" ht="22" customHeight="1">
      <c r="B77" s="17">
        <f>IF(C77="","PNT-"&amp;TEXT(COUNTA($C$5:C77),"000"))</f>
        <v/>
      </c>
      <c r="C77" s="12" t="n"/>
      <c r="D77" s="12" t="n"/>
      <c r="E77" s="12" t="n"/>
      <c r="F77" s="23" t="n"/>
      <c r="G77" s="23" t="n"/>
      <c r="H77" s="23" t="n"/>
      <c r="I77" s="23" t="n"/>
      <c r="J77" s="25">
        <f>IF(F77="","",IFERROR(F77/(F77+G77),0))</f>
        <v/>
      </c>
      <c r="K77" s="12" t="n"/>
    </row>
    <row r="78" ht="22" customHeight="1">
      <c r="B78" s="16">
        <f>IF(C78="","PNT-"&amp;TEXT(COUNTA($C$5:C78),"000"))</f>
        <v/>
      </c>
      <c r="C78" s="14" t="n"/>
      <c r="D78" s="14" t="n"/>
      <c r="E78" s="14" t="n"/>
      <c r="F78" s="24" t="n"/>
      <c r="G78" s="24" t="n"/>
      <c r="H78" s="24" t="n"/>
      <c r="I78" s="24" t="n"/>
      <c r="J78" s="26">
        <f>IF(F78="","",IFERROR(F78/(F78+G78),0))</f>
        <v/>
      </c>
      <c r="K78" s="14" t="n"/>
    </row>
    <row r="79" ht="22" customHeight="1">
      <c r="B79" s="17">
        <f>IF(C79="","PNT-"&amp;TEXT(COUNTA($C$5:C79),"000"))</f>
        <v/>
      </c>
      <c r="C79" s="12" t="n"/>
      <c r="D79" s="12" t="n"/>
      <c r="E79" s="12" t="n"/>
      <c r="F79" s="23" t="n"/>
      <c r="G79" s="23" t="n"/>
      <c r="H79" s="23" t="n"/>
      <c r="I79" s="23" t="n"/>
      <c r="J79" s="25">
        <f>IF(F79="","",IFERROR(F79/(F79+G79),0))</f>
        <v/>
      </c>
      <c r="K79" s="12" t="n"/>
    </row>
    <row r="80" ht="22" customHeight="1">
      <c r="B80" s="16">
        <f>IF(C80="","PNT-"&amp;TEXT(COUNTA($C$5:C80),"000"))</f>
        <v/>
      </c>
      <c r="C80" s="14" t="n"/>
      <c r="D80" s="14" t="n"/>
      <c r="E80" s="14" t="n"/>
      <c r="F80" s="24" t="n"/>
      <c r="G80" s="24" t="n"/>
      <c r="H80" s="24" t="n"/>
      <c r="I80" s="24" t="n"/>
      <c r="J80" s="26">
        <f>IF(F80="","",IFERROR(F80/(F80+G80),0))</f>
        <v/>
      </c>
      <c r="K80" s="14" t="n"/>
    </row>
    <row r="81" ht="22" customHeight="1">
      <c r="B81" s="17">
        <f>IF(C81="","PNT-"&amp;TEXT(COUNTA($C$5:C81),"000"))</f>
        <v/>
      </c>
      <c r="C81" s="12" t="n"/>
      <c r="D81" s="12" t="n"/>
      <c r="E81" s="12" t="n"/>
      <c r="F81" s="23" t="n"/>
      <c r="G81" s="23" t="n"/>
      <c r="H81" s="23" t="n"/>
      <c r="I81" s="23" t="n"/>
      <c r="J81" s="25">
        <f>IF(F81="","",IFERROR(F81/(F81+G81),0))</f>
        <v/>
      </c>
      <c r="K81" s="12" t="n"/>
    </row>
    <row r="82" ht="22" customHeight="1">
      <c r="B82" s="16">
        <f>IF(C82="","PNT-"&amp;TEXT(COUNTA($C$5:C82),"000"))</f>
        <v/>
      </c>
      <c r="C82" s="14" t="n"/>
      <c r="D82" s="14" t="n"/>
      <c r="E82" s="14" t="n"/>
      <c r="F82" s="24" t="n"/>
      <c r="G82" s="24" t="n"/>
      <c r="H82" s="24" t="n"/>
      <c r="I82" s="24" t="n"/>
      <c r="J82" s="26">
        <f>IF(F82="","",IFERROR(F82/(F82+G82),0))</f>
        <v/>
      </c>
      <c r="K82" s="14" t="n"/>
    </row>
    <row r="83" ht="22" customHeight="1">
      <c r="B83" s="17">
        <f>IF(C83="","PNT-"&amp;TEXT(COUNTA($C$5:C83),"000"))</f>
        <v/>
      </c>
      <c r="C83" s="12" t="n"/>
      <c r="D83" s="12" t="n"/>
      <c r="E83" s="12" t="n"/>
      <c r="F83" s="23" t="n"/>
      <c r="G83" s="23" t="n"/>
      <c r="H83" s="23" t="n"/>
      <c r="I83" s="23" t="n"/>
      <c r="J83" s="25">
        <f>IF(F83="","",IFERROR(F83/(F83+G83),0))</f>
        <v/>
      </c>
      <c r="K83" s="12" t="n"/>
    </row>
    <row r="84" ht="22" customHeight="1">
      <c r="B84" s="16">
        <f>IF(C84="","PNT-"&amp;TEXT(COUNTA($C$5:C84),"000"))</f>
        <v/>
      </c>
      <c r="C84" s="14" t="n"/>
      <c r="D84" s="14" t="n"/>
      <c r="E84" s="14" t="n"/>
      <c r="F84" s="24" t="n"/>
      <c r="G84" s="24" t="n"/>
      <c r="H84" s="24" t="n"/>
      <c r="I84" s="24" t="n"/>
      <c r="J84" s="26">
        <f>IF(F84="","",IFERROR(F84/(F84+G84),0))</f>
        <v/>
      </c>
      <c r="K84" s="14" t="n"/>
    </row>
    <row r="85" ht="22" customHeight="1">
      <c r="B85" s="17">
        <f>IF(C85="","PNT-"&amp;TEXT(COUNTA($C$5:C85),"000"))</f>
        <v/>
      </c>
      <c r="C85" s="12" t="n"/>
      <c r="D85" s="12" t="n"/>
      <c r="E85" s="12" t="n"/>
      <c r="F85" s="23" t="n"/>
      <c r="G85" s="23" t="n"/>
      <c r="H85" s="23" t="n"/>
      <c r="I85" s="23" t="n"/>
      <c r="J85" s="25">
        <f>IF(F85="","",IFERROR(F85/(F85+G85),0))</f>
        <v/>
      </c>
      <c r="K85" s="12" t="n"/>
    </row>
    <row r="86" ht="22" customHeight="1">
      <c r="B86" s="16">
        <f>IF(C86="","PNT-"&amp;TEXT(COUNTA($C$5:C86),"000"))</f>
        <v/>
      </c>
      <c r="C86" s="14" t="n"/>
      <c r="D86" s="14" t="n"/>
      <c r="E86" s="14" t="n"/>
      <c r="F86" s="24" t="n"/>
      <c r="G86" s="24" t="n"/>
      <c r="H86" s="24" t="n"/>
      <c r="I86" s="24" t="n"/>
      <c r="J86" s="26">
        <f>IF(F86="","",IFERROR(F86/(F86+G86),0))</f>
        <v/>
      </c>
      <c r="K86" s="14" t="n"/>
    </row>
    <row r="87" ht="22" customHeight="1">
      <c r="B87" s="17">
        <f>IF(C87="","PNT-"&amp;TEXT(COUNTA($C$5:C87),"000"))</f>
        <v/>
      </c>
      <c r="C87" s="12" t="n"/>
      <c r="D87" s="12" t="n"/>
      <c r="E87" s="12" t="n"/>
      <c r="F87" s="23" t="n"/>
      <c r="G87" s="23" t="n"/>
      <c r="H87" s="23" t="n"/>
      <c r="I87" s="23" t="n"/>
      <c r="J87" s="25">
        <f>IF(F87="","",IFERROR(F87/(F87+G87),0))</f>
        <v/>
      </c>
      <c r="K87" s="12" t="n"/>
    </row>
    <row r="88" ht="22" customHeight="1">
      <c r="B88" s="16">
        <f>IF(C88="","PNT-"&amp;TEXT(COUNTA($C$5:C88),"000"))</f>
        <v/>
      </c>
      <c r="C88" s="14" t="n"/>
      <c r="D88" s="14" t="n"/>
      <c r="E88" s="14" t="n"/>
      <c r="F88" s="24" t="n"/>
      <c r="G88" s="24" t="n"/>
      <c r="H88" s="24" t="n"/>
      <c r="I88" s="24" t="n"/>
      <c r="J88" s="26">
        <f>IF(F88="","",IFERROR(F88/(F88+G88),0))</f>
        <v/>
      </c>
      <c r="K88" s="14" t="n"/>
    </row>
    <row r="89" ht="22" customHeight="1">
      <c r="B89" s="17">
        <f>IF(C89="","PNT-"&amp;TEXT(COUNTA($C$5:C89),"000"))</f>
        <v/>
      </c>
      <c r="C89" s="12" t="n"/>
      <c r="D89" s="12" t="n"/>
      <c r="E89" s="12" t="n"/>
      <c r="F89" s="23" t="n"/>
      <c r="G89" s="23" t="n"/>
      <c r="H89" s="23" t="n"/>
      <c r="I89" s="23" t="n"/>
      <c r="J89" s="25">
        <f>IF(F89="","",IFERROR(F89/(F89+G89),0))</f>
        <v/>
      </c>
      <c r="K89" s="12" t="n"/>
    </row>
    <row r="90" ht="22" customHeight="1">
      <c r="B90" s="16">
        <f>IF(C90="","PNT-"&amp;TEXT(COUNTA($C$5:C90),"000"))</f>
        <v/>
      </c>
      <c r="C90" s="14" t="n"/>
      <c r="D90" s="14" t="n"/>
      <c r="E90" s="14" t="n"/>
      <c r="F90" s="24" t="n"/>
      <c r="G90" s="24" t="n"/>
      <c r="H90" s="24" t="n"/>
      <c r="I90" s="24" t="n"/>
      <c r="J90" s="26">
        <f>IF(F90="","",IFERROR(F90/(F90+G90),0))</f>
        <v/>
      </c>
      <c r="K90" s="14" t="n"/>
    </row>
    <row r="91" ht="22" customHeight="1">
      <c r="B91" s="17">
        <f>IF(C91="","PNT-"&amp;TEXT(COUNTA($C$5:C91),"000"))</f>
        <v/>
      </c>
      <c r="C91" s="12" t="n"/>
      <c r="D91" s="12" t="n"/>
      <c r="E91" s="12" t="n"/>
      <c r="F91" s="23" t="n"/>
      <c r="G91" s="23" t="n"/>
      <c r="H91" s="23" t="n"/>
      <c r="I91" s="23" t="n"/>
      <c r="J91" s="25">
        <f>IF(F91="","",IFERROR(F91/(F91+G91),0))</f>
        <v/>
      </c>
      <c r="K91" s="12" t="n"/>
    </row>
    <row r="92" ht="22" customHeight="1">
      <c r="B92" s="16">
        <f>IF(C92="","PNT-"&amp;TEXT(COUNTA($C$5:C92),"000"))</f>
        <v/>
      </c>
      <c r="C92" s="14" t="n"/>
      <c r="D92" s="14" t="n"/>
      <c r="E92" s="14" t="n"/>
      <c r="F92" s="24" t="n"/>
      <c r="G92" s="24" t="n"/>
      <c r="H92" s="24" t="n"/>
      <c r="I92" s="24" t="n"/>
      <c r="J92" s="26">
        <f>IF(F92="","",IFERROR(F92/(F92+G92),0))</f>
        <v/>
      </c>
      <c r="K92" s="14" t="n"/>
    </row>
    <row r="93" ht="22" customHeight="1">
      <c r="B93" s="17">
        <f>IF(C93="","PNT-"&amp;TEXT(COUNTA($C$5:C93),"000"))</f>
        <v/>
      </c>
      <c r="C93" s="12" t="n"/>
      <c r="D93" s="12" t="n"/>
      <c r="E93" s="12" t="n"/>
      <c r="F93" s="23" t="n"/>
      <c r="G93" s="23" t="n"/>
      <c r="H93" s="23" t="n"/>
      <c r="I93" s="23" t="n"/>
      <c r="J93" s="25">
        <f>IF(F93="","",IFERROR(F93/(F93+G93),0))</f>
        <v/>
      </c>
      <c r="K93" s="12" t="n"/>
    </row>
    <row r="94" ht="22" customHeight="1">
      <c r="B94" s="16">
        <f>IF(C94="","PNT-"&amp;TEXT(COUNTA($C$5:C94),"000"))</f>
        <v/>
      </c>
      <c r="C94" s="14" t="n"/>
      <c r="D94" s="14" t="n"/>
      <c r="E94" s="14" t="n"/>
      <c r="F94" s="24" t="n"/>
      <c r="G94" s="24" t="n"/>
      <c r="H94" s="24" t="n"/>
      <c r="I94" s="24" t="n"/>
      <c r="J94" s="26">
        <f>IF(F94="","",IFERROR(F94/(F94+G94),0))</f>
        <v/>
      </c>
      <c r="K94" s="14" t="n"/>
    </row>
    <row r="95" ht="22" customHeight="1">
      <c r="B95" s="17">
        <f>IF(C95="","PNT-"&amp;TEXT(COUNTA($C$5:C95),"000"))</f>
        <v/>
      </c>
      <c r="C95" s="12" t="n"/>
      <c r="D95" s="12" t="n"/>
      <c r="E95" s="12" t="n"/>
      <c r="F95" s="23" t="n"/>
      <c r="G95" s="23" t="n"/>
      <c r="H95" s="23" t="n"/>
      <c r="I95" s="23" t="n"/>
      <c r="J95" s="25">
        <f>IF(F95="","",IFERROR(F95/(F95+G95),0))</f>
        <v/>
      </c>
      <c r="K95" s="12" t="n"/>
    </row>
    <row r="96" ht="22" customHeight="1">
      <c r="B96" s="16">
        <f>IF(C96="","PNT-"&amp;TEXT(COUNTA($C$5:C96),"000"))</f>
        <v/>
      </c>
      <c r="C96" s="14" t="n"/>
      <c r="D96" s="14" t="n"/>
      <c r="E96" s="14" t="n"/>
      <c r="F96" s="24" t="n"/>
      <c r="G96" s="24" t="n"/>
      <c r="H96" s="24" t="n"/>
      <c r="I96" s="24" t="n"/>
      <c r="J96" s="26">
        <f>IF(F96="","",IFERROR(F96/(F96+G96),0))</f>
        <v/>
      </c>
      <c r="K96" s="14" t="n"/>
    </row>
    <row r="97" ht="22" customHeight="1">
      <c r="B97" s="17">
        <f>IF(C97="","PNT-"&amp;TEXT(COUNTA($C$5:C97),"000"))</f>
        <v/>
      </c>
      <c r="C97" s="12" t="n"/>
      <c r="D97" s="12" t="n"/>
      <c r="E97" s="12" t="n"/>
      <c r="F97" s="23" t="n"/>
      <c r="G97" s="23" t="n"/>
      <c r="H97" s="23" t="n"/>
      <c r="I97" s="23" t="n"/>
      <c r="J97" s="25">
        <f>IF(F97="","",IFERROR(F97/(F97+G97),0))</f>
        <v/>
      </c>
      <c r="K97" s="12" t="n"/>
    </row>
    <row r="98" ht="22" customHeight="1">
      <c r="B98" s="16">
        <f>IF(C98="","PNT-"&amp;TEXT(COUNTA($C$5:C98),"000"))</f>
        <v/>
      </c>
      <c r="C98" s="14" t="n"/>
      <c r="D98" s="14" t="n"/>
      <c r="E98" s="14" t="n"/>
      <c r="F98" s="24" t="n"/>
      <c r="G98" s="24" t="n"/>
      <c r="H98" s="24" t="n"/>
      <c r="I98" s="24" t="n"/>
      <c r="J98" s="26">
        <f>IF(F98="","",IFERROR(F98/(F98+G98),0))</f>
        <v/>
      </c>
      <c r="K98" s="14" t="n"/>
    </row>
    <row r="99" ht="22" customHeight="1">
      <c r="B99" s="17">
        <f>IF(C99="","PNT-"&amp;TEXT(COUNTA($C$5:C99),"000"))</f>
        <v/>
      </c>
      <c r="C99" s="12" t="n"/>
      <c r="D99" s="12" t="n"/>
      <c r="E99" s="12" t="n"/>
      <c r="F99" s="23" t="n"/>
      <c r="G99" s="23" t="n"/>
      <c r="H99" s="23" t="n"/>
      <c r="I99" s="23" t="n"/>
      <c r="J99" s="25">
        <f>IF(F99="","",IFERROR(F99/(F99+G99),0))</f>
        <v/>
      </c>
      <c r="K99" s="12" t="n"/>
    </row>
    <row r="100" ht="22" customHeight="1">
      <c r="B100" s="16">
        <f>IF(C100="","PNT-"&amp;TEXT(COUNTA($C$5:C100),"000"))</f>
        <v/>
      </c>
      <c r="C100" s="14" t="n"/>
      <c r="D100" s="14" t="n"/>
      <c r="E100" s="14" t="n"/>
      <c r="F100" s="24" t="n"/>
      <c r="G100" s="24" t="n"/>
      <c r="H100" s="24" t="n"/>
      <c r="I100" s="24" t="n"/>
      <c r="J100" s="26">
        <f>IF(F100="","",IFERROR(F100/(F100+G100),0))</f>
        <v/>
      </c>
      <c r="K100" s="14" t="n"/>
    </row>
    <row r="101" ht="22" customHeight="1">
      <c r="B101" s="17">
        <f>IF(C101="","PNT-"&amp;TEXT(COUNTA($C$5:C101),"000"))</f>
        <v/>
      </c>
      <c r="C101" s="12" t="n"/>
      <c r="D101" s="12" t="n"/>
      <c r="E101" s="12" t="n"/>
      <c r="F101" s="23" t="n"/>
      <c r="G101" s="23" t="n"/>
      <c r="H101" s="23" t="n"/>
      <c r="I101" s="23" t="n"/>
      <c r="J101" s="25">
        <f>IF(F101="","",IFERROR(F101/(F101+G101),0))</f>
        <v/>
      </c>
      <c r="K101" s="12" t="n"/>
    </row>
    <row r="102" ht="22" customHeight="1">
      <c r="B102" s="16">
        <f>IF(C102="","PNT-"&amp;TEXT(COUNTA($C$5:C102),"000"))</f>
        <v/>
      </c>
      <c r="C102" s="14" t="n"/>
      <c r="D102" s="14" t="n"/>
      <c r="E102" s="14" t="n"/>
      <c r="F102" s="24" t="n"/>
      <c r="G102" s="24" t="n"/>
      <c r="H102" s="24" t="n"/>
      <c r="I102" s="24" t="n"/>
      <c r="J102" s="26">
        <f>IF(F102="","",IFERROR(F102/(F102+G102),0))</f>
        <v/>
      </c>
      <c r="K102" s="14" t="n"/>
    </row>
    <row r="103" ht="22" customHeight="1">
      <c r="B103" s="17">
        <f>IF(C103="","PNT-"&amp;TEXT(COUNTA($C$5:C103),"000"))</f>
        <v/>
      </c>
      <c r="C103" s="12" t="n"/>
      <c r="D103" s="12" t="n"/>
      <c r="E103" s="12" t="n"/>
      <c r="F103" s="23" t="n"/>
      <c r="G103" s="23" t="n"/>
      <c r="H103" s="23" t="n"/>
      <c r="I103" s="23" t="n"/>
      <c r="J103" s="25">
        <f>IF(F103="","",IFERROR(F103/(F103+G103),0))</f>
        <v/>
      </c>
      <c r="K103" s="12" t="n"/>
    </row>
    <row r="104" ht="22" customHeight="1">
      <c r="B104" s="16">
        <f>IF(C104="","PNT-"&amp;TEXT(COUNTA($C$5:C104),"000"))</f>
        <v/>
      </c>
      <c r="C104" s="14" t="n"/>
      <c r="D104" s="14" t="n"/>
      <c r="E104" s="14" t="n"/>
      <c r="F104" s="24" t="n"/>
      <c r="G104" s="24" t="n"/>
      <c r="H104" s="24" t="n"/>
      <c r="I104" s="24" t="n"/>
      <c r="J104" s="26">
        <f>IF(F104="","",IFERROR(F104/(F104+G104),0))</f>
        <v/>
      </c>
      <c r="K104" s="14" t="n"/>
    </row>
    <row r="105" ht="22" customHeight="1">
      <c r="B105" s="17">
        <f>IF(C105="","PNT-"&amp;TEXT(COUNTA($C$5:C105),"000"))</f>
        <v/>
      </c>
      <c r="C105" s="12" t="n"/>
      <c r="D105" s="12" t="n"/>
      <c r="E105" s="12" t="n"/>
      <c r="F105" s="23" t="n"/>
      <c r="G105" s="23" t="n"/>
      <c r="H105" s="23" t="n"/>
      <c r="I105" s="23" t="n"/>
      <c r="J105" s="25">
        <f>IF(F105="","",IFERROR(F105/(F105+G105),0))</f>
        <v/>
      </c>
      <c r="K105" s="12" t="n"/>
    </row>
    <row r="106" ht="22" customHeight="1">
      <c r="B106" s="16">
        <f>IF(C106="","PNT-"&amp;TEXT(COUNTA($C$5:C106),"000"))</f>
        <v/>
      </c>
      <c r="C106" s="14" t="n"/>
      <c r="D106" s="14" t="n"/>
      <c r="E106" s="14" t="n"/>
      <c r="F106" s="24" t="n"/>
      <c r="G106" s="24" t="n"/>
      <c r="H106" s="24" t="n"/>
      <c r="I106" s="24" t="n"/>
      <c r="J106" s="26">
        <f>IF(F106="","",IFERROR(F106/(F106+G106),0))</f>
        <v/>
      </c>
      <c r="K106" s="14" t="n"/>
    </row>
    <row r="107" ht="22" customHeight="1">
      <c r="B107" s="17">
        <f>IF(C107="","PNT-"&amp;TEXT(COUNTA($C$5:C107),"000"))</f>
        <v/>
      </c>
      <c r="C107" s="12" t="n"/>
      <c r="D107" s="12" t="n"/>
      <c r="E107" s="12" t="n"/>
      <c r="F107" s="23" t="n"/>
      <c r="G107" s="23" t="n"/>
      <c r="H107" s="23" t="n"/>
      <c r="I107" s="23" t="n"/>
      <c r="J107" s="25">
        <f>IF(F107="","",IFERROR(F107/(F107+G107),0))</f>
        <v/>
      </c>
      <c r="K107" s="12" t="n"/>
    </row>
    <row r="108" ht="22" customHeight="1">
      <c r="B108" s="16">
        <f>IF(C108="","PNT-"&amp;TEXT(COUNTA($C$5:C108),"000"))</f>
        <v/>
      </c>
      <c r="C108" s="14" t="n"/>
      <c r="D108" s="14" t="n"/>
      <c r="E108" s="14" t="n"/>
      <c r="F108" s="24" t="n"/>
      <c r="G108" s="24" t="n"/>
      <c r="H108" s="24" t="n"/>
      <c r="I108" s="24" t="n"/>
      <c r="J108" s="26">
        <f>IF(F108="","",IFERROR(F108/(F108+G108),0))</f>
        <v/>
      </c>
      <c r="K108" s="14" t="n"/>
    </row>
    <row r="109" ht="22" customHeight="1">
      <c r="B109" s="17">
        <f>IF(C109="","PNT-"&amp;TEXT(COUNTA($C$5:C109),"000"))</f>
        <v/>
      </c>
      <c r="C109" s="12" t="n"/>
      <c r="D109" s="12" t="n"/>
      <c r="E109" s="12" t="n"/>
      <c r="F109" s="23" t="n"/>
      <c r="G109" s="23" t="n"/>
      <c r="H109" s="23" t="n"/>
      <c r="I109" s="23" t="n"/>
      <c r="J109" s="25">
        <f>IF(F109="","",IFERROR(F109/(F109+G109),0))</f>
        <v/>
      </c>
      <c r="K109" s="12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Total lignes</t>
        </is>
      </c>
      <c r="D112" s="3" t="inlineStr">
        <is>
          <t>Taux présence moyen</t>
        </is>
      </c>
      <c r="F112" s="3" t="inlineStr">
        <is>
          <t>Total retards (min)</t>
        </is>
      </c>
    </row>
    <row r="113">
      <c r="B113" s="4">
        <f>COUNTIF(B5:B104,"&lt;&gt;")</f>
        <v/>
      </c>
      <c r="D113" s="4">
        <f>IFERROR(AVERAGE(J5:J104),0)</f>
        <v/>
      </c>
      <c r="F113" s="4">
        <f>SUM(H5:H104)</f>
        <v/>
      </c>
    </row>
  </sheetData>
  <mergeCells count="3">
    <mergeCell ref="B111:K111"/>
    <mergeCell ref="B3:K3"/>
    <mergeCell ref="B2:K2"/>
  </mergeCells>
  <conditionalFormatting sqref="B10:B109">
    <cfRule type="expression" priority="1" dxfId="3">
      <formula>AND($C10="",$C9&lt;&gt;"")</formula>
    </cfRule>
  </conditionalFormatting>
  <conditionalFormatting sqref="C10:C109">
    <cfRule type="expression" priority="2" dxfId="3">
      <formula>AND($C10="",$C9&lt;&gt;"")</formula>
    </cfRule>
  </conditionalFormatting>
  <conditionalFormatting sqref="D10:D109">
    <cfRule type="expression" priority="3" dxfId="3">
      <formula>AND($C10="",$C9&lt;&gt;"")</formula>
    </cfRule>
  </conditionalFormatting>
  <conditionalFormatting sqref="E10:E109">
    <cfRule type="expression" priority="4" dxfId="3">
      <formula>AND($C10="",$C9&lt;&gt;"")</formula>
    </cfRule>
  </conditionalFormatting>
  <conditionalFormatting sqref="F10:F109">
    <cfRule type="expression" priority="5" dxfId="3">
      <formula>AND($C10="",$C9&lt;&gt;"")</formula>
    </cfRule>
  </conditionalFormatting>
  <conditionalFormatting sqref="G10:G109">
    <cfRule type="expression" priority="6" dxfId="3">
      <formula>AND($C10="",$C9&lt;&gt;"")</formula>
    </cfRule>
  </conditionalFormatting>
  <conditionalFormatting sqref="H10:H109">
    <cfRule type="expression" priority="7" dxfId="3">
      <formula>AND($C10="",$C9&lt;&gt;"")</formula>
    </cfRule>
  </conditionalFormatting>
  <conditionalFormatting sqref="I10:I109">
    <cfRule type="expression" priority="8" dxfId="3">
      <formula>AND($C10="",$C9&lt;&gt;"")</formula>
    </cfRule>
  </conditionalFormatting>
  <conditionalFormatting sqref="J10:J109">
    <cfRule type="expression" priority="9" dxfId="3">
      <formula>AND($C10="",$C9&lt;&gt;"")</formula>
    </cfRule>
  </conditionalFormatting>
  <conditionalFormatting sqref="K10:K109">
    <cfRule type="expression" priority="10" dxfId="3">
      <formula>AND($C10="",$C9&lt;&gt;"")</formula>
    </cfRule>
  </conditionalFormatting>
  <conditionalFormatting sqref="J5:J104">
    <cfRule type="dataBar" priority="11">
      <dataBar>
        <cfvo type="num" val="0"/>
        <cfvo type="num" val="1"/>
        <color rgb="0070AD47"/>
      </dataBar>
    </cfRule>
  </conditionalFormatting>
  <dataValidations count="1">
    <dataValidation sqref="E5:E113" showDropDown="0" showInputMessage="0" showErrorMessage="0" allowBlank="1" errorTitle="Valeur invalide" error="Veuillez choisir dans la liste: semaine" promptTitle="semaine" prompt="Choisir: semaine" type="list">
      <formula1>'_Lists'!$AP$2:$AP$50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20" customWidth="1" min="4" max="4"/>
    <col width="16" customWidth="1" min="5" max="5"/>
    <col width="22" customWidth="1" min="6" max="6"/>
    <col width="20" customWidth="1" min="7" max="7"/>
    <col width="14" customWidth="1" min="8" max="8"/>
    <col width="22" customWidth="1" min="9" max="9"/>
    <col width="12" customWidth="1" min="10" max="10"/>
    <col width="10" customWidth="1" min="11" max="11"/>
  </cols>
  <sheetData>
    <row r="1" ht="15" customHeight="1"/>
    <row r="2" ht="32" customHeight="1">
      <c r="B2" s="1" t="inlineStr">
        <is>
          <t>FICHES DE PAIE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Matricule</t>
        </is>
      </c>
      <c r="D4" s="11" t="inlineStr">
        <is>
          <t>Nom Employé</t>
        </is>
      </c>
      <c r="E4" s="11" t="inlineStr">
        <is>
          <t>Mois</t>
        </is>
      </c>
      <c r="F4" s="11" t="inlineStr">
        <is>
          <t>Salaire Brut (FCFA)</t>
        </is>
      </c>
      <c r="G4" s="11" t="inlineStr">
        <is>
          <t>Cotisations (FCFA)</t>
        </is>
      </c>
      <c r="H4" s="11" t="inlineStr">
        <is>
          <t>Taux Charges (%)</t>
        </is>
      </c>
      <c r="I4" s="11" t="inlineStr">
        <is>
          <t>Net à Payer (FCFA)</t>
        </is>
      </c>
      <c r="J4" s="11" t="inlineStr">
        <is>
          <t>Mode Paiement</t>
        </is>
      </c>
      <c r="K4" s="11" t="inlineStr">
        <is>
          <t>Date Paiement</t>
        </is>
      </c>
      <c r="L4" s="11" t="inlineStr">
        <is>
          <t>Statut</t>
        </is>
      </c>
    </row>
    <row r="5" ht="22" customHeight="1">
      <c r="B5" s="12" t="inlineStr">
        <is>
          <t>PAIE-001</t>
        </is>
      </c>
      <c r="C5" s="12" t="inlineStr">
        <is>
          <t>EMP-001</t>
        </is>
      </c>
      <c r="D5" s="12" t="inlineStr">
        <is>
          <t>Nganou Clarisse</t>
        </is>
      </c>
      <c r="E5" s="12" t="inlineStr">
        <is>
          <t>Janvier 2025</t>
        </is>
      </c>
      <c r="F5" s="18" t="n">
        <v>450000</v>
      </c>
      <c r="G5" s="18" t="n">
        <v>67500</v>
      </c>
      <c r="H5" s="25">
        <f>IF(F5="","",IFERROR(G5/F5,0))</f>
        <v/>
      </c>
      <c r="I5" s="18" t="n"/>
      <c r="J5" s="12" t="inlineStr">
        <is>
          <t>Virement bancaire</t>
        </is>
      </c>
      <c r="K5" s="27" t="n">
        <v>45688</v>
      </c>
      <c r="L5" s="12" t="inlineStr">
        <is>
          <t>Payee</t>
        </is>
      </c>
    </row>
    <row r="6" ht="22" customHeight="1">
      <c r="B6" s="14" t="inlineStr">
        <is>
          <t>PAIE-002</t>
        </is>
      </c>
      <c r="C6" s="14" t="inlineStr">
        <is>
          <t>EMP-002</t>
        </is>
      </c>
      <c r="D6" s="14" t="inlineStr">
        <is>
          <t>Tchinda Armand</t>
        </is>
      </c>
      <c r="E6" s="14" t="inlineStr">
        <is>
          <t>Janvier 2025</t>
        </is>
      </c>
      <c r="F6" s="19" t="n">
        <v>420000</v>
      </c>
      <c r="G6" s="19" t="n">
        <v>63000</v>
      </c>
      <c r="H6" s="26">
        <f>IF(F6="","",IFERROR(G6/F6,0))</f>
        <v/>
      </c>
      <c r="I6" s="19" t="n"/>
      <c r="J6" s="14" t="inlineStr">
        <is>
          <t>Virement bancaire</t>
        </is>
      </c>
      <c r="K6" s="28" t="n">
        <v>45688</v>
      </c>
      <c r="L6" s="14" t="inlineStr">
        <is>
          <t>Payee</t>
        </is>
      </c>
    </row>
    <row r="7" ht="22" customHeight="1">
      <c r="B7" s="12" t="inlineStr">
        <is>
          <t>PAIE-003</t>
        </is>
      </c>
      <c r="C7" s="12" t="inlineStr">
        <is>
          <t>EMP-003</t>
        </is>
      </c>
      <c r="D7" s="12" t="inlineStr">
        <is>
          <t>Fotso Marguerite</t>
        </is>
      </c>
      <c r="E7" s="12" t="inlineStr">
        <is>
          <t>Janvier 2025</t>
        </is>
      </c>
      <c r="F7" s="18" t="n">
        <v>380000</v>
      </c>
      <c r="G7" s="18" t="n">
        <v>57000</v>
      </c>
      <c r="H7" s="25">
        <f>IF(F7="","",IFERROR(G7/F7,0))</f>
        <v/>
      </c>
      <c r="I7" s="18" t="n"/>
      <c r="J7" s="12" t="inlineStr">
        <is>
          <t>Virement bancaire</t>
        </is>
      </c>
      <c r="K7" s="27" t="n">
        <v>45688</v>
      </c>
      <c r="L7" s="12" t="inlineStr">
        <is>
          <t>Payee</t>
        </is>
      </c>
    </row>
    <row r="8" ht="22" customHeight="1">
      <c r="B8" s="14" t="inlineStr">
        <is>
          <t>PAIE-004</t>
        </is>
      </c>
      <c r="C8" s="14" t="inlineStr">
        <is>
          <t>EMP-004</t>
        </is>
      </c>
      <c r="D8" s="14" t="inlineStr">
        <is>
          <t>Nkoulou Mbarga</t>
        </is>
      </c>
      <c r="E8" s="14" t="inlineStr">
        <is>
          <t>Janvier 2025</t>
        </is>
      </c>
      <c r="F8" s="19" t="n">
        <v>180000</v>
      </c>
      <c r="G8" s="19" t="n">
        <v>27000</v>
      </c>
      <c r="H8" s="26">
        <f>IF(F8="","",IFERROR(G8/F8,0))</f>
        <v/>
      </c>
      <c r="I8" s="19" t="n"/>
      <c r="J8" s="14" t="inlineStr">
        <is>
          <t>Virement bancaire</t>
        </is>
      </c>
      <c r="K8" s="28" t="n">
        <v>45688</v>
      </c>
      <c r="L8" s="14" t="inlineStr">
        <is>
          <t>Payee</t>
        </is>
      </c>
    </row>
    <row r="9" ht="22" customHeight="1">
      <c r="B9" s="12" t="inlineStr">
        <is>
          <t>PAIE-005</t>
        </is>
      </c>
      <c r="C9" s="12" t="inlineStr">
        <is>
          <t>EMP-005</t>
        </is>
      </c>
      <c r="D9" s="12" t="inlineStr">
        <is>
          <t>Kamga Paul</t>
        </is>
      </c>
      <c r="E9" s="12" t="inlineStr">
        <is>
          <t>Janvier 2025</t>
        </is>
      </c>
      <c r="F9" s="18" t="n">
        <v>130000</v>
      </c>
      <c r="G9" s="18" t="n">
        <v>19500</v>
      </c>
      <c r="H9" s="25">
        <f>IF(F9="","",IFERROR(G9/F9,0))</f>
        <v/>
      </c>
      <c r="I9" s="18" t="n"/>
      <c r="J9" s="12" t="inlineStr">
        <is>
          <t>Virement bancaire</t>
        </is>
      </c>
      <c r="K9" s="27" t="n">
        <v>45688</v>
      </c>
      <c r="L9" s="12" t="inlineStr">
        <is>
          <t>Payee</t>
        </is>
      </c>
    </row>
    <row r="10" ht="22" customHeight="1">
      <c r="B10" s="14" t="inlineStr">
        <is>
          <t>PAIE-006</t>
        </is>
      </c>
      <c r="C10" s="14" t="inlineStr">
        <is>
          <t>EMP-001</t>
        </is>
      </c>
      <c r="D10" s="14" t="inlineStr">
        <is>
          <t>Nganou Clarisse</t>
        </is>
      </c>
      <c r="E10" s="14" t="inlineStr">
        <is>
          <t>Fevrier 2025</t>
        </is>
      </c>
      <c r="F10" s="19" t="n">
        <v>450000</v>
      </c>
      <c r="G10" s="19" t="n">
        <v>67500</v>
      </c>
      <c r="H10" s="26">
        <f>IF(F10="","",IFERROR(G10/F10,0))</f>
        <v/>
      </c>
      <c r="I10" s="19" t="n"/>
      <c r="J10" s="14" t="inlineStr">
        <is>
          <t>Virement bancaire</t>
        </is>
      </c>
      <c r="K10" s="28" t="n">
        <v>45716</v>
      </c>
      <c r="L10" s="14" t="inlineStr">
        <is>
          <t>Payee</t>
        </is>
      </c>
    </row>
    <row r="11" ht="22" customHeight="1">
      <c r="B11" s="12" t="inlineStr">
        <is>
          <t>PAIE-007</t>
        </is>
      </c>
      <c r="C11" s="12" t="inlineStr">
        <is>
          <t>EMP-002</t>
        </is>
      </c>
      <c r="D11" s="12" t="inlineStr">
        <is>
          <t>Tchinda Armand</t>
        </is>
      </c>
      <c r="E11" s="12" t="inlineStr">
        <is>
          <t>Fevrier 2025</t>
        </is>
      </c>
      <c r="F11" s="18" t="n">
        <v>420000</v>
      </c>
      <c r="G11" s="18" t="n">
        <v>63000</v>
      </c>
      <c r="H11" s="25">
        <f>IF(F11="","",IFERROR(G11/F11,0))</f>
        <v/>
      </c>
      <c r="I11" s="18" t="n"/>
      <c r="J11" s="12" t="inlineStr">
        <is>
          <t>Virement bancaire</t>
        </is>
      </c>
      <c r="K11" s="27" t="n">
        <v>45716</v>
      </c>
      <c r="L11" s="12" t="inlineStr">
        <is>
          <t>Payee</t>
        </is>
      </c>
    </row>
    <row r="12" ht="22" customHeight="1">
      <c r="B12" s="16">
        <f>IF(C12="","PAIE-"&amp;TEXT(COUNTA($C$5:C12),"000"))</f>
        <v/>
      </c>
      <c r="C12" s="14" t="n"/>
      <c r="D12" s="14" t="n"/>
      <c r="E12" s="14" t="n"/>
      <c r="F12" s="19" t="n"/>
      <c r="G12" s="19" t="n"/>
      <c r="H12" s="26">
        <f>IF(F12="","",IFERROR(G12/F12,0))</f>
        <v/>
      </c>
      <c r="I12" s="19">
        <f>IF(F12="","",F12-G12)</f>
        <v/>
      </c>
      <c r="J12" s="14" t="n"/>
      <c r="K12" s="28" t="n"/>
      <c r="L12" s="14" t="n"/>
    </row>
    <row r="13" ht="22" customHeight="1">
      <c r="B13" s="17">
        <f>IF(C13="","PAIE-"&amp;TEXT(COUNTA($C$5:C13),"000"))</f>
        <v/>
      </c>
      <c r="C13" s="12" t="n"/>
      <c r="D13" s="12" t="n"/>
      <c r="E13" s="12" t="n"/>
      <c r="F13" s="18" t="n"/>
      <c r="G13" s="18" t="n"/>
      <c r="H13" s="25">
        <f>IF(F13="","",IFERROR(G13/F13,0))</f>
        <v/>
      </c>
      <c r="I13" s="18">
        <f>IF(F13="","",F13-G13)</f>
        <v/>
      </c>
      <c r="J13" s="12" t="n"/>
      <c r="K13" s="27" t="n"/>
      <c r="L13" s="12" t="n"/>
    </row>
    <row r="14" ht="22" customHeight="1">
      <c r="B14" s="16">
        <f>IF(C14="","PAIE-"&amp;TEXT(COUNTA($C$5:C14),"000"))</f>
        <v/>
      </c>
      <c r="C14" s="14" t="n"/>
      <c r="D14" s="14" t="n"/>
      <c r="E14" s="14" t="n"/>
      <c r="F14" s="19" t="n"/>
      <c r="G14" s="19" t="n"/>
      <c r="H14" s="26">
        <f>IF(F14="","",IFERROR(G14/F14,0))</f>
        <v/>
      </c>
      <c r="I14" s="19">
        <f>IF(F14="","",F14-G14)</f>
        <v/>
      </c>
      <c r="J14" s="14" t="n"/>
      <c r="K14" s="28" t="n"/>
      <c r="L14" s="14" t="n"/>
    </row>
    <row r="15" ht="22" customHeight="1">
      <c r="B15" s="17">
        <f>IF(C15="","PAIE-"&amp;TEXT(COUNTA($C$5:C15),"000"))</f>
        <v/>
      </c>
      <c r="C15" s="12" t="n"/>
      <c r="D15" s="12" t="n"/>
      <c r="E15" s="12" t="n"/>
      <c r="F15" s="18" t="n"/>
      <c r="G15" s="18" t="n"/>
      <c r="H15" s="25">
        <f>IF(F15="","",IFERROR(G15/F15,0))</f>
        <v/>
      </c>
      <c r="I15" s="18">
        <f>IF(F15="","",F15-G15)</f>
        <v/>
      </c>
      <c r="J15" s="12" t="n"/>
      <c r="K15" s="27" t="n"/>
      <c r="L15" s="12" t="n"/>
    </row>
    <row r="16" ht="22" customHeight="1">
      <c r="B16" s="16">
        <f>IF(C16="","PAIE-"&amp;TEXT(COUNTA($C$5:C16),"000"))</f>
        <v/>
      </c>
      <c r="C16" s="14" t="n"/>
      <c r="D16" s="14" t="n"/>
      <c r="E16" s="14" t="n"/>
      <c r="F16" s="19" t="n"/>
      <c r="G16" s="19" t="n"/>
      <c r="H16" s="26">
        <f>IF(F16="","",IFERROR(G16/F16,0))</f>
        <v/>
      </c>
      <c r="I16" s="19">
        <f>IF(F16="","",F16-G16)</f>
        <v/>
      </c>
      <c r="J16" s="14" t="n"/>
      <c r="K16" s="28" t="n"/>
      <c r="L16" s="14" t="n"/>
    </row>
    <row r="17" ht="22" customHeight="1">
      <c r="B17" s="17">
        <f>IF(C17="","PAIE-"&amp;TEXT(COUNTA($C$5:C17),"000"))</f>
        <v/>
      </c>
      <c r="C17" s="12" t="n"/>
      <c r="D17" s="12" t="n"/>
      <c r="E17" s="12" t="n"/>
      <c r="F17" s="18" t="n"/>
      <c r="G17" s="18" t="n"/>
      <c r="H17" s="25">
        <f>IF(F17="","",IFERROR(G17/F17,0))</f>
        <v/>
      </c>
      <c r="I17" s="18">
        <f>IF(F17="","",F17-G17)</f>
        <v/>
      </c>
      <c r="J17" s="12" t="n"/>
      <c r="K17" s="27" t="n"/>
      <c r="L17" s="12" t="n"/>
    </row>
    <row r="18" ht="22" customHeight="1">
      <c r="B18" s="16">
        <f>IF(C18="","PAIE-"&amp;TEXT(COUNTA($C$5:C18),"000"))</f>
        <v/>
      </c>
      <c r="C18" s="14" t="n"/>
      <c r="D18" s="14" t="n"/>
      <c r="E18" s="14" t="n"/>
      <c r="F18" s="19" t="n"/>
      <c r="G18" s="19" t="n"/>
      <c r="H18" s="26">
        <f>IF(F18="","",IFERROR(G18/F18,0))</f>
        <v/>
      </c>
      <c r="I18" s="19">
        <f>IF(F18="","",F18-G18)</f>
        <v/>
      </c>
      <c r="J18" s="14" t="n"/>
      <c r="K18" s="28" t="n"/>
      <c r="L18" s="14" t="n"/>
    </row>
    <row r="19" ht="22" customHeight="1">
      <c r="B19" s="17">
        <f>IF(C19="","PAIE-"&amp;TEXT(COUNTA($C$5:C19),"000"))</f>
        <v/>
      </c>
      <c r="C19" s="12" t="n"/>
      <c r="D19" s="12" t="n"/>
      <c r="E19" s="12" t="n"/>
      <c r="F19" s="18" t="n"/>
      <c r="G19" s="18" t="n"/>
      <c r="H19" s="25">
        <f>IF(F19="","",IFERROR(G19/F19,0))</f>
        <v/>
      </c>
      <c r="I19" s="18">
        <f>IF(F19="","",F19-G19)</f>
        <v/>
      </c>
      <c r="J19" s="12" t="n"/>
      <c r="K19" s="27" t="n"/>
      <c r="L19" s="12" t="n"/>
    </row>
    <row r="20" ht="22" customHeight="1">
      <c r="B20" s="16">
        <f>IF(C20="","PAIE-"&amp;TEXT(COUNTA($C$5:C20),"000"))</f>
        <v/>
      </c>
      <c r="C20" s="14" t="n"/>
      <c r="D20" s="14" t="n"/>
      <c r="E20" s="14" t="n"/>
      <c r="F20" s="19" t="n"/>
      <c r="G20" s="19" t="n"/>
      <c r="H20" s="26">
        <f>IF(F20="","",IFERROR(G20/F20,0))</f>
        <v/>
      </c>
      <c r="I20" s="19">
        <f>IF(F20="","",F20-G20)</f>
        <v/>
      </c>
      <c r="J20" s="14" t="n"/>
      <c r="K20" s="28" t="n"/>
      <c r="L20" s="14" t="n"/>
    </row>
    <row r="21" ht="22" customHeight="1">
      <c r="B21" s="17">
        <f>IF(C21="","PAIE-"&amp;TEXT(COUNTA($C$5:C21),"000"))</f>
        <v/>
      </c>
      <c r="C21" s="12" t="n"/>
      <c r="D21" s="12" t="n"/>
      <c r="E21" s="12" t="n"/>
      <c r="F21" s="18" t="n"/>
      <c r="G21" s="18" t="n"/>
      <c r="H21" s="25">
        <f>IF(F21="","",IFERROR(G21/F21,0))</f>
        <v/>
      </c>
      <c r="I21" s="18">
        <f>IF(F21="","",F21-G21)</f>
        <v/>
      </c>
      <c r="J21" s="12" t="n"/>
      <c r="K21" s="27" t="n"/>
      <c r="L21" s="12" t="n"/>
    </row>
    <row r="22" ht="22" customHeight="1">
      <c r="B22" s="16">
        <f>IF(C22="","PAIE-"&amp;TEXT(COUNTA($C$5:C22),"000"))</f>
        <v/>
      </c>
      <c r="C22" s="14" t="n"/>
      <c r="D22" s="14" t="n"/>
      <c r="E22" s="14" t="n"/>
      <c r="F22" s="19" t="n"/>
      <c r="G22" s="19" t="n"/>
      <c r="H22" s="26">
        <f>IF(F22="","",IFERROR(G22/F22,0))</f>
        <v/>
      </c>
      <c r="I22" s="19">
        <f>IF(F22="","",F22-G22)</f>
        <v/>
      </c>
      <c r="J22" s="14" t="n"/>
      <c r="K22" s="28" t="n"/>
      <c r="L22" s="14" t="n"/>
    </row>
    <row r="23" ht="22" customHeight="1">
      <c r="B23" s="17">
        <f>IF(C23="","PAIE-"&amp;TEXT(COUNTA($C$5:C23),"000"))</f>
        <v/>
      </c>
      <c r="C23" s="12" t="n"/>
      <c r="D23" s="12" t="n"/>
      <c r="E23" s="12" t="n"/>
      <c r="F23" s="18" t="n"/>
      <c r="G23" s="18" t="n"/>
      <c r="H23" s="25">
        <f>IF(F23="","",IFERROR(G23/F23,0))</f>
        <v/>
      </c>
      <c r="I23" s="18">
        <f>IF(F23="","",F23-G23)</f>
        <v/>
      </c>
      <c r="J23" s="12" t="n"/>
      <c r="K23" s="27" t="n"/>
      <c r="L23" s="12" t="n"/>
    </row>
    <row r="24" ht="22" customHeight="1">
      <c r="B24" s="16">
        <f>IF(C24="","PAIE-"&amp;TEXT(COUNTA($C$5:C24),"000"))</f>
        <v/>
      </c>
      <c r="C24" s="14" t="n"/>
      <c r="D24" s="14" t="n"/>
      <c r="E24" s="14" t="n"/>
      <c r="F24" s="19" t="n"/>
      <c r="G24" s="19" t="n"/>
      <c r="H24" s="26">
        <f>IF(F24="","",IFERROR(G24/F24,0))</f>
        <v/>
      </c>
      <c r="I24" s="19">
        <f>IF(F24="","",F24-G24)</f>
        <v/>
      </c>
      <c r="J24" s="14" t="n"/>
      <c r="K24" s="28" t="n"/>
      <c r="L24" s="14" t="n"/>
    </row>
    <row r="25" ht="22" customHeight="1">
      <c r="B25" s="17">
        <f>IF(C25="","PAIE-"&amp;TEXT(COUNTA($C$5:C25),"000"))</f>
        <v/>
      </c>
      <c r="C25" s="12" t="n"/>
      <c r="D25" s="12" t="n"/>
      <c r="E25" s="12" t="n"/>
      <c r="F25" s="18" t="n"/>
      <c r="G25" s="18" t="n"/>
      <c r="H25" s="25">
        <f>IF(F25="","",IFERROR(G25/F25,0))</f>
        <v/>
      </c>
      <c r="I25" s="18">
        <f>IF(F25="","",F25-G25)</f>
        <v/>
      </c>
      <c r="J25" s="12" t="n"/>
      <c r="K25" s="27" t="n"/>
      <c r="L25" s="12" t="n"/>
    </row>
    <row r="26" ht="22" customHeight="1">
      <c r="B26" s="16">
        <f>IF(C26="","PAIE-"&amp;TEXT(COUNTA($C$5:C26),"000"))</f>
        <v/>
      </c>
      <c r="C26" s="14" t="n"/>
      <c r="D26" s="14" t="n"/>
      <c r="E26" s="14" t="n"/>
      <c r="F26" s="19" t="n"/>
      <c r="G26" s="19" t="n"/>
      <c r="H26" s="26">
        <f>IF(F26="","",IFERROR(G26/F26,0))</f>
        <v/>
      </c>
      <c r="I26" s="19">
        <f>IF(F26="","",F26-G26)</f>
        <v/>
      </c>
      <c r="J26" s="14" t="n"/>
      <c r="K26" s="28" t="n"/>
      <c r="L26" s="14" t="n"/>
    </row>
    <row r="27" ht="22" customHeight="1">
      <c r="B27" s="17">
        <f>IF(C27="","PAIE-"&amp;TEXT(COUNTA($C$5:C27),"000"))</f>
        <v/>
      </c>
      <c r="C27" s="12" t="n"/>
      <c r="D27" s="12" t="n"/>
      <c r="E27" s="12" t="n"/>
      <c r="F27" s="18" t="n"/>
      <c r="G27" s="18" t="n"/>
      <c r="H27" s="25">
        <f>IF(F27="","",IFERROR(G27/F27,0))</f>
        <v/>
      </c>
      <c r="I27" s="18">
        <f>IF(F27="","",F27-G27)</f>
        <v/>
      </c>
      <c r="J27" s="12" t="n"/>
      <c r="K27" s="27" t="n"/>
      <c r="L27" s="12" t="n"/>
    </row>
    <row r="28" ht="22" customHeight="1">
      <c r="B28" s="16">
        <f>IF(C28="","PAIE-"&amp;TEXT(COUNTA($C$5:C28),"000"))</f>
        <v/>
      </c>
      <c r="C28" s="14" t="n"/>
      <c r="D28" s="14" t="n"/>
      <c r="E28" s="14" t="n"/>
      <c r="F28" s="19" t="n"/>
      <c r="G28" s="19" t="n"/>
      <c r="H28" s="26">
        <f>IF(F28="","",IFERROR(G28/F28,0))</f>
        <v/>
      </c>
      <c r="I28" s="19">
        <f>IF(F28="","",F28-G28)</f>
        <v/>
      </c>
      <c r="J28" s="14" t="n"/>
      <c r="K28" s="28" t="n"/>
      <c r="L28" s="14" t="n"/>
    </row>
    <row r="29" ht="22" customHeight="1">
      <c r="B29" s="17">
        <f>IF(C29="","PAIE-"&amp;TEXT(COUNTA($C$5:C29),"000"))</f>
        <v/>
      </c>
      <c r="C29" s="12" t="n"/>
      <c r="D29" s="12" t="n"/>
      <c r="E29" s="12" t="n"/>
      <c r="F29" s="18" t="n"/>
      <c r="G29" s="18" t="n"/>
      <c r="H29" s="25">
        <f>IF(F29="","",IFERROR(G29/F29,0))</f>
        <v/>
      </c>
      <c r="I29" s="18">
        <f>IF(F29="","",F29-G29)</f>
        <v/>
      </c>
      <c r="J29" s="12" t="n"/>
      <c r="K29" s="27" t="n"/>
      <c r="L29" s="12" t="n"/>
    </row>
    <row r="30" ht="22" customHeight="1">
      <c r="B30" s="16">
        <f>IF(C30="","PAIE-"&amp;TEXT(COUNTA($C$5:C30),"000"))</f>
        <v/>
      </c>
      <c r="C30" s="14" t="n"/>
      <c r="D30" s="14" t="n"/>
      <c r="E30" s="14" t="n"/>
      <c r="F30" s="19" t="n"/>
      <c r="G30" s="19" t="n"/>
      <c r="H30" s="26">
        <f>IF(F30="","",IFERROR(G30/F30,0))</f>
        <v/>
      </c>
      <c r="I30" s="19">
        <f>IF(F30="","",F30-G30)</f>
        <v/>
      </c>
      <c r="J30" s="14" t="n"/>
      <c r="K30" s="28" t="n"/>
      <c r="L30" s="14" t="n"/>
    </row>
    <row r="31" ht="22" customHeight="1">
      <c r="B31" s="17">
        <f>IF(C31="","PAIE-"&amp;TEXT(COUNTA($C$5:C31),"000"))</f>
        <v/>
      </c>
      <c r="C31" s="12" t="n"/>
      <c r="D31" s="12" t="n"/>
      <c r="E31" s="12" t="n"/>
      <c r="F31" s="18" t="n"/>
      <c r="G31" s="18" t="n"/>
      <c r="H31" s="25">
        <f>IF(F31="","",IFERROR(G31/F31,0))</f>
        <v/>
      </c>
      <c r="I31" s="18">
        <f>IF(F31="","",F31-G31)</f>
        <v/>
      </c>
      <c r="J31" s="12" t="n"/>
      <c r="K31" s="27" t="n"/>
      <c r="L31" s="12" t="n"/>
    </row>
    <row r="32" ht="22" customHeight="1">
      <c r="B32" s="16">
        <f>IF(C32="","PAIE-"&amp;TEXT(COUNTA($C$5:C32),"000"))</f>
        <v/>
      </c>
      <c r="C32" s="14" t="n"/>
      <c r="D32" s="14" t="n"/>
      <c r="E32" s="14" t="n"/>
      <c r="F32" s="19" t="n"/>
      <c r="G32" s="19" t="n"/>
      <c r="H32" s="26">
        <f>IF(F32="","",IFERROR(G32/F32,0))</f>
        <v/>
      </c>
      <c r="I32" s="19">
        <f>IF(F32="","",F32-G32)</f>
        <v/>
      </c>
      <c r="J32" s="14" t="n"/>
      <c r="K32" s="28" t="n"/>
      <c r="L32" s="14" t="n"/>
    </row>
    <row r="33" ht="22" customHeight="1">
      <c r="B33" s="17">
        <f>IF(C33="","PAIE-"&amp;TEXT(COUNTA($C$5:C33),"000"))</f>
        <v/>
      </c>
      <c r="C33" s="12" t="n"/>
      <c r="D33" s="12" t="n"/>
      <c r="E33" s="12" t="n"/>
      <c r="F33" s="18" t="n"/>
      <c r="G33" s="18" t="n"/>
      <c r="H33" s="25">
        <f>IF(F33="","",IFERROR(G33/F33,0))</f>
        <v/>
      </c>
      <c r="I33" s="18">
        <f>IF(F33="","",F33-G33)</f>
        <v/>
      </c>
      <c r="J33" s="12" t="n"/>
      <c r="K33" s="27" t="n"/>
      <c r="L33" s="12" t="n"/>
    </row>
    <row r="34" ht="22" customHeight="1">
      <c r="B34" s="16">
        <f>IF(C34="","PAIE-"&amp;TEXT(COUNTA($C$5:C34),"000"))</f>
        <v/>
      </c>
      <c r="C34" s="14" t="n"/>
      <c r="D34" s="14" t="n"/>
      <c r="E34" s="14" t="n"/>
      <c r="F34" s="19" t="n"/>
      <c r="G34" s="19" t="n"/>
      <c r="H34" s="26">
        <f>IF(F34="","",IFERROR(G34/F34,0))</f>
        <v/>
      </c>
      <c r="I34" s="19">
        <f>IF(F34="","",F34-G34)</f>
        <v/>
      </c>
      <c r="J34" s="14" t="n"/>
      <c r="K34" s="28" t="n"/>
      <c r="L34" s="14" t="n"/>
    </row>
    <row r="35" ht="22" customHeight="1">
      <c r="B35" s="17">
        <f>IF(C35="","PAIE-"&amp;TEXT(COUNTA($C$5:C35),"000"))</f>
        <v/>
      </c>
      <c r="C35" s="12" t="n"/>
      <c r="D35" s="12" t="n"/>
      <c r="E35" s="12" t="n"/>
      <c r="F35" s="18" t="n"/>
      <c r="G35" s="18" t="n"/>
      <c r="H35" s="25">
        <f>IF(F35="","",IFERROR(G35/F35,0))</f>
        <v/>
      </c>
      <c r="I35" s="18">
        <f>IF(F35="","",F35-G35)</f>
        <v/>
      </c>
      <c r="J35" s="12" t="n"/>
      <c r="K35" s="27" t="n"/>
      <c r="L35" s="12" t="n"/>
    </row>
    <row r="36" ht="22" customHeight="1">
      <c r="B36" s="16">
        <f>IF(C36="","PAIE-"&amp;TEXT(COUNTA($C$5:C36),"000"))</f>
        <v/>
      </c>
      <c r="C36" s="14" t="n"/>
      <c r="D36" s="14" t="n"/>
      <c r="E36" s="14" t="n"/>
      <c r="F36" s="19" t="n"/>
      <c r="G36" s="19" t="n"/>
      <c r="H36" s="26">
        <f>IF(F36="","",IFERROR(G36/F36,0))</f>
        <v/>
      </c>
      <c r="I36" s="19">
        <f>IF(F36="","",F36-G36)</f>
        <v/>
      </c>
      <c r="J36" s="14" t="n"/>
      <c r="K36" s="28" t="n"/>
      <c r="L36" s="14" t="n"/>
    </row>
    <row r="37" ht="22" customHeight="1">
      <c r="B37" s="17">
        <f>IF(C37="","PAIE-"&amp;TEXT(COUNTA($C$5:C37),"000"))</f>
        <v/>
      </c>
      <c r="C37" s="12" t="n"/>
      <c r="D37" s="12" t="n"/>
      <c r="E37" s="12" t="n"/>
      <c r="F37" s="18" t="n"/>
      <c r="G37" s="18" t="n"/>
      <c r="H37" s="25">
        <f>IF(F37="","",IFERROR(G37/F37,0))</f>
        <v/>
      </c>
      <c r="I37" s="18">
        <f>IF(F37="","",F37-G37)</f>
        <v/>
      </c>
      <c r="J37" s="12" t="n"/>
      <c r="K37" s="27" t="n"/>
      <c r="L37" s="12" t="n"/>
    </row>
    <row r="38" ht="22" customHeight="1">
      <c r="B38" s="16">
        <f>IF(C38="","PAIE-"&amp;TEXT(COUNTA($C$5:C38),"000"))</f>
        <v/>
      </c>
      <c r="C38" s="14" t="n"/>
      <c r="D38" s="14" t="n"/>
      <c r="E38" s="14" t="n"/>
      <c r="F38" s="19" t="n"/>
      <c r="G38" s="19" t="n"/>
      <c r="H38" s="26">
        <f>IF(F38="","",IFERROR(G38/F38,0))</f>
        <v/>
      </c>
      <c r="I38" s="19">
        <f>IF(F38="","",F38-G38)</f>
        <v/>
      </c>
      <c r="J38" s="14" t="n"/>
      <c r="K38" s="28" t="n"/>
      <c r="L38" s="14" t="n"/>
    </row>
    <row r="39" ht="22" customHeight="1">
      <c r="B39" s="17">
        <f>IF(C39="","PAIE-"&amp;TEXT(COUNTA($C$5:C39),"000"))</f>
        <v/>
      </c>
      <c r="C39" s="12" t="n"/>
      <c r="D39" s="12" t="n"/>
      <c r="E39" s="12" t="n"/>
      <c r="F39" s="18" t="n"/>
      <c r="G39" s="18" t="n"/>
      <c r="H39" s="25">
        <f>IF(F39="","",IFERROR(G39/F39,0))</f>
        <v/>
      </c>
      <c r="I39" s="18">
        <f>IF(F39="","",F39-G39)</f>
        <v/>
      </c>
      <c r="J39" s="12" t="n"/>
      <c r="K39" s="27" t="n"/>
      <c r="L39" s="12" t="n"/>
    </row>
    <row r="40" ht="22" customHeight="1">
      <c r="B40" s="16">
        <f>IF(C40="","PAIE-"&amp;TEXT(COUNTA($C$5:C40),"000"))</f>
        <v/>
      </c>
      <c r="C40" s="14" t="n"/>
      <c r="D40" s="14" t="n"/>
      <c r="E40" s="14" t="n"/>
      <c r="F40" s="19" t="n"/>
      <c r="G40" s="19" t="n"/>
      <c r="H40" s="26">
        <f>IF(F40="","",IFERROR(G40/F40,0))</f>
        <v/>
      </c>
      <c r="I40" s="19">
        <f>IF(F40="","",F40-G40)</f>
        <v/>
      </c>
      <c r="J40" s="14" t="n"/>
      <c r="K40" s="28" t="n"/>
      <c r="L40" s="14" t="n"/>
    </row>
    <row r="41" ht="22" customHeight="1">
      <c r="B41" s="17">
        <f>IF(C41="","PAIE-"&amp;TEXT(COUNTA($C$5:C41),"000"))</f>
        <v/>
      </c>
      <c r="C41" s="12" t="n"/>
      <c r="D41" s="12" t="n"/>
      <c r="E41" s="12" t="n"/>
      <c r="F41" s="18" t="n"/>
      <c r="G41" s="18" t="n"/>
      <c r="H41" s="25">
        <f>IF(F41="","",IFERROR(G41/F41,0))</f>
        <v/>
      </c>
      <c r="I41" s="18">
        <f>IF(F41="","",F41-G41)</f>
        <v/>
      </c>
      <c r="J41" s="12" t="n"/>
      <c r="K41" s="27" t="n"/>
      <c r="L41" s="12" t="n"/>
    </row>
    <row r="42" ht="22" customHeight="1">
      <c r="B42" s="16">
        <f>IF(C42="","PAIE-"&amp;TEXT(COUNTA($C$5:C42),"000"))</f>
        <v/>
      </c>
      <c r="C42" s="14" t="n"/>
      <c r="D42" s="14" t="n"/>
      <c r="E42" s="14" t="n"/>
      <c r="F42" s="19" t="n"/>
      <c r="G42" s="19" t="n"/>
      <c r="H42" s="26">
        <f>IF(F42="","",IFERROR(G42/F42,0))</f>
        <v/>
      </c>
      <c r="I42" s="19">
        <f>IF(F42="","",F42-G42)</f>
        <v/>
      </c>
      <c r="J42" s="14" t="n"/>
      <c r="K42" s="28" t="n"/>
      <c r="L42" s="14" t="n"/>
    </row>
    <row r="43" ht="22" customHeight="1">
      <c r="B43" s="17">
        <f>IF(C43="","PAIE-"&amp;TEXT(COUNTA($C$5:C43),"000"))</f>
        <v/>
      </c>
      <c r="C43" s="12" t="n"/>
      <c r="D43" s="12" t="n"/>
      <c r="E43" s="12" t="n"/>
      <c r="F43" s="18" t="n"/>
      <c r="G43" s="18" t="n"/>
      <c r="H43" s="25">
        <f>IF(F43="","",IFERROR(G43/F43,0))</f>
        <v/>
      </c>
      <c r="I43" s="18">
        <f>IF(F43="","",F43-G43)</f>
        <v/>
      </c>
      <c r="J43" s="12" t="n"/>
      <c r="K43" s="27" t="n"/>
      <c r="L43" s="12" t="n"/>
    </row>
    <row r="44" ht="22" customHeight="1">
      <c r="B44" s="16">
        <f>IF(C44="","PAIE-"&amp;TEXT(COUNTA($C$5:C44),"000"))</f>
        <v/>
      </c>
      <c r="C44" s="14" t="n"/>
      <c r="D44" s="14" t="n"/>
      <c r="E44" s="14" t="n"/>
      <c r="F44" s="19" t="n"/>
      <c r="G44" s="19" t="n"/>
      <c r="H44" s="26">
        <f>IF(F44="","",IFERROR(G44/F44,0))</f>
        <v/>
      </c>
      <c r="I44" s="19">
        <f>IF(F44="","",F44-G44)</f>
        <v/>
      </c>
      <c r="J44" s="14" t="n"/>
      <c r="K44" s="28" t="n"/>
      <c r="L44" s="14" t="n"/>
    </row>
    <row r="45" ht="22" customHeight="1">
      <c r="B45" s="17">
        <f>IF(C45="","PAIE-"&amp;TEXT(COUNTA($C$5:C45),"000"))</f>
        <v/>
      </c>
      <c r="C45" s="12" t="n"/>
      <c r="D45" s="12" t="n"/>
      <c r="E45" s="12" t="n"/>
      <c r="F45" s="18" t="n"/>
      <c r="G45" s="18" t="n"/>
      <c r="H45" s="25">
        <f>IF(F45="","",IFERROR(G45/F45,0))</f>
        <v/>
      </c>
      <c r="I45" s="18">
        <f>IF(F45="","",F45-G45)</f>
        <v/>
      </c>
      <c r="J45" s="12" t="n"/>
      <c r="K45" s="27" t="n"/>
      <c r="L45" s="12" t="n"/>
    </row>
    <row r="46" ht="22" customHeight="1">
      <c r="B46" s="16">
        <f>IF(C46="","PAIE-"&amp;TEXT(COUNTA($C$5:C46),"000"))</f>
        <v/>
      </c>
      <c r="C46" s="14" t="n"/>
      <c r="D46" s="14" t="n"/>
      <c r="E46" s="14" t="n"/>
      <c r="F46" s="19" t="n"/>
      <c r="G46" s="19" t="n"/>
      <c r="H46" s="26">
        <f>IF(F46="","",IFERROR(G46/F46,0))</f>
        <v/>
      </c>
      <c r="I46" s="19">
        <f>IF(F46="","",F46-G46)</f>
        <v/>
      </c>
      <c r="J46" s="14" t="n"/>
      <c r="K46" s="28" t="n"/>
      <c r="L46" s="14" t="n"/>
    </row>
    <row r="47" ht="22" customHeight="1">
      <c r="B47" s="17">
        <f>IF(C47="","PAIE-"&amp;TEXT(COUNTA($C$5:C47),"000"))</f>
        <v/>
      </c>
      <c r="C47" s="12" t="n"/>
      <c r="D47" s="12" t="n"/>
      <c r="E47" s="12" t="n"/>
      <c r="F47" s="18" t="n"/>
      <c r="G47" s="18" t="n"/>
      <c r="H47" s="25">
        <f>IF(F47="","",IFERROR(G47/F47,0))</f>
        <v/>
      </c>
      <c r="I47" s="18">
        <f>IF(F47="","",F47-G47)</f>
        <v/>
      </c>
      <c r="J47" s="12" t="n"/>
      <c r="K47" s="27" t="n"/>
      <c r="L47" s="12" t="n"/>
    </row>
    <row r="48" ht="22" customHeight="1">
      <c r="B48" s="16">
        <f>IF(C48="","PAIE-"&amp;TEXT(COUNTA($C$5:C48),"000"))</f>
        <v/>
      </c>
      <c r="C48" s="14" t="n"/>
      <c r="D48" s="14" t="n"/>
      <c r="E48" s="14" t="n"/>
      <c r="F48" s="19" t="n"/>
      <c r="G48" s="19" t="n"/>
      <c r="H48" s="26">
        <f>IF(F48="","",IFERROR(G48/F48,0))</f>
        <v/>
      </c>
      <c r="I48" s="19">
        <f>IF(F48="","",F48-G48)</f>
        <v/>
      </c>
      <c r="J48" s="14" t="n"/>
      <c r="K48" s="28" t="n"/>
      <c r="L48" s="14" t="n"/>
    </row>
    <row r="49" ht="22" customHeight="1">
      <c r="B49" s="17">
        <f>IF(C49="","PAIE-"&amp;TEXT(COUNTA($C$5:C49),"000"))</f>
        <v/>
      </c>
      <c r="C49" s="12" t="n"/>
      <c r="D49" s="12" t="n"/>
      <c r="E49" s="12" t="n"/>
      <c r="F49" s="18" t="n"/>
      <c r="G49" s="18" t="n"/>
      <c r="H49" s="25">
        <f>IF(F49="","",IFERROR(G49/F49,0))</f>
        <v/>
      </c>
      <c r="I49" s="18">
        <f>IF(F49="","",F49-G49)</f>
        <v/>
      </c>
      <c r="J49" s="12" t="n"/>
      <c r="K49" s="27" t="n"/>
      <c r="L49" s="12" t="n"/>
    </row>
    <row r="50" ht="22" customHeight="1">
      <c r="B50" s="16">
        <f>IF(C50="","PAIE-"&amp;TEXT(COUNTA($C$5:C50),"000"))</f>
        <v/>
      </c>
      <c r="C50" s="14" t="n"/>
      <c r="D50" s="14" t="n"/>
      <c r="E50" s="14" t="n"/>
      <c r="F50" s="19" t="n"/>
      <c r="G50" s="19" t="n"/>
      <c r="H50" s="26">
        <f>IF(F50="","",IFERROR(G50/F50,0))</f>
        <v/>
      </c>
      <c r="I50" s="19">
        <f>IF(F50="","",F50-G50)</f>
        <v/>
      </c>
      <c r="J50" s="14" t="n"/>
      <c r="K50" s="28" t="n"/>
      <c r="L50" s="14" t="n"/>
    </row>
    <row r="51" ht="22" customHeight="1">
      <c r="B51" s="17">
        <f>IF(C51="","PAIE-"&amp;TEXT(COUNTA($C$5:C51),"000"))</f>
        <v/>
      </c>
      <c r="C51" s="12" t="n"/>
      <c r="D51" s="12" t="n"/>
      <c r="E51" s="12" t="n"/>
      <c r="F51" s="18" t="n"/>
      <c r="G51" s="18" t="n"/>
      <c r="H51" s="25">
        <f>IF(F51="","",IFERROR(G51/F51,0))</f>
        <v/>
      </c>
      <c r="I51" s="18">
        <f>IF(F51="","",F51-G51)</f>
        <v/>
      </c>
      <c r="J51" s="12" t="n"/>
      <c r="K51" s="27" t="n"/>
      <c r="L51" s="12" t="n"/>
    </row>
    <row r="52" ht="22" customHeight="1">
      <c r="B52" s="16">
        <f>IF(C52="","PAIE-"&amp;TEXT(COUNTA($C$5:C52),"000"))</f>
        <v/>
      </c>
      <c r="C52" s="14" t="n"/>
      <c r="D52" s="14" t="n"/>
      <c r="E52" s="14" t="n"/>
      <c r="F52" s="19" t="n"/>
      <c r="G52" s="19" t="n"/>
      <c r="H52" s="26">
        <f>IF(F52="","",IFERROR(G52/F52,0))</f>
        <v/>
      </c>
      <c r="I52" s="19">
        <f>IF(F52="","",F52-G52)</f>
        <v/>
      </c>
      <c r="J52" s="14" t="n"/>
      <c r="K52" s="28" t="n"/>
      <c r="L52" s="14" t="n"/>
    </row>
    <row r="53" ht="22" customHeight="1">
      <c r="B53" s="17">
        <f>IF(C53="","PAIE-"&amp;TEXT(COUNTA($C$5:C53),"000"))</f>
        <v/>
      </c>
      <c r="C53" s="12" t="n"/>
      <c r="D53" s="12" t="n"/>
      <c r="E53" s="12" t="n"/>
      <c r="F53" s="18" t="n"/>
      <c r="G53" s="18" t="n"/>
      <c r="H53" s="25">
        <f>IF(F53="","",IFERROR(G53/F53,0))</f>
        <v/>
      </c>
      <c r="I53" s="18">
        <f>IF(F53="","",F53-G53)</f>
        <v/>
      </c>
      <c r="J53" s="12" t="n"/>
      <c r="K53" s="27" t="n"/>
      <c r="L53" s="12" t="n"/>
    </row>
    <row r="54" ht="22" customHeight="1">
      <c r="B54" s="16">
        <f>IF(C54="","PAIE-"&amp;TEXT(COUNTA($C$5:C54),"000"))</f>
        <v/>
      </c>
      <c r="C54" s="14" t="n"/>
      <c r="D54" s="14" t="n"/>
      <c r="E54" s="14" t="n"/>
      <c r="F54" s="19" t="n"/>
      <c r="G54" s="19" t="n"/>
      <c r="H54" s="26">
        <f>IF(F54="","",IFERROR(G54/F54,0))</f>
        <v/>
      </c>
      <c r="I54" s="19">
        <f>IF(F54="","",F54-G54)</f>
        <v/>
      </c>
      <c r="J54" s="14" t="n"/>
      <c r="K54" s="28" t="n"/>
      <c r="L54" s="14" t="n"/>
    </row>
    <row r="55" ht="22" customHeight="1">
      <c r="B55" s="17">
        <f>IF(C55="","PAIE-"&amp;TEXT(COUNTA($C$5:C55),"000"))</f>
        <v/>
      </c>
      <c r="C55" s="12" t="n"/>
      <c r="D55" s="12" t="n"/>
      <c r="E55" s="12" t="n"/>
      <c r="F55" s="18" t="n"/>
      <c r="G55" s="18" t="n"/>
      <c r="H55" s="25">
        <f>IF(F55="","",IFERROR(G55/F55,0))</f>
        <v/>
      </c>
      <c r="I55" s="18">
        <f>IF(F55="","",F55-G55)</f>
        <v/>
      </c>
      <c r="J55" s="12" t="n"/>
      <c r="K55" s="27" t="n"/>
      <c r="L55" s="12" t="n"/>
    </row>
    <row r="56" ht="22" customHeight="1">
      <c r="B56" s="16">
        <f>IF(C56="","PAIE-"&amp;TEXT(COUNTA($C$5:C56),"000"))</f>
        <v/>
      </c>
      <c r="C56" s="14" t="n"/>
      <c r="D56" s="14" t="n"/>
      <c r="E56" s="14" t="n"/>
      <c r="F56" s="19" t="n"/>
      <c r="G56" s="19" t="n"/>
      <c r="H56" s="26">
        <f>IF(F56="","",IFERROR(G56/F56,0))</f>
        <v/>
      </c>
      <c r="I56" s="19">
        <f>IF(F56="","",F56-G56)</f>
        <v/>
      </c>
      <c r="J56" s="14" t="n"/>
      <c r="K56" s="28" t="n"/>
      <c r="L56" s="14" t="n"/>
    </row>
    <row r="57" ht="22" customHeight="1">
      <c r="B57" s="17">
        <f>IF(C57="","PAIE-"&amp;TEXT(COUNTA($C$5:C57),"000"))</f>
        <v/>
      </c>
      <c r="C57" s="12" t="n"/>
      <c r="D57" s="12" t="n"/>
      <c r="E57" s="12" t="n"/>
      <c r="F57" s="18" t="n"/>
      <c r="G57" s="18" t="n"/>
      <c r="H57" s="25">
        <f>IF(F57="","",IFERROR(G57/F57,0))</f>
        <v/>
      </c>
      <c r="I57" s="18">
        <f>IF(F57="","",F57-G57)</f>
        <v/>
      </c>
      <c r="J57" s="12" t="n"/>
      <c r="K57" s="27" t="n"/>
      <c r="L57" s="12" t="n"/>
    </row>
    <row r="58" ht="22" customHeight="1">
      <c r="B58" s="16">
        <f>IF(C58="","PAIE-"&amp;TEXT(COUNTA($C$5:C58),"000"))</f>
        <v/>
      </c>
      <c r="C58" s="14" t="n"/>
      <c r="D58" s="14" t="n"/>
      <c r="E58" s="14" t="n"/>
      <c r="F58" s="19" t="n"/>
      <c r="G58" s="19" t="n"/>
      <c r="H58" s="26">
        <f>IF(F58="","",IFERROR(G58/F58,0))</f>
        <v/>
      </c>
      <c r="I58" s="19">
        <f>IF(F58="","",F58-G58)</f>
        <v/>
      </c>
      <c r="J58" s="14" t="n"/>
      <c r="K58" s="28" t="n"/>
      <c r="L58" s="14" t="n"/>
    </row>
    <row r="59" ht="22" customHeight="1">
      <c r="B59" s="17">
        <f>IF(C59="","PAIE-"&amp;TEXT(COUNTA($C$5:C59),"000"))</f>
        <v/>
      </c>
      <c r="C59" s="12" t="n"/>
      <c r="D59" s="12" t="n"/>
      <c r="E59" s="12" t="n"/>
      <c r="F59" s="18" t="n"/>
      <c r="G59" s="18" t="n"/>
      <c r="H59" s="25">
        <f>IF(F59="","",IFERROR(G59/F59,0))</f>
        <v/>
      </c>
      <c r="I59" s="18">
        <f>IF(F59="","",F59-G59)</f>
        <v/>
      </c>
      <c r="J59" s="12" t="n"/>
      <c r="K59" s="27" t="n"/>
      <c r="L59" s="12" t="n"/>
    </row>
    <row r="60" ht="22" customHeight="1">
      <c r="B60" s="16">
        <f>IF(C60="","PAIE-"&amp;TEXT(COUNTA($C$5:C60),"000"))</f>
        <v/>
      </c>
      <c r="C60" s="14" t="n"/>
      <c r="D60" s="14" t="n"/>
      <c r="E60" s="14" t="n"/>
      <c r="F60" s="19" t="n"/>
      <c r="G60" s="19" t="n"/>
      <c r="H60" s="26">
        <f>IF(F60="","",IFERROR(G60/F60,0))</f>
        <v/>
      </c>
      <c r="I60" s="19">
        <f>IF(F60="","",F60-G60)</f>
        <v/>
      </c>
      <c r="J60" s="14" t="n"/>
      <c r="K60" s="28" t="n"/>
      <c r="L60" s="14" t="n"/>
    </row>
    <row r="61" ht="22" customHeight="1">
      <c r="B61" s="17">
        <f>IF(C61="","PAIE-"&amp;TEXT(COUNTA($C$5:C61),"000"))</f>
        <v/>
      </c>
      <c r="C61" s="12" t="n"/>
      <c r="D61" s="12" t="n"/>
      <c r="E61" s="12" t="n"/>
      <c r="F61" s="18" t="n"/>
      <c r="G61" s="18" t="n"/>
      <c r="H61" s="25">
        <f>IF(F61="","",IFERROR(G61/F61,0))</f>
        <v/>
      </c>
      <c r="I61" s="18">
        <f>IF(F61="","",F61-G61)</f>
        <v/>
      </c>
      <c r="J61" s="12" t="n"/>
      <c r="K61" s="27" t="n"/>
      <c r="L61" s="12" t="n"/>
    </row>
    <row r="62" ht="22" customHeight="1">
      <c r="B62" s="16">
        <f>IF(C62="","PAIE-"&amp;TEXT(COUNTA($C$5:C62),"000"))</f>
        <v/>
      </c>
      <c r="C62" s="14" t="n"/>
      <c r="D62" s="14" t="n"/>
      <c r="E62" s="14" t="n"/>
      <c r="F62" s="19" t="n"/>
      <c r="G62" s="19" t="n"/>
      <c r="H62" s="26">
        <f>IF(F62="","",IFERROR(G62/F62,0))</f>
        <v/>
      </c>
      <c r="I62" s="19">
        <f>IF(F62="","",F62-G62)</f>
        <v/>
      </c>
      <c r="J62" s="14" t="n"/>
      <c r="K62" s="28" t="n"/>
      <c r="L62" s="14" t="n"/>
    </row>
    <row r="63" ht="22" customHeight="1">
      <c r="B63" s="17">
        <f>IF(C63="","PAIE-"&amp;TEXT(COUNTA($C$5:C63),"000"))</f>
        <v/>
      </c>
      <c r="C63" s="12" t="n"/>
      <c r="D63" s="12" t="n"/>
      <c r="E63" s="12" t="n"/>
      <c r="F63" s="18" t="n"/>
      <c r="G63" s="18" t="n"/>
      <c r="H63" s="25">
        <f>IF(F63="","",IFERROR(G63/F63,0))</f>
        <v/>
      </c>
      <c r="I63" s="18">
        <f>IF(F63="","",F63-G63)</f>
        <v/>
      </c>
      <c r="J63" s="12" t="n"/>
      <c r="K63" s="27" t="n"/>
      <c r="L63" s="12" t="n"/>
    </row>
    <row r="64" ht="22" customHeight="1">
      <c r="B64" s="16">
        <f>IF(C64="","PAIE-"&amp;TEXT(COUNTA($C$5:C64),"000"))</f>
        <v/>
      </c>
      <c r="C64" s="14" t="n"/>
      <c r="D64" s="14" t="n"/>
      <c r="E64" s="14" t="n"/>
      <c r="F64" s="19" t="n"/>
      <c r="G64" s="19" t="n"/>
      <c r="H64" s="26">
        <f>IF(F64="","",IFERROR(G64/F64,0))</f>
        <v/>
      </c>
      <c r="I64" s="19">
        <f>IF(F64="","",F64-G64)</f>
        <v/>
      </c>
      <c r="J64" s="14" t="n"/>
      <c r="K64" s="28" t="n"/>
      <c r="L64" s="14" t="n"/>
    </row>
    <row r="65" ht="22" customHeight="1">
      <c r="B65" s="17">
        <f>IF(C65="","PAIE-"&amp;TEXT(COUNTA($C$5:C65),"000"))</f>
        <v/>
      </c>
      <c r="C65" s="12" t="n"/>
      <c r="D65" s="12" t="n"/>
      <c r="E65" s="12" t="n"/>
      <c r="F65" s="18" t="n"/>
      <c r="G65" s="18" t="n"/>
      <c r="H65" s="25">
        <f>IF(F65="","",IFERROR(G65/F65,0))</f>
        <v/>
      </c>
      <c r="I65" s="18">
        <f>IF(F65="","",F65-G65)</f>
        <v/>
      </c>
      <c r="J65" s="12" t="n"/>
      <c r="K65" s="27" t="n"/>
      <c r="L65" s="12" t="n"/>
    </row>
    <row r="66" ht="22" customHeight="1">
      <c r="B66" s="16">
        <f>IF(C66="","PAIE-"&amp;TEXT(COUNTA($C$5:C66),"000"))</f>
        <v/>
      </c>
      <c r="C66" s="14" t="n"/>
      <c r="D66" s="14" t="n"/>
      <c r="E66" s="14" t="n"/>
      <c r="F66" s="19" t="n"/>
      <c r="G66" s="19" t="n"/>
      <c r="H66" s="26">
        <f>IF(F66="","",IFERROR(G66/F66,0))</f>
        <v/>
      </c>
      <c r="I66" s="19">
        <f>IF(F66="","",F66-G66)</f>
        <v/>
      </c>
      <c r="J66" s="14" t="n"/>
      <c r="K66" s="28" t="n"/>
      <c r="L66" s="14" t="n"/>
    </row>
    <row r="67" ht="22" customHeight="1">
      <c r="B67" s="17">
        <f>IF(C67="","PAIE-"&amp;TEXT(COUNTA($C$5:C67),"000"))</f>
        <v/>
      </c>
      <c r="C67" s="12" t="n"/>
      <c r="D67" s="12" t="n"/>
      <c r="E67" s="12" t="n"/>
      <c r="F67" s="18" t="n"/>
      <c r="G67" s="18" t="n"/>
      <c r="H67" s="25">
        <f>IF(F67="","",IFERROR(G67/F67,0))</f>
        <v/>
      </c>
      <c r="I67" s="18">
        <f>IF(F67="","",F67-G67)</f>
        <v/>
      </c>
      <c r="J67" s="12" t="n"/>
      <c r="K67" s="27" t="n"/>
      <c r="L67" s="12" t="n"/>
    </row>
    <row r="68" ht="22" customHeight="1">
      <c r="B68" s="16">
        <f>IF(C68="","PAIE-"&amp;TEXT(COUNTA($C$5:C68),"000"))</f>
        <v/>
      </c>
      <c r="C68" s="14" t="n"/>
      <c r="D68" s="14" t="n"/>
      <c r="E68" s="14" t="n"/>
      <c r="F68" s="19" t="n"/>
      <c r="G68" s="19" t="n"/>
      <c r="H68" s="26">
        <f>IF(F68="","",IFERROR(G68/F68,0))</f>
        <v/>
      </c>
      <c r="I68" s="19">
        <f>IF(F68="","",F68-G68)</f>
        <v/>
      </c>
      <c r="J68" s="14" t="n"/>
      <c r="K68" s="28" t="n"/>
      <c r="L68" s="14" t="n"/>
    </row>
    <row r="69" ht="22" customHeight="1">
      <c r="B69" s="17">
        <f>IF(C69="","PAIE-"&amp;TEXT(COUNTA($C$5:C69),"000"))</f>
        <v/>
      </c>
      <c r="C69" s="12" t="n"/>
      <c r="D69" s="12" t="n"/>
      <c r="E69" s="12" t="n"/>
      <c r="F69" s="18" t="n"/>
      <c r="G69" s="18" t="n"/>
      <c r="H69" s="25">
        <f>IF(F69="","",IFERROR(G69/F69,0))</f>
        <v/>
      </c>
      <c r="I69" s="18">
        <f>IF(F69="","",F69-G69)</f>
        <v/>
      </c>
      <c r="J69" s="12" t="n"/>
      <c r="K69" s="27" t="n"/>
      <c r="L69" s="12" t="n"/>
    </row>
    <row r="70" ht="22" customHeight="1">
      <c r="B70" s="16">
        <f>IF(C70="","PAIE-"&amp;TEXT(COUNTA($C$5:C70),"000"))</f>
        <v/>
      </c>
      <c r="C70" s="14" t="n"/>
      <c r="D70" s="14" t="n"/>
      <c r="E70" s="14" t="n"/>
      <c r="F70" s="19" t="n"/>
      <c r="G70" s="19" t="n"/>
      <c r="H70" s="26">
        <f>IF(F70="","",IFERROR(G70/F70,0))</f>
        <v/>
      </c>
      <c r="I70" s="19">
        <f>IF(F70="","",F70-G70)</f>
        <v/>
      </c>
      <c r="J70" s="14" t="n"/>
      <c r="K70" s="28" t="n"/>
      <c r="L70" s="14" t="n"/>
    </row>
    <row r="71" ht="22" customHeight="1">
      <c r="B71" s="17">
        <f>IF(C71="","PAIE-"&amp;TEXT(COUNTA($C$5:C71),"000"))</f>
        <v/>
      </c>
      <c r="C71" s="12" t="n"/>
      <c r="D71" s="12" t="n"/>
      <c r="E71" s="12" t="n"/>
      <c r="F71" s="18" t="n"/>
      <c r="G71" s="18" t="n"/>
      <c r="H71" s="25">
        <f>IF(F71="","",IFERROR(G71/F71,0))</f>
        <v/>
      </c>
      <c r="I71" s="18">
        <f>IF(F71="","",F71-G71)</f>
        <v/>
      </c>
      <c r="J71" s="12" t="n"/>
      <c r="K71" s="27" t="n"/>
      <c r="L71" s="12" t="n"/>
    </row>
    <row r="72" ht="22" customHeight="1">
      <c r="B72" s="16">
        <f>IF(C72="","PAIE-"&amp;TEXT(COUNTA($C$5:C72),"000"))</f>
        <v/>
      </c>
      <c r="C72" s="14" t="n"/>
      <c r="D72" s="14" t="n"/>
      <c r="E72" s="14" t="n"/>
      <c r="F72" s="19" t="n"/>
      <c r="G72" s="19" t="n"/>
      <c r="H72" s="26">
        <f>IF(F72="","",IFERROR(G72/F72,0))</f>
        <v/>
      </c>
      <c r="I72" s="19">
        <f>IF(F72="","",F72-G72)</f>
        <v/>
      </c>
      <c r="J72" s="14" t="n"/>
      <c r="K72" s="28" t="n"/>
      <c r="L72" s="14" t="n"/>
    </row>
    <row r="73" ht="22" customHeight="1">
      <c r="B73" s="17">
        <f>IF(C73="","PAIE-"&amp;TEXT(COUNTA($C$5:C73),"000"))</f>
        <v/>
      </c>
      <c r="C73" s="12" t="n"/>
      <c r="D73" s="12" t="n"/>
      <c r="E73" s="12" t="n"/>
      <c r="F73" s="18" t="n"/>
      <c r="G73" s="18" t="n"/>
      <c r="H73" s="25">
        <f>IF(F73="","",IFERROR(G73/F73,0))</f>
        <v/>
      </c>
      <c r="I73" s="18">
        <f>IF(F73="","",F73-G73)</f>
        <v/>
      </c>
      <c r="J73" s="12" t="n"/>
      <c r="K73" s="27" t="n"/>
      <c r="L73" s="12" t="n"/>
    </row>
    <row r="74" ht="22" customHeight="1">
      <c r="B74" s="16">
        <f>IF(C74="","PAIE-"&amp;TEXT(COUNTA($C$5:C74),"000"))</f>
        <v/>
      </c>
      <c r="C74" s="14" t="n"/>
      <c r="D74" s="14" t="n"/>
      <c r="E74" s="14" t="n"/>
      <c r="F74" s="19" t="n"/>
      <c r="G74" s="19" t="n"/>
      <c r="H74" s="26">
        <f>IF(F74="","",IFERROR(G74/F74,0))</f>
        <v/>
      </c>
      <c r="I74" s="19">
        <f>IF(F74="","",F74-G74)</f>
        <v/>
      </c>
      <c r="J74" s="14" t="n"/>
      <c r="K74" s="28" t="n"/>
      <c r="L74" s="14" t="n"/>
    </row>
    <row r="75" ht="22" customHeight="1">
      <c r="B75" s="17">
        <f>IF(C75="","PAIE-"&amp;TEXT(COUNTA($C$5:C75),"000"))</f>
        <v/>
      </c>
      <c r="C75" s="12" t="n"/>
      <c r="D75" s="12" t="n"/>
      <c r="E75" s="12" t="n"/>
      <c r="F75" s="18" t="n"/>
      <c r="G75" s="18" t="n"/>
      <c r="H75" s="25">
        <f>IF(F75="","",IFERROR(G75/F75,0))</f>
        <v/>
      </c>
      <c r="I75" s="18">
        <f>IF(F75="","",F75-G75)</f>
        <v/>
      </c>
      <c r="J75" s="12" t="n"/>
      <c r="K75" s="27" t="n"/>
      <c r="L75" s="12" t="n"/>
    </row>
    <row r="76" ht="22" customHeight="1">
      <c r="B76" s="16">
        <f>IF(C76="","PAIE-"&amp;TEXT(COUNTA($C$5:C76),"000"))</f>
        <v/>
      </c>
      <c r="C76" s="14" t="n"/>
      <c r="D76" s="14" t="n"/>
      <c r="E76" s="14" t="n"/>
      <c r="F76" s="19" t="n"/>
      <c r="G76" s="19" t="n"/>
      <c r="H76" s="26">
        <f>IF(F76="","",IFERROR(G76/F76,0))</f>
        <v/>
      </c>
      <c r="I76" s="19">
        <f>IF(F76="","",F76-G76)</f>
        <v/>
      </c>
      <c r="J76" s="14" t="n"/>
      <c r="K76" s="28" t="n"/>
      <c r="L76" s="14" t="n"/>
    </row>
    <row r="77" ht="22" customHeight="1">
      <c r="B77" s="17">
        <f>IF(C77="","PAIE-"&amp;TEXT(COUNTA($C$5:C77),"000"))</f>
        <v/>
      </c>
      <c r="C77" s="12" t="n"/>
      <c r="D77" s="12" t="n"/>
      <c r="E77" s="12" t="n"/>
      <c r="F77" s="18" t="n"/>
      <c r="G77" s="18" t="n"/>
      <c r="H77" s="25">
        <f>IF(F77="","",IFERROR(G77/F77,0))</f>
        <v/>
      </c>
      <c r="I77" s="18">
        <f>IF(F77="","",F77-G77)</f>
        <v/>
      </c>
      <c r="J77" s="12" t="n"/>
      <c r="K77" s="27" t="n"/>
      <c r="L77" s="12" t="n"/>
    </row>
    <row r="78" ht="22" customHeight="1">
      <c r="B78" s="16">
        <f>IF(C78="","PAIE-"&amp;TEXT(COUNTA($C$5:C78),"000"))</f>
        <v/>
      </c>
      <c r="C78" s="14" t="n"/>
      <c r="D78" s="14" t="n"/>
      <c r="E78" s="14" t="n"/>
      <c r="F78" s="19" t="n"/>
      <c r="G78" s="19" t="n"/>
      <c r="H78" s="26">
        <f>IF(F78="","",IFERROR(G78/F78,0))</f>
        <v/>
      </c>
      <c r="I78" s="19">
        <f>IF(F78="","",F78-G78)</f>
        <v/>
      </c>
      <c r="J78" s="14" t="n"/>
      <c r="K78" s="28" t="n"/>
      <c r="L78" s="14" t="n"/>
    </row>
    <row r="79" ht="22" customHeight="1">
      <c r="B79" s="17">
        <f>IF(C79="","PAIE-"&amp;TEXT(COUNTA($C$5:C79),"000"))</f>
        <v/>
      </c>
      <c r="C79" s="12" t="n"/>
      <c r="D79" s="12" t="n"/>
      <c r="E79" s="12" t="n"/>
      <c r="F79" s="18" t="n"/>
      <c r="G79" s="18" t="n"/>
      <c r="H79" s="25">
        <f>IF(F79="","",IFERROR(G79/F79,0))</f>
        <v/>
      </c>
      <c r="I79" s="18">
        <f>IF(F79="","",F79-G79)</f>
        <v/>
      </c>
      <c r="J79" s="12" t="n"/>
      <c r="K79" s="27" t="n"/>
      <c r="L79" s="12" t="n"/>
    </row>
    <row r="80" ht="22" customHeight="1">
      <c r="B80" s="16">
        <f>IF(C80="","PAIE-"&amp;TEXT(COUNTA($C$5:C80),"000"))</f>
        <v/>
      </c>
      <c r="C80" s="14" t="n"/>
      <c r="D80" s="14" t="n"/>
      <c r="E80" s="14" t="n"/>
      <c r="F80" s="19" t="n"/>
      <c r="G80" s="19" t="n"/>
      <c r="H80" s="26">
        <f>IF(F80="","",IFERROR(G80/F80,0))</f>
        <v/>
      </c>
      <c r="I80" s="19">
        <f>IF(F80="","",F80-G80)</f>
        <v/>
      </c>
      <c r="J80" s="14" t="n"/>
      <c r="K80" s="28" t="n"/>
      <c r="L80" s="14" t="n"/>
    </row>
    <row r="81" ht="22" customHeight="1">
      <c r="B81" s="17">
        <f>IF(C81="","PAIE-"&amp;TEXT(COUNTA($C$5:C81),"000"))</f>
        <v/>
      </c>
      <c r="C81" s="12" t="n"/>
      <c r="D81" s="12" t="n"/>
      <c r="E81" s="12" t="n"/>
      <c r="F81" s="18" t="n"/>
      <c r="G81" s="18" t="n"/>
      <c r="H81" s="25">
        <f>IF(F81="","",IFERROR(G81/F81,0))</f>
        <v/>
      </c>
      <c r="I81" s="18">
        <f>IF(F81="","",F81-G81)</f>
        <v/>
      </c>
      <c r="J81" s="12" t="n"/>
      <c r="K81" s="27" t="n"/>
      <c r="L81" s="12" t="n"/>
    </row>
    <row r="82" ht="22" customHeight="1">
      <c r="B82" s="16">
        <f>IF(C82="","PAIE-"&amp;TEXT(COUNTA($C$5:C82),"000"))</f>
        <v/>
      </c>
      <c r="C82" s="14" t="n"/>
      <c r="D82" s="14" t="n"/>
      <c r="E82" s="14" t="n"/>
      <c r="F82" s="19" t="n"/>
      <c r="G82" s="19" t="n"/>
      <c r="H82" s="26">
        <f>IF(F82="","",IFERROR(G82/F82,0))</f>
        <v/>
      </c>
      <c r="I82" s="19">
        <f>IF(F82="","",F82-G82)</f>
        <v/>
      </c>
      <c r="J82" s="14" t="n"/>
      <c r="K82" s="28" t="n"/>
      <c r="L82" s="14" t="n"/>
    </row>
    <row r="83" ht="22" customHeight="1">
      <c r="B83" s="17">
        <f>IF(C83="","PAIE-"&amp;TEXT(COUNTA($C$5:C83),"000"))</f>
        <v/>
      </c>
      <c r="C83" s="12" t="n"/>
      <c r="D83" s="12" t="n"/>
      <c r="E83" s="12" t="n"/>
      <c r="F83" s="18" t="n"/>
      <c r="G83" s="18" t="n"/>
      <c r="H83" s="25">
        <f>IF(F83="","",IFERROR(G83/F83,0))</f>
        <v/>
      </c>
      <c r="I83" s="18">
        <f>IF(F83="","",F83-G83)</f>
        <v/>
      </c>
      <c r="J83" s="12" t="n"/>
      <c r="K83" s="27" t="n"/>
      <c r="L83" s="12" t="n"/>
    </row>
    <row r="84" ht="22" customHeight="1">
      <c r="B84" s="16">
        <f>IF(C84="","PAIE-"&amp;TEXT(COUNTA($C$5:C84),"000"))</f>
        <v/>
      </c>
      <c r="C84" s="14" t="n"/>
      <c r="D84" s="14" t="n"/>
      <c r="E84" s="14" t="n"/>
      <c r="F84" s="19" t="n"/>
      <c r="G84" s="19" t="n"/>
      <c r="H84" s="26">
        <f>IF(F84="","",IFERROR(G84/F84,0))</f>
        <v/>
      </c>
      <c r="I84" s="19">
        <f>IF(F84="","",F84-G84)</f>
        <v/>
      </c>
      <c r="J84" s="14" t="n"/>
      <c r="K84" s="28" t="n"/>
      <c r="L84" s="14" t="n"/>
    </row>
    <row r="85" ht="22" customHeight="1">
      <c r="B85" s="17">
        <f>IF(C85="","PAIE-"&amp;TEXT(COUNTA($C$5:C85),"000"))</f>
        <v/>
      </c>
      <c r="C85" s="12" t="n"/>
      <c r="D85" s="12" t="n"/>
      <c r="E85" s="12" t="n"/>
      <c r="F85" s="18" t="n"/>
      <c r="G85" s="18" t="n"/>
      <c r="H85" s="25">
        <f>IF(F85="","",IFERROR(G85/F85,0))</f>
        <v/>
      </c>
      <c r="I85" s="18">
        <f>IF(F85="","",F85-G85)</f>
        <v/>
      </c>
      <c r="J85" s="12" t="n"/>
      <c r="K85" s="27" t="n"/>
      <c r="L85" s="12" t="n"/>
    </row>
    <row r="86" ht="22" customHeight="1">
      <c r="B86" s="16">
        <f>IF(C86="","PAIE-"&amp;TEXT(COUNTA($C$5:C86),"000"))</f>
        <v/>
      </c>
      <c r="C86" s="14" t="n"/>
      <c r="D86" s="14" t="n"/>
      <c r="E86" s="14" t="n"/>
      <c r="F86" s="19" t="n"/>
      <c r="G86" s="19" t="n"/>
      <c r="H86" s="26">
        <f>IF(F86="","",IFERROR(G86/F86,0))</f>
        <v/>
      </c>
      <c r="I86" s="19">
        <f>IF(F86="","",F86-G86)</f>
        <v/>
      </c>
      <c r="J86" s="14" t="n"/>
      <c r="K86" s="28" t="n"/>
      <c r="L86" s="14" t="n"/>
    </row>
    <row r="87" ht="22" customHeight="1">
      <c r="B87" s="17">
        <f>IF(C87="","PAIE-"&amp;TEXT(COUNTA($C$5:C87),"000"))</f>
        <v/>
      </c>
      <c r="C87" s="12" t="n"/>
      <c r="D87" s="12" t="n"/>
      <c r="E87" s="12" t="n"/>
      <c r="F87" s="18" t="n"/>
      <c r="G87" s="18" t="n"/>
      <c r="H87" s="25">
        <f>IF(F87="","",IFERROR(G87/F87,0))</f>
        <v/>
      </c>
      <c r="I87" s="18">
        <f>IF(F87="","",F87-G87)</f>
        <v/>
      </c>
      <c r="J87" s="12" t="n"/>
      <c r="K87" s="27" t="n"/>
      <c r="L87" s="12" t="n"/>
    </row>
    <row r="88" ht="22" customHeight="1">
      <c r="B88" s="16">
        <f>IF(C88="","PAIE-"&amp;TEXT(COUNTA($C$5:C88),"000"))</f>
        <v/>
      </c>
      <c r="C88" s="14" t="n"/>
      <c r="D88" s="14" t="n"/>
      <c r="E88" s="14" t="n"/>
      <c r="F88" s="19" t="n"/>
      <c r="G88" s="19" t="n"/>
      <c r="H88" s="26">
        <f>IF(F88="","",IFERROR(G88/F88,0))</f>
        <v/>
      </c>
      <c r="I88" s="19">
        <f>IF(F88="","",F88-G88)</f>
        <v/>
      </c>
      <c r="J88" s="14" t="n"/>
      <c r="K88" s="28" t="n"/>
      <c r="L88" s="14" t="n"/>
    </row>
    <row r="89" ht="22" customHeight="1">
      <c r="B89" s="17">
        <f>IF(C89="","PAIE-"&amp;TEXT(COUNTA($C$5:C89),"000"))</f>
        <v/>
      </c>
      <c r="C89" s="12" t="n"/>
      <c r="D89" s="12" t="n"/>
      <c r="E89" s="12" t="n"/>
      <c r="F89" s="18" t="n"/>
      <c r="G89" s="18" t="n"/>
      <c r="H89" s="25">
        <f>IF(F89="","",IFERROR(G89/F89,0))</f>
        <v/>
      </c>
      <c r="I89" s="18">
        <f>IF(F89="","",F89-G89)</f>
        <v/>
      </c>
      <c r="J89" s="12" t="n"/>
      <c r="K89" s="27" t="n"/>
      <c r="L89" s="12" t="n"/>
    </row>
    <row r="90" ht="22" customHeight="1">
      <c r="B90" s="16">
        <f>IF(C90="","PAIE-"&amp;TEXT(COUNTA($C$5:C90),"000"))</f>
        <v/>
      </c>
      <c r="C90" s="14" t="n"/>
      <c r="D90" s="14" t="n"/>
      <c r="E90" s="14" t="n"/>
      <c r="F90" s="19" t="n"/>
      <c r="G90" s="19" t="n"/>
      <c r="H90" s="26">
        <f>IF(F90="","",IFERROR(G90/F90,0))</f>
        <v/>
      </c>
      <c r="I90" s="19">
        <f>IF(F90="","",F90-G90)</f>
        <v/>
      </c>
      <c r="J90" s="14" t="n"/>
      <c r="K90" s="28" t="n"/>
      <c r="L90" s="14" t="n"/>
    </row>
    <row r="91" ht="22" customHeight="1">
      <c r="B91" s="17">
        <f>IF(C91="","PAIE-"&amp;TEXT(COUNTA($C$5:C91),"000"))</f>
        <v/>
      </c>
      <c r="C91" s="12" t="n"/>
      <c r="D91" s="12" t="n"/>
      <c r="E91" s="12" t="n"/>
      <c r="F91" s="18" t="n"/>
      <c r="G91" s="18" t="n"/>
      <c r="H91" s="25">
        <f>IF(F91="","",IFERROR(G91/F91,0))</f>
        <v/>
      </c>
      <c r="I91" s="18">
        <f>IF(F91="","",F91-G91)</f>
        <v/>
      </c>
      <c r="J91" s="12" t="n"/>
      <c r="K91" s="27" t="n"/>
      <c r="L91" s="12" t="n"/>
    </row>
    <row r="92" ht="22" customHeight="1">
      <c r="B92" s="16">
        <f>IF(C92="","PAIE-"&amp;TEXT(COUNTA($C$5:C92),"000"))</f>
        <v/>
      </c>
      <c r="C92" s="14" t="n"/>
      <c r="D92" s="14" t="n"/>
      <c r="E92" s="14" t="n"/>
      <c r="F92" s="19" t="n"/>
      <c r="G92" s="19" t="n"/>
      <c r="H92" s="26">
        <f>IF(F92="","",IFERROR(G92/F92,0))</f>
        <v/>
      </c>
      <c r="I92" s="19">
        <f>IF(F92="","",F92-G92)</f>
        <v/>
      </c>
      <c r="J92" s="14" t="n"/>
      <c r="K92" s="28" t="n"/>
      <c r="L92" s="14" t="n"/>
    </row>
    <row r="93" ht="22" customHeight="1">
      <c r="B93" s="17">
        <f>IF(C93="","PAIE-"&amp;TEXT(COUNTA($C$5:C93),"000"))</f>
        <v/>
      </c>
      <c r="C93" s="12" t="n"/>
      <c r="D93" s="12" t="n"/>
      <c r="E93" s="12" t="n"/>
      <c r="F93" s="18" t="n"/>
      <c r="G93" s="18" t="n"/>
      <c r="H93" s="25">
        <f>IF(F93="","",IFERROR(G93/F93,0))</f>
        <v/>
      </c>
      <c r="I93" s="18">
        <f>IF(F93="","",F93-G93)</f>
        <v/>
      </c>
      <c r="J93" s="12" t="n"/>
      <c r="K93" s="27" t="n"/>
      <c r="L93" s="12" t="n"/>
    </row>
    <row r="94" ht="22" customHeight="1">
      <c r="B94" s="16">
        <f>IF(C94="","PAIE-"&amp;TEXT(COUNTA($C$5:C94),"000"))</f>
        <v/>
      </c>
      <c r="C94" s="14" t="n"/>
      <c r="D94" s="14" t="n"/>
      <c r="E94" s="14" t="n"/>
      <c r="F94" s="19" t="n"/>
      <c r="G94" s="19" t="n"/>
      <c r="H94" s="26">
        <f>IF(F94="","",IFERROR(G94/F94,0))</f>
        <v/>
      </c>
      <c r="I94" s="19">
        <f>IF(F94="","",F94-G94)</f>
        <v/>
      </c>
      <c r="J94" s="14" t="n"/>
      <c r="K94" s="28" t="n"/>
      <c r="L94" s="14" t="n"/>
    </row>
    <row r="95" ht="22" customHeight="1">
      <c r="B95" s="17">
        <f>IF(C95="","PAIE-"&amp;TEXT(COUNTA($C$5:C95),"000"))</f>
        <v/>
      </c>
      <c r="C95" s="12" t="n"/>
      <c r="D95" s="12" t="n"/>
      <c r="E95" s="12" t="n"/>
      <c r="F95" s="18" t="n"/>
      <c r="G95" s="18" t="n"/>
      <c r="H95" s="25">
        <f>IF(F95="","",IFERROR(G95/F95,0))</f>
        <v/>
      </c>
      <c r="I95" s="18">
        <f>IF(F95="","",F95-G95)</f>
        <v/>
      </c>
      <c r="J95" s="12" t="n"/>
      <c r="K95" s="27" t="n"/>
      <c r="L95" s="12" t="n"/>
    </row>
    <row r="96" ht="22" customHeight="1">
      <c r="B96" s="16">
        <f>IF(C96="","PAIE-"&amp;TEXT(COUNTA($C$5:C96),"000"))</f>
        <v/>
      </c>
      <c r="C96" s="14" t="n"/>
      <c r="D96" s="14" t="n"/>
      <c r="E96" s="14" t="n"/>
      <c r="F96" s="19" t="n"/>
      <c r="G96" s="19" t="n"/>
      <c r="H96" s="26">
        <f>IF(F96="","",IFERROR(G96/F96,0))</f>
        <v/>
      </c>
      <c r="I96" s="19">
        <f>IF(F96="","",F96-G96)</f>
        <v/>
      </c>
      <c r="J96" s="14" t="n"/>
      <c r="K96" s="28" t="n"/>
      <c r="L96" s="14" t="n"/>
    </row>
    <row r="97" ht="22" customHeight="1">
      <c r="B97" s="17">
        <f>IF(C97="","PAIE-"&amp;TEXT(COUNTA($C$5:C97),"000"))</f>
        <v/>
      </c>
      <c r="C97" s="12" t="n"/>
      <c r="D97" s="12" t="n"/>
      <c r="E97" s="12" t="n"/>
      <c r="F97" s="18" t="n"/>
      <c r="G97" s="18" t="n"/>
      <c r="H97" s="25">
        <f>IF(F97="","",IFERROR(G97/F97,0))</f>
        <v/>
      </c>
      <c r="I97" s="18">
        <f>IF(F97="","",F97-G97)</f>
        <v/>
      </c>
      <c r="J97" s="12" t="n"/>
      <c r="K97" s="27" t="n"/>
      <c r="L97" s="12" t="n"/>
    </row>
    <row r="98" ht="22" customHeight="1">
      <c r="B98" s="16">
        <f>IF(C98="","PAIE-"&amp;TEXT(COUNTA($C$5:C98),"000"))</f>
        <v/>
      </c>
      <c r="C98" s="14" t="n"/>
      <c r="D98" s="14" t="n"/>
      <c r="E98" s="14" t="n"/>
      <c r="F98" s="19" t="n"/>
      <c r="G98" s="19" t="n"/>
      <c r="H98" s="26">
        <f>IF(F98="","",IFERROR(G98/F98,0))</f>
        <v/>
      </c>
      <c r="I98" s="19">
        <f>IF(F98="","",F98-G98)</f>
        <v/>
      </c>
      <c r="J98" s="14" t="n"/>
      <c r="K98" s="28" t="n"/>
      <c r="L98" s="14" t="n"/>
    </row>
    <row r="99" ht="22" customHeight="1">
      <c r="B99" s="17">
        <f>IF(C99="","PAIE-"&amp;TEXT(COUNTA($C$5:C99),"000"))</f>
        <v/>
      </c>
      <c r="C99" s="12" t="n"/>
      <c r="D99" s="12" t="n"/>
      <c r="E99" s="12" t="n"/>
      <c r="F99" s="18" t="n"/>
      <c r="G99" s="18" t="n"/>
      <c r="H99" s="25">
        <f>IF(F99="","",IFERROR(G99/F99,0))</f>
        <v/>
      </c>
      <c r="I99" s="18">
        <f>IF(F99="","",F99-G99)</f>
        <v/>
      </c>
      <c r="J99" s="12" t="n"/>
      <c r="K99" s="27" t="n"/>
      <c r="L99" s="12" t="n"/>
    </row>
    <row r="100" ht="22" customHeight="1">
      <c r="B100" s="16">
        <f>IF(C100="","PAIE-"&amp;TEXT(COUNTA($C$5:C100),"000"))</f>
        <v/>
      </c>
      <c r="C100" s="14" t="n"/>
      <c r="D100" s="14" t="n"/>
      <c r="E100" s="14" t="n"/>
      <c r="F100" s="19" t="n"/>
      <c r="G100" s="19" t="n"/>
      <c r="H100" s="26">
        <f>IF(F100="","",IFERROR(G100/F100,0))</f>
        <v/>
      </c>
      <c r="I100" s="19">
        <f>IF(F100="","",F100-G100)</f>
        <v/>
      </c>
      <c r="J100" s="14" t="n"/>
      <c r="K100" s="28" t="n"/>
      <c r="L100" s="14" t="n"/>
    </row>
    <row r="101" ht="22" customHeight="1">
      <c r="B101" s="17">
        <f>IF(C101="","PAIE-"&amp;TEXT(COUNTA($C$5:C101),"000"))</f>
        <v/>
      </c>
      <c r="C101" s="12" t="n"/>
      <c r="D101" s="12" t="n"/>
      <c r="E101" s="12" t="n"/>
      <c r="F101" s="18" t="n"/>
      <c r="G101" s="18" t="n"/>
      <c r="H101" s="25">
        <f>IF(F101="","",IFERROR(G101/F101,0))</f>
        <v/>
      </c>
      <c r="I101" s="18">
        <f>IF(F101="","",F101-G101)</f>
        <v/>
      </c>
      <c r="J101" s="12" t="n"/>
      <c r="K101" s="27" t="n"/>
      <c r="L101" s="12" t="n"/>
    </row>
    <row r="102" ht="22" customHeight="1">
      <c r="B102" s="16">
        <f>IF(C102="","PAIE-"&amp;TEXT(COUNTA($C$5:C102),"000"))</f>
        <v/>
      </c>
      <c r="C102" s="14" t="n"/>
      <c r="D102" s="14" t="n"/>
      <c r="E102" s="14" t="n"/>
      <c r="F102" s="19" t="n"/>
      <c r="G102" s="19" t="n"/>
      <c r="H102" s="26">
        <f>IF(F102="","",IFERROR(G102/F102,0))</f>
        <v/>
      </c>
      <c r="I102" s="19">
        <f>IF(F102="","",F102-G102)</f>
        <v/>
      </c>
      <c r="J102" s="14" t="n"/>
      <c r="K102" s="28" t="n"/>
      <c r="L102" s="14" t="n"/>
    </row>
    <row r="103" ht="22" customHeight="1">
      <c r="B103" s="17">
        <f>IF(C103="","PAIE-"&amp;TEXT(COUNTA($C$5:C103),"000"))</f>
        <v/>
      </c>
      <c r="C103" s="12" t="n"/>
      <c r="D103" s="12" t="n"/>
      <c r="E103" s="12" t="n"/>
      <c r="F103" s="18" t="n"/>
      <c r="G103" s="18" t="n"/>
      <c r="H103" s="25">
        <f>IF(F103="","",IFERROR(G103/F103,0))</f>
        <v/>
      </c>
      <c r="I103" s="18">
        <f>IF(F103="","",F103-G103)</f>
        <v/>
      </c>
      <c r="J103" s="12" t="n"/>
      <c r="K103" s="27" t="n"/>
      <c r="L103" s="12" t="n"/>
    </row>
    <row r="104" ht="22" customHeight="1">
      <c r="B104" s="16">
        <f>IF(C104="","PAIE-"&amp;TEXT(COUNTA($C$5:C104),"000"))</f>
        <v/>
      </c>
      <c r="C104" s="14" t="n"/>
      <c r="D104" s="14" t="n"/>
      <c r="E104" s="14" t="n"/>
      <c r="F104" s="19" t="n"/>
      <c r="G104" s="19" t="n"/>
      <c r="H104" s="26">
        <f>IF(F104="","",IFERROR(G104/F104,0))</f>
        <v/>
      </c>
      <c r="I104" s="19">
        <f>IF(F104="","",F104-G104)</f>
        <v/>
      </c>
      <c r="J104" s="14" t="n"/>
      <c r="K104" s="28" t="n"/>
      <c r="L104" s="14" t="n"/>
    </row>
    <row r="105" ht="22" customHeight="1">
      <c r="B105" s="17">
        <f>IF(C105="","PAIE-"&amp;TEXT(COUNTA($C$5:C105),"000"))</f>
        <v/>
      </c>
      <c r="C105" s="12" t="n"/>
      <c r="D105" s="12" t="n"/>
      <c r="E105" s="12" t="n"/>
      <c r="F105" s="18" t="n"/>
      <c r="G105" s="18" t="n"/>
      <c r="I105" s="18">
        <f>IF(F105="","",F105-G105)</f>
        <v/>
      </c>
      <c r="J105" s="12" t="n"/>
      <c r="K105" s="27" t="n"/>
      <c r="L105" s="12" t="n"/>
    </row>
    <row r="106" ht="22" customHeight="1">
      <c r="B106" s="16">
        <f>IF(C106="","PAIE-"&amp;TEXT(COUNTA($C$5:C106),"000"))</f>
        <v/>
      </c>
      <c r="C106" s="14" t="n"/>
      <c r="D106" s="14" t="n"/>
      <c r="E106" s="14" t="n"/>
      <c r="F106" s="19" t="n"/>
      <c r="G106" s="19" t="n"/>
      <c r="I106" s="19">
        <f>IF(F106="","",F106-G106)</f>
        <v/>
      </c>
      <c r="J106" s="14" t="n"/>
      <c r="K106" s="28" t="n"/>
      <c r="L106" s="14" t="n"/>
    </row>
    <row r="107" ht="22" customHeight="1">
      <c r="B107" s="17">
        <f>IF(C107="","PAIE-"&amp;TEXT(COUNTA($C$5:C107),"000"))</f>
        <v/>
      </c>
      <c r="C107" s="12" t="n"/>
      <c r="D107" s="12" t="n"/>
      <c r="E107" s="12" t="n"/>
      <c r="F107" s="18" t="n"/>
      <c r="G107" s="18" t="n"/>
      <c r="I107" s="18">
        <f>IF(F107="","",F107-G107)</f>
        <v/>
      </c>
      <c r="J107" s="12" t="n"/>
      <c r="K107" s="27" t="n"/>
      <c r="L107" s="12" t="n"/>
    </row>
    <row r="108" ht="22" customHeight="1">
      <c r="B108" s="16">
        <f>IF(C108="","PAIE-"&amp;TEXT(COUNTA($C$5:C108),"000"))</f>
        <v/>
      </c>
      <c r="C108" s="14" t="n"/>
      <c r="D108" s="14" t="n"/>
      <c r="E108" s="14" t="n"/>
      <c r="F108" s="19" t="n"/>
      <c r="G108" s="19" t="n"/>
      <c r="I108" s="19">
        <f>IF(F108="","",F108-G108)</f>
        <v/>
      </c>
      <c r="J108" s="14" t="n"/>
      <c r="K108" s="28" t="n"/>
      <c r="L108" s="14" t="n"/>
    </row>
    <row r="109" ht="22" customHeight="1">
      <c r="B109" s="17">
        <f>IF(C109="","PAIE-"&amp;TEXT(COUNTA($C$5:C109),"000"))</f>
        <v/>
      </c>
      <c r="C109" s="12" t="n"/>
      <c r="D109" s="12" t="n"/>
      <c r="E109" s="12" t="n"/>
      <c r="F109" s="18" t="n"/>
      <c r="G109" s="18" t="n"/>
      <c r="I109" s="18">
        <f>IF(F109="","",F109-G109)</f>
        <v/>
      </c>
      <c r="J109" s="12" t="n"/>
      <c r="K109" s="27" t="n"/>
      <c r="L109" s="12" t="n"/>
    </row>
    <row r="110" ht="22" customHeight="1">
      <c r="B110" s="16">
        <f>IF(C110="","PAIE-"&amp;TEXT(COUNTA($C$5:C110),"000"))</f>
        <v/>
      </c>
      <c r="C110" s="14" t="n"/>
      <c r="D110" s="14" t="n"/>
      <c r="E110" s="14" t="n"/>
      <c r="F110" s="19" t="n"/>
      <c r="G110" s="19" t="n"/>
      <c r="I110" s="19">
        <f>IF(F110="","",F110-G110)</f>
        <v/>
      </c>
      <c r="J110" s="14" t="n"/>
      <c r="K110" s="28" t="n"/>
      <c r="L110" s="14" t="n"/>
    </row>
    <row r="111" ht="22" customHeight="1">
      <c r="B111" s="17">
        <f>IF(C111="","PAIE-"&amp;TEXT(COUNTA($C$5:C111),"000"))</f>
        <v/>
      </c>
      <c r="C111" s="12" t="n"/>
      <c r="D111" s="12" t="n"/>
      <c r="E111" s="12" t="n"/>
      <c r="F111" s="18" t="n"/>
      <c r="G111" s="18" t="n"/>
      <c r="I111" s="18">
        <f>IF(F111="","",F111-G111)</f>
        <v/>
      </c>
      <c r="J111" s="12" t="n"/>
      <c r="K111" s="27" t="n"/>
      <c r="L111" s="12" t="n"/>
    </row>
    <row r="112"/>
    <row r="113" ht="26" customHeight="1">
      <c r="B113" s="20" t="inlineStr">
        <is>
          <t>TOTAL</t>
        </is>
      </c>
      <c r="C113" s="21" t="n"/>
      <c r="D113" s="21" t="n"/>
      <c r="E113" s="21" t="n"/>
      <c r="F113" s="22">
        <f>SUM(F5:F104)</f>
        <v/>
      </c>
      <c r="G113" s="22">
        <f>SUM(G5:G104)</f>
        <v/>
      </c>
      <c r="I113" s="22">
        <f>SUM(H5:H104)</f>
        <v/>
      </c>
      <c r="J113" s="21" t="n"/>
      <c r="K113" s="21" t="n"/>
      <c r="L113" s="21" t="n"/>
    </row>
    <row r="114"/>
    <row r="115">
      <c r="B115" s="6" t="inlineStr">
        <is>
          <t>INDICATEURS (mis a jour automatiquement)</t>
        </is>
      </c>
    </row>
    <row r="116">
      <c r="B116" s="3" t="inlineStr">
        <is>
          <t>Total fiches</t>
        </is>
      </c>
      <c r="D116" s="3" t="inlineStr">
        <is>
          <t>Masse salariale brute</t>
        </is>
      </c>
      <c r="F116" s="3" t="inlineStr">
        <is>
          <t>Total cotisations</t>
        </is>
      </c>
      <c r="I116" s="3" t="inlineStr">
        <is>
          <t>Total net payé</t>
        </is>
      </c>
    </row>
    <row r="117">
      <c r="B117" s="4">
        <f>COUNTIF(B5:B104,"&lt;&gt;")</f>
        <v/>
      </c>
      <c r="D117" s="4">
        <f>SUM(F5:F104)</f>
        <v/>
      </c>
      <c r="F117" s="4">
        <f>SUM(G5:G104)</f>
        <v/>
      </c>
      <c r="I117" s="4">
        <f>SUM(H5:H104)</f>
        <v/>
      </c>
    </row>
  </sheetData>
  <mergeCells count="3">
    <mergeCell ref="B115:K115"/>
    <mergeCell ref="B3:K3"/>
    <mergeCell ref="B2:K2"/>
  </mergeCells>
  <conditionalFormatting sqref="K5:K111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"Soumise"</formula>
    </cfRule>
    <cfRule type="cellIs" priority="9" operator="equal" dxfId="0">
      <formula>"Traite"</formula>
    </cfRule>
    <cfRule type="cellIs" priority="10" operator="equal" dxfId="0">
      <formula>"Clos"</formula>
    </cfRule>
    <cfRule type="cellIs" priority="11" operator="equal" dxfId="0">
      <formula>"Solde"</formula>
    </cfRule>
    <cfRule type="cellIs" priority="12" operator="equal" dxfId="0">
      <formula>"Pris"</formula>
    </cfRule>
    <cfRule type="cellIs" priority="13" operator="equal" dxfId="1">
      <formula>"En attente"</formula>
    </cfRule>
    <cfRule type="cellIs" priority="14" operator="equal" dxfId="1">
      <formula>"A renouveler"</formula>
    </cfRule>
    <cfRule type="cellIs" priority="15" operator="equal" dxfId="1">
      <formula>"En renouvellement"</formula>
    </cfRule>
    <cfRule type="cellIs" priority="16" operator="equal" dxfId="1">
      <formula>"En cours"</formula>
    </cfRule>
    <cfRule type="cellIs" priority="17" operator="equal" dxfId="1">
      <formula>"En traitement"</formula>
    </cfRule>
    <cfRule type="cellIs" priority="18" operator="equal" dxfId="1">
      <formula>"En retard"</formula>
    </cfRule>
    <cfRule type="cellIs" priority="19" operator="equal" dxfId="1">
      <formula>"Suspendu"</formula>
    </cfRule>
    <cfRule type="cellIs" priority="20" operator="equal" dxfId="1">
      <formula>"A verifier"</formula>
    </cfRule>
    <cfRule type="cellIs" priority="21" operator="equal" dxfId="2">
      <formula>"Expire"</formula>
    </cfRule>
    <cfRule type="cellIs" priority="22" operator="equal" dxfId="2">
      <formula>"Rejete"</formula>
    </cfRule>
    <cfRule type="cellIs" priority="23" operator="equal" dxfId="2">
      <formula>"Rejetee"</formula>
    </cfRule>
    <cfRule type="cellIs" priority="24" operator="equal" dxfId="2">
      <formula>"Resilie"</formula>
    </cfRule>
    <cfRule type="cellIs" priority="25" operator="equal" dxfId="2">
      <formula>"Echu"</formula>
    </cfRule>
    <cfRule type="cellIs" priority="26" operator="equal" dxfId="2">
      <formula>"Refuse"</formula>
    </cfRule>
    <cfRule type="cellIs" priority="27" operator="equal" dxfId="2">
      <formula>"Annulee"</formula>
    </cfRule>
    <cfRule type="cellIs" priority="28" operator="equal" dxfId="2">
      <formula>"Departi"</formula>
    </cfRule>
    <cfRule type="cellIs" priority="29" operator="equal" dxfId="2">
      <formula>"Cloture"</formula>
    </cfRule>
    <cfRule type="cellIs" priority="30" operator="equal" dxfId="2">
      <formula>"Non justifiee"</formula>
    </cfRule>
    <cfRule type="cellIs" priority="31" operator="equal" dxfId="2">
      <formula>"Manquant"</formula>
    </cfRule>
  </conditionalFormatting>
  <conditionalFormatting sqref="B12:B111">
    <cfRule type="expression" priority="32" dxfId="3">
      <formula>AND($C12="",$C11&lt;&gt;"")</formula>
    </cfRule>
  </conditionalFormatting>
  <conditionalFormatting sqref="C12:C111">
    <cfRule type="expression" priority="33" dxfId="3">
      <formula>AND($C12="",$C11&lt;&gt;"")</formula>
    </cfRule>
  </conditionalFormatting>
  <conditionalFormatting sqref="D12:D111">
    <cfRule type="expression" priority="34" dxfId="3">
      <formula>AND($C12="",$C11&lt;&gt;"")</formula>
    </cfRule>
  </conditionalFormatting>
  <conditionalFormatting sqref="E12:E111">
    <cfRule type="expression" priority="35" dxfId="3">
      <formula>AND($C12="",$C11&lt;&gt;"")</formula>
    </cfRule>
  </conditionalFormatting>
  <conditionalFormatting sqref="F12:F111">
    <cfRule type="expression" priority="36" dxfId="3">
      <formula>AND($C12="",$C11&lt;&gt;"")</formula>
    </cfRule>
  </conditionalFormatting>
  <conditionalFormatting sqref="G12:G111">
    <cfRule type="expression" priority="37" dxfId="3">
      <formula>AND($C12="",$C11&lt;&gt;"")</formula>
    </cfRule>
  </conditionalFormatting>
  <conditionalFormatting sqref="H12:H111">
    <cfRule type="expression" priority="38" dxfId="3">
      <formula>AND($C12="",$C11&lt;&gt;"")</formula>
    </cfRule>
  </conditionalFormatting>
  <conditionalFormatting sqref="I12:I111">
    <cfRule type="expression" priority="39" dxfId="3">
      <formula>AND($C12="",$C11&lt;&gt;"")</formula>
    </cfRule>
  </conditionalFormatting>
  <conditionalFormatting sqref="J12:J111">
    <cfRule type="expression" priority="40" dxfId="3">
      <formula>AND($C12="",$C11&lt;&gt;"")</formula>
    </cfRule>
  </conditionalFormatting>
  <conditionalFormatting sqref="K12:K111">
    <cfRule type="expression" priority="41" dxfId="3">
      <formula>AND($C12="",$C11&lt;&gt;"")</formula>
    </cfRule>
  </conditionalFormatting>
  <dataValidations count="2">
    <dataValidation sqref="I5:I111" showDropDown="0" showInputMessage="0" showErrorMessage="0" allowBlank="1" errorTitle="Erreur" error="Valeur invalide" promptTitle="Liste" prompt="Choisir dans la liste" type="list">
      <formula1>'_Lists'!$AB$2:$AB$4</formula1>
    </dataValidation>
    <dataValidation sqref="K5:K111" showDropDown="0" showInputMessage="0" showErrorMessage="0" allowBlank="1" errorTitle="Erreur" error="Valeur invalide" promptTitle="Liste" prompt="Choisir dans la liste" type="list">
      <formula1>'_Lists'!$AA$2:$AA$6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4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22" customWidth="1" min="3" max="3"/>
    <col width="18" customWidth="1" min="4" max="4"/>
    <col width="16" customWidth="1" min="5" max="5"/>
    <col width="20" customWidth="1" min="6" max="6"/>
    <col width="12" customWidth="1" min="7" max="7"/>
    <col width="22" customWidth="1" min="8" max="8"/>
    <col width="12" customWidth="1" min="9" max="9"/>
    <col width="10" customWidth="1" min="10" max="10"/>
    <col width="30" customWidth="1" min="11" max="11"/>
  </cols>
  <sheetData>
    <row r="1" ht="15" customHeight="1"/>
    <row r="2" ht="32" customHeight="1">
      <c r="B2" s="1" t="inlineStr">
        <is>
          <t>DECLARATIONS SOCIALES &amp; FISCALES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Organisme</t>
        </is>
      </c>
      <c r="D4" s="11" t="inlineStr">
        <is>
          <t>Type Déclaration</t>
        </is>
      </c>
      <c r="E4" s="11" t="inlineStr">
        <is>
          <t>Période</t>
        </is>
      </c>
      <c r="F4" s="11" t="inlineStr">
        <is>
          <t>Montant (FCFA)</t>
        </is>
      </c>
      <c r="G4" s="11" t="inlineStr">
        <is>
          <t>Date Soumission</t>
        </is>
      </c>
      <c r="H4" s="11" t="inlineStr">
        <is>
          <t>Date Échéance</t>
        </is>
      </c>
      <c r="I4" s="11" t="inlineStr">
        <is>
          <t>Statut</t>
        </is>
      </c>
      <c r="J4" s="11" t="inlineStr">
        <is>
          <t>Nombre Salariés</t>
        </is>
      </c>
      <c r="K4" s="11" t="inlineStr">
        <is>
          <t>Observations</t>
        </is>
      </c>
    </row>
    <row r="5" ht="22" customHeight="1">
      <c r="B5" s="12" t="inlineStr">
        <is>
          <t>DECL-001</t>
        </is>
      </c>
      <c r="C5" s="12" t="inlineStr">
        <is>
          <t>CNPS</t>
        </is>
      </c>
      <c r="D5" s="12" t="inlineStr">
        <is>
          <t>Mensuelle</t>
        </is>
      </c>
      <c r="E5" s="12" t="inlineStr">
        <is>
          <t>Janvier 2025</t>
        </is>
      </c>
      <c r="F5" s="18" t="n">
        <v>285000</v>
      </c>
      <c r="G5" s="27" t="n">
        <v>45672</v>
      </c>
      <c r="H5" s="27" t="n">
        <v>45703</v>
      </c>
      <c r="I5" s="12" t="inlineStr">
        <is>
          <t>Soumise</t>
        </is>
      </c>
      <c r="J5" s="23" t="n">
        <v>5</v>
      </c>
      <c r="K5" s="12" t="inlineStr">
        <is>
          <t>Cotisations employeurs + salaries</t>
        </is>
      </c>
    </row>
    <row r="6" ht="22" customHeight="1">
      <c r="B6" s="14" t="inlineStr">
        <is>
          <t>DECL-002</t>
        </is>
      </c>
      <c r="C6" s="14" t="inlineStr">
        <is>
          <t>Direction des impots</t>
        </is>
      </c>
      <c r="D6" s="14" t="inlineStr">
        <is>
          <t>Mensuelle</t>
        </is>
      </c>
      <c r="E6" s="14" t="inlineStr">
        <is>
          <t>Janvier 2025</t>
        </is>
      </c>
      <c r="F6" s="19" t="n">
        <v>120000</v>
      </c>
      <c r="G6" s="28" t="n">
        <v>45677</v>
      </c>
      <c r="H6" s="28" t="n">
        <v>45703</v>
      </c>
      <c r="I6" s="14" t="inlineStr">
        <is>
          <t>Soumise</t>
        </is>
      </c>
      <c r="J6" s="24" t="n">
        <v>5</v>
      </c>
      <c r="K6" s="14" t="inlineStr">
        <is>
          <t>IR sur salaires</t>
        </is>
      </c>
    </row>
    <row r="7" ht="22" customHeight="1">
      <c r="B7" s="12" t="inlineStr">
        <is>
          <t>DECL-003</t>
        </is>
      </c>
      <c r="C7" s="12" t="inlineStr">
        <is>
          <t>CNPS</t>
        </is>
      </c>
      <c r="D7" s="12" t="inlineStr">
        <is>
          <t>Mensuelle</t>
        </is>
      </c>
      <c r="E7" s="12" t="inlineStr">
        <is>
          <t>Fevrier 2025</t>
        </is>
      </c>
      <c r="F7" s="18" t="n">
        <v>285000</v>
      </c>
      <c r="G7" s="27" t="n">
        <v>45703</v>
      </c>
      <c r="H7" s="27" t="n">
        <v>45731</v>
      </c>
      <c r="I7" s="12" t="inlineStr">
        <is>
          <t>En retard</t>
        </is>
      </c>
      <c r="J7" s="23" t="n">
        <v>5</v>
      </c>
      <c r="K7" s="12" t="inlineStr">
        <is>
          <t>Retard de soumission</t>
        </is>
      </c>
    </row>
    <row r="8" ht="22" customHeight="1">
      <c r="B8" s="14" t="inlineStr">
        <is>
          <t>DECL-004</t>
        </is>
      </c>
      <c r="C8" s="14" t="inlineStr">
        <is>
          <t>Mutuelle entreprise</t>
        </is>
      </c>
      <c r="D8" s="14" t="inlineStr">
        <is>
          <t>Trimestrielle</t>
        </is>
      </c>
      <c r="E8" s="14" t="inlineStr">
        <is>
          <t>T1 2025</t>
        </is>
      </c>
      <c r="F8" s="19" t="n">
        <v>185000</v>
      </c>
      <c r="G8" s="28" t="n"/>
      <c r="H8" s="28" t="n">
        <v>45777</v>
      </c>
      <c r="I8" s="14" t="inlineStr">
        <is>
          <t>En attente</t>
        </is>
      </c>
      <c r="J8" s="24" t="n">
        <v>3</v>
      </c>
      <c r="K8" s="14" t="inlineStr">
        <is>
          <t>Previsionnelle</t>
        </is>
      </c>
    </row>
    <row r="9" ht="22" customHeight="1">
      <c r="B9" s="17">
        <f>IF(C9="","DECL-"&amp;TEXT(COUNTA($C$5:C9),"000"))</f>
        <v/>
      </c>
      <c r="C9" s="12" t="n"/>
      <c r="D9" s="12" t="n"/>
      <c r="E9" s="12" t="n"/>
      <c r="F9" s="18" t="n"/>
      <c r="G9" s="27" t="n"/>
      <c r="H9" s="27" t="n"/>
      <c r="I9" s="12" t="n"/>
      <c r="J9" s="23" t="n"/>
      <c r="K9" s="12" t="n"/>
    </row>
    <row r="10" ht="22" customHeight="1">
      <c r="B10" s="16">
        <f>IF(C10="","DECL-"&amp;TEXT(COUNTA($C$5:C10),"000"))</f>
        <v/>
      </c>
      <c r="C10" s="14" t="n"/>
      <c r="D10" s="14" t="n"/>
      <c r="E10" s="14" t="n"/>
      <c r="F10" s="19" t="n"/>
      <c r="G10" s="28" t="n"/>
      <c r="H10" s="28" t="n"/>
      <c r="I10" s="14" t="n"/>
      <c r="J10" s="24" t="n"/>
      <c r="K10" s="14" t="n"/>
    </row>
    <row r="11" ht="22" customHeight="1">
      <c r="B11" s="17">
        <f>IF(C11="","DECL-"&amp;TEXT(COUNTA($C$5:C11),"000"))</f>
        <v/>
      </c>
      <c r="C11" s="12" t="n"/>
      <c r="D11" s="12" t="n"/>
      <c r="E11" s="12" t="n"/>
      <c r="F11" s="18" t="n"/>
      <c r="G11" s="27" t="n"/>
      <c r="H11" s="27" t="n"/>
      <c r="I11" s="12" t="n"/>
      <c r="J11" s="23" t="n"/>
      <c r="K11" s="12" t="n"/>
    </row>
    <row r="12" ht="22" customHeight="1">
      <c r="B12" s="16">
        <f>IF(C12="","DECL-"&amp;TEXT(COUNTA($C$5:C12),"000"))</f>
        <v/>
      </c>
      <c r="C12" s="14" t="n"/>
      <c r="D12" s="14" t="n"/>
      <c r="E12" s="14" t="n"/>
      <c r="F12" s="19" t="n"/>
      <c r="G12" s="28" t="n"/>
      <c r="H12" s="28" t="n"/>
      <c r="I12" s="14" t="n"/>
      <c r="J12" s="24" t="n"/>
      <c r="K12" s="14" t="n"/>
    </row>
    <row r="13" ht="22" customHeight="1">
      <c r="B13" s="17">
        <f>IF(C13="","DECL-"&amp;TEXT(COUNTA($C$5:C13),"000"))</f>
        <v/>
      </c>
      <c r="C13" s="12" t="n"/>
      <c r="D13" s="12" t="n"/>
      <c r="E13" s="12" t="n"/>
      <c r="F13" s="18" t="n"/>
      <c r="G13" s="27" t="n"/>
      <c r="H13" s="27" t="n"/>
      <c r="I13" s="12" t="n"/>
      <c r="J13" s="23" t="n"/>
      <c r="K13" s="12" t="n"/>
    </row>
    <row r="14" ht="22" customHeight="1">
      <c r="B14" s="16">
        <f>IF(C14="","DECL-"&amp;TEXT(COUNTA($C$5:C14),"000"))</f>
        <v/>
      </c>
      <c r="C14" s="14" t="n"/>
      <c r="D14" s="14" t="n"/>
      <c r="E14" s="14" t="n"/>
      <c r="F14" s="19" t="n"/>
      <c r="G14" s="28" t="n"/>
      <c r="H14" s="28" t="n"/>
      <c r="I14" s="14" t="n"/>
      <c r="J14" s="24" t="n"/>
      <c r="K14" s="14" t="n"/>
    </row>
    <row r="15" ht="22" customHeight="1">
      <c r="B15" s="17">
        <f>IF(C15="","DECL-"&amp;TEXT(COUNTA($C$5:C15),"000"))</f>
        <v/>
      </c>
      <c r="C15" s="12" t="n"/>
      <c r="D15" s="12" t="n"/>
      <c r="E15" s="12" t="n"/>
      <c r="F15" s="18" t="n"/>
      <c r="G15" s="27" t="n"/>
      <c r="H15" s="27" t="n"/>
      <c r="I15" s="12" t="n"/>
      <c r="J15" s="23" t="n"/>
      <c r="K15" s="12" t="n"/>
    </row>
    <row r="16" ht="22" customHeight="1">
      <c r="B16" s="16">
        <f>IF(C16="","DECL-"&amp;TEXT(COUNTA($C$5:C16),"000"))</f>
        <v/>
      </c>
      <c r="C16" s="14" t="n"/>
      <c r="D16" s="14" t="n"/>
      <c r="E16" s="14" t="n"/>
      <c r="F16" s="19" t="n"/>
      <c r="G16" s="28" t="n"/>
      <c r="H16" s="28" t="n"/>
      <c r="I16" s="14" t="n"/>
      <c r="J16" s="24" t="n"/>
      <c r="K16" s="14" t="n"/>
    </row>
    <row r="17" ht="22" customHeight="1">
      <c r="B17" s="17">
        <f>IF(C17="","DECL-"&amp;TEXT(COUNTA($C$5:C17),"000"))</f>
        <v/>
      </c>
      <c r="C17" s="12" t="n"/>
      <c r="D17" s="12" t="n"/>
      <c r="E17" s="12" t="n"/>
      <c r="F17" s="18" t="n"/>
      <c r="G17" s="27" t="n"/>
      <c r="H17" s="27" t="n"/>
      <c r="I17" s="12" t="n"/>
      <c r="J17" s="23" t="n"/>
      <c r="K17" s="12" t="n"/>
    </row>
    <row r="18" ht="22" customHeight="1">
      <c r="B18" s="16">
        <f>IF(C18="","DECL-"&amp;TEXT(COUNTA($C$5:C18),"000"))</f>
        <v/>
      </c>
      <c r="C18" s="14" t="n"/>
      <c r="D18" s="14" t="n"/>
      <c r="E18" s="14" t="n"/>
      <c r="F18" s="19" t="n"/>
      <c r="G18" s="28" t="n"/>
      <c r="H18" s="28" t="n"/>
      <c r="I18" s="14" t="n"/>
      <c r="J18" s="24" t="n"/>
      <c r="K18" s="14" t="n"/>
    </row>
    <row r="19" ht="22" customHeight="1">
      <c r="B19" s="17">
        <f>IF(C19="","DECL-"&amp;TEXT(COUNTA($C$5:C19),"000"))</f>
        <v/>
      </c>
      <c r="C19" s="12" t="n"/>
      <c r="D19" s="12" t="n"/>
      <c r="E19" s="12" t="n"/>
      <c r="F19" s="18" t="n"/>
      <c r="G19" s="27" t="n"/>
      <c r="H19" s="27" t="n"/>
      <c r="I19" s="12" t="n"/>
      <c r="J19" s="23" t="n"/>
      <c r="K19" s="12" t="n"/>
    </row>
    <row r="20" ht="22" customHeight="1">
      <c r="B20" s="16">
        <f>IF(C20="","DECL-"&amp;TEXT(COUNTA($C$5:C20),"000"))</f>
        <v/>
      </c>
      <c r="C20" s="14" t="n"/>
      <c r="D20" s="14" t="n"/>
      <c r="E20" s="14" t="n"/>
      <c r="F20" s="19" t="n"/>
      <c r="G20" s="28" t="n"/>
      <c r="H20" s="28" t="n"/>
      <c r="I20" s="14" t="n"/>
      <c r="J20" s="24" t="n"/>
      <c r="K20" s="14" t="n"/>
    </row>
    <row r="21" ht="22" customHeight="1">
      <c r="B21" s="17">
        <f>IF(C21="","DECL-"&amp;TEXT(COUNTA($C$5:C21),"000"))</f>
        <v/>
      </c>
      <c r="C21" s="12" t="n"/>
      <c r="D21" s="12" t="n"/>
      <c r="E21" s="12" t="n"/>
      <c r="F21" s="18" t="n"/>
      <c r="G21" s="27" t="n"/>
      <c r="H21" s="27" t="n"/>
      <c r="I21" s="12" t="n"/>
      <c r="J21" s="23" t="n"/>
      <c r="K21" s="12" t="n"/>
    </row>
    <row r="22" ht="22" customHeight="1">
      <c r="B22" s="16">
        <f>IF(C22="","DECL-"&amp;TEXT(COUNTA($C$5:C22),"000"))</f>
        <v/>
      </c>
      <c r="C22" s="14" t="n"/>
      <c r="D22" s="14" t="n"/>
      <c r="E22" s="14" t="n"/>
      <c r="F22" s="19" t="n"/>
      <c r="G22" s="28" t="n"/>
      <c r="H22" s="28" t="n"/>
      <c r="I22" s="14" t="n"/>
      <c r="J22" s="24" t="n"/>
      <c r="K22" s="14" t="n"/>
    </row>
    <row r="23" ht="22" customHeight="1">
      <c r="B23" s="17">
        <f>IF(C23="","DECL-"&amp;TEXT(COUNTA($C$5:C23),"000"))</f>
        <v/>
      </c>
      <c r="C23" s="12" t="n"/>
      <c r="D23" s="12" t="n"/>
      <c r="E23" s="12" t="n"/>
      <c r="F23" s="18" t="n"/>
      <c r="G23" s="27" t="n"/>
      <c r="H23" s="27" t="n"/>
      <c r="I23" s="12" t="n"/>
      <c r="J23" s="23" t="n"/>
      <c r="K23" s="12" t="n"/>
    </row>
    <row r="24" ht="22" customHeight="1">
      <c r="B24" s="16">
        <f>IF(C24="","DECL-"&amp;TEXT(COUNTA($C$5:C24),"000"))</f>
        <v/>
      </c>
      <c r="C24" s="14" t="n"/>
      <c r="D24" s="14" t="n"/>
      <c r="E24" s="14" t="n"/>
      <c r="F24" s="19" t="n"/>
      <c r="G24" s="28" t="n"/>
      <c r="H24" s="28" t="n"/>
      <c r="I24" s="14" t="n"/>
      <c r="J24" s="24" t="n"/>
      <c r="K24" s="14" t="n"/>
    </row>
    <row r="25" ht="22" customHeight="1">
      <c r="B25" s="17">
        <f>IF(C25="","DECL-"&amp;TEXT(COUNTA($C$5:C25),"000"))</f>
        <v/>
      </c>
      <c r="C25" s="12" t="n"/>
      <c r="D25" s="12" t="n"/>
      <c r="E25" s="12" t="n"/>
      <c r="F25" s="18" t="n"/>
      <c r="G25" s="27" t="n"/>
      <c r="H25" s="27" t="n"/>
      <c r="I25" s="12" t="n"/>
      <c r="J25" s="23" t="n"/>
      <c r="K25" s="12" t="n"/>
    </row>
    <row r="26" ht="22" customHeight="1">
      <c r="B26" s="16">
        <f>IF(C26="","DECL-"&amp;TEXT(COUNTA($C$5:C26),"000"))</f>
        <v/>
      </c>
      <c r="C26" s="14" t="n"/>
      <c r="D26" s="14" t="n"/>
      <c r="E26" s="14" t="n"/>
      <c r="F26" s="19" t="n"/>
      <c r="G26" s="28" t="n"/>
      <c r="H26" s="28" t="n"/>
      <c r="I26" s="14" t="n"/>
      <c r="J26" s="24" t="n"/>
      <c r="K26" s="14" t="n"/>
    </row>
    <row r="27" ht="22" customHeight="1">
      <c r="B27" s="17">
        <f>IF(C27="","DECL-"&amp;TEXT(COUNTA($C$5:C27),"000"))</f>
        <v/>
      </c>
      <c r="C27" s="12" t="n"/>
      <c r="D27" s="12" t="n"/>
      <c r="E27" s="12" t="n"/>
      <c r="F27" s="18" t="n"/>
      <c r="G27" s="27" t="n"/>
      <c r="H27" s="27" t="n"/>
      <c r="I27" s="12" t="n"/>
      <c r="J27" s="23" t="n"/>
      <c r="K27" s="12" t="n"/>
    </row>
    <row r="28" ht="22" customHeight="1">
      <c r="B28" s="16">
        <f>IF(C28="","DECL-"&amp;TEXT(COUNTA($C$5:C28),"000"))</f>
        <v/>
      </c>
      <c r="C28" s="14" t="n"/>
      <c r="D28" s="14" t="n"/>
      <c r="E28" s="14" t="n"/>
      <c r="F28" s="19" t="n"/>
      <c r="G28" s="28" t="n"/>
      <c r="H28" s="28" t="n"/>
      <c r="I28" s="14" t="n"/>
      <c r="J28" s="24" t="n"/>
      <c r="K28" s="14" t="n"/>
    </row>
    <row r="29" ht="22" customHeight="1">
      <c r="B29" s="17">
        <f>IF(C29="","DECL-"&amp;TEXT(COUNTA($C$5:C29),"000"))</f>
        <v/>
      </c>
      <c r="C29" s="12" t="n"/>
      <c r="D29" s="12" t="n"/>
      <c r="E29" s="12" t="n"/>
      <c r="F29" s="18" t="n"/>
      <c r="G29" s="27" t="n"/>
      <c r="H29" s="27" t="n"/>
      <c r="I29" s="12" t="n"/>
      <c r="J29" s="23" t="n"/>
      <c r="K29" s="12" t="n"/>
    </row>
    <row r="30" ht="22" customHeight="1">
      <c r="B30" s="16">
        <f>IF(C30="","DECL-"&amp;TEXT(COUNTA($C$5:C30),"000"))</f>
        <v/>
      </c>
      <c r="C30" s="14" t="n"/>
      <c r="D30" s="14" t="n"/>
      <c r="E30" s="14" t="n"/>
      <c r="F30" s="19" t="n"/>
      <c r="G30" s="28" t="n"/>
      <c r="H30" s="28" t="n"/>
      <c r="I30" s="14" t="n"/>
      <c r="J30" s="24" t="n"/>
      <c r="K30" s="14" t="n"/>
    </row>
    <row r="31" ht="22" customHeight="1">
      <c r="B31" s="17">
        <f>IF(C31="","DECL-"&amp;TEXT(COUNTA($C$5:C31),"000"))</f>
        <v/>
      </c>
      <c r="C31" s="12" t="n"/>
      <c r="D31" s="12" t="n"/>
      <c r="E31" s="12" t="n"/>
      <c r="F31" s="18" t="n"/>
      <c r="G31" s="27" t="n"/>
      <c r="H31" s="27" t="n"/>
      <c r="I31" s="12" t="n"/>
      <c r="J31" s="23" t="n"/>
      <c r="K31" s="12" t="n"/>
    </row>
    <row r="32" ht="22" customHeight="1">
      <c r="B32" s="16">
        <f>IF(C32="","DECL-"&amp;TEXT(COUNTA($C$5:C32),"000"))</f>
        <v/>
      </c>
      <c r="C32" s="14" t="n"/>
      <c r="D32" s="14" t="n"/>
      <c r="E32" s="14" t="n"/>
      <c r="F32" s="19" t="n"/>
      <c r="G32" s="28" t="n"/>
      <c r="H32" s="28" t="n"/>
      <c r="I32" s="14" t="n"/>
      <c r="J32" s="24" t="n"/>
      <c r="K32" s="14" t="n"/>
    </row>
    <row r="33" ht="22" customHeight="1">
      <c r="B33" s="17">
        <f>IF(C33="","DECL-"&amp;TEXT(COUNTA($C$5:C33),"000"))</f>
        <v/>
      </c>
      <c r="C33" s="12" t="n"/>
      <c r="D33" s="12" t="n"/>
      <c r="E33" s="12" t="n"/>
      <c r="F33" s="18" t="n"/>
      <c r="G33" s="27" t="n"/>
      <c r="H33" s="27" t="n"/>
      <c r="I33" s="12" t="n"/>
      <c r="J33" s="23" t="n"/>
      <c r="K33" s="12" t="n"/>
    </row>
    <row r="34" ht="22" customHeight="1">
      <c r="B34" s="16">
        <f>IF(C34="","DECL-"&amp;TEXT(COUNTA($C$5:C34),"000"))</f>
        <v/>
      </c>
      <c r="C34" s="14" t="n"/>
      <c r="D34" s="14" t="n"/>
      <c r="E34" s="14" t="n"/>
      <c r="F34" s="19" t="n"/>
      <c r="G34" s="28" t="n"/>
      <c r="H34" s="28" t="n"/>
      <c r="I34" s="14" t="n"/>
      <c r="J34" s="24" t="n"/>
      <c r="K34" s="14" t="n"/>
    </row>
    <row r="35" ht="22" customHeight="1">
      <c r="B35" s="17">
        <f>IF(C35="","DECL-"&amp;TEXT(COUNTA($C$5:C35),"000"))</f>
        <v/>
      </c>
      <c r="C35" s="12" t="n"/>
      <c r="D35" s="12" t="n"/>
      <c r="E35" s="12" t="n"/>
      <c r="F35" s="18" t="n"/>
      <c r="G35" s="27" t="n"/>
      <c r="H35" s="27" t="n"/>
      <c r="I35" s="12" t="n"/>
      <c r="J35" s="23" t="n"/>
      <c r="K35" s="12" t="n"/>
    </row>
    <row r="36" ht="22" customHeight="1">
      <c r="B36" s="16">
        <f>IF(C36="","DECL-"&amp;TEXT(COUNTA($C$5:C36),"000"))</f>
        <v/>
      </c>
      <c r="C36" s="14" t="n"/>
      <c r="D36" s="14" t="n"/>
      <c r="E36" s="14" t="n"/>
      <c r="F36" s="19" t="n"/>
      <c r="G36" s="28" t="n"/>
      <c r="H36" s="28" t="n"/>
      <c r="I36" s="14" t="n"/>
      <c r="J36" s="24" t="n"/>
      <c r="K36" s="14" t="n"/>
    </row>
    <row r="37" ht="22" customHeight="1">
      <c r="B37" s="17">
        <f>IF(C37="","DECL-"&amp;TEXT(COUNTA($C$5:C37),"000"))</f>
        <v/>
      </c>
      <c r="C37" s="12" t="n"/>
      <c r="D37" s="12" t="n"/>
      <c r="E37" s="12" t="n"/>
      <c r="F37" s="18" t="n"/>
      <c r="G37" s="27" t="n"/>
      <c r="H37" s="27" t="n"/>
      <c r="I37" s="12" t="n"/>
      <c r="J37" s="23" t="n"/>
      <c r="K37" s="12" t="n"/>
    </row>
    <row r="38" ht="22" customHeight="1">
      <c r="B38" s="16">
        <f>IF(C38="","DECL-"&amp;TEXT(COUNTA($C$5:C38),"000"))</f>
        <v/>
      </c>
      <c r="C38" s="14" t="n"/>
      <c r="D38" s="14" t="n"/>
      <c r="E38" s="14" t="n"/>
      <c r="F38" s="19" t="n"/>
      <c r="G38" s="28" t="n"/>
      <c r="H38" s="28" t="n"/>
      <c r="I38" s="14" t="n"/>
      <c r="J38" s="24" t="n"/>
      <c r="K38" s="14" t="n"/>
    </row>
    <row r="39" ht="22" customHeight="1">
      <c r="B39" s="17">
        <f>IF(C39="","DECL-"&amp;TEXT(COUNTA($C$5:C39),"000"))</f>
        <v/>
      </c>
      <c r="C39" s="12" t="n"/>
      <c r="D39" s="12" t="n"/>
      <c r="E39" s="12" t="n"/>
      <c r="F39" s="18" t="n"/>
      <c r="G39" s="27" t="n"/>
      <c r="H39" s="27" t="n"/>
      <c r="I39" s="12" t="n"/>
      <c r="J39" s="23" t="n"/>
      <c r="K39" s="12" t="n"/>
    </row>
    <row r="40" ht="22" customHeight="1">
      <c r="B40" s="16">
        <f>IF(C40="","DECL-"&amp;TEXT(COUNTA($C$5:C40),"000"))</f>
        <v/>
      </c>
      <c r="C40" s="14" t="n"/>
      <c r="D40" s="14" t="n"/>
      <c r="E40" s="14" t="n"/>
      <c r="F40" s="19" t="n"/>
      <c r="G40" s="28" t="n"/>
      <c r="H40" s="28" t="n"/>
      <c r="I40" s="14" t="n"/>
      <c r="J40" s="24" t="n"/>
      <c r="K40" s="14" t="n"/>
    </row>
    <row r="41" ht="22" customHeight="1">
      <c r="B41" s="17">
        <f>IF(C41="","DECL-"&amp;TEXT(COUNTA($C$5:C41),"000"))</f>
        <v/>
      </c>
      <c r="C41" s="12" t="n"/>
      <c r="D41" s="12" t="n"/>
      <c r="E41" s="12" t="n"/>
      <c r="F41" s="18" t="n"/>
      <c r="G41" s="27" t="n"/>
      <c r="H41" s="27" t="n"/>
      <c r="I41" s="12" t="n"/>
      <c r="J41" s="23" t="n"/>
      <c r="K41" s="12" t="n"/>
    </row>
    <row r="42" ht="22" customHeight="1">
      <c r="B42" s="16">
        <f>IF(C42="","DECL-"&amp;TEXT(COUNTA($C$5:C42),"000"))</f>
        <v/>
      </c>
      <c r="C42" s="14" t="n"/>
      <c r="D42" s="14" t="n"/>
      <c r="E42" s="14" t="n"/>
      <c r="F42" s="19" t="n"/>
      <c r="G42" s="28" t="n"/>
      <c r="H42" s="28" t="n"/>
      <c r="I42" s="14" t="n"/>
      <c r="J42" s="24" t="n"/>
      <c r="K42" s="14" t="n"/>
    </row>
    <row r="43" ht="22" customHeight="1">
      <c r="B43" s="17">
        <f>IF(C43="","DECL-"&amp;TEXT(COUNTA($C$5:C43),"000"))</f>
        <v/>
      </c>
      <c r="C43" s="12" t="n"/>
      <c r="D43" s="12" t="n"/>
      <c r="E43" s="12" t="n"/>
      <c r="F43" s="18" t="n"/>
      <c r="G43" s="27" t="n"/>
      <c r="H43" s="27" t="n"/>
      <c r="I43" s="12" t="n"/>
      <c r="J43" s="23" t="n"/>
      <c r="K43" s="12" t="n"/>
    </row>
    <row r="44" ht="22" customHeight="1">
      <c r="B44" s="16">
        <f>IF(C44="","DECL-"&amp;TEXT(COUNTA($C$5:C44),"000"))</f>
        <v/>
      </c>
      <c r="C44" s="14" t="n"/>
      <c r="D44" s="14" t="n"/>
      <c r="E44" s="14" t="n"/>
      <c r="F44" s="19" t="n"/>
      <c r="G44" s="28" t="n"/>
      <c r="H44" s="28" t="n"/>
      <c r="I44" s="14" t="n"/>
      <c r="J44" s="24" t="n"/>
      <c r="K44" s="14" t="n"/>
    </row>
    <row r="45" ht="22" customHeight="1">
      <c r="B45" s="17">
        <f>IF(C45="","DECL-"&amp;TEXT(COUNTA($C$5:C45),"000"))</f>
        <v/>
      </c>
      <c r="C45" s="12" t="n"/>
      <c r="D45" s="12" t="n"/>
      <c r="E45" s="12" t="n"/>
      <c r="F45" s="18" t="n"/>
      <c r="G45" s="27" t="n"/>
      <c r="H45" s="27" t="n"/>
      <c r="I45" s="12" t="n"/>
      <c r="J45" s="23" t="n"/>
      <c r="K45" s="12" t="n"/>
    </row>
    <row r="46" ht="22" customHeight="1">
      <c r="B46" s="16">
        <f>IF(C46="","DECL-"&amp;TEXT(COUNTA($C$5:C46),"000"))</f>
        <v/>
      </c>
      <c r="C46" s="14" t="n"/>
      <c r="D46" s="14" t="n"/>
      <c r="E46" s="14" t="n"/>
      <c r="F46" s="19" t="n"/>
      <c r="G46" s="28" t="n"/>
      <c r="H46" s="28" t="n"/>
      <c r="I46" s="14" t="n"/>
      <c r="J46" s="24" t="n"/>
      <c r="K46" s="14" t="n"/>
    </row>
    <row r="47" ht="22" customHeight="1">
      <c r="B47" s="17">
        <f>IF(C47="","DECL-"&amp;TEXT(COUNTA($C$5:C47),"000"))</f>
        <v/>
      </c>
      <c r="C47" s="12" t="n"/>
      <c r="D47" s="12" t="n"/>
      <c r="E47" s="12" t="n"/>
      <c r="F47" s="18" t="n"/>
      <c r="G47" s="27" t="n"/>
      <c r="H47" s="27" t="n"/>
      <c r="I47" s="12" t="n"/>
      <c r="J47" s="23" t="n"/>
      <c r="K47" s="12" t="n"/>
    </row>
    <row r="48" ht="22" customHeight="1">
      <c r="B48" s="16">
        <f>IF(C48="","DECL-"&amp;TEXT(COUNTA($C$5:C48),"000"))</f>
        <v/>
      </c>
      <c r="C48" s="14" t="n"/>
      <c r="D48" s="14" t="n"/>
      <c r="E48" s="14" t="n"/>
      <c r="F48" s="19" t="n"/>
      <c r="G48" s="28" t="n"/>
      <c r="H48" s="28" t="n"/>
      <c r="I48" s="14" t="n"/>
      <c r="J48" s="24" t="n"/>
      <c r="K48" s="14" t="n"/>
    </row>
    <row r="49" ht="22" customHeight="1">
      <c r="B49" s="17">
        <f>IF(C49="","DECL-"&amp;TEXT(COUNTA($C$5:C49),"000"))</f>
        <v/>
      </c>
      <c r="C49" s="12" t="n"/>
      <c r="D49" s="12" t="n"/>
      <c r="E49" s="12" t="n"/>
      <c r="F49" s="18" t="n"/>
      <c r="G49" s="27" t="n"/>
      <c r="H49" s="27" t="n"/>
      <c r="I49" s="12" t="n"/>
      <c r="J49" s="23" t="n"/>
      <c r="K49" s="12" t="n"/>
    </row>
    <row r="50" ht="22" customHeight="1">
      <c r="B50" s="16">
        <f>IF(C50="","DECL-"&amp;TEXT(COUNTA($C$5:C50),"000"))</f>
        <v/>
      </c>
      <c r="C50" s="14" t="n"/>
      <c r="D50" s="14" t="n"/>
      <c r="E50" s="14" t="n"/>
      <c r="F50" s="19" t="n"/>
      <c r="G50" s="28" t="n"/>
      <c r="H50" s="28" t="n"/>
      <c r="I50" s="14" t="n"/>
      <c r="J50" s="24" t="n"/>
      <c r="K50" s="14" t="n"/>
    </row>
    <row r="51" ht="22" customHeight="1">
      <c r="B51" s="17">
        <f>IF(C51="","DECL-"&amp;TEXT(COUNTA($C$5:C51),"000"))</f>
        <v/>
      </c>
      <c r="C51" s="12" t="n"/>
      <c r="D51" s="12" t="n"/>
      <c r="E51" s="12" t="n"/>
      <c r="F51" s="18" t="n"/>
      <c r="G51" s="27" t="n"/>
      <c r="H51" s="27" t="n"/>
      <c r="I51" s="12" t="n"/>
      <c r="J51" s="23" t="n"/>
      <c r="K51" s="12" t="n"/>
    </row>
    <row r="52" ht="22" customHeight="1">
      <c r="B52" s="16">
        <f>IF(C52="","DECL-"&amp;TEXT(COUNTA($C$5:C52),"000"))</f>
        <v/>
      </c>
      <c r="C52" s="14" t="n"/>
      <c r="D52" s="14" t="n"/>
      <c r="E52" s="14" t="n"/>
      <c r="F52" s="19" t="n"/>
      <c r="G52" s="28" t="n"/>
      <c r="H52" s="28" t="n"/>
      <c r="I52" s="14" t="n"/>
      <c r="J52" s="24" t="n"/>
      <c r="K52" s="14" t="n"/>
    </row>
    <row r="53" ht="22" customHeight="1">
      <c r="B53" s="17">
        <f>IF(C53="","DECL-"&amp;TEXT(COUNTA($C$5:C53),"000"))</f>
        <v/>
      </c>
      <c r="C53" s="12" t="n"/>
      <c r="D53" s="12" t="n"/>
      <c r="E53" s="12" t="n"/>
      <c r="F53" s="18" t="n"/>
      <c r="G53" s="27" t="n"/>
      <c r="H53" s="27" t="n"/>
      <c r="I53" s="12" t="n"/>
      <c r="J53" s="23" t="n"/>
      <c r="K53" s="12" t="n"/>
    </row>
    <row r="54" ht="22" customHeight="1">
      <c r="B54" s="16">
        <f>IF(C54="","DECL-"&amp;TEXT(COUNTA($C$5:C54),"000"))</f>
        <v/>
      </c>
      <c r="C54" s="14" t="n"/>
      <c r="D54" s="14" t="n"/>
      <c r="E54" s="14" t="n"/>
      <c r="F54" s="19" t="n"/>
      <c r="G54" s="28" t="n"/>
      <c r="H54" s="28" t="n"/>
      <c r="I54" s="14" t="n"/>
      <c r="J54" s="24" t="n"/>
      <c r="K54" s="14" t="n"/>
    </row>
    <row r="55" ht="22" customHeight="1">
      <c r="B55" s="17">
        <f>IF(C55="","DECL-"&amp;TEXT(COUNTA($C$5:C55),"000"))</f>
        <v/>
      </c>
      <c r="C55" s="12" t="n"/>
      <c r="D55" s="12" t="n"/>
      <c r="E55" s="12" t="n"/>
      <c r="F55" s="18" t="n"/>
      <c r="G55" s="27" t="n"/>
      <c r="H55" s="27" t="n"/>
      <c r="I55" s="12" t="n"/>
      <c r="J55" s="23" t="n"/>
      <c r="K55" s="12" t="n"/>
    </row>
    <row r="56" ht="22" customHeight="1">
      <c r="B56" s="16">
        <f>IF(C56="","DECL-"&amp;TEXT(COUNTA($C$5:C56),"000"))</f>
        <v/>
      </c>
      <c r="C56" s="14" t="n"/>
      <c r="D56" s="14" t="n"/>
      <c r="E56" s="14" t="n"/>
      <c r="F56" s="19" t="n"/>
      <c r="G56" s="28" t="n"/>
      <c r="H56" s="28" t="n"/>
      <c r="I56" s="14" t="n"/>
      <c r="J56" s="24" t="n"/>
      <c r="K56" s="14" t="n"/>
    </row>
    <row r="57" ht="22" customHeight="1">
      <c r="B57" s="17">
        <f>IF(C57="","DECL-"&amp;TEXT(COUNTA($C$5:C57),"000"))</f>
        <v/>
      </c>
      <c r="C57" s="12" t="n"/>
      <c r="D57" s="12" t="n"/>
      <c r="E57" s="12" t="n"/>
      <c r="F57" s="18" t="n"/>
      <c r="G57" s="27" t="n"/>
      <c r="H57" s="27" t="n"/>
      <c r="I57" s="12" t="n"/>
      <c r="J57" s="23" t="n"/>
      <c r="K57" s="12" t="n"/>
    </row>
    <row r="58" ht="22" customHeight="1">
      <c r="B58" s="16">
        <f>IF(C58="","DECL-"&amp;TEXT(COUNTA($C$5:C58),"000"))</f>
        <v/>
      </c>
      <c r="C58" s="14" t="n"/>
      <c r="D58" s="14" t="n"/>
      <c r="E58" s="14" t="n"/>
      <c r="F58" s="19" t="n"/>
      <c r="G58" s="28" t="n"/>
      <c r="H58" s="28" t="n"/>
      <c r="I58" s="14" t="n"/>
      <c r="J58" s="24" t="n"/>
      <c r="K58" s="14" t="n"/>
    </row>
    <row r="59" ht="22" customHeight="1">
      <c r="B59" s="17">
        <f>IF(C59="","DECL-"&amp;TEXT(COUNTA($C$5:C59),"000"))</f>
        <v/>
      </c>
      <c r="C59" s="12" t="n"/>
      <c r="D59" s="12" t="n"/>
      <c r="E59" s="12" t="n"/>
      <c r="F59" s="18" t="n"/>
      <c r="G59" s="27" t="n"/>
      <c r="H59" s="27" t="n"/>
      <c r="I59" s="12" t="n"/>
      <c r="J59" s="23" t="n"/>
      <c r="K59" s="12" t="n"/>
    </row>
    <row r="60" ht="22" customHeight="1">
      <c r="B60" s="16">
        <f>IF(C60="","DECL-"&amp;TEXT(COUNTA($C$5:C60),"000"))</f>
        <v/>
      </c>
      <c r="C60" s="14" t="n"/>
      <c r="D60" s="14" t="n"/>
      <c r="E60" s="14" t="n"/>
      <c r="F60" s="19" t="n"/>
      <c r="G60" s="28" t="n"/>
      <c r="H60" s="28" t="n"/>
      <c r="I60" s="14" t="n"/>
      <c r="J60" s="24" t="n"/>
      <c r="K60" s="14" t="n"/>
    </row>
    <row r="61" ht="22" customHeight="1">
      <c r="B61" s="17">
        <f>IF(C61="","DECL-"&amp;TEXT(COUNTA($C$5:C61),"000"))</f>
        <v/>
      </c>
      <c r="C61" s="12" t="n"/>
      <c r="D61" s="12" t="n"/>
      <c r="E61" s="12" t="n"/>
      <c r="F61" s="18" t="n"/>
      <c r="G61" s="27" t="n"/>
      <c r="H61" s="27" t="n"/>
      <c r="I61" s="12" t="n"/>
      <c r="J61" s="23" t="n"/>
      <c r="K61" s="12" t="n"/>
    </row>
    <row r="62" ht="22" customHeight="1">
      <c r="B62" s="16">
        <f>IF(C62="","DECL-"&amp;TEXT(COUNTA($C$5:C62),"000"))</f>
        <v/>
      </c>
      <c r="C62" s="14" t="n"/>
      <c r="D62" s="14" t="n"/>
      <c r="E62" s="14" t="n"/>
      <c r="F62" s="19" t="n"/>
      <c r="G62" s="28" t="n"/>
      <c r="H62" s="28" t="n"/>
      <c r="I62" s="14" t="n"/>
      <c r="J62" s="24" t="n"/>
      <c r="K62" s="14" t="n"/>
    </row>
    <row r="63" ht="22" customHeight="1">
      <c r="B63" s="17">
        <f>IF(C63="","DECL-"&amp;TEXT(COUNTA($C$5:C63),"000"))</f>
        <v/>
      </c>
      <c r="C63" s="12" t="n"/>
      <c r="D63" s="12" t="n"/>
      <c r="E63" s="12" t="n"/>
      <c r="F63" s="18" t="n"/>
      <c r="G63" s="27" t="n"/>
      <c r="H63" s="27" t="n"/>
      <c r="I63" s="12" t="n"/>
      <c r="J63" s="23" t="n"/>
      <c r="K63" s="12" t="n"/>
    </row>
    <row r="64" ht="22" customHeight="1">
      <c r="B64" s="16">
        <f>IF(C64="","DECL-"&amp;TEXT(COUNTA($C$5:C64),"000"))</f>
        <v/>
      </c>
      <c r="C64" s="14" t="n"/>
      <c r="D64" s="14" t="n"/>
      <c r="E64" s="14" t="n"/>
      <c r="F64" s="19" t="n"/>
      <c r="G64" s="28" t="n"/>
      <c r="H64" s="28" t="n"/>
      <c r="I64" s="14" t="n"/>
      <c r="J64" s="24" t="n"/>
      <c r="K64" s="14" t="n"/>
    </row>
    <row r="65" ht="22" customHeight="1">
      <c r="B65" s="17">
        <f>IF(C65="","DECL-"&amp;TEXT(COUNTA($C$5:C65),"000"))</f>
        <v/>
      </c>
      <c r="C65" s="12" t="n"/>
      <c r="D65" s="12" t="n"/>
      <c r="E65" s="12" t="n"/>
      <c r="F65" s="18" t="n"/>
      <c r="G65" s="27" t="n"/>
      <c r="H65" s="27" t="n"/>
      <c r="I65" s="12" t="n"/>
      <c r="J65" s="23" t="n"/>
      <c r="K65" s="12" t="n"/>
    </row>
    <row r="66" ht="22" customHeight="1">
      <c r="B66" s="16">
        <f>IF(C66="","DECL-"&amp;TEXT(COUNTA($C$5:C66),"000"))</f>
        <v/>
      </c>
      <c r="C66" s="14" t="n"/>
      <c r="D66" s="14" t="n"/>
      <c r="E66" s="14" t="n"/>
      <c r="F66" s="19" t="n"/>
      <c r="G66" s="28" t="n"/>
      <c r="H66" s="28" t="n"/>
      <c r="I66" s="14" t="n"/>
      <c r="J66" s="24" t="n"/>
      <c r="K66" s="14" t="n"/>
    </row>
    <row r="67" ht="22" customHeight="1">
      <c r="B67" s="17">
        <f>IF(C67="","DECL-"&amp;TEXT(COUNTA($C$5:C67),"000"))</f>
        <v/>
      </c>
      <c r="C67" s="12" t="n"/>
      <c r="D67" s="12" t="n"/>
      <c r="E67" s="12" t="n"/>
      <c r="F67" s="18" t="n"/>
      <c r="G67" s="27" t="n"/>
      <c r="H67" s="27" t="n"/>
      <c r="I67" s="12" t="n"/>
      <c r="J67" s="23" t="n"/>
      <c r="K67" s="12" t="n"/>
    </row>
    <row r="68" ht="22" customHeight="1">
      <c r="B68" s="16">
        <f>IF(C68="","DECL-"&amp;TEXT(COUNTA($C$5:C68),"000"))</f>
        <v/>
      </c>
      <c r="C68" s="14" t="n"/>
      <c r="D68" s="14" t="n"/>
      <c r="E68" s="14" t="n"/>
      <c r="F68" s="19" t="n"/>
      <c r="G68" s="28" t="n"/>
      <c r="H68" s="28" t="n"/>
      <c r="I68" s="14" t="n"/>
      <c r="J68" s="24" t="n"/>
      <c r="K68" s="14" t="n"/>
    </row>
    <row r="69" ht="22" customHeight="1">
      <c r="B69" s="17">
        <f>IF(C69="","DECL-"&amp;TEXT(COUNTA($C$5:C69),"000"))</f>
        <v/>
      </c>
      <c r="C69" s="12" t="n"/>
      <c r="D69" s="12" t="n"/>
      <c r="E69" s="12" t="n"/>
      <c r="F69" s="18" t="n"/>
      <c r="G69" s="27" t="n"/>
      <c r="H69" s="27" t="n"/>
      <c r="I69" s="12" t="n"/>
      <c r="J69" s="23" t="n"/>
      <c r="K69" s="12" t="n"/>
    </row>
    <row r="70" ht="22" customHeight="1">
      <c r="B70" s="16">
        <f>IF(C70="","DECL-"&amp;TEXT(COUNTA($C$5:C70),"000"))</f>
        <v/>
      </c>
      <c r="C70" s="14" t="n"/>
      <c r="D70" s="14" t="n"/>
      <c r="E70" s="14" t="n"/>
      <c r="F70" s="19" t="n"/>
      <c r="G70" s="28" t="n"/>
      <c r="H70" s="28" t="n"/>
      <c r="I70" s="14" t="n"/>
      <c r="J70" s="24" t="n"/>
      <c r="K70" s="14" t="n"/>
    </row>
    <row r="71" ht="22" customHeight="1">
      <c r="B71" s="17">
        <f>IF(C71="","DECL-"&amp;TEXT(COUNTA($C$5:C71),"000"))</f>
        <v/>
      </c>
      <c r="C71" s="12" t="n"/>
      <c r="D71" s="12" t="n"/>
      <c r="E71" s="12" t="n"/>
      <c r="F71" s="18" t="n"/>
      <c r="G71" s="27" t="n"/>
      <c r="H71" s="27" t="n"/>
      <c r="I71" s="12" t="n"/>
      <c r="J71" s="23" t="n"/>
      <c r="K71" s="12" t="n"/>
    </row>
    <row r="72" ht="22" customHeight="1">
      <c r="B72" s="16">
        <f>IF(C72="","DECL-"&amp;TEXT(COUNTA($C$5:C72),"000"))</f>
        <v/>
      </c>
      <c r="C72" s="14" t="n"/>
      <c r="D72" s="14" t="n"/>
      <c r="E72" s="14" t="n"/>
      <c r="F72" s="19" t="n"/>
      <c r="G72" s="28" t="n"/>
      <c r="H72" s="28" t="n"/>
      <c r="I72" s="14" t="n"/>
      <c r="J72" s="24" t="n"/>
      <c r="K72" s="14" t="n"/>
    </row>
    <row r="73" ht="22" customHeight="1">
      <c r="B73" s="17">
        <f>IF(C73="","DECL-"&amp;TEXT(COUNTA($C$5:C73),"000"))</f>
        <v/>
      </c>
      <c r="C73" s="12" t="n"/>
      <c r="D73" s="12" t="n"/>
      <c r="E73" s="12" t="n"/>
      <c r="F73" s="18" t="n"/>
      <c r="G73" s="27" t="n"/>
      <c r="H73" s="27" t="n"/>
      <c r="I73" s="12" t="n"/>
      <c r="J73" s="23" t="n"/>
      <c r="K73" s="12" t="n"/>
    </row>
    <row r="74" ht="22" customHeight="1">
      <c r="B74" s="16">
        <f>IF(C74="","DECL-"&amp;TEXT(COUNTA($C$5:C74),"000"))</f>
        <v/>
      </c>
      <c r="C74" s="14" t="n"/>
      <c r="D74" s="14" t="n"/>
      <c r="E74" s="14" t="n"/>
      <c r="F74" s="19" t="n"/>
      <c r="G74" s="28" t="n"/>
      <c r="H74" s="28" t="n"/>
      <c r="I74" s="14" t="n"/>
      <c r="J74" s="24" t="n"/>
      <c r="K74" s="14" t="n"/>
    </row>
    <row r="75" ht="22" customHeight="1">
      <c r="B75" s="17">
        <f>IF(C75="","DECL-"&amp;TEXT(COUNTA($C$5:C75),"000"))</f>
        <v/>
      </c>
      <c r="C75" s="12" t="n"/>
      <c r="D75" s="12" t="n"/>
      <c r="E75" s="12" t="n"/>
      <c r="F75" s="18" t="n"/>
      <c r="G75" s="27" t="n"/>
      <c r="H75" s="27" t="n"/>
      <c r="I75" s="12" t="n"/>
      <c r="J75" s="23" t="n"/>
      <c r="K75" s="12" t="n"/>
    </row>
    <row r="76" ht="22" customHeight="1">
      <c r="B76" s="16">
        <f>IF(C76="","DECL-"&amp;TEXT(COUNTA($C$5:C76),"000"))</f>
        <v/>
      </c>
      <c r="C76" s="14" t="n"/>
      <c r="D76" s="14" t="n"/>
      <c r="E76" s="14" t="n"/>
      <c r="F76" s="19" t="n"/>
      <c r="G76" s="28" t="n"/>
      <c r="H76" s="28" t="n"/>
      <c r="I76" s="14" t="n"/>
      <c r="J76" s="24" t="n"/>
      <c r="K76" s="14" t="n"/>
    </row>
    <row r="77" ht="22" customHeight="1">
      <c r="B77" s="17">
        <f>IF(C77="","DECL-"&amp;TEXT(COUNTA($C$5:C77),"000"))</f>
        <v/>
      </c>
      <c r="C77" s="12" t="n"/>
      <c r="D77" s="12" t="n"/>
      <c r="E77" s="12" t="n"/>
      <c r="F77" s="18" t="n"/>
      <c r="G77" s="27" t="n"/>
      <c r="H77" s="27" t="n"/>
      <c r="I77" s="12" t="n"/>
      <c r="J77" s="23" t="n"/>
      <c r="K77" s="12" t="n"/>
    </row>
    <row r="78" ht="22" customHeight="1">
      <c r="B78" s="16">
        <f>IF(C78="","DECL-"&amp;TEXT(COUNTA($C$5:C78),"000"))</f>
        <v/>
      </c>
      <c r="C78" s="14" t="n"/>
      <c r="D78" s="14" t="n"/>
      <c r="E78" s="14" t="n"/>
      <c r="F78" s="19" t="n"/>
      <c r="G78" s="28" t="n"/>
      <c r="H78" s="28" t="n"/>
      <c r="I78" s="14" t="n"/>
      <c r="J78" s="24" t="n"/>
      <c r="K78" s="14" t="n"/>
    </row>
    <row r="79" ht="22" customHeight="1">
      <c r="B79" s="17">
        <f>IF(C79="","DECL-"&amp;TEXT(COUNTA($C$5:C79),"000"))</f>
        <v/>
      </c>
      <c r="C79" s="12" t="n"/>
      <c r="D79" s="12" t="n"/>
      <c r="E79" s="12" t="n"/>
      <c r="F79" s="18" t="n"/>
      <c r="G79" s="27" t="n"/>
      <c r="H79" s="27" t="n"/>
      <c r="I79" s="12" t="n"/>
      <c r="J79" s="23" t="n"/>
      <c r="K79" s="12" t="n"/>
    </row>
    <row r="80" ht="22" customHeight="1">
      <c r="B80" s="16">
        <f>IF(C80="","DECL-"&amp;TEXT(COUNTA($C$5:C80),"000"))</f>
        <v/>
      </c>
      <c r="C80" s="14" t="n"/>
      <c r="D80" s="14" t="n"/>
      <c r="E80" s="14" t="n"/>
      <c r="F80" s="19" t="n"/>
      <c r="G80" s="28" t="n"/>
      <c r="H80" s="28" t="n"/>
      <c r="I80" s="14" t="n"/>
      <c r="J80" s="24" t="n"/>
      <c r="K80" s="14" t="n"/>
    </row>
    <row r="81" ht="22" customHeight="1">
      <c r="B81" s="17">
        <f>IF(C81="","DECL-"&amp;TEXT(COUNTA($C$5:C81),"000"))</f>
        <v/>
      </c>
      <c r="C81" s="12" t="n"/>
      <c r="D81" s="12" t="n"/>
      <c r="E81" s="12" t="n"/>
      <c r="F81" s="18" t="n"/>
      <c r="G81" s="27" t="n"/>
      <c r="H81" s="27" t="n"/>
      <c r="I81" s="12" t="n"/>
      <c r="J81" s="23" t="n"/>
      <c r="K81" s="12" t="n"/>
    </row>
    <row r="82" ht="22" customHeight="1">
      <c r="B82" s="16">
        <f>IF(C82="","DECL-"&amp;TEXT(COUNTA($C$5:C82),"000"))</f>
        <v/>
      </c>
      <c r="C82" s="14" t="n"/>
      <c r="D82" s="14" t="n"/>
      <c r="E82" s="14" t="n"/>
      <c r="F82" s="19" t="n"/>
      <c r="G82" s="28" t="n"/>
      <c r="H82" s="28" t="n"/>
      <c r="I82" s="14" t="n"/>
      <c r="J82" s="24" t="n"/>
      <c r="K82" s="14" t="n"/>
    </row>
    <row r="83" ht="22" customHeight="1">
      <c r="B83" s="17">
        <f>IF(C83="","DECL-"&amp;TEXT(COUNTA($C$5:C83),"000"))</f>
        <v/>
      </c>
      <c r="C83" s="12" t="n"/>
      <c r="D83" s="12" t="n"/>
      <c r="E83" s="12" t="n"/>
      <c r="F83" s="18" t="n"/>
      <c r="G83" s="27" t="n"/>
      <c r="H83" s="27" t="n"/>
      <c r="I83" s="12" t="n"/>
      <c r="J83" s="23" t="n"/>
      <c r="K83" s="12" t="n"/>
    </row>
    <row r="84" ht="22" customHeight="1">
      <c r="B84" s="16">
        <f>IF(C84="","DECL-"&amp;TEXT(COUNTA($C$5:C84),"000"))</f>
        <v/>
      </c>
      <c r="C84" s="14" t="n"/>
      <c r="D84" s="14" t="n"/>
      <c r="E84" s="14" t="n"/>
      <c r="F84" s="19" t="n"/>
      <c r="G84" s="28" t="n"/>
      <c r="H84" s="28" t="n"/>
      <c r="I84" s="14" t="n"/>
      <c r="J84" s="24" t="n"/>
      <c r="K84" s="14" t="n"/>
    </row>
    <row r="85" ht="22" customHeight="1">
      <c r="B85" s="17">
        <f>IF(C85="","DECL-"&amp;TEXT(COUNTA($C$5:C85),"000"))</f>
        <v/>
      </c>
      <c r="C85" s="12" t="n"/>
      <c r="D85" s="12" t="n"/>
      <c r="E85" s="12" t="n"/>
      <c r="F85" s="18" t="n"/>
      <c r="G85" s="27" t="n"/>
      <c r="H85" s="27" t="n"/>
      <c r="I85" s="12" t="n"/>
      <c r="J85" s="23" t="n"/>
      <c r="K85" s="12" t="n"/>
    </row>
    <row r="86" ht="22" customHeight="1">
      <c r="B86" s="16">
        <f>IF(C86="","DECL-"&amp;TEXT(COUNTA($C$5:C86),"000"))</f>
        <v/>
      </c>
      <c r="C86" s="14" t="n"/>
      <c r="D86" s="14" t="n"/>
      <c r="E86" s="14" t="n"/>
      <c r="F86" s="19" t="n"/>
      <c r="G86" s="28" t="n"/>
      <c r="H86" s="28" t="n"/>
      <c r="I86" s="14" t="n"/>
      <c r="J86" s="24" t="n"/>
      <c r="K86" s="14" t="n"/>
    </row>
    <row r="87" ht="22" customHeight="1">
      <c r="B87" s="17">
        <f>IF(C87="","DECL-"&amp;TEXT(COUNTA($C$5:C87),"000"))</f>
        <v/>
      </c>
      <c r="C87" s="12" t="n"/>
      <c r="D87" s="12" t="n"/>
      <c r="E87" s="12" t="n"/>
      <c r="F87" s="18" t="n"/>
      <c r="G87" s="27" t="n"/>
      <c r="H87" s="27" t="n"/>
      <c r="I87" s="12" t="n"/>
      <c r="J87" s="23" t="n"/>
      <c r="K87" s="12" t="n"/>
    </row>
    <row r="88" ht="22" customHeight="1">
      <c r="B88" s="16">
        <f>IF(C88="","DECL-"&amp;TEXT(COUNTA($C$5:C88),"000"))</f>
        <v/>
      </c>
      <c r="C88" s="14" t="n"/>
      <c r="D88" s="14" t="n"/>
      <c r="E88" s="14" t="n"/>
      <c r="F88" s="19" t="n"/>
      <c r="G88" s="28" t="n"/>
      <c r="H88" s="28" t="n"/>
      <c r="I88" s="14" t="n"/>
      <c r="J88" s="24" t="n"/>
      <c r="K88" s="14" t="n"/>
    </row>
    <row r="89" ht="22" customHeight="1">
      <c r="B89" s="17">
        <f>IF(C89="","DECL-"&amp;TEXT(COUNTA($C$5:C89),"000"))</f>
        <v/>
      </c>
      <c r="C89" s="12" t="n"/>
      <c r="D89" s="12" t="n"/>
      <c r="E89" s="12" t="n"/>
      <c r="F89" s="18" t="n"/>
      <c r="G89" s="27" t="n"/>
      <c r="H89" s="27" t="n"/>
      <c r="I89" s="12" t="n"/>
      <c r="J89" s="23" t="n"/>
      <c r="K89" s="12" t="n"/>
    </row>
    <row r="90" ht="22" customHeight="1">
      <c r="B90" s="16">
        <f>IF(C90="","DECL-"&amp;TEXT(COUNTA($C$5:C90),"000"))</f>
        <v/>
      </c>
      <c r="C90" s="14" t="n"/>
      <c r="D90" s="14" t="n"/>
      <c r="E90" s="14" t="n"/>
      <c r="F90" s="19" t="n"/>
      <c r="G90" s="28" t="n"/>
      <c r="H90" s="28" t="n"/>
      <c r="I90" s="14" t="n"/>
      <c r="J90" s="24" t="n"/>
      <c r="K90" s="14" t="n"/>
    </row>
    <row r="91" ht="22" customHeight="1">
      <c r="B91" s="17">
        <f>IF(C91="","DECL-"&amp;TEXT(COUNTA($C$5:C91),"000"))</f>
        <v/>
      </c>
      <c r="C91" s="12" t="n"/>
      <c r="D91" s="12" t="n"/>
      <c r="E91" s="12" t="n"/>
      <c r="F91" s="18" t="n"/>
      <c r="G91" s="27" t="n"/>
      <c r="H91" s="27" t="n"/>
      <c r="I91" s="12" t="n"/>
      <c r="J91" s="23" t="n"/>
      <c r="K91" s="12" t="n"/>
    </row>
    <row r="92" ht="22" customHeight="1">
      <c r="B92" s="16">
        <f>IF(C92="","DECL-"&amp;TEXT(COUNTA($C$5:C92),"000"))</f>
        <v/>
      </c>
      <c r="C92" s="14" t="n"/>
      <c r="D92" s="14" t="n"/>
      <c r="E92" s="14" t="n"/>
      <c r="F92" s="19" t="n"/>
      <c r="G92" s="28" t="n"/>
      <c r="H92" s="28" t="n"/>
      <c r="I92" s="14" t="n"/>
      <c r="J92" s="24" t="n"/>
      <c r="K92" s="14" t="n"/>
    </row>
    <row r="93" ht="22" customHeight="1">
      <c r="B93" s="17">
        <f>IF(C93="","DECL-"&amp;TEXT(COUNTA($C$5:C93),"000"))</f>
        <v/>
      </c>
      <c r="C93" s="12" t="n"/>
      <c r="D93" s="12" t="n"/>
      <c r="E93" s="12" t="n"/>
      <c r="F93" s="18" t="n"/>
      <c r="G93" s="27" t="n"/>
      <c r="H93" s="27" t="n"/>
      <c r="I93" s="12" t="n"/>
      <c r="J93" s="23" t="n"/>
      <c r="K93" s="12" t="n"/>
    </row>
    <row r="94" ht="22" customHeight="1">
      <c r="B94" s="16">
        <f>IF(C94="","DECL-"&amp;TEXT(COUNTA($C$5:C94),"000"))</f>
        <v/>
      </c>
      <c r="C94" s="14" t="n"/>
      <c r="D94" s="14" t="n"/>
      <c r="E94" s="14" t="n"/>
      <c r="F94" s="19" t="n"/>
      <c r="G94" s="28" t="n"/>
      <c r="H94" s="28" t="n"/>
      <c r="I94" s="14" t="n"/>
      <c r="J94" s="24" t="n"/>
      <c r="K94" s="14" t="n"/>
    </row>
    <row r="95" ht="22" customHeight="1">
      <c r="B95" s="17">
        <f>IF(C95="","DECL-"&amp;TEXT(COUNTA($C$5:C95),"000"))</f>
        <v/>
      </c>
      <c r="C95" s="12" t="n"/>
      <c r="D95" s="12" t="n"/>
      <c r="E95" s="12" t="n"/>
      <c r="F95" s="18" t="n"/>
      <c r="G95" s="27" t="n"/>
      <c r="H95" s="27" t="n"/>
      <c r="I95" s="12" t="n"/>
      <c r="J95" s="23" t="n"/>
      <c r="K95" s="12" t="n"/>
    </row>
    <row r="96" ht="22" customHeight="1">
      <c r="B96" s="16">
        <f>IF(C96="","DECL-"&amp;TEXT(COUNTA($C$5:C96),"000"))</f>
        <v/>
      </c>
      <c r="C96" s="14" t="n"/>
      <c r="D96" s="14" t="n"/>
      <c r="E96" s="14" t="n"/>
      <c r="F96" s="19" t="n"/>
      <c r="G96" s="28" t="n"/>
      <c r="H96" s="28" t="n"/>
      <c r="I96" s="14" t="n"/>
      <c r="J96" s="24" t="n"/>
      <c r="K96" s="14" t="n"/>
    </row>
    <row r="97" ht="22" customHeight="1">
      <c r="B97" s="17">
        <f>IF(C97="","DECL-"&amp;TEXT(COUNTA($C$5:C97),"000"))</f>
        <v/>
      </c>
      <c r="C97" s="12" t="n"/>
      <c r="D97" s="12" t="n"/>
      <c r="E97" s="12" t="n"/>
      <c r="F97" s="18" t="n"/>
      <c r="G97" s="27" t="n"/>
      <c r="H97" s="27" t="n"/>
      <c r="I97" s="12" t="n"/>
      <c r="J97" s="23" t="n"/>
      <c r="K97" s="12" t="n"/>
    </row>
    <row r="98" ht="22" customHeight="1">
      <c r="B98" s="16">
        <f>IF(C98="","DECL-"&amp;TEXT(COUNTA($C$5:C98),"000"))</f>
        <v/>
      </c>
      <c r="C98" s="14" t="n"/>
      <c r="D98" s="14" t="n"/>
      <c r="E98" s="14" t="n"/>
      <c r="F98" s="19" t="n"/>
      <c r="G98" s="28" t="n"/>
      <c r="H98" s="28" t="n"/>
      <c r="I98" s="14" t="n"/>
      <c r="J98" s="24" t="n"/>
      <c r="K98" s="14" t="n"/>
    </row>
    <row r="99" ht="22" customHeight="1">
      <c r="B99" s="17">
        <f>IF(C99="","DECL-"&amp;TEXT(COUNTA($C$5:C99),"000"))</f>
        <v/>
      </c>
      <c r="C99" s="12" t="n"/>
      <c r="D99" s="12" t="n"/>
      <c r="E99" s="12" t="n"/>
      <c r="F99" s="18" t="n"/>
      <c r="G99" s="27" t="n"/>
      <c r="H99" s="27" t="n"/>
      <c r="I99" s="12" t="n"/>
      <c r="J99" s="23" t="n"/>
      <c r="K99" s="12" t="n"/>
    </row>
    <row r="100" ht="22" customHeight="1">
      <c r="B100" s="16">
        <f>IF(C100="","DECL-"&amp;TEXT(COUNTA($C$5:C100),"000"))</f>
        <v/>
      </c>
      <c r="C100" s="14" t="n"/>
      <c r="D100" s="14" t="n"/>
      <c r="E100" s="14" t="n"/>
      <c r="F100" s="19" t="n"/>
      <c r="G100" s="28" t="n"/>
      <c r="H100" s="28" t="n"/>
      <c r="I100" s="14" t="n"/>
      <c r="J100" s="24" t="n"/>
      <c r="K100" s="14" t="n"/>
    </row>
    <row r="101" ht="22" customHeight="1">
      <c r="B101" s="17">
        <f>IF(C101="","DECL-"&amp;TEXT(COUNTA($C$5:C101),"000"))</f>
        <v/>
      </c>
      <c r="C101" s="12" t="n"/>
      <c r="D101" s="12" t="n"/>
      <c r="E101" s="12" t="n"/>
      <c r="F101" s="18" t="n"/>
      <c r="G101" s="27" t="n"/>
      <c r="H101" s="27" t="n"/>
      <c r="I101" s="12" t="n"/>
      <c r="J101" s="23" t="n"/>
      <c r="K101" s="12" t="n"/>
    </row>
    <row r="102" ht="22" customHeight="1">
      <c r="B102" s="16">
        <f>IF(C102="","DECL-"&amp;TEXT(COUNTA($C$5:C102),"000"))</f>
        <v/>
      </c>
      <c r="C102" s="14" t="n"/>
      <c r="D102" s="14" t="n"/>
      <c r="E102" s="14" t="n"/>
      <c r="F102" s="19" t="n"/>
      <c r="G102" s="28" t="n"/>
      <c r="H102" s="28" t="n"/>
      <c r="I102" s="14" t="n"/>
      <c r="J102" s="24" t="n"/>
      <c r="K102" s="14" t="n"/>
    </row>
    <row r="103" ht="22" customHeight="1">
      <c r="B103" s="17">
        <f>IF(C103="","DECL-"&amp;TEXT(COUNTA($C$5:C103),"000"))</f>
        <v/>
      </c>
      <c r="C103" s="12" t="n"/>
      <c r="D103" s="12" t="n"/>
      <c r="E103" s="12" t="n"/>
      <c r="F103" s="18" t="n"/>
      <c r="G103" s="27" t="n"/>
      <c r="H103" s="27" t="n"/>
      <c r="I103" s="12" t="n"/>
      <c r="J103" s="23" t="n"/>
      <c r="K103" s="12" t="n"/>
    </row>
    <row r="104" ht="22" customHeight="1">
      <c r="B104" s="16">
        <f>IF(C104="","DECL-"&amp;TEXT(COUNTA($C$5:C104),"000"))</f>
        <v/>
      </c>
      <c r="C104" s="14" t="n"/>
      <c r="D104" s="14" t="n"/>
      <c r="E104" s="14" t="n"/>
      <c r="F104" s="19" t="n"/>
      <c r="G104" s="28" t="n"/>
      <c r="H104" s="28" t="n"/>
      <c r="I104" s="14" t="n"/>
      <c r="J104" s="24" t="n"/>
      <c r="K104" s="14" t="n"/>
    </row>
    <row r="105" ht="22" customHeight="1">
      <c r="B105" s="17">
        <f>IF(C105="","DECL-"&amp;TEXT(COUNTA($C$5:C105),"000"))</f>
        <v/>
      </c>
      <c r="C105" s="12" t="n"/>
      <c r="D105" s="12" t="n"/>
      <c r="E105" s="12" t="n"/>
      <c r="F105" s="18" t="n"/>
      <c r="G105" s="27" t="n"/>
      <c r="H105" s="27" t="n"/>
      <c r="I105" s="12" t="n"/>
      <c r="J105" s="23" t="n"/>
      <c r="K105" s="12" t="n"/>
    </row>
    <row r="106" ht="22" customHeight="1">
      <c r="B106" s="16">
        <f>IF(C106="","DECL-"&amp;TEXT(COUNTA($C$5:C106),"000"))</f>
        <v/>
      </c>
      <c r="C106" s="14" t="n"/>
      <c r="D106" s="14" t="n"/>
      <c r="E106" s="14" t="n"/>
      <c r="F106" s="19" t="n"/>
      <c r="G106" s="28" t="n"/>
      <c r="H106" s="28" t="n"/>
      <c r="I106" s="14" t="n"/>
      <c r="J106" s="24" t="n"/>
      <c r="K106" s="14" t="n"/>
    </row>
    <row r="107" ht="22" customHeight="1">
      <c r="B107" s="17">
        <f>IF(C107="","DECL-"&amp;TEXT(COUNTA($C$5:C107),"000"))</f>
        <v/>
      </c>
      <c r="C107" s="12" t="n"/>
      <c r="D107" s="12" t="n"/>
      <c r="E107" s="12" t="n"/>
      <c r="F107" s="18" t="n"/>
      <c r="G107" s="27" t="n"/>
      <c r="H107" s="27" t="n"/>
      <c r="I107" s="12" t="n"/>
      <c r="J107" s="23" t="n"/>
      <c r="K107" s="12" t="n"/>
    </row>
    <row r="108" ht="22" customHeight="1">
      <c r="B108" s="16">
        <f>IF(C108="","DECL-"&amp;TEXT(COUNTA($C$5:C108),"000"))</f>
        <v/>
      </c>
      <c r="C108" s="14" t="n"/>
      <c r="D108" s="14" t="n"/>
      <c r="E108" s="14" t="n"/>
      <c r="F108" s="19" t="n"/>
      <c r="G108" s="28" t="n"/>
      <c r="H108" s="28" t="n"/>
      <c r="I108" s="14" t="n"/>
      <c r="J108" s="24" t="n"/>
      <c r="K108" s="14" t="n"/>
    </row>
    <row r="109"/>
    <row r="110" ht="26" customHeight="1">
      <c r="B110" s="20" t="inlineStr">
        <is>
          <t>TOTAL</t>
        </is>
      </c>
      <c r="C110" s="21" t="n"/>
      <c r="D110" s="21" t="n"/>
      <c r="E110" s="21" t="n"/>
      <c r="F110" s="22">
        <f>SUM(F5:F104)</f>
        <v/>
      </c>
      <c r="G110" s="21" t="n"/>
      <c r="H110" s="21" t="n"/>
      <c r="I110" s="21" t="n"/>
      <c r="J110" s="21" t="n"/>
      <c r="K110" s="21" t="n"/>
    </row>
    <row r="111"/>
    <row r="112">
      <c r="B112" s="6" t="inlineStr">
        <is>
          <t>INDICATEURS (mis a jour automatiquement)</t>
        </is>
      </c>
    </row>
    <row r="113">
      <c r="B113" s="3" t="inlineStr">
        <is>
          <t>Total déclarations</t>
        </is>
      </c>
      <c r="D113" s="3" t="inlineStr">
        <is>
          <t>Soumises</t>
        </is>
      </c>
      <c r="F113" s="3" t="inlineStr">
        <is>
          <t>En retard</t>
        </is>
      </c>
      <c r="H113" s="3" t="inlineStr">
        <is>
          <t>Montant total (FCFA)</t>
        </is>
      </c>
    </row>
    <row r="114">
      <c r="B114" s="4">
        <f>COUNTIF(B5:B104,"&lt;&gt;")</f>
        <v/>
      </c>
      <c r="D114" s="4">
        <f>COUNTIF(I5:I104,"Soumise")</f>
        <v/>
      </c>
      <c r="F114" s="4">
        <f>COUNTIF(I5:I104,"En retard")</f>
        <v/>
      </c>
      <c r="H114" s="4">
        <f>SUM(F5:F104)</f>
        <v/>
      </c>
    </row>
  </sheetData>
  <mergeCells count="3">
    <mergeCell ref="B112:K112"/>
    <mergeCell ref="B3:K3"/>
    <mergeCell ref="B2:K2"/>
  </mergeCells>
  <conditionalFormatting sqref="I5:I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"Soumise"</formula>
    </cfRule>
    <cfRule type="cellIs" priority="9" operator="equal" dxfId="0">
      <formula>"Traite"</formula>
    </cfRule>
    <cfRule type="cellIs" priority="10" operator="equal" dxfId="0">
      <formula>"Clos"</formula>
    </cfRule>
    <cfRule type="cellIs" priority="11" operator="equal" dxfId="0">
      <formula>"Solde"</formula>
    </cfRule>
    <cfRule type="cellIs" priority="12" operator="equal" dxfId="0">
      <formula>"Pris"</formula>
    </cfRule>
    <cfRule type="cellIs" priority="13" operator="equal" dxfId="1">
      <formula>"En attente"</formula>
    </cfRule>
    <cfRule type="cellIs" priority="14" operator="equal" dxfId="1">
      <formula>"A renouveler"</formula>
    </cfRule>
    <cfRule type="cellIs" priority="15" operator="equal" dxfId="1">
      <formula>"En renouvellement"</formula>
    </cfRule>
    <cfRule type="cellIs" priority="16" operator="equal" dxfId="1">
      <formula>"En cours"</formula>
    </cfRule>
    <cfRule type="cellIs" priority="17" operator="equal" dxfId="1">
      <formula>"En traitement"</formula>
    </cfRule>
    <cfRule type="cellIs" priority="18" operator="equal" dxfId="1">
      <formula>"En retard"</formula>
    </cfRule>
    <cfRule type="cellIs" priority="19" operator="equal" dxfId="1">
      <formula>"Suspendu"</formula>
    </cfRule>
    <cfRule type="cellIs" priority="20" operator="equal" dxfId="1">
      <formula>"A verifier"</formula>
    </cfRule>
    <cfRule type="cellIs" priority="21" operator="equal" dxfId="2">
      <formula>"Expire"</formula>
    </cfRule>
    <cfRule type="cellIs" priority="22" operator="equal" dxfId="2">
      <formula>"Rejete"</formula>
    </cfRule>
    <cfRule type="cellIs" priority="23" operator="equal" dxfId="2">
      <formula>"Rejetee"</formula>
    </cfRule>
    <cfRule type="cellIs" priority="24" operator="equal" dxfId="2">
      <formula>"Resilie"</formula>
    </cfRule>
    <cfRule type="cellIs" priority="25" operator="equal" dxfId="2">
      <formula>"Echu"</formula>
    </cfRule>
    <cfRule type="cellIs" priority="26" operator="equal" dxfId="2">
      <formula>"Refuse"</formula>
    </cfRule>
    <cfRule type="cellIs" priority="27" operator="equal" dxfId="2">
      <formula>"Annulee"</formula>
    </cfRule>
    <cfRule type="cellIs" priority="28" operator="equal" dxfId="2">
      <formula>"Departi"</formula>
    </cfRule>
    <cfRule type="cellIs" priority="29" operator="equal" dxfId="2">
      <formula>"Cloture"</formula>
    </cfRule>
    <cfRule type="cellIs" priority="30" operator="equal" dxfId="2">
      <formula>"Non justifiee"</formula>
    </cfRule>
    <cfRule type="cellIs" priority="31" operator="equal" dxfId="2">
      <formula>"Manquant"</formula>
    </cfRule>
  </conditionalFormatting>
  <conditionalFormatting sqref="B9:B108">
    <cfRule type="expression" priority="32" dxfId="3">
      <formula>AND($C9="",$C8&lt;&gt;"")</formula>
    </cfRule>
  </conditionalFormatting>
  <conditionalFormatting sqref="C9:C108">
    <cfRule type="expression" priority="33" dxfId="3">
      <formula>AND($C9="",$C8&lt;&gt;"")</formula>
    </cfRule>
  </conditionalFormatting>
  <conditionalFormatting sqref="D9:D108">
    <cfRule type="expression" priority="34" dxfId="3">
      <formula>AND($C9="",$C8&lt;&gt;"")</formula>
    </cfRule>
  </conditionalFormatting>
  <conditionalFormatting sqref="E9:E108">
    <cfRule type="expression" priority="35" dxfId="3">
      <formula>AND($C9="",$C8&lt;&gt;"")</formula>
    </cfRule>
  </conditionalFormatting>
  <conditionalFormatting sqref="F9:F108">
    <cfRule type="expression" priority="36" dxfId="3">
      <formula>AND($C9="",$C8&lt;&gt;"")</formula>
    </cfRule>
  </conditionalFormatting>
  <conditionalFormatting sqref="G9:G108">
    <cfRule type="expression" priority="37" dxfId="3">
      <formula>AND($C9="",$C8&lt;&gt;"")</formula>
    </cfRule>
  </conditionalFormatting>
  <conditionalFormatting sqref="H9:H108">
    <cfRule type="expression" priority="38" dxfId="3">
      <formula>AND($C9="",$C8&lt;&gt;"")</formula>
    </cfRule>
  </conditionalFormatting>
  <conditionalFormatting sqref="I9:I108">
    <cfRule type="expression" priority="39" dxfId="3">
      <formula>AND($C9="",$C8&lt;&gt;"")</formula>
    </cfRule>
  </conditionalFormatting>
  <conditionalFormatting sqref="J9:J108">
    <cfRule type="expression" priority="40" dxfId="3">
      <formula>AND($C9="",$C8&lt;&gt;"")</formula>
    </cfRule>
  </conditionalFormatting>
  <conditionalFormatting sqref="K9:K108">
    <cfRule type="expression" priority="41" dxfId="3">
      <formula>AND($C9="",$C8&lt;&gt;"")</formula>
    </cfRule>
  </conditionalFormatting>
  <dataValidations count="3">
    <dataValidation sqref="C5:C108" showDropDown="0" showInputMessage="0" showErrorMessage="0" allowBlank="1" errorTitle="Erreur" error="Valeur invalide" promptTitle="Liste" prompt="Choisir dans la liste" type="list">
      <formula1>'_Lists'!$AC$2:$AC$6</formula1>
    </dataValidation>
    <dataValidation sqref="D5:D108" showDropDown="0" showInputMessage="0" showErrorMessage="0" allowBlank="1" errorTitle="Erreur" error="Valeur invalide" promptTitle="Liste" prompt="Choisir dans la liste" type="list">
      <formula1>'_Lists'!$AD$2:$AD$5</formula1>
    </dataValidation>
    <dataValidation sqref="I5:I108" showDropDown="0" showInputMessage="0" showErrorMessage="0" allowBlank="1" errorTitle="Erreur" error="Valeur invalide" promptTitle="Liste" prompt="Choisir dans la liste" type="list">
      <formula1>'_Lists'!$AE$2:$AE$6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20" customWidth="1" min="4" max="4"/>
    <col width="22" customWidth="1" min="5" max="5"/>
    <col width="18" customWidth="1" min="6" max="6"/>
    <col width="12" customWidth="1" min="7" max="7"/>
    <col width="28" customWidth="1" min="8" max="8"/>
    <col width="22" customWidth="1" min="9" max="9"/>
    <col width="14" customWidth="1" min="10" max="10"/>
    <col width="28" customWidth="1" min="11" max="11"/>
  </cols>
  <sheetData>
    <row r="1" ht="15" customHeight="1"/>
    <row r="2" ht="32" customHeight="1">
      <c r="B2" s="1" t="inlineStr">
        <is>
          <t>AUTORISATIONS &amp; PERMIS DE TRAVAIL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Matricule</t>
        </is>
      </c>
      <c r="D4" s="11" t="inlineStr">
        <is>
          <t>Nom Employé</t>
        </is>
      </c>
      <c r="E4" s="11" t="inlineStr">
        <is>
          <t>Type Permis</t>
        </is>
      </c>
      <c r="F4" s="11" t="inlineStr">
        <is>
          <t>N° Permis</t>
        </is>
      </c>
      <c r="G4" s="11" t="inlineStr">
        <is>
          <t>Date Délivrance</t>
        </is>
      </c>
      <c r="H4" s="11" t="inlineStr">
        <is>
          <t>Date Expiration</t>
        </is>
      </c>
      <c r="I4" s="11" t="inlineStr">
        <is>
          <t>Autorité</t>
        </is>
      </c>
      <c r="J4" s="11" t="inlineStr">
        <is>
          <t>Statut</t>
        </is>
      </c>
      <c r="K4" s="11" t="inlineStr">
        <is>
          <t>Jours Restants</t>
        </is>
      </c>
    </row>
    <row r="5" ht="22" customHeight="1">
      <c r="B5" s="12" t="inlineStr">
        <is>
          <t>PERM-001</t>
        </is>
      </c>
      <c r="C5" s="12" t="inlineStr">
        <is>
          <t>EMP-001</t>
        </is>
      </c>
      <c r="D5" s="12" t="inlineStr">
        <is>
          <t>Nganou Clarisse</t>
        </is>
      </c>
      <c r="E5" s="12" t="inlineStr">
        <is>
          <t>Attestation CNPS</t>
        </is>
      </c>
      <c r="F5" s="12" t="inlineStr">
        <is>
          <t>CNPS-78901</t>
        </is>
      </c>
      <c r="G5" s="27" t="n">
        <v>45658</v>
      </c>
      <c r="H5" s="27" t="n">
        <v>46022</v>
      </c>
      <c r="I5" s="12" t="inlineStr">
        <is>
          <t>CNPS</t>
        </is>
      </c>
      <c r="J5" s="12" t="inlineStr">
        <is>
          <t>Valide</t>
        </is>
      </c>
      <c r="K5" s="23" t="n"/>
    </row>
    <row r="6" ht="22" customHeight="1">
      <c r="B6" s="14" t="inlineStr">
        <is>
          <t>PERM-002</t>
        </is>
      </c>
      <c r="C6" s="14" t="inlineStr">
        <is>
          <t>EMP-002</t>
        </is>
      </c>
      <c r="D6" s="14" t="inlineStr">
        <is>
          <t>Tchinda Armand</t>
        </is>
      </c>
      <c r="E6" s="14" t="inlineStr">
        <is>
          <t>Passeport</t>
        </is>
      </c>
      <c r="F6" s="14" t="inlineStr">
        <is>
          <t>AB123456</t>
        </is>
      </c>
      <c r="G6" s="28" t="n">
        <v>44357</v>
      </c>
      <c r="H6" s="28" t="n">
        <v>48009</v>
      </c>
      <c r="I6" s="14" t="inlineStr">
        <is>
          <t>DGSN</t>
        </is>
      </c>
      <c r="J6" s="14" t="inlineStr">
        <is>
          <t>Valide</t>
        </is>
      </c>
      <c r="K6" s="24" t="n"/>
    </row>
    <row r="7" ht="22" customHeight="1">
      <c r="B7" s="12" t="inlineStr">
        <is>
          <t>PERM-003</t>
        </is>
      </c>
      <c r="C7" s="12" t="inlineStr">
        <is>
          <t>EMP-004</t>
        </is>
      </c>
      <c r="D7" s="12" t="inlineStr">
        <is>
          <t>Nkoulou Mbarga</t>
        </is>
      </c>
      <c r="E7" s="12" t="inlineStr">
        <is>
          <t>CNI</t>
        </is>
      </c>
      <c r="F7" s="12" t="inlineStr">
        <is>
          <t>987654321</t>
        </is>
      </c>
      <c r="G7" s="27" t="n">
        <v>44075</v>
      </c>
      <c r="H7" s="27" t="n">
        <v>45901</v>
      </c>
      <c r="I7" s="12" t="inlineStr">
        <is>
          <t>DGSN</t>
        </is>
      </c>
      <c r="J7" s="12" t="inlineStr">
        <is>
          <t>A renouveler</t>
        </is>
      </c>
      <c r="K7" s="23" t="n"/>
    </row>
    <row r="8" ht="22" customHeight="1">
      <c r="B8" s="14" t="inlineStr">
        <is>
          <t>PERM-004</t>
        </is>
      </c>
      <c r="C8" s="14" t="inlineStr">
        <is>
          <t>EMP-003</t>
        </is>
      </c>
      <c r="D8" s="14" t="inlineStr">
        <is>
          <t>Fotso Marguerite</t>
        </is>
      </c>
      <c r="E8" s="14" t="inlineStr">
        <is>
          <t>Receve fiscal</t>
        </is>
      </c>
      <c r="F8" s="14" t="inlineStr">
        <is>
          <t>RF-2025-045</t>
        </is>
      </c>
      <c r="G8" s="28" t="n">
        <v>45667</v>
      </c>
      <c r="H8" s="28" t="n">
        <v>46022</v>
      </c>
      <c r="I8" s="14" t="inlineStr">
        <is>
          <t>Direction des impots</t>
        </is>
      </c>
      <c r="J8" s="14" t="inlineStr">
        <is>
          <t>Valide</t>
        </is>
      </c>
      <c r="K8" s="24" t="n"/>
    </row>
    <row r="9" ht="22" customHeight="1">
      <c r="B9" s="17">
        <f>IF(C9="","PERM-"&amp;TEXT(COUNTA($C$5:C9),"000"))</f>
        <v/>
      </c>
      <c r="C9" s="12" t="n"/>
      <c r="D9" s="12" t="n"/>
      <c r="E9" s="12" t="n"/>
      <c r="F9" s="12" t="n"/>
      <c r="G9" s="27" t="n"/>
      <c r="H9" s="27" t="n"/>
      <c r="I9" s="12" t="n"/>
      <c r="J9" s="12" t="n"/>
      <c r="K9" s="23">
        <f>IF(H9="","",MAX(H9-TODAY(),0))</f>
        <v/>
      </c>
    </row>
    <row r="10" ht="22" customHeight="1">
      <c r="B10" s="16">
        <f>IF(C10="","PERM-"&amp;TEXT(COUNTA($C$5:C10),"000"))</f>
        <v/>
      </c>
      <c r="C10" s="14" t="n"/>
      <c r="D10" s="14" t="n"/>
      <c r="E10" s="14" t="n"/>
      <c r="F10" s="14" t="n"/>
      <c r="G10" s="28" t="n"/>
      <c r="H10" s="28" t="n"/>
      <c r="I10" s="14" t="n"/>
      <c r="J10" s="14" t="n"/>
      <c r="K10" s="24">
        <f>IF(H10="","",MAX(H10-TODAY(),0))</f>
        <v/>
      </c>
    </row>
    <row r="11" ht="22" customHeight="1">
      <c r="B11" s="17">
        <f>IF(C11="","PERM-"&amp;TEXT(COUNTA($C$5:C11),"000"))</f>
        <v/>
      </c>
      <c r="C11" s="12" t="n"/>
      <c r="D11" s="12" t="n"/>
      <c r="E11" s="12" t="n"/>
      <c r="F11" s="12" t="n"/>
      <c r="G11" s="27" t="n"/>
      <c r="H11" s="27" t="n"/>
      <c r="I11" s="12" t="n"/>
      <c r="J11" s="12" t="n"/>
      <c r="K11" s="23">
        <f>IF(H11="","",MAX(H11-TODAY(),0))</f>
        <v/>
      </c>
    </row>
    <row r="12" ht="22" customHeight="1">
      <c r="B12" s="16">
        <f>IF(C12="","PERM-"&amp;TEXT(COUNTA($C$5:C12),"000"))</f>
        <v/>
      </c>
      <c r="C12" s="14" t="n"/>
      <c r="D12" s="14" t="n"/>
      <c r="E12" s="14" t="n"/>
      <c r="F12" s="14" t="n"/>
      <c r="G12" s="28" t="n"/>
      <c r="H12" s="28" t="n"/>
      <c r="I12" s="14" t="n"/>
      <c r="J12" s="14" t="n"/>
      <c r="K12" s="24">
        <f>IF(H12="","",MAX(H12-TODAY(),0))</f>
        <v/>
      </c>
    </row>
    <row r="13" ht="22" customHeight="1">
      <c r="B13" s="17">
        <f>IF(C13="","PERM-"&amp;TEXT(COUNTA($C$5:C13),"000"))</f>
        <v/>
      </c>
      <c r="C13" s="12" t="n"/>
      <c r="D13" s="12" t="n"/>
      <c r="E13" s="12" t="n"/>
      <c r="F13" s="12" t="n"/>
      <c r="G13" s="27" t="n"/>
      <c r="H13" s="27" t="n"/>
      <c r="I13" s="12" t="n"/>
      <c r="J13" s="12" t="n"/>
      <c r="K13" s="23">
        <f>IF(H13="","",MAX(H13-TODAY(),0))</f>
        <v/>
      </c>
    </row>
    <row r="14" ht="22" customHeight="1">
      <c r="B14" s="16">
        <f>IF(C14="","PERM-"&amp;TEXT(COUNTA($C$5:C14),"000"))</f>
        <v/>
      </c>
      <c r="C14" s="14" t="n"/>
      <c r="D14" s="14" t="n"/>
      <c r="E14" s="14" t="n"/>
      <c r="F14" s="14" t="n"/>
      <c r="G14" s="28" t="n"/>
      <c r="H14" s="28" t="n"/>
      <c r="I14" s="14" t="n"/>
      <c r="J14" s="14" t="n"/>
      <c r="K14" s="24">
        <f>IF(H14="","",MAX(H14-TODAY(),0))</f>
        <v/>
      </c>
    </row>
    <row r="15" ht="22" customHeight="1">
      <c r="B15" s="17">
        <f>IF(C15="","PERM-"&amp;TEXT(COUNTA($C$5:C15),"000"))</f>
        <v/>
      </c>
      <c r="C15" s="12" t="n"/>
      <c r="D15" s="12" t="n"/>
      <c r="E15" s="12" t="n"/>
      <c r="F15" s="12" t="n"/>
      <c r="G15" s="27" t="n"/>
      <c r="H15" s="27" t="n"/>
      <c r="I15" s="12" t="n"/>
      <c r="J15" s="12" t="n"/>
      <c r="K15" s="23">
        <f>IF(H15="","",MAX(H15-TODAY(),0))</f>
        <v/>
      </c>
    </row>
    <row r="16" ht="22" customHeight="1">
      <c r="B16" s="16">
        <f>IF(C16="","PERM-"&amp;TEXT(COUNTA($C$5:C16),"000"))</f>
        <v/>
      </c>
      <c r="C16" s="14" t="n"/>
      <c r="D16" s="14" t="n"/>
      <c r="E16" s="14" t="n"/>
      <c r="F16" s="14" t="n"/>
      <c r="G16" s="28" t="n"/>
      <c r="H16" s="28" t="n"/>
      <c r="I16" s="14" t="n"/>
      <c r="J16" s="14" t="n"/>
      <c r="K16" s="24">
        <f>IF(H16="","",MAX(H16-TODAY(),0))</f>
        <v/>
      </c>
    </row>
    <row r="17" ht="22" customHeight="1">
      <c r="B17" s="17">
        <f>IF(C17="","PERM-"&amp;TEXT(COUNTA($C$5:C17),"000"))</f>
        <v/>
      </c>
      <c r="C17" s="12" t="n"/>
      <c r="D17" s="12" t="n"/>
      <c r="E17" s="12" t="n"/>
      <c r="F17" s="12" t="n"/>
      <c r="G17" s="27" t="n"/>
      <c r="H17" s="27" t="n"/>
      <c r="I17" s="12" t="n"/>
      <c r="J17" s="12" t="n"/>
      <c r="K17" s="23">
        <f>IF(H17="","",MAX(H17-TODAY(),0))</f>
        <v/>
      </c>
    </row>
    <row r="18" ht="22" customHeight="1">
      <c r="B18" s="16">
        <f>IF(C18="","PERM-"&amp;TEXT(COUNTA($C$5:C18),"000"))</f>
        <v/>
      </c>
      <c r="C18" s="14" t="n"/>
      <c r="D18" s="14" t="n"/>
      <c r="E18" s="14" t="n"/>
      <c r="F18" s="14" t="n"/>
      <c r="G18" s="28" t="n"/>
      <c r="H18" s="28" t="n"/>
      <c r="I18" s="14" t="n"/>
      <c r="J18" s="14" t="n"/>
      <c r="K18" s="24">
        <f>IF(H18="","",MAX(H18-TODAY(),0))</f>
        <v/>
      </c>
    </row>
    <row r="19" ht="22" customHeight="1">
      <c r="B19" s="17">
        <f>IF(C19="","PERM-"&amp;TEXT(COUNTA($C$5:C19),"000"))</f>
        <v/>
      </c>
      <c r="C19" s="12" t="n"/>
      <c r="D19" s="12" t="n"/>
      <c r="E19" s="12" t="n"/>
      <c r="F19" s="12" t="n"/>
      <c r="G19" s="27" t="n"/>
      <c r="H19" s="27" t="n"/>
      <c r="I19" s="12" t="n"/>
      <c r="J19" s="12" t="n"/>
      <c r="K19" s="23">
        <f>IF(H19="","",MAX(H19-TODAY(),0))</f>
        <v/>
      </c>
    </row>
    <row r="20" ht="22" customHeight="1">
      <c r="B20" s="16">
        <f>IF(C20="","PERM-"&amp;TEXT(COUNTA($C$5:C20),"000"))</f>
        <v/>
      </c>
      <c r="C20" s="14" t="n"/>
      <c r="D20" s="14" t="n"/>
      <c r="E20" s="14" t="n"/>
      <c r="F20" s="14" t="n"/>
      <c r="G20" s="28" t="n"/>
      <c r="H20" s="28" t="n"/>
      <c r="I20" s="14" t="n"/>
      <c r="J20" s="14" t="n"/>
      <c r="K20" s="24">
        <f>IF(H20="","",MAX(H20-TODAY(),0))</f>
        <v/>
      </c>
    </row>
    <row r="21" ht="22" customHeight="1">
      <c r="B21" s="17">
        <f>IF(C21="","PERM-"&amp;TEXT(COUNTA($C$5:C21),"000"))</f>
        <v/>
      </c>
      <c r="C21" s="12" t="n"/>
      <c r="D21" s="12" t="n"/>
      <c r="E21" s="12" t="n"/>
      <c r="F21" s="12" t="n"/>
      <c r="G21" s="27" t="n"/>
      <c r="H21" s="27" t="n"/>
      <c r="I21" s="12" t="n"/>
      <c r="J21" s="12" t="n"/>
      <c r="K21" s="23">
        <f>IF(H21="","",MAX(H21-TODAY(),0))</f>
        <v/>
      </c>
    </row>
    <row r="22" ht="22" customHeight="1">
      <c r="B22" s="16">
        <f>IF(C22="","PERM-"&amp;TEXT(COUNTA($C$5:C22),"000"))</f>
        <v/>
      </c>
      <c r="C22" s="14" t="n"/>
      <c r="D22" s="14" t="n"/>
      <c r="E22" s="14" t="n"/>
      <c r="F22" s="14" t="n"/>
      <c r="G22" s="28" t="n"/>
      <c r="H22" s="28" t="n"/>
      <c r="I22" s="14" t="n"/>
      <c r="J22" s="14" t="n"/>
      <c r="K22" s="24">
        <f>IF(H22="","",MAX(H22-TODAY(),0))</f>
        <v/>
      </c>
    </row>
    <row r="23" ht="22" customHeight="1">
      <c r="B23" s="17">
        <f>IF(C23="","PERM-"&amp;TEXT(COUNTA($C$5:C23),"000"))</f>
        <v/>
      </c>
      <c r="C23" s="12" t="n"/>
      <c r="D23" s="12" t="n"/>
      <c r="E23" s="12" t="n"/>
      <c r="F23" s="12" t="n"/>
      <c r="G23" s="27" t="n"/>
      <c r="H23" s="27" t="n"/>
      <c r="I23" s="12" t="n"/>
      <c r="J23" s="12" t="n"/>
      <c r="K23" s="23">
        <f>IF(H23="","",MAX(H23-TODAY(),0))</f>
        <v/>
      </c>
    </row>
    <row r="24" ht="22" customHeight="1">
      <c r="B24" s="16">
        <f>IF(C24="","PERM-"&amp;TEXT(COUNTA($C$5:C24),"000"))</f>
        <v/>
      </c>
      <c r="C24" s="14" t="n"/>
      <c r="D24" s="14" t="n"/>
      <c r="E24" s="14" t="n"/>
      <c r="F24" s="14" t="n"/>
      <c r="G24" s="28" t="n"/>
      <c r="H24" s="28" t="n"/>
      <c r="I24" s="14" t="n"/>
      <c r="J24" s="14" t="n"/>
      <c r="K24" s="24">
        <f>IF(H24="","",MAX(H24-TODAY(),0))</f>
        <v/>
      </c>
    </row>
    <row r="25" ht="22" customHeight="1">
      <c r="B25" s="17">
        <f>IF(C25="","PERM-"&amp;TEXT(COUNTA($C$5:C25),"000"))</f>
        <v/>
      </c>
      <c r="C25" s="12" t="n"/>
      <c r="D25" s="12" t="n"/>
      <c r="E25" s="12" t="n"/>
      <c r="F25" s="12" t="n"/>
      <c r="G25" s="27" t="n"/>
      <c r="H25" s="27" t="n"/>
      <c r="I25" s="12" t="n"/>
      <c r="J25" s="12" t="n"/>
      <c r="K25" s="23">
        <f>IF(H25="","",MAX(H25-TODAY(),0))</f>
        <v/>
      </c>
    </row>
    <row r="26" ht="22" customHeight="1">
      <c r="B26" s="16">
        <f>IF(C26="","PERM-"&amp;TEXT(COUNTA($C$5:C26),"000"))</f>
        <v/>
      </c>
      <c r="C26" s="14" t="n"/>
      <c r="D26" s="14" t="n"/>
      <c r="E26" s="14" t="n"/>
      <c r="F26" s="14" t="n"/>
      <c r="G26" s="28" t="n"/>
      <c r="H26" s="28" t="n"/>
      <c r="I26" s="14" t="n"/>
      <c r="J26" s="14" t="n"/>
      <c r="K26" s="24">
        <f>IF(H26="","",MAX(H26-TODAY(),0))</f>
        <v/>
      </c>
    </row>
    <row r="27" ht="22" customHeight="1">
      <c r="B27" s="17">
        <f>IF(C27="","PERM-"&amp;TEXT(COUNTA($C$5:C27),"000"))</f>
        <v/>
      </c>
      <c r="C27" s="12" t="n"/>
      <c r="D27" s="12" t="n"/>
      <c r="E27" s="12" t="n"/>
      <c r="F27" s="12" t="n"/>
      <c r="G27" s="27" t="n"/>
      <c r="H27" s="27" t="n"/>
      <c r="I27" s="12" t="n"/>
      <c r="J27" s="12" t="n"/>
      <c r="K27" s="23">
        <f>IF(H27="","",MAX(H27-TODAY(),0))</f>
        <v/>
      </c>
    </row>
    <row r="28" ht="22" customHeight="1">
      <c r="B28" s="16">
        <f>IF(C28="","PERM-"&amp;TEXT(COUNTA($C$5:C28),"000"))</f>
        <v/>
      </c>
      <c r="C28" s="14" t="n"/>
      <c r="D28" s="14" t="n"/>
      <c r="E28" s="14" t="n"/>
      <c r="F28" s="14" t="n"/>
      <c r="G28" s="28" t="n"/>
      <c r="H28" s="28" t="n"/>
      <c r="I28" s="14" t="n"/>
      <c r="J28" s="14" t="n"/>
      <c r="K28" s="24">
        <f>IF(H28="","",MAX(H28-TODAY(),0))</f>
        <v/>
      </c>
    </row>
    <row r="29" ht="22" customHeight="1">
      <c r="B29" s="17">
        <f>IF(C29="","PERM-"&amp;TEXT(COUNTA($C$5:C29),"000"))</f>
        <v/>
      </c>
      <c r="C29" s="12" t="n"/>
      <c r="D29" s="12" t="n"/>
      <c r="E29" s="12" t="n"/>
      <c r="F29" s="12" t="n"/>
      <c r="G29" s="27" t="n"/>
      <c r="H29" s="27" t="n"/>
      <c r="I29" s="12" t="n"/>
      <c r="J29" s="12" t="n"/>
      <c r="K29" s="23">
        <f>IF(H29="","",MAX(H29-TODAY(),0))</f>
        <v/>
      </c>
    </row>
    <row r="30" ht="22" customHeight="1">
      <c r="B30" s="16">
        <f>IF(C30="","PERM-"&amp;TEXT(COUNTA($C$5:C30),"000"))</f>
        <v/>
      </c>
      <c r="C30" s="14" t="n"/>
      <c r="D30" s="14" t="n"/>
      <c r="E30" s="14" t="n"/>
      <c r="F30" s="14" t="n"/>
      <c r="G30" s="28" t="n"/>
      <c r="H30" s="28" t="n"/>
      <c r="I30" s="14" t="n"/>
      <c r="J30" s="14" t="n"/>
      <c r="K30" s="24">
        <f>IF(H30="","",MAX(H30-TODAY(),0))</f>
        <v/>
      </c>
    </row>
    <row r="31" ht="22" customHeight="1">
      <c r="B31" s="17">
        <f>IF(C31="","PERM-"&amp;TEXT(COUNTA($C$5:C31),"000"))</f>
        <v/>
      </c>
      <c r="C31" s="12" t="n"/>
      <c r="D31" s="12" t="n"/>
      <c r="E31" s="12" t="n"/>
      <c r="F31" s="12" t="n"/>
      <c r="G31" s="27" t="n"/>
      <c r="H31" s="27" t="n"/>
      <c r="I31" s="12" t="n"/>
      <c r="J31" s="12" t="n"/>
      <c r="K31" s="23">
        <f>IF(H31="","",MAX(H31-TODAY(),0))</f>
        <v/>
      </c>
    </row>
    <row r="32" ht="22" customHeight="1">
      <c r="B32" s="16">
        <f>IF(C32="","PERM-"&amp;TEXT(COUNTA($C$5:C32),"000"))</f>
        <v/>
      </c>
      <c r="C32" s="14" t="n"/>
      <c r="D32" s="14" t="n"/>
      <c r="E32" s="14" t="n"/>
      <c r="F32" s="14" t="n"/>
      <c r="G32" s="28" t="n"/>
      <c r="H32" s="28" t="n"/>
      <c r="I32" s="14" t="n"/>
      <c r="J32" s="14" t="n"/>
      <c r="K32" s="24">
        <f>IF(H32="","",MAX(H32-TODAY(),0))</f>
        <v/>
      </c>
    </row>
    <row r="33" ht="22" customHeight="1">
      <c r="B33" s="17">
        <f>IF(C33="","PERM-"&amp;TEXT(COUNTA($C$5:C33),"000"))</f>
        <v/>
      </c>
      <c r="C33" s="12" t="n"/>
      <c r="D33" s="12" t="n"/>
      <c r="E33" s="12" t="n"/>
      <c r="F33" s="12" t="n"/>
      <c r="G33" s="27" t="n"/>
      <c r="H33" s="27" t="n"/>
      <c r="I33" s="12" t="n"/>
      <c r="J33" s="12" t="n"/>
      <c r="K33" s="23">
        <f>IF(H33="","",MAX(H33-TODAY(),0))</f>
        <v/>
      </c>
    </row>
    <row r="34" ht="22" customHeight="1">
      <c r="B34" s="16">
        <f>IF(C34="","PERM-"&amp;TEXT(COUNTA($C$5:C34),"000"))</f>
        <v/>
      </c>
      <c r="C34" s="14" t="n"/>
      <c r="D34" s="14" t="n"/>
      <c r="E34" s="14" t="n"/>
      <c r="F34" s="14" t="n"/>
      <c r="G34" s="28" t="n"/>
      <c r="H34" s="28" t="n"/>
      <c r="I34" s="14" t="n"/>
      <c r="J34" s="14" t="n"/>
      <c r="K34" s="24">
        <f>IF(H34="","",MAX(H34-TODAY(),0))</f>
        <v/>
      </c>
    </row>
    <row r="35" ht="22" customHeight="1">
      <c r="B35" s="17">
        <f>IF(C35="","PERM-"&amp;TEXT(COUNTA($C$5:C35),"000"))</f>
        <v/>
      </c>
      <c r="C35" s="12" t="n"/>
      <c r="D35" s="12" t="n"/>
      <c r="E35" s="12" t="n"/>
      <c r="F35" s="12" t="n"/>
      <c r="G35" s="27" t="n"/>
      <c r="H35" s="27" t="n"/>
      <c r="I35" s="12" t="n"/>
      <c r="J35" s="12" t="n"/>
      <c r="K35" s="23">
        <f>IF(H35="","",MAX(H35-TODAY(),0))</f>
        <v/>
      </c>
    </row>
    <row r="36" ht="22" customHeight="1">
      <c r="B36" s="16">
        <f>IF(C36="","PERM-"&amp;TEXT(COUNTA($C$5:C36),"000"))</f>
        <v/>
      </c>
      <c r="C36" s="14" t="n"/>
      <c r="D36" s="14" t="n"/>
      <c r="E36" s="14" t="n"/>
      <c r="F36" s="14" t="n"/>
      <c r="G36" s="28" t="n"/>
      <c r="H36" s="28" t="n"/>
      <c r="I36" s="14" t="n"/>
      <c r="J36" s="14" t="n"/>
      <c r="K36" s="24">
        <f>IF(H36="","",MAX(H36-TODAY(),0))</f>
        <v/>
      </c>
    </row>
    <row r="37" ht="22" customHeight="1">
      <c r="B37" s="17">
        <f>IF(C37="","PERM-"&amp;TEXT(COUNTA($C$5:C37),"000"))</f>
        <v/>
      </c>
      <c r="C37" s="12" t="n"/>
      <c r="D37" s="12" t="n"/>
      <c r="E37" s="12" t="n"/>
      <c r="F37" s="12" t="n"/>
      <c r="G37" s="27" t="n"/>
      <c r="H37" s="27" t="n"/>
      <c r="I37" s="12" t="n"/>
      <c r="J37" s="12" t="n"/>
      <c r="K37" s="23">
        <f>IF(H37="","",MAX(H37-TODAY(),0))</f>
        <v/>
      </c>
    </row>
    <row r="38" ht="22" customHeight="1">
      <c r="B38" s="16">
        <f>IF(C38="","PERM-"&amp;TEXT(COUNTA($C$5:C38),"000"))</f>
        <v/>
      </c>
      <c r="C38" s="14" t="n"/>
      <c r="D38" s="14" t="n"/>
      <c r="E38" s="14" t="n"/>
      <c r="F38" s="14" t="n"/>
      <c r="G38" s="28" t="n"/>
      <c r="H38" s="28" t="n"/>
      <c r="I38" s="14" t="n"/>
      <c r="J38" s="14" t="n"/>
      <c r="K38" s="24">
        <f>IF(H38="","",MAX(H38-TODAY(),0))</f>
        <v/>
      </c>
    </row>
    <row r="39" ht="22" customHeight="1">
      <c r="B39" s="17">
        <f>IF(C39="","PERM-"&amp;TEXT(COUNTA($C$5:C39),"000"))</f>
        <v/>
      </c>
      <c r="C39" s="12" t="n"/>
      <c r="D39" s="12" t="n"/>
      <c r="E39" s="12" t="n"/>
      <c r="F39" s="12" t="n"/>
      <c r="G39" s="27" t="n"/>
      <c r="H39" s="27" t="n"/>
      <c r="I39" s="12" t="n"/>
      <c r="J39" s="12" t="n"/>
      <c r="K39" s="23">
        <f>IF(H39="","",MAX(H39-TODAY(),0))</f>
        <v/>
      </c>
    </row>
    <row r="40" ht="22" customHeight="1">
      <c r="B40" s="16">
        <f>IF(C40="","PERM-"&amp;TEXT(COUNTA($C$5:C40),"000"))</f>
        <v/>
      </c>
      <c r="C40" s="14" t="n"/>
      <c r="D40" s="14" t="n"/>
      <c r="E40" s="14" t="n"/>
      <c r="F40" s="14" t="n"/>
      <c r="G40" s="28" t="n"/>
      <c r="H40" s="28" t="n"/>
      <c r="I40" s="14" t="n"/>
      <c r="J40" s="14" t="n"/>
      <c r="K40" s="24">
        <f>IF(H40="","",MAX(H40-TODAY(),0))</f>
        <v/>
      </c>
    </row>
    <row r="41" ht="22" customHeight="1">
      <c r="B41" s="17">
        <f>IF(C41="","PERM-"&amp;TEXT(COUNTA($C$5:C41),"000"))</f>
        <v/>
      </c>
      <c r="C41" s="12" t="n"/>
      <c r="D41" s="12" t="n"/>
      <c r="E41" s="12" t="n"/>
      <c r="F41" s="12" t="n"/>
      <c r="G41" s="27" t="n"/>
      <c r="H41" s="27" t="n"/>
      <c r="I41" s="12" t="n"/>
      <c r="J41" s="12" t="n"/>
      <c r="K41" s="23">
        <f>IF(H41="","",MAX(H41-TODAY(),0))</f>
        <v/>
      </c>
    </row>
    <row r="42" ht="22" customHeight="1">
      <c r="B42" s="16">
        <f>IF(C42="","PERM-"&amp;TEXT(COUNTA($C$5:C42),"000"))</f>
        <v/>
      </c>
      <c r="C42" s="14" t="n"/>
      <c r="D42" s="14" t="n"/>
      <c r="E42" s="14" t="n"/>
      <c r="F42" s="14" t="n"/>
      <c r="G42" s="28" t="n"/>
      <c r="H42" s="28" t="n"/>
      <c r="I42" s="14" t="n"/>
      <c r="J42" s="14" t="n"/>
      <c r="K42" s="24">
        <f>IF(H42="","",MAX(H42-TODAY(),0))</f>
        <v/>
      </c>
    </row>
    <row r="43" ht="22" customHeight="1">
      <c r="B43" s="17">
        <f>IF(C43="","PERM-"&amp;TEXT(COUNTA($C$5:C43),"000"))</f>
        <v/>
      </c>
      <c r="C43" s="12" t="n"/>
      <c r="D43" s="12" t="n"/>
      <c r="E43" s="12" t="n"/>
      <c r="F43" s="12" t="n"/>
      <c r="G43" s="27" t="n"/>
      <c r="H43" s="27" t="n"/>
      <c r="I43" s="12" t="n"/>
      <c r="J43" s="12" t="n"/>
      <c r="K43" s="23">
        <f>IF(H43="","",MAX(H43-TODAY(),0))</f>
        <v/>
      </c>
    </row>
    <row r="44" ht="22" customHeight="1">
      <c r="B44" s="16">
        <f>IF(C44="","PERM-"&amp;TEXT(COUNTA($C$5:C44),"000"))</f>
        <v/>
      </c>
      <c r="C44" s="14" t="n"/>
      <c r="D44" s="14" t="n"/>
      <c r="E44" s="14" t="n"/>
      <c r="F44" s="14" t="n"/>
      <c r="G44" s="28" t="n"/>
      <c r="H44" s="28" t="n"/>
      <c r="I44" s="14" t="n"/>
      <c r="J44" s="14" t="n"/>
      <c r="K44" s="24">
        <f>IF(H44="","",MAX(H44-TODAY(),0))</f>
        <v/>
      </c>
    </row>
    <row r="45" ht="22" customHeight="1">
      <c r="B45" s="17">
        <f>IF(C45="","PERM-"&amp;TEXT(COUNTA($C$5:C45),"000"))</f>
        <v/>
      </c>
      <c r="C45" s="12" t="n"/>
      <c r="D45" s="12" t="n"/>
      <c r="E45" s="12" t="n"/>
      <c r="F45" s="12" t="n"/>
      <c r="G45" s="27" t="n"/>
      <c r="H45" s="27" t="n"/>
      <c r="I45" s="12" t="n"/>
      <c r="J45" s="12" t="n"/>
      <c r="K45" s="23">
        <f>IF(H45="","",MAX(H45-TODAY(),0))</f>
        <v/>
      </c>
    </row>
    <row r="46" ht="22" customHeight="1">
      <c r="B46" s="16">
        <f>IF(C46="","PERM-"&amp;TEXT(COUNTA($C$5:C46),"000"))</f>
        <v/>
      </c>
      <c r="C46" s="14" t="n"/>
      <c r="D46" s="14" t="n"/>
      <c r="E46" s="14" t="n"/>
      <c r="F46" s="14" t="n"/>
      <c r="G46" s="28" t="n"/>
      <c r="H46" s="28" t="n"/>
      <c r="I46" s="14" t="n"/>
      <c r="J46" s="14" t="n"/>
      <c r="K46" s="24">
        <f>IF(H46="","",MAX(H46-TODAY(),0))</f>
        <v/>
      </c>
    </row>
    <row r="47" ht="22" customHeight="1">
      <c r="B47" s="17">
        <f>IF(C47="","PERM-"&amp;TEXT(COUNTA($C$5:C47),"000"))</f>
        <v/>
      </c>
      <c r="C47" s="12" t="n"/>
      <c r="D47" s="12" t="n"/>
      <c r="E47" s="12" t="n"/>
      <c r="F47" s="12" t="n"/>
      <c r="G47" s="27" t="n"/>
      <c r="H47" s="27" t="n"/>
      <c r="I47" s="12" t="n"/>
      <c r="J47" s="12" t="n"/>
      <c r="K47" s="23">
        <f>IF(H47="","",MAX(H47-TODAY(),0))</f>
        <v/>
      </c>
    </row>
    <row r="48" ht="22" customHeight="1">
      <c r="B48" s="16">
        <f>IF(C48="","PERM-"&amp;TEXT(COUNTA($C$5:C48),"000"))</f>
        <v/>
      </c>
      <c r="C48" s="14" t="n"/>
      <c r="D48" s="14" t="n"/>
      <c r="E48" s="14" t="n"/>
      <c r="F48" s="14" t="n"/>
      <c r="G48" s="28" t="n"/>
      <c r="H48" s="28" t="n"/>
      <c r="I48" s="14" t="n"/>
      <c r="J48" s="14" t="n"/>
      <c r="K48" s="24">
        <f>IF(H48="","",MAX(H48-TODAY(),0))</f>
        <v/>
      </c>
    </row>
    <row r="49" ht="22" customHeight="1">
      <c r="B49" s="17">
        <f>IF(C49="","PERM-"&amp;TEXT(COUNTA($C$5:C49),"000"))</f>
        <v/>
      </c>
      <c r="C49" s="12" t="n"/>
      <c r="D49" s="12" t="n"/>
      <c r="E49" s="12" t="n"/>
      <c r="F49" s="12" t="n"/>
      <c r="G49" s="27" t="n"/>
      <c r="H49" s="27" t="n"/>
      <c r="I49" s="12" t="n"/>
      <c r="J49" s="12" t="n"/>
      <c r="K49" s="23">
        <f>IF(H49="","",MAX(H49-TODAY(),0))</f>
        <v/>
      </c>
    </row>
    <row r="50" ht="22" customHeight="1">
      <c r="B50" s="16">
        <f>IF(C50="","PERM-"&amp;TEXT(COUNTA($C$5:C50),"000"))</f>
        <v/>
      </c>
      <c r="C50" s="14" t="n"/>
      <c r="D50" s="14" t="n"/>
      <c r="E50" s="14" t="n"/>
      <c r="F50" s="14" t="n"/>
      <c r="G50" s="28" t="n"/>
      <c r="H50" s="28" t="n"/>
      <c r="I50" s="14" t="n"/>
      <c r="J50" s="14" t="n"/>
      <c r="K50" s="24">
        <f>IF(H50="","",MAX(H50-TODAY(),0))</f>
        <v/>
      </c>
    </row>
    <row r="51" ht="22" customHeight="1">
      <c r="B51" s="17">
        <f>IF(C51="","PERM-"&amp;TEXT(COUNTA($C$5:C51),"000"))</f>
        <v/>
      </c>
      <c r="C51" s="12" t="n"/>
      <c r="D51" s="12" t="n"/>
      <c r="E51" s="12" t="n"/>
      <c r="F51" s="12" t="n"/>
      <c r="G51" s="27" t="n"/>
      <c r="H51" s="27" t="n"/>
      <c r="I51" s="12" t="n"/>
      <c r="J51" s="12" t="n"/>
      <c r="K51" s="23">
        <f>IF(H51="","",MAX(H51-TODAY(),0))</f>
        <v/>
      </c>
    </row>
    <row r="52" ht="22" customHeight="1">
      <c r="B52" s="16">
        <f>IF(C52="","PERM-"&amp;TEXT(COUNTA($C$5:C52),"000"))</f>
        <v/>
      </c>
      <c r="C52" s="14" t="n"/>
      <c r="D52" s="14" t="n"/>
      <c r="E52" s="14" t="n"/>
      <c r="F52" s="14" t="n"/>
      <c r="G52" s="28" t="n"/>
      <c r="H52" s="28" t="n"/>
      <c r="I52" s="14" t="n"/>
      <c r="J52" s="14" t="n"/>
      <c r="K52" s="24">
        <f>IF(H52="","",MAX(H52-TODAY(),0))</f>
        <v/>
      </c>
    </row>
    <row r="53" ht="22" customHeight="1">
      <c r="B53" s="17">
        <f>IF(C53="","PERM-"&amp;TEXT(COUNTA($C$5:C53),"000"))</f>
        <v/>
      </c>
      <c r="C53" s="12" t="n"/>
      <c r="D53" s="12" t="n"/>
      <c r="E53" s="12" t="n"/>
      <c r="F53" s="12" t="n"/>
      <c r="G53" s="27" t="n"/>
      <c r="H53" s="27" t="n"/>
      <c r="I53" s="12" t="n"/>
      <c r="J53" s="12" t="n"/>
      <c r="K53" s="23">
        <f>IF(H53="","",MAX(H53-TODAY(),0))</f>
        <v/>
      </c>
    </row>
    <row r="54" ht="22" customHeight="1">
      <c r="B54" s="16">
        <f>IF(C54="","PERM-"&amp;TEXT(COUNTA($C$5:C54),"000"))</f>
        <v/>
      </c>
      <c r="C54" s="14" t="n"/>
      <c r="D54" s="14" t="n"/>
      <c r="E54" s="14" t="n"/>
      <c r="F54" s="14" t="n"/>
      <c r="G54" s="28" t="n"/>
      <c r="H54" s="28" t="n"/>
      <c r="I54" s="14" t="n"/>
      <c r="J54" s="14" t="n"/>
      <c r="K54" s="24">
        <f>IF(H54="","",MAX(H54-TODAY(),0))</f>
        <v/>
      </c>
    </row>
    <row r="55" ht="22" customHeight="1">
      <c r="B55" s="17">
        <f>IF(C55="","PERM-"&amp;TEXT(COUNTA($C$5:C55),"000"))</f>
        <v/>
      </c>
      <c r="C55" s="12" t="n"/>
      <c r="D55" s="12" t="n"/>
      <c r="E55" s="12" t="n"/>
      <c r="F55" s="12" t="n"/>
      <c r="G55" s="27" t="n"/>
      <c r="H55" s="27" t="n"/>
      <c r="I55" s="12" t="n"/>
      <c r="J55" s="12" t="n"/>
      <c r="K55" s="23">
        <f>IF(H55="","",MAX(H55-TODAY(),0))</f>
        <v/>
      </c>
    </row>
    <row r="56" ht="22" customHeight="1">
      <c r="B56" s="16">
        <f>IF(C56="","PERM-"&amp;TEXT(COUNTA($C$5:C56),"000"))</f>
        <v/>
      </c>
      <c r="C56" s="14" t="n"/>
      <c r="D56" s="14" t="n"/>
      <c r="E56" s="14" t="n"/>
      <c r="F56" s="14" t="n"/>
      <c r="G56" s="28" t="n"/>
      <c r="H56" s="28" t="n"/>
      <c r="I56" s="14" t="n"/>
      <c r="J56" s="14" t="n"/>
      <c r="K56" s="24">
        <f>IF(H56="","",MAX(H56-TODAY(),0))</f>
        <v/>
      </c>
    </row>
    <row r="57" ht="22" customHeight="1">
      <c r="B57" s="17">
        <f>IF(C57="","PERM-"&amp;TEXT(COUNTA($C$5:C57),"000"))</f>
        <v/>
      </c>
      <c r="C57" s="12" t="n"/>
      <c r="D57" s="12" t="n"/>
      <c r="E57" s="12" t="n"/>
      <c r="F57" s="12" t="n"/>
      <c r="G57" s="27" t="n"/>
      <c r="H57" s="27" t="n"/>
      <c r="I57" s="12" t="n"/>
      <c r="J57" s="12" t="n"/>
      <c r="K57" s="23">
        <f>IF(H57="","",MAX(H57-TODAY(),0))</f>
        <v/>
      </c>
    </row>
    <row r="58" ht="22" customHeight="1">
      <c r="B58" s="16">
        <f>IF(C58="","PERM-"&amp;TEXT(COUNTA($C$5:C58),"000"))</f>
        <v/>
      </c>
      <c r="C58" s="14" t="n"/>
      <c r="D58" s="14" t="n"/>
      <c r="E58" s="14" t="n"/>
      <c r="F58" s="14" t="n"/>
      <c r="G58" s="28" t="n"/>
      <c r="H58" s="28" t="n"/>
      <c r="I58" s="14" t="n"/>
      <c r="J58" s="14" t="n"/>
      <c r="K58" s="24">
        <f>IF(H58="","",MAX(H58-TODAY(),0))</f>
        <v/>
      </c>
    </row>
    <row r="59" ht="22" customHeight="1">
      <c r="B59" s="17">
        <f>IF(C59="","PERM-"&amp;TEXT(COUNTA($C$5:C59),"000"))</f>
        <v/>
      </c>
      <c r="C59" s="12" t="n"/>
      <c r="D59" s="12" t="n"/>
      <c r="E59" s="12" t="n"/>
      <c r="F59" s="12" t="n"/>
      <c r="G59" s="27" t="n"/>
      <c r="H59" s="27" t="n"/>
      <c r="I59" s="12" t="n"/>
      <c r="J59" s="12" t="n"/>
      <c r="K59" s="23">
        <f>IF(H59="","",MAX(H59-TODAY(),0))</f>
        <v/>
      </c>
    </row>
    <row r="60" ht="22" customHeight="1">
      <c r="B60" s="16">
        <f>IF(C60="","PERM-"&amp;TEXT(COUNTA($C$5:C60),"000"))</f>
        <v/>
      </c>
      <c r="C60" s="14" t="n"/>
      <c r="D60" s="14" t="n"/>
      <c r="E60" s="14" t="n"/>
      <c r="F60" s="14" t="n"/>
      <c r="G60" s="28" t="n"/>
      <c r="H60" s="28" t="n"/>
      <c r="I60" s="14" t="n"/>
      <c r="J60" s="14" t="n"/>
      <c r="K60" s="24">
        <f>IF(H60="","",MAX(H60-TODAY(),0))</f>
        <v/>
      </c>
    </row>
    <row r="61" ht="22" customHeight="1">
      <c r="B61" s="17">
        <f>IF(C61="","PERM-"&amp;TEXT(COUNTA($C$5:C61),"000"))</f>
        <v/>
      </c>
      <c r="C61" s="12" t="n"/>
      <c r="D61" s="12" t="n"/>
      <c r="E61" s="12" t="n"/>
      <c r="F61" s="12" t="n"/>
      <c r="G61" s="27" t="n"/>
      <c r="H61" s="27" t="n"/>
      <c r="I61" s="12" t="n"/>
      <c r="J61" s="12" t="n"/>
      <c r="K61" s="23">
        <f>IF(H61="","",MAX(H61-TODAY(),0))</f>
        <v/>
      </c>
    </row>
    <row r="62" ht="22" customHeight="1">
      <c r="B62" s="16">
        <f>IF(C62="","PERM-"&amp;TEXT(COUNTA($C$5:C62),"000"))</f>
        <v/>
      </c>
      <c r="C62" s="14" t="n"/>
      <c r="D62" s="14" t="n"/>
      <c r="E62" s="14" t="n"/>
      <c r="F62" s="14" t="n"/>
      <c r="G62" s="28" t="n"/>
      <c r="H62" s="28" t="n"/>
      <c r="I62" s="14" t="n"/>
      <c r="J62" s="14" t="n"/>
      <c r="K62" s="24">
        <f>IF(H62="","",MAX(H62-TODAY(),0))</f>
        <v/>
      </c>
    </row>
    <row r="63" ht="22" customHeight="1">
      <c r="B63" s="17">
        <f>IF(C63="","PERM-"&amp;TEXT(COUNTA($C$5:C63),"000"))</f>
        <v/>
      </c>
      <c r="C63" s="12" t="n"/>
      <c r="D63" s="12" t="n"/>
      <c r="E63" s="12" t="n"/>
      <c r="F63" s="12" t="n"/>
      <c r="G63" s="27" t="n"/>
      <c r="H63" s="27" t="n"/>
      <c r="I63" s="12" t="n"/>
      <c r="J63" s="12" t="n"/>
      <c r="K63" s="23">
        <f>IF(H63="","",MAX(H63-TODAY(),0))</f>
        <v/>
      </c>
    </row>
    <row r="64" ht="22" customHeight="1">
      <c r="B64" s="16">
        <f>IF(C64="","PERM-"&amp;TEXT(COUNTA($C$5:C64),"000"))</f>
        <v/>
      </c>
      <c r="C64" s="14" t="n"/>
      <c r="D64" s="14" t="n"/>
      <c r="E64" s="14" t="n"/>
      <c r="F64" s="14" t="n"/>
      <c r="G64" s="28" t="n"/>
      <c r="H64" s="28" t="n"/>
      <c r="I64" s="14" t="n"/>
      <c r="J64" s="14" t="n"/>
      <c r="K64" s="24">
        <f>IF(H64="","",MAX(H64-TODAY(),0))</f>
        <v/>
      </c>
    </row>
    <row r="65" ht="22" customHeight="1">
      <c r="B65" s="17">
        <f>IF(C65="","PERM-"&amp;TEXT(COUNTA($C$5:C65),"000"))</f>
        <v/>
      </c>
      <c r="C65" s="12" t="n"/>
      <c r="D65" s="12" t="n"/>
      <c r="E65" s="12" t="n"/>
      <c r="F65" s="12" t="n"/>
      <c r="G65" s="27" t="n"/>
      <c r="H65" s="27" t="n"/>
      <c r="I65" s="12" t="n"/>
      <c r="J65" s="12" t="n"/>
      <c r="K65" s="23">
        <f>IF(H65="","",MAX(H65-TODAY(),0))</f>
        <v/>
      </c>
    </row>
    <row r="66" ht="22" customHeight="1">
      <c r="B66" s="16">
        <f>IF(C66="","PERM-"&amp;TEXT(COUNTA($C$5:C66),"000"))</f>
        <v/>
      </c>
      <c r="C66" s="14" t="n"/>
      <c r="D66" s="14" t="n"/>
      <c r="E66" s="14" t="n"/>
      <c r="F66" s="14" t="n"/>
      <c r="G66" s="28" t="n"/>
      <c r="H66" s="28" t="n"/>
      <c r="I66" s="14" t="n"/>
      <c r="J66" s="14" t="n"/>
      <c r="K66" s="24">
        <f>IF(H66="","",MAX(H66-TODAY(),0))</f>
        <v/>
      </c>
    </row>
    <row r="67" ht="22" customHeight="1">
      <c r="B67" s="17">
        <f>IF(C67="","PERM-"&amp;TEXT(COUNTA($C$5:C67),"000"))</f>
        <v/>
      </c>
      <c r="C67" s="12" t="n"/>
      <c r="D67" s="12" t="n"/>
      <c r="E67" s="12" t="n"/>
      <c r="F67" s="12" t="n"/>
      <c r="G67" s="27" t="n"/>
      <c r="H67" s="27" t="n"/>
      <c r="I67" s="12" t="n"/>
      <c r="J67" s="12" t="n"/>
      <c r="K67" s="23">
        <f>IF(H67="","",MAX(H67-TODAY(),0))</f>
        <v/>
      </c>
    </row>
    <row r="68" ht="22" customHeight="1">
      <c r="B68" s="16">
        <f>IF(C68="","PERM-"&amp;TEXT(COUNTA($C$5:C68),"000"))</f>
        <v/>
      </c>
      <c r="C68" s="14" t="n"/>
      <c r="D68" s="14" t="n"/>
      <c r="E68" s="14" t="n"/>
      <c r="F68" s="14" t="n"/>
      <c r="G68" s="28" t="n"/>
      <c r="H68" s="28" t="n"/>
      <c r="I68" s="14" t="n"/>
      <c r="J68" s="14" t="n"/>
      <c r="K68" s="24">
        <f>IF(H68="","",MAX(H68-TODAY(),0))</f>
        <v/>
      </c>
    </row>
    <row r="69" ht="22" customHeight="1">
      <c r="B69" s="17">
        <f>IF(C69="","PERM-"&amp;TEXT(COUNTA($C$5:C69),"000"))</f>
        <v/>
      </c>
      <c r="C69" s="12" t="n"/>
      <c r="D69" s="12" t="n"/>
      <c r="E69" s="12" t="n"/>
      <c r="F69" s="12" t="n"/>
      <c r="G69" s="27" t="n"/>
      <c r="H69" s="27" t="n"/>
      <c r="I69" s="12" t="n"/>
      <c r="J69" s="12" t="n"/>
      <c r="K69" s="23">
        <f>IF(H69="","",MAX(H69-TODAY(),0))</f>
        <v/>
      </c>
    </row>
    <row r="70" ht="22" customHeight="1">
      <c r="B70" s="16">
        <f>IF(C70="","PERM-"&amp;TEXT(COUNTA($C$5:C70),"000"))</f>
        <v/>
      </c>
      <c r="C70" s="14" t="n"/>
      <c r="D70" s="14" t="n"/>
      <c r="E70" s="14" t="n"/>
      <c r="F70" s="14" t="n"/>
      <c r="G70" s="28" t="n"/>
      <c r="H70" s="28" t="n"/>
      <c r="I70" s="14" t="n"/>
      <c r="J70" s="14" t="n"/>
      <c r="K70" s="24">
        <f>IF(H70="","",MAX(H70-TODAY(),0))</f>
        <v/>
      </c>
    </row>
    <row r="71" ht="22" customHeight="1">
      <c r="B71" s="17">
        <f>IF(C71="","PERM-"&amp;TEXT(COUNTA($C$5:C71),"000"))</f>
        <v/>
      </c>
      <c r="C71" s="12" t="n"/>
      <c r="D71" s="12" t="n"/>
      <c r="E71" s="12" t="n"/>
      <c r="F71" s="12" t="n"/>
      <c r="G71" s="27" t="n"/>
      <c r="H71" s="27" t="n"/>
      <c r="I71" s="12" t="n"/>
      <c r="J71" s="12" t="n"/>
      <c r="K71" s="23">
        <f>IF(H71="","",MAX(H71-TODAY(),0))</f>
        <v/>
      </c>
    </row>
    <row r="72" ht="22" customHeight="1">
      <c r="B72" s="16">
        <f>IF(C72="","PERM-"&amp;TEXT(COUNTA($C$5:C72),"000"))</f>
        <v/>
      </c>
      <c r="C72" s="14" t="n"/>
      <c r="D72" s="14" t="n"/>
      <c r="E72" s="14" t="n"/>
      <c r="F72" s="14" t="n"/>
      <c r="G72" s="28" t="n"/>
      <c r="H72" s="28" t="n"/>
      <c r="I72" s="14" t="n"/>
      <c r="J72" s="14" t="n"/>
      <c r="K72" s="24">
        <f>IF(H72="","",MAX(H72-TODAY(),0))</f>
        <v/>
      </c>
    </row>
    <row r="73" ht="22" customHeight="1">
      <c r="B73" s="17">
        <f>IF(C73="","PERM-"&amp;TEXT(COUNTA($C$5:C73),"000"))</f>
        <v/>
      </c>
      <c r="C73" s="12" t="n"/>
      <c r="D73" s="12" t="n"/>
      <c r="E73" s="12" t="n"/>
      <c r="F73" s="12" t="n"/>
      <c r="G73" s="27" t="n"/>
      <c r="H73" s="27" t="n"/>
      <c r="I73" s="12" t="n"/>
      <c r="J73" s="12" t="n"/>
      <c r="K73" s="23">
        <f>IF(H73="","",MAX(H73-TODAY(),0))</f>
        <v/>
      </c>
    </row>
    <row r="74" ht="22" customHeight="1">
      <c r="B74" s="16">
        <f>IF(C74="","PERM-"&amp;TEXT(COUNTA($C$5:C74),"000"))</f>
        <v/>
      </c>
      <c r="C74" s="14" t="n"/>
      <c r="D74" s="14" t="n"/>
      <c r="E74" s="14" t="n"/>
      <c r="F74" s="14" t="n"/>
      <c r="G74" s="28" t="n"/>
      <c r="H74" s="28" t="n"/>
      <c r="I74" s="14" t="n"/>
      <c r="J74" s="14" t="n"/>
      <c r="K74" s="24">
        <f>IF(H74="","",MAX(H74-TODAY(),0))</f>
        <v/>
      </c>
    </row>
    <row r="75" ht="22" customHeight="1">
      <c r="B75" s="17">
        <f>IF(C75="","PERM-"&amp;TEXT(COUNTA($C$5:C75),"000"))</f>
        <v/>
      </c>
      <c r="C75" s="12" t="n"/>
      <c r="D75" s="12" t="n"/>
      <c r="E75" s="12" t="n"/>
      <c r="F75" s="12" t="n"/>
      <c r="G75" s="27" t="n"/>
      <c r="H75" s="27" t="n"/>
      <c r="I75" s="12" t="n"/>
      <c r="J75" s="12" t="n"/>
      <c r="K75" s="23">
        <f>IF(H75="","",MAX(H75-TODAY(),0))</f>
        <v/>
      </c>
    </row>
    <row r="76" ht="22" customHeight="1">
      <c r="B76" s="16">
        <f>IF(C76="","PERM-"&amp;TEXT(COUNTA($C$5:C76),"000"))</f>
        <v/>
      </c>
      <c r="C76" s="14" t="n"/>
      <c r="D76" s="14" t="n"/>
      <c r="E76" s="14" t="n"/>
      <c r="F76" s="14" t="n"/>
      <c r="G76" s="28" t="n"/>
      <c r="H76" s="28" t="n"/>
      <c r="I76" s="14" t="n"/>
      <c r="J76" s="14" t="n"/>
      <c r="K76" s="24">
        <f>IF(H76="","",MAX(H76-TODAY(),0))</f>
        <v/>
      </c>
    </row>
    <row r="77" ht="22" customHeight="1">
      <c r="B77" s="17">
        <f>IF(C77="","PERM-"&amp;TEXT(COUNTA($C$5:C77),"000"))</f>
        <v/>
      </c>
      <c r="C77" s="12" t="n"/>
      <c r="D77" s="12" t="n"/>
      <c r="E77" s="12" t="n"/>
      <c r="F77" s="12" t="n"/>
      <c r="G77" s="27" t="n"/>
      <c r="H77" s="27" t="n"/>
      <c r="I77" s="12" t="n"/>
      <c r="J77" s="12" t="n"/>
      <c r="K77" s="23">
        <f>IF(H77="","",MAX(H77-TODAY(),0))</f>
        <v/>
      </c>
    </row>
    <row r="78" ht="22" customHeight="1">
      <c r="B78" s="16">
        <f>IF(C78="","PERM-"&amp;TEXT(COUNTA($C$5:C78),"000"))</f>
        <v/>
      </c>
      <c r="C78" s="14" t="n"/>
      <c r="D78" s="14" t="n"/>
      <c r="E78" s="14" t="n"/>
      <c r="F78" s="14" t="n"/>
      <c r="G78" s="28" t="n"/>
      <c r="H78" s="28" t="n"/>
      <c r="I78" s="14" t="n"/>
      <c r="J78" s="14" t="n"/>
      <c r="K78" s="24">
        <f>IF(H78="","",MAX(H78-TODAY(),0))</f>
        <v/>
      </c>
    </row>
    <row r="79" ht="22" customHeight="1">
      <c r="B79" s="17">
        <f>IF(C79="","PERM-"&amp;TEXT(COUNTA($C$5:C79),"000"))</f>
        <v/>
      </c>
      <c r="C79" s="12" t="n"/>
      <c r="D79" s="12" t="n"/>
      <c r="E79" s="12" t="n"/>
      <c r="F79" s="12" t="n"/>
      <c r="G79" s="27" t="n"/>
      <c r="H79" s="27" t="n"/>
      <c r="I79" s="12" t="n"/>
      <c r="J79" s="12" t="n"/>
      <c r="K79" s="23">
        <f>IF(H79="","",MAX(H79-TODAY(),0))</f>
        <v/>
      </c>
    </row>
    <row r="80" ht="22" customHeight="1">
      <c r="B80" s="16">
        <f>IF(C80="","PERM-"&amp;TEXT(COUNTA($C$5:C80),"000"))</f>
        <v/>
      </c>
      <c r="C80" s="14" t="n"/>
      <c r="D80" s="14" t="n"/>
      <c r="E80" s="14" t="n"/>
      <c r="F80" s="14" t="n"/>
      <c r="G80" s="28" t="n"/>
      <c r="H80" s="28" t="n"/>
      <c r="I80" s="14" t="n"/>
      <c r="J80" s="14" t="n"/>
      <c r="K80" s="24">
        <f>IF(H80="","",MAX(H80-TODAY(),0))</f>
        <v/>
      </c>
    </row>
    <row r="81" ht="22" customHeight="1">
      <c r="B81" s="17">
        <f>IF(C81="","PERM-"&amp;TEXT(COUNTA($C$5:C81),"000"))</f>
        <v/>
      </c>
      <c r="C81" s="12" t="n"/>
      <c r="D81" s="12" t="n"/>
      <c r="E81" s="12" t="n"/>
      <c r="F81" s="12" t="n"/>
      <c r="G81" s="27" t="n"/>
      <c r="H81" s="27" t="n"/>
      <c r="I81" s="12" t="n"/>
      <c r="J81" s="12" t="n"/>
      <c r="K81" s="23">
        <f>IF(H81="","",MAX(H81-TODAY(),0))</f>
        <v/>
      </c>
    </row>
    <row r="82" ht="22" customHeight="1">
      <c r="B82" s="16">
        <f>IF(C82="","PERM-"&amp;TEXT(COUNTA($C$5:C82),"000"))</f>
        <v/>
      </c>
      <c r="C82" s="14" t="n"/>
      <c r="D82" s="14" t="n"/>
      <c r="E82" s="14" t="n"/>
      <c r="F82" s="14" t="n"/>
      <c r="G82" s="28" t="n"/>
      <c r="H82" s="28" t="n"/>
      <c r="I82" s="14" t="n"/>
      <c r="J82" s="14" t="n"/>
      <c r="K82" s="24">
        <f>IF(H82="","",MAX(H82-TODAY(),0))</f>
        <v/>
      </c>
    </row>
    <row r="83" ht="22" customHeight="1">
      <c r="B83" s="17">
        <f>IF(C83="","PERM-"&amp;TEXT(COUNTA($C$5:C83),"000"))</f>
        <v/>
      </c>
      <c r="C83" s="12" t="n"/>
      <c r="D83" s="12" t="n"/>
      <c r="E83" s="12" t="n"/>
      <c r="F83" s="12" t="n"/>
      <c r="G83" s="27" t="n"/>
      <c r="H83" s="27" t="n"/>
      <c r="I83" s="12" t="n"/>
      <c r="J83" s="12" t="n"/>
      <c r="K83" s="23">
        <f>IF(H83="","",MAX(H83-TODAY(),0))</f>
        <v/>
      </c>
    </row>
    <row r="84" ht="22" customHeight="1">
      <c r="B84" s="16">
        <f>IF(C84="","PERM-"&amp;TEXT(COUNTA($C$5:C84),"000"))</f>
        <v/>
      </c>
      <c r="C84" s="14" t="n"/>
      <c r="D84" s="14" t="n"/>
      <c r="E84" s="14" t="n"/>
      <c r="F84" s="14" t="n"/>
      <c r="G84" s="28" t="n"/>
      <c r="H84" s="28" t="n"/>
      <c r="I84" s="14" t="n"/>
      <c r="J84" s="14" t="n"/>
      <c r="K84" s="24">
        <f>IF(H84="","",MAX(H84-TODAY(),0))</f>
        <v/>
      </c>
    </row>
    <row r="85" ht="22" customHeight="1">
      <c r="B85" s="17">
        <f>IF(C85="","PERM-"&amp;TEXT(COUNTA($C$5:C85),"000"))</f>
        <v/>
      </c>
      <c r="C85" s="12" t="n"/>
      <c r="D85" s="12" t="n"/>
      <c r="E85" s="12" t="n"/>
      <c r="F85" s="12" t="n"/>
      <c r="G85" s="27" t="n"/>
      <c r="H85" s="27" t="n"/>
      <c r="I85" s="12" t="n"/>
      <c r="J85" s="12" t="n"/>
      <c r="K85" s="23">
        <f>IF(H85="","",MAX(H85-TODAY(),0))</f>
        <v/>
      </c>
    </row>
    <row r="86" ht="22" customHeight="1">
      <c r="B86" s="16">
        <f>IF(C86="","PERM-"&amp;TEXT(COUNTA($C$5:C86),"000"))</f>
        <v/>
      </c>
      <c r="C86" s="14" t="n"/>
      <c r="D86" s="14" t="n"/>
      <c r="E86" s="14" t="n"/>
      <c r="F86" s="14" t="n"/>
      <c r="G86" s="28" t="n"/>
      <c r="H86" s="28" t="n"/>
      <c r="I86" s="14" t="n"/>
      <c r="J86" s="14" t="n"/>
      <c r="K86" s="24">
        <f>IF(H86="","",MAX(H86-TODAY(),0))</f>
        <v/>
      </c>
    </row>
    <row r="87" ht="22" customHeight="1">
      <c r="B87" s="17">
        <f>IF(C87="","PERM-"&amp;TEXT(COUNTA($C$5:C87),"000"))</f>
        <v/>
      </c>
      <c r="C87" s="12" t="n"/>
      <c r="D87" s="12" t="n"/>
      <c r="E87" s="12" t="n"/>
      <c r="F87" s="12" t="n"/>
      <c r="G87" s="27" t="n"/>
      <c r="H87" s="27" t="n"/>
      <c r="I87" s="12" t="n"/>
      <c r="J87" s="12" t="n"/>
      <c r="K87" s="23">
        <f>IF(H87="","",MAX(H87-TODAY(),0))</f>
        <v/>
      </c>
    </row>
    <row r="88" ht="22" customHeight="1">
      <c r="B88" s="16">
        <f>IF(C88="","PERM-"&amp;TEXT(COUNTA($C$5:C88),"000"))</f>
        <v/>
      </c>
      <c r="C88" s="14" t="n"/>
      <c r="D88" s="14" t="n"/>
      <c r="E88" s="14" t="n"/>
      <c r="F88" s="14" t="n"/>
      <c r="G88" s="28" t="n"/>
      <c r="H88" s="28" t="n"/>
      <c r="I88" s="14" t="n"/>
      <c r="J88" s="14" t="n"/>
      <c r="K88" s="24">
        <f>IF(H88="","",MAX(H88-TODAY(),0))</f>
        <v/>
      </c>
    </row>
    <row r="89" ht="22" customHeight="1">
      <c r="B89" s="17">
        <f>IF(C89="","PERM-"&amp;TEXT(COUNTA($C$5:C89),"000"))</f>
        <v/>
      </c>
      <c r="C89" s="12" t="n"/>
      <c r="D89" s="12" t="n"/>
      <c r="E89" s="12" t="n"/>
      <c r="F89" s="12" t="n"/>
      <c r="G89" s="27" t="n"/>
      <c r="H89" s="27" t="n"/>
      <c r="I89" s="12" t="n"/>
      <c r="J89" s="12" t="n"/>
      <c r="K89" s="23">
        <f>IF(H89="","",MAX(H89-TODAY(),0))</f>
        <v/>
      </c>
    </row>
    <row r="90" ht="22" customHeight="1">
      <c r="B90" s="16">
        <f>IF(C90="","PERM-"&amp;TEXT(COUNTA($C$5:C90),"000"))</f>
        <v/>
      </c>
      <c r="C90" s="14" t="n"/>
      <c r="D90" s="14" t="n"/>
      <c r="E90" s="14" t="n"/>
      <c r="F90" s="14" t="n"/>
      <c r="G90" s="28" t="n"/>
      <c r="H90" s="28" t="n"/>
      <c r="I90" s="14" t="n"/>
      <c r="J90" s="14" t="n"/>
      <c r="K90" s="24">
        <f>IF(H90="","",MAX(H90-TODAY(),0))</f>
        <v/>
      </c>
    </row>
    <row r="91" ht="22" customHeight="1">
      <c r="B91" s="17">
        <f>IF(C91="","PERM-"&amp;TEXT(COUNTA($C$5:C91),"000"))</f>
        <v/>
      </c>
      <c r="C91" s="12" t="n"/>
      <c r="D91" s="12" t="n"/>
      <c r="E91" s="12" t="n"/>
      <c r="F91" s="12" t="n"/>
      <c r="G91" s="27" t="n"/>
      <c r="H91" s="27" t="n"/>
      <c r="I91" s="12" t="n"/>
      <c r="J91" s="12" t="n"/>
      <c r="K91" s="23">
        <f>IF(H91="","",MAX(H91-TODAY(),0))</f>
        <v/>
      </c>
    </row>
    <row r="92" ht="22" customHeight="1">
      <c r="B92" s="16">
        <f>IF(C92="","PERM-"&amp;TEXT(COUNTA($C$5:C92),"000"))</f>
        <v/>
      </c>
      <c r="C92" s="14" t="n"/>
      <c r="D92" s="14" t="n"/>
      <c r="E92" s="14" t="n"/>
      <c r="F92" s="14" t="n"/>
      <c r="G92" s="28" t="n"/>
      <c r="H92" s="28" t="n"/>
      <c r="I92" s="14" t="n"/>
      <c r="J92" s="14" t="n"/>
      <c r="K92" s="24">
        <f>IF(H92="","",MAX(H92-TODAY(),0))</f>
        <v/>
      </c>
    </row>
    <row r="93" ht="22" customHeight="1">
      <c r="B93" s="17">
        <f>IF(C93="","PERM-"&amp;TEXT(COUNTA($C$5:C93),"000"))</f>
        <v/>
      </c>
      <c r="C93" s="12" t="n"/>
      <c r="D93" s="12" t="n"/>
      <c r="E93" s="12" t="n"/>
      <c r="F93" s="12" t="n"/>
      <c r="G93" s="27" t="n"/>
      <c r="H93" s="27" t="n"/>
      <c r="I93" s="12" t="n"/>
      <c r="J93" s="12" t="n"/>
      <c r="K93" s="23">
        <f>IF(H93="","",MAX(H93-TODAY(),0))</f>
        <v/>
      </c>
    </row>
    <row r="94" ht="22" customHeight="1">
      <c r="B94" s="16">
        <f>IF(C94="","PERM-"&amp;TEXT(COUNTA($C$5:C94),"000"))</f>
        <v/>
      </c>
      <c r="C94" s="14" t="n"/>
      <c r="D94" s="14" t="n"/>
      <c r="E94" s="14" t="n"/>
      <c r="F94" s="14" t="n"/>
      <c r="G94" s="28" t="n"/>
      <c r="H94" s="28" t="n"/>
      <c r="I94" s="14" t="n"/>
      <c r="J94" s="14" t="n"/>
      <c r="K94" s="24">
        <f>IF(H94="","",MAX(H94-TODAY(),0))</f>
        <v/>
      </c>
    </row>
    <row r="95" ht="22" customHeight="1">
      <c r="B95" s="17">
        <f>IF(C95="","PERM-"&amp;TEXT(COUNTA($C$5:C95),"000"))</f>
        <v/>
      </c>
      <c r="C95" s="12" t="n"/>
      <c r="D95" s="12" t="n"/>
      <c r="E95" s="12" t="n"/>
      <c r="F95" s="12" t="n"/>
      <c r="G95" s="27" t="n"/>
      <c r="H95" s="27" t="n"/>
      <c r="I95" s="12" t="n"/>
      <c r="J95" s="12" t="n"/>
      <c r="K95" s="23">
        <f>IF(H95="","",MAX(H95-TODAY(),0))</f>
        <v/>
      </c>
    </row>
    <row r="96" ht="22" customHeight="1">
      <c r="B96" s="16">
        <f>IF(C96="","PERM-"&amp;TEXT(COUNTA($C$5:C96),"000"))</f>
        <v/>
      </c>
      <c r="C96" s="14" t="n"/>
      <c r="D96" s="14" t="n"/>
      <c r="E96" s="14" t="n"/>
      <c r="F96" s="14" t="n"/>
      <c r="G96" s="28" t="n"/>
      <c r="H96" s="28" t="n"/>
      <c r="I96" s="14" t="n"/>
      <c r="J96" s="14" t="n"/>
      <c r="K96" s="24">
        <f>IF(H96="","",MAX(H96-TODAY(),0))</f>
        <v/>
      </c>
    </row>
    <row r="97" ht="22" customHeight="1">
      <c r="B97" s="17">
        <f>IF(C97="","PERM-"&amp;TEXT(COUNTA($C$5:C97),"000"))</f>
        <v/>
      </c>
      <c r="C97" s="12" t="n"/>
      <c r="D97" s="12" t="n"/>
      <c r="E97" s="12" t="n"/>
      <c r="F97" s="12" t="n"/>
      <c r="G97" s="27" t="n"/>
      <c r="H97" s="27" t="n"/>
      <c r="I97" s="12" t="n"/>
      <c r="J97" s="12" t="n"/>
      <c r="K97" s="23">
        <f>IF(H97="","",MAX(H97-TODAY(),0))</f>
        <v/>
      </c>
    </row>
    <row r="98" ht="22" customHeight="1">
      <c r="B98" s="16">
        <f>IF(C98="","PERM-"&amp;TEXT(COUNTA($C$5:C98),"000"))</f>
        <v/>
      </c>
      <c r="C98" s="14" t="n"/>
      <c r="D98" s="14" t="n"/>
      <c r="E98" s="14" t="n"/>
      <c r="F98" s="14" t="n"/>
      <c r="G98" s="28" t="n"/>
      <c r="H98" s="28" t="n"/>
      <c r="I98" s="14" t="n"/>
      <c r="J98" s="14" t="n"/>
      <c r="K98" s="24">
        <f>IF(H98="","",MAX(H98-TODAY(),0))</f>
        <v/>
      </c>
    </row>
    <row r="99" ht="22" customHeight="1">
      <c r="B99" s="17">
        <f>IF(C99="","PERM-"&amp;TEXT(COUNTA($C$5:C99),"000"))</f>
        <v/>
      </c>
      <c r="C99" s="12" t="n"/>
      <c r="D99" s="12" t="n"/>
      <c r="E99" s="12" t="n"/>
      <c r="F99" s="12" t="n"/>
      <c r="G99" s="27" t="n"/>
      <c r="H99" s="27" t="n"/>
      <c r="I99" s="12" t="n"/>
      <c r="J99" s="12" t="n"/>
      <c r="K99" s="23">
        <f>IF(H99="","",MAX(H99-TODAY(),0))</f>
        <v/>
      </c>
    </row>
    <row r="100" ht="22" customHeight="1">
      <c r="B100" s="16">
        <f>IF(C100="","PERM-"&amp;TEXT(COUNTA($C$5:C100),"000"))</f>
        <v/>
      </c>
      <c r="C100" s="14" t="n"/>
      <c r="D100" s="14" t="n"/>
      <c r="E100" s="14" t="n"/>
      <c r="F100" s="14" t="n"/>
      <c r="G100" s="28" t="n"/>
      <c r="H100" s="28" t="n"/>
      <c r="I100" s="14" t="n"/>
      <c r="J100" s="14" t="n"/>
      <c r="K100" s="24">
        <f>IF(H100="","",MAX(H100-TODAY(),0))</f>
        <v/>
      </c>
    </row>
    <row r="101" ht="22" customHeight="1">
      <c r="B101" s="17">
        <f>IF(C101="","PERM-"&amp;TEXT(COUNTA($C$5:C101),"000"))</f>
        <v/>
      </c>
      <c r="C101" s="12" t="n"/>
      <c r="D101" s="12" t="n"/>
      <c r="E101" s="12" t="n"/>
      <c r="F101" s="12" t="n"/>
      <c r="G101" s="27" t="n"/>
      <c r="H101" s="27" t="n"/>
      <c r="I101" s="12" t="n"/>
      <c r="J101" s="12" t="n"/>
      <c r="K101" s="23">
        <f>IF(H101="","",MAX(H101-TODAY(),0))</f>
        <v/>
      </c>
    </row>
    <row r="102" ht="22" customHeight="1">
      <c r="B102" s="16">
        <f>IF(C102="","PERM-"&amp;TEXT(COUNTA($C$5:C102),"000"))</f>
        <v/>
      </c>
      <c r="C102" s="14" t="n"/>
      <c r="D102" s="14" t="n"/>
      <c r="E102" s="14" t="n"/>
      <c r="F102" s="14" t="n"/>
      <c r="G102" s="28" t="n"/>
      <c r="H102" s="28" t="n"/>
      <c r="I102" s="14" t="n"/>
      <c r="J102" s="14" t="n"/>
      <c r="K102" s="24">
        <f>IF(H102="","",MAX(H102-TODAY(),0))</f>
        <v/>
      </c>
    </row>
    <row r="103" ht="22" customHeight="1">
      <c r="B103" s="17">
        <f>IF(C103="","PERM-"&amp;TEXT(COUNTA($C$5:C103),"000"))</f>
        <v/>
      </c>
      <c r="C103" s="12" t="n"/>
      <c r="D103" s="12" t="n"/>
      <c r="E103" s="12" t="n"/>
      <c r="F103" s="12" t="n"/>
      <c r="G103" s="27" t="n"/>
      <c r="H103" s="27" t="n"/>
      <c r="I103" s="12" t="n"/>
      <c r="J103" s="12" t="n"/>
      <c r="K103" s="23">
        <f>IF(H103="","",MAX(H103-TODAY(),0))</f>
        <v/>
      </c>
    </row>
    <row r="104" ht="22" customHeight="1">
      <c r="B104" s="16">
        <f>IF(C104="","PERM-"&amp;TEXT(COUNTA($C$5:C104),"000"))</f>
        <v/>
      </c>
      <c r="C104" s="14" t="n"/>
      <c r="D104" s="14" t="n"/>
      <c r="E104" s="14" t="n"/>
      <c r="F104" s="14" t="n"/>
      <c r="G104" s="28" t="n"/>
      <c r="H104" s="28" t="n"/>
      <c r="I104" s="14" t="n"/>
      <c r="J104" s="14" t="n"/>
      <c r="K104" s="24">
        <f>IF(H104="","",MAX(H104-TODAY(),0))</f>
        <v/>
      </c>
    </row>
    <row r="105" ht="22" customHeight="1">
      <c r="B105" s="17">
        <f>IF(C105="","PERM-"&amp;TEXT(COUNTA($C$5:C105),"000"))</f>
        <v/>
      </c>
      <c r="C105" s="12" t="n"/>
      <c r="D105" s="12" t="n"/>
      <c r="E105" s="12" t="n"/>
      <c r="F105" s="12" t="n"/>
      <c r="G105" s="27" t="n"/>
      <c r="H105" s="27" t="n"/>
      <c r="I105" s="12" t="n"/>
      <c r="J105" s="12" t="n"/>
      <c r="K105" s="23">
        <f>IF(H105="","",MAX(H105-TODAY(),0))</f>
        <v/>
      </c>
    </row>
    <row r="106" ht="22" customHeight="1">
      <c r="B106" s="16">
        <f>IF(C106="","PERM-"&amp;TEXT(COUNTA($C$5:C106),"000"))</f>
        <v/>
      </c>
      <c r="C106" s="14" t="n"/>
      <c r="D106" s="14" t="n"/>
      <c r="E106" s="14" t="n"/>
      <c r="F106" s="14" t="n"/>
      <c r="G106" s="28" t="n"/>
      <c r="H106" s="28" t="n"/>
      <c r="I106" s="14" t="n"/>
      <c r="J106" s="14" t="n"/>
      <c r="K106" s="24">
        <f>IF(H106="","",MAX(H106-TODAY(),0))</f>
        <v/>
      </c>
    </row>
    <row r="107" ht="22" customHeight="1">
      <c r="B107" s="17">
        <f>IF(C107="","PERM-"&amp;TEXT(COUNTA($C$5:C107),"000"))</f>
        <v/>
      </c>
      <c r="C107" s="12" t="n"/>
      <c r="D107" s="12" t="n"/>
      <c r="E107" s="12" t="n"/>
      <c r="F107" s="12" t="n"/>
      <c r="G107" s="27" t="n"/>
      <c r="H107" s="27" t="n"/>
      <c r="I107" s="12" t="n"/>
      <c r="J107" s="12" t="n"/>
      <c r="K107" s="23">
        <f>IF(H107="","",MAX(H107-TODAY(),0))</f>
        <v/>
      </c>
    </row>
    <row r="108" ht="22" customHeight="1">
      <c r="B108" s="16">
        <f>IF(C108="","PERM-"&amp;TEXT(COUNTA($C$5:C108),"000"))</f>
        <v/>
      </c>
      <c r="C108" s="14" t="n"/>
      <c r="D108" s="14" t="n"/>
      <c r="E108" s="14" t="n"/>
      <c r="F108" s="14" t="n"/>
      <c r="G108" s="28" t="n"/>
      <c r="H108" s="28" t="n"/>
      <c r="I108" s="14" t="n"/>
      <c r="J108" s="14" t="n"/>
      <c r="K108" s="24">
        <f>IF(H108="","",MAX(H108-TODAY(),0))</f>
        <v/>
      </c>
    </row>
    <row r="109"/>
    <row r="110">
      <c r="B110" s="6" t="inlineStr">
        <is>
          <t>INDICATEURS (mis a jour automatiquement)</t>
        </is>
      </c>
    </row>
    <row r="111">
      <c r="B111" s="3" t="inlineStr">
        <is>
          <t>Total permis</t>
        </is>
      </c>
      <c r="D111" s="3" t="inlineStr">
        <is>
          <t>Valides</t>
        </is>
      </c>
      <c r="F111" s="3" t="inlineStr">
        <is>
          <t>A renouveler</t>
        </is>
      </c>
      <c r="H111" s="3" t="inlineStr">
        <is>
          <t>Expire</t>
        </is>
      </c>
    </row>
    <row r="112">
      <c r="B112" s="4">
        <f>COUNTIF(B5:B104,"&lt;&gt;")</f>
        <v/>
      </c>
      <c r="D112" s="4">
        <f>COUNTIF(J5:J104,"Valide")</f>
        <v/>
      </c>
      <c r="F112" s="4">
        <f>COUNTIF(J5:J104,"A renouveler")</f>
        <v/>
      </c>
      <c r="H112" s="4">
        <f>COUNTIF(J5:J104,"Expire")</f>
        <v/>
      </c>
    </row>
  </sheetData>
  <mergeCells count="3">
    <mergeCell ref="B110:K110"/>
    <mergeCell ref="B3:K3"/>
    <mergeCell ref="B2:K2"/>
  </mergeCells>
  <conditionalFormatting sqref="J5:J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"Soumise"</formula>
    </cfRule>
    <cfRule type="cellIs" priority="9" operator="equal" dxfId="0">
      <formula>"Traite"</formula>
    </cfRule>
    <cfRule type="cellIs" priority="10" operator="equal" dxfId="0">
      <formula>"Clos"</formula>
    </cfRule>
    <cfRule type="cellIs" priority="11" operator="equal" dxfId="0">
      <formula>"Solde"</formula>
    </cfRule>
    <cfRule type="cellIs" priority="12" operator="equal" dxfId="0">
      <formula>"Pris"</formula>
    </cfRule>
    <cfRule type="cellIs" priority="13" operator="equal" dxfId="1">
      <formula>"En attente"</formula>
    </cfRule>
    <cfRule type="cellIs" priority="14" operator="equal" dxfId="1">
      <formula>"A renouveler"</formula>
    </cfRule>
    <cfRule type="cellIs" priority="15" operator="equal" dxfId="1">
      <formula>"En renouvellement"</formula>
    </cfRule>
    <cfRule type="cellIs" priority="16" operator="equal" dxfId="1">
      <formula>"En cours"</formula>
    </cfRule>
    <cfRule type="cellIs" priority="17" operator="equal" dxfId="1">
      <formula>"En traitement"</formula>
    </cfRule>
    <cfRule type="cellIs" priority="18" operator="equal" dxfId="1">
      <formula>"En retard"</formula>
    </cfRule>
    <cfRule type="cellIs" priority="19" operator="equal" dxfId="1">
      <formula>"Suspendu"</formula>
    </cfRule>
    <cfRule type="cellIs" priority="20" operator="equal" dxfId="1">
      <formula>"A verifier"</formula>
    </cfRule>
    <cfRule type="cellIs" priority="21" operator="equal" dxfId="2">
      <formula>"Expire"</formula>
    </cfRule>
    <cfRule type="cellIs" priority="22" operator="equal" dxfId="2">
      <formula>"Rejete"</formula>
    </cfRule>
    <cfRule type="cellIs" priority="23" operator="equal" dxfId="2">
      <formula>"Rejetee"</formula>
    </cfRule>
    <cfRule type="cellIs" priority="24" operator="equal" dxfId="2">
      <formula>"Resilie"</formula>
    </cfRule>
    <cfRule type="cellIs" priority="25" operator="equal" dxfId="2">
      <formula>"Echu"</formula>
    </cfRule>
    <cfRule type="cellIs" priority="26" operator="equal" dxfId="2">
      <formula>"Refuse"</formula>
    </cfRule>
    <cfRule type="cellIs" priority="27" operator="equal" dxfId="2">
      <formula>"Annulee"</formula>
    </cfRule>
    <cfRule type="cellIs" priority="28" operator="equal" dxfId="2">
      <formula>"Departi"</formula>
    </cfRule>
    <cfRule type="cellIs" priority="29" operator="equal" dxfId="2">
      <formula>"Cloture"</formula>
    </cfRule>
    <cfRule type="cellIs" priority="30" operator="equal" dxfId="2">
      <formula>"Non justifiee"</formula>
    </cfRule>
    <cfRule type="cellIs" priority="31" operator="equal" dxfId="2">
      <formula>"Manquant"</formula>
    </cfRule>
  </conditionalFormatting>
  <conditionalFormatting sqref="B9:B108">
    <cfRule type="expression" priority="32" dxfId="3">
      <formula>AND($C9="",$C8&lt;&gt;"")</formula>
    </cfRule>
  </conditionalFormatting>
  <conditionalFormatting sqref="C9:C108">
    <cfRule type="expression" priority="33" dxfId="3">
      <formula>AND($C9="",$C8&lt;&gt;"")</formula>
    </cfRule>
  </conditionalFormatting>
  <conditionalFormatting sqref="D9:D108">
    <cfRule type="expression" priority="34" dxfId="3">
      <formula>AND($C9="",$C8&lt;&gt;"")</formula>
    </cfRule>
  </conditionalFormatting>
  <conditionalFormatting sqref="E9:E108">
    <cfRule type="expression" priority="35" dxfId="3">
      <formula>AND($C9="",$C8&lt;&gt;"")</formula>
    </cfRule>
  </conditionalFormatting>
  <conditionalFormatting sqref="F9:F108">
    <cfRule type="expression" priority="36" dxfId="3">
      <formula>AND($C9="",$C8&lt;&gt;"")</formula>
    </cfRule>
  </conditionalFormatting>
  <conditionalFormatting sqref="G9:G108">
    <cfRule type="expression" priority="37" dxfId="3">
      <formula>AND($C9="",$C8&lt;&gt;"")</formula>
    </cfRule>
  </conditionalFormatting>
  <conditionalFormatting sqref="H9:H108">
    <cfRule type="expression" priority="38" dxfId="3">
      <formula>AND($C9="",$C8&lt;&gt;"")</formula>
    </cfRule>
  </conditionalFormatting>
  <conditionalFormatting sqref="I9:I108">
    <cfRule type="expression" priority="39" dxfId="3">
      <formula>AND($C9="",$C8&lt;&gt;"")</formula>
    </cfRule>
  </conditionalFormatting>
  <conditionalFormatting sqref="J9:J108">
    <cfRule type="expression" priority="40" dxfId="3">
      <formula>AND($C9="",$C8&lt;&gt;"")</formula>
    </cfRule>
  </conditionalFormatting>
  <conditionalFormatting sqref="K9:K108">
    <cfRule type="expression" priority="41" dxfId="3">
      <formula>AND($C9="",$C8&lt;&gt;"")</formula>
    </cfRule>
  </conditionalFormatting>
  <dataValidations count="3">
    <dataValidation sqref="E5:E108" showDropDown="0" showInputMessage="0" showErrorMessage="0" allowBlank="1" errorTitle="Erreur" error="Valeur invalide" promptTitle="Liste" prompt="Choisir dans la liste" type="list">
      <formula1>'_Lists'!$AF$2:$AF$6</formula1>
    </dataValidation>
    <dataValidation sqref="I5:I108" showDropDown="0" showInputMessage="0" showErrorMessage="0" allowBlank="1" errorTitle="Erreur" error="Valeur invalide" promptTitle="Liste" prompt="Choisir dans la liste" type="list">
      <formula1>'_Lists'!$AH$2:$AH$7</formula1>
    </dataValidation>
    <dataValidation sqref="J5:J108" showDropDown="0" showInputMessage="0" showErrorMessage="0" allowBlank="1" errorTitle="Erreur" error="Valeur invalide" promptTitle="Liste" prompt="Choisir dans la liste" type="list">
      <formula1>'_Lists'!$AG$2:$AG$6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8" customWidth="1" min="3" max="3"/>
    <col width="20" customWidth="1" min="4" max="4"/>
    <col width="12" customWidth="1" min="5" max="5"/>
    <col width="28" customWidth="1" min="6" max="6"/>
    <col width="12" customWidth="1" min="7" max="7"/>
    <col width="10" customWidth="1" min="8" max="8"/>
    <col width="15" customWidth="1" min="9" max="9"/>
    <col width="16" customWidth="1" min="10" max="10"/>
    <col width="10" customWidth="1" min="11" max="11"/>
  </cols>
  <sheetData>
    <row r="1" ht="15" customHeight="1"/>
    <row r="2" ht="32" customHeight="1">
      <c r="B2" s="1" t="inlineStr">
        <is>
          <t>DOSSIERS DE DEPART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Matricule</t>
        </is>
      </c>
      <c r="D4" s="11" t="inlineStr">
        <is>
          <t>Nom Employé</t>
        </is>
      </c>
      <c r="E4" s="11" t="inlineStr">
        <is>
          <t>Date Départ</t>
        </is>
      </c>
      <c r="F4" s="11" t="inlineStr">
        <is>
          <t>Motif Départ</t>
        </is>
      </c>
      <c r="G4" s="11" t="inlineStr">
        <is>
          <t>Date Notification</t>
        </is>
      </c>
      <c r="H4" s="11" t="inlineStr">
        <is>
          <t>Solde Congés (jrs)</t>
        </is>
      </c>
      <c r="I4" s="11" t="inlineStr">
        <is>
          <t>Dernier Salaire (FCFA)</t>
        </is>
      </c>
      <c r="J4" s="11" t="inlineStr">
        <is>
          <t>Indemnité (FCFA)</t>
        </is>
      </c>
      <c r="K4" s="11" t="inlineStr">
        <is>
          <t>Documents Remis</t>
        </is>
      </c>
      <c r="L4" s="11" t="inlineStr">
        <is>
          <t>Statut Dossier</t>
        </is>
      </c>
    </row>
    <row r="5" ht="22" customHeight="1">
      <c r="B5" s="12" t="inlineStr">
        <is>
          <t>DEP-001</t>
        </is>
      </c>
      <c r="C5" s="12" t="inlineStr">
        <is>
          <t>EMP-2024-012</t>
        </is>
      </c>
      <c r="D5" s="12" t="inlineStr">
        <is>
          <t>Kamga Jean</t>
        </is>
      </c>
      <c r="E5" s="27" t="n">
        <v>45716</v>
      </c>
      <c r="F5" s="12" t="inlineStr">
        <is>
          <t>Demission</t>
        </is>
      </c>
      <c r="G5" s="27" t="n">
        <v>45672</v>
      </c>
      <c r="H5" s="23" t="n">
        <v>8</v>
      </c>
      <c r="I5" s="18" t="n">
        <v>320000</v>
      </c>
      <c r="J5" s="18">
        <f>IF(I5="","",IFERROR(I5*0.5,0))</f>
        <v/>
      </c>
      <c r="K5" s="12" t="inlineStr">
        <is>
          <t>Attestation, Certificat, Solde tout compte</t>
        </is>
      </c>
      <c r="L5" s="12" t="inlineStr">
        <is>
          <t>Clos</t>
        </is>
      </c>
    </row>
    <row r="6" ht="22" customHeight="1">
      <c r="B6" s="14" t="inlineStr">
        <is>
          <t>DEP-002</t>
        </is>
      </c>
      <c r="C6" s="14" t="inlineStr">
        <is>
          <t>EMP-2024-015</t>
        </is>
      </c>
      <c r="D6" s="14" t="inlineStr">
        <is>
          <t>Biyong Paul</t>
        </is>
      </c>
      <c r="E6" s="28" t="n">
        <v>45747</v>
      </c>
      <c r="F6" s="14" t="inlineStr">
        <is>
          <t>Fin de CDD</t>
        </is>
      </c>
      <c r="G6" s="28" t="n">
        <v>45717</v>
      </c>
      <c r="H6" s="24" t="n">
        <v>0</v>
      </c>
      <c r="I6" s="19" t="n">
        <v>165000</v>
      </c>
      <c r="J6" s="19">
        <f>IF(I6="","",IFERROR(I6*0.5,0))</f>
        <v/>
      </c>
      <c r="K6" s="14" t="inlineStr">
        <is>
          <t>Attestation, Certificat</t>
        </is>
      </c>
      <c r="L6" s="14" t="inlineStr">
        <is>
          <t>En cours</t>
        </is>
      </c>
    </row>
    <row r="7" ht="22" customHeight="1">
      <c r="B7" s="12" t="inlineStr">
        <is>
          <t>DEP-003</t>
        </is>
      </c>
      <c r="C7" s="12" t="inlineStr">
        <is>
          <t>EMP-2023-003</t>
        </is>
      </c>
      <c r="D7" s="12" t="inlineStr">
        <is>
          <t>Ngo Mballa Marie</t>
        </is>
      </c>
      <c r="E7" s="27" t="n">
        <v>45657</v>
      </c>
      <c r="F7" s="12" t="inlineStr">
        <is>
          <t>Retraite</t>
        </is>
      </c>
      <c r="G7" s="27" t="n">
        <v>45566</v>
      </c>
      <c r="H7" s="23" t="n">
        <v>20</v>
      </c>
      <c r="I7" s="18" t="n">
        <v>520000</v>
      </c>
      <c r="J7" s="18">
        <f>IF(I7="","",IFERROR(I7*0.5,0))</f>
        <v/>
      </c>
      <c r="K7" s="12" t="inlineStr">
        <is>
          <t>Tous documents remis</t>
        </is>
      </c>
      <c r="L7" s="12" t="inlineStr">
        <is>
          <t>Clos</t>
        </is>
      </c>
    </row>
    <row r="8" ht="22" customHeight="1">
      <c r="B8" s="16">
        <f>IF(C8="","DEP-"&amp;TEXT(COUNTA($C$5:C8),"000"))</f>
        <v/>
      </c>
      <c r="C8" s="14" t="n"/>
      <c r="D8" s="14" t="n"/>
      <c r="E8" s="28" t="n"/>
      <c r="F8" s="14" t="n"/>
      <c r="G8" s="28" t="n"/>
      <c r="H8" s="24" t="n"/>
      <c r="I8" s="19" t="n"/>
      <c r="J8" s="19">
        <f>IF(I8="","",IFERROR(I8*0.5,0))</f>
        <v/>
      </c>
      <c r="K8" s="14" t="n"/>
      <c r="L8" s="14" t="n"/>
    </row>
    <row r="9" ht="22" customHeight="1">
      <c r="B9" s="17">
        <f>IF(C9="","DEP-"&amp;TEXT(COUNTA($C$5:C9),"000"))</f>
        <v/>
      </c>
      <c r="C9" s="12" t="n"/>
      <c r="D9" s="12" t="n"/>
      <c r="E9" s="27" t="n"/>
      <c r="F9" s="12" t="n"/>
      <c r="G9" s="27" t="n"/>
      <c r="H9" s="23" t="n"/>
      <c r="I9" s="18" t="n"/>
      <c r="J9" s="18">
        <f>IF(I9="","",IFERROR(I9*0.5,0))</f>
        <v/>
      </c>
      <c r="K9" s="12" t="n"/>
      <c r="L9" s="12" t="n"/>
    </row>
    <row r="10" ht="22" customHeight="1">
      <c r="B10" s="16">
        <f>IF(C10="","DEP-"&amp;TEXT(COUNTA($C$5:C10),"000"))</f>
        <v/>
      </c>
      <c r="C10" s="14" t="n"/>
      <c r="D10" s="14" t="n"/>
      <c r="E10" s="28" t="n"/>
      <c r="F10" s="14" t="n"/>
      <c r="G10" s="28" t="n"/>
      <c r="H10" s="24" t="n"/>
      <c r="I10" s="19" t="n"/>
      <c r="J10" s="19">
        <f>IF(I10="","",IFERROR(I10*0.5,0))</f>
        <v/>
      </c>
      <c r="K10" s="14" t="n"/>
      <c r="L10" s="14" t="n"/>
    </row>
    <row r="11" ht="22" customHeight="1">
      <c r="B11" s="17">
        <f>IF(C11="","DEP-"&amp;TEXT(COUNTA($C$5:C11),"000"))</f>
        <v/>
      </c>
      <c r="C11" s="12" t="n"/>
      <c r="D11" s="12" t="n"/>
      <c r="E11" s="27" t="n"/>
      <c r="F11" s="12" t="n"/>
      <c r="G11" s="27" t="n"/>
      <c r="H11" s="23" t="n"/>
      <c r="I11" s="18" t="n"/>
      <c r="J11" s="18">
        <f>IF(I11="","",IFERROR(I11*0.5,0))</f>
        <v/>
      </c>
      <c r="K11" s="12" t="n"/>
      <c r="L11" s="12" t="n"/>
    </row>
    <row r="12" ht="22" customHeight="1">
      <c r="B12" s="16">
        <f>IF(C12="","DEP-"&amp;TEXT(COUNTA($C$5:C12),"000"))</f>
        <v/>
      </c>
      <c r="C12" s="14" t="n"/>
      <c r="D12" s="14" t="n"/>
      <c r="E12" s="28" t="n"/>
      <c r="F12" s="14" t="n"/>
      <c r="G12" s="28" t="n"/>
      <c r="H12" s="24" t="n"/>
      <c r="I12" s="19" t="n"/>
      <c r="J12" s="19">
        <f>IF(I12="","",IFERROR(I12*0.5,0))</f>
        <v/>
      </c>
      <c r="K12" s="14" t="n"/>
      <c r="L12" s="14" t="n"/>
    </row>
    <row r="13" ht="22" customHeight="1">
      <c r="B13" s="17">
        <f>IF(C13="","DEP-"&amp;TEXT(COUNTA($C$5:C13),"000"))</f>
        <v/>
      </c>
      <c r="C13" s="12" t="n"/>
      <c r="D13" s="12" t="n"/>
      <c r="E13" s="27" t="n"/>
      <c r="F13" s="12" t="n"/>
      <c r="G13" s="27" t="n"/>
      <c r="H13" s="23" t="n"/>
      <c r="I13" s="18" t="n"/>
      <c r="J13" s="18">
        <f>IF(I13="","",IFERROR(I13*0.5,0))</f>
        <v/>
      </c>
      <c r="K13" s="12" t="n"/>
      <c r="L13" s="12" t="n"/>
    </row>
    <row r="14" ht="22" customHeight="1">
      <c r="B14" s="16">
        <f>IF(C14="","DEP-"&amp;TEXT(COUNTA($C$5:C14),"000"))</f>
        <v/>
      </c>
      <c r="C14" s="14" t="n"/>
      <c r="D14" s="14" t="n"/>
      <c r="E14" s="28" t="n"/>
      <c r="F14" s="14" t="n"/>
      <c r="G14" s="28" t="n"/>
      <c r="H14" s="24" t="n"/>
      <c r="I14" s="19" t="n"/>
      <c r="J14" s="19">
        <f>IF(I14="","",IFERROR(I14*0.5,0))</f>
        <v/>
      </c>
      <c r="K14" s="14" t="n"/>
      <c r="L14" s="14" t="n"/>
    </row>
    <row r="15" ht="22" customHeight="1">
      <c r="B15" s="17">
        <f>IF(C15="","DEP-"&amp;TEXT(COUNTA($C$5:C15),"000"))</f>
        <v/>
      </c>
      <c r="C15" s="12" t="n"/>
      <c r="D15" s="12" t="n"/>
      <c r="E15" s="27" t="n"/>
      <c r="F15" s="12" t="n"/>
      <c r="G15" s="27" t="n"/>
      <c r="H15" s="23" t="n"/>
      <c r="I15" s="18" t="n"/>
      <c r="J15" s="18">
        <f>IF(I15="","",IFERROR(I15*0.5,0))</f>
        <v/>
      </c>
      <c r="K15" s="12" t="n"/>
      <c r="L15" s="12" t="n"/>
    </row>
    <row r="16" ht="22" customHeight="1">
      <c r="B16" s="16">
        <f>IF(C16="","DEP-"&amp;TEXT(COUNTA($C$5:C16),"000"))</f>
        <v/>
      </c>
      <c r="C16" s="14" t="n"/>
      <c r="D16" s="14" t="n"/>
      <c r="E16" s="28" t="n"/>
      <c r="F16" s="14" t="n"/>
      <c r="G16" s="28" t="n"/>
      <c r="H16" s="24" t="n"/>
      <c r="I16" s="19" t="n"/>
      <c r="J16" s="19">
        <f>IF(I16="","",IFERROR(I16*0.5,0))</f>
        <v/>
      </c>
      <c r="K16" s="14" t="n"/>
      <c r="L16" s="14" t="n"/>
    </row>
    <row r="17" ht="22" customHeight="1">
      <c r="B17" s="17">
        <f>IF(C17="","DEP-"&amp;TEXT(COUNTA($C$5:C17),"000"))</f>
        <v/>
      </c>
      <c r="C17" s="12" t="n"/>
      <c r="D17" s="12" t="n"/>
      <c r="E17" s="27" t="n"/>
      <c r="F17" s="12" t="n"/>
      <c r="G17" s="27" t="n"/>
      <c r="H17" s="23" t="n"/>
      <c r="I17" s="18" t="n"/>
      <c r="J17" s="18">
        <f>IF(I17="","",IFERROR(I17*0.5,0))</f>
        <v/>
      </c>
      <c r="K17" s="12" t="n"/>
      <c r="L17" s="12" t="n"/>
    </row>
    <row r="18" ht="22" customHeight="1">
      <c r="B18" s="16">
        <f>IF(C18="","DEP-"&amp;TEXT(COUNTA($C$5:C18),"000"))</f>
        <v/>
      </c>
      <c r="C18" s="14" t="n"/>
      <c r="D18" s="14" t="n"/>
      <c r="E18" s="28" t="n"/>
      <c r="F18" s="14" t="n"/>
      <c r="G18" s="28" t="n"/>
      <c r="H18" s="24" t="n"/>
      <c r="I18" s="19" t="n"/>
      <c r="J18" s="19">
        <f>IF(I18="","",IFERROR(I18*0.5,0))</f>
        <v/>
      </c>
      <c r="K18" s="14" t="n"/>
      <c r="L18" s="14" t="n"/>
    </row>
    <row r="19" ht="22" customHeight="1">
      <c r="B19" s="17">
        <f>IF(C19="","DEP-"&amp;TEXT(COUNTA($C$5:C19),"000"))</f>
        <v/>
      </c>
      <c r="C19" s="12" t="n"/>
      <c r="D19" s="12" t="n"/>
      <c r="E19" s="27" t="n"/>
      <c r="F19" s="12" t="n"/>
      <c r="G19" s="27" t="n"/>
      <c r="H19" s="23" t="n"/>
      <c r="I19" s="18" t="n"/>
      <c r="J19" s="18">
        <f>IF(I19="","",IFERROR(I19*0.5,0))</f>
        <v/>
      </c>
      <c r="K19" s="12" t="n"/>
      <c r="L19" s="12" t="n"/>
    </row>
    <row r="20" ht="22" customHeight="1">
      <c r="B20" s="16">
        <f>IF(C20="","DEP-"&amp;TEXT(COUNTA($C$5:C20),"000"))</f>
        <v/>
      </c>
      <c r="C20" s="14" t="n"/>
      <c r="D20" s="14" t="n"/>
      <c r="E20" s="28" t="n"/>
      <c r="F20" s="14" t="n"/>
      <c r="G20" s="28" t="n"/>
      <c r="H20" s="24" t="n"/>
      <c r="I20" s="19" t="n"/>
      <c r="J20" s="19">
        <f>IF(I20="","",IFERROR(I20*0.5,0))</f>
        <v/>
      </c>
      <c r="K20" s="14" t="n"/>
      <c r="L20" s="14" t="n"/>
    </row>
    <row r="21" ht="22" customHeight="1">
      <c r="B21" s="17">
        <f>IF(C21="","DEP-"&amp;TEXT(COUNTA($C$5:C21),"000"))</f>
        <v/>
      </c>
      <c r="C21" s="12" t="n"/>
      <c r="D21" s="12" t="n"/>
      <c r="E21" s="27" t="n"/>
      <c r="F21" s="12" t="n"/>
      <c r="G21" s="27" t="n"/>
      <c r="H21" s="23" t="n"/>
      <c r="I21" s="18" t="n"/>
      <c r="J21" s="18">
        <f>IF(I21="","",IFERROR(I21*0.5,0))</f>
        <v/>
      </c>
      <c r="K21" s="12" t="n"/>
      <c r="L21" s="12" t="n"/>
    </row>
    <row r="22" ht="22" customHeight="1">
      <c r="B22" s="16">
        <f>IF(C22="","DEP-"&amp;TEXT(COUNTA($C$5:C22),"000"))</f>
        <v/>
      </c>
      <c r="C22" s="14" t="n"/>
      <c r="D22" s="14" t="n"/>
      <c r="E22" s="28" t="n"/>
      <c r="F22" s="14" t="n"/>
      <c r="G22" s="28" t="n"/>
      <c r="H22" s="24" t="n"/>
      <c r="I22" s="19" t="n"/>
      <c r="J22" s="19">
        <f>IF(I22="","",IFERROR(I22*0.5,0))</f>
        <v/>
      </c>
      <c r="K22" s="14" t="n"/>
      <c r="L22" s="14" t="n"/>
    </row>
    <row r="23" ht="22" customHeight="1">
      <c r="B23" s="17">
        <f>IF(C23="","DEP-"&amp;TEXT(COUNTA($C$5:C23),"000"))</f>
        <v/>
      </c>
      <c r="C23" s="12" t="n"/>
      <c r="D23" s="12" t="n"/>
      <c r="E23" s="27" t="n"/>
      <c r="F23" s="12" t="n"/>
      <c r="G23" s="27" t="n"/>
      <c r="H23" s="23" t="n"/>
      <c r="I23" s="18" t="n"/>
      <c r="J23" s="18">
        <f>IF(I23="","",IFERROR(I23*0.5,0))</f>
        <v/>
      </c>
      <c r="K23" s="12" t="n"/>
      <c r="L23" s="12" t="n"/>
    </row>
    <row r="24" ht="22" customHeight="1">
      <c r="B24" s="16">
        <f>IF(C24="","DEP-"&amp;TEXT(COUNTA($C$5:C24),"000"))</f>
        <v/>
      </c>
      <c r="C24" s="14" t="n"/>
      <c r="D24" s="14" t="n"/>
      <c r="E24" s="28" t="n"/>
      <c r="F24" s="14" t="n"/>
      <c r="G24" s="28" t="n"/>
      <c r="H24" s="24" t="n"/>
      <c r="I24" s="19" t="n"/>
      <c r="J24" s="19">
        <f>IF(I24="","",IFERROR(I24*0.5,0))</f>
        <v/>
      </c>
      <c r="K24" s="14" t="n"/>
      <c r="L24" s="14" t="n"/>
    </row>
    <row r="25" ht="22" customHeight="1">
      <c r="B25" s="17">
        <f>IF(C25="","DEP-"&amp;TEXT(COUNTA($C$5:C25),"000"))</f>
        <v/>
      </c>
      <c r="C25" s="12" t="n"/>
      <c r="D25" s="12" t="n"/>
      <c r="E25" s="27" t="n"/>
      <c r="F25" s="12" t="n"/>
      <c r="G25" s="27" t="n"/>
      <c r="H25" s="23" t="n"/>
      <c r="I25" s="18" t="n"/>
      <c r="J25" s="18">
        <f>IF(I25="","",IFERROR(I25*0.5,0))</f>
        <v/>
      </c>
      <c r="K25" s="12" t="n"/>
      <c r="L25" s="12" t="n"/>
    </row>
    <row r="26" ht="22" customHeight="1">
      <c r="B26" s="16">
        <f>IF(C26="","DEP-"&amp;TEXT(COUNTA($C$5:C26),"000"))</f>
        <v/>
      </c>
      <c r="C26" s="14" t="n"/>
      <c r="D26" s="14" t="n"/>
      <c r="E26" s="28" t="n"/>
      <c r="F26" s="14" t="n"/>
      <c r="G26" s="28" t="n"/>
      <c r="H26" s="24" t="n"/>
      <c r="I26" s="19" t="n"/>
      <c r="J26" s="19">
        <f>IF(I26="","",IFERROR(I26*0.5,0))</f>
        <v/>
      </c>
      <c r="K26" s="14" t="n"/>
      <c r="L26" s="14" t="n"/>
    </row>
    <row r="27" ht="22" customHeight="1">
      <c r="B27" s="17">
        <f>IF(C27="","DEP-"&amp;TEXT(COUNTA($C$5:C27),"000"))</f>
        <v/>
      </c>
      <c r="C27" s="12" t="n"/>
      <c r="D27" s="12" t="n"/>
      <c r="E27" s="27" t="n"/>
      <c r="F27" s="12" t="n"/>
      <c r="G27" s="27" t="n"/>
      <c r="H27" s="23" t="n"/>
      <c r="I27" s="18" t="n"/>
      <c r="J27" s="18">
        <f>IF(I27="","",IFERROR(I27*0.5,0))</f>
        <v/>
      </c>
      <c r="K27" s="12" t="n"/>
      <c r="L27" s="12" t="n"/>
    </row>
    <row r="28" ht="22" customHeight="1">
      <c r="B28" s="16">
        <f>IF(C28="","DEP-"&amp;TEXT(COUNTA($C$5:C28),"000"))</f>
        <v/>
      </c>
      <c r="C28" s="14" t="n"/>
      <c r="D28" s="14" t="n"/>
      <c r="E28" s="28" t="n"/>
      <c r="F28" s="14" t="n"/>
      <c r="G28" s="28" t="n"/>
      <c r="H28" s="24" t="n"/>
      <c r="I28" s="19" t="n"/>
      <c r="J28" s="19">
        <f>IF(I28="","",IFERROR(I28*0.5,0))</f>
        <v/>
      </c>
      <c r="K28" s="14" t="n"/>
      <c r="L28" s="14" t="n"/>
    </row>
    <row r="29" ht="22" customHeight="1">
      <c r="B29" s="17">
        <f>IF(C29="","DEP-"&amp;TEXT(COUNTA($C$5:C29),"000"))</f>
        <v/>
      </c>
      <c r="C29" s="12" t="n"/>
      <c r="D29" s="12" t="n"/>
      <c r="E29" s="27" t="n"/>
      <c r="F29" s="12" t="n"/>
      <c r="G29" s="27" t="n"/>
      <c r="H29" s="23" t="n"/>
      <c r="I29" s="18" t="n"/>
      <c r="J29" s="18">
        <f>IF(I29="","",IFERROR(I29*0.5,0))</f>
        <v/>
      </c>
      <c r="K29" s="12" t="n"/>
      <c r="L29" s="12" t="n"/>
    </row>
    <row r="30" ht="22" customHeight="1">
      <c r="B30" s="16">
        <f>IF(C30="","DEP-"&amp;TEXT(COUNTA($C$5:C30),"000"))</f>
        <v/>
      </c>
      <c r="C30" s="14" t="n"/>
      <c r="D30" s="14" t="n"/>
      <c r="E30" s="28" t="n"/>
      <c r="F30" s="14" t="n"/>
      <c r="G30" s="28" t="n"/>
      <c r="H30" s="24" t="n"/>
      <c r="I30" s="19" t="n"/>
      <c r="J30" s="19">
        <f>IF(I30="","",IFERROR(I30*0.5,0))</f>
        <v/>
      </c>
      <c r="K30" s="14" t="n"/>
      <c r="L30" s="14" t="n"/>
    </row>
    <row r="31" ht="22" customHeight="1">
      <c r="B31" s="17">
        <f>IF(C31="","DEP-"&amp;TEXT(COUNTA($C$5:C31),"000"))</f>
        <v/>
      </c>
      <c r="C31" s="12" t="n"/>
      <c r="D31" s="12" t="n"/>
      <c r="E31" s="27" t="n"/>
      <c r="F31" s="12" t="n"/>
      <c r="G31" s="27" t="n"/>
      <c r="H31" s="23" t="n"/>
      <c r="I31" s="18" t="n"/>
      <c r="J31" s="18">
        <f>IF(I31="","",IFERROR(I31*0.5,0))</f>
        <v/>
      </c>
      <c r="K31" s="12" t="n"/>
      <c r="L31" s="12" t="n"/>
    </row>
    <row r="32" ht="22" customHeight="1">
      <c r="B32" s="16">
        <f>IF(C32="","DEP-"&amp;TEXT(COUNTA($C$5:C32),"000"))</f>
        <v/>
      </c>
      <c r="C32" s="14" t="n"/>
      <c r="D32" s="14" t="n"/>
      <c r="E32" s="28" t="n"/>
      <c r="F32" s="14" t="n"/>
      <c r="G32" s="28" t="n"/>
      <c r="H32" s="24" t="n"/>
      <c r="I32" s="19" t="n"/>
      <c r="J32" s="19">
        <f>IF(I32="","",IFERROR(I32*0.5,0))</f>
        <v/>
      </c>
      <c r="K32" s="14" t="n"/>
      <c r="L32" s="14" t="n"/>
    </row>
    <row r="33" ht="22" customHeight="1">
      <c r="B33" s="17">
        <f>IF(C33="","DEP-"&amp;TEXT(COUNTA($C$5:C33),"000"))</f>
        <v/>
      </c>
      <c r="C33" s="12" t="n"/>
      <c r="D33" s="12" t="n"/>
      <c r="E33" s="27" t="n"/>
      <c r="F33" s="12" t="n"/>
      <c r="G33" s="27" t="n"/>
      <c r="H33" s="23" t="n"/>
      <c r="I33" s="18" t="n"/>
      <c r="J33" s="18">
        <f>IF(I33="","",IFERROR(I33*0.5,0))</f>
        <v/>
      </c>
      <c r="K33" s="12" t="n"/>
      <c r="L33" s="12" t="n"/>
    </row>
    <row r="34" ht="22" customHeight="1">
      <c r="B34" s="16">
        <f>IF(C34="","DEP-"&amp;TEXT(COUNTA($C$5:C34),"000"))</f>
        <v/>
      </c>
      <c r="C34" s="14" t="n"/>
      <c r="D34" s="14" t="n"/>
      <c r="E34" s="28" t="n"/>
      <c r="F34" s="14" t="n"/>
      <c r="G34" s="28" t="n"/>
      <c r="H34" s="24" t="n"/>
      <c r="I34" s="19" t="n"/>
      <c r="J34" s="19">
        <f>IF(I34="","",IFERROR(I34*0.5,0))</f>
        <v/>
      </c>
      <c r="K34" s="14" t="n"/>
      <c r="L34" s="14" t="n"/>
    </row>
    <row r="35" ht="22" customHeight="1">
      <c r="B35" s="17">
        <f>IF(C35="","DEP-"&amp;TEXT(COUNTA($C$5:C35),"000"))</f>
        <v/>
      </c>
      <c r="C35" s="12" t="n"/>
      <c r="D35" s="12" t="n"/>
      <c r="E35" s="27" t="n"/>
      <c r="F35" s="12" t="n"/>
      <c r="G35" s="27" t="n"/>
      <c r="H35" s="23" t="n"/>
      <c r="I35" s="18" t="n"/>
      <c r="J35" s="18">
        <f>IF(I35="","",IFERROR(I35*0.5,0))</f>
        <v/>
      </c>
      <c r="K35" s="12" t="n"/>
      <c r="L35" s="12" t="n"/>
    </row>
    <row r="36" ht="22" customHeight="1">
      <c r="B36" s="16">
        <f>IF(C36="","DEP-"&amp;TEXT(COUNTA($C$5:C36),"000"))</f>
        <v/>
      </c>
      <c r="C36" s="14" t="n"/>
      <c r="D36" s="14" t="n"/>
      <c r="E36" s="28" t="n"/>
      <c r="F36" s="14" t="n"/>
      <c r="G36" s="28" t="n"/>
      <c r="H36" s="24" t="n"/>
      <c r="I36" s="19" t="n"/>
      <c r="J36" s="19">
        <f>IF(I36="","",IFERROR(I36*0.5,0))</f>
        <v/>
      </c>
      <c r="K36" s="14" t="n"/>
      <c r="L36" s="14" t="n"/>
    </row>
    <row r="37" ht="22" customHeight="1">
      <c r="B37" s="17">
        <f>IF(C37="","DEP-"&amp;TEXT(COUNTA($C$5:C37),"000"))</f>
        <v/>
      </c>
      <c r="C37" s="12" t="n"/>
      <c r="D37" s="12" t="n"/>
      <c r="E37" s="27" t="n"/>
      <c r="F37" s="12" t="n"/>
      <c r="G37" s="27" t="n"/>
      <c r="H37" s="23" t="n"/>
      <c r="I37" s="18" t="n"/>
      <c r="J37" s="18">
        <f>IF(I37="","",IFERROR(I37*0.5,0))</f>
        <v/>
      </c>
      <c r="K37" s="12" t="n"/>
      <c r="L37" s="12" t="n"/>
    </row>
    <row r="38" ht="22" customHeight="1">
      <c r="B38" s="16">
        <f>IF(C38="","DEP-"&amp;TEXT(COUNTA($C$5:C38),"000"))</f>
        <v/>
      </c>
      <c r="C38" s="14" t="n"/>
      <c r="D38" s="14" t="n"/>
      <c r="E38" s="28" t="n"/>
      <c r="F38" s="14" t="n"/>
      <c r="G38" s="28" t="n"/>
      <c r="H38" s="24" t="n"/>
      <c r="I38" s="19" t="n"/>
      <c r="J38" s="19">
        <f>IF(I38="","",IFERROR(I38*0.5,0))</f>
        <v/>
      </c>
      <c r="K38" s="14" t="n"/>
      <c r="L38" s="14" t="n"/>
    </row>
    <row r="39" ht="22" customHeight="1">
      <c r="B39" s="17">
        <f>IF(C39="","DEP-"&amp;TEXT(COUNTA($C$5:C39),"000"))</f>
        <v/>
      </c>
      <c r="C39" s="12" t="n"/>
      <c r="D39" s="12" t="n"/>
      <c r="E39" s="27" t="n"/>
      <c r="F39" s="12" t="n"/>
      <c r="G39" s="27" t="n"/>
      <c r="H39" s="23" t="n"/>
      <c r="I39" s="18" t="n"/>
      <c r="J39" s="18">
        <f>IF(I39="","",IFERROR(I39*0.5,0))</f>
        <v/>
      </c>
      <c r="K39" s="12" t="n"/>
      <c r="L39" s="12" t="n"/>
    </row>
    <row r="40" ht="22" customHeight="1">
      <c r="B40" s="16">
        <f>IF(C40="","DEP-"&amp;TEXT(COUNTA($C$5:C40),"000"))</f>
        <v/>
      </c>
      <c r="C40" s="14" t="n"/>
      <c r="D40" s="14" t="n"/>
      <c r="E40" s="28" t="n"/>
      <c r="F40" s="14" t="n"/>
      <c r="G40" s="28" t="n"/>
      <c r="H40" s="24" t="n"/>
      <c r="I40" s="19" t="n"/>
      <c r="J40" s="19">
        <f>IF(I40="","",IFERROR(I40*0.5,0))</f>
        <v/>
      </c>
      <c r="K40" s="14" t="n"/>
      <c r="L40" s="14" t="n"/>
    </row>
    <row r="41" ht="22" customHeight="1">
      <c r="B41" s="17">
        <f>IF(C41="","DEP-"&amp;TEXT(COUNTA($C$5:C41),"000"))</f>
        <v/>
      </c>
      <c r="C41" s="12" t="n"/>
      <c r="D41" s="12" t="n"/>
      <c r="E41" s="27" t="n"/>
      <c r="F41" s="12" t="n"/>
      <c r="G41" s="27" t="n"/>
      <c r="H41" s="23" t="n"/>
      <c r="I41" s="18" t="n"/>
      <c r="J41" s="18">
        <f>IF(I41="","",IFERROR(I41*0.5,0))</f>
        <v/>
      </c>
      <c r="K41" s="12" t="n"/>
      <c r="L41" s="12" t="n"/>
    </row>
    <row r="42" ht="22" customHeight="1">
      <c r="B42" s="16">
        <f>IF(C42="","DEP-"&amp;TEXT(COUNTA($C$5:C42),"000"))</f>
        <v/>
      </c>
      <c r="C42" s="14" t="n"/>
      <c r="D42" s="14" t="n"/>
      <c r="E42" s="28" t="n"/>
      <c r="F42" s="14" t="n"/>
      <c r="G42" s="28" t="n"/>
      <c r="H42" s="24" t="n"/>
      <c r="I42" s="19" t="n"/>
      <c r="J42" s="19">
        <f>IF(I42="","",IFERROR(I42*0.5,0))</f>
        <v/>
      </c>
      <c r="K42" s="14" t="n"/>
      <c r="L42" s="14" t="n"/>
    </row>
    <row r="43" ht="22" customHeight="1">
      <c r="B43" s="17">
        <f>IF(C43="","DEP-"&amp;TEXT(COUNTA($C$5:C43),"000"))</f>
        <v/>
      </c>
      <c r="C43" s="12" t="n"/>
      <c r="D43" s="12" t="n"/>
      <c r="E43" s="27" t="n"/>
      <c r="F43" s="12" t="n"/>
      <c r="G43" s="27" t="n"/>
      <c r="H43" s="23" t="n"/>
      <c r="I43" s="18" t="n"/>
      <c r="J43" s="18">
        <f>IF(I43="","",IFERROR(I43*0.5,0))</f>
        <v/>
      </c>
      <c r="K43" s="12" t="n"/>
      <c r="L43" s="12" t="n"/>
    </row>
    <row r="44" ht="22" customHeight="1">
      <c r="B44" s="16">
        <f>IF(C44="","DEP-"&amp;TEXT(COUNTA($C$5:C44),"000"))</f>
        <v/>
      </c>
      <c r="C44" s="14" t="n"/>
      <c r="D44" s="14" t="n"/>
      <c r="E44" s="28" t="n"/>
      <c r="F44" s="14" t="n"/>
      <c r="G44" s="28" t="n"/>
      <c r="H44" s="24" t="n"/>
      <c r="I44" s="19" t="n"/>
      <c r="J44" s="19">
        <f>IF(I44="","",IFERROR(I44*0.5,0))</f>
        <v/>
      </c>
      <c r="K44" s="14" t="n"/>
      <c r="L44" s="14" t="n"/>
    </row>
    <row r="45" ht="22" customHeight="1">
      <c r="B45" s="17">
        <f>IF(C45="","DEP-"&amp;TEXT(COUNTA($C$5:C45),"000"))</f>
        <v/>
      </c>
      <c r="C45" s="12" t="n"/>
      <c r="D45" s="12" t="n"/>
      <c r="E45" s="27" t="n"/>
      <c r="F45" s="12" t="n"/>
      <c r="G45" s="27" t="n"/>
      <c r="H45" s="23" t="n"/>
      <c r="I45" s="18" t="n"/>
      <c r="J45" s="18">
        <f>IF(I45="","",IFERROR(I45*0.5,0))</f>
        <v/>
      </c>
      <c r="K45" s="12" t="n"/>
      <c r="L45" s="12" t="n"/>
    </row>
    <row r="46" ht="22" customHeight="1">
      <c r="B46" s="16">
        <f>IF(C46="","DEP-"&amp;TEXT(COUNTA($C$5:C46),"000"))</f>
        <v/>
      </c>
      <c r="C46" s="14" t="n"/>
      <c r="D46" s="14" t="n"/>
      <c r="E46" s="28" t="n"/>
      <c r="F46" s="14" t="n"/>
      <c r="G46" s="28" t="n"/>
      <c r="H46" s="24" t="n"/>
      <c r="I46" s="19" t="n"/>
      <c r="J46" s="19">
        <f>IF(I46="","",IFERROR(I46*0.5,0))</f>
        <v/>
      </c>
      <c r="K46" s="14" t="n"/>
      <c r="L46" s="14" t="n"/>
    </row>
    <row r="47" ht="22" customHeight="1">
      <c r="B47" s="17">
        <f>IF(C47="","DEP-"&amp;TEXT(COUNTA($C$5:C47),"000"))</f>
        <v/>
      </c>
      <c r="C47" s="12" t="n"/>
      <c r="D47" s="12" t="n"/>
      <c r="E47" s="27" t="n"/>
      <c r="F47" s="12" t="n"/>
      <c r="G47" s="27" t="n"/>
      <c r="H47" s="23" t="n"/>
      <c r="I47" s="18" t="n"/>
      <c r="J47" s="18">
        <f>IF(I47="","",IFERROR(I47*0.5,0))</f>
        <v/>
      </c>
      <c r="K47" s="12" t="n"/>
      <c r="L47" s="12" t="n"/>
    </row>
    <row r="48" ht="22" customHeight="1">
      <c r="B48" s="16">
        <f>IF(C48="","DEP-"&amp;TEXT(COUNTA($C$5:C48),"000"))</f>
        <v/>
      </c>
      <c r="C48" s="14" t="n"/>
      <c r="D48" s="14" t="n"/>
      <c r="E48" s="28" t="n"/>
      <c r="F48" s="14" t="n"/>
      <c r="G48" s="28" t="n"/>
      <c r="H48" s="24" t="n"/>
      <c r="I48" s="19" t="n"/>
      <c r="J48" s="19">
        <f>IF(I48="","",IFERROR(I48*0.5,0))</f>
        <v/>
      </c>
      <c r="K48" s="14" t="n"/>
      <c r="L48" s="14" t="n"/>
    </row>
    <row r="49" ht="22" customHeight="1">
      <c r="B49" s="17">
        <f>IF(C49="","DEP-"&amp;TEXT(COUNTA($C$5:C49),"000"))</f>
        <v/>
      </c>
      <c r="C49" s="12" t="n"/>
      <c r="D49" s="12" t="n"/>
      <c r="E49" s="27" t="n"/>
      <c r="F49" s="12" t="n"/>
      <c r="G49" s="27" t="n"/>
      <c r="H49" s="23" t="n"/>
      <c r="I49" s="18" t="n"/>
      <c r="J49" s="18">
        <f>IF(I49="","",IFERROR(I49*0.5,0))</f>
        <v/>
      </c>
      <c r="K49" s="12" t="n"/>
      <c r="L49" s="12" t="n"/>
    </row>
    <row r="50" ht="22" customHeight="1">
      <c r="B50" s="16">
        <f>IF(C50="","DEP-"&amp;TEXT(COUNTA($C$5:C50),"000"))</f>
        <v/>
      </c>
      <c r="C50" s="14" t="n"/>
      <c r="D50" s="14" t="n"/>
      <c r="E50" s="28" t="n"/>
      <c r="F50" s="14" t="n"/>
      <c r="G50" s="28" t="n"/>
      <c r="H50" s="24" t="n"/>
      <c r="I50" s="19" t="n"/>
      <c r="J50" s="19">
        <f>IF(I50="","",IFERROR(I50*0.5,0))</f>
        <v/>
      </c>
      <c r="K50" s="14" t="n"/>
      <c r="L50" s="14" t="n"/>
    </row>
    <row r="51" ht="22" customHeight="1">
      <c r="B51" s="17">
        <f>IF(C51="","DEP-"&amp;TEXT(COUNTA($C$5:C51),"000"))</f>
        <v/>
      </c>
      <c r="C51" s="12" t="n"/>
      <c r="D51" s="12" t="n"/>
      <c r="E51" s="27" t="n"/>
      <c r="F51" s="12" t="n"/>
      <c r="G51" s="27" t="n"/>
      <c r="H51" s="23" t="n"/>
      <c r="I51" s="18" t="n"/>
      <c r="J51" s="18">
        <f>IF(I51="","",IFERROR(I51*0.5,0))</f>
        <v/>
      </c>
      <c r="K51" s="12" t="n"/>
      <c r="L51" s="12" t="n"/>
    </row>
    <row r="52" ht="22" customHeight="1">
      <c r="B52" s="16">
        <f>IF(C52="","DEP-"&amp;TEXT(COUNTA($C$5:C52),"000"))</f>
        <v/>
      </c>
      <c r="C52" s="14" t="n"/>
      <c r="D52" s="14" t="n"/>
      <c r="E52" s="28" t="n"/>
      <c r="F52" s="14" t="n"/>
      <c r="G52" s="28" t="n"/>
      <c r="H52" s="24" t="n"/>
      <c r="I52" s="19" t="n"/>
      <c r="J52" s="19">
        <f>IF(I52="","",IFERROR(I52*0.5,0))</f>
        <v/>
      </c>
      <c r="K52" s="14" t="n"/>
      <c r="L52" s="14" t="n"/>
    </row>
    <row r="53" ht="22" customHeight="1">
      <c r="B53" s="17">
        <f>IF(C53="","DEP-"&amp;TEXT(COUNTA($C$5:C53),"000"))</f>
        <v/>
      </c>
      <c r="C53" s="12" t="n"/>
      <c r="D53" s="12" t="n"/>
      <c r="E53" s="27" t="n"/>
      <c r="F53" s="12" t="n"/>
      <c r="G53" s="27" t="n"/>
      <c r="H53" s="23" t="n"/>
      <c r="I53" s="18" t="n"/>
      <c r="J53" s="18">
        <f>IF(I53="","",IFERROR(I53*0.5,0))</f>
        <v/>
      </c>
      <c r="K53" s="12" t="n"/>
      <c r="L53" s="12" t="n"/>
    </row>
    <row r="54" ht="22" customHeight="1">
      <c r="B54" s="16">
        <f>IF(C54="","DEP-"&amp;TEXT(COUNTA($C$5:C54),"000"))</f>
        <v/>
      </c>
      <c r="C54" s="14" t="n"/>
      <c r="D54" s="14" t="n"/>
      <c r="E54" s="28" t="n"/>
      <c r="F54" s="14" t="n"/>
      <c r="G54" s="28" t="n"/>
      <c r="H54" s="24" t="n"/>
      <c r="I54" s="19" t="n"/>
      <c r="J54" s="19">
        <f>IF(I54="","",IFERROR(I54*0.5,0))</f>
        <v/>
      </c>
      <c r="K54" s="14" t="n"/>
      <c r="L54" s="14" t="n"/>
    </row>
    <row r="55" ht="22" customHeight="1">
      <c r="B55" s="17">
        <f>IF(C55="","DEP-"&amp;TEXT(COUNTA($C$5:C55),"000"))</f>
        <v/>
      </c>
      <c r="C55" s="12" t="n"/>
      <c r="D55" s="12" t="n"/>
      <c r="E55" s="27" t="n"/>
      <c r="F55" s="12" t="n"/>
      <c r="G55" s="27" t="n"/>
      <c r="H55" s="23" t="n"/>
      <c r="I55" s="18" t="n"/>
      <c r="J55" s="18">
        <f>IF(I55="","",IFERROR(I55*0.5,0))</f>
        <v/>
      </c>
      <c r="K55" s="12" t="n"/>
      <c r="L55" s="12" t="n"/>
    </row>
    <row r="56" ht="22" customHeight="1">
      <c r="B56" s="16">
        <f>IF(C56="","DEP-"&amp;TEXT(COUNTA($C$5:C56),"000"))</f>
        <v/>
      </c>
      <c r="C56" s="14" t="n"/>
      <c r="D56" s="14" t="n"/>
      <c r="E56" s="28" t="n"/>
      <c r="F56" s="14" t="n"/>
      <c r="G56" s="28" t="n"/>
      <c r="H56" s="24" t="n"/>
      <c r="I56" s="19" t="n"/>
      <c r="J56" s="19">
        <f>IF(I56="","",IFERROR(I56*0.5,0))</f>
        <v/>
      </c>
      <c r="K56" s="14" t="n"/>
      <c r="L56" s="14" t="n"/>
    </row>
    <row r="57" ht="22" customHeight="1">
      <c r="B57" s="17">
        <f>IF(C57="","DEP-"&amp;TEXT(COUNTA($C$5:C57),"000"))</f>
        <v/>
      </c>
      <c r="C57" s="12" t="n"/>
      <c r="D57" s="12" t="n"/>
      <c r="E57" s="27" t="n"/>
      <c r="F57" s="12" t="n"/>
      <c r="G57" s="27" t="n"/>
      <c r="H57" s="23" t="n"/>
      <c r="I57" s="18" t="n"/>
      <c r="J57" s="18">
        <f>IF(I57="","",IFERROR(I57*0.5,0))</f>
        <v/>
      </c>
      <c r="K57" s="12" t="n"/>
      <c r="L57" s="12" t="n"/>
    </row>
    <row r="58" ht="22" customHeight="1">
      <c r="B58" s="16">
        <f>IF(C58="","DEP-"&amp;TEXT(COUNTA($C$5:C58),"000"))</f>
        <v/>
      </c>
      <c r="C58" s="14" t="n"/>
      <c r="D58" s="14" t="n"/>
      <c r="E58" s="28" t="n"/>
      <c r="F58" s="14" t="n"/>
      <c r="G58" s="28" t="n"/>
      <c r="H58" s="24" t="n"/>
      <c r="I58" s="19" t="n"/>
      <c r="J58" s="19">
        <f>IF(I58="","",IFERROR(I58*0.5,0))</f>
        <v/>
      </c>
      <c r="K58" s="14" t="n"/>
      <c r="L58" s="14" t="n"/>
    </row>
    <row r="59" ht="22" customHeight="1">
      <c r="B59" s="17">
        <f>IF(C59="","DEP-"&amp;TEXT(COUNTA($C$5:C59),"000"))</f>
        <v/>
      </c>
      <c r="C59" s="12" t="n"/>
      <c r="D59" s="12" t="n"/>
      <c r="E59" s="27" t="n"/>
      <c r="F59" s="12" t="n"/>
      <c r="G59" s="27" t="n"/>
      <c r="H59" s="23" t="n"/>
      <c r="I59" s="18" t="n"/>
      <c r="J59" s="18">
        <f>IF(I59="","",IFERROR(I59*0.5,0))</f>
        <v/>
      </c>
      <c r="K59" s="12" t="n"/>
      <c r="L59" s="12" t="n"/>
    </row>
    <row r="60" ht="22" customHeight="1">
      <c r="B60" s="16">
        <f>IF(C60="","DEP-"&amp;TEXT(COUNTA($C$5:C60),"000"))</f>
        <v/>
      </c>
      <c r="C60" s="14" t="n"/>
      <c r="D60" s="14" t="n"/>
      <c r="E60" s="28" t="n"/>
      <c r="F60" s="14" t="n"/>
      <c r="G60" s="28" t="n"/>
      <c r="H60" s="24" t="n"/>
      <c r="I60" s="19" t="n"/>
      <c r="J60" s="19">
        <f>IF(I60="","",IFERROR(I60*0.5,0))</f>
        <v/>
      </c>
      <c r="K60" s="14" t="n"/>
      <c r="L60" s="14" t="n"/>
    </row>
    <row r="61" ht="22" customHeight="1">
      <c r="B61" s="17">
        <f>IF(C61="","DEP-"&amp;TEXT(COUNTA($C$5:C61),"000"))</f>
        <v/>
      </c>
      <c r="C61" s="12" t="n"/>
      <c r="D61" s="12" t="n"/>
      <c r="E61" s="27" t="n"/>
      <c r="F61" s="12" t="n"/>
      <c r="G61" s="27" t="n"/>
      <c r="H61" s="23" t="n"/>
      <c r="I61" s="18" t="n"/>
      <c r="J61" s="18">
        <f>IF(I61="","",IFERROR(I61*0.5,0))</f>
        <v/>
      </c>
      <c r="K61" s="12" t="n"/>
      <c r="L61" s="12" t="n"/>
    </row>
    <row r="62" ht="22" customHeight="1">
      <c r="B62" s="16">
        <f>IF(C62="","DEP-"&amp;TEXT(COUNTA($C$5:C62),"000"))</f>
        <v/>
      </c>
      <c r="C62" s="14" t="n"/>
      <c r="D62" s="14" t="n"/>
      <c r="E62" s="28" t="n"/>
      <c r="F62" s="14" t="n"/>
      <c r="G62" s="28" t="n"/>
      <c r="H62" s="24" t="n"/>
      <c r="I62" s="19" t="n"/>
      <c r="J62" s="19">
        <f>IF(I62="","",IFERROR(I62*0.5,0))</f>
        <v/>
      </c>
      <c r="K62" s="14" t="n"/>
      <c r="L62" s="14" t="n"/>
    </row>
    <row r="63" ht="22" customHeight="1">
      <c r="B63" s="17">
        <f>IF(C63="","DEP-"&amp;TEXT(COUNTA($C$5:C63),"000"))</f>
        <v/>
      </c>
      <c r="C63" s="12" t="n"/>
      <c r="D63" s="12" t="n"/>
      <c r="E63" s="27" t="n"/>
      <c r="F63" s="12" t="n"/>
      <c r="G63" s="27" t="n"/>
      <c r="H63" s="23" t="n"/>
      <c r="I63" s="18" t="n"/>
      <c r="J63" s="18">
        <f>IF(I63="","",IFERROR(I63*0.5,0))</f>
        <v/>
      </c>
      <c r="K63" s="12" t="n"/>
      <c r="L63" s="12" t="n"/>
    </row>
    <row r="64" ht="22" customHeight="1">
      <c r="B64" s="16">
        <f>IF(C64="","DEP-"&amp;TEXT(COUNTA($C$5:C64),"000"))</f>
        <v/>
      </c>
      <c r="C64" s="14" t="n"/>
      <c r="D64" s="14" t="n"/>
      <c r="E64" s="28" t="n"/>
      <c r="F64" s="14" t="n"/>
      <c r="G64" s="28" t="n"/>
      <c r="H64" s="24" t="n"/>
      <c r="I64" s="19" t="n"/>
      <c r="J64" s="19">
        <f>IF(I64="","",IFERROR(I64*0.5,0))</f>
        <v/>
      </c>
      <c r="K64" s="14" t="n"/>
      <c r="L64" s="14" t="n"/>
    </row>
    <row r="65" ht="22" customHeight="1">
      <c r="B65" s="17">
        <f>IF(C65="","DEP-"&amp;TEXT(COUNTA($C$5:C65),"000"))</f>
        <v/>
      </c>
      <c r="C65" s="12" t="n"/>
      <c r="D65" s="12" t="n"/>
      <c r="E65" s="27" t="n"/>
      <c r="F65" s="12" t="n"/>
      <c r="G65" s="27" t="n"/>
      <c r="H65" s="23" t="n"/>
      <c r="I65" s="18" t="n"/>
      <c r="J65" s="18">
        <f>IF(I65="","",IFERROR(I65*0.5,0))</f>
        <v/>
      </c>
      <c r="K65" s="12" t="n"/>
      <c r="L65" s="12" t="n"/>
    </row>
    <row r="66" ht="22" customHeight="1">
      <c r="B66" s="16">
        <f>IF(C66="","DEP-"&amp;TEXT(COUNTA($C$5:C66),"000"))</f>
        <v/>
      </c>
      <c r="C66" s="14" t="n"/>
      <c r="D66" s="14" t="n"/>
      <c r="E66" s="28" t="n"/>
      <c r="F66" s="14" t="n"/>
      <c r="G66" s="28" t="n"/>
      <c r="H66" s="24" t="n"/>
      <c r="I66" s="19" t="n"/>
      <c r="J66" s="19">
        <f>IF(I66="","",IFERROR(I66*0.5,0))</f>
        <v/>
      </c>
      <c r="K66" s="14" t="n"/>
      <c r="L66" s="14" t="n"/>
    </row>
    <row r="67" ht="22" customHeight="1">
      <c r="B67" s="17">
        <f>IF(C67="","DEP-"&amp;TEXT(COUNTA($C$5:C67),"000"))</f>
        <v/>
      </c>
      <c r="C67" s="12" t="n"/>
      <c r="D67" s="12" t="n"/>
      <c r="E67" s="27" t="n"/>
      <c r="F67" s="12" t="n"/>
      <c r="G67" s="27" t="n"/>
      <c r="H67" s="23" t="n"/>
      <c r="I67" s="18" t="n"/>
      <c r="J67" s="18">
        <f>IF(I67="","",IFERROR(I67*0.5,0))</f>
        <v/>
      </c>
      <c r="K67" s="12" t="n"/>
      <c r="L67" s="12" t="n"/>
    </row>
    <row r="68" ht="22" customHeight="1">
      <c r="B68" s="16">
        <f>IF(C68="","DEP-"&amp;TEXT(COUNTA($C$5:C68),"000"))</f>
        <v/>
      </c>
      <c r="C68" s="14" t="n"/>
      <c r="D68" s="14" t="n"/>
      <c r="E68" s="28" t="n"/>
      <c r="F68" s="14" t="n"/>
      <c r="G68" s="28" t="n"/>
      <c r="H68" s="24" t="n"/>
      <c r="I68" s="19" t="n"/>
      <c r="J68" s="19">
        <f>IF(I68="","",IFERROR(I68*0.5,0))</f>
        <v/>
      </c>
      <c r="K68" s="14" t="n"/>
      <c r="L68" s="14" t="n"/>
    </row>
    <row r="69" ht="22" customHeight="1">
      <c r="B69" s="17">
        <f>IF(C69="","DEP-"&amp;TEXT(COUNTA($C$5:C69),"000"))</f>
        <v/>
      </c>
      <c r="C69" s="12" t="n"/>
      <c r="D69" s="12" t="n"/>
      <c r="E69" s="27" t="n"/>
      <c r="F69" s="12" t="n"/>
      <c r="G69" s="27" t="n"/>
      <c r="H69" s="23" t="n"/>
      <c r="I69" s="18" t="n"/>
      <c r="J69" s="18">
        <f>IF(I69="","",IFERROR(I69*0.5,0))</f>
        <v/>
      </c>
      <c r="K69" s="12" t="n"/>
      <c r="L69" s="12" t="n"/>
    </row>
    <row r="70" ht="22" customHeight="1">
      <c r="B70" s="16">
        <f>IF(C70="","DEP-"&amp;TEXT(COUNTA($C$5:C70),"000"))</f>
        <v/>
      </c>
      <c r="C70" s="14" t="n"/>
      <c r="D70" s="14" t="n"/>
      <c r="E70" s="28" t="n"/>
      <c r="F70" s="14" t="n"/>
      <c r="G70" s="28" t="n"/>
      <c r="H70" s="24" t="n"/>
      <c r="I70" s="19" t="n"/>
      <c r="J70" s="19">
        <f>IF(I70="","",IFERROR(I70*0.5,0))</f>
        <v/>
      </c>
      <c r="K70" s="14" t="n"/>
      <c r="L70" s="14" t="n"/>
    </row>
    <row r="71" ht="22" customHeight="1">
      <c r="B71" s="17">
        <f>IF(C71="","DEP-"&amp;TEXT(COUNTA($C$5:C71),"000"))</f>
        <v/>
      </c>
      <c r="C71" s="12" t="n"/>
      <c r="D71" s="12" t="n"/>
      <c r="E71" s="27" t="n"/>
      <c r="F71" s="12" t="n"/>
      <c r="G71" s="27" t="n"/>
      <c r="H71" s="23" t="n"/>
      <c r="I71" s="18" t="n"/>
      <c r="J71" s="18">
        <f>IF(I71="","",IFERROR(I71*0.5,0))</f>
        <v/>
      </c>
      <c r="K71" s="12" t="n"/>
      <c r="L71" s="12" t="n"/>
    </row>
    <row r="72" ht="22" customHeight="1">
      <c r="B72" s="16">
        <f>IF(C72="","DEP-"&amp;TEXT(COUNTA($C$5:C72),"000"))</f>
        <v/>
      </c>
      <c r="C72" s="14" t="n"/>
      <c r="D72" s="14" t="n"/>
      <c r="E72" s="28" t="n"/>
      <c r="F72" s="14" t="n"/>
      <c r="G72" s="28" t="n"/>
      <c r="H72" s="24" t="n"/>
      <c r="I72" s="19" t="n"/>
      <c r="J72" s="19">
        <f>IF(I72="","",IFERROR(I72*0.5,0))</f>
        <v/>
      </c>
      <c r="K72" s="14" t="n"/>
      <c r="L72" s="14" t="n"/>
    </row>
    <row r="73" ht="22" customHeight="1">
      <c r="B73" s="17">
        <f>IF(C73="","DEP-"&amp;TEXT(COUNTA($C$5:C73),"000"))</f>
        <v/>
      </c>
      <c r="C73" s="12" t="n"/>
      <c r="D73" s="12" t="n"/>
      <c r="E73" s="27" t="n"/>
      <c r="F73" s="12" t="n"/>
      <c r="G73" s="27" t="n"/>
      <c r="H73" s="23" t="n"/>
      <c r="I73" s="18" t="n"/>
      <c r="J73" s="18">
        <f>IF(I73="","",IFERROR(I73*0.5,0))</f>
        <v/>
      </c>
      <c r="K73" s="12" t="n"/>
      <c r="L73" s="12" t="n"/>
    </row>
    <row r="74" ht="22" customHeight="1">
      <c r="B74" s="16">
        <f>IF(C74="","DEP-"&amp;TEXT(COUNTA($C$5:C74),"000"))</f>
        <v/>
      </c>
      <c r="C74" s="14" t="n"/>
      <c r="D74" s="14" t="n"/>
      <c r="E74" s="28" t="n"/>
      <c r="F74" s="14" t="n"/>
      <c r="G74" s="28" t="n"/>
      <c r="H74" s="24" t="n"/>
      <c r="I74" s="19" t="n"/>
      <c r="J74" s="19">
        <f>IF(I74="","",IFERROR(I74*0.5,0))</f>
        <v/>
      </c>
      <c r="K74" s="14" t="n"/>
      <c r="L74" s="14" t="n"/>
    </row>
    <row r="75" ht="22" customHeight="1">
      <c r="B75" s="17">
        <f>IF(C75="","DEP-"&amp;TEXT(COUNTA($C$5:C75),"000"))</f>
        <v/>
      </c>
      <c r="C75" s="12" t="n"/>
      <c r="D75" s="12" t="n"/>
      <c r="E75" s="27" t="n"/>
      <c r="F75" s="12" t="n"/>
      <c r="G75" s="27" t="n"/>
      <c r="H75" s="23" t="n"/>
      <c r="I75" s="18" t="n"/>
      <c r="J75" s="18">
        <f>IF(I75="","",IFERROR(I75*0.5,0))</f>
        <v/>
      </c>
      <c r="K75" s="12" t="n"/>
      <c r="L75" s="12" t="n"/>
    </row>
    <row r="76" ht="22" customHeight="1">
      <c r="B76" s="16">
        <f>IF(C76="","DEP-"&amp;TEXT(COUNTA($C$5:C76),"000"))</f>
        <v/>
      </c>
      <c r="C76" s="14" t="n"/>
      <c r="D76" s="14" t="n"/>
      <c r="E76" s="28" t="n"/>
      <c r="F76" s="14" t="n"/>
      <c r="G76" s="28" t="n"/>
      <c r="H76" s="24" t="n"/>
      <c r="I76" s="19" t="n"/>
      <c r="J76" s="19">
        <f>IF(I76="","",IFERROR(I76*0.5,0))</f>
        <v/>
      </c>
      <c r="K76" s="14" t="n"/>
      <c r="L76" s="14" t="n"/>
    </row>
    <row r="77" ht="22" customHeight="1">
      <c r="B77" s="17">
        <f>IF(C77="","DEP-"&amp;TEXT(COUNTA($C$5:C77),"000"))</f>
        <v/>
      </c>
      <c r="C77" s="12" t="n"/>
      <c r="D77" s="12" t="n"/>
      <c r="E77" s="27" t="n"/>
      <c r="F77" s="12" t="n"/>
      <c r="G77" s="27" t="n"/>
      <c r="H77" s="23" t="n"/>
      <c r="I77" s="18" t="n"/>
      <c r="J77" s="18">
        <f>IF(I77="","",IFERROR(I77*0.5,0))</f>
        <v/>
      </c>
      <c r="K77" s="12" t="n"/>
      <c r="L77" s="12" t="n"/>
    </row>
    <row r="78" ht="22" customHeight="1">
      <c r="B78" s="16">
        <f>IF(C78="","DEP-"&amp;TEXT(COUNTA($C$5:C78),"000"))</f>
        <v/>
      </c>
      <c r="C78" s="14" t="n"/>
      <c r="D78" s="14" t="n"/>
      <c r="E78" s="28" t="n"/>
      <c r="F78" s="14" t="n"/>
      <c r="G78" s="28" t="n"/>
      <c r="H78" s="24" t="n"/>
      <c r="I78" s="19" t="n"/>
      <c r="J78" s="19">
        <f>IF(I78="","",IFERROR(I78*0.5,0))</f>
        <v/>
      </c>
      <c r="K78" s="14" t="n"/>
      <c r="L78" s="14" t="n"/>
    </row>
    <row r="79" ht="22" customHeight="1">
      <c r="B79" s="17">
        <f>IF(C79="","DEP-"&amp;TEXT(COUNTA($C$5:C79),"000"))</f>
        <v/>
      </c>
      <c r="C79" s="12" t="n"/>
      <c r="D79" s="12" t="n"/>
      <c r="E79" s="27" t="n"/>
      <c r="F79" s="12" t="n"/>
      <c r="G79" s="27" t="n"/>
      <c r="H79" s="23" t="n"/>
      <c r="I79" s="18" t="n"/>
      <c r="J79" s="18">
        <f>IF(I79="","",IFERROR(I79*0.5,0))</f>
        <v/>
      </c>
      <c r="K79" s="12" t="n"/>
      <c r="L79" s="12" t="n"/>
    </row>
    <row r="80" ht="22" customHeight="1">
      <c r="B80" s="16">
        <f>IF(C80="","DEP-"&amp;TEXT(COUNTA($C$5:C80),"000"))</f>
        <v/>
      </c>
      <c r="C80" s="14" t="n"/>
      <c r="D80" s="14" t="n"/>
      <c r="E80" s="28" t="n"/>
      <c r="F80" s="14" t="n"/>
      <c r="G80" s="28" t="n"/>
      <c r="H80" s="24" t="n"/>
      <c r="I80" s="19" t="n"/>
      <c r="J80" s="19">
        <f>IF(I80="","",IFERROR(I80*0.5,0))</f>
        <v/>
      </c>
      <c r="K80" s="14" t="n"/>
      <c r="L80" s="14" t="n"/>
    </row>
    <row r="81" ht="22" customHeight="1">
      <c r="B81" s="17">
        <f>IF(C81="","DEP-"&amp;TEXT(COUNTA($C$5:C81),"000"))</f>
        <v/>
      </c>
      <c r="C81" s="12" t="n"/>
      <c r="D81" s="12" t="n"/>
      <c r="E81" s="27" t="n"/>
      <c r="F81" s="12" t="n"/>
      <c r="G81" s="27" t="n"/>
      <c r="H81" s="23" t="n"/>
      <c r="I81" s="18" t="n"/>
      <c r="J81" s="18">
        <f>IF(I81="","",IFERROR(I81*0.5,0))</f>
        <v/>
      </c>
      <c r="K81" s="12" t="n"/>
      <c r="L81" s="12" t="n"/>
    </row>
    <row r="82" ht="22" customHeight="1">
      <c r="B82" s="16">
        <f>IF(C82="","DEP-"&amp;TEXT(COUNTA($C$5:C82),"000"))</f>
        <v/>
      </c>
      <c r="C82" s="14" t="n"/>
      <c r="D82" s="14" t="n"/>
      <c r="E82" s="28" t="n"/>
      <c r="F82" s="14" t="n"/>
      <c r="G82" s="28" t="n"/>
      <c r="H82" s="24" t="n"/>
      <c r="I82" s="19" t="n"/>
      <c r="J82" s="19">
        <f>IF(I82="","",IFERROR(I82*0.5,0))</f>
        <v/>
      </c>
      <c r="K82" s="14" t="n"/>
      <c r="L82" s="14" t="n"/>
    </row>
    <row r="83" ht="22" customHeight="1">
      <c r="B83" s="17">
        <f>IF(C83="","DEP-"&amp;TEXT(COUNTA($C$5:C83),"000"))</f>
        <v/>
      </c>
      <c r="C83" s="12" t="n"/>
      <c r="D83" s="12" t="n"/>
      <c r="E83" s="27" t="n"/>
      <c r="F83" s="12" t="n"/>
      <c r="G83" s="27" t="n"/>
      <c r="H83" s="23" t="n"/>
      <c r="I83" s="18" t="n"/>
      <c r="J83" s="18">
        <f>IF(I83="","",IFERROR(I83*0.5,0))</f>
        <v/>
      </c>
      <c r="K83" s="12" t="n"/>
      <c r="L83" s="12" t="n"/>
    </row>
    <row r="84" ht="22" customHeight="1">
      <c r="B84" s="16">
        <f>IF(C84="","DEP-"&amp;TEXT(COUNTA($C$5:C84),"000"))</f>
        <v/>
      </c>
      <c r="C84" s="14" t="n"/>
      <c r="D84" s="14" t="n"/>
      <c r="E84" s="28" t="n"/>
      <c r="F84" s="14" t="n"/>
      <c r="G84" s="28" t="n"/>
      <c r="H84" s="24" t="n"/>
      <c r="I84" s="19" t="n"/>
      <c r="J84" s="19">
        <f>IF(I84="","",IFERROR(I84*0.5,0))</f>
        <v/>
      </c>
      <c r="K84" s="14" t="n"/>
      <c r="L84" s="14" t="n"/>
    </row>
    <row r="85" ht="22" customHeight="1">
      <c r="B85" s="17">
        <f>IF(C85="","DEP-"&amp;TEXT(COUNTA($C$5:C85),"000"))</f>
        <v/>
      </c>
      <c r="C85" s="12" t="n"/>
      <c r="D85" s="12" t="n"/>
      <c r="E85" s="27" t="n"/>
      <c r="F85" s="12" t="n"/>
      <c r="G85" s="27" t="n"/>
      <c r="H85" s="23" t="n"/>
      <c r="I85" s="18" t="n"/>
      <c r="J85" s="18">
        <f>IF(I85="","",IFERROR(I85*0.5,0))</f>
        <v/>
      </c>
      <c r="K85" s="12" t="n"/>
      <c r="L85" s="12" t="n"/>
    </row>
    <row r="86" ht="22" customHeight="1">
      <c r="B86" s="16">
        <f>IF(C86="","DEP-"&amp;TEXT(COUNTA($C$5:C86),"000"))</f>
        <v/>
      </c>
      <c r="C86" s="14" t="n"/>
      <c r="D86" s="14" t="n"/>
      <c r="E86" s="28" t="n"/>
      <c r="F86" s="14" t="n"/>
      <c r="G86" s="28" t="n"/>
      <c r="H86" s="24" t="n"/>
      <c r="I86" s="19" t="n"/>
      <c r="J86" s="19">
        <f>IF(I86="","",IFERROR(I86*0.5,0))</f>
        <v/>
      </c>
      <c r="K86" s="14" t="n"/>
      <c r="L86" s="14" t="n"/>
    </row>
    <row r="87" ht="22" customHeight="1">
      <c r="B87" s="17">
        <f>IF(C87="","DEP-"&amp;TEXT(COUNTA($C$5:C87),"000"))</f>
        <v/>
      </c>
      <c r="C87" s="12" t="n"/>
      <c r="D87" s="12" t="n"/>
      <c r="E87" s="27" t="n"/>
      <c r="F87" s="12" t="n"/>
      <c r="G87" s="27" t="n"/>
      <c r="H87" s="23" t="n"/>
      <c r="I87" s="18" t="n"/>
      <c r="J87" s="18">
        <f>IF(I87="","",IFERROR(I87*0.5,0))</f>
        <v/>
      </c>
      <c r="K87" s="12" t="n"/>
      <c r="L87" s="12" t="n"/>
    </row>
    <row r="88" ht="22" customHeight="1">
      <c r="B88" s="16">
        <f>IF(C88="","DEP-"&amp;TEXT(COUNTA($C$5:C88),"000"))</f>
        <v/>
      </c>
      <c r="C88" s="14" t="n"/>
      <c r="D88" s="14" t="n"/>
      <c r="E88" s="28" t="n"/>
      <c r="F88" s="14" t="n"/>
      <c r="G88" s="28" t="n"/>
      <c r="H88" s="24" t="n"/>
      <c r="I88" s="19" t="n"/>
      <c r="J88" s="19">
        <f>IF(I88="","",IFERROR(I88*0.5,0))</f>
        <v/>
      </c>
      <c r="K88" s="14" t="n"/>
      <c r="L88" s="14" t="n"/>
    </row>
    <row r="89" ht="22" customHeight="1">
      <c r="B89" s="17">
        <f>IF(C89="","DEP-"&amp;TEXT(COUNTA($C$5:C89),"000"))</f>
        <v/>
      </c>
      <c r="C89" s="12" t="n"/>
      <c r="D89" s="12" t="n"/>
      <c r="E89" s="27" t="n"/>
      <c r="F89" s="12" t="n"/>
      <c r="G89" s="27" t="n"/>
      <c r="H89" s="23" t="n"/>
      <c r="I89" s="18" t="n"/>
      <c r="J89" s="18">
        <f>IF(I89="","",IFERROR(I89*0.5,0))</f>
        <v/>
      </c>
      <c r="K89" s="12" t="n"/>
      <c r="L89" s="12" t="n"/>
    </row>
    <row r="90" ht="22" customHeight="1">
      <c r="B90" s="16">
        <f>IF(C90="","DEP-"&amp;TEXT(COUNTA($C$5:C90),"000"))</f>
        <v/>
      </c>
      <c r="C90" s="14" t="n"/>
      <c r="D90" s="14" t="n"/>
      <c r="E90" s="28" t="n"/>
      <c r="F90" s="14" t="n"/>
      <c r="G90" s="28" t="n"/>
      <c r="H90" s="24" t="n"/>
      <c r="I90" s="19" t="n"/>
      <c r="J90" s="19">
        <f>IF(I90="","",IFERROR(I90*0.5,0))</f>
        <v/>
      </c>
      <c r="K90" s="14" t="n"/>
      <c r="L90" s="14" t="n"/>
    </row>
    <row r="91" ht="22" customHeight="1">
      <c r="B91" s="17">
        <f>IF(C91="","DEP-"&amp;TEXT(COUNTA($C$5:C91),"000"))</f>
        <v/>
      </c>
      <c r="C91" s="12" t="n"/>
      <c r="D91" s="12" t="n"/>
      <c r="E91" s="27" t="n"/>
      <c r="F91" s="12" t="n"/>
      <c r="G91" s="27" t="n"/>
      <c r="H91" s="23" t="n"/>
      <c r="I91" s="18" t="n"/>
      <c r="J91" s="18">
        <f>IF(I91="","",IFERROR(I91*0.5,0))</f>
        <v/>
      </c>
      <c r="K91" s="12" t="n"/>
      <c r="L91" s="12" t="n"/>
    </row>
    <row r="92" ht="22" customHeight="1">
      <c r="B92" s="16">
        <f>IF(C92="","DEP-"&amp;TEXT(COUNTA($C$5:C92),"000"))</f>
        <v/>
      </c>
      <c r="C92" s="14" t="n"/>
      <c r="D92" s="14" t="n"/>
      <c r="E92" s="28" t="n"/>
      <c r="F92" s="14" t="n"/>
      <c r="G92" s="28" t="n"/>
      <c r="H92" s="24" t="n"/>
      <c r="I92" s="19" t="n"/>
      <c r="J92" s="19">
        <f>IF(I92="","",IFERROR(I92*0.5,0))</f>
        <v/>
      </c>
      <c r="K92" s="14" t="n"/>
      <c r="L92" s="14" t="n"/>
    </row>
    <row r="93" ht="22" customHeight="1">
      <c r="B93" s="17">
        <f>IF(C93="","DEP-"&amp;TEXT(COUNTA($C$5:C93),"000"))</f>
        <v/>
      </c>
      <c r="C93" s="12" t="n"/>
      <c r="D93" s="12" t="n"/>
      <c r="E93" s="27" t="n"/>
      <c r="F93" s="12" t="n"/>
      <c r="G93" s="27" t="n"/>
      <c r="H93" s="23" t="n"/>
      <c r="I93" s="18" t="n"/>
      <c r="J93" s="18">
        <f>IF(I93="","",IFERROR(I93*0.5,0))</f>
        <v/>
      </c>
      <c r="K93" s="12" t="n"/>
      <c r="L93" s="12" t="n"/>
    </row>
    <row r="94" ht="22" customHeight="1">
      <c r="B94" s="16">
        <f>IF(C94="","DEP-"&amp;TEXT(COUNTA($C$5:C94),"000"))</f>
        <v/>
      </c>
      <c r="C94" s="14" t="n"/>
      <c r="D94" s="14" t="n"/>
      <c r="E94" s="28" t="n"/>
      <c r="F94" s="14" t="n"/>
      <c r="G94" s="28" t="n"/>
      <c r="H94" s="24" t="n"/>
      <c r="I94" s="19" t="n"/>
      <c r="J94" s="19">
        <f>IF(I94="","",IFERROR(I94*0.5,0))</f>
        <v/>
      </c>
      <c r="K94" s="14" t="n"/>
      <c r="L94" s="14" t="n"/>
    </row>
    <row r="95" ht="22" customHeight="1">
      <c r="B95" s="17">
        <f>IF(C95="","DEP-"&amp;TEXT(COUNTA($C$5:C95),"000"))</f>
        <v/>
      </c>
      <c r="C95" s="12" t="n"/>
      <c r="D95" s="12" t="n"/>
      <c r="E95" s="27" t="n"/>
      <c r="F95" s="12" t="n"/>
      <c r="G95" s="27" t="n"/>
      <c r="H95" s="23" t="n"/>
      <c r="I95" s="18" t="n"/>
      <c r="J95" s="18">
        <f>IF(I95="","",IFERROR(I95*0.5,0))</f>
        <v/>
      </c>
      <c r="K95" s="12" t="n"/>
      <c r="L95" s="12" t="n"/>
    </row>
    <row r="96" ht="22" customHeight="1">
      <c r="B96" s="16">
        <f>IF(C96="","DEP-"&amp;TEXT(COUNTA($C$5:C96),"000"))</f>
        <v/>
      </c>
      <c r="C96" s="14" t="n"/>
      <c r="D96" s="14" t="n"/>
      <c r="E96" s="28" t="n"/>
      <c r="F96" s="14" t="n"/>
      <c r="G96" s="28" t="n"/>
      <c r="H96" s="24" t="n"/>
      <c r="I96" s="19" t="n"/>
      <c r="J96" s="19">
        <f>IF(I96="","",IFERROR(I96*0.5,0))</f>
        <v/>
      </c>
      <c r="K96" s="14" t="n"/>
      <c r="L96" s="14" t="n"/>
    </row>
    <row r="97" ht="22" customHeight="1">
      <c r="B97" s="17">
        <f>IF(C97="","DEP-"&amp;TEXT(COUNTA($C$5:C97),"000"))</f>
        <v/>
      </c>
      <c r="C97" s="12" t="n"/>
      <c r="D97" s="12" t="n"/>
      <c r="E97" s="27" t="n"/>
      <c r="F97" s="12" t="n"/>
      <c r="G97" s="27" t="n"/>
      <c r="H97" s="23" t="n"/>
      <c r="I97" s="18" t="n"/>
      <c r="J97" s="18">
        <f>IF(I97="","",IFERROR(I97*0.5,0))</f>
        <v/>
      </c>
      <c r="K97" s="12" t="n"/>
      <c r="L97" s="12" t="n"/>
    </row>
    <row r="98" ht="22" customHeight="1">
      <c r="B98" s="16">
        <f>IF(C98="","DEP-"&amp;TEXT(COUNTA($C$5:C98),"000"))</f>
        <v/>
      </c>
      <c r="C98" s="14" t="n"/>
      <c r="D98" s="14" t="n"/>
      <c r="E98" s="28" t="n"/>
      <c r="F98" s="14" t="n"/>
      <c r="G98" s="28" t="n"/>
      <c r="H98" s="24" t="n"/>
      <c r="I98" s="19" t="n"/>
      <c r="J98" s="19">
        <f>IF(I98="","",IFERROR(I98*0.5,0))</f>
        <v/>
      </c>
      <c r="K98" s="14" t="n"/>
      <c r="L98" s="14" t="n"/>
    </row>
    <row r="99" ht="22" customHeight="1">
      <c r="B99" s="17">
        <f>IF(C99="","DEP-"&amp;TEXT(COUNTA($C$5:C99),"000"))</f>
        <v/>
      </c>
      <c r="C99" s="12" t="n"/>
      <c r="D99" s="12" t="n"/>
      <c r="E99" s="27" t="n"/>
      <c r="F99" s="12" t="n"/>
      <c r="G99" s="27" t="n"/>
      <c r="H99" s="23" t="n"/>
      <c r="I99" s="18" t="n"/>
      <c r="J99" s="18">
        <f>IF(I99="","",IFERROR(I99*0.5,0))</f>
        <v/>
      </c>
      <c r="K99" s="12" t="n"/>
      <c r="L99" s="12" t="n"/>
    </row>
    <row r="100" ht="22" customHeight="1">
      <c r="B100" s="16">
        <f>IF(C100="","DEP-"&amp;TEXT(COUNTA($C$5:C100),"000"))</f>
        <v/>
      </c>
      <c r="C100" s="14" t="n"/>
      <c r="D100" s="14" t="n"/>
      <c r="E100" s="28" t="n"/>
      <c r="F100" s="14" t="n"/>
      <c r="G100" s="28" t="n"/>
      <c r="H100" s="24" t="n"/>
      <c r="I100" s="19" t="n"/>
      <c r="J100" s="19">
        <f>IF(I100="","",IFERROR(I100*0.5,0))</f>
        <v/>
      </c>
      <c r="K100" s="14" t="n"/>
      <c r="L100" s="14" t="n"/>
    </row>
    <row r="101" ht="22" customHeight="1">
      <c r="B101" s="17">
        <f>IF(C101="","DEP-"&amp;TEXT(COUNTA($C$5:C101),"000"))</f>
        <v/>
      </c>
      <c r="C101" s="12" t="n"/>
      <c r="D101" s="12" t="n"/>
      <c r="E101" s="27" t="n"/>
      <c r="F101" s="12" t="n"/>
      <c r="G101" s="27" t="n"/>
      <c r="H101" s="23" t="n"/>
      <c r="I101" s="18" t="n"/>
      <c r="J101" s="18">
        <f>IF(I101="","",IFERROR(I101*0.5,0))</f>
        <v/>
      </c>
      <c r="K101" s="12" t="n"/>
      <c r="L101" s="12" t="n"/>
    </row>
    <row r="102" ht="22" customHeight="1">
      <c r="B102" s="16">
        <f>IF(C102="","DEP-"&amp;TEXT(COUNTA($C$5:C102),"000"))</f>
        <v/>
      </c>
      <c r="C102" s="14" t="n"/>
      <c r="D102" s="14" t="n"/>
      <c r="E102" s="28" t="n"/>
      <c r="F102" s="14" t="n"/>
      <c r="G102" s="28" t="n"/>
      <c r="H102" s="24" t="n"/>
      <c r="I102" s="19" t="n"/>
      <c r="J102" s="19">
        <f>IF(I102="","",IFERROR(I102*0.5,0))</f>
        <v/>
      </c>
      <c r="K102" s="14" t="n"/>
      <c r="L102" s="14" t="n"/>
    </row>
    <row r="103" ht="22" customHeight="1">
      <c r="B103" s="17">
        <f>IF(C103="","DEP-"&amp;TEXT(COUNTA($C$5:C103),"000"))</f>
        <v/>
      </c>
      <c r="C103" s="12" t="n"/>
      <c r="D103" s="12" t="n"/>
      <c r="E103" s="27" t="n"/>
      <c r="F103" s="12" t="n"/>
      <c r="G103" s="27" t="n"/>
      <c r="H103" s="23" t="n"/>
      <c r="I103" s="18" t="n"/>
      <c r="J103" s="18">
        <f>IF(I103="","",IFERROR(I103*0.5,0))</f>
        <v/>
      </c>
      <c r="K103" s="12" t="n"/>
      <c r="L103" s="12" t="n"/>
    </row>
    <row r="104" ht="22" customHeight="1">
      <c r="B104" s="16">
        <f>IF(C104="","DEP-"&amp;TEXT(COUNTA($C$5:C104),"000"))</f>
        <v/>
      </c>
      <c r="C104" s="14" t="n"/>
      <c r="D104" s="14" t="n"/>
      <c r="E104" s="28" t="n"/>
      <c r="F104" s="14" t="n"/>
      <c r="G104" s="28" t="n"/>
      <c r="H104" s="24" t="n"/>
      <c r="I104" s="19" t="n"/>
      <c r="J104" s="19">
        <f>IF(I104="","",IFERROR(I104*0.5,0))</f>
        <v/>
      </c>
      <c r="K104" s="14" t="n"/>
      <c r="L104" s="14" t="n"/>
    </row>
    <row r="105" ht="22" customHeight="1">
      <c r="B105" s="17">
        <f>IF(C105="","DEP-"&amp;TEXT(COUNTA($C$5:C105),"000"))</f>
        <v/>
      </c>
      <c r="C105" s="12" t="n"/>
      <c r="D105" s="12" t="n"/>
      <c r="E105" s="27" t="n"/>
      <c r="F105" s="12" t="n"/>
      <c r="G105" s="27" t="n"/>
      <c r="H105" s="23" t="n"/>
      <c r="I105" s="18" t="n"/>
      <c r="K105" s="12" t="n"/>
      <c r="L105" s="12" t="n"/>
    </row>
    <row r="106" ht="22" customHeight="1">
      <c r="B106" s="16">
        <f>IF(C106="","DEP-"&amp;TEXT(COUNTA($C$5:C106),"000"))</f>
        <v/>
      </c>
      <c r="C106" s="14" t="n"/>
      <c r="D106" s="14" t="n"/>
      <c r="E106" s="28" t="n"/>
      <c r="F106" s="14" t="n"/>
      <c r="G106" s="28" t="n"/>
      <c r="H106" s="24" t="n"/>
      <c r="I106" s="19" t="n"/>
      <c r="K106" s="14" t="n"/>
      <c r="L106" s="14" t="n"/>
    </row>
    <row r="107" ht="22" customHeight="1">
      <c r="B107" s="17">
        <f>IF(C107="","DEP-"&amp;TEXT(COUNTA($C$5:C107),"000"))</f>
        <v/>
      </c>
      <c r="C107" s="12" t="n"/>
      <c r="D107" s="12" t="n"/>
      <c r="E107" s="27" t="n"/>
      <c r="F107" s="12" t="n"/>
      <c r="G107" s="27" t="n"/>
      <c r="H107" s="23" t="n"/>
      <c r="I107" s="18" t="n"/>
      <c r="K107" s="12" t="n"/>
      <c r="L107" s="12" t="n"/>
    </row>
    <row r="108"/>
    <row r="109" ht="26" customHeight="1">
      <c r="B109" s="20" t="inlineStr">
        <is>
          <t>TOTAL</t>
        </is>
      </c>
      <c r="C109" s="21" t="n"/>
      <c r="D109" s="21" t="n"/>
      <c r="E109" s="21" t="n"/>
      <c r="F109" s="21" t="n"/>
      <c r="G109" s="21" t="n"/>
      <c r="H109" s="21" t="n"/>
      <c r="I109" s="22">
        <f>SUM(I5:I104)</f>
        <v/>
      </c>
      <c r="K109" s="21" t="n"/>
      <c r="L109" s="21" t="n"/>
    </row>
    <row r="110"/>
    <row r="111">
      <c r="B111" s="6" t="inlineStr">
        <is>
          <t>INDICATEURS (mis a jour automatiquement)</t>
        </is>
      </c>
    </row>
    <row r="112">
      <c r="B112" s="3" t="inlineStr">
        <is>
          <t>Total départs</t>
        </is>
      </c>
      <c r="D112" s="3" t="inlineStr">
        <is>
          <t>Dossiers clos</t>
        </is>
      </c>
      <c r="F112" s="3" t="inlineStr">
        <is>
          <t>En cours</t>
        </is>
      </c>
    </row>
    <row r="113">
      <c r="B113" s="4">
        <f>COUNTIF(B5:B104,"&lt;&gt;")</f>
        <v/>
      </c>
      <c r="D113" s="4">
        <f>COUNTIF(K5:K104,"Clos")</f>
        <v/>
      </c>
      <c r="F113" s="4">
        <f>COUNTIF(K5:K104,"En cours")</f>
        <v/>
      </c>
    </row>
  </sheetData>
  <mergeCells count="3">
    <mergeCell ref="B111:K111"/>
    <mergeCell ref="B3:K3"/>
    <mergeCell ref="B2:K2"/>
  </mergeCells>
  <conditionalFormatting sqref="K5:K107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"Soumise"</formula>
    </cfRule>
    <cfRule type="cellIs" priority="9" operator="equal" dxfId="0">
      <formula>"Traite"</formula>
    </cfRule>
    <cfRule type="cellIs" priority="10" operator="equal" dxfId="0">
      <formula>"Clos"</formula>
    </cfRule>
    <cfRule type="cellIs" priority="11" operator="equal" dxfId="0">
      <formula>"Solde"</formula>
    </cfRule>
    <cfRule type="cellIs" priority="12" operator="equal" dxfId="0">
      <formula>"Pris"</formula>
    </cfRule>
    <cfRule type="cellIs" priority="13" operator="equal" dxfId="1">
      <formula>"En attente"</formula>
    </cfRule>
    <cfRule type="cellIs" priority="14" operator="equal" dxfId="1">
      <formula>"A renouveler"</formula>
    </cfRule>
    <cfRule type="cellIs" priority="15" operator="equal" dxfId="1">
      <formula>"En renouvellement"</formula>
    </cfRule>
    <cfRule type="cellIs" priority="16" operator="equal" dxfId="1">
      <formula>"En cours"</formula>
    </cfRule>
    <cfRule type="cellIs" priority="17" operator="equal" dxfId="1">
      <formula>"En traitement"</formula>
    </cfRule>
    <cfRule type="cellIs" priority="18" operator="equal" dxfId="1">
      <formula>"En retard"</formula>
    </cfRule>
    <cfRule type="cellIs" priority="19" operator="equal" dxfId="1">
      <formula>"Suspendu"</formula>
    </cfRule>
    <cfRule type="cellIs" priority="20" operator="equal" dxfId="1">
      <formula>"A verifier"</formula>
    </cfRule>
    <cfRule type="cellIs" priority="21" operator="equal" dxfId="2">
      <formula>"Expire"</formula>
    </cfRule>
    <cfRule type="cellIs" priority="22" operator="equal" dxfId="2">
      <formula>"Rejete"</formula>
    </cfRule>
    <cfRule type="cellIs" priority="23" operator="equal" dxfId="2">
      <formula>"Rejetee"</formula>
    </cfRule>
    <cfRule type="cellIs" priority="24" operator="equal" dxfId="2">
      <formula>"Resilie"</formula>
    </cfRule>
    <cfRule type="cellIs" priority="25" operator="equal" dxfId="2">
      <formula>"Echu"</formula>
    </cfRule>
    <cfRule type="cellIs" priority="26" operator="equal" dxfId="2">
      <formula>"Refuse"</formula>
    </cfRule>
    <cfRule type="cellIs" priority="27" operator="equal" dxfId="2">
      <formula>"Annulee"</formula>
    </cfRule>
    <cfRule type="cellIs" priority="28" operator="equal" dxfId="2">
      <formula>"Departi"</formula>
    </cfRule>
    <cfRule type="cellIs" priority="29" operator="equal" dxfId="2">
      <formula>"Cloture"</formula>
    </cfRule>
    <cfRule type="cellIs" priority="30" operator="equal" dxfId="2">
      <formula>"Non justifiee"</formula>
    </cfRule>
    <cfRule type="cellIs" priority="31" operator="equal" dxfId="2">
      <formula>"Manquant"</formula>
    </cfRule>
  </conditionalFormatting>
  <conditionalFormatting sqref="B8:B107">
    <cfRule type="expression" priority="32" dxfId="3">
      <formula>AND($C8="",$C7&lt;&gt;"")</formula>
    </cfRule>
  </conditionalFormatting>
  <conditionalFormatting sqref="C8:C107">
    <cfRule type="expression" priority="33" dxfId="3">
      <formula>AND($C8="",$C7&lt;&gt;"")</formula>
    </cfRule>
  </conditionalFormatting>
  <conditionalFormatting sqref="D8:D107">
    <cfRule type="expression" priority="34" dxfId="3">
      <formula>AND($C8="",$C7&lt;&gt;"")</formula>
    </cfRule>
  </conditionalFormatting>
  <conditionalFormatting sqref="E8:E107">
    <cfRule type="expression" priority="35" dxfId="3">
      <formula>AND($C8="",$C7&lt;&gt;"")</formula>
    </cfRule>
  </conditionalFormatting>
  <conditionalFormatting sqref="F8:F107">
    <cfRule type="expression" priority="36" dxfId="3">
      <formula>AND($C8="",$C7&lt;&gt;"")</formula>
    </cfRule>
  </conditionalFormatting>
  <conditionalFormatting sqref="G8:G107">
    <cfRule type="expression" priority="37" dxfId="3">
      <formula>AND($C8="",$C7&lt;&gt;"")</formula>
    </cfRule>
  </conditionalFormatting>
  <conditionalFormatting sqref="H8:H107">
    <cfRule type="expression" priority="38" dxfId="3">
      <formula>AND($C8="",$C7&lt;&gt;"")</formula>
    </cfRule>
  </conditionalFormatting>
  <conditionalFormatting sqref="I8:I107">
    <cfRule type="expression" priority="39" dxfId="3">
      <formula>AND($C8="",$C7&lt;&gt;"")</formula>
    </cfRule>
  </conditionalFormatting>
  <conditionalFormatting sqref="J8:J107">
    <cfRule type="expression" priority="40" dxfId="3">
      <formula>AND($C8="",$C7&lt;&gt;"")</formula>
    </cfRule>
  </conditionalFormatting>
  <conditionalFormatting sqref="K8:K107">
    <cfRule type="expression" priority="41" dxfId="3">
      <formula>AND($C8="",$C7&lt;&gt;"")</formula>
    </cfRule>
  </conditionalFormatting>
  <dataValidations count="2">
    <dataValidation sqref="F5:F107" showDropDown="0" showInputMessage="0" showErrorMessage="0" allowBlank="1" errorTitle="Erreur" error="Valeur invalide" promptTitle="Liste" prompt="Choisir dans la liste" type="list">
      <formula1>'_Lists'!$AI$2:$AI$9</formula1>
    </dataValidation>
    <dataValidation sqref="K5:K107" showDropDown="0" showInputMessage="0" showErrorMessage="0" allowBlank="1" errorTitle="Erreur" error="Valeur invalide" promptTitle="Liste" prompt="Choisir dans la liste" type="list">
      <formula1>'_Lists'!$AJ$2:$AJ$7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11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20" customWidth="1" min="4" max="4"/>
    <col width="22" customWidth="1" min="5" max="5"/>
    <col width="24" customWidth="1" min="6" max="6"/>
    <col width="26" customWidth="1" min="7" max="7"/>
    <col width="11" customWidth="1" min="8" max="8"/>
    <col width="17" customWidth="1" min="9" max="9"/>
    <col width="28" customWidth="1" min="10" max="10"/>
  </cols>
  <sheetData>
    <row r="1" ht="15" customHeight="1"/>
    <row r="2" ht="32" customHeight="1">
      <c r="B2" s="1" t="inlineStr">
        <is>
          <t>ARCHIVAGE DES DOCUMENTS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Matricule</t>
        </is>
      </c>
      <c r="D4" s="11" t="inlineStr">
        <is>
          <t>Nom Employé</t>
        </is>
      </c>
      <c r="E4" s="11" t="inlineStr">
        <is>
          <t>Type Document</t>
        </is>
      </c>
      <c r="F4" s="11" t="inlineStr">
        <is>
          <t>Date Archive</t>
        </is>
      </c>
      <c r="G4" s="11" t="inlineStr">
        <is>
          <t>Lieu Stockage</t>
        </is>
      </c>
      <c r="H4" s="11" t="inlineStr">
        <is>
          <t>Durée Conservation</t>
        </is>
      </c>
      <c r="I4" s="11" t="inlineStr">
        <is>
          <t>Responsable</t>
        </is>
      </c>
      <c r="J4" s="11" t="inlineStr">
        <is>
          <t>Observations</t>
        </is>
      </c>
    </row>
    <row r="5" ht="22" customHeight="1">
      <c r="B5" s="12" t="inlineStr">
        <is>
          <t>ARCH-001</t>
        </is>
      </c>
      <c r="C5" s="12" t="inlineStr">
        <is>
          <t>EMP-2024-012</t>
        </is>
      </c>
      <c r="D5" s="12" t="inlineStr">
        <is>
          <t>Kamga Jean</t>
        </is>
      </c>
      <c r="E5" s="12" t="inlineStr">
        <is>
          <t>Dossier complet</t>
        </is>
      </c>
      <c r="F5" s="27" t="n">
        <v>45731</v>
      </c>
      <c r="G5" s="12" t="inlineStr">
        <is>
          <t>Archive physique Salle B</t>
        </is>
      </c>
      <c r="H5" s="12" t="inlineStr">
        <is>
          <t>5 ans</t>
        </is>
      </c>
      <c r="I5" s="12" t="inlineStr">
        <is>
          <t>Nganou Clarisse</t>
        </is>
      </c>
      <c r="J5" s="12" t="inlineStr">
        <is>
          <t>Depart fevrier 2025</t>
        </is>
      </c>
    </row>
    <row r="6" ht="22" customHeight="1">
      <c r="B6" s="14" t="inlineStr">
        <is>
          <t>ARCH-002</t>
        </is>
      </c>
      <c r="C6" s="14" t="inlineStr">
        <is>
          <t>EMP-2023-003</t>
        </is>
      </c>
      <c r="D6" s="14" t="inlineStr">
        <is>
          <t>Ngo Mballa Marie</t>
        </is>
      </c>
      <c r="E6" s="14" t="inlineStr">
        <is>
          <t>Dossier complet</t>
        </is>
      </c>
      <c r="F6" s="28" t="n">
        <v>45667</v>
      </c>
      <c r="G6" s="14" t="inlineStr">
        <is>
          <t>Archive physique Salle B</t>
        </is>
      </c>
      <c r="H6" s="14" t="inlineStr">
        <is>
          <t>Illimitee</t>
        </is>
      </c>
      <c r="I6" s="14" t="inlineStr">
        <is>
          <t>Nganou Clarisse</t>
        </is>
      </c>
      <c r="J6" s="14" t="inlineStr">
        <is>
          <t>Retraite decembre 2024</t>
        </is>
      </c>
    </row>
    <row r="7" ht="22" customHeight="1">
      <c r="B7" s="12" t="inlineStr">
        <is>
          <t>ARCH-003</t>
        </is>
      </c>
      <c r="C7" s="12" t="inlineStr">
        <is>
          <t>EMP-001</t>
        </is>
      </c>
      <c r="D7" s="12" t="inlineStr">
        <is>
          <t>Nganou Clarisse</t>
        </is>
      </c>
      <c r="E7" s="12" t="inlineStr">
        <is>
          <t>Contrat initial</t>
        </is>
      </c>
      <c r="F7" s="27" t="n">
        <v>43862</v>
      </c>
      <c r="G7" s="12" t="inlineStr">
        <is>
          <t>Archive numerique RH</t>
        </is>
      </c>
      <c r="H7" s="12" t="inlineStr">
        <is>
          <t>Illimitee</t>
        </is>
      </c>
      <c r="I7" s="12" t="inlineStr">
        <is>
          <t>DRH</t>
        </is>
      </c>
      <c r="J7" s="12" t="inlineStr">
        <is>
          <t>Contrat CDI 2020</t>
        </is>
      </c>
    </row>
    <row r="8" ht="22" customHeight="1">
      <c r="B8" s="16">
        <f>IF(C8="","ARCH-"&amp;TEXT(COUNTA($C$5:C8),"000"))</f>
        <v/>
      </c>
      <c r="C8" s="14" t="n"/>
      <c r="D8" s="14" t="n"/>
      <c r="E8" s="14" t="n"/>
      <c r="F8" s="28" t="n"/>
      <c r="G8" s="14" t="n"/>
      <c r="H8" s="14" t="n"/>
      <c r="I8" s="14" t="n"/>
      <c r="J8" s="14" t="n"/>
    </row>
    <row r="9" ht="22" customHeight="1">
      <c r="B9" s="17">
        <f>IF(C9="","ARCH-"&amp;TEXT(COUNTA($C$5:C9),"000"))</f>
        <v/>
      </c>
      <c r="C9" s="12" t="n"/>
      <c r="D9" s="12" t="n"/>
      <c r="E9" s="12" t="n"/>
      <c r="F9" s="27" t="n"/>
      <c r="G9" s="12" t="n"/>
      <c r="H9" s="12" t="n"/>
      <c r="I9" s="12" t="n"/>
      <c r="J9" s="12" t="n"/>
    </row>
    <row r="10" ht="22" customHeight="1">
      <c r="B10" s="16">
        <f>IF(C10="","ARCH-"&amp;TEXT(COUNTA($C$5:C10),"000"))</f>
        <v/>
      </c>
      <c r="C10" s="14" t="n"/>
      <c r="D10" s="14" t="n"/>
      <c r="E10" s="14" t="n"/>
      <c r="F10" s="28" t="n"/>
      <c r="G10" s="14" t="n"/>
      <c r="H10" s="14" t="n"/>
      <c r="I10" s="14" t="n"/>
      <c r="J10" s="14" t="n"/>
    </row>
    <row r="11" ht="22" customHeight="1">
      <c r="B11" s="17">
        <f>IF(C11="","ARCH-"&amp;TEXT(COUNTA($C$5:C11),"000"))</f>
        <v/>
      </c>
      <c r="C11" s="12" t="n"/>
      <c r="D11" s="12" t="n"/>
      <c r="E11" s="12" t="n"/>
      <c r="F11" s="27" t="n"/>
      <c r="G11" s="12" t="n"/>
      <c r="H11" s="12" t="n"/>
      <c r="I11" s="12" t="n"/>
      <c r="J11" s="12" t="n"/>
    </row>
    <row r="12" ht="22" customHeight="1">
      <c r="B12" s="16">
        <f>IF(C12="","ARCH-"&amp;TEXT(COUNTA($C$5:C12),"000"))</f>
        <v/>
      </c>
      <c r="C12" s="14" t="n"/>
      <c r="D12" s="14" t="n"/>
      <c r="E12" s="14" t="n"/>
      <c r="F12" s="28" t="n"/>
      <c r="G12" s="14" t="n"/>
      <c r="H12" s="14" t="n"/>
      <c r="I12" s="14" t="n"/>
      <c r="J12" s="14" t="n"/>
    </row>
    <row r="13" ht="22" customHeight="1">
      <c r="B13" s="17">
        <f>IF(C13="","ARCH-"&amp;TEXT(COUNTA($C$5:C13),"000"))</f>
        <v/>
      </c>
      <c r="C13" s="12" t="n"/>
      <c r="D13" s="12" t="n"/>
      <c r="E13" s="12" t="n"/>
      <c r="F13" s="27" t="n"/>
      <c r="G13" s="12" t="n"/>
      <c r="H13" s="12" t="n"/>
      <c r="I13" s="12" t="n"/>
      <c r="J13" s="12" t="n"/>
    </row>
    <row r="14" ht="22" customHeight="1">
      <c r="B14" s="16">
        <f>IF(C14="","ARCH-"&amp;TEXT(COUNTA($C$5:C14),"000"))</f>
        <v/>
      </c>
      <c r="C14" s="14" t="n"/>
      <c r="D14" s="14" t="n"/>
      <c r="E14" s="14" t="n"/>
      <c r="F14" s="28" t="n"/>
      <c r="G14" s="14" t="n"/>
      <c r="H14" s="14" t="n"/>
      <c r="I14" s="14" t="n"/>
      <c r="J14" s="14" t="n"/>
    </row>
    <row r="15" ht="22" customHeight="1">
      <c r="B15" s="17">
        <f>IF(C15="","ARCH-"&amp;TEXT(COUNTA($C$5:C15),"000"))</f>
        <v/>
      </c>
      <c r="C15" s="12" t="n"/>
      <c r="D15" s="12" t="n"/>
      <c r="E15" s="12" t="n"/>
      <c r="F15" s="27" t="n"/>
      <c r="G15" s="12" t="n"/>
      <c r="H15" s="12" t="n"/>
      <c r="I15" s="12" t="n"/>
      <c r="J15" s="12" t="n"/>
    </row>
    <row r="16" ht="22" customHeight="1">
      <c r="B16" s="16">
        <f>IF(C16="","ARCH-"&amp;TEXT(COUNTA($C$5:C16),"000"))</f>
        <v/>
      </c>
      <c r="C16" s="14" t="n"/>
      <c r="D16" s="14" t="n"/>
      <c r="E16" s="14" t="n"/>
      <c r="F16" s="28" t="n"/>
      <c r="G16" s="14" t="n"/>
      <c r="H16" s="14" t="n"/>
      <c r="I16" s="14" t="n"/>
      <c r="J16" s="14" t="n"/>
    </row>
    <row r="17" ht="22" customHeight="1">
      <c r="B17" s="17">
        <f>IF(C17="","ARCH-"&amp;TEXT(COUNTA($C$5:C17),"000"))</f>
        <v/>
      </c>
      <c r="C17" s="12" t="n"/>
      <c r="D17" s="12" t="n"/>
      <c r="E17" s="12" t="n"/>
      <c r="F17" s="27" t="n"/>
      <c r="G17" s="12" t="n"/>
      <c r="H17" s="12" t="n"/>
      <c r="I17" s="12" t="n"/>
      <c r="J17" s="12" t="n"/>
    </row>
    <row r="18" ht="22" customHeight="1">
      <c r="B18" s="16">
        <f>IF(C18="","ARCH-"&amp;TEXT(COUNTA($C$5:C18),"000"))</f>
        <v/>
      </c>
      <c r="C18" s="14" t="n"/>
      <c r="D18" s="14" t="n"/>
      <c r="E18" s="14" t="n"/>
      <c r="F18" s="28" t="n"/>
      <c r="G18" s="14" t="n"/>
      <c r="H18" s="14" t="n"/>
      <c r="I18" s="14" t="n"/>
      <c r="J18" s="14" t="n"/>
    </row>
    <row r="19" ht="22" customHeight="1">
      <c r="B19" s="17">
        <f>IF(C19="","ARCH-"&amp;TEXT(COUNTA($C$5:C19),"000"))</f>
        <v/>
      </c>
      <c r="C19" s="12" t="n"/>
      <c r="D19" s="12" t="n"/>
      <c r="E19" s="12" t="n"/>
      <c r="F19" s="27" t="n"/>
      <c r="G19" s="12" t="n"/>
      <c r="H19" s="12" t="n"/>
      <c r="I19" s="12" t="n"/>
      <c r="J19" s="12" t="n"/>
    </row>
    <row r="20" ht="22" customHeight="1">
      <c r="B20" s="16">
        <f>IF(C20="","ARCH-"&amp;TEXT(COUNTA($C$5:C20),"000"))</f>
        <v/>
      </c>
      <c r="C20" s="14" t="n"/>
      <c r="D20" s="14" t="n"/>
      <c r="E20" s="14" t="n"/>
      <c r="F20" s="28" t="n"/>
      <c r="G20" s="14" t="n"/>
      <c r="H20" s="14" t="n"/>
      <c r="I20" s="14" t="n"/>
      <c r="J20" s="14" t="n"/>
    </row>
    <row r="21" ht="22" customHeight="1">
      <c r="B21" s="17">
        <f>IF(C21="","ARCH-"&amp;TEXT(COUNTA($C$5:C21),"000"))</f>
        <v/>
      </c>
      <c r="C21" s="12" t="n"/>
      <c r="D21" s="12" t="n"/>
      <c r="E21" s="12" t="n"/>
      <c r="F21" s="27" t="n"/>
      <c r="G21" s="12" t="n"/>
      <c r="H21" s="12" t="n"/>
      <c r="I21" s="12" t="n"/>
      <c r="J21" s="12" t="n"/>
    </row>
    <row r="22" ht="22" customHeight="1">
      <c r="B22" s="16">
        <f>IF(C22="","ARCH-"&amp;TEXT(COUNTA($C$5:C22),"000"))</f>
        <v/>
      </c>
      <c r="C22" s="14" t="n"/>
      <c r="D22" s="14" t="n"/>
      <c r="E22" s="14" t="n"/>
      <c r="F22" s="28" t="n"/>
      <c r="G22" s="14" t="n"/>
      <c r="H22" s="14" t="n"/>
      <c r="I22" s="14" t="n"/>
      <c r="J22" s="14" t="n"/>
    </row>
    <row r="23" ht="22" customHeight="1">
      <c r="B23" s="17">
        <f>IF(C23="","ARCH-"&amp;TEXT(COUNTA($C$5:C23),"000"))</f>
        <v/>
      </c>
      <c r="C23" s="12" t="n"/>
      <c r="D23" s="12" t="n"/>
      <c r="E23" s="12" t="n"/>
      <c r="F23" s="27" t="n"/>
      <c r="G23" s="12" t="n"/>
      <c r="H23" s="12" t="n"/>
      <c r="I23" s="12" t="n"/>
      <c r="J23" s="12" t="n"/>
    </row>
    <row r="24" ht="22" customHeight="1">
      <c r="B24" s="16">
        <f>IF(C24="","ARCH-"&amp;TEXT(COUNTA($C$5:C24),"000"))</f>
        <v/>
      </c>
      <c r="C24" s="14" t="n"/>
      <c r="D24" s="14" t="n"/>
      <c r="E24" s="14" t="n"/>
      <c r="F24" s="28" t="n"/>
      <c r="G24" s="14" t="n"/>
      <c r="H24" s="14" t="n"/>
      <c r="I24" s="14" t="n"/>
      <c r="J24" s="14" t="n"/>
    </row>
    <row r="25" ht="22" customHeight="1">
      <c r="B25" s="17">
        <f>IF(C25="","ARCH-"&amp;TEXT(COUNTA($C$5:C25),"000"))</f>
        <v/>
      </c>
      <c r="C25" s="12" t="n"/>
      <c r="D25" s="12" t="n"/>
      <c r="E25" s="12" t="n"/>
      <c r="F25" s="27" t="n"/>
      <c r="G25" s="12" t="n"/>
      <c r="H25" s="12" t="n"/>
      <c r="I25" s="12" t="n"/>
      <c r="J25" s="12" t="n"/>
    </row>
    <row r="26" ht="22" customHeight="1">
      <c r="B26" s="16">
        <f>IF(C26="","ARCH-"&amp;TEXT(COUNTA($C$5:C26),"000"))</f>
        <v/>
      </c>
      <c r="C26" s="14" t="n"/>
      <c r="D26" s="14" t="n"/>
      <c r="E26" s="14" t="n"/>
      <c r="F26" s="28" t="n"/>
      <c r="G26" s="14" t="n"/>
      <c r="H26" s="14" t="n"/>
      <c r="I26" s="14" t="n"/>
      <c r="J26" s="14" t="n"/>
    </row>
    <row r="27" ht="22" customHeight="1">
      <c r="B27" s="17">
        <f>IF(C27="","ARCH-"&amp;TEXT(COUNTA($C$5:C27),"000"))</f>
        <v/>
      </c>
      <c r="C27" s="12" t="n"/>
      <c r="D27" s="12" t="n"/>
      <c r="E27" s="12" t="n"/>
      <c r="F27" s="27" t="n"/>
      <c r="G27" s="12" t="n"/>
      <c r="H27" s="12" t="n"/>
      <c r="I27" s="12" t="n"/>
      <c r="J27" s="12" t="n"/>
    </row>
    <row r="28" ht="22" customHeight="1">
      <c r="B28" s="16">
        <f>IF(C28="","ARCH-"&amp;TEXT(COUNTA($C$5:C28),"000"))</f>
        <v/>
      </c>
      <c r="C28" s="14" t="n"/>
      <c r="D28" s="14" t="n"/>
      <c r="E28" s="14" t="n"/>
      <c r="F28" s="28" t="n"/>
      <c r="G28" s="14" t="n"/>
      <c r="H28" s="14" t="n"/>
      <c r="I28" s="14" t="n"/>
      <c r="J28" s="14" t="n"/>
    </row>
    <row r="29" ht="22" customHeight="1">
      <c r="B29" s="17">
        <f>IF(C29="","ARCH-"&amp;TEXT(COUNTA($C$5:C29),"000"))</f>
        <v/>
      </c>
      <c r="C29" s="12" t="n"/>
      <c r="D29" s="12" t="n"/>
      <c r="E29" s="12" t="n"/>
      <c r="F29" s="27" t="n"/>
      <c r="G29" s="12" t="n"/>
      <c r="H29" s="12" t="n"/>
      <c r="I29" s="12" t="n"/>
      <c r="J29" s="12" t="n"/>
    </row>
    <row r="30" ht="22" customHeight="1">
      <c r="B30" s="16">
        <f>IF(C30="","ARCH-"&amp;TEXT(COUNTA($C$5:C30),"000"))</f>
        <v/>
      </c>
      <c r="C30" s="14" t="n"/>
      <c r="D30" s="14" t="n"/>
      <c r="E30" s="14" t="n"/>
      <c r="F30" s="28" t="n"/>
      <c r="G30" s="14" t="n"/>
      <c r="H30" s="14" t="n"/>
      <c r="I30" s="14" t="n"/>
      <c r="J30" s="14" t="n"/>
    </row>
    <row r="31" ht="22" customHeight="1">
      <c r="B31" s="17">
        <f>IF(C31="","ARCH-"&amp;TEXT(COUNTA($C$5:C31),"000"))</f>
        <v/>
      </c>
      <c r="C31" s="12" t="n"/>
      <c r="D31" s="12" t="n"/>
      <c r="E31" s="12" t="n"/>
      <c r="F31" s="27" t="n"/>
      <c r="G31" s="12" t="n"/>
      <c r="H31" s="12" t="n"/>
      <c r="I31" s="12" t="n"/>
      <c r="J31" s="12" t="n"/>
    </row>
    <row r="32" ht="22" customHeight="1">
      <c r="B32" s="16">
        <f>IF(C32="","ARCH-"&amp;TEXT(COUNTA($C$5:C32),"000"))</f>
        <v/>
      </c>
      <c r="C32" s="14" t="n"/>
      <c r="D32" s="14" t="n"/>
      <c r="E32" s="14" t="n"/>
      <c r="F32" s="28" t="n"/>
      <c r="G32" s="14" t="n"/>
      <c r="H32" s="14" t="n"/>
      <c r="I32" s="14" t="n"/>
      <c r="J32" s="14" t="n"/>
    </row>
    <row r="33" ht="22" customHeight="1">
      <c r="B33" s="17">
        <f>IF(C33="","ARCH-"&amp;TEXT(COUNTA($C$5:C33),"000"))</f>
        <v/>
      </c>
      <c r="C33" s="12" t="n"/>
      <c r="D33" s="12" t="n"/>
      <c r="E33" s="12" t="n"/>
      <c r="F33" s="27" t="n"/>
      <c r="G33" s="12" t="n"/>
      <c r="H33" s="12" t="n"/>
      <c r="I33" s="12" t="n"/>
      <c r="J33" s="12" t="n"/>
    </row>
    <row r="34" ht="22" customHeight="1">
      <c r="B34" s="16">
        <f>IF(C34="","ARCH-"&amp;TEXT(COUNTA($C$5:C34),"000"))</f>
        <v/>
      </c>
      <c r="C34" s="14" t="n"/>
      <c r="D34" s="14" t="n"/>
      <c r="E34" s="14" t="n"/>
      <c r="F34" s="28" t="n"/>
      <c r="G34" s="14" t="n"/>
      <c r="H34" s="14" t="n"/>
      <c r="I34" s="14" t="n"/>
      <c r="J34" s="14" t="n"/>
    </row>
    <row r="35" ht="22" customHeight="1">
      <c r="B35" s="17">
        <f>IF(C35="","ARCH-"&amp;TEXT(COUNTA($C$5:C35),"000"))</f>
        <v/>
      </c>
      <c r="C35" s="12" t="n"/>
      <c r="D35" s="12" t="n"/>
      <c r="E35" s="12" t="n"/>
      <c r="F35" s="27" t="n"/>
      <c r="G35" s="12" t="n"/>
      <c r="H35" s="12" t="n"/>
      <c r="I35" s="12" t="n"/>
      <c r="J35" s="12" t="n"/>
    </row>
    <row r="36" ht="22" customHeight="1">
      <c r="B36" s="16">
        <f>IF(C36="","ARCH-"&amp;TEXT(COUNTA($C$5:C36),"000"))</f>
        <v/>
      </c>
      <c r="C36" s="14" t="n"/>
      <c r="D36" s="14" t="n"/>
      <c r="E36" s="14" t="n"/>
      <c r="F36" s="28" t="n"/>
      <c r="G36" s="14" t="n"/>
      <c r="H36" s="14" t="n"/>
      <c r="I36" s="14" t="n"/>
      <c r="J36" s="14" t="n"/>
    </row>
    <row r="37" ht="22" customHeight="1">
      <c r="B37" s="17">
        <f>IF(C37="","ARCH-"&amp;TEXT(COUNTA($C$5:C37),"000"))</f>
        <v/>
      </c>
      <c r="C37" s="12" t="n"/>
      <c r="D37" s="12" t="n"/>
      <c r="E37" s="12" t="n"/>
      <c r="F37" s="27" t="n"/>
      <c r="G37" s="12" t="n"/>
      <c r="H37" s="12" t="n"/>
      <c r="I37" s="12" t="n"/>
      <c r="J37" s="12" t="n"/>
    </row>
    <row r="38" ht="22" customHeight="1">
      <c r="B38" s="16">
        <f>IF(C38="","ARCH-"&amp;TEXT(COUNTA($C$5:C38),"000"))</f>
        <v/>
      </c>
      <c r="C38" s="14" t="n"/>
      <c r="D38" s="14" t="n"/>
      <c r="E38" s="14" t="n"/>
      <c r="F38" s="28" t="n"/>
      <c r="G38" s="14" t="n"/>
      <c r="H38" s="14" t="n"/>
      <c r="I38" s="14" t="n"/>
      <c r="J38" s="14" t="n"/>
    </row>
    <row r="39" ht="22" customHeight="1">
      <c r="B39" s="17">
        <f>IF(C39="","ARCH-"&amp;TEXT(COUNTA($C$5:C39),"000"))</f>
        <v/>
      </c>
      <c r="C39" s="12" t="n"/>
      <c r="D39" s="12" t="n"/>
      <c r="E39" s="12" t="n"/>
      <c r="F39" s="27" t="n"/>
      <c r="G39" s="12" t="n"/>
      <c r="H39" s="12" t="n"/>
      <c r="I39" s="12" t="n"/>
      <c r="J39" s="12" t="n"/>
    </row>
    <row r="40" ht="22" customHeight="1">
      <c r="B40" s="16">
        <f>IF(C40="","ARCH-"&amp;TEXT(COUNTA($C$5:C40),"000"))</f>
        <v/>
      </c>
      <c r="C40" s="14" t="n"/>
      <c r="D40" s="14" t="n"/>
      <c r="E40" s="14" t="n"/>
      <c r="F40" s="28" t="n"/>
      <c r="G40" s="14" t="n"/>
      <c r="H40" s="14" t="n"/>
      <c r="I40" s="14" t="n"/>
      <c r="J40" s="14" t="n"/>
    </row>
    <row r="41" ht="22" customHeight="1">
      <c r="B41" s="17">
        <f>IF(C41="","ARCH-"&amp;TEXT(COUNTA($C$5:C41),"000"))</f>
        <v/>
      </c>
      <c r="C41" s="12" t="n"/>
      <c r="D41" s="12" t="n"/>
      <c r="E41" s="12" t="n"/>
      <c r="F41" s="27" t="n"/>
      <c r="G41" s="12" t="n"/>
      <c r="H41" s="12" t="n"/>
      <c r="I41" s="12" t="n"/>
      <c r="J41" s="12" t="n"/>
    </row>
    <row r="42" ht="22" customHeight="1">
      <c r="B42" s="16">
        <f>IF(C42="","ARCH-"&amp;TEXT(COUNTA($C$5:C42),"000"))</f>
        <v/>
      </c>
      <c r="C42" s="14" t="n"/>
      <c r="D42" s="14" t="n"/>
      <c r="E42" s="14" t="n"/>
      <c r="F42" s="28" t="n"/>
      <c r="G42" s="14" t="n"/>
      <c r="H42" s="14" t="n"/>
      <c r="I42" s="14" t="n"/>
      <c r="J42" s="14" t="n"/>
    </row>
    <row r="43" ht="22" customHeight="1">
      <c r="B43" s="17">
        <f>IF(C43="","ARCH-"&amp;TEXT(COUNTA($C$5:C43),"000"))</f>
        <v/>
      </c>
      <c r="C43" s="12" t="n"/>
      <c r="D43" s="12" t="n"/>
      <c r="E43" s="12" t="n"/>
      <c r="F43" s="27" t="n"/>
      <c r="G43" s="12" t="n"/>
      <c r="H43" s="12" t="n"/>
      <c r="I43" s="12" t="n"/>
      <c r="J43" s="12" t="n"/>
    </row>
    <row r="44" ht="22" customHeight="1">
      <c r="B44" s="16">
        <f>IF(C44="","ARCH-"&amp;TEXT(COUNTA($C$5:C44),"000"))</f>
        <v/>
      </c>
      <c r="C44" s="14" t="n"/>
      <c r="D44" s="14" t="n"/>
      <c r="E44" s="14" t="n"/>
      <c r="F44" s="28" t="n"/>
      <c r="G44" s="14" t="n"/>
      <c r="H44" s="14" t="n"/>
      <c r="I44" s="14" t="n"/>
      <c r="J44" s="14" t="n"/>
    </row>
    <row r="45" ht="22" customHeight="1">
      <c r="B45" s="17">
        <f>IF(C45="","ARCH-"&amp;TEXT(COUNTA($C$5:C45),"000"))</f>
        <v/>
      </c>
      <c r="C45" s="12" t="n"/>
      <c r="D45" s="12" t="n"/>
      <c r="E45" s="12" t="n"/>
      <c r="F45" s="27" t="n"/>
      <c r="G45" s="12" t="n"/>
      <c r="H45" s="12" t="n"/>
      <c r="I45" s="12" t="n"/>
      <c r="J45" s="12" t="n"/>
    </row>
    <row r="46" ht="22" customHeight="1">
      <c r="B46" s="16">
        <f>IF(C46="","ARCH-"&amp;TEXT(COUNTA($C$5:C46),"000"))</f>
        <v/>
      </c>
      <c r="C46" s="14" t="n"/>
      <c r="D46" s="14" t="n"/>
      <c r="E46" s="14" t="n"/>
      <c r="F46" s="28" t="n"/>
      <c r="G46" s="14" t="n"/>
      <c r="H46" s="14" t="n"/>
      <c r="I46" s="14" t="n"/>
      <c r="J46" s="14" t="n"/>
    </row>
    <row r="47" ht="22" customHeight="1">
      <c r="B47" s="17">
        <f>IF(C47="","ARCH-"&amp;TEXT(COUNTA($C$5:C47),"000"))</f>
        <v/>
      </c>
      <c r="C47" s="12" t="n"/>
      <c r="D47" s="12" t="n"/>
      <c r="E47" s="12" t="n"/>
      <c r="F47" s="27" t="n"/>
      <c r="G47" s="12" t="n"/>
      <c r="H47" s="12" t="n"/>
      <c r="I47" s="12" t="n"/>
      <c r="J47" s="12" t="n"/>
    </row>
    <row r="48" ht="22" customHeight="1">
      <c r="B48" s="16">
        <f>IF(C48="","ARCH-"&amp;TEXT(COUNTA($C$5:C48),"000"))</f>
        <v/>
      </c>
      <c r="C48" s="14" t="n"/>
      <c r="D48" s="14" t="n"/>
      <c r="E48" s="14" t="n"/>
      <c r="F48" s="28" t="n"/>
      <c r="G48" s="14" t="n"/>
      <c r="H48" s="14" t="n"/>
      <c r="I48" s="14" t="n"/>
      <c r="J48" s="14" t="n"/>
    </row>
    <row r="49" ht="22" customHeight="1">
      <c r="B49" s="17">
        <f>IF(C49="","ARCH-"&amp;TEXT(COUNTA($C$5:C49),"000"))</f>
        <v/>
      </c>
      <c r="C49" s="12" t="n"/>
      <c r="D49" s="12" t="n"/>
      <c r="E49" s="12" t="n"/>
      <c r="F49" s="27" t="n"/>
      <c r="G49" s="12" t="n"/>
      <c r="H49" s="12" t="n"/>
      <c r="I49" s="12" t="n"/>
      <c r="J49" s="12" t="n"/>
    </row>
    <row r="50" ht="22" customHeight="1">
      <c r="B50" s="16">
        <f>IF(C50="","ARCH-"&amp;TEXT(COUNTA($C$5:C50),"000"))</f>
        <v/>
      </c>
      <c r="C50" s="14" t="n"/>
      <c r="D50" s="14" t="n"/>
      <c r="E50" s="14" t="n"/>
      <c r="F50" s="28" t="n"/>
      <c r="G50" s="14" t="n"/>
      <c r="H50" s="14" t="n"/>
      <c r="I50" s="14" t="n"/>
      <c r="J50" s="14" t="n"/>
    </row>
    <row r="51" ht="22" customHeight="1">
      <c r="B51" s="17">
        <f>IF(C51="","ARCH-"&amp;TEXT(COUNTA($C$5:C51),"000"))</f>
        <v/>
      </c>
      <c r="C51" s="12" t="n"/>
      <c r="D51" s="12" t="n"/>
      <c r="E51" s="12" t="n"/>
      <c r="F51" s="27" t="n"/>
      <c r="G51" s="12" t="n"/>
      <c r="H51" s="12" t="n"/>
      <c r="I51" s="12" t="n"/>
      <c r="J51" s="12" t="n"/>
    </row>
    <row r="52" ht="22" customHeight="1">
      <c r="B52" s="16">
        <f>IF(C52="","ARCH-"&amp;TEXT(COUNTA($C$5:C52),"000"))</f>
        <v/>
      </c>
      <c r="C52" s="14" t="n"/>
      <c r="D52" s="14" t="n"/>
      <c r="E52" s="14" t="n"/>
      <c r="F52" s="28" t="n"/>
      <c r="G52" s="14" t="n"/>
      <c r="H52" s="14" t="n"/>
      <c r="I52" s="14" t="n"/>
      <c r="J52" s="14" t="n"/>
    </row>
    <row r="53" ht="22" customHeight="1">
      <c r="B53" s="17">
        <f>IF(C53="","ARCH-"&amp;TEXT(COUNTA($C$5:C53),"000"))</f>
        <v/>
      </c>
      <c r="C53" s="12" t="n"/>
      <c r="D53" s="12" t="n"/>
      <c r="E53" s="12" t="n"/>
      <c r="F53" s="27" t="n"/>
      <c r="G53" s="12" t="n"/>
      <c r="H53" s="12" t="n"/>
      <c r="I53" s="12" t="n"/>
      <c r="J53" s="12" t="n"/>
    </row>
    <row r="54" ht="22" customHeight="1">
      <c r="B54" s="16">
        <f>IF(C54="","ARCH-"&amp;TEXT(COUNTA($C$5:C54),"000"))</f>
        <v/>
      </c>
      <c r="C54" s="14" t="n"/>
      <c r="D54" s="14" t="n"/>
      <c r="E54" s="14" t="n"/>
      <c r="F54" s="28" t="n"/>
      <c r="G54" s="14" t="n"/>
      <c r="H54" s="14" t="n"/>
      <c r="I54" s="14" t="n"/>
      <c r="J54" s="14" t="n"/>
    </row>
    <row r="55" ht="22" customHeight="1">
      <c r="B55" s="17">
        <f>IF(C55="","ARCH-"&amp;TEXT(COUNTA($C$5:C55),"000"))</f>
        <v/>
      </c>
      <c r="C55" s="12" t="n"/>
      <c r="D55" s="12" t="n"/>
      <c r="E55" s="12" t="n"/>
      <c r="F55" s="27" t="n"/>
      <c r="G55" s="12" t="n"/>
      <c r="H55" s="12" t="n"/>
      <c r="I55" s="12" t="n"/>
      <c r="J55" s="12" t="n"/>
    </row>
    <row r="56" ht="22" customHeight="1">
      <c r="B56" s="16">
        <f>IF(C56="","ARCH-"&amp;TEXT(COUNTA($C$5:C56),"000"))</f>
        <v/>
      </c>
      <c r="C56" s="14" t="n"/>
      <c r="D56" s="14" t="n"/>
      <c r="E56" s="14" t="n"/>
      <c r="F56" s="28" t="n"/>
      <c r="G56" s="14" t="n"/>
      <c r="H56" s="14" t="n"/>
      <c r="I56" s="14" t="n"/>
      <c r="J56" s="14" t="n"/>
    </row>
    <row r="57" ht="22" customHeight="1">
      <c r="B57" s="17">
        <f>IF(C57="","ARCH-"&amp;TEXT(COUNTA($C$5:C57),"000"))</f>
        <v/>
      </c>
      <c r="C57" s="12" t="n"/>
      <c r="D57" s="12" t="n"/>
      <c r="E57" s="12" t="n"/>
      <c r="F57" s="27" t="n"/>
      <c r="G57" s="12" t="n"/>
      <c r="H57" s="12" t="n"/>
      <c r="I57" s="12" t="n"/>
      <c r="J57" s="12" t="n"/>
    </row>
    <row r="58" ht="22" customHeight="1">
      <c r="B58" s="16">
        <f>IF(C58="","ARCH-"&amp;TEXT(COUNTA($C$5:C58),"000"))</f>
        <v/>
      </c>
      <c r="C58" s="14" t="n"/>
      <c r="D58" s="14" t="n"/>
      <c r="E58" s="14" t="n"/>
      <c r="F58" s="28" t="n"/>
      <c r="G58" s="14" t="n"/>
      <c r="H58" s="14" t="n"/>
      <c r="I58" s="14" t="n"/>
      <c r="J58" s="14" t="n"/>
    </row>
    <row r="59" ht="22" customHeight="1">
      <c r="B59" s="17">
        <f>IF(C59="","ARCH-"&amp;TEXT(COUNTA($C$5:C59),"000"))</f>
        <v/>
      </c>
      <c r="C59" s="12" t="n"/>
      <c r="D59" s="12" t="n"/>
      <c r="E59" s="12" t="n"/>
      <c r="F59" s="27" t="n"/>
      <c r="G59" s="12" t="n"/>
      <c r="H59" s="12" t="n"/>
      <c r="I59" s="12" t="n"/>
      <c r="J59" s="12" t="n"/>
    </row>
    <row r="60" ht="22" customHeight="1">
      <c r="B60" s="16">
        <f>IF(C60="","ARCH-"&amp;TEXT(COUNTA($C$5:C60),"000"))</f>
        <v/>
      </c>
      <c r="C60" s="14" t="n"/>
      <c r="D60" s="14" t="n"/>
      <c r="E60" s="14" t="n"/>
      <c r="F60" s="28" t="n"/>
      <c r="G60" s="14" t="n"/>
      <c r="H60" s="14" t="n"/>
      <c r="I60" s="14" t="n"/>
      <c r="J60" s="14" t="n"/>
    </row>
    <row r="61" ht="22" customHeight="1">
      <c r="B61" s="17">
        <f>IF(C61="","ARCH-"&amp;TEXT(COUNTA($C$5:C61),"000"))</f>
        <v/>
      </c>
      <c r="C61" s="12" t="n"/>
      <c r="D61" s="12" t="n"/>
      <c r="E61" s="12" t="n"/>
      <c r="F61" s="27" t="n"/>
      <c r="G61" s="12" t="n"/>
      <c r="H61" s="12" t="n"/>
      <c r="I61" s="12" t="n"/>
      <c r="J61" s="12" t="n"/>
    </row>
    <row r="62" ht="22" customHeight="1">
      <c r="B62" s="16">
        <f>IF(C62="","ARCH-"&amp;TEXT(COUNTA($C$5:C62),"000"))</f>
        <v/>
      </c>
      <c r="C62" s="14" t="n"/>
      <c r="D62" s="14" t="n"/>
      <c r="E62" s="14" t="n"/>
      <c r="F62" s="28" t="n"/>
      <c r="G62" s="14" t="n"/>
      <c r="H62" s="14" t="n"/>
      <c r="I62" s="14" t="n"/>
      <c r="J62" s="14" t="n"/>
    </row>
    <row r="63" ht="22" customHeight="1">
      <c r="B63" s="17">
        <f>IF(C63="","ARCH-"&amp;TEXT(COUNTA($C$5:C63),"000"))</f>
        <v/>
      </c>
      <c r="C63" s="12" t="n"/>
      <c r="D63" s="12" t="n"/>
      <c r="E63" s="12" t="n"/>
      <c r="F63" s="27" t="n"/>
      <c r="G63" s="12" t="n"/>
      <c r="H63" s="12" t="n"/>
      <c r="I63" s="12" t="n"/>
      <c r="J63" s="12" t="n"/>
    </row>
    <row r="64" ht="22" customHeight="1">
      <c r="B64" s="16">
        <f>IF(C64="","ARCH-"&amp;TEXT(COUNTA($C$5:C64),"000"))</f>
        <v/>
      </c>
      <c r="C64" s="14" t="n"/>
      <c r="D64" s="14" t="n"/>
      <c r="E64" s="14" t="n"/>
      <c r="F64" s="28" t="n"/>
      <c r="G64" s="14" t="n"/>
      <c r="H64" s="14" t="n"/>
      <c r="I64" s="14" t="n"/>
      <c r="J64" s="14" t="n"/>
    </row>
    <row r="65" ht="22" customHeight="1">
      <c r="B65" s="17">
        <f>IF(C65="","ARCH-"&amp;TEXT(COUNTA($C$5:C65),"000"))</f>
        <v/>
      </c>
      <c r="C65" s="12" t="n"/>
      <c r="D65" s="12" t="n"/>
      <c r="E65" s="12" t="n"/>
      <c r="F65" s="27" t="n"/>
      <c r="G65" s="12" t="n"/>
      <c r="H65" s="12" t="n"/>
      <c r="I65" s="12" t="n"/>
      <c r="J65" s="12" t="n"/>
    </row>
    <row r="66" ht="22" customHeight="1">
      <c r="B66" s="16">
        <f>IF(C66="","ARCH-"&amp;TEXT(COUNTA($C$5:C66),"000"))</f>
        <v/>
      </c>
      <c r="C66" s="14" t="n"/>
      <c r="D66" s="14" t="n"/>
      <c r="E66" s="14" t="n"/>
      <c r="F66" s="28" t="n"/>
      <c r="G66" s="14" t="n"/>
      <c r="H66" s="14" t="n"/>
      <c r="I66" s="14" t="n"/>
      <c r="J66" s="14" t="n"/>
    </row>
    <row r="67" ht="22" customHeight="1">
      <c r="B67" s="17">
        <f>IF(C67="","ARCH-"&amp;TEXT(COUNTA($C$5:C67),"000"))</f>
        <v/>
      </c>
      <c r="C67" s="12" t="n"/>
      <c r="D67" s="12" t="n"/>
      <c r="E67" s="12" t="n"/>
      <c r="F67" s="27" t="n"/>
      <c r="G67" s="12" t="n"/>
      <c r="H67" s="12" t="n"/>
      <c r="I67" s="12" t="n"/>
      <c r="J67" s="12" t="n"/>
    </row>
    <row r="68" ht="22" customHeight="1">
      <c r="B68" s="16">
        <f>IF(C68="","ARCH-"&amp;TEXT(COUNTA($C$5:C68),"000"))</f>
        <v/>
      </c>
      <c r="C68" s="14" t="n"/>
      <c r="D68" s="14" t="n"/>
      <c r="E68" s="14" t="n"/>
      <c r="F68" s="28" t="n"/>
      <c r="G68" s="14" t="n"/>
      <c r="H68" s="14" t="n"/>
      <c r="I68" s="14" t="n"/>
      <c r="J68" s="14" t="n"/>
    </row>
    <row r="69" ht="22" customHeight="1">
      <c r="B69" s="17">
        <f>IF(C69="","ARCH-"&amp;TEXT(COUNTA($C$5:C69),"000"))</f>
        <v/>
      </c>
      <c r="C69" s="12" t="n"/>
      <c r="D69" s="12" t="n"/>
      <c r="E69" s="12" t="n"/>
      <c r="F69" s="27" t="n"/>
      <c r="G69" s="12" t="n"/>
      <c r="H69" s="12" t="n"/>
      <c r="I69" s="12" t="n"/>
      <c r="J69" s="12" t="n"/>
    </row>
    <row r="70" ht="22" customHeight="1">
      <c r="B70" s="16">
        <f>IF(C70="","ARCH-"&amp;TEXT(COUNTA($C$5:C70),"000"))</f>
        <v/>
      </c>
      <c r="C70" s="14" t="n"/>
      <c r="D70" s="14" t="n"/>
      <c r="E70" s="14" t="n"/>
      <c r="F70" s="28" t="n"/>
      <c r="G70" s="14" t="n"/>
      <c r="H70" s="14" t="n"/>
      <c r="I70" s="14" t="n"/>
      <c r="J70" s="14" t="n"/>
    </row>
    <row r="71" ht="22" customHeight="1">
      <c r="B71" s="17">
        <f>IF(C71="","ARCH-"&amp;TEXT(COUNTA($C$5:C71),"000"))</f>
        <v/>
      </c>
      <c r="C71" s="12" t="n"/>
      <c r="D71" s="12" t="n"/>
      <c r="E71" s="12" t="n"/>
      <c r="F71" s="27" t="n"/>
      <c r="G71" s="12" t="n"/>
      <c r="H71" s="12" t="n"/>
      <c r="I71" s="12" t="n"/>
      <c r="J71" s="12" t="n"/>
    </row>
    <row r="72" ht="22" customHeight="1">
      <c r="B72" s="16">
        <f>IF(C72="","ARCH-"&amp;TEXT(COUNTA($C$5:C72),"000"))</f>
        <v/>
      </c>
      <c r="C72" s="14" t="n"/>
      <c r="D72" s="14" t="n"/>
      <c r="E72" s="14" t="n"/>
      <c r="F72" s="28" t="n"/>
      <c r="G72" s="14" t="n"/>
      <c r="H72" s="14" t="n"/>
      <c r="I72" s="14" t="n"/>
      <c r="J72" s="14" t="n"/>
    </row>
    <row r="73" ht="22" customHeight="1">
      <c r="B73" s="17">
        <f>IF(C73="","ARCH-"&amp;TEXT(COUNTA($C$5:C73),"000"))</f>
        <v/>
      </c>
      <c r="C73" s="12" t="n"/>
      <c r="D73" s="12" t="n"/>
      <c r="E73" s="12" t="n"/>
      <c r="F73" s="27" t="n"/>
      <c r="G73" s="12" t="n"/>
      <c r="H73" s="12" t="n"/>
      <c r="I73" s="12" t="n"/>
      <c r="J73" s="12" t="n"/>
    </row>
    <row r="74" ht="22" customHeight="1">
      <c r="B74" s="16">
        <f>IF(C74="","ARCH-"&amp;TEXT(COUNTA($C$5:C74),"000"))</f>
        <v/>
      </c>
      <c r="C74" s="14" t="n"/>
      <c r="D74" s="14" t="n"/>
      <c r="E74" s="14" t="n"/>
      <c r="F74" s="28" t="n"/>
      <c r="G74" s="14" t="n"/>
      <c r="H74" s="14" t="n"/>
      <c r="I74" s="14" t="n"/>
      <c r="J74" s="14" t="n"/>
    </row>
    <row r="75" ht="22" customHeight="1">
      <c r="B75" s="17">
        <f>IF(C75="","ARCH-"&amp;TEXT(COUNTA($C$5:C75),"000"))</f>
        <v/>
      </c>
      <c r="C75" s="12" t="n"/>
      <c r="D75" s="12" t="n"/>
      <c r="E75" s="12" t="n"/>
      <c r="F75" s="27" t="n"/>
      <c r="G75" s="12" t="n"/>
      <c r="H75" s="12" t="n"/>
      <c r="I75" s="12" t="n"/>
      <c r="J75" s="12" t="n"/>
    </row>
    <row r="76" ht="22" customHeight="1">
      <c r="B76" s="16">
        <f>IF(C76="","ARCH-"&amp;TEXT(COUNTA($C$5:C76),"000"))</f>
        <v/>
      </c>
      <c r="C76" s="14" t="n"/>
      <c r="D76" s="14" t="n"/>
      <c r="E76" s="14" t="n"/>
      <c r="F76" s="28" t="n"/>
      <c r="G76" s="14" t="n"/>
      <c r="H76" s="14" t="n"/>
      <c r="I76" s="14" t="n"/>
      <c r="J76" s="14" t="n"/>
    </row>
    <row r="77" ht="22" customHeight="1">
      <c r="B77" s="17">
        <f>IF(C77="","ARCH-"&amp;TEXT(COUNTA($C$5:C77),"000"))</f>
        <v/>
      </c>
      <c r="C77" s="12" t="n"/>
      <c r="D77" s="12" t="n"/>
      <c r="E77" s="12" t="n"/>
      <c r="F77" s="27" t="n"/>
      <c r="G77" s="12" t="n"/>
      <c r="H77" s="12" t="n"/>
      <c r="I77" s="12" t="n"/>
      <c r="J77" s="12" t="n"/>
    </row>
    <row r="78" ht="22" customHeight="1">
      <c r="B78" s="16">
        <f>IF(C78="","ARCH-"&amp;TEXT(COUNTA($C$5:C78),"000"))</f>
        <v/>
      </c>
      <c r="C78" s="14" t="n"/>
      <c r="D78" s="14" t="n"/>
      <c r="E78" s="14" t="n"/>
      <c r="F78" s="28" t="n"/>
      <c r="G78" s="14" t="n"/>
      <c r="H78" s="14" t="n"/>
      <c r="I78" s="14" t="n"/>
      <c r="J78" s="14" t="n"/>
    </row>
    <row r="79" ht="22" customHeight="1">
      <c r="B79" s="17">
        <f>IF(C79="","ARCH-"&amp;TEXT(COUNTA($C$5:C79),"000"))</f>
        <v/>
      </c>
      <c r="C79" s="12" t="n"/>
      <c r="D79" s="12" t="n"/>
      <c r="E79" s="12" t="n"/>
      <c r="F79" s="27" t="n"/>
      <c r="G79" s="12" t="n"/>
      <c r="H79" s="12" t="n"/>
      <c r="I79" s="12" t="n"/>
      <c r="J79" s="12" t="n"/>
    </row>
    <row r="80" ht="22" customHeight="1">
      <c r="B80" s="16">
        <f>IF(C80="","ARCH-"&amp;TEXT(COUNTA($C$5:C80),"000"))</f>
        <v/>
      </c>
      <c r="C80" s="14" t="n"/>
      <c r="D80" s="14" t="n"/>
      <c r="E80" s="14" t="n"/>
      <c r="F80" s="28" t="n"/>
      <c r="G80" s="14" t="n"/>
      <c r="H80" s="14" t="n"/>
      <c r="I80" s="14" t="n"/>
      <c r="J80" s="14" t="n"/>
    </row>
    <row r="81" ht="22" customHeight="1">
      <c r="B81" s="17">
        <f>IF(C81="","ARCH-"&amp;TEXT(COUNTA($C$5:C81),"000"))</f>
        <v/>
      </c>
      <c r="C81" s="12" t="n"/>
      <c r="D81" s="12" t="n"/>
      <c r="E81" s="12" t="n"/>
      <c r="F81" s="27" t="n"/>
      <c r="G81" s="12" t="n"/>
      <c r="H81" s="12" t="n"/>
      <c r="I81" s="12" t="n"/>
      <c r="J81" s="12" t="n"/>
    </row>
    <row r="82" ht="22" customHeight="1">
      <c r="B82" s="16">
        <f>IF(C82="","ARCH-"&amp;TEXT(COUNTA($C$5:C82),"000"))</f>
        <v/>
      </c>
      <c r="C82" s="14" t="n"/>
      <c r="D82" s="14" t="n"/>
      <c r="E82" s="14" t="n"/>
      <c r="F82" s="28" t="n"/>
      <c r="G82" s="14" t="n"/>
      <c r="H82" s="14" t="n"/>
      <c r="I82" s="14" t="n"/>
      <c r="J82" s="14" t="n"/>
    </row>
    <row r="83" ht="22" customHeight="1">
      <c r="B83" s="17">
        <f>IF(C83="","ARCH-"&amp;TEXT(COUNTA($C$5:C83),"000"))</f>
        <v/>
      </c>
      <c r="C83" s="12" t="n"/>
      <c r="D83" s="12" t="n"/>
      <c r="E83" s="12" t="n"/>
      <c r="F83" s="27" t="n"/>
      <c r="G83" s="12" t="n"/>
      <c r="H83" s="12" t="n"/>
      <c r="I83" s="12" t="n"/>
      <c r="J83" s="12" t="n"/>
    </row>
    <row r="84" ht="22" customHeight="1">
      <c r="B84" s="16">
        <f>IF(C84="","ARCH-"&amp;TEXT(COUNTA($C$5:C84),"000"))</f>
        <v/>
      </c>
      <c r="C84" s="14" t="n"/>
      <c r="D84" s="14" t="n"/>
      <c r="E84" s="14" t="n"/>
      <c r="F84" s="28" t="n"/>
      <c r="G84" s="14" t="n"/>
      <c r="H84" s="14" t="n"/>
      <c r="I84" s="14" t="n"/>
      <c r="J84" s="14" t="n"/>
    </row>
    <row r="85" ht="22" customHeight="1">
      <c r="B85" s="17">
        <f>IF(C85="","ARCH-"&amp;TEXT(COUNTA($C$5:C85),"000"))</f>
        <v/>
      </c>
      <c r="C85" s="12" t="n"/>
      <c r="D85" s="12" t="n"/>
      <c r="E85" s="12" t="n"/>
      <c r="F85" s="27" t="n"/>
      <c r="G85" s="12" t="n"/>
      <c r="H85" s="12" t="n"/>
      <c r="I85" s="12" t="n"/>
      <c r="J85" s="12" t="n"/>
    </row>
    <row r="86" ht="22" customHeight="1">
      <c r="B86" s="16">
        <f>IF(C86="","ARCH-"&amp;TEXT(COUNTA($C$5:C86),"000"))</f>
        <v/>
      </c>
      <c r="C86" s="14" t="n"/>
      <c r="D86" s="14" t="n"/>
      <c r="E86" s="14" t="n"/>
      <c r="F86" s="28" t="n"/>
      <c r="G86" s="14" t="n"/>
      <c r="H86" s="14" t="n"/>
      <c r="I86" s="14" t="n"/>
      <c r="J86" s="14" t="n"/>
    </row>
    <row r="87" ht="22" customHeight="1">
      <c r="B87" s="17">
        <f>IF(C87="","ARCH-"&amp;TEXT(COUNTA($C$5:C87),"000"))</f>
        <v/>
      </c>
      <c r="C87" s="12" t="n"/>
      <c r="D87" s="12" t="n"/>
      <c r="E87" s="12" t="n"/>
      <c r="F87" s="27" t="n"/>
      <c r="G87" s="12" t="n"/>
      <c r="H87" s="12" t="n"/>
      <c r="I87" s="12" t="n"/>
      <c r="J87" s="12" t="n"/>
    </row>
    <row r="88" ht="22" customHeight="1">
      <c r="B88" s="16">
        <f>IF(C88="","ARCH-"&amp;TEXT(COUNTA($C$5:C88),"000"))</f>
        <v/>
      </c>
      <c r="C88" s="14" t="n"/>
      <c r="D88" s="14" t="n"/>
      <c r="E88" s="14" t="n"/>
      <c r="F88" s="28" t="n"/>
      <c r="G88" s="14" t="n"/>
      <c r="H88" s="14" t="n"/>
      <c r="I88" s="14" t="n"/>
      <c r="J88" s="14" t="n"/>
    </row>
    <row r="89" ht="22" customHeight="1">
      <c r="B89" s="17">
        <f>IF(C89="","ARCH-"&amp;TEXT(COUNTA($C$5:C89),"000"))</f>
        <v/>
      </c>
      <c r="C89" s="12" t="n"/>
      <c r="D89" s="12" t="n"/>
      <c r="E89" s="12" t="n"/>
      <c r="F89" s="27" t="n"/>
      <c r="G89" s="12" t="n"/>
      <c r="H89" s="12" t="n"/>
      <c r="I89" s="12" t="n"/>
      <c r="J89" s="12" t="n"/>
    </row>
    <row r="90" ht="22" customHeight="1">
      <c r="B90" s="16">
        <f>IF(C90="","ARCH-"&amp;TEXT(COUNTA($C$5:C90),"000"))</f>
        <v/>
      </c>
      <c r="C90" s="14" t="n"/>
      <c r="D90" s="14" t="n"/>
      <c r="E90" s="14" t="n"/>
      <c r="F90" s="28" t="n"/>
      <c r="G90" s="14" t="n"/>
      <c r="H90" s="14" t="n"/>
      <c r="I90" s="14" t="n"/>
      <c r="J90" s="14" t="n"/>
    </row>
    <row r="91" ht="22" customHeight="1">
      <c r="B91" s="17">
        <f>IF(C91="","ARCH-"&amp;TEXT(COUNTA($C$5:C91),"000"))</f>
        <v/>
      </c>
      <c r="C91" s="12" t="n"/>
      <c r="D91" s="12" t="n"/>
      <c r="E91" s="12" t="n"/>
      <c r="F91" s="27" t="n"/>
      <c r="G91" s="12" t="n"/>
      <c r="H91" s="12" t="n"/>
      <c r="I91" s="12" t="n"/>
      <c r="J91" s="12" t="n"/>
    </row>
    <row r="92" ht="22" customHeight="1">
      <c r="B92" s="16">
        <f>IF(C92="","ARCH-"&amp;TEXT(COUNTA($C$5:C92),"000"))</f>
        <v/>
      </c>
      <c r="C92" s="14" t="n"/>
      <c r="D92" s="14" t="n"/>
      <c r="E92" s="14" t="n"/>
      <c r="F92" s="28" t="n"/>
      <c r="G92" s="14" t="n"/>
      <c r="H92" s="14" t="n"/>
      <c r="I92" s="14" t="n"/>
      <c r="J92" s="14" t="n"/>
    </row>
    <row r="93" ht="22" customHeight="1">
      <c r="B93" s="17">
        <f>IF(C93="","ARCH-"&amp;TEXT(COUNTA($C$5:C93),"000"))</f>
        <v/>
      </c>
      <c r="C93" s="12" t="n"/>
      <c r="D93" s="12" t="n"/>
      <c r="E93" s="12" t="n"/>
      <c r="F93" s="27" t="n"/>
      <c r="G93" s="12" t="n"/>
      <c r="H93" s="12" t="n"/>
      <c r="I93" s="12" t="n"/>
      <c r="J93" s="12" t="n"/>
    </row>
    <row r="94" ht="22" customHeight="1">
      <c r="B94" s="16">
        <f>IF(C94="","ARCH-"&amp;TEXT(COUNTA($C$5:C94),"000"))</f>
        <v/>
      </c>
      <c r="C94" s="14" t="n"/>
      <c r="D94" s="14" t="n"/>
      <c r="E94" s="14" t="n"/>
      <c r="F94" s="28" t="n"/>
      <c r="G94" s="14" t="n"/>
      <c r="H94" s="14" t="n"/>
      <c r="I94" s="14" t="n"/>
      <c r="J94" s="14" t="n"/>
    </row>
    <row r="95" ht="22" customHeight="1">
      <c r="B95" s="17">
        <f>IF(C95="","ARCH-"&amp;TEXT(COUNTA($C$5:C95),"000"))</f>
        <v/>
      </c>
      <c r="C95" s="12" t="n"/>
      <c r="D95" s="12" t="n"/>
      <c r="E95" s="12" t="n"/>
      <c r="F95" s="27" t="n"/>
      <c r="G95" s="12" t="n"/>
      <c r="H95" s="12" t="n"/>
      <c r="I95" s="12" t="n"/>
      <c r="J95" s="12" t="n"/>
    </row>
    <row r="96" ht="22" customHeight="1">
      <c r="B96" s="16">
        <f>IF(C96="","ARCH-"&amp;TEXT(COUNTA($C$5:C96),"000"))</f>
        <v/>
      </c>
      <c r="C96" s="14" t="n"/>
      <c r="D96" s="14" t="n"/>
      <c r="E96" s="14" t="n"/>
      <c r="F96" s="28" t="n"/>
      <c r="G96" s="14" t="n"/>
      <c r="H96" s="14" t="n"/>
      <c r="I96" s="14" t="n"/>
      <c r="J96" s="14" t="n"/>
    </row>
    <row r="97" ht="22" customHeight="1">
      <c r="B97" s="17">
        <f>IF(C97="","ARCH-"&amp;TEXT(COUNTA($C$5:C97),"000"))</f>
        <v/>
      </c>
      <c r="C97" s="12" t="n"/>
      <c r="D97" s="12" t="n"/>
      <c r="E97" s="12" t="n"/>
      <c r="F97" s="27" t="n"/>
      <c r="G97" s="12" t="n"/>
      <c r="H97" s="12" t="n"/>
      <c r="I97" s="12" t="n"/>
      <c r="J97" s="12" t="n"/>
    </row>
    <row r="98" ht="22" customHeight="1">
      <c r="B98" s="16">
        <f>IF(C98="","ARCH-"&amp;TEXT(COUNTA($C$5:C98),"000"))</f>
        <v/>
      </c>
      <c r="C98" s="14" t="n"/>
      <c r="D98" s="14" t="n"/>
      <c r="E98" s="14" t="n"/>
      <c r="F98" s="28" t="n"/>
      <c r="G98" s="14" t="n"/>
      <c r="H98" s="14" t="n"/>
      <c r="I98" s="14" t="n"/>
      <c r="J98" s="14" t="n"/>
    </row>
    <row r="99" ht="22" customHeight="1">
      <c r="B99" s="17">
        <f>IF(C99="","ARCH-"&amp;TEXT(COUNTA($C$5:C99),"000"))</f>
        <v/>
      </c>
      <c r="C99" s="12" t="n"/>
      <c r="D99" s="12" t="n"/>
      <c r="E99" s="12" t="n"/>
      <c r="F99" s="27" t="n"/>
      <c r="G99" s="12" t="n"/>
      <c r="H99" s="12" t="n"/>
      <c r="I99" s="12" t="n"/>
      <c r="J99" s="12" t="n"/>
    </row>
    <row r="100" ht="22" customHeight="1">
      <c r="B100" s="16">
        <f>IF(C100="","ARCH-"&amp;TEXT(COUNTA($C$5:C100),"000"))</f>
        <v/>
      </c>
      <c r="C100" s="14" t="n"/>
      <c r="D100" s="14" t="n"/>
      <c r="E100" s="14" t="n"/>
      <c r="F100" s="28" t="n"/>
      <c r="G100" s="14" t="n"/>
      <c r="H100" s="14" t="n"/>
      <c r="I100" s="14" t="n"/>
      <c r="J100" s="14" t="n"/>
    </row>
    <row r="101" ht="22" customHeight="1">
      <c r="B101" s="17">
        <f>IF(C101="","ARCH-"&amp;TEXT(COUNTA($C$5:C101),"000"))</f>
        <v/>
      </c>
      <c r="C101" s="12" t="n"/>
      <c r="D101" s="12" t="n"/>
      <c r="E101" s="12" t="n"/>
      <c r="F101" s="27" t="n"/>
      <c r="G101" s="12" t="n"/>
      <c r="H101" s="12" t="n"/>
      <c r="I101" s="12" t="n"/>
      <c r="J101" s="12" t="n"/>
    </row>
    <row r="102" ht="22" customHeight="1">
      <c r="B102" s="16">
        <f>IF(C102="","ARCH-"&amp;TEXT(COUNTA($C$5:C102),"000"))</f>
        <v/>
      </c>
      <c r="C102" s="14" t="n"/>
      <c r="D102" s="14" t="n"/>
      <c r="E102" s="14" t="n"/>
      <c r="F102" s="28" t="n"/>
      <c r="G102" s="14" t="n"/>
      <c r="H102" s="14" t="n"/>
      <c r="I102" s="14" t="n"/>
      <c r="J102" s="14" t="n"/>
    </row>
    <row r="103" ht="22" customHeight="1">
      <c r="B103" s="17">
        <f>IF(C103="","ARCH-"&amp;TEXT(COUNTA($C$5:C103),"000"))</f>
        <v/>
      </c>
      <c r="C103" s="12" t="n"/>
      <c r="D103" s="12" t="n"/>
      <c r="E103" s="12" t="n"/>
      <c r="F103" s="27" t="n"/>
      <c r="G103" s="12" t="n"/>
      <c r="H103" s="12" t="n"/>
      <c r="I103" s="12" t="n"/>
      <c r="J103" s="12" t="n"/>
    </row>
    <row r="104" ht="22" customHeight="1">
      <c r="B104" s="16">
        <f>IF(C104="","ARCH-"&amp;TEXT(COUNTA($C$5:C104),"000"))</f>
        <v/>
      </c>
      <c r="C104" s="14" t="n"/>
      <c r="D104" s="14" t="n"/>
      <c r="E104" s="14" t="n"/>
      <c r="F104" s="28" t="n"/>
      <c r="G104" s="14" t="n"/>
      <c r="H104" s="14" t="n"/>
      <c r="I104" s="14" t="n"/>
      <c r="J104" s="14" t="n"/>
    </row>
    <row r="105" ht="22" customHeight="1">
      <c r="B105" s="17">
        <f>IF(C105="","ARCH-"&amp;TEXT(COUNTA($C$5:C105),"000"))</f>
        <v/>
      </c>
      <c r="C105" s="12" t="n"/>
      <c r="D105" s="12" t="n"/>
      <c r="E105" s="12" t="n"/>
      <c r="F105" s="27" t="n"/>
      <c r="G105" s="12" t="n"/>
      <c r="H105" s="12" t="n"/>
      <c r="I105" s="12" t="n"/>
      <c r="J105" s="12" t="n"/>
    </row>
    <row r="106" ht="22" customHeight="1">
      <c r="B106" s="16">
        <f>IF(C106="","ARCH-"&amp;TEXT(COUNTA($C$5:C106),"000"))</f>
        <v/>
      </c>
      <c r="C106" s="14" t="n"/>
      <c r="D106" s="14" t="n"/>
      <c r="E106" s="14" t="n"/>
      <c r="F106" s="28" t="n"/>
      <c r="G106" s="14" t="n"/>
      <c r="H106" s="14" t="n"/>
      <c r="I106" s="14" t="n"/>
      <c r="J106" s="14" t="n"/>
    </row>
    <row r="107" ht="22" customHeight="1">
      <c r="B107" s="17">
        <f>IF(C107="","ARCH-"&amp;TEXT(COUNTA($C$5:C107),"000"))</f>
        <v/>
      </c>
      <c r="C107" s="12" t="n"/>
      <c r="D107" s="12" t="n"/>
      <c r="E107" s="12" t="n"/>
      <c r="F107" s="27" t="n"/>
      <c r="G107" s="12" t="n"/>
      <c r="H107" s="12" t="n"/>
      <c r="I107" s="12" t="n"/>
      <c r="J107" s="12" t="n"/>
    </row>
    <row r="108"/>
    <row r="109">
      <c r="B109" s="6" t="inlineStr">
        <is>
          <t>INDICATEURS (mis a jour automatiquement)</t>
        </is>
      </c>
    </row>
    <row r="110">
      <c r="B110" s="3" t="inlineStr">
        <is>
          <t>Total archives</t>
        </is>
      </c>
      <c r="D110" s="3" t="inlineStr">
        <is>
          <t>Archives numeriques</t>
        </is>
      </c>
      <c r="F110" s="3" t="inlineStr">
        <is>
          <t>Archives physiques</t>
        </is>
      </c>
    </row>
    <row r="111">
      <c r="B111" s="4">
        <f>COUNTIF(B5:B104,"&lt;&gt;")</f>
        <v/>
      </c>
      <c r="D111" s="4">
        <f>COUNTIF(G5:G104,"Archive numerique RH")</f>
        <v/>
      </c>
      <c r="F111" s="4">
        <f>COUNTIF(G5:G104,"Archive physique Salle B")</f>
        <v/>
      </c>
    </row>
  </sheetData>
  <mergeCells count="3">
    <mergeCell ref="B109:J109"/>
    <mergeCell ref="B3:J3"/>
    <mergeCell ref="B2:J2"/>
  </mergeCells>
  <conditionalFormatting sqref="B8:B107">
    <cfRule type="expression" priority="1" dxfId="3">
      <formula>AND($C8="",$C7&lt;&gt;"")</formula>
    </cfRule>
  </conditionalFormatting>
  <conditionalFormatting sqref="C8:C107">
    <cfRule type="expression" priority="2" dxfId="3">
      <formula>AND($C8="",$C7&lt;&gt;"")</formula>
    </cfRule>
  </conditionalFormatting>
  <conditionalFormatting sqref="D8:D107">
    <cfRule type="expression" priority="3" dxfId="3">
      <formula>AND($C8="",$C7&lt;&gt;"")</formula>
    </cfRule>
  </conditionalFormatting>
  <conditionalFormatting sqref="E8:E107">
    <cfRule type="expression" priority="4" dxfId="3">
      <formula>AND($C8="",$C7&lt;&gt;"")</formula>
    </cfRule>
  </conditionalFormatting>
  <conditionalFormatting sqref="F8:F107">
    <cfRule type="expression" priority="5" dxfId="3">
      <formula>AND($C8="",$C7&lt;&gt;"")</formula>
    </cfRule>
  </conditionalFormatting>
  <conditionalFormatting sqref="G8:G107">
    <cfRule type="expression" priority="6" dxfId="3">
      <formula>AND($C8="",$C7&lt;&gt;"")</formula>
    </cfRule>
  </conditionalFormatting>
  <conditionalFormatting sqref="H8:H107">
    <cfRule type="expression" priority="7" dxfId="3">
      <formula>AND($C8="",$C7&lt;&gt;"")</formula>
    </cfRule>
  </conditionalFormatting>
  <conditionalFormatting sqref="I8:I107">
    <cfRule type="expression" priority="8" dxfId="3">
      <formula>AND($C8="",$C7&lt;&gt;"")</formula>
    </cfRule>
  </conditionalFormatting>
  <conditionalFormatting sqref="J8:J107">
    <cfRule type="expression" priority="9" dxfId="3">
      <formula>AND($C8="",$C7&lt;&gt;"")</formula>
    </cfRule>
  </conditionalFormatting>
  <dataValidations count="3">
    <dataValidation sqref="E5:E107" showDropDown="0" showInputMessage="0" showErrorMessage="0" allowBlank="1" errorTitle="Erreur" error="Valeur invalide" promptTitle="Liste" prompt="Choisir dans la liste" type="list">
      <formula1>'_Lists'!$M$2:$M$16</formula1>
    </dataValidation>
    <dataValidation sqref="G5:G107" showDropDown="0" showInputMessage="0" showErrorMessage="0" allowBlank="1" errorTitle="Erreur" error="Valeur invalide" promptTitle="Liste" prompt="Choisir dans la liste" type="list">
      <formula1>'_Lists'!$O$2:$O$7</formula1>
    </dataValidation>
    <dataValidation sqref="H5:H107" showDropDown="0" showInputMessage="0" showErrorMessage="0" allowBlank="1" errorTitle="Erreur" error="Valeur invalide" promptTitle="Liste" prompt="Choisir dans la liste" type="list">
      <formula1>'_Lists'!$AK$2:$AK$6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16" customWidth="1" min="3" max="3"/>
    <col width="20" customWidth="1" min="4" max="4"/>
    <col width="24" customWidth="1" min="5" max="5"/>
    <col width="34" customWidth="1" min="6" max="6"/>
    <col width="12" customWidth="1" min="7" max="7"/>
    <col width="28" customWidth="1" min="8" max="8"/>
    <col width="12" customWidth="1" min="9" max="9"/>
    <col width="15" customWidth="1" min="10" max="10"/>
    <col width="18" customWidth="1" min="11" max="11"/>
    <col width="28" customWidth="1" min="12" max="12"/>
  </cols>
  <sheetData>
    <row r="1" ht="15" customHeight="1"/>
    <row r="2" ht="32" customHeight="1">
      <c r="B2" s="1" t="inlineStr">
        <is>
          <t>RAPPELS ADMINISTRATIFS</t>
        </is>
      </c>
    </row>
    <row r="3" ht="8" customHeight="1">
      <c r="B3" s="2" t="inlineStr">
        <is>
          <t>TABLEAU DYNAMIQUE — Saisissez dans la prochaine ligne jaune. Les calculs se mettent a jour automatiquement.</t>
        </is>
      </c>
    </row>
    <row r="4" ht="28" customHeight="1">
      <c r="B4" s="11" t="inlineStr">
        <is>
          <t>N°</t>
        </is>
      </c>
      <c r="C4" s="11" t="inlineStr">
        <is>
          <t>Matricule</t>
        </is>
      </c>
      <c r="D4" s="11" t="inlineStr">
        <is>
          <t>Nom Employé</t>
        </is>
      </c>
      <c r="E4" s="11" t="inlineStr">
        <is>
          <t>Type Rappel</t>
        </is>
      </c>
      <c r="F4" s="11" t="inlineStr">
        <is>
          <t>Description</t>
        </is>
      </c>
      <c r="G4" s="11" t="inlineStr">
        <is>
          <t>Date Échéance</t>
        </is>
      </c>
      <c r="H4" s="11" t="inlineStr">
        <is>
          <t>Jours Restants</t>
        </is>
      </c>
      <c r="I4" s="11" t="inlineStr">
        <is>
          <t>Statut</t>
        </is>
      </c>
      <c r="J4" s="11" t="inlineStr">
        <is>
          <t>Responsable Suivi</t>
        </is>
      </c>
      <c r="K4" s="11" t="inlineStr">
        <is>
          <t>Action Requise</t>
        </is>
      </c>
    </row>
    <row r="5" ht="22" customHeight="1">
      <c r="B5" s="12" t="inlineStr">
        <is>
          <t>RAP-001</t>
        </is>
      </c>
      <c r="C5" s="12" t="inlineStr">
        <is>
          <t>EMP-004</t>
        </is>
      </c>
      <c r="D5" s="12" t="inlineStr">
        <is>
          <t>Nkoulou Mbarga</t>
        </is>
      </c>
      <c r="E5" s="12" t="inlineStr">
        <is>
          <t>Expiration document</t>
        </is>
      </c>
      <c r="F5" s="12" t="inlineStr">
        <is>
          <t>Renouvellement CNI avant sept 2025</t>
        </is>
      </c>
      <c r="G5" s="27" t="n">
        <v>45901</v>
      </c>
      <c r="H5" s="23" t="n"/>
      <c r="I5" s="12" t="inlineStr">
        <is>
          <t>En attente</t>
        </is>
      </c>
      <c r="J5" s="12" t="inlineStr">
        <is>
          <t>DRH Nganou</t>
        </is>
      </c>
      <c r="K5" s="12" t="inlineStr">
        <is>
          <t>Prendre rdv mairie</t>
        </is>
      </c>
    </row>
    <row r="6" ht="22" customHeight="1">
      <c r="B6" s="14" t="inlineStr">
        <is>
          <t>RAP-002</t>
        </is>
      </c>
      <c r="C6" s="14" t="inlineStr">
        <is>
          <t>EMP-005</t>
        </is>
      </c>
      <c r="D6" s="14" t="inlineStr">
        <is>
          <t>Kamga Paul</t>
        </is>
      </c>
      <c r="E6" s="14" t="inlineStr">
        <is>
          <t>Renouvellement contrat</t>
        </is>
      </c>
      <c r="F6" s="14" t="inlineStr">
        <is>
          <t>CDD expire 31 mars 2025</t>
        </is>
      </c>
      <c r="G6" s="28" t="n">
        <v>45731</v>
      </c>
      <c r="H6" s="24" t="n"/>
      <c r="I6" s="14" t="inlineStr">
        <is>
          <t>En retard</t>
        </is>
      </c>
      <c r="J6" s="14" t="inlineStr">
        <is>
          <t>DRH Nganou</t>
        </is>
      </c>
      <c r="K6" s="14" t="inlineStr">
        <is>
          <t>Decider renouvellement ou fin</t>
        </is>
      </c>
    </row>
    <row r="7" ht="22" customHeight="1">
      <c r="B7" s="12" t="inlineStr">
        <is>
          <t>RAP-003</t>
        </is>
      </c>
      <c r="C7" s="12" t="inlineStr">
        <is>
          <t>EMP-002</t>
        </is>
      </c>
      <c r="D7" s="12" t="inlineStr">
        <is>
          <t>Tchinda Armand</t>
        </is>
      </c>
      <c r="E7" s="12" t="inlineStr">
        <is>
          <t>Bilan periodique</t>
        </is>
      </c>
      <c r="F7" s="12" t="inlineStr">
        <is>
          <t>Entretien annuel 2025</t>
        </is>
      </c>
      <c r="G7" s="27" t="n">
        <v>45838</v>
      </c>
      <c r="H7" s="23" t="n"/>
      <c r="I7" s="12" t="inlineStr">
        <is>
          <t>En attente</t>
        </is>
      </c>
      <c r="J7" s="12" t="inlineStr">
        <is>
          <t>DRH Nganou</t>
        </is>
      </c>
      <c r="K7" s="12" t="inlineStr">
        <is>
          <t>Planifier entretien</t>
        </is>
      </c>
    </row>
    <row r="8" ht="22" customHeight="1">
      <c r="B8" s="14" t="inlineStr">
        <is>
          <t>RAP-004</t>
        </is>
      </c>
      <c r="C8" s="14" t="inlineStr">
        <is>
          <t>EMP-001</t>
        </is>
      </c>
      <c r="D8" s="14" t="inlineStr">
        <is>
          <t>Nganou Clarisse</t>
        </is>
      </c>
      <c r="E8" s="14" t="inlineStr">
        <is>
          <t>Expiration document</t>
        </is>
      </c>
      <c r="F8" s="14" t="inlineStr">
        <is>
          <t>Attestation CNPS a renouveler dec 2025</t>
        </is>
      </c>
      <c r="G8" s="28" t="n">
        <v>45992</v>
      </c>
      <c r="H8" s="24" t="n"/>
      <c r="I8" s="14" t="inlineStr">
        <is>
          <t>En attente</t>
        </is>
      </c>
      <c r="J8" s="14" t="inlineStr">
        <is>
          <t>Assistante RH</t>
        </is>
      </c>
      <c r="K8" s="14" t="inlineStr">
        <is>
          <t>Preparer demande CNPS</t>
        </is>
      </c>
    </row>
    <row r="9" ht="22" customHeight="1">
      <c r="B9" s="17">
        <f>IF(C9="","RAP-"&amp;TEXT(COUNTA($C$5:C9),"000"))</f>
        <v/>
      </c>
      <c r="C9" s="12" t="n"/>
      <c r="D9" s="12" t="n"/>
      <c r="E9" s="12" t="n"/>
      <c r="F9" s="12" t="n"/>
      <c r="G9" s="27" t="n"/>
      <c r="H9" s="23">
        <f>IF(G9="","",MAX(G9-TODAY(),0))</f>
        <v/>
      </c>
      <c r="I9" s="12" t="n"/>
      <c r="J9" s="12" t="n"/>
      <c r="K9" s="12" t="n"/>
    </row>
    <row r="10" ht="22" customHeight="1">
      <c r="B10" s="16">
        <f>IF(C10="","RAP-"&amp;TEXT(COUNTA($C$5:C10),"000"))</f>
        <v/>
      </c>
      <c r="C10" s="14" t="n"/>
      <c r="D10" s="14" t="n"/>
      <c r="E10" s="14" t="n"/>
      <c r="F10" s="14" t="n"/>
      <c r="G10" s="28" t="n"/>
      <c r="H10" s="24">
        <f>IF(G10="","",MAX(G10-TODAY(),0))</f>
        <v/>
      </c>
      <c r="I10" s="14" t="n"/>
      <c r="J10" s="14" t="n"/>
      <c r="K10" s="14" t="n"/>
    </row>
    <row r="11" ht="22" customHeight="1">
      <c r="B11" s="17">
        <f>IF(C11="","RAP-"&amp;TEXT(COUNTA($C$5:C11),"000"))</f>
        <v/>
      </c>
      <c r="C11" s="12" t="n"/>
      <c r="D11" s="12" t="n"/>
      <c r="E11" s="12" t="n"/>
      <c r="F11" s="12" t="n"/>
      <c r="G11" s="27" t="n"/>
      <c r="H11" s="23">
        <f>IF(G11="","",MAX(G11-TODAY(),0))</f>
        <v/>
      </c>
      <c r="I11" s="12" t="n"/>
      <c r="J11" s="12" t="n"/>
      <c r="K11" s="12" t="n"/>
    </row>
    <row r="12" ht="22" customHeight="1">
      <c r="B12" s="16">
        <f>IF(C12="","RAP-"&amp;TEXT(COUNTA($C$5:C12),"000"))</f>
        <v/>
      </c>
      <c r="C12" s="14" t="n"/>
      <c r="D12" s="14" t="n"/>
      <c r="E12" s="14" t="n"/>
      <c r="F12" s="14" t="n"/>
      <c r="G12" s="28" t="n"/>
      <c r="H12" s="24">
        <f>IF(G12="","",MAX(G12-TODAY(),0))</f>
        <v/>
      </c>
      <c r="I12" s="14" t="n"/>
      <c r="J12" s="14" t="n"/>
      <c r="K12" s="14" t="n"/>
    </row>
    <row r="13" ht="22" customHeight="1">
      <c r="B13" s="17">
        <f>IF(C13="","RAP-"&amp;TEXT(COUNTA($C$5:C13),"000"))</f>
        <v/>
      </c>
      <c r="C13" s="12" t="n"/>
      <c r="D13" s="12" t="n"/>
      <c r="E13" s="12" t="n"/>
      <c r="F13" s="12" t="n"/>
      <c r="G13" s="27" t="n"/>
      <c r="H13" s="23">
        <f>IF(G13="","",MAX(G13-TODAY(),0))</f>
        <v/>
      </c>
      <c r="I13" s="12" t="n"/>
      <c r="J13" s="12" t="n"/>
      <c r="K13" s="12" t="n"/>
    </row>
    <row r="14" ht="22" customHeight="1">
      <c r="B14" s="16">
        <f>IF(C14="","RAP-"&amp;TEXT(COUNTA($C$5:C14),"000"))</f>
        <v/>
      </c>
      <c r="C14" s="14" t="n"/>
      <c r="D14" s="14" t="n"/>
      <c r="E14" s="14" t="n"/>
      <c r="F14" s="14" t="n"/>
      <c r="G14" s="28" t="n"/>
      <c r="H14" s="24">
        <f>IF(G14="","",MAX(G14-TODAY(),0))</f>
        <v/>
      </c>
      <c r="I14" s="14" t="n"/>
      <c r="J14" s="14" t="n"/>
      <c r="K14" s="14" t="n"/>
    </row>
    <row r="15" ht="22" customHeight="1">
      <c r="B15" s="17">
        <f>IF(C15="","RAP-"&amp;TEXT(COUNTA($C$5:C15),"000"))</f>
        <v/>
      </c>
      <c r="C15" s="12" t="n"/>
      <c r="D15" s="12" t="n"/>
      <c r="E15" s="12" t="n"/>
      <c r="F15" s="12" t="n"/>
      <c r="G15" s="27" t="n"/>
      <c r="H15" s="23">
        <f>IF(G15="","",MAX(G15-TODAY(),0))</f>
        <v/>
      </c>
      <c r="I15" s="12" t="n"/>
      <c r="J15" s="12" t="n"/>
      <c r="K15" s="12" t="n"/>
    </row>
    <row r="16" ht="22" customHeight="1">
      <c r="B16" s="16">
        <f>IF(C16="","RAP-"&amp;TEXT(COUNTA($C$5:C16),"000"))</f>
        <v/>
      </c>
      <c r="C16" s="14" t="n"/>
      <c r="D16" s="14" t="n"/>
      <c r="E16" s="14" t="n"/>
      <c r="F16" s="14" t="n"/>
      <c r="G16" s="28" t="n"/>
      <c r="H16" s="24">
        <f>IF(G16="","",MAX(G16-TODAY(),0))</f>
        <v/>
      </c>
      <c r="I16" s="14" t="n"/>
      <c r="J16" s="14" t="n"/>
      <c r="K16" s="14" t="n"/>
    </row>
    <row r="17" ht="22" customHeight="1">
      <c r="B17" s="17">
        <f>IF(C17="","RAP-"&amp;TEXT(COUNTA($C$5:C17),"000"))</f>
        <v/>
      </c>
      <c r="C17" s="12" t="n"/>
      <c r="D17" s="12" t="n"/>
      <c r="E17" s="12" t="n"/>
      <c r="F17" s="12" t="n"/>
      <c r="G17" s="27" t="n"/>
      <c r="H17" s="23">
        <f>IF(G17="","",MAX(G17-TODAY(),0))</f>
        <v/>
      </c>
      <c r="I17" s="12" t="n"/>
      <c r="J17" s="12" t="n"/>
      <c r="K17" s="12" t="n"/>
    </row>
    <row r="18" ht="22" customHeight="1">
      <c r="B18" s="16">
        <f>IF(C18="","RAP-"&amp;TEXT(COUNTA($C$5:C18),"000"))</f>
        <v/>
      </c>
      <c r="C18" s="14" t="n"/>
      <c r="D18" s="14" t="n"/>
      <c r="E18" s="14" t="n"/>
      <c r="F18" s="14" t="n"/>
      <c r="G18" s="28" t="n"/>
      <c r="H18" s="24">
        <f>IF(G18="","",MAX(G18-TODAY(),0))</f>
        <v/>
      </c>
      <c r="I18" s="14" t="n"/>
      <c r="J18" s="14" t="n"/>
      <c r="K18" s="14" t="n"/>
    </row>
    <row r="19" ht="22" customHeight="1">
      <c r="B19" s="17">
        <f>IF(C19="","RAP-"&amp;TEXT(COUNTA($C$5:C19),"000"))</f>
        <v/>
      </c>
      <c r="C19" s="12" t="n"/>
      <c r="D19" s="12" t="n"/>
      <c r="E19" s="12" t="n"/>
      <c r="F19" s="12" t="n"/>
      <c r="G19" s="27" t="n"/>
      <c r="H19" s="23">
        <f>IF(G19="","",MAX(G19-TODAY(),0))</f>
        <v/>
      </c>
      <c r="I19" s="12" t="n"/>
      <c r="J19" s="12" t="n"/>
      <c r="K19" s="12" t="n"/>
    </row>
    <row r="20" ht="22" customHeight="1">
      <c r="B20" s="16">
        <f>IF(C20="","RAP-"&amp;TEXT(COUNTA($C$5:C20),"000"))</f>
        <v/>
      </c>
      <c r="C20" s="14" t="n"/>
      <c r="D20" s="14" t="n"/>
      <c r="E20" s="14" t="n"/>
      <c r="F20" s="14" t="n"/>
      <c r="G20" s="28" t="n"/>
      <c r="H20" s="24">
        <f>IF(G20="","",MAX(G20-TODAY(),0))</f>
        <v/>
      </c>
      <c r="I20" s="14" t="n"/>
      <c r="J20" s="14" t="n"/>
      <c r="K20" s="14" t="n"/>
    </row>
    <row r="21" ht="22" customHeight="1">
      <c r="B21" s="17">
        <f>IF(C21="","RAP-"&amp;TEXT(COUNTA($C$5:C21),"000"))</f>
        <v/>
      </c>
      <c r="C21" s="12" t="n"/>
      <c r="D21" s="12" t="n"/>
      <c r="E21" s="12" t="n"/>
      <c r="F21" s="12" t="n"/>
      <c r="G21" s="27" t="n"/>
      <c r="H21" s="23">
        <f>IF(G21="","",MAX(G21-TODAY(),0))</f>
        <v/>
      </c>
      <c r="I21" s="12" t="n"/>
      <c r="J21" s="12" t="n"/>
      <c r="K21" s="12" t="n"/>
    </row>
    <row r="22" ht="22" customHeight="1">
      <c r="B22" s="16">
        <f>IF(C22="","RAP-"&amp;TEXT(COUNTA($C$5:C22),"000"))</f>
        <v/>
      </c>
      <c r="C22" s="14" t="n"/>
      <c r="D22" s="14" t="n"/>
      <c r="E22" s="14" t="n"/>
      <c r="F22" s="14" t="n"/>
      <c r="G22" s="28" t="n"/>
      <c r="H22" s="24">
        <f>IF(G22="","",MAX(G22-TODAY(),0))</f>
        <v/>
      </c>
      <c r="I22" s="14" t="n"/>
      <c r="J22" s="14" t="n"/>
      <c r="K22" s="14" t="n"/>
    </row>
    <row r="23" ht="22" customHeight="1">
      <c r="B23" s="17">
        <f>IF(C23="","RAP-"&amp;TEXT(COUNTA($C$5:C23),"000"))</f>
        <v/>
      </c>
      <c r="C23" s="12" t="n"/>
      <c r="D23" s="12" t="n"/>
      <c r="E23" s="12" t="n"/>
      <c r="F23" s="12" t="n"/>
      <c r="G23" s="27" t="n"/>
      <c r="H23" s="23">
        <f>IF(G23="","",MAX(G23-TODAY(),0))</f>
        <v/>
      </c>
      <c r="I23" s="12" t="n"/>
      <c r="J23" s="12" t="n"/>
      <c r="K23" s="12" t="n"/>
    </row>
    <row r="24" ht="22" customHeight="1">
      <c r="B24" s="16">
        <f>IF(C24="","RAP-"&amp;TEXT(COUNTA($C$5:C24),"000"))</f>
        <v/>
      </c>
      <c r="C24" s="14" t="n"/>
      <c r="D24" s="14" t="n"/>
      <c r="E24" s="14" t="n"/>
      <c r="F24" s="14" t="n"/>
      <c r="G24" s="28" t="n"/>
      <c r="H24" s="24">
        <f>IF(G24="","",MAX(G24-TODAY(),0))</f>
        <v/>
      </c>
      <c r="I24" s="14" t="n"/>
      <c r="J24" s="14" t="n"/>
      <c r="K24" s="14" t="n"/>
    </row>
    <row r="25" ht="22" customHeight="1">
      <c r="B25" s="17">
        <f>IF(C25="","RAP-"&amp;TEXT(COUNTA($C$5:C25),"000"))</f>
        <v/>
      </c>
      <c r="C25" s="12" t="n"/>
      <c r="D25" s="12" t="n"/>
      <c r="E25" s="12" t="n"/>
      <c r="F25" s="12" t="n"/>
      <c r="G25" s="27" t="n"/>
      <c r="H25" s="23">
        <f>IF(G25="","",MAX(G25-TODAY(),0))</f>
        <v/>
      </c>
      <c r="I25" s="12" t="n"/>
      <c r="J25" s="12" t="n"/>
      <c r="K25" s="12" t="n"/>
    </row>
    <row r="26" ht="22" customHeight="1">
      <c r="B26" s="16">
        <f>IF(C26="","RAP-"&amp;TEXT(COUNTA($C$5:C26),"000"))</f>
        <v/>
      </c>
      <c r="C26" s="14" t="n"/>
      <c r="D26" s="14" t="n"/>
      <c r="E26" s="14" t="n"/>
      <c r="F26" s="14" t="n"/>
      <c r="G26" s="28" t="n"/>
      <c r="H26" s="24">
        <f>IF(G26="","",MAX(G26-TODAY(),0))</f>
        <v/>
      </c>
      <c r="I26" s="14" t="n"/>
      <c r="J26" s="14" t="n"/>
      <c r="K26" s="14" t="n"/>
    </row>
    <row r="27" ht="22" customHeight="1">
      <c r="B27" s="17">
        <f>IF(C27="","RAP-"&amp;TEXT(COUNTA($C$5:C27),"000"))</f>
        <v/>
      </c>
      <c r="C27" s="12" t="n"/>
      <c r="D27" s="12" t="n"/>
      <c r="E27" s="12" t="n"/>
      <c r="F27" s="12" t="n"/>
      <c r="G27" s="27" t="n"/>
      <c r="H27" s="23">
        <f>IF(G27="","",MAX(G27-TODAY(),0))</f>
        <v/>
      </c>
      <c r="I27" s="12" t="n"/>
      <c r="J27" s="12" t="n"/>
      <c r="K27" s="12" t="n"/>
    </row>
    <row r="28" ht="22" customHeight="1">
      <c r="B28" s="16">
        <f>IF(C28="","RAP-"&amp;TEXT(COUNTA($C$5:C28),"000"))</f>
        <v/>
      </c>
      <c r="C28" s="14" t="n"/>
      <c r="D28" s="14" t="n"/>
      <c r="E28" s="14" t="n"/>
      <c r="F28" s="14" t="n"/>
      <c r="G28" s="28" t="n"/>
      <c r="H28" s="24">
        <f>IF(G28="","",MAX(G28-TODAY(),0))</f>
        <v/>
      </c>
      <c r="I28" s="14" t="n"/>
      <c r="J28" s="14" t="n"/>
      <c r="K28" s="14" t="n"/>
    </row>
    <row r="29" ht="22" customHeight="1">
      <c r="B29" s="17">
        <f>IF(C29="","RAP-"&amp;TEXT(COUNTA($C$5:C29),"000"))</f>
        <v/>
      </c>
      <c r="C29" s="12" t="n"/>
      <c r="D29" s="12" t="n"/>
      <c r="E29" s="12" t="n"/>
      <c r="F29" s="12" t="n"/>
      <c r="G29" s="27" t="n"/>
      <c r="H29" s="23">
        <f>IF(G29="","",MAX(G29-TODAY(),0))</f>
        <v/>
      </c>
      <c r="I29" s="12" t="n"/>
      <c r="J29" s="12" t="n"/>
      <c r="K29" s="12" t="n"/>
    </row>
    <row r="30" ht="22" customHeight="1">
      <c r="B30" s="16">
        <f>IF(C30="","RAP-"&amp;TEXT(COUNTA($C$5:C30),"000"))</f>
        <v/>
      </c>
      <c r="C30" s="14" t="n"/>
      <c r="D30" s="14" t="n"/>
      <c r="E30" s="14" t="n"/>
      <c r="F30" s="14" t="n"/>
      <c r="G30" s="28" t="n"/>
      <c r="H30" s="24">
        <f>IF(G30="","",MAX(G30-TODAY(),0))</f>
        <v/>
      </c>
      <c r="I30" s="14" t="n"/>
      <c r="J30" s="14" t="n"/>
      <c r="K30" s="14" t="n"/>
    </row>
    <row r="31" ht="22" customHeight="1">
      <c r="B31" s="17">
        <f>IF(C31="","RAP-"&amp;TEXT(COUNTA($C$5:C31),"000"))</f>
        <v/>
      </c>
      <c r="C31" s="12" t="n"/>
      <c r="D31" s="12" t="n"/>
      <c r="E31" s="12" t="n"/>
      <c r="F31" s="12" t="n"/>
      <c r="G31" s="27" t="n"/>
      <c r="H31" s="23">
        <f>IF(G31="","",MAX(G31-TODAY(),0))</f>
        <v/>
      </c>
      <c r="I31" s="12" t="n"/>
      <c r="J31" s="12" t="n"/>
      <c r="K31" s="12" t="n"/>
    </row>
    <row r="32" ht="22" customHeight="1">
      <c r="B32" s="16">
        <f>IF(C32="","RAP-"&amp;TEXT(COUNTA($C$5:C32),"000"))</f>
        <v/>
      </c>
      <c r="C32" s="14" t="n"/>
      <c r="D32" s="14" t="n"/>
      <c r="E32" s="14" t="n"/>
      <c r="F32" s="14" t="n"/>
      <c r="G32" s="28" t="n"/>
      <c r="H32" s="24">
        <f>IF(G32="","",MAX(G32-TODAY(),0))</f>
        <v/>
      </c>
      <c r="I32" s="14" t="n"/>
      <c r="J32" s="14" t="n"/>
      <c r="K32" s="14" t="n"/>
    </row>
    <row r="33" ht="22" customHeight="1">
      <c r="B33" s="17">
        <f>IF(C33="","RAP-"&amp;TEXT(COUNTA($C$5:C33),"000"))</f>
        <v/>
      </c>
      <c r="C33" s="12" t="n"/>
      <c r="D33" s="12" t="n"/>
      <c r="E33" s="12" t="n"/>
      <c r="F33" s="12" t="n"/>
      <c r="G33" s="27" t="n"/>
      <c r="H33" s="23">
        <f>IF(G33="","",MAX(G33-TODAY(),0))</f>
        <v/>
      </c>
      <c r="I33" s="12" t="n"/>
      <c r="J33" s="12" t="n"/>
      <c r="K33" s="12" t="n"/>
    </row>
    <row r="34" ht="22" customHeight="1">
      <c r="B34" s="16">
        <f>IF(C34="","RAP-"&amp;TEXT(COUNTA($C$5:C34),"000"))</f>
        <v/>
      </c>
      <c r="C34" s="14" t="n"/>
      <c r="D34" s="14" t="n"/>
      <c r="E34" s="14" t="n"/>
      <c r="F34" s="14" t="n"/>
      <c r="G34" s="28" t="n"/>
      <c r="H34" s="24">
        <f>IF(G34="","",MAX(G34-TODAY(),0))</f>
        <v/>
      </c>
      <c r="I34" s="14" t="n"/>
      <c r="J34" s="14" t="n"/>
      <c r="K34" s="14" t="n"/>
    </row>
    <row r="35" ht="22" customHeight="1">
      <c r="B35" s="17">
        <f>IF(C35="","RAP-"&amp;TEXT(COUNTA($C$5:C35),"000"))</f>
        <v/>
      </c>
      <c r="C35" s="12" t="n"/>
      <c r="D35" s="12" t="n"/>
      <c r="E35" s="12" t="n"/>
      <c r="F35" s="12" t="n"/>
      <c r="G35" s="27" t="n"/>
      <c r="H35" s="23">
        <f>IF(G35="","",MAX(G35-TODAY(),0))</f>
        <v/>
      </c>
      <c r="I35" s="12" t="n"/>
      <c r="J35" s="12" t="n"/>
      <c r="K35" s="12" t="n"/>
    </row>
    <row r="36" ht="22" customHeight="1">
      <c r="B36" s="16">
        <f>IF(C36="","RAP-"&amp;TEXT(COUNTA($C$5:C36),"000"))</f>
        <v/>
      </c>
      <c r="C36" s="14" t="n"/>
      <c r="D36" s="14" t="n"/>
      <c r="E36" s="14" t="n"/>
      <c r="F36" s="14" t="n"/>
      <c r="G36" s="28" t="n"/>
      <c r="H36" s="24">
        <f>IF(G36="","",MAX(G36-TODAY(),0))</f>
        <v/>
      </c>
      <c r="I36" s="14" t="n"/>
      <c r="J36" s="14" t="n"/>
      <c r="K36" s="14" t="n"/>
    </row>
    <row r="37" ht="22" customHeight="1">
      <c r="B37" s="17">
        <f>IF(C37="","RAP-"&amp;TEXT(COUNTA($C$5:C37),"000"))</f>
        <v/>
      </c>
      <c r="C37" s="12" t="n"/>
      <c r="D37" s="12" t="n"/>
      <c r="E37" s="12" t="n"/>
      <c r="F37" s="12" t="n"/>
      <c r="G37" s="27" t="n"/>
      <c r="H37" s="23">
        <f>IF(G37="","",MAX(G37-TODAY(),0))</f>
        <v/>
      </c>
      <c r="I37" s="12" t="n"/>
      <c r="J37" s="12" t="n"/>
      <c r="K37" s="12" t="n"/>
    </row>
    <row r="38" ht="22" customHeight="1">
      <c r="B38" s="16">
        <f>IF(C38="","RAP-"&amp;TEXT(COUNTA($C$5:C38),"000"))</f>
        <v/>
      </c>
      <c r="C38" s="14" t="n"/>
      <c r="D38" s="14" t="n"/>
      <c r="E38" s="14" t="n"/>
      <c r="F38" s="14" t="n"/>
      <c r="G38" s="28" t="n"/>
      <c r="H38" s="24">
        <f>IF(G38="","",MAX(G38-TODAY(),0))</f>
        <v/>
      </c>
      <c r="I38" s="14" t="n"/>
      <c r="J38" s="14" t="n"/>
      <c r="K38" s="14" t="n"/>
    </row>
    <row r="39" ht="22" customHeight="1">
      <c r="B39" s="17">
        <f>IF(C39="","RAP-"&amp;TEXT(COUNTA($C$5:C39),"000"))</f>
        <v/>
      </c>
      <c r="C39" s="12" t="n"/>
      <c r="D39" s="12" t="n"/>
      <c r="E39" s="12" t="n"/>
      <c r="F39" s="12" t="n"/>
      <c r="G39" s="27" t="n"/>
      <c r="H39" s="23">
        <f>IF(G39="","",MAX(G39-TODAY(),0))</f>
        <v/>
      </c>
      <c r="I39" s="12" t="n"/>
      <c r="J39" s="12" t="n"/>
      <c r="K39" s="12" t="n"/>
    </row>
    <row r="40" ht="22" customHeight="1">
      <c r="B40" s="16">
        <f>IF(C40="","RAP-"&amp;TEXT(COUNTA($C$5:C40),"000"))</f>
        <v/>
      </c>
      <c r="C40" s="14" t="n"/>
      <c r="D40" s="14" t="n"/>
      <c r="E40" s="14" t="n"/>
      <c r="F40" s="14" t="n"/>
      <c r="G40" s="28" t="n"/>
      <c r="H40" s="24">
        <f>IF(G40="","",MAX(G40-TODAY(),0))</f>
        <v/>
      </c>
      <c r="I40" s="14" t="n"/>
      <c r="J40" s="14" t="n"/>
      <c r="K40" s="14" t="n"/>
    </row>
    <row r="41" ht="22" customHeight="1">
      <c r="B41" s="17">
        <f>IF(C41="","RAP-"&amp;TEXT(COUNTA($C$5:C41),"000"))</f>
        <v/>
      </c>
      <c r="C41" s="12" t="n"/>
      <c r="D41" s="12" t="n"/>
      <c r="E41" s="12" t="n"/>
      <c r="F41" s="12" t="n"/>
      <c r="G41" s="27" t="n"/>
      <c r="H41" s="23">
        <f>IF(G41="","",MAX(G41-TODAY(),0))</f>
        <v/>
      </c>
      <c r="I41" s="12" t="n"/>
      <c r="J41" s="12" t="n"/>
      <c r="K41" s="12" t="n"/>
    </row>
    <row r="42" ht="22" customHeight="1">
      <c r="B42" s="16">
        <f>IF(C42="","RAP-"&amp;TEXT(COUNTA($C$5:C42),"000"))</f>
        <v/>
      </c>
      <c r="C42" s="14" t="n"/>
      <c r="D42" s="14" t="n"/>
      <c r="E42" s="14" t="n"/>
      <c r="F42" s="14" t="n"/>
      <c r="G42" s="28" t="n"/>
      <c r="H42" s="24">
        <f>IF(G42="","",MAX(G42-TODAY(),0))</f>
        <v/>
      </c>
      <c r="I42" s="14" t="n"/>
      <c r="J42" s="14" t="n"/>
      <c r="K42" s="14" t="n"/>
    </row>
    <row r="43" ht="22" customHeight="1">
      <c r="B43" s="17">
        <f>IF(C43="","RAP-"&amp;TEXT(COUNTA($C$5:C43),"000"))</f>
        <v/>
      </c>
      <c r="C43" s="12" t="n"/>
      <c r="D43" s="12" t="n"/>
      <c r="E43" s="12" t="n"/>
      <c r="F43" s="12" t="n"/>
      <c r="G43" s="27" t="n"/>
      <c r="H43" s="23">
        <f>IF(G43="","",MAX(G43-TODAY(),0))</f>
        <v/>
      </c>
      <c r="I43" s="12" t="n"/>
      <c r="J43" s="12" t="n"/>
      <c r="K43" s="12" t="n"/>
    </row>
    <row r="44" ht="22" customHeight="1">
      <c r="B44" s="16">
        <f>IF(C44="","RAP-"&amp;TEXT(COUNTA($C$5:C44),"000"))</f>
        <v/>
      </c>
      <c r="C44" s="14" t="n"/>
      <c r="D44" s="14" t="n"/>
      <c r="E44" s="14" t="n"/>
      <c r="F44" s="14" t="n"/>
      <c r="G44" s="28" t="n"/>
      <c r="H44" s="24">
        <f>IF(G44="","",MAX(G44-TODAY(),0))</f>
        <v/>
      </c>
      <c r="I44" s="14" t="n"/>
      <c r="J44" s="14" t="n"/>
      <c r="K44" s="14" t="n"/>
    </row>
    <row r="45" ht="22" customHeight="1">
      <c r="B45" s="17">
        <f>IF(C45="","RAP-"&amp;TEXT(COUNTA($C$5:C45),"000"))</f>
        <v/>
      </c>
      <c r="C45" s="12" t="n"/>
      <c r="D45" s="12" t="n"/>
      <c r="E45" s="12" t="n"/>
      <c r="F45" s="12" t="n"/>
      <c r="G45" s="27" t="n"/>
      <c r="H45" s="23">
        <f>IF(G45="","",MAX(G45-TODAY(),0))</f>
        <v/>
      </c>
      <c r="I45" s="12" t="n"/>
      <c r="J45" s="12" t="n"/>
      <c r="K45" s="12" t="n"/>
    </row>
    <row r="46" ht="22" customHeight="1">
      <c r="B46" s="16">
        <f>IF(C46="","RAP-"&amp;TEXT(COUNTA($C$5:C46),"000"))</f>
        <v/>
      </c>
      <c r="C46" s="14" t="n"/>
      <c r="D46" s="14" t="n"/>
      <c r="E46" s="14" t="n"/>
      <c r="F46" s="14" t="n"/>
      <c r="G46" s="28" t="n"/>
      <c r="H46" s="24">
        <f>IF(G46="","",MAX(G46-TODAY(),0))</f>
        <v/>
      </c>
      <c r="I46" s="14" t="n"/>
      <c r="J46" s="14" t="n"/>
      <c r="K46" s="14" t="n"/>
    </row>
    <row r="47" ht="22" customHeight="1">
      <c r="B47" s="17">
        <f>IF(C47="","RAP-"&amp;TEXT(COUNTA($C$5:C47),"000"))</f>
        <v/>
      </c>
      <c r="C47" s="12" t="n"/>
      <c r="D47" s="12" t="n"/>
      <c r="E47" s="12" t="n"/>
      <c r="F47" s="12" t="n"/>
      <c r="G47" s="27" t="n"/>
      <c r="H47" s="23">
        <f>IF(G47="","",MAX(G47-TODAY(),0))</f>
        <v/>
      </c>
      <c r="I47" s="12" t="n"/>
      <c r="J47" s="12" t="n"/>
      <c r="K47" s="12" t="n"/>
    </row>
    <row r="48" ht="22" customHeight="1">
      <c r="B48" s="16">
        <f>IF(C48="","RAP-"&amp;TEXT(COUNTA($C$5:C48),"000"))</f>
        <v/>
      </c>
      <c r="C48" s="14" t="n"/>
      <c r="D48" s="14" t="n"/>
      <c r="E48" s="14" t="n"/>
      <c r="F48" s="14" t="n"/>
      <c r="G48" s="28" t="n"/>
      <c r="H48" s="24">
        <f>IF(G48="","",MAX(G48-TODAY(),0))</f>
        <v/>
      </c>
      <c r="I48" s="14" t="n"/>
      <c r="J48" s="14" t="n"/>
      <c r="K48" s="14" t="n"/>
    </row>
    <row r="49" ht="22" customHeight="1">
      <c r="B49" s="17">
        <f>IF(C49="","RAP-"&amp;TEXT(COUNTA($C$5:C49),"000"))</f>
        <v/>
      </c>
      <c r="C49" s="12" t="n"/>
      <c r="D49" s="12" t="n"/>
      <c r="E49" s="12" t="n"/>
      <c r="F49" s="12" t="n"/>
      <c r="G49" s="27" t="n"/>
      <c r="H49" s="23">
        <f>IF(G49="","",MAX(G49-TODAY(),0))</f>
        <v/>
      </c>
      <c r="I49" s="12" t="n"/>
      <c r="J49" s="12" t="n"/>
      <c r="K49" s="12" t="n"/>
    </row>
    <row r="50" ht="22" customHeight="1">
      <c r="B50" s="16">
        <f>IF(C50="","RAP-"&amp;TEXT(COUNTA($C$5:C50),"000"))</f>
        <v/>
      </c>
      <c r="C50" s="14" t="n"/>
      <c r="D50" s="14" t="n"/>
      <c r="E50" s="14" t="n"/>
      <c r="F50" s="14" t="n"/>
      <c r="G50" s="28" t="n"/>
      <c r="H50" s="24">
        <f>IF(G50="","",MAX(G50-TODAY(),0))</f>
        <v/>
      </c>
      <c r="I50" s="14" t="n"/>
      <c r="J50" s="14" t="n"/>
      <c r="K50" s="14" t="n"/>
    </row>
    <row r="51" ht="22" customHeight="1">
      <c r="B51" s="17">
        <f>IF(C51="","RAP-"&amp;TEXT(COUNTA($C$5:C51),"000"))</f>
        <v/>
      </c>
      <c r="C51" s="12" t="n"/>
      <c r="D51" s="12" t="n"/>
      <c r="E51" s="12" t="n"/>
      <c r="F51" s="12" t="n"/>
      <c r="G51" s="27" t="n"/>
      <c r="H51" s="23">
        <f>IF(G51="","",MAX(G51-TODAY(),0))</f>
        <v/>
      </c>
      <c r="I51" s="12" t="n"/>
      <c r="J51" s="12" t="n"/>
      <c r="K51" s="12" t="n"/>
    </row>
    <row r="52" ht="22" customHeight="1">
      <c r="B52" s="16">
        <f>IF(C52="","RAP-"&amp;TEXT(COUNTA($C$5:C52),"000"))</f>
        <v/>
      </c>
      <c r="C52" s="14" t="n"/>
      <c r="D52" s="14" t="n"/>
      <c r="E52" s="14" t="n"/>
      <c r="F52" s="14" t="n"/>
      <c r="G52" s="28" t="n"/>
      <c r="H52" s="24">
        <f>IF(G52="","",MAX(G52-TODAY(),0))</f>
        <v/>
      </c>
      <c r="I52" s="14" t="n"/>
      <c r="J52" s="14" t="n"/>
      <c r="K52" s="14" t="n"/>
    </row>
    <row r="53" ht="22" customHeight="1">
      <c r="B53" s="17">
        <f>IF(C53="","RAP-"&amp;TEXT(COUNTA($C$5:C53),"000"))</f>
        <v/>
      </c>
      <c r="C53" s="12" t="n"/>
      <c r="D53" s="12" t="n"/>
      <c r="E53" s="12" t="n"/>
      <c r="F53" s="12" t="n"/>
      <c r="G53" s="27" t="n"/>
      <c r="H53" s="23">
        <f>IF(G53="","",MAX(G53-TODAY(),0))</f>
        <v/>
      </c>
      <c r="I53" s="12" t="n"/>
      <c r="J53" s="12" t="n"/>
      <c r="K53" s="12" t="n"/>
    </row>
    <row r="54" ht="22" customHeight="1">
      <c r="B54" s="16">
        <f>IF(C54="","RAP-"&amp;TEXT(COUNTA($C$5:C54),"000"))</f>
        <v/>
      </c>
      <c r="C54" s="14" t="n"/>
      <c r="D54" s="14" t="n"/>
      <c r="E54" s="14" t="n"/>
      <c r="F54" s="14" t="n"/>
      <c r="G54" s="28" t="n"/>
      <c r="H54" s="24">
        <f>IF(G54="","",MAX(G54-TODAY(),0))</f>
        <v/>
      </c>
      <c r="I54" s="14" t="n"/>
      <c r="J54" s="14" t="n"/>
      <c r="K54" s="14" t="n"/>
    </row>
    <row r="55" ht="22" customHeight="1">
      <c r="B55" s="17">
        <f>IF(C55="","RAP-"&amp;TEXT(COUNTA($C$5:C55),"000"))</f>
        <v/>
      </c>
      <c r="C55" s="12" t="n"/>
      <c r="D55" s="12" t="n"/>
      <c r="E55" s="12" t="n"/>
      <c r="F55" s="12" t="n"/>
      <c r="G55" s="27" t="n"/>
      <c r="H55" s="23">
        <f>IF(G55="","",MAX(G55-TODAY(),0))</f>
        <v/>
      </c>
      <c r="I55" s="12" t="n"/>
      <c r="J55" s="12" t="n"/>
      <c r="K55" s="12" t="n"/>
    </row>
    <row r="56" ht="22" customHeight="1">
      <c r="B56" s="16">
        <f>IF(C56="","RAP-"&amp;TEXT(COUNTA($C$5:C56),"000"))</f>
        <v/>
      </c>
      <c r="C56" s="14" t="n"/>
      <c r="D56" s="14" t="n"/>
      <c r="E56" s="14" t="n"/>
      <c r="F56" s="14" t="n"/>
      <c r="G56" s="28" t="n"/>
      <c r="H56" s="24">
        <f>IF(G56="","",MAX(G56-TODAY(),0))</f>
        <v/>
      </c>
      <c r="I56" s="14" t="n"/>
      <c r="J56" s="14" t="n"/>
      <c r="K56" s="14" t="n"/>
    </row>
    <row r="57" ht="22" customHeight="1">
      <c r="B57" s="17">
        <f>IF(C57="","RAP-"&amp;TEXT(COUNTA($C$5:C57),"000"))</f>
        <v/>
      </c>
      <c r="C57" s="12" t="n"/>
      <c r="D57" s="12" t="n"/>
      <c r="E57" s="12" t="n"/>
      <c r="F57" s="12" t="n"/>
      <c r="G57" s="27" t="n"/>
      <c r="H57" s="23">
        <f>IF(G57="","",MAX(G57-TODAY(),0))</f>
        <v/>
      </c>
      <c r="I57" s="12" t="n"/>
      <c r="J57" s="12" t="n"/>
      <c r="K57" s="12" t="n"/>
    </row>
    <row r="58" ht="22" customHeight="1">
      <c r="B58" s="16">
        <f>IF(C58="","RAP-"&amp;TEXT(COUNTA($C$5:C58),"000"))</f>
        <v/>
      </c>
      <c r="C58" s="14" t="n"/>
      <c r="D58" s="14" t="n"/>
      <c r="E58" s="14" t="n"/>
      <c r="F58" s="14" t="n"/>
      <c r="G58" s="28" t="n"/>
      <c r="H58" s="24">
        <f>IF(G58="","",MAX(G58-TODAY(),0))</f>
        <v/>
      </c>
      <c r="I58" s="14" t="n"/>
      <c r="J58" s="14" t="n"/>
      <c r="K58" s="14" t="n"/>
    </row>
    <row r="59" ht="22" customHeight="1">
      <c r="B59" s="17">
        <f>IF(C59="","RAP-"&amp;TEXT(COUNTA($C$5:C59),"000"))</f>
        <v/>
      </c>
      <c r="C59" s="12" t="n"/>
      <c r="D59" s="12" t="n"/>
      <c r="E59" s="12" t="n"/>
      <c r="F59" s="12" t="n"/>
      <c r="G59" s="27" t="n"/>
      <c r="H59" s="23">
        <f>IF(G59="","",MAX(G59-TODAY(),0))</f>
        <v/>
      </c>
      <c r="I59" s="12" t="n"/>
      <c r="J59" s="12" t="n"/>
      <c r="K59" s="12" t="n"/>
    </row>
    <row r="60" ht="22" customHeight="1">
      <c r="B60" s="16">
        <f>IF(C60="","RAP-"&amp;TEXT(COUNTA($C$5:C60),"000"))</f>
        <v/>
      </c>
      <c r="C60" s="14" t="n"/>
      <c r="D60" s="14" t="n"/>
      <c r="E60" s="14" t="n"/>
      <c r="F60" s="14" t="n"/>
      <c r="G60" s="28" t="n"/>
      <c r="H60" s="24">
        <f>IF(G60="","",MAX(G60-TODAY(),0))</f>
        <v/>
      </c>
      <c r="I60" s="14" t="n"/>
      <c r="J60" s="14" t="n"/>
      <c r="K60" s="14" t="n"/>
    </row>
    <row r="61" ht="22" customHeight="1">
      <c r="B61" s="17">
        <f>IF(C61="","RAP-"&amp;TEXT(COUNTA($C$5:C61),"000"))</f>
        <v/>
      </c>
      <c r="C61" s="12" t="n"/>
      <c r="D61" s="12" t="n"/>
      <c r="E61" s="12" t="n"/>
      <c r="F61" s="12" t="n"/>
      <c r="G61" s="27" t="n"/>
      <c r="H61" s="23">
        <f>IF(G61="","",MAX(G61-TODAY(),0))</f>
        <v/>
      </c>
      <c r="I61" s="12" t="n"/>
      <c r="J61" s="12" t="n"/>
      <c r="K61" s="12" t="n"/>
    </row>
    <row r="62" ht="22" customHeight="1">
      <c r="B62" s="16">
        <f>IF(C62="","RAP-"&amp;TEXT(COUNTA($C$5:C62),"000"))</f>
        <v/>
      </c>
      <c r="C62" s="14" t="n"/>
      <c r="D62" s="14" t="n"/>
      <c r="E62" s="14" t="n"/>
      <c r="F62" s="14" t="n"/>
      <c r="G62" s="28" t="n"/>
      <c r="H62" s="24">
        <f>IF(G62="","",MAX(G62-TODAY(),0))</f>
        <v/>
      </c>
      <c r="I62" s="14" t="n"/>
      <c r="J62" s="14" t="n"/>
      <c r="K62" s="14" t="n"/>
    </row>
    <row r="63" ht="22" customHeight="1">
      <c r="B63" s="17">
        <f>IF(C63="","RAP-"&amp;TEXT(COUNTA($C$5:C63),"000"))</f>
        <v/>
      </c>
      <c r="C63" s="12" t="n"/>
      <c r="D63" s="12" t="n"/>
      <c r="E63" s="12" t="n"/>
      <c r="F63" s="12" t="n"/>
      <c r="G63" s="27" t="n"/>
      <c r="H63" s="23">
        <f>IF(G63="","",MAX(G63-TODAY(),0))</f>
        <v/>
      </c>
      <c r="I63" s="12" t="n"/>
      <c r="J63" s="12" t="n"/>
      <c r="K63" s="12" t="n"/>
    </row>
    <row r="64" ht="22" customHeight="1">
      <c r="B64" s="16">
        <f>IF(C64="","RAP-"&amp;TEXT(COUNTA($C$5:C64),"000"))</f>
        <v/>
      </c>
      <c r="C64" s="14" t="n"/>
      <c r="D64" s="14" t="n"/>
      <c r="E64" s="14" t="n"/>
      <c r="F64" s="14" t="n"/>
      <c r="G64" s="28" t="n"/>
      <c r="H64" s="24">
        <f>IF(G64="","",MAX(G64-TODAY(),0))</f>
        <v/>
      </c>
      <c r="I64" s="14" t="n"/>
      <c r="J64" s="14" t="n"/>
      <c r="K64" s="14" t="n"/>
    </row>
    <row r="65" ht="22" customHeight="1">
      <c r="B65" s="17">
        <f>IF(C65="","RAP-"&amp;TEXT(COUNTA($C$5:C65),"000"))</f>
        <v/>
      </c>
      <c r="C65" s="12" t="n"/>
      <c r="D65" s="12" t="n"/>
      <c r="E65" s="12" t="n"/>
      <c r="F65" s="12" t="n"/>
      <c r="G65" s="27" t="n"/>
      <c r="H65" s="23">
        <f>IF(G65="","",MAX(G65-TODAY(),0))</f>
        <v/>
      </c>
      <c r="I65" s="12" t="n"/>
      <c r="J65" s="12" t="n"/>
      <c r="K65" s="12" t="n"/>
    </row>
    <row r="66" ht="22" customHeight="1">
      <c r="B66" s="16">
        <f>IF(C66="","RAP-"&amp;TEXT(COUNTA($C$5:C66),"000"))</f>
        <v/>
      </c>
      <c r="C66" s="14" t="n"/>
      <c r="D66" s="14" t="n"/>
      <c r="E66" s="14" t="n"/>
      <c r="F66" s="14" t="n"/>
      <c r="G66" s="28" t="n"/>
      <c r="H66" s="24">
        <f>IF(G66="","",MAX(G66-TODAY(),0))</f>
        <v/>
      </c>
      <c r="I66" s="14" t="n"/>
      <c r="J66" s="14" t="n"/>
      <c r="K66" s="14" t="n"/>
    </row>
    <row r="67" ht="22" customHeight="1">
      <c r="B67" s="17">
        <f>IF(C67="","RAP-"&amp;TEXT(COUNTA($C$5:C67),"000"))</f>
        <v/>
      </c>
      <c r="C67" s="12" t="n"/>
      <c r="D67" s="12" t="n"/>
      <c r="E67" s="12" t="n"/>
      <c r="F67" s="12" t="n"/>
      <c r="G67" s="27" t="n"/>
      <c r="H67" s="23">
        <f>IF(G67="","",MAX(G67-TODAY(),0))</f>
        <v/>
      </c>
      <c r="I67" s="12" t="n"/>
      <c r="J67" s="12" t="n"/>
      <c r="K67" s="12" t="n"/>
    </row>
    <row r="68" ht="22" customHeight="1">
      <c r="B68" s="16">
        <f>IF(C68="","RAP-"&amp;TEXT(COUNTA($C$5:C68),"000"))</f>
        <v/>
      </c>
      <c r="C68" s="14" t="n"/>
      <c r="D68" s="14" t="n"/>
      <c r="E68" s="14" t="n"/>
      <c r="F68" s="14" t="n"/>
      <c r="G68" s="28" t="n"/>
      <c r="H68" s="24">
        <f>IF(G68="","",MAX(G68-TODAY(),0))</f>
        <v/>
      </c>
      <c r="I68" s="14" t="n"/>
      <c r="J68" s="14" t="n"/>
      <c r="K68" s="14" t="n"/>
    </row>
    <row r="69" ht="22" customHeight="1">
      <c r="B69" s="17">
        <f>IF(C69="","RAP-"&amp;TEXT(COUNTA($C$5:C69),"000"))</f>
        <v/>
      </c>
      <c r="C69" s="12" t="n"/>
      <c r="D69" s="12" t="n"/>
      <c r="E69" s="12" t="n"/>
      <c r="F69" s="12" t="n"/>
      <c r="G69" s="27" t="n"/>
      <c r="H69" s="23">
        <f>IF(G69="","",MAX(G69-TODAY(),0))</f>
        <v/>
      </c>
      <c r="I69" s="12" t="n"/>
      <c r="J69" s="12" t="n"/>
      <c r="K69" s="12" t="n"/>
    </row>
    <row r="70" ht="22" customHeight="1">
      <c r="B70" s="16">
        <f>IF(C70="","RAP-"&amp;TEXT(COUNTA($C$5:C70),"000"))</f>
        <v/>
      </c>
      <c r="C70" s="14" t="n"/>
      <c r="D70" s="14" t="n"/>
      <c r="E70" s="14" t="n"/>
      <c r="F70" s="14" t="n"/>
      <c r="G70" s="28" t="n"/>
      <c r="H70" s="24">
        <f>IF(G70="","",MAX(G70-TODAY(),0))</f>
        <v/>
      </c>
      <c r="I70" s="14" t="n"/>
      <c r="J70" s="14" t="n"/>
      <c r="K70" s="14" t="n"/>
    </row>
    <row r="71" ht="22" customHeight="1">
      <c r="B71" s="17">
        <f>IF(C71="","RAP-"&amp;TEXT(COUNTA($C$5:C71),"000"))</f>
        <v/>
      </c>
      <c r="C71" s="12" t="n"/>
      <c r="D71" s="12" t="n"/>
      <c r="E71" s="12" t="n"/>
      <c r="F71" s="12" t="n"/>
      <c r="G71" s="27" t="n"/>
      <c r="H71" s="23">
        <f>IF(G71="","",MAX(G71-TODAY(),0))</f>
        <v/>
      </c>
      <c r="I71" s="12" t="n"/>
      <c r="J71" s="12" t="n"/>
      <c r="K71" s="12" t="n"/>
    </row>
    <row r="72" ht="22" customHeight="1">
      <c r="B72" s="16">
        <f>IF(C72="","RAP-"&amp;TEXT(COUNTA($C$5:C72),"000"))</f>
        <v/>
      </c>
      <c r="C72" s="14" t="n"/>
      <c r="D72" s="14" t="n"/>
      <c r="E72" s="14" t="n"/>
      <c r="F72" s="14" t="n"/>
      <c r="G72" s="28" t="n"/>
      <c r="H72" s="24">
        <f>IF(G72="","",MAX(G72-TODAY(),0))</f>
        <v/>
      </c>
      <c r="I72" s="14" t="n"/>
      <c r="J72" s="14" t="n"/>
      <c r="K72" s="14" t="n"/>
    </row>
    <row r="73" ht="22" customHeight="1">
      <c r="B73" s="17">
        <f>IF(C73="","RAP-"&amp;TEXT(COUNTA($C$5:C73),"000"))</f>
        <v/>
      </c>
      <c r="C73" s="12" t="n"/>
      <c r="D73" s="12" t="n"/>
      <c r="E73" s="12" t="n"/>
      <c r="F73" s="12" t="n"/>
      <c r="G73" s="27" t="n"/>
      <c r="H73" s="23">
        <f>IF(G73="","",MAX(G73-TODAY(),0))</f>
        <v/>
      </c>
      <c r="I73" s="12" t="n"/>
      <c r="J73" s="12" t="n"/>
      <c r="K73" s="12" t="n"/>
    </row>
    <row r="74" ht="22" customHeight="1">
      <c r="B74" s="16">
        <f>IF(C74="","RAP-"&amp;TEXT(COUNTA($C$5:C74),"000"))</f>
        <v/>
      </c>
      <c r="C74" s="14" t="n"/>
      <c r="D74" s="14" t="n"/>
      <c r="E74" s="14" t="n"/>
      <c r="F74" s="14" t="n"/>
      <c r="G74" s="28" t="n"/>
      <c r="H74" s="24">
        <f>IF(G74="","",MAX(G74-TODAY(),0))</f>
        <v/>
      </c>
      <c r="I74" s="14" t="n"/>
      <c r="J74" s="14" t="n"/>
      <c r="K74" s="14" t="n"/>
    </row>
    <row r="75" ht="22" customHeight="1">
      <c r="B75" s="17">
        <f>IF(C75="","RAP-"&amp;TEXT(COUNTA($C$5:C75),"000"))</f>
        <v/>
      </c>
      <c r="C75" s="12" t="n"/>
      <c r="D75" s="12" t="n"/>
      <c r="E75" s="12" t="n"/>
      <c r="F75" s="12" t="n"/>
      <c r="G75" s="27" t="n"/>
      <c r="H75" s="23">
        <f>IF(G75="","",MAX(G75-TODAY(),0))</f>
        <v/>
      </c>
      <c r="I75" s="12" t="n"/>
      <c r="J75" s="12" t="n"/>
      <c r="K75" s="12" t="n"/>
    </row>
    <row r="76" ht="22" customHeight="1">
      <c r="B76" s="16">
        <f>IF(C76="","RAP-"&amp;TEXT(COUNTA($C$5:C76),"000"))</f>
        <v/>
      </c>
      <c r="C76" s="14" t="n"/>
      <c r="D76" s="14" t="n"/>
      <c r="E76" s="14" t="n"/>
      <c r="F76" s="14" t="n"/>
      <c r="G76" s="28" t="n"/>
      <c r="H76" s="24">
        <f>IF(G76="","",MAX(G76-TODAY(),0))</f>
        <v/>
      </c>
      <c r="I76" s="14" t="n"/>
      <c r="J76" s="14" t="n"/>
      <c r="K76" s="14" t="n"/>
    </row>
    <row r="77" ht="22" customHeight="1">
      <c r="B77" s="17">
        <f>IF(C77="","RAP-"&amp;TEXT(COUNTA($C$5:C77),"000"))</f>
        <v/>
      </c>
      <c r="C77" s="12" t="n"/>
      <c r="D77" s="12" t="n"/>
      <c r="E77" s="12" t="n"/>
      <c r="F77" s="12" t="n"/>
      <c r="G77" s="27" t="n"/>
      <c r="H77" s="23">
        <f>IF(G77="","",MAX(G77-TODAY(),0))</f>
        <v/>
      </c>
      <c r="I77" s="12" t="n"/>
      <c r="J77" s="12" t="n"/>
      <c r="K77" s="12" t="n"/>
    </row>
    <row r="78" ht="22" customHeight="1">
      <c r="B78" s="16">
        <f>IF(C78="","RAP-"&amp;TEXT(COUNTA($C$5:C78),"000"))</f>
        <v/>
      </c>
      <c r="C78" s="14" t="n"/>
      <c r="D78" s="14" t="n"/>
      <c r="E78" s="14" t="n"/>
      <c r="F78" s="14" t="n"/>
      <c r="G78" s="28" t="n"/>
      <c r="H78" s="24">
        <f>IF(G78="","",MAX(G78-TODAY(),0))</f>
        <v/>
      </c>
      <c r="I78" s="14" t="n"/>
      <c r="J78" s="14" t="n"/>
      <c r="K78" s="14" t="n"/>
    </row>
    <row r="79" ht="22" customHeight="1">
      <c r="B79" s="17">
        <f>IF(C79="","RAP-"&amp;TEXT(COUNTA($C$5:C79),"000"))</f>
        <v/>
      </c>
      <c r="C79" s="12" t="n"/>
      <c r="D79" s="12" t="n"/>
      <c r="E79" s="12" t="n"/>
      <c r="F79" s="12" t="n"/>
      <c r="G79" s="27" t="n"/>
      <c r="H79" s="23">
        <f>IF(G79="","",MAX(G79-TODAY(),0))</f>
        <v/>
      </c>
      <c r="I79" s="12" t="n"/>
      <c r="J79" s="12" t="n"/>
      <c r="K79" s="12" t="n"/>
    </row>
    <row r="80" ht="22" customHeight="1">
      <c r="B80" s="16">
        <f>IF(C80="","RAP-"&amp;TEXT(COUNTA($C$5:C80),"000"))</f>
        <v/>
      </c>
      <c r="C80" s="14" t="n"/>
      <c r="D80" s="14" t="n"/>
      <c r="E80" s="14" t="n"/>
      <c r="F80" s="14" t="n"/>
      <c r="G80" s="28" t="n"/>
      <c r="H80" s="24">
        <f>IF(G80="","",MAX(G80-TODAY(),0))</f>
        <v/>
      </c>
      <c r="I80" s="14" t="n"/>
      <c r="J80" s="14" t="n"/>
      <c r="K80" s="14" t="n"/>
    </row>
    <row r="81" ht="22" customHeight="1">
      <c r="B81" s="17">
        <f>IF(C81="","RAP-"&amp;TEXT(COUNTA($C$5:C81),"000"))</f>
        <v/>
      </c>
      <c r="C81" s="12" t="n"/>
      <c r="D81" s="12" t="n"/>
      <c r="E81" s="12" t="n"/>
      <c r="F81" s="12" t="n"/>
      <c r="G81" s="27" t="n"/>
      <c r="H81" s="23">
        <f>IF(G81="","",MAX(G81-TODAY(),0))</f>
        <v/>
      </c>
      <c r="I81" s="12" t="n"/>
      <c r="J81" s="12" t="n"/>
      <c r="K81" s="12" t="n"/>
    </row>
    <row r="82" ht="22" customHeight="1">
      <c r="B82" s="16">
        <f>IF(C82="","RAP-"&amp;TEXT(COUNTA($C$5:C82),"000"))</f>
        <v/>
      </c>
      <c r="C82" s="14" t="n"/>
      <c r="D82" s="14" t="n"/>
      <c r="E82" s="14" t="n"/>
      <c r="F82" s="14" t="n"/>
      <c r="G82" s="28" t="n"/>
      <c r="H82" s="24">
        <f>IF(G82="","",MAX(G82-TODAY(),0))</f>
        <v/>
      </c>
      <c r="I82" s="14" t="n"/>
      <c r="J82" s="14" t="n"/>
      <c r="K82" s="14" t="n"/>
    </row>
    <row r="83" ht="22" customHeight="1">
      <c r="B83" s="17">
        <f>IF(C83="","RAP-"&amp;TEXT(COUNTA($C$5:C83),"000"))</f>
        <v/>
      </c>
      <c r="C83" s="12" t="n"/>
      <c r="D83" s="12" t="n"/>
      <c r="E83" s="12" t="n"/>
      <c r="F83" s="12" t="n"/>
      <c r="G83" s="27" t="n"/>
      <c r="H83" s="23">
        <f>IF(G83="","",MAX(G83-TODAY(),0))</f>
        <v/>
      </c>
      <c r="I83" s="12" t="n"/>
      <c r="J83" s="12" t="n"/>
      <c r="K83" s="12" t="n"/>
    </row>
    <row r="84" ht="22" customHeight="1">
      <c r="B84" s="16">
        <f>IF(C84="","RAP-"&amp;TEXT(COUNTA($C$5:C84),"000"))</f>
        <v/>
      </c>
      <c r="C84" s="14" t="n"/>
      <c r="D84" s="14" t="n"/>
      <c r="E84" s="14" t="n"/>
      <c r="F84" s="14" t="n"/>
      <c r="G84" s="28" t="n"/>
      <c r="H84" s="24">
        <f>IF(G84="","",MAX(G84-TODAY(),0))</f>
        <v/>
      </c>
      <c r="I84" s="14" t="n"/>
      <c r="J84" s="14" t="n"/>
      <c r="K84" s="14" t="n"/>
    </row>
    <row r="85" ht="22" customHeight="1">
      <c r="B85" s="17">
        <f>IF(C85="","RAP-"&amp;TEXT(COUNTA($C$5:C85),"000"))</f>
        <v/>
      </c>
      <c r="C85" s="12" t="n"/>
      <c r="D85" s="12" t="n"/>
      <c r="E85" s="12" t="n"/>
      <c r="F85" s="12" t="n"/>
      <c r="G85" s="27" t="n"/>
      <c r="H85" s="23">
        <f>IF(G85="","",MAX(G85-TODAY(),0))</f>
        <v/>
      </c>
      <c r="I85" s="12" t="n"/>
      <c r="J85" s="12" t="n"/>
      <c r="K85" s="12" t="n"/>
    </row>
    <row r="86" ht="22" customHeight="1">
      <c r="B86" s="16">
        <f>IF(C86="","RAP-"&amp;TEXT(COUNTA($C$5:C86),"000"))</f>
        <v/>
      </c>
      <c r="C86" s="14" t="n"/>
      <c r="D86" s="14" t="n"/>
      <c r="E86" s="14" t="n"/>
      <c r="F86" s="14" t="n"/>
      <c r="G86" s="28" t="n"/>
      <c r="H86" s="24">
        <f>IF(G86="","",MAX(G86-TODAY(),0))</f>
        <v/>
      </c>
      <c r="I86" s="14" t="n"/>
      <c r="J86" s="14" t="n"/>
      <c r="K86" s="14" t="n"/>
    </row>
    <row r="87" ht="22" customHeight="1">
      <c r="B87" s="17">
        <f>IF(C87="","RAP-"&amp;TEXT(COUNTA($C$5:C87),"000"))</f>
        <v/>
      </c>
      <c r="C87" s="12" t="n"/>
      <c r="D87" s="12" t="n"/>
      <c r="E87" s="12" t="n"/>
      <c r="F87" s="12" t="n"/>
      <c r="G87" s="27" t="n"/>
      <c r="H87" s="23">
        <f>IF(G87="","",MAX(G87-TODAY(),0))</f>
        <v/>
      </c>
      <c r="I87" s="12" t="n"/>
      <c r="J87" s="12" t="n"/>
      <c r="K87" s="12" t="n"/>
    </row>
    <row r="88" ht="22" customHeight="1">
      <c r="B88" s="16">
        <f>IF(C88="","RAP-"&amp;TEXT(COUNTA($C$5:C88),"000"))</f>
        <v/>
      </c>
      <c r="C88" s="14" t="n"/>
      <c r="D88" s="14" t="n"/>
      <c r="E88" s="14" t="n"/>
      <c r="F88" s="14" t="n"/>
      <c r="G88" s="28" t="n"/>
      <c r="H88" s="24">
        <f>IF(G88="","",MAX(G88-TODAY(),0))</f>
        <v/>
      </c>
      <c r="I88" s="14" t="n"/>
      <c r="J88" s="14" t="n"/>
      <c r="K88" s="14" t="n"/>
    </row>
    <row r="89" ht="22" customHeight="1">
      <c r="B89" s="17">
        <f>IF(C89="","RAP-"&amp;TEXT(COUNTA($C$5:C89),"000"))</f>
        <v/>
      </c>
      <c r="C89" s="12" t="n"/>
      <c r="D89" s="12" t="n"/>
      <c r="E89" s="12" t="n"/>
      <c r="F89" s="12" t="n"/>
      <c r="G89" s="27" t="n"/>
      <c r="H89" s="23">
        <f>IF(G89="","",MAX(G89-TODAY(),0))</f>
        <v/>
      </c>
      <c r="I89" s="12" t="n"/>
      <c r="J89" s="12" t="n"/>
      <c r="K89" s="12" t="n"/>
    </row>
    <row r="90" ht="22" customHeight="1">
      <c r="B90" s="16">
        <f>IF(C90="","RAP-"&amp;TEXT(COUNTA($C$5:C90),"000"))</f>
        <v/>
      </c>
      <c r="C90" s="14" t="n"/>
      <c r="D90" s="14" t="n"/>
      <c r="E90" s="14" t="n"/>
      <c r="F90" s="14" t="n"/>
      <c r="G90" s="28" t="n"/>
      <c r="H90" s="24">
        <f>IF(G90="","",MAX(G90-TODAY(),0))</f>
        <v/>
      </c>
      <c r="I90" s="14" t="n"/>
      <c r="J90" s="14" t="n"/>
      <c r="K90" s="14" t="n"/>
    </row>
    <row r="91" ht="22" customHeight="1">
      <c r="B91" s="17">
        <f>IF(C91="","RAP-"&amp;TEXT(COUNTA($C$5:C91),"000"))</f>
        <v/>
      </c>
      <c r="C91" s="12" t="n"/>
      <c r="D91" s="12" t="n"/>
      <c r="E91" s="12" t="n"/>
      <c r="F91" s="12" t="n"/>
      <c r="G91" s="27" t="n"/>
      <c r="H91" s="23">
        <f>IF(G91="","",MAX(G91-TODAY(),0))</f>
        <v/>
      </c>
      <c r="I91" s="12" t="n"/>
      <c r="J91" s="12" t="n"/>
      <c r="K91" s="12" t="n"/>
    </row>
    <row r="92" ht="22" customHeight="1">
      <c r="B92" s="16">
        <f>IF(C92="","RAP-"&amp;TEXT(COUNTA($C$5:C92),"000"))</f>
        <v/>
      </c>
      <c r="C92" s="14" t="n"/>
      <c r="D92" s="14" t="n"/>
      <c r="E92" s="14" t="n"/>
      <c r="F92" s="14" t="n"/>
      <c r="G92" s="28" t="n"/>
      <c r="H92" s="24">
        <f>IF(G92="","",MAX(G92-TODAY(),0))</f>
        <v/>
      </c>
      <c r="I92" s="14" t="n"/>
      <c r="J92" s="14" t="n"/>
      <c r="K92" s="14" t="n"/>
    </row>
    <row r="93" ht="22" customHeight="1">
      <c r="B93" s="17">
        <f>IF(C93="","RAP-"&amp;TEXT(COUNTA($C$5:C93),"000"))</f>
        <v/>
      </c>
      <c r="C93" s="12" t="n"/>
      <c r="D93" s="12" t="n"/>
      <c r="E93" s="12" t="n"/>
      <c r="F93" s="12" t="n"/>
      <c r="G93" s="27" t="n"/>
      <c r="H93" s="23">
        <f>IF(G93="","",MAX(G93-TODAY(),0))</f>
        <v/>
      </c>
      <c r="I93" s="12" t="n"/>
      <c r="J93" s="12" t="n"/>
      <c r="K93" s="12" t="n"/>
    </row>
    <row r="94" ht="22" customHeight="1">
      <c r="B94" s="16">
        <f>IF(C94="","RAP-"&amp;TEXT(COUNTA($C$5:C94),"000"))</f>
        <v/>
      </c>
      <c r="C94" s="14" t="n"/>
      <c r="D94" s="14" t="n"/>
      <c r="E94" s="14" t="n"/>
      <c r="F94" s="14" t="n"/>
      <c r="G94" s="28" t="n"/>
      <c r="H94" s="24">
        <f>IF(G94="","",MAX(G94-TODAY(),0))</f>
        <v/>
      </c>
      <c r="I94" s="14" t="n"/>
      <c r="J94" s="14" t="n"/>
      <c r="K94" s="14" t="n"/>
    </row>
    <row r="95" ht="22" customHeight="1">
      <c r="B95" s="17">
        <f>IF(C95="","RAP-"&amp;TEXT(COUNTA($C$5:C95),"000"))</f>
        <v/>
      </c>
      <c r="C95" s="12" t="n"/>
      <c r="D95" s="12" t="n"/>
      <c r="E95" s="12" t="n"/>
      <c r="F95" s="12" t="n"/>
      <c r="G95" s="27" t="n"/>
      <c r="H95" s="23">
        <f>IF(G95="","",MAX(G95-TODAY(),0))</f>
        <v/>
      </c>
      <c r="I95" s="12" t="n"/>
      <c r="J95" s="12" t="n"/>
      <c r="K95" s="12" t="n"/>
    </row>
    <row r="96" ht="22" customHeight="1">
      <c r="B96" s="16">
        <f>IF(C96="","RAP-"&amp;TEXT(COUNTA($C$5:C96),"000"))</f>
        <v/>
      </c>
      <c r="C96" s="14" t="n"/>
      <c r="D96" s="14" t="n"/>
      <c r="E96" s="14" t="n"/>
      <c r="F96" s="14" t="n"/>
      <c r="G96" s="28" t="n"/>
      <c r="H96" s="24">
        <f>IF(G96="","",MAX(G96-TODAY(),0))</f>
        <v/>
      </c>
      <c r="I96" s="14" t="n"/>
      <c r="J96" s="14" t="n"/>
      <c r="K96" s="14" t="n"/>
    </row>
    <row r="97" ht="22" customHeight="1">
      <c r="B97" s="17">
        <f>IF(C97="","RAP-"&amp;TEXT(COUNTA($C$5:C97),"000"))</f>
        <v/>
      </c>
      <c r="C97" s="12" t="n"/>
      <c r="D97" s="12" t="n"/>
      <c r="E97" s="12" t="n"/>
      <c r="F97" s="12" t="n"/>
      <c r="G97" s="27" t="n"/>
      <c r="H97" s="23">
        <f>IF(G97="","",MAX(G97-TODAY(),0))</f>
        <v/>
      </c>
      <c r="I97" s="12" t="n"/>
      <c r="J97" s="12" t="n"/>
      <c r="K97" s="12" t="n"/>
    </row>
    <row r="98" ht="22" customHeight="1">
      <c r="B98" s="16">
        <f>IF(C98="","RAP-"&amp;TEXT(COUNTA($C$5:C98),"000"))</f>
        <v/>
      </c>
      <c r="C98" s="14" t="n"/>
      <c r="D98" s="14" t="n"/>
      <c r="E98" s="14" t="n"/>
      <c r="F98" s="14" t="n"/>
      <c r="G98" s="28" t="n"/>
      <c r="H98" s="24">
        <f>IF(G98="","",MAX(G98-TODAY(),0))</f>
        <v/>
      </c>
      <c r="I98" s="14" t="n"/>
      <c r="J98" s="14" t="n"/>
      <c r="K98" s="14" t="n"/>
    </row>
    <row r="99" ht="22" customHeight="1">
      <c r="B99" s="17">
        <f>IF(C99="","RAP-"&amp;TEXT(COUNTA($C$5:C99),"000"))</f>
        <v/>
      </c>
      <c r="C99" s="12" t="n"/>
      <c r="D99" s="12" t="n"/>
      <c r="E99" s="12" t="n"/>
      <c r="F99" s="12" t="n"/>
      <c r="G99" s="27" t="n"/>
      <c r="H99" s="23">
        <f>IF(G99="","",MAX(G99-TODAY(),0))</f>
        <v/>
      </c>
      <c r="I99" s="12" t="n"/>
      <c r="J99" s="12" t="n"/>
      <c r="K99" s="12" t="n"/>
    </row>
    <row r="100" ht="22" customHeight="1">
      <c r="B100" s="16">
        <f>IF(C100="","RAP-"&amp;TEXT(COUNTA($C$5:C100),"000"))</f>
        <v/>
      </c>
      <c r="C100" s="14" t="n"/>
      <c r="D100" s="14" t="n"/>
      <c r="E100" s="14" t="n"/>
      <c r="F100" s="14" t="n"/>
      <c r="G100" s="28" t="n"/>
      <c r="H100" s="24">
        <f>IF(G100="","",MAX(G100-TODAY(),0))</f>
        <v/>
      </c>
      <c r="I100" s="14" t="n"/>
      <c r="J100" s="14" t="n"/>
      <c r="K100" s="14" t="n"/>
    </row>
    <row r="101" ht="22" customHeight="1">
      <c r="B101" s="17">
        <f>IF(C101="","RAP-"&amp;TEXT(COUNTA($C$5:C101),"000"))</f>
        <v/>
      </c>
      <c r="C101" s="12" t="n"/>
      <c r="D101" s="12" t="n"/>
      <c r="E101" s="12" t="n"/>
      <c r="F101" s="12" t="n"/>
      <c r="G101" s="27" t="n"/>
      <c r="H101" s="23">
        <f>IF(G101="","",MAX(G101-TODAY(),0))</f>
        <v/>
      </c>
      <c r="I101" s="12" t="n"/>
      <c r="J101" s="12" t="n"/>
      <c r="K101" s="12" t="n"/>
    </row>
    <row r="102" ht="22" customHeight="1">
      <c r="B102" s="16">
        <f>IF(C102="","RAP-"&amp;TEXT(COUNTA($C$5:C102),"000"))</f>
        <v/>
      </c>
      <c r="C102" s="14" t="n"/>
      <c r="D102" s="14" t="n"/>
      <c r="E102" s="14" t="n"/>
      <c r="F102" s="14" t="n"/>
      <c r="G102" s="28" t="n"/>
      <c r="H102" s="24">
        <f>IF(G102="","",MAX(G102-TODAY(),0))</f>
        <v/>
      </c>
      <c r="I102" s="14" t="n"/>
      <c r="J102" s="14" t="n"/>
      <c r="K102" s="14" t="n"/>
    </row>
    <row r="103" ht="22" customHeight="1">
      <c r="B103" s="17">
        <f>IF(C103="","RAP-"&amp;TEXT(COUNTA($C$5:C103),"000"))</f>
        <v/>
      </c>
      <c r="C103" s="12" t="n"/>
      <c r="D103" s="12" t="n"/>
      <c r="E103" s="12" t="n"/>
      <c r="F103" s="12" t="n"/>
      <c r="G103" s="27" t="n"/>
      <c r="H103" s="23">
        <f>IF(G103="","",MAX(G103-TODAY(),0))</f>
        <v/>
      </c>
      <c r="I103" s="12" t="n"/>
      <c r="J103" s="12" t="n"/>
      <c r="K103" s="12" t="n"/>
    </row>
    <row r="104" ht="22" customHeight="1">
      <c r="B104" s="16">
        <f>IF(C104="","RAP-"&amp;TEXT(COUNTA($C$5:C104),"000"))</f>
        <v/>
      </c>
      <c r="C104" s="14" t="n"/>
      <c r="D104" s="14" t="n"/>
      <c r="E104" s="14" t="n"/>
      <c r="F104" s="14" t="n"/>
      <c r="G104" s="28" t="n"/>
      <c r="H104" s="24">
        <f>IF(G104="","",MAX(G104-TODAY(),0))</f>
        <v/>
      </c>
      <c r="I104" s="14" t="n"/>
      <c r="J104" s="14" t="n"/>
      <c r="K104" s="14" t="n"/>
    </row>
    <row r="105" ht="22" customHeight="1">
      <c r="B105" s="17">
        <f>IF(C105="","RAP-"&amp;TEXT(COUNTA($C$5:C105),"000"))</f>
        <v/>
      </c>
      <c r="C105" s="12" t="n"/>
      <c r="D105" s="12" t="n"/>
      <c r="E105" s="12" t="n"/>
      <c r="F105" s="12" t="n"/>
      <c r="G105" s="27" t="n"/>
      <c r="H105" s="23">
        <f>IF(G105="","",MAX(G105-TODAY(),0))</f>
        <v/>
      </c>
      <c r="I105" s="12" t="n"/>
      <c r="J105" s="12" t="n"/>
      <c r="K105" s="12" t="n"/>
    </row>
    <row r="106" ht="22" customHeight="1">
      <c r="B106" s="16">
        <f>IF(C106="","RAP-"&amp;TEXT(COUNTA($C$5:C106),"000"))</f>
        <v/>
      </c>
      <c r="C106" s="14" t="n"/>
      <c r="D106" s="14" t="n"/>
      <c r="E106" s="14" t="n"/>
      <c r="F106" s="14" t="n"/>
      <c r="G106" s="28" t="n"/>
      <c r="H106" s="24">
        <f>IF(G106="","",MAX(G106-TODAY(),0))</f>
        <v/>
      </c>
      <c r="I106" s="14" t="n"/>
      <c r="J106" s="14" t="n"/>
      <c r="K106" s="14" t="n"/>
    </row>
    <row r="107" ht="22" customHeight="1">
      <c r="B107" s="17">
        <f>IF(C107="","RAP-"&amp;TEXT(COUNTA($C$5:C107),"000"))</f>
        <v/>
      </c>
      <c r="C107" s="12" t="n"/>
      <c r="D107" s="12" t="n"/>
      <c r="E107" s="12" t="n"/>
      <c r="F107" s="12" t="n"/>
      <c r="G107" s="27" t="n"/>
      <c r="H107" s="23">
        <f>IF(G107="","",MAX(G107-TODAY(),0))</f>
        <v/>
      </c>
      <c r="I107" s="12" t="n"/>
      <c r="J107" s="12" t="n"/>
      <c r="K107" s="12" t="n"/>
    </row>
    <row r="108" ht="22" customHeight="1">
      <c r="B108" s="16">
        <f>IF(C108="","RAP-"&amp;TEXT(COUNTA($C$5:C108),"000"))</f>
        <v/>
      </c>
      <c r="C108" s="14" t="n"/>
      <c r="D108" s="14" t="n"/>
      <c r="E108" s="14" t="n"/>
      <c r="F108" s="14" t="n"/>
      <c r="G108" s="28" t="n"/>
      <c r="H108" s="24">
        <f>IF(G108="","",MAX(G108-TODAY(),0))</f>
        <v/>
      </c>
      <c r="I108" s="14" t="n"/>
      <c r="J108" s="14" t="n"/>
      <c r="K108" s="14" t="n"/>
    </row>
    <row r="109"/>
    <row r="110">
      <c r="B110" s="6" t="inlineStr">
        <is>
          <t>INDICATEURS (mis a jour automatiquement)</t>
        </is>
      </c>
    </row>
    <row r="111">
      <c r="B111" s="3" t="inlineStr">
        <is>
          <t>Total rappels</t>
        </is>
      </c>
      <c r="D111" s="3" t="inlineStr">
        <is>
          <t>En attente</t>
        </is>
      </c>
      <c r="F111" s="3" t="inlineStr">
        <is>
          <t>En retard</t>
        </is>
      </c>
      <c r="H111" s="3" t="inlineStr">
        <is>
          <t>Traites</t>
        </is>
      </c>
    </row>
    <row r="112">
      <c r="B112" s="4">
        <f>COUNTIF(B5:B104,"&lt;&gt;")</f>
        <v/>
      </c>
      <c r="D112" s="4">
        <f>COUNTIF(I5:I104,"En attente")</f>
        <v/>
      </c>
      <c r="F112" s="4">
        <f>COUNTIF(I5:I104,"En retard")</f>
        <v/>
      </c>
      <c r="H112" s="4">
        <f>COUNTIF(I5:I104,"Traite")</f>
        <v/>
      </c>
    </row>
  </sheetData>
  <mergeCells count="3">
    <mergeCell ref="B110:K110"/>
    <mergeCell ref="B3:K3"/>
    <mergeCell ref="B2:K2"/>
  </mergeCells>
  <conditionalFormatting sqref="I5:I108">
    <cfRule type="cellIs" priority="1" operator="equal" dxfId="0">
      <formula>"Valide"</formula>
    </cfRule>
    <cfRule type="cellIs" priority="2" operator="equal" dxfId="0">
      <formula>"Approuve"</formula>
    </cfRule>
    <cfRule type="cellIs" priority="3" operator="equal" dxfId="0">
      <formula>"Approuvee"</formula>
    </cfRule>
    <cfRule type="cellIs" priority="4" operator="equal" dxfId="0">
      <formula>"Actif"</formula>
    </cfRule>
    <cfRule type="cellIs" priority="5" operator="equal" dxfId="0">
      <formula>"En vigueur"</formula>
    </cfRule>
    <cfRule type="cellIs" priority="6" operator="equal" dxfId="0">
      <formula>"Validee"</formula>
    </cfRule>
    <cfRule type="cellIs" priority="7" operator="equal" dxfId="0">
      <formula>"Payee"</formula>
    </cfRule>
    <cfRule type="cellIs" priority="8" operator="equal" dxfId="0">
      <formula>"Soumise"</formula>
    </cfRule>
    <cfRule type="cellIs" priority="9" operator="equal" dxfId="0">
      <formula>"Traite"</formula>
    </cfRule>
    <cfRule type="cellIs" priority="10" operator="equal" dxfId="0">
      <formula>"Clos"</formula>
    </cfRule>
    <cfRule type="cellIs" priority="11" operator="equal" dxfId="0">
      <formula>"Solde"</formula>
    </cfRule>
    <cfRule type="cellIs" priority="12" operator="equal" dxfId="0">
      <formula>"Pris"</formula>
    </cfRule>
    <cfRule type="cellIs" priority="13" operator="equal" dxfId="1">
      <formula>"En attente"</formula>
    </cfRule>
    <cfRule type="cellIs" priority="14" operator="equal" dxfId="1">
      <formula>"A renouveler"</formula>
    </cfRule>
    <cfRule type="cellIs" priority="15" operator="equal" dxfId="1">
      <formula>"En renouvellement"</formula>
    </cfRule>
    <cfRule type="cellIs" priority="16" operator="equal" dxfId="1">
      <formula>"En cours"</formula>
    </cfRule>
    <cfRule type="cellIs" priority="17" operator="equal" dxfId="1">
      <formula>"En traitement"</formula>
    </cfRule>
    <cfRule type="cellIs" priority="18" operator="equal" dxfId="1">
      <formula>"En retard"</formula>
    </cfRule>
    <cfRule type="cellIs" priority="19" operator="equal" dxfId="1">
      <formula>"Suspendu"</formula>
    </cfRule>
    <cfRule type="cellIs" priority="20" operator="equal" dxfId="1">
      <formula>"A verifier"</formula>
    </cfRule>
    <cfRule type="cellIs" priority="21" operator="equal" dxfId="2">
      <formula>"Expire"</formula>
    </cfRule>
    <cfRule type="cellIs" priority="22" operator="equal" dxfId="2">
      <formula>"Rejete"</formula>
    </cfRule>
    <cfRule type="cellIs" priority="23" operator="equal" dxfId="2">
      <formula>"Rejetee"</formula>
    </cfRule>
    <cfRule type="cellIs" priority="24" operator="equal" dxfId="2">
      <formula>"Resilie"</formula>
    </cfRule>
    <cfRule type="cellIs" priority="25" operator="equal" dxfId="2">
      <formula>"Echu"</formula>
    </cfRule>
    <cfRule type="cellIs" priority="26" operator="equal" dxfId="2">
      <formula>"Refuse"</formula>
    </cfRule>
    <cfRule type="cellIs" priority="27" operator="equal" dxfId="2">
      <formula>"Annulee"</formula>
    </cfRule>
    <cfRule type="cellIs" priority="28" operator="equal" dxfId="2">
      <formula>"Departi"</formula>
    </cfRule>
    <cfRule type="cellIs" priority="29" operator="equal" dxfId="2">
      <formula>"Cloture"</formula>
    </cfRule>
    <cfRule type="cellIs" priority="30" operator="equal" dxfId="2">
      <formula>"Non justifiee"</formula>
    </cfRule>
    <cfRule type="cellIs" priority="31" operator="equal" dxfId="2">
      <formula>"Manquant"</formula>
    </cfRule>
  </conditionalFormatting>
  <conditionalFormatting sqref="B9:B108">
    <cfRule type="expression" priority="32" dxfId="3">
      <formula>AND($C9="",$C8&lt;&gt;"")</formula>
    </cfRule>
  </conditionalFormatting>
  <conditionalFormatting sqref="C9:C108">
    <cfRule type="expression" priority="33" dxfId="3">
      <formula>AND($C9="",$C8&lt;&gt;"")</formula>
    </cfRule>
  </conditionalFormatting>
  <conditionalFormatting sqref="D9:D108">
    <cfRule type="expression" priority="34" dxfId="3">
      <formula>AND($C9="",$C8&lt;&gt;"")</formula>
    </cfRule>
  </conditionalFormatting>
  <conditionalFormatting sqref="E9:E108">
    <cfRule type="expression" priority="35" dxfId="3">
      <formula>AND($C9="",$C8&lt;&gt;"")</formula>
    </cfRule>
  </conditionalFormatting>
  <conditionalFormatting sqref="F9:F108">
    <cfRule type="expression" priority="36" dxfId="3">
      <formula>AND($C9="",$C8&lt;&gt;"")</formula>
    </cfRule>
  </conditionalFormatting>
  <conditionalFormatting sqref="G9:G108">
    <cfRule type="expression" priority="37" dxfId="3">
      <formula>AND($C9="",$C8&lt;&gt;"")</formula>
    </cfRule>
  </conditionalFormatting>
  <conditionalFormatting sqref="H9:H108">
    <cfRule type="expression" priority="38" dxfId="3">
      <formula>AND($C9="",$C8&lt;&gt;"")</formula>
    </cfRule>
  </conditionalFormatting>
  <conditionalFormatting sqref="I9:I108">
    <cfRule type="expression" priority="39" dxfId="3">
      <formula>AND($C9="",$C8&lt;&gt;"")</formula>
    </cfRule>
  </conditionalFormatting>
  <conditionalFormatting sqref="J9:J108">
    <cfRule type="expression" priority="40" dxfId="3">
      <formula>AND($C9="",$C8&lt;&gt;"")</formula>
    </cfRule>
  </conditionalFormatting>
  <conditionalFormatting sqref="K9:K108">
    <cfRule type="expression" priority="41" dxfId="3">
      <formula>AND($C9="",$C8&lt;&gt;"")</formula>
    </cfRule>
  </conditionalFormatting>
  <dataValidations count="2">
    <dataValidation sqref="E5:E108" showDropDown="0" showInputMessage="0" showErrorMessage="0" allowBlank="1" errorTitle="Erreur" error="Valeur invalide" promptTitle="Liste" prompt="Choisir dans la liste" type="list">
      <formula1>'_Lists'!$AL$2:$AL$8</formula1>
    </dataValidation>
    <dataValidation sqref="I5:I108" showDropDown="0" showInputMessage="0" showErrorMessage="0" allowBlank="1" errorTitle="Erreur" error="Valeur invalide" promptTitle="Liste" prompt="Choisir dans la liste" type="list">
      <formula1>'_Lists'!$AM$2:$AM$5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10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22" customWidth="1" min="5" max="5"/>
    <col width="16" customWidth="1" min="6" max="6"/>
    <col width="18" customWidth="1" min="7" max="7"/>
    <col width="18" customWidth="1" min="8" max="8"/>
    <col width="14" customWidth="1" min="9" max="9"/>
    <col width="16" customWidth="1" min="10" max="10"/>
    <col width="12" customWidth="1" min="11" max="11"/>
    <col width="14" customWidth="1" min="12" max="12"/>
    <col width="16" customWidth="1" min="13" max="13"/>
    <col width="14" customWidth="1" min="14" max="14"/>
    <col width="18" customWidth="1" min="15" max="15"/>
    <col width="12" customWidth="1" min="16" max="16"/>
    <col width="22" customWidth="1" min="17" max="17"/>
  </cols>
  <sheetData>
    <row r="1" ht="15" customHeight="1"/>
    <row r="2" ht="32" customHeight="1">
      <c r="B2" s="1" t="inlineStr">
        <is>
          <t>19-Prets Avances Salaire</t>
        </is>
      </c>
    </row>
    <row r="3" ht="8" customHeight="1"/>
    <row r="4" ht="28" customHeight="1">
      <c r="B4" s="11" t="inlineStr">
        <is>
          <t>N°</t>
        </is>
      </c>
      <c r="C4" s="11" t="inlineStr">
        <is>
          <t>Matricule</t>
        </is>
      </c>
      <c r="D4" s="11" t="inlineStr">
        <is>
          <t>Nom Employé</t>
        </is>
      </c>
      <c r="E4" s="11" t="inlineStr">
        <is>
          <t>Département</t>
        </is>
      </c>
      <c r="F4" s="11" t="inlineStr">
        <is>
          <t>Type Prêt</t>
        </is>
      </c>
      <c r="G4" s="11" t="inlineStr">
        <is>
          <t>Montant Demandé (FCFA)</t>
        </is>
      </c>
      <c r="H4" s="11" t="inlineStr">
        <is>
          <t>Montant Accordé (FCFA)</t>
        </is>
      </c>
      <c r="I4" s="11" t="inlineStr">
        <is>
          <t>Taux Intérêt (%)</t>
        </is>
      </c>
      <c r="J4" s="11" t="inlineStr">
        <is>
          <t>Mensualité (FCFA)</t>
        </is>
      </c>
      <c r="K4" s="11" t="inlineStr">
        <is>
          <t>Durée (mois)</t>
        </is>
      </c>
      <c r="L4" s="11" t="inlineStr">
        <is>
          <t>Date Demande</t>
        </is>
      </c>
      <c r="M4" s="11" t="inlineStr">
        <is>
          <t>Date Début Remb.</t>
        </is>
      </c>
      <c r="N4" s="11" t="inlineStr">
        <is>
          <t>Mois Restants</t>
        </is>
      </c>
      <c r="O4" s="11" t="inlineStr">
        <is>
          <t>Solde Restant (FCFA)</t>
        </is>
      </c>
      <c r="P4" s="11" t="inlineStr">
        <is>
          <t>Statut</t>
        </is>
      </c>
      <c r="Q4" s="11" t="inlineStr">
        <is>
          <t>Observations</t>
        </is>
      </c>
    </row>
    <row r="5" ht="22" customHeight="1">
      <c r="B5" s="17" t="inlineStr">
        <is>
          <t>PRT-001</t>
        </is>
      </c>
      <c r="C5" s="17" t="inlineStr">
        <is>
          <t>EMP-001</t>
        </is>
      </c>
      <c r="D5" s="17" t="inlineStr">
        <is>
          <t>Nkoumou Paul</t>
        </is>
      </c>
      <c r="E5" s="17" t="inlineStr">
        <is>
          <t>Direction Generale</t>
        </is>
      </c>
      <c r="F5" s="17" t="inlineStr">
        <is>
          <t>Avance salaire</t>
        </is>
      </c>
      <c r="G5" s="18" t="n">
        <v>50000</v>
      </c>
      <c r="H5" s="18" t="n">
        <v>50000</v>
      </c>
      <c r="I5" s="18" t="n">
        <v>0</v>
      </c>
      <c r="J5" s="18" t="n">
        <v>50000</v>
      </c>
      <c r="K5" s="18" t="n">
        <v>1</v>
      </c>
      <c r="L5" s="36" t="inlineStr">
        <is>
          <t>2025-01-15</t>
        </is>
      </c>
      <c r="M5" s="36" t="inlineStr">
        <is>
          <t>2025-02-01</t>
        </is>
      </c>
      <c r="N5" s="18" t="n">
        <v>0</v>
      </c>
      <c r="O5" s="18" t="n">
        <v>0</v>
      </c>
      <c r="P5" s="17" t="inlineStr">
        <is>
          <t>Solde</t>
        </is>
      </c>
      <c r="Q5" s="17" t="inlineStr">
        <is>
          <t>Déduit fév. 2025</t>
        </is>
      </c>
    </row>
    <row r="6" ht="22" customHeight="1">
      <c r="B6" s="16" t="inlineStr">
        <is>
          <t>PRT-002</t>
        </is>
      </c>
      <c r="C6" s="16" t="inlineStr">
        <is>
          <t>EMP-003</t>
        </is>
      </c>
      <c r="D6" s="16" t="inlineStr">
        <is>
          <t>Mbarga Jean</t>
        </is>
      </c>
      <c r="E6" s="16" t="inlineStr">
        <is>
          <t>Finance &amp; Comptabilité</t>
        </is>
      </c>
      <c r="F6" s="16" t="inlineStr">
        <is>
          <t>Prêt social</t>
        </is>
      </c>
      <c r="G6" s="19" t="n">
        <v>200000</v>
      </c>
      <c r="H6" s="19" t="n">
        <v>200000</v>
      </c>
      <c r="I6" s="19" t="n">
        <v>2</v>
      </c>
      <c r="J6" s="19" t="n">
        <v>34440</v>
      </c>
      <c r="K6" s="19" t="n">
        <v>6</v>
      </c>
      <c r="L6" s="37" t="inlineStr">
        <is>
          <t>2025-02-10</t>
        </is>
      </c>
      <c r="M6" s="37" t="inlineStr">
        <is>
          <t>2025-03-01</t>
        </is>
      </c>
      <c r="N6" s="19" t="n">
        <v>4</v>
      </c>
      <c r="O6" s="19" t="n">
        <v>137760</v>
      </c>
      <c r="P6" s="16" t="inlineStr">
        <is>
          <t>En cours</t>
        </is>
      </c>
      <c r="Q6" s="16" t="inlineStr">
        <is>
          <t>Remb. mensuel auto</t>
        </is>
      </c>
    </row>
    <row r="7" ht="22" customHeight="1">
      <c r="B7" s="17" t="inlineStr">
        <is>
          <t>PRT-003</t>
        </is>
      </c>
      <c r="C7" s="17" t="inlineStr">
        <is>
          <t>EMP-005</t>
        </is>
      </c>
      <c r="D7" s="17" t="inlineStr">
        <is>
          <t>Tchinda Marie</t>
        </is>
      </c>
      <c r="E7" s="17" t="inlineStr">
        <is>
          <t>Service Client</t>
        </is>
      </c>
      <c r="F7" s="17" t="inlineStr">
        <is>
          <t>Avance salaire</t>
        </is>
      </c>
      <c r="G7" s="18" t="n">
        <v>30000</v>
      </c>
      <c r="H7" s="18" t="n">
        <v>30000</v>
      </c>
      <c r="I7" s="18" t="n">
        <v>0</v>
      </c>
      <c r="J7" s="18" t="n">
        <v>30000</v>
      </c>
      <c r="K7" s="18" t="n">
        <v>1</v>
      </c>
      <c r="L7" s="36" t="inlineStr">
        <is>
          <t>2025-03-05</t>
        </is>
      </c>
      <c r="M7" s="36" t="inlineStr">
        <is>
          <t>2025-04-01</t>
        </is>
      </c>
      <c r="N7" s="18" t="n">
        <v>0</v>
      </c>
      <c r="O7" s="18" t="n">
        <v>0</v>
      </c>
      <c r="P7" s="17" t="inlineStr">
        <is>
          <t>Solde</t>
        </is>
      </c>
      <c r="Q7" s="17" t="inlineStr">
        <is>
          <t>Déduit avr. 2025</t>
        </is>
      </c>
    </row>
    <row r="8" ht="22" customHeight="1">
      <c r="B8" s="16" t="inlineStr">
        <is>
          <t>PRT-004</t>
        </is>
      </c>
      <c r="C8" s="16" t="inlineStr">
        <is>
          <t>EMP-007</t>
        </is>
      </c>
      <c r="D8" s="16" t="inlineStr">
        <is>
          <t>Nganou Andre</t>
        </is>
      </c>
      <c r="E8" s="16" t="inlineStr">
        <is>
          <t>Cuisine &amp; Restauration</t>
        </is>
      </c>
      <c r="F8" s="16" t="inlineStr">
        <is>
          <t>Prêt logement</t>
        </is>
      </c>
      <c r="G8" s="19" t="n">
        <v>500000</v>
      </c>
      <c r="H8" s="19" t="n">
        <v>500000</v>
      </c>
      <c r="I8" s="19" t="n">
        <v>1.5</v>
      </c>
      <c r="J8" s="19" t="n">
        <v>42870</v>
      </c>
      <c r="K8" s="19" t="n">
        <v>12</v>
      </c>
      <c r="L8" s="37" t="inlineStr">
        <is>
          <t>2025-01-20</t>
        </is>
      </c>
      <c r="M8" s="37" t="inlineStr">
        <is>
          <t>2025-02-01</t>
        </is>
      </c>
      <c r="N8" s="19" t="n">
        <v>10</v>
      </c>
      <c r="O8" s="19" t="n">
        <v>428700</v>
      </c>
      <c r="P8" s="16" t="inlineStr">
        <is>
          <t>En cours</t>
        </is>
      </c>
      <c r="Q8" s="16" t="inlineStr">
        <is>
          <t>Prêt CT</t>
        </is>
      </c>
    </row>
    <row r="9" ht="22" customHeight="1">
      <c r="B9" s="17" t="inlineStr">
        <is>
          <t>PRT-005</t>
        </is>
      </c>
      <c r="C9" s="17" t="inlineStr">
        <is>
          <t>EMP-010</t>
        </is>
      </c>
      <c r="D9" s="17" t="inlineStr">
        <is>
          <t>Fotso Camille</t>
        </is>
      </c>
      <c r="E9" s="17" t="inlineStr">
        <is>
          <t>Réception &amp; Front Office</t>
        </is>
      </c>
      <c r="F9" s="17" t="inlineStr">
        <is>
          <t>Avance salaire</t>
        </is>
      </c>
      <c r="G9" s="18" t="n">
        <v>40000</v>
      </c>
      <c r="H9" s="18" t="n">
        <v>40000</v>
      </c>
      <c r="I9" s="18" t="n">
        <v>0</v>
      </c>
      <c r="J9" s="18" t="n">
        <v>40000</v>
      </c>
      <c r="K9" s="18" t="n">
        <v>1</v>
      </c>
      <c r="L9" s="36" t="inlineStr">
        <is>
          <t>2025-04-01</t>
        </is>
      </c>
      <c r="M9" s="36" t="inlineStr">
        <is>
          <t>2025-05-01</t>
        </is>
      </c>
      <c r="N9" s="18" t="n">
        <v>0</v>
      </c>
      <c r="O9" s="18" t="n">
        <v>0</v>
      </c>
      <c r="P9" s="17" t="inlineStr">
        <is>
          <t>Solde</t>
        </is>
      </c>
      <c r="Q9" s="17" t="inlineStr">
        <is>
          <t>Déduit mai 2025</t>
        </is>
      </c>
    </row>
    <row r="10" ht="22" customHeight="1">
      <c r="B10" s="38">
        <f>IF(C10="","PRT"&amp;TEXT(COUNTA($C$5:C10),"000"))</f>
        <v/>
      </c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9">
        <f>IF(L10="","",IFERROR(MAX(0,(K10+J10)-MONTH(TODAY())-12*YEAR(TODAY())+MONTH(L10)+12*YEAR(L10)),0))</f>
        <v/>
      </c>
      <c r="O10" s="39">
        <f>IF(H10="","",IFERROR(I10*M10,0))</f>
        <v/>
      </c>
      <c r="P10" s="38" t="n"/>
      <c r="Q10" s="38" t="n"/>
    </row>
    <row r="11" ht="22" customHeight="1">
      <c r="B11" s="12">
        <f>IF(C11="","PRT"&amp;TEXT(COUNTA($C$5:C11),"000"))</f>
        <v/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8">
        <f>IF(L11="","",IFERROR(MAX(0,(K11+J11)-MONTH(TODAY())-12*YEAR(TODAY())+MONTH(L11)+12*YEAR(L11)),0))</f>
        <v/>
      </c>
      <c r="O11" s="18">
        <f>IF(H11="","",IFERROR(I11*M11,0))</f>
        <v/>
      </c>
      <c r="P11" s="12" t="n"/>
      <c r="Q11" s="12" t="n"/>
    </row>
    <row r="12" ht="22" customHeight="1">
      <c r="B12" s="14">
        <f>IF(C12="","PRT"&amp;TEXT(COUNTA($C$5:C12),"000"))</f>
        <v/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9">
        <f>IF(L12="","",IFERROR(MAX(0,(K12+J12)-MONTH(TODAY())-12*YEAR(TODAY())+MONTH(L12)+12*YEAR(L12)),0))</f>
        <v/>
      </c>
      <c r="O12" s="19">
        <f>IF(H12="","",IFERROR(I12*M12,0))</f>
        <v/>
      </c>
      <c r="P12" s="14" t="n"/>
      <c r="Q12" s="14" t="n"/>
    </row>
    <row r="13" ht="22" customHeight="1">
      <c r="B13" s="12">
        <f>IF(C13="","PRT"&amp;TEXT(COUNTA($C$5:C13),"000"))</f>
        <v/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8">
        <f>IF(L13="","",IFERROR(MAX(0,(K13+J13)-MONTH(TODAY())-12*YEAR(TODAY())+MONTH(L13)+12*YEAR(L13)),0))</f>
        <v/>
      </c>
      <c r="O13" s="18">
        <f>IF(H13="","",IFERROR(I13*M13,0))</f>
        <v/>
      </c>
      <c r="P13" s="12" t="n"/>
      <c r="Q13" s="12" t="n"/>
    </row>
    <row r="14" ht="22" customHeight="1">
      <c r="B14" s="14">
        <f>IF(C14="","PRT"&amp;TEXT(COUNTA($C$5:C14),"000"))</f>
        <v/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9">
        <f>IF(L14="","",IFERROR(MAX(0,(K14+J14)-MONTH(TODAY())-12*YEAR(TODAY())+MONTH(L14)+12*YEAR(L14)),0))</f>
        <v/>
      </c>
      <c r="O14" s="19">
        <f>IF(H14="","",IFERROR(I14*M14,0))</f>
        <v/>
      </c>
      <c r="P14" s="14" t="n"/>
      <c r="Q14" s="14" t="n"/>
    </row>
    <row r="15" ht="22" customHeight="1">
      <c r="B15" s="12">
        <f>IF(C15="","PRT"&amp;TEXT(COUNTA($C$5:C15),"000"))</f>
        <v/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8">
        <f>IF(L15="","",IFERROR(MAX(0,(K15+J15)-MONTH(TODAY())-12*YEAR(TODAY())+MONTH(L15)+12*YEAR(L15)),0))</f>
        <v/>
      </c>
      <c r="O15" s="18">
        <f>IF(H15="","",IFERROR(I15*M15,0))</f>
        <v/>
      </c>
      <c r="P15" s="12" t="n"/>
      <c r="Q15" s="12" t="n"/>
    </row>
    <row r="16" ht="22" customHeight="1">
      <c r="B16" s="14">
        <f>IF(C16="","PRT"&amp;TEXT(COUNTA($C$5:C16),"000"))</f>
        <v/>
      </c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9">
        <f>IF(L16="","",IFERROR(MAX(0,(K16+J16)-MONTH(TODAY())-12*YEAR(TODAY())+MONTH(L16)+12*YEAR(L16)),0))</f>
        <v/>
      </c>
      <c r="O16" s="19">
        <f>IF(H16="","",IFERROR(I16*M16,0))</f>
        <v/>
      </c>
      <c r="P16" s="14" t="n"/>
      <c r="Q16" s="14" t="n"/>
    </row>
    <row r="17" ht="22" customHeight="1">
      <c r="B17" s="12">
        <f>IF(C17="","PRT"&amp;TEXT(COUNTA($C$5:C17),"000"))</f>
        <v/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8">
        <f>IF(L17="","",IFERROR(MAX(0,(K17+J17)-MONTH(TODAY())-12*YEAR(TODAY())+MONTH(L17)+12*YEAR(L17)),0))</f>
        <v/>
      </c>
      <c r="O17" s="18">
        <f>IF(H17="","",IFERROR(I17*M17,0))</f>
        <v/>
      </c>
      <c r="P17" s="12" t="n"/>
      <c r="Q17" s="12" t="n"/>
    </row>
    <row r="18" ht="22" customHeight="1">
      <c r="B18" s="14">
        <f>IF(C18="","PRT"&amp;TEXT(COUNTA($C$5:C18),"000"))</f>
        <v/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9">
        <f>IF(L18="","",IFERROR(MAX(0,(K18+J18)-MONTH(TODAY())-12*YEAR(TODAY())+MONTH(L18)+12*YEAR(L18)),0))</f>
        <v/>
      </c>
      <c r="O18" s="19">
        <f>IF(H18="","",IFERROR(I18*M18,0))</f>
        <v/>
      </c>
      <c r="P18" s="14" t="n"/>
      <c r="Q18" s="14" t="n"/>
    </row>
    <row r="19" ht="22" customHeight="1">
      <c r="B19" s="12">
        <f>IF(C19="","PRT"&amp;TEXT(COUNTA($C$5:C19),"000"))</f>
        <v/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8">
        <f>IF(L19="","",IFERROR(MAX(0,(K19+J19)-MONTH(TODAY())-12*YEAR(TODAY())+MONTH(L19)+12*YEAR(L19)),0))</f>
        <v/>
      </c>
      <c r="O19" s="18">
        <f>IF(H19="","",IFERROR(I19*M19,0))</f>
        <v/>
      </c>
      <c r="P19" s="12" t="n"/>
      <c r="Q19" s="12" t="n"/>
    </row>
    <row r="20" ht="22" customHeight="1">
      <c r="B20" s="14">
        <f>IF(C20="","PRT"&amp;TEXT(COUNTA($C$5:C20),"000"))</f>
        <v/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9">
        <f>IF(L20="","",IFERROR(MAX(0,(K20+J20)-MONTH(TODAY())-12*YEAR(TODAY())+MONTH(L20)+12*YEAR(L20)),0))</f>
        <v/>
      </c>
      <c r="O20" s="19">
        <f>IF(H20="","",IFERROR(I20*M20,0))</f>
        <v/>
      </c>
      <c r="P20" s="14" t="n"/>
      <c r="Q20" s="14" t="n"/>
    </row>
    <row r="21" ht="22" customHeight="1">
      <c r="B21" s="12">
        <f>IF(C21="","PRT"&amp;TEXT(COUNTA($C$5:C21),"000"))</f>
        <v/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8">
        <f>IF(L21="","",IFERROR(MAX(0,(K21+J21)-MONTH(TODAY())-12*YEAR(TODAY())+MONTH(L21)+12*YEAR(L21)),0))</f>
        <v/>
      </c>
      <c r="O21" s="18">
        <f>IF(H21="","",IFERROR(I21*M21,0))</f>
        <v/>
      </c>
      <c r="P21" s="12" t="n"/>
      <c r="Q21" s="12" t="n"/>
    </row>
    <row r="22" ht="22" customHeight="1">
      <c r="B22" s="14">
        <f>IF(C22="","PRT"&amp;TEXT(COUNTA($C$5:C22),"000"))</f>
        <v/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9">
        <f>IF(L22="","",IFERROR(MAX(0,(K22+J22)-MONTH(TODAY())-12*YEAR(TODAY())+MONTH(L22)+12*YEAR(L22)),0))</f>
        <v/>
      </c>
      <c r="O22" s="19">
        <f>IF(H22="","",IFERROR(I22*M22,0))</f>
        <v/>
      </c>
      <c r="P22" s="14" t="n"/>
      <c r="Q22" s="14" t="n"/>
    </row>
    <row r="23" ht="22" customHeight="1">
      <c r="B23" s="12">
        <f>IF(C23="","PRT"&amp;TEXT(COUNTA($C$5:C23),"000"))</f>
        <v/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8">
        <f>IF(L23="","",IFERROR(MAX(0,(K23+J23)-MONTH(TODAY())-12*YEAR(TODAY())+MONTH(L23)+12*YEAR(L23)),0))</f>
        <v/>
      </c>
      <c r="O23" s="18">
        <f>IF(H23="","",IFERROR(I23*M23,0))</f>
        <v/>
      </c>
      <c r="P23" s="12" t="n"/>
      <c r="Q23" s="12" t="n"/>
    </row>
    <row r="24" ht="22" customHeight="1">
      <c r="B24" s="14">
        <f>IF(C24="","PRT"&amp;TEXT(COUNTA($C$5:C24),"000"))</f>
        <v/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9">
        <f>IF(L24="","",IFERROR(MAX(0,(K24+J24)-MONTH(TODAY())-12*YEAR(TODAY())+MONTH(L24)+12*YEAR(L24)),0))</f>
        <v/>
      </c>
      <c r="O24" s="19">
        <f>IF(H24="","",IFERROR(I24*M24,0))</f>
        <v/>
      </c>
      <c r="P24" s="14" t="n"/>
      <c r="Q24" s="14" t="n"/>
    </row>
    <row r="25" ht="22" customHeight="1">
      <c r="B25" s="12">
        <f>IF(C25="","PRT"&amp;TEXT(COUNTA($C$5:C25),"000"))</f>
        <v/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8">
        <f>IF(L25="","",IFERROR(MAX(0,(K25+J25)-MONTH(TODAY())-12*YEAR(TODAY())+MONTH(L25)+12*YEAR(L25)),0))</f>
        <v/>
      </c>
      <c r="O25" s="18">
        <f>IF(H25="","",IFERROR(I25*M25,0))</f>
        <v/>
      </c>
      <c r="P25" s="12" t="n"/>
      <c r="Q25" s="12" t="n"/>
    </row>
    <row r="26" ht="22" customHeight="1">
      <c r="B26" s="14">
        <f>IF(C26="","PRT"&amp;TEXT(COUNTA($C$5:C26),"000"))</f>
        <v/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9">
        <f>IF(L26="","",IFERROR(MAX(0,(K26+J26)-MONTH(TODAY())-12*YEAR(TODAY())+MONTH(L26)+12*YEAR(L26)),0))</f>
        <v/>
      </c>
      <c r="O26" s="19">
        <f>IF(H26="","",IFERROR(I26*M26,0))</f>
        <v/>
      </c>
      <c r="P26" s="14" t="n"/>
      <c r="Q26" s="14" t="n"/>
    </row>
    <row r="27" ht="22" customHeight="1">
      <c r="B27" s="12">
        <f>IF(C27="","PRT"&amp;TEXT(COUNTA($C$5:C27),"000"))</f>
        <v/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8">
        <f>IF(L27="","",IFERROR(MAX(0,(K27+J27)-MONTH(TODAY())-12*YEAR(TODAY())+MONTH(L27)+12*YEAR(L27)),0))</f>
        <v/>
      </c>
      <c r="O27" s="18">
        <f>IF(H27="","",IFERROR(I27*M27,0))</f>
        <v/>
      </c>
      <c r="P27" s="12" t="n"/>
      <c r="Q27" s="12" t="n"/>
    </row>
    <row r="28" ht="22" customHeight="1">
      <c r="B28" s="14">
        <f>IF(C28="","PRT"&amp;TEXT(COUNTA($C$5:C28),"000"))</f>
        <v/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9">
        <f>IF(L28="","",IFERROR(MAX(0,(K28+J28)-MONTH(TODAY())-12*YEAR(TODAY())+MONTH(L28)+12*YEAR(L28)),0))</f>
        <v/>
      </c>
      <c r="O28" s="19">
        <f>IF(H28="","",IFERROR(I28*M28,0))</f>
        <v/>
      </c>
      <c r="P28" s="14" t="n"/>
      <c r="Q28" s="14" t="n"/>
    </row>
    <row r="29" ht="22" customHeight="1">
      <c r="B29" s="12">
        <f>IF(C29="","PRT"&amp;TEXT(COUNTA($C$5:C29),"000"))</f>
        <v/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8">
        <f>IF(L29="","",IFERROR(MAX(0,(K29+J29)-MONTH(TODAY())-12*YEAR(TODAY())+MONTH(L29)+12*YEAR(L29)),0))</f>
        <v/>
      </c>
      <c r="O29" s="18">
        <f>IF(H29="","",IFERROR(I29*M29,0))</f>
        <v/>
      </c>
      <c r="P29" s="12" t="n"/>
      <c r="Q29" s="12" t="n"/>
    </row>
    <row r="30" ht="22" customHeight="1">
      <c r="B30" s="14">
        <f>IF(C30="","PRT"&amp;TEXT(COUNTA($C$5:C30),"000"))</f>
        <v/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9">
        <f>IF(L30="","",IFERROR(MAX(0,(K30+J30)-MONTH(TODAY())-12*YEAR(TODAY())+MONTH(L30)+12*YEAR(L30)),0))</f>
        <v/>
      </c>
      <c r="O30" s="19">
        <f>IF(H30="","",IFERROR(I30*M30,0))</f>
        <v/>
      </c>
      <c r="P30" s="14" t="n"/>
      <c r="Q30" s="14" t="n"/>
    </row>
    <row r="31" ht="22" customHeight="1">
      <c r="B31" s="12">
        <f>IF(C31="","PRT"&amp;TEXT(COUNTA($C$5:C31),"000"))</f>
        <v/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8">
        <f>IF(L31="","",IFERROR(MAX(0,(K31+J31)-MONTH(TODAY())-12*YEAR(TODAY())+MONTH(L31)+12*YEAR(L31)),0))</f>
        <v/>
      </c>
      <c r="O31" s="18">
        <f>IF(H31="","",IFERROR(I31*M31,0))</f>
        <v/>
      </c>
      <c r="P31" s="12" t="n"/>
      <c r="Q31" s="12" t="n"/>
    </row>
    <row r="32" ht="22" customHeight="1">
      <c r="B32" s="14">
        <f>IF(C32="","PRT"&amp;TEXT(COUNTA($C$5:C32),"000"))</f>
        <v/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9">
        <f>IF(L32="","",IFERROR(MAX(0,(K32+J32)-MONTH(TODAY())-12*YEAR(TODAY())+MONTH(L32)+12*YEAR(L32)),0))</f>
        <v/>
      </c>
      <c r="O32" s="19">
        <f>IF(H32="","",IFERROR(I32*M32,0))</f>
        <v/>
      </c>
      <c r="P32" s="14" t="n"/>
      <c r="Q32" s="14" t="n"/>
    </row>
    <row r="33" ht="22" customHeight="1">
      <c r="B33" s="12">
        <f>IF(C33="","PRT"&amp;TEXT(COUNTA($C$5:C33),"000"))</f>
        <v/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8">
        <f>IF(L33="","",IFERROR(MAX(0,(K33+J33)-MONTH(TODAY())-12*YEAR(TODAY())+MONTH(L33)+12*YEAR(L33)),0))</f>
        <v/>
      </c>
      <c r="O33" s="18">
        <f>IF(H33="","",IFERROR(I33*M33,0))</f>
        <v/>
      </c>
      <c r="P33" s="12" t="n"/>
      <c r="Q33" s="12" t="n"/>
    </row>
    <row r="34" ht="22" customHeight="1">
      <c r="B34" s="14">
        <f>IF(C34="","PRT"&amp;TEXT(COUNTA($C$5:C34),"000"))</f>
        <v/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9">
        <f>IF(L34="","",IFERROR(MAX(0,(K34+J34)-MONTH(TODAY())-12*YEAR(TODAY())+MONTH(L34)+12*YEAR(L34)),0))</f>
        <v/>
      </c>
      <c r="O34" s="19">
        <f>IF(H34="","",IFERROR(I34*M34,0))</f>
        <v/>
      </c>
      <c r="P34" s="14" t="n"/>
      <c r="Q34" s="14" t="n"/>
    </row>
    <row r="35" ht="22" customHeight="1">
      <c r="B35" s="12">
        <f>IF(C35="","PRT"&amp;TEXT(COUNTA($C$5:C35),"000"))</f>
        <v/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8">
        <f>IF(L35="","",IFERROR(MAX(0,(K35+J35)-MONTH(TODAY())-12*YEAR(TODAY())+MONTH(L35)+12*YEAR(L35)),0))</f>
        <v/>
      </c>
      <c r="O35" s="18">
        <f>IF(H35="","",IFERROR(I35*M35,0))</f>
        <v/>
      </c>
      <c r="P35" s="12" t="n"/>
      <c r="Q35" s="12" t="n"/>
    </row>
    <row r="36" ht="22" customHeight="1">
      <c r="B36" s="14">
        <f>IF(C36="","PRT"&amp;TEXT(COUNTA($C$5:C36),"000"))</f>
        <v/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9">
        <f>IF(L36="","",IFERROR(MAX(0,(K36+J36)-MONTH(TODAY())-12*YEAR(TODAY())+MONTH(L36)+12*YEAR(L36)),0))</f>
        <v/>
      </c>
      <c r="O36" s="19">
        <f>IF(H36="","",IFERROR(I36*M36,0))</f>
        <v/>
      </c>
      <c r="P36" s="14" t="n"/>
      <c r="Q36" s="14" t="n"/>
    </row>
    <row r="37" ht="22" customHeight="1">
      <c r="B37" s="12">
        <f>IF(C37="","PRT"&amp;TEXT(COUNTA($C$5:C37),"000"))</f>
        <v/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8">
        <f>IF(L37="","",IFERROR(MAX(0,(K37+J37)-MONTH(TODAY())-12*YEAR(TODAY())+MONTH(L37)+12*YEAR(L37)),0))</f>
        <v/>
      </c>
      <c r="O37" s="18">
        <f>IF(H37="","",IFERROR(I37*M37,0))</f>
        <v/>
      </c>
      <c r="P37" s="12" t="n"/>
      <c r="Q37" s="12" t="n"/>
    </row>
    <row r="38" ht="22" customHeight="1">
      <c r="B38" s="14">
        <f>IF(C38="","PRT"&amp;TEXT(COUNTA($C$5:C38),"000"))</f>
        <v/>
      </c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9">
        <f>IF(L38="","",IFERROR(MAX(0,(K38+J38)-MONTH(TODAY())-12*YEAR(TODAY())+MONTH(L38)+12*YEAR(L38)),0))</f>
        <v/>
      </c>
      <c r="O38" s="19">
        <f>IF(H38="","",IFERROR(I38*M38,0))</f>
        <v/>
      </c>
      <c r="P38" s="14" t="n"/>
      <c r="Q38" s="14" t="n"/>
    </row>
    <row r="39" ht="22" customHeight="1">
      <c r="B39" s="12">
        <f>IF(C39="","PRT"&amp;TEXT(COUNTA($C$5:C39),"000"))</f>
        <v/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8">
        <f>IF(L39="","",IFERROR(MAX(0,(K39+J39)-MONTH(TODAY())-12*YEAR(TODAY())+MONTH(L39)+12*YEAR(L39)),0))</f>
        <v/>
      </c>
      <c r="O39" s="18">
        <f>IF(H39="","",IFERROR(I39*M39,0))</f>
        <v/>
      </c>
      <c r="P39" s="12" t="n"/>
      <c r="Q39" s="12" t="n"/>
    </row>
    <row r="40" ht="22" customHeight="1">
      <c r="B40" s="14">
        <f>IF(C40="","PRT"&amp;TEXT(COUNTA($C$5:C40),"000"))</f>
        <v/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9">
        <f>IF(L40="","",IFERROR(MAX(0,(K40+J40)-MONTH(TODAY())-12*YEAR(TODAY())+MONTH(L40)+12*YEAR(L40)),0))</f>
        <v/>
      </c>
      <c r="O40" s="19">
        <f>IF(H40="","",IFERROR(I40*M40,0))</f>
        <v/>
      </c>
      <c r="P40" s="14" t="n"/>
      <c r="Q40" s="14" t="n"/>
    </row>
    <row r="41" ht="22" customHeight="1">
      <c r="B41" s="12">
        <f>IF(C41="","PRT"&amp;TEXT(COUNTA($C$5:C41),"000"))</f>
        <v/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8">
        <f>IF(L41="","",IFERROR(MAX(0,(K41+J41)-MONTH(TODAY())-12*YEAR(TODAY())+MONTH(L41)+12*YEAR(L41)),0))</f>
        <v/>
      </c>
      <c r="O41" s="18">
        <f>IF(H41="","",IFERROR(I41*M41,0))</f>
        <v/>
      </c>
      <c r="P41" s="12" t="n"/>
      <c r="Q41" s="12" t="n"/>
    </row>
    <row r="42" ht="22" customHeight="1">
      <c r="B42" s="14">
        <f>IF(C42="","PRT"&amp;TEXT(COUNTA($C$5:C42),"000"))</f>
        <v/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9">
        <f>IF(L42="","",IFERROR(MAX(0,(K42+J42)-MONTH(TODAY())-12*YEAR(TODAY())+MONTH(L42)+12*YEAR(L42)),0))</f>
        <v/>
      </c>
      <c r="O42" s="19">
        <f>IF(H42="","",IFERROR(I42*M42,0))</f>
        <v/>
      </c>
      <c r="P42" s="14" t="n"/>
      <c r="Q42" s="14" t="n"/>
    </row>
    <row r="43" ht="22" customHeight="1">
      <c r="B43" s="12">
        <f>IF(C43="","PRT"&amp;TEXT(COUNTA($C$5:C43),"000"))</f>
        <v/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8">
        <f>IF(L43="","",IFERROR(MAX(0,(K43+J43)-MONTH(TODAY())-12*YEAR(TODAY())+MONTH(L43)+12*YEAR(L43)),0))</f>
        <v/>
      </c>
      <c r="O43" s="18">
        <f>IF(H43="","",IFERROR(I43*M43,0))</f>
        <v/>
      </c>
      <c r="P43" s="12" t="n"/>
      <c r="Q43" s="12" t="n"/>
    </row>
    <row r="44" ht="22" customHeight="1">
      <c r="B44" s="14">
        <f>IF(C44="","PRT"&amp;TEXT(COUNTA($C$5:C44),"000"))</f>
        <v/>
      </c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9">
        <f>IF(L44="","",IFERROR(MAX(0,(K44+J44)-MONTH(TODAY())-12*YEAR(TODAY())+MONTH(L44)+12*YEAR(L44)),0))</f>
        <v/>
      </c>
      <c r="O44" s="19">
        <f>IF(H44="","",IFERROR(I44*M44,0))</f>
        <v/>
      </c>
      <c r="P44" s="14" t="n"/>
      <c r="Q44" s="14" t="n"/>
    </row>
    <row r="45" ht="22" customHeight="1">
      <c r="B45" s="12">
        <f>IF(C45="","PRT"&amp;TEXT(COUNTA($C$5:C45),"000"))</f>
        <v/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8">
        <f>IF(L45="","",IFERROR(MAX(0,(K45+J45)-MONTH(TODAY())-12*YEAR(TODAY())+MONTH(L45)+12*YEAR(L45)),0))</f>
        <v/>
      </c>
      <c r="O45" s="18">
        <f>IF(H45="","",IFERROR(I45*M45,0))</f>
        <v/>
      </c>
      <c r="P45" s="12" t="n"/>
      <c r="Q45" s="12" t="n"/>
    </row>
    <row r="46" ht="22" customHeight="1">
      <c r="B46" s="14">
        <f>IF(C46="","PRT"&amp;TEXT(COUNTA($C$5:C46),"000"))</f>
        <v/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9">
        <f>IF(L46="","",IFERROR(MAX(0,(K46+J46)-MONTH(TODAY())-12*YEAR(TODAY())+MONTH(L46)+12*YEAR(L46)),0))</f>
        <v/>
      </c>
      <c r="O46" s="19">
        <f>IF(H46="","",IFERROR(I46*M46,0))</f>
        <v/>
      </c>
      <c r="P46" s="14" t="n"/>
      <c r="Q46" s="14" t="n"/>
    </row>
    <row r="47" ht="22" customHeight="1">
      <c r="B47" s="12">
        <f>IF(C47="","PRT"&amp;TEXT(COUNTA($C$5:C47),"000"))</f>
        <v/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8">
        <f>IF(L47="","",IFERROR(MAX(0,(K47+J47)-MONTH(TODAY())-12*YEAR(TODAY())+MONTH(L47)+12*YEAR(L47)),0))</f>
        <v/>
      </c>
      <c r="O47" s="18">
        <f>IF(H47="","",IFERROR(I47*M47,0))</f>
        <v/>
      </c>
      <c r="P47" s="12" t="n"/>
      <c r="Q47" s="12" t="n"/>
    </row>
    <row r="48" ht="22" customHeight="1">
      <c r="B48" s="14">
        <f>IF(C48="","PRT"&amp;TEXT(COUNTA($C$5:C48),"000"))</f>
        <v/>
      </c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9">
        <f>IF(L48="","",IFERROR(MAX(0,(K48+J48)-MONTH(TODAY())-12*YEAR(TODAY())+MONTH(L48)+12*YEAR(L48)),0))</f>
        <v/>
      </c>
      <c r="O48" s="19">
        <f>IF(H48="","",IFERROR(I48*M48,0))</f>
        <v/>
      </c>
      <c r="P48" s="14" t="n"/>
      <c r="Q48" s="14" t="n"/>
    </row>
    <row r="49" ht="22" customHeight="1">
      <c r="B49" s="12">
        <f>IF(C49="","PRT"&amp;TEXT(COUNTA($C$5:C49),"000"))</f>
        <v/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8">
        <f>IF(L49="","",IFERROR(MAX(0,(K49+J49)-MONTH(TODAY())-12*YEAR(TODAY())+MONTH(L49)+12*YEAR(L49)),0))</f>
        <v/>
      </c>
      <c r="O49" s="18">
        <f>IF(H49="","",IFERROR(I49*M49,0))</f>
        <v/>
      </c>
      <c r="P49" s="12" t="n"/>
      <c r="Q49" s="12" t="n"/>
    </row>
    <row r="50" ht="22" customHeight="1">
      <c r="B50" s="14">
        <f>IF(C50="","PRT"&amp;TEXT(COUNTA($C$5:C50),"000"))</f>
        <v/>
      </c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9">
        <f>IF(L50="","",IFERROR(MAX(0,(K50+J50)-MONTH(TODAY())-12*YEAR(TODAY())+MONTH(L50)+12*YEAR(L50)),0))</f>
        <v/>
      </c>
      <c r="O50" s="19">
        <f>IF(H50="","",IFERROR(I50*M50,0))</f>
        <v/>
      </c>
      <c r="P50" s="14" t="n"/>
      <c r="Q50" s="14" t="n"/>
    </row>
    <row r="51" ht="22" customHeight="1">
      <c r="B51" s="12">
        <f>IF(C51="","PRT"&amp;TEXT(COUNTA($C$5:C51),"000"))</f>
        <v/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8">
        <f>IF(L51="","",IFERROR(MAX(0,(K51+J51)-MONTH(TODAY())-12*YEAR(TODAY())+MONTH(L51)+12*YEAR(L51)),0))</f>
        <v/>
      </c>
      <c r="O51" s="18">
        <f>IF(H51="","",IFERROR(I51*M51,0))</f>
        <v/>
      </c>
      <c r="P51" s="12" t="n"/>
      <c r="Q51" s="12" t="n"/>
    </row>
    <row r="52" ht="22" customHeight="1">
      <c r="B52" s="14">
        <f>IF(C52="","PRT"&amp;TEXT(COUNTA($C$5:C52),"000"))</f>
        <v/>
      </c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9">
        <f>IF(L52="","",IFERROR(MAX(0,(K52+J52)-MONTH(TODAY())-12*YEAR(TODAY())+MONTH(L52)+12*YEAR(L52)),0))</f>
        <v/>
      </c>
      <c r="O52" s="19">
        <f>IF(H52="","",IFERROR(I52*M52,0))</f>
        <v/>
      </c>
      <c r="P52" s="14" t="n"/>
      <c r="Q52" s="14" t="n"/>
    </row>
    <row r="53" ht="22" customHeight="1">
      <c r="B53" s="12">
        <f>IF(C53="","PRT"&amp;TEXT(COUNTA($C$5:C53),"000"))</f>
        <v/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8">
        <f>IF(L53="","",IFERROR(MAX(0,(K53+J53)-MONTH(TODAY())-12*YEAR(TODAY())+MONTH(L53)+12*YEAR(L53)),0))</f>
        <v/>
      </c>
      <c r="O53" s="18">
        <f>IF(H53="","",IFERROR(I53*M53,0))</f>
        <v/>
      </c>
      <c r="P53" s="12" t="n"/>
      <c r="Q53" s="12" t="n"/>
    </row>
    <row r="54" ht="22" customHeight="1">
      <c r="B54" s="14">
        <f>IF(C54="","PRT"&amp;TEXT(COUNTA($C$5:C54),"000"))</f>
        <v/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9">
        <f>IF(L54="","",IFERROR(MAX(0,(K54+J54)-MONTH(TODAY())-12*YEAR(TODAY())+MONTH(L54)+12*YEAR(L54)),0))</f>
        <v/>
      </c>
      <c r="O54" s="19">
        <f>IF(H54="","",IFERROR(I54*M54,0))</f>
        <v/>
      </c>
      <c r="P54" s="14" t="n"/>
      <c r="Q54" s="14" t="n"/>
    </row>
    <row r="55" ht="22" customHeight="1">
      <c r="B55" s="12">
        <f>IF(C55="","PRT"&amp;TEXT(COUNTA($C$5:C55),"000"))</f>
        <v/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8">
        <f>IF(L55="","",IFERROR(MAX(0,(K55+J55)-MONTH(TODAY())-12*YEAR(TODAY())+MONTH(L55)+12*YEAR(L55)),0))</f>
        <v/>
      </c>
      <c r="O55" s="18">
        <f>IF(H55="","",IFERROR(I55*M55,0))</f>
        <v/>
      </c>
      <c r="P55" s="12" t="n"/>
      <c r="Q55" s="12" t="n"/>
    </row>
    <row r="56" ht="22" customHeight="1">
      <c r="B56" s="14">
        <f>IF(C56="","PRT"&amp;TEXT(COUNTA($C$5:C56),"000"))</f>
        <v/>
      </c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9">
        <f>IF(L56="","",IFERROR(MAX(0,(K56+J56)-MONTH(TODAY())-12*YEAR(TODAY())+MONTH(L56)+12*YEAR(L56)),0))</f>
        <v/>
      </c>
      <c r="O56" s="19">
        <f>IF(H56="","",IFERROR(I56*M56,0))</f>
        <v/>
      </c>
      <c r="P56" s="14" t="n"/>
      <c r="Q56" s="14" t="n"/>
    </row>
    <row r="57" ht="22" customHeight="1">
      <c r="B57" s="12">
        <f>IF(C57="","PRT"&amp;TEXT(COUNTA($C$5:C57),"000"))</f>
        <v/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8">
        <f>IF(L57="","",IFERROR(MAX(0,(K57+J57)-MONTH(TODAY())-12*YEAR(TODAY())+MONTH(L57)+12*YEAR(L57)),0))</f>
        <v/>
      </c>
      <c r="O57" s="18">
        <f>IF(H57="","",IFERROR(I57*M57,0))</f>
        <v/>
      </c>
      <c r="P57" s="12" t="n"/>
      <c r="Q57" s="12" t="n"/>
    </row>
    <row r="58" ht="22" customHeight="1">
      <c r="B58" s="14">
        <f>IF(C58="","PRT"&amp;TEXT(COUNTA($C$5:C58),"000"))</f>
        <v/>
      </c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9">
        <f>IF(L58="","",IFERROR(MAX(0,(K58+J58)-MONTH(TODAY())-12*YEAR(TODAY())+MONTH(L58)+12*YEAR(L58)),0))</f>
        <v/>
      </c>
      <c r="O58" s="19">
        <f>IF(H58="","",IFERROR(I58*M58,0))</f>
        <v/>
      </c>
      <c r="P58" s="14" t="n"/>
      <c r="Q58" s="14" t="n"/>
    </row>
    <row r="59" ht="22" customHeight="1">
      <c r="B59" s="12">
        <f>IF(C59="","PRT"&amp;TEXT(COUNTA($C$5:C59),"000"))</f>
        <v/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8">
        <f>IF(L59="","",IFERROR(MAX(0,(K59+J59)-MONTH(TODAY())-12*YEAR(TODAY())+MONTH(L59)+12*YEAR(L59)),0))</f>
        <v/>
      </c>
      <c r="O59" s="18">
        <f>IF(H59="","",IFERROR(I59*M59,0))</f>
        <v/>
      </c>
      <c r="P59" s="12" t="n"/>
      <c r="Q59" s="12" t="n"/>
    </row>
    <row r="60" ht="22" customHeight="1">
      <c r="B60" s="14">
        <f>IF(C60="","PRT"&amp;TEXT(COUNTA($C$5:C60),"000"))</f>
        <v/>
      </c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9">
        <f>IF(L60="","",IFERROR(MAX(0,(K60+J60)-MONTH(TODAY())-12*YEAR(TODAY())+MONTH(L60)+12*YEAR(L60)),0))</f>
        <v/>
      </c>
      <c r="O60" s="19">
        <f>IF(H60="","",IFERROR(I60*M60,0))</f>
        <v/>
      </c>
      <c r="P60" s="14" t="n"/>
      <c r="Q60" s="14" t="n"/>
    </row>
    <row r="61" ht="22" customHeight="1">
      <c r="B61" s="12">
        <f>IF(C61="","PRT"&amp;TEXT(COUNTA($C$5:C61),"000"))</f>
        <v/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8">
        <f>IF(L61="","",IFERROR(MAX(0,(K61+J61)-MONTH(TODAY())-12*YEAR(TODAY())+MONTH(L61)+12*YEAR(L61)),0))</f>
        <v/>
      </c>
      <c r="O61" s="18">
        <f>IF(H61="","",IFERROR(I61*M61,0))</f>
        <v/>
      </c>
      <c r="P61" s="12" t="n"/>
      <c r="Q61" s="12" t="n"/>
    </row>
    <row r="62" ht="22" customHeight="1">
      <c r="B62" s="14">
        <f>IF(C62="","PRT"&amp;TEXT(COUNTA($C$5:C62),"000"))</f>
        <v/>
      </c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9">
        <f>IF(L62="","",IFERROR(MAX(0,(K62+J62)-MONTH(TODAY())-12*YEAR(TODAY())+MONTH(L62)+12*YEAR(L62)),0))</f>
        <v/>
      </c>
      <c r="O62" s="19">
        <f>IF(H62="","",IFERROR(I62*M62,0))</f>
        <v/>
      </c>
      <c r="P62" s="14" t="n"/>
      <c r="Q62" s="14" t="n"/>
    </row>
    <row r="63" ht="22" customHeight="1">
      <c r="B63" s="12">
        <f>IF(C63="","PRT"&amp;TEXT(COUNTA($C$5:C63),"000"))</f>
        <v/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8">
        <f>IF(L63="","",IFERROR(MAX(0,(K63+J63)-MONTH(TODAY())-12*YEAR(TODAY())+MONTH(L63)+12*YEAR(L63)),0))</f>
        <v/>
      </c>
      <c r="O63" s="18">
        <f>IF(H63="","",IFERROR(I63*M63,0))</f>
        <v/>
      </c>
      <c r="P63" s="12" t="n"/>
      <c r="Q63" s="12" t="n"/>
    </row>
    <row r="64" ht="22" customHeight="1">
      <c r="B64" s="14">
        <f>IF(C64="","PRT"&amp;TEXT(COUNTA($C$5:C64),"000"))</f>
        <v/>
      </c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9">
        <f>IF(L64="","",IFERROR(MAX(0,(K64+J64)-MONTH(TODAY())-12*YEAR(TODAY())+MONTH(L64)+12*YEAR(L64)),0))</f>
        <v/>
      </c>
      <c r="O64" s="19">
        <f>IF(H64="","",IFERROR(I64*M64,0))</f>
        <v/>
      </c>
      <c r="P64" s="14" t="n"/>
      <c r="Q64" s="14" t="n"/>
    </row>
    <row r="65" ht="22" customHeight="1">
      <c r="B65" s="12">
        <f>IF(C65="","PRT"&amp;TEXT(COUNTA($C$5:C65),"000"))</f>
        <v/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8">
        <f>IF(L65="","",IFERROR(MAX(0,(K65+J65)-MONTH(TODAY())-12*YEAR(TODAY())+MONTH(L65)+12*YEAR(L65)),0))</f>
        <v/>
      </c>
      <c r="O65" s="18">
        <f>IF(H65="","",IFERROR(I65*M65,0))</f>
        <v/>
      </c>
      <c r="P65" s="12" t="n"/>
      <c r="Q65" s="12" t="n"/>
    </row>
    <row r="66" ht="22" customHeight="1">
      <c r="B66" s="14">
        <f>IF(C66="","PRT"&amp;TEXT(COUNTA($C$5:C66),"000"))</f>
        <v/>
      </c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9">
        <f>IF(L66="","",IFERROR(MAX(0,(K66+J66)-MONTH(TODAY())-12*YEAR(TODAY())+MONTH(L66)+12*YEAR(L66)),0))</f>
        <v/>
      </c>
      <c r="O66" s="19">
        <f>IF(H66="","",IFERROR(I66*M66,0))</f>
        <v/>
      </c>
      <c r="P66" s="14" t="n"/>
      <c r="Q66" s="14" t="n"/>
    </row>
    <row r="67" ht="22" customHeight="1">
      <c r="B67" s="12">
        <f>IF(C67="","PRT"&amp;TEXT(COUNTA($C$5:C67),"000"))</f>
        <v/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8">
        <f>IF(L67="","",IFERROR(MAX(0,(K67+J67)-MONTH(TODAY())-12*YEAR(TODAY())+MONTH(L67)+12*YEAR(L67)),0))</f>
        <v/>
      </c>
      <c r="O67" s="18">
        <f>IF(H67="","",IFERROR(I67*M67,0))</f>
        <v/>
      </c>
      <c r="P67" s="12" t="n"/>
      <c r="Q67" s="12" t="n"/>
    </row>
    <row r="68" ht="22" customHeight="1">
      <c r="B68" s="14">
        <f>IF(C68="","PRT"&amp;TEXT(COUNTA($C$5:C68),"000"))</f>
        <v/>
      </c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9">
        <f>IF(L68="","",IFERROR(MAX(0,(K68+J68)-MONTH(TODAY())-12*YEAR(TODAY())+MONTH(L68)+12*YEAR(L68)),0))</f>
        <v/>
      </c>
      <c r="O68" s="19">
        <f>IF(H68="","",IFERROR(I68*M68,0))</f>
        <v/>
      </c>
      <c r="P68" s="14" t="n"/>
      <c r="Q68" s="14" t="n"/>
    </row>
    <row r="69" ht="22" customHeight="1">
      <c r="B69" s="12">
        <f>IF(C69="","PRT"&amp;TEXT(COUNTA($C$5:C69),"000"))</f>
        <v/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8">
        <f>IF(L69="","",IFERROR(MAX(0,(K69+J69)-MONTH(TODAY())-12*YEAR(TODAY())+MONTH(L69)+12*YEAR(L69)),0))</f>
        <v/>
      </c>
      <c r="O69" s="18">
        <f>IF(H69="","",IFERROR(I69*M69,0))</f>
        <v/>
      </c>
      <c r="P69" s="12" t="n"/>
      <c r="Q69" s="12" t="n"/>
    </row>
    <row r="70" ht="22" customHeight="1">
      <c r="B70" s="14">
        <f>IF(C70="","PRT"&amp;TEXT(COUNTA($C$5:C70),"000"))</f>
        <v/>
      </c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9">
        <f>IF(L70="","",IFERROR(MAX(0,(K70+J70)-MONTH(TODAY())-12*YEAR(TODAY())+MONTH(L70)+12*YEAR(L70)),0))</f>
        <v/>
      </c>
      <c r="O70" s="19">
        <f>IF(H70="","",IFERROR(I70*M70,0))</f>
        <v/>
      </c>
      <c r="P70" s="14" t="n"/>
      <c r="Q70" s="14" t="n"/>
    </row>
    <row r="71" ht="22" customHeight="1">
      <c r="B71" s="12">
        <f>IF(C71="","PRT"&amp;TEXT(COUNTA($C$5:C71),"000"))</f>
        <v/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8">
        <f>IF(L71="","",IFERROR(MAX(0,(K71+J71)-MONTH(TODAY())-12*YEAR(TODAY())+MONTH(L71)+12*YEAR(L71)),0))</f>
        <v/>
      </c>
      <c r="O71" s="18">
        <f>IF(H71="","",IFERROR(I71*M71,0))</f>
        <v/>
      </c>
      <c r="P71" s="12" t="n"/>
      <c r="Q71" s="12" t="n"/>
    </row>
    <row r="72" ht="22" customHeight="1">
      <c r="B72" s="14">
        <f>IF(C72="","PRT"&amp;TEXT(COUNTA($C$5:C72),"000"))</f>
        <v/>
      </c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9">
        <f>IF(L72="","",IFERROR(MAX(0,(K72+J72)-MONTH(TODAY())-12*YEAR(TODAY())+MONTH(L72)+12*YEAR(L72)),0))</f>
        <v/>
      </c>
      <c r="O72" s="19">
        <f>IF(H72="","",IFERROR(I72*M72,0))</f>
        <v/>
      </c>
      <c r="P72" s="14" t="n"/>
      <c r="Q72" s="14" t="n"/>
    </row>
    <row r="73" ht="22" customHeight="1">
      <c r="B73" s="12">
        <f>IF(C73="","PRT"&amp;TEXT(COUNTA($C$5:C73),"000"))</f>
        <v/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8">
        <f>IF(L73="","",IFERROR(MAX(0,(K73+J73)-MONTH(TODAY())-12*YEAR(TODAY())+MONTH(L73)+12*YEAR(L73)),0))</f>
        <v/>
      </c>
      <c r="O73" s="18">
        <f>IF(H73="","",IFERROR(I73*M73,0))</f>
        <v/>
      </c>
      <c r="P73" s="12" t="n"/>
      <c r="Q73" s="12" t="n"/>
    </row>
    <row r="74" ht="22" customHeight="1">
      <c r="B74" s="14">
        <f>IF(C74="","PRT"&amp;TEXT(COUNTA($C$5:C74),"000"))</f>
        <v/>
      </c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9">
        <f>IF(L74="","",IFERROR(MAX(0,(K74+J74)-MONTH(TODAY())-12*YEAR(TODAY())+MONTH(L74)+12*YEAR(L74)),0))</f>
        <v/>
      </c>
      <c r="O74" s="19">
        <f>IF(H74="","",IFERROR(I74*M74,0))</f>
        <v/>
      </c>
      <c r="P74" s="14" t="n"/>
      <c r="Q74" s="14" t="n"/>
    </row>
    <row r="75" ht="22" customHeight="1">
      <c r="B75" s="12">
        <f>IF(C75="","PRT"&amp;TEXT(COUNTA($C$5:C75),"000"))</f>
        <v/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8">
        <f>IF(L75="","",IFERROR(MAX(0,(K75+J75)-MONTH(TODAY())-12*YEAR(TODAY())+MONTH(L75)+12*YEAR(L75)),0))</f>
        <v/>
      </c>
      <c r="O75" s="18">
        <f>IF(H75="","",IFERROR(I75*M75,0))</f>
        <v/>
      </c>
      <c r="P75" s="12" t="n"/>
      <c r="Q75" s="12" t="n"/>
    </row>
    <row r="76" ht="22" customHeight="1">
      <c r="B76" s="14">
        <f>IF(C76="","PRT"&amp;TEXT(COUNTA($C$5:C76),"000"))</f>
        <v/>
      </c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9">
        <f>IF(L76="","",IFERROR(MAX(0,(K76+J76)-MONTH(TODAY())-12*YEAR(TODAY())+MONTH(L76)+12*YEAR(L76)),0))</f>
        <v/>
      </c>
      <c r="O76" s="19">
        <f>IF(H76="","",IFERROR(I76*M76,0))</f>
        <v/>
      </c>
      <c r="P76" s="14" t="n"/>
      <c r="Q76" s="14" t="n"/>
    </row>
    <row r="77" ht="22" customHeight="1">
      <c r="B77" s="12">
        <f>IF(C77="","PRT"&amp;TEXT(COUNTA($C$5:C77),"000"))</f>
        <v/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8">
        <f>IF(L77="","",IFERROR(MAX(0,(K77+J77)-MONTH(TODAY())-12*YEAR(TODAY())+MONTH(L77)+12*YEAR(L77)),0))</f>
        <v/>
      </c>
      <c r="O77" s="18">
        <f>IF(H77="","",IFERROR(I77*M77,0))</f>
        <v/>
      </c>
      <c r="P77" s="12" t="n"/>
      <c r="Q77" s="12" t="n"/>
    </row>
    <row r="78" ht="22" customHeight="1">
      <c r="B78" s="14">
        <f>IF(C78="","PRT"&amp;TEXT(COUNTA($C$5:C78),"000"))</f>
        <v/>
      </c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9">
        <f>IF(L78="","",IFERROR(MAX(0,(K78+J78)-MONTH(TODAY())-12*YEAR(TODAY())+MONTH(L78)+12*YEAR(L78)),0))</f>
        <v/>
      </c>
      <c r="O78" s="19">
        <f>IF(H78="","",IFERROR(I78*M78,0))</f>
        <v/>
      </c>
      <c r="P78" s="14" t="n"/>
      <c r="Q78" s="14" t="n"/>
    </row>
    <row r="79" ht="22" customHeight="1">
      <c r="B79" s="12">
        <f>IF(C79="","PRT"&amp;TEXT(COUNTA($C$5:C79),"000"))</f>
        <v/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8">
        <f>IF(L79="","",IFERROR(MAX(0,(K79+J79)-MONTH(TODAY())-12*YEAR(TODAY())+MONTH(L79)+12*YEAR(L79)),0))</f>
        <v/>
      </c>
      <c r="O79" s="18">
        <f>IF(H79="","",IFERROR(I79*M79,0))</f>
        <v/>
      </c>
      <c r="P79" s="12" t="n"/>
      <c r="Q79" s="12" t="n"/>
    </row>
    <row r="80" ht="22" customHeight="1">
      <c r="B80" s="14">
        <f>IF(C80="","PRT"&amp;TEXT(COUNTA($C$5:C80),"000"))</f>
        <v/>
      </c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9">
        <f>IF(L80="","",IFERROR(MAX(0,(K80+J80)-MONTH(TODAY())-12*YEAR(TODAY())+MONTH(L80)+12*YEAR(L80)),0))</f>
        <v/>
      </c>
      <c r="O80" s="19">
        <f>IF(H80="","",IFERROR(I80*M80,0))</f>
        <v/>
      </c>
      <c r="P80" s="14" t="n"/>
      <c r="Q80" s="14" t="n"/>
    </row>
    <row r="81" ht="22" customHeight="1">
      <c r="B81" s="12">
        <f>IF(C81="","PRT"&amp;TEXT(COUNTA($C$5:C81),"000"))</f>
        <v/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8">
        <f>IF(L81="","",IFERROR(MAX(0,(K81+J81)-MONTH(TODAY())-12*YEAR(TODAY())+MONTH(L81)+12*YEAR(L81)),0))</f>
        <v/>
      </c>
      <c r="O81" s="18">
        <f>IF(H81="","",IFERROR(I81*M81,0))</f>
        <v/>
      </c>
      <c r="P81" s="12" t="n"/>
      <c r="Q81" s="12" t="n"/>
    </row>
    <row r="82" ht="22" customHeight="1">
      <c r="B82" s="14">
        <f>IF(C82="","PRT"&amp;TEXT(COUNTA($C$5:C82),"000"))</f>
        <v/>
      </c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9">
        <f>IF(L82="","",IFERROR(MAX(0,(K82+J82)-MONTH(TODAY())-12*YEAR(TODAY())+MONTH(L82)+12*YEAR(L82)),0))</f>
        <v/>
      </c>
      <c r="O82" s="19">
        <f>IF(H82="","",IFERROR(I82*M82,0))</f>
        <v/>
      </c>
      <c r="P82" s="14" t="n"/>
      <c r="Q82" s="14" t="n"/>
    </row>
    <row r="83" ht="22" customHeight="1">
      <c r="B83" s="12">
        <f>IF(C83="","PRT"&amp;TEXT(COUNTA($C$5:C83),"000"))</f>
        <v/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8">
        <f>IF(L83="","",IFERROR(MAX(0,(K83+J83)-MONTH(TODAY())-12*YEAR(TODAY())+MONTH(L83)+12*YEAR(L83)),0))</f>
        <v/>
      </c>
      <c r="O83" s="18">
        <f>IF(H83="","",IFERROR(I83*M83,0))</f>
        <v/>
      </c>
      <c r="P83" s="12" t="n"/>
      <c r="Q83" s="12" t="n"/>
    </row>
    <row r="84" ht="22" customHeight="1">
      <c r="B84" s="14">
        <f>IF(C84="","PRT"&amp;TEXT(COUNTA($C$5:C84),"000"))</f>
        <v/>
      </c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9">
        <f>IF(L84="","",IFERROR(MAX(0,(K84+J84)-MONTH(TODAY())-12*YEAR(TODAY())+MONTH(L84)+12*YEAR(L84)),0))</f>
        <v/>
      </c>
      <c r="O84" s="19">
        <f>IF(H84="","",IFERROR(I84*M84,0))</f>
        <v/>
      </c>
      <c r="P84" s="14" t="n"/>
      <c r="Q84" s="14" t="n"/>
    </row>
    <row r="85" ht="22" customHeight="1">
      <c r="B85" s="12">
        <f>IF(C85="","PRT"&amp;TEXT(COUNTA($C$5:C85),"000"))</f>
        <v/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8">
        <f>IF(L85="","",IFERROR(MAX(0,(K85+J85)-MONTH(TODAY())-12*YEAR(TODAY())+MONTH(L85)+12*YEAR(L85)),0))</f>
        <v/>
      </c>
      <c r="O85" s="18">
        <f>IF(H85="","",IFERROR(I85*M85,0))</f>
        <v/>
      </c>
      <c r="P85" s="12" t="n"/>
      <c r="Q85" s="12" t="n"/>
    </row>
    <row r="86" ht="22" customHeight="1">
      <c r="B86" s="14">
        <f>IF(C86="","PRT"&amp;TEXT(COUNTA($C$5:C86),"000"))</f>
        <v/>
      </c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9">
        <f>IF(L86="","",IFERROR(MAX(0,(K86+J86)-MONTH(TODAY())-12*YEAR(TODAY())+MONTH(L86)+12*YEAR(L86)),0))</f>
        <v/>
      </c>
      <c r="O86" s="19">
        <f>IF(H86="","",IFERROR(I86*M86,0))</f>
        <v/>
      </c>
      <c r="P86" s="14" t="n"/>
      <c r="Q86" s="14" t="n"/>
    </row>
    <row r="87" ht="22" customHeight="1">
      <c r="B87" s="12">
        <f>IF(C87="","PRT"&amp;TEXT(COUNTA($C$5:C87),"000"))</f>
        <v/>
      </c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8">
        <f>IF(L87="","",IFERROR(MAX(0,(K87+J87)-MONTH(TODAY())-12*YEAR(TODAY())+MONTH(L87)+12*YEAR(L87)),0))</f>
        <v/>
      </c>
      <c r="O87" s="18">
        <f>IF(H87="","",IFERROR(I87*M87,0))</f>
        <v/>
      </c>
      <c r="P87" s="12" t="n"/>
      <c r="Q87" s="12" t="n"/>
    </row>
    <row r="88" ht="22" customHeight="1">
      <c r="B88" s="14">
        <f>IF(C88="","PRT"&amp;TEXT(COUNTA($C$5:C88),"000"))</f>
        <v/>
      </c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9">
        <f>IF(L88="","",IFERROR(MAX(0,(K88+J88)-MONTH(TODAY())-12*YEAR(TODAY())+MONTH(L88)+12*YEAR(L88)),0))</f>
        <v/>
      </c>
      <c r="O88" s="19">
        <f>IF(H88="","",IFERROR(I88*M88,0))</f>
        <v/>
      </c>
      <c r="P88" s="14" t="n"/>
      <c r="Q88" s="14" t="n"/>
    </row>
    <row r="89" ht="22" customHeight="1">
      <c r="B89" s="12">
        <f>IF(C89="","PRT"&amp;TEXT(COUNTA($C$5:C89),"000"))</f>
        <v/>
      </c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8">
        <f>IF(L89="","",IFERROR(MAX(0,(K89+J89)-MONTH(TODAY())-12*YEAR(TODAY())+MONTH(L89)+12*YEAR(L89)),0))</f>
        <v/>
      </c>
      <c r="O89" s="18">
        <f>IF(H89="","",IFERROR(I89*M89,0))</f>
        <v/>
      </c>
      <c r="P89" s="12" t="n"/>
      <c r="Q89" s="12" t="n"/>
    </row>
    <row r="90" ht="22" customHeight="1">
      <c r="B90" s="14">
        <f>IF(C90="","PRT"&amp;TEXT(COUNTA($C$5:C90),"000"))</f>
        <v/>
      </c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9">
        <f>IF(L90="","",IFERROR(MAX(0,(K90+J90)-MONTH(TODAY())-12*YEAR(TODAY())+MONTH(L90)+12*YEAR(L90)),0))</f>
        <v/>
      </c>
      <c r="O90" s="19">
        <f>IF(H90="","",IFERROR(I90*M90,0))</f>
        <v/>
      </c>
      <c r="P90" s="14" t="n"/>
      <c r="Q90" s="14" t="n"/>
    </row>
    <row r="91" ht="22" customHeight="1">
      <c r="B91" s="12">
        <f>IF(C91="","PRT"&amp;TEXT(COUNTA($C$5:C91),"000"))</f>
        <v/>
      </c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8">
        <f>IF(L91="","",IFERROR(MAX(0,(K91+J91)-MONTH(TODAY())-12*YEAR(TODAY())+MONTH(L91)+12*YEAR(L91)),0))</f>
        <v/>
      </c>
      <c r="O91" s="18">
        <f>IF(H91="","",IFERROR(I91*M91,0))</f>
        <v/>
      </c>
      <c r="P91" s="12" t="n"/>
      <c r="Q91" s="12" t="n"/>
    </row>
    <row r="92" ht="22" customHeight="1">
      <c r="B92" s="14">
        <f>IF(C92="","PRT"&amp;TEXT(COUNTA($C$5:C92),"000"))</f>
        <v/>
      </c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9">
        <f>IF(L92="","",IFERROR(MAX(0,(K92+J92)-MONTH(TODAY())-12*YEAR(TODAY())+MONTH(L92)+12*YEAR(L92)),0))</f>
        <v/>
      </c>
      <c r="O92" s="19">
        <f>IF(H92="","",IFERROR(I92*M92,0))</f>
        <v/>
      </c>
      <c r="P92" s="14" t="n"/>
      <c r="Q92" s="14" t="n"/>
    </row>
    <row r="93" ht="22" customHeight="1">
      <c r="B93" s="12">
        <f>IF(C93="","PRT"&amp;TEXT(COUNTA($C$5:C93),"000"))</f>
        <v/>
      </c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8">
        <f>IF(L93="","",IFERROR(MAX(0,(K93+J93)-MONTH(TODAY())-12*YEAR(TODAY())+MONTH(L93)+12*YEAR(L93)),0))</f>
        <v/>
      </c>
      <c r="O93" s="18">
        <f>IF(H93="","",IFERROR(I93*M93,0))</f>
        <v/>
      </c>
      <c r="P93" s="12" t="n"/>
      <c r="Q93" s="12" t="n"/>
    </row>
    <row r="94" ht="22" customHeight="1">
      <c r="B94" s="14">
        <f>IF(C94="","PRT"&amp;TEXT(COUNTA($C$5:C94),"000"))</f>
        <v/>
      </c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9">
        <f>IF(L94="","",IFERROR(MAX(0,(K94+J94)-MONTH(TODAY())-12*YEAR(TODAY())+MONTH(L94)+12*YEAR(L94)),0))</f>
        <v/>
      </c>
      <c r="O94" s="19">
        <f>IF(H94="","",IFERROR(I94*M94,0))</f>
        <v/>
      </c>
      <c r="P94" s="14" t="n"/>
      <c r="Q94" s="14" t="n"/>
    </row>
    <row r="95" ht="22" customHeight="1">
      <c r="B95" s="12">
        <f>IF(C95="","PRT"&amp;TEXT(COUNTA($C$5:C95),"000"))</f>
        <v/>
      </c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8">
        <f>IF(L95="","",IFERROR(MAX(0,(K95+J95)-MONTH(TODAY())-12*YEAR(TODAY())+MONTH(L95)+12*YEAR(L95)),0))</f>
        <v/>
      </c>
      <c r="O95" s="18">
        <f>IF(H95="","",IFERROR(I95*M95,0))</f>
        <v/>
      </c>
      <c r="P95" s="12" t="n"/>
      <c r="Q95" s="12" t="n"/>
    </row>
    <row r="96" ht="22" customHeight="1">
      <c r="B96" s="14">
        <f>IF(C96="","PRT"&amp;TEXT(COUNTA($C$5:C96),"000"))</f>
        <v/>
      </c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9">
        <f>IF(L96="","",IFERROR(MAX(0,(K96+J96)-MONTH(TODAY())-12*YEAR(TODAY())+MONTH(L96)+12*YEAR(L96)),0))</f>
        <v/>
      </c>
      <c r="O96" s="19">
        <f>IF(H96="","",IFERROR(I96*M96,0))</f>
        <v/>
      </c>
      <c r="P96" s="14" t="n"/>
      <c r="Q96" s="14" t="n"/>
    </row>
    <row r="97" ht="22" customHeight="1">
      <c r="B97" s="12">
        <f>IF(C97="","PRT"&amp;TEXT(COUNTA($C$5:C97),"000"))</f>
        <v/>
      </c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8">
        <f>IF(L97="","",IFERROR(MAX(0,(K97+J97)-MONTH(TODAY())-12*YEAR(TODAY())+MONTH(L97)+12*YEAR(L97)),0))</f>
        <v/>
      </c>
      <c r="O97" s="18">
        <f>IF(H97="","",IFERROR(I97*M97,0))</f>
        <v/>
      </c>
      <c r="P97" s="12" t="n"/>
      <c r="Q97" s="12" t="n"/>
    </row>
    <row r="98" ht="22" customHeight="1">
      <c r="B98" s="14">
        <f>IF(C98="","PRT"&amp;TEXT(COUNTA($C$5:C98),"000"))</f>
        <v/>
      </c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9">
        <f>IF(L98="","",IFERROR(MAX(0,(K98+J98)-MONTH(TODAY())-12*YEAR(TODAY())+MONTH(L98)+12*YEAR(L98)),0))</f>
        <v/>
      </c>
      <c r="O98" s="19">
        <f>IF(H98="","",IFERROR(I98*M98,0))</f>
        <v/>
      </c>
      <c r="P98" s="14" t="n"/>
      <c r="Q98" s="14" t="n"/>
    </row>
    <row r="99" ht="22" customHeight="1">
      <c r="B99" s="12">
        <f>IF(C99="","PRT"&amp;TEXT(COUNTA($C$5:C99),"000"))</f>
        <v/>
      </c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8">
        <f>IF(L99="","",IFERROR(MAX(0,(K99+J99)-MONTH(TODAY())-12*YEAR(TODAY())+MONTH(L99)+12*YEAR(L99)),0))</f>
        <v/>
      </c>
      <c r="O99" s="18">
        <f>IF(H99="","",IFERROR(I99*M99,0))</f>
        <v/>
      </c>
      <c r="P99" s="12" t="n"/>
      <c r="Q99" s="12" t="n"/>
    </row>
    <row r="100" ht="22" customHeight="1">
      <c r="B100" s="14">
        <f>IF(C100="","PRT"&amp;TEXT(COUNTA($C$5:C100),"000"))</f>
        <v/>
      </c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9">
        <f>IF(L100="","",IFERROR(MAX(0,(K100+J100)-MONTH(TODAY())-12*YEAR(TODAY())+MONTH(L100)+12*YEAR(L100)),0))</f>
        <v/>
      </c>
      <c r="O100" s="19">
        <f>IF(H100="","",IFERROR(I100*M100,0))</f>
        <v/>
      </c>
      <c r="P100" s="14" t="n"/>
      <c r="Q100" s="14" t="n"/>
    </row>
    <row r="101" ht="22" customHeight="1">
      <c r="B101" s="12">
        <f>IF(C101="","PRT"&amp;TEXT(COUNTA($C$5:C101),"000"))</f>
        <v/>
      </c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8">
        <f>IF(L101="","",IFERROR(MAX(0,(K101+J101)-MONTH(TODAY())-12*YEAR(TODAY())+MONTH(L101)+12*YEAR(L101)),0))</f>
        <v/>
      </c>
      <c r="O101" s="18">
        <f>IF(H101="","",IFERROR(I101*M101,0))</f>
        <v/>
      </c>
      <c r="P101" s="12" t="n"/>
      <c r="Q101" s="12" t="n"/>
    </row>
    <row r="102" ht="22" customHeight="1">
      <c r="B102" s="14">
        <f>IF(C102="","PRT"&amp;TEXT(COUNTA($C$5:C102),"000"))</f>
        <v/>
      </c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9">
        <f>IF(L102="","",IFERROR(MAX(0,(K102+J102)-MONTH(TODAY())-12*YEAR(TODAY())+MONTH(L102)+12*YEAR(L102)),0))</f>
        <v/>
      </c>
      <c r="O102" s="19">
        <f>IF(H102="","",IFERROR(I102*M102,0))</f>
        <v/>
      </c>
      <c r="P102" s="14" t="n"/>
      <c r="Q102" s="14" t="n"/>
    </row>
    <row r="103" ht="22" customHeight="1">
      <c r="B103" s="12">
        <f>IF(C103="","PRT"&amp;TEXT(COUNTA($C$5:C103),"000"))</f>
        <v/>
      </c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8">
        <f>IF(L103="","",IFERROR(MAX(0,(K103+J103)-MONTH(TODAY())-12*YEAR(TODAY())+MONTH(L103)+12*YEAR(L103)),0))</f>
        <v/>
      </c>
      <c r="O103" s="18">
        <f>IF(H103="","",IFERROR(I103*M103,0))</f>
        <v/>
      </c>
      <c r="P103" s="12" t="n"/>
      <c r="Q103" s="12" t="n"/>
    </row>
    <row r="104" ht="22" customHeight="1">
      <c r="B104" s="14">
        <f>IF(C104="","PRT"&amp;TEXT(COUNTA($C$5:C104),"000"))</f>
        <v/>
      </c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9">
        <f>IF(L104="","",IFERROR(MAX(0,(K104+J104)-MONTH(TODAY())-12*YEAR(TODAY())+MONTH(L104)+12*YEAR(L104)),0))</f>
        <v/>
      </c>
      <c r="O104" s="19">
        <f>IF(H104="","",IFERROR(I104*M104,0))</f>
        <v/>
      </c>
      <c r="P104" s="14" t="n"/>
      <c r="Q104" s="14" t="n"/>
    </row>
    <row r="105"/>
    <row r="106">
      <c r="B106" s="40" t="inlineStr">
        <is>
          <t>KPI Total Prêts (FCFA)</t>
        </is>
      </c>
      <c r="C106" s="40" t="inlineStr">
        <is>
          <t>KPI Encours (FCFA)</t>
        </is>
      </c>
      <c r="D106" s="40" t="inlineStr">
        <is>
          <t>KPI Dossiers Actifs</t>
        </is>
      </c>
      <c r="E106" s="40" t="inlineStr">
        <is>
          <t>KPI En Retard</t>
        </is>
      </c>
    </row>
    <row r="107">
      <c r="B107" s="41">
        <f>SUMPRODUCT((F5:F104&lt;&gt;"")*F5:F104)</f>
        <v/>
      </c>
      <c r="C107" s="41">
        <f>SUM(N5:N104)</f>
        <v/>
      </c>
      <c r="D107" s="42">
        <f>COUNTIF(O5:O104,"En cours")</f>
        <v/>
      </c>
      <c r="E107" s="42">
        <f>COUNTIF(O5:O104,"En retard")</f>
        <v/>
      </c>
    </row>
  </sheetData>
  <mergeCells count="1">
    <mergeCell ref="B2:Q2"/>
  </mergeCells>
  <conditionalFormatting sqref="G5:G104">
    <cfRule type="dataBar" priority="1">
      <dataBar>
        <cfvo type="num" val="0"/>
        <cfvo type="num" val="1"/>
        <color rgb="001B2A4A"/>
      </dataBar>
    </cfRule>
  </conditionalFormatting>
  <conditionalFormatting sqref="H5:H104">
    <cfRule type="dataBar" priority="2">
      <dataBar>
        <cfvo type="num" val="0"/>
        <cfvo type="num" val="1"/>
        <color rgb="001B2A4A"/>
      </dataBar>
    </cfRule>
  </conditionalFormatting>
  <conditionalFormatting sqref="I5:I104">
    <cfRule type="dataBar" priority="3">
      <dataBar>
        <cfvo type="num" val="0"/>
        <cfvo type="num" val="1"/>
        <color rgb="001B2A4A"/>
      </dataBar>
    </cfRule>
  </conditionalFormatting>
  <conditionalFormatting sqref="J5:J104">
    <cfRule type="dataBar" priority="4">
      <dataBar>
        <cfvo type="num" val="0"/>
        <cfvo type="num" val="1"/>
        <color rgb="001B2A4A"/>
      </dataBar>
    </cfRule>
  </conditionalFormatting>
  <conditionalFormatting sqref="K5:K104">
    <cfRule type="dataBar" priority="5">
      <dataBar>
        <cfvo type="num" val="0"/>
        <cfvo type="num" val="1"/>
        <color rgb="001B2A4A"/>
      </dataBar>
    </cfRule>
  </conditionalFormatting>
  <conditionalFormatting sqref="N5:N104">
    <cfRule type="dataBar" priority="6">
      <dataBar>
        <cfvo type="num" val="0"/>
        <cfvo type="num" val="1"/>
        <color rgb="001B2A4A"/>
      </dataBar>
    </cfRule>
  </conditionalFormatting>
  <conditionalFormatting sqref="O5:O104">
    <cfRule type="dataBar" priority="7">
      <dataBar>
        <cfvo type="num" val="0"/>
        <cfvo type="num" val="1"/>
        <color rgb="001B2A4A"/>
      </dataBar>
    </cfRule>
  </conditionalFormatting>
  <conditionalFormatting sqref="P5:P104">
    <cfRule type="cellIs" priority="8" operator="equal" dxfId="0">
      <formula>"Approuve"</formula>
    </cfRule>
    <cfRule type="cellIs" priority="9" operator="equal" dxfId="0">
      <formula>"Paye"</formula>
    </cfRule>
    <cfRule type="cellIs" priority="10" operator="equal" dxfId="0">
      <formula>"Solde"</formula>
    </cfRule>
    <cfRule type="cellIs" priority="11" operator="equal" dxfId="0">
      <formula>"Actif"</formula>
    </cfRule>
    <cfRule type="cellIs" priority="12" operator="equal" dxfId="0">
      <formula>"Valide"</formula>
    </cfRule>
    <cfRule type="cellIs" priority="13" operator="equal" dxfId="2">
      <formula>"Rejete"</formula>
    </cfRule>
    <cfRule type="cellIs" priority="14" operator="equal" dxfId="2">
      <formula>"En retard"</formula>
    </cfRule>
    <cfRule type="cellIs" priority="15" operator="equal" dxfId="2">
      <formula>"Refuse"</formula>
    </cfRule>
    <cfRule type="cellIs" priority="16" operator="equal" dxfId="2">
      <formula>"Echu"</formula>
    </cfRule>
    <cfRule type="cellIs" priority="17" operator="equal" dxfId="1">
      <formula>"En attente"</formula>
    </cfRule>
    <cfRule type="cellIs" priority="18" operator="equal" dxfId="1">
      <formula>"En cours"</formula>
    </cfRule>
    <cfRule type="cellIs" priority="19" operator="equal" dxfId="1">
      <formula>"Partiel"</formula>
    </cfRule>
  </conditionalFormatting>
  <conditionalFormatting sqref="B107">
    <cfRule type="cellIs" priority="20" operator="greaterThan" dxfId="8">
      <formula>0</formula>
    </cfRule>
  </conditionalFormatting>
  <conditionalFormatting sqref="C107">
    <cfRule type="cellIs" priority="21" operator="greaterThan" dxfId="8">
      <formula>0</formula>
    </cfRule>
  </conditionalFormatting>
  <conditionalFormatting sqref="D107">
    <cfRule type="cellIs" priority="22" operator="greaterThan" dxfId="8">
      <formula>0</formula>
    </cfRule>
  </conditionalFormatting>
  <conditionalFormatting sqref="E107">
    <cfRule type="cellIs" priority="23" operator="greaterThan" dxfId="8">
      <formula>0</formula>
    </cfRule>
  </conditionalFormatting>
  <dataValidations count="2">
    <dataValidation sqref="F5:F104" showDropDown="0" showInputMessage="0" showErrorMessage="0" allowBlank="1" type="list">
      <formula1>'_Lists'!$AS$2:$AS$6</formula1>
    </dataValidation>
    <dataValidation sqref="P5:P104" showDropDown="0" showInputMessage="0" showErrorMessage="0" allowBlank="1" type="list">
      <formula1>'_Lists'!$AT$2:$AT$7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10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24" customWidth="1" min="5" max="5"/>
    <col width="20" customWidth="1" min="6" max="6"/>
    <col width="30" customWidth="1" min="7" max="7"/>
    <col width="14" customWidth="1" min="8" max="8"/>
    <col width="16" customWidth="1" min="9" max="9"/>
    <col width="16" customWidth="1" min="10" max="10"/>
    <col width="18" customWidth="1" min="11" max="11"/>
    <col width="26" customWidth="1" min="12" max="12"/>
    <col width="12" customWidth="1" min="13" max="13"/>
    <col width="16" customWidth="1" min="14" max="14"/>
  </cols>
  <sheetData>
    <row r="1" ht="15" customHeight="1"/>
    <row r="2" ht="32" customHeight="1">
      <c r="B2" s="1" t="inlineStr">
        <is>
          <t>20-Sanctions Disciplinaires</t>
        </is>
      </c>
    </row>
    <row r="3" ht="8" customHeight="1"/>
    <row r="4" ht="28" customHeight="1">
      <c r="B4" s="11" t="inlineStr">
        <is>
          <t>N°</t>
        </is>
      </c>
      <c r="C4" s="11" t="inlineStr">
        <is>
          <t>Matricule</t>
        </is>
      </c>
      <c r="D4" s="11" t="inlineStr">
        <is>
          <t>Nom Employé</t>
        </is>
      </c>
      <c r="E4" s="11" t="inlineStr">
        <is>
          <t>Département</t>
        </is>
      </c>
      <c r="F4" s="11" t="inlineStr">
        <is>
          <t>Type Sanction</t>
        </is>
      </c>
      <c r="G4" s="11" t="inlineStr">
        <is>
          <t>Faute Commise</t>
        </is>
      </c>
      <c r="H4" s="11" t="inlineStr">
        <is>
          <t>Date Faute</t>
        </is>
      </c>
      <c r="I4" s="11" t="inlineStr">
        <is>
          <t>Date Notification</t>
        </is>
      </c>
      <c r="J4" s="11" t="inlineStr">
        <is>
          <t>Date Exécution</t>
        </is>
      </c>
      <c r="K4" s="11" t="inlineStr">
        <is>
          <t>Durée Suspension (jrs)</t>
        </is>
      </c>
      <c r="L4" s="11" t="inlineStr">
        <is>
          <t>Observations</t>
        </is>
      </c>
      <c r="M4" s="11" t="inlineStr">
        <is>
          <t>Statut</t>
        </is>
      </c>
      <c r="N4" s="11" t="inlineStr">
        <is>
          <t>Validé Par</t>
        </is>
      </c>
    </row>
    <row r="5" ht="22" customHeight="1">
      <c r="B5" s="17" t="inlineStr">
        <is>
          <t>SAN-001</t>
        </is>
      </c>
      <c r="C5" s="17" t="inlineStr">
        <is>
          <t>EMP-012</t>
        </is>
      </c>
      <c r="D5" s="17" t="inlineStr">
        <is>
          <t>Kamga Pierre</t>
        </is>
      </c>
      <c r="E5" s="17" t="inlineStr">
        <is>
          <t>Service Client</t>
        </is>
      </c>
      <c r="F5" s="17" t="inlineStr">
        <is>
          <t>Avertissement oral</t>
        </is>
      </c>
      <c r="G5" s="17" t="inlineStr">
        <is>
          <t>Retard répété (3 fois en 1 semaine)</t>
        </is>
      </c>
      <c r="H5" s="36" t="inlineStr">
        <is>
          <t>2025-02-15</t>
        </is>
      </c>
      <c r="I5" s="36" t="inlineStr">
        <is>
          <t>2025-02-16</t>
        </is>
      </c>
      <c r="J5" s="36" t="inlineStr">
        <is>
          <t>2025-02-16</t>
        </is>
      </c>
      <c r="K5" s="18" t="n">
        <v>0</v>
      </c>
      <c r="L5" s="17" t="inlineStr">
        <is>
          <t>Premier avertissement</t>
        </is>
      </c>
      <c r="M5" s="17" t="inlineStr">
        <is>
          <t>Exécutee</t>
        </is>
      </c>
      <c r="N5" s="17" t="inlineStr">
        <is>
          <t>Chef de service</t>
        </is>
      </c>
    </row>
    <row r="6" ht="22" customHeight="1">
      <c r="B6" s="16" t="inlineStr">
        <is>
          <t>SAN-002</t>
        </is>
      </c>
      <c r="C6" s="16" t="inlineStr">
        <is>
          <t>EMP-018</t>
        </is>
      </c>
      <c r="D6" s="16" t="inlineStr">
        <is>
          <t>Ekode Simon</t>
        </is>
      </c>
      <c r="E6" s="16" t="inlineStr">
        <is>
          <t>Cuisine &amp; Restauration</t>
        </is>
      </c>
      <c r="F6" s="16" t="inlineStr">
        <is>
          <t>Avertissement écrit</t>
        </is>
      </c>
      <c r="G6" s="16" t="inlineStr">
        <is>
          <t>Non-respect des normes d'hygiène</t>
        </is>
      </c>
      <c r="H6" s="37" t="inlineStr">
        <is>
          <t>2025-03-01</t>
        </is>
      </c>
      <c r="I6" s="37" t="inlineStr">
        <is>
          <t>2025-03-02</t>
        </is>
      </c>
      <c r="J6" s="37" t="inlineStr">
        <is>
          <t>2025-03-02</t>
        </is>
      </c>
      <c r="K6" s="19" t="n">
        <v>0</v>
      </c>
      <c r="L6" s="16" t="inlineStr">
        <is>
          <t>Rappel des procédures HACCP</t>
        </is>
      </c>
      <c r="M6" s="16" t="inlineStr">
        <is>
          <t>Exécutee</t>
        </is>
      </c>
      <c r="N6" s="16" t="inlineStr">
        <is>
          <t>Chef cuisine</t>
        </is>
      </c>
    </row>
    <row r="7" ht="22" customHeight="1">
      <c r="B7" s="17" t="inlineStr">
        <is>
          <t>SAN-003</t>
        </is>
      </c>
      <c r="C7" s="17" t="inlineStr">
        <is>
          <t>EMP-025</t>
        </is>
      </c>
      <c r="D7" s="17" t="inlineStr">
        <is>
          <t>Bouba Amina</t>
        </is>
      </c>
      <c r="E7" s="17" t="inlineStr">
        <is>
          <t>Logistique &amp; Approvisionnement</t>
        </is>
      </c>
      <c r="F7" s="17" t="inlineStr">
        <is>
          <t>Blâme</t>
        </is>
      </c>
      <c r="G7" s="17" t="inlineStr">
        <is>
          <t>Absence injustifiée de 2 jours</t>
        </is>
      </c>
      <c r="H7" s="36" t="inlineStr">
        <is>
          <t>2025-03-20</t>
        </is>
      </c>
      <c r="I7" s="36" t="inlineStr">
        <is>
          <t>2025-03-21</t>
        </is>
      </c>
      <c r="J7" s="36" t="inlineStr"/>
      <c r="K7" s="18" t="n">
        <v>0</v>
      </c>
      <c r="L7" s="17" t="inlineStr">
        <is>
          <t>En attente de justification</t>
        </is>
      </c>
      <c r="M7" s="17" t="inlineStr">
        <is>
          <t>En cours</t>
        </is>
      </c>
      <c r="N7" s="17" t="inlineStr">
        <is>
          <t>DRH</t>
        </is>
      </c>
    </row>
    <row r="8" ht="22" customHeight="1">
      <c r="B8" s="16" t="inlineStr">
        <is>
          <t>SAN-004</t>
        </is>
      </c>
      <c r="C8" s="16" t="inlineStr">
        <is>
          <t>EMP-030</t>
        </is>
      </c>
      <c r="D8" s="16" t="inlineStr">
        <is>
          <t>Hassan Moussa</t>
        </is>
      </c>
      <c r="E8" s="16" t="inlineStr">
        <is>
          <t>Sécurité</t>
        </is>
      </c>
      <c r="F8" s="16" t="inlineStr">
        <is>
          <t>Suspension</t>
        </is>
      </c>
      <c r="G8" s="16" t="inlineStr">
        <is>
          <t>Abandon de poste pendant service</t>
        </is>
      </c>
      <c r="H8" s="37" t="inlineStr">
        <is>
          <t>2025-04-05</t>
        </is>
      </c>
      <c r="I8" s="37" t="inlineStr">
        <is>
          <t>2025-04-06</t>
        </is>
      </c>
      <c r="J8" s="37" t="inlineStr">
        <is>
          <t>2025-04-06</t>
        </is>
      </c>
      <c r="K8" s="19" t="n">
        <v>3</v>
      </c>
      <c r="L8" s="16" t="inlineStr">
        <is>
          <t>Suspension avec retenue de salaire</t>
        </is>
      </c>
      <c r="M8" s="16" t="inlineStr">
        <is>
          <t>Exécutee</t>
        </is>
      </c>
      <c r="N8" s="16" t="inlineStr">
        <is>
          <t>Directeur general</t>
        </is>
      </c>
    </row>
    <row r="9" ht="22" customHeight="1">
      <c r="B9" s="17" t="inlineStr">
        <is>
          <t>SAN-005</t>
        </is>
      </c>
      <c r="C9" s="17" t="inlineStr">
        <is>
          <t>EMP-042</t>
        </is>
      </c>
      <c r="D9" s="17" t="inlineStr">
        <is>
          <t>Tchouankou Marc</t>
        </is>
      </c>
      <c r="E9" s="17" t="inlineStr">
        <is>
          <t>Maintenance</t>
        </is>
      </c>
      <c r="F9" s="17" t="inlineStr">
        <is>
          <t>Mise à pied</t>
        </is>
      </c>
      <c r="G9" s="17" t="inlineStr">
        <is>
          <t>Vol de matériel hôtelier</t>
        </is>
      </c>
      <c r="H9" s="36" t="inlineStr">
        <is>
          <t>2025-04-20</t>
        </is>
      </c>
      <c r="I9" s="36" t="inlineStr">
        <is>
          <t>2025-04-21</t>
        </is>
      </c>
      <c r="J9" s="36" t="inlineStr">
        <is>
          <t>2025-04-22</t>
        </is>
      </c>
      <c r="K9" s="18" t="n">
        <v>0</v>
      </c>
      <c r="L9" s="17" t="inlineStr">
        <is>
          <t>Procédure disciplinaire complète</t>
        </is>
      </c>
      <c r="M9" s="17" t="inlineStr">
        <is>
          <t>Exécutee</t>
        </is>
      </c>
      <c r="N9" s="17" t="inlineStr">
        <is>
          <t>Directeur general</t>
        </is>
      </c>
    </row>
    <row r="10" ht="22" customHeight="1">
      <c r="B10" s="38">
        <f>IF(C10="","SAN"&amp;TEXT(COUNTA($C$5:C10),"000"))</f>
        <v/>
      </c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</row>
    <row r="11" ht="22" customHeight="1">
      <c r="B11" s="12">
        <f>IF(C11="","SAN"&amp;TEXT(COUNTA($C$5:C11),"000"))</f>
        <v/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</row>
    <row r="12" ht="22" customHeight="1">
      <c r="B12" s="14">
        <f>IF(C12="","SAN"&amp;TEXT(COUNTA($C$5:C12),"000"))</f>
        <v/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4" t="n"/>
      <c r="N12" s="14" t="n"/>
    </row>
    <row r="13" ht="22" customHeight="1">
      <c r="B13" s="12">
        <f>IF(C13="","SAN"&amp;TEXT(COUNTA($C$5:C13),"000"))</f>
        <v/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 ht="22" customHeight="1">
      <c r="B14" s="14">
        <f>IF(C14="","SAN"&amp;TEXT(COUNTA($C$5:C14),"000"))</f>
        <v/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4" t="n"/>
      <c r="N14" s="14" t="n"/>
    </row>
    <row r="15" ht="22" customHeight="1">
      <c r="B15" s="12">
        <f>IF(C15="","SAN"&amp;TEXT(COUNTA($C$5:C15),"000"))</f>
        <v/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</row>
    <row r="16" ht="22" customHeight="1">
      <c r="B16" s="14">
        <f>IF(C16="","SAN"&amp;TEXT(COUNTA($C$5:C16),"000"))</f>
        <v/>
      </c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4" t="n"/>
      <c r="N16" s="14" t="n"/>
    </row>
    <row r="17" ht="22" customHeight="1">
      <c r="B17" s="12">
        <f>IF(C17="","SAN"&amp;TEXT(COUNTA($C$5:C17),"000"))</f>
        <v/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</row>
    <row r="18" ht="22" customHeight="1">
      <c r="B18" s="14">
        <f>IF(C18="","SAN"&amp;TEXT(COUNTA($C$5:C18),"000"))</f>
        <v/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4" t="n"/>
      <c r="N18" s="14" t="n"/>
    </row>
    <row r="19" ht="22" customHeight="1">
      <c r="B19" s="12">
        <f>IF(C19="","SAN"&amp;TEXT(COUNTA($C$5:C19),"000"))</f>
        <v/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</row>
    <row r="20" ht="22" customHeight="1">
      <c r="B20" s="14">
        <f>IF(C20="","SAN"&amp;TEXT(COUNTA($C$5:C20),"000"))</f>
        <v/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4" t="n"/>
      <c r="N20" s="14" t="n"/>
    </row>
    <row r="21" ht="22" customHeight="1">
      <c r="B21" s="12">
        <f>IF(C21="","SAN"&amp;TEXT(COUNTA($C$5:C21),"000"))</f>
        <v/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</row>
    <row r="22" ht="22" customHeight="1">
      <c r="B22" s="14">
        <f>IF(C22="","SAN"&amp;TEXT(COUNTA($C$5:C22),"000"))</f>
        <v/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4" t="n"/>
      <c r="N22" s="14" t="n"/>
    </row>
    <row r="23" ht="22" customHeight="1">
      <c r="B23" s="12">
        <f>IF(C23="","SAN"&amp;TEXT(COUNTA($C$5:C23),"000"))</f>
        <v/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 ht="22" customHeight="1">
      <c r="B24" s="14">
        <f>IF(C24="","SAN"&amp;TEXT(COUNTA($C$5:C24),"000"))</f>
        <v/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  <c r="N24" s="14" t="n"/>
    </row>
    <row r="25" ht="22" customHeight="1">
      <c r="B25" s="12">
        <f>IF(C25="","SAN"&amp;TEXT(COUNTA($C$5:C25),"000"))</f>
        <v/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</row>
    <row r="26" ht="22" customHeight="1">
      <c r="B26" s="14">
        <f>IF(C26="","SAN"&amp;TEXT(COUNTA($C$5:C26),"000"))</f>
        <v/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4" t="n"/>
      <c r="N26" s="14" t="n"/>
    </row>
    <row r="27" ht="22" customHeight="1">
      <c r="B27" s="12">
        <f>IF(C27="","SAN"&amp;TEXT(COUNTA($C$5:C27),"000"))</f>
        <v/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</row>
    <row r="28" ht="22" customHeight="1">
      <c r="B28" s="14">
        <f>IF(C28="","SAN"&amp;TEXT(COUNTA($C$5:C28),"000"))</f>
        <v/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</row>
    <row r="29" ht="22" customHeight="1">
      <c r="B29" s="12">
        <f>IF(C29="","SAN"&amp;TEXT(COUNTA($C$5:C29),"000"))</f>
        <v/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 ht="22" customHeight="1">
      <c r="B30" s="14">
        <f>IF(C30="","SAN"&amp;TEXT(COUNTA($C$5:C30),"000"))</f>
        <v/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4" t="n"/>
      <c r="N30" s="14" t="n"/>
    </row>
    <row r="31" ht="22" customHeight="1">
      <c r="B31" s="12">
        <f>IF(C31="","SAN"&amp;TEXT(COUNTA($C$5:C31),"000"))</f>
        <v/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</row>
    <row r="32" ht="22" customHeight="1">
      <c r="B32" s="14">
        <f>IF(C32="","SAN"&amp;TEXT(COUNTA($C$5:C32),"000"))</f>
        <v/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</row>
    <row r="33" ht="22" customHeight="1">
      <c r="B33" s="12">
        <f>IF(C33="","SAN"&amp;TEXT(COUNTA($C$5:C33),"000"))</f>
        <v/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 ht="22" customHeight="1">
      <c r="B34" s="14">
        <f>IF(C34="","SAN"&amp;TEXT(COUNTA($C$5:C34),"000"))</f>
        <v/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4" t="n"/>
      <c r="N34" s="14" t="n"/>
    </row>
    <row r="35" ht="22" customHeight="1">
      <c r="B35" s="12">
        <f>IF(C35="","SAN"&amp;TEXT(COUNTA($C$5:C35),"000"))</f>
        <v/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 ht="22" customHeight="1">
      <c r="B36" s="14">
        <f>IF(C36="","SAN"&amp;TEXT(COUNTA($C$5:C36),"000"))</f>
        <v/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4" t="n"/>
      <c r="N36" s="14" t="n"/>
    </row>
    <row r="37" ht="22" customHeight="1">
      <c r="B37" s="12">
        <f>IF(C37="","SAN"&amp;TEXT(COUNTA($C$5:C37),"000"))</f>
        <v/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 ht="22" customHeight="1">
      <c r="B38" s="14">
        <f>IF(C38="","SAN"&amp;TEXT(COUNTA($C$5:C38),"000"))</f>
        <v/>
      </c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4" t="n"/>
      <c r="N38" s="14" t="n"/>
    </row>
    <row r="39" ht="22" customHeight="1">
      <c r="B39" s="12">
        <f>IF(C39="","SAN"&amp;TEXT(COUNTA($C$5:C39),"000"))</f>
        <v/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</row>
    <row r="40" ht="22" customHeight="1">
      <c r="B40" s="14">
        <f>IF(C40="","SAN"&amp;TEXT(COUNTA($C$5:C40),"000"))</f>
        <v/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4" t="n"/>
      <c r="N40" s="14" t="n"/>
    </row>
    <row r="41" ht="22" customHeight="1">
      <c r="B41" s="12">
        <f>IF(C41="","SAN"&amp;TEXT(COUNTA($C$5:C41),"000"))</f>
        <v/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</row>
    <row r="42" ht="22" customHeight="1">
      <c r="B42" s="14">
        <f>IF(C42="","SAN"&amp;TEXT(COUNTA($C$5:C42),"000"))</f>
        <v/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4" t="n"/>
      <c r="N42" s="14" t="n"/>
    </row>
    <row r="43" ht="22" customHeight="1">
      <c r="B43" s="12">
        <f>IF(C43="","SAN"&amp;TEXT(COUNTA($C$5:C43),"000"))</f>
        <v/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</row>
    <row r="44" ht="22" customHeight="1">
      <c r="B44" s="14">
        <f>IF(C44="","SAN"&amp;TEXT(COUNTA($C$5:C44),"000"))</f>
        <v/>
      </c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4" t="n"/>
      <c r="N44" s="14" t="n"/>
    </row>
    <row r="45" ht="22" customHeight="1">
      <c r="B45" s="12">
        <f>IF(C45="","SAN"&amp;TEXT(COUNTA($C$5:C45),"000"))</f>
        <v/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 ht="22" customHeight="1">
      <c r="B46" s="14">
        <f>IF(C46="","SAN"&amp;TEXT(COUNTA($C$5:C46),"000"))</f>
        <v/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4" t="n"/>
      <c r="N46" s="14" t="n"/>
    </row>
    <row r="47" ht="22" customHeight="1">
      <c r="B47" s="12">
        <f>IF(C47="","SAN"&amp;TEXT(COUNTA($C$5:C47),"000"))</f>
        <v/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 ht="22" customHeight="1">
      <c r="B48" s="14">
        <f>IF(C48="","SAN"&amp;TEXT(COUNTA($C$5:C48),"000"))</f>
        <v/>
      </c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4" t="n"/>
      <c r="N48" s="14" t="n"/>
    </row>
    <row r="49" ht="22" customHeight="1">
      <c r="B49" s="12">
        <f>IF(C49="","SAN"&amp;TEXT(COUNTA($C$5:C49),"000"))</f>
        <v/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</row>
    <row r="50" ht="22" customHeight="1">
      <c r="B50" s="14">
        <f>IF(C50="","SAN"&amp;TEXT(COUNTA($C$5:C50),"000"))</f>
        <v/>
      </c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4" t="n"/>
      <c r="N50" s="14" t="n"/>
    </row>
    <row r="51" ht="22" customHeight="1">
      <c r="B51" s="12">
        <f>IF(C51="","SAN"&amp;TEXT(COUNTA($C$5:C51),"000"))</f>
        <v/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 ht="22" customHeight="1">
      <c r="B52" s="14">
        <f>IF(C52="","SAN"&amp;TEXT(COUNTA($C$5:C52),"000"))</f>
        <v/>
      </c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4" t="n"/>
      <c r="N52" s="14" t="n"/>
    </row>
    <row r="53" ht="22" customHeight="1">
      <c r="B53" s="12">
        <f>IF(C53="","SAN"&amp;TEXT(COUNTA($C$5:C53),"000"))</f>
        <v/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</row>
    <row r="54" ht="22" customHeight="1">
      <c r="B54" s="14">
        <f>IF(C54="","SAN"&amp;TEXT(COUNTA($C$5:C54),"000"))</f>
        <v/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4" t="n"/>
      <c r="N54" s="14" t="n"/>
    </row>
    <row r="55" ht="22" customHeight="1">
      <c r="B55" s="12">
        <f>IF(C55="","SAN"&amp;TEXT(COUNTA($C$5:C55),"000"))</f>
        <v/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</row>
    <row r="56" ht="22" customHeight="1">
      <c r="B56" s="14">
        <f>IF(C56="","SAN"&amp;TEXT(COUNTA($C$5:C56),"000"))</f>
        <v/>
      </c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4" t="n"/>
      <c r="N56" s="14" t="n"/>
    </row>
    <row r="57" ht="22" customHeight="1">
      <c r="B57" s="12">
        <f>IF(C57="","SAN"&amp;TEXT(COUNTA($C$5:C57),"000"))</f>
        <v/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 ht="22" customHeight="1">
      <c r="B58" s="14">
        <f>IF(C58="","SAN"&amp;TEXT(COUNTA($C$5:C58),"000"))</f>
        <v/>
      </c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4" t="n"/>
      <c r="N58" s="14" t="n"/>
    </row>
    <row r="59" ht="22" customHeight="1">
      <c r="B59" s="12">
        <f>IF(C59="","SAN"&amp;TEXT(COUNTA($C$5:C59),"000"))</f>
        <v/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</row>
    <row r="60" ht="22" customHeight="1">
      <c r="B60" s="14">
        <f>IF(C60="","SAN"&amp;TEXT(COUNTA($C$5:C60),"000"))</f>
        <v/>
      </c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4" t="n"/>
      <c r="N60" s="14" t="n"/>
    </row>
    <row r="61" ht="22" customHeight="1">
      <c r="B61" s="12">
        <f>IF(C61="","SAN"&amp;TEXT(COUNTA($C$5:C61),"000"))</f>
        <v/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</row>
    <row r="62" ht="22" customHeight="1">
      <c r="B62" s="14">
        <f>IF(C62="","SAN"&amp;TEXT(COUNTA($C$5:C62),"000"))</f>
        <v/>
      </c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  <c r="N62" s="14" t="n"/>
    </row>
    <row r="63" ht="22" customHeight="1">
      <c r="B63" s="12">
        <f>IF(C63="","SAN"&amp;TEXT(COUNTA($C$5:C63),"000"))</f>
        <v/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</row>
    <row r="64" ht="22" customHeight="1">
      <c r="B64" s="14">
        <f>IF(C64="","SAN"&amp;TEXT(COUNTA($C$5:C64),"000"))</f>
        <v/>
      </c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4" t="n"/>
      <c r="N64" s="14" t="n"/>
    </row>
    <row r="65" ht="22" customHeight="1">
      <c r="B65" s="12">
        <f>IF(C65="","SAN"&amp;TEXT(COUNTA($C$5:C65),"000"))</f>
        <v/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</row>
    <row r="66" ht="22" customHeight="1">
      <c r="B66" s="14">
        <f>IF(C66="","SAN"&amp;TEXT(COUNTA($C$5:C66),"000"))</f>
        <v/>
      </c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4" t="n"/>
      <c r="N66" s="14" t="n"/>
    </row>
    <row r="67" ht="22" customHeight="1">
      <c r="B67" s="12">
        <f>IF(C67="","SAN"&amp;TEXT(COUNTA($C$5:C67),"000"))</f>
        <v/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</row>
    <row r="68" ht="22" customHeight="1">
      <c r="B68" s="14">
        <f>IF(C68="","SAN"&amp;TEXT(COUNTA($C$5:C68),"000"))</f>
        <v/>
      </c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4" t="n"/>
      <c r="N68" s="14" t="n"/>
    </row>
    <row r="69" ht="22" customHeight="1">
      <c r="B69" s="12">
        <f>IF(C69="","SAN"&amp;TEXT(COUNTA($C$5:C69),"000"))</f>
        <v/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 ht="22" customHeight="1">
      <c r="B70" s="14">
        <f>IF(C70="","SAN"&amp;TEXT(COUNTA($C$5:C70),"000"))</f>
        <v/>
      </c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4" t="n"/>
      <c r="N70" s="14" t="n"/>
    </row>
    <row r="71" ht="22" customHeight="1">
      <c r="B71" s="12">
        <f>IF(C71="","SAN"&amp;TEXT(COUNTA($C$5:C71),"000"))</f>
        <v/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</row>
    <row r="72" ht="22" customHeight="1">
      <c r="B72" s="14">
        <f>IF(C72="","SAN"&amp;TEXT(COUNTA($C$5:C72),"000"))</f>
        <v/>
      </c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4" t="n"/>
      <c r="N72" s="14" t="n"/>
    </row>
    <row r="73" ht="22" customHeight="1">
      <c r="B73" s="12">
        <f>IF(C73="","SAN"&amp;TEXT(COUNTA($C$5:C73),"000"))</f>
        <v/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 ht="22" customHeight="1">
      <c r="B74" s="14">
        <f>IF(C74="","SAN"&amp;TEXT(COUNTA($C$5:C74),"000"))</f>
        <v/>
      </c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4" t="n"/>
      <c r="N74" s="14" t="n"/>
    </row>
    <row r="75" ht="22" customHeight="1">
      <c r="B75" s="12">
        <f>IF(C75="","SAN"&amp;TEXT(COUNTA($C$5:C75),"000"))</f>
        <v/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</row>
    <row r="76" ht="22" customHeight="1">
      <c r="B76" s="14">
        <f>IF(C76="","SAN"&amp;TEXT(COUNTA($C$5:C76),"000"))</f>
        <v/>
      </c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4" t="n"/>
      <c r="N76" s="14" t="n"/>
    </row>
    <row r="77" ht="22" customHeight="1">
      <c r="B77" s="12">
        <f>IF(C77="","SAN"&amp;TEXT(COUNTA($C$5:C77),"000"))</f>
        <v/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</row>
    <row r="78" ht="22" customHeight="1">
      <c r="B78" s="14">
        <f>IF(C78="","SAN"&amp;TEXT(COUNTA($C$5:C78),"000"))</f>
        <v/>
      </c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4" t="n"/>
      <c r="N78" s="14" t="n"/>
    </row>
    <row r="79" ht="22" customHeight="1">
      <c r="B79" s="12">
        <f>IF(C79="","SAN"&amp;TEXT(COUNTA($C$5:C79),"000"))</f>
        <v/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</row>
    <row r="80" ht="22" customHeight="1">
      <c r="B80" s="14">
        <f>IF(C80="","SAN"&amp;TEXT(COUNTA($C$5:C80),"000"))</f>
        <v/>
      </c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4" t="n"/>
      <c r="N80" s="14" t="n"/>
    </row>
    <row r="81" ht="22" customHeight="1">
      <c r="B81" s="12">
        <f>IF(C81="","SAN"&amp;TEXT(COUNTA($C$5:C81),"000"))</f>
        <v/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</row>
    <row r="82" ht="22" customHeight="1">
      <c r="B82" s="14">
        <f>IF(C82="","SAN"&amp;TEXT(COUNTA($C$5:C82),"000"))</f>
        <v/>
      </c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4" t="n"/>
      <c r="N82" s="14" t="n"/>
    </row>
    <row r="83" ht="22" customHeight="1">
      <c r="B83" s="12">
        <f>IF(C83="","SAN"&amp;TEXT(COUNTA($C$5:C83),"000"))</f>
        <v/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</row>
    <row r="84" ht="22" customHeight="1">
      <c r="B84" s="14">
        <f>IF(C84="","SAN"&amp;TEXT(COUNTA($C$5:C84),"000"))</f>
        <v/>
      </c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4" t="n"/>
      <c r="N84" s="14" t="n"/>
    </row>
    <row r="85" ht="22" customHeight="1">
      <c r="B85" s="12">
        <f>IF(C85="","SAN"&amp;TEXT(COUNTA($C$5:C85),"000"))</f>
        <v/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</row>
    <row r="86" ht="22" customHeight="1">
      <c r="B86" s="14">
        <f>IF(C86="","SAN"&amp;TEXT(COUNTA($C$5:C86),"000"))</f>
        <v/>
      </c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4" t="n"/>
      <c r="N86" s="14" t="n"/>
    </row>
    <row r="87" ht="22" customHeight="1">
      <c r="B87" s="12">
        <f>IF(C87="","SAN"&amp;TEXT(COUNTA($C$5:C87),"000"))</f>
        <v/>
      </c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</row>
    <row r="88" ht="22" customHeight="1">
      <c r="B88" s="14">
        <f>IF(C88="","SAN"&amp;TEXT(COUNTA($C$5:C88),"000"))</f>
        <v/>
      </c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4" t="n"/>
      <c r="N88" s="14" t="n"/>
    </row>
    <row r="89" ht="22" customHeight="1">
      <c r="B89" s="12">
        <f>IF(C89="","SAN"&amp;TEXT(COUNTA($C$5:C89),"000"))</f>
        <v/>
      </c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</row>
    <row r="90" ht="22" customHeight="1">
      <c r="B90" s="14">
        <f>IF(C90="","SAN"&amp;TEXT(COUNTA($C$5:C90),"000"))</f>
        <v/>
      </c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4" t="n"/>
      <c r="N90" s="14" t="n"/>
    </row>
    <row r="91" ht="22" customHeight="1">
      <c r="B91" s="12">
        <f>IF(C91="","SAN"&amp;TEXT(COUNTA($C$5:C91),"000"))</f>
        <v/>
      </c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</row>
    <row r="92" ht="22" customHeight="1">
      <c r="B92" s="14">
        <f>IF(C92="","SAN"&amp;TEXT(COUNTA($C$5:C92),"000"))</f>
        <v/>
      </c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4" t="n"/>
      <c r="N92" s="14" t="n"/>
    </row>
    <row r="93" ht="22" customHeight="1">
      <c r="B93" s="12">
        <f>IF(C93="","SAN"&amp;TEXT(COUNTA($C$5:C93),"000"))</f>
        <v/>
      </c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</row>
    <row r="94" ht="22" customHeight="1">
      <c r="B94" s="14">
        <f>IF(C94="","SAN"&amp;TEXT(COUNTA($C$5:C94),"000"))</f>
        <v/>
      </c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4" t="n"/>
      <c r="N94" s="14" t="n"/>
    </row>
    <row r="95" ht="22" customHeight="1">
      <c r="B95" s="12">
        <f>IF(C95="","SAN"&amp;TEXT(COUNTA($C$5:C95),"000"))</f>
        <v/>
      </c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</row>
    <row r="96" ht="22" customHeight="1">
      <c r="B96" s="14">
        <f>IF(C96="","SAN"&amp;TEXT(COUNTA($C$5:C96),"000"))</f>
        <v/>
      </c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4" t="n"/>
      <c r="N96" s="14" t="n"/>
    </row>
    <row r="97" ht="22" customHeight="1">
      <c r="B97" s="12">
        <f>IF(C97="","SAN"&amp;TEXT(COUNTA($C$5:C97),"000"))</f>
        <v/>
      </c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</row>
    <row r="98" ht="22" customHeight="1">
      <c r="B98" s="14">
        <f>IF(C98="","SAN"&amp;TEXT(COUNTA($C$5:C98),"000"))</f>
        <v/>
      </c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4" t="n"/>
      <c r="N98" s="14" t="n"/>
    </row>
    <row r="99" ht="22" customHeight="1">
      <c r="B99" s="12">
        <f>IF(C99="","SAN"&amp;TEXT(COUNTA($C$5:C99),"000"))</f>
        <v/>
      </c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</row>
    <row r="100" ht="22" customHeight="1">
      <c r="B100" s="14">
        <f>IF(C100="","SAN"&amp;TEXT(COUNTA($C$5:C100),"000"))</f>
        <v/>
      </c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4" t="n"/>
      <c r="N100" s="14" t="n"/>
    </row>
    <row r="101" ht="22" customHeight="1">
      <c r="B101" s="12">
        <f>IF(C101="","SAN"&amp;TEXT(COUNTA($C$5:C101),"000"))</f>
        <v/>
      </c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</row>
    <row r="102" ht="22" customHeight="1">
      <c r="B102" s="14">
        <f>IF(C102="","SAN"&amp;TEXT(COUNTA($C$5:C102),"000"))</f>
        <v/>
      </c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4" t="n"/>
      <c r="N102" s="14" t="n"/>
    </row>
    <row r="103" ht="22" customHeight="1">
      <c r="B103" s="12">
        <f>IF(C103="","SAN"&amp;TEXT(COUNTA($C$5:C103),"000"))</f>
        <v/>
      </c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</row>
    <row r="104" ht="22" customHeight="1">
      <c r="B104" s="14">
        <f>IF(C104="","SAN"&amp;TEXT(COUNTA($C$5:C104),"000"))</f>
        <v/>
      </c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4" t="n"/>
      <c r="N104" s="14" t="n"/>
    </row>
    <row r="105"/>
    <row r="106">
      <c r="B106" s="40" t="inlineStr">
        <is>
          <t>KPI Total Sanctions</t>
        </is>
      </c>
      <c r="C106" s="40" t="inlineStr">
        <is>
          <t>KPI Avertissements</t>
        </is>
      </c>
      <c r="D106" s="40" t="inlineStr">
        <is>
          <t>KPI Suspensions</t>
        </is>
      </c>
      <c r="E106" s="40" t="inlineStr">
        <is>
          <t>KPI En Cours</t>
        </is>
      </c>
    </row>
    <row r="107">
      <c r="B107" s="42">
        <f>COUNTA(C5:C104)</f>
        <v/>
      </c>
      <c r="C107" s="42">
        <f>COUNTIF(E5:E104,"Avertissement oral")+COUNTIF(E5:E104,"Avertissement écrit")</f>
        <v/>
      </c>
      <c r="D107" s="42">
        <f>COUNTIF(E5:E104,"Suspension")</f>
        <v/>
      </c>
      <c r="E107" s="42">
        <f>COUNTIF(L5:L104,"En cours")</f>
        <v/>
      </c>
    </row>
  </sheetData>
  <mergeCells count="1">
    <mergeCell ref="B2:N2"/>
  </mergeCells>
  <conditionalFormatting sqref="K5:K104">
    <cfRule type="dataBar" priority="1">
      <dataBar>
        <cfvo type="num" val="0"/>
        <cfvo type="num" val="1"/>
        <color rgb="001B2A4A"/>
      </dataBar>
    </cfRule>
  </conditionalFormatting>
  <conditionalFormatting sqref="M5:M104">
    <cfRule type="cellIs" priority="2" operator="equal" dxfId="0">
      <formula>"Approuve"</formula>
    </cfRule>
    <cfRule type="cellIs" priority="3" operator="equal" dxfId="0">
      <formula>"Paye"</formula>
    </cfRule>
    <cfRule type="cellIs" priority="4" operator="equal" dxfId="0">
      <formula>"Solde"</formula>
    </cfRule>
    <cfRule type="cellIs" priority="5" operator="equal" dxfId="0">
      <formula>"Actif"</formula>
    </cfRule>
    <cfRule type="cellIs" priority="6" operator="equal" dxfId="0">
      <formula>"Valide"</formula>
    </cfRule>
    <cfRule type="cellIs" priority="7" operator="equal" dxfId="2">
      <formula>"Rejete"</formula>
    </cfRule>
    <cfRule type="cellIs" priority="8" operator="equal" dxfId="2">
      <formula>"En retard"</formula>
    </cfRule>
    <cfRule type="cellIs" priority="9" operator="equal" dxfId="2">
      <formula>"Refuse"</formula>
    </cfRule>
    <cfRule type="cellIs" priority="10" operator="equal" dxfId="2">
      <formula>"Echu"</formula>
    </cfRule>
    <cfRule type="cellIs" priority="11" operator="equal" dxfId="1">
      <formula>"En attente"</formula>
    </cfRule>
    <cfRule type="cellIs" priority="12" operator="equal" dxfId="1">
      <formula>"En cours"</formula>
    </cfRule>
    <cfRule type="cellIs" priority="13" operator="equal" dxfId="1">
      <formula>"Partiel"</formula>
    </cfRule>
  </conditionalFormatting>
  <conditionalFormatting sqref="B107">
    <cfRule type="cellIs" priority="14" operator="greaterThan" dxfId="8">
      <formula>0</formula>
    </cfRule>
  </conditionalFormatting>
  <conditionalFormatting sqref="C107">
    <cfRule type="cellIs" priority="15" operator="greaterThan" dxfId="8">
      <formula>0</formula>
    </cfRule>
  </conditionalFormatting>
  <conditionalFormatting sqref="D107">
    <cfRule type="cellIs" priority="16" operator="greaterThan" dxfId="8">
      <formula>0</formula>
    </cfRule>
  </conditionalFormatting>
  <conditionalFormatting sqref="E107">
    <cfRule type="cellIs" priority="17" operator="greaterThan" dxfId="8">
      <formula>0</formula>
    </cfRule>
  </conditionalFormatting>
  <dataValidations count="2">
    <dataValidation sqref="F5:F104" showDropDown="0" showInputMessage="0" showErrorMessage="0" allowBlank="1" type="list">
      <formula1>'_Lists'!$AU$2:$AU$8</formula1>
    </dataValidation>
    <dataValidation sqref="M5:M104" showDropDown="0" showInputMessage="0" showErrorMessage="0" allowBlank="1" type="list">
      <formula1>'_Lists'!$AV$2:$AV$6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10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24" customWidth="1" min="5" max="5"/>
    <col width="18" customWidth="1" min="6" max="6"/>
    <col width="24" customWidth="1" min="7" max="7"/>
    <col width="14" customWidth="1" min="8" max="8"/>
    <col width="18" customWidth="1" min="9" max="9"/>
    <col width="14" customWidth="1" min="10" max="10"/>
    <col width="14" customWidth="1" min="11" max="11"/>
    <col width="20" customWidth="1" min="12" max="12"/>
    <col width="24" customWidth="1" min="13" max="13"/>
    <col width="14" customWidth="1" min="14" max="14"/>
    <col width="14" customWidth="1" min="15" max="15"/>
    <col width="24" customWidth="1" min="16" max="16"/>
  </cols>
  <sheetData>
    <row r="1" ht="15" customHeight="1"/>
    <row r="2" ht="32" customHeight="1">
      <c r="B2" s="1" t="inlineStr">
        <is>
          <t>21-Visites Medicales</t>
        </is>
      </c>
    </row>
    <row r="3" ht="8" customHeight="1"/>
    <row r="4" ht="28" customHeight="1">
      <c r="B4" s="11" t="inlineStr">
        <is>
          <t>N°</t>
        </is>
      </c>
      <c r="C4" s="11" t="inlineStr">
        <is>
          <t>Matricule</t>
        </is>
      </c>
      <c r="D4" s="11" t="inlineStr">
        <is>
          <t>Nom Employé</t>
        </is>
      </c>
      <c r="E4" s="11" t="inlineStr">
        <is>
          <t>Département</t>
        </is>
      </c>
      <c r="F4" s="11" t="inlineStr">
        <is>
          <t>Type Visite</t>
        </is>
      </c>
      <c r="G4" s="11" t="inlineStr">
        <is>
          <t>Médecin / Structure</t>
        </is>
      </c>
      <c r="H4" s="11" t="inlineStr">
        <is>
          <t>Date Visite</t>
        </is>
      </c>
      <c r="I4" s="11" t="inlineStr">
        <is>
          <t>Date Prochaine Visite</t>
        </is>
      </c>
      <c r="J4" s="11" t="inlineStr">
        <is>
          <t>Jours Restants</t>
        </is>
      </c>
      <c r="K4" s="11" t="inlineStr">
        <is>
          <t>Résultat</t>
        </is>
      </c>
      <c r="L4" s="11" t="inlineStr">
        <is>
          <t>Aptitude</t>
        </is>
      </c>
      <c r="M4" s="11" t="inlineStr">
        <is>
          <t>Restrictions</t>
        </is>
      </c>
      <c r="N4" s="11" t="inlineStr">
        <is>
          <t>Coût (FCFA)</t>
        </is>
      </c>
      <c r="O4" s="11" t="inlineStr">
        <is>
          <t>Pris en Charge</t>
        </is>
      </c>
      <c r="P4" s="11" t="inlineStr">
        <is>
          <t>Observations</t>
        </is>
      </c>
    </row>
    <row r="5" ht="22" customHeight="1">
      <c r="B5" s="17" t="inlineStr">
        <is>
          <t>VIS-001</t>
        </is>
      </c>
      <c r="C5" s="17" t="inlineStr">
        <is>
          <t>EMP-001</t>
        </is>
      </c>
      <c r="D5" s="17" t="inlineStr">
        <is>
          <t>Nkoumou Paul</t>
        </is>
      </c>
      <c r="E5" s="17" t="inlineStr">
        <is>
          <t>Direction Generale</t>
        </is>
      </c>
      <c r="F5" s="17" t="inlineStr">
        <is>
          <t>Visite embauche</t>
        </is>
      </c>
      <c r="G5" s="17" t="inlineStr">
        <is>
          <t>Dr. Nganou - CMP Douala</t>
        </is>
      </c>
      <c r="H5" s="36" t="inlineStr">
        <is>
          <t>2024-01-10</t>
        </is>
      </c>
      <c r="I5" s="36" t="inlineStr">
        <is>
          <t>2025-01-10</t>
        </is>
      </c>
      <c r="J5" s="18" t="n">
        <v>0</v>
      </c>
      <c r="K5" s="17" t="inlineStr">
        <is>
          <t>Normal</t>
        </is>
      </c>
      <c r="L5" s="17" t="inlineStr">
        <is>
          <t>Apte</t>
        </is>
      </c>
      <c r="M5" s="17" t="inlineStr">
        <is>
          <t>Aucune</t>
        </is>
      </c>
      <c r="N5" s="18" t="n">
        <v>15000</v>
      </c>
      <c r="O5" s="17" t="inlineStr">
        <is>
          <t>Oui</t>
        </is>
      </c>
      <c r="P5" s="17" t="inlineStr">
        <is>
          <t>Bilan complet OK</t>
        </is>
      </c>
    </row>
    <row r="6" ht="22" customHeight="1">
      <c r="B6" s="16" t="inlineStr">
        <is>
          <t>VIS-002</t>
        </is>
      </c>
      <c r="C6" s="16" t="inlineStr">
        <is>
          <t>EMP-003</t>
        </is>
      </c>
      <c r="D6" s="16" t="inlineStr">
        <is>
          <t>Mbarga Jean</t>
        </is>
      </c>
      <c r="E6" s="16" t="inlineStr">
        <is>
          <t>Finance &amp; Comptabilité</t>
        </is>
      </c>
      <c r="F6" s="16" t="inlineStr">
        <is>
          <t>Visite périodique</t>
        </is>
      </c>
      <c r="G6" s="16" t="inlineStr">
        <is>
          <t>Dr. Fotso - Clinique Bastos</t>
        </is>
      </c>
      <c r="H6" s="37" t="inlineStr">
        <is>
          <t>2025-03-15</t>
        </is>
      </c>
      <c r="I6" s="37" t="inlineStr">
        <is>
          <t>2026-03-15</t>
        </is>
      </c>
      <c r="J6" s="19" t="n">
        <v>0</v>
      </c>
      <c r="K6" s="16" t="inlineStr">
        <is>
          <t>Normal</t>
        </is>
      </c>
      <c r="L6" s="16" t="inlineStr">
        <is>
          <t>Apte</t>
        </is>
      </c>
      <c r="M6" s="16" t="inlineStr">
        <is>
          <t>Aucune</t>
        </is>
      </c>
      <c r="N6" s="19" t="n">
        <v>20000</v>
      </c>
      <c r="O6" s="16" t="inlineStr">
        <is>
          <t>Oui</t>
        </is>
      </c>
      <c r="P6" s="16" t="inlineStr">
        <is>
          <t>RAS</t>
        </is>
      </c>
    </row>
    <row r="7" ht="22" customHeight="1">
      <c r="B7" s="17" t="inlineStr">
        <is>
          <t>VIS-003</t>
        </is>
      </c>
      <c r="C7" s="17" t="inlineStr">
        <is>
          <t>EMP-008</t>
        </is>
      </c>
      <c r="D7" s="17" t="inlineStr">
        <is>
          <t>Djoumessi Francoise</t>
        </is>
      </c>
      <c r="E7" s="17" t="inlineStr">
        <is>
          <t>Cuisine &amp; Restauration</t>
        </is>
      </c>
      <c r="F7" s="17" t="inlineStr">
        <is>
          <t>Visite reprise</t>
        </is>
      </c>
      <c r="G7" s="17" t="inlineStr">
        <is>
          <t>Dr. Nganou - CMP Douala</t>
        </is>
      </c>
      <c r="H7" s="36" t="inlineStr">
        <is>
          <t>2025-04-01</t>
        </is>
      </c>
      <c r="I7" s="36" t="inlineStr">
        <is>
          <t>2025-10-01</t>
        </is>
      </c>
      <c r="J7" s="18" t="n">
        <v>0</v>
      </c>
      <c r="K7" s="17" t="inlineStr">
        <is>
          <t>Convalescence</t>
        </is>
      </c>
      <c r="L7" s="17" t="inlineStr">
        <is>
          <t>Apte avec restrictions</t>
        </is>
      </c>
      <c r="M7" s="17" t="inlineStr">
        <is>
          <t>Port de charge limité 10kg</t>
        </is>
      </c>
      <c r="N7" s="18" t="n">
        <v>25000</v>
      </c>
      <c r="O7" s="17" t="inlineStr">
        <is>
          <t>Oui</t>
        </is>
      </c>
      <c r="P7" s="17" t="inlineStr">
        <is>
          <t>Reprise après congé maternité</t>
        </is>
      </c>
    </row>
    <row r="8" ht="22" customHeight="1">
      <c r="B8" s="16" t="inlineStr">
        <is>
          <t>VIS-004</t>
        </is>
      </c>
      <c r="C8" s="16" t="inlineStr">
        <is>
          <t>EMP-015</t>
        </is>
      </c>
      <c r="D8" s="16" t="inlineStr">
        <is>
          <t>Ngassa Brice</t>
        </is>
      </c>
      <c r="E8" s="16" t="inlineStr">
        <is>
          <t>Maintenance</t>
        </is>
      </c>
      <c r="F8" s="16" t="inlineStr">
        <is>
          <t>Visite embauche</t>
        </is>
      </c>
      <c r="G8" s="16" t="inlineStr">
        <is>
          <t>Dr. Tchinda - Hôpital Laquintinie</t>
        </is>
      </c>
      <c r="H8" s="37" t="inlineStr">
        <is>
          <t>2025-05-01</t>
        </is>
      </c>
      <c r="I8" s="37" t="inlineStr">
        <is>
          <t>2026-05-01</t>
        </is>
      </c>
      <c r="J8" s="19" t="n">
        <v>0</v>
      </c>
      <c r="K8" s="16" t="inlineStr">
        <is>
          <t>Normal</t>
        </is>
      </c>
      <c r="L8" s="16" t="inlineStr">
        <is>
          <t>Apte</t>
        </is>
      </c>
      <c r="M8" s="16" t="inlineStr">
        <is>
          <t>Port EPI obligatoire</t>
        </is>
      </c>
      <c r="N8" s="19" t="n">
        <v>15000</v>
      </c>
      <c r="O8" s="16" t="inlineStr">
        <is>
          <t>Non</t>
        </is>
      </c>
      <c r="P8" s="16" t="inlineStr">
        <is>
          <t>Exposition produits chimiques</t>
        </is>
      </c>
    </row>
    <row r="9" ht="22" customHeight="1">
      <c r="B9" s="17" t="inlineStr">
        <is>
          <t>VIS-005</t>
        </is>
      </c>
      <c r="C9" s="17" t="inlineStr">
        <is>
          <t>EMP-020</t>
        </is>
      </c>
      <c r="D9" s="17" t="inlineStr">
        <is>
          <t>Atangana Sarah</t>
        </is>
      </c>
      <c r="E9" s="17" t="inlineStr">
        <is>
          <t>Service Client</t>
        </is>
      </c>
      <c r="F9" s="17" t="inlineStr">
        <is>
          <t>Visite périodique</t>
        </is>
      </c>
      <c r="G9" s="17" t="inlineStr">
        <is>
          <t>Dr. Fotso - Clinique Bastos</t>
        </is>
      </c>
      <c r="H9" s="36" t="inlineStr">
        <is>
          <t>2025-02-20</t>
        </is>
      </c>
      <c r="I9" s="36" t="inlineStr">
        <is>
          <t>2026-02-20</t>
        </is>
      </c>
      <c r="J9" s="18" t="n">
        <v>0</v>
      </c>
      <c r="K9" s="17" t="inlineStr">
        <is>
          <t>Normal</t>
        </is>
      </c>
      <c r="L9" s="17" t="inlineStr">
        <is>
          <t>Apte</t>
        </is>
      </c>
      <c r="M9" s="17" t="inlineStr">
        <is>
          <t>Aucune</t>
        </is>
      </c>
      <c r="N9" s="18" t="n">
        <v>20000</v>
      </c>
      <c r="O9" s="17" t="inlineStr">
        <is>
          <t>Oui</t>
        </is>
      </c>
      <c r="P9" s="17" t="inlineStr">
        <is>
          <t>RAS</t>
        </is>
      </c>
    </row>
    <row r="10" ht="22" customHeight="1">
      <c r="B10" s="38">
        <f>IF(C10="","VIS"&amp;TEXT(COUNTA($C$5:C10),"000"))</f>
        <v/>
      </c>
      <c r="C10" s="38" t="n"/>
      <c r="D10" s="38" t="n"/>
      <c r="E10" s="38" t="n"/>
      <c r="F10" s="38" t="n"/>
      <c r="G10" s="38" t="n"/>
      <c r="H10" s="38" t="n"/>
      <c r="I10" s="38" t="n"/>
      <c r="J10" s="39">
        <f>IF(H10="","",IFERROR(MAX(H10-TODAY(),0),0))</f>
        <v/>
      </c>
      <c r="K10" s="38" t="n"/>
      <c r="L10" s="38" t="n"/>
      <c r="M10" s="38" t="n"/>
      <c r="N10" s="38" t="n"/>
      <c r="O10" s="38" t="n"/>
      <c r="P10" s="38" t="n"/>
    </row>
    <row r="11" ht="22" customHeight="1">
      <c r="B11" s="12">
        <f>IF(C11="","VIS"&amp;TEXT(COUNTA($C$5:C11),"000"))</f>
        <v/>
      </c>
      <c r="C11" s="12" t="n"/>
      <c r="D11" s="12" t="n"/>
      <c r="E11" s="12" t="n"/>
      <c r="F11" s="12" t="n"/>
      <c r="G11" s="12" t="n"/>
      <c r="H11" s="12" t="n"/>
      <c r="I11" s="12" t="n"/>
      <c r="J11" s="18">
        <f>IF(H11="","",IFERROR(MAX(H11-TODAY(),0),0))</f>
        <v/>
      </c>
      <c r="K11" s="12" t="n"/>
      <c r="L11" s="12" t="n"/>
      <c r="M11" s="12" t="n"/>
      <c r="N11" s="12" t="n"/>
      <c r="O11" s="12" t="n"/>
      <c r="P11" s="12" t="n"/>
    </row>
    <row r="12" ht="22" customHeight="1">
      <c r="B12" s="14">
        <f>IF(C12="","VIS"&amp;TEXT(COUNTA($C$5:C12),"000"))</f>
        <v/>
      </c>
      <c r="C12" s="14" t="n"/>
      <c r="D12" s="14" t="n"/>
      <c r="E12" s="14" t="n"/>
      <c r="F12" s="14" t="n"/>
      <c r="G12" s="14" t="n"/>
      <c r="H12" s="14" t="n"/>
      <c r="I12" s="14" t="n"/>
      <c r="J12" s="19">
        <f>IF(H12="","",IFERROR(MAX(H12-TODAY(),0),0))</f>
        <v/>
      </c>
      <c r="K12" s="14" t="n"/>
      <c r="L12" s="14" t="n"/>
      <c r="M12" s="14" t="n"/>
      <c r="N12" s="14" t="n"/>
      <c r="O12" s="14" t="n"/>
      <c r="P12" s="14" t="n"/>
    </row>
    <row r="13" ht="22" customHeight="1">
      <c r="B13" s="12">
        <f>IF(C13="","VIS"&amp;TEXT(COUNTA($C$5:C13),"000"))</f>
        <v/>
      </c>
      <c r="C13" s="12" t="n"/>
      <c r="D13" s="12" t="n"/>
      <c r="E13" s="12" t="n"/>
      <c r="F13" s="12" t="n"/>
      <c r="G13" s="12" t="n"/>
      <c r="H13" s="12" t="n"/>
      <c r="I13" s="12" t="n"/>
      <c r="J13" s="18">
        <f>IF(H13="","",IFERROR(MAX(H13-TODAY(),0),0))</f>
        <v/>
      </c>
      <c r="K13" s="12" t="n"/>
      <c r="L13" s="12" t="n"/>
      <c r="M13" s="12" t="n"/>
      <c r="N13" s="12" t="n"/>
      <c r="O13" s="12" t="n"/>
      <c r="P13" s="12" t="n"/>
    </row>
    <row r="14" ht="22" customHeight="1">
      <c r="B14" s="14">
        <f>IF(C14="","VIS"&amp;TEXT(COUNTA($C$5:C14),"000"))</f>
        <v/>
      </c>
      <c r="C14" s="14" t="n"/>
      <c r="D14" s="14" t="n"/>
      <c r="E14" s="14" t="n"/>
      <c r="F14" s="14" t="n"/>
      <c r="G14" s="14" t="n"/>
      <c r="H14" s="14" t="n"/>
      <c r="I14" s="14" t="n"/>
      <c r="J14" s="19">
        <f>IF(H14="","",IFERROR(MAX(H14-TODAY(),0),0))</f>
        <v/>
      </c>
      <c r="K14" s="14" t="n"/>
      <c r="L14" s="14" t="n"/>
      <c r="M14" s="14" t="n"/>
      <c r="N14" s="14" t="n"/>
      <c r="O14" s="14" t="n"/>
      <c r="P14" s="14" t="n"/>
    </row>
    <row r="15" ht="22" customHeight="1">
      <c r="B15" s="12">
        <f>IF(C15="","VIS"&amp;TEXT(COUNTA($C$5:C15),"000"))</f>
        <v/>
      </c>
      <c r="C15" s="12" t="n"/>
      <c r="D15" s="12" t="n"/>
      <c r="E15" s="12" t="n"/>
      <c r="F15" s="12" t="n"/>
      <c r="G15" s="12" t="n"/>
      <c r="H15" s="12" t="n"/>
      <c r="I15" s="12" t="n"/>
      <c r="J15" s="18">
        <f>IF(H15="","",IFERROR(MAX(H15-TODAY(),0),0))</f>
        <v/>
      </c>
      <c r="K15" s="12" t="n"/>
      <c r="L15" s="12" t="n"/>
      <c r="M15" s="12" t="n"/>
      <c r="N15" s="12" t="n"/>
      <c r="O15" s="12" t="n"/>
      <c r="P15" s="12" t="n"/>
    </row>
    <row r="16" ht="22" customHeight="1">
      <c r="B16" s="14">
        <f>IF(C16="","VIS"&amp;TEXT(COUNTA($C$5:C16),"000"))</f>
        <v/>
      </c>
      <c r="C16" s="14" t="n"/>
      <c r="D16" s="14" t="n"/>
      <c r="E16" s="14" t="n"/>
      <c r="F16" s="14" t="n"/>
      <c r="G16" s="14" t="n"/>
      <c r="H16" s="14" t="n"/>
      <c r="I16" s="14" t="n"/>
      <c r="J16" s="19">
        <f>IF(H16="","",IFERROR(MAX(H16-TODAY(),0),0))</f>
        <v/>
      </c>
      <c r="K16" s="14" t="n"/>
      <c r="L16" s="14" t="n"/>
      <c r="M16" s="14" t="n"/>
      <c r="N16" s="14" t="n"/>
      <c r="O16" s="14" t="n"/>
      <c r="P16" s="14" t="n"/>
    </row>
    <row r="17" ht="22" customHeight="1">
      <c r="B17" s="12">
        <f>IF(C17="","VIS"&amp;TEXT(COUNTA($C$5:C17),"000"))</f>
        <v/>
      </c>
      <c r="C17" s="12" t="n"/>
      <c r="D17" s="12" t="n"/>
      <c r="E17" s="12" t="n"/>
      <c r="F17" s="12" t="n"/>
      <c r="G17" s="12" t="n"/>
      <c r="H17" s="12" t="n"/>
      <c r="I17" s="12" t="n"/>
      <c r="J17" s="18">
        <f>IF(H17="","",IFERROR(MAX(H17-TODAY(),0),0))</f>
        <v/>
      </c>
      <c r="K17" s="12" t="n"/>
      <c r="L17" s="12" t="n"/>
      <c r="M17" s="12" t="n"/>
      <c r="N17" s="12" t="n"/>
      <c r="O17" s="12" t="n"/>
      <c r="P17" s="12" t="n"/>
    </row>
    <row r="18" ht="22" customHeight="1">
      <c r="B18" s="14">
        <f>IF(C18="","VIS"&amp;TEXT(COUNTA($C$5:C18),"000"))</f>
        <v/>
      </c>
      <c r="C18" s="14" t="n"/>
      <c r="D18" s="14" t="n"/>
      <c r="E18" s="14" t="n"/>
      <c r="F18" s="14" t="n"/>
      <c r="G18" s="14" t="n"/>
      <c r="H18" s="14" t="n"/>
      <c r="I18" s="14" t="n"/>
      <c r="J18" s="19">
        <f>IF(H18="","",IFERROR(MAX(H18-TODAY(),0),0))</f>
        <v/>
      </c>
      <c r="K18" s="14" t="n"/>
      <c r="L18" s="14" t="n"/>
      <c r="M18" s="14" t="n"/>
      <c r="N18" s="14" t="n"/>
      <c r="O18" s="14" t="n"/>
      <c r="P18" s="14" t="n"/>
    </row>
    <row r="19" ht="22" customHeight="1">
      <c r="B19" s="12">
        <f>IF(C19="","VIS"&amp;TEXT(COUNTA($C$5:C19),"000"))</f>
        <v/>
      </c>
      <c r="C19" s="12" t="n"/>
      <c r="D19" s="12" t="n"/>
      <c r="E19" s="12" t="n"/>
      <c r="F19" s="12" t="n"/>
      <c r="G19" s="12" t="n"/>
      <c r="H19" s="12" t="n"/>
      <c r="I19" s="12" t="n"/>
      <c r="J19" s="18">
        <f>IF(H19="","",IFERROR(MAX(H19-TODAY(),0),0))</f>
        <v/>
      </c>
      <c r="K19" s="12" t="n"/>
      <c r="L19" s="12" t="n"/>
      <c r="M19" s="12" t="n"/>
      <c r="N19" s="12" t="n"/>
      <c r="O19" s="12" t="n"/>
      <c r="P19" s="12" t="n"/>
    </row>
    <row r="20" ht="22" customHeight="1">
      <c r="B20" s="14">
        <f>IF(C20="","VIS"&amp;TEXT(COUNTA($C$5:C20),"000"))</f>
        <v/>
      </c>
      <c r="C20" s="14" t="n"/>
      <c r="D20" s="14" t="n"/>
      <c r="E20" s="14" t="n"/>
      <c r="F20" s="14" t="n"/>
      <c r="G20" s="14" t="n"/>
      <c r="H20" s="14" t="n"/>
      <c r="I20" s="14" t="n"/>
      <c r="J20" s="19">
        <f>IF(H20="","",IFERROR(MAX(H20-TODAY(),0),0))</f>
        <v/>
      </c>
      <c r="K20" s="14" t="n"/>
      <c r="L20" s="14" t="n"/>
      <c r="M20" s="14" t="n"/>
      <c r="N20" s="14" t="n"/>
      <c r="O20" s="14" t="n"/>
      <c r="P20" s="14" t="n"/>
    </row>
    <row r="21" ht="22" customHeight="1">
      <c r="B21" s="12">
        <f>IF(C21="","VIS"&amp;TEXT(COUNTA($C$5:C21),"000"))</f>
        <v/>
      </c>
      <c r="C21" s="12" t="n"/>
      <c r="D21" s="12" t="n"/>
      <c r="E21" s="12" t="n"/>
      <c r="F21" s="12" t="n"/>
      <c r="G21" s="12" t="n"/>
      <c r="H21" s="12" t="n"/>
      <c r="I21" s="12" t="n"/>
      <c r="J21" s="18">
        <f>IF(H21="","",IFERROR(MAX(H21-TODAY(),0),0))</f>
        <v/>
      </c>
      <c r="K21" s="12" t="n"/>
      <c r="L21" s="12" t="n"/>
      <c r="M21" s="12" t="n"/>
      <c r="N21" s="12" t="n"/>
      <c r="O21" s="12" t="n"/>
      <c r="P21" s="12" t="n"/>
    </row>
    <row r="22" ht="22" customHeight="1">
      <c r="B22" s="14">
        <f>IF(C22="","VIS"&amp;TEXT(COUNTA($C$5:C22),"000"))</f>
        <v/>
      </c>
      <c r="C22" s="14" t="n"/>
      <c r="D22" s="14" t="n"/>
      <c r="E22" s="14" t="n"/>
      <c r="F22" s="14" t="n"/>
      <c r="G22" s="14" t="n"/>
      <c r="H22" s="14" t="n"/>
      <c r="I22" s="14" t="n"/>
      <c r="J22" s="19">
        <f>IF(H22="","",IFERROR(MAX(H22-TODAY(),0),0))</f>
        <v/>
      </c>
      <c r="K22" s="14" t="n"/>
      <c r="L22" s="14" t="n"/>
      <c r="M22" s="14" t="n"/>
      <c r="N22" s="14" t="n"/>
      <c r="O22" s="14" t="n"/>
      <c r="P22" s="14" t="n"/>
    </row>
    <row r="23" ht="22" customHeight="1">
      <c r="B23" s="12">
        <f>IF(C23="","VIS"&amp;TEXT(COUNTA($C$5:C23),"000"))</f>
        <v/>
      </c>
      <c r="C23" s="12" t="n"/>
      <c r="D23" s="12" t="n"/>
      <c r="E23" s="12" t="n"/>
      <c r="F23" s="12" t="n"/>
      <c r="G23" s="12" t="n"/>
      <c r="H23" s="12" t="n"/>
      <c r="I23" s="12" t="n"/>
      <c r="J23" s="18">
        <f>IF(H23="","",IFERROR(MAX(H23-TODAY(),0),0))</f>
        <v/>
      </c>
      <c r="K23" s="12" t="n"/>
      <c r="L23" s="12" t="n"/>
      <c r="M23" s="12" t="n"/>
      <c r="N23" s="12" t="n"/>
      <c r="O23" s="12" t="n"/>
      <c r="P23" s="12" t="n"/>
    </row>
    <row r="24" ht="22" customHeight="1">
      <c r="B24" s="14">
        <f>IF(C24="","VIS"&amp;TEXT(COUNTA($C$5:C24),"000"))</f>
        <v/>
      </c>
      <c r="C24" s="14" t="n"/>
      <c r="D24" s="14" t="n"/>
      <c r="E24" s="14" t="n"/>
      <c r="F24" s="14" t="n"/>
      <c r="G24" s="14" t="n"/>
      <c r="H24" s="14" t="n"/>
      <c r="I24" s="14" t="n"/>
      <c r="J24" s="19">
        <f>IF(H24="","",IFERROR(MAX(H24-TODAY(),0),0))</f>
        <v/>
      </c>
      <c r="K24" s="14" t="n"/>
      <c r="L24" s="14" t="n"/>
      <c r="M24" s="14" t="n"/>
      <c r="N24" s="14" t="n"/>
      <c r="O24" s="14" t="n"/>
      <c r="P24" s="14" t="n"/>
    </row>
    <row r="25" ht="22" customHeight="1">
      <c r="B25" s="12">
        <f>IF(C25="","VIS"&amp;TEXT(COUNTA($C$5:C25),"000"))</f>
        <v/>
      </c>
      <c r="C25" s="12" t="n"/>
      <c r="D25" s="12" t="n"/>
      <c r="E25" s="12" t="n"/>
      <c r="F25" s="12" t="n"/>
      <c r="G25" s="12" t="n"/>
      <c r="H25" s="12" t="n"/>
      <c r="I25" s="12" t="n"/>
      <c r="J25" s="18">
        <f>IF(H25="","",IFERROR(MAX(H25-TODAY(),0),0))</f>
        <v/>
      </c>
      <c r="K25" s="12" t="n"/>
      <c r="L25" s="12" t="n"/>
      <c r="M25" s="12" t="n"/>
      <c r="N25" s="12" t="n"/>
      <c r="O25" s="12" t="n"/>
      <c r="P25" s="12" t="n"/>
    </row>
    <row r="26" ht="22" customHeight="1">
      <c r="B26" s="14">
        <f>IF(C26="","VIS"&amp;TEXT(COUNTA($C$5:C26),"000"))</f>
        <v/>
      </c>
      <c r="C26" s="14" t="n"/>
      <c r="D26" s="14" t="n"/>
      <c r="E26" s="14" t="n"/>
      <c r="F26" s="14" t="n"/>
      <c r="G26" s="14" t="n"/>
      <c r="H26" s="14" t="n"/>
      <c r="I26" s="14" t="n"/>
      <c r="J26" s="19">
        <f>IF(H26="","",IFERROR(MAX(H26-TODAY(),0),0))</f>
        <v/>
      </c>
      <c r="K26" s="14" t="n"/>
      <c r="L26" s="14" t="n"/>
      <c r="M26" s="14" t="n"/>
      <c r="N26" s="14" t="n"/>
      <c r="O26" s="14" t="n"/>
      <c r="P26" s="14" t="n"/>
    </row>
    <row r="27" ht="22" customHeight="1">
      <c r="B27" s="12">
        <f>IF(C27="","VIS"&amp;TEXT(COUNTA($C$5:C27),"000"))</f>
        <v/>
      </c>
      <c r="C27" s="12" t="n"/>
      <c r="D27" s="12" t="n"/>
      <c r="E27" s="12" t="n"/>
      <c r="F27" s="12" t="n"/>
      <c r="G27" s="12" t="n"/>
      <c r="H27" s="12" t="n"/>
      <c r="I27" s="12" t="n"/>
      <c r="J27" s="18">
        <f>IF(H27="","",IFERROR(MAX(H27-TODAY(),0),0))</f>
        <v/>
      </c>
      <c r="K27" s="12" t="n"/>
      <c r="L27" s="12" t="n"/>
      <c r="M27" s="12" t="n"/>
      <c r="N27" s="12" t="n"/>
      <c r="O27" s="12" t="n"/>
      <c r="P27" s="12" t="n"/>
    </row>
    <row r="28" ht="22" customHeight="1">
      <c r="B28" s="14">
        <f>IF(C28="","VIS"&amp;TEXT(COUNTA($C$5:C28),"000"))</f>
        <v/>
      </c>
      <c r="C28" s="14" t="n"/>
      <c r="D28" s="14" t="n"/>
      <c r="E28" s="14" t="n"/>
      <c r="F28" s="14" t="n"/>
      <c r="G28" s="14" t="n"/>
      <c r="H28" s="14" t="n"/>
      <c r="I28" s="14" t="n"/>
      <c r="J28" s="19">
        <f>IF(H28="","",IFERROR(MAX(H28-TODAY(),0),0))</f>
        <v/>
      </c>
      <c r="K28" s="14" t="n"/>
      <c r="L28" s="14" t="n"/>
      <c r="M28" s="14" t="n"/>
      <c r="N28" s="14" t="n"/>
      <c r="O28" s="14" t="n"/>
      <c r="P28" s="14" t="n"/>
    </row>
    <row r="29" ht="22" customHeight="1">
      <c r="B29" s="12">
        <f>IF(C29="","VIS"&amp;TEXT(COUNTA($C$5:C29),"000"))</f>
        <v/>
      </c>
      <c r="C29" s="12" t="n"/>
      <c r="D29" s="12" t="n"/>
      <c r="E29" s="12" t="n"/>
      <c r="F29" s="12" t="n"/>
      <c r="G29" s="12" t="n"/>
      <c r="H29" s="12" t="n"/>
      <c r="I29" s="12" t="n"/>
      <c r="J29" s="18">
        <f>IF(H29="","",IFERROR(MAX(H29-TODAY(),0),0))</f>
        <v/>
      </c>
      <c r="K29" s="12" t="n"/>
      <c r="L29" s="12" t="n"/>
      <c r="M29" s="12" t="n"/>
      <c r="N29" s="12" t="n"/>
      <c r="O29" s="12" t="n"/>
      <c r="P29" s="12" t="n"/>
    </row>
    <row r="30" ht="22" customHeight="1">
      <c r="B30" s="14">
        <f>IF(C30="","VIS"&amp;TEXT(COUNTA($C$5:C30),"000"))</f>
        <v/>
      </c>
      <c r="C30" s="14" t="n"/>
      <c r="D30" s="14" t="n"/>
      <c r="E30" s="14" t="n"/>
      <c r="F30" s="14" t="n"/>
      <c r="G30" s="14" t="n"/>
      <c r="H30" s="14" t="n"/>
      <c r="I30" s="14" t="n"/>
      <c r="J30" s="19">
        <f>IF(H30="","",IFERROR(MAX(H30-TODAY(),0),0))</f>
        <v/>
      </c>
      <c r="K30" s="14" t="n"/>
      <c r="L30" s="14" t="n"/>
      <c r="M30" s="14" t="n"/>
      <c r="N30" s="14" t="n"/>
      <c r="O30" s="14" t="n"/>
      <c r="P30" s="14" t="n"/>
    </row>
    <row r="31" ht="22" customHeight="1">
      <c r="B31" s="12">
        <f>IF(C31="","VIS"&amp;TEXT(COUNTA($C$5:C31),"000"))</f>
        <v/>
      </c>
      <c r="C31" s="12" t="n"/>
      <c r="D31" s="12" t="n"/>
      <c r="E31" s="12" t="n"/>
      <c r="F31" s="12" t="n"/>
      <c r="G31" s="12" t="n"/>
      <c r="H31" s="12" t="n"/>
      <c r="I31" s="12" t="n"/>
      <c r="J31" s="18">
        <f>IF(H31="","",IFERROR(MAX(H31-TODAY(),0),0))</f>
        <v/>
      </c>
      <c r="K31" s="12" t="n"/>
      <c r="L31" s="12" t="n"/>
      <c r="M31" s="12" t="n"/>
      <c r="N31" s="12" t="n"/>
      <c r="O31" s="12" t="n"/>
      <c r="P31" s="12" t="n"/>
    </row>
    <row r="32" ht="22" customHeight="1">
      <c r="B32" s="14">
        <f>IF(C32="","VIS"&amp;TEXT(COUNTA($C$5:C32),"000"))</f>
        <v/>
      </c>
      <c r="C32" s="14" t="n"/>
      <c r="D32" s="14" t="n"/>
      <c r="E32" s="14" t="n"/>
      <c r="F32" s="14" t="n"/>
      <c r="G32" s="14" t="n"/>
      <c r="H32" s="14" t="n"/>
      <c r="I32" s="14" t="n"/>
      <c r="J32" s="19">
        <f>IF(H32="","",IFERROR(MAX(H32-TODAY(),0),0))</f>
        <v/>
      </c>
      <c r="K32" s="14" t="n"/>
      <c r="L32" s="14" t="n"/>
      <c r="M32" s="14" t="n"/>
      <c r="N32" s="14" t="n"/>
      <c r="O32" s="14" t="n"/>
      <c r="P32" s="14" t="n"/>
    </row>
    <row r="33" ht="22" customHeight="1">
      <c r="B33" s="12">
        <f>IF(C33="","VIS"&amp;TEXT(COUNTA($C$5:C33),"000"))</f>
        <v/>
      </c>
      <c r="C33" s="12" t="n"/>
      <c r="D33" s="12" t="n"/>
      <c r="E33" s="12" t="n"/>
      <c r="F33" s="12" t="n"/>
      <c r="G33" s="12" t="n"/>
      <c r="H33" s="12" t="n"/>
      <c r="I33" s="12" t="n"/>
      <c r="J33" s="18">
        <f>IF(H33="","",IFERROR(MAX(H33-TODAY(),0),0))</f>
        <v/>
      </c>
      <c r="K33" s="12" t="n"/>
      <c r="L33" s="12" t="n"/>
      <c r="M33" s="12" t="n"/>
      <c r="N33" s="12" t="n"/>
      <c r="O33" s="12" t="n"/>
      <c r="P33" s="12" t="n"/>
    </row>
    <row r="34" ht="22" customHeight="1">
      <c r="B34" s="14">
        <f>IF(C34="","VIS"&amp;TEXT(COUNTA($C$5:C34),"000"))</f>
        <v/>
      </c>
      <c r="C34" s="14" t="n"/>
      <c r="D34" s="14" t="n"/>
      <c r="E34" s="14" t="n"/>
      <c r="F34" s="14" t="n"/>
      <c r="G34" s="14" t="n"/>
      <c r="H34" s="14" t="n"/>
      <c r="I34" s="14" t="n"/>
      <c r="J34" s="19">
        <f>IF(H34="","",IFERROR(MAX(H34-TODAY(),0),0))</f>
        <v/>
      </c>
      <c r="K34" s="14" t="n"/>
      <c r="L34" s="14" t="n"/>
      <c r="M34" s="14" t="n"/>
      <c r="N34" s="14" t="n"/>
      <c r="O34" s="14" t="n"/>
      <c r="P34" s="14" t="n"/>
    </row>
    <row r="35" ht="22" customHeight="1">
      <c r="B35" s="12">
        <f>IF(C35="","VIS"&amp;TEXT(COUNTA($C$5:C35),"000"))</f>
        <v/>
      </c>
      <c r="C35" s="12" t="n"/>
      <c r="D35" s="12" t="n"/>
      <c r="E35" s="12" t="n"/>
      <c r="F35" s="12" t="n"/>
      <c r="G35" s="12" t="n"/>
      <c r="H35" s="12" t="n"/>
      <c r="I35" s="12" t="n"/>
      <c r="J35" s="18">
        <f>IF(H35="","",IFERROR(MAX(H35-TODAY(),0),0))</f>
        <v/>
      </c>
      <c r="K35" s="12" t="n"/>
      <c r="L35" s="12" t="n"/>
      <c r="M35" s="12" t="n"/>
      <c r="N35" s="12" t="n"/>
      <c r="O35" s="12" t="n"/>
      <c r="P35" s="12" t="n"/>
    </row>
    <row r="36" ht="22" customHeight="1">
      <c r="B36" s="14">
        <f>IF(C36="","VIS"&amp;TEXT(COUNTA($C$5:C36),"000"))</f>
        <v/>
      </c>
      <c r="C36" s="14" t="n"/>
      <c r="D36" s="14" t="n"/>
      <c r="E36" s="14" t="n"/>
      <c r="F36" s="14" t="n"/>
      <c r="G36" s="14" t="n"/>
      <c r="H36" s="14" t="n"/>
      <c r="I36" s="14" t="n"/>
      <c r="J36" s="19">
        <f>IF(H36="","",IFERROR(MAX(H36-TODAY(),0),0))</f>
        <v/>
      </c>
      <c r="K36" s="14" t="n"/>
      <c r="L36" s="14" t="n"/>
      <c r="M36" s="14" t="n"/>
      <c r="N36" s="14" t="n"/>
      <c r="O36" s="14" t="n"/>
      <c r="P36" s="14" t="n"/>
    </row>
    <row r="37" ht="22" customHeight="1">
      <c r="B37" s="12">
        <f>IF(C37="","VIS"&amp;TEXT(COUNTA($C$5:C37),"000"))</f>
        <v/>
      </c>
      <c r="C37" s="12" t="n"/>
      <c r="D37" s="12" t="n"/>
      <c r="E37" s="12" t="n"/>
      <c r="F37" s="12" t="n"/>
      <c r="G37" s="12" t="n"/>
      <c r="H37" s="12" t="n"/>
      <c r="I37" s="12" t="n"/>
      <c r="J37" s="18">
        <f>IF(H37="","",IFERROR(MAX(H37-TODAY(),0),0))</f>
        <v/>
      </c>
      <c r="K37" s="12" t="n"/>
      <c r="L37" s="12" t="n"/>
      <c r="M37" s="12" t="n"/>
      <c r="N37" s="12" t="n"/>
      <c r="O37" s="12" t="n"/>
      <c r="P37" s="12" t="n"/>
    </row>
    <row r="38" ht="22" customHeight="1">
      <c r="B38" s="14">
        <f>IF(C38="","VIS"&amp;TEXT(COUNTA($C$5:C38),"000"))</f>
        <v/>
      </c>
      <c r="C38" s="14" t="n"/>
      <c r="D38" s="14" t="n"/>
      <c r="E38" s="14" t="n"/>
      <c r="F38" s="14" t="n"/>
      <c r="G38" s="14" t="n"/>
      <c r="H38" s="14" t="n"/>
      <c r="I38" s="14" t="n"/>
      <c r="J38" s="19">
        <f>IF(H38="","",IFERROR(MAX(H38-TODAY(),0),0))</f>
        <v/>
      </c>
      <c r="K38" s="14" t="n"/>
      <c r="L38" s="14" t="n"/>
      <c r="M38" s="14" t="n"/>
      <c r="N38" s="14" t="n"/>
      <c r="O38" s="14" t="n"/>
      <c r="P38" s="14" t="n"/>
    </row>
    <row r="39" ht="22" customHeight="1">
      <c r="B39" s="12">
        <f>IF(C39="","VIS"&amp;TEXT(COUNTA($C$5:C39),"000"))</f>
        <v/>
      </c>
      <c r="C39" s="12" t="n"/>
      <c r="D39" s="12" t="n"/>
      <c r="E39" s="12" t="n"/>
      <c r="F39" s="12" t="n"/>
      <c r="G39" s="12" t="n"/>
      <c r="H39" s="12" t="n"/>
      <c r="I39" s="12" t="n"/>
      <c r="J39" s="18">
        <f>IF(H39="","",IFERROR(MAX(H39-TODAY(),0),0))</f>
        <v/>
      </c>
      <c r="K39" s="12" t="n"/>
      <c r="L39" s="12" t="n"/>
      <c r="M39" s="12" t="n"/>
      <c r="N39" s="12" t="n"/>
      <c r="O39" s="12" t="n"/>
      <c r="P39" s="12" t="n"/>
    </row>
    <row r="40" ht="22" customHeight="1">
      <c r="B40" s="14">
        <f>IF(C40="","VIS"&amp;TEXT(COUNTA($C$5:C40),"000"))</f>
        <v/>
      </c>
      <c r="C40" s="14" t="n"/>
      <c r="D40" s="14" t="n"/>
      <c r="E40" s="14" t="n"/>
      <c r="F40" s="14" t="n"/>
      <c r="G40" s="14" t="n"/>
      <c r="H40" s="14" t="n"/>
      <c r="I40" s="14" t="n"/>
      <c r="J40" s="19">
        <f>IF(H40="","",IFERROR(MAX(H40-TODAY(),0),0))</f>
        <v/>
      </c>
      <c r="K40" s="14" t="n"/>
      <c r="L40" s="14" t="n"/>
      <c r="M40" s="14" t="n"/>
      <c r="N40" s="14" t="n"/>
      <c r="O40" s="14" t="n"/>
      <c r="P40" s="14" t="n"/>
    </row>
    <row r="41" ht="22" customHeight="1">
      <c r="B41" s="12">
        <f>IF(C41="","VIS"&amp;TEXT(COUNTA($C$5:C41),"000"))</f>
        <v/>
      </c>
      <c r="C41" s="12" t="n"/>
      <c r="D41" s="12" t="n"/>
      <c r="E41" s="12" t="n"/>
      <c r="F41" s="12" t="n"/>
      <c r="G41" s="12" t="n"/>
      <c r="H41" s="12" t="n"/>
      <c r="I41" s="12" t="n"/>
      <c r="J41" s="18">
        <f>IF(H41="","",IFERROR(MAX(H41-TODAY(),0),0))</f>
        <v/>
      </c>
      <c r="K41" s="12" t="n"/>
      <c r="L41" s="12" t="n"/>
      <c r="M41" s="12" t="n"/>
      <c r="N41" s="12" t="n"/>
      <c r="O41" s="12" t="n"/>
      <c r="P41" s="12" t="n"/>
    </row>
    <row r="42" ht="22" customHeight="1">
      <c r="B42" s="14">
        <f>IF(C42="","VIS"&amp;TEXT(COUNTA($C$5:C42),"000"))</f>
        <v/>
      </c>
      <c r="C42" s="14" t="n"/>
      <c r="D42" s="14" t="n"/>
      <c r="E42" s="14" t="n"/>
      <c r="F42" s="14" t="n"/>
      <c r="G42" s="14" t="n"/>
      <c r="H42" s="14" t="n"/>
      <c r="I42" s="14" t="n"/>
      <c r="J42" s="19">
        <f>IF(H42="","",IFERROR(MAX(H42-TODAY(),0),0))</f>
        <v/>
      </c>
      <c r="K42" s="14" t="n"/>
      <c r="L42" s="14" t="n"/>
      <c r="M42" s="14" t="n"/>
      <c r="N42" s="14" t="n"/>
      <c r="O42" s="14" t="n"/>
      <c r="P42" s="14" t="n"/>
    </row>
    <row r="43" ht="22" customHeight="1">
      <c r="B43" s="12">
        <f>IF(C43="","VIS"&amp;TEXT(COUNTA($C$5:C43),"000"))</f>
        <v/>
      </c>
      <c r="C43" s="12" t="n"/>
      <c r="D43" s="12" t="n"/>
      <c r="E43" s="12" t="n"/>
      <c r="F43" s="12" t="n"/>
      <c r="G43" s="12" t="n"/>
      <c r="H43" s="12" t="n"/>
      <c r="I43" s="12" t="n"/>
      <c r="J43" s="18">
        <f>IF(H43="","",IFERROR(MAX(H43-TODAY(),0),0))</f>
        <v/>
      </c>
      <c r="K43" s="12" t="n"/>
      <c r="L43" s="12" t="n"/>
      <c r="M43" s="12" t="n"/>
      <c r="N43" s="12" t="n"/>
      <c r="O43" s="12" t="n"/>
      <c r="P43" s="12" t="n"/>
    </row>
    <row r="44" ht="22" customHeight="1">
      <c r="B44" s="14">
        <f>IF(C44="","VIS"&amp;TEXT(COUNTA($C$5:C44),"000"))</f>
        <v/>
      </c>
      <c r="C44" s="14" t="n"/>
      <c r="D44" s="14" t="n"/>
      <c r="E44" s="14" t="n"/>
      <c r="F44" s="14" t="n"/>
      <c r="G44" s="14" t="n"/>
      <c r="H44" s="14" t="n"/>
      <c r="I44" s="14" t="n"/>
      <c r="J44" s="19">
        <f>IF(H44="","",IFERROR(MAX(H44-TODAY(),0),0))</f>
        <v/>
      </c>
      <c r="K44" s="14" t="n"/>
      <c r="L44" s="14" t="n"/>
      <c r="M44" s="14" t="n"/>
      <c r="N44" s="14" t="n"/>
      <c r="O44" s="14" t="n"/>
      <c r="P44" s="14" t="n"/>
    </row>
    <row r="45" ht="22" customHeight="1">
      <c r="B45" s="12">
        <f>IF(C45="","VIS"&amp;TEXT(COUNTA($C$5:C45),"000"))</f>
        <v/>
      </c>
      <c r="C45" s="12" t="n"/>
      <c r="D45" s="12" t="n"/>
      <c r="E45" s="12" t="n"/>
      <c r="F45" s="12" t="n"/>
      <c r="G45" s="12" t="n"/>
      <c r="H45" s="12" t="n"/>
      <c r="I45" s="12" t="n"/>
      <c r="J45" s="18">
        <f>IF(H45="","",IFERROR(MAX(H45-TODAY(),0),0))</f>
        <v/>
      </c>
      <c r="K45" s="12" t="n"/>
      <c r="L45" s="12" t="n"/>
      <c r="M45" s="12" t="n"/>
      <c r="N45" s="12" t="n"/>
      <c r="O45" s="12" t="n"/>
      <c r="P45" s="12" t="n"/>
    </row>
    <row r="46" ht="22" customHeight="1">
      <c r="B46" s="14">
        <f>IF(C46="","VIS"&amp;TEXT(COUNTA($C$5:C46),"000"))</f>
        <v/>
      </c>
      <c r="C46" s="14" t="n"/>
      <c r="D46" s="14" t="n"/>
      <c r="E46" s="14" t="n"/>
      <c r="F46" s="14" t="n"/>
      <c r="G46" s="14" t="n"/>
      <c r="H46" s="14" t="n"/>
      <c r="I46" s="14" t="n"/>
      <c r="J46" s="19">
        <f>IF(H46="","",IFERROR(MAX(H46-TODAY(),0),0))</f>
        <v/>
      </c>
      <c r="K46" s="14" t="n"/>
      <c r="L46" s="14" t="n"/>
      <c r="M46" s="14" t="n"/>
      <c r="N46" s="14" t="n"/>
      <c r="O46" s="14" t="n"/>
      <c r="P46" s="14" t="n"/>
    </row>
    <row r="47" ht="22" customHeight="1">
      <c r="B47" s="12">
        <f>IF(C47="","VIS"&amp;TEXT(COUNTA($C$5:C47),"000"))</f>
        <v/>
      </c>
      <c r="C47" s="12" t="n"/>
      <c r="D47" s="12" t="n"/>
      <c r="E47" s="12" t="n"/>
      <c r="F47" s="12" t="n"/>
      <c r="G47" s="12" t="n"/>
      <c r="H47" s="12" t="n"/>
      <c r="I47" s="12" t="n"/>
      <c r="J47" s="18">
        <f>IF(H47="","",IFERROR(MAX(H47-TODAY(),0),0))</f>
        <v/>
      </c>
      <c r="K47" s="12" t="n"/>
      <c r="L47" s="12" t="n"/>
      <c r="M47" s="12" t="n"/>
      <c r="N47" s="12" t="n"/>
      <c r="O47" s="12" t="n"/>
      <c r="P47" s="12" t="n"/>
    </row>
    <row r="48" ht="22" customHeight="1">
      <c r="B48" s="14">
        <f>IF(C48="","VIS"&amp;TEXT(COUNTA($C$5:C48),"000"))</f>
        <v/>
      </c>
      <c r="C48" s="14" t="n"/>
      <c r="D48" s="14" t="n"/>
      <c r="E48" s="14" t="n"/>
      <c r="F48" s="14" t="n"/>
      <c r="G48" s="14" t="n"/>
      <c r="H48" s="14" t="n"/>
      <c r="I48" s="14" t="n"/>
      <c r="J48" s="19">
        <f>IF(H48="","",IFERROR(MAX(H48-TODAY(),0),0))</f>
        <v/>
      </c>
      <c r="K48" s="14" t="n"/>
      <c r="L48" s="14" t="n"/>
      <c r="M48" s="14" t="n"/>
      <c r="N48" s="14" t="n"/>
      <c r="O48" s="14" t="n"/>
      <c r="P48" s="14" t="n"/>
    </row>
    <row r="49" ht="22" customHeight="1">
      <c r="B49" s="12">
        <f>IF(C49="","VIS"&amp;TEXT(COUNTA($C$5:C49),"000"))</f>
        <v/>
      </c>
      <c r="C49" s="12" t="n"/>
      <c r="D49" s="12" t="n"/>
      <c r="E49" s="12" t="n"/>
      <c r="F49" s="12" t="n"/>
      <c r="G49" s="12" t="n"/>
      <c r="H49" s="12" t="n"/>
      <c r="I49" s="12" t="n"/>
      <c r="J49" s="18">
        <f>IF(H49="","",IFERROR(MAX(H49-TODAY(),0),0))</f>
        <v/>
      </c>
      <c r="K49" s="12" t="n"/>
      <c r="L49" s="12" t="n"/>
      <c r="M49" s="12" t="n"/>
      <c r="N49" s="12" t="n"/>
      <c r="O49" s="12" t="n"/>
      <c r="P49" s="12" t="n"/>
    </row>
    <row r="50" ht="22" customHeight="1">
      <c r="B50" s="14">
        <f>IF(C50="","VIS"&amp;TEXT(COUNTA($C$5:C50),"000"))</f>
        <v/>
      </c>
      <c r="C50" s="14" t="n"/>
      <c r="D50" s="14" t="n"/>
      <c r="E50" s="14" t="n"/>
      <c r="F50" s="14" t="n"/>
      <c r="G50" s="14" t="n"/>
      <c r="H50" s="14" t="n"/>
      <c r="I50" s="14" t="n"/>
      <c r="J50" s="19">
        <f>IF(H50="","",IFERROR(MAX(H50-TODAY(),0),0))</f>
        <v/>
      </c>
      <c r="K50" s="14" t="n"/>
      <c r="L50" s="14" t="n"/>
      <c r="M50" s="14" t="n"/>
      <c r="N50" s="14" t="n"/>
      <c r="O50" s="14" t="n"/>
      <c r="P50" s="14" t="n"/>
    </row>
    <row r="51" ht="22" customHeight="1">
      <c r="B51" s="12">
        <f>IF(C51="","VIS"&amp;TEXT(COUNTA($C$5:C51),"000"))</f>
        <v/>
      </c>
      <c r="C51" s="12" t="n"/>
      <c r="D51" s="12" t="n"/>
      <c r="E51" s="12" t="n"/>
      <c r="F51" s="12" t="n"/>
      <c r="G51" s="12" t="n"/>
      <c r="H51" s="12" t="n"/>
      <c r="I51" s="12" t="n"/>
      <c r="J51" s="18">
        <f>IF(H51="","",IFERROR(MAX(H51-TODAY(),0),0))</f>
        <v/>
      </c>
      <c r="K51" s="12" t="n"/>
      <c r="L51" s="12" t="n"/>
      <c r="M51" s="12" t="n"/>
      <c r="N51" s="12" t="n"/>
      <c r="O51" s="12" t="n"/>
      <c r="P51" s="12" t="n"/>
    </row>
    <row r="52" ht="22" customHeight="1">
      <c r="B52" s="14">
        <f>IF(C52="","VIS"&amp;TEXT(COUNTA($C$5:C52),"000"))</f>
        <v/>
      </c>
      <c r="C52" s="14" t="n"/>
      <c r="D52" s="14" t="n"/>
      <c r="E52" s="14" t="n"/>
      <c r="F52" s="14" t="n"/>
      <c r="G52" s="14" t="n"/>
      <c r="H52" s="14" t="n"/>
      <c r="I52" s="14" t="n"/>
      <c r="J52" s="19">
        <f>IF(H52="","",IFERROR(MAX(H52-TODAY(),0),0))</f>
        <v/>
      </c>
      <c r="K52" s="14" t="n"/>
      <c r="L52" s="14" t="n"/>
      <c r="M52" s="14" t="n"/>
      <c r="N52" s="14" t="n"/>
      <c r="O52" s="14" t="n"/>
      <c r="P52" s="14" t="n"/>
    </row>
    <row r="53" ht="22" customHeight="1">
      <c r="B53" s="12">
        <f>IF(C53="","VIS"&amp;TEXT(COUNTA($C$5:C53),"000"))</f>
        <v/>
      </c>
      <c r="C53" s="12" t="n"/>
      <c r="D53" s="12" t="n"/>
      <c r="E53" s="12" t="n"/>
      <c r="F53" s="12" t="n"/>
      <c r="G53" s="12" t="n"/>
      <c r="H53" s="12" t="n"/>
      <c r="I53" s="12" t="n"/>
      <c r="J53" s="18">
        <f>IF(H53="","",IFERROR(MAX(H53-TODAY(),0),0))</f>
        <v/>
      </c>
      <c r="K53" s="12" t="n"/>
      <c r="L53" s="12" t="n"/>
      <c r="M53" s="12" t="n"/>
      <c r="N53" s="12" t="n"/>
      <c r="O53" s="12" t="n"/>
      <c r="P53" s="12" t="n"/>
    </row>
    <row r="54" ht="22" customHeight="1">
      <c r="B54" s="14">
        <f>IF(C54="","VIS"&amp;TEXT(COUNTA($C$5:C54),"000"))</f>
        <v/>
      </c>
      <c r="C54" s="14" t="n"/>
      <c r="D54" s="14" t="n"/>
      <c r="E54" s="14" t="n"/>
      <c r="F54" s="14" t="n"/>
      <c r="G54" s="14" t="n"/>
      <c r="H54" s="14" t="n"/>
      <c r="I54" s="14" t="n"/>
      <c r="J54" s="19">
        <f>IF(H54="","",IFERROR(MAX(H54-TODAY(),0),0))</f>
        <v/>
      </c>
      <c r="K54" s="14" t="n"/>
      <c r="L54" s="14" t="n"/>
      <c r="M54" s="14" t="n"/>
      <c r="N54" s="14" t="n"/>
      <c r="O54" s="14" t="n"/>
      <c r="P54" s="14" t="n"/>
    </row>
    <row r="55" ht="22" customHeight="1">
      <c r="B55" s="12">
        <f>IF(C55="","VIS"&amp;TEXT(COUNTA($C$5:C55),"000"))</f>
        <v/>
      </c>
      <c r="C55" s="12" t="n"/>
      <c r="D55" s="12" t="n"/>
      <c r="E55" s="12" t="n"/>
      <c r="F55" s="12" t="n"/>
      <c r="G55" s="12" t="n"/>
      <c r="H55" s="12" t="n"/>
      <c r="I55" s="12" t="n"/>
      <c r="J55" s="18">
        <f>IF(H55="","",IFERROR(MAX(H55-TODAY(),0),0))</f>
        <v/>
      </c>
      <c r="K55" s="12" t="n"/>
      <c r="L55" s="12" t="n"/>
      <c r="M55" s="12" t="n"/>
      <c r="N55" s="12" t="n"/>
      <c r="O55" s="12" t="n"/>
      <c r="P55" s="12" t="n"/>
    </row>
    <row r="56" ht="22" customHeight="1">
      <c r="B56" s="14">
        <f>IF(C56="","VIS"&amp;TEXT(COUNTA($C$5:C56),"000"))</f>
        <v/>
      </c>
      <c r="C56" s="14" t="n"/>
      <c r="D56" s="14" t="n"/>
      <c r="E56" s="14" t="n"/>
      <c r="F56" s="14" t="n"/>
      <c r="G56" s="14" t="n"/>
      <c r="H56" s="14" t="n"/>
      <c r="I56" s="14" t="n"/>
      <c r="J56" s="19">
        <f>IF(H56="","",IFERROR(MAX(H56-TODAY(),0),0))</f>
        <v/>
      </c>
      <c r="K56" s="14" t="n"/>
      <c r="L56" s="14" t="n"/>
      <c r="M56" s="14" t="n"/>
      <c r="N56" s="14" t="n"/>
      <c r="O56" s="14" t="n"/>
      <c r="P56" s="14" t="n"/>
    </row>
    <row r="57" ht="22" customHeight="1">
      <c r="B57" s="12">
        <f>IF(C57="","VIS"&amp;TEXT(COUNTA($C$5:C57),"000"))</f>
        <v/>
      </c>
      <c r="C57" s="12" t="n"/>
      <c r="D57" s="12" t="n"/>
      <c r="E57" s="12" t="n"/>
      <c r="F57" s="12" t="n"/>
      <c r="G57" s="12" t="n"/>
      <c r="H57" s="12" t="n"/>
      <c r="I57" s="12" t="n"/>
      <c r="J57" s="18">
        <f>IF(H57="","",IFERROR(MAX(H57-TODAY(),0),0))</f>
        <v/>
      </c>
      <c r="K57" s="12" t="n"/>
      <c r="L57" s="12" t="n"/>
      <c r="M57" s="12" t="n"/>
      <c r="N57" s="12" t="n"/>
      <c r="O57" s="12" t="n"/>
      <c r="P57" s="12" t="n"/>
    </row>
    <row r="58" ht="22" customHeight="1">
      <c r="B58" s="14">
        <f>IF(C58="","VIS"&amp;TEXT(COUNTA($C$5:C58),"000"))</f>
        <v/>
      </c>
      <c r="C58" s="14" t="n"/>
      <c r="D58" s="14" t="n"/>
      <c r="E58" s="14" t="n"/>
      <c r="F58" s="14" t="n"/>
      <c r="G58" s="14" t="n"/>
      <c r="H58" s="14" t="n"/>
      <c r="I58" s="14" t="n"/>
      <c r="J58" s="19">
        <f>IF(H58="","",IFERROR(MAX(H58-TODAY(),0),0))</f>
        <v/>
      </c>
      <c r="K58" s="14" t="n"/>
      <c r="L58" s="14" t="n"/>
      <c r="M58" s="14" t="n"/>
      <c r="N58" s="14" t="n"/>
      <c r="O58" s="14" t="n"/>
      <c r="P58" s="14" t="n"/>
    </row>
    <row r="59" ht="22" customHeight="1">
      <c r="B59" s="12">
        <f>IF(C59="","VIS"&amp;TEXT(COUNTA($C$5:C59),"000"))</f>
        <v/>
      </c>
      <c r="C59" s="12" t="n"/>
      <c r="D59" s="12" t="n"/>
      <c r="E59" s="12" t="n"/>
      <c r="F59" s="12" t="n"/>
      <c r="G59" s="12" t="n"/>
      <c r="H59" s="12" t="n"/>
      <c r="I59" s="12" t="n"/>
      <c r="J59" s="18">
        <f>IF(H59="","",IFERROR(MAX(H59-TODAY(),0),0))</f>
        <v/>
      </c>
      <c r="K59" s="12" t="n"/>
      <c r="L59" s="12" t="n"/>
      <c r="M59" s="12" t="n"/>
      <c r="N59" s="12" t="n"/>
      <c r="O59" s="12" t="n"/>
      <c r="P59" s="12" t="n"/>
    </row>
    <row r="60" ht="22" customHeight="1">
      <c r="B60" s="14">
        <f>IF(C60="","VIS"&amp;TEXT(COUNTA($C$5:C60),"000"))</f>
        <v/>
      </c>
      <c r="C60" s="14" t="n"/>
      <c r="D60" s="14" t="n"/>
      <c r="E60" s="14" t="n"/>
      <c r="F60" s="14" t="n"/>
      <c r="G60" s="14" t="n"/>
      <c r="H60" s="14" t="n"/>
      <c r="I60" s="14" t="n"/>
      <c r="J60" s="19">
        <f>IF(H60="","",IFERROR(MAX(H60-TODAY(),0),0))</f>
        <v/>
      </c>
      <c r="K60" s="14" t="n"/>
      <c r="L60" s="14" t="n"/>
      <c r="M60" s="14" t="n"/>
      <c r="N60" s="14" t="n"/>
      <c r="O60" s="14" t="n"/>
      <c r="P60" s="14" t="n"/>
    </row>
    <row r="61" ht="22" customHeight="1">
      <c r="B61" s="12">
        <f>IF(C61="","VIS"&amp;TEXT(COUNTA($C$5:C61),"000"))</f>
        <v/>
      </c>
      <c r="C61" s="12" t="n"/>
      <c r="D61" s="12" t="n"/>
      <c r="E61" s="12" t="n"/>
      <c r="F61" s="12" t="n"/>
      <c r="G61" s="12" t="n"/>
      <c r="H61" s="12" t="n"/>
      <c r="I61" s="12" t="n"/>
      <c r="J61" s="18">
        <f>IF(H61="","",IFERROR(MAX(H61-TODAY(),0),0))</f>
        <v/>
      </c>
      <c r="K61" s="12" t="n"/>
      <c r="L61" s="12" t="n"/>
      <c r="M61" s="12" t="n"/>
      <c r="N61" s="12" t="n"/>
      <c r="O61" s="12" t="n"/>
      <c r="P61" s="12" t="n"/>
    </row>
    <row r="62" ht="22" customHeight="1">
      <c r="B62" s="14">
        <f>IF(C62="","VIS"&amp;TEXT(COUNTA($C$5:C62),"000"))</f>
        <v/>
      </c>
      <c r="C62" s="14" t="n"/>
      <c r="D62" s="14" t="n"/>
      <c r="E62" s="14" t="n"/>
      <c r="F62" s="14" t="n"/>
      <c r="G62" s="14" t="n"/>
      <c r="H62" s="14" t="n"/>
      <c r="I62" s="14" t="n"/>
      <c r="J62" s="19">
        <f>IF(H62="","",IFERROR(MAX(H62-TODAY(),0),0))</f>
        <v/>
      </c>
      <c r="K62" s="14" t="n"/>
      <c r="L62" s="14" t="n"/>
      <c r="M62" s="14" t="n"/>
      <c r="N62" s="14" t="n"/>
      <c r="O62" s="14" t="n"/>
      <c r="P62" s="14" t="n"/>
    </row>
    <row r="63" ht="22" customHeight="1">
      <c r="B63" s="12">
        <f>IF(C63="","VIS"&amp;TEXT(COUNTA($C$5:C63),"000"))</f>
        <v/>
      </c>
      <c r="C63" s="12" t="n"/>
      <c r="D63" s="12" t="n"/>
      <c r="E63" s="12" t="n"/>
      <c r="F63" s="12" t="n"/>
      <c r="G63" s="12" t="n"/>
      <c r="H63" s="12" t="n"/>
      <c r="I63" s="12" t="n"/>
      <c r="J63" s="18">
        <f>IF(H63="","",IFERROR(MAX(H63-TODAY(),0),0))</f>
        <v/>
      </c>
      <c r="K63" s="12" t="n"/>
      <c r="L63" s="12" t="n"/>
      <c r="M63" s="12" t="n"/>
      <c r="N63" s="12" t="n"/>
      <c r="O63" s="12" t="n"/>
      <c r="P63" s="12" t="n"/>
    </row>
    <row r="64" ht="22" customHeight="1">
      <c r="B64" s="14">
        <f>IF(C64="","VIS"&amp;TEXT(COUNTA($C$5:C64),"000"))</f>
        <v/>
      </c>
      <c r="C64" s="14" t="n"/>
      <c r="D64" s="14" t="n"/>
      <c r="E64" s="14" t="n"/>
      <c r="F64" s="14" t="n"/>
      <c r="G64" s="14" t="n"/>
      <c r="H64" s="14" t="n"/>
      <c r="I64" s="14" t="n"/>
      <c r="J64" s="19">
        <f>IF(H64="","",IFERROR(MAX(H64-TODAY(),0),0))</f>
        <v/>
      </c>
      <c r="K64" s="14" t="n"/>
      <c r="L64" s="14" t="n"/>
      <c r="M64" s="14" t="n"/>
      <c r="N64" s="14" t="n"/>
      <c r="O64" s="14" t="n"/>
      <c r="P64" s="14" t="n"/>
    </row>
    <row r="65" ht="22" customHeight="1">
      <c r="B65" s="12">
        <f>IF(C65="","VIS"&amp;TEXT(COUNTA($C$5:C65),"000"))</f>
        <v/>
      </c>
      <c r="C65" s="12" t="n"/>
      <c r="D65" s="12" t="n"/>
      <c r="E65" s="12" t="n"/>
      <c r="F65" s="12" t="n"/>
      <c r="G65" s="12" t="n"/>
      <c r="H65" s="12" t="n"/>
      <c r="I65" s="12" t="n"/>
      <c r="J65" s="18">
        <f>IF(H65="","",IFERROR(MAX(H65-TODAY(),0),0))</f>
        <v/>
      </c>
      <c r="K65" s="12" t="n"/>
      <c r="L65" s="12" t="n"/>
      <c r="M65" s="12" t="n"/>
      <c r="N65" s="12" t="n"/>
      <c r="O65" s="12" t="n"/>
      <c r="P65" s="12" t="n"/>
    </row>
    <row r="66" ht="22" customHeight="1">
      <c r="B66" s="14">
        <f>IF(C66="","VIS"&amp;TEXT(COUNTA($C$5:C66),"000"))</f>
        <v/>
      </c>
      <c r="C66" s="14" t="n"/>
      <c r="D66" s="14" t="n"/>
      <c r="E66" s="14" t="n"/>
      <c r="F66" s="14" t="n"/>
      <c r="G66" s="14" t="n"/>
      <c r="H66" s="14" t="n"/>
      <c r="I66" s="14" t="n"/>
      <c r="J66" s="19">
        <f>IF(H66="","",IFERROR(MAX(H66-TODAY(),0),0))</f>
        <v/>
      </c>
      <c r="K66" s="14" t="n"/>
      <c r="L66" s="14" t="n"/>
      <c r="M66" s="14" t="n"/>
      <c r="N66" s="14" t="n"/>
      <c r="O66" s="14" t="n"/>
      <c r="P66" s="14" t="n"/>
    </row>
    <row r="67" ht="22" customHeight="1">
      <c r="B67" s="12">
        <f>IF(C67="","VIS"&amp;TEXT(COUNTA($C$5:C67),"000"))</f>
        <v/>
      </c>
      <c r="C67" s="12" t="n"/>
      <c r="D67" s="12" t="n"/>
      <c r="E67" s="12" t="n"/>
      <c r="F67" s="12" t="n"/>
      <c r="G67" s="12" t="n"/>
      <c r="H67" s="12" t="n"/>
      <c r="I67" s="12" t="n"/>
      <c r="J67" s="18">
        <f>IF(H67="","",IFERROR(MAX(H67-TODAY(),0),0))</f>
        <v/>
      </c>
      <c r="K67" s="12" t="n"/>
      <c r="L67" s="12" t="n"/>
      <c r="M67" s="12" t="n"/>
      <c r="N67" s="12" t="n"/>
      <c r="O67" s="12" t="n"/>
      <c r="P67" s="12" t="n"/>
    </row>
    <row r="68" ht="22" customHeight="1">
      <c r="B68" s="14">
        <f>IF(C68="","VIS"&amp;TEXT(COUNTA($C$5:C68),"000"))</f>
        <v/>
      </c>
      <c r="C68" s="14" t="n"/>
      <c r="D68" s="14" t="n"/>
      <c r="E68" s="14" t="n"/>
      <c r="F68" s="14" t="n"/>
      <c r="G68" s="14" t="n"/>
      <c r="H68" s="14" t="n"/>
      <c r="I68" s="14" t="n"/>
      <c r="J68" s="19">
        <f>IF(H68="","",IFERROR(MAX(H68-TODAY(),0),0))</f>
        <v/>
      </c>
      <c r="K68" s="14" t="n"/>
      <c r="L68" s="14" t="n"/>
      <c r="M68" s="14" t="n"/>
      <c r="N68" s="14" t="n"/>
      <c r="O68" s="14" t="n"/>
      <c r="P68" s="14" t="n"/>
    </row>
    <row r="69" ht="22" customHeight="1">
      <c r="B69" s="12">
        <f>IF(C69="","VIS"&amp;TEXT(COUNTA($C$5:C69),"000"))</f>
        <v/>
      </c>
      <c r="C69" s="12" t="n"/>
      <c r="D69" s="12" t="n"/>
      <c r="E69" s="12" t="n"/>
      <c r="F69" s="12" t="n"/>
      <c r="G69" s="12" t="n"/>
      <c r="H69" s="12" t="n"/>
      <c r="I69" s="12" t="n"/>
      <c r="J69" s="18">
        <f>IF(H69="","",IFERROR(MAX(H69-TODAY(),0),0))</f>
        <v/>
      </c>
      <c r="K69" s="12" t="n"/>
      <c r="L69" s="12" t="n"/>
      <c r="M69" s="12" t="n"/>
      <c r="N69" s="12" t="n"/>
      <c r="O69" s="12" t="n"/>
      <c r="P69" s="12" t="n"/>
    </row>
    <row r="70" ht="22" customHeight="1">
      <c r="B70" s="14">
        <f>IF(C70="","VIS"&amp;TEXT(COUNTA($C$5:C70),"000"))</f>
        <v/>
      </c>
      <c r="C70" s="14" t="n"/>
      <c r="D70" s="14" t="n"/>
      <c r="E70" s="14" t="n"/>
      <c r="F70" s="14" t="n"/>
      <c r="G70" s="14" t="n"/>
      <c r="H70" s="14" t="n"/>
      <c r="I70" s="14" t="n"/>
      <c r="J70" s="19">
        <f>IF(H70="","",IFERROR(MAX(H70-TODAY(),0),0))</f>
        <v/>
      </c>
      <c r="K70" s="14" t="n"/>
      <c r="L70" s="14" t="n"/>
      <c r="M70" s="14" t="n"/>
      <c r="N70" s="14" t="n"/>
      <c r="O70" s="14" t="n"/>
      <c r="P70" s="14" t="n"/>
    </row>
    <row r="71" ht="22" customHeight="1">
      <c r="B71" s="12">
        <f>IF(C71="","VIS"&amp;TEXT(COUNTA($C$5:C71),"000"))</f>
        <v/>
      </c>
      <c r="C71" s="12" t="n"/>
      <c r="D71" s="12" t="n"/>
      <c r="E71" s="12" t="n"/>
      <c r="F71" s="12" t="n"/>
      <c r="G71" s="12" t="n"/>
      <c r="H71" s="12" t="n"/>
      <c r="I71" s="12" t="n"/>
      <c r="J71" s="18">
        <f>IF(H71="","",IFERROR(MAX(H71-TODAY(),0),0))</f>
        <v/>
      </c>
      <c r="K71" s="12" t="n"/>
      <c r="L71" s="12" t="n"/>
      <c r="M71" s="12" t="n"/>
      <c r="N71" s="12" t="n"/>
      <c r="O71" s="12" t="n"/>
      <c r="P71" s="12" t="n"/>
    </row>
    <row r="72" ht="22" customHeight="1">
      <c r="B72" s="14">
        <f>IF(C72="","VIS"&amp;TEXT(COUNTA($C$5:C72),"000"))</f>
        <v/>
      </c>
      <c r="C72" s="14" t="n"/>
      <c r="D72" s="14" t="n"/>
      <c r="E72" s="14" t="n"/>
      <c r="F72" s="14" t="n"/>
      <c r="G72" s="14" t="n"/>
      <c r="H72" s="14" t="n"/>
      <c r="I72" s="14" t="n"/>
      <c r="J72" s="19">
        <f>IF(H72="","",IFERROR(MAX(H72-TODAY(),0),0))</f>
        <v/>
      </c>
      <c r="K72" s="14" t="n"/>
      <c r="L72" s="14" t="n"/>
      <c r="M72" s="14" t="n"/>
      <c r="N72" s="14" t="n"/>
      <c r="O72" s="14" t="n"/>
      <c r="P72" s="14" t="n"/>
    </row>
    <row r="73" ht="22" customHeight="1">
      <c r="B73" s="12">
        <f>IF(C73="","VIS"&amp;TEXT(COUNTA($C$5:C73),"000"))</f>
        <v/>
      </c>
      <c r="C73" s="12" t="n"/>
      <c r="D73" s="12" t="n"/>
      <c r="E73" s="12" t="n"/>
      <c r="F73" s="12" t="n"/>
      <c r="G73" s="12" t="n"/>
      <c r="H73" s="12" t="n"/>
      <c r="I73" s="12" t="n"/>
      <c r="J73" s="18">
        <f>IF(H73="","",IFERROR(MAX(H73-TODAY(),0),0))</f>
        <v/>
      </c>
      <c r="K73" s="12" t="n"/>
      <c r="L73" s="12" t="n"/>
      <c r="M73" s="12" t="n"/>
      <c r="N73" s="12" t="n"/>
      <c r="O73" s="12" t="n"/>
      <c r="P73" s="12" t="n"/>
    </row>
    <row r="74" ht="22" customHeight="1">
      <c r="B74" s="14">
        <f>IF(C74="","VIS"&amp;TEXT(COUNTA($C$5:C74),"000"))</f>
        <v/>
      </c>
      <c r="C74" s="14" t="n"/>
      <c r="D74" s="14" t="n"/>
      <c r="E74" s="14" t="n"/>
      <c r="F74" s="14" t="n"/>
      <c r="G74" s="14" t="n"/>
      <c r="H74" s="14" t="n"/>
      <c r="I74" s="14" t="n"/>
      <c r="J74" s="19">
        <f>IF(H74="","",IFERROR(MAX(H74-TODAY(),0),0))</f>
        <v/>
      </c>
      <c r="K74" s="14" t="n"/>
      <c r="L74" s="14" t="n"/>
      <c r="M74" s="14" t="n"/>
      <c r="N74" s="14" t="n"/>
      <c r="O74" s="14" t="n"/>
      <c r="P74" s="14" t="n"/>
    </row>
    <row r="75" ht="22" customHeight="1">
      <c r="B75" s="12">
        <f>IF(C75="","VIS"&amp;TEXT(COUNTA($C$5:C75),"000"))</f>
        <v/>
      </c>
      <c r="C75" s="12" t="n"/>
      <c r="D75" s="12" t="n"/>
      <c r="E75" s="12" t="n"/>
      <c r="F75" s="12" t="n"/>
      <c r="G75" s="12" t="n"/>
      <c r="H75" s="12" t="n"/>
      <c r="I75" s="12" t="n"/>
      <c r="J75" s="18">
        <f>IF(H75="","",IFERROR(MAX(H75-TODAY(),0),0))</f>
        <v/>
      </c>
      <c r="K75" s="12" t="n"/>
      <c r="L75" s="12" t="n"/>
      <c r="M75" s="12" t="n"/>
      <c r="N75" s="12" t="n"/>
      <c r="O75" s="12" t="n"/>
      <c r="P75" s="12" t="n"/>
    </row>
    <row r="76" ht="22" customHeight="1">
      <c r="B76" s="14">
        <f>IF(C76="","VIS"&amp;TEXT(COUNTA($C$5:C76),"000"))</f>
        <v/>
      </c>
      <c r="C76" s="14" t="n"/>
      <c r="D76" s="14" t="n"/>
      <c r="E76" s="14" t="n"/>
      <c r="F76" s="14" t="n"/>
      <c r="G76" s="14" t="n"/>
      <c r="H76" s="14" t="n"/>
      <c r="I76" s="14" t="n"/>
      <c r="J76" s="19">
        <f>IF(H76="","",IFERROR(MAX(H76-TODAY(),0),0))</f>
        <v/>
      </c>
      <c r="K76" s="14" t="n"/>
      <c r="L76" s="14" t="n"/>
      <c r="M76" s="14" t="n"/>
      <c r="N76" s="14" t="n"/>
      <c r="O76" s="14" t="n"/>
      <c r="P76" s="14" t="n"/>
    </row>
    <row r="77" ht="22" customHeight="1">
      <c r="B77" s="12">
        <f>IF(C77="","VIS"&amp;TEXT(COUNTA($C$5:C77),"000"))</f>
        <v/>
      </c>
      <c r="C77" s="12" t="n"/>
      <c r="D77" s="12" t="n"/>
      <c r="E77" s="12" t="n"/>
      <c r="F77" s="12" t="n"/>
      <c r="G77" s="12" t="n"/>
      <c r="H77" s="12" t="n"/>
      <c r="I77" s="12" t="n"/>
      <c r="J77" s="18">
        <f>IF(H77="","",IFERROR(MAX(H77-TODAY(),0),0))</f>
        <v/>
      </c>
      <c r="K77" s="12" t="n"/>
      <c r="L77" s="12" t="n"/>
      <c r="M77" s="12" t="n"/>
      <c r="N77" s="12" t="n"/>
      <c r="O77" s="12" t="n"/>
      <c r="P77" s="12" t="n"/>
    </row>
    <row r="78" ht="22" customHeight="1">
      <c r="B78" s="14">
        <f>IF(C78="","VIS"&amp;TEXT(COUNTA($C$5:C78),"000"))</f>
        <v/>
      </c>
      <c r="C78" s="14" t="n"/>
      <c r="D78" s="14" t="n"/>
      <c r="E78" s="14" t="n"/>
      <c r="F78" s="14" t="n"/>
      <c r="G78" s="14" t="n"/>
      <c r="H78" s="14" t="n"/>
      <c r="I78" s="14" t="n"/>
      <c r="J78" s="19">
        <f>IF(H78="","",IFERROR(MAX(H78-TODAY(),0),0))</f>
        <v/>
      </c>
      <c r="K78" s="14" t="n"/>
      <c r="L78" s="14" t="n"/>
      <c r="M78" s="14" t="n"/>
      <c r="N78" s="14" t="n"/>
      <c r="O78" s="14" t="n"/>
      <c r="P78" s="14" t="n"/>
    </row>
    <row r="79" ht="22" customHeight="1">
      <c r="B79" s="12">
        <f>IF(C79="","VIS"&amp;TEXT(COUNTA($C$5:C79),"000"))</f>
        <v/>
      </c>
      <c r="C79" s="12" t="n"/>
      <c r="D79" s="12" t="n"/>
      <c r="E79" s="12" t="n"/>
      <c r="F79" s="12" t="n"/>
      <c r="G79" s="12" t="n"/>
      <c r="H79" s="12" t="n"/>
      <c r="I79" s="12" t="n"/>
      <c r="J79" s="18">
        <f>IF(H79="","",IFERROR(MAX(H79-TODAY(),0),0))</f>
        <v/>
      </c>
      <c r="K79" s="12" t="n"/>
      <c r="L79" s="12" t="n"/>
      <c r="M79" s="12" t="n"/>
      <c r="N79" s="12" t="n"/>
      <c r="O79" s="12" t="n"/>
      <c r="P79" s="12" t="n"/>
    </row>
    <row r="80" ht="22" customHeight="1">
      <c r="B80" s="14">
        <f>IF(C80="","VIS"&amp;TEXT(COUNTA($C$5:C80),"000"))</f>
        <v/>
      </c>
      <c r="C80" s="14" t="n"/>
      <c r="D80" s="14" t="n"/>
      <c r="E80" s="14" t="n"/>
      <c r="F80" s="14" t="n"/>
      <c r="G80" s="14" t="n"/>
      <c r="H80" s="14" t="n"/>
      <c r="I80" s="14" t="n"/>
      <c r="J80" s="19">
        <f>IF(H80="","",IFERROR(MAX(H80-TODAY(),0),0))</f>
        <v/>
      </c>
      <c r="K80" s="14" t="n"/>
      <c r="L80" s="14" t="n"/>
      <c r="M80" s="14" t="n"/>
      <c r="N80" s="14" t="n"/>
      <c r="O80" s="14" t="n"/>
      <c r="P80" s="14" t="n"/>
    </row>
    <row r="81" ht="22" customHeight="1">
      <c r="B81" s="12">
        <f>IF(C81="","VIS"&amp;TEXT(COUNTA($C$5:C81),"000"))</f>
        <v/>
      </c>
      <c r="C81" s="12" t="n"/>
      <c r="D81" s="12" t="n"/>
      <c r="E81" s="12" t="n"/>
      <c r="F81" s="12" t="n"/>
      <c r="G81" s="12" t="n"/>
      <c r="H81" s="12" t="n"/>
      <c r="I81" s="12" t="n"/>
      <c r="J81" s="18">
        <f>IF(H81="","",IFERROR(MAX(H81-TODAY(),0),0))</f>
        <v/>
      </c>
      <c r="K81" s="12" t="n"/>
      <c r="L81" s="12" t="n"/>
      <c r="M81" s="12" t="n"/>
      <c r="N81" s="12" t="n"/>
      <c r="O81" s="12" t="n"/>
      <c r="P81" s="12" t="n"/>
    </row>
    <row r="82" ht="22" customHeight="1">
      <c r="B82" s="14">
        <f>IF(C82="","VIS"&amp;TEXT(COUNTA($C$5:C82),"000"))</f>
        <v/>
      </c>
      <c r="C82" s="14" t="n"/>
      <c r="D82" s="14" t="n"/>
      <c r="E82" s="14" t="n"/>
      <c r="F82" s="14" t="n"/>
      <c r="G82" s="14" t="n"/>
      <c r="H82" s="14" t="n"/>
      <c r="I82" s="14" t="n"/>
      <c r="J82" s="19">
        <f>IF(H82="","",IFERROR(MAX(H82-TODAY(),0),0))</f>
        <v/>
      </c>
      <c r="K82" s="14" t="n"/>
      <c r="L82" s="14" t="n"/>
      <c r="M82" s="14" t="n"/>
      <c r="N82" s="14" t="n"/>
      <c r="O82" s="14" t="n"/>
      <c r="P82" s="14" t="n"/>
    </row>
    <row r="83" ht="22" customHeight="1">
      <c r="B83" s="12">
        <f>IF(C83="","VIS"&amp;TEXT(COUNTA($C$5:C83),"000"))</f>
        <v/>
      </c>
      <c r="C83" s="12" t="n"/>
      <c r="D83" s="12" t="n"/>
      <c r="E83" s="12" t="n"/>
      <c r="F83" s="12" t="n"/>
      <c r="G83" s="12" t="n"/>
      <c r="H83" s="12" t="n"/>
      <c r="I83" s="12" t="n"/>
      <c r="J83" s="18">
        <f>IF(H83="","",IFERROR(MAX(H83-TODAY(),0),0))</f>
        <v/>
      </c>
      <c r="K83" s="12" t="n"/>
      <c r="L83" s="12" t="n"/>
      <c r="M83" s="12" t="n"/>
      <c r="N83" s="12" t="n"/>
      <c r="O83" s="12" t="n"/>
      <c r="P83" s="12" t="n"/>
    </row>
    <row r="84" ht="22" customHeight="1">
      <c r="B84" s="14">
        <f>IF(C84="","VIS"&amp;TEXT(COUNTA($C$5:C84),"000"))</f>
        <v/>
      </c>
      <c r="C84" s="14" t="n"/>
      <c r="D84" s="14" t="n"/>
      <c r="E84" s="14" t="n"/>
      <c r="F84" s="14" t="n"/>
      <c r="G84" s="14" t="n"/>
      <c r="H84" s="14" t="n"/>
      <c r="I84" s="14" t="n"/>
      <c r="J84" s="19">
        <f>IF(H84="","",IFERROR(MAX(H84-TODAY(),0),0))</f>
        <v/>
      </c>
      <c r="K84" s="14" t="n"/>
      <c r="L84" s="14" t="n"/>
      <c r="M84" s="14" t="n"/>
      <c r="N84" s="14" t="n"/>
      <c r="O84" s="14" t="n"/>
      <c r="P84" s="14" t="n"/>
    </row>
    <row r="85" ht="22" customHeight="1">
      <c r="B85" s="12">
        <f>IF(C85="","VIS"&amp;TEXT(COUNTA($C$5:C85),"000"))</f>
        <v/>
      </c>
      <c r="C85" s="12" t="n"/>
      <c r="D85" s="12" t="n"/>
      <c r="E85" s="12" t="n"/>
      <c r="F85" s="12" t="n"/>
      <c r="G85" s="12" t="n"/>
      <c r="H85" s="12" t="n"/>
      <c r="I85" s="12" t="n"/>
      <c r="J85" s="18">
        <f>IF(H85="","",IFERROR(MAX(H85-TODAY(),0),0))</f>
        <v/>
      </c>
      <c r="K85" s="12" t="n"/>
      <c r="L85" s="12" t="n"/>
      <c r="M85" s="12" t="n"/>
      <c r="N85" s="12" t="n"/>
      <c r="O85" s="12" t="n"/>
      <c r="P85" s="12" t="n"/>
    </row>
    <row r="86" ht="22" customHeight="1">
      <c r="B86" s="14">
        <f>IF(C86="","VIS"&amp;TEXT(COUNTA($C$5:C86),"000"))</f>
        <v/>
      </c>
      <c r="C86" s="14" t="n"/>
      <c r="D86" s="14" t="n"/>
      <c r="E86" s="14" t="n"/>
      <c r="F86" s="14" t="n"/>
      <c r="G86" s="14" t="n"/>
      <c r="H86" s="14" t="n"/>
      <c r="I86" s="14" t="n"/>
      <c r="J86" s="19">
        <f>IF(H86="","",IFERROR(MAX(H86-TODAY(),0),0))</f>
        <v/>
      </c>
      <c r="K86" s="14" t="n"/>
      <c r="L86" s="14" t="n"/>
      <c r="M86" s="14" t="n"/>
      <c r="N86" s="14" t="n"/>
      <c r="O86" s="14" t="n"/>
      <c r="P86" s="14" t="n"/>
    </row>
    <row r="87" ht="22" customHeight="1">
      <c r="B87" s="12">
        <f>IF(C87="","VIS"&amp;TEXT(COUNTA($C$5:C87),"000"))</f>
        <v/>
      </c>
      <c r="C87" s="12" t="n"/>
      <c r="D87" s="12" t="n"/>
      <c r="E87" s="12" t="n"/>
      <c r="F87" s="12" t="n"/>
      <c r="G87" s="12" t="n"/>
      <c r="H87" s="12" t="n"/>
      <c r="I87" s="12" t="n"/>
      <c r="J87" s="18">
        <f>IF(H87="","",IFERROR(MAX(H87-TODAY(),0),0))</f>
        <v/>
      </c>
      <c r="K87" s="12" t="n"/>
      <c r="L87" s="12" t="n"/>
      <c r="M87" s="12" t="n"/>
      <c r="N87" s="12" t="n"/>
      <c r="O87" s="12" t="n"/>
      <c r="P87" s="12" t="n"/>
    </row>
    <row r="88" ht="22" customHeight="1">
      <c r="B88" s="14">
        <f>IF(C88="","VIS"&amp;TEXT(COUNTA($C$5:C88),"000"))</f>
        <v/>
      </c>
      <c r="C88" s="14" t="n"/>
      <c r="D88" s="14" t="n"/>
      <c r="E88" s="14" t="n"/>
      <c r="F88" s="14" t="n"/>
      <c r="G88" s="14" t="n"/>
      <c r="H88" s="14" t="n"/>
      <c r="I88" s="14" t="n"/>
      <c r="J88" s="19">
        <f>IF(H88="","",IFERROR(MAX(H88-TODAY(),0),0))</f>
        <v/>
      </c>
      <c r="K88" s="14" t="n"/>
      <c r="L88" s="14" t="n"/>
      <c r="M88" s="14" t="n"/>
      <c r="N88" s="14" t="n"/>
      <c r="O88" s="14" t="n"/>
      <c r="P88" s="14" t="n"/>
    </row>
    <row r="89" ht="22" customHeight="1">
      <c r="B89" s="12">
        <f>IF(C89="","VIS"&amp;TEXT(COUNTA($C$5:C89),"000"))</f>
        <v/>
      </c>
      <c r="C89" s="12" t="n"/>
      <c r="D89" s="12" t="n"/>
      <c r="E89" s="12" t="n"/>
      <c r="F89" s="12" t="n"/>
      <c r="G89" s="12" t="n"/>
      <c r="H89" s="12" t="n"/>
      <c r="I89" s="12" t="n"/>
      <c r="J89" s="18">
        <f>IF(H89="","",IFERROR(MAX(H89-TODAY(),0),0))</f>
        <v/>
      </c>
      <c r="K89" s="12" t="n"/>
      <c r="L89" s="12" t="n"/>
      <c r="M89" s="12" t="n"/>
      <c r="N89" s="12" t="n"/>
      <c r="O89" s="12" t="n"/>
      <c r="P89" s="12" t="n"/>
    </row>
    <row r="90" ht="22" customHeight="1">
      <c r="B90" s="14">
        <f>IF(C90="","VIS"&amp;TEXT(COUNTA($C$5:C90),"000"))</f>
        <v/>
      </c>
      <c r="C90" s="14" t="n"/>
      <c r="D90" s="14" t="n"/>
      <c r="E90" s="14" t="n"/>
      <c r="F90" s="14" t="n"/>
      <c r="G90" s="14" t="n"/>
      <c r="H90" s="14" t="n"/>
      <c r="I90" s="14" t="n"/>
      <c r="J90" s="19">
        <f>IF(H90="","",IFERROR(MAX(H90-TODAY(),0),0))</f>
        <v/>
      </c>
      <c r="K90" s="14" t="n"/>
      <c r="L90" s="14" t="n"/>
      <c r="M90" s="14" t="n"/>
      <c r="N90" s="14" t="n"/>
      <c r="O90" s="14" t="n"/>
      <c r="P90" s="14" t="n"/>
    </row>
    <row r="91" ht="22" customHeight="1">
      <c r="B91" s="12">
        <f>IF(C91="","VIS"&amp;TEXT(COUNTA($C$5:C91),"000"))</f>
        <v/>
      </c>
      <c r="C91" s="12" t="n"/>
      <c r="D91" s="12" t="n"/>
      <c r="E91" s="12" t="n"/>
      <c r="F91" s="12" t="n"/>
      <c r="G91" s="12" t="n"/>
      <c r="H91" s="12" t="n"/>
      <c r="I91" s="12" t="n"/>
      <c r="J91" s="18">
        <f>IF(H91="","",IFERROR(MAX(H91-TODAY(),0),0))</f>
        <v/>
      </c>
      <c r="K91" s="12" t="n"/>
      <c r="L91" s="12" t="n"/>
      <c r="M91" s="12" t="n"/>
      <c r="N91" s="12" t="n"/>
      <c r="O91" s="12" t="n"/>
      <c r="P91" s="12" t="n"/>
    </row>
    <row r="92" ht="22" customHeight="1">
      <c r="B92" s="14">
        <f>IF(C92="","VIS"&amp;TEXT(COUNTA($C$5:C92),"000"))</f>
        <v/>
      </c>
      <c r="C92" s="14" t="n"/>
      <c r="D92" s="14" t="n"/>
      <c r="E92" s="14" t="n"/>
      <c r="F92" s="14" t="n"/>
      <c r="G92" s="14" t="n"/>
      <c r="H92" s="14" t="n"/>
      <c r="I92" s="14" t="n"/>
      <c r="J92" s="19">
        <f>IF(H92="","",IFERROR(MAX(H92-TODAY(),0),0))</f>
        <v/>
      </c>
      <c r="K92" s="14" t="n"/>
      <c r="L92" s="14" t="n"/>
      <c r="M92" s="14" t="n"/>
      <c r="N92" s="14" t="n"/>
      <c r="O92" s="14" t="n"/>
      <c r="P92" s="14" t="n"/>
    </row>
    <row r="93" ht="22" customHeight="1">
      <c r="B93" s="12">
        <f>IF(C93="","VIS"&amp;TEXT(COUNTA($C$5:C93),"000"))</f>
        <v/>
      </c>
      <c r="C93" s="12" t="n"/>
      <c r="D93" s="12" t="n"/>
      <c r="E93" s="12" t="n"/>
      <c r="F93" s="12" t="n"/>
      <c r="G93" s="12" t="n"/>
      <c r="H93" s="12" t="n"/>
      <c r="I93" s="12" t="n"/>
      <c r="J93" s="18">
        <f>IF(H93="","",IFERROR(MAX(H93-TODAY(),0),0))</f>
        <v/>
      </c>
      <c r="K93" s="12" t="n"/>
      <c r="L93" s="12" t="n"/>
      <c r="M93" s="12" t="n"/>
      <c r="N93" s="12" t="n"/>
      <c r="O93" s="12" t="n"/>
      <c r="P93" s="12" t="n"/>
    </row>
    <row r="94" ht="22" customHeight="1">
      <c r="B94" s="14">
        <f>IF(C94="","VIS"&amp;TEXT(COUNTA($C$5:C94),"000"))</f>
        <v/>
      </c>
      <c r="C94" s="14" t="n"/>
      <c r="D94" s="14" t="n"/>
      <c r="E94" s="14" t="n"/>
      <c r="F94" s="14" t="n"/>
      <c r="G94" s="14" t="n"/>
      <c r="H94" s="14" t="n"/>
      <c r="I94" s="14" t="n"/>
      <c r="J94" s="19">
        <f>IF(H94="","",IFERROR(MAX(H94-TODAY(),0),0))</f>
        <v/>
      </c>
      <c r="K94" s="14" t="n"/>
      <c r="L94" s="14" t="n"/>
      <c r="M94" s="14" t="n"/>
      <c r="N94" s="14" t="n"/>
      <c r="O94" s="14" t="n"/>
      <c r="P94" s="14" t="n"/>
    </row>
    <row r="95" ht="22" customHeight="1">
      <c r="B95" s="12">
        <f>IF(C95="","VIS"&amp;TEXT(COUNTA($C$5:C95),"000"))</f>
        <v/>
      </c>
      <c r="C95" s="12" t="n"/>
      <c r="D95" s="12" t="n"/>
      <c r="E95" s="12" t="n"/>
      <c r="F95" s="12" t="n"/>
      <c r="G95" s="12" t="n"/>
      <c r="H95" s="12" t="n"/>
      <c r="I95" s="12" t="n"/>
      <c r="J95" s="18">
        <f>IF(H95="","",IFERROR(MAX(H95-TODAY(),0),0))</f>
        <v/>
      </c>
      <c r="K95" s="12" t="n"/>
      <c r="L95" s="12" t="n"/>
      <c r="M95" s="12" t="n"/>
      <c r="N95" s="12" t="n"/>
      <c r="O95" s="12" t="n"/>
      <c r="P95" s="12" t="n"/>
    </row>
    <row r="96" ht="22" customHeight="1">
      <c r="B96" s="14">
        <f>IF(C96="","VIS"&amp;TEXT(COUNTA($C$5:C96),"000"))</f>
        <v/>
      </c>
      <c r="C96" s="14" t="n"/>
      <c r="D96" s="14" t="n"/>
      <c r="E96" s="14" t="n"/>
      <c r="F96" s="14" t="n"/>
      <c r="G96" s="14" t="n"/>
      <c r="H96" s="14" t="n"/>
      <c r="I96" s="14" t="n"/>
      <c r="J96" s="19">
        <f>IF(H96="","",IFERROR(MAX(H96-TODAY(),0),0))</f>
        <v/>
      </c>
      <c r="K96" s="14" t="n"/>
      <c r="L96" s="14" t="n"/>
      <c r="M96" s="14" t="n"/>
      <c r="N96" s="14" t="n"/>
      <c r="O96" s="14" t="n"/>
      <c r="P96" s="14" t="n"/>
    </row>
    <row r="97" ht="22" customHeight="1">
      <c r="B97" s="12">
        <f>IF(C97="","VIS"&amp;TEXT(COUNTA($C$5:C97),"000"))</f>
        <v/>
      </c>
      <c r="C97" s="12" t="n"/>
      <c r="D97" s="12" t="n"/>
      <c r="E97" s="12" t="n"/>
      <c r="F97" s="12" t="n"/>
      <c r="G97" s="12" t="n"/>
      <c r="H97" s="12" t="n"/>
      <c r="I97" s="12" t="n"/>
      <c r="J97" s="18">
        <f>IF(H97="","",IFERROR(MAX(H97-TODAY(),0),0))</f>
        <v/>
      </c>
      <c r="K97" s="12" t="n"/>
      <c r="L97" s="12" t="n"/>
      <c r="M97" s="12" t="n"/>
      <c r="N97" s="12" t="n"/>
      <c r="O97" s="12" t="n"/>
      <c r="P97" s="12" t="n"/>
    </row>
    <row r="98" ht="22" customHeight="1">
      <c r="B98" s="14">
        <f>IF(C98="","VIS"&amp;TEXT(COUNTA($C$5:C98),"000"))</f>
        <v/>
      </c>
      <c r="C98" s="14" t="n"/>
      <c r="D98" s="14" t="n"/>
      <c r="E98" s="14" t="n"/>
      <c r="F98" s="14" t="n"/>
      <c r="G98" s="14" t="n"/>
      <c r="H98" s="14" t="n"/>
      <c r="I98" s="14" t="n"/>
      <c r="J98" s="19">
        <f>IF(H98="","",IFERROR(MAX(H98-TODAY(),0),0))</f>
        <v/>
      </c>
      <c r="K98" s="14" t="n"/>
      <c r="L98" s="14" t="n"/>
      <c r="M98" s="14" t="n"/>
      <c r="N98" s="14" t="n"/>
      <c r="O98" s="14" t="n"/>
      <c r="P98" s="14" t="n"/>
    </row>
    <row r="99" ht="22" customHeight="1">
      <c r="B99" s="12">
        <f>IF(C99="","VIS"&amp;TEXT(COUNTA($C$5:C99),"000"))</f>
        <v/>
      </c>
      <c r="C99" s="12" t="n"/>
      <c r="D99" s="12" t="n"/>
      <c r="E99" s="12" t="n"/>
      <c r="F99" s="12" t="n"/>
      <c r="G99" s="12" t="n"/>
      <c r="H99" s="12" t="n"/>
      <c r="I99" s="12" t="n"/>
      <c r="J99" s="18">
        <f>IF(H99="","",IFERROR(MAX(H99-TODAY(),0),0))</f>
        <v/>
      </c>
      <c r="K99" s="12" t="n"/>
      <c r="L99" s="12" t="n"/>
      <c r="M99" s="12" t="n"/>
      <c r="N99" s="12" t="n"/>
      <c r="O99" s="12" t="n"/>
      <c r="P99" s="12" t="n"/>
    </row>
    <row r="100" ht="22" customHeight="1">
      <c r="B100" s="14">
        <f>IF(C100="","VIS"&amp;TEXT(COUNTA($C$5:C100),"000"))</f>
        <v/>
      </c>
      <c r="C100" s="14" t="n"/>
      <c r="D100" s="14" t="n"/>
      <c r="E100" s="14" t="n"/>
      <c r="F100" s="14" t="n"/>
      <c r="G100" s="14" t="n"/>
      <c r="H100" s="14" t="n"/>
      <c r="I100" s="14" t="n"/>
      <c r="J100" s="19">
        <f>IF(H100="","",IFERROR(MAX(H100-TODAY(),0),0))</f>
        <v/>
      </c>
      <c r="K100" s="14" t="n"/>
      <c r="L100" s="14" t="n"/>
      <c r="M100" s="14" t="n"/>
      <c r="N100" s="14" t="n"/>
      <c r="O100" s="14" t="n"/>
      <c r="P100" s="14" t="n"/>
    </row>
    <row r="101" ht="22" customHeight="1">
      <c r="B101" s="12">
        <f>IF(C101="","VIS"&amp;TEXT(COUNTA($C$5:C101),"000"))</f>
        <v/>
      </c>
      <c r="C101" s="12" t="n"/>
      <c r="D101" s="12" t="n"/>
      <c r="E101" s="12" t="n"/>
      <c r="F101" s="12" t="n"/>
      <c r="G101" s="12" t="n"/>
      <c r="H101" s="12" t="n"/>
      <c r="I101" s="12" t="n"/>
      <c r="J101" s="18">
        <f>IF(H101="","",IFERROR(MAX(H101-TODAY(),0),0))</f>
        <v/>
      </c>
      <c r="K101" s="12" t="n"/>
      <c r="L101" s="12" t="n"/>
      <c r="M101" s="12" t="n"/>
      <c r="N101" s="12" t="n"/>
      <c r="O101" s="12" t="n"/>
      <c r="P101" s="12" t="n"/>
    </row>
    <row r="102" ht="22" customHeight="1">
      <c r="B102" s="14">
        <f>IF(C102="","VIS"&amp;TEXT(COUNTA($C$5:C102),"000"))</f>
        <v/>
      </c>
      <c r="C102" s="14" t="n"/>
      <c r="D102" s="14" t="n"/>
      <c r="E102" s="14" t="n"/>
      <c r="F102" s="14" t="n"/>
      <c r="G102" s="14" t="n"/>
      <c r="H102" s="14" t="n"/>
      <c r="I102" s="14" t="n"/>
      <c r="J102" s="19">
        <f>IF(H102="","",IFERROR(MAX(H102-TODAY(),0),0))</f>
        <v/>
      </c>
      <c r="K102" s="14" t="n"/>
      <c r="L102" s="14" t="n"/>
      <c r="M102" s="14" t="n"/>
      <c r="N102" s="14" t="n"/>
      <c r="O102" s="14" t="n"/>
      <c r="P102" s="14" t="n"/>
    </row>
    <row r="103" ht="22" customHeight="1">
      <c r="B103" s="12">
        <f>IF(C103="","VIS"&amp;TEXT(COUNTA($C$5:C103),"000"))</f>
        <v/>
      </c>
      <c r="C103" s="12" t="n"/>
      <c r="D103" s="12" t="n"/>
      <c r="E103" s="12" t="n"/>
      <c r="F103" s="12" t="n"/>
      <c r="G103" s="12" t="n"/>
      <c r="H103" s="12" t="n"/>
      <c r="I103" s="12" t="n"/>
      <c r="J103" s="18">
        <f>IF(H103="","",IFERROR(MAX(H103-TODAY(),0),0))</f>
        <v/>
      </c>
      <c r="K103" s="12" t="n"/>
      <c r="L103" s="12" t="n"/>
      <c r="M103" s="12" t="n"/>
      <c r="N103" s="12" t="n"/>
      <c r="O103" s="12" t="n"/>
      <c r="P103" s="12" t="n"/>
    </row>
    <row r="104" ht="22" customHeight="1">
      <c r="B104" s="14">
        <f>IF(C104="","VIS"&amp;TEXT(COUNTA($C$5:C104),"000"))</f>
        <v/>
      </c>
      <c r="C104" s="14" t="n"/>
      <c r="D104" s="14" t="n"/>
      <c r="E104" s="14" t="n"/>
      <c r="F104" s="14" t="n"/>
      <c r="G104" s="14" t="n"/>
      <c r="H104" s="14" t="n"/>
      <c r="I104" s="14" t="n"/>
      <c r="J104" s="19">
        <f>IF(H104="","",IFERROR(MAX(H104-TODAY(),0),0))</f>
        <v/>
      </c>
      <c r="K104" s="14" t="n"/>
      <c r="L104" s="14" t="n"/>
      <c r="M104" s="14" t="n"/>
      <c r="N104" s="14" t="n"/>
      <c r="O104" s="14" t="n"/>
      <c r="P104" s="14" t="n"/>
    </row>
    <row r="105"/>
    <row r="106">
      <c r="B106" s="40" t="inlineStr">
        <is>
          <t>KPI Total Visites</t>
        </is>
      </c>
      <c r="C106" s="40" t="inlineStr">
        <is>
          <t>KPI Visites à Venir (30j)</t>
        </is>
      </c>
      <c r="D106" s="40" t="inlineStr">
        <is>
          <t>KPI Inaptes</t>
        </is>
      </c>
      <c r="E106" s="40" t="inlineStr">
        <is>
          <t>KPI Coût Total (FCFA)</t>
        </is>
      </c>
    </row>
    <row r="107">
      <c r="B107" s="42">
        <f>COUNTA(C5:C104)</f>
        <v/>
      </c>
      <c r="C107" s="42">
        <f>COUNTIF(I5:I104,"&lt;="&amp;30)-COUNTIF(I5:I104,"&lt;0")</f>
        <v/>
      </c>
      <c r="D107" s="42">
        <f>COUNTIF(K5:K104,"Inapte temporaire")+COUNTIF(K5:K104,"Inapte définitif")</f>
        <v/>
      </c>
      <c r="E107" s="41">
        <f>SUM(M5:M104)</f>
        <v/>
      </c>
    </row>
  </sheetData>
  <mergeCells count="1">
    <mergeCell ref="B2:P2"/>
  </mergeCells>
  <conditionalFormatting sqref="J5:J104">
    <cfRule type="dataBar" priority="1">
      <dataBar>
        <cfvo type="num" val="0"/>
        <cfvo type="num" val="1"/>
        <color rgb="001B2A4A"/>
      </dataBar>
    </cfRule>
  </conditionalFormatting>
  <conditionalFormatting sqref="N5:N104">
    <cfRule type="dataBar" priority="2">
      <dataBar>
        <cfvo type="num" val="0"/>
        <cfvo type="num" val="1"/>
        <color rgb="001B2A4A"/>
      </dataBar>
    </cfRule>
  </conditionalFormatting>
  <conditionalFormatting sqref="B107">
    <cfRule type="cellIs" priority="3" operator="greaterThan" dxfId="8">
      <formula>0</formula>
    </cfRule>
  </conditionalFormatting>
  <conditionalFormatting sqref="C107">
    <cfRule type="cellIs" priority="4" operator="greaterThan" dxfId="8">
      <formula>0</formula>
    </cfRule>
  </conditionalFormatting>
  <conditionalFormatting sqref="D107">
    <cfRule type="cellIs" priority="5" operator="greaterThan" dxfId="8">
      <formula>0</formula>
    </cfRule>
  </conditionalFormatting>
  <conditionalFormatting sqref="E107">
    <cfRule type="cellIs" priority="6" operator="greaterThan" dxfId="8">
      <formula>0</formula>
    </cfRule>
  </conditionalFormatting>
  <dataValidations count="3">
    <dataValidation sqref="F5:F104" showDropDown="0" showInputMessage="0" showErrorMessage="0" allowBlank="1" type="list">
      <formula1>'_Lists'!$AW$2:$AW$6</formula1>
    </dataValidation>
    <dataValidation sqref="L5:L104" showDropDown="0" showInputMessage="0" showErrorMessage="0" allowBlank="1" type="list">
      <formula1>'_Lists'!$AX$2:$AX$5</formula1>
    </dataValidation>
    <dataValidation sqref="O5:O104" showDropDown="0" showInputMessage="0" showErrorMessage="0" allowBlank="1" type="list">
      <formula1>'_Lists'!$AY$2:$AY$4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0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" customWidth="1" min="2" max="2"/>
    <col width="12" customWidth="1" min="3" max="3"/>
    <col width="18" customWidth="1" min="4" max="4"/>
    <col width="24" customWidth="1" min="5" max="5"/>
    <col width="20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6" customWidth="1" min="13" max="13"/>
    <col width="22" customWidth="1" min="14" max="14"/>
  </cols>
  <sheetData>
    <row r="1" ht="15" customHeight="1"/>
    <row r="2" ht="32" customHeight="1">
      <c r="B2" s="1" t="inlineStr">
        <is>
          <t>22-Planning Mensuel Presence</t>
        </is>
      </c>
    </row>
    <row r="3" ht="8" customHeight="1"/>
    <row r="4" ht="28" customHeight="1">
      <c r="B4" s="11" t="inlineStr">
        <is>
          <t>N°</t>
        </is>
      </c>
      <c r="C4" s="11" t="inlineStr">
        <is>
          <t>Matricule</t>
        </is>
      </c>
      <c r="D4" s="11" t="inlineStr">
        <is>
          <t>Nom Employé</t>
        </is>
      </c>
      <c r="E4" s="11" t="inlineStr">
        <is>
          <t>Département</t>
        </is>
      </c>
      <c r="F4" s="11" t="inlineStr">
        <is>
          <t>Poste</t>
        </is>
      </c>
      <c r="G4" s="11" t="inlineStr">
        <is>
          <t>Mois</t>
        </is>
      </c>
      <c r="H4" s="11" t="inlineStr">
        <is>
          <t>Jours Ouvrables</t>
        </is>
      </c>
      <c r="I4" s="11" t="inlineStr">
        <is>
          <t>Jours Présents</t>
        </is>
      </c>
      <c r="J4" s="11" t="inlineStr">
        <is>
          <t>Jours Absents</t>
        </is>
      </c>
      <c r="K4" s="11" t="inlineStr">
        <is>
          <t>Retards (min)</t>
        </is>
      </c>
      <c r="L4" s="11" t="inlineStr">
        <is>
          <t>Heures Supp</t>
        </is>
      </c>
      <c r="M4" s="11" t="inlineStr">
        <is>
          <t>Taux Présence (%)</t>
        </is>
      </c>
      <c r="N4" s="11" t="inlineStr">
        <is>
          <t>Commentaire</t>
        </is>
      </c>
    </row>
    <row r="5" ht="22" customHeight="1">
      <c r="B5" s="17" t="inlineStr">
        <is>
          <t>PLN-001</t>
        </is>
      </c>
      <c r="C5" s="17" t="inlineStr">
        <is>
          <t>EMP-001</t>
        </is>
      </c>
      <c r="D5" s="17" t="inlineStr">
        <is>
          <t>Nkoumou Paul</t>
        </is>
      </c>
      <c r="E5" s="17" t="inlineStr">
        <is>
          <t>Direction Generale</t>
        </is>
      </c>
      <c r="F5" s="17" t="inlineStr">
        <is>
          <t>Directeur General</t>
        </is>
      </c>
      <c r="G5" s="17" t="inlineStr">
        <is>
          <t>Janvier 2025</t>
        </is>
      </c>
      <c r="H5" s="18" t="n">
        <v>22</v>
      </c>
      <c r="I5" s="18" t="n">
        <v>22</v>
      </c>
      <c r="J5" s="18" t="n">
        <v>0</v>
      </c>
      <c r="K5" s="18" t="n">
        <v>0</v>
      </c>
      <c r="L5" s="18" t="n">
        <v>0</v>
      </c>
      <c r="M5" s="18" t="n">
        <v>1</v>
      </c>
      <c r="N5" s="17" t="inlineStr"/>
    </row>
    <row r="6" ht="22" customHeight="1">
      <c r="B6" s="16" t="inlineStr">
        <is>
          <t>PLN-002</t>
        </is>
      </c>
      <c r="C6" s="16" t="inlineStr">
        <is>
          <t>EMP-003</t>
        </is>
      </c>
      <c r="D6" s="16" t="inlineStr">
        <is>
          <t>Mbarga Jean</t>
        </is>
      </c>
      <c r="E6" s="16" t="inlineStr">
        <is>
          <t>Finance &amp; Comptabilité</t>
        </is>
      </c>
      <c r="F6" s="16" t="inlineStr">
        <is>
          <t>Comptable Senior</t>
        </is>
      </c>
      <c r="G6" s="16" t="inlineStr">
        <is>
          <t>Janvier 2025</t>
        </is>
      </c>
      <c r="H6" s="19" t="n">
        <v>22</v>
      </c>
      <c r="I6" s="19" t="n">
        <v>21</v>
      </c>
      <c r="J6" s="19" t="n">
        <v>1</v>
      </c>
      <c r="K6" s="19" t="n">
        <v>15</v>
      </c>
      <c r="L6" s="19" t="n">
        <v>4</v>
      </c>
      <c r="M6" s="19" t="n">
        <v>0.95</v>
      </c>
      <c r="N6" s="16" t="inlineStr">
        <is>
          <t>1 jour maladie justifié</t>
        </is>
      </c>
    </row>
    <row r="7" ht="22" customHeight="1">
      <c r="B7" s="17" t="inlineStr">
        <is>
          <t>PLN-003</t>
        </is>
      </c>
      <c r="C7" s="17" t="inlineStr">
        <is>
          <t>EMP-005</t>
        </is>
      </c>
      <c r="D7" s="17" t="inlineStr">
        <is>
          <t>Tchinda Marie</t>
        </is>
      </c>
      <c r="E7" s="17" t="inlineStr">
        <is>
          <t>Service Client</t>
        </is>
      </c>
      <c r="F7" s="17" t="inlineStr">
        <is>
          <t>Charge de Recrutement</t>
        </is>
      </c>
      <c r="G7" s="17" t="inlineStr">
        <is>
          <t>Janvier 2025</t>
        </is>
      </c>
      <c r="H7" s="18" t="n">
        <v>22</v>
      </c>
      <c r="I7" s="18" t="n">
        <v>22</v>
      </c>
      <c r="J7" s="18" t="n">
        <v>0</v>
      </c>
      <c r="K7" s="18" t="n">
        <v>0</v>
      </c>
      <c r="L7" s="18" t="n">
        <v>2</v>
      </c>
      <c r="M7" s="18" t="n">
        <v>1</v>
      </c>
      <c r="N7" s="17" t="inlineStr"/>
    </row>
    <row r="8" ht="22" customHeight="1">
      <c r="B8" s="16" t="inlineStr">
        <is>
          <t>PLN-004</t>
        </is>
      </c>
      <c r="C8" s="16" t="inlineStr">
        <is>
          <t>EMP-007</t>
        </is>
      </c>
      <c r="D8" s="16" t="inlineStr">
        <is>
          <t>Nganou Andre</t>
        </is>
      </c>
      <c r="E8" s="16" t="inlineStr">
        <is>
          <t>Cuisine &amp; Restauration</t>
        </is>
      </c>
      <c r="F8" s="16" t="inlineStr">
        <is>
          <t>Chef cuisinier</t>
        </is>
      </c>
      <c r="G8" s="16" t="inlineStr">
        <is>
          <t>Janvier 2025</t>
        </is>
      </c>
      <c r="H8" s="19" t="n">
        <v>22</v>
      </c>
      <c r="I8" s="19" t="n">
        <v>20</v>
      </c>
      <c r="J8" s="19" t="n">
        <v>2</v>
      </c>
      <c r="K8" s="19" t="n">
        <v>45</v>
      </c>
      <c r="L8" s="19" t="n">
        <v>12</v>
      </c>
      <c r="M8" s="19" t="n">
        <v>0.91</v>
      </c>
      <c r="N8" s="16" t="inlineStr">
        <is>
          <t>2 jours formation</t>
        </is>
      </c>
    </row>
    <row r="9" ht="22" customHeight="1">
      <c r="B9" s="17" t="inlineStr">
        <is>
          <t>PLN-005</t>
        </is>
      </c>
      <c r="C9" s="17" t="inlineStr">
        <is>
          <t>EMP-010</t>
        </is>
      </c>
      <c r="D9" s="17" t="inlineStr">
        <is>
          <t>Fotso Camille</t>
        </is>
      </c>
      <c r="E9" s="17" t="inlineStr">
        <is>
          <t>Réception &amp; Front Office</t>
        </is>
      </c>
      <c r="F9" s="17" t="inlineStr">
        <is>
          <t>Receptionniste</t>
        </is>
      </c>
      <c r="G9" s="17" t="inlineStr">
        <is>
          <t>Janvier 2025</t>
        </is>
      </c>
      <c r="H9" s="18" t="n">
        <v>22</v>
      </c>
      <c r="I9" s="18" t="n">
        <v>21</v>
      </c>
      <c r="J9" s="18" t="n">
        <v>1</v>
      </c>
      <c r="K9" s="18" t="n">
        <v>0</v>
      </c>
      <c r="L9" s="18" t="n">
        <v>6</v>
      </c>
      <c r="M9" s="18" t="n">
        <v>0.95</v>
      </c>
      <c r="N9" s="17" t="inlineStr">
        <is>
          <t>1 jour congé annuel</t>
        </is>
      </c>
    </row>
    <row r="10" ht="22" customHeight="1">
      <c r="B10" s="38">
        <f>IF(C10="","PLN"&amp;TEXT(COUNTA($C$5:C10),"000"))</f>
        <v/>
      </c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9">
        <f>IF(H10="","",IFERROR(I10/H10,0))</f>
        <v/>
      </c>
      <c r="N10" s="38" t="n"/>
    </row>
    <row r="11" ht="22" customHeight="1">
      <c r="B11" s="12">
        <f>IF(C11="","PLN"&amp;TEXT(COUNTA($C$5:C11),"000"))</f>
        <v/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8">
        <f>IF(H11="","",IFERROR(I11/H11,0))</f>
        <v/>
      </c>
      <c r="N11" s="12" t="n"/>
    </row>
    <row r="12" ht="22" customHeight="1">
      <c r="B12" s="14">
        <f>IF(C12="","PLN"&amp;TEXT(COUNTA($C$5:C12),"000"))</f>
        <v/>
      </c>
      <c r="C12" s="14" t="n"/>
      <c r="D12" s="14" t="n"/>
      <c r="E12" s="14" t="n"/>
      <c r="F12" s="14" t="n"/>
      <c r="G12" s="14" t="n"/>
      <c r="H12" s="14" t="n"/>
      <c r="I12" s="14" t="n"/>
      <c r="J12" s="14" t="n"/>
      <c r="K12" s="14" t="n"/>
      <c r="L12" s="14" t="n"/>
      <c r="M12" s="19">
        <f>IF(H12="","",IFERROR(I12/H12,0))</f>
        <v/>
      </c>
      <c r="N12" s="14" t="n"/>
    </row>
    <row r="13" ht="22" customHeight="1">
      <c r="B13" s="12">
        <f>IF(C13="","PLN"&amp;TEXT(COUNTA($C$5:C13),"000"))</f>
        <v/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8">
        <f>IF(H13="","",IFERROR(I13/H13,0))</f>
        <v/>
      </c>
      <c r="N13" s="12" t="n"/>
    </row>
    <row r="14" ht="22" customHeight="1">
      <c r="B14" s="14">
        <f>IF(C14="","PLN"&amp;TEXT(COUNTA($C$5:C14),"000"))</f>
        <v/>
      </c>
      <c r="C14" s="14" t="n"/>
      <c r="D14" s="14" t="n"/>
      <c r="E14" s="14" t="n"/>
      <c r="F14" s="14" t="n"/>
      <c r="G14" s="14" t="n"/>
      <c r="H14" s="14" t="n"/>
      <c r="I14" s="14" t="n"/>
      <c r="J14" s="14" t="n"/>
      <c r="K14" s="14" t="n"/>
      <c r="L14" s="14" t="n"/>
      <c r="M14" s="19">
        <f>IF(H14="","",IFERROR(I14/H14,0))</f>
        <v/>
      </c>
      <c r="N14" s="14" t="n"/>
    </row>
    <row r="15" ht="22" customHeight="1">
      <c r="B15" s="12">
        <f>IF(C15="","PLN"&amp;TEXT(COUNTA($C$5:C15),"000"))</f>
        <v/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8">
        <f>IF(H15="","",IFERROR(I15/H15,0))</f>
        <v/>
      </c>
      <c r="N15" s="12" t="n"/>
    </row>
    <row r="16" ht="22" customHeight="1">
      <c r="B16" s="14">
        <f>IF(C16="","PLN"&amp;TEXT(COUNTA($C$5:C16),"000"))</f>
        <v/>
      </c>
      <c r="C16" s="14" t="n"/>
      <c r="D16" s="14" t="n"/>
      <c r="E16" s="14" t="n"/>
      <c r="F16" s="14" t="n"/>
      <c r="G16" s="14" t="n"/>
      <c r="H16" s="14" t="n"/>
      <c r="I16" s="14" t="n"/>
      <c r="J16" s="14" t="n"/>
      <c r="K16" s="14" t="n"/>
      <c r="L16" s="14" t="n"/>
      <c r="M16" s="19">
        <f>IF(H16="","",IFERROR(I16/H16,0))</f>
        <v/>
      </c>
      <c r="N16" s="14" t="n"/>
    </row>
    <row r="17" ht="22" customHeight="1">
      <c r="B17" s="12">
        <f>IF(C17="","PLN"&amp;TEXT(COUNTA($C$5:C17),"000"))</f>
        <v/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8">
        <f>IF(H17="","",IFERROR(I17/H17,0))</f>
        <v/>
      </c>
      <c r="N17" s="12" t="n"/>
    </row>
    <row r="18" ht="22" customHeight="1">
      <c r="B18" s="14">
        <f>IF(C18="","PLN"&amp;TEXT(COUNTA($C$5:C18),"000"))</f>
        <v/>
      </c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19">
        <f>IF(H18="","",IFERROR(I18/H18,0))</f>
        <v/>
      </c>
      <c r="N18" s="14" t="n"/>
    </row>
    <row r="19" ht="22" customHeight="1">
      <c r="B19" s="12">
        <f>IF(C19="","PLN"&amp;TEXT(COUNTA($C$5:C19),"000"))</f>
        <v/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8">
        <f>IF(H19="","",IFERROR(I19/H19,0))</f>
        <v/>
      </c>
      <c r="N19" s="12" t="n"/>
    </row>
    <row r="20" ht="22" customHeight="1">
      <c r="B20" s="14">
        <f>IF(C20="","PLN"&amp;TEXT(COUNTA($C$5:C20),"000"))</f>
        <v/>
      </c>
      <c r="C20" s="14" t="n"/>
      <c r="D20" s="14" t="n"/>
      <c r="E20" s="14" t="n"/>
      <c r="F20" s="14" t="n"/>
      <c r="G20" s="14" t="n"/>
      <c r="H20" s="14" t="n"/>
      <c r="I20" s="14" t="n"/>
      <c r="J20" s="14" t="n"/>
      <c r="K20" s="14" t="n"/>
      <c r="L20" s="14" t="n"/>
      <c r="M20" s="19">
        <f>IF(H20="","",IFERROR(I20/H20,0))</f>
        <v/>
      </c>
      <c r="N20" s="14" t="n"/>
    </row>
    <row r="21" ht="22" customHeight="1">
      <c r="B21" s="12">
        <f>IF(C21="","PLN"&amp;TEXT(COUNTA($C$5:C21),"000"))</f>
        <v/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8">
        <f>IF(H21="","",IFERROR(I21/H21,0))</f>
        <v/>
      </c>
      <c r="N21" s="12" t="n"/>
    </row>
    <row r="22" ht="22" customHeight="1">
      <c r="B22" s="14">
        <f>IF(C22="","PLN"&amp;TEXT(COUNTA($C$5:C22),"000"))</f>
        <v/>
      </c>
      <c r="C22" s="14" t="n"/>
      <c r="D22" s="14" t="n"/>
      <c r="E22" s="14" t="n"/>
      <c r="F22" s="14" t="n"/>
      <c r="G22" s="14" t="n"/>
      <c r="H22" s="14" t="n"/>
      <c r="I22" s="14" t="n"/>
      <c r="J22" s="14" t="n"/>
      <c r="K22" s="14" t="n"/>
      <c r="L22" s="14" t="n"/>
      <c r="M22" s="19">
        <f>IF(H22="","",IFERROR(I22/H22,0))</f>
        <v/>
      </c>
      <c r="N22" s="14" t="n"/>
    </row>
    <row r="23" ht="22" customHeight="1">
      <c r="B23" s="12">
        <f>IF(C23="","PLN"&amp;TEXT(COUNTA($C$5:C23),"000"))</f>
        <v/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8">
        <f>IF(H23="","",IFERROR(I23/H23,0))</f>
        <v/>
      </c>
      <c r="N23" s="12" t="n"/>
    </row>
    <row r="24" ht="22" customHeight="1">
      <c r="B24" s="14">
        <f>IF(C24="","PLN"&amp;TEXT(COUNTA($C$5:C24),"000"))</f>
        <v/>
      </c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9">
        <f>IF(H24="","",IFERROR(I24/H24,0))</f>
        <v/>
      </c>
      <c r="N24" s="14" t="n"/>
    </row>
    <row r="25" ht="22" customHeight="1">
      <c r="B25" s="12">
        <f>IF(C25="","PLN"&amp;TEXT(COUNTA($C$5:C25),"000"))</f>
        <v/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8">
        <f>IF(H25="","",IFERROR(I25/H25,0))</f>
        <v/>
      </c>
      <c r="N25" s="12" t="n"/>
    </row>
    <row r="26" ht="22" customHeight="1">
      <c r="B26" s="14">
        <f>IF(C26="","PLN"&amp;TEXT(COUNTA($C$5:C26),"000"))</f>
        <v/>
      </c>
      <c r="C26" s="14" t="n"/>
      <c r="D26" s="14" t="n"/>
      <c r="E26" s="14" t="n"/>
      <c r="F26" s="14" t="n"/>
      <c r="G26" s="14" t="n"/>
      <c r="H26" s="14" t="n"/>
      <c r="I26" s="14" t="n"/>
      <c r="J26" s="14" t="n"/>
      <c r="K26" s="14" t="n"/>
      <c r="L26" s="14" t="n"/>
      <c r="M26" s="19">
        <f>IF(H26="","",IFERROR(I26/H26,0))</f>
        <v/>
      </c>
      <c r="N26" s="14" t="n"/>
    </row>
    <row r="27" ht="22" customHeight="1">
      <c r="B27" s="12">
        <f>IF(C27="","PLN"&amp;TEXT(COUNTA($C$5:C27),"000"))</f>
        <v/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8">
        <f>IF(H27="","",IFERROR(I27/H27,0))</f>
        <v/>
      </c>
      <c r="N27" s="12" t="n"/>
    </row>
    <row r="28" ht="22" customHeight="1">
      <c r="B28" s="14">
        <f>IF(C28="","PLN"&amp;TEXT(COUNTA($C$5:C28),"000"))</f>
        <v/>
      </c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9">
        <f>IF(H28="","",IFERROR(I28/H28,0))</f>
        <v/>
      </c>
      <c r="N28" s="14" t="n"/>
    </row>
    <row r="29" ht="22" customHeight="1">
      <c r="B29" s="12">
        <f>IF(C29="","PLN"&amp;TEXT(COUNTA($C$5:C29),"000"))</f>
        <v/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8">
        <f>IF(H29="","",IFERROR(I29/H29,0))</f>
        <v/>
      </c>
      <c r="N29" s="12" t="n"/>
    </row>
    <row r="30" ht="22" customHeight="1">
      <c r="B30" s="14">
        <f>IF(C30="","PLN"&amp;TEXT(COUNTA($C$5:C30),"000"))</f>
        <v/>
      </c>
      <c r="C30" s="14" t="n"/>
      <c r="D30" s="14" t="n"/>
      <c r="E30" s="14" t="n"/>
      <c r="F30" s="14" t="n"/>
      <c r="G30" s="14" t="n"/>
      <c r="H30" s="14" t="n"/>
      <c r="I30" s="14" t="n"/>
      <c r="J30" s="14" t="n"/>
      <c r="K30" s="14" t="n"/>
      <c r="L30" s="14" t="n"/>
      <c r="M30" s="19">
        <f>IF(H30="","",IFERROR(I30/H30,0))</f>
        <v/>
      </c>
      <c r="N30" s="14" t="n"/>
    </row>
    <row r="31" ht="22" customHeight="1">
      <c r="B31" s="12">
        <f>IF(C31="","PLN"&amp;TEXT(COUNTA($C$5:C31),"000"))</f>
        <v/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8">
        <f>IF(H31="","",IFERROR(I31/H31,0))</f>
        <v/>
      </c>
      <c r="N31" s="12" t="n"/>
    </row>
    <row r="32" ht="22" customHeight="1">
      <c r="B32" s="14">
        <f>IF(C32="","PLN"&amp;TEXT(COUNTA($C$5:C32),"000"))</f>
        <v/>
      </c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9">
        <f>IF(H32="","",IFERROR(I32/H32,0))</f>
        <v/>
      </c>
      <c r="N32" s="14" t="n"/>
    </row>
    <row r="33" ht="22" customHeight="1">
      <c r="B33" s="12">
        <f>IF(C33="","PLN"&amp;TEXT(COUNTA($C$5:C33),"000"))</f>
        <v/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8">
        <f>IF(H33="","",IFERROR(I33/H33,0))</f>
        <v/>
      </c>
      <c r="N33" s="12" t="n"/>
    </row>
    <row r="34" ht="22" customHeight="1">
      <c r="B34" s="14">
        <f>IF(C34="","PLN"&amp;TEXT(COUNTA($C$5:C34),"000"))</f>
        <v/>
      </c>
      <c r="C34" s="14" t="n"/>
      <c r="D34" s="14" t="n"/>
      <c r="E34" s="14" t="n"/>
      <c r="F34" s="14" t="n"/>
      <c r="G34" s="14" t="n"/>
      <c r="H34" s="14" t="n"/>
      <c r="I34" s="14" t="n"/>
      <c r="J34" s="14" t="n"/>
      <c r="K34" s="14" t="n"/>
      <c r="L34" s="14" t="n"/>
      <c r="M34" s="19">
        <f>IF(H34="","",IFERROR(I34/H34,0))</f>
        <v/>
      </c>
      <c r="N34" s="14" t="n"/>
    </row>
    <row r="35" ht="22" customHeight="1">
      <c r="B35" s="12">
        <f>IF(C35="","PLN"&amp;TEXT(COUNTA($C$5:C35),"000"))</f>
        <v/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8">
        <f>IF(H35="","",IFERROR(I35/H35,0))</f>
        <v/>
      </c>
      <c r="N35" s="12" t="n"/>
    </row>
    <row r="36" ht="22" customHeight="1">
      <c r="B36" s="14">
        <f>IF(C36="","PLN"&amp;TEXT(COUNTA($C$5:C36),"000"))</f>
        <v/>
      </c>
      <c r="C36" s="14" t="n"/>
      <c r="D36" s="14" t="n"/>
      <c r="E36" s="14" t="n"/>
      <c r="F36" s="14" t="n"/>
      <c r="G36" s="14" t="n"/>
      <c r="H36" s="14" t="n"/>
      <c r="I36" s="14" t="n"/>
      <c r="J36" s="14" t="n"/>
      <c r="K36" s="14" t="n"/>
      <c r="L36" s="14" t="n"/>
      <c r="M36" s="19">
        <f>IF(H36="","",IFERROR(I36/H36,0))</f>
        <v/>
      </c>
      <c r="N36" s="14" t="n"/>
    </row>
    <row r="37" ht="22" customHeight="1">
      <c r="B37" s="12">
        <f>IF(C37="","PLN"&amp;TEXT(COUNTA($C$5:C37),"000"))</f>
        <v/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8">
        <f>IF(H37="","",IFERROR(I37/H37,0))</f>
        <v/>
      </c>
      <c r="N37" s="12" t="n"/>
    </row>
    <row r="38" ht="22" customHeight="1">
      <c r="B38" s="14">
        <f>IF(C38="","PLN"&amp;TEXT(COUNTA($C$5:C38),"000"))</f>
        <v/>
      </c>
      <c r="C38" s="14" t="n"/>
      <c r="D38" s="14" t="n"/>
      <c r="E38" s="14" t="n"/>
      <c r="F38" s="14" t="n"/>
      <c r="G38" s="14" t="n"/>
      <c r="H38" s="14" t="n"/>
      <c r="I38" s="14" t="n"/>
      <c r="J38" s="14" t="n"/>
      <c r="K38" s="14" t="n"/>
      <c r="L38" s="14" t="n"/>
      <c r="M38" s="19">
        <f>IF(H38="","",IFERROR(I38/H38,0))</f>
        <v/>
      </c>
      <c r="N38" s="14" t="n"/>
    </row>
    <row r="39" ht="22" customHeight="1">
      <c r="B39" s="12">
        <f>IF(C39="","PLN"&amp;TEXT(COUNTA($C$5:C39),"000"))</f>
        <v/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8">
        <f>IF(H39="","",IFERROR(I39/H39,0))</f>
        <v/>
      </c>
      <c r="N39" s="12" t="n"/>
    </row>
    <row r="40" ht="22" customHeight="1">
      <c r="B40" s="14">
        <f>IF(C40="","PLN"&amp;TEXT(COUNTA($C$5:C40),"000"))</f>
        <v/>
      </c>
      <c r="C40" s="14" t="n"/>
      <c r="D40" s="14" t="n"/>
      <c r="E40" s="14" t="n"/>
      <c r="F40" s="14" t="n"/>
      <c r="G40" s="14" t="n"/>
      <c r="H40" s="14" t="n"/>
      <c r="I40" s="14" t="n"/>
      <c r="J40" s="14" t="n"/>
      <c r="K40" s="14" t="n"/>
      <c r="L40" s="14" t="n"/>
      <c r="M40" s="19">
        <f>IF(H40="","",IFERROR(I40/H40,0))</f>
        <v/>
      </c>
      <c r="N40" s="14" t="n"/>
    </row>
    <row r="41" ht="22" customHeight="1">
      <c r="B41" s="12">
        <f>IF(C41="","PLN"&amp;TEXT(COUNTA($C$5:C41),"000"))</f>
        <v/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8">
        <f>IF(H41="","",IFERROR(I41/H41,0))</f>
        <v/>
      </c>
      <c r="N41" s="12" t="n"/>
    </row>
    <row r="42" ht="22" customHeight="1">
      <c r="B42" s="14">
        <f>IF(C42="","PLN"&amp;TEXT(COUNTA($C$5:C42),"000"))</f>
        <v/>
      </c>
      <c r="C42" s="14" t="n"/>
      <c r="D42" s="14" t="n"/>
      <c r="E42" s="14" t="n"/>
      <c r="F42" s="14" t="n"/>
      <c r="G42" s="14" t="n"/>
      <c r="H42" s="14" t="n"/>
      <c r="I42" s="14" t="n"/>
      <c r="J42" s="14" t="n"/>
      <c r="K42" s="14" t="n"/>
      <c r="L42" s="14" t="n"/>
      <c r="M42" s="19">
        <f>IF(H42="","",IFERROR(I42/H42,0))</f>
        <v/>
      </c>
      <c r="N42" s="14" t="n"/>
    </row>
    <row r="43" ht="22" customHeight="1">
      <c r="B43" s="12">
        <f>IF(C43="","PLN"&amp;TEXT(COUNTA($C$5:C43),"000"))</f>
        <v/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8">
        <f>IF(H43="","",IFERROR(I43/H43,0))</f>
        <v/>
      </c>
      <c r="N43" s="12" t="n"/>
    </row>
    <row r="44" ht="22" customHeight="1">
      <c r="B44" s="14">
        <f>IF(C44="","PLN"&amp;TEXT(COUNTA($C$5:C44),"000"))</f>
        <v/>
      </c>
      <c r="C44" s="14" t="n"/>
      <c r="D44" s="14" t="n"/>
      <c r="E44" s="14" t="n"/>
      <c r="F44" s="14" t="n"/>
      <c r="G44" s="14" t="n"/>
      <c r="H44" s="14" t="n"/>
      <c r="I44" s="14" t="n"/>
      <c r="J44" s="14" t="n"/>
      <c r="K44" s="14" t="n"/>
      <c r="L44" s="14" t="n"/>
      <c r="M44" s="19">
        <f>IF(H44="","",IFERROR(I44/H44,0))</f>
        <v/>
      </c>
      <c r="N44" s="14" t="n"/>
    </row>
    <row r="45" ht="22" customHeight="1">
      <c r="B45" s="12">
        <f>IF(C45="","PLN"&amp;TEXT(COUNTA($C$5:C45),"000"))</f>
        <v/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8">
        <f>IF(H45="","",IFERROR(I45/H45,0))</f>
        <v/>
      </c>
      <c r="N45" s="12" t="n"/>
    </row>
    <row r="46" ht="22" customHeight="1">
      <c r="B46" s="14">
        <f>IF(C46="","PLN"&amp;TEXT(COUNTA($C$5:C46),"000"))</f>
        <v/>
      </c>
      <c r="C46" s="14" t="n"/>
      <c r="D46" s="14" t="n"/>
      <c r="E46" s="14" t="n"/>
      <c r="F46" s="14" t="n"/>
      <c r="G46" s="14" t="n"/>
      <c r="H46" s="14" t="n"/>
      <c r="I46" s="14" t="n"/>
      <c r="J46" s="14" t="n"/>
      <c r="K46" s="14" t="n"/>
      <c r="L46" s="14" t="n"/>
      <c r="M46" s="19">
        <f>IF(H46="","",IFERROR(I46/H46,0))</f>
        <v/>
      </c>
      <c r="N46" s="14" t="n"/>
    </row>
    <row r="47" ht="22" customHeight="1">
      <c r="B47" s="12">
        <f>IF(C47="","PLN"&amp;TEXT(COUNTA($C$5:C47),"000"))</f>
        <v/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8">
        <f>IF(H47="","",IFERROR(I47/H47,0))</f>
        <v/>
      </c>
      <c r="N47" s="12" t="n"/>
    </row>
    <row r="48" ht="22" customHeight="1">
      <c r="B48" s="14">
        <f>IF(C48="","PLN"&amp;TEXT(COUNTA($C$5:C48),"000"))</f>
        <v/>
      </c>
      <c r="C48" s="14" t="n"/>
      <c r="D48" s="14" t="n"/>
      <c r="E48" s="14" t="n"/>
      <c r="F48" s="14" t="n"/>
      <c r="G48" s="14" t="n"/>
      <c r="H48" s="14" t="n"/>
      <c r="I48" s="14" t="n"/>
      <c r="J48" s="14" t="n"/>
      <c r="K48" s="14" t="n"/>
      <c r="L48" s="14" t="n"/>
      <c r="M48" s="19">
        <f>IF(H48="","",IFERROR(I48/H48,0))</f>
        <v/>
      </c>
      <c r="N48" s="14" t="n"/>
    </row>
    <row r="49" ht="22" customHeight="1">
      <c r="B49" s="12">
        <f>IF(C49="","PLN"&amp;TEXT(COUNTA($C$5:C49),"000"))</f>
        <v/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8">
        <f>IF(H49="","",IFERROR(I49/H49,0))</f>
        <v/>
      </c>
      <c r="N49" s="12" t="n"/>
    </row>
    <row r="50" ht="22" customHeight="1">
      <c r="B50" s="14">
        <f>IF(C50="","PLN"&amp;TEXT(COUNTA($C$5:C50),"000"))</f>
        <v/>
      </c>
      <c r="C50" s="14" t="n"/>
      <c r="D50" s="14" t="n"/>
      <c r="E50" s="14" t="n"/>
      <c r="F50" s="14" t="n"/>
      <c r="G50" s="14" t="n"/>
      <c r="H50" s="14" t="n"/>
      <c r="I50" s="14" t="n"/>
      <c r="J50" s="14" t="n"/>
      <c r="K50" s="14" t="n"/>
      <c r="L50" s="14" t="n"/>
      <c r="M50" s="19">
        <f>IF(H50="","",IFERROR(I50/H50,0))</f>
        <v/>
      </c>
      <c r="N50" s="14" t="n"/>
    </row>
    <row r="51" ht="22" customHeight="1">
      <c r="B51" s="12">
        <f>IF(C51="","PLN"&amp;TEXT(COUNTA($C$5:C51),"000"))</f>
        <v/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8">
        <f>IF(H51="","",IFERROR(I51/H51,0))</f>
        <v/>
      </c>
      <c r="N51" s="12" t="n"/>
    </row>
    <row r="52" ht="22" customHeight="1">
      <c r="B52" s="14">
        <f>IF(C52="","PLN"&amp;TEXT(COUNTA($C$5:C52),"000"))</f>
        <v/>
      </c>
      <c r="C52" s="14" t="n"/>
      <c r="D52" s="14" t="n"/>
      <c r="E52" s="14" t="n"/>
      <c r="F52" s="14" t="n"/>
      <c r="G52" s="14" t="n"/>
      <c r="H52" s="14" t="n"/>
      <c r="I52" s="14" t="n"/>
      <c r="J52" s="14" t="n"/>
      <c r="K52" s="14" t="n"/>
      <c r="L52" s="14" t="n"/>
      <c r="M52" s="19">
        <f>IF(H52="","",IFERROR(I52/H52,0))</f>
        <v/>
      </c>
      <c r="N52" s="14" t="n"/>
    </row>
    <row r="53" ht="22" customHeight="1">
      <c r="B53" s="12">
        <f>IF(C53="","PLN"&amp;TEXT(COUNTA($C$5:C53),"000"))</f>
        <v/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8">
        <f>IF(H53="","",IFERROR(I53/H53,0))</f>
        <v/>
      </c>
      <c r="N53" s="12" t="n"/>
    </row>
    <row r="54" ht="22" customHeight="1">
      <c r="B54" s="14">
        <f>IF(C54="","PLN"&amp;TEXT(COUNTA($C$5:C54),"000"))</f>
        <v/>
      </c>
      <c r="C54" s="14" t="n"/>
      <c r="D54" s="14" t="n"/>
      <c r="E54" s="14" t="n"/>
      <c r="F54" s="14" t="n"/>
      <c r="G54" s="14" t="n"/>
      <c r="H54" s="14" t="n"/>
      <c r="I54" s="14" t="n"/>
      <c r="J54" s="14" t="n"/>
      <c r="K54" s="14" t="n"/>
      <c r="L54" s="14" t="n"/>
      <c r="M54" s="19">
        <f>IF(H54="","",IFERROR(I54/H54,0))</f>
        <v/>
      </c>
      <c r="N54" s="14" t="n"/>
    </row>
    <row r="55" ht="22" customHeight="1">
      <c r="B55" s="12">
        <f>IF(C55="","PLN"&amp;TEXT(COUNTA($C$5:C55),"000"))</f>
        <v/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8">
        <f>IF(H55="","",IFERROR(I55/H55,0))</f>
        <v/>
      </c>
      <c r="N55" s="12" t="n"/>
    </row>
    <row r="56" ht="22" customHeight="1">
      <c r="B56" s="14">
        <f>IF(C56="","PLN"&amp;TEXT(COUNTA($C$5:C56),"000"))</f>
        <v/>
      </c>
      <c r="C56" s="14" t="n"/>
      <c r="D56" s="14" t="n"/>
      <c r="E56" s="14" t="n"/>
      <c r="F56" s="14" t="n"/>
      <c r="G56" s="14" t="n"/>
      <c r="H56" s="14" t="n"/>
      <c r="I56" s="14" t="n"/>
      <c r="J56" s="14" t="n"/>
      <c r="K56" s="14" t="n"/>
      <c r="L56" s="14" t="n"/>
      <c r="M56" s="19">
        <f>IF(H56="","",IFERROR(I56/H56,0))</f>
        <v/>
      </c>
      <c r="N56" s="14" t="n"/>
    </row>
    <row r="57" ht="22" customHeight="1">
      <c r="B57" s="12">
        <f>IF(C57="","PLN"&amp;TEXT(COUNTA($C$5:C57),"000"))</f>
        <v/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8">
        <f>IF(H57="","",IFERROR(I57/H57,0))</f>
        <v/>
      </c>
      <c r="N57" s="12" t="n"/>
    </row>
    <row r="58" ht="22" customHeight="1">
      <c r="B58" s="14">
        <f>IF(C58="","PLN"&amp;TEXT(COUNTA($C$5:C58),"000"))</f>
        <v/>
      </c>
      <c r="C58" s="14" t="n"/>
      <c r="D58" s="14" t="n"/>
      <c r="E58" s="14" t="n"/>
      <c r="F58" s="14" t="n"/>
      <c r="G58" s="14" t="n"/>
      <c r="H58" s="14" t="n"/>
      <c r="I58" s="14" t="n"/>
      <c r="J58" s="14" t="n"/>
      <c r="K58" s="14" t="n"/>
      <c r="L58" s="14" t="n"/>
      <c r="M58" s="19">
        <f>IF(H58="","",IFERROR(I58/H58,0))</f>
        <v/>
      </c>
      <c r="N58" s="14" t="n"/>
    </row>
    <row r="59" ht="22" customHeight="1">
      <c r="B59" s="12">
        <f>IF(C59="","PLN"&amp;TEXT(COUNTA($C$5:C59),"000"))</f>
        <v/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8">
        <f>IF(H59="","",IFERROR(I59/H59,0))</f>
        <v/>
      </c>
      <c r="N59" s="12" t="n"/>
    </row>
    <row r="60" ht="22" customHeight="1">
      <c r="B60" s="14">
        <f>IF(C60="","PLN"&amp;TEXT(COUNTA($C$5:C60),"000"))</f>
        <v/>
      </c>
      <c r="C60" s="14" t="n"/>
      <c r="D60" s="14" t="n"/>
      <c r="E60" s="14" t="n"/>
      <c r="F60" s="14" t="n"/>
      <c r="G60" s="14" t="n"/>
      <c r="H60" s="14" t="n"/>
      <c r="I60" s="14" t="n"/>
      <c r="J60" s="14" t="n"/>
      <c r="K60" s="14" t="n"/>
      <c r="L60" s="14" t="n"/>
      <c r="M60" s="19">
        <f>IF(H60="","",IFERROR(I60/H60,0))</f>
        <v/>
      </c>
      <c r="N60" s="14" t="n"/>
    </row>
    <row r="61" ht="22" customHeight="1">
      <c r="B61" s="12">
        <f>IF(C61="","PLN"&amp;TEXT(COUNTA($C$5:C61),"000"))</f>
        <v/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8">
        <f>IF(H61="","",IFERROR(I61/H61,0))</f>
        <v/>
      </c>
      <c r="N61" s="12" t="n"/>
    </row>
    <row r="62" ht="22" customHeight="1">
      <c r="B62" s="14">
        <f>IF(C62="","PLN"&amp;TEXT(COUNTA($C$5:C62),"000"))</f>
        <v/>
      </c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9">
        <f>IF(H62="","",IFERROR(I62/H62,0))</f>
        <v/>
      </c>
      <c r="N62" s="14" t="n"/>
    </row>
    <row r="63" ht="22" customHeight="1">
      <c r="B63" s="12">
        <f>IF(C63="","PLN"&amp;TEXT(COUNTA($C$5:C63),"000"))</f>
        <v/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8">
        <f>IF(H63="","",IFERROR(I63/H63,0))</f>
        <v/>
      </c>
      <c r="N63" s="12" t="n"/>
    </row>
    <row r="64" ht="22" customHeight="1">
      <c r="B64" s="14">
        <f>IF(C64="","PLN"&amp;TEXT(COUNTA($C$5:C64),"000"))</f>
        <v/>
      </c>
      <c r="C64" s="14" t="n"/>
      <c r="D64" s="14" t="n"/>
      <c r="E64" s="14" t="n"/>
      <c r="F64" s="14" t="n"/>
      <c r="G64" s="14" t="n"/>
      <c r="H64" s="14" t="n"/>
      <c r="I64" s="14" t="n"/>
      <c r="J64" s="14" t="n"/>
      <c r="K64" s="14" t="n"/>
      <c r="L64" s="14" t="n"/>
      <c r="M64" s="19">
        <f>IF(H64="","",IFERROR(I64/H64,0))</f>
        <v/>
      </c>
      <c r="N64" s="14" t="n"/>
    </row>
    <row r="65" ht="22" customHeight="1">
      <c r="B65" s="12">
        <f>IF(C65="","PLN"&amp;TEXT(COUNTA($C$5:C65),"000"))</f>
        <v/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8">
        <f>IF(H65="","",IFERROR(I65/H65,0))</f>
        <v/>
      </c>
      <c r="N65" s="12" t="n"/>
    </row>
    <row r="66" ht="22" customHeight="1">
      <c r="B66" s="14">
        <f>IF(C66="","PLN"&amp;TEXT(COUNTA($C$5:C66),"000"))</f>
        <v/>
      </c>
      <c r="C66" s="14" t="n"/>
      <c r="D66" s="14" t="n"/>
      <c r="E66" s="14" t="n"/>
      <c r="F66" s="14" t="n"/>
      <c r="G66" s="14" t="n"/>
      <c r="H66" s="14" t="n"/>
      <c r="I66" s="14" t="n"/>
      <c r="J66" s="14" t="n"/>
      <c r="K66" s="14" t="n"/>
      <c r="L66" s="14" t="n"/>
      <c r="M66" s="19">
        <f>IF(H66="","",IFERROR(I66/H66,0))</f>
        <v/>
      </c>
      <c r="N66" s="14" t="n"/>
    </row>
    <row r="67" ht="22" customHeight="1">
      <c r="B67" s="12">
        <f>IF(C67="","PLN"&amp;TEXT(COUNTA($C$5:C67),"000"))</f>
        <v/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8">
        <f>IF(H67="","",IFERROR(I67/H67,0))</f>
        <v/>
      </c>
      <c r="N67" s="12" t="n"/>
    </row>
    <row r="68" ht="22" customHeight="1">
      <c r="B68" s="14">
        <f>IF(C68="","PLN"&amp;TEXT(COUNTA($C$5:C68),"000"))</f>
        <v/>
      </c>
      <c r="C68" s="14" t="n"/>
      <c r="D68" s="14" t="n"/>
      <c r="E68" s="14" t="n"/>
      <c r="F68" s="14" t="n"/>
      <c r="G68" s="14" t="n"/>
      <c r="H68" s="14" t="n"/>
      <c r="I68" s="14" t="n"/>
      <c r="J68" s="14" t="n"/>
      <c r="K68" s="14" t="n"/>
      <c r="L68" s="14" t="n"/>
      <c r="M68" s="19">
        <f>IF(H68="","",IFERROR(I68/H68,0))</f>
        <v/>
      </c>
      <c r="N68" s="14" t="n"/>
    </row>
    <row r="69" ht="22" customHeight="1">
      <c r="B69" s="12">
        <f>IF(C69="","PLN"&amp;TEXT(COUNTA($C$5:C69),"000"))</f>
        <v/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8">
        <f>IF(H69="","",IFERROR(I69/H69,0))</f>
        <v/>
      </c>
      <c r="N69" s="12" t="n"/>
    </row>
    <row r="70" ht="22" customHeight="1">
      <c r="B70" s="14">
        <f>IF(C70="","PLN"&amp;TEXT(COUNTA($C$5:C70),"000"))</f>
        <v/>
      </c>
      <c r="C70" s="14" t="n"/>
      <c r="D70" s="14" t="n"/>
      <c r="E70" s="14" t="n"/>
      <c r="F70" s="14" t="n"/>
      <c r="G70" s="14" t="n"/>
      <c r="H70" s="14" t="n"/>
      <c r="I70" s="14" t="n"/>
      <c r="J70" s="14" t="n"/>
      <c r="K70" s="14" t="n"/>
      <c r="L70" s="14" t="n"/>
      <c r="M70" s="19">
        <f>IF(H70="","",IFERROR(I70/H70,0))</f>
        <v/>
      </c>
      <c r="N70" s="14" t="n"/>
    </row>
    <row r="71" ht="22" customHeight="1">
      <c r="B71" s="12">
        <f>IF(C71="","PLN"&amp;TEXT(COUNTA($C$5:C71),"000"))</f>
        <v/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8">
        <f>IF(H71="","",IFERROR(I71/H71,0))</f>
        <v/>
      </c>
      <c r="N71" s="12" t="n"/>
    </row>
    <row r="72" ht="22" customHeight="1">
      <c r="B72" s="14">
        <f>IF(C72="","PLN"&amp;TEXT(COUNTA($C$5:C72),"000"))</f>
        <v/>
      </c>
      <c r="C72" s="14" t="n"/>
      <c r="D72" s="14" t="n"/>
      <c r="E72" s="14" t="n"/>
      <c r="F72" s="14" t="n"/>
      <c r="G72" s="14" t="n"/>
      <c r="H72" s="14" t="n"/>
      <c r="I72" s="14" t="n"/>
      <c r="J72" s="14" t="n"/>
      <c r="K72" s="14" t="n"/>
      <c r="L72" s="14" t="n"/>
      <c r="M72" s="19">
        <f>IF(H72="","",IFERROR(I72/H72,0))</f>
        <v/>
      </c>
      <c r="N72" s="14" t="n"/>
    </row>
    <row r="73" ht="22" customHeight="1">
      <c r="B73" s="12">
        <f>IF(C73="","PLN"&amp;TEXT(COUNTA($C$5:C73),"000"))</f>
        <v/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8">
        <f>IF(H73="","",IFERROR(I73/H73,0))</f>
        <v/>
      </c>
      <c r="N73" s="12" t="n"/>
    </row>
    <row r="74" ht="22" customHeight="1">
      <c r="B74" s="14">
        <f>IF(C74="","PLN"&amp;TEXT(COUNTA($C$5:C74),"000"))</f>
        <v/>
      </c>
      <c r="C74" s="14" t="n"/>
      <c r="D74" s="14" t="n"/>
      <c r="E74" s="14" t="n"/>
      <c r="F74" s="14" t="n"/>
      <c r="G74" s="14" t="n"/>
      <c r="H74" s="14" t="n"/>
      <c r="I74" s="14" t="n"/>
      <c r="J74" s="14" t="n"/>
      <c r="K74" s="14" t="n"/>
      <c r="L74" s="14" t="n"/>
      <c r="M74" s="19">
        <f>IF(H74="","",IFERROR(I74/H74,0))</f>
        <v/>
      </c>
      <c r="N74" s="14" t="n"/>
    </row>
    <row r="75" ht="22" customHeight="1">
      <c r="B75" s="12">
        <f>IF(C75="","PLN"&amp;TEXT(COUNTA($C$5:C75),"000"))</f>
        <v/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8">
        <f>IF(H75="","",IFERROR(I75/H75,0))</f>
        <v/>
      </c>
      <c r="N75" s="12" t="n"/>
    </row>
    <row r="76" ht="22" customHeight="1">
      <c r="B76" s="14">
        <f>IF(C76="","PLN"&amp;TEXT(COUNTA($C$5:C76),"000"))</f>
        <v/>
      </c>
      <c r="C76" s="14" t="n"/>
      <c r="D76" s="14" t="n"/>
      <c r="E76" s="14" t="n"/>
      <c r="F76" s="14" t="n"/>
      <c r="G76" s="14" t="n"/>
      <c r="H76" s="14" t="n"/>
      <c r="I76" s="14" t="n"/>
      <c r="J76" s="14" t="n"/>
      <c r="K76" s="14" t="n"/>
      <c r="L76" s="14" t="n"/>
      <c r="M76" s="19">
        <f>IF(H76="","",IFERROR(I76/H76,0))</f>
        <v/>
      </c>
      <c r="N76" s="14" t="n"/>
    </row>
    <row r="77" ht="22" customHeight="1">
      <c r="B77" s="12">
        <f>IF(C77="","PLN"&amp;TEXT(COUNTA($C$5:C77),"000"))</f>
        <v/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8">
        <f>IF(H77="","",IFERROR(I77/H77,0))</f>
        <v/>
      </c>
      <c r="N77" s="12" t="n"/>
    </row>
    <row r="78" ht="22" customHeight="1">
      <c r="B78" s="14">
        <f>IF(C78="","PLN"&amp;TEXT(COUNTA($C$5:C78),"000"))</f>
        <v/>
      </c>
      <c r="C78" s="14" t="n"/>
      <c r="D78" s="14" t="n"/>
      <c r="E78" s="14" t="n"/>
      <c r="F78" s="14" t="n"/>
      <c r="G78" s="14" t="n"/>
      <c r="H78" s="14" t="n"/>
      <c r="I78" s="14" t="n"/>
      <c r="J78" s="14" t="n"/>
      <c r="K78" s="14" t="n"/>
      <c r="L78" s="14" t="n"/>
      <c r="M78" s="19">
        <f>IF(H78="","",IFERROR(I78/H78,0))</f>
        <v/>
      </c>
      <c r="N78" s="14" t="n"/>
    </row>
    <row r="79" ht="22" customHeight="1">
      <c r="B79" s="12">
        <f>IF(C79="","PLN"&amp;TEXT(COUNTA($C$5:C79),"000"))</f>
        <v/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8">
        <f>IF(H79="","",IFERROR(I79/H79,0))</f>
        <v/>
      </c>
      <c r="N79" s="12" t="n"/>
    </row>
    <row r="80" ht="22" customHeight="1">
      <c r="B80" s="14">
        <f>IF(C80="","PLN"&amp;TEXT(COUNTA($C$5:C80),"000"))</f>
        <v/>
      </c>
      <c r="C80" s="14" t="n"/>
      <c r="D80" s="14" t="n"/>
      <c r="E80" s="14" t="n"/>
      <c r="F80" s="14" t="n"/>
      <c r="G80" s="14" t="n"/>
      <c r="H80" s="14" t="n"/>
      <c r="I80" s="14" t="n"/>
      <c r="J80" s="14" t="n"/>
      <c r="K80" s="14" t="n"/>
      <c r="L80" s="14" t="n"/>
      <c r="M80" s="19">
        <f>IF(H80="","",IFERROR(I80/H80,0))</f>
        <v/>
      </c>
      <c r="N80" s="14" t="n"/>
    </row>
    <row r="81" ht="22" customHeight="1">
      <c r="B81" s="12">
        <f>IF(C81="","PLN"&amp;TEXT(COUNTA($C$5:C81),"000"))</f>
        <v/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8">
        <f>IF(H81="","",IFERROR(I81/H81,0))</f>
        <v/>
      </c>
      <c r="N81" s="12" t="n"/>
    </row>
    <row r="82" ht="22" customHeight="1">
      <c r="B82" s="14">
        <f>IF(C82="","PLN"&amp;TEXT(COUNTA($C$5:C82),"000"))</f>
        <v/>
      </c>
      <c r="C82" s="14" t="n"/>
      <c r="D82" s="14" t="n"/>
      <c r="E82" s="14" t="n"/>
      <c r="F82" s="14" t="n"/>
      <c r="G82" s="14" t="n"/>
      <c r="H82" s="14" t="n"/>
      <c r="I82" s="14" t="n"/>
      <c r="J82" s="14" t="n"/>
      <c r="K82" s="14" t="n"/>
      <c r="L82" s="14" t="n"/>
      <c r="M82" s="19">
        <f>IF(H82="","",IFERROR(I82/H82,0))</f>
        <v/>
      </c>
      <c r="N82" s="14" t="n"/>
    </row>
    <row r="83" ht="22" customHeight="1">
      <c r="B83" s="12">
        <f>IF(C83="","PLN"&amp;TEXT(COUNTA($C$5:C83),"000"))</f>
        <v/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8">
        <f>IF(H83="","",IFERROR(I83/H83,0))</f>
        <v/>
      </c>
      <c r="N83" s="12" t="n"/>
    </row>
    <row r="84" ht="22" customHeight="1">
      <c r="B84" s="14">
        <f>IF(C84="","PLN"&amp;TEXT(COUNTA($C$5:C84),"000"))</f>
        <v/>
      </c>
      <c r="C84" s="14" t="n"/>
      <c r="D84" s="14" t="n"/>
      <c r="E84" s="14" t="n"/>
      <c r="F84" s="14" t="n"/>
      <c r="G84" s="14" t="n"/>
      <c r="H84" s="14" t="n"/>
      <c r="I84" s="14" t="n"/>
      <c r="J84" s="14" t="n"/>
      <c r="K84" s="14" t="n"/>
      <c r="L84" s="14" t="n"/>
      <c r="M84" s="19">
        <f>IF(H84="","",IFERROR(I84/H84,0))</f>
        <v/>
      </c>
      <c r="N84" s="14" t="n"/>
    </row>
    <row r="85" ht="22" customHeight="1">
      <c r="B85" s="12">
        <f>IF(C85="","PLN"&amp;TEXT(COUNTA($C$5:C85),"000"))</f>
        <v/>
      </c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8">
        <f>IF(H85="","",IFERROR(I85/H85,0))</f>
        <v/>
      </c>
      <c r="N85" s="12" t="n"/>
    </row>
    <row r="86" ht="22" customHeight="1">
      <c r="B86" s="14">
        <f>IF(C86="","PLN"&amp;TEXT(COUNTA($C$5:C86),"000"))</f>
        <v/>
      </c>
      <c r="C86" s="14" t="n"/>
      <c r="D86" s="14" t="n"/>
      <c r="E86" s="14" t="n"/>
      <c r="F86" s="14" t="n"/>
      <c r="G86" s="14" t="n"/>
      <c r="H86" s="14" t="n"/>
      <c r="I86" s="14" t="n"/>
      <c r="J86" s="14" t="n"/>
      <c r="K86" s="14" t="n"/>
      <c r="L86" s="14" t="n"/>
      <c r="M86" s="19">
        <f>IF(H86="","",IFERROR(I86/H86,0))</f>
        <v/>
      </c>
      <c r="N86" s="14" t="n"/>
    </row>
    <row r="87" ht="22" customHeight="1">
      <c r="B87" s="12">
        <f>IF(C87="","PLN"&amp;TEXT(COUNTA($C$5:C87),"000"))</f>
        <v/>
      </c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8">
        <f>IF(H87="","",IFERROR(I87/H87,0))</f>
        <v/>
      </c>
      <c r="N87" s="12" t="n"/>
    </row>
    <row r="88" ht="22" customHeight="1">
      <c r="B88" s="14">
        <f>IF(C88="","PLN"&amp;TEXT(COUNTA($C$5:C88),"000"))</f>
        <v/>
      </c>
      <c r="C88" s="14" t="n"/>
      <c r="D88" s="14" t="n"/>
      <c r="E88" s="14" t="n"/>
      <c r="F88" s="14" t="n"/>
      <c r="G88" s="14" t="n"/>
      <c r="H88" s="14" t="n"/>
      <c r="I88" s="14" t="n"/>
      <c r="J88" s="14" t="n"/>
      <c r="K88" s="14" t="n"/>
      <c r="L88" s="14" t="n"/>
      <c r="M88" s="19">
        <f>IF(H88="","",IFERROR(I88/H88,0))</f>
        <v/>
      </c>
      <c r="N88" s="14" t="n"/>
    </row>
    <row r="89" ht="22" customHeight="1">
      <c r="B89" s="12">
        <f>IF(C89="","PLN"&amp;TEXT(COUNTA($C$5:C89),"000"))</f>
        <v/>
      </c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8">
        <f>IF(H89="","",IFERROR(I89/H89,0))</f>
        <v/>
      </c>
      <c r="N89" s="12" t="n"/>
    </row>
    <row r="90" ht="22" customHeight="1">
      <c r="B90" s="14">
        <f>IF(C90="","PLN"&amp;TEXT(COUNTA($C$5:C90),"000"))</f>
        <v/>
      </c>
      <c r="C90" s="14" t="n"/>
      <c r="D90" s="14" t="n"/>
      <c r="E90" s="14" t="n"/>
      <c r="F90" s="14" t="n"/>
      <c r="G90" s="14" t="n"/>
      <c r="H90" s="14" t="n"/>
      <c r="I90" s="14" t="n"/>
      <c r="J90" s="14" t="n"/>
      <c r="K90" s="14" t="n"/>
      <c r="L90" s="14" t="n"/>
      <c r="M90" s="19">
        <f>IF(H90="","",IFERROR(I90/H90,0))</f>
        <v/>
      </c>
      <c r="N90" s="14" t="n"/>
    </row>
    <row r="91" ht="22" customHeight="1">
      <c r="B91" s="12">
        <f>IF(C91="","PLN"&amp;TEXT(COUNTA($C$5:C91),"000"))</f>
        <v/>
      </c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8">
        <f>IF(H91="","",IFERROR(I91/H91,0))</f>
        <v/>
      </c>
      <c r="N91" s="12" t="n"/>
    </row>
    <row r="92" ht="22" customHeight="1">
      <c r="B92" s="14">
        <f>IF(C92="","PLN"&amp;TEXT(COUNTA($C$5:C92),"000"))</f>
        <v/>
      </c>
      <c r="C92" s="14" t="n"/>
      <c r="D92" s="14" t="n"/>
      <c r="E92" s="14" t="n"/>
      <c r="F92" s="14" t="n"/>
      <c r="G92" s="14" t="n"/>
      <c r="H92" s="14" t="n"/>
      <c r="I92" s="14" t="n"/>
      <c r="J92" s="14" t="n"/>
      <c r="K92" s="14" t="n"/>
      <c r="L92" s="14" t="n"/>
      <c r="M92" s="19">
        <f>IF(H92="","",IFERROR(I92/H92,0))</f>
        <v/>
      </c>
      <c r="N92" s="14" t="n"/>
    </row>
    <row r="93" ht="22" customHeight="1">
      <c r="B93" s="12">
        <f>IF(C93="","PLN"&amp;TEXT(COUNTA($C$5:C93),"000"))</f>
        <v/>
      </c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8">
        <f>IF(H93="","",IFERROR(I93/H93,0))</f>
        <v/>
      </c>
      <c r="N93" s="12" t="n"/>
    </row>
    <row r="94" ht="22" customHeight="1">
      <c r="B94" s="14">
        <f>IF(C94="","PLN"&amp;TEXT(COUNTA($C$5:C94),"000"))</f>
        <v/>
      </c>
      <c r="C94" s="14" t="n"/>
      <c r="D94" s="14" t="n"/>
      <c r="E94" s="14" t="n"/>
      <c r="F94" s="14" t="n"/>
      <c r="G94" s="14" t="n"/>
      <c r="H94" s="14" t="n"/>
      <c r="I94" s="14" t="n"/>
      <c r="J94" s="14" t="n"/>
      <c r="K94" s="14" t="n"/>
      <c r="L94" s="14" t="n"/>
      <c r="M94" s="19">
        <f>IF(H94="","",IFERROR(I94/H94,0))</f>
        <v/>
      </c>
      <c r="N94" s="14" t="n"/>
    </row>
    <row r="95" ht="22" customHeight="1">
      <c r="B95" s="12">
        <f>IF(C95="","PLN"&amp;TEXT(COUNTA($C$5:C95),"000"))</f>
        <v/>
      </c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8">
        <f>IF(H95="","",IFERROR(I95/H95,0))</f>
        <v/>
      </c>
      <c r="N95" s="12" t="n"/>
    </row>
    <row r="96" ht="22" customHeight="1">
      <c r="B96" s="14">
        <f>IF(C96="","PLN"&amp;TEXT(COUNTA($C$5:C96),"000"))</f>
        <v/>
      </c>
      <c r="C96" s="14" t="n"/>
      <c r="D96" s="14" t="n"/>
      <c r="E96" s="14" t="n"/>
      <c r="F96" s="14" t="n"/>
      <c r="G96" s="14" t="n"/>
      <c r="H96" s="14" t="n"/>
      <c r="I96" s="14" t="n"/>
      <c r="J96" s="14" t="n"/>
      <c r="K96" s="14" t="n"/>
      <c r="L96" s="14" t="n"/>
      <c r="M96" s="19">
        <f>IF(H96="","",IFERROR(I96/H96,0))</f>
        <v/>
      </c>
      <c r="N96" s="14" t="n"/>
    </row>
    <row r="97" ht="22" customHeight="1">
      <c r="B97" s="12">
        <f>IF(C97="","PLN"&amp;TEXT(COUNTA($C$5:C97),"000"))</f>
        <v/>
      </c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8">
        <f>IF(H97="","",IFERROR(I97/H97,0))</f>
        <v/>
      </c>
      <c r="N97" s="12" t="n"/>
    </row>
    <row r="98" ht="22" customHeight="1">
      <c r="B98" s="14">
        <f>IF(C98="","PLN"&amp;TEXT(COUNTA($C$5:C98),"000"))</f>
        <v/>
      </c>
      <c r="C98" s="14" t="n"/>
      <c r="D98" s="14" t="n"/>
      <c r="E98" s="14" t="n"/>
      <c r="F98" s="14" t="n"/>
      <c r="G98" s="14" t="n"/>
      <c r="H98" s="14" t="n"/>
      <c r="I98" s="14" t="n"/>
      <c r="J98" s="14" t="n"/>
      <c r="K98" s="14" t="n"/>
      <c r="L98" s="14" t="n"/>
      <c r="M98" s="19">
        <f>IF(H98="","",IFERROR(I98/H98,0))</f>
        <v/>
      </c>
      <c r="N98" s="14" t="n"/>
    </row>
    <row r="99" ht="22" customHeight="1">
      <c r="B99" s="12">
        <f>IF(C99="","PLN"&amp;TEXT(COUNTA($C$5:C99),"000"))</f>
        <v/>
      </c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8">
        <f>IF(H99="","",IFERROR(I99/H99,0))</f>
        <v/>
      </c>
      <c r="N99" s="12" t="n"/>
    </row>
    <row r="100" ht="22" customHeight="1">
      <c r="B100" s="14">
        <f>IF(C100="","PLN"&amp;TEXT(COUNTA($C$5:C100),"000"))</f>
        <v/>
      </c>
      <c r="C100" s="14" t="n"/>
      <c r="D100" s="14" t="n"/>
      <c r="E100" s="14" t="n"/>
      <c r="F100" s="14" t="n"/>
      <c r="G100" s="14" t="n"/>
      <c r="H100" s="14" t="n"/>
      <c r="I100" s="14" t="n"/>
      <c r="J100" s="14" t="n"/>
      <c r="K100" s="14" t="n"/>
      <c r="L100" s="14" t="n"/>
      <c r="M100" s="19">
        <f>IF(H100="","",IFERROR(I100/H100,0))</f>
        <v/>
      </c>
      <c r="N100" s="14" t="n"/>
    </row>
    <row r="101" ht="22" customHeight="1">
      <c r="B101" s="12">
        <f>IF(C101="","PLN"&amp;TEXT(COUNTA($C$5:C101),"000"))</f>
        <v/>
      </c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8">
        <f>IF(H101="","",IFERROR(I101/H101,0))</f>
        <v/>
      </c>
      <c r="N101" s="12" t="n"/>
    </row>
    <row r="102" ht="22" customHeight="1">
      <c r="B102" s="14">
        <f>IF(C102="","PLN"&amp;TEXT(COUNTA($C$5:C102),"000"))</f>
        <v/>
      </c>
      <c r="C102" s="14" t="n"/>
      <c r="D102" s="14" t="n"/>
      <c r="E102" s="14" t="n"/>
      <c r="F102" s="14" t="n"/>
      <c r="G102" s="14" t="n"/>
      <c r="H102" s="14" t="n"/>
      <c r="I102" s="14" t="n"/>
      <c r="J102" s="14" t="n"/>
      <c r="K102" s="14" t="n"/>
      <c r="L102" s="14" t="n"/>
      <c r="M102" s="19">
        <f>IF(H102="","",IFERROR(I102/H102,0))</f>
        <v/>
      </c>
      <c r="N102" s="14" t="n"/>
    </row>
    <row r="103" ht="22" customHeight="1">
      <c r="B103" s="12">
        <f>IF(C103="","PLN"&amp;TEXT(COUNTA($C$5:C103),"000"))</f>
        <v/>
      </c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8">
        <f>IF(H103="","",IFERROR(I103/H103,0))</f>
        <v/>
      </c>
      <c r="N103" s="12" t="n"/>
    </row>
    <row r="104" ht="22" customHeight="1">
      <c r="B104" s="14">
        <f>IF(C104="","PLN"&amp;TEXT(COUNTA($C$5:C104),"000"))</f>
        <v/>
      </c>
      <c r="C104" s="14" t="n"/>
      <c r="D104" s="14" t="n"/>
      <c r="E104" s="14" t="n"/>
      <c r="F104" s="14" t="n"/>
      <c r="G104" s="14" t="n"/>
      <c r="H104" s="14" t="n"/>
      <c r="I104" s="14" t="n"/>
      <c r="J104" s="14" t="n"/>
      <c r="K104" s="14" t="n"/>
      <c r="L104" s="14" t="n"/>
      <c r="M104" s="19">
        <f>IF(H104="","",IFERROR(I104/H104,0))</f>
        <v/>
      </c>
      <c r="N104" s="14" t="n"/>
    </row>
    <row r="105"/>
    <row r="106">
      <c r="B106" s="40" t="inlineStr">
        <is>
          <t>KPI Taux Présence Moy.</t>
        </is>
      </c>
      <c r="C106" s="40" t="inlineStr">
        <is>
          <t>KPI Total Retards (min)</t>
        </is>
      </c>
      <c r="D106" s="40" t="inlineStr">
        <is>
          <t>KPI Total Heures Supp</t>
        </is>
      </c>
      <c r="E106" s="40" t="inlineStr">
        <is>
          <t>KPI Employés 100%</t>
        </is>
      </c>
    </row>
    <row r="107">
      <c r="B107" s="42">
        <f>IFERROR(AVERAGE(L5:L104),0)</f>
        <v/>
      </c>
      <c r="C107" s="42">
        <f>SUM(J5:J104)</f>
        <v/>
      </c>
      <c r="D107" s="42">
        <f>SUM(K5:K104)</f>
        <v/>
      </c>
      <c r="E107" s="42">
        <f>COUNTIF(L5:L104,1)</f>
        <v/>
      </c>
    </row>
  </sheetData>
  <mergeCells count="1">
    <mergeCell ref="B2:N2"/>
  </mergeCells>
  <conditionalFormatting sqref="H5:H104">
    <cfRule type="dataBar" priority="1">
      <dataBar>
        <cfvo type="num" val="0"/>
        <cfvo type="num" val="1"/>
        <color rgb="001B2A4A"/>
      </dataBar>
    </cfRule>
  </conditionalFormatting>
  <conditionalFormatting sqref="I5:I104">
    <cfRule type="dataBar" priority="2">
      <dataBar>
        <cfvo type="num" val="0"/>
        <cfvo type="num" val="1"/>
        <color rgb="001B2A4A"/>
      </dataBar>
    </cfRule>
  </conditionalFormatting>
  <conditionalFormatting sqref="J5:J104">
    <cfRule type="dataBar" priority="3">
      <dataBar>
        <cfvo type="num" val="0"/>
        <cfvo type="num" val="1"/>
        <color rgb="001B2A4A"/>
      </dataBar>
    </cfRule>
  </conditionalFormatting>
  <conditionalFormatting sqref="K5:K104">
    <cfRule type="dataBar" priority="4">
      <dataBar>
        <cfvo type="num" val="0"/>
        <cfvo type="num" val="1"/>
        <color rgb="001B2A4A"/>
      </dataBar>
    </cfRule>
  </conditionalFormatting>
  <conditionalFormatting sqref="L5:L104">
    <cfRule type="dataBar" priority="5">
      <dataBar>
        <cfvo type="num" val="0"/>
        <cfvo type="num" val="1"/>
        <color rgb="001B2A4A"/>
      </dataBar>
    </cfRule>
  </conditionalFormatting>
  <conditionalFormatting sqref="M5:M104">
    <cfRule type="dataBar" priority="6">
      <dataBar>
        <cfvo type="num" val="0"/>
        <cfvo type="num" val="1"/>
        <color rgb="001B2A4A"/>
      </dataBar>
    </cfRule>
  </conditionalFormatting>
  <conditionalFormatting sqref="B107">
    <cfRule type="cellIs" priority="7" operator="greaterThan" dxfId="8">
      <formula>0</formula>
    </cfRule>
  </conditionalFormatting>
  <conditionalFormatting sqref="C107">
    <cfRule type="cellIs" priority="8" operator="greaterThan" dxfId="8">
      <formula>0</formula>
    </cfRule>
  </conditionalFormatting>
  <conditionalFormatting sqref="D107">
    <cfRule type="cellIs" priority="9" operator="greaterThan" dxfId="8">
      <formula>0</formula>
    </cfRule>
  </conditionalFormatting>
  <conditionalFormatting sqref="E107">
    <cfRule type="cellIs" priority="10" operator="greaterThan" dxfId="8">
      <formula>0</formula>
    </cfRule>
  </conditionalFormatting>
  <dataValidations count="1">
    <dataValidation sqref="G5:G104" showDropDown="0" showInputMessage="0" showErrorMessage="0" allowBlank="1" type="list">
      <formula1>'_Lists'!$AP$2:$AP$6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Y5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civilite</t>
        </is>
      </c>
      <c r="C1" t="inlineStr">
        <is>
          <t>genre</t>
        </is>
      </c>
      <c r="D1" t="inlineStr">
        <is>
          <t>situation_fam</t>
        </is>
      </c>
      <c r="E1" t="inlineStr">
        <is>
          <t>nationalite</t>
        </is>
      </c>
      <c r="F1" t="inlineStr">
        <is>
          <t>statut_employe</t>
        </is>
      </c>
      <c r="G1" t="inlineStr">
        <is>
          <t>type_contrat</t>
        </is>
      </c>
      <c r="H1" t="inlineStr">
        <is>
          <t>categorie_salarie</t>
        </is>
      </c>
      <c r="I1" t="inlineStr">
        <is>
          <t>regime_travail</t>
        </is>
      </c>
      <c r="J1" t="inlineStr">
        <is>
          <t>departement</t>
        </is>
      </c>
      <c r="K1" t="inlineStr">
        <is>
          <t>statut_contrat</t>
        </is>
      </c>
      <c r="L1" t="inlineStr">
        <is>
          <t>type_avenant</t>
        </is>
      </c>
      <c r="M1" t="inlineStr">
        <is>
          <t>type_document</t>
        </is>
      </c>
      <c r="N1" t="inlineStr">
        <is>
          <t>statut_document</t>
        </is>
      </c>
      <c r="O1" t="inlineStr">
        <is>
          <t>lieu_depot</t>
        </is>
      </c>
      <c r="P1" t="inlineStr">
        <is>
          <t>banque</t>
        </is>
      </c>
      <c r="Q1" t="inlineStr">
        <is>
          <t>statut_rib</t>
        </is>
      </c>
      <c r="R1" t="inlineStr">
        <is>
          <t>organisme_prevo</t>
        </is>
      </c>
      <c r="S1" t="inlineStr">
        <is>
          <t>couverture</t>
        </is>
      </c>
      <c r="T1" t="inlineStr">
        <is>
          <t>statut_adhesion</t>
        </is>
      </c>
      <c r="U1" t="inlineStr">
        <is>
          <t>type_conge</t>
        </is>
      </c>
      <c r="V1" t="inlineStr">
        <is>
          <t>statut_conge</t>
        </is>
      </c>
      <c r="W1" t="inlineStr">
        <is>
          <t>type_absence</t>
        </is>
      </c>
      <c r="X1" t="inlineStr">
        <is>
          <t>statut_absence</t>
        </is>
      </c>
      <c r="Y1" t="inlineStr">
        <is>
          <t>statut_heures</t>
        </is>
      </c>
      <c r="Z1" t="inlineStr">
        <is>
          <t>taux_majoration</t>
        </is>
      </c>
      <c r="AA1" t="inlineStr">
        <is>
          <t>statut_paie</t>
        </is>
      </c>
      <c r="AB1" t="inlineStr">
        <is>
          <t>mode_paie</t>
        </is>
      </c>
      <c r="AC1" t="inlineStr">
        <is>
          <t>organisme_social</t>
        </is>
      </c>
      <c r="AD1" t="inlineStr">
        <is>
          <t>type_declaration</t>
        </is>
      </c>
      <c r="AE1" t="inlineStr">
        <is>
          <t>statut_declaration</t>
        </is>
      </c>
      <c r="AF1" t="inlineStr">
        <is>
          <t>type_permit</t>
        </is>
      </c>
      <c r="AG1" t="inlineStr">
        <is>
          <t>statut_permit</t>
        </is>
      </c>
      <c r="AH1" t="inlineStr">
        <is>
          <t>autorite</t>
        </is>
      </c>
      <c r="AI1" t="inlineStr">
        <is>
          <t>motif_depart</t>
        </is>
      </c>
      <c r="AJ1" t="inlineStr">
        <is>
          <t>statut_dossier</t>
        </is>
      </c>
      <c r="AK1" t="inlineStr">
        <is>
          <t>duree_conservation</t>
        </is>
      </c>
      <c r="AL1" t="inlineStr">
        <is>
          <t>motif_rappel</t>
        </is>
      </c>
      <c r="AM1" t="inlineStr">
        <is>
          <t>statut_rappel</t>
        </is>
      </c>
      <c r="AN1" t="inlineStr">
        <is>
          <t>oui_non</t>
        </is>
      </c>
      <c r="AO1" t="inlineStr">
        <is>
          <t>poste_hotel</t>
        </is>
      </c>
      <c r="AP1" t="inlineStr">
        <is>
          <t>semaine</t>
        </is>
      </c>
      <c r="AQ1" t="inlineStr">
        <is>
          <t>statut_solde</t>
        </is>
      </c>
      <c r="AR1" t="inlineStr">
        <is>
          <t>statut_solde_conge</t>
        </is>
      </c>
      <c r="AS1" t="inlineStr">
        <is>
          <t>type_pret</t>
        </is>
      </c>
      <c r="AT1" t="inlineStr">
        <is>
          <t>statut_pret</t>
        </is>
      </c>
      <c r="AU1" t="inlineStr">
        <is>
          <t>type_sanction</t>
        </is>
      </c>
      <c r="AV1" t="inlineStr">
        <is>
          <t>statut_sanction</t>
        </is>
      </c>
      <c r="AW1" t="inlineStr">
        <is>
          <t>type_visite</t>
        </is>
      </c>
      <c r="AX1" t="inlineStr">
        <is>
          <t>aptitude</t>
        </is>
      </c>
      <c r="AY1" t="inlineStr">
        <is>
          <t>oui_non_2</t>
        </is>
      </c>
    </row>
    <row r="2">
      <c r="B2" t="inlineStr">
        <is>
          <t>M.</t>
        </is>
      </c>
      <c r="C2" t="inlineStr">
        <is>
          <t>Masculin</t>
        </is>
      </c>
      <c r="D2" t="inlineStr">
        <is>
          <t>Celibataire</t>
        </is>
      </c>
      <c r="E2" t="inlineStr">
        <is>
          <t>Camerounaise</t>
        </is>
      </c>
      <c r="F2" t="inlineStr">
        <is>
          <t>Actif</t>
        </is>
      </c>
      <c r="G2" t="inlineStr">
        <is>
          <t>CDI</t>
        </is>
      </c>
      <c r="H2" t="inlineStr">
        <is>
          <t>Cadre</t>
        </is>
      </c>
      <c r="I2" t="inlineStr">
        <is>
          <t>Temps plein</t>
        </is>
      </c>
      <c r="J2" t="inlineStr">
        <is>
          <t>Direction Generale</t>
        </is>
      </c>
      <c r="K2" t="inlineStr">
        <is>
          <t>En vigueur</t>
        </is>
      </c>
      <c r="L2" t="inlineStr">
        <is>
          <t>Modification salariale</t>
        </is>
      </c>
      <c r="M2" t="inlineStr">
        <is>
          <t>CNI</t>
        </is>
      </c>
      <c r="N2" t="inlineStr">
        <is>
          <t>Valide</t>
        </is>
      </c>
      <c r="O2" t="inlineStr">
        <is>
          <t>RH Central</t>
        </is>
      </c>
      <c r="P2" t="inlineStr">
        <is>
          <t>SGBC</t>
        </is>
      </c>
      <c r="Q2" t="inlineStr">
        <is>
          <t>Actif</t>
        </is>
      </c>
      <c r="R2" t="inlineStr">
        <is>
          <t>CNPS</t>
        </is>
      </c>
      <c r="S2" t="inlineStr">
        <is>
          <t>Sante</t>
        </is>
      </c>
      <c r="T2" t="inlineStr">
        <is>
          <t>Actif</t>
        </is>
      </c>
      <c r="U2" t="inlineStr">
        <is>
          <t>Annuel</t>
        </is>
      </c>
      <c r="V2" t="inlineStr">
        <is>
          <t>En attente</t>
        </is>
      </c>
      <c r="W2" t="inlineStr">
        <is>
          <t>Maladie</t>
        </is>
      </c>
      <c r="X2" t="inlineStr">
        <is>
          <t>Justifiee</t>
        </is>
      </c>
      <c r="Y2" t="inlineStr">
        <is>
          <t>En attente</t>
        </is>
      </c>
      <c r="Z2" t="inlineStr">
        <is>
          <t>100%</t>
        </is>
      </c>
      <c r="AA2" t="inlineStr">
        <is>
          <t>Generee</t>
        </is>
      </c>
      <c r="AB2" t="inlineStr">
        <is>
          <t>Virement bancaire</t>
        </is>
      </c>
      <c r="AC2" t="inlineStr">
        <is>
          <t>CNPS</t>
        </is>
      </c>
      <c r="AD2" t="inlineStr">
        <is>
          <t>Mensuelle</t>
        </is>
      </c>
      <c r="AE2" t="inlineStr">
        <is>
          <t>Soumise</t>
        </is>
      </c>
      <c r="AF2" t="inlineStr">
        <is>
          <t>Permis de travail</t>
        </is>
      </c>
      <c r="AG2" t="inlineStr">
        <is>
          <t>Valide</t>
        </is>
      </c>
      <c r="AH2" t="inlineStr">
        <is>
          <t>MINTSS</t>
        </is>
      </c>
      <c r="AI2" t="inlineStr">
        <is>
          <t>Demission</t>
        </is>
      </c>
      <c r="AJ2" t="inlineStr">
        <is>
          <t>En cours</t>
        </is>
      </c>
      <c r="AK2" t="inlineStr">
        <is>
          <t>1 an</t>
        </is>
      </c>
      <c r="AL2" t="inlineStr">
        <is>
          <t>Expiration document</t>
        </is>
      </c>
      <c r="AM2" t="inlineStr">
        <is>
          <t>En attente</t>
        </is>
      </c>
      <c r="AN2" t="inlineStr">
        <is>
          <t>Oui</t>
        </is>
      </c>
      <c r="AO2" t="inlineStr">
        <is>
          <t>Receptionniste</t>
        </is>
      </c>
      <c r="AP2" t="inlineStr">
        <is>
          <t>S01-2025</t>
        </is>
      </c>
      <c r="AQ2" t="inlineStr">
        <is>
          <t>A jour</t>
        </is>
      </c>
      <c r="AR2" t="inlineStr">
        <is>
          <t>A jour</t>
        </is>
      </c>
      <c r="AS2" t="inlineStr">
        <is>
          <t>Avance salaire</t>
        </is>
      </c>
      <c r="AT2" t="inlineStr">
        <is>
          <t>En attente</t>
        </is>
      </c>
      <c r="AU2" t="inlineStr">
        <is>
          <t>Avertissement oral</t>
        </is>
      </c>
      <c r="AV2" t="inlineStr">
        <is>
          <t>En cours</t>
        </is>
      </c>
      <c r="AW2" t="inlineStr">
        <is>
          <t>Visite embauche</t>
        </is>
      </c>
      <c r="AX2" t="inlineStr">
        <is>
          <t>Apte</t>
        </is>
      </c>
      <c r="AY2" t="inlineStr">
        <is>
          <t>Oui</t>
        </is>
      </c>
    </row>
    <row r="3">
      <c r="B3" t="inlineStr">
        <is>
          <t>Mme</t>
        </is>
      </c>
      <c r="C3" t="inlineStr">
        <is>
          <t>Feminin</t>
        </is>
      </c>
      <c r="D3" t="inlineStr">
        <is>
          <t>Marie(e)</t>
        </is>
      </c>
      <c r="E3" t="inlineStr">
        <is>
          <t>Tchadienne</t>
        </is>
      </c>
      <c r="F3" t="inlineStr">
        <is>
          <t>En conge</t>
        </is>
      </c>
      <c r="G3" t="inlineStr">
        <is>
          <t>CDD</t>
        </is>
      </c>
      <c r="H3" t="inlineStr">
        <is>
          <t>Agent de maitrise</t>
        </is>
      </c>
      <c r="I3" t="inlineStr">
        <is>
          <t>Temps partiel</t>
        </is>
      </c>
      <c r="J3" t="inlineStr">
        <is>
          <t>Service Client</t>
        </is>
      </c>
      <c r="K3" t="inlineStr">
        <is>
          <t>Echu</t>
        </is>
      </c>
      <c r="L3" t="inlineStr">
        <is>
          <t>Changement poste</t>
        </is>
      </c>
      <c r="M3" t="inlineStr">
        <is>
          <t>Passeport</t>
        </is>
      </c>
      <c r="N3" t="inlineStr">
        <is>
          <t>A renouveler</t>
        </is>
      </c>
      <c r="O3" t="inlineStr">
        <is>
          <t>Service du personnel</t>
        </is>
      </c>
      <c r="P3" t="inlineStr">
        <is>
          <t>BICEC</t>
        </is>
      </c>
      <c r="Q3" t="inlineStr">
        <is>
          <t>Inactif</t>
        </is>
      </c>
      <c r="R3" t="inlineStr">
        <is>
          <t>Mutuelle entreprise</t>
        </is>
      </c>
      <c r="S3" t="inlineStr">
        <is>
          <t>Sante + Deces</t>
        </is>
      </c>
      <c r="T3" t="inlineStr">
        <is>
          <t>En attente</t>
        </is>
      </c>
      <c r="U3" t="inlineStr">
        <is>
          <t>Maternite</t>
        </is>
      </c>
      <c r="V3" t="inlineStr">
        <is>
          <t>Approuve</t>
        </is>
      </c>
      <c r="W3" t="inlineStr">
        <is>
          <t>Accident travail</t>
        </is>
      </c>
      <c r="X3" t="inlineStr">
        <is>
          <t>Non justifiee</t>
        </is>
      </c>
      <c r="Y3" t="inlineStr">
        <is>
          <t>Validee</t>
        </is>
      </c>
      <c r="Z3" t="inlineStr">
        <is>
          <t>125%</t>
        </is>
      </c>
      <c r="AA3" t="inlineStr">
        <is>
          <t>Validee</t>
        </is>
      </c>
      <c r="AB3" t="inlineStr">
        <is>
          <t>Cheque</t>
        </is>
      </c>
      <c r="AC3" t="inlineStr">
        <is>
          <t>CNP</t>
        </is>
      </c>
      <c r="AD3" t="inlineStr">
        <is>
          <t>Trimestrielle</t>
        </is>
      </c>
      <c r="AE3" t="inlineStr">
        <is>
          <t>En retard</t>
        </is>
      </c>
      <c r="AF3" t="inlineStr">
        <is>
          <t>Carte de sejour</t>
        </is>
      </c>
      <c r="AG3" t="inlineStr">
        <is>
          <t>En renouvellement</t>
        </is>
      </c>
      <c r="AH3" t="inlineStr">
        <is>
          <t>DGSN</t>
        </is>
      </c>
      <c r="AI3" t="inlineStr">
        <is>
          <t>Licenciement</t>
        </is>
      </c>
      <c r="AJ3" t="inlineStr">
        <is>
          <t>Clos</t>
        </is>
      </c>
      <c r="AK3" t="inlineStr">
        <is>
          <t>3 ans</t>
        </is>
      </c>
      <c r="AL3" t="inlineStr">
        <is>
          <t>Renouvellement contrat</t>
        </is>
      </c>
      <c r="AM3" t="inlineStr">
        <is>
          <t>Traite</t>
        </is>
      </c>
      <c r="AN3" t="inlineStr">
        <is>
          <t>Non</t>
        </is>
      </c>
      <c r="AO3" t="inlineStr">
        <is>
          <t>Concierge</t>
        </is>
      </c>
      <c r="AP3" t="inlineStr">
        <is>
          <t>S02-2025</t>
        </is>
      </c>
      <c r="AQ3" t="inlineStr">
        <is>
          <t>A mettre a jour</t>
        </is>
      </c>
      <c r="AR3" t="inlineStr">
        <is>
          <t>A mettre a jour</t>
        </is>
      </c>
      <c r="AS3" t="inlineStr">
        <is>
          <t>Prêt social</t>
        </is>
      </c>
      <c r="AT3" t="inlineStr">
        <is>
          <t>Approuve</t>
        </is>
      </c>
      <c r="AU3" t="inlineStr">
        <is>
          <t>Avertissement écrit</t>
        </is>
      </c>
      <c r="AV3" t="inlineStr">
        <is>
          <t>Exécutee</t>
        </is>
      </c>
      <c r="AW3" t="inlineStr">
        <is>
          <t>Visite périodique</t>
        </is>
      </c>
      <c r="AX3" t="inlineStr">
        <is>
          <t>Apte avec restrictions</t>
        </is>
      </c>
      <c r="AY3" t="inlineStr">
        <is>
          <t>Non</t>
        </is>
      </c>
    </row>
    <row r="4">
      <c r="B4" t="inlineStr">
        <is>
          <t>Mlle</t>
        </is>
      </c>
      <c r="D4" t="inlineStr">
        <is>
          <t>Divorce(e)</t>
        </is>
      </c>
      <c r="E4" t="inlineStr">
        <is>
          <t>Nigeriane</t>
        </is>
      </c>
      <c r="F4" t="inlineStr">
        <is>
          <t>En arret maladie</t>
        </is>
      </c>
      <c r="G4" t="inlineStr">
        <is>
          <t>Stage</t>
        </is>
      </c>
      <c r="H4" t="inlineStr">
        <is>
          <t>Employe</t>
        </is>
      </c>
      <c r="I4" t="inlineStr">
        <is>
          <t>Horaires amenages</t>
        </is>
      </c>
      <c r="J4" t="inlineStr">
        <is>
          <t>Finance &amp; Comptabilité</t>
        </is>
      </c>
      <c r="K4" t="inlineStr">
        <is>
          <t>Resilie</t>
        </is>
      </c>
      <c r="L4" t="inlineStr">
        <is>
          <t>Passage temps partiel</t>
        </is>
      </c>
      <c r="M4" t="inlineStr">
        <is>
          <t>Attestation de travail</t>
        </is>
      </c>
      <c r="N4" t="inlineStr">
        <is>
          <t>Expire</t>
        </is>
      </c>
      <c r="O4" t="inlineStr">
        <is>
          <t>Direction</t>
        </is>
      </c>
      <c r="P4" t="inlineStr">
        <is>
          <t>AFRILAND First Bank</t>
        </is>
      </c>
      <c r="Q4" t="inlineStr">
        <is>
          <t>A verifier</t>
        </is>
      </c>
      <c r="R4" t="inlineStr">
        <is>
          <t>Assurance groupe</t>
        </is>
      </c>
      <c r="S4" t="inlineStr">
        <is>
          <t>Sante + Retraite</t>
        </is>
      </c>
      <c r="T4" t="inlineStr">
        <is>
          <t>Resilie</t>
        </is>
      </c>
      <c r="U4" t="inlineStr">
        <is>
          <t>Paternite</t>
        </is>
      </c>
      <c r="V4" t="inlineStr">
        <is>
          <t>Refuse</t>
        </is>
      </c>
      <c r="W4" t="inlineStr">
        <is>
          <t>Congé maternite</t>
        </is>
      </c>
      <c r="X4" t="inlineStr">
        <is>
          <t>En attente</t>
        </is>
      </c>
      <c r="Y4" t="inlineStr">
        <is>
          <t>Rejetee</t>
        </is>
      </c>
      <c r="Z4" t="inlineStr">
        <is>
          <t>150%</t>
        </is>
      </c>
      <c r="AA4" t="inlineStr">
        <is>
          <t>Payee</t>
        </is>
      </c>
      <c r="AB4" t="inlineStr">
        <is>
          <t>Especes</t>
        </is>
      </c>
      <c r="AC4" t="inlineStr">
        <is>
          <t>Direction des impots</t>
        </is>
      </c>
      <c r="AD4" t="inlineStr">
        <is>
          <t>Annuelle</t>
        </is>
      </c>
      <c r="AE4" t="inlineStr">
        <is>
          <t>Validee</t>
        </is>
      </c>
      <c r="AF4" t="inlineStr">
        <is>
          <t>Visa de travail</t>
        </is>
      </c>
      <c r="AG4" t="inlineStr">
        <is>
          <t>Expire</t>
        </is>
      </c>
      <c r="AH4" t="inlineStr">
        <is>
          <t>Ministere de l'Interieur</t>
        </is>
      </c>
      <c r="AI4" t="inlineStr">
        <is>
          <t>Fin de CDD</t>
        </is>
      </c>
      <c r="AJ4" t="inlineStr">
        <is>
          <t>En attente piece</t>
        </is>
      </c>
      <c r="AK4" t="inlineStr">
        <is>
          <t>5 ans</t>
        </is>
      </c>
      <c r="AL4" t="inlineStr">
        <is>
          <t>Echeance periode essai</t>
        </is>
      </c>
      <c r="AM4" t="inlineStr">
        <is>
          <t>En retard</t>
        </is>
      </c>
      <c r="AO4" t="inlineStr">
        <is>
          <t>Chef cuisinier</t>
        </is>
      </c>
      <c r="AP4" t="inlineStr">
        <is>
          <t>S03-2025</t>
        </is>
      </c>
      <c r="AQ4" t="inlineStr">
        <is>
          <t>En attente validation</t>
        </is>
      </c>
      <c r="AR4" t="inlineStr">
        <is>
          <t>En attente validation</t>
        </is>
      </c>
      <c r="AS4" t="inlineStr">
        <is>
          <t>Prêt logement</t>
        </is>
      </c>
      <c r="AT4" t="inlineStr">
        <is>
          <t>En cours</t>
        </is>
      </c>
      <c r="AU4" t="inlineStr">
        <is>
          <t>Blâme</t>
        </is>
      </c>
      <c r="AV4" t="inlineStr">
        <is>
          <t>Contestee</t>
        </is>
      </c>
      <c r="AW4" t="inlineStr">
        <is>
          <t>Visite reprise</t>
        </is>
      </c>
      <c r="AX4" t="inlineStr">
        <is>
          <t>Inapte temporaire</t>
        </is>
      </c>
      <c r="AY4" t="inlineStr">
        <is>
          <t>Partiel</t>
        </is>
      </c>
    </row>
    <row r="5">
      <c r="D5" t="inlineStr">
        <is>
          <t>Veuf(ve)</t>
        </is>
      </c>
      <c r="E5" t="inlineStr">
        <is>
          <t>Ghanéenne</t>
        </is>
      </c>
      <c r="F5" t="inlineStr">
        <is>
          <t>Suspendu</t>
        </is>
      </c>
      <c r="G5" t="inlineStr">
        <is>
          <t>Interim</t>
        </is>
      </c>
      <c r="H5" t="inlineStr">
        <is>
          <t>Ouvrier</t>
        </is>
      </c>
      <c r="I5" t="inlineStr">
        <is>
          <t>Forfait jours</t>
        </is>
      </c>
      <c r="J5" t="inlineStr">
        <is>
          <t>Marketing &amp; Communication</t>
        </is>
      </c>
      <c r="K5" t="inlineStr">
        <is>
          <t>Suspendu</t>
        </is>
      </c>
      <c r="L5" t="inlineStr">
        <is>
          <t>Renouvellement</t>
        </is>
      </c>
      <c r="M5" t="inlineStr">
        <is>
          <t>Certificat medical</t>
        </is>
      </c>
      <c r="N5" t="inlineStr">
        <is>
          <t>En cours</t>
        </is>
      </c>
      <c r="O5" t="inlineStr">
        <is>
          <t>Archive physique</t>
        </is>
      </c>
      <c r="P5" t="inlineStr">
        <is>
          <t>ECOBANK</t>
        </is>
      </c>
      <c r="Q5" t="inlineStr">
        <is>
          <t>Cloture</t>
        </is>
      </c>
      <c r="R5" t="inlineStr">
        <is>
          <t>Allianz Cameroon</t>
        </is>
      </c>
      <c r="S5" t="inlineStr">
        <is>
          <t>Complete</t>
        </is>
      </c>
      <c r="T5" t="inlineStr">
        <is>
          <t>Suspendu</t>
        </is>
      </c>
      <c r="U5" t="inlineStr">
        <is>
          <t>Sans solde</t>
        </is>
      </c>
      <c r="V5" t="inlineStr">
        <is>
          <t>Pris</t>
        </is>
      </c>
      <c r="W5" t="inlineStr">
        <is>
          <t>Congé paternite</t>
        </is>
      </c>
      <c r="X5" t="inlineStr">
        <is>
          <t>Approuvee</t>
        </is>
      </c>
      <c r="Y5" t="inlineStr">
        <is>
          <t>Payee</t>
        </is>
      </c>
      <c r="Z5" t="inlineStr">
        <is>
          <t>200%</t>
        </is>
      </c>
      <c r="AA5" t="inlineStr">
        <is>
          <t>En retard</t>
        </is>
      </c>
      <c r="AC5" t="inlineStr">
        <is>
          <t>Mutuelle</t>
        </is>
      </c>
      <c r="AD5" t="inlineStr">
        <is>
          <t>Exceptionnelle</t>
        </is>
      </c>
      <c r="AE5" t="inlineStr">
        <is>
          <t>Rejetee</t>
        </is>
      </c>
      <c r="AF5" t="inlineStr">
        <is>
          <t>Autorisation d'exercice</t>
        </is>
      </c>
      <c r="AG5" t="inlineStr">
        <is>
          <t>Rejete</t>
        </is>
      </c>
      <c r="AH5" t="inlineStr">
        <is>
          <t>Prefecture</t>
        </is>
      </c>
      <c r="AI5" t="inlineStr">
        <is>
          <t>Retraite</t>
        </is>
      </c>
      <c r="AJ5" t="inlineStr">
        <is>
          <t>Transmis</t>
        </is>
      </c>
      <c r="AK5" t="inlineStr">
        <is>
          <t>10 ans</t>
        </is>
      </c>
      <c r="AL5" t="inlineStr">
        <is>
          <t>Bilan periodique</t>
        </is>
      </c>
      <c r="AM5" t="inlineStr">
        <is>
          <t>Annule</t>
        </is>
      </c>
      <c r="AO5" t="inlineStr">
        <is>
          <t>Cuisinier</t>
        </is>
      </c>
      <c r="AP5" t="inlineStr">
        <is>
          <t>S04-2025</t>
        </is>
      </c>
      <c r="AQ5" t="inlineStr">
        <is>
          <t>Solde negatif</t>
        </is>
      </c>
      <c r="AR5" t="inlineStr">
        <is>
          <t>Solde negatif</t>
        </is>
      </c>
      <c r="AS5" t="inlineStr">
        <is>
          <t>Prêt urgence</t>
        </is>
      </c>
      <c r="AT5" t="inlineStr">
        <is>
          <t>Solde</t>
        </is>
      </c>
      <c r="AU5" t="inlineStr">
        <is>
          <t>Suspension</t>
        </is>
      </c>
      <c r="AV5" t="inlineStr">
        <is>
          <t>Annulee</t>
        </is>
      </c>
      <c r="AW5" t="inlineStr">
        <is>
          <t>Visite de pré-retraite</t>
        </is>
      </c>
      <c r="AX5" t="inlineStr">
        <is>
          <t>Inapte définitif</t>
        </is>
      </c>
    </row>
    <row r="6">
      <c r="E6" t="inlineStr">
        <is>
          <t>Congolaise</t>
        </is>
      </c>
      <c r="F6" t="inlineStr">
        <is>
          <t>Depart programme</t>
        </is>
      </c>
      <c r="G6" t="inlineStr">
        <is>
          <t>Alternance</t>
        </is>
      </c>
      <c r="H6" t="inlineStr">
        <is>
          <t>Stagiaire</t>
        </is>
      </c>
      <c r="J6" t="inlineStr">
        <is>
          <t>Maintenance</t>
        </is>
      </c>
      <c r="K6" t="inlineStr">
        <is>
          <t>Renouvele</t>
        </is>
      </c>
      <c r="L6" t="inlineStr">
        <is>
          <t>Modification horaire</t>
        </is>
      </c>
      <c r="M6" t="inlineStr">
        <is>
          <t>Diplome</t>
        </is>
      </c>
      <c r="N6" t="inlineStr">
        <is>
          <t>Manquant</t>
        </is>
      </c>
      <c r="O6" t="inlineStr">
        <is>
          <t>Archive numerique</t>
        </is>
      </c>
      <c r="P6" t="inlineStr">
        <is>
          <t>SGBE</t>
        </is>
      </c>
      <c r="R6" t="inlineStr">
        <is>
          <t>AXA Congo</t>
        </is>
      </c>
      <c r="S6" t="inlineStr">
        <is>
          <t>Famille</t>
        </is>
      </c>
      <c r="U6" t="inlineStr">
        <is>
          <t>Exceptionnel</t>
        </is>
      </c>
      <c r="V6" t="inlineStr">
        <is>
          <t>Annule</t>
        </is>
      </c>
      <c r="W6" t="inlineStr">
        <is>
          <t>Permission exceptionnelle</t>
        </is>
      </c>
      <c r="X6" t="inlineStr">
        <is>
          <t>Rejetee</t>
        </is>
      </c>
      <c r="AA6" t="inlineStr">
        <is>
          <t>Annulee</t>
        </is>
      </c>
      <c r="AC6" t="inlineStr">
        <is>
          <t>Autre</t>
        </is>
      </c>
      <c r="AE6" t="inlineStr">
        <is>
          <t>En attente</t>
        </is>
      </c>
      <c r="AF6" t="inlineStr">
        <is>
          <t>Receve fiscal</t>
        </is>
      </c>
      <c r="AG6" t="inlineStr">
        <is>
          <t>En traitement</t>
        </is>
      </c>
      <c r="AH6" t="inlineStr">
        <is>
          <t>Mairie</t>
        </is>
      </c>
      <c r="AI6" t="inlineStr">
        <is>
          <t>Deces</t>
        </is>
      </c>
      <c r="AJ6" t="inlineStr">
        <is>
          <t>Solde</t>
        </is>
      </c>
      <c r="AK6" t="inlineStr">
        <is>
          <t>Illimitee</t>
        </is>
      </c>
      <c r="AL6" t="inlineStr">
        <is>
          <t>Audit externe</t>
        </is>
      </c>
      <c r="AO6" t="inlineStr">
        <is>
          <t>Serveur</t>
        </is>
      </c>
      <c r="AP6" t="inlineStr">
        <is>
          <t>S05-2025</t>
        </is>
      </c>
      <c r="AR6" t="inlineStr">
        <is>
          <t>Exhaustif</t>
        </is>
      </c>
      <c r="AS6" t="inlineStr">
        <is>
          <t>Prêt formation</t>
        </is>
      </c>
      <c r="AT6" t="inlineStr">
        <is>
          <t>Refuse</t>
        </is>
      </c>
      <c r="AU6" t="inlineStr">
        <is>
          <t>Mise à pied</t>
        </is>
      </c>
      <c r="AV6" t="inlineStr">
        <is>
          <t>En attente</t>
        </is>
      </c>
      <c r="AW6" t="inlineStr">
        <is>
          <t>Visite occasionnelle</t>
        </is>
      </c>
    </row>
    <row r="7">
      <c r="E7" t="inlineStr">
        <is>
          <t>Ivoirienne</t>
        </is>
      </c>
      <c r="F7" t="inlineStr">
        <is>
          <t>Departi</t>
        </is>
      </c>
      <c r="G7" t="inlineStr">
        <is>
          <t>Freelance</t>
        </is>
      </c>
      <c r="J7" t="inlineStr">
        <is>
          <t>Commercial</t>
        </is>
      </c>
      <c r="L7" t="inlineStr">
        <is>
          <t>Changement departement</t>
        </is>
      </c>
      <c r="M7" t="inlineStr">
        <is>
          <t>CV</t>
        </is>
      </c>
      <c r="O7" t="inlineStr">
        <is>
          <t>Cabinet comptable</t>
        </is>
      </c>
      <c r="P7" t="inlineStr">
        <is>
          <t>UBA</t>
        </is>
      </c>
      <c r="R7" t="inlineStr">
        <is>
          <t>SANLAM</t>
        </is>
      </c>
      <c r="S7" t="inlineStr">
        <is>
          <t>Individuelle</t>
        </is>
      </c>
      <c r="U7" t="inlineStr">
        <is>
          <t>Maladie</t>
        </is>
      </c>
      <c r="W7" t="inlineStr">
        <is>
          <t>Absence injustifiee</t>
        </is>
      </c>
      <c r="AH7" t="inlineStr">
        <is>
          <t>Autre</t>
        </is>
      </c>
      <c r="AI7" t="inlineStr">
        <is>
          <t>Mutation</t>
        </is>
      </c>
      <c r="AJ7" t="inlineStr">
        <is>
          <t>Litige</t>
        </is>
      </c>
      <c r="AL7" t="inlineStr">
        <is>
          <t>Renouvellement permis</t>
        </is>
      </c>
      <c r="AO7" t="inlineStr">
        <is>
          <t>Barman</t>
        </is>
      </c>
      <c r="AP7" t="inlineStr">
        <is>
          <t>S06-2025</t>
        </is>
      </c>
      <c r="AT7" t="inlineStr">
        <is>
          <t>En retard</t>
        </is>
      </c>
      <c r="AU7" t="inlineStr">
        <is>
          <t>Rétrogradation</t>
        </is>
      </c>
    </row>
    <row r="8">
      <c r="E8" t="inlineStr">
        <is>
          <t>Senegalaise</t>
        </is>
      </c>
      <c r="J8" t="inlineStr">
        <is>
          <t>Logistique &amp; Approvisionnement</t>
        </is>
      </c>
      <c r="L8" t="inlineStr">
        <is>
          <t>Autre</t>
        </is>
      </c>
      <c r="M8" t="inlineStr">
        <is>
          <t>Photo d'identite</t>
        </is>
      </c>
      <c r="P8" t="inlineStr">
        <is>
          <t>BAC</t>
        </is>
      </c>
      <c r="R8" t="inlineStr">
        <is>
          <t>Autre</t>
        </is>
      </c>
      <c r="U8" t="inlineStr">
        <is>
          <t>Formation</t>
        </is>
      </c>
      <c r="W8" t="inlineStr">
        <is>
          <t>Mission</t>
        </is>
      </c>
      <c r="AI8" t="inlineStr">
        <is>
          <t>Commun accord</t>
        </is>
      </c>
      <c r="AL8" t="inlineStr">
        <is>
          <t>Autre</t>
        </is>
      </c>
      <c r="AO8" t="inlineStr">
        <is>
          <t>Gouvernante</t>
        </is>
      </c>
      <c r="AP8" t="inlineStr">
        <is>
          <t>S07-2025</t>
        </is>
      </c>
      <c r="AU8" t="inlineStr">
        <is>
          <t>Licenciement</t>
        </is>
      </c>
    </row>
    <row r="9">
      <c r="E9" t="inlineStr">
        <is>
          <t>Autre</t>
        </is>
      </c>
      <c r="J9" t="inlineStr">
        <is>
          <t>Cuisine &amp; Restauration</t>
        </is>
      </c>
      <c r="M9" t="inlineStr">
        <is>
          <t>Extrait casier judiciaire</t>
        </is>
      </c>
      <c r="P9" t="inlineStr">
        <is>
          <t>Standard Chartered</t>
        </is>
      </c>
      <c r="W9" t="inlineStr">
        <is>
          <t>Formation</t>
        </is>
      </c>
      <c r="AI9" t="inlineStr">
        <is>
          <t>Abandon de poste</t>
        </is>
      </c>
      <c r="AO9" t="inlineStr">
        <is>
          <t>Femme de chambre</t>
        </is>
      </c>
      <c r="AP9" t="inlineStr">
        <is>
          <t>S08-2025</t>
        </is>
      </c>
    </row>
    <row r="10">
      <c r="J10" t="inlineStr">
        <is>
          <t>Service Client</t>
        </is>
      </c>
      <c r="M10" t="inlineStr">
        <is>
          <t>Permis de travail</t>
        </is>
      </c>
      <c r="P10" t="inlineStr">
        <is>
          <t>Citibank</t>
        </is>
      </c>
      <c r="AO10" t="inlineStr">
        <is>
          <t>Agent de securite</t>
        </is>
      </c>
      <c r="AP10" t="inlineStr">
        <is>
          <t>S09-2025</t>
        </is>
      </c>
    </row>
    <row r="11">
      <c r="J11" t="inlineStr">
        <is>
          <t>Réception &amp; Front Office</t>
        </is>
      </c>
      <c r="M11" t="inlineStr">
        <is>
          <t>Carte de sejour</t>
        </is>
      </c>
      <c r="P11" t="inlineStr">
        <is>
          <t>Autre</t>
        </is>
      </c>
      <c r="AO11" t="inlineStr">
        <is>
          <t>Technicien maintenance</t>
        </is>
      </c>
      <c r="AP11" t="inlineStr">
        <is>
          <t>S10-2025</t>
        </is>
      </c>
    </row>
    <row r="12">
      <c r="J12" t="inlineStr">
        <is>
          <t>Cuisine &amp; Restauration</t>
        </is>
      </c>
      <c r="M12" t="inlineStr">
        <is>
          <t>Attestation CNPS</t>
        </is>
      </c>
      <c r="AO12" t="inlineStr">
        <is>
          <t>Comptable</t>
        </is>
      </c>
      <c r="AP12" t="inlineStr">
        <is>
          <t>S11-2025</t>
        </is>
      </c>
    </row>
    <row r="13">
      <c r="J13" t="inlineStr">
        <is>
          <t>Maintenance</t>
        </is>
      </c>
      <c r="M13" t="inlineStr">
        <is>
          <t>Attestation impots</t>
        </is>
      </c>
      <c r="AO13" t="inlineStr">
        <is>
          <t>Agent d'accueil</t>
        </is>
      </c>
      <c r="AP13" t="inlineStr">
        <is>
          <t>S12-2025</t>
        </is>
      </c>
    </row>
    <row r="14">
      <c r="J14" t="inlineStr">
        <is>
          <t>Sécurité</t>
        </is>
      </c>
      <c r="M14" t="inlineStr">
        <is>
          <t>RIB</t>
        </is>
      </c>
      <c r="AO14" t="inlineStr">
        <is>
          <t>Laveur de vaisselle</t>
        </is>
      </c>
      <c r="AP14" t="inlineStr">
        <is>
          <t>S13-2025</t>
        </is>
      </c>
    </row>
    <row r="15">
      <c r="M15" t="inlineStr">
        <is>
          <t>Certificat de stage</t>
        </is>
      </c>
      <c r="AO15" t="inlineStr">
        <is>
          <t>Plongeur</t>
        </is>
      </c>
      <c r="AP15" t="inlineStr">
        <is>
          <t>S14-2025</t>
        </is>
      </c>
    </row>
    <row r="16">
      <c r="M16" t="inlineStr">
        <is>
          <t>Autre</t>
        </is>
      </c>
      <c r="AO16" t="inlineStr">
        <is>
          <t>Jardinier</t>
        </is>
      </c>
      <c r="AP16" t="inlineStr">
        <is>
          <t>S15-2025</t>
        </is>
      </c>
    </row>
    <row r="17">
      <c r="AO17" t="inlineStr">
        <is>
          <t>Chauffeur</t>
        </is>
      </c>
      <c r="AP17" t="inlineStr">
        <is>
          <t>S16-2025</t>
        </is>
      </c>
    </row>
    <row r="18">
      <c r="AO18" t="inlineStr">
        <is>
          <t>Standardiste</t>
        </is>
      </c>
      <c r="AP18" t="inlineStr">
        <is>
          <t>S17-2025</t>
        </is>
      </c>
    </row>
    <row r="19">
      <c r="AO19" t="inlineStr">
        <is>
          <t>Directeur general</t>
        </is>
      </c>
      <c r="AP19" t="inlineStr">
        <is>
          <t>S18-2025</t>
        </is>
      </c>
    </row>
    <row r="20">
      <c r="AO20" t="inlineStr">
        <is>
          <t>DRH</t>
        </is>
      </c>
      <c r="AP20" t="inlineStr">
        <is>
          <t>S19-2025</t>
        </is>
      </c>
    </row>
    <row r="21">
      <c r="AO21" t="inlineStr">
        <is>
          <t>Chef de service</t>
        </is>
      </c>
      <c r="AP21" t="inlineStr">
        <is>
          <t>S20-2025</t>
        </is>
      </c>
    </row>
    <row r="22">
      <c r="AO22" t="inlineStr">
        <is>
          <t>Superviseur</t>
        </is>
      </c>
      <c r="AP22" t="inlineStr">
        <is>
          <t>S21-2025</t>
        </is>
      </c>
    </row>
    <row r="23">
      <c r="AP23" t="inlineStr">
        <is>
          <t>S22-2025</t>
        </is>
      </c>
    </row>
    <row r="24">
      <c r="AP24" t="inlineStr">
        <is>
          <t>S23-2025</t>
        </is>
      </c>
    </row>
    <row r="25">
      <c r="AP25" t="inlineStr">
        <is>
          <t>S24-2025</t>
        </is>
      </c>
    </row>
    <row r="26">
      <c r="AP26" t="inlineStr">
        <is>
          <t>S25-2025</t>
        </is>
      </c>
    </row>
    <row r="27">
      <c r="AP27" t="inlineStr">
        <is>
          <t>S26-2025</t>
        </is>
      </c>
    </row>
    <row r="28">
      <c r="AP28" t="inlineStr">
        <is>
          <t>S27-2025</t>
        </is>
      </c>
    </row>
    <row r="29">
      <c r="AP29" t="inlineStr">
        <is>
          <t>S28-2025</t>
        </is>
      </c>
    </row>
    <row r="30">
      <c r="AP30" t="inlineStr">
        <is>
          <t>S29-2025</t>
        </is>
      </c>
    </row>
    <row r="31">
      <c r="AP31" t="inlineStr">
        <is>
          <t>S30-2025</t>
        </is>
      </c>
    </row>
    <row r="32">
      <c r="AP32" t="inlineStr">
        <is>
          <t>S31-2025</t>
        </is>
      </c>
    </row>
    <row r="33">
      <c r="AP33" t="inlineStr">
        <is>
          <t>S32-2025</t>
        </is>
      </c>
    </row>
    <row r="34">
      <c r="AP34" t="inlineStr">
        <is>
          <t>S33-2025</t>
        </is>
      </c>
    </row>
    <row r="35">
      <c r="AP35" t="inlineStr">
        <is>
          <t>S34-2025</t>
        </is>
      </c>
    </row>
    <row r="36">
      <c r="AP36" t="inlineStr">
        <is>
          <t>S35-2025</t>
        </is>
      </c>
    </row>
    <row r="37">
      <c r="AP37" t="inlineStr">
        <is>
          <t>S36-2025</t>
        </is>
      </c>
    </row>
    <row r="38">
      <c r="AP38" t="inlineStr">
        <is>
          <t>S37-2025</t>
        </is>
      </c>
    </row>
    <row r="39">
      <c r="AP39" t="inlineStr">
        <is>
          <t>S38-2025</t>
        </is>
      </c>
    </row>
    <row r="40">
      <c r="AP40" t="inlineStr">
        <is>
          <t>S39-2025</t>
        </is>
      </c>
    </row>
    <row r="41">
      <c r="AP41" t="inlineStr">
        <is>
          <t>S40-2025</t>
        </is>
      </c>
    </row>
    <row r="42">
      <c r="AP42" t="inlineStr">
        <is>
          <t>S41-2025</t>
        </is>
      </c>
    </row>
    <row r="43">
      <c r="AP43" t="inlineStr">
        <is>
          <t>S42-2025</t>
        </is>
      </c>
    </row>
    <row r="44">
      <c r="AP44" t="inlineStr">
        <is>
          <t>S43-2025</t>
        </is>
      </c>
    </row>
    <row r="45">
      <c r="AP45" t="inlineStr">
        <is>
          <t>S44-2025</t>
        </is>
      </c>
    </row>
    <row r="46">
      <c r="AP46" t="inlineStr">
        <is>
          <t>S45-2025</t>
        </is>
      </c>
    </row>
    <row r="47">
      <c r="AP47" t="inlineStr">
        <is>
          <t>S46-2025</t>
        </is>
      </c>
    </row>
    <row r="48">
      <c r="AP48" t="inlineStr">
        <is>
          <t>S47-2025</t>
        </is>
      </c>
    </row>
    <row r="49">
      <c r="AP49" t="inlineStr">
        <is>
          <t>S48-2025</t>
        </is>
      </c>
    </row>
    <row r="50">
      <c r="AP50" t="inlineStr">
        <is>
          <t>S49-2025</t>
        </is>
      </c>
    </row>
    <row r="51">
      <c r="AP51" t="inlineStr">
        <is>
          <t>S50-2025</t>
        </is>
      </c>
    </row>
    <row r="52">
      <c r="AP52" t="inlineStr">
        <is>
          <t>S51-2025</t>
        </is>
      </c>
    </row>
    <row r="53">
      <c r="AP53" t="inlineStr">
        <is>
          <t>S52-2025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2026-07-05T18:05:42Z</dcterms:created>
  <dcterms:modified xmlns:dcterms="http://purl.org/dc/terms/" xmlns:xsi="http://www.w3.org/2001/XMLSchema-instance" xsi:type="dcterms:W3CDTF">2026-07-09T09:58:27Z</dcterms:modified>
</cp:coreProperties>
</file>