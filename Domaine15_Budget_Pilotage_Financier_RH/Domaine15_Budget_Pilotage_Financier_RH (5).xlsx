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Budget RH Annuel" sheetId="4" state="visible" r:id="rId4"/>
    <sheet xmlns:r="http://schemas.openxmlformats.org/officeDocument/2006/relationships" name="3-Suivi Budgetaire Mensuel" sheetId="5" state="visible" r:id="rId5"/>
    <sheet xmlns:r="http://schemas.openxmlformats.org/officeDocument/2006/relationships" name="4-Provisions &amp; Reserves RH" sheetId="6" state="visible" r:id="rId6"/>
    <sheet xmlns:r="http://schemas.openxmlformats.org/officeDocument/2006/relationships" name="5-Couts Recrutement" sheetId="7" state="visible" r:id="rId7"/>
    <sheet xmlns:r="http://schemas.openxmlformats.org/officeDocument/2006/relationships" name="6-Rentabilite Formations" sheetId="8" state="visible" r:id="rId8"/>
    <sheet xmlns:r="http://schemas.openxmlformats.org/officeDocument/2006/relationships" name="7-Simulation Scenari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DD/MM/YYYY"/>
    <numFmt numFmtId="167" formatCode="0.0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3" fontId="8" fillId="3" borderId="0" applyAlignment="1" pivotButton="0" quotePrefix="0" xfId="0">
      <alignment horizontal="right" vertical="center"/>
    </xf>
    <xf numFmtId="0" fontId="8" fillId="4" borderId="0" pivotButton="0" quotePrefix="0" xfId="0"/>
    <xf numFmtId="3" fontId="8" fillId="4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8" fillId="4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center" vertical="center"/>
    </xf>
    <xf numFmtId="166" fontId="8" fillId="4" borderId="0" applyAlignment="1" pivotButton="0" quotePrefix="0" xfId="0">
      <alignment horizontal="center" vertical="center"/>
    </xf>
    <xf numFmtId="1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7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center" vertical="center"/>
    </xf>
    <xf numFmtId="166" fontId="8" fillId="4" borderId="0" applyAlignment="1" pivotButton="0" quotePrefix="0" xfId="0">
      <alignment horizontal="center" vertical="center"/>
    </xf>
    <xf numFmtId="167" fontId="8" fillId="3" borderId="0" applyAlignment="1" pivotButton="0" quotePrefix="0" xfId="0">
      <alignment horizontal="right" vertical="center"/>
    </xf>
    <xf numFmtId="167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Budget RH par Poste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Bord'!C15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Bord'!$B$16:$B$21</f>
            </numRef>
          </cat>
          <val>
            <numRef>
              <f>'1-Tableau de Bord'!$C$16:$C$21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Couts Recrutement par Source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Bord'!I23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Bord'!$H$24:$H$28</f>
            </numRef>
          </cat>
          <val>
            <numRef>
              <f>'1-Tableau de Bord'!$I$24:$I$28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4">
      <c r="B4" s="33" t="inlineStr">
        <is>
          <t>Matricule</t>
        </is>
      </c>
      <c r="C4" s="33" t="inlineStr">
        <is>
          <t>Civilité</t>
        </is>
      </c>
      <c r="D4" s="33" t="inlineStr">
        <is>
          <t>Nom</t>
        </is>
      </c>
      <c r="E4" s="33" t="inlineStr">
        <is>
          <t>Prénom</t>
        </is>
      </c>
      <c r="F4" s="33" t="inlineStr">
        <is>
          <t>Département</t>
        </is>
      </c>
      <c r="G4" s="33" t="inlineStr">
        <is>
          <t>Poste</t>
        </is>
      </c>
      <c r="H4" s="33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15 — BUDGET &amp; PILOTAGE FINANCIER RH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5">
      <c r="B5" s="3" t="inlineStr">
        <is>
          <t>Budget total annuel</t>
        </is>
      </c>
      <c r="E5" s="3" t="inlineStr">
        <is>
          <t>Conso S1</t>
        </is>
      </c>
      <c r="H5" s="3" t="inlineStr">
        <is>
          <t>Ecart budget S1</t>
        </is>
      </c>
      <c r="K5" s="3" t="inlineStr">
        <is>
          <t>Postes depasses</t>
        </is>
      </c>
    </row>
    <row r="6">
      <c r="B6" s="4">
        <f>SUM('2-Budget RH Annuel'!D5:D104)</f>
        <v/>
      </c>
      <c r="E6" s="4">
        <f>SUM('2-Budget RH Annuel'!K5:K104)</f>
        <v/>
      </c>
      <c r="H6" s="4">
        <f>SUM('3-Suivi Budgetaire Mensuel'!H5:H104)</f>
        <v/>
      </c>
      <c r="K6" s="4">
        <f>COUNTIF('3-Suivi Budgetaire Mensuel'!H5:H104,"&gt;"&amp;0)</f>
        <v/>
      </c>
    </row>
    <row r="9">
      <c r="B9" s="3" t="inlineStr">
        <is>
          <t>Total provisions</t>
        </is>
      </c>
      <c r="E9" s="3" t="inlineStr">
        <is>
          <t>Cout recrutement total</t>
        </is>
      </c>
      <c r="H9" s="3" t="inlineStr">
        <is>
          <t>Cout formations total</t>
        </is>
      </c>
      <c r="K9" s="3" t="inlineStr">
        <is>
          <t>Simulations</t>
        </is>
      </c>
    </row>
    <row r="10">
      <c r="B10" s="4">
        <f>SUM('4-Provisions &amp; Reserves RH'!E5:E104)</f>
        <v/>
      </c>
      <c r="E10" s="4">
        <f>SUM('5-Couts Recrutement'!K5:K104)</f>
        <v/>
      </c>
      <c r="H10" s="4">
        <f>SUM('6-Rentabilite Formations'!H5:H104)</f>
        <v/>
      </c>
      <c r="K10" s="4">
        <f>COUNTIF('7-Simulation Scenarios'!B5:B104,"&lt;&gt;")</f>
        <v/>
      </c>
    </row>
    <row r="14">
      <c r="B14" s="5" t="inlineStr">
        <is>
          <t>BUDGET PAR POSTE &amp; COUTS FORMATIONS</t>
        </is>
      </c>
    </row>
    <row r="15" ht="15" customHeight="1">
      <c r="B15" s="3" t="inlineStr">
        <is>
          <t>Poste Budgetaire</t>
        </is>
      </c>
      <c r="C15" s="3" t="inlineStr">
        <is>
          <t>Budget (M FCFA)</t>
        </is>
      </c>
    </row>
    <row r="16" ht="15" customHeight="1">
      <c r="B16" s="6" t="inlineStr">
        <is>
          <t>Salaires de base</t>
        </is>
      </c>
      <c r="C16" s="7">
        <f>IFERROR(INDEX('2-Budget RH Annuel'!D:D,MATCH("Salaires de base",'2-Budget RH Annuel'!C:C,0)),0)/1000000</f>
        <v/>
      </c>
    </row>
    <row r="17" ht="15" customHeight="1">
      <c r="B17" s="6" t="inlineStr">
        <is>
          <t>Primes et indemnites</t>
        </is>
      </c>
      <c r="C17" s="7">
        <f>IFERROR(INDEX('2-Budget RH Annuel'!D:D,MATCH("Primes et indemnites",'2-Budget RH Annuel'!C:C,0)),0)/1000000</f>
        <v/>
      </c>
    </row>
    <row r="18" ht="15" customHeight="1">
      <c r="B18" s="6" t="inlineStr">
        <is>
          <t>Heures supplementaires</t>
        </is>
      </c>
      <c r="C18" s="7">
        <f>IFERROR(INDEX('2-Budget RH Annuel'!D:D,MATCH("Heures supplementaires",'2-Budget RH Annuel'!C:C,0)),0)/1000000</f>
        <v/>
      </c>
    </row>
    <row r="19" ht="15" customHeight="1">
      <c r="B19" s="6" t="inlineStr">
        <is>
          <t>Cotisations patronales</t>
        </is>
      </c>
      <c r="C19" s="7">
        <f>IFERROR(INDEX('2-Budget RH Annuel'!D:D,MATCH("Cotisations patronales",'2-Budget RH Annuel'!C:C,0)),0)/1000000</f>
        <v/>
      </c>
    </row>
    <row r="20" ht="15" customHeight="1">
      <c r="B20" s="6" t="inlineStr">
        <is>
          <t>Formation professionnelle</t>
        </is>
      </c>
      <c r="C20" s="7">
        <f>IFERROR(INDEX('2-Budget RH Annuel'!D:D,MATCH("Formation professionnelle",'2-Budget RH Annuel'!C:C,0)),0)/1000000</f>
        <v/>
      </c>
    </row>
    <row r="21" ht="15" customHeight="1">
      <c r="B21" s="6" t="inlineStr">
        <is>
          <t>Recrutement</t>
        </is>
      </c>
      <c r="C21" s="7">
        <f>IFERROR(INDEX('2-Budget RH Annuel'!D:D,MATCH("Recrutement",'2-Budget RH Annuel'!C:C,0)),0)/1000000</f>
        <v/>
      </c>
    </row>
    <row r="22" ht="15" customHeight="1"/>
    <row r="23" ht="15" customHeight="1">
      <c r="H23" s="3" t="inlineStr">
        <is>
          <t>Source Candidat</t>
        </is>
      </c>
      <c r="I23" s="3" t="inlineStr">
        <is>
          <t>Cout (FCFA)</t>
        </is>
      </c>
    </row>
    <row r="24" ht="15" customHeight="1">
      <c r="H24" s="6" t="inlineStr">
        <is>
          <t>Site emploi</t>
        </is>
      </c>
      <c r="I24" s="8">
        <f>SUMIF('5-Couts Recrutement'!E:E,"Site emploi",'5-Couts Recrutement'!K:K)</f>
        <v/>
      </c>
    </row>
    <row r="25" ht="15" customHeight="1">
      <c r="H25" s="6" t="inlineStr">
        <is>
          <t>Recommandation</t>
        </is>
      </c>
      <c r="I25" s="8">
        <f>SUMIF('5-Couts Recrutement'!E:E,"Recommandation",'5-Couts Recrutement'!K:K)</f>
        <v/>
      </c>
    </row>
    <row r="26" ht="15" customHeight="1">
      <c r="H26" s="6" t="inlineStr">
        <is>
          <t>Presse</t>
        </is>
      </c>
      <c r="I26" s="8">
        <f>SUMIF('5-Couts Recrutement'!E:E,"Presse",'5-Couts Recrutement'!K:K)</f>
        <v/>
      </c>
    </row>
    <row r="27" ht="15" customHeight="1">
      <c r="H27" s="6" t="inlineStr">
        <is>
          <t>Reseau social</t>
        </is>
      </c>
      <c r="I27" s="8">
        <f>SUMIF('5-Couts Recrutement'!E:E,"Reseau social",'5-Couts Recrutement'!K:K)</f>
        <v/>
      </c>
    </row>
    <row r="28" ht="15" customHeight="1">
      <c r="H28" s="6" t="inlineStr">
        <is>
          <t>Cabinet recrutement</t>
        </is>
      </c>
      <c r="I28" s="8">
        <f>SUMIF('5-Couts Recrutement'!E:E,"Cabinet recrutement",'5-Couts Recrutement'!K:K)</f>
        <v/>
      </c>
    </row>
  </sheetData>
  <mergeCells count="19">
    <mergeCell ref="H10:I10"/>
    <mergeCell ref="B3:L3"/>
    <mergeCell ref="K9:L9"/>
    <mergeCell ref="E5:F5"/>
    <mergeCell ref="K5:L5"/>
    <mergeCell ref="H9:I9"/>
    <mergeCell ref="H6:I6"/>
    <mergeCell ref="E10:F10"/>
    <mergeCell ref="B2:L2"/>
    <mergeCell ref="B14:L14"/>
    <mergeCell ref="E9:F9"/>
    <mergeCell ref="E6:F6"/>
    <mergeCell ref="B10:C10"/>
    <mergeCell ref="B9:C9"/>
    <mergeCell ref="B6:C6"/>
    <mergeCell ref="B5:C5"/>
    <mergeCell ref="K10:L10"/>
    <mergeCell ref="H5:I5"/>
    <mergeCell ref="K6:L6"/>
  </mergeCells>
  <conditionalFormatting sqref="B6">
    <cfRule type="cellIs" priority="1" operator="greaterThan" dxfId="1">
      <formula>0</formula>
    </cfRule>
  </conditionalFormatting>
  <conditionalFormatting sqref="E6">
    <cfRule type="cellIs" priority="2" operator="greaterThan" dxfId="1">
      <formula>0</formula>
    </cfRule>
  </conditionalFormatting>
  <conditionalFormatting sqref="H6">
    <cfRule type="cellIs" priority="3" operator="greaterThan" dxfId="1">
      <formula>0</formula>
    </cfRule>
  </conditionalFormatting>
  <conditionalFormatting sqref="K6">
    <cfRule type="cellIs" priority="4" operator="greaterThan" dxfId="1">
      <formula>0</formula>
    </cfRule>
  </conditionalFormatting>
  <conditionalFormatting sqref="B10">
    <cfRule type="cellIs" priority="5" operator="greaterThan" dxfId="1">
      <formula>0</formula>
    </cfRule>
  </conditionalFormatting>
  <conditionalFormatting sqref="E10">
    <cfRule type="cellIs" priority="6" operator="greaterThan" dxfId="1">
      <formula>0</formula>
    </cfRule>
  </conditionalFormatting>
  <conditionalFormatting sqref="H10">
    <cfRule type="cellIs" priority="7" operator="greaterThan" dxfId="1">
      <formula>0</formula>
    </cfRule>
  </conditionalFormatting>
  <conditionalFormatting sqref="K10">
    <cfRule type="cellIs" priority="8" operator="greaterThan" dxfId="1">
      <formula>0</formula>
    </cfRule>
  </conditionalFormatting>
  <conditionalFormatting sqref="I24">
    <cfRule type="cellIs" priority="9" operator="greaterThan" dxfId="1">
      <formula>0</formula>
    </cfRule>
  </conditionalFormatting>
  <conditionalFormatting sqref="I25">
    <cfRule type="cellIs" priority="10" operator="greaterThan" dxfId="1">
      <formula>0</formula>
    </cfRule>
  </conditionalFormatting>
  <conditionalFormatting sqref="I26">
    <cfRule type="cellIs" priority="11" operator="greaterThan" dxfId="1">
      <formula>0</formula>
    </cfRule>
  </conditionalFormatting>
  <conditionalFormatting sqref="I27">
    <cfRule type="cellIs" priority="12" operator="greaterThan" dxfId="1">
      <formula>0</formula>
    </cfRule>
  </conditionalFormatting>
  <conditionalFormatting sqref="I28">
    <cfRule type="cellIs" priority="13" operator="greater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25"/>
  <sheetViews>
    <sheetView workbookViewId="0">
      <selection activeCell="A1" sqref="A1"/>
    </sheetView>
  </sheetViews>
  <sheetFormatPr baseColWidth="8" defaultRowHeight="15"/>
  <sheetData>
    <row r="1">
      <c r="B1" s="9" t="inlineStr">
        <is>
          <t>poste_budget</t>
        </is>
      </c>
      <c r="C1" s="9" t="inlineStr">
        <is>
          <t>departement</t>
        </is>
      </c>
      <c r="D1" s="9" t="inlineStr">
        <is>
          <t>type_provision</t>
        </is>
      </c>
      <c r="E1" s="9" t="inlineStr">
        <is>
          <t>mois</t>
        </is>
      </c>
      <c r="F1" s="9" t="inlineStr">
        <is>
          <t>annee</t>
        </is>
      </c>
      <c r="G1" s="9" t="inlineStr">
        <is>
          <t>statut_budget</t>
        </is>
      </c>
      <c r="H1" s="9" t="inlineStr">
        <is>
          <t>statut_action</t>
        </is>
      </c>
      <c r="I1" s="9" t="inlineStr">
        <is>
          <t>source_candidat</t>
        </is>
      </c>
      <c r="J1" s="9" t="inlineStr">
        <is>
          <t>poste_hotel</t>
        </is>
      </c>
      <c r="K1" s="9" t="inlineStr">
        <is>
          <t>scnario_type</t>
        </is>
      </c>
    </row>
    <row r="2">
      <c r="B2" s="10" t="inlineStr">
        <is>
          <t>Salaires de base</t>
        </is>
      </c>
      <c r="C2" s="10" t="inlineStr">
        <is>
          <t>Direction Generale</t>
        </is>
      </c>
      <c r="D2" s="10" t="inlineStr">
        <is>
          <t>Licenciement</t>
        </is>
      </c>
      <c r="E2" s="10" t="inlineStr">
        <is>
          <t>Janvier</t>
        </is>
      </c>
      <c r="F2" s="10" t="inlineStr">
        <is>
          <t>2024</t>
        </is>
      </c>
      <c r="G2" s="10" t="inlineStr">
        <is>
          <t>En cours</t>
        </is>
      </c>
      <c r="H2" s="10" t="inlineStr">
        <is>
          <t>Planifiee</t>
        </is>
      </c>
      <c r="I2" s="10" t="inlineStr">
        <is>
          <t>Candidature spontanee</t>
        </is>
      </c>
      <c r="J2" s="10" t="inlineStr">
        <is>
          <t>DG</t>
        </is>
      </c>
      <c r="K2" s="10" t="inlineStr">
        <is>
          <t>Hausse effectif 5%</t>
        </is>
      </c>
    </row>
    <row r="3">
      <c r="B3" s="10" t="inlineStr">
        <is>
          <t>Primes et indemnites</t>
        </is>
      </c>
      <c r="C3" s="10" t="inlineStr">
        <is>
          <t>Service Client</t>
        </is>
      </c>
      <c r="D3" s="10" t="inlineStr">
        <is>
          <t>Depart volontaire</t>
        </is>
      </c>
      <c r="E3" s="10" t="inlineStr">
        <is>
          <t>Fevrier</t>
        </is>
      </c>
      <c r="F3" s="10" t="inlineStr">
        <is>
          <t>2025</t>
        </is>
      </c>
      <c r="G3" s="10" t="inlineStr">
        <is>
          <t>Valide</t>
        </is>
      </c>
      <c r="H3" s="10" t="inlineStr">
        <is>
          <t>En cours</t>
        </is>
      </c>
      <c r="I3" s="10" t="inlineStr">
        <is>
          <t>Site emploi</t>
        </is>
      </c>
      <c r="J3" s="10" t="inlineStr">
        <is>
          <t>DRH</t>
        </is>
      </c>
      <c r="K3" s="10" t="inlineStr">
        <is>
          <t>Hausse effectif 10%</t>
        </is>
      </c>
    </row>
    <row r="4">
      <c r="B4" s="10" t="inlineStr">
        <is>
          <t>Heures supplementaires</t>
        </is>
      </c>
      <c r="C4" s="10" t="inlineStr">
        <is>
          <t>Finance &amp; Comptabilité</t>
        </is>
      </c>
      <c r="D4" s="10" t="inlineStr">
        <is>
          <t>Indemnite conges</t>
        </is>
      </c>
      <c r="E4" s="10" t="inlineStr">
        <is>
          <t>Mars</t>
        </is>
      </c>
      <c r="F4" s="10" t="inlineStr">
        <is>
          <t>2026</t>
        </is>
      </c>
      <c r="G4" s="10" t="inlineStr">
        <is>
          <t>En attente validation</t>
        </is>
      </c>
      <c r="H4" s="10" t="inlineStr">
        <is>
          <t>Terminee</t>
        </is>
      </c>
      <c r="I4" s="10" t="inlineStr">
        <is>
          <t>Recommandation</t>
        </is>
      </c>
      <c r="J4" s="10" t="inlineStr">
        <is>
          <t>Assistante RH</t>
        </is>
      </c>
      <c r="K4" s="10" t="inlineStr">
        <is>
          <t>Baisse effectif 5%</t>
        </is>
      </c>
    </row>
    <row r="5">
      <c r="B5" s="10" t="inlineStr">
        <is>
          <t>Cotisations sociales patronales</t>
        </is>
      </c>
      <c r="C5" s="10" t="inlineStr">
        <is>
          <t>Marketing &amp; Communication</t>
        </is>
      </c>
      <c r="D5" s="10" t="inlineStr">
        <is>
          <t>Prime fin d'annee</t>
        </is>
      </c>
      <c r="E5" s="10" t="inlineStr">
        <is>
          <t>Avril</t>
        </is>
      </c>
      <c r="G5" s="10" t="inlineStr">
        <is>
          <t>Depasse</t>
        </is>
      </c>
      <c r="H5" s="10" t="inlineStr">
        <is>
          <t>Reportee</t>
        </is>
      </c>
      <c r="I5" s="10" t="inlineStr">
        <is>
          <t>Reseau social</t>
        </is>
      </c>
      <c r="J5" s="10" t="inlineStr">
        <is>
          <t>DAF</t>
        </is>
      </c>
      <c r="K5" s="10" t="inlineStr">
        <is>
          <t>Augmentation salariale 3%</t>
        </is>
      </c>
    </row>
    <row r="6">
      <c r="B6" s="10" t="inlineStr">
        <is>
          <t>Assurances RH</t>
        </is>
      </c>
      <c r="C6" s="10" t="inlineStr">
        <is>
          <t>Maintenance</t>
        </is>
      </c>
      <c r="D6" s="10" t="inlineStr">
        <is>
          <t>Provision HSE</t>
        </is>
      </c>
      <c r="E6" s="10" t="inlineStr">
        <is>
          <t>Mai</t>
        </is>
      </c>
      <c r="G6" s="10" t="inlineStr">
        <is>
          <t>Ajuste</t>
        </is>
      </c>
      <c r="H6" s="10" t="inlineStr">
        <is>
          <t>Annulee</t>
        </is>
      </c>
      <c r="I6" s="10" t="inlineStr">
        <is>
          <t>Presse</t>
        </is>
      </c>
      <c r="J6" s="10" t="inlineStr">
        <is>
          <t>Comptable senior</t>
        </is>
      </c>
      <c r="K6" s="10" t="inlineStr">
        <is>
          <t>Augmentation salariale 5%</t>
        </is>
      </c>
    </row>
    <row r="7">
      <c r="B7" s="10" t="inlineStr">
        <is>
          <t>Formation professionnelle</t>
        </is>
      </c>
      <c r="C7" s="10" t="inlineStr">
        <is>
          <t>Commercial</t>
        </is>
      </c>
      <c r="D7" s="10" t="inlineStr">
        <is>
          <t>Procontentieux</t>
        </is>
      </c>
      <c r="E7" s="10" t="inlineStr">
        <is>
          <t>Juin</t>
        </is>
      </c>
      <c r="G7" s="10" t="inlineStr">
        <is>
          <t>Cloture</t>
        </is>
      </c>
      <c r="I7" s="10" t="inlineStr">
        <is>
          <t>Cabinet recrutement</t>
        </is>
      </c>
      <c r="J7" s="10" t="inlineStr">
        <is>
          <t>Chef Comptable</t>
        </is>
      </c>
      <c r="K7" s="10" t="inlineStr">
        <is>
          <t>Augmentation salariale 10%</t>
        </is>
      </c>
    </row>
    <row r="8">
      <c r="B8" s="10" t="inlineStr">
        <is>
          <t>Recrutement</t>
        </is>
      </c>
      <c r="C8" s="10" t="inlineStr">
        <is>
          <t>Logistique &amp; Approvisionnement</t>
        </is>
      </c>
      <c r="D8" s="10" t="inlineStr">
        <is>
          <t>Autre</t>
        </is>
      </c>
      <c r="E8" s="10" t="inlineStr">
        <is>
          <t>Juillet</t>
        </is>
      </c>
      <c r="I8" s="10" t="inlineStr">
        <is>
          <t>Interne (promotion)</t>
        </is>
      </c>
      <c r="J8" s="10" t="inlineStr">
        <is>
          <t>Chef Marketing</t>
        </is>
      </c>
      <c r="K8" s="10" t="inlineStr">
        <is>
          <t>Stabilite</t>
        </is>
      </c>
    </row>
    <row r="9">
      <c r="B9" s="10" t="inlineStr">
        <is>
          <t>Medecine du travail</t>
        </is>
      </c>
      <c r="C9" s="10" t="inlineStr">
        <is>
          <t>Cuisine &amp; Restauration</t>
        </is>
      </c>
      <c r="E9" s="10" t="inlineStr">
        <is>
          <t>Aout</t>
        </is>
      </c>
      <c r="I9" s="10" t="inlineStr">
        <is>
          <t>Autre</t>
        </is>
      </c>
      <c r="J9" s="10" t="inlineStr">
        <is>
          <t>Chef de service IT</t>
        </is>
      </c>
      <c r="K9" s="10" t="inlineStr">
        <is>
          <t>Crise - reduction 10%</t>
        </is>
      </c>
    </row>
    <row r="10">
      <c r="B10" s="10" t="inlineStr">
        <is>
          <t>Indemnites depart</t>
        </is>
      </c>
      <c r="C10" s="10" t="inlineStr">
        <is>
          <t>Réception &amp; Front Office</t>
        </is>
      </c>
      <c r="E10" s="10" t="inlineStr">
        <is>
          <t>Septembre</t>
        </is>
      </c>
      <c r="J10" s="10" t="inlineStr">
        <is>
          <t>Technicien IT</t>
        </is>
      </c>
      <c r="K10" s="10" t="inlineStr">
        <is>
          <t>Expansion hoteliere +15%</t>
        </is>
      </c>
    </row>
    <row r="11">
      <c r="B11" s="10" t="inlineStr">
        <is>
          <t>Charges de personnel diverses</t>
        </is>
      </c>
      <c r="C11" s="10" t="inlineStr">
        <is>
          <t>Sécurité</t>
        </is>
      </c>
      <c r="E11" s="10" t="inlineStr">
        <is>
          <t>Octobre</t>
        </is>
      </c>
      <c r="J11" s="10" t="inlineStr">
        <is>
          <t>Chef Commercial</t>
        </is>
      </c>
    </row>
    <row r="12">
      <c r="B12" s="10" t="inlineStr">
        <is>
          <t>Logement personnel</t>
        </is>
      </c>
      <c r="C12" s="10" t="inlineStr">
        <is>
          <t>Étage &amp; Housekeeping</t>
        </is>
      </c>
      <c r="E12" s="10" t="inlineStr">
        <is>
          <t>Novembre</t>
        </is>
      </c>
      <c r="J12" s="10" t="inlineStr">
        <is>
          <t>Agent Commercial</t>
        </is>
      </c>
    </row>
    <row r="13">
      <c r="B13" s="10" t="inlineStr">
        <is>
          <t>Transport personnel</t>
        </is>
      </c>
      <c r="C13" s="10" t="n"/>
      <c r="E13" s="10" t="inlineStr">
        <is>
          <t>Decembre</t>
        </is>
      </c>
      <c r="J13" s="10" t="inlineStr">
        <is>
          <t>Chef Logistique</t>
        </is>
      </c>
    </row>
    <row r="14">
      <c r="B14" s="10" t="inlineStr">
        <is>
          <t>Recreation &amp; bien-etre</t>
        </is>
      </c>
      <c r="C14" s="10" t="n"/>
      <c r="J14" s="10" t="inlineStr">
        <is>
          <t>Magasinier</t>
        </is>
      </c>
    </row>
    <row r="15">
      <c r="B15" s="10" t="inlineStr">
        <is>
          <t>Tenue de travail</t>
        </is>
      </c>
      <c r="J15" s="10" t="inlineStr">
        <is>
          <t>Chef Reception</t>
        </is>
      </c>
    </row>
    <row r="16">
      <c r="B16" s="10" t="inlineStr">
        <is>
          <t>Autres charges RH</t>
        </is>
      </c>
      <c r="J16" s="10" t="inlineStr">
        <is>
          <t>Receptionniste</t>
        </is>
      </c>
    </row>
    <row r="17">
      <c r="J17" s="10" t="inlineStr">
        <is>
          <t>Concierge</t>
        </is>
      </c>
    </row>
    <row r="18">
      <c r="J18" s="10" t="inlineStr">
        <is>
          <t>Chef Cuisine</t>
        </is>
      </c>
    </row>
    <row r="19">
      <c r="J19" s="10" t="inlineStr">
        <is>
          <t>Sous-Chef</t>
        </is>
      </c>
    </row>
    <row r="20">
      <c r="J20" s="10" t="inlineStr">
        <is>
          <t>Cuisinier</t>
        </is>
      </c>
    </row>
    <row r="21">
      <c r="J21" s="10" t="inlineStr">
        <is>
          <t>Plongeur</t>
        </is>
      </c>
    </row>
    <row r="22">
      <c r="J22" s="10" t="inlineStr">
        <is>
          <t>Chef Entretien</t>
        </is>
      </c>
    </row>
    <row r="23">
      <c r="J23" s="10" t="inlineStr">
        <is>
          <t>Agent Entretien</t>
        </is>
      </c>
    </row>
    <row r="24">
      <c r="J24" s="10" t="inlineStr">
        <is>
          <t>Chef Securite</t>
        </is>
      </c>
    </row>
    <row r="25">
      <c r="J25" s="10" t="inlineStr">
        <is>
          <t>Agent Securite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</cols>
  <sheetData>
    <row r="1" ht="15" customHeight="1"/>
    <row r="2" ht="32" customHeight="1">
      <c r="B2" s="1" t="inlineStr">
        <is>
          <t>BUDGET RH ANNUEL DETAILLE (#149)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Poste Budgetaire</t>
        </is>
      </c>
      <c r="D4" s="11" t="inlineStr">
        <is>
          <t>Budget Annuel (FCFA)</t>
        </is>
      </c>
      <c r="E4" s="11" t="inlineStr">
        <is>
          <t>Janvier</t>
        </is>
      </c>
      <c r="F4" s="11" t="inlineStr">
        <is>
          <t>Fevrier</t>
        </is>
      </c>
      <c r="G4" s="11" t="inlineStr">
        <is>
          <t>Mars</t>
        </is>
      </c>
      <c r="H4" s="11" t="inlineStr">
        <is>
          <t>Avril</t>
        </is>
      </c>
      <c r="I4" s="11" t="inlineStr">
        <is>
          <t>Mai</t>
        </is>
      </c>
      <c r="J4" s="11" t="inlineStr">
        <is>
          <t>Juin</t>
        </is>
      </c>
      <c r="K4" s="11" t="inlineStr">
        <is>
          <t>Total S1 (FCFA)</t>
        </is>
      </c>
      <c r="L4" s="11" t="inlineStr">
        <is>
          <t>Statut</t>
        </is>
      </c>
    </row>
    <row r="5" ht="22" customHeight="1">
      <c r="B5" s="12" t="inlineStr">
        <is>
          <t>BUD-001</t>
        </is>
      </c>
      <c r="C5" s="12" t="inlineStr">
        <is>
          <t>Salaires de base</t>
        </is>
      </c>
      <c r="D5" s="13" t="n">
        <v>270000000</v>
      </c>
      <c r="E5" s="13" t="n">
        <v>22500000</v>
      </c>
      <c r="F5" s="13" t="n">
        <v>22500000</v>
      </c>
      <c r="G5" s="13" t="n">
        <v>22500000</v>
      </c>
      <c r="H5" s="13" t="n">
        <v>22500000</v>
      </c>
      <c r="I5" s="13" t="n">
        <v>22500000</v>
      </c>
      <c r="J5" s="13" t="n">
        <v>22500000</v>
      </c>
      <c r="K5" s="13" t="n"/>
      <c r="L5" s="12" t="inlineStr">
        <is>
          <t>En cours</t>
        </is>
      </c>
    </row>
    <row r="6" ht="22" customHeight="1">
      <c r="B6" s="14" t="inlineStr">
        <is>
          <t>BUD-002</t>
        </is>
      </c>
      <c r="C6" s="14" t="inlineStr">
        <is>
          <t>Primes et indemnites</t>
        </is>
      </c>
      <c r="D6" s="15" t="n">
        <v>22000000</v>
      </c>
      <c r="E6" s="15" t="n">
        <v>1850000</v>
      </c>
      <c r="F6" s="15" t="n">
        <v>1900000</v>
      </c>
      <c r="G6" s="15" t="n">
        <v>1920000</v>
      </c>
      <c r="H6" s="15" t="n">
        <v>1880000</v>
      </c>
      <c r="I6" s="15" t="n">
        <v>1950000</v>
      </c>
      <c r="J6" s="15" t="n">
        <v>2000000</v>
      </c>
      <c r="K6" s="15" t="n"/>
      <c r="L6" s="14" t="inlineStr">
        <is>
          <t>En cours</t>
        </is>
      </c>
    </row>
    <row r="7" ht="22" customHeight="1">
      <c r="B7" s="12" t="inlineStr">
        <is>
          <t>BUD-003</t>
        </is>
      </c>
      <c r="C7" s="12" t="inlineStr">
        <is>
          <t>Heures supplementaires</t>
        </is>
      </c>
      <c r="D7" s="13" t="n">
        <v>8000000</v>
      </c>
      <c r="E7" s="13" t="n">
        <v>620000</v>
      </c>
      <c r="F7" s="13" t="n">
        <v>580000</v>
      </c>
      <c r="G7" s="13" t="n">
        <v>710000</v>
      </c>
      <c r="H7" s="13" t="n">
        <v>540000</v>
      </c>
      <c r="I7" s="13" t="n">
        <v>680000</v>
      </c>
      <c r="J7" s="13" t="n">
        <v>750000</v>
      </c>
      <c r="K7" s="13" t="n"/>
      <c r="L7" s="12" t="inlineStr">
        <is>
          <t>En cours</t>
        </is>
      </c>
    </row>
    <row r="8" ht="22" customHeight="1">
      <c r="B8" s="14" t="inlineStr">
        <is>
          <t>BUD-004</t>
        </is>
      </c>
      <c r="C8" s="14" t="inlineStr">
        <is>
          <t>Cotisations patronales</t>
        </is>
      </c>
      <c r="D8" s="15" t="n">
        <v>48600000</v>
      </c>
      <c r="E8" s="15" t="n">
        <v>4050000</v>
      </c>
      <c r="F8" s="15" t="n">
        <v>4050000</v>
      </c>
      <c r="G8" s="15" t="n">
        <v>4050000</v>
      </c>
      <c r="H8" s="15" t="n">
        <v>4050000</v>
      </c>
      <c r="I8" s="15" t="n">
        <v>4050000</v>
      </c>
      <c r="J8" s="15" t="n">
        <v>4050000</v>
      </c>
      <c r="K8" s="15" t="n"/>
      <c r="L8" s="14" t="inlineStr">
        <is>
          <t>En cours</t>
        </is>
      </c>
    </row>
    <row r="9" ht="22" customHeight="1">
      <c r="B9" s="12" t="inlineStr">
        <is>
          <t>BUD-005</t>
        </is>
      </c>
      <c r="C9" s="12" t="inlineStr">
        <is>
          <t>Formation professionnelle</t>
        </is>
      </c>
      <c r="D9" s="13" t="n">
        <v>5000000</v>
      </c>
      <c r="E9" s="13" t="n">
        <v>300000</v>
      </c>
      <c r="F9" s="13" t="n">
        <v>350000</v>
      </c>
      <c r="G9" s="13" t="n">
        <v>500000</v>
      </c>
      <c r="H9" s="13" t="n">
        <v>400000</v>
      </c>
      <c r="I9" s="13" t="n">
        <v>450000</v>
      </c>
      <c r="J9" s="13" t="n">
        <v>500000</v>
      </c>
      <c r="K9" s="13" t="n"/>
      <c r="L9" s="12" t="inlineStr">
        <is>
          <t>En cours</t>
        </is>
      </c>
    </row>
    <row r="10" ht="22" customHeight="1">
      <c r="B10" s="14" t="inlineStr">
        <is>
          <t>BUD-006</t>
        </is>
      </c>
      <c r="C10" s="14" t="inlineStr">
        <is>
          <t>Recrutement</t>
        </is>
      </c>
      <c r="D10" s="15" t="n">
        <v>3000000</v>
      </c>
      <c r="E10" s="15" t="n">
        <v>200000</v>
      </c>
      <c r="F10" s="15" t="n">
        <v>350000</v>
      </c>
      <c r="G10" s="15" t="n">
        <v>150000</v>
      </c>
      <c r="H10" s="15" t="n">
        <v>250000</v>
      </c>
      <c r="I10" s="15" t="n">
        <v>200000</v>
      </c>
      <c r="J10" s="15" t="n">
        <v>300000</v>
      </c>
      <c r="K10" s="15" t="n"/>
      <c r="L10" s="14" t="inlineStr">
        <is>
          <t>En cours</t>
        </is>
      </c>
    </row>
    <row r="11" ht="22" customHeight="1">
      <c r="B11" s="16">
        <f>IF(C11="","BUD-"&amp;TEXT(COUNTA($C$5:C11),"000"))</f>
        <v/>
      </c>
      <c r="C11" s="12" t="n"/>
      <c r="D11" s="13" t="n"/>
      <c r="E11" s="13" t="n"/>
      <c r="F11" s="13" t="n"/>
      <c r="G11" s="13" t="n"/>
      <c r="H11" s="13" t="n"/>
      <c r="I11" s="13" t="n"/>
      <c r="J11" s="13" t="n"/>
      <c r="K11" s="13">
        <f>E11+F11+G11+H11+I11+J11</f>
        <v/>
      </c>
      <c r="L11" s="12" t="n"/>
    </row>
    <row r="12" ht="22" customHeight="1">
      <c r="B12" s="17">
        <f>IF(C12="","BUD-"&amp;TEXT(COUNTA($C$5:C12),"000"))</f>
        <v/>
      </c>
      <c r="C12" s="14" t="n"/>
      <c r="D12" s="15" t="n"/>
      <c r="E12" s="15" t="n"/>
      <c r="F12" s="15" t="n"/>
      <c r="G12" s="15" t="n"/>
      <c r="H12" s="15" t="n"/>
      <c r="I12" s="15" t="n"/>
      <c r="J12" s="15" t="n"/>
      <c r="K12" s="15">
        <f>E12+F12+G12+H12+I12+J12</f>
        <v/>
      </c>
      <c r="L12" s="14" t="n"/>
    </row>
    <row r="13" ht="22" customHeight="1">
      <c r="B13" s="16">
        <f>IF(C13="","BUD-"&amp;TEXT(COUNTA($C$5:C13),"000"))</f>
        <v/>
      </c>
      <c r="C13" s="12" t="n"/>
      <c r="D13" s="13" t="n"/>
      <c r="E13" s="13" t="n"/>
      <c r="F13" s="13" t="n"/>
      <c r="G13" s="13" t="n"/>
      <c r="H13" s="13" t="n"/>
      <c r="I13" s="13" t="n"/>
      <c r="J13" s="13" t="n"/>
      <c r="K13" s="13">
        <f>E13+F13+G13+H13+I13+J13</f>
        <v/>
      </c>
      <c r="L13" s="12" t="n"/>
    </row>
    <row r="14" ht="22" customHeight="1">
      <c r="B14" s="17">
        <f>IF(C14="","BUD-"&amp;TEXT(COUNTA($C$5:C14),"000"))</f>
        <v/>
      </c>
      <c r="C14" s="14" t="n"/>
      <c r="D14" s="15" t="n"/>
      <c r="E14" s="15" t="n"/>
      <c r="F14" s="15" t="n"/>
      <c r="G14" s="15" t="n"/>
      <c r="H14" s="15" t="n"/>
      <c r="I14" s="15" t="n"/>
      <c r="J14" s="15" t="n"/>
      <c r="K14" s="15">
        <f>E14+F14+G14+H14+I14+J14</f>
        <v/>
      </c>
      <c r="L14" s="14" t="n"/>
    </row>
    <row r="15" ht="22" customHeight="1">
      <c r="B15" s="16">
        <f>IF(C15="","BUD-"&amp;TEXT(COUNTA($C$5:C15),"000"))</f>
        <v/>
      </c>
      <c r="C15" s="12" t="n"/>
      <c r="D15" s="13" t="n"/>
      <c r="E15" s="13" t="n"/>
      <c r="F15" s="13" t="n"/>
      <c r="G15" s="13" t="n"/>
      <c r="H15" s="13" t="n"/>
      <c r="I15" s="13" t="n"/>
      <c r="J15" s="13" t="n"/>
      <c r="K15" s="13">
        <f>E15+F15+G15+H15+I15+J15</f>
        <v/>
      </c>
      <c r="L15" s="12" t="n"/>
    </row>
    <row r="16" ht="22" customHeight="1">
      <c r="B16" s="17">
        <f>IF(C16="","BUD-"&amp;TEXT(COUNTA($C$5:C16),"000"))</f>
        <v/>
      </c>
      <c r="C16" s="14" t="n"/>
      <c r="D16" s="15" t="n"/>
      <c r="E16" s="15" t="n"/>
      <c r="F16" s="15" t="n"/>
      <c r="G16" s="15" t="n"/>
      <c r="H16" s="15" t="n"/>
      <c r="I16" s="15" t="n"/>
      <c r="J16" s="15" t="n"/>
      <c r="K16" s="15">
        <f>E16+F16+G16+H16+I16+J16</f>
        <v/>
      </c>
      <c r="L16" s="14" t="n"/>
    </row>
    <row r="17" ht="22" customHeight="1">
      <c r="B17" s="16">
        <f>IF(C17="","BUD-"&amp;TEXT(COUNTA($C$5:C17),"000"))</f>
        <v/>
      </c>
      <c r="C17" s="12" t="n"/>
      <c r="D17" s="13" t="n"/>
      <c r="E17" s="13" t="n"/>
      <c r="F17" s="13" t="n"/>
      <c r="G17" s="13" t="n"/>
      <c r="H17" s="13" t="n"/>
      <c r="I17" s="13" t="n"/>
      <c r="J17" s="13" t="n"/>
      <c r="K17" s="13">
        <f>E17+F17+G17+H17+I17+J17</f>
        <v/>
      </c>
      <c r="L17" s="12" t="n"/>
    </row>
    <row r="18" ht="22" customHeight="1">
      <c r="B18" s="17">
        <f>IF(C18="","BUD-"&amp;TEXT(COUNTA($C$5:C18),"000"))</f>
        <v/>
      </c>
      <c r="C18" s="14" t="n"/>
      <c r="D18" s="15" t="n"/>
      <c r="E18" s="15" t="n"/>
      <c r="F18" s="15" t="n"/>
      <c r="G18" s="15" t="n"/>
      <c r="H18" s="15" t="n"/>
      <c r="I18" s="15" t="n"/>
      <c r="J18" s="15" t="n"/>
      <c r="K18" s="15">
        <f>E18+F18+G18+H18+I18+J18</f>
        <v/>
      </c>
      <c r="L18" s="14" t="n"/>
    </row>
    <row r="19" ht="22" customHeight="1">
      <c r="B19" s="16">
        <f>IF(C19="","BUD-"&amp;TEXT(COUNTA($C$5:C19),"000"))</f>
        <v/>
      </c>
      <c r="C19" s="12" t="n"/>
      <c r="D19" s="13" t="n"/>
      <c r="E19" s="13" t="n"/>
      <c r="F19" s="13" t="n"/>
      <c r="G19" s="13" t="n"/>
      <c r="H19" s="13" t="n"/>
      <c r="I19" s="13" t="n"/>
      <c r="J19" s="13" t="n"/>
      <c r="K19" s="13">
        <f>E19+F19+G19+H19+I19+J19</f>
        <v/>
      </c>
      <c r="L19" s="12" t="n"/>
    </row>
    <row r="20" ht="22" customHeight="1">
      <c r="B20" s="17">
        <f>IF(C20="","BUD-"&amp;TEXT(COUNTA($C$5:C20),"000"))</f>
        <v/>
      </c>
      <c r="C20" s="14" t="n"/>
      <c r="D20" s="15" t="n"/>
      <c r="E20" s="15" t="n"/>
      <c r="F20" s="15" t="n"/>
      <c r="G20" s="15" t="n"/>
      <c r="H20" s="15" t="n"/>
      <c r="I20" s="15" t="n"/>
      <c r="J20" s="15" t="n"/>
      <c r="K20" s="15">
        <f>E20+F20+G20+H20+I20+J20</f>
        <v/>
      </c>
      <c r="L20" s="14" t="n"/>
    </row>
    <row r="21" ht="22" customHeight="1">
      <c r="B21" s="16">
        <f>IF(C21="","BUD-"&amp;TEXT(COUNTA($C$5:C21),"000"))</f>
        <v/>
      </c>
      <c r="C21" s="12" t="n"/>
      <c r="D21" s="13" t="n"/>
      <c r="E21" s="13" t="n"/>
      <c r="F21" s="13" t="n"/>
      <c r="G21" s="13" t="n"/>
      <c r="H21" s="13" t="n"/>
      <c r="I21" s="13" t="n"/>
      <c r="J21" s="13" t="n"/>
      <c r="K21" s="13">
        <f>E21+F21+G21+H21+I21+J21</f>
        <v/>
      </c>
      <c r="L21" s="12" t="n"/>
    </row>
    <row r="22" ht="22" customHeight="1">
      <c r="B22" s="17">
        <f>IF(C22="","BUD-"&amp;TEXT(COUNTA($C$5:C22),"000"))</f>
        <v/>
      </c>
      <c r="C22" s="14" t="n"/>
      <c r="D22" s="15" t="n"/>
      <c r="E22" s="15" t="n"/>
      <c r="F22" s="15" t="n"/>
      <c r="G22" s="15" t="n"/>
      <c r="H22" s="15" t="n"/>
      <c r="I22" s="15" t="n"/>
      <c r="J22" s="15" t="n"/>
      <c r="K22" s="15">
        <f>E22+F22+G22+H22+I22+J22</f>
        <v/>
      </c>
      <c r="L22" s="14" t="n"/>
    </row>
    <row r="23" ht="22" customHeight="1">
      <c r="B23" s="16">
        <f>IF(C23="","BUD-"&amp;TEXT(COUNTA($C$5:C23),"000"))</f>
        <v/>
      </c>
      <c r="C23" s="12" t="n"/>
      <c r="D23" s="13" t="n"/>
      <c r="E23" s="13" t="n"/>
      <c r="F23" s="13" t="n"/>
      <c r="G23" s="13" t="n"/>
      <c r="H23" s="13" t="n"/>
      <c r="I23" s="13" t="n"/>
      <c r="J23" s="13" t="n"/>
      <c r="K23" s="13">
        <f>E23+F23+G23+H23+I23+J23</f>
        <v/>
      </c>
      <c r="L23" s="12" t="n"/>
    </row>
    <row r="24" ht="22" customHeight="1">
      <c r="B24" s="17">
        <f>IF(C24="","BUD-"&amp;TEXT(COUNTA($C$5:C24),"000"))</f>
        <v/>
      </c>
      <c r="C24" s="14" t="n"/>
      <c r="D24" s="15" t="n"/>
      <c r="E24" s="15" t="n"/>
      <c r="F24" s="15" t="n"/>
      <c r="G24" s="15" t="n"/>
      <c r="H24" s="15" t="n"/>
      <c r="I24" s="15" t="n"/>
      <c r="J24" s="15" t="n"/>
      <c r="K24" s="15">
        <f>E24+F24+G24+H24+I24+J24</f>
        <v/>
      </c>
      <c r="L24" s="14" t="n"/>
    </row>
    <row r="25" ht="22" customHeight="1">
      <c r="B25" s="16">
        <f>IF(C25="","BUD-"&amp;TEXT(COUNTA($C$5:C25),"000"))</f>
        <v/>
      </c>
      <c r="C25" s="12" t="n"/>
      <c r="D25" s="13" t="n"/>
      <c r="E25" s="13" t="n"/>
      <c r="F25" s="13" t="n"/>
      <c r="G25" s="13" t="n"/>
      <c r="H25" s="13" t="n"/>
      <c r="I25" s="13" t="n"/>
      <c r="J25" s="13" t="n"/>
      <c r="K25" s="13">
        <f>E25+F25+G25+H25+I25+J25</f>
        <v/>
      </c>
      <c r="L25" s="12" t="n"/>
    </row>
    <row r="26" ht="22" customHeight="1">
      <c r="B26" s="17">
        <f>IF(C26="","BUD-"&amp;TEXT(COUNTA($C$5:C26),"000"))</f>
        <v/>
      </c>
      <c r="C26" s="14" t="n"/>
      <c r="D26" s="15" t="n"/>
      <c r="E26" s="15" t="n"/>
      <c r="F26" s="15" t="n"/>
      <c r="G26" s="15" t="n"/>
      <c r="H26" s="15" t="n"/>
      <c r="I26" s="15" t="n"/>
      <c r="J26" s="15" t="n"/>
      <c r="K26" s="15">
        <f>E26+F26+G26+H26+I26+J26</f>
        <v/>
      </c>
      <c r="L26" s="14" t="n"/>
    </row>
    <row r="27" ht="22" customHeight="1">
      <c r="B27" s="16">
        <f>IF(C27="","BUD-"&amp;TEXT(COUNTA($C$5:C27),"000"))</f>
        <v/>
      </c>
      <c r="C27" s="12" t="n"/>
      <c r="D27" s="13" t="n"/>
      <c r="E27" s="13" t="n"/>
      <c r="F27" s="13" t="n"/>
      <c r="G27" s="13" t="n"/>
      <c r="H27" s="13" t="n"/>
      <c r="I27" s="13" t="n"/>
      <c r="J27" s="13" t="n"/>
      <c r="K27" s="13">
        <f>E27+F27+G27+H27+I27+J27</f>
        <v/>
      </c>
      <c r="L27" s="12" t="n"/>
    </row>
    <row r="28" ht="22" customHeight="1">
      <c r="B28" s="17">
        <f>IF(C28="","BUD-"&amp;TEXT(COUNTA($C$5:C28),"000"))</f>
        <v/>
      </c>
      <c r="C28" s="14" t="n"/>
      <c r="D28" s="15" t="n"/>
      <c r="E28" s="15" t="n"/>
      <c r="F28" s="15" t="n"/>
      <c r="G28" s="15" t="n"/>
      <c r="H28" s="15" t="n"/>
      <c r="I28" s="15" t="n"/>
      <c r="J28" s="15" t="n"/>
      <c r="K28" s="15">
        <f>E28+F28+G28+H28+I28+J28</f>
        <v/>
      </c>
      <c r="L28" s="14" t="n"/>
    </row>
    <row r="29" ht="22" customHeight="1">
      <c r="B29" s="16">
        <f>IF(C29="","BUD-"&amp;TEXT(COUNTA($C$5:C29),"000"))</f>
        <v/>
      </c>
      <c r="C29" s="12" t="n"/>
      <c r="D29" s="13" t="n"/>
      <c r="E29" s="13" t="n"/>
      <c r="F29" s="13" t="n"/>
      <c r="G29" s="13" t="n"/>
      <c r="H29" s="13" t="n"/>
      <c r="I29" s="13" t="n"/>
      <c r="J29" s="13" t="n"/>
      <c r="K29" s="13">
        <f>E29+F29+G29+H29+I29+J29</f>
        <v/>
      </c>
      <c r="L29" s="12" t="n"/>
    </row>
    <row r="30" ht="22" customHeight="1">
      <c r="B30" s="17">
        <f>IF(C30="","BUD-"&amp;TEXT(COUNTA($C$5:C30),"000"))</f>
        <v/>
      </c>
      <c r="C30" s="14" t="n"/>
      <c r="D30" s="15" t="n"/>
      <c r="E30" s="15" t="n"/>
      <c r="F30" s="15" t="n"/>
      <c r="G30" s="15" t="n"/>
      <c r="H30" s="15" t="n"/>
      <c r="I30" s="15" t="n"/>
      <c r="J30" s="15" t="n"/>
      <c r="K30" s="15">
        <f>E30+F30+G30+H30+I30+J30</f>
        <v/>
      </c>
      <c r="L30" s="14" t="n"/>
    </row>
    <row r="31" ht="22" customHeight="1">
      <c r="B31" s="16">
        <f>IF(C31="","BUD-"&amp;TEXT(COUNTA($C$5:C31),"000"))</f>
        <v/>
      </c>
      <c r="C31" s="12" t="n"/>
      <c r="D31" s="13" t="n"/>
      <c r="E31" s="13" t="n"/>
      <c r="F31" s="13" t="n"/>
      <c r="G31" s="13" t="n"/>
      <c r="H31" s="13" t="n"/>
      <c r="I31" s="13" t="n"/>
      <c r="J31" s="13" t="n"/>
      <c r="K31" s="13">
        <f>E31+F31+G31+H31+I31+J31</f>
        <v/>
      </c>
      <c r="L31" s="12" t="n"/>
    </row>
    <row r="32" ht="22" customHeight="1">
      <c r="B32" s="17">
        <f>IF(C32="","BUD-"&amp;TEXT(COUNTA($C$5:C32),"000"))</f>
        <v/>
      </c>
      <c r="C32" s="14" t="n"/>
      <c r="D32" s="15" t="n"/>
      <c r="E32" s="15" t="n"/>
      <c r="F32" s="15" t="n"/>
      <c r="G32" s="15" t="n"/>
      <c r="H32" s="15" t="n"/>
      <c r="I32" s="15" t="n"/>
      <c r="J32" s="15" t="n"/>
      <c r="K32" s="15">
        <f>E32+F32+G32+H32+I32+J32</f>
        <v/>
      </c>
      <c r="L32" s="14" t="n"/>
    </row>
    <row r="33" ht="22" customHeight="1">
      <c r="B33" s="16">
        <f>IF(C33="","BUD-"&amp;TEXT(COUNTA($C$5:C33),"000"))</f>
        <v/>
      </c>
      <c r="C33" s="12" t="n"/>
      <c r="D33" s="13" t="n"/>
      <c r="E33" s="13" t="n"/>
      <c r="F33" s="13" t="n"/>
      <c r="G33" s="13" t="n"/>
      <c r="H33" s="13" t="n"/>
      <c r="I33" s="13" t="n"/>
      <c r="J33" s="13" t="n"/>
      <c r="K33" s="13">
        <f>E33+F33+G33+H33+I33+J33</f>
        <v/>
      </c>
      <c r="L33" s="12" t="n"/>
    </row>
    <row r="34" ht="22" customHeight="1">
      <c r="B34" s="17">
        <f>IF(C34="","BUD-"&amp;TEXT(COUNTA($C$5:C34),"000"))</f>
        <v/>
      </c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>
        <f>E34+F34+G34+H34+I34+J34</f>
        <v/>
      </c>
      <c r="L34" s="14" t="n"/>
    </row>
    <row r="35" ht="22" customHeight="1">
      <c r="B35" s="16">
        <f>IF(C35="","BUD-"&amp;TEXT(COUNTA($C$5:C35),"000"))</f>
        <v/>
      </c>
      <c r="C35" s="12" t="n"/>
      <c r="D35" s="13" t="n"/>
      <c r="E35" s="13" t="n"/>
      <c r="F35" s="13" t="n"/>
      <c r="G35" s="13" t="n"/>
      <c r="H35" s="13" t="n"/>
      <c r="I35" s="13" t="n"/>
      <c r="J35" s="13" t="n"/>
      <c r="K35" s="13">
        <f>E35+F35+G35+H35+I35+J35</f>
        <v/>
      </c>
      <c r="L35" s="12" t="n"/>
    </row>
    <row r="36" ht="22" customHeight="1">
      <c r="B36" s="17">
        <f>IF(C36="","BUD-"&amp;TEXT(COUNTA($C$5:C36),"000"))</f>
        <v/>
      </c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>
        <f>E36+F36+G36+H36+I36+J36</f>
        <v/>
      </c>
      <c r="L36" s="14" t="n"/>
    </row>
    <row r="37" ht="22" customHeight="1">
      <c r="B37" s="16">
        <f>IF(C37="","BUD-"&amp;TEXT(COUNTA($C$5:C37),"000"))</f>
        <v/>
      </c>
      <c r="C37" s="12" t="n"/>
      <c r="D37" s="13" t="n"/>
      <c r="E37" s="13" t="n"/>
      <c r="F37" s="13" t="n"/>
      <c r="G37" s="13" t="n"/>
      <c r="H37" s="13" t="n"/>
      <c r="I37" s="13" t="n"/>
      <c r="J37" s="13" t="n"/>
      <c r="K37" s="13">
        <f>E37+F37+G37+H37+I37+J37</f>
        <v/>
      </c>
      <c r="L37" s="12" t="n"/>
    </row>
    <row r="38" ht="22" customHeight="1">
      <c r="B38" s="17">
        <f>IF(C38="","BUD-"&amp;TEXT(COUNTA($C$5:C38),"000"))</f>
        <v/>
      </c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>
        <f>E38+F38+G38+H38+I38+J38</f>
        <v/>
      </c>
      <c r="L38" s="14" t="n"/>
    </row>
    <row r="39" ht="22" customHeight="1">
      <c r="B39" s="16">
        <f>IF(C39="","BUD-"&amp;TEXT(COUNTA($C$5:C39),"000"))</f>
        <v/>
      </c>
      <c r="C39" s="12" t="n"/>
      <c r="D39" s="13" t="n"/>
      <c r="E39" s="13" t="n"/>
      <c r="F39" s="13" t="n"/>
      <c r="G39" s="13" t="n"/>
      <c r="H39" s="13" t="n"/>
      <c r="I39" s="13" t="n"/>
      <c r="J39" s="13" t="n"/>
      <c r="K39" s="13">
        <f>E39+F39+G39+H39+I39+J39</f>
        <v/>
      </c>
      <c r="L39" s="12" t="n"/>
    </row>
    <row r="40" ht="22" customHeight="1">
      <c r="B40" s="17">
        <f>IF(C40="","BUD-"&amp;TEXT(COUNTA($C$5:C40),"000"))</f>
        <v/>
      </c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>
        <f>E40+F40+G40+H40+I40+J40</f>
        <v/>
      </c>
      <c r="L40" s="14" t="n"/>
    </row>
    <row r="41" ht="22" customHeight="1">
      <c r="B41" s="16">
        <f>IF(C41="","BUD-"&amp;TEXT(COUNTA($C$5:C41),"000"))</f>
        <v/>
      </c>
      <c r="C41" s="12" t="n"/>
      <c r="D41" s="13" t="n"/>
      <c r="E41" s="13" t="n"/>
      <c r="F41" s="13" t="n"/>
      <c r="G41" s="13" t="n"/>
      <c r="H41" s="13" t="n"/>
      <c r="I41" s="13" t="n"/>
      <c r="J41" s="13" t="n"/>
      <c r="K41" s="13">
        <f>E41+F41+G41+H41+I41+J41</f>
        <v/>
      </c>
      <c r="L41" s="12" t="n"/>
    </row>
    <row r="42" ht="22" customHeight="1">
      <c r="B42" s="17">
        <f>IF(C42="","BUD-"&amp;TEXT(COUNTA($C$5:C42),"000"))</f>
        <v/>
      </c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>
        <f>E42+F42+G42+H42+I42+J42</f>
        <v/>
      </c>
      <c r="L42" s="14" t="n"/>
    </row>
    <row r="43" ht="22" customHeight="1">
      <c r="B43" s="16">
        <f>IF(C43="","BUD-"&amp;TEXT(COUNTA($C$5:C43),"000"))</f>
        <v/>
      </c>
      <c r="C43" s="12" t="n"/>
      <c r="D43" s="13" t="n"/>
      <c r="E43" s="13" t="n"/>
      <c r="F43" s="13" t="n"/>
      <c r="G43" s="13" t="n"/>
      <c r="H43" s="13" t="n"/>
      <c r="I43" s="13" t="n"/>
      <c r="J43" s="13" t="n"/>
      <c r="K43" s="13">
        <f>E43+F43+G43+H43+I43+J43</f>
        <v/>
      </c>
      <c r="L43" s="12" t="n"/>
    </row>
    <row r="44" ht="22" customHeight="1">
      <c r="B44" s="17">
        <f>IF(C44="","BUD-"&amp;TEXT(COUNTA($C$5:C44),"000"))</f>
        <v/>
      </c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>
        <f>E44+F44+G44+H44+I44+J44</f>
        <v/>
      </c>
      <c r="L44" s="14" t="n"/>
    </row>
    <row r="45" ht="22" customHeight="1">
      <c r="B45" s="16">
        <f>IF(C45="","BUD-"&amp;TEXT(COUNTA($C$5:C45),"000"))</f>
        <v/>
      </c>
      <c r="C45" s="12" t="n"/>
      <c r="D45" s="13" t="n"/>
      <c r="E45" s="13" t="n"/>
      <c r="F45" s="13" t="n"/>
      <c r="G45" s="13" t="n"/>
      <c r="H45" s="13" t="n"/>
      <c r="I45" s="13" t="n"/>
      <c r="J45" s="13" t="n"/>
      <c r="K45" s="13">
        <f>E45+F45+G45+H45+I45+J45</f>
        <v/>
      </c>
      <c r="L45" s="12" t="n"/>
    </row>
    <row r="46" ht="22" customHeight="1">
      <c r="B46" s="17">
        <f>IF(C46="","BUD-"&amp;TEXT(COUNTA($C$5:C46),"000"))</f>
        <v/>
      </c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>
        <f>E46+F46+G46+H46+I46+J46</f>
        <v/>
      </c>
      <c r="L46" s="14" t="n"/>
    </row>
    <row r="47" ht="22" customHeight="1">
      <c r="B47" s="16">
        <f>IF(C47="","BUD-"&amp;TEXT(COUNTA($C$5:C47),"000"))</f>
        <v/>
      </c>
      <c r="C47" s="12" t="n"/>
      <c r="D47" s="13" t="n"/>
      <c r="E47" s="13" t="n"/>
      <c r="F47" s="13" t="n"/>
      <c r="G47" s="13" t="n"/>
      <c r="H47" s="13" t="n"/>
      <c r="I47" s="13" t="n"/>
      <c r="J47" s="13" t="n"/>
      <c r="K47" s="13">
        <f>E47+F47+G47+H47+I47+J47</f>
        <v/>
      </c>
      <c r="L47" s="12" t="n"/>
    </row>
    <row r="48" ht="22" customHeight="1">
      <c r="B48" s="17">
        <f>IF(C48="","BUD-"&amp;TEXT(COUNTA($C$5:C48),"000"))</f>
        <v/>
      </c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>
        <f>E48+F48+G48+H48+I48+J48</f>
        <v/>
      </c>
      <c r="L48" s="14" t="n"/>
    </row>
    <row r="49" ht="22" customHeight="1">
      <c r="B49" s="16">
        <f>IF(C49="","BUD-"&amp;TEXT(COUNTA($C$5:C49),"000"))</f>
        <v/>
      </c>
      <c r="C49" s="12" t="n"/>
      <c r="D49" s="13" t="n"/>
      <c r="E49" s="13" t="n"/>
      <c r="F49" s="13" t="n"/>
      <c r="G49" s="13" t="n"/>
      <c r="H49" s="13" t="n"/>
      <c r="I49" s="13" t="n"/>
      <c r="J49" s="13" t="n"/>
      <c r="K49" s="13">
        <f>E49+F49+G49+H49+I49+J49</f>
        <v/>
      </c>
      <c r="L49" s="12" t="n"/>
    </row>
    <row r="50" ht="22" customHeight="1">
      <c r="B50" s="17">
        <f>IF(C50="","BUD-"&amp;TEXT(COUNTA($C$5:C50),"000"))</f>
        <v/>
      </c>
      <c r="C50" s="14" t="n"/>
      <c r="D50" s="15" t="n"/>
      <c r="E50" s="15" t="n"/>
      <c r="F50" s="15" t="n"/>
      <c r="G50" s="15" t="n"/>
      <c r="H50" s="15" t="n"/>
      <c r="I50" s="15" t="n"/>
      <c r="J50" s="15" t="n"/>
      <c r="K50" s="15">
        <f>E50+F50+G50+H50+I50+J50</f>
        <v/>
      </c>
      <c r="L50" s="14" t="n"/>
    </row>
    <row r="51" ht="22" customHeight="1">
      <c r="B51" s="16">
        <f>IF(C51="","BUD-"&amp;TEXT(COUNTA($C$5:C51),"000"))</f>
        <v/>
      </c>
      <c r="C51" s="12" t="n"/>
      <c r="D51" s="13" t="n"/>
      <c r="E51" s="13" t="n"/>
      <c r="F51" s="13" t="n"/>
      <c r="G51" s="13" t="n"/>
      <c r="H51" s="13" t="n"/>
      <c r="I51" s="13" t="n"/>
      <c r="J51" s="13" t="n"/>
      <c r="K51" s="13">
        <f>E51+F51+G51+H51+I51+J51</f>
        <v/>
      </c>
      <c r="L51" s="12" t="n"/>
    </row>
    <row r="52" ht="22" customHeight="1">
      <c r="B52" s="17">
        <f>IF(C52="","BUD-"&amp;TEXT(COUNTA($C$5:C52),"000"))</f>
        <v/>
      </c>
      <c r="C52" s="14" t="n"/>
      <c r="D52" s="15" t="n"/>
      <c r="E52" s="15" t="n"/>
      <c r="F52" s="15" t="n"/>
      <c r="G52" s="15" t="n"/>
      <c r="H52" s="15" t="n"/>
      <c r="I52" s="15" t="n"/>
      <c r="J52" s="15" t="n"/>
      <c r="K52" s="15">
        <f>E52+F52+G52+H52+I52+J52</f>
        <v/>
      </c>
      <c r="L52" s="14" t="n"/>
    </row>
    <row r="53" ht="22" customHeight="1">
      <c r="B53" s="16">
        <f>IF(C53="","BUD-"&amp;TEXT(COUNTA($C$5:C53),"000"))</f>
        <v/>
      </c>
      <c r="C53" s="12" t="n"/>
      <c r="D53" s="13" t="n"/>
      <c r="E53" s="13" t="n"/>
      <c r="F53" s="13" t="n"/>
      <c r="G53" s="13" t="n"/>
      <c r="H53" s="13" t="n"/>
      <c r="I53" s="13" t="n"/>
      <c r="J53" s="13" t="n"/>
      <c r="K53" s="13">
        <f>E53+F53+G53+H53+I53+J53</f>
        <v/>
      </c>
      <c r="L53" s="12" t="n"/>
    </row>
    <row r="54" ht="22" customHeight="1">
      <c r="B54" s="17">
        <f>IF(C54="","BUD-"&amp;TEXT(COUNTA($C$5:C54),"000"))</f>
        <v/>
      </c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>
        <f>E54+F54+G54+H54+I54+J54</f>
        <v/>
      </c>
      <c r="L54" s="14" t="n"/>
    </row>
    <row r="55" ht="22" customHeight="1">
      <c r="B55" s="16">
        <f>IF(C55="","BUD-"&amp;TEXT(COUNTA($C$5:C55),"000"))</f>
        <v/>
      </c>
      <c r="C55" s="12" t="n"/>
      <c r="D55" s="13" t="n"/>
      <c r="E55" s="13" t="n"/>
      <c r="F55" s="13" t="n"/>
      <c r="G55" s="13" t="n"/>
      <c r="H55" s="13" t="n"/>
      <c r="I55" s="13" t="n"/>
      <c r="J55" s="13" t="n"/>
      <c r="K55" s="13">
        <f>E55+F55+G55+H55+I55+J55</f>
        <v/>
      </c>
      <c r="L55" s="12" t="n"/>
    </row>
    <row r="56" ht="22" customHeight="1">
      <c r="B56" s="17">
        <f>IF(C56="","BUD-"&amp;TEXT(COUNTA($C$5:C56),"000"))</f>
        <v/>
      </c>
      <c r="C56" s="14" t="n"/>
      <c r="D56" s="15" t="n"/>
      <c r="E56" s="15" t="n"/>
      <c r="F56" s="15" t="n"/>
      <c r="G56" s="15" t="n"/>
      <c r="H56" s="15" t="n"/>
      <c r="I56" s="15" t="n"/>
      <c r="J56" s="15" t="n"/>
      <c r="K56" s="15">
        <f>E56+F56+G56+H56+I56+J56</f>
        <v/>
      </c>
      <c r="L56" s="14" t="n"/>
    </row>
    <row r="57" ht="22" customHeight="1">
      <c r="B57" s="16">
        <f>IF(C57="","BUD-"&amp;TEXT(COUNTA($C$5:C57),"000"))</f>
        <v/>
      </c>
      <c r="C57" s="12" t="n"/>
      <c r="D57" s="13" t="n"/>
      <c r="E57" s="13" t="n"/>
      <c r="F57" s="13" t="n"/>
      <c r="G57" s="13" t="n"/>
      <c r="H57" s="13" t="n"/>
      <c r="I57" s="13" t="n"/>
      <c r="J57" s="13" t="n"/>
      <c r="K57" s="13">
        <f>E57+F57+G57+H57+I57+J57</f>
        <v/>
      </c>
      <c r="L57" s="12" t="n"/>
    </row>
    <row r="58" ht="22" customHeight="1">
      <c r="B58" s="17">
        <f>IF(C58="","BUD-"&amp;TEXT(COUNTA($C$5:C58),"000"))</f>
        <v/>
      </c>
      <c r="C58" s="14" t="n"/>
      <c r="D58" s="15" t="n"/>
      <c r="E58" s="15" t="n"/>
      <c r="F58" s="15" t="n"/>
      <c r="G58" s="15" t="n"/>
      <c r="H58" s="15" t="n"/>
      <c r="I58" s="15" t="n"/>
      <c r="J58" s="15" t="n"/>
      <c r="K58" s="15">
        <f>E58+F58+G58+H58+I58+J58</f>
        <v/>
      </c>
      <c r="L58" s="14" t="n"/>
    </row>
    <row r="59" ht="22" customHeight="1">
      <c r="B59" s="16">
        <f>IF(C59="","BUD-"&amp;TEXT(COUNTA($C$5:C59),"000"))</f>
        <v/>
      </c>
      <c r="C59" s="12" t="n"/>
      <c r="D59" s="13" t="n"/>
      <c r="E59" s="13" t="n"/>
      <c r="F59" s="13" t="n"/>
      <c r="G59" s="13" t="n"/>
      <c r="H59" s="13" t="n"/>
      <c r="I59" s="13" t="n"/>
      <c r="J59" s="13" t="n"/>
      <c r="K59" s="13">
        <f>E59+F59+G59+H59+I59+J59</f>
        <v/>
      </c>
      <c r="L59" s="12" t="n"/>
    </row>
    <row r="60" ht="22" customHeight="1">
      <c r="B60" s="17">
        <f>IF(C60="","BUD-"&amp;TEXT(COUNTA($C$5:C60),"000"))</f>
        <v/>
      </c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>
        <f>E60+F60+G60+H60+I60+J60</f>
        <v/>
      </c>
      <c r="L60" s="14" t="n"/>
    </row>
    <row r="61" ht="22" customHeight="1">
      <c r="B61" s="16">
        <f>IF(C61="","BUD-"&amp;TEXT(COUNTA($C$5:C61),"000"))</f>
        <v/>
      </c>
      <c r="C61" s="12" t="n"/>
      <c r="D61" s="13" t="n"/>
      <c r="E61" s="13" t="n"/>
      <c r="F61" s="13" t="n"/>
      <c r="G61" s="13" t="n"/>
      <c r="H61" s="13" t="n"/>
      <c r="I61" s="13" t="n"/>
      <c r="J61" s="13" t="n"/>
      <c r="K61" s="13">
        <f>E61+F61+G61+H61+I61+J61</f>
        <v/>
      </c>
      <c r="L61" s="12" t="n"/>
    </row>
    <row r="62" ht="22" customHeight="1">
      <c r="B62" s="17">
        <f>IF(C62="","BUD-"&amp;TEXT(COUNTA($C$5:C62),"000"))</f>
        <v/>
      </c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>
        <f>E62+F62+G62+H62+I62+J62</f>
        <v/>
      </c>
      <c r="L62" s="14" t="n"/>
    </row>
    <row r="63" ht="22" customHeight="1">
      <c r="B63" s="16">
        <f>IF(C63="","BUD-"&amp;TEXT(COUNTA($C$5:C63),"000"))</f>
        <v/>
      </c>
      <c r="C63" s="12" t="n"/>
      <c r="D63" s="13" t="n"/>
      <c r="E63" s="13" t="n"/>
      <c r="F63" s="13" t="n"/>
      <c r="G63" s="13" t="n"/>
      <c r="H63" s="13" t="n"/>
      <c r="I63" s="13" t="n"/>
      <c r="J63" s="13" t="n"/>
      <c r="K63" s="13">
        <f>E63+F63+G63+H63+I63+J63</f>
        <v/>
      </c>
      <c r="L63" s="12" t="n"/>
    </row>
    <row r="64" ht="22" customHeight="1">
      <c r="B64" s="17">
        <f>IF(C64="","BUD-"&amp;TEXT(COUNTA($C$5:C64),"000"))</f>
        <v/>
      </c>
      <c r="C64" s="14" t="n"/>
      <c r="D64" s="15" t="n"/>
      <c r="E64" s="15" t="n"/>
      <c r="F64" s="15" t="n"/>
      <c r="G64" s="15" t="n"/>
      <c r="H64" s="15" t="n"/>
      <c r="I64" s="15" t="n"/>
      <c r="J64" s="15" t="n"/>
      <c r="K64" s="15">
        <f>E64+F64+G64+H64+I64+J64</f>
        <v/>
      </c>
      <c r="L64" s="14" t="n"/>
    </row>
    <row r="65" ht="22" customHeight="1">
      <c r="B65" s="16">
        <f>IF(C65="","BUD-"&amp;TEXT(COUNTA($C$5:C65),"000"))</f>
        <v/>
      </c>
      <c r="C65" s="12" t="n"/>
      <c r="D65" s="13" t="n"/>
      <c r="E65" s="13" t="n"/>
      <c r="F65" s="13" t="n"/>
      <c r="G65" s="13" t="n"/>
      <c r="H65" s="13" t="n"/>
      <c r="I65" s="13" t="n"/>
      <c r="J65" s="13" t="n"/>
      <c r="K65" s="13">
        <f>E65+F65+G65+H65+I65+J65</f>
        <v/>
      </c>
      <c r="L65" s="12" t="n"/>
    </row>
    <row r="66" ht="22" customHeight="1">
      <c r="B66" s="17">
        <f>IF(C66="","BUD-"&amp;TEXT(COUNTA($C$5:C66),"000"))</f>
        <v/>
      </c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>
        <f>E66+F66+G66+H66+I66+J66</f>
        <v/>
      </c>
      <c r="L66" s="14" t="n"/>
    </row>
    <row r="67" ht="22" customHeight="1">
      <c r="B67" s="16">
        <f>IF(C67="","BUD-"&amp;TEXT(COUNTA($C$5:C67),"000"))</f>
        <v/>
      </c>
      <c r="C67" s="12" t="n"/>
      <c r="D67" s="13" t="n"/>
      <c r="E67" s="13" t="n"/>
      <c r="F67" s="13" t="n"/>
      <c r="G67" s="13" t="n"/>
      <c r="H67" s="13" t="n"/>
      <c r="I67" s="13" t="n"/>
      <c r="J67" s="13" t="n"/>
      <c r="K67" s="13">
        <f>E67+F67+G67+H67+I67+J67</f>
        <v/>
      </c>
      <c r="L67" s="12" t="n"/>
    </row>
    <row r="68" ht="22" customHeight="1">
      <c r="B68" s="17">
        <f>IF(C68="","BUD-"&amp;TEXT(COUNTA($C$5:C68),"000"))</f>
        <v/>
      </c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>
        <f>E68+F68+G68+H68+I68+J68</f>
        <v/>
      </c>
      <c r="L68" s="14" t="n"/>
    </row>
    <row r="69" ht="22" customHeight="1">
      <c r="B69" s="16">
        <f>IF(C69="","BUD-"&amp;TEXT(COUNTA($C$5:C69),"000"))</f>
        <v/>
      </c>
      <c r="C69" s="12" t="n"/>
      <c r="D69" s="13" t="n"/>
      <c r="E69" s="13" t="n"/>
      <c r="F69" s="13" t="n"/>
      <c r="G69" s="13" t="n"/>
      <c r="H69" s="13" t="n"/>
      <c r="I69" s="13" t="n"/>
      <c r="J69" s="13" t="n"/>
      <c r="K69" s="13">
        <f>E69+F69+G69+H69+I69+J69</f>
        <v/>
      </c>
      <c r="L69" s="12" t="n"/>
    </row>
    <row r="70" ht="22" customHeight="1">
      <c r="B70" s="17">
        <f>IF(C70="","BUD-"&amp;TEXT(COUNTA($C$5:C70),"000"))</f>
        <v/>
      </c>
      <c r="C70" s="14" t="n"/>
      <c r="D70" s="15" t="n"/>
      <c r="E70" s="15" t="n"/>
      <c r="F70" s="15" t="n"/>
      <c r="G70" s="15" t="n"/>
      <c r="H70" s="15" t="n"/>
      <c r="I70" s="15" t="n"/>
      <c r="J70" s="15" t="n"/>
      <c r="K70" s="15">
        <f>E70+F70+G70+H70+I70+J70</f>
        <v/>
      </c>
      <c r="L70" s="14" t="n"/>
    </row>
    <row r="71" ht="22" customHeight="1">
      <c r="B71" s="16">
        <f>IF(C71="","BUD-"&amp;TEXT(COUNTA($C$5:C71),"000"))</f>
        <v/>
      </c>
      <c r="C71" s="12" t="n"/>
      <c r="D71" s="13" t="n"/>
      <c r="E71" s="13" t="n"/>
      <c r="F71" s="13" t="n"/>
      <c r="G71" s="13" t="n"/>
      <c r="H71" s="13" t="n"/>
      <c r="I71" s="13" t="n"/>
      <c r="J71" s="13" t="n"/>
      <c r="K71" s="13">
        <f>E71+F71+G71+H71+I71+J71</f>
        <v/>
      </c>
      <c r="L71" s="12" t="n"/>
    </row>
    <row r="72" ht="22" customHeight="1">
      <c r="B72" s="17">
        <f>IF(C72="","BUD-"&amp;TEXT(COUNTA($C$5:C72),"000"))</f>
        <v/>
      </c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>
        <f>E72+F72+G72+H72+I72+J72</f>
        <v/>
      </c>
      <c r="L72" s="14" t="n"/>
    </row>
    <row r="73" ht="22" customHeight="1">
      <c r="B73" s="16">
        <f>IF(C73="","BUD-"&amp;TEXT(COUNTA($C$5:C73),"000"))</f>
        <v/>
      </c>
      <c r="C73" s="12" t="n"/>
      <c r="D73" s="13" t="n"/>
      <c r="E73" s="13" t="n"/>
      <c r="F73" s="13" t="n"/>
      <c r="G73" s="13" t="n"/>
      <c r="H73" s="13" t="n"/>
      <c r="I73" s="13" t="n"/>
      <c r="J73" s="13" t="n"/>
      <c r="K73" s="13">
        <f>E73+F73+G73+H73+I73+J73</f>
        <v/>
      </c>
      <c r="L73" s="12" t="n"/>
    </row>
    <row r="74" ht="22" customHeight="1">
      <c r="B74" s="17">
        <f>IF(C74="","BUD-"&amp;TEXT(COUNTA($C$5:C74),"000"))</f>
        <v/>
      </c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>
        <f>E74+F74+G74+H74+I74+J74</f>
        <v/>
      </c>
      <c r="L74" s="14" t="n"/>
    </row>
    <row r="75" ht="22" customHeight="1">
      <c r="B75" s="16">
        <f>IF(C75="","BUD-"&amp;TEXT(COUNTA($C$5:C75),"000"))</f>
        <v/>
      </c>
      <c r="C75" s="12" t="n"/>
      <c r="D75" s="13" t="n"/>
      <c r="E75" s="13" t="n"/>
      <c r="F75" s="13" t="n"/>
      <c r="G75" s="13" t="n"/>
      <c r="H75" s="13" t="n"/>
      <c r="I75" s="13" t="n"/>
      <c r="J75" s="13" t="n"/>
      <c r="K75" s="13">
        <f>E75+F75+G75+H75+I75+J75</f>
        <v/>
      </c>
      <c r="L75" s="12" t="n"/>
    </row>
    <row r="76" ht="22" customHeight="1">
      <c r="B76" s="17">
        <f>IF(C76="","BUD-"&amp;TEXT(COUNTA($C$5:C76),"000"))</f>
        <v/>
      </c>
      <c r="C76" s="14" t="n"/>
      <c r="D76" s="15" t="n"/>
      <c r="E76" s="15" t="n"/>
      <c r="F76" s="15" t="n"/>
      <c r="G76" s="15" t="n"/>
      <c r="H76" s="15" t="n"/>
      <c r="I76" s="15" t="n"/>
      <c r="J76" s="15" t="n"/>
      <c r="K76" s="15">
        <f>E76+F76+G76+H76+I76+J76</f>
        <v/>
      </c>
      <c r="L76" s="14" t="n"/>
    </row>
    <row r="77" ht="22" customHeight="1">
      <c r="B77" s="16">
        <f>IF(C77="","BUD-"&amp;TEXT(COUNTA($C$5:C77),"000"))</f>
        <v/>
      </c>
      <c r="C77" s="12" t="n"/>
      <c r="D77" s="13" t="n"/>
      <c r="E77" s="13" t="n"/>
      <c r="F77" s="13" t="n"/>
      <c r="G77" s="13" t="n"/>
      <c r="H77" s="13" t="n"/>
      <c r="I77" s="13" t="n"/>
      <c r="J77" s="13" t="n"/>
      <c r="K77" s="13">
        <f>E77+F77+G77+H77+I77+J77</f>
        <v/>
      </c>
      <c r="L77" s="12" t="n"/>
    </row>
    <row r="78" ht="22" customHeight="1">
      <c r="B78" s="17">
        <f>IF(C78="","BUD-"&amp;TEXT(COUNTA($C$5:C78),"000"))</f>
        <v/>
      </c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>
        <f>E78+F78+G78+H78+I78+J78</f>
        <v/>
      </c>
      <c r="L78" s="14" t="n"/>
    </row>
    <row r="79" ht="22" customHeight="1">
      <c r="B79" s="16">
        <f>IF(C79="","BUD-"&amp;TEXT(COUNTA($C$5:C79),"000"))</f>
        <v/>
      </c>
      <c r="C79" s="12" t="n"/>
      <c r="D79" s="13" t="n"/>
      <c r="E79" s="13" t="n"/>
      <c r="F79" s="13" t="n"/>
      <c r="G79" s="13" t="n"/>
      <c r="H79" s="13" t="n"/>
      <c r="I79" s="13" t="n"/>
      <c r="J79" s="13" t="n"/>
      <c r="K79" s="13">
        <f>E79+F79+G79+H79+I79+J79</f>
        <v/>
      </c>
      <c r="L79" s="12" t="n"/>
    </row>
    <row r="80" ht="22" customHeight="1">
      <c r="B80" s="17">
        <f>IF(C80="","BUD-"&amp;TEXT(COUNTA($C$5:C80),"000"))</f>
        <v/>
      </c>
      <c r="C80" s="14" t="n"/>
      <c r="D80" s="15" t="n"/>
      <c r="E80" s="15" t="n"/>
      <c r="F80" s="15" t="n"/>
      <c r="G80" s="15" t="n"/>
      <c r="H80" s="15" t="n"/>
      <c r="I80" s="15" t="n"/>
      <c r="J80" s="15" t="n"/>
      <c r="K80" s="15">
        <f>E80+F80+G80+H80+I80+J80</f>
        <v/>
      </c>
      <c r="L80" s="14" t="n"/>
    </row>
    <row r="81" ht="22" customHeight="1">
      <c r="B81" s="16">
        <f>IF(C81="","BUD-"&amp;TEXT(COUNTA($C$5:C81),"000"))</f>
        <v/>
      </c>
      <c r="C81" s="12" t="n"/>
      <c r="D81" s="13" t="n"/>
      <c r="E81" s="13" t="n"/>
      <c r="F81" s="13" t="n"/>
      <c r="G81" s="13" t="n"/>
      <c r="H81" s="13" t="n"/>
      <c r="I81" s="13" t="n"/>
      <c r="J81" s="13" t="n"/>
      <c r="K81" s="13">
        <f>E81+F81+G81+H81+I81+J81</f>
        <v/>
      </c>
      <c r="L81" s="12" t="n"/>
    </row>
    <row r="82" ht="22" customHeight="1">
      <c r="B82" s="17">
        <f>IF(C82="","BUD-"&amp;TEXT(COUNTA($C$5:C82),"000"))</f>
        <v/>
      </c>
      <c r="C82" s="14" t="n"/>
      <c r="D82" s="15" t="n"/>
      <c r="E82" s="15" t="n"/>
      <c r="F82" s="15" t="n"/>
      <c r="G82" s="15" t="n"/>
      <c r="H82" s="15" t="n"/>
      <c r="I82" s="15" t="n"/>
      <c r="J82" s="15" t="n"/>
      <c r="K82" s="15">
        <f>E82+F82+G82+H82+I82+J82</f>
        <v/>
      </c>
      <c r="L82" s="14" t="n"/>
    </row>
    <row r="83" ht="22" customHeight="1">
      <c r="B83" s="16">
        <f>IF(C83="","BUD-"&amp;TEXT(COUNTA($C$5:C83),"000"))</f>
        <v/>
      </c>
      <c r="C83" s="12" t="n"/>
      <c r="D83" s="13" t="n"/>
      <c r="E83" s="13" t="n"/>
      <c r="F83" s="13" t="n"/>
      <c r="G83" s="13" t="n"/>
      <c r="H83" s="13" t="n"/>
      <c r="I83" s="13" t="n"/>
      <c r="J83" s="13" t="n"/>
      <c r="K83" s="13">
        <f>E83+F83+G83+H83+I83+J83</f>
        <v/>
      </c>
      <c r="L83" s="12" t="n"/>
    </row>
    <row r="84" ht="22" customHeight="1">
      <c r="B84" s="17">
        <f>IF(C84="","BUD-"&amp;TEXT(COUNTA($C$5:C84),"000"))</f>
        <v/>
      </c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>
        <f>E84+F84+G84+H84+I84+J84</f>
        <v/>
      </c>
      <c r="L84" s="14" t="n"/>
    </row>
    <row r="85" ht="22" customHeight="1">
      <c r="B85" s="16">
        <f>IF(C85="","BUD-"&amp;TEXT(COUNTA($C$5:C85),"000"))</f>
        <v/>
      </c>
      <c r="C85" s="12" t="n"/>
      <c r="D85" s="13" t="n"/>
      <c r="E85" s="13" t="n"/>
      <c r="F85" s="13" t="n"/>
      <c r="G85" s="13" t="n"/>
      <c r="H85" s="13" t="n"/>
      <c r="I85" s="13" t="n"/>
      <c r="J85" s="13" t="n"/>
      <c r="K85" s="13">
        <f>E85+F85+G85+H85+I85+J85</f>
        <v/>
      </c>
      <c r="L85" s="12" t="n"/>
    </row>
    <row r="86" ht="22" customHeight="1">
      <c r="B86" s="17">
        <f>IF(C86="","BUD-"&amp;TEXT(COUNTA($C$5:C86),"000"))</f>
        <v/>
      </c>
      <c r="C86" s="14" t="n"/>
      <c r="D86" s="15" t="n"/>
      <c r="E86" s="15" t="n"/>
      <c r="F86" s="15" t="n"/>
      <c r="G86" s="15" t="n"/>
      <c r="H86" s="15" t="n"/>
      <c r="I86" s="15" t="n"/>
      <c r="J86" s="15" t="n"/>
      <c r="K86" s="15">
        <f>E86+F86+G86+H86+I86+J86</f>
        <v/>
      </c>
      <c r="L86" s="14" t="n"/>
    </row>
    <row r="87" ht="22" customHeight="1">
      <c r="B87" s="16">
        <f>IF(C87="","BUD-"&amp;TEXT(COUNTA($C$5:C87),"000"))</f>
        <v/>
      </c>
      <c r="C87" s="12" t="n"/>
      <c r="D87" s="13" t="n"/>
      <c r="E87" s="13" t="n"/>
      <c r="F87" s="13" t="n"/>
      <c r="G87" s="13" t="n"/>
      <c r="H87" s="13" t="n"/>
      <c r="I87" s="13" t="n"/>
      <c r="J87" s="13" t="n"/>
      <c r="K87" s="13">
        <f>E87+F87+G87+H87+I87+J87</f>
        <v/>
      </c>
      <c r="L87" s="12" t="n"/>
    </row>
    <row r="88" ht="22" customHeight="1">
      <c r="B88" s="17">
        <f>IF(C88="","BUD-"&amp;TEXT(COUNTA($C$5:C88),"000"))</f>
        <v/>
      </c>
      <c r="C88" s="14" t="n"/>
      <c r="D88" s="15" t="n"/>
      <c r="E88" s="15" t="n"/>
      <c r="F88" s="15" t="n"/>
      <c r="G88" s="15" t="n"/>
      <c r="H88" s="15" t="n"/>
      <c r="I88" s="15" t="n"/>
      <c r="J88" s="15" t="n"/>
      <c r="K88" s="15">
        <f>E88+F88+G88+H88+I88+J88</f>
        <v/>
      </c>
      <c r="L88" s="14" t="n"/>
    </row>
    <row r="89" ht="22" customHeight="1">
      <c r="B89" s="16">
        <f>IF(C89="","BUD-"&amp;TEXT(COUNTA($C$5:C89),"000"))</f>
        <v/>
      </c>
      <c r="C89" s="12" t="n"/>
      <c r="D89" s="13" t="n"/>
      <c r="E89" s="13" t="n"/>
      <c r="F89" s="13" t="n"/>
      <c r="G89" s="13" t="n"/>
      <c r="H89" s="13" t="n"/>
      <c r="I89" s="13" t="n"/>
      <c r="J89" s="13" t="n"/>
      <c r="K89" s="13">
        <f>E89+F89+G89+H89+I89+J89</f>
        <v/>
      </c>
      <c r="L89" s="12" t="n"/>
    </row>
    <row r="90" ht="22" customHeight="1">
      <c r="B90" s="17">
        <f>IF(C90="","BUD-"&amp;TEXT(COUNTA($C$5:C90),"000"))</f>
        <v/>
      </c>
      <c r="C90" s="14" t="n"/>
      <c r="D90" s="15" t="n"/>
      <c r="E90" s="15" t="n"/>
      <c r="F90" s="15" t="n"/>
      <c r="G90" s="15" t="n"/>
      <c r="H90" s="15" t="n"/>
      <c r="I90" s="15" t="n"/>
      <c r="J90" s="15" t="n"/>
      <c r="K90" s="15">
        <f>E90+F90+G90+H90+I90+J90</f>
        <v/>
      </c>
      <c r="L90" s="14" t="n"/>
    </row>
    <row r="91" ht="22" customHeight="1">
      <c r="B91" s="16">
        <f>IF(C91="","BUD-"&amp;TEXT(COUNTA($C$5:C91),"000"))</f>
        <v/>
      </c>
      <c r="C91" s="12" t="n"/>
      <c r="D91" s="13" t="n"/>
      <c r="E91" s="13" t="n"/>
      <c r="F91" s="13" t="n"/>
      <c r="G91" s="13" t="n"/>
      <c r="H91" s="13" t="n"/>
      <c r="I91" s="13" t="n"/>
      <c r="J91" s="13" t="n"/>
      <c r="K91" s="13">
        <f>E91+F91+G91+H91+I91+J91</f>
        <v/>
      </c>
      <c r="L91" s="12" t="n"/>
    </row>
    <row r="92" ht="22" customHeight="1">
      <c r="B92" s="17">
        <f>IF(C92="","BUD-"&amp;TEXT(COUNTA($C$5:C92),"000"))</f>
        <v/>
      </c>
      <c r="C92" s="14" t="n"/>
      <c r="D92" s="15" t="n"/>
      <c r="E92" s="15" t="n"/>
      <c r="F92" s="15" t="n"/>
      <c r="G92" s="15" t="n"/>
      <c r="H92" s="15" t="n"/>
      <c r="I92" s="15" t="n"/>
      <c r="J92" s="15" t="n"/>
      <c r="K92" s="15">
        <f>E92+F92+G92+H92+I92+J92</f>
        <v/>
      </c>
      <c r="L92" s="14" t="n"/>
    </row>
    <row r="93" ht="22" customHeight="1">
      <c r="B93" s="16">
        <f>IF(C93="","BUD-"&amp;TEXT(COUNTA($C$5:C93),"000"))</f>
        <v/>
      </c>
      <c r="C93" s="12" t="n"/>
      <c r="D93" s="13" t="n"/>
      <c r="E93" s="13" t="n"/>
      <c r="F93" s="13" t="n"/>
      <c r="G93" s="13" t="n"/>
      <c r="H93" s="13" t="n"/>
      <c r="I93" s="13" t="n"/>
      <c r="J93" s="13" t="n"/>
      <c r="K93" s="13">
        <f>E93+F93+G93+H93+I93+J93</f>
        <v/>
      </c>
      <c r="L93" s="12" t="n"/>
    </row>
    <row r="94" ht="22" customHeight="1">
      <c r="B94" s="17">
        <f>IF(C94="","BUD-"&amp;TEXT(COUNTA($C$5:C94),"000"))</f>
        <v/>
      </c>
      <c r="C94" s="14" t="n"/>
      <c r="D94" s="15" t="n"/>
      <c r="E94" s="15" t="n"/>
      <c r="F94" s="15" t="n"/>
      <c r="G94" s="15" t="n"/>
      <c r="H94" s="15" t="n"/>
      <c r="I94" s="15" t="n"/>
      <c r="J94" s="15" t="n"/>
      <c r="K94" s="15">
        <f>E94+F94+G94+H94+I94+J94</f>
        <v/>
      </c>
      <c r="L94" s="14" t="n"/>
    </row>
    <row r="95" ht="22" customHeight="1">
      <c r="B95" s="16">
        <f>IF(C95="","BUD-"&amp;TEXT(COUNTA($C$5:C95),"000"))</f>
        <v/>
      </c>
      <c r="C95" s="12" t="n"/>
      <c r="D95" s="13" t="n"/>
      <c r="E95" s="13" t="n"/>
      <c r="F95" s="13" t="n"/>
      <c r="G95" s="13" t="n"/>
      <c r="H95" s="13" t="n"/>
      <c r="I95" s="13" t="n"/>
      <c r="J95" s="13" t="n"/>
      <c r="K95" s="13">
        <f>E95+F95+G95+H95+I95+J95</f>
        <v/>
      </c>
      <c r="L95" s="12" t="n"/>
    </row>
    <row r="96" ht="22" customHeight="1">
      <c r="B96" s="17">
        <f>IF(C96="","BUD-"&amp;TEXT(COUNTA($C$5:C96),"000"))</f>
        <v/>
      </c>
      <c r="C96" s="14" t="n"/>
      <c r="D96" s="15" t="n"/>
      <c r="E96" s="15" t="n"/>
      <c r="F96" s="15" t="n"/>
      <c r="G96" s="15" t="n"/>
      <c r="H96" s="15" t="n"/>
      <c r="I96" s="15" t="n"/>
      <c r="J96" s="15" t="n"/>
      <c r="K96" s="15">
        <f>E96+F96+G96+H96+I96+J96</f>
        <v/>
      </c>
      <c r="L96" s="14" t="n"/>
    </row>
    <row r="97" ht="22" customHeight="1">
      <c r="B97" s="16">
        <f>IF(C97="","BUD-"&amp;TEXT(COUNTA($C$5:C97),"000"))</f>
        <v/>
      </c>
      <c r="C97" s="12" t="n"/>
      <c r="D97" s="13" t="n"/>
      <c r="E97" s="13" t="n"/>
      <c r="F97" s="13" t="n"/>
      <c r="G97" s="13" t="n"/>
      <c r="H97" s="13" t="n"/>
      <c r="I97" s="13" t="n"/>
      <c r="J97" s="13" t="n"/>
      <c r="K97" s="13">
        <f>E97+F97+G97+H97+I97+J97</f>
        <v/>
      </c>
      <c r="L97" s="12" t="n"/>
    </row>
    <row r="98" ht="22" customHeight="1">
      <c r="B98" s="17">
        <f>IF(C98="","BUD-"&amp;TEXT(COUNTA($C$5:C98),"000"))</f>
        <v/>
      </c>
      <c r="C98" s="14" t="n"/>
      <c r="D98" s="15" t="n"/>
      <c r="E98" s="15" t="n"/>
      <c r="F98" s="15" t="n"/>
      <c r="G98" s="15" t="n"/>
      <c r="H98" s="15" t="n"/>
      <c r="I98" s="15" t="n"/>
      <c r="J98" s="15" t="n"/>
      <c r="K98" s="15">
        <f>E98+F98+G98+H98+I98+J98</f>
        <v/>
      </c>
      <c r="L98" s="14" t="n"/>
    </row>
    <row r="99" ht="22" customHeight="1">
      <c r="B99" s="16">
        <f>IF(C99="","BUD-"&amp;TEXT(COUNTA($C$5:C99),"000"))</f>
        <v/>
      </c>
      <c r="C99" s="12" t="n"/>
      <c r="D99" s="13" t="n"/>
      <c r="E99" s="13" t="n"/>
      <c r="F99" s="13" t="n"/>
      <c r="G99" s="13" t="n"/>
      <c r="H99" s="13" t="n"/>
      <c r="I99" s="13" t="n"/>
      <c r="J99" s="13" t="n"/>
      <c r="K99" s="13">
        <f>E99+F99+G99+H99+I99+J99</f>
        <v/>
      </c>
      <c r="L99" s="12" t="n"/>
    </row>
    <row r="100" ht="22" customHeight="1">
      <c r="B100" s="17">
        <f>IF(C100="","BUD-"&amp;TEXT(COUNTA($C$5:C100),"000"))</f>
        <v/>
      </c>
      <c r="C100" s="14" t="n"/>
      <c r="D100" s="15" t="n"/>
      <c r="E100" s="15" t="n"/>
      <c r="F100" s="15" t="n"/>
      <c r="G100" s="15" t="n"/>
      <c r="H100" s="15" t="n"/>
      <c r="I100" s="15" t="n"/>
      <c r="J100" s="15" t="n"/>
      <c r="K100" s="15">
        <f>E100+F100+G100+H100+I100+J100</f>
        <v/>
      </c>
      <c r="L100" s="14" t="n"/>
    </row>
    <row r="101" ht="22" customHeight="1">
      <c r="B101" s="16">
        <f>IF(C101="","BUD-"&amp;TEXT(COUNTA($C$5:C101),"000"))</f>
        <v/>
      </c>
      <c r="C101" s="12" t="n"/>
      <c r="D101" s="13" t="n"/>
      <c r="E101" s="13" t="n"/>
      <c r="F101" s="13" t="n"/>
      <c r="G101" s="13" t="n"/>
      <c r="H101" s="13" t="n"/>
      <c r="I101" s="13" t="n"/>
      <c r="J101" s="13" t="n"/>
      <c r="K101" s="13">
        <f>E101+F101+G101+H101+I101+J101</f>
        <v/>
      </c>
      <c r="L101" s="12" t="n"/>
    </row>
    <row r="102" ht="22" customHeight="1">
      <c r="B102" s="17">
        <f>IF(C102="","BUD-"&amp;TEXT(COUNTA($C$5:C102),"000"))</f>
        <v/>
      </c>
      <c r="C102" s="14" t="n"/>
      <c r="D102" s="15" t="n"/>
      <c r="E102" s="15" t="n"/>
      <c r="F102" s="15" t="n"/>
      <c r="G102" s="15" t="n"/>
      <c r="H102" s="15" t="n"/>
      <c r="I102" s="15" t="n"/>
      <c r="J102" s="15" t="n"/>
      <c r="K102" s="15">
        <f>E102+F102+G102+H102+I102+J102</f>
        <v/>
      </c>
      <c r="L102" s="14" t="n"/>
    </row>
    <row r="103" ht="22" customHeight="1">
      <c r="B103" s="16">
        <f>IF(C103="","BUD-"&amp;TEXT(COUNTA($C$5:C103),"000"))</f>
        <v/>
      </c>
      <c r="C103" s="12" t="n"/>
      <c r="D103" s="13" t="n"/>
      <c r="E103" s="13" t="n"/>
      <c r="F103" s="13" t="n"/>
      <c r="G103" s="13" t="n"/>
      <c r="H103" s="13" t="n"/>
      <c r="I103" s="13" t="n"/>
      <c r="J103" s="13" t="n"/>
      <c r="K103" s="13">
        <f>E103+F103+G103+H103+I103+J103</f>
        <v/>
      </c>
      <c r="L103" s="12" t="n"/>
    </row>
    <row r="104" ht="22" customHeight="1">
      <c r="B104" s="17">
        <f>IF(C104="","BUD-"&amp;TEXT(COUNTA($C$5:C104),"000"))</f>
        <v/>
      </c>
      <c r="C104" s="14" t="n"/>
      <c r="D104" s="15" t="n"/>
      <c r="E104" s="15" t="n"/>
      <c r="F104" s="15" t="n"/>
      <c r="G104" s="15" t="n"/>
      <c r="H104" s="15" t="n"/>
      <c r="I104" s="15" t="n"/>
      <c r="J104" s="15" t="n"/>
      <c r="K104" s="15">
        <f>E104+F104+G104+H104+I104+J104</f>
        <v/>
      </c>
      <c r="L104" s="14" t="n"/>
    </row>
    <row r="105" ht="22" customHeight="1">
      <c r="B105" s="16">
        <f>IF(C105="","BUD-"&amp;TEXT(COUNTA($C$5:C105),"000"))</f>
        <v/>
      </c>
      <c r="C105" s="12" t="n"/>
      <c r="D105" s="13" t="n"/>
      <c r="E105" s="13" t="n"/>
      <c r="F105" s="13" t="n"/>
      <c r="G105" s="13" t="n"/>
      <c r="H105" s="13" t="n"/>
      <c r="I105" s="13" t="n"/>
      <c r="J105" s="13" t="n"/>
      <c r="K105" s="13">
        <f>E105+F105+G105+H105+I105+J105</f>
        <v/>
      </c>
      <c r="L105" s="12" t="n"/>
    </row>
    <row r="106" ht="22" customHeight="1">
      <c r="B106" s="17">
        <f>IF(C106="","BUD-"&amp;TEXT(COUNTA($C$5:C106),"000"))</f>
        <v/>
      </c>
      <c r="C106" s="14" t="n"/>
      <c r="D106" s="15" t="n"/>
      <c r="E106" s="15" t="n"/>
      <c r="F106" s="15" t="n"/>
      <c r="G106" s="15" t="n"/>
      <c r="H106" s="15" t="n"/>
      <c r="I106" s="15" t="n"/>
      <c r="J106" s="15" t="n"/>
      <c r="K106" s="15">
        <f>E106+F106+G106+H106+I106+J106</f>
        <v/>
      </c>
      <c r="L106" s="14" t="n"/>
    </row>
    <row r="107" ht="22" customHeight="1">
      <c r="B107" s="16">
        <f>IF(C107="","BUD-"&amp;TEXT(COUNTA($C$5:C107),"000"))</f>
        <v/>
      </c>
      <c r="C107" s="12" t="n"/>
      <c r="D107" s="13" t="n"/>
      <c r="E107" s="13" t="n"/>
      <c r="F107" s="13" t="n"/>
      <c r="G107" s="13" t="n"/>
      <c r="H107" s="13" t="n"/>
      <c r="I107" s="13" t="n"/>
      <c r="J107" s="13" t="n"/>
      <c r="K107" s="13">
        <f>E107+F107+G107+H107+I107+J107</f>
        <v/>
      </c>
      <c r="L107" s="12" t="n"/>
    </row>
    <row r="108" ht="22" customHeight="1">
      <c r="B108" s="17">
        <f>IF(C108="","BUD-"&amp;TEXT(COUNTA($C$5:C108),"000"))</f>
        <v/>
      </c>
      <c r="C108" s="14" t="n"/>
      <c r="D108" s="15" t="n"/>
      <c r="E108" s="15" t="n"/>
      <c r="F108" s="15" t="n"/>
      <c r="G108" s="15" t="n"/>
      <c r="H108" s="15" t="n"/>
      <c r="I108" s="15" t="n"/>
      <c r="J108" s="15" t="n"/>
      <c r="K108" s="15">
        <f>E108+F108+G108+H108+I108+J108</f>
        <v/>
      </c>
      <c r="L108" s="14" t="n"/>
    </row>
    <row r="109" ht="22" customHeight="1">
      <c r="B109" s="16">
        <f>IF(C109="","BUD-"&amp;TEXT(COUNTA($C$5:C109),"000"))</f>
        <v/>
      </c>
      <c r="C109" s="12" t="n"/>
      <c r="D109" s="13" t="n"/>
      <c r="E109" s="13" t="n"/>
      <c r="F109" s="13" t="n"/>
      <c r="G109" s="13" t="n"/>
      <c r="H109" s="13" t="n"/>
      <c r="I109" s="13" t="n"/>
      <c r="J109" s="13" t="n"/>
      <c r="K109" s="13">
        <f>E109+F109+G109+H109+I109+J109</f>
        <v/>
      </c>
      <c r="L109" s="12" t="n"/>
    </row>
    <row r="110" ht="22" customHeight="1">
      <c r="B110" s="17">
        <f>IF(C110="","BUD-"&amp;TEXT(COUNTA($C$5:C110),"000"))</f>
        <v/>
      </c>
      <c r="C110" s="14" t="n"/>
      <c r="D110" s="15" t="n"/>
      <c r="E110" s="15" t="n"/>
      <c r="F110" s="15" t="n"/>
      <c r="G110" s="15" t="n"/>
      <c r="H110" s="15" t="n"/>
      <c r="I110" s="15" t="n"/>
      <c r="J110" s="15" t="n"/>
      <c r="K110" s="15">
        <f>E110+F110+G110+H110+I110+J110</f>
        <v/>
      </c>
      <c r="L110" s="14" t="n"/>
    </row>
    <row r="112" ht="26" customHeight="1">
      <c r="B112" s="18" t="inlineStr">
        <is>
          <t>TOTAL</t>
        </is>
      </c>
      <c r="C112" s="19" t="n"/>
      <c r="D112" s="19" t="n"/>
      <c r="E112" s="20">
        <f>SUM(E5:E104)</f>
        <v/>
      </c>
      <c r="F112" s="20">
        <f>SUM(F5:F104)</f>
        <v/>
      </c>
      <c r="G112" s="20">
        <f>SUM(G5:G104)</f>
        <v/>
      </c>
      <c r="H112" s="20">
        <f>SUM(H5:H104)</f>
        <v/>
      </c>
      <c r="I112" s="20">
        <f>SUM(I5:I104)</f>
        <v/>
      </c>
      <c r="J112" s="20">
        <f>SUM(J5:J104)</f>
        <v/>
      </c>
      <c r="K112" s="20">
        <f>SUM(K5:K104)</f>
        <v/>
      </c>
      <c r="L112" s="19" t="n"/>
    </row>
    <row r="114">
      <c r="B114" s="5" t="inlineStr">
        <is>
          <t>INDICATEURS (mis a jour automatiquement)</t>
        </is>
      </c>
    </row>
    <row r="115">
      <c r="B115" s="3" t="inlineStr">
        <is>
          <t>Postes budgetaires</t>
        </is>
      </c>
      <c r="D115" s="3" t="inlineStr">
        <is>
          <t>Budget total annuel</t>
        </is>
      </c>
      <c r="F115" s="3" t="inlineStr">
        <is>
          <t>Conso S1 (FCFA)</t>
        </is>
      </c>
    </row>
    <row r="116">
      <c r="B116" s="4">
        <f>COUNTIF(B5:B104,"&lt;&gt;")</f>
        <v/>
      </c>
      <c r="D116" s="4">
        <f>SUM(D5:D104)</f>
        <v/>
      </c>
      <c r="F116" s="4">
        <f>SUM(K5:K104)</f>
        <v/>
      </c>
    </row>
  </sheetData>
  <mergeCells count="3">
    <mergeCell ref="B2:L2"/>
    <mergeCell ref="B114:L114"/>
    <mergeCell ref="B3:L3"/>
  </mergeCells>
  <conditionalFormatting sqref="B11:B110">
    <cfRule type="expression" priority="1" dxfId="0">
      <formula>AND($C11="",$C10&lt;&gt;"")</formula>
    </cfRule>
  </conditionalFormatting>
  <conditionalFormatting sqref="C11:C110">
    <cfRule type="expression" priority="2" dxfId="0">
      <formula>AND($C11="",$C10&lt;&gt;"")</formula>
    </cfRule>
  </conditionalFormatting>
  <conditionalFormatting sqref="D11:D110">
    <cfRule type="expression" priority="3" dxfId="0">
      <formula>AND($C11="",$C10&lt;&gt;"")</formula>
    </cfRule>
  </conditionalFormatting>
  <conditionalFormatting sqref="E11:E110">
    <cfRule type="expression" priority="4" dxfId="0">
      <formula>AND($C11="",$C10&lt;&gt;"")</formula>
    </cfRule>
  </conditionalFormatting>
  <conditionalFormatting sqref="F11:F110">
    <cfRule type="expression" priority="5" dxfId="0">
      <formula>AND($C11="",$C10&lt;&gt;"")</formula>
    </cfRule>
  </conditionalFormatting>
  <conditionalFormatting sqref="G11:G110">
    <cfRule type="expression" priority="6" dxfId="0">
      <formula>AND($C11="",$C10&lt;&gt;"")</formula>
    </cfRule>
  </conditionalFormatting>
  <conditionalFormatting sqref="H11:H110">
    <cfRule type="expression" priority="7" dxfId="0">
      <formula>AND($C11="",$C10&lt;&gt;"")</formula>
    </cfRule>
  </conditionalFormatting>
  <conditionalFormatting sqref="I11:I110">
    <cfRule type="expression" priority="8" dxfId="0">
      <formula>AND($C11="",$C10&lt;&gt;"")</formula>
    </cfRule>
  </conditionalFormatting>
  <conditionalFormatting sqref="J11:J110">
    <cfRule type="expression" priority="9" dxfId="0">
      <formula>AND($C11="",$C10&lt;&gt;"")</formula>
    </cfRule>
  </conditionalFormatting>
  <conditionalFormatting sqref="K11:K110">
    <cfRule type="expression" priority="10" dxfId="0">
      <formula>AND($C11="",$C10&lt;&gt;"")</formula>
    </cfRule>
  </conditionalFormatting>
  <conditionalFormatting sqref="L11:L110">
    <cfRule type="expression" priority="11" dxfId="0">
      <formula>AND($C11="",$C10&lt;&gt;"")</formula>
    </cfRule>
  </conditionalFormatting>
  <dataValidations count="2">
    <dataValidation sqref="C5:C110" showDropDown="0" showInputMessage="0" showErrorMessage="0" allowBlank="1" errorTitle="Erreur" error="Valeur invalide" promptTitle="Liste" prompt="Choisir dans la liste" type="list">
      <formula1>'_Lists'!$B$2:$B$16</formula1>
    </dataValidation>
    <dataValidation sqref="L5:L110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10" customWidth="1" min="5" max="5"/>
    <col width="22" customWidth="1" min="6" max="6"/>
    <col width="18" customWidth="1" min="7" max="7"/>
    <col width="16" customWidth="1" min="8" max="8"/>
    <col width="20" customWidth="1" min="9" max="9"/>
    <col width="20" customWidth="1" min="10" max="10"/>
    <col width="20" customWidth="1" min="11" max="11"/>
    <col width="14" customWidth="1" min="12" max="12"/>
  </cols>
  <sheetData>
    <row r="1" ht="15" customHeight="1"/>
    <row r="2" ht="32" customHeight="1">
      <c r="B2" s="1" t="inlineStr">
        <is>
          <t>SUIVI BUDGETAIRE MENSUEL RH (#150)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Poste Budgetaire</t>
        </is>
      </c>
      <c r="D4" s="11" t="inlineStr">
        <is>
          <t>Mois</t>
        </is>
      </c>
      <c r="E4" s="11" t="inlineStr">
        <is>
          <t>Annee</t>
        </is>
      </c>
      <c r="F4" s="11" t="inlineStr">
        <is>
          <t>Budget Mensuel (FCFA)</t>
        </is>
      </c>
      <c r="G4" s="11" t="inlineStr">
        <is>
          <t>Realise (FCFA)</t>
        </is>
      </c>
      <c r="H4" s="11" t="inlineStr">
        <is>
          <t>Ecart (FCFA)</t>
        </is>
      </c>
      <c r="I4" s="11" t="inlineStr">
        <is>
          <t>Taux Realisation (%)</t>
        </is>
      </c>
      <c r="J4" s="11" t="inlineStr">
        <is>
          <t>Cumul Budget (FCFA)</t>
        </is>
      </c>
      <c r="K4" s="11" t="inlineStr">
        <is>
          <t>Cumul Realise (FCFA)</t>
        </is>
      </c>
      <c r="L4" s="11" t="inlineStr">
        <is>
          <t>Statut</t>
        </is>
      </c>
    </row>
    <row r="5" ht="22" customHeight="1">
      <c r="B5" s="12" t="inlineStr">
        <is>
          <t>SBG-001</t>
        </is>
      </c>
      <c r="C5" s="12" t="inlineStr">
        <is>
          <t>Salaires de base</t>
        </is>
      </c>
      <c r="D5" s="12" t="inlineStr">
        <is>
          <t>Juin</t>
        </is>
      </c>
      <c r="E5" s="12" t="inlineStr">
        <is>
          <t>2025</t>
        </is>
      </c>
      <c r="F5" s="13" t="n">
        <v>22500000</v>
      </c>
      <c r="G5" s="13" t="n">
        <v>22700000</v>
      </c>
      <c r="H5" s="13" t="n"/>
      <c r="I5" s="21" t="n"/>
      <c r="J5" s="13" t="n"/>
      <c r="K5" s="13" t="n"/>
      <c r="L5" s="12" t="inlineStr">
        <is>
          <t>En cours</t>
        </is>
      </c>
    </row>
    <row r="6" ht="22" customHeight="1">
      <c r="B6" s="14" t="inlineStr">
        <is>
          <t>SBG-002</t>
        </is>
      </c>
      <c r="C6" s="14" t="inlineStr">
        <is>
          <t>Primes et indemnites</t>
        </is>
      </c>
      <c r="D6" s="14" t="inlineStr">
        <is>
          <t>Juin</t>
        </is>
      </c>
      <c r="E6" s="14" t="inlineStr">
        <is>
          <t>2025</t>
        </is>
      </c>
      <c r="F6" s="15" t="n">
        <v>1900000</v>
      </c>
      <c r="G6" s="15" t="n">
        <v>2000000</v>
      </c>
      <c r="H6" s="15" t="n"/>
      <c r="I6" s="22" t="n"/>
      <c r="J6" s="15" t="n"/>
      <c r="K6" s="15" t="n"/>
      <c r="L6" s="14" t="inlineStr">
        <is>
          <t>En cours</t>
        </is>
      </c>
    </row>
    <row r="7" ht="22" customHeight="1">
      <c r="B7" s="12" t="inlineStr">
        <is>
          <t>SBG-003</t>
        </is>
      </c>
      <c r="C7" s="12" t="inlineStr">
        <is>
          <t>Heures supplementaires</t>
        </is>
      </c>
      <c r="D7" s="12" t="inlineStr">
        <is>
          <t>Juin</t>
        </is>
      </c>
      <c r="E7" s="12" t="inlineStr">
        <is>
          <t>2025</t>
        </is>
      </c>
      <c r="F7" s="13" t="n">
        <v>700000</v>
      </c>
      <c r="G7" s="13" t="n">
        <v>750000</v>
      </c>
      <c r="H7" s="13" t="n"/>
      <c r="I7" s="21" t="n"/>
      <c r="J7" s="13" t="n"/>
      <c r="K7" s="13" t="n"/>
      <c r="L7" s="12" t="inlineStr">
        <is>
          <t>En cours</t>
        </is>
      </c>
    </row>
    <row r="8" ht="22" customHeight="1">
      <c r="B8" s="14" t="inlineStr">
        <is>
          <t>SBG-004</t>
        </is>
      </c>
      <c r="C8" s="14" t="inlineStr">
        <is>
          <t>Cotisations patronales</t>
        </is>
      </c>
      <c r="D8" s="14" t="inlineStr">
        <is>
          <t>Juin</t>
        </is>
      </c>
      <c r="E8" s="14" t="inlineStr">
        <is>
          <t>2025</t>
        </is>
      </c>
      <c r="F8" s="15" t="n">
        <v>4050000</v>
      </c>
      <c r="G8" s="15" t="n">
        <v>4086000</v>
      </c>
      <c r="H8" s="15" t="n"/>
      <c r="I8" s="22" t="n"/>
      <c r="J8" s="15" t="n"/>
      <c r="K8" s="15" t="n"/>
      <c r="L8" s="14" t="inlineStr">
        <is>
          <t>En cours</t>
        </is>
      </c>
    </row>
    <row r="9" ht="22" customHeight="1">
      <c r="B9" s="12" t="inlineStr">
        <is>
          <t>SBG-005</t>
        </is>
      </c>
      <c r="C9" s="12" t="inlineStr">
        <is>
          <t>Formation</t>
        </is>
      </c>
      <c r="D9" s="12" t="inlineStr">
        <is>
          <t>Juin</t>
        </is>
      </c>
      <c r="E9" s="12" t="inlineStr">
        <is>
          <t>2025</t>
        </is>
      </c>
      <c r="F9" s="13" t="n">
        <v>500000</v>
      </c>
      <c r="G9" s="13" t="n">
        <v>600000</v>
      </c>
      <c r="H9" s="13" t="n"/>
      <c r="I9" s="21" t="n"/>
      <c r="J9" s="13" t="n"/>
      <c r="K9" s="13" t="n"/>
      <c r="L9" s="12" t="inlineStr">
        <is>
          <t>Depasse</t>
        </is>
      </c>
    </row>
    <row r="10" ht="22" customHeight="1">
      <c r="B10" s="17">
        <f>IF(C10="","SBG-"&amp;TEXT(COUNTA($C$5:C10),"000"))</f>
        <v/>
      </c>
      <c r="C10" s="14" t="n"/>
      <c r="D10" s="14" t="n"/>
      <c r="E10" s="14" t="n"/>
      <c r="F10" s="15" t="n"/>
      <c r="G10" s="15" t="n"/>
      <c r="H10" s="15">
        <f>G10-F10</f>
        <v/>
      </c>
      <c r="I10" s="22">
        <f>IF(F10="","",G10/F10)</f>
        <v/>
      </c>
      <c r="J10" s="15" t="n"/>
      <c r="K10" s="15" t="n"/>
      <c r="L10" s="14" t="n"/>
    </row>
    <row r="11" ht="22" customHeight="1">
      <c r="B11" s="16">
        <f>IF(C11="","SBG-"&amp;TEXT(COUNTA($C$5:C11),"000"))</f>
        <v/>
      </c>
      <c r="C11" s="12" t="n"/>
      <c r="D11" s="12" t="n"/>
      <c r="E11" s="12" t="n"/>
      <c r="F11" s="13" t="n"/>
      <c r="G11" s="13" t="n"/>
      <c r="H11" s="13">
        <f>G11-F11</f>
        <v/>
      </c>
      <c r="I11" s="21">
        <f>IF(F11="","",G11/F11)</f>
        <v/>
      </c>
      <c r="J11" s="13" t="n"/>
      <c r="K11" s="13" t="n"/>
      <c r="L11" s="12" t="n"/>
    </row>
    <row r="12" ht="22" customHeight="1">
      <c r="B12" s="17">
        <f>IF(C12="","SBG-"&amp;TEXT(COUNTA($C$5:C12),"000"))</f>
        <v/>
      </c>
      <c r="C12" s="14" t="n"/>
      <c r="D12" s="14" t="n"/>
      <c r="E12" s="14" t="n"/>
      <c r="F12" s="15" t="n"/>
      <c r="G12" s="15" t="n"/>
      <c r="H12" s="15">
        <f>G12-F12</f>
        <v/>
      </c>
      <c r="I12" s="22">
        <f>IF(F12="","",G12/F12)</f>
        <v/>
      </c>
      <c r="J12" s="15" t="n"/>
      <c r="K12" s="15" t="n"/>
      <c r="L12" s="14" t="n"/>
    </row>
    <row r="13" ht="22" customHeight="1">
      <c r="B13" s="16">
        <f>IF(C13="","SBG-"&amp;TEXT(COUNTA($C$5:C13),"000"))</f>
        <v/>
      </c>
      <c r="C13" s="12" t="n"/>
      <c r="D13" s="12" t="n"/>
      <c r="E13" s="12" t="n"/>
      <c r="F13" s="13" t="n"/>
      <c r="G13" s="13" t="n"/>
      <c r="H13" s="13">
        <f>G13-F13</f>
        <v/>
      </c>
      <c r="I13" s="21">
        <f>IF(F13="","",G13/F13)</f>
        <v/>
      </c>
      <c r="J13" s="13" t="n"/>
      <c r="K13" s="13" t="n"/>
      <c r="L13" s="12" t="n"/>
    </row>
    <row r="14" ht="22" customHeight="1">
      <c r="B14" s="17">
        <f>IF(C14="","SBG-"&amp;TEXT(COUNTA($C$5:C14),"000"))</f>
        <v/>
      </c>
      <c r="C14" s="14" t="n"/>
      <c r="D14" s="14" t="n"/>
      <c r="E14" s="14" t="n"/>
      <c r="F14" s="15" t="n"/>
      <c r="G14" s="15" t="n"/>
      <c r="H14" s="15">
        <f>G14-F14</f>
        <v/>
      </c>
      <c r="I14" s="22">
        <f>IF(F14="","",G14/F14)</f>
        <v/>
      </c>
      <c r="J14" s="15" t="n"/>
      <c r="K14" s="15" t="n"/>
      <c r="L14" s="14" t="n"/>
    </row>
    <row r="15" ht="22" customHeight="1">
      <c r="B15" s="16">
        <f>IF(C15="","SBG-"&amp;TEXT(COUNTA($C$5:C15),"000"))</f>
        <v/>
      </c>
      <c r="C15" s="12" t="n"/>
      <c r="D15" s="12" t="n"/>
      <c r="E15" s="12" t="n"/>
      <c r="F15" s="13" t="n"/>
      <c r="G15" s="13" t="n"/>
      <c r="H15" s="13">
        <f>G15-F15</f>
        <v/>
      </c>
      <c r="I15" s="21">
        <f>IF(F15="","",G15/F15)</f>
        <v/>
      </c>
      <c r="J15" s="13" t="n"/>
      <c r="K15" s="13" t="n"/>
      <c r="L15" s="12" t="n"/>
    </row>
    <row r="16" ht="22" customHeight="1">
      <c r="B16" s="17">
        <f>IF(C16="","SBG-"&amp;TEXT(COUNTA($C$5:C16),"000"))</f>
        <v/>
      </c>
      <c r="C16" s="14" t="n"/>
      <c r="D16" s="14" t="n"/>
      <c r="E16" s="14" t="n"/>
      <c r="F16" s="15" t="n"/>
      <c r="G16" s="15" t="n"/>
      <c r="H16" s="15">
        <f>G16-F16</f>
        <v/>
      </c>
      <c r="I16" s="22">
        <f>IF(F16="","",G16/F16)</f>
        <v/>
      </c>
      <c r="J16" s="15" t="n"/>
      <c r="K16" s="15" t="n"/>
      <c r="L16" s="14" t="n"/>
    </row>
    <row r="17" ht="22" customHeight="1">
      <c r="B17" s="16">
        <f>IF(C17="","SBG-"&amp;TEXT(COUNTA($C$5:C17),"000"))</f>
        <v/>
      </c>
      <c r="C17" s="12" t="n"/>
      <c r="D17" s="12" t="n"/>
      <c r="E17" s="12" t="n"/>
      <c r="F17" s="13" t="n"/>
      <c r="G17" s="13" t="n"/>
      <c r="H17" s="13">
        <f>G17-F17</f>
        <v/>
      </c>
      <c r="I17" s="21">
        <f>IF(F17="","",G17/F17)</f>
        <v/>
      </c>
      <c r="J17" s="13" t="n"/>
      <c r="K17" s="13" t="n"/>
      <c r="L17" s="12" t="n"/>
    </row>
    <row r="18" ht="22" customHeight="1">
      <c r="B18" s="17">
        <f>IF(C18="","SBG-"&amp;TEXT(COUNTA($C$5:C18),"000"))</f>
        <v/>
      </c>
      <c r="C18" s="14" t="n"/>
      <c r="D18" s="14" t="n"/>
      <c r="E18" s="14" t="n"/>
      <c r="F18" s="15" t="n"/>
      <c r="G18" s="15" t="n"/>
      <c r="H18" s="15">
        <f>G18-F18</f>
        <v/>
      </c>
      <c r="I18" s="22">
        <f>IF(F18="","",G18/F18)</f>
        <v/>
      </c>
      <c r="J18" s="15" t="n"/>
      <c r="K18" s="15" t="n"/>
      <c r="L18" s="14" t="n"/>
    </row>
    <row r="19" ht="22" customHeight="1">
      <c r="B19" s="16">
        <f>IF(C19="","SBG-"&amp;TEXT(COUNTA($C$5:C19),"000"))</f>
        <v/>
      </c>
      <c r="C19" s="12" t="n"/>
      <c r="D19" s="12" t="n"/>
      <c r="E19" s="12" t="n"/>
      <c r="F19" s="13" t="n"/>
      <c r="G19" s="13" t="n"/>
      <c r="H19" s="13">
        <f>G19-F19</f>
        <v/>
      </c>
      <c r="I19" s="21">
        <f>IF(F19="","",G19/F19)</f>
        <v/>
      </c>
      <c r="J19" s="13" t="n"/>
      <c r="K19" s="13" t="n"/>
      <c r="L19" s="12" t="n"/>
    </row>
    <row r="20" ht="22" customHeight="1">
      <c r="B20" s="17">
        <f>IF(C20="","SBG-"&amp;TEXT(COUNTA($C$5:C20),"000"))</f>
        <v/>
      </c>
      <c r="C20" s="14" t="n"/>
      <c r="D20" s="14" t="n"/>
      <c r="E20" s="14" t="n"/>
      <c r="F20" s="15" t="n"/>
      <c r="G20" s="15" t="n"/>
      <c r="H20" s="15">
        <f>G20-F20</f>
        <v/>
      </c>
      <c r="I20" s="22">
        <f>IF(F20="","",G20/F20)</f>
        <v/>
      </c>
      <c r="J20" s="15" t="n"/>
      <c r="K20" s="15" t="n"/>
      <c r="L20" s="14" t="n"/>
    </row>
    <row r="21" ht="22" customHeight="1">
      <c r="B21" s="16">
        <f>IF(C21="","SBG-"&amp;TEXT(COUNTA($C$5:C21),"000"))</f>
        <v/>
      </c>
      <c r="C21" s="12" t="n"/>
      <c r="D21" s="12" t="n"/>
      <c r="E21" s="12" t="n"/>
      <c r="F21" s="13" t="n"/>
      <c r="G21" s="13" t="n"/>
      <c r="H21" s="13">
        <f>G21-F21</f>
        <v/>
      </c>
      <c r="I21" s="21">
        <f>IF(F21="","",G21/F21)</f>
        <v/>
      </c>
      <c r="J21" s="13" t="n"/>
      <c r="K21" s="13" t="n"/>
      <c r="L21" s="12" t="n"/>
    </row>
    <row r="22" ht="22" customHeight="1">
      <c r="B22" s="17">
        <f>IF(C22="","SBG-"&amp;TEXT(COUNTA($C$5:C22),"000"))</f>
        <v/>
      </c>
      <c r="C22" s="14" t="n"/>
      <c r="D22" s="14" t="n"/>
      <c r="E22" s="14" t="n"/>
      <c r="F22" s="15" t="n"/>
      <c r="G22" s="15" t="n"/>
      <c r="H22" s="15">
        <f>G22-F22</f>
        <v/>
      </c>
      <c r="I22" s="22">
        <f>IF(F22="","",G22/F22)</f>
        <v/>
      </c>
      <c r="J22" s="15" t="n"/>
      <c r="K22" s="15" t="n"/>
      <c r="L22" s="14" t="n"/>
    </row>
    <row r="23" ht="22" customHeight="1">
      <c r="B23" s="16">
        <f>IF(C23="","SBG-"&amp;TEXT(COUNTA($C$5:C23),"000"))</f>
        <v/>
      </c>
      <c r="C23" s="12" t="n"/>
      <c r="D23" s="12" t="n"/>
      <c r="E23" s="12" t="n"/>
      <c r="F23" s="13" t="n"/>
      <c r="G23" s="13" t="n"/>
      <c r="H23" s="13">
        <f>G23-F23</f>
        <v/>
      </c>
      <c r="I23" s="21">
        <f>IF(F23="","",G23/F23)</f>
        <v/>
      </c>
      <c r="J23" s="13" t="n"/>
      <c r="K23" s="13" t="n"/>
      <c r="L23" s="12" t="n"/>
    </row>
    <row r="24" ht="22" customHeight="1">
      <c r="B24" s="17">
        <f>IF(C24="","SBG-"&amp;TEXT(COUNTA($C$5:C24),"000"))</f>
        <v/>
      </c>
      <c r="C24" s="14" t="n"/>
      <c r="D24" s="14" t="n"/>
      <c r="E24" s="14" t="n"/>
      <c r="F24" s="15" t="n"/>
      <c r="G24" s="15" t="n"/>
      <c r="H24" s="15">
        <f>G24-F24</f>
        <v/>
      </c>
      <c r="I24" s="22">
        <f>IF(F24="","",G24/F24)</f>
        <v/>
      </c>
      <c r="J24" s="15" t="n"/>
      <c r="K24" s="15" t="n"/>
      <c r="L24" s="14" t="n"/>
    </row>
    <row r="25" ht="22" customHeight="1">
      <c r="B25" s="16">
        <f>IF(C25="","SBG-"&amp;TEXT(COUNTA($C$5:C25),"000"))</f>
        <v/>
      </c>
      <c r="C25" s="12" t="n"/>
      <c r="D25" s="12" t="n"/>
      <c r="E25" s="12" t="n"/>
      <c r="F25" s="13" t="n"/>
      <c r="G25" s="13" t="n"/>
      <c r="H25" s="13">
        <f>G25-F25</f>
        <v/>
      </c>
      <c r="I25" s="21">
        <f>IF(F25="","",G25/F25)</f>
        <v/>
      </c>
      <c r="J25" s="13" t="n"/>
      <c r="K25" s="13" t="n"/>
      <c r="L25" s="12" t="n"/>
    </row>
    <row r="26" ht="22" customHeight="1">
      <c r="B26" s="17">
        <f>IF(C26="","SBG-"&amp;TEXT(COUNTA($C$5:C26),"000"))</f>
        <v/>
      </c>
      <c r="C26" s="14" t="n"/>
      <c r="D26" s="14" t="n"/>
      <c r="E26" s="14" t="n"/>
      <c r="F26" s="15" t="n"/>
      <c r="G26" s="15" t="n"/>
      <c r="H26" s="15">
        <f>G26-F26</f>
        <v/>
      </c>
      <c r="I26" s="22">
        <f>IF(F26="","",G26/F26)</f>
        <v/>
      </c>
      <c r="J26" s="15" t="n"/>
      <c r="K26" s="15" t="n"/>
      <c r="L26" s="14" t="n"/>
    </row>
    <row r="27" ht="22" customHeight="1">
      <c r="B27" s="16">
        <f>IF(C27="","SBG-"&amp;TEXT(COUNTA($C$5:C27),"000"))</f>
        <v/>
      </c>
      <c r="C27" s="12" t="n"/>
      <c r="D27" s="12" t="n"/>
      <c r="E27" s="12" t="n"/>
      <c r="F27" s="13" t="n"/>
      <c r="G27" s="13" t="n"/>
      <c r="H27" s="13">
        <f>G27-F27</f>
        <v/>
      </c>
      <c r="I27" s="21">
        <f>IF(F27="","",G27/F27)</f>
        <v/>
      </c>
      <c r="J27" s="13" t="n"/>
      <c r="K27" s="13" t="n"/>
      <c r="L27" s="12" t="n"/>
    </row>
    <row r="28" ht="22" customHeight="1">
      <c r="B28" s="17">
        <f>IF(C28="","SBG-"&amp;TEXT(COUNTA($C$5:C28),"000"))</f>
        <v/>
      </c>
      <c r="C28" s="14" t="n"/>
      <c r="D28" s="14" t="n"/>
      <c r="E28" s="14" t="n"/>
      <c r="F28" s="15" t="n"/>
      <c r="G28" s="15" t="n"/>
      <c r="H28" s="15">
        <f>G28-F28</f>
        <v/>
      </c>
      <c r="I28" s="22">
        <f>IF(F28="","",G28/F28)</f>
        <v/>
      </c>
      <c r="J28" s="15" t="n"/>
      <c r="K28" s="15" t="n"/>
      <c r="L28" s="14" t="n"/>
    </row>
    <row r="29" ht="22" customHeight="1">
      <c r="B29" s="16">
        <f>IF(C29="","SBG-"&amp;TEXT(COUNTA($C$5:C29),"000"))</f>
        <v/>
      </c>
      <c r="C29" s="12" t="n"/>
      <c r="D29" s="12" t="n"/>
      <c r="E29" s="12" t="n"/>
      <c r="F29" s="13" t="n"/>
      <c r="G29" s="13" t="n"/>
      <c r="H29" s="13">
        <f>G29-F29</f>
        <v/>
      </c>
      <c r="I29" s="21">
        <f>IF(F29="","",G29/F29)</f>
        <v/>
      </c>
      <c r="J29" s="13" t="n"/>
      <c r="K29" s="13" t="n"/>
      <c r="L29" s="12" t="n"/>
    </row>
    <row r="30" ht="22" customHeight="1">
      <c r="B30" s="17">
        <f>IF(C30="","SBG-"&amp;TEXT(COUNTA($C$5:C30),"000"))</f>
        <v/>
      </c>
      <c r="C30" s="14" t="n"/>
      <c r="D30" s="14" t="n"/>
      <c r="E30" s="14" t="n"/>
      <c r="F30" s="15" t="n"/>
      <c r="G30" s="15" t="n"/>
      <c r="H30" s="15">
        <f>G30-F30</f>
        <v/>
      </c>
      <c r="I30" s="22">
        <f>IF(F30="","",G30/F30)</f>
        <v/>
      </c>
      <c r="J30" s="15" t="n"/>
      <c r="K30" s="15" t="n"/>
      <c r="L30" s="14" t="n"/>
    </row>
    <row r="31" ht="22" customHeight="1">
      <c r="B31" s="16">
        <f>IF(C31="","SBG-"&amp;TEXT(COUNTA($C$5:C31),"000"))</f>
        <v/>
      </c>
      <c r="C31" s="12" t="n"/>
      <c r="D31" s="12" t="n"/>
      <c r="E31" s="12" t="n"/>
      <c r="F31" s="13" t="n"/>
      <c r="G31" s="13" t="n"/>
      <c r="H31" s="13">
        <f>G31-F31</f>
        <v/>
      </c>
      <c r="I31" s="21">
        <f>IF(F31="","",G31/F31)</f>
        <v/>
      </c>
      <c r="J31" s="13" t="n"/>
      <c r="K31" s="13" t="n"/>
      <c r="L31" s="12" t="n"/>
    </row>
    <row r="32" ht="22" customHeight="1">
      <c r="B32" s="17">
        <f>IF(C32="","SBG-"&amp;TEXT(COUNTA($C$5:C32),"000"))</f>
        <v/>
      </c>
      <c r="C32" s="14" t="n"/>
      <c r="D32" s="14" t="n"/>
      <c r="E32" s="14" t="n"/>
      <c r="F32" s="15" t="n"/>
      <c r="G32" s="15" t="n"/>
      <c r="H32" s="15">
        <f>G32-F32</f>
        <v/>
      </c>
      <c r="I32" s="22">
        <f>IF(F32="","",G32/F32)</f>
        <v/>
      </c>
      <c r="J32" s="15" t="n"/>
      <c r="K32" s="15" t="n"/>
      <c r="L32" s="14" t="n"/>
    </row>
    <row r="33" ht="22" customHeight="1">
      <c r="B33" s="16">
        <f>IF(C33="","SBG-"&amp;TEXT(COUNTA($C$5:C33),"000"))</f>
        <v/>
      </c>
      <c r="C33" s="12" t="n"/>
      <c r="D33" s="12" t="n"/>
      <c r="E33" s="12" t="n"/>
      <c r="F33" s="13" t="n"/>
      <c r="G33" s="13" t="n"/>
      <c r="H33" s="13">
        <f>G33-F33</f>
        <v/>
      </c>
      <c r="I33" s="21">
        <f>IF(F33="","",G33/F33)</f>
        <v/>
      </c>
      <c r="J33" s="13" t="n"/>
      <c r="K33" s="13" t="n"/>
      <c r="L33" s="12" t="n"/>
    </row>
    <row r="34" ht="22" customHeight="1">
      <c r="B34" s="17">
        <f>IF(C34="","SBG-"&amp;TEXT(COUNTA($C$5:C34),"000"))</f>
        <v/>
      </c>
      <c r="C34" s="14" t="n"/>
      <c r="D34" s="14" t="n"/>
      <c r="E34" s="14" t="n"/>
      <c r="F34" s="15" t="n"/>
      <c r="G34" s="15" t="n"/>
      <c r="H34" s="15">
        <f>G34-F34</f>
        <v/>
      </c>
      <c r="I34" s="22">
        <f>IF(F34="","",G34/F34)</f>
        <v/>
      </c>
      <c r="J34" s="15" t="n"/>
      <c r="K34" s="15" t="n"/>
      <c r="L34" s="14" t="n"/>
    </row>
    <row r="35" ht="22" customHeight="1">
      <c r="B35" s="16">
        <f>IF(C35="","SBG-"&amp;TEXT(COUNTA($C$5:C35),"000"))</f>
        <v/>
      </c>
      <c r="C35" s="12" t="n"/>
      <c r="D35" s="12" t="n"/>
      <c r="E35" s="12" t="n"/>
      <c r="F35" s="13" t="n"/>
      <c r="G35" s="13" t="n"/>
      <c r="H35" s="13">
        <f>G35-F35</f>
        <v/>
      </c>
      <c r="I35" s="21">
        <f>IF(F35="","",G35/F35)</f>
        <v/>
      </c>
      <c r="J35" s="13" t="n"/>
      <c r="K35" s="13" t="n"/>
      <c r="L35" s="12" t="n"/>
    </row>
    <row r="36" ht="22" customHeight="1">
      <c r="B36" s="17">
        <f>IF(C36="","SBG-"&amp;TEXT(COUNTA($C$5:C36),"000"))</f>
        <v/>
      </c>
      <c r="C36" s="14" t="n"/>
      <c r="D36" s="14" t="n"/>
      <c r="E36" s="14" t="n"/>
      <c r="F36" s="15" t="n"/>
      <c r="G36" s="15" t="n"/>
      <c r="H36" s="15">
        <f>G36-F36</f>
        <v/>
      </c>
      <c r="I36" s="22">
        <f>IF(F36="","",G36/F36)</f>
        <v/>
      </c>
      <c r="J36" s="15" t="n"/>
      <c r="K36" s="15" t="n"/>
      <c r="L36" s="14" t="n"/>
    </row>
    <row r="37" ht="22" customHeight="1">
      <c r="B37" s="16">
        <f>IF(C37="","SBG-"&amp;TEXT(COUNTA($C$5:C37),"000"))</f>
        <v/>
      </c>
      <c r="C37" s="12" t="n"/>
      <c r="D37" s="12" t="n"/>
      <c r="E37" s="12" t="n"/>
      <c r="F37" s="13" t="n"/>
      <c r="G37" s="13" t="n"/>
      <c r="H37" s="13">
        <f>G37-F37</f>
        <v/>
      </c>
      <c r="I37" s="21">
        <f>IF(F37="","",G37/F37)</f>
        <v/>
      </c>
      <c r="J37" s="13" t="n"/>
      <c r="K37" s="13" t="n"/>
      <c r="L37" s="12" t="n"/>
    </row>
    <row r="38" ht="22" customHeight="1">
      <c r="B38" s="17">
        <f>IF(C38="","SBG-"&amp;TEXT(COUNTA($C$5:C38),"000"))</f>
        <v/>
      </c>
      <c r="C38" s="14" t="n"/>
      <c r="D38" s="14" t="n"/>
      <c r="E38" s="14" t="n"/>
      <c r="F38" s="15" t="n"/>
      <c r="G38" s="15" t="n"/>
      <c r="H38" s="15">
        <f>G38-F38</f>
        <v/>
      </c>
      <c r="I38" s="22">
        <f>IF(F38="","",G38/F38)</f>
        <v/>
      </c>
      <c r="J38" s="15" t="n"/>
      <c r="K38" s="15" t="n"/>
      <c r="L38" s="14" t="n"/>
    </row>
    <row r="39" ht="22" customHeight="1">
      <c r="B39" s="16">
        <f>IF(C39="","SBG-"&amp;TEXT(COUNTA($C$5:C39),"000"))</f>
        <v/>
      </c>
      <c r="C39" s="12" t="n"/>
      <c r="D39" s="12" t="n"/>
      <c r="E39" s="12" t="n"/>
      <c r="F39" s="13" t="n"/>
      <c r="G39" s="13" t="n"/>
      <c r="H39" s="13">
        <f>G39-F39</f>
        <v/>
      </c>
      <c r="I39" s="21">
        <f>IF(F39="","",G39/F39)</f>
        <v/>
      </c>
      <c r="J39" s="13" t="n"/>
      <c r="K39" s="13" t="n"/>
      <c r="L39" s="12" t="n"/>
    </row>
    <row r="40" ht="22" customHeight="1">
      <c r="B40" s="17">
        <f>IF(C40="","SBG-"&amp;TEXT(COUNTA($C$5:C40),"000"))</f>
        <v/>
      </c>
      <c r="C40" s="14" t="n"/>
      <c r="D40" s="14" t="n"/>
      <c r="E40" s="14" t="n"/>
      <c r="F40" s="15" t="n"/>
      <c r="G40" s="15" t="n"/>
      <c r="H40" s="15">
        <f>G40-F40</f>
        <v/>
      </c>
      <c r="I40" s="22">
        <f>IF(F40="","",G40/F40)</f>
        <v/>
      </c>
      <c r="J40" s="15" t="n"/>
      <c r="K40" s="15" t="n"/>
      <c r="L40" s="14" t="n"/>
    </row>
    <row r="41" ht="22" customHeight="1">
      <c r="B41" s="16">
        <f>IF(C41="","SBG-"&amp;TEXT(COUNTA($C$5:C41),"000"))</f>
        <v/>
      </c>
      <c r="C41" s="12" t="n"/>
      <c r="D41" s="12" t="n"/>
      <c r="E41" s="12" t="n"/>
      <c r="F41" s="13" t="n"/>
      <c r="G41" s="13" t="n"/>
      <c r="H41" s="13">
        <f>G41-F41</f>
        <v/>
      </c>
      <c r="I41" s="21">
        <f>IF(F41="","",G41/F41)</f>
        <v/>
      </c>
      <c r="J41" s="13" t="n"/>
      <c r="K41" s="13" t="n"/>
      <c r="L41" s="12" t="n"/>
    </row>
    <row r="42" ht="22" customHeight="1">
      <c r="B42" s="17">
        <f>IF(C42="","SBG-"&amp;TEXT(COUNTA($C$5:C42),"000"))</f>
        <v/>
      </c>
      <c r="C42" s="14" t="n"/>
      <c r="D42" s="14" t="n"/>
      <c r="E42" s="14" t="n"/>
      <c r="F42" s="15" t="n"/>
      <c r="G42" s="15" t="n"/>
      <c r="H42" s="15">
        <f>G42-F42</f>
        <v/>
      </c>
      <c r="I42" s="22">
        <f>IF(F42="","",G42/F42)</f>
        <v/>
      </c>
      <c r="J42" s="15" t="n"/>
      <c r="K42" s="15" t="n"/>
      <c r="L42" s="14" t="n"/>
    </row>
    <row r="43" ht="22" customHeight="1">
      <c r="B43" s="16">
        <f>IF(C43="","SBG-"&amp;TEXT(COUNTA($C$5:C43),"000"))</f>
        <v/>
      </c>
      <c r="C43" s="12" t="n"/>
      <c r="D43" s="12" t="n"/>
      <c r="E43" s="12" t="n"/>
      <c r="F43" s="13" t="n"/>
      <c r="G43" s="13" t="n"/>
      <c r="H43" s="13">
        <f>G43-F43</f>
        <v/>
      </c>
      <c r="I43" s="21">
        <f>IF(F43="","",G43/F43)</f>
        <v/>
      </c>
      <c r="J43" s="13" t="n"/>
      <c r="K43" s="13" t="n"/>
      <c r="L43" s="12" t="n"/>
    </row>
    <row r="44" ht="22" customHeight="1">
      <c r="B44" s="17">
        <f>IF(C44="","SBG-"&amp;TEXT(COUNTA($C$5:C44),"000"))</f>
        <v/>
      </c>
      <c r="C44" s="14" t="n"/>
      <c r="D44" s="14" t="n"/>
      <c r="E44" s="14" t="n"/>
      <c r="F44" s="15" t="n"/>
      <c r="G44" s="15" t="n"/>
      <c r="H44" s="15">
        <f>G44-F44</f>
        <v/>
      </c>
      <c r="I44" s="22">
        <f>IF(F44="","",G44/F44)</f>
        <v/>
      </c>
      <c r="J44" s="15" t="n"/>
      <c r="K44" s="15" t="n"/>
      <c r="L44" s="14" t="n"/>
    </row>
    <row r="45" ht="22" customHeight="1">
      <c r="B45" s="16">
        <f>IF(C45="","SBG-"&amp;TEXT(COUNTA($C$5:C45),"000"))</f>
        <v/>
      </c>
      <c r="C45" s="12" t="n"/>
      <c r="D45" s="12" t="n"/>
      <c r="E45" s="12" t="n"/>
      <c r="F45" s="13" t="n"/>
      <c r="G45" s="13" t="n"/>
      <c r="H45" s="13">
        <f>G45-F45</f>
        <v/>
      </c>
      <c r="I45" s="21">
        <f>IF(F45="","",G45/F45)</f>
        <v/>
      </c>
      <c r="J45" s="13" t="n"/>
      <c r="K45" s="13" t="n"/>
      <c r="L45" s="12" t="n"/>
    </row>
    <row r="46" ht="22" customHeight="1">
      <c r="B46" s="17">
        <f>IF(C46="","SBG-"&amp;TEXT(COUNTA($C$5:C46),"000"))</f>
        <v/>
      </c>
      <c r="C46" s="14" t="n"/>
      <c r="D46" s="14" t="n"/>
      <c r="E46" s="14" t="n"/>
      <c r="F46" s="15" t="n"/>
      <c r="G46" s="15" t="n"/>
      <c r="H46" s="15">
        <f>G46-F46</f>
        <v/>
      </c>
      <c r="I46" s="22">
        <f>IF(F46="","",G46/F46)</f>
        <v/>
      </c>
      <c r="J46" s="15" t="n"/>
      <c r="K46" s="15" t="n"/>
      <c r="L46" s="14" t="n"/>
    </row>
    <row r="47" ht="22" customHeight="1">
      <c r="B47" s="16">
        <f>IF(C47="","SBG-"&amp;TEXT(COUNTA($C$5:C47),"000"))</f>
        <v/>
      </c>
      <c r="C47" s="12" t="n"/>
      <c r="D47" s="12" t="n"/>
      <c r="E47" s="12" t="n"/>
      <c r="F47" s="13" t="n"/>
      <c r="G47" s="13" t="n"/>
      <c r="H47" s="13">
        <f>G47-F47</f>
        <v/>
      </c>
      <c r="I47" s="21">
        <f>IF(F47="","",G47/F47)</f>
        <v/>
      </c>
      <c r="J47" s="13" t="n"/>
      <c r="K47" s="13" t="n"/>
      <c r="L47" s="12" t="n"/>
    </row>
    <row r="48" ht="22" customHeight="1">
      <c r="B48" s="17">
        <f>IF(C48="","SBG-"&amp;TEXT(COUNTA($C$5:C48),"000"))</f>
        <v/>
      </c>
      <c r="C48" s="14" t="n"/>
      <c r="D48" s="14" t="n"/>
      <c r="E48" s="14" t="n"/>
      <c r="F48" s="15" t="n"/>
      <c r="G48" s="15" t="n"/>
      <c r="H48" s="15">
        <f>G48-F48</f>
        <v/>
      </c>
      <c r="I48" s="22">
        <f>IF(F48="","",G48/F48)</f>
        <v/>
      </c>
      <c r="J48" s="15" t="n"/>
      <c r="K48" s="15" t="n"/>
      <c r="L48" s="14" t="n"/>
    </row>
    <row r="49" ht="22" customHeight="1">
      <c r="B49" s="16">
        <f>IF(C49="","SBG-"&amp;TEXT(COUNTA($C$5:C49),"000"))</f>
        <v/>
      </c>
      <c r="C49" s="12" t="n"/>
      <c r="D49" s="12" t="n"/>
      <c r="E49" s="12" t="n"/>
      <c r="F49" s="13" t="n"/>
      <c r="G49" s="13" t="n"/>
      <c r="H49" s="13">
        <f>G49-F49</f>
        <v/>
      </c>
      <c r="I49" s="21">
        <f>IF(F49="","",G49/F49)</f>
        <v/>
      </c>
      <c r="J49" s="13" t="n"/>
      <c r="K49" s="13" t="n"/>
      <c r="L49" s="12" t="n"/>
    </row>
    <row r="50" ht="22" customHeight="1">
      <c r="B50" s="17">
        <f>IF(C50="","SBG-"&amp;TEXT(COUNTA($C$5:C50),"000"))</f>
        <v/>
      </c>
      <c r="C50" s="14" t="n"/>
      <c r="D50" s="14" t="n"/>
      <c r="E50" s="14" t="n"/>
      <c r="F50" s="15" t="n"/>
      <c r="G50" s="15" t="n"/>
      <c r="H50" s="15">
        <f>G50-F50</f>
        <v/>
      </c>
      <c r="I50" s="22">
        <f>IF(F50="","",G50/F50)</f>
        <v/>
      </c>
      <c r="J50" s="15" t="n"/>
      <c r="K50" s="15" t="n"/>
      <c r="L50" s="14" t="n"/>
    </row>
    <row r="51" ht="22" customHeight="1">
      <c r="B51" s="16">
        <f>IF(C51="","SBG-"&amp;TEXT(COUNTA($C$5:C51),"000"))</f>
        <v/>
      </c>
      <c r="C51" s="12" t="n"/>
      <c r="D51" s="12" t="n"/>
      <c r="E51" s="12" t="n"/>
      <c r="F51" s="13" t="n"/>
      <c r="G51" s="13" t="n"/>
      <c r="H51" s="13">
        <f>G51-F51</f>
        <v/>
      </c>
      <c r="I51" s="21">
        <f>IF(F51="","",G51/F51)</f>
        <v/>
      </c>
      <c r="J51" s="13" t="n"/>
      <c r="K51" s="13" t="n"/>
      <c r="L51" s="12" t="n"/>
    </row>
    <row r="52" ht="22" customHeight="1">
      <c r="B52" s="17">
        <f>IF(C52="","SBG-"&amp;TEXT(COUNTA($C$5:C52),"000"))</f>
        <v/>
      </c>
      <c r="C52" s="14" t="n"/>
      <c r="D52" s="14" t="n"/>
      <c r="E52" s="14" t="n"/>
      <c r="F52" s="15" t="n"/>
      <c r="G52" s="15" t="n"/>
      <c r="H52" s="15">
        <f>G52-F52</f>
        <v/>
      </c>
      <c r="I52" s="22">
        <f>IF(F52="","",G52/F52)</f>
        <v/>
      </c>
      <c r="J52" s="15" t="n"/>
      <c r="K52" s="15" t="n"/>
      <c r="L52" s="14" t="n"/>
    </row>
    <row r="53" ht="22" customHeight="1">
      <c r="B53" s="16">
        <f>IF(C53="","SBG-"&amp;TEXT(COUNTA($C$5:C53),"000"))</f>
        <v/>
      </c>
      <c r="C53" s="12" t="n"/>
      <c r="D53" s="12" t="n"/>
      <c r="E53" s="12" t="n"/>
      <c r="F53" s="13" t="n"/>
      <c r="G53" s="13" t="n"/>
      <c r="H53" s="13">
        <f>G53-F53</f>
        <v/>
      </c>
      <c r="I53" s="21">
        <f>IF(F53="","",G53/F53)</f>
        <v/>
      </c>
      <c r="J53" s="13" t="n"/>
      <c r="K53" s="13" t="n"/>
      <c r="L53" s="12" t="n"/>
    </row>
    <row r="54" ht="22" customHeight="1">
      <c r="B54" s="17">
        <f>IF(C54="","SBG-"&amp;TEXT(COUNTA($C$5:C54),"000"))</f>
        <v/>
      </c>
      <c r="C54" s="14" t="n"/>
      <c r="D54" s="14" t="n"/>
      <c r="E54" s="14" t="n"/>
      <c r="F54" s="15" t="n"/>
      <c r="G54" s="15" t="n"/>
      <c r="H54" s="15">
        <f>G54-F54</f>
        <v/>
      </c>
      <c r="I54" s="22">
        <f>IF(F54="","",G54/F54)</f>
        <v/>
      </c>
      <c r="J54" s="15" t="n"/>
      <c r="K54" s="15" t="n"/>
      <c r="L54" s="14" t="n"/>
    </row>
    <row r="55" ht="22" customHeight="1">
      <c r="B55" s="16">
        <f>IF(C55="","SBG-"&amp;TEXT(COUNTA($C$5:C55),"000"))</f>
        <v/>
      </c>
      <c r="C55" s="12" t="n"/>
      <c r="D55" s="12" t="n"/>
      <c r="E55" s="12" t="n"/>
      <c r="F55" s="13" t="n"/>
      <c r="G55" s="13" t="n"/>
      <c r="H55" s="13">
        <f>G55-F55</f>
        <v/>
      </c>
      <c r="I55" s="21">
        <f>IF(F55="","",G55/F55)</f>
        <v/>
      </c>
      <c r="J55" s="13" t="n"/>
      <c r="K55" s="13" t="n"/>
      <c r="L55" s="12" t="n"/>
    </row>
    <row r="56" ht="22" customHeight="1">
      <c r="B56" s="17">
        <f>IF(C56="","SBG-"&amp;TEXT(COUNTA($C$5:C56),"000"))</f>
        <v/>
      </c>
      <c r="C56" s="14" t="n"/>
      <c r="D56" s="14" t="n"/>
      <c r="E56" s="14" t="n"/>
      <c r="F56" s="15" t="n"/>
      <c r="G56" s="15" t="n"/>
      <c r="H56" s="15">
        <f>G56-F56</f>
        <v/>
      </c>
      <c r="I56" s="22">
        <f>IF(F56="","",G56/F56)</f>
        <v/>
      </c>
      <c r="J56" s="15" t="n"/>
      <c r="K56" s="15" t="n"/>
      <c r="L56" s="14" t="n"/>
    </row>
    <row r="57" ht="22" customHeight="1">
      <c r="B57" s="16">
        <f>IF(C57="","SBG-"&amp;TEXT(COUNTA($C$5:C57),"000"))</f>
        <v/>
      </c>
      <c r="C57" s="12" t="n"/>
      <c r="D57" s="12" t="n"/>
      <c r="E57" s="12" t="n"/>
      <c r="F57" s="13" t="n"/>
      <c r="G57" s="13" t="n"/>
      <c r="H57" s="13">
        <f>G57-F57</f>
        <v/>
      </c>
      <c r="I57" s="21">
        <f>IF(F57="","",G57/F57)</f>
        <v/>
      </c>
      <c r="J57" s="13" t="n"/>
      <c r="K57" s="13" t="n"/>
      <c r="L57" s="12" t="n"/>
    </row>
    <row r="58" ht="22" customHeight="1">
      <c r="B58" s="17">
        <f>IF(C58="","SBG-"&amp;TEXT(COUNTA($C$5:C58),"000"))</f>
        <v/>
      </c>
      <c r="C58" s="14" t="n"/>
      <c r="D58" s="14" t="n"/>
      <c r="E58" s="14" t="n"/>
      <c r="F58" s="15" t="n"/>
      <c r="G58" s="15" t="n"/>
      <c r="H58" s="15">
        <f>G58-F58</f>
        <v/>
      </c>
      <c r="I58" s="22">
        <f>IF(F58="","",G58/F58)</f>
        <v/>
      </c>
      <c r="J58" s="15" t="n"/>
      <c r="K58" s="15" t="n"/>
      <c r="L58" s="14" t="n"/>
    </row>
    <row r="59" ht="22" customHeight="1">
      <c r="B59" s="16">
        <f>IF(C59="","SBG-"&amp;TEXT(COUNTA($C$5:C59),"000"))</f>
        <v/>
      </c>
      <c r="C59" s="12" t="n"/>
      <c r="D59" s="12" t="n"/>
      <c r="E59" s="12" t="n"/>
      <c r="F59" s="13" t="n"/>
      <c r="G59" s="13" t="n"/>
      <c r="H59" s="13">
        <f>G59-F59</f>
        <v/>
      </c>
      <c r="I59" s="21">
        <f>IF(F59="","",G59/F59)</f>
        <v/>
      </c>
      <c r="J59" s="13" t="n"/>
      <c r="K59" s="13" t="n"/>
      <c r="L59" s="12" t="n"/>
    </row>
    <row r="60" ht="22" customHeight="1">
      <c r="B60" s="17">
        <f>IF(C60="","SBG-"&amp;TEXT(COUNTA($C$5:C60),"000"))</f>
        <v/>
      </c>
      <c r="C60" s="14" t="n"/>
      <c r="D60" s="14" t="n"/>
      <c r="E60" s="14" t="n"/>
      <c r="F60" s="15" t="n"/>
      <c r="G60" s="15" t="n"/>
      <c r="H60" s="15">
        <f>G60-F60</f>
        <v/>
      </c>
      <c r="I60" s="22">
        <f>IF(F60="","",G60/F60)</f>
        <v/>
      </c>
      <c r="J60" s="15" t="n"/>
      <c r="K60" s="15" t="n"/>
      <c r="L60" s="14" t="n"/>
    </row>
    <row r="61" ht="22" customHeight="1">
      <c r="B61" s="16">
        <f>IF(C61="","SBG-"&amp;TEXT(COUNTA($C$5:C61),"000"))</f>
        <v/>
      </c>
      <c r="C61" s="12" t="n"/>
      <c r="D61" s="12" t="n"/>
      <c r="E61" s="12" t="n"/>
      <c r="F61" s="13" t="n"/>
      <c r="G61" s="13" t="n"/>
      <c r="H61" s="13">
        <f>G61-F61</f>
        <v/>
      </c>
      <c r="I61" s="21">
        <f>IF(F61="","",G61/F61)</f>
        <v/>
      </c>
      <c r="J61" s="13" t="n"/>
      <c r="K61" s="13" t="n"/>
      <c r="L61" s="12" t="n"/>
    </row>
    <row r="62" ht="22" customHeight="1">
      <c r="B62" s="17">
        <f>IF(C62="","SBG-"&amp;TEXT(COUNTA($C$5:C62),"000"))</f>
        <v/>
      </c>
      <c r="C62" s="14" t="n"/>
      <c r="D62" s="14" t="n"/>
      <c r="E62" s="14" t="n"/>
      <c r="F62" s="15" t="n"/>
      <c r="G62" s="15" t="n"/>
      <c r="H62" s="15">
        <f>G62-F62</f>
        <v/>
      </c>
      <c r="I62" s="22">
        <f>IF(F62="","",G62/F62)</f>
        <v/>
      </c>
      <c r="J62" s="15" t="n"/>
      <c r="K62" s="15" t="n"/>
      <c r="L62" s="14" t="n"/>
    </row>
    <row r="63" ht="22" customHeight="1">
      <c r="B63" s="16">
        <f>IF(C63="","SBG-"&amp;TEXT(COUNTA($C$5:C63),"000"))</f>
        <v/>
      </c>
      <c r="C63" s="12" t="n"/>
      <c r="D63" s="12" t="n"/>
      <c r="E63" s="12" t="n"/>
      <c r="F63" s="13" t="n"/>
      <c r="G63" s="13" t="n"/>
      <c r="H63" s="13">
        <f>G63-F63</f>
        <v/>
      </c>
      <c r="I63" s="21">
        <f>IF(F63="","",G63/F63)</f>
        <v/>
      </c>
      <c r="J63" s="13" t="n"/>
      <c r="K63" s="13" t="n"/>
      <c r="L63" s="12" t="n"/>
    </row>
    <row r="64" ht="22" customHeight="1">
      <c r="B64" s="17">
        <f>IF(C64="","SBG-"&amp;TEXT(COUNTA($C$5:C64),"000"))</f>
        <v/>
      </c>
      <c r="C64" s="14" t="n"/>
      <c r="D64" s="14" t="n"/>
      <c r="E64" s="14" t="n"/>
      <c r="F64" s="15" t="n"/>
      <c r="G64" s="15" t="n"/>
      <c r="H64" s="15">
        <f>G64-F64</f>
        <v/>
      </c>
      <c r="I64" s="22">
        <f>IF(F64="","",G64/F64)</f>
        <v/>
      </c>
      <c r="J64" s="15" t="n"/>
      <c r="K64" s="15" t="n"/>
      <c r="L64" s="14" t="n"/>
    </row>
    <row r="65" ht="22" customHeight="1">
      <c r="B65" s="16">
        <f>IF(C65="","SBG-"&amp;TEXT(COUNTA($C$5:C65),"000"))</f>
        <v/>
      </c>
      <c r="C65" s="12" t="n"/>
      <c r="D65" s="12" t="n"/>
      <c r="E65" s="12" t="n"/>
      <c r="F65" s="13" t="n"/>
      <c r="G65" s="13" t="n"/>
      <c r="H65" s="13">
        <f>G65-F65</f>
        <v/>
      </c>
      <c r="I65" s="21">
        <f>IF(F65="","",G65/F65)</f>
        <v/>
      </c>
      <c r="J65" s="13" t="n"/>
      <c r="K65" s="13" t="n"/>
      <c r="L65" s="12" t="n"/>
    </row>
    <row r="66" ht="22" customHeight="1">
      <c r="B66" s="17">
        <f>IF(C66="","SBG-"&amp;TEXT(COUNTA($C$5:C66),"000"))</f>
        <v/>
      </c>
      <c r="C66" s="14" t="n"/>
      <c r="D66" s="14" t="n"/>
      <c r="E66" s="14" t="n"/>
      <c r="F66" s="15" t="n"/>
      <c r="G66" s="15" t="n"/>
      <c r="H66" s="15">
        <f>G66-F66</f>
        <v/>
      </c>
      <c r="I66" s="22">
        <f>IF(F66="","",G66/F66)</f>
        <v/>
      </c>
      <c r="J66" s="15" t="n"/>
      <c r="K66" s="15" t="n"/>
      <c r="L66" s="14" t="n"/>
    </row>
    <row r="67" ht="22" customHeight="1">
      <c r="B67" s="16">
        <f>IF(C67="","SBG-"&amp;TEXT(COUNTA($C$5:C67),"000"))</f>
        <v/>
      </c>
      <c r="C67" s="12" t="n"/>
      <c r="D67" s="12" t="n"/>
      <c r="E67" s="12" t="n"/>
      <c r="F67" s="13" t="n"/>
      <c r="G67" s="13" t="n"/>
      <c r="H67" s="13">
        <f>G67-F67</f>
        <v/>
      </c>
      <c r="I67" s="21">
        <f>IF(F67="","",G67/F67)</f>
        <v/>
      </c>
      <c r="J67" s="13" t="n"/>
      <c r="K67" s="13" t="n"/>
      <c r="L67" s="12" t="n"/>
    </row>
    <row r="68" ht="22" customHeight="1">
      <c r="B68" s="17">
        <f>IF(C68="","SBG-"&amp;TEXT(COUNTA($C$5:C68),"000"))</f>
        <v/>
      </c>
      <c r="C68" s="14" t="n"/>
      <c r="D68" s="14" t="n"/>
      <c r="E68" s="14" t="n"/>
      <c r="F68" s="15" t="n"/>
      <c r="G68" s="15" t="n"/>
      <c r="H68" s="15">
        <f>G68-F68</f>
        <v/>
      </c>
      <c r="I68" s="22">
        <f>IF(F68="","",G68/F68)</f>
        <v/>
      </c>
      <c r="J68" s="15" t="n"/>
      <c r="K68" s="15" t="n"/>
      <c r="L68" s="14" t="n"/>
    </row>
    <row r="69" ht="22" customHeight="1">
      <c r="B69" s="16">
        <f>IF(C69="","SBG-"&amp;TEXT(COUNTA($C$5:C69),"000"))</f>
        <v/>
      </c>
      <c r="C69" s="12" t="n"/>
      <c r="D69" s="12" t="n"/>
      <c r="E69" s="12" t="n"/>
      <c r="F69" s="13" t="n"/>
      <c r="G69" s="13" t="n"/>
      <c r="H69" s="13">
        <f>G69-F69</f>
        <v/>
      </c>
      <c r="I69" s="21">
        <f>IF(F69="","",G69/F69)</f>
        <v/>
      </c>
      <c r="J69" s="13" t="n"/>
      <c r="K69" s="13" t="n"/>
      <c r="L69" s="12" t="n"/>
    </row>
    <row r="70" ht="22" customHeight="1">
      <c r="B70" s="17">
        <f>IF(C70="","SBG-"&amp;TEXT(COUNTA($C$5:C70),"000"))</f>
        <v/>
      </c>
      <c r="C70" s="14" t="n"/>
      <c r="D70" s="14" t="n"/>
      <c r="E70" s="14" t="n"/>
      <c r="F70" s="15" t="n"/>
      <c r="G70" s="15" t="n"/>
      <c r="H70" s="15">
        <f>G70-F70</f>
        <v/>
      </c>
      <c r="I70" s="22">
        <f>IF(F70="","",G70/F70)</f>
        <v/>
      </c>
      <c r="J70" s="15" t="n"/>
      <c r="K70" s="15" t="n"/>
      <c r="L70" s="14" t="n"/>
    </row>
    <row r="71" ht="22" customHeight="1">
      <c r="B71" s="16">
        <f>IF(C71="","SBG-"&amp;TEXT(COUNTA($C$5:C71),"000"))</f>
        <v/>
      </c>
      <c r="C71" s="12" t="n"/>
      <c r="D71" s="12" t="n"/>
      <c r="E71" s="12" t="n"/>
      <c r="F71" s="13" t="n"/>
      <c r="G71" s="13" t="n"/>
      <c r="H71" s="13">
        <f>G71-F71</f>
        <v/>
      </c>
      <c r="I71" s="21">
        <f>IF(F71="","",G71/F71)</f>
        <v/>
      </c>
      <c r="J71" s="13" t="n"/>
      <c r="K71" s="13" t="n"/>
      <c r="L71" s="12" t="n"/>
    </row>
    <row r="72" ht="22" customHeight="1">
      <c r="B72" s="17">
        <f>IF(C72="","SBG-"&amp;TEXT(COUNTA($C$5:C72),"000"))</f>
        <v/>
      </c>
      <c r="C72" s="14" t="n"/>
      <c r="D72" s="14" t="n"/>
      <c r="E72" s="14" t="n"/>
      <c r="F72" s="15" t="n"/>
      <c r="G72" s="15" t="n"/>
      <c r="H72" s="15">
        <f>G72-F72</f>
        <v/>
      </c>
      <c r="I72" s="22">
        <f>IF(F72="","",G72/F72)</f>
        <v/>
      </c>
      <c r="J72" s="15" t="n"/>
      <c r="K72" s="15" t="n"/>
      <c r="L72" s="14" t="n"/>
    </row>
    <row r="73" ht="22" customHeight="1">
      <c r="B73" s="16">
        <f>IF(C73="","SBG-"&amp;TEXT(COUNTA($C$5:C73),"000"))</f>
        <v/>
      </c>
      <c r="C73" s="12" t="n"/>
      <c r="D73" s="12" t="n"/>
      <c r="E73" s="12" t="n"/>
      <c r="F73" s="13" t="n"/>
      <c r="G73" s="13" t="n"/>
      <c r="H73" s="13">
        <f>G73-F73</f>
        <v/>
      </c>
      <c r="I73" s="21">
        <f>IF(F73="","",G73/F73)</f>
        <v/>
      </c>
      <c r="J73" s="13" t="n"/>
      <c r="K73" s="13" t="n"/>
      <c r="L73" s="12" t="n"/>
    </row>
    <row r="74" ht="22" customHeight="1">
      <c r="B74" s="17">
        <f>IF(C74="","SBG-"&amp;TEXT(COUNTA($C$5:C74),"000"))</f>
        <v/>
      </c>
      <c r="C74" s="14" t="n"/>
      <c r="D74" s="14" t="n"/>
      <c r="E74" s="14" t="n"/>
      <c r="F74" s="15" t="n"/>
      <c r="G74" s="15" t="n"/>
      <c r="H74" s="15">
        <f>G74-F74</f>
        <v/>
      </c>
      <c r="I74" s="22">
        <f>IF(F74="","",G74/F74)</f>
        <v/>
      </c>
      <c r="J74" s="15" t="n"/>
      <c r="K74" s="15" t="n"/>
      <c r="L74" s="14" t="n"/>
    </row>
    <row r="75" ht="22" customHeight="1">
      <c r="B75" s="16">
        <f>IF(C75="","SBG-"&amp;TEXT(COUNTA($C$5:C75),"000"))</f>
        <v/>
      </c>
      <c r="C75" s="12" t="n"/>
      <c r="D75" s="12" t="n"/>
      <c r="E75" s="12" t="n"/>
      <c r="F75" s="13" t="n"/>
      <c r="G75" s="13" t="n"/>
      <c r="H75" s="13">
        <f>G75-F75</f>
        <v/>
      </c>
      <c r="I75" s="21">
        <f>IF(F75="","",G75/F75)</f>
        <v/>
      </c>
      <c r="J75" s="13" t="n"/>
      <c r="K75" s="13" t="n"/>
      <c r="L75" s="12" t="n"/>
    </row>
    <row r="76" ht="22" customHeight="1">
      <c r="B76" s="17">
        <f>IF(C76="","SBG-"&amp;TEXT(COUNTA($C$5:C76),"000"))</f>
        <v/>
      </c>
      <c r="C76" s="14" t="n"/>
      <c r="D76" s="14" t="n"/>
      <c r="E76" s="14" t="n"/>
      <c r="F76" s="15" t="n"/>
      <c r="G76" s="15" t="n"/>
      <c r="H76" s="15">
        <f>G76-F76</f>
        <v/>
      </c>
      <c r="I76" s="22">
        <f>IF(F76="","",G76/F76)</f>
        <v/>
      </c>
      <c r="J76" s="15" t="n"/>
      <c r="K76" s="15" t="n"/>
      <c r="L76" s="14" t="n"/>
    </row>
    <row r="77" ht="22" customHeight="1">
      <c r="B77" s="16">
        <f>IF(C77="","SBG-"&amp;TEXT(COUNTA($C$5:C77),"000"))</f>
        <v/>
      </c>
      <c r="C77" s="12" t="n"/>
      <c r="D77" s="12" t="n"/>
      <c r="E77" s="12" t="n"/>
      <c r="F77" s="13" t="n"/>
      <c r="G77" s="13" t="n"/>
      <c r="H77" s="13">
        <f>G77-F77</f>
        <v/>
      </c>
      <c r="I77" s="21">
        <f>IF(F77="","",G77/F77)</f>
        <v/>
      </c>
      <c r="J77" s="13" t="n"/>
      <c r="K77" s="13" t="n"/>
      <c r="L77" s="12" t="n"/>
    </row>
    <row r="78" ht="22" customHeight="1">
      <c r="B78" s="17">
        <f>IF(C78="","SBG-"&amp;TEXT(COUNTA($C$5:C78),"000"))</f>
        <v/>
      </c>
      <c r="C78" s="14" t="n"/>
      <c r="D78" s="14" t="n"/>
      <c r="E78" s="14" t="n"/>
      <c r="F78" s="15" t="n"/>
      <c r="G78" s="15" t="n"/>
      <c r="H78" s="15">
        <f>G78-F78</f>
        <v/>
      </c>
      <c r="I78" s="22">
        <f>IF(F78="","",G78/F78)</f>
        <v/>
      </c>
      <c r="J78" s="15" t="n"/>
      <c r="K78" s="15" t="n"/>
      <c r="L78" s="14" t="n"/>
    </row>
    <row r="79" ht="22" customHeight="1">
      <c r="B79" s="16">
        <f>IF(C79="","SBG-"&amp;TEXT(COUNTA($C$5:C79),"000"))</f>
        <v/>
      </c>
      <c r="C79" s="12" t="n"/>
      <c r="D79" s="12" t="n"/>
      <c r="E79" s="12" t="n"/>
      <c r="F79" s="13" t="n"/>
      <c r="G79" s="13" t="n"/>
      <c r="H79" s="13">
        <f>G79-F79</f>
        <v/>
      </c>
      <c r="I79" s="21">
        <f>IF(F79="","",G79/F79)</f>
        <v/>
      </c>
      <c r="J79" s="13" t="n"/>
      <c r="K79" s="13" t="n"/>
      <c r="L79" s="12" t="n"/>
    </row>
    <row r="80" ht="22" customHeight="1">
      <c r="B80" s="17">
        <f>IF(C80="","SBG-"&amp;TEXT(COUNTA($C$5:C80),"000"))</f>
        <v/>
      </c>
      <c r="C80" s="14" t="n"/>
      <c r="D80" s="14" t="n"/>
      <c r="E80" s="14" t="n"/>
      <c r="F80" s="15" t="n"/>
      <c r="G80" s="15" t="n"/>
      <c r="H80" s="15">
        <f>G80-F80</f>
        <v/>
      </c>
      <c r="I80" s="22">
        <f>IF(F80="","",G80/F80)</f>
        <v/>
      </c>
      <c r="J80" s="15" t="n"/>
      <c r="K80" s="15" t="n"/>
      <c r="L80" s="14" t="n"/>
    </row>
    <row r="81" ht="22" customHeight="1">
      <c r="B81" s="16">
        <f>IF(C81="","SBG-"&amp;TEXT(COUNTA($C$5:C81),"000"))</f>
        <v/>
      </c>
      <c r="C81" s="12" t="n"/>
      <c r="D81" s="12" t="n"/>
      <c r="E81" s="12" t="n"/>
      <c r="F81" s="13" t="n"/>
      <c r="G81" s="13" t="n"/>
      <c r="H81" s="13">
        <f>G81-F81</f>
        <v/>
      </c>
      <c r="I81" s="21">
        <f>IF(F81="","",G81/F81)</f>
        <v/>
      </c>
      <c r="J81" s="13" t="n"/>
      <c r="K81" s="13" t="n"/>
      <c r="L81" s="12" t="n"/>
    </row>
    <row r="82" ht="22" customHeight="1">
      <c r="B82" s="17">
        <f>IF(C82="","SBG-"&amp;TEXT(COUNTA($C$5:C82),"000"))</f>
        <v/>
      </c>
      <c r="C82" s="14" t="n"/>
      <c r="D82" s="14" t="n"/>
      <c r="E82" s="14" t="n"/>
      <c r="F82" s="15" t="n"/>
      <c r="G82" s="15" t="n"/>
      <c r="H82" s="15">
        <f>G82-F82</f>
        <v/>
      </c>
      <c r="I82" s="22">
        <f>IF(F82="","",G82/F82)</f>
        <v/>
      </c>
      <c r="J82" s="15" t="n"/>
      <c r="K82" s="15" t="n"/>
      <c r="L82" s="14" t="n"/>
    </row>
    <row r="83" ht="22" customHeight="1">
      <c r="B83" s="16">
        <f>IF(C83="","SBG-"&amp;TEXT(COUNTA($C$5:C83),"000"))</f>
        <v/>
      </c>
      <c r="C83" s="12" t="n"/>
      <c r="D83" s="12" t="n"/>
      <c r="E83" s="12" t="n"/>
      <c r="F83" s="13" t="n"/>
      <c r="G83" s="13" t="n"/>
      <c r="H83" s="13">
        <f>G83-F83</f>
        <v/>
      </c>
      <c r="I83" s="21">
        <f>IF(F83="","",G83/F83)</f>
        <v/>
      </c>
      <c r="J83" s="13" t="n"/>
      <c r="K83" s="13" t="n"/>
      <c r="L83" s="12" t="n"/>
    </row>
    <row r="84" ht="22" customHeight="1">
      <c r="B84" s="17">
        <f>IF(C84="","SBG-"&amp;TEXT(COUNTA($C$5:C84),"000"))</f>
        <v/>
      </c>
      <c r="C84" s="14" t="n"/>
      <c r="D84" s="14" t="n"/>
      <c r="E84" s="14" t="n"/>
      <c r="F84" s="15" t="n"/>
      <c r="G84" s="15" t="n"/>
      <c r="H84" s="15">
        <f>G84-F84</f>
        <v/>
      </c>
      <c r="I84" s="22">
        <f>IF(F84="","",G84/F84)</f>
        <v/>
      </c>
      <c r="J84" s="15" t="n"/>
      <c r="K84" s="15" t="n"/>
      <c r="L84" s="14" t="n"/>
    </row>
    <row r="85" ht="22" customHeight="1">
      <c r="B85" s="16">
        <f>IF(C85="","SBG-"&amp;TEXT(COUNTA($C$5:C85),"000"))</f>
        <v/>
      </c>
      <c r="C85" s="12" t="n"/>
      <c r="D85" s="12" t="n"/>
      <c r="E85" s="12" t="n"/>
      <c r="F85" s="13" t="n"/>
      <c r="G85" s="13" t="n"/>
      <c r="H85" s="13">
        <f>G85-F85</f>
        <v/>
      </c>
      <c r="I85" s="21">
        <f>IF(F85="","",G85/F85)</f>
        <v/>
      </c>
      <c r="J85" s="13" t="n"/>
      <c r="K85" s="13" t="n"/>
      <c r="L85" s="12" t="n"/>
    </row>
    <row r="86" ht="22" customHeight="1">
      <c r="B86" s="17">
        <f>IF(C86="","SBG-"&amp;TEXT(COUNTA($C$5:C86),"000"))</f>
        <v/>
      </c>
      <c r="C86" s="14" t="n"/>
      <c r="D86" s="14" t="n"/>
      <c r="E86" s="14" t="n"/>
      <c r="F86" s="15" t="n"/>
      <c r="G86" s="15" t="n"/>
      <c r="H86" s="15">
        <f>G86-F86</f>
        <v/>
      </c>
      <c r="I86" s="22">
        <f>IF(F86="","",G86/F86)</f>
        <v/>
      </c>
      <c r="J86" s="15" t="n"/>
      <c r="K86" s="15" t="n"/>
      <c r="L86" s="14" t="n"/>
    </row>
    <row r="87" ht="22" customHeight="1">
      <c r="B87" s="16">
        <f>IF(C87="","SBG-"&amp;TEXT(COUNTA($C$5:C87),"000"))</f>
        <v/>
      </c>
      <c r="C87" s="12" t="n"/>
      <c r="D87" s="12" t="n"/>
      <c r="E87" s="12" t="n"/>
      <c r="F87" s="13" t="n"/>
      <c r="G87" s="13" t="n"/>
      <c r="H87" s="13">
        <f>G87-F87</f>
        <v/>
      </c>
      <c r="I87" s="21">
        <f>IF(F87="","",G87/F87)</f>
        <v/>
      </c>
      <c r="J87" s="13" t="n"/>
      <c r="K87" s="13" t="n"/>
      <c r="L87" s="12" t="n"/>
    </row>
    <row r="88" ht="22" customHeight="1">
      <c r="B88" s="17">
        <f>IF(C88="","SBG-"&amp;TEXT(COUNTA($C$5:C88),"000"))</f>
        <v/>
      </c>
      <c r="C88" s="14" t="n"/>
      <c r="D88" s="14" t="n"/>
      <c r="E88" s="14" t="n"/>
      <c r="F88" s="15" t="n"/>
      <c r="G88" s="15" t="n"/>
      <c r="H88" s="15">
        <f>G88-F88</f>
        <v/>
      </c>
      <c r="I88" s="22">
        <f>IF(F88="","",G88/F88)</f>
        <v/>
      </c>
      <c r="J88" s="15" t="n"/>
      <c r="K88" s="15" t="n"/>
      <c r="L88" s="14" t="n"/>
    </row>
    <row r="89" ht="22" customHeight="1">
      <c r="B89" s="16">
        <f>IF(C89="","SBG-"&amp;TEXT(COUNTA($C$5:C89),"000"))</f>
        <v/>
      </c>
      <c r="C89" s="12" t="n"/>
      <c r="D89" s="12" t="n"/>
      <c r="E89" s="12" t="n"/>
      <c r="F89" s="13" t="n"/>
      <c r="G89" s="13" t="n"/>
      <c r="H89" s="13">
        <f>G89-F89</f>
        <v/>
      </c>
      <c r="I89" s="21">
        <f>IF(F89="","",G89/F89)</f>
        <v/>
      </c>
      <c r="J89" s="13" t="n"/>
      <c r="K89" s="13" t="n"/>
      <c r="L89" s="12" t="n"/>
    </row>
    <row r="90" ht="22" customHeight="1">
      <c r="B90" s="17">
        <f>IF(C90="","SBG-"&amp;TEXT(COUNTA($C$5:C90),"000"))</f>
        <v/>
      </c>
      <c r="C90" s="14" t="n"/>
      <c r="D90" s="14" t="n"/>
      <c r="E90" s="14" t="n"/>
      <c r="F90" s="15" t="n"/>
      <c r="G90" s="15" t="n"/>
      <c r="H90" s="15">
        <f>G90-F90</f>
        <v/>
      </c>
      <c r="I90" s="22">
        <f>IF(F90="","",G90/F90)</f>
        <v/>
      </c>
      <c r="J90" s="15" t="n"/>
      <c r="K90" s="15" t="n"/>
      <c r="L90" s="14" t="n"/>
    </row>
    <row r="91" ht="22" customHeight="1">
      <c r="B91" s="16">
        <f>IF(C91="","SBG-"&amp;TEXT(COUNTA($C$5:C91),"000"))</f>
        <v/>
      </c>
      <c r="C91" s="12" t="n"/>
      <c r="D91" s="12" t="n"/>
      <c r="E91" s="12" t="n"/>
      <c r="F91" s="13" t="n"/>
      <c r="G91" s="13" t="n"/>
      <c r="H91" s="13">
        <f>G91-F91</f>
        <v/>
      </c>
      <c r="I91" s="21">
        <f>IF(F91="","",G91/F91)</f>
        <v/>
      </c>
      <c r="J91" s="13" t="n"/>
      <c r="K91" s="13" t="n"/>
      <c r="L91" s="12" t="n"/>
    </row>
    <row r="92" ht="22" customHeight="1">
      <c r="B92" s="17">
        <f>IF(C92="","SBG-"&amp;TEXT(COUNTA($C$5:C92),"000"))</f>
        <v/>
      </c>
      <c r="C92" s="14" t="n"/>
      <c r="D92" s="14" t="n"/>
      <c r="E92" s="14" t="n"/>
      <c r="F92" s="15" t="n"/>
      <c r="G92" s="15" t="n"/>
      <c r="H92" s="15">
        <f>G92-F92</f>
        <v/>
      </c>
      <c r="I92" s="22">
        <f>IF(F92="","",G92/F92)</f>
        <v/>
      </c>
      <c r="J92" s="15" t="n"/>
      <c r="K92" s="15" t="n"/>
      <c r="L92" s="14" t="n"/>
    </row>
    <row r="93" ht="22" customHeight="1">
      <c r="B93" s="16">
        <f>IF(C93="","SBG-"&amp;TEXT(COUNTA($C$5:C93),"000"))</f>
        <v/>
      </c>
      <c r="C93" s="12" t="n"/>
      <c r="D93" s="12" t="n"/>
      <c r="E93" s="12" t="n"/>
      <c r="F93" s="13" t="n"/>
      <c r="G93" s="13" t="n"/>
      <c r="H93" s="13">
        <f>G93-F93</f>
        <v/>
      </c>
      <c r="I93" s="21">
        <f>IF(F93="","",G93/F93)</f>
        <v/>
      </c>
      <c r="J93" s="13" t="n"/>
      <c r="K93" s="13" t="n"/>
      <c r="L93" s="12" t="n"/>
    </row>
    <row r="94" ht="22" customHeight="1">
      <c r="B94" s="17">
        <f>IF(C94="","SBG-"&amp;TEXT(COUNTA($C$5:C94),"000"))</f>
        <v/>
      </c>
      <c r="C94" s="14" t="n"/>
      <c r="D94" s="14" t="n"/>
      <c r="E94" s="14" t="n"/>
      <c r="F94" s="15" t="n"/>
      <c r="G94" s="15" t="n"/>
      <c r="H94" s="15">
        <f>G94-F94</f>
        <v/>
      </c>
      <c r="I94" s="22">
        <f>IF(F94="","",G94/F94)</f>
        <v/>
      </c>
      <c r="J94" s="15" t="n"/>
      <c r="K94" s="15" t="n"/>
      <c r="L94" s="14" t="n"/>
    </row>
    <row r="95" ht="22" customHeight="1">
      <c r="B95" s="16">
        <f>IF(C95="","SBG-"&amp;TEXT(COUNTA($C$5:C95),"000"))</f>
        <v/>
      </c>
      <c r="C95" s="12" t="n"/>
      <c r="D95" s="12" t="n"/>
      <c r="E95" s="12" t="n"/>
      <c r="F95" s="13" t="n"/>
      <c r="G95" s="13" t="n"/>
      <c r="H95" s="13">
        <f>G95-F95</f>
        <v/>
      </c>
      <c r="I95" s="21">
        <f>IF(F95="","",G95/F95)</f>
        <v/>
      </c>
      <c r="J95" s="13" t="n"/>
      <c r="K95" s="13" t="n"/>
      <c r="L95" s="12" t="n"/>
    </row>
    <row r="96" ht="22" customHeight="1">
      <c r="B96" s="17">
        <f>IF(C96="","SBG-"&amp;TEXT(COUNTA($C$5:C96),"000"))</f>
        <v/>
      </c>
      <c r="C96" s="14" t="n"/>
      <c r="D96" s="14" t="n"/>
      <c r="E96" s="14" t="n"/>
      <c r="F96" s="15" t="n"/>
      <c r="G96" s="15" t="n"/>
      <c r="H96" s="15">
        <f>G96-F96</f>
        <v/>
      </c>
      <c r="I96" s="22">
        <f>IF(F96="","",G96/F96)</f>
        <v/>
      </c>
      <c r="J96" s="15" t="n"/>
      <c r="K96" s="15" t="n"/>
      <c r="L96" s="14" t="n"/>
    </row>
    <row r="97" ht="22" customHeight="1">
      <c r="B97" s="16">
        <f>IF(C97="","SBG-"&amp;TEXT(COUNTA($C$5:C97),"000"))</f>
        <v/>
      </c>
      <c r="C97" s="12" t="n"/>
      <c r="D97" s="12" t="n"/>
      <c r="E97" s="12" t="n"/>
      <c r="F97" s="13" t="n"/>
      <c r="G97" s="13" t="n"/>
      <c r="H97" s="13">
        <f>G97-F97</f>
        <v/>
      </c>
      <c r="I97" s="21">
        <f>IF(F97="","",G97/F97)</f>
        <v/>
      </c>
      <c r="J97" s="13" t="n"/>
      <c r="K97" s="13" t="n"/>
      <c r="L97" s="12" t="n"/>
    </row>
    <row r="98" ht="22" customHeight="1">
      <c r="B98" s="17">
        <f>IF(C98="","SBG-"&amp;TEXT(COUNTA($C$5:C98),"000"))</f>
        <v/>
      </c>
      <c r="C98" s="14" t="n"/>
      <c r="D98" s="14" t="n"/>
      <c r="E98" s="14" t="n"/>
      <c r="F98" s="15" t="n"/>
      <c r="G98" s="15" t="n"/>
      <c r="H98" s="15">
        <f>G98-F98</f>
        <v/>
      </c>
      <c r="I98" s="22">
        <f>IF(F98="","",G98/F98)</f>
        <v/>
      </c>
      <c r="J98" s="15" t="n"/>
      <c r="K98" s="15" t="n"/>
      <c r="L98" s="14" t="n"/>
    </row>
    <row r="99" ht="22" customHeight="1">
      <c r="B99" s="16">
        <f>IF(C99="","SBG-"&amp;TEXT(COUNTA($C$5:C99),"000"))</f>
        <v/>
      </c>
      <c r="C99" s="12" t="n"/>
      <c r="D99" s="12" t="n"/>
      <c r="E99" s="12" t="n"/>
      <c r="F99" s="13" t="n"/>
      <c r="G99" s="13" t="n"/>
      <c r="H99" s="13">
        <f>G99-F99</f>
        <v/>
      </c>
      <c r="I99" s="21">
        <f>IF(F99="","",G99/F99)</f>
        <v/>
      </c>
      <c r="J99" s="13" t="n"/>
      <c r="K99" s="13" t="n"/>
      <c r="L99" s="12" t="n"/>
    </row>
    <row r="100" ht="22" customHeight="1">
      <c r="B100" s="17">
        <f>IF(C100="","SBG-"&amp;TEXT(COUNTA($C$5:C100),"000"))</f>
        <v/>
      </c>
      <c r="C100" s="14" t="n"/>
      <c r="D100" s="14" t="n"/>
      <c r="E100" s="14" t="n"/>
      <c r="F100" s="15" t="n"/>
      <c r="G100" s="15" t="n"/>
      <c r="H100" s="15">
        <f>G100-F100</f>
        <v/>
      </c>
      <c r="I100" s="22">
        <f>IF(F100="","",G100/F100)</f>
        <v/>
      </c>
      <c r="J100" s="15" t="n"/>
      <c r="K100" s="15" t="n"/>
      <c r="L100" s="14" t="n"/>
    </row>
    <row r="101" ht="22" customHeight="1">
      <c r="B101" s="16">
        <f>IF(C101="","SBG-"&amp;TEXT(COUNTA($C$5:C101),"000"))</f>
        <v/>
      </c>
      <c r="C101" s="12" t="n"/>
      <c r="D101" s="12" t="n"/>
      <c r="E101" s="12" t="n"/>
      <c r="F101" s="13" t="n"/>
      <c r="G101" s="13" t="n"/>
      <c r="H101" s="13">
        <f>G101-F101</f>
        <v/>
      </c>
      <c r="I101" s="21">
        <f>IF(F101="","",G101/F101)</f>
        <v/>
      </c>
      <c r="J101" s="13" t="n"/>
      <c r="K101" s="13" t="n"/>
      <c r="L101" s="12" t="n"/>
    </row>
    <row r="102" ht="22" customHeight="1">
      <c r="B102" s="17">
        <f>IF(C102="","SBG-"&amp;TEXT(COUNTA($C$5:C102),"000"))</f>
        <v/>
      </c>
      <c r="C102" s="14" t="n"/>
      <c r="D102" s="14" t="n"/>
      <c r="E102" s="14" t="n"/>
      <c r="F102" s="15" t="n"/>
      <c r="G102" s="15" t="n"/>
      <c r="H102" s="15">
        <f>G102-F102</f>
        <v/>
      </c>
      <c r="I102" s="22">
        <f>IF(F102="","",G102/F102)</f>
        <v/>
      </c>
      <c r="J102" s="15" t="n"/>
      <c r="K102" s="15" t="n"/>
      <c r="L102" s="14" t="n"/>
    </row>
    <row r="103" ht="22" customHeight="1">
      <c r="B103" s="16">
        <f>IF(C103="","SBG-"&amp;TEXT(COUNTA($C$5:C103),"000"))</f>
        <v/>
      </c>
      <c r="C103" s="12" t="n"/>
      <c r="D103" s="12" t="n"/>
      <c r="E103" s="12" t="n"/>
      <c r="F103" s="13" t="n"/>
      <c r="G103" s="13" t="n"/>
      <c r="H103" s="13">
        <f>G103-F103</f>
        <v/>
      </c>
      <c r="I103" s="21">
        <f>IF(F103="","",G103/F103)</f>
        <v/>
      </c>
      <c r="J103" s="13" t="n"/>
      <c r="K103" s="13" t="n"/>
      <c r="L103" s="12" t="n"/>
    </row>
    <row r="104" ht="22" customHeight="1">
      <c r="B104" s="17">
        <f>IF(C104="","SBG-"&amp;TEXT(COUNTA($C$5:C104),"000"))</f>
        <v/>
      </c>
      <c r="C104" s="14" t="n"/>
      <c r="D104" s="14" t="n"/>
      <c r="E104" s="14" t="n"/>
      <c r="F104" s="15" t="n"/>
      <c r="G104" s="15" t="n"/>
      <c r="H104" s="15">
        <f>G104-F104</f>
        <v/>
      </c>
      <c r="I104" s="22">
        <f>IF(F104="","",G104/F104)</f>
        <v/>
      </c>
      <c r="J104" s="15" t="n"/>
      <c r="K104" s="15" t="n"/>
      <c r="L104" s="14" t="n"/>
    </row>
    <row r="105" ht="22" customHeight="1">
      <c r="B105" s="16">
        <f>IF(C105="","SBG-"&amp;TEXT(COUNTA($C$5:C105),"000"))</f>
        <v/>
      </c>
      <c r="C105" s="12" t="n"/>
      <c r="D105" s="12" t="n"/>
      <c r="E105" s="12" t="n"/>
      <c r="F105" s="13" t="n"/>
      <c r="G105" s="13" t="n"/>
      <c r="H105" s="13">
        <f>G105-F105</f>
        <v/>
      </c>
      <c r="I105" s="21">
        <f>IF(F105="","",G105/F105)</f>
        <v/>
      </c>
      <c r="J105" s="13" t="n"/>
      <c r="K105" s="13" t="n"/>
      <c r="L105" s="12" t="n"/>
    </row>
    <row r="106" ht="22" customHeight="1">
      <c r="B106" s="17">
        <f>IF(C106="","SBG-"&amp;TEXT(COUNTA($C$5:C106),"000"))</f>
        <v/>
      </c>
      <c r="C106" s="14" t="n"/>
      <c r="D106" s="14" t="n"/>
      <c r="E106" s="14" t="n"/>
      <c r="F106" s="15" t="n"/>
      <c r="G106" s="15" t="n"/>
      <c r="H106" s="15">
        <f>G106-F106</f>
        <v/>
      </c>
      <c r="I106" s="22">
        <f>IF(F106="","",G106/F106)</f>
        <v/>
      </c>
      <c r="J106" s="15" t="n"/>
      <c r="K106" s="15" t="n"/>
      <c r="L106" s="14" t="n"/>
    </row>
    <row r="107" ht="22" customHeight="1">
      <c r="B107" s="16">
        <f>IF(C107="","SBG-"&amp;TEXT(COUNTA($C$5:C107),"000"))</f>
        <v/>
      </c>
      <c r="C107" s="12" t="n"/>
      <c r="D107" s="12" t="n"/>
      <c r="E107" s="12" t="n"/>
      <c r="F107" s="13" t="n"/>
      <c r="G107" s="13" t="n"/>
      <c r="H107" s="13">
        <f>G107-F107</f>
        <v/>
      </c>
      <c r="I107" s="21">
        <f>IF(F107="","",G107/F107)</f>
        <v/>
      </c>
      <c r="J107" s="13" t="n"/>
      <c r="K107" s="13" t="n"/>
      <c r="L107" s="12" t="n"/>
    </row>
    <row r="108" ht="22" customHeight="1">
      <c r="B108" s="17">
        <f>IF(C108="","SBG-"&amp;TEXT(COUNTA($C$5:C108),"000"))</f>
        <v/>
      </c>
      <c r="C108" s="14" t="n"/>
      <c r="D108" s="14" t="n"/>
      <c r="E108" s="14" t="n"/>
      <c r="F108" s="15" t="n"/>
      <c r="G108" s="15" t="n"/>
      <c r="H108" s="15">
        <f>G108-F108</f>
        <v/>
      </c>
      <c r="I108" s="22">
        <f>IF(F108="","",G108/F108)</f>
        <v/>
      </c>
      <c r="J108" s="15" t="n"/>
      <c r="K108" s="15" t="n"/>
      <c r="L108" s="14" t="n"/>
    </row>
    <row r="109" ht="22" customHeight="1">
      <c r="B109" s="16">
        <f>IF(C109="","SBG-"&amp;TEXT(COUNTA($C$5:C109),"000"))</f>
        <v/>
      </c>
      <c r="C109" s="12" t="n"/>
      <c r="D109" s="12" t="n"/>
      <c r="E109" s="12" t="n"/>
      <c r="F109" s="13" t="n"/>
      <c r="G109" s="13" t="n"/>
      <c r="H109" s="13">
        <f>G109-F109</f>
        <v/>
      </c>
      <c r="I109" s="21">
        <f>IF(F109="","",G109/F109)</f>
        <v/>
      </c>
      <c r="J109" s="13" t="n"/>
      <c r="K109" s="13" t="n"/>
      <c r="L109" s="12" t="n"/>
    </row>
    <row r="111" ht="26" customHeight="1">
      <c r="B111" s="18" t="inlineStr">
        <is>
          <t>TOTAL</t>
        </is>
      </c>
      <c r="C111" s="19" t="n"/>
      <c r="D111" s="19" t="n"/>
      <c r="E111" s="19" t="n"/>
      <c r="F111" s="20">
        <f>SUM(F5:F104)</f>
        <v/>
      </c>
      <c r="G111" s="20">
        <f>SUM(G5:G104)</f>
        <v/>
      </c>
      <c r="H111" s="20">
        <f>SUM(H5:H104)</f>
        <v/>
      </c>
      <c r="I111" s="19" t="n"/>
      <c r="J111" s="19" t="n"/>
      <c r="K111" s="19" t="n"/>
      <c r="L111" s="19" t="n"/>
    </row>
    <row r="113">
      <c r="B113" s="5" t="inlineStr">
        <is>
          <t>INDICATEURS (mis a jour automatiquement)</t>
        </is>
      </c>
    </row>
    <row r="114">
      <c r="B114" s="3" t="inlineStr">
        <is>
          <t>Lignes suivies</t>
        </is>
      </c>
      <c r="D114" s="3" t="inlineStr">
        <is>
          <t>Budget total</t>
        </is>
      </c>
      <c r="F114" s="3" t="inlineStr">
        <is>
          <t>Ecart total</t>
        </is>
      </c>
      <c r="H114" s="3" t="inlineStr">
        <is>
          <t>Postes depasses</t>
        </is>
      </c>
    </row>
    <row r="115">
      <c r="B115" s="4">
        <f>COUNTIF(B5:B104,"&lt;&gt;")</f>
        <v/>
      </c>
      <c r="D115" s="4">
        <f>SUM(F5:F104)</f>
        <v/>
      </c>
      <c r="F115" s="4">
        <f>SUM(H5:H104)</f>
        <v/>
      </c>
      <c r="H115" s="4">
        <f>COUNTIF(H5:H104,"&gt;"&amp;0)</f>
        <v/>
      </c>
    </row>
  </sheetData>
  <mergeCells count="3">
    <mergeCell ref="B2:L2"/>
    <mergeCell ref="B113:L113"/>
    <mergeCell ref="B3:L3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conditionalFormatting sqref="L10:L109">
    <cfRule type="expression" priority="11" dxfId="0">
      <formula>AND($C10="",$C9&lt;&gt;"")</formula>
    </cfRule>
  </conditionalFormatting>
  <dataValidations count="4">
    <dataValidation sqref="C5:C109" showDropDown="0" showInputMessage="0" showErrorMessage="0" allowBlank="1" errorTitle="Erreur" error="Valeur invalide" promptTitle="Liste" prompt="Choisir dans la liste" type="list">
      <formula1>'_Lists'!$B$2:$B$16</formula1>
    </dataValidation>
    <dataValidation sqref="D5:D109" showDropDown="0" showInputMessage="0" showErrorMessage="0" allowBlank="1" errorTitle="Erreur" error="Valeur invalide" promptTitle="Liste" prompt="Choisir dans la liste" type="list">
      <formula1>'_Lists'!$E$2:$E$13</formula1>
    </dataValidation>
    <dataValidation sqref="E5:E109" showDropDown="0" showInputMessage="0" showErrorMessage="0" allowBlank="1" errorTitle="Erreur" error="Valeur invalide" promptTitle="Liste" prompt="Choisir dans la liste" type="list">
      <formula1>'_Lists'!$F$2:$F$4</formula1>
    </dataValidation>
    <dataValidation sqref="L5:L109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4" customWidth="1" min="4" max="4"/>
    <col width="26" customWidth="1" min="5" max="5"/>
    <col width="20" customWidth="1" min="6" max="6"/>
    <col width="16" customWidth="1" min="7" max="7"/>
    <col width="18" customWidth="1" min="8" max="8"/>
    <col width="18" customWidth="1" min="9" max="9"/>
    <col width="34" customWidth="1" min="10" max="10"/>
    <col width="14" customWidth="1" min="11" max="11"/>
  </cols>
  <sheetData>
    <row r="1" ht="15" customHeight="1"/>
    <row r="2" ht="32" customHeight="1">
      <c r="B2" s="1" t="inlineStr">
        <is>
          <t>PROVISIONS &amp; RESERVES RH (#151)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Type Provision</t>
        </is>
      </c>
      <c r="D4" s="11" t="inlineStr">
        <is>
          <t>Poste Comptable</t>
        </is>
      </c>
      <c r="E4" s="11" t="inlineStr">
        <is>
          <t>Montant Provision (FCFA)</t>
        </is>
      </c>
      <c r="F4" s="11" t="inlineStr">
        <is>
          <t>Montant Reel (FCFA)</t>
        </is>
      </c>
      <c r="G4" s="11" t="inlineStr">
        <is>
          <t>Ecart</t>
        </is>
      </c>
      <c r="H4" s="11" t="inlineStr">
        <is>
          <t>Date Constitution</t>
        </is>
      </c>
      <c r="I4" s="11" t="inlineStr">
        <is>
          <t>Date Utilisation</t>
        </is>
      </c>
      <c r="J4" s="11" t="inlineStr">
        <is>
          <t>Justification</t>
        </is>
      </c>
      <c r="K4" s="11" t="inlineStr">
        <is>
          <t>Statut</t>
        </is>
      </c>
    </row>
    <row r="5" ht="22" customHeight="1">
      <c r="B5" s="12" t="inlineStr">
        <is>
          <t>PRV-001</t>
        </is>
      </c>
      <c r="C5" s="12" t="inlineStr">
        <is>
          <t>Indemnite conges</t>
        </is>
      </c>
      <c r="D5" s="12" t="inlineStr">
        <is>
          <t>Provision conges</t>
        </is>
      </c>
      <c r="E5" s="13" t="n">
        <v>4500000</v>
      </c>
      <c r="F5" s="13" t="n">
        <v>3200000</v>
      </c>
      <c r="G5" s="13" t="n"/>
      <c r="H5" s="29" t="n">
        <v>45658</v>
      </c>
      <c r="I5" s="29" t="n"/>
      <c r="J5" s="12" t="inlineStr">
        <is>
          <t>Provision pour conges non pris</t>
        </is>
      </c>
      <c r="K5" s="12" t="inlineStr">
        <is>
          <t>En cours</t>
        </is>
      </c>
    </row>
    <row r="6" ht="22" customHeight="1">
      <c r="B6" s="14" t="inlineStr">
        <is>
          <t>PRV-002</t>
        </is>
      </c>
      <c r="C6" s="14" t="inlineStr">
        <is>
          <t>Prime fin d'annee</t>
        </is>
      </c>
      <c r="D6" s="14" t="inlineStr">
        <is>
          <t>Provision 13eme mois</t>
        </is>
      </c>
      <c r="E6" s="15" t="n">
        <v>22500000</v>
      </c>
      <c r="F6" s="15" t="n"/>
      <c r="G6" s="15" t="n"/>
      <c r="H6" s="30" t="n">
        <v>45658</v>
      </c>
      <c r="I6" s="30" t="n">
        <v>46006</v>
      </c>
      <c r="J6" s="14" t="inlineStr">
        <is>
          <t>Prime collective decembre</t>
        </is>
      </c>
      <c r="K6" s="14" t="inlineStr">
        <is>
          <t>En cours</t>
        </is>
      </c>
    </row>
    <row r="7" ht="22" customHeight="1">
      <c r="B7" s="12" t="inlineStr">
        <is>
          <t>PRV-003</t>
        </is>
      </c>
      <c r="C7" s="12" t="inlineStr">
        <is>
          <t>Procontentieux</t>
        </is>
      </c>
      <c r="D7" s="12" t="inlineStr">
        <is>
          <t>Provision litiges</t>
        </is>
      </c>
      <c r="E7" s="13" t="n">
        <v>1500000</v>
      </c>
      <c r="F7" s="13" t="n">
        <v>500000</v>
      </c>
      <c r="G7" s="13" t="n"/>
      <c r="H7" s="29" t="n">
        <v>45672</v>
      </c>
      <c r="I7" s="29" t="n"/>
      <c r="J7" s="12" t="inlineStr">
        <is>
          <t>Provision prud'hommes Tchouanku</t>
        </is>
      </c>
      <c r="K7" s="12" t="inlineStr">
        <is>
          <t>En cours</t>
        </is>
      </c>
    </row>
    <row r="8" ht="22" customHeight="1">
      <c r="B8" s="14" t="inlineStr">
        <is>
          <t>PRV-004</t>
        </is>
      </c>
      <c r="C8" s="14" t="inlineStr">
        <is>
          <t>Depart volontaire</t>
        </is>
      </c>
      <c r="D8" s="14" t="inlineStr">
        <is>
          <t>Provision licenciement</t>
        </is>
      </c>
      <c r="E8" s="15" t="n">
        <v>2000000</v>
      </c>
      <c r="F8" s="15" t="n"/>
      <c r="G8" s="15" t="n"/>
      <c r="H8" s="30" t="n">
        <v>45658</v>
      </c>
      <c r="I8" s="30" t="n"/>
      <c r="J8" s="14" t="inlineStr">
        <is>
          <t>Provision restructuration eventuelle</t>
        </is>
      </c>
      <c r="K8" s="14" t="inlineStr">
        <is>
          <t>En cours</t>
        </is>
      </c>
    </row>
    <row r="9" ht="22" customHeight="1">
      <c r="B9" s="12" t="inlineStr">
        <is>
          <t>PRV-005</t>
        </is>
      </c>
      <c r="C9" s="12" t="inlineStr">
        <is>
          <t>Medecine du travail</t>
        </is>
      </c>
      <c r="D9" s="12" t="inlineStr">
        <is>
          <t>Provision sante</t>
        </is>
      </c>
      <c r="E9" s="13" t="n">
        <v>250000</v>
      </c>
      <c r="F9" s="13" t="n">
        <v>180000</v>
      </c>
      <c r="G9" s="13" t="n"/>
      <c r="H9" s="29" t="n">
        <v>45658</v>
      </c>
      <c r="I9" s="29" t="n"/>
      <c r="J9" s="12" t="inlineStr">
        <is>
          <t>Visites medicales annuelles</t>
        </is>
      </c>
      <c r="K9" s="12" t="inlineStr">
        <is>
          <t>En cours</t>
        </is>
      </c>
    </row>
    <row r="10" ht="22" customHeight="1">
      <c r="B10" s="17">
        <f>IF(C10="","PRV-"&amp;TEXT(COUNTA($C$5:C10),"000"))</f>
        <v/>
      </c>
      <c r="C10" s="14" t="n"/>
      <c r="D10" s="14" t="n"/>
      <c r="E10" s="15" t="n"/>
      <c r="F10" s="15" t="n"/>
      <c r="G10" s="15">
        <f>IF(OR(E10="",F10=""),"",E10-F10)</f>
        <v/>
      </c>
      <c r="H10" s="30" t="n"/>
      <c r="I10" s="30" t="n"/>
      <c r="J10" s="14" t="n"/>
      <c r="K10" s="14" t="n"/>
    </row>
    <row r="11" ht="22" customHeight="1">
      <c r="B11" s="16">
        <f>IF(C11="","PRV-"&amp;TEXT(COUNTA($C$5:C11),"000"))</f>
        <v/>
      </c>
      <c r="C11" s="12" t="n"/>
      <c r="D11" s="12" t="n"/>
      <c r="E11" s="13" t="n"/>
      <c r="F11" s="13" t="n"/>
      <c r="G11" s="13">
        <f>IF(OR(E11="",F11=""),"",E11-F11)</f>
        <v/>
      </c>
      <c r="H11" s="29" t="n"/>
      <c r="I11" s="29" t="n"/>
      <c r="J11" s="12" t="n"/>
      <c r="K11" s="12" t="n"/>
    </row>
    <row r="12" ht="22" customHeight="1">
      <c r="B12" s="17">
        <f>IF(C12="","PRV-"&amp;TEXT(COUNTA($C$5:C12),"000"))</f>
        <v/>
      </c>
      <c r="C12" s="14" t="n"/>
      <c r="D12" s="14" t="n"/>
      <c r="E12" s="15" t="n"/>
      <c r="F12" s="15" t="n"/>
      <c r="G12" s="15">
        <f>IF(OR(E12="",F12=""),"",E12-F12)</f>
        <v/>
      </c>
      <c r="H12" s="30" t="n"/>
      <c r="I12" s="30" t="n"/>
      <c r="J12" s="14" t="n"/>
      <c r="K12" s="14" t="n"/>
    </row>
    <row r="13" ht="22" customHeight="1">
      <c r="B13" s="16">
        <f>IF(C13="","PRV-"&amp;TEXT(COUNTA($C$5:C13),"000"))</f>
        <v/>
      </c>
      <c r="C13" s="12" t="n"/>
      <c r="D13" s="12" t="n"/>
      <c r="E13" s="13" t="n"/>
      <c r="F13" s="13" t="n"/>
      <c r="G13" s="13">
        <f>IF(OR(E13="",F13=""),"",E13-F13)</f>
        <v/>
      </c>
      <c r="H13" s="29" t="n"/>
      <c r="I13" s="29" t="n"/>
      <c r="J13" s="12" t="n"/>
      <c r="K13" s="12" t="n"/>
    </row>
    <row r="14" ht="22" customHeight="1">
      <c r="B14" s="17">
        <f>IF(C14="","PRV-"&amp;TEXT(COUNTA($C$5:C14),"000"))</f>
        <v/>
      </c>
      <c r="C14" s="14" t="n"/>
      <c r="D14" s="14" t="n"/>
      <c r="E14" s="15" t="n"/>
      <c r="F14" s="15" t="n"/>
      <c r="G14" s="15">
        <f>IF(OR(E14="",F14=""),"",E14-F14)</f>
        <v/>
      </c>
      <c r="H14" s="30" t="n"/>
      <c r="I14" s="30" t="n"/>
      <c r="J14" s="14" t="n"/>
      <c r="K14" s="14" t="n"/>
    </row>
    <row r="15" ht="22" customHeight="1">
      <c r="B15" s="16">
        <f>IF(C15="","PRV-"&amp;TEXT(COUNTA($C$5:C15),"000"))</f>
        <v/>
      </c>
      <c r="C15" s="12" t="n"/>
      <c r="D15" s="12" t="n"/>
      <c r="E15" s="13" t="n"/>
      <c r="F15" s="13" t="n"/>
      <c r="G15" s="13">
        <f>IF(OR(E15="",F15=""),"",E15-F15)</f>
        <v/>
      </c>
      <c r="H15" s="29" t="n"/>
      <c r="I15" s="29" t="n"/>
      <c r="J15" s="12" t="n"/>
      <c r="K15" s="12" t="n"/>
    </row>
    <row r="16" ht="22" customHeight="1">
      <c r="B16" s="17">
        <f>IF(C16="","PRV-"&amp;TEXT(COUNTA($C$5:C16),"000"))</f>
        <v/>
      </c>
      <c r="C16" s="14" t="n"/>
      <c r="D16" s="14" t="n"/>
      <c r="E16" s="15" t="n"/>
      <c r="F16" s="15" t="n"/>
      <c r="G16" s="15">
        <f>IF(OR(E16="",F16=""),"",E16-F16)</f>
        <v/>
      </c>
      <c r="H16" s="30" t="n"/>
      <c r="I16" s="30" t="n"/>
      <c r="J16" s="14" t="n"/>
      <c r="K16" s="14" t="n"/>
    </row>
    <row r="17" ht="22" customHeight="1">
      <c r="B17" s="16">
        <f>IF(C17="","PRV-"&amp;TEXT(COUNTA($C$5:C17),"000"))</f>
        <v/>
      </c>
      <c r="C17" s="12" t="n"/>
      <c r="D17" s="12" t="n"/>
      <c r="E17" s="13" t="n"/>
      <c r="F17" s="13" t="n"/>
      <c r="G17" s="13">
        <f>IF(OR(E17="",F17=""),"",E17-F17)</f>
        <v/>
      </c>
      <c r="H17" s="29" t="n"/>
      <c r="I17" s="29" t="n"/>
      <c r="J17" s="12" t="n"/>
      <c r="K17" s="12" t="n"/>
    </row>
    <row r="18" ht="22" customHeight="1">
      <c r="B18" s="17">
        <f>IF(C18="","PRV-"&amp;TEXT(COUNTA($C$5:C18),"000"))</f>
        <v/>
      </c>
      <c r="C18" s="14" t="n"/>
      <c r="D18" s="14" t="n"/>
      <c r="E18" s="15" t="n"/>
      <c r="F18" s="15" t="n"/>
      <c r="G18" s="15">
        <f>IF(OR(E18="",F18=""),"",E18-F18)</f>
        <v/>
      </c>
      <c r="H18" s="30" t="n"/>
      <c r="I18" s="30" t="n"/>
      <c r="J18" s="14" t="n"/>
      <c r="K18" s="14" t="n"/>
    </row>
    <row r="19" ht="22" customHeight="1">
      <c r="B19" s="16">
        <f>IF(C19="","PRV-"&amp;TEXT(COUNTA($C$5:C19),"000"))</f>
        <v/>
      </c>
      <c r="C19" s="12" t="n"/>
      <c r="D19" s="12" t="n"/>
      <c r="E19" s="13" t="n"/>
      <c r="F19" s="13" t="n"/>
      <c r="G19" s="13">
        <f>IF(OR(E19="",F19=""),"",E19-F19)</f>
        <v/>
      </c>
      <c r="H19" s="29" t="n"/>
      <c r="I19" s="29" t="n"/>
      <c r="J19" s="12" t="n"/>
      <c r="K19" s="12" t="n"/>
    </row>
    <row r="20" ht="22" customHeight="1">
      <c r="B20" s="17">
        <f>IF(C20="","PRV-"&amp;TEXT(COUNTA($C$5:C20),"000"))</f>
        <v/>
      </c>
      <c r="C20" s="14" t="n"/>
      <c r="D20" s="14" t="n"/>
      <c r="E20" s="15" t="n"/>
      <c r="F20" s="15" t="n"/>
      <c r="G20" s="15">
        <f>IF(OR(E20="",F20=""),"",E20-F20)</f>
        <v/>
      </c>
      <c r="H20" s="30" t="n"/>
      <c r="I20" s="30" t="n"/>
      <c r="J20" s="14" t="n"/>
      <c r="K20" s="14" t="n"/>
    </row>
    <row r="21" ht="22" customHeight="1">
      <c r="B21" s="16">
        <f>IF(C21="","PRV-"&amp;TEXT(COUNTA($C$5:C21),"000"))</f>
        <v/>
      </c>
      <c r="C21" s="12" t="n"/>
      <c r="D21" s="12" t="n"/>
      <c r="E21" s="13" t="n"/>
      <c r="F21" s="13" t="n"/>
      <c r="G21" s="13">
        <f>IF(OR(E21="",F21=""),"",E21-F21)</f>
        <v/>
      </c>
      <c r="H21" s="29" t="n"/>
      <c r="I21" s="29" t="n"/>
      <c r="J21" s="12" t="n"/>
      <c r="K21" s="12" t="n"/>
    </row>
    <row r="22" ht="22" customHeight="1">
      <c r="B22" s="17">
        <f>IF(C22="","PRV-"&amp;TEXT(COUNTA($C$5:C22),"000"))</f>
        <v/>
      </c>
      <c r="C22" s="14" t="n"/>
      <c r="D22" s="14" t="n"/>
      <c r="E22" s="15" t="n"/>
      <c r="F22" s="15" t="n"/>
      <c r="G22" s="15">
        <f>IF(OR(E22="",F22=""),"",E22-F22)</f>
        <v/>
      </c>
      <c r="H22" s="30" t="n"/>
      <c r="I22" s="30" t="n"/>
      <c r="J22" s="14" t="n"/>
      <c r="K22" s="14" t="n"/>
    </row>
    <row r="23" ht="22" customHeight="1">
      <c r="B23" s="16">
        <f>IF(C23="","PRV-"&amp;TEXT(COUNTA($C$5:C23),"000"))</f>
        <v/>
      </c>
      <c r="C23" s="12" t="n"/>
      <c r="D23" s="12" t="n"/>
      <c r="E23" s="13" t="n"/>
      <c r="F23" s="13" t="n"/>
      <c r="G23" s="13">
        <f>IF(OR(E23="",F23=""),"",E23-F23)</f>
        <v/>
      </c>
      <c r="H23" s="29" t="n"/>
      <c r="I23" s="29" t="n"/>
      <c r="J23" s="12" t="n"/>
      <c r="K23" s="12" t="n"/>
    </row>
    <row r="24" ht="22" customHeight="1">
      <c r="B24" s="17">
        <f>IF(C24="","PRV-"&amp;TEXT(COUNTA($C$5:C24),"000"))</f>
        <v/>
      </c>
      <c r="C24" s="14" t="n"/>
      <c r="D24" s="14" t="n"/>
      <c r="E24" s="15" t="n"/>
      <c r="F24" s="15" t="n"/>
      <c r="G24" s="15">
        <f>IF(OR(E24="",F24=""),"",E24-F24)</f>
        <v/>
      </c>
      <c r="H24" s="30" t="n"/>
      <c r="I24" s="30" t="n"/>
      <c r="J24" s="14" t="n"/>
      <c r="K24" s="14" t="n"/>
    </row>
    <row r="25" ht="22" customHeight="1">
      <c r="B25" s="16">
        <f>IF(C25="","PRV-"&amp;TEXT(COUNTA($C$5:C25),"000"))</f>
        <v/>
      </c>
      <c r="C25" s="12" t="n"/>
      <c r="D25" s="12" t="n"/>
      <c r="E25" s="13" t="n"/>
      <c r="F25" s="13" t="n"/>
      <c r="G25" s="13">
        <f>IF(OR(E25="",F25=""),"",E25-F25)</f>
        <v/>
      </c>
      <c r="H25" s="29" t="n"/>
      <c r="I25" s="29" t="n"/>
      <c r="J25" s="12" t="n"/>
      <c r="K25" s="12" t="n"/>
    </row>
    <row r="26" ht="22" customHeight="1">
      <c r="B26" s="17">
        <f>IF(C26="","PRV-"&amp;TEXT(COUNTA($C$5:C26),"000"))</f>
        <v/>
      </c>
      <c r="C26" s="14" t="n"/>
      <c r="D26" s="14" t="n"/>
      <c r="E26" s="15" t="n"/>
      <c r="F26" s="15" t="n"/>
      <c r="G26" s="15">
        <f>IF(OR(E26="",F26=""),"",E26-F26)</f>
        <v/>
      </c>
      <c r="H26" s="30" t="n"/>
      <c r="I26" s="30" t="n"/>
      <c r="J26" s="14" t="n"/>
      <c r="K26" s="14" t="n"/>
    </row>
    <row r="27" ht="22" customHeight="1">
      <c r="B27" s="16">
        <f>IF(C27="","PRV-"&amp;TEXT(COUNTA($C$5:C27),"000"))</f>
        <v/>
      </c>
      <c r="C27" s="12" t="n"/>
      <c r="D27" s="12" t="n"/>
      <c r="E27" s="13" t="n"/>
      <c r="F27" s="13" t="n"/>
      <c r="G27" s="13">
        <f>IF(OR(E27="",F27=""),"",E27-F27)</f>
        <v/>
      </c>
      <c r="H27" s="29" t="n"/>
      <c r="I27" s="29" t="n"/>
      <c r="J27" s="12" t="n"/>
      <c r="K27" s="12" t="n"/>
    </row>
    <row r="28" ht="22" customHeight="1">
      <c r="B28" s="17">
        <f>IF(C28="","PRV-"&amp;TEXT(COUNTA($C$5:C28),"000"))</f>
        <v/>
      </c>
      <c r="C28" s="14" t="n"/>
      <c r="D28" s="14" t="n"/>
      <c r="E28" s="15" t="n"/>
      <c r="F28" s="15" t="n"/>
      <c r="G28" s="15">
        <f>IF(OR(E28="",F28=""),"",E28-F28)</f>
        <v/>
      </c>
      <c r="H28" s="30" t="n"/>
      <c r="I28" s="30" t="n"/>
      <c r="J28" s="14" t="n"/>
      <c r="K28" s="14" t="n"/>
    </row>
    <row r="29" ht="22" customHeight="1">
      <c r="B29" s="16">
        <f>IF(C29="","PRV-"&amp;TEXT(COUNTA($C$5:C29),"000"))</f>
        <v/>
      </c>
      <c r="C29" s="12" t="n"/>
      <c r="D29" s="12" t="n"/>
      <c r="E29" s="13" t="n"/>
      <c r="F29" s="13" t="n"/>
      <c r="G29" s="13">
        <f>IF(OR(E29="",F29=""),"",E29-F29)</f>
        <v/>
      </c>
      <c r="H29" s="29" t="n"/>
      <c r="I29" s="29" t="n"/>
      <c r="J29" s="12" t="n"/>
      <c r="K29" s="12" t="n"/>
    </row>
    <row r="30" ht="22" customHeight="1">
      <c r="B30" s="17">
        <f>IF(C30="","PRV-"&amp;TEXT(COUNTA($C$5:C30),"000"))</f>
        <v/>
      </c>
      <c r="C30" s="14" t="n"/>
      <c r="D30" s="14" t="n"/>
      <c r="E30" s="15" t="n"/>
      <c r="F30" s="15" t="n"/>
      <c r="G30" s="15">
        <f>IF(OR(E30="",F30=""),"",E30-F30)</f>
        <v/>
      </c>
      <c r="H30" s="30" t="n"/>
      <c r="I30" s="30" t="n"/>
      <c r="J30" s="14" t="n"/>
      <c r="K30" s="14" t="n"/>
    </row>
    <row r="31" ht="22" customHeight="1">
      <c r="B31" s="16">
        <f>IF(C31="","PRV-"&amp;TEXT(COUNTA($C$5:C31),"000"))</f>
        <v/>
      </c>
      <c r="C31" s="12" t="n"/>
      <c r="D31" s="12" t="n"/>
      <c r="E31" s="13" t="n"/>
      <c r="F31" s="13" t="n"/>
      <c r="G31" s="13">
        <f>IF(OR(E31="",F31=""),"",E31-F31)</f>
        <v/>
      </c>
      <c r="H31" s="29" t="n"/>
      <c r="I31" s="29" t="n"/>
      <c r="J31" s="12" t="n"/>
      <c r="K31" s="12" t="n"/>
    </row>
    <row r="32" ht="22" customHeight="1">
      <c r="B32" s="17">
        <f>IF(C32="","PRV-"&amp;TEXT(COUNTA($C$5:C32),"000"))</f>
        <v/>
      </c>
      <c r="C32" s="14" t="n"/>
      <c r="D32" s="14" t="n"/>
      <c r="E32" s="15" t="n"/>
      <c r="F32" s="15" t="n"/>
      <c r="G32" s="15">
        <f>IF(OR(E32="",F32=""),"",E32-F32)</f>
        <v/>
      </c>
      <c r="H32" s="30" t="n"/>
      <c r="I32" s="30" t="n"/>
      <c r="J32" s="14" t="n"/>
      <c r="K32" s="14" t="n"/>
    </row>
    <row r="33" ht="22" customHeight="1">
      <c r="B33" s="16">
        <f>IF(C33="","PRV-"&amp;TEXT(COUNTA($C$5:C33),"000"))</f>
        <v/>
      </c>
      <c r="C33" s="12" t="n"/>
      <c r="D33" s="12" t="n"/>
      <c r="E33" s="13" t="n"/>
      <c r="F33" s="13" t="n"/>
      <c r="G33" s="13">
        <f>IF(OR(E33="",F33=""),"",E33-F33)</f>
        <v/>
      </c>
      <c r="H33" s="29" t="n"/>
      <c r="I33" s="29" t="n"/>
      <c r="J33" s="12" t="n"/>
      <c r="K33" s="12" t="n"/>
    </row>
    <row r="34" ht="22" customHeight="1">
      <c r="B34" s="17">
        <f>IF(C34="","PRV-"&amp;TEXT(COUNTA($C$5:C34),"000"))</f>
        <v/>
      </c>
      <c r="C34" s="14" t="n"/>
      <c r="D34" s="14" t="n"/>
      <c r="E34" s="15" t="n"/>
      <c r="F34" s="15" t="n"/>
      <c r="G34" s="15">
        <f>IF(OR(E34="",F34=""),"",E34-F34)</f>
        <v/>
      </c>
      <c r="H34" s="30" t="n"/>
      <c r="I34" s="30" t="n"/>
      <c r="J34" s="14" t="n"/>
      <c r="K34" s="14" t="n"/>
    </row>
    <row r="35" ht="22" customHeight="1">
      <c r="B35" s="16">
        <f>IF(C35="","PRV-"&amp;TEXT(COUNTA($C$5:C35),"000"))</f>
        <v/>
      </c>
      <c r="C35" s="12" t="n"/>
      <c r="D35" s="12" t="n"/>
      <c r="E35" s="13" t="n"/>
      <c r="F35" s="13" t="n"/>
      <c r="G35" s="13">
        <f>IF(OR(E35="",F35=""),"",E35-F35)</f>
        <v/>
      </c>
      <c r="H35" s="29" t="n"/>
      <c r="I35" s="29" t="n"/>
      <c r="J35" s="12" t="n"/>
      <c r="K35" s="12" t="n"/>
    </row>
    <row r="36" ht="22" customHeight="1">
      <c r="B36" s="17">
        <f>IF(C36="","PRV-"&amp;TEXT(COUNTA($C$5:C36),"000"))</f>
        <v/>
      </c>
      <c r="C36" s="14" t="n"/>
      <c r="D36" s="14" t="n"/>
      <c r="E36" s="15" t="n"/>
      <c r="F36" s="15" t="n"/>
      <c r="G36" s="15">
        <f>IF(OR(E36="",F36=""),"",E36-F36)</f>
        <v/>
      </c>
      <c r="H36" s="30" t="n"/>
      <c r="I36" s="30" t="n"/>
      <c r="J36" s="14" t="n"/>
      <c r="K36" s="14" t="n"/>
    </row>
    <row r="37" ht="22" customHeight="1">
      <c r="B37" s="16">
        <f>IF(C37="","PRV-"&amp;TEXT(COUNTA($C$5:C37),"000"))</f>
        <v/>
      </c>
      <c r="C37" s="12" t="n"/>
      <c r="D37" s="12" t="n"/>
      <c r="E37" s="13" t="n"/>
      <c r="F37" s="13" t="n"/>
      <c r="G37" s="13">
        <f>IF(OR(E37="",F37=""),"",E37-F37)</f>
        <v/>
      </c>
      <c r="H37" s="29" t="n"/>
      <c r="I37" s="29" t="n"/>
      <c r="J37" s="12" t="n"/>
      <c r="K37" s="12" t="n"/>
    </row>
    <row r="38" ht="22" customHeight="1">
      <c r="B38" s="17">
        <f>IF(C38="","PRV-"&amp;TEXT(COUNTA($C$5:C38),"000"))</f>
        <v/>
      </c>
      <c r="C38" s="14" t="n"/>
      <c r="D38" s="14" t="n"/>
      <c r="E38" s="15" t="n"/>
      <c r="F38" s="15" t="n"/>
      <c r="G38" s="15">
        <f>IF(OR(E38="",F38=""),"",E38-F38)</f>
        <v/>
      </c>
      <c r="H38" s="30" t="n"/>
      <c r="I38" s="30" t="n"/>
      <c r="J38" s="14" t="n"/>
      <c r="K38" s="14" t="n"/>
    </row>
    <row r="39" ht="22" customHeight="1">
      <c r="B39" s="16">
        <f>IF(C39="","PRV-"&amp;TEXT(COUNTA($C$5:C39),"000"))</f>
        <v/>
      </c>
      <c r="C39" s="12" t="n"/>
      <c r="D39" s="12" t="n"/>
      <c r="E39" s="13" t="n"/>
      <c r="F39" s="13" t="n"/>
      <c r="G39" s="13">
        <f>IF(OR(E39="",F39=""),"",E39-F39)</f>
        <v/>
      </c>
      <c r="H39" s="29" t="n"/>
      <c r="I39" s="29" t="n"/>
      <c r="J39" s="12" t="n"/>
      <c r="K39" s="12" t="n"/>
    </row>
    <row r="40" ht="22" customHeight="1">
      <c r="B40" s="17">
        <f>IF(C40="","PRV-"&amp;TEXT(COUNTA($C$5:C40),"000"))</f>
        <v/>
      </c>
      <c r="C40" s="14" t="n"/>
      <c r="D40" s="14" t="n"/>
      <c r="E40" s="15" t="n"/>
      <c r="F40" s="15" t="n"/>
      <c r="G40" s="15">
        <f>IF(OR(E40="",F40=""),"",E40-F40)</f>
        <v/>
      </c>
      <c r="H40" s="30" t="n"/>
      <c r="I40" s="30" t="n"/>
      <c r="J40" s="14" t="n"/>
      <c r="K40" s="14" t="n"/>
    </row>
    <row r="41" ht="22" customHeight="1">
      <c r="B41" s="16">
        <f>IF(C41="","PRV-"&amp;TEXT(COUNTA($C$5:C41),"000"))</f>
        <v/>
      </c>
      <c r="C41" s="12" t="n"/>
      <c r="D41" s="12" t="n"/>
      <c r="E41" s="13" t="n"/>
      <c r="F41" s="13" t="n"/>
      <c r="G41" s="13">
        <f>IF(OR(E41="",F41=""),"",E41-F41)</f>
        <v/>
      </c>
      <c r="H41" s="29" t="n"/>
      <c r="I41" s="29" t="n"/>
      <c r="J41" s="12" t="n"/>
      <c r="K41" s="12" t="n"/>
    </row>
    <row r="42" ht="22" customHeight="1">
      <c r="B42" s="17">
        <f>IF(C42="","PRV-"&amp;TEXT(COUNTA($C$5:C42),"000"))</f>
        <v/>
      </c>
      <c r="C42" s="14" t="n"/>
      <c r="D42" s="14" t="n"/>
      <c r="E42" s="15" t="n"/>
      <c r="F42" s="15" t="n"/>
      <c r="G42" s="15">
        <f>IF(OR(E42="",F42=""),"",E42-F42)</f>
        <v/>
      </c>
      <c r="H42" s="30" t="n"/>
      <c r="I42" s="30" t="n"/>
      <c r="J42" s="14" t="n"/>
      <c r="K42" s="14" t="n"/>
    </row>
    <row r="43" ht="22" customHeight="1">
      <c r="B43" s="16">
        <f>IF(C43="","PRV-"&amp;TEXT(COUNTA($C$5:C43),"000"))</f>
        <v/>
      </c>
      <c r="C43" s="12" t="n"/>
      <c r="D43" s="12" t="n"/>
      <c r="E43" s="13" t="n"/>
      <c r="F43" s="13" t="n"/>
      <c r="G43" s="13">
        <f>IF(OR(E43="",F43=""),"",E43-F43)</f>
        <v/>
      </c>
      <c r="H43" s="29" t="n"/>
      <c r="I43" s="29" t="n"/>
      <c r="J43" s="12" t="n"/>
      <c r="K43" s="12" t="n"/>
    </row>
    <row r="44" ht="22" customHeight="1">
      <c r="B44" s="17">
        <f>IF(C44="","PRV-"&amp;TEXT(COUNTA($C$5:C44),"000"))</f>
        <v/>
      </c>
      <c r="C44" s="14" t="n"/>
      <c r="D44" s="14" t="n"/>
      <c r="E44" s="15" t="n"/>
      <c r="F44" s="15" t="n"/>
      <c r="G44" s="15">
        <f>IF(OR(E44="",F44=""),"",E44-F44)</f>
        <v/>
      </c>
      <c r="H44" s="30" t="n"/>
      <c r="I44" s="30" t="n"/>
      <c r="J44" s="14" t="n"/>
      <c r="K44" s="14" t="n"/>
    </row>
    <row r="45" ht="22" customHeight="1">
      <c r="B45" s="16">
        <f>IF(C45="","PRV-"&amp;TEXT(COUNTA($C$5:C45),"000"))</f>
        <v/>
      </c>
      <c r="C45" s="12" t="n"/>
      <c r="D45" s="12" t="n"/>
      <c r="E45" s="13" t="n"/>
      <c r="F45" s="13" t="n"/>
      <c r="G45" s="13">
        <f>IF(OR(E45="",F45=""),"",E45-F45)</f>
        <v/>
      </c>
      <c r="H45" s="29" t="n"/>
      <c r="I45" s="29" t="n"/>
      <c r="J45" s="12" t="n"/>
      <c r="K45" s="12" t="n"/>
    </row>
    <row r="46" ht="22" customHeight="1">
      <c r="B46" s="17">
        <f>IF(C46="","PRV-"&amp;TEXT(COUNTA($C$5:C46),"000"))</f>
        <v/>
      </c>
      <c r="C46" s="14" t="n"/>
      <c r="D46" s="14" t="n"/>
      <c r="E46" s="15" t="n"/>
      <c r="F46" s="15" t="n"/>
      <c r="G46" s="15">
        <f>IF(OR(E46="",F46=""),"",E46-F46)</f>
        <v/>
      </c>
      <c r="H46" s="30" t="n"/>
      <c r="I46" s="30" t="n"/>
      <c r="J46" s="14" t="n"/>
      <c r="K46" s="14" t="n"/>
    </row>
    <row r="47" ht="22" customHeight="1">
      <c r="B47" s="16">
        <f>IF(C47="","PRV-"&amp;TEXT(COUNTA($C$5:C47),"000"))</f>
        <v/>
      </c>
      <c r="C47" s="12" t="n"/>
      <c r="D47" s="12" t="n"/>
      <c r="E47" s="13" t="n"/>
      <c r="F47" s="13" t="n"/>
      <c r="G47" s="13">
        <f>IF(OR(E47="",F47=""),"",E47-F47)</f>
        <v/>
      </c>
      <c r="H47" s="29" t="n"/>
      <c r="I47" s="29" t="n"/>
      <c r="J47" s="12" t="n"/>
      <c r="K47" s="12" t="n"/>
    </row>
    <row r="48" ht="22" customHeight="1">
      <c r="B48" s="17">
        <f>IF(C48="","PRV-"&amp;TEXT(COUNTA($C$5:C48),"000"))</f>
        <v/>
      </c>
      <c r="C48" s="14" t="n"/>
      <c r="D48" s="14" t="n"/>
      <c r="E48" s="15" t="n"/>
      <c r="F48" s="15" t="n"/>
      <c r="G48" s="15">
        <f>IF(OR(E48="",F48=""),"",E48-F48)</f>
        <v/>
      </c>
      <c r="H48" s="30" t="n"/>
      <c r="I48" s="30" t="n"/>
      <c r="J48" s="14" t="n"/>
      <c r="K48" s="14" t="n"/>
    </row>
    <row r="49" ht="22" customHeight="1">
      <c r="B49" s="16">
        <f>IF(C49="","PRV-"&amp;TEXT(COUNTA($C$5:C49),"000"))</f>
        <v/>
      </c>
      <c r="C49" s="12" t="n"/>
      <c r="D49" s="12" t="n"/>
      <c r="E49" s="13" t="n"/>
      <c r="F49" s="13" t="n"/>
      <c r="G49" s="13">
        <f>IF(OR(E49="",F49=""),"",E49-F49)</f>
        <v/>
      </c>
      <c r="H49" s="29" t="n"/>
      <c r="I49" s="29" t="n"/>
      <c r="J49" s="12" t="n"/>
      <c r="K49" s="12" t="n"/>
    </row>
    <row r="50" ht="22" customHeight="1">
      <c r="B50" s="17">
        <f>IF(C50="","PRV-"&amp;TEXT(COUNTA($C$5:C50),"000"))</f>
        <v/>
      </c>
      <c r="C50" s="14" t="n"/>
      <c r="D50" s="14" t="n"/>
      <c r="E50" s="15" t="n"/>
      <c r="F50" s="15" t="n"/>
      <c r="G50" s="15">
        <f>IF(OR(E50="",F50=""),"",E50-F50)</f>
        <v/>
      </c>
      <c r="H50" s="30" t="n"/>
      <c r="I50" s="30" t="n"/>
      <c r="J50" s="14" t="n"/>
      <c r="K50" s="14" t="n"/>
    </row>
    <row r="51" ht="22" customHeight="1">
      <c r="B51" s="16">
        <f>IF(C51="","PRV-"&amp;TEXT(COUNTA($C$5:C51),"000"))</f>
        <v/>
      </c>
      <c r="C51" s="12" t="n"/>
      <c r="D51" s="12" t="n"/>
      <c r="E51" s="13" t="n"/>
      <c r="F51" s="13" t="n"/>
      <c r="G51" s="13">
        <f>IF(OR(E51="",F51=""),"",E51-F51)</f>
        <v/>
      </c>
      <c r="H51" s="29" t="n"/>
      <c r="I51" s="29" t="n"/>
      <c r="J51" s="12" t="n"/>
      <c r="K51" s="12" t="n"/>
    </row>
    <row r="52" ht="22" customHeight="1">
      <c r="B52" s="17">
        <f>IF(C52="","PRV-"&amp;TEXT(COUNTA($C$5:C52),"000"))</f>
        <v/>
      </c>
      <c r="C52" s="14" t="n"/>
      <c r="D52" s="14" t="n"/>
      <c r="E52" s="15" t="n"/>
      <c r="F52" s="15" t="n"/>
      <c r="G52" s="15">
        <f>IF(OR(E52="",F52=""),"",E52-F52)</f>
        <v/>
      </c>
      <c r="H52" s="30" t="n"/>
      <c r="I52" s="30" t="n"/>
      <c r="J52" s="14" t="n"/>
      <c r="K52" s="14" t="n"/>
    </row>
    <row r="53" ht="22" customHeight="1">
      <c r="B53" s="16">
        <f>IF(C53="","PRV-"&amp;TEXT(COUNTA($C$5:C53),"000"))</f>
        <v/>
      </c>
      <c r="C53" s="12" t="n"/>
      <c r="D53" s="12" t="n"/>
      <c r="E53" s="13" t="n"/>
      <c r="F53" s="13" t="n"/>
      <c r="G53" s="13">
        <f>IF(OR(E53="",F53=""),"",E53-F53)</f>
        <v/>
      </c>
      <c r="H53" s="29" t="n"/>
      <c r="I53" s="29" t="n"/>
      <c r="J53" s="12" t="n"/>
      <c r="K53" s="12" t="n"/>
    </row>
    <row r="54" ht="22" customHeight="1">
      <c r="B54" s="17">
        <f>IF(C54="","PRV-"&amp;TEXT(COUNTA($C$5:C54),"000"))</f>
        <v/>
      </c>
      <c r="C54" s="14" t="n"/>
      <c r="D54" s="14" t="n"/>
      <c r="E54" s="15" t="n"/>
      <c r="F54" s="15" t="n"/>
      <c r="G54" s="15">
        <f>IF(OR(E54="",F54=""),"",E54-F54)</f>
        <v/>
      </c>
      <c r="H54" s="30" t="n"/>
      <c r="I54" s="30" t="n"/>
      <c r="J54" s="14" t="n"/>
      <c r="K54" s="14" t="n"/>
    </row>
    <row r="55" ht="22" customHeight="1">
      <c r="B55" s="16">
        <f>IF(C55="","PRV-"&amp;TEXT(COUNTA($C$5:C55),"000"))</f>
        <v/>
      </c>
      <c r="C55" s="12" t="n"/>
      <c r="D55" s="12" t="n"/>
      <c r="E55" s="13" t="n"/>
      <c r="F55" s="13" t="n"/>
      <c r="G55" s="13">
        <f>IF(OR(E55="",F55=""),"",E55-F55)</f>
        <v/>
      </c>
      <c r="H55" s="29" t="n"/>
      <c r="I55" s="29" t="n"/>
      <c r="J55" s="12" t="n"/>
      <c r="K55" s="12" t="n"/>
    </row>
    <row r="56" ht="22" customHeight="1">
      <c r="B56" s="17">
        <f>IF(C56="","PRV-"&amp;TEXT(COUNTA($C$5:C56),"000"))</f>
        <v/>
      </c>
      <c r="C56" s="14" t="n"/>
      <c r="D56" s="14" t="n"/>
      <c r="E56" s="15" t="n"/>
      <c r="F56" s="15" t="n"/>
      <c r="G56" s="15">
        <f>IF(OR(E56="",F56=""),"",E56-F56)</f>
        <v/>
      </c>
      <c r="H56" s="30" t="n"/>
      <c r="I56" s="30" t="n"/>
      <c r="J56" s="14" t="n"/>
      <c r="K56" s="14" t="n"/>
    </row>
    <row r="57" ht="22" customHeight="1">
      <c r="B57" s="16">
        <f>IF(C57="","PRV-"&amp;TEXT(COUNTA($C$5:C57),"000"))</f>
        <v/>
      </c>
      <c r="C57" s="12" t="n"/>
      <c r="D57" s="12" t="n"/>
      <c r="E57" s="13" t="n"/>
      <c r="F57" s="13" t="n"/>
      <c r="G57" s="13">
        <f>IF(OR(E57="",F57=""),"",E57-F57)</f>
        <v/>
      </c>
      <c r="H57" s="29" t="n"/>
      <c r="I57" s="29" t="n"/>
      <c r="J57" s="12" t="n"/>
      <c r="K57" s="12" t="n"/>
    </row>
    <row r="58" ht="22" customHeight="1">
      <c r="B58" s="17">
        <f>IF(C58="","PRV-"&amp;TEXT(COUNTA($C$5:C58),"000"))</f>
        <v/>
      </c>
      <c r="C58" s="14" t="n"/>
      <c r="D58" s="14" t="n"/>
      <c r="E58" s="15" t="n"/>
      <c r="F58" s="15" t="n"/>
      <c r="G58" s="15">
        <f>IF(OR(E58="",F58=""),"",E58-F58)</f>
        <v/>
      </c>
      <c r="H58" s="30" t="n"/>
      <c r="I58" s="30" t="n"/>
      <c r="J58" s="14" t="n"/>
      <c r="K58" s="14" t="n"/>
    </row>
    <row r="59" ht="22" customHeight="1">
      <c r="B59" s="16">
        <f>IF(C59="","PRV-"&amp;TEXT(COUNTA($C$5:C59),"000"))</f>
        <v/>
      </c>
      <c r="C59" s="12" t="n"/>
      <c r="D59" s="12" t="n"/>
      <c r="E59" s="13" t="n"/>
      <c r="F59" s="13" t="n"/>
      <c r="G59" s="13">
        <f>IF(OR(E59="",F59=""),"",E59-F59)</f>
        <v/>
      </c>
      <c r="H59" s="29" t="n"/>
      <c r="I59" s="29" t="n"/>
      <c r="J59" s="12" t="n"/>
      <c r="K59" s="12" t="n"/>
    </row>
    <row r="60" ht="22" customHeight="1">
      <c r="B60" s="17">
        <f>IF(C60="","PRV-"&amp;TEXT(COUNTA($C$5:C60),"000"))</f>
        <v/>
      </c>
      <c r="C60" s="14" t="n"/>
      <c r="D60" s="14" t="n"/>
      <c r="E60" s="15" t="n"/>
      <c r="F60" s="15" t="n"/>
      <c r="G60" s="15">
        <f>IF(OR(E60="",F60=""),"",E60-F60)</f>
        <v/>
      </c>
      <c r="H60" s="30" t="n"/>
      <c r="I60" s="30" t="n"/>
      <c r="J60" s="14" t="n"/>
      <c r="K60" s="14" t="n"/>
    </row>
    <row r="61" ht="22" customHeight="1">
      <c r="B61" s="16">
        <f>IF(C61="","PRV-"&amp;TEXT(COUNTA($C$5:C61),"000"))</f>
        <v/>
      </c>
      <c r="C61" s="12" t="n"/>
      <c r="D61" s="12" t="n"/>
      <c r="E61" s="13" t="n"/>
      <c r="F61" s="13" t="n"/>
      <c r="G61" s="13">
        <f>IF(OR(E61="",F61=""),"",E61-F61)</f>
        <v/>
      </c>
      <c r="H61" s="29" t="n"/>
      <c r="I61" s="29" t="n"/>
      <c r="J61" s="12" t="n"/>
      <c r="K61" s="12" t="n"/>
    </row>
    <row r="62" ht="22" customHeight="1">
      <c r="B62" s="17">
        <f>IF(C62="","PRV-"&amp;TEXT(COUNTA($C$5:C62),"000"))</f>
        <v/>
      </c>
      <c r="C62" s="14" t="n"/>
      <c r="D62" s="14" t="n"/>
      <c r="E62" s="15" t="n"/>
      <c r="F62" s="15" t="n"/>
      <c r="G62" s="15">
        <f>IF(OR(E62="",F62=""),"",E62-F62)</f>
        <v/>
      </c>
      <c r="H62" s="30" t="n"/>
      <c r="I62" s="30" t="n"/>
      <c r="J62" s="14" t="n"/>
      <c r="K62" s="14" t="n"/>
    </row>
    <row r="63" ht="22" customHeight="1">
      <c r="B63" s="16">
        <f>IF(C63="","PRV-"&amp;TEXT(COUNTA($C$5:C63),"000"))</f>
        <v/>
      </c>
      <c r="C63" s="12" t="n"/>
      <c r="D63" s="12" t="n"/>
      <c r="E63" s="13" t="n"/>
      <c r="F63" s="13" t="n"/>
      <c r="G63" s="13">
        <f>IF(OR(E63="",F63=""),"",E63-F63)</f>
        <v/>
      </c>
      <c r="H63" s="29" t="n"/>
      <c r="I63" s="29" t="n"/>
      <c r="J63" s="12" t="n"/>
      <c r="K63" s="12" t="n"/>
    </row>
    <row r="64" ht="22" customHeight="1">
      <c r="B64" s="17">
        <f>IF(C64="","PRV-"&amp;TEXT(COUNTA($C$5:C64),"000"))</f>
        <v/>
      </c>
      <c r="C64" s="14" t="n"/>
      <c r="D64" s="14" t="n"/>
      <c r="E64" s="15" t="n"/>
      <c r="F64" s="15" t="n"/>
      <c r="G64" s="15">
        <f>IF(OR(E64="",F64=""),"",E64-F64)</f>
        <v/>
      </c>
      <c r="H64" s="30" t="n"/>
      <c r="I64" s="30" t="n"/>
      <c r="J64" s="14" t="n"/>
      <c r="K64" s="14" t="n"/>
    </row>
    <row r="65" ht="22" customHeight="1">
      <c r="B65" s="16">
        <f>IF(C65="","PRV-"&amp;TEXT(COUNTA($C$5:C65),"000"))</f>
        <v/>
      </c>
      <c r="C65" s="12" t="n"/>
      <c r="D65" s="12" t="n"/>
      <c r="E65" s="13" t="n"/>
      <c r="F65" s="13" t="n"/>
      <c r="G65" s="13">
        <f>IF(OR(E65="",F65=""),"",E65-F65)</f>
        <v/>
      </c>
      <c r="H65" s="29" t="n"/>
      <c r="I65" s="29" t="n"/>
      <c r="J65" s="12" t="n"/>
      <c r="K65" s="12" t="n"/>
    </row>
    <row r="66" ht="22" customHeight="1">
      <c r="B66" s="17">
        <f>IF(C66="","PRV-"&amp;TEXT(COUNTA($C$5:C66),"000"))</f>
        <v/>
      </c>
      <c r="C66" s="14" t="n"/>
      <c r="D66" s="14" t="n"/>
      <c r="E66" s="15" t="n"/>
      <c r="F66" s="15" t="n"/>
      <c r="G66" s="15">
        <f>IF(OR(E66="",F66=""),"",E66-F66)</f>
        <v/>
      </c>
      <c r="H66" s="30" t="n"/>
      <c r="I66" s="30" t="n"/>
      <c r="J66" s="14" t="n"/>
      <c r="K66" s="14" t="n"/>
    </row>
    <row r="67" ht="22" customHeight="1">
      <c r="B67" s="16">
        <f>IF(C67="","PRV-"&amp;TEXT(COUNTA($C$5:C67),"000"))</f>
        <v/>
      </c>
      <c r="C67" s="12" t="n"/>
      <c r="D67" s="12" t="n"/>
      <c r="E67" s="13" t="n"/>
      <c r="F67" s="13" t="n"/>
      <c r="G67" s="13">
        <f>IF(OR(E67="",F67=""),"",E67-F67)</f>
        <v/>
      </c>
      <c r="H67" s="29" t="n"/>
      <c r="I67" s="29" t="n"/>
      <c r="J67" s="12" t="n"/>
      <c r="K67" s="12" t="n"/>
    </row>
    <row r="68" ht="22" customHeight="1">
      <c r="B68" s="17">
        <f>IF(C68="","PRV-"&amp;TEXT(COUNTA($C$5:C68),"000"))</f>
        <v/>
      </c>
      <c r="C68" s="14" t="n"/>
      <c r="D68" s="14" t="n"/>
      <c r="E68" s="15" t="n"/>
      <c r="F68" s="15" t="n"/>
      <c r="G68" s="15">
        <f>IF(OR(E68="",F68=""),"",E68-F68)</f>
        <v/>
      </c>
      <c r="H68" s="30" t="n"/>
      <c r="I68" s="30" t="n"/>
      <c r="J68" s="14" t="n"/>
      <c r="K68" s="14" t="n"/>
    </row>
    <row r="69" ht="22" customHeight="1">
      <c r="B69" s="16">
        <f>IF(C69="","PRV-"&amp;TEXT(COUNTA($C$5:C69),"000"))</f>
        <v/>
      </c>
      <c r="C69" s="12" t="n"/>
      <c r="D69" s="12" t="n"/>
      <c r="E69" s="13" t="n"/>
      <c r="F69" s="13" t="n"/>
      <c r="G69" s="13">
        <f>IF(OR(E69="",F69=""),"",E69-F69)</f>
        <v/>
      </c>
      <c r="H69" s="29" t="n"/>
      <c r="I69" s="29" t="n"/>
      <c r="J69" s="12" t="n"/>
      <c r="K69" s="12" t="n"/>
    </row>
    <row r="70" ht="22" customHeight="1">
      <c r="B70" s="17">
        <f>IF(C70="","PRV-"&amp;TEXT(COUNTA($C$5:C70),"000"))</f>
        <v/>
      </c>
      <c r="C70" s="14" t="n"/>
      <c r="D70" s="14" t="n"/>
      <c r="E70" s="15" t="n"/>
      <c r="F70" s="15" t="n"/>
      <c r="G70" s="15">
        <f>IF(OR(E70="",F70=""),"",E70-F70)</f>
        <v/>
      </c>
      <c r="H70" s="30" t="n"/>
      <c r="I70" s="30" t="n"/>
      <c r="J70" s="14" t="n"/>
      <c r="K70" s="14" t="n"/>
    </row>
    <row r="71" ht="22" customHeight="1">
      <c r="B71" s="16">
        <f>IF(C71="","PRV-"&amp;TEXT(COUNTA($C$5:C71),"000"))</f>
        <v/>
      </c>
      <c r="C71" s="12" t="n"/>
      <c r="D71" s="12" t="n"/>
      <c r="E71" s="13" t="n"/>
      <c r="F71" s="13" t="n"/>
      <c r="G71" s="13">
        <f>IF(OR(E71="",F71=""),"",E71-F71)</f>
        <v/>
      </c>
      <c r="H71" s="29" t="n"/>
      <c r="I71" s="29" t="n"/>
      <c r="J71" s="12" t="n"/>
      <c r="K71" s="12" t="n"/>
    </row>
    <row r="72" ht="22" customHeight="1">
      <c r="B72" s="17">
        <f>IF(C72="","PRV-"&amp;TEXT(COUNTA($C$5:C72),"000"))</f>
        <v/>
      </c>
      <c r="C72" s="14" t="n"/>
      <c r="D72" s="14" t="n"/>
      <c r="E72" s="15" t="n"/>
      <c r="F72" s="15" t="n"/>
      <c r="G72" s="15">
        <f>IF(OR(E72="",F72=""),"",E72-F72)</f>
        <v/>
      </c>
      <c r="H72" s="30" t="n"/>
      <c r="I72" s="30" t="n"/>
      <c r="J72" s="14" t="n"/>
      <c r="K72" s="14" t="n"/>
    </row>
    <row r="73" ht="22" customHeight="1">
      <c r="B73" s="16">
        <f>IF(C73="","PRV-"&amp;TEXT(COUNTA($C$5:C73),"000"))</f>
        <v/>
      </c>
      <c r="C73" s="12" t="n"/>
      <c r="D73" s="12" t="n"/>
      <c r="E73" s="13" t="n"/>
      <c r="F73" s="13" t="n"/>
      <c r="G73" s="13">
        <f>IF(OR(E73="",F73=""),"",E73-F73)</f>
        <v/>
      </c>
      <c r="H73" s="29" t="n"/>
      <c r="I73" s="29" t="n"/>
      <c r="J73" s="12" t="n"/>
      <c r="K73" s="12" t="n"/>
    </row>
    <row r="74" ht="22" customHeight="1">
      <c r="B74" s="17">
        <f>IF(C74="","PRV-"&amp;TEXT(COUNTA($C$5:C74),"000"))</f>
        <v/>
      </c>
      <c r="C74" s="14" t="n"/>
      <c r="D74" s="14" t="n"/>
      <c r="E74" s="15" t="n"/>
      <c r="F74" s="15" t="n"/>
      <c r="G74" s="15">
        <f>IF(OR(E74="",F74=""),"",E74-F74)</f>
        <v/>
      </c>
      <c r="H74" s="30" t="n"/>
      <c r="I74" s="30" t="n"/>
      <c r="J74" s="14" t="n"/>
      <c r="K74" s="14" t="n"/>
    </row>
    <row r="75" ht="22" customHeight="1">
      <c r="B75" s="16">
        <f>IF(C75="","PRV-"&amp;TEXT(COUNTA($C$5:C75),"000"))</f>
        <v/>
      </c>
      <c r="C75" s="12" t="n"/>
      <c r="D75" s="12" t="n"/>
      <c r="E75" s="13" t="n"/>
      <c r="F75" s="13" t="n"/>
      <c r="G75" s="13">
        <f>IF(OR(E75="",F75=""),"",E75-F75)</f>
        <v/>
      </c>
      <c r="H75" s="29" t="n"/>
      <c r="I75" s="29" t="n"/>
      <c r="J75" s="12" t="n"/>
      <c r="K75" s="12" t="n"/>
    </row>
    <row r="76" ht="22" customHeight="1">
      <c r="B76" s="17">
        <f>IF(C76="","PRV-"&amp;TEXT(COUNTA($C$5:C76),"000"))</f>
        <v/>
      </c>
      <c r="C76" s="14" t="n"/>
      <c r="D76" s="14" t="n"/>
      <c r="E76" s="15" t="n"/>
      <c r="F76" s="15" t="n"/>
      <c r="G76" s="15">
        <f>IF(OR(E76="",F76=""),"",E76-F76)</f>
        <v/>
      </c>
      <c r="H76" s="30" t="n"/>
      <c r="I76" s="30" t="n"/>
      <c r="J76" s="14" t="n"/>
      <c r="K76" s="14" t="n"/>
    </row>
    <row r="77" ht="22" customHeight="1">
      <c r="B77" s="16">
        <f>IF(C77="","PRV-"&amp;TEXT(COUNTA($C$5:C77),"000"))</f>
        <v/>
      </c>
      <c r="C77" s="12" t="n"/>
      <c r="D77" s="12" t="n"/>
      <c r="E77" s="13" t="n"/>
      <c r="F77" s="13" t="n"/>
      <c r="G77" s="13">
        <f>IF(OR(E77="",F77=""),"",E77-F77)</f>
        <v/>
      </c>
      <c r="H77" s="29" t="n"/>
      <c r="I77" s="29" t="n"/>
      <c r="J77" s="12" t="n"/>
      <c r="K77" s="12" t="n"/>
    </row>
    <row r="78" ht="22" customHeight="1">
      <c r="B78" s="17">
        <f>IF(C78="","PRV-"&amp;TEXT(COUNTA($C$5:C78),"000"))</f>
        <v/>
      </c>
      <c r="C78" s="14" t="n"/>
      <c r="D78" s="14" t="n"/>
      <c r="E78" s="15" t="n"/>
      <c r="F78" s="15" t="n"/>
      <c r="G78" s="15">
        <f>IF(OR(E78="",F78=""),"",E78-F78)</f>
        <v/>
      </c>
      <c r="H78" s="30" t="n"/>
      <c r="I78" s="30" t="n"/>
      <c r="J78" s="14" t="n"/>
      <c r="K78" s="14" t="n"/>
    </row>
    <row r="79" ht="22" customHeight="1">
      <c r="B79" s="16">
        <f>IF(C79="","PRV-"&amp;TEXT(COUNTA($C$5:C79),"000"))</f>
        <v/>
      </c>
      <c r="C79" s="12" t="n"/>
      <c r="D79" s="12" t="n"/>
      <c r="E79" s="13" t="n"/>
      <c r="F79" s="13" t="n"/>
      <c r="G79" s="13">
        <f>IF(OR(E79="",F79=""),"",E79-F79)</f>
        <v/>
      </c>
      <c r="H79" s="29" t="n"/>
      <c r="I79" s="29" t="n"/>
      <c r="J79" s="12" t="n"/>
      <c r="K79" s="12" t="n"/>
    </row>
    <row r="80" ht="22" customHeight="1">
      <c r="B80" s="17">
        <f>IF(C80="","PRV-"&amp;TEXT(COUNTA($C$5:C80),"000"))</f>
        <v/>
      </c>
      <c r="C80" s="14" t="n"/>
      <c r="D80" s="14" t="n"/>
      <c r="E80" s="15" t="n"/>
      <c r="F80" s="15" t="n"/>
      <c r="G80" s="15">
        <f>IF(OR(E80="",F80=""),"",E80-F80)</f>
        <v/>
      </c>
      <c r="H80" s="30" t="n"/>
      <c r="I80" s="30" t="n"/>
      <c r="J80" s="14" t="n"/>
      <c r="K80" s="14" t="n"/>
    </row>
    <row r="81" ht="22" customHeight="1">
      <c r="B81" s="16">
        <f>IF(C81="","PRV-"&amp;TEXT(COUNTA($C$5:C81),"000"))</f>
        <v/>
      </c>
      <c r="C81" s="12" t="n"/>
      <c r="D81" s="12" t="n"/>
      <c r="E81" s="13" t="n"/>
      <c r="F81" s="13" t="n"/>
      <c r="G81" s="13">
        <f>IF(OR(E81="",F81=""),"",E81-F81)</f>
        <v/>
      </c>
      <c r="H81" s="29" t="n"/>
      <c r="I81" s="29" t="n"/>
      <c r="J81" s="12" t="n"/>
      <c r="K81" s="12" t="n"/>
    </row>
    <row r="82" ht="22" customHeight="1">
      <c r="B82" s="17">
        <f>IF(C82="","PRV-"&amp;TEXT(COUNTA($C$5:C82),"000"))</f>
        <v/>
      </c>
      <c r="C82" s="14" t="n"/>
      <c r="D82" s="14" t="n"/>
      <c r="E82" s="15" t="n"/>
      <c r="F82" s="15" t="n"/>
      <c r="G82" s="15">
        <f>IF(OR(E82="",F82=""),"",E82-F82)</f>
        <v/>
      </c>
      <c r="H82" s="30" t="n"/>
      <c r="I82" s="30" t="n"/>
      <c r="J82" s="14" t="n"/>
      <c r="K82" s="14" t="n"/>
    </row>
    <row r="83" ht="22" customHeight="1">
      <c r="B83" s="16">
        <f>IF(C83="","PRV-"&amp;TEXT(COUNTA($C$5:C83),"000"))</f>
        <v/>
      </c>
      <c r="C83" s="12" t="n"/>
      <c r="D83" s="12" t="n"/>
      <c r="E83" s="13" t="n"/>
      <c r="F83" s="13" t="n"/>
      <c r="G83" s="13">
        <f>IF(OR(E83="",F83=""),"",E83-F83)</f>
        <v/>
      </c>
      <c r="H83" s="29" t="n"/>
      <c r="I83" s="29" t="n"/>
      <c r="J83" s="12" t="n"/>
      <c r="K83" s="12" t="n"/>
    </row>
    <row r="84" ht="22" customHeight="1">
      <c r="B84" s="17">
        <f>IF(C84="","PRV-"&amp;TEXT(COUNTA($C$5:C84),"000"))</f>
        <v/>
      </c>
      <c r="C84" s="14" t="n"/>
      <c r="D84" s="14" t="n"/>
      <c r="E84" s="15" t="n"/>
      <c r="F84" s="15" t="n"/>
      <c r="G84" s="15">
        <f>IF(OR(E84="",F84=""),"",E84-F84)</f>
        <v/>
      </c>
      <c r="H84" s="30" t="n"/>
      <c r="I84" s="30" t="n"/>
      <c r="J84" s="14" t="n"/>
      <c r="K84" s="14" t="n"/>
    </row>
    <row r="85" ht="22" customHeight="1">
      <c r="B85" s="16">
        <f>IF(C85="","PRV-"&amp;TEXT(COUNTA($C$5:C85),"000"))</f>
        <v/>
      </c>
      <c r="C85" s="12" t="n"/>
      <c r="D85" s="12" t="n"/>
      <c r="E85" s="13" t="n"/>
      <c r="F85" s="13" t="n"/>
      <c r="G85" s="13">
        <f>IF(OR(E85="",F85=""),"",E85-F85)</f>
        <v/>
      </c>
      <c r="H85" s="29" t="n"/>
      <c r="I85" s="29" t="n"/>
      <c r="J85" s="12" t="n"/>
      <c r="K85" s="12" t="n"/>
    </row>
    <row r="86" ht="22" customHeight="1">
      <c r="B86" s="17">
        <f>IF(C86="","PRV-"&amp;TEXT(COUNTA($C$5:C86),"000"))</f>
        <v/>
      </c>
      <c r="C86" s="14" t="n"/>
      <c r="D86" s="14" t="n"/>
      <c r="E86" s="15" t="n"/>
      <c r="F86" s="15" t="n"/>
      <c r="G86" s="15">
        <f>IF(OR(E86="",F86=""),"",E86-F86)</f>
        <v/>
      </c>
      <c r="H86" s="30" t="n"/>
      <c r="I86" s="30" t="n"/>
      <c r="J86" s="14" t="n"/>
      <c r="K86" s="14" t="n"/>
    </row>
    <row r="87" ht="22" customHeight="1">
      <c r="B87" s="16">
        <f>IF(C87="","PRV-"&amp;TEXT(COUNTA($C$5:C87),"000"))</f>
        <v/>
      </c>
      <c r="C87" s="12" t="n"/>
      <c r="D87" s="12" t="n"/>
      <c r="E87" s="13" t="n"/>
      <c r="F87" s="13" t="n"/>
      <c r="G87" s="13">
        <f>IF(OR(E87="",F87=""),"",E87-F87)</f>
        <v/>
      </c>
      <c r="H87" s="29" t="n"/>
      <c r="I87" s="29" t="n"/>
      <c r="J87" s="12" t="n"/>
      <c r="K87" s="12" t="n"/>
    </row>
    <row r="88" ht="22" customHeight="1">
      <c r="B88" s="17">
        <f>IF(C88="","PRV-"&amp;TEXT(COUNTA($C$5:C88),"000"))</f>
        <v/>
      </c>
      <c r="C88" s="14" t="n"/>
      <c r="D88" s="14" t="n"/>
      <c r="E88" s="15" t="n"/>
      <c r="F88" s="15" t="n"/>
      <c r="G88" s="15">
        <f>IF(OR(E88="",F88=""),"",E88-F88)</f>
        <v/>
      </c>
      <c r="H88" s="30" t="n"/>
      <c r="I88" s="30" t="n"/>
      <c r="J88" s="14" t="n"/>
      <c r="K88" s="14" t="n"/>
    </row>
    <row r="89" ht="22" customHeight="1">
      <c r="B89" s="16">
        <f>IF(C89="","PRV-"&amp;TEXT(COUNTA($C$5:C89),"000"))</f>
        <v/>
      </c>
      <c r="C89" s="12" t="n"/>
      <c r="D89" s="12" t="n"/>
      <c r="E89" s="13" t="n"/>
      <c r="F89" s="13" t="n"/>
      <c r="G89" s="13">
        <f>IF(OR(E89="",F89=""),"",E89-F89)</f>
        <v/>
      </c>
      <c r="H89" s="29" t="n"/>
      <c r="I89" s="29" t="n"/>
      <c r="J89" s="12" t="n"/>
      <c r="K89" s="12" t="n"/>
    </row>
    <row r="90" ht="22" customHeight="1">
      <c r="B90" s="17">
        <f>IF(C90="","PRV-"&amp;TEXT(COUNTA($C$5:C90),"000"))</f>
        <v/>
      </c>
      <c r="C90" s="14" t="n"/>
      <c r="D90" s="14" t="n"/>
      <c r="E90" s="15" t="n"/>
      <c r="F90" s="15" t="n"/>
      <c r="G90" s="15">
        <f>IF(OR(E90="",F90=""),"",E90-F90)</f>
        <v/>
      </c>
      <c r="H90" s="30" t="n"/>
      <c r="I90" s="30" t="n"/>
      <c r="J90" s="14" t="n"/>
      <c r="K90" s="14" t="n"/>
    </row>
    <row r="91" ht="22" customHeight="1">
      <c r="B91" s="16">
        <f>IF(C91="","PRV-"&amp;TEXT(COUNTA($C$5:C91),"000"))</f>
        <v/>
      </c>
      <c r="C91" s="12" t="n"/>
      <c r="D91" s="12" t="n"/>
      <c r="E91" s="13" t="n"/>
      <c r="F91" s="13" t="n"/>
      <c r="G91" s="13">
        <f>IF(OR(E91="",F91=""),"",E91-F91)</f>
        <v/>
      </c>
      <c r="H91" s="29" t="n"/>
      <c r="I91" s="29" t="n"/>
      <c r="J91" s="12" t="n"/>
      <c r="K91" s="12" t="n"/>
    </row>
    <row r="92" ht="22" customHeight="1">
      <c r="B92" s="17">
        <f>IF(C92="","PRV-"&amp;TEXT(COUNTA($C$5:C92),"000"))</f>
        <v/>
      </c>
      <c r="C92" s="14" t="n"/>
      <c r="D92" s="14" t="n"/>
      <c r="E92" s="15" t="n"/>
      <c r="F92" s="15" t="n"/>
      <c r="G92" s="15">
        <f>IF(OR(E92="",F92=""),"",E92-F92)</f>
        <v/>
      </c>
      <c r="H92" s="30" t="n"/>
      <c r="I92" s="30" t="n"/>
      <c r="J92" s="14" t="n"/>
      <c r="K92" s="14" t="n"/>
    </row>
    <row r="93" ht="22" customHeight="1">
      <c r="B93" s="16">
        <f>IF(C93="","PRV-"&amp;TEXT(COUNTA($C$5:C93),"000"))</f>
        <v/>
      </c>
      <c r="C93" s="12" t="n"/>
      <c r="D93" s="12" t="n"/>
      <c r="E93" s="13" t="n"/>
      <c r="F93" s="13" t="n"/>
      <c r="G93" s="13">
        <f>IF(OR(E93="",F93=""),"",E93-F93)</f>
        <v/>
      </c>
      <c r="H93" s="29" t="n"/>
      <c r="I93" s="29" t="n"/>
      <c r="J93" s="12" t="n"/>
      <c r="K93" s="12" t="n"/>
    </row>
    <row r="94" ht="22" customHeight="1">
      <c r="B94" s="17">
        <f>IF(C94="","PRV-"&amp;TEXT(COUNTA($C$5:C94),"000"))</f>
        <v/>
      </c>
      <c r="C94" s="14" t="n"/>
      <c r="D94" s="14" t="n"/>
      <c r="E94" s="15" t="n"/>
      <c r="F94" s="15" t="n"/>
      <c r="G94" s="15">
        <f>IF(OR(E94="",F94=""),"",E94-F94)</f>
        <v/>
      </c>
      <c r="H94" s="30" t="n"/>
      <c r="I94" s="30" t="n"/>
      <c r="J94" s="14" t="n"/>
      <c r="K94" s="14" t="n"/>
    </row>
    <row r="95" ht="22" customHeight="1">
      <c r="B95" s="16">
        <f>IF(C95="","PRV-"&amp;TEXT(COUNTA($C$5:C95),"000"))</f>
        <v/>
      </c>
      <c r="C95" s="12" t="n"/>
      <c r="D95" s="12" t="n"/>
      <c r="E95" s="13" t="n"/>
      <c r="F95" s="13" t="n"/>
      <c r="G95" s="13">
        <f>IF(OR(E95="",F95=""),"",E95-F95)</f>
        <v/>
      </c>
      <c r="H95" s="29" t="n"/>
      <c r="I95" s="29" t="n"/>
      <c r="J95" s="12" t="n"/>
      <c r="K95" s="12" t="n"/>
    </row>
    <row r="96" ht="22" customHeight="1">
      <c r="B96" s="17">
        <f>IF(C96="","PRV-"&amp;TEXT(COUNTA($C$5:C96),"000"))</f>
        <v/>
      </c>
      <c r="C96" s="14" t="n"/>
      <c r="D96" s="14" t="n"/>
      <c r="E96" s="15" t="n"/>
      <c r="F96" s="15" t="n"/>
      <c r="G96" s="15">
        <f>IF(OR(E96="",F96=""),"",E96-F96)</f>
        <v/>
      </c>
      <c r="H96" s="30" t="n"/>
      <c r="I96" s="30" t="n"/>
      <c r="J96" s="14" t="n"/>
      <c r="K96" s="14" t="n"/>
    </row>
    <row r="97" ht="22" customHeight="1">
      <c r="B97" s="16">
        <f>IF(C97="","PRV-"&amp;TEXT(COUNTA($C$5:C97),"000"))</f>
        <v/>
      </c>
      <c r="C97" s="12" t="n"/>
      <c r="D97" s="12" t="n"/>
      <c r="E97" s="13" t="n"/>
      <c r="F97" s="13" t="n"/>
      <c r="G97" s="13">
        <f>IF(OR(E97="",F97=""),"",E97-F97)</f>
        <v/>
      </c>
      <c r="H97" s="29" t="n"/>
      <c r="I97" s="29" t="n"/>
      <c r="J97" s="12" t="n"/>
      <c r="K97" s="12" t="n"/>
    </row>
    <row r="98" ht="22" customHeight="1">
      <c r="B98" s="17">
        <f>IF(C98="","PRV-"&amp;TEXT(COUNTA($C$5:C98),"000"))</f>
        <v/>
      </c>
      <c r="C98" s="14" t="n"/>
      <c r="D98" s="14" t="n"/>
      <c r="E98" s="15" t="n"/>
      <c r="F98" s="15" t="n"/>
      <c r="G98" s="15">
        <f>IF(OR(E98="",F98=""),"",E98-F98)</f>
        <v/>
      </c>
      <c r="H98" s="30" t="n"/>
      <c r="I98" s="30" t="n"/>
      <c r="J98" s="14" t="n"/>
      <c r="K98" s="14" t="n"/>
    </row>
    <row r="99" ht="22" customHeight="1">
      <c r="B99" s="16">
        <f>IF(C99="","PRV-"&amp;TEXT(COUNTA($C$5:C99),"000"))</f>
        <v/>
      </c>
      <c r="C99" s="12" t="n"/>
      <c r="D99" s="12" t="n"/>
      <c r="E99" s="13" t="n"/>
      <c r="F99" s="13" t="n"/>
      <c r="G99" s="13">
        <f>IF(OR(E99="",F99=""),"",E99-F99)</f>
        <v/>
      </c>
      <c r="H99" s="29" t="n"/>
      <c r="I99" s="29" t="n"/>
      <c r="J99" s="12" t="n"/>
      <c r="K99" s="12" t="n"/>
    </row>
    <row r="100" ht="22" customHeight="1">
      <c r="B100" s="17">
        <f>IF(C100="","PRV-"&amp;TEXT(COUNTA($C$5:C100),"000"))</f>
        <v/>
      </c>
      <c r="C100" s="14" t="n"/>
      <c r="D100" s="14" t="n"/>
      <c r="E100" s="15" t="n"/>
      <c r="F100" s="15" t="n"/>
      <c r="G100" s="15">
        <f>IF(OR(E100="",F100=""),"",E100-F100)</f>
        <v/>
      </c>
      <c r="H100" s="30" t="n"/>
      <c r="I100" s="30" t="n"/>
      <c r="J100" s="14" t="n"/>
      <c r="K100" s="14" t="n"/>
    </row>
    <row r="101" ht="22" customHeight="1">
      <c r="B101" s="16">
        <f>IF(C101="","PRV-"&amp;TEXT(COUNTA($C$5:C101),"000"))</f>
        <v/>
      </c>
      <c r="C101" s="12" t="n"/>
      <c r="D101" s="12" t="n"/>
      <c r="E101" s="13" t="n"/>
      <c r="F101" s="13" t="n"/>
      <c r="G101" s="13">
        <f>IF(OR(E101="",F101=""),"",E101-F101)</f>
        <v/>
      </c>
      <c r="H101" s="29" t="n"/>
      <c r="I101" s="29" t="n"/>
      <c r="J101" s="12" t="n"/>
      <c r="K101" s="12" t="n"/>
    </row>
    <row r="102" ht="22" customHeight="1">
      <c r="B102" s="17">
        <f>IF(C102="","PRV-"&amp;TEXT(COUNTA($C$5:C102),"000"))</f>
        <v/>
      </c>
      <c r="C102" s="14" t="n"/>
      <c r="D102" s="14" t="n"/>
      <c r="E102" s="15" t="n"/>
      <c r="F102" s="15" t="n"/>
      <c r="G102" s="15">
        <f>IF(OR(E102="",F102=""),"",E102-F102)</f>
        <v/>
      </c>
      <c r="H102" s="30" t="n"/>
      <c r="I102" s="30" t="n"/>
      <c r="J102" s="14" t="n"/>
      <c r="K102" s="14" t="n"/>
    </row>
    <row r="103" ht="22" customHeight="1">
      <c r="B103" s="16">
        <f>IF(C103="","PRV-"&amp;TEXT(COUNTA($C$5:C103),"000"))</f>
        <v/>
      </c>
      <c r="C103" s="12" t="n"/>
      <c r="D103" s="12" t="n"/>
      <c r="E103" s="13" t="n"/>
      <c r="F103" s="13" t="n"/>
      <c r="G103" s="13">
        <f>IF(OR(E103="",F103=""),"",E103-F103)</f>
        <v/>
      </c>
      <c r="H103" s="29" t="n"/>
      <c r="I103" s="29" t="n"/>
      <c r="J103" s="12" t="n"/>
      <c r="K103" s="12" t="n"/>
    </row>
    <row r="104" ht="22" customHeight="1">
      <c r="B104" s="17">
        <f>IF(C104="","PRV-"&amp;TEXT(COUNTA($C$5:C104),"000"))</f>
        <v/>
      </c>
      <c r="C104" s="14" t="n"/>
      <c r="D104" s="14" t="n"/>
      <c r="E104" s="15" t="n"/>
      <c r="F104" s="15" t="n"/>
      <c r="G104" s="15">
        <f>IF(OR(E104="",F104=""),"",E104-F104)</f>
        <v/>
      </c>
      <c r="H104" s="30" t="n"/>
      <c r="I104" s="30" t="n"/>
      <c r="J104" s="14" t="n"/>
      <c r="K104" s="14" t="n"/>
    </row>
    <row r="105" ht="22" customHeight="1">
      <c r="B105" s="16">
        <f>IF(C105="","PRV-"&amp;TEXT(COUNTA($C$5:C105),"000"))</f>
        <v/>
      </c>
      <c r="C105" s="12" t="n"/>
      <c r="D105" s="12" t="n"/>
      <c r="E105" s="13" t="n"/>
      <c r="F105" s="13" t="n"/>
      <c r="G105" s="13">
        <f>IF(OR(E105="",F105=""),"",E105-F105)</f>
        <v/>
      </c>
      <c r="H105" s="29" t="n"/>
      <c r="I105" s="29" t="n"/>
      <c r="J105" s="12" t="n"/>
      <c r="K105" s="12" t="n"/>
    </row>
    <row r="106" ht="22" customHeight="1">
      <c r="B106" s="17">
        <f>IF(C106="","PRV-"&amp;TEXT(COUNTA($C$5:C106),"000"))</f>
        <v/>
      </c>
      <c r="C106" s="14" t="n"/>
      <c r="D106" s="14" t="n"/>
      <c r="E106" s="15" t="n"/>
      <c r="F106" s="15" t="n"/>
      <c r="G106" s="15">
        <f>IF(OR(E106="",F106=""),"",E106-F106)</f>
        <v/>
      </c>
      <c r="H106" s="30" t="n"/>
      <c r="I106" s="30" t="n"/>
      <c r="J106" s="14" t="n"/>
      <c r="K106" s="14" t="n"/>
    </row>
    <row r="107" ht="22" customHeight="1">
      <c r="B107" s="16">
        <f>IF(C107="","PRV-"&amp;TEXT(COUNTA($C$5:C107),"000"))</f>
        <v/>
      </c>
      <c r="C107" s="12" t="n"/>
      <c r="D107" s="12" t="n"/>
      <c r="E107" s="13" t="n"/>
      <c r="F107" s="13" t="n"/>
      <c r="G107" s="13">
        <f>IF(OR(E107="",F107=""),"",E107-F107)</f>
        <v/>
      </c>
      <c r="H107" s="29" t="n"/>
      <c r="I107" s="29" t="n"/>
      <c r="J107" s="12" t="n"/>
      <c r="K107" s="12" t="n"/>
    </row>
    <row r="108" ht="22" customHeight="1">
      <c r="B108" s="17">
        <f>IF(C108="","PRV-"&amp;TEXT(COUNTA($C$5:C108),"000"))</f>
        <v/>
      </c>
      <c r="C108" s="14" t="n"/>
      <c r="D108" s="14" t="n"/>
      <c r="E108" s="15" t="n"/>
      <c r="F108" s="15" t="n"/>
      <c r="G108" s="15">
        <f>IF(OR(E108="",F108=""),"",E108-F108)</f>
        <v/>
      </c>
      <c r="H108" s="30" t="n"/>
      <c r="I108" s="30" t="n"/>
      <c r="J108" s="14" t="n"/>
      <c r="K108" s="14" t="n"/>
    </row>
    <row r="109" ht="22" customHeight="1">
      <c r="B109" s="16">
        <f>IF(C109="","PRV-"&amp;TEXT(COUNTA($C$5:C109),"000"))</f>
        <v/>
      </c>
      <c r="C109" s="12" t="n"/>
      <c r="D109" s="12" t="n"/>
      <c r="E109" s="13" t="n"/>
      <c r="F109" s="13" t="n"/>
      <c r="G109" s="13">
        <f>IF(OR(E109="",F109=""),"",E109-F109)</f>
        <v/>
      </c>
      <c r="H109" s="29" t="n"/>
      <c r="I109" s="29" t="n"/>
      <c r="J109" s="12" t="n"/>
      <c r="K109" s="12" t="n"/>
    </row>
    <row r="111" ht="26" customHeight="1">
      <c r="B111" s="18" t="inlineStr">
        <is>
          <t>TOTAL</t>
        </is>
      </c>
      <c r="C111" s="19" t="n"/>
      <c r="D111" s="19" t="n"/>
      <c r="E111" s="20">
        <f>SUM(E5:E104)</f>
        <v/>
      </c>
      <c r="F111" s="20">
        <f>SUM(F5:F104)</f>
        <v/>
      </c>
      <c r="G111" s="20">
        <f>SUM(G5:G104)</f>
        <v/>
      </c>
      <c r="H111" s="19" t="n"/>
      <c r="I111" s="19" t="n"/>
      <c r="J111" s="19" t="n"/>
      <c r="K111" s="19" t="n"/>
    </row>
    <row r="113">
      <c r="B113" s="5" t="inlineStr">
        <is>
          <t>INDICATEURS (mis a jour automatiquement)</t>
        </is>
      </c>
    </row>
    <row r="114">
      <c r="B114" s="3" t="inlineStr">
        <is>
          <t>Provisions suivies</t>
        </is>
      </c>
      <c r="D114" s="3" t="inlineStr">
        <is>
          <t>Total provisions</t>
        </is>
      </c>
      <c r="F114" s="3" t="inlineStr">
        <is>
          <t>Total utilise</t>
        </is>
      </c>
    </row>
    <row r="115">
      <c r="B115" s="4">
        <f>COUNTIF(B5:B104,"&lt;&gt;")</f>
        <v/>
      </c>
      <c r="D115" s="4">
        <f>SUM(E5:E104)</f>
        <v/>
      </c>
      <c r="F115" s="4">
        <f>SUM(F5:F104)</f>
        <v/>
      </c>
    </row>
  </sheetData>
  <mergeCells count="3">
    <mergeCell ref="B113:K113"/>
    <mergeCell ref="B3:K3"/>
    <mergeCell ref="B2:K2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'_Lists'!$D$2:$D$8</formula1>
    </dataValidation>
    <dataValidation sqref="K5:K109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4" customWidth="1" min="4" max="4"/>
    <col width="20" customWidth="1" min="5" max="5"/>
    <col width="16" customWidth="1" min="6" max="6"/>
    <col width="18" customWidth="1" min="7" max="7"/>
    <col width="18" customWidth="1" min="8" max="8"/>
    <col width="20" customWidth="1" min="9" max="9"/>
    <col width="20" customWidth="1" min="10" max="10"/>
    <col width="20" customWidth="1" min="11" max="11"/>
    <col width="14" customWidth="1" min="12" max="12"/>
  </cols>
  <sheetData>
    <row r="1" ht="15" customHeight="1"/>
    <row r="2" ht="32" customHeight="1">
      <c r="B2" s="1" t="inlineStr">
        <is>
          <t>SUIVI DES COUTS DE RECRUTEMENT (#152)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Poste a Pourvoir</t>
        </is>
      </c>
      <c r="D4" s="11" t="inlineStr">
        <is>
          <t>Service</t>
        </is>
      </c>
      <c r="E4" s="11" t="inlineStr">
        <is>
          <t>Source Candidat</t>
        </is>
      </c>
      <c r="F4" s="11" t="inlineStr">
        <is>
          <t>Cand. Presentes</t>
        </is>
      </c>
      <c r="G4" s="11" t="inlineStr">
        <is>
          <t>Cand. Entretien</t>
        </is>
      </c>
      <c r="H4" s="11" t="inlineStr">
        <is>
          <t>Frais Publication</t>
        </is>
      </c>
      <c r="I4" s="11" t="inlineStr">
        <is>
          <t>Honoraires Cabinet</t>
        </is>
      </c>
      <c r="J4" s="11" t="inlineStr">
        <is>
          <t>Cout Tests Selection</t>
        </is>
      </c>
      <c r="K4" s="11" t="inlineStr">
        <is>
          <t>Cout Total (FCFA)</t>
        </is>
      </c>
      <c r="L4" s="11" t="inlineStr">
        <is>
          <t>Statut</t>
        </is>
      </c>
    </row>
    <row r="5" ht="22" customHeight="1">
      <c r="B5" s="12" t="inlineStr">
        <is>
          <t>CRU-001</t>
        </is>
      </c>
      <c r="C5" s="12" t="inlineStr">
        <is>
          <t>Chef Reception</t>
        </is>
      </c>
      <c r="D5" s="12" t="inlineStr">
        <is>
          <t>Réception &amp; Front Office</t>
        </is>
      </c>
      <c r="E5" s="12" t="inlineStr">
        <is>
          <t>Recommandation</t>
        </is>
      </c>
      <c r="F5" s="25" t="n">
        <v>8</v>
      </c>
      <c r="G5" s="25" t="n">
        <v>3</v>
      </c>
      <c r="H5" s="13" t="n">
        <v>50000</v>
      </c>
      <c r="I5" s="13" t="n">
        <v>250000</v>
      </c>
      <c r="J5" s="13" t="n">
        <v>75000</v>
      </c>
      <c r="K5" s="13" t="n"/>
      <c r="L5" s="12" t="inlineStr">
        <is>
          <t>Pourvu</t>
        </is>
      </c>
    </row>
    <row r="6" ht="22" customHeight="1">
      <c r="B6" s="14" t="inlineStr">
        <is>
          <t>CRU-002</t>
        </is>
      </c>
      <c r="C6" s="14" t="inlineStr">
        <is>
          <t>Receptionniste</t>
        </is>
      </c>
      <c r="D6" s="14" t="inlineStr">
        <is>
          <t>Réception &amp; Front Office</t>
        </is>
      </c>
      <c r="E6" s="14" t="inlineStr">
        <is>
          <t>Site emploi</t>
        </is>
      </c>
      <c r="F6" s="26" t="n">
        <v>25</v>
      </c>
      <c r="G6" s="26" t="n">
        <v>5</v>
      </c>
      <c r="H6" s="15" t="n">
        <v>100000</v>
      </c>
      <c r="I6" s="15" t="n">
        <v>0</v>
      </c>
      <c r="J6" s="15" t="n">
        <v>50000</v>
      </c>
      <c r="K6" s="15" t="n"/>
      <c r="L6" s="14" t="inlineStr">
        <is>
          <t>Pourvu</t>
        </is>
      </c>
    </row>
    <row r="7" ht="22" customHeight="1">
      <c r="B7" s="12" t="inlineStr">
        <is>
          <t>CRU-003</t>
        </is>
      </c>
      <c r="C7" s="12" t="inlineStr">
        <is>
          <t>Cuisinier</t>
        </is>
      </c>
      <c r="D7" s="12" t="inlineStr">
        <is>
          <t>Cuisine &amp; Restauration</t>
        </is>
      </c>
      <c r="E7" s="12" t="inlineStr">
        <is>
          <t>Presse</t>
        </is>
      </c>
      <c r="F7" s="25" t="n">
        <v>12</v>
      </c>
      <c r="G7" s="25" t="n">
        <v>4</v>
      </c>
      <c r="H7" s="13" t="n">
        <v>75000</v>
      </c>
      <c r="I7" s="13" t="n">
        <v>150000</v>
      </c>
      <c r="J7" s="13" t="n">
        <v>25000</v>
      </c>
      <c r="K7" s="13" t="n"/>
      <c r="L7" s="12" t="inlineStr">
        <is>
          <t>En cours</t>
        </is>
      </c>
    </row>
    <row r="8" ht="22" customHeight="1">
      <c r="B8" s="14" t="inlineStr">
        <is>
          <t>CRU-004</t>
        </is>
      </c>
      <c r="C8" s="14" t="inlineStr">
        <is>
          <t>Agent Securite</t>
        </is>
      </c>
      <c r="D8" s="14" t="inlineStr">
        <is>
          <t>Sécurité</t>
        </is>
      </c>
      <c r="E8" s="14" t="inlineStr">
        <is>
          <t>Reseau social</t>
        </is>
      </c>
      <c r="F8" s="26" t="n">
        <v>18</v>
      </c>
      <c r="G8" s="26" t="n">
        <v>3</v>
      </c>
      <c r="H8" s="15" t="n">
        <v>0</v>
      </c>
      <c r="I8" s="15" t="n">
        <v>0</v>
      </c>
      <c r="J8" s="15" t="n">
        <v>20000</v>
      </c>
      <c r="K8" s="15" t="n"/>
      <c r="L8" s="14" t="inlineStr">
        <is>
          <t>En cours</t>
        </is>
      </c>
    </row>
    <row r="9" ht="22" customHeight="1">
      <c r="B9" s="16">
        <f>IF(C9="","CRU-"&amp;TEXT(COUNTA($C$5:C9),"000"))</f>
        <v/>
      </c>
      <c r="C9" s="12" t="n"/>
      <c r="D9" s="12" t="n"/>
      <c r="E9" s="12" t="n"/>
      <c r="F9" s="25" t="n"/>
      <c r="G9" s="25" t="n"/>
      <c r="H9" s="13" t="n"/>
      <c r="I9" s="13" t="n"/>
      <c r="J9" s="13" t="n"/>
      <c r="K9" s="13">
        <f>H9+I9+J9</f>
        <v/>
      </c>
      <c r="L9" s="12" t="n"/>
    </row>
    <row r="10" ht="22" customHeight="1">
      <c r="B10" s="17">
        <f>IF(C10="","CRU-"&amp;TEXT(COUNTA($C$5:C10),"000"))</f>
        <v/>
      </c>
      <c r="C10" s="14" t="n"/>
      <c r="D10" s="14" t="n"/>
      <c r="E10" s="14" t="n"/>
      <c r="F10" s="26" t="n"/>
      <c r="G10" s="26" t="n"/>
      <c r="H10" s="15" t="n"/>
      <c r="I10" s="15" t="n"/>
      <c r="J10" s="15" t="n"/>
      <c r="K10" s="15">
        <f>H10+I10+J10</f>
        <v/>
      </c>
      <c r="L10" s="14" t="n"/>
    </row>
    <row r="11" ht="22" customHeight="1">
      <c r="B11" s="16">
        <f>IF(C11="","CRU-"&amp;TEXT(COUNTA($C$5:C11),"000"))</f>
        <v/>
      </c>
      <c r="C11" s="12" t="n"/>
      <c r="D11" s="12" t="n"/>
      <c r="E11" s="12" t="n"/>
      <c r="F11" s="25" t="n"/>
      <c r="G11" s="25" t="n"/>
      <c r="H11" s="13" t="n"/>
      <c r="I11" s="13" t="n"/>
      <c r="J11" s="13" t="n"/>
      <c r="K11" s="13">
        <f>H11+I11+J11</f>
        <v/>
      </c>
      <c r="L11" s="12" t="n"/>
    </row>
    <row r="12" ht="22" customHeight="1">
      <c r="B12" s="17">
        <f>IF(C12="","CRU-"&amp;TEXT(COUNTA($C$5:C12),"000"))</f>
        <v/>
      </c>
      <c r="C12" s="14" t="n"/>
      <c r="D12" s="14" t="n"/>
      <c r="E12" s="14" t="n"/>
      <c r="F12" s="26" t="n"/>
      <c r="G12" s="26" t="n"/>
      <c r="H12" s="15" t="n"/>
      <c r="I12" s="15" t="n"/>
      <c r="J12" s="15" t="n"/>
      <c r="K12" s="15">
        <f>H12+I12+J12</f>
        <v/>
      </c>
      <c r="L12" s="14" t="n"/>
    </row>
    <row r="13" ht="22" customHeight="1">
      <c r="B13" s="16">
        <f>IF(C13="","CRU-"&amp;TEXT(COUNTA($C$5:C13),"000"))</f>
        <v/>
      </c>
      <c r="C13" s="12" t="n"/>
      <c r="D13" s="12" t="n"/>
      <c r="E13" s="12" t="n"/>
      <c r="F13" s="25" t="n"/>
      <c r="G13" s="25" t="n"/>
      <c r="H13" s="13" t="n"/>
      <c r="I13" s="13" t="n"/>
      <c r="J13" s="13" t="n"/>
      <c r="K13" s="13">
        <f>H13+I13+J13</f>
        <v/>
      </c>
      <c r="L13" s="12" t="n"/>
    </row>
    <row r="14" ht="22" customHeight="1">
      <c r="B14" s="17">
        <f>IF(C14="","CRU-"&amp;TEXT(COUNTA($C$5:C14),"000"))</f>
        <v/>
      </c>
      <c r="C14" s="14" t="n"/>
      <c r="D14" s="14" t="n"/>
      <c r="E14" s="14" t="n"/>
      <c r="F14" s="26" t="n"/>
      <c r="G14" s="26" t="n"/>
      <c r="H14" s="15" t="n"/>
      <c r="I14" s="15" t="n"/>
      <c r="J14" s="15" t="n"/>
      <c r="K14" s="15">
        <f>H14+I14+J14</f>
        <v/>
      </c>
      <c r="L14" s="14" t="n"/>
    </row>
    <row r="15" ht="22" customHeight="1">
      <c r="B15" s="16">
        <f>IF(C15="","CRU-"&amp;TEXT(COUNTA($C$5:C15),"000"))</f>
        <v/>
      </c>
      <c r="C15" s="12" t="n"/>
      <c r="D15" s="12" t="n"/>
      <c r="E15" s="12" t="n"/>
      <c r="F15" s="25" t="n"/>
      <c r="G15" s="25" t="n"/>
      <c r="H15" s="13" t="n"/>
      <c r="I15" s="13" t="n"/>
      <c r="J15" s="13" t="n"/>
      <c r="K15" s="13">
        <f>H15+I15+J15</f>
        <v/>
      </c>
      <c r="L15" s="12" t="n"/>
    </row>
    <row r="16" ht="22" customHeight="1">
      <c r="B16" s="17">
        <f>IF(C16="","CRU-"&amp;TEXT(COUNTA($C$5:C16),"000"))</f>
        <v/>
      </c>
      <c r="C16" s="14" t="n"/>
      <c r="D16" s="14" t="n"/>
      <c r="E16" s="14" t="n"/>
      <c r="F16" s="26" t="n"/>
      <c r="G16" s="26" t="n"/>
      <c r="H16" s="15" t="n"/>
      <c r="I16" s="15" t="n"/>
      <c r="J16" s="15" t="n"/>
      <c r="K16" s="15">
        <f>H16+I16+J16</f>
        <v/>
      </c>
      <c r="L16" s="14" t="n"/>
    </row>
    <row r="17" ht="22" customHeight="1">
      <c r="B17" s="16">
        <f>IF(C17="","CRU-"&amp;TEXT(COUNTA($C$5:C17),"000"))</f>
        <v/>
      </c>
      <c r="C17" s="12" t="n"/>
      <c r="D17" s="12" t="n"/>
      <c r="E17" s="12" t="n"/>
      <c r="F17" s="25" t="n"/>
      <c r="G17" s="25" t="n"/>
      <c r="H17" s="13" t="n"/>
      <c r="I17" s="13" t="n"/>
      <c r="J17" s="13" t="n"/>
      <c r="K17" s="13">
        <f>H17+I17+J17</f>
        <v/>
      </c>
      <c r="L17" s="12" t="n"/>
    </row>
    <row r="18" ht="22" customHeight="1">
      <c r="B18" s="17">
        <f>IF(C18="","CRU-"&amp;TEXT(COUNTA($C$5:C18),"000"))</f>
        <v/>
      </c>
      <c r="C18" s="14" t="n"/>
      <c r="D18" s="14" t="n"/>
      <c r="E18" s="14" t="n"/>
      <c r="F18" s="26" t="n"/>
      <c r="G18" s="26" t="n"/>
      <c r="H18" s="15" t="n"/>
      <c r="I18" s="15" t="n"/>
      <c r="J18" s="15" t="n"/>
      <c r="K18" s="15">
        <f>H18+I18+J18</f>
        <v/>
      </c>
      <c r="L18" s="14" t="n"/>
    </row>
    <row r="19" ht="22" customHeight="1">
      <c r="B19" s="16">
        <f>IF(C19="","CRU-"&amp;TEXT(COUNTA($C$5:C19),"000"))</f>
        <v/>
      </c>
      <c r="C19" s="12" t="n"/>
      <c r="D19" s="12" t="n"/>
      <c r="E19" s="12" t="n"/>
      <c r="F19" s="25" t="n"/>
      <c r="G19" s="25" t="n"/>
      <c r="H19" s="13" t="n"/>
      <c r="I19" s="13" t="n"/>
      <c r="J19" s="13" t="n"/>
      <c r="K19" s="13">
        <f>H19+I19+J19</f>
        <v/>
      </c>
      <c r="L19" s="12" t="n"/>
    </row>
    <row r="20" ht="22" customHeight="1">
      <c r="B20" s="17">
        <f>IF(C20="","CRU-"&amp;TEXT(COUNTA($C$5:C20),"000"))</f>
        <v/>
      </c>
      <c r="C20" s="14" t="n"/>
      <c r="D20" s="14" t="n"/>
      <c r="E20" s="14" t="n"/>
      <c r="F20" s="26" t="n"/>
      <c r="G20" s="26" t="n"/>
      <c r="H20" s="15" t="n"/>
      <c r="I20" s="15" t="n"/>
      <c r="J20" s="15" t="n"/>
      <c r="K20" s="15">
        <f>H20+I20+J20</f>
        <v/>
      </c>
      <c r="L20" s="14" t="n"/>
    </row>
    <row r="21" ht="22" customHeight="1">
      <c r="B21" s="16">
        <f>IF(C21="","CRU-"&amp;TEXT(COUNTA($C$5:C21),"000"))</f>
        <v/>
      </c>
      <c r="C21" s="12" t="n"/>
      <c r="D21" s="12" t="n"/>
      <c r="E21" s="12" t="n"/>
      <c r="F21" s="25" t="n"/>
      <c r="G21" s="25" t="n"/>
      <c r="H21" s="13" t="n"/>
      <c r="I21" s="13" t="n"/>
      <c r="J21" s="13" t="n"/>
      <c r="K21" s="13">
        <f>H21+I21+J21</f>
        <v/>
      </c>
      <c r="L21" s="12" t="n"/>
    </row>
    <row r="22" ht="22" customHeight="1">
      <c r="B22" s="17">
        <f>IF(C22="","CRU-"&amp;TEXT(COUNTA($C$5:C22),"000"))</f>
        <v/>
      </c>
      <c r="C22" s="14" t="n"/>
      <c r="D22" s="14" t="n"/>
      <c r="E22" s="14" t="n"/>
      <c r="F22" s="26" t="n"/>
      <c r="G22" s="26" t="n"/>
      <c r="H22" s="15" t="n"/>
      <c r="I22" s="15" t="n"/>
      <c r="J22" s="15" t="n"/>
      <c r="K22" s="15">
        <f>H22+I22+J22</f>
        <v/>
      </c>
      <c r="L22" s="14" t="n"/>
    </row>
    <row r="23" ht="22" customHeight="1">
      <c r="B23" s="16">
        <f>IF(C23="","CRU-"&amp;TEXT(COUNTA($C$5:C23),"000"))</f>
        <v/>
      </c>
      <c r="C23" s="12" t="n"/>
      <c r="D23" s="12" t="n"/>
      <c r="E23" s="12" t="n"/>
      <c r="F23" s="25" t="n"/>
      <c r="G23" s="25" t="n"/>
      <c r="H23" s="13" t="n"/>
      <c r="I23" s="13" t="n"/>
      <c r="J23" s="13" t="n"/>
      <c r="K23" s="13">
        <f>H23+I23+J23</f>
        <v/>
      </c>
      <c r="L23" s="12" t="n"/>
    </row>
    <row r="24" ht="22" customHeight="1">
      <c r="B24" s="17">
        <f>IF(C24="","CRU-"&amp;TEXT(COUNTA($C$5:C24),"000"))</f>
        <v/>
      </c>
      <c r="C24" s="14" t="n"/>
      <c r="D24" s="14" t="n"/>
      <c r="E24" s="14" t="n"/>
      <c r="F24" s="26" t="n"/>
      <c r="G24" s="26" t="n"/>
      <c r="H24" s="15" t="n"/>
      <c r="I24" s="15" t="n"/>
      <c r="J24" s="15" t="n"/>
      <c r="K24" s="15">
        <f>H24+I24+J24</f>
        <v/>
      </c>
      <c r="L24" s="14" t="n"/>
    </row>
    <row r="25" ht="22" customHeight="1">
      <c r="B25" s="16">
        <f>IF(C25="","CRU-"&amp;TEXT(COUNTA($C$5:C25),"000"))</f>
        <v/>
      </c>
      <c r="C25" s="12" t="n"/>
      <c r="D25" s="12" t="n"/>
      <c r="E25" s="12" t="n"/>
      <c r="F25" s="25" t="n"/>
      <c r="G25" s="25" t="n"/>
      <c r="H25" s="13" t="n"/>
      <c r="I25" s="13" t="n"/>
      <c r="J25" s="13" t="n"/>
      <c r="K25" s="13">
        <f>H25+I25+J25</f>
        <v/>
      </c>
      <c r="L25" s="12" t="n"/>
    </row>
    <row r="26" ht="22" customHeight="1">
      <c r="B26" s="17">
        <f>IF(C26="","CRU-"&amp;TEXT(COUNTA($C$5:C26),"000"))</f>
        <v/>
      </c>
      <c r="C26" s="14" t="n"/>
      <c r="D26" s="14" t="n"/>
      <c r="E26" s="14" t="n"/>
      <c r="F26" s="26" t="n"/>
      <c r="G26" s="26" t="n"/>
      <c r="H26" s="15" t="n"/>
      <c r="I26" s="15" t="n"/>
      <c r="J26" s="15" t="n"/>
      <c r="K26" s="15">
        <f>H26+I26+J26</f>
        <v/>
      </c>
      <c r="L26" s="14" t="n"/>
    </row>
    <row r="27" ht="22" customHeight="1">
      <c r="B27" s="16">
        <f>IF(C27="","CRU-"&amp;TEXT(COUNTA($C$5:C27),"000"))</f>
        <v/>
      </c>
      <c r="C27" s="12" t="n"/>
      <c r="D27" s="12" t="n"/>
      <c r="E27" s="12" t="n"/>
      <c r="F27" s="25" t="n"/>
      <c r="G27" s="25" t="n"/>
      <c r="H27" s="13" t="n"/>
      <c r="I27" s="13" t="n"/>
      <c r="J27" s="13" t="n"/>
      <c r="K27" s="13">
        <f>H27+I27+J27</f>
        <v/>
      </c>
      <c r="L27" s="12" t="n"/>
    </row>
    <row r="28" ht="22" customHeight="1">
      <c r="B28" s="17">
        <f>IF(C28="","CRU-"&amp;TEXT(COUNTA($C$5:C28),"000"))</f>
        <v/>
      </c>
      <c r="C28" s="14" t="n"/>
      <c r="D28" s="14" t="n"/>
      <c r="E28" s="14" t="n"/>
      <c r="F28" s="26" t="n"/>
      <c r="G28" s="26" t="n"/>
      <c r="H28" s="15" t="n"/>
      <c r="I28" s="15" t="n"/>
      <c r="J28" s="15" t="n"/>
      <c r="K28" s="15">
        <f>H28+I28+J28</f>
        <v/>
      </c>
      <c r="L28" s="14" t="n"/>
    </row>
    <row r="29" ht="22" customHeight="1">
      <c r="B29" s="16">
        <f>IF(C29="","CRU-"&amp;TEXT(COUNTA($C$5:C29),"000"))</f>
        <v/>
      </c>
      <c r="C29" s="12" t="n"/>
      <c r="D29" s="12" t="n"/>
      <c r="E29" s="12" t="n"/>
      <c r="F29" s="25" t="n"/>
      <c r="G29" s="25" t="n"/>
      <c r="H29" s="13" t="n"/>
      <c r="I29" s="13" t="n"/>
      <c r="J29" s="13" t="n"/>
      <c r="K29" s="13">
        <f>H29+I29+J29</f>
        <v/>
      </c>
      <c r="L29" s="12" t="n"/>
    </row>
    <row r="30" ht="22" customHeight="1">
      <c r="B30" s="17">
        <f>IF(C30="","CRU-"&amp;TEXT(COUNTA($C$5:C30),"000"))</f>
        <v/>
      </c>
      <c r="C30" s="14" t="n"/>
      <c r="D30" s="14" t="n"/>
      <c r="E30" s="14" t="n"/>
      <c r="F30" s="26" t="n"/>
      <c r="G30" s="26" t="n"/>
      <c r="H30" s="15" t="n"/>
      <c r="I30" s="15" t="n"/>
      <c r="J30" s="15" t="n"/>
      <c r="K30" s="15">
        <f>H30+I30+J30</f>
        <v/>
      </c>
      <c r="L30" s="14" t="n"/>
    </row>
    <row r="31" ht="22" customHeight="1">
      <c r="B31" s="16">
        <f>IF(C31="","CRU-"&amp;TEXT(COUNTA($C$5:C31),"000"))</f>
        <v/>
      </c>
      <c r="C31" s="12" t="n"/>
      <c r="D31" s="12" t="n"/>
      <c r="E31" s="12" t="n"/>
      <c r="F31" s="25" t="n"/>
      <c r="G31" s="25" t="n"/>
      <c r="H31" s="13" t="n"/>
      <c r="I31" s="13" t="n"/>
      <c r="J31" s="13" t="n"/>
      <c r="K31" s="13">
        <f>H31+I31+J31</f>
        <v/>
      </c>
      <c r="L31" s="12" t="n"/>
    </row>
    <row r="32" ht="22" customHeight="1">
      <c r="B32" s="17">
        <f>IF(C32="","CRU-"&amp;TEXT(COUNTA($C$5:C32),"000"))</f>
        <v/>
      </c>
      <c r="C32" s="14" t="n"/>
      <c r="D32" s="14" t="n"/>
      <c r="E32" s="14" t="n"/>
      <c r="F32" s="26" t="n"/>
      <c r="G32" s="26" t="n"/>
      <c r="H32" s="15" t="n"/>
      <c r="I32" s="15" t="n"/>
      <c r="J32" s="15" t="n"/>
      <c r="K32" s="15">
        <f>H32+I32+J32</f>
        <v/>
      </c>
      <c r="L32" s="14" t="n"/>
    </row>
    <row r="33" ht="22" customHeight="1">
      <c r="B33" s="16">
        <f>IF(C33="","CRU-"&amp;TEXT(COUNTA($C$5:C33),"000"))</f>
        <v/>
      </c>
      <c r="C33" s="12" t="n"/>
      <c r="D33" s="12" t="n"/>
      <c r="E33" s="12" t="n"/>
      <c r="F33" s="25" t="n"/>
      <c r="G33" s="25" t="n"/>
      <c r="H33" s="13" t="n"/>
      <c r="I33" s="13" t="n"/>
      <c r="J33" s="13" t="n"/>
      <c r="K33" s="13">
        <f>H33+I33+J33</f>
        <v/>
      </c>
      <c r="L33" s="12" t="n"/>
    </row>
    <row r="34" ht="22" customHeight="1">
      <c r="B34" s="17">
        <f>IF(C34="","CRU-"&amp;TEXT(COUNTA($C$5:C34),"000"))</f>
        <v/>
      </c>
      <c r="C34" s="14" t="n"/>
      <c r="D34" s="14" t="n"/>
      <c r="E34" s="14" t="n"/>
      <c r="F34" s="26" t="n"/>
      <c r="G34" s="26" t="n"/>
      <c r="H34" s="15" t="n"/>
      <c r="I34" s="15" t="n"/>
      <c r="J34" s="15" t="n"/>
      <c r="K34" s="15">
        <f>H34+I34+J34</f>
        <v/>
      </c>
      <c r="L34" s="14" t="n"/>
    </row>
    <row r="35" ht="22" customHeight="1">
      <c r="B35" s="16">
        <f>IF(C35="","CRU-"&amp;TEXT(COUNTA($C$5:C35),"000"))</f>
        <v/>
      </c>
      <c r="C35" s="12" t="n"/>
      <c r="D35" s="12" t="n"/>
      <c r="E35" s="12" t="n"/>
      <c r="F35" s="25" t="n"/>
      <c r="G35" s="25" t="n"/>
      <c r="H35" s="13" t="n"/>
      <c r="I35" s="13" t="n"/>
      <c r="J35" s="13" t="n"/>
      <c r="K35" s="13">
        <f>H35+I35+J35</f>
        <v/>
      </c>
      <c r="L35" s="12" t="n"/>
    </row>
    <row r="36" ht="22" customHeight="1">
      <c r="B36" s="17">
        <f>IF(C36="","CRU-"&amp;TEXT(COUNTA($C$5:C36),"000"))</f>
        <v/>
      </c>
      <c r="C36" s="14" t="n"/>
      <c r="D36" s="14" t="n"/>
      <c r="E36" s="14" t="n"/>
      <c r="F36" s="26" t="n"/>
      <c r="G36" s="26" t="n"/>
      <c r="H36" s="15" t="n"/>
      <c r="I36" s="15" t="n"/>
      <c r="J36" s="15" t="n"/>
      <c r="K36" s="15">
        <f>H36+I36+J36</f>
        <v/>
      </c>
      <c r="L36" s="14" t="n"/>
    </row>
    <row r="37" ht="22" customHeight="1">
      <c r="B37" s="16">
        <f>IF(C37="","CRU-"&amp;TEXT(COUNTA($C$5:C37),"000"))</f>
        <v/>
      </c>
      <c r="C37" s="12" t="n"/>
      <c r="D37" s="12" t="n"/>
      <c r="E37" s="12" t="n"/>
      <c r="F37" s="25" t="n"/>
      <c r="G37" s="25" t="n"/>
      <c r="H37" s="13" t="n"/>
      <c r="I37" s="13" t="n"/>
      <c r="J37" s="13" t="n"/>
      <c r="K37" s="13">
        <f>H37+I37+J37</f>
        <v/>
      </c>
      <c r="L37" s="12" t="n"/>
    </row>
    <row r="38" ht="22" customHeight="1">
      <c r="B38" s="17">
        <f>IF(C38="","CRU-"&amp;TEXT(COUNTA($C$5:C38),"000"))</f>
        <v/>
      </c>
      <c r="C38" s="14" t="n"/>
      <c r="D38" s="14" t="n"/>
      <c r="E38" s="14" t="n"/>
      <c r="F38" s="26" t="n"/>
      <c r="G38" s="26" t="n"/>
      <c r="H38" s="15" t="n"/>
      <c r="I38" s="15" t="n"/>
      <c r="J38" s="15" t="n"/>
      <c r="K38" s="15">
        <f>H38+I38+J38</f>
        <v/>
      </c>
      <c r="L38" s="14" t="n"/>
    </row>
    <row r="39" ht="22" customHeight="1">
      <c r="B39" s="16">
        <f>IF(C39="","CRU-"&amp;TEXT(COUNTA($C$5:C39),"000"))</f>
        <v/>
      </c>
      <c r="C39" s="12" t="n"/>
      <c r="D39" s="12" t="n"/>
      <c r="E39" s="12" t="n"/>
      <c r="F39" s="25" t="n"/>
      <c r="G39" s="25" t="n"/>
      <c r="H39" s="13" t="n"/>
      <c r="I39" s="13" t="n"/>
      <c r="J39" s="13" t="n"/>
      <c r="K39" s="13">
        <f>H39+I39+J39</f>
        <v/>
      </c>
      <c r="L39" s="12" t="n"/>
    </row>
    <row r="40" ht="22" customHeight="1">
      <c r="B40" s="17">
        <f>IF(C40="","CRU-"&amp;TEXT(COUNTA($C$5:C40),"000"))</f>
        <v/>
      </c>
      <c r="C40" s="14" t="n"/>
      <c r="D40" s="14" t="n"/>
      <c r="E40" s="14" t="n"/>
      <c r="F40" s="26" t="n"/>
      <c r="G40" s="26" t="n"/>
      <c r="H40" s="15" t="n"/>
      <c r="I40" s="15" t="n"/>
      <c r="J40" s="15" t="n"/>
      <c r="K40" s="15">
        <f>H40+I40+J40</f>
        <v/>
      </c>
      <c r="L40" s="14" t="n"/>
    </row>
    <row r="41" ht="22" customHeight="1">
      <c r="B41" s="16">
        <f>IF(C41="","CRU-"&amp;TEXT(COUNTA($C$5:C41),"000"))</f>
        <v/>
      </c>
      <c r="C41" s="12" t="n"/>
      <c r="D41" s="12" t="n"/>
      <c r="E41" s="12" t="n"/>
      <c r="F41" s="25" t="n"/>
      <c r="G41" s="25" t="n"/>
      <c r="H41" s="13" t="n"/>
      <c r="I41" s="13" t="n"/>
      <c r="J41" s="13" t="n"/>
      <c r="K41" s="13">
        <f>H41+I41+J41</f>
        <v/>
      </c>
      <c r="L41" s="12" t="n"/>
    </row>
    <row r="42" ht="22" customHeight="1">
      <c r="B42" s="17">
        <f>IF(C42="","CRU-"&amp;TEXT(COUNTA($C$5:C42),"000"))</f>
        <v/>
      </c>
      <c r="C42" s="14" t="n"/>
      <c r="D42" s="14" t="n"/>
      <c r="E42" s="14" t="n"/>
      <c r="F42" s="26" t="n"/>
      <c r="G42" s="26" t="n"/>
      <c r="H42" s="15" t="n"/>
      <c r="I42" s="15" t="n"/>
      <c r="J42" s="15" t="n"/>
      <c r="K42" s="15">
        <f>H42+I42+J42</f>
        <v/>
      </c>
      <c r="L42" s="14" t="n"/>
    </row>
    <row r="43" ht="22" customHeight="1">
      <c r="B43" s="16">
        <f>IF(C43="","CRU-"&amp;TEXT(COUNTA($C$5:C43),"000"))</f>
        <v/>
      </c>
      <c r="C43" s="12" t="n"/>
      <c r="D43" s="12" t="n"/>
      <c r="E43" s="12" t="n"/>
      <c r="F43" s="25" t="n"/>
      <c r="G43" s="25" t="n"/>
      <c r="H43" s="13" t="n"/>
      <c r="I43" s="13" t="n"/>
      <c r="J43" s="13" t="n"/>
      <c r="K43" s="13">
        <f>H43+I43+J43</f>
        <v/>
      </c>
      <c r="L43" s="12" t="n"/>
    </row>
    <row r="44" ht="22" customHeight="1">
      <c r="B44" s="17">
        <f>IF(C44="","CRU-"&amp;TEXT(COUNTA($C$5:C44),"000"))</f>
        <v/>
      </c>
      <c r="C44" s="14" t="n"/>
      <c r="D44" s="14" t="n"/>
      <c r="E44" s="14" t="n"/>
      <c r="F44" s="26" t="n"/>
      <c r="G44" s="26" t="n"/>
      <c r="H44" s="15" t="n"/>
      <c r="I44" s="15" t="n"/>
      <c r="J44" s="15" t="n"/>
      <c r="K44" s="15">
        <f>H44+I44+J44</f>
        <v/>
      </c>
      <c r="L44" s="14" t="n"/>
    </row>
    <row r="45" ht="22" customHeight="1">
      <c r="B45" s="16">
        <f>IF(C45="","CRU-"&amp;TEXT(COUNTA($C$5:C45),"000"))</f>
        <v/>
      </c>
      <c r="C45" s="12" t="n"/>
      <c r="D45" s="12" t="n"/>
      <c r="E45" s="12" t="n"/>
      <c r="F45" s="25" t="n"/>
      <c r="G45" s="25" t="n"/>
      <c r="H45" s="13" t="n"/>
      <c r="I45" s="13" t="n"/>
      <c r="J45" s="13" t="n"/>
      <c r="K45" s="13">
        <f>H45+I45+J45</f>
        <v/>
      </c>
      <c r="L45" s="12" t="n"/>
    </row>
    <row r="46" ht="22" customHeight="1">
      <c r="B46" s="17">
        <f>IF(C46="","CRU-"&amp;TEXT(COUNTA($C$5:C46),"000"))</f>
        <v/>
      </c>
      <c r="C46" s="14" t="n"/>
      <c r="D46" s="14" t="n"/>
      <c r="E46" s="14" t="n"/>
      <c r="F46" s="26" t="n"/>
      <c r="G46" s="26" t="n"/>
      <c r="H46" s="15" t="n"/>
      <c r="I46" s="15" t="n"/>
      <c r="J46" s="15" t="n"/>
      <c r="K46" s="15">
        <f>H46+I46+J46</f>
        <v/>
      </c>
      <c r="L46" s="14" t="n"/>
    </row>
    <row r="47" ht="22" customHeight="1">
      <c r="B47" s="16">
        <f>IF(C47="","CRU-"&amp;TEXT(COUNTA($C$5:C47),"000"))</f>
        <v/>
      </c>
      <c r="C47" s="12" t="n"/>
      <c r="D47" s="12" t="n"/>
      <c r="E47" s="12" t="n"/>
      <c r="F47" s="25" t="n"/>
      <c r="G47" s="25" t="n"/>
      <c r="H47" s="13" t="n"/>
      <c r="I47" s="13" t="n"/>
      <c r="J47" s="13" t="n"/>
      <c r="K47" s="13">
        <f>H47+I47+J47</f>
        <v/>
      </c>
      <c r="L47" s="12" t="n"/>
    </row>
    <row r="48" ht="22" customHeight="1">
      <c r="B48" s="17">
        <f>IF(C48="","CRU-"&amp;TEXT(COUNTA($C$5:C48),"000"))</f>
        <v/>
      </c>
      <c r="C48" s="14" t="n"/>
      <c r="D48" s="14" t="n"/>
      <c r="E48" s="14" t="n"/>
      <c r="F48" s="26" t="n"/>
      <c r="G48" s="26" t="n"/>
      <c r="H48" s="15" t="n"/>
      <c r="I48" s="15" t="n"/>
      <c r="J48" s="15" t="n"/>
      <c r="K48" s="15">
        <f>H48+I48+J48</f>
        <v/>
      </c>
      <c r="L48" s="14" t="n"/>
    </row>
    <row r="49" ht="22" customHeight="1">
      <c r="B49" s="16">
        <f>IF(C49="","CRU-"&amp;TEXT(COUNTA($C$5:C49),"000"))</f>
        <v/>
      </c>
      <c r="C49" s="12" t="n"/>
      <c r="D49" s="12" t="n"/>
      <c r="E49" s="12" t="n"/>
      <c r="F49" s="25" t="n"/>
      <c r="G49" s="25" t="n"/>
      <c r="H49" s="13" t="n"/>
      <c r="I49" s="13" t="n"/>
      <c r="J49" s="13" t="n"/>
      <c r="K49" s="13">
        <f>H49+I49+J49</f>
        <v/>
      </c>
      <c r="L49" s="12" t="n"/>
    </row>
    <row r="50" ht="22" customHeight="1">
      <c r="B50" s="17">
        <f>IF(C50="","CRU-"&amp;TEXT(COUNTA($C$5:C50),"000"))</f>
        <v/>
      </c>
      <c r="C50" s="14" t="n"/>
      <c r="D50" s="14" t="n"/>
      <c r="E50" s="14" t="n"/>
      <c r="F50" s="26" t="n"/>
      <c r="G50" s="26" t="n"/>
      <c r="H50" s="15" t="n"/>
      <c r="I50" s="15" t="n"/>
      <c r="J50" s="15" t="n"/>
      <c r="K50" s="15">
        <f>H50+I50+J50</f>
        <v/>
      </c>
      <c r="L50" s="14" t="n"/>
    </row>
    <row r="51" ht="22" customHeight="1">
      <c r="B51" s="16">
        <f>IF(C51="","CRU-"&amp;TEXT(COUNTA($C$5:C51),"000"))</f>
        <v/>
      </c>
      <c r="C51" s="12" t="n"/>
      <c r="D51" s="12" t="n"/>
      <c r="E51" s="12" t="n"/>
      <c r="F51" s="25" t="n"/>
      <c r="G51" s="25" t="n"/>
      <c r="H51" s="13" t="n"/>
      <c r="I51" s="13" t="n"/>
      <c r="J51" s="13" t="n"/>
      <c r="K51" s="13">
        <f>H51+I51+J51</f>
        <v/>
      </c>
      <c r="L51" s="12" t="n"/>
    </row>
    <row r="52" ht="22" customHeight="1">
      <c r="B52" s="17">
        <f>IF(C52="","CRU-"&amp;TEXT(COUNTA($C$5:C52),"000"))</f>
        <v/>
      </c>
      <c r="C52" s="14" t="n"/>
      <c r="D52" s="14" t="n"/>
      <c r="E52" s="14" t="n"/>
      <c r="F52" s="26" t="n"/>
      <c r="G52" s="26" t="n"/>
      <c r="H52" s="15" t="n"/>
      <c r="I52" s="15" t="n"/>
      <c r="J52" s="15" t="n"/>
      <c r="K52" s="15">
        <f>H52+I52+J52</f>
        <v/>
      </c>
      <c r="L52" s="14" t="n"/>
    </row>
    <row r="53" ht="22" customHeight="1">
      <c r="B53" s="16">
        <f>IF(C53="","CRU-"&amp;TEXT(COUNTA($C$5:C53),"000"))</f>
        <v/>
      </c>
      <c r="C53" s="12" t="n"/>
      <c r="D53" s="12" t="n"/>
      <c r="E53" s="12" t="n"/>
      <c r="F53" s="25" t="n"/>
      <c r="G53" s="25" t="n"/>
      <c r="H53" s="13" t="n"/>
      <c r="I53" s="13" t="n"/>
      <c r="J53" s="13" t="n"/>
      <c r="K53" s="13">
        <f>H53+I53+J53</f>
        <v/>
      </c>
      <c r="L53" s="12" t="n"/>
    </row>
    <row r="54" ht="22" customHeight="1">
      <c r="B54" s="17">
        <f>IF(C54="","CRU-"&amp;TEXT(COUNTA($C$5:C54),"000"))</f>
        <v/>
      </c>
      <c r="C54" s="14" t="n"/>
      <c r="D54" s="14" t="n"/>
      <c r="E54" s="14" t="n"/>
      <c r="F54" s="26" t="n"/>
      <c r="G54" s="26" t="n"/>
      <c r="H54" s="15" t="n"/>
      <c r="I54" s="15" t="n"/>
      <c r="J54" s="15" t="n"/>
      <c r="K54" s="15">
        <f>H54+I54+J54</f>
        <v/>
      </c>
      <c r="L54" s="14" t="n"/>
    </row>
    <row r="55" ht="22" customHeight="1">
      <c r="B55" s="16">
        <f>IF(C55="","CRU-"&amp;TEXT(COUNTA($C$5:C55),"000"))</f>
        <v/>
      </c>
      <c r="C55" s="12" t="n"/>
      <c r="D55" s="12" t="n"/>
      <c r="E55" s="12" t="n"/>
      <c r="F55" s="25" t="n"/>
      <c r="G55" s="25" t="n"/>
      <c r="H55" s="13" t="n"/>
      <c r="I55" s="13" t="n"/>
      <c r="J55" s="13" t="n"/>
      <c r="K55" s="13">
        <f>H55+I55+J55</f>
        <v/>
      </c>
      <c r="L55" s="12" t="n"/>
    </row>
    <row r="56" ht="22" customHeight="1">
      <c r="B56" s="17">
        <f>IF(C56="","CRU-"&amp;TEXT(COUNTA($C$5:C56),"000"))</f>
        <v/>
      </c>
      <c r="C56" s="14" t="n"/>
      <c r="D56" s="14" t="n"/>
      <c r="E56" s="14" t="n"/>
      <c r="F56" s="26" t="n"/>
      <c r="G56" s="26" t="n"/>
      <c r="H56" s="15" t="n"/>
      <c r="I56" s="15" t="n"/>
      <c r="J56" s="15" t="n"/>
      <c r="K56" s="15">
        <f>H56+I56+J56</f>
        <v/>
      </c>
      <c r="L56" s="14" t="n"/>
    </row>
    <row r="57" ht="22" customHeight="1">
      <c r="B57" s="16">
        <f>IF(C57="","CRU-"&amp;TEXT(COUNTA($C$5:C57),"000"))</f>
        <v/>
      </c>
      <c r="C57" s="12" t="n"/>
      <c r="D57" s="12" t="n"/>
      <c r="E57" s="12" t="n"/>
      <c r="F57" s="25" t="n"/>
      <c r="G57" s="25" t="n"/>
      <c r="H57" s="13" t="n"/>
      <c r="I57" s="13" t="n"/>
      <c r="J57" s="13" t="n"/>
      <c r="K57" s="13">
        <f>H57+I57+J57</f>
        <v/>
      </c>
      <c r="L57" s="12" t="n"/>
    </row>
    <row r="58" ht="22" customHeight="1">
      <c r="B58" s="17">
        <f>IF(C58="","CRU-"&amp;TEXT(COUNTA($C$5:C58),"000"))</f>
        <v/>
      </c>
      <c r="C58" s="14" t="n"/>
      <c r="D58" s="14" t="n"/>
      <c r="E58" s="14" t="n"/>
      <c r="F58" s="26" t="n"/>
      <c r="G58" s="26" t="n"/>
      <c r="H58" s="15" t="n"/>
      <c r="I58" s="15" t="n"/>
      <c r="J58" s="15" t="n"/>
      <c r="K58" s="15">
        <f>H58+I58+J58</f>
        <v/>
      </c>
      <c r="L58" s="14" t="n"/>
    </row>
    <row r="59" ht="22" customHeight="1">
      <c r="B59" s="16">
        <f>IF(C59="","CRU-"&amp;TEXT(COUNTA($C$5:C59),"000"))</f>
        <v/>
      </c>
      <c r="C59" s="12" t="n"/>
      <c r="D59" s="12" t="n"/>
      <c r="E59" s="12" t="n"/>
      <c r="F59" s="25" t="n"/>
      <c r="G59" s="25" t="n"/>
      <c r="H59" s="13" t="n"/>
      <c r="I59" s="13" t="n"/>
      <c r="J59" s="13" t="n"/>
      <c r="K59" s="13">
        <f>H59+I59+J59</f>
        <v/>
      </c>
      <c r="L59" s="12" t="n"/>
    </row>
    <row r="60" ht="22" customHeight="1">
      <c r="B60" s="17">
        <f>IF(C60="","CRU-"&amp;TEXT(COUNTA($C$5:C60),"000"))</f>
        <v/>
      </c>
      <c r="C60" s="14" t="n"/>
      <c r="D60" s="14" t="n"/>
      <c r="E60" s="14" t="n"/>
      <c r="F60" s="26" t="n"/>
      <c r="G60" s="26" t="n"/>
      <c r="H60" s="15" t="n"/>
      <c r="I60" s="15" t="n"/>
      <c r="J60" s="15" t="n"/>
      <c r="K60" s="15">
        <f>H60+I60+J60</f>
        <v/>
      </c>
      <c r="L60" s="14" t="n"/>
    </row>
    <row r="61" ht="22" customHeight="1">
      <c r="B61" s="16">
        <f>IF(C61="","CRU-"&amp;TEXT(COUNTA($C$5:C61),"000"))</f>
        <v/>
      </c>
      <c r="C61" s="12" t="n"/>
      <c r="D61" s="12" t="n"/>
      <c r="E61" s="12" t="n"/>
      <c r="F61" s="25" t="n"/>
      <c r="G61" s="25" t="n"/>
      <c r="H61" s="13" t="n"/>
      <c r="I61" s="13" t="n"/>
      <c r="J61" s="13" t="n"/>
      <c r="K61" s="13">
        <f>H61+I61+J61</f>
        <v/>
      </c>
      <c r="L61" s="12" t="n"/>
    </row>
    <row r="62" ht="22" customHeight="1">
      <c r="B62" s="17">
        <f>IF(C62="","CRU-"&amp;TEXT(COUNTA($C$5:C62),"000"))</f>
        <v/>
      </c>
      <c r="C62" s="14" t="n"/>
      <c r="D62" s="14" t="n"/>
      <c r="E62" s="14" t="n"/>
      <c r="F62" s="26" t="n"/>
      <c r="G62" s="26" t="n"/>
      <c r="H62" s="15" t="n"/>
      <c r="I62" s="15" t="n"/>
      <c r="J62" s="15" t="n"/>
      <c r="K62" s="15">
        <f>H62+I62+J62</f>
        <v/>
      </c>
      <c r="L62" s="14" t="n"/>
    </row>
    <row r="63" ht="22" customHeight="1">
      <c r="B63" s="16">
        <f>IF(C63="","CRU-"&amp;TEXT(COUNTA($C$5:C63),"000"))</f>
        <v/>
      </c>
      <c r="C63" s="12" t="n"/>
      <c r="D63" s="12" t="n"/>
      <c r="E63" s="12" t="n"/>
      <c r="F63" s="25" t="n"/>
      <c r="G63" s="25" t="n"/>
      <c r="H63" s="13" t="n"/>
      <c r="I63" s="13" t="n"/>
      <c r="J63" s="13" t="n"/>
      <c r="K63" s="13">
        <f>H63+I63+J63</f>
        <v/>
      </c>
      <c r="L63" s="12" t="n"/>
    </row>
    <row r="64" ht="22" customHeight="1">
      <c r="B64" s="17">
        <f>IF(C64="","CRU-"&amp;TEXT(COUNTA($C$5:C64),"000"))</f>
        <v/>
      </c>
      <c r="C64" s="14" t="n"/>
      <c r="D64" s="14" t="n"/>
      <c r="E64" s="14" t="n"/>
      <c r="F64" s="26" t="n"/>
      <c r="G64" s="26" t="n"/>
      <c r="H64" s="15" t="n"/>
      <c r="I64" s="15" t="n"/>
      <c r="J64" s="15" t="n"/>
      <c r="K64" s="15">
        <f>H64+I64+J64</f>
        <v/>
      </c>
      <c r="L64" s="14" t="n"/>
    </row>
    <row r="65" ht="22" customHeight="1">
      <c r="B65" s="16">
        <f>IF(C65="","CRU-"&amp;TEXT(COUNTA($C$5:C65),"000"))</f>
        <v/>
      </c>
      <c r="C65" s="12" t="n"/>
      <c r="D65" s="12" t="n"/>
      <c r="E65" s="12" t="n"/>
      <c r="F65" s="25" t="n"/>
      <c r="G65" s="25" t="n"/>
      <c r="H65" s="13" t="n"/>
      <c r="I65" s="13" t="n"/>
      <c r="J65" s="13" t="n"/>
      <c r="K65" s="13">
        <f>H65+I65+J65</f>
        <v/>
      </c>
      <c r="L65" s="12" t="n"/>
    </row>
    <row r="66" ht="22" customHeight="1">
      <c r="B66" s="17">
        <f>IF(C66="","CRU-"&amp;TEXT(COUNTA($C$5:C66),"000"))</f>
        <v/>
      </c>
      <c r="C66" s="14" t="n"/>
      <c r="D66" s="14" t="n"/>
      <c r="E66" s="14" t="n"/>
      <c r="F66" s="26" t="n"/>
      <c r="G66" s="26" t="n"/>
      <c r="H66" s="15" t="n"/>
      <c r="I66" s="15" t="n"/>
      <c r="J66" s="15" t="n"/>
      <c r="K66" s="15">
        <f>H66+I66+J66</f>
        <v/>
      </c>
      <c r="L66" s="14" t="n"/>
    </row>
    <row r="67" ht="22" customHeight="1">
      <c r="B67" s="16">
        <f>IF(C67="","CRU-"&amp;TEXT(COUNTA($C$5:C67),"000"))</f>
        <v/>
      </c>
      <c r="C67" s="12" t="n"/>
      <c r="D67" s="12" t="n"/>
      <c r="E67" s="12" t="n"/>
      <c r="F67" s="25" t="n"/>
      <c r="G67" s="25" t="n"/>
      <c r="H67" s="13" t="n"/>
      <c r="I67" s="13" t="n"/>
      <c r="J67" s="13" t="n"/>
      <c r="K67" s="13">
        <f>H67+I67+J67</f>
        <v/>
      </c>
      <c r="L67" s="12" t="n"/>
    </row>
    <row r="68" ht="22" customHeight="1">
      <c r="B68" s="17">
        <f>IF(C68="","CRU-"&amp;TEXT(COUNTA($C$5:C68),"000"))</f>
        <v/>
      </c>
      <c r="C68" s="14" t="n"/>
      <c r="D68" s="14" t="n"/>
      <c r="E68" s="14" t="n"/>
      <c r="F68" s="26" t="n"/>
      <c r="G68" s="26" t="n"/>
      <c r="H68" s="15" t="n"/>
      <c r="I68" s="15" t="n"/>
      <c r="J68" s="15" t="n"/>
      <c r="K68" s="15">
        <f>H68+I68+J68</f>
        <v/>
      </c>
      <c r="L68" s="14" t="n"/>
    </row>
    <row r="69" ht="22" customHeight="1">
      <c r="B69" s="16">
        <f>IF(C69="","CRU-"&amp;TEXT(COUNTA($C$5:C69),"000"))</f>
        <v/>
      </c>
      <c r="C69" s="12" t="n"/>
      <c r="D69" s="12" t="n"/>
      <c r="E69" s="12" t="n"/>
      <c r="F69" s="25" t="n"/>
      <c r="G69" s="25" t="n"/>
      <c r="H69" s="13" t="n"/>
      <c r="I69" s="13" t="n"/>
      <c r="J69" s="13" t="n"/>
      <c r="K69" s="13">
        <f>H69+I69+J69</f>
        <v/>
      </c>
      <c r="L69" s="12" t="n"/>
    </row>
    <row r="70" ht="22" customHeight="1">
      <c r="B70" s="17">
        <f>IF(C70="","CRU-"&amp;TEXT(COUNTA($C$5:C70),"000"))</f>
        <v/>
      </c>
      <c r="C70" s="14" t="n"/>
      <c r="D70" s="14" t="n"/>
      <c r="E70" s="14" t="n"/>
      <c r="F70" s="26" t="n"/>
      <c r="G70" s="26" t="n"/>
      <c r="H70" s="15" t="n"/>
      <c r="I70" s="15" t="n"/>
      <c r="J70" s="15" t="n"/>
      <c r="K70" s="15">
        <f>H70+I70+J70</f>
        <v/>
      </c>
      <c r="L70" s="14" t="n"/>
    </row>
    <row r="71" ht="22" customHeight="1">
      <c r="B71" s="16">
        <f>IF(C71="","CRU-"&amp;TEXT(COUNTA($C$5:C71),"000"))</f>
        <v/>
      </c>
      <c r="C71" s="12" t="n"/>
      <c r="D71" s="12" t="n"/>
      <c r="E71" s="12" t="n"/>
      <c r="F71" s="25" t="n"/>
      <c r="G71" s="25" t="n"/>
      <c r="H71" s="13" t="n"/>
      <c r="I71" s="13" t="n"/>
      <c r="J71" s="13" t="n"/>
      <c r="K71" s="13">
        <f>H71+I71+J71</f>
        <v/>
      </c>
      <c r="L71" s="12" t="n"/>
    </row>
    <row r="72" ht="22" customHeight="1">
      <c r="B72" s="17">
        <f>IF(C72="","CRU-"&amp;TEXT(COUNTA($C$5:C72),"000"))</f>
        <v/>
      </c>
      <c r="C72" s="14" t="n"/>
      <c r="D72" s="14" t="n"/>
      <c r="E72" s="14" t="n"/>
      <c r="F72" s="26" t="n"/>
      <c r="G72" s="26" t="n"/>
      <c r="H72" s="15" t="n"/>
      <c r="I72" s="15" t="n"/>
      <c r="J72" s="15" t="n"/>
      <c r="K72" s="15">
        <f>H72+I72+J72</f>
        <v/>
      </c>
      <c r="L72" s="14" t="n"/>
    </row>
    <row r="73" ht="22" customHeight="1">
      <c r="B73" s="16">
        <f>IF(C73="","CRU-"&amp;TEXT(COUNTA($C$5:C73),"000"))</f>
        <v/>
      </c>
      <c r="C73" s="12" t="n"/>
      <c r="D73" s="12" t="n"/>
      <c r="E73" s="12" t="n"/>
      <c r="F73" s="25" t="n"/>
      <c r="G73" s="25" t="n"/>
      <c r="H73" s="13" t="n"/>
      <c r="I73" s="13" t="n"/>
      <c r="J73" s="13" t="n"/>
      <c r="K73" s="13">
        <f>H73+I73+J73</f>
        <v/>
      </c>
      <c r="L73" s="12" t="n"/>
    </row>
    <row r="74" ht="22" customHeight="1">
      <c r="B74" s="17">
        <f>IF(C74="","CRU-"&amp;TEXT(COUNTA($C$5:C74),"000"))</f>
        <v/>
      </c>
      <c r="C74" s="14" t="n"/>
      <c r="D74" s="14" t="n"/>
      <c r="E74" s="14" t="n"/>
      <c r="F74" s="26" t="n"/>
      <c r="G74" s="26" t="n"/>
      <c r="H74" s="15" t="n"/>
      <c r="I74" s="15" t="n"/>
      <c r="J74" s="15" t="n"/>
      <c r="K74" s="15">
        <f>H74+I74+J74</f>
        <v/>
      </c>
      <c r="L74" s="14" t="n"/>
    </row>
    <row r="75" ht="22" customHeight="1">
      <c r="B75" s="16">
        <f>IF(C75="","CRU-"&amp;TEXT(COUNTA($C$5:C75),"000"))</f>
        <v/>
      </c>
      <c r="C75" s="12" t="n"/>
      <c r="D75" s="12" t="n"/>
      <c r="E75" s="12" t="n"/>
      <c r="F75" s="25" t="n"/>
      <c r="G75" s="25" t="n"/>
      <c r="H75" s="13" t="n"/>
      <c r="I75" s="13" t="n"/>
      <c r="J75" s="13" t="n"/>
      <c r="K75" s="13">
        <f>H75+I75+J75</f>
        <v/>
      </c>
      <c r="L75" s="12" t="n"/>
    </row>
    <row r="76" ht="22" customHeight="1">
      <c r="B76" s="17">
        <f>IF(C76="","CRU-"&amp;TEXT(COUNTA($C$5:C76),"000"))</f>
        <v/>
      </c>
      <c r="C76" s="14" t="n"/>
      <c r="D76" s="14" t="n"/>
      <c r="E76" s="14" t="n"/>
      <c r="F76" s="26" t="n"/>
      <c r="G76" s="26" t="n"/>
      <c r="H76" s="15" t="n"/>
      <c r="I76" s="15" t="n"/>
      <c r="J76" s="15" t="n"/>
      <c r="K76" s="15">
        <f>H76+I76+J76</f>
        <v/>
      </c>
      <c r="L76" s="14" t="n"/>
    </row>
    <row r="77" ht="22" customHeight="1">
      <c r="B77" s="16">
        <f>IF(C77="","CRU-"&amp;TEXT(COUNTA($C$5:C77),"000"))</f>
        <v/>
      </c>
      <c r="C77" s="12" t="n"/>
      <c r="D77" s="12" t="n"/>
      <c r="E77" s="12" t="n"/>
      <c r="F77" s="25" t="n"/>
      <c r="G77" s="25" t="n"/>
      <c r="H77" s="13" t="n"/>
      <c r="I77" s="13" t="n"/>
      <c r="J77" s="13" t="n"/>
      <c r="K77" s="13">
        <f>H77+I77+J77</f>
        <v/>
      </c>
      <c r="L77" s="12" t="n"/>
    </row>
    <row r="78" ht="22" customHeight="1">
      <c r="B78" s="17">
        <f>IF(C78="","CRU-"&amp;TEXT(COUNTA($C$5:C78),"000"))</f>
        <v/>
      </c>
      <c r="C78" s="14" t="n"/>
      <c r="D78" s="14" t="n"/>
      <c r="E78" s="14" t="n"/>
      <c r="F78" s="26" t="n"/>
      <c r="G78" s="26" t="n"/>
      <c r="H78" s="15" t="n"/>
      <c r="I78" s="15" t="n"/>
      <c r="J78" s="15" t="n"/>
      <c r="K78" s="15">
        <f>H78+I78+J78</f>
        <v/>
      </c>
      <c r="L78" s="14" t="n"/>
    </row>
    <row r="79" ht="22" customHeight="1">
      <c r="B79" s="16">
        <f>IF(C79="","CRU-"&amp;TEXT(COUNTA($C$5:C79),"000"))</f>
        <v/>
      </c>
      <c r="C79" s="12" t="n"/>
      <c r="D79" s="12" t="n"/>
      <c r="E79" s="12" t="n"/>
      <c r="F79" s="25" t="n"/>
      <c r="G79" s="25" t="n"/>
      <c r="H79" s="13" t="n"/>
      <c r="I79" s="13" t="n"/>
      <c r="J79" s="13" t="n"/>
      <c r="K79" s="13">
        <f>H79+I79+J79</f>
        <v/>
      </c>
      <c r="L79" s="12" t="n"/>
    </row>
    <row r="80" ht="22" customHeight="1">
      <c r="B80" s="17">
        <f>IF(C80="","CRU-"&amp;TEXT(COUNTA($C$5:C80),"000"))</f>
        <v/>
      </c>
      <c r="C80" s="14" t="n"/>
      <c r="D80" s="14" t="n"/>
      <c r="E80" s="14" t="n"/>
      <c r="F80" s="26" t="n"/>
      <c r="G80" s="26" t="n"/>
      <c r="H80" s="15" t="n"/>
      <c r="I80" s="15" t="n"/>
      <c r="J80" s="15" t="n"/>
      <c r="K80" s="15">
        <f>H80+I80+J80</f>
        <v/>
      </c>
      <c r="L80" s="14" t="n"/>
    </row>
    <row r="81" ht="22" customHeight="1">
      <c r="B81" s="16">
        <f>IF(C81="","CRU-"&amp;TEXT(COUNTA($C$5:C81),"000"))</f>
        <v/>
      </c>
      <c r="C81" s="12" t="n"/>
      <c r="D81" s="12" t="n"/>
      <c r="E81" s="12" t="n"/>
      <c r="F81" s="25" t="n"/>
      <c r="G81" s="25" t="n"/>
      <c r="H81" s="13" t="n"/>
      <c r="I81" s="13" t="n"/>
      <c r="J81" s="13" t="n"/>
      <c r="K81" s="13">
        <f>H81+I81+J81</f>
        <v/>
      </c>
      <c r="L81" s="12" t="n"/>
    </row>
    <row r="82" ht="22" customHeight="1">
      <c r="B82" s="17">
        <f>IF(C82="","CRU-"&amp;TEXT(COUNTA($C$5:C82),"000"))</f>
        <v/>
      </c>
      <c r="C82" s="14" t="n"/>
      <c r="D82" s="14" t="n"/>
      <c r="E82" s="14" t="n"/>
      <c r="F82" s="26" t="n"/>
      <c r="G82" s="26" t="n"/>
      <c r="H82" s="15" t="n"/>
      <c r="I82" s="15" t="n"/>
      <c r="J82" s="15" t="n"/>
      <c r="K82" s="15">
        <f>H82+I82+J82</f>
        <v/>
      </c>
      <c r="L82" s="14" t="n"/>
    </row>
    <row r="83" ht="22" customHeight="1">
      <c r="B83" s="16">
        <f>IF(C83="","CRU-"&amp;TEXT(COUNTA($C$5:C83),"000"))</f>
        <v/>
      </c>
      <c r="C83" s="12" t="n"/>
      <c r="D83" s="12" t="n"/>
      <c r="E83" s="12" t="n"/>
      <c r="F83" s="25" t="n"/>
      <c r="G83" s="25" t="n"/>
      <c r="H83" s="13" t="n"/>
      <c r="I83" s="13" t="n"/>
      <c r="J83" s="13" t="n"/>
      <c r="K83" s="13">
        <f>H83+I83+J83</f>
        <v/>
      </c>
      <c r="L83" s="12" t="n"/>
    </row>
    <row r="84" ht="22" customHeight="1">
      <c r="B84" s="17">
        <f>IF(C84="","CRU-"&amp;TEXT(COUNTA($C$5:C84),"000"))</f>
        <v/>
      </c>
      <c r="C84" s="14" t="n"/>
      <c r="D84" s="14" t="n"/>
      <c r="E84" s="14" t="n"/>
      <c r="F84" s="26" t="n"/>
      <c r="G84" s="26" t="n"/>
      <c r="H84" s="15" t="n"/>
      <c r="I84" s="15" t="n"/>
      <c r="J84" s="15" t="n"/>
      <c r="K84" s="15">
        <f>H84+I84+J84</f>
        <v/>
      </c>
      <c r="L84" s="14" t="n"/>
    </row>
    <row r="85" ht="22" customHeight="1">
      <c r="B85" s="16">
        <f>IF(C85="","CRU-"&amp;TEXT(COUNTA($C$5:C85),"000"))</f>
        <v/>
      </c>
      <c r="C85" s="12" t="n"/>
      <c r="D85" s="12" t="n"/>
      <c r="E85" s="12" t="n"/>
      <c r="F85" s="25" t="n"/>
      <c r="G85" s="25" t="n"/>
      <c r="H85" s="13" t="n"/>
      <c r="I85" s="13" t="n"/>
      <c r="J85" s="13" t="n"/>
      <c r="K85" s="13">
        <f>H85+I85+J85</f>
        <v/>
      </c>
      <c r="L85" s="12" t="n"/>
    </row>
    <row r="86" ht="22" customHeight="1">
      <c r="B86" s="17">
        <f>IF(C86="","CRU-"&amp;TEXT(COUNTA($C$5:C86),"000"))</f>
        <v/>
      </c>
      <c r="C86" s="14" t="n"/>
      <c r="D86" s="14" t="n"/>
      <c r="E86" s="14" t="n"/>
      <c r="F86" s="26" t="n"/>
      <c r="G86" s="26" t="n"/>
      <c r="H86" s="15" t="n"/>
      <c r="I86" s="15" t="n"/>
      <c r="J86" s="15" t="n"/>
      <c r="K86" s="15">
        <f>H86+I86+J86</f>
        <v/>
      </c>
      <c r="L86" s="14" t="n"/>
    </row>
    <row r="87" ht="22" customHeight="1">
      <c r="B87" s="16">
        <f>IF(C87="","CRU-"&amp;TEXT(COUNTA($C$5:C87),"000"))</f>
        <v/>
      </c>
      <c r="C87" s="12" t="n"/>
      <c r="D87" s="12" t="n"/>
      <c r="E87" s="12" t="n"/>
      <c r="F87" s="25" t="n"/>
      <c r="G87" s="25" t="n"/>
      <c r="H87" s="13" t="n"/>
      <c r="I87" s="13" t="n"/>
      <c r="J87" s="13" t="n"/>
      <c r="K87" s="13">
        <f>H87+I87+J87</f>
        <v/>
      </c>
      <c r="L87" s="12" t="n"/>
    </row>
    <row r="88" ht="22" customHeight="1">
      <c r="B88" s="17">
        <f>IF(C88="","CRU-"&amp;TEXT(COUNTA($C$5:C88),"000"))</f>
        <v/>
      </c>
      <c r="C88" s="14" t="n"/>
      <c r="D88" s="14" t="n"/>
      <c r="E88" s="14" t="n"/>
      <c r="F88" s="26" t="n"/>
      <c r="G88" s="26" t="n"/>
      <c r="H88" s="15" t="n"/>
      <c r="I88" s="15" t="n"/>
      <c r="J88" s="15" t="n"/>
      <c r="K88" s="15">
        <f>H88+I88+J88</f>
        <v/>
      </c>
      <c r="L88" s="14" t="n"/>
    </row>
    <row r="89" ht="22" customHeight="1">
      <c r="B89" s="16">
        <f>IF(C89="","CRU-"&amp;TEXT(COUNTA($C$5:C89),"000"))</f>
        <v/>
      </c>
      <c r="C89" s="12" t="n"/>
      <c r="D89" s="12" t="n"/>
      <c r="E89" s="12" t="n"/>
      <c r="F89" s="25" t="n"/>
      <c r="G89" s="25" t="n"/>
      <c r="H89" s="13" t="n"/>
      <c r="I89" s="13" t="n"/>
      <c r="J89" s="13" t="n"/>
      <c r="K89" s="13">
        <f>H89+I89+J89</f>
        <v/>
      </c>
      <c r="L89" s="12" t="n"/>
    </row>
    <row r="90" ht="22" customHeight="1">
      <c r="B90" s="17">
        <f>IF(C90="","CRU-"&amp;TEXT(COUNTA($C$5:C90),"000"))</f>
        <v/>
      </c>
      <c r="C90" s="14" t="n"/>
      <c r="D90" s="14" t="n"/>
      <c r="E90" s="14" t="n"/>
      <c r="F90" s="26" t="n"/>
      <c r="G90" s="26" t="n"/>
      <c r="H90" s="15" t="n"/>
      <c r="I90" s="15" t="n"/>
      <c r="J90" s="15" t="n"/>
      <c r="K90" s="15">
        <f>H90+I90+J90</f>
        <v/>
      </c>
      <c r="L90" s="14" t="n"/>
    </row>
    <row r="91" ht="22" customHeight="1">
      <c r="B91" s="16">
        <f>IF(C91="","CRU-"&amp;TEXT(COUNTA($C$5:C91),"000"))</f>
        <v/>
      </c>
      <c r="C91" s="12" t="n"/>
      <c r="D91" s="12" t="n"/>
      <c r="E91" s="12" t="n"/>
      <c r="F91" s="25" t="n"/>
      <c r="G91" s="25" t="n"/>
      <c r="H91" s="13" t="n"/>
      <c r="I91" s="13" t="n"/>
      <c r="J91" s="13" t="n"/>
      <c r="K91" s="13">
        <f>H91+I91+J91</f>
        <v/>
      </c>
      <c r="L91" s="12" t="n"/>
    </row>
    <row r="92" ht="22" customHeight="1">
      <c r="B92" s="17">
        <f>IF(C92="","CRU-"&amp;TEXT(COUNTA($C$5:C92),"000"))</f>
        <v/>
      </c>
      <c r="C92" s="14" t="n"/>
      <c r="D92" s="14" t="n"/>
      <c r="E92" s="14" t="n"/>
      <c r="F92" s="26" t="n"/>
      <c r="G92" s="26" t="n"/>
      <c r="H92" s="15" t="n"/>
      <c r="I92" s="15" t="n"/>
      <c r="J92" s="15" t="n"/>
      <c r="K92" s="15">
        <f>H92+I92+J92</f>
        <v/>
      </c>
      <c r="L92" s="14" t="n"/>
    </row>
    <row r="93" ht="22" customHeight="1">
      <c r="B93" s="16">
        <f>IF(C93="","CRU-"&amp;TEXT(COUNTA($C$5:C93),"000"))</f>
        <v/>
      </c>
      <c r="C93" s="12" t="n"/>
      <c r="D93" s="12" t="n"/>
      <c r="E93" s="12" t="n"/>
      <c r="F93" s="25" t="n"/>
      <c r="G93" s="25" t="n"/>
      <c r="H93" s="13" t="n"/>
      <c r="I93" s="13" t="n"/>
      <c r="J93" s="13" t="n"/>
      <c r="K93" s="13">
        <f>H93+I93+J93</f>
        <v/>
      </c>
      <c r="L93" s="12" t="n"/>
    </row>
    <row r="94" ht="22" customHeight="1">
      <c r="B94" s="17">
        <f>IF(C94="","CRU-"&amp;TEXT(COUNTA($C$5:C94),"000"))</f>
        <v/>
      </c>
      <c r="C94" s="14" t="n"/>
      <c r="D94" s="14" t="n"/>
      <c r="E94" s="14" t="n"/>
      <c r="F94" s="26" t="n"/>
      <c r="G94" s="26" t="n"/>
      <c r="H94" s="15" t="n"/>
      <c r="I94" s="15" t="n"/>
      <c r="J94" s="15" t="n"/>
      <c r="K94" s="15">
        <f>H94+I94+J94</f>
        <v/>
      </c>
      <c r="L94" s="14" t="n"/>
    </row>
    <row r="95" ht="22" customHeight="1">
      <c r="B95" s="16">
        <f>IF(C95="","CRU-"&amp;TEXT(COUNTA($C$5:C95),"000"))</f>
        <v/>
      </c>
      <c r="C95" s="12" t="n"/>
      <c r="D95" s="12" t="n"/>
      <c r="E95" s="12" t="n"/>
      <c r="F95" s="25" t="n"/>
      <c r="G95" s="25" t="n"/>
      <c r="H95" s="13" t="n"/>
      <c r="I95" s="13" t="n"/>
      <c r="J95" s="13" t="n"/>
      <c r="K95" s="13">
        <f>H95+I95+J95</f>
        <v/>
      </c>
      <c r="L95" s="12" t="n"/>
    </row>
    <row r="96" ht="22" customHeight="1">
      <c r="B96" s="17">
        <f>IF(C96="","CRU-"&amp;TEXT(COUNTA($C$5:C96),"000"))</f>
        <v/>
      </c>
      <c r="C96" s="14" t="n"/>
      <c r="D96" s="14" t="n"/>
      <c r="E96" s="14" t="n"/>
      <c r="F96" s="26" t="n"/>
      <c r="G96" s="26" t="n"/>
      <c r="H96" s="15" t="n"/>
      <c r="I96" s="15" t="n"/>
      <c r="J96" s="15" t="n"/>
      <c r="K96" s="15">
        <f>H96+I96+J96</f>
        <v/>
      </c>
      <c r="L96" s="14" t="n"/>
    </row>
    <row r="97" ht="22" customHeight="1">
      <c r="B97" s="16">
        <f>IF(C97="","CRU-"&amp;TEXT(COUNTA($C$5:C97),"000"))</f>
        <v/>
      </c>
      <c r="C97" s="12" t="n"/>
      <c r="D97" s="12" t="n"/>
      <c r="E97" s="12" t="n"/>
      <c r="F97" s="25" t="n"/>
      <c r="G97" s="25" t="n"/>
      <c r="H97" s="13" t="n"/>
      <c r="I97" s="13" t="n"/>
      <c r="J97" s="13" t="n"/>
      <c r="K97" s="13">
        <f>H97+I97+J97</f>
        <v/>
      </c>
      <c r="L97" s="12" t="n"/>
    </row>
    <row r="98" ht="22" customHeight="1">
      <c r="B98" s="17">
        <f>IF(C98="","CRU-"&amp;TEXT(COUNTA($C$5:C98),"000"))</f>
        <v/>
      </c>
      <c r="C98" s="14" t="n"/>
      <c r="D98" s="14" t="n"/>
      <c r="E98" s="14" t="n"/>
      <c r="F98" s="26" t="n"/>
      <c r="G98" s="26" t="n"/>
      <c r="H98" s="15" t="n"/>
      <c r="I98" s="15" t="n"/>
      <c r="J98" s="15" t="n"/>
      <c r="K98" s="15">
        <f>H98+I98+J98</f>
        <v/>
      </c>
      <c r="L98" s="14" t="n"/>
    </row>
    <row r="99" ht="22" customHeight="1">
      <c r="B99" s="16">
        <f>IF(C99="","CRU-"&amp;TEXT(COUNTA($C$5:C99),"000"))</f>
        <v/>
      </c>
      <c r="C99" s="12" t="n"/>
      <c r="D99" s="12" t="n"/>
      <c r="E99" s="12" t="n"/>
      <c r="F99" s="25" t="n"/>
      <c r="G99" s="25" t="n"/>
      <c r="H99" s="13" t="n"/>
      <c r="I99" s="13" t="n"/>
      <c r="J99" s="13" t="n"/>
      <c r="K99" s="13">
        <f>H99+I99+J99</f>
        <v/>
      </c>
      <c r="L99" s="12" t="n"/>
    </row>
    <row r="100" ht="22" customHeight="1">
      <c r="B100" s="17">
        <f>IF(C100="","CRU-"&amp;TEXT(COUNTA($C$5:C100),"000"))</f>
        <v/>
      </c>
      <c r="C100" s="14" t="n"/>
      <c r="D100" s="14" t="n"/>
      <c r="E100" s="14" t="n"/>
      <c r="F100" s="26" t="n"/>
      <c r="G100" s="26" t="n"/>
      <c r="H100" s="15" t="n"/>
      <c r="I100" s="15" t="n"/>
      <c r="J100" s="15" t="n"/>
      <c r="K100" s="15">
        <f>H100+I100+J100</f>
        <v/>
      </c>
      <c r="L100" s="14" t="n"/>
    </row>
    <row r="101" ht="22" customHeight="1">
      <c r="B101" s="16">
        <f>IF(C101="","CRU-"&amp;TEXT(COUNTA($C$5:C101),"000"))</f>
        <v/>
      </c>
      <c r="C101" s="12" t="n"/>
      <c r="D101" s="12" t="n"/>
      <c r="E101" s="12" t="n"/>
      <c r="F101" s="25" t="n"/>
      <c r="G101" s="25" t="n"/>
      <c r="H101" s="13" t="n"/>
      <c r="I101" s="13" t="n"/>
      <c r="J101" s="13" t="n"/>
      <c r="K101" s="13">
        <f>H101+I101+J101</f>
        <v/>
      </c>
      <c r="L101" s="12" t="n"/>
    </row>
    <row r="102" ht="22" customHeight="1">
      <c r="B102" s="17">
        <f>IF(C102="","CRU-"&amp;TEXT(COUNTA($C$5:C102),"000"))</f>
        <v/>
      </c>
      <c r="C102" s="14" t="n"/>
      <c r="D102" s="14" t="n"/>
      <c r="E102" s="14" t="n"/>
      <c r="F102" s="26" t="n"/>
      <c r="G102" s="26" t="n"/>
      <c r="H102" s="15" t="n"/>
      <c r="I102" s="15" t="n"/>
      <c r="J102" s="15" t="n"/>
      <c r="K102" s="15">
        <f>H102+I102+J102</f>
        <v/>
      </c>
      <c r="L102" s="14" t="n"/>
    </row>
    <row r="103" ht="22" customHeight="1">
      <c r="B103" s="16">
        <f>IF(C103="","CRU-"&amp;TEXT(COUNTA($C$5:C103),"000"))</f>
        <v/>
      </c>
      <c r="C103" s="12" t="n"/>
      <c r="D103" s="12" t="n"/>
      <c r="E103" s="12" t="n"/>
      <c r="F103" s="25" t="n"/>
      <c r="G103" s="25" t="n"/>
      <c r="H103" s="13" t="n"/>
      <c r="I103" s="13" t="n"/>
      <c r="J103" s="13" t="n"/>
      <c r="K103" s="13">
        <f>H103+I103+J103</f>
        <v/>
      </c>
      <c r="L103" s="12" t="n"/>
    </row>
    <row r="104" ht="22" customHeight="1">
      <c r="B104" s="17">
        <f>IF(C104="","CRU-"&amp;TEXT(COUNTA($C$5:C104),"000"))</f>
        <v/>
      </c>
      <c r="C104" s="14" t="n"/>
      <c r="D104" s="14" t="n"/>
      <c r="E104" s="14" t="n"/>
      <c r="F104" s="26" t="n"/>
      <c r="G104" s="26" t="n"/>
      <c r="H104" s="15" t="n"/>
      <c r="I104" s="15" t="n"/>
      <c r="J104" s="15" t="n"/>
      <c r="K104" s="15">
        <f>H104+I104+J104</f>
        <v/>
      </c>
      <c r="L104" s="14" t="n"/>
    </row>
    <row r="105" ht="22" customHeight="1">
      <c r="B105" s="16">
        <f>IF(C105="","CRU-"&amp;TEXT(COUNTA($C$5:C105),"000"))</f>
        <v/>
      </c>
      <c r="C105" s="12" t="n"/>
      <c r="D105" s="12" t="n"/>
      <c r="E105" s="12" t="n"/>
      <c r="F105" s="25" t="n"/>
      <c r="G105" s="25" t="n"/>
      <c r="H105" s="13" t="n"/>
      <c r="I105" s="13" t="n"/>
      <c r="J105" s="13" t="n"/>
      <c r="K105" s="13">
        <f>H105+I105+J105</f>
        <v/>
      </c>
      <c r="L105" s="12" t="n"/>
    </row>
    <row r="106" ht="22" customHeight="1">
      <c r="B106" s="17">
        <f>IF(C106="","CRU-"&amp;TEXT(COUNTA($C$5:C106),"000"))</f>
        <v/>
      </c>
      <c r="C106" s="14" t="n"/>
      <c r="D106" s="14" t="n"/>
      <c r="E106" s="14" t="n"/>
      <c r="F106" s="26" t="n"/>
      <c r="G106" s="26" t="n"/>
      <c r="H106" s="15" t="n"/>
      <c r="I106" s="15" t="n"/>
      <c r="J106" s="15" t="n"/>
      <c r="K106" s="15">
        <f>H106+I106+J106</f>
        <v/>
      </c>
      <c r="L106" s="14" t="n"/>
    </row>
    <row r="107" ht="22" customHeight="1">
      <c r="B107" s="16">
        <f>IF(C107="","CRU-"&amp;TEXT(COUNTA($C$5:C107),"000"))</f>
        <v/>
      </c>
      <c r="C107" s="12" t="n"/>
      <c r="D107" s="12" t="n"/>
      <c r="E107" s="12" t="n"/>
      <c r="F107" s="25" t="n"/>
      <c r="G107" s="25" t="n"/>
      <c r="H107" s="13" t="n"/>
      <c r="I107" s="13" t="n"/>
      <c r="J107" s="13" t="n"/>
      <c r="K107" s="13">
        <f>H107+I107+J107</f>
        <v/>
      </c>
      <c r="L107" s="12" t="n"/>
    </row>
    <row r="108" ht="22" customHeight="1">
      <c r="B108" s="17">
        <f>IF(C108="","CRU-"&amp;TEXT(COUNTA($C$5:C108),"000"))</f>
        <v/>
      </c>
      <c r="C108" s="14" t="n"/>
      <c r="D108" s="14" t="n"/>
      <c r="E108" s="14" t="n"/>
      <c r="F108" s="26" t="n"/>
      <c r="G108" s="26" t="n"/>
      <c r="H108" s="15" t="n"/>
      <c r="I108" s="15" t="n"/>
      <c r="J108" s="15" t="n"/>
      <c r="K108" s="15">
        <f>H108+I108+J108</f>
        <v/>
      </c>
      <c r="L108" s="14" t="n"/>
    </row>
    <row r="110" ht="26" customHeight="1">
      <c r="B110" s="18" t="inlineStr">
        <is>
          <t>TOTAL</t>
        </is>
      </c>
      <c r="C110" s="19" t="n"/>
      <c r="D110" s="19" t="n"/>
      <c r="E110" s="19" t="n"/>
      <c r="F110" s="20">
        <f>SUM(F5:F104)</f>
        <v/>
      </c>
      <c r="G110" s="20">
        <f>SUM(G5:G104)</f>
        <v/>
      </c>
      <c r="H110" s="20">
        <f>SUM(H5:H104)</f>
        <v/>
      </c>
      <c r="I110" s="20">
        <f>SUM(I5:I104)</f>
        <v/>
      </c>
      <c r="J110" s="20">
        <f>SUM(J5:J104)</f>
        <v/>
      </c>
      <c r="K110" s="20">
        <f>SUM(K5:K104)</f>
        <v/>
      </c>
      <c r="L110" s="19" t="n"/>
    </row>
    <row r="112">
      <c r="B112" s="5" t="inlineStr">
        <is>
          <t>INDICATEURS (mis a jour automatiquement)</t>
        </is>
      </c>
    </row>
    <row r="113">
      <c r="B113" s="3" t="inlineStr">
        <is>
          <t>Recrutements suivis</t>
        </is>
      </c>
      <c r="D113" s="3" t="inlineStr">
        <is>
          <t>Cout total recrutement</t>
        </is>
      </c>
      <c r="F113" s="3" t="inlineStr">
        <is>
          <t>Cout moyen / recrutement</t>
        </is>
      </c>
    </row>
    <row r="114">
      <c r="B114" s="4">
        <f>COUNTIF(B5:B104,"&lt;&gt;")</f>
        <v/>
      </c>
      <c r="D114" s="4">
        <f>SUM(K5:K104)</f>
        <v/>
      </c>
      <c r="F114" s="4">
        <f>IFERROR(SUM(K5:K104)/COUNTIF(B5:B104,"&lt;&gt;"),0)</f>
        <v/>
      </c>
    </row>
  </sheetData>
  <mergeCells count="3">
    <mergeCell ref="B2:L2"/>
    <mergeCell ref="B112:L112"/>
    <mergeCell ref="B3:L3"/>
  </mergeCells>
  <conditionalFormatting sqref="B9:B108">
    <cfRule type="expression" priority="1" dxfId="0">
      <formula>AND($C9="",$C8&lt;&gt;"")</formula>
    </cfRule>
  </conditionalFormatting>
  <conditionalFormatting sqref="C9:C108">
    <cfRule type="expression" priority="2" dxfId="0">
      <formula>AND($C9="",$C8&lt;&gt;"")</formula>
    </cfRule>
  </conditionalFormatting>
  <conditionalFormatting sqref="D9:D108">
    <cfRule type="expression" priority="3" dxfId="0">
      <formula>AND($C9="",$C8&lt;&gt;"")</formula>
    </cfRule>
  </conditionalFormatting>
  <conditionalFormatting sqref="E9:E108">
    <cfRule type="expression" priority="4" dxfId="0">
      <formula>AND($C9="",$C8&lt;&gt;"")</formula>
    </cfRule>
  </conditionalFormatting>
  <conditionalFormatting sqref="F9:F108">
    <cfRule type="expression" priority="5" dxfId="0">
      <formula>AND($C9="",$C8&lt;&gt;"")</formula>
    </cfRule>
  </conditionalFormatting>
  <conditionalFormatting sqref="G9:G108">
    <cfRule type="expression" priority="6" dxfId="0">
      <formula>AND($C9="",$C8&lt;&gt;"")</formula>
    </cfRule>
  </conditionalFormatting>
  <conditionalFormatting sqref="H9:H108">
    <cfRule type="expression" priority="7" dxfId="0">
      <formula>AND($C9="",$C8&lt;&gt;"")</formula>
    </cfRule>
  </conditionalFormatting>
  <conditionalFormatting sqref="I9:I108">
    <cfRule type="expression" priority="8" dxfId="0">
      <formula>AND($C9="",$C8&lt;&gt;"")</formula>
    </cfRule>
  </conditionalFormatting>
  <conditionalFormatting sqref="J9:J108">
    <cfRule type="expression" priority="9" dxfId="0">
      <formula>AND($C9="",$C8&lt;&gt;"")</formula>
    </cfRule>
  </conditionalFormatting>
  <conditionalFormatting sqref="K9:K108">
    <cfRule type="expression" priority="10" dxfId="0">
      <formula>AND($C9="",$C8&lt;&gt;"")</formula>
    </cfRule>
  </conditionalFormatting>
  <conditionalFormatting sqref="L9:L108">
    <cfRule type="expression" priority="11" dxfId="0">
      <formula>AND($C9="",$C8&lt;&gt;"")</formula>
    </cfRule>
  </conditionalFormatting>
  <dataValidations count="3">
    <dataValidation sqref="D5:D108" showDropDown="0" showInputMessage="0" showErrorMessage="0" allowBlank="1" errorTitle="Erreur" error="Valeur invalide" promptTitle="Liste" prompt="Choisir dans la liste" type="list">
      <formula1>'_Lists'!$C$2:$C$14</formula1>
    </dataValidation>
    <dataValidation sqref="E5:E108" showDropDown="0" showInputMessage="0" showErrorMessage="0" allowBlank="1" errorTitle="Erreur" error="Valeur invalide" promptTitle="Liste" prompt="Choisir dans la liste" type="list">
      <formula1>'_Lists'!$I$2:$I$9</formula1>
    </dataValidation>
    <dataValidation sqref="L5:L108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8" customWidth="1" min="3" max="3"/>
    <col width="24" customWidth="1" min="4" max="4"/>
    <col width="18" customWidth="1" min="5" max="5"/>
    <col width="22" customWidth="1" min="6" max="6"/>
    <col width="20" customWidth="1" min="7" max="7"/>
    <col width="20" customWidth="1" min="8" max="8"/>
    <col width="30" customWidth="1" min="9" max="9"/>
    <col width="16" customWidth="1" min="10" max="10"/>
    <col width="26" customWidth="1" min="11" max="11"/>
    <col width="14" customWidth="1" min="12" max="12"/>
  </cols>
  <sheetData>
    <row r="1" ht="15" customHeight="1"/>
    <row r="2" ht="32" customHeight="1">
      <c r="B2" s="1" t="inlineStr">
        <is>
          <t>ANALYSE DE RENTABILITE DES FORMATIONS (#153)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Formation</t>
        </is>
      </c>
      <c r="D4" s="11" t="inlineStr">
        <is>
          <t>Formateur</t>
        </is>
      </c>
      <c r="E4" s="11" t="inlineStr">
        <is>
          <t>Nb Participants</t>
        </is>
      </c>
      <c r="F4" s="11" t="inlineStr">
        <is>
          <t>Cout Formation (FCFA)</t>
        </is>
      </c>
      <c r="G4" s="11" t="inlineStr">
        <is>
          <t>Cout Indirect (FCFA)</t>
        </is>
      </c>
      <c r="H4" s="11" t="inlineStr">
        <is>
          <t>Cout Total (FCFA)</t>
        </is>
      </c>
      <c r="I4" s="11" t="inlineStr">
        <is>
          <t>Gain Productivite Estime (FCFA/mois)</t>
        </is>
      </c>
      <c r="J4" s="11" t="inlineStr">
        <is>
          <t>ROI Mensuel (%)</t>
        </is>
      </c>
      <c r="K4" s="11" t="inlineStr">
        <is>
          <t>Delai Amortissement (mois)</t>
        </is>
      </c>
      <c r="L4" s="11" t="inlineStr">
        <is>
          <t>Statut</t>
        </is>
      </c>
    </row>
    <row r="5" ht="22" customHeight="1">
      <c r="B5" s="12" t="inlineStr">
        <is>
          <t>RFO-001</t>
        </is>
      </c>
      <c r="C5" s="12" t="inlineStr">
        <is>
          <t>HACCP Niveau 2</t>
        </is>
      </c>
      <c r="D5" s="12" t="inlineStr">
        <is>
          <t>INPHB</t>
        </is>
      </c>
      <c r="E5" s="25" t="n">
        <v>12</v>
      </c>
      <c r="F5" s="13" t="n">
        <v>480000</v>
      </c>
      <c r="G5" s="13" t="n">
        <v>180000</v>
      </c>
      <c r="H5" s="13" t="n"/>
      <c r="I5" s="13" t="n">
        <v>150000</v>
      </c>
      <c r="J5" s="21" t="n"/>
      <c r="K5" s="31" t="n"/>
      <c r="L5" s="12" t="inlineStr">
        <is>
          <t>En cours</t>
        </is>
      </c>
    </row>
    <row r="6" ht="22" customHeight="1">
      <c r="B6" s="14" t="inlineStr">
        <is>
          <t>RFO-002</t>
        </is>
      </c>
      <c r="C6" s="14" t="inlineStr">
        <is>
          <t>Accueil hotellerie</t>
        </is>
      </c>
      <c r="D6" s="14" t="inlineStr">
        <is>
          <t>Centre formation Douala</t>
        </is>
      </c>
      <c r="E6" s="26" t="n">
        <v>8</v>
      </c>
      <c r="F6" s="15" t="n">
        <v>320000</v>
      </c>
      <c r="G6" s="15" t="n">
        <v>120000</v>
      </c>
      <c r="H6" s="15" t="n"/>
      <c r="I6" s="15" t="n">
        <v>100000</v>
      </c>
      <c r="J6" s="22" t="n"/>
      <c r="K6" s="32" t="n"/>
      <c r="L6" s="14" t="inlineStr">
        <is>
          <t>En cours</t>
        </is>
      </c>
    </row>
    <row r="7" ht="22" customHeight="1">
      <c r="B7" s="12" t="inlineStr">
        <is>
          <t>RFO-003</t>
        </is>
      </c>
      <c r="C7" s="12" t="inlineStr">
        <is>
          <t>Gestion stress &amp; burnout</t>
        </is>
      </c>
      <c r="D7" s="12" t="inlineStr">
        <is>
          <t>Coach certifie</t>
        </is>
      </c>
      <c r="E7" s="25" t="n">
        <v>15</v>
      </c>
      <c r="F7" s="13" t="n">
        <v>375000</v>
      </c>
      <c r="G7" s="13" t="n">
        <v>150000</v>
      </c>
      <c r="H7" s="13" t="n"/>
      <c r="I7" s="13" t="n">
        <v>80000</v>
      </c>
      <c r="J7" s="21" t="n"/>
      <c r="K7" s="31" t="n"/>
      <c r="L7" s="12" t="inlineStr">
        <is>
          <t>En cours</t>
        </is>
      </c>
    </row>
    <row r="8" ht="22" customHeight="1">
      <c r="B8" s="14" t="inlineStr">
        <is>
          <t>RFO-004</t>
        </is>
      </c>
      <c r="C8" s="14" t="inlineStr">
        <is>
          <t>Excel avance pour DAF</t>
        </is>
      </c>
      <c r="D8" s="14" t="inlineStr">
        <is>
          <t>Formateur independant</t>
        </is>
      </c>
      <c r="E8" s="26" t="n">
        <v>3</v>
      </c>
      <c r="F8" s="15" t="n">
        <v>150000</v>
      </c>
      <c r="G8" s="15" t="n">
        <v>45000</v>
      </c>
      <c r="H8" s="15" t="n"/>
      <c r="I8" s="15" t="n">
        <v>60000</v>
      </c>
      <c r="J8" s="22" t="n"/>
      <c r="K8" s="32" t="n"/>
      <c r="L8" s="14" t="inlineStr">
        <is>
          <t>En cours</t>
        </is>
      </c>
    </row>
    <row r="9" ht="22" customHeight="1">
      <c r="B9" s="12" t="inlineStr">
        <is>
          <t>RFO-005</t>
        </is>
      </c>
      <c r="C9" s="12" t="inlineStr">
        <is>
          <t>Securite incendie</t>
        </is>
      </c>
      <c r="D9" s="12" t="inlineStr">
        <is>
          <t>Pompiers Douala</t>
        </is>
      </c>
      <c r="E9" s="25" t="n">
        <v>20</v>
      </c>
      <c r="F9" s="13" t="n">
        <v>200000</v>
      </c>
      <c r="G9" s="13" t="n">
        <v>200000</v>
      </c>
      <c r="H9" s="13" t="n"/>
      <c r="I9" s="13" t="n">
        <v>50000</v>
      </c>
      <c r="J9" s="21" t="n"/>
      <c r="K9" s="31" t="n"/>
      <c r="L9" s="12" t="inlineStr">
        <is>
          <t>En cours</t>
        </is>
      </c>
    </row>
    <row r="10" ht="22" customHeight="1">
      <c r="B10" s="17">
        <f>IF(C10="","RFO-"&amp;TEXT(COUNTA($C$5:C10),"000"))</f>
        <v/>
      </c>
      <c r="C10" s="14" t="n"/>
      <c r="D10" s="14" t="n"/>
      <c r="E10" s="26" t="n"/>
      <c r="F10" s="15" t="n"/>
      <c r="G10" s="15" t="n"/>
      <c r="H10" s="15">
        <f>F10+G10</f>
        <v/>
      </c>
      <c r="I10" s="15" t="n"/>
      <c r="J10" s="22">
        <f>IF(OR(H10="",I10=""),"",I10/H10)</f>
        <v/>
      </c>
      <c r="K10" s="32">
        <f>IF(J10="","",IF(J10=0,"N/A",1/J10))</f>
        <v/>
      </c>
      <c r="L10" s="14" t="n"/>
    </row>
    <row r="11" ht="22" customHeight="1">
      <c r="B11" s="16">
        <f>IF(C11="","RFO-"&amp;TEXT(COUNTA($C$5:C11),"000"))</f>
        <v/>
      </c>
      <c r="C11" s="12" t="n"/>
      <c r="D11" s="12" t="n"/>
      <c r="E11" s="25" t="n"/>
      <c r="F11" s="13" t="n"/>
      <c r="G11" s="13" t="n"/>
      <c r="H11" s="13">
        <f>F11+G11</f>
        <v/>
      </c>
      <c r="I11" s="13" t="n"/>
      <c r="J11" s="21">
        <f>IF(OR(H11="",I11=""),"",I11/H11)</f>
        <v/>
      </c>
      <c r="K11" s="31">
        <f>IF(J11="","",IF(J11=0,"N/A",1/J11))</f>
        <v/>
      </c>
      <c r="L11" s="12" t="n"/>
    </row>
    <row r="12" ht="22" customHeight="1">
      <c r="B12" s="17">
        <f>IF(C12="","RFO-"&amp;TEXT(COUNTA($C$5:C12),"000"))</f>
        <v/>
      </c>
      <c r="C12" s="14" t="n"/>
      <c r="D12" s="14" t="n"/>
      <c r="E12" s="26" t="n"/>
      <c r="F12" s="15" t="n"/>
      <c r="G12" s="15" t="n"/>
      <c r="H12" s="15">
        <f>F12+G12</f>
        <v/>
      </c>
      <c r="I12" s="15" t="n"/>
      <c r="J12" s="22">
        <f>IF(OR(H12="",I12=""),"",I12/H12)</f>
        <v/>
      </c>
      <c r="K12" s="32">
        <f>IF(J12="","",IF(J12=0,"N/A",1/J12))</f>
        <v/>
      </c>
      <c r="L12" s="14" t="n"/>
    </row>
    <row r="13" ht="22" customHeight="1">
      <c r="B13" s="16">
        <f>IF(C13="","RFO-"&amp;TEXT(COUNTA($C$5:C13),"000"))</f>
        <v/>
      </c>
      <c r="C13" s="12" t="n"/>
      <c r="D13" s="12" t="n"/>
      <c r="E13" s="25" t="n"/>
      <c r="F13" s="13" t="n"/>
      <c r="G13" s="13" t="n"/>
      <c r="H13" s="13">
        <f>F13+G13</f>
        <v/>
      </c>
      <c r="I13" s="13" t="n"/>
      <c r="J13" s="21">
        <f>IF(OR(H13="",I13=""),"",I13/H13)</f>
        <v/>
      </c>
      <c r="K13" s="31">
        <f>IF(J13="","",IF(J13=0,"N/A",1/J13))</f>
        <v/>
      </c>
      <c r="L13" s="12" t="n"/>
    </row>
    <row r="14" ht="22" customHeight="1">
      <c r="B14" s="17">
        <f>IF(C14="","RFO-"&amp;TEXT(COUNTA($C$5:C14),"000"))</f>
        <v/>
      </c>
      <c r="C14" s="14" t="n"/>
      <c r="D14" s="14" t="n"/>
      <c r="E14" s="26" t="n"/>
      <c r="F14" s="15" t="n"/>
      <c r="G14" s="15" t="n"/>
      <c r="H14" s="15">
        <f>F14+G14</f>
        <v/>
      </c>
      <c r="I14" s="15" t="n"/>
      <c r="J14" s="22">
        <f>IF(OR(H14="",I14=""),"",I14/H14)</f>
        <v/>
      </c>
      <c r="K14" s="32">
        <f>IF(J14="","",IF(J14=0,"N/A",1/J14))</f>
        <v/>
      </c>
      <c r="L14" s="14" t="n"/>
    </row>
    <row r="15" ht="22" customHeight="1">
      <c r="B15" s="16">
        <f>IF(C15="","RFO-"&amp;TEXT(COUNTA($C$5:C15),"000"))</f>
        <v/>
      </c>
      <c r="C15" s="12" t="n"/>
      <c r="D15" s="12" t="n"/>
      <c r="E15" s="25" t="n"/>
      <c r="F15" s="13" t="n"/>
      <c r="G15" s="13" t="n"/>
      <c r="H15" s="13">
        <f>F15+G15</f>
        <v/>
      </c>
      <c r="I15" s="13" t="n"/>
      <c r="J15" s="21">
        <f>IF(OR(H15="",I15=""),"",I15/H15)</f>
        <v/>
      </c>
      <c r="K15" s="31">
        <f>IF(J15="","",IF(J15=0,"N/A",1/J15))</f>
        <v/>
      </c>
      <c r="L15" s="12" t="n"/>
    </row>
    <row r="16" ht="22" customHeight="1">
      <c r="B16" s="17">
        <f>IF(C16="","RFO-"&amp;TEXT(COUNTA($C$5:C16),"000"))</f>
        <v/>
      </c>
      <c r="C16" s="14" t="n"/>
      <c r="D16" s="14" t="n"/>
      <c r="E16" s="26" t="n"/>
      <c r="F16" s="15" t="n"/>
      <c r="G16" s="15" t="n"/>
      <c r="H16" s="15">
        <f>F16+G16</f>
        <v/>
      </c>
      <c r="I16" s="15" t="n"/>
      <c r="J16" s="22">
        <f>IF(OR(H16="",I16=""),"",I16/H16)</f>
        <v/>
      </c>
      <c r="K16" s="32">
        <f>IF(J16="","",IF(J16=0,"N/A",1/J16))</f>
        <v/>
      </c>
      <c r="L16" s="14" t="n"/>
    </row>
    <row r="17" ht="22" customHeight="1">
      <c r="B17" s="16">
        <f>IF(C17="","RFO-"&amp;TEXT(COUNTA($C$5:C17),"000"))</f>
        <v/>
      </c>
      <c r="C17" s="12" t="n"/>
      <c r="D17" s="12" t="n"/>
      <c r="E17" s="25" t="n"/>
      <c r="F17" s="13" t="n"/>
      <c r="G17" s="13" t="n"/>
      <c r="H17" s="13">
        <f>F17+G17</f>
        <v/>
      </c>
      <c r="I17" s="13" t="n"/>
      <c r="J17" s="21">
        <f>IF(OR(H17="",I17=""),"",I17/H17)</f>
        <v/>
      </c>
      <c r="K17" s="31">
        <f>IF(J17="","",IF(J17=0,"N/A",1/J17))</f>
        <v/>
      </c>
      <c r="L17" s="12" t="n"/>
    </row>
    <row r="18" ht="22" customHeight="1">
      <c r="B18" s="17">
        <f>IF(C18="","RFO-"&amp;TEXT(COUNTA($C$5:C18),"000"))</f>
        <v/>
      </c>
      <c r="C18" s="14" t="n"/>
      <c r="D18" s="14" t="n"/>
      <c r="E18" s="26" t="n"/>
      <c r="F18" s="15" t="n"/>
      <c r="G18" s="15" t="n"/>
      <c r="H18" s="15">
        <f>F18+G18</f>
        <v/>
      </c>
      <c r="I18" s="15" t="n"/>
      <c r="J18" s="22">
        <f>IF(OR(H18="",I18=""),"",I18/H18)</f>
        <v/>
      </c>
      <c r="K18" s="32">
        <f>IF(J18="","",IF(J18=0,"N/A",1/J18))</f>
        <v/>
      </c>
      <c r="L18" s="14" t="n"/>
    </row>
    <row r="19" ht="22" customHeight="1">
      <c r="B19" s="16">
        <f>IF(C19="","RFO-"&amp;TEXT(COUNTA($C$5:C19),"000"))</f>
        <v/>
      </c>
      <c r="C19" s="12" t="n"/>
      <c r="D19" s="12" t="n"/>
      <c r="E19" s="25" t="n"/>
      <c r="F19" s="13" t="n"/>
      <c r="G19" s="13" t="n"/>
      <c r="H19" s="13">
        <f>F19+G19</f>
        <v/>
      </c>
      <c r="I19" s="13" t="n"/>
      <c r="J19" s="21">
        <f>IF(OR(H19="",I19=""),"",I19/H19)</f>
        <v/>
      </c>
      <c r="K19" s="31">
        <f>IF(J19="","",IF(J19=0,"N/A",1/J19))</f>
        <v/>
      </c>
      <c r="L19" s="12" t="n"/>
    </row>
    <row r="20" ht="22" customHeight="1">
      <c r="B20" s="17">
        <f>IF(C20="","RFO-"&amp;TEXT(COUNTA($C$5:C20),"000"))</f>
        <v/>
      </c>
      <c r="C20" s="14" t="n"/>
      <c r="D20" s="14" t="n"/>
      <c r="E20" s="26" t="n"/>
      <c r="F20" s="15" t="n"/>
      <c r="G20" s="15" t="n"/>
      <c r="H20" s="15">
        <f>F20+G20</f>
        <v/>
      </c>
      <c r="I20" s="15" t="n"/>
      <c r="J20" s="22">
        <f>IF(OR(H20="",I20=""),"",I20/H20)</f>
        <v/>
      </c>
      <c r="K20" s="32">
        <f>IF(J20="","",IF(J20=0,"N/A",1/J20))</f>
        <v/>
      </c>
      <c r="L20" s="14" t="n"/>
    </row>
    <row r="21" ht="22" customHeight="1">
      <c r="B21" s="16">
        <f>IF(C21="","RFO-"&amp;TEXT(COUNTA($C$5:C21),"000"))</f>
        <v/>
      </c>
      <c r="C21" s="12" t="n"/>
      <c r="D21" s="12" t="n"/>
      <c r="E21" s="25" t="n"/>
      <c r="F21" s="13" t="n"/>
      <c r="G21" s="13" t="n"/>
      <c r="H21" s="13">
        <f>F21+G21</f>
        <v/>
      </c>
      <c r="I21" s="13" t="n"/>
      <c r="J21" s="21">
        <f>IF(OR(H21="",I21=""),"",I21/H21)</f>
        <v/>
      </c>
      <c r="K21" s="31">
        <f>IF(J21="","",IF(J21=0,"N/A",1/J21))</f>
        <v/>
      </c>
      <c r="L21" s="12" t="n"/>
    </row>
    <row r="22" ht="22" customHeight="1">
      <c r="B22" s="17">
        <f>IF(C22="","RFO-"&amp;TEXT(COUNTA($C$5:C22),"000"))</f>
        <v/>
      </c>
      <c r="C22" s="14" t="n"/>
      <c r="D22" s="14" t="n"/>
      <c r="E22" s="26" t="n"/>
      <c r="F22" s="15" t="n"/>
      <c r="G22" s="15" t="n"/>
      <c r="H22" s="15">
        <f>F22+G22</f>
        <v/>
      </c>
      <c r="I22" s="15" t="n"/>
      <c r="J22" s="22">
        <f>IF(OR(H22="",I22=""),"",I22/H22)</f>
        <v/>
      </c>
      <c r="K22" s="32">
        <f>IF(J22="","",IF(J22=0,"N/A",1/J22))</f>
        <v/>
      </c>
      <c r="L22" s="14" t="n"/>
    </row>
    <row r="23" ht="22" customHeight="1">
      <c r="B23" s="16">
        <f>IF(C23="","RFO-"&amp;TEXT(COUNTA($C$5:C23),"000"))</f>
        <v/>
      </c>
      <c r="C23" s="12" t="n"/>
      <c r="D23" s="12" t="n"/>
      <c r="E23" s="25" t="n"/>
      <c r="F23" s="13" t="n"/>
      <c r="G23" s="13" t="n"/>
      <c r="H23" s="13">
        <f>F23+G23</f>
        <v/>
      </c>
      <c r="I23" s="13" t="n"/>
      <c r="J23" s="21">
        <f>IF(OR(H23="",I23=""),"",I23/H23)</f>
        <v/>
      </c>
      <c r="K23" s="31">
        <f>IF(J23="","",IF(J23=0,"N/A",1/J23))</f>
        <v/>
      </c>
      <c r="L23" s="12" t="n"/>
    </row>
    <row r="24" ht="22" customHeight="1">
      <c r="B24" s="17">
        <f>IF(C24="","RFO-"&amp;TEXT(COUNTA($C$5:C24),"000"))</f>
        <v/>
      </c>
      <c r="C24" s="14" t="n"/>
      <c r="D24" s="14" t="n"/>
      <c r="E24" s="26" t="n"/>
      <c r="F24" s="15" t="n"/>
      <c r="G24" s="15" t="n"/>
      <c r="H24" s="15">
        <f>F24+G24</f>
        <v/>
      </c>
      <c r="I24" s="15" t="n"/>
      <c r="J24" s="22">
        <f>IF(OR(H24="",I24=""),"",I24/H24)</f>
        <v/>
      </c>
      <c r="K24" s="32">
        <f>IF(J24="","",IF(J24=0,"N/A",1/J24))</f>
        <v/>
      </c>
      <c r="L24" s="14" t="n"/>
    </row>
    <row r="25" ht="22" customHeight="1">
      <c r="B25" s="16">
        <f>IF(C25="","RFO-"&amp;TEXT(COUNTA($C$5:C25),"000"))</f>
        <v/>
      </c>
      <c r="C25" s="12" t="n"/>
      <c r="D25" s="12" t="n"/>
      <c r="E25" s="25" t="n"/>
      <c r="F25" s="13" t="n"/>
      <c r="G25" s="13" t="n"/>
      <c r="H25" s="13">
        <f>F25+G25</f>
        <v/>
      </c>
      <c r="I25" s="13" t="n"/>
      <c r="J25" s="21">
        <f>IF(OR(H25="",I25=""),"",I25/H25)</f>
        <v/>
      </c>
      <c r="K25" s="31">
        <f>IF(J25="","",IF(J25=0,"N/A",1/J25))</f>
        <v/>
      </c>
      <c r="L25" s="12" t="n"/>
    </row>
    <row r="26" ht="22" customHeight="1">
      <c r="B26" s="17">
        <f>IF(C26="","RFO-"&amp;TEXT(COUNTA($C$5:C26),"000"))</f>
        <v/>
      </c>
      <c r="C26" s="14" t="n"/>
      <c r="D26" s="14" t="n"/>
      <c r="E26" s="26" t="n"/>
      <c r="F26" s="15" t="n"/>
      <c r="G26" s="15" t="n"/>
      <c r="H26" s="15">
        <f>F26+G26</f>
        <v/>
      </c>
      <c r="I26" s="15" t="n"/>
      <c r="J26" s="22">
        <f>IF(OR(H26="",I26=""),"",I26/H26)</f>
        <v/>
      </c>
      <c r="K26" s="32">
        <f>IF(J26="","",IF(J26=0,"N/A",1/J26))</f>
        <v/>
      </c>
      <c r="L26" s="14" t="n"/>
    </row>
    <row r="27" ht="22" customHeight="1">
      <c r="B27" s="16">
        <f>IF(C27="","RFO-"&amp;TEXT(COUNTA($C$5:C27),"000"))</f>
        <v/>
      </c>
      <c r="C27" s="12" t="n"/>
      <c r="D27" s="12" t="n"/>
      <c r="E27" s="25" t="n"/>
      <c r="F27" s="13" t="n"/>
      <c r="G27" s="13" t="n"/>
      <c r="H27" s="13">
        <f>F27+G27</f>
        <v/>
      </c>
      <c r="I27" s="13" t="n"/>
      <c r="J27" s="21">
        <f>IF(OR(H27="",I27=""),"",I27/H27)</f>
        <v/>
      </c>
      <c r="K27" s="31">
        <f>IF(J27="","",IF(J27=0,"N/A",1/J27))</f>
        <v/>
      </c>
      <c r="L27" s="12" t="n"/>
    </row>
    <row r="28" ht="22" customHeight="1">
      <c r="B28" s="17">
        <f>IF(C28="","RFO-"&amp;TEXT(COUNTA($C$5:C28),"000"))</f>
        <v/>
      </c>
      <c r="C28" s="14" t="n"/>
      <c r="D28" s="14" t="n"/>
      <c r="E28" s="26" t="n"/>
      <c r="F28" s="15" t="n"/>
      <c r="G28" s="15" t="n"/>
      <c r="H28" s="15">
        <f>F28+G28</f>
        <v/>
      </c>
      <c r="I28" s="15" t="n"/>
      <c r="J28" s="22">
        <f>IF(OR(H28="",I28=""),"",I28/H28)</f>
        <v/>
      </c>
      <c r="K28" s="32">
        <f>IF(J28="","",IF(J28=0,"N/A",1/J28))</f>
        <v/>
      </c>
      <c r="L28" s="14" t="n"/>
    </row>
    <row r="29" ht="22" customHeight="1">
      <c r="B29" s="16">
        <f>IF(C29="","RFO-"&amp;TEXT(COUNTA($C$5:C29),"000"))</f>
        <v/>
      </c>
      <c r="C29" s="12" t="n"/>
      <c r="D29" s="12" t="n"/>
      <c r="E29" s="25" t="n"/>
      <c r="F29" s="13" t="n"/>
      <c r="G29" s="13" t="n"/>
      <c r="H29" s="13">
        <f>F29+G29</f>
        <v/>
      </c>
      <c r="I29" s="13" t="n"/>
      <c r="J29" s="21">
        <f>IF(OR(H29="",I29=""),"",I29/H29)</f>
        <v/>
      </c>
      <c r="K29" s="31">
        <f>IF(J29="","",IF(J29=0,"N/A",1/J29))</f>
        <v/>
      </c>
      <c r="L29" s="12" t="n"/>
    </row>
    <row r="30" ht="22" customHeight="1">
      <c r="B30" s="17">
        <f>IF(C30="","RFO-"&amp;TEXT(COUNTA($C$5:C30),"000"))</f>
        <v/>
      </c>
      <c r="C30" s="14" t="n"/>
      <c r="D30" s="14" t="n"/>
      <c r="E30" s="26" t="n"/>
      <c r="F30" s="15" t="n"/>
      <c r="G30" s="15" t="n"/>
      <c r="H30" s="15">
        <f>F30+G30</f>
        <v/>
      </c>
      <c r="I30" s="15" t="n"/>
      <c r="J30" s="22">
        <f>IF(OR(H30="",I30=""),"",I30/H30)</f>
        <v/>
      </c>
      <c r="K30" s="32">
        <f>IF(J30="","",IF(J30=0,"N/A",1/J30))</f>
        <v/>
      </c>
      <c r="L30" s="14" t="n"/>
    </row>
    <row r="31" ht="22" customHeight="1">
      <c r="B31" s="16">
        <f>IF(C31="","RFO-"&amp;TEXT(COUNTA($C$5:C31),"000"))</f>
        <v/>
      </c>
      <c r="C31" s="12" t="n"/>
      <c r="D31" s="12" t="n"/>
      <c r="E31" s="25" t="n"/>
      <c r="F31" s="13" t="n"/>
      <c r="G31" s="13" t="n"/>
      <c r="H31" s="13">
        <f>F31+G31</f>
        <v/>
      </c>
      <c r="I31" s="13" t="n"/>
      <c r="J31" s="21">
        <f>IF(OR(H31="",I31=""),"",I31/H31)</f>
        <v/>
      </c>
      <c r="K31" s="31">
        <f>IF(J31="","",IF(J31=0,"N/A",1/J31))</f>
        <v/>
      </c>
      <c r="L31" s="12" t="n"/>
    </row>
    <row r="32" ht="22" customHeight="1">
      <c r="B32" s="17">
        <f>IF(C32="","RFO-"&amp;TEXT(COUNTA($C$5:C32),"000"))</f>
        <v/>
      </c>
      <c r="C32" s="14" t="n"/>
      <c r="D32" s="14" t="n"/>
      <c r="E32" s="26" t="n"/>
      <c r="F32" s="15" t="n"/>
      <c r="G32" s="15" t="n"/>
      <c r="H32" s="15">
        <f>F32+G32</f>
        <v/>
      </c>
      <c r="I32" s="15" t="n"/>
      <c r="J32" s="22">
        <f>IF(OR(H32="",I32=""),"",I32/H32)</f>
        <v/>
      </c>
      <c r="K32" s="32">
        <f>IF(J32="","",IF(J32=0,"N/A",1/J32))</f>
        <v/>
      </c>
      <c r="L32" s="14" t="n"/>
    </row>
    <row r="33" ht="22" customHeight="1">
      <c r="B33" s="16">
        <f>IF(C33="","RFO-"&amp;TEXT(COUNTA($C$5:C33),"000"))</f>
        <v/>
      </c>
      <c r="C33" s="12" t="n"/>
      <c r="D33" s="12" t="n"/>
      <c r="E33" s="25" t="n"/>
      <c r="F33" s="13" t="n"/>
      <c r="G33" s="13" t="n"/>
      <c r="H33" s="13">
        <f>F33+G33</f>
        <v/>
      </c>
      <c r="I33" s="13" t="n"/>
      <c r="J33" s="21">
        <f>IF(OR(H33="",I33=""),"",I33/H33)</f>
        <v/>
      </c>
      <c r="K33" s="31">
        <f>IF(J33="","",IF(J33=0,"N/A",1/J33))</f>
        <v/>
      </c>
      <c r="L33" s="12" t="n"/>
    </row>
    <row r="34" ht="22" customHeight="1">
      <c r="B34" s="17">
        <f>IF(C34="","RFO-"&amp;TEXT(COUNTA($C$5:C34),"000"))</f>
        <v/>
      </c>
      <c r="C34" s="14" t="n"/>
      <c r="D34" s="14" t="n"/>
      <c r="E34" s="26" t="n"/>
      <c r="F34" s="15" t="n"/>
      <c r="G34" s="15" t="n"/>
      <c r="H34" s="15">
        <f>F34+G34</f>
        <v/>
      </c>
      <c r="I34" s="15" t="n"/>
      <c r="J34" s="22">
        <f>IF(OR(H34="",I34=""),"",I34/H34)</f>
        <v/>
      </c>
      <c r="K34" s="32">
        <f>IF(J34="","",IF(J34=0,"N/A",1/J34))</f>
        <v/>
      </c>
      <c r="L34" s="14" t="n"/>
    </row>
    <row r="35" ht="22" customHeight="1">
      <c r="B35" s="16">
        <f>IF(C35="","RFO-"&amp;TEXT(COUNTA($C$5:C35),"000"))</f>
        <v/>
      </c>
      <c r="C35" s="12" t="n"/>
      <c r="D35" s="12" t="n"/>
      <c r="E35" s="25" t="n"/>
      <c r="F35" s="13" t="n"/>
      <c r="G35" s="13" t="n"/>
      <c r="H35" s="13">
        <f>F35+G35</f>
        <v/>
      </c>
      <c r="I35" s="13" t="n"/>
      <c r="J35" s="21">
        <f>IF(OR(H35="",I35=""),"",I35/H35)</f>
        <v/>
      </c>
      <c r="K35" s="31">
        <f>IF(J35="","",IF(J35=0,"N/A",1/J35))</f>
        <v/>
      </c>
      <c r="L35" s="12" t="n"/>
    </row>
    <row r="36" ht="22" customHeight="1">
      <c r="B36" s="17">
        <f>IF(C36="","RFO-"&amp;TEXT(COUNTA($C$5:C36),"000"))</f>
        <v/>
      </c>
      <c r="C36" s="14" t="n"/>
      <c r="D36" s="14" t="n"/>
      <c r="E36" s="26" t="n"/>
      <c r="F36" s="15" t="n"/>
      <c r="G36" s="15" t="n"/>
      <c r="H36" s="15">
        <f>F36+G36</f>
        <v/>
      </c>
      <c r="I36" s="15" t="n"/>
      <c r="J36" s="22">
        <f>IF(OR(H36="",I36=""),"",I36/H36)</f>
        <v/>
      </c>
      <c r="K36" s="32">
        <f>IF(J36="","",IF(J36=0,"N/A",1/J36))</f>
        <v/>
      </c>
      <c r="L36" s="14" t="n"/>
    </row>
    <row r="37" ht="22" customHeight="1">
      <c r="B37" s="16">
        <f>IF(C37="","RFO-"&amp;TEXT(COUNTA($C$5:C37),"000"))</f>
        <v/>
      </c>
      <c r="C37" s="12" t="n"/>
      <c r="D37" s="12" t="n"/>
      <c r="E37" s="25" t="n"/>
      <c r="F37" s="13" t="n"/>
      <c r="G37" s="13" t="n"/>
      <c r="H37" s="13">
        <f>F37+G37</f>
        <v/>
      </c>
      <c r="I37" s="13" t="n"/>
      <c r="J37" s="21">
        <f>IF(OR(H37="",I37=""),"",I37/H37)</f>
        <v/>
      </c>
      <c r="K37" s="31">
        <f>IF(J37="","",IF(J37=0,"N/A",1/J37))</f>
        <v/>
      </c>
      <c r="L37" s="12" t="n"/>
    </row>
    <row r="38" ht="22" customHeight="1">
      <c r="B38" s="17">
        <f>IF(C38="","RFO-"&amp;TEXT(COUNTA($C$5:C38),"000"))</f>
        <v/>
      </c>
      <c r="C38" s="14" t="n"/>
      <c r="D38" s="14" t="n"/>
      <c r="E38" s="26" t="n"/>
      <c r="F38" s="15" t="n"/>
      <c r="G38" s="15" t="n"/>
      <c r="H38" s="15">
        <f>F38+G38</f>
        <v/>
      </c>
      <c r="I38" s="15" t="n"/>
      <c r="J38" s="22">
        <f>IF(OR(H38="",I38=""),"",I38/H38)</f>
        <v/>
      </c>
      <c r="K38" s="32">
        <f>IF(J38="","",IF(J38=0,"N/A",1/J38))</f>
        <v/>
      </c>
      <c r="L38" s="14" t="n"/>
    </row>
    <row r="39" ht="22" customHeight="1">
      <c r="B39" s="16">
        <f>IF(C39="","RFO-"&amp;TEXT(COUNTA($C$5:C39),"000"))</f>
        <v/>
      </c>
      <c r="C39" s="12" t="n"/>
      <c r="D39" s="12" t="n"/>
      <c r="E39" s="25" t="n"/>
      <c r="F39" s="13" t="n"/>
      <c r="G39" s="13" t="n"/>
      <c r="H39" s="13">
        <f>F39+G39</f>
        <v/>
      </c>
      <c r="I39" s="13" t="n"/>
      <c r="J39" s="21">
        <f>IF(OR(H39="",I39=""),"",I39/H39)</f>
        <v/>
      </c>
      <c r="K39" s="31">
        <f>IF(J39="","",IF(J39=0,"N/A",1/J39))</f>
        <v/>
      </c>
      <c r="L39" s="12" t="n"/>
    </row>
    <row r="40" ht="22" customHeight="1">
      <c r="B40" s="17">
        <f>IF(C40="","RFO-"&amp;TEXT(COUNTA($C$5:C40),"000"))</f>
        <v/>
      </c>
      <c r="C40" s="14" t="n"/>
      <c r="D40" s="14" t="n"/>
      <c r="E40" s="26" t="n"/>
      <c r="F40" s="15" t="n"/>
      <c r="G40" s="15" t="n"/>
      <c r="H40" s="15">
        <f>F40+G40</f>
        <v/>
      </c>
      <c r="I40" s="15" t="n"/>
      <c r="J40" s="22">
        <f>IF(OR(H40="",I40=""),"",I40/H40)</f>
        <v/>
      </c>
      <c r="K40" s="32">
        <f>IF(J40="","",IF(J40=0,"N/A",1/J40))</f>
        <v/>
      </c>
      <c r="L40" s="14" t="n"/>
    </row>
    <row r="41" ht="22" customHeight="1">
      <c r="B41" s="16">
        <f>IF(C41="","RFO-"&amp;TEXT(COUNTA($C$5:C41),"000"))</f>
        <v/>
      </c>
      <c r="C41" s="12" t="n"/>
      <c r="D41" s="12" t="n"/>
      <c r="E41" s="25" t="n"/>
      <c r="F41" s="13" t="n"/>
      <c r="G41" s="13" t="n"/>
      <c r="H41" s="13">
        <f>F41+G41</f>
        <v/>
      </c>
      <c r="I41" s="13" t="n"/>
      <c r="J41" s="21">
        <f>IF(OR(H41="",I41=""),"",I41/H41)</f>
        <v/>
      </c>
      <c r="K41" s="31">
        <f>IF(J41="","",IF(J41=0,"N/A",1/J41))</f>
        <v/>
      </c>
      <c r="L41" s="12" t="n"/>
    </row>
    <row r="42" ht="22" customHeight="1">
      <c r="B42" s="17">
        <f>IF(C42="","RFO-"&amp;TEXT(COUNTA($C$5:C42),"000"))</f>
        <v/>
      </c>
      <c r="C42" s="14" t="n"/>
      <c r="D42" s="14" t="n"/>
      <c r="E42" s="26" t="n"/>
      <c r="F42" s="15" t="n"/>
      <c r="G42" s="15" t="n"/>
      <c r="H42" s="15">
        <f>F42+G42</f>
        <v/>
      </c>
      <c r="I42" s="15" t="n"/>
      <c r="J42" s="22">
        <f>IF(OR(H42="",I42=""),"",I42/H42)</f>
        <v/>
      </c>
      <c r="K42" s="32">
        <f>IF(J42="","",IF(J42=0,"N/A",1/J42))</f>
        <v/>
      </c>
      <c r="L42" s="14" t="n"/>
    </row>
    <row r="43" ht="22" customHeight="1">
      <c r="B43" s="16">
        <f>IF(C43="","RFO-"&amp;TEXT(COUNTA($C$5:C43),"000"))</f>
        <v/>
      </c>
      <c r="C43" s="12" t="n"/>
      <c r="D43" s="12" t="n"/>
      <c r="E43" s="25" t="n"/>
      <c r="F43" s="13" t="n"/>
      <c r="G43" s="13" t="n"/>
      <c r="H43" s="13">
        <f>F43+G43</f>
        <v/>
      </c>
      <c r="I43" s="13" t="n"/>
      <c r="J43" s="21">
        <f>IF(OR(H43="",I43=""),"",I43/H43)</f>
        <v/>
      </c>
      <c r="K43" s="31">
        <f>IF(J43="","",IF(J43=0,"N/A",1/J43))</f>
        <v/>
      </c>
      <c r="L43" s="12" t="n"/>
    </row>
    <row r="44" ht="22" customHeight="1">
      <c r="B44" s="17">
        <f>IF(C44="","RFO-"&amp;TEXT(COUNTA($C$5:C44),"000"))</f>
        <v/>
      </c>
      <c r="C44" s="14" t="n"/>
      <c r="D44" s="14" t="n"/>
      <c r="E44" s="26" t="n"/>
      <c r="F44" s="15" t="n"/>
      <c r="G44" s="15" t="n"/>
      <c r="H44" s="15">
        <f>F44+G44</f>
        <v/>
      </c>
      <c r="I44" s="15" t="n"/>
      <c r="J44" s="22">
        <f>IF(OR(H44="",I44=""),"",I44/H44)</f>
        <v/>
      </c>
      <c r="K44" s="32">
        <f>IF(J44="","",IF(J44=0,"N/A",1/J44))</f>
        <v/>
      </c>
      <c r="L44" s="14" t="n"/>
    </row>
    <row r="45" ht="22" customHeight="1">
      <c r="B45" s="16">
        <f>IF(C45="","RFO-"&amp;TEXT(COUNTA($C$5:C45),"000"))</f>
        <v/>
      </c>
      <c r="C45" s="12" t="n"/>
      <c r="D45" s="12" t="n"/>
      <c r="E45" s="25" t="n"/>
      <c r="F45" s="13" t="n"/>
      <c r="G45" s="13" t="n"/>
      <c r="H45" s="13">
        <f>F45+G45</f>
        <v/>
      </c>
      <c r="I45" s="13" t="n"/>
      <c r="J45" s="21">
        <f>IF(OR(H45="",I45=""),"",I45/H45)</f>
        <v/>
      </c>
      <c r="K45" s="31">
        <f>IF(J45="","",IF(J45=0,"N/A",1/J45))</f>
        <v/>
      </c>
      <c r="L45" s="12" t="n"/>
    </row>
    <row r="46" ht="22" customHeight="1">
      <c r="B46" s="17">
        <f>IF(C46="","RFO-"&amp;TEXT(COUNTA($C$5:C46),"000"))</f>
        <v/>
      </c>
      <c r="C46" s="14" t="n"/>
      <c r="D46" s="14" t="n"/>
      <c r="E46" s="26" t="n"/>
      <c r="F46" s="15" t="n"/>
      <c r="G46" s="15" t="n"/>
      <c r="H46" s="15">
        <f>F46+G46</f>
        <v/>
      </c>
      <c r="I46" s="15" t="n"/>
      <c r="J46" s="22">
        <f>IF(OR(H46="",I46=""),"",I46/H46)</f>
        <v/>
      </c>
      <c r="K46" s="32">
        <f>IF(J46="","",IF(J46=0,"N/A",1/J46))</f>
        <v/>
      </c>
      <c r="L46" s="14" t="n"/>
    </row>
    <row r="47" ht="22" customHeight="1">
      <c r="B47" s="16">
        <f>IF(C47="","RFO-"&amp;TEXT(COUNTA($C$5:C47),"000"))</f>
        <v/>
      </c>
      <c r="C47" s="12" t="n"/>
      <c r="D47" s="12" t="n"/>
      <c r="E47" s="25" t="n"/>
      <c r="F47" s="13" t="n"/>
      <c r="G47" s="13" t="n"/>
      <c r="H47" s="13">
        <f>F47+G47</f>
        <v/>
      </c>
      <c r="I47" s="13" t="n"/>
      <c r="J47" s="21">
        <f>IF(OR(H47="",I47=""),"",I47/H47)</f>
        <v/>
      </c>
      <c r="K47" s="31">
        <f>IF(J47="","",IF(J47=0,"N/A",1/J47))</f>
        <v/>
      </c>
      <c r="L47" s="12" t="n"/>
    </row>
    <row r="48" ht="22" customHeight="1">
      <c r="B48" s="17">
        <f>IF(C48="","RFO-"&amp;TEXT(COUNTA($C$5:C48),"000"))</f>
        <v/>
      </c>
      <c r="C48" s="14" t="n"/>
      <c r="D48" s="14" t="n"/>
      <c r="E48" s="26" t="n"/>
      <c r="F48" s="15" t="n"/>
      <c r="G48" s="15" t="n"/>
      <c r="H48" s="15">
        <f>F48+G48</f>
        <v/>
      </c>
      <c r="I48" s="15" t="n"/>
      <c r="J48" s="22">
        <f>IF(OR(H48="",I48=""),"",I48/H48)</f>
        <v/>
      </c>
      <c r="K48" s="32">
        <f>IF(J48="","",IF(J48=0,"N/A",1/J48))</f>
        <v/>
      </c>
      <c r="L48" s="14" t="n"/>
    </row>
    <row r="49" ht="22" customHeight="1">
      <c r="B49" s="16">
        <f>IF(C49="","RFO-"&amp;TEXT(COUNTA($C$5:C49),"000"))</f>
        <v/>
      </c>
      <c r="C49" s="12" t="n"/>
      <c r="D49" s="12" t="n"/>
      <c r="E49" s="25" t="n"/>
      <c r="F49" s="13" t="n"/>
      <c r="G49" s="13" t="n"/>
      <c r="H49" s="13">
        <f>F49+G49</f>
        <v/>
      </c>
      <c r="I49" s="13" t="n"/>
      <c r="J49" s="21">
        <f>IF(OR(H49="",I49=""),"",I49/H49)</f>
        <v/>
      </c>
      <c r="K49" s="31">
        <f>IF(J49="","",IF(J49=0,"N/A",1/J49))</f>
        <v/>
      </c>
      <c r="L49" s="12" t="n"/>
    </row>
    <row r="50" ht="22" customHeight="1">
      <c r="B50" s="17">
        <f>IF(C50="","RFO-"&amp;TEXT(COUNTA($C$5:C50),"000"))</f>
        <v/>
      </c>
      <c r="C50" s="14" t="n"/>
      <c r="D50" s="14" t="n"/>
      <c r="E50" s="26" t="n"/>
      <c r="F50" s="15" t="n"/>
      <c r="G50" s="15" t="n"/>
      <c r="H50" s="15">
        <f>F50+G50</f>
        <v/>
      </c>
      <c r="I50" s="15" t="n"/>
      <c r="J50" s="22">
        <f>IF(OR(H50="",I50=""),"",I50/H50)</f>
        <v/>
      </c>
      <c r="K50" s="32">
        <f>IF(J50="","",IF(J50=0,"N/A",1/J50))</f>
        <v/>
      </c>
      <c r="L50" s="14" t="n"/>
    </row>
    <row r="51" ht="22" customHeight="1">
      <c r="B51" s="16">
        <f>IF(C51="","RFO-"&amp;TEXT(COUNTA($C$5:C51),"000"))</f>
        <v/>
      </c>
      <c r="C51" s="12" t="n"/>
      <c r="D51" s="12" t="n"/>
      <c r="E51" s="25" t="n"/>
      <c r="F51" s="13" t="n"/>
      <c r="G51" s="13" t="n"/>
      <c r="H51" s="13">
        <f>F51+G51</f>
        <v/>
      </c>
      <c r="I51" s="13" t="n"/>
      <c r="J51" s="21">
        <f>IF(OR(H51="",I51=""),"",I51/H51)</f>
        <v/>
      </c>
      <c r="K51" s="31">
        <f>IF(J51="","",IF(J51=0,"N/A",1/J51))</f>
        <v/>
      </c>
      <c r="L51" s="12" t="n"/>
    </row>
    <row r="52" ht="22" customHeight="1">
      <c r="B52" s="17">
        <f>IF(C52="","RFO-"&amp;TEXT(COUNTA($C$5:C52),"000"))</f>
        <v/>
      </c>
      <c r="C52" s="14" t="n"/>
      <c r="D52" s="14" t="n"/>
      <c r="E52" s="26" t="n"/>
      <c r="F52" s="15" t="n"/>
      <c r="G52" s="15" t="n"/>
      <c r="H52" s="15">
        <f>F52+G52</f>
        <v/>
      </c>
      <c r="I52" s="15" t="n"/>
      <c r="J52" s="22">
        <f>IF(OR(H52="",I52=""),"",I52/H52)</f>
        <v/>
      </c>
      <c r="K52" s="32">
        <f>IF(J52="","",IF(J52=0,"N/A",1/J52))</f>
        <v/>
      </c>
      <c r="L52" s="14" t="n"/>
    </row>
    <row r="53" ht="22" customHeight="1">
      <c r="B53" s="16">
        <f>IF(C53="","RFO-"&amp;TEXT(COUNTA($C$5:C53),"000"))</f>
        <v/>
      </c>
      <c r="C53" s="12" t="n"/>
      <c r="D53" s="12" t="n"/>
      <c r="E53" s="25" t="n"/>
      <c r="F53" s="13" t="n"/>
      <c r="G53" s="13" t="n"/>
      <c r="H53" s="13">
        <f>F53+G53</f>
        <v/>
      </c>
      <c r="I53" s="13" t="n"/>
      <c r="J53" s="21">
        <f>IF(OR(H53="",I53=""),"",I53/H53)</f>
        <v/>
      </c>
      <c r="K53" s="31">
        <f>IF(J53="","",IF(J53=0,"N/A",1/J53))</f>
        <v/>
      </c>
      <c r="L53" s="12" t="n"/>
    </row>
    <row r="54" ht="22" customHeight="1">
      <c r="B54" s="17">
        <f>IF(C54="","RFO-"&amp;TEXT(COUNTA($C$5:C54),"000"))</f>
        <v/>
      </c>
      <c r="C54" s="14" t="n"/>
      <c r="D54" s="14" t="n"/>
      <c r="E54" s="26" t="n"/>
      <c r="F54" s="15" t="n"/>
      <c r="G54" s="15" t="n"/>
      <c r="H54" s="15">
        <f>F54+G54</f>
        <v/>
      </c>
      <c r="I54" s="15" t="n"/>
      <c r="J54" s="22">
        <f>IF(OR(H54="",I54=""),"",I54/H54)</f>
        <v/>
      </c>
      <c r="K54" s="32">
        <f>IF(J54="","",IF(J54=0,"N/A",1/J54))</f>
        <v/>
      </c>
      <c r="L54" s="14" t="n"/>
    </row>
    <row r="55" ht="22" customHeight="1">
      <c r="B55" s="16">
        <f>IF(C55="","RFO-"&amp;TEXT(COUNTA($C$5:C55),"000"))</f>
        <v/>
      </c>
      <c r="C55" s="12" t="n"/>
      <c r="D55" s="12" t="n"/>
      <c r="E55" s="25" t="n"/>
      <c r="F55" s="13" t="n"/>
      <c r="G55" s="13" t="n"/>
      <c r="H55" s="13">
        <f>F55+G55</f>
        <v/>
      </c>
      <c r="I55" s="13" t="n"/>
      <c r="J55" s="21">
        <f>IF(OR(H55="",I55=""),"",I55/H55)</f>
        <v/>
      </c>
      <c r="K55" s="31">
        <f>IF(J55="","",IF(J55=0,"N/A",1/J55))</f>
        <v/>
      </c>
      <c r="L55" s="12" t="n"/>
    </row>
    <row r="56" ht="22" customHeight="1">
      <c r="B56" s="17">
        <f>IF(C56="","RFO-"&amp;TEXT(COUNTA($C$5:C56),"000"))</f>
        <v/>
      </c>
      <c r="C56" s="14" t="n"/>
      <c r="D56" s="14" t="n"/>
      <c r="E56" s="26" t="n"/>
      <c r="F56" s="15" t="n"/>
      <c r="G56" s="15" t="n"/>
      <c r="H56" s="15">
        <f>F56+G56</f>
        <v/>
      </c>
      <c r="I56" s="15" t="n"/>
      <c r="J56" s="22">
        <f>IF(OR(H56="",I56=""),"",I56/H56)</f>
        <v/>
      </c>
      <c r="K56" s="32">
        <f>IF(J56="","",IF(J56=0,"N/A",1/J56))</f>
        <v/>
      </c>
      <c r="L56" s="14" t="n"/>
    </row>
    <row r="57" ht="22" customHeight="1">
      <c r="B57" s="16">
        <f>IF(C57="","RFO-"&amp;TEXT(COUNTA($C$5:C57),"000"))</f>
        <v/>
      </c>
      <c r="C57" s="12" t="n"/>
      <c r="D57" s="12" t="n"/>
      <c r="E57" s="25" t="n"/>
      <c r="F57" s="13" t="n"/>
      <c r="G57" s="13" t="n"/>
      <c r="H57" s="13">
        <f>F57+G57</f>
        <v/>
      </c>
      <c r="I57" s="13" t="n"/>
      <c r="J57" s="21">
        <f>IF(OR(H57="",I57=""),"",I57/H57)</f>
        <v/>
      </c>
      <c r="K57" s="31">
        <f>IF(J57="","",IF(J57=0,"N/A",1/J57))</f>
        <v/>
      </c>
      <c r="L57" s="12" t="n"/>
    </row>
    <row r="58" ht="22" customHeight="1">
      <c r="B58" s="17">
        <f>IF(C58="","RFO-"&amp;TEXT(COUNTA($C$5:C58),"000"))</f>
        <v/>
      </c>
      <c r="C58" s="14" t="n"/>
      <c r="D58" s="14" t="n"/>
      <c r="E58" s="26" t="n"/>
      <c r="F58" s="15" t="n"/>
      <c r="G58" s="15" t="n"/>
      <c r="H58" s="15">
        <f>F58+G58</f>
        <v/>
      </c>
      <c r="I58" s="15" t="n"/>
      <c r="J58" s="22">
        <f>IF(OR(H58="",I58=""),"",I58/H58)</f>
        <v/>
      </c>
      <c r="K58" s="32">
        <f>IF(J58="","",IF(J58=0,"N/A",1/J58))</f>
        <v/>
      </c>
      <c r="L58" s="14" t="n"/>
    </row>
    <row r="59" ht="22" customHeight="1">
      <c r="B59" s="16">
        <f>IF(C59="","RFO-"&amp;TEXT(COUNTA($C$5:C59),"000"))</f>
        <v/>
      </c>
      <c r="C59" s="12" t="n"/>
      <c r="D59" s="12" t="n"/>
      <c r="E59" s="25" t="n"/>
      <c r="F59" s="13" t="n"/>
      <c r="G59" s="13" t="n"/>
      <c r="H59" s="13">
        <f>F59+G59</f>
        <v/>
      </c>
      <c r="I59" s="13" t="n"/>
      <c r="J59" s="21">
        <f>IF(OR(H59="",I59=""),"",I59/H59)</f>
        <v/>
      </c>
      <c r="K59" s="31">
        <f>IF(J59="","",IF(J59=0,"N/A",1/J59))</f>
        <v/>
      </c>
      <c r="L59" s="12" t="n"/>
    </row>
    <row r="60" ht="22" customHeight="1">
      <c r="B60" s="17">
        <f>IF(C60="","RFO-"&amp;TEXT(COUNTA($C$5:C60),"000"))</f>
        <v/>
      </c>
      <c r="C60" s="14" t="n"/>
      <c r="D60" s="14" t="n"/>
      <c r="E60" s="26" t="n"/>
      <c r="F60" s="15" t="n"/>
      <c r="G60" s="15" t="n"/>
      <c r="H60" s="15">
        <f>F60+G60</f>
        <v/>
      </c>
      <c r="I60" s="15" t="n"/>
      <c r="J60" s="22">
        <f>IF(OR(H60="",I60=""),"",I60/H60)</f>
        <v/>
      </c>
      <c r="K60" s="32">
        <f>IF(J60="","",IF(J60=0,"N/A",1/J60))</f>
        <v/>
      </c>
      <c r="L60" s="14" t="n"/>
    </row>
    <row r="61" ht="22" customHeight="1">
      <c r="B61" s="16">
        <f>IF(C61="","RFO-"&amp;TEXT(COUNTA($C$5:C61),"000"))</f>
        <v/>
      </c>
      <c r="C61" s="12" t="n"/>
      <c r="D61" s="12" t="n"/>
      <c r="E61" s="25" t="n"/>
      <c r="F61" s="13" t="n"/>
      <c r="G61" s="13" t="n"/>
      <c r="H61" s="13">
        <f>F61+G61</f>
        <v/>
      </c>
      <c r="I61" s="13" t="n"/>
      <c r="J61" s="21">
        <f>IF(OR(H61="",I61=""),"",I61/H61)</f>
        <v/>
      </c>
      <c r="K61" s="31">
        <f>IF(J61="","",IF(J61=0,"N/A",1/J61))</f>
        <v/>
      </c>
      <c r="L61" s="12" t="n"/>
    </row>
    <row r="62" ht="22" customHeight="1">
      <c r="B62" s="17">
        <f>IF(C62="","RFO-"&amp;TEXT(COUNTA($C$5:C62),"000"))</f>
        <v/>
      </c>
      <c r="C62" s="14" t="n"/>
      <c r="D62" s="14" t="n"/>
      <c r="E62" s="26" t="n"/>
      <c r="F62" s="15" t="n"/>
      <c r="G62" s="15" t="n"/>
      <c r="H62" s="15">
        <f>F62+G62</f>
        <v/>
      </c>
      <c r="I62" s="15" t="n"/>
      <c r="J62" s="22">
        <f>IF(OR(H62="",I62=""),"",I62/H62)</f>
        <v/>
      </c>
      <c r="K62" s="32">
        <f>IF(J62="","",IF(J62=0,"N/A",1/J62))</f>
        <v/>
      </c>
      <c r="L62" s="14" t="n"/>
    </row>
    <row r="63" ht="22" customHeight="1">
      <c r="B63" s="16">
        <f>IF(C63="","RFO-"&amp;TEXT(COUNTA($C$5:C63),"000"))</f>
        <v/>
      </c>
      <c r="C63" s="12" t="n"/>
      <c r="D63" s="12" t="n"/>
      <c r="E63" s="25" t="n"/>
      <c r="F63" s="13" t="n"/>
      <c r="G63" s="13" t="n"/>
      <c r="H63" s="13">
        <f>F63+G63</f>
        <v/>
      </c>
      <c r="I63" s="13" t="n"/>
      <c r="J63" s="21">
        <f>IF(OR(H63="",I63=""),"",I63/H63)</f>
        <v/>
      </c>
      <c r="K63" s="31">
        <f>IF(J63="","",IF(J63=0,"N/A",1/J63))</f>
        <v/>
      </c>
      <c r="L63" s="12" t="n"/>
    </row>
    <row r="64" ht="22" customHeight="1">
      <c r="B64" s="17">
        <f>IF(C64="","RFO-"&amp;TEXT(COUNTA($C$5:C64),"000"))</f>
        <v/>
      </c>
      <c r="C64" s="14" t="n"/>
      <c r="D64" s="14" t="n"/>
      <c r="E64" s="26" t="n"/>
      <c r="F64" s="15" t="n"/>
      <c r="G64" s="15" t="n"/>
      <c r="H64" s="15">
        <f>F64+G64</f>
        <v/>
      </c>
      <c r="I64" s="15" t="n"/>
      <c r="J64" s="22">
        <f>IF(OR(H64="",I64=""),"",I64/H64)</f>
        <v/>
      </c>
      <c r="K64" s="32">
        <f>IF(J64="","",IF(J64=0,"N/A",1/J64))</f>
        <v/>
      </c>
      <c r="L64" s="14" t="n"/>
    </row>
    <row r="65" ht="22" customHeight="1">
      <c r="B65" s="16">
        <f>IF(C65="","RFO-"&amp;TEXT(COUNTA($C$5:C65),"000"))</f>
        <v/>
      </c>
      <c r="C65" s="12" t="n"/>
      <c r="D65" s="12" t="n"/>
      <c r="E65" s="25" t="n"/>
      <c r="F65" s="13" t="n"/>
      <c r="G65" s="13" t="n"/>
      <c r="H65" s="13">
        <f>F65+G65</f>
        <v/>
      </c>
      <c r="I65" s="13" t="n"/>
      <c r="J65" s="21">
        <f>IF(OR(H65="",I65=""),"",I65/H65)</f>
        <v/>
      </c>
      <c r="K65" s="31">
        <f>IF(J65="","",IF(J65=0,"N/A",1/J65))</f>
        <v/>
      </c>
      <c r="L65" s="12" t="n"/>
    </row>
    <row r="66" ht="22" customHeight="1">
      <c r="B66" s="17">
        <f>IF(C66="","RFO-"&amp;TEXT(COUNTA($C$5:C66),"000"))</f>
        <v/>
      </c>
      <c r="C66" s="14" t="n"/>
      <c r="D66" s="14" t="n"/>
      <c r="E66" s="26" t="n"/>
      <c r="F66" s="15" t="n"/>
      <c r="G66" s="15" t="n"/>
      <c r="H66" s="15">
        <f>F66+G66</f>
        <v/>
      </c>
      <c r="I66" s="15" t="n"/>
      <c r="J66" s="22">
        <f>IF(OR(H66="",I66=""),"",I66/H66)</f>
        <v/>
      </c>
      <c r="K66" s="32">
        <f>IF(J66="","",IF(J66=0,"N/A",1/J66))</f>
        <v/>
      </c>
      <c r="L66" s="14" t="n"/>
    </row>
    <row r="67" ht="22" customHeight="1">
      <c r="B67" s="16">
        <f>IF(C67="","RFO-"&amp;TEXT(COUNTA($C$5:C67),"000"))</f>
        <v/>
      </c>
      <c r="C67" s="12" t="n"/>
      <c r="D67" s="12" t="n"/>
      <c r="E67" s="25" t="n"/>
      <c r="F67" s="13" t="n"/>
      <c r="G67" s="13" t="n"/>
      <c r="H67" s="13">
        <f>F67+G67</f>
        <v/>
      </c>
      <c r="I67" s="13" t="n"/>
      <c r="J67" s="21">
        <f>IF(OR(H67="",I67=""),"",I67/H67)</f>
        <v/>
      </c>
      <c r="K67" s="31">
        <f>IF(J67="","",IF(J67=0,"N/A",1/J67))</f>
        <v/>
      </c>
      <c r="L67" s="12" t="n"/>
    </row>
    <row r="68" ht="22" customHeight="1">
      <c r="B68" s="17">
        <f>IF(C68="","RFO-"&amp;TEXT(COUNTA($C$5:C68),"000"))</f>
        <v/>
      </c>
      <c r="C68" s="14" t="n"/>
      <c r="D68" s="14" t="n"/>
      <c r="E68" s="26" t="n"/>
      <c r="F68" s="15" t="n"/>
      <c r="G68" s="15" t="n"/>
      <c r="H68" s="15">
        <f>F68+G68</f>
        <v/>
      </c>
      <c r="I68" s="15" t="n"/>
      <c r="J68" s="22">
        <f>IF(OR(H68="",I68=""),"",I68/H68)</f>
        <v/>
      </c>
      <c r="K68" s="32">
        <f>IF(J68="","",IF(J68=0,"N/A",1/J68))</f>
        <v/>
      </c>
      <c r="L68" s="14" t="n"/>
    </row>
    <row r="69" ht="22" customHeight="1">
      <c r="B69" s="16">
        <f>IF(C69="","RFO-"&amp;TEXT(COUNTA($C$5:C69),"000"))</f>
        <v/>
      </c>
      <c r="C69" s="12" t="n"/>
      <c r="D69" s="12" t="n"/>
      <c r="E69" s="25" t="n"/>
      <c r="F69" s="13" t="n"/>
      <c r="G69" s="13" t="n"/>
      <c r="H69" s="13">
        <f>F69+G69</f>
        <v/>
      </c>
      <c r="I69" s="13" t="n"/>
      <c r="J69" s="21">
        <f>IF(OR(H69="",I69=""),"",I69/H69)</f>
        <v/>
      </c>
      <c r="K69" s="31">
        <f>IF(J69="","",IF(J69=0,"N/A",1/J69))</f>
        <v/>
      </c>
      <c r="L69" s="12" t="n"/>
    </row>
    <row r="70" ht="22" customHeight="1">
      <c r="B70" s="17">
        <f>IF(C70="","RFO-"&amp;TEXT(COUNTA($C$5:C70),"000"))</f>
        <v/>
      </c>
      <c r="C70" s="14" t="n"/>
      <c r="D70" s="14" t="n"/>
      <c r="E70" s="26" t="n"/>
      <c r="F70" s="15" t="n"/>
      <c r="G70" s="15" t="n"/>
      <c r="H70" s="15">
        <f>F70+G70</f>
        <v/>
      </c>
      <c r="I70" s="15" t="n"/>
      <c r="J70" s="22">
        <f>IF(OR(H70="",I70=""),"",I70/H70)</f>
        <v/>
      </c>
      <c r="K70" s="32">
        <f>IF(J70="","",IF(J70=0,"N/A",1/J70))</f>
        <v/>
      </c>
      <c r="L70" s="14" t="n"/>
    </row>
    <row r="71" ht="22" customHeight="1">
      <c r="B71" s="16">
        <f>IF(C71="","RFO-"&amp;TEXT(COUNTA($C$5:C71),"000"))</f>
        <v/>
      </c>
      <c r="C71" s="12" t="n"/>
      <c r="D71" s="12" t="n"/>
      <c r="E71" s="25" t="n"/>
      <c r="F71" s="13" t="n"/>
      <c r="G71" s="13" t="n"/>
      <c r="H71" s="13">
        <f>F71+G71</f>
        <v/>
      </c>
      <c r="I71" s="13" t="n"/>
      <c r="J71" s="21">
        <f>IF(OR(H71="",I71=""),"",I71/H71)</f>
        <v/>
      </c>
      <c r="K71" s="31">
        <f>IF(J71="","",IF(J71=0,"N/A",1/J71))</f>
        <v/>
      </c>
      <c r="L71" s="12" t="n"/>
    </row>
    <row r="72" ht="22" customHeight="1">
      <c r="B72" s="17">
        <f>IF(C72="","RFO-"&amp;TEXT(COUNTA($C$5:C72),"000"))</f>
        <v/>
      </c>
      <c r="C72" s="14" t="n"/>
      <c r="D72" s="14" t="n"/>
      <c r="E72" s="26" t="n"/>
      <c r="F72" s="15" t="n"/>
      <c r="G72" s="15" t="n"/>
      <c r="H72" s="15">
        <f>F72+G72</f>
        <v/>
      </c>
      <c r="I72" s="15" t="n"/>
      <c r="J72" s="22">
        <f>IF(OR(H72="",I72=""),"",I72/H72)</f>
        <v/>
      </c>
      <c r="K72" s="32">
        <f>IF(J72="","",IF(J72=0,"N/A",1/J72))</f>
        <v/>
      </c>
      <c r="L72" s="14" t="n"/>
    </row>
    <row r="73" ht="22" customHeight="1">
      <c r="B73" s="16">
        <f>IF(C73="","RFO-"&amp;TEXT(COUNTA($C$5:C73),"000"))</f>
        <v/>
      </c>
      <c r="C73" s="12" t="n"/>
      <c r="D73" s="12" t="n"/>
      <c r="E73" s="25" t="n"/>
      <c r="F73" s="13" t="n"/>
      <c r="G73" s="13" t="n"/>
      <c r="H73" s="13">
        <f>F73+G73</f>
        <v/>
      </c>
      <c r="I73" s="13" t="n"/>
      <c r="J73" s="21">
        <f>IF(OR(H73="",I73=""),"",I73/H73)</f>
        <v/>
      </c>
      <c r="K73" s="31">
        <f>IF(J73="","",IF(J73=0,"N/A",1/J73))</f>
        <v/>
      </c>
      <c r="L73" s="12" t="n"/>
    </row>
    <row r="74" ht="22" customHeight="1">
      <c r="B74" s="17">
        <f>IF(C74="","RFO-"&amp;TEXT(COUNTA($C$5:C74),"000"))</f>
        <v/>
      </c>
      <c r="C74" s="14" t="n"/>
      <c r="D74" s="14" t="n"/>
      <c r="E74" s="26" t="n"/>
      <c r="F74" s="15" t="n"/>
      <c r="G74" s="15" t="n"/>
      <c r="H74" s="15">
        <f>F74+G74</f>
        <v/>
      </c>
      <c r="I74" s="15" t="n"/>
      <c r="J74" s="22">
        <f>IF(OR(H74="",I74=""),"",I74/H74)</f>
        <v/>
      </c>
      <c r="K74" s="32">
        <f>IF(J74="","",IF(J74=0,"N/A",1/J74))</f>
        <v/>
      </c>
      <c r="L74" s="14" t="n"/>
    </row>
    <row r="75" ht="22" customHeight="1">
      <c r="B75" s="16">
        <f>IF(C75="","RFO-"&amp;TEXT(COUNTA($C$5:C75),"000"))</f>
        <v/>
      </c>
      <c r="C75" s="12" t="n"/>
      <c r="D75" s="12" t="n"/>
      <c r="E75" s="25" t="n"/>
      <c r="F75" s="13" t="n"/>
      <c r="G75" s="13" t="n"/>
      <c r="H75" s="13">
        <f>F75+G75</f>
        <v/>
      </c>
      <c r="I75" s="13" t="n"/>
      <c r="J75" s="21">
        <f>IF(OR(H75="",I75=""),"",I75/H75)</f>
        <v/>
      </c>
      <c r="K75" s="31">
        <f>IF(J75="","",IF(J75=0,"N/A",1/J75))</f>
        <v/>
      </c>
      <c r="L75" s="12" t="n"/>
    </row>
    <row r="76" ht="22" customHeight="1">
      <c r="B76" s="17">
        <f>IF(C76="","RFO-"&amp;TEXT(COUNTA($C$5:C76),"000"))</f>
        <v/>
      </c>
      <c r="C76" s="14" t="n"/>
      <c r="D76" s="14" t="n"/>
      <c r="E76" s="26" t="n"/>
      <c r="F76" s="15" t="n"/>
      <c r="G76" s="15" t="n"/>
      <c r="H76" s="15">
        <f>F76+G76</f>
        <v/>
      </c>
      <c r="I76" s="15" t="n"/>
      <c r="J76" s="22">
        <f>IF(OR(H76="",I76=""),"",I76/H76)</f>
        <v/>
      </c>
      <c r="K76" s="32">
        <f>IF(J76="","",IF(J76=0,"N/A",1/J76))</f>
        <v/>
      </c>
      <c r="L76" s="14" t="n"/>
    </row>
    <row r="77" ht="22" customHeight="1">
      <c r="B77" s="16">
        <f>IF(C77="","RFO-"&amp;TEXT(COUNTA($C$5:C77),"000"))</f>
        <v/>
      </c>
      <c r="C77" s="12" t="n"/>
      <c r="D77" s="12" t="n"/>
      <c r="E77" s="25" t="n"/>
      <c r="F77" s="13" t="n"/>
      <c r="G77" s="13" t="n"/>
      <c r="H77" s="13">
        <f>F77+G77</f>
        <v/>
      </c>
      <c r="I77" s="13" t="n"/>
      <c r="J77" s="21">
        <f>IF(OR(H77="",I77=""),"",I77/H77)</f>
        <v/>
      </c>
      <c r="K77" s="31">
        <f>IF(J77="","",IF(J77=0,"N/A",1/J77))</f>
        <v/>
      </c>
      <c r="L77" s="12" t="n"/>
    </row>
    <row r="78" ht="22" customHeight="1">
      <c r="B78" s="17">
        <f>IF(C78="","RFO-"&amp;TEXT(COUNTA($C$5:C78),"000"))</f>
        <v/>
      </c>
      <c r="C78" s="14" t="n"/>
      <c r="D78" s="14" t="n"/>
      <c r="E78" s="26" t="n"/>
      <c r="F78" s="15" t="n"/>
      <c r="G78" s="15" t="n"/>
      <c r="H78" s="15">
        <f>F78+G78</f>
        <v/>
      </c>
      <c r="I78" s="15" t="n"/>
      <c r="J78" s="22">
        <f>IF(OR(H78="",I78=""),"",I78/H78)</f>
        <v/>
      </c>
      <c r="K78" s="32">
        <f>IF(J78="","",IF(J78=0,"N/A",1/J78))</f>
        <v/>
      </c>
      <c r="L78" s="14" t="n"/>
    </row>
    <row r="79" ht="22" customHeight="1">
      <c r="B79" s="16">
        <f>IF(C79="","RFO-"&amp;TEXT(COUNTA($C$5:C79),"000"))</f>
        <v/>
      </c>
      <c r="C79" s="12" t="n"/>
      <c r="D79" s="12" t="n"/>
      <c r="E79" s="25" t="n"/>
      <c r="F79" s="13" t="n"/>
      <c r="G79" s="13" t="n"/>
      <c r="H79" s="13">
        <f>F79+G79</f>
        <v/>
      </c>
      <c r="I79" s="13" t="n"/>
      <c r="J79" s="21">
        <f>IF(OR(H79="",I79=""),"",I79/H79)</f>
        <v/>
      </c>
      <c r="K79" s="31">
        <f>IF(J79="","",IF(J79=0,"N/A",1/J79))</f>
        <v/>
      </c>
      <c r="L79" s="12" t="n"/>
    </row>
    <row r="80" ht="22" customHeight="1">
      <c r="B80" s="17">
        <f>IF(C80="","RFO-"&amp;TEXT(COUNTA($C$5:C80),"000"))</f>
        <v/>
      </c>
      <c r="C80" s="14" t="n"/>
      <c r="D80" s="14" t="n"/>
      <c r="E80" s="26" t="n"/>
      <c r="F80" s="15" t="n"/>
      <c r="G80" s="15" t="n"/>
      <c r="H80" s="15">
        <f>F80+G80</f>
        <v/>
      </c>
      <c r="I80" s="15" t="n"/>
      <c r="J80" s="22">
        <f>IF(OR(H80="",I80=""),"",I80/H80)</f>
        <v/>
      </c>
      <c r="K80" s="32">
        <f>IF(J80="","",IF(J80=0,"N/A",1/J80))</f>
        <v/>
      </c>
      <c r="L80" s="14" t="n"/>
    </row>
    <row r="81" ht="22" customHeight="1">
      <c r="B81" s="16">
        <f>IF(C81="","RFO-"&amp;TEXT(COUNTA($C$5:C81),"000"))</f>
        <v/>
      </c>
      <c r="C81" s="12" t="n"/>
      <c r="D81" s="12" t="n"/>
      <c r="E81" s="25" t="n"/>
      <c r="F81" s="13" t="n"/>
      <c r="G81" s="13" t="n"/>
      <c r="H81" s="13">
        <f>F81+G81</f>
        <v/>
      </c>
      <c r="I81" s="13" t="n"/>
      <c r="J81" s="21">
        <f>IF(OR(H81="",I81=""),"",I81/H81)</f>
        <v/>
      </c>
      <c r="K81" s="31">
        <f>IF(J81="","",IF(J81=0,"N/A",1/J81))</f>
        <v/>
      </c>
      <c r="L81" s="12" t="n"/>
    </row>
    <row r="82" ht="22" customHeight="1">
      <c r="B82" s="17">
        <f>IF(C82="","RFO-"&amp;TEXT(COUNTA($C$5:C82),"000"))</f>
        <v/>
      </c>
      <c r="C82" s="14" t="n"/>
      <c r="D82" s="14" t="n"/>
      <c r="E82" s="26" t="n"/>
      <c r="F82" s="15" t="n"/>
      <c r="G82" s="15" t="n"/>
      <c r="H82" s="15">
        <f>F82+G82</f>
        <v/>
      </c>
      <c r="I82" s="15" t="n"/>
      <c r="J82" s="22">
        <f>IF(OR(H82="",I82=""),"",I82/H82)</f>
        <v/>
      </c>
      <c r="K82" s="32">
        <f>IF(J82="","",IF(J82=0,"N/A",1/J82))</f>
        <v/>
      </c>
      <c r="L82" s="14" t="n"/>
    </row>
    <row r="83" ht="22" customHeight="1">
      <c r="B83" s="16">
        <f>IF(C83="","RFO-"&amp;TEXT(COUNTA($C$5:C83),"000"))</f>
        <v/>
      </c>
      <c r="C83" s="12" t="n"/>
      <c r="D83" s="12" t="n"/>
      <c r="E83" s="25" t="n"/>
      <c r="F83" s="13" t="n"/>
      <c r="G83" s="13" t="n"/>
      <c r="H83" s="13">
        <f>F83+G83</f>
        <v/>
      </c>
      <c r="I83" s="13" t="n"/>
      <c r="J83" s="21">
        <f>IF(OR(H83="",I83=""),"",I83/H83)</f>
        <v/>
      </c>
      <c r="K83" s="31">
        <f>IF(J83="","",IF(J83=0,"N/A",1/J83))</f>
        <v/>
      </c>
      <c r="L83" s="12" t="n"/>
    </row>
    <row r="84" ht="22" customHeight="1">
      <c r="B84" s="17">
        <f>IF(C84="","RFO-"&amp;TEXT(COUNTA($C$5:C84),"000"))</f>
        <v/>
      </c>
      <c r="C84" s="14" t="n"/>
      <c r="D84" s="14" t="n"/>
      <c r="E84" s="26" t="n"/>
      <c r="F84" s="15" t="n"/>
      <c r="G84" s="15" t="n"/>
      <c r="H84" s="15">
        <f>F84+G84</f>
        <v/>
      </c>
      <c r="I84" s="15" t="n"/>
      <c r="J84" s="22">
        <f>IF(OR(H84="",I84=""),"",I84/H84)</f>
        <v/>
      </c>
      <c r="K84" s="32">
        <f>IF(J84="","",IF(J84=0,"N/A",1/J84))</f>
        <v/>
      </c>
      <c r="L84" s="14" t="n"/>
    </row>
    <row r="85" ht="22" customHeight="1">
      <c r="B85" s="16">
        <f>IF(C85="","RFO-"&amp;TEXT(COUNTA($C$5:C85),"000"))</f>
        <v/>
      </c>
      <c r="C85" s="12" t="n"/>
      <c r="D85" s="12" t="n"/>
      <c r="E85" s="25" t="n"/>
      <c r="F85" s="13" t="n"/>
      <c r="G85" s="13" t="n"/>
      <c r="H85" s="13">
        <f>F85+G85</f>
        <v/>
      </c>
      <c r="I85" s="13" t="n"/>
      <c r="J85" s="21">
        <f>IF(OR(H85="",I85=""),"",I85/H85)</f>
        <v/>
      </c>
      <c r="K85" s="31">
        <f>IF(J85="","",IF(J85=0,"N/A",1/J85))</f>
        <v/>
      </c>
      <c r="L85" s="12" t="n"/>
    </row>
    <row r="86" ht="22" customHeight="1">
      <c r="B86" s="17">
        <f>IF(C86="","RFO-"&amp;TEXT(COUNTA($C$5:C86),"000"))</f>
        <v/>
      </c>
      <c r="C86" s="14" t="n"/>
      <c r="D86" s="14" t="n"/>
      <c r="E86" s="26" t="n"/>
      <c r="F86" s="15" t="n"/>
      <c r="G86" s="15" t="n"/>
      <c r="H86" s="15">
        <f>F86+G86</f>
        <v/>
      </c>
      <c r="I86" s="15" t="n"/>
      <c r="J86" s="22">
        <f>IF(OR(H86="",I86=""),"",I86/H86)</f>
        <v/>
      </c>
      <c r="K86" s="32">
        <f>IF(J86="","",IF(J86=0,"N/A",1/J86))</f>
        <v/>
      </c>
      <c r="L86" s="14" t="n"/>
    </row>
    <row r="87" ht="22" customHeight="1">
      <c r="B87" s="16">
        <f>IF(C87="","RFO-"&amp;TEXT(COUNTA($C$5:C87),"000"))</f>
        <v/>
      </c>
      <c r="C87" s="12" t="n"/>
      <c r="D87" s="12" t="n"/>
      <c r="E87" s="25" t="n"/>
      <c r="F87" s="13" t="n"/>
      <c r="G87" s="13" t="n"/>
      <c r="H87" s="13">
        <f>F87+G87</f>
        <v/>
      </c>
      <c r="I87" s="13" t="n"/>
      <c r="J87" s="21">
        <f>IF(OR(H87="",I87=""),"",I87/H87)</f>
        <v/>
      </c>
      <c r="K87" s="31">
        <f>IF(J87="","",IF(J87=0,"N/A",1/J87))</f>
        <v/>
      </c>
      <c r="L87" s="12" t="n"/>
    </row>
    <row r="88" ht="22" customHeight="1">
      <c r="B88" s="17">
        <f>IF(C88="","RFO-"&amp;TEXT(COUNTA($C$5:C88),"000"))</f>
        <v/>
      </c>
      <c r="C88" s="14" t="n"/>
      <c r="D88" s="14" t="n"/>
      <c r="E88" s="26" t="n"/>
      <c r="F88" s="15" t="n"/>
      <c r="G88" s="15" t="n"/>
      <c r="H88" s="15">
        <f>F88+G88</f>
        <v/>
      </c>
      <c r="I88" s="15" t="n"/>
      <c r="J88" s="22">
        <f>IF(OR(H88="",I88=""),"",I88/H88)</f>
        <v/>
      </c>
      <c r="K88" s="32">
        <f>IF(J88="","",IF(J88=0,"N/A",1/J88))</f>
        <v/>
      </c>
      <c r="L88" s="14" t="n"/>
    </row>
    <row r="89" ht="22" customHeight="1">
      <c r="B89" s="16">
        <f>IF(C89="","RFO-"&amp;TEXT(COUNTA($C$5:C89),"000"))</f>
        <v/>
      </c>
      <c r="C89" s="12" t="n"/>
      <c r="D89" s="12" t="n"/>
      <c r="E89" s="25" t="n"/>
      <c r="F89" s="13" t="n"/>
      <c r="G89" s="13" t="n"/>
      <c r="H89" s="13">
        <f>F89+G89</f>
        <v/>
      </c>
      <c r="I89" s="13" t="n"/>
      <c r="J89" s="21">
        <f>IF(OR(H89="",I89=""),"",I89/H89)</f>
        <v/>
      </c>
      <c r="K89" s="31">
        <f>IF(J89="","",IF(J89=0,"N/A",1/J89))</f>
        <v/>
      </c>
      <c r="L89" s="12" t="n"/>
    </row>
    <row r="90" ht="22" customHeight="1">
      <c r="B90" s="17">
        <f>IF(C90="","RFO-"&amp;TEXT(COUNTA($C$5:C90),"000"))</f>
        <v/>
      </c>
      <c r="C90" s="14" t="n"/>
      <c r="D90" s="14" t="n"/>
      <c r="E90" s="26" t="n"/>
      <c r="F90" s="15" t="n"/>
      <c r="G90" s="15" t="n"/>
      <c r="H90" s="15">
        <f>F90+G90</f>
        <v/>
      </c>
      <c r="I90" s="15" t="n"/>
      <c r="J90" s="22">
        <f>IF(OR(H90="",I90=""),"",I90/H90)</f>
        <v/>
      </c>
      <c r="K90" s="32">
        <f>IF(J90="","",IF(J90=0,"N/A",1/J90))</f>
        <v/>
      </c>
      <c r="L90" s="14" t="n"/>
    </row>
    <row r="91" ht="22" customHeight="1">
      <c r="B91" s="16">
        <f>IF(C91="","RFO-"&amp;TEXT(COUNTA($C$5:C91),"000"))</f>
        <v/>
      </c>
      <c r="C91" s="12" t="n"/>
      <c r="D91" s="12" t="n"/>
      <c r="E91" s="25" t="n"/>
      <c r="F91" s="13" t="n"/>
      <c r="G91" s="13" t="n"/>
      <c r="H91" s="13">
        <f>F91+G91</f>
        <v/>
      </c>
      <c r="I91" s="13" t="n"/>
      <c r="J91" s="21">
        <f>IF(OR(H91="",I91=""),"",I91/H91)</f>
        <v/>
      </c>
      <c r="K91" s="31">
        <f>IF(J91="","",IF(J91=0,"N/A",1/J91))</f>
        <v/>
      </c>
      <c r="L91" s="12" t="n"/>
    </row>
    <row r="92" ht="22" customHeight="1">
      <c r="B92" s="17">
        <f>IF(C92="","RFO-"&amp;TEXT(COUNTA($C$5:C92),"000"))</f>
        <v/>
      </c>
      <c r="C92" s="14" t="n"/>
      <c r="D92" s="14" t="n"/>
      <c r="E92" s="26" t="n"/>
      <c r="F92" s="15" t="n"/>
      <c r="G92" s="15" t="n"/>
      <c r="H92" s="15">
        <f>F92+G92</f>
        <v/>
      </c>
      <c r="I92" s="15" t="n"/>
      <c r="J92" s="22">
        <f>IF(OR(H92="",I92=""),"",I92/H92)</f>
        <v/>
      </c>
      <c r="K92" s="32">
        <f>IF(J92="","",IF(J92=0,"N/A",1/J92))</f>
        <v/>
      </c>
      <c r="L92" s="14" t="n"/>
    </row>
    <row r="93" ht="22" customHeight="1">
      <c r="B93" s="16">
        <f>IF(C93="","RFO-"&amp;TEXT(COUNTA($C$5:C93),"000"))</f>
        <v/>
      </c>
      <c r="C93" s="12" t="n"/>
      <c r="D93" s="12" t="n"/>
      <c r="E93" s="25" t="n"/>
      <c r="F93" s="13" t="n"/>
      <c r="G93" s="13" t="n"/>
      <c r="H93" s="13">
        <f>F93+G93</f>
        <v/>
      </c>
      <c r="I93" s="13" t="n"/>
      <c r="J93" s="21">
        <f>IF(OR(H93="",I93=""),"",I93/H93)</f>
        <v/>
      </c>
      <c r="K93" s="31">
        <f>IF(J93="","",IF(J93=0,"N/A",1/J93))</f>
        <v/>
      </c>
      <c r="L93" s="12" t="n"/>
    </row>
    <row r="94" ht="22" customHeight="1">
      <c r="B94" s="17">
        <f>IF(C94="","RFO-"&amp;TEXT(COUNTA($C$5:C94),"000"))</f>
        <v/>
      </c>
      <c r="C94" s="14" t="n"/>
      <c r="D94" s="14" t="n"/>
      <c r="E94" s="26" t="n"/>
      <c r="F94" s="15" t="n"/>
      <c r="G94" s="15" t="n"/>
      <c r="H94" s="15">
        <f>F94+G94</f>
        <v/>
      </c>
      <c r="I94" s="15" t="n"/>
      <c r="J94" s="22">
        <f>IF(OR(H94="",I94=""),"",I94/H94)</f>
        <v/>
      </c>
      <c r="K94" s="32">
        <f>IF(J94="","",IF(J94=0,"N/A",1/J94))</f>
        <v/>
      </c>
      <c r="L94" s="14" t="n"/>
    </row>
    <row r="95" ht="22" customHeight="1">
      <c r="B95" s="16">
        <f>IF(C95="","RFO-"&amp;TEXT(COUNTA($C$5:C95),"000"))</f>
        <v/>
      </c>
      <c r="C95" s="12" t="n"/>
      <c r="D95" s="12" t="n"/>
      <c r="E95" s="25" t="n"/>
      <c r="F95" s="13" t="n"/>
      <c r="G95" s="13" t="n"/>
      <c r="H95" s="13">
        <f>F95+G95</f>
        <v/>
      </c>
      <c r="I95" s="13" t="n"/>
      <c r="J95" s="21">
        <f>IF(OR(H95="",I95=""),"",I95/H95)</f>
        <v/>
      </c>
      <c r="K95" s="31">
        <f>IF(J95="","",IF(J95=0,"N/A",1/J95))</f>
        <v/>
      </c>
      <c r="L95" s="12" t="n"/>
    </row>
    <row r="96" ht="22" customHeight="1">
      <c r="B96" s="17">
        <f>IF(C96="","RFO-"&amp;TEXT(COUNTA($C$5:C96),"000"))</f>
        <v/>
      </c>
      <c r="C96" s="14" t="n"/>
      <c r="D96" s="14" t="n"/>
      <c r="E96" s="26" t="n"/>
      <c r="F96" s="15" t="n"/>
      <c r="G96" s="15" t="n"/>
      <c r="H96" s="15">
        <f>F96+G96</f>
        <v/>
      </c>
      <c r="I96" s="15" t="n"/>
      <c r="J96" s="22">
        <f>IF(OR(H96="",I96=""),"",I96/H96)</f>
        <v/>
      </c>
      <c r="K96" s="32">
        <f>IF(J96="","",IF(J96=0,"N/A",1/J96))</f>
        <v/>
      </c>
      <c r="L96" s="14" t="n"/>
    </row>
    <row r="97" ht="22" customHeight="1">
      <c r="B97" s="16">
        <f>IF(C97="","RFO-"&amp;TEXT(COUNTA($C$5:C97),"000"))</f>
        <v/>
      </c>
      <c r="C97" s="12" t="n"/>
      <c r="D97" s="12" t="n"/>
      <c r="E97" s="25" t="n"/>
      <c r="F97" s="13" t="n"/>
      <c r="G97" s="13" t="n"/>
      <c r="H97" s="13">
        <f>F97+G97</f>
        <v/>
      </c>
      <c r="I97" s="13" t="n"/>
      <c r="J97" s="21">
        <f>IF(OR(H97="",I97=""),"",I97/H97)</f>
        <v/>
      </c>
      <c r="K97" s="31">
        <f>IF(J97="","",IF(J97=0,"N/A",1/J97))</f>
        <v/>
      </c>
      <c r="L97" s="12" t="n"/>
    </row>
    <row r="98" ht="22" customHeight="1">
      <c r="B98" s="17">
        <f>IF(C98="","RFO-"&amp;TEXT(COUNTA($C$5:C98),"000"))</f>
        <v/>
      </c>
      <c r="C98" s="14" t="n"/>
      <c r="D98" s="14" t="n"/>
      <c r="E98" s="26" t="n"/>
      <c r="F98" s="15" t="n"/>
      <c r="G98" s="15" t="n"/>
      <c r="H98" s="15">
        <f>F98+G98</f>
        <v/>
      </c>
      <c r="I98" s="15" t="n"/>
      <c r="J98" s="22">
        <f>IF(OR(H98="",I98=""),"",I98/H98)</f>
        <v/>
      </c>
      <c r="K98" s="32">
        <f>IF(J98="","",IF(J98=0,"N/A",1/J98))</f>
        <v/>
      </c>
      <c r="L98" s="14" t="n"/>
    </row>
    <row r="99" ht="22" customHeight="1">
      <c r="B99" s="16">
        <f>IF(C99="","RFO-"&amp;TEXT(COUNTA($C$5:C99),"000"))</f>
        <v/>
      </c>
      <c r="C99" s="12" t="n"/>
      <c r="D99" s="12" t="n"/>
      <c r="E99" s="25" t="n"/>
      <c r="F99" s="13" t="n"/>
      <c r="G99" s="13" t="n"/>
      <c r="H99" s="13">
        <f>F99+G99</f>
        <v/>
      </c>
      <c r="I99" s="13" t="n"/>
      <c r="J99" s="21">
        <f>IF(OR(H99="",I99=""),"",I99/H99)</f>
        <v/>
      </c>
      <c r="K99" s="31">
        <f>IF(J99="","",IF(J99=0,"N/A",1/J99))</f>
        <v/>
      </c>
      <c r="L99" s="12" t="n"/>
    </row>
    <row r="100" ht="22" customHeight="1">
      <c r="B100" s="17">
        <f>IF(C100="","RFO-"&amp;TEXT(COUNTA($C$5:C100),"000"))</f>
        <v/>
      </c>
      <c r="C100" s="14" t="n"/>
      <c r="D100" s="14" t="n"/>
      <c r="E100" s="26" t="n"/>
      <c r="F100" s="15" t="n"/>
      <c r="G100" s="15" t="n"/>
      <c r="H100" s="15">
        <f>F100+G100</f>
        <v/>
      </c>
      <c r="I100" s="15" t="n"/>
      <c r="J100" s="22">
        <f>IF(OR(H100="",I100=""),"",I100/H100)</f>
        <v/>
      </c>
      <c r="K100" s="32">
        <f>IF(J100="","",IF(J100=0,"N/A",1/J100))</f>
        <v/>
      </c>
      <c r="L100" s="14" t="n"/>
    </row>
    <row r="101" ht="22" customHeight="1">
      <c r="B101" s="16">
        <f>IF(C101="","RFO-"&amp;TEXT(COUNTA($C$5:C101),"000"))</f>
        <v/>
      </c>
      <c r="C101" s="12" t="n"/>
      <c r="D101" s="12" t="n"/>
      <c r="E101" s="25" t="n"/>
      <c r="F101" s="13" t="n"/>
      <c r="G101" s="13" t="n"/>
      <c r="H101" s="13">
        <f>F101+G101</f>
        <v/>
      </c>
      <c r="I101" s="13" t="n"/>
      <c r="J101" s="21">
        <f>IF(OR(H101="",I101=""),"",I101/H101)</f>
        <v/>
      </c>
      <c r="K101" s="31">
        <f>IF(J101="","",IF(J101=0,"N/A",1/J101))</f>
        <v/>
      </c>
      <c r="L101" s="12" t="n"/>
    </row>
    <row r="102" ht="22" customHeight="1">
      <c r="B102" s="17">
        <f>IF(C102="","RFO-"&amp;TEXT(COUNTA($C$5:C102),"000"))</f>
        <v/>
      </c>
      <c r="C102" s="14" t="n"/>
      <c r="D102" s="14" t="n"/>
      <c r="E102" s="26" t="n"/>
      <c r="F102" s="15" t="n"/>
      <c r="G102" s="15" t="n"/>
      <c r="H102" s="15">
        <f>F102+G102</f>
        <v/>
      </c>
      <c r="I102" s="15" t="n"/>
      <c r="J102" s="22">
        <f>IF(OR(H102="",I102=""),"",I102/H102)</f>
        <v/>
      </c>
      <c r="K102" s="32">
        <f>IF(J102="","",IF(J102=0,"N/A",1/J102))</f>
        <v/>
      </c>
      <c r="L102" s="14" t="n"/>
    </row>
    <row r="103" ht="22" customHeight="1">
      <c r="B103" s="16">
        <f>IF(C103="","RFO-"&amp;TEXT(COUNTA($C$5:C103),"000"))</f>
        <v/>
      </c>
      <c r="C103" s="12" t="n"/>
      <c r="D103" s="12" t="n"/>
      <c r="E103" s="25" t="n"/>
      <c r="F103" s="13" t="n"/>
      <c r="G103" s="13" t="n"/>
      <c r="H103" s="13">
        <f>F103+G103</f>
        <v/>
      </c>
      <c r="I103" s="13" t="n"/>
      <c r="J103" s="21">
        <f>IF(OR(H103="",I103=""),"",I103/H103)</f>
        <v/>
      </c>
      <c r="K103" s="31">
        <f>IF(J103="","",IF(J103=0,"N/A",1/J103))</f>
        <v/>
      </c>
      <c r="L103" s="12" t="n"/>
    </row>
    <row r="104" ht="22" customHeight="1">
      <c r="B104" s="17">
        <f>IF(C104="","RFO-"&amp;TEXT(COUNTA($C$5:C104),"000"))</f>
        <v/>
      </c>
      <c r="C104" s="14" t="n"/>
      <c r="D104" s="14" t="n"/>
      <c r="E104" s="26" t="n"/>
      <c r="F104" s="15" t="n"/>
      <c r="G104" s="15" t="n"/>
      <c r="H104" s="15">
        <f>F104+G104</f>
        <v/>
      </c>
      <c r="I104" s="15" t="n"/>
      <c r="J104" s="22">
        <f>IF(OR(H104="",I104=""),"",I104/H104)</f>
        <v/>
      </c>
      <c r="K104" s="32">
        <f>IF(J104="","",IF(J104=0,"N/A",1/J104))</f>
        <v/>
      </c>
      <c r="L104" s="14" t="n"/>
    </row>
    <row r="105" ht="22" customHeight="1">
      <c r="B105" s="16">
        <f>IF(C105="","RFO-"&amp;TEXT(COUNTA($C$5:C105),"000"))</f>
        <v/>
      </c>
      <c r="C105" s="12" t="n"/>
      <c r="D105" s="12" t="n"/>
      <c r="E105" s="25" t="n"/>
      <c r="F105" s="13" t="n"/>
      <c r="G105" s="13" t="n"/>
      <c r="H105" s="13">
        <f>F105+G105</f>
        <v/>
      </c>
      <c r="I105" s="13" t="n"/>
      <c r="J105" s="21">
        <f>IF(OR(H105="",I105=""),"",I105/H105)</f>
        <v/>
      </c>
      <c r="K105" s="31">
        <f>IF(J105="","",IF(J105=0,"N/A",1/J105))</f>
        <v/>
      </c>
      <c r="L105" s="12" t="n"/>
    </row>
    <row r="106" ht="22" customHeight="1">
      <c r="B106" s="17">
        <f>IF(C106="","RFO-"&amp;TEXT(COUNTA($C$5:C106),"000"))</f>
        <v/>
      </c>
      <c r="C106" s="14" t="n"/>
      <c r="D106" s="14" t="n"/>
      <c r="E106" s="26" t="n"/>
      <c r="F106" s="15" t="n"/>
      <c r="G106" s="15" t="n"/>
      <c r="H106" s="15">
        <f>F106+G106</f>
        <v/>
      </c>
      <c r="I106" s="15" t="n"/>
      <c r="J106" s="22">
        <f>IF(OR(H106="",I106=""),"",I106/H106)</f>
        <v/>
      </c>
      <c r="K106" s="32">
        <f>IF(J106="","",IF(J106=0,"N/A",1/J106))</f>
        <v/>
      </c>
      <c r="L106" s="14" t="n"/>
    </row>
    <row r="107" ht="22" customHeight="1">
      <c r="B107" s="16">
        <f>IF(C107="","RFO-"&amp;TEXT(COUNTA($C$5:C107),"000"))</f>
        <v/>
      </c>
      <c r="C107" s="12" t="n"/>
      <c r="D107" s="12" t="n"/>
      <c r="E107" s="25" t="n"/>
      <c r="F107" s="13" t="n"/>
      <c r="G107" s="13" t="n"/>
      <c r="H107" s="13">
        <f>F107+G107</f>
        <v/>
      </c>
      <c r="I107" s="13" t="n"/>
      <c r="J107" s="21">
        <f>IF(OR(H107="",I107=""),"",I107/H107)</f>
        <v/>
      </c>
      <c r="K107" s="31">
        <f>IF(J107="","",IF(J107=0,"N/A",1/J107))</f>
        <v/>
      </c>
      <c r="L107" s="12" t="n"/>
    </row>
    <row r="108" ht="22" customHeight="1">
      <c r="B108" s="17">
        <f>IF(C108="","RFO-"&amp;TEXT(COUNTA($C$5:C108),"000"))</f>
        <v/>
      </c>
      <c r="C108" s="14" t="n"/>
      <c r="D108" s="14" t="n"/>
      <c r="E108" s="26" t="n"/>
      <c r="F108" s="15" t="n"/>
      <c r="G108" s="15" t="n"/>
      <c r="H108" s="15">
        <f>F108+G108</f>
        <v/>
      </c>
      <c r="I108" s="15" t="n"/>
      <c r="J108" s="22">
        <f>IF(OR(H108="",I108=""),"",I108/H108)</f>
        <v/>
      </c>
      <c r="K108" s="32">
        <f>IF(J108="","",IF(J108=0,"N/A",1/J108))</f>
        <v/>
      </c>
      <c r="L108" s="14" t="n"/>
    </row>
    <row r="109" ht="22" customHeight="1">
      <c r="B109" s="16">
        <f>IF(C109="","RFO-"&amp;TEXT(COUNTA($C$5:C109),"000"))</f>
        <v/>
      </c>
      <c r="C109" s="12" t="n"/>
      <c r="D109" s="12" t="n"/>
      <c r="E109" s="25" t="n"/>
      <c r="F109" s="13" t="n"/>
      <c r="G109" s="13" t="n"/>
      <c r="H109" s="13">
        <f>F109+G109</f>
        <v/>
      </c>
      <c r="I109" s="13" t="n"/>
      <c r="J109" s="21">
        <f>IF(OR(H109="",I109=""),"",I109/H109)</f>
        <v/>
      </c>
      <c r="K109" s="31">
        <f>IF(J109="","",IF(J109=0,"N/A",1/J109))</f>
        <v/>
      </c>
      <c r="L109" s="12" t="n"/>
    </row>
    <row r="111" ht="26" customHeight="1">
      <c r="B111" s="18" t="inlineStr">
        <is>
          <t>TOTAL</t>
        </is>
      </c>
      <c r="C111" s="19" t="n"/>
      <c r="D111" s="19" t="n"/>
      <c r="E111" s="20">
        <f>SUM(E5:E104)</f>
        <v/>
      </c>
      <c r="F111" s="20">
        <f>SUM(F5:F104)</f>
        <v/>
      </c>
      <c r="G111" s="20">
        <f>SUM(G5:G104)</f>
        <v/>
      </c>
      <c r="H111" s="20">
        <f>SUM(H5:H104)</f>
        <v/>
      </c>
      <c r="I111" s="20">
        <f>SUM(I5:I104)</f>
        <v/>
      </c>
      <c r="J111" s="19" t="n"/>
      <c r="K111" s="19" t="n"/>
      <c r="L111" s="19" t="n"/>
    </row>
    <row r="113">
      <c r="B113" s="5" t="inlineStr">
        <is>
          <t>INDICATEURS (mis a jour automatiquement)</t>
        </is>
      </c>
    </row>
    <row r="114">
      <c r="B114" s="3" t="inlineStr">
        <is>
          <t>Formations</t>
        </is>
      </c>
      <c r="D114" s="3" t="inlineStr">
        <is>
          <t>Cout total formations</t>
        </is>
      </c>
      <c r="F114" s="3" t="inlineStr">
        <is>
          <t>ROI moyen</t>
        </is>
      </c>
    </row>
    <row r="115">
      <c r="B115" s="4">
        <f>COUNTIF(B5:B104,"&lt;&gt;")</f>
        <v/>
      </c>
      <c r="D115" s="4">
        <f>SUM(H5:H104)</f>
        <v/>
      </c>
      <c r="F115" s="4">
        <f>IFERROR(AVERAGE(J5:J104),0)</f>
        <v/>
      </c>
    </row>
  </sheetData>
  <mergeCells count="3">
    <mergeCell ref="B2:L2"/>
    <mergeCell ref="B113:L113"/>
    <mergeCell ref="B3:L3"/>
  </mergeCells>
  <conditionalFormatting sqref="B10:B109">
    <cfRule type="expression" priority="1" dxfId="0">
      <formula>AND($C10="",$C9&lt;&gt;"")</formula>
    </cfRule>
  </conditionalFormatting>
  <conditionalFormatting sqref="C10:C109">
    <cfRule type="expression" priority="2" dxfId="0">
      <formula>AND($C10="",$C9&lt;&gt;"")</formula>
    </cfRule>
  </conditionalFormatting>
  <conditionalFormatting sqref="D10:D109">
    <cfRule type="expression" priority="3" dxfId="0">
      <formula>AND($C10="",$C9&lt;&gt;"")</formula>
    </cfRule>
  </conditionalFormatting>
  <conditionalFormatting sqref="E10:E109">
    <cfRule type="expression" priority="4" dxfId="0">
      <formula>AND($C10="",$C9&lt;&gt;"")</formula>
    </cfRule>
  </conditionalFormatting>
  <conditionalFormatting sqref="F10:F109">
    <cfRule type="expression" priority="5" dxfId="0">
      <formula>AND($C10="",$C9&lt;&gt;"")</formula>
    </cfRule>
  </conditionalFormatting>
  <conditionalFormatting sqref="G10:G109">
    <cfRule type="expression" priority="6" dxfId="0">
      <formula>AND($C10="",$C9&lt;&gt;"")</formula>
    </cfRule>
  </conditionalFormatting>
  <conditionalFormatting sqref="H10:H109">
    <cfRule type="expression" priority="7" dxfId="0">
      <formula>AND($C10="",$C9&lt;&gt;"")</formula>
    </cfRule>
  </conditionalFormatting>
  <conditionalFormatting sqref="I10:I109">
    <cfRule type="expression" priority="8" dxfId="0">
      <formula>AND($C10="",$C9&lt;&gt;"")</formula>
    </cfRule>
  </conditionalFormatting>
  <conditionalFormatting sqref="J10:J109">
    <cfRule type="expression" priority="9" dxfId="0">
      <formula>AND($C10="",$C9&lt;&gt;"")</formula>
    </cfRule>
  </conditionalFormatting>
  <conditionalFormatting sqref="K10:K109">
    <cfRule type="expression" priority="10" dxfId="0">
      <formula>AND($C10="",$C9&lt;&gt;"")</formula>
    </cfRule>
  </conditionalFormatting>
  <conditionalFormatting sqref="L10:L109">
    <cfRule type="expression" priority="11" dxfId="0">
      <formula>AND($C10="",$C9&lt;&gt;"")</formula>
    </cfRule>
  </conditionalFormatting>
  <conditionalFormatting sqref="J5:J104">
    <cfRule type="dataBar" priority="12">
      <dataBar>
        <cfvo type="num" val="0"/>
        <cfvo type="num" val="1"/>
        <color rgb="0070AD47"/>
      </dataBar>
    </cfRule>
  </conditionalFormatting>
  <dataValidations count="1">
    <dataValidation sqref="L5:L115" showDropDown="0" showInputMessage="0" showErrorMessage="0" allowBlank="1" errorTitle="Valeur invalide" error="Veuillez choisir dans la liste: statut_budget" promptTitle="statut_budget" prompt="Choisir: statut_budget" type="list">
      <formula1>'_Lists'!$G$2:$G$50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K1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4" customWidth="1" min="4" max="4"/>
    <col width="22" customWidth="1" min="5" max="5"/>
    <col width="24" customWidth="1" min="6" max="6"/>
    <col width="18" customWidth="1" min="7" max="7"/>
    <col width="16" customWidth="1" min="8" max="8"/>
    <col width="24" customWidth="1" min="9" max="9"/>
    <col width="20" customWidth="1" min="10" max="10"/>
    <col width="14" customWidth="1" min="11" max="11"/>
  </cols>
  <sheetData>
    <row r="1" ht="15" customHeight="1"/>
    <row r="2" ht="32" customHeight="1">
      <c r="B2" s="1" t="inlineStr">
        <is>
          <t>SIMULATION DE SCENARIOS BUDGETAIRES (#154)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Scenario</t>
        </is>
      </c>
      <c r="D4" s="11" t="inlineStr">
        <is>
          <t>Poste Budgetaire</t>
        </is>
      </c>
      <c r="E4" s="11" t="inlineStr">
        <is>
          <t>Budget Actuel (FCFA)</t>
        </is>
      </c>
      <c r="F4" s="11" t="inlineStr">
        <is>
          <t>Valeur Simulee (FCFA)</t>
        </is>
      </c>
      <c r="G4" s="11" t="inlineStr">
        <is>
          <t>Variation (FCFA)</t>
        </is>
      </c>
      <c r="H4" s="11" t="inlineStr">
        <is>
          <t>Variation (%)</t>
        </is>
      </c>
      <c r="I4" s="11" t="inlineStr">
        <is>
          <t>Impact MS Totale (FCFA)</t>
        </is>
      </c>
      <c r="J4" s="11" t="inlineStr">
        <is>
          <t>Ratio MS/CA Simule</t>
        </is>
      </c>
      <c r="K4" s="11" t="inlineStr">
        <is>
          <t>Statut</t>
        </is>
      </c>
    </row>
    <row r="5" ht="22" customHeight="1">
      <c r="B5" s="12" t="inlineStr">
        <is>
          <t>SIM-001</t>
        </is>
      </c>
      <c r="C5" s="12" t="inlineStr">
        <is>
          <t>Hausse effectif 5%</t>
        </is>
      </c>
      <c r="D5" s="12" t="inlineStr">
        <is>
          <t>Salaires de base</t>
        </is>
      </c>
      <c r="E5" s="13" t="n">
        <v>270000000</v>
      </c>
      <c r="F5" s="13" t="n">
        <v>283500000</v>
      </c>
      <c r="G5" s="13" t="n"/>
      <c r="H5" s="21" t="n"/>
      <c r="I5" s="13" t="n"/>
      <c r="J5" s="21" t="n"/>
      <c r="K5" s="12" t="inlineStr">
        <is>
          <t>En cours</t>
        </is>
      </c>
    </row>
    <row r="6" ht="22" customHeight="1">
      <c r="B6" s="14" t="inlineStr">
        <is>
          <t>SIM-002</t>
        </is>
      </c>
      <c r="C6" s="14" t="inlineStr">
        <is>
          <t>Hausse effectif 5%</t>
        </is>
      </c>
      <c r="D6" s="14" t="inlineStr">
        <is>
          <t>Cotisations patronales</t>
        </is>
      </c>
      <c r="E6" s="15" t="n">
        <v>48600000</v>
      </c>
      <c r="F6" s="15" t="n">
        <v>51030000</v>
      </c>
      <c r="G6" s="15" t="n"/>
      <c r="H6" s="22" t="n"/>
      <c r="I6" s="15" t="n"/>
      <c r="J6" s="22" t="n"/>
      <c r="K6" s="14" t="inlineStr">
        <is>
          <t>En cours</t>
        </is>
      </c>
    </row>
    <row r="7" ht="22" customHeight="1">
      <c r="B7" s="12" t="inlineStr">
        <is>
          <t>SIM-003</t>
        </is>
      </c>
      <c r="C7" s="12" t="inlineStr">
        <is>
          <t>Augmentation salariale 5%</t>
        </is>
      </c>
      <c r="D7" s="12" t="inlineStr">
        <is>
          <t>Salaires de base</t>
        </is>
      </c>
      <c r="E7" s="13" t="n">
        <v>270000000</v>
      </c>
      <c r="F7" s="13" t="n">
        <v>283500000</v>
      </c>
      <c r="G7" s="13" t="n"/>
      <c r="H7" s="21" t="n"/>
      <c r="I7" s="13" t="n"/>
      <c r="J7" s="21" t="n"/>
      <c r="K7" s="12" t="inlineStr">
        <is>
          <t>En cours</t>
        </is>
      </c>
    </row>
    <row r="8" ht="22" customHeight="1">
      <c r="B8" s="14" t="inlineStr">
        <is>
          <t>SIM-004</t>
        </is>
      </c>
      <c r="C8" s="14" t="inlineStr">
        <is>
          <t>Augmentation salariale 5%</t>
        </is>
      </c>
      <c r="D8" s="14" t="inlineStr">
        <is>
          <t>Primes</t>
        </is>
      </c>
      <c r="E8" s="15" t="n">
        <v>22000000</v>
      </c>
      <c r="F8" s="15" t="n">
        <v>23100000</v>
      </c>
      <c r="G8" s="15" t="n"/>
      <c r="H8" s="22" t="n"/>
      <c r="I8" s="15" t="n"/>
      <c r="J8" s="22" t="n"/>
      <c r="K8" s="14" t="inlineStr">
        <is>
          <t>En cours</t>
        </is>
      </c>
    </row>
    <row r="9" ht="22" customHeight="1">
      <c r="B9" s="12" t="inlineStr">
        <is>
          <t>SIM-005</t>
        </is>
      </c>
      <c r="C9" s="12" t="inlineStr">
        <is>
          <t>Crise - reduction 10%</t>
        </is>
      </c>
      <c r="D9" s="12" t="inlineStr">
        <is>
          <t>Salaires de base</t>
        </is>
      </c>
      <c r="E9" s="13" t="n">
        <v>270000000</v>
      </c>
      <c r="F9" s="13" t="n">
        <v>243000000</v>
      </c>
      <c r="G9" s="13" t="n"/>
      <c r="H9" s="21" t="n"/>
      <c r="I9" s="13" t="n"/>
      <c r="J9" s="21" t="n"/>
      <c r="K9" s="12" t="inlineStr">
        <is>
          <t>En cours</t>
        </is>
      </c>
    </row>
    <row r="10" ht="22" customHeight="1">
      <c r="B10" s="14" t="inlineStr">
        <is>
          <t>SIM-006</t>
        </is>
      </c>
      <c r="C10" s="14" t="inlineStr">
        <is>
          <t>Crise - reduction 10%</t>
        </is>
      </c>
      <c r="D10" s="14" t="inlineStr">
        <is>
          <t>Formation</t>
        </is>
      </c>
      <c r="E10" s="15" t="n">
        <v>5000000</v>
      </c>
      <c r="F10" s="15" t="n">
        <v>4000000</v>
      </c>
      <c r="G10" s="15" t="n"/>
      <c r="H10" s="22" t="n"/>
      <c r="I10" s="15" t="n"/>
      <c r="J10" s="22" t="n"/>
      <c r="K10" s="14" t="inlineStr">
        <is>
          <t>En cours</t>
        </is>
      </c>
    </row>
    <row r="11" ht="22" customHeight="1">
      <c r="B11" s="16">
        <f>IF(C11="","SIM-"&amp;TEXT(COUNTA($C$5:C11),"000"))</f>
        <v/>
      </c>
      <c r="C11" s="12" t="n"/>
      <c r="D11" s="12" t="n"/>
      <c r="E11" s="13" t="n"/>
      <c r="F11" s="13" t="n"/>
      <c r="G11" s="13">
        <f>F11-E11</f>
        <v/>
      </c>
      <c r="H11" s="21">
        <f>IF(E11="","",(F11-E11)/E11)</f>
        <v/>
      </c>
      <c r="I11" s="13" t="n"/>
      <c r="J11" s="21" t="n"/>
      <c r="K11" s="12" t="n"/>
    </row>
    <row r="12" ht="22" customHeight="1">
      <c r="B12" s="17">
        <f>IF(C12="","SIM-"&amp;TEXT(COUNTA($C$5:C12),"000"))</f>
        <v/>
      </c>
      <c r="C12" s="14" t="n"/>
      <c r="D12" s="14" t="n"/>
      <c r="E12" s="15" t="n"/>
      <c r="F12" s="15" t="n"/>
      <c r="G12" s="15">
        <f>F12-E12</f>
        <v/>
      </c>
      <c r="H12" s="22">
        <f>IF(E12="","",(F12-E12)/E12)</f>
        <v/>
      </c>
      <c r="I12" s="15" t="n"/>
      <c r="J12" s="22" t="n"/>
      <c r="K12" s="14" t="n"/>
    </row>
    <row r="13" ht="22" customHeight="1">
      <c r="B13" s="16">
        <f>IF(C13="","SIM-"&amp;TEXT(COUNTA($C$5:C13),"000"))</f>
        <v/>
      </c>
      <c r="C13" s="12" t="n"/>
      <c r="D13" s="12" t="n"/>
      <c r="E13" s="13" t="n"/>
      <c r="F13" s="13" t="n"/>
      <c r="G13" s="13">
        <f>F13-E13</f>
        <v/>
      </c>
      <c r="H13" s="21">
        <f>IF(E13="","",(F13-E13)/E13)</f>
        <v/>
      </c>
      <c r="I13" s="13" t="n"/>
      <c r="J13" s="21" t="n"/>
      <c r="K13" s="12" t="n"/>
    </row>
    <row r="14" ht="22" customHeight="1">
      <c r="B14" s="17">
        <f>IF(C14="","SIM-"&amp;TEXT(COUNTA($C$5:C14),"000"))</f>
        <v/>
      </c>
      <c r="C14" s="14" t="n"/>
      <c r="D14" s="14" t="n"/>
      <c r="E14" s="15" t="n"/>
      <c r="F14" s="15" t="n"/>
      <c r="G14" s="15">
        <f>F14-E14</f>
        <v/>
      </c>
      <c r="H14" s="22">
        <f>IF(E14="","",(F14-E14)/E14)</f>
        <v/>
      </c>
      <c r="I14" s="15" t="n"/>
      <c r="J14" s="22" t="n"/>
      <c r="K14" s="14" t="n"/>
    </row>
    <row r="15" ht="22" customHeight="1">
      <c r="B15" s="16">
        <f>IF(C15="","SIM-"&amp;TEXT(COUNTA($C$5:C15),"000"))</f>
        <v/>
      </c>
      <c r="C15" s="12" t="n"/>
      <c r="D15" s="12" t="n"/>
      <c r="E15" s="13" t="n"/>
      <c r="F15" s="13" t="n"/>
      <c r="G15" s="13">
        <f>F15-E15</f>
        <v/>
      </c>
      <c r="H15" s="21">
        <f>IF(E15="","",(F15-E15)/E15)</f>
        <v/>
      </c>
      <c r="I15" s="13" t="n"/>
      <c r="J15" s="21" t="n"/>
      <c r="K15" s="12" t="n"/>
    </row>
    <row r="16" ht="22" customHeight="1">
      <c r="B16" s="17">
        <f>IF(C16="","SIM-"&amp;TEXT(COUNTA($C$5:C16),"000"))</f>
        <v/>
      </c>
      <c r="C16" s="14" t="n"/>
      <c r="D16" s="14" t="n"/>
      <c r="E16" s="15" t="n"/>
      <c r="F16" s="15" t="n"/>
      <c r="G16" s="15">
        <f>F16-E16</f>
        <v/>
      </c>
      <c r="H16" s="22">
        <f>IF(E16="","",(F16-E16)/E16)</f>
        <v/>
      </c>
      <c r="I16" s="15" t="n"/>
      <c r="J16" s="22" t="n"/>
      <c r="K16" s="14" t="n"/>
    </row>
    <row r="17" ht="22" customHeight="1">
      <c r="B17" s="16">
        <f>IF(C17="","SIM-"&amp;TEXT(COUNTA($C$5:C17),"000"))</f>
        <v/>
      </c>
      <c r="C17" s="12" t="n"/>
      <c r="D17" s="12" t="n"/>
      <c r="E17" s="13" t="n"/>
      <c r="F17" s="13" t="n"/>
      <c r="G17" s="13">
        <f>F17-E17</f>
        <v/>
      </c>
      <c r="H17" s="21">
        <f>IF(E17="","",(F17-E17)/E17)</f>
        <v/>
      </c>
      <c r="I17" s="13" t="n"/>
      <c r="J17" s="21" t="n"/>
      <c r="K17" s="12" t="n"/>
    </row>
    <row r="18" ht="22" customHeight="1">
      <c r="B18" s="17">
        <f>IF(C18="","SIM-"&amp;TEXT(COUNTA($C$5:C18),"000"))</f>
        <v/>
      </c>
      <c r="C18" s="14" t="n"/>
      <c r="D18" s="14" t="n"/>
      <c r="E18" s="15" t="n"/>
      <c r="F18" s="15" t="n"/>
      <c r="G18" s="15">
        <f>F18-E18</f>
        <v/>
      </c>
      <c r="H18" s="22">
        <f>IF(E18="","",(F18-E18)/E18)</f>
        <v/>
      </c>
      <c r="I18" s="15" t="n"/>
      <c r="J18" s="22" t="n"/>
      <c r="K18" s="14" t="n"/>
    </row>
    <row r="19" ht="22" customHeight="1">
      <c r="B19" s="16">
        <f>IF(C19="","SIM-"&amp;TEXT(COUNTA($C$5:C19),"000"))</f>
        <v/>
      </c>
      <c r="C19" s="12" t="n"/>
      <c r="D19" s="12" t="n"/>
      <c r="E19" s="13" t="n"/>
      <c r="F19" s="13" t="n"/>
      <c r="G19" s="13">
        <f>F19-E19</f>
        <v/>
      </c>
      <c r="H19" s="21">
        <f>IF(E19="","",(F19-E19)/E19)</f>
        <v/>
      </c>
      <c r="I19" s="13" t="n"/>
      <c r="J19" s="21" t="n"/>
      <c r="K19" s="12" t="n"/>
    </row>
    <row r="20" ht="22" customHeight="1">
      <c r="B20" s="17">
        <f>IF(C20="","SIM-"&amp;TEXT(COUNTA($C$5:C20),"000"))</f>
        <v/>
      </c>
      <c r="C20" s="14" t="n"/>
      <c r="D20" s="14" t="n"/>
      <c r="E20" s="15" t="n"/>
      <c r="F20" s="15" t="n"/>
      <c r="G20" s="15">
        <f>F20-E20</f>
        <v/>
      </c>
      <c r="H20" s="22">
        <f>IF(E20="","",(F20-E20)/E20)</f>
        <v/>
      </c>
      <c r="I20" s="15" t="n"/>
      <c r="J20" s="22" t="n"/>
      <c r="K20" s="14" t="n"/>
    </row>
    <row r="21" ht="22" customHeight="1">
      <c r="B21" s="16">
        <f>IF(C21="","SIM-"&amp;TEXT(COUNTA($C$5:C21),"000"))</f>
        <v/>
      </c>
      <c r="C21" s="12" t="n"/>
      <c r="D21" s="12" t="n"/>
      <c r="E21" s="13" t="n"/>
      <c r="F21" s="13" t="n"/>
      <c r="G21" s="13">
        <f>F21-E21</f>
        <v/>
      </c>
      <c r="H21" s="21">
        <f>IF(E21="","",(F21-E21)/E21)</f>
        <v/>
      </c>
      <c r="I21" s="13" t="n"/>
      <c r="J21" s="21" t="n"/>
      <c r="K21" s="12" t="n"/>
    </row>
    <row r="22" ht="22" customHeight="1">
      <c r="B22" s="17">
        <f>IF(C22="","SIM-"&amp;TEXT(COUNTA($C$5:C22),"000"))</f>
        <v/>
      </c>
      <c r="C22" s="14" t="n"/>
      <c r="D22" s="14" t="n"/>
      <c r="E22" s="15" t="n"/>
      <c r="F22" s="15" t="n"/>
      <c r="G22" s="15">
        <f>F22-E22</f>
        <v/>
      </c>
      <c r="H22" s="22">
        <f>IF(E22="","",(F22-E22)/E22)</f>
        <v/>
      </c>
      <c r="I22" s="15" t="n"/>
      <c r="J22" s="22" t="n"/>
      <c r="K22" s="14" t="n"/>
    </row>
    <row r="23" ht="22" customHeight="1">
      <c r="B23" s="16">
        <f>IF(C23="","SIM-"&amp;TEXT(COUNTA($C$5:C23),"000"))</f>
        <v/>
      </c>
      <c r="C23" s="12" t="n"/>
      <c r="D23" s="12" t="n"/>
      <c r="E23" s="13" t="n"/>
      <c r="F23" s="13" t="n"/>
      <c r="G23" s="13">
        <f>F23-E23</f>
        <v/>
      </c>
      <c r="H23" s="21">
        <f>IF(E23="","",(F23-E23)/E23)</f>
        <v/>
      </c>
      <c r="I23" s="13" t="n"/>
      <c r="J23" s="21" t="n"/>
      <c r="K23" s="12" t="n"/>
    </row>
    <row r="24" ht="22" customHeight="1">
      <c r="B24" s="17">
        <f>IF(C24="","SIM-"&amp;TEXT(COUNTA($C$5:C24),"000"))</f>
        <v/>
      </c>
      <c r="C24" s="14" t="n"/>
      <c r="D24" s="14" t="n"/>
      <c r="E24" s="15" t="n"/>
      <c r="F24" s="15" t="n"/>
      <c r="G24" s="15">
        <f>F24-E24</f>
        <v/>
      </c>
      <c r="H24" s="22">
        <f>IF(E24="","",(F24-E24)/E24)</f>
        <v/>
      </c>
      <c r="I24" s="15" t="n"/>
      <c r="J24" s="22" t="n"/>
      <c r="K24" s="14" t="n"/>
    </row>
    <row r="25" ht="22" customHeight="1">
      <c r="B25" s="16">
        <f>IF(C25="","SIM-"&amp;TEXT(COUNTA($C$5:C25),"000"))</f>
        <v/>
      </c>
      <c r="C25" s="12" t="n"/>
      <c r="D25" s="12" t="n"/>
      <c r="E25" s="13" t="n"/>
      <c r="F25" s="13" t="n"/>
      <c r="G25" s="13">
        <f>F25-E25</f>
        <v/>
      </c>
      <c r="H25" s="21">
        <f>IF(E25="","",(F25-E25)/E25)</f>
        <v/>
      </c>
      <c r="I25" s="13" t="n"/>
      <c r="J25" s="21" t="n"/>
      <c r="K25" s="12" t="n"/>
    </row>
    <row r="26" ht="22" customHeight="1">
      <c r="B26" s="17">
        <f>IF(C26="","SIM-"&amp;TEXT(COUNTA($C$5:C26),"000"))</f>
        <v/>
      </c>
      <c r="C26" s="14" t="n"/>
      <c r="D26" s="14" t="n"/>
      <c r="E26" s="15" t="n"/>
      <c r="F26" s="15" t="n"/>
      <c r="G26" s="15">
        <f>F26-E26</f>
        <v/>
      </c>
      <c r="H26" s="22">
        <f>IF(E26="","",(F26-E26)/E26)</f>
        <v/>
      </c>
      <c r="I26" s="15" t="n"/>
      <c r="J26" s="22" t="n"/>
      <c r="K26" s="14" t="n"/>
    </row>
    <row r="27" ht="22" customHeight="1">
      <c r="B27" s="16">
        <f>IF(C27="","SIM-"&amp;TEXT(COUNTA($C$5:C27),"000"))</f>
        <v/>
      </c>
      <c r="C27" s="12" t="n"/>
      <c r="D27" s="12" t="n"/>
      <c r="E27" s="13" t="n"/>
      <c r="F27" s="13" t="n"/>
      <c r="G27" s="13">
        <f>F27-E27</f>
        <v/>
      </c>
      <c r="H27" s="21">
        <f>IF(E27="","",(F27-E27)/E27)</f>
        <v/>
      </c>
      <c r="I27" s="13" t="n"/>
      <c r="J27" s="21" t="n"/>
      <c r="K27" s="12" t="n"/>
    </row>
    <row r="28" ht="22" customHeight="1">
      <c r="B28" s="17">
        <f>IF(C28="","SIM-"&amp;TEXT(COUNTA($C$5:C28),"000"))</f>
        <v/>
      </c>
      <c r="C28" s="14" t="n"/>
      <c r="D28" s="14" t="n"/>
      <c r="E28" s="15" t="n"/>
      <c r="F28" s="15" t="n"/>
      <c r="G28" s="15">
        <f>F28-E28</f>
        <v/>
      </c>
      <c r="H28" s="22">
        <f>IF(E28="","",(F28-E28)/E28)</f>
        <v/>
      </c>
      <c r="I28" s="15" t="n"/>
      <c r="J28" s="22" t="n"/>
      <c r="K28" s="14" t="n"/>
    </row>
    <row r="29" ht="22" customHeight="1">
      <c r="B29" s="16">
        <f>IF(C29="","SIM-"&amp;TEXT(COUNTA($C$5:C29),"000"))</f>
        <v/>
      </c>
      <c r="C29" s="12" t="n"/>
      <c r="D29" s="12" t="n"/>
      <c r="E29" s="13" t="n"/>
      <c r="F29" s="13" t="n"/>
      <c r="G29" s="13">
        <f>F29-E29</f>
        <v/>
      </c>
      <c r="H29" s="21">
        <f>IF(E29="","",(F29-E29)/E29)</f>
        <v/>
      </c>
      <c r="I29" s="13" t="n"/>
      <c r="J29" s="21" t="n"/>
      <c r="K29" s="12" t="n"/>
    </row>
    <row r="30" ht="22" customHeight="1">
      <c r="B30" s="17">
        <f>IF(C30="","SIM-"&amp;TEXT(COUNTA($C$5:C30),"000"))</f>
        <v/>
      </c>
      <c r="C30" s="14" t="n"/>
      <c r="D30" s="14" t="n"/>
      <c r="E30" s="15" t="n"/>
      <c r="F30" s="15" t="n"/>
      <c r="G30" s="15">
        <f>F30-E30</f>
        <v/>
      </c>
      <c r="H30" s="22">
        <f>IF(E30="","",(F30-E30)/E30)</f>
        <v/>
      </c>
      <c r="I30" s="15" t="n"/>
      <c r="J30" s="22" t="n"/>
      <c r="K30" s="14" t="n"/>
    </row>
    <row r="31" ht="22" customHeight="1">
      <c r="B31" s="16">
        <f>IF(C31="","SIM-"&amp;TEXT(COUNTA($C$5:C31),"000"))</f>
        <v/>
      </c>
      <c r="C31" s="12" t="n"/>
      <c r="D31" s="12" t="n"/>
      <c r="E31" s="13" t="n"/>
      <c r="F31" s="13" t="n"/>
      <c r="G31" s="13">
        <f>F31-E31</f>
        <v/>
      </c>
      <c r="H31" s="21">
        <f>IF(E31="","",(F31-E31)/E31)</f>
        <v/>
      </c>
      <c r="I31" s="13" t="n"/>
      <c r="J31" s="21" t="n"/>
      <c r="K31" s="12" t="n"/>
    </row>
    <row r="32" ht="22" customHeight="1">
      <c r="B32" s="17">
        <f>IF(C32="","SIM-"&amp;TEXT(COUNTA($C$5:C32),"000"))</f>
        <v/>
      </c>
      <c r="C32" s="14" t="n"/>
      <c r="D32" s="14" t="n"/>
      <c r="E32" s="15" t="n"/>
      <c r="F32" s="15" t="n"/>
      <c r="G32" s="15">
        <f>F32-E32</f>
        <v/>
      </c>
      <c r="H32" s="22">
        <f>IF(E32="","",(F32-E32)/E32)</f>
        <v/>
      </c>
      <c r="I32" s="15" t="n"/>
      <c r="J32" s="22" t="n"/>
      <c r="K32" s="14" t="n"/>
    </row>
    <row r="33" ht="22" customHeight="1">
      <c r="B33" s="16">
        <f>IF(C33="","SIM-"&amp;TEXT(COUNTA($C$5:C33),"000"))</f>
        <v/>
      </c>
      <c r="C33" s="12" t="n"/>
      <c r="D33" s="12" t="n"/>
      <c r="E33" s="13" t="n"/>
      <c r="F33" s="13" t="n"/>
      <c r="G33" s="13">
        <f>F33-E33</f>
        <v/>
      </c>
      <c r="H33" s="21">
        <f>IF(E33="","",(F33-E33)/E33)</f>
        <v/>
      </c>
      <c r="I33" s="13" t="n"/>
      <c r="J33" s="21" t="n"/>
      <c r="K33" s="12" t="n"/>
    </row>
    <row r="34" ht="22" customHeight="1">
      <c r="B34" s="17">
        <f>IF(C34="","SIM-"&amp;TEXT(COUNTA($C$5:C34),"000"))</f>
        <v/>
      </c>
      <c r="C34" s="14" t="n"/>
      <c r="D34" s="14" t="n"/>
      <c r="E34" s="15" t="n"/>
      <c r="F34" s="15" t="n"/>
      <c r="G34" s="15">
        <f>F34-E34</f>
        <v/>
      </c>
      <c r="H34" s="22">
        <f>IF(E34="","",(F34-E34)/E34)</f>
        <v/>
      </c>
      <c r="I34" s="15" t="n"/>
      <c r="J34" s="22" t="n"/>
      <c r="K34" s="14" t="n"/>
    </row>
    <row r="35" ht="22" customHeight="1">
      <c r="B35" s="16">
        <f>IF(C35="","SIM-"&amp;TEXT(COUNTA($C$5:C35),"000"))</f>
        <v/>
      </c>
      <c r="C35" s="12" t="n"/>
      <c r="D35" s="12" t="n"/>
      <c r="E35" s="13" t="n"/>
      <c r="F35" s="13" t="n"/>
      <c r="G35" s="13">
        <f>F35-E35</f>
        <v/>
      </c>
      <c r="H35" s="21">
        <f>IF(E35="","",(F35-E35)/E35)</f>
        <v/>
      </c>
      <c r="I35" s="13" t="n"/>
      <c r="J35" s="21" t="n"/>
      <c r="K35" s="12" t="n"/>
    </row>
    <row r="36" ht="22" customHeight="1">
      <c r="B36" s="17">
        <f>IF(C36="","SIM-"&amp;TEXT(COUNTA($C$5:C36),"000"))</f>
        <v/>
      </c>
      <c r="C36" s="14" t="n"/>
      <c r="D36" s="14" t="n"/>
      <c r="E36" s="15" t="n"/>
      <c r="F36" s="15" t="n"/>
      <c r="G36" s="15">
        <f>F36-E36</f>
        <v/>
      </c>
      <c r="H36" s="22">
        <f>IF(E36="","",(F36-E36)/E36)</f>
        <v/>
      </c>
      <c r="I36" s="15" t="n"/>
      <c r="J36" s="22" t="n"/>
      <c r="K36" s="14" t="n"/>
    </row>
    <row r="37" ht="22" customHeight="1">
      <c r="B37" s="16">
        <f>IF(C37="","SIM-"&amp;TEXT(COUNTA($C$5:C37),"000"))</f>
        <v/>
      </c>
      <c r="C37" s="12" t="n"/>
      <c r="D37" s="12" t="n"/>
      <c r="E37" s="13" t="n"/>
      <c r="F37" s="13" t="n"/>
      <c r="G37" s="13">
        <f>F37-E37</f>
        <v/>
      </c>
      <c r="H37" s="21">
        <f>IF(E37="","",(F37-E37)/E37)</f>
        <v/>
      </c>
      <c r="I37" s="13" t="n"/>
      <c r="J37" s="21" t="n"/>
      <c r="K37" s="12" t="n"/>
    </row>
    <row r="38" ht="22" customHeight="1">
      <c r="B38" s="17">
        <f>IF(C38="","SIM-"&amp;TEXT(COUNTA($C$5:C38),"000"))</f>
        <v/>
      </c>
      <c r="C38" s="14" t="n"/>
      <c r="D38" s="14" t="n"/>
      <c r="E38" s="15" t="n"/>
      <c r="F38" s="15" t="n"/>
      <c r="G38" s="15">
        <f>F38-E38</f>
        <v/>
      </c>
      <c r="H38" s="22">
        <f>IF(E38="","",(F38-E38)/E38)</f>
        <v/>
      </c>
      <c r="I38" s="15" t="n"/>
      <c r="J38" s="22" t="n"/>
      <c r="K38" s="14" t="n"/>
    </row>
    <row r="39" ht="22" customHeight="1">
      <c r="B39" s="16">
        <f>IF(C39="","SIM-"&amp;TEXT(COUNTA($C$5:C39),"000"))</f>
        <v/>
      </c>
      <c r="C39" s="12" t="n"/>
      <c r="D39" s="12" t="n"/>
      <c r="E39" s="13" t="n"/>
      <c r="F39" s="13" t="n"/>
      <c r="G39" s="13">
        <f>F39-E39</f>
        <v/>
      </c>
      <c r="H39" s="21">
        <f>IF(E39="","",(F39-E39)/E39)</f>
        <v/>
      </c>
      <c r="I39" s="13" t="n"/>
      <c r="J39" s="21" t="n"/>
      <c r="K39" s="12" t="n"/>
    </row>
    <row r="40" ht="22" customHeight="1">
      <c r="B40" s="17">
        <f>IF(C40="","SIM-"&amp;TEXT(COUNTA($C$5:C40),"000"))</f>
        <v/>
      </c>
      <c r="C40" s="14" t="n"/>
      <c r="D40" s="14" t="n"/>
      <c r="E40" s="15" t="n"/>
      <c r="F40" s="15" t="n"/>
      <c r="G40" s="15">
        <f>F40-E40</f>
        <v/>
      </c>
      <c r="H40" s="22">
        <f>IF(E40="","",(F40-E40)/E40)</f>
        <v/>
      </c>
      <c r="I40" s="15" t="n"/>
      <c r="J40" s="22" t="n"/>
      <c r="K40" s="14" t="n"/>
    </row>
    <row r="41" ht="22" customHeight="1">
      <c r="B41" s="16">
        <f>IF(C41="","SIM-"&amp;TEXT(COUNTA($C$5:C41),"000"))</f>
        <v/>
      </c>
      <c r="C41" s="12" t="n"/>
      <c r="D41" s="12" t="n"/>
      <c r="E41" s="13" t="n"/>
      <c r="F41" s="13" t="n"/>
      <c r="G41" s="13">
        <f>F41-E41</f>
        <v/>
      </c>
      <c r="H41" s="21">
        <f>IF(E41="","",(F41-E41)/E41)</f>
        <v/>
      </c>
      <c r="I41" s="13" t="n"/>
      <c r="J41" s="21" t="n"/>
      <c r="K41" s="12" t="n"/>
    </row>
    <row r="42" ht="22" customHeight="1">
      <c r="B42" s="17">
        <f>IF(C42="","SIM-"&amp;TEXT(COUNTA($C$5:C42),"000"))</f>
        <v/>
      </c>
      <c r="C42" s="14" t="n"/>
      <c r="D42" s="14" t="n"/>
      <c r="E42" s="15" t="n"/>
      <c r="F42" s="15" t="n"/>
      <c r="G42" s="15">
        <f>F42-E42</f>
        <v/>
      </c>
      <c r="H42" s="22">
        <f>IF(E42="","",(F42-E42)/E42)</f>
        <v/>
      </c>
      <c r="I42" s="15" t="n"/>
      <c r="J42" s="22" t="n"/>
      <c r="K42" s="14" t="n"/>
    </row>
    <row r="43" ht="22" customHeight="1">
      <c r="B43" s="16">
        <f>IF(C43="","SIM-"&amp;TEXT(COUNTA($C$5:C43),"000"))</f>
        <v/>
      </c>
      <c r="C43" s="12" t="n"/>
      <c r="D43" s="12" t="n"/>
      <c r="E43" s="13" t="n"/>
      <c r="F43" s="13" t="n"/>
      <c r="G43" s="13">
        <f>F43-E43</f>
        <v/>
      </c>
      <c r="H43" s="21">
        <f>IF(E43="","",(F43-E43)/E43)</f>
        <v/>
      </c>
      <c r="I43" s="13" t="n"/>
      <c r="J43" s="21" t="n"/>
      <c r="K43" s="12" t="n"/>
    </row>
    <row r="44" ht="22" customHeight="1">
      <c r="B44" s="17">
        <f>IF(C44="","SIM-"&amp;TEXT(COUNTA($C$5:C44),"000"))</f>
        <v/>
      </c>
      <c r="C44" s="14" t="n"/>
      <c r="D44" s="14" t="n"/>
      <c r="E44" s="15" t="n"/>
      <c r="F44" s="15" t="n"/>
      <c r="G44" s="15">
        <f>F44-E44</f>
        <v/>
      </c>
      <c r="H44" s="22">
        <f>IF(E44="","",(F44-E44)/E44)</f>
        <v/>
      </c>
      <c r="I44" s="15" t="n"/>
      <c r="J44" s="22" t="n"/>
      <c r="K44" s="14" t="n"/>
    </row>
    <row r="45" ht="22" customHeight="1">
      <c r="B45" s="16">
        <f>IF(C45="","SIM-"&amp;TEXT(COUNTA($C$5:C45),"000"))</f>
        <v/>
      </c>
      <c r="C45" s="12" t="n"/>
      <c r="D45" s="12" t="n"/>
      <c r="E45" s="13" t="n"/>
      <c r="F45" s="13" t="n"/>
      <c r="G45" s="13">
        <f>F45-E45</f>
        <v/>
      </c>
      <c r="H45" s="21">
        <f>IF(E45="","",(F45-E45)/E45)</f>
        <v/>
      </c>
      <c r="I45" s="13" t="n"/>
      <c r="J45" s="21" t="n"/>
      <c r="K45" s="12" t="n"/>
    </row>
    <row r="46" ht="22" customHeight="1">
      <c r="B46" s="17">
        <f>IF(C46="","SIM-"&amp;TEXT(COUNTA($C$5:C46),"000"))</f>
        <v/>
      </c>
      <c r="C46" s="14" t="n"/>
      <c r="D46" s="14" t="n"/>
      <c r="E46" s="15" t="n"/>
      <c r="F46" s="15" t="n"/>
      <c r="G46" s="15">
        <f>F46-E46</f>
        <v/>
      </c>
      <c r="H46" s="22">
        <f>IF(E46="","",(F46-E46)/E46)</f>
        <v/>
      </c>
      <c r="I46" s="15" t="n"/>
      <c r="J46" s="22" t="n"/>
      <c r="K46" s="14" t="n"/>
    </row>
    <row r="47" ht="22" customHeight="1">
      <c r="B47" s="16">
        <f>IF(C47="","SIM-"&amp;TEXT(COUNTA($C$5:C47),"000"))</f>
        <v/>
      </c>
      <c r="C47" s="12" t="n"/>
      <c r="D47" s="12" t="n"/>
      <c r="E47" s="13" t="n"/>
      <c r="F47" s="13" t="n"/>
      <c r="G47" s="13">
        <f>F47-E47</f>
        <v/>
      </c>
      <c r="H47" s="21">
        <f>IF(E47="","",(F47-E47)/E47)</f>
        <v/>
      </c>
      <c r="I47" s="13" t="n"/>
      <c r="J47" s="21" t="n"/>
      <c r="K47" s="12" t="n"/>
    </row>
    <row r="48" ht="22" customHeight="1">
      <c r="B48" s="17">
        <f>IF(C48="","SIM-"&amp;TEXT(COUNTA($C$5:C48),"000"))</f>
        <v/>
      </c>
      <c r="C48" s="14" t="n"/>
      <c r="D48" s="14" t="n"/>
      <c r="E48" s="15" t="n"/>
      <c r="F48" s="15" t="n"/>
      <c r="G48" s="15">
        <f>F48-E48</f>
        <v/>
      </c>
      <c r="H48" s="22">
        <f>IF(E48="","",(F48-E48)/E48)</f>
        <v/>
      </c>
      <c r="I48" s="15" t="n"/>
      <c r="J48" s="22" t="n"/>
      <c r="K48" s="14" t="n"/>
    </row>
    <row r="49" ht="22" customHeight="1">
      <c r="B49" s="16">
        <f>IF(C49="","SIM-"&amp;TEXT(COUNTA($C$5:C49),"000"))</f>
        <v/>
      </c>
      <c r="C49" s="12" t="n"/>
      <c r="D49" s="12" t="n"/>
      <c r="E49" s="13" t="n"/>
      <c r="F49" s="13" t="n"/>
      <c r="G49" s="13">
        <f>F49-E49</f>
        <v/>
      </c>
      <c r="H49" s="21">
        <f>IF(E49="","",(F49-E49)/E49)</f>
        <v/>
      </c>
      <c r="I49" s="13" t="n"/>
      <c r="J49" s="21" t="n"/>
      <c r="K49" s="12" t="n"/>
    </row>
    <row r="50" ht="22" customHeight="1">
      <c r="B50" s="17">
        <f>IF(C50="","SIM-"&amp;TEXT(COUNTA($C$5:C50),"000"))</f>
        <v/>
      </c>
      <c r="C50" s="14" t="n"/>
      <c r="D50" s="14" t="n"/>
      <c r="E50" s="15" t="n"/>
      <c r="F50" s="15" t="n"/>
      <c r="G50" s="15">
        <f>F50-E50</f>
        <v/>
      </c>
      <c r="H50" s="22">
        <f>IF(E50="","",(F50-E50)/E50)</f>
        <v/>
      </c>
      <c r="I50" s="15" t="n"/>
      <c r="J50" s="22" t="n"/>
      <c r="K50" s="14" t="n"/>
    </row>
    <row r="51" ht="22" customHeight="1">
      <c r="B51" s="16">
        <f>IF(C51="","SIM-"&amp;TEXT(COUNTA($C$5:C51),"000"))</f>
        <v/>
      </c>
      <c r="C51" s="12" t="n"/>
      <c r="D51" s="12" t="n"/>
      <c r="E51" s="13" t="n"/>
      <c r="F51" s="13" t="n"/>
      <c r="G51" s="13">
        <f>F51-E51</f>
        <v/>
      </c>
      <c r="H51" s="21">
        <f>IF(E51="","",(F51-E51)/E51)</f>
        <v/>
      </c>
      <c r="I51" s="13" t="n"/>
      <c r="J51" s="21" t="n"/>
      <c r="K51" s="12" t="n"/>
    </row>
    <row r="52" ht="22" customHeight="1">
      <c r="B52" s="17">
        <f>IF(C52="","SIM-"&amp;TEXT(COUNTA($C$5:C52),"000"))</f>
        <v/>
      </c>
      <c r="C52" s="14" t="n"/>
      <c r="D52" s="14" t="n"/>
      <c r="E52" s="15" t="n"/>
      <c r="F52" s="15" t="n"/>
      <c r="G52" s="15">
        <f>F52-E52</f>
        <v/>
      </c>
      <c r="H52" s="22">
        <f>IF(E52="","",(F52-E52)/E52)</f>
        <v/>
      </c>
      <c r="I52" s="15" t="n"/>
      <c r="J52" s="22" t="n"/>
      <c r="K52" s="14" t="n"/>
    </row>
    <row r="53" ht="22" customHeight="1">
      <c r="B53" s="16">
        <f>IF(C53="","SIM-"&amp;TEXT(COUNTA($C$5:C53),"000"))</f>
        <v/>
      </c>
      <c r="C53" s="12" t="n"/>
      <c r="D53" s="12" t="n"/>
      <c r="E53" s="13" t="n"/>
      <c r="F53" s="13" t="n"/>
      <c r="G53" s="13">
        <f>F53-E53</f>
        <v/>
      </c>
      <c r="H53" s="21">
        <f>IF(E53="","",(F53-E53)/E53)</f>
        <v/>
      </c>
      <c r="I53" s="13" t="n"/>
      <c r="J53" s="21" t="n"/>
      <c r="K53" s="12" t="n"/>
    </row>
    <row r="54" ht="22" customHeight="1">
      <c r="B54" s="17">
        <f>IF(C54="","SIM-"&amp;TEXT(COUNTA($C$5:C54),"000"))</f>
        <v/>
      </c>
      <c r="C54" s="14" t="n"/>
      <c r="D54" s="14" t="n"/>
      <c r="E54" s="15" t="n"/>
      <c r="F54" s="15" t="n"/>
      <c r="G54" s="15">
        <f>F54-E54</f>
        <v/>
      </c>
      <c r="H54" s="22">
        <f>IF(E54="","",(F54-E54)/E54)</f>
        <v/>
      </c>
      <c r="I54" s="15" t="n"/>
      <c r="J54" s="22" t="n"/>
      <c r="K54" s="14" t="n"/>
    </row>
    <row r="55" ht="22" customHeight="1">
      <c r="B55" s="16">
        <f>IF(C55="","SIM-"&amp;TEXT(COUNTA($C$5:C55),"000"))</f>
        <v/>
      </c>
      <c r="C55" s="12" t="n"/>
      <c r="D55" s="12" t="n"/>
      <c r="E55" s="13" t="n"/>
      <c r="F55" s="13" t="n"/>
      <c r="G55" s="13">
        <f>F55-E55</f>
        <v/>
      </c>
      <c r="H55" s="21">
        <f>IF(E55="","",(F55-E55)/E55)</f>
        <v/>
      </c>
      <c r="I55" s="13" t="n"/>
      <c r="J55" s="21" t="n"/>
      <c r="K55" s="12" t="n"/>
    </row>
    <row r="56" ht="22" customHeight="1">
      <c r="B56" s="17">
        <f>IF(C56="","SIM-"&amp;TEXT(COUNTA($C$5:C56),"000"))</f>
        <v/>
      </c>
      <c r="C56" s="14" t="n"/>
      <c r="D56" s="14" t="n"/>
      <c r="E56" s="15" t="n"/>
      <c r="F56" s="15" t="n"/>
      <c r="G56" s="15">
        <f>F56-E56</f>
        <v/>
      </c>
      <c r="H56" s="22">
        <f>IF(E56="","",(F56-E56)/E56)</f>
        <v/>
      </c>
      <c r="I56" s="15" t="n"/>
      <c r="J56" s="22" t="n"/>
      <c r="K56" s="14" t="n"/>
    </row>
    <row r="57" ht="22" customHeight="1">
      <c r="B57" s="16">
        <f>IF(C57="","SIM-"&amp;TEXT(COUNTA($C$5:C57),"000"))</f>
        <v/>
      </c>
      <c r="C57" s="12" t="n"/>
      <c r="D57" s="12" t="n"/>
      <c r="E57" s="13" t="n"/>
      <c r="F57" s="13" t="n"/>
      <c r="G57" s="13">
        <f>F57-E57</f>
        <v/>
      </c>
      <c r="H57" s="21">
        <f>IF(E57="","",(F57-E57)/E57)</f>
        <v/>
      </c>
      <c r="I57" s="13" t="n"/>
      <c r="J57" s="21" t="n"/>
      <c r="K57" s="12" t="n"/>
    </row>
    <row r="58" ht="22" customHeight="1">
      <c r="B58" s="17">
        <f>IF(C58="","SIM-"&amp;TEXT(COUNTA($C$5:C58),"000"))</f>
        <v/>
      </c>
      <c r="C58" s="14" t="n"/>
      <c r="D58" s="14" t="n"/>
      <c r="E58" s="15" t="n"/>
      <c r="F58" s="15" t="n"/>
      <c r="G58" s="15">
        <f>F58-E58</f>
        <v/>
      </c>
      <c r="H58" s="22">
        <f>IF(E58="","",(F58-E58)/E58)</f>
        <v/>
      </c>
      <c r="I58" s="15" t="n"/>
      <c r="J58" s="22" t="n"/>
      <c r="K58" s="14" t="n"/>
    </row>
    <row r="59" ht="22" customHeight="1">
      <c r="B59" s="16">
        <f>IF(C59="","SIM-"&amp;TEXT(COUNTA($C$5:C59),"000"))</f>
        <v/>
      </c>
      <c r="C59" s="12" t="n"/>
      <c r="D59" s="12" t="n"/>
      <c r="E59" s="13" t="n"/>
      <c r="F59" s="13" t="n"/>
      <c r="G59" s="13">
        <f>F59-E59</f>
        <v/>
      </c>
      <c r="H59" s="21">
        <f>IF(E59="","",(F59-E59)/E59)</f>
        <v/>
      </c>
      <c r="I59" s="13" t="n"/>
      <c r="J59" s="21" t="n"/>
      <c r="K59" s="12" t="n"/>
    </row>
    <row r="60" ht="22" customHeight="1">
      <c r="B60" s="17">
        <f>IF(C60="","SIM-"&amp;TEXT(COUNTA($C$5:C60),"000"))</f>
        <v/>
      </c>
      <c r="C60" s="14" t="n"/>
      <c r="D60" s="14" t="n"/>
      <c r="E60" s="15" t="n"/>
      <c r="F60" s="15" t="n"/>
      <c r="G60" s="15">
        <f>F60-E60</f>
        <v/>
      </c>
      <c r="H60" s="22">
        <f>IF(E60="","",(F60-E60)/E60)</f>
        <v/>
      </c>
      <c r="I60" s="15" t="n"/>
      <c r="J60" s="22" t="n"/>
      <c r="K60" s="14" t="n"/>
    </row>
    <row r="61" ht="22" customHeight="1">
      <c r="B61" s="16">
        <f>IF(C61="","SIM-"&amp;TEXT(COUNTA($C$5:C61),"000"))</f>
        <v/>
      </c>
      <c r="C61" s="12" t="n"/>
      <c r="D61" s="12" t="n"/>
      <c r="E61" s="13" t="n"/>
      <c r="F61" s="13" t="n"/>
      <c r="G61" s="13">
        <f>F61-E61</f>
        <v/>
      </c>
      <c r="H61" s="21">
        <f>IF(E61="","",(F61-E61)/E61)</f>
        <v/>
      </c>
      <c r="I61" s="13" t="n"/>
      <c r="J61" s="21" t="n"/>
      <c r="K61" s="12" t="n"/>
    </row>
    <row r="62" ht="22" customHeight="1">
      <c r="B62" s="17">
        <f>IF(C62="","SIM-"&amp;TEXT(COUNTA($C$5:C62),"000"))</f>
        <v/>
      </c>
      <c r="C62" s="14" t="n"/>
      <c r="D62" s="14" t="n"/>
      <c r="E62" s="15" t="n"/>
      <c r="F62" s="15" t="n"/>
      <c r="G62" s="15">
        <f>F62-E62</f>
        <v/>
      </c>
      <c r="H62" s="22">
        <f>IF(E62="","",(F62-E62)/E62)</f>
        <v/>
      </c>
      <c r="I62" s="15" t="n"/>
      <c r="J62" s="22" t="n"/>
      <c r="K62" s="14" t="n"/>
    </row>
    <row r="63" ht="22" customHeight="1">
      <c r="B63" s="16">
        <f>IF(C63="","SIM-"&amp;TEXT(COUNTA($C$5:C63),"000"))</f>
        <v/>
      </c>
      <c r="C63" s="12" t="n"/>
      <c r="D63" s="12" t="n"/>
      <c r="E63" s="13" t="n"/>
      <c r="F63" s="13" t="n"/>
      <c r="G63" s="13">
        <f>F63-E63</f>
        <v/>
      </c>
      <c r="H63" s="21">
        <f>IF(E63="","",(F63-E63)/E63)</f>
        <v/>
      </c>
      <c r="I63" s="13" t="n"/>
      <c r="J63" s="21" t="n"/>
      <c r="K63" s="12" t="n"/>
    </row>
    <row r="64" ht="22" customHeight="1">
      <c r="B64" s="17">
        <f>IF(C64="","SIM-"&amp;TEXT(COUNTA($C$5:C64),"000"))</f>
        <v/>
      </c>
      <c r="C64" s="14" t="n"/>
      <c r="D64" s="14" t="n"/>
      <c r="E64" s="15" t="n"/>
      <c r="F64" s="15" t="n"/>
      <c r="G64" s="15">
        <f>F64-E64</f>
        <v/>
      </c>
      <c r="H64" s="22">
        <f>IF(E64="","",(F64-E64)/E64)</f>
        <v/>
      </c>
      <c r="I64" s="15" t="n"/>
      <c r="J64" s="22" t="n"/>
      <c r="K64" s="14" t="n"/>
    </row>
    <row r="65" ht="22" customHeight="1">
      <c r="B65" s="16">
        <f>IF(C65="","SIM-"&amp;TEXT(COUNTA($C$5:C65),"000"))</f>
        <v/>
      </c>
      <c r="C65" s="12" t="n"/>
      <c r="D65" s="12" t="n"/>
      <c r="E65" s="13" t="n"/>
      <c r="F65" s="13" t="n"/>
      <c r="G65" s="13">
        <f>F65-E65</f>
        <v/>
      </c>
      <c r="H65" s="21">
        <f>IF(E65="","",(F65-E65)/E65)</f>
        <v/>
      </c>
      <c r="I65" s="13" t="n"/>
      <c r="J65" s="21" t="n"/>
      <c r="K65" s="12" t="n"/>
    </row>
    <row r="66" ht="22" customHeight="1">
      <c r="B66" s="17">
        <f>IF(C66="","SIM-"&amp;TEXT(COUNTA($C$5:C66),"000"))</f>
        <v/>
      </c>
      <c r="C66" s="14" t="n"/>
      <c r="D66" s="14" t="n"/>
      <c r="E66" s="15" t="n"/>
      <c r="F66" s="15" t="n"/>
      <c r="G66" s="15">
        <f>F66-E66</f>
        <v/>
      </c>
      <c r="H66" s="22">
        <f>IF(E66="","",(F66-E66)/E66)</f>
        <v/>
      </c>
      <c r="I66" s="15" t="n"/>
      <c r="J66" s="22" t="n"/>
      <c r="K66" s="14" t="n"/>
    </row>
    <row r="67" ht="22" customHeight="1">
      <c r="B67" s="16">
        <f>IF(C67="","SIM-"&amp;TEXT(COUNTA($C$5:C67),"000"))</f>
        <v/>
      </c>
      <c r="C67" s="12" t="n"/>
      <c r="D67" s="12" t="n"/>
      <c r="E67" s="13" t="n"/>
      <c r="F67" s="13" t="n"/>
      <c r="G67" s="13">
        <f>F67-E67</f>
        <v/>
      </c>
      <c r="H67" s="21">
        <f>IF(E67="","",(F67-E67)/E67)</f>
        <v/>
      </c>
      <c r="I67" s="13" t="n"/>
      <c r="J67" s="21" t="n"/>
      <c r="K67" s="12" t="n"/>
    </row>
    <row r="68" ht="22" customHeight="1">
      <c r="B68" s="17">
        <f>IF(C68="","SIM-"&amp;TEXT(COUNTA($C$5:C68),"000"))</f>
        <v/>
      </c>
      <c r="C68" s="14" t="n"/>
      <c r="D68" s="14" t="n"/>
      <c r="E68" s="15" t="n"/>
      <c r="F68" s="15" t="n"/>
      <c r="G68" s="15">
        <f>F68-E68</f>
        <v/>
      </c>
      <c r="H68" s="22">
        <f>IF(E68="","",(F68-E68)/E68)</f>
        <v/>
      </c>
      <c r="I68" s="15" t="n"/>
      <c r="J68" s="22" t="n"/>
      <c r="K68" s="14" t="n"/>
    </row>
    <row r="69" ht="22" customHeight="1">
      <c r="B69" s="16">
        <f>IF(C69="","SIM-"&amp;TEXT(COUNTA($C$5:C69),"000"))</f>
        <v/>
      </c>
      <c r="C69" s="12" t="n"/>
      <c r="D69" s="12" t="n"/>
      <c r="E69" s="13" t="n"/>
      <c r="F69" s="13" t="n"/>
      <c r="G69" s="13">
        <f>F69-E69</f>
        <v/>
      </c>
      <c r="H69" s="21">
        <f>IF(E69="","",(F69-E69)/E69)</f>
        <v/>
      </c>
      <c r="I69" s="13" t="n"/>
      <c r="J69" s="21" t="n"/>
      <c r="K69" s="12" t="n"/>
    </row>
    <row r="70" ht="22" customHeight="1">
      <c r="B70" s="17">
        <f>IF(C70="","SIM-"&amp;TEXT(COUNTA($C$5:C70),"000"))</f>
        <v/>
      </c>
      <c r="C70" s="14" t="n"/>
      <c r="D70" s="14" t="n"/>
      <c r="E70" s="15" t="n"/>
      <c r="F70" s="15" t="n"/>
      <c r="G70" s="15">
        <f>F70-E70</f>
        <v/>
      </c>
      <c r="H70" s="22">
        <f>IF(E70="","",(F70-E70)/E70)</f>
        <v/>
      </c>
      <c r="I70" s="15" t="n"/>
      <c r="J70" s="22" t="n"/>
      <c r="K70" s="14" t="n"/>
    </row>
    <row r="71" ht="22" customHeight="1">
      <c r="B71" s="16">
        <f>IF(C71="","SIM-"&amp;TEXT(COUNTA($C$5:C71),"000"))</f>
        <v/>
      </c>
      <c r="C71" s="12" t="n"/>
      <c r="D71" s="12" t="n"/>
      <c r="E71" s="13" t="n"/>
      <c r="F71" s="13" t="n"/>
      <c r="G71" s="13">
        <f>F71-E71</f>
        <v/>
      </c>
      <c r="H71" s="21">
        <f>IF(E71="","",(F71-E71)/E71)</f>
        <v/>
      </c>
      <c r="I71" s="13" t="n"/>
      <c r="J71" s="21" t="n"/>
      <c r="K71" s="12" t="n"/>
    </row>
    <row r="72" ht="22" customHeight="1">
      <c r="B72" s="17">
        <f>IF(C72="","SIM-"&amp;TEXT(COUNTA($C$5:C72),"000"))</f>
        <v/>
      </c>
      <c r="C72" s="14" t="n"/>
      <c r="D72" s="14" t="n"/>
      <c r="E72" s="15" t="n"/>
      <c r="F72" s="15" t="n"/>
      <c r="G72" s="15">
        <f>F72-E72</f>
        <v/>
      </c>
      <c r="H72" s="22">
        <f>IF(E72="","",(F72-E72)/E72)</f>
        <v/>
      </c>
      <c r="I72" s="15" t="n"/>
      <c r="J72" s="22" t="n"/>
      <c r="K72" s="14" t="n"/>
    </row>
    <row r="73" ht="22" customHeight="1">
      <c r="B73" s="16">
        <f>IF(C73="","SIM-"&amp;TEXT(COUNTA($C$5:C73),"000"))</f>
        <v/>
      </c>
      <c r="C73" s="12" t="n"/>
      <c r="D73" s="12" t="n"/>
      <c r="E73" s="13" t="n"/>
      <c r="F73" s="13" t="n"/>
      <c r="G73" s="13">
        <f>F73-E73</f>
        <v/>
      </c>
      <c r="H73" s="21">
        <f>IF(E73="","",(F73-E73)/E73)</f>
        <v/>
      </c>
      <c r="I73" s="13" t="n"/>
      <c r="J73" s="21" t="n"/>
      <c r="K73" s="12" t="n"/>
    </row>
    <row r="74" ht="22" customHeight="1">
      <c r="B74" s="17">
        <f>IF(C74="","SIM-"&amp;TEXT(COUNTA($C$5:C74),"000"))</f>
        <v/>
      </c>
      <c r="C74" s="14" t="n"/>
      <c r="D74" s="14" t="n"/>
      <c r="E74" s="15" t="n"/>
      <c r="F74" s="15" t="n"/>
      <c r="G74" s="15">
        <f>F74-E74</f>
        <v/>
      </c>
      <c r="H74" s="22">
        <f>IF(E74="","",(F74-E74)/E74)</f>
        <v/>
      </c>
      <c r="I74" s="15" t="n"/>
      <c r="J74" s="22" t="n"/>
      <c r="K74" s="14" t="n"/>
    </row>
    <row r="75" ht="22" customHeight="1">
      <c r="B75" s="16">
        <f>IF(C75="","SIM-"&amp;TEXT(COUNTA($C$5:C75),"000"))</f>
        <v/>
      </c>
      <c r="C75" s="12" t="n"/>
      <c r="D75" s="12" t="n"/>
      <c r="E75" s="13" t="n"/>
      <c r="F75" s="13" t="n"/>
      <c r="G75" s="13">
        <f>F75-E75</f>
        <v/>
      </c>
      <c r="H75" s="21">
        <f>IF(E75="","",(F75-E75)/E75)</f>
        <v/>
      </c>
      <c r="I75" s="13" t="n"/>
      <c r="J75" s="21" t="n"/>
      <c r="K75" s="12" t="n"/>
    </row>
    <row r="76" ht="22" customHeight="1">
      <c r="B76" s="17">
        <f>IF(C76="","SIM-"&amp;TEXT(COUNTA($C$5:C76),"000"))</f>
        <v/>
      </c>
      <c r="C76" s="14" t="n"/>
      <c r="D76" s="14" t="n"/>
      <c r="E76" s="15" t="n"/>
      <c r="F76" s="15" t="n"/>
      <c r="G76" s="15">
        <f>F76-E76</f>
        <v/>
      </c>
      <c r="H76" s="22">
        <f>IF(E76="","",(F76-E76)/E76)</f>
        <v/>
      </c>
      <c r="I76" s="15" t="n"/>
      <c r="J76" s="22" t="n"/>
      <c r="K76" s="14" t="n"/>
    </row>
    <row r="77" ht="22" customHeight="1">
      <c r="B77" s="16">
        <f>IF(C77="","SIM-"&amp;TEXT(COUNTA($C$5:C77),"000"))</f>
        <v/>
      </c>
      <c r="C77" s="12" t="n"/>
      <c r="D77" s="12" t="n"/>
      <c r="E77" s="13" t="n"/>
      <c r="F77" s="13" t="n"/>
      <c r="G77" s="13">
        <f>F77-E77</f>
        <v/>
      </c>
      <c r="H77" s="21">
        <f>IF(E77="","",(F77-E77)/E77)</f>
        <v/>
      </c>
      <c r="I77" s="13" t="n"/>
      <c r="J77" s="21" t="n"/>
      <c r="K77" s="12" t="n"/>
    </row>
    <row r="78" ht="22" customHeight="1">
      <c r="B78" s="17">
        <f>IF(C78="","SIM-"&amp;TEXT(COUNTA($C$5:C78),"000"))</f>
        <v/>
      </c>
      <c r="C78" s="14" t="n"/>
      <c r="D78" s="14" t="n"/>
      <c r="E78" s="15" t="n"/>
      <c r="F78" s="15" t="n"/>
      <c r="G78" s="15">
        <f>F78-E78</f>
        <v/>
      </c>
      <c r="H78" s="22">
        <f>IF(E78="","",(F78-E78)/E78)</f>
        <v/>
      </c>
      <c r="I78" s="15" t="n"/>
      <c r="J78" s="22" t="n"/>
      <c r="K78" s="14" t="n"/>
    </row>
    <row r="79" ht="22" customHeight="1">
      <c r="B79" s="16">
        <f>IF(C79="","SIM-"&amp;TEXT(COUNTA($C$5:C79),"000"))</f>
        <v/>
      </c>
      <c r="C79" s="12" t="n"/>
      <c r="D79" s="12" t="n"/>
      <c r="E79" s="13" t="n"/>
      <c r="F79" s="13" t="n"/>
      <c r="G79" s="13">
        <f>F79-E79</f>
        <v/>
      </c>
      <c r="H79" s="21">
        <f>IF(E79="","",(F79-E79)/E79)</f>
        <v/>
      </c>
      <c r="I79" s="13" t="n"/>
      <c r="J79" s="21" t="n"/>
      <c r="K79" s="12" t="n"/>
    </row>
    <row r="80" ht="22" customHeight="1">
      <c r="B80" s="17">
        <f>IF(C80="","SIM-"&amp;TEXT(COUNTA($C$5:C80),"000"))</f>
        <v/>
      </c>
      <c r="C80" s="14" t="n"/>
      <c r="D80" s="14" t="n"/>
      <c r="E80" s="15" t="n"/>
      <c r="F80" s="15" t="n"/>
      <c r="G80" s="15">
        <f>F80-E80</f>
        <v/>
      </c>
      <c r="H80" s="22">
        <f>IF(E80="","",(F80-E80)/E80)</f>
        <v/>
      </c>
      <c r="I80" s="15" t="n"/>
      <c r="J80" s="22" t="n"/>
      <c r="K80" s="14" t="n"/>
    </row>
    <row r="81" ht="22" customHeight="1">
      <c r="B81" s="16">
        <f>IF(C81="","SIM-"&amp;TEXT(COUNTA($C$5:C81),"000"))</f>
        <v/>
      </c>
      <c r="C81" s="12" t="n"/>
      <c r="D81" s="12" t="n"/>
      <c r="E81" s="13" t="n"/>
      <c r="F81" s="13" t="n"/>
      <c r="G81" s="13">
        <f>F81-E81</f>
        <v/>
      </c>
      <c r="H81" s="21">
        <f>IF(E81="","",(F81-E81)/E81)</f>
        <v/>
      </c>
      <c r="I81" s="13" t="n"/>
      <c r="J81" s="21" t="n"/>
      <c r="K81" s="12" t="n"/>
    </row>
    <row r="82" ht="22" customHeight="1">
      <c r="B82" s="17">
        <f>IF(C82="","SIM-"&amp;TEXT(COUNTA($C$5:C82),"000"))</f>
        <v/>
      </c>
      <c r="C82" s="14" t="n"/>
      <c r="D82" s="14" t="n"/>
      <c r="E82" s="15" t="n"/>
      <c r="F82" s="15" t="n"/>
      <c r="G82" s="15">
        <f>F82-E82</f>
        <v/>
      </c>
      <c r="H82" s="22">
        <f>IF(E82="","",(F82-E82)/E82)</f>
        <v/>
      </c>
      <c r="I82" s="15" t="n"/>
      <c r="J82" s="22" t="n"/>
      <c r="K82" s="14" t="n"/>
    </row>
    <row r="83" ht="22" customHeight="1">
      <c r="B83" s="16">
        <f>IF(C83="","SIM-"&amp;TEXT(COUNTA($C$5:C83),"000"))</f>
        <v/>
      </c>
      <c r="C83" s="12" t="n"/>
      <c r="D83" s="12" t="n"/>
      <c r="E83" s="13" t="n"/>
      <c r="F83" s="13" t="n"/>
      <c r="G83" s="13">
        <f>F83-E83</f>
        <v/>
      </c>
      <c r="H83" s="21">
        <f>IF(E83="","",(F83-E83)/E83)</f>
        <v/>
      </c>
      <c r="I83" s="13" t="n"/>
      <c r="J83" s="21" t="n"/>
      <c r="K83" s="12" t="n"/>
    </row>
    <row r="84" ht="22" customHeight="1">
      <c r="B84" s="17">
        <f>IF(C84="","SIM-"&amp;TEXT(COUNTA($C$5:C84),"000"))</f>
        <v/>
      </c>
      <c r="C84" s="14" t="n"/>
      <c r="D84" s="14" t="n"/>
      <c r="E84" s="15" t="n"/>
      <c r="F84" s="15" t="n"/>
      <c r="G84" s="15">
        <f>F84-E84</f>
        <v/>
      </c>
      <c r="H84" s="22">
        <f>IF(E84="","",(F84-E84)/E84)</f>
        <v/>
      </c>
      <c r="I84" s="15" t="n"/>
      <c r="J84" s="22" t="n"/>
      <c r="K84" s="14" t="n"/>
    </row>
    <row r="85" ht="22" customHeight="1">
      <c r="B85" s="16">
        <f>IF(C85="","SIM-"&amp;TEXT(COUNTA($C$5:C85),"000"))</f>
        <v/>
      </c>
      <c r="C85" s="12" t="n"/>
      <c r="D85" s="12" t="n"/>
      <c r="E85" s="13" t="n"/>
      <c r="F85" s="13" t="n"/>
      <c r="G85" s="13">
        <f>F85-E85</f>
        <v/>
      </c>
      <c r="H85" s="21">
        <f>IF(E85="","",(F85-E85)/E85)</f>
        <v/>
      </c>
      <c r="I85" s="13" t="n"/>
      <c r="J85" s="21" t="n"/>
      <c r="K85" s="12" t="n"/>
    </row>
    <row r="86" ht="22" customHeight="1">
      <c r="B86" s="17">
        <f>IF(C86="","SIM-"&amp;TEXT(COUNTA($C$5:C86),"000"))</f>
        <v/>
      </c>
      <c r="C86" s="14" t="n"/>
      <c r="D86" s="14" t="n"/>
      <c r="E86" s="15" t="n"/>
      <c r="F86" s="15" t="n"/>
      <c r="G86" s="15">
        <f>F86-E86</f>
        <v/>
      </c>
      <c r="H86" s="22">
        <f>IF(E86="","",(F86-E86)/E86)</f>
        <v/>
      </c>
      <c r="I86" s="15" t="n"/>
      <c r="J86" s="22" t="n"/>
      <c r="K86" s="14" t="n"/>
    </row>
    <row r="87" ht="22" customHeight="1">
      <c r="B87" s="16">
        <f>IF(C87="","SIM-"&amp;TEXT(COUNTA($C$5:C87),"000"))</f>
        <v/>
      </c>
      <c r="C87" s="12" t="n"/>
      <c r="D87" s="12" t="n"/>
      <c r="E87" s="13" t="n"/>
      <c r="F87" s="13" t="n"/>
      <c r="G87" s="13">
        <f>F87-E87</f>
        <v/>
      </c>
      <c r="H87" s="21">
        <f>IF(E87="","",(F87-E87)/E87)</f>
        <v/>
      </c>
      <c r="I87" s="13" t="n"/>
      <c r="J87" s="21" t="n"/>
      <c r="K87" s="12" t="n"/>
    </row>
    <row r="88" ht="22" customHeight="1">
      <c r="B88" s="17">
        <f>IF(C88="","SIM-"&amp;TEXT(COUNTA($C$5:C88),"000"))</f>
        <v/>
      </c>
      <c r="C88" s="14" t="n"/>
      <c r="D88" s="14" t="n"/>
      <c r="E88" s="15" t="n"/>
      <c r="F88" s="15" t="n"/>
      <c r="G88" s="15">
        <f>F88-E88</f>
        <v/>
      </c>
      <c r="H88" s="22">
        <f>IF(E88="","",(F88-E88)/E88)</f>
        <v/>
      </c>
      <c r="I88" s="15" t="n"/>
      <c r="J88" s="22" t="n"/>
      <c r="K88" s="14" t="n"/>
    </row>
    <row r="89" ht="22" customHeight="1">
      <c r="B89" s="16">
        <f>IF(C89="","SIM-"&amp;TEXT(COUNTA($C$5:C89),"000"))</f>
        <v/>
      </c>
      <c r="C89" s="12" t="n"/>
      <c r="D89" s="12" t="n"/>
      <c r="E89" s="13" t="n"/>
      <c r="F89" s="13" t="n"/>
      <c r="G89" s="13">
        <f>F89-E89</f>
        <v/>
      </c>
      <c r="H89" s="21">
        <f>IF(E89="","",(F89-E89)/E89)</f>
        <v/>
      </c>
      <c r="I89" s="13" t="n"/>
      <c r="J89" s="21" t="n"/>
      <c r="K89" s="12" t="n"/>
    </row>
    <row r="90" ht="22" customHeight="1">
      <c r="B90" s="17">
        <f>IF(C90="","SIM-"&amp;TEXT(COUNTA($C$5:C90),"000"))</f>
        <v/>
      </c>
      <c r="C90" s="14" t="n"/>
      <c r="D90" s="14" t="n"/>
      <c r="E90" s="15" t="n"/>
      <c r="F90" s="15" t="n"/>
      <c r="G90" s="15">
        <f>F90-E90</f>
        <v/>
      </c>
      <c r="H90" s="22">
        <f>IF(E90="","",(F90-E90)/E90)</f>
        <v/>
      </c>
      <c r="I90" s="15" t="n"/>
      <c r="J90" s="22" t="n"/>
      <c r="K90" s="14" t="n"/>
    </row>
    <row r="91" ht="22" customHeight="1">
      <c r="B91" s="16">
        <f>IF(C91="","SIM-"&amp;TEXT(COUNTA($C$5:C91),"000"))</f>
        <v/>
      </c>
      <c r="C91" s="12" t="n"/>
      <c r="D91" s="12" t="n"/>
      <c r="E91" s="13" t="n"/>
      <c r="F91" s="13" t="n"/>
      <c r="G91" s="13">
        <f>F91-E91</f>
        <v/>
      </c>
      <c r="H91" s="21">
        <f>IF(E91="","",(F91-E91)/E91)</f>
        <v/>
      </c>
      <c r="I91" s="13" t="n"/>
      <c r="J91" s="21" t="n"/>
      <c r="K91" s="12" t="n"/>
    </row>
    <row r="92" ht="22" customHeight="1">
      <c r="B92" s="17">
        <f>IF(C92="","SIM-"&amp;TEXT(COUNTA($C$5:C92),"000"))</f>
        <v/>
      </c>
      <c r="C92" s="14" t="n"/>
      <c r="D92" s="14" t="n"/>
      <c r="E92" s="15" t="n"/>
      <c r="F92" s="15" t="n"/>
      <c r="G92" s="15">
        <f>F92-E92</f>
        <v/>
      </c>
      <c r="H92" s="22">
        <f>IF(E92="","",(F92-E92)/E92)</f>
        <v/>
      </c>
      <c r="I92" s="15" t="n"/>
      <c r="J92" s="22" t="n"/>
      <c r="K92" s="14" t="n"/>
    </row>
    <row r="93" ht="22" customHeight="1">
      <c r="B93" s="16">
        <f>IF(C93="","SIM-"&amp;TEXT(COUNTA($C$5:C93),"000"))</f>
        <v/>
      </c>
      <c r="C93" s="12" t="n"/>
      <c r="D93" s="12" t="n"/>
      <c r="E93" s="13" t="n"/>
      <c r="F93" s="13" t="n"/>
      <c r="G93" s="13">
        <f>F93-E93</f>
        <v/>
      </c>
      <c r="H93" s="21">
        <f>IF(E93="","",(F93-E93)/E93)</f>
        <v/>
      </c>
      <c r="I93" s="13" t="n"/>
      <c r="J93" s="21" t="n"/>
      <c r="K93" s="12" t="n"/>
    </row>
    <row r="94" ht="22" customHeight="1">
      <c r="B94" s="17">
        <f>IF(C94="","SIM-"&amp;TEXT(COUNTA($C$5:C94),"000"))</f>
        <v/>
      </c>
      <c r="C94" s="14" t="n"/>
      <c r="D94" s="14" t="n"/>
      <c r="E94" s="15" t="n"/>
      <c r="F94" s="15" t="n"/>
      <c r="G94" s="15">
        <f>F94-E94</f>
        <v/>
      </c>
      <c r="H94" s="22">
        <f>IF(E94="","",(F94-E94)/E94)</f>
        <v/>
      </c>
      <c r="I94" s="15" t="n"/>
      <c r="J94" s="22" t="n"/>
      <c r="K94" s="14" t="n"/>
    </row>
    <row r="95" ht="22" customHeight="1">
      <c r="B95" s="16">
        <f>IF(C95="","SIM-"&amp;TEXT(COUNTA($C$5:C95),"000"))</f>
        <v/>
      </c>
      <c r="C95" s="12" t="n"/>
      <c r="D95" s="12" t="n"/>
      <c r="E95" s="13" t="n"/>
      <c r="F95" s="13" t="n"/>
      <c r="G95" s="13">
        <f>F95-E95</f>
        <v/>
      </c>
      <c r="H95" s="21">
        <f>IF(E95="","",(F95-E95)/E95)</f>
        <v/>
      </c>
      <c r="I95" s="13" t="n"/>
      <c r="J95" s="21" t="n"/>
      <c r="K95" s="12" t="n"/>
    </row>
    <row r="96" ht="22" customHeight="1">
      <c r="B96" s="17">
        <f>IF(C96="","SIM-"&amp;TEXT(COUNTA($C$5:C96),"000"))</f>
        <v/>
      </c>
      <c r="C96" s="14" t="n"/>
      <c r="D96" s="14" t="n"/>
      <c r="E96" s="15" t="n"/>
      <c r="F96" s="15" t="n"/>
      <c r="G96" s="15">
        <f>F96-E96</f>
        <v/>
      </c>
      <c r="H96" s="22">
        <f>IF(E96="","",(F96-E96)/E96)</f>
        <v/>
      </c>
      <c r="I96" s="15" t="n"/>
      <c r="J96" s="22" t="n"/>
      <c r="K96" s="14" t="n"/>
    </row>
    <row r="97" ht="22" customHeight="1">
      <c r="B97" s="16">
        <f>IF(C97="","SIM-"&amp;TEXT(COUNTA($C$5:C97),"000"))</f>
        <v/>
      </c>
      <c r="C97" s="12" t="n"/>
      <c r="D97" s="12" t="n"/>
      <c r="E97" s="13" t="n"/>
      <c r="F97" s="13" t="n"/>
      <c r="G97" s="13">
        <f>F97-E97</f>
        <v/>
      </c>
      <c r="H97" s="21">
        <f>IF(E97="","",(F97-E97)/E97)</f>
        <v/>
      </c>
      <c r="I97" s="13" t="n"/>
      <c r="J97" s="21" t="n"/>
      <c r="K97" s="12" t="n"/>
    </row>
    <row r="98" ht="22" customHeight="1">
      <c r="B98" s="17">
        <f>IF(C98="","SIM-"&amp;TEXT(COUNTA($C$5:C98),"000"))</f>
        <v/>
      </c>
      <c r="C98" s="14" t="n"/>
      <c r="D98" s="14" t="n"/>
      <c r="E98" s="15" t="n"/>
      <c r="F98" s="15" t="n"/>
      <c r="G98" s="15">
        <f>F98-E98</f>
        <v/>
      </c>
      <c r="H98" s="22">
        <f>IF(E98="","",(F98-E98)/E98)</f>
        <v/>
      </c>
      <c r="I98" s="15" t="n"/>
      <c r="J98" s="22" t="n"/>
      <c r="K98" s="14" t="n"/>
    </row>
    <row r="99" ht="22" customHeight="1">
      <c r="B99" s="16">
        <f>IF(C99="","SIM-"&amp;TEXT(COUNTA($C$5:C99),"000"))</f>
        <v/>
      </c>
      <c r="C99" s="12" t="n"/>
      <c r="D99" s="12" t="n"/>
      <c r="E99" s="13" t="n"/>
      <c r="F99" s="13" t="n"/>
      <c r="G99" s="13">
        <f>F99-E99</f>
        <v/>
      </c>
      <c r="H99" s="21">
        <f>IF(E99="","",(F99-E99)/E99)</f>
        <v/>
      </c>
      <c r="I99" s="13" t="n"/>
      <c r="J99" s="21" t="n"/>
      <c r="K99" s="12" t="n"/>
    </row>
    <row r="100" ht="22" customHeight="1">
      <c r="B100" s="17">
        <f>IF(C100="","SIM-"&amp;TEXT(COUNTA($C$5:C100),"000"))</f>
        <v/>
      </c>
      <c r="C100" s="14" t="n"/>
      <c r="D100" s="14" t="n"/>
      <c r="E100" s="15" t="n"/>
      <c r="F100" s="15" t="n"/>
      <c r="G100" s="15">
        <f>F100-E100</f>
        <v/>
      </c>
      <c r="H100" s="22">
        <f>IF(E100="","",(F100-E100)/E100)</f>
        <v/>
      </c>
      <c r="I100" s="15" t="n"/>
      <c r="J100" s="22" t="n"/>
      <c r="K100" s="14" t="n"/>
    </row>
    <row r="101" ht="22" customHeight="1">
      <c r="B101" s="16">
        <f>IF(C101="","SIM-"&amp;TEXT(COUNTA($C$5:C101),"000"))</f>
        <v/>
      </c>
      <c r="C101" s="12" t="n"/>
      <c r="D101" s="12" t="n"/>
      <c r="E101" s="13" t="n"/>
      <c r="F101" s="13" t="n"/>
      <c r="G101" s="13">
        <f>F101-E101</f>
        <v/>
      </c>
      <c r="H101" s="21">
        <f>IF(E101="","",(F101-E101)/E101)</f>
        <v/>
      </c>
      <c r="I101" s="13" t="n"/>
      <c r="J101" s="21" t="n"/>
      <c r="K101" s="12" t="n"/>
    </row>
    <row r="102" ht="22" customHeight="1">
      <c r="B102" s="17">
        <f>IF(C102="","SIM-"&amp;TEXT(COUNTA($C$5:C102),"000"))</f>
        <v/>
      </c>
      <c r="C102" s="14" t="n"/>
      <c r="D102" s="14" t="n"/>
      <c r="E102" s="15" t="n"/>
      <c r="F102" s="15" t="n"/>
      <c r="G102" s="15">
        <f>F102-E102</f>
        <v/>
      </c>
      <c r="H102" s="22">
        <f>IF(E102="","",(F102-E102)/E102)</f>
        <v/>
      </c>
      <c r="I102" s="15" t="n"/>
      <c r="J102" s="22" t="n"/>
      <c r="K102" s="14" t="n"/>
    </row>
    <row r="103" ht="22" customHeight="1">
      <c r="B103" s="16">
        <f>IF(C103="","SIM-"&amp;TEXT(COUNTA($C$5:C103),"000"))</f>
        <v/>
      </c>
      <c r="C103" s="12" t="n"/>
      <c r="D103" s="12" t="n"/>
      <c r="E103" s="13" t="n"/>
      <c r="F103" s="13" t="n"/>
      <c r="G103" s="13">
        <f>F103-E103</f>
        <v/>
      </c>
      <c r="H103" s="21">
        <f>IF(E103="","",(F103-E103)/E103)</f>
        <v/>
      </c>
      <c r="I103" s="13" t="n"/>
      <c r="J103" s="21" t="n"/>
      <c r="K103" s="12" t="n"/>
    </row>
    <row r="104" ht="22" customHeight="1">
      <c r="B104" s="17">
        <f>IF(C104="","SIM-"&amp;TEXT(COUNTA($C$5:C104),"000"))</f>
        <v/>
      </c>
      <c r="C104" s="14" t="n"/>
      <c r="D104" s="14" t="n"/>
      <c r="E104" s="15" t="n"/>
      <c r="F104" s="15" t="n"/>
      <c r="G104" s="15">
        <f>F104-E104</f>
        <v/>
      </c>
      <c r="H104" s="22">
        <f>IF(E104="","",(F104-E104)/E104)</f>
        <v/>
      </c>
      <c r="I104" s="15" t="n"/>
      <c r="J104" s="22" t="n"/>
      <c r="K104" s="14" t="n"/>
    </row>
    <row r="105" ht="22" customHeight="1">
      <c r="B105" s="16">
        <f>IF(C105="","SIM-"&amp;TEXT(COUNTA($C$5:C105),"000"))</f>
        <v/>
      </c>
      <c r="C105" s="12" t="n"/>
      <c r="D105" s="12" t="n"/>
      <c r="E105" s="13" t="n"/>
      <c r="F105" s="13" t="n"/>
      <c r="G105" s="13">
        <f>F105-E105</f>
        <v/>
      </c>
      <c r="H105" s="21">
        <f>IF(E105="","",(F105-E105)/E105)</f>
        <v/>
      </c>
      <c r="I105" s="13" t="n"/>
      <c r="J105" s="21" t="n"/>
      <c r="K105" s="12" t="n"/>
    </row>
    <row r="106" ht="22" customHeight="1">
      <c r="B106" s="17">
        <f>IF(C106="","SIM-"&amp;TEXT(COUNTA($C$5:C106),"000"))</f>
        <v/>
      </c>
      <c r="C106" s="14" t="n"/>
      <c r="D106" s="14" t="n"/>
      <c r="E106" s="15" t="n"/>
      <c r="F106" s="15" t="n"/>
      <c r="G106" s="15">
        <f>F106-E106</f>
        <v/>
      </c>
      <c r="H106" s="22">
        <f>IF(E106="","",(F106-E106)/E106)</f>
        <v/>
      </c>
      <c r="I106" s="15" t="n"/>
      <c r="J106" s="22" t="n"/>
      <c r="K106" s="14" t="n"/>
    </row>
    <row r="107" ht="22" customHeight="1">
      <c r="B107" s="16">
        <f>IF(C107="","SIM-"&amp;TEXT(COUNTA($C$5:C107),"000"))</f>
        <v/>
      </c>
      <c r="C107" s="12" t="n"/>
      <c r="D107" s="12" t="n"/>
      <c r="E107" s="13" t="n"/>
      <c r="F107" s="13" t="n"/>
      <c r="G107" s="13">
        <f>F107-E107</f>
        <v/>
      </c>
      <c r="H107" s="21">
        <f>IF(E107="","",(F107-E107)/E107)</f>
        <v/>
      </c>
      <c r="I107" s="13" t="n"/>
      <c r="J107" s="21" t="n"/>
      <c r="K107" s="12" t="n"/>
    </row>
    <row r="108" ht="22" customHeight="1">
      <c r="B108" s="17">
        <f>IF(C108="","SIM-"&amp;TEXT(COUNTA($C$5:C108),"000"))</f>
        <v/>
      </c>
      <c r="C108" s="14" t="n"/>
      <c r="D108" s="14" t="n"/>
      <c r="E108" s="15" t="n"/>
      <c r="F108" s="15" t="n"/>
      <c r="G108" s="15">
        <f>F108-E108</f>
        <v/>
      </c>
      <c r="H108" s="22">
        <f>IF(E108="","",(F108-E108)/E108)</f>
        <v/>
      </c>
      <c r="I108" s="15" t="n"/>
      <c r="J108" s="22" t="n"/>
      <c r="K108" s="14" t="n"/>
    </row>
    <row r="109" ht="22" customHeight="1">
      <c r="B109" s="16">
        <f>IF(C109="","SIM-"&amp;TEXT(COUNTA($C$5:C109),"000"))</f>
        <v/>
      </c>
      <c r="C109" s="12" t="n"/>
      <c r="D109" s="12" t="n"/>
      <c r="E109" s="13" t="n"/>
      <c r="F109" s="13" t="n"/>
      <c r="G109" s="13">
        <f>F109-E109</f>
        <v/>
      </c>
      <c r="H109" s="21">
        <f>IF(E109="","",(F109-E109)/E109)</f>
        <v/>
      </c>
      <c r="I109" s="13" t="n"/>
      <c r="J109" s="21" t="n"/>
      <c r="K109" s="12" t="n"/>
    </row>
    <row r="110" ht="22" customHeight="1">
      <c r="B110" s="17">
        <f>IF(C110="","SIM-"&amp;TEXT(COUNTA($C$5:C110),"000"))</f>
        <v/>
      </c>
      <c r="C110" s="14" t="n"/>
      <c r="D110" s="14" t="n"/>
      <c r="E110" s="15" t="n"/>
      <c r="F110" s="15" t="n"/>
      <c r="G110" s="15">
        <f>F110-E110</f>
        <v/>
      </c>
      <c r="H110" s="22">
        <f>IF(E110="","",(F110-E110)/E110)</f>
        <v/>
      </c>
      <c r="I110" s="15" t="n"/>
      <c r="J110" s="22" t="n"/>
      <c r="K110" s="14" t="n"/>
    </row>
    <row r="112" ht="26" customHeight="1">
      <c r="B112" s="18" t="inlineStr">
        <is>
          <t>TOTAL</t>
        </is>
      </c>
      <c r="C112" s="19" t="n"/>
      <c r="D112" s="19" t="n"/>
      <c r="E112" s="20">
        <f>SUM(E5:E104)</f>
        <v/>
      </c>
      <c r="F112" s="20">
        <f>SUM(F5:F104)</f>
        <v/>
      </c>
      <c r="G112" s="20">
        <f>SUM(G5:G104)</f>
        <v/>
      </c>
      <c r="H112" s="19" t="n"/>
      <c r="I112" s="19" t="n"/>
      <c r="J112" s="19" t="n"/>
      <c r="K112" s="19" t="n"/>
    </row>
    <row r="114">
      <c r="B114" s="5" t="inlineStr">
        <is>
          <t>INDICATEURS (mis a jour automatiquement)</t>
        </is>
      </c>
    </row>
    <row r="115">
      <c r="B115" s="3" t="inlineStr">
        <is>
          <t>Simulations</t>
        </is>
      </c>
      <c r="D115" s="3" t="inlineStr">
        <is>
          <t>Variation totale</t>
        </is>
      </c>
    </row>
    <row r="116">
      <c r="B116" s="4">
        <f>COUNTIF(B5:B104,"&lt;&gt;")</f>
        <v/>
      </c>
      <c r="D116" s="4">
        <f>SUM(G5:G104)</f>
        <v/>
      </c>
    </row>
  </sheetData>
  <mergeCells count="3">
    <mergeCell ref="B114:K114"/>
    <mergeCell ref="B3:K3"/>
    <mergeCell ref="B2:K2"/>
  </mergeCells>
  <conditionalFormatting sqref="B11:B110">
    <cfRule type="expression" priority="1" dxfId="0">
      <formula>AND($C11="",$C10&lt;&gt;"")</formula>
    </cfRule>
  </conditionalFormatting>
  <conditionalFormatting sqref="C11:C110">
    <cfRule type="expression" priority="2" dxfId="0">
      <formula>AND($C11="",$C10&lt;&gt;"")</formula>
    </cfRule>
  </conditionalFormatting>
  <conditionalFormatting sqref="D11:D110">
    <cfRule type="expression" priority="3" dxfId="0">
      <formula>AND($C11="",$C10&lt;&gt;"")</formula>
    </cfRule>
  </conditionalFormatting>
  <conditionalFormatting sqref="E11:E110">
    <cfRule type="expression" priority="4" dxfId="0">
      <formula>AND($C11="",$C10&lt;&gt;"")</formula>
    </cfRule>
  </conditionalFormatting>
  <conditionalFormatting sqref="F11:F110">
    <cfRule type="expression" priority="5" dxfId="0">
      <formula>AND($C11="",$C10&lt;&gt;"")</formula>
    </cfRule>
  </conditionalFormatting>
  <conditionalFormatting sqref="G11:G110">
    <cfRule type="expression" priority="6" dxfId="0">
      <formula>AND($C11="",$C10&lt;&gt;"")</formula>
    </cfRule>
  </conditionalFormatting>
  <conditionalFormatting sqref="H11:H110">
    <cfRule type="expression" priority="7" dxfId="0">
      <formula>AND($C11="",$C10&lt;&gt;"")</formula>
    </cfRule>
  </conditionalFormatting>
  <conditionalFormatting sqref="I11:I110">
    <cfRule type="expression" priority="8" dxfId="0">
      <formula>AND($C11="",$C10&lt;&gt;"")</formula>
    </cfRule>
  </conditionalFormatting>
  <conditionalFormatting sqref="J11:J110">
    <cfRule type="expression" priority="9" dxfId="0">
      <formula>AND($C11="",$C10&lt;&gt;"")</formula>
    </cfRule>
  </conditionalFormatting>
  <conditionalFormatting sqref="K11:K110">
    <cfRule type="expression" priority="10" dxfId="0">
      <formula>AND($C11="",$C10&lt;&gt;"")</formula>
    </cfRule>
  </conditionalFormatting>
  <dataValidations count="3">
    <dataValidation sqref="C5:C110" showDropDown="0" showInputMessage="0" showErrorMessage="0" allowBlank="1" errorTitle="Erreur" error="Valeur invalide" promptTitle="Liste" prompt="Choisir dans la liste" type="list">
      <formula1>'_Lists'!$K$2:$K$10</formula1>
    </dataValidation>
    <dataValidation sqref="D5:D110" showDropDown="0" showInputMessage="0" showErrorMessage="0" allowBlank="1" errorTitle="Erreur" error="Valeur invalide" promptTitle="Liste" prompt="Choisir dans la liste" type="list">
      <formula1>'_Lists'!$B$2:$B$16</formula1>
    </dataValidation>
    <dataValidation sqref="K5:K110" showDropDown="0" showInputMessage="0" showErrorMessage="0" allowBlank="1" errorTitle="Erreur" error="Valeur invalide" promptTitle="Liste" prompt="Choisir dans la liste" type="list">
      <formula1>'_Lists'!$G$2:$G$7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2026-07-07T08:53:28Z</dcterms:created>
  <dcterms:modified xmlns:dcterms="http://purl.org/dc/terms/" xmlns:xsi="http://www.w3.org/2001/XMLSchema-instance" xsi:type="dcterms:W3CDTF">2026-07-09T18:10:56Z</dcterms:modified>
</cp:coreProperties>
</file>