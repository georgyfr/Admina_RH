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Tableau de Bord" sheetId="1" state="visible" r:id="rId1"/>
    <sheet xmlns:r="http://schemas.openxmlformats.org/officeDocument/2006/relationships" name="_Données Employés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TdB RH Global" sheetId="4" state="visible" r:id="rId4"/>
    <sheet xmlns:r="http://schemas.openxmlformats.org/officeDocument/2006/relationships" name="3-Rapports Mensuels RH" sheetId="5" state="visible" r:id="rId5"/>
    <sheet xmlns:r="http://schemas.openxmlformats.org/officeDocument/2006/relationships" name="4-KPI RH" sheetId="6" state="visible" r:id="rId6"/>
    <sheet xmlns:r="http://schemas.openxmlformats.org/officeDocument/2006/relationships" name="5-Budget RH Annuel" sheetId="7" state="visible" r:id="rId7"/>
    <sheet xmlns:r="http://schemas.openxmlformats.org/officeDocument/2006/relationships" name="6-Plan de Charge RH" sheetId="8" state="visible" r:id="rId8"/>
    <sheet xmlns:r="http://schemas.openxmlformats.org/officeDocument/2006/relationships" name="7-Reporting Direction Gen." sheetId="9" state="visible" r:id="rId9"/>
    <sheet xmlns:r="http://schemas.openxmlformats.org/officeDocument/2006/relationships" name="8-Benchmarking RH Hotelier" sheetId="10" state="visible" r:id="rId10"/>
    <sheet xmlns:r="http://schemas.openxmlformats.org/officeDocument/2006/relationships" name="9-Plans d'Action RH" sheetId="11" state="visible" r:id="rId11"/>
    <sheet xmlns:r="http://schemas.openxmlformats.org/officeDocument/2006/relationships" name="10-Bilan Social" sheetId="12" state="visible" r:id="rId12"/>
    <sheet xmlns:r="http://schemas.openxmlformats.org/officeDocument/2006/relationships" name="11-Feuille de Route Strat. RH" sheetId="13" state="visible" r:id="rId13"/>
    <sheet xmlns:r="http://schemas.openxmlformats.org/officeDocument/2006/relationships" name="12-Suivi KPI RH Mensuel" sheetId="14" state="visible" r:id="rId14"/>
    <sheet xmlns:r="http://schemas.openxmlformats.org/officeDocument/2006/relationships" name="13-Analyse Budget RH" sheetId="15" state="visible" r:id="rId15"/>
    <sheet xmlns:r="http://schemas.openxmlformats.org/officeDocument/2006/relationships" name="14-Suivi Plans d'Action" sheetId="16" state="visible" r:id="rId16"/>
    <sheet xmlns:r="http://schemas.openxmlformats.org/officeDocument/2006/relationships" name="15-Historique Bilans Sociaux" sheetId="17" state="visible" r:id="rId17"/>
    <sheet xmlns:r="http://schemas.openxmlformats.org/officeDocument/2006/relationships" name="16-Calendrier Reporting RH" sheetId="18" state="visible" r:id="rId18"/>
    <sheet xmlns:r="http://schemas.openxmlformats.org/officeDocument/2006/relationships" name="17-Matrice Indicateurs RH" sheetId="19" state="visible" r:id="rId19"/>
    <sheet xmlns:r="http://schemas.openxmlformats.org/officeDocument/2006/relationships" name="18-Suivi Objectifs Strategiques" sheetId="20" state="visible" r:id="rId20"/>
    <sheet xmlns:r="http://schemas.openxmlformats.org/officeDocument/2006/relationships" name="19-Analyse Benchmarking RH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+0.0%;-0.0%;0"/>
    <numFmt numFmtId="167" formatCode="DD/MM/YYYY"/>
    <numFmt numFmtId="168" formatCode="0.0"/>
    <numFmt numFmtId="169" formatCode="+0.0;-0.0;0"/>
    <numFmt numFmtId="170" formatCode="+0.00;-0.00;0"/>
  </numFmts>
  <fonts count="11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5" fontId="8" fillId="3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0" fontId="8" fillId="4" borderId="0" pivotButton="0" quotePrefix="0" xfId="0"/>
    <xf numFmtId="165" fontId="8" fillId="4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67" fontId="8" fillId="3" borderId="0" applyAlignment="1" pivotButton="0" quotePrefix="0" xfId="0">
      <alignment horizontal="center" vertical="center"/>
    </xf>
    <xf numFmtId="3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68" fontId="8" fillId="3" borderId="0" applyAlignment="1" pivotButton="0" quotePrefix="0" xfId="0">
      <alignment horizontal="right" vertical="center"/>
    </xf>
    <xf numFmtId="169" fontId="8" fillId="3" borderId="0" applyAlignment="1" pivotButton="0" quotePrefix="0" xfId="0">
      <alignment horizontal="right" vertical="center"/>
    </xf>
    <xf numFmtId="168" fontId="8" fillId="4" borderId="0" applyAlignment="1" pivotButton="0" quotePrefix="0" xfId="0">
      <alignment horizontal="right" vertical="center"/>
    </xf>
    <xf numFmtId="169" fontId="8" fillId="4" borderId="0" applyAlignment="1" pivotButton="0" quotePrefix="0" xfId="0">
      <alignment horizontal="right" vertical="center"/>
    </xf>
    <xf numFmtId="2" fontId="8" fillId="3" borderId="0" applyAlignment="1" pivotButton="0" quotePrefix="0" xfId="0">
      <alignment horizontal="right" vertical="center"/>
    </xf>
    <xf numFmtId="170" fontId="8" fillId="3" borderId="0" applyAlignment="1" pivotButton="0" quotePrefix="0" xfId="0">
      <alignment horizontal="right" vertical="center"/>
    </xf>
    <xf numFmtId="2" fontId="8" fillId="4" borderId="0" applyAlignment="1" pivotButton="0" quotePrefix="0" xfId="0">
      <alignment horizontal="right" vertical="center"/>
    </xf>
    <xf numFmtId="170" fontId="8" fillId="4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center" vertical="center"/>
    </xf>
    <xf numFmtId="167" fontId="8" fillId="4" borderId="0" applyAlignment="1" pivotButton="0" quotePrefix="0" xfId="0">
      <alignment horizontal="center" vertical="center"/>
    </xf>
    <xf numFmtId="168" fontId="8" fillId="3" borderId="0" applyAlignment="1" pivotButton="0" quotePrefix="0" xfId="0">
      <alignment horizontal="right" vertical="center"/>
    </xf>
    <xf numFmtId="169" fontId="8" fillId="3" borderId="0" applyAlignment="1" pivotButton="0" quotePrefix="0" xfId="0">
      <alignment horizontal="right" vertical="center"/>
    </xf>
    <xf numFmtId="168" fontId="8" fillId="4" borderId="0" applyAlignment="1" pivotButton="0" quotePrefix="0" xfId="0">
      <alignment horizontal="right" vertical="center"/>
    </xf>
    <xf numFmtId="169" fontId="8" fillId="4" borderId="0" applyAlignment="1" pivotButton="0" quotePrefix="0" xfId="0">
      <alignment horizontal="right" vertical="center"/>
    </xf>
    <xf numFmtId="170" fontId="8" fillId="3" borderId="0" applyAlignment="1" pivotButton="0" quotePrefix="0" xfId="0">
      <alignment horizontal="right" vertical="center"/>
    </xf>
    <xf numFmtId="170" fontId="8" fillId="4" borderId="0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Budget RH par Categorie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Bord'!$B$20:$B$27</f>
            </numRef>
          </cat>
          <val>
            <numRef>
              <f>'1-Tableau de Bord'!$C$20:$C$27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Montant 
(FCFA)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>None</a:t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Plans d'Action par Statut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Bord'!$H$30:$H$34</f>
            </numRef>
          </cat>
          <val>
            <numRef>
              <f>'1-Tableau de Bord'!$I$30:$I$34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28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20 — PILOTAGE &amp; REPORTING RH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4"/>
    <row r="5">
      <c r="B5" s="3" t="inlineStr">
        <is>
          <t>Indicateurs TdB Global</t>
        </is>
      </c>
      <c r="E5" s="3" t="inlineStr">
        <is>
          <t>Rapports mensuels</t>
        </is>
      </c>
      <c r="H5" s="3" t="inlineStr">
        <is>
          <t>KPI definis</t>
        </is>
      </c>
      <c r="K5" s="3" t="inlineStr">
        <is>
          <t>Postes budgetaires</t>
        </is>
      </c>
    </row>
    <row r="6">
      <c r="B6" s="4">
        <f>COUNTIF('2-TdB RH Global'!B5:B104,"&lt;&gt;")</f>
        <v/>
      </c>
      <c r="E6" s="4">
        <f>COUNTIF('3-Rapports Mensuels RH'!B5:B104,"&lt;&gt;")</f>
        <v/>
      </c>
      <c r="H6" s="4">
        <f>COUNTIF('4-KPI RH'!B5:B104,"&lt;&gt;")</f>
        <v/>
      </c>
      <c r="K6" s="4">
        <f>COUNTIF('5-Budget RH Annuel'!B5:B104,"&lt;&gt;")</f>
        <v/>
      </c>
    </row>
    <row r="7"/>
    <row r="8"/>
    <row r="9">
      <c r="B9" s="3" t="inlineStr">
        <is>
          <t>Activites plan charge</t>
        </is>
      </c>
      <c r="E9" s="3" t="inlineStr">
        <is>
          <t>Indicateurs DG</t>
        </is>
      </c>
      <c r="H9" s="3" t="inlineStr">
        <is>
          <t>Benchmarking</t>
        </is>
      </c>
      <c r="K9" s="3" t="inlineStr">
        <is>
          <t>Plans d'action</t>
        </is>
      </c>
    </row>
    <row r="10">
      <c r="B10" s="4">
        <f>COUNTIF('6-Plan de Charge RH'!B5:B104,"&lt;&gt;")</f>
        <v/>
      </c>
      <c r="E10" s="4">
        <f>COUNTIF('7-Reporting Direction Gen.'!B5:B104,"&lt;&gt;")</f>
        <v/>
      </c>
      <c r="H10" s="4">
        <f>COUNTIF('8-Benchmarking RH Hotelier'!B5:B104,"&lt;&gt;")</f>
        <v/>
      </c>
      <c r="K10" s="4">
        <f>COUNTIF('9-Plans d''Action RH'!B5:B104,"&lt;&gt;")</f>
        <v/>
      </c>
    </row>
    <row r="11"/>
    <row r="12"/>
    <row r="13">
      <c r="B13" s="3" t="inlineStr">
        <is>
          <t>Indicateurs bilan social</t>
        </is>
      </c>
      <c r="E13" s="3" t="inlineStr">
        <is>
          <t>Axes strategiques</t>
        </is>
      </c>
      <c r="H13" s="3" t="inlineStr">
        <is>
          <t>Budget total 2025 (M FCFA)</t>
        </is>
      </c>
      <c r="K13" s="3" t="inlineStr">
        <is>
          <t>Mois suivis KPI</t>
        </is>
      </c>
    </row>
    <row r="14">
      <c r="B14" s="4">
        <f>COUNTIF('10-Bilan Social'!B5:B104,"&lt;&gt;")</f>
        <v/>
      </c>
      <c r="E14" s="4">
        <f>COUNTIF('11-Feuille de Route Strat. RH'!B5:B104,"&lt;&gt;")</f>
        <v/>
      </c>
      <c r="H14" s="5">
        <f>IFERROR(SUM('5-Budget RH Annuel'!E5:E104)/1000000,0)</f>
        <v/>
      </c>
      <c r="K14" s="4">
        <f>COUNTIF('12-Suivi KPI RH Mensuel'!B5:B104,"&lt;&gt;")</f>
        <v/>
      </c>
    </row>
    <row r="15"/>
    <row r="16"/>
    <row r="17"/>
    <row r="18">
      <c r="B18" s="6" t="inlineStr">
        <is>
          <t>BUDGET PAR CATEGORIE &amp; PLANS D'ACTION PAR STATUT</t>
        </is>
      </c>
    </row>
    <row r="19" ht="15" customHeight="1">
      <c r="B19" s="3" t="inlineStr">
        <is>
          <t>Categorie Budget</t>
        </is>
      </c>
      <c r="C19" s="3" t="inlineStr">
        <is>
          <t>Budget (FCFA)</t>
        </is>
      </c>
    </row>
    <row r="20" ht="15" customHeight="1">
      <c r="B20" s="7" t="inlineStr">
        <is>
          <t>Salaires &amp; primes</t>
        </is>
      </c>
      <c r="C20" s="8">
        <f>SUMIF('5-Budget RH Annuel'!D5:D104,"Salaires &amp; primes",'5-Budget RH Annuel'!E5:E104)</f>
        <v/>
      </c>
    </row>
    <row r="21" ht="15" customHeight="1">
      <c r="B21" s="7" t="inlineStr">
        <is>
          <t>Charges sociales</t>
        </is>
      </c>
      <c r="C21" s="8">
        <f>SUMIF('5-Budget RH Annuel'!D5:D104,"Charges sociales",'5-Budget RH Annuel'!E5:E104)</f>
        <v/>
      </c>
    </row>
    <row r="22" ht="15" customHeight="1">
      <c r="B22" s="7" t="inlineStr">
        <is>
          <t>Formation &amp; developpement</t>
        </is>
      </c>
      <c r="C22" s="8">
        <f>SUMIF('5-Budget RH Annuel'!D5:D104,"Formation &amp; developpement",'5-Budget RH Annuel'!E5:E104)</f>
        <v/>
      </c>
    </row>
    <row r="23" ht="15" customHeight="1">
      <c r="B23" s="7" t="inlineStr">
        <is>
          <t>Recrutement</t>
        </is>
      </c>
      <c r="C23" s="8">
        <f>SUMIF('5-Budget RH Annuel'!D5:D104,"Recrutement",'5-Budget RH Annuel'!E5:E104)</f>
        <v/>
      </c>
    </row>
    <row r="24" ht="15" customHeight="1">
      <c r="B24" s="7" t="inlineStr">
        <is>
          <t>Santé &amp; sécurité</t>
        </is>
      </c>
      <c r="C24" s="8">
        <f>SUMIF('5-Budget RH Annuel'!D5:D104,"Santé &amp; sécurité",'5-Budget RH Annuel'!E5:E104)</f>
        <v/>
      </c>
    </row>
    <row r="25" ht="15" customHeight="1">
      <c r="B25" s="7" t="inlineStr">
        <is>
          <t>Fonctionnement RH</t>
        </is>
      </c>
      <c r="C25" s="8">
        <f>SUMIF('5-Budget RH Annuel'!D5:D104,"Fonctionnement RH",'5-Budget RH Annuel'!E5:E104)</f>
        <v/>
      </c>
    </row>
    <row r="26" ht="15" customHeight="1">
      <c r="B26" s="7" t="inlineStr">
        <is>
          <t>Investissement digital</t>
        </is>
      </c>
      <c r="C26" s="8">
        <f>SUMIF('5-Budget RH Annuel'!D5:D104,"Investissement digital",'5-Budget RH Annuel'!E5:E104)</f>
        <v/>
      </c>
    </row>
    <row r="27" ht="15" customHeight="1">
      <c r="B27" s="7" t="inlineStr">
        <is>
          <t>Autre</t>
        </is>
      </c>
      <c r="C27" s="8">
        <f>SUMIF('5-Budget RH Annuel'!D5:D104,"Autre",'5-Budget RH Annuel'!E5:E104)</f>
        <v/>
      </c>
    </row>
    <row r="28" ht="15" customHeight="1"/>
    <row r="29" ht="15" customHeight="1">
      <c r="H29" s="3" t="inlineStr">
        <is>
          <t>Statut Plan d'Action</t>
        </is>
      </c>
      <c r="I29" s="3" t="inlineStr">
        <is>
          <t>Nombre</t>
        </is>
      </c>
    </row>
    <row r="30" ht="15" customHeight="1">
      <c r="H30" s="7" t="inlineStr">
        <is>
          <t>En cours</t>
        </is>
      </c>
      <c r="I30" s="9">
        <f>COUNTIF('9-Plans d''Action RH'!K5:K104,"En cours")</f>
        <v/>
      </c>
    </row>
    <row r="31" ht="15" customHeight="1">
      <c r="H31" s="7" t="inlineStr">
        <is>
          <t>Terminee</t>
        </is>
      </c>
      <c r="I31" s="9">
        <f>COUNTIF('9-Plans d''Action RH'!K5:K104,"Terminee")</f>
        <v/>
      </c>
    </row>
    <row r="32" ht="15" customHeight="1">
      <c r="H32" s="7" t="inlineStr">
        <is>
          <t>Planifiee</t>
        </is>
      </c>
      <c r="I32" s="9">
        <f>COUNTIF('9-Plans d''Action RH'!K5:K104,"Planifiee")</f>
        <v/>
      </c>
    </row>
    <row r="33" ht="15" customHeight="1">
      <c r="H33" s="7" t="inlineStr">
        <is>
          <t>Reportee</t>
        </is>
      </c>
      <c r="I33" s="9">
        <f>COUNTIF('9-Plans d''Action RH'!K5:K104,"Reportee")</f>
        <v/>
      </c>
    </row>
    <row r="34" ht="15" customHeight="1">
      <c r="H34" s="7" t="inlineStr">
        <is>
          <t>Annulee</t>
        </is>
      </c>
      <c r="I34" s="9">
        <f>COUNTIF('9-Plans d''Action RH'!K5:K104,"Annulee")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C20">
    <cfRule type="cellIs" priority="13" operator="greaterThan" dxfId="4">
      <formula>0</formula>
    </cfRule>
  </conditionalFormatting>
  <conditionalFormatting sqref="C21">
    <cfRule type="cellIs" priority="14" operator="greaterThan" dxfId="4">
      <formula>0</formula>
    </cfRule>
  </conditionalFormatting>
  <conditionalFormatting sqref="C22">
    <cfRule type="cellIs" priority="15" operator="greaterThan" dxfId="4">
      <formula>0</formula>
    </cfRule>
  </conditionalFormatting>
  <conditionalFormatting sqref="C23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C25">
    <cfRule type="cellIs" priority="18" operator="greaterThan" dxfId="4">
      <formula>0</formula>
    </cfRule>
  </conditionalFormatting>
  <conditionalFormatting sqref="C26">
    <cfRule type="cellIs" priority="19" operator="greaterThan" dxfId="4">
      <formula>0</formula>
    </cfRule>
  </conditionalFormatting>
  <conditionalFormatting sqref="C27">
    <cfRule type="cellIs" priority="20" operator="greaterThan" dxfId="4">
      <formula>0</formula>
    </cfRule>
  </conditionalFormatting>
  <conditionalFormatting sqref="I30">
    <cfRule type="cellIs" priority="21" operator="greaterThan" dxfId="4">
      <formula>0</formula>
    </cfRule>
  </conditionalFormatting>
  <conditionalFormatting sqref="I31">
    <cfRule type="cellIs" priority="22" operator="greaterThan" dxfId="4">
      <formula>0</formula>
    </cfRule>
  </conditionalFormatting>
  <conditionalFormatting sqref="I32">
    <cfRule type="cellIs" priority="23" operator="greaterThan" dxfId="4">
      <formula>0</formula>
    </cfRule>
  </conditionalFormatting>
  <conditionalFormatting sqref="I33">
    <cfRule type="cellIs" priority="24" operator="greaterThan" dxfId="4">
      <formula>0</formula>
    </cfRule>
  </conditionalFormatting>
  <conditionalFormatting sqref="I34">
    <cfRule type="cellIs" priority="25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Prénom</t>
        </is>
      </c>
      <c r="D1" t="inlineStr">
        <is>
          <t>Département</t>
        </is>
      </c>
      <c r="E1" t="inlineStr">
        <is>
          <t>Poste</t>
        </is>
      </c>
      <c r="F1" t="inlineStr">
        <is>
          <t>Salaire Brut</t>
        </is>
      </c>
    </row>
    <row r="2">
      <c r="A2" t="inlineStr">
        <is>
          <t>EMP-001</t>
        </is>
      </c>
      <c r="B2" t="inlineStr">
        <is>
          <t>Nganou</t>
        </is>
      </c>
      <c r="C2" t="inlineStr">
        <is>
          <t>Clarisse</t>
        </is>
      </c>
      <c r="D2" t="inlineStr">
        <is>
          <t>Cuisine &amp; Restauration</t>
        </is>
      </c>
      <c r="E2" t="inlineStr">
        <is>
          <t>Chef</t>
        </is>
      </c>
      <c r="F2" t="n">
        <v>450000</v>
      </c>
    </row>
    <row r="3">
      <c r="A3" t="inlineStr">
        <is>
          <t>EMP-002</t>
        </is>
      </c>
      <c r="B3" t="inlineStr">
        <is>
          <t>Tagne</t>
        </is>
      </c>
      <c r="C3" t="inlineStr">
        <is>
          <t>René</t>
        </is>
      </c>
      <c r="D3" t="inlineStr">
        <is>
          <t>Réception &amp; Front Office</t>
        </is>
      </c>
      <c r="E3" t="inlineStr">
        <is>
          <t>Réceptionniste</t>
        </is>
      </c>
      <c r="F3" t="n">
        <v>165000</v>
      </c>
    </row>
    <row r="4">
      <c r="A4" t="inlineStr">
        <is>
          <t>EMP-003</t>
        </is>
      </c>
      <c r="B4" t="inlineStr">
        <is>
          <t>Fotso</t>
        </is>
      </c>
      <c r="C4" t="inlineStr">
        <is>
          <t>Camille</t>
        </is>
      </c>
      <c r="D4" t="inlineStr">
        <is>
          <t>Cuisine &amp; Restauration</t>
        </is>
      </c>
      <c r="E4" t="inlineStr">
        <is>
          <t>Cuisinier</t>
        </is>
      </c>
      <c r="F4" t="n">
        <v>180000</v>
      </c>
    </row>
    <row r="5">
      <c r="A5" t="inlineStr">
        <is>
          <t>EMP-004</t>
        </is>
      </c>
      <c r="B5" t="inlineStr">
        <is>
          <t>Tchinda</t>
        </is>
      </c>
      <c r="C5" t="inlineStr">
        <is>
          <t>Arlette</t>
        </is>
      </c>
      <c r="D5" t="inlineStr">
        <is>
          <t>Service Client</t>
        </is>
      </c>
      <c r="E5" t="inlineStr">
        <is>
          <t>Assistante RH</t>
        </is>
      </c>
      <c r="F5" t="n">
        <v>200000</v>
      </c>
    </row>
    <row r="6">
      <c r="A6" t="inlineStr">
        <is>
          <t>EMP-005</t>
        </is>
      </c>
      <c r="B6" t="inlineStr">
        <is>
          <t>Ngansop</t>
        </is>
      </c>
      <c r="C6" t="inlineStr">
        <is>
          <t>Sylvie</t>
        </is>
      </c>
      <c r="D6" t="inlineStr">
        <is>
          <t>Finance &amp; Comptabilité</t>
        </is>
      </c>
      <c r="E6" t="inlineStr">
        <is>
          <t>Comptable senior</t>
        </is>
      </c>
      <c r="F6" t="n">
        <v>250000</v>
      </c>
    </row>
    <row r="7">
      <c r="A7" t="inlineStr">
        <is>
          <t>EMP-006</t>
        </is>
      </c>
      <c r="B7" t="inlineStr">
        <is>
          <t>Fokam</t>
        </is>
      </c>
      <c r="C7" t="inlineStr">
        <is>
          <t>Eric</t>
        </is>
      </c>
      <c r="D7" t="inlineStr">
        <is>
          <t>Réception &amp; Front Office</t>
        </is>
      </c>
      <c r="E7" t="inlineStr">
        <is>
          <t>Chef Réception</t>
        </is>
      </c>
      <c r="F7" t="n">
        <v>280000</v>
      </c>
    </row>
    <row r="8">
      <c r="A8" t="inlineStr">
        <is>
          <t>EMP-007</t>
        </is>
      </c>
      <c r="B8" t="inlineStr">
        <is>
          <t>Tchouankou</t>
        </is>
      </c>
      <c r="C8" t="inlineStr">
        <is>
          <t>Paul</t>
        </is>
      </c>
      <c r="D8" t="inlineStr">
        <is>
          <t>Étage &amp; Housekeeping</t>
        </is>
      </c>
      <c r="E8" t="inlineStr">
        <is>
          <t>Chef Étage</t>
        </is>
      </c>
      <c r="F8" t="n">
        <v>230000</v>
      </c>
    </row>
    <row r="9">
      <c r="A9" t="inlineStr">
        <is>
          <t>EMP-008</t>
        </is>
      </c>
      <c r="B9" t="inlineStr">
        <is>
          <t>Awa</t>
        </is>
      </c>
      <c r="C9" t="inlineStr">
        <is>
          <t>Fatou</t>
        </is>
      </c>
      <c r="D9" t="inlineStr">
        <is>
          <t>Commercial</t>
        </is>
      </c>
      <c r="E9" t="inlineStr">
        <is>
          <t>Agent Commercial</t>
        </is>
      </c>
      <c r="F9" t="n">
        <v>155000</v>
      </c>
    </row>
    <row r="10">
      <c r="A10" t="inlineStr">
        <is>
          <t>EMP-009</t>
        </is>
      </c>
      <c r="B10" t="inlineStr">
        <is>
          <t>Bouba</t>
        </is>
      </c>
      <c r="C10" t="inlineStr">
        <is>
          <t>Ahmed</t>
        </is>
      </c>
      <c r="D10" t="inlineStr">
        <is>
          <t>Cuisine &amp; Restauration</t>
        </is>
      </c>
      <c r="E10" t="inlineStr">
        <is>
          <t>Sous-Chef</t>
        </is>
      </c>
      <c r="F10" t="n">
        <v>210000</v>
      </c>
    </row>
    <row r="11">
      <c r="A11" t="inlineStr">
        <is>
          <t>EMP-010</t>
        </is>
      </c>
      <c r="B11" t="inlineStr">
        <is>
          <t>Kamga</t>
        </is>
      </c>
      <c r="C11" t="inlineStr">
        <is>
          <t>Patrice</t>
        </is>
      </c>
      <c r="D11" t="inlineStr">
        <is>
          <t>Sécurité</t>
        </is>
      </c>
      <c r="E11" t="inlineStr">
        <is>
          <t>Chef Sécurité</t>
        </is>
      </c>
      <c r="F11" t="n">
        <v>210000</v>
      </c>
    </row>
    <row r="12">
      <c r="A12" t="inlineStr">
        <is>
          <t>EMP-011</t>
        </is>
      </c>
      <c r="B12" t="inlineStr">
        <is>
          <t>Ngo</t>
        </is>
      </c>
      <c r="C12" t="inlineStr">
        <is>
          <t>Delphine</t>
        </is>
      </c>
      <c r="D12" t="inlineStr">
        <is>
          <t>Marketing &amp; Communication</t>
        </is>
      </c>
      <c r="E12" t="inlineStr">
        <is>
          <t>Chef Marketing</t>
        </is>
      </c>
      <c r="F12" t="n">
        <v>300000</v>
      </c>
    </row>
    <row r="13">
      <c r="A13" t="inlineStr">
        <is>
          <t>EMP-012</t>
        </is>
      </c>
      <c r="B13" t="inlineStr">
        <is>
          <t>Tamo</t>
        </is>
      </c>
      <c r="C13" t="inlineStr">
        <is>
          <t>Elvis</t>
        </is>
      </c>
      <c r="D13" t="inlineStr">
        <is>
          <t>Logistique &amp; Approvisionnement</t>
        </is>
      </c>
      <c r="E13" t="inlineStr">
        <is>
          <t>Chef Logistique</t>
        </is>
      </c>
      <c r="F13" t="n">
        <v>240000</v>
      </c>
    </row>
    <row r="14">
      <c r="A14" t="inlineStr">
        <is>
          <t>EMP-013</t>
        </is>
      </c>
      <c r="B14" t="inlineStr">
        <is>
          <t>Foumane</t>
        </is>
      </c>
      <c r="C14" t="inlineStr">
        <is>
          <t>Pierre</t>
        </is>
      </c>
      <c r="D14" t="inlineStr">
        <is>
          <t>Maintenance</t>
        </is>
      </c>
      <c r="E14" t="inlineStr">
        <is>
          <t>Chef Entretien</t>
        </is>
      </c>
      <c r="F14" t="n">
        <v>220000</v>
      </c>
    </row>
    <row r="15">
      <c r="A15" t="inlineStr">
        <is>
          <t>EMP-014</t>
        </is>
      </c>
      <c r="B15" t="inlineStr">
        <is>
          <t>Kane</t>
        </is>
      </c>
      <c r="C15" t="inlineStr">
        <is>
          <t>Adama</t>
        </is>
      </c>
      <c r="D15" t="inlineStr">
        <is>
          <t>Direction Générale</t>
        </is>
      </c>
      <c r="E15" t="inlineStr">
        <is>
          <t>DAF</t>
        </is>
      </c>
      <c r="F15" t="n">
        <v>350000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departement</t>
        </is>
      </c>
      <c r="C1" s="10" t="inlineStr">
        <is>
          <t>poste_hotel</t>
        </is>
      </c>
      <c r="D1" s="10" t="inlineStr">
        <is>
          <t>frequence_reporting</t>
        </is>
      </c>
      <c r="E1" s="10" t="inlineStr">
        <is>
          <t>type_indicateur</t>
        </is>
      </c>
      <c r="F1" s="10" t="inlineStr">
        <is>
          <t>sens_indicateur</t>
        </is>
      </c>
      <c r="G1" s="10" t="inlineStr">
        <is>
          <t>categorie_budget</t>
        </is>
      </c>
      <c r="H1" s="10" t="inlineStr">
        <is>
          <t>statut_budget</t>
        </is>
      </c>
      <c r="I1" s="10" t="inlineStr">
        <is>
          <t>type_rapport</t>
        </is>
      </c>
      <c r="J1" s="10" t="inlineStr">
        <is>
          <t>destinataire_rapport</t>
        </is>
      </c>
      <c r="K1" s="10" t="inlineStr">
        <is>
          <t>niveau_urgence</t>
        </is>
      </c>
      <c r="L1" s="10" t="inlineStr">
        <is>
          <t>statut_objectif</t>
        </is>
      </c>
      <c r="M1" s="10" t="inlineStr">
        <is>
          <t>statut_plan_action</t>
        </is>
      </c>
      <c r="N1" s="10" t="inlineStr">
        <is>
          <t>source_donnee_bilan</t>
        </is>
      </c>
      <c r="O1" s="10" t="inlineStr">
        <is>
          <t>echelle_satisfaction</t>
        </is>
      </c>
      <c r="P1" s="10" t="inlineStr">
        <is>
          <t>periode_analyse</t>
        </is>
      </c>
      <c r="Q1" s="10" t="inlineStr">
        <is>
          <t>statut_kpi</t>
        </is>
      </c>
      <c r="R1" t="inlineStr">
        <is>
          <t>mois</t>
        </is>
      </c>
    </row>
    <row r="2">
      <c r="B2" s="11" t="inlineStr">
        <is>
          <t>Direction Générale</t>
        </is>
      </c>
      <c r="C2" s="11" t="inlineStr">
        <is>
          <t>DG</t>
        </is>
      </c>
      <c r="D2" s="11" t="inlineStr">
        <is>
          <t>Hebdomadaire</t>
        </is>
      </c>
      <c r="E2" s="11" t="inlineStr">
        <is>
          <t>Quantitatif</t>
        </is>
      </c>
      <c r="F2" s="11" t="inlineStr">
        <is>
          <t>Hausse favorable</t>
        </is>
      </c>
      <c r="G2" s="11" t="inlineStr">
        <is>
          <t>Salaires &amp; primes</t>
        </is>
      </c>
      <c r="H2" s="11" t="inlineStr">
        <is>
          <t>Vote</t>
        </is>
      </c>
      <c r="I2" s="11" t="inlineStr">
        <is>
          <t>Activite mensuelle</t>
        </is>
      </c>
      <c r="J2" s="11" t="inlineStr">
        <is>
          <t>DG</t>
        </is>
      </c>
      <c r="K2" s="11" t="inlineStr">
        <is>
          <t>Critique</t>
        </is>
      </c>
      <c r="L2" s="11" t="inlineStr">
        <is>
          <t>Non commence</t>
        </is>
      </c>
      <c r="M2" s="11" t="inlineStr">
        <is>
          <t>Planifiee</t>
        </is>
      </c>
      <c r="N2" s="11" t="inlineStr">
        <is>
          <t>SIRH</t>
        </is>
      </c>
      <c r="O2" s="11" t="inlineStr">
        <is>
          <t>Tres insatisfait</t>
        </is>
      </c>
      <c r="P2" s="11" t="inlineStr">
        <is>
          <t>Mensuel</t>
        </is>
      </c>
      <c r="Q2" s="11" t="inlineStr">
        <is>
          <t>Vert (OK)</t>
        </is>
      </c>
      <c r="R2" t="inlineStr">
        <is>
          <t>Janvier</t>
        </is>
      </c>
    </row>
    <row r="3">
      <c r="B3" s="11" t="inlineStr">
        <is>
          <t>Service Client</t>
        </is>
      </c>
      <c r="C3" s="11" t="inlineStr">
        <is>
          <t>DRH</t>
        </is>
      </c>
      <c r="D3" s="11" t="inlineStr">
        <is>
          <t>Bimensuelle</t>
        </is>
      </c>
      <c r="E3" s="11" t="inlineStr">
        <is>
          <t>Qualitatif</t>
        </is>
      </c>
      <c r="F3" s="11" t="inlineStr">
        <is>
          <t>Baisse favorable</t>
        </is>
      </c>
      <c r="G3" s="11" t="inlineStr">
        <is>
          <t>Charges sociales</t>
        </is>
      </c>
      <c r="H3" s="11" t="inlineStr">
        <is>
          <t>En execution</t>
        </is>
      </c>
      <c r="I3" s="11" t="inlineStr">
        <is>
          <t>Bilan trimestriel</t>
        </is>
      </c>
      <c r="J3" s="11" t="inlineStr">
        <is>
          <t>Comite de direction</t>
        </is>
      </c>
      <c r="K3" s="11" t="inlineStr">
        <is>
          <t>Eleve</t>
        </is>
      </c>
      <c r="L3" s="11" t="inlineStr">
        <is>
          <t>En cours</t>
        </is>
      </c>
      <c r="M3" s="11" t="inlineStr">
        <is>
          <t>En cours</t>
        </is>
      </c>
      <c r="N3" s="11" t="inlineStr">
        <is>
          <t>Paie</t>
        </is>
      </c>
      <c r="O3" s="11" t="inlineStr">
        <is>
          <t>Insatisfait</t>
        </is>
      </c>
      <c r="P3" s="11" t="inlineStr">
        <is>
          <t>Trimestriel</t>
        </is>
      </c>
      <c r="Q3" s="11" t="inlineStr">
        <is>
          <t>Orange (Attention)</t>
        </is>
      </c>
      <c r="R3" t="inlineStr">
        <is>
          <t>Fevrier</t>
        </is>
      </c>
    </row>
    <row r="4">
      <c r="B4" s="11" t="inlineStr">
        <is>
          <t>Finance &amp; Comptabilité</t>
        </is>
      </c>
      <c r="C4" s="11" t="inlineStr">
        <is>
          <t>Assistante RH</t>
        </is>
      </c>
      <c r="D4" s="11" t="inlineStr">
        <is>
          <t>Mensuel</t>
        </is>
      </c>
      <c r="E4" s="11" t="inlineStr">
        <is>
          <t>Financier</t>
        </is>
      </c>
      <c r="F4" s="11" t="inlineStr">
        <is>
          <t>Cible a atteindre</t>
        </is>
      </c>
      <c r="G4" s="11" t="inlineStr">
        <is>
          <t>Formation &amp; developpement</t>
        </is>
      </c>
      <c r="H4" s="11" t="inlineStr">
        <is>
          <t>Cloture</t>
        </is>
      </c>
      <c r="I4" s="11" t="inlineStr">
        <is>
          <t>Bilan social annuel</t>
        </is>
      </c>
      <c r="J4" s="11" t="inlineStr">
        <is>
          <t>DRH</t>
        </is>
      </c>
      <c r="K4" s="11" t="inlineStr">
        <is>
          <t>Moyen</t>
        </is>
      </c>
      <c r="L4" s="11" t="inlineStr">
        <is>
          <t>Atteint</t>
        </is>
      </c>
      <c r="M4" s="11" t="inlineStr">
        <is>
          <t>Terminee</t>
        </is>
      </c>
      <c r="N4" s="11" t="inlineStr">
        <is>
          <t>Comptabilite</t>
        </is>
      </c>
      <c r="O4" s="11" t="inlineStr">
        <is>
          <t>Neutre</t>
        </is>
      </c>
      <c r="P4" s="11" t="inlineStr">
        <is>
          <t>Semestriel</t>
        </is>
      </c>
      <c r="Q4" s="11" t="inlineStr">
        <is>
          <t>Rouge (Alerte)</t>
        </is>
      </c>
      <c r="R4" t="inlineStr">
        <is>
          <t>Mars</t>
        </is>
      </c>
    </row>
    <row r="5">
      <c r="B5" s="11" t="inlineStr">
        <is>
          <t>Marketing &amp; Communication</t>
        </is>
      </c>
      <c r="C5" s="11" t="inlineStr">
        <is>
          <t>DAF</t>
        </is>
      </c>
      <c r="D5" s="11" t="inlineStr">
        <is>
          <t>Trimestriel</t>
        </is>
      </c>
      <c r="E5" s="11" t="inlineStr">
        <is>
          <t>Temps</t>
        </is>
      </c>
      <c r="F5" s="11" t="inlineStr">
        <is>
          <t>Stable souhaitable</t>
        </is>
      </c>
      <c r="G5" s="11" t="inlineStr">
        <is>
          <t>Recrutement</t>
        </is>
      </c>
      <c r="H5" s="11" t="inlineStr">
        <is>
          <t>Depasse</t>
        </is>
      </c>
      <c r="I5" s="11" t="inlineStr">
        <is>
          <t>Rapport audit</t>
        </is>
      </c>
      <c r="J5" s="11" t="inlineStr">
        <is>
          <t>DAF</t>
        </is>
      </c>
      <c r="K5" s="11" t="inlineStr">
        <is>
          <t>Faible</t>
        </is>
      </c>
      <c r="L5" s="11" t="inlineStr">
        <is>
          <t>Depasse</t>
        </is>
      </c>
      <c r="M5" s="11" t="inlineStr">
        <is>
          <t>Reportee</t>
        </is>
      </c>
      <c r="N5" s="11" t="inlineStr">
        <is>
          <t>Enquetes internes</t>
        </is>
      </c>
      <c r="O5" s="11" t="inlineStr">
        <is>
          <t>Satisfait</t>
        </is>
      </c>
      <c r="P5" s="11" t="inlineStr">
        <is>
          <t>Annuel</t>
        </is>
      </c>
      <c r="Q5" s="11" t="inlineStr">
        <is>
          <t>Non disponible</t>
        </is>
      </c>
      <c r="R5" t="inlineStr">
        <is>
          <t>Avril</t>
        </is>
      </c>
    </row>
    <row r="6">
      <c r="B6" s="11" t="inlineStr">
        <is>
          <t>Maintenance</t>
        </is>
      </c>
      <c r="C6" s="11" t="inlineStr">
        <is>
          <t>Comptable senior</t>
        </is>
      </c>
      <c r="D6" s="11" t="inlineStr">
        <is>
          <t>Semestriel</t>
        </is>
      </c>
      <c r="E6" s="11" t="inlineStr">
        <is>
          <t>Ratio</t>
        </is>
      </c>
      <c r="G6" s="11" t="inlineStr">
        <is>
          <t>Santé &amp; sécurité</t>
        </is>
      </c>
      <c r="H6" s="11" t="inlineStr">
        <is>
          <t>Sous-consomme</t>
        </is>
      </c>
      <c r="I6" s="11" t="inlineStr">
        <is>
          <t>Etude speciale</t>
        </is>
      </c>
      <c r="J6" s="11" t="inlineStr">
        <is>
          <t>CSE / Representants du personnel</t>
        </is>
      </c>
      <c r="L6" s="11" t="inlineStr">
        <is>
          <t>En retard</t>
        </is>
      </c>
      <c r="M6" s="11" t="inlineStr">
        <is>
          <t>Annulee</t>
        </is>
      </c>
      <c r="N6" s="11" t="inlineStr">
        <is>
          <t>Donnees CNPS</t>
        </is>
      </c>
      <c r="O6" s="11" t="inlineStr">
        <is>
          <t>Tres satisfait</t>
        </is>
      </c>
      <c r="R6" t="inlineStr">
        <is>
          <t>Mai</t>
        </is>
      </c>
    </row>
    <row r="7">
      <c r="B7" s="11" t="inlineStr">
        <is>
          <t>Commercial</t>
        </is>
      </c>
      <c r="C7" s="11" t="inlineStr">
        <is>
          <t>Chef Comptable</t>
        </is>
      </c>
      <c r="D7" s="11" t="inlineStr">
        <is>
          <t>Annuel</t>
        </is>
      </c>
      <c r="E7" s="11" t="inlineStr">
        <is>
          <t>Score</t>
        </is>
      </c>
      <c r="G7" s="11" t="inlineStr">
        <is>
          <t>Social &amp; bien-etre</t>
        </is>
      </c>
      <c r="H7" s="11" t="inlineStr">
        <is>
          <t>Reporte</t>
        </is>
      </c>
      <c r="I7" s="11" t="inlineStr">
        <is>
          <t>Reporting DG</t>
        </is>
      </c>
      <c r="J7" s="11" t="inlineStr">
        <is>
          <t>Inspecteur du travail</t>
        </is>
      </c>
      <c r="L7" s="11" t="inlineStr">
        <is>
          <t>Abandonne</t>
        </is>
      </c>
      <c r="N7" s="11" t="inlineStr">
        <is>
          <t>Inspection du travail</t>
        </is>
      </c>
      <c r="R7" t="inlineStr">
        <is>
          <t>Juin</t>
        </is>
      </c>
    </row>
    <row r="8">
      <c r="B8" s="11" t="inlineStr">
        <is>
          <t>Logistique &amp; Approvisionnement</t>
        </is>
      </c>
      <c r="C8" s="11" t="inlineStr">
        <is>
          <t>Chef Marketing</t>
        </is>
      </c>
      <c r="G8" s="11" t="inlineStr">
        <is>
          <t>Fonctionnement RH</t>
        </is>
      </c>
      <c r="I8" s="11" t="inlineStr">
        <is>
          <t>Tableau de bord KPI</t>
        </is>
      </c>
      <c r="J8" s="11" t="inlineStr">
        <is>
          <t>Actionnaires</t>
        </is>
      </c>
      <c r="N8" s="11" t="inlineStr">
        <is>
          <t>Benchmark externe</t>
        </is>
      </c>
      <c r="R8" t="inlineStr">
        <is>
          <t>Juillet</t>
        </is>
      </c>
    </row>
    <row r="9">
      <c r="B9" s="11" t="inlineStr">
        <is>
          <t>Cuisine &amp; Restauration</t>
        </is>
      </c>
      <c r="C9" s="11" t="inlineStr">
        <is>
          <t>Chef de service IT</t>
        </is>
      </c>
      <c r="G9" s="11" t="inlineStr">
        <is>
          <t>Investissement digital</t>
        </is>
      </c>
      <c r="I9" s="11" t="inlineStr">
        <is>
          <t>Benchmark</t>
        </is>
      </c>
      <c r="J9" s="11" t="inlineStr">
        <is>
          <t>Tous les managers</t>
        </is>
      </c>
      <c r="N9" s="11" t="inlineStr">
        <is>
          <t>Enquetes satisfaction</t>
        </is>
      </c>
      <c r="R9" t="inlineStr">
        <is>
          <t>Aout</t>
        </is>
      </c>
    </row>
    <row r="10">
      <c r="B10" s="11" t="inlineStr">
        <is>
          <t>Réception &amp; Front Office</t>
        </is>
      </c>
      <c r="C10" s="11" t="inlineStr">
        <is>
          <t>Technicien IT</t>
        </is>
      </c>
      <c r="G10" s="11" t="inlineStr">
        <is>
          <t>Evenementiel RH</t>
        </is>
      </c>
      <c r="I10" s="11" t="inlineStr">
        <is>
          <t>Plan d'action</t>
        </is>
      </c>
      <c r="J10" s="11" t="inlineStr">
        <is>
          <t>Equipe RH</t>
        </is>
      </c>
      <c r="N10" s="11" t="inlineStr">
        <is>
          <t>Autre</t>
        </is>
      </c>
      <c r="R10" t="inlineStr">
        <is>
          <t>Septembre</t>
        </is>
      </c>
    </row>
    <row r="11">
      <c r="B11" s="11" t="inlineStr">
        <is>
          <t>Sécurité</t>
        </is>
      </c>
      <c r="C11" s="11" t="inlineStr">
        <is>
          <t>Chef Commercial</t>
        </is>
      </c>
      <c r="G11" s="11" t="inlineStr">
        <is>
          <t>Audit &amp; conseil</t>
        </is>
      </c>
      <c r="I11" s="11" t="inlineStr">
        <is>
          <t>Autre</t>
        </is>
      </c>
      <c r="J11" s="11" t="inlineStr">
        <is>
          <t>Autre</t>
        </is>
      </c>
      <c r="R11" t="inlineStr">
        <is>
          <t>Octobre</t>
        </is>
      </c>
    </row>
    <row r="12">
      <c r="B12" s="11" t="inlineStr">
        <is>
          <t>Étage &amp; Housekeeping</t>
        </is>
      </c>
      <c r="C12" s="11" t="inlineStr">
        <is>
          <t>Agent Commercial</t>
        </is>
      </c>
      <c r="G12" s="11" t="inlineStr">
        <is>
          <t>Autre</t>
        </is>
      </c>
      <c r="R12" t="inlineStr">
        <is>
          <t>Novembre</t>
        </is>
      </c>
    </row>
    <row r="13">
      <c r="B13" s="11" t="n"/>
      <c r="C13" s="11" t="inlineStr">
        <is>
          <t>Chef Reception</t>
        </is>
      </c>
      <c r="R13" t="inlineStr">
        <is>
          <t>Decembre</t>
        </is>
      </c>
    </row>
    <row r="14">
      <c r="B14" s="11" t="n"/>
      <c r="C14" s="11" t="inlineStr">
        <is>
          <t>Receptionniste</t>
        </is>
      </c>
    </row>
    <row r="15">
      <c r="C15" s="11" t="inlineStr">
        <is>
          <t>Chef Cuisine</t>
        </is>
      </c>
    </row>
    <row r="16">
      <c r="C16" s="11" t="inlineStr">
        <is>
          <t>Chef Rangement</t>
        </is>
      </c>
    </row>
    <row r="17">
      <c r="C17" s="11" t="inlineStr">
        <is>
          <t>Gouvernante</t>
        </is>
      </c>
    </row>
    <row r="18">
      <c r="C18" s="11" t="inlineStr">
        <is>
          <t>Femme de chambre</t>
        </is>
      </c>
    </row>
    <row r="19">
      <c r="C19" s="11" t="inlineStr">
        <is>
          <t>Agent Sécurité</t>
        </is>
      </c>
    </row>
    <row r="20">
      <c r="C20" s="11" t="inlineStr">
        <is>
          <t>Chauffeur</t>
        </is>
      </c>
    </row>
    <row r="21">
      <c r="C21" s="11" t="inlineStr">
        <is>
          <t>Agent Entretien</t>
        </is>
      </c>
    </row>
    <row r="22">
      <c r="C22" s="11" t="inlineStr">
        <is>
          <t>Plongeur</t>
        </is>
      </c>
    </row>
    <row r="23">
      <c r="C23" s="11" t="inlineStr">
        <is>
          <t>Serveur</t>
        </is>
      </c>
    </row>
    <row r="24">
      <c r="C24" s="11" t="inlineStr">
        <is>
          <t>Barman</t>
        </is>
      </c>
    </row>
    <row r="25">
      <c r="C25" s="11" t="inlineStr">
        <is>
          <t>Laveur vaisselle</t>
        </is>
      </c>
    </row>
    <row r="26">
      <c r="C26" s="11" t="inlineStr">
        <is>
          <t>Agent de service</t>
        </is>
      </c>
    </row>
    <row r="27">
      <c r="C27" s="11" t="inlineStr">
        <is>
          <t>Standardiste</t>
        </is>
      </c>
    </row>
    <row r="28">
      <c r="C28" s="11" t="inlineStr">
        <is>
          <t>Bagagiste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20" customWidth="1" min="9" max="9"/>
    <col width="18" customWidth="1" min="10" max="10"/>
    <col width="18" customWidth="1" min="11" max="11"/>
    <col width="42" customWidth="1" min="12" max="12"/>
  </cols>
  <sheetData>
    <row r="1" ht="15" customHeight="1"/>
    <row r="2" ht="32" customHeight="1">
      <c r="B2" s="1" t="inlineStr">
        <is>
          <t>TABLEAU DE BORD RH GLOBAL (#167)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Indicateur</t>
        </is>
      </c>
      <c r="D4" s="12" t="inlineStr">
        <is>
          <t>Categorie</t>
        </is>
      </c>
      <c r="E4" s="12" t="inlineStr">
        <is>
          <t>Objectif</t>
        </is>
      </c>
      <c r="F4" s="12" t="inlineStr">
        <is>
          <t>Valeur Actuelle</t>
        </is>
      </c>
      <c r="G4" s="12" t="inlineStr">
        <is>
          <t>Valeur Precedente</t>
        </is>
      </c>
      <c r="H4" s="12" t="inlineStr">
        <is>
          <t>Evolution</t>
        </is>
      </c>
      <c r="I4" s="12" t="inlineStr">
        <is>
          <t>Statut</t>
        </is>
      </c>
      <c r="J4" s="12" t="inlineStr">
        <is>
          <t>Frequence Suivi</t>
        </is>
      </c>
      <c r="K4" s="12" t="inlineStr">
        <is>
          <t>Responsable</t>
        </is>
      </c>
      <c r="L4" s="12" t="inlineStr">
        <is>
          <t>Observations</t>
        </is>
      </c>
    </row>
    <row r="5" ht="22" customHeight="1">
      <c r="B5" s="13" t="inlineStr">
        <is>
          <t>TDB-001</t>
        </is>
      </c>
      <c r="C5" s="13" t="inlineStr">
        <is>
          <t>Taux rotation global</t>
        </is>
      </c>
      <c r="D5" s="13" t="inlineStr">
        <is>
          <t>Mobilité</t>
        </is>
      </c>
      <c r="E5" s="13" t="inlineStr">
        <is>
          <t>&lt;= 12%</t>
        </is>
      </c>
      <c r="F5" s="14" t="n">
        <v>0.18</v>
      </c>
      <c r="G5" s="14" t="n">
        <v>0.22</v>
      </c>
      <c r="H5" s="15" t="n"/>
      <c r="I5" s="13" t="inlineStr">
        <is>
          <t>Orange (Attention)</t>
        </is>
      </c>
      <c r="J5" s="13" t="inlineStr">
        <is>
          <t>Mensuel</t>
        </is>
      </c>
      <c r="K5" s="13" t="inlineStr">
        <is>
          <t>DRH</t>
        </is>
      </c>
      <c r="L5" s="13" t="inlineStr">
        <is>
          <t>En baisse mais encore au-dessus de l'objectif</t>
        </is>
      </c>
    </row>
    <row r="6" ht="22" customHeight="1">
      <c r="B6" s="16" t="inlineStr">
        <is>
          <t>TDB-002</t>
        </is>
      </c>
      <c r="C6" s="16" t="inlineStr">
        <is>
          <t>Delai moyen embauche (j)</t>
        </is>
      </c>
      <c r="D6" s="16" t="inlineStr">
        <is>
          <t>Recrutement</t>
        </is>
      </c>
      <c r="E6" s="16" t="inlineStr">
        <is>
          <t>&lt;= 30</t>
        </is>
      </c>
      <c r="F6" s="17" t="n">
        <v>28</v>
      </c>
      <c r="G6" s="17" t="n">
        <v>35</v>
      </c>
      <c r="H6" s="18" t="n"/>
      <c r="I6" s="16" t="inlineStr">
        <is>
          <t>Vert (OK)</t>
        </is>
      </c>
      <c r="J6" s="16" t="inlineStr">
        <is>
          <t>Mensuel</t>
        </is>
      </c>
      <c r="K6" s="16" t="inlineStr">
        <is>
          <t>Assistante RH</t>
        </is>
      </c>
      <c r="L6" s="16" t="inlineStr">
        <is>
          <t>ATS + IA ameliore le processus</t>
        </is>
      </c>
    </row>
    <row r="7" ht="22" customHeight="1">
      <c r="B7" s="13" t="inlineStr">
        <is>
          <t>TDB-003</t>
        </is>
      </c>
      <c r="C7" s="13" t="inlineStr">
        <is>
          <t>Cout moyen recrutement (FCFA)</t>
        </is>
      </c>
      <c r="D7" s="13" t="inlineStr">
        <is>
          <t>Recrutement</t>
        </is>
      </c>
      <c r="E7" s="13" t="inlineStr">
        <is>
          <t>&lt;= 150000</t>
        </is>
      </c>
      <c r="F7" s="14" t="n">
        <v>125000</v>
      </c>
      <c r="G7" s="14" t="n">
        <v>180000</v>
      </c>
      <c r="H7" s="15" t="n"/>
      <c r="I7" s="13" t="inlineStr">
        <is>
          <t>Vert (OK)</t>
        </is>
      </c>
      <c r="J7" s="13" t="inlineStr">
        <is>
          <t>Trimestriel</t>
        </is>
      </c>
      <c r="K7" s="13" t="inlineStr">
        <is>
          <t>DRH</t>
        </is>
      </c>
      <c r="L7" s="13" t="inlineStr">
        <is>
          <t>Reduction via WTJ et cooptation</t>
        </is>
      </c>
    </row>
    <row r="8" ht="22" customHeight="1">
      <c r="B8" s="16" t="inlineStr">
        <is>
          <t>TDB-004</t>
        </is>
      </c>
      <c r="C8" s="16" t="inlineStr">
        <is>
          <t>Heures formation / employe</t>
        </is>
      </c>
      <c r="D8" s="16" t="inlineStr">
        <is>
          <t>Formation</t>
        </is>
      </c>
      <c r="E8" s="16" t="inlineStr">
        <is>
          <t>&gt;= 20</t>
        </is>
      </c>
      <c r="F8" s="17" t="n">
        <v>12.5</v>
      </c>
      <c r="G8" s="17" t="n">
        <v>8</v>
      </c>
      <c r="H8" s="18" t="n"/>
      <c r="I8" s="16" t="inlineStr">
        <is>
          <t>Orange (Attention)</t>
        </is>
      </c>
      <c r="J8" s="16" t="inlineStr">
        <is>
          <t>Trimestriel</t>
        </is>
      </c>
      <c r="K8" s="16" t="inlineStr">
        <is>
          <t>DRH</t>
        </is>
      </c>
      <c r="L8" s="16" t="inlineStr">
        <is>
          <t>Programme e-learning renforce en cours</t>
        </is>
      </c>
    </row>
    <row r="9" ht="22" customHeight="1">
      <c r="B9" s="13" t="inlineStr">
        <is>
          <t>TDB-005</t>
        </is>
      </c>
      <c r="C9" s="13" t="inlineStr">
        <is>
          <t>Taux absentéisme</t>
        </is>
      </c>
      <c r="D9" s="13" t="inlineStr">
        <is>
          <t>Presence</t>
        </is>
      </c>
      <c r="E9" s="13" t="inlineStr">
        <is>
          <t>&lt;= 5%</t>
        </is>
      </c>
      <c r="F9" s="14" t="n">
        <v>0.065</v>
      </c>
      <c r="G9" s="14" t="n">
        <v>0.058</v>
      </c>
      <c r="H9" s="15" t="n"/>
      <c r="I9" s="13" t="inlineStr">
        <is>
          <t>Rouge (Alerte)</t>
        </is>
      </c>
      <c r="J9" s="13" t="inlineStr">
        <is>
          <t>Mensuel</t>
        </is>
      </c>
      <c r="K9" s="13" t="inlineStr">
        <is>
          <t>DRH</t>
        </is>
      </c>
      <c r="L9" s="13" t="inlineStr">
        <is>
          <t>Pic grippe fevrier, plan d'action en cours</t>
        </is>
      </c>
    </row>
    <row r="10" ht="22" customHeight="1">
      <c r="B10" s="19">
        <f>IF(C10="","TDB-"&amp;TEXT(COUNTA($C$5:C10),"000"))</f>
        <v/>
      </c>
      <c r="C10" s="16" t="n"/>
      <c r="D10" s="16" t="n"/>
      <c r="E10" s="16" t="n"/>
      <c r="F10" s="17" t="n"/>
      <c r="G10" s="17" t="n"/>
      <c r="H10" s="18">
        <f>IF(OR(F10="",G10=""),"",F10-G10)</f>
        <v/>
      </c>
      <c r="I10" s="16" t="n"/>
      <c r="J10" s="16" t="n"/>
      <c r="K10" s="16" t="n"/>
      <c r="L10" s="16" t="n"/>
    </row>
    <row r="11" ht="22" customHeight="1">
      <c r="B11" s="20">
        <f>IF(C11="","TDB-"&amp;TEXT(COUNTA($C$5:C11),"000"))</f>
        <v/>
      </c>
      <c r="C11" s="13" t="n"/>
      <c r="D11" s="13" t="n"/>
      <c r="E11" s="13" t="n"/>
      <c r="F11" s="14" t="n"/>
      <c r="G11" s="14" t="n"/>
      <c r="H11" s="15">
        <f>IF(OR(F11="",G11=""),"",F11-G11)</f>
        <v/>
      </c>
      <c r="I11" s="13" t="n"/>
      <c r="J11" s="13" t="n"/>
      <c r="K11" s="13" t="n"/>
      <c r="L11" s="13" t="n"/>
    </row>
    <row r="12" ht="22" customHeight="1">
      <c r="B12" s="19">
        <f>IF(C12="","TDB-"&amp;TEXT(COUNTA($C$5:C12),"000"))</f>
        <v/>
      </c>
      <c r="C12" s="16" t="n"/>
      <c r="D12" s="16" t="n"/>
      <c r="E12" s="16" t="n"/>
      <c r="F12" s="17" t="n"/>
      <c r="G12" s="17" t="n"/>
      <c r="H12" s="18">
        <f>IF(OR(F12="",G12=""),"",F12-G12)</f>
        <v/>
      </c>
      <c r="I12" s="16" t="n"/>
      <c r="J12" s="16" t="n"/>
      <c r="K12" s="16" t="n"/>
      <c r="L12" s="16" t="n"/>
    </row>
    <row r="13" ht="22" customHeight="1">
      <c r="B13" s="20">
        <f>IF(C13="","TDB-"&amp;TEXT(COUNTA($C$5:C13),"000"))</f>
        <v/>
      </c>
      <c r="C13" s="13" t="n"/>
      <c r="D13" s="13" t="n"/>
      <c r="E13" s="13" t="n"/>
      <c r="F13" s="14" t="n"/>
      <c r="G13" s="14" t="n"/>
      <c r="H13" s="15">
        <f>IF(OR(F13="",G13=""),"",F13-G13)</f>
        <v/>
      </c>
      <c r="I13" s="13" t="n"/>
      <c r="J13" s="13" t="n"/>
      <c r="K13" s="13" t="n"/>
      <c r="L13" s="13" t="n"/>
    </row>
    <row r="14" ht="22" customHeight="1">
      <c r="B14" s="19">
        <f>IF(C14="","TDB-"&amp;TEXT(COUNTA($C$5:C14),"000"))</f>
        <v/>
      </c>
      <c r="C14" s="16" t="n"/>
      <c r="D14" s="16" t="n"/>
      <c r="E14" s="16" t="n"/>
      <c r="F14" s="17" t="n"/>
      <c r="G14" s="17" t="n"/>
      <c r="H14" s="18">
        <f>IF(OR(F14="",G14=""),"",F14-G14)</f>
        <v/>
      </c>
      <c r="I14" s="16" t="n"/>
      <c r="J14" s="16" t="n"/>
      <c r="K14" s="16" t="n"/>
      <c r="L14" s="16" t="n"/>
    </row>
    <row r="15" ht="22" customHeight="1">
      <c r="B15" s="20">
        <f>IF(C15="","TDB-"&amp;TEXT(COUNTA($C$5:C15),"000"))</f>
        <v/>
      </c>
      <c r="C15" s="13" t="n"/>
      <c r="D15" s="13" t="n"/>
      <c r="E15" s="13" t="n"/>
      <c r="F15" s="14" t="n"/>
      <c r="G15" s="14" t="n"/>
      <c r="H15" s="15">
        <f>IF(OR(F15="",G15=""),"",F15-G15)</f>
        <v/>
      </c>
      <c r="I15" s="13" t="n"/>
      <c r="J15" s="13" t="n"/>
      <c r="K15" s="13" t="n"/>
      <c r="L15" s="13" t="n"/>
    </row>
    <row r="16" ht="22" customHeight="1">
      <c r="B16" s="19">
        <f>IF(C16="","TDB-"&amp;TEXT(COUNTA($C$5:C16),"000"))</f>
        <v/>
      </c>
      <c r="C16" s="16" t="n"/>
      <c r="D16" s="16" t="n"/>
      <c r="E16" s="16" t="n"/>
      <c r="F16" s="17" t="n"/>
      <c r="G16" s="17" t="n"/>
      <c r="H16" s="18">
        <f>IF(OR(F16="",G16=""),"",F16-G16)</f>
        <v/>
      </c>
      <c r="I16" s="16" t="n"/>
      <c r="J16" s="16" t="n"/>
      <c r="K16" s="16" t="n"/>
      <c r="L16" s="16" t="n"/>
    </row>
    <row r="17" ht="22" customHeight="1">
      <c r="B17" s="20">
        <f>IF(C17="","TDB-"&amp;TEXT(COUNTA($C$5:C17),"000"))</f>
        <v/>
      </c>
      <c r="C17" s="13" t="n"/>
      <c r="D17" s="13" t="n"/>
      <c r="E17" s="13" t="n"/>
      <c r="F17" s="14" t="n"/>
      <c r="G17" s="14" t="n"/>
      <c r="H17" s="15">
        <f>IF(OR(F17="",G17=""),"",F17-G17)</f>
        <v/>
      </c>
      <c r="I17" s="13" t="n"/>
      <c r="J17" s="13" t="n"/>
      <c r="K17" s="13" t="n"/>
      <c r="L17" s="13" t="n"/>
    </row>
    <row r="18" ht="22" customHeight="1">
      <c r="B18" s="19">
        <f>IF(C18="","TDB-"&amp;TEXT(COUNTA($C$5:C18),"000"))</f>
        <v/>
      </c>
      <c r="C18" s="16" t="n"/>
      <c r="D18" s="16" t="n"/>
      <c r="E18" s="16" t="n"/>
      <c r="F18" s="17" t="n"/>
      <c r="G18" s="17" t="n"/>
      <c r="H18" s="18">
        <f>IF(OR(F18="",G18=""),"",F18-G18)</f>
        <v/>
      </c>
      <c r="I18" s="16" t="n"/>
      <c r="J18" s="16" t="n"/>
      <c r="K18" s="16" t="n"/>
      <c r="L18" s="16" t="n"/>
    </row>
    <row r="19" ht="22" customHeight="1">
      <c r="B19" s="20">
        <f>IF(C19="","TDB-"&amp;TEXT(COUNTA($C$5:C19),"000"))</f>
        <v/>
      </c>
      <c r="C19" s="13" t="n"/>
      <c r="D19" s="13" t="n"/>
      <c r="E19" s="13" t="n"/>
      <c r="F19" s="14" t="n"/>
      <c r="G19" s="14" t="n"/>
      <c r="H19" s="15">
        <f>IF(OR(F19="",G19=""),"",F19-G19)</f>
        <v/>
      </c>
      <c r="I19" s="13" t="n"/>
      <c r="J19" s="13" t="n"/>
      <c r="K19" s="13" t="n"/>
      <c r="L19" s="13" t="n"/>
    </row>
    <row r="20" ht="22" customHeight="1">
      <c r="B20" s="19">
        <f>IF(C20="","TDB-"&amp;TEXT(COUNTA($C$5:C20),"000"))</f>
        <v/>
      </c>
      <c r="C20" s="16" t="n"/>
      <c r="D20" s="16" t="n"/>
      <c r="E20" s="16" t="n"/>
      <c r="F20" s="17" t="n"/>
      <c r="G20" s="17" t="n"/>
      <c r="H20" s="18">
        <f>IF(OR(F20="",G20=""),"",F20-G20)</f>
        <v/>
      </c>
      <c r="I20" s="16" t="n"/>
      <c r="J20" s="16" t="n"/>
      <c r="K20" s="16" t="n"/>
      <c r="L20" s="16" t="n"/>
    </row>
    <row r="21" ht="22" customHeight="1">
      <c r="B21" s="20">
        <f>IF(C21="","TDB-"&amp;TEXT(COUNTA($C$5:C21),"000"))</f>
        <v/>
      </c>
      <c r="C21" s="13" t="n"/>
      <c r="D21" s="13" t="n"/>
      <c r="E21" s="13" t="n"/>
      <c r="F21" s="14" t="n"/>
      <c r="G21" s="14" t="n"/>
      <c r="H21" s="15">
        <f>IF(OR(F21="",G21=""),"",F21-G21)</f>
        <v/>
      </c>
      <c r="I21" s="13" t="n"/>
      <c r="J21" s="13" t="n"/>
      <c r="K21" s="13" t="n"/>
      <c r="L21" s="13" t="n"/>
    </row>
    <row r="22" ht="22" customHeight="1">
      <c r="B22" s="19">
        <f>IF(C22="","TDB-"&amp;TEXT(COUNTA($C$5:C22),"000"))</f>
        <v/>
      </c>
      <c r="C22" s="16" t="n"/>
      <c r="D22" s="16" t="n"/>
      <c r="E22" s="16" t="n"/>
      <c r="F22" s="17" t="n"/>
      <c r="G22" s="17" t="n"/>
      <c r="H22" s="18">
        <f>IF(OR(F22="",G22=""),"",F22-G22)</f>
        <v/>
      </c>
      <c r="I22" s="16" t="n"/>
      <c r="J22" s="16" t="n"/>
      <c r="K22" s="16" t="n"/>
      <c r="L22" s="16" t="n"/>
    </row>
    <row r="23" ht="22" customHeight="1">
      <c r="B23" s="20">
        <f>IF(C23="","TDB-"&amp;TEXT(COUNTA($C$5:C23),"000"))</f>
        <v/>
      </c>
      <c r="C23" s="13" t="n"/>
      <c r="D23" s="13" t="n"/>
      <c r="E23" s="13" t="n"/>
      <c r="F23" s="14" t="n"/>
      <c r="G23" s="14" t="n"/>
      <c r="H23" s="15">
        <f>IF(OR(F23="",G23=""),"",F23-G23)</f>
        <v/>
      </c>
      <c r="I23" s="13" t="n"/>
      <c r="J23" s="13" t="n"/>
      <c r="K23" s="13" t="n"/>
      <c r="L23" s="13" t="n"/>
    </row>
    <row r="24" ht="22" customHeight="1">
      <c r="B24" s="19">
        <f>IF(C24="","TDB-"&amp;TEXT(COUNTA($C$5:C24),"000"))</f>
        <v/>
      </c>
      <c r="C24" s="16" t="n"/>
      <c r="D24" s="16" t="n"/>
      <c r="E24" s="16" t="n"/>
      <c r="F24" s="17" t="n"/>
      <c r="G24" s="17" t="n"/>
      <c r="H24" s="18">
        <f>IF(OR(F24="",G24=""),"",F24-G24)</f>
        <v/>
      </c>
      <c r="I24" s="16" t="n"/>
      <c r="J24" s="16" t="n"/>
      <c r="K24" s="16" t="n"/>
      <c r="L24" s="16" t="n"/>
    </row>
    <row r="25" ht="22" customHeight="1">
      <c r="B25" s="20">
        <f>IF(C25="","TDB-"&amp;TEXT(COUNTA($C$5:C25),"000"))</f>
        <v/>
      </c>
      <c r="C25" s="13" t="n"/>
      <c r="D25" s="13" t="n"/>
      <c r="E25" s="13" t="n"/>
      <c r="F25" s="14" t="n"/>
      <c r="G25" s="14" t="n"/>
      <c r="H25" s="15">
        <f>IF(OR(F25="",G25=""),"",F25-G25)</f>
        <v/>
      </c>
      <c r="I25" s="13" t="n"/>
      <c r="J25" s="13" t="n"/>
      <c r="K25" s="13" t="n"/>
      <c r="L25" s="13" t="n"/>
    </row>
    <row r="26" ht="22" customHeight="1">
      <c r="B26" s="19">
        <f>IF(C26="","TDB-"&amp;TEXT(COUNTA($C$5:C26),"000"))</f>
        <v/>
      </c>
      <c r="C26" s="16" t="n"/>
      <c r="D26" s="16" t="n"/>
      <c r="E26" s="16" t="n"/>
      <c r="F26" s="17" t="n"/>
      <c r="G26" s="17" t="n"/>
      <c r="H26" s="18">
        <f>IF(OR(F26="",G26=""),"",F26-G26)</f>
        <v/>
      </c>
      <c r="I26" s="16" t="n"/>
      <c r="J26" s="16" t="n"/>
      <c r="K26" s="16" t="n"/>
      <c r="L26" s="16" t="n"/>
    </row>
    <row r="27" ht="22" customHeight="1">
      <c r="B27" s="20">
        <f>IF(C27="","TDB-"&amp;TEXT(COUNTA($C$5:C27),"000"))</f>
        <v/>
      </c>
      <c r="C27" s="13" t="n"/>
      <c r="D27" s="13" t="n"/>
      <c r="E27" s="13" t="n"/>
      <c r="F27" s="14" t="n"/>
      <c r="G27" s="14" t="n"/>
      <c r="H27" s="15">
        <f>IF(OR(F27="",G27=""),"",F27-G27)</f>
        <v/>
      </c>
      <c r="I27" s="13" t="n"/>
      <c r="J27" s="13" t="n"/>
      <c r="K27" s="13" t="n"/>
      <c r="L27" s="13" t="n"/>
    </row>
    <row r="28" ht="22" customHeight="1">
      <c r="B28" s="19">
        <f>IF(C28="","TDB-"&amp;TEXT(COUNTA($C$5:C28),"000"))</f>
        <v/>
      </c>
      <c r="C28" s="16" t="n"/>
      <c r="D28" s="16" t="n"/>
      <c r="E28" s="16" t="n"/>
      <c r="F28" s="17" t="n"/>
      <c r="G28" s="17" t="n"/>
      <c r="H28" s="18">
        <f>IF(OR(F28="",G28=""),"",F28-G28)</f>
        <v/>
      </c>
      <c r="I28" s="16" t="n"/>
      <c r="J28" s="16" t="n"/>
      <c r="K28" s="16" t="n"/>
      <c r="L28" s="16" t="n"/>
    </row>
    <row r="29" ht="22" customHeight="1">
      <c r="B29" s="20">
        <f>IF(C29="","TDB-"&amp;TEXT(COUNTA($C$5:C29),"000"))</f>
        <v/>
      </c>
      <c r="C29" s="13" t="n"/>
      <c r="D29" s="13" t="n"/>
      <c r="E29" s="13" t="n"/>
      <c r="F29" s="14" t="n"/>
      <c r="G29" s="14" t="n"/>
      <c r="H29" s="15">
        <f>IF(OR(F29="",G29=""),"",F29-G29)</f>
        <v/>
      </c>
      <c r="I29" s="13" t="n"/>
      <c r="J29" s="13" t="n"/>
      <c r="K29" s="13" t="n"/>
      <c r="L29" s="13" t="n"/>
    </row>
    <row r="30" ht="22" customHeight="1">
      <c r="B30" s="19">
        <f>IF(C30="","TDB-"&amp;TEXT(COUNTA($C$5:C30),"000"))</f>
        <v/>
      </c>
      <c r="C30" s="16" t="n"/>
      <c r="D30" s="16" t="n"/>
      <c r="E30" s="16" t="n"/>
      <c r="F30" s="17" t="n"/>
      <c r="G30" s="17" t="n"/>
      <c r="H30" s="18">
        <f>IF(OR(F30="",G30=""),"",F30-G30)</f>
        <v/>
      </c>
      <c r="I30" s="16" t="n"/>
      <c r="J30" s="16" t="n"/>
      <c r="K30" s="16" t="n"/>
      <c r="L30" s="16" t="n"/>
    </row>
    <row r="31" ht="22" customHeight="1">
      <c r="B31" s="20">
        <f>IF(C31="","TDB-"&amp;TEXT(COUNTA($C$5:C31),"000"))</f>
        <v/>
      </c>
      <c r="C31" s="13" t="n"/>
      <c r="D31" s="13" t="n"/>
      <c r="E31" s="13" t="n"/>
      <c r="F31" s="14" t="n"/>
      <c r="G31" s="14" t="n"/>
      <c r="H31" s="15">
        <f>IF(OR(F31="",G31=""),"",F31-G31)</f>
        <v/>
      </c>
      <c r="I31" s="13" t="n"/>
      <c r="J31" s="13" t="n"/>
      <c r="K31" s="13" t="n"/>
      <c r="L31" s="13" t="n"/>
    </row>
    <row r="32" ht="22" customHeight="1">
      <c r="B32" s="19">
        <f>IF(C32="","TDB-"&amp;TEXT(COUNTA($C$5:C32),"000"))</f>
        <v/>
      </c>
      <c r="C32" s="16" t="n"/>
      <c r="D32" s="16" t="n"/>
      <c r="E32" s="16" t="n"/>
      <c r="F32" s="17" t="n"/>
      <c r="G32" s="17" t="n"/>
      <c r="H32" s="18">
        <f>IF(OR(F32="",G32=""),"",F32-G32)</f>
        <v/>
      </c>
      <c r="I32" s="16" t="n"/>
      <c r="J32" s="16" t="n"/>
      <c r="K32" s="16" t="n"/>
      <c r="L32" s="16" t="n"/>
    </row>
    <row r="33" ht="22" customHeight="1">
      <c r="B33" s="20">
        <f>IF(C33="","TDB-"&amp;TEXT(COUNTA($C$5:C33),"000"))</f>
        <v/>
      </c>
      <c r="C33" s="13" t="n"/>
      <c r="D33" s="13" t="n"/>
      <c r="E33" s="13" t="n"/>
      <c r="F33" s="14" t="n"/>
      <c r="G33" s="14" t="n"/>
      <c r="H33" s="15">
        <f>IF(OR(F33="",G33=""),"",F33-G33)</f>
        <v/>
      </c>
      <c r="I33" s="13" t="n"/>
      <c r="J33" s="13" t="n"/>
      <c r="K33" s="13" t="n"/>
      <c r="L33" s="13" t="n"/>
    </row>
    <row r="34" ht="22" customHeight="1">
      <c r="B34" s="19">
        <f>IF(C34="","TDB-"&amp;TEXT(COUNTA($C$5:C34),"000"))</f>
        <v/>
      </c>
      <c r="C34" s="16" t="n"/>
      <c r="D34" s="16" t="n"/>
      <c r="E34" s="16" t="n"/>
      <c r="F34" s="17" t="n"/>
      <c r="G34" s="17" t="n"/>
      <c r="H34" s="18">
        <f>IF(OR(F34="",G34=""),"",F34-G34)</f>
        <v/>
      </c>
      <c r="I34" s="16" t="n"/>
      <c r="J34" s="16" t="n"/>
      <c r="K34" s="16" t="n"/>
      <c r="L34" s="16" t="n"/>
    </row>
    <row r="35" ht="22" customHeight="1">
      <c r="B35" s="20">
        <f>IF(C35="","TDB-"&amp;TEXT(COUNTA($C$5:C35),"000"))</f>
        <v/>
      </c>
      <c r="C35" s="13" t="n"/>
      <c r="D35" s="13" t="n"/>
      <c r="E35" s="13" t="n"/>
      <c r="F35" s="14" t="n"/>
      <c r="G35" s="14" t="n"/>
      <c r="H35" s="15">
        <f>IF(OR(F35="",G35=""),"",F35-G35)</f>
        <v/>
      </c>
      <c r="I35" s="13" t="n"/>
      <c r="J35" s="13" t="n"/>
      <c r="K35" s="13" t="n"/>
      <c r="L35" s="13" t="n"/>
    </row>
    <row r="36" ht="22" customHeight="1">
      <c r="B36" s="19">
        <f>IF(C36="","TDB-"&amp;TEXT(COUNTA($C$5:C36),"000"))</f>
        <v/>
      </c>
      <c r="C36" s="16" t="n"/>
      <c r="D36" s="16" t="n"/>
      <c r="E36" s="16" t="n"/>
      <c r="F36" s="17" t="n"/>
      <c r="G36" s="17" t="n"/>
      <c r="H36" s="18">
        <f>IF(OR(F36="",G36=""),"",F36-G36)</f>
        <v/>
      </c>
      <c r="I36" s="16" t="n"/>
      <c r="J36" s="16" t="n"/>
      <c r="K36" s="16" t="n"/>
      <c r="L36" s="16" t="n"/>
    </row>
    <row r="37" ht="22" customHeight="1">
      <c r="B37" s="20">
        <f>IF(C37="","TDB-"&amp;TEXT(COUNTA($C$5:C37),"000"))</f>
        <v/>
      </c>
      <c r="C37" s="13" t="n"/>
      <c r="D37" s="13" t="n"/>
      <c r="E37" s="13" t="n"/>
      <c r="F37" s="14" t="n"/>
      <c r="G37" s="14" t="n"/>
      <c r="H37" s="15">
        <f>IF(OR(F37="",G37=""),"",F37-G37)</f>
        <v/>
      </c>
      <c r="I37" s="13" t="n"/>
      <c r="J37" s="13" t="n"/>
      <c r="K37" s="13" t="n"/>
      <c r="L37" s="13" t="n"/>
    </row>
    <row r="38" ht="22" customHeight="1">
      <c r="B38" s="19">
        <f>IF(C38="","TDB-"&amp;TEXT(COUNTA($C$5:C38),"000"))</f>
        <v/>
      </c>
      <c r="C38" s="16" t="n"/>
      <c r="D38" s="16" t="n"/>
      <c r="E38" s="16" t="n"/>
      <c r="F38" s="17" t="n"/>
      <c r="G38" s="17" t="n"/>
      <c r="H38" s="18">
        <f>IF(OR(F38="",G38=""),"",F38-G38)</f>
        <v/>
      </c>
      <c r="I38" s="16" t="n"/>
      <c r="J38" s="16" t="n"/>
      <c r="K38" s="16" t="n"/>
      <c r="L38" s="16" t="n"/>
    </row>
    <row r="39" ht="22" customHeight="1">
      <c r="B39" s="20">
        <f>IF(C39="","TDB-"&amp;TEXT(COUNTA($C$5:C39),"000"))</f>
        <v/>
      </c>
      <c r="C39" s="13" t="n"/>
      <c r="D39" s="13" t="n"/>
      <c r="E39" s="13" t="n"/>
      <c r="F39" s="14" t="n"/>
      <c r="G39" s="14" t="n"/>
      <c r="H39" s="15">
        <f>IF(OR(F39="",G39=""),"",F39-G39)</f>
        <v/>
      </c>
      <c r="I39" s="13" t="n"/>
      <c r="J39" s="13" t="n"/>
      <c r="K39" s="13" t="n"/>
      <c r="L39" s="13" t="n"/>
    </row>
    <row r="40" ht="22" customHeight="1">
      <c r="B40" s="19">
        <f>IF(C40="","TDB-"&amp;TEXT(COUNTA($C$5:C40),"000"))</f>
        <v/>
      </c>
      <c r="C40" s="16" t="n"/>
      <c r="D40" s="16" t="n"/>
      <c r="E40" s="16" t="n"/>
      <c r="F40" s="17" t="n"/>
      <c r="G40" s="17" t="n"/>
      <c r="H40" s="18">
        <f>IF(OR(F40="",G40=""),"",F40-G40)</f>
        <v/>
      </c>
      <c r="I40" s="16" t="n"/>
      <c r="J40" s="16" t="n"/>
      <c r="K40" s="16" t="n"/>
      <c r="L40" s="16" t="n"/>
    </row>
    <row r="41" ht="22" customHeight="1">
      <c r="B41" s="20">
        <f>IF(C41="","TDB-"&amp;TEXT(COUNTA($C$5:C41),"000"))</f>
        <v/>
      </c>
      <c r="C41" s="13" t="n"/>
      <c r="D41" s="13" t="n"/>
      <c r="E41" s="13" t="n"/>
      <c r="F41" s="14" t="n"/>
      <c r="G41" s="14" t="n"/>
      <c r="H41" s="15">
        <f>IF(OR(F41="",G41=""),"",F41-G41)</f>
        <v/>
      </c>
      <c r="I41" s="13" t="n"/>
      <c r="J41" s="13" t="n"/>
      <c r="K41" s="13" t="n"/>
      <c r="L41" s="13" t="n"/>
    </row>
    <row r="42" ht="22" customHeight="1">
      <c r="B42" s="19">
        <f>IF(C42="","TDB-"&amp;TEXT(COUNTA($C$5:C42),"000"))</f>
        <v/>
      </c>
      <c r="C42" s="16" t="n"/>
      <c r="D42" s="16" t="n"/>
      <c r="E42" s="16" t="n"/>
      <c r="F42" s="17" t="n"/>
      <c r="G42" s="17" t="n"/>
      <c r="H42" s="18">
        <f>IF(OR(F42="",G42=""),"",F42-G42)</f>
        <v/>
      </c>
      <c r="I42" s="16" t="n"/>
      <c r="J42" s="16" t="n"/>
      <c r="K42" s="16" t="n"/>
      <c r="L42" s="16" t="n"/>
    </row>
    <row r="43" ht="22" customHeight="1">
      <c r="B43" s="20">
        <f>IF(C43="","TDB-"&amp;TEXT(COUNTA($C$5:C43),"000"))</f>
        <v/>
      </c>
      <c r="C43" s="13" t="n"/>
      <c r="D43" s="13" t="n"/>
      <c r="E43" s="13" t="n"/>
      <c r="F43" s="14" t="n"/>
      <c r="G43" s="14" t="n"/>
      <c r="H43" s="15">
        <f>IF(OR(F43="",G43=""),"",F43-G43)</f>
        <v/>
      </c>
      <c r="I43" s="13" t="n"/>
      <c r="J43" s="13" t="n"/>
      <c r="K43" s="13" t="n"/>
      <c r="L43" s="13" t="n"/>
    </row>
    <row r="44" ht="22" customHeight="1">
      <c r="B44" s="19">
        <f>IF(C44="","TDB-"&amp;TEXT(COUNTA($C$5:C44),"000"))</f>
        <v/>
      </c>
      <c r="C44" s="16" t="n"/>
      <c r="D44" s="16" t="n"/>
      <c r="E44" s="16" t="n"/>
      <c r="F44" s="17" t="n"/>
      <c r="G44" s="17" t="n"/>
      <c r="H44" s="18">
        <f>IF(OR(F44="",G44=""),"",F44-G44)</f>
        <v/>
      </c>
      <c r="I44" s="16" t="n"/>
      <c r="J44" s="16" t="n"/>
      <c r="K44" s="16" t="n"/>
      <c r="L44" s="16" t="n"/>
    </row>
    <row r="45" ht="22" customHeight="1">
      <c r="B45" s="20">
        <f>IF(C45="","TDB-"&amp;TEXT(COUNTA($C$5:C45),"000"))</f>
        <v/>
      </c>
      <c r="C45" s="13" t="n"/>
      <c r="D45" s="13" t="n"/>
      <c r="E45" s="13" t="n"/>
      <c r="F45" s="14" t="n"/>
      <c r="G45" s="14" t="n"/>
      <c r="H45" s="15">
        <f>IF(OR(F45="",G45=""),"",F45-G45)</f>
        <v/>
      </c>
      <c r="I45" s="13" t="n"/>
      <c r="J45" s="13" t="n"/>
      <c r="K45" s="13" t="n"/>
      <c r="L45" s="13" t="n"/>
    </row>
    <row r="46" ht="22" customHeight="1">
      <c r="B46" s="19">
        <f>IF(C46="","TDB-"&amp;TEXT(COUNTA($C$5:C46),"000"))</f>
        <v/>
      </c>
      <c r="C46" s="16" t="n"/>
      <c r="D46" s="16" t="n"/>
      <c r="E46" s="16" t="n"/>
      <c r="F46" s="17" t="n"/>
      <c r="G46" s="17" t="n"/>
      <c r="H46" s="18">
        <f>IF(OR(F46="",G46=""),"",F46-G46)</f>
        <v/>
      </c>
      <c r="I46" s="16" t="n"/>
      <c r="J46" s="16" t="n"/>
      <c r="K46" s="16" t="n"/>
      <c r="L46" s="16" t="n"/>
    </row>
    <row r="47" ht="22" customHeight="1">
      <c r="B47" s="20">
        <f>IF(C47="","TDB-"&amp;TEXT(COUNTA($C$5:C47),"000"))</f>
        <v/>
      </c>
      <c r="C47" s="13" t="n"/>
      <c r="D47" s="13" t="n"/>
      <c r="E47" s="13" t="n"/>
      <c r="F47" s="14" t="n"/>
      <c r="G47" s="14" t="n"/>
      <c r="H47" s="15">
        <f>IF(OR(F47="",G47=""),"",F47-G47)</f>
        <v/>
      </c>
      <c r="I47" s="13" t="n"/>
      <c r="J47" s="13" t="n"/>
      <c r="K47" s="13" t="n"/>
      <c r="L47" s="13" t="n"/>
    </row>
    <row r="48" ht="22" customHeight="1">
      <c r="B48" s="19">
        <f>IF(C48="","TDB-"&amp;TEXT(COUNTA($C$5:C48),"000"))</f>
        <v/>
      </c>
      <c r="C48" s="16" t="n"/>
      <c r="D48" s="16" t="n"/>
      <c r="E48" s="16" t="n"/>
      <c r="F48" s="17" t="n"/>
      <c r="G48" s="17" t="n"/>
      <c r="H48" s="18">
        <f>IF(OR(F48="",G48=""),"",F48-G48)</f>
        <v/>
      </c>
      <c r="I48" s="16" t="n"/>
      <c r="J48" s="16" t="n"/>
      <c r="K48" s="16" t="n"/>
      <c r="L48" s="16" t="n"/>
    </row>
    <row r="49" ht="22" customHeight="1">
      <c r="B49" s="20">
        <f>IF(C49="","TDB-"&amp;TEXT(COUNTA($C$5:C49),"000"))</f>
        <v/>
      </c>
      <c r="C49" s="13" t="n"/>
      <c r="D49" s="13" t="n"/>
      <c r="E49" s="13" t="n"/>
      <c r="F49" s="14" t="n"/>
      <c r="G49" s="14" t="n"/>
      <c r="H49" s="15">
        <f>IF(OR(F49="",G49=""),"",F49-G49)</f>
        <v/>
      </c>
      <c r="I49" s="13" t="n"/>
      <c r="J49" s="13" t="n"/>
      <c r="K49" s="13" t="n"/>
      <c r="L49" s="13" t="n"/>
    </row>
    <row r="50" ht="22" customHeight="1">
      <c r="B50" s="19">
        <f>IF(C50="","TDB-"&amp;TEXT(COUNTA($C$5:C50),"000"))</f>
        <v/>
      </c>
      <c r="C50" s="16" t="n"/>
      <c r="D50" s="16" t="n"/>
      <c r="E50" s="16" t="n"/>
      <c r="F50" s="17" t="n"/>
      <c r="G50" s="17" t="n"/>
      <c r="H50" s="18">
        <f>IF(OR(F50="",G50=""),"",F50-G50)</f>
        <v/>
      </c>
      <c r="I50" s="16" t="n"/>
      <c r="J50" s="16" t="n"/>
      <c r="K50" s="16" t="n"/>
      <c r="L50" s="16" t="n"/>
    </row>
    <row r="51" ht="22" customHeight="1">
      <c r="B51" s="20">
        <f>IF(C51="","TDB-"&amp;TEXT(COUNTA($C$5:C51),"000"))</f>
        <v/>
      </c>
      <c r="C51" s="13" t="n"/>
      <c r="D51" s="13" t="n"/>
      <c r="E51" s="13" t="n"/>
      <c r="F51" s="14" t="n"/>
      <c r="G51" s="14" t="n"/>
      <c r="H51" s="15">
        <f>IF(OR(F51="",G51=""),"",F51-G51)</f>
        <v/>
      </c>
      <c r="I51" s="13" t="n"/>
      <c r="J51" s="13" t="n"/>
      <c r="K51" s="13" t="n"/>
      <c r="L51" s="13" t="n"/>
    </row>
    <row r="52" ht="22" customHeight="1">
      <c r="B52" s="19">
        <f>IF(C52="","TDB-"&amp;TEXT(COUNTA($C$5:C52),"000"))</f>
        <v/>
      </c>
      <c r="C52" s="16" t="n"/>
      <c r="D52" s="16" t="n"/>
      <c r="E52" s="16" t="n"/>
      <c r="F52" s="17" t="n"/>
      <c r="G52" s="17" t="n"/>
      <c r="H52" s="18">
        <f>IF(OR(F52="",G52=""),"",F52-G52)</f>
        <v/>
      </c>
      <c r="I52" s="16" t="n"/>
      <c r="J52" s="16" t="n"/>
      <c r="K52" s="16" t="n"/>
      <c r="L52" s="16" t="n"/>
    </row>
    <row r="53" ht="22" customHeight="1">
      <c r="B53" s="20">
        <f>IF(C53="","TDB-"&amp;TEXT(COUNTA($C$5:C53),"000"))</f>
        <v/>
      </c>
      <c r="C53" s="13" t="n"/>
      <c r="D53" s="13" t="n"/>
      <c r="E53" s="13" t="n"/>
      <c r="F53" s="14" t="n"/>
      <c r="G53" s="14" t="n"/>
      <c r="H53" s="15">
        <f>IF(OR(F53="",G53=""),"",F53-G53)</f>
        <v/>
      </c>
      <c r="I53" s="13" t="n"/>
      <c r="J53" s="13" t="n"/>
      <c r="K53" s="13" t="n"/>
      <c r="L53" s="13" t="n"/>
    </row>
    <row r="54" ht="22" customHeight="1">
      <c r="B54" s="19">
        <f>IF(C54="","TDB-"&amp;TEXT(COUNTA($C$5:C54),"000"))</f>
        <v/>
      </c>
      <c r="C54" s="16" t="n"/>
      <c r="D54" s="16" t="n"/>
      <c r="E54" s="16" t="n"/>
      <c r="F54" s="17" t="n"/>
      <c r="G54" s="17" t="n"/>
      <c r="H54" s="18">
        <f>IF(OR(F54="",G54=""),"",F54-G54)</f>
        <v/>
      </c>
      <c r="I54" s="16" t="n"/>
      <c r="J54" s="16" t="n"/>
      <c r="K54" s="16" t="n"/>
      <c r="L54" s="16" t="n"/>
    </row>
    <row r="55" ht="22" customHeight="1">
      <c r="B55" s="20">
        <f>IF(C55="","TDB-"&amp;TEXT(COUNTA($C$5:C55),"000"))</f>
        <v/>
      </c>
      <c r="C55" s="13" t="n"/>
      <c r="D55" s="13" t="n"/>
      <c r="E55" s="13" t="n"/>
      <c r="F55" s="14" t="n"/>
      <c r="G55" s="14" t="n"/>
      <c r="H55" s="15">
        <f>IF(OR(F55="",G55=""),"",F55-G55)</f>
        <v/>
      </c>
      <c r="I55" s="13" t="n"/>
      <c r="J55" s="13" t="n"/>
      <c r="K55" s="13" t="n"/>
      <c r="L55" s="13" t="n"/>
    </row>
    <row r="56" ht="22" customHeight="1">
      <c r="B56" s="19">
        <f>IF(C56="","TDB-"&amp;TEXT(COUNTA($C$5:C56),"000"))</f>
        <v/>
      </c>
      <c r="C56" s="16" t="n"/>
      <c r="D56" s="16" t="n"/>
      <c r="E56" s="16" t="n"/>
      <c r="F56" s="17" t="n"/>
      <c r="G56" s="17" t="n"/>
      <c r="H56" s="18">
        <f>IF(OR(F56="",G56=""),"",F56-G56)</f>
        <v/>
      </c>
      <c r="I56" s="16" t="n"/>
      <c r="J56" s="16" t="n"/>
      <c r="K56" s="16" t="n"/>
      <c r="L56" s="16" t="n"/>
    </row>
    <row r="57" ht="22" customHeight="1">
      <c r="B57" s="20">
        <f>IF(C57="","TDB-"&amp;TEXT(COUNTA($C$5:C57),"000"))</f>
        <v/>
      </c>
      <c r="C57" s="13" t="n"/>
      <c r="D57" s="13" t="n"/>
      <c r="E57" s="13" t="n"/>
      <c r="F57" s="14" t="n"/>
      <c r="G57" s="14" t="n"/>
      <c r="H57" s="15">
        <f>IF(OR(F57="",G57=""),"",F57-G57)</f>
        <v/>
      </c>
      <c r="I57" s="13" t="n"/>
      <c r="J57" s="13" t="n"/>
      <c r="K57" s="13" t="n"/>
      <c r="L57" s="13" t="n"/>
    </row>
    <row r="58" ht="22" customHeight="1">
      <c r="B58" s="19">
        <f>IF(C58="","TDB-"&amp;TEXT(COUNTA($C$5:C58),"000"))</f>
        <v/>
      </c>
      <c r="C58" s="16" t="n"/>
      <c r="D58" s="16" t="n"/>
      <c r="E58" s="16" t="n"/>
      <c r="F58" s="17" t="n"/>
      <c r="G58" s="17" t="n"/>
      <c r="H58" s="18">
        <f>IF(OR(F58="",G58=""),"",F58-G58)</f>
        <v/>
      </c>
      <c r="I58" s="16" t="n"/>
      <c r="J58" s="16" t="n"/>
      <c r="K58" s="16" t="n"/>
      <c r="L58" s="16" t="n"/>
    </row>
    <row r="59" ht="22" customHeight="1">
      <c r="B59" s="20">
        <f>IF(C59="","TDB-"&amp;TEXT(COUNTA($C$5:C59),"000"))</f>
        <v/>
      </c>
      <c r="C59" s="13" t="n"/>
      <c r="D59" s="13" t="n"/>
      <c r="E59" s="13" t="n"/>
      <c r="F59" s="14" t="n"/>
      <c r="G59" s="14" t="n"/>
      <c r="H59" s="15">
        <f>IF(OR(F59="",G59=""),"",F59-G59)</f>
        <v/>
      </c>
      <c r="I59" s="13" t="n"/>
      <c r="J59" s="13" t="n"/>
      <c r="K59" s="13" t="n"/>
      <c r="L59" s="13" t="n"/>
    </row>
    <row r="60" ht="22" customHeight="1">
      <c r="B60" s="19">
        <f>IF(C60="","TDB-"&amp;TEXT(COUNTA($C$5:C60),"000"))</f>
        <v/>
      </c>
      <c r="C60" s="16" t="n"/>
      <c r="D60" s="16" t="n"/>
      <c r="E60" s="16" t="n"/>
      <c r="F60" s="17" t="n"/>
      <c r="G60" s="17" t="n"/>
      <c r="H60" s="18">
        <f>IF(OR(F60="",G60=""),"",F60-G60)</f>
        <v/>
      </c>
      <c r="I60" s="16" t="n"/>
      <c r="J60" s="16" t="n"/>
      <c r="K60" s="16" t="n"/>
      <c r="L60" s="16" t="n"/>
    </row>
    <row r="61" ht="22" customHeight="1">
      <c r="B61" s="20">
        <f>IF(C61="","TDB-"&amp;TEXT(COUNTA($C$5:C61),"000"))</f>
        <v/>
      </c>
      <c r="C61" s="13" t="n"/>
      <c r="D61" s="13" t="n"/>
      <c r="E61" s="13" t="n"/>
      <c r="F61" s="14" t="n"/>
      <c r="G61" s="14" t="n"/>
      <c r="H61" s="15">
        <f>IF(OR(F61="",G61=""),"",F61-G61)</f>
        <v/>
      </c>
      <c r="I61" s="13" t="n"/>
      <c r="J61" s="13" t="n"/>
      <c r="K61" s="13" t="n"/>
      <c r="L61" s="13" t="n"/>
    </row>
    <row r="62" ht="22" customHeight="1">
      <c r="B62" s="19">
        <f>IF(C62="","TDB-"&amp;TEXT(COUNTA($C$5:C62),"000"))</f>
        <v/>
      </c>
      <c r="C62" s="16" t="n"/>
      <c r="D62" s="16" t="n"/>
      <c r="E62" s="16" t="n"/>
      <c r="F62" s="17" t="n"/>
      <c r="G62" s="17" t="n"/>
      <c r="H62" s="18">
        <f>IF(OR(F62="",G62=""),"",F62-G62)</f>
        <v/>
      </c>
      <c r="I62" s="16" t="n"/>
      <c r="J62" s="16" t="n"/>
      <c r="K62" s="16" t="n"/>
      <c r="L62" s="16" t="n"/>
    </row>
    <row r="63" ht="22" customHeight="1">
      <c r="B63" s="20">
        <f>IF(C63="","TDB-"&amp;TEXT(COUNTA($C$5:C63),"000"))</f>
        <v/>
      </c>
      <c r="C63" s="13" t="n"/>
      <c r="D63" s="13" t="n"/>
      <c r="E63" s="13" t="n"/>
      <c r="F63" s="14" t="n"/>
      <c r="G63" s="14" t="n"/>
      <c r="H63" s="15">
        <f>IF(OR(F63="",G63=""),"",F63-G63)</f>
        <v/>
      </c>
      <c r="I63" s="13" t="n"/>
      <c r="J63" s="13" t="n"/>
      <c r="K63" s="13" t="n"/>
      <c r="L63" s="13" t="n"/>
    </row>
    <row r="64" ht="22" customHeight="1">
      <c r="B64" s="19">
        <f>IF(C64="","TDB-"&amp;TEXT(COUNTA($C$5:C64),"000"))</f>
        <v/>
      </c>
      <c r="C64" s="16" t="n"/>
      <c r="D64" s="16" t="n"/>
      <c r="E64" s="16" t="n"/>
      <c r="F64" s="17" t="n"/>
      <c r="G64" s="17" t="n"/>
      <c r="H64" s="18">
        <f>IF(OR(F64="",G64=""),"",F64-G64)</f>
        <v/>
      </c>
      <c r="I64" s="16" t="n"/>
      <c r="J64" s="16" t="n"/>
      <c r="K64" s="16" t="n"/>
      <c r="L64" s="16" t="n"/>
    </row>
    <row r="65" ht="22" customHeight="1">
      <c r="B65" s="20">
        <f>IF(C65="","TDB-"&amp;TEXT(COUNTA($C$5:C65),"000"))</f>
        <v/>
      </c>
      <c r="C65" s="13" t="n"/>
      <c r="D65" s="13" t="n"/>
      <c r="E65" s="13" t="n"/>
      <c r="F65" s="14" t="n"/>
      <c r="G65" s="14" t="n"/>
      <c r="H65" s="15">
        <f>IF(OR(F65="",G65=""),"",F65-G65)</f>
        <v/>
      </c>
      <c r="I65" s="13" t="n"/>
      <c r="J65" s="13" t="n"/>
      <c r="K65" s="13" t="n"/>
      <c r="L65" s="13" t="n"/>
    </row>
    <row r="66" ht="22" customHeight="1">
      <c r="B66" s="19">
        <f>IF(C66="","TDB-"&amp;TEXT(COUNTA($C$5:C66),"000"))</f>
        <v/>
      </c>
      <c r="C66" s="16" t="n"/>
      <c r="D66" s="16" t="n"/>
      <c r="E66" s="16" t="n"/>
      <c r="F66" s="17" t="n"/>
      <c r="G66" s="17" t="n"/>
      <c r="H66" s="18">
        <f>IF(OR(F66="",G66=""),"",F66-G66)</f>
        <v/>
      </c>
      <c r="I66" s="16" t="n"/>
      <c r="J66" s="16" t="n"/>
      <c r="K66" s="16" t="n"/>
      <c r="L66" s="16" t="n"/>
    </row>
    <row r="67" ht="22" customHeight="1">
      <c r="B67" s="20">
        <f>IF(C67="","TDB-"&amp;TEXT(COUNTA($C$5:C67),"000"))</f>
        <v/>
      </c>
      <c r="C67" s="13" t="n"/>
      <c r="D67" s="13" t="n"/>
      <c r="E67" s="13" t="n"/>
      <c r="F67" s="14" t="n"/>
      <c r="G67" s="14" t="n"/>
      <c r="H67" s="15">
        <f>IF(OR(F67="",G67=""),"",F67-G67)</f>
        <v/>
      </c>
      <c r="I67" s="13" t="n"/>
      <c r="J67" s="13" t="n"/>
      <c r="K67" s="13" t="n"/>
      <c r="L67" s="13" t="n"/>
    </row>
    <row r="68" ht="22" customHeight="1">
      <c r="B68" s="19">
        <f>IF(C68="","TDB-"&amp;TEXT(COUNTA($C$5:C68),"000"))</f>
        <v/>
      </c>
      <c r="C68" s="16" t="n"/>
      <c r="D68" s="16" t="n"/>
      <c r="E68" s="16" t="n"/>
      <c r="F68" s="17" t="n"/>
      <c r="G68" s="17" t="n"/>
      <c r="H68" s="18">
        <f>IF(OR(F68="",G68=""),"",F68-G68)</f>
        <v/>
      </c>
      <c r="I68" s="16" t="n"/>
      <c r="J68" s="16" t="n"/>
      <c r="K68" s="16" t="n"/>
      <c r="L68" s="16" t="n"/>
    </row>
    <row r="69" ht="22" customHeight="1">
      <c r="B69" s="20">
        <f>IF(C69="","TDB-"&amp;TEXT(COUNTA($C$5:C69),"000"))</f>
        <v/>
      </c>
      <c r="C69" s="13" t="n"/>
      <c r="D69" s="13" t="n"/>
      <c r="E69" s="13" t="n"/>
      <c r="F69" s="14" t="n"/>
      <c r="G69" s="14" t="n"/>
      <c r="H69" s="15">
        <f>IF(OR(F69="",G69=""),"",F69-G69)</f>
        <v/>
      </c>
      <c r="I69" s="13" t="n"/>
      <c r="J69" s="13" t="n"/>
      <c r="K69" s="13" t="n"/>
      <c r="L69" s="13" t="n"/>
    </row>
    <row r="70" ht="22" customHeight="1">
      <c r="B70" s="19">
        <f>IF(C70="","TDB-"&amp;TEXT(COUNTA($C$5:C70),"000"))</f>
        <v/>
      </c>
      <c r="C70" s="16" t="n"/>
      <c r="D70" s="16" t="n"/>
      <c r="E70" s="16" t="n"/>
      <c r="F70" s="17" t="n"/>
      <c r="G70" s="17" t="n"/>
      <c r="H70" s="18">
        <f>IF(OR(F70="",G70=""),"",F70-G70)</f>
        <v/>
      </c>
      <c r="I70" s="16" t="n"/>
      <c r="J70" s="16" t="n"/>
      <c r="K70" s="16" t="n"/>
      <c r="L70" s="16" t="n"/>
    </row>
    <row r="71" ht="22" customHeight="1">
      <c r="B71" s="20">
        <f>IF(C71="","TDB-"&amp;TEXT(COUNTA($C$5:C71),"000"))</f>
        <v/>
      </c>
      <c r="C71" s="13" t="n"/>
      <c r="D71" s="13" t="n"/>
      <c r="E71" s="13" t="n"/>
      <c r="F71" s="14" t="n"/>
      <c r="G71" s="14" t="n"/>
      <c r="H71" s="15">
        <f>IF(OR(F71="",G71=""),"",F71-G71)</f>
        <v/>
      </c>
      <c r="I71" s="13" t="n"/>
      <c r="J71" s="13" t="n"/>
      <c r="K71" s="13" t="n"/>
      <c r="L71" s="13" t="n"/>
    </row>
    <row r="72" ht="22" customHeight="1">
      <c r="B72" s="19">
        <f>IF(C72="","TDB-"&amp;TEXT(COUNTA($C$5:C72),"000"))</f>
        <v/>
      </c>
      <c r="C72" s="16" t="n"/>
      <c r="D72" s="16" t="n"/>
      <c r="E72" s="16" t="n"/>
      <c r="F72" s="17" t="n"/>
      <c r="G72" s="17" t="n"/>
      <c r="H72" s="18">
        <f>IF(OR(F72="",G72=""),"",F72-G72)</f>
        <v/>
      </c>
      <c r="I72" s="16" t="n"/>
      <c r="J72" s="16" t="n"/>
      <c r="K72" s="16" t="n"/>
      <c r="L72" s="16" t="n"/>
    </row>
    <row r="73" ht="22" customHeight="1">
      <c r="B73" s="20">
        <f>IF(C73="","TDB-"&amp;TEXT(COUNTA($C$5:C73),"000"))</f>
        <v/>
      </c>
      <c r="C73" s="13" t="n"/>
      <c r="D73" s="13" t="n"/>
      <c r="E73" s="13" t="n"/>
      <c r="F73" s="14" t="n"/>
      <c r="G73" s="14" t="n"/>
      <c r="H73" s="15">
        <f>IF(OR(F73="",G73=""),"",F73-G73)</f>
        <v/>
      </c>
      <c r="I73" s="13" t="n"/>
      <c r="J73" s="13" t="n"/>
      <c r="K73" s="13" t="n"/>
      <c r="L73" s="13" t="n"/>
    </row>
    <row r="74" ht="22" customHeight="1">
      <c r="B74" s="19">
        <f>IF(C74="","TDB-"&amp;TEXT(COUNTA($C$5:C74),"000"))</f>
        <v/>
      </c>
      <c r="C74" s="16" t="n"/>
      <c r="D74" s="16" t="n"/>
      <c r="E74" s="16" t="n"/>
      <c r="F74" s="17" t="n"/>
      <c r="G74" s="17" t="n"/>
      <c r="H74" s="18">
        <f>IF(OR(F74="",G74=""),"",F74-G74)</f>
        <v/>
      </c>
      <c r="I74" s="16" t="n"/>
      <c r="J74" s="16" t="n"/>
      <c r="K74" s="16" t="n"/>
      <c r="L74" s="16" t="n"/>
    </row>
    <row r="75" ht="22" customHeight="1">
      <c r="B75" s="20">
        <f>IF(C75="","TDB-"&amp;TEXT(COUNTA($C$5:C75),"000"))</f>
        <v/>
      </c>
      <c r="C75" s="13" t="n"/>
      <c r="D75" s="13" t="n"/>
      <c r="E75" s="13" t="n"/>
      <c r="F75" s="14" t="n"/>
      <c r="G75" s="14" t="n"/>
      <c r="H75" s="15">
        <f>IF(OR(F75="",G75=""),"",F75-G75)</f>
        <v/>
      </c>
      <c r="I75" s="13" t="n"/>
      <c r="J75" s="13" t="n"/>
      <c r="K75" s="13" t="n"/>
      <c r="L75" s="13" t="n"/>
    </row>
    <row r="76" ht="22" customHeight="1">
      <c r="B76" s="19">
        <f>IF(C76="","TDB-"&amp;TEXT(COUNTA($C$5:C76),"000"))</f>
        <v/>
      </c>
      <c r="C76" s="16" t="n"/>
      <c r="D76" s="16" t="n"/>
      <c r="E76" s="16" t="n"/>
      <c r="F76" s="17" t="n"/>
      <c r="G76" s="17" t="n"/>
      <c r="H76" s="18">
        <f>IF(OR(F76="",G76=""),"",F76-G76)</f>
        <v/>
      </c>
      <c r="I76" s="16" t="n"/>
      <c r="J76" s="16" t="n"/>
      <c r="K76" s="16" t="n"/>
      <c r="L76" s="16" t="n"/>
    </row>
    <row r="77" ht="22" customHeight="1">
      <c r="B77" s="20">
        <f>IF(C77="","TDB-"&amp;TEXT(COUNTA($C$5:C77),"000"))</f>
        <v/>
      </c>
      <c r="C77" s="13" t="n"/>
      <c r="D77" s="13" t="n"/>
      <c r="E77" s="13" t="n"/>
      <c r="F77" s="14" t="n"/>
      <c r="G77" s="14" t="n"/>
      <c r="H77" s="15">
        <f>IF(OR(F77="",G77=""),"",F77-G77)</f>
        <v/>
      </c>
      <c r="I77" s="13" t="n"/>
      <c r="J77" s="13" t="n"/>
      <c r="K77" s="13" t="n"/>
      <c r="L77" s="13" t="n"/>
    </row>
    <row r="78" ht="22" customHeight="1">
      <c r="B78" s="19">
        <f>IF(C78="","TDB-"&amp;TEXT(COUNTA($C$5:C78),"000"))</f>
        <v/>
      </c>
      <c r="C78" s="16" t="n"/>
      <c r="D78" s="16" t="n"/>
      <c r="E78" s="16" t="n"/>
      <c r="F78" s="17" t="n"/>
      <c r="G78" s="17" t="n"/>
      <c r="H78" s="18">
        <f>IF(OR(F78="",G78=""),"",F78-G78)</f>
        <v/>
      </c>
      <c r="I78" s="16" t="n"/>
      <c r="J78" s="16" t="n"/>
      <c r="K78" s="16" t="n"/>
      <c r="L78" s="16" t="n"/>
    </row>
    <row r="79" ht="22" customHeight="1">
      <c r="B79" s="20">
        <f>IF(C79="","TDB-"&amp;TEXT(COUNTA($C$5:C79),"000"))</f>
        <v/>
      </c>
      <c r="C79" s="13" t="n"/>
      <c r="D79" s="13" t="n"/>
      <c r="E79" s="13" t="n"/>
      <c r="F79" s="14" t="n"/>
      <c r="G79" s="14" t="n"/>
      <c r="H79" s="15">
        <f>IF(OR(F79="",G79=""),"",F79-G79)</f>
        <v/>
      </c>
      <c r="I79" s="13" t="n"/>
      <c r="J79" s="13" t="n"/>
      <c r="K79" s="13" t="n"/>
      <c r="L79" s="13" t="n"/>
    </row>
    <row r="80" ht="22" customHeight="1">
      <c r="B80" s="19">
        <f>IF(C80="","TDB-"&amp;TEXT(COUNTA($C$5:C80),"000"))</f>
        <v/>
      </c>
      <c r="C80" s="16" t="n"/>
      <c r="D80" s="16" t="n"/>
      <c r="E80" s="16" t="n"/>
      <c r="F80" s="17" t="n"/>
      <c r="G80" s="17" t="n"/>
      <c r="H80" s="18">
        <f>IF(OR(F80="",G80=""),"",F80-G80)</f>
        <v/>
      </c>
      <c r="I80" s="16" t="n"/>
      <c r="J80" s="16" t="n"/>
      <c r="K80" s="16" t="n"/>
      <c r="L80" s="16" t="n"/>
    </row>
    <row r="81" ht="22" customHeight="1">
      <c r="B81" s="20">
        <f>IF(C81="","TDB-"&amp;TEXT(COUNTA($C$5:C81),"000"))</f>
        <v/>
      </c>
      <c r="C81" s="13" t="n"/>
      <c r="D81" s="13" t="n"/>
      <c r="E81" s="13" t="n"/>
      <c r="F81" s="14" t="n"/>
      <c r="G81" s="14" t="n"/>
      <c r="H81" s="15">
        <f>IF(OR(F81="",G81=""),"",F81-G81)</f>
        <v/>
      </c>
      <c r="I81" s="13" t="n"/>
      <c r="J81" s="13" t="n"/>
      <c r="K81" s="13" t="n"/>
      <c r="L81" s="13" t="n"/>
    </row>
    <row r="82" ht="22" customHeight="1">
      <c r="B82" s="19">
        <f>IF(C82="","TDB-"&amp;TEXT(COUNTA($C$5:C82),"000"))</f>
        <v/>
      </c>
      <c r="C82" s="16" t="n"/>
      <c r="D82" s="16" t="n"/>
      <c r="E82" s="16" t="n"/>
      <c r="F82" s="17" t="n"/>
      <c r="G82" s="17" t="n"/>
      <c r="H82" s="18">
        <f>IF(OR(F82="",G82=""),"",F82-G82)</f>
        <v/>
      </c>
      <c r="I82" s="16" t="n"/>
      <c r="J82" s="16" t="n"/>
      <c r="K82" s="16" t="n"/>
      <c r="L82" s="16" t="n"/>
    </row>
    <row r="83" ht="22" customHeight="1">
      <c r="B83" s="20">
        <f>IF(C83="","TDB-"&amp;TEXT(COUNTA($C$5:C83),"000"))</f>
        <v/>
      </c>
      <c r="C83" s="13" t="n"/>
      <c r="D83" s="13" t="n"/>
      <c r="E83" s="13" t="n"/>
      <c r="F83" s="14" t="n"/>
      <c r="G83" s="14" t="n"/>
      <c r="H83" s="15">
        <f>IF(OR(F83="",G83=""),"",F83-G83)</f>
        <v/>
      </c>
      <c r="I83" s="13" t="n"/>
      <c r="J83" s="13" t="n"/>
      <c r="K83" s="13" t="n"/>
      <c r="L83" s="13" t="n"/>
    </row>
    <row r="84" ht="22" customHeight="1">
      <c r="B84" s="19">
        <f>IF(C84="","TDB-"&amp;TEXT(COUNTA($C$5:C84),"000"))</f>
        <v/>
      </c>
      <c r="C84" s="16" t="n"/>
      <c r="D84" s="16" t="n"/>
      <c r="E84" s="16" t="n"/>
      <c r="F84" s="17" t="n"/>
      <c r="G84" s="17" t="n"/>
      <c r="H84" s="18">
        <f>IF(OR(F84="",G84=""),"",F84-G84)</f>
        <v/>
      </c>
      <c r="I84" s="16" t="n"/>
      <c r="J84" s="16" t="n"/>
      <c r="K84" s="16" t="n"/>
      <c r="L84" s="16" t="n"/>
    </row>
    <row r="85" ht="22" customHeight="1">
      <c r="B85" s="20">
        <f>IF(C85="","TDB-"&amp;TEXT(COUNTA($C$5:C85),"000"))</f>
        <v/>
      </c>
      <c r="C85" s="13" t="n"/>
      <c r="D85" s="13" t="n"/>
      <c r="E85" s="13" t="n"/>
      <c r="F85" s="14" t="n"/>
      <c r="G85" s="14" t="n"/>
      <c r="H85" s="15">
        <f>IF(OR(F85="",G85=""),"",F85-G85)</f>
        <v/>
      </c>
      <c r="I85" s="13" t="n"/>
      <c r="J85" s="13" t="n"/>
      <c r="K85" s="13" t="n"/>
      <c r="L85" s="13" t="n"/>
    </row>
    <row r="86" ht="22" customHeight="1">
      <c r="B86" s="19">
        <f>IF(C86="","TDB-"&amp;TEXT(COUNTA($C$5:C86),"000"))</f>
        <v/>
      </c>
      <c r="C86" s="16" t="n"/>
      <c r="D86" s="16" t="n"/>
      <c r="E86" s="16" t="n"/>
      <c r="F86" s="17" t="n"/>
      <c r="G86" s="17" t="n"/>
      <c r="H86" s="18">
        <f>IF(OR(F86="",G86=""),"",F86-G86)</f>
        <v/>
      </c>
      <c r="I86" s="16" t="n"/>
      <c r="J86" s="16" t="n"/>
      <c r="K86" s="16" t="n"/>
      <c r="L86" s="16" t="n"/>
    </row>
    <row r="87" ht="22" customHeight="1">
      <c r="B87" s="20">
        <f>IF(C87="","TDB-"&amp;TEXT(COUNTA($C$5:C87),"000"))</f>
        <v/>
      </c>
      <c r="C87" s="13" t="n"/>
      <c r="D87" s="13" t="n"/>
      <c r="E87" s="13" t="n"/>
      <c r="F87" s="14" t="n"/>
      <c r="G87" s="14" t="n"/>
      <c r="H87" s="15">
        <f>IF(OR(F87="",G87=""),"",F87-G87)</f>
        <v/>
      </c>
      <c r="I87" s="13" t="n"/>
      <c r="J87" s="13" t="n"/>
      <c r="K87" s="13" t="n"/>
      <c r="L87" s="13" t="n"/>
    </row>
    <row r="88" ht="22" customHeight="1">
      <c r="B88" s="19">
        <f>IF(C88="","TDB-"&amp;TEXT(COUNTA($C$5:C88),"000"))</f>
        <v/>
      </c>
      <c r="C88" s="16" t="n"/>
      <c r="D88" s="16" t="n"/>
      <c r="E88" s="16" t="n"/>
      <c r="F88" s="17" t="n"/>
      <c r="G88" s="17" t="n"/>
      <c r="H88" s="18">
        <f>IF(OR(F88="",G88=""),"",F88-G88)</f>
        <v/>
      </c>
      <c r="I88" s="16" t="n"/>
      <c r="J88" s="16" t="n"/>
      <c r="K88" s="16" t="n"/>
      <c r="L88" s="16" t="n"/>
    </row>
    <row r="89" ht="22" customHeight="1">
      <c r="B89" s="20">
        <f>IF(C89="","TDB-"&amp;TEXT(COUNTA($C$5:C89),"000"))</f>
        <v/>
      </c>
      <c r="C89" s="13" t="n"/>
      <c r="D89" s="13" t="n"/>
      <c r="E89" s="13" t="n"/>
      <c r="F89" s="14" t="n"/>
      <c r="G89" s="14" t="n"/>
      <c r="H89" s="15">
        <f>IF(OR(F89="",G89=""),"",F89-G89)</f>
        <v/>
      </c>
      <c r="I89" s="13" t="n"/>
      <c r="J89" s="13" t="n"/>
      <c r="K89" s="13" t="n"/>
      <c r="L89" s="13" t="n"/>
    </row>
    <row r="90" ht="22" customHeight="1">
      <c r="B90" s="19">
        <f>IF(C90="","TDB-"&amp;TEXT(COUNTA($C$5:C90),"000"))</f>
        <v/>
      </c>
      <c r="C90" s="16" t="n"/>
      <c r="D90" s="16" t="n"/>
      <c r="E90" s="16" t="n"/>
      <c r="F90" s="17" t="n"/>
      <c r="G90" s="17" t="n"/>
      <c r="H90" s="18">
        <f>IF(OR(F90="",G90=""),"",F90-G90)</f>
        <v/>
      </c>
      <c r="I90" s="16" t="n"/>
      <c r="J90" s="16" t="n"/>
      <c r="K90" s="16" t="n"/>
      <c r="L90" s="16" t="n"/>
    </row>
    <row r="91" ht="22" customHeight="1">
      <c r="B91" s="20">
        <f>IF(C91="","TDB-"&amp;TEXT(COUNTA($C$5:C91),"000"))</f>
        <v/>
      </c>
      <c r="C91" s="13" t="n"/>
      <c r="D91" s="13" t="n"/>
      <c r="E91" s="13" t="n"/>
      <c r="F91" s="14" t="n"/>
      <c r="G91" s="14" t="n"/>
      <c r="H91" s="15">
        <f>IF(OR(F91="",G91=""),"",F91-G91)</f>
        <v/>
      </c>
      <c r="I91" s="13" t="n"/>
      <c r="J91" s="13" t="n"/>
      <c r="K91" s="13" t="n"/>
      <c r="L91" s="13" t="n"/>
    </row>
    <row r="92" ht="22" customHeight="1">
      <c r="B92" s="19">
        <f>IF(C92="","TDB-"&amp;TEXT(COUNTA($C$5:C92),"000"))</f>
        <v/>
      </c>
      <c r="C92" s="16" t="n"/>
      <c r="D92" s="16" t="n"/>
      <c r="E92" s="16" t="n"/>
      <c r="F92" s="17" t="n"/>
      <c r="G92" s="17" t="n"/>
      <c r="H92" s="18">
        <f>IF(OR(F92="",G92=""),"",F92-G92)</f>
        <v/>
      </c>
      <c r="I92" s="16" t="n"/>
      <c r="J92" s="16" t="n"/>
      <c r="K92" s="16" t="n"/>
      <c r="L92" s="16" t="n"/>
    </row>
    <row r="93" ht="22" customHeight="1">
      <c r="B93" s="20">
        <f>IF(C93="","TDB-"&amp;TEXT(COUNTA($C$5:C93),"000"))</f>
        <v/>
      </c>
      <c r="C93" s="13" t="n"/>
      <c r="D93" s="13" t="n"/>
      <c r="E93" s="13" t="n"/>
      <c r="F93" s="14" t="n"/>
      <c r="G93" s="14" t="n"/>
      <c r="H93" s="15">
        <f>IF(OR(F93="",G93=""),"",F93-G93)</f>
        <v/>
      </c>
      <c r="I93" s="13" t="n"/>
      <c r="J93" s="13" t="n"/>
      <c r="K93" s="13" t="n"/>
      <c r="L93" s="13" t="n"/>
    </row>
    <row r="94" ht="22" customHeight="1">
      <c r="B94" s="19">
        <f>IF(C94="","TDB-"&amp;TEXT(COUNTA($C$5:C94),"000"))</f>
        <v/>
      </c>
      <c r="C94" s="16" t="n"/>
      <c r="D94" s="16" t="n"/>
      <c r="E94" s="16" t="n"/>
      <c r="F94" s="17" t="n"/>
      <c r="G94" s="17" t="n"/>
      <c r="H94" s="18">
        <f>IF(OR(F94="",G94=""),"",F94-G94)</f>
        <v/>
      </c>
      <c r="I94" s="16" t="n"/>
      <c r="J94" s="16" t="n"/>
      <c r="K94" s="16" t="n"/>
      <c r="L94" s="16" t="n"/>
    </row>
    <row r="95" ht="22" customHeight="1">
      <c r="B95" s="20">
        <f>IF(C95="","TDB-"&amp;TEXT(COUNTA($C$5:C95),"000"))</f>
        <v/>
      </c>
      <c r="C95" s="13" t="n"/>
      <c r="D95" s="13" t="n"/>
      <c r="E95" s="13" t="n"/>
      <c r="F95" s="14" t="n"/>
      <c r="G95" s="14" t="n"/>
      <c r="H95" s="15">
        <f>IF(OR(F95="",G95=""),"",F95-G95)</f>
        <v/>
      </c>
      <c r="I95" s="13" t="n"/>
      <c r="J95" s="13" t="n"/>
      <c r="K95" s="13" t="n"/>
      <c r="L95" s="13" t="n"/>
    </row>
    <row r="96" ht="22" customHeight="1">
      <c r="B96" s="19">
        <f>IF(C96="","TDB-"&amp;TEXT(COUNTA($C$5:C96),"000"))</f>
        <v/>
      </c>
      <c r="C96" s="16" t="n"/>
      <c r="D96" s="16" t="n"/>
      <c r="E96" s="16" t="n"/>
      <c r="F96" s="17" t="n"/>
      <c r="G96" s="17" t="n"/>
      <c r="H96" s="18">
        <f>IF(OR(F96="",G96=""),"",F96-G96)</f>
        <v/>
      </c>
      <c r="I96" s="16" t="n"/>
      <c r="J96" s="16" t="n"/>
      <c r="K96" s="16" t="n"/>
      <c r="L96" s="16" t="n"/>
    </row>
    <row r="97" ht="22" customHeight="1">
      <c r="B97" s="20">
        <f>IF(C97="","TDB-"&amp;TEXT(COUNTA($C$5:C97),"000"))</f>
        <v/>
      </c>
      <c r="C97" s="13" t="n"/>
      <c r="D97" s="13" t="n"/>
      <c r="E97" s="13" t="n"/>
      <c r="F97" s="14" t="n"/>
      <c r="G97" s="14" t="n"/>
      <c r="H97" s="15">
        <f>IF(OR(F97="",G97=""),"",F97-G97)</f>
        <v/>
      </c>
      <c r="I97" s="13" t="n"/>
      <c r="J97" s="13" t="n"/>
      <c r="K97" s="13" t="n"/>
      <c r="L97" s="13" t="n"/>
    </row>
    <row r="98" ht="22" customHeight="1">
      <c r="B98" s="19">
        <f>IF(C98="","TDB-"&amp;TEXT(COUNTA($C$5:C98),"000"))</f>
        <v/>
      </c>
      <c r="C98" s="16" t="n"/>
      <c r="D98" s="16" t="n"/>
      <c r="E98" s="16" t="n"/>
      <c r="F98" s="17" t="n"/>
      <c r="G98" s="17" t="n"/>
      <c r="H98" s="18">
        <f>IF(OR(F98="",G98=""),"",F98-G98)</f>
        <v/>
      </c>
      <c r="I98" s="16" t="n"/>
      <c r="J98" s="16" t="n"/>
      <c r="K98" s="16" t="n"/>
      <c r="L98" s="16" t="n"/>
    </row>
    <row r="99" ht="22" customHeight="1">
      <c r="B99" s="20">
        <f>IF(C99="","TDB-"&amp;TEXT(COUNTA($C$5:C99),"000"))</f>
        <v/>
      </c>
      <c r="C99" s="13" t="n"/>
      <c r="D99" s="13" t="n"/>
      <c r="E99" s="13" t="n"/>
      <c r="F99" s="14" t="n"/>
      <c r="G99" s="14" t="n"/>
      <c r="H99" s="15">
        <f>IF(OR(F99="",G99=""),"",F99-G99)</f>
        <v/>
      </c>
      <c r="I99" s="13" t="n"/>
      <c r="J99" s="13" t="n"/>
      <c r="K99" s="13" t="n"/>
      <c r="L99" s="13" t="n"/>
    </row>
    <row r="100" ht="22" customHeight="1">
      <c r="B100" s="19">
        <f>IF(C100="","TDB-"&amp;TEXT(COUNTA($C$5:C100),"000"))</f>
        <v/>
      </c>
      <c r="C100" s="16" t="n"/>
      <c r="D100" s="16" t="n"/>
      <c r="E100" s="16" t="n"/>
      <c r="F100" s="17" t="n"/>
      <c r="G100" s="17" t="n"/>
      <c r="H100" s="18">
        <f>IF(OR(F100="",G100=""),"",F100-G100)</f>
        <v/>
      </c>
      <c r="I100" s="16" t="n"/>
      <c r="J100" s="16" t="n"/>
      <c r="K100" s="16" t="n"/>
      <c r="L100" s="16" t="n"/>
    </row>
    <row r="101" ht="22" customHeight="1">
      <c r="B101" s="20">
        <f>IF(C101="","TDB-"&amp;TEXT(COUNTA($C$5:C101),"000"))</f>
        <v/>
      </c>
      <c r="C101" s="13" t="n"/>
      <c r="D101" s="13" t="n"/>
      <c r="E101" s="13" t="n"/>
      <c r="F101" s="14" t="n"/>
      <c r="G101" s="14" t="n"/>
      <c r="H101" s="15">
        <f>IF(OR(F101="",G101=""),"",F101-G101)</f>
        <v/>
      </c>
      <c r="I101" s="13" t="n"/>
      <c r="J101" s="13" t="n"/>
      <c r="K101" s="13" t="n"/>
      <c r="L101" s="13" t="n"/>
    </row>
    <row r="102" ht="22" customHeight="1">
      <c r="B102" s="19">
        <f>IF(C102="","TDB-"&amp;TEXT(COUNTA($C$5:C102),"000"))</f>
        <v/>
      </c>
      <c r="C102" s="16" t="n"/>
      <c r="D102" s="16" t="n"/>
      <c r="E102" s="16" t="n"/>
      <c r="F102" s="17" t="n"/>
      <c r="G102" s="17" t="n"/>
      <c r="H102" s="18">
        <f>IF(OR(F102="",G102=""),"",F102-G102)</f>
        <v/>
      </c>
      <c r="I102" s="16" t="n"/>
      <c r="J102" s="16" t="n"/>
      <c r="K102" s="16" t="n"/>
      <c r="L102" s="16" t="n"/>
    </row>
    <row r="103" ht="22" customHeight="1">
      <c r="B103" s="20">
        <f>IF(C103="","TDB-"&amp;TEXT(COUNTA($C$5:C103),"000"))</f>
        <v/>
      </c>
      <c r="C103" s="13" t="n"/>
      <c r="D103" s="13" t="n"/>
      <c r="E103" s="13" t="n"/>
      <c r="F103" s="14" t="n"/>
      <c r="G103" s="14" t="n"/>
      <c r="H103" s="15">
        <f>IF(OR(F103="",G103=""),"",F103-G103)</f>
        <v/>
      </c>
      <c r="I103" s="13" t="n"/>
      <c r="J103" s="13" t="n"/>
      <c r="K103" s="13" t="n"/>
      <c r="L103" s="13" t="n"/>
    </row>
    <row r="104" ht="22" customHeight="1">
      <c r="B104" s="19">
        <f>IF(C104="","TDB-"&amp;TEXT(COUNTA($C$5:C104),"000"))</f>
        <v/>
      </c>
      <c r="C104" s="16" t="n"/>
      <c r="D104" s="16" t="n"/>
      <c r="E104" s="16" t="n"/>
      <c r="F104" s="17" t="n"/>
      <c r="G104" s="17" t="n"/>
      <c r="H104" s="18">
        <f>IF(OR(F104="",G104=""),"",F104-G104)</f>
        <v/>
      </c>
      <c r="I104" s="16" t="n"/>
      <c r="J104" s="16" t="n"/>
      <c r="K104" s="16" t="n"/>
      <c r="L104" s="16" t="n"/>
    </row>
    <row r="105" ht="22" customHeight="1">
      <c r="B105" s="20">
        <f>IF(C105="","TDB-"&amp;TEXT(COUNTA($C$5:C105),"000"))</f>
        <v/>
      </c>
      <c r="C105" s="13" t="n"/>
      <c r="D105" s="13" t="n"/>
      <c r="E105" s="13" t="n"/>
      <c r="F105" s="14" t="n"/>
      <c r="G105" s="14" t="n"/>
      <c r="H105" s="15">
        <f>IF(OR(F105="",G105=""),"",F105-G105)</f>
        <v/>
      </c>
      <c r="I105" s="13" t="n"/>
      <c r="J105" s="13" t="n"/>
      <c r="K105" s="13" t="n"/>
      <c r="L105" s="13" t="n"/>
    </row>
    <row r="106" ht="22" customHeight="1">
      <c r="B106" s="19">
        <f>IF(C106="","TDB-"&amp;TEXT(COUNTA($C$5:C106),"000"))</f>
        <v/>
      </c>
      <c r="C106" s="16" t="n"/>
      <c r="D106" s="16" t="n"/>
      <c r="E106" s="16" t="n"/>
      <c r="F106" s="17" t="n"/>
      <c r="G106" s="17" t="n"/>
      <c r="H106" s="18">
        <f>IF(OR(F106="",G106=""),"",F106-G106)</f>
        <v/>
      </c>
      <c r="I106" s="16" t="n"/>
      <c r="J106" s="16" t="n"/>
      <c r="K106" s="16" t="n"/>
      <c r="L106" s="16" t="n"/>
    </row>
    <row r="107" ht="22" customHeight="1">
      <c r="B107" s="20">
        <f>IF(C107="","TDB-"&amp;TEXT(COUNTA($C$5:C107),"000"))</f>
        <v/>
      </c>
      <c r="C107" s="13" t="n"/>
      <c r="D107" s="13" t="n"/>
      <c r="E107" s="13" t="n"/>
      <c r="F107" s="14" t="n"/>
      <c r="G107" s="14" t="n"/>
      <c r="H107" s="15">
        <f>IF(OR(F107="",G107=""),"",F107-G107)</f>
        <v/>
      </c>
      <c r="I107" s="13" t="n"/>
      <c r="J107" s="13" t="n"/>
      <c r="K107" s="13" t="n"/>
      <c r="L107" s="13" t="n"/>
    </row>
    <row r="108" ht="22" customHeight="1">
      <c r="B108" s="19">
        <f>IF(C108="","TDB-"&amp;TEXT(COUNTA($C$5:C108),"000"))</f>
        <v/>
      </c>
      <c r="C108" s="16" t="n"/>
      <c r="D108" s="16" t="n"/>
      <c r="E108" s="16" t="n"/>
      <c r="F108" s="17" t="n"/>
      <c r="G108" s="17" t="n"/>
      <c r="H108" s="18">
        <f>IF(OR(F108="",G108=""),"",F108-G108)</f>
        <v/>
      </c>
      <c r="I108" s="16" t="n"/>
      <c r="J108" s="16" t="n"/>
      <c r="K108" s="16" t="n"/>
      <c r="L108" s="16" t="n"/>
    </row>
    <row r="109" ht="22" customHeight="1">
      <c r="B109" s="20">
        <f>IF(C109="","TDB-"&amp;TEXT(COUNTA($C$5:C109),"000"))</f>
        <v/>
      </c>
      <c r="C109" s="13" t="n"/>
      <c r="D109" s="13" t="n"/>
      <c r="E109" s="13" t="n"/>
      <c r="F109" s="14" t="n"/>
      <c r="G109" s="14" t="n"/>
      <c r="H109" s="15">
        <f>IF(OR(F109="",G109=""),"",F109-G109)</f>
        <v/>
      </c>
      <c r="I109" s="13" t="n"/>
      <c r="J109" s="13" t="n"/>
      <c r="K109" s="13" t="n"/>
      <c r="L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Indicateurs suivis</t>
        </is>
      </c>
      <c r="D112" s="3" t="inlineStr">
        <is>
          <t>Verts (OK)</t>
        </is>
      </c>
      <c r="F112" s="3" t="inlineStr">
        <is>
          <t>Rouges (Alerte)</t>
        </is>
      </c>
    </row>
    <row r="113">
      <c r="B113" s="4">
        <f>COUNTIF(B5:B104,"&lt;&gt;")</f>
        <v/>
      </c>
      <c r="D113" s="4">
        <f>COUNTIF(I5:I104,"Vert (OK)")</f>
        <v/>
      </c>
      <c r="F113" s="4">
        <f>COUNTIF(I5:I104,"Rouge (Alerte)")</f>
        <v/>
      </c>
    </row>
  </sheetData>
  <mergeCells count="3">
    <mergeCell ref="B2:L2"/>
    <mergeCell ref="B111:L111"/>
    <mergeCell ref="B3:L3"/>
  </mergeCells>
  <conditionalFormatting sqref="I5:I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10:B109">
    <cfRule type="expression" priority="274" dxfId="3">
      <formula>AND($C10="",$C9&lt;&gt;"")</formula>
    </cfRule>
  </conditionalFormatting>
  <conditionalFormatting sqref="C10:C109">
    <cfRule type="expression" priority="275" dxfId="3">
      <formula>AND($C10="",$C9&lt;&gt;"")</formula>
    </cfRule>
  </conditionalFormatting>
  <conditionalFormatting sqref="D10:D109">
    <cfRule type="expression" priority="276" dxfId="3">
      <formula>AND($C10="",$C9&lt;&gt;"")</formula>
    </cfRule>
  </conditionalFormatting>
  <conditionalFormatting sqref="E10:E109">
    <cfRule type="expression" priority="277" dxfId="3">
      <formula>AND($C10="",$C9&lt;&gt;"")</formula>
    </cfRule>
  </conditionalFormatting>
  <conditionalFormatting sqref="F10:F109">
    <cfRule type="expression" priority="278" dxfId="3">
      <formula>AND($C10="",$C9&lt;&gt;"")</formula>
    </cfRule>
  </conditionalFormatting>
  <conditionalFormatting sqref="G10:G109">
    <cfRule type="expression" priority="279" dxfId="3">
      <formula>AND($C10="",$C9&lt;&gt;"")</formula>
    </cfRule>
  </conditionalFormatting>
  <conditionalFormatting sqref="H10:H109">
    <cfRule type="expression" priority="280" dxfId="3">
      <formula>AND($C10="",$C9&lt;&gt;"")</formula>
    </cfRule>
  </conditionalFormatting>
  <conditionalFormatting sqref="I10:I109">
    <cfRule type="expression" priority="281" dxfId="3">
      <formula>AND($C10="",$C9&lt;&gt;"")</formula>
    </cfRule>
  </conditionalFormatting>
  <conditionalFormatting sqref="J10:J109">
    <cfRule type="expression" priority="282" dxfId="3">
      <formula>AND($C10="",$C9&lt;&gt;"")</formula>
    </cfRule>
  </conditionalFormatting>
  <conditionalFormatting sqref="K10:K109">
    <cfRule type="expression" priority="283" dxfId="3">
      <formula>AND($C10="",$C9&lt;&gt;"")</formula>
    </cfRule>
  </conditionalFormatting>
  <conditionalFormatting sqref="L10:L109">
    <cfRule type="expression" priority="284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'_Lists'!$E$2:$E$7</formula1>
    </dataValidation>
    <dataValidation sqref="I5:I109" showDropDown="0" showInputMessage="0" showErrorMessage="0" allowBlank="1" errorTitle="Erreur" error="Valeur invalide" promptTitle="Liste" prompt="Choisir dans la liste" type="list">
      <formula1>'_Lists'!$Q$2:$Q$5</formula1>
    </dataValidation>
    <dataValidation sqref="J5:J109" showDropDown="0" showInputMessage="0" showErrorMessage="0" allowBlank="1" errorTitle="Erreur" error="Valeur invalide" promptTitle="Liste" prompt="Choisir dans la liste" type="list">
      <formula1>'_Lists'!$D$2:$D$7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4" customWidth="1" min="4" max="4"/>
    <col width="28" customWidth="1" min="5" max="5"/>
    <col width="16" customWidth="1" min="6" max="6"/>
    <col width="16" customWidth="1" min="7" max="7"/>
    <col width="14" customWidth="1" min="8" max="8"/>
    <col width="12" customWidth="1" min="9" max="9"/>
    <col width="16" customWidth="1" min="10" max="10"/>
    <col width="16" customWidth="1" min="11" max="11"/>
    <col width="32" customWidth="1" min="12" max="12"/>
  </cols>
  <sheetData>
    <row r="1" ht="15" customHeight="1"/>
    <row r="2" ht="32" customHeight="1">
      <c r="B2" s="1" t="inlineStr">
        <is>
          <t>RAPPORTS MENSUELS RH (#168)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Rapport</t>
        </is>
      </c>
      <c r="D4" s="12" t="inlineStr">
        <is>
          <t>Type Rapport</t>
        </is>
      </c>
      <c r="E4" s="12" t="inlineStr">
        <is>
          <t>Destinataire</t>
        </is>
      </c>
      <c r="F4" s="12" t="inlineStr">
        <is>
          <t>Frequence</t>
        </is>
      </c>
      <c r="G4" s="12" t="inlineStr">
        <is>
          <t>Periode</t>
        </is>
      </c>
      <c r="H4" s="12" t="inlineStr">
        <is>
          <t>Date Emission</t>
        </is>
      </c>
      <c r="I4" s="12" t="inlineStr">
        <is>
          <t>Nb Pages</t>
        </is>
      </c>
      <c r="J4" s="12" t="inlineStr">
        <is>
          <t>Nb Graphiques</t>
        </is>
      </c>
      <c r="K4" s="12" t="inlineStr">
        <is>
          <t>Statut</t>
        </is>
      </c>
      <c r="L4" s="12" t="inlineStr">
        <is>
          <t>Observations</t>
        </is>
      </c>
    </row>
    <row r="5" ht="22" customHeight="1">
      <c r="B5" s="13" t="inlineStr">
        <is>
          <t>RM-001</t>
        </is>
      </c>
      <c r="C5" s="13" t="inlineStr">
        <is>
          <t>Activite RH mars 2025</t>
        </is>
      </c>
      <c r="D5" s="13" t="inlineStr">
        <is>
          <t>Activite mensuelle</t>
        </is>
      </c>
      <c r="E5" s="13" t="inlineStr">
        <is>
          <t>DG</t>
        </is>
      </c>
      <c r="F5" s="13" t="inlineStr">
        <is>
          <t>Mensuel</t>
        </is>
      </c>
      <c r="G5" s="13" t="inlineStr">
        <is>
          <t>Mars 2025</t>
        </is>
      </c>
      <c r="H5" s="38" t="n">
        <v>45752</v>
      </c>
      <c r="I5" s="22" t="n">
        <v>12</v>
      </c>
      <c r="J5" s="22" t="n">
        <v>8</v>
      </c>
      <c r="K5" s="13" t="inlineStr">
        <is>
          <t>Publie</t>
        </is>
      </c>
      <c r="L5" s="13" t="inlineStr">
        <is>
          <t>Delai respecte</t>
        </is>
      </c>
    </row>
    <row r="6" ht="22" customHeight="1">
      <c r="B6" s="16" t="inlineStr">
        <is>
          <t>RM-002</t>
        </is>
      </c>
      <c r="C6" s="16" t="inlineStr">
        <is>
          <t>Bilan recrutement T1 2025</t>
        </is>
      </c>
      <c r="D6" s="16" t="inlineStr">
        <is>
          <t>Tableau de bord KPI</t>
        </is>
      </c>
      <c r="E6" s="16" t="inlineStr">
        <is>
          <t>Comite de direction</t>
        </is>
      </c>
      <c r="F6" s="16" t="inlineStr">
        <is>
          <t>Trimestriel</t>
        </is>
      </c>
      <c r="G6" s="16" t="inlineStr">
        <is>
          <t>T1 2025</t>
        </is>
      </c>
      <c r="H6" s="39" t="n">
        <v>45757</v>
      </c>
      <c r="I6" s="24" t="n">
        <v>8</v>
      </c>
      <c r="J6" s="24" t="n">
        <v>5</v>
      </c>
      <c r="K6" s="16" t="inlineStr">
        <is>
          <t>Publie</t>
        </is>
      </c>
      <c r="L6" s="16" t="inlineStr">
        <is>
          <t>Indicateurs positifs</t>
        </is>
      </c>
    </row>
    <row r="7" ht="22" customHeight="1">
      <c r="B7" s="13" t="inlineStr">
        <is>
          <t>RM-003</t>
        </is>
      </c>
      <c r="C7" s="13" t="inlineStr">
        <is>
          <t>Rapport paie mars 2025</t>
        </is>
      </c>
      <c r="D7" s="13" t="inlineStr">
        <is>
          <t>Reporting DG</t>
        </is>
      </c>
      <c r="E7" s="13" t="inlineStr">
        <is>
          <t>DAF</t>
        </is>
      </c>
      <c r="F7" s="13" t="inlineStr">
        <is>
          <t>Mensuel</t>
        </is>
      </c>
      <c r="G7" s="13" t="inlineStr">
        <is>
          <t>Mars 2025</t>
        </is>
      </c>
      <c r="H7" s="38" t="n">
        <v>45750</v>
      </c>
      <c r="I7" s="22" t="n">
        <v>6</v>
      </c>
      <c r="J7" s="22" t="n">
        <v>3</v>
      </c>
      <c r="K7" s="13" t="inlineStr">
        <is>
          <t>Publie</t>
        </is>
      </c>
      <c r="L7" s="13" t="inlineStr">
        <is>
          <t>Aucun ecart significatif</t>
        </is>
      </c>
    </row>
    <row r="8" ht="22" customHeight="1">
      <c r="B8" s="16" t="inlineStr">
        <is>
          <t>RM-004</t>
        </is>
      </c>
      <c r="C8" s="16" t="inlineStr">
        <is>
          <t>Bilan formation T1 2025</t>
        </is>
      </c>
      <c r="D8" s="16" t="inlineStr">
        <is>
          <t>Bilan trimestriel</t>
        </is>
      </c>
      <c r="E8" s="16" t="inlineStr">
        <is>
          <t>DRH</t>
        </is>
      </c>
      <c r="F8" s="16" t="inlineStr">
        <is>
          <t>Trimestriel</t>
        </is>
      </c>
      <c r="G8" s="16" t="inlineStr">
        <is>
          <t>T1 2025</t>
        </is>
      </c>
      <c r="H8" s="39" t="n">
        <v>45755</v>
      </c>
      <c r="I8" s="24" t="n">
        <v>10</v>
      </c>
      <c r="J8" s="24" t="n">
        <v>4</v>
      </c>
      <c r="K8" s="16" t="inlineStr">
        <is>
          <t>En cours</t>
        </is>
      </c>
      <c r="L8" s="16" t="inlineStr">
        <is>
          <t>Compilation en cours</t>
        </is>
      </c>
    </row>
    <row r="9" ht="22" customHeight="1">
      <c r="B9" s="20">
        <f>IF(C9="","RM-"&amp;TEXT(COUNTA($C$5:C9),"000"))</f>
        <v/>
      </c>
      <c r="C9" s="13" t="n"/>
      <c r="D9" s="13" t="n"/>
      <c r="E9" s="13" t="n"/>
      <c r="F9" s="13" t="n"/>
      <c r="G9" s="13" t="n"/>
      <c r="H9" s="38" t="n"/>
      <c r="I9" s="22" t="n"/>
      <c r="J9" s="22" t="n"/>
      <c r="K9" s="13" t="n"/>
      <c r="L9" s="13" t="n"/>
    </row>
    <row r="10" ht="22" customHeight="1">
      <c r="B10" s="19">
        <f>IF(C10="","RM-"&amp;TEXT(COUNTA($C$5:C10),"000"))</f>
        <v/>
      </c>
      <c r="C10" s="16" t="n"/>
      <c r="D10" s="16" t="n"/>
      <c r="E10" s="16" t="n"/>
      <c r="F10" s="16" t="n"/>
      <c r="G10" s="16" t="n"/>
      <c r="H10" s="39" t="n"/>
      <c r="I10" s="24" t="n"/>
      <c r="J10" s="24" t="n"/>
      <c r="K10" s="16" t="n"/>
      <c r="L10" s="16" t="n"/>
    </row>
    <row r="11" ht="22" customHeight="1">
      <c r="B11" s="20">
        <f>IF(C11="","RM-"&amp;TEXT(COUNTA($C$5:C11),"000"))</f>
        <v/>
      </c>
      <c r="C11" s="13" t="n"/>
      <c r="D11" s="13" t="n"/>
      <c r="E11" s="13" t="n"/>
      <c r="F11" s="13" t="n"/>
      <c r="G11" s="13" t="n"/>
      <c r="H11" s="38" t="n"/>
      <c r="I11" s="22" t="n"/>
      <c r="J11" s="22" t="n"/>
      <c r="K11" s="13" t="n"/>
      <c r="L11" s="13" t="n"/>
    </row>
    <row r="12" ht="22" customHeight="1">
      <c r="B12" s="19">
        <f>IF(C12="","RM-"&amp;TEXT(COUNTA($C$5:C12),"000"))</f>
        <v/>
      </c>
      <c r="C12" s="16" t="n"/>
      <c r="D12" s="16" t="n"/>
      <c r="E12" s="16" t="n"/>
      <c r="F12" s="16" t="n"/>
      <c r="G12" s="16" t="n"/>
      <c r="H12" s="39" t="n"/>
      <c r="I12" s="24" t="n"/>
      <c r="J12" s="24" t="n"/>
      <c r="K12" s="16" t="n"/>
      <c r="L12" s="16" t="n"/>
    </row>
    <row r="13" ht="22" customHeight="1">
      <c r="B13" s="20">
        <f>IF(C13="","RM-"&amp;TEXT(COUNTA($C$5:C13),"000"))</f>
        <v/>
      </c>
      <c r="C13" s="13" t="n"/>
      <c r="D13" s="13" t="n"/>
      <c r="E13" s="13" t="n"/>
      <c r="F13" s="13" t="n"/>
      <c r="G13" s="13" t="n"/>
      <c r="H13" s="38" t="n"/>
      <c r="I13" s="22" t="n"/>
      <c r="J13" s="22" t="n"/>
      <c r="K13" s="13" t="n"/>
      <c r="L13" s="13" t="n"/>
    </row>
    <row r="14" ht="22" customHeight="1">
      <c r="B14" s="19">
        <f>IF(C14="","RM-"&amp;TEXT(COUNTA($C$5:C14),"000"))</f>
        <v/>
      </c>
      <c r="C14" s="16" t="n"/>
      <c r="D14" s="16" t="n"/>
      <c r="E14" s="16" t="n"/>
      <c r="F14" s="16" t="n"/>
      <c r="G14" s="16" t="n"/>
      <c r="H14" s="39" t="n"/>
      <c r="I14" s="24" t="n"/>
      <c r="J14" s="24" t="n"/>
      <c r="K14" s="16" t="n"/>
      <c r="L14" s="16" t="n"/>
    </row>
    <row r="15" ht="22" customHeight="1">
      <c r="B15" s="20">
        <f>IF(C15="","RM-"&amp;TEXT(COUNTA($C$5:C15),"000"))</f>
        <v/>
      </c>
      <c r="C15" s="13" t="n"/>
      <c r="D15" s="13" t="n"/>
      <c r="E15" s="13" t="n"/>
      <c r="F15" s="13" t="n"/>
      <c r="G15" s="13" t="n"/>
      <c r="H15" s="38" t="n"/>
      <c r="I15" s="22" t="n"/>
      <c r="J15" s="22" t="n"/>
      <c r="K15" s="13" t="n"/>
      <c r="L15" s="13" t="n"/>
    </row>
    <row r="16" ht="22" customHeight="1">
      <c r="B16" s="19">
        <f>IF(C16="","RM-"&amp;TEXT(COUNTA($C$5:C16),"000"))</f>
        <v/>
      </c>
      <c r="C16" s="16" t="n"/>
      <c r="D16" s="16" t="n"/>
      <c r="E16" s="16" t="n"/>
      <c r="F16" s="16" t="n"/>
      <c r="G16" s="16" t="n"/>
      <c r="H16" s="39" t="n"/>
      <c r="I16" s="24" t="n"/>
      <c r="J16" s="24" t="n"/>
      <c r="K16" s="16" t="n"/>
      <c r="L16" s="16" t="n"/>
    </row>
    <row r="17" ht="22" customHeight="1">
      <c r="B17" s="20">
        <f>IF(C17="","RM-"&amp;TEXT(COUNTA($C$5:C17),"000"))</f>
        <v/>
      </c>
      <c r="C17" s="13" t="n"/>
      <c r="D17" s="13" t="n"/>
      <c r="E17" s="13" t="n"/>
      <c r="F17" s="13" t="n"/>
      <c r="G17" s="13" t="n"/>
      <c r="H17" s="38" t="n"/>
      <c r="I17" s="22" t="n"/>
      <c r="J17" s="22" t="n"/>
      <c r="K17" s="13" t="n"/>
      <c r="L17" s="13" t="n"/>
    </row>
    <row r="18" ht="22" customHeight="1">
      <c r="B18" s="19">
        <f>IF(C18="","RM-"&amp;TEXT(COUNTA($C$5:C18),"000"))</f>
        <v/>
      </c>
      <c r="C18" s="16" t="n"/>
      <c r="D18" s="16" t="n"/>
      <c r="E18" s="16" t="n"/>
      <c r="F18" s="16" t="n"/>
      <c r="G18" s="16" t="n"/>
      <c r="H18" s="39" t="n"/>
      <c r="I18" s="24" t="n"/>
      <c r="J18" s="24" t="n"/>
      <c r="K18" s="16" t="n"/>
      <c r="L18" s="16" t="n"/>
    </row>
    <row r="19" ht="22" customHeight="1">
      <c r="B19" s="20">
        <f>IF(C19="","RM-"&amp;TEXT(COUNTA($C$5:C19),"000"))</f>
        <v/>
      </c>
      <c r="C19" s="13" t="n"/>
      <c r="D19" s="13" t="n"/>
      <c r="E19" s="13" t="n"/>
      <c r="F19" s="13" t="n"/>
      <c r="G19" s="13" t="n"/>
      <c r="H19" s="38" t="n"/>
      <c r="I19" s="22" t="n"/>
      <c r="J19" s="22" t="n"/>
      <c r="K19" s="13" t="n"/>
      <c r="L19" s="13" t="n"/>
    </row>
    <row r="20" ht="22" customHeight="1">
      <c r="B20" s="19">
        <f>IF(C20="","RM-"&amp;TEXT(COUNTA($C$5:C20),"000"))</f>
        <v/>
      </c>
      <c r="C20" s="16" t="n"/>
      <c r="D20" s="16" t="n"/>
      <c r="E20" s="16" t="n"/>
      <c r="F20" s="16" t="n"/>
      <c r="G20" s="16" t="n"/>
      <c r="H20" s="39" t="n"/>
      <c r="I20" s="24" t="n"/>
      <c r="J20" s="24" t="n"/>
      <c r="K20" s="16" t="n"/>
      <c r="L20" s="16" t="n"/>
    </row>
    <row r="21" ht="22" customHeight="1">
      <c r="B21" s="20">
        <f>IF(C21="","RM-"&amp;TEXT(COUNTA($C$5:C21),"000"))</f>
        <v/>
      </c>
      <c r="C21" s="13" t="n"/>
      <c r="D21" s="13" t="n"/>
      <c r="E21" s="13" t="n"/>
      <c r="F21" s="13" t="n"/>
      <c r="G21" s="13" t="n"/>
      <c r="H21" s="38" t="n"/>
      <c r="I21" s="22" t="n"/>
      <c r="J21" s="22" t="n"/>
      <c r="K21" s="13" t="n"/>
      <c r="L21" s="13" t="n"/>
    </row>
    <row r="22" ht="22" customHeight="1">
      <c r="B22" s="19">
        <f>IF(C22="","RM-"&amp;TEXT(COUNTA($C$5:C22),"000"))</f>
        <v/>
      </c>
      <c r="C22" s="16" t="n"/>
      <c r="D22" s="16" t="n"/>
      <c r="E22" s="16" t="n"/>
      <c r="F22" s="16" t="n"/>
      <c r="G22" s="16" t="n"/>
      <c r="H22" s="39" t="n"/>
      <c r="I22" s="24" t="n"/>
      <c r="J22" s="24" t="n"/>
      <c r="K22" s="16" t="n"/>
      <c r="L22" s="16" t="n"/>
    </row>
    <row r="23" ht="22" customHeight="1">
      <c r="B23" s="20">
        <f>IF(C23="","RM-"&amp;TEXT(COUNTA($C$5:C23),"000"))</f>
        <v/>
      </c>
      <c r="C23" s="13" t="n"/>
      <c r="D23" s="13" t="n"/>
      <c r="E23" s="13" t="n"/>
      <c r="F23" s="13" t="n"/>
      <c r="G23" s="13" t="n"/>
      <c r="H23" s="38" t="n"/>
      <c r="I23" s="22" t="n"/>
      <c r="J23" s="22" t="n"/>
      <c r="K23" s="13" t="n"/>
      <c r="L23" s="13" t="n"/>
    </row>
    <row r="24" ht="22" customHeight="1">
      <c r="B24" s="19">
        <f>IF(C24="","RM-"&amp;TEXT(COUNTA($C$5:C24),"000"))</f>
        <v/>
      </c>
      <c r="C24" s="16" t="n"/>
      <c r="D24" s="16" t="n"/>
      <c r="E24" s="16" t="n"/>
      <c r="F24" s="16" t="n"/>
      <c r="G24" s="16" t="n"/>
      <c r="H24" s="39" t="n"/>
      <c r="I24" s="24" t="n"/>
      <c r="J24" s="24" t="n"/>
      <c r="K24" s="16" t="n"/>
      <c r="L24" s="16" t="n"/>
    </row>
    <row r="25" ht="22" customHeight="1">
      <c r="B25" s="20">
        <f>IF(C25="","RM-"&amp;TEXT(COUNTA($C$5:C25),"000"))</f>
        <v/>
      </c>
      <c r="C25" s="13" t="n"/>
      <c r="D25" s="13" t="n"/>
      <c r="E25" s="13" t="n"/>
      <c r="F25" s="13" t="n"/>
      <c r="G25" s="13" t="n"/>
      <c r="H25" s="38" t="n"/>
      <c r="I25" s="22" t="n"/>
      <c r="J25" s="22" t="n"/>
      <c r="K25" s="13" t="n"/>
      <c r="L25" s="13" t="n"/>
    </row>
    <row r="26" ht="22" customHeight="1">
      <c r="B26" s="19">
        <f>IF(C26="","RM-"&amp;TEXT(COUNTA($C$5:C26),"000"))</f>
        <v/>
      </c>
      <c r="C26" s="16" t="n"/>
      <c r="D26" s="16" t="n"/>
      <c r="E26" s="16" t="n"/>
      <c r="F26" s="16" t="n"/>
      <c r="G26" s="16" t="n"/>
      <c r="H26" s="39" t="n"/>
      <c r="I26" s="24" t="n"/>
      <c r="J26" s="24" t="n"/>
      <c r="K26" s="16" t="n"/>
      <c r="L26" s="16" t="n"/>
    </row>
    <row r="27" ht="22" customHeight="1">
      <c r="B27" s="20">
        <f>IF(C27="","RM-"&amp;TEXT(COUNTA($C$5:C27),"000"))</f>
        <v/>
      </c>
      <c r="C27" s="13" t="n"/>
      <c r="D27" s="13" t="n"/>
      <c r="E27" s="13" t="n"/>
      <c r="F27" s="13" t="n"/>
      <c r="G27" s="13" t="n"/>
      <c r="H27" s="38" t="n"/>
      <c r="I27" s="22" t="n"/>
      <c r="J27" s="22" t="n"/>
      <c r="K27" s="13" t="n"/>
      <c r="L27" s="13" t="n"/>
    </row>
    <row r="28" ht="22" customHeight="1">
      <c r="B28" s="19">
        <f>IF(C28="","RM-"&amp;TEXT(COUNTA($C$5:C28),"000"))</f>
        <v/>
      </c>
      <c r="C28" s="16" t="n"/>
      <c r="D28" s="16" t="n"/>
      <c r="E28" s="16" t="n"/>
      <c r="F28" s="16" t="n"/>
      <c r="G28" s="16" t="n"/>
      <c r="H28" s="39" t="n"/>
      <c r="I28" s="24" t="n"/>
      <c r="J28" s="24" t="n"/>
      <c r="K28" s="16" t="n"/>
      <c r="L28" s="16" t="n"/>
    </row>
    <row r="29" ht="22" customHeight="1">
      <c r="B29" s="20">
        <f>IF(C29="","RM-"&amp;TEXT(COUNTA($C$5:C29),"000"))</f>
        <v/>
      </c>
      <c r="C29" s="13" t="n"/>
      <c r="D29" s="13" t="n"/>
      <c r="E29" s="13" t="n"/>
      <c r="F29" s="13" t="n"/>
      <c r="G29" s="13" t="n"/>
      <c r="H29" s="38" t="n"/>
      <c r="I29" s="22" t="n"/>
      <c r="J29" s="22" t="n"/>
      <c r="K29" s="13" t="n"/>
      <c r="L29" s="13" t="n"/>
    </row>
    <row r="30" ht="22" customHeight="1">
      <c r="B30" s="19">
        <f>IF(C30="","RM-"&amp;TEXT(COUNTA($C$5:C30),"000"))</f>
        <v/>
      </c>
      <c r="C30" s="16" t="n"/>
      <c r="D30" s="16" t="n"/>
      <c r="E30" s="16" t="n"/>
      <c r="F30" s="16" t="n"/>
      <c r="G30" s="16" t="n"/>
      <c r="H30" s="39" t="n"/>
      <c r="I30" s="24" t="n"/>
      <c r="J30" s="24" t="n"/>
      <c r="K30" s="16" t="n"/>
      <c r="L30" s="16" t="n"/>
    </row>
    <row r="31" ht="22" customHeight="1">
      <c r="B31" s="20">
        <f>IF(C31="","RM-"&amp;TEXT(COUNTA($C$5:C31),"000"))</f>
        <v/>
      </c>
      <c r="C31" s="13" t="n"/>
      <c r="D31" s="13" t="n"/>
      <c r="E31" s="13" t="n"/>
      <c r="F31" s="13" t="n"/>
      <c r="G31" s="13" t="n"/>
      <c r="H31" s="38" t="n"/>
      <c r="I31" s="22" t="n"/>
      <c r="J31" s="22" t="n"/>
      <c r="K31" s="13" t="n"/>
      <c r="L31" s="13" t="n"/>
    </row>
    <row r="32" ht="22" customHeight="1">
      <c r="B32" s="19">
        <f>IF(C32="","RM-"&amp;TEXT(COUNTA($C$5:C32),"000"))</f>
        <v/>
      </c>
      <c r="C32" s="16" t="n"/>
      <c r="D32" s="16" t="n"/>
      <c r="E32" s="16" t="n"/>
      <c r="F32" s="16" t="n"/>
      <c r="G32" s="16" t="n"/>
      <c r="H32" s="39" t="n"/>
      <c r="I32" s="24" t="n"/>
      <c r="J32" s="24" t="n"/>
      <c r="K32" s="16" t="n"/>
      <c r="L32" s="16" t="n"/>
    </row>
    <row r="33" ht="22" customHeight="1">
      <c r="B33" s="20">
        <f>IF(C33="","RM-"&amp;TEXT(COUNTA($C$5:C33),"000"))</f>
        <v/>
      </c>
      <c r="C33" s="13" t="n"/>
      <c r="D33" s="13" t="n"/>
      <c r="E33" s="13" t="n"/>
      <c r="F33" s="13" t="n"/>
      <c r="G33" s="13" t="n"/>
      <c r="H33" s="38" t="n"/>
      <c r="I33" s="22" t="n"/>
      <c r="J33" s="22" t="n"/>
      <c r="K33" s="13" t="n"/>
      <c r="L33" s="13" t="n"/>
    </row>
    <row r="34" ht="22" customHeight="1">
      <c r="B34" s="19">
        <f>IF(C34="","RM-"&amp;TEXT(COUNTA($C$5:C34),"000"))</f>
        <v/>
      </c>
      <c r="C34" s="16" t="n"/>
      <c r="D34" s="16" t="n"/>
      <c r="E34" s="16" t="n"/>
      <c r="F34" s="16" t="n"/>
      <c r="G34" s="16" t="n"/>
      <c r="H34" s="39" t="n"/>
      <c r="I34" s="24" t="n"/>
      <c r="J34" s="24" t="n"/>
      <c r="K34" s="16" t="n"/>
      <c r="L34" s="16" t="n"/>
    </row>
    <row r="35" ht="22" customHeight="1">
      <c r="B35" s="20">
        <f>IF(C35="","RM-"&amp;TEXT(COUNTA($C$5:C35),"000"))</f>
        <v/>
      </c>
      <c r="C35" s="13" t="n"/>
      <c r="D35" s="13" t="n"/>
      <c r="E35" s="13" t="n"/>
      <c r="F35" s="13" t="n"/>
      <c r="G35" s="13" t="n"/>
      <c r="H35" s="38" t="n"/>
      <c r="I35" s="22" t="n"/>
      <c r="J35" s="22" t="n"/>
      <c r="K35" s="13" t="n"/>
      <c r="L35" s="13" t="n"/>
    </row>
    <row r="36" ht="22" customHeight="1">
      <c r="B36" s="19">
        <f>IF(C36="","RM-"&amp;TEXT(COUNTA($C$5:C36),"000"))</f>
        <v/>
      </c>
      <c r="C36" s="16" t="n"/>
      <c r="D36" s="16" t="n"/>
      <c r="E36" s="16" t="n"/>
      <c r="F36" s="16" t="n"/>
      <c r="G36" s="16" t="n"/>
      <c r="H36" s="39" t="n"/>
      <c r="I36" s="24" t="n"/>
      <c r="J36" s="24" t="n"/>
      <c r="K36" s="16" t="n"/>
      <c r="L36" s="16" t="n"/>
    </row>
    <row r="37" ht="22" customHeight="1">
      <c r="B37" s="20">
        <f>IF(C37="","RM-"&amp;TEXT(COUNTA($C$5:C37),"000"))</f>
        <v/>
      </c>
      <c r="C37" s="13" t="n"/>
      <c r="D37" s="13" t="n"/>
      <c r="E37" s="13" t="n"/>
      <c r="F37" s="13" t="n"/>
      <c r="G37" s="13" t="n"/>
      <c r="H37" s="38" t="n"/>
      <c r="I37" s="22" t="n"/>
      <c r="J37" s="22" t="n"/>
      <c r="K37" s="13" t="n"/>
      <c r="L37" s="13" t="n"/>
    </row>
    <row r="38" ht="22" customHeight="1">
      <c r="B38" s="19">
        <f>IF(C38="","RM-"&amp;TEXT(COUNTA($C$5:C38),"000"))</f>
        <v/>
      </c>
      <c r="C38" s="16" t="n"/>
      <c r="D38" s="16" t="n"/>
      <c r="E38" s="16" t="n"/>
      <c r="F38" s="16" t="n"/>
      <c r="G38" s="16" t="n"/>
      <c r="H38" s="39" t="n"/>
      <c r="I38" s="24" t="n"/>
      <c r="J38" s="24" t="n"/>
      <c r="K38" s="16" t="n"/>
      <c r="L38" s="16" t="n"/>
    </row>
    <row r="39" ht="22" customHeight="1">
      <c r="B39" s="20">
        <f>IF(C39="","RM-"&amp;TEXT(COUNTA($C$5:C39),"000"))</f>
        <v/>
      </c>
      <c r="C39" s="13" t="n"/>
      <c r="D39" s="13" t="n"/>
      <c r="E39" s="13" t="n"/>
      <c r="F39" s="13" t="n"/>
      <c r="G39" s="13" t="n"/>
      <c r="H39" s="38" t="n"/>
      <c r="I39" s="22" t="n"/>
      <c r="J39" s="22" t="n"/>
      <c r="K39" s="13" t="n"/>
      <c r="L39" s="13" t="n"/>
    </row>
    <row r="40" ht="22" customHeight="1">
      <c r="B40" s="19">
        <f>IF(C40="","RM-"&amp;TEXT(COUNTA($C$5:C40),"000"))</f>
        <v/>
      </c>
      <c r="C40" s="16" t="n"/>
      <c r="D40" s="16" t="n"/>
      <c r="E40" s="16" t="n"/>
      <c r="F40" s="16" t="n"/>
      <c r="G40" s="16" t="n"/>
      <c r="H40" s="39" t="n"/>
      <c r="I40" s="24" t="n"/>
      <c r="J40" s="24" t="n"/>
      <c r="K40" s="16" t="n"/>
      <c r="L40" s="16" t="n"/>
    </row>
    <row r="41" ht="22" customHeight="1">
      <c r="B41" s="20">
        <f>IF(C41="","RM-"&amp;TEXT(COUNTA($C$5:C41),"000"))</f>
        <v/>
      </c>
      <c r="C41" s="13" t="n"/>
      <c r="D41" s="13" t="n"/>
      <c r="E41" s="13" t="n"/>
      <c r="F41" s="13" t="n"/>
      <c r="G41" s="13" t="n"/>
      <c r="H41" s="38" t="n"/>
      <c r="I41" s="22" t="n"/>
      <c r="J41" s="22" t="n"/>
      <c r="K41" s="13" t="n"/>
      <c r="L41" s="13" t="n"/>
    </row>
    <row r="42" ht="22" customHeight="1">
      <c r="B42" s="19">
        <f>IF(C42="","RM-"&amp;TEXT(COUNTA($C$5:C42),"000"))</f>
        <v/>
      </c>
      <c r="C42" s="16" t="n"/>
      <c r="D42" s="16" t="n"/>
      <c r="E42" s="16" t="n"/>
      <c r="F42" s="16" t="n"/>
      <c r="G42" s="16" t="n"/>
      <c r="H42" s="39" t="n"/>
      <c r="I42" s="24" t="n"/>
      <c r="J42" s="24" t="n"/>
      <c r="K42" s="16" t="n"/>
      <c r="L42" s="16" t="n"/>
    </row>
    <row r="43" ht="22" customHeight="1">
      <c r="B43" s="20">
        <f>IF(C43="","RM-"&amp;TEXT(COUNTA($C$5:C43),"000"))</f>
        <v/>
      </c>
      <c r="C43" s="13" t="n"/>
      <c r="D43" s="13" t="n"/>
      <c r="E43" s="13" t="n"/>
      <c r="F43" s="13" t="n"/>
      <c r="G43" s="13" t="n"/>
      <c r="H43" s="38" t="n"/>
      <c r="I43" s="22" t="n"/>
      <c r="J43" s="22" t="n"/>
      <c r="K43" s="13" t="n"/>
      <c r="L43" s="13" t="n"/>
    </row>
    <row r="44" ht="22" customHeight="1">
      <c r="B44" s="19">
        <f>IF(C44="","RM-"&amp;TEXT(COUNTA($C$5:C44),"000"))</f>
        <v/>
      </c>
      <c r="C44" s="16" t="n"/>
      <c r="D44" s="16" t="n"/>
      <c r="E44" s="16" t="n"/>
      <c r="F44" s="16" t="n"/>
      <c r="G44" s="16" t="n"/>
      <c r="H44" s="39" t="n"/>
      <c r="I44" s="24" t="n"/>
      <c r="J44" s="24" t="n"/>
      <c r="K44" s="16" t="n"/>
      <c r="L44" s="16" t="n"/>
    </row>
    <row r="45" ht="22" customHeight="1">
      <c r="B45" s="20">
        <f>IF(C45="","RM-"&amp;TEXT(COUNTA($C$5:C45),"000"))</f>
        <v/>
      </c>
      <c r="C45" s="13" t="n"/>
      <c r="D45" s="13" t="n"/>
      <c r="E45" s="13" t="n"/>
      <c r="F45" s="13" t="n"/>
      <c r="G45" s="13" t="n"/>
      <c r="H45" s="38" t="n"/>
      <c r="I45" s="22" t="n"/>
      <c r="J45" s="22" t="n"/>
      <c r="K45" s="13" t="n"/>
      <c r="L45" s="13" t="n"/>
    </row>
    <row r="46" ht="22" customHeight="1">
      <c r="B46" s="19">
        <f>IF(C46="","RM-"&amp;TEXT(COUNTA($C$5:C46),"000"))</f>
        <v/>
      </c>
      <c r="C46" s="16" t="n"/>
      <c r="D46" s="16" t="n"/>
      <c r="E46" s="16" t="n"/>
      <c r="F46" s="16" t="n"/>
      <c r="G46" s="16" t="n"/>
      <c r="H46" s="39" t="n"/>
      <c r="I46" s="24" t="n"/>
      <c r="J46" s="24" t="n"/>
      <c r="K46" s="16" t="n"/>
      <c r="L46" s="16" t="n"/>
    </row>
    <row r="47" ht="22" customHeight="1">
      <c r="B47" s="20">
        <f>IF(C47="","RM-"&amp;TEXT(COUNTA($C$5:C47),"000"))</f>
        <v/>
      </c>
      <c r="C47" s="13" t="n"/>
      <c r="D47" s="13" t="n"/>
      <c r="E47" s="13" t="n"/>
      <c r="F47" s="13" t="n"/>
      <c r="G47" s="13" t="n"/>
      <c r="H47" s="38" t="n"/>
      <c r="I47" s="22" t="n"/>
      <c r="J47" s="22" t="n"/>
      <c r="K47" s="13" t="n"/>
      <c r="L47" s="13" t="n"/>
    </row>
    <row r="48" ht="22" customHeight="1">
      <c r="B48" s="19">
        <f>IF(C48="","RM-"&amp;TEXT(COUNTA($C$5:C48),"000"))</f>
        <v/>
      </c>
      <c r="C48" s="16" t="n"/>
      <c r="D48" s="16" t="n"/>
      <c r="E48" s="16" t="n"/>
      <c r="F48" s="16" t="n"/>
      <c r="G48" s="16" t="n"/>
      <c r="H48" s="39" t="n"/>
      <c r="I48" s="24" t="n"/>
      <c r="J48" s="24" t="n"/>
      <c r="K48" s="16" t="n"/>
      <c r="L48" s="16" t="n"/>
    </row>
    <row r="49" ht="22" customHeight="1">
      <c r="B49" s="20">
        <f>IF(C49="","RM-"&amp;TEXT(COUNTA($C$5:C49),"000"))</f>
        <v/>
      </c>
      <c r="C49" s="13" t="n"/>
      <c r="D49" s="13" t="n"/>
      <c r="E49" s="13" t="n"/>
      <c r="F49" s="13" t="n"/>
      <c r="G49" s="13" t="n"/>
      <c r="H49" s="38" t="n"/>
      <c r="I49" s="22" t="n"/>
      <c r="J49" s="22" t="n"/>
      <c r="K49" s="13" t="n"/>
      <c r="L49" s="13" t="n"/>
    </row>
    <row r="50" ht="22" customHeight="1">
      <c r="B50" s="19">
        <f>IF(C50="","RM-"&amp;TEXT(COUNTA($C$5:C50),"000"))</f>
        <v/>
      </c>
      <c r="C50" s="16" t="n"/>
      <c r="D50" s="16" t="n"/>
      <c r="E50" s="16" t="n"/>
      <c r="F50" s="16" t="n"/>
      <c r="G50" s="16" t="n"/>
      <c r="H50" s="39" t="n"/>
      <c r="I50" s="24" t="n"/>
      <c r="J50" s="24" t="n"/>
      <c r="K50" s="16" t="n"/>
      <c r="L50" s="16" t="n"/>
    </row>
    <row r="51" ht="22" customHeight="1">
      <c r="B51" s="20">
        <f>IF(C51="","RM-"&amp;TEXT(COUNTA($C$5:C51),"000"))</f>
        <v/>
      </c>
      <c r="C51" s="13" t="n"/>
      <c r="D51" s="13" t="n"/>
      <c r="E51" s="13" t="n"/>
      <c r="F51" s="13" t="n"/>
      <c r="G51" s="13" t="n"/>
      <c r="H51" s="38" t="n"/>
      <c r="I51" s="22" t="n"/>
      <c r="J51" s="22" t="n"/>
      <c r="K51" s="13" t="n"/>
      <c r="L51" s="13" t="n"/>
    </row>
    <row r="52" ht="22" customHeight="1">
      <c r="B52" s="19">
        <f>IF(C52="","RM-"&amp;TEXT(COUNTA($C$5:C52),"000"))</f>
        <v/>
      </c>
      <c r="C52" s="16" t="n"/>
      <c r="D52" s="16" t="n"/>
      <c r="E52" s="16" t="n"/>
      <c r="F52" s="16" t="n"/>
      <c r="G52" s="16" t="n"/>
      <c r="H52" s="39" t="n"/>
      <c r="I52" s="24" t="n"/>
      <c r="J52" s="24" t="n"/>
      <c r="K52" s="16" t="n"/>
      <c r="L52" s="16" t="n"/>
    </row>
    <row r="53" ht="22" customHeight="1">
      <c r="B53" s="20">
        <f>IF(C53="","RM-"&amp;TEXT(COUNTA($C$5:C53),"000"))</f>
        <v/>
      </c>
      <c r="C53" s="13" t="n"/>
      <c r="D53" s="13" t="n"/>
      <c r="E53" s="13" t="n"/>
      <c r="F53" s="13" t="n"/>
      <c r="G53" s="13" t="n"/>
      <c r="H53" s="38" t="n"/>
      <c r="I53" s="22" t="n"/>
      <c r="J53" s="22" t="n"/>
      <c r="K53" s="13" t="n"/>
      <c r="L53" s="13" t="n"/>
    </row>
    <row r="54" ht="22" customHeight="1">
      <c r="B54" s="19">
        <f>IF(C54="","RM-"&amp;TEXT(COUNTA($C$5:C54),"000"))</f>
        <v/>
      </c>
      <c r="C54" s="16" t="n"/>
      <c r="D54" s="16" t="n"/>
      <c r="E54" s="16" t="n"/>
      <c r="F54" s="16" t="n"/>
      <c r="G54" s="16" t="n"/>
      <c r="H54" s="39" t="n"/>
      <c r="I54" s="24" t="n"/>
      <c r="J54" s="24" t="n"/>
      <c r="K54" s="16" t="n"/>
      <c r="L54" s="16" t="n"/>
    </row>
    <row r="55" ht="22" customHeight="1">
      <c r="B55" s="20">
        <f>IF(C55="","RM-"&amp;TEXT(COUNTA($C$5:C55),"000"))</f>
        <v/>
      </c>
      <c r="C55" s="13" t="n"/>
      <c r="D55" s="13" t="n"/>
      <c r="E55" s="13" t="n"/>
      <c r="F55" s="13" t="n"/>
      <c r="G55" s="13" t="n"/>
      <c r="H55" s="38" t="n"/>
      <c r="I55" s="22" t="n"/>
      <c r="J55" s="22" t="n"/>
      <c r="K55" s="13" t="n"/>
      <c r="L55" s="13" t="n"/>
    </row>
    <row r="56" ht="22" customHeight="1">
      <c r="B56" s="19">
        <f>IF(C56="","RM-"&amp;TEXT(COUNTA($C$5:C56),"000"))</f>
        <v/>
      </c>
      <c r="C56" s="16" t="n"/>
      <c r="D56" s="16" t="n"/>
      <c r="E56" s="16" t="n"/>
      <c r="F56" s="16" t="n"/>
      <c r="G56" s="16" t="n"/>
      <c r="H56" s="39" t="n"/>
      <c r="I56" s="24" t="n"/>
      <c r="J56" s="24" t="n"/>
      <c r="K56" s="16" t="n"/>
      <c r="L56" s="16" t="n"/>
    </row>
    <row r="57" ht="22" customHeight="1">
      <c r="B57" s="20">
        <f>IF(C57="","RM-"&amp;TEXT(COUNTA($C$5:C57),"000"))</f>
        <v/>
      </c>
      <c r="C57" s="13" t="n"/>
      <c r="D57" s="13" t="n"/>
      <c r="E57" s="13" t="n"/>
      <c r="F57" s="13" t="n"/>
      <c r="G57" s="13" t="n"/>
      <c r="H57" s="38" t="n"/>
      <c r="I57" s="22" t="n"/>
      <c r="J57" s="22" t="n"/>
      <c r="K57" s="13" t="n"/>
      <c r="L57" s="13" t="n"/>
    </row>
    <row r="58" ht="22" customHeight="1">
      <c r="B58" s="19">
        <f>IF(C58="","RM-"&amp;TEXT(COUNTA($C$5:C58),"000"))</f>
        <v/>
      </c>
      <c r="C58" s="16" t="n"/>
      <c r="D58" s="16" t="n"/>
      <c r="E58" s="16" t="n"/>
      <c r="F58" s="16" t="n"/>
      <c r="G58" s="16" t="n"/>
      <c r="H58" s="39" t="n"/>
      <c r="I58" s="24" t="n"/>
      <c r="J58" s="24" t="n"/>
      <c r="K58" s="16" t="n"/>
      <c r="L58" s="16" t="n"/>
    </row>
    <row r="59" ht="22" customHeight="1">
      <c r="B59" s="20">
        <f>IF(C59="","RM-"&amp;TEXT(COUNTA($C$5:C59),"000"))</f>
        <v/>
      </c>
      <c r="C59" s="13" t="n"/>
      <c r="D59" s="13" t="n"/>
      <c r="E59" s="13" t="n"/>
      <c r="F59" s="13" t="n"/>
      <c r="G59" s="13" t="n"/>
      <c r="H59" s="38" t="n"/>
      <c r="I59" s="22" t="n"/>
      <c r="J59" s="22" t="n"/>
      <c r="K59" s="13" t="n"/>
      <c r="L59" s="13" t="n"/>
    </row>
    <row r="60" ht="22" customHeight="1">
      <c r="B60" s="19">
        <f>IF(C60="","RM-"&amp;TEXT(COUNTA($C$5:C60),"000"))</f>
        <v/>
      </c>
      <c r="C60" s="16" t="n"/>
      <c r="D60" s="16" t="n"/>
      <c r="E60" s="16" t="n"/>
      <c r="F60" s="16" t="n"/>
      <c r="G60" s="16" t="n"/>
      <c r="H60" s="39" t="n"/>
      <c r="I60" s="24" t="n"/>
      <c r="J60" s="24" t="n"/>
      <c r="K60" s="16" t="n"/>
      <c r="L60" s="16" t="n"/>
    </row>
    <row r="61" ht="22" customHeight="1">
      <c r="B61" s="20">
        <f>IF(C61="","RM-"&amp;TEXT(COUNTA($C$5:C61),"000"))</f>
        <v/>
      </c>
      <c r="C61" s="13" t="n"/>
      <c r="D61" s="13" t="n"/>
      <c r="E61" s="13" t="n"/>
      <c r="F61" s="13" t="n"/>
      <c r="G61" s="13" t="n"/>
      <c r="H61" s="38" t="n"/>
      <c r="I61" s="22" t="n"/>
      <c r="J61" s="22" t="n"/>
      <c r="K61" s="13" t="n"/>
      <c r="L61" s="13" t="n"/>
    </row>
    <row r="62" ht="22" customHeight="1">
      <c r="B62" s="19">
        <f>IF(C62="","RM-"&amp;TEXT(COUNTA($C$5:C62),"000"))</f>
        <v/>
      </c>
      <c r="C62" s="16" t="n"/>
      <c r="D62" s="16" t="n"/>
      <c r="E62" s="16" t="n"/>
      <c r="F62" s="16" t="n"/>
      <c r="G62" s="16" t="n"/>
      <c r="H62" s="39" t="n"/>
      <c r="I62" s="24" t="n"/>
      <c r="J62" s="24" t="n"/>
      <c r="K62" s="16" t="n"/>
      <c r="L62" s="16" t="n"/>
    </row>
    <row r="63" ht="22" customHeight="1">
      <c r="B63" s="20">
        <f>IF(C63="","RM-"&amp;TEXT(COUNTA($C$5:C63),"000"))</f>
        <v/>
      </c>
      <c r="C63" s="13" t="n"/>
      <c r="D63" s="13" t="n"/>
      <c r="E63" s="13" t="n"/>
      <c r="F63" s="13" t="n"/>
      <c r="G63" s="13" t="n"/>
      <c r="H63" s="38" t="n"/>
      <c r="I63" s="22" t="n"/>
      <c r="J63" s="22" t="n"/>
      <c r="K63" s="13" t="n"/>
      <c r="L63" s="13" t="n"/>
    </row>
    <row r="64" ht="22" customHeight="1">
      <c r="B64" s="19">
        <f>IF(C64="","RM-"&amp;TEXT(COUNTA($C$5:C64),"000"))</f>
        <v/>
      </c>
      <c r="C64" s="16" t="n"/>
      <c r="D64" s="16" t="n"/>
      <c r="E64" s="16" t="n"/>
      <c r="F64" s="16" t="n"/>
      <c r="G64" s="16" t="n"/>
      <c r="H64" s="39" t="n"/>
      <c r="I64" s="24" t="n"/>
      <c r="J64" s="24" t="n"/>
      <c r="K64" s="16" t="n"/>
      <c r="L64" s="16" t="n"/>
    </row>
    <row r="65" ht="22" customHeight="1">
      <c r="B65" s="20">
        <f>IF(C65="","RM-"&amp;TEXT(COUNTA($C$5:C65),"000"))</f>
        <v/>
      </c>
      <c r="C65" s="13" t="n"/>
      <c r="D65" s="13" t="n"/>
      <c r="E65" s="13" t="n"/>
      <c r="F65" s="13" t="n"/>
      <c r="G65" s="13" t="n"/>
      <c r="H65" s="38" t="n"/>
      <c r="I65" s="22" t="n"/>
      <c r="J65" s="22" t="n"/>
      <c r="K65" s="13" t="n"/>
      <c r="L65" s="13" t="n"/>
    </row>
    <row r="66" ht="22" customHeight="1">
      <c r="B66" s="19">
        <f>IF(C66="","RM-"&amp;TEXT(COUNTA($C$5:C66),"000"))</f>
        <v/>
      </c>
      <c r="C66" s="16" t="n"/>
      <c r="D66" s="16" t="n"/>
      <c r="E66" s="16" t="n"/>
      <c r="F66" s="16" t="n"/>
      <c r="G66" s="16" t="n"/>
      <c r="H66" s="39" t="n"/>
      <c r="I66" s="24" t="n"/>
      <c r="J66" s="24" t="n"/>
      <c r="K66" s="16" t="n"/>
      <c r="L66" s="16" t="n"/>
    </row>
    <row r="67" ht="22" customHeight="1">
      <c r="B67" s="20">
        <f>IF(C67="","RM-"&amp;TEXT(COUNTA($C$5:C67),"000"))</f>
        <v/>
      </c>
      <c r="C67" s="13" t="n"/>
      <c r="D67" s="13" t="n"/>
      <c r="E67" s="13" t="n"/>
      <c r="F67" s="13" t="n"/>
      <c r="G67" s="13" t="n"/>
      <c r="H67" s="38" t="n"/>
      <c r="I67" s="22" t="n"/>
      <c r="J67" s="22" t="n"/>
      <c r="K67" s="13" t="n"/>
      <c r="L67" s="13" t="n"/>
    </row>
    <row r="68" ht="22" customHeight="1">
      <c r="B68" s="19">
        <f>IF(C68="","RM-"&amp;TEXT(COUNTA($C$5:C68),"000"))</f>
        <v/>
      </c>
      <c r="C68" s="16" t="n"/>
      <c r="D68" s="16" t="n"/>
      <c r="E68" s="16" t="n"/>
      <c r="F68" s="16" t="n"/>
      <c r="G68" s="16" t="n"/>
      <c r="H68" s="39" t="n"/>
      <c r="I68" s="24" t="n"/>
      <c r="J68" s="24" t="n"/>
      <c r="K68" s="16" t="n"/>
      <c r="L68" s="16" t="n"/>
    </row>
    <row r="69" ht="22" customHeight="1">
      <c r="B69" s="20">
        <f>IF(C69="","RM-"&amp;TEXT(COUNTA($C$5:C69),"000"))</f>
        <v/>
      </c>
      <c r="C69" s="13" t="n"/>
      <c r="D69" s="13" t="n"/>
      <c r="E69" s="13" t="n"/>
      <c r="F69" s="13" t="n"/>
      <c r="G69" s="13" t="n"/>
      <c r="H69" s="38" t="n"/>
      <c r="I69" s="22" t="n"/>
      <c r="J69" s="22" t="n"/>
      <c r="K69" s="13" t="n"/>
      <c r="L69" s="13" t="n"/>
    </row>
    <row r="70" ht="22" customHeight="1">
      <c r="B70" s="19">
        <f>IF(C70="","RM-"&amp;TEXT(COUNTA($C$5:C70),"000"))</f>
        <v/>
      </c>
      <c r="C70" s="16" t="n"/>
      <c r="D70" s="16" t="n"/>
      <c r="E70" s="16" t="n"/>
      <c r="F70" s="16" t="n"/>
      <c r="G70" s="16" t="n"/>
      <c r="H70" s="39" t="n"/>
      <c r="I70" s="24" t="n"/>
      <c r="J70" s="24" t="n"/>
      <c r="K70" s="16" t="n"/>
      <c r="L70" s="16" t="n"/>
    </row>
    <row r="71" ht="22" customHeight="1">
      <c r="B71" s="20">
        <f>IF(C71="","RM-"&amp;TEXT(COUNTA($C$5:C71),"000"))</f>
        <v/>
      </c>
      <c r="C71" s="13" t="n"/>
      <c r="D71" s="13" t="n"/>
      <c r="E71" s="13" t="n"/>
      <c r="F71" s="13" t="n"/>
      <c r="G71" s="13" t="n"/>
      <c r="H71" s="38" t="n"/>
      <c r="I71" s="22" t="n"/>
      <c r="J71" s="22" t="n"/>
      <c r="K71" s="13" t="n"/>
      <c r="L71" s="13" t="n"/>
    </row>
    <row r="72" ht="22" customHeight="1">
      <c r="B72" s="19">
        <f>IF(C72="","RM-"&amp;TEXT(COUNTA($C$5:C72),"000"))</f>
        <v/>
      </c>
      <c r="C72" s="16" t="n"/>
      <c r="D72" s="16" t="n"/>
      <c r="E72" s="16" t="n"/>
      <c r="F72" s="16" t="n"/>
      <c r="G72" s="16" t="n"/>
      <c r="H72" s="39" t="n"/>
      <c r="I72" s="24" t="n"/>
      <c r="J72" s="24" t="n"/>
      <c r="K72" s="16" t="n"/>
      <c r="L72" s="16" t="n"/>
    </row>
    <row r="73" ht="22" customHeight="1">
      <c r="B73" s="20">
        <f>IF(C73="","RM-"&amp;TEXT(COUNTA($C$5:C73),"000"))</f>
        <v/>
      </c>
      <c r="C73" s="13" t="n"/>
      <c r="D73" s="13" t="n"/>
      <c r="E73" s="13" t="n"/>
      <c r="F73" s="13" t="n"/>
      <c r="G73" s="13" t="n"/>
      <c r="H73" s="38" t="n"/>
      <c r="I73" s="22" t="n"/>
      <c r="J73" s="22" t="n"/>
      <c r="K73" s="13" t="n"/>
      <c r="L73" s="13" t="n"/>
    </row>
    <row r="74" ht="22" customHeight="1">
      <c r="B74" s="19">
        <f>IF(C74="","RM-"&amp;TEXT(COUNTA($C$5:C74),"000"))</f>
        <v/>
      </c>
      <c r="C74" s="16" t="n"/>
      <c r="D74" s="16" t="n"/>
      <c r="E74" s="16" t="n"/>
      <c r="F74" s="16" t="n"/>
      <c r="G74" s="16" t="n"/>
      <c r="H74" s="39" t="n"/>
      <c r="I74" s="24" t="n"/>
      <c r="J74" s="24" t="n"/>
      <c r="K74" s="16" t="n"/>
      <c r="L74" s="16" t="n"/>
    </row>
    <row r="75" ht="22" customHeight="1">
      <c r="B75" s="20">
        <f>IF(C75="","RM-"&amp;TEXT(COUNTA($C$5:C75),"000"))</f>
        <v/>
      </c>
      <c r="C75" s="13" t="n"/>
      <c r="D75" s="13" t="n"/>
      <c r="E75" s="13" t="n"/>
      <c r="F75" s="13" t="n"/>
      <c r="G75" s="13" t="n"/>
      <c r="H75" s="38" t="n"/>
      <c r="I75" s="22" t="n"/>
      <c r="J75" s="22" t="n"/>
      <c r="K75" s="13" t="n"/>
      <c r="L75" s="13" t="n"/>
    </row>
    <row r="76" ht="22" customHeight="1">
      <c r="B76" s="19">
        <f>IF(C76="","RM-"&amp;TEXT(COUNTA($C$5:C76),"000"))</f>
        <v/>
      </c>
      <c r="C76" s="16" t="n"/>
      <c r="D76" s="16" t="n"/>
      <c r="E76" s="16" t="n"/>
      <c r="F76" s="16" t="n"/>
      <c r="G76" s="16" t="n"/>
      <c r="H76" s="39" t="n"/>
      <c r="I76" s="24" t="n"/>
      <c r="J76" s="24" t="n"/>
      <c r="K76" s="16" t="n"/>
      <c r="L76" s="16" t="n"/>
    </row>
    <row r="77" ht="22" customHeight="1">
      <c r="B77" s="20">
        <f>IF(C77="","RM-"&amp;TEXT(COUNTA($C$5:C77),"000"))</f>
        <v/>
      </c>
      <c r="C77" s="13" t="n"/>
      <c r="D77" s="13" t="n"/>
      <c r="E77" s="13" t="n"/>
      <c r="F77" s="13" t="n"/>
      <c r="G77" s="13" t="n"/>
      <c r="H77" s="38" t="n"/>
      <c r="I77" s="22" t="n"/>
      <c r="J77" s="22" t="n"/>
      <c r="K77" s="13" t="n"/>
      <c r="L77" s="13" t="n"/>
    </row>
    <row r="78" ht="22" customHeight="1">
      <c r="B78" s="19">
        <f>IF(C78="","RM-"&amp;TEXT(COUNTA($C$5:C78),"000"))</f>
        <v/>
      </c>
      <c r="C78" s="16" t="n"/>
      <c r="D78" s="16" t="n"/>
      <c r="E78" s="16" t="n"/>
      <c r="F78" s="16" t="n"/>
      <c r="G78" s="16" t="n"/>
      <c r="H78" s="39" t="n"/>
      <c r="I78" s="24" t="n"/>
      <c r="J78" s="24" t="n"/>
      <c r="K78" s="16" t="n"/>
      <c r="L78" s="16" t="n"/>
    </row>
    <row r="79" ht="22" customHeight="1">
      <c r="B79" s="20">
        <f>IF(C79="","RM-"&amp;TEXT(COUNTA($C$5:C79),"000"))</f>
        <v/>
      </c>
      <c r="C79" s="13" t="n"/>
      <c r="D79" s="13" t="n"/>
      <c r="E79" s="13" t="n"/>
      <c r="F79" s="13" t="n"/>
      <c r="G79" s="13" t="n"/>
      <c r="H79" s="38" t="n"/>
      <c r="I79" s="22" t="n"/>
      <c r="J79" s="22" t="n"/>
      <c r="K79" s="13" t="n"/>
      <c r="L79" s="13" t="n"/>
    </row>
    <row r="80" ht="22" customHeight="1">
      <c r="B80" s="19">
        <f>IF(C80="","RM-"&amp;TEXT(COUNTA($C$5:C80),"000"))</f>
        <v/>
      </c>
      <c r="C80" s="16" t="n"/>
      <c r="D80" s="16" t="n"/>
      <c r="E80" s="16" t="n"/>
      <c r="F80" s="16" t="n"/>
      <c r="G80" s="16" t="n"/>
      <c r="H80" s="39" t="n"/>
      <c r="I80" s="24" t="n"/>
      <c r="J80" s="24" t="n"/>
      <c r="K80" s="16" t="n"/>
      <c r="L80" s="16" t="n"/>
    </row>
    <row r="81" ht="22" customHeight="1">
      <c r="B81" s="20">
        <f>IF(C81="","RM-"&amp;TEXT(COUNTA($C$5:C81),"000"))</f>
        <v/>
      </c>
      <c r="C81" s="13" t="n"/>
      <c r="D81" s="13" t="n"/>
      <c r="E81" s="13" t="n"/>
      <c r="F81" s="13" t="n"/>
      <c r="G81" s="13" t="n"/>
      <c r="H81" s="38" t="n"/>
      <c r="I81" s="22" t="n"/>
      <c r="J81" s="22" t="n"/>
      <c r="K81" s="13" t="n"/>
      <c r="L81" s="13" t="n"/>
    </row>
    <row r="82" ht="22" customHeight="1">
      <c r="B82" s="19">
        <f>IF(C82="","RM-"&amp;TEXT(COUNTA($C$5:C82),"000"))</f>
        <v/>
      </c>
      <c r="C82" s="16" t="n"/>
      <c r="D82" s="16" t="n"/>
      <c r="E82" s="16" t="n"/>
      <c r="F82" s="16" t="n"/>
      <c r="G82" s="16" t="n"/>
      <c r="H82" s="39" t="n"/>
      <c r="I82" s="24" t="n"/>
      <c r="J82" s="24" t="n"/>
      <c r="K82" s="16" t="n"/>
      <c r="L82" s="16" t="n"/>
    </row>
    <row r="83" ht="22" customHeight="1">
      <c r="B83" s="20">
        <f>IF(C83="","RM-"&amp;TEXT(COUNTA($C$5:C83),"000"))</f>
        <v/>
      </c>
      <c r="C83" s="13" t="n"/>
      <c r="D83" s="13" t="n"/>
      <c r="E83" s="13" t="n"/>
      <c r="F83" s="13" t="n"/>
      <c r="G83" s="13" t="n"/>
      <c r="H83" s="38" t="n"/>
      <c r="I83" s="22" t="n"/>
      <c r="J83" s="22" t="n"/>
      <c r="K83" s="13" t="n"/>
      <c r="L83" s="13" t="n"/>
    </row>
    <row r="84" ht="22" customHeight="1">
      <c r="B84" s="19">
        <f>IF(C84="","RM-"&amp;TEXT(COUNTA($C$5:C84),"000"))</f>
        <v/>
      </c>
      <c r="C84" s="16" t="n"/>
      <c r="D84" s="16" t="n"/>
      <c r="E84" s="16" t="n"/>
      <c r="F84" s="16" t="n"/>
      <c r="G84" s="16" t="n"/>
      <c r="H84" s="39" t="n"/>
      <c r="I84" s="24" t="n"/>
      <c r="J84" s="24" t="n"/>
      <c r="K84" s="16" t="n"/>
      <c r="L84" s="16" t="n"/>
    </row>
    <row r="85" ht="22" customHeight="1">
      <c r="B85" s="20">
        <f>IF(C85="","RM-"&amp;TEXT(COUNTA($C$5:C85),"000"))</f>
        <v/>
      </c>
      <c r="C85" s="13" t="n"/>
      <c r="D85" s="13" t="n"/>
      <c r="E85" s="13" t="n"/>
      <c r="F85" s="13" t="n"/>
      <c r="G85" s="13" t="n"/>
      <c r="H85" s="38" t="n"/>
      <c r="I85" s="22" t="n"/>
      <c r="J85" s="22" t="n"/>
      <c r="K85" s="13" t="n"/>
      <c r="L85" s="13" t="n"/>
    </row>
    <row r="86" ht="22" customHeight="1">
      <c r="B86" s="19">
        <f>IF(C86="","RM-"&amp;TEXT(COUNTA($C$5:C86),"000"))</f>
        <v/>
      </c>
      <c r="C86" s="16" t="n"/>
      <c r="D86" s="16" t="n"/>
      <c r="E86" s="16" t="n"/>
      <c r="F86" s="16" t="n"/>
      <c r="G86" s="16" t="n"/>
      <c r="H86" s="39" t="n"/>
      <c r="I86" s="24" t="n"/>
      <c r="J86" s="24" t="n"/>
      <c r="K86" s="16" t="n"/>
      <c r="L86" s="16" t="n"/>
    </row>
    <row r="87" ht="22" customHeight="1">
      <c r="B87" s="20">
        <f>IF(C87="","RM-"&amp;TEXT(COUNTA($C$5:C87),"000"))</f>
        <v/>
      </c>
      <c r="C87" s="13" t="n"/>
      <c r="D87" s="13" t="n"/>
      <c r="E87" s="13" t="n"/>
      <c r="F87" s="13" t="n"/>
      <c r="G87" s="13" t="n"/>
      <c r="H87" s="38" t="n"/>
      <c r="I87" s="22" t="n"/>
      <c r="J87" s="22" t="n"/>
      <c r="K87" s="13" t="n"/>
      <c r="L87" s="13" t="n"/>
    </row>
    <row r="88" ht="22" customHeight="1">
      <c r="B88" s="19">
        <f>IF(C88="","RM-"&amp;TEXT(COUNTA($C$5:C88),"000"))</f>
        <v/>
      </c>
      <c r="C88" s="16" t="n"/>
      <c r="D88" s="16" t="n"/>
      <c r="E88" s="16" t="n"/>
      <c r="F88" s="16" t="n"/>
      <c r="G88" s="16" t="n"/>
      <c r="H88" s="39" t="n"/>
      <c r="I88" s="24" t="n"/>
      <c r="J88" s="24" t="n"/>
      <c r="K88" s="16" t="n"/>
      <c r="L88" s="16" t="n"/>
    </row>
    <row r="89" ht="22" customHeight="1">
      <c r="B89" s="20">
        <f>IF(C89="","RM-"&amp;TEXT(COUNTA($C$5:C89),"000"))</f>
        <v/>
      </c>
      <c r="C89" s="13" t="n"/>
      <c r="D89" s="13" t="n"/>
      <c r="E89" s="13" t="n"/>
      <c r="F89" s="13" t="n"/>
      <c r="G89" s="13" t="n"/>
      <c r="H89" s="38" t="n"/>
      <c r="I89" s="22" t="n"/>
      <c r="J89" s="22" t="n"/>
      <c r="K89" s="13" t="n"/>
      <c r="L89" s="13" t="n"/>
    </row>
    <row r="90" ht="22" customHeight="1">
      <c r="B90" s="19">
        <f>IF(C90="","RM-"&amp;TEXT(COUNTA($C$5:C90),"000"))</f>
        <v/>
      </c>
      <c r="C90" s="16" t="n"/>
      <c r="D90" s="16" t="n"/>
      <c r="E90" s="16" t="n"/>
      <c r="F90" s="16" t="n"/>
      <c r="G90" s="16" t="n"/>
      <c r="H90" s="39" t="n"/>
      <c r="I90" s="24" t="n"/>
      <c r="J90" s="24" t="n"/>
      <c r="K90" s="16" t="n"/>
      <c r="L90" s="16" t="n"/>
    </row>
    <row r="91" ht="22" customHeight="1">
      <c r="B91" s="20">
        <f>IF(C91="","RM-"&amp;TEXT(COUNTA($C$5:C91),"000"))</f>
        <v/>
      </c>
      <c r="C91" s="13" t="n"/>
      <c r="D91" s="13" t="n"/>
      <c r="E91" s="13" t="n"/>
      <c r="F91" s="13" t="n"/>
      <c r="G91" s="13" t="n"/>
      <c r="H91" s="38" t="n"/>
      <c r="I91" s="22" t="n"/>
      <c r="J91" s="22" t="n"/>
      <c r="K91" s="13" t="n"/>
      <c r="L91" s="13" t="n"/>
    </row>
    <row r="92" ht="22" customHeight="1">
      <c r="B92" s="19">
        <f>IF(C92="","RM-"&amp;TEXT(COUNTA($C$5:C92),"000"))</f>
        <v/>
      </c>
      <c r="C92" s="16" t="n"/>
      <c r="D92" s="16" t="n"/>
      <c r="E92" s="16" t="n"/>
      <c r="F92" s="16" t="n"/>
      <c r="G92" s="16" t="n"/>
      <c r="H92" s="39" t="n"/>
      <c r="I92" s="24" t="n"/>
      <c r="J92" s="24" t="n"/>
      <c r="K92" s="16" t="n"/>
      <c r="L92" s="16" t="n"/>
    </row>
    <row r="93" ht="22" customHeight="1">
      <c r="B93" s="20">
        <f>IF(C93="","RM-"&amp;TEXT(COUNTA($C$5:C93),"000"))</f>
        <v/>
      </c>
      <c r="C93" s="13" t="n"/>
      <c r="D93" s="13" t="n"/>
      <c r="E93" s="13" t="n"/>
      <c r="F93" s="13" t="n"/>
      <c r="G93" s="13" t="n"/>
      <c r="H93" s="38" t="n"/>
      <c r="I93" s="22" t="n"/>
      <c r="J93" s="22" t="n"/>
      <c r="K93" s="13" t="n"/>
      <c r="L93" s="13" t="n"/>
    </row>
    <row r="94" ht="22" customHeight="1">
      <c r="B94" s="19">
        <f>IF(C94="","RM-"&amp;TEXT(COUNTA($C$5:C94),"000"))</f>
        <v/>
      </c>
      <c r="C94" s="16" t="n"/>
      <c r="D94" s="16" t="n"/>
      <c r="E94" s="16" t="n"/>
      <c r="F94" s="16" t="n"/>
      <c r="G94" s="16" t="n"/>
      <c r="H94" s="39" t="n"/>
      <c r="I94" s="24" t="n"/>
      <c r="J94" s="24" t="n"/>
      <c r="K94" s="16" t="n"/>
      <c r="L94" s="16" t="n"/>
    </row>
    <row r="95" ht="22" customHeight="1">
      <c r="B95" s="20">
        <f>IF(C95="","RM-"&amp;TEXT(COUNTA($C$5:C95),"000"))</f>
        <v/>
      </c>
      <c r="C95" s="13" t="n"/>
      <c r="D95" s="13" t="n"/>
      <c r="E95" s="13" t="n"/>
      <c r="F95" s="13" t="n"/>
      <c r="G95" s="13" t="n"/>
      <c r="H95" s="38" t="n"/>
      <c r="I95" s="22" t="n"/>
      <c r="J95" s="22" t="n"/>
      <c r="K95" s="13" t="n"/>
      <c r="L95" s="13" t="n"/>
    </row>
    <row r="96" ht="22" customHeight="1">
      <c r="B96" s="19">
        <f>IF(C96="","RM-"&amp;TEXT(COUNTA($C$5:C96),"000"))</f>
        <v/>
      </c>
      <c r="C96" s="16" t="n"/>
      <c r="D96" s="16" t="n"/>
      <c r="E96" s="16" t="n"/>
      <c r="F96" s="16" t="n"/>
      <c r="G96" s="16" t="n"/>
      <c r="H96" s="39" t="n"/>
      <c r="I96" s="24" t="n"/>
      <c r="J96" s="24" t="n"/>
      <c r="K96" s="16" t="n"/>
      <c r="L96" s="16" t="n"/>
    </row>
    <row r="97" ht="22" customHeight="1">
      <c r="B97" s="20">
        <f>IF(C97="","RM-"&amp;TEXT(COUNTA($C$5:C97),"000"))</f>
        <v/>
      </c>
      <c r="C97" s="13" t="n"/>
      <c r="D97" s="13" t="n"/>
      <c r="E97" s="13" t="n"/>
      <c r="F97" s="13" t="n"/>
      <c r="G97" s="13" t="n"/>
      <c r="H97" s="38" t="n"/>
      <c r="I97" s="22" t="n"/>
      <c r="J97" s="22" t="n"/>
      <c r="K97" s="13" t="n"/>
      <c r="L97" s="13" t="n"/>
    </row>
    <row r="98" ht="22" customHeight="1">
      <c r="B98" s="19">
        <f>IF(C98="","RM-"&amp;TEXT(COUNTA($C$5:C98),"000"))</f>
        <v/>
      </c>
      <c r="C98" s="16" t="n"/>
      <c r="D98" s="16" t="n"/>
      <c r="E98" s="16" t="n"/>
      <c r="F98" s="16" t="n"/>
      <c r="G98" s="16" t="n"/>
      <c r="H98" s="39" t="n"/>
      <c r="I98" s="24" t="n"/>
      <c r="J98" s="24" t="n"/>
      <c r="K98" s="16" t="n"/>
      <c r="L98" s="16" t="n"/>
    </row>
    <row r="99" ht="22" customHeight="1">
      <c r="B99" s="20">
        <f>IF(C99="","RM-"&amp;TEXT(COUNTA($C$5:C99),"000"))</f>
        <v/>
      </c>
      <c r="C99" s="13" t="n"/>
      <c r="D99" s="13" t="n"/>
      <c r="E99" s="13" t="n"/>
      <c r="F99" s="13" t="n"/>
      <c r="G99" s="13" t="n"/>
      <c r="H99" s="38" t="n"/>
      <c r="I99" s="22" t="n"/>
      <c r="J99" s="22" t="n"/>
      <c r="K99" s="13" t="n"/>
      <c r="L99" s="13" t="n"/>
    </row>
    <row r="100" ht="22" customHeight="1">
      <c r="B100" s="19">
        <f>IF(C100="","RM-"&amp;TEXT(COUNTA($C$5:C100),"000"))</f>
        <v/>
      </c>
      <c r="C100" s="16" t="n"/>
      <c r="D100" s="16" t="n"/>
      <c r="E100" s="16" t="n"/>
      <c r="F100" s="16" t="n"/>
      <c r="G100" s="16" t="n"/>
      <c r="H100" s="39" t="n"/>
      <c r="I100" s="24" t="n"/>
      <c r="J100" s="24" t="n"/>
      <c r="K100" s="16" t="n"/>
      <c r="L100" s="16" t="n"/>
    </row>
    <row r="101" ht="22" customHeight="1">
      <c r="B101" s="20">
        <f>IF(C101="","RM-"&amp;TEXT(COUNTA($C$5:C101),"000"))</f>
        <v/>
      </c>
      <c r="C101" s="13" t="n"/>
      <c r="D101" s="13" t="n"/>
      <c r="E101" s="13" t="n"/>
      <c r="F101" s="13" t="n"/>
      <c r="G101" s="13" t="n"/>
      <c r="H101" s="38" t="n"/>
      <c r="I101" s="22" t="n"/>
      <c r="J101" s="22" t="n"/>
      <c r="K101" s="13" t="n"/>
      <c r="L101" s="13" t="n"/>
    </row>
    <row r="102" ht="22" customHeight="1">
      <c r="B102" s="19">
        <f>IF(C102="","RM-"&amp;TEXT(COUNTA($C$5:C102),"000"))</f>
        <v/>
      </c>
      <c r="C102" s="16" t="n"/>
      <c r="D102" s="16" t="n"/>
      <c r="E102" s="16" t="n"/>
      <c r="F102" s="16" t="n"/>
      <c r="G102" s="16" t="n"/>
      <c r="H102" s="39" t="n"/>
      <c r="I102" s="24" t="n"/>
      <c r="J102" s="24" t="n"/>
      <c r="K102" s="16" t="n"/>
      <c r="L102" s="16" t="n"/>
    </row>
    <row r="103" ht="22" customHeight="1">
      <c r="B103" s="20">
        <f>IF(C103="","RM-"&amp;TEXT(COUNTA($C$5:C103),"000"))</f>
        <v/>
      </c>
      <c r="C103" s="13" t="n"/>
      <c r="D103" s="13" t="n"/>
      <c r="E103" s="13" t="n"/>
      <c r="F103" s="13" t="n"/>
      <c r="G103" s="13" t="n"/>
      <c r="H103" s="38" t="n"/>
      <c r="I103" s="22" t="n"/>
      <c r="J103" s="22" t="n"/>
      <c r="K103" s="13" t="n"/>
      <c r="L103" s="13" t="n"/>
    </row>
    <row r="104" ht="22" customHeight="1">
      <c r="B104" s="19">
        <f>IF(C104="","RM-"&amp;TEXT(COUNTA($C$5:C104),"000"))</f>
        <v/>
      </c>
      <c r="C104" s="16" t="n"/>
      <c r="D104" s="16" t="n"/>
      <c r="E104" s="16" t="n"/>
      <c r="F104" s="16" t="n"/>
      <c r="G104" s="16" t="n"/>
      <c r="H104" s="39" t="n"/>
      <c r="I104" s="24" t="n"/>
      <c r="J104" s="24" t="n"/>
      <c r="K104" s="16" t="n"/>
      <c r="L104" s="16" t="n"/>
    </row>
    <row r="105" ht="22" customHeight="1">
      <c r="B105" s="20">
        <f>IF(C105="","RM-"&amp;TEXT(COUNTA($C$5:C105),"000"))</f>
        <v/>
      </c>
      <c r="C105" s="13" t="n"/>
      <c r="D105" s="13" t="n"/>
      <c r="E105" s="13" t="n"/>
      <c r="F105" s="13" t="n"/>
      <c r="G105" s="13" t="n"/>
      <c r="H105" s="38" t="n"/>
      <c r="I105" s="22" t="n"/>
      <c r="J105" s="22" t="n"/>
      <c r="K105" s="13" t="n"/>
      <c r="L105" s="13" t="n"/>
    </row>
    <row r="106" ht="22" customHeight="1">
      <c r="B106" s="19">
        <f>IF(C106="","RM-"&amp;TEXT(COUNTA($C$5:C106),"000"))</f>
        <v/>
      </c>
      <c r="C106" s="16" t="n"/>
      <c r="D106" s="16" t="n"/>
      <c r="E106" s="16" t="n"/>
      <c r="F106" s="16" t="n"/>
      <c r="G106" s="16" t="n"/>
      <c r="H106" s="39" t="n"/>
      <c r="I106" s="24" t="n"/>
      <c r="J106" s="24" t="n"/>
      <c r="K106" s="16" t="n"/>
      <c r="L106" s="16" t="n"/>
    </row>
    <row r="107" ht="22" customHeight="1">
      <c r="B107" s="20">
        <f>IF(C107="","RM-"&amp;TEXT(COUNTA($C$5:C107),"000"))</f>
        <v/>
      </c>
      <c r="C107" s="13" t="n"/>
      <c r="D107" s="13" t="n"/>
      <c r="E107" s="13" t="n"/>
      <c r="F107" s="13" t="n"/>
      <c r="G107" s="13" t="n"/>
      <c r="H107" s="38" t="n"/>
      <c r="I107" s="22" t="n"/>
      <c r="J107" s="22" t="n"/>
      <c r="K107" s="13" t="n"/>
      <c r="L107" s="13" t="n"/>
    </row>
    <row r="108" ht="22" customHeight="1">
      <c r="B108" s="19">
        <f>IF(C108="","RM-"&amp;TEXT(COUNTA($C$5:C108),"000"))</f>
        <v/>
      </c>
      <c r="C108" s="16" t="n"/>
      <c r="D108" s="16" t="n"/>
      <c r="E108" s="16" t="n"/>
      <c r="F108" s="16" t="n"/>
      <c r="G108" s="16" t="n"/>
      <c r="H108" s="39" t="n"/>
      <c r="I108" s="24" t="n"/>
      <c r="J108" s="24" t="n"/>
      <c r="K108" s="16" t="n"/>
      <c r="L108" s="16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Rapports emis</t>
        </is>
      </c>
      <c r="D111" s="3" t="inlineStr">
        <is>
          <t>Publies</t>
        </is>
      </c>
      <c r="F111" s="3" t="inlineStr">
        <is>
          <t>Total pages</t>
        </is>
      </c>
    </row>
    <row r="112">
      <c r="B112" s="4">
        <f>COUNTIF(B5:B104,"&lt;&gt;")</f>
        <v/>
      </c>
      <c r="D112" s="4">
        <f>COUNTIF(K5:K104,"Publie")</f>
        <v/>
      </c>
      <c r="F112" s="4">
        <f>SUM(I5:I104)</f>
        <v/>
      </c>
    </row>
  </sheetData>
  <mergeCells count="3">
    <mergeCell ref="B2:L2"/>
    <mergeCell ref="B110:L110"/>
    <mergeCell ref="B3:L3"/>
  </mergeCells>
  <conditionalFormatting sqref="K5:K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9:B108">
    <cfRule type="expression" priority="274" dxfId="3">
      <formula>AND($C9="",$C8&lt;&gt;"")</formula>
    </cfRule>
  </conditionalFormatting>
  <conditionalFormatting sqref="C9:C108">
    <cfRule type="expression" priority="275" dxfId="3">
      <formula>AND($C9="",$C8&lt;&gt;"")</formula>
    </cfRule>
  </conditionalFormatting>
  <conditionalFormatting sqref="D9:D108">
    <cfRule type="expression" priority="276" dxfId="3">
      <formula>AND($C9="",$C8&lt;&gt;"")</formula>
    </cfRule>
  </conditionalFormatting>
  <conditionalFormatting sqref="E9:E108">
    <cfRule type="expression" priority="277" dxfId="3">
      <formula>AND($C9="",$C8&lt;&gt;"")</formula>
    </cfRule>
  </conditionalFormatting>
  <conditionalFormatting sqref="F9:F108">
    <cfRule type="expression" priority="278" dxfId="3">
      <formula>AND($C9="",$C8&lt;&gt;"")</formula>
    </cfRule>
  </conditionalFormatting>
  <conditionalFormatting sqref="G9:G108">
    <cfRule type="expression" priority="279" dxfId="3">
      <formula>AND($C9="",$C8&lt;&gt;"")</formula>
    </cfRule>
  </conditionalFormatting>
  <conditionalFormatting sqref="H9:H108">
    <cfRule type="expression" priority="280" dxfId="3">
      <formula>AND($C9="",$C8&lt;&gt;"")</formula>
    </cfRule>
  </conditionalFormatting>
  <conditionalFormatting sqref="I9:I108">
    <cfRule type="expression" priority="281" dxfId="3">
      <formula>AND($C9="",$C8&lt;&gt;"")</formula>
    </cfRule>
  </conditionalFormatting>
  <conditionalFormatting sqref="J9:J108">
    <cfRule type="expression" priority="282" dxfId="3">
      <formula>AND($C9="",$C8&lt;&gt;"")</formula>
    </cfRule>
  </conditionalFormatting>
  <conditionalFormatting sqref="K9:K108">
    <cfRule type="expression" priority="283" dxfId="3">
      <formula>AND($C9="",$C8&lt;&gt;"")</formula>
    </cfRule>
  </conditionalFormatting>
  <conditionalFormatting sqref="L9:L108">
    <cfRule type="expression" priority="284" dxfId="3">
      <formula>AND($C9="",$C8&lt;&gt;"")</formula>
    </cfRule>
  </conditionalFormatting>
  <dataValidations count="4">
    <dataValidation sqref="D5:D108" showDropDown="0" showInputMessage="0" showErrorMessage="0" allowBlank="1" errorTitle="Erreur" error="Valeur invalide" promptTitle="Liste" prompt="Choisir dans la liste" type="list">
      <formula1>'_Lists'!$I$2:$I$11</formula1>
    </dataValidation>
    <dataValidation sqref="E5:E108" showDropDown="0" showInputMessage="0" showErrorMessage="0" allowBlank="1" errorTitle="Erreur" error="Valeur invalide" promptTitle="Liste" prompt="Choisir dans la liste" type="list">
      <formula1>'_Lists'!$J$2:$J$11</formula1>
    </dataValidation>
    <dataValidation sqref="F5:F108" showDropDown="0" showInputMessage="0" showErrorMessage="0" allowBlank="1" errorTitle="Erreur" error="Valeur invalide" promptTitle="Liste" prompt="Choisir dans la liste" type="list">
      <formula1>'_Lists'!$D$2:$D$7</formula1>
    </dataValidation>
    <dataValidation sqref="K5:K108" showDropDown="0" showInputMessage="0" showErrorMessage="0" allowBlank="1" errorTitle="Erreur" error="Valeur invalide" promptTitle="Liste" prompt="Choisir dans la liste" type="list">
      <formula1>'_Lists'!$Q$2:$Q$5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22" customWidth="1" min="6" max="6"/>
    <col width="42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 ht="15" customHeight="1"/>
    <row r="2" ht="32" customHeight="1">
      <c r="B2" s="1" t="inlineStr">
        <is>
          <t>INDICATEURS CLES DE PERFORMANCE RH (#169)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KPI</t>
        </is>
      </c>
      <c r="D4" s="12" t="inlineStr">
        <is>
          <t>Categorie</t>
        </is>
      </c>
      <c r="E4" s="12" t="inlineStr">
        <is>
          <t>Type</t>
        </is>
      </c>
      <c r="F4" s="12" t="inlineStr">
        <is>
          <t>Sens</t>
        </is>
      </c>
      <c r="G4" s="12" t="inlineStr">
        <is>
          <t>Formule / Mode Calcul</t>
        </is>
      </c>
      <c r="H4" s="12" t="inlineStr">
        <is>
          <t>Seuil Vert</t>
        </is>
      </c>
      <c r="I4" s="12" t="inlineStr">
        <is>
          <t>Seuil Orange</t>
        </is>
      </c>
      <c r="J4" s="12" t="inlineStr">
        <is>
          <t>Seuil Rouge</t>
        </is>
      </c>
      <c r="K4" s="12" t="inlineStr">
        <is>
          <t>Frequence</t>
        </is>
      </c>
      <c r="L4" s="12" t="inlineStr">
        <is>
          <t>Proprietaire</t>
        </is>
      </c>
    </row>
    <row r="5" ht="22" customHeight="1">
      <c r="B5" s="13" t="inlineStr">
        <is>
          <t>KPI-001</t>
        </is>
      </c>
      <c r="C5" s="13" t="inlineStr">
        <is>
          <t>Taux rotation</t>
        </is>
      </c>
      <c r="D5" s="13" t="inlineStr">
        <is>
          <t>Mobilité</t>
        </is>
      </c>
      <c r="E5" s="13" t="inlineStr">
        <is>
          <t>Ratio</t>
        </is>
      </c>
      <c r="F5" s="13" t="inlineStr">
        <is>
          <t>Baisse favorable</t>
        </is>
      </c>
      <c r="G5" s="13" t="inlineStr">
        <is>
          <t>Nb departs / Effectif moyen x 100</t>
        </is>
      </c>
      <c r="H5" s="13" t="inlineStr">
        <is>
          <t>&lt;=12%</t>
        </is>
      </c>
      <c r="I5" s="13" t="inlineStr">
        <is>
          <t>12-18%</t>
        </is>
      </c>
      <c r="J5" s="13" t="inlineStr">
        <is>
          <t>&gt;18%</t>
        </is>
      </c>
      <c r="K5" s="13" t="inlineStr">
        <is>
          <t>Mensuel</t>
        </is>
      </c>
      <c r="L5" s="13" t="inlineStr">
        <is>
          <t>DRH</t>
        </is>
      </c>
    </row>
    <row r="6" ht="22" customHeight="1">
      <c r="B6" s="16" t="inlineStr">
        <is>
          <t>KPI-002</t>
        </is>
      </c>
      <c r="C6" s="16" t="inlineStr">
        <is>
          <t>Delai embauche</t>
        </is>
      </c>
      <c r="D6" s="16" t="inlineStr">
        <is>
          <t>Recrutement</t>
        </is>
      </c>
      <c r="E6" s="16" t="inlineStr">
        <is>
          <t>Temps</t>
        </is>
      </c>
      <c r="F6" s="16" t="inlineStr">
        <is>
          <t>Baisse favorable</t>
        </is>
      </c>
      <c r="G6" s="16" t="inlineStr">
        <is>
          <t>Date prise de poste - Date validation offre</t>
        </is>
      </c>
      <c r="H6" s="16" t="inlineStr">
        <is>
          <t>&lt;=30j</t>
        </is>
      </c>
      <c r="I6" s="16" t="inlineStr">
        <is>
          <t>30-45j</t>
        </is>
      </c>
      <c r="J6" s="16" t="inlineStr">
        <is>
          <t>&gt;45j</t>
        </is>
      </c>
      <c r="K6" s="16" t="inlineStr">
        <is>
          <t>Mensuel</t>
        </is>
      </c>
      <c r="L6" s="16" t="inlineStr">
        <is>
          <t>Assistante RH</t>
        </is>
      </c>
    </row>
    <row r="7" ht="22" customHeight="1">
      <c r="B7" s="13" t="inlineStr">
        <is>
          <t>KPI-003</t>
        </is>
      </c>
      <c r="C7" s="13" t="inlineStr">
        <is>
          <t>Cout recrutement</t>
        </is>
      </c>
      <c r="D7" s="13" t="inlineStr">
        <is>
          <t>Recrutement</t>
        </is>
      </c>
      <c r="E7" s="13" t="inlineStr">
        <is>
          <t>Financier</t>
        </is>
      </c>
      <c r="F7" s="13" t="inlineStr">
        <is>
          <t>Baisse favorable</t>
        </is>
      </c>
      <c r="G7" s="13" t="inlineStr">
        <is>
          <t>(Frais annonce + honoraires) / Nb embauches</t>
        </is>
      </c>
      <c r="H7" s="13" t="inlineStr">
        <is>
          <t>&lt;=150k</t>
        </is>
      </c>
      <c r="I7" s="13" t="inlineStr">
        <is>
          <t>150-250k</t>
        </is>
      </c>
      <c r="J7" s="13" t="inlineStr">
        <is>
          <t>&gt;250k</t>
        </is>
      </c>
      <c r="K7" s="13" t="inlineStr">
        <is>
          <t>Trimestriel</t>
        </is>
      </c>
      <c r="L7" s="13" t="inlineStr">
        <is>
          <t>DRH</t>
        </is>
      </c>
    </row>
    <row r="8" ht="22" customHeight="1">
      <c r="B8" s="16" t="inlineStr">
        <is>
          <t>KPI-004</t>
        </is>
      </c>
      <c r="C8" s="16" t="inlineStr">
        <is>
          <t>Taux formation</t>
        </is>
      </c>
      <c r="D8" s="16" t="inlineStr">
        <is>
          <t>Formation</t>
        </is>
      </c>
      <c r="E8" s="16" t="inlineStr">
        <is>
          <t>Ratio</t>
        </is>
      </c>
      <c r="F8" s="16" t="inlineStr">
        <is>
          <t>Hausse favorable</t>
        </is>
      </c>
      <c r="G8" s="16" t="inlineStr">
        <is>
          <t>H formation / Effectif</t>
        </is>
      </c>
      <c r="H8" s="16" t="inlineStr">
        <is>
          <t>&gt;=20h</t>
        </is>
      </c>
      <c r="I8" s="16" t="inlineStr">
        <is>
          <t>15-20h</t>
        </is>
      </c>
      <c r="J8" s="16" t="inlineStr">
        <is>
          <t>&lt;15h</t>
        </is>
      </c>
      <c r="K8" s="16" t="inlineStr">
        <is>
          <t>Trimestriel</t>
        </is>
      </c>
      <c r="L8" s="16" t="inlineStr">
        <is>
          <t>DRH</t>
        </is>
      </c>
    </row>
    <row r="9" ht="22" customHeight="1">
      <c r="B9" s="13" t="inlineStr">
        <is>
          <t>KPI-005</t>
        </is>
      </c>
      <c r="C9" s="13" t="inlineStr">
        <is>
          <t>Absentéisme</t>
        </is>
      </c>
      <c r="D9" s="13" t="inlineStr">
        <is>
          <t>Presence</t>
        </is>
      </c>
      <c r="E9" s="13" t="inlineStr">
        <is>
          <t>Ratio</t>
        </is>
      </c>
      <c r="F9" s="13" t="inlineStr">
        <is>
          <t>Baisse favorable</t>
        </is>
      </c>
      <c r="G9" s="13" t="inlineStr">
        <is>
          <t>Jours absences / Jours ouvrables x 100</t>
        </is>
      </c>
      <c r="H9" s="13" t="inlineStr">
        <is>
          <t>&lt;=5%</t>
        </is>
      </c>
      <c r="I9" s="13" t="inlineStr">
        <is>
          <t>5-8%</t>
        </is>
      </c>
      <c r="J9" s="13" t="inlineStr">
        <is>
          <t>&gt;8%</t>
        </is>
      </c>
      <c r="K9" s="13" t="inlineStr">
        <is>
          <t>Mensuel</t>
        </is>
      </c>
      <c r="L9" s="13" t="inlineStr">
        <is>
          <t>DRH</t>
        </is>
      </c>
    </row>
    <row r="10" ht="22" customHeight="1">
      <c r="B10" s="16" t="inlineStr">
        <is>
          <t>KPI-006</t>
        </is>
      </c>
      <c r="C10" s="16" t="inlineStr">
        <is>
          <t>Satisfaction globale</t>
        </is>
      </c>
      <c r="D10" s="16" t="inlineStr">
        <is>
          <t>Climat social</t>
        </is>
      </c>
      <c r="E10" s="16" t="inlineStr">
        <is>
          <t>Score</t>
        </is>
      </c>
      <c r="F10" s="16" t="inlineStr">
        <is>
          <t>Hausse favorable</t>
        </is>
      </c>
      <c r="G10" s="16" t="inlineStr">
        <is>
          <t>Moyenne enquete satisfaction employes</t>
        </is>
      </c>
      <c r="H10" s="16" t="inlineStr">
        <is>
          <t>&gt;=4.0</t>
        </is>
      </c>
      <c r="I10" s="16" t="inlineStr">
        <is>
          <t>3.5-4.0</t>
        </is>
      </c>
      <c r="J10" s="16" t="inlineStr">
        <is>
          <t>&lt;3.5</t>
        </is>
      </c>
      <c r="K10" s="16" t="inlineStr">
        <is>
          <t>Semestriel</t>
        </is>
      </c>
      <c r="L10" s="16" t="inlineStr">
        <is>
          <t>DRH</t>
        </is>
      </c>
    </row>
    <row r="11" ht="22" customHeight="1">
      <c r="B11" s="20">
        <f>IF(C11="","KPI-"&amp;TEXT(COUNTA($C$5:C11),"000"))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 ht="22" customHeight="1">
      <c r="B12" s="19">
        <f>IF(C12="","KPI-"&amp;TEXT(COUNTA($C$5:C12),"000"))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 ht="22" customHeight="1">
      <c r="B13" s="20">
        <f>IF(C13="","KPI-"&amp;TEXT(COUNTA($C$5:C13),"000"))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 ht="22" customHeight="1">
      <c r="B14" s="19">
        <f>IF(C14="","KPI-"&amp;TEXT(COUNTA($C$5:C14),"000"))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 ht="22" customHeight="1">
      <c r="B15" s="20">
        <f>IF(C15="","KPI-"&amp;TEXT(COUNTA($C$5:C15),"000"))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 ht="22" customHeight="1">
      <c r="B16" s="19">
        <f>IF(C16="","KPI-"&amp;TEXT(COUNTA($C$5:C16),"000"))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 ht="22" customHeight="1">
      <c r="B17" s="20">
        <f>IF(C17="","KPI-"&amp;TEXT(COUNTA($C$5:C17),"000"))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 ht="22" customHeight="1">
      <c r="B18" s="19">
        <f>IF(C18="","KPI-"&amp;TEXT(COUNTA($C$5:C18),"000"))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 ht="22" customHeight="1">
      <c r="B19" s="20">
        <f>IF(C19="","KPI-"&amp;TEXT(COUNTA($C$5:C19),"000"))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 ht="22" customHeight="1">
      <c r="B20" s="19">
        <f>IF(C20="","KPI-"&amp;TEXT(COUNTA($C$5:C20),"000"))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 ht="22" customHeight="1">
      <c r="B21" s="20">
        <f>IF(C21="","KPI-"&amp;TEXT(COUNTA($C$5:C21),"000"))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 ht="22" customHeight="1">
      <c r="B22" s="19">
        <f>IF(C22="","KPI-"&amp;TEXT(COUNTA($C$5:C22),"000"))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 ht="22" customHeight="1">
      <c r="B23" s="20">
        <f>IF(C23="","KPI-"&amp;TEXT(COUNTA($C$5:C23),"000"))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22" customHeight="1">
      <c r="B24" s="19">
        <f>IF(C24="","KPI-"&amp;TEXT(COUNTA($C$5:C24),"000"))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 ht="22" customHeight="1">
      <c r="B25" s="20">
        <f>IF(C25="","KPI-"&amp;TEXT(COUNTA($C$5:C25),"000"))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ht="22" customHeight="1">
      <c r="B26" s="19">
        <f>IF(C26="","KPI-"&amp;TEXT(COUNTA($C$5:C26),"000"))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 ht="22" customHeight="1">
      <c r="B27" s="20">
        <f>IF(C27="","KPI-"&amp;TEXT(COUNTA($C$5:C27),"000"))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B28" s="19">
        <f>IF(C28="","KPI-"&amp;TEXT(COUNTA($C$5:C28),"000"))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 ht="22" customHeight="1">
      <c r="B29" s="20">
        <f>IF(C29="","KPI-"&amp;TEXT(COUNTA($C$5:C29),"000"))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22" customHeight="1">
      <c r="B30" s="19">
        <f>IF(C30="","KPI-"&amp;TEXT(COUNTA($C$5:C30),"000"))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 ht="22" customHeight="1">
      <c r="B31" s="20">
        <f>IF(C31="","KPI-"&amp;TEXT(COUNTA($C$5:C31),"000"))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 ht="22" customHeight="1">
      <c r="B32" s="19">
        <f>IF(C32="","KPI-"&amp;TEXT(COUNTA($C$5:C32),"000"))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 ht="22" customHeight="1">
      <c r="B33" s="20">
        <f>IF(C33="","KPI-"&amp;TEXT(COUNTA($C$5:C33),"000"))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 ht="22" customHeight="1">
      <c r="B34" s="19">
        <f>IF(C34="","KPI-"&amp;TEXT(COUNTA($C$5:C34),"000"))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 ht="22" customHeight="1">
      <c r="B35" s="20">
        <f>IF(C35="","KPI-"&amp;TEXT(COUNTA($C$5:C35),"000"))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 ht="22" customHeight="1">
      <c r="B36" s="19">
        <f>IF(C36="","KPI-"&amp;TEXT(COUNTA($C$5:C36),"000"))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 ht="22" customHeight="1">
      <c r="B37" s="20">
        <f>IF(C37="","KPI-"&amp;TEXT(COUNTA($C$5:C37),"000"))</f>
        <v/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 ht="22" customHeight="1">
      <c r="B38" s="19">
        <f>IF(C38="","KPI-"&amp;TEXT(COUNTA($C$5:C38),"000"))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 ht="22" customHeight="1">
      <c r="B39" s="20">
        <f>IF(C39="","KPI-"&amp;TEXT(COUNTA($C$5:C39),"000"))</f>
        <v/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 ht="22" customHeight="1">
      <c r="B40" s="19">
        <f>IF(C40="","KPI-"&amp;TEXT(COUNTA($C$5:C40),"000"))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 ht="22" customHeight="1">
      <c r="B41" s="20">
        <f>IF(C41="","KPI-"&amp;TEXT(COUNTA($C$5:C41),"000"))</f>
        <v/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</row>
    <row r="42" ht="22" customHeight="1">
      <c r="B42" s="19">
        <f>IF(C42="","KPI-"&amp;TEXT(COUNTA($C$5:C42),"000"))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 ht="22" customHeight="1">
      <c r="B43" s="20">
        <f>IF(C43="","KPI-"&amp;TEXT(COUNTA($C$5:C43),"000"))</f>
        <v/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 ht="22" customHeight="1">
      <c r="B44" s="19">
        <f>IF(C44="","KPI-"&amp;TEXT(COUNTA($C$5:C44),"000"))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  <row r="45" ht="22" customHeight="1">
      <c r="B45" s="20">
        <f>IF(C45="","KPI-"&amp;TEXT(COUNTA($C$5:C45),"000"))</f>
        <v/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</row>
    <row r="46" ht="22" customHeight="1">
      <c r="B46" s="19">
        <f>IF(C46="","KPI-"&amp;TEXT(COUNTA($C$5:C46),"000"))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</row>
    <row r="47" ht="22" customHeight="1">
      <c r="B47" s="20">
        <f>IF(C47="","KPI-"&amp;TEXT(COUNTA($C$5:C47),"000"))</f>
        <v/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</row>
    <row r="48" ht="22" customHeight="1">
      <c r="B48" s="19">
        <f>IF(C48="","KPI-"&amp;TEXT(COUNTA($C$5:C48),"000"))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</row>
    <row r="49" ht="22" customHeight="1">
      <c r="B49" s="20">
        <f>IF(C49="","KPI-"&amp;TEXT(COUNTA($C$5:C49),"000"))</f>
        <v/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</row>
    <row r="50" ht="22" customHeight="1">
      <c r="B50" s="19">
        <f>IF(C50="","KPI-"&amp;TEXT(COUNTA($C$5:C50),"000"))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</row>
    <row r="51" ht="22" customHeight="1">
      <c r="B51" s="20">
        <f>IF(C51="","KPI-"&amp;TEXT(COUNTA($C$5:C51),"000"))</f>
        <v/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</row>
    <row r="52" ht="22" customHeight="1">
      <c r="B52" s="19">
        <f>IF(C52="","KPI-"&amp;TEXT(COUNTA($C$5:C52),"000"))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</row>
    <row r="53" ht="22" customHeight="1">
      <c r="B53" s="20">
        <f>IF(C53="","KPI-"&amp;TEXT(COUNTA($C$5:C53),"000"))</f>
        <v/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</row>
    <row r="54" ht="22" customHeight="1">
      <c r="B54" s="19">
        <f>IF(C54="","KPI-"&amp;TEXT(COUNTA($C$5:C54),"000"))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</row>
    <row r="55" ht="22" customHeight="1">
      <c r="B55" s="20">
        <f>IF(C55="","KPI-"&amp;TEXT(COUNTA($C$5:C55),"000"))</f>
        <v/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</row>
    <row r="56" ht="22" customHeight="1">
      <c r="B56" s="19">
        <f>IF(C56="","KPI-"&amp;TEXT(COUNTA($C$5:C56),"000"))</f>
        <v/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</row>
    <row r="57" ht="22" customHeight="1">
      <c r="B57" s="20">
        <f>IF(C57="","KPI-"&amp;TEXT(COUNTA($C$5:C57),"000"))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</row>
    <row r="58" ht="22" customHeight="1">
      <c r="B58" s="19">
        <f>IF(C58="","KPI-"&amp;TEXT(COUNTA($C$5:C58),"000"))</f>
        <v/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</row>
    <row r="59" ht="22" customHeight="1">
      <c r="B59" s="20">
        <f>IF(C59="","KPI-"&amp;TEXT(COUNTA($C$5:C59),"000"))</f>
        <v/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</row>
    <row r="60" ht="22" customHeight="1">
      <c r="B60" s="19">
        <f>IF(C60="","KPI-"&amp;TEXT(COUNTA($C$5:C60),"000"))</f>
        <v/>
      </c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</row>
    <row r="61" ht="22" customHeight="1">
      <c r="B61" s="20">
        <f>IF(C61="","KPI-"&amp;TEXT(COUNTA($C$5:C61),"000"))</f>
        <v/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</row>
    <row r="62" ht="22" customHeight="1">
      <c r="B62" s="19">
        <f>IF(C62="","KPI-"&amp;TEXT(COUNTA($C$5:C62),"000"))</f>
        <v/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</row>
    <row r="63" ht="22" customHeight="1">
      <c r="B63" s="20">
        <f>IF(C63="","KPI-"&amp;TEXT(COUNTA($C$5:C63),"000"))</f>
        <v/>
      </c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 ht="22" customHeight="1">
      <c r="B64" s="19">
        <f>IF(C64="","KPI-"&amp;TEXT(COUNTA($C$5:C64),"000"))</f>
        <v/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</row>
    <row r="65" ht="22" customHeight="1">
      <c r="B65" s="20">
        <f>IF(C65="","KPI-"&amp;TEXT(COUNTA($C$5:C65),"000"))</f>
        <v/>
      </c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</row>
    <row r="66" ht="22" customHeight="1">
      <c r="B66" s="19">
        <f>IF(C66="","KPI-"&amp;TEXT(COUNTA($C$5:C66),"000"))</f>
        <v/>
      </c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</row>
    <row r="67" ht="22" customHeight="1">
      <c r="B67" s="20">
        <f>IF(C67="","KPI-"&amp;TEXT(COUNTA($C$5:C67),"000"))</f>
        <v/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</row>
    <row r="68" ht="22" customHeight="1">
      <c r="B68" s="19">
        <f>IF(C68="","KPI-"&amp;TEXT(COUNTA($C$5:C68),"000"))</f>
        <v/>
      </c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</row>
    <row r="69" ht="22" customHeight="1">
      <c r="B69" s="20">
        <f>IF(C69="","KPI-"&amp;TEXT(COUNTA($C$5:C69),"000"))</f>
        <v/>
      </c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</row>
    <row r="70" ht="22" customHeight="1">
      <c r="B70" s="19">
        <f>IF(C70="","KPI-"&amp;TEXT(COUNTA($C$5:C70),"000"))</f>
        <v/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</row>
    <row r="71" ht="22" customHeight="1">
      <c r="B71" s="20">
        <f>IF(C71="","KPI-"&amp;TEXT(COUNTA($C$5:C71),"000"))</f>
        <v/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</row>
    <row r="72" ht="22" customHeight="1">
      <c r="B72" s="19">
        <f>IF(C72="","KPI-"&amp;TEXT(COUNTA($C$5:C72),"000"))</f>
        <v/>
      </c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</row>
    <row r="73" ht="22" customHeight="1">
      <c r="B73" s="20">
        <f>IF(C73="","KPI-"&amp;TEXT(COUNTA($C$5:C73),"000"))</f>
        <v/>
      </c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</row>
    <row r="74" ht="22" customHeight="1">
      <c r="B74" s="19">
        <f>IF(C74="","KPI-"&amp;TEXT(COUNTA($C$5:C74),"000"))</f>
        <v/>
      </c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</row>
    <row r="75" ht="22" customHeight="1">
      <c r="B75" s="20">
        <f>IF(C75="","KPI-"&amp;TEXT(COUNTA($C$5:C75),"000"))</f>
        <v/>
      </c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 ht="22" customHeight="1">
      <c r="B76" s="19">
        <f>IF(C76="","KPI-"&amp;TEXT(COUNTA($C$5:C76),"000"))</f>
        <v/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</row>
    <row r="77" ht="22" customHeight="1">
      <c r="B77" s="20">
        <f>IF(C77="","KPI-"&amp;TEXT(COUNTA($C$5:C77),"000"))</f>
        <v/>
      </c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</row>
    <row r="78" ht="22" customHeight="1">
      <c r="B78" s="19">
        <f>IF(C78="","KPI-"&amp;TEXT(COUNTA($C$5:C78),"000"))</f>
        <v/>
      </c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</row>
    <row r="79" ht="22" customHeight="1">
      <c r="B79" s="20">
        <f>IF(C79="","KPI-"&amp;TEXT(COUNTA($C$5:C79),"000"))</f>
        <v/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</row>
    <row r="80" ht="22" customHeight="1">
      <c r="B80" s="19">
        <f>IF(C80="","KPI-"&amp;TEXT(COUNTA($C$5:C80),"000"))</f>
        <v/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</row>
    <row r="81" ht="22" customHeight="1">
      <c r="B81" s="20">
        <f>IF(C81="","KPI-"&amp;TEXT(COUNTA($C$5:C81),"000"))</f>
        <v/>
      </c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</row>
    <row r="82" ht="22" customHeight="1">
      <c r="B82" s="19">
        <f>IF(C82="","KPI-"&amp;TEXT(COUNTA($C$5:C82),"000"))</f>
        <v/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</row>
    <row r="83" ht="22" customHeight="1">
      <c r="B83" s="20">
        <f>IF(C83="","KPI-"&amp;TEXT(COUNTA($C$5:C83),"000"))</f>
        <v/>
      </c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 ht="22" customHeight="1">
      <c r="B84" s="19">
        <f>IF(C84="","KPI-"&amp;TEXT(COUNTA($C$5:C84),"000"))</f>
        <v/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</row>
    <row r="85" ht="22" customHeight="1">
      <c r="B85" s="20">
        <f>IF(C85="","KPI-"&amp;TEXT(COUNTA($C$5:C85),"000"))</f>
        <v/>
      </c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</row>
    <row r="86" ht="22" customHeight="1">
      <c r="B86" s="19">
        <f>IF(C86="","KPI-"&amp;TEXT(COUNTA($C$5:C86),"000"))</f>
        <v/>
      </c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</row>
    <row r="87" ht="22" customHeight="1">
      <c r="B87" s="20">
        <f>IF(C87="","KPI-"&amp;TEXT(COUNTA($C$5:C87),"000"))</f>
        <v/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</row>
    <row r="88" ht="22" customHeight="1">
      <c r="B88" s="19">
        <f>IF(C88="","KPI-"&amp;TEXT(COUNTA($C$5:C88),"000"))</f>
        <v/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</row>
    <row r="89" ht="22" customHeight="1">
      <c r="B89" s="20">
        <f>IF(C89="","KPI-"&amp;TEXT(COUNTA($C$5:C89),"000"))</f>
        <v/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</row>
    <row r="90" ht="22" customHeight="1">
      <c r="B90" s="19">
        <f>IF(C90="","KPI-"&amp;TEXT(COUNTA($C$5:C90),"000"))</f>
        <v/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</row>
    <row r="91" ht="22" customHeight="1">
      <c r="B91" s="20">
        <f>IF(C91="","KPI-"&amp;TEXT(COUNTA($C$5:C91),"000"))</f>
        <v/>
      </c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</row>
    <row r="92" ht="22" customHeight="1">
      <c r="B92" s="19">
        <f>IF(C92="","KPI-"&amp;TEXT(COUNTA($C$5:C92),"000"))</f>
        <v/>
      </c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</row>
    <row r="93" ht="22" customHeight="1">
      <c r="B93" s="20">
        <f>IF(C93="","KPI-"&amp;TEXT(COUNTA($C$5:C93),"000"))</f>
        <v/>
      </c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</row>
    <row r="94" ht="22" customHeight="1">
      <c r="B94" s="19">
        <f>IF(C94="","KPI-"&amp;TEXT(COUNTA($C$5:C94),"000"))</f>
        <v/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</row>
    <row r="95" ht="22" customHeight="1">
      <c r="B95" s="20">
        <f>IF(C95="","KPI-"&amp;TEXT(COUNTA($C$5:C95),"000"))</f>
        <v/>
      </c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</row>
    <row r="96" ht="22" customHeight="1">
      <c r="B96" s="19">
        <f>IF(C96="","KPI-"&amp;TEXT(COUNTA($C$5:C96),"000"))</f>
        <v/>
      </c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</row>
    <row r="97" ht="22" customHeight="1">
      <c r="B97" s="20">
        <f>IF(C97="","KPI-"&amp;TEXT(COUNTA($C$5:C97),"000"))</f>
        <v/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</row>
    <row r="98" ht="22" customHeight="1">
      <c r="B98" s="19">
        <f>IF(C98="","KPI-"&amp;TEXT(COUNTA($C$5:C98),"000"))</f>
        <v/>
      </c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</row>
    <row r="99" ht="22" customHeight="1">
      <c r="B99" s="20">
        <f>IF(C99="","KPI-"&amp;TEXT(COUNTA($C$5:C99),"000"))</f>
        <v/>
      </c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</row>
    <row r="100" ht="22" customHeight="1">
      <c r="B100" s="19">
        <f>IF(C100="","KPI-"&amp;TEXT(COUNTA($C$5:C100),"000"))</f>
        <v/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</row>
    <row r="101" ht="22" customHeight="1">
      <c r="B101" s="20">
        <f>IF(C101="","KPI-"&amp;TEXT(COUNTA($C$5:C101),"000"))</f>
        <v/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</row>
    <row r="102" ht="22" customHeight="1">
      <c r="B102" s="19">
        <f>IF(C102="","KPI-"&amp;TEXT(COUNTA($C$5:C102),"000"))</f>
        <v/>
      </c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</row>
    <row r="103" ht="22" customHeight="1">
      <c r="B103" s="20">
        <f>IF(C103="","KPI-"&amp;TEXT(COUNTA($C$5:C103),"000"))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</row>
    <row r="104" ht="22" customHeight="1">
      <c r="B104" s="19">
        <f>IF(C104="","KPI-"&amp;TEXT(COUNTA($C$5:C104),"000"))</f>
        <v/>
      </c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</row>
    <row r="105" ht="22" customHeight="1">
      <c r="B105" s="20">
        <f>IF(C105="","KPI-"&amp;TEXT(COUNTA($C$5:C105),"000"))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</row>
    <row r="106" ht="22" customHeight="1">
      <c r="B106" s="19">
        <f>IF(C106="","KPI-"&amp;TEXT(COUNTA($C$5:C106),"000"))</f>
        <v/>
      </c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</row>
    <row r="107" ht="22" customHeight="1">
      <c r="B107" s="20">
        <f>IF(C107="","KPI-"&amp;TEXT(COUNTA($C$5:C107),"000"))</f>
        <v/>
      </c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</row>
    <row r="108" ht="22" customHeight="1">
      <c r="B108" s="19">
        <f>IF(C108="","KPI-"&amp;TEXT(COUNTA($C$5:C108),"000"))</f>
        <v/>
      </c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</row>
    <row r="109" ht="22" customHeight="1">
      <c r="B109" s="20">
        <f>IF(C109="","KPI-"&amp;TEXT(COUNTA($C$5:C109),"000"))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</row>
    <row r="110" ht="22" customHeight="1">
      <c r="B110" s="19">
        <f>IF(C110="","KPI-"&amp;TEXT(COUNTA($C$5:C110),"000"))</f>
        <v/>
      </c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</row>
    <row r="111"/>
    <row r="112">
      <c r="B112" s="6" t="inlineStr">
        <is>
          <t>INDICATEURS (mis a jour automatiquement)</t>
        </is>
      </c>
    </row>
    <row r="113">
      <c r="B113" s="3" t="inlineStr">
        <is>
          <t>KPI definis</t>
        </is>
      </c>
      <c r="D113" s="3" t="inlineStr">
        <is>
          <t>KPI ratio</t>
        </is>
      </c>
      <c r="F113" s="3" t="inlineStr">
        <is>
          <t>KPI financier</t>
        </is>
      </c>
    </row>
    <row r="114">
      <c r="B114" s="4">
        <f>COUNTIF(B5:B104,"&lt;&gt;")</f>
        <v/>
      </c>
      <c r="D114" s="4">
        <f>COUNTIF(E5:E104,"Ratio")</f>
        <v/>
      </c>
      <c r="F114" s="4">
        <f>COUNTIF(E5:E104,"Financier")</f>
        <v/>
      </c>
    </row>
  </sheetData>
  <mergeCells count="3">
    <mergeCell ref="B2:L2"/>
    <mergeCell ref="B112:L112"/>
    <mergeCell ref="B3:L3"/>
  </mergeCells>
  <conditionalFormatting sqref="B11:B110">
    <cfRule type="expression" priority="1" dxfId="3">
      <formula>AND($C11="",$C10&lt;&gt;"")</formula>
    </cfRule>
  </conditionalFormatting>
  <conditionalFormatting sqref="C11:C110">
    <cfRule type="expression" priority="2" dxfId="3">
      <formula>AND($C11="",$C10&lt;&gt;"")</formula>
    </cfRule>
  </conditionalFormatting>
  <conditionalFormatting sqref="D11:D110">
    <cfRule type="expression" priority="3" dxfId="3">
      <formula>AND($C11="",$C10&lt;&gt;"")</formula>
    </cfRule>
  </conditionalFormatting>
  <conditionalFormatting sqref="E11:E110">
    <cfRule type="expression" priority="4" dxfId="3">
      <formula>AND($C11="",$C10&lt;&gt;"")</formula>
    </cfRule>
  </conditionalFormatting>
  <conditionalFormatting sqref="F11:F110">
    <cfRule type="expression" priority="5" dxfId="3">
      <formula>AND($C11="",$C10&lt;&gt;"")</formula>
    </cfRule>
  </conditionalFormatting>
  <conditionalFormatting sqref="G11:G110">
    <cfRule type="expression" priority="6" dxfId="3">
      <formula>AND($C11="",$C10&lt;&gt;"")</formula>
    </cfRule>
  </conditionalFormatting>
  <conditionalFormatting sqref="H11:H110">
    <cfRule type="expression" priority="7" dxfId="3">
      <formula>AND($C11="",$C10&lt;&gt;"")</formula>
    </cfRule>
  </conditionalFormatting>
  <conditionalFormatting sqref="I11:I110">
    <cfRule type="expression" priority="8" dxfId="3">
      <formula>AND($C11="",$C10&lt;&gt;"")</formula>
    </cfRule>
  </conditionalFormatting>
  <conditionalFormatting sqref="J11:J110">
    <cfRule type="expression" priority="9" dxfId="3">
      <formula>AND($C11="",$C10&lt;&gt;"")</formula>
    </cfRule>
  </conditionalFormatting>
  <conditionalFormatting sqref="K11:K110">
    <cfRule type="expression" priority="10" dxfId="3">
      <formula>AND($C11="",$C10&lt;&gt;"")</formula>
    </cfRule>
  </conditionalFormatting>
  <conditionalFormatting sqref="L11:L110">
    <cfRule type="expression" priority="11" dxfId="3">
      <formula>AND($C11="",$C10&lt;&gt;"")</formula>
    </cfRule>
  </conditionalFormatting>
  <dataValidations count="5">
    <dataValidation sqref="D5:D110" showDropDown="0" showInputMessage="0" showErrorMessage="0" allowBlank="1" errorTitle="Erreur" error="Valeur invalide" promptTitle="Liste" prompt="Choisir dans la liste" type="list">
      <formula1>'_Lists'!$E$2:$E$7</formula1>
    </dataValidation>
    <dataValidation sqref="E5:E110" showDropDown="0" showInputMessage="0" showErrorMessage="0" allowBlank="1" errorTitle="Erreur" error="Valeur invalide" promptTitle="Liste" prompt="Choisir dans la liste" type="list">
      <formula1>'_Lists'!$E$2:$E$7</formula1>
    </dataValidation>
    <dataValidation sqref="F5:F110" showDropDown="0" showInputMessage="0" showErrorMessage="0" allowBlank="1" errorTitle="Erreur" error="Valeur invalide" promptTitle="Liste" prompt="Choisir dans la liste" type="list">
      <formula1>'_Lists'!$F$2:$F$5</formula1>
    </dataValidation>
    <dataValidation sqref="K5:K110" showDropDown="0" showInputMessage="0" showErrorMessage="0" allowBlank="1" errorTitle="Erreur" error="Valeur invalide" promptTitle="Liste" prompt="Choisir dans la liste" type="list">
      <formula1>'_Lists'!$D$2:$D$7</formula1>
    </dataValidation>
    <dataValidation sqref="L5:L110" showDropDown="0" showInputMessage="0" showErrorMessage="0" allowBlank="1" errorTitle="Erreur" error="Valeur invalide" promptTitle="Liste" prompt="Choisir dans la liste" type="list">
      <formula1>'_Lists'!$C$2:$C$28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6" customWidth="1" min="4" max="4"/>
    <col width="22" customWidth="1" min="5" max="5"/>
    <col width="18" customWidth="1" min="6" max="6"/>
    <col width="22" customWidth="1" min="7" max="7"/>
    <col width="18" customWidth="1" min="8" max="8"/>
    <col width="14" customWidth="1" min="9" max="9"/>
    <col width="22" customWidth="1" min="10" max="10"/>
    <col width="18" customWidth="1" min="11" max="11"/>
    <col width="36" customWidth="1" min="12" max="12"/>
  </cols>
  <sheetData>
    <row r="1" ht="15" customHeight="1"/>
    <row r="2" ht="32" customHeight="1">
      <c r="B2" s="1" t="inlineStr">
        <is>
          <t>BUDGET RH ANNUEL (#170)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Poste Budgetaire</t>
        </is>
      </c>
      <c r="D4" s="12" t="inlineStr">
        <is>
          <t>Categorie</t>
        </is>
      </c>
      <c r="E4" s="12" t="inlineStr">
        <is>
          <t>Budget Annuel (FCFA)</t>
        </is>
      </c>
      <c r="F4" s="12" t="inlineStr">
        <is>
          <t>Realise (FCFA)</t>
        </is>
      </c>
      <c r="G4" s="12" t="inlineStr">
        <is>
          <t>Taux Realisation (%)</t>
        </is>
      </c>
      <c r="H4" s="12" t="inlineStr">
        <is>
          <t>Ecart (FCFA)</t>
        </is>
      </c>
      <c r="I4" s="12" t="inlineStr">
        <is>
          <t>Ecart (%)</t>
        </is>
      </c>
      <c r="J4" s="12" t="inlineStr">
        <is>
          <t>Prevision Fin d'Annee</t>
        </is>
      </c>
      <c r="K4" s="12" t="inlineStr">
        <is>
          <t>Statut</t>
        </is>
      </c>
      <c r="L4" s="12" t="inlineStr">
        <is>
          <t>Observations</t>
        </is>
      </c>
    </row>
    <row r="5" ht="22" customHeight="1">
      <c r="B5" s="13" t="inlineStr">
        <is>
          <t>BDG-001</t>
        </is>
      </c>
      <c r="C5" s="13" t="inlineStr">
        <is>
          <t>Salaires &amp; primes</t>
        </is>
      </c>
      <c r="D5" s="13" t="inlineStr">
        <is>
          <t>Salaires &amp; primes</t>
        </is>
      </c>
      <c r="E5" s="22" t="n">
        <v>96000000</v>
      </c>
      <c r="F5" s="22" t="n">
        <v>24500000</v>
      </c>
      <c r="G5" s="14" t="n"/>
      <c r="H5" s="22" t="n"/>
      <c r="I5" s="14" t="n"/>
      <c r="J5" s="22" t="n"/>
      <c r="K5" s="13" t="inlineStr">
        <is>
          <t>En execution</t>
        </is>
      </c>
      <c r="L5" s="13" t="inlineStr">
        <is>
          <t>T1 conforme aux previsions</t>
        </is>
      </c>
    </row>
    <row r="6" ht="22" customHeight="1">
      <c r="B6" s="16" t="inlineStr">
        <is>
          <t>BDG-002</t>
        </is>
      </c>
      <c r="C6" s="16" t="inlineStr">
        <is>
          <t>Charges sociales CNPS</t>
        </is>
      </c>
      <c r="D6" s="16" t="inlineStr">
        <is>
          <t>Charges sociales</t>
        </is>
      </c>
      <c r="E6" s="24" t="n">
        <v>11520000</v>
      </c>
      <c r="F6" s="24" t="n">
        <v>2940000</v>
      </c>
      <c r="G6" s="17" t="n"/>
      <c r="H6" s="24" t="n"/>
      <c r="I6" s="17" t="n"/>
      <c r="J6" s="24" t="n"/>
      <c r="K6" s="16" t="inlineStr">
        <is>
          <t>En execution</t>
        </is>
      </c>
      <c r="L6" s="16" t="inlineStr">
        <is>
          <t>Taux CNPS stable</t>
        </is>
      </c>
    </row>
    <row r="7" ht="22" customHeight="1">
      <c r="B7" s="13" t="inlineStr">
        <is>
          <t>BDG-003</t>
        </is>
      </c>
      <c r="C7" s="13" t="inlineStr">
        <is>
          <t>Formation &amp; developpement</t>
        </is>
      </c>
      <c r="D7" s="13" t="inlineStr">
        <is>
          <t>Formation &amp; developpement</t>
        </is>
      </c>
      <c r="E7" s="22" t="n">
        <v>4800000</v>
      </c>
      <c r="F7" s="22" t="n">
        <v>1200000</v>
      </c>
      <c r="G7" s="14" t="n"/>
      <c r="H7" s="22" t="n"/>
      <c r="I7" s="14" t="n"/>
      <c r="J7" s="22" t="n"/>
      <c r="K7" s="13" t="inlineStr">
        <is>
          <t>En execution</t>
        </is>
      </c>
      <c r="L7" s="13" t="inlineStr">
        <is>
          <t>E-learning reduit les couts</t>
        </is>
      </c>
    </row>
    <row r="8" ht="22" customHeight="1">
      <c r="B8" s="16" t="inlineStr">
        <is>
          <t>BDG-004</t>
        </is>
      </c>
      <c r="C8" s="16" t="inlineStr">
        <is>
          <t>Recrutement</t>
        </is>
      </c>
      <c r="D8" s="16" t="inlineStr">
        <is>
          <t>Recrutement</t>
        </is>
      </c>
      <c r="E8" s="24" t="n">
        <v>2400000</v>
      </c>
      <c r="F8" s="24" t="n">
        <v>850000</v>
      </c>
      <c r="G8" s="17" t="n"/>
      <c r="H8" s="24" t="n"/>
      <c r="I8" s="17" t="n"/>
      <c r="J8" s="24" t="n"/>
      <c r="K8" s="16" t="inlineStr">
        <is>
          <t>En execution</t>
        </is>
      </c>
      <c r="L8" s="16" t="inlineStr">
        <is>
          <t>Hausse due a 3 remplacements imprevus</t>
        </is>
      </c>
    </row>
    <row r="9" ht="22" customHeight="1">
      <c r="B9" s="13" t="inlineStr">
        <is>
          <t>BDG-005</t>
        </is>
      </c>
      <c r="C9" s="13" t="inlineStr">
        <is>
          <t>Santé &amp; sécurité</t>
        </is>
      </c>
      <c r="D9" s="13" t="inlineStr">
        <is>
          <t>Santé &amp; sécurité</t>
        </is>
      </c>
      <c r="E9" s="22" t="n">
        <v>1800000</v>
      </c>
      <c r="F9" s="22" t="n">
        <v>450000</v>
      </c>
      <c r="G9" s="14" t="n"/>
      <c r="H9" s="22" t="n"/>
      <c r="I9" s="14" t="n"/>
      <c r="J9" s="22" t="n"/>
      <c r="K9" s="13" t="inlineStr">
        <is>
          <t>En execution</t>
        </is>
      </c>
      <c r="L9" s="13" t="inlineStr">
        <is>
          <t>Visites medicales T1 effectuees</t>
        </is>
      </c>
    </row>
    <row r="10" ht="22" customHeight="1">
      <c r="B10" s="19">
        <f>IF(C10="","BDG-"&amp;TEXT(COUNTA($C$5:C10),"000"))</f>
        <v/>
      </c>
      <c r="C10" s="16" t="n"/>
      <c r="D10" s="16" t="n"/>
      <c r="E10" s="24" t="n"/>
      <c r="F10" s="24" t="n"/>
      <c r="G10" s="17">
        <f>IF(E10="","",F10/E10)</f>
        <v/>
      </c>
      <c r="H10" s="24">
        <f>IF(OR(E10="",F10=""),"",E10-F10)</f>
        <v/>
      </c>
      <c r="I10" s="17">
        <f>IF(E10="","",H10/E10)</f>
        <v/>
      </c>
      <c r="J10" s="24">
        <f>IF(E10="","",F10/3*12)</f>
        <v/>
      </c>
      <c r="K10" s="16" t="n"/>
      <c r="L10" s="16" t="n"/>
    </row>
    <row r="11" ht="22" customHeight="1">
      <c r="B11" s="20">
        <f>IF(C11="","BDG-"&amp;TEXT(COUNTA($C$5:C11),"000"))</f>
        <v/>
      </c>
      <c r="C11" s="13" t="n"/>
      <c r="D11" s="13" t="n"/>
      <c r="E11" s="22" t="n"/>
      <c r="F11" s="22" t="n"/>
      <c r="G11" s="14">
        <f>IF(E11="","",F11/E11)</f>
        <v/>
      </c>
      <c r="H11" s="22">
        <f>IF(OR(E11="",F11=""),"",E11-F11)</f>
        <v/>
      </c>
      <c r="I11" s="14">
        <f>IF(E11="","",H11/E11)</f>
        <v/>
      </c>
      <c r="J11" s="22">
        <f>IF(E11="","",F11/3*12)</f>
        <v/>
      </c>
      <c r="K11" s="13" t="n"/>
      <c r="L11" s="13" t="n"/>
    </row>
    <row r="12" ht="22" customHeight="1">
      <c r="B12" s="19">
        <f>IF(C12="","BDG-"&amp;TEXT(COUNTA($C$5:C12),"000"))</f>
        <v/>
      </c>
      <c r="C12" s="16" t="n"/>
      <c r="D12" s="16" t="n"/>
      <c r="E12" s="24" t="n"/>
      <c r="F12" s="24" t="n"/>
      <c r="G12" s="17">
        <f>IF(E12="","",F12/E12)</f>
        <v/>
      </c>
      <c r="H12" s="24">
        <f>IF(OR(E12="",F12=""),"",E12-F12)</f>
        <v/>
      </c>
      <c r="I12" s="17">
        <f>IF(E12="","",H12/E12)</f>
        <v/>
      </c>
      <c r="J12" s="24">
        <f>IF(E12="","",F12/3*12)</f>
        <v/>
      </c>
      <c r="K12" s="16" t="n"/>
      <c r="L12" s="16" t="n"/>
    </row>
    <row r="13" ht="22" customHeight="1">
      <c r="B13" s="20">
        <f>IF(C13="","BDG-"&amp;TEXT(COUNTA($C$5:C13),"000"))</f>
        <v/>
      </c>
      <c r="C13" s="13" t="n"/>
      <c r="D13" s="13" t="n"/>
      <c r="E13" s="22" t="n"/>
      <c r="F13" s="22" t="n"/>
      <c r="G13" s="14">
        <f>IF(E13="","",F13/E13)</f>
        <v/>
      </c>
      <c r="H13" s="22">
        <f>IF(OR(E13="",F13=""),"",E13-F13)</f>
        <v/>
      </c>
      <c r="I13" s="14">
        <f>IF(E13="","",H13/E13)</f>
        <v/>
      </c>
      <c r="J13" s="22">
        <f>IF(E13="","",F13/3*12)</f>
        <v/>
      </c>
      <c r="K13" s="13" t="n"/>
      <c r="L13" s="13" t="n"/>
    </row>
    <row r="14" ht="22" customHeight="1">
      <c r="B14" s="19">
        <f>IF(C14="","BDG-"&amp;TEXT(COUNTA($C$5:C14),"000"))</f>
        <v/>
      </c>
      <c r="C14" s="16" t="n"/>
      <c r="D14" s="16" t="n"/>
      <c r="E14" s="24" t="n"/>
      <c r="F14" s="24" t="n"/>
      <c r="G14" s="17">
        <f>IF(E14="","",F14/E14)</f>
        <v/>
      </c>
      <c r="H14" s="24">
        <f>IF(OR(E14="",F14=""),"",E14-F14)</f>
        <v/>
      </c>
      <c r="I14" s="17">
        <f>IF(E14="","",H14/E14)</f>
        <v/>
      </c>
      <c r="J14" s="24">
        <f>IF(E14="","",F14/3*12)</f>
        <v/>
      </c>
      <c r="K14" s="16" t="n"/>
      <c r="L14" s="16" t="n"/>
    </row>
    <row r="15" ht="22" customHeight="1">
      <c r="B15" s="20">
        <f>IF(C15="","BDG-"&amp;TEXT(COUNTA($C$5:C15),"000"))</f>
        <v/>
      </c>
      <c r="C15" s="13" t="n"/>
      <c r="D15" s="13" t="n"/>
      <c r="E15" s="22" t="n"/>
      <c r="F15" s="22" t="n"/>
      <c r="G15" s="14">
        <f>IF(E15="","",F15/E15)</f>
        <v/>
      </c>
      <c r="H15" s="22">
        <f>IF(OR(E15="",F15=""),"",E15-F15)</f>
        <v/>
      </c>
      <c r="I15" s="14">
        <f>IF(E15="","",H15/E15)</f>
        <v/>
      </c>
      <c r="J15" s="22">
        <f>IF(E15="","",F15/3*12)</f>
        <v/>
      </c>
      <c r="K15" s="13" t="n"/>
      <c r="L15" s="13" t="n"/>
    </row>
    <row r="16" ht="22" customHeight="1">
      <c r="B16" s="19">
        <f>IF(C16="","BDG-"&amp;TEXT(COUNTA($C$5:C16),"000"))</f>
        <v/>
      </c>
      <c r="C16" s="16" t="n"/>
      <c r="D16" s="16" t="n"/>
      <c r="E16" s="24" t="n"/>
      <c r="F16" s="24" t="n"/>
      <c r="G16" s="17">
        <f>IF(E16="","",F16/E16)</f>
        <v/>
      </c>
      <c r="H16" s="24">
        <f>IF(OR(E16="",F16=""),"",E16-F16)</f>
        <v/>
      </c>
      <c r="I16" s="17">
        <f>IF(E16="","",H16/E16)</f>
        <v/>
      </c>
      <c r="J16" s="24">
        <f>IF(E16="","",F16/3*12)</f>
        <v/>
      </c>
      <c r="K16" s="16" t="n"/>
      <c r="L16" s="16" t="n"/>
    </row>
    <row r="17" ht="22" customHeight="1">
      <c r="B17" s="20">
        <f>IF(C17="","BDG-"&amp;TEXT(COUNTA($C$5:C17),"000"))</f>
        <v/>
      </c>
      <c r="C17" s="13" t="n"/>
      <c r="D17" s="13" t="n"/>
      <c r="E17" s="22" t="n"/>
      <c r="F17" s="22" t="n"/>
      <c r="G17" s="14">
        <f>IF(E17="","",F17/E17)</f>
        <v/>
      </c>
      <c r="H17" s="22">
        <f>IF(OR(E17="",F17=""),"",E17-F17)</f>
        <v/>
      </c>
      <c r="I17" s="14">
        <f>IF(E17="","",H17/E17)</f>
        <v/>
      </c>
      <c r="J17" s="22">
        <f>IF(E17="","",F17/3*12)</f>
        <v/>
      </c>
      <c r="K17" s="13" t="n"/>
      <c r="L17" s="13" t="n"/>
    </row>
    <row r="18" ht="22" customHeight="1">
      <c r="B18" s="19">
        <f>IF(C18="","BDG-"&amp;TEXT(COUNTA($C$5:C18),"000"))</f>
        <v/>
      </c>
      <c r="C18" s="16" t="n"/>
      <c r="D18" s="16" t="n"/>
      <c r="E18" s="24" t="n"/>
      <c r="F18" s="24" t="n"/>
      <c r="G18" s="17">
        <f>IF(E18="","",F18/E18)</f>
        <v/>
      </c>
      <c r="H18" s="24">
        <f>IF(OR(E18="",F18=""),"",E18-F18)</f>
        <v/>
      </c>
      <c r="I18" s="17">
        <f>IF(E18="","",H18/E18)</f>
        <v/>
      </c>
      <c r="J18" s="24">
        <f>IF(E18="","",F18/3*12)</f>
        <v/>
      </c>
      <c r="K18" s="16" t="n"/>
      <c r="L18" s="16" t="n"/>
    </row>
    <row r="19" ht="22" customHeight="1">
      <c r="B19" s="20">
        <f>IF(C19="","BDG-"&amp;TEXT(COUNTA($C$5:C19),"000"))</f>
        <v/>
      </c>
      <c r="C19" s="13" t="n"/>
      <c r="D19" s="13" t="n"/>
      <c r="E19" s="22" t="n"/>
      <c r="F19" s="22" t="n"/>
      <c r="G19" s="14">
        <f>IF(E19="","",F19/E19)</f>
        <v/>
      </c>
      <c r="H19" s="22">
        <f>IF(OR(E19="",F19=""),"",E19-F19)</f>
        <v/>
      </c>
      <c r="I19" s="14">
        <f>IF(E19="","",H19/E19)</f>
        <v/>
      </c>
      <c r="J19" s="22">
        <f>IF(E19="","",F19/3*12)</f>
        <v/>
      </c>
      <c r="K19" s="13" t="n"/>
      <c r="L19" s="13" t="n"/>
    </row>
    <row r="20" ht="22" customHeight="1">
      <c r="B20" s="19">
        <f>IF(C20="","BDG-"&amp;TEXT(COUNTA($C$5:C20),"000"))</f>
        <v/>
      </c>
      <c r="C20" s="16" t="n"/>
      <c r="D20" s="16" t="n"/>
      <c r="E20" s="24" t="n"/>
      <c r="F20" s="24" t="n"/>
      <c r="G20" s="17">
        <f>IF(E20="","",F20/E20)</f>
        <v/>
      </c>
      <c r="H20" s="24">
        <f>IF(OR(E20="",F20=""),"",E20-F20)</f>
        <v/>
      </c>
      <c r="I20" s="17">
        <f>IF(E20="","",H20/E20)</f>
        <v/>
      </c>
      <c r="J20" s="24">
        <f>IF(E20="","",F20/3*12)</f>
        <v/>
      </c>
      <c r="K20" s="16" t="n"/>
      <c r="L20" s="16" t="n"/>
    </row>
    <row r="21" ht="22" customHeight="1">
      <c r="B21" s="20">
        <f>IF(C21="","BDG-"&amp;TEXT(COUNTA($C$5:C21),"000"))</f>
        <v/>
      </c>
      <c r="C21" s="13" t="n"/>
      <c r="D21" s="13" t="n"/>
      <c r="E21" s="22" t="n"/>
      <c r="F21" s="22" t="n"/>
      <c r="G21" s="14">
        <f>IF(E21="","",F21/E21)</f>
        <v/>
      </c>
      <c r="H21" s="22">
        <f>IF(OR(E21="",F21=""),"",E21-F21)</f>
        <v/>
      </c>
      <c r="I21" s="14">
        <f>IF(E21="","",H21/E21)</f>
        <v/>
      </c>
      <c r="J21" s="22">
        <f>IF(E21="","",F21/3*12)</f>
        <v/>
      </c>
      <c r="K21" s="13" t="n"/>
      <c r="L21" s="13" t="n"/>
    </row>
    <row r="22" ht="22" customHeight="1">
      <c r="B22" s="19">
        <f>IF(C22="","BDG-"&amp;TEXT(COUNTA($C$5:C22),"000"))</f>
        <v/>
      </c>
      <c r="C22" s="16" t="n"/>
      <c r="D22" s="16" t="n"/>
      <c r="E22" s="24" t="n"/>
      <c r="F22" s="24" t="n"/>
      <c r="G22" s="17">
        <f>IF(E22="","",F22/E22)</f>
        <v/>
      </c>
      <c r="H22" s="24">
        <f>IF(OR(E22="",F22=""),"",E22-F22)</f>
        <v/>
      </c>
      <c r="I22" s="17">
        <f>IF(E22="","",H22/E22)</f>
        <v/>
      </c>
      <c r="J22" s="24">
        <f>IF(E22="","",F22/3*12)</f>
        <v/>
      </c>
      <c r="K22" s="16" t="n"/>
      <c r="L22" s="16" t="n"/>
    </row>
    <row r="23" ht="22" customHeight="1">
      <c r="B23" s="20">
        <f>IF(C23="","BDG-"&amp;TEXT(COUNTA($C$5:C23),"000"))</f>
        <v/>
      </c>
      <c r="C23" s="13" t="n"/>
      <c r="D23" s="13" t="n"/>
      <c r="E23" s="22" t="n"/>
      <c r="F23" s="22" t="n"/>
      <c r="G23" s="14">
        <f>IF(E23="","",F23/E23)</f>
        <v/>
      </c>
      <c r="H23" s="22">
        <f>IF(OR(E23="",F23=""),"",E23-F23)</f>
        <v/>
      </c>
      <c r="I23" s="14">
        <f>IF(E23="","",H23/E23)</f>
        <v/>
      </c>
      <c r="J23" s="22">
        <f>IF(E23="","",F23/3*12)</f>
        <v/>
      </c>
      <c r="K23" s="13" t="n"/>
      <c r="L23" s="13" t="n"/>
    </row>
    <row r="24" ht="22" customHeight="1">
      <c r="B24" s="19">
        <f>IF(C24="","BDG-"&amp;TEXT(COUNTA($C$5:C24),"000"))</f>
        <v/>
      </c>
      <c r="C24" s="16" t="n"/>
      <c r="D24" s="16" t="n"/>
      <c r="E24" s="24" t="n"/>
      <c r="F24" s="24" t="n"/>
      <c r="G24" s="17">
        <f>IF(E24="","",F24/E24)</f>
        <v/>
      </c>
      <c r="H24" s="24">
        <f>IF(OR(E24="",F24=""),"",E24-F24)</f>
        <v/>
      </c>
      <c r="I24" s="17">
        <f>IF(E24="","",H24/E24)</f>
        <v/>
      </c>
      <c r="J24" s="24">
        <f>IF(E24="","",F24/3*12)</f>
        <v/>
      </c>
      <c r="K24" s="16" t="n"/>
      <c r="L24" s="16" t="n"/>
    </row>
    <row r="25" ht="22" customHeight="1">
      <c r="B25" s="20">
        <f>IF(C25="","BDG-"&amp;TEXT(COUNTA($C$5:C25),"000"))</f>
        <v/>
      </c>
      <c r="C25" s="13" t="n"/>
      <c r="D25" s="13" t="n"/>
      <c r="E25" s="22" t="n"/>
      <c r="F25" s="22" t="n"/>
      <c r="G25" s="14">
        <f>IF(E25="","",F25/E25)</f>
        <v/>
      </c>
      <c r="H25" s="22">
        <f>IF(OR(E25="",F25=""),"",E25-F25)</f>
        <v/>
      </c>
      <c r="I25" s="14">
        <f>IF(E25="","",H25/E25)</f>
        <v/>
      </c>
      <c r="J25" s="22">
        <f>IF(E25="","",F25/3*12)</f>
        <v/>
      </c>
      <c r="K25" s="13" t="n"/>
      <c r="L25" s="13" t="n"/>
    </row>
    <row r="26" ht="22" customHeight="1">
      <c r="B26" s="19">
        <f>IF(C26="","BDG-"&amp;TEXT(COUNTA($C$5:C26),"000"))</f>
        <v/>
      </c>
      <c r="C26" s="16" t="n"/>
      <c r="D26" s="16" t="n"/>
      <c r="E26" s="24" t="n"/>
      <c r="F26" s="24" t="n"/>
      <c r="G26" s="17">
        <f>IF(E26="","",F26/E26)</f>
        <v/>
      </c>
      <c r="H26" s="24">
        <f>IF(OR(E26="",F26=""),"",E26-F26)</f>
        <v/>
      </c>
      <c r="I26" s="17">
        <f>IF(E26="","",H26/E26)</f>
        <v/>
      </c>
      <c r="J26" s="24">
        <f>IF(E26="","",F26/3*12)</f>
        <v/>
      </c>
      <c r="K26" s="16" t="n"/>
      <c r="L26" s="16" t="n"/>
    </row>
    <row r="27" ht="22" customHeight="1">
      <c r="B27" s="20">
        <f>IF(C27="","BDG-"&amp;TEXT(COUNTA($C$5:C27),"000"))</f>
        <v/>
      </c>
      <c r="C27" s="13" t="n"/>
      <c r="D27" s="13" t="n"/>
      <c r="E27" s="22" t="n"/>
      <c r="F27" s="22" t="n"/>
      <c r="G27" s="14">
        <f>IF(E27="","",F27/E27)</f>
        <v/>
      </c>
      <c r="H27" s="22">
        <f>IF(OR(E27="",F27=""),"",E27-F27)</f>
        <v/>
      </c>
      <c r="I27" s="14">
        <f>IF(E27="","",H27/E27)</f>
        <v/>
      </c>
      <c r="J27" s="22">
        <f>IF(E27="","",F27/3*12)</f>
        <v/>
      </c>
      <c r="K27" s="13" t="n"/>
      <c r="L27" s="13" t="n"/>
    </row>
    <row r="28" ht="22" customHeight="1">
      <c r="B28" s="19">
        <f>IF(C28="","BDG-"&amp;TEXT(COUNTA($C$5:C28),"000"))</f>
        <v/>
      </c>
      <c r="C28" s="16" t="n"/>
      <c r="D28" s="16" t="n"/>
      <c r="E28" s="24" t="n"/>
      <c r="F28" s="24" t="n"/>
      <c r="G28" s="17">
        <f>IF(E28="","",F28/E28)</f>
        <v/>
      </c>
      <c r="H28" s="24">
        <f>IF(OR(E28="",F28=""),"",E28-F28)</f>
        <v/>
      </c>
      <c r="I28" s="17">
        <f>IF(E28="","",H28/E28)</f>
        <v/>
      </c>
      <c r="J28" s="24">
        <f>IF(E28="","",F28/3*12)</f>
        <v/>
      </c>
      <c r="K28" s="16" t="n"/>
      <c r="L28" s="16" t="n"/>
    </row>
    <row r="29" ht="22" customHeight="1">
      <c r="B29" s="20">
        <f>IF(C29="","BDG-"&amp;TEXT(COUNTA($C$5:C29),"000"))</f>
        <v/>
      </c>
      <c r="C29" s="13" t="n"/>
      <c r="D29" s="13" t="n"/>
      <c r="E29" s="22" t="n"/>
      <c r="F29" s="22" t="n"/>
      <c r="G29" s="14">
        <f>IF(E29="","",F29/E29)</f>
        <v/>
      </c>
      <c r="H29" s="22">
        <f>IF(OR(E29="",F29=""),"",E29-F29)</f>
        <v/>
      </c>
      <c r="I29" s="14">
        <f>IF(E29="","",H29/E29)</f>
        <v/>
      </c>
      <c r="J29" s="22">
        <f>IF(E29="","",F29/3*12)</f>
        <v/>
      </c>
      <c r="K29" s="13" t="n"/>
      <c r="L29" s="13" t="n"/>
    </row>
    <row r="30" ht="22" customHeight="1">
      <c r="B30" s="19">
        <f>IF(C30="","BDG-"&amp;TEXT(COUNTA($C$5:C30),"000"))</f>
        <v/>
      </c>
      <c r="C30" s="16" t="n"/>
      <c r="D30" s="16" t="n"/>
      <c r="E30" s="24" t="n"/>
      <c r="F30" s="24" t="n"/>
      <c r="G30" s="17">
        <f>IF(E30="","",F30/E30)</f>
        <v/>
      </c>
      <c r="H30" s="24">
        <f>IF(OR(E30="",F30=""),"",E30-F30)</f>
        <v/>
      </c>
      <c r="I30" s="17">
        <f>IF(E30="","",H30/E30)</f>
        <v/>
      </c>
      <c r="J30" s="24">
        <f>IF(E30="","",F30/3*12)</f>
        <v/>
      </c>
      <c r="K30" s="16" t="n"/>
      <c r="L30" s="16" t="n"/>
    </row>
    <row r="31" ht="22" customHeight="1">
      <c r="B31" s="20">
        <f>IF(C31="","BDG-"&amp;TEXT(COUNTA($C$5:C31),"000"))</f>
        <v/>
      </c>
      <c r="C31" s="13" t="n"/>
      <c r="D31" s="13" t="n"/>
      <c r="E31" s="22" t="n"/>
      <c r="F31" s="22" t="n"/>
      <c r="G31" s="14">
        <f>IF(E31="","",F31/E31)</f>
        <v/>
      </c>
      <c r="H31" s="22">
        <f>IF(OR(E31="",F31=""),"",E31-F31)</f>
        <v/>
      </c>
      <c r="I31" s="14">
        <f>IF(E31="","",H31/E31)</f>
        <v/>
      </c>
      <c r="J31" s="22">
        <f>IF(E31="","",F31/3*12)</f>
        <v/>
      </c>
      <c r="K31" s="13" t="n"/>
      <c r="L31" s="13" t="n"/>
    </row>
    <row r="32" ht="22" customHeight="1">
      <c r="B32" s="19">
        <f>IF(C32="","BDG-"&amp;TEXT(COUNTA($C$5:C32),"000"))</f>
        <v/>
      </c>
      <c r="C32" s="16" t="n"/>
      <c r="D32" s="16" t="n"/>
      <c r="E32" s="24" t="n"/>
      <c r="F32" s="24" t="n"/>
      <c r="G32" s="17">
        <f>IF(E32="","",F32/E32)</f>
        <v/>
      </c>
      <c r="H32" s="24">
        <f>IF(OR(E32="",F32=""),"",E32-F32)</f>
        <v/>
      </c>
      <c r="I32" s="17">
        <f>IF(E32="","",H32/E32)</f>
        <v/>
      </c>
      <c r="J32" s="24">
        <f>IF(E32="","",F32/3*12)</f>
        <v/>
      </c>
      <c r="K32" s="16" t="n"/>
      <c r="L32" s="16" t="n"/>
    </row>
    <row r="33" ht="22" customHeight="1">
      <c r="B33" s="20">
        <f>IF(C33="","BDG-"&amp;TEXT(COUNTA($C$5:C33),"000"))</f>
        <v/>
      </c>
      <c r="C33" s="13" t="n"/>
      <c r="D33" s="13" t="n"/>
      <c r="E33" s="22" t="n"/>
      <c r="F33" s="22" t="n"/>
      <c r="G33" s="14">
        <f>IF(E33="","",F33/E33)</f>
        <v/>
      </c>
      <c r="H33" s="22">
        <f>IF(OR(E33="",F33=""),"",E33-F33)</f>
        <v/>
      </c>
      <c r="I33" s="14">
        <f>IF(E33="","",H33/E33)</f>
        <v/>
      </c>
      <c r="J33" s="22">
        <f>IF(E33="","",F33/3*12)</f>
        <v/>
      </c>
      <c r="K33" s="13" t="n"/>
      <c r="L33" s="13" t="n"/>
    </row>
    <row r="34" ht="22" customHeight="1">
      <c r="B34" s="19">
        <f>IF(C34="","BDG-"&amp;TEXT(COUNTA($C$5:C34),"000"))</f>
        <v/>
      </c>
      <c r="C34" s="16" t="n"/>
      <c r="D34" s="16" t="n"/>
      <c r="E34" s="24" t="n"/>
      <c r="F34" s="24" t="n"/>
      <c r="G34" s="17">
        <f>IF(E34="","",F34/E34)</f>
        <v/>
      </c>
      <c r="H34" s="24">
        <f>IF(OR(E34="",F34=""),"",E34-F34)</f>
        <v/>
      </c>
      <c r="I34" s="17">
        <f>IF(E34="","",H34/E34)</f>
        <v/>
      </c>
      <c r="J34" s="24">
        <f>IF(E34="","",F34/3*12)</f>
        <v/>
      </c>
      <c r="K34" s="16" t="n"/>
      <c r="L34" s="16" t="n"/>
    </row>
    <row r="35" ht="22" customHeight="1">
      <c r="B35" s="20">
        <f>IF(C35="","BDG-"&amp;TEXT(COUNTA($C$5:C35),"000"))</f>
        <v/>
      </c>
      <c r="C35" s="13" t="n"/>
      <c r="D35" s="13" t="n"/>
      <c r="E35" s="22" t="n"/>
      <c r="F35" s="22" t="n"/>
      <c r="G35" s="14">
        <f>IF(E35="","",F35/E35)</f>
        <v/>
      </c>
      <c r="H35" s="22">
        <f>IF(OR(E35="",F35=""),"",E35-F35)</f>
        <v/>
      </c>
      <c r="I35" s="14">
        <f>IF(E35="","",H35/E35)</f>
        <v/>
      </c>
      <c r="J35" s="22">
        <f>IF(E35="","",F35/3*12)</f>
        <v/>
      </c>
      <c r="K35" s="13" t="n"/>
      <c r="L35" s="13" t="n"/>
    </row>
    <row r="36" ht="22" customHeight="1">
      <c r="B36" s="19">
        <f>IF(C36="","BDG-"&amp;TEXT(COUNTA($C$5:C36),"000"))</f>
        <v/>
      </c>
      <c r="C36" s="16" t="n"/>
      <c r="D36" s="16" t="n"/>
      <c r="E36" s="24" t="n"/>
      <c r="F36" s="24" t="n"/>
      <c r="G36" s="17">
        <f>IF(E36="","",F36/E36)</f>
        <v/>
      </c>
      <c r="H36" s="24">
        <f>IF(OR(E36="",F36=""),"",E36-F36)</f>
        <v/>
      </c>
      <c r="I36" s="17">
        <f>IF(E36="","",H36/E36)</f>
        <v/>
      </c>
      <c r="J36" s="24">
        <f>IF(E36="","",F36/3*12)</f>
        <v/>
      </c>
      <c r="K36" s="16" t="n"/>
      <c r="L36" s="16" t="n"/>
    </row>
    <row r="37" ht="22" customHeight="1">
      <c r="B37" s="20">
        <f>IF(C37="","BDG-"&amp;TEXT(COUNTA($C$5:C37),"000"))</f>
        <v/>
      </c>
      <c r="C37" s="13" t="n"/>
      <c r="D37" s="13" t="n"/>
      <c r="E37" s="22" t="n"/>
      <c r="F37" s="22" t="n"/>
      <c r="G37" s="14">
        <f>IF(E37="","",F37/E37)</f>
        <v/>
      </c>
      <c r="H37" s="22">
        <f>IF(OR(E37="",F37=""),"",E37-F37)</f>
        <v/>
      </c>
      <c r="I37" s="14">
        <f>IF(E37="","",H37/E37)</f>
        <v/>
      </c>
      <c r="J37" s="22">
        <f>IF(E37="","",F37/3*12)</f>
        <v/>
      </c>
      <c r="K37" s="13" t="n"/>
      <c r="L37" s="13" t="n"/>
    </row>
    <row r="38" ht="22" customHeight="1">
      <c r="B38" s="19">
        <f>IF(C38="","BDG-"&amp;TEXT(COUNTA($C$5:C38),"000"))</f>
        <v/>
      </c>
      <c r="C38" s="16" t="n"/>
      <c r="D38" s="16" t="n"/>
      <c r="E38" s="24" t="n"/>
      <c r="F38" s="24" t="n"/>
      <c r="G38" s="17">
        <f>IF(E38="","",F38/E38)</f>
        <v/>
      </c>
      <c r="H38" s="24">
        <f>IF(OR(E38="",F38=""),"",E38-F38)</f>
        <v/>
      </c>
      <c r="I38" s="17">
        <f>IF(E38="","",H38/E38)</f>
        <v/>
      </c>
      <c r="J38" s="24">
        <f>IF(E38="","",F38/3*12)</f>
        <v/>
      </c>
      <c r="K38" s="16" t="n"/>
      <c r="L38" s="16" t="n"/>
    </row>
    <row r="39" ht="22" customHeight="1">
      <c r="B39" s="20">
        <f>IF(C39="","BDG-"&amp;TEXT(COUNTA($C$5:C39),"000"))</f>
        <v/>
      </c>
      <c r="C39" s="13" t="n"/>
      <c r="D39" s="13" t="n"/>
      <c r="E39" s="22" t="n"/>
      <c r="F39" s="22" t="n"/>
      <c r="G39" s="14">
        <f>IF(E39="","",F39/E39)</f>
        <v/>
      </c>
      <c r="H39" s="22">
        <f>IF(OR(E39="",F39=""),"",E39-F39)</f>
        <v/>
      </c>
      <c r="I39" s="14">
        <f>IF(E39="","",H39/E39)</f>
        <v/>
      </c>
      <c r="J39" s="22">
        <f>IF(E39="","",F39/3*12)</f>
        <v/>
      </c>
      <c r="K39" s="13" t="n"/>
      <c r="L39" s="13" t="n"/>
    </row>
    <row r="40" ht="22" customHeight="1">
      <c r="B40" s="19">
        <f>IF(C40="","BDG-"&amp;TEXT(COUNTA($C$5:C40),"000"))</f>
        <v/>
      </c>
      <c r="C40" s="16" t="n"/>
      <c r="D40" s="16" t="n"/>
      <c r="E40" s="24" t="n"/>
      <c r="F40" s="24" t="n"/>
      <c r="G40" s="17">
        <f>IF(E40="","",F40/E40)</f>
        <v/>
      </c>
      <c r="H40" s="24">
        <f>IF(OR(E40="",F40=""),"",E40-F40)</f>
        <v/>
      </c>
      <c r="I40" s="17">
        <f>IF(E40="","",H40/E40)</f>
        <v/>
      </c>
      <c r="J40" s="24">
        <f>IF(E40="","",F40/3*12)</f>
        <v/>
      </c>
      <c r="K40" s="16" t="n"/>
      <c r="L40" s="16" t="n"/>
    </row>
    <row r="41" ht="22" customHeight="1">
      <c r="B41" s="20">
        <f>IF(C41="","BDG-"&amp;TEXT(COUNTA($C$5:C41),"000"))</f>
        <v/>
      </c>
      <c r="C41" s="13" t="n"/>
      <c r="D41" s="13" t="n"/>
      <c r="E41" s="22" t="n"/>
      <c r="F41" s="22" t="n"/>
      <c r="G41" s="14">
        <f>IF(E41="","",F41/E41)</f>
        <v/>
      </c>
      <c r="H41" s="22">
        <f>IF(OR(E41="",F41=""),"",E41-F41)</f>
        <v/>
      </c>
      <c r="I41" s="14">
        <f>IF(E41="","",H41/E41)</f>
        <v/>
      </c>
      <c r="J41" s="22">
        <f>IF(E41="","",F41/3*12)</f>
        <v/>
      </c>
      <c r="K41" s="13" t="n"/>
      <c r="L41" s="13" t="n"/>
    </row>
    <row r="42" ht="22" customHeight="1">
      <c r="B42" s="19">
        <f>IF(C42="","BDG-"&amp;TEXT(COUNTA($C$5:C42),"000"))</f>
        <v/>
      </c>
      <c r="C42" s="16" t="n"/>
      <c r="D42" s="16" t="n"/>
      <c r="E42" s="24" t="n"/>
      <c r="F42" s="24" t="n"/>
      <c r="G42" s="17">
        <f>IF(E42="","",F42/E42)</f>
        <v/>
      </c>
      <c r="H42" s="24">
        <f>IF(OR(E42="",F42=""),"",E42-F42)</f>
        <v/>
      </c>
      <c r="I42" s="17">
        <f>IF(E42="","",H42/E42)</f>
        <v/>
      </c>
      <c r="J42" s="24">
        <f>IF(E42="","",F42/3*12)</f>
        <v/>
      </c>
      <c r="K42" s="16" t="n"/>
      <c r="L42" s="16" t="n"/>
    </row>
    <row r="43" ht="22" customHeight="1">
      <c r="B43" s="20">
        <f>IF(C43="","BDG-"&amp;TEXT(COUNTA($C$5:C43),"000"))</f>
        <v/>
      </c>
      <c r="C43" s="13" t="n"/>
      <c r="D43" s="13" t="n"/>
      <c r="E43" s="22" t="n"/>
      <c r="F43" s="22" t="n"/>
      <c r="G43" s="14">
        <f>IF(E43="","",F43/E43)</f>
        <v/>
      </c>
      <c r="H43" s="22">
        <f>IF(OR(E43="",F43=""),"",E43-F43)</f>
        <v/>
      </c>
      <c r="I43" s="14">
        <f>IF(E43="","",H43/E43)</f>
        <v/>
      </c>
      <c r="J43" s="22">
        <f>IF(E43="","",F43/3*12)</f>
        <v/>
      </c>
      <c r="K43" s="13" t="n"/>
      <c r="L43" s="13" t="n"/>
    </row>
    <row r="44" ht="22" customHeight="1">
      <c r="B44" s="19">
        <f>IF(C44="","BDG-"&amp;TEXT(COUNTA($C$5:C44),"000"))</f>
        <v/>
      </c>
      <c r="C44" s="16" t="n"/>
      <c r="D44" s="16" t="n"/>
      <c r="E44" s="24" t="n"/>
      <c r="F44" s="24" t="n"/>
      <c r="G44" s="17">
        <f>IF(E44="","",F44/E44)</f>
        <v/>
      </c>
      <c r="H44" s="24">
        <f>IF(OR(E44="",F44=""),"",E44-F44)</f>
        <v/>
      </c>
      <c r="I44" s="17">
        <f>IF(E44="","",H44/E44)</f>
        <v/>
      </c>
      <c r="J44" s="24">
        <f>IF(E44="","",F44/3*12)</f>
        <v/>
      </c>
      <c r="K44" s="16" t="n"/>
      <c r="L44" s="16" t="n"/>
    </row>
    <row r="45" ht="22" customHeight="1">
      <c r="B45" s="20">
        <f>IF(C45="","BDG-"&amp;TEXT(COUNTA($C$5:C45),"000"))</f>
        <v/>
      </c>
      <c r="C45" s="13" t="n"/>
      <c r="D45" s="13" t="n"/>
      <c r="E45" s="22" t="n"/>
      <c r="F45" s="22" t="n"/>
      <c r="G45" s="14">
        <f>IF(E45="","",F45/E45)</f>
        <v/>
      </c>
      <c r="H45" s="22">
        <f>IF(OR(E45="",F45=""),"",E45-F45)</f>
        <v/>
      </c>
      <c r="I45" s="14">
        <f>IF(E45="","",H45/E45)</f>
        <v/>
      </c>
      <c r="J45" s="22">
        <f>IF(E45="","",F45/3*12)</f>
        <v/>
      </c>
      <c r="K45" s="13" t="n"/>
      <c r="L45" s="13" t="n"/>
    </row>
    <row r="46" ht="22" customHeight="1">
      <c r="B46" s="19">
        <f>IF(C46="","BDG-"&amp;TEXT(COUNTA($C$5:C46),"000"))</f>
        <v/>
      </c>
      <c r="C46" s="16" t="n"/>
      <c r="D46" s="16" t="n"/>
      <c r="E46" s="24" t="n"/>
      <c r="F46" s="24" t="n"/>
      <c r="G46" s="17">
        <f>IF(E46="","",F46/E46)</f>
        <v/>
      </c>
      <c r="H46" s="24">
        <f>IF(OR(E46="",F46=""),"",E46-F46)</f>
        <v/>
      </c>
      <c r="I46" s="17">
        <f>IF(E46="","",H46/E46)</f>
        <v/>
      </c>
      <c r="J46" s="24">
        <f>IF(E46="","",F46/3*12)</f>
        <v/>
      </c>
      <c r="K46" s="16" t="n"/>
      <c r="L46" s="16" t="n"/>
    </row>
    <row r="47" ht="22" customHeight="1">
      <c r="B47" s="20">
        <f>IF(C47="","BDG-"&amp;TEXT(COUNTA($C$5:C47),"000"))</f>
        <v/>
      </c>
      <c r="C47" s="13" t="n"/>
      <c r="D47" s="13" t="n"/>
      <c r="E47" s="22" t="n"/>
      <c r="F47" s="22" t="n"/>
      <c r="G47" s="14">
        <f>IF(E47="","",F47/E47)</f>
        <v/>
      </c>
      <c r="H47" s="22">
        <f>IF(OR(E47="",F47=""),"",E47-F47)</f>
        <v/>
      </c>
      <c r="I47" s="14">
        <f>IF(E47="","",H47/E47)</f>
        <v/>
      </c>
      <c r="J47" s="22">
        <f>IF(E47="","",F47/3*12)</f>
        <v/>
      </c>
      <c r="K47" s="13" t="n"/>
      <c r="L47" s="13" t="n"/>
    </row>
    <row r="48" ht="22" customHeight="1">
      <c r="B48" s="19">
        <f>IF(C48="","BDG-"&amp;TEXT(COUNTA($C$5:C48),"000"))</f>
        <v/>
      </c>
      <c r="C48" s="16" t="n"/>
      <c r="D48" s="16" t="n"/>
      <c r="E48" s="24" t="n"/>
      <c r="F48" s="24" t="n"/>
      <c r="G48" s="17">
        <f>IF(E48="","",F48/E48)</f>
        <v/>
      </c>
      <c r="H48" s="24">
        <f>IF(OR(E48="",F48=""),"",E48-F48)</f>
        <v/>
      </c>
      <c r="I48" s="17">
        <f>IF(E48="","",H48/E48)</f>
        <v/>
      </c>
      <c r="J48" s="24">
        <f>IF(E48="","",F48/3*12)</f>
        <v/>
      </c>
      <c r="K48" s="16" t="n"/>
      <c r="L48" s="16" t="n"/>
    </row>
    <row r="49" ht="22" customHeight="1">
      <c r="B49" s="20">
        <f>IF(C49="","BDG-"&amp;TEXT(COUNTA($C$5:C49),"000"))</f>
        <v/>
      </c>
      <c r="C49" s="13" t="n"/>
      <c r="D49" s="13" t="n"/>
      <c r="E49" s="22" t="n"/>
      <c r="F49" s="22" t="n"/>
      <c r="G49" s="14">
        <f>IF(E49="","",F49/E49)</f>
        <v/>
      </c>
      <c r="H49" s="22">
        <f>IF(OR(E49="",F49=""),"",E49-F49)</f>
        <v/>
      </c>
      <c r="I49" s="14">
        <f>IF(E49="","",H49/E49)</f>
        <v/>
      </c>
      <c r="J49" s="22">
        <f>IF(E49="","",F49/3*12)</f>
        <v/>
      </c>
      <c r="K49" s="13" t="n"/>
      <c r="L49" s="13" t="n"/>
    </row>
    <row r="50" ht="22" customHeight="1">
      <c r="B50" s="19">
        <f>IF(C50="","BDG-"&amp;TEXT(COUNTA($C$5:C50),"000"))</f>
        <v/>
      </c>
      <c r="C50" s="16" t="n"/>
      <c r="D50" s="16" t="n"/>
      <c r="E50" s="24" t="n"/>
      <c r="F50" s="24" t="n"/>
      <c r="G50" s="17">
        <f>IF(E50="","",F50/E50)</f>
        <v/>
      </c>
      <c r="H50" s="24">
        <f>IF(OR(E50="",F50=""),"",E50-F50)</f>
        <v/>
      </c>
      <c r="I50" s="17">
        <f>IF(E50="","",H50/E50)</f>
        <v/>
      </c>
      <c r="J50" s="24">
        <f>IF(E50="","",F50/3*12)</f>
        <v/>
      </c>
      <c r="K50" s="16" t="n"/>
      <c r="L50" s="16" t="n"/>
    </row>
    <row r="51" ht="22" customHeight="1">
      <c r="B51" s="20">
        <f>IF(C51="","BDG-"&amp;TEXT(COUNTA($C$5:C51),"000"))</f>
        <v/>
      </c>
      <c r="C51" s="13" t="n"/>
      <c r="D51" s="13" t="n"/>
      <c r="E51" s="22" t="n"/>
      <c r="F51" s="22" t="n"/>
      <c r="G51" s="14">
        <f>IF(E51="","",F51/E51)</f>
        <v/>
      </c>
      <c r="H51" s="22">
        <f>IF(OR(E51="",F51=""),"",E51-F51)</f>
        <v/>
      </c>
      <c r="I51" s="14">
        <f>IF(E51="","",H51/E51)</f>
        <v/>
      </c>
      <c r="J51" s="22">
        <f>IF(E51="","",F51/3*12)</f>
        <v/>
      </c>
      <c r="K51" s="13" t="n"/>
      <c r="L51" s="13" t="n"/>
    </row>
    <row r="52" ht="22" customHeight="1">
      <c r="B52" s="19">
        <f>IF(C52="","BDG-"&amp;TEXT(COUNTA($C$5:C52),"000"))</f>
        <v/>
      </c>
      <c r="C52" s="16" t="n"/>
      <c r="D52" s="16" t="n"/>
      <c r="E52" s="24" t="n"/>
      <c r="F52" s="24" t="n"/>
      <c r="G52" s="17">
        <f>IF(E52="","",F52/E52)</f>
        <v/>
      </c>
      <c r="H52" s="24">
        <f>IF(OR(E52="",F52=""),"",E52-F52)</f>
        <v/>
      </c>
      <c r="I52" s="17">
        <f>IF(E52="","",H52/E52)</f>
        <v/>
      </c>
      <c r="J52" s="24">
        <f>IF(E52="","",F52/3*12)</f>
        <v/>
      </c>
      <c r="K52" s="16" t="n"/>
      <c r="L52" s="16" t="n"/>
    </row>
    <row r="53" ht="22" customHeight="1">
      <c r="B53" s="20">
        <f>IF(C53="","BDG-"&amp;TEXT(COUNTA($C$5:C53),"000"))</f>
        <v/>
      </c>
      <c r="C53" s="13" t="n"/>
      <c r="D53" s="13" t="n"/>
      <c r="E53" s="22" t="n"/>
      <c r="F53" s="22" t="n"/>
      <c r="G53" s="14">
        <f>IF(E53="","",F53/E53)</f>
        <v/>
      </c>
      <c r="H53" s="22">
        <f>IF(OR(E53="",F53=""),"",E53-F53)</f>
        <v/>
      </c>
      <c r="I53" s="14">
        <f>IF(E53="","",H53/E53)</f>
        <v/>
      </c>
      <c r="J53" s="22">
        <f>IF(E53="","",F53/3*12)</f>
        <v/>
      </c>
      <c r="K53" s="13" t="n"/>
      <c r="L53" s="13" t="n"/>
    </row>
    <row r="54" ht="22" customHeight="1">
      <c r="B54" s="19">
        <f>IF(C54="","BDG-"&amp;TEXT(COUNTA($C$5:C54),"000"))</f>
        <v/>
      </c>
      <c r="C54" s="16" t="n"/>
      <c r="D54" s="16" t="n"/>
      <c r="E54" s="24" t="n"/>
      <c r="F54" s="24" t="n"/>
      <c r="G54" s="17">
        <f>IF(E54="","",F54/E54)</f>
        <v/>
      </c>
      <c r="H54" s="24">
        <f>IF(OR(E54="",F54=""),"",E54-F54)</f>
        <v/>
      </c>
      <c r="I54" s="17">
        <f>IF(E54="","",H54/E54)</f>
        <v/>
      </c>
      <c r="J54" s="24">
        <f>IF(E54="","",F54/3*12)</f>
        <v/>
      </c>
      <c r="K54" s="16" t="n"/>
      <c r="L54" s="16" t="n"/>
    </row>
    <row r="55" ht="22" customHeight="1">
      <c r="B55" s="20">
        <f>IF(C55="","BDG-"&amp;TEXT(COUNTA($C$5:C55),"000"))</f>
        <v/>
      </c>
      <c r="C55" s="13" t="n"/>
      <c r="D55" s="13" t="n"/>
      <c r="E55" s="22" t="n"/>
      <c r="F55" s="22" t="n"/>
      <c r="G55" s="14">
        <f>IF(E55="","",F55/E55)</f>
        <v/>
      </c>
      <c r="H55" s="22">
        <f>IF(OR(E55="",F55=""),"",E55-F55)</f>
        <v/>
      </c>
      <c r="I55" s="14">
        <f>IF(E55="","",H55/E55)</f>
        <v/>
      </c>
      <c r="J55" s="22">
        <f>IF(E55="","",F55/3*12)</f>
        <v/>
      </c>
      <c r="K55" s="13" t="n"/>
      <c r="L55" s="13" t="n"/>
    </row>
    <row r="56" ht="22" customHeight="1">
      <c r="B56" s="19">
        <f>IF(C56="","BDG-"&amp;TEXT(COUNTA($C$5:C56),"000"))</f>
        <v/>
      </c>
      <c r="C56" s="16" t="n"/>
      <c r="D56" s="16" t="n"/>
      <c r="E56" s="24" t="n"/>
      <c r="F56" s="24" t="n"/>
      <c r="G56" s="17">
        <f>IF(E56="","",F56/E56)</f>
        <v/>
      </c>
      <c r="H56" s="24">
        <f>IF(OR(E56="",F56=""),"",E56-F56)</f>
        <v/>
      </c>
      <c r="I56" s="17">
        <f>IF(E56="","",H56/E56)</f>
        <v/>
      </c>
      <c r="J56" s="24">
        <f>IF(E56="","",F56/3*12)</f>
        <v/>
      </c>
      <c r="K56" s="16" t="n"/>
      <c r="L56" s="16" t="n"/>
    </row>
    <row r="57" ht="22" customHeight="1">
      <c r="B57" s="20">
        <f>IF(C57="","BDG-"&amp;TEXT(COUNTA($C$5:C57),"000"))</f>
        <v/>
      </c>
      <c r="C57" s="13" t="n"/>
      <c r="D57" s="13" t="n"/>
      <c r="E57" s="22" t="n"/>
      <c r="F57" s="22" t="n"/>
      <c r="G57" s="14">
        <f>IF(E57="","",F57/E57)</f>
        <v/>
      </c>
      <c r="H57" s="22">
        <f>IF(OR(E57="",F57=""),"",E57-F57)</f>
        <v/>
      </c>
      <c r="I57" s="14">
        <f>IF(E57="","",H57/E57)</f>
        <v/>
      </c>
      <c r="J57" s="22">
        <f>IF(E57="","",F57/3*12)</f>
        <v/>
      </c>
      <c r="K57" s="13" t="n"/>
      <c r="L57" s="13" t="n"/>
    </row>
    <row r="58" ht="22" customHeight="1">
      <c r="B58" s="19">
        <f>IF(C58="","BDG-"&amp;TEXT(COUNTA($C$5:C58),"000"))</f>
        <v/>
      </c>
      <c r="C58" s="16" t="n"/>
      <c r="D58" s="16" t="n"/>
      <c r="E58" s="24" t="n"/>
      <c r="F58" s="24" t="n"/>
      <c r="G58" s="17">
        <f>IF(E58="","",F58/E58)</f>
        <v/>
      </c>
      <c r="H58" s="24">
        <f>IF(OR(E58="",F58=""),"",E58-F58)</f>
        <v/>
      </c>
      <c r="I58" s="17">
        <f>IF(E58="","",H58/E58)</f>
        <v/>
      </c>
      <c r="J58" s="24">
        <f>IF(E58="","",F58/3*12)</f>
        <v/>
      </c>
      <c r="K58" s="16" t="n"/>
      <c r="L58" s="16" t="n"/>
    </row>
    <row r="59" ht="22" customHeight="1">
      <c r="B59" s="20">
        <f>IF(C59="","BDG-"&amp;TEXT(COUNTA($C$5:C59),"000"))</f>
        <v/>
      </c>
      <c r="C59" s="13" t="n"/>
      <c r="D59" s="13" t="n"/>
      <c r="E59" s="22" t="n"/>
      <c r="F59" s="22" t="n"/>
      <c r="G59" s="14">
        <f>IF(E59="","",F59/E59)</f>
        <v/>
      </c>
      <c r="H59" s="22">
        <f>IF(OR(E59="",F59=""),"",E59-F59)</f>
        <v/>
      </c>
      <c r="I59" s="14">
        <f>IF(E59="","",H59/E59)</f>
        <v/>
      </c>
      <c r="J59" s="22">
        <f>IF(E59="","",F59/3*12)</f>
        <v/>
      </c>
      <c r="K59" s="13" t="n"/>
      <c r="L59" s="13" t="n"/>
    </row>
    <row r="60" ht="22" customHeight="1">
      <c r="B60" s="19">
        <f>IF(C60="","BDG-"&amp;TEXT(COUNTA($C$5:C60),"000"))</f>
        <v/>
      </c>
      <c r="C60" s="16" t="n"/>
      <c r="D60" s="16" t="n"/>
      <c r="E60" s="24" t="n"/>
      <c r="F60" s="24" t="n"/>
      <c r="G60" s="17">
        <f>IF(E60="","",F60/E60)</f>
        <v/>
      </c>
      <c r="H60" s="24">
        <f>IF(OR(E60="",F60=""),"",E60-F60)</f>
        <v/>
      </c>
      <c r="I60" s="17">
        <f>IF(E60="","",H60/E60)</f>
        <v/>
      </c>
      <c r="J60" s="24">
        <f>IF(E60="","",F60/3*12)</f>
        <v/>
      </c>
      <c r="K60" s="16" t="n"/>
      <c r="L60" s="16" t="n"/>
    </row>
    <row r="61" ht="22" customHeight="1">
      <c r="B61" s="20">
        <f>IF(C61="","BDG-"&amp;TEXT(COUNTA($C$5:C61),"000"))</f>
        <v/>
      </c>
      <c r="C61" s="13" t="n"/>
      <c r="D61" s="13" t="n"/>
      <c r="E61" s="22" t="n"/>
      <c r="F61" s="22" t="n"/>
      <c r="G61" s="14">
        <f>IF(E61="","",F61/E61)</f>
        <v/>
      </c>
      <c r="H61" s="22">
        <f>IF(OR(E61="",F61=""),"",E61-F61)</f>
        <v/>
      </c>
      <c r="I61" s="14">
        <f>IF(E61="","",H61/E61)</f>
        <v/>
      </c>
      <c r="J61" s="22">
        <f>IF(E61="","",F61/3*12)</f>
        <v/>
      </c>
      <c r="K61" s="13" t="n"/>
      <c r="L61" s="13" t="n"/>
    </row>
    <row r="62" ht="22" customHeight="1">
      <c r="B62" s="19">
        <f>IF(C62="","BDG-"&amp;TEXT(COUNTA($C$5:C62),"000"))</f>
        <v/>
      </c>
      <c r="C62" s="16" t="n"/>
      <c r="D62" s="16" t="n"/>
      <c r="E62" s="24" t="n"/>
      <c r="F62" s="24" t="n"/>
      <c r="G62" s="17">
        <f>IF(E62="","",F62/E62)</f>
        <v/>
      </c>
      <c r="H62" s="24">
        <f>IF(OR(E62="",F62=""),"",E62-F62)</f>
        <v/>
      </c>
      <c r="I62" s="17">
        <f>IF(E62="","",H62/E62)</f>
        <v/>
      </c>
      <c r="J62" s="24">
        <f>IF(E62="","",F62/3*12)</f>
        <v/>
      </c>
      <c r="K62" s="16" t="n"/>
      <c r="L62" s="16" t="n"/>
    </row>
    <row r="63" ht="22" customHeight="1">
      <c r="B63" s="20">
        <f>IF(C63="","BDG-"&amp;TEXT(COUNTA($C$5:C63),"000"))</f>
        <v/>
      </c>
      <c r="C63" s="13" t="n"/>
      <c r="D63" s="13" t="n"/>
      <c r="E63" s="22" t="n"/>
      <c r="F63" s="22" t="n"/>
      <c r="G63" s="14">
        <f>IF(E63="","",F63/E63)</f>
        <v/>
      </c>
      <c r="H63" s="22">
        <f>IF(OR(E63="",F63=""),"",E63-F63)</f>
        <v/>
      </c>
      <c r="I63" s="14">
        <f>IF(E63="","",H63/E63)</f>
        <v/>
      </c>
      <c r="J63" s="22">
        <f>IF(E63="","",F63/3*12)</f>
        <v/>
      </c>
      <c r="K63" s="13" t="n"/>
      <c r="L63" s="13" t="n"/>
    </row>
    <row r="64" ht="22" customHeight="1">
      <c r="B64" s="19">
        <f>IF(C64="","BDG-"&amp;TEXT(COUNTA($C$5:C64),"000"))</f>
        <v/>
      </c>
      <c r="C64" s="16" t="n"/>
      <c r="D64" s="16" t="n"/>
      <c r="E64" s="24" t="n"/>
      <c r="F64" s="24" t="n"/>
      <c r="G64" s="17">
        <f>IF(E64="","",F64/E64)</f>
        <v/>
      </c>
      <c r="H64" s="24">
        <f>IF(OR(E64="",F64=""),"",E64-F64)</f>
        <v/>
      </c>
      <c r="I64" s="17">
        <f>IF(E64="","",H64/E64)</f>
        <v/>
      </c>
      <c r="J64" s="24">
        <f>IF(E64="","",F64/3*12)</f>
        <v/>
      </c>
      <c r="K64" s="16" t="n"/>
      <c r="L64" s="16" t="n"/>
    </row>
    <row r="65" ht="22" customHeight="1">
      <c r="B65" s="20">
        <f>IF(C65="","BDG-"&amp;TEXT(COUNTA($C$5:C65),"000"))</f>
        <v/>
      </c>
      <c r="C65" s="13" t="n"/>
      <c r="D65" s="13" t="n"/>
      <c r="E65" s="22" t="n"/>
      <c r="F65" s="22" t="n"/>
      <c r="G65" s="14">
        <f>IF(E65="","",F65/E65)</f>
        <v/>
      </c>
      <c r="H65" s="22">
        <f>IF(OR(E65="",F65=""),"",E65-F65)</f>
        <v/>
      </c>
      <c r="I65" s="14">
        <f>IF(E65="","",H65/E65)</f>
        <v/>
      </c>
      <c r="J65" s="22">
        <f>IF(E65="","",F65/3*12)</f>
        <v/>
      </c>
      <c r="K65" s="13" t="n"/>
      <c r="L65" s="13" t="n"/>
    </row>
    <row r="66" ht="22" customHeight="1">
      <c r="B66" s="19">
        <f>IF(C66="","BDG-"&amp;TEXT(COUNTA($C$5:C66),"000"))</f>
        <v/>
      </c>
      <c r="C66" s="16" t="n"/>
      <c r="D66" s="16" t="n"/>
      <c r="E66" s="24" t="n"/>
      <c r="F66" s="24" t="n"/>
      <c r="G66" s="17">
        <f>IF(E66="","",F66/E66)</f>
        <v/>
      </c>
      <c r="H66" s="24">
        <f>IF(OR(E66="",F66=""),"",E66-F66)</f>
        <v/>
      </c>
      <c r="I66" s="17">
        <f>IF(E66="","",H66/E66)</f>
        <v/>
      </c>
      <c r="J66" s="24">
        <f>IF(E66="","",F66/3*12)</f>
        <v/>
      </c>
      <c r="K66" s="16" t="n"/>
      <c r="L66" s="16" t="n"/>
    </row>
    <row r="67" ht="22" customHeight="1">
      <c r="B67" s="20">
        <f>IF(C67="","BDG-"&amp;TEXT(COUNTA($C$5:C67),"000"))</f>
        <v/>
      </c>
      <c r="C67" s="13" t="n"/>
      <c r="D67" s="13" t="n"/>
      <c r="E67" s="22" t="n"/>
      <c r="F67" s="22" t="n"/>
      <c r="G67" s="14">
        <f>IF(E67="","",F67/E67)</f>
        <v/>
      </c>
      <c r="H67" s="22">
        <f>IF(OR(E67="",F67=""),"",E67-F67)</f>
        <v/>
      </c>
      <c r="I67" s="14">
        <f>IF(E67="","",H67/E67)</f>
        <v/>
      </c>
      <c r="J67" s="22">
        <f>IF(E67="","",F67/3*12)</f>
        <v/>
      </c>
      <c r="K67" s="13" t="n"/>
      <c r="L67" s="13" t="n"/>
    </row>
    <row r="68" ht="22" customHeight="1">
      <c r="B68" s="19">
        <f>IF(C68="","BDG-"&amp;TEXT(COUNTA($C$5:C68),"000"))</f>
        <v/>
      </c>
      <c r="C68" s="16" t="n"/>
      <c r="D68" s="16" t="n"/>
      <c r="E68" s="24" t="n"/>
      <c r="F68" s="24" t="n"/>
      <c r="G68" s="17">
        <f>IF(E68="","",F68/E68)</f>
        <v/>
      </c>
      <c r="H68" s="24">
        <f>IF(OR(E68="",F68=""),"",E68-F68)</f>
        <v/>
      </c>
      <c r="I68" s="17">
        <f>IF(E68="","",H68/E68)</f>
        <v/>
      </c>
      <c r="J68" s="24">
        <f>IF(E68="","",F68/3*12)</f>
        <v/>
      </c>
      <c r="K68" s="16" t="n"/>
      <c r="L68" s="16" t="n"/>
    </row>
    <row r="69" ht="22" customHeight="1">
      <c r="B69" s="20">
        <f>IF(C69="","BDG-"&amp;TEXT(COUNTA($C$5:C69),"000"))</f>
        <v/>
      </c>
      <c r="C69" s="13" t="n"/>
      <c r="D69" s="13" t="n"/>
      <c r="E69" s="22" t="n"/>
      <c r="F69" s="22" t="n"/>
      <c r="G69" s="14">
        <f>IF(E69="","",F69/E69)</f>
        <v/>
      </c>
      <c r="H69" s="22">
        <f>IF(OR(E69="",F69=""),"",E69-F69)</f>
        <v/>
      </c>
      <c r="I69" s="14">
        <f>IF(E69="","",H69/E69)</f>
        <v/>
      </c>
      <c r="J69" s="22">
        <f>IF(E69="","",F69/3*12)</f>
        <v/>
      </c>
      <c r="K69" s="13" t="n"/>
      <c r="L69" s="13" t="n"/>
    </row>
    <row r="70" ht="22" customHeight="1">
      <c r="B70" s="19">
        <f>IF(C70="","BDG-"&amp;TEXT(COUNTA($C$5:C70),"000"))</f>
        <v/>
      </c>
      <c r="C70" s="16" t="n"/>
      <c r="D70" s="16" t="n"/>
      <c r="E70" s="24" t="n"/>
      <c r="F70" s="24" t="n"/>
      <c r="G70" s="17">
        <f>IF(E70="","",F70/E70)</f>
        <v/>
      </c>
      <c r="H70" s="24">
        <f>IF(OR(E70="",F70=""),"",E70-F70)</f>
        <v/>
      </c>
      <c r="I70" s="17">
        <f>IF(E70="","",H70/E70)</f>
        <v/>
      </c>
      <c r="J70" s="24">
        <f>IF(E70="","",F70/3*12)</f>
        <v/>
      </c>
      <c r="K70" s="16" t="n"/>
      <c r="L70" s="16" t="n"/>
    </row>
    <row r="71" ht="22" customHeight="1">
      <c r="B71" s="20">
        <f>IF(C71="","BDG-"&amp;TEXT(COUNTA($C$5:C71),"000"))</f>
        <v/>
      </c>
      <c r="C71" s="13" t="n"/>
      <c r="D71" s="13" t="n"/>
      <c r="E71" s="22" t="n"/>
      <c r="F71" s="22" t="n"/>
      <c r="G71" s="14">
        <f>IF(E71="","",F71/E71)</f>
        <v/>
      </c>
      <c r="H71" s="22">
        <f>IF(OR(E71="",F71=""),"",E71-F71)</f>
        <v/>
      </c>
      <c r="I71" s="14">
        <f>IF(E71="","",H71/E71)</f>
        <v/>
      </c>
      <c r="J71" s="22">
        <f>IF(E71="","",F71/3*12)</f>
        <v/>
      </c>
      <c r="K71" s="13" t="n"/>
      <c r="L71" s="13" t="n"/>
    </row>
    <row r="72" ht="22" customHeight="1">
      <c r="B72" s="19">
        <f>IF(C72="","BDG-"&amp;TEXT(COUNTA($C$5:C72),"000"))</f>
        <v/>
      </c>
      <c r="C72" s="16" t="n"/>
      <c r="D72" s="16" t="n"/>
      <c r="E72" s="24" t="n"/>
      <c r="F72" s="24" t="n"/>
      <c r="G72" s="17">
        <f>IF(E72="","",F72/E72)</f>
        <v/>
      </c>
      <c r="H72" s="24">
        <f>IF(OR(E72="",F72=""),"",E72-F72)</f>
        <v/>
      </c>
      <c r="I72" s="17">
        <f>IF(E72="","",H72/E72)</f>
        <v/>
      </c>
      <c r="J72" s="24">
        <f>IF(E72="","",F72/3*12)</f>
        <v/>
      </c>
      <c r="K72" s="16" t="n"/>
      <c r="L72" s="16" t="n"/>
    </row>
    <row r="73" ht="22" customHeight="1">
      <c r="B73" s="20">
        <f>IF(C73="","BDG-"&amp;TEXT(COUNTA($C$5:C73),"000"))</f>
        <v/>
      </c>
      <c r="C73" s="13" t="n"/>
      <c r="D73" s="13" t="n"/>
      <c r="E73" s="22" t="n"/>
      <c r="F73" s="22" t="n"/>
      <c r="G73" s="14">
        <f>IF(E73="","",F73/E73)</f>
        <v/>
      </c>
      <c r="H73" s="22">
        <f>IF(OR(E73="",F73=""),"",E73-F73)</f>
        <v/>
      </c>
      <c r="I73" s="14">
        <f>IF(E73="","",H73/E73)</f>
        <v/>
      </c>
      <c r="J73" s="22">
        <f>IF(E73="","",F73/3*12)</f>
        <v/>
      </c>
      <c r="K73" s="13" t="n"/>
      <c r="L73" s="13" t="n"/>
    </row>
    <row r="74" ht="22" customHeight="1">
      <c r="B74" s="19">
        <f>IF(C74="","BDG-"&amp;TEXT(COUNTA($C$5:C74),"000"))</f>
        <v/>
      </c>
      <c r="C74" s="16" t="n"/>
      <c r="D74" s="16" t="n"/>
      <c r="E74" s="24" t="n"/>
      <c r="F74" s="24" t="n"/>
      <c r="G74" s="17">
        <f>IF(E74="","",F74/E74)</f>
        <v/>
      </c>
      <c r="H74" s="24">
        <f>IF(OR(E74="",F74=""),"",E74-F74)</f>
        <v/>
      </c>
      <c r="I74" s="17">
        <f>IF(E74="","",H74/E74)</f>
        <v/>
      </c>
      <c r="J74" s="24">
        <f>IF(E74="","",F74/3*12)</f>
        <v/>
      </c>
      <c r="K74" s="16" t="n"/>
      <c r="L74" s="16" t="n"/>
    </row>
    <row r="75" ht="22" customHeight="1">
      <c r="B75" s="20">
        <f>IF(C75="","BDG-"&amp;TEXT(COUNTA($C$5:C75),"000"))</f>
        <v/>
      </c>
      <c r="C75" s="13" t="n"/>
      <c r="D75" s="13" t="n"/>
      <c r="E75" s="22" t="n"/>
      <c r="F75" s="22" t="n"/>
      <c r="G75" s="14">
        <f>IF(E75="","",F75/E75)</f>
        <v/>
      </c>
      <c r="H75" s="22">
        <f>IF(OR(E75="",F75=""),"",E75-F75)</f>
        <v/>
      </c>
      <c r="I75" s="14">
        <f>IF(E75="","",H75/E75)</f>
        <v/>
      </c>
      <c r="J75" s="22">
        <f>IF(E75="","",F75/3*12)</f>
        <v/>
      </c>
      <c r="K75" s="13" t="n"/>
      <c r="L75" s="13" t="n"/>
    </row>
    <row r="76" ht="22" customHeight="1">
      <c r="B76" s="19">
        <f>IF(C76="","BDG-"&amp;TEXT(COUNTA($C$5:C76),"000"))</f>
        <v/>
      </c>
      <c r="C76" s="16" t="n"/>
      <c r="D76" s="16" t="n"/>
      <c r="E76" s="24" t="n"/>
      <c r="F76" s="24" t="n"/>
      <c r="G76" s="17">
        <f>IF(E76="","",F76/E76)</f>
        <v/>
      </c>
      <c r="H76" s="24">
        <f>IF(OR(E76="",F76=""),"",E76-F76)</f>
        <v/>
      </c>
      <c r="I76" s="17">
        <f>IF(E76="","",H76/E76)</f>
        <v/>
      </c>
      <c r="J76" s="24">
        <f>IF(E76="","",F76/3*12)</f>
        <v/>
      </c>
      <c r="K76" s="16" t="n"/>
      <c r="L76" s="16" t="n"/>
    </row>
    <row r="77" ht="22" customHeight="1">
      <c r="B77" s="20">
        <f>IF(C77="","BDG-"&amp;TEXT(COUNTA($C$5:C77),"000"))</f>
        <v/>
      </c>
      <c r="C77" s="13" t="n"/>
      <c r="D77" s="13" t="n"/>
      <c r="E77" s="22" t="n"/>
      <c r="F77" s="22" t="n"/>
      <c r="G77" s="14">
        <f>IF(E77="","",F77/E77)</f>
        <v/>
      </c>
      <c r="H77" s="22">
        <f>IF(OR(E77="",F77=""),"",E77-F77)</f>
        <v/>
      </c>
      <c r="I77" s="14">
        <f>IF(E77="","",H77/E77)</f>
        <v/>
      </c>
      <c r="J77" s="22">
        <f>IF(E77="","",F77/3*12)</f>
        <v/>
      </c>
      <c r="K77" s="13" t="n"/>
      <c r="L77" s="13" t="n"/>
    </row>
    <row r="78" ht="22" customHeight="1">
      <c r="B78" s="19">
        <f>IF(C78="","BDG-"&amp;TEXT(COUNTA($C$5:C78),"000"))</f>
        <v/>
      </c>
      <c r="C78" s="16" t="n"/>
      <c r="D78" s="16" t="n"/>
      <c r="E78" s="24" t="n"/>
      <c r="F78" s="24" t="n"/>
      <c r="G78" s="17">
        <f>IF(E78="","",F78/E78)</f>
        <v/>
      </c>
      <c r="H78" s="24">
        <f>IF(OR(E78="",F78=""),"",E78-F78)</f>
        <v/>
      </c>
      <c r="I78" s="17">
        <f>IF(E78="","",H78/E78)</f>
        <v/>
      </c>
      <c r="J78" s="24">
        <f>IF(E78="","",F78/3*12)</f>
        <v/>
      </c>
      <c r="K78" s="16" t="n"/>
      <c r="L78" s="16" t="n"/>
    </row>
    <row r="79" ht="22" customHeight="1">
      <c r="B79" s="20">
        <f>IF(C79="","BDG-"&amp;TEXT(COUNTA($C$5:C79),"000"))</f>
        <v/>
      </c>
      <c r="C79" s="13" t="n"/>
      <c r="D79" s="13" t="n"/>
      <c r="E79" s="22" t="n"/>
      <c r="F79" s="22" t="n"/>
      <c r="G79" s="14">
        <f>IF(E79="","",F79/E79)</f>
        <v/>
      </c>
      <c r="H79" s="22">
        <f>IF(OR(E79="",F79=""),"",E79-F79)</f>
        <v/>
      </c>
      <c r="I79" s="14">
        <f>IF(E79="","",H79/E79)</f>
        <v/>
      </c>
      <c r="J79" s="22">
        <f>IF(E79="","",F79/3*12)</f>
        <v/>
      </c>
      <c r="K79" s="13" t="n"/>
      <c r="L79" s="13" t="n"/>
    </row>
    <row r="80" ht="22" customHeight="1">
      <c r="B80" s="19">
        <f>IF(C80="","BDG-"&amp;TEXT(COUNTA($C$5:C80),"000"))</f>
        <v/>
      </c>
      <c r="C80" s="16" t="n"/>
      <c r="D80" s="16" t="n"/>
      <c r="E80" s="24" t="n"/>
      <c r="F80" s="24" t="n"/>
      <c r="G80" s="17">
        <f>IF(E80="","",F80/E80)</f>
        <v/>
      </c>
      <c r="H80" s="24">
        <f>IF(OR(E80="",F80=""),"",E80-F80)</f>
        <v/>
      </c>
      <c r="I80" s="17">
        <f>IF(E80="","",H80/E80)</f>
        <v/>
      </c>
      <c r="J80" s="24">
        <f>IF(E80="","",F80/3*12)</f>
        <v/>
      </c>
      <c r="K80" s="16" t="n"/>
      <c r="L80" s="16" t="n"/>
    </row>
    <row r="81" ht="22" customHeight="1">
      <c r="B81" s="20">
        <f>IF(C81="","BDG-"&amp;TEXT(COUNTA($C$5:C81),"000"))</f>
        <v/>
      </c>
      <c r="C81" s="13" t="n"/>
      <c r="D81" s="13" t="n"/>
      <c r="E81" s="22" t="n"/>
      <c r="F81" s="22" t="n"/>
      <c r="G81" s="14">
        <f>IF(E81="","",F81/E81)</f>
        <v/>
      </c>
      <c r="H81" s="22">
        <f>IF(OR(E81="",F81=""),"",E81-F81)</f>
        <v/>
      </c>
      <c r="I81" s="14">
        <f>IF(E81="","",H81/E81)</f>
        <v/>
      </c>
      <c r="J81" s="22">
        <f>IF(E81="","",F81/3*12)</f>
        <v/>
      </c>
      <c r="K81" s="13" t="n"/>
      <c r="L81" s="13" t="n"/>
    </row>
    <row r="82" ht="22" customHeight="1">
      <c r="B82" s="19">
        <f>IF(C82="","BDG-"&amp;TEXT(COUNTA($C$5:C82),"000"))</f>
        <v/>
      </c>
      <c r="C82" s="16" t="n"/>
      <c r="D82" s="16" t="n"/>
      <c r="E82" s="24" t="n"/>
      <c r="F82" s="24" t="n"/>
      <c r="G82" s="17">
        <f>IF(E82="","",F82/E82)</f>
        <v/>
      </c>
      <c r="H82" s="24">
        <f>IF(OR(E82="",F82=""),"",E82-F82)</f>
        <v/>
      </c>
      <c r="I82" s="17">
        <f>IF(E82="","",H82/E82)</f>
        <v/>
      </c>
      <c r="J82" s="24">
        <f>IF(E82="","",F82/3*12)</f>
        <v/>
      </c>
      <c r="K82" s="16" t="n"/>
      <c r="L82" s="16" t="n"/>
    </row>
    <row r="83" ht="22" customHeight="1">
      <c r="B83" s="20">
        <f>IF(C83="","BDG-"&amp;TEXT(COUNTA($C$5:C83),"000"))</f>
        <v/>
      </c>
      <c r="C83" s="13" t="n"/>
      <c r="D83" s="13" t="n"/>
      <c r="E83" s="22" t="n"/>
      <c r="F83" s="22" t="n"/>
      <c r="G83" s="14">
        <f>IF(E83="","",F83/E83)</f>
        <v/>
      </c>
      <c r="H83" s="22">
        <f>IF(OR(E83="",F83=""),"",E83-F83)</f>
        <v/>
      </c>
      <c r="I83" s="14">
        <f>IF(E83="","",H83/E83)</f>
        <v/>
      </c>
      <c r="J83" s="22">
        <f>IF(E83="","",F83/3*12)</f>
        <v/>
      </c>
      <c r="K83" s="13" t="n"/>
      <c r="L83" s="13" t="n"/>
    </row>
    <row r="84" ht="22" customHeight="1">
      <c r="B84" s="19">
        <f>IF(C84="","BDG-"&amp;TEXT(COUNTA($C$5:C84),"000"))</f>
        <v/>
      </c>
      <c r="C84" s="16" t="n"/>
      <c r="D84" s="16" t="n"/>
      <c r="E84" s="24" t="n"/>
      <c r="F84" s="24" t="n"/>
      <c r="G84" s="17">
        <f>IF(E84="","",F84/E84)</f>
        <v/>
      </c>
      <c r="H84" s="24">
        <f>IF(OR(E84="",F84=""),"",E84-F84)</f>
        <v/>
      </c>
      <c r="I84" s="17">
        <f>IF(E84="","",H84/E84)</f>
        <v/>
      </c>
      <c r="J84" s="24">
        <f>IF(E84="","",F84/3*12)</f>
        <v/>
      </c>
      <c r="K84" s="16" t="n"/>
      <c r="L84" s="16" t="n"/>
    </row>
    <row r="85" ht="22" customHeight="1">
      <c r="B85" s="20">
        <f>IF(C85="","BDG-"&amp;TEXT(COUNTA($C$5:C85),"000"))</f>
        <v/>
      </c>
      <c r="C85" s="13" t="n"/>
      <c r="D85" s="13" t="n"/>
      <c r="E85" s="22" t="n"/>
      <c r="F85" s="22" t="n"/>
      <c r="G85" s="14">
        <f>IF(E85="","",F85/E85)</f>
        <v/>
      </c>
      <c r="H85" s="22">
        <f>IF(OR(E85="",F85=""),"",E85-F85)</f>
        <v/>
      </c>
      <c r="I85" s="14">
        <f>IF(E85="","",H85/E85)</f>
        <v/>
      </c>
      <c r="J85" s="22">
        <f>IF(E85="","",F85/3*12)</f>
        <v/>
      </c>
      <c r="K85" s="13" t="n"/>
      <c r="L85" s="13" t="n"/>
    </row>
    <row r="86" ht="22" customHeight="1">
      <c r="B86" s="19">
        <f>IF(C86="","BDG-"&amp;TEXT(COUNTA($C$5:C86),"000"))</f>
        <v/>
      </c>
      <c r="C86" s="16" t="n"/>
      <c r="D86" s="16" t="n"/>
      <c r="E86" s="24" t="n"/>
      <c r="F86" s="24" t="n"/>
      <c r="G86" s="17">
        <f>IF(E86="","",F86/E86)</f>
        <v/>
      </c>
      <c r="H86" s="24">
        <f>IF(OR(E86="",F86=""),"",E86-F86)</f>
        <v/>
      </c>
      <c r="I86" s="17">
        <f>IF(E86="","",H86/E86)</f>
        <v/>
      </c>
      <c r="J86" s="24">
        <f>IF(E86="","",F86/3*12)</f>
        <v/>
      </c>
      <c r="K86" s="16" t="n"/>
      <c r="L86" s="16" t="n"/>
    </row>
    <row r="87" ht="22" customHeight="1">
      <c r="B87" s="20">
        <f>IF(C87="","BDG-"&amp;TEXT(COUNTA($C$5:C87),"000"))</f>
        <v/>
      </c>
      <c r="C87" s="13" t="n"/>
      <c r="D87" s="13" t="n"/>
      <c r="E87" s="22" t="n"/>
      <c r="F87" s="22" t="n"/>
      <c r="G87" s="14">
        <f>IF(E87="","",F87/E87)</f>
        <v/>
      </c>
      <c r="H87" s="22">
        <f>IF(OR(E87="",F87=""),"",E87-F87)</f>
        <v/>
      </c>
      <c r="I87" s="14">
        <f>IF(E87="","",H87/E87)</f>
        <v/>
      </c>
      <c r="J87" s="22">
        <f>IF(E87="","",F87/3*12)</f>
        <v/>
      </c>
      <c r="K87" s="13" t="n"/>
      <c r="L87" s="13" t="n"/>
    </row>
    <row r="88" ht="22" customHeight="1">
      <c r="B88" s="19">
        <f>IF(C88="","BDG-"&amp;TEXT(COUNTA($C$5:C88),"000"))</f>
        <v/>
      </c>
      <c r="C88" s="16" t="n"/>
      <c r="D88" s="16" t="n"/>
      <c r="E88" s="24" t="n"/>
      <c r="F88" s="24" t="n"/>
      <c r="G88" s="17">
        <f>IF(E88="","",F88/E88)</f>
        <v/>
      </c>
      <c r="H88" s="24">
        <f>IF(OR(E88="",F88=""),"",E88-F88)</f>
        <v/>
      </c>
      <c r="I88" s="17">
        <f>IF(E88="","",H88/E88)</f>
        <v/>
      </c>
      <c r="J88" s="24">
        <f>IF(E88="","",F88/3*12)</f>
        <v/>
      </c>
      <c r="K88" s="16" t="n"/>
      <c r="L88" s="16" t="n"/>
    </row>
    <row r="89" ht="22" customHeight="1">
      <c r="B89" s="20">
        <f>IF(C89="","BDG-"&amp;TEXT(COUNTA($C$5:C89),"000"))</f>
        <v/>
      </c>
      <c r="C89" s="13" t="n"/>
      <c r="D89" s="13" t="n"/>
      <c r="E89" s="22" t="n"/>
      <c r="F89" s="22" t="n"/>
      <c r="G89" s="14">
        <f>IF(E89="","",F89/E89)</f>
        <v/>
      </c>
      <c r="H89" s="22">
        <f>IF(OR(E89="",F89=""),"",E89-F89)</f>
        <v/>
      </c>
      <c r="I89" s="14">
        <f>IF(E89="","",H89/E89)</f>
        <v/>
      </c>
      <c r="J89" s="22">
        <f>IF(E89="","",F89/3*12)</f>
        <v/>
      </c>
      <c r="K89" s="13" t="n"/>
      <c r="L89" s="13" t="n"/>
    </row>
    <row r="90" ht="22" customHeight="1">
      <c r="B90" s="19">
        <f>IF(C90="","BDG-"&amp;TEXT(COUNTA($C$5:C90),"000"))</f>
        <v/>
      </c>
      <c r="C90" s="16" t="n"/>
      <c r="D90" s="16" t="n"/>
      <c r="E90" s="24" t="n"/>
      <c r="F90" s="24" t="n"/>
      <c r="G90" s="17">
        <f>IF(E90="","",F90/E90)</f>
        <v/>
      </c>
      <c r="H90" s="24">
        <f>IF(OR(E90="",F90=""),"",E90-F90)</f>
        <v/>
      </c>
      <c r="I90" s="17">
        <f>IF(E90="","",H90/E90)</f>
        <v/>
      </c>
      <c r="J90" s="24">
        <f>IF(E90="","",F90/3*12)</f>
        <v/>
      </c>
      <c r="K90" s="16" t="n"/>
      <c r="L90" s="16" t="n"/>
    </row>
    <row r="91" ht="22" customHeight="1">
      <c r="B91" s="20">
        <f>IF(C91="","BDG-"&amp;TEXT(COUNTA($C$5:C91),"000"))</f>
        <v/>
      </c>
      <c r="C91" s="13" t="n"/>
      <c r="D91" s="13" t="n"/>
      <c r="E91" s="22" t="n"/>
      <c r="F91" s="22" t="n"/>
      <c r="G91" s="14">
        <f>IF(E91="","",F91/E91)</f>
        <v/>
      </c>
      <c r="H91" s="22">
        <f>IF(OR(E91="",F91=""),"",E91-F91)</f>
        <v/>
      </c>
      <c r="I91" s="14">
        <f>IF(E91="","",H91/E91)</f>
        <v/>
      </c>
      <c r="J91" s="22">
        <f>IF(E91="","",F91/3*12)</f>
        <v/>
      </c>
      <c r="K91" s="13" t="n"/>
      <c r="L91" s="13" t="n"/>
    </row>
    <row r="92" ht="22" customHeight="1">
      <c r="B92" s="19">
        <f>IF(C92="","BDG-"&amp;TEXT(COUNTA($C$5:C92),"000"))</f>
        <v/>
      </c>
      <c r="C92" s="16" t="n"/>
      <c r="D92" s="16" t="n"/>
      <c r="E92" s="24" t="n"/>
      <c r="F92" s="24" t="n"/>
      <c r="G92" s="17">
        <f>IF(E92="","",F92/E92)</f>
        <v/>
      </c>
      <c r="H92" s="24">
        <f>IF(OR(E92="",F92=""),"",E92-F92)</f>
        <v/>
      </c>
      <c r="I92" s="17">
        <f>IF(E92="","",H92/E92)</f>
        <v/>
      </c>
      <c r="J92" s="24">
        <f>IF(E92="","",F92/3*12)</f>
        <v/>
      </c>
      <c r="K92" s="16" t="n"/>
      <c r="L92" s="16" t="n"/>
    </row>
    <row r="93" ht="22" customHeight="1">
      <c r="B93" s="20">
        <f>IF(C93="","BDG-"&amp;TEXT(COUNTA($C$5:C93),"000"))</f>
        <v/>
      </c>
      <c r="C93" s="13" t="n"/>
      <c r="D93" s="13" t="n"/>
      <c r="E93" s="22" t="n"/>
      <c r="F93" s="22" t="n"/>
      <c r="G93" s="14">
        <f>IF(E93="","",F93/E93)</f>
        <v/>
      </c>
      <c r="H93" s="22">
        <f>IF(OR(E93="",F93=""),"",E93-F93)</f>
        <v/>
      </c>
      <c r="I93" s="14">
        <f>IF(E93="","",H93/E93)</f>
        <v/>
      </c>
      <c r="J93" s="22">
        <f>IF(E93="","",F93/3*12)</f>
        <v/>
      </c>
      <c r="K93" s="13" t="n"/>
      <c r="L93" s="13" t="n"/>
    </row>
    <row r="94" ht="22" customHeight="1">
      <c r="B94" s="19">
        <f>IF(C94="","BDG-"&amp;TEXT(COUNTA($C$5:C94),"000"))</f>
        <v/>
      </c>
      <c r="C94" s="16" t="n"/>
      <c r="D94" s="16" t="n"/>
      <c r="E94" s="24" t="n"/>
      <c r="F94" s="24" t="n"/>
      <c r="G94" s="17">
        <f>IF(E94="","",F94/E94)</f>
        <v/>
      </c>
      <c r="H94" s="24">
        <f>IF(OR(E94="",F94=""),"",E94-F94)</f>
        <v/>
      </c>
      <c r="I94" s="17">
        <f>IF(E94="","",H94/E94)</f>
        <v/>
      </c>
      <c r="J94" s="24">
        <f>IF(E94="","",F94/3*12)</f>
        <v/>
      </c>
      <c r="K94" s="16" t="n"/>
      <c r="L94" s="16" t="n"/>
    </row>
    <row r="95" ht="22" customHeight="1">
      <c r="B95" s="20">
        <f>IF(C95="","BDG-"&amp;TEXT(COUNTA($C$5:C95),"000"))</f>
        <v/>
      </c>
      <c r="C95" s="13" t="n"/>
      <c r="D95" s="13" t="n"/>
      <c r="E95" s="22" t="n"/>
      <c r="F95" s="22" t="n"/>
      <c r="G95" s="14">
        <f>IF(E95="","",F95/E95)</f>
        <v/>
      </c>
      <c r="H95" s="22">
        <f>IF(OR(E95="",F95=""),"",E95-F95)</f>
        <v/>
      </c>
      <c r="I95" s="14">
        <f>IF(E95="","",H95/E95)</f>
        <v/>
      </c>
      <c r="J95" s="22">
        <f>IF(E95="","",F95/3*12)</f>
        <v/>
      </c>
      <c r="K95" s="13" t="n"/>
      <c r="L95" s="13" t="n"/>
    </row>
    <row r="96" ht="22" customHeight="1">
      <c r="B96" s="19">
        <f>IF(C96="","BDG-"&amp;TEXT(COUNTA($C$5:C96),"000"))</f>
        <v/>
      </c>
      <c r="C96" s="16" t="n"/>
      <c r="D96" s="16" t="n"/>
      <c r="E96" s="24" t="n"/>
      <c r="F96" s="24" t="n"/>
      <c r="G96" s="17">
        <f>IF(E96="","",F96/E96)</f>
        <v/>
      </c>
      <c r="H96" s="24">
        <f>IF(OR(E96="",F96=""),"",E96-F96)</f>
        <v/>
      </c>
      <c r="I96" s="17">
        <f>IF(E96="","",H96/E96)</f>
        <v/>
      </c>
      <c r="J96" s="24">
        <f>IF(E96="","",F96/3*12)</f>
        <v/>
      </c>
      <c r="K96" s="16" t="n"/>
      <c r="L96" s="16" t="n"/>
    </row>
    <row r="97" ht="22" customHeight="1">
      <c r="B97" s="20">
        <f>IF(C97="","BDG-"&amp;TEXT(COUNTA($C$5:C97),"000"))</f>
        <v/>
      </c>
      <c r="C97" s="13" t="n"/>
      <c r="D97" s="13" t="n"/>
      <c r="E97" s="22" t="n"/>
      <c r="F97" s="22" t="n"/>
      <c r="G97" s="14">
        <f>IF(E97="","",F97/E97)</f>
        <v/>
      </c>
      <c r="H97" s="22">
        <f>IF(OR(E97="",F97=""),"",E97-F97)</f>
        <v/>
      </c>
      <c r="I97" s="14">
        <f>IF(E97="","",H97/E97)</f>
        <v/>
      </c>
      <c r="J97" s="22">
        <f>IF(E97="","",F97/3*12)</f>
        <v/>
      </c>
      <c r="K97" s="13" t="n"/>
      <c r="L97" s="13" t="n"/>
    </row>
    <row r="98" ht="22" customHeight="1">
      <c r="B98" s="19">
        <f>IF(C98="","BDG-"&amp;TEXT(COUNTA($C$5:C98),"000"))</f>
        <v/>
      </c>
      <c r="C98" s="16" t="n"/>
      <c r="D98" s="16" t="n"/>
      <c r="E98" s="24" t="n"/>
      <c r="F98" s="24" t="n"/>
      <c r="G98" s="17">
        <f>IF(E98="","",F98/E98)</f>
        <v/>
      </c>
      <c r="H98" s="24">
        <f>IF(OR(E98="",F98=""),"",E98-F98)</f>
        <v/>
      </c>
      <c r="I98" s="17">
        <f>IF(E98="","",H98/E98)</f>
        <v/>
      </c>
      <c r="J98" s="24">
        <f>IF(E98="","",F98/3*12)</f>
        <v/>
      </c>
      <c r="K98" s="16" t="n"/>
      <c r="L98" s="16" t="n"/>
    </row>
    <row r="99" ht="22" customHeight="1">
      <c r="B99" s="20">
        <f>IF(C99="","BDG-"&amp;TEXT(COUNTA($C$5:C99),"000"))</f>
        <v/>
      </c>
      <c r="C99" s="13" t="n"/>
      <c r="D99" s="13" t="n"/>
      <c r="E99" s="22" t="n"/>
      <c r="F99" s="22" t="n"/>
      <c r="G99" s="14">
        <f>IF(E99="","",F99/E99)</f>
        <v/>
      </c>
      <c r="H99" s="22">
        <f>IF(OR(E99="",F99=""),"",E99-F99)</f>
        <v/>
      </c>
      <c r="I99" s="14">
        <f>IF(E99="","",H99/E99)</f>
        <v/>
      </c>
      <c r="J99" s="22">
        <f>IF(E99="","",F99/3*12)</f>
        <v/>
      </c>
      <c r="K99" s="13" t="n"/>
      <c r="L99" s="13" t="n"/>
    </row>
    <row r="100" ht="22" customHeight="1">
      <c r="B100" s="19">
        <f>IF(C100="","BDG-"&amp;TEXT(COUNTA($C$5:C100),"000"))</f>
        <v/>
      </c>
      <c r="C100" s="16" t="n"/>
      <c r="D100" s="16" t="n"/>
      <c r="E100" s="24" t="n"/>
      <c r="F100" s="24" t="n"/>
      <c r="G100" s="17">
        <f>IF(E100="","",F100/E100)</f>
        <v/>
      </c>
      <c r="H100" s="24">
        <f>IF(OR(E100="",F100=""),"",E100-F100)</f>
        <v/>
      </c>
      <c r="I100" s="17">
        <f>IF(E100="","",H100/E100)</f>
        <v/>
      </c>
      <c r="J100" s="24">
        <f>IF(E100="","",F100/3*12)</f>
        <v/>
      </c>
      <c r="K100" s="16" t="n"/>
      <c r="L100" s="16" t="n"/>
    </row>
    <row r="101" ht="22" customHeight="1">
      <c r="B101" s="20">
        <f>IF(C101="","BDG-"&amp;TEXT(COUNTA($C$5:C101),"000"))</f>
        <v/>
      </c>
      <c r="C101" s="13" t="n"/>
      <c r="D101" s="13" t="n"/>
      <c r="E101" s="22" t="n"/>
      <c r="F101" s="22" t="n"/>
      <c r="G101" s="14">
        <f>IF(E101="","",F101/E101)</f>
        <v/>
      </c>
      <c r="H101" s="22">
        <f>IF(OR(E101="",F101=""),"",E101-F101)</f>
        <v/>
      </c>
      <c r="I101" s="14">
        <f>IF(E101="","",H101/E101)</f>
        <v/>
      </c>
      <c r="J101" s="22">
        <f>IF(E101="","",F101/3*12)</f>
        <v/>
      </c>
      <c r="K101" s="13" t="n"/>
      <c r="L101" s="13" t="n"/>
    </row>
    <row r="102" ht="22" customHeight="1">
      <c r="B102" s="19">
        <f>IF(C102="","BDG-"&amp;TEXT(COUNTA($C$5:C102),"000"))</f>
        <v/>
      </c>
      <c r="C102" s="16" t="n"/>
      <c r="D102" s="16" t="n"/>
      <c r="E102" s="24" t="n"/>
      <c r="F102" s="24" t="n"/>
      <c r="G102" s="17">
        <f>IF(E102="","",F102/E102)</f>
        <v/>
      </c>
      <c r="H102" s="24">
        <f>IF(OR(E102="",F102=""),"",E102-F102)</f>
        <v/>
      </c>
      <c r="I102" s="17">
        <f>IF(E102="","",H102/E102)</f>
        <v/>
      </c>
      <c r="J102" s="24">
        <f>IF(E102="","",F102/3*12)</f>
        <v/>
      </c>
      <c r="K102" s="16" t="n"/>
      <c r="L102" s="16" t="n"/>
    </row>
    <row r="103" ht="22" customHeight="1">
      <c r="B103" s="20">
        <f>IF(C103="","BDG-"&amp;TEXT(COUNTA($C$5:C103),"000"))</f>
        <v/>
      </c>
      <c r="C103" s="13" t="n"/>
      <c r="D103" s="13" t="n"/>
      <c r="E103" s="22" t="n"/>
      <c r="F103" s="22" t="n"/>
      <c r="G103" s="14">
        <f>IF(E103="","",F103/E103)</f>
        <v/>
      </c>
      <c r="H103" s="22">
        <f>IF(OR(E103="",F103=""),"",E103-F103)</f>
        <v/>
      </c>
      <c r="I103" s="14">
        <f>IF(E103="","",H103/E103)</f>
        <v/>
      </c>
      <c r="J103" s="22">
        <f>IF(E103="","",F103/3*12)</f>
        <v/>
      </c>
      <c r="K103" s="13" t="n"/>
      <c r="L103" s="13" t="n"/>
    </row>
    <row r="104" ht="22" customHeight="1">
      <c r="B104" s="19">
        <f>IF(C104="","BDG-"&amp;TEXT(COUNTA($C$5:C104),"000"))</f>
        <v/>
      </c>
      <c r="C104" s="16" t="n"/>
      <c r="D104" s="16" t="n"/>
      <c r="E104" s="24" t="n"/>
      <c r="F104" s="24" t="n"/>
      <c r="G104" s="17">
        <f>IF(E104="","",F104/E104)</f>
        <v/>
      </c>
      <c r="H104" s="24">
        <f>IF(OR(E104="",F104=""),"",E104-F104)</f>
        <v/>
      </c>
      <c r="I104" s="17">
        <f>IF(E104="","",H104/E104)</f>
        <v/>
      </c>
      <c r="J104" s="24">
        <f>IF(E104="","",F104/3*12)</f>
        <v/>
      </c>
      <c r="K104" s="16" t="n"/>
      <c r="L104" s="16" t="n"/>
    </row>
    <row r="105" ht="22" customHeight="1">
      <c r="B105" s="20">
        <f>IF(C105="","BDG-"&amp;TEXT(COUNTA($C$5:C105),"000"))</f>
        <v/>
      </c>
      <c r="C105" s="13" t="n"/>
      <c r="D105" s="13" t="n"/>
      <c r="E105" s="22" t="n"/>
      <c r="F105" s="22" t="n"/>
      <c r="G105" s="14">
        <f>IF(E105="","",F105/E105)</f>
        <v/>
      </c>
      <c r="H105" s="22">
        <f>IF(OR(E105="",F105=""),"",E105-F105)</f>
        <v/>
      </c>
      <c r="I105" s="14">
        <f>IF(E105="","",H105/E105)</f>
        <v/>
      </c>
      <c r="J105" s="22">
        <f>IF(E105="","",F105/3*12)</f>
        <v/>
      </c>
      <c r="K105" s="13" t="n"/>
      <c r="L105" s="13" t="n"/>
    </row>
    <row r="106" ht="22" customHeight="1">
      <c r="B106" s="19">
        <f>IF(C106="","BDG-"&amp;TEXT(COUNTA($C$5:C106),"000"))</f>
        <v/>
      </c>
      <c r="C106" s="16" t="n"/>
      <c r="D106" s="16" t="n"/>
      <c r="E106" s="24" t="n"/>
      <c r="F106" s="24" t="n"/>
      <c r="G106" s="17">
        <f>IF(E106="","",F106/E106)</f>
        <v/>
      </c>
      <c r="H106" s="24">
        <f>IF(OR(E106="",F106=""),"",E106-F106)</f>
        <v/>
      </c>
      <c r="I106" s="17">
        <f>IF(E106="","",H106/E106)</f>
        <v/>
      </c>
      <c r="J106" s="24">
        <f>IF(E106="","",F106/3*12)</f>
        <v/>
      </c>
      <c r="K106" s="16" t="n"/>
      <c r="L106" s="16" t="n"/>
    </row>
    <row r="107" ht="22" customHeight="1">
      <c r="B107" s="20">
        <f>IF(C107="","BDG-"&amp;TEXT(COUNTA($C$5:C107),"000"))</f>
        <v/>
      </c>
      <c r="C107" s="13" t="n"/>
      <c r="D107" s="13" t="n"/>
      <c r="E107" s="22" t="n"/>
      <c r="F107" s="22" t="n"/>
      <c r="G107" s="14">
        <f>IF(E107="","",F107/E107)</f>
        <v/>
      </c>
      <c r="H107" s="22">
        <f>IF(OR(E107="",F107=""),"",E107-F107)</f>
        <v/>
      </c>
      <c r="I107" s="14">
        <f>IF(E107="","",H107/E107)</f>
        <v/>
      </c>
      <c r="J107" s="22">
        <f>IF(E107="","",F107/3*12)</f>
        <v/>
      </c>
      <c r="K107" s="13" t="n"/>
      <c r="L107" s="13" t="n"/>
    </row>
    <row r="108" ht="22" customHeight="1">
      <c r="B108" s="19">
        <f>IF(C108="","BDG-"&amp;TEXT(COUNTA($C$5:C108),"000"))</f>
        <v/>
      </c>
      <c r="C108" s="16" t="n"/>
      <c r="D108" s="16" t="n"/>
      <c r="E108" s="24" t="n"/>
      <c r="F108" s="24" t="n"/>
      <c r="G108" s="17">
        <f>IF(E108="","",F108/E108)</f>
        <v/>
      </c>
      <c r="H108" s="24">
        <f>IF(OR(E108="",F108=""),"",E108-F108)</f>
        <v/>
      </c>
      <c r="I108" s="17">
        <f>IF(E108="","",H108/E108)</f>
        <v/>
      </c>
      <c r="J108" s="24">
        <f>IF(E108="","",F108/3*12)</f>
        <v/>
      </c>
      <c r="K108" s="16" t="n"/>
      <c r="L108" s="16" t="n"/>
    </row>
    <row r="109" ht="22" customHeight="1">
      <c r="B109" s="20">
        <f>IF(C109="","BDG-"&amp;TEXT(COUNTA($C$5:C109),"000"))</f>
        <v/>
      </c>
      <c r="C109" s="13" t="n"/>
      <c r="D109" s="13" t="n"/>
      <c r="E109" s="22" t="n"/>
      <c r="F109" s="22" t="n"/>
      <c r="G109" s="14">
        <f>IF(E109="","",F109/E109)</f>
        <v/>
      </c>
      <c r="H109" s="22">
        <f>IF(OR(E109="",F109=""),"",E109-F109)</f>
        <v/>
      </c>
      <c r="I109" s="14">
        <f>IF(E109="","",H109/E109)</f>
        <v/>
      </c>
      <c r="J109" s="22">
        <f>IF(E109="","",F109/3*12)</f>
        <v/>
      </c>
      <c r="K109" s="13" t="n"/>
      <c r="L109" s="13" t="n"/>
    </row>
    <row r="110"/>
    <row r="111" ht="26" customHeight="1">
      <c r="B111" s="25" t="inlineStr">
        <is>
          <t>TOTAL</t>
        </is>
      </c>
      <c r="C111" s="26" t="n"/>
      <c r="D111" s="26" t="n"/>
      <c r="E111" s="27">
        <f>SUM(E5:E104)</f>
        <v/>
      </c>
      <c r="F111" s="27">
        <f>SUM(F5:F104)</f>
        <v/>
      </c>
      <c r="G111" s="26" t="n"/>
      <c r="H111" s="26" t="n"/>
      <c r="I111" s="26" t="n"/>
      <c r="J111" s="26" t="n"/>
      <c r="K111" s="26" t="n"/>
      <c r="L111" s="26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Postes budgetaires</t>
        </is>
      </c>
      <c r="D114" s="3" t="inlineStr">
        <is>
          <t>Budget total (FCFA)</t>
        </is>
      </c>
      <c r="F114" s="3" t="inlineStr">
        <is>
          <t>Taux real. moyen (%)</t>
        </is>
      </c>
    </row>
    <row r="115">
      <c r="B115" s="4">
        <f>COUNTIF(B5:B104,"&lt;&gt;")</f>
        <v/>
      </c>
      <c r="D115" s="4">
        <f>SUM(E5:E104)</f>
        <v/>
      </c>
      <c r="F115" s="4">
        <f>IFERROR(AVERAGE(G5:G104),0)</f>
        <v/>
      </c>
    </row>
  </sheetData>
  <mergeCells count="3">
    <mergeCell ref="B2:L2"/>
    <mergeCell ref="B113:L113"/>
    <mergeCell ref="B3:L3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10:B109">
    <cfRule type="expression" priority="274" dxfId="3">
      <formula>AND($C10="",$C9&lt;&gt;"")</formula>
    </cfRule>
  </conditionalFormatting>
  <conditionalFormatting sqref="C10:C109">
    <cfRule type="expression" priority="275" dxfId="3">
      <formula>AND($C10="",$C9&lt;&gt;"")</formula>
    </cfRule>
  </conditionalFormatting>
  <conditionalFormatting sqref="D10:D109">
    <cfRule type="expression" priority="276" dxfId="3">
      <formula>AND($C10="",$C9&lt;&gt;"")</formula>
    </cfRule>
  </conditionalFormatting>
  <conditionalFormatting sqref="E10:E109">
    <cfRule type="expression" priority="277" dxfId="3">
      <formula>AND($C10="",$C9&lt;&gt;"")</formula>
    </cfRule>
  </conditionalFormatting>
  <conditionalFormatting sqref="F10:F109">
    <cfRule type="expression" priority="278" dxfId="3">
      <formula>AND($C10="",$C9&lt;&gt;"")</formula>
    </cfRule>
  </conditionalFormatting>
  <conditionalFormatting sqref="G10:G109">
    <cfRule type="expression" priority="279" dxfId="3">
      <formula>AND($C10="",$C9&lt;&gt;"")</formula>
    </cfRule>
  </conditionalFormatting>
  <conditionalFormatting sqref="H10:H109">
    <cfRule type="expression" priority="280" dxfId="3">
      <formula>AND($C10="",$C9&lt;&gt;"")</formula>
    </cfRule>
  </conditionalFormatting>
  <conditionalFormatting sqref="I10:I109">
    <cfRule type="expression" priority="281" dxfId="3">
      <formula>AND($C10="",$C9&lt;&gt;"")</formula>
    </cfRule>
  </conditionalFormatting>
  <conditionalFormatting sqref="J10:J109">
    <cfRule type="expression" priority="282" dxfId="3">
      <formula>AND($C10="",$C9&lt;&gt;"")</formula>
    </cfRule>
  </conditionalFormatting>
  <conditionalFormatting sqref="K10:K109">
    <cfRule type="expression" priority="283" dxfId="3">
      <formula>AND($C10="",$C9&lt;&gt;"")</formula>
    </cfRule>
  </conditionalFormatting>
  <conditionalFormatting sqref="L10:L109">
    <cfRule type="expression" priority="284" dxfId="3">
      <formula>AND($C10="",$C9&lt;&gt;"")</formula>
    </cfRule>
  </conditionalFormatting>
  <dataValidations count="2">
    <dataValidation sqref="D5:D109" showDropDown="0" showInputMessage="0" showErrorMessage="0" allowBlank="1" errorTitle="Erreur" error="Valeur invalide" promptTitle="Liste" prompt="Choisir dans la liste" type="list">
      <formula1>'_Lists'!$G$2:$G$12</formula1>
    </dataValidation>
    <dataValidation sqref="K5:K109" showDropDown="0" showInputMessage="0" showErrorMessage="0" allowBlank="1" errorTitle="Erreur" error="Valeur invalide" promptTitle="Liste" prompt="Choisir dans la liste" type="list">
      <formula1>'_Lists'!$H$2:$H$7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0" customWidth="1" min="4" max="4"/>
    <col width="26" customWidth="1" min="5" max="5"/>
    <col width="14" customWidth="1" min="6" max="6"/>
    <col width="14" customWidth="1" min="7" max="7"/>
    <col width="20" customWidth="1" min="8" max="8"/>
    <col width="22" customWidth="1" min="9" max="9"/>
    <col width="22" customWidth="1" min="10" max="10"/>
    <col width="22" customWidth="1" min="11" max="11"/>
    <col width="16" customWidth="1" min="12" max="12"/>
    <col width="34" customWidth="1" min="13" max="13"/>
  </cols>
  <sheetData>
    <row r="1" ht="15" customHeight="1"/>
    <row r="2" ht="32" customHeight="1">
      <c r="B2" s="1" t="inlineStr">
        <is>
          <t>PLAN DE CHARGE RH (#171)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Activite RH</t>
        </is>
      </c>
      <c r="D4" s="12" t="inlineStr">
        <is>
          <t>Responsable</t>
        </is>
      </c>
      <c r="E4" s="12" t="inlineStr">
        <is>
          <t>Departement</t>
        </is>
      </c>
      <c r="F4" s="12" t="inlineStr">
        <is>
          <t>Date Debut</t>
        </is>
      </c>
      <c r="G4" s="12" t="inlineStr">
        <is>
          <t>Date Fin</t>
        </is>
      </c>
      <c r="H4" s="12" t="inlineStr">
        <is>
          <t>Charge Prevue (h)</t>
        </is>
      </c>
      <c r="I4" s="12" t="inlineStr">
        <is>
          <t>Charge Consommee (h)</t>
        </is>
      </c>
      <c r="J4" s="12" t="inlineStr">
        <is>
          <t>Taux Avancement (%)</t>
        </is>
      </c>
      <c r="K4" s="12" t="inlineStr">
        <is>
          <t>Charge Restante (h)</t>
        </is>
      </c>
      <c r="L4" s="12" t="inlineStr">
        <is>
          <t>Statut</t>
        </is>
      </c>
      <c r="M4" s="12" t="inlineStr">
        <is>
          <t>Observations</t>
        </is>
      </c>
    </row>
    <row r="5" ht="22" customHeight="1">
      <c r="B5" s="13" t="inlineStr">
        <is>
          <t>PCH-001</t>
        </is>
      </c>
      <c r="C5" s="13" t="inlineStr">
        <is>
          <t>Recrutement saisonnier ete</t>
        </is>
      </c>
      <c r="D5" s="13" t="inlineStr">
        <is>
          <t>Assistante RH</t>
        </is>
      </c>
      <c r="E5" s="13" t="inlineStr">
        <is>
          <t>Service Client</t>
        </is>
      </c>
      <c r="F5" s="38" t="n">
        <v>45748</v>
      </c>
      <c r="G5" s="38" t="n">
        <v>45838</v>
      </c>
      <c r="H5" s="22" t="n">
        <v>120</v>
      </c>
      <c r="I5" s="22" t="n">
        <v>45</v>
      </c>
      <c r="J5" s="14" t="n"/>
      <c r="K5" s="22" t="n"/>
      <c r="L5" s="13" t="inlineStr">
        <is>
          <t>En cours</t>
        </is>
      </c>
      <c r="M5" s="13" t="inlineStr">
        <is>
          <t>15 postes a pourvoir</t>
        </is>
      </c>
    </row>
    <row r="6" ht="22" customHeight="1">
      <c r="B6" s="16" t="inlineStr">
        <is>
          <t>PCH-002</t>
        </is>
      </c>
      <c r="C6" s="16" t="inlineStr">
        <is>
          <t>Bilan social 2024</t>
        </is>
      </c>
      <c r="D6" s="16" t="inlineStr">
        <is>
          <t>DRH</t>
        </is>
      </c>
      <c r="E6" s="16" t="inlineStr">
        <is>
          <t>Service Client</t>
        </is>
      </c>
      <c r="F6" s="39" t="n">
        <v>45689</v>
      </c>
      <c r="G6" s="39" t="n">
        <v>45777</v>
      </c>
      <c r="H6" s="24" t="n">
        <v>80</v>
      </c>
      <c r="I6" s="24" t="n">
        <v>65</v>
      </c>
      <c r="J6" s="17" t="n"/>
      <c r="K6" s="24" t="n"/>
      <c r="L6" s="16" t="inlineStr">
        <is>
          <t>En cours</t>
        </is>
      </c>
      <c r="M6" s="16" t="inlineStr">
        <is>
          <t>Compilation donnees fin mars</t>
        </is>
      </c>
    </row>
    <row r="7" ht="22" customHeight="1">
      <c r="B7" s="13" t="inlineStr">
        <is>
          <t>PCH-003</t>
        </is>
      </c>
      <c r="C7" s="13" t="inlineStr">
        <is>
          <t>Formation continue Q2</t>
        </is>
      </c>
      <c r="D7" s="13" t="inlineStr">
        <is>
          <t>DRH</t>
        </is>
      </c>
      <c r="E7" s="13" t="inlineStr">
        <is>
          <t>Service Client</t>
        </is>
      </c>
      <c r="F7" s="38" t="n">
        <v>45748</v>
      </c>
      <c r="G7" s="38" t="n">
        <v>45838</v>
      </c>
      <c r="H7" s="22" t="n">
        <v>60</v>
      </c>
      <c r="I7" s="22" t="n">
        <v>10</v>
      </c>
      <c r="J7" s="14" t="n"/>
      <c r="K7" s="22" t="n"/>
      <c r="L7" s="13" t="inlineStr">
        <is>
          <t>En cours</t>
        </is>
      </c>
      <c r="M7" s="13" t="inlineStr">
        <is>
          <t>Programme e-learning lance</t>
        </is>
      </c>
    </row>
    <row r="8" ht="22" customHeight="1">
      <c r="B8" s="16" t="inlineStr">
        <is>
          <t>PCH-004</t>
        </is>
      </c>
      <c r="C8" s="16" t="inlineStr">
        <is>
          <t>Audit paie annuel</t>
        </is>
      </c>
      <c r="D8" s="16" t="inlineStr">
        <is>
          <t>DAF</t>
        </is>
      </c>
      <c r="E8" s="16" t="inlineStr">
        <is>
          <t>Finance &amp; Comptabilité</t>
        </is>
      </c>
      <c r="F8" s="39" t="n">
        <v>45731</v>
      </c>
      <c r="G8" s="39" t="n">
        <v>45792</v>
      </c>
      <c r="H8" s="24" t="n">
        <v>40</v>
      </c>
      <c r="I8" s="24" t="n">
        <v>20</v>
      </c>
      <c r="J8" s="17" t="n"/>
      <c r="K8" s="24" t="n"/>
      <c r="L8" s="16" t="inlineStr">
        <is>
          <t>En cours</t>
        </is>
      </c>
      <c r="M8" s="16" t="inlineStr">
        <is>
          <t>Audit externe en cours</t>
        </is>
      </c>
    </row>
    <row r="9" ht="22" customHeight="1">
      <c r="B9" s="20">
        <f>IF(C9="","PCH-"&amp;TEXT(COUNTA($C$5:C9),"000"))</f>
        <v/>
      </c>
      <c r="C9" s="13" t="n"/>
      <c r="D9" s="13" t="n"/>
      <c r="E9" s="13" t="n"/>
      <c r="F9" s="38" t="n"/>
      <c r="G9" s="38" t="n"/>
      <c r="H9" s="22" t="n"/>
      <c r="I9" s="22" t="n"/>
      <c r="J9" s="14">
        <f>IF(H9="","",I9/H9)</f>
        <v/>
      </c>
      <c r="K9" s="22">
        <f>IF(H9="","",MAX(H9-I9,0))</f>
        <v/>
      </c>
      <c r="L9" s="13" t="n"/>
      <c r="M9" s="13" t="n"/>
    </row>
    <row r="10" ht="22" customHeight="1">
      <c r="B10" s="19">
        <f>IF(C10="","PCH-"&amp;TEXT(COUNTA($C$5:C10),"000"))</f>
        <v/>
      </c>
      <c r="C10" s="16" t="n"/>
      <c r="D10" s="16" t="n"/>
      <c r="E10" s="16" t="n"/>
      <c r="F10" s="39" t="n"/>
      <c r="G10" s="39" t="n"/>
      <c r="H10" s="24" t="n"/>
      <c r="I10" s="24" t="n"/>
      <c r="J10" s="17">
        <f>IF(H10="","",I10/H10)</f>
        <v/>
      </c>
      <c r="K10" s="24">
        <f>IF(H10="","",MAX(H10-I10,0))</f>
        <v/>
      </c>
      <c r="L10" s="16" t="n"/>
      <c r="M10" s="16" t="n"/>
    </row>
    <row r="11" ht="22" customHeight="1">
      <c r="B11" s="20">
        <f>IF(C11="","PCH-"&amp;TEXT(COUNTA($C$5:C11),"000"))</f>
        <v/>
      </c>
      <c r="C11" s="13" t="n"/>
      <c r="D11" s="13" t="n"/>
      <c r="E11" s="13" t="n"/>
      <c r="F11" s="38" t="n"/>
      <c r="G11" s="38" t="n"/>
      <c r="H11" s="22" t="n"/>
      <c r="I11" s="22" t="n"/>
      <c r="J11" s="14">
        <f>IF(H11="","",I11/H11)</f>
        <v/>
      </c>
      <c r="K11" s="22">
        <f>IF(H11="","",MAX(H11-I11,0))</f>
        <v/>
      </c>
      <c r="L11" s="13" t="n"/>
      <c r="M11" s="13" t="n"/>
    </row>
    <row r="12" ht="22" customHeight="1">
      <c r="B12" s="19">
        <f>IF(C12="","PCH-"&amp;TEXT(COUNTA($C$5:C12),"000"))</f>
        <v/>
      </c>
      <c r="C12" s="16" t="n"/>
      <c r="D12" s="16" t="n"/>
      <c r="E12" s="16" t="n"/>
      <c r="F12" s="39" t="n"/>
      <c r="G12" s="39" t="n"/>
      <c r="H12" s="24" t="n"/>
      <c r="I12" s="24" t="n"/>
      <c r="J12" s="17">
        <f>IF(H12="","",I12/H12)</f>
        <v/>
      </c>
      <c r="K12" s="24">
        <f>IF(H12="","",MAX(H12-I12,0))</f>
        <v/>
      </c>
      <c r="L12" s="16" t="n"/>
      <c r="M12" s="16" t="n"/>
    </row>
    <row r="13" ht="22" customHeight="1">
      <c r="B13" s="20">
        <f>IF(C13="","PCH-"&amp;TEXT(COUNTA($C$5:C13),"000"))</f>
        <v/>
      </c>
      <c r="C13" s="13" t="n"/>
      <c r="D13" s="13" t="n"/>
      <c r="E13" s="13" t="n"/>
      <c r="F13" s="38" t="n"/>
      <c r="G13" s="38" t="n"/>
      <c r="H13" s="22" t="n"/>
      <c r="I13" s="22" t="n"/>
      <c r="J13" s="14">
        <f>IF(H13="","",I13/H13)</f>
        <v/>
      </c>
      <c r="K13" s="22">
        <f>IF(H13="","",MAX(H13-I13,0))</f>
        <v/>
      </c>
      <c r="L13" s="13" t="n"/>
      <c r="M13" s="13" t="n"/>
    </row>
    <row r="14" ht="22" customHeight="1">
      <c r="B14" s="19">
        <f>IF(C14="","PCH-"&amp;TEXT(COUNTA($C$5:C14),"000"))</f>
        <v/>
      </c>
      <c r="C14" s="16" t="n"/>
      <c r="D14" s="16" t="n"/>
      <c r="E14" s="16" t="n"/>
      <c r="F14" s="39" t="n"/>
      <c r="G14" s="39" t="n"/>
      <c r="H14" s="24" t="n"/>
      <c r="I14" s="24" t="n"/>
      <c r="J14" s="17">
        <f>IF(H14="","",I14/H14)</f>
        <v/>
      </c>
      <c r="K14" s="24">
        <f>IF(H14="","",MAX(H14-I14,0))</f>
        <v/>
      </c>
      <c r="L14" s="16" t="n"/>
      <c r="M14" s="16" t="n"/>
    </row>
    <row r="15" ht="22" customHeight="1">
      <c r="B15" s="20">
        <f>IF(C15="","PCH-"&amp;TEXT(COUNTA($C$5:C15),"000"))</f>
        <v/>
      </c>
      <c r="C15" s="13" t="n"/>
      <c r="D15" s="13" t="n"/>
      <c r="E15" s="13" t="n"/>
      <c r="F15" s="38" t="n"/>
      <c r="G15" s="38" t="n"/>
      <c r="H15" s="22" t="n"/>
      <c r="I15" s="22" t="n"/>
      <c r="J15" s="14">
        <f>IF(H15="","",I15/H15)</f>
        <v/>
      </c>
      <c r="K15" s="22">
        <f>IF(H15="","",MAX(H15-I15,0))</f>
        <v/>
      </c>
      <c r="L15" s="13" t="n"/>
      <c r="M15" s="13" t="n"/>
    </row>
    <row r="16" ht="22" customHeight="1">
      <c r="B16" s="19">
        <f>IF(C16="","PCH-"&amp;TEXT(COUNTA($C$5:C16),"000"))</f>
        <v/>
      </c>
      <c r="C16" s="16" t="n"/>
      <c r="D16" s="16" t="n"/>
      <c r="E16" s="16" t="n"/>
      <c r="F16" s="39" t="n"/>
      <c r="G16" s="39" t="n"/>
      <c r="H16" s="24" t="n"/>
      <c r="I16" s="24" t="n"/>
      <c r="J16" s="17">
        <f>IF(H16="","",I16/H16)</f>
        <v/>
      </c>
      <c r="K16" s="24">
        <f>IF(H16="","",MAX(H16-I16,0))</f>
        <v/>
      </c>
      <c r="L16" s="16" t="n"/>
      <c r="M16" s="16" t="n"/>
    </row>
    <row r="17" ht="22" customHeight="1">
      <c r="B17" s="20">
        <f>IF(C17="","PCH-"&amp;TEXT(COUNTA($C$5:C17),"000"))</f>
        <v/>
      </c>
      <c r="C17" s="13" t="n"/>
      <c r="D17" s="13" t="n"/>
      <c r="E17" s="13" t="n"/>
      <c r="F17" s="38" t="n"/>
      <c r="G17" s="38" t="n"/>
      <c r="H17" s="22" t="n"/>
      <c r="I17" s="22" t="n"/>
      <c r="J17" s="14">
        <f>IF(H17="","",I17/H17)</f>
        <v/>
      </c>
      <c r="K17" s="22">
        <f>IF(H17="","",MAX(H17-I17,0))</f>
        <v/>
      </c>
      <c r="L17" s="13" t="n"/>
      <c r="M17" s="13" t="n"/>
    </row>
    <row r="18" ht="22" customHeight="1">
      <c r="B18" s="19">
        <f>IF(C18="","PCH-"&amp;TEXT(COUNTA($C$5:C18),"000"))</f>
        <v/>
      </c>
      <c r="C18" s="16" t="n"/>
      <c r="D18" s="16" t="n"/>
      <c r="E18" s="16" t="n"/>
      <c r="F18" s="39" t="n"/>
      <c r="G18" s="39" t="n"/>
      <c r="H18" s="24" t="n"/>
      <c r="I18" s="24" t="n"/>
      <c r="J18" s="17">
        <f>IF(H18="","",I18/H18)</f>
        <v/>
      </c>
      <c r="K18" s="24">
        <f>IF(H18="","",MAX(H18-I18,0))</f>
        <v/>
      </c>
      <c r="L18" s="16" t="n"/>
      <c r="M18" s="16" t="n"/>
    </row>
    <row r="19" ht="22" customHeight="1">
      <c r="B19" s="20">
        <f>IF(C19="","PCH-"&amp;TEXT(COUNTA($C$5:C19),"000"))</f>
        <v/>
      </c>
      <c r="C19" s="13" t="n"/>
      <c r="D19" s="13" t="n"/>
      <c r="E19" s="13" t="n"/>
      <c r="F19" s="38" t="n"/>
      <c r="G19" s="38" t="n"/>
      <c r="H19" s="22" t="n"/>
      <c r="I19" s="22" t="n"/>
      <c r="J19" s="14">
        <f>IF(H19="","",I19/H19)</f>
        <v/>
      </c>
      <c r="K19" s="22">
        <f>IF(H19="","",MAX(H19-I19,0))</f>
        <v/>
      </c>
      <c r="L19" s="13" t="n"/>
      <c r="M19" s="13" t="n"/>
    </row>
    <row r="20" ht="22" customHeight="1">
      <c r="B20" s="19">
        <f>IF(C20="","PCH-"&amp;TEXT(COUNTA($C$5:C20),"000"))</f>
        <v/>
      </c>
      <c r="C20" s="16" t="n"/>
      <c r="D20" s="16" t="n"/>
      <c r="E20" s="16" t="n"/>
      <c r="F20" s="39" t="n"/>
      <c r="G20" s="39" t="n"/>
      <c r="H20" s="24" t="n"/>
      <c r="I20" s="24" t="n"/>
      <c r="J20" s="17">
        <f>IF(H20="","",I20/H20)</f>
        <v/>
      </c>
      <c r="K20" s="24">
        <f>IF(H20="","",MAX(H20-I20,0))</f>
        <v/>
      </c>
      <c r="L20" s="16" t="n"/>
      <c r="M20" s="16" t="n"/>
    </row>
    <row r="21" ht="22" customHeight="1">
      <c r="B21" s="20">
        <f>IF(C21="","PCH-"&amp;TEXT(COUNTA($C$5:C21),"000"))</f>
        <v/>
      </c>
      <c r="C21" s="13" t="n"/>
      <c r="D21" s="13" t="n"/>
      <c r="E21" s="13" t="n"/>
      <c r="F21" s="38" t="n"/>
      <c r="G21" s="38" t="n"/>
      <c r="H21" s="22" t="n"/>
      <c r="I21" s="22" t="n"/>
      <c r="J21" s="14">
        <f>IF(H21="","",I21/H21)</f>
        <v/>
      </c>
      <c r="K21" s="22">
        <f>IF(H21="","",MAX(H21-I21,0))</f>
        <v/>
      </c>
      <c r="L21" s="13" t="n"/>
      <c r="M21" s="13" t="n"/>
    </row>
    <row r="22" ht="22" customHeight="1">
      <c r="B22" s="19">
        <f>IF(C22="","PCH-"&amp;TEXT(COUNTA($C$5:C22),"000"))</f>
        <v/>
      </c>
      <c r="C22" s="16" t="n"/>
      <c r="D22" s="16" t="n"/>
      <c r="E22" s="16" t="n"/>
      <c r="F22" s="39" t="n"/>
      <c r="G22" s="39" t="n"/>
      <c r="H22" s="24" t="n"/>
      <c r="I22" s="24" t="n"/>
      <c r="J22" s="17">
        <f>IF(H22="","",I22/H22)</f>
        <v/>
      </c>
      <c r="K22" s="24">
        <f>IF(H22="","",MAX(H22-I22,0))</f>
        <v/>
      </c>
      <c r="L22" s="16" t="n"/>
      <c r="M22" s="16" t="n"/>
    </row>
    <row r="23" ht="22" customHeight="1">
      <c r="B23" s="20">
        <f>IF(C23="","PCH-"&amp;TEXT(COUNTA($C$5:C23),"000"))</f>
        <v/>
      </c>
      <c r="C23" s="13" t="n"/>
      <c r="D23" s="13" t="n"/>
      <c r="E23" s="13" t="n"/>
      <c r="F23" s="38" t="n"/>
      <c r="G23" s="38" t="n"/>
      <c r="H23" s="22" t="n"/>
      <c r="I23" s="22" t="n"/>
      <c r="J23" s="14">
        <f>IF(H23="","",I23/H23)</f>
        <v/>
      </c>
      <c r="K23" s="22">
        <f>IF(H23="","",MAX(H23-I23,0))</f>
        <v/>
      </c>
      <c r="L23" s="13" t="n"/>
      <c r="M23" s="13" t="n"/>
    </row>
    <row r="24" ht="22" customHeight="1">
      <c r="B24" s="19">
        <f>IF(C24="","PCH-"&amp;TEXT(COUNTA($C$5:C24),"000"))</f>
        <v/>
      </c>
      <c r="C24" s="16" t="n"/>
      <c r="D24" s="16" t="n"/>
      <c r="E24" s="16" t="n"/>
      <c r="F24" s="39" t="n"/>
      <c r="G24" s="39" t="n"/>
      <c r="H24" s="24" t="n"/>
      <c r="I24" s="24" t="n"/>
      <c r="J24" s="17">
        <f>IF(H24="","",I24/H24)</f>
        <v/>
      </c>
      <c r="K24" s="24">
        <f>IF(H24="","",MAX(H24-I24,0))</f>
        <v/>
      </c>
      <c r="L24" s="16" t="n"/>
      <c r="M24" s="16" t="n"/>
    </row>
    <row r="25" ht="22" customHeight="1">
      <c r="B25" s="20">
        <f>IF(C25="","PCH-"&amp;TEXT(COUNTA($C$5:C25),"000"))</f>
        <v/>
      </c>
      <c r="C25" s="13" t="n"/>
      <c r="D25" s="13" t="n"/>
      <c r="E25" s="13" t="n"/>
      <c r="F25" s="38" t="n"/>
      <c r="G25" s="38" t="n"/>
      <c r="H25" s="22" t="n"/>
      <c r="I25" s="22" t="n"/>
      <c r="J25" s="14">
        <f>IF(H25="","",I25/H25)</f>
        <v/>
      </c>
      <c r="K25" s="22">
        <f>IF(H25="","",MAX(H25-I25,0))</f>
        <v/>
      </c>
      <c r="L25" s="13" t="n"/>
      <c r="M25" s="13" t="n"/>
    </row>
    <row r="26" ht="22" customHeight="1">
      <c r="B26" s="19">
        <f>IF(C26="","PCH-"&amp;TEXT(COUNTA($C$5:C26),"000"))</f>
        <v/>
      </c>
      <c r="C26" s="16" t="n"/>
      <c r="D26" s="16" t="n"/>
      <c r="E26" s="16" t="n"/>
      <c r="F26" s="39" t="n"/>
      <c r="G26" s="39" t="n"/>
      <c r="H26" s="24" t="n"/>
      <c r="I26" s="24" t="n"/>
      <c r="J26" s="17">
        <f>IF(H26="","",I26/H26)</f>
        <v/>
      </c>
      <c r="K26" s="24">
        <f>IF(H26="","",MAX(H26-I26,0))</f>
        <v/>
      </c>
      <c r="L26" s="16" t="n"/>
      <c r="M26" s="16" t="n"/>
    </row>
    <row r="27" ht="22" customHeight="1">
      <c r="B27" s="20">
        <f>IF(C27="","PCH-"&amp;TEXT(COUNTA($C$5:C27),"000"))</f>
        <v/>
      </c>
      <c r="C27" s="13" t="n"/>
      <c r="D27" s="13" t="n"/>
      <c r="E27" s="13" t="n"/>
      <c r="F27" s="38" t="n"/>
      <c r="G27" s="38" t="n"/>
      <c r="H27" s="22" t="n"/>
      <c r="I27" s="22" t="n"/>
      <c r="J27" s="14">
        <f>IF(H27="","",I27/H27)</f>
        <v/>
      </c>
      <c r="K27" s="22">
        <f>IF(H27="","",MAX(H27-I27,0))</f>
        <v/>
      </c>
      <c r="L27" s="13" t="n"/>
      <c r="M27" s="13" t="n"/>
    </row>
    <row r="28" ht="22" customHeight="1">
      <c r="B28" s="19">
        <f>IF(C28="","PCH-"&amp;TEXT(COUNTA($C$5:C28),"000"))</f>
        <v/>
      </c>
      <c r="C28" s="16" t="n"/>
      <c r="D28" s="16" t="n"/>
      <c r="E28" s="16" t="n"/>
      <c r="F28" s="39" t="n"/>
      <c r="G28" s="39" t="n"/>
      <c r="H28" s="24" t="n"/>
      <c r="I28" s="24" t="n"/>
      <c r="J28" s="17">
        <f>IF(H28="","",I28/H28)</f>
        <v/>
      </c>
      <c r="K28" s="24">
        <f>IF(H28="","",MAX(H28-I28,0))</f>
        <v/>
      </c>
      <c r="L28" s="16" t="n"/>
      <c r="M28" s="16" t="n"/>
    </row>
    <row r="29" ht="22" customHeight="1">
      <c r="B29" s="20">
        <f>IF(C29="","PCH-"&amp;TEXT(COUNTA($C$5:C29),"000"))</f>
        <v/>
      </c>
      <c r="C29" s="13" t="n"/>
      <c r="D29" s="13" t="n"/>
      <c r="E29" s="13" t="n"/>
      <c r="F29" s="38" t="n"/>
      <c r="G29" s="38" t="n"/>
      <c r="H29" s="22" t="n"/>
      <c r="I29" s="22" t="n"/>
      <c r="J29" s="14">
        <f>IF(H29="","",I29/H29)</f>
        <v/>
      </c>
      <c r="K29" s="22">
        <f>IF(H29="","",MAX(H29-I29,0))</f>
        <v/>
      </c>
      <c r="L29" s="13" t="n"/>
      <c r="M29" s="13" t="n"/>
    </row>
    <row r="30" ht="22" customHeight="1">
      <c r="B30" s="19">
        <f>IF(C30="","PCH-"&amp;TEXT(COUNTA($C$5:C30),"000"))</f>
        <v/>
      </c>
      <c r="C30" s="16" t="n"/>
      <c r="D30" s="16" t="n"/>
      <c r="E30" s="16" t="n"/>
      <c r="F30" s="39" t="n"/>
      <c r="G30" s="39" t="n"/>
      <c r="H30" s="24" t="n"/>
      <c r="I30" s="24" t="n"/>
      <c r="J30" s="17">
        <f>IF(H30="","",I30/H30)</f>
        <v/>
      </c>
      <c r="K30" s="24">
        <f>IF(H30="","",MAX(H30-I30,0))</f>
        <v/>
      </c>
      <c r="L30" s="16" t="n"/>
      <c r="M30" s="16" t="n"/>
    </row>
    <row r="31" ht="22" customHeight="1">
      <c r="B31" s="20">
        <f>IF(C31="","PCH-"&amp;TEXT(COUNTA($C$5:C31),"000"))</f>
        <v/>
      </c>
      <c r="C31" s="13" t="n"/>
      <c r="D31" s="13" t="n"/>
      <c r="E31" s="13" t="n"/>
      <c r="F31" s="38" t="n"/>
      <c r="G31" s="38" t="n"/>
      <c r="H31" s="22" t="n"/>
      <c r="I31" s="22" t="n"/>
      <c r="J31" s="14">
        <f>IF(H31="","",I31/H31)</f>
        <v/>
      </c>
      <c r="K31" s="22">
        <f>IF(H31="","",MAX(H31-I31,0))</f>
        <v/>
      </c>
      <c r="L31" s="13" t="n"/>
      <c r="M31" s="13" t="n"/>
    </row>
    <row r="32" ht="22" customHeight="1">
      <c r="B32" s="19">
        <f>IF(C32="","PCH-"&amp;TEXT(COUNTA($C$5:C32),"000"))</f>
        <v/>
      </c>
      <c r="C32" s="16" t="n"/>
      <c r="D32" s="16" t="n"/>
      <c r="E32" s="16" t="n"/>
      <c r="F32" s="39" t="n"/>
      <c r="G32" s="39" t="n"/>
      <c r="H32" s="24" t="n"/>
      <c r="I32" s="24" t="n"/>
      <c r="J32" s="17">
        <f>IF(H32="","",I32/H32)</f>
        <v/>
      </c>
      <c r="K32" s="24">
        <f>IF(H32="","",MAX(H32-I32,0))</f>
        <v/>
      </c>
      <c r="L32" s="16" t="n"/>
      <c r="M32" s="16" t="n"/>
    </row>
    <row r="33" ht="22" customHeight="1">
      <c r="B33" s="20">
        <f>IF(C33="","PCH-"&amp;TEXT(COUNTA($C$5:C33),"000"))</f>
        <v/>
      </c>
      <c r="C33" s="13" t="n"/>
      <c r="D33" s="13" t="n"/>
      <c r="E33" s="13" t="n"/>
      <c r="F33" s="38" t="n"/>
      <c r="G33" s="38" t="n"/>
      <c r="H33" s="22" t="n"/>
      <c r="I33" s="22" t="n"/>
      <c r="J33" s="14">
        <f>IF(H33="","",I33/H33)</f>
        <v/>
      </c>
      <c r="K33" s="22">
        <f>IF(H33="","",MAX(H33-I33,0))</f>
        <v/>
      </c>
      <c r="L33" s="13" t="n"/>
      <c r="M33" s="13" t="n"/>
    </row>
    <row r="34" ht="22" customHeight="1">
      <c r="B34" s="19">
        <f>IF(C34="","PCH-"&amp;TEXT(COUNTA($C$5:C34),"000"))</f>
        <v/>
      </c>
      <c r="C34" s="16" t="n"/>
      <c r="D34" s="16" t="n"/>
      <c r="E34" s="16" t="n"/>
      <c r="F34" s="39" t="n"/>
      <c r="G34" s="39" t="n"/>
      <c r="H34" s="24" t="n"/>
      <c r="I34" s="24" t="n"/>
      <c r="J34" s="17">
        <f>IF(H34="","",I34/H34)</f>
        <v/>
      </c>
      <c r="K34" s="24">
        <f>IF(H34="","",MAX(H34-I34,0))</f>
        <v/>
      </c>
      <c r="L34" s="16" t="n"/>
      <c r="M34" s="16" t="n"/>
    </row>
    <row r="35" ht="22" customHeight="1">
      <c r="B35" s="20">
        <f>IF(C35="","PCH-"&amp;TEXT(COUNTA($C$5:C35),"000"))</f>
        <v/>
      </c>
      <c r="C35" s="13" t="n"/>
      <c r="D35" s="13" t="n"/>
      <c r="E35" s="13" t="n"/>
      <c r="F35" s="38" t="n"/>
      <c r="G35" s="38" t="n"/>
      <c r="H35" s="22" t="n"/>
      <c r="I35" s="22" t="n"/>
      <c r="J35" s="14">
        <f>IF(H35="","",I35/H35)</f>
        <v/>
      </c>
      <c r="K35" s="22">
        <f>IF(H35="","",MAX(H35-I35,0))</f>
        <v/>
      </c>
      <c r="L35" s="13" t="n"/>
      <c r="M35" s="13" t="n"/>
    </row>
    <row r="36" ht="22" customHeight="1">
      <c r="B36" s="19">
        <f>IF(C36="","PCH-"&amp;TEXT(COUNTA($C$5:C36),"000"))</f>
        <v/>
      </c>
      <c r="C36" s="16" t="n"/>
      <c r="D36" s="16" t="n"/>
      <c r="E36" s="16" t="n"/>
      <c r="F36" s="39" t="n"/>
      <c r="G36" s="39" t="n"/>
      <c r="H36" s="24" t="n"/>
      <c r="I36" s="24" t="n"/>
      <c r="J36" s="17">
        <f>IF(H36="","",I36/H36)</f>
        <v/>
      </c>
      <c r="K36" s="24">
        <f>IF(H36="","",MAX(H36-I36,0))</f>
        <v/>
      </c>
      <c r="L36" s="16" t="n"/>
      <c r="M36" s="16" t="n"/>
    </row>
    <row r="37" ht="22" customHeight="1">
      <c r="B37" s="20">
        <f>IF(C37="","PCH-"&amp;TEXT(COUNTA($C$5:C37),"000"))</f>
        <v/>
      </c>
      <c r="C37" s="13" t="n"/>
      <c r="D37" s="13" t="n"/>
      <c r="E37" s="13" t="n"/>
      <c r="F37" s="38" t="n"/>
      <c r="G37" s="38" t="n"/>
      <c r="H37" s="22" t="n"/>
      <c r="I37" s="22" t="n"/>
      <c r="J37" s="14">
        <f>IF(H37="","",I37/H37)</f>
        <v/>
      </c>
      <c r="K37" s="22">
        <f>IF(H37="","",MAX(H37-I37,0))</f>
        <v/>
      </c>
      <c r="L37" s="13" t="n"/>
      <c r="M37" s="13" t="n"/>
    </row>
    <row r="38" ht="22" customHeight="1">
      <c r="B38" s="19">
        <f>IF(C38="","PCH-"&amp;TEXT(COUNTA($C$5:C38),"000"))</f>
        <v/>
      </c>
      <c r="C38" s="16" t="n"/>
      <c r="D38" s="16" t="n"/>
      <c r="E38" s="16" t="n"/>
      <c r="F38" s="39" t="n"/>
      <c r="G38" s="39" t="n"/>
      <c r="H38" s="24" t="n"/>
      <c r="I38" s="24" t="n"/>
      <c r="J38" s="17">
        <f>IF(H38="","",I38/H38)</f>
        <v/>
      </c>
      <c r="K38" s="24">
        <f>IF(H38="","",MAX(H38-I38,0))</f>
        <v/>
      </c>
      <c r="L38" s="16" t="n"/>
      <c r="M38" s="16" t="n"/>
    </row>
    <row r="39" ht="22" customHeight="1">
      <c r="B39" s="20">
        <f>IF(C39="","PCH-"&amp;TEXT(COUNTA($C$5:C39),"000"))</f>
        <v/>
      </c>
      <c r="C39" s="13" t="n"/>
      <c r="D39" s="13" t="n"/>
      <c r="E39" s="13" t="n"/>
      <c r="F39" s="38" t="n"/>
      <c r="G39" s="38" t="n"/>
      <c r="H39" s="22" t="n"/>
      <c r="I39" s="22" t="n"/>
      <c r="J39" s="14">
        <f>IF(H39="","",I39/H39)</f>
        <v/>
      </c>
      <c r="K39" s="22">
        <f>IF(H39="","",MAX(H39-I39,0))</f>
        <v/>
      </c>
      <c r="L39" s="13" t="n"/>
      <c r="M39" s="13" t="n"/>
    </row>
    <row r="40" ht="22" customHeight="1">
      <c r="B40" s="19">
        <f>IF(C40="","PCH-"&amp;TEXT(COUNTA($C$5:C40),"000"))</f>
        <v/>
      </c>
      <c r="C40" s="16" t="n"/>
      <c r="D40" s="16" t="n"/>
      <c r="E40" s="16" t="n"/>
      <c r="F40" s="39" t="n"/>
      <c r="G40" s="39" t="n"/>
      <c r="H40" s="24" t="n"/>
      <c r="I40" s="24" t="n"/>
      <c r="J40" s="17">
        <f>IF(H40="","",I40/H40)</f>
        <v/>
      </c>
      <c r="K40" s="24">
        <f>IF(H40="","",MAX(H40-I40,0))</f>
        <v/>
      </c>
      <c r="L40" s="16" t="n"/>
      <c r="M40" s="16" t="n"/>
    </row>
    <row r="41" ht="22" customHeight="1">
      <c r="B41" s="20">
        <f>IF(C41="","PCH-"&amp;TEXT(COUNTA($C$5:C41),"000"))</f>
        <v/>
      </c>
      <c r="C41" s="13" t="n"/>
      <c r="D41" s="13" t="n"/>
      <c r="E41" s="13" t="n"/>
      <c r="F41" s="38" t="n"/>
      <c r="G41" s="38" t="n"/>
      <c r="H41" s="22" t="n"/>
      <c r="I41" s="22" t="n"/>
      <c r="J41" s="14">
        <f>IF(H41="","",I41/H41)</f>
        <v/>
      </c>
      <c r="K41" s="22">
        <f>IF(H41="","",MAX(H41-I41,0))</f>
        <v/>
      </c>
      <c r="L41" s="13" t="n"/>
      <c r="M41" s="13" t="n"/>
    </row>
    <row r="42" ht="22" customHeight="1">
      <c r="B42" s="19">
        <f>IF(C42="","PCH-"&amp;TEXT(COUNTA($C$5:C42),"000"))</f>
        <v/>
      </c>
      <c r="C42" s="16" t="n"/>
      <c r="D42" s="16" t="n"/>
      <c r="E42" s="16" t="n"/>
      <c r="F42" s="39" t="n"/>
      <c r="G42" s="39" t="n"/>
      <c r="H42" s="24" t="n"/>
      <c r="I42" s="24" t="n"/>
      <c r="J42" s="17">
        <f>IF(H42="","",I42/H42)</f>
        <v/>
      </c>
      <c r="K42" s="24">
        <f>IF(H42="","",MAX(H42-I42,0))</f>
        <v/>
      </c>
      <c r="L42" s="16" t="n"/>
      <c r="M42" s="16" t="n"/>
    </row>
    <row r="43" ht="22" customHeight="1">
      <c r="B43" s="20">
        <f>IF(C43="","PCH-"&amp;TEXT(COUNTA($C$5:C43),"000"))</f>
        <v/>
      </c>
      <c r="C43" s="13" t="n"/>
      <c r="D43" s="13" t="n"/>
      <c r="E43" s="13" t="n"/>
      <c r="F43" s="38" t="n"/>
      <c r="G43" s="38" t="n"/>
      <c r="H43" s="22" t="n"/>
      <c r="I43" s="22" t="n"/>
      <c r="J43" s="14">
        <f>IF(H43="","",I43/H43)</f>
        <v/>
      </c>
      <c r="K43" s="22">
        <f>IF(H43="","",MAX(H43-I43,0))</f>
        <v/>
      </c>
      <c r="L43" s="13" t="n"/>
      <c r="M43" s="13" t="n"/>
    </row>
    <row r="44" ht="22" customHeight="1">
      <c r="B44" s="19">
        <f>IF(C44="","PCH-"&amp;TEXT(COUNTA($C$5:C44),"000"))</f>
        <v/>
      </c>
      <c r="C44" s="16" t="n"/>
      <c r="D44" s="16" t="n"/>
      <c r="E44" s="16" t="n"/>
      <c r="F44" s="39" t="n"/>
      <c r="G44" s="39" t="n"/>
      <c r="H44" s="24" t="n"/>
      <c r="I44" s="24" t="n"/>
      <c r="J44" s="17">
        <f>IF(H44="","",I44/H44)</f>
        <v/>
      </c>
      <c r="K44" s="24">
        <f>IF(H44="","",MAX(H44-I44,0))</f>
        <v/>
      </c>
      <c r="L44" s="16" t="n"/>
      <c r="M44" s="16" t="n"/>
    </row>
    <row r="45" ht="22" customHeight="1">
      <c r="B45" s="20">
        <f>IF(C45="","PCH-"&amp;TEXT(COUNTA($C$5:C45),"000"))</f>
        <v/>
      </c>
      <c r="C45" s="13" t="n"/>
      <c r="D45" s="13" t="n"/>
      <c r="E45" s="13" t="n"/>
      <c r="F45" s="38" t="n"/>
      <c r="G45" s="38" t="n"/>
      <c r="H45" s="22" t="n"/>
      <c r="I45" s="22" t="n"/>
      <c r="J45" s="14">
        <f>IF(H45="","",I45/H45)</f>
        <v/>
      </c>
      <c r="K45" s="22">
        <f>IF(H45="","",MAX(H45-I45,0))</f>
        <v/>
      </c>
      <c r="L45" s="13" t="n"/>
      <c r="M45" s="13" t="n"/>
    </row>
    <row r="46" ht="22" customHeight="1">
      <c r="B46" s="19">
        <f>IF(C46="","PCH-"&amp;TEXT(COUNTA($C$5:C46),"000"))</f>
        <v/>
      </c>
      <c r="C46" s="16" t="n"/>
      <c r="D46" s="16" t="n"/>
      <c r="E46" s="16" t="n"/>
      <c r="F46" s="39" t="n"/>
      <c r="G46" s="39" t="n"/>
      <c r="H46" s="24" t="n"/>
      <c r="I46" s="24" t="n"/>
      <c r="J46" s="17">
        <f>IF(H46="","",I46/H46)</f>
        <v/>
      </c>
      <c r="K46" s="24">
        <f>IF(H46="","",MAX(H46-I46,0))</f>
        <v/>
      </c>
      <c r="L46" s="16" t="n"/>
      <c r="M46" s="16" t="n"/>
    </row>
    <row r="47" ht="22" customHeight="1">
      <c r="B47" s="20">
        <f>IF(C47="","PCH-"&amp;TEXT(COUNTA($C$5:C47),"000"))</f>
        <v/>
      </c>
      <c r="C47" s="13" t="n"/>
      <c r="D47" s="13" t="n"/>
      <c r="E47" s="13" t="n"/>
      <c r="F47" s="38" t="n"/>
      <c r="G47" s="38" t="n"/>
      <c r="H47" s="22" t="n"/>
      <c r="I47" s="22" t="n"/>
      <c r="J47" s="14">
        <f>IF(H47="","",I47/H47)</f>
        <v/>
      </c>
      <c r="K47" s="22">
        <f>IF(H47="","",MAX(H47-I47,0))</f>
        <v/>
      </c>
      <c r="L47" s="13" t="n"/>
      <c r="M47" s="13" t="n"/>
    </row>
    <row r="48" ht="22" customHeight="1">
      <c r="B48" s="19">
        <f>IF(C48="","PCH-"&amp;TEXT(COUNTA($C$5:C48),"000"))</f>
        <v/>
      </c>
      <c r="C48" s="16" t="n"/>
      <c r="D48" s="16" t="n"/>
      <c r="E48" s="16" t="n"/>
      <c r="F48" s="39" t="n"/>
      <c r="G48" s="39" t="n"/>
      <c r="H48" s="24" t="n"/>
      <c r="I48" s="24" t="n"/>
      <c r="J48" s="17">
        <f>IF(H48="","",I48/H48)</f>
        <v/>
      </c>
      <c r="K48" s="24">
        <f>IF(H48="","",MAX(H48-I48,0))</f>
        <v/>
      </c>
      <c r="L48" s="16" t="n"/>
      <c r="M48" s="16" t="n"/>
    </row>
    <row r="49" ht="22" customHeight="1">
      <c r="B49" s="20">
        <f>IF(C49="","PCH-"&amp;TEXT(COUNTA($C$5:C49),"000"))</f>
        <v/>
      </c>
      <c r="C49" s="13" t="n"/>
      <c r="D49" s="13" t="n"/>
      <c r="E49" s="13" t="n"/>
      <c r="F49" s="38" t="n"/>
      <c r="G49" s="38" t="n"/>
      <c r="H49" s="22" t="n"/>
      <c r="I49" s="22" t="n"/>
      <c r="J49" s="14">
        <f>IF(H49="","",I49/H49)</f>
        <v/>
      </c>
      <c r="K49" s="22">
        <f>IF(H49="","",MAX(H49-I49,0))</f>
        <v/>
      </c>
      <c r="L49" s="13" t="n"/>
      <c r="M49" s="13" t="n"/>
    </row>
    <row r="50" ht="22" customHeight="1">
      <c r="B50" s="19">
        <f>IF(C50="","PCH-"&amp;TEXT(COUNTA($C$5:C50),"000"))</f>
        <v/>
      </c>
      <c r="C50" s="16" t="n"/>
      <c r="D50" s="16" t="n"/>
      <c r="E50" s="16" t="n"/>
      <c r="F50" s="39" t="n"/>
      <c r="G50" s="39" t="n"/>
      <c r="H50" s="24" t="n"/>
      <c r="I50" s="24" t="n"/>
      <c r="J50" s="17">
        <f>IF(H50="","",I50/H50)</f>
        <v/>
      </c>
      <c r="K50" s="24">
        <f>IF(H50="","",MAX(H50-I50,0))</f>
        <v/>
      </c>
      <c r="L50" s="16" t="n"/>
      <c r="M50" s="16" t="n"/>
    </row>
    <row r="51" ht="22" customHeight="1">
      <c r="B51" s="20">
        <f>IF(C51="","PCH-"&amp;TEXT(COUNTA($C$5:C51),"000"))</f>
        <v/>
      </c>
      <c r="C51" s="13" t="n"/>
      <c r="D51" s="13" t="n"/>
      <c r="E51" s="13" t="n"/>
      <c r="F51" s="38" t="n"/>
      <c r="G51" s="38" t="n"/>
      <c r="H51" s="22" t="n"/>
      <c r="I51" s="22" t="n"/>
      <c r="J51" s="14">
        <f>IF(H51="","",I51/H51)</f>
        <v/>
      </c>
      <c r="K51" s="22">
        <f>IF(H51="","",MAX(H51-I51,0))</f>
        <v/>
      </c>
      <c r="L51" s="13" t="n"/>
      <c r="M51" s="13" t="n"/>
    </row>
    <row r="52" ht="22" customHeight="1">
      <c r="B52" s="19">
        <f>IF(C52="","PCH-"&amp;TEXT(COUNTA($C$5:C52),"000"))</f>
        <v/>
      </c>
      <c r="C52" s="16" t="n"/>
      <c r="D52" s="16" t="n"/>
      <c r="E52" s="16" t="n"/>
      <c r="F52" s="39" t="n"/>
      <c r="G52" s="39" t="n"/>
      <c r="H52" s="24" t="n"/>
      <c r="I52" s="24" t="n"/>
      <c r="J52" s="17">
        <f>IF(H52="","",I52/H52)</f>
        <v/>
      </c>
      <c r="K52" s="24">
        <f>IF(H52="","",MAX(H52-I52,0))</f>
        <v/>
      </c>
      <c r="L52" s="16" t="n"/>
      <c r="M52" s="16" t="n"/>
    </row>
    <row r="53" ht="22" customHeight="1">
      <c r="B53" s="20">
        <f>IF(C53="","PCH-"&amp;TEXT(COUNTA($C$5:C53),"000"))</f>
        <v/>
      </c>
      <c r="C53" s="13" t="n"/>
      <c r="D53" s="13" t="n"/>
      <c r="E53" s="13" t="n"/>
      <c r="F53" s="38" t="n"/>
      <c r="G53" s="38" t="n"/>
      <c r="H53" s="22" t="n"/>
      <c r="I53" s="22" t="n"/>
      <c r="J53" s="14">
        <f>IF(H53="","",I53/H53)</f>
        <v/>
      </c>
      <c r="K53" s="22">
        <f>IF(H53="","",MAX(H53-I53,0))</f>
        <v/>
      </c>
      <c r="L53" s="13" t="n"/>
      <c r="M53" s="13" t="n"/>
    </row>
    <row r="54" ht="22" customHeight="1">
      <c r="B54" s="19">
        <f>IF(C54="","PCH-"&amp;TEXT(COUNTA($C$5:C54),"000"))</f>
        <v/>
      </c>
      <c r="C54" s="16" t="n"/>
      <c r="D54" s="16" t="n"/>
      <c r="E54" s="16" t="n"/>
      <c r="F54" s="39" t="n"/>
      <c r="G54" s="39" t="n"/>
      <c r="H54" s="24" t="n"/>
      <c r="I54" s="24" t="n"/>
      <c r="J54" s="17">
        <f>IF(H54="","",I54/H54)</f>
        <v/>
      </c>
      <c r="K54" s="24">
        <f>IF(H54="","",MAX(H54-I54,0))</f>
        <v/>
      </c>
      <c r="L54" s="16" t="n"/>
      <c r="M54" s="16" t="n"/>
    </row>
    <row r="55" ht="22" customHeight="1">
      <c r="B55" s="20">
        <f>IF(C55="","PCH-"&amp;TEXT(COUNTA($C$5:C55),"000"))</f>
        <v/>
      </c>
      <c r="C55" s="13" t="n"/>
      <c r="D55" s="13" t="n"/>
      <c r="E55" s="13" t="n"/>
      <c r="F55" s="38" t="n"/>
      <c r="G55" s="38" t="n"/>
      <c r="H55" s="22" t="n"/>
      <c r="I55" s="22" t="n"/>
      <c r="J55" s="14">
        <f>IF(H55="","",I55/H55)</f>
        <v/>
      </c>
      <c r="K55" s="22">
        <f>IF(H55="","",MAX(H55-I55,0))</f>
        <v/>
      </c>
      <c r="L55" s="13" t="n"/>
      <c r="M55" s="13" t="n"/>
    </row>
    <row r="56" ht="22" customHeight="1">
      <c r="B56" s="19">
        <f>IF(C56="","PCH-"&amp;TEXT(COUNTA($C$5:C56),"000"))</f>
        <v/>
      </c>
      <c r="C56" s="16" t="n"/>
      <c r="D56" s="16" t="n"/>
      <c r="E56" s="16" t="n"/>
      <c r="F56" s="39" t="n"/>
      <c r="G56" s="39" t="n"/>
      <c r="H56" s="24" t="n"/>
      <c r="I56" s="24" t="n"/>
      <c r="J56" s="17">
        <f>IF(H56="","",I56/H56)</f>
        <v/>
      </c>
      <c r="K56" s="24">
        <f>IF(H56="","",MAX(H56-I56,0))</f>
        <v/>
      </c>
      <c r="L56" s="16" t="n"/>
      <c r="M56" s="16" t="n"/>
    </row>
    <row r="57" ht="22" customHeight="1">
      <c r="B57" s="20">
        <f>IF(C57="","PCH-"&amp;TEXT(COUNTA($C$5:C57),"000"))</f>
        <v/>
      </c>
      <c r="C57" s="13" t="n"/>
      <c r="D57" s="13" t="n"/>
      <c r="E57" s="13" t="n"/>
      <c r="F57" s="38" t="n"/>
      <c r="G57" s="38" t="n"/>
      <c r="H57" s="22" t="n"/>
      <c r="I57" s="22" t="n"/>
      <c r="J57" s="14">
        <f>IF(H57="","",I57/H57)</f>
        <v/>
      </c>
      <c r="K57" s="22">
        <f>IF(H57="","",MAX(H57-I57,0))</f>
        <v/>
      </c>
      <c r="L57" s="13" t="n"/>
      <c r="M57" s="13" t="n"/>
    </row>
    <row r="58" ht="22" customHeight="1">
      <c r="B58" s="19">
        <f>IF(C58="","PCH-"&amp;TEXT(COUNTA($C$5:C58),"000"))</f>
        <v/>
      </c>
      <c r="C58" s="16" t="n"/>
      <c r="D58" s="16" t="n"/>
      <c r="E58" s="16" t="n"/>
      <c r="F58" s="39" t="n"/>
      <c r="G58" s="39" t="n"/>
      <c r="H58" s="24" t="n"/>
      <c r="I58" s="24" t="n"/>
      <c r="J58" s="17">
        <f>IF(H58="","",I58/H58)</f>
        <v/>
      </c>
      <c r="K58" s="24">
        <f>IF(H58="","",MAX(H58-I58,0))</f>
        <v/>
      </c>
      <c r="L58" s="16" t="n"/>
      <c r="M58" s="16" t="n"/>
    </row>
    <row r="59" ht="22" customHeight="1">
      <c r="B59" s="20">
        <f>IF(C59="","PCH-"&amp;TEXT(COUNTA($C$5:C59),"000"))</f>
        <v/>
      </c>
      <c r="C59" s="13" t="n"/>
      <c r="D59" s="13" t="n"/>
      <c r="E59" s="13" t="n"/>
      <c r="F59" s="38" t="n"/>
      <c r="G59" s="38" t="n"/>
      <c r="H59" s="22" t="n"/>
      <c r="I59" s="22" t="n"/>
      <c r="J59" s="14">
        <f>IF(H59="","",I59/H59)</f>
        <v/>
      </c>
      <c r="K59" s="22">
        <f>IF(H59="","",MAX(H59-I59,0))</f>
        <v/>
      </c>
      <c r="L59" s="13" t="n"/>
      <c r="M59" s="13" t="n"/>
    </row>
    <row r="60" ht="22" customHeight="1">
      <c r="B60" s="19">
        <f>IF(C60="","PCH-"&amp;TEXT(COUNTA($C$5:C60),"000"))</f>
        <v/>
      </c>
      <c r="C60" s="16" t="n"/>
      <c r="D60" s="16" t="n"/>
      <c r="E60" s="16" t="n"/>
      <c r="F60" s="39" t="n"/>
      <c r="G60" s="39" t="n"/>
      <c r="H60" s="24" t="n"/>
      <c r="I60" s="24" t="n"/>
      <c r="J60" s="17">
        <f>IF(H60="","",I60/H60)</f>
        <v/>
      </c>
      <c r="K60" s="24">
        <f>IF(H60="","",MAX(H60-I60,0))</f>
        <v/>
      </c>
      <c r="L60" s="16" t="n"/>
      <c r="M60" s="16" t="n"/>
    </row>
    <row r="61" ht="22" customHeight="1">
      <c r="B61" s="20">
        <f>IF(C61="","PCH-"&amp;TEXT(COUNTA($C$5:C61),"000"))</f>
        <v/>
      </c>
      <c r="C61" s="13" t="n"/>
      <c r="D61" s="13" t="n"/>
      <c r="E61" s="13" t="n"/>
      <c r="F61" s="38" t="n"/>
      <c r="G61" s="38" t="n"/>
      <c r="H61" s="22" t="n"/>
      <c r="I61" s="22" t="n"/>
      <c r="J61" s="14">
        <f>IF(H61="","",I61/H61)</f>
        <v/>
      </c>
      <c r="K61" s="22">
        <f>IF(H61="","",MAX(H61-I61,0))</f>
        <v/>
      </c>
      <c r="L61" s="13" t="n"/>
      <c r="M61" s="13" t="n"/>
    </row>
    <row r="62" ht="22" customHeight="1">
      <c r="B62" s="19">
        <f>IF(C62="","PCH-"&amp;TEXT(COUNTA($C$5:C62),"000"))</f>
        <v/>
      </c>
      <c r="C62" s="16" t="n"/>
      <c r="D62" s="16" t="n"/>
      <c r="E62" s="16" t="n"/>
      <c r="F62" s="39" t="n"/>
      <c r="G62" s="39" t="n"/>
      <c r="H62" s="24" t="n"/>
      <c r="I62" s="24" t="n"/>
      <c r="J62" s="17">
        <f>IF(H62="","",I62/H62)</f>
        <v/>
      </c>
      <c r="K62" s="24">
        <f>IF(H62="","",MAX(H62-I62,0))</f>
        <v/>
      </c>
      <c r="L62" s="16" t="n"/>
      <c r="M62" s="16" t="n"/>
    </row>
    <row r="63" ht="22" customHeight="1">
      <c r="B63" s="20">
        <f>IF(C63="","PCH-"&amp;TEXT(COUNTA($C$5:C63),"000"))</f>
        <v/>
      </c>
      <c r="C63" s="13" t="n"/>
      <c r="D63" s="13" t="n"/>
      <c r="E63" s="13" t="n"/>
      <c r="F63" s="38" t="n"/>
      <c r="G63" s="38" t="n"/>
      <c r="H63" s="22" t="n"/>
      <c r="I63" s="22" t="n"/>
      <c r="J63" s="14">
        <f>IF(H63="","",I63/H63)</f>
        <v/>
      </c>
      <c r="K63" s="22">
        <f>IF(H63="","",MAX(H63-I63,0))</f>
        <v/>
      </c>
      <c r="L63" s="13" t="n"/>
      <c r="M63" s="13" t="n"/>
    </row>
    <row r="64" ht="22" customHeight="1">
      <c r="B64" s="19">
        <f>IF(C64="","PCH-"&amp;TEXT(COUNTA($C$5:C64),"000"))</f>
        <v/>
      </c>
      <c r="C64" s="16" t="n"/>
      <c r="D64" s="16" t="n"/>
      <c r="E64" s="16" t="n"/>
      <c r="F64" s="39" t="n"/>
      <c r="G64" s="39" t="n"/>
      <c r="H64" s="24" t="n"/>
      <c r="I64" s="24" t="n"/>
      <c r="J64" s="17">
        <f>IF(H64="","",I64/H64)</f>
        <v/>
      </c>
      <c r="K64" s="24">
        <f>IF(H64="","",MAX(H64-I64,0))</f>
        <v/>
      </c>
      <c r="L64" s="16" t="n"/>
      <c r="M64" s="16" t="n"/>
    </row>
    <row r="65" ht="22" customHeight="1">
      <c r="B65" s="20">
        <f>IF(C65="","PCH-"&amp;TEXT(COUNTA($C$5:C65),"000"))</f>
        <v/>
      </c>
      <c r="C65" s="13" t="n"/>
      <c r="D65" s="13" t="n"/>
      <c r="E65" s="13" t="n"/>
      <c r="F65" s="38" t="n"/>
      <c r="G65" s="38" t="n"/>
      <c r="H65" s="22" t="n"/>
      <c r="I65" s="22" t="n"/>
      <c r="J65" s="14">
        <f>IF(H65="","",I65/H65)</f>
        <v/>
      </c>
      <c r="K65" s="22">
        <f>IF(H65="","",MAX(H65-I65,0))</f>
        <v/>
      </c>
      <c r="L65" s="13" t="n"/>
      <c r="M65" s="13" t="n"/>
    </row>
    <row r="66" ht="22" customHeight="1">
      <c r="B66" s="19">
        <f>IF(C66="","PCH-"&amp;TEXT(COUNTA($C$5:C66),"000"))</f>
        <v/>
      </c>
      <c r="C66" s="16" t="n"/>
      <c r="D66" s="16" t="n"/>
      <c r="E66" s="16" t="n"/>
      <c r="F66" s="39" t="n"/>
      <c r="G66" s="39" t="n"/>
      <c r="H66" s="24" t="n"/>
      <c r="I66" s="24" t="n"/>
      <c r="J66" s="17">
        <f>IF(H66="","",I66/H66)</f>
        <v/>
      </c>
      <c r="K66" s="24">
        <f>IF(H66="","",MAX(H66-I66,0))</f>
        <v/>
      </c>
      <c r="L66" s="16" t="n"/>
      <c r="M66" s="16" t="n"/>
    </row>
    <row r="67" ht="22" customHeight="1">
      <c r="B67" s="20">
        <f>IF(C67="","PCH-"&amp;TEXT(COUNTA($C$5:C67),"000"))</f>
        <v/>
      </c>
      <c r="C67" s="13" t="n"/>
      <c r="D67" s="13" t="n"/>
      <c r="E67" s="13" t="n"/>
      <c r="F67" s="38" t="n"/>
      <c r="G67" s="38" t="n"/>
      <c r="H67" s="22" t="n"/>
      <c r="I67" s="22" t="n"/>
      <c r="J67" s="14">
        <f>IF(H67="","",I67/H67)</f>
        <v/>
      </c>
      <c r="K67" s="22">
        <f>IF(H67="","",MAX(H67-I67,0))</f>
        <v/>
      </c>
      <c r="L67" s="13" t="n"/>
      <c r="M67" s="13" t="n"/>
    </row>
    <row r="68" ht="22" customHeight="1">
      <c r="B68" s="19">
        <f>IF(C68="","PCH-"&amp;TEXT(COUNTA($C$5:C68),"000"))</f>
        <v/>
      </c>
      <c r="C68" s="16" t="n"/>
      <c r="D68" s="16" t="n"/>
      <c r="E68" s="16" t="n"/>
      <c r="F68" s="39" t="n"/>
      <c r="G68" s="39" t="n"/>
      <c r="H68" s="24" t="n"/>
      <c r="I68" s="24" t="n"/>
      <c r="J68" s="17">
        <f>IF(H68="","",I68/H68)</f>
        <v/>
      </c>
      <c r="K68" s="24">
        <f>IF(H68="","",MAX(H68-I68,0))</f>
        <v/>
      </c>
      <c r="L68" s="16" t="n"/>
      <c r="M68" s="16" t="n"/>
    </row>
    <row r="69" ht="22" customHeight="1">
      <c r="B69" s="20">
        <f>IF(C69="","PCH-"&amp;TEXT(COUNTA($C$5:C69),"000"))</f>
        <v/>
      </c>
      <c r="C69" s="13" t="n"/>
      <c r="D69" s="13" t="n"/>
      <c r="E69" s="13" t="n"/>
      <c r="F69" s="38" t="n"/>
      <c r="G69" s="38" t="n"/>
      <c r="H69" s="22" t="n"/>
      <c r="I69" s="22" t="n"/>
      <c r="J69" s="14">
        <f>IF(H69="","",I69/H69)</f>
        <v/>
      </c>
      <c r="K69" s="22">
        <f>IF(H69="","",MAX(H69-I69,0))</f>
        <v/>
      </c>
      <c r="L69" s="13" t="n"/>
      <c r="M69" s="13" t="n"/>
    </row>
    <row r="70" ht="22" customHeight="1">
      <c r="B70" s="19">
        <f>IF(C70="","PCH-"&amp;TEXT(COUNTA($C$5:C70),"000"))</f>
        <v/>
      </c>
      <c r="C70" s="16" t="n"/>
      <c r="D70" s="16" t="n"/>
      <c r="E70" s="16" t="n"/>
      <c r="F70" s="39" t="n"/>
      <c r="G70" s="39" t="n"/>
      <c r="H70" s="24" t="n"/>
      <c r="I70" s="24" t="n"/>
      <c r="J70" s="17">
        <f>IF(H70="","",I70/H70)</f>
        <v/>
      </c>
      <c r="K70" s="24">
        <f>IF(H70="","",MAX(H70-I70,0))</f>
        <v/>
      </c>
      <c r="L70" s="16" t="n"/>
      <c r="M70" s="16" t="n"/>
    </row>
    <row r="71" ht="22" customHeight="1">
      <c r="B71" s="20">
        <f>IF(C71="","PCH-"&amp;TEXT(COUNTA($C$5:C71),"000"))</f>
        <v/>
      </c>
      <c r="C71" s="13" t="n"/>
      <c r="D71" s="13" t="n"/>
      <c r="E71" s="13" t="n"/>
      <c r="F71" s="38" t="n"/>
      <c r="G71" s="38" t="n"/>
      <c r="H71" s="22" t="n"/>
      <c r="I71" s="22" t="n"/>
      <c r="J71" s="14">
        <f>IF(H71="","",I71/H71)</f>
        <v/>
      </c>
      <c r="K71" s="22">
        <f>IF(H71="","",MAX(H71-I71,0))</f>
        <v/>
      </c>
      <c r="L71" s="13" t="n"/>
      <c r="M71" s="13" t="n"/>
    </row>
    <row r="72" ht="22" customHeight="1">
      <c r="B72" s="19">
        <f>IF(C72="","PCH-"&amp;TEXT(COUNTA($C$5:C72),"000"))</f>
        <v/>
      </c>
      <c r="C72" s="16" t="n"/>
      <c r="D72" s="16" t="n"/>
      <c r="E72" s="16" t="n"/>
      <c r="F72" s="39" t="n"/>
      <c r="G72" s="39" t="n"/>
      <c r="H72" s="24" t="n"/>
      <c r="I72" s="24" t="n"/>
      <c r="J72" s="17">
        <f>IF(H72="","",I72/H72)</f>
        <v/>
      </c>
      <c r="K72" s="24">
        <f>IF(H72="","",MAX(H72-I72,0))</f>
        <v/>
      </c>
      <c r="L72" s="16" t="n"/>
      <c r="M72" s="16" t="n"/>
    </row>
    <row r="73" ht="22" customHeight="1">
      <c r="B73" s="20">
        <f>IF(C73="","PCH-"&amp;TEXT(COUNTA($C$5:C73),"000"))</f>
        <v/>
      </c>
      <c r="C73" s="13" t="n"/>
      <c r="D73" s="13" t="n"/>
      <c r="E73" s="13" t="n"/>
      <c r="F73" s="38" t="n"/>
      <c r="G73" s="38" t="n"/>
      <c r="H73" s="22" t="n"/>
      <c r="I73" s="22" t="n"/>
      <c r="J73" s="14">
        <f>IF(H73="","",I73/H73)</f>
        <v/>
      </c>
      <c r="K73" s="22">
        <f>IF(H73="","",MAX(H73-I73,0))</f>
        <v/>
      </c>
      <c r="L73" s="13" t="n"/>
      <c r="M73" s="13" t="n"/>
    </row>
    <row r="74" ht="22" customHeight="1">
      <c r="B74" s="19">
        <f>IF(C74="","PCH-"&amp;TEXT(COUNTA($C$5:C74),"000"))</f>
        <v/>
      </c>
      <c r="C74" s="16" t="n"/>
      <c r="D74" s="16" t="n"/>
      <c r="E74" s="16" t="n"/>
      <c r="F74" s="39" t="n"/>
      <c r="G74" s="39" t="n"/>
      <c r="H74" s="24" t="n"/>
      <c r="I74" s="24" t="n"/>
      <c r="J74" s="17">
        <f>IF(H74="","",I74/H74)</f>
        <v/>
      </c>
      <c r="K74" s="24">
        <f>IF(H74="","",MAX(H74-I74,0))</f>
        <v/>
      </c>
      <c r="L74" s="16" t="n"/>
      <c r="M74" s="16" t="n"/>
    </row>
    <row r="75" ht="22" customHeight="1">
      <c r="B75" s="20">
        <f>IF(C75="","PCH-"&amp;TEXT(COUNTA($C$5:C75),"000"))</f>
        <v/>
      </c>
      <c r="C75" s="13" t="n"/>
      <c r="D75" s="13" t="n"/>
      <c r="E75" s="13" t="n"/>
      <c r="F75" s="38" t="n"/>
      <c r="G75" s="38" t="n"/>
      <c r="H75" s="22" t="n"/>
      <c r="I75" s="22" t="n"/>
      <c r="J75" s="14">
        <f>IF(H75="","",I75/H75)</f>
        <v/>
      </c>
      <c r="K75" s="22">
        <f>IF(H75="","",MAX(H75-I75,0))</f>
        <v/>
      </c>
      <c r="L75" s="13" t="n"/>
      <c r="M75" s="13" t="n"/>
    </row>
    <row r="76" ht="22" customHeight="1">
      <c r="B76" s="19">
        <f>IF(C76="","PCH-"&amp;TEXT(COUNTA($C$5:C76),"000"))</f>
        <v/>
      </c>
      <c r="C76" s="16" t="n"/>
      <c r="D76" s="16" t="n"/>
      <c r="E76" s="16" t="n"/>
      <c r="F76" s="39" t="n"/>
      <c r="G76" s="39" t="n"/>
      <c r="H76" s="24" t="n"/>
      <c r="I76" s="24" t="n"/>
      <c r="J76" s="17">
        <f>IF(H76="","",I76/H76)</f>
        <v/>
      </c>
      <c r="K76" s="24">
        <f>IF(H76="","",MAX(H76-I76,0))</f>
        <v/>
      </c>
      <c r="L76" s="16" t="n"/>
      <c r="M76" s="16" t="n"/>
    </row>
    <row r="77" ht="22" customHeight="1">
      <c r="B77" s="20">
        <f>IF(C77="","PCH-"&amp;TEXT(COUNTA($C$5:C77),"000"))</f>
        <v/>
      </c>
      <c r="C77" s="13" t="n"/>
      <c r="D77" s="13" t="n"/>
      <c r="E77" s="13" t="n"/>
      <c r="F77" s="38" t="n"/>
      <c r="G77" s="38" t="n"/>
      <c r="H77" s="22" t="n"/>
      <c r="I77" s="22" t="n"/>
      <c r="J77" s="14">
        <f>IF(H77="","",I77/H77)</f>
        <v/>
      </c>
      <c r="K77" s="22">
        <f>IF(H77="","",MAX(H77-I77,0))</f>
        <v/>
      </c>
      <c r="L77" s="13" t="n"/>
      <c r="M77" s="13" t="n"/>
    </row>
    <row r="78" ht="22" customHeight="1">
      <c r="B78" s="19">
        <f>IF(C78="","PCH-"&amp;TEXT(COUNTA($C$5:C78),"000"))</f>
        <v/>
      </c>
      <c r="C78" s="16" t="n"/>
      <c r="D78" s="16" t="n"/>
      <c r="E78" s="16" t="n"/>
      <c r="F78" s="39" t="n"/>
      <c r="G78" s="39" t="n"/>
      <c r="H78" s="24" t="n"/>
      <c r="I78" s="24" t="n"/>
      <c r="J78" s="17">
        <f>IF(H78="","",I78/H78)</f>
        <v/>
      </c>
      <c r="K78" s="24">
        <f>IF(H78="","",MAX(H78-I78,0))</f>
        <v/>
      </c>
      <c r="L78" s="16" t="n"/>
      <c r="M78" s="16" t="n"/>
    </row>
    <row r="79" ht="22" customHeight="1">
      <c r="B79" s="20">
        <f>IF(C79="","PCH-"&amp;TEXT(COUNTA($C$5:C79),"000"))</f>
        <v/>
      </c>
      <c r="C79" s="13" t="n"/>
      <c r="D79" s="13" t="n"/>
      <c r="E79" s="13" t="n"/>
      <c r="F79" s="38" t="n"/>
      <c r="G79" s="38" t="n"/>
      <c r="H79" s="22" t="n"/>
      <c r="I79" s="22" t="n"/>
      <c r="J79" s="14">
        <f>IF(H79="","",I79/H79)</f>
        <v/>
      </c>
      <c r="K79" s="22">
        <f>IF(H79="","",MAX(H79-I79,0))</f>
        <v/>
      </c>
      <c r="L79" s="13" t="n"/>
      <c r="M79" s="13" t="n"/>
    </row>
    <row r="80" ht="22" customHeight="1">
      <c r="B80" s="19">
        <f>IF(C80="","PCH-"&amp;TEXT(COUNTA($C$5:C80),"000"))</f>
        <v/>
      </c>
      <c r="C80" s="16" t="n"/>
      <c r="D80" s="16" t="n"/>
      <c r="E80" s="16" t="n"/>
      <c r="F80" s="39" t="n"/>
      <c r="G80" s="39" t="n"/>
      <c r="H80" s="24" t="n"/>
      <c r="I80" s="24" t="n"/>
      <c r="J80" s="17">
        <f>IF(H80="","",I80/H80)</f>
        <v/>
      </c>
      <c r="K80" s="24">
        <f>IF(H80="","",MAX(H80-I80,0))</f>
        <v/>
      </c>
      <c r="L80" s="16" t="n"/>
      <c r="M80" s="16" t="n"/>
    </row>
    <row r="81" ht="22" customHeight="1">
      <c r="B81" s="20">
        <f>IF(C81="","PCH-"&amp;TEXT(COUNTA($C$5:C81),"000"))</f>
        <v/>
      </c>
      <c r="C81" s="13" t="n"/>
      <c r="D81" s="13" t="n"/>
      <c r="E81" s="13" t="n"/>
      <c r="F81" s="38" t="n"/>
      <c r="G81" s="38" t="n"/>
      <c r="H81" s="22" t="n"/>
      <c r="I81" s="22" t="n"/>
      <c r="J81" s="14">
        <f>IF(H81="","",I81/H81)</f>
        <v/>
      </c>
      <c r="K81" s="22">
        <f>IF(H81="","",MAX(H81-I81,0))</f>
        <v/>
      </c>
      <c r="L81" s="13" t="n"/>
      <c r="M81" s="13" t="n"/>
    </row>
    <row r="82" ht="22" customHeight="1">
      <c r="B82" s="19">
        <f>IF(C82="","PCH-"&amp;TEXT(COUNTA($C$5:C82),"000"))</f>
        <v/>
      </c>
      <c r="C82" s="16" t="n"/>
      <c r="D82" s="16" t="n"/>
      <c r="E82" s="16" t="n"/>
      <c r="F82" s="39" t="n"/>
      <c r="G82" s="39" t="n"/>
      <c r="H82" s="24" t="n"/>
      <c r="I82" s="24" t="n"/>
      <c r="J82" s="17">
        <f>IF(H82="","",I82/H82)</f>
        <v/>
      </c>
      <c r="K82" s="24">
        <f>IF(H82="","",MAX(H82-I82,0))</f>
        <v/>
      </c>
      <c r="L82" s="16" t="n"/>
      <c r="M82" s="16" t="n"/>
    </row>
    <row r="83" ht="22" customHeight="1">
      <c r="B83" s="20">
        <f>IF(C83="","PCH-"&amp;TEXT(COUNTA($C$5:C83),"000"))</f>
        <v/>
      </c>
      <c r="C83" s="13" t="n"/>
      <c r="D83" s="13" t="n"/>
      <c r="E83" s="13" t="n"/>
      <c r="F83" s="38" t="n"/>
      <c r="G83" s="38" t="n"/>
      <c r="H83" s="22" t="n"/>
      <c r="I83" s="22" t="n"/>
      <c r="J83" s="14">
        <f>IF(H83="","",I83/H83)</f>
        <v/>
      </c>
      <c r="K83" s="22">
        <f>IF(H83="","",MAX(H83-I83,0))</f>
        <v/>
      </c>
      <c r="L83" s="13" t="n"/>
      <c r="M83" s="13" t="n"/>
    </row>
    <row r="84" ht="22" customHeight="1">
      <c r="B84" s="19">
        <f>IF(C84="","PCH-"&amp;TEXT(COUNTA($C$5:C84),"000"))</f>
        <v/>
      </c>
      <c r="C84" s="16" t="n"/>
      <c r="D84" s="16" t="n"/>
      <c r="E84" s="16" t="n"/>
      <c r="F84" s="39" t="n"/>
      <c r="G84" s="39" t="n"/>
      <c r="H84" s="24" t="n"/>
      <c r="I84" s="24" t="n"/>
      <c r="J84" s="17">
        <f>IF(H84="","",I84/H84)</f>
        <v/>
      </c>
      <c r="K84" s="24">
        <f>IF(H84="","",MAX(H84-I84,0))</f>
        <v/>
      </c>
      <c r="L84" s="16" t="n"/>
      <c r="M84" s="16" t="n"/>
    </row>
    <row r="85" ht="22" customHeight="1">
      <c r="B85" s="20">
        <f>IF(C85="","PCH-"&amp;TEXT(COUNTA($C$5:C85),"000"))</f>
        <v/>
      </c>
      <c r="C85" s="13" t="n"/>
      <c r="D85" s="13" t="n"/>
      <c r="E85" s="13" t="n"/>
      <c r="F85" s="38" t="n"/>
      <c r="G85" s="38" t="n"/>
      <c r="H85" s="22" t="n"/>
      <c r="I85" s="22" t="n"/>
      <c r="J85" s="14">
        <f>IF(H85="","",I85/H85)</f>
        <v/>
      </c>
      <c r="K85" s="22">
        <f>IF(H85="","",MAX(H85-I85,0))</f>
        <v/>
      </c>
      <c r="L85" s="13" t="n"/>
      <c r="M85" s="13" t="n"/>
    </row>
    <row r="86" ht="22" customHeight="1">
      <c r="B86" s="19">
        <f>IF(C86="","PCH-"&amp;TEXT(COUNTA($C$5:C86),"000"))</f>
        <v/>
      </c>
      <c r="C86" s="16" t="n"/>
      <c r="D86" s="16" t="n"/>
      <c r="E86" s="16" t="n"/>
      <c r="F86" s="39" t="n"/>
      <c r="G86" s="39" t="n"/>
      <c r="H86" s="24" t="n"/>
      <c r="I86" s="24" t="n"/>
      <c r="J86" s="17">
        <f>IF(H86="","",I86/H86)</f>
        <v/>
      </c>
      <c r="K86" s="24">
        <f>IF(H86="","",MAX(H86-I86,0))</f>
        <v/>
      </c>
      <c r="L86" s="16" t="n"/>
      <c r="M86" s="16" t="n"/>
    </row>
    <row r="87" ht="22" customHeight="1">
      <c r="B87" s="20">
        <f>IF(C87="","PCH-"&amp;TEXT(COUNTA($C$5:C87),"000"))</f>
        <v/>
      </c>
      <c r="C87" s="13" t="n"/>
      <c r="D87" s="13" t="n"/>
      <c r="E87" s="13" t="n"/>
      <c r="F87" s="38" t="n"/>
      <c r="G87" s="38" t="n"/>
      <c r="H87" s="22" t="n"/>
      <c r="I87" s="22" t="n"/>
      <c r="J87" s="14">
        <f>IF(H87="","",I87/H87)</f>
        <v/>
      </c>
      <c r="K87" s="22">
        <f>IF(H87="","",MAX(H87-I87,0))</f>
        <v/>
      </c>
      <c r="L87" s="13" t="n"/>
      <c r="M87" s="13" t="n"/>
    </row>
    <row r="88" ht="22" customHeight="1">
      <c r="B88" s="19">
        <f>IF(C88="","PCH-"&amp;TEXT(COUNTA($C$5:C88),"000"))</f>
        <v/>
      </c>
      <c r="C88" s="16" t="n"/>
      <c r="D88" s="16" t="n"/>
      <c r="E88" s="16" t="n"/>
      <c r="F88" s="39" t="n"/>
      <c r="G88" s="39" t="n"/>
      <c r="H88" s="24" t="n"/>
      <c r="I88" s="24" t="n"/>
      <c r="J88" s="17">
        <f>IF(H88="","",I88/H88)</f>
        <v/>
      </c>
      <c r="K88" s="24">
        <f>IF(H88="","",MAX(H88-I88,0))</f>
        <v/>
      </c>
      <c r="L88" s="16" t="n"/>
      <c r="M88" s="16" t="n"/>
    </row>
    <row r="89" ht="22" customHeight="1">
      <c r="B89" s="20">
        <f>IF(C89="","PCH-"&amp;TEXT(COUNTA($C$5:C89),"000"))</f>
        <v/>
      </c>
      <c r="C89" s="13" t="n"/>
      <c r="D89" s="13" t="n"/>
      <c r="E89" s="13" t="n"/>
      <c r="F89" s="38" t="n"/>
      <c r="G89" s="38" t="n"/>
      <c r="H89" s="22" t="n"/>
      <c r="I89" s="22" t="n"/>
      <c r="J89" s="14">
        <f>IF(H89="","",I89/H89)</f>
        <v/>
      </c>
      <c r="K89" s="22">
        <f>IF(H89="","",MAX(H89-I89,0))</f>
        <v/>
      </c>
      <c r="L89" s="13" t="n"/>
      <c r="M89" s="13" t="n"/>
    </row>
    <row r="90" ht="22" customHeight="1">
      <c r="B90" s="19">
        <f>IF(C90="","PCH-"&amp;TEXT(COUNTA($C$5:C90),"000"))</f>
        <v/>
      </c>
      <c r="C90" s="16" t="n"/>
      <c r="D90" s="16" t="n"/>
      <c r="E90" s="16" t="n"/>
      <c r="F90" s="39" t="n"/>
      <c r="G90" s="39" t="n"/>
      <c r="H90" s="24" t="n"/>
      <c r="I90" s="24" t="n"/>
      <c r="J90" s="17">
        <f>IF(H90="","",I90/H90)</f>
        <v/>
      </c>
      <c r="K90" s="24">
        <f>IF(H90="","",MAX(H90-I90,0))</f>
        <v/>
      </c>
      <c r="L90" s="16" t="n"/>
      <c r="M90" s="16" t="n"/>
    </row>
    <row r="91" ht="22" customHeight="1">
      <c r="B91" s="20">
        <f>IF(C91="","PCH-"&amp;TEXT(COUNTA($C$5:C91),"000"))</f>
        <v/>
      </c>
      <c r="C91" s="13" t="n"/>
      <c r="D91" s="13" t="n"/>
      <c r="E91" s="13" t="n"/>
      <c r="F91" s="38" t="n"/>
      <c r="G91" s="38" t="n"/>
      <c r="H91" s="22" t="n"/>
      <c r="I91" s="22" t="n"/>
      <c r="J91" s="14">
        <f>IF(H91="","",I91/H91)</f>
        <v/>
      </c>
      <c r="K91" s="22">
        <f>IF(H91="","",MAX(H91-I91,0))</f>
        <v/>
      </c>
      <c r="L91" s="13" t="n"/>
      <c r="M91" s="13" t="n"/>
    </row>
    <row r="92" ht="22" customHeight="1">
      <c r="B92" s="19">
        <f>IF(C92="","PCH-"&amp;TEXT(COUNTA($C$5:C92),"000"))</f>
        <v/>
      </c>
      <c r="C92" s="16" t="n"/>
      <c r="D92" s="16" t="n"/>
      <c r="E92" s="16" t="n"/>
      <c r="F92" s="39" t="n"/>
      <c r="G92" s="39" t="n"/>
      <c r="H92" s="24" t="n"/>
      <c r="I92" s="24" t="n"/>
      <c r="J92" s="17">
        <f>IF(H92="","",I92/H92)</f>
        <v/>
      </c>
      <c r="K92" s="24">
        <f>IF(H92="","",MAX(H92-I92,0))</f>
        <v/>
      </c>
      <c r="L92" s="16" t="n"/>
      <c r="M92" s="16" t="n"/>
    </row>
    <row r="93" ht="22" customHeight="1">
      <c r="B93" s="20">
        <f>IF(C93="","PCH-"&amp;TEXT(COUNTA($C$5:C93),"000"))</f>
        <v/>
      </c>
      <c r="C93" s="13" t="n"/>
      <c r="D93" s="13" t="n"/>
      <c r="E93" s="13" t="n"/>
      <c r="F93" s="38" t="n"/>
      <c r="G93" s="38" t="n"/>
      <c r="H93" s="22" t="n"/>
      <c r="I93" s="22" t="n"/>
      <c r="J93" s="14">
        <f>IF(H93="","",I93/H93)</f>
        <v/>
      </c>
      <c r="K93" s="22">
        <f>IF(H93="","",MAX(H93-I93,0))</f>
        <v/>
      </c>
      <c r="L93" s="13" t="n"/>
      <c r="M93" s="13" t="n"/>
    </row>
    <row r="94" ht="22" customHeight="1">
      <c r="B94" s="19">
        <f>IF(C94="","PCH-"&amp;TEXT(COUNTA($C$5:C94),"000"))</f>
        <v/>
      </c>
      <c r="C94" s="16" t="n"/>
      <c r="D94" s="16" t="n"/>
      <c r="E94" s="16" t="n"/>
      <c r="F94" s="39" t="n"/>
      <c r="G94" s="39" t="n"/>
      <c r="H94" s="24" t="n"/>
      <c r="I94" s="24" t="n"/>
      <c r="J94" s="17">
        <f>IF(H94="","",I94/H94)</f>
        <v/>
      </c>
      <c r="K94" s="24">
        <f>IF(H94="","",MAX(H94-I94,0))</f>
        <v/>
      </c>
      <c r="L94" s="16" t="n"/>
      <c r="M94" s="16" t="n"/>
    </row>
    <row r="95" ht="22" customHeight="1">
      <c r="B95" s="20">
        <f>IF(C95="","PCH-"&amp;TEXT(COUNTA($C$5:C95),"000"))</f>
        <v/>
      </c>
      <c r="C95" s="13" t="n"/>
      <c r="D95" s="13" t="n"/>
      <c r="E95" s="13" t="n"/>
      <c r="F95" s="38" t="n"/>
      <c r="G95" s="38" t="n"/>
      <c r="H95" s="22" t="n"/>
      <c r="I95" s="22" t="n"/>
      <c r="J95" s="14">
        <f>IF(H95="","",I95/H95)</f>
        <v/>
      </c>
      <c r="K95" s="22">
        <f>IF(H95="","",MAX(H95-I95,0))</f>
        <v/>
      </c>
      <c r="L95" s="13" t="n"/>
      <c r="M95" s="13" t="n"/>
    </row>
    <row r="96" ht="22" customHeight="1">
      <c r="B96" s="19">
        <f>IF(C96="","PCH-"&amp;TEXT(COUNTA($C$5:C96),"000"))</f>
        <v/>
      </c>
      <c r="C96" s="16" t="n"/>
      <c r="D96" s="16" t="n"/>
      <c r="E96" s="16" t="n"/>
      <c r="F96" s="39" t="n"/>
      <c r="G96" s="39" t="n"/>
      <c r="H96" s="24" t="n"/>
      <c r="I96" s="24" t="n"/>
      <c r="J96" s="17">
        <f>IF(H96="","",I96/H96)</f>
        <v/>
      </c>
      <c r="K96" s="24">
        <f>IF(H96="","",MAX(H96-I96,0))</f>
        <v/>
      </c>
      <c r="L96" s="16" t="n"/>
      <c r="M96" s="16" t="n"/>
    </row>
    <row r="97" ht="22" customHeight="1">
      <c r="B97" s="20">
        <f>IF(C97="","PCH-"&amp;TEXT(COUNTA($C$5:C97),"000"))</f>
        <v/>
      </c>
      <c r="C97" s="13" t="n"/>
      <c r="D97" s="13" t="n"/>
      <c r="E97" s="13" t="n"/>
      <c r="F97" s="38" t="n"/>
      <c r="G97" s="38" t="n"/>
      <c r="H97" s="22" t="n"/>
      <c r="I97" s="22" t="n"/>
      <c r="J97" s="14">
        <f>IF(H97="","",I97/H97)</f>
        <v/>
      </c>
      <c r="K97" s="22">
        <f>IF(H97="","",MAX(H97-I97,0))</f>
        <v/>
      </c>
      <c r="L97" s="13" t="n"/>
      <c r="M97" s="13" t="n"/>
    </row>
    <row r="98" ht="22" customHeight="1">
      <c r="B98" s="19">
        <f>IF(C98="","PCH-"&amp;TEXT(COUNTA($C$5:C98),"000"))</f>
        <v/>
      </c>
      <c r="C98" s="16" t="n"/>
      <c r="D98" s="16" t="n"/>
      <c r="E98" s="16" t="n"/>
      <c r="F98" s="39" t="n"/>
      <c r="G98" s="39" t="n"/>
      <c r="H98" s="24" t="n"/>
      <c r="I98" s="24" t="n"/>
      <c r="J98" s="17">
        <f>IF(H98="","",I98/H98)</f>
        <v/>
      </c>
      <c r="K98" s="24">
        <f>IF(H98="","",MAX(H98-I98,0))</f>
        <v/>
      </c>
      <c r="L98" s="16" t="n"/>
      <c r="M98" s="16" t="n"/>
    </row>
    <row r="99" ht="22" customHeight="1">
      <c r="B99" s="20">
        <f>IF(C99="","PCH-"&amp;TEXT(COUNTA($C$5:C99),"000"))</f>
        <v/>
      </c>
      <c r="C99" s="13" t="n"/>
      <c r="D99" s="13" t="n"/>
      <c r="E99" s="13" t="n"/>
      <c r="F99" s="38" t="n"/>
      <c r="G99" s="38" t="n"/>
      <c r="H99" s="22" t="n"/>
      <c r="I99" s="22" t="n"/>
      <c r="J99" s="14">
        <f>IF(H99="","",I99/H99)</f>
        <v/>
      </c>
      <c r="K99" s="22">
        <f>IF(H99="","",MAX(H99-I99,0))</f>
        <v/>
      </c>
      <c r="L99" s="13" t="n"/>
      <c r="M99" s="13" t="n"/>
    </row>
    <row r="100" ht="22" customHeight="1">
      <c r="B100" s="19">
        <f>IF(C100="","PCH-"&amp;TEXT(COUNTA($C$5:C100),"000"))</f>
        <v/>
      </c>
      <c r="C100" s="16" t="n"/>
      <c r="D100" s="16" t="n"/>
      <c r="E100" s="16" t="n"/>
      <c r="F100" s="39" t="n"/>
      <c r="G100" s="39" t="n"/>
      <c r="H100" s="24" t="n"/>
      <c r="I100" s="24" t="n"/>
      <c r="J100" s="17">
        <f>IF(H100="","",I100/H100)</f>
        <v/>
      </c>
      <c r="K100" s="24">
        <f>IF(H100="","",MAX(H100-I100,0))</f>
        <v/>
      </c>
      <c r="L100" s="16" t="n"/>
      <c r="M100" s="16" t="n"/>
    </row>
    <row r="101" ht="22" customHeight="1">
      <c r="B101" s="20">
        <f>IF(C101="","PCH-"&amp;TEXT(COUNTA($C$5:C101),"000"))</f>
        <v/>
      </c>
      <c r="C101" s="13" t="n"/>
      <c r="D101" s="13" t="n"/>
      <c r="E101" s="13" t="n"/>
      <c r="F101" s="38" t="n"/>
      <c r="G101" s="38" t="n"/>
      <c r="H101" s="22" t="n"/>
      <c r="I101" s="22" t="n"/>
      <c r="J101" s="14">
        <f>IF(H101="","",I101/H101)</f>
        <v/>
      </c>
      <c r="K101" s="22">
        <f>IF(H101="","",MAX(H101-I101,0))</f>
        <v/>
      </c>
      <c r="L101" s="13" t="n"/>
      <c r="M101" s="13" t="n"/>
    </row>
    <row r="102" ht="22" customHeight="1">
      <c r="B102" s="19">
        <f>IF(C102="","PCH-"&amp;TEXT(COUNTA($C$5:C102),"000"))</f>
        <v/>
      </c>
      <c r="C102" s="16" t="n"/>
      <c r="D102" s="16" t="n"/>
      <c r="E102" s="16" t="n"/>
      <c r="F102" s="39" t="n"/>
      <c r="G102" s="39" t="n"/>
      <c r="H102" s="24" t="n"/>
      <c r="I102" s="24" t="n"/>
      <c r="J102" s="17">
        <f>IF(H102="","",I102/H102)</f>
        <v/>
      </c>
      <c r="K102" s="24">
        <f>IF(H102="","",MAX(H102-I102,0))</f>
        <v/>
      </c>
      <c r="L102" s="16" t="n"/>
      <c r="M102" s="16" t="n"/>
    </row>
    <row r="103" ht="22" customHeight="1">
      <c r="B103" s="20">
        <f>IF(C103="","PCH-"&amp;TEXT(COUNTA($C$5:C103),"000"))</f>
        <v/>
      </c>
      <c r="C103" s="13" t="n"/>
      <c r="D103" s="13" t="n"/>
      <c r="E103" s="13" t="n"/>
      <c r="F103" s="38" t="n"/>
      <c r="G103" s="38" t="n"/>
      <c r="H103" s="22" t="n"/>
      <c r="I103" s="22" t="n"/>
      <c r="J103" s="14">
        <f>IF(H103="","",I103/H103)</f>
        <v/>
      </c>
      <c r="K103" s="22">
        <f>IF(H103="","",MAX(H103-I103,0))</f>
        <v/>
      </c>
      <c r="L103" s="13" t="n"/>
      <c r="M103" s="13" t="n"/>
    </row>
    <row r="104" ht="22" customHeight="1">
      <c r="B104" s="19">
        <f>IF(C104="","PCH-"&amp;TEXT(COUNTA($C$5:C104),"000"))</f>
        <v/>
      </c>
      <c r="C104" s="16" t="n"/>
      <c r="D104" s="16" t="n"/>
      <c r="E104" s="16" t="n"/>
      <c r="F104" s="39" t="n"/>
      <c r="G104" s="39" t="n"/>
      <c r="H104" s="24" t="n"/>
      <c r="I104" s="24" t="n"/>
      <c r="J104" s="17">
        <f>IF(H104="","",I104/H104)</f>
        <v/>
      </c>
      <c r="K104" s="24">
        <f>IF(H104="","",MAX(H104-I104,0))</f>
        <v/>
      </c>
      <c r="L104" s="16" t="n"/>
      <c r="M104" s="16" t="n"/>
    </row>
    <row r="105" ht="22" customHeight="1">
      <c r="B105" s="20">
        <f>IF(C105="","PCH-"&amp;TEXT(COUNTA($C$5:C105),"000"))</f>
        <v/>
      </c>
      <c r="C105" s="13" t="n"/>
      <c r="D105" s="13" t="n"/>
      <c r="E105" s="13" t="n"/>
      <c r="F105" s="38" t="n"/>
      <c r="G105" s="38" t="n"/>
      <c r="H105" s="22" t="n"/>
      <c r="I105" s="22" t="n"/>
      <c r="J105" s="14">
        <f>IF(H105="","",I105/H105)</f>
        <v/>
      </c>
      <c r="K105" s="22">
        <f>IF(H105="","",MAX(H105-I105,0))</f>
        <v/>
      </c>
      <c r="L105" s="13" t="n"/>
      <c r="M105" s="13" t="n"/>
    </row>
    <row r="106" ht="22" customHeight="1">
      <c r="B106" s="19">
        <f>IF(C106="","PCH-"&amp;TEXT(COUNTA($C$5:C106),"000"))</f>
        <v/>
      </c>
      <c r="C106" s="16" t="n"/>
      <c r="D106" s="16" t="n"/>
      <c r="E106" s="16" t="n"/>
      <c r="F106" s="39" t="n"/>
      <c r="G106" s="39" t="n"/>
      <c r="H106" s="24" t="n"/>
      <c r="I106" s="24" t="n"/>
      <c r="J106" s="17">
        <f>IF(H106="","",I106/H106)</f>
        <v/>
      </c>
      <c r="K106" s="24">
        <f>IF(H106="","",MAX(H106-I106,0))</f>
        <v/>
      </c>
      <c r="L106" s="16" t="n"/>
      <c r="M106" s="16" t="n"/>
    </row>
    <row r="107" ht="22" customHeight="1">
      <c r="B107" s="20">
        <f>IF(C107="","PCH-"&amp;TEXT(COUNTA($C$5:C107),"000"))</f>
        <v/>
      </c>
      <c r="C107" s="13" t="n"/>
      <c r="D107" s="13" t="n"/>
      <c r="E107" s="13" t="n"/>
      <c r="F107" s="38" t="n"/>
      <c r="G107" s="38" t="n"/>
      <c r="H107" s="22" t="n"/>
      <c r="I107" s="22" t="n"/>
      <c r="J107" s="14">
        <f>IF(H107="","",I107/H107)</f>
        <v/>
      </c>
      <c r="K107" s="22">
        <f>IF(H107="","",MAX(H107-I107,0))</f>
        <v/>
      </c>
      <c r="L107" s="13" t="n"/>
      <c r="M107" s="13" t="n"/>
    </row>
    <row r="108" ht="22" customHeight="1">
      <c r="B108" s="19">
        <f>IF(C108="","PCH-"&amp;TEXT(COUNTA($C$5:C108),"000"))</f>
        <v/>
      </c>
      <c r="C108" s="16" t="n"/>
      <c r="D108" s="16" t="n"/>
      <c r="E108" s="16" t="n"/>
      <c r="F108" s="39" t="n"/>
      <c r="G108" s="39" t="n"/>
      <c r="H108" s="24" t="n"/>
      <c r="I108" s="24" t="n"/>
      <c r="J108" s="17">
        <f>IF(H108="","",I108/H108)</f>
        <v/>
      </c>
      <c r="K108" s="24">
        <f>IF(H108="","",MAX(H108-I108,0))</f>
        <v/>
      </c>
      <c r="L108" s="16" t="n"/>
      <c r="M108" s="16" t="n"/>
    </row>
    <row r="109"/>
    <row r="110" ht="26" customHeight="1">
      <c r="B110" s="25" t="inlineStr">
        <is>
          <t>TOTAL</t>
        </is>
      </c>
      <c r="C110" s="26" t="n"/>
      <c r="D110" s="26" t="n"/>
      <c r="E110" s="26" t="n"/>
      <c r="F110" s="26" t="n"/>
      <c r="G110" s="26" t="n"/>
      <c r="H110" s="27">
        <f>SUM(H5:H104)</f>
        <v/>
      </c>
      <c r="I110" s="27">
        <f>SUM(I5:I104)</f>
        <v/>
      </c>
      <c r="J110" s="26" t="n"/>
      <c r="K110" s="26" t="n"/>
      <c r="L110" s="26" t="n"/>
      <c r="M110" s="26" t="n"/>
    </row>
    <row r="111"/>
    <row r="112">
      <c r="B112" s="6" t="inlineStr">
        <is>
          <t>INDICATEURS (mis a jour automatiquement)</t>
        </is>
      </c>
    </row>
    <row r="113">
      <c r="B113" s="3" t="inlineStr">
        <is>
          <t>Activites planifiees</t>
        </is>
      </c>
      <c r="D113" s="3" t="inlineStr">
        <is>
          <t>Charge totale (h)</t>
        </is>
      </c>
      <c r="F113" s="3" t="inlineStr">
        <is>
          <t>En cours</t>
        </is>
      </c>
    </row>
    <row r="114">
      <c r="B114" s="4">
        <f>COUNTIF(B5:B104,"&lt;&gt;")</f>
        <v/>
      </c>
      <c r="D114" s="4">
        <f>SUM(H5:H104)</f>
        <v/>
      </c>
      <c r="F114" s="4">
        <f>COUNTIF(L5:L104,"En cours")</f>
        <v/>
      </c>
    </row>
  </sheetData>
  <mergeCells count="3">
    <mergeCell ref="B3:M3"/>
    <mergeCell ref="B2:M2"/>
    <mergeCell ref="B112:M112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9:B108">
    <cfRule type="expression" priority="274" dxfId="3">
      <formula>AND($C9="",$C8&lt;&gt;"")</formula>
    </cfRule>
  </conditionalFormatting>
  <conditionalFormatting sqref="C9:C108">
    <cfRule type="expression" priority="275" dxfId="3">
      <formula>AND($C9="",$C8&lt;&gt;"")</formula>
    </cfRule>
  </conditionalFormatting>
  <conditionalFormatting sqref="D9:D108">
    <cfRule type="expression" priority="276" dxfId="3">
      <formula>AND($C9="",$C8&lt;&gt;"")</formula>
    </cfRule>
  </conditionalFormatting>
  <conditionalFormatting sqref="E9:E108">
    <cfRule type="expression" priority="277" dxfId="3">
      <formula>AND($C9="",$C8&lt;&gt;"")</formula>
    </cfRule>
  </conditionalFormatting>
  <conditionalFormatting sqref="F9:F108">
    <cfRule type="expression" priority="278" dxfId="3">
      <formula>AND($C9="",$C8&lt;&gt;"")</formula>
    </cfRule>
  </conditionalFormatting>
  <conditionalFormatting sqref="G9:G108">
    <cfRule type="expression" priority="279" dxfId="3">
      <formula>AND($C9="",$C8&lt;&gt;"")</formula>
    </cfRule>
  </conditionalFormatting>
  <conditionalFormatting sqref="H9:H108">
    <cfRule type="expression" priority="280" dxfId="3">
      <formula>AND($C9="",$C8&lt;&gt;"")</formula>
    </cfRule>
  </conditionalFormatting>
  <conditionalFormatting sqref="I9:I108">
    <cfRule type="expression" priority="281" dxfId="3">
      <formula>AND($C9="",$C8&lt;&gt;"")</formula>
    </cfRule>
  </conditionalFormatting>
  <conditionalFormatting sqref="J9:J108">
    <cfRule type="expression" priority="282" dxfId="3">
      <formula>AND($C9="",$C8&lt;&gt;"")</formula>
    </cfRule>
  </conditionalFormatting>
  <conditionalFormatting sqref="K9:K108">
    <cfRule type="expression" priority="283" dxfId="3">
      <formula>AND($C9="",$C8&lt;&gt;"")</formula>
    </cfRule>
  </conditionalFormatting>
  <conditionalFormatting sqref="L9:L108">
    <cfRule type="expression" priority="284" dxfId="3">
      <formula>AND($C9="",$C8&lt;&gt;"")</formula>
    </cfRule>
  </conditionalFormatting>
  <conditionalFormatting sqref="M9:M108">
    <cfRule type="expression" priority="285" dxfId="3">
      <formula>AND($C9="",$C8&lt;&gt;"")</formula>
    </cfRule>
  </conditionalFormatting>
  <dataValidations count="3">
    <dataValidation sqref="D5:D108" showDropDown="0" showInputMessage="0" showErrorMessage="0" allowBlank="1" errorTitle="Erreur" error="Valeur invalide" promptTitle="Liste" prompt="Choisir dans la liste" type="list">
      <formula1>'_Lists'!$C$2:$C$28</formula1>
    </dataValidation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8" showDropDown="0" showInputMessage="0" showErrorMessage="0" allowBlank="1" errorTitle="Erreur" error="Valeur invalide" promptTitle="Liste" prompt="Choisir dans la liste" type="list">
      <formula1>'_Lists'!$M$2:$M$6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8" customWidth="1" min="4" max="4"/>
    <col width="16" customWidth="1" min="5" max="5"/>
    <col width="16" customWidth="1" min="6" max="6"/>
    <col width="14" customWidth="1" min="7" max="7"/>
    <col width="20" customWidth="1" min="8" max="8"/>
    <col width="36" customWidth="1" min="9" max="9"/>
    <col width="16" customWidth="1" min="10" max="10"/>
  </cols>
  <sheetData>
    <row r="1" ht="15" customHeight="1"/>
    <row r="2" ht="32" customHeight="1">
      <c r="B2" s="1" t="inlineStr">
        <is>
          <t>REPORTING DIRECTION GENERALE (#172)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Indicateur DG</t>
        </is>
      </c>
      <c r="D4" s="12" t="inlineStr">
        <is>
          <t>Domaine RH</t>
        </is>
      </c>
      <c r="E4" s="12" t="inlineStr">
        <is>
          <t>Valeur</t>
        </is>
      </c>
      <c r="F4" s="12" t="inlineStr">
        <is>
          <t>Objectif</t>
        </is>
      </c>
      <c r="G4" s="12" t="inlineStr">
        <is>
          <t>Tendance</t>
        </is>
      </c>
      <c r="H4" s="12" t="inlineStr">
        <is>
          <t>Statut</t>
        </is>
      </c>
      <c r="I4" s="12" t="inlineStr">
        <is>
          <t>Commentaire Action</t>
        </is>
      </c>
      <c r="J4" s="12" t="inlineStr">
        <is>
          <t>Date Reporting</t>
        </is>
      </c>
    </row>
    <row r="5" ht="22" customHeight="1">
      <c r="B5" s="13" t="inlineStr">
        <is>
          <t>RDG-001</t>
        </is>
      </c>
      <c r="C5" s="13" t="inlineStr">
        <is>
          <t>Effectif total</t>
        </is>
      </c>
      <c r="D5" s="13" t="inlineStr">
        <is>
          <t>Administration</t>
        </is>
      </c>
      <c r="E5" s="13" t="n">
        <v>185</v>
      </c>
      <c r="F5" s="13" t="n">
        <v>190</v>
      </c>
      <c r="G5" s="13" t="inlineStr">
        <is>
          <t>Stable</t>
        </is>
      </c>
      <c r="H5" s="13" t="inlineStr">
        <is>
          <t>Orange (Attention)</t>
        </is>
      </c>
      <c r="I5" s="13" t="inlineStr">
        <is>
          <t>5 postes en cours de recrutement</t>
        </is>
      </c>
      <c r="J5" s="38" t="n">
        <v>45747</v>
      </c>
    </row>
    <row r="6" ht="22" customHeight="1">
      <c r="B6" s="16" t="inlineStr">
        <is>
          <t>RDG-002</t>
        </is>
      </c>
      <c r="C6" s="16" t="inlineStr">
        <is>
          <t>Masse salariale (M FCFA)</t>
        </is>
      </c>
      <c r="D6" s="16" t="inlineStr">
        <is>
          <t>Paie</t>
        </is>
      </c>
      <c r="E6" s="16" t="n">
        <v>126.5</v>
      </c>
      <c r="F6" s="16" t="n">
        <v>120</v>
      </c>
      <c r="G6" s="16" t="inlineStr">
        <is>
          <t>Hausse</t>
        </is>
      </c>
      <c r="H6" s="16" t="inlineStr">
        <is>
          <t>Rouge (Alerte)</t>
        </is>
      </c>
      <c r="I6" s="16" t="inlineStr">
        <is>
          <t>Reviser grille en Q2</t>
        </is>
      </c>
      <c r="J6" s="39" t="n">
        <v>45747</v>
      </c>
    </row>
    <row r="7" ht="22" customHeight="1">
      <c r="B7" s="13" t="inlineStr">
        <is>
          <t>RDG-003</t>
        </is>
      </c>
      <c r="C7" s="13" t="inlineStr">
        <is>
          <t>Taux rotation</t>
        </is>
      </c>
      <c r="D7" s="13" t="inlineStr">
        <is>
          <t>Mobilité</t>
        </is>
      </c>
      <c r="E7" s="13" t="inlineStr">
        <is>
          <t>18%</t>
        </is>
      </c>
      <c r="F7" s="13" t="inlineStr">
        <is>
          <t>&lt;=12%</t>
        </is>
      </c>
      <c r="G7" s="13" t="inlineStr">
        <is>
          <t>Baisse</t>
        </is>
      </c>
      <c r="H7" s="13" t="inlineStr">
        <is>
          <t>Orange (Attention)</t>
        </is>
      </c>
      <c r="I7" s="13" t="inlineStr">
        <is>
          <t>Plan retention deploye</t>
        </is>
      </c>
      <c r="J7" s="38" t="n">
        <v>45747</v>
      </c>
    </row>
    <row r="8" ht="22" customHeight="1">
      <c r="B8" s="16" t="inlineStr">
        <is>
          <t>RDG-004</t>
        </is>
      </c>
      <c r="C8" s="16" t="inlineStr">
        <is>
          <t>Score satisfaction</t>
        </is>
      </c>
      <c r="D8" s="16" t="inlineStr">
        <is>
          <t>Climat social</t>
        </is>
      </c>
      <c r="E8" s="16" t="n">
        <v>3.8</v>
      </c>
      <c r="F8" s="16" t="inlineStr">
        <is>
          <t>&gt;=4.0</t>
        </is>
      </c>
      <c r="G8" s="16" t="inlineStr">
        <is>
          <t>Hausse</t>
        </is>
      </c>
      <c r="H8" s="16" t="inlineStr">
        <is>
          <t>Orange (Attention)</t>
        </is>
      </c>
      <c r="I8" s="16" t="inlineStr">
        <is>
          <t>Enquete Q2 prevue juin</t>
        </is>
      </c>
      <c r="J8" s="39" t="n">
        <v>45747</v>
      </c>
    </row>
    <row r="9" ht="22" customHeight="1">
      <c r="B9" s="13" t="inlineStr">
        <is>
          <t>RDG-005</t>
        </is>
      </c>
      <c r="C9" s="13" t="inlineStr">
        <is>
          <t>Nb formations / employe</t>
        </is>
      </c>
      <c r="D9" s="13" t="inlineStr">
        <is>
          <t>Formation</t>
        </is>
      </c>
      <c r="E9" s="13" t="inlineStr">
        <is>
          <t>12.5h</t>
        </is>
      </c>
      <c r="F9" s="13" t="inlineStr">
        <is>
          <t>&gt;=20h</t>
        </is>
      </c>
      <c r="G9" s="13" t="inlineStr">
        <is>
          <t>Hausse</t>
        </is>
      </c>
      <c r="H9" s="13" t="inlineStr">
        <is>
          <t>Rouge (Alerte)</t>
        </is>
      </c>
      <c r="I9" s="13" t="inlineStr">
        <is>
          <t>E-learning en deploiement</t>
        </is>
      </c>
      <c r="J9" s="38" t="n">
        <v>45747</v>
      </c>
    </row>
    <row r="10" ht="22" customHeight="1">
      <c r="B10" s="19">
        <f>IF(C10="","RDG-"&amp;TEXT(COUNTA($C$5:C10),"000"))</f>
        <v/>
      </c>
      <c r="C10" s="16" t="n"/>
      <c r="D10" s="16" t="n"/>
      <c r="E10" s="16" t="n"/>
      <c r="F10" s="16" t="n"/>
      <c r="G10" s="16" t="n"/>
      <c r="H10" s="16" t="n"/>
      <c r="I10" s="16" t="n"/>
      <c r="J10" s="39" t="n"/>
    </row>
    <row r="11" ht="22" customHeight="1">
      <c r="B11" s="20">
        <f>IF(C11="","RDG-"&amp;TEXT(COUNTA($C$5:C11),"000"))</f>
        <v/>
      </c>
      <c r="C11" s="13" t="n"/>
      <c r="D11" s="13" t="n"/>
      <c r="E11" s="13" t="n"/>
      <c r="F11" s="13" t="n"/>
      <c r="G11" s="13" t="n"/>
      <c r="H11" s="13" t="n"/>
      <c r="I11" s="13" t="n"/>
      <c r="J11" s="38" t="n"/>
    </row>
    <row r="12" ht="22" customHeight="1">
      <c r="B12" s="19">
        <f>IF(C12="","RDG-"&amp;TEXT(COUNTA($C$5:C12),"000"))</f>
        <v/>
      </c>
      <c r="C12" s="16" t="n"/>
      <c r="D12" s="16" t="n"/>
      <c r="E12" s="16" t="n"/>
      <c r="F12" s="16" t="n"/>
      <c r="G12" s="16" t="n"/>
      <c r="H12" s="16" t="n"/>
      <c r="I12" s="16" t="n"/>
      <c r="J12" s="39" t="n"/>
    </row>
    <row r="13" ht="22" customHeight="1">
      <c r="B13" s="20">
        <f>IF(C13="","RDG-"&amp;TEXT(COUNTA($C$5:C13),"000"))</f>
        <v/>
      </c>
      <c r="C13" s="13" t="n"/>
      <c r="D13" s="13" t="n"/>
      <c r="E13" s="13" t="n"/>
      <c r="F13" s="13" t="n"/>
      <c r="G13" s="13" t="n"/>
      <c r="H13" s="13" t="n"/>
      <c r="I13" s="13" t="n"/>
      <c r="J13" s="38" t="n"/>
    </row>
    <row r="14" ht="22" customHeight="1">
      <c r="B14" s="19">
        <f>IF(C14="","RDG-"&amp;TEXT(COUNTA($C$5:C14),"000"))</f>
        <v/>
      </c>
      <c r="C14" s="16" t="n"/>
      <c r="D14" s="16" t="n"/>
      <c r="E14" s="16" t="n"/>
      <c r="F14" s="16" t="n"/>
      <c r="G14" s="16" t="n"/>
      <c r="H14" s="16" t="n"/>
      <c r="I14" s="16" t="n"/>
      <c r="J14" s="39" t="n"/>
    </row>
    <row r="15" ht="22" customHeight="1">
      <c r="B15" s="20">
        <f>IF(C15="","RDG-"&amp;TEXT(COUNTA($C$5:C15),"000"))</f>
        <v/>
      </c>
      <c r="C15" s="13" t="n"/>
      <c r="D15" s="13" t="n"/>
      <c r="E15" s="13" t="n"/>
      <c r="F15" s="13" t="n"/>
      <c r="G15" s="13" t="n"/>
      <c r="H15" s="13" t="n"/>
      <c r="I15" s="13" t="n"/>
      <c r="J15" s="38" t="n"/>
    </row>
    <row r="16" ht="22" customHeight="1">
      <c r="B16" s="19">
        <f>IF(C16="","RDG-"&amp;TEXT(COUNTA($C$5:C16),"000"))</f>
        <v/>
      </c>
      <c r="C16" s="16" t="n"/>
      <c r="D16" s="16" t="n"/>
      <c r="E16" s="16" t="n"/>
      <c r="F16" s="16" t="n"/>
      <c r="G16" s="16" t="n"/>
      <c r="H16" s="16" t="n"/>
      <c r="I16" s="16" t="n"/>
      <c r="J16" s="39" t="n"/>
    </row>
    <row r="17" ht="22" customHeight="1">
      <c r="B17" s="20">
        <f>IF(C17="","RDG-"&amp;TEXT(COUNTA($C$5:C17),"000"))</f>
        <v/>
      </c>
      <c r="C17" s="13" t="n"/>
      <c r="D17" s="13" t="n"/>
      <c r="E17" s="13" t="n"/>
      <c r="F17" s="13" t="n"/>
      <c r="G17" s="13" t="n"/>
      <c r="H17" s="13" t="n"/>
      <c r="I17" s="13" t="n"/>
      <c r="J17" s="38" t="n"/>
    </row>
    <row r="18" ht="22" customHeight="1">
      <c r="B18" s="19">
        <f>IF(C18="","RDG-"&amp;TEXT(COUNTA($C$5:C18),"000"))</f>
        <v/>
      </c>
      <c r="C18" s="16" t="n"/>
      <c r="D18" s="16" t="n"/>
      <c r="E18" s="16" t="n"/>
      <c r="F18" s="16" t="n"/>
      <c r="G18" s="16" t="n"/>
      <c r="H18" s="16" t="n"/>
      <c r="I18" s="16" t="n"/>
      <c r="J18" s="39" t="n"/>
    </row>
    <row r="19" ht="22" customHeight="1">
      <c r="B19" s="20">
        <f>IF(C19="","RDG-"&amp;TEXT(COUNTA($C$5:C19),"000"))</f>
        <v/>
      </c>
      <c r="C19" s="13" t="n"/>
      <c r="D19" s="13" t="n"/>
      <c r="E19" s="13" t="n"/>
      <c r="F19" s="13" t="n"/>
      <c r="G19" s="13" t="n"/>
      <c r="H19" s="13" t="n"/>
      <c r="I19" s="13" t="n"/>
      <c r="J19" s="38" t="n"/>
    </row>
    <row r="20" ht="22" customHeight="1">
      <c r="B20" s="19">
        <f>IF(C20="","RDG-"&amp;TEXT(COUNTA($C$5:C20),"000"))</f>
        <v/>
      </c>
      <c r="C20" s="16" t="n"/>
      <c r="D20" s="16" t="n"/>
      <c r="E20" s="16" t="n"/>
      <c r="F20" s="16" t="n"/>
      <c r="G20" s="16" t="n"/>
      <c r="H20" s="16" t="n"/>
      <c r="I20" s="16" t="n"/>
      <c r="J20" s="39" t="n"/>
    </row>
    <row r="21" ht="22" customHeight="1">
      <c r="B21" s="20">
        <f>IF(C21="","RDG-"&amp;TEXT(COUNTA($C$5:C21),"000"))</f>
        <v/>
      </c>
      <c r="C21" s="13" t="n"/>
      <c r="D21" s="13" t="n"/>
      <c r="E21" s="13" t="n"/>
      <c r="F21" s="13" t="n"/>
      <c r="G21" s="13" t="n"/>
      <c r="H21" s="13" t="n"/>
      <c r="I21" s="13" t="n"/>
      <c r="J21" s="38" t="n"/>
    </row>
    <row r="22" ht="22" customHeight="1">
      <c r="B22" s="19">
        <f>IF(C22="","RDG-"&amp;TEXT(COUNTA($C$5:C22),"000"))</f>
        <v/>
      </c>
      <c r="C22" s="16" t="n"/>
      <c r="D22" s="16" t="n"/>
      <c r="E22" s="16" t="n"/>
      <c r="F22" s="16" t="n"/>
      <c r="G22" s="16" t="n"/>
      <c r="H22" s="16" t="n"/>
      <c r="I22" s="16" t="n"/>
      <c r="J22" s="39" t="n"/>
    </row>
    <row r="23" ht="22" customHeight="1">
      <c r="B23" s="20">
        <f>IF(C23="","RDG-"&amp;TEXT(COUNTA($C$5:C23),"000"))</f>
        <v/>
      </c>
      <c r="C23" s="13" t="n"/>
      <c r="D23" s="13" t="n"/>
      <c r="E23" s="13" t="n"/>
      <c r="F23" s="13" t="n"/>
      <c r="G23" s="13" t="n"/>
      <c r="H23" s="13" t="n"/>
      <c r="I23" s="13" t="n"/>
      <c r="J23" s="38" t="n"/>
    </row>
    <row r="24" ht="22" customHeight="1">
      <c r="B24" s="19">
        <f>IF(C24="","RDG-"&amp;TEXT(COUNTA($C$5:C24),"000"))</f>
        <v/>
      </c>
      <c r="C24" s="16" t="n"/>
      <c r="D24" s="16" t="n"/>
      <c r="E24" s="16" t="n"/>
      <c r="F24" s="16" t="n"/>
      <c r="G24" s="16" t="n"/>
      <c r="H24" s="16" t="n"/>
      <c r="I24" s="16" t="n"/>
      <c r="J24" s="39" t="n"/>
    </row>
    <row r="25" ht="22" customHeight="1">
      <c r="B25" s="20">
        <f>IF(C25="","RDG-"&amp;TEXT(COUNTA($C$5:C25),"000"))</f>
        <v/>
      </c>
      <c r="C25" s="13" t="n"/>
      <c r="D25" s="13" t="n"/>
      <c r="E25" s="13" t="n"/>
      <c r="F25" s="13" t="n"/>
      <c r="G25" s="13" t="n"/>
      <c r="H25" s="13" t="n"/>
      <c r="I25" s="13" t="n"/>
      <c r="J25" s="38" t="n"/>
    </row>
    <row r="26" ht="22" customHeight="1">
      <c r="B26" s="19">
        <f>IF(C26="","RDG-"&amp;TEXT(COUNTA($C$5:C26),"000"))</f>
        <v/>
      </c>
      <c r="C26" s="16" t="n"/>
      <c r="D26" s="16" t="n"/>
      <c r="E26" s="16" t="n"/>
      <c r="F26" s="16" t="n"/>
      <c r="G26" s="16" t="n"/>
      <c r="H26" s="16" t="n"/>
      <c r="I26" s="16" t="n"/>
      <c r="J26" s="39" t="n"/>
    </row>
    <row r="27" ht="22" customHeight="1">
      <c r="B27" s="20">
        <f>IF(C27="","RDG-"&amp;TEXT(COUNTA($C$5:C27),"000"))</f>
        <v/>
      </c>
      <c r="C27" s="13" t="n"/>
      <c r="D27" s="13" t="n"/>
      <c r="E27" s="13" t="n"/>
      <c r="F27" s="13" t="n"/>
      <c r="G27" s="13" t="n"/>
      <c r="H27" s="13" t="n"/>
      <c r="I27" s="13" t="n"/>
      <c r="J27" s="38" t="n"/>
    </row>
    <row r="28" ht="22" customHeight="1">
      <c r="B28" s="19">
        <f>IF(C28="","RDG-"&amp;TEXT(COUNTA($C$5:C28),"000"))</f>
        <v/>
      </c>
      <c r="C28" s="16" t="n"/>
      <c r="D28" s="16" t="n"/>
      <c r="E28" s="16" t="n"/>
      <c r="F28" s="16" t="n"/>
      <c r="G28" s="16" t="n"/>
      <c r="H28" s="16" t="n"/>
      <c r="I28" s="16" t="n"/>
      <c r="J28" s="39" t="n"/>
    </row>
    <row r="29" ht="22" customHeight="1">
      <c r="B29" s="20">
        <f>IF(C29="","RDG-"&amp;TEXT(COUNTA($C$5:C29),"000"))</f>
        <v/>
      </c>
      <c r="C29" s="13" t="n"/>
      <c r="D29" s="13" t="n"/>
      <c r="E29" s="13" t="n"/>
      <c r="F29" s="13" t="n"/>
      <c r="G29" s="13" t="n"/>
      <c r="H29" s="13" t="n"/>
      <c r="I29" s="13" t="n"/>
      <c r="J29" s="38" t="n"/>
    </row>
    <row r="30" ht="22" customHeight="1">
      <c r="B30" s="19">
        <f>IF(C30="","RDG-"&amp;TEXT(COUNTA($C$5:C30),"000"))</f>
        <v/>
      </c>
      <c r="C30" s="16" t="n"/>
      <c r="D30" s="16" t="n"/>
      <c r="E30" s="16" t="n"/>
      <c r="F30" s="16" t="n"/>
      <c r="G30" s="16" t="n"/>
      <c r="H30" s="16" t="n"/>
      <c r="I30" s="16" t="n"/>
      <c r="J30" s="39" t="n"/>
    </row>
    <row r="31" ht="22" customHeight="1">
      <c r="B31" s="20">
        <f>IF(C31="","RDG-"&amp;TEXT(COUNTA($C$5:C31),"000"))</f>
        <v/>
      </c>
      <c r="C31" s="13" t="n"/>
      <c r="D31" s="13" t="n"/>
      <c r="E31" s="13" t="n"/>
      <c r="F31" s="13" t="n"/>
      <c r="G31" s="13" t="n"/>
      <c r="H31" s="13" t="n"/>
      <c r="I31" s="13" t="n"/>
      <c r="J31" s="38" t="n"/>
    </row>
    <row r="32" ht="22" customHeight="1">
      <c r="B32" s="19">
        <f>IF(C32="","RDG-"&amp;TEXT(COUNTA($C$5:C32),"000"))</f>
        <v/>
      </c>
      <c r="C32" s="16" t="n"/>
      <c r="D32" s="16" t="n"/>
      <c r="E32" s="16" t="n"/>
      <c r="F32" s="16" t="n"/>
      <c r="G32" s="16" t="n"/>
      <c r="H32" s="16" t="n"/>
      <c r="I32" s="16" t="n"/>
      <c r="J32" s="39" t="n"/>
    </row>
    <row r="33" ht="22" customHeight="1">
      <c r="B33" s="20">
        <f>IF(C33="","RDG-"&amp;TEXT(COUNTA($C$5:C33),"000"))</f>
        <v/>
      </c>
      <c r="C33" s="13" t="n"/>
      <c r="D33" s="13" t="n"/>
      <c r="E33" s="13" t="n"/>
      <c r="F33" s="13" t="n"/>
      <c r="G33" s="13" t="n"/>
      <c r="H33" s="13" t="n"/>
      <c r="I33" s="13" t="n"/>
      <c r="J33" s="38" t="n"/>
    </row>
    <row r="34" ht="22" customHeight="1">
      <c r="B34" s="19">
        <f>IF(C34="","RDG-"&amp;TEXT(COUNTA($C$5:C34),"000"))</f>
        <v/>
      </c>
      <c r="C34" s="16" t="n"/>
      <c r="D34" s="16" t="n"/>
      <c r="E34" s="16" t="n"/>
      <c r="F34" s="16" t="n"/>
      <c r="G34" s="16" t="n"/>
      <c r="H34" s="16" t="n"/>
      <c r="I34" s="16" t="n"/>
      <c r="J34" s="39" t="n"/>
    </row>
    <row r="35" ht="22" customHeight="1">
      <c r="B35" s="20">
        <f>IF(C35="","RDG-"&amp;TEXT(COUNTA($C$5:C35),"000"))</f>
        <v/>
      </c>
      <c r="C35" s="13" t="n"/>
      <c r="D35" s="13" t="n"/>
      <c r="E35" s="13" t="n"/>
      <c r="F35" s="13" t="n"/>
      <c r="G35" s="13" t="n"/>
      <c r="H35" s="13" t="n"/>
      <c r="I35" s="13" t="n"/>
      <c r="J35" s="38" t="n"/>
    </row>
    <row r="36" ht="22" customHeight="1">
      <c r="B36" s="19">
        <f>IF(C36="","RDG-"&amp;TEXT(COUNTA($C$5:C36),"000"))</f>
        <v/>
      </c>
      <c r="C36" s="16" t="n"/>
      <c r="D36" s="16" t="n"/>
      <c r="E36" s="16" t="n"/>
      <c r="F36" s="16" t="n"/>
      <c r="G36" s="16" t="n"/>
      <c r="H36" s="16" t="n"/>
      <c r="I36" s="16" t="n"/>
      <c r="J36" s="39" t="n"/>
    </row>
    <row r="37" ht="22" customHeight="1">
      <c r="B37" s="20">
        <f>IF(C37="","RDG-"&amp;TEXT(COUNTA($C$5:C37),"000"))</f>
        <v/>
      </c>
      <c r="C37" s="13" t="n"/>
      <c r="D37" s="13" t="n"/>
      <c r="E37" s="13" t="n"/>
      <c r="F37" s="13" t="n"/>
      <c r="G37" s="13" t="n"/>
      <c r="H37" s="13" t="n"/>
      <c r="I37" s="13" t="n"/>
      <c r="J37" s="38" t="n"/>
    </row>
    <row r="38" ht="22" customHeight="1">
      <c r="B38" s="19">
        <f>IF(C38="","RDG-"&amp;TEXT(COUNTA($C$5:C38),"000"))</f>
        <v/>
      </c>
      <c r="C38" s="16" t="n"/>
      <c r="D38" s="16" t="n"/>
      <c r="E38" s="16" t="n"/>
      <c r="F38" s="16" t="n"/>
      <c r="G38" s="16" t="n"/>
      <c r="H38" s="16" t="n"/>
      <c r="I38" s="16" t="n"/>
      <c r="J38" s="39" t="n"/>
    </row>
    <row r="39" ht="22" customHeight="1">
      <c r="B39" s="20">
        <f>IF(C39="","RDG-"&amp;TEXT(COUNTA($C$5:C39),"000"))</f>
        <v/>
      </c>
      <c r="C39" s="13" t="n"/>
      <c r="D39" s="13" t="n"/>
      <c r="E39" s="13" t="n"/>
      <c r="F39" s="13" t="n"/>
      <c r="G39" s="13" t="n"/>
      <c r="H39" s="13" t="n"/>
      <c r="I39" s="13" t="n"/>
      <c r="J39" s="38" t="n"/>
    </row>
    <row r="40" ht="22" customHeight="1">
      <c r="B40" s="19">
        <f>IF(C40="","RDG-"&amp;TEXT(COUNTA($C$5:C40),"000"))</f>
        <v/>
      </c>
      <c r="C40" s="16" t="n"/>
      <c r="D40" s="16" t="n"/>
      <c r="E40" s="16" t="n"/>
      <c r="F40" s="16" t="n"/>
      <c r="G40" s="16" t="n"/>
      <c r="H40" s="16" t="n"/>
      <c r="I40" s="16" t="n"/>
      <c r="J40" s="39" t="n"/>
    </row>
    <row r="41" ht="22" customHeight="1">
      <c r="B41" s="20">
        <f>IF(C41="","RDG-"&amp;TEXT(COUNTA($C$5:C41),"000"))</f>
        <v/>
      </c>
      <c r="C41" s="13" t="n"/>
      <c r="D41" s="13" t="n"/>
      <c r="E41" s="13" t="n"/>
      <c r="F41" s="13" t="n"/>
      <c r="G41" s="13" t="n"/>
      <c r="H41" s="13" t="n"/>
      <c r="I41" s="13" t="n"/>
      <c r="J41" s="38" t="n"/>
    </row>
    <row r="42" ht="22" customHeight="1">
      <c r="B42" s="19">
        <f>IF(C42="","RDG-"&amp;TEXT(COUNTA($C$5:C42),"000"))</f>
        <v/>
      </c>
      <c r="C42" s="16" t="n"/>
      <c r="D42" s="16" t="n"/>
      <c r="E42" s="16" t="n"/>
      <c r="F42" s="16" t="n"/>
      <c r="G42" s="16" t="n"/>
      <c r="H42" s="16" t="n"/>
      <c r="I42" s="16" t="n"/>
      <c r="J42" s="39" t="n"/>
    </row>
    <row r="43" ht="22" customHeight="1">
      <c r="B43" s="20">
        <f>IF(C43="","RDG-"&amp;TEXT(COUNTA($C$5:C43),"000"))</f>
        <v/>
      </c>
      <c r="C43" s="13" t="n"/>
      <c r="D43" s="13" t="n"/>
      <c r="E43" s="13" t="n"/>
      <c r="F43" s="13" t="n"/>
      <c r="G43" s="13" t="n"/>
      <c r="H43" s="13" t="n"/>
      <c r="I43" s="13" t="n"/>
      <c r="J43" s="38" t="n"/>
    </row>
    <row r="44" ht="22" customHeight="1">
      <c r="B44" s="19">
        <f>IF(C44="","RDG-"&amp;TEXT(COUNTA($C$5:C44),"000"))</f>
        <v/>
      </c>
      <c r="C44" s="16" t="n"/>
      <c r="D44" s="16" t="n"/>
      <c r="E44" s="16" t="n"/>
      <c r="F44" s="16" t="n"/>
      <c r="G44" s="16" t="n"/>
      <c r="H44" s="16" t="n"/>
      <c r="I44" s="16" t="n"/>
      <c r="J44" s="39" t="n"/>
    </row>
    <row r="45" ht="22" customHeight="1">
      <c r="B45" s="20">
        <f>IF(C45="","RDG-"&amp;TEXT(COUNTA($C$5:C45),"000"))</f>
        <v/>
      </c>
      <c r="C45" s="13" t="n"/>
      <c r="D45" s="13" t="n"/>
      <c r="E45" s="13" t="n"/>
      <c r="F45" s="13" t="n"/>
      <c r="G45" s="13" t="n"/>
      <c r="H45" s="13" t="n"/>
      <c r="I45" s="13" t="n"/>
      <c r="J45" s="38" t="n"/>
    </row>
    <row r="46" ht="22" customHeight="1">
      <c r="B46" s="19">
        <f>IF(C46="","RDG-"&amp;TEXT(COUNTA($C$5:C46),"000"))</f>
        <v/>
      </c>
      <c r="C46" s="16" t="n"/>
      <c r="D46" s="16" t="n"/>
      <c r="E46" s="16" t="n"/>
      <c r="F46" s="16" t="n"/>
      <c r="G46" s="16" t="n"/>
      <c r="H46" s="16" t="n"/>
      <c r="I46" s="16" t="n"/>
      <c r="J46" s="39" t="n"/>
    </row>
    <row r="47" ht="22" customHeight="1">
      <c r="B47" s="20">
        <f>IF(C47="","RDG-"&amp;TEXT(COUNTA($C$5:C47),"000"))</f>
        <v/>
      </c>
      <c r="C47" s="13" t="n"/>
      <c r="D47" s="13" t="n"/>
      <c r="E47" s="13" t="n"/>
      <c r="F47" s="13" t="n"/>
      <c r="G47" s="13" t="n"/>
      <c r="H47" s="13" t="n"/>
      <c r="I47" s="13" t="n"/>
      <c r="J47" s="38" t="n"/>
    </row>
    <row r="48" ht="22" customHeight="1">
      <c r="B48" s="19">
        <f>IF(C48="","RDG-"&amp;TEXT(COUNTA($C$5:C48),"000"))</f>
        <v/>
      </c>
      <c r="C48" s="16" t="n"/>
      <c r="D48" s="16" t="n"/>
      <c r="E48" s="16" t="n"/>
      <c r="F48" s="16" t="n"/>
      <c r="G48" s="16" t="n"/>
      <c r="H48" s="16" t="n"/>
      <c r="I48" s="16" t="n"/>
      <c r="J48" s="39" t="n"/>
    </row>
    <row r="49" ht="22" customHeight="1">
      <c r="B49" s="20">
        <f>IF(C49="","RDG-"&amp;TEXT(COUNTA($C$5:C49),"000"))</f>
        <v/>
      </c>
      <c r="C49" s="13" t="n"/>
      <c r="D49" s="13" t="n"/>
      <c r="E49" s="13" t="n"/>
      <c r="F49" s="13" t="n"/>
      <c r="G49" s="13" t="n"/>
      <c r="H49" s="13" t="n"/>
      <c r="I49" s="13" t="n"/>
      <c r="J49" s="38" t="n"/>
    </row>
    <row r="50" ht="22" customHeight="1">
      <c r="B50" s="19">
        <f>IF(C50="","RDG-"&amp;TEXT(COUNTA($C$5:C50),"000"))</f>
        <v/>
      </c>
      <c r="C50" s="16" t="n"/>
      <c r="D50" s="16" t="n"/>
      <c r="E50" s="16" t="n"/>
      <c r="F50" s="16" t="n"/>
      <c r="G50" s="16" t="n"/>
      <c r="H50" s="16" t="n"/>
      <c r="I50" s="16" t="n"/>
      <c r="J50" s="39" t="n"/>
    </row>
    <row r="51" ht="22" customHeight="1">
      <c r="B51" s="20">
        <f>IF(C51="","RDG-"&amp;TEXT(COUNTA($C$5:C51),"000"))</f>
        <v/>
      </c>
      <c r="C51" s="13" t="n"/>
      <c r="D51" s="13" t="n"/>
      <c r="E51" s="13" t="n"/>
      <c r="F51" s="13" t="n"/>
      <c r="G51" s="13" t="n"/>
      <c r="H51" s="13" t="n"/>
      <c r="I51" s="13" t="n"/>
      <c r="J51" s="38" t="n"/>
    </row>
    <row r="52" ht="22" customHeight="1">
      <c r="B52" s="19">
        <f>IF(C52="","RDG-"&amp;TEXT(COUNTA($C$5:C52),"000"))</f>
        <v/>
      </c>
      <c r="C52" s="16" t="n"/>
      <c r="D52" s="16" t="n"/>
      <c r="E52" s="16" t="n"/>
      <c r="F52" s="16" t="n"/>
      <c r="G52" s="16" t="n"/>
      <c r="H52" s="16" t="n"/>
      <c r="I52" s="16" t="n"/>
      <c r="J52" s="39" t="n"/>
    </row>
    <row r="53" ht="22" customHeight="1">
      <c r="B53" s="20">
        <f>IF(C53="","RDG-"&amp;TEXT(COUNTA($C$5:C53),"000"))</f>
        <v/>
      </c>
      <c r="C53" s="13" t="n"/>
      <c r="D53" s="13" t="n"/>
      <c r="E53" s="13" t="n"/>
      <c r="F53" s="13" t="n"/>
      <c r="G53" s="13" t="n"/>
      <c r="H53" s="13" t="n"/>
      <c r="I53" s="13" t="n"/>
      <c r="J53" s="38" t="n"/>
    </row>
    <row r="54" ht="22" customHeight="1">
      <c r="B54" s="19">
        <f>IF(C54="","RDG-"&amp;TEXT(COUNTA($C$5:C54),"000"))</f>
        <v/>
      </c>
      <c r="C54" s="16" t="n"/>
      <c r="D54" s="16" t="n"/>
      <c r="E54" s="16" t="n"/>
      <c r="F54" s="16" t="n"/>
      <c r="G54" s="16" t="n"/>
      <c r="H54" s="16" t="n"/>
      <c r="I54" s="16" t="n"/>
      <c r="J54" s="39" t="n"/>
    </row>
    <row r="55" ht="22" customHeight="1">
      <c r="B55" s="20">
        <f>IF(C55="","RDG-"&amp;TEXT(COUNTA($C$5:C55),"000"))</f>
        <v/>
      </c>
      <c r="C55" s="13" t="n"/>
      <c r="D55" s="13" t="n"/>
      <c r="E55" s="13" t="n"/>
      <c r="F55" s="13" t="n"/>
      <c r="G55" s="13" t="n"/>
      <c r="H55" s="13" t="n"/>
      <c r="I55" s="13" t="n"/>
      <c r="J55" s="38" t="n"/>
    </row>
    <row r="56" ht="22" customHeight="1">
      <c r="B56" s="19">
        <f>IF(C56="","RDG-"&amp;TEXT(COUNTA($C$5:C56),"000"))</f>
        <v/>
      </c>
      <c r="C56" s="16" t="n"/>
      <c r="D56" s="16" t="n"/>
      <c r="E56" s="16" t="n"/>
      <c r="F56" s="16" t="n"/>
      <c r="G56" s="16" t="n"/>
      <c r="H56" s="16" t="n"/>
      <c r="I56" s="16" t="n"/>
      <c r="J56" s="39" t="n"/>
    </row>
    <row r="57" ht="22" customHeight="1">
      <c r="B57" s="20">
        <f>IF(C57="","RDG-"&amp;TEXT(COUNTA($C$5:C57),"000"))</f>
        <v/>
      </c>
      <c r="C57" s="13" t="n"/>
      <c r="D57" s="13" t="n"/>
      <c r="E57" s="13" t="n"/>
      <c r="F57" s="13" t="n"/>
      <c r="G57" s="13" t="n"/>
      <c r="H57" s="13" t="n"/>
      <c r="I57" s="13" t="n"/>
      <c r="J57" s="38" t="n"/>
    </row>
    <row r="58" ht="22" customHeight="1">
      <c r="B58" s="19">
        <f>IF(C58="","RDG-"&amp;TEXT(COUNTA($C$5:C58),"000"))</f>
        <v/>
      </c>
      <c r="C58" s="16" t="n"/>
      <c r="D58" s="16" t="n"/>
      <c r="E58" s="16" t="n"/>
      <c r="F58" s="16" t="n"/>
      <c r="G58" s="16" t="n"/>
      <c r="H58" s="16" t="n"/>
      <c r="I58" s="16" t="n"/>
      <c r="J58" s="39" t="n"/>
    </row>
    <row r="59" ht="22" customHeight="1">
      <c r="B59" s="20">
        <f>IF(C59="","RDG-"&amp;TEXT(COUNTA($C$5:C59),"000"))</f>
        <v/>
      </c>
      <c r="C59" s="13" t="n"/>
      <c r="D59" s="13" t="n"/>
      <c r="E59" s="13" t="n"/>
      <c r="F59" s="13" t="n"/>
      <c r="G59" s="13" t="n"/>
      <c r="H59" s="13" t="n"/>
      <c r="I59" s="13" t="n"/>
      <c r="J59" s="38" t="n"/>
    </row>
    <row r="60" ht="22" customHeight="1">
      <c r="B60" s="19">
        <f>IF(C60="","RDG-"&amp;TEXT(COUNTA($C$5:C60),"000"))</f>
        <v/>
      </c>
      <c r="C60" s="16" t="n"/>
      <c r="D60" s="16" t="n"/>
      <c r="E60" s="16" t="n"/>
      <c r="F60" s="16" t="n"/>
      <c r="G60" s="16" t="n"/>
      <c r="H60" s="16" t="n"/>
      <c r="I60" s="16" t="n"/>
      <c r="J60" s="39" t="n"/>
    </row>
    <row r="61" ht="22" customHeight="1">
      <c r="B61" s="20">
        <f>IF(C61="","RDG-"&amp;TEXT(COUNTA($C$5:C61),"000"))</f>
        <v/>
      </c>
      <c r="C61" s="13" t="n"/>
      <c r="D61" s="13" t="n"/>
      <c r="E61" s="13" t="n"/>
      <c r="F61" s="13" t="n"/>
      <c r="G61" s="13" t="n"/>
      <c r="H61" s="13" t="n"/>
      <c r="I61" s="13" t="n"/>
      <c r="J61" s="38" t="n"/>
    </row>
    <row r="62" ht="22" customHeight="1">
      <c r="B62" s="19">
        <f>IF(C62="","RDG-"&amp;TEXT(COUNTA($C$5:C62),"000"))</f>
        <v/>
      </c>
      <c r="C62" s="16" t="n"/>
      <c r="D62" s="16" t="n"/>
      <c r="E62" s="16" t="n"/>
      <c r="F62" s="16" t="n"/>
      <c r="G62" s="16" t="n"/>
      <c r="H62" s="16" t="n"/>
      <c r="I62" s="16" t="n"/>
      <c r="J62" s="39" t="n"/>
    </row>
    <row r="63" ht="22" customHeight="1">
      <c r="B63" s="20">
        <f>IF(C63="","RDG-"&amp;TEXT(COUNTA($C$5:C63),"000"))</f>
        <v/>
      </c>
      <c r="C63" s="13" t="n"/>
      <c r="D63" s="13" t="n"/>
      <c r="E63" s="13" t="n"/>
      <c r="F63" s="13" t="n"/>
      <c r="G63" s="13" t="n"/>
      <c r="H63" s="13" t="n"/>
      <c r="I63" s="13" t="n"/>
      <c r="J63" s="38" t="n"/>
    </row>
    <row r="64" ht="22" customHeight="1">
      <c r="B64" s="19">
        <f>IF(C64="","RDG-"&amp;TEXT(COUNTA($C$5:C64),"000"))</f>
        <v/>
      </c>
      <c r="C64" s="16" t="n"/>
      <c r="D64" s="16" t="n"/>
      <c r="E64" s="16" t="n"/>
      <c r="F64" s="16" t="n"/>
      <c r="G64" s="16" t="n"/>
      <c r="H64" s="16" t="n"/>
      <c r="I64" s="16" t="n"/>
      <c r="J64" s="39" t="n"/>
    </row>
    <row r="65" ht="22" customHeight="1">
      <c r="B65" s="20">
        <f>IF(C65="","RDG-"&amp;TEXT(COUNTA($C$5:C65),"000"))</f>
        <v/>
      </c>
      <c r="C65" s="13" t="n"/>
      <c r="D65" s="13" t="n"/>
      <c r="E65" s="13" t="n"/>
      <c r="F65" s="13" t="n"/>
      <c r="G65" s="13" t="n"/>
      <c r="H65" s="13" t="n"/>
      <c r="I65" s="13" t="n"/>
      <c r="J65" s="38" t="n"/>
    </row>
    <row r="66" ht="22" customHeight="1">
      <c r="B66" s="19">
        <f>IF(C66="","RDG-"&amp;TEXT(COUNTA($C$5:C66),"000"))</f>
        <v/>
      </c>
      <c r="C66" s="16" t="n"/>
      <c r="D66" s="16" t="n"/>
      <c r="E66" s="16" t="n"/>
      <c r="F66" s="16" t="n"/>
      <c r="G66" s="16" t="n"/>
      <c r="H66" s="16" t="n"/>
      <c r="I66" s="16" t="n"/>
      <c r="J66" s="39" t="n"/>
    </row>
    <row r="67" ht="22" customHeight="1">
      <c r="B67" s="20">
        <f>IF(C67="","RDG-"&amp;TEXT(COUNTA($C$5:C67),"000"))</f>
        <v/>
      </c>
      <c r="C67" s="13" t="n"/>
      <c r="D67" s="13" t="n"/>
      <c r="E67" s="13" t="n"/>
      <c r="F67" s="13" t="n"/>
      <c r="G67" s="13" t="n"/>
      <c r="H67" s="13" t="n"/>
      <c r="I67" s="13" t="n"/>
      <c r="J67" s="38" t="n"/>
    </row>
    <row r="68" ht="22" customHeight="1">
      <c r="B68" s="19">
        <f>IF(C68="","RDG-"&amp;TEXT(COUNTA($C$5:C68),"000"))</f>
        <v/>
      </c>
      <c r="C68" s="16" t="n"/>
      <c r="D68" s="16" t="n"/>
      <c r="E68" s="16" t="n"/>
      <c r="F68" s="16" t="n"/>
      <c r="G68" s="16" t="n"/>
      <c r="H68" s="16" t="n"/>
      <c r="I68" s="16" t="n"/>
      <c r="J68" s="39" t="n"/>
    </row>
    <row r="69" ht="22" customHeight="1">
      <c r="B69" s="20">
        <f>IF(C69="","RDG-"&amp;TEXT(COUNTA($C$5:C69),"000"))</f>
        <v/>
      </c>
      <c r="C69" s="13" t="n"/>
      <c r="D69" s="13" t="n"/>
      <c r="E69" s="13" t="n"/>
      <c r="F69" s="13" t="n"/>
      <c r="G69" s="13" t="n"/>
      <c r="H69" s="13" t="n"/>
      <c r="I69" s="13" t="n"/>
      <c r="J69" s="38" t="n"/>
    </row>
    <row r="70" ht="22" customHeight="1">
      <c r="B70" s="19">
        <f>IF(C70="","RDG-"&amp;TEXT(COUNTA($C$5:C70),"000"))</f>
        <v/>
      </c>
      <c r="C70" s="16" t="n"/>
      <c r="D70" s="16" t="n"/>
      <c r="E70" s="16" t="n"/>
      <c r="F70" s="16" t="n"/>
      <c r="G70" s="16" t="n"/>
      <c r="H70" s="16" t="n"/>
      <c r="I70" s="16" t="n"/>
      <c r="J70" s="39" t="n"/>
    </row>
    <row r="71" ht="22" customHeight="1">
      <c r="B71" s="20">
        <f>IF(C71="","RDG-"&amp;TEXT(COUNTA($C$5:C71),"000"))</f>
        <v/>
      </c>
      <c r="C71" s="13" t="n"/>
      <c r="D71" s="13" t="n"/>
      <c r="E71" s="13" t="n"/>
      <c r="F71" s="13" t="n"/>
      <c r="G71" s="13" t="n"/>
      <c r="H71" s="13" t="n"/>
      <c r="I71" s="13" t="n"/>
      <c r="J71" s="38" t="n"/>
    </row>
    <row r="72" ht="22" customHeight="1">
      <c r="B72" s="19">
        <f>IF(C72="","RDG-"&amp;TEXT(COUNTA($C$5:C72),"000"))</f>
        <v/>
      </c>
      <c r="C72" s="16" t="n"/>
      <c r="D72" s="16" t="n"/>
      <c r="E72" s="16" t="n"/>
      <c r="F72" s="16" t="n"/>
      <c r="G72" s="16" t="n"/>
      <c r="H72" s="16" t="n"/>
      <c r="I72" s="16" t="n"/>
      <c r="J72" s="39" t="n"/>
    </row>
    <row r="73" ht="22" customHeight="1">
      <c r="B73" s="20">
        <f>IF(C73="","RDG-"&amp;TEXT(COUNTA($C$5:C73),"000"))</f>
        <v/>
      </c>
      <c r="C73" s="13" t="n"/>
      <c r="D73" s="13" t="n"/>
      <c r="E73" s="13" t="n"/>
      <c r="F73" s="13" t="n"/>
      <c r="G73" s="13" t="n"/>
      <c r="H73" s="13" t="n"/>
      <c r="I73" s="13" t="n"/>
      <c r="J73" s="38" t="n"/>
    </row>
    <row r="74" ht="22" customHeight="1">
      <c r="B74" s="19">
        <f>IF(C74="","RDG-"&amp;TEXT(COUNTA($C$5:C74),"000"))</f>
        <v/>
      </c>
      <c r="C74" s="16" t="n"/>
      <c r="D74" s="16" t="n"/>
      <c r="E74" s="16" t="n"/>
      <c r="F74" s="16" t="n"/>
      <c r="G74" s="16" t="n"/>
      <c r="H74" s="16" t="n"/>
      <c r="I74" s="16" t="n"/>
      <c r="J74" s="39" t="n"/>
    </row>
    <row r="75" ht="22" customHeight="1">
      <c r="B75" s="20">
        <f>IF(C75="","RDG-"&amp;TEXT(COUNTA($C$5:C75),"000"))</f>
        <v/>
      </c>
      <c r="C75" s="13" t="n"/>
      <c r="D75" s="13" t="n"/>
      <c r="E75" s="13" t="n"/>
      <c r="F75" s="13" t="n"/>
      <c r="G75" s="13" t="n"/>
      <c r="H75" s="13" t="n"/>
      <c r="I75" s="13" t="n"/>
      <c r="J75" s="38" t="n"/>
    </row>
    <row r="76" ht="22" customHeight="1">
      <c r="B76" s="19">
        <f>IF(C76="","RDG-"&amp;TEXT(COUNTA($C$5:C76),"000"))</f>
        <v/>
      </c>
      <c r="C76" s="16" t="n"/>
      <c r="D76" s="16" t="n"/>
      <c r="E76" s="16" t="n"/>
      <c r="F76" s="16" t="n"/>
      <c r="G76" s="16" t="n"/>
      <c r="H76" s="16" t="n"/>
      <c r="I76" s="16" t="n"/>
      <c r="J76" s="39" t="n"/>
    </row>
    <row r="77" ht="22" customHeight="1">
      <c r="B77" s="20">
        <f>IF(C77="","RDG-"&amp;TEXT(COUNTA($C$5:C77),"000"))</f>
        <v/>
      </c>
      <c r="C77" s="13" t="n"/>
      <c r="D77" s="13" t="n"/>
      <c r="E77" s="13" t="n"/>
      <c r="F77" s="13" t="n"/>
      <c r="G77" s="13" t="n"/>
      <c r="H77" s="13" t="n"/>
      <c r="I77" s="13" t="n"/>
      <c r="J77" s="38" t="n"/>
    </row>
    <row r="78" ht="22" customHeight="1">
      <c r="B78" s="19">
        <f>IF(C78="","RDG-"&amp;TEXT(COUNTA($C$5:C78),"000"))</f>
        <v/>
      </c>
      <c r="C78" s="16" t="n"/>
      <c r="D78" s="16" t="n"/>
      <c r="E78" s="16" t="n"/>
      <c r="F78" s="16" t="n"/>
      <c r="G78" s="16" t="n"/>
      <c r="H78" s="16" t="n"/>
      <c r="I78" s="16" t="n"/>
      <c r="J78" s="39" t="n"/>
    </row>
    <row r="79" ht="22" customHeight="1">
      <c r="B79" s="20">
        <f>IF(C79="","RDG-"&amp;TEXT(COUNTA($C$5:C79),"000"))</f>
        <v/>
      </c>
      <c r="C79" s="13" t="n"/>
      <c r="D79" s="13" t="n"/>
      <c r="E79" s="13" t="n"/>
      <c r="F79" s="13" t="n"/>
      <c r="G79" s="13" t="n"/>
      <c r="H79" s="13" t="n"/>
      <c r="I79" s="13" t="n"/>
      <c r="J79" s="38" t="n"/>
    </row>
    <row r="80" ht="22" customHeight="1">
      <c r="B80" s="19">
        <f>IF(C80="","RDG-"&amp;TEXT(COUNTA($C$5:C80),"000"))</f>
        <v/>
      </c>
      <c r="C80" s="16" t="n"/>
      <c r="D80" s="16" t="n"/>
      <c r="E80" s="16" t="n"/>
      <c r="F80" s="16" t="n"/>
      <c r="G80" s="16" t="n"/>
      <c r="H80" s="16" t="n"/>
      <c r="I80" s="16" t="n"/>
      <c r="J80" s="39" t="n"/>
    </row>
    <row r="81" ht="22" customHeight="1">
      <c r="B81" s="20">
        <f>IF(C81="","RDG-"&amp;TEXT(COUNTA($C$5:C81),"000"))</f>
        <v/>
      </c>
      <c r="C81" s="13" t="n"/>
      <c r="D81" s="13" t="n"/>
      <c r="E81" s="13" t="n"/>
      <c r="F81" s="13" t="n"/>
      <c r="G81" s="13" t="n"/>
      <c r="H81" s="13" t="n"/>
      <c r="I81" s="13" t="n"/>
      <c r="J81" s="38" t="n"/>
    </row>
    <row r="82" ht="22" customHeight="1">
      <c r="B82" s="19">
        <f>IF(C82="","RDG-"&amp;TEXT(COUNTA($C$5:C82),"000"))</f>
        <v/>
      </c>
      <c r="C82" s="16" t="n"/>
      <c r="D82" s="16" t="n"/>
      <c r="E82" s="16" t="n"/>
      <c r="F82" s="16" t="n"/>
      <c r="G82" s="16" t="n"/>
      <c r="H82" s="16" t="n"/>
      <c r="I82" s="16" t="n"/>
      <c r="J82" s="39" t="n"/>
    </row>
    <row r="83" ht="22" customHeight="1">
      <c r="B83" s="20">
        <f>IF(C83="","RDG-"&amp;TEXT(COUNTA($C$5:C83),"000"))</f>
        <v/>
      </c>
      <c r="C83" s="13" t="n"/>
      <c r="D83" s="13" t="n"/>
      <c r="E83" s="13" t="n"/>
      <c r="F83" s="13" t="n"/>
      <c r="G83" s="13" t="n"/>
      <c r="H83" s="13" t="n"/>
      <c r="I83" s="13" t="n"/>
      <c r="J83" s="38" t="n"/>
    </row>
    <row r="84" ht="22" customHeight="1">
      <c r="B84" s="19">
        <f>IF(C84="","RDG-"&amp;TEXT(COUNTA($C$5:C84),"000"))</f>
        <v/>
      </c>
      <c r="C84" s="16" t="n"/>
      <c r="D84" s="16" t="n"/>
      <c r="E84" s="16" t="n"/>
      <c r="F84" s="16" t="n"/>
      <c r="G84" s="16" t="n"/>
      <c r="H84" s="16" t="n"/>
      <c r="I84" s="16" t="n"/>
      <c r="J84" s="39" t="n"/>
    </row>
    <row r="85" ht="22" customHeight="1">
      <c r="B85" s="20">
        <f>IF(C85="","RDG-"&amp;TEXT(COUNTA($C$5:C85),"000"))</f>
        <v/>
      </c>
      <c r="C85" s="13" t="n"/>
      <c r="D85" s="13" t="n"/>
      <c r="E85" s="13" t="n"/>
      <c r="F85" s="13" t="n"/>
      <c r="G85" s="13" t="n"/>
      <c r="H85" s="13" t="n"/>
      <c r="I85" s="13" t="n"/>
      <c r="J85" s="38" t="n"/>
    </row>
    <row r="86" ht="22" customHeight="1">
      <c r="B86" s="19">
        <f>IF(C86="","RDG-"&amp;TEXT(COUNTA($C$5:C86),"000"))</f>
        <v/>
      </c>
      <c r="C86" s="16" t="n"/>
      <c r="D86" s="16" t="n"/>
      <c r="E86" s="16" t="n"/>
      <c r="F86" s="16" t="n"/>
      <c r="G86" s="16" t="n"/>
      <c r="H86" s="16" t="n"/>
      <c r="I86" s="16" t="n"/>
      <c r="J86" s="39" t="n"/>
    </row>
    <row r="87" ht="22" customHeight="1">
      <c r="B87" s="20">
        <f>IF(C87="","RDG-"&amp;TEXT(COUNTA($C$5:C87),"000"))</f>
        <v/>
      </c>
      <c r="C87" s="13" t="n"/>
      <c r="D87" s="13" t="n"/>
      <c r="E87" s="13" t="n"/>
      <c r="F87" s="13" t="n"/>
      <c r="G87" s="13" t="n"/>
      <c r="H87" s="13" t="n"/>
      <c r="I87" s="13" t="n"/>
      <c r="J87" s="38" t="n"/>
    </row>
    <row r="88" ht="22" customHeight="1">
      <c r="B88" s="19">
        <f>IF(C88="","RDG-"&amp;TEXT(COUNTA($C$5:C88),"000"))</f>
        <v/>
      </c>
      <c r="C88" s="16" t="n"/>
      <c r="D88" s="16" t="n"/>
      <c r="E88" s="16" t="n"/>
      <c r="F88" s="16" t="n"/>
      <c r="G88" s="16" t="n"/>
      <c r="H88" s="16" t="n"/>
      <c r="I88" s="16" t="n"/>
      <c r="J88" s="39" t="n"/>
    </row>
    <row r="89" ht="22" customHeight="1">
      <c r="B89" s="20">
        <f>IF(C89="","RDG-"&amp;TEXT(COUNTA($C$5:C89),"000"))</f>
        <v/>
      </c>
      <c r="C89" s="13" t="n"/>
      <c r="D89" s="13" t="n"/>
      <c r="E89" s="13" t="n"/>
      <c r="F89" s="13" t="n"/>
      <c r="G89" s="13" t="n"/>
      <c r="H89" s="13" t="n"/>
      <c r="I89" s="13" t="n"/>
      <c r="J89" s="38" t="n"/>
    </row>
    <row r="90" ht="22" customHeight="1">
      <c r="B90" s="19">
        <f>IF(C90="","RDG-"&amp;TEXT(COUNTA($C$5:C90),"000"))</f>
        <v/>
      </c>
      <c r="C90" s="16" t="n"/>
      <c r="D90" s="16" t="n"/>
      <c r="E90" s="16" t="n"/>
      <c r="F90" s="16" t="n"/>
      <c r="G90" s="16" t="n"/>
      <c r="H90" s="16" t="n"/>
      <c r="I90" s="16" t="n"/>
      <c r="J90" s="39" t="n"/>
    </row>
    <row r="91" ht="22" customHeight="1">
      <c r="B91" s="20">
        <f>IF(C91="","RDG-"&amp;TEXT(COUNTA($C$5:C91),"000"))</f>
        <v/>
      </c>
      <c r="C91" s="13" t="n"/>
      <c r="D91" s="13" t="n"/>
      <c r="E91" s="13" t="n"/>
      <c r="F91" s="13" t="n"/>
      <c r="G91" s="13" t="n"/>
      <c r="H91" s="13" t="n"/>
      <c r="I91" s="13" t="n"/>
      <c r="J91" s="38" t="n"/>
    </row>
    <row r="92" ht="22" customHeight="1">
      <c r="B92" s="19">
        <f>IF(C92="","RDG-"&amp;TEXT(COUNTA($C$5:C92),"000"))</f>
        <v/>
      </c>
      <c r="C92" s="16" t="n"/>
      <c r="D92" s="16" t="n"/>
      <c r="E92" s="16" t="n"/>
      <c r="F92" s="16" t="n"/>
      <c r="G92" s="16" t="n"/>
      <c r="H92" s="16" t="n"/>
      <c r="I92" s="16" t="n"/>
      <c r="J92" s="39" t="n"/>
    </row>
    <row r="93" ht="22" customHeight="1">
      <c r="B93" s="20">
        <f>IF(C93="","RDG-"&amp;TEXT(COUNTA($C$5:C93),"000"))</f>
        <v/>
      </c>
      <c r="C93" s="13" t="n"/>
      <c r="D93" s="13" t="n"/>
      <c r="E93" s="13" t="n"/>
      <c r="F93" s="13" t="n"/>
      <c r="G93" s="13" t="n"/>
      <c r="H93" s="13" t="n"/>
      <c r="I93" s="13" t="n"/>
      <c r="J93" s="38" t="n"/>
    </row>
    <row r="94" ht="22" customHeight="1">
      <c r="B94" s="19">
        <f>IF(C94="","RDG-"&amp;TEXT(COUNTA($C$5:C94),"000"))</f>
        <v/>
      </c>
      <c r="C94" s="16" t="n"/>
      <c r="D94" s="16" t="n"/>
      <c r="E94" s="16" t="n"/>
      <c r="F94" s="16" t="n"/>
      <c r="G94" s="16" t="n"/>
      <c r="H94" s="16" t="n"/>
      <c r="I94" s="16" t="n"/>
      <c r="J94" s="39" t="n"/>
    </row>
    <row r="95" ht="22" customHeight="1">
      <c r="B95" s="20">
        <f>IF(C95="","RDG-"&amp;TEXT(COUNTA($C$5:C95),"000"))</f>
        <v/>
      </c>
      <c r="C95" s="13" t="n"/>
      <c r="D95" s="13" t="n"/>
      <c r="E95" s="13" t="n"/>
      <c r="F95" s="13" t="n"/>
      <c r="G95" s="13" t="n"/>
      <c r="H95" s="13" t="n"/>
      <c r="I95" s="13" t="n"/>
      <c r="J95" s="38" t="n"/>
    </row>
    <row r="96" ht="22" customHeight="1">
      <c r="B96" s="19">
        <f>IF(C96="","RDG-"&amp;TEXT(COUNTA($C$5:C96),"000"))</f>
        <v/>
      </c>
      <c r="C96" s="16" t="n"/>
      <c r="D96" s="16" t="n"/>
      <c r="E96" s="16" t="n"/>
      <c r="F96" s="16" t="n"/>
      <c r="G96" s="16" t="n"/>
      <c r="H96" s="16" t="n"/>
      <c r="I96" s="16" t="n"/>
      <c r="J96" s="39" t="n"/>
    </row>
    <row r="97" ht="22" customHeight="1">
      <c r="B97" s="20">
        <f>IF(C97="","RDG-"&amp;TEXT(COUNTA($C$5:C97),"000"))</f>
        <v/>
      </c>
      <c r="C97" s="13" t="n"/>
      <c r="D97" s="13" t="n"/>
      <c r="E97" s="13" t="n"/>
      <c r="F97" s="13" t="n"/>
      <c r="G97" s="13" t="n"/>
      <c r="H97" s="13" t="n"/>
      <c r="I97" s="13" t="n"/>
      <c r="J97" s="38" t="n"/>
    </row>
    <row r="98" ht="22" customHeight="1">
      <c r="B98" s="19">
        <f>IF(C98="","RDG-"&amp;TEXT(COUNTA($C$5:C98),"000"))</f>
        <v/>
      </c>
      <c r="C98" s="16" t="n"/>
      <c r="D98" s="16" t="n"/>
      <c r="E98" s="16" t="n"/>
      <c r="F98" s="16" t="n"/>
      <c r="G98" s="16" t="n"/>
      <c r="H98" s="16" t="n"/>
      <c r="I98" s="16" t="n"/>
      <c r="J98" s="39" t="n"/>
    </row>
    <row r="99" ht="22" customHeight="1">
      <c r="B99" s="20">
        <f>IF(C99="","RDG-"&amp;TEXT(COUNTA($C$5:C99),"000"))</f>
        <v/>
      </c>
      <c r="C99" s="13" t="n"/>
      <c r="D99" s="13" t="n"/>
      <c r="E99" s="13" t="n"/>
      <c r="F99" s="13" t="n"/>
      <c r="G99" s="13" t="n"/>
      <c r="H99" s="13" t="n"/>
      <c r="I99" s="13" t="n"/>
      <c r="J99" s="38" t="n"/>
    </row>
    <row r="100" ht="22" customHeight="1">
      <c r="B100" s="19">
        <f>IF(C100="","RDG-"&amp;TEXT(COUNTA($C$5:C100),"000"))</f>
        <v/>
      </c>
      <c r="C100" s="16" t="n"/>
      <c r="D100" s="16" t="n"/>
      <c r="E100" s="16" t="n"/>
      <c r="F100" s="16" t="n"/>
      <c r="G100" s="16" t="n"/>
      <c r="H100" s="16" t="n"/>
      <c r="I100" s="16" t="n"/>
      <c r="J100" s="39" t="n"/>
    </row>
    <row r="101" ht="22" customHeight="1">
      <c r="B101" s="20">
        <f>IF(C101="","RDG-"&amp;TEXT(COUNTA($C$5:C101),"000"))</f>
        <v/>
      </c>
      <c r="C101" s="13" t="n"/>
      <c r="D101" s="13" t="n"/>
      <c r="E101" s="13" t="n"/>
      <c r="F101" s="13" t="n"/>
      <c r="G101" s="13" t="n"/>
      <c r="H101" s="13" t="n"/>
      <c r="I101" s="13" t="n"/>
      <c r="J101" s="38" t="n"/>
    </row>
    <row r="102" ht="22" customHeight="1">
      <c r="B102" s="19">
        <f>IF(C102="","RDG-"&amp;TEXT(COUNTA($C$5:C102),"000"))</f>
        <v/>
      </c>
      <c r="C102" s="16" t="n"/>
      <c r="D102" s="16" t="n"/>
      <c r="E102" s="16" t="n"/>
      <c r="F102" s="16" t="n"/>
      <c r="G102" s="16" t="n"/>
      <c r="H102" s="16" t="n"/>
      <c r="I102" s="16" t="n"/>
      <c r="J102" s="39" t="n"/>
    </row>
    <row r="103" ht="22" customHeight="1">
      <c r="B103" s="20">
        <f>IF(C103="","RDG-"&amp;TEXT(COUNTA($C$5:C103),"000"))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38" t="n"/>
    </row>
    <row r="104" ht="22" customHeight="1">
      <c r="B104" s="19">
        <f>IF(C104="","RDG-"&amp;TEXT(COUNTA($C$5:C104),"000"))</f>
        <v/>
      </c>
      <c r="C104" s="16" t="n"/>
      <c r="D104" s="16" t="n"/>
      <c r="E104" s="16" t="n"/>
      <c r="F104" s="16" t="n"/>
      <c r="G104" s="16" t="n"/>
      <c r="H104" s="16" t="n"/>
      <c r="I104" s="16" t="n"/>
      <c r="J104" s="39" t="n"/>
    </row>
    <row r="105" ht="22" customHeight="1">
      <c r="B105" s="20">
        <f>IF(C105="","RDG-"&amp;TEXT(COUNTA($C$5:C105),"000"))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38" t="n"/>
    </row>
    <row r="106" ht="22" customHeight="1">
      <c r="B106" s="19">
        <f>IF(C106="","RDG-"&amp;TEXT(COUNTA($C$5:C106),"000"))</f>
        <v/>
      </c>
      <c r="C106" s="16" t="n"/>
      <c r="D106" s="16" t="n"/>
      <c r="E106" s="16" t="n"/>
      <c r="F106" s="16" t="n"/>
      <c r="G106" s="16" t="n"/>
      <c r="H106" s="16" t="n"/>
      <c r="I106" s="16" t="n"/>
      <c r="J106" s="39" t="n"/>
    </row>
    <row r="107" ht="22" customHeight="1">
      <c r="B107" s="20">
        <f>IF(C107="","RDG-"&amp;TEXT(COUNTA($C$5:C107),"000"))</f>
        <v/>
      </c>
      <c r="C107" s="13" t="n"/>
      <c r="D107" s="13" t="n"/>
      <c r="E107" s="13" t="n"/>
      <c r="F107" s="13" t="n"/>
      <c r="G107" s="13" t="n"/>
      <c r="H107" s="13" t="n"/>
      <c r="I107" s="13" t="n"/>
      <c r="J107" s="38" t="n"/>
    </row>
    <row r="108" ht="22" customHeight="1">
      <c r="B108" s="19">
        <f>IF(C108="","RDG-"&amp;TEXT(COUNTA($C$5:C108),"000"))</f>
        <v/>
      </c>
      <c r="C108" s="16" t="n"/>
      <c r="D108" s="16" t="n"/>
      <c r="E108" s="16" t="n"/>
      <c r="F108" s="16" t="n"/>
      <c r="G108" s="16" t="n"/>
      <c r="H108" s="16" t="n"/>
      <c r="I108" s="16" t="n"/>
      <c r="J108" s="39" t="n"/>
    </row>
    <row r="109" ht="22" customHeight="1">
      <c r="B109" s="20">
        <f>IF(C109="","RDG-"&amp;TEXT(COUNTA($C$5:C109),"000"))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38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Indicateurs DG</t>
        </is>
      </c>
      <c r="D112" s="3" t="inlineStr">
        <is>
          <t>Alertes rouges</t>
        </is>
      </c>
      <c r="F112" s="3" t="inlineStr">
        <is>
          <t>Verts (OK)</t>
        </is>
      </c>
    </row>
    <row r="113">
      <c r="B113" s="4">
        <f>COUNTIF(B5:B104,"&lt;&gt;")</f>
        <v/>
      </c>
      <c r="D113" s="4">
        <f>COUNTIF(H5:H104,"Rouge (Alerte)")</f>
        <v/>
      </c>
      <c r="F113" s="4">
        <f>COUNTIF(H5:H104,"Vert (OK)")</f>
        <v/>
      </c>
    </row>
  </sheetData>
  <mergeCells count="3">
    <mergeCell ref="B3:J3"/>
    <mergeCell ref="B2:J2"/>
    <mergeCell ref="B111:J111"/>
  </mergeCells>
  <conditionalFormatting sqref="H5:H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10:B109">
    <cfRule type="expression" priority="274" dxfId="3">
      <formula>AND($C10="",$C9&lt;&gt;"")</formula>
    </cfRule>
  </conditionalFormatting>
  <conditionalFormatting sqref="C10:C109">
    <cfRule type="expression" priority="275" dxfId="3">
      <formula>AND($C10="",$C9&lt;&gt;"")</formula>
    </cfRule>
  </conditionalFormatting>
  <conditionalFormatting sqref="D10:D109">
    <cfRule type="expression" priority="276" dxfId="3">
      <formula>AND($C10="",$C9&lt;&gt;"")</formula>
    </cfRule>
  </conditionalFormatting>
  <conditionalFormatting sqref="E10:E109">
    <cfRule type="expression" priority="277" dxfId="3">
      <formula>AND($C10="",$C9&lt;&gt;"")</formula>
    </cfRule>
  </conditionalFormatting>
  <conditionalFormatting sqref="F10:F109">
    <cfRule type="expression" priority="278" dxfId="3">
      <formula>AND($C10="",$C9&lt;&gt;"")</formula>
    </cfRule>
  </conditionalFormatting>
  <conditionalFormatting sqref="G10:G109">
    <cfRule type="expression" priority="279" dxfId="3">
      <formula>AND($C10="",$C9&lt;&gt;"")</formula>
    </cfRule>
  </conditionalFormatting>
  <conditionalFormatting sqref="H10:H109">
    <cfRule type="expression" priority="280" dxfId="3">
      <formula>AND($C10="",$C9&lt;&gt;"")</formula>
    </cfRule>
  </conditionalFormatting>
  <conditionalFormatting sqref="I10:I109">
    <cfRule type="expression" priority="281" dxfId="3">
      <formula>AND($C10="",$C9&lt;&gt;"")</formula>
    </cfRule>
  </conditionalFormatting>
  <conditionalFormatting sqref="J10:J109">
    <cfRule type="expression" priority="282" dxfId="3">
      <formula>AND($C10="",$C9&lt;&gt;"")</formula>
    </cfRule>
  </conditionalFormatting>
  <dataValidations count="1">
    <dataValidation sqref="H5:H109" showDropDown="0" showInputMessage="0" showErrorMessage="0" allowBlank="1" errorTitle="Erreur" error="Valeur invalide" promptTitle="Liste" prompt="Choisir dans la liste" type="list">
      <formula1>'_Lists'!$Q$2:$Q$5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22" customWidth="1" min="5" max="5"/>
    <col width="20" customWidth="1" min="6" max="6"/>
    <col width="20" customWidth="1" min="7" max="7"/>
    <col width="22" customWidth="1" min="8" max="8"/>
    <col width="16" customWidth="1" min="9" max="9"/>
    <col width="34" customWidth="1" min="10" max="10"/>
    <col width="14" customWidth="1" min="11" max="11"/>
    <col width="36" customWidth="1" min="12" max="12"/>
  </cols>
  <sheetData>
    <row r="1" ht="15" customHeight="1"/>
    <row r="2" ht="32" customHeight="1">
      <c r="B2" s="1" t="inlineStr">
        <is>
          <t>BENCHMARKING RH HOTELIER (#173)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Indicateur Benchmark</t>
        </is>
      </c>
      <c r="D4" s="12" t="inlineStr">
        <is>
          <t>Notre Hotel</t>
        </is>
      </c>
      <c r="E4" s="12" t="inlineStr">
        <is>
          <t>Moyenne 4 Etoiles</t>
        </is>
      </c>
      <c r="F4" s="12" t="inlineStr">
        <is>
          <t>Meilleur Pratique</t>
        </is>
      </c>
      <c r="G4" s="12" t="inlineStr">
        <is>
          <t>Ecart vs Moyenne</t>
        </is>
      </c>
      <c r="H4" s="12" t="inlineStr">
        <is>
          <t>Ecart vs Meilleur</t>
        </is>
      </c>
      <c r="I4" s="12" t="inlineStr">
        <is>
          <t>Classement</t>
        </is>
      </c>
      <c r="J4" s="12" t="inlineStr">
        <is>
          <t>Plan Action</t>
        </is>
      </c>
      <c r="K4" s="12" t="inlineStr">
        <is>
          <t>Priorite</t>
        </is>
      </c>
      <c r="L4" s="12" t="inlineStr">
        <is>
          <t>Observations</t>
        </is>
      </c>
    </row>
    <row r="5" ht="22" customHeight="1">
      <c r="B5" s="13" t="inlineStr">
        <is>
          <t>BM-001</t>
        </is>
      </c>
      <c r="C5" s="13" t="inlineStr">
        <is>
          <t>Taux rotation (%)</t>
        </is>
      </c>
      <c r="D5" s="40" t="n">
        <v>18</v>
      </c>
      <c r="E5" s="40" t="n">
        <v>22</v>
      </c>
      <c r="F5" s="40" t="n">
        <v>10</v>
      </c>
      <c r="G5" s="41" t="n"/>
      <c r="H5" s="41" t="n"/>
      <c r="I5" s="13" t="inlineStr">
        <is>
          <t>Bon</t>
        </is>
      </c>
      <c r="J5" s="13" t="inlineStr">
        <is>
          <t>Maintenir initiatives retention</t>
        </is>
      </c>
      <c r="K5" s="13" t="inlineStr">
        <is>
          <t>Moyenne</t>
        </is>
      </c>
      <c r="L5" s="13" t="inlineStr">
        <is>
          <t>Meilleur que la moyenne sectorielle</t>
        </is>
      </c>
    </row>
    <row r="6" ht="22" customHeight="1">
      <c r="B6" s="16" t="inlineStr">
        <is>
          <t>BM-002</t>
        </is>
      </c>
      <c r="C6" s="16" t="inlineStr">
        <is>
          <t>Delai embauche (j)</t>
        </is>
      </c>
      <c r="D6" s="42" t="n">
        <v>28</v>
      </c>
      <c r="E6" s="42" t="n">
        <v>35</v>
      </c>
      <c r="F6" s="42" t="n">
        <v>14</v>
      </c>
      <c r="G6" s="43" t="n"/>
      <c r="H6" s="43" t="n"/>
      <c r="I6" s="16" t="inlineStr">
        <is>
          <t>Bon</t>
        </is>
      </c>
      <c r="J6" s="16" t="inlineStr">
        <is>
          <t>Continuer IA recrutement</t>
        </is>
      </c>
      <c r="K6" s="16" t="inlineStr">
        <is>
          <t>Moyenne</t>
        </is>
      </c>
      <c r="L6" s="16" t="inlineStr">
        <is>
          <t>Objectif atteindre 21j d'ici fin annee</t>
        </is>
      </c>
    </row>
    <row r="7" ht="22" customHeight="1">
      <c r="B7" s="13" t="inlineStr">
        <is>
          <t>BM-003</t>
        </is>
      </c>
      <c r="C7" s="13" t="inlineStr">
        <is>
          <t>Heures form. / employe</t>
        </is>
      </c>
      <c r="D7" s="40" t="n">
        <v>12.5</v>
      </c>
      <c r="E7" s="40" t="n">
        <v>16</v>
      </c>
      <c r="F7" s="40" t="n">
        <v>30</v>
      </c>
      <c r="G7" s="41" t="n"/>
      <c r="H7" s="41" t="n"/>
      <c r="I7" s="13" t="inlineStr">
        <is>
          <t>Insuffisant</t>
        </is>
      </c>
      <c r="J7" s="13" t="inlineStr">
        <is>
          <t>Doubler le volume e-learning</t>
        </is>
      </c>
      <c r="K7" s="13" t="inlineStr">
        <is>
          <t>Haute</t>
        </is>
      </c>
      <c r="L7" s="13" t="inlineStr">
        <is>
          <t>Ecart critique vs meilleur pratique</t>
        </is>
      </c>
    </row>
    <row r="8" ht="22" customHeight="1">
      <c r="B8" s="16" t="inlineStr">
        <is>
          <t>BM-004</t>
        </is>
      </c>
      <c r="C8" s="16" t="inlineStr">
        <is>
          <t>Taux satisfaction</t>
        </is>
      </c>
      <c r="D8" s="42" t="n">
        <v>3.8</v>
      </c>
      <c r="E8" s="42" t="n">
        <v>3.5</v>
      </c>
      <c r="F8" s="42" t="n">
        <v>4.5</v>
      </c>
      <c r="G8" s="43" t="n"/>
      <c r="H8" s="43" t="n"/>
      <c r="I8" s="16" t="inlineStr">
        <is>
          <t>Bon</t>
        </is>
      </c>
      <c r="J8" s="16" t="inlineStr">
        <is>
          <t>Renforcer bien-etre</t>
        </is>
      </c>
      <c r="K8" s="16" t="inlineStr">
        <is>
          <t>Moyenne</t>
        </is>
      </c>
      <c r="L8" s="16" t="inlineStr">
        <is>
          <t>Objectif 4.2 en 2025</t>
        </is>
      </c>
    </row>
    <row r="9" ht="22" customHeight="1">
      <c r="B9" s="13" t="inlineStr">
        <is>
          <t>BM-005</t>
        </is>
      </c>
      <c r="C9" s="13" t="inlineStr">
        <is>
          <t>Absentéisme (%)</t>
        </is>
      </c>
      <c r="D9" s="40" t="n">
        <v>6.5</v>
      </c>
      <c r="E9" s="40" t="n">
        <v>7</v>
      </c>
      <c r="F9" s="40" t="n">
        <v>3.5</v>
      </c>
      <c r="G9" s="41" t="n"/>
      <c r="H9" s="41" t="n"/>
      <c r="I9" s="13" t="inlineStr">
        <is>
          <t>Moyen</t>
        </is>
      </c>
      <c r="J9" s="13" t="inlineStr">
        <is>
          <t>Plan sante et prevention</t>
        </is>
      </c>
      <c r="K9" s="13" t="inlineStr">
        <is>
          <t>Haute</t>
        </is>
      </c>
      <c r="L9" s="13" t="inlineStr">
        <is>
          <t>Programme soute T2 2025</t>
        </is>
      </c>
    </row>
    <row r="10" ht="22" customHeight="1">
      <c r="B10" s="19">
        <f>IF(C10="","BM-"&amp;TEXT(COUNTA($C$5:C10),"000"))</f>
        <v/>
      </c>
      <c r="C10" s="16" t="n"/>
      <c r="D10" s="42" t="n"/>
      <c r="E10" s="42" t="n"/>
      <c r="F10" s="42" t="n"/>
      <c r="G10" s="43">
        <f>IF(OR(D10="",E10=""),"",D10-E10)</f>
        <v/>
      </c>
      <c r="H10" s="43">
        <f>IF(OR(D10="",F10=""),"",D10-F10)</f>
        <v/>
      </c>
      <c r="I10" s="16" t="n"/>
      <c r="J10" s="16" t="n"/>
      <c r="K10" s="16" t="n"/>
      <c r="L10" s="16" t="n"/>
    </row>
    <row r="11" ht="22" customHeight="1">
      <c r="B11" s="20">
        <f>IF(C11="","BM-"&amp;TEXT(COUNTA($C$5:C11),"000"))</f>
        <v/>
      </c>
      <c r="C11" s="13" t="n"/>
      <c r="D11" s="40" t="n"/>
      <c r="E11" s="40" t="n"/>
      <c r="F11" s="40" t="n"/>
      <c r="G11" s="41">
        <f>IF(OR(D11="",E11=""),"",D11-E11)</f>
        <v/>
      </c>
      <c r="H11" s="41">
        <f>IF(OR(D11="",F11=""),"",D11-F11)</f>
        <v/>
      </c>
      <c r="I11" s="13" t="n"/>
      <c r="J11" s="13" t="n"/>
      <c r="K11" s="13" t="n"/>
      <c r="L11" s="13" t="n"/>
    </row>
    <row r="12" ht="22" customHeight="1">
      <c r="B12" s="19">
        <f>IF(C12="","BM-"&amp;TEXT(COUNTA($C$5:C12),"000"))</f>
        <v/>
      </c>
      <c r="C12" s="16" t="n"/>
      <c r="D12" s="42" t="n"/>
      <c r="E12" s="42" t="n"/>
      <c r="F12" s="42" t="n"/>
      <c r="G12" s="43">
        <f>IF(OR(D12="",E12=""),"",D12-E12)</f>
        <v/>
      </c>
      <c r="H12" s="43">
        <f>IF(OR(D12="",F12=""),"",D12-F12)</f>
        <v/>
      </c>
      <c r="I12" s="16" t="n"/>
      <c r="J12" s="16" t="n"/>
      <c r="K12" s="16" t="n"/>
      <c r="L12" s="16" t="n"/>
    </row>
    <row r="13" ht="22" customHeight="1">
      <c r="B13" s="20">
        <f>IF(C13="","BM-"&amp;TEXT(COUNTA($C$5:C13),"000"))</f>
        <v/>
      </c>
      <c r="C13" s="13" t="n"/>
      <c r="D13" s="40" t="n"/>
      <c r="E13" s="40" t="n"/>
      <c r="F13" s="40" t="n"/>
      <c r="G13" s="41">
        <f>IF(OR(D13="",E13=""),"",D13-E13)</f>
        <v/>
      </c>
      <c r="H13" s="41">
        <f>IF(OR(D13="",F13=""),"",D13-F13)</f>
        <v/>
      </c>
      <c r="I13" s="13" t="n"/>
      <c r="J13" s="13" t="n"/>
      <c r="K13" s="13" t="n"/>
      <c r="L13" s="13" t="n"/>
    </row>
    <row r="14" ht="22" customHeight="1">
      <c r="B14" s="19">
        <f>IF(C14="","BM-"&amp;TEXT(COUNTA($C$5:C14),"000"))</f>
        <v/>
      </c>
      <c r="C14" s="16" t="n"/>
      <c r="D14" s="42" t="n"/>
      <c r="E14" s="42" t="n"/>
      <c r="F14" s="42" t="n"/>
      <c r="G14" s="43">
        <f>IF(OR(D14="",E14=""),"",D14-E14)</f>
        <v/>
      </c>
      <c r="H14" s="43">
        <f>IF(OR(D14="",F14=""),"",D14-F14)</f>
        <v/>
      </c>
      <c r="I14" s="16" t="n"/>
      <c r="J14" s="16" t="n"/>
      <c r="K14" s="16" t="n"/>
      <c r="L14" s="16" t="n"/>
    </row>
    <row r="15" ht="22" customHeight="1">
      <c r="B15" s="20">
        <f>IF(C15="","BM-"&amp;TEXT(COUNTA($C$5:C15),"000"))</f>
        <v/>
      </c>
      <c r="C15" s="13" t="n"/>
      <c r="D15" s="40" t="n"/>
      <c r="E15" s="40" t="n"/>
      <c r="F15" s="40" t="n"/>
      <c r="G15" s="41">
        <f>IF(OR(D15="",E15=""),"",D15-E15)</f>
        <v/>
      </c>
      <c r="H15" s="41">
        <f>IF(OR(D15="",F15=""),"",D15-F15)</f>
        <v/>
      </c>
      <c r="I15" s="13" t="n"/>
      <c r="J15" s="13" t="n"/>
      <c r="K15" s="13" t="n"/>
      <c r="L15" s="13" t="n"/>
    </row>
    <row r="16" ht="22" customHeight="1">
      <c r="B16" s="19">
        <f>IF(C16="","BM-"&amp;TEXT(COUNTA($C$5:C16),"000"))</f>
        <v/>
      </c>
      <c r="C16" s="16" t="n"/>
      <c r="D16" s="42" t="n"/>
      <c r="E16" s="42" t="n"/>
      <c r="F16" s="42" t="n"/>
      <c r="G16" s="43">
        <f>IF(OR(D16="",E16=""),"",D16-E16)</f>
        <v/>
      </c>
      <c r="H16" s="43">
        <f>IF(OR(D16="",F16=""),"",D16-F16)</f>
        <v/>
      </c>
      <c r="I16" s="16" t="n"/>
      <c r="J16" s="16" t="n"/>
      <c r="K16" s="16" t="n"/>
      <c r="L16" s="16" t="n"/>
    </row>
    <row r="17" ht="22" customHeight="1">
      <c r="B17" s="20">
        <f>IF(C17="","BM-"&amp;TEXT(COUNTA($C$5:C17),"000"))</f>
        <v/>
      </c>
      <c r="C17" s="13" t="n"/>
      <c r="D17" s="40" t="n"/>
      <c r="E17" s="40" t="n"/>
      <c r="F17" s="40" t="n"/>
      <c r="G17" s="41">
        <f>IF(OR(D17="",E17=""),"",D17-E17)</f>
        <v/>
      </c>
      <c r="H17" s="41">
        <f>IF(OR(D17="",F17=""),"",D17-F17)</f>
        <v/>
      </c>
      <c r="I17" s="13" t="n"/>
      <c r="J17" s="13" t="n"/>
      <c r="K17" s="13" t="n"/>
      <c r="L17" s="13" t="n"/>
    </row>
    <row r="18" ht="22" customHeight="1">
      <c r="B18" s="19">
        <f>IF(C18="","BM-"&amp;TEXT(COUNTA($C$5:C18),"000"))</f>
        <v/>
      </c>
      <c r="C18" s="16" t="n"/>
      <c r="D18" s="42" t="n"/>
      <c r="E18" s="42" t="n"/>
      <c r="F18" s="42" t="n"/>
      <c r="G18" s="43">
        <f>IF(OR(D18="",E18=""),"",D18-E18)</f>
        <v/>
      </c>
      <c r="H18" s="43">
        <f>IF(OR(D18="",F18=""),"",D18-F18)</f>
        <v/>
      </c>
      <c r="I18" s="16" t="n"/>
      <c r="J18" s="16" t="n"/>
      <c r="K18" s="16" t="n"/>
      <c r="L18" s="16" t="n"/>
    </row>
    <row r="19" ht="22" customHeight="1">
      <c r="B19" s="20">
        <f>IF(C19="","BM-"&amp;TEXT(COUNTA($C$5:C19),"000"))</f>
        <v/>
      </c>
      <c r="C19" s="13" t="n"/>
      <c r="D19" s="40" t="n"/>
      <c r="E19" s="40" t="n"/>
      <c r="F19" s="40" t="n"/>
      <c r="G19" s="41">
        <f>IF(OR(D19="",E19=""),"",D19-E19)</f>
        <v/>
      </c>
      <c r="H19" s="41">
        <f>IF(OR(D19="",F19=""),"",D19-F19)</f>
        <v/>
      </c>
      <c r="I19" s="13" t="n"/>
      <c r="J19" s="13" t="n"/>
      <c r="K19" s="13" t="n"/>
      <c r="L19" s="13" t="n"/>
    </row>
    <row r="20" ht="22" customHeight="1">
      <c r="B20" s="19">
        <f>IF(C20="","BM-"&amp;TEXT(COUNTA($C$5:C20),"000"))</f>
        <v/>
      </c>
      <c r="C20" s="16" t="n"/>
      <c r="D20" s="42" t="n"/>
      <c r="E20" s="42" t="n"/>
      <c r="F20" s="42" t="n"/>
      <c r="G20" s="43">
        <f>IF(OR(D20="",E20=""),"",D20-E20)</f>
        <v/>
      </c>
      <c r="H20" s="43">
        <f>IF(OR(D20="",F20=""),"",D20-F20)</f>
        <v/>
      </c>
      <c r="I20" s="16" t="n"/>
      <c r="J20" s="16" t="n"/>
      <c r="K20" s="16" t="n"/>
      <c r="L20" s="16" t="n"/>
    </row>
    <row r="21" ht="22" customHeight="1">
      <c r="B21" s="20">
        <f>IF(C21="","BM-"&amp;TEXT(COUNTA($C$5:C21),"000"))</f>
        <v/>
      </c>
      <c r="C21" s="13" t="n"/>
      <c r="D21" s="40" t="n"/>
      <c r="E21" s="40" t="n"/>
      <c r="F21" s="40" t="n"/>
      <c r="G21" s="41">
        <f>IF(OR(D21="",E21=""),"",D21-E21)</f>
        <v/>
      </c>
      <c r="H21" s="41">
        <f>IF(OR(D21="",F21=""),"",D21-F21)</f>
        <v/>
      </c>
      <c r="I21" s="13" t="n"/>
      <c r="J21" s="13" t="n"/>
      <c r="K21" s="13" t="n"/>
      <c r="L21" s="13" t="n"/>
    </row>
    <row r="22" ht="22" customHeight="1">
      <c r="B22" s="19">
        <f>IF(C22="","BM-"&amp;TEXT(COUNTA($C$5:C22),"000"))</f>
        <v/>
      </c>
      <c r="C22" s="16" t="n"/>
      <c r="D22" s="42" t="n"/>
      <c r="E22" s="42" t="n"/>
      <c r="F22" s="42" t="n"/>
      <c r="G22" s="43">
        <f>IF(OR(D22="",E22=""),"",D22-E22)</f>
        <v/>
      </c>
      <c r="H22" s="43">
        <f>IF(OR(D22="",F22=""),"",D22-F22)</f>
        <v/>
      </c>
      <c r="I22" s="16" t="n"/>
      <c r="J22" s="16" t="n"/>
      <c r="K22" s="16" t="n"/>
      <c r="L22" s="16" t="n"/>
    </row>
    <row r="23" ht="22" customHeight="1">
      <c r="B23" s="20">
        <f>IF(C23="","BM-"&amp;TEXT(COUNTA($C$5:C23),"000"))</f>
        <v/>
      </c>
      <c r="C23" s="13" t="n"/>
      <c r="D23" s="40" t="n"/>
      <c r="E23" s="40" t="n"/>
      <c r="F23" s="40" t="n"/>
      <c r="G23" s="41">
        <f>IF(OR(D23="",E23=""),"",D23-E23)</f>
        <v/>
      </c>
      <c r="H23" s="41">
        <f>IF(OR(D23="",F23=""),"",D23-F23)</f>
        <v/>
      </c>
      <c r="I23" s="13" t="n"/>
      <c r="J23" s="13" t="n"/>
      <c r="K23" s="13" t="n"/>
      <c r="L23" s="13" t="n"/>
    </row>
    <row r="24" ht="22" customHeight="1">
      <c r="B24" s="19">
        <f>IF(C24="","BM-"&amp;TEXT(COUNTA($C$5:C24),"000"))</f>
        <v/>
      </c>
      <c r="C24" s="16" t="n"/>
      <c r="D24" s="42" t="n"/>
      <c r="E24" s="42" t="n"/>
      <c r="F24" s="42" t="n"/>
      <c r="G24" s="43">
        <f>IF(OR(D24="",E24=""),"",D24-E24)</f>
        <v/>
      </c>
      <c r="H24" s="43">
        <f>IF(OR(D24="",F24=""),"",D24-F24)</f>
        <v/>
      </c>
      <c r="I24" s="16" t="n"/>
      <c r="J24" s="16" t="n"/>
      <c r="K24" s="16" t="n"/>
      <c r="L24" s="16" t="n"/>
    </row>
    <row r="25" ht="22" customHeight="1">
      <c r="B25" s="20">
        <f>IF(C25="","BM-"&amp;TEXT(COUNTA($C$5:C25),"000"))</f>
        <v/>
      </c>
      <c r="C25" s="13" t="n"/>
      <c r="D25" s="40" t="n"/>
      <c r="E25" s="40" t="n"/>
      <c r="F25" s="40" t="n"/>
      <c r="G25" s="41">
        <f>IF(OR(D25="",E25=""),"",D25-E25)</f>
        <v/>
      </c>
      <c r="H25" s="41">
        <f>IF(OR(D25="",F25=""),"",D25-F25)</f>
        <v/>
      </c>
      <c r="I25" s="13" t="n"/>
      <c r="J25" s="13" t="n"/>
      <c r="K25" s="13" t="n"/>
      <c r="L25" s="13" t="n"/>
    </row>
    <row r="26" ht="22" customHeight="1">
      <c r="B26" s="19">
        <f>IF(C26="","BM-"&amp;TEXT(COUNTA($C$5:C26),"000"))</f>
        <v/>
      </c>
      <c r="C26" s="16" t="n"/>
      <c r="D26" s="42" t="n"/>
      <c r="E26" s="42" t="n"/>
      <c r="F26" s="42" t="n"/>
      <c r="G26" s="43">
        <f>IF(OR(D26="",E26=""),"",D26-E26)</f>
        <v/>
      </c>
      <c r="H26" s="43">
        <f>IF(OR(D26="",F26=""),"",D26-F26)</f>
        <v/>
      </c>
      <c r="I26" s="16" t="n"/>
      <c r="J26" s="16" t="n"/>
      <c r="K26" s="16" t="n"/>
      <c r="L26" s="16" t="n"/>
    </row>
    <row r="27" ht="22" customHeight="1">
      <c r="B27" s="20">
        <f>IF(C27="","BM-"&amp;TEXT(COUNTA($C$5:C27),"000"))</f>
        <v/>
      </c>
      <c r="C27" s="13" t="n"/>
      <c r="D27" s="40" t="n"/>
      <c r="E27" s="40" t="n"/>
      <c r="F27" s="40" t="n"/>
      <c r="G27" s="41">
        <f>IF(OR(D27="",E27=""),"",D27-E27)</f>
        <v/>
      </c>
      <c r="H27" s="41">
        <f>IF(OR(D27="",F27=""),"",D27-F27)</f>
        <v/>
      </c>
      <c r="I27" s="13" t="n"/>
      <c r="J27" s="13" t="n"/>
      <c r="K27" s="13" t="n"/>
      <c r="L27" s="13" t="n"/>
    </row>
    <row r="28" ht="22" customHeight="1">
      <c r="B28" s="19">
        <f>IF(C28="","BM-"&amp;TEXT(COUNTA($C$5:C28),"000"))</f>
        <v/>
      </c>
      <c r="C28" s="16" t="n"/>
      <c r="D28" s="42" t="n"/>
      <c r="E28" s="42" t="n"/>
      <c r="F28" s="42" t="n"/>
      <c r="G28" s="43">
        <f>IF(OR(D28="",E28=""),"",D28-E28)</f>
        <v/>
      </c>
      <c r="H28" s="43">
        <f>IF(OR(D28="",F28=""),"",D28-F28)</f>
        <v/>
      </c>
      <c r="I28" s="16" t="n"/>
      <c r="J28" s="16" t="n"/>
      <c r="K28" s="16" t="n"/>
      <c r="L28" s="16" t="n"/>
    </row>
    <row r="29" ht="22" customHeight="1">
      <c r="B29" s="20">
        <f>IF(C29="","BM-"&amp;TEXT(COUNTA($C$5:C29),"000"))</f>
        <v/>
      </c>
      <c r="C29" s="13" t="n"/>
      <c r="D29" s="40" t="n"/>
      <c r="E29" s="40" t="n"/>
      <c r="F29" s="40" t="n"/>
      <c r="G29" s="41">
        <f>IF(OR(D29="",E29=""),"",D29-E29)</f>
        <v/>
      </c>
      <c r="H29" s="41">
        <f>IF(OR(D29="",F29=""),"",D29-F29)</f>
        <v/>
      </c>
      <c r="I29" s="13" t="n"/>
      <c r="J29" s="13" t="n"/>
      <c r="K29" s="13" t="n"/>
      <c r="L29" s="13" t="n"/>
    </row>
    <row r="30" ht="22" customHeight="1">
      <c r="B30" s="19">
        <f>IF(C30="","BM-"&amp;TEXT(COUNTA($C$5:C30),"000"))</f>
        <v/>
      </c>
      <c r="C30" s="16" t="n"/>
      <c r="D30" s="42" t="n"/>
      <c r="E30" s="42" t="n"/>
      <c r="F30" s="42" t="n"/>
      <c r="G30" s="43">
        <f>IF(OR(D30="",E30=""),"",D30-E30)</f>
        <v/>
      </c>
      <c r="H30" s="43">
        <f>IF(OR(D30="",F30=""),"",D30-F30)</f>
        <v/>
      </c>
      <c r="I30" s="16" t="n"/>
      <c r="J30" s="16" t="n"/>
      <c r="K30" s="16" t="n"/>
      <c r="L30" s="16" t="n"/>
    </row>
    <row r="31" ht="22" customHeight="1">
      <c r="B31" s="20">
        <f>IF(C31="","BM-"&amp;TEXT(COUNTA($C$5:C31),"000"))</f>
        <v/>
      </c>
      <c r="C31" s="13" t="n"/>
      <c r="D31" s="40" t="n"/>
      <c r="E31" s="40" t="n"/>
      <c r="F31" s="40" t="n"/>
      <c r="G31" s="41">
        <f>IF(OR(D31="",E31=""),"",D31-E31)</f>
        <v/>
      </c>
      <c r="H31" s="41">
        <f>IF(OR(D31="",F31=""),"",D31-F31)</f>
        <v/>
      </c>
      <c r="I31" s="13" t="n"/>
      <c r="J31" s="13" t="n"/>
      <c r="K31" s="13" t="n"/>
      <c r="L31" s="13" t="n"/>
    </row>
    <row r="32" ht="22" customHeight="1">
      <c r="B32" s="19">
        <f>IF(C32="","BM-"&amp;TEXT(COUNTA($C$5:C32),"000"))</f>
        <v/>
      </c>
      <c r="C32" s="16" t="n"/>
      <c r="D32" s="42" t="n"/>
      <c r="E32" s="42" t="n"/>
      <c r="F32" s="42" t="n"/>
      <c r="G32" s="43">
        <f>IF(OR(D32="",E32=""),"",D32-E32)</f>
        <v/>
      </c>
      <c r="H32" s="43">
        <f>IF(OR(D32="",F32=""),"",D32-F32)</f>
        <v/>
      </c>
      <c r="I32" s="16" t="n"/>
      <c r="J32" s="16" t="n"/>
      <c r="K32" s="16" t="n"/>
      <c r="L32" s="16" t="n"/>
    </row>
    <row r="33" ht="22" customHeight="1">
      <c r="B33" s="20">
        <f>IF(C33="","BM-"&amp;TEXT(COUNTA($C$5:C33),"000"))</f>
        <v/>
      </c>
      <c r="C33" s="13" t="n"/>
      <c r="D33" s="40" t="n"/>
      <c r="E33" s="40" t="n"/>
      <c r="F33" s="40" t="n"/>
      <c r="G33" s="41">
        <f>IF(OR(D33="",E33=""),"",D33-E33)</f>
        <v/>
      </c>
      <c r="H33" s="41">
        <f>IF(OR(D33="",F33=""),"",D33-F33)</f>
        <v/>
      </c>
      <c r="I33" s="13" t="n"/>
      <c r="J33" s="13" t="n"/>
      <c r="K33" s="13" t="n"/>
      <c r="L33" s="13" t="n"/>
    </row>
    <row r="34" ht="22" customHeight="1">
      <c r="B34" s="19">
        <f>IF(C34="","BM-"&amp;TEXT(COUNTA($C$5:C34),"000"))</f>
        <v/>
      </c>
      <c r="C34" s="16" t="n"/>
      <c r="D34" s="42" t="n"/>
      <c r="E34" s="42" t="n"/>
      <c r="F34" s="42" t="n"/>
      <c r="G34" s="43">
        <f>IF(OR(D34="",E34=""),"",D34-E34)</f>
        <v/>
      </c>
      <c r="H34" s="43">
        <f>IF(OR(D34="",F34=""),"",D34-F34)</f>
        <v/>
      </c>
      <c r="I34" s="16" t="n"/>
      <c r="J34" s="16" t="n"/>
      <c r="K34" s="16" t="n"/>
      <c r="L34" s="16" t="n"/>
    </row>
    <row r="35" ht="22" customHeight="1">
      <c r="B35" s="20">
        <f>IF(C35="","BM-"&amp;TEXT(COUNTA($C$5:C35),"000"))</f>
        <v/>
      </c>
      <c r="C35" s="13" t="n"/>
      <c r="D35" s="40" t="n"/>
      <c r="E35" s="40" t="n"/>
      <c r="F35" s="40" t="n"/>
      <c r="G35" s="41">
        <f>IF(OR(D35="",E35=""),"",D35-E35)</f>
        <v/>
      </c>
      <c r="H35" s="41">
        <f>IF(OR(D35="",F35=""),"",D35-F35)</f>
        <v/>
      </c>
      <c r="I35" s="13" t="n"/>
      <c r="J35" s="13" t="n"/>
      <c r="K35" s="13" t="n"/>
      <c r="L35" s="13" t="n"/>
    </row>
    <row r="36" ht="22" customHeight="1">
      <c r="B36" s="19">
        <f>IF(C36="","BM-"&amp;TEXT(COUNTA($C$5:C36),"000"))</f>
        <v/>
      </c>
      <c r="C36" s="16" t="n"/>
      <c r="D36" s="42" t="n"/>
      <c r="E36" s="42" t="n"/>
      <c r="F36" s="42" t="n"/>
      <c r="G36" s="43">
        <f>IF(OR(D36="",E36=""),"",D36-E36)</f>
        <v/>
      </c>
      <c r="H36" s="43">
        <f>IF(OR(D36="",F36=""),"",D36-F36)</f>
        <v/>
      </c>
      <c r="I36" s="16" t="n"/>
      <c r="J36" s="16" t="n"/>
      <c r="K36" s="16" t="n"/>
      <c r="L36" s="16" t="n"/>
    </row>
    <row r="37" ht="22" customHeight="1">
      <c r="B37" s="20">
        <f>IF(C37="","BM-"&amp;TEXT(COUNTA($C$5:C37),"000"))</f>
        <v/>
      </c>
      <c r="C37" s="13" t="n"/>
      <c r="D37" s="40" t="n"/>
      <c r="E37" s="40" t="n"/>
      <c r="F37" s="40" t="n"/>
      <c r="G37" s="41">
        <f>IF(OR(D37="",E37=""),"",D37-E37)</f>
        <v/>
      </c>
      <c r="H37" s="41">
        <f>IF(OR(D37="",F37=""),"",D37-F37)</f>
        <v/>
      </c>
      <c r="I37" s="13" t="n"/>
      <c r="J37" s="13" t="n"/>
      <c r="K37" s="13" t="n"/>
      <c r="L37" s="13" t="n"/>
    </row>
    <row r="38" ht="22" customHeight="1">
      <c r="B38" s="19">
        <f>IF(C38="","BM-"&amp;TEXT(COUNTA($C$5:C38),"000"))</f>
        <v/>
      </c>
      <c r="C38" s="16" t="n"/>
      <c r="D38" s="42" t="n"/>
      <c r="E38" s="42" t="n"/>
      <c r="F38" s="42" t="n"/>
      <c r="G38" s="43">
        <f>IF(OR(D38="",E38=""),"",D38-E38)</f>
        <v/>
      </c>
      <c r="H38" s="43">
        <f>IF(OR(D38="",F38=""),"",D38-F38)</f>
        <v/>
      </c>
      <c r="I38" s="16" t="n"/>
      <c r="J38" s="16" t="n"/>
      <c r="K38" s="16" t="n"/>
      <c r="L38" s="16" t="n"/>
    </row>
    <row r="39" ht="22" customHeight="1">
      <c r="B39" s="20">
        <f>IF(C39="","BM-"&amp;TEXT(COUNTA($C$5:C39),"000"))</f>
        <v/>
      </c>
      <c r="C39" s="13" t="n"/>
      <c r="D39" s="40" t="n"/>
      <c r="E39" s="40" t="n"/>
      <c r="F39" s="40" t="n"/>
      <c r="G39" s="41">
        <f>IF(OR(D39="",E39=""),"",D39-E39)</f>
        <v/>
      </c>
      <c r="H39" s="41">
        <f>IF(OR(D39="",F39=""),"",D39-F39)</f>
        <v/>
      </c>
      <c r="I39" s="13" t="n"/>
      <c r="J39" s="13" t="n"/>
      <c r="K39" s="13" t="n"/>
      <c r="L39" s="13" t="n"/>
    </row>
    <row r="40" ht="22" customHeight="1">
      <c r="B40" s="19">
        <f>IF(C40="","BM-"&amp;TEXT(COUNTA($C$5:C40),"000"))</f>
        <v/>
      </c>
      <c r="C40" s="16" t="n"/>
      <c r="D40" s="42" t="n"/>
      <c r="E40" s="42" t="n"/>
      <c r="F40" s="42" t="n"/>
      <c r="G40" s="43">
        <f>IF(OR(D40="",E40=""),"",D40-E40)</f>
        <v/>
      </c>
      <c r="H40" s="43">
        <f>IF(OR(D40="",F40=""),"",D40-F40)</f>
        <v/>
      </c>
      <c r="I40" s="16" t="n"/>
      <c r="J40" s="16" t="n"/>
      <c r="K40" s="16" t="n"/>
      <c r="L40" s="16" t="n"/>
    </row>
    <row r="41" ht="22" customHeight="1">
      <c r="B41" s="20">
        <f>IF(C41="","BM-"&amp;TEXT(COUNTA($C$5:C41),"000"))</f>
        <v/>
      </c>
      <c r="C41" s="13" t="n"/>
      <c r="D41" s="40" t="n"/>
      <c r="E41" s="40" t="n"/>
      <c r="F41" s="40" t="n"/>
      <c r="G41" s="41">
        <f>IF(OR(D41="",E41=""),"",D41-E41)</f>
        <v/>
      </c>
      <c r="H41" s="41">
        <f>IF(OR(D41="",F41=""),"",D41-F41)</f>
        <v/>
      </c>
      <c r="I41" s="13" t="n"/>
      <c r="J41" s="13" t="n"/>
      <c r="K41" s="13" t="n"/>
      <c r="L41" s="13" t="n"/>
    </row>
    <row r="42" ht="22" customHeight="1">
      <c r="B42" s="19">
        <f>IF(C42="","BM-"&amp;TEXT(COUNTA($C$5:C42),"000"))</f>
        <v/>
      </c>
      <c r="C42" s="16" t="n"/>
      <c r="D42" s="42" t="n"/>
      <c r="E42" s="42" t="n"/>
      <c r="F42" s="42" t="n"/>
      <c r="G42" s="43">
        <f>IF(OR(D42="",E42=""),"",D42-E42)</f>
        <v/>
      </c>
      <c r="H42" s="43">
        <f>IF(OR(D42="",F42=""),"",D42-F42)</f>
        <v/>
      </c>
      <c r="I42" s="16" t="n"/>
      <c r="J42" s="16" t="n"/>
      <c r="K42" s="16" t="n"/>
      <c r="L42" s="16" t="n"/>
    </row>
    <row r="43" ht="22" customHeight="1">
      <c r="B43" s="20">
        <f>IF(C43="","BM-"&amp;TEXT(COUNTA($C$5:C43),"000"))</f>
        <v/>
      </c>
      <c r="C43" s="13" t="n"/>
      <c r="D43" s="40" t="n"/>
      <c r="E43" s="40" t="n"/>
      <c r="F43" s="40" t="n"/>
      <c r="G43" s="41">
        <f>IF(OR(D43="",E43=""),"",D43-E43)</f>
        <v/>
      </c>
      <c r="H43" s="41">
        <f>IF(OR(D43="",F43=""),"",D43-F43)</f>
        <v/>
      </c>
      <c r="I43" s="13" t="n"/>
      <c r="J43" s="13" t="n"/>
      <c r="K43" s="13" t="n"/>
      <c r="L43" s="13" t="n"/>
    </row>
    <row r="44" ht="22" customHeight="1">
      <c r="B44" s="19">
        <f>IF(C44="","BM-"&amp;TEXT(COUNTA($C$5:C44),"000"))</f>
        <v/>
      </c>
      <c r="C44" s="16" t="n"/>
      <c r="D44" s="42" t="n"/>
      <c r="E44" s="42" t="n"/>
      <c r="F44" s="42" t="n"/>
      <c r="G44" s="43">
        <f>IF(OR(D44="",E44=""),"",D44-E44)</f>
        <v/>
      </c>
      <c r="H44" s="43">
        <f>IF(OR(D44="",F44=""),"",D44-F44)</f>
        <v/>
      </c>
      <c r="I44" s="16" t="n"/>
      <c r="J44" s="16" t="n"/>
      <c r="K44" s="16" t="n"/>
      <c r="L44" s="16" t="n"/>
    </row>
    <row r="45" ht="22" customHeight="1">
      <c r="B45" s="20">
        <f>IF(C45="","BM-"&amp;TEXT(COUNTA($C$5:C45),"000"))</f>
        <v/>
      </c>
      <c r="C45" s="13" t="n"/>
      <c r="D45" s="40" t="n"/>
      <c r="E45" s="40" t="n"/>
      <c r="F45" s="40" t="n"/>
      <c r="G45" s="41">
        <f>IF(OR(D45="",E45=""),"",D45-E45)</f>
        <v/>
      </c>
      <c r="H45" s="41">
        <f>IF(OR(D45="",F45=""),"",D45-F45)</f>
        <v/>
      </c>
      <c r="I45" s="13" t="n"/>
      <c r="J45" s="13" t="n"/>
      <c r="K45" s="13" t="n"/>
      <c r="L45" s="13" t="n"/>
    </row>
    <row r="46" ht="22" customHeight="1">
      <c r="B46" s="19">
        <f>IF(C46="","BM-"&amp;TEXT(COUNTA($C$5:C46),"000"))</f>
        <v/>
      </c>
      <c r="C46" s="16" t="n"/>
      <c r="D46" s="42" t="n"/>
      <c r="E46" s="42" t="n"/>
      <c r="F46" s="42" t="n"/>
      <c r="G46" s="43">
        <f>IF(OR(D46="",E46=""),"",D46-E46)</f>
        <v/>
      </c>
      <c r="H46" s="43">
        <f>IF(OR(D46="",F46=""),"",D46-F46)</f>
        <v/>
      </c>
      <c r="I46" s="16" t="n"/>
      <c r="J46" s="16" t="n"/>
      <c r="K46" s="16" t="n"/>
      <c r="L46" s="16" t="n"/>
    </row>
    <row r="47" ht="22" customHeight="1">
      <c r="B47" s="20">
        <f>IF(C47="","BM-"&amp;TEXT(COUNTA($C$5:C47),"000"))</f>
        <v/>
      </c>
      <c r="C47" s="13" t="n"/>
      <c r="D47" s="40" t="n"/>
      <c r="E47" s="40" t="n"/>
      <c r="F47" s="40" t="n"/>
      <c r="G47" s="41">
        <f>IF(OR(D47="",E47=""),"",D47-E47)</f>
        <v/>
      </c>
      <c r="H47" s="41">
        <f>IF(OR(D47="",F47=""),"",D47-F47)</f>
        <v/>
      </c>
      <c r="I47" s="13" t="n"/>
      <c r="J47" s="13" t="n"/>
      <c r="K47" s="13" t="n"/>
      <c r="L47" s="13" t="n"/>
    </row>
    <row r="48" ht="22" customHeight="1">
      <c r="B48" s="19">
        <f>IF(C48="","BM-"&amp;TEXT(COUNTA($C$5:C48),"000"))</f>
        <v/>
      </c>
      <c r="C48" s="16" t="n"/>
      <c r="D48" s="42" t="n"/>
      <c r="E48" s="42" t="n"/>
      <c r="F48" s="42" t="n"/>
      <c r="G48" s="43">
        <f>IF(OR(D48="",E48=""),"",D48-E48)</f>
        <v/>
      </c>
      <c r="H48" s="43">
        <f>IF(OR(D48="",F48=""),"",D48-F48)</f>
        <v/>
      </c>
      <c r="I48" s="16" t="n"/>
      <c r="J48" s="16" t="n"/>
      <c r="K48" s="16" t="n"/>
      <c r="L48" s="16" t="n"/>
    </row>
    <row r="49" ht="22" customHeight="1">
      <c r="B49" s="20">
        <f>IF(C49="","BM-"&amp;TEXT(COUNTA($C$5:C49),"000"))</f>
        <v/>
      </c>
      <c r="C49" s="13" t="n"/>
      <c r="D49" s="40" t="n"/>
      <c r="E49" s="40" t="n"/>
      <c r="F49" s="40" t="n"/>
      <c r="G49" s="41">
        <f>IF(OR(D49="",E49=""),"",D49-E49)</f>
        <v/>
      </c>
      <c r="H49" s="41">
        <f>IF(OR(D49="",F49=""),"",D49-F49)</f>
        <v/>
      </c>
      <c r="I49" s="13" t="n"/>
      <c r="J49" s="13" t="n"/>
      <c r="K49" s="13" t="n"/>
      <c r="L49" s="13" t="n"/>
    </row>
    <row r="50" ht="22" customHeight="1">
      <c r="B50" s="19">
        <f>IF(C50="","BM-"&amp;TEXT(COUNTA($C$5:C50),"000"))</f>
        <v/>
      </c>
      <c r="C50" s="16" t="n"/>
      <c r="D50" s="42" t="n"/>
      <c r="E50" s="42" t="n"/>
      <c r="F50" s="42" t="n"/>
      <c r="G50" s="43">
        <f>IF(OR(D50="",E50=""),"",D50-E50)</f>
        <v/>
      </c>
      <c r="H50" s="43">
        <f>IF(OR(D50="",F50=""),"",D50-F50)</f>
        <v/>
      </c>
      <c r="I50" s="16" t="n"/>
      <c r="J50" s="16" t="n"/>
      <c r="K50" s="16" t="n"/>
      <c r="L50" s="16" t="n"/>
    </row>
    <row r="51" ht="22" customHeight="1">
      <c r="B51" s="20">
        <f>IF(C51="","BM-"&amp;TEXT(COUNTA($C$5:C51),"000"))</f>
        <v/>
      </c>
      <c r="C51" s="13" t="n"/>
      <c r="D51" s="40" t="n"/>
      <c r="E51" s="40" t="n"/>
      <c r="F51" s="40" t="n"/>
      <c r="G51" s="41">
        <f>IF(OR(D51="",E51=""),"",D51-E51)</f>
        <v/>
      </c>
      <c r="H51" s="41">
        <f>IF(OR(D51="",F51=""),"",D51-F51)</f>
        <v/>
      </c>
      <c r="I51" s="13" t="n"/>
      <c r="J51" s="13" t="n"/>
      <c r="K51" s="13" t="n"/>
      <c r="L51" s="13" t="n"/>
    </row>
    <row r="52" ht="22" customHeight="1">
      <c r="B52" s="19">
        <f>IF(C52="","BM-"&amp;TEXT(COUNTA($C$5:C52),"000"))</f>
        <v/>
      </c>
      <c r="C52" s="16" t="n"/>
      <c r="D52" s="42" t="n"/>
      <c r="E52" s="42" t="n"/>
      <c r="F52" s="42" t="n"/>
      <c r="G52" s="43">
        <f>IF(OR(D52="",E52=""),"",D52-E52)</f>
        <v/>
      </c>
      <c r="H52" s="43">
        <f>IF(OR(D52="",F52=""),"",D52-F52)</f>
        <v/>
      </c>
      <c r="I52" s="16" t="n"/>
      <c r="J52" s="16" t="n"/>
      <c r="K52" s="16" t="n"/>
      <c r="L52" s="16" t="n"/>
    </row>
    <row r="53" ht="22" customHeight="1">
      <c r="B53" s="20">
        <f>IF(C53="","BM-"&amp;TEXT(COUNTA($C$5:C53),"000"))</f>
        <v/>
      </c>
      <c r="C53" s="13" t="n"/>
      <c r="D53" s="40" t="n"/>
      <c r="E53" s="40" t="n"/>
      <c r="F53" s="40" t="n"/>
      <c r="G53" s="41">
        <f>IF(OR(D53="",E53=""),"",D53-E53)</f>
        <v/>
      </c>
      <c r="H53" s="41">
        <f>IF(OR(D53="",F53=""),"",D53-F53)</f>
        <v/>
      </c>
      <c r="I53" s="13" t="n"/>
      <c r="J53" s="13" t="n"/>
      <c r="K53" s="13" t="n"/>
      <c r="L53" s="13" t="n"/>
    </row>
    <row r="54" ht="22" customHeight="1">
      <c r="B54" s="19">
        <f>IF(C54="","BM-"&amp;TEXT(COUNTA($C$5:C54),"000"))</f>
        <v/>
      </c>
      <c r="C54" s="16" t="n"/>
      <c r="D54" s="42" t="n"/>
      <c r="E54" s="42" t="n"/>
      <c r="F54" s="42" t="n"/>
      <c r="G54" s="43">
        <f>IF(OR(D54="",E54=""),"",D54-E54)</f>
        <v/>
      </c>
      <c r="H54" s="43">
        <f>IF(OR(D54="",F54=""),"",D54-F54)</f>
        <v/>
      </c>
      <c r="I54" s="16" t="n"/>
      <c r="J54" s="16" t="n"/>
      <c r="K54" s="16" t="n"/>
      <c r="L54" s="16" t="n"/>
    </row>
    <row r="55" ht="22" customHeight="1">
      <c r="B55" s="20">
        <f>IF(C55="","BM-"&amp;TEXT(COUNTA($C$5:C55),"000"))</f>
        <v/>
      </c>
      <c r="C55" s="13" t="n"/>
      <c r="D55" s="40" t="n"/>
      <c r="E55" s="40" t="n"/>
      <c r="F55" s="40" t="n"/>
      <c r="G55" s="41">
        <f>IF(OR(D55="",E55=""),"",D55-E55)</f>
        <v/>
      </c>
      <c r="H55" s="41">
        <f>IF(OR(D55="",F55=""),"",D55-F55)</f>
        <v/>
      </c>
      <c r="I55" s="13" t="n"/>
      <c r="J55" s="13" t="n"/>
      <c r="K55" s="13" t="n"/>
      <c r="L55" s="13" t="n"/>
    </row>
    <row r="56" ht="22" customHeight="1">
      <c r="B56" s="19">
        <f>IF(C56="","BM-"&amp;TEXT(COUNTA($C$5:C56),"000"))</f>
        <v/>
      </c>
      <c r="C56" s="16" t="n"/>
      <c r="D56" s="42" t="n"/>
      <c r="E56" s="42" t="n"/>
      <c r="F56" s="42" t="n"/>
      <c r="G56" s="43">
        <f>IF(OR(D56="",E56=""),"",D56-E56)</f>
        <v/>
      </c>
      <c r="H56" s="43">
        <f>IF(OR(D56="",F56=""),"",D56-F56)</f>
        <v/>
      </c>
      <c r="I56" s="16" t="n"/>
      <c r="J56" s="16" t="n"/>
      <c r="K56" s="16" t="n"/>
      <c r="L56" s="16" t="n"/>
    </row>
    <row r="57" ht="22" customHeight="1">
      <c r="B57" s="20">
        <f>IF(C57="","BM-"&amp;TEXT(COUNTA($C$5:C57),"000"))</f>
        <v/>
      </c>
      <c r="C57" s="13" t="n"/>
      <c r="D57" s="40" t="n"/>
      <c r="E57" s="40" t="n"/>
      <c r="F57" s="40" t="n"/>
      <c r="G57" s="41">
        <f>IF(OR(D57="",E57=""),"",D57-E57)</f>
        <v/>
      </c>
      <c r="H57" s="41">
        <f>IF(OR(D57="",F57=""),"",D57-F57)</f>
        <v/>
      </c>
      <c r="I57" s="13" t="n"/>
      <c r="J57" s="13" t="n"/>
      <c r="K57" s="13" t="n"/>
      <c r="L57" s="13" t="n"/>
    </row>
    <row r="58" ht="22" customHeight="1">
      <c r="B58" s="19">
        <f>IF(C58="","BM-"&amp;TEXT(COUNTA($C$5:C58),"000"))</f>
        <v/>
      </c>
      <c r="C58" s="16" t="n"/>
      <c r="D58" s="42" t="n"/>
      <c r="E58" s="42" t="n"/>
      <c r="F58" s="42" t="n"/>
      <c r="G58" s="43">
        <f>IF(OR(D58="",E58=""),"",D58-E58)</f>
        <v/>
      </c>
      <c r="H58" s="43">
        <f>IF(OR(D58="",F58=""),"",D58-F58)</f>
        <v/>
      </c>
      <c r="I58" s="16" t="n"/>
      <c r="J58" s="16" t="n"/>
      <c r="K58" s="16" t="n"/>
      <c r="L58" s="16" t="n"/>
    </row>
    <row r="59" ht="22" customHeight="1">
      <c r="B59" s="20">
        <f>IF(C59="","BM-"&amp;TEXT(COUNTA($C$5:C59),"000"))</f>
        <v/>
      </c>
      <c r="C59" s="13" t="n"/>
      <c r="D59" s="40" t="n"/>
      <c r="E59" s="40" t="n"/>
      <c r="F59" s="40" t="n"/>
      <c r="G59" s="41">
        <f>IF(OR(D59="",E59=""),"",D59-E59)</f>
        <v/>
      </c>
      <c r="H59" s="41">
        <f>IF(OR(D59="",F59=""),"",D59-F59)</f>
        <v/>
      </c>
      <c r="I59" s="13" t="n"/>
      <c r="J59" s="13" t="n"/>
      <c r="K59" s="13" t="n"/>
      <c r="L59" s="13" t="n"/>
    </row>
    <row r="60" ht="22" customHeight="1">
      <c r="B60" s="19">
        <f>IF(C60="","BM-"&amp;TEXT(COUNTA($C$5:C60),"000"))</f>
        <v/>
      </c>
      <c r="C60" s="16" t="n"/>
      <c r="D60" s="42" t="n"/>
      <c r="E60" s="42" t="n"/>
      <c r="F60" s="42" t="n"/>
      <c r="G60" s="43">
        <f>IF(OR(D60="",E60=""),"",D60-E60)</f>
        <v/>
      </c>
      <c r="H60" s="43">
        <f>IF(OR(D60="",F60=""),"",D60-F60)</f>
        <v/>
      </c>
      <c r="I60" s="16" t="n"/>
      <c r="J60" s="16" t="n"/>
      <c r="K60" s="16" t="n"/>
      <c r="L60" s="16" t="n"/>
    </row>
    <row r="61" ht="22" customHeight="1">
      <c r="B61" s="20">
        <f>IF(C61="","BM-"&amp;TEXT(COUNTA($C$5:C61),"000"))</f>
        <v/>
      </c>
      <c r="C61" s="13" t="n"/>
      <c r="D61" s="40" t="n"/>
      <c r="E61" s="40" t="n"/>
      <c r="F61" s="40" t="n"/>
      <c r="G61" s="41">
        <f>IF(OR(D61="",E61=""),"",D61-E61)</f>
        <v/>
      </c>
      <c r="H61" s="41">
        <f>IF(OR(D61="",F61=""),"",D61-F61)</f>
        <v/>
      </c>
      <c r="I61" s="13" t="n"/>
      <c r="J61" s="13" t="n"/>
      <c r="K61" s="13" t="n"/>
      <c r="L61" s="13" t="n"/>
    </row>
    <row r="62" ht="22" customHeight="1">
      <c r="B62" s="19">
        <f>IF(C62="","BM-"&amp;TEXT(COUNTA($C$5:C62),"000"))</f>
        <v/>
      </c>
      <c r="C62" s="16" t="n"/>
      <c r="D62" s="42" t="n"/>
      <c r="E62" s="42" t="n"/>
      <c r="F62" s="42" t="n"/>
      <c r="G62" s="43">
        <f>IF(OR(D62="",E62=""),"",D62-E62)</f>
        <v/>
      </c>
      <c r="H62" s="43">
        <f>IF(OR(D62="",F62=""),"",D62-F62)</f>
        <v/>
      </c>
      <c r="I62" s="16" t="n"/>
      <c r="J62" s="16" t="n"/>
      <c r="K62" s="16" t="n"/>
      <c r="L62" s="16" t="n"/>
    </row>
    <row r="63" ht="22" customHeight="1">
      <c r="B63" s="20">
        <f>IF(C63="","BM-"&amp;TEXT(COUNTA($C$5:C63),"000"))</f>
        <v/>
      </c>
      <c r="C63" s="13" t="n"/>
      <c r="D63" s="40" t="n"/>
      <c r="E63" s="40" t="n"/>
      <c r="F63" s="40" t="n"/>
      <c r="G63" s="41">
        <f>IF(OR(D63="",E63=""),"",D63-E63)</f>
        <v/>
      </c>
      <c r="H63" s="41">
        <f>IF(OR(D63="",F63=""),"",D63-F63)</f>
        <v/>
      </c>
      <c r="I63" s="13" t="n"/>
      <c r="J63" s="13" t="n"/>
      <c r="K63" s="13" t="n"/>
      <c r="L63" s="13" t="n"/>
    </row>
    <row r="64" ht="22" customHeight="1">
      <c r="B64" s="19">
        <f>IF(C64="","BM-"&amp;TEXT(COUNTA($C$5:C64),"000"))</f>
        <v/>
      </c>
      <c r="C64" s="16" t="n"/>
      <c r="D64" s="42" t="n"/>
      <c r="E64" s="42" t="n"/>
      <c r="F64" s="42" t="n"/>
      <c r="G64" s="43">
        <f>IF(OR(D64="",E64=""),"",D64-E64)</f>
        <v/>
      </c>
      <c r="H64" s="43">
        <f>IF(OR(D64="",F64=""),"",D64-F64)</f>
        <v/>
      </c>
      <c r="I64" s="16" t="n"/>
      <c r="J64" s="16" t="n"/>
      <c r="K64" s="16" t="n"/>
      <c r="L64" s="16" t="n"/>
    </row>
    <row r="65" ht="22" customHeight="1">
      <c r="B65" s="20">
        <f>IF(C65="","BM-"&amp;TEXT(COUNTA($C$5:C65),"000"))</f>
        <v/>
      </c>
      <c r="C65" s="13" t="n"/>
      <c r="D65" s="40" t="n"/>
      <c r="E65" s="40" t="n"/>
      <c r="F65" s="40" t="n"/>
      <c r="G65" s="41">
        <f>IF(OR(D65="",E65=""),"",D65-E65)</f>
        <v/>
      </c>
      <c r="H65" s="41">
        <f>IF(OR(D65="",F65=""),"",D65-F65)</f>
        <v/>
      </c>
      <c r="I65" s="13" t="n"/>
      <c r="J65" s="13" t="n"/>
      <c r="K65" s="13" t="n"/>
      <c r="L65" s="13" t="n"/>
    </row>
    <row r="66" ht="22" customHeight="1">
      <c r="B66" s="19">
        <f>IF(C66="","BM-"&amp;TEXT(COUNTA($C$5:C66),"000"))</f>
        <v/>
      </c>
      <c r="C66" s="16" t="n"/>
      <c r="D66" s="42" t="n"/>
      <c r="E66" s="42" t="n"/>
      <c r="F66" s="42" t="n"/>
      <c r="G66" s="43">
        <f>IF(OR(D66="",E66=""),"",D66-E66)</f>
        <v/>
      </c>
      <c r="H66" s="43">
        <f>IF(OR(D66="",F66=""),"",D66-F66)</f>
        <v/>
      </c>
      <c r="I66" s="16" t="n"/>
      <c r="J66" s="16" t="n"/>
      <c r="K66" s="16" t="n"/>
      <c r="L66" s="16" t="n"/>
    </row>
    <row r="67" ht="22" customHeight="1">
      <c r="B67" s="20">
        <f>IF(C67="","BM-"&amp;TEXT(COUNTA($C$5:C67),"000"))</f>
        <v/>
      </c>
      <c r="C67" s="13" t="n"/>
      <c r="D67" s="40" t="n"/>
      <c r="E67" s="40" t="n"/>
      <c r="F67" s="40" t="n"/>
      <c r="G67" s="41">
        <f>IF(OR(D67="",E67=""),"",D67-E67)</f>
        <v/>
      </c>
      <c r="H67" s="41">
        <f>IF(OR(D67="",F67=""),"",D67-F67)</f>
        <v/>
      </c>
      <c r="I67" s="13" t="n"/>
      <c r="J67" s="13" t="n"/>
      <c r="K67" s="13" t="n"/>
      <c r="L67" s="13" t="n"/>
    </row>
    <row r="68" ht="22" customHeight="1">
      <c r="B68" s="19">
        <f>IF(C68="","BM-"&amp;TEXT(COUNTA($C$5:C68),"000"))</f>
        <v/>
      </c>
      <c r="C68" s="16" t="n"/>
      <c r="D68" s="42" t="n"/>
      <c r="E68" s="42" t="n"/>
      <c r="F68" s="42" t="n"/>
      <c r="G68" s="43">
        <f>IF(OR(D68="",E68=""),"",D68-E68)</f>
        <v/>
      </c>
      <c r="H68" s="43">
        <f>IF(OR(D68="",F68=""),"",D68-F68)</f>
        <v/>
      </c>
      <c r="I68" s="16" t="n"/>
      <c r="J68" s="16" t="n"/>
      <c r="K68" s="16" t="n"/>
      <c r="L68" s="16" t="n"/>
    </row>
    <row r="69" ht="22" customHeight="1">
      <c r="B69" s="20">
        <f>IF(C69="","BM-"&amp;TEXT(COUNTA($C$5:C69),"000"))</f>
        <v/>
      </c>
      <c r="C69" s="13" t="n"/>
      <c r="D69" s="40" t="n"/>
      <c r="E69" s="40" t="n"/>
      <c r="F69" s="40" t="n"/>
      <c r="G69" s="41">
        <f>IF(OR(D69="",E69=""),"",D69-E69)</f>
        <v/>
      </c>
      <c r="H69" s="41">
        <f>IF(OR(D69="",F69=""),"",D69-F69)</f>
        <v/>
      </c>
      <c r="I69" s="13" t="n"/>
      <c r="J69" s="13" t="n"/>
      <c r="K69" s="13" t="n"/>
      <c r="L69" s="13" t="n"/>
    </row>
    <row r="70" ht="22" customHeight="1">
      <c r="B70" s="19">
        <f>IF(C70="","BM-"&amp;TEXT(COUNTA($C$5:C70),"000"))</f>
        <v/>
      </c>
      <c r="C70" s="16" t="n"/>
      <c r="D70" s="42" t="n"/>
      <c r="E70" s="42" t="n"/>
      <c r="F70" s="42" t="n"/>
      <c r="G70" s="43">
        <f>IF(OR(D70="",E70=""),"",D70-E70)</f>
        <v/>
      </c>
      <c r="H70" s="43">
        <f>IF(OR(D70="",F70=""),"",D70-F70)</f>
        <v/>
      </c>
      <c r="I70" s="16" t="n"/>
      <c r="J70" s="16" t="n"/>
      <c r="K70" s="16" t="n"/>
      <c r="L70" s="16" t="n"/>
    </row>
    <row r="71" ht="22" customHeight="1">
      <c r="B71" s="20">
        <f>IF(C71="","BM-"&amp;TEXT(COUNTA($C$5:C71),"000"))</f>
        <v/>
      </c>
      <c r="C71" s="13" t="n"/>
      <c r="D71" s="40" t="n"/>
      <c r="E71" s="40" t="n"/>
      <c r="F71" s="40" t="n"/>
      <c r="G71" s="41">
        <f>IF(OR(D71="",E71=""),"",D71-E71)</f>
        <v/>
      </c>
      <c r="H71" s="41">
        <f>IF(OR(D71="",F71=""),"",D71-F71)</f>
        <v/>
      </c>
      <c r="I71" s="13" t="n"/>
      <c r="J71" s="13" t="n"/>
      <c r="K71" s="13" t="n"/>
      <c r="L71" s="13" t="n"/>
    </row>
    <row r="72" ht="22" customHeight="1">
      <c r="B72" s="19">
        <f>IF(C72="","BM-"&amp;TEXT(COUNTA($C$5:C72),"000"))</f>
        <v/>
      </c>
      <c r="C72" s="16" t="n"/>
      <c r="D72" s="42" t="n"/>
      <c r="E72" s="42" t="n"/>
      <c r="F72" s="42" t="n"/>
      <c r="G72" s="43">
        <f>IF(OR(D72="",E72=""),"",D72-E72)</f>
        <v/>
      </c>
      <c r="H72" s="43">
        <f>IF(OR(D72="",F72=""),"",D72-F72)</f>
        <v/>
      </c>
      <c r="I72" s="16" t="n"/>
      <c r="J72" s="16" t="n"/>
      <c r="K72" s="16" t="n"/>
      <c r="L72" s="16" t="n"/>
    </row>
    <row r="73" ht="22" customHeight="1">
      <c r="B73" s="20">
        <f>IF(C73="","BM-"&amp;TEXT(COUNTA($C$5:C73),"000"))</f>
        <v/>
      </c>
      <c r="C73" s="13" t="n"/>
      <c r="D73" s="40" t="n"/>
      <c r="E73" s="40" t="n"/>
      <c r="F73" s="40" t="n"/>
      <c r="G73" s="41">
        <f>IF(OR(D73="",E73=""),"",D73-E73)</f>
        <v/>
      </c>
      <c r="H73" s="41">
        <f>IF(OR(D73="",F73=""),"",D73-F73)</f>
        <v/>
      </c>
      <c r="I73" s="13" t="n"/>
      <c r="J73" s="13" t="n"/>
      <c r="K73" s="13" t="n"/>
      <c r="L73" s="13" t="n"/>
    </row>
    <row r="74" ht="22" customHeight="1">
      <c r="B74" s="19">
        <f>IF(C74="","BM-"&amp;TEXT(COUNTA($C$5:C74),"000"))</f>
        <v/>
      </c>
      <c r="C74" s="16" t="n"/>
      <c r="D74" s="42" t="n"/>
      <c r="E74" s="42" t="n"/>
      <c r="F74" s="42" t="n"/>
      <c r="G74" s="43">
        <f>IF(OR(D74="",E74=""),"",D74-E74)</f>
        <v/>
      </c>
      <c r="H74" s="43">
        <f>IF(OR(D74="",F74=""),"",D74-F74)</f>
        <v/>
      </c>
      <c r="I74" s="16" t="n"/>
      <c r="J74" s="16" t="n"/>
      <c r="K74" s="16" t="n"/>
      <c r="L74" s="16" t="n"/>
    </row>
    <row r="75" ht="22" customHeight="1">
      <c r="B75" s="20">
        <f>IF(C75="","BM-"&amp;TEXT(COUNTA($C$5:C75),"000"))</f>
        <v/>
      </c>
      <c r="C75" s="13" t="n"/>
      <c r="D75" s="40" t="n"/>
      <c r="E75" s="40" t="n"/>
      <c r="F75" s="40" t="n"/>
      <c r="G75" s="41">
        <f>IF(OR(D75="",E75=""),"",D75-E75)</f>
        <v/>
      </c>
      <c r="H75" s="41">
        <f>IF(OR(D75="",F75=""),"",D75-F75)</f>
        <v/>
      </c>
      <c r="I75" s="13" t="n"/>
      <c r="J75" s="13" t="n"/>
      <c r="K75" s="13" t="n"/>
      <c r="L75" s="13" t="n"/>
    </row>
    <row r="76" ht="22" customHeight="1">
      <c r="B76" s="19">
        <f>IF(C76="","BM-"&amp;TEXT(COUNTA($C$5:C76),"000"))</f>
        <v/>
      </c>
      <c r="C76" s="16" t="n"/>
      <c r="D76" s="42" t="n"/>
      <c r="E76" s="42" t="n"/>
      <c r="F76" s="42" t="n"/>
      <c r="G76" s="43">
        <f>IF(OR(D76="",E76=""),"",D76-E76)</f>
        <v/>
      </c>
      <c r="H76" s="43">
        <f>IF(OR(D76="",F76=""),"",D76-F76)</f>
        <v/>
      </c>
      <c r="I76" s="16" t="n"/>
      <c r="J76" s="16" t="n"/>
      <c r="K76" s="16" t="n"/>
      <c r="L76" s="16" t="n"/>
    </row>
    <row r="77" ht="22" customHeight="1">
      <c r="B77" s="20">
        <f>IF(C77="","BM-"&amp;TEXT(COUNTA($C$5:C77),"000"))</f>
        <v/>
      </c>
      <c r="C77" s="13" t="n"/>
      <c r="D77" s="40" t="n"/>
      <c r="E77" s="40" t="n"/>
      <c r="F77" s="40" t="n"/>
      <c r="G77" s="41">
        <f>IF(OR(D77="",E77=""),"",D77-E77)</f>
        <v/>
      </c>
      <c r="H77" s="41">
        <f>IF(OR(D77="",F77=""),"",D77-F77)</f>
        <v/>
      </c>
      <c r="I77" s="13" t="n"/>
      <c r="J77" s="13" t="n"/>
      <c r="K77" s="13" t="n"/>
      <c r="L77" s="13" t="n"/>
    </row>
    <row r="78" ht="22" customHeight="1">
      <c r="B78" s="19">
        <f>IF(C78="","BM-"&amp;TEXT(COUNTA($C$5:C78),"000"))</f>
        <v/>
      </c>
      <c r="C78" s="16" t="n"/>
      <c r="D78" s="42" t="n"/>
      <c r="E78" s="42" t="n"/>
      <c r="F78" s="42" t="n"/>
      <c r="G78" s="43">
        <f>IF(OR(D78="",E78=""),"",D78-E78)</f>
        <v/>
      </c>
      <c r="H78" s="43">
        <f>IF(OR(D78="",F78=""),"",D78-F78)</f>
        <v/>
      </c>
      <c r="I78" s="16" t="n"/>
      <c r="J78" s="16" t="n"/>
      <c r="K78" s="16" t="n"/>
      <c r="L78" s="16" t="n"/>
    </row>
    <row r="79" ht="22" customHeight="1">
      <c r="B79" s="20">
        <f>IF(C79="","BM-"&amp;TEXT(COUNTA($C$5:C79),"000"))</f>
        <v/>
      </c>
      <c r="C79" s="13" t="n"/>
      <c r="D79" s="40" t="n"/>
      <c r="E79" s="40" t="n"/>
      <c r="F79" s="40" t="n"/>
      <c r="G79" s="41">
        <f>IF(OR(D79="",E79=""),"",D79-E79)</f>
        <v/>
      </c>
      <c r="H79" s="41">
        <f>IF(OR(D79="",F79=""),"",D79-F79)</f>
        <v/>
      </c>
      <c r="I79" s="13" t="n"/>
      <c r="J79" s="13" t="n"/>
      <c r="K79" s="13" t="n"/>
      <c r="L79" s="13" t="n"/>
    </row>
    <row r="80" ht="22" customHeight="1">
      <c r="B80" s="19">
        <f>IF(C80="","BM-"&amp;TEXT(COUNTA($C$5:C80),"000"))</f>
        <v/>
      </c>
      <c r="C80" s="16" t="n"/>
      <c r="D80" s="42" t="n"/>
      <c r="E80" s="42" t="n"/>
      <c r="F80" s="42" t="n"/>
      <c r="G80" s="43">
        <f>IF(OR(D80="",E80=""),"",D80-E80)</f>
        <v/>
      </c>
      <c r="H80" s="43">
        <f>IF(OR(D80="",F80=""),"",D80-F80)</f>
        <v/>
      </c>
      <c r="I80" s="16" t="n"/>
      <c r="J80" s="16" t="n"/>
      <c r="K80" s="16" t="n"/>
      <c r="L80" s="16" t="n"/>
    </row>
    <row r="81" ht="22" customHeight="1">
      <c r="B81" s="20">
        <f>IF(C81="","BM-"&amp;TEXT(COUNTA($C$5:C81),"000"))</f>
        <v/>
      </c>
      <c r="C81" s="13" t="n"/>
      <c r="D81" s="40" t="n"/>
      <c r="E81" s="40" t="n"/>
      <c r="F81" s="40" t="n"/>
      <c r="G81" s="41">
        <f>IF(OR(D81="",E81=""),"",D81-E81)</f>
        <v/>
      </c>
      <c r="H81" s="41">
        <f>IF(OR(D81="",F81=""),"",D81-F81)</f>
        <v/>
      </c>
      <c r="I81" s="13" t="n"/>
      <c r="J81" s="13" t="n"/>
      <c r="K81" s="13" t="n"/>
      <c r="L81" s="13" t="n"/>
    </row>
    <row r="82" ht="22" customHeight="1">
      <c r="B82" s="19">
        <f>IF(C82="","BM-"&amp;TEXT(COUNTA($C$5:C82),"000"))</f>
        <v/>
      </c>
      <c r="C82" s="16" t="n"/>
      <c r="D82" s="42" t="n"/>
      <c r="E82" s="42" t="n"/>
      <c r="F82" s="42" t="n"/>
      <c r="G82" s="43">
        <f>IF(OR(D82="",E82=""),"",D82-E82)</f>
        <v/>
      </c>
      <c r="H82" s="43">
        <f>IF(OR(D82="",F82=""),"",D82-F82)</f>
        <v/>
      </c>
      <c r="I82" s="16" t="n"/>
      <c r="J82" s="16" t="n"/>
      <c r="K82" s="16" t="n"/>
      <c r="L82" s="16" t="n"/>
    </row>
    <row r="83" ht="22" customHeight="1">
      <c r="B83" s="20">
        <f>IF(C83="","BM-"&amp;TEXT(COUNTA($C$5:C83),"000"))</f>
        <v/>
      </c>
      <c r="C83" s="13" t="n"/>
      <c r="D83" s="40" t="n"/>
      <c r="E83" s="40" t="n"/>
      <c r="F83" s="40" t="n"/>
      <c r="G83" s="41">
        <f>IF(OR(D83="",E83=""),"",D83-E83)</f>
        <v/>
      </c>
      <c r="H83" s="41">
        <f>IF(OR(D83="",F83=""),"",D83-F83)</f>
        <v/>
      </c>
      <c r="I83" s="13" t="n"/>
      <c r="J83" s="13" t="n"/>
      <c r="K83" s="13" t="n"/>
      <c r="L83" s="13" t="n"/>
    </row>
    <row r="84" ht="22" customHeight="1">
      <c r="B84" s="19">
        <f>IF(C84="","BM-"&amp;TEXT(COUNTA($C$5:C84),"000"))</f>
        <v/>
      </c>
      <c r="C84" s="16" t="n"/>
      <c r="D84" s="42" t="n"/>
      <c r="E84" s="42" t="n"/>
      <c r="F84" s="42" t="n"/>
      <c r="G84" s="43">
        <f>IF(OR(D84="",E84=""),"",D84-E84)</f>
        <v/>
      </c>
      <c r="H84" s="43">
        <f>IF(OR(D84="",F84=""),"",D84-F84)</f>
        <v/>
      </c>
      <c r="I84" s="16" t="n"/>
      <c r="J84" s="16" t="n"/>
      <c r="K84" s="16" t="n"/>
      <c r="L84" s="16" t="n"/>
    </row>
    <row r="85" ht="22" customHeight="1">
      <c r="B85" s="20">
        <f>IF(C85="","BM-"&amp;TEXT(COUNTA($C$5:C85),"000"))</f>
        <v/>
      </c>
      <c r="C85" s="13" t="n"/>
      <c r="D85" s="40" t="n"/>
      <c r="E85" s="40" t="n"/>
      <c r="F85" s="40" t="n"/>
      <c r="G85" s="41">
        <f>IF(OR(D85="",E85=""),"",D85-E85)</f>
        <v/>
      </c>
      <c r="H85" s="41">
        <f>IF(OR(D85="",F85=""),"",D85-F85)</f>
        <v/>
      </c>
      <c r="I85" s="13" t="n"/>
      <c r="J85" s="13" t="n"/>
      <c r="K85" s="13" t="n"/>
      <c r="L85" s="13" t="n"/>
    </row>
    <row r="86" ht="22" customHeight="1">
      <c r="B86" s="19">
        <f>IF(C86="","BM-"&amp;TEXT(COUNTA($C$5:C86),"000"))</f>
        <v/>
      </c>
      <c r="C86" s="16" t="n"/>
      <c r="D86" s="42" t="n"/>
      <c r="E86" s="42" t="n"/>
      <c r="F86" s="42" t="n"/>
      <c r="G86" s="43">
        <f>IF(OR(D86="",E86=""),"",D86-E86)</f>
        <v/>
      </c>
      <c r="H86" s="43">
        <f>IF(OR(D86="",F86=""),"",D86-F86)</f>
        <v/>
      </c>
      <c r="I86" s="16" t="n"/>
      <c r="J86" s="16" t="n"/>
      <c r="K86" s="16" t="n"/>
      <c r="L86" s="16" t="n"/>
    </row>
    <row r="87" ht="22" customHeight="1">
      <c r="B87" s="20">
        <f>IF(C87="","BM-"&amp;TEXT(COUNTA($C$5:C87),"000"))</f>
        <v/>
      </c>
      <c r="C87" s="13" t="n"/>
      <c r="D87" s="40" t="n"/>
      <c r="E87" s="40" t="n"/>
      <c r="F87" s="40" t="n"/>
      <c r="G87" s="41">
        <f>IF(OR(D87="",E87=""),"",D87-E87)</f>
        <v/>
      </c>
      <c r="H87" s="41">
        <f>IF(OR(D87="",F87=""),"",D87-F87)</f>
        <v/>
      </c>
      <c r="I87" s="13" t="n"/>
      <c r="J87" s="13" t="n"/>
      <c r="K87" s="13" t="n"/>
      <c r="L87" s="13" t="n"/>
    </row>
    <row r="88" ht="22" customHeight="1">
      <c r="B88" s="19">
        <f>IF(C88="","BM-"&amp;TEXT(COUNTA($C$5:C88),"000"))</f>
        <v/>
      </c>
      <c r="C88" s="16" t="n"/>
      <c r="D88" s="42" t="n"/>
      <c r="E88" s="42" t="n"/>
      <c r="F88" s="42" t="n"/>
      <c r="G88" s="43">
        <f>IF(OR(D88="",E88=""),"",D88-E88)</f>
        <v/>
      </c>
      <c r="H88" s="43">
        <f>IF(OR(D88="",F88=""),"",D88-F88)</f>
        <v/>
      </c>
      <c r="I88" s="16" t="n"/>
      <c r="J88" s="16" t="n"/>
      <c r="K88" s="16" t="n"/>
      <c r="L88" s="16" t="n"/>
    </row>
    <row r="89" ht="22" customHeight="1">
      <c r="B89" s="20">
        <f>IF(C89="","BM-"&amp;TEXT(COUNTA($C$5:C89),"000"))</f>
        <v/>
      </c>
      <c r="C89" s="13" t="n"/>
      <c r="D89" s="40" t="n"/>
      <c r="E89" s="40" t="n"/>
      <c r="F89" s="40" t="n"/>
      <c r="G89" s="41">
        <f>IF(OR(D89="",E89=""),"",D89-E89)</f>
        <v/>
      </c>
      <c r="H89" s="41">
        <f>IF(OR(D89="",F89=""),"",D89-F89)</f>
        <v/>
      </c>
      <c r="I89" s="13" t="n"/>
      <c r="J89" s="13" t="n"/>
      <c r="K89" s="13" t="n"/>
      <c r="L89" s="13" t="n"/>
    </row>
    <row r="90" ht="22" customHeight="1">
      <c r="B90" s="19">
        <f>IF(C90="","BM-"&amp;TEXT(COUNTA($C$5:C90),"000"))</f>
        <v/>
      </c>
      <c r="C90" s="16" t="n"/>
      <c r="D90" s="42" t="n"/>
      <c r="E90" s="42" t="n"/>
      <c r="F90" s="42" t="n"/>
      <c r="G90" s="43">
        <f>IF(OR(D90="",E90=""),"",D90-E90)</f>
        <v/>
      </c>
      <c r="H90" s="43">
        <f>IF(OR(D90="",F90=""),"",D90-F90)</f>
        <v/>
      </c>
      <c r="I90" s="16" t="n"/>
      <c r="J90" s="16" t="n"/>
      <c r="K90" s="16" t="n"/>
      <c r="L90" s="16" t="n"/>
    </row>
    <row r="91" ht="22" customHeight="1">
      <c r="B91" s="20">
        <f>IF(C91="","BM-"&amp;TEXT(COUNTA($C$5:C91),"000"))</f>
        <v/>
      </c>
      <c r="C91" s="13" t="n"/>
      <c r="D91" s="40" t="n"/>
      <c r="E91" s="40" t="n"/>
      <c r="F91" s="40" t="n"/>
      <c r="G91" s="41">
        <f>IF(OR(D91="",E91=""),"",D91-E91)</f>
        <v/>
      </c>
      <c r="H91" s="41">
        <f>IF(OR(D91="",F91=""),"",D91-F91)</f>
        <v/>
      </c>
      <c r="I91" s="13" t="n"/>
      <c r="J91" s="13" t="n"/>
      <c r="K91" s="13" t="n"/>
      <c r="L91" s="13" t="n"/>
    </row>
    <row r="92" ht="22" customHeight="1">
      <c r="B92" s="19">
        <f>IF(C92="","BM-"&amp;TEXT(COUNTA($C$5:C92),"000"))</f>
        <v/>
      </c>
      <c r="C92" s="16" t="n"/>
      <c r="D92" s="42" t="n"/>
      <c r="E92" s="42" t="n"/>
      <c r="F92" s="42" t="n"/>
      <c r="G92" s="43">
        <f>IF(OR(D92="",E92=""),"",D92-E92)</f>
        <v/>
      </c>
      <c r="H92" s="43">
        <f>IF(OR(D92="",F92=""),"",D92-F92)</f>
        <v/>
      </c>
      <c r="I92" s="16" t="n"/>
      <c r="J92" s="16" t="n"/>
      <c r="K92" s="16" t="n"/>
      <c r="L92" s="16" t="n"/>
    </row>
    <row r="93" ht="22" customHeight="1">
      <c r="B93" s="20">
        <f>IF(C93="","BM-"&amp;TEXT(COUNTA($C$5:C93),"000"))</f>
        <v/>
      </c>
      <c r="C93" s="13" t="n"/>
      <c r="D93" s="40" t="n"/>
      <c r="E93" s="40" t="n"/>
      <c r="F93" s="40" t="n"/>
      <c r="G93" s="41">
        <f>IF(OR(D93="",E93=""),"",D93-E93)</f>
        <v/>
      </c>
      <c r="H93" s="41">
        <f>IF(OR(D93="",F93=""),"",D93-F93)</f>
        <v/>
      </c>
      <c r="I93" s="13" t="n"/>
      <c r="J93" s="13" t="n"/>
      <c r="K93" s="13" t="n"/>
      <c r="L93" s="13" t="n"/>
    </row>
    <row r="94" ht="22" customHeight="1">
      <c r="B94" s="19">
        <f>IF(C94="","BM-"&amp;TEXT(COUNTA($C$5:C94),"000"))</f>
        <v/>
      </c>
      <c r="C94" s="16" t="n"/>
      <c r="D94" s="42" t="n"/>
      <c r="E94" s="42" t="n"/>
      <c r="F94" s="42" t="n"/>
      <c r="G94" s="43">
        <f>IF(OR(D94="",E94=""),"",D94-E94)</f>
        <v/>
      </c>
      <c r="H94" s="43">
        <f>IF(OR(D94="",F94=""),"",D94-F94)</f>
        <v/>
      </c>
      <c r="I94" s="16" t="n"/>
      <c r="J94" s="16" t="n"/>
      <c r="K94" s="16" t="n"/>
      <c r="L94" s="16" t="n"/>
    </row>
    <row r="95" ht="22" customHeight="1">
      <c r="B95" s="20">
        <f>IF(C95="","BM-"&amp;TEXT(COUNTA($C$5:C95),"000"))</f>
        <v/>
      </c>
      <c r="C95" s="13" t="n"/>
      <c r="D95" s="40" t="n"/>
      <c r="E95" s="40" t="n"/>
      <c r="F95" s="40" t="n"/>
      <c r="G95" s="41">
        <f>IF(OR(D95="",E95=""),"",D95-E95)</f>
        <v/>
      </c>
      <c r="H95" s="41">
        <f>IF(OR(D95="",F95=""),"",D95-F95)</f>
        <v/>
      </c>
      <c r="I95" s="13" t="n"/>
      <c r="J95" s="13" t="n"/>
      <c r="K95" s="13" t="n"/>
      <c r="L95" s="13" t="n"/>
    </row>
    <row r="96" ht="22" customHeight="1">
      <c r="B96" s="19">
        <f>IF(C96="","BM-"&amp;TEXT(COUNTA($C$5:C96),"000"))</f>
        <v/>
      </c>
      <c r="C96" s="16" t="n"/>
      <c r="D96" s="42" t="n"/>
      <c r="E96" s="42" t="n"/>
      <c r="F96" s="42" t="n"/>
      <c r="G96" s="43">
        <f>IF(OR(D96="",E96=""),"",D96-E96)</f>
        <v/>
      </c>
      <c r="H96" s="43">
        <f>IF(OR(D96="",F96=""),"",D96-F96)</f>
        <v/>
      </c>
      <c r="I96" s="16" t="n"/>
      <c r="J96" s="16" t="n"/>
      <c r="K96" s="16" t="n"/>
      <c r="L96" s="16" t="n"/>
    </row>
    <row r="97" ht="22" customHeight="1">
      <c r="B97" s="20">
        <f>IF(C97="","BM-"&amp;TEXT(COUNTA($C$5:C97),"000"))</f>
        <v/>
      </c>
      <c r="C97" s="13" t="n"/>
      <c r="D97" s="40" t="n"/>
      <c r="E97" s="40" t="n"/>
      <c r="F97" s="40" t="n"/>
      <c r="G97" s="41">
        <f>IF(OR(D97="",E97=""),"",D97-E97)</f>
        <v/>
      </c>
      <c r="H97" s="41">
        <f>IF(OR(D97="",F97=""),"",D97-F97)</f>
        <v/>
      </c>
      <c r="I97" s="13" t="n"/>
      <c r="J97" s="13" t="n"/>
      <c r="K97" s="13" t="n"/>
      <c r="L97" s="13" t="n"/>
    </row>
    <row r="98" ht="22" customHeight="1">
      <c r="B98" s="19">
        <f>IF(C98="","BM-"&amp;TEXT(COUNTA($C$5:C98),"000"))</f>
        <v/>
      </c>
      <c r="C98" s="16" t="n"/>
      <c r="D98" s="42" t="n"/>
      <c r="E98" s="42" t="n"/>
      <c r="F98" s="42" t="n"/>
      <c r="G98" s="43">
        <f>IF(OR(D98="",E98=""),"",D98-E98)</f>
        <v/>
      </c>
      <c r="H98" s="43">
        <f>IF(OR(D98="",F98=""),"",D98-F98)</f>
        <v/>
      </c>
      <c r="I98" s="16" t="n"/>
      <c r="J98" s="16" t="n"/>
      <c r="K98" s="16" t="n"/>
      <c r="L98" s="16" t="n"/>
    </row>
    <row r="99" ht="22" customHeight="1">
      <c r="B99" s="20">
        <f>IF(C99="","BM-"&amp;TEXT(COUNTA($C$5:C99),"000"))</f>
        <v/>
      </c>
      <c r="C99" s="13" t="n"/>
      <c r="D99" s="40" t="n"/>
      <c r="E99" s="40" t="n"/>
      <c r="F99" s="40" t="n"/>
      <c r="G99" s="41">
        <f>IF(OR(D99="",E99=""),"",D99-E99)</f>
        <v/>
      </c>
      <c r="H99" s="41">
        <f>IF(OR(D99="",F99=""),"",D99-F99)</f>
        <v/>
      </c>
      <c r="I99" s="13" t="n"/>
      <c r="J99" s="13" t="n"/>
      <c r="K99" s="13" t="n"/>
      <c r="L99" s="13" t="n"/>
    </row>
    <row r="100" ht="22" customHeight="1">
      <c r="B100" s="19">
        <f>IF(C100="","BM-"&amp;TEXT(COUNTA($C$5:C100),"000"))</f>
        <v/>
      </c>
      <c r="C100" s="16" t="n"/>
      <c r="D100" s="42" t="n"/>
      <c r="E100" s="42" t="n"/>
      <c r="F100" s="42" t="n"/>
      <c r="G100" s="43">
        <f>IF(OR(D100="",E100=""),"",D100-E100)</f>
        <v/>
      </c>
      <c r="H100" s="43">
        <f>IF(OR(D100="",F100=""),"",D100-F100)</f>
        <v/>
      </c>
      <c r="I100" s="16" t="n"/>
      <c r="J100" s="16" t="n"/>
      <c r="K100" s="16" t="n"/>
      <c r="L100" s="16" t="n"/>
    </row>
    <row r="101" ht="22" customHeight="1">
      <c r="B101" s="20">
        <f>IF(C101="","BM-"&amp;TEXT(COUNTA($C$5:C101),"000"))</f>
        <v/>
      </c>
      <c r="C101" s="13" t="n"/>
      <c r="D101" s="40" t="n"/>
      <c r="E101" s="40" t="n"/>
      <c r="F101" s="40" t="n"/>
      <c r="G101" s="41">
        <f>IF(OR(D101="",E101=""),"",D101-E101)</f>
        <v/>
      </c>
      <c r="H101" s="41">
        <f>IF(OR(D101="",F101=""),"",D101-F101)</f>
        <v/>
      </c>
      <c r="I101" s="13" t="n"/>
      <c r="J101" s="13" t="n"/>
      <c r="K101" s="13" t="n"/>
      <c r="L101" s="13" t="n"/>
    </row>
    <row r="102" ht="22" customHeight="1">
      <c r="B102" s="19">
        <f>IF(C102="","BM-"&amp;TEXT(COUNTA($C$5:C102),"000"))</f>
        <v/>
      </c>
      <c r="C102" s="16" t="n"/>
      <c r="D102" s="42" t="n"/>
      <c r="E102" s="42" t="n"/>
      <c r="F102" s="42" t="n"/>
      <c r="G102" s="43">
        <f>IF(OR(D102="",E102=""),"",D102-E102)</f>
        <v/>
      </c>
      <c r="H102" s="43">
        <f>IF(OR(D102="",F102=""),"",D102-F102)</f>
        <v/>
      </c>
      <c r="I102" s="16" t="n"/>
      <c r="J102" s="16" t="n"/>
      <c r="K102" s="16" t="n"/>
      <c r="L102" s="16" t="n"/>
    </row>
    <row r="103" ht="22" customHeight="1">
      <c r="B103" s="20">
        <f>IF(C103="","BM-"&amp;TEXT(COUNTA($C$5:C103),"000"))</f>
        <v/>
      </c>
      <c r="C103" s="13" t="n"/>
      <c r="D103" s="40" t="n"/>
      <c r="E103" s="40" t="n"/>
      <c r="F103" s="40" t="n"/>
      <c r="G103" s="41">
        <f>IF(OR(D103="",E103=""),"",D103-E103)</f>
        <v/>
      </c>
      <c r="H103" s="41">
        <f>IF(OR(D103="",F103=""),"",D103-F103)</f>
        <v/>
      </c>
      <c r="I103" s="13" t="n"/>
      <c r="J103" s="13" t="n"/>
      <c r="K103" s="13" t="n"/>
      <c r="L103" s="13" t="n"/>
    </row>
    <row r="104" ht="22" customHeight="1">
      <c r="B104" s="19">
        <f>IF(C104="","BM-"&amp;TEXT(COUNTA($C$5:C104),"000"))</f>
        <v/>
      </c>
      <c r="C104" s="16" t="n"/>
      <c r="D104" s="42" t="n"/>
      <c r="E104" s="42" t="n"/>
      <c r="F104" s="42" t="n"/>
      <c r="G104" s="43">
        <f>IF(OR(D104="",E104=""),"",D104-E104)</f>
        <v/>
      </c>
      <c r="H104" s="43">
        <f>IF(OR(D104="",F104=""),"",D104-F104)</f>
        <v/>
      </c>
      <c r="I104" s="16" t="n"/>
      <c r="J104" s="16" t="n"/>
      <c r="K104" s="16" t="n"/>
      <c r="L104" s="16" t="n"/>
    </row>
    <row r="105" ht="22" customHeight="1">
      <c r="B105" s="20">
        <f>IF(C105="","BM-"&amp;TEXT(COUNTA($C$5:C105),"000"))</f>
        <v/>
      </c>
      <c r="C105" s="13" t="n"/>
      <c r="D105" s="40" t="n"/>
      <c r="E105" s="40" t="n"/>
      <c r="F105" s="40" t="n"/>
      <c r="G105" s="41">
        <f>IF(OR(D105="",E105=""),"",D105-E105)</f>
        <v/>
      </c>
      <c r="H105" s="41">
        <f>IF(OR(D105="",F105=""),"",D105-F105)</f>
        <v/>
      </c>
      <c r="I105" s="13" t="n"/>
      <c r="J105" s="13" t="n"/>
      <c r="K105" s="13" t="n"/>
      <c r="L105" s="13" t="n"/>
    </row>
    <row r="106" ht="22" customHeight="1">
      <c r="B106" s="19">
        <f>IF(C106="","BM-"&amp;TEXT(COUNTA($C$5:C106),"000"))</f>
        <v/>
      </c>
      <c r="C106" s="16" t="n"/>
      <c r="D106" s="42" t="n"/>
      <c r="E106" s="42" t="n"/>
      <c r="F106" s="42" t="n"/>
      <c r="G106" s="43">
        <f>IF(OR(D106="",E106=""),"",D106-E106)</f>
        <v/>
      </c>
      <c r="H106" s="43">
        <f>IF(OR(D106="",F106=""),"",D106-F106)</f>
        <v/>
      </c>
      <c r="I106" s="16" t="n"/>
      <c r="J106" s="16" t="n"/>
      <c r="K106" s="16" t="n"/>
      <c r="L106" s="16" t="n"/>
    </row>
    <row r="107" ht="22" customHeight="1">
      <c r="B107" s="20">
        <f>IF(C107="","BM-"&amp;TEXT(COUNTA($C$5:C107),"000"))</f>
        <v/>
      </c>
      <c r="C107" s="13" t="n"/>
      <c r="D107" s="40" t="n"/>
      <c r="E107" s="40" t="n"/>
      <c r="F107" s="40" t="n"/>
      <c r="G107" s="41">
        <f>IF(OR(D107="",E107=""),"",D107-E107)</f>
        <v/>
      </c>
      <c r="H107" s="41">
        <f>IF(OR(D107="",F107=""),"",D107-F107)</f>
        <v/>
      </c>
      <c r="I107" s="13" t="n"/>
      <c r="J107" s="13" t="n"/>
      <c r="K107" s="13" t="n"/>
      <c r="L107" s="13" t="n"/>
    </row>
    <row r="108" ht="22" customHeight="1">
      <c r="B108" s="19">
        <f>IF(C108="","BM-"&amp;TEXT(COUNTA($C$5:C108),"000"))</f>
        <v/>
      </c>
      <c r="C108" s="16" t="n"/>
      <c r="D108" s="42" t="n"/>
      <c r="E108" s="42" t="n"/>
      <c r="F108" s="42" t="n"/>
      <c r="G108" s="43">
        <f>IF(OR(D108="",E108=""),"",D108-E108)</f>
        <v/>
      </c>
      <c r="H108" s="43">
        <f>IF(OR(D108="",F108=""),"",D108-F108)</f>
        <v/>
      </c>
      <c r="I108" s="16" t="n"/>
      <c r="J108" s="16" t="n"/>
      <c r="K108" s="16" t="n"/>
      <c r="L108" s="16" t="n"/>
    </row>
    <row r="109" ht="22" customHeight="1">
      <c r="B109" s="20">
        <f>IF(C109="","BM-"&amp;TEXT(COUNTA($C$5:C109),"000"))</f>
        <v/>
      </c>
      <c r="C109" s="13" t="n"/>
      <c r="D109" s="40" t="n"/>
      <c r="E109" s="40" t="n"/>
      <c r="F109" s="40" t="n"/>
      <c r="G109" s="41">
        <f>IF(OR(D109="",E109=""),"",D109-E109)</f>
        <v/>
      </c>
      <c r="H109" s="41">
        <f>IF(OR(D109="",F109=""),"",D109-F109)</f>
        <v/>
      </c>
      <c r="I109" s="13" t="n"/>
      <c r="J109" s="13" t="n"/>
      <c r="K109" s="13" t="n"/>
      <c r="L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Indicateurs benchmark</t>
        </is>
      </c>
      <c r="D112" s="3" t="inlineStr">
        <is>
          <t>Au-dessus moyenne</t>
        </is>
      </c>
      <c r="F112" s="3" t="inlineStr">
        <is>
          <t>Priorite haute</t>
        </is>
      </c>
    </row>
    <row r="113">
      <c r="B113" s="4">
        <f>COUNTIF(B5:B104,"&lt;&gt;")</f>
        <v/>
      </c>
      <c r="D113" s="4">
        <f>COUNTIF(G5:G104,"&lt;0")</f>
        <v/>
      </c>
      <c r="F113" s="4">
        <f>COUNTIF(K5:K104,"Haute")</f>
        <v/>
      </c>
    </row>
  </sheetData>
  <mergeCells count="3">
    <mergeCell ref="B2:L2"/>
    <mergeCell ref="B111:L111"/>
    <mergeCell ref="B3:L3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conditionalFormatting sqref="L10:L109">
    <cfRule type="expression" priority="11" dxfId="3">
      <formula>AND($C10="",$C9&lt;&gt;"")</formula>
    </cfRule>
  </conditionalFormatting>
  <dataValidations count="2">
    <dataValidation sqref="I5:I109" showDropDown="0" showInputMessage="0" showErrorMessage="0" allowBlank="1" errorTitle="Erreur" error="Valeur invalide" promptTitle="Liste" prompt="Choisir dans la liste" type="list">
      <formula1>'_Lists'!$Q$2:$Q$5</formula1>
    </dataValidation>
    <dataValidation sqref="K5:K109" showDropDown="0" showInputMessage="0" showErrorMessage="0" allowBlank="1" errorTitle="Erreur" error="Valeur invalide" promptTitle="Liste" prompt="Choisir dans la liste" type="list">
      <formula1>'_Lists'!$K$2:$K$5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34" customWidth="1" min="4" max="4"/>
    <col width="22" customWidth="1" min="5" max="5"/>
    <col width="14" customWidth="1" min="6" max="6"/>
    <col width="14" customWidth="1" min="7" max="7"/>
    <col width="22" customWidth="1" min="8" max="8"/>
    <col width="18" customWidth="1" min="9" max="9"/>
    <col width="30" customWidth="1" min="10" max="10"/>
    <col width="16" customWidth="1" min="11" max="11"/>
    <col width="36" customWidth="1" min="12" max="12"/>
  </cols>
  <sheetData>
    <row r="1" ht="15" customHeight="1"/>
    <row r="2" ht="32" customHeight="1">
      <c r="B2" s="1" t="inlineStr">
        <is>
          <t>PLANS D'ACTION RH (#174)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Plan d'Action</t>
        </is>
      </c>
      <c r="D4" s="12" t="inlineStr">
        <is>
          <t>Objectif Stratégique</t>
        </is>
      </c>
      <c r="E4" s="12" t="inlineStr">
        <is>
          <t>Responsable</t>
        </is>
      </c>
      <c r="F4" s="12" t="inlineStr">
        <is>
          <t>Date Debut</t>
        </is>
      </c>
      <c r="G4" s="12" t="inlineStr">
        <is>
          <t>Date Fin</t>
        </is>
      </c>
      <c r="H4" s="12" t="inlineStr">
        <is>
          <t>Budget Alloue (FCFA)</t>
        </is>
      </c>
      <c r="I4" s="12" t="inlineStr">
        <is>
          <t>Avancement (%)</t>
        </is>
      </c>
      <c r="J4" s="12" t="inlineStr">
        <is>
          <t>Resultat Attendu</t>
        </is>
      </c>
      <c r="K4" s="12" t="inlineStr">
        <is>
          <t>Statut</t>
        </is>
      </c>
      <c r="L4" s="12" t="inlineStr">
        <is>
          <t>Observations</t>
        </is>
      </c>
    </row>
    <row r="5" ht="22" customHeight="1">
      <c r="B5" s="13" t="inlineStr">
        <is>
          <t>PA-001</t>
        </is>
      </c>
      <c r="C5" s="13" t="inlineStr">
        <is>
          <t>Plan Retention 2025</t>
        </is>
      </c>
      <c r="D5" s="13" t="inlineStr">
        <is>
          <t>Reduire taux rotation a 12%</t>
        </is>
      </c>
      <c r="E5" s="13" t="inlineStr">
        <is>
          <t>DRH</t>
        </is>
      </c>
      <c r="F5" s="38" t="n">
        <v>45658</v>
      </c>
      <c r="G5" s="38" t="n">
        <v>46022</v>
      </c>
      <c r="H5" s="22" t="n">
        <v>5000000</v>
      </c>
      <c r="I5" s="14" t="n">
        <v>0.25</v>
      </c>
      <c r="J5" s="13" t="inlineStr">
        <is>
          <t>Taux rotation &lt;=12%</t>
        </is>
      </c>
      <c r="K5" s="13" t="inlineStr">
        <is>
          <t>En cours</t>
        </is>
      </c>
      <c r="L5" s="13" t="inlineStr">
        <is>
          <t>Mentorat + bien-etre en place</t>
        </is>
      </c>
    </row>
    <row r="6" ht="22" customHeight="1">
      <c r="B6" s="16" t="inlineStr">
        <is>
          <t>PA-002</t>
        </is>
      </c>
      <c r="C6" s="16" t="inlineStr">
        <is>
          <t>Digitalisation RH</t>
        </is>
      </c>
      <c r="D6" s="16" t="inlineStr">
        <is>
          <t>100% processus digitaux</t>
        </is>
      </c>
      <c r="E6" s="16" t="inlineStr">
        <is>
          <t>Chef de service IT</t>
        </is>
      </c>
      <c r="F6" s="39" t="n">
        <v>45658</v>
      </c>
      <c r="G6" s="39" t="n">
        <v>46022</v>
      </c>
      <c r="H6" s="24" t="n">
        <v>12000000</v>
      </c>
      <c r="I6" s="17" t="n">
        <v>0.3</v>
      </c>
      <c r="J6" s="16" t="inlineStr">
        <is>
          <t>Tous processus automatises</t>
        </is>
      </c>
      <c r="K6" s="16" t="inlineStr">
        <is>
          <t>En cours</t>
        </is>
      </c>
      <c r="L6" s="16" t="inlineStr">
        <is>
          <t>SIRH cloud + app mobile en cours</t>
        </is>
      </c>
    </row>
    <row r="7" ht="22" customHeight="1">
      <c r="B7" s="13" t="inlineStr">
        <is>
          <t>PA-003</t>
        </is>
      </c>
      <c r="C7" s="13" t="inlineStr">
        <is>
          <t>Plan Formation Continue</t>
        </is>
      </c>
      <c r="D7" s="13" t="inlineStr">
        <is>
          <t>20h formation / employe / an</t>
        </is>
      </c>
      <c r="E7" s="13" t="inlineStr">
        <is>
          <t>DRH</t>
        </is>
      </c>
      <c r="F7" s="38" t="n">
        <v>45658</v>
      </c>
      <c r="G7" s="38" t="n">
        <v>46022</v>
      </c>
      <c r="H7" s="22" t="n">
        <v>4800000</v>
      </c>
      <c r="I7" s="14" t="n">
        <v>0.2</v>
      </c>
      <c r="J7" s="13" t="inlineStr">
        <is>
          <t>Score &gt;=4.0 satisfaction</t>
        </is>
      </c>
      <c r="K7" s="13" t="inlineStr">
        <is>
          <t>En cours</t>
        </is>
      </c>
      <c r="L7" s="13" t="inlineStr">
        <is>
          <t>E-learning + formations presentielles</t>
        </is>
      </c>
    </row>
    <row r="8" ht="22" customHeight="1">
      <c r="B8" s="16" t="inlineStr">
        <is>
          <t>PA-004</t>
        </is>
      </c>
      <c r="C8" s="16" t="inlineStr">
        <is>
          <t>Plan Diversite 2025</t>
        </is>
      </c>
      <c r="D8" s="16" t="inlineStr">
        <is>
          <t>40% femmes cadres</t>
        </is>
      </c>
      <c r="E8" s="16" t="inlineStr">
        <is>
          <t>DRH</t>
        </is>
      </c>
      <c r="F8" s="39" t="n">
        <v>45658</v>
      </c>
      <c r="G8" s="39" t="n">
        <v>46752</v>
      </c>
      <c r="H8" s="24" t="n">
        <v>1500000</v>
      </c>
      <c r="I8" s="17" t="n">
        <v>0.15</v>
      </c>
      <c r="J8" s="16" t="inlineStr">
        <is>
          <t>Promotion 5 femmes cadres</t>
        </is>
      </c>
      <c r="K8" s="16" t="inlineStr">
        <is>
          <t>En cours</t>
        </is>
      </c>
      <c r="L8" s="16" t="inlineStr">
        <is>
          <t>Mentorat et sensibilisation en cours</t>
        </is>
      </c>
    </row>
    <row r="9" ht="22" customHeight="1">
      <c r="B9" s="20">
        <f>IF(C9="","PA-"&amp;TEXT(COUNTA($C$5:C9),"000"))</f>
        <v/>
      </c>
      <c r="C9" s="13" t="n"/>
      <c r="D9" s="13" t="n"/>
      <c r="E9" s="13" t="n"/>
      <c r="F9" s="38" t="n"/>
      <c r="G9" s="38" t="n"/>
      <c r="H9" s="22" t="n"/>
      <c r="I9" s="14" t="n"/>
      <c r="J9" s="13" t="n"/>
      <c r="K9" s="13" t="n"/>
      <c r="L9" s="13" t="n"/>
    </row>
    <row r="10" ht="22" customHeight="1">
      <c r="B10" s="19">
        <f>IF(C10="","PA-"&amp;TEXT(COUNTA($C$5:C10),"000"))</f>
        <v/>
      </c>
      <c r="C10" s="16" t="n"/>
      <c r="D10" s="16" t="n"/>
      <c r="E10" s="16" t="n"/>
      <c r="F10" s="39" t="n"/>
      <c r="G10" s="39" t="n"/>
      <c r="H10" s="24" t="n"/>
      <c r="I10" s="17" t="n"/>
      <c r="J10" s="16" t="n"/>
      <c r="K10" s="16" t="n"/>
      <c r="L10" s="16" t="n"/>
    </row>
    <row r="11" ht="22" customHeight="1">
      <c r="B11" s="20">
        <f>IF(C11="","PA-"&amp;TEXT(COUNTA($C$5:C11),"000"))</f>
        <v/>
      </c>
      <c r="C11" s="13" t="n"/>
      <c r="D11" s="13" t="n"/>
      <c r="E11" s="13" t="n"/>
      <c r="F11" s="38" t="n"/>
      <c r="G11" s="38" t="n"/>
      <c r="H11" s="22" t="n"/>
      <c r="I11" s="14" t="n"/>
      <c r="J11" s="13" t="n"/>
      <c r="K11" s="13" t="n"/>
      <c r="L11" s="13" t="n"/>
    </row>
    <row r="12" ht="22" customHeight="1">
      <c r="B12" s="19">
        <f>IF(C12="","PA-"&amp;TEXT(COUNTA($C$5:C12),"000"))</f>
        <v/>
      </c>
      <c r="C12" s="16" t="n"/>
      <c r="D12" s="16" t="n"/>
      <c r="E12" s="16" t="n"/>
      <c r="F12" s="39" t="n"/>
      <c r="G12" s="39" t="n"/>
      <c r="H12" s="24" t="n"/>
      <c r="I12" s="17" t="n"/>
      <c r="J12" s="16" t="n"/>
      <c r="K12" s="16" t="n"/>
      <c r="L12" s="16" t="n"/>
    </row>
    <row r="13" ht="22" customHeight="1">
      <c r="B13" s="20">
        <f>IF(C13="","PA-"&amp;TEXT(COUNTA($C$5:C13),"000"))</f>
        <v/>
      </c>
      <c r="C13" s="13" t="n"/>
      <c r="D13" s="13" t="n"/>
      <c r="E13" s="13" t="n"/>
      <c r="F13" s="38" t="n"/>
      <c r="G13" s="38" t="n"/>
      <c r="H13" s="22" t="n"/>
      <c r="I13" s="14" t="n"/>
      <c r="J13" s="13" t="n"/>
      <c r="K13" s="13" t="n"/>
      <c r="L13" s="13" t="n"/>
    </row>
    <row r="14" ht="22" customHeight="1">
      <c r="B14" s="19">
        <f>IF(C14="","PA-"&amp;TEXT(COUNTA($C$5:C14),"000"))</f>
        <v/>
      </c>
      <c r="C14" s="16" t="n"/>
      <c r="D14" s="16" t="n"/>
      <c r="E14" s="16" t="n"/>
      <c r="F14" s="39" t="n"/>
      <c r="G14" s="39" t="n"/>
      <c r="H14" s="24" t="n"/>
      <c r="I14" s="17" t="n"/>
      <c r="J14" s="16" t="n"/>
      <c r="K14" s="16" t="n"/>
      <c r="L14" s="16" t="n"/>
    </row>
    <row r="15" ht="22" customHeight="1">
      <c r="B15" s="20">
        <f>IF(C15="","PA-"&amp;TEXT(COUNTA($C$5:C15),"000"))</f>
        <v/>
      </c>
      <c r="C15" s="13" t="n"/>
      <c r="D15" s="13" t="n"/>
      <c r="E15" s="13" t="n"/>
      <c r="F15" s="38" t="n"/>
      <c r="G15" s="38" t="n"/>
      <c r="H15" s="22" t="n"/>
      <c r="I15" s="14" t="n"/>
      <c r="J15" s="13" t="n"/>
      <c r="K15" s="13" t="n"/>
      <c r="L15" s="13" t="n"/>
    </row>
    <row r="16" ht="22" customHeight="1">
      <c r="B16" s="19">
        <f>IF(C16="","PA-"&amp;TEXT(COUNTA($C$5:C16),"000"))</f>
        <v/>
      </c>
      <c r="C16" s="16" t="n"/>
      <c r="D16" s="16" t="n"/>
      <c r="E16" s="16" t="n"/>
      <c r="F16" s="39" t="n"/>
      <c r="G16" s="39" t="n"/>
      <c r="H16" s="24" t="n"/>
      <c r="I16" s="17" t="n"/>
      <c r="J16" s="16" t="n"/>
      <c r="K16" s="16" t="n"/>
      <c r="L16" s="16" t="n"/>
    </row>
    <row r="17" ht="22" customHeight="1">
      <c r="B17" s="20">
        <f>IF(C17="","PA-"&amp;TEXT(COUNTA($C$5:C17),"000"))</f>
        <v/>
      </c>
      <c r="C17" s="13" t="n"/>
      <c r="D17" s="13" t="n"/>
      <c r="E17" s="13" t="n"/>
      <c r="F17" s="38" t="n"/>
      <c r="G17" s="38" t="n"/>
      <c r="H17" s="22" t="n"/>
      <c r="I17" s="14" t="n"/>
      <c r="J17" s="13" t="n"/>
      <c r="K17" s="13" t="n"/>
      <c r="L17" s="13" t="n"/>
    </row>
    <row r="18" ht="22" customHeight="1">
      <c r="B18" s="19">
        <f>IF(C18="","PA-"&amp;TEXT(COUNTA($C$5:C18),"000"))</f>
        <v/>
      </c>
      <c r="C18" s="16" t="n"/>
      <c r="D18" s="16" t="n"/>
      <c r="E18" s="16" t="n"/>
      <c r="F18" s="39" t="n"/>
      <c r="G18" s="39" t="n"/>
      <c r="H18" s="24" t="n"/>
      <c r="I18" s="17" t="n"/>
      <c r="J18" s="16" t="n"/>
      <c r="K18" s="16" t="n"/>
      <c r="L18" s="16" t="n"/>
    </row>
    <row r="19" ht="22" customHeight="1">
      <c r="B19" s="20">
        <f>IF(C19="","PA-"&amp;TEXT(COUNTA($C$5:C19),"000"))</f>
        <v/>
      </c>
      <c r="C19" s="13" t="n"/>
      <c r="D19" s="13" t="n"/>
      <c r="E19" s="13" t="n"/>
      <c r="F19" s="38" t="n"/>
      <c r="G19" s="38" t="n"/>
      <c r="H19" s="22" t="n"/>
      <c r="I19" s="14" t="n"/>
      <c r="J19" s="13" t="n"/>
      <c r="K19" s="13" t="n"/>
      <c r="L19" s="13" t="n"/>
    </row>
    <row r="20" ht="22" customHeight="1">
      <c r="B20" s="19">
        <f>IF(C20="","PA-"&amp;TEXT(COUNTA($C$5:C20),"000"))</f>
        <v/>
      </c>
      <c r="C20" s="16" t="n"/>
      <c r="D20" s="16" t="n"/>
      <c r="E20" s="16" t="n"/>
      <c r="F20" s="39" t="n"/>
      <c r="G20" s="39" t="n"/>
      <c r="H20" s="24" t="n"/>
      <c r="I20" s="17" t="n"/>
      <c r="J20" s="16" t="n"/>
      <c r="K20" s="16" t="n"/>
      <c r="L20" s="16" t="n"/>
    </row>
    <row r="21" ht="22" customHeight="1">
      <c r="B21" s="20">
        <f>IF(C21="","PA-"&amp;TEXT(COUNTA($C$5:C21),"000"))</f>
        <v/>
      </c>
      <c r="C21" s="13" t="n"/>
      <c r="D21" s="13" t="n"/>
      <c r="E21" s="13" t="n"/>
      <c r="F21" s="38" t="n"/>
      <c r="G21" s="38" t="n"/>
      <c r="H21" s="22" t="n"/>
      <c r="I21" s="14" t="n"/>
      <c r="J21" s="13" t="n"/>
      <c r="K21" s="13" t="n"/>
      <c r="L21" s="13" t="n"/>
    </row>
    <row r="22" ht="22" customHeight="1">
      <c r="B22" s="19">
        <f>IF(C22="","PA-"&amp;TEXT(COUNTA($C$5:C22),"000"))</f>
        <v/>
      </c>
      <c r="C22" s="16" t="n"/>
      <c r="D22" s="16" t="n"/>
      <c r="E22" s="16" t="n"/>
      <c r="F22" s="39" t="n"/>
      <c r="G22" s="39" t="n"/>
      <c r="H22" s="24" t="n"/>
      <c r="I22" s="17" t="n"/>
      <c r="J22" s="16" t="n"/>
      <c r="K22" s="16" t="n"/>
      <c r="L22" s="16" t="n"/>
    </row>
    <row r="23" ht="22" customHeight="1">
      <c r="B23" s="20">
        <f>IF(C23="","PA-"&amp;TEXT(COUNTA($C$5:C23),"000"))</f>
        <v/>
      </c>
      <c r="C23" s="13" t="n"/>
      <c r="D23" s="13" t="n"/>
      <c r="E23" s="13" t="n"/>
      <c r="F23" s="38" t="n"/>
      <c r="G23" s="38" t="n"/>
      <c r="H23" s="22" t="n"/>
      <c r="I23" s="14" t="n"/>
      <c r="J23" s="13" t="n"/>
      <c r="K23" s="13" t="n"/>
      <c r="L23" s="13" t="n"/>
    </row>
    <row r="24" ht="22" customHeight="1">
      <c r="B24" s="19">
        <f>IF(C24="","PA-"&amp;TEXT(COUNTA($C$5:C24),"000"))</f>
        <v/>
      </c>
      <c r="C24" s="16" t="n"/>
      <c r="D24" s="16" t="n"/>
      <c r="E24" s="16" t="n"/>
      <c r="F24" s="39" t="n"/>
      <c r="G24" s="39" t="n"/>
      <c r="H24" s="24" t="n"/>
      <c r="I24" s="17" t="n"/>
      <c r="J24" s="16" t="n"/>
      <c r="K24" s="16" t="n"/>
      <c r="L24" s="16" t="n"/>
    </row>
    <row r="25" ht="22" customHeight="1">
      <c r="B25" s="20">
        <f>IF(C25="","PA-"&amp;TEXT(COUNTA($C$5:C25),"000"))</f>
        <v/>
      </c>
      <c r="C25" s="13" t="n"/>
      <c r="D25" s="13" t="n"/>
      <c r="E25" s="13" t="n"/>
      <c r="F25" s="38" t="n"/>
      <c r="G25" s="38" t="n"/>
      <c r="H25" s="22" t="n"/>
      <c r="I25" s="14" t="n"/>
      <c r="J25" s="13" t="n"/>
      <c r="K25" s="13" t="n"/>
      <c r="L25" s="13" t="n"/>
    </row>
    <row r="26" ht="22" customHeight="1">
      <c r="B26" s="19">
        <f>IF(C26="","PA-"&amp;TEXT(COUNTA($C$5:C26),"000"))</f>
        <v/>
      </c>
      <c r="C26" s="16" t="n"/>
      <c r="D26" s="16" t="n"/>
      <c r="E26" s="16" t="n"/>
      <c r="F26" s="39" t="n"/>
      <c r="G26" s="39" t="n"/>
      <c r="H26" s="24" t="n"/>
      <c r="I26" s="17" t="n"/>
      <c r="J26" s="16" t="n"/>
      <c r="K26" s="16" t="n"/>
      <c r="L26" s="16" t="n"/>
    </row>
    <row r="27" ht="22" customHeight="1">
      <c r="B27" s="20">
        <f>IF(C27="","PA-"&amp;TEXT(COUNTA($C$5:C27),"000"))</f>
        <v/>
      </c>
      <c r="C27" s="13" t="n"/>
      <c r="D27" s="13" t="n"/>
      <c r="E27" s="13" t="n"/>
      <c r="F27" s="38" t="n"/>
      <c r="G27" s="38" t="n"/>
      <c r="H27" s="22" t="n"/>
      <c r="I27" s="14" t="n"/>
      <c r="J27" s="13" t="n"/>
      <c r="K27" s="13" t="n"/>
      <c r="L27" s="13" t="n"/>
    </row>
    <row r="28" ht="22" customHeight="1">
      <c r="B28" s="19">
        <f>IF(C28="","PA-"&amp;TEXT(COUNTA($C$5:C28),"000"))</f>
        <v/>
      </c>
      <c r="C28" s="16" t="n"/>
      <c r="D28" s="16" t="n"/>
      <c r="E28" s="16" t="n"/>
      <c r="F28" s="39" t="n"/>
      <c r="G28" s="39" t="n"/>
      <c r="H28" s="24" t="n"/>
      <c r="I28" s="17" t="n"/>
      <c r="J28" s="16" t="n"/>
      <c r="K28" s="16" t="n"/>
      <c r="L28" s="16" t="n"/>
    </row>
    <row r="29" ht="22" customHeight="1">
      <c r="B29" s="20">
        <f>IF(C29="","PA-"&amp;TEXT(COUNTA($C$5:C29),"000"))</f>
        <v/>
      </c>
      <c r="C29" s="13" t="n"/>
      <c r="D29" s="13" t="n"/>
      <c r="E29" s="13" t="n"/>
      <c r="F29" s="38" t="n"/>
      <c r="G29" s="38" t="n"/>
      <c r="H29" s="22" t="n"/>
      <c r="I29" s="14" t="n"/>
      <c r="J29" s="13" t="n"/>
      <c r="K29" s="13" t="n"/>
      <c r="L29" s="13" t="n"/>
    </row>
    <row r="30" ht="22" customHeight="1">
      <c r="B30" s="19">
        <f>IF(C30="","PA-"&amp;TEXT(COUNTA($C$5:C30),"000"))</f>
        <v/>
      </c>
      <c r="C30" s="16" t="n"/>
      <c r="D30" s="16" t="n"/>
      <c r="E30" s="16" t="n"/>
      <c r="F30" s="39" t="n"/>
      <c r="G30" s="39" t="n"/>
      <c r="H30" s="24" t="n"/>
      <c r="I30" s="17" t="n"/>
      <c r="J30" s="16" t="n"/>
      <c r="K30" s="16" t="n"/>
      <c r="L30" s="16" t="n"/>
    </row>
    <row r="31" ht="22" customHeight="1">
      <c r="B31" s="20">
        <f>IF(C31="","PA-"&amp;TEXT(COUNTA($C$5:C31),"000"))</f>
        <v/>
      </c>
      <c r="C31" s="13" t="n"/>
      <c r="D31" s="13" t="n"/>
      <c r="E31" s="13" t="n"/>
      <c r="F31" s="38" t="n"/>
      <c r="G31" s="38" t="n"/>
      <c r="H31" s="22" t="n"/>
      <c r="I31" s="14" t="n"/>
      <c r="J31" s="13" t="n"/>
      <c r="K31" s="13" t="n"/>
      <c r="L31" s="13" t="n"/>
    </row>
    <row r="32" ht="22" customHeight="1">
      <c r="B32" s="19">
        <f>IF(C32="","PA-"&amp;TEXT(COUNTA($C$5:C32),"000"))</f>
        <v/>
      </c>
      <c r="C32" s="16" t="n"/>
      <c r="D32" s="16" t="n"/>
      <c r="E32" s="16" t="n"/>
      <c r="F32" s="39" t="n"/>
      <c r="G32" s="39" t="n"/>
      <c r="H32" s="24" t="n"/>
      <c r="I32" s="17" t="n"/>
      <c r="J32" s="16" t="n"/>
      <c r="K32" s="16" t="n"/>
      <c r="L32" s="16" t="n"/>
    </row>
    <row r="33" ht="22" customHeight="1">
      <c r="B33" s="20">
        <f>IF(C33="","PA-"&amp;TEXT(COUNTA($C$5:C33),"000"))</f>
        <v/>
      </c>
      <c r="C33" s="13" t="n"/>
      <c r="D33" s="13" t="n"/>
      <c r="E33" s="13" t="n"/>
      <c r="F33" s="38" t="n"/>
      <c r="G33" s="38" t="n"/>
      <c r="H33" s="22" t="n"/>
      <c r="I33" s="14" t="n"/>
      <c r="J33" s="13" t="n"/>
      <c r="K33" s="13" t="n"/>
      <c r="L33" s="13" t="n"/>
    </row>
    <row r="34" ht="22" customHeight="1">
      <c r="B34" s="19">
        <f>IF(C34="","PA-"&amp;TEXT(COUNTA($C$5:C34),"000"))</f>
        <v/>
      </c>
      <c r="C34" s="16" t="n"/>
      <c r="D34" s="16" t="n"/>
      <c r="E34" s="16" t="n"/>
      <c r="F34" s="39" t="n"/>
      <c r="G34" s="39" t="n"/>
      <c r="H34" s="24" t="n"/>
      <c r="I34" s="17" t="n"/>
      <c r="J34" s="16" t="n"/>
      <c r="K34" s="16" t="n"/>
      <c r="L34" s="16" t="n"/>
    </row>
    <row r="35" ht="22" customHeight="1">
      <c r="B35" s="20">
        <f>IF(C35="","PA-"&amp;TEXT(COUNTA($C$5:C35),"000"))</f>
        <v/>
      </c>
      <c r="C35" s="13" t="n"/>
      <c r="D35" s="13" t="n"/>
      <c r="E35" s="13" t="n"/>
      <c r="F35" s="38" t="n"/>
      <c r="G35" s="38" t="n"/>
      <c r="H35" s="22" t="n"/>
      <c r="I35" s="14" t="n"/>
      <c r="J35" s="13" t="n"/>
      <c r="K35" s="13" t="n"/>
      <c r="L35" s="13" t="n"/>
    </row>
    <row r="36" ht="22" customHeight="1">
      <c r="B36" s="19">
        <f>IF(C36="","PA-"&amp;TEXT(COUNTA($C$5:C36),"000"))</f>
        <v/>
      </c>
      <c r="C36" s="16" t="n"/>
      <c r="D36" s="16" t="n"/>
      <c r="E36" s="16" t="n"/>
      <c r="F36" s="39" t="n"/>
      <c r="G36" s="39" t="n"/>
      <c r="H36" s="24" t="n"/>
      <c r="I36" s="17" t="n"/>
      <c r="J36" s="16" t="n"/>
      <c r="K36" s="16" t="n"/>
      <c r="L36" s="16" t="n"/>
    </row>
    <row r="37" ht="22" customHeight="1">
      <c r="B37" s="20">
        <f>IF(C37="","PA-"&amp;TEXT(COUNTA($C$5:C37),"000"))</f>
        <v/>
      </c>
      <c r="C37" s="13" t="n"/>
      <c r="D37" s="13" t="n"/>
      <c r="E37" s="13" t="n"/>
      <c r="F37" s="38" t="n"/>
      <c r="G37" s="38" t="n"/>
      <c r="H37" s="22" t="n"/>
      <c r="I37" s="14" t="n"/>
      <c r="J37" s="13" t="n"/>
      <c r="K37" s="13" t="n"/>
      <c r="L37" s="13" t="n"/>
    </row>
    <row r="38" ht="22" customHeight="1">
      <c r="B38" s="19">
        <f>IF(C38="","PA-"&amp;TEXT(COUNTA($C$5:C38),"000"))</f>
        <v/>
      </c>
      <c r="C38" s="16" t="n"/>
      <c r="D38" s="16" t="n"/>
      <c r="E38" s="16" t="n"/>
      <c r="F38" s="39" t="n"/>
      <c r="G38" s="39" t="n"/>
      <c r="H38" s="24" t="n"/>
      <c r="I38" s="17" t="n"/>
      <c r="J38" s="16" t="n"/>
      <c r="K38" s="16" t="n"/>
      <c r="L38" s="16" t="n"/>
    </row>
    <row r="39" ht="22" customHeight="1">
      <c r="B39" s="20">
        <f>IF(C39="","PA-"&amp;TEXT(COUNTA($C$5:C39),"000"))</f>
        <v/>
      </c>
      <c r="C39" s="13" t="n"/>
      <c r="D39" s="13" t="n"/>
      <c r="E39" s="13" t="n"/>
      <c r="F39" s="38" t="n"/>
      <c r="G39" s="38" t="n"/>
      <c r="H39" s="22" t="n"/>
      <c r="I39" s="14" t="n"/>
      <c r="J39" s="13" t="n"/>
      <c r="K39" s="13" t="n"/>
      <c r="L39" s="13" t="n"/>
    </row>
    <row r="40" ht="22" customHeight="1">
      <c r="B40" s="19">
        <f>IF(C40="","PA-"&amp;TEXT(COUNTA($C$5:C40),"000"))</f>
        <v/>
      </c>
      <c r="C40" s="16" t="n"/>
      <c r="D40" s="16" t="n"/>
      <c r="E40" s="16" t="n"/>
      <c r="F40" s="39" t="n"/>
      <c r="G40" s="39" t="n"/>
      <c r="H40" s="24" t="n"/>
      <c r="I40" s="17" t="n"/>
      <c r="J40" s="16" t="n"/>
      <c r="K40" s="16" t="n"/>
      <c r="L40" s="16" t="n"/>
    </row>
    <row r="41" ht="22" customHeight="1">
      <c r="B41" s="20">
        <f>IF(C41="","PA-"&amp;TEXT(COUNTA($C$5:C41),"000"))</f>
        <v/>
      </c>
      <c r="C41" s="13" t="n"/>
      <c r="D41" s="13" t="n"/>
      <c r="E41" s="13" t="n"/>
      <c r="F41" s="38" t="n"/>
      <c r="G41" s="38" t="n"/>
      <c r="H41" s="22" t="n"/>
      <c r="I41" s="14" t="n"/>
      <c r="J41" s="13" t="n"/>
      <c r="K41" s="13" t="n"/>
      <c r="L41" s="13" t="n"/>
    </row>
    <row r="42" ht="22" customHeight="1">
      <c r="B42" s="19">
        <f>IF(C42="","PA-"&amp;TEXT(COUNTA($C$5:C42),"000"))</f>
        <v/>
      </c>
      <c r="C42" s="16" t="n"/>
      <c r="D42" s="16" t="n"/>
      <c r="E42" s="16" t="n"/>
      <c r="F42" s="39" t="n"/>
      <c r="G42" s="39" t="n"/>
      <c r="H42" s="24" t="n"/>
      <c r="I42" s="17" t="n"/>
      <c r="J42" s="16" t="n"/>
      <c r="K42" s="16" t="n"/>
      <c r="L42" s="16" t="n"/>
    </row>
    <row r="43" ht="22" customHeight="1">
      <c r="B43" s="20">
        <f>IF(C43="","PA-"&amp;TEXT(COUNTA($C$5:C43),"000"))</f>
        <v/>
      </c>
      <c r="C43" s="13" t="n"/>
      <c r="D43" s="13" t="n"/>
      <c r="E43" s="13" t="n"/>
      <c r="F43" s="38" t="n"/>
      <c r="G43" s="38" t="n"/>
      <c r="H43" s="22" t="n"/>
      <c r="I43" s="14" t="n"/>
      <c r="J43" s="13" t="n"/>
      <c r="K43" s="13" t="n"/>
      <c r="L43" s="13" t="n"/>
    </row>
    <row r="44" ht="22" customHeight="1">
      <c r="B44" s="19">
        <f>IF(C44="","PA-"&amp;TEXT(COUNTA($C$5:C44),"000"))</f>
        <v/>
      </c>
      <c r="C44" s="16" t="n"/>
      <c r="D44" s="16" t="n"/>
      <c r="E44" s="16" t="n"/>
      <c r="F44" s="39" t="n"/>
      <c r="G44" s="39" t="n"/>
      <c r="H44" s="24" t="n"/>
      <c r="I44" s="17" t="n"/>
      <c r="J44" s="16" t="n"/>
      <c r="K44" s="16" t="n"/>
      <c r="L44" s="16" t="n"/>
    </row>
    <row r="45" ht="22" customHeight="1">
      <c r="B45" s="20">
        <f>IF(C45="","PA-"&amp;TEXT(COUNTA($C$5:C45),"000"))</f>
        <v/>
      </c>
      <c r="C45" s="13" t="n"/>
      <c r="D45" s="13" t="n"/>
      <c r="E45" s="13" t="n"/>
      <c r="F45" s="38" t="n"/>
      <c r="G45" s="38" t="n"/>
      <c r="H45" s="22" t="n"/>
      <c r="I45" s="14" t="n"/>
      <c r="J45" s="13" t="n"/>
      <c r="K45" s="13" t="n"/>
      <c r="L45" s="13" t="n"/>
    </row>
    <row r="46" ht="22" customHeight="1">
      <c r="B46" s="19">
        <f>IF(C46="","PA-"&amp;TEXT(COUNTA($C$5:C46),"000"))</f>
        <v/>
      </c>
      <c r="C46" s="16" t="n"/>
      <c r="D46" s="16" t="n"/>
      <c r="E46" s="16" t="n"/>
      <c r="F46" s="39" t="n"/>
      <c r="G46" s="39" t="n"/>
      <c r="H46" s="24" t="n"/>
      <c r="I46" s="17" t="n"/>
      <c r="J46" s="16" t="n"/>
      <c r="K46" s="16" t="n"/>
      <c r="L46" s="16" t="n"/>
    </row>
    <row r="47" ht="22" customHeight="1">
      <c r="B47" s="20">
        <f>IF(C47="","PA-"&amp;TEXT(COUNTA($C$5:C47),"000"))</f>
        <v/>
      </c>
      <c r="C47" s="13" t="n"/>
      <c r="D47" s="13" t="n"/>
      <c r="E47" s="13" t="n"/>
      <c r="F47" s="38" t="n"/>
      <c r="G47" s="38" t="n"/>
      <c r="H47" s="22" t="n"/>
      <c r="I47" s="14" t="n"/>
      <c r="J47" s="13" t="n"/>
      <c r="K47" s="13" t="n"/>
      <c r="L47" s="13" t="n"/>
    </row>
    <row r="48" ht="22" customHeight="1">
      <c r="B48" s="19">
        <f>IF(C48="","PA-"&amp;TEXT(COUNTA($C$5:C48),"000"))</f>
        <v/>
      </c>
      <c r="C48" s="16" t="n"/>
      <c r="D48" s="16" t="n"/>
      <c r="E48" s="16" t="n"/>
      <c r="F48" s="39" t="n"/>
      <c r="G48" s="39" t="n"/>
      <c r="H48" s="24" t="n"/>
      <c r="I48" s="17" t="n"/>
      <c r="J48" s="16" t="n"/>
      <c r="K48" s="16" t="n"/>
      <c r="L48" s="16" t="n"/>
    </row>
    <row r="49" ht="22" customHeight="1">
      <c r="B49" s="20">
        <f>IF(C49="","PA-"&amp;TEXT(COUNTA($C$5:C49),"000"))</f>
        <v/>
      </c>
      <c r="C49" s="13" t="n"/>
      <c r="D49" s="13" t="n"/>
      <c r="E49" s="13" t="n"/>
      <c r="F49" s="38" t="n"/>
      <c r="G49" s="38" t="n"/>
      <c r="H49" s="22" t="n"/>
      <c r="I49" s="14" t="n"/>
      <c r="J49" s="13" t="n"/>
      <c r="K49" s="13" t="n"/>
      <c r="L49" s="13" t="n"/>
    </row>
    <row r="50" ht="22" customHeight="1">
      <c r="B50" s="19">
        <f>IF(C50="","PA-"&amp;TEXT(COUNTA($C$5:C50),"000"))</f>
        <v/>
      </c>
      <c r="C50" s="16" t="n"/>
      <c r="D50" s="16" t="n"/>
      <c r="E50" s="16" t="n"/>
      <c r="F50" s="39" t="n"/>
      <c r="G50" s="39" t="n"/>
      <c r="H50" s="24" t="n"/>
      <c r="I50" s="17" t="n"/>
      <c r="J50" s="16" t="n"/>
      <c r="K50" s="16" t="n"/>
      <c r="L50" s="16" t="n"/>
    </row>
    <row r="51" ht="22" customHeight="1">
      <c r="B51" s="20">
        <f>IF(C51="","PA-"&amp;TEXT(COUNTA($C$5:C51),"000"))</f>
        <v/>
      </c>
      <c r="C51" s="13" t="n"/>
      <c r="D51" s="13" t="n"/>
      <c r="E51" s="13" t="n"/>
      <c r="F51" s="38" t="n"/>
      <c r="G51" s="38" t="n"/>
      <c r="H51" s="22" t="n"/>
      <c r="I51" s="14" t="n"/>
      <c r="J51" s="13" t="n"/>
      <c r="K51" s="13" t="n"/>
      <c r="L51" s="13" t="n"/>
    </row>
    <row r="52" ht="22" customHeight="1">
      <c r="B52" s="19">
        <f>IF(C52="","PA-"&amp;TEXT(COUNTA($C$5:C52),"000"))</f>
        <v/>
      </c>
      <c r="C52" s="16" t="n"/>
      <c r="D52" s="16" t="n"/>
      <c r="E52" s="16" t="n"/>
      <c r="F52" s="39" t="n"/>
      <c r="G52" s="39" t="n"/>
      <c r="H52" s="24" t="n"/>
      <c r="I52" s="17" t="n"/>
      <c r="J52" s="16" t="n"/>
      <c r="K52" s="16" t="n"/>
      <c r="L52" s="16" t="n"/>
    </row>
    <row r="53" ht="22" customHeight="1">
      <c r="B53" s="20">
        <f>IF(C53="","PA-"&amp;TEXT(COUNTA($C$5:C53),"000"))</f>
        <v/>
      </c>
      <c r="C53" s="13" t="n"/>
      <c r="D53" s="13" t="n"/>
      <c r="E53" s="13" t="n"/>
      <c r="F53" s="38" t="n"/>
      <c r="G53" s="38" t="n"/>
      <c r="H53" s="22" t="n"/>
      <c r="I53" s="14" t="n"/>
      <c r="J53" s="13" t="n"/>
      <c r="K53" s="13" t="n"/>
      <c r="L53" s="13" t="n"/>
    </row>
    <row r="54" ht="22" customHeight="1">
      <c r="B54" s="19">
        <f>IF(C54="","PA-"&amp;TEXT(COUNTA($C$5:C54),"000"))</f>
        <v/>
      </c>
      <c r="C54" s="16" t="n"/>
      <c r="D54" s="16" t="n"/>
      <c r="E54" s="16" t="n"/>
      <c r="F54" s="39" t="n"/>
      <c r="G54" s="39" t="n"/>
      <c r="H54" s="24" t="n"/>
      <c r="I54" s="17" t="n"/>
      <c r="J54" s="16" t="n"/>
      <c r="K54" s="16" t="n"/>
      <c r="L54" s="16" t="n"/>
    </row>
    <row r="55" ht="22" customHeight="1">
      <c r="B55" s="20">
        <f>IF(C55="","PA-"&amp;TEXT(COUNTA($C$5:C55),"000"))</f>
        <v/>
      </c>
      <c r="C55" s="13" t="n"/>
      <c r="D55" s="13" t="n"/>
      <c r="E55" s="13" t="n"/>
      <c r="F55" s="38" t="n"/>
      <c r="G55" s="38" t="n"/>
      <c r="H55" s="22" t="n"/>
      <c r="I55" s="14" t="n"/>
      <c r="J55" s="13" t="n"/>
      <c r="K55" s="13" t="n"/>
      <c r="L55" s="13" t="n"/>
    </row>
    <row r="56" ht="22" customHeight="1">
      <c r="B56" s="19">
        <f>IF(C56="","PA-"&amp;TEXT(COUNTA($C$5:C56),"000"))</f>
        <v/>
      </c>
      <c r="C56" s="16" t="n"/>
      <c r="D56" s="16" t="n"/>
      <c r="E56" s="16" t="n"/>
      <c r="F56" s="39" t="n"/>
      <c r="G56" s="39" t="n"/>
      <c r="H56" s="24" t="n"/>
      <c r="I56" s="17" t="n"/>
      <c r="J56" s="16" t="n"/>
      <c r="K56" s="16" t="n"/>
      <c r="L56" s="16" t="n"/>
    </row>
    <row r="57" ht="22" customHeight="1">
      <c r="B57" s="20">
        <f>IF(C57="","PA-"&amp;TEXT(COUNTA($C$5:C57),"000"))</f>
        <v/>
      </c>
      <c r="C57" s="13" t="n"/>
      <c r="D57" s="13" t="n"/>
      <c r="E57" s="13" t="n"/>
      <c r="F57" s="38" t="n"/>
      <c r="G57" s="38" t="n"/>
      <c r="H57" s="22" t="n"/>
      <c r="I57" s="14" t="n"/>
      <c r="J57" s="13" t="n"/>
      <c r="K57" s="13" t="n"/>
      <c r="L57" s="13" t="n"/>
    </row>
    <row r="58" ht="22" customHeight="1">
      <c r="B58" s="19">
        <f>IF(C58="","PA-"&amp;TEXT(COUNTA($C$5:C58),"000"))</f>
        <v/>
      </c>
      <c r="C58" s="16" t="n"/>
      <c r="D58" s="16" t="n"/>
      <c r="E58" s="16" t="n"/>
      <c r="F58" s="39" t="n"/>
      <c r="G58" s="39" t="n"/>
      <c r="H58" s="24" t="n"/>
      <c r="I58" s="17" t="n"/>
      <c r="J58" s="16" t="n"/>
      <c r="K58" s="16" t="n"/>
      <c r="L58" s="16" t="n"/>
    </row>
    <row r="59" ht="22" customHeight="1">
      <c r="B59" s="20">
        <f>IF(C59="","PA-"&amp;TEXT(COUNTA($C$5:C59),"000"))</f>
        <v/>
      </c>
      <c r="C59" s="13" t="n"/>
      <c r="D59" s="13" t="n"/>
      <c r="E59" s="13" t="n"/>
      <c r="F59" s="38" t="n"/>
      <c r="G59" s="38" t="n"/>
      <c r="H59" s="22" t="n"/>
      <c r="I59" s="14" t="n"/>
      <c r="J59" s="13" t="n"/>
      <c r="K59" s="13" t="n"/>
      <c r="L59" s="13" t="n"/>
    </row>
    <row r="60" ht="22" customHeight="1">
      <c r="B60" s="19">
        <f>IF(C60="","PA-"&amp;TEXT(COUNTA($C$5:C60),"000"))</f>
        <v/>
      </c>
      <c r="C60" s="16" t="n"/>
      <c r="D60" s="16" t="n"/>
      <c r="E60" s="16" t="n"/>
      <c r="F60" s="39" t="n"/>
      <c r="G60" s="39" t="n"/>
      <c r="H60" s="24" t="n"/>
      <c r="I60" s="17" t="n"/>
      <c r="J60" s="16" t="n"/>
      <c r="K60" s="16" t="n"/>
      <c r="L60" s="16" t="n"/>
    </row>
    <row r="61" ht="22" customHeight="1">
      <c r="B61" s="20">
        <f>IF(C61="","PA-"&amp;TEXT(COUNTA($C$5:C61),"000"))</f>
        <v/>
      </c>
      <c r="C61" s="13" t="n"/>
      <c r="D61" s="13" t="n"/>
      <c r="E61" s="13" t="n"/>
      <c r="F61" s="38" t="n"/>
      <c r="G61" s="38" t="n"/>
      <c r="H61" s="22" t="n"/>
      <c r="I61" s="14" t="n"/>
      <c r="J61" s="13" t="n"/>
      <c r="K61" s="13" t="n"/>
      <c r="L61" s="13" t="n"/>
    </row>
    <row r="62" ht="22" customHeight="1">
      <c r="B62" s="19">
        <f>IF(C62="","PA-"&amp;TEXT(COUNTA($C$5:C62),"000"))</f>
        <v/>
      </c>
      <c r="C62" s="16" t="n"/>
      <c r="D62" s="16" t="n"/>
      <c r="E62" s="16" t="n"/>
      <c r="F62" s="39" t="n"/>
      <c r="G62" s="39" t="n"/>
      <c r="H62" s="24" t="n"/>
      <c r="I62" s="17" t="n"/>
      <c r="J62" s="16" t="n"/>
      <c r="K62" s="16" t="n"/>
      <c r="L62" s="16" t="n"/>
    </row>
    <row r="63" ht="22" customHeight="1">
      <c r="B63" s="20">
        <f>IF(C63="","PA-"&amp;TEXT(COUNTA($C$5:C63),"000"))</f>
        <v/>
      </c>
      <c r="C63" s="13" t="n"/>
      <c r="D63" s="13" t="n"/>
      <c r="E63" s="13" t="n"/>
      <c r="F63" s="38" t="n"/>
      <c r="G63" s="38" t="n"/>
      <c r="H63" s="22" t="n"/>
      <c r="I63" s="14" t="n"/>
      <c r="J63" s="13" t="n"/>
      <c r="K63" s="13" t="n"/>
      <c r="L63" s="13" t="n"/>
    </row>
    <row r="64" ht="22" customHeight="1">
      <c r="B64" s="19">
        <f>IF(C64="","PA-"&amp;TEXT(COUNTA($C$5:C64),"000"))</f>
        <v/>
      </c>
      <c r="C64" s="16" t="n"/>
      <c r="D64" s="16" t="n"/>
      <c r="E64" s="16" t="n"/>
      <c r="F64" s="39" t="n"/>
      <c r="G64" s="39" t="n"/>
      <c r="H64" s="24" t="n"/>
      <c r="I64" s="17" t="n"/>
      <c r="J64" s="16" t="n"/>
      <c r="K64" s="16" t="n"/>
      <c r="L64" s="16" t="n"/>
    </row>
    <row r="65" ht="22" customHeight="1">
      <c r="B65" s="20">
        <f>IF(C65="","PA-"&amp;TEXT(COUNTA($C$5:C65),"000"))</f>
        <v/>
      </c>
      <c r="C65" s="13" t="n"/>
      <c r="D65" s="13" t="n"/>
      <c r="E65" s="13" t="n"/>
      <c r="F65" s="38" t="n"/>
      <c r="G65" s="38" t="n"/>
      <c r="H65" s="22" t="n"/>
      <c r="I65" s="14" t="n"/>
      <c r="J65" s="13" t="n"/>
      <c r="K65" s="13" t="n"/>
      <c r="L65" s="13" t="n"/>
    </row>
    <row r="66" ht="22" customHeight="1">
      <c r="B66" s="19">
        <f>IF(C66="","PA-"&amp;TEXT(COUNTA($C$5:C66),"000"))</f>
        <v/>
      </c>
      <c r="C66" s="16" t="n"/>
      <c r="D66" s="16" t="n"/>
      <c r="E66" s="16" t="n"/>
      <c r="F66" s="39" t="n"/>
      <c r="G66" s="39" t="n"/>
      <c r="H66" s="24" t="n"/>
      <c r="I66" s="17" t="n"/>
      <c r="J66" s="16" t="n"/>
      <c r="K66" s="16" t="n"/>
      <c r="L66" s="16" t="n"/>
    </row>
    <row r="67" ht="22" customHeight="1">
      <c r="B67" s="20">
        <f>IF(C67="","PA-"&amp;TEXT(COUNTA($C$5:C67),"000"))</f>
        <v/>
      </c>
      <c r="C67" s="13" t="n"/>
      <c r="D67" s="13" t="n"/>
      <c r="E67" s="13" t="n"/>
      <c r="F67" s="38" t="n"/>
      <c r="G67" s="38" t="n"/>
      <c r="H67" s="22" t="n"/>
      <c r="I67" s="14" t="n"/>
      <c r="J67" s="13" t="n"/>
      <c r="K67" s="13" t="n"/>
      <c r="L67" s="13" t="n"/>
    </row>
    <row r="68" ht="22" customHeight="1">
      <c r="B68" s="19">
        <f>IF(C68="","PA-"&amp;TEXT(COUNTA($C$5:C68),"000"))</f>
        <v/>
      </c>
      <c r="C68" s="16" t="n"/>
      <c r="D68" s="16" t="n"/>
      <c r="E68" s="16" t="n"/>
      <c r="F68" s="39" t="n"/>
      <c r="G68" s="39" t="n"/>
      <c r="H68" s="24" t="n"/>
      <c r="I68" s="17" t="n"/>
      <c r="J68" s="16" t="n"/>
      <c r="K68" s="16" t="n"/>
      <c r="L68" s="16" t="n"/>
    </row>
    <row r="69" ht="22" customHeight="1">
      <c r="B69" s="20">
        <f>IF(C69="","PA-"&amp;TEXT(COUNTA($C$5:C69),"000"))</f>
        <v/>
      </c>
      <c r="C69" s="13" t="n"/>
      <c r="D69" s="13" t="n"/>
      <c r="E69" s="13" t="n"/>
      <c r="F69" s="38" t="n"/>
      <c r="G69" s="38" t="n"/>
      <c r="H69" s="22" t="n"/>
      <c r="I69" s="14" t="n"/>
      <c r="J69" s="13" t="n"/>
      <c r="K69" s="13" t="n"/>
      <c r="L69" s="13" t="n"/>
    </row>
    <row r="70" ht="22" customHeight="1">
      <c r="B70" s="19">
        <f>IF(C70="","PA-"&amp;TEXT(COUNTA($C$5:C70),"000"))</f>
        <v/>
      </c>
      <c r="C70" s="16" t="n"/>
      <c r="D70" s="16" t="n"/>
      <c r="E70" s="16" t="n"/>
      <c r="F70" s="39" t="n"/>
      <c r="G70" s="39" t="n"/>
      <c r="H70" s="24" t="n"/>
      <c r="I70" s="17" t="n"/>
      <c r="J70" s="16" t="n"/>
      <c r="K70" s="16" t="n"/>
      <c r="L70" s="16" t="n"/>
    </row>
    <row r="71" ht="22" customHeight="1">
      <c r="B71" s="20">
        <f>IF(C71="","PA-"&amp;TEXT(COUNTA($C$5:C71),"000"))</f>
        <v/>
      </c>
      <c r="C71" s="13" t="n"/>
      <c r="D71" s="13" t="n"/>
      <c r="E71" s="13" t="n"/>
      <c r="F71" s="38" t="n"/>
      <c r="G71" s="38" t="n"/>
      <c r="H71" s="22" t="n"/>
      <c r="I71" s="14" t="n"/>
      <c r="J71" s="13" t="n"/>
      <c r="K71" s="13" t="n"/>
      <c r="L71" s="13" t="n"/>
    </row>
    <row r="72" ht="22" customHeight="1">
      <c r="B72" s="19">
        <f>IF(C72="","PA-"&amp;TEXT(COUNTA($C$5:C72),"000"))</f>
        <v/>
      </c>
      <c r="C72" s="16" t="n"/>
      <c r="D72" s="16" t="n"/>
      <c r="E72" s="16" t="n"/>
      <c r="F72" s="39" t="n"/>
      <c r="G72" s="39" t="n"/>
      <c r="H72" s="24" t="n"/>
      <c r="I72" s="17" t="n"/>
      <c r="J72" s="16" t="n"/>
      <c r="K72" s="16" t="n"/>
      <c r="L72" s="16" t="n"/>
    </row>
    <row r="73" ht="22" customHeight="1">
      <c r="B73" s="20">
        <f>IF(C73="","PA-"&amp;TEXT(COUNTA($C$5:C73),"000"))</f>
        <v/>
      </c>
      <c r="C73" s="13" t="n"/>
      <c r="D73" s="13" t="n"/>
      <c r="E73" s="13" t="n"/>
      <c r="F73" s="38" t="n"/>
      <c r="G73" s="38" t="n"/>
      <c r="H73" s="22" t="n"/>
      <c r="I73" s="14" t="n"/>
      <c r="J73" s="13" t="n"/>
      <c r="K73" s="13" t="n"/>
      <c r="L73" s="13" t="n"/>
    </row>
    <row r="74" ht="22" customHeight="1">
      <c r="B74" s="19">
        <f>IF(C74="","PA-"&amp;TEXT(COUNTA($C$5:C74),"000"))</f>
        <v/>
      </c>
      <c r="C74" s="16" t="n"/>
      <c r="D74" s="16" t="n"/>
      <c r="E74" s="16" t="n"/>
      <c r="F74" s="39" t="n"/>
      <c r="G74" s="39" t="n"/>
      <c r="H74" s="24" t="n"/>
      <c r="I74" s="17" t="n"/>
      <c r="J74" s="16" t="n"/>
      <c r="K74" s="16" t="n"/>
      <c r="L74" s="16" t="n"/>
    </row>
    <row r="75" ht="22" customHeight="1">
      <c r="B75" s="20">
        <f>IF(C75="","PA-"&amp;TEXT(COUNTA($C$5:C75),"000"))</f>
        <v/>
      </c>
      <c r="C75" s="13" t="n"/>
      <c r="D75" s="13" t="n"/>
      <c r="E75" s="13" t="n"/>
      <c r="F75" s="38" t="n"/>
      <c r="G75" s="38" t="n"/>
      <c r="H75" s="22" t="n"/>
      <c r="I75" s="14" t="n"/>
      <c r="J75" s="13" t="n"/>
      <c r="K75" s="13" t="n"/>
      <c r="L75" s="13" t="n"/>
    </row>
    <row r="76" ht="22" customHeight="1">
      <c r="B76" s="19">
        <f>IF(C76="","PA-"&amp;TEXT(COUNTA($C$5:C76),"000"))</f>
        <v/>
      </c>
      <c r="C76" s="16" t="n"/>
      <c r="D76" s="16" t="n"/>
      <c r="E76" s="16" t="n"/>
      <c r="F76" s="39" t="n"/>
      <c r="G76" s="39" t="n"/>
      <c r="H76" s="24" t="n"/>
      <c r="I76" s="17" t="n"/>
      <c r="J76" s="16" t="n"/>
      <c r="K76" s="16" t="n"/>
      <c r="L76" s="16" t="n"/>
    </row>
    <row r="77" ht="22" customHeight="1">
      <c r="B77" s="20">
        <f>IF(C77="","PA-"&amp;TEXT(COUNTA($C$5:C77),"000"))</f>
        <v/>
      </c>
      <c r="C77" s="13" t="n"/>
      <c r="D77" s="13" t="n"/>
      <c r="E77" s="13" t="n"/>
      <c r="F77" s="38" t="n"/>
      <c r="G77" s="38" t="n"/>
      <c r="H77" s="22" t="n"/>
      <c r="I77" s="14" t="n"/>
      <c r="J77" s="13" t="n"/>
      <c r="K77" s="13" t="n"/>
      <c r="L77" s="13" t="n"/>
    </row>
    <row r="78" ht="22" customHeight="1">
      <c r="B78" s="19">
        <f>IF(C78="","PA-"&amp;TEXT(COUNTA($C$5:C78),"000"))</f>
        <v/>
      </c>
      <c r="C78" s="16" t="n"/>
      <c r="D78" s="16" t="n"/>
      <c r="E78" s="16" t="n"/>
      <c r="F78" s="39" t="n"/>
      <c r="G78" s="39" t="n"/>
      <c r="H78" s="24" t="n"/>
      <c r="I78" s="17" t="n"/>
      <c r="J78" s="16" t="n"/>
      <c r="K78" s="16" t="n"/>
      <c r="L78" s="16" t="n"/>
    </row>
    <row r="79" ht="22" customHeight="1">
      <c r="B79" s="20">
        <f>IF(C79="","PA-"&amp;TEXT(COUNTA($C$5:C79),"000"))</f>
        <v/>
      </c>
      <c r="C79" s="13" t="n"/>
      <c r="D79" s="13" t="n"/>
      <c r="E79" s="13" t="n"/>
      <c r="F79" s="38" t="n"/>
      <c r="G79" s="38" t="n"/>
      <c r="H79" s="22" t="n"/>
      <c r="I79" s="14" t="n"/>
      <c r="J79" s="13" t="n"/>
      <c r="K79" s="13" t="n"/>
      <c r="L79" s="13" t="n"/>
    </row>
    <row r="80" ht="22" customHeight="1">
      <c r="B80" s="19">
        <f>IF(C80="","PA-"&amp;TEXT(COUNTA($C$5:C80),"000"))</f>
        <v/>
      </c>
      <c r="C80" s="16" t="n"/>
      <c r="D80" s="16" t="n"/>
      <c r="E80" s="16" t="n"/>
      <c r="F80" s="39" t="n"/>
      <c r="G80" s="39" t="n"/>
      <c r="H80" s="24" t="n"/>
      <c r="I80" s="17" t="n"/>
      <c r="J80" s="16" t="n"/>
      <c r="K80" s="16" t="n"/>
      <c r="L80" s="16" t="n"/>
    </row>
    <row r="81" ht="22" customHeight="1">
      <c r="B81" s="20">
        <f>IF(C81="","PA-"&amp;TEXT(COUNTA($C$5:C81),"000"))</f>
        <v/>
      </c>
      <c r="C81" s="13" t="n"/>
      <c r="D81" s="13" t="n"/>
      <c r="E81" s="13" t="n"/>
      <c r="F81" s="38" t="n"/>
      <c r="G81" s="38" t="n"/>
      <c r="H81" s="22" t="n"/>
      <c r="I81" s="14" t="n"/>
      <c r="J81" s="13" t="n"/>
      <c r="K81" s="13" t="n"/>
      <c r="L81" s="13" t="n"/>
    </row>
    <row r="82" ht="22" customHeight="1">
      <c r="B82" s="19">
        <f>IF(C82="","PA-"&amp;TEXT(COUNTA($C$5:C82),"000"))</f>
        <v/>
      </c>
      <c r="C82" s="16" t="n"/>
      <c r="D82" s="16" t="n"/>
      <c r="E82" s="16" t="n"/>
      <c r="F82" s="39" t="n"/>
      <c r="G82" s="39" t="n"/>
      <c r="H82" s="24" t="n"/>
      <c r="I82" s="17" t="n"/>
      <c r="J82" s="16" t="n"/>
      <c r="K82" s="16" t="n"/>
      <c r="L82" s="16" t="n"/>
    </row>
    <row r="83" ht="22" customHeight="1">
      <c r="B83" s="20">
        <f>IF(C83="","PA-"&amp;TEXT(COUNTA($C$5:C83),"000"))</f>
        <v/>
      </c>
      <c r="C83" s="13" t="n"/>
      <c r="D83" s="13" t="n"/>
      <c r="E83" s="13" t="n"/>
      <c r="F83" s="38" t="n"/>
      <c r="G83" s="38" t="n"/>
      <c r="H83" s="22" t="n"/>
      <c r="I83" s="14" t="n"/>
      <c r="J83" s="13" t="n"/>
      <c r="K83" s="13" t="n"/>
      <c r="L83" s="13" t="n"/>
    </row>
    <row r="84" ht="22" customHeight="1">
      <c r="B84" s="19">
        <f>IF(C84="","PA-"&amp;TEXT(COUNTA($C$5:C84),"000"))</f>
        <v/>
      </c>
      <c r="C84" s="16" t="n"/>
      <c r="D84" s="16" t="n"/>
      <c r="E84" s="16" t="n"/>
      <c r="F84" s="39" t="n"/>
      <c r="G84" s="39" t="n"/>
      <c r="H84" s="24" t="n"/>
      <c r="I84" s="17" t="n"/>
      <c r="J84" s="16" t="n"/>
      <c r="K84" s="16" t="n"/>
      <c r="L84" s="16" t="n"/>
    </row>
    <row r="85" ht="22" customHeight="1">
      <c r="B85" s="20">
        <f>IF(C85="","PA-"&amp;TEXT(COUNTA($C$5:C85),"000"))</f>
        <v/>
      </c>
      <c r="C85" s="13" t="n"/>
      <c r="D85" s="13" t="n"/>
      <c r="E85" s="13" t="n"/>
      <c r="F85" s="38" t="n"/>
      <c r="G85" s="38" t="n"/>
      <c r="H85" s="22" t="n"/>
      <c r="I85" s="14" t="n"/>
      <c r="J85" s="13" t="n"/>
      <c r="K85" s="13" t="n"/>
      <c r="L85" s="13" t="n"/>
    </row>
    <row r="86" ht="22" customHeight="1">
      <c r="B86" s="19">
        <f>IF(C86="","PA-"&amp;TEXT(COUNTA($C$5:C86),"000"))</f>
        <v/>
      </c>
      <c r="C86" s="16" t="n"/>
      <c r="D86" s="16" t="n"/>
      <c r="E86" s="16" t="n"/>
      <c r="F86" s="39" t="n"/>
      <c r="G86" s="39" t="n"/>
      <c r="H86" s="24" t="n"/>
      <c r="I86" s="17" t="n"/>
      <c r="J86" s="16" t="n"/>
      <c r="K86" s="16" t="n"/>
      <c r="L86" s="16" t="n"/>
    </row>
    <row r="87" ht="22" customHeight="1">
      <c r="B87" s="20">
        <f>IF(C87="","PA-"&amp;TEXT(COUNTA($C$5:C87),"000"))</f>
        <v/>
      </c>
      <c r="C87" s="13" t="n"/>
      <c r="D87" s="13" t="n"/>
      <c r="E87" s="13" t="n"/>
      <c r="F87" s="38" t="n"/>
      <c r="G87" s="38" t="n"/>
      <c r="H87" s="22" t="n"/>
      <c r="I87" s="14" t="n"/>
      <c r="J87" s="13" t="n"/>
      <c r="K87" s="13" t="n"/>
      <c r="L87" s="13" t="n"/>
    </row>
    <row r="88" ht="22" customHeight="1">
      <c r="B88" s="19">
        <f>IF(C88="","PA-"&amp;TEXT(COUNTA($C$5:C88),"000"))</f>
        <v/>
      </c>
      <c r="C88" s="16" t="n"/>
      <c r="D88" s="16" t="n"/>
      <c r="E88" s="16" t="n"/>
      <c r="F88" s="39" t="n"/>
      <c r="G88" s="39" t="n"/>
      <c r="H88" s="24" t="n"/>
      <c r="I88" s="17" t="n"/>
      <c r="J88" s="16" t="n"/>
      <c r="K88" s="16" t="n"/>
      <c r="L88" s="16" t="n"/>
    </row>
    <row r="89" ht="22" customHeight="1">
      <c r="B89" s="20">
        <f>IF(C89="","PA-"&amp;TEXT(COUNTA($C$5:C89),"000"))</f>
        <v/>
      </c>
      <c r="C89" s="13" t="n"/>
      <c r="D89" s="13" t="n"/>
      <c r="E89" s="13" t="n"/>
      <c r="F89" s="38" t="n"/>
      <c r="G89" s="38" t="n"/>
      <c r="H89" s="22" t="n"/>
      <c r="I89" s="14" t="n"/>
      <c r="J89" s="13" t="n"/>
      <c r="K89" s="13" t="n"/>
      <c r="L89" s="13" t="n"/>
    </row>
    <row r="90" ht="22" customHeight="1">
      <c r="B90" s="19">
        <f>IF(C90="","PA-"&amp;TEXT(COUNTA($C$5:C90),"000"))</f>
        <v/>
      </c>
      <c r="C90" s="16" t="n"/>
      <c r="D90" s="16" t="n"/>
      <c r="E90" s="16" t="n"/>
      <c r="F90" s="39" t="n"/>
      <c r="G90" s="39" t="n"/>
      <c r="H90" s="24" t="n"/>
      <c r="I90" s="17" t="n"/>
      <c r="J90" s="16" t="n"/>
      <c r="K90" s="16" t="n"/>
      <c r="L90" s="16" t="n"/>
    </row>
    <row r="91" ht="22" customHeight="1">
      <c r="B91" s="20">
        <f>IF(C91="","PA-"&amp;TEXT(COUNTA($C$5:C91),"000"))</f>
        <v/>
      </c>
      <c r="C91" s="13" t="n"/>
      <c r="D91" s="13" t="n"/>
      <c r="E91" s="13" t="n"/>
      <c r="F91" s="38" t="n"/>
      <c r="G91" s="38" t="n"/>
      <c r="H91" s="22" t="n"/>
      <c r="I91" s="14" t="n"/>
      <c r="J91" s="13" t="n"/>
      <c r="K91" s="13" t="n"/>
      <c r="L91" s="13" t="n"/>
    </row>
    <row r="92" ht="22" customHeight="1">
      <c r="B92" s="19">
        <f>IF(C92="","PA-"&amp;TEXT(COUNTA($C$5:C92),"000"))</f>
        <v/>
      </c>
      <c r="C92" s="16" t="n"/>
      <c r="D92" s="16" t="n"/>
      <c r="E92" s="16" t="n"/>
      <c r="F92" s="39" t="n"/>
      <c r="G92" s="39" t="n"/>
      <c r="H92" s="24" t="n"/>
      <c r="I92" s="17" t="n"/>
      <c r="J92" s="16" t="n"/>
      <c r="K92" s="16" t="n"/>
      <c r="L92" s="16" t="n"/>
    </row>
    <row r="93" ht="22" customHeight="1">
      <c r="B93" s="20">
        <f>IF(C93="","PA-"&amp;TEXT(COUNTA($C$5:C93),"000"))</f>
        <v/>
      </c>
      <c r="C93" s="13" t="n"/>
      <c r="D93" s="13" t="n"/>
      <c r="E93" s="13" t="n"/>
      <c r="F93" s="38" t="n"/>
      <c r="G93" s="38" t="n"/>
      <c r="H93" s="22" t="n"/>
      <c r="I93" s="14" t="n"/>
      <c r="J93" s="13" t="n"/>
      <c r="K93" s="13" t="n"/>
      <c r="L93" s="13" t="n"/>
    </row>
    <row r="94" ht="22" customHeight="1">
      <c r="B94" s="19">
        <f>IF(C94="","PA-"&amp;TEXT(COUNTA($C$5:C94),"000"))</f>
        <v/>
      </c>
      <c r="C94" s="16" t="n"/>
      <c r="D94" s="16" t="n"/>
      <c r="E94" s="16" t="n"/>
      <c r="F94" s="39" t="n"/>
      <c r="G94" s="39" t="n"/>
      <c r="H94" s="24" t="n"/>
      <c r="I94" s="17" t="n"/>
      <c r="J94" s="16" t="n"/>
      <c r="K94" s="16" t="n"/>
      <c r="L94" s="16" t="n"/>
    </row>
    <row r="95" ht="22" customHeight="1">
      <c r="B95" s="20">
        <f>IF(C95="","PA-"&amp;TEXT(COUNTA($C$5:C95),"000"))</f>
        <v/>
      </c>
      <c r="C95" s="13" t="n"/>
      <c r="D95" s="13" t="n"/>
      <c r="E95" s="13" t="n"/>
      <c r="F95" s="38" t="n"/>
      <c r="G95" s="38" t="n"/>
      <c r="H95" s="22" t="n"/>
      <c r="I95" s="14" t="n"/>
      <c r="J95" s="13" t="n"/>
      <c r="K95" s="13" t="n"/>
      <c r="L95" s="13" t="n"/>
    </row>
    <row r="96" ht="22" customHeight="1">
      <c r="B96" s="19">
        <f>IF(C96="","PA-"&amp;TEXT(COUNTA($C$5:C96),"000"))</f>
        <v/>
      </c>
      <c r="C96" s="16" t="n"/>
      <c r="D96" s="16" t="n"/>
      <c r="E96" s="16" t="n"/>
      <c r="F96" s="39" t="n"/>
      <c r="G96" s="39" t="n"/>
      <c r="H96" s="24" t="n"/>
      <c r="I96" s="17" t="n"/>
      <c r="J96" s="16" t="n"/>
      <c r="K96" s="16" t="n"/>
      <c r="L96" s="16" t="n"/>
    </row>
    <row r="97" ht="22" customHeight="1">
      <c r="B97" s="20">
        <f>IF(C97="","PA-"&amp;TEXT(COUNTA($C$5:C97),"000"))</f>
        <v/>
      </c>
      <c r="C97" s="13" t="n"/>
      <c r="D97" s="13" t="n"/>
      <c r="E97" s="13" t="n"/>
      <c r="F97" s="38" t="n"/>
      <c r="G97" s="38" t="n"/>
      <c r="H97" s="22" t="n"/>
      <c r="I97" s="14" t="n"/>
      <c r="J97" s="13" t="n"/>
      <c r="K97" s="13" t="n"/>
      <c r="L97" s="13" t="n"/>
    </row>
    <row r="98" ht="22" customHeight="1">
      <c r="B98" s="19">
        <f>IF(C98="","PA-"&amp;TEXT(COUNTA($C$5:C98),"000"))</f>
        <v/>
      </c>
      <c r="C98" s="16" t="n"/>
      <c r="D98" s="16" t="n"/>
      <c r="E98" s="16" t="n"/>
      <c r="F98" s="39" t="n"/>
      <c r="G98" s="39" t="n"/>
      <c r="H98" s="24" t="n"/>
      <c r="I98" s="17" t="n"/>
      <c r="J98" s="16" t="n"/>
      <c r="K98" s="16" t="n"/>
      <c r="L98" s="16" t="n"/>
    </row>
    <row r="99" ht="22" customHeight="1">
      <c r="B99" s="20">
        <f>IF(C99="","PA-"&amp;TEXT(COUNTA($C$5:C99),"000"))</f>
        <v/>
      </c>
      <c r="C99" s="13" t="n"/>
      <c r="D99" s="13" t="n"/>
      <c r="E99" s="13" t="n"/>
      <c r="F99" s="38" t="n"/>
      <c r="G99" s="38" t="n"/>
      <c r="H99" s="22" t="n"/>
      <c r="I99" s="14" t="n"/>
      <c r="J99" s="13" t="n"/>
      <c r="K99" s="13" t="n"/>
      <c r="L99" s="13" t="n"/>
    </row>
    <row r="100" ht="22" customHeight="1">
      <c r="B100" s="19">
        <f>IF(C100="","PA-"&amp;TEXT(COUNTA($C$5:C100),"000"))</f>
        <v/>
      </c>
      <c r="C100" s="16" t="n"/>
      <c r="D100" s="16" t="n"/>
      <c r="E100" s="16" t="n"/>
      <c r="F100" s="39" t="n"/>
      <c r="G100" s="39" t="n"/>
      <c r="H100" s="24" t="n"/>
      <c r="I100" s="17" t="n"/>
      <c r="J100" s="16" t="n"/>
      <c r="K100" s="16" t="n"/>
      <c r="L100" s="16" t="n"/>
    </row>
    <row r="101" ht="22" customHeight="1">
      <c r="B101" s="20">
        <f>IF(C101="","PA-"&amp;TEXT(COUNTA($C$5:C101),"000"))</f>
        <v/>
      </c>
      <c r="C101" s="13" t="n"/>
      <c r="D101" s="13" t="n"/>
      <c r="E101" s="13" t="n"/>
      <c r="F101" s="38" t="n"/>
      <c r="G101" s="38" t="n"/>
      <c r="H101" s="22" t="n"/>
      <c r="I101" s="14" t="n"/>
      <c r="J101" s="13" t="n"/>
      <c r="K101" s="13" t="n"/>
      <c r="L101" s="13" t="n"/>
    </row>
    <row r="102" ht="22" customHeight="1">
      <c r="B102" s="19">
        <f>IF(C102="","PA-"&amp;TEXT(COUNTA($C$5:C102),"000"))</f>
        <v/>
      </c>
      <c r="C102" s="16" t="n"/>
      <c r="D102" s="16" t="n"/>
      <c r="E102" s="16" t="n"/>
      <c r="F102" s="39" t="n"/>
      <c r="G102" s="39" t="n"/>
      <c r="H102" s="24" t="n"/>
      <c r="I102" s="17" t="n"/>
      <c r="J102" s="16" t="n"/>
      <c r="K102" s="16" t="n"/>
      <c r="L102" s="16" t="n"/>
    </row>
    <row r="103" ht="22" customHeight="1">
      <c r="B103" s="20">
        <f>IF(C103="","PA-"&amp;TEXT(COUNTA($C$5:C103),"000"))</f>
        <v/>
      </c>
      <c r="C103" s="13" t="n"/>
      <c r="D103" s="13" t="n"/>
      <c r="E103" s="13" t="n"/>
      <c r="F103" s="38" t="n"/>
      <c r="G103" s="38" t="n"/>
      <c r="H103" s="22" t="n"/>
      <c r="I103" s="14" t="n"/>
      <c r="J103" s="13" t="n"/>
      <c r="K103" s="13" t="n"/>
      <c r="L103" s="13" t="n"/>
    </row>
    <row r="104" ht="22" customHeight="1">
      <c r="B104" s="19">
        <f>IF(C104="","PA-"&amp;TEXT(COUNTA($C$5:C104),"000"))</f>
        <v/>
      </c>
      <c r="C104" s="16" t="n"/>
      <c r="D104" s="16" t="n"/>
      <c r="E104" s="16" t="n"/>
      <c r="F104" s="39" t="n"/>
      <c r="G104" s="39" t="n"/>
      <c r="H104" s="24" t="n"/>
      <c r="I104" s="17" t="n"/>
      <c r="J104" s="16" t="n"/>
      <c r="K104" s="16" t="n"/>
      <c r="L104" s="16" t="n"/>
    </row>
    <row r="105" ht="22" customHeight="1">
      <c r="B105" s="20">
        <f>IF(C105="","PA-"&amp;TEXT(COUNTA($C$5:C105),"000"))</f>
        <v/>
      </c>
      <c r="C105" s="13" t="n"/>
      <c r="D105" s="13" t="n"/>
      <c r="E105" s="13" t="n"/>
      <c r="F105" s="38" t="n"/>
      <c r="G105" s="38" t="n"/>
      <c r="H105" s="22" t="n"/>
      <c r="I105" s="14" t="n"/>
      <c r="J105" s="13" t="n"/>
      <c r="K105" s="13" t="n"/>
      <c r="L105" s="13" t="n"/>
    </row>
    <row r="106" ht="22" customHeight="1">
      <c r="B106" s="19">
        <f>IF(C106="","PA-"&amp;TEXT(COUNTA($C$5:C106),"000"))</f>
        <v/>
      </c>
      <c r="C106" s="16" t="n"/>
      <c r="D106" s="16" t="n"/>
      <c r="E106" s="16" t="n"/>
      <c r="F106" s="39" t="n"/>
      <c r="G106" s="39" t="n"/>
      <c r="H106" s="24" t="n"/>
      <c r="I106" s="17" t="n"/>
      <c r="J106" s="16" t="n"/>
      <c r="K106" s="16" t="n"/>
      <c r="L106" s="16" t="n"/>
    </row>
    <row r="107" ht="22" customHeight="1">
      <c r="B107" s="20">
        <f>IF(C107="","PA-"&amp;TEXT(COUNTA($C$5:C107),"000"))</f>
        <v/>
      </c>
      <c r="C107" s="13" t="n"/>
      <c r="D107" s="13" t="n"/>
      <c r="E107" s="13" t="n"/>
      <c r="F107" s="38" t="n"/>
      <c r="G107" s="38" t="n"/>
      <c r="H107" s="22" t="n"/>
      <c r="I107" s="14" t="n"/>
      <c r="J107" s="13" t="n"/>
      <c r="K107" s="13" t="n"/>
      <c r="L107" s="13" t="n"/>
    </row>
    <row r="108" ht="22" customHeight="1">
      <c r="B108" s="19">
        <f>IF(C108="","PA-"&amp;TEXT(COUNTA($C$5:C108),"000"))</f>
        <v/>
      </c>
      <c r="C108" s="16" t="n"/>
      <c r="D108" s="16" t="n"/>
      <c r="E108" s="16" t="n"/>
      <c r="F108" s="39" t="n"/>
      <c r="G108" s="39" t="n"/>
      <c r="H108" s="24" t="n"/>
      <c r="I108" s="17" t="n"/>
      <c r="J108" s="16" t="n"/>
      <c r="K108" s="16" t="n"/>
      <c r="L108" s="16" t="n"/>
    </row>
    <row r="109"/>
    <row r="110" ht="26" customHeight="1">
      <c r="B110" s="25" t="inlineStr">
        <is>
          <t>TOTAL</t>
        </is>
      </c>
      <c r="C110" s="26" t="n"/>
      <c r="D110" s="26" t="n"/>
      <c r="E110" s="26" t="n"/>
      <c r="F110" s="26" t="n"/>
      <c r="G110" s="26" t="n"/>
      <c r="H110" s="27">
        <f>SUM(H5:H104)</f>
        <v/>
      </c>
      <c r="I110" s="26" t="n"/>
      <c r="J110" s="26" t="n"/>
      <c r="K110" s="26" t="n"/>
      <c r="L110" s="26" t="n"/>
    </row>
    <row r="111"/>
    <row r="112">
      <c r="B112" s="6" t="inlineStr">
        <is>
          <t>INDICATEURS (mis a jour automatiquement)</t>
        </is>
      </c>
    </row>
    <row r="113">
      <c r="B113" s="3" t="inlineStr">
        <is>
          <t>Plans d'action</t>
        </is>
      </c>
      <c r="D113" s="3" t="inlineStr">
        <is>
          <t>Budget total (FCFA)</t>
        </is>
      </c>
      <c r="F113" s="3" t="inlineStr">
        <is>
          <t>En cours</t>
        </is>
      </c>
    </row>
    <row r="114">
      <c r="B114" s="4">
        <f>COUNTIF(B5:B104,"&lt;&gt;")</f>
        <v/>
      </c>
      <c r="D114" s="4">
        <f>SUM(H5:H104)</f>
        <v/>
      </c>
      <c r="F114" s="4">
        <f>COUNTIF(K5:K104,"En cours")</f>
        <v/>
      </c>
    </row>
  </sheetData>
  <mergeCells count="3">
    <mergeCell ref="B2:L2"/>
    <mergeCell ref="B112:L112"/>
    <mergeCell ref="B3:L3"/>
  </mergeCells>
  <conditionalFormatting sqref="K5:K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9:B108">
    <cfRule type="expression" priority="274" dxfId="3">
      <formula>AND($C9="",$C8&lt;&gt;"")</formula>
    </cfRule>
  </conditionalFormatting>
  <conditionalFormatting sqref="C9:C108">
    <cfRule type="expression" priority="275" dxfId="3">
      <formula>AND($C9="",$C8&lt;&gt;"")</formula>
    </cfRule>
  </conditionalFormatting>
  <conditionalFormatting sqref="D9:D108">
    <cfRule type="expression" priority="276" dxfId="3">
      <formula>AND($C9="",$C8&lt;&gt;"")</formula>
    </cfRule>
  </conditionalFormatting>
  <conditionalFormatting sqref="E9:E108">
    <cfRule type="expression" priority="277" dxfId="3">
      <formula>AND($C9="",$C8&lt;&gt;"")</formula>
    </cfRule>
  </conditionalFormatting>
  <conditionalFormatting sqref="F9:F108">
    <cfRule type="expression" priority="278" dxfId="3">
      <formula>AND($C9="",$C8&lt;&gt;"")</formula>
    </cfRule>
  </conditionalFormatting>
  <conditionalFormatting sqref="G9:G108">
    <cfRule type="expression" priority="279" dxfId="3">
      <formula>AND($C9="",$C8&lt;&gt;"")</formula>
    </cfRule>
  </conditionalFormatting>
  <conditionalFormatting sqref="H9:H108">
    <cfRule type="expression" priority="280" dxfId="3">
      <formula>AND($C9="",$C8&lt;&gt;"")</formula>
    </cfRule>
  </conditionalFormatting>
  <conditionalFormatting sqref="I9:I108">
    <cfRule type="expression" priority="281" dxfId="3">
      <formula>AND($C9="",$C8&lt;&gt;"")</formula>
    </cfRule>
  </conditionalFormatting>
  <conditionalFormatting sqref="J9:J108">
    <cfRule type="expression" priority="282" dxfId="3">
      <formula>AND($C9="",$C8&lt;&gt;"")</formula>
    </cfRule>
  </conditionalFormatting>
  <conditionalFormatting sqref="K9:K108">
    <cfRule type="expression" priority="283" dxfId="3">
      <formula>AND($C9="",$C8&lt;&gt;"")</formula>
    </cfRule>
  </conditionalFormatting>
  <conditionalFormatting sqref="L9:L108">
    <cfRule type="expression" priority="284" dxfId="3">
      <formula>AND($C9="",$C8&lt;&gt;"")</formula>
    </cfRule>
  </conditionalFormatting>
  <dataValidations count="2">
    <dataValidation sqref="D5:D108" showDropDown="0" showInputMessage="0" showErrorMessage="0" allowBlank="1" errorTitle="Erreur" error="Valeur invalide" promptTitle="Liste" prompt="Choisir dans la liste" type="list">
      <formula1>'_Lists'!$C$2:$C$28</formula1>
    </dataValidation>
    <dataValidation sqref="K5:K108" showDropDown="0" showInputMessage="0" showErrorMessage="0" allowBlank="1" errorTitle="Erreur" error="Valeur invalide" promptTitle="Liste" prompt="Choisir dans la liste" type="list">
      <formula1>'_Lists'!$M$2:$M$6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22" customWidth="1" min="4" max="4"/>
    <col width="18" customWidth="1" min="5" max="5"/>
    <col width="16" customWidth="1" min="6" max="6"/>
    <col width="16" customWidth="1" min="7" max="7"/>
    <col width="24" customWidth="1" min="8" max="8"/>
    <col width="16" customWidth="1" min="9" max="9"/>
    <col width="36" customWidth="1" min="10" max="10"/>
  </cols>
  <sheetData>
    <row r="1" ht="15" customHeight="1"/>
    <row r="2" ht="32" customHeight="1">
      <c r="B2" s="1" t="inlineStr">
        <is>
          <t>BILAN SOCIAL (#175)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Indicateur Bilan Social</t>
        </is>
      </c>
      <c r="D4" s="12" t="inlineStr">
        <is>
          <t>Source de Donnees</t>
        </is>
      </c>
      <c r="E4" s="12" t="inlineStr">
        <is>
          <t>Annee N-1</t>
        </is>
      </c>
      <c r="F4" s="12" t="inlineStr">
        <is>
          <t>Annee N</t>
        </is>
      </c>
      <c r="G4" s="12" t="inlineStr">
        <is>
          <t>Evolution</t>
        </is>
      </c>
      <c r="H4" s="12" t="inlineStr">
        <is>
          <t>Reference Legale</t>
        </is>
      </c>
      <c r="I4" s="12" t="inlineStr">
        <is>
          <t>Statut</t>
        </is>
      </c>
      <c r="J4" s="12" t="inlineStr">
        <is>
          <t>Observations</t>
        </is>
      </c>
    </row>
    <row r="5" ht="22" customHeight="1">
      <c r="B5" s="13" t="inlineStr">
        <is>
          <t>BS-001</t>
        </is>
      </c>
      <c r="C5" s="13" t="inlineStr">
        <is>
          <t>Effectif au 31/12</t>
        </is>
      </c>
      <c r="D5" s="13" t="inlineStr">
        <is>
          <t>SIRH</t>
        </is>
      </c>
      <c r="E5" s="32" t="n">
        <v>175</v>
      </c>
      <c r="F5" s="32" t="n">
        <v>185</v>
      </c>
      <c r="G5" s="44" t="n"/>
      <c r="H5" s="13" t="inlineStr">
        <is>
          <t>Art. L1221-3 CT</t>
        </is>
      </c>
      <c r="I5" s="13" t="inlineStr">
        <is>
          <t>En cours</t>
        </is>
      </c>
      <c r="J5" s="13" t="inlineStr">
        <is>
          <t>Hausse de 5.7% liee a l'extension</t>
        </is>
      </c>
    </row>
    <row r="6" ht="22" customHeight="1">
      <c r="B6" s="16" t="inlineStr">
        <is>
          <t>BS-002</t>
        </is>
      </c>
      <c r="C6" s="16" t="inlineStr">
        <is>
          <t>Taux rotation</t>
        </is>
      </c>
      <c r="D6" s="16" t="inlineStr">
        <is>
          <t>SIRH</t>
        </is>
      </c>
      <c r="E6" s="34" t="n">
        <v>0.22</v>
      </c>
      <c r="F6" s="34" t="n">
        <v>0.18</v>
      </c>
      <c r="G6" s="45" t="n"/>
      <c r="H6" s="16" t="inlineStr">
        <is>
          <t>Convention collective</t>
        </is>
      </c>
      <c r="I6" s="16" t="inlineStr">
        <is>
          <t>En cours</t>
        </is>
      </c>
      <c r="J6" s="16" t="inlineStr">
        <is>
          <t>Amelioration significative</t>
        </is>
      </c>
    </row>
    <row r="7" ht="22" customHeight="1">
      <c r="B7" s="13" t="inlineStr">
        <is>
          <t>BS-003</t>
        </is>
      </c>
      <c r="C7" s="13" t="inlineStr">
        <is>
          <t>Nb embauches CDD</t>
        </is>
      </c>
      <c r="D7" s="13" t="inlineStr">
        <is>
          <t>SIRH</t>
        </is>
      </c>
      <c r="E7" s="32" t="n">
        <v>45</v>
      </c>
      <c r="F7" s="32" t="n">
        <v>38</v>
      </c>
      <c r="G7" s="44" t="n"/>
      <c r="H7" s="13" t="inlineStr">
        <is>
          <t>Art. L1242-1 CT</t>
        </is>
      </c>
      <c r="I7" s="13" t="inlineStr">
        <is>
          <t>En cours</t>
        </is>
      </c>
      <c r="J7" s="13" t="inlineStr">
        <is>
          <t>Baisse des CDD au profit des CDI</t>
        </is>
      </c>
    </row>
    <row r="8" ht="22" customHeight="1">
      <c r="B8" s="16" t="inlineStr">
        <is>
          <t>BS-004</t>
        </is>
      </c>
      <c r="C8" s="16" t="inlineStr">
        <is>
          <t>Nb embauches CDI</t>
        </is>
      </c>
      <c r="D8" s="16" t="inlineStr">
        <is>
          <t>SIRH</t>
        </is>
      </c>
      <c r="E8" s="34" t="n">
        <v>22</v>
      </c>
      <c r="F8" s="34" t="n">
        <v>30</v>
      </c>
      <c r="G8" s="45" t="n"/>
      <c r="H8" s="16" t="inlineStr">
        <is>
          <t>Art. L1221-2 CT</t>
        </is>
      </c>
      <c r="I8" s="16" t="inlineStr">
        <is>
          <t>En cours</t>
        </is>
      </c>
      <c r="J8" s="16" t="inlineStr">
        <is>
          <t>Politique de stabilisation</t>
        </is>
      </c>
    </row>
    <row r="9" ht="22" customHeight="1">
      <c r="B9" s="13" t="inlineStr">
        <is>
          <t>BS-005</t>
        </is>
      </c>
      <c r="C9" s="13" t="inlineStr">
        <is>
          <t>Total salaires bruts (M FCFA)</t>
        </is>
      </c>
      <c r="D9" s="13" t="inlineStr">
        <is>
          <t>Paie</t>
        </is>
      </c>
      <c r="E9" s="32" t="n">
        <v>105</v>
      </c>
      <c r="F9" s="32" t="n">
        <v>126.5</v>
      </c>
      <c r="G9" s="44" t="n"/>
      <c r="H9" s="13" t="inlineStr">
        <is>
          <t>Art. L3231-1 CT</t>
        </is>
      </c>
      <c r="I9" s="13" t="inlineStr">
        <is>
          <t>En cours</t>
        </is>
      </c>
      <c r="J9" s="13" t="inlineStr">
        <is>
          <t>Hausse effectif + revalorisation</t>
        </is>
      </c>
    </row>
    <row r="10" ht="22" customHeight="1">
      <c r="B10" s="16" t="inlineStr">
        <is>
          <t>BS-006</t>
        </is>
      </c>
      <c r="C10" s="16" t="inlineStr">
        <is>
          <t>Nb jours de formation</t>
        </is>
      </c>
      <c r="D10" s="16" t="inlineStr">
        <is>
          <t>SIRH</t>
        </is>
      </c>
      <c r="E10" s="34" t="n">
        <v>1400</v>
      </c>
      <c r="F10" s="34" t="n">
        <v>2313</v>
      </c>
      <c r="G10" s="45" t="n"/>
      <c r="H10" s="16" t="inlineStr">
        <is>
          <t>Art. L6311-1 CT</t>
        </is>
      </c>
      <c r="I10" s="16" t="inlineStr">
        <is>
          <t>En cours</t>
        </is>
      </c>
      <c r="J10" s="16" t="inlineStr">
        <is>
          <t>Objectif 3700h pour 2025</t>
        </is>
      </c>
    </row>
    <row r="11" ht="22" customHeight="1">
      <c r="B11" s="13" t="inlineStr">
        <is>
          <t>BS-007</t>
        </is>
      </c>
      <c r="C11" s="13" t="inlineStr">
        <is>
          <t>Nb accidents de travail</t>
        </is>
      </c>
      <c r="D11" s="13" t="inlineStr">
        <is>
          <t>Registre S&amp;ST</t>
        </is>
      </c>
      <c r="E11" s="32" t="n">
        <v>8</v>
      </c>
      <c r="F11" s="32" t="n">
        <v>5</v>
      </c>
      <c r="G11" s="44" t="n"/>
      <c r="H11" s="13" t="inlineStr">
        <is>
          <t>Art. L4121-1 CT</t>
        </is>
      </c>
      <c r="I11" s="13" t="inlineStr">
        <is>
          <t>En cours</t>
        </is>
      </c>
      <c r="J11" s="13" t="inlineStr">
        <is>
          <t>Plan securite porte ses fruits</t>
        </is>
      </c>
    </row>
    <row r="12" ht="22" customHeight="1">
      <c r="B12" s="16" t="inlineStr">
        <is>
          <t>BS-008</t>
        </is>
      </c>
      <c r="C12" s="16" t="inlineStr">
        <is>
          <t>Taux absentéisme</t>
        </is>
      </c>
      <c r="D12" s="16" t="inlineStr">
        <is>
          <t>SIRH + Paie</t>
        </is>
      </c>
      <c r="E12" s="34" t="n">
        <v>0.058</v>
      </c>
      <c r="F12" s="34" t="n">
        <v>0.065</v>
      </c>
      <c r="G12" s="45" t="n"/>
      <c r="H12" s="16" t="inlineStr">
        <is>
          <t>Pas de ref. legale directe</t>
        </is>
      </c>
      <c r="I12" s="16" t="inlineStr">
        <is>
          <t>En cours</t>
        </is>
      </c>
      <c r="J12" s="16" t="inlineStr">
        <is>
          <t>Hausse liee a pic grippe fevrier</t>
        </is>
      </c>
    </row>
    <row r="13" ht="22" customHeight="1">
      <c r="B13" s="20">
        <f>IF(C13="","BS-"&amp;TEXT(COUNTA($C$5:C13),"000"))</f>
        <v/>
      </c>
      <c r="C13" s="13" t="n"/>
      <c r="D13" s="13" t="n"/>
      <c r="E13" s="32" t="n"/>
      <c r="F13" s="32" t="n"/>
      <c r="G13" s="44">
        <f>IF(OR(E13="",F13=""),"",F13-E13)</f>
        <v/>
      </c>
      <c r="H13" s="13" t="n"/>
      <c r="I13" s="13" t="n"/>
      <c r="J13" s="13" t="n"/>
    </row>
    <row r="14" ht="22" customHeight="1">
      <c r="B14" s="19">
        <f>IF(C14="","BS-"&amp;TEXT(COUNTA($C$5:C14),"000"))</f>
        <v/>
      </c>
      <c r="C14" s="16" t="n"/>
      <c r="D14" s="16" t="n"/>
      <c r="E14" s="34" t="n"/>
      <c r="F14" s="34" t="n"/>
      <c r="G14" s="45">
        <f>IF(OR(E14="",F14=""),"",F14-E14)</f>
        <v/>
      </c>
      <c r="H14" s="16" t="n"/>
      <c r="I14" s="16" t="n"/>
      <c r="J14" s="16" t="n"/>
    </row>
    <row r="15" ht="22" customHeight="1">
      <c r="B15" s="20">
        <f>IF(C15="","BS-"&amp;TEXT(COUNTA($C$5:C15),"000"))</f>
        <v/>
      </c>
      <c r="C15" s="13" t="n"/>
      <c r="D15" s="13" t="n"/>
      <c r="E15" s="32" t="n"/>
      <c r="F15" s="32" t="n"/>
      <c r="G15" s="44">
        <f>IF(OR(E15="",F15=""),"",F15-E15)</f>
        <v/>
      </c>
      <c r="H15" s="13" t="n"/>
      <c r="I15" s="13" t="n"/>
      <c r="J15" s="13" t="n"/>
    </row>
    <row r="16" ht="22" customHeight="1">
      <c r="B16" s="19">
        <f>IF(C16="","BS-"&amp;TEXT(COUNTA($C$5:C16),"000"))</f>
        <v/>
      </c>
      <c r="C16" s="16" t="n"/>
      <c r="D16" s="16" t="n"/>
      <c r="E16" s="34" t="n"/>
      <c r="F16" s="34" t="n"/>
      <c r="G16" s="45">
        <f>IF(OR(E16="",F16=""),"",F16-E16)</f>
        <v/>
      </c>
      <c r="H16" s="16" t="n"/>
      <c r="I16" s="16" t="n"/>
      <c r="J16" s="16" t="n"/>
    </row>
    <row r="17" ht="22" customHeight="1">
      <c r="B17" s="20">
        <f>IF(C17="","BS-"&amp;TEXT(COUNTA($C$5:C17),"000"))</f>
        <v/>
      </c>
      <c r="C17" s="13" t="n"/>
      <c r="D17" s="13" t="n"/>
      <c r="E17" s="32" t="n"/>
      <c r="F17" s="32" t="n"/>
      <c r="G17" s="44">
        <f>IF(OR(E17="",F17=""),"",F17-E17)</f>
        <v/>
      </c>
      <c r="H17" s="13" t="n"/>
      <c r="I17" s="13" t="n"/>
      <c r="J17" s="13" t="n"/>
    </row>
    <row r="18" ht="22" customHeight="1">
      <c r="B18" s="19">
        <f>IF(C18="","BS-"&amp;TEXT(COUNTA($C$5:C18),"000"))</f>
        <v/>
      </c>
      <c r="C18" s="16" t="n"/>
      <c r="D18" s="16" t="n"/>
      <c r="E18" s="34" t="n"/>
      <c r="F18" s="34" t="n"/>
      <c r="G18" s="45">
        <f>IF(OR(E18="",F18=""),"",F18-E18)</f>
        <v/>
      </c>
      <c r="H18" s="16" t="n"/>
      <c r="I18" s="16" t="n"/>
      <c r="J18" s="16" t="n"/>
    </row>
    <row r="19" ht="22" customHeight="1">
      <c r="B19" s="20">
        <f>IF(C19="","BS-"&amp;TEXT(COUNTA($C$5:C19),"000"))</f>
        <v/>
      </c>
      <c r="C19" s="13" t="n"/>
      <c r="D19" s="13" t="n"/>
      <c r="E19" s="32" t="n"/>
      <c r="F19" s="32" t="n"/>
      <c r="G19" s="44">
        <f>IF(OR(E19="",F19=""),"",F19-E19)</f>
        <v/>
      </c>
      <c r="H19" s="13" t="n"/>
      <c r="I19" s="13" t="n"/>
      <c r="J19" s="13" t="n"/>
    </row>
    <row r="20" ht="22" customHeight="1">
      <c r="B20" s="19">
        <f>IF(C20="","BS-"&amp;TEXT(COUNTA($C$5:C20),"000"))</f>
        <v/>
      </c>
      <c r="C20" s="16" t="n"/>
      <c r="D20" s="16" t="n"/>
      <c r="E20" s="34" t="n"/>
      <c r="F20" s="34" t="n"/>
      <c r="G20" s="45">
        <f>IF(OR(E20="",F20=""),"",F20-E20)</f>
        <v/>
      </c>
      <c r="H20" s="16" t="n"/>
      <c r="I20" s="16" t="n"/>
      <c r="J20" s="16" t="n"/>
    </row>
    <row r="21" ht="22" customHeight="1">
      <c r="B21" s="20">
        <f>IF(C21="","BS-"&amp;TEXT(COUNTA($C$5:C21),"000"))</f>
        <v/>
      </c>
      <c r="C21" s="13" t="n"/>
      <c r="D21" s="13" t="n"/>
      <c r="E21" s="32" t="n"/>
      <c r="F21" s="32" t="n"/>
      <c r="G21" s="44">
        <f>IF(OR(E21="",F21=""),"",F21-E21)</f>
        <v/>
      </c>
      <c r="H21" s="13" t="n"/>
      <c r="I21" s="13" t="n"/>
      <c r="J21" s="13" t="n"/>
    </row>
    <row r="22" ht="22" customHeight="1">
      <c r="B22" s="19">
        <f>IF(C22="","BS-"&amp;TEXT(COUNTA($C$5:C22),"000"))</f>
        <v/>
      </c>
      <c r="C22" s="16" t="n"/>
      <c r="D22" s="16" t="n"/>
      <c r="E22" s="34" t="n"/>
      <c r="F22" s="34" t="n"/>
      <c r="G22" s="45">
        <f>IF(OR(E22="",F22=""),"",F22-E22)</f>
        <v/>
      </c>
      <c r="H22" s="16" t="n"/>
      <c r="I22" s="16" t="n"/>
      <c r="J22" s="16" t="n"/>
    </row>
    <row r="23" ht="22" customHeight="1">
      <c r="B23" s="20">
        <f>IF(C23="","BS-"&amp;TEXT(COUNTA($C$5:C23),"000"))</f>
        <v/>
      </c>
      <c r="C23" s="13" t="n"/>
      <c r="D23" s="13" t="n"/>
      <c r="E23" s="32" t="n"/>
      <c r="F23" s="32" t="n"/>
      <c r="G23" s="44">
        <f>IF(OR(E23="",F23=""),"",F23-E23)</f>
        <v/>
      </c>
      <c r="H23" s="13" t="n"/>
      <c r="I23" s="13" t="n"/>
      <c r="J23" s="13" t="n"/>
    </row>
    <row r="24" ht="22" customHeight="1">
      <c r="B24" s="19">
        <f>IF(C24="","BS-"&amp;TEXT(COUNTA($C$5:C24),"000"))</f>
        <v/>
      </c>
      <c r="C24" s="16" t="n"/>
      <c r="D24" s="16" t="n"/>
      <c r="E24" s="34" t="n"/>
      <c r="F24" s="34" t="n"/>
      <c r="G24" s="45">
        <f>IF(OR(E24="",F24=""),"",F24-E24)</f>
        <v/>
      </c>
      <c r="H24" s="16" t="n"/>
      <c r="I24" s="16" t="n"/>
      <c r="J24" s="16" t="n"/>
    </row>
    <row r="25" ht="22" customHeight="1">
      <c r="B25" s="20">
        <f>IF(C25="","BS-"&amp;TEXT(COUNTA($C$5:C25),"000"))</f>
        <v/>
      </c>
      <c r="C25" s="13" t="n"/>
      <c r="D25" s="13" t="n"/>
      <c r="E25" s="32" t="n"/>
      <c r="F25" s="32" t="n"/>
      <c r="G25" s="44">
        <f>IF(OR(E25="",F25=""),"",F25-E25)</f>
        <v/>
      </c>
      <c r="H25" s="13" t="n"/>
      <c r="I25" s="13" t="n"/>
      <c r="J25" s="13" t="n"/>
    </row>
    <row r="26" ht="22" customHeight="1">
      <c r="B26" s="19">
        <f>IF(C26="","BS-"&amp;TEXT(COUNTA($C$5:C26),"000"))</f>
        <v/>
      </c>
      <c r="C26" s="16" t="n"/>
      <c r="D26" s="16" t="n"/>
      <c r="E26" s="34" t="n"/>
      <c r="F26" s="34" t="n"/>
      <c r="G26" s="45">
        <f>IF(OR(E26="",F26=""),"",F26-E26)</f>
        <v/>
      </c>
      <c r="H26" s="16" t="n"/>
      <c r="I26" s="16" t="n"/>
      <c r="J26" s="16" t="n"/>
    </row>
    <row r="27" ht="22" customHeight="1">
      <c r="B27" s="20">
        <f>IF(C27="","BS-"&amp;TEXT(COUNTA($C$5:C27),"000"))</f>
        <v/>
      </c>
      <c r="C27" s="13" t="n"/>
      <c r="D27" s="13" t="n"/>
      <c r="E27" s="32" t="n"/>
      <c r="F27" s="32" t="n"/>
      <c r="G27" s="44">
        <f>IF(OR(E27="",F27=""),"",F27-E27)</f>
        <v/>
      </c>
      <c r="H27" s="13" t="n"/>
      <c r="I27" s="13" t="n"/>
      <c r="J27" s="13" t="n"/>
    </row>
    <row r="28" ht="22" customHeight="1">
      <c r="B28" s="19">
        <f>IF(C28="","BS-"&amp;TEXT(COUNTA($C$5:C28),"000"))</f>
        <v/>
      </c>
      <c r="C28" s="16" t="n"/>
      <c r="D28" s="16" t="n"/>
      <c r="E28" s="34" t="n"/>
      <c r="F28" s="34" t="n"/>
      <c r="G28" s="45">
        <f>IF(OR(E28="",F28=""),"",F28-E28)</f>
        <v/>
      </c>
      <c r="H28" s="16" t="n"/>
      <c r="I28" s="16" t="n"/>
      <c r="J28" s="16" t="n"/>
    </row>
    <row r="29" ht="22" customHeight="1">
      <c r="B29" s="20">
        <f>IF(C29="","BS-"&amp;TEXT(COUNTA($C$5:C29),"000"))</f>
        <v/>
      </c>
      <c r="C29" s="13" t="n"/>
      <c r="D29" s="13" t="n"/>
      <c r="E29" s="32" t="n"/>
      <c r="F29" s="32" t="n"/>
      <c r="G29" s="44">
        <f>IF(OR(E29="",F29=""),"",F29-E29)</f>
        <v/>
      </c>
      <c r="H29" s="13" t="n"/>
      <c r="I29" s="13" t="n"/>
      <c r="J29" s="13" t="n"/>
    </row>
    <row r="30" ht="22" customHeight="1">
      <c r="B30" s="19">
        <f>IF(C30="","BS-"&amp;TEXT(COUNTA($C$5:C30),"000"))</f>
        <v/>
      </c>
      <c r="C30" s="16" t="n"/>
      <c r="D30" s="16" t="n"/>
      <c r="E30" s="34" t="n"/>
      <c r="F30" s="34" t="n"/>
      <c r="G30" s="45">
        <f>IF(OR(E30="",F30=""),"",F30-E30)</f>
        <v/>
      </c>
      <c r="H30" s="16" t="n"/>
      <c r="I30" s="16" t="n"/>
      <c r="J30" s="16" t="n"/>
    </row>
    <row r="31" ht="22" customHeight="1">
      <c r="B31" s="20">
        <f>IF(C31="","BS-"&amp;TEXT(COUNTA($C$5:C31),"000"))</f>
        <v/>
      </c>
      <c r="C31" s="13" t="n"/>
      <c r="D31" s="13" t="n"/>
      <c r="E31" s="32" t="n"/>
      <c r="F31" s="32" t="n"/>
      <c r="G31" s="44">
        <f>IF(OR(E31="",F31=""),"",F31-E31)</f>
        <v/>
      </c>
      <c r="H31" s="13" t="n"/>
      <c r="I31" s="13" t="n"/>
      <c r="J31" s="13" t="n"/>
    </row>
    <row r="32" ht="22" customHeight="1">
      <c r="B32" s="19">
        <f>IF(C32="","BS-"&amp;TEXT(COUNTA($C$5:C32),"000"))</f>
        <v/>
      </c>
      <c r="C32" s="16" t="n"/>
      <c r="D32" s="16" t="n"/>
      <c r="E32" s="34" t="n"/>
      <c r="F32" s="34" t="n"/>
      <c r="G32" s="45">
        <f>IF(OR(E32="",F32=""),"",F32-E32)</f>
        <v/>
      </c>
      <c r="H32" s="16" t="n"/>
      <c r="I32" s="16" t="n"/>
      <c r="J32" s="16" t="n"/>
    </row>
    <row r="33" ht="22" customHeight="1">
      <c r="B33" s="20">
        <f>IF(C33="","BS-"&amp;TEXT(COUNTA($C$5:C33),"000"))</f>
        <v/>
      </c>
      <c r="C33" s="13" t="n"/>
      <c r="D33" s="13" t="n"/>
      <c r="E33" s="32" t="n"/>
      <c r="F33" s="32" t="n"/>
      <c r="G33" s="44">
        <f>IF(OR(E33="",F33=""),"",F33-E33)</f>
        <v/>
      </c>
      <c r="H33" s="13" t="n"/>
      <c r="I33" s="13" t="n"/>
      <c r="J33" s="13" t="n"/>
    </row>
    <row r="34" ht="22" customHeight="1">
      <c r="B34" s="19">
        <f>IF(C34="","BS-"&amp;TEXT(COUNTA($C$5:C34),"000"))</f>
        <v/>
      </c>
      <c r="C34" s="16" t="n"/>
      <c r="D34" s="16" t="n"/>
      <c r="E34" s="34" t="n"/>
      <c r="F34" s="34" t="n"/>
      <c r="G34" s="45">
        <f>IF(OR(E34="",F34=""),"",F34-E34)</f>
        <v/>
      </c>
      <c r="H34" s="16" t="n"/>
      <c r="I34" s="16" t="n"/>
      <c r="J34" s="16" t="n"/>
    </row>
    <row r="35" ht="22" customHeight="1">
      <c r="B35" s="20">
        <f>IF(C35="","BS-"&amp;TEXT(COUNTA($C$5:C35),"000"))</f>
        <v/>
      </c>
      <c r="C35" s="13" t="n"/>
      <c r="D35" s="13" t="n"/>
      <c r="E35" s="32" t="n"/>
      <c r="F35" s="32" t="n"/>
      <c r="G35" s="44">
        <f>IF(OR(E35="",F35=""),"",F35-E35)</f>
        <v/>
      </c>
      <c r="H35" s="13" t="n"/>
      <c r="I35" s="13" t="n"/>
      <c r="J35" s="13" t="n"/>
    </row>
    <row r="36" ht="22" customHeight="1">
      <c r="B36" s="19">
        <f>IF(C36="","BS-"&amp;TEXT(COUNTA($C$5:C36),"000"))</f>
        <v/>
      </c>
      <c r="C36" s="16" t="n"/>
      <c r="D36" s="16" t="n"/>
      <c r="E36" s="34" t="n"/>
      <c r="F36" s="34" t="n"/>
      <c r="G36" s="45">
        <f>IF(OR(E36="",F36=""),"",F36-E36)</f>
        <v/>
      </c>
      <c r="H36" s="16" t="n"/>
      <c r="I36" s="16" t="n"/>
      <c r="J36" s="16" t="n"/>
    </row>
    <row r="37" ht="22" customHeight="1">
      <c r="B37" s="20">
        <f>IF(C37="","BS-"&amp;TEXT(COUNTA($C$5:C37),"000"))</f>
        <v/>
      </c>
      <c r="C37" s="13" t="n"/>
      <c r="D37" s="13" t="n"/>
      <c r="E37" s="32" t="n"/>
      <c r="F37" s="32" t="n"/>
      <c r="G37" s="44">
        <f>IF(OR(E37="",F37=""),"",F37-E37)</f>
        <v/>
      </c>
      <c r="H37" s="13" t="n"/>
      <c r="I37" s="13" t="n"/>
      <c r="J37" s="13" t="n"/>
    </row>
    <row r="38" ht="22" customHeight="1">
      <c r="B38" s="19">
        <f>IF(C38="","BS-"&amp;TEXT(COUNTA($C$5:C38),"000"))</f>
        <v/>
      </c>
      <c r="C38" s="16" t="n"/>
      <c r="D38" s="16" t="n"/>
      <c r="E38" s="34" t="n"/>
      <c r="F38" s="34" t="n"/>
      <c r="G38" s="45">
        <f>IF(OR(E38="",F38=""),"",F38-E38)</f>
        <v/>
      </c>
      <c r="H38" s="16" t="n"/>
      <c r="I38" s="16" t="n"/>
      <c r="J38" s="16" t="n"/>
    </row>
    <row r="39" ht="22" customHeight="1">
      <c r="B39" s="20">
        <f>IF(C39="","BS-"&amp;TEXT(COUNTA($C$5:C39),"000"))</f>
        <v/>
      </c>
      <c r="C39" s="13" t="n"/>
      <c r="D39" s="13" t="n"/>
      <c r="E39" s="32" t="n"/>
      <c r="F39" s="32" t="n"/>
      <c r="G39" s="44">
        <f>IF(OR(E39="",F39=""),"",F39-E39)</f>
        <v/>
      </c>
      <c r="H39" s="13" t="n"/>
      <c r="I39" s="13" t="n"/>
      <c r="J39" s="13" t="n"/>
    </row>
    <row r="40" ht="22" customHeight="1">
      <c r="B40" s="19">
        <f>IF(C40="","BS-"&amp;TEXT(COUNTA($C$5:C40),"000"))</f>
        <v/>
      </c>
      <c r="C40" s="16" t="n"/>
      <c r="D40" s="16" t="n"/>
      <c r="E40" s="34" t="n"/>
      <c r="F40" s="34" t="n"/>
      <c r="G40" s="45">
        <f>IF(OR(E40="",F40=""),"",F40-E40)</f>
        <v/>
      </c>
      <c r="H40" s="16" t="n"/>
      <c r="I40" s="16" t="n"/>
      <c r="J40" s="16" t="n"/>
    </row>
    <row r="41" ht="22" customHeight="1">
      <c r="B41" s="20">
        <f>IF(C41="","BS-"&amp;TEXT(COUNTA($C$5:C41),"000"))</f>
        <v/>
      </c>
      <c r="C41" s="13" t="n"/>
      <c r="D41" s="13" t="n"/>
      <c r="E41" s="32" t="n"/>
      <c r="F41" s="32" t="n"/>
      <c r="G41" s="44">
        <f>IF(OR(E41="",F41=""),"",F41-E41)</f>
        <v/>
      </c>
      <c r="H41" s="13" t="n"/>
      <c r="I41" s="13" t="n"/>
      <c r="J41" s="13" t="n"/>
    </row>
    <row r="42" ht="22" customHeight="1">
      <c r="B42" s="19">
        <f>IF(C42="","BS-"&amp;TEXT(COUNTA($C$5:C42),"000"))</f>
        <v/>
      </c>
      <c r="C42" s="16" t="n"/>
      <c r="D42" s="16" t="n"/>
      <c r="E42" s="34" t="n"/>
      <c r="F42" s="34" t="n"/>
      <c r="G42" s="45">
        <f>IF(OR(E42="",F42=""),"",F42-E42)</f>
        <v/>
      </c>
      <c r="H42" s="16" t="n"/>
      <c r="I42" s="16" t="n"/>
      <c r="J42" s="16" t="n"/>
    </row>
    <row r="43" ht="22" customHeight="1">
      <c r="B43" s="20">
        <f>IF(C43="","BS-"&amp;TEXT(COUNTA($C$5:C43),"000"))</f>
        <v/>
      </c>
      <c r="C43" s="13" t="n"/>
      <c r="D43" s="13" t="n"/>
      <c r="E43" s="32" t="n"/>
      <c r="F43" s="32" t="n"/>
      <c r="G43" s="44">
        <f>IF(OR(E43="",F43=""),"",F43-E43)</f>
        <v/>
      </c>
      <c r="H43" s="13" t="n"/>
      <c r="I43" s="13" t="n"/>
      <c r="J43" s="13" t="n"/>
    </row>
    <row r="44" ht="22" customHeight="1">
      <c r="B44" s="19">
        <f>IF(C44="","BS-"&amp;TEXT(COUNTA($C$5:C44),"000"))</f>
        <v/>
      </c>
      <c r="C44" s="16" t="n"/>
      <c r="D44" s="16" t="n"/>
      <c r="E44" s="34" t="n"/>
      <c r="F44" s="34" t="n"/>
      <c r="G44" s="45">
        <f>IF(OR(E44="",F44=""),"",F44-E44)</f>
        <v/>
      </c>
      <c r="H44" s="16" t="n"/>
      <c r="I44" s="16" t="n"/>
      <c r="J44" s="16" t="n"/>
    </row>
    <row r="45" ht="22" customHeight="1">
      <c r="B45" s="20">
        <f>IF(C45="","BS-"&amp;TEXT(COUNTA($C$5:C45),"000"))</f>
        <v/>
      </c>
      <c r="C45" s="13" t="n"/>
      <c r="D45" s="13" t="n"/>
      <c r="E45" s="32" t="n"/>
      <c r="F45" s="32" t="n"/>
      <c r="G45" s="44">
        <f>IF(OR(E45="",F45=""),"",F45-E45)</f>
        <v/>
      </c>
      <c r="H45" s="13" t="n"/>
      <c r="I45" s="13" t="n"/>
      <c r="J45" s="13" t="n"/>
    </row>
    <row r="46" ht="22" customHeight="1">
      <c r="B46" s="19">
        <f>IF(C46="","BS-"&amp;TEXT(COUNTA($C$5:C46),"000"))</f>
        <v/>
      </c>
      <c r="C46" s="16" t="n"/>
      <c r="D46" s="16" t="n"/>
      <c r="E46" s="34" t="n"/>
      <c r="F46" s="34" t="n"/>
      <c r="G46" s="45">
        <f>IF(OR(E46="",F46=""),"",F46-E46)</f>
        <v/>
      </c>
      <c r="H46" s="16" t="n"/>
      <c r="I46" s="16" t="n"/>
      <c r="J46" s="16" t="n"/>
    </row>
    <row r="47" ht="22" customHeight="1">
      <c r="B47" s="20">
        <f>IF(C47="","BS-"&amp;TEXT(COUNTA($C$5:C47),"000"))</f>
        <v/>
      </c>
      <c r="C47" s="13" t="n"/>
      <c r="D47" s="13" t="n"/>
      <c r="E47" s="32" t="n"/>
      <c r="F47" s="32" t="n"/>
      <c r="G47" s="44">
        <f>IF(OR(E47="",F47=""),"",F47-E47)</f>
        <v/>
      </c>
      <c r="H47" s="13" t="n"/>
      <c r="I47" s="13" t="n"/>
      <c r="J47" s="13" t="n"/>
    </row>
    <row r="48" ht="22" customHeight="1">
      <c r="B48" s="19">
        <f>IF(C48="","BS-"&amp;TEXT(COUNTA($C$5:C48),"000"))</f>
        <v/>
      </c>
      <c r="C48" s="16" t="n"/>
      <c r="D48" s="16" t="n"/>
      <c r="E48" s="34" t="n"/>
      <c r="F48" s="34" t="n"/>
      <c r="G48" s="45">
        <f>IF(OR(E48="",F48=""),"",F48-E48)</f>
        <v/>
      </c>
      <c r="H48" s="16" t="n"/>
      <c r="I48" s="16" t="n"/>
      <c r="J48" s="16" t="n"/>
    </row>
    <row r="49" ht="22" customHeight="1">
      <c r="B49" s="20">
        <f>IF(C49="","BS-"&amp;TEXT(COUNTA($C$5:C49),"000"))</f>
        <v/>
      </c>
      <c r="C49" s="13" t="n"/>
      <c r="D49" s="13" t="n"/>
      <c r="E49" s="32" t="n"/>
      <c r="F49" s="32" t="n"/>
      <c r="G49" s="44">
        <f>IF(OR(E49="",F49=""),"",F49-E49)</f>
        <v/>
      </c>
      <c r="H49" s="13" t="n"/>
      <c r="I49" s="13" t="n"/>
      <c r="J49" s="13" t="n"/>
    </row>
    <row r="50" ht="22" customHeight="1">
      <c r="B50" s="19">
        <f>IF(C50="","BS-"&amp;TEXT(COUNTA($C$5:C50),"000"))</f>
        <v/>
      </c>
      <c r="C50" s="16" t="n"/>
      <c r="D50" s="16" t="n"/>
      <c r="E50" s="34" t="n"/>
      <c r="F50" s="34" t="n"/>
      <c r="G50" s="45">
        <f>IF(OR(E50="",F50=""),"",F50-E50)</f>
        <v/>
      </c>
      <c r="H50" s="16" t="n"/>
      <c r="I50" s="16" t="n"/>
      <c r="J50" s="16" t="n"/>
    </row>
    <row r="51" ht="22" customHeight="1">
      <c r="B51" s="20">
        <f>IF(C51="","BS-"&amp;TEXT(COUNTA($C$5:C51),"000"))</f>
        <v/>
      </c>
      <c r="C51" s="13" t="n"/>
      <c r="D51" s="13" t="n"/>
      <c r="E51" s="32" t="n"/>
      <c r="F51" s="32" t="n"/>
      <c r="G51" s="44">
        <f>IF(OR(E51="",F51=""),"",F51-E51)</f>
        <v/>
      </c>
      <c r="H51" s="13" t="n"/>
      <c r="I51" s="13" t="n"/>
      <c r="J51" s="13" t="n"/>
    </row>
    <row r="52" ht="22" customHeight="1">
      <c r="B52" s="19">
        <f>IF(C52="","BS-"&amp;TEXT(COUNTA($C$5:C52),"000"))</f>
        <v/>
      </c>
      <c r="C52" s="16" t="n"/>
      <c r="D52" s="16" t="n"/>
      <c r="E52" s="34" t="n"/>
      <c r="F52" s="34" t="n"/>
      <c r="G52" s="45">
        <f>IF(OR(E52="",F52=""),"",F52-E52)</f>
        <v/>
      </c>
      <c r="H52" s="16" t="n"/>
      <c r="I52" s="16" t="n"/>
      <c r="J52" s="16" t="n"/>
    </row>
    <row r="53" ht="22" customHeight="1">
      <c r="B53" s="20">
        <f>IF(C53="","BS-"&amp;TEXT(COUNTA($C$5:C53),"000"))</f>
        <v/>
      </c>
      <c r="C53" s="13" t="n"/>
      <c r="D53" s="13" t="n"/>
      <c r="E53" s="32" t="n"/>
      <c r="F53" s="32" t="n"/>
      <c r="G53" s="44">
        <f>IF(OR(E53="",F53=""),"",F53-E53)</f>
        <v/>
      </c>
      <c r="H53" s="13" t="n"/>
      <c r="I53" s="13" t="n"/>
      <c r="J53" s="13" t="n"/>
    </row>
    <row r="54" ht="22" customHeight="1">
      <c r="B54" s="19">
        <f>IF(C54="","BS-"&amp;TEXT(COUNTA($C$5:C54),"000"))</f>
        <v/>
      </c>
      <c r="C54" s="16" t="n"/>
      <c r="D54" s="16" t="n"/>
      <c r="E54" s="34" t="n"/>
      <c r="F54" s="34" t="n"/>
      <c r="G54" s="45">
        <f>IF(OR(E54="",F54=""),"",F54-E54)</f>
        <v/>
      </c>
      <c r="H54" s="16" t="n"/>
      <c r="I54" s="16" t="n"/>
      <c r="J54" s="16" t="n"/>
    </row>
    <row r="55" ht="22" customHeight="1">
      <c r="B55" s="20">
        <f>IF(C55="","BS-"&amp;TEXT(COUNTA($C$5:C55),"000"))</f>
        <v/>
      </c>
      <c r="C55" s="13" t="n"/>
      <c r="D55" s="13" t="n"/>
      <c r="E55" s="32" t="n"/>
      <c r="F55" s="32" t="n"/>
      <c r="G55" s="44">
        <f>IF(OR(E55="",F55=""),"",F55-E55)</f>
        <v/>
      </c>
      <c r="H55" s="13" t="n"/>
      <c r="I55" s="13" t="n"/>
      <c r="J55" s="13" t="n"/>
    </row>
    <row r="56" ht="22" customHeight="1">
      <c r="B56" s="19">
        <f>IF(C56="","BS-"&amp;TEXT(COUNTA($C$5:C56),"000"))</f>
        <v/>
      </c>
      <c r="C56" s="16" t="n"/>
      <c r="D56" s="16" t="n"/>
      <c r="E56" s="34" t="n"/>
      <c r="F56" s="34" t="n"/>
      <c r="G56" s="45">
        <f>IF(OR(E56="",F56=""),"",F56-E56)</f>
        <v/>
      </c>
      <c r="H56" s="16" t="n"/>
      <c r="I56" s="16" t="n"/>
      <c r="J56" s="16" t="n"/>
    </row>
    <row r="57" ht="22" customHeight="1">
      <c r="B57" s="20">
        <f>IF(C57="","BS-"&amp;TEXT(COUNTA($C$5:C57),"000"))</f>
        <v/>
      </c>
      <c r="C57" s="13" t="n"/>
      <c r="D57" s="13" t="n"/>
      <c r="E57" s="32" t="n"/>
      <c r="F57" s="32" t="n"/>
      <c r="G57" s="44">
        <f>IF(OR(E57="",F57=""),"",F57-E57)</f>
        <v/>
      </c>
      <c r="H57" s="13" t="n"/>
      <c r="I57" s="13" t="n"/>
      <c r="J57" s="13" t="n"/>
    </row>
    <row r="58" ht="22" customHeight="1">
      <c r="B58" s="19">
        <f>IF(C58="","BS-"&amp;TEXT(COUNTA($C$5:C58),"000"))</f>
        <v/>
      </c>
      <c r="C58" s="16" t="n"/>
      <c r="D58" s="16" t="n"/>
      <c r="E58" s="34" t="n"/>
      <c r="F58" s="34" t="n"/>
      <c r="G58" s="45">
        <f>IF(OR(E58="",F58=""),"",F58-E58)</f>
        <v/>
      </c>
      <c r="H58" s="16" t="n"/>
      <c r="I58" s="16" t="n"/>
      <c r="J58" s="16" t="n"/>
    </row>
    <row r="59" ht="22" customHeight="1">
      <c r="B59" s="20">
        <f>IF(C59="","BS-"&amp;TEXT(COUNTA($C$5:C59),"000"))</f>
        <v/>
      </c>
      <c r="C59" s="13" t="n"/>
      <c r="D59" s="13" t="n"/>
      <c r="E59" s="32" t="n"/>
      <c r="F59" s="32" t="n"/>
      <c r="G59" s="44">
        <f>IF(OR(E59="",F59=""),"",F59-E59)</f>
        <v/>
      </c>
      <c r="H59" s="13" t="n"/>
      <c r="I59" s="13" t="n"/>
      <c r="J59" s="13" t="n"/>
    </row>
    <row r="60" ht="22" customHeight="1">
      <c r="B60" s="19">
        <f>IF(C60="","BS-"&amp;TEXT(COUNTA($C$5:C60),"000"))</f>
        <v/>
      </c>
      <c r="C60" s="16" t="n"/>
      <c r="D60" s="16" t="n"/>
      <c r="E60" s="34" t="n"/>
      <c r="F60" s="34" t="n"/>
      <c r="G60" s="45">
        <f>IF(OR(E60="",F60=""),"",F60-E60)</f>
        <v/>
      </c>
      <c r="H60" s="16" t="n"/>
      <c r="I60" s="16" t="n"/>
      <c r="J60" s="16" t="n"/>
    </row>
    <row r="61" ht="22" customHeight="1">
      <c r="B61" s="20">
        <f>IF(C61="","BS-"&amp;TEXT(COUNTA($C$5:C61),"000"))</f>
        <v/>
      </c>
      <c r="C61" s="13" t="n"/>
      <c r="D61" s="13" t="n"/>
      <c r="E61" s="32" t="n"/>
      <c r="F61" s="32" t="n"/>
      <c r="G61" s="44">
        <f>IF(OR(E61="",F61=""),"",F61-E61)</f>
        <v/>
      </c>
      <c r="H61" s="13" t="n"/>
      <c r="I61" s="13" t="n"/>
      <c r="J61" s="13" t="n"/>
    </row>
    <row r="62" ht="22" customHeight="1">
      <c r="B62" s="19">
        <f>IF(C62="","BS-"&amp;TEXT(COUNTA($C$5:C62),"000"))</f>
        <v/>
      </c>
      <c r="C62" s="16" t="n"/>
      <c r="D62" s="16" t="n"/>
      <c r="E62" s="34" t="n"/>
      <c r="F62" s="34" t="n"/>
      <c r="G62" s="45">
        <f>IF(OR(E62="",F62=""),"",F62-E62)</f>
        <v/>
      </c>
      <c r="H62" s="16" t="n"/>
      <c r="I62" s="16" t="n"/>
      <c r="J62" s="16" t="n"/>
    </row>
    <row r="63" ht="22" customHeight="1">
      <c r="B63" s="20">
        <f>IF(C63="","BS-"&amp;TEXT(COUNTA($C$5:C63),"000"))</f>
        <v/>
      </c>
      <c r="C63" s="13" t="n"/>
      <c r="D63" s="13" t="n"/>
      <c r="E63" s="32" t="n"/>
      <c r="F63" s="32" t="n"/>
      <c r="G63" s="44">
        <f>IF(OR(E63="",F63=""),"",F63-E63)</f>
        <v/>
      </c>
      <c r="H63" s="13" t="n"/>
      <c r="I63" s="13" t="n"/>
      <c r="J63" s="13" t="n"/>
    </row>
    <row r="64" ht="22" customHeight="1">
      <c r="B64" s="19">
        <f>IF(C64="","BS-"&amp;TEXT(COUNTA($C$5:C64),"000"))</f>
        <v/>
      </c>
      <c r="C64" s="16" t="n"/>
      <c r="D64" s="16" t="n"/>
      <c r="E64" s="34" t="n"/>
      <c r="F64" s="34" t="n"/>
      <c r="G64" s="45">
        <f>IF(OR(E64="",F64=""),"",F64-E64)</f>
        <v/>
      </c>
      <c r="H64" s="16" t="n"/>
      <c r="I64" s="16" t="n"/>
      <c r="J64" s="16" t="n"/>
    </row>
    <row r="65" ht="22" customHeight="1">
      <c r="B65" s="20">
        <f>IF(C65="","BS-"&amp;TEXT(COUNTA($C$5:C65),"000"))</f>
        <v/>
      </c>
      <c r="C65" s="13" t="n"/>
      <c r="D65" s="13" t="n"/>
      <c r="E65" s="32" t="n"/>
      <c r="F65" s="32" t="n"/>
      <c r="G65" s="44">
        <f>IF(OR(E65="",F65=""),"",F65-E65)</f>
        <v/>
      </c>
      <c r="H65" s="13" t="n"/>
      <c r="I65" s="13" t="n"/>
      <c r="J65" s="13" t="n"/>
    </row>
    <row r="66" ht="22" customHeight="1">
      <c r="B66" s="19">
        <f>IF(C66="","BS-"&amp;TEXT(COUNTA($C$5:C66),"000"))</f>
        <v/>
      </c>
      <c r="C66" s="16" t="n"/>
      <c r="D66" s="16" t="n"/>
      <c r="E66" s="34" t="n"/>
      <c r="F66" s="34" t="n"/>
      <c r="G66" s="45">
        <f>IF(OR(E66="",F66=""),"",F66-E66)</f>
        <v/>
      </c>
      <c r="H66" s="16" t="n"/>
      <c r="I66" s="16" t="n"/>
      <c r="J66" s="16" t="n"/>
    </row>
    <row r="67" ht="22" customHeight="1">
      <c r="B67" s="20">
        <f>IF(C67="","BS-"&amp;TEXT(COUNTA($C$5:C67),"000"))</f>
        <v/>
      </c>
      <c r="C67" s="13" t="n"/>
      <c r="D67" s="13" t="n"/>
      <c r="E67" s="32" t="n"/>
      <c r="F67" s="32" t="n"/>
      <c r="G67" s="44">
        <f>IF(OR(E67="",F67=""),"",F67-E67)</f>
        <v/>
      </c>
      <c r="H67" s="13" t="n"/>
      <c r="I67" s="13" t="n"/>
      <c r="J67" s="13" t="n"/>
    </row>
    <row r="68" ht="22" customHeight="1">
      <c r="B68" s="19">
        <f>IF(C68="","BS-"&amp;TEXT(COUNTA($C$5:C68),"000"))</f>
        <v/>
      </c>
      <c r="C68" s="16" t="n"/>
      <c r="D68" s="16" t="n"/>
      <c r="E68" s="34" t="n"/>
      <c r="F68" s="34" t="n"/>
      <c r="G68" s="45">
        <f>IF(OR(E68="",F68=""),"",F68-E68)</f>
        <v/>
      </c>
      <c r="H68" s="16" t="n"/>
      <c r="I68" s="16" t="n"/>
      <c r="J68" s="16" t="n"/>
    </row>
    <row r="69" ht="22" customHeight="1">
      <c r="B69" s="20">
        <f>IF(C69="","BS-"&amp;TEXT(COUNTA($C$5:C69),"000"))</f>
        <v/>
      </c>
      <c r="C69" s="13" t="n"/>
      <c r="D69" s="13" t="n"/>
      <c r="E69" s="32" t="n"/>
      <c r="F69" s="32" t="n"/>
      <c r="G69" s="44">
        <f>IF(OR(E69="",F69=""),"",F69-E69)</f>
        <v/>
      </c>
      <c r="H69" s="13" t="n"/>
      <c r="I69" s="13" t="n"/>
      <c r="J69" s="13" t="n"/>
    </row>
    <row r="70" ht="22" customHeight="1">
      <c r="B70" s="19">
        <f>IF(C70="","BS-"&amp;TEXT(COUNTA($C$5:C70),"000"))</f>
        <v/>
      </c>
      <c r="C70" s="16" t="n"/>
      <c r="D70" s="16" t="n"/>
      <c r="E70" s="34" t="n"/>
      <c r="F70" s="34" t="n"/>
      <c r="G70" s="45">
        <f>IF(OR(E70="",F70=""),"",F70-E70)</f>
        <v/>
      </c>
      <c r="H70" s="16" t="n"/>
      <c r="I70" s="16" t="n"/>
      <c r="J70" s="16" t="n"/>
    </row>
    <row r="71" ht="22" customHeight="1">
      <c r="B71" s="20">
        <f>IF(C71="","BS-"&amp;TEXT(COUNTA($C$5:C71),"000"))</f>
        <v/>
      </c>
      <c r="C71" s="13" t="n"/>
      <c r="D71" s="13" t="n"/>
      <c r="E71" s="32" t="n"/>
      <c r="F71" s="32" t="n"/>
      <c r="G71" s="44">
        <f>IF(OR(E71="",F71=""),"",F71-E71)</f>
        <v/>
      </c>
      <c r="H71" s="13" t="n"/>
      <c r="I71" s="13" t="n"/>
      <c r="J71" s="13" t="n"/>
    </row>
    <row r="72" ht="22" customHeight="1">
      <c r="B72" s="19">
        <f>IF(C72="","BS-"&amp;TEXT(COUNTA($C$5:C72),"000"))</f>
        <v/>
      </c>
      <c r="C72" s="16" t="n"/>
      <c r="D72" s="16" t="n"/>
      <c r="E72" s="34" t="n"/>
      <c r="F72" s="34" t="n"/>
      <c r="G72" s="45">
        <f>IF(OR(E72="",F72=""),"",F72-E72)</f>
        <v/>
      </c>
      <c r="H72" s="16" t="n"/>
      <c r="I72" s="16" t="n"/>
      <c r="J72" s="16" t="n"/>
    </row>
    <row r="73" ht="22" customHeight="1">
      <c r="B73" s="20">
        <f>IF(C73="","BS-"&amp;TEXT(COUNTA($C$5:C73),"000"))</f>
        <v/>
      </c>
      <c r="C73" s="13" t="n"/>
      <c r="D73" s="13" t="n"/>
      <c r="E73" s="32" t="n"/>
      <c r="F73" s="32" t="n"/>
      <c r="G73" s="44">
        <f>IF(OR(E73="",F73=""),"",F73-E73)</f>
        <v/>
      </c>
      <c r="H73" s="13" t="n"/>
      <c r="I73" s="13" t="n"/>
      <c r="J73" s="13" t="n"/>
    </row>
    <row r="74" ht="22" customHeight="1">
      <c r="B74" s="19">
        <f>IF(C74="","BS-"&amp;TEXT(COUNTA($C$5:C74),"000"))</f>
        <v/>
      </c>
      <c r="C74" s="16" t="n"/>
      <c r="D74" s="16" t="n"/>
      <c r="E74" s="34" t="n"/>
      <c r="F74" s="34" t="n"/>
      <c r="G74" s="45">
        <f>IF(OR(E74="",F74=""),"",F74-E74)</f>
        <v/>
      </c>
      <c r="H74" s="16" t="n"/>
      <c r="I74" s="16" t="n"/>
      <c r="J74" s="16" t="n"/>
    </row>
    <row r="75" ht="22" customHeight="1">
      <c r="B75" s="20">
        <f>IF(C75="","BS-"&amp;TEXT(COUNTA($C$5:C75),"000"))</f>
        <v/>
      </c>
      <c r="C75" s="13" t="n"/>
      <c r="D75" s="13" t="n"/>
      <c r="E75" s="32" t="n"/>
      <c r="F75" s="32" t="n"/>
      <c r="G75" s="44">
        <f>IF(OR(E75="",F75=""),"",F75-E75)</f>
        <v/>
      </c>
      <c r="H75" s="13" t="n"/>
      <c r="I75" s="13" t="n"/>
      <c r="J75" s="13" t="n"/>
    </row>
    <row r="76" ht="22" customHeight="1">
      <c r="B76" s="19">
        <f>IF(C76="","BS-"&amp;TEXT(COUNTA($C$5:C76),"000"))</f>
        <v/>
      </c>
      <c r="C76" s="16" t="n"/>
      <c r="D76" s="16" t="n"/>
      <c r="E76" s="34" t="n"/>
      <c r="F76" s="34" t="n"/>
      <c r="G76" s="45">
        <f>IF(OR(E76="",F76=""),"",F76-E76)</f>
        <v/>
      </c>
      <c r="H76" s="16" t="n"/>
      <c r="I76" s="16" t="n"/>
      <c r="J76" s="16" t="n"/>
    </row>
    <row r="77" ht="22" customHeight="1">
      <c r="B77" s="20">
        <f>IF(C77="","BS-"&amp;TEXT(COUNTA($C$5:C77),"000"))</f>
        <v/>
      </c>
      <c r="C77" s="13" t="n"/>
      <c r="D77" s="13" t="n"/>
      <c r="E77" s="32" t="n"/>
      <c r="F77" s="32" t="n"/>
      <c r="G77" s="44">
        <f>IF(OR(E77="",F77=""),"",F77-E77)</f>
        <v/>
      </c>
      <c r="H77" s="13" t="n"/>
      <c r="I77" s="13" t="n"/>
      <c r="J77" s="13" t="n"/>
    </row>
    <row r="78" ht="22" customHeight="1">
      <c r="B78" s="19">
        <f>IF(C78="","BS-"&amp;TEXT(COUNTA($C$5:C78),"000"))</f>
        <v/>
      </c>
      <c r="C78" s="16" t="n"/>
      <c r="D78" s="16" t="n"/>
      <c r="E78" s="34" t="n"/>
      <c r="F78" s="34" t="n"/>
      <c r="G78" s="45">
        <f>IF(OR(E78="",F78=""),"",F78-E78)</f>
        <v/>
      </c>
      <c r="H78" s="16" t="n"/>
      <c r="I78" s="16" t="n"/>
      <c r="J78" s="16" t="n"/>
    </row>
    <row r="79" ht="22" customHeight="1">
      <c r="B79" s="20">
        <f>IF(C79="","BS-"&amp;TEXT(COUNTA($C$5:C79),"000"))</f>
        <v/>
      </c>
      <c r="C79" s="13" t="n"/>
      <c r="D79" s="13" t="n"/>
      <c r="E79" s="32" t="n"/>
      <c r="F79" s="32" t="n"/>
      <c r="G79" s="44">
        <f>IF(OR(E79="",F79=""),"",F79-E79)</f>
        <v/>
      </c>
      <c r="H79" s="13" t="n"/>
      <c r="I79" s="13" t="n"/>
      <c r="J79" s="13" t="n"/>
    </row>
    <row r="80" ht="22" customHeight="1">
      <c r="B80" s="19">
        <f>IF(C80="","BS-"&amp;TEXT(COUNTA($C$5:C80),"000"))</f>
        <v/>
      </c>
      <c r="C80" s="16" t="n"/>
      <c r="D80" s="16" t="n"/>
      <c r="E80" s="34" t="n"/>
      <c r="F80" s="34" t="n"/>
      <c r="G80" s="45">
        <f>IF(OR(E80="",F80=""),"",F80-E80)</f>
        <v/>
      </c>
      <c r="H80" s="16" t="n"/>
      <c r="I80" s="16" t="n"/>
      <c r="J80" s="16" t="n"/>
    </row>
    <row r="81" ht="22" customHeight="1">
      <c r="B81" s="20">
        <f>IF(C81="","BS-"&amp;TEXT(COUNTA($C$5:C81),"000"))</f>
        <v/>
      </c>
      <c r="C81" s="13" t="n"/>
      <c r="D81" s="13" t="n"/>
      <c r="E81" s="32" t="n"/>
      <c r="F81" s="32" t="n"/>
      <c r="G81" s="44">
        <f>IF(OR(E81="",F81=""),"",F81-E81)</f>
        <v/>
      </c>
      <c r="H81" s="13" t="n"/>
      <c r="I81" s="13" t="n"/>
      <c r="J81" s="13" t="n"/>
    </row>
    <row r="82" ht="22" customHeight="1">
      <c r="B82" s="19">
        <f>IF(C82="","BS-"&amp;TEXT(COUNTA($C$5:C82),"000"))</f>
        <v/>
      </c>
      <c r="C82" s="16" t="n"/>
      <c r="D82" s="16" t="n"/>
      <c r="E82" s="34" t="n"/>
      <c r="F82" s="34" t="n"/>
      <c r="G82" s="45">
        <f>IF(OR(E82="",F82=""),"",F82-E82)</f>
        <v/>
      </c>
      <c r="H82" s="16" t="n"/>
      <c r="I82" s="16" t="n"/>
      <c r="J82" s="16" t="n"/>
    </row>
    <row r="83" ht="22" customHeight="1">
      <c r="B83" s="20">
        <f>IF(C83="","BS-"&amp;TEXT(COUNTA($C$5:C83),"000"))</f>
        <v/>
      </c>
      <c r="C83" s="13" t="n"/>
      <c r="D83" s="13" t="n"/>
      <c r="E83" s="32" t="n"/>
      <c r="F83" s="32" t="n"/>
      <c r="G83" s="44">
        <f>IF(OR(E83="",F83=""),"",F83-E83)</f>
        <v/>
      </c>
      <c r="H83" s="13" t="n"/>
      <c r="I83" s="13" t="n"/>
      <c r="J83" s="13" t="n"/>
    </row>
    <row r="84" ht="22" customHeight="1">
      <c r="B84" s="19">
        <f>IF(C84="","BS-"&amp;TEXT(COUNTA($C$5:C84),"000"))</f>
        <v/>
      </c>
      <c r="C84" s="16" t="n"/>
      <c r="D84" s="16" t="n"/>
      <c r="E84" s="34" t="n"/>
      <c r="F84" s="34" t="n"/>
      <c r="G84" s="45">
        <f>IF(OR(E84="",F84=""),"",F84-E84)</f>
        <v/>
      </c>
      <c r="H84" s="16" t="n"/>
      <c r="I84" s="16" t="n"/>
      <c r="J84" s="16" t="n"/>
    </row>
    <row r="85" ht="22" customHeight="1">
      <c r="B85" s="20">
        <f>IF(C85="","BS-"&amp;TEXT(COUNTA($C$5:C85),"000"))</f>
        <v/>
      </c>
      <c r="C85" s="13" t="n"/>
      <c r="D85" s="13" t="n"/>
      <c r="E85" s="32" t="n"/>
      <c r="F85" s="32" t="n"/>
      <c r="G85" s="44">
        <f>IF(OR(E85="",F85=""),"",F85-E85)</f>
        <v/>
      </c>
      <c r="H85" s="13" t="n"/>
      <c r="I85" s="13" t="n"/>
      <c r="J85" s="13" t="n"/>
    </row>
    <row r="86" ht="22" customHeight="1">
      <c r="B86" s="19">
        <f>IF(C86="","BS-"&amp;TEXT(COUNTA($C$5:C86),"000"))</f>
        <v/>
      </c>
      <c r="C86" s="16" t="n"/>
      <c r="D86" s="16" t="n"/>
      <c r="E86" s="34" t="n"/>
      <c r="F86" s="34" t="n"/>
      <c r="G86" s="45">
        <f>IF(OR(E86="",F86=""),"",F86-E86)</f>
        <v/>
      </c>
      <c r="H86" s="16" t="n"/>
      <c r="I86" s="16" t="n"/>
      <c r="J86" s="16" t="n"/>
    </row>
    <row r="87" ht="22" customHeight="1">
      <c r="B87" s="20">
        <f>IF(C87="","BS-"&amp;TEXT(COUNTA($C$5:C87),"000"))</f>
        <v/>
      </c>
      <c r="C87" s="13" t="n"/>
      <c r="D87" s="13" t="n"/>
      <c r="E87" s="32" t="n"/>
      <c r="F87" s="32" t="n"/>
      <c r="G87" s="44">
        <f>IF(OR(E87="",F87=""),"",F87-E87)</f>
        <v/>
      </c>
      <c r="H87" s="13" t="n"/>
      <c r="I87" s="13" t="n"/>
      <c r="J87" s="13" t="n"/>
    </row>
    <row r="88" ht="22" customHeight="1">
      <c r="B88" s="19">
        <f>IF(C88="","BS-"&amp;TEXT(COUNTA($C$5:C88),"000"))</f>
        <v/>
      </c>
      <c r="C88" s="16" t="n"/>
      <c r="D88" s="16" t="n"/>
      <c r="E88" s="34" t="n"/>
      <c r="F88" s="34" t="n"/>
      <c r="G88" s="45">
        <f>IF(OR(E88="",F88=""),"",F88-E88)</f>
        <v/>
      </c>
      <c r="H88" s="16" t="n"/>
      <c r="I88" s="16" t="n"/>
      <c r="J88" s="16" t="n"/>
    </row>
    <row r="89" ht="22" customHeight="1">
      <c r="B89" s="20">
        <f>IF(C89="","BS-"&amp;TEXT(COUNTA($C$5:C89),"000"))</f>
        <v/>
      </c>
      <c r="C89" s="13" t="n"/>
      <c r="D89" s="13" t="n"/>
      <c r="E89" s="32" t="n"/>
      <c r="F89" s="32" t="n"/>
      <c r="G89" s="44">
        <f>IF(OR(E89="",F89=""),"",F89-E89)</f>
        <v/>
      </c>
      <c r="H89" s="13" t="n"/>
      <c r="I89" s="13" t="n"/>
      <c r="J89" s="13" t="n"/>
    </row>
    <row r="90" ht="22" customHeight="1">
      <c r="B90" s="19">
        <f>IF(C90="","BS-"&amp;TEXT(COUNTA($C$5:C90),"000"))</f>
        <v/>
      </c>
      <c r="C90" s="16" t="n"/>
      <c r="D90" s="16" t="n"/>
      <c r="E90" s="34" t="n"/>
      <c r="F90" s="34" t="n"/>
      <c r="G90" s="45">
        <f>IF(OR(E90="",F90=""),"",F90-E90)</f>
        <v/>
      </c>
      <c r="H90" s="16" t="n"/>
      <c r="I90" s="16" t="n"/>
      <c r="J90" s="16" t="n"/>
    </row>
    <row r="91" ht="22" customHeight="1">
      <c r="B91" s="20">
        <f>IF(C91="","BS-"&amp;TEXT(COUNTA($C$5:C91),"000"))</f>
        <v/>
      </c>
      <c r="C91" s="13" t="n"/>
      <c r="D91" s="13" t="n"/>
      <c r="E91" s="32" t="n"/>
      <c r="F91" s="32" t="n"/>
      <c r="G91" s="44">
        <f>IF(OR(E91="",F91=""),"",F91-E91)</f>
        <v/>
      </c>
      <c r="H91" s="13" t="n"/>
      <c r="I91" s="13" t="n"/>
      <c r="J91" s="13" t="n"/>
    </row>
    <row r="92" ht="22" customHeight="1">
      <c r="B92" s="19">
        <f>IF(C92="","BS-"&amp;TEXT(COUNTA($C$5:C92),"000"))</f>
        <v/>
      </c>
      <c r="C92" s="16" t="n"/>
      <c r="D92" s="16" t="n"/>
      <c r="E92" s="34" t="n"/>
      <c r="F92" s="34" t="n"/>
      <c r="G92" s="45">
        <f>IF(OR(E92="",F92=""),"",F92-E92)</f>
        <v/>
      </c>
      <c r="H92" s="16" t="n"/>
      <c r="I92" s="16" t="n"/>
      <c r="J92" s="16" t="n"/>
    </row>
    <row r="93" ht="22" customHeight="1">
      <c r="B93" s="20">
        <f>IF(C93="","BS-"&amp;TEXT(COUNTA($C$5:C93),"000"))</f>
        <v/>
      </c>
      <c r="C93" s="13" t="n"/>
      <c r="D93" s="13" t="n"/>
      <c r="E93" s="32" t="n"/>
      <c r="F93" s="32" t="n"/>
      <c r="G93" s="44">
        <f>IF(OR(E93="",F93=""),"",F93-E93)</f>
        <v/>
      </c>
      <c r="H93" s="13" t="n"/>
      <c r="I93" s="13" t="n"/>
      <c r="J93" s="13" t="n"/>
    </row>
    <row r="94" ht="22" customHeight="1">
      <c r="B94" s="19">
        <f>IF(C94="","BS-"&amp;TEXT(COUNTA($C$5:C94),"000"))</f>
        <v/>
      </c>
      <c r="C94" s="16" t="n"/>
      <c r="D94" s="16" t="n"/>
      <c r="E94" s="34" t="n"/>
      <c r="F94" s="34" t="n"/>
      <c r="G94" s="45">
        <f>IF(OR(E94="",F94=""),"",F94-E94)</f>
        <v/>
      </c>
      <c r="H94" s="16" t="n"/>
      <c r="I94" s="16" t="n"/>
      <c r="J94" s="16" t="n"/>
    </row>
    <row r="95" ht="22" customHeight="1">
      <c r="B95" s="20">
        <f>IF(C95="","BS-"&amp;TEXT(COUNTA($C$5:C95),"000"))</f>
        <v/>
      </c>
      <c r="C95" s="13" t="n"/>
      <c r="D95" s="13" t="n"/>
      <c r="E95" s="32" t="n"/>
      <c r="F95" s="32" t="n"/>
      <c r="G95" s="44">
        <f>IF(OR(E95="",F95=""),"",F95-E95)</f>
        <v/>
      </c>
      <c r="H95" s="13" t="n"/>
      <c r="I95" s="13" t="n"/>
      <c r="J95" s="13" t="n"/>
    </row>
    <row r="96" ht="22" customHeight="1">
      <c r="B96" s="19">
        <f>IF(C96="","BS-"&amp;TEXT(COUNTA($C$5:C96),"000"))</f>
        <v/>
      </c>
      <c r="C96" s="16" t="n"/>
      <c r="D96" s="16" t="n"/>
      <c r="E96" s="34" t="n"/>
      <c r="F96" s="34" t="n"/>
      <c r="G96" s="45">
        <f>IF(OR(E96="",F96=""),"",F96-E96)</f>
        <v/>
      </c>
      <c r="H96" s="16" t="n"/>
      <c r="I96" s="16" t="n"/>
      <c r="J96" s="16" t="n"/>
    </row>
    <row r="97" ht="22" customHeight="1">
      <c r="B97" s="20">
        <f>IF(C97="","BS-"&amp;TEXT(COUNTA($C$5:C97),"000"))</f>
        <v/>
      </c>
      <c r="C97" s="13" t="n"/>
      <c r="D97" s="13" t="n"/>
      <c r="E97" s="32" t="n"/>
      <c r="F97" s="32" t="n"/>
      <c r="G97" s="44">
        <f>IF(OR(E97="",F97=""),"",F97-E97)</f>
        <v/>
      </c>
      <c r="H97" s="13" t="n"/>
      <c r="I97" s="13" t="n"/>
      <c r="J97" s="13" t="n"/>
    </row>
    <row r="98" ht="22" customHeight="1">
      <c r="B98" s="19">
        <f>IF(C98="","BS-"&amp;TEXT(COUNTA($C$5:C98),"000"))</f>
        <v/>
      </c>
      <c r="C98" s="16" t="n"/>
      <c r="D98" s="16" t="n"/>
      <c r="E98" s="34" t="n"/>
      <c r="F98" s="34" t="n"/>
      <c r="G98" s="45">
        <f>IF(OR(E98="",F98=""),"",F98-E98)</f>
        <v/>
      </c>
      <c r="H98" s="16" t="n"/>
      <c r="I98" s="16" t="n"/>
      <c r="J98" s="16" t="n"/>
    </row>
    <row r="99" ht="22" customHeight="1">
      <c r="B99" s="20">
        <f>IF(C99="","BS-"&amp;TEXT(COUNTA($C$5:C99),"000"))</f>
        <v/>
      </c>
      <c r="C99" s="13" t="n"/>
      <c r="D99" s="13" t="n"/>
      <c r="E99" s="32" t="n"/>
      <c r="F99" s="32" t="n"/>
      <c r="G99" s="44">
        <f>IF(OR(E99="",F99=""),"",F99-E99)</f>
        <v/>
      </c>
      <c r="H99" s="13" t="n"/>
      <c r="I99" s="13" t="n"/>
      <c r="J99" s="13" t="n"/>
    </row>
    <row r="100" ht="22" customHeight="1">
      <c r="B100" s="19">
        <f>IF(C100="","BS-"&amp;TEXT(COUNTA($C$5:C100),"000"))</f>
        <v/>
      </c>
      <c r="C100" s="16" t="n"/>
      <c r="D100" s="16" t="n"/>
      <c r="E100" s="34" t="n"/>
      <c r="F100" s="34" t="n"/>
      <c r="G100" s="45">
        <f>IF(OR(E100="",F100=""),"",F100-E100)</f>
        <v/>
      </c>
      <c r="H100" s="16" t="n"/>
      <c r="I100" s="16" t="n"/>
      <c r="J100" s="16" t="n"/>
    </row>
    <row r="101" ht="22" customHeight="1">
      <c r="B101" s="20">
        <f>IF(C101="","BS-"&amp;TEXT(COUNTA($C$5:C101),"000"))</f>
        <v/>
      </c>
      <c r="C101" s="13" t="n"/>
      <c r="D101" s="13" t="n"/>
      <c r="E101" s="32" t="n"/>
      <c r="F101" s="32" t="n"/>
      <c r="G101" s="44">
        <f>IF(OR(E101="",F101=""),"",F101-E101)</f>
        <v/>
      </c>
      <c r="H101" s="13" t="n"/>
      <c r="I101" s="13" t="n"/>
      <c r="J101" s="13" t="n"/>
    </row>
    <row r="102" ht="22" customHeight="1">
      <c r="B102" s="19">
        <f>IF(C102="","BS-"&amp;TEXT(COUNTA($C$5:C102),"000"))</f>
        <v/>
      </c>
      <c r="C102" s="16" t="n"/>
      <c r="D102" s="16" t="n"/>
      <c r="E102" s="34" t="n"/>
      <c r="F102" s="34" t="n"/>
      <c r="G102" s="45">
        <f>IF(OR(E102="",F102=""),"",F102-E102)</f>
        <v/>
      </c>
      <c r="H102" s="16" t="n"/>
      <c r="I102" s="16" t="n"/>
      <c r="J102" s="16" t="n"/>
    </row>
    <row r="103" ht="22" customHeight="1">
      <c r="B103" s="20">
        <f>IF(C103="","BS-"&amp;TEXT(COUNTA($C$5:C103),"000"))</f>
        <v/>
      </c>
      <c r="C103" s="13" t="n"/>
      <c r="D103" s="13" t="n"/>
      <c r="E103" s="32" t="n"/>
      <c r="F103" s="32" t="n"/>
      <c r="G103" s="44">
        <f>IF(OR(E103="",F103=""),"",F103-E103)</f>
        <v/>
      </c>
      <c r="H103" s="13" t="n"/>
      <c r="I103" s="13" t="n"/>
      <c r="J103" s="13" t="n"/>
    </row>
    <row r="104" ht="22" customHeight="1">
      <c r="B104" s="19">
        <f>IF(C104="","BS-"&amp;TEXT(COUNTA($C$5:C104),"000"))</f>
        <v/>
      </c>
      <c r="C104" s="16" t="n"/>
      <c r="D104" s="16" t="n"/>
      <c r="E104" s="34" t="n"/>
      <c r="F104" s="34" t="n"/>
      <c r="G104" s="45">
        <f>IF(OR(E104="",F104=""),"",F104-E104)</f>
        <v/>
      </c>
      <c r="H104" s="16" t="n"/>
      <c r="I104" s="16" t="n"/>
      <c r="J104" s="16" t="n"/>
    </row>
    <row r="105" ht="22" customHeight="1">
      <c r="B105" s="20">
        <f>IF(C105="","BS-"&amp;TEXT(COUNTA($C$5:C105),"000"))</f>
        <v/>
      </c>
      <c r="C105" s="13" t="n"/>
      <c r="D105" s="13" t="n"/>
      <c r="E105" s="32" t="n"/>
      <c r="F105" s="32" t="n"/>
      <c r="G105" s="44">
        <f>IF(OR(E105="",F105=""),"",F105-E105)</f>
        <v/>
      </c>
      <c r="H105" s="13" t="n"/>
      <c r="I105" s="13" t="n"/>
      <c r="J105" s="13" t="n"/>
    </row>
    <row r="106" ht="22" customHeight="1">
      <c r="B106" s="19">
        <f>IF(C106="","BS-"&amp;TEXT(COUNTA($C$5:C106),"000"))</f>
        <v/>
      </c>
      <c r="C106" s="16" t="n"/>
      <c r="D106" s="16" t="n"/>
      <c r="E106" s="34" t="n"/>
      <c r="F106" s="34" t="n"/>
      <c r="G106" s="45">
        <f>IF(OR(E106="",F106=""),"",F106-E106)</f>
        <v/>
      </c>
      <c r="H106" s="16" t="n"/>
      <c r="I106" s="16" t="n"/>
      <c r="J106" s="16" t="n"/>
    </row>
    <row r="107" ht="22" customHeight="1">
      <c r="B107" s="20">
        <f>IF(C107="","BS-"&amp;TEXT(COUNTA($C$5:C107),"000"))</f>
        <v/>
      </c>
      <c r="C107" s="13" t="n"/>
      <c r="D107" s="13" t="n"/>
      <c r="E107" s="32" t="n"/>
      <c r="F107" s="32" t="n"/>
      <c r="G107" s="44">
        <f>IF(OR(E107="",F107=""),"",F107-E107)</f>
        <v/>
      </c>
      <c r="H107" s="13" t="n"/>
      <c r="I107" s="13" t="n"/>
      <c r="J107" s="13" t="n"/>
    </row>
    <row r="108" ht="22" customHeight="1">
      <c r="B108" s="19">
        <f>IF(C108="","BS-"&amp;TEXT(COUNTA($C$5:C108),"000"))</f>
        <v/>
      </c>
      <c r="C108" s="16" t="n"/>
      <c r="D108" s="16" t="n"/>
      <c r="E108" s="34" t="n"/>
      <c r="F108" s="34" t="n"/>
      <c r="G108" s="45">
        <f>IF(OR(E108="",F108=""),"",F108-E108)</f>
        <v/>
      </c>
      <c r="H108" s="16" t="n"/>
      <c r="I108" s="16" t="n"/>
      <c r="J108" s="16" t="n"/>
    </row>
    <row r="109" ht="22" customHeight="1">
      <c r="B109" s="20">
        <f>IF(C109="","BS-"&amp;TEXT(COUNTA($C$5:C109),"000"))</f>
        <v/>
      </c>
      <c r="C109" s="13" t="n"/>
      <c r="D109" s="13" t="n"/>
      <c r="E109" s="32" t="n"/>
      <c r="F109" s="32" t="n"/>
      <c r="G109" s="44">
        <f>IF(OR(E109="",F109=""),"",F109-E109)</f>
        <v/>
      </c>
      <c r="H109" s="13" t="n"/>
      <c r="I109" s="13" t="n"/>
      <c r="J109" s="13" t="n"/>
    </row>
    <row r="110" ht="22" customHeight="1">
      <c r="B110" s="19">
        <f>IF(C110="","BS-"&amp;TEXT(COUNTA($C$5:C110),"000"))</f>
        <v/>
      </c>
      <c r="C110" s="16" t="n"/>
      <c r="D110" s="16" t="n"/>
      <c r="E110" s="34" t="n"/>
      <c r="F110" s="34" t="n"/>
      <c r="G110" s="45">
        <f>IF(OR(E110="",F110=""),"",F110-E110)</f>
        <v/>
      </c>
      <c r="H110" s="16" t="n"/>
      <c r="I110" s="16" t="n"/>
      <c r="J110" s="16" t="n"/>
    </row>
    <row r="111" ht="22" customHeight="1">
      <c r="B111" s="20">
        <f>IF(C111="","BS-"&amp;TEXT(COUNTA($C$5:C111),"000"))</f>
        <v/>
      </c>
      <c r="C111" s="13" t="n"/>
      <c r="D111" s="13" t="n"/>
      <c r="E111" s="32" t="n"/>
      <c r="F111" s="32" t="n"/>
      <c r="G111" s="44">
        <f>IF(OR(E111="",F111=""),"",F111-E111)</f>
        <v/>
      </c>
      <c r="H111" s="13" t="n"/>
      <c r="I111" s="13" t="n"/>
      <c r="J111" s="13" t="n"/>
    </row>
    <row r="112" ht="22" customHeight="1">
      <c r="B112" s="19">
        <f>IF(C112="","BS-"&amp;TEXT(COUNTA($C$5:C112),"000"))</f>
        <v/>
      </c>
      <c r="C112" s="16" t="n"/>
      <c r="D112" s="16" t="n"/>
      <c r="E112" s="34" t="n"/>
      <c r="F112" s="34" t="n"/>
      <c r="G112" s="45">
        <f>IF(OR(E112="",F112=""),"",F112-E112)</f>
        <v/>
      </c>
      <c r="H112" s="16" t="n"/>
      <c r="I112" s="16" t="n"/>
      <c r="J112" s="16" t="n"/>
    </row>
    <row r="113"/>
    <row r="114">
      <c r="B114" s="6" t="inlineStr">
        <is>
          <t>INDICATEURS (mis a jour automatiquement)</t>
        </is>
      </c>
    </row>
    <row r="115">
      <c r="B115" s="3" t="inlineStr">
        <is>
          <t>Indicateurs bilan</t>
        </is>
      </c>
      <c r="D115" s="3" t="inlineStr">
        <is>
          <t>Ameliorations</t>
        </is>
      </c>
      <c r="F115" s="3" t="inlineStr">
        <is>
          <t>En cours</t>
        </is>
      </c>
    </row>
    <row r="116">
      <c r="B116" s="4">
        <f>COUNTIF(B5:B104,"&lt;&gt;")</f>
        <v/>
      </c>
      <c r="D116" s="4">
        <f>COUNTIF(G5:G104,"&lt;0")</f>
        <v/>
      </c>
      <c r="F116" s="4">
        <f>COUNTIF(I5:I104,"En cours")</f>
        <v/>
      </c>
    </row>
  </sheetData>
  <mergeCells count="3">
    <mergeCell ref="B3:J3"/>
    <mergeCell ref="B2:J2"/>
    <mergeCell ref="B114:J114"/>
  </mergeCells>
  <conditionalFormatting sqref="I5:I112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13:B112">
    <cfRule type="expression" priority="274" dxfId="3">
      <formula>AND($C13="",$C12&lt;&gt;"")</formula>
    </cfRule>
  </conditionalFormatting>
  <conditionalFormatting sqref="C13:C112">
    <cfRule type="expression" priority="275" dxfId="3">
      <formula>AND($C13="",$C12&lt;&gt;"")</formula>
    </cfRule>
  </conditionalFormatting>
  <conditionalFormatting sqref="D13:D112">
    <cfRule type="expression" priority="276" dxfId="3">
      <formula>AND($C13="",$C12&lt;&gt;"")</formula>
    </cfRule>
  </conditionalFormatting>
  <conditionalFormatting sqref="E13:E112">
    <cfRule type="expression" priority="277" dxfId="3">
      <formula>AND($C13="",$C12&lt;&gt;"")</formula>
    </cfRule>
  </conditionalFormatting>
  <conditionalFormatting sqref="F13:F112">
    <cfRule type="expression" priority="278" dxfId="3">
      <formula>AND($C13="",$C12&lt;&gt;"")</formula>
    </cfRule>
  </conditionalFormatting>
  <conditionalFormatting sqref="G13:G112">
    <cfRule type="expression" priority="279" dxfId="3">
      <formula>AND($C13="",$C12&lt;&gt;"")</formula>
    </cfRule>
  </conditionalFormatting>
  <conditionalFormatting sqref="H13:H112">
    <cfRule type="expression" priority="280" dxfId="3">
      <formula>AND($C13="",$C12&lt;&gt;"")</formula>
    </cfRule>
  </conditionalFormatting>
  <conditionalFormatting sqref="I13:I112">
    <cfRule type="expression" priority="281" dxfId="3">
      <formula>AND($C13="",$C12&lt;&gt;"")</formula>
    </cfRule>
  </conditionalFormatting>
  <conditionalFormatting sqref="J13:J112">
    <cfRule type="expression" priority="282" dxfId="3">
      <formula>AND($C13="",$C12&lt;&gt;"")</formula>
    </cfRule>
  </conditionalFormatting>
  <dataValidations count="2">
    <dataValidation sqref="D5:D112" showDropDown="0" showInputMessage="0" showErrorMessage="0" allowBlank="1" errorTitle="Erreur" error="Valeur invalide" promptTitle="Liste" prompt="Choisir dans la liste" type="list">
      <formula1>'_Lists'!$N$2:$N$10</formula1>
    </dataValidation>
    <dataValidation sqref="I5:I112" showDropDown="0" showInputMessage="0" showErrorMessage="0" allowBlank="1" errorTitle="Erreur" error="Valeur invalide" promptTitle="Liste" prompt="Choisir dans la liste" type="list">
      <formula1>'_Lists'!$M$2:$M$6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34" customWidth="1" min="4" max="4"/>
    <col width="30" customWidth="1" min="5" max="5"/>
    <col width="16" customWidth="1" min="6" max="6"/>
    <col width="16" customWidth="1" min="7" max="7"/>
    <col width="16" customWidth="1" min="8" max="8"/>
    <col width="18" customWidth="1" min="9" max="9"/>
    <col width="14" customWidth="1" min="10" max="10"/>
    <col width="22" customWidth="1" min="11" max="11"/>
    <col width="16" customWidth="1" min="12" max="12"/>
    <col width="36" customWidth="1" min="13" max="13"/>
  </cols>
  <sheetData>
    <row r="1" ht="15" customHeight="1"/>
    <row r="2" ht="32" customHeight="1">
      <c r="B2" s="1" t="inlineStr">
        <is>
          <t>FEUILLE DE ROUTE STRATEGIQUE RH (#176)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Axe Strategique</t>
        </is>
      </c>
      <c r="D4" s="12" t="inlineStr">
        <is>
          <t>Objectif Strategique</t>
        </is>
      </c>
      <c r="E4" s="12" t="inlineStr">
        <is>
          <t>Indicateur de Succes</t>
        </is>
      </c>
      <c r="F4" s="12" t="inlineStr">
        <is>
          <t>Valeur Initiale</t>
        </is>
      </c>
      <c r="G4" s="12" t="inlineStr">
        <is>
          <t>Cible 2025</t>
        </is>
      </c>
      <c r="H4" s="12" t="inlineStr">
        <is>
          <t>Valeur Actuelle</t>
        </is>
      </c>
      <c r="I4" s="12" t="inlineStr">
        <is>
          <t>Progression (%)</t>
        </is>
      </c>
      <c r="J4" s="12" t="inlineStr">
        <is>
          <t>Priorite</t>
        </is>
      </c>
      <c r="K4" s="12" t="inlineStr">
        <is>
          <t>Responsable</t>
        </is>
      </c>
      <c r="L4" s="12" t="inlineStr">
        <is>
          <t>Statut</t>
        </is>
      </c>
      <c r="M4" s="12" t="inlineStr">
        <is>
          <t>Observations</t>
        </is>
      </c>
    </row>
    <row r="5" ht="22" customHeight="1">
      <c r="B5" s="13" t="inlineStr">
        <is>
          <t>FR-001</t>
        </is>
      </c>
      <c r="C5" s="13" t="inlineStr">
        <is>
          <t>Employabilite</t>
        </is>
      </c>
      <c r="D5" s="13" t="inlineStr">
        <is>
          <t>Former 100% des employes en digital</t>
        </is>
      </c>
      <c r="E5" s="13" t="inlineStr">
        <is>
          <t>% employes formes digital</t>
        </is>
      </c>
      <c r="F5" s="14" t="n">
        <v>0.2</v>
      </c>
      <c r="G5" s="14" t="n">
        <v>0.8</v>
      </c>
      <c r="H5" s="14" t="n">
        <v>0.35</v>
      </c>
      <c r="I5" s="14" t="n"/>
      <c r="J5" s="13" t="inlineStr">
        <is>
          <t>Haute</t>
        </is>
      </c>
      <c r="K5" s="13" t="inlineStr">
        <is>
          <t>DRH</t>
        </is>
      </c>
      <c r="L5" s="13" t="inlineStr">
        <is>
          <t>En cours</t>
        </is>
      </c>
      <c r="M5" s="13" t="inlineStr">
        <is>
          <t>E-learning digital lance T1</t>
        </is>
      </c>
    </row>
    <row r="6" ht="22" customHeight="1">
      <c r="B6" s="16" t="inlineStr">
        <is>
          <t>FR-002</t>
        </is>
      </c>
      <c r="C6" s="16" t="inlineStr">
        <is>
          <t>Attractivite</t>
        </is>
      </c>
      <c r="D6" s="16" t="inlineStr">
        <is>
          <t>Devenir employeur de reference</t>
        </is>
      </c>
      <c r="E6" s="16" t="inlineStr">
        <is>
          <t>Ranking Glassdoor / Indeed</t>
        </is>
      </c>
      <c r="F6" s="17" t="n">
        <v>3.2</v>
      </c>
      <c r="G6" s="17" t="n">
        <v>4</v>
      </c>
      <c r="H6" s="17" t="n">
        <v>3.5</v>
      </c>
      <c r="I6" s="17" t="n"/>
      <c r="J6" s="16" t="inlineStr">
        <is>
          <t>Haute</t>
        </is>
      </c>
      <c r="K6" s="16" t="inlineStr">
        <is>
          <t>DRH</t>
        </is>
      </c>
      <c r="L6" s="16" t="inlineStr">
        <is>
          <t>En cours</t>
        </is>
      </c>
      <c r="M6" s="16" t="inlineStr">
        <is>
          <t>Marque employeur renforcee</t>
        </is>
      </c>
    </row>
    <row r="7" ht="22" customHeight="1">
      <c r="B7" s="13" t="inlineStr">
        <is>
          <t>FR-003</t>
        </is>
      </c>
      <c r="C7" s="13" t="inlineStr">
        <is>
          <t>Performance</t>
        </is>
      </c>
      <c r="D7" s="13" t="inlineStr">
        <is>
          <t>Automatiser 80% processus RH</t>
        </is>
      </c>
      <c r="E7" s="13" t="inlineStr">
        <is>
          <t>% processus automatises</t>
        </is>
      </c>
      <c r="F7" s="14" t="n">
        <v>0.3</v>
      </c>
      <c r="G7" s="14" t="n">
        <v>0.8</v>
      </c>
      <c r="H7" s="14" t="n">
        <v>0.45</v>
      </c>
      <c r="I7" s="14" t="n"/>
      <c r="J7" s="13" t="inlineStr">
        <is>
          <t>Haute</t>
        </is>
      </c>
      <c r="K7" s="13" t="inlineStr">
        <is>
          <t>Chef de service IT</t>
        </is>
      </c>
      <c r="L7" s="13" t="inlineStr">
        <is>
          <t>En cours</t>
        </is>
      </c>
      <c r="M7" s="13" t="inlineStr">
        <is>
          <t>SIRH + Lucca + chatbot deploies</t>
        </is>
      </c>
    </row>
    <row r="8" ht="22" customHeight="1">
      <c r="B8" s="16" t="inlineStr">
        <is>
          <t>FR-004</t>
        </is>
      </c>
      <c r="C8" s="16" t="inlineStr">
        <is>
          <t>Bien-Etre</t>
        </is>
      </c>
      <c r="D8" s="16" t="inlineStr">
        <is>
          <t>Score satisfaction &gt;= 4.0/5</t>
        </is>
      </c>
      <c r="E8" s="16" t="inlineStr">
        <is>
          <t>Moyenne enquete satisfaction</t>
        </is>
      </c>
      <c r="F8" s="17" t="n">
        <v>3.5</v>
      </c>
      <c r="G8" s="17" t="n">
        <v>4</v>
      </c>
      <c r="H8" s="17" t="n">
        <v>3.8</v>
      </c>
      <c r="I8" s="17" t="n"/>
      <c r="J8" s="16" t="inlineStr">
        <is>
          <t>Haute</t>
        </is>
      </c>
      <c r="K8" s="16" t="inlineStr">
        <is>
          <t>DRH</t>
        </is>
      </c>
      <c r="L8" s="16" t="inlineStr">
        <is>
          <t>En cours</t>
        </is>
      </c>
      <c r="M8" s="16" t="inlineStr">
        <is>
          <t>Enquete Q1 en hausse</t>
        </is>
      </c>
    </row>
    <row r="9" ht="22" customHeight="1">
      <c r="B9" s="13" t="inlineStr">
        <is>
          <t>FR-005</t>
        </is>
      </c>
      <c r="C9" s="13" t="inlineStr">
        <is>
          <t>Conformite</t>
        </is>
      </c>
      <c r="D9" s="13" t="inlineStr">
        <is>
          <t>100% conformite RGPD &amp; travail</t>
        </is>
      </c>
      <c r="E9" s="13" t="inlineStr">
        <is>
          <t>% audits sans non-conformite</t>
        </is>
      </c>
      <c r="F9" s="14" t="n">
        <v>0.85</v>
      </c>
      <c r="G9" s="14" t="n">
        <v>1</v>
      </c>
      <c r="H9" s="14" t="n">
        <v>0.9</v>
      </c>
      <c r="I9" s="14" t="n"/>
      <c r="J9" s="13" t="inlineStr">
        <is>
          <t>Critique</t>
        </is>
      </c>
      <c r="K9" s="13" t="inlineStr">
        <is>
          <t>DRH</t>
        </is>
      </c>
      <c r="L9" s="13" t="inlineStr">
        <is>
          <t>En cours</t>
        </is>
      </c>
      <c r="M9" s="13" t="inlineStr">
        <is>
          <t>Audit Q1 conforme, dossier med. a numeriser</t>
        </is>
      </c>
    </row>
    <row r="10" ht="22" customHeight="1">
      <c r="B10" s="19">
        <f>IF(C10="","FR-"&amp;TEXT(COUNTA($C$5:C10),"000"))</f>
        <v/>
      </c>
      <c r="C10" s="16" t="n"/>
      <c r="D10" s="16" t="n"/>
      <c r="E10" s="16" t="n"/>
      <c r="F10" s="17" t="n"/>
      <c r="G10" s="17" t="n"/>
      <c r="H10" s="17" t="n"/>
      <c r="I10" s="17">
        <f>IF(OR(F10="",G10="",H10=""),"",IF(G10=F10,"N/A",(H10-F10)/(G10-F10)))</f>
        <v/>
      </c>
      <c r="J10" s="16" t="n"/>
      <c r="K10" s="16" t="n"/>
      <c r="L10" s="16" t="n"/>
      <c r="M10" s="16" t="n"/>
    </row>
    <row r="11" ht="22" customHeight="1">
      <c r="B11" s="20">
        <f>IF(C11="","FR-"&amp;TEXT(COUNTA($C$5:C11),"000"))</f>
        <v/>
      </c>
      <c r="C11" s="13" t="n"/>
      <c r="D11" s="13" t="n"/>
      <c r="E11" s="13" t="n"/>
      <c r="F11" s="14" t="n"/>
      <c r="G11" s="14" t="n"/>
      <c r="H11" s="14" t="n"/>
      <c r="I11" s="14">
        <f>IF(OR(F11="",G11="",H11=""),"",IF(G11=F11,"N/A",(H11-F11)/(G11-F11)))</f>
        <v/>
      </c>
      <c r="J11" s="13" t="n"/>
      <c r="K11" s="13" t="n"/>
      <c r="L11" s="13" t="n"/>
      <c r="M11" s="13" t="n"/>
    </row>
    <row r="12" ht="22" customHeight="1">
      <c r="B12" s="19">
        <f>IF(C12="","FR-"&amp;TEXT(COUNTA($C$5:C12),"000"))</f>
        <v/>
      </c>
      <c r="C12" s="16" t="n"/>
      <c r="D12" s="16" t="n"/>
      <c r="E12" s="16" t="n"/>
      <c r="F12" s="17" t="n"/>
      <c r="G12" s="17" t="n"/>
      <c r="H12" s="17" t="n"/>
      <c r="I12" s="17">
        <f>IF(OR(F12="",G12="",H12=""),"",IF(G12=F12,"N/A",(H12-F12)/(G12-F12)))</f>
        <v/>
      </c>
      <c r="J12" s="16" t="n"/>
      <c r="K12" s="16" t="n"/>
      <c r="L12" s="16" t="n"/>
      <c r="M12" s="16" t="n"/>
    </row>
    <row r="13" ht="22" customHeight="1">
      <c r="B13" s="20">
        <f>IF(C13="","FR-"&amp;TEXT(COUNTA($C$5:C13),"000"))</f>
        <v/>
      </c>
      <c r="C13" s="13" t="n"/>
      <c r="D13" s="13" t="n"/>
      <c r="E13" s="13" t="n"/>
      <c r="F13" s="14" t="n"/>
      <c r="G13" s="14" t="n"/>
      <c r="H13" s="14" t="n"/>
      <c r="I13" s="14">
        <f>IF(OR(F13="",G13="",H13=""),"",IF(G13=F13,"N/A",(H13-F13)/(G13-F13)))</f>
        <v/>
      </c>
      <c r="J13" s="13" t="n"/>
      <c r="K13" s="13" t="n"/>
      <c r="L13" s="13" t="n"/>
      <c r="M13" s="13" t="n"/>
    </row>
    <row r="14" ht="22" customHeight="1">
      <c r="B14" s="19">
        <f>IF(C14="","FR-"&amp;TEXT(COUNTA($C$5:C14),"000"))</f>
        <v/>
      </c>
      <c r="C14" s="16" t="n"/>
      <c r="D14" s="16" t="n"/>
      <c r="E14" s="16" t="n"/>
      <c r="F14" s="17" t="n"/>
      <c r="G14" s="17" t="n"/>
      <c r="H14" s="17" t="n"/>
      <c r="I14" s="17">
        <f>IF(OR(F14="",G14="",H14=""),"",IF(G14=F14,"N/A",(H14-F14)/(G14-F14)))</f>
        <v/>
      </c>
      <c r="J14" s="16" t="n"/>
      <c r="K14" s="16" t="n"/>
      <c r="L14" s="16" t="n"/>
      <c r="M14" s="16" t="n"/>
    </row>
    <row r="15" ht="22" customHeight="1">
      <c r="B15" s="20">
        <f>IF(C15="","FR-"&amp;TEXT(COUNTA($C$5:C15),"000"))</f>
        <v/>
      </c>
      <c r="C15" s="13" t="n"/>
      <c r="D15" s="13" t="n"/>
      <c r="E15" s="13" t="n"/>
      <c r="F15" s="14" t="n"/>
      <c r="G15" s="14" t="n"/>
      <c r="H15" s="14" t="n"/>
      <c r="I15" s="14">
        <f>IF(OR(F15="",G15="",H15=""),"",IF(G15=F15,"N/A",(H15-F15)/(G15-F15)))</f>
        <v/>
      </c>
      <c r="J15" s="13" t="n"/>
      <c r="K15" s="13" t="n"/>
      <c r="L15" s="13" t="n"/>
      <c r="M15" s="13" t="n"/>
    </row>
    <row r="16" ht="22" customHeight="1">
      <c r="B16" s="19">
        <f>IF(C16="","FR-"&amp;TEXT(COUNTA($C$5:C16),"000"))</f>
        <v/>
      </c>
      <c r="C16" s="16" t="n"/>
      <c r="D16" s="16" t="n"/>
      <c r="E16" s="16" t="n"/>
      <c r="F16" s="17" t="n"/>
      <c r="G16" s="17" t="n"/>
      <c r="H16" s="17" t="n"/>
      <c r="I16" s="17">
        <f>IF(OR(F16="",G16="",H16=""),"",IF(G16=F16,"N/A",(H16-F16)/(G16-F16)))</f>
        <v/>
      </c>
      <c r="J16" s="16" t="n"/>
      <c r="K16" s="16" t="n"/>
      <c r="L16" s="16" t="n"/>
      <c r="M16" s="16" t="n"/>
    </row>
    <row r="17" ht="22" customHeight="1">
      <c r="B17" s="20">
        <f>IF(C17="","FR-"&amp;TEXT(COUNTA($C$5:C17),"000"))</f>
        <v/>
      </c>
      <c r="C17" s="13" t="n"/>
      <c r="D17" s="13" t="n"/>
      <c r="E17" s="13" t="n"/>
      <c r="F17" s="14" t="n"/>
      <c r="G17" s="14" t="n"/>
      <c r="H17" s="14" t="n"/>
      <c r="I17" s="14">
        <f>IF(OR(F17="",G17="",H17=""),"",IF(G17=F17,"N/A",(H17-F17)/(G17-F17)))</f>
        <v/>
      </c>
      <c r="J17" s="13" t="n"/>
      <c r="K17" s="13" t="n"/>
      <c r="L17" s="13" t="n"/>
      <c r="M17" s="13" t="n"/>
    </row>
    <row r="18" ht="22" customHeight="1">
      <c r="B18" s="19">
        <f>IF(C18="","FR-"&amp;TEXT(COUNTA($C$5:C18),"000"))</f>
        <v/>
      </c>
      <c r="C18" s="16" t="n"/>
      <c r="D18" s="16" t="n"/>
      <c r="E18" s="16" t="n"/>
      <c r="F18" s="17" t="n"/>
      <c r="G18" s="17" t="n"/>
      <c r="H18" s="17" t="n"/>
      <c r="I18" s="17">
        <f>IF(OR(F18="",G18="",H18=""),"",IF(G18=F18,"N/A",(H18-F18)/(G18-F18)))</f>
        <v/>
      </c>
      <c r="J18" s="16" t="n"/>
      <c r="K18" s="16" t="n"/>
      <c r="L18" s="16" t="n"/>
      <c r="M18" s="16" t="n"/>
    </row>
    <row r="19" ht="22" customHeight="1">
      <c r="B19" s="20">
        <f>IF(C19="","FR-"&amp;TEXT(COUNTA($C$5:C19),"000"))</f>
        <v/>
      </c>
      <c r="C19" s="13" t="n"/>
      <c r="D19" s="13" t="n"/>
      <c r="E19" s="13" t="n"/>
      <c r="F19" s="14" t="n"/>
      <c r="G19" s="14" t="n"/>
      <c r="H19" s="14" t="n"/>
      <c r="I19" s="14">
        <f>IF(OR(F19="",G19="",H19=""),"",IF(G19=F19,"N/A",(H19-F19)/(G19-F19)))</f>
        <v/>
      </c>
      <c r="J19" s="13" t="n"/>
      <c r="K19" s="13" t="n"/>
      <c r="L19" s="13" t="n"/>
      <c r="M19" s="13" t="n"/>
    </row>
    <row r="20" ht="22" customHeight="1">
      <c r="B20" s="19">
        <f>IF(C20="","FR-"&amp;TEXT(COUNTA($C$5:C20),"000"))</f>
        <v/>
      </c>
      <c r="C20" s="16" t="n"/>
      <c r="D20" s="16" t="n"/>
      <c r="E20" s="16" t="n"/>
      <c r="F20" s="17" t="n"/>
      <c r="G20" s="17" t="n"/>
      <c r="H20" s="17" t="n"/>
      <c r="I20" s="17">
        <f>IF(OR(F20="",G20="",H20=""),"",IF(G20=F20,"N/A",(H20-F20)/(G20-F20)))</f>
        <v/>
      </c>
      <c r="J20" s="16" t="n"/>
      <c r="K20" s="16" t="n"/>
      <c r="L20" s="16" t="n"/>
      <c r="M20" s="16" t="n"/>
    </row>
    <row r="21" ht="22" customHeight="1">
      <c r="B21" s="20">
        <f>IF(C21="","FR-"&amp;TEXT(COUNTA($C$5:C21),"000"))</f>
        <v/>
      </c>
      <c r="C21" s="13" t="n"/>
      <c r="D21" s="13" t="n"/>
      <c r="E21" s="13" t="n"/>
      <c r="F21" s="14" t="n"/>
      <c r="G21" s="14" t="n"/>
      <c r="H21" s="14" t="n"/>
      <c r="I21" s="14">
        <f>IF(OR(F21="",G21="",H21=""),"",IF(G21=F21,"N/A",(H21-F21)/(G21-F21)))</f>
        <v/>
      </c>
      <c r="J21" s="13" t="n"/>
      <c r="K21" s="13" t="n"/>
      <c r="L21" s="13" t="n"/>
      <c r="M21" s="13" t="n"/>
    </row>
    <row r="22" ht="22" customHeight="1">
      <c r="B22" s="19">
        <f>IF(C22="","FR-"&amp;TEXT(COUNTA($C$5:C22),"000"))</f>
        <v/>
      </c>
      <c r="C22" s="16" t="n"/>
      <c r="D22" s="16" t="n"/>
      <c r="E22" s="16" t="n"/>
      <c r="F22" s="17" t="n"/>
      <c r="G22" s="17" t="n"/>
      <c r="H22" s="17" t="n"/>
      <c r="I22" s="17">
        <f>IF(OR(F22="",G22="",H22=""),"",IF(G22=F22,"N/A",(H22-F22)/(G22-F22)))</f>
        <v/>
      </c>
      <c r="J22" s="16" t="n"/>
      <c r="K22" s="16" t="n"/>
      <c r="L22" s="16" t="n"/>
      <c r="M22" s="16" t="n"/>
    </row>
    <row r="23" ht="22" customHeight="1">
      <c r="B23" s="20">
        <f>IF(C23="","FR-"&amp;TEXT(COUNTA($C$5:C23),"000"))</f>
        <v/>
      </c>
      <c r="C23" s="13" t="n"/>
      <c r="D23" s="13" t="n"/>
      <c r="E23" s="13" t="n"/>
      <c r="F23" s="14" t="n"/>
      <c r="G23" s="14" t="n"/>
      <c r="H23" s="14" t="n"/>
      <c r="I23" s="14">
        <f>IF(OR(F23="",G23="",H23=""),"",IF(G23=F23,"N/A",(H23-F23)/(G23-F23)))</f>
        <v/>
      </c>
      <c r="J23" s="13" t="n"/>
      <c r="K23" s="13" t="n"/>
      <c r="L23" s="13" t="n"/>
      <c r="M23" s="13" t="n"/>
    </row>
    <row r="24" ht="22" customHeight="1">
      <c r="B24" s="19">
        <f>IF(C24="","FR-"&amp;TEXT(COUNTA($C$5:C24),"000"))</f>
        <v/>
      </c>
      <c r="C24" s="16" t="n"/>
      <c r="D24" s="16" t="n"/>
      <c r="E24" s="16" t="n"/>
      <c r="F24" s="17" t="n"/>
      <c r="G24" s="17" t="n"/>
      <c r="H24" s="17" t="n"/>
      <c r="I24" s="17">
        <f>IF(OR(F24="",G24="",H24=""),"",IF(G24=F24,"N/A",(H24-F24)/(G24-F24)))</f>
        <v/>
      </c>
      <c r="J24" s="16" t="n"/>
      <c r="K24" s="16" t="n"/>
      <c r="L24" s="16" t="n"/>
      <c r="M24" s="16" t="n"/>
    </row>
    <row r="25" ht="22" customHeight="1">
      <c r="B25" s="20">
        <f>IF(C25="","FR-"&amp;TEXT(COUNTA($C$5:C25),"000"))</f>
        <v/>
      </c>
      <c r="C25" s="13" t="n"/>
      <c r="D25" s="13" t="n"/>
      <c r="E25" s="13" t="n"/>
      <c r="F25" s="14" t="n"/>
      <c r="G25" s="14" t="n"/>
      <c r="H25" s="14" t="n"/>
      <c r="I25" s="14">
        <f>IF(OR(F25="",G25="",H25=""),"",IF(G25=F25,"N/A",(H25-F25)/(G25-F25)))</f>
        <v/>
      </c>
      <c r="J25" s="13" t="n"/>
      <c r="K25" s="13" t="n"/>
      <c r="L25" s="13" t="n"/>
      <c r="M25" s="13" t="n"/>
    </row>
    <row r="26" ht="22" customHeight="1">
      <c r="B26" s="19">
        <f>IF(C26="","FR-"&amp;TEXT(COUNTA($C$5:C26),"000"))</f>
        <v/>
      </c>
      <c r="C26" s="16" t="n"/>
      <c r="D26" s="16" t="n"/>
      <c r="E26" s="16" t="n"/>
      <c r="F26" s="17" t="n"/>
      <c r="G26" s="17" t="n"/>
      <c r="H26" s="17" t="n"/>
      <c r="I26" s="17">
        <f>IF(OR(F26="",G26="",H26=""),"",IF(G26=F26,"N/A",(H26-F26)/(G26-F26)))</f>
        <v/>
      </c>
      <c r="J26" s="16" t="n"/>
      <c r="K26" s="16" t="n"/>
      <c r="L26" s="16" t="n"/>
      <c r="M26" s="16" t="n"/>
    </row>
    <row r="27" ht="22" customHeight="1">
      <c r="B27" s="20">
        <f>IF(C27="","FR-"&amp;TEXT(COUNTA($C$5:C27),"000"))</f>
        <v/>
      </c>
      <c r="C27" s="13" t="n"/>
      <c r="D27" s="13" t="n"/>
      <c r="E27" s="13" t="n"/>
      <c r="F27" s="14" t="n"/>
      <c r="G27" s="14" t="n"/>
      <c r="H27" s="14" t="n"/>
      <c r="I27" s="14">
        <f>IF(OR(F27="",G27="",H27=""),"",IF(G27=F27,"N/A",(H27-F27)/(G27-F27)))</f>
        <v/>
      </c>
      <c r="J27" s="13" t="n"/>
      <c r="K27" s="13" t="n"/>
      <c r="L27" s="13" t="n"/>
      <c r="M27" s="13" t="n"/>
    </row>
    <row r="28" ht="22" customHeight="1">
      <c r="B28" s="19">
        <f>IF(C28="","FR-"&amp;TEXT(COUNTA($C$5:C28),"000"))</f>
        <v/>
      </c>
      <c r="C28" s="16" t="n"/>
      <c r="D28" s="16" t="n"/>
      <c r="E28" s="16" t="n"/>
      <c r="F28" s="17" t="n"/>
      <c r="G28" s="17" t="n"/>
      <c r="H28" s="17" t="n"/>
      <c r="I28" s="17">
        <f>IF(OR(F28="",G28="",H28=""),"",IF(G28=F28,"N/A",(H28-F28)/(G28-F28)))</f>
        <v/>
      </c>
      <c r="J28" s="16" t="n"/>
      <c r="K28" s="16" t="n"/>
      <c r="L28" s="16" t="n"/>
      <c r="M28" s="16" t="n"/>
    </row>
    <row r="29" ht="22" customHeight="1">
      <c r="B29" s="20">
        <f>IF(C29="","FR-"&amp;TEXT(COUNTA($C$5:C29),"000"))</f>
        <v/>
      </c>
      <c r="C29" s="13" t="n"/>
      <c r="D29" s="13" t="n"/>
      <c r="E29" s="13" t="n"/>
      <c r="F29" s="14" t="n"/>
      <c r="G29" s="14" t="n"/>
      <c r="H29" s="14" t="n"/>
      <c r="I29" s="14">
        <f>IF(OR(F29="",G29="",H29=""),"",IF(G29=F29,"N/A",(H29-F29)/(G29-F29)))</f>
        <v/>
      </c>
      <c r="J29" s="13" t="n"/>
      <c r="K29" s="13" t="n"/>
      <c r="L29" s="13" t="n"/>
      <c r="M29" s="13" t="n"/>
    </row>
    <row r="30" ht="22" customHeight="1">
      <c r="B30" s="19">
        <f>IF(C30="","FR-"&amp;TEXT(COUNTA($C$5:C30),"000"))</f>
        <v/>
      </c>
      <c r="C30" s="16" t="n"/>
      <c r="D30" s="16" t="n"/>
      <c r="E30" s="16" t="n"/>
      <c r="F30" s="17" t="n"/>
      <c r="G30" s="17" t="n"/>
      <c r="H30" s="17" t="n"/>
      <c r="I30" s="17">
        <f>IF(OR(F30="",G30="",H30=""),"",IF(G30=F30,"N/A",(H30-F30)/(G30-F30)))</f>
        <v/>
      </c>
      <c r="J30" s="16" t="n"/>
      <c r="K30" s="16" t="n"/>
      <c r="L30" s="16" t="n"/>
      <c r="M30" s="16" t="n"/>
    </row>
    <row r="31" ht="22" customHeight="1">
      <c r="B31" s="20">
        <f>IF(C31="","FR-"&amp;TEXT(COUNTA($C$5:C31),"000"))</f>
        <v/>
      </c>
      <c r="C31" s="13" t="n"/>
      <c r="D31" s="13" t="n"/>
      <c r="E31" s="13" t="n"/>
      <c r="F31" s="14" t="n"/>
      <c r="G31" s="14" t="n"/>
      <c r="H31" s="14" t="n"/>
      <c r="I31" s="14">
        <f>IF(OR(F31="",G31="",H31=""),"",IF(G31=F31,"N/A",(H31-F31)/(G31-F31)))</f>
        <v/>
      </c>
      <c r="J31" s="13" t="n"/>
      <c r="K31" s="13" t="n"/>
      <c r="L31" s="13" t="n"/>
      <c r="M31" s="13" t="n"/>
    </row>
    <row r="32" ht="22" customHeight="1">
      <c r="B32" s="19">
        <f>IF(C32="","FR-"&amp;TEXT(COUNTA($C$5:C32),"000"))</f>
        <v/>
      </c>
      <c r="C32" s="16" t="n"/>
      <c r="D32" s="16" t="n"/>
      <c r="E32" s="16" t="n"/>
      <c r="F32" s="17" t="n"/>
      <c r="G32" s="17" t="n"/>
      <c r="H32" s="17" t="n"/>
      <c r="I32" s="17">
        <f>IF(OR(F32="",G32="",H32=""),"",IF(G32=F32,"N/A",(H32-F32)/(G32-F32)))</f>
        <v/>
      </c>
      <c r="J32" s="16" t="n"/>
      <c r="K32" s="16" t="n"/>
      <c r="L32" s="16" t="n"/>
      <c r="M32" s="16" t="n"/>
    </row>
    <row r="33" ht="22" customHeight="1">
      <c r="B33" s="20">
        <f>IF(C33="","FR-"&amp;TEXT(COUNTA($C$5:C33),"000"))</f>
        <v/>
      </c>
      <c r="C33" s="13" t="n"/>
      <c r="D33" s="13" t="n"/>
      <c r="E33" s="13" t="n"/>
      <c r="F33" s="14" t="n"/>
      <c r="G33" s="14" t="n"/>
      <c r="H33" s="14" t="n"/>
      <c r="I33" s="14">
        <f>IF(OR(F33="",G33="",H33=""),"",IF(G33=F33,"N/A",(H33-F33)/(G33-F33)))</f>
        <v/>
      </c>
      <c r="J33" s="13" t="n"/>
      <c r="K33" s="13" t="n"/>
      <c r="L33" s="13" t="n"/>
      <c r="M33" s="13" t="n"/>
    </row>
    <row r="34" ht="22" customHeight="1">
      <c r="B34" s="19">
        <f>IF(C34="","FR-"&amp;TEXT(COUNTA($C$5:C34),"000"))</f>
        <v/>
      </c>
      <c r="C34" s="16" t="n"/>
      <c r="D34" s="16" t="n"/>
      <c r="E34" s="16" t="n"/>
      <c r="F34" s="17" t="n"/>
      <c r="G34" s="17" t="n"/>
      <c r="H34" s="17" t="n"/>
      <c r="I34" s="17">
        <f>IF(OR(F34="",G34="",H34=""),"",IF(G34=F34,"N/A",(H34-F34)/(G34-F34)))</f>
        <v/>
      </c>
      <c r="J34" s="16" t="n"/>
      <c r="K34" s="16" t="n"/>
      <c r="L34" s="16" t="n"/>
      <c r="M34" s="16" t="n"/>
    </row>
    <row r="35" ht="22" customHeight="1">
      <c r="B35" s="20">
        <f>IF(C35="","FR-"&amp;TEXT(COUNTA($C$5:C35),"000"))</f>
        <v/>
      </c>
      <c r="C35" s="13" t="n"/>
      <c r="D35" s="13" t="n"/>
      <c r="E35" s="13" t="n"/>
      <c r="F35" s="14" t="n"/>
      <c r="G35" s="14" t="n"/>
      <c r="H35" s="14" t="n"/>
      <c r="I35" s="14">
        <f>IF(OR(F35="",G35="",H35=""),"",IF(G35=F35,"N/A",(H35-F35)/(G35-F35)))</f>
        <v/>
      </c>
      <c r="J35" s="13" t="n"/>
      <c r="K35" s="13" t="n"/>
      <c r="L35" s="13" t="n"/>
      <c r="M35" s="13" t="n"/>
    </row>
    <row r="36" ht="22" customHeight="1">
      <c r="B36" s="19">
        <f>IF(C36="","FR-"&amp;TEXT(COUNTA($C$5:C36),"000"))</f>
        <v/>
      </c>
      <c r="C36" s="16" t="n"/>
      <c r="D36" s="16" t="n"/>
      <c r="E36" s="16" t="n"/>
      <c r="F36" s="17" t="n"/>
      <c r="G36" s="17" t="n"/>
      <c r="H36" s="17" t="n"/>
      <c r="I36" s="17">
        <f>IF(OR(F36="",G36="",H36=""),"",IF(G36=F36,"N/A",(H36-F36)/(G36-F36)))</f>
        <v/>
      </c>
      <c r="J36" s="16" t="n"/>
      <c r="K36" s="16" t="n"/>
      <c r="L36" s="16" t="n"/>
      <c r="M36" s="16" t="n"/>
    </row>
    <row r="37" ht="22" customHeight="1">
      <c r="B37" s="20">
        <f>IF(C37="","FR-"&amp;TEXT(COUNTA($C$5:C37),"000"))</f>
        <v/>
      </c>
      <c r="C37" s="13" t="n"/>
      <c r="D37" s="13" t="n"/>
      <c r="E37" s="13" t="n"/>
      <c r="F37" s="14" t="n"/>
      <c r="G37" s="14" t="n"/>
      <c r="H37" s="14" t="n"/>
      <c r="I37" s="14">
        <f>IF(OR(F37="",G37="",H37=""),"",IF(G37=F37,"N/A",(H37-F37)/(G37-F37)))</f>
        <v/>
      </c>
      <c r="J37" s="13" t="n"/>
      <c r="K37" s="13" t="n"/>
      <c r="L37" s="13" t="n"/>
      <c r="M37" s="13" t="n"/>
    </row>
    <row r="38" ht="22" customHeight="1">
      <c r="B38" s="19">
        <f>IF(C38="","FR-"&amp;TEXT(COUNTA($C$5:C38),"000"))</f>
        <v/>
      </c>
      <c r="C38" s="16" t="n"/>
      <c r="D38" s="16" t="n"/>
      <c r="E38" s="16" t="n"/>
      <c r="F38" s="17" t="n"/>
      <c r="G38" s="17" t="n"/>
      <c r="H38" s="17" t="n"/>
      <c r="I38" s="17">
        <f>IF(OR(F38="",G38="",H38=""),"",IF(G38=F38,"N/A",(H38-F38)/(G38-F38)))</f>
        <v/>
      </c>
      <c r="J38" s="16" t="n"/>
      <c r="K38" s="16" t="n"/>
      <c r="L38" s="16" t="n"/>
      <c r="M38" s="16" t="n"/>
    </row>
    <row r="39" ht="22" customHeight="1">
      <c r="B39" s="20">
        <f>IF(C39="","FR-"&amp;TEXT(COUNTA($C$5:C39),"000"))</f>
        <v/>
      </c>
      <c r="C39" s="13" t="n"/>
      <c r="D39" s="13" t="n"/>
      <c r="E39" s="13" t="n"/>
      <c r="F39" s="14" t="n"/>
      <c r="G39" s="14" t="n"/>
      <c r="H39" s="14" t="n"/>
      <c r="I39" s="14">
        <f>IF(OR(F39="",G39="",H39=""),"",IF(G39=F39,"N/A",(H39-F39)/(G39-F39)))</f>
        <v/>
      </c>
      <c r="J39" s="13" t="n"/>
      <c r="K39" s="13" t="n"/>
      <c r="L39" s="13" t="n"/>
      <c r="M39" s="13" t="n"/>
    </row>
    <row r="40" ht="22" customHeight="1">
      <c r="B40" s="19">
        <f>IF(C40="","FR-"&amp;TEXT(COUNTA($C$5:C40),"000"))</f>
        <v/>
      </c>
      <c r="C40" s="16" t="n"/>
      <c r="D40" s="16" t="n"/>
      <c r="E40" s="16" t="n"/>
      <c r="F40" s="17" t="n"/>
      <c r="G40" s="17" t="n"/>
      <c r="H40" s="17" t="n"/>
      <c r="I40" s="17">
        <f>IF(OR(F40="",G40="",H40=""),"",IF(G40=F40,"N/A",(H40-F40)/(G40-F40)))</f>
        <v/>
      </c>
      <c r="J40" s="16" t="n"/>
      <c r="K40" s="16" t="n"/>
      <c r="L40" s="16" t="n"/>
      <c r="M40" s="16" t="n"/>
    </row>
    <row r="41" ht="22" customHeight="1">
      <c r="B41" s="20">
        <f>IF(C41="","FR-"&amp;TEXT(COUNTA($C$5:C41),"000"))</f>
        <v/>
      </c>
      <c r="C41" s="13" t="n"/>
      <c r="D41" s="13" t="n"/>
      <c r="E41" s="13" t="n"/>
      <c r="F41" s="14" t="n"/>
      <c r="G41" s="14" t="n"/>
      <c r="H41" s="14" t="n"/>
      <c r="I41" s="14">
        <f>IF(OR(F41="",G41="",H41=""),"",IF(G41=F41,"N/A",(H41-F41)/(G41-F41)))</f>
        <v/>
      </c>
      <c r="J41" s="13" t="n"/>
      <c r="K41" s="13" t="n"/>
      <c r="L41" s="13" t="n"/>
      <c r="M41" s="13" t="n"/>
    </row>
    <row r="42" ht="22" customHeight="1">
      <c r="B42" s="19">
        <f>IF(C42="","FR-"&amp;TEXT(COUNTA($C$5:C42),"000"))</f>
        <v/>
      </c>
      <c r="C42" s="16" t="n"/>
      <c r="D42" s="16" t="n"/>
      <c r="E42" s="16" t="n"/>
      <c r="F42" s="17" t="n"/>
      <c r="G42" s="17" t="n"/>
      <c r="H42" s="17" t="n"/>
      <c r="I42" s="17">
        <f>IF(OR(F42="",G42="",H42=""),"",IF(G42=F42,"N/A",(H42-F42)/(G42-F42)))</f>
        <v/>
      </c>
      <c r="J42" s="16" t="n"/>
      <c r="K42" s="16" t="n"/>
      <c r="L42" s="16" t="n"/>
      <c r="M42" s="16" t="n"/>
    </row>
    <row r="43" ht="22" customHeight="1">
      <c r="B43" s="20">
        <f>IF(C43="","FR-"&amp;TEXT(COUNTA($C$5:C43),"000"))</f>
        <v/>
      </c>
      <c r="C43" s="13" t="n"/>
      <c r="D43" s="13" t="n"/>
      <c r="E43" s="13" t="n"/>
      <c r="F43" s="14" t="n"/>
      <c r="G43" s="14" t="n"/>
      <c r="H43" s="14" t="n"/>
      <c r="I43" s="14">
        <f>IF(OR(F43="",G43="",H43=""),"",IF(G43=F43,"N/A",(H43-F43)/(G43-F43)))</f>
        <v/>
      </c>
      <c r="J43" s="13" t="n"/>
      <c r="K43" s="13" t="n"/>
      <c r="L43" s="13" t="n"/>
      <c r="M43" s="13" t="n"/>
    </row>
    <row r="44" ht="22" customHeight="1">
      <c r="B44" s="19">
        <f>IF(C44="","FR-"&amp;TEXT(COUNTA($C$5:C44),"000"))</f>
        <v/>
      </c>
      <c r="C44" s="16" t="n"/>
      <c r="D44" s="16" t="n"/>
      <c r="E44" s="16" t="n"/>
      <c r="F44" s="17" t="n"/>
      <c r="G44" s="17" t="n"/>
      <c r="H44" s="17" t="n"/>
      <c r="I44" s="17">
        <f>IF(OR(F44="",G44="",H44=""),"",IF(G44=F44,"N/A",(H44-F44)/(G44-F44)))</f>
        <v/>
      </c>
      <c r="J44" s="16" t="n"/>
      <c r="K44" s="16" t="n"/>
      <c r="L44" s="16" t="n"/>
      <c r="M44" s="16" t="n"/>
    </row>
    <row r="45" ht="22" customHeight="1">
      <c r="B45" s="20">
        <f>IF(C45="","FR-"&amp;TEXT(COUNTA($C$5:C45),"000"))</f>
        <v/>
      </c>
      <c r="C45" s="13" t="n"/>
      <c r="D45" s="13" t="n"/>
      <c r="E45" s="13" t="n"/>
      <c r="F45" s="14" t="n"/>
      <c r="G45" s="14" t="n"/>
      <c r="H45" s="14" t="n"/>
      <c r="I45" s="14">
        <f>IF(OR(F45="",G45="",H45=""),"",IF(G45=F45,"N/A",(H45-F45)/(G45-F45)))</f>
        <v/>
      </c>
      <c r="J45" s="13" t="n"/>
      <c r="K45" s="13" t="n"/>
      <c r="L45" s="13" t="n"/>
      <c r="M45" s="13" t="n"/>
    </row>
    <row r="46" ht="22" customHeight="1">
      <c r="B46" s="19">
        <f>IF(C46="","FR-"&amp;TEXT(COUNTA($C$5:C46),"000"))</f>
        <v/>
      </c>
      <c r="C46" s="16" t="n"/>
      <c r="D46" s="16" t="n"/>
      <c r="E46" s="16" t="n"/>
      <c r="F46" s="17" t="n"/>
      <c r="G46" s="17" t="n"/>
      <c r="H46" s="17" t="n"/>
      <c r="I46" s="17">
        <f>IF(OR(F46="",G46="",H46=""),"",IF(G46=F46,"N/A",(H46-F46)/(G46-F46)))</f>
        <v/>
      </c>
      <c r="J46" s="16" t="n"/>
      <c r="K46" s="16" t="n"/>
      <c r="L46" s="16" t="n"/>
      <c r="M46" s="16" t="n"/>
    </row>
    <row r="47" ht="22" customHeight="1">
      <c r="B47" s="20">
        <f>IF(C47="","FR-"&amp;TEXT(COUNTA($C$5:C47),"000"))</f>
        <v/>
      </c>
      <c r="C47" s="13" t="n"/>
      <c r="D47" s="13" t="n"/>
      <c r="E47" s="13" t="n"/>
      <c r="F47" s="14" t="n"/>
      <c r="G47" s="14" t="n"/>
      <c r="H47" s="14" t="n"/>
      <c r="I47" s="14">
        <f>IF(OR(F47="",G47="",H47=""),"",IF(G47=F47,"N/A",(H47-F47)/(G47-F47)))</f>
        <v/>
      </c>
      <c r="J47" s="13" t="n"/>
      <c r="K47" s="13" t="n"/>
      <c r="L47" s="13" t="n"/>
      <c r="M47" s="13" t="n"/>
    </row>
    <row r="48" ht="22" customHeight="1">
      <c r="B48" s="19">
        <f>IF(C48="","FR-"&amp;TEXT(COUNTA($C$5:C48),"000"))</f>
        <v/>
      </c>
      <c r="C48" s="16" t="n"/>
      <c r="D48" s="16" t="n"/>
      <c r="E48" s="16" t="n"/>
      <c r="F48" s="17" t="n"/>
      <c r="G48" s="17" t="n"/>
      <c r="H48" s="17" t="n"/>
      <c r="I48" s="17">
        <f>IF(OR(F48="",G48="",H48=""),"",IF(G48=F48,"N/A",(H48-F48)/(G48-F48)))</f>
        <v/>
      </c>
      <c r="J48" s="16" t="n"/>
      <c r="K48" s="16" t="n"/>
      <c r="L48" s="16" t="n"/>
      <c r="M48" s="16" t="n"/>
    </row>
    <row r="49" ht="22" customHeight="1">
      <c r="B49" s="20">
        <f>IF(C49="","FR-"&amp;TEXT(COUNTA($C$5:C49),"000"))</f>
        <v/>
      </c>
      <c r="C49" s="13" t="n"/>
      <c r="D49" s="13" t="n"/>
      <c r="E49" s="13" t="n"/>
      <c r="F49" s="14" t="n"/>
      <c r="G49" s="14" t="n"/>
      <c r="H49" s="14" t="n"/>
      <c r="I49" s="14">
        <f>IF(OR(F49="",G49="",H49=""),"",IF(G49=F49,"N/A",(H49-F49)/(G49-F49)))</f>
        <v/>
      </c>
      <c r="J49" s="13" t="n"/>
      <c r="K49" s="13" t="n"/>
      <c r="L49" s="13" t="n"/>
      <c r="M49" s="13" t="n"/>
    </row>
    <row r="50" ht="22" customHeight="1">
      <c r="B50" s="19">
        <f>IF(C50="","FR-"&amp;TEXT(COUNTA($C$5:C50),"000"))</f>
        <v/>
      </c>
      <c r="C50" s="16" t="n"/>
      <c r="D50" s="16" t="n"/>
      <c r="E50" s="16" t="n"/>
      <c r="F50" s="17" t="n"/>
      <c r="G50" s="17" t="n"/>
      <c r="H50" s="17" t="n"/>
      <c r="I50" s="17">
        <f>IF(OR(F50="",G50="",H50=""),"",IF(G50=F50,"N/A",(H50-F50)/(G50-F50)))</f>
        <v/>
      </c>
      <c r="J50" s="16" t="n"/>
      <c r="K50" s="16" t="n"/>
      <c r="L50" s="16" t="n"/>
      <c r="M50" s="16" t="n"/>
    </row>
    <row r="51" ht="22" customHeight="1">
      <c r="B51" s="20">
        <f>IF(C51="","FR-"&amp;TEXT(COUNTA($C$5:C51),"000"))</f>
        <v/>
      </c>
      <c r="C51" s="13" t="n"/>
      <c r="D51" s="13" t="n"/>
      <c r="E51" s="13" t="n"/>
      <c r="F51" s="14" t="n"/>
      <c r="G51" s="14" t="n"/>
      <c r="H51" s="14" t="n"/>
      <c r="I51" s="14">
        <f>IF(OR(F51="",G51="",H51=""),"",IF(G51=F51,"N/A",(H51-F51)/(G51-F51)))</f>
        <v/>
      </c>
      <c r="J51" s="13" t="n"/>
      <c r="K51" s="13" t="n"/>
      <c r="L51" s="13" t="n"/>
      <c r="M51" s="13" t="n"/>
    </row>
    <row r="52" ht="22" customHeight="1">
      <c r="B52" s="19">
        <f>IF(C52="","FR-"&amp;TEXT(COUNTA($C$5:C52),"000"))</f>
        <v/>
      </c>
      <c r="C52" s="16" t="n"/>
      <c r="D52" s="16" t="n"/>
      <c r="E52" s="16" t="n"/>
      <c r="F52" s="17" t="n"/>
      <c r="G52" s="17" t="n"/>
      <c r="H52" s="17" t="n"/>
      <c r="I52" s="17">
        <f>IF(OR(F52="",G52="",H52=""),"",IF(G52=F52,"N/A",(H52-F52)/(G52-F52)))</f>
        <v/>
      </c>
      <c r="J52" s="16" t="n"/>
      <c r="K52" s="16" t="n"/>
      <c r="L52" s="16" t="n"/>
      <c r="M52" s="16" t="n"/>
    </row>
    <row r="53" ht="22" customHeight="1">
      <c r="B53" s="20">
        <f>IF(C53="","FR-"&amp;TEXT(COUNTA($C$5:C53),"000"))</f>
        <v/>
      </c>
      <c r="C53" s="13" t="n"/>
      <c r="D53" s="13" t="n"/>
      <c r="E53" s="13" t="n"/>
      <c r="F53" s="14" t="n"/>
      <c r="G53" s="14" t="n"/>
      <c r="H53" s="14" t="n"/>
      <c r="I53" s="14">
        <f>IF(OR(F53="",G53="",H53=""),"",IF(G53=F53,"N/A",(H53-F53)/(G53-F53)))</f>
        <v/>
      </c>
      <c r="J53" s="13" t="n"/>
      <c r="K53" s="13" t="n"/>
      <c r="L53" s="13" t="n"/>
      <c r="M53" s="13" t="n"/>
    </row>
    <row r="54" ht="22" customHeight="1">
      <c r="B54" s="19">
        <f>IF(C54="","FR-"&amp;TEXT(COUNTA($C$5:C54),"000"))</f>
        <v/>
      </c>
      <c r="C54" s="16" t="n"/>
      <c r="D54" s="16" t="n"/>
      <c r="E54" s="16" t="n"/>
      <c r="F54" s="17" t="n"/>
      <c r="G54" s="17" t="n"/>
      <c r="H54" s="17" t="n"/>
      <c r="I54" s="17">
        <f>IF(OR(F54="",G54="",H54=""),"",IF(G54=F54,"N/A",(H54-F54)/(G54-F54)))</f>
        <v/>
      </c>
      <c r="J54" s="16" t="n"/>
      <c r="K54" s="16" t="n"/>
      <c r="L54" s="16" t="n"/>
      <c r="M54" s="16" t="n"/>
    </row>
    <row r="55" ht="22" customHeight="1">
      <c r="B55" s="20">
        <f>IF(C55="","FR-"&amp;TEXT(COUNTA($C$5:C55),"000"))</f>
        <v/>
      </c>
      <c r="C55" s="13" t="n"/>
      <c r="D55" s="13" t="n"/>
      <c r="E55" s="13" t="n"/>
      <c r="F55" s="14" t="n"/>
      <c r="G55" s="14" t="n"/>
      <c r="H55" s="14" t="n"/>
      <c r="I55" s="14">
        <f>IF(OR(F55="",G55="",H55=""),"",IF(G55=F55,"N/A",(H55-F55)/(G55-F55)))</f>
        <v/>
      </c>
      <c r="J55" s="13" t="n"/>
      <c r="K55" s="13" t="n"/>
      <c r="L55" s="13" t="n"/>
      <c r="M55" s="13" t="n"/>
    </row>
    <row r="56" ht="22" customHeight="1">
      <c r="B56" s="19">
        <f>IF(C56="","FR-"&amp;TEXT(COUNTA($C$5:C56),"000"))</f>
        <v/>
      </c>
      <c r="C56" s="16" t="n"/>
      <c r="D56" s="16" t="n"/>
      <c r="E56" s="16" t="n"/>
      <c r="F56" s="17" t="n"/>
      <c r="G56" s="17" t="n"/>
      <c r="H56" s="17" t="n"/>
      <c r="I56" s="17">
        <f>IF(OR(F56="",G56="",H56=""),"",IF(G56=F56,"N/A",(H56-F56)/(G56-F56)))</f>
        <v/>
      </c>
      <c r="J56" s="16" t="n"/>
      <c r="K56" s="16" t="n"/>
      <c r="L56" s="16" t="n"/>
      <c r="M56" s="16" t="n"/>
    </row>
    <row r="57" ht="22" customHeight="1">
      <c r="B57" s="20">
        <f>IF(C57="","FR-"&amp;TEXT(COUNTA($C$5:C57),"000"))</f>
        <v/>
      </c>
      <c r="C57" s="13" t="n"/>
      <c r="D57" s="13" t="n"/>
      <c r="E57" s="13" t="n"/>
      <c r="F57" s="14" t="n"/>
      <c r="G57" s="14" t="n"/>
      <c r="H57" s="14" t="n"/>
      <c r="I57" s="14">
        <f>IF(OR(F57="",G57="",H57=""),"",IF(G57=F57,"N/A",(H57-F57)/(G57-F57)))</f>
        <v/>
      </c>
      <c r="J57" s="13" t="n"/>
      <c r="K57" s="13" t="n"/>
      <c r="L57" s="13" t="n"/>
      <c r="M57" s="13" t="n"/>
    </row>
    <row r="58" ht="22" customHeight="1">
      <c r="B58" s="19">
        <f>IF(C58="","FR-"&amp;TEXT(COUNTA($C$5:C58),"000"))</f>
        <v/>
      </c>
      <c r="C58" s="16" t="n"/>
      <c r="D58" s="16" t="n"/>
      <c r="E58" s="16" t="n"/>
      <c r="F58" s="17" t="n"/>
      <c r="G58" s="17" t="n"/>
      <c r="H58" s="17" t="n"/>
      <c r="I58" s="17">
        <f>IF(OR(F58="",G58="",H58=""),"",IF(G58=F58,"N/A",(H58-F58)/(G58-F58)))</f>
        <v/>
      </c>
      <c r="J58" s="16" t="n"/>
      <c r="K58" s="16" t="n"/>
      <c r="L58" s="16" t="n"/>
      <c r="M58" s="16" t="n"/>
    </row>
    <row r="59" ht="22" customHeight="1">
      <c r="B59" s="20">
        <f>IF(C59="","FR-"&amp;TEXT(COUNTA($C$5:C59),"000"))</f>
        <v/>
      </c>
      <c r="C59" s="13" t="n"/>
      <c r="D59" s="13" t="n"/>
      <c r="E59" s="13" t="n"/>
      <c r="F59" s="14" t="n"/>
      <c r="G59" s="14" t="n"/>
      <c r="H59" s="14" t="n"/>
      <c r="I59" s="14">
        <f>IF(OR(F59="",G59="",H59=""),"",IF(G59=F59,"N/A",(H59-F59)/(G59-F59)))</f>
        <v/>
      </c>
      <c r="J59" s="13" t="n"/>
      <c r="K59" s="13" t="n"/>
      <c r="L59" s="13" t="n"/>
      <c r="M59" s="13" t="n"/>
    </row>
    <row r="60" ht="22" customHeight="1">
      <c r="B60" s="19">
        <f>IF(C60="","FR-"&amp;TEXT(COUNTA($C$5:C60),"000"))</f>
        <v/>
      </c>
      <c r="C60" s="16" t="n"/>
      <c r="D60" s="16" t="n"/>
      <c r="E60" s="16" t="n"/>
      <c r="F60" s="17" t="n"/>
      <c r="G60" s="17" t="n"/>
      <c r="H60" s="17" t="n"/>
      <c r="I60" s="17">
        <f>IF(OR(F60="",G60="",H60=""),"",IF(G60=F60,"N/A",(H60-F60)/(G60-F60)))</f>
        <v/>
      </c>
      <c r="J60" s="16" t="n"/>
      <c r="K60" s="16" t="n"/>
      <c r="L60" s="16" t="n"/>
      <c r="M60" s="16" t="n"/>
    </row>
    <row r="61" ht="22" customHeight="1">
      <c r="B61" s="20">
        <f>IF(C61="","FR-"&amp;TEXT(COUNTA($C$5:C61),"000"))</f>
        <v/>
      </c>
      <c r="C61" s="13" t="n"/>
      <c r="D61" s="13" t="n"/>
      <c r="E61" s="13" t="n"/>
      <c r="F61" s="14" t="n"/>
      <c r="G61" s="14" t="n"/>
      <c r="H61" s="14" t="n"/>
      <c r="I61" s="14">
        <f>IF(OR(F61="",G61="",H61=""),"",IF(G61=F61,"N/A",(H61-F61)/(G61-F61)))</f>
        <v/>
      </c>
      <c r="J61" s="13" t="n"/>
      <c r="K61" s="13" t="n"/>
      <c r="L61" s="13" t="n"/>
      <c r="M61" s="13" t="n"/>
    </row>
    <row r="62" ht="22" customHeight="1">
      <c r="B62" s="19">
        <f>IF(C62="","FR-"&amp;TEXT(COUNTA($C$5:C62),"000"))</f>
        <v/>
      </c>
      <c r="C62" s="16" t="n"/>
      <c r="D62" s="16" t="n"/>
      <c r="E62" s="16" t="n"/>
      <c r="F62" s="17" t="n"/>
      <c r="G62" s="17" t="n"/>
      <c r="H62" s="17" t="n"/>
      <c r="I62" s="17">
        <f>IF(OR(F62="",G62="",H62=""),"",IF(G62=F62,"N/A",(H62-F62)/(G62-F62)))</f>
        <v/>
      </c>
      <c r="J62" s="16" t="n"/>
      <c r="K62" s="16" t="n"/>
      <c r="L62" s="16" t="n"/>
      <c r="M62" s="16" t="n"/>
    </row>
    <row r="63" ht="22" customHeight="1">
      <c r="B63" s="20">
        <f>IF(C63="","FR-"&amp;TEXT(COUNTA($C$5:C63),"000"))</f>
        <v/>
      </c>
      <c r="C63" s="13" t="n"/>
      <c r="D63" s="13" t="n"/>
      <c r="E63" s="13" t="n"/>
      <c r="F63" s="14" t="n"/>
      <c r="G63" s="14" t="n"/>
      <c r="H63" s="14" t="n"/>
      <c r="I63" s="14">
        <f>IF(OR(F63="",G63="",H63=""),"",IF(G63=F63,"N/A",(H63-F63)/(G63-F63)))</f>
        <v/>
      </c>
      <c r="J63" s="13" t="n"/>
      <c r="K63" s="13" t="n"/>
      <c r="L63" s="13" t="n"/>
      <c r="M63" s="13" t="n"/>
    </row>
    <row r="64" ht="22" customHeight="1">
      <c r="B64" s="19">
        <f>IF(C64="","FR-"&amp;TEXT(COUNTA($C$5:C64),"000"))</f>
        <v/>
      </c>
      <c r="C64" s="16" t="n"/>
      <c r="D64" s="16" t="n"/>
      <c r="E64" s="16" t="n"/>
      <c r="F64" s="17" t="n"/>
      <c r="G64" s="17" t="n"/>
      <c r="H64" s="17" t="n"/>
      <c r="I64" s="17">
        <f>IF(OR(F64="",G64="",H64=""),"",IF(G64=F64,"N/A",(H64-F64)/(G64-F64)))</f>
        <v/>
      </c>
      <c r="J64" s="16" t="n"/>
      <c r="K64" s="16" t="n"/>
      <c r="L64" s="16" t="n"/>
      <c r="M64" s="16" t="n"/>
    </row>
    <row r="65" ht="22" customHeight="1">
      <c r="B65" s="20">
        <f>IF(C65="","FR-"&amp;TEXT(COUNTA($C$5:C65),"000"))</f>
        <v/>
      </c>
      <c r="C65" s="13" t="n"/>
      <c r="D65" s="13" t="n"/>
      <c r="E65" s="13" t="n"/>
      <c r="F65" s="14" t="n"/>
      <c r="G65" s="14" t="n"/>
      <c r="H65" s="14" t="n"/>
      <c r="I65" s="14">
        <f>IF(OR(F65="",G65="",H65=""),"",IF(G65=F65,"N/A",(H65-F65)/(G65-F65)))</f>
        <v/>
      </c>
      <c r="J65" s="13" t="n"/>
      <c r="K65" s="13" t="n"/>
      <c r="L65" s="13" t="n"/>
      <c r="M65" s="13" t="n"/>
    </row>
    <row r="66" ht="22" customHeight="1">
      <c r="B66" s="19">
        <f>IF(C66="","FR-"&amp;TEXT(COUNTA($C$5:C66),"000"))</f>
        <v/>
      </c>
      <c r="C66" s="16" t="n"/>
      <c r="D66" s="16" t="n"/>
      <c r="E66" s="16" t="n"/>
      <c r="F66" s="17" t="n"/>
      <c r="G66" s="17" t="n"/>
      <c r="H66" s="17" t="n"/>
      <c r="I66" s="17">
        <f>IF(OR(F66="",G66="",H66=""),"",IF(G66=F66,"N/A",(H66-F66)/(G66-F66)))</f>
        <v/>
      </c>
      <c r="J66" s="16" t="n"/>
      <c r="K66" s="16" t="n"/>
      <c r="L66" s="16" t="n"/>
      <c r="M66" s="16" t="n"/>
    </row>
    <row r="67" ht="22" customHeight="1">
      <c r="B67" s="20">
        <f>IF(C67="","FR-"&amp;TEXT(COUNTA($C$5:C67),"000"))</f>
        <v/>
      </c>
      <c r="C67" s="13" t="n"/>
      <c r="D67" s="13" t="n"/>
      <c r="E67" s="13" t="n"/>
      <c r="F67" s="14" t="n"/>
      <c r="G67" s="14" t="n"/>
      <c r="H67" s="14" t="n"/>
      <c r="I67" s="14">
        <f>IF(OR(F67="",G67="",H67=""),"",IF(G67=F67,"N/A",(H67-F67)/(G67-F67)))</f>
        <v/>
      </c>
      <c r="J67" s="13" t="n"/>
      <c r="K67" s="13" t="n"/>
      <c r="L67" s="13" t="n"/>
      <c r="M67" s="13" t="n"/>
    </row>
    <row r="68" ht="22" customHeight="1">
      <c r="B68" s="19">
        <f>IF(C68="","FR-"&amp;TEXT(COUNTA($C$5:C68),"000"))</f>
        <v/>
      </c>
      <c r="C68" s="16" t="n"/>
      <c r="D68" s="16" t="n"/>
      <c r="E68" s="16" t="n"/>
      <c r="F68" s="17" t="n"/>
      <c r="G68" s="17" t="n"/>
      <c r="H68" s="17" t="n"/>
      <c r="I68" s="17">
        <f>IF(OR(F68="",G68="",H68=""),"",IF(G68=F68,"N/A",(H68-F68)/(G68-F68)))</f>
        <v/>
      </c>
      <c r="J68" s="16" t="n"/>
      <c r="K68" s="16" t="n"/>
      <c r="L68" s="16" t="n"/>
      <c r="M68" s="16" t="n"/>
    </row>
    <row r="69" ht="22" customHeight="1">
      <c r="B69" s="20">
        <f>IF(C69="","FR-"&amp;TEXT(COUNTA($C$5:C69),"000"))</f>
        <v/>
      </c>
      <c r="C69" s="13" t="n"/>
      <c r="D69" s="13" t="n"/>
      <c r="E69" s="13" t="n"/>
      <c r="F69" s="14" t="n"/>
      <c r="G69" s="14" t="n"/>
      <c r="H69" s="14" t="n"/>
      <c r="I69" s="14">
        <f>IF(OR(F69="",G69="",H69=""),"",IF(G69=F69,"N/A",(H69-F69)/(G69-F69)))</f>
        <v/>
      </c>
      <c r="J69" s="13" t="n"/>
      <c r="K69" s="13" t="n"/>
      <c r="L69" s="13" t="n"/>
      <c r="M69" s="13" t="n"/>
    </row>
    <row r="70" ht="22" customHeight="1">
      <c r="B70" s="19">
        <f>IF(C70="","FR-"&amp;TEXT(COUNTA($C$5:C70),"000"))</f>
        <v/>
      </c>
      <c r="C70" s="16" t="n"/>
      <c r="D70" s="16" t="n"/>
      <c r="E70" s="16" t="n"/>
      <c r="F70" s="17" t="n"/>
      <c r="G70" s="17" t="n"/>
      <c r="H70" s="17" t="n"/>
      <c r="I70" s="17">
        <f>IF(OR(F70="",G70="",H70=""),"",IF(G70=F70,"N/A",(H70-F70)/(G70-F70)))</f>
        <v/>
      </c>
      <c r="J70" s="16" t="n"/>
      <c r="K70" s="16" t="n"/>
      <c r="L70" s="16" t="n"/>
      <c r="M70" s="16" t="n"/>
    </row>
    <row r="71" ht="22" customHeight="1">
      <c r="B71" s="20">
        <f>IF(C71="","FR-"&amp;TEXT(COUNTA($C$5:C71),"000"))</f>
        <v/>
      </c>
      <c r="C71" s="13" t="n"/>
      <c r="D71" s="13" t="n"/>
      <c r="E71" s="13" t="n"/>
      <c r="F71" s="14" t="n"/>
      <c r="G71" s="14" t="n"/>
      <c r="H71" s="14" t="n"/>
      <c r="I71" s="14">
        <f>IF(OR(F71="",G71="",H71=""),"",IF(G71=F71,"N/A",(H71-F71)/(G71-F71)))</f>
        <v/>
      </c>
      <c r="J71" s="13" t="n"/>
      <c r="K71" s="13" t="n"/>
      <c r="L71" s="13" t="n"/>
      <c r="M71" s="13" t="n"/>
    </row>
    <row r="72" ht="22" customHeight="1">
      <c r="B72" s="19">
        <f>IF(C72="","FR-"&amp;TEXT(COUNTA($C$5:C72),"000"))</f>
        <v/>
      </c>
      <c r="C72" s="16" t="n"/>
      <c r="D72" s="16" t="n"/>
      <c r="E72" s="16" t="n"/>
      <c r="F72" s="17" t="n"/>
      <c r="G72" s="17" t="n"/>
      <c r="H72" s="17" t="n"/>
      <c r="I72" s="17">
        <f>IF(OR(F72="",G72="",H72=""),"",IF(G72=F72,"N/A",(H72-F72)/(G72-F72)))</f>
        <v/>
      </c>
      <c r="J72" s="16" t="n"/>
      <c r="K72" s="16" t="n"/>
      <c r="L72" s="16" t="n"/>
      <c r="M72" s="16" t="n"/>
    </row>
    <row r="73" ht="22" customHeight="1">
      <c r="B73" s="20">
        <f>IF(C73="","FR-"&amp;TEXT(COUNTA($C$5:C73),"000"))</f>
        <v/>
      </c>
      <c r="C73" s="13" t="n"/>
      <c r="D73" s="13" t="n"/>
      <c r="E73" s="13" t="n"/>
      <c r="F73" s="14" t="n"/>
      <c r="G73" s="14" t="n"/>
      <c r="H73" s="14" t="n"/>
      <c r="I73" s="14">
        <f>IF(OR(F73="",G73="",H73=""),"",IF(G73=F73,"N/A",(H73-F73)/(G73-F73)))</f>
        <v/>
      </c>
      <c r="J73" s="13" t="n"/>
      <c r="K73" s="13" t="n"/>
      <c r="L73" s="13" t="n"/>
      <c r="M73" s="13" t="n"/>
    </row>
    <row r="74" ht="22" customHeight="1">
      <c r="B74" s="19">
        <f>IF(C74="","FR-"&amp;TEXT(COUNTA($C$5:C74),"000"))</f>
        <v/>
      </c>
      <c r="C74" s="16" t="n"/>
      <c r="D74" s="16" t="n"/>
      <c r="E74" s="16" t="n"/>
      <c r="F74" s="17" t="n"/>
      <c r="G74" s="17" t="n"/>
      <c r="H74" s="17" t="n"/>
      <c r="I74" s="17">
        <f>IF(OR(F74="",G74="",H74=""),"",IF(G74=F74,"N/A",(H74-F74)/(G74-F74)))</f>
        <v/>
      </c>
      <c r="J74" s="16" t="n"/>
      <c r="K74" s="16" t="n"/>
      <c r="L74" s="16" t="n"/>
      <c r="M74" s="16" t="n"/>
    </row>
    <row r="75" ht="22" customHeight="1">
      <c r="B75" s="20">
        <f>IF(C75="","FR-"&amp;TEXT(COUNTA($C$5:C75),"000"))</f>
        <v/>
      </c>
      <c r="C75" s="13" t="n"/>
      <c r="D75" s="13" t="n"/>
      <c r="E75" s="13" t="n"/>
      <c r="F75" s="14" t="n"/>
      <c r="G75" s="14" t="n"/>
      <c r="H75" s="14" t="n"/>
      <c r="I75" s="14">
        <f>IF(OR(F75="",G75="",H75=""),"",IF(G75=F75,"N/A",(H75-F75)/(G75-F75)))</f>
        <v/>
      </c>
      <c r="J75" s="13" t="n"/>
      <c r="K75" s="13" t="n"/>
      <c r="L75" s="13" t="n"/>
      <c r="M75" s="13" t="n"/>
    </row>
    <row r="76" ht="22" customHeight="1">
      <c r="B76" s="19">
        <f>IF(C76="","FR-"&amp;TEXT(COUNTA($C$5:C76),"000"))</f>
        <v/>
      </c>
      <c r="C76" s="16" t="n"/>
      <c r="D76" s="16" t="n"/>
      <c r="E76" s="16" t="n"/>
      <c r="F76" s="17" t="n"/>
      <c r="G76" s="17" t="n"/>
      <c r="H76" s="17" t="n"/>
      <c r="I76" s="17">
        <f>IF(OR(F76="",G76="",H76=""),"",IF(G76=F76,"N/A",(H76-F76)/(G76-F76)))</f>
        <v/>
      </c>
      <c r="J76" s="16" t="n"/>
      <c r="K76" s="16" t="n"/>
      <c r="L76" s="16" t="n"/>
      <c r="M76" s="16" t="n"/>
    </row>
    <row r="77" ht="22" customHeight="1">
      <c r="B77" s="20">
        <f>IF(C77="","FR-"&amp;TEXT(COUNTA($C$5:C77),"000"))</f>
        <v/>
      </c>
      <c r="C77" s="13" t="n"/>
      <c r="D77" s="13" t="n"/>
      <c r="E77" s="13" t="n"/>
      <c r="F77" s="14" t="n"/>
      <c r="G77" s="14" t="n"/>
      <c r="H77" s="14" t="n"/>
      <c r="I77" s="14">
        <f>IF(OR(F77="",G77="",H77=""),"",IF(G77=F77,"N/A",(H77-F77)/(G77-F77)))</f>
        <v/>
      </c>
      <c r="J77" s="13" t="n"/>
      <c r="K77" s="13" t="n"/>
      <c r="L77" s="13" t="n"/>
      <c r="M77" s="13" t="n"/>
    </row>
    <row r="78" ht="22" customHeight="1">
      <c r="B78" s="19">
        <f>IF(C78="","FR-"&amp;TEXT(COUNTA($C$5:C78),"000"))</f>
        <v/>
      </c>
      <c r="C78" s="16" t="n"/>
      <c r="D78" s="16" t="n"/>
      <c r="E78" s="16" t="n"/>
      <c r="F78" s="17" t="n"/>
      <c r="G78" s="17" t="n"/>
      <c r="H78" s="17" t="n"/>
      <c r="I78" s="17">
        <f>IF(OR(F78="",G78="",H78=""),"",IF(G78=F78,"N/A",(H78-F78)/(G78-F78)))</f>
        <v/>
      </c>
      <c r="J78" s="16" t="n"/>
      <c r="K78" s="16" t="n"/>
      <c r="L78" s="16" t="n"/>
      <c r="M78" s="16" t="n"/>
    </row>
    <row r="79" ht="22" customHeight="1">
      <c r="B79" s="20">
        <f>IF(C79="","FR-"&amp;TEXT(COUNTA($C$5:C79),"000"))</f>
        <v/>
      </c>
      <c r="C79" s="13" t="n"/>
      <c r="D79" s="13" t="n"/>
      <c r="E79" s="13" t="n"/>
      <c r="F79" s="14" t="n"/>
      <c r="G79" s="14" t="n"/>
      <c r="H79" s="14" t="n"/>
      <c r="I79" s="14">
        <f>IF(OR(F79="",G79="",H79=""),"",IF(G79=F79,"N/A",(H79-F79)/(G79-F79)))</f>
        <v/>
      </c>
      <c r="J79" s="13" t="n"/>
      <c r="K79" s="13" t="n"/>
      <c r="L79" s="13" t="n"/>
      <c r="M79" s="13" t="n"/>
    </row>
    <row r="80" ht="22" customHeight="1">
      <c r="B80" s="19">
        <f>IF(C80="","FR-"&amp;TEXT(COUNTA($C$5:C80),"000"))</f>
        <v/>
      </c>
      <c r="C80" s="16" t="n"/>
      <c r="D80" s="16" t="n"/>
      <c r="E80" s="16" t="n"/>
      <c r="F80" s="17" t="n"/>
      <c r="G80" s="17" t="n"/>
      <c r="H80" s="17" t="n"/>
      <c r="I80" s="17">
        <f>IF(OR(F80="",G80="",H80=""),"",IF(G80=F80,"N/A",(H80-F80)/(G80-F80)))</f>
        <v/>
      </c>
      <c r="J80" s="16" t="n"/>
      <c r="K80" s="16" t="n"/>
      <c r="L80" s="16" t="n"/>
      <c r="M80" s="16" t="n"/>
    </row>
    <row r="81" ht="22" customHeight="1">
      <c r="B81" s="20">
        <f>IF(C81="","FR-"&amp;TEXT(COUNTA($C$5:C81),"000"))</f>
        <v/>
      </c>
      <c r="C81" s="13" t="n"/>
      <c r="D81" s="13" t="n"/>
      <c r="E81" s="13" t="n"/>
      <c r="F81" s="14" t="n"/>
      <c r="G81" s="14" t="n"/>
      <c r="H81" s="14" t="n"/>
      <c r="I81" s="14">
        <f>IF(OR(F81="",G81="",H81=""),"",IF(G81=F81,"N/A",(H81-F81)/(G81-F81)))</f>
        <v/>
      </c>
      <c r="J81" s="13" t="n"/>
      <c r="K81" s="13" t="n"/>
      <c r="L81" s="13" t="n"/>
      <c r="M81" s="13" t="n"/>
    </row>
    <row r="82" ht="22" customHeight="1">
      <c r="B82" s="19">
        <f>IF(C82="","FR-"&amp;TEXT(COUNTA($C$5:C82),"000"))</f>
        <v/>
      </c>
      <c r="C82" s="16" t="n"/>
      <c r="D82" s="16" t="n"/>
      <c r="E82" s="16" t="n"/>
      <c r="F82" s="17" t="n"/>
      <c r="G82" s="17" t="n"/>
      <c r="H82" s="17" t="n"/>
      <c r="I82" s="17">
        <f>IF(OR(F82="",G82="",H82=""),"",IF(G82=F82,"N/A",(H82-F82)/(G82-F82)))</f>
        <v/>
      </c>
      <c r="J82" s="16" t="n"/>
      <c r="K82" s="16" t="n"/>
      <c r="L82" s="16" t="n"/>
      <c r="M82" s="16" t="n"/>
    </row>
    <row r="83" ht="22" customHeight="1">
      <c r="B83" s="20">
        <f>IF(C83="","FR-"&amp;TEXT(COUNTA($C$5:C83),"000"))</f>
        <v/>
      </c>
      <c r="C83" s="13" t="n"/>
      <c r="D83" s="13" t="n"/>
      <c r="E83" s="13" t="n"/>
      <c r="F83" s="14" t="n"/>
      <c r="G83" s="14" t="n"/>
      <c r="H83" s="14" t="n"/>
      <c r="I83" s="14">
        <f>IF(OR(F83="",G83="",H83=""),"",IF(G83=F83,"N/A",(H83-F83)/(G83-F83)))</f>
        <v/>
      </c>
      <c r="J83" s="13" t="n"/>
      <c r="K83" s="13" t="n"/>
      <c r="L83" s="13" t="n"/>
      <c r="M83" s="13" t="n"/>
    </row>
    <row r="84" ht="22" customHeight="1">
      <c r="B84" s="19">
        <f>IF(C84="","FR-"&amp;TEXT(COUNTA($C$5:C84),"000"))</f>
        <v/>
      </c>
      <c r="C84" s="16" t="n"/>
      <c r="D84" s="16" t="n"/>
      <c r="E84" s="16" t="n"/>
      <c r="F84" s="17" t="n"/>
      <c r="G84" s="17" t="n"/>
      <c r="H84" s="17" t="n"/>
      <c r="I84" s="17">
        <f>IF(OR(F84="",G84="",H84=""),"",IF(G84=F84,"N/A",(H84-F84)/(G84-F84)))</f>
        <v/>
      </c>
      <c r="J84" s="16" t="n"/>
      <c r="K84" s="16" t="n"/>
      <c r="L84" s="16" t="n"/>
      <c r="M84" s="16" t="n"/>
    </row>
    <row r="85" ht="22" customHeight="1">
      <c r="B85" s="20">
        <f>IF(C85="","FR-"&amp;TEXT(COUNTA($C$5:C85),"000"))</f>
        <v/>
      </c>
      <c r="C85" s="13" t="n"/>
      <c r="D85" s="13" t="n"/>
      <c r="E85" s="13" t="n"/>
      <c r="F85" s="14" t="n"/>
      <c r="G85" s="14" t="n"/>
      <c r="H85" s="14" t="n"/>
      <c r="I85" s="14">
        <f>IF(OR(F85="",G85="",H85=""),"",IF(G85=F85,"N/A",(H85-F85)/(G85-F85)))</f>
        <v/>
      </c>
      <c r="J85" s="13" t="n"/>
      <c r="K85" s="13" t="n"/>
      <c r="L85" s="13" t="n"/>
      <c r="M85" s="13" t="n"/>
    </row>
    <row r="86" ht="22" customHeight="1">
      <c r="B86" s="19">
        <f>IF(C86="","FR-"&amp;TEXT(COUNTA($C$5:C86),"000"))</f>
        <v/>
      </c>
      <c r="C86" s="16" t="n"/>
      <c r="D86" s="16" t="n"/>
      <c r="E86" s="16" t="n"/>
      <c r="F86" s="17" t="n"/>
      <c r="G86" s="17" t="n"/>
      <c r="H86" s="17" t="n"/>
      <c r="I86" s="17">
        <f>IF(OR(F86="",G86="",H86=""),"",IF(G86=F86,"N/A",(H86-F86)/(G86-F86)))</f>
        <v/>
      </c>
      <c r="J86" s="16" t="n"/>
      <c r="K86" s="16" t="n"/>
      <c r="L86" s="16" t="n"/>
      <c r="M86" s="16" t="n"/>
    </row>
    <row r="87" ht="22" customHeight="1">
      <c r="B87" s="20">
        <f>IF(C87="","FR-"&amp;TEXT(COUNTA($C$5:C87),"000"))</f>
        <v/>
      </c>
      <c r="C87" s="13" t="n"/>
      <c r="D87" s="13" t="n"/>
      <c r="E87" s="13" t="n"/>
      <c r="F87" s="14" t="n"/>
      <c r="G87" s="14" t="n"/>
      <c r="H87" s="14" t="n"/>
      <c r="I87" s="14">
        <f>IF(OR(F87="",G87="",H87=""),"",IF(G87=F87,"N/A",(H87-F87)/(G87-F87)))</f>
        <v/>
      </c>
      <c r="J87" s="13" t="n"/>
      <c r="K87" s="13" t="n"/>
      <c r="L87" s="13" t="n"/>
      <c r="M87" s="13" t="n"/>
    </row>
    <row r="88" ht="22" customHeight="1">
      <c r="B88" s="19">
        <f>IF(C88="","FR-"&amp;TEXT(COUNTA($C$5:C88),"000"))</f>
        <v/>
      </c>
      <c r="C88" s="16" t="n"/>
      <c r="D88" s="16" t="n"/>
      <c r="E88" s="16" t="n"/>
      <c r="F88" s="17" t="n"/>
      <c r="G88" s="17" t="n"/>
      <c r="H88" s="17" t="n"/>
      <c r="I88" s="17">
        <f>IF(OR(F88="",G88="",H88=""),"",IF(G88=F88,"N/A",(H88-F88)/(G88-F88)))</f>
        <v/>
      </c>
      <c r="J88" s="16" t="n"/>
      <c r="K88" s="16" t="n"/>
      <c r="L88" s="16" t="n"/>
      <c r="M88" s="16" t="n"/>
    </row>
    <row r="89" ht="22" customHeight="1">
      <c r="B89" s="20">
        <f>IF(C89="","FR-"&amp;TEXT(COUNTA($C$5:C89),"000"))</f>
        <v/>
      </c>
      <c r="C89" s="13" t="n"/>
      <c r="D89" s="13" t="n"/>
      <c r="E89" s="13" t="n"/>
      <c r="F89" s="14" t="n"/>
      <c r="G89" s="14" t="n"/>
      <c r="H89" s="14" t="n"/>
      <c r="I89" s="14">
        <f>IF(OR(F89="",G89="",H89=""),"",IF(G89=F89,"N/A",(H89-F89)/(G89-F89)))</f>
        <v/>
      </c>
      <c r="J89" s="13" t="n"/>
      <c r="K89" s="13" t="n"/>
      <c r="L89" s="13" t="n"/>
      <c r="M89" s="13" t="n"/>
    </row>
    <row r="90" ht="22" customHeight="1">
      <c r="B90" s="19">
        <f>IF(C90="","FR-"&amp;TEXT(COUNTA($C$5:C90),"000"))</f>
        <v/>
      </c>
      <c r="C90" s="16" t="n"/>
      <c r="D90" s="16" t="n"/>
      <c r="E90" s="16" t="n"/>
      <c r="F90" s="17" t="n"/>
      <c r="G90" s="17" t="n"/>
      <c r="H90" s="17" t="n"/>
      <c r="I90" s="17">
        <f>IF(OR(F90="",G90="",H90=""),"",IF(G90=F90,"N/A",(H90-F90)/(G90-F90)))</f>
        <v/>
      </c>
      <c r="J90" s="16" t="n"/>
      <c r="K90" s="16" t="n"/>
      <c r="L90" s="16" t="n"/>
      <c r="M90" s="16" t="n"/>
    </row>
    <row r="91" ht="22" customHeight="1">
      <c r="B91" s="20">
        <f>IF(C91="","FR-"&amp;TEXT(COUNTA($C$5:C91),"000"))</f>
        <v/>
      </c>
      <c r="C91" s="13" t="n"/>
      <c r="D91" s="13" t="n"/>
      <c r="E91" s="13" t="n"/>
      <c r="F91" s="14" t="n"/>
      <c r="G91" s="14" t="n"/>
      <c r="H91" s="14" t="n"/>
      <c r="I91" s="14">
        <f>IF(OR(F91="",G91="",H91=""),"",IF(G91=F91,"N/A",(H91-F91)/(G91-F91)))</f>
        <v/>
      </c>
      <c r="J91" s="13" t="n"/>
      <c r="K91" s="13" t="n"/>
      <c r="L91" s="13" t="n"/>
      <c r="M91" s="13" t="n"/>
    </row>
    <row r="92" ht="22" customHeight="1">
      <c r="B92" s="19">
        <f>IF(C92="","FR-"&amp;TEXT(COUNTA($C$5:C92),"000"))</f>
        <v/>
      </c>
      <c r="C92" s="16" t="n"/>
      <c r="D92" s="16" t="n"/>
      <c r="E92" s="16" t="n"/>
      <c r="F92" s="17" t="n"/>
      <c r="G92" s="17" t="n"/>
      <c r="H92" s="17" t="n"/>
      <c r="I92" s="17">
        <f>IF(OR(F92="",G92="",H92=""),"",IF(G92=F92,"N/A",(H92-F92)/(G92-F92)))</f>
        <v/>
      </c>
      <c r="J92" s="16" t="n"/>
      <c r="K92" s="16" t="n"/>
      <c r="L92" s="16" t="n"/>
      <c r="M92" s="16" t="n"/>
    </row>
    <row r="93" ht="22" customHeight="1">
      <c r="B93" s="20">
        <f>IF(C93="","FR-"&amp;TEXT(COUNTA($C$5:C93),"000"))</f>
        <v/>
      </c>
      <c r="C93" s="13" t="n"/>
      <c r="D93" s="13" t="n"/>
      <c r="E93" s="13" t="n"/>
      <c r="F93" s="14" t="n"/>
      <c r="G93" s="14" t="n"/>
      <c r="H93" s="14" t="n"/>
      <c r="I93" s="14">
        <f>IF(OR(F93="",G93="",H93=""),"",IF(G93=F93,"N/A",(H93-F93)/(G93-F93)))</f>
        <v/>
      </c>
      <c r="J93" s="13" t="n"/>
      <c r="K93" s="13" t="n"/>
      <c r="L93" s="13" t="n"/>
      <c r="M93" s="13" t="n"/>
    </row>
    <row r="94" ht="22" customHeight="1">
      <c r="B94" s="19">
        <f>IF(C94="","FR-"&amp;TEXT(COUNTA($C$5:C94),"000"))</f>
        <v/>
      </c>
      <c r="C94" s="16" t="n"/>
      <c r="D94" s="16" t="n"/>
      <c r="E94" s="16" t="n"/>
      <c r="F94" s="17" t="n"/>
      <c r="G94" s="17" t="n"/>
      <c r="H94" s="17" t="n"/>
      <c r="I94" s="17">
        <f>IF(OR(F94="",G94="",H94=""),"",IF(G94=F94,"N/A",(H94-F94)/(G94-F94)))</f>
        <v/>
      </c>
      <c r="J94" s="16" t="n"/>
      <c r="K94" s="16" t="n"/>
      <c r="L94" s="16" t="n"/>
      <c r="M94" s="16" t="n"/>
    </row>
    <row r="95" ht="22" customHeight="1">
      <c r="B95" s="20">
        <f>IF(C95="","FR-"&amp;TEXT(COUNTA($C$5:C95),"000"))</f>
        <v/>
      </c>
      <c r="C95" s="13" t="n"/>
      <c r="D95" s="13" t="n"/>
      <c r="E95" s="13" t="n"/>
      <c r="F95" s="14" t="n"/>
      <c r="G95" s="14" t="n"/>
      <c r="H95" s="14" t="n"/>
      <c r="I95" s="14">
        <f>IF(OR(F95="",G95="",H95=""),"",IF(G95=F95,"N/A",(H95-F95)/(G95-F95)))</f>
        <v/>
      </c>
      <c r="J95" s="13" t="n"/>
      <c r="K95" s="13" t="n"/>
      <c r="L95" s="13" t="n"/>
      <c r="M95" s="13" t="n"/>
    </row>
    <row r="96" ht="22" customHeight="1">
      <c r="B96" s="19">
        <f>IF(C96="","FR-"&amp;TEXT(COUNTA($C$5:C96),"000"))</f>
        <v/>
      </c>
      <c r="C96" s="16" t="n"/>
      <c r="D96" s="16" t="n"/>
      <c r="E96" s="16" t="n"/>
      <c r="F96" s="17" t="n"/>
      <c r="G96" s="17" t="n"/>
      <c r="H96" s="17" t="n"/>
      <c r="I96" s="17">
        <f>IF(OR(F96="",G96="",H96=""),"",IF(G96=F96,"N/A",(H96-F96)/(G96-F96)))</f>
        <v/>
      </c>
      <c r="J96" s="16" t="n"/>
      <c r="K96" s="16" t="n"/>
      <c r="L96" s="16" t="n"/>
      <c r="M96" s="16" t="n"/>
    </row>
    <row r="97" ht="22" customHeight="1">
      <c r="B97" s="20">
        <f>IF(C97="","FR-"&amp;TEXT(COUNTA($C$5:C97),"000"))</f>
        <v/>
      </c>
      <c r="C97" s="13" t="n"/>
      <c r="D97" s="13" t="n"/>
      <c r="E97" s="13" t="n"/>
      <c r="F97" s="14" t="n"/>
      <c r="G97" s="14" t="n"/>
      <c r="H97" s="14" t="n"/>
      <c r="I97" s="14">
        <f>IF(OR(F97="",G97="",H97=""),"",IF(G97=F97,"N/A",(H97-F97)/(G97-F97)))</f>
        <v/>
      </c>
      <c r="J97" s="13" t="n"/>
      <c r="K97" s="13" t="n"/>
      <c r="L97" s="13" t="n"/>
      <c r="M97" s="13" t="n"/>
    </row>
    <row r="98" ht="22" customHeight="1">
      <c r="B98" s="19">
        <f>IF(C98="","FR-"&amp;TEXT(COUNTA($C$5:C98),"000"))</f>
        <v/>
      </c>
      <c r="C98" s="16" t="n"/>
      <c r="D98" s="16" t="n"/>
      <c r="E98" s="16" t="n"/>
      <c r="F98" s="17" t="n"/>
      <c r="G98" s="17" t="n"/>
      <c r="H98" s="17" t="n"/>
      <c r="I98" s="17">
        <f>IF(OR(F98="",G98="",H98=""),"",IF(G98=F98,"N/A",(H98-F98)/(G98-F98)))</f>
        <v/>
      </c>
      <c r="J98" s="16" t="n"/>
      <c r="K98" s="16" t="n"/>
      <c r="L98" s="16" t="n"/>
      <c r="M98" s="16" t="n"/>
    </row>
    <row r="99" ht="22" customHeight="1">
      <c r="B99" s="20">
        <f>IF(C99="","FR-"&amp;TEXT(COUNTA($C$5:C99),"000"))</f>
        <v/>
      </c>
      <c r="C99" s="13" t="n"/>
      <c r="D99" s="13" t="n"/>
      <c r="E99" s="13" t="n"/>
      <c r="F99" s="14" t="n"/>
      <c r="G99" s="14" t="n"/>
      <c r="H99" s="14" t="n"/>
      <c r="I99" s="14">
        <f>IF(OR(F99="",G99="",H99=""),"",IF(G99=F99,"N/A",(H99-F99)/(G99-F99)))</f>
        <v/>
      </c>
      <c r="J99" s="13" t="n"/>
      <c r="K99" s="13" t="n"/>
      <c r="L99" s="13" t="n"/>
      <c r="M99" s="13" t="n"/>
    </row>
    <row r="100" ht="22" customHeight="1">
      <c r="B100" s="19">
        <f>IF(C100="","FR-"&amp;TEXT(COUNTA($C$5:C100),"000"))</f>
        <v/>
      </c>
      <c r="C100" s="16" t="n"/>
      <c r="D100" s="16" t="n"/>
      <c r="E100" s="16" t="n"/>
      <c r="F100" s="17" t="n"/>
      <c r="G100" s="17" t="n"/>
      <c r="H100" s="17" t="n"/>
      <c r="I100" s="17">
        <f>IF(OR(F100="",G100="",H100=""),"",IF(G100=F100,"N/A",(H100-F100)/(G100-F100)))</f>
        <v/>
      </c>
      <c r="J100" s="16" t="n"/>
      <c r="K100" s="16" t="n"/>
      <c r="L100" s="16" t="n"/>
      <c r="M100" s="16" t="n"/>
    </row>
    <row r="101" ht="22" customHeight="1">
      <c r="B101" s="20">
        <f>IF(C101="","FR-"&amp;TEXT(COUNTA($C$5:C101),"000"))</f>
        <v/>
      </c>
      <c r="C101" s="13" t="n"/>
      <c r="D101" s="13" t="n"/>
      <c r="E101" s="13" t="n"/>
      <c r="F101" s="14" t="n"/>
      <c r="G101" s="14" t="n"/>
      <c r="H101" s="14" t="n"/>
      <c r="I101" s="14">
        <f>IF(OR(F101="",G101="",H101=""),"",IF(G101=F101,"N/A",(H101-F101)/(G101-F101)))</f>
        <v/>
      </c>
      <c r="J101" s="13" t="n"/>
      <c r="K101" s="13" t="n"/>
      <c r="L101" s="13" t="n"/>
      <c r="M101" s="13" t="n"/>
    </row>
    <row r="102" ht="22" customHeight="1">
      <c r="B102" s="19">
        <f>IF(C102="","FR-"&amp;TEXT(COUNTA($C$5:C102),"000"))</f>
        <v/>
      </c>
      <c r="C102" s="16" t="n"/>
      <c r="D102" s="16" t="n"/>
      <c r="E102" s="16" t="n"/>
      <c r="F102" s="17" t="n"/>
      <c r="G102" s="17" t="n"/>
      <c r="H102" s="17" t="n"/>
      <c r="I102" s="17">
        <f>IF(OR(F102="",G102="",H102=""),"",IF(G102=F102,"N/A",(H102-F102)/(G102-F102)))</f>
        <v/>
      </c>
      <c r="J102" s="16" t="n"/>
      <c r="K102" s="16" t="n"/>
      <c r="L102" s="16" t="n"/>
      <c r="M102" s="16" t="n"/>
    </row>
    <row r="103" ht="22" customHeight="1">
      <c r="B103" s="20">
        <f>IF(C103="","FR-"&amp;TEXT(COUNTA($C$5:C103),"000"))</f>
        <v/>
      </c>
      <c r="C103" s="13" t="n"/>
      <c r="D103" s="13" t="n"/>
      <c r="E103" s="13" t="n"/>
      <c r="F103" s="14" t="n"/>
      <c r="G103" s="14" t="n"/>
      <c r="H103" s="14" t="n"/>
      <c r="I103" s="14">
        <f>IF(OR(F103="",G103="",H103=""),"",IF(G103=F103,"N/A",(H103-F103)/(G103-F103)))</f>
        <v/>
      </c>
      <c r="J103" s="13" t="n"/>
      <c r="K103" s="13" t="n"/>
      <c r="L103" s="13" t="n"/>
      <c r="M103" s="13" t="n"/>
    </row>
    <row r="104" ht="22" customHeight="1">
      <c r="B104" s="19">
        <f>IF(C104="","FR-"&amp;TEXT(COUNTA($C$5:C104),"000"))</f>
        <v/>
      </c>
      <c r="C104" s="16" t="n"/>
      <c r="D104" s="16" t="n"/>
      <c r="E104" s="16" t="n"/>
      <c r="F104" s="17" t="n"/>
      <c r="G104" s="17" t="n"/>
      <c r="H104" s="17" t="n"/>
      <c r="I104" s="17">
        <f>IF(OR(F104="",G104="",H104=""),"",IF(G104=F104,"N/A",(H104-F104)/(G104-F104)))</f>
        <v/>
      </c>
      <c r="J104" s="16" t="n"/>
      <c r="K104" s="16" t="n"/>
      <c r="L104" s="16" t="n"/>
      <c r="M104" s="16" t="n"/>
    </row>
    <row r="105" ht="22" customHeight="1">
      <c r="B105" s="20">
        <f>IF(C105="","FR-"&amp;TEXT(COUNTA($C$5:C105),"000"))</f>
        <v/>
      </c>
      <c r="C105" s="13" t="n"/>
      <c r="D105" s="13" t="n"/>
      <c r="E105" s="13" t="n"/>
      <c r="F105" s="14" t="n"/>
      <c r="G105" s="14" t="n"/>
      <c r="H105" s="14" t="n"/>
      <c r="I105" s="14">
        <f>IF(OR(F105="",G105="",H105=""),"",IF(G105=F105,"N/A",(H105-F105)/(G105-F105)))</f>
        <v/>
      </c>
      <c r="J105" s="13" t="n"/>
      <c r="K105" s="13" t="n"/>
      <c r="L105" s="13" t="n"/>
      <c r="M105" s="13" t="n"/>
    </row>
    <row r="106" ht="22" customHeight="1">
      <c r="B106" s="19">
        <f>IF(C106="","FR-"&amp;TEXT(COUNTA($C$5:C106),"000"))</f>
        <v/>
      </c>
      <c r="C106" s="16" t="n"/>
      <c r="D106" s="16" t="n"/>
      <c r="E106" s="16" t="n"/>
      <c r="F106" s="17" t="n"/>
      <c r="G106" s="17" t="n"/>
      <c r="H106" s="17" t="n"/>
      <c r="I106" s="17">
        <f>IF(OR(F106="",G106="",H106=""),"",IF(G106=F106,"N/A",(H106-F106)/(G106-F106)))</f>
        <v/>
      </c>
      <c r="J106" s="16" t="n"/>
      <c r="K106" s="16" t="n"/>
      <c r="L106" s="16" t="n"/>
      <c r="M106" s="16" t="n"/>
    </row>
    <row r="107" ht="22" customHeight="1">
      <c r="B107" s="20">
        <f>IF(C107="","FR-"&amp;TEXT(COUNTA($C$5:C107),"000"))</f>
        <v/>
      </c>
      <c r="C107" s="13" t="n"/>
      <c r="D107" s="13" t="n"/>
      <c r="E107" s="13" t="n"/>
      <c r="F107" s="14" t="n"/>
      <c r="G107" s="14" t="n"/>
      <c r="H107" s="14" t="n"/>
      <c r="I107" s="14">
        <f>IF(OR(F107="",G107="",H107=""),"",IF(G107=F107,"N/A",(H107-F107)/(G107-F107)))</f>
        <v/>
      </c>
      <c r="J107" s="13" t="n"/>
      <c r="K107" s="13" t="n"/>
      <c r="L107" s="13" t="n"/>
      <c r="M107" s="13" t="n"/>
    </row>
    <row r="108" ht="22" customHeight="1">
      <c r="B108" s="19">
        <f>IF(C108="","FR-"&amp;TEXT(COUNTA($C$5:C108),"000"))</f>
        <v/>
      </c>
      <c r="C108" s="16" t="n"/>
      <c r="D108" s="16" t="n"/>
      <c r="E108" s="16" t="n"/>
      <c r="F108" s="17" t="n"/>
      <c r="G108" s="17" t="n"/>
      <c r="H108" s="17" t="n"/>
      <c r="I108" s="17">
        <f>IF(OR(F108="",G108="",H108=""),"",IF(G108=F108,"N/A",(H108-F108)/(G108-F108)))</f>
        <v/>
      </c>
      <c r="J108" s="16" t="n"/>
      <c r="K108" s="16" t="n"/>
      <c r="L108" s="16" t="n"/>
      <c r="M108" s="16" t="n"/>
    </row>
    <row r="109" ht="22" customHeight="1">
      <c r="B109" s="20">
        <f>IF(C109="","FR-"&amp;TEXT(COUNTA($C$5:C109),"000"))</f>
        <v/>
      </c>
      <c r="C109" s="13" t="n"/>
      <c r="D109" s="13" t="n"/>
      <c r="E109" s="13" t="n"/>
      <c r="F109" s="14" t="n"/>
      <c r="G109" s="14" t="n"/>
      <c r="H109" s="14" t="n"/>
      <c r="I109" s="14">
        <f>IF(OR(F109="",G109="",H109=""),"",IF(G109=F109,"N/A",(H109-F109)/(G109-F109)))</f>
        <v/>
      </c>
      <c r="J109" s="13" t="n"/>
      <c r="K109" s="13" t="n"/>
      <c r="L109" s="13" t="n"/>
      <c r="M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Axes strategiques</t>
        </is>
      </c>
      <c r="D112" s="3" t="inlineStr">
        <is>
          <t>Progression moy. (%)</t>
        </is>
      </c>
      <c r="F112" s="3" t="inlineStr">
        <is>
          <t>Priorite critique</t>
        </is>
      </c>
    </row>
    <row r="113">
      <c r="B113" s="4">
        <f>COUNTIF(B5:B104,"&lt;&gt;")</f>
        <v/>
      </c>
      <c r="D113" s="4">
        <f>IFERROR(AVERAGE(I5:I104),0)</f>
        <v/>
      </c>
      <c r="F113" s="4">
        <f>COUNTIF(J5:J104,"Critique")</f>
        <v/>
      </c>
    </row>
  </sheetData>
  <mergeCells count="3">
    <mergeCell ref="B3:M3"/>
    <mergeCell ref="B2:M2"/>
    <mergeCell ref="B111:M111"/>
  </mergeCells>
  <conditionalFormatting sqref="L5:L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10:B109">
    <cfRule type="expression" priority="274" dxfId="3">
      <formula>AND($C10="",$C9&lt;&gt;"")</formula>
    </cfRule>
  </conditionalFormatting>
  <conditionalFormatting sqref="C10:C109">
    <cfRule type="expression" priority="275" dxfId="3">
      <formula>AND($C10="",$C9&lt;&gt;"")</formula>
    </cfRule>
  </conditionalFormatting>
  <conditionalFormatting sqref="D10:D109">
    <cfRule type="expression" priority="276" dxfId="3">
      <formula>AND($C10="",$C9&lt;&gt;"")</formula>
    </cfRule>
  </conditionalFormatting>
  <conditionalFormatting sqref="E10:E109">
    <cfRule type="expression" priority="277" dxfId="3">
      <formula>AND($C10="",$C9&lt;&gt;"")</formula>
    </cfRule>
  </conditionalFormatting>
  <conditionalFormatting sqref="F10:F109">
    <cfRule type="expression" priority="278" dxfId="3">
      <formula>AND($C10="",$C9&lt;&gt;"")</formula>
    </cfRule>
  </conditionalFormatting>
  <conditionalFormatting sqref="G10:G109">
    <cfRule type="expression" priority="279" dxfId="3">
      <formula>AND($C10="",$C9&lt;&gt;"")</formula>
    </cfRule>
  </conditionalFormatting>
  <conditionalFormatting sqref="H10:H109">
    <cfRule type="expression" priority="280" dxfId="3">
      <formula>AND($C10="",$C9&lt;&gt;"")</formula>
    </cfRule>
  </conditionalFormatting>
  <conditionalFormatting sqref="I10:I109">
    <cfRule type="expression" priority="281" dxfId="3">
      <formula>AND($C10="",$C9&lt;&gt;"")</formula>
    </cfRule>
  </conditionalFormatting>
  <conditionalFormatting sqref="J10:J109">
    <cfRule type="expression" priority="282" dxfId="3">
      <formula>AND($C10="",$C9&lt;&gt;"")</formula>
    </cfRule>
  </conditionalFormatting>
  <conditionalFormatting sqref="K10:K109">
    <cfRule type="expression" priority="283" dxfId="3">
      <formula>AND($C10="",$C9&lt;&gt;"")</formula>
    </cfRule>
  </conditionalFormatting>
  <conditionalFormatting sqref="L10:L109">
    <cfRule type="expression" priority="284" dxfId="3">
      <formula>AND($C10="",$C9&lt;&gt;"")</formula>
    </cfRule>
  </conditionalFormatting>
  <conditionalFormatting sqref="M10:M109">
    <cfRule type="expression" priority="285" dxfId="3">
      <formula>AND($C10="",$C9&lt;&gt;"")</formula>
    </cfRule>
  </conditionalFormatting>
  <dataValidations count="3">
    <dataValidation sqref="J5:J109" showDropDown="0" showInputMessage="0" showErrorMessage="0" allowBlank="1" errorTitle="Erreur" error="Valeur invalide" promptTitle="Liste" prompt="Choisir dans la liste" type="list">
      <formula1>'_Lists'!$K$2:$K$5</formula1>
    </dataValidation>
    <dataValidation sqref="K5:K109" showDropDown="0" showInputMessage="0" showErrorMessage="0" allowBlank="1" errorTitle="Erreur" error="Valeur invalide" promptTitle="Liste" prompt="Choisir dans la liste" type="list">
      <formula1>'_Lists'!$C$2:$C$28</formula1>
    </dataValidation>
    <dataValidation sqref="L5:L109" showDropDown="0" showInputMessage="0" showErrorMessage="0" allowBlank="1" errorTitle="Erreur" error="Valeur invalide" promptTitle="Liste" prompt="Choisir dans la liste" type="list">
      <formula1>'_Lists'!$L$2:$L$7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6" customWidth="1" min="4" max="4"/>
    <col width="12" customWidth="1" min="5" max="5"/>
    <col width="12" customWidth="1" min="6" max="6"/>
    <col width="20" customWidth="1" min="7" max="7"/>
    <col width="18" customWidth="1" min="8" max="8"/>
    <col width="20" customWidth="1" min="9" max="9"/>
    <col width="24" customWidth="1" min="10" max="10"/>
    <col width="24" customWidth="1" min="11" max="11"/>
    <col width="22" customWidth="1" min="12" max="12"/>
  </cols>
  <sheetData>
    <row r="1" ht="15" customHeight="1"/>
    <row r="2" ht="32" customHeight="1">
      <c r="B2" s="1" t="inlineStr">
        <is>
          <t>SUIVI KPI RH MENSUEL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Mois</t>
        </is>
      </c>
      <c r="D4" s="12" t="inlineStr">
        <is>
          <t>Effectif Total</t>
        </is>
      </c>
      <c r="E4" s="12" t="inlineStr">
        <is>
          <t>Entrees</t>
        </is>
      </c>
      <c r="F4" s="12" t="inlineStr">
        <is>
          <t>Sorties</t>
        </is>
      </c>
      <c r="G4" s="12" t="inlineStr">
        <is>
          <t>Taux Rotation (%)</t>
        </is>
      </c>
      <c r="H4" s="12" t="inlineStr">
        <is>
          <t>Absentéisme (%)</t>
        </is>
      </c>
      <c r="I4" s="12" t="inlineStr">
        <is>
          <t>Heures Formation</t>
        </is>
      </c>
      <c r="J4" s="12" t="inlineStr">
        <is>
          <t>H Formation / Employe</t>
        </is>
      </c>
      <c r="K4" s="12" t="inlineStr">
        <is>
          <t>Cout Recrutement (FCFA)</t>
        </is>
      </c>
      <c r="L4" s="12" t="inlineStr">
        <is>
          <t>Satisfaction Moyenne</t>
        </is>
      </c>
    </row>
    <row r="5" ht="22" customHeight="1">
      <c r="B5" s="13" t="inlineStr">
        <is>
          <t>SKM-001</t>
        </is>
      </c>
      <c r="C5" s="13" t="inlineStr">
        <is>
          <t>Janvier 2025</t>
        </is>
      </c>
      <c r="D5" s="22" t="n">
        <v>178</v>
      </c>
      <c r="E5" s="22" t="n">
        <v>5</v>
      </c>
      <c r="F5" s="22" t="n">
        <v>3</v>
      </c>
      <c r="G5" s="14" t="n"/>
      <c r="H5" s="14" t="n">
        <v>0.055</v>
      </c>
      <c r="I5" s="22" t="n">
        <v>180</v>
      </c>
      <c r="J5" s="40" t="n"/>
      <c r="K5" s="22" t="n">
        <v>350000</v>
      </c>
      <c r="L5" s="40" t="n">
        <v>3.7</v>
      </c>
    </row>
    <row r="6" ht="22" customHeight="1">
      <c r="B6" s="16" t="inlineStr">
        <is>
          <t>SKM-002</t>
        </is>
      </c>
      <c r="C6" s="16" t="inlineStr">
        <is>
          <t>Fevrier 2025</t>
        </is>
      </c>
      <c r="D6" s="24" t="n">
        <v>180</v>
      </c>
      <c r="E6" s="24" t="n">
        <v>4</v>
      </c>
      <c r="F6" s="24" t="n">
        <v>2</v>
      </c>
      <c r="G6" s="17" t="n"/>
      <c r="H6" s="17" t="n">
        <v>0.07000000000000001</v>
      </c>
      <c r="I6" s="24" t="n">
        <v>220</v>
      </c>
      <c r="J6" s="42" t="n"/>
      <c r="K6" s="24" t="n">
        <v>280000</v>
      </c>
      <c r="L6" s="42" t="n">
        <v>3.8</v>
      </c>
    </row>
    <row r="7" ht="22" customHeight="1">
      <c r="B7" s="13" t="inlineStr">
        <is>
          <t>SKM-003</t>
        </is>
      </c>
      <c r="C7" s="13" t="inlineStr">
        <is>
          <t>Mars 2025</t>
        </is>
      </c>
      <c r="D7" s="22" t="n">
        <v>185</v>
      </c>
      <c r="E7" s="22" t="n">
        <v>8</v>
      </c>
      <c r="F7" s="22" t="n">
        <v>3</v>
      </c>
      <c r="G7" s="14" t="n"/>
      <c r="H7" s="14" t="n">
        <v>0.065</v>
      </c>
      <c r="I7" s="22" t="n">
        <v>250</v>
      </c>
      <c r="J7" s="40" t="n"/>
      <c r="K7" s="22" t="n">
        <v>520000</v>
      </c>
      <c r="L7" s="40" t="n">
        <v>3.9</v>
      </c>
    </row>
    <row r="8" ht="22" customHeight="1">
      <c r="B8" s="19">
        <f>IF(C8="","SKM-"&amp;TEXT(COUNTA($C$5:C8),"000"))</f>
        <v/>
      </c>
      <c r="C8" s="16" t="n"/>
      <c r="D8" s="24" t="n"/>
      <c r="E8" s="24" t="n"/>
      <c r="F8" s="24" t="n"/>
      <c r="G8" s="17">
        <f>IF(D8="","",F8/D8)</f>
        <v/>
      </c>
      <c r="H8" s="17" t="n"/>
      <c r="I8" s="24" t="n"/>
      <c r="J8" s="42">
        <f>IF(D8="","",I8/D8)</f>
        <v/>
      </c>
      <c r="K8" s="24" t="n"/>
      <c r="L8" s="42" t="n"/>
    </row>
    <row r="9" ht="22" customHeight="1">
      <c r="B9" s="20">
        <f>IF(C9="","SKM-"&amp;TEXT(COUNTA($C$5:C9),"000"))</f>
        <v/>
      </c>
      <c r="C9" s="13" t="n"/>
      <c r="D9" s="22" t="n"/>
      <c r="E9" s="22" t="n"/>
      <c r="F9" s="22" t="n"/>
      <c r="G9" s="14">
        <f>IF(D9="","",F9/D9)</f>
        <v/>
      </c>
      <c r="H9" s="14" t="n"/>
      <c r="I9" s="22" t="n"/>
      <c r="J9" s="40">
        <f>IF(D9="","",I9/D9)</f>
        <v/>
      </c>
      <c r="K9" s="22" t="n"/>
      <c r="L9" s="40" t="n"/>
    </row>
    <row r="10" ht="22" customHeight="1">
      <c r="B10" s="19">
        <f>IF(C10="","SKM-"&amp;TEXT(COUNTA($C$5:C10),"000"))</f>
        <v/>
      </c>
      <c r="C10" s="16" t="n"/>
      <c r="D10" s="24" t="n"/>
      <c r="E10" s="24" t="n"/>
      <c r="F10" s="24" t="n"/>
      <c r="G10" s="17">
        <f>IF(D10="","",F10/D10)</f>
        <v/>
      </c>
      <c r="H10" s="17" t="n"/>
      <c r="I10" s="24" t="n"/>
      <c r="J10" s="42">
        <f>IF(D10="","",I10/D10)</f>
        <v/>
      </c>
      <c r="K10" s="24" t="n"/>
      <c r="L10" s="42" t="n"/>
    </row>
    <row r="11" ht="22" customHeight="1">
      <c r="B11" s="20">
        <f>IF(C11="","SKM-"&amp;TEXT(COUNTA($C$5:C11),"000"))</f>
        <v/>
      </c>
      <c r="C11" s="13" t="n"/>
      <c r="D11" s="22" t="n"/>
      <c r="E11" s="22" t="n"/>
      <c r="F11" s="22" t="n"/>
      <c r="G11" s="14">
        <f>IF(D11="","",F11/D11)</f>
        <v/>
      </c>
      <c r="H11" s="14" t="n"/>
      <c r="I11" s="22" t="n"/>
      <c r="J11" s="40">
        <f>IF(D11="","",I11/D11)</f>
        <v/>
      </c>
      <c r="K11" s="22" t="n"/>
      <c r="L11" s="40" t="n"/>
    </row>
    <row r="12" ht="22" customHeight="1">
      <c r="B12" s="19">
        <f>IF(C12="","SKM-"&amp;TEXT(COUNTA($C$5:C12),"000"))</f>
        <v/>
      </c>
      <c r="C12" s="16" t="n"/>
      <c r="D12" s="24" t="n"/>
      <c r="E12" s="24" t="n"/>
      <c r="F12" s="24" t="n"/>
      <c r="G12" s="17">
        <f>IF(D12="","",F12/D12)</f>
        <v/>
      </c>
      <c r="H12" s="17" t="n"/>
      <c r="I12" s="24" t="n"/>
      <c r="J12" s="42">
        <f>IF(D12="","",I12/D12)</f>
        <v/>
      </c>
      <c r="K12" s="24" t="n"/>
      <c r="L12" s="42" t="n"/>
    </row>
    <row r="13" ht="22" customHeight="1">
      <c r="B13" s="20">
        <f>IF(C13="","SKM-"&amp;TEXT(COUNTA($C$5:C13),"000"))</f>
        <v/>
      </c>
      <c r="C13" s="13" t="n"/>
      <c r="D13" s="22" t="n"/>
      <c r="E13" s="22" t="n"/>
      <c r="F13" s="22" t="n"/>
      <c r="G13" s="14">
        <f>IF(D13="","",F13/D13)</f>
        <v/>
      </c>
      <c r="H13" s="14" t="n"/>
      <c r="I13" s="22" t="n"/>
      <c r="J13" s="40">
        <f>IF(D13="","",I13/D13)</f>
        <v/>
      </c>
      <c r="K13" s="22" t="n"/>
      <c r="L13" s="40" t="n"/>
    </row>
    <row r="14" ht="22" customHeight="1">
      <c r="B14" s="19">
        <f>IF(C14="","SKM-"&amp;TEXT(COUNTA($C$5:C14),"000"))</f>
        <v/>
      </c>
      <c r="C14" s="16" t="n"/>
      <c r="D14" s="24" t="n"/>
      <c r="E14" s="24" t="n"/>
      <c r="F14" s="24" t="n"/>
      <c r="G14" s="17">
        <f>IF(D14="","",F14/D14)</f>
        <v/>
      </c>
      <c r="H14" s="17" t="n"/>
      <c r="I14" s="24" t="n"/>
      <c r="J14" s="42">
        <f>IF(D14="","",I14/D14)</f>
        <v/>
      </c>
      <c r="K14" s="24" t="n"/>
      <c r="L14" s="42" t="n"/>
    </row>
    <row r="15" ht="22" customHeight="1">
      <c r="B15" s="20">
        <f>IF(C15="","SKM-"&amp;TEXT(COUNTA($C$5:C15),"000"))</f>
        <v/>
      </c>
      <c r="C15" s="13" t="n"/>
      <c r="D15" s="22" t="n"/>
      <c r="E15" s="22" t="n"/>
      <c r="F15" s="22" t="n"/>
      <c r="G15" s="14">
        <f>IF(D15="","",F15/D15)</f>
        <v/>
      </c>
      <c r="H15" s="14" t="n"/>
      <c r="I15" s="22" t="n"/>
      <c r="J15" s="40">
        <f>IF(D15="","",I15/D15)</f>
        <v/>
      </c>
      <c r="K15" s="22" t="n"/>
      <c r="L15" s="40" t="n"/>
    </row>
    <row r="16" ht="22" customHeight="1">
      <c r="B16" s="19">
        <f>IF(C16="","SKM-"&amp;TEXT(COUNTA($C$5:C16),"000"))</f>
        <v/>
      </c>
      <c r="C16" s="16" t="n"/>
      <c r="D16" s="24" t="n"/>
      <c r="E16" s="24" t="n"/>
      <c r="F16" s="24" t="n"/>
      <c r="G16" s="17">
        <f>IF(D16="","",F16/D16)</f>
        <v/>
      </c>
      <c r="H16" s="17" t="n"/>
      <c r="I16" s="24" t="n"/>
      <c r="J16" s="42">
        <f>IF(D16="","",I16/D16)</f>
        <v/>
      </c>
      <c r="K16" s="24" t="n"/>
      <c r="L16" s="42" t="n"/>
    </row>
    <row r="17" ht="22" customHeight="1">
      <c r="B17" s="20">
        <f>IF(C17="","SKM-"&amp;TEXT(COUNTA($C$5:C17),"000"))</f>
        <v/>
      </c>
      <c r="C17" s="13" t="n"/>
      <c r="D17" s="22" t="n"/>
      <c r="E17" s="22" t="n"/>
      <c r="F17" s="22" t="n"/>
      <c r="G17" s="14">
        <f>IF(D17="","",F17/D17)</f>
        <v/>
      </c>
      <c r="H17" s="14" t="n"/>
      <c r="I17" s="22" t="n"/>
      <c r="J17" s="40">
        <f>IF(D17="","",I17/D17)</f>
        <v/>
      </c>
      <c r="K17" s="22" t="n"/>
      <c r="L17" s="40" t="n"/>
    </row>
    <row r="18" ht="22" customHeight="1">
      <c r="B18" s="19">
        <f>IF(C18="","SKM-"&amp;TEXT(COUNTA($C$5:C18),"000"))</f>
        <v/>
      </c>
      <c r="C18" s="16" t="n"/>
      <c r="D18" s="24" t="n"/>
      <c r="E18" s="24" t="n"/>
      <c r="F18" s="24" t="n"/>
      <c r="G18" s="17">
        <f>IF(D18="","",F18/D18)</f>
        <v/>
      </c>
      <c r="H18" s="17" t="n"/>
      <c r="I18" s="24" t="n"/>
      <c r="J18" s="42">
        <f>IF(D18="","",I18/D18)</f>
        <v/>
      </c>
      <c r="K18" s="24" t="n"/>
      <c r="L18" s="42" t="n"/>
    </row>
    <row r="19" ht="22" customHeight="1">
      <c r="B19" s="20">
        <f>IF(C19="","SKM-"&amp;TEXT(COUNTA($C$5:C19),"000"))</f>
        <v/>
      </c>
      <c r="C19" s="13" t="n"/>
      <c r="D19" s="22" t="n"/>
      <c r="E19" s="22" t="n"/>
      <c r="F19" s="22" t="n"/>
      <c r="G19" s="14">
        <f>IF(D19="","",F19/D19)</f>
        <v/>
      </c>
      <c r="H19" s="14" t="n"/>
      <c r="I19" s="22" t="n"/>
      <c r="J19" s="40">
        <f>IF(D19="","",I19/D19)</f>
        <v/>
      </c>
      <c r="K19" s="22" t="n"/>
      <c r="L19" s="40" t="n"/>
    </row>
    <row r="20" ht="22" customHeight="1">
      <c r="B20" s="19">
        <f>IF(C20="","SKM-"&amp;TEXT(COUNTA($C$5:C20),"000"))</f>
        <v/>
      </c>
      <c r="C20" s="16" t="n"/>
      <c r="D20" s="24" t="n"/>
      <c r="E20" s="24" t="n"/>
      <c r="F20" s="24" t="n"/>
      <c r="G20" s="17">
        <f>IF(D20="","",F20/D20)</f>
        <v/>
      </c>
      <c r="H20" s="17" t="n"/>
      <c r="I20" s="24" t="n"/>
      <c r="J20" s="42">
        <f>IF(D20="","",I20/D20)</f>
        <v/>
      </c>
      <c r="K20" s="24" t="n"/>
      <c r="L20" s="42" t="n"/>
    </row>
    <row r="21" ht="22" customHeight="1">
      <c r="B21" s="20">
        <f>IF(C21="","SKM-"&amp;TEXT(COUNTA($C$5:C21),"000"))</f>
        <v/>
      </c>
      <c r="C21" s="13" t="n"/>
      <c r="D21" s="22" t="n"/>
      <c r="E21" s="22" t="n"/>
      <c r="F21" s="22" t="n"/>
      <c r="G21" s="14">
        <f>IF(D21="","",F21/D21)</f>
        <v/>
      </c>
      <c r="H21" s="14" t="n"/>
      <c r="I21" s="22" t="n"/>
      <c r="J21" s="40">
        <f>IF(D21="","",I21/D21)</f>
        <v/>
      </c>
      <c r="K21" s="22" t="n"/>
      <c r="L21" s="40" t="n"/>
    </row>
    <row r="22" ht="22" customHeight="1">
      <c r="B22" s="19">
        <f>IF(C22="","SKM-"&amp;TEXT(COUNTA($C$5:C22),"000"))</f>
        <v/>
      </c>
      <c r="C22" s="16" t="n"/>
      <c r="D22" s="24" t="n"/>
      <c r="E22" s="24" t="n"/>
      <c r="F22" s="24" t="n"/>
      <c r="G22" s="17">
        <f>IF(D22="","",F22/D22)</f>
        <v/>
      </c>
      <c r="H22" s="17" t="n"/>
      <c r="I22" s="24" t="n"/>
      <c r="J22" s="42">
        <f>IF(D22="","",I22/D22)</f>
        <v/>
      </c>
      <c r="K22" s="24" t="n"/>
      <c r="L22" s="42" t="n"/>
    </row>
    <row r="23" ht="22" customHeight="1">
      <c r="B23" s="20">
        <f>IF(C23="","SKM-"&amp;TEXT(COUNTA($C$5:C23),"000"))</f>
        <v/>
      </c>
      <c r="C23" s="13" t="n"/>
      <c r="D23" s="22" t="n"/>
      <c r="E23" s="22" t="n"/>
      <c r="F23" s="22" t="n"/>
      <c r="G23" s="14">
        <f>IF(D23="","",F23/D23)</f>
        <v/>
      </c>
      <c r="H23" s="14" t="n"/>
      <c r="I23" s="22" t="n"/>
      <c r="J23" s="40">
        <f>IF(D23="","",I23/D23)</f>
        <v/>
      </c>
      <c r="K23" s="22" t="n"/>
      <c r="L23" s="40" t="n"/>
    </row>
    <row r="24" ht="22" customHeight="1">
      <c r="B24" s="19">
        <f>IF(C24="","SKM-"&amp;TEXT(COUNTA($C$5:C24),"000"))</f>
        <v/>
      </c>
      <c r="C24" s="16" t="n"/>
      <c r="D24" s="24" t="n"/>
      <c r="E24" s="24" t="n"/>
      <c r="F24" s="24" t="n"/>
      <c r="G24" s="17">
        <f>IF(D24="","",F24/D24)</f>
        <v/>
      </c>
      <c r="H24" s="17" t="n"/>
      <c r="I24" s="24" t="n"/>
      <c r="J24" s="42">
        <f>IF(D24="","",I24/D24)</f>
        <v/>
      </c>
      <c r="K24" s="24" t="n"/>
      <c r="L24" s="42" t="n"/>
    </row>
    <row r="25" ht="22" customHeight="1">
      <c r="B25" s="20">
        <f>IF(C25="","SKM-"&amp;TEXT(COUNTA($C$5:C25),"000"))</f>
        <v/>
      </c>
      <c r="C25" s="13" t="n"/>
      <c r="D25" s="22" t="n"/>
      <c r="E25" s="22" t="n"/>
      <c r="F25" s="22" t="n"/>
      <c r="G25" s="14">
        <f>IF(D25="","",F25/D25)</f>
        <v/>
      </c>
      <c r="H25" s="14" t="n"/>
      <c r="I25" s="22" t="n"/>
      <c r="J25" s="40">
        <f>IF(D25="","",I25/D25)</f>
        <v/>
      </c>
      <c r="K25" s="22" t="n"/>
      <c r="L25" s="40" t="n"/>
    </row>
    <row r="26" ht="22" customHeight="1">
      <c r="B26" s="19">
        <f>IF(C26="","SKM-"&amp;TEXT(COUNTA($C$5:C26),"000"))</f>
        <v/>
      </c>
      <c r="C26" s="16" t="n"/>
      <c r="D26" s="24" t="n"/>
      <c r="E26" s="24" t="n"/>
      <c r="F26" s="24" t="n"/>
      <c r="G26" s="17">
        <f>IF(D26="","",F26/D26)</f>
        <v/>
      </c>
      <c r="H26" s="17" t="n"/>
      <c r="I26" s="24" t="n"/>
      <c r="J26" s="42">
        <f>IF(D26="","",I26/D26)</f>
        <v/>
      </c>
      <c r="K26" s="24" t="n"/>
      <c r="L26" s="42" t="n"/>
    </row>
    <row r="27" ht="22" customHeight="1">
      <c r="B27" s="20">
        <f>IF(C27="","SKM-"&amp;TEXT(COUNTA($C$5:C27),"000"))</f>
        <v/>
      </c>
      <c r="C27" s="13" t="n"/>
      <c r="D27" s="22" t="n"/>
      <c r="E27" s="22" t="n"/>
      <c r="F27" s="22" t="n"/>
      <c r="G27" s="14">
        <f>IF(D27="","",F27/D27)</f>
        <v/>
      </c>
      <c r="H27" s="14" t="n"/>
      <c r="I27" s="22" t="n"/>
      <c r="J27" s="40">
        <f>IF(D27="","",I27/D27)</f>
        <v/>
      </c>
      <c r="K27" s="22" t="n"/>
      <c r="L27" s="40" t="n"/>
    </row>
    <row r="28" ht="22" customHeight="1">
      <c r="B28" s="19">
        <f>IF(C28="","SKM-"&amp;TEXT(COUNTA($C$5:C28),"000"))</f>
        <v/>
      </c>
      <c r="C28" s="16" t="n"/>
      <c r="D28" s="24" t="n"/>
      <c r="E28" s="24" t="n"/>
      <c r="F28" s="24" t="n"/>
      <c r="G28" s="17">
        <f>IF(D28="","",F28/D28)</f>
        <v/>
      </c>
      <c r="H28" s="17" t="n"/>
      <c r="I28" s="24" t="n"/>
      <c r="J28" s="42">
        <f>IF(D28="","",I28/D28)</f>
        <v/>
      </c>
      <c r="K28" s="24" t="n"/>
      <c r="L28" s="42" t="n"/>
    </row>
    <row r="29" ht="22" customHeight="1">
      <c r="B29" s="20">
        <f>IF(C29="","SKM-"&amp;TEXT(COUNTA($C$5:C29),"000"))</f>
        <v/>
      </c>
      <c r="C29" s="13" t="n"/>
      <c r="D29" s="22" t="n"/>
      <c r="E29" s="22" t="n"/>
      <c r="F29" s="22" t="n"/>
      <c r="G29" s="14">
        <f>IF(D29="","",F29/D29)</f>
        <v/>
      </c>
      <c r="H29" s="14" t="n"/>
      <c r="I29" s="22" t="n"/>
      <c r="J29" s="40">
        <f>IF(D29="","",I29/D29)</f>
        <v/>
      </c>
      <c r="K29" s="22" t="n"/>
      <c r="L29" s="40" t="n"/>
    </row>
    <row r="30" ht="22" customHeight="1">
      <c r="B30" s="19">
        <f>IF(C30="","SKM-"&amp;TEXT(COUNTA($C$5:C30),"000"))</f>
        <v/>
      </c>
      <c r="C30" s="16" t="n"/>
      <c r="D30" s="24" t="n"/>
      <c r="E30" s="24" t="n"/>
      <c r="F30" s="24" t="n"/>
      <c r="G30" s="17">
        <f>IF(D30="","",F30/D30)</f>
        <v/>
      </c>
      <c r="H30" s="17" t="n"/>
      <c r="I30" s="24" t="n"/>
      <c r="J30" s="42">
        <f>IF(D30="","",I30/D30)</f>
        <v/>
      </c>
      <c r="K30" s="24" t="n"/>
      <c r="L30" s="42" t="n"/>
    </row>
    <row r="31" ht="22" customHeight="1">
      <c r="B31" s="20">
        <f>IF(C31="","SKM-"&amp;TEXT(COUNTA($C$5:C31),"000"))</f>
        <v/>
      </c>
      <c r="C31" s="13" t="n"/>
      <c r="D31" s="22" t="n"/>
      <c r="E31" s="22" t="n"/>
      <c r="F31" s="22" t="n"/>
      <c r="G31" s="14">
        <f>IF(D31="","",F31/D31)</f>
        <v/>
      </c>
      <c r="H31" s="14" t="n"/>
      <c r="I31" s="22" t="n"/>
      <c r="J31" s="40">
        <f>IF(D31="","",I31/D31)</f>
        <v/>
      </c>
      <c r="K31" s="22" t="n"/>
      <c r="L31" s="40" t="n"/>
    </row>
    <row r="32" ht="22" customHeight="1">
      <c r="B32" s="19">
        <f>IF(C32="","SKM-"&amp;TEXT(COUNTA($C$5:C32),"000"))</f>
        <v/>
      </c>
      <c r="C32" s="16" t="n"/>
      <c r="D32" s="24" t="n"/>
      <c r="E32" s="24" t="n"/>
      <c r="F32" s="24" t="n"/>
      <c r="G32" s="17">
        <f>IF(D32="","",F32/D32)</f>
        <v/>
      </c>
      <c r="H32" s="17" t="n"/>
      <c r="I32" s="24" t="n"/>
      <c r="J32" s="42">
        <f>IF(D32="","",I32/D32)</f>
        <v/>
      </c>
      <c r="K32" s="24" t="n"/>
      <c r="L32" s="42" t="n"/>
    </row>
    <row r="33" ht="22" customHeight="1">
      <c r="B33" s="20">
        <f>IF(C33="","SKM-"&amp;TEXT(COUNTA($C$5:C33),"000"))</f>
        <v/>
      </c>
      <c r="C33" s="13" t="n"/>
      <c r="D33" s="22" t="n"/>
      <c r="E33" s="22" t="n"/>
      <c r="F33" s="22" t="n"/>
      <c r="G33" s="14">
        <f>IF(D33="","",F33/D33)</f>
        <v/>
      </c>
      <c r="H33" s="14" t="n"/>
      <c r="I33" s="22" t="n"/>
      <c r="J33" s="40">
        <f>IF(D33="","",I33/D33)</f>
        <v/>
      </c>
      <c r="K33" s="22" t="n"/>
      <c r="L33" s="40" t="n"/>
    </row>
    <row r="34" ht="22" customHeight="1">
      <c r="B34" s="19">
        <f>IF(C34="","SKM-"&amp;TEXT(COUNTA($C$5:C34),"000"))</f>
        <v/>
      </c>
      <c r="C34" s="16" t="n"/>
      <c r="D34" s="24" t="n"/>
      <c r="E34" s="24" t="n"/>
      <c r="F34" s="24" t="n"/>
      <c r="G34" s="17">
        <f>IF(D34="","",F34/D34)</f>
        <v/>
      </c>
      <c r="H34" s="17" t="n"/>
      <c r="I34" s="24" t="n"/>
      <c r="J34" s="42">
        <f>IF(D34="","",I34/D34)</f>
        <v/>
      </c>
      <c r="K34" s="24" t="n"/>
      <c r="L34" s="42" t="n"/>
    </row>
    <row r="35" ht="22" customHeight="1">
      <c r="B35" s="20">
        <f>IF(C35="","SKM-"&amp;TEXT(COUNTA($C$5:C35),"000"))</f>
        <v/>
      </c>
      <c r="C35" s="13" t="n"/>
      <c r="D35" s="22" t="n"/>
      <c r="E35" s="22" t="n"/>
      <c r="F35" s="22" t="n"/>
      <c r="G35" s="14">
        <f>IF(D35="","",F35/D35)</f>
        <v/>
      </c>
      <c r="H35" s="14" t="n"/>
      <c r="I35" s="22" t="n"/>
      <c r="J35" s="40">
        <f>IF(D35="","",I35/D35)</f>
        <v/>
      </c>
      <c r="K35" s="22" t="n"/>
      <c r="L35" s="40" t="n"/>
    </row>
    <row r="36" ht="22" customHeight="1">
      <c r="B36" s="19">
        <f>IF(C36="","SKM-"&amp;TEXT(COUNTA($C$5:C36),"000"))</f>
        <v/>
      </c>
      <c r="C36" s="16" t="n"/>
      <c r="D36" s="24" t="n"/>
      <c r="E36" s="24" t="n"/>
      <c r="F36" s="24" t="n"/>
      <c r="G36" s="17">
        <f>IF(D36="","",F36/D36)</f>
        <v/>
      </c>
      <c r="H36" s="17" t="n"/>
      <c r="I36" s="24" t="n"/>
      <c r="J36" s="42">
        <f>IF(D36="","",I36/D36)</f>
        <v/>
      </c>
      <c r="K36" s="24" t="n"/>
      <c r="L36" s="42" t="n"/>
    </row>
    <row r="37" ht="22" customHeight="1">
      <c r="B37" s="20">
        <f>IF(C37="","SKM-"&amp;TEXT(COUNTA($C$5:C37),"000"))</f>
        <v/>
      </c>
      <c r="C37" s="13" t="n"/>
      <c r="D37" s="22" t="n"/>
      <c r="E37" s="22" t="n"/>
      <c r="F37" s="22" t="n"/>
      <c r="G37" s="14">
        <f>IF(D37="","",F37/D37)</f>
        <v/>
      </c>
      <c r="H37" s="14" t="n"/>
      <c r="I37" s="22" t="n"/>
      <c r="J37" s="40">
        <f>IF(D37="","",I37/D37)</f>
        <v/>
      </c>
      <c r="K37" s="22" t="n"/>
      <c r="L37" s="40" t="n"/>
    </row>
    <row r="38" ht="22" customHeight="1">
      <c r="B38" s="19">
        <f>IF(C38="","SKM-"&amp;TEXT(COUNTA($C$5:C38),"000"))</f>
        <v/>
      </c>
      <c r="C38" s="16" t="n"/>
      <c r="D38" s="24" t="n"/>
      <c r="E38" s="24" t="n"/>
      <c r="F38" s="24" t="n"/>
      <c r="G38" s="17">
        <f>IF(D38="","",F38/D38)</f>
        <v/>
      </c>
      <c r="H38" s="17" t="n"/>
      <c r="I38" s="24" t="n"/>
      <c r="J38" s="42">
        <f>IF(D38="","",I38/D38)</f>
        <v/>
      </c>
      <c r="K38" s="24" t="n"/>
      <c r="L38" s="42" t="n"/>
    </row>
    <row r="39" ht="22" customHeight="1">
      <c r="B39" s="20">
        <f>IF(C39="","SKM-"&amp;TEXT(COUNTA($C$5:C39),"000"))</f>
        <v/>
      </c>
      <c r="C39" s="13" t="n"/>
      <c r="D39" s="22" t="n"/>
      <c r="E39" s="22" t="n"/>
      <c r="F39" s="22" t="n"/>
      <c r="G39" s="14">
        <f>IF(D39="","",F39/D39)</f>
        <v/>
      </c>
      <c r="H39" s="14" t="n"/>
      <c r="I39" s="22" t="n"/>
      <c r="J39" s="40">
        <f>IF(D39="","",I39/D39)</f>
        <v/>
      </c>
      <c r="K39" s="22" t="n"/>
      <c r="L39" s="40" t="n"/>
    </row>
    <row r="40" ht="22" customHeight="1">
      <c r="B40" s="19">
        <f>IF(C40="","SKM-"&amp;TEXT(COUNTA($C$5:C40),"000"))</f>
        <v/>
      </c>
      <c r="C40" s="16" t="n"/>
      <c r="D40" s="24" t="n"/>
      <c r="E40" s="24" t="n"/>
      <c r="F40" s="24" t="n"/>
      <c r="G40" s="17">
        <f>IF(D40="","",F40/D40)</f>
        <v/>
      </c>
      <c r="H40" s="17" t="n"/>
      <c r="I40" s="24" t="n"/>
      <c r="J40" s="42">
        <f>IF(D40="","",I40/D40)</f>
        <v/>
      </c>
      <c r="K40" s="24" t="n"/>
      <c r="L40" s="42" t="n"/>
    </row>
    <row r="41" ht="22" customHeight="1">
      <c r="B41" s="20">
        <f>IF(C41="","SKM-"&amp;TEXT(COUNTA($C$5:C41),"000"))</f>
        <v/>
      </c>
      <c r="C41" s="13" t="n"/>
      <c r="D41" s="22" t="n"/>
      <c r="E41" s="22" t="n"/>
      <c r="F41" s="22" t="n"/>
      <c r="G41" s="14">
        <f>IF(D41="","",F41/D41)</f>
        <v/>
      </c>
      <c r="H41" s="14" t="n"/>
      <c r="I41" s="22" t="n"/>
      <c r="J41" s="40">
        <f>IF(D41="","",I41/D41)</f>
        <v/>
      </c>
      <c r="K41" s="22" t="n"/>
      <c r="L41" s="40" t="n"/>
    </row>
    <row r="42" ht="22" customHeight="1">
      <c r="B42" s="19">
        <f>IF(C42="","SKM-"&amp;TEXT(COUNTA($C$5:C42),"000"))</f>
        <v/>
      </c>
      <c r="C42" s="16" t="n"/>
      <c r="D42" s="24" t="n"/>
      <c r="E42" s="24" t="n"/>
      <c r="F42" s="24" t="n"/>
      <c r="G42" s="17">
        <f>IF(D42="","",F42/D42)</f>
        <v/>
      </c>
      <c r="H42" s="17" t="n"/>
      <c r="I42" s="24" t="n"/>
      <c r="J42" s="42">
        <f>IF(D42="","",I42/D42)</f>
        <v/>
      </c>
      <c r="K42" s="24" t="n"/>
      <c r="L42" s="42" t="n"/>
    </row>
    <row r="43" ht="22" customHeight="1">
      <c r="B43" s="20">
        <f>IF(C43="","SKM-"&amp;TEXT(COUNTA($C$5:C43),"000"))</f>
        <v/>
      </c>
      <c r="C43" s="13" t="n"/>
      <c r="D43" s="22" t="n"/>
      <c r="E43" s="22" t="n"/>
      <c r="F43" s="22" t="n"/>
      <c r="G43" s="14">
        <f>IF(D43="","",F43/D43)</f>
        <v/>
      </c>
      <c r="H43" s="14" t="n"/>
      <c r="I43" s="22" t="n"/>
      <c r="J43" s="40">
        <f>IF(D43="","",I43/D43)</f>
        <v/>
      </c>
      <c r="K43" s="22" t="n"/>
      <c r="L43" s="40" t="n"/>
    </row>
    <row r="44" ht="22" customHeight="1">
      <c r="B44" s="19">
        <f>IF(C44="","SKM-"&amp;TEXT(COUNTA($C$5:C44),"000"))</f>
        <v/>
      </c>
      <c r="C44" s="16" t="n"/>
      <c r="D44" s="24" t="n"/>
      <c r="E44" s="24" t="n"/>
      <c r="F44" s="24" t="n"/>
      <c r="G44" s="17">
        <f>IF(D44="","",F44/D44)</f>
        <v/>
      </c>
      <c r="H44" s="17" t="n"/>
      <c r="I44" s="24" t="n"/>
      <c r="J44" s="42">
        <f>IF(D44="","",I44/D44)</f>
        <v/>
      </c>
      <c r="K44" s="24" t="n"/>
      <c r="L44" s="42" t="n"/>
    </row>
    <row r="45" ht="22" customHeight="1">
      <c r="B45" s="20">
        <f>IF(C45="","SKM-"&amp;TEXT(COUNTA($C$5:C45),"000"))</f>
        <v/>
      </c>
      <c r="C45" s="13" t="n"/>
      <c r="D45" s="22" t="n"/>
      <c r="E45" s="22" t="n"/>
      <c r="F45" s="22" t="n"/>
      <c r="G45" s="14">
        <f>IF(D45="","",F45/D45)</f>
        <v/>
      </c>
      <c r="H45" s="14" t="n"/>
      <c r="I45" s="22" t="n"/>
      <c r="J45" s="40">
        <f>IF(D45="","",I45/D45)</f>
        <v/>
      </c>
      <c r="K45" s="22" t="n"/>
      <c r="L45" s="40" t="n"/>
    </row>
    <row r="46" ht="22" customHeight="1">
      <c r="B46" s="19">
        <f>IF(C46="","SKM-"&amp;TEXT(COUNTA($C$5:C46),"000"))</f>
        <v/>
      </c>
      <c r="C46" s="16" t="n"/>
      <c r="D46" s="24" t="n"/>
      <c r="E46" s="24" t="n"/>
      <c r="F46" s="24" t="n"/>
      <c r="G46" s="17">
        <f>IF(D46="","",F46/D46)</f>
        <v/>
      </c>
      <c r="H46" s="17" t="n"/>
      <c r="I46" s="24" t="n"/>
      <c r="J46" s="42">
        <f>IF(D46="","",I46/D46)</f>
        <v/>
      </c>
      <c r="K46" s="24" t="n"/>
      <c r="L46" s="42" t="n"/>
    </row>
    <row r="47" ht="22" customHeight="1">
      <c r="B47" s="20">
        <f>IF(C47="","SKM-"&amp;TEXT(COUNTA($C$5:C47),"000"))</f>
        <v/>
      </c>
      <c r="C47" s="13" t="n"/>
      <c r="D47" s="22" t="n"/>
      <c r="E47" s="22" t="n"/>
      <c r="F47" s="22" t="n"/>
      <c r="G47" s="14">
        <f>IF(D47="","",F47/D47)</f>
        <v/>
      </c>
      <c r="H47" s="14" t="n"/>
      <c r="I47" s="22" t="n"/>
      <c r="J47" s="40">
        <f>IF(D47="","",I47/D47)</f>
        <v/>
      </c>
      <c r="K47" s="22" t="n"/>
      <c r="L47" s="40" t="n"/>
    </row>
    <row r="48" ht="22" customHeight="1">
      <c r="B48" s="19">
        <f>IF(C48="","SKM-"&amp;TEXT(COUNTA($C$5:C48),"000"))</f>
        <v/>
      </c>
      <c r="C48" s="16" t="n"/>
      <c r="D48" s="24" t="n"/>
      <c r="E48" s="24" t="n"/>
      <c r="F48" s="24" t="n"/>
      <c r="G48" s="17">
        <f>IF(D48="","",F48/D48)</f>
        <v/>
      </c>
      <c r="H48" s="17" t="n"/>
      <c r="I48" s="24" t="n"/>
      <c r="J48" s="42">
        <f>IF(D48="","",I48/D48)</f>
        <v/>
      </c>
      <c r="K48" s="24" t="n"/>
      <c r="L48" s="42" t="n"/>
    </row>
    <row r="49" ht="22" customHeight="1">
      <c r="B49" s="20">
        <f>IF(C49="","SKM-"&amp;TEXT(COUNTA($C$5:C49),"000"))</f>
        <v/>
      </c>
      <c r="C49" s="13" t="n"/>
      <c r="D49" s="22" t="n"/>
      <c r="E49" s="22" t="n"/>
      <c r="F49" s="22" t="n"/>
      <c r="G49" s="14">
        <f>IF(D49="","",F49/D49)</f>
        <v/>
      </c>
      <c r="H49" s="14" t="n"/>
      <c r="I49" s="22" t="n"/>
      <c r="J49" s="40">
        <f>IF(D49="","",I49/D49)</f>
        <v/>
      </c>
      <c r="K49" s="22" t="n"/>
      <c r="L49" s="40" t="n"/>
    </row>
    <row r="50" ht="22" customHeight="1">
      <c r="B50" s="19">
        <f>IF(C50="","SKM-"&amp;TEXT(COUNTA($C$5:C50),"000"))</f>
        <v/>
      </c>
      <c r="C50" s="16" t="n"/>
      <c r="D50" s="24" t="n"/>
      <c r="E50" s="24" t="n"/>
      <c r="F50" s="24" t="n"/>
      <c r="G50" s="17">
        <f>IF(D50="","",F50/D50)</f>
        <v/>
      </c>
      <c r="H50" s="17" t="n"/>
      <c r="I50" s="24" t="n"/>
      <c r="J50" s="42">
        <f>IF(D50="","",I50/D50)</f>
        <v/>
      </c>
      <c r="K50" s="24" t="n"/>
      <c r="L50" s="42" t="n"/>
    </row>
    <row r="51" ht="22" customHeight="1">
      <c r="B51" s="20">
        <f>IF(C51="","SKM-"&amp;TEXT(COUNTA($C$5:C51),"000"))</f>
        <v/>
      </c>
      <c r="C51" s="13" t="n"/>
      <c r="D51" s="22" t="n"/>
      <c r="E51" s="22" t="n"/>
      <c r="F51" s="22" t="n"/>
      <c r="G51" s="14">
        <f>IF(D51="","",F51/D51)</f>
        <v/>
      </c>
      <c r="H51" s="14" t="n"/>
      <c r="I51" s="22" t="n"/>
      <c r="J51" s="40">
        <f>IF(D51="","",I51/D51)</f>
        <v/>
      </c>
      <c r="K51" s="22" t="n"/>
      <c r="L51" s="40" t="n"/>
    </row>
    <row r="52" ht="22" customHeight="1">
      <c r="B52" s="19">
        <f>IF(C52="","SKM-"&amp;TEXT(COUNTA($C$5:C52),"000"))</f>
        <v/>
      </c>
      <c r="C52" s="16" t="n"/>
      <c r="D52" s="24" t="n"/>
      <c r="E52" s="24" t="n"/>
      <c r="F52" s="24" t="n"/>
      <c r="G52" s="17">
        <f>IF(D52="","",F52/D52)</f>
        <v/>
      </c>
      <c r="H52" s="17" t="n"/>
      <c r="I52" s="24" t="n"/>
      <c r="J52" s="42">
        <f>IF(D52="","",I52/D52)</f>
        <v/>
      </c>
      <c r="K52" s="24" t="n"/>
      <c r="L52" s="42" t="n"/>
    </row>
    <row r="53" ht="22" customHeight="1">
      <c r="B53" s="20">
        <f>IF(C53="","SKM-"&amp;TEXT(COUNTA($C$5:C53),"000"))</f>
        <v/>
      </c>
      <c r="C53" s="13" t="n"/>
      <c r="D53" s="22" t="n"/>
      <c r="E53" s="22" t="n"/>
      <c r="F53" s="22" t="n"/>
      <c r="G53" s="14">
        <f>IF(D53="","",F53/D53)</f>
        <v/>
      </c>
      <c r="H53" s="14" t="n"/>
      <c r="I53" s="22" t="n"/>
      <c r="J53" s="40">
        <f>IF(D53="","",I53/D53)</f>
        <v/>
      </c>
      <c r="K53" s="22" t="n"/>
      <c r="L53" s="40" t="n"/>
    </row>
    <row r="54" ht="22" customHeight="1">
      <c r="B54" s="19">
        <f>IF(C54="","SKM-"&amp;TEXT(COUNTA($C$5:C54),"000"))</f>
        <v/>
      </c>
      <c r="C54" s="16" t="n"/>
      <c r="D54" s="24" t="n"/>
      <c r="E54" s="24" t="n"/>
      <c r="F54" s="24" t="n"/>
      <c r="G54" s="17">
        <f>IF(D54="","",F54/D54)</f>
        <v/>
      </c>
      <c r="H54" s="17" t="n"/>
      <c r="I54" s="24" t="n"/>
      <c r="J54" s="42">
        <f>IF(D54="","",I54/D54)</f>
        <v/>
      </c>
      <c r="K54" s="24" t="n"/>
      <c r="L54" s="42" t="n"/>
    </row>
    <row r="55" ht="22" customHeight="1">
      <c r="B55" s="20">
        <f>IF(C55="","SKM-"&amp;TEXT(COUNTA($C$5:C55),"000"))</f>
        <v/>
      </c>
      <c r="C55" s="13" t="n"/>
      <c r="D55" s="22" t="n"/>
      <c r="E55" s="22" t="n"/>
      <c r="F55" s="22" t="n"/>
      <c r="G55" s="14">
        <f>IF(D55="","",F55/D55)</f>
        <v/>
      </c>
      <c r="H55" s="14" t="n"/>
      <c r="I55" s="22" t="n"/>
      <c r="J55" s="40">
        <f>IF(D55="","",I55/D55)</f>
        <v/>
      </c>
      <c r="K55" s="22" t="n"/>
      <c r="L55" s="40" t="n"/>
    </row>
    <row r="56" ht="22" customHeight="1">
      <c r="B56" s="19">
        <f>IF(C56="","SKM-"&amp;TEXT(COUNTA($C$5:C56),"000"))</f>
        <v/>
      </c>
      <c r="C56" s="16" t="n"/>
      <c r="D56" s="24" t="n"/>
      <c r="E56" s="24" t="n"/>
      <c r="F56" s="24" t="n"/>
      <c r="G56" s="17">
        <f>IF(D56="","",F56/D56)</f>
        <v/>
      </c>
      <c r="H56" s="17" t="n"/>
      <c r="I56" s="24" t="n"/>
      <c r="J56" s="42">
        <f>IF(D56="","",I56/D56)</f>
        <v/>
      </c>
      <c r="K56" s="24" t="n"/>
      <c r="L56" s="42" t="n"/>
    </row>
    <row r="57" ht="22" customHeight="1">
      <c r="B57" s="20">
        <f>IF(C57="","SKM-"&amp;TEXT(COUNTA($C$5:C57),"000"))</f>
        <v/>
      </c>
      <c r="C57" s="13" t="n"/>
      <c r="D57" s="22" t="n"/>
      <c r="E57" s="22" t="n"/>
      <c r="F57" s="22" t="n"/>
      <c r="G57" s="14">
        <f>IF(D57="","",F57/D57)</f>
        <v/>
      </c>
      <c r="H57" s="14" t="n"/>
      <c r="I57" s="22" t="n"/>
      <c r="J57" s="40">
        <f>IF(D57="","",I57/D57)</f>
        <v/>
      </c>
      <c r="K57" s="22" t="n"/>
      <c r="L57" s="40" t="n"/>
    </row>
    <row r="58" ht="22" customHeight="1">
      <c r="B58" s="19">
        <f>IF(C58="","SKM-"&amp;TEXT(COUNTA($C$5:C58),"000"))</f>
        <v/>
      </c>
      <c r="C58" s="16" t="n"/>
      <c r="D58" s="24" t="n"/>
      <c r="E58" s="24" t="n"/>
      <c r="F58" s="24" t="n"/>
      <c r="G58" s="17">
        <f>IF(D58="","",F58/D58)</f>
        <v/>
      </c>
      <c r="H58" s="17" t="n"/>
      <c r="I58" s="24" t="n"/>
      <c r="J58" s="42">
        <f>IF(D58="","",I58/D58)</f>
        <v/>
      </c>
      <c r="K58" s="24" t="n"/>
      <c r="L58" s="42" t="n"/>
    </row>
    <row r="59" ht="22" customHeight="1">
      <c r="B59" s="20">
        <f>IF(C59="","SKM-"&amp;TEXT(COUNTA($C$5:C59),"000"))</f>
        <v/>
      </c>
      <c r="C59" s="13" t="n"/>
      <c r="D59" s="22" t="n"/>
      <c r="E59" s="22" t="n"/>
      <c r="F59" s="22" t="n"/>
      <c r="G59" s="14">
        <f>IF(D59="","",F59/D59)</f>
        <v/>
      </c>
      <c r="H59" s="14" t="n"/>
      <c r="I59" s="22" t="n"/>
      <c r="J59" s="40">
        <f>IF(D59="","",I59/D59)</f>
        <v/>
      </c>
      <c r="K59" s="22" t="n"/>
      <c r="L59" s="40" t="n"/>
    </row>
    <row r="60" ht="22" customHeight="1">
      <c r="B60" s="19">
        <f>IF(C60="","SKM-"&amp;TEXT(COUNTA($C$5:C60),"000"))</f>
        <v/>
      </c>
      <c r="C60" s="16" t="n"/>
      <c r="D60" s="24" t="n"/>
      <c r="E60" s="24" t="n"/>
      <c r="F60" s="24" t="n"/>
      <c r="G60" s="17">
        <f>IF(D60="","",F60/D60)</f>
        <v/>
      </c>
      <c r="H60" s="17" t="n"/>
      <c r="I60" s="24" t="n"/>
      <c r="J60" s="42">
        <f>IF(D60="","",I60/D60)</f>
        <v/>
      </c>
      <c r="K60" s="24" t="n"/>
      <c r="L60" s="42" t="n"/>
    </row>
    <row r="61" ht="22" customHeight="1">
      <c r="B61" s="20">
        <f>IF(C61="","SKM-"&amp;TEXT(COUNTA($C$5:C61),"000"))</f>
        <v/>
      </c>
      <c r="C61" s="13" t="n"/>
      <c r="D61" s="22" t="n"/>
      <c r="E61" s="22" t="n"/>
      <c r="F61" s="22" t="n"/>
      <c r="G61" s="14">
        <f>IF(D61="","",F61/D61)</f>
        <v/>
      </c>
      <c r="H61" s="14" t="n"/>
      <c r="I61" s="22" t="n"/>
      <c r="J61" s="40">
        <f>IF(D61="","",I61/D61)</f>
        <v/>
      </c>
      <c r="K61" s="22" t="n"/>
      <c r="L61" s="40" t="n"/>
    </row>
    <row r="62" ht="22" customHeight="1">
      <c r="B62" s="19">
        <f>IF(C62="","SKM-"&amp;TEXT(COUNTA($C$5:C62),"000"))</f>
        <v/>
      </c>
      <c r="C62" s="16" t="n"/>
      <c r="D62" s="24" t="n"/>
      <c r="E62" s="24" t="n"/>
      <c r="F62" s="24" t="n"/>
      <c r="G62" s="17">
        <f>IF(D62="","",F62/D62)</f>
        <v/>
      </c>
      <c r="H62" s="17" t="n"/>
      <c r="I62" s="24" t="n"/>
      <c r="J62" s="42">
        <f>IF(D62="","",I62/D62)</f>
        <v/>
      </c>
      <c r="K62" s="24" t="n"/>
      <c r="L62" s="42" t="n"/>
    </row>
    <row r="63" ht="22" customHeight="1">
      <c r="B63" s="20">
        <f>IF(C63="","SKM-"&amp;TEXT(COUNTA($C$5:C63),"000"))</f>
        <v/>
      </c>
      <c r="C63" s="13" t="n"/>
      <c r="D63" s="22" t="n"/>
      <c r="E63" s="22" t="n"/>
      <c r="F63" s="22" t="n"/>
      <c r="G63" s="14">
        <f>IF(D63="","",F63/D63)</f>
        <v/>
      </c>
      <c r="H63" s="14" t="n"/>
      <c r="I63" s="22" t="n"/>
      <c r="J63" s="40">
        <f>IF(D63="","",I63/D63)</f>
        <v/>
      </c>
      <c r="K63" s="22" t="n"/>
      <c r="L63" s="40" t="n"/>
    </row>
    <row r="64" ht="22" customHeight="1">
      <c r="B64" s="19">
        <f>IF(C64="","SKM-"&amp;TEXT(COUNTA($C$5:C64),"000"))</f>
        <v/>
      </c>
      <c r="C64" s="16" t="n"/>
      <c r="D64" s="24" t="n"/>
      <c r="E64" s="24" t="n"/>
      <c r="F64" s="24" t="n"/>
      <c r="G64" s="17">
        <f>IF(D64="","",F64/D64)</f>
        <v/>
      </c>
      <c r="H64" s="17" t="n"/>
      <c r="I64" s="24" t="n"/>
      <c r="J64" s="42">
        <f>IF(D64="","",I64/D64)</f>
        <v/>
      </c>
      <c r="K64" s="24" t="n"/>
      <c r="L64" s="42" t="n"/>
    </row>
    <row r="65" ht="22" customHeight="1">
      <c r="B65" s="20">
        <f>IF(C65="","SKM-"&amp;TEXT(COUNTA($C$5:C65),"000"))</f>
        <v/>
      </c>
      <c r="C65" s="13" t="n"/>
      <c r="D65" s="22" t="n"/>
      <c r="E65" s="22" t="n"/>
      <c r="F65" s="22" t="n"/>
      <c r="G65" s="14">
        <f>IF(D65="","",F65/D65)</f>
        <v/>
      </c>
      <c r="H65" s="14" t="n"/>
      <c r="I65" s="22" t="n"/>
      <c r="J65" s="40">
        <f>IF(D65="","",I65/D65)</f>
        <v/>
      </c>
      <c r="K65" s="22" t="n"/>
      <c r="L65" s="40" t="n"/>
    </row>
    <row r="66" ht="22" customHeight="1">
      <c r="B66" s="19">
        <f>IF(C66="","SKM-"&amp;TEXT(COUNTA($C$5:C66),"000"))</f>
        <v/>
      </c>
      <c r="C66" s="16" t="n"/>
      <c r="D66" s="24" t="n"/>
      <c r="E66" s="24" t="n"/>
      <c r="F66" s="24" t="n"/>
      <c r="G66" s="17">
        <f>IF(D66="","",F66/D66)</f>
        <v/>
      </c>
      <c r="H66" s="17" t="n"/>
      <c r="I66" s="24" t="n"/>
      <c r="J66" s="42">
        <f>IF(D66="","",I66/D66)</f>
        <v/>
      </c>
      <c r="K66" s="24" t="n"/>
      <c r="L66" s="42" t="n"/>
    </row>
    <row r="67" ht="22" customHeight="1">
      <c r="B67" s="20">
        <f>IF(C67="","SKM-"&amp;TEXT(COUNTA($C$5:C67),"000"))</f>
        <v/>
      </c>
      <c r="C67" s="13" t="n"/>
      <c r="D67" s="22" t="n"/>
      <c r="E67" s="22" t="n"/>
      <c r="F67" s="22" t="n"/>
      <c r="G67" s="14">
        <f>IF(D67="","",F67/D67)</f>
        <v/>
      </c>
      <c r="H67" s="14" t="n"/>
      <c r="I67" s="22" t="n"/>
      <c r="J67" s="40">
        <f>IF(D67="","",I67/D67)</f>
        <v/>
      </c>
      <c r="K67" s="22" t="n"/>
      <c r="L67" s="40" t="n"/>
    </row>
    <row r="68" ht="22" customHeight="1">
      <c r="B68" s="19">
        <f>IF(C68="","SKM-"&amp;TEXT(COUNTA($C$5:C68),"000"))</f>
        <v/>
      </c>
      <c r="C68" s="16" t="n"/>
      <c r="D68" s="24" t="n"/>
      <c r="E68" s="24" t="n"/>
      <c r="F68" s="24" t="n"/>
      <c r="G68" s="17">
        <f>IF(D68="","",F68/D68)</f>
        <v/>
      </c>
      <c r="H68" s="17" t="n"/>
      <c r="I68" s="24" t="n"/>
      <c r="J68" s="42">
        <f>IF(D68="","",I68/D68)</f>
        <v/>
      </c>
      <c r="K68" s="24" t="n"/>
      <c r="L68" s="42" t="n"/>
    </row>
    <row r="69" ht="22" customHeight="1">
      <c r="B69" s="20">
        <f>IF(C69="","SKM-"&amp;TEXT(COUNTA($C$5:C69),"000"))</f>
        <v/>
      </c>
      <c r="C69" s="13" t="n"/>
      <c r="D69" s="22" t="n"/>
      <c r="E69" s="22" t="n"/>
      <c r="F69" s="22" t="n"/>
      <c r="G69" s="14">
        <f>IF(D69="","",F69/D69)</f>
        <v/>
      </c>
      <c r="H69" s="14" t="n"/>
      <c r="I69" s="22" t="n"/>
      <c r="J69" s="40">
        <f>IF(D69="","",I69/D69)</f>
        <v/>
      </c>
      <c r="K69" s="22" t="n"/>
      <c r="L69" s="40" t="n"/>
    </row>
    <row r="70" ht="22" customHeight="1">
      <c r="B70" s="19">
        <f>IF(C70="","SKM-"&amp;TEXT(COUNTA($C$5:C70),"000"))</f>
        <v/>
      </c>
      <c r="C70" s="16" t="n"/>
      <c r="D70" s="24" t="n"/>
      <c r="E70" s="24" t="n"/>
      <c r="F70" s="24" t="n"/>
      <c r="G70" s="17">
        <f>IF(D70="","",F70/D70)</f>
        <v/>
      </c>
      <c r="H70" s="17" t="n"/>
      <c r="I70" s="24" t="n"/>
      <c r="J70" s="42">
        <f>IF(D70="","",I70/D70)</f>
        <v/>
      </c>
      <c r="K70" s="24" t="n"/>
      <c r="L70" s="42" t="n"/>
    </row>
    <row r="71" ht="22" customHeight="1">
      <c r="B71" s="20">
        <f>IF(C71="","SKM-"&amp;TEXT(COUNTA($C$5:C71),"000"))</f>
        <v/>
      </c>
      <c r="C71" s="13" t="n"/>
      <c r="D71" s="22" t="n"/>
      <c r="E71" s="22" t="n"/>
      <c r="F71" s="22" t="n"/>
      <c r="G71" s="14">
        <f>IF(D71="","",F71/D71)</f>
        <v/>
      </c>
      <c r="H71" s="14" t="n"/>
      <c r="I71" s="22" t="n"/>
      <c r="J71" s="40">
        <f>IF(D71="","",I71/D71)</f>
        <v/>
      </c>
      <c r="K71" s="22" t="n"/>
      <c r="L71" s="40" t="n"/>
    </row>
    <row r="72" ht="22" customHeight="1">
      <c r="B72" s="19">
        <f>IF(C72="","SKM-"&amp;TEXT(COUNTA($C$5:C72),"000"))</f>
        <v/>
      </c>
      <c r="C72" s="16" t="n"/>
      <c r="D72" s="24" t="n"/>
      <c r="E72" s="24" t="n"/>
      <c r="F72" s="24" t="n"/>
      <c r="G72" s="17">
        <f>IF(D72="","",F72/D72)</f>
        <v/>
      </c>
      <c r="H72" s="17" t="n"/>
      <c r="I72" s="24" t="n"/>
      <c r="J72" s="42">
        <f>IF(D72="","",I72/D72)</f>
        <v/>
      </c>
      <c r="K72" s="24" t="n"/>
      <c r="L72" s="42" t="n"/>
    </row>
    <row r="73" ht="22" customHeight="1">
      <c r="B73" s="20">
        <f>IF(C73="","SKM-"&amp;TEXT(COUNTA($C$5:C73),"000"))</f>
        <v/>
      </c>
      <c r="C73" s="13" t="n"/>
      <c r="D73" s="22" t="n"/>
      <c r="E73" s="22" t="n"/>
      <c r="F73" s="22" t="n"/>
      <c r="G73" s="14">
        <f>IF(D73="","",F73/D73)</f>
        <v/>
      </c>
      <c r="H73" s="14" t="n"/>
      <c r="I73" s="22" t="n"/>
      <c r="J73" s="40">
        <f>IF(D73="","",I73/D73)</f>
        <v/>
      </c>
      <c r="K73" s="22" t="n"/>
      <c r="L73" s="40" t="n"/>
    </row>
    <row r="74" ht="22" customHeight="1">
      <c r="B74" s="19">
        <f>IF(C74="","SKM-"&amp;TEXT(COUNTA($C$5:C74),"000"))</f>
        <v/>
      </c>
      <c r="C74" s="16" t="n"/>
      <c r="D74" s="24" t="n"/>
      <c r="E74" s="24" t="n"/>
      <c r="F74" s="24" t="n"/>
      <c r="G74" s="17">
        <f>IF(D74="","",F74/D74)</f>
        <v/>
      </c>
      <c r="H74" s="17" t="n"/>
      <c r="I74" s="24" t="n"/>
      <c r="J74" s="42">
        <f>IF(D74="","",I74/D74)</f>
        <v/>
      </c>
      <c r="K74" s="24" t="n"/>
      <c r="L74" s="42" t="n"/>
    </row>
    <row r="75" ht="22" customHeight="1">
      <c r="B75" s="20">
        <f>IF(C75="","SKM-"&amp;TEXT(COUNTA($C$5:C75),"000"))</f>
        <v/>
      </c>
      <c r="C75" s="13" t="n"/>
      <c r="D75" s="22" t="n"/>
      <c r="E75" s="22" t="n"/>
      <c r="F75" s="22" t="n"/>
      <c r="G75" s="14">
        <f>IF(D75="","",F75/D75)</f>
        <v/>
      </c>
      <c r="H75" s="14" t="n"/>
      <c r="I75" s="22" t="n"/>
      <c r="J75" s="40">
        <f>IF(D75="","",I75/D75)</f>
        <v/>
      </c>
      <c r="K75" s="22" t="n"/>
      <c r="L75" s="40" t="n"/>
    </row>
    <row r="76" ht="22" customHeight="1">
      <c r="B76" s="19">
        <f>IF(C76="","SKM-"&amp;TEXT(COUNTA($C$5:C76),"000"))</f>
        <v/>
      </c>
      <c r="C76" s="16" t="n"/>
      <c r="D76" s="24" t="n"/>
      <c r="E76" s="24" t="n"/>
      <c r="F76" s="24" t="n"/>
      <c r="G76" s="17">
        <f>IF(D76="","",F76/D76)</f>
        <v/>
      </c>
      <c r="H76" s="17" t="n"/>
      <c r="I76" s="24" t="n"/>
      <c r="J76" s="42">
        <f>IF(D76="","",I76/D76)</f>
        <v/>
      </c>
      <c r="K76" s="24" t="n"/>
      <c r="L76" s="42" t="n"/>
    </row>
    <row r="77" ht="22" customHeight="1">
      <c r="B77" s="20">
        <f>IF(C77="","SKM-"&amp;TEXT(COUNTA($C$5:C77),"000"))</f>
        <v/>
      </c>
      <c r="C77" s="13" t="n"/>
      <c r="D77" s="22" t="n"/>
      <c r="E77" s="22" t="n"/>
      <c r="F77" s="22" t="n"/>
      <c r="G77" s="14">
        <f>IF(D77="","",F77/D77)</f>
        <v/>
      </c>
      <c r="H77" s="14" t="n"/>
      <c r="I77" s="22" t="n"/>
      <c r="J77" s="40">
        <f>IF(D77="","",I77/D77)</f>
        <v/>
      </c>
      <c r="K77" s="22" t="n"/>
      <c r="L77" s="40" t="n"/>
    </row>
    <row r="78" ht="22" customHeight="1">
      <c r="B78" s="19">
        <f>IF(C78="","SKM-"&amp;TEXT(COUNTA($C$5:C78),"000"))</f>
        <v/>
      </c>
      <c r="C78" s="16" t="n"/>
      <c r="D78" s="24" t="n"/>
      <c r="E78" s="24" t="n"/>
      <c r="F78" s="24" t="n"/>
      <c r="G78" s="17">
        <f>IF(D78="","",F78/D78)</f>
        <v/>
      </c>
      <c r="H78" s="17" t="n"/>
      <c r="I78" s="24" t="n"/>
      <c r="J78" s="42">
        <f>IF(D78="","",I78/D78)</f>
        <v/>
      </c>
      <c r="K78" s="24" t="n"/>
      <c r="L78" s="42" t="n"/>
    </row>
    <row r="79" ht="22" customHeight="1">
      <c r="B79" s="20">
        <f>IF(C79="","SKM-"&amp;TEXT(COUNTA($C$5:C79),"000"))</f>
        <v/>
      </c>
      <c r="C79" s="13" t="n"/>
      <c r="D79" s="22" t="n"/>
      <c r="E79" s="22" t="n"/>
      <c r="F79" s="22" t="n"/>
      <c r="G79" s="14">
        <f>IF(D79="","",F79/D79)</f>
        <v/>
      </c>
      <c r="H79" s="14" t="n"/>
      <c r="I79" s="22" t="n"/>
      <c r="J79" s="40">
        <f>IF(D79="","",I79/D79)</f>
        <v/>
      </c>
      <c r="K79" s="22" t="n"/>
      <c r="L79" s="40" t="n"/>
    </row>
    <row r="80" ht="22" customHeight="1">
      <c r="B80" s="19">
        <f>IF(C80="","SKM-"&amp;TEXT(COUNTA($C$5:C80),"000"))</f>
        <v/>
      </c>
      <c r="C80" s="16" t="n"/>
      <c r="D80" s="24" t="n"/>
      <c r="E80" s="24" t="n"/>
      <c r="F80" s="24" t="n"/>
      <c r="G80" s="17">
        <f>IF(D80="","",F80/D80)</f>
        <v/>
      </c>
      <c r="H80" s="17" t="n"/>
      <c r="I80" s="24" t="n"/>
      <c r="J80" s="42">
        <f>IF(D80="","",I80/D80)</f>
        <v/>
      </c>
      <c r="K80" s="24" t="n"/>
      <c r="L80" s="42" t="n"/>
    </row>
    <row r="81" ht="22" customHeight="1">
      <c r="B81" s="20">
        <f>IF(C81="","SKM-"&amp;TEXT(COUNTA($C$5:C81),"000"))</f>
        <v/>
      </c>
      <c r="C81" s="13" t="n"/>
      <c r="D81" s="22" t="n"/>
      <c r="E81" s="22" t="n"/>
      <c r="F81" s="22" t="n"/>
      <c r="G81" s="14">
        <f>IF(D81="","",F81/D81)</f>
        <v/>
      </c>
      <c r="H81" s="14" t="n"/>
      <c r="I81" s="22" t="n"/>
      <c r="J81" s="40">
        <f>IF(D81="","",I81/D81)</f>
        <v/>
      </c>
      <c r="K81" s="22" t="n"/>
      <c r="L81" s="40" t="n"/>
    </row>
    <row r="82" ht="22" customHeight="1">
      <c r="B82" s="19">
        <f>IF(C82="","SKM-"&amp;TEXT(COUNTA($C$5:C82),"000"))</f>
        <v/>
      </c>
      <c r="C82" s="16" t="n"/>
      <c r="D82" s="24" t="n"/>
      <c r="E82" s="24" t="n"/>
      <c r="F82" s="24" t="n"/>
      <c r="G82" s="17">
        <f>IF(D82="","",F82/D82)</f>
        <v/>
      </c>
      <c r="H82" s="17" t="n"/>
      <c r="I82" s="24" t="n"/>
      <c r="J82" s="42">
        <f>IF(D82="","",I82/D82)</f>
        <v/>
      </c>
      <c r="K82" s="24" t="n"/>
      <c r="L82" s="42" t="n"/>
    </row>
    <row r="83" ht="22" customHeight="1">
      <c r="B83" s="20">
        <f>IF(C83="","SKM-"&amp;TEXT(COUNTA($C$5:C83),"000"))</f>
        <v/>
      </c>
      <c r="C83" s="13" t="n"/>
      <c r="D83" s="22" t="n"/>
      <c r="E83" s="22" t="n"/>
      <c r="F83" s="22" t="n"/>
      <c r="G83" s="14">
        <f>IF(D83="","",F83/D83)</f>
        <v/>
      </c>
      <c r="H83" s="14" t="n"/>
      <c r="I83" s="22" t="n"/>
      <c r="J83" s="40">
        <f>IF(D83="","",I83/D83)</f>
        <v/>
      </c>
      <c r="K83" s="22" t="n"/>
      <c r="L83" s="40" t="n"/>
    </row>
    <row r="84" ht="22" customHeight="1">
      <c r="B84" s="19">
        <f>IF(C84="","SKM-"&amp;TEXT(COUNTA($C$5:C84),"000"))</f>
        <v/>
      </c>
      <c r="C84" s="16" t="n"/>
      <c r="D84" s="24" t="n"/>
      <c r="E84" s="24" t="n"/>
      <c r="F84" s="24" t="n"/>
      <c r="G84" s="17">
        <f>IF(D84="","",F84/D84)</f>
        <v/>
      </c>
      <c r="H84" s="17" t="n"/>
      <c r="I84" s="24" t="n"/>
      <c r="J84" s="42">
        <f>IF(D84="","",I84/D84)</f>
        <v/>
      </c>
      <c r="K84" s="24" t="n"/>
      <c r="L84" s="42" t="n"/>
    </row>
    <row r="85" ht="22" customHeight="1">
      <c r="B85" s="20">
        <f>IF(C85="","SKM-"&amp;TEXT(COUNTA($C$5:C85),"000"))</f>
        <v/>
      </c>
      <c r="C85" s="13" t="n"/>
      <c r="D85" s="22" t="n"/>
      <c r="E85" s="22" t="n"/>
      <c r="F85" s="22" t="n"/>
      <c r="G85" s="14">
        <f>IF(D85="","",F85/D85)</f>
        <v/>
      </c>
      <c r="H85" s="14" t="n"/>
      <c r="I85" s="22" t="n"/>
      <c r="J85" s="40">
        <f>IF(D85="","",I85/D85)</f>
        <v/>
      </c>
      <c r="K85" s="22" t="n"/>
      <c r="L85" s="40" t="n"/>
    </row>
    <row r="86" ht="22" customHeight="1">
      <c r="B86" s="19">
        <f>IF(C86="","SKM-"&amp;TEXT(COUNTA($C$5:C86),"000"))</f>
        <v/>
      </c>
      <c r="C86" s="16" t="n"/>
      <c r="D86" s="24" t="n"/>
      <c r="E86" s="24" t="n"/>
      <c r="F86" s="24" t="n"/>
      <c r="G86" s="17">
        <f>IF(D86="","",F86/D86)</f>
        <v/>
      </c>
      <c r="H86" s="17" t="n"/>
      <c r="I86" s="24" t="n"/>
      <c r="J86" s="42">
        <f>IF(D86="","",I86/D86)</f>
        <v/>
      </c>
      <c r="K86" s="24" t="n"/>
      <c r="L86" s="42" t="n"/>
    </row>
    <row r="87" ht="22" customHeight="1">
      <c r="B87" s="20">
        <f>IF(C87="","SKM-"&amp;TEXT(COUNTA($C$5:C87),"000"))</f>
        <v/>
      </c>
      <c r="C87" s="13" t="n"/>
      <c r="D87" s="22" t="n"/>
      <c r="E87" s="22" t="n"/>
      <c r="F87" s="22" t="n"/>
      <c r="G87" s="14">
        <f>IF(D87="","",F87/D87)</f>
        <v/>
      </c>
      <c r="H87" s="14" t="n"/>
      <c r="I87" s="22" t="n"/>
      <c r="J87" s="40">
        <f>IF(D87="","",I87/D87)</f>
        <v/>
      </c>
      <c r="K87" s="22" t="n"/>
      <c r="L87" s="40" t="n"/>
    </row>
    <row r="88" ht="22" customHeight="1">
      <c r="B88" s="19">
        <f>IF(C88="","SKM-"&amp;TEXT(COUNTA($C$5:C88),"000"))</f>
        <v/>
      </c>
      <c r="C88" s="16" t="n"/>
      <c r="D88" s="24" t="n"/>
      <c r="E88" s="24" t="n"/>
      <c r="F88" s="24" t="n"/>
      <c r="G88" s="17">
        <f>IF(D88="","",F88/D88)</f>
        <v/>
      </c>
      <c r="H88" s="17" t="n"/>
      <c r="I88" s="24" t="n"/>
      <c r="J88" s="42">
        <f>IF(D88="","",I88/D88)</f>
        <v/>
      </c>
      <c r="K88" s="24" t="n"/>
      <c r="L88" s="42" t="n"/>
    </row>
    <row r="89" ht="22" customHeight="1">
      <c r="B89" s="20">
        <f>IF(C89="","SKM-"&amp;TEXT(COUNTA($C$5:C89),"000"))</f>
        <v/>
      </c>
      <c r="C89" s="13" t="n"/>
      <c r="D89" s="22" t="n"/>
      <c r="E89" s="22" t="n"/>
      <c r="F89" s="22" t="n"/>
      <c r="G89" s="14">
        <f>IF(D89="","",F89/D89)</f>
        <v/>
      </c>
      <c r="H89" s="14" t="n"/>
      <c r="I89" s="22" t="n"/>
      <c r="J89" s="40">
        <f>IF(D89="","",I89/D89)</f>
        <v/>
      </c>
      <c r="K89" s="22" t="n"/>
      <c r="L89" s="40" t="n"/>
    </row>
    <row r="90" ht="22" customHeight="1">
      <c r="B90" s="19">
        <f>IF(C90="","SKM-"&amp;TEXT(COUNTA($C$5:C90),"000"))</f>
        <v/>
      </c>
      <c r="C90" s="16" t="n"/>
      <c r="D90" s="24" t="n"/>
      <c r="E90" s="24" t="n"/>
      <c r="F90" s="24" t="n"/>
      <c r="G90" s="17">
        <f>IF(D90="","",F90/D90)</f>
        <v/>
      </c>
      <c r="H90" s="17" t="n"/>
      <c r="I90" s="24" t="n"/>
      <c r="J90" s="42">
        <f>IF(D90="","",I90/D90)</f>
        <v/>
      </c>
      <c r="K90" s="24" t="n"/>
      <c r="L90" s="42" t="n"/>
    </row>
    <row r="91" ht="22" customHeight="1">
      <c r="B91" s="20">
        <f>IF(C91="","SKM-"&amp;TEXT(COUNTA($C$5:C91),"000"))</f>
        <v/>
      </c>
      <c r="C91" s="13" t="n"/>
      <c r="D91" s="22" t="n"/>
      <c r="E91" s="22" t="n"/>
      <c r="F91" s="22" t="n"/>
      <c r="G91" s="14">
        <f>IF(D91="","",F91/D91)</f>
        <v/>
      </c>
      <c r="H91" s="14" t="n"/>
      <c r="I91" s="22" t="n"/>
      <c r="J91" s="40">
        <f>IF(D91="","",I91/D91)</f>
        <v/>
      </c>
      <c r="K91" s="22" t="n"/>
      <c r="L91" s="40" t="n"/>
    </row>
    <row r="92" ht="22" customHeight="1">
      <c r="B92" s="19">
        <f>IF(C92="","SKM-"&amp;TEXT(COUNTA($C$5:C92),"000"))</f>
        <v/>
      </c>
      <c r="C92" s="16" t="n"/>
      <c r="D92" s="24" t="n"/>
      <c r="E92" s="24" t="n"/>
      <c r="F92" s="24" t="n"/>
      <c r="G92" s="17">
        <f>IF(D92="","",F92/D92)</f>
        <v/>
      </c>
      <c r="H92" s="17" t="n"/>
      <c r="I92" s="24" t="n"/>
      <c r="J92" s="42">
        <f>IF(D92="","",I92/D92)</f>
        <v/>
      </c>
      <c r="K92" s="24" t="n"/>
      <c r="L92" s="42" t="n"/>
    </row>
    <row r="93" ht="22" customHeight="1">
      <c r="B93" s="20">
        <f>IF(C93="","SKM-"&amp;TEXT(COUNTA($C$5:C93),"000"))</f>
        <v/>
      </c>
      <c r="C93" s="13" t="n"/>
      <c r="D93" s="22" t="n"/>
      <c r="E93" s="22" t="n"/>
      <c r="F93" s="22" t="n"/>
      <c r="G93" s="14">
        <f>IF(D93="","",F93/D93)</f>
        <v/>
      </c>
      <c r="H93" s="14" t="n"/>
      <c r="I93" s="22" t="n"/>
      <c r="J93" s="40">
        <f>IF(D93="","",I93/D93)</f>
        <v/>
      </c>
      <c r="K93" s="22" t="n"/>
      <c r="L93" s="40" t="n"/>
    </row>
    <row r="94" ht="22" customHeight="1">
      <c r="B94" s="19">
        <f>IF(C94="","SKM-"&amp;TEXT(COUNTA($C$5:C94),"000"))</f>
        <v/>
      </c>
      <c r="C94" s="16" t="n"/>
      <c r="D94" s="24" t="n"/>
      <c r="E94" s="24" t="n"/>
      <c r="F94" s="24" t="n"/>
      <c r="G94" s="17">
        <f>IF(D94="","",F94/D94)</f>
        <v/>
      </c>
      <c r="H94" s="17" t="n"/>
      <c r="I94" s="24" t="n"/>
      <c r="J94" s="42">
        <f>IF(D94="","",I94/D94)</f>
        <v/>
      </c>
      <c r="K94" s="24" t="n"/>
      <c r="L94" s="42" t="n"/>
    </row>
    <row r="95" ht="22" customHeight="1">
      <c r="B95" s="20">
        <f>IF(C95="","SKM-"&amp;TEXT(COUNTA($C$5:C95),"000"))</f>
        <v/>
      </c>
      <c r="C95" s="13" t="n"/>
      <c r="D95" s="22" t="n"/>
      <c r="E95" s="22" t="n"/>
      <c r="F95" s="22" t="n"/>
      <c r="G95" s="14">
        <f>IF(D95="","",F95/D95)</f>
        <v/>
      </c>
      <c r="H95" s="14" t="n"/>
      <c r="I95" s="22" t="n"/>
      <c r="J95" s="40">
        <f>IF(D95="","",I95/D95)</f>
        <v/>
      </c>
      <c r="K95" s="22" t="n"/>
      <c r="L95" s="40" t="n"/>
    </row>
    <row r="96" ht="22" customHeight="1">
      <c r="B96" s="19">
        <f>IF(C96="","SKM-"&amp;TEXT(COUNTA($C$5:C96),"000"))</f>
        <v/>
      </c>
      <c r="C96" s="16" t="n"/>
      <c r="D96" s="24" t="n"/>
      <c r="E96" s="24" t="n"/>
      <c r="F96" s="24" t="n"/>
      <c r="G96" s="17">
        <f>IF(D96="","",F96/D96)</f>
        <v/>
      </c>
      <c r="H96" s="17" t="n"/>
      <c r="I96" s="24" t="n"/>
      <c r="J96" s="42">
        <f>IF(D96="","",I96/D96)</f>
        <v/>
      </c>
      <c r="K96" s="24" t="n"/>
      <c r="L96" s="42" t="n"/>
    </row>
    <row r="97" ht="22" customHeight="1">
      <c r="B97" s="20">
        <f>IF(C97="","SKM-"&amp;TEXT(COUNTA($C$5:C97),"000"))</f>
        <v/>
      </c>
      <c r="C97" s="13" t="n"/>
      <c r="D97" s="22" t="n"/>
      <c r="E97" s="22" t="n"/>
      <c r="F97" s="22" t="n"/>
      <c r="G97" s="14">
        <f>IF(D97="","",F97/D97)</f>
        <v/>
      </c>
      <c r="H97" s="14" t="n"/>
      <c r="I97" s="22" t="n"/>
      <c r="J97" s="40">
        <f>IF(D97="","",I97/D97)</f>
        <v/>
      </c>
      <c r="K97" s="22" t="n"/>
      <c r="L97" s="40" t="n"/>
    </row>
    <row r="98" ht="22" customHeight="1">
      <c r="B98" s="19">
        <f>IF(C98="","SKM-"&amp;TEXT(COUNTA($C$5:C98),"000"))</f>
        <v/>
      </c>
      <c r="C98" s="16" t="n"/>
      <c r="D98" s="24" t="n"/>
      <c r="E98" s="24" t="n"/>
      <c r="F98" s="24" t="n"/>
      <c r="G98" s="17">
        <f>IF(D98="","",F98/D98)</f>
        <v/>
      </c>
      <c r="H98" s="17" t="n"/>
      <c r="I98" s="24" t="n"/>
      <c r="J98" s="42">
        <f>IF(D98="","",I98/D98)</f>
        <v/>
      </c>
      <c r="K98" s="24" t="n"/>
      <c r="L98" s="42" t="n"/>
    </row>
    <row r="99" ht="22" customHeight="1">
      <c r="B99" s="20">
        <f>IF(C99="","SKM-"&amp;TEXT(COUNTA($C$5:C99),"000"))</f>
        <v/>
      </c>
      <c r="C99" s="13" t="n"/>
      <c r="D99" s="22" t="n"/>
      <c r="E99" s="22" t="n"/>
      <c r="F99" s="22" t="n"/>
      <c r="G99" s="14">
        <f>IF(D99="","",F99/D99)</f>
        <v/>
      </c>
      <c r="H99" s="14" t="n"/>
      <c r="I99" s="22" t="n"/>
      <c r="J99" s="40">
        <f>IF(D99="","",I99/D99)</f>
        <v/>
      </c>
      <c r="K99" s="22" t="n"/>
      <c r="L99" s="40" t="n"/>
    </row>
    <row r="100" ht="22" customHeight="1">
      <c r="B100" s="19">
        <f>IF(C100="","SKM-"&amp;TEXT(COUNTA($C$5:C100),"000"))</f>
        <v/>
      </c>
      <c r="C100" s="16" t="n"/>
      <c r="D100" s="24" t="n"/>
      <c r="E100" s="24" t="n"/>
      <c r="F100" s="24" t="n"/>
      <c r="G100" s="17">
        <f>IF(D100="","",F100/D100)</f>
        <v/>
      </c>
      <c r="H100" s="17" t="n"/>
      <c r="I100" s="24" t="n"/>
      <c r="J100" s="42">
        <f>IF(D100="","",I100/D100)</f>
        <v/>
      </c>
      <c r="K100" s="24" t="n"/>
      <c r="L100" s="42" t="n"/>
    </row>
    <row r="101" ht="22" customHeight="1">
      <c r="B101" s="20">
        <f>IF(C101="","SKM-"&amp;TEXT(COUNTA($C$5:C101),"000"))</f>
        <v/>
      </c>
      <c r="C101" s="13" t="n"/>
      <c r="D101" s="22" t="n"/>
      <c r="E101" s="22" t="n"/>
      <c r="F101" s="22" t="n"/>
      <c r="G101" s="14">
        <f>IF(D101="","",F101/D101)</f>
        <v/>
      </c>
      <c r="H101" s="14" t="n"/>
      <c r="I101" s="22" t="n"/>
      <c r="J101" s="40">
        <f>IF(D101="","",I101/D101)</f>
        <v/>
      </c>
      <c r="K101" s="22" t="n"/>
      <c r="L101" s="40" t="n"/>
    </row>
    <row r="102" ht="22" customHeight="1">
      <c r="B102" s="19">
        <f>IF(C102="","SKM-"&amp;TEXT(COUNTA($C$5:C102),"000"))</f>
        <v/>
      </c>
      <c r="C102" s="16" t="n"/>
      <c r="D102" s="24" t="n"/>
      <c r="E102" s="24" t="n"/>
      <c r="F102" s="24" t="n"/>
      <c r="G102" s="17">
        <f>IF(D102="","",F102/D102)</f>
        <v/>
      </c>
      <c r="H102" s="17" t="n"/>
      <c r="I102" s="24" t="n"/>
      <c r="J102" s="42">
        <f>IF(D102="","",I102/D102)</f>
        <v/>
      </c>
      <c r="K102" s="24" t="n"/>
      <c r="L102" s="42" t="n"/>
    </row>
    <row r="103" ht="22" customHeight="1">
      <c r="B103" s="20">
        <f>IF(C103="","SKM-"&amp;TEXT(COUNTA($C$5:C103),"000"))</f>
        <v/>
      </c>
      <c r="C103" s="13" t="n"/>
      <c r="D103" s="22" t="n"/>
      <c r="E103" s="22" t="n"/>
      <c r="F103" s="22" t="n"/>
      <c r="G103" s="14">
        <f>IF(D103="","",F103/D103)</f>
        <v/>
      </c>
      <c r="H103" s="14" t="n"/>
      <c r="I103" s="22" t="n"/>
      <c r="J103" s="40">
        <f>IF(D103="","",I103/D103)</f>
        <v/>
      </c>
      <c r="K103" s="22" t="n"/>
      <c r="L103" s="40" t="n"/>
    </row>
    <row r="104" ht="22" customHeight="1">
      <c r="B104" s="19">
        <f>IF(C104="","SKM-"&amp;TEXT(COUNTA($C$5:C104),"000"))</f>
        <v/>
      </c>
      <c r="C104" s="16" t="n"/>
      <c r="D104" s="24" t="n"/>
      <c r="E104" s="24" t="n"/>
      <c r="F104" s="24" t="n"/>
      <c r="G104" s="17">
        <f>IF(D104="","",F104/D104)</f>
        <v/>
      </c>
      <c r="H104" s="17" t="n"/>
      <c r="I104" s="24" t="n"/>
      <c r="J104" s="42">
        <f>IF(D104="","",I104/D104)</f>
        <v/>
      </c>
      <c r="K104" s="24" t="n"/>
      <c r="L104" s="42" t="n"/>
    </row>
    <row r="105" ht="22" customHeight="1">
      <c r="B105" s="20">
        <f>IF(C105="","SKM-"&amp;TEXT(COUNTA($C$5:C105),"000"))</f>
        <v/>
      </c>
      <c r="C105" s="13" t="n"/>
      <c r="D105" s="22" t="n"/>
      <c r="E105" s="22" t="n"/>
      <c r="F105" s="22" t="n"/>
      <c r="G105" s="14">
        <f>IF(D105="","",F105/D105)</f>
        <v/>
      </c>
      <c r="H105" s="14" t="n"/>
      <c r="I105" s="22" t="n"/>
      <c r="J105" s="40">
        <f>IF(D105="","",I105/D105)</f>
        <v/>
      </c>
      <c r="K105" s="22" t="n"/>
      <c r="L105" s="40" t="n"/>
    </row>
    <row r="106" ht="22" customHeight="1">
      <c r="B106" s="19">
        <f>IF(C106="","SKM-"&amp;TEXT(COUNTA($C$5:C106),"000"))</f>
        <v/>
      </c>
      <c r="C106" s="16" t="n"/>
      <c r="D106" s="24" t="n"/>
      <c r="E106" s="24" t="n"/>
      <c r="F106" s="24" t="n"/>
      <c r="G106" s="17">
        <f>IF(D106="","",F106/D106)</f>
        <v/>
      </c>
      <c r="H106" s="17" t="n"/>
      <c r="I106" s="24" t="n"/>
      <c r="J106" s="42">
        <f>IF(D106="","",I106/D106)</f>
        <v/>
      </c>
      <c r="K106" s="24" t="n"/>
      <c r="L106" s="42" t="n"/>
    </row>
    <row r="107" ht="22" customHeight="1">
      <c r="B107" s="20">
        <f>IF(C107="","SKM-"&amp;TEXT(COUNTA($C$5:C107),"000"))</f>
        <v/>
      </c>
      <c r="C107" s="13" t="n"/>
      <c r="D107" s="22" t="n"/>
      <c r="E107" s="22" t="n"/>
      <c r="F107" s="22" t="n"/>
      <c r="G107" s="14">
        <f>IF(D107="","",F107/D107)</f>
        <v/>
      </c>
      <c r="H107" s="14" t="n"/>
      <c r="I107" s="22" t="n"/>
      <c r="J107" s="40">
        <f>IF(D107="","",I107/D107)</f>
        <v/>
      </c>
      <c r="K107" s="22" t="n"/>
      <c r="L107" s="40" t="n"/>
    </row>
    <row r="108"/>
    <row r="109">
      <c r="B109" s="6" t="inlineStr">
        <is>
          <t>INDICATEURS (mis a jour automatiquement)</t>
        </is>
      </c>
    </row>
    <row r="110">
      <c r="B110" s="3" t="inlineStr">
        <is>
          <t>Mois suivis</t>
        </is>
      </c>
      <c r="D110" s="3" t="inlineStr">
        <is>
          <t>Rotation moy. (%)</t>
        </is>
      </c>
      <c r="F110" s="3" t="inlineStr">
        <is>
          <t>H form. / employe moy.</t>
        </is>
      </c>
    </row>
    <row r="111">
      <c r="B111" s="4">
        <f>COUNTIF(B5:B104,"&lt;&gt;")</f>
        <v/>
      </c>
      <c r="D111" s="4">
        <f>IFERROR(AVERAGE(G5:G104),0)</f>
        <v/>
      </c>
      <c r="F111" s="4">
        <f>IFERROR(AVERAGE(J5:J104),0)</f>
        <v/>
      </c>
    </row>
  </sheetData>
  <mergeCells count="3">
    <mergeCell ref="B2:L2"/>
    <mergeCell ref="B109:L109"/>
    <mergeCell ref="B3:L3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conditionalFormatting sqref="G5:G104">
    <cfRule type="dataBar" priority="12">
      <dataBar>
        <cfvo type="num" val="0"/>
        <cfvo type="num" val="0.2"/>
        <color rgb="00FF6B6B"/>
      </dataBar>
    </cfRule>
  </conditionalFormatting>
  <conditionalFormatting sqref="H5:H104">
    <cfRule type="dataBar" priority="12">
      <dataBar>
        <cfvo type="num" val="0"/>
        <cfvo type="num" val="0.2"/>
        <color rgb="00FF6B6B"/>
      </dataBar>
    </cfRule>
  </conditionalFormatting>
  <conditionalFormatting sqref="L5:L104">
    <cfRule type="dataBar" priority="14">
      <dataBar>
        <cfvo type="num" val="0"/>
        <cfvo type="num" val="5"/>
        <color rgb="004472C4"/>
      </dataBar>
    </cfRule>
  </conditionalFormatting>
  <dataValidations count="1">
    <dataValidation sqref="C5:C111" showDropDown="0" showInputMessage="0" showErrorMessage="0" allowBlank="1" errorTitle="Valeur invalide" error="Veuillez choisir dans la liste: mois" promptTitle="mois" prompt="Choisir: mois" type="list">
      <formula1>'_Lists'!$R$2:$R$50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2" customWidth="1" min="4" max="4"/>
    <col width="22" customWidth="1" min="5" max="5"/>
    <col width="16" customWidth="1" min="6" max="6"/>
    <col width="24" customWidth="1" min="7" max="7"/>
    <col width="26" customWidth="1" min="8" max="8"/>
    <col width="18" customWidth="1" min="9" max="9"/>
    <col width="18" customWidth="1" min="10" max="10"/>
    <col width="36" customWidth="1" min="11" max="11"/>
  </cols>
  <sheetData>
    <row r="1" ht="15" customHeight="1"/>
    <row r="2" ht="32" customHeight="1">
      <c r="B2" s="1" t="inlineStr">
        <is>
          <t>ANALYSE BUDGET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Categorie Budget</t>
        </is>
      </c>
      <c r="D4" s="12" t="inlineStr">
        <is>
          <t>Budget 2024 (FCFA)</t>
        </is>
      </c>
      <c r="E4" s="12" t="inlineStr">
        <is>
          <t>Budget 2025 (FCFA)</t>
        </is>
      </c>
      <c r="F4" s="12" t="inlineStr">
        <is>
          <t>Evolution (%)</t>
        </is>
      </c>
      <c r="G4" s="12" t="inlineStr">
        <is>
          <t>Realise T1 2025 (FCFA)</t>
        </is>
      </c>
      <c r="H4" s="12" t="inlineStr">
        <is>
          <t>Prorata T1 attendu (FCFA)</t>
        </is>
      </c>
      <c r="I4" s="12" t="inlineStr">
        <is>
          <t>Ecart T1 (FCFA)</t>
        </is>
      </c>
      <c r="J4" s="12" t="inlineStr">
        <is>
          <t>Statut</t>
        </is>
      </c>
      <c r="K4" s="12" t="inlineStr">
        <is>
          <t>Observations</t>
        </is>
      </c>
    </row>
    <row r="5" ht="22" customHeight="1">
      <c r="B5" s="13" t="inlineStr">
        <is>
          <t>AB-001</t>
        </is>
      </c>
      <c r="C5" s="13" t="inlineStr">
        <is>
          <t>Salaires &amp; primes</t>
        </is>
      </c>
      <c r="D5" s="22" t="n">
        <v>88000000</v>
      </c>
      <c r="E5" s="22" t="n">
        <v>96000000</v>
      </c>
      <c r="F5" s="14" t="n"/>
      <c r="G5" s="22" t="n">
        <v>24500000</v>
      </c>
      <c r="H5" s="22" t="n"/>
      <c r="I5" s="22" t="n"/>
      <c r="J5" s="13" t="inlineStr">
        <is>
          <t>En execution</t>
        </is>
      </c>
      <c r="K5" s="13" t="inlineStr">
        <is>
          <t>Hausse liee a revalorisation</t>
        </is>
      </c>
    </row>
    <row r="6" ht="22" customHeight="1">
      <c r="B6" s="16" t="inlineStr">
        <is>
          <t>AB-002</t>
        </is>
      </c>
      <c r="C6" s="16" t="inlineStr">
        <is>
          <t>Charges sociales</t>
        </is>
      </c>
      <c r="D6" s="24" t="n">
        <v>10500000</v>
      </c>
      <c r="E6" s="24" t="n">
        <v>11520000</v>
      </c>
      <c r="F6" s="17" t="n"/>
      <c r="G6" s="24" t="n">
        <v>2940000</v>
      </c>
      <c r="H6" s="24" t="n"/>
      <c r="I6" s="24" t="n"/>
      <c r="J6" s="16" t="inlineStr">
        <is>
          <t>En execution</t>
        </is>
      </c>
      <c r="K6" s="16" t="inlineStr">
        <is>
          <t>Taux CNPS stable</t>
        </is>
      </c>
    </row>
    <row r="7" ht="22" customHeight="1">
      <c r="B7" s="13" t="inlineStr">
        <is>
          <t>AB-003</t>
        </is>
      </c>
      <c r="C7" s="13" t="inlineStr">
        <is>
          <t>Formation</t>
        </is>
      </c>
      <c r="D7" s="22" t="n">
        <v>3600000</v>
      </c>
      <c r="E7" s="22" t="n">
        <v>4800000</v>
      </c>
      <c r="F7" s="14" t="n"/>
      <c r="G7" s="22" t="n">
        <v>1200000</v>
      </c>
      <c r="H7" s="22" t="n"/>
      <c r="I7" s="22" t="n"/>
      <c r="J7" s="13" t="inlineStr">
        <is>
          <t>En execution</t>
        </is>
      </c>
      <c r="K7" s="13" t="inlineStr">
        <is>
          <t>Doubler vs 2024</t>
        </is>
      </c>
    </row>
    <row r="8" ht="22" customHeight="1">
      <c r="B8" s="16" t="inlineStr">
        <is>
          <t>AB-004</t>
        </is>
      </c>
      <c r="C8" s="16" t="inlineStr">
        <is>
          <t>Recrutement</t>
        </is>
      </c>
      <c r="D8" s="24" t="n">
        <v>1800000</v>
      </c>
      <c r="E8" s="24" t="n">
        <v>2400000</v>
      </c>
      <c r="F8" s="17" t="n"/>
      <c r="G8" s="24" t="n">
        <v>850000</v>
      </c>
      <c r="H8" s="24" t="n"/>
      <c r="I8" s="24" t="n"/>
      <c r="J8" s="16" t="inlineStr">
        <is>
          <t>En execution</t>
        </is>
      </c>
      <c r="K8" s="16" t="inlineStr">
        <is>
          <t>Hausse remplacements imprevus</t>
        </is>
      </c>
    </row>
    <row r="9" ht="22" customHeight="1">
      <c r="B9" s="13" t="inlineStr">
        <is>
          <t>AB-005</t>
        </is>
      </c>
      <c r="C9" s="13" t="inlineStr">
        <is>
          <t>Santé &amp; sécurité</t>
        </is>
      </c>
      <c r="D9" s="22" t="n">
        <v>1500000</v>
      </c>
      <c r="E9" s="22" t="n">
        <v>1800000</v>
      </c>
      <c r="F9" s="14" t="n"/>
      <c r="G9" s="22" t="n">
        <v>450000</v>
      </c>
      <c r="H9" s="22" t="n"/>
      <c r="I9" s="22" t="n"/>
      <c r="J9" s="13" t="inlineStr">
        <is>
          <t>En execution</t>
        </is>
      </c>
      <c r="K9" s="13" t="inlineStr">
        <is>
          <t>Visites medicales + securite</t>
        </is>
      </c>
    </row>
    <row r="10" ht="22" customHeight="1">
      <c r="B10" s="19">
        <f>IF(C10="","AB-"&amp;TEXT(COUNTA($C$5:C10),"000"))</f>
        <v/>
      </c>
      <c r="C10" s="16" t="n"/>
      <c r="D10" s="24" t="n"/>
      <c r="E10" s="24" t="n"/>
      <c r="F10" s="17">
        <f>IF(D10="","",E10/D10-1)</f>
        <v/>
      </c>
      <c r="G10" s="24" t="n"/>
      <c r="H10" s="24">
        <f>IF(E10="","",E10/4)</f>
        <v/>
      </c>
      <c r="I10" s="24">
        <f>IF(OR(H10="",G10=""),"",H10-G10)</f>
        <v/>
      </c>
      <c r="J10" s="16" t="n"/>
      <c r="K10" s="16" t="n"/>
    </row>
    <row r="11" ht="22" customHeight="1">
      <c r="B11" s="20">
        <f>IF(C11="","AB-"&amp;TEXT(COUNTA($C$5:C11),"000"))</f>
        <v/>
      </c>
      <c r="C11" s="13" t="n"/>
      <c r="D11" s="22" t="n"/>
      <c r="E11" s="22" t="n"/>
      <c r="F11" s="14">
        <f>IF(D11="","",E11/D11-1)</f>
        <v/>
      </c>
      <c r="G11" s="22" t="n"/>
      <c r="H11" s="22">
        <f>IF(E11="","",E11/4)</f>
        <v/>
      </c>
      <c r="I11" s="22">
        <f>IF(OR(H11="",G11=""),"",H11-G11)</f>
        <v/>
      </c>
      <c r="J11" s="13" t="n"/>
      <c r="K11" s="13" t="n"/>
    </row>
    <row r="12" ht="22" customHeight="1">
      <c r="B12" s="19">
        <f>IF(C12="","AB-"&amp;TEXT(COUNTA($C$5:C12),"000"))</f>
        <v/>
      </c>
      <c r="C12" s="16" t="n"/>
      <c r="D12" s="24" t="n"/>
      <c r="E12" s="24" t="n"/>
      <c r="F12" s="17">
        <f>IF(D12="","",E12/D12-1)</f>
        <v/>
      </c>
      <c r="G12" s="24" t="n"/>
      <c r="H12" s="24">
        <f>IF(E12="","",E12/4)</f>
        <v/>
      </c>
      <c r="I12" s="24">
        <f>IF(OR(H12="",G12=""),"",H12-G12)</f>
        <v/>
      </c>
      <c r="J12" s="16" t="n"/>
      <c r="K12" s="16" t="n"/>
    </row>
    <row r="13" ht="22" customHeight="1">
      <c r="B13" s="20">
        <f>IF(C13="","AB-"&amp;TEXT(COUNTA($C$5:C13),"000"))</f>
        <v/>
      </c>
      <c r="C13" s="13" t="n"/>
      <c r="D13" s="22" t="n"/>
      <c r="E13" s="22" t="n"/>
      <c r="F13" s="14">
        <f>IF(D13="","",E13/D13-1)</f>
        <v/>
      </c>
      <c r="G13" s="22" t="n"/>
      <c r="H13" s="22">
        <f>IF(E13="","",E13/4)</f>
        <v/>
      </c>
      <c r="I13" s="22">
        <f>IF(OR(H13="",G13=""),"",H13-G13)</f>
        <v/>
      </c>
      <c r="J13" s="13" t="n"/>
      <c r="K13" s="13" t="n"/>
    </row>
    <row r="14" ht="22" customHeight="1">
      <c r="B14" s="19">
        <f>IF(C14="","AB-"&amp;TEXT(COUNTA($C$5:C14),"000"))</f>
        <v/>
      </c>
      <c r="C14" s="16" t="n"/>
      <c r="D14" s="24" t="n"/>
      <c r="E14" s="24" t="n"/>
      <c r="F14" s="17">
        <f>IF(D14="","",E14/D14-1)</f>
        <v/>
      </c>
      <c r="G14" s="24" t="n"/>
      <c r="H14" s="24">
        <f>IF(E14="","",E14/4)</f>
        <v/>
      </c>
      <c r="I14" s="24">
        <f>IF(OR(H14="",G14=""),"",H14-G14)</f>
        <v/>
      </c>
      <c r="J14" s="16" t="n"/>
      <c r="K14" s="16" t="n"/>
    </row>
    <row r="15" ht="22" customHeight="1">
      <c r="B15" s="20">
        <f>IF(C15="","AB-"&amp;TEXT(COUNTA($C$5:C15),"000"))</f>
        <v/>
      </c>
      <c r="C15" s="13" t="n"/>
      <c r="D15" s="22" t="n"/>
      <c r="E15" s="22" t="n"/>
      <c r="F15" s="14">
        <f>IF(D15="","",E15/D15-1)</f>
        <v/>
      </c>
      <c r="G15" s="22" t="n"/>
      <c r="H15" s="22">
        <f>IF(E15="","",E15/4)</f>
        <v/>
      </c>
      <c r="I15" s="22">
        <f>IF(OR(H15="",G15=""),"",H15-G15)</f>
        <v/>
      </c>
      <c r="J15" s="13" t="n"/>
      <c r="K15" s="13" t="n"/>
    </row>
    <row r="16" ht="22" customHeight="1">
      <c r="B16" s="19">
        <f>IF(C16="","AB-"&amp;TEXT(COUNTA($C$5:C16),"000"))</f>
        <v/>
      </c>
      <c r="C16" s="16" t="n"/>
      <c r="D16" s="24" t="n"/>
      <c r="E16" s="24" t="n"/>
      <c r="F16" s="17">
        <f>IF(D16="","",E16/D16-1)</f>
        <v/>
      </c>
      <c r="G16" s="24" t="n"/>
      <c r="H16" s="24">
        <f>IF(E16="","",E16/4)</f>
        <v/>
      </c>
      <c r="I16" s="24">
        <f>IF(OR(H16="",G16=""),"",H16-G16)</f>
        <v/>
      </c>
      <c r="J16" s="16" t="n"/>
      <c r="K16" s="16" t="n"/>
    </row>
    <row r="17" ht="22" customHeight="1">
      <c r="B17" s="20">
        <f>IF(C17="","AB-"&amp;TEXT(COUNTA($C$5:C17),"000"))</f>
        <v/>
      </c>
      <c r="C17" s="13" t="n"/>
      <c r="D17" s="22" t="n"/>
      <c r="E17" s="22" t="n"/>
      <c r="F17" s="14">
        <f>IF(D17="","",E17/D17-1)</f>
        <v/>
      </c>
      <c r="G17" s="22" t="n"/>
      <c r="H17" s="22">
        <f>IF(E17="","",E17/4)</f>
        <v/>
      </c>
      <c r="I17" s="22">
        <f>IF(OR(H17="",G17=""),"",H17-G17)</f>
        <v/>
      </c>
      <c r="J17" s="13" t="n"/>
      <c r="K17" s="13" t="n"/>
    </row>
    <row r="18" ht="22" customHeight="1">
      <c r="B18" s="19">
        <f>IF(C18="","AB-"&amp;TEXT(COUNTA($C$5:C18),"000"))</f>
        <v/>
      </c>
      <c r="C18" s="16" t="n"/>
      <c r="D18" s="24" t="n"/>
      <c r="E18" s="24" t="n"/>
      <c r="F18" s="17">
        <f>IF(D18="","",E18/D18-1)</f>
        <v/>
      </c>
      <c r="G18" s="24" t="n"/>
      <c r="H18" s="24">
        <f>IF(E18="","",E18/4)</f>
        <v/>
      </c>
      <c r="I18" s="24">
        <f>IF(OR(H18="",G18=""),"",H18-G18)</f>
        <v/>
      </c>
      <c r="J18" s="16" t="n"/>
      <c r="K18" s="16" t="n"/>
    </row>
    <row r="19" ht="22" customHeight="1">
      <c r="B19" s="20">
        <f>IF(C19="","AB-"&amp;TEXT(COUNTA($C$5:C19),"000"))</f>
        <v/>
      </c>
      <c r="C19" s="13" t="n"/>
      <c r="D19" s="22" t="n"/>
      <c r="E19" s="22" t="n"/>
      <c r="F19" s="14">
        <f>IF(D19="","",E19/D19-1)</f>
        <v/>
      </c>
      <c r="G19" s="22" t="n"/>
      <c r="H19" s="22">
        <f>IF(E19="","",E19/4)</f>
        <v/>
      </c>
      <c r="I19" s="22">
        <f>IF(OR(H19="",G19=""),"",H19-G19)</f>
        <v/>
      </c>
      <c r="J19" s="13" t="n"/>
      <c r="K19" s="13" t="n"/>
    </row>
    <row r="20" ht="22" customHeight="1">
      <c r="B20" s="19">
        <f>IF(C20="","AB-"&amp;TEXT(COUNTA($C$5:C20),"000"))</f>
        <v/>
      </c>
      <c r="C20" s="16" t="n"/>
      <c r="D20" s="24" t="n"/>
      <c r="E20" s="24" t="n"/>
      <c r="F20" s="17">
        <f>IF(D20="","",E20/D20-1)</f>
        <v/>
      </c>
      <c r="G20" s="24" t="n"/>
      <c r="H20" s="24">
        <f>IF(E20="","",E20/4)</f>
        <v/>
      </c>
      <c r="I20" s="24">
        <f>IF(OR(H20="",G20=""),"",H20-G20)</f>
        <v/>
      </c>
      <c r="J20" s="16" t="n"/>
      <c r="K20" s="16" t="n"/>
    </row>
    <row r="21" ht="22" customHeight="1">
      <c r="B21" s="20">
        <f>IF(C21="","AB-"&amp;TEXT(COUNTA($C$5:C21),"000"))</f>
        <v/>
      </c>
      <c r="C21" s="13" t="n"/>
      <c r="D21" s="22" t="n"/>
      <c r="E21" s="22" t="n"/>
      <c r="F21" s="14">
        <f>IF(D21="","",E21/D21-1)</f>
        <v/>
      </c>
      <c r="G21" s="22" t="n"/>
      <c r="H21" s="22">
        <f>IF(E21="","",E21/4)</f>
        <v/>
      </c>
      <c r="I21" s="22">
        <f>IF(OR(H21="",G21=""),"",H21-G21)</f>
        <v/>
      </c>
      <c r="J21" s="13" t="n"/>
      <c r="K21" s="13" t="n"/>
    </row>
    <row r="22" ht="22" customHeight="1">
      <c r="B22" s="19">
        <f>IF(C22="","AB-"&amp;TEXT(COUNTA($C$5:C22),"000"))</f>
        <v/>
      </c>
      <c r="C22" s="16" t="n"/>
      <c r="D22" s="24" t="n"/>
      <c r="E22" s="24" t="n"/>
      <c r="F22" s="17">
        <f>IF(D22="","",E22/D22-1)</f>
        <v/>
      </c>
      <c r="G22" s="24" t="n"/>
      <c r="H22" s="24">
        <f>IF(E22="","",E22/4)</f>
        <v/>
      </c>
      <c r="I22" s="24">
        <f>IF(OR(H22="",G22=""),"",H22-G22)</f>
        <v/>
      </c>
      <c r="J22" s="16" t="n"/>
      <c r="K22" s="16" t="n"/>
    </row>
    <row r="23" ht="22" customHeight="1">
      <c r="B23" s="20">
        <f>IF(C23="","AB-"&amp;TEXT(COUNTA($C$5:C23),"000"))</f>
        <v/>
      </c>
      <c r="C23" s="13" t="n"/>
      <c r="D23" s="22" t="n"/>
      <c r="E23" s="22" t="n"/>
      <c r="F23" s="14">
        <f>IF(D23="","",E23/D23-1)</f>
        <v/>
      </c>
      <c r="G23" s="22" t="n"/>
      <c r="H23" s="22">
        <f>IF(E23="","",E23/4)</f>
        <v/>
      </c>
      <c r="I23" s="22">
        <f>IF(OR(H23="",G23=""),"",H23-G23)</f>
        <v/>
      </c>
      <c r="J23" s="13" t="n"/>
      <c r="K23" s="13" t="n"/>
    </row>
    <row r="24" ht="22" customHeight="1">
      <c r="B24" s="19">
        <f>IF(C24="","AB-"&amp;TEXT(COUNTA($C$5:C24),"000"))</f>
        <v/>
      </c>
      <c r="C24" s="16" t="n"/>
      <c r="D24" s="24" t="n"/>
      <c r="E24" s="24" t="n"/>
      <c r="F24" s="17">
        <f>IF(D24="","",E24/D24-1)</f>
        <v/>
      </c>
      <c r="G24" s="24" t="n"/>
      <c r="H24" s="24">
        <f>IF(E24="","",E24/4)</f>
        <v/>
      </c>
      <c r="I24" s="24">
        <f>IF(OR(H24="",G24=""),"",H24-G24)</f>
        <v/>
      </c>
      <c r="J24" s="16" t="n"/>
      <c r="K24" s="16" t="n"/>
    </row>
    <row r="25" ht="22" customHeight="1">
      <c r="B25" s="20">
        <f>IF(C25="","AB-"&amp;TEXT(COUNTA($C$5:C25),"000"))</f>
        <v/>
      </c>
      <c r="C25" s="13" t="n"/>
      <c r="D25" s="22" t="n"/>
      <c r="E25" s="22" t="n"/>
      <c r="F25" s="14">
        <f>IF(D25="","",E25/D25-1)</f>
        <v/>
      </c>
      <c r="G25" s="22" t="n"/>
      <c r="H25" s="22">
        <f>IF(E25="","",E25/4)</f>
        <v/>
      </c>
      <c r="I25" s="22">
        <f>IF(OR(H25="",G25=""),"",H25-G25)</f>
        <v/>
      </c>
      <c r="J25" s="13" t="n"/>
      <c r="K25" s="13" t="n"/>
    </row>
    <row r="26" ht="22" customHeight="1">
      <c r="B26" s="19">
        <f>IF(C26="","AB-"&amp;TEXT(COUNTA($C$5:C26),"000"))</f>
        <v/>
      </c>
      <c r="C26" s="16" t="n"/>
      <c r="D26" s="24" t="n"/>
      <c r="E26" s="24" t="n"/>
      <c r="F26" s="17">
        <f>IF(D26="","",E26/D26-1)</f>
        <v/>
      </c>
      <c r="G26" s="24" t="n"/>
      <c r="H26" s="24">
        <f>IF(E26="","",E26/4)</f>
        <v/>
      </c>
      <c r="I26" s="24">
        <f>IF(OR(H26="",G26=""),"",H26-G26)</f>
        <v/>
      </c>
      <c r="J26" s="16" t="n"/>
      <c r="K26" s="16" t="n"/>
    </row>
    <row r="27" ht="22" customHeight="1">
      <c r="B27" s="20">
        <f>IF(C27="","AB-"&amp;TEXT(COUNTA($C$5:C27),"000"))</f>
        <v/>
      </c>
      <c r="C27" s="13" t="n"/>
      <c r="D27" s="22" t="n"/>
      <c r="E27" s="22" t="n"/>
      <c r="F27" s="14">
        <f>IF(D27="","",E27/D27-1)</f>
        <v/>
      </c>
      <c r="G27" s="22" t="n"/>
      <c r="H27" s="22">
        <f>IF(E27="","",E27/4)</f>
        <v/>
      </c>
      <c r="I27" s="22">
        <f>IF(OR(H27="",G27=""),"",H27-G27)</f>
        <v/>
      </c>
      <c r="J27" s="13" t="n"/>
      <c r="K27" s="13" t="n"/>
    </row>
    <row r="28" ht="22" customHeight="1">
      <c r="B28" s="19">
        <f>IF(C28="","AB-"&amp;TEXT(COUNTA($C$5:C28),"000"))</f>
        <v/>
      </c>
      <c r="C28" s="16" t="n"/>
      <c r="D28" s="24" t="n"/>
      <c r="E28" s="24" t="n"/>
      <c r="F28" s="17">
        <f>IF(D28="","",E28/D28-1)</f>
        <v/>
      </c>
      <c r="G28" s="24" t="n"/>
      <c r="H28" s="24">
        <f>IF(E28="","",E28/4)</f>
        <v/>
      </c>
      <c r="I28" s="24">
        <f>IF(OR(H28="",G28=""),"",H28-G28)</f>
        <v/>
      </c>
      <c r="J28" s="16" t="n"/>
      <c r="K28" s="16" t="n"/>
    </row>
    <row r="29" ht="22" customHeight="1">
      <c r="B29" s="20">
        <f>IF(C29="","AB-"&amp;TEXT(COUNTA($C$5:C29),"000"))</f>
        <v/>
      </c>
      <c r="C29" s="13" t="n"/>
      <c r="D29" s="22" t="n"/>
      <c r="E29" s="22" t="n"/>
      <c r="F29" s="14">
        <f>IF(D29="","",E29/D29-1)</f>
        <v/>
      </c>
      <c r="G29" s="22" t="n"/>
      <c r="H29" s="22">
        <f>IF(E29="","",E29/4)</f>
        <v/>
      </c>
      <c r="I29" s="22">
        <f>IF(OR(H29="",G29=""),"",H29-G29)</f>
        <v/>
      </c>
      <c r="J29" s="13" t="n"/>
      <c r="K29" s="13" t="n"/>
    </row>
    <row r="30" ht="22" customHeight="1">
      <c r="B30" s="19">
        <f>IF(C30="","AB-"&amp;TEXT(COUNTA($C$5:C30),"000"))</f>
        <v/>
      </c>
      <c r="C30" s="16" t="n"/>
      <c r="D30" s="24" t="n"/>
      <c r="E30" s="24" t="n"/>
      <c r="F30" s="17">
        <f>IF(D30="","",E30/D30-1)</f>
        <v/>
      </c>
      <c r="G30" s="24" t="n"/>
      <c r="H30" s="24">
        <f>IF(E30="","",E30/4)</f>
        <v/>
      </c>
      <c r="I30" s="24">
        <f>IF(OR(H30="",G30=""),"",H30-G30)</f>
        <v/>
      </c>
      <c r="J30" s="16" t="n"/>
      <c r="K30" s="16" t="n"/>
    </row>
    <row r="31" ht="22" customHeight="1">
      <c r="B31" s="20">
        <f>IF(C31="","AB-"&amp;TEXT(COUNTA($C$5:C31),"000"))</f>
        <v/>
      </c>
      <c r="C31" s="13" t="n"/>
      <c r="D31" s="22" t="n"/>
      <c r="E31" s="22" t="n"/>
      <c r="F31" s="14">
        <f>IF(D31="","",E31/D31-1)</f>
        <v/>
      </c>
      <c r="G31" s="22" t="n"/>
      <c r="H31" s="22">
        <f>IF(E31="","",E31/4)</f>
        <v/>
      </c>
      <c r="I31" s="22">
        <f>IF(OR(H31="",G31=""),"",H31-G31)</f>
        <v/>
      </c>
      <c r="J31" s="13" t="n"/>
      <c r="K31" s="13" t="n"/>
    </row>
    <row r="32" ht="22" customHeight="1">
      <c r="B32" s="19">
        <f>IF(C32="","AB-"&amp;TEXT(COUNTA($C$5:C32),"000"))</f>
        <v/>
      </c>
      <c r="C32" s="16" t="n"/>
      <c r="D32" s="24" t="n"/>
      <c r="E32" s="24" t="n"/>
      <c r="F32" s="17">
        <f>IF(D32="","",E32/D32-1)</f>
        <v/>
      </c>
      <c r="G32" s="24" t="n"/>
      <c r="H32" s="24">
        <f>IF(E32="","",E32/4)</f>
        <v/>
      </c>
      <c r="I32" s="24">
        <f>IF(OR(H32="",G32=""),"",H32-G32)</f>
        <v/>
      </c>
      <c r="J32" s="16" t="n"/>
      <c r="K32" s="16" t="n"/>
    </row>
    <row r="33" ht="22" customHeight="1">
      <c r="B33" s="20">
        <f>IF(C33="","AB-"&amp;TEXT(COUNTA($C$5:C33),"000"))</f>
        <v/>
      </c>
      <c r="C33" s="13" t="n"/>
      <c r="D33" s="22" t="n"/>
      <c r="E33" s="22" t="n"/>
      <c r="F33" s="14">
        <f>IF(D33="","",E33/D33-1)</f>
        <v/>
      </c>
      <c r="G33" s="22" t="n"/>
      <c r="H33" s="22">
        <f>IF(E33="","",E33/4)</f>
        <v/>
      </c>
      <c r="I33" s="22">
        <f>IF(OR(H33="",G33=""),"",H33-G33)</f>
        <v/>
      </c>
      <c r="J33" s="13" t="n"/>
      <c r="K33" s="13" t="n"/>
    </row>
    <row r="34" ht="22" customHeight="1">
      <c r="B34" s="19">
        <f>IF(C34="","AB-"&amp;TEXT(COUNTA($C$5:C34),"000"))</f>
        <v/>
      </c>
      <c r="C34" s="16" t="n"/>
      <c r="D34" s="24" t="n"/>
      <c r="E34" s="24" t="n"/>
      <c r="F34" s="17">
        <f>IF(D34="","",E34/D34-1)</f>
        <v/>
      </c>
      <c r="G34" s="24" t="n"/>
      <c r="H34" s="24">
        <f>IF(E34="","",E34/4)</f>
        <v/>
      </c>
      <c r="I34" s="24">
        <f>IF(OR(H34="",G34=""),"",H34-G34)</f>
        <v/>
      </c>
      <c r="J34" s="16" t="n"/>
      <c r="K34" s="16" t="n"/>
    </row>
    <row r="35" ht="22" customHeight="1">
      <c r="B35" s="20">
        <f>IF(C35="","AB-"&amp;TEXT(COUNTA($C$5:C35),"000"))</f>
        <v/>
      </c>
      <c r="C35" s="13" t="n"/>
      <c r="D35" s="22" t="n"/>
      <c r="E35" s="22" t="n"/>
      <c r="F35" s="14">
        <f>IF(D35="","",E35/D35-1)</f>
        <v/>
      </c>
      <c r="G35" s="22" t="n"/>
      <c r="H35" s="22">
        <f>IF(E35="","",E35/4)</f>
        <v/>
      </c>
      <c r="I35" s="22">
        <f>IF(OR(H35="",G35=""),"",H35-G35)</f>
        <v/>
      </c>
      <c r="J35" s="13" t="n"/>
      <c r="K35" s="13" t="n"/>
    </row>
    <row r="36" ht="22" customHeight="1">
      <c r="B36" s="19">
        <f>IF(C36="","AB-"&amp;TEXT(COUNTA($C$5:C36),"000"))</f>
        <v/>
      </c>
      <c r="C36" s="16" t="n"/>
      <c r="D36" s="24" t="n"/>
      <c r="E36" s="24" t="n"/>
      <c r="F36" s="17">
        <f>IF(D36="","",E36/D36-1)</f>
        <v/>
      </c>
      <c r="G36" s="24" t="n"/>
      <c r="H36" s="24">
        <f>IF(E36="","",E36/4)</f>
        <v/>
      </c>
      <c r="I36" s="24">
        <f>IF(OR(H36="",G36=""),"",H36-G36)</f>
        <v/>
      </c>
      <c r="J36" s="16" t="n"/>
      <c r="K36" s="16" t="n"/>
    </row>
    <row r="37" ht="22" customHeight="1">
      <c r="B37" s="20">
        <f>IF(C37="","AB-"&amp;TEXT(COUNTA($C$5:C37),"000"))</f>
        <v/>
      </c>
      <c r="C37" s="13" t="n"/>
      <c r="D37" s="22" t="n"/>
      <c r="E37" s="22" t="n"/>
      <c r="F37" s="14">
        <f>IF(D37="","",E37/D37-1)</f>
        <v/>
      </c>
      <c r="G37" s="22" t="n"/>
      <c r="H37" s="22">
        <f>IF(E37="","",E37/4)</f>
        <v/>
      </c>
      <c r="I37" s="22">
        <f>IF(OR(H37="",G37=""),"",H37-G37)</f>
        <v/>
      </c>
      <c r="J37" s="13" t="n"/>
      <c r="K37" s="13" t="n"/>
    </row>
    <row r="38" ht="22" customHeight="1">
      <c r="B38" s="19">
        <f>IF(C38="","AB-"&amp;TEXT(COUNTA($C$5:C38),"000"))</f>
        <v/>
      </c>
      <c r="C38" s="16" t="n"/>
      <c r="D38" s="24" t="n"/>
      <c r="E38" s="24" t="n"/>
      <c r="F38" s="17">
        <f>IF(D38="","",E38/D38-1)</f>
        <v/>
      </c>
      <c r="G38" s="24" t="n"/>
      <c r="H38" s="24">
        <f>IF(E38="","",E38/4)</f>
        <v/>
      </c>
      <c r="I38" s="24">
        <f>IF(OR(H38="",G38=""),"",H38-G38)</f>
        <v/>
      </c>
      <c r="J38" s="16" t="n"/>
      <c r="K38" s="16" t="n"/>
    </row>
    <row r="39" ht="22" customHeight="1">
      <c r="B39" s="20">
        <f>IF(C39="","AB-"&amp;TEXT(COUNTA($C$5:C39),"000"))</f>
        <v/>
      </c>
      <c r="C39" s="13" t="n"/>
      <c r="D39" s="22" t="n"/>
      <c r="E39" s="22" t="n"/>
      <c r="F39" s="14">
        <f>IF(D39="","",E39/D39-1)</f>
        <v/>
      </c>
      <c r="G39" s="22" t="n"/>
      <c r="H39" s="22">
        <f>IF(E39="","",E39/4)</f>
        <v/>
      </c>
      <c r="I39" s="22">
        <f>IF(OR(H39="",G39=""),"",H39-G39)</f>
        <v/>
      </c>
      <c r="J39" s="13" t="n"/>
      <c r="K39" s="13" t="n"/>
    </row>
    <row r="40" ht="22" customHeight="1">
      <c r="B40" s="19">
        <f>IF(C40="","AB-"&amp;TEXT(COUNTA($C$5:C40),"000"))</f>
        <v/>
      </c>
      <c r="C40" s="16" t="n"/>
      <c r="D40" s="24" t="n"/>
      <c r="E40" s="24" t="n"/>
      <c r="F40" s="17">
        <f>IF(D40="","",E40/D40-1)</f>
        <v/>
      </c>
      <c r="G40" s="24" t="n"/>
      <c r="H40" s="24">
        <f>IF(E40="","",E40/4)</f>
        <v/>
      </c>
      <c r="I40" s="24">
        <f>IF(OR(H40="",G40=""),"",H40-G40)</f>
        <v/>
      </c>
      <c r="J40" s="16" t="n"/>
      <c r="K40" s="16" t="n"/>
    </row>
    <row r="41" ht="22" customHeight="1">
      <c r="B41" s="20">
        <f>IF(C41="","AB-"&amp;TEXT(COUNTA($C$5:C41),"000"))</f>
        <v/>
      </c>
      <c r="C41" s="13" t="n"/>
      <c r="D41" s="22" t="n"/>
      <c r="E41" s="22" t="n"/>
      <c r="F41" s="14">
        <f>IF(D41="","",E41/D41-1)</f>
        <v/>
      </c>
      <c r="G41" s="22" t="n"/>
      <c r="H41" s="22">
        <f>IF(E41="","",E41/4)</f>
        <v/>
      </c>
      <c r="I41" s="22">
        <f>IF(OR(H41="",G41=""),"",H41-G41)</f>
        <v/>
      </c>
      <c r="J41" s="13" t="n"/>
      <c r="K41" s="13" t="n"/>
    </row>
    <row r="42" ht="22" customHeight="1">
      <c r="B42" s="19">
        <f>IF(C42="","AB-"&amp;TEXT(COUNTA($C$5:C42),"000"))</f>
        <v/>
      </c>
      <c r="C42" s="16" t="n"/>
      <c r="D42" s="24" t="n"/>
      <c r="E42" s="24" t="n"/>
      <c r="F42" s="17">
        <f>IF(D42="","",E42/D42-1)</f>
        <v/>
      </c>
      <c r="G42" s="24" t="n"/>
      <c r="H42" s="24">
        <f>IF(E42="","",E42/4)</f>
        <v/>
      </c>
      <c r="I42" s="24">
        <f>IF(OR(H42="",G42=""),"",H42-G42)</f>
        <v/>
      </c>
      <c r="J42" s="16" t="n"/>
      <c r="K42" s="16" t="n"/>
    </row>
    <row r="43" ht="22" customHeight="1">
      <c r="B43" s="20">
        <f>IF(C43="","AB-"&amp;TEXT(COUNTA($C$5:C43),"000"))</f>
        <v/>
      </c>
      <c r="C43" s="13" t="n"/>
      <c r="D43" s="22" t="n"/>
      <c r="E43" s="22" t="n"/>
      <c r="F43" s="14">
        <f>IF(D43="","",E43/D43-1)</f>
        <v/>
      </c>
      <c r="G43" s="22" t="n"/>
      <c r="H43" s="22">
        <f>IF(E43="","",E43/4)</f>
        <v/>
      </c>
      <c r="I43" s="22">
        <f>IF(OR(H43="",G43=""),"",H43-G43)</f>
        <v/>
      </c>
      <c r="J43" s="13" t="n"/>
      <c r="K43" s="13" t="n"/>
    </row>
    <row r="44" ht="22" customHeight="1">
      <c r="B44" s="19">
        <f>IF(C44="","AB-"&amp;TEXT(COUNTA($C$5:C44),"000"))</f>
        <v/>
      </c>
      <c r="C44" s="16" t="n"/>
      <c r="D44" s="24" t="n"/>
      <c r="E44" s="24" t="n"/>
      <c r="F44" s="17">
        <f>IF(D44="","",E44/D44-1)</f>
        <v/>
      </c>
      <c r="G44" s="24" t="n"/>
      <c r="H44" s="24">
        <f>IF(E44="","",E44/4)</f>
        <v/>
      </c>
      <c r="I44" s="24">
        <f>IF(OR(H44="",G44=""),"",H44-G44)</f>
        <v/>
      </c>
      <c r="J44" s="16" t="n"/>
      <c r="K44" s="16" t="n"/>
    </row>
    <row r="45" ht="22" customHeight="1">
      <c r="B45" s="20">
        <f>IF(C45="","AB-"&amp;TEXT(COUNTA($C$5:C45),"000"))</f>
        <v/>
      </c>
      <c r="C45" s="13" t="n"/>
      <c r="D45" s="22" t="n"/>
      <c r="E45" s="22" t="n"/>
      <c r="F45" s="14">
        <f>IF(D45="","",E45/D45-1)</f>
        <v/>
      </c>
      <c r="G45" s="22" t="n"/>
      <c r="H45" s="22">
        <f>IF(E45="","",E45/4)</f>
        <v/>
      </c>
      <c r="I45" s="22">
        <f>IF(OR(H45="",G45=""),"",H45-G45)</f>
        <v/>
      </c>
      <c r="J45" s="13" t="n"/>
      <c r="K45" s="13" t="n"/>
    </row>
    <row r="46" ht="22" customHeight="1">
      <c r="B46" s="19">
        <f>IF(C46="","AB-"&amp;TEXT(COUNTA($C$5:C46),"000"))</f>
        <v/>
      </c>
      <c r="C46" s="16" t="n"/>
      <c r="D46" s="24" t="n"/>
      <c r="E46" s="24" t="n"/>
      <c r="F46" s="17">
        <f>IF(D46="","",E46/D46-1)</f>
        <v/>
      </c>
      <c r="G46" s="24" t="n"/>
      <c r="H46" s="24">
        <f>IF(E46="","",E46/4)</f>
        <v/>
      </c>
      <c r="I46" s="24">
        <f>IF(OR(H46="",G46=""),"",H46-G46)</f>
        <v/>
      </c>
      <c r="J46" s="16" t="n"/>
      <c r="K46" s="16" t="n"/>
    </row>
    <row r="47" ht="22" customHeight="1">
      <c r="B47" s="20">
        <f>IF(C47="","AB-"&amp;TEXT(COUNTA($C$5:C47),"000"))</f>
        <v/>
      </c>
      <c r="C47" s="13" t="n"/>
      <c r="D47" s="22" t="n"/>
      <c r="E47" s="22" t="n"/>
      <c r="F47" s="14">
        <f>IF(D47="","",E47/D47-1)</f>
        <v/>
      </c>
      <c r="G47" s="22" t="n"/>
      <c r="H47" s="22">
        <f>IF(E47="","",E47/4)</f>
        <v/>
      </c>
      <c r="I47" s="22">
        <f>IF(OR(H47="",G47=""),"",H47-G47)</f>
        <v/>
      </c>
      <c r="J47" s="13" t="n"/>
      <c r="K47" s="13" t="n"/>
    </row>
    <row r="48" ht="22" customHeight="1">
      <c r="B48" s="19">
        <f>IF(C48="","AB-"&amp;TEXT(COUNTA($C$5:C48),"000"))</f>
        <v/>
      </c>
      <c r="C48" s="16" t="n"/>
      <c r="D48" s="24" t="n"/>
      <c r="E48" s="24" t="n"/>
      <c r="F48" s="17">
        <f>IF(D48="","",E48/D48-1)</f>
        <v/>
      </c>
      <c r="G48" s="24" t="n"/>
      <c r="H48" s="24">
        <f>IF(E48="","",E48/4)</f>
        <v/>
      </c>
      <c r="I48" s="24">
        <f>IF(OR(H48="",G48=""),"",H48-G48)</f>
        <v/>
      </c>
      <c r="J48" s="16" t="n"/>
      <c r="K48" s="16" t="n"/>
    </row>
    <row r="49" ht="22" customHeight="1">
      <c r="B49" s="20">
        <f>IF(C49="","AB-"&amp;TEXT(COUNTA($C$5:C49),"000"))</f>
        <v/>
      </c>
      <c r="C49" s="13" t="n"/>
      <c r="D49" s="22" t="n"/>
      <c r="E49" s="22" t="n"/>
      <c r="F49" s="14">
        <f>IF(D49="","",E49/D49-1)</f>
        <v/>
      </c>
      <c r="G49" s="22" t="n"/>
      <c r="H49" s="22">
        <f>IF(E49="","",E49/4)</f>
        <v/>
      </c>
      <c r="I49" s="22">
        <f>IF(OR(H49="",G49=""),"",H49-G49)</f>
        <v/>
      </c>
      <c r="J49" s="13" t="n"/>
      <c r="K49" s="13" t="n"/>
    </row>
    <row r="50" ht="22" customHeight="1">
      <c r="B50" s="19">
        <f>IF(C50="","AB-"&amp;TEXT(COUNTA($C$5:C50),"000"))</f>
        <v/>
      </c>
      <c r="C50" s="16" t="n"/>
      <c r="D50" s="24" t="n"/>
      <c r="E50" s="24" t="n"/>
      <c r="F50" s="17">
        <f>IF(D50="","",E50/D50-1)</f>
        <v/>
      </c>
      <c r="G50" s="24" t="n"/>
      <c r="H50" s="24">
        <f>IF(E50="","",E50/4)</f>
        <v/>
      </c>
      <c r="I50" s="24">
        <f>IF(OR(H50="",G50=""),"",H50-G50)</f>
        <v/>
      </c>
      <c r="J50" s="16" t="n"/>
      <c r="K50" s="16" t="n"/>
    </row>
    <row r="51" ht="22" customHeight="1">
      <c r="B51" s="20">
        <f>IF(C51="","AB-"&amp;TEXT(COUNTA($C$5:C51),"000"))</f>
        <v/>
      </c>
      <c r="C51" s="13" t="n"/>
      <c r="D51" s="22" t="n"/>
      <c r="E51" s="22" t="n"/>
      <c r="F51" s="14">
        <f>IF(D51="","",E51/D51-1)</f>
        <v/>
      </c>
      <c r="G51" s="22" t="n"/>
      <c r="H51" s="22">
        <f>IF(E51="","",E51/4)</f>
        <v/>
      </c>
      <c r="I51" s="22">
        <f>IF(OR(H51="",G51=""),"",H51-G51)</f>
        <v/>
      </c>
      <c r="J51" s="13" t="n"/>
      <c r="K51" s="13" t="n"/>
    </row>
    <row r="52" ht="22" customHeight="1">
      <c r="B52" s="19">
        <f>IF(C52="","AB-"&amp;TEXT(COUNTA($C$5:C52),"000"))</f>
        <v/>
      </c>
      <c r="C52" s="16" t="n"/>
      <c r="D52" s="24" t="n"/>
      <c r="E52" s="24" t="n"/>
      <c r="F52" s="17">
        <f>IF(D52="","",E52/D52-1)</f>
        <v/>
      </c>
      <c r="G52" s="24" t="n"/>
      <c r="H52" s="24">
        <f>IF(E52="","",E52/4)</f>
        <v/>
      </c>
      <c r="I52" s="24">
        <f>IF(OR(H52="",G52=""),"",H52-G52)</f>
        <v/>
      </c>
      <c r="J52" s="16" t="n"/>
      <c r="K52" s="16" t="n"/>
    </row>
    <row r="53" ht="22" customHeight="1">
      <c r="B53" s="20">
        <f>IF(C53="","AB-"&amp;TEXT(COUNTA($C$5:C53),"000"))</f>
        <v/>
      </c>
      <c r="C53" s="13" t="n"/>
      <c r="D53" s="22" t="n"/>
      <c r="E53" s="22" t="n"/>
      <c r="F53" s="14">
        <f>IF(D53="","",E53/D53-1)</f>
        <v/>
      </c>
      <c r="G53" s="22" t="n"/>
      <c r="H53" s="22">
        <f>IF(E53="","",E53/4)</f>
        <v/>
      </c>
      <c r="I53" s="22">
        <f>IF(OR(H53="",G53=""),"",H53-G53)</f>
        <v/>
      </c>
      <c r="J53" s="13" t="n"/>
      <c r="K53" s="13" t="n"/>
    </row>
    <row r="54" ht="22" customHeight="1">
      <c r="B54" s="19">
        <f>IF(C54="","AB-"&amp;TEXT(COUNTA($C$5:C54),"000"))</f>
        <v/>
      </c>
      <c r="C54" s="16" t="n"/>
      <c r="D54" s="24" t="n"/>
      <c r="E54" s="24" t="n"/>
      <c r="F54" s="17">
        <f>IF(D54="","",E54/D54-1)</f>
        <v/>
      </c>
      <c r="G54" s="24" t="n"/>
      <c r="H54" s="24">
        <f>IF(E54="","",E54/4)</f>
        <v/>
      </c>
      <c r="I54" s="24">
        <f>IF(OR(H54="",G54=""),"",H54-G54)</f>
        <v/>
      </c>
      <c r="J54" s="16" t="n"/>
      <c r="K54" s="16" t="n"/>
    </row>
    <row r="55" ht="22" customHeight="1">
      <c r="B55" s="20">
        <f>IF(C55="","AB-"&amp;TEXT(COUNTA($C$5:C55),"000"))</f>
        <v/>
      </c>
      <c r="C55" s="13" t="n"/>
      <c r="D55" s="22" t="n"/>
      <c r="E55" s="22" t="n"/>
      <c r="F55" s="14">
        <f>IF(D55="","",E55/D55-1)</f>
        <v/>
      </c>
      <c r="G55" s="22" t="n"/>
      <c r="H55" s="22">
        <f>IF(E55="","",E55/4)</f>
        <v/>
      </c>
      <c r="I55" s="22">
        <f>IF(OR(H55="",G55=""),"",H55-G55)</f>
        <v/>
      </c>
      <c r="J55" s="13" t="n"/>
      <c r="K55" s="13" t="n"/>
    </row>
    <row r="56" ht="22" customHeight="1">
      <c r="B56" s="19">
        <f>IF(C56="","AB-"&amp;TEXT(COUNTA($C$5:C56),"000"))</f>
        <v/>
      </c>
      <c r="C56" s="16" t="n"/>
      <c r="D56" s="24" t="n"/>
      <c r="E56" s="24" t="n"/>
      <c r="F56" s="17">
        <f>IF(D56="","",E56/D56-1)</f>
        <v/>
      </c>
      <c r="G56" s="24" t="n"/>
      <c r="H56" s="24">
        <f>IF(E56="","",E56/4)</f>
        <v/>
      </c>
      <c r="I56" s="24">
        <f>IF(OR(H56="",G56=""),"",H56-G56)</f>
        <v/>
      </c>
      <c r="J56" s="16" t="n"/>
      <c r="K56" s="16" t="n"/>
    </row>
    <row r="57" ht="22" customHeight="1">
      <c r="B57" s="20">
        <f>IF(C57="","AB-"&amp;TEXT(COUNTA($C$5:C57),"000"))</f>
        <v/>
      </c>
      <c r="C57" s="13" t="n"/>
      <c r="D57" s="22" t="n"/>
      <c r="E57" s="22" t="n"/>
      <c r="F57" s="14">
        <f>IF(D57="","",E57/D57-1)</f>
        <v/>
      </c>
      <c r="G57" s="22" t="n"/>
      <c r="H57" s="22">
        <f>IF(E57="","",E57/4)</f>
        <v/>
      </c>
      <c r="I57" s="22">
        <f>IF(OR(H57="",G57=""),"",H57-G57)</f>
        <v/>
      </c>
      <c r="J57" s="13" t="n"/>
      <c r="K57" s="13" t="n"/>
    </row>
    <row r="58" ht="22" customHeight="1">
      <c r="B58" s="19">
        <f>IF(C58="","AB-"&amp;TEXT(COUNTA($C$5:C58),"000"))</f>
        <v/>
      </c>
      <c r="C58" s="16" t="n"/>
      <c r="D58" s="24" t="n"/>
      <c r="E58" s="24" t="n"/>
      <c r="F58" s="17">
        <f>IF(D58="","",E58/D58-1)</f>
        <v/>
      </c>
      <c r="G58" s="24" t="n"/>
      <c r="H58" s="24">
        <f>IF(E58="","",E58/4)</f>
        <v/>
      </c>
      <c r="I58" s="24">
        <f>IF(OR(H58="",G58=""),"",H58-G58)</f>
        <v/>
      </c>
      <c r="J58" s="16" t="n"/>
      <c r="K58" s="16" t="n"/>
    </row>
    <row r="59" ht="22" customHeight="1">
      <c r="B59" s="20">
        <f>IF(C59="","AB-"&amp;TEXT(COUNTA($C$5:C59),"000"))</f>
        <v/>
      </c>
      <c r="C59" s="13" t="n"/>
      <c r="D59" s="22" t="n"/>
      <c r="E59" s="22" t="n"/>
      <c r="F59" s="14">
        <f>IF(D59="","",E59/D59-1)</f>
        <v/>
      </c>
      <c r="G59" s="22" t="n"/>
      <c r="H59" s="22">
        <f>IF(E59="","",E59/4)</f>
        <v/>
      </c>
      <c r="I59" s="22">
        <f>IF(OR(H59="",G59=""),"",H59-G59)</f>
        <v/>
      </c>
      <c r="J59" s="13" t="n"/>
      <c r="K59" s="13" t="n"/>
    </row>
    <row r="60" ht="22" customHeight="1">
      <c r="B60" s="19">
        <f>IF(C60="","AB-"&amp;TEXT(COUNTA($C$5:C60),"000"))</f>
        <v/>
      </c>
      <c r="C60" s="16" t="n"/>
      <c r="D60" s="24" t="n"/>
      <c r="E60" s="24" t="n"/>
      <c r="F60" s="17">
        <f>IF(D60="","",E60/D60-1)</f>
        <v/>
      </c>
      <c r="G60" s="24" t="n"/>
      <c r="H60" s="24">
        <f>IF(E60="","",E60/4)</f>
        <v/>
      </c>
      <c r="I60" s="24">
        <f>IF(OR(H60="",G60=""),"",H60-G60)</f>
        <v/>
      </c>
      <c r="J60" s="16" t="n"/>
      <c r="K60" s="16" t="n"/>
    </row>
    <row r="61" ht="22" customHeight="1">
      <c r="B61" s="20">
        <f>IF(C61="","AB-"&amp;TEXT(COUNTA($C$5:C61),"000"))</f>
        <v/>
      </c>
      <c r="C61" s="13" t="n"/>
      <c r="D61" s="22" t="n"/>
      <c r="E61" s="22" t="n"/>
      <c r="F61" s="14">
        <f>IF(D61="","",E61/D61-1)</f>
        <v/>
      </c>
      <c r="G61" s="22" t="n"/>
      <c r="H61" s="22">
        <f>IF(E61="","",E61/4)</f>
        <v/>
      </c>
      <c r="I61" s="22">
        <f>IF(OR(H61="",G61=""),"",H61-G61)</f>
        <v/>
      </c>
      <c r="J61" s="13" t="n"/>
      <c r="K61" s="13" t="n"/>
    </row>
    <row r="62" ht="22" customHeight="1">
      <c r="B62" s="19">
        <f>IF(C62="","AB-"&amp;TEXT(COUNTA($C$5:C62),"000"))</f>
        <v/>
      </c>
      <c r="C62" s="16" t="n"/>
      <c r="D62" s="24" t="n"/>
      <c r="E62" s="24" t="n"/>
      <c r="F62" s="17">
        <f>IF(D62="","",E62/D62-1)</f>
        <v/>
      </c>
      <c r="G62" s="24" t="n"/>
      <c r="H62" s="24">
        <f>IF(E62="","",E62/4)</f>
        <v/>
      </c>
      <c r="I62" s="24">
        <f>IF(OR(H62="",G62=""),"",H62-G62)</f>
        <v/>
      </c>
      <c r="J62" s="16" t="n"/>
      <c r="K62" s="16" t="n"/>
    </row>
    <row r="63" ht="22" customHeight="1">
      <c r="B63" s="20">
        <f>IF(C63="","AB-"&amp;TEXT(COUNTA($C$5:C63),"000"))</f>
        <v/>
      </c>
      <c r="C63" s="13" t="n"/>
      <c r="D63" s="22" t="n"/>
      <c r="E63" s="22" t="n"/>
      <c r="F63" s="14">
        <f>IF(D63="","",E63/D63-1)</f>
        <v/>
      </c>
      <c r="G63" s="22" t="n"/>
      <c r="H63" s="22">
        <f>IF(E63="","",E63/4)</f>
        <v/>
      </c>
      <c r="I63" s="22">
        <f>IF(OR(H63="",G63=""),"",H63-G63)</f>
        <v/>
      </c>
      <c r="J63" s="13" t="n"/>
      <c r="K63" s="13" t="n"/>
    </row>
    <row r="64" ht="22" customHeight="1">
      <c r="B64" s="19">
        <f>IF(C64="","AB-"&amp;TEXT(COUNTA($C$5:C64),"000"))</f>
        <v/>
      </c>
      <c r="C64" s="16" t="n"/>
      <c r="D64" s="24" t="n"/>
      <c r="E64" s="24" t="n"/>
      <c r="F64" s="17">
        <f>IF(D64="","",E64/D64-1)</f>
        <v/>
      </c>
      <c r="G64" s="24" t="n"/>
      <c r="H64" s="24">
        <f>IF(E64="","",E64/4)</f>
        <v/>
      </c>
      <c r="I64" s="24">
        <f>IF(OR(H64="",G64=""),"",H64-G64)</f>
        <v/>
      </c>
      <c r="J64" s="16" t="n"/>
      <c r="K64" s="16" t="n"/>
    </row>
    <row r="65" ht="22" customHeight="1">
      <c r="B65" s="20">
        <f>IF(C65="","AB-"&amp;TEXT(COUNTA($C$5:C65),"000"))</f>
        <v/>
      </c>
      <c r="C65" s="13" t="n"/>
      <c r="D65" s="22" t="n"/>
      <c r="E65" s="22" t="n"/>
      <c r="F65" s="14">
        <f>IF(D65="","",E65/D65-1)</f>
        <v/>
      </c>
      <c r="G65" s="22" t="n"/>
      <c r="H65" s="22">
        <f>IF(E65="","",E65/4)</f>
        <v/>
      </c>
      <c r="I65" s="22">
        <f>IF(OR(H65="",G65=""),"",H65-G65)</f>
        <v/>
      </c>
      <c r="J65" s="13" t="n"/>
      <c r="K65" s="13" t="n"/>
    </row>
    <row r="66" ht="22" customHeight="1">
      <c r="B66" s="19">
        <f>IF(C66="","AB-"&amp;TEXT(COUNTA($C$5:C66),"000"))</f>
        <v/>
      </c>
      <c r="C66" s="16" t="n"/>
      <c r="D66" s="24" t="n"/>
      <c r="E66" s="24" t="n"/>
      <c r="F66" s="17">
        <f>IF(D66="","",E66/D66-1)</f>
        <v/>
      </c>
      <c r="G66" s="24" t="n"/>
      <c r="H66" s="24">
        <f>IF(E66="","",E66/4)</f>
        <v/>
      </c>
      <c r="I66" s="24">
        <f>IF(OR(H66="",G66=""),"",H66-G66)</f>
        <v/>
      </c>
      <c r="J66" s="16" t="n"/>
      <c r="K66" s="16" t="n"/>
    </row>
    <row r="67" ht="22" customHeight="1">
      <c r="B67" s="20">
        <f>IF(C67="","AB-"&amp;TEXT(COUNTA($C$5:C67),"000"))</f>
        <v/>
      </c>
      <c r="C67" s="13" t="n"/>
      <c r="D67" s="22" t="n"/>
      <c r="E67" s="22" t="n"/>
      <c r="F67" s="14">
        <f>IF(D67="","",E67/D67-1)</f>
        <v/>
      </c>
      <c r="G67" s="22" t="n"/>
      <c r="H67" s="22">
        <f>IF(E67="","",E67/4)</f>
        <v/>
      </c>
      <c r="I67" s="22">
        <f>IF(OR(H67="",G67=""),"",H67-G67)</f>
        <v/>
      </c>
      <c r="J67" s="13" t="n"/>
      <c r="K67" s="13" t="n"/>
    </row>
    <row r="68" ht="22" customHeight="1">
      <c r="B68" s="19">
        <f>IF(C68="","AB-"&amp;TEXT(COUNTA($C$5:C68),"000"))</f>
        <v/>
      </c>
      <c r="C68" s="16" t="n"/>
      <c r="D68" s="24" t="n"/>
      <c r="E68" s="24" t="n"/>
      <c r="F68" s="17">
        <f>IF(D68="","",E68/D68-1)</f>
        <v/>
      </c>
      <c r="G68" s="24" t="n"/>
      <c r="H68" s="24">
        <f>IF(E68="","",E68/4)</f>
        <v/>
      </c>
      <c r="I68" s="24">
        <f>IF(OR(H68="",G68=""),"",H68-G68)</f>
        <v/>
      </c>
      <c r="J68" s="16" t="n"/>
      <c r="K68" s="16" t="n"/>
    </row>
    <row r="69" ht="22" customHeight="1">
      <c r="B69" s="20">
        <f>IF(C69="","AB-"&amp;TEXT(COUNTA($C$5:C69),"000"))</f>
        <v/>
      </c>
      <c r="C69" s="13" t="n"/>
      <c r="D69" s="22" t="n"/>
      <c r="E69" s="22" t="n"/>
      <c r="F69" s="14">
        <f>IF(D69="","",E69/D69-1)</f>
        <v/>
      </c>
      <c r="G69" s="22" t="n"/>
      <c r="H69" s="22">
        <f>IF(E69="","",E69/4)</f>
        <v/>
      </c>
      <c r="I69" s="22">
        <f>IF(OR(H69="",G69=""),"",H69-G69)</f>
        <v/>
      </c>
      <c r="J69" s="13" t="n"/>
      <c r="K69" s="13" t="n"/>
    </row>
    <row r="70" ht="22" customHeight="1">
      <c r="B70" s="19">
        <f>IF(C70="","AB-"&amp;TEXT(COUNTA($C$5:C70),"000"))</f>
        <v/>
      </c>
      <c r="C70" s="16" t="n"/>
      <c r="D70" s="24" t="n"/>
      <c r="E70" s="24" t="n"/>
      <c r="F70" s="17">
        <f>IF(D70="","",E70/D70-1)</f>
        <v/>
      </c>
      <c r="G70" s="24" t="n"/>
      <c r="H70" s="24">
        <f>IF(E70="","",E70/4)</f>
        <v/>
      </c>
      <c r="I70" s="24">
        <f>IF(OR(H70="",G70=""),"",H70-G70)</f>
        <v/>
      </c>
      <c r="J70" s="16" t="n"/>
      <c r="K70" s="16" t="n"/>
    </row>
    <row r="71" ht="22" customHeight="1">
      <c r="B71" s="20">
        <f>IF(C71="","AB-"&amp;TEXT(COUNTA($C$5:C71),"000"))</f>
        <v/>
      </c>
      <c r="C71" s="13" t="n"/>
      <c r="D71" s="22" t="n"/>
      <c r="E71" s="22" t="n"/>
      <c r="F71" s="14">
        <f>IF(D71="","",E71/D71-1)</f>
        <v/>
      </c>
      <c r="G71" s="22" t="n"/>
      <c r="H71" s="22">
        <f>IF(E71="","",E71/4)</f>
        <v/>
      </c>
      <c r="I71" s="22">
        <f>IF(OR(H71="",G71=""),"",H71-G71)</f>
        <v/>
      </c>
      <c r="J71" s="13" t="n"/>
      <c r="K71" s="13" t="n"/>
    </row>
    <row r="72" ht="22" customHeight="1">
      <c r="B72" s="19">
        <f>IF(C72="","AB-"&amp;TEXT(COUNTA($C$5:C72),"000"))</f>
        <v/>
      </c>
      <c r="C72" s="16" t="n"/>
      <c r="D72" s="24" t="n"/>
      <c r="E72" s="24" t="n"/>
      <c r="F72" s="17">
        <f>IF(D72="","",E72/D72-1)</f>
        <v/>
      </c>
      <c r="G72" s="24" t="n"/>
      <c r="H72" s="24">
        <f>IF(E72="","",E72/4)</f>
        <v/>
      </c>
      <c r="I72" s="24">
        <f>IF(OR(H72="",G72=""),"",H72-G72)</f>
        <v/>
      </c>
      <c r="J72" s="16" t="n"/>
      <c r="K72" s="16" t="n"/>
    </row>
    <row r="73" ht="22" customHeight="1">
      <c r="B73" s="20">
        <f>IF(C73="","AB-"&amp;TEXT(COUNTA($C$5:C73),"000"))</f>
        <v/>
      </c>
      <c r="C73" s="13" t="n"/>
      <c r="D73" s="22" t="n"/>
      <c r="E73" s="22" t="n"/>
      <c r="F73" s="14">
        <f>IF(D73="","",E73/D73-1)</f>
        <v/>
      </c>
      <c r="G73" s="22" t="n"/>
      <c r="H73" s="22">
        <f>IF(E73="","",E73/4)</f>
        <v/>
      </c>
      <c r="I73" s="22">
        <f>IF(OR(H73="",G73=""),"",H73-G73)</f>
        <v/>
      </c>
      <c r="J73" s="13" t="n"/>
      <c r="K73" s="13" t="n"/>
    </row>
    <row r="74" ht="22" customHeight="1">
      <c r="B74" s="19">
        <f>IF(C74="","AB-"&amp;TEXT(COUNTA($C$5:C74),"000"))</f>
        <v/>
      </c>
      <c r="C74" s="16" t="n"/>
      <c r="D74" s="24" t="n"/>
      <c r="E74" s="24" t="n"/>
      <c r="F74" s="17">
        <f>IF(D74="","",E74/D74-1)</f>
        <v/>
      </c>
      <c r="G74" s="24" t="n"/>
      <c r="H74" s="24">
        <f>IF(E74="","",E74/4)</f>
        <v/>
      </c>
      <c r="I74" s="24">
        <f>IF(OR(H74="",G74=""),"",H74-G74)</f>
        <v/>
      </c>
      <c r="J74" s="16" t="n"/>
      <c r="K74" s="16" t="n"/>
    </row>
    <row r="75" ht="22" customHeight="1">
      <c r="B75" s="20">
        <f>IF(C75="","AB-"&amp;TEXT(COUNTA($C$5:C75),"000"))</f>
        <v/>
      </c>
      <c r="C75" s="13" t="n"/>
      <c r="D75" s="22" t="n"/>
      <c r="E75" s="22" t="n"/>
      <c r="F75" s="14">
        <f>IF(D75="","",E75/D75-1)</f>
        <v/>
      </c>
      <c r="G75" s="22" t="n"/>
      <c r="H75" s="22">
        <f>IF(E75="","",E75/4)</f>
        <v/>
      </c>
      <c r="I75" s="22">
        <f>IF(OR(H75="",G75=""),"",H75-G75)</f>
        <v/>
      </c>
      <c r="J75" s="13" t="n"/>
      <c r="K75" s="13" t="n"/>
    </row>
    <row r="76" ht="22" customHeight="1">
      <c r="B76" s="19">
        <f>IF(C76="","AB-"&amp;TEXT(COUNTA($C$5:C76),"000"))</f>
        <v/>
      </c>
      <c r="C76" s="16" t="n"/>
      <c r="D76" s="24" t="n"/>
      <c r="E76" s="24" t="n"/>
      <c r="F76" s="17">
        <f>IF(D76="","",E76/D76-1)</f>
        <v/>
      </c>
      <c r="G76" s="24" t="n"/>
      <c r="H76" s="24">
        <f>IF(E76="","",E76/4)</f>
        <v/>
      </c>
      <c r="I76" s="24">
        <f>IF(OR(H76="",G76=""),"",H76-G76)</f>
        <v/>
      </c>
      <c r="J76" s="16" t="n"/>
      <c r="K76" s="16" t="n"/>
    </row>
    <row r="77" ht="22" customHeight="1">
      <c r="B77" s="20">
        <f>IF(C77="","AB-"&amp;TEXT(COUNTA($C$5:C77),"000"))</f>
        <v/>
      </c>
      <c r="C77" s="13" t="n"/>
      <c r="D77" s="22" t="n"/>
      <c r="E77" s="22" t="n"/>
      <c r="F77" s="14">
        <f>IF(D77="","",E77/D77-1)</f>
        <v/>
      </c>
      <c r="G77" s="22" t="n"/>
      <c r="H77" s="22">
        <f>IF(E77="","",E77/4)</f>
        <v/>
      </c>
      <c r="I77" s="22">
        <f>IF(OR(H77="",G77=""),"",H77-G77)</f>
        <v/>
      </c>
      <c r="J77" s="13" t="n"/>
      <c r="K77" s="13" t="n"/>
    </row>
    <row r="78" ht="22" customHeight="1">
      <c r="B78" s="19">
        <f>IF(C78="","AB-"&amp;TEXT(COUNTA($C$5:C78),"000"))</f>
        <v/>
      </c>
      <c r="C78" s="16" t="n"/>
      <c r="D78" s="24" t="n"/>
      <c r="E78" s="24" t="n"/>
      <c r="F78" s="17">
        <f>IF(D78="","",E78/D78-1)</f>
        <v/>
      </c>
      <c r="G78" s="24" t="n"/>
      <c r="H78" s="24">
        <f>IF(E78="","",E78/4)</f>
        <v/>
      </c>
      <c r="I78" s="24">
        <f>IF(OR(H78="",G78=""),"",H78-G78)</f>
        <v/>
      </c>
      <c r="J78" s="16" t="n"/>
      <c r="K78" s="16" t="n"/>
    </row>
    <row r="79" ht="22" customHeight="1">
      <c r="B79" s="20">
        <f>IF(C79="","AB-"&amp;TEXT(COUNTA($C$5:C79),"000"))</f>
        <v/>
      </c>
      <c r="C79" s="13" t="n"/>
      <c r="D79" s="22" t="n"/>
      <c r="E79" s="22" t="n"/>
      <c r="F79" s="14">
        <f>IF(D79="","",E79/D79-1)</f>
        <v/>
      </c>
      <c r="G79" s="22" t="n"/>
      <c r="H79" s="22">
        <f>IF(E79="","",E79/4)</f>
        <v/>
      </c>
      <c r="I79" s="22">
        <f>IF(OR(H79="",G79=""),"",H79-G79)</f>
        <v/>
      </c>
      <c r="J79" s="13" t="n"/>
      <c r="K79" s="13" t="n"/>
    </row>
    <row r="80" ht="22" customHeight="1">
      <c r="B80" s="19">
        <f>IF(C80="","AB-"&amp;TEXT(COUNTA($C$5:C80),"000"))</f>
        <v/>
      </c>
      <c r="C80" s="16" t="n"/>
      <c r="D80" s="24" t="n"/>
      <c r="E80" s="24" t="n"/>
      <c r="F80" s="17">
        <f>IF(D80="","",E80/D80-1)</f>
        <v/>
      </c>
      <c r="G80" s="24" t="n"/>
      <c r="H80" s="24">
        <f>IF(E80="","",E80/4)</f>
        <v/>
      </c>
      <c r="I80" s="24">
        <f>IF(OR(H80="",G80=""),"",H80-G80)</f>
        <v/>
      </c>
      <c r="J80" s="16" t="n"/>
      <c r="K80" s="16" t="n"/>
    </row>
    <row r="81" ht="22" customHeight="1">
      <c r="B81" s="20">
        <f>IF(C81="","AB-"&amp;TEXT(COUNTA($C$5:C81),"000"))</f>
        <v/>
      </c>
      <c r="C81" s="13" t="n"/>
      <c r="D81" s="22" t="n"/>
      <c r="E81" s="22" t="n"/>
      <c r="F81" s="14">
        <f>IF(D81="","",E81/D81-1)</f>
        <v/>
      </c>
      <c r="G81" s="22" t="n"/>
      <c r="H81" s="22">
        <f>IF(E81="","",E81/4)</f>
        <v/>
      </c>
      <c r="I81" s="22">
        <f>IF(OR(H81="",G81=""),"",H81-G81)</f>
        <v/>
      </c>
      <c r="J81" s="13" t="n"/>
      <c r="K81" s="13" t="n"/>
    </row>
    <row r="82" ht="22" customHeight="1">
      <c r="B82" s="19">
        <f>IF(C82="","AB-"&amp;TEXT(COUNTA($C$5:C82),"000"))</f>
        <v/>
      </c>
      <c r="C82" s="16" t="n"/>
      <c r="D82" s="24" t="n"/>
      <c r="E82" s="24" t="n"/>
      <c r="F82" s="17">
        <f>IF(D82="","",E82/D82-1)</f>
        <v/>
      </c>
      <c r="G82" s="24" t="n"/>
      <c r="H82" s="24">
        <f>IF(E82="","",E82/4)</f>
        <v/>
      </c>
      <c r="I82" s="24">
        <f>IF(OR(H82="",G82=""),"",H82-G82)</f>
        <v/>
      </c>
      <c r="J82" s="16" t="n"/>
      <c r="K82" s="16" t="n"/>
    </row>
    <row r="83" ht="22" customHeight="1">
      <c r="B83" s="20">
        <f>IF(C83="","AB-"&amp;TEXT(COUNTA($C$5:C83),"000"))</f>
        <v/>
      </c>
      <c r="C83" s="13" t="n"/>
      <c r="D83" s="22" t="n"/>
      <c r="E83" s="22" t="n"/>
      <c r="F83" s="14">
        <f>IF(D83="","",E83/D83-1)</f>
        <v/>
      </c>
      <c r="G83" s="22" t="n"/>
      <c r="H83" s="22">
        <f>IF(E83="","",E83/4)</f>
        <v/>
      </c>
      <c r="I83" s="22">
        <f>IF(OR(H83="",G83=""),"",H83-G83)</f>
        <v/>
      </c>
      <c r="J83" s="13" t="n"/>
      <c r="K83" s="13" t="n"/>
    </row>
    <row r="84" ht="22" customHeight="1">
      <c r="B84" s="19">
        <f>IF(C84="","AB-"&amp;TEXT(COUNTA($C$5:C84),"000"))</f>
        <v/>
      </c>
      <c r="C84" s="16" t="n"/>
      <c r="D84" s="24" t="n"/>
      <c r="E84" s="24" t="n"/>
      <c r="F84" s="17">
        <f>IF(D84="","",E84/D84-1)</f>
        <v/>
      </c>
      <c r="G84" s="24" t="n"/>
      <c r="H84" s="24">
        <f>IF(E84="","",E84/4)</f>
        <v/>
      </c>
      <c r="I84" s="24">
        <f>IF(OR(H84="",G84=""),"",H84-G84)</f>
        <v/>
      </c>
      <c r="J84" s="16" t="n"/>
      <c r="K84" s="16" t="n"/>
    </row>
    <row r="85" ht="22" customHeight="1">
      <c r="B85" s="20">
        <f>IF(C85="","AB-"&amp;TEXT(COUNTA($C$5:C85),"000"))</f>
        <v/>
      </c>
      <c r="C85" s="13" t="n"/>
      <c r="D85" s="22" t="n"/>
      <c r="E85" s="22" t="n"/>
      <c r="F85" s="14">
        <f>IF(D85="","",E85/D85-1)</f>
        <v/>
      </c>
      <c r="G85" s="22" t="n"/>
      <c r="H85" s="22">
        <f>IF(E85="","",E85/4)</f>
        <v/>
      </c>
      <c r="I85" s="22">
        <f>IF(OR(H85="",G85=""),"",H85-G85)</f>
        <v/>
      </c>
      <c r="J85" s="13" t="n"/>
      <c r="K85" s="13" t="n"/>
    </row>
    <row r="86" ht="22" customHeight="1">
      <c r="B86" s="19">
        <f>IF(C86="","AB-"&amp;TEXT(COUNTA($C$5:C86),"000"))</f>
        <v/>
      </c>
      <c r="C86" s="16" t="n"/>
      <c r="D86" s="24" t="n"/>
      <c r="E86" s="24" t="n"/>
      <c r="F86" s="17">
        <f>IF(D86="","",E86/D86-1)</f>
        <v/>
      </c>
      <c r="G86" s="24" t="n"/>
      <c r="H86" s="24">
        <f>IF(E86="","",E86/4)</f>
        <v/>
      </c>
      <c r="I86" s="24">
        <f>IF(OR(H86="",G86=""),"",H86-G86)</f>
        <v/>
      </c>
      <c r="J86" s="16" t="n"/>
      <c r="K86" s="16" t="n"/>
    </row>
    <row r="87" ht="22" customHeight="1">
      <c r="B87" s="20">
        <f>IF(C87="","AB-"&amp;TEXT(COUNTA($C$5:C87),"000"))</f>
        <v/>
      </c>
      <c r="C87" s="13" t="n"/>
      <c r="D87" s="22" t="n"/>
      <c r="E87" s="22" t="n"/>
      <c r="F87" s="14">
        <f>IF(D87="","",E87/D87-1)</f>
        <v/>
      </c>
      <c r="G87" s="22" t="n"/>
      <c r="H87" s="22">
        <f>IF(E87="","",E87/4)</f>
        <v/>
      </c>
      <c r="I87" s="22">
        <f>IF(OR(H87="",G87=""),"",H87-G87)</f>
        <v/>
      </c>
      <c r="J87" s="13" t="n"/>
      <c r="K87" s="13" t="n"/>
    </row>
    <row r="88" ht="22" customHeight="1">
      <c r="B88" s="19">
        <f>IF(C88="","AB-"&amp;TEXT(COUNTA($C$5:C88),"000"))</f>
        <v/>
      </c>
      <c r="C88" s="16" t="n"/>
      <c r="D88" s="24" t="n"/>
      <c r="E88" s="24" t="n"/>
      <c r="F88" s="17">
        <f>IF(D88="","",E88/D88-1)</f>
        <v/>
      </c>
      <c r="G88" s="24" t="n"/>
      <c r="H88" s="24">
        <f>IF(E88="","",E88/4)</f>
        <v/>
      </c>
      <c r="I88" s="24">
        <f>IF(OR(H88="",G88=""),"",H88-G88)</f>
        <v/>
      </c>
      <c r="J88" s="16" t="n"/>
      <c r="K88" s="16" t="n"/>
    </row>
    <row r="89" ht="22" customHeight="1">
      <c r="B89" s="20">
        <f>IF(C89="","AB-"&amp;TEXT(COUNTA($C$5:C89),"000"))</f>
        <v/>
      </c>
      <c r="C89" s="13" t="n"/>
      <c r="D89" s="22" t="n"/>
      <c r="E89" s="22" t="n"/>
      <c r="F89" s="14">
        <f>IF(D89="","",E89/D89-1)</f>
        <v/>
      </c>
      <c r="G89" s="22" t="n"/>
      <c r="H89" s="22">
        <f>IF(E89="","",E89/4)</f>
        <v/>
      </c>
      <c r="I89" s="22">
        <f>IF(OR(H89="",G89=""),"",H89-G89)</f>
        <v/>
      </c>
      <c r="J89" s="13" t="n"/>
      <c r="K89" s="13" t="n"/>
    </row>
    <row r="90" ht="22" customHeight="1">
      <c r="B90" s="19">
        <f>IF(C90="","AB-"&amp;TEXT(COUNTA($C$5:C90),"000"))</f>
        <v/>
      </c>
      <c r="C90" s="16" t="n"/>
      <c r="D90" s="24" t="n"/>
      <c r="E90" s="24" t="n"/>
      <c r="F90" s="17">
        <f>IF(D90="","",E90/D90-1)</f>
        <v/>
      </c>
      <c r="G90" s="24" t="n"/>
      <c r="H90" s="24">
        <f>IF(E90="","",E90/4)</f>
        <v/>
      </c>
      <c r="I90" s="24">
        <f>IF(OR(H90="",G90=""),"",H90-G90)</f>
        <v/>
      </c>
      <c r="J90" s="16" t="n"/>
      <c r="K90" s="16" t="n"/>
    </row>
    <row r="91" ht="22" customHeight="1">
      <c r="B91" s="20">
        <f>IF(C91="","AB-"&amp;TEXT(COUNTA($C$5:C91),"000"))</f>
        <v/>
      </c>
      <c r="C91" s="13" t="n"/>
      <c r="D91" s="22" t="n"/>
      <c r="E91" s="22" t="n"/>
      <c r="F91" s="14">
        <f>IF(D91="","",E91/D91-1)</f>
        <v/>
      </c>
      <c r="G91" s="22" t="n"/>
      <c r="H91" s="22">
        <f>IF(E91="","",E91/4)</f>
        <v/>
      </c>
      <c r="I91" s="22">
        <f>IF(OR(H91="",G91=""),"",H91-G91)</f>
        <v/>
      </c>
      <c r="J91" s="13" t="n"/>
      <c r="K91" s="13" t="n"/>
    </row>
    <row r="92" ht="22" customHeight="1">
      <c r="B92" s="19">
        <f>IF(C92="","AB-"&amp;TEXT(COUNTA($C$5:C92),"000"))</f>
        <v/>
      </c>
      <c r="C92" s="16" t="n"/>
      <c r="D92" s="24" t="n"/>
      <c r="E92" s="24" t="n"/>
      <c r="F92" s="17">
        <f>IF(D92="","",E92/D92-1)</f>
        <v/>
      </c>
      <c r="G92" s="24" t="n"/>
      <c r="H92" s="24">
        <f>IF(E92="","",E92/4)</f>
        <v/>
      </c>
      <c r="I92" s="24">
        <f>IF(OR(H92="",G92=""),"",H92-G92)</f>
        <v/>
      </c>
      <c r="J92" s="16" t="n"/>
      <c r="K92" s="16" t="n"/>
    </row>
    <row r="93" ht="22" customHeight="1">
      <c r="B93" s="20">
        <f>IF(C93="","AB-"&amp;TEXT(COUNTA($C$5:C93),"000"))</f>
        <v/>
      </c>
      <c r="C93" s="13" t="n"/>
      <c r="D93" s="22" t="n"/>
      <c r="E93" s="22" t="n"/>
      <c r="F93" s="14">
        <f>IF(D93="","",E93/D93-1)</f>
        <v/>
      </c>
      <c r="G93" s="22" t="n"/>
      <c r="H93" s="22">
        <f>IF(E93="","",E93/4)</f>
        <v/>
      </c>
      <c r="I93" s="22">
        <f>IF(OR(H93="",G93=""),"",H93-G93)</f>
        <v/>
      </c>
      <c r="J93" s="13" t="n"/>
      <c r="K93" s="13" t="n"/>
    </row>
    <row r="94" ht="22" customHeight="1">
      <c r="B94" s="19">
        <f>IF(C94="","AB-"&amp;TEXT(COUNTA($C$5:C94),"000"))</f>
        <v/>
      </c>
      <c r="C94" s="16" t="n"/>
      <c r="D94" s="24" t="n"/>
      <c r="E94" s="24" t="n"/>
      <c r="F94" s="17">
        <f>IF(D94="","",E94/D94-1)</f>
        <v/>
      </c>
      <c r="G94" s="24" t="n"/>
      <c r="H94" s="24">
        <f>IF(E94="","",E94/4)</f>
        <v/>
      </c>
      <c r="I94" s="24">
        <f>IF(OR(H94="",G94=""),"",H94-G94)</f>
        <v/>
      </c>
      <c r="J94" s="16" t="n"/>
      <c r="K94" s="16" t="n"/>
    </row>
    <row r="95" ht="22" customHeight="1">
      <c r="B95" s="20">
        <f>IF(C95="","AB-"&amp;TEXT(COUNTA($C$5:C95),"000"))</f>
        <v/>
      </c>
      <c r="C95" s="13" t="n"/>
      <c r="D95" s="22" t="n"/>
      <c r="E95" s="22" t="n"/>
      <c r="F95" s="14">
        <f>IF(D95="","",E95/D95-1)</f>
        <v/>
      </c>
      <c r="G95" s="22" t="n"/>
      <c r="H95" s="22">
        <f>IF(E95="","",E95/4)</f>
        <v/>
      </c>
      <c r="I95" s="22">
        <f>IF(OR(H95="",G95=""),"",H95-G95)</f>
        <v/>
      </c>
      <c r="J95" s="13" t="n"/>
      <c r="K95" s="13" t="n"/>
    </row>
    <row r="96" ht="22" customHeight="1">
      <c r="B96" s="19">
        <f>IF(C96="","AB-"&amp;TEXT(COUNTA($C$5:C96),"000"))</f>
        <v/>
      </c>
      <c r="C96" s="16" t="n"/>
      <c r="D96" s="24" t="n"/>
      <c r="E96" s="24" t="n"/>
      <c r="F96" s="17">
        <f>IF(D96="","",E96/D96-1)</f>
        <v/>
      </c>
      <c r="G96" s="24" t="n"/>
      <c r="H96" s="24">
        <f>IF(E96="","",E96/4)</f>
        <v/>
      </c>
      <c r="I96" s="24">
        <f>IF(OR(H96="",G96=""),"",H96-G96)</f>
        <v/>
      </c>
      <c r="J96" s="16" t="n"/>
      <c r="K96" s="16" t="n"/>
    </row>
    <row r="97" ht="22" customHeight="1">
      <c r="B97" s="20">
        <f>IF(C97="","AB-"&amp;TEXT(COUNTA($C$5:C97),"000"))</f>
        <v/>
      </c>
      <c r="C97" s="13" t="n"/>
      <c r="D97" s="22" t="n"/>
      <c r="E97" s="22" t="n"/>
      <c r="F97" s="14">
        <f>IF(D97="","",E97/D97-1)</f>
        <v/>
      </c>
      <c r="G97" s="22" t="n"/>
      <c r="H97" s="22">
        <f>IF(E97="","",E97/4)</f>
        <v/>
      </c>
      <c r="I97" s="22">
        <f>IF(OR(H97="",G97=""),"",H97-G97)</f>
        <v/>
      </c>
      <c r="J97" s="13" t="n"/>
      <c r="K97" s="13" t="n"/>
    </row>
    <row r="98" ht="22" customHeight="1">
      <c r="B98" s="19">
        <f>IF(C98="","AB-"&amp;TEXT(COUNTA($C$5:C98),"000"))</f>
        <v/>
      </c>
      <c r="C98" s="16" t="n"/>
      <c r="D98" s="24" t="n"/>
      <c r="E98" s="24" t="n"/>
      <c r="F98" s="17">
        <f>IF(D98="","",E98/D98-1)</f>
        <v/>
      </c>
      <c r="G98" s="24" t="n"/>
      <c r="H98" s="24">
        <f>IF(E98="","",E98/4)</f>
        <v/>
      </c>
      <c r="I98" s="24">
        <f>IF(OR(H98="",G98=""),"",H98-G98)</f>
        <v/>
      </c>
      <c r="J98" s="16" t="n"/>
      <c r="K98" s="16" t="n"/>
    </row>
    <row r="99" ht="22" customHeight="1">
      <c r="B99" s="20">
        <f>IF(C99="","AB-"&amp;TEXT(COUNTA($C$5:C99),"000"))</f>
        <v/>
      </c>
      <c r="C99" s="13" t="n"/>
      <c r="D99" s="22" t="n"/>
      <c r="E99" s="22" t="n"/>
      <c r="F99" s="14">
        <f>IF(D99="","",E99/D99-1)</f>
        <v/>
      </c>
      <c r="G99" s="22" t="n"/>
      <c r="H99" s="22">
        <f>IF(E99="","",E99/4)</f>
        <v/>
      </c>
      <c r="I99" s="22">
        <f>IF(OR(H99="",G99=""),"",H99-G99)</f>
        <v/>
      </c>
      <c r="J99" s="13" t="n"/>
      <c r="K99" s="13" t="n"/>
    </row>
    <row r="100" ht="22" customHeight="1">
      <c r="B100" s="19">
        <f>IF(C100="","AB-"&amp;TEXT(COUNTA($C$5:C100),"000"))</f>
        <v/>
      </c>
      <c r="C100" s="16" t="n"/>
      <c r="D100" s="24" t="n"/>
      <c r="E100" s="24" t="n"/>
      <c r="F100" s="17">
        <f>IF(D100="","",E100/D100-1)</f>
        <v/>
      </c>
      <c r="G100" s="24" t="n"/>
      <c r="H100" s="24">
        <f>IF(E100="","",E100/4)</f>
        <v/>
      </c>
      <c r="I100" s="24">
        <f>IF(OR(H100="",G100=""),"",H100-G100)</f>
        <v/>
      </c>
      <c r="J100" s="16" t="n"/>
      <c r="K100" s="16" t="n"/>
    </row>
    <row r="101" ht="22" customHeight="1">
      <c r="B101" s="20">
        <f>IF(C101="","AB-"&amp;TEXT(COUNTA($C$5:C101),"000"))</f>
        <v/>
      </c>
      <c r="C101" s="13" t="n"/>
      <c r="D101" s="22" t="n"/>
      <c r="E101" s="22" t="n"/>
      <c r="F101" s="14">
        <f>IF(D101="","",E101/D101-1)</f>
        <v/>
      </c>
      <c r="G101" s="22" t="n"/>
      <c r="H101" s="22">
        <f>IF(E101="","",E101/4)</f>
        <v/>
      </c>
      <c r="I101" s="22">
        <f>IF(OR(H101="",G101=""),"",H101-G101)</f>
        <v/>
      </c>
      <c r="J101" s="13" t="n"/>
      <c r="K101" s="13" t="n"/>
    </row>
    <row r="102" ht="22" customHeight="1">
      <c r="B102" s="19">
        <f>IF(C102="","AB-"&amp;TEXT(COUNTA($C$5:C102),"000"))</f>
        <v/>
      </c>
      <c r="C102" s="16" t="n"/>
      <c r="D102" s="24" t="n"/>
      <c r="E102" s="24" t="n"/>
      <c r="F102" s="17">
        <f>IF(D102="","",E102/D102-1)</f>
        <v/>
      </c>
      <c r="G102" s="24" t="n"/>
      <c r="H102" s="24">
        <f>IF(E102="","",E102/4)</f>
        <v/>
      </c>
      <c r="I102" s="24">
        <f>IF(OR(H102="",G102=""),"",H102-G102)</f>
        <v/>
      </c>
      <c r="J102" s="16" t="n"/>
      <c r="K102" s="16" t="n"/>
    </row>
    <row r="103" ht="22" customHeight="1">
      <c r="B103" s="20">
        <f>IF(C103="","AB-"&amp;TEXT(COUNTA($C$5:C103),"000"))</f>
        <v/>
      </c>
      <c r="C103" s="13" t="n"/>
      <c r="D103" s="22" t="n"/>
      <c r="E103" s="22" t="n"/>
      <c r="F103" s="14">
        <f>IF(D103="","",E103/D103-1)</f>
        <v/>
      </c>
      <c r="G103" s="22" t="n"/>
      <c r="H103" s="22">
        <f>IF(E103="","",E103/4)</f>
        <v/>
      </c>
      <c r="I103" s="22">
        <f>IF(OR(H103="",G103=""),"",H103-G103)</f>
        <v/>
      </c>
      <c r="J103" s="13" t="n"/>
      <c r="K103" s="13" t="n"/>
    </row>
    <row r="104" ht="22" customHeight="1">
      <c r="B104" s="19">
        <f>IF(C104="","AB-"&amp;TEXT(COUNTA($C$5:C104),"000"))</f>
        <v/>
      </c>
      <c r="C104" s="16" t="n"/>
      <c r="D104" s="24" t="n"/>
      <c r="E104" s="24" t="n"/>
      <c r="F104" s="17">
        <f>IF(D104="","",E104/D104-1)</f>
        <v/>
      </c>
      <c r="G104" s="24" t="n"/>
      <c r="H104" s="24">
        <f>IF(E104="","",E104/4)</f>
        <v/>
      </c>
      <c r="I104" s="24">
        <f>IF(OR(H104="",G104=""),"",H104-G104)</f>
        <v/>
      </c>
      <c r="J104" s="16" t="n"/>
      <c r="K104" s="16" t="n"/>
    </row>
    <row r="105" ht="22" customHeight="1">
      <c r="B105" s="20">
        <f>IF(C105="","AB-"&amp;TEXT(COUNTA($C$5:C105),"000"))</f>
        <v/>
      </c>
      <c r="C105" s="13" t="n"/>
      <c r="D105" s="22" t="n"/>
      <c r="E105" s="22" t="n"/>
      <c r="F105" s="14">
        <f>IF(D105="","",E105/D105-1)</f>
        <v/>
      </c>
      <c r="G105" s="22" t="n"/>
      <c r="H105" s="22">
        <f>IF(E105="","",E105/4)</f>
        <v/>
      </c>
      <c r="I105" s="22">
        <f>IF(OR(H105="",G105=""),"",H105-G105)</f>
        <v/>
      </c>
      <c r="J105" s="13" t="n"/>
      <c r="K105" s="13" t="n"/>
    </row>
    <row r="106" ht="22" customHeight="1">
      <c r="B106" s="19">
        <f>IF(C106="","AB-"&amp;TEXT(COUNTA($C$5:C106),"000"))</f>
        <v/>
      </c>
      <c r="C106" s="16" t="n"/>
      <c r="D106" s="24" t="n"/>
      <c r="E106" s="24" t="n"/>
      <c r="F106" s="17">
        <f>IF(D106="","",E106/D106-1)</f>
        <v/>
      </c>
      <c r="G106" s="24" t="n"/>
      <c r="H106" s="24">
        <f>IF(E106="","",E106/4)</f>
        <v/>
      </c>
      <c r="I106" s="24">
        <f>IF(OR(H106="",G106=""),"",H106-G106)</f>
        <v/>
      </c>
      <c r="J106" s="16" t="n"/>
      <c r="K106" s="16" t="n"/>
    </row>
    <row r="107" ht="22" customHeight="1">
      <c r="B107" s="20">
        <f>IF(C107="","AB-"&amp;TEXT(COUNTA($C$5:C107),"000"))</f>
        <v/>
      </c>
      <c r="C107" s="13" t="n"/>
      <c r="D107" s="22" t="n"/>
      <c r="E107" s="22" t="n"/>
      <c r="F107" s="14">
        <f>IF(D107="","",E107/D107-1)</f>
        <v/>
      </c>
      <c r="G107" s="22" t="n"/>
      <c r="H107" s="22">
        <f>IF(E107="","",E107/4)</f>
        <v/>
      </c>
      <c r="I107" s="22">
        <f>IF(OR(H107="",G107=""),"",H107-G107)</f>
        <v/>
      </c>
      <c r="J107" s="13" t="n"/>
      <c r="K107" s="13" t="n"/>
    </row>
    <row r="108" ht="22" customHeight="1">
      <c r="B108" s="19">
        <f>IF(C108="","AB-"&amp;TEXT(COUNTA($C$5:C108),"000"))</f>
        <v/>
      </c>
      <c r="C108" s="16" t="n"/>
      <c r="D108" s="24" t="n"/>
      <c r="E108" s="24" t="n"/>
      <c r="F108" s="17">
        <f>IF(D108="","",E108/D108-1)</f>
        <v/>
      </c>
      <c r="G108" s="24" t="n"/>
      <c r="H108" s="24">
        <f>IF(E108="","",E108/4)</f>
        <v/>
      </c>
      <c r="I108" s="24">
        <f>IF(OR(H108="",G108=""),"",H108-G108)</f>
        <v/>
      </c>
      <c r="J108" s="16" t="n"/>
      <c r="K108" s="16" t="n"/>
    </row>
    <row r="109" ht="22" customHeight="1">
      <c r="B109" s="20">
        <f>IF(C109="","AB-"&amp;TEXT(COUNTA($C$5:C109),"000"))</f>
        <v/>
      </c>
      <c r="C109" s="13" t="n"/>
      <c r="D109" s="22" t="n"/>
      <c r="E109" s="22" t="n"/>
      <c r="F109" s="14">
        <f>IF(D109="","",E109/D109-1)</f>
        <v/>
      </c>
      <c r="G109" s="22" t="n"/>
      <c r="H109" s="22">
        <f>IF(E109="","",E109/4)</f>
        <v/>
      </c>
      <c r="I109" s="22">
        <f>IF(OR(H109="",G109=""),"",H109-G109)</f>
        <v/>
      </c>
      <c r="J109" s="13" t="n"/>
      <c r="K109" s="13" t="n"/>
    </row>
    <row r="110"/>
    <row r="111" ht="26" customHeight="1">
      <c r="B111" s="25" t="inlineStr">
        <is>
          <t>TOTAL</t>
        </is>
      </c>
      <c r="C111" s="26" t="n"/>
      <c r="D111" s="27">
        <f>SUM(D5:D104)</f>
        <v/>
      </c>
      <c r="E111" s="27">
        <f>SUM(E5:E104)</f>
        <v/>
      </c>
      <c r="F111" s="26" t="n"/>
      <c r="G111" s="27">
        <f>SUM(G5:G104)</f>
        <v/>
      </c>
      <c r="H111" s="26" t="n"/>
      <c r="I111" s="26" t="n"/>
      <c r="J111" s="26" t="n"/>
      <c r="K111" s="26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Categories budget</t>
        </is>
      </c>
      <c r="D114" s="3" t="inlineStr">
        <is>
          <t>Budget total 2025</t>
        </is>
      </c>
      <c r="F114" s="3" t="inlineStr">
        <is>
          <t>Ecart T1 total</t>
        </is>
      </c>
    </row>
    <row r="115">
      <c r="B115" s="4">
        <f>COUNTIF(B5:B104,"&lt;&gt;")</f>
        <v/>
      </c>
      <c r="D115" s="4">
        <f>SUM(E5:E104)</f>
        <v/>
      </c>
      <c r="F115" s="4">
        <f>SUM(I5:I104)</f>
        <v/>
      </c>
    </row>
  </sheetData>
  <mergeCells count="3">
    <mergeCell ref="B113:K113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10:B109">
    <cfRule type="expression" priority="274" dxfId="3">
      <formula>AND($C10="",$C9&lt;&gt;"")</formula>
    </cfRule>
  </conditionalFormatting>
  <conditionalFormatting sqref="C10:C109">
    <cfRule type="expression" priority="275" dxfId="3">
      <formula>AND($C10="",$C9&lt;&gt;"")</formula>
    </cfRule>
  </conditionalFormatting>
  <conditionalFormatting sqref="D10:D109">
    <cfRule type="expression" priority="276" dxfId="3">
      <formula>AND($C10="",$C9&lt;&gt;"")</formula>
    </cfRule>
  </conditionalFormatting>
  <conditionalFormatting sqref="E10:E109">
    <cfRule type="expression" priority="277" dxfId="3">
      <formula>AND($C10="",$C9&lt;&gt;"")</formula>
    </cfRule>
  </conditionalFormatting>
  <conditionalFormatting sqref="F10:F109">
    <cfRule type="expression" priority="278" dxfId="3">
      <formula>AND($C10="",$C9&lt;&gt;"")</formula>
    </cfRule>
  </conditionalFormatting>
  <conditionalFormatting sqref="G10:G109">
    <cfRule type="expression" priority="279" dxfId="3">
      <formula>AND($C10="",$C9&lt;&gt;"")</formula>
    </cfRule>
  </conditionalFormatting>
  <conditionalFormatting sqref="H10:H109">
    <cfRule type="expression" priority="280" dxfId="3">
      <formula>AND($C10="",$C9&lt;&gt;"")</formula>
    </cfRule>
  </conditionalFormatting>
  <conditionalFormatting sqref="I10:I109">
    <cfRule type="expression" priority="281" dxfId="3">
      <formula>AND($C10="",$C9&lt;&gt;"")</formula>
    </cfRule>
  </conditionalFormatting>
  <conditionalFormatting sqref="J10:J109">
    <cfRule type="expression" priority="282" dxfId="3">
      <formula>AND($C10="",$C9&lt;&gt;"")</formula>
    </cfRule>
  </conditionalFormatting>
  <conditionalFormatting sqref="K10:K109">
    <cfRule type="expression" priority="283" dxfId="3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'_Lists'!$G$2:$G$12</formula1>
    </dataValidation>
    <dataValidation sqref="J5:J109" showDropDown="0" showInputMessage="0" showErrorMessage="0" allowBlank="1" errorTitle="Erreur" error="Valeur invalide" promptTitle="Liste" prompt="Choisir dans la liste" type="list">
      <formula1>'_Lists'!$H$2:$H$7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8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4" customWidth="1" min="10" max="10"/>
    <col width="24" customWidth="1" min="11" max="11"/>
    <col width="16" customWidth="1" min="12" max="12"/>
    <col width="36" customWidth="1" min="13" max="13"/>
  </cols>
  <sheetData>
    <row r="1" ht="15" customHeight="1"/>
    <row r="2" ht="32" customHeight="1">
      <c r="B2" s="1" t="inlineStr">
        <is>
          <t>SUIVI PLANS D'ACTION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Plan d'Action</t>
        </is>
      </c>
      <c r="D4" s="12" t="inlineStr">
        <is>
          <t>Axe Strategique</t>
        </is>
      </c>
      <c r="E4" s="12" t="inlineStr">
        <is>
          <t>Nb Actions Total</t>
        </is>
      </c>
      <c r="F4" s="12" t="inlineStr">
        <is>
          <t>Actions Terminees</t>
        </is>
      </c>
      <c r="G4" s="12" t="inlineStr">
        <is>
          <t>Actions En Cours</t>
        </is>
      </c>
      <c r="H4" s="12" t="inlineStr">
        <is>
          <t>Taux Realisation (%)</t>
        </is>
      </c>
      <c r="I4" s="12" t="inlineStr">
        <is>
          <t>Budget Alloue (FCFA)</t>
        </is>
      </c>
      <c r="J4" s="12" t="inlineStr">
        <is>
          <t>Budget Consomme (FCFA)</t>
        </is>
      </c>
      <c r="K4" s="12" t="inlineStr">
        <is>
          <t>Taux Consommation (%)</t>
        </is>
      </c>
      <c r="L4" s="12" t="inlineStr">
        <is>
          <t>Statut</t>
        </is>
      </c>
      <c r="M4" s="12" t="inlineStr">
        <is>
          <t>Observations</t>
        </is>
      </c>
    </row>
    <row r="5" ht="22" customHeight="1">
      <c r="B5" s="13" t="inlineStr">
        <is>
          <t>SPA-001</t>
        </is>
      </c>
      <c r="C5" s="13" t="inlineStr">
        <is>
          <t>Plan Retention 2025</t>
        </is>
      </c>
      <c r="D5" s="13" t="inlineStr">
        <is>
          <t>Bien-Etre</t>
        </is>
      </c>
      <c r="E5" s="22" t="n">
        <v>12</v>
      </c>
      <c r="F5" s="22" t="n">
        <v>3</v>
      </c>
      <c r="G5" s="22" t="n">
        <v>7</v>
      </c>
      <c r="H5" s="14" t="n"/>
      <c r="I5" s="22" t="n">
        <v>5000000</v>
      </c>
      <c r="J5" s="22" t="n">
        <v>1200000</v>
      </c>
      <c r="K5" s="14" t="n"/>
      <c r="L5" s="13" t="inlineStr">
        <is>
          <t>En cours</t>
        </is>
      </c>
      <c r="M5" s="13" t="inlineStr">
        <is>
          <t>Q1: 3/12 actions terminees</t>
        </is>
      </c>
    </row>
    <row r="6" ht="22" customHeight="1">
      <c r="B6" s="16" t="inlineStr">
        <is>
          <t>SPA-002</t>
        </is>
      </c>
      <c r="C6" s="16" t="inlineStr">
        <is>
          <t>Digitalisation RH</t>
        </is>
      </c>
      <c r="D6" s="16" t="inlineStr">
        <is>
          <t>Performance</t>
        </is>
      </c>
      <c r="E6" s="24" t="n">
        <v>8</v>
      </c>
      <c r="F6" s="24" t="n">
        <v>2</v>
      </c>
      <c r="G6" s="24" t="n">
        <v>5</v>
      </c>
      <c r="H6" s="17" t="n"/>
      <c r="I6" s="24" t="n">
        <v>12000000</v>
      </c>
      <c r="J6" s="24" t="n">
        <v>3600000</v>
      </c>
      <c r="K6" s="17" t="n"/>
      <c r="L6" s="16" t="inlineStr">
        <is>
          <t>En cours</t>
        </is>
      </c>
      <c r="M6" s="16" t="inlineStr">
        <is>
          <t>SIRH cloud en phase 2</t>
        </is>
      </c>
    </row>
    <row r="7" ht="22" customHeight="1">
      <c r="B7" s="13" t="inlineStr">
        <is>
          <t>SPA-003</t>
        </is>
      </c>
      <c r="C7" s="13" t="inlineStr">
        <is>
          <t>Plan Formation</t>
        </is>
      </c>
      <c r="D7" s="13" t="inlineStr">
        <is>
          <t>Employabilite</t>
        </is>
      </c>
      <c r="E7" s="22" t="n">
        <v>15</v>
      </c>
      <c r="F7" s="22" t="n">
        <v>4</v>
      </c>
      <c r="G7" s="22" t="n">
        <v>9</v>
      </c>
      <c r="H7" s="14" t="n"/>
      <c r="I7" s="22" t="n">
        <v>4800000</v>
      </c>
      <c r="J7" s="22" t="n">
        <v>1200000</v>
      </c>
      <c r="K7" s="14" t="n"/>
      <c r="L7" s="13" t="inlineStr">
        <is>
          <t>En cours</t>
        </is>
      </c>
      <c r="M7" s="13" t="inlineStr">
        <is>
          <t>E-learning bien lance</t>
        </is>
      </c>
    </row>
    <row r="8" ht="22" customHeight="1">
      <c r="B8" s="16" t="inlineStr">
        <is>
          <t>SPA-004</t>
        </is>
      </c>
      <c r="C8" s="16" t="inlineStr">
        <is>
          <t>Plan Diversite</t>
        </is>
      </c>
      <c r="D8" s="16" t="inlineStr">
        <is>
          <t>Attractivite</t>
        </is>
      </c>
      <c r="E8" s="24" t="n">
        <v>6</v>
      </c>
      <c r="F8" s="24" t="n">
        <v>1</v>
      </c>
      <c r="G8" s="24" t="n">
        <v>4</v>
      </c>
      <c r="H8" s="17" t="n"/>
      <c r="I8" s="24" t="n">
        <v>1500000</v>
      </c>
      <c r="J8" s="24" t="n">
        <v>300000</v>
      </c>
      <c r="K8" s="17" t="n"/>
      <c r="L8" s="16" t="inlineStr">
        <is>
          <t>En cours</t>
        </is>
      </c>
      <c r="M8" s="16" t="inlineStr">
        <is>
          <t>Mentorat operationnel</t>
        </is>
      </c>
    </row>
    <row r="9" ht="22" customHeight="1">
      <c r="B9" s="20">
        <f>IF(C9="","SPA-"&amp;TEXT(COUNTA($C$5:C9),"000"))</f>
        <v/>
      </c>
      <c r="C9" s="13" t="n"/>
      <c r="D9" s="13" t="n"/>
      <c r="E9" s="22" t="n"/>
      <c r="F9" s="22" t="n"/>
      <c r="G9" s="22" t="n"/>
      <c r="H9" s="14">
        <f>IF(E9="","",F9/E9)</f>
        <v/>
      </c>
      <c r="I9" s="22" t="n"/>
      <c r="J9" s="22" t="n"/>
      <c r="K9" s="14">
        <f>IF(I9="","",J9/I9)</f>
        <v/>
      </c>
      <c r="L9" s="13" t="n"/>
      <c r="M9" s="13" t="n"/>
    </row>
    <row r="10" ht="22" customHeight="1">
      <c r="B10" s="19">
        <f>IF(C10="","SPA-"&amp;TEXT(COUNTA($C$5:C10),"000"))</f>
        <v/>
      </c>
      <c r="C10" s="16" t="n"/>
      <c r="D10" s="16" t="n"/>
      <c r="E10" s="24" t="n"/>
      <c r="F10" s="24" t="n"/>
      <c r="G10" s="24" t="n"/>
      <c r="H10" s="17">
        <f>IF(E10="","",F10/E10)</f>
        <v/>
      </c>
      <c r="I10" s="24" t="n"/>
      <c r="J10" s="24" t="n"/>
      <c r="K10" s="17">
        <f>IF(I10="","",J10/I10)</f>
        <v/>
      </c>
      <c r="L10" s="16" t="n"/>
      <c r="M10" s="16" t="n"/>
    </row>
    <row r="11" ht="22" customHeight="1">
      <c r="B11" s="20">
        <f>IF(C11="","SPA-"&amp;TEXT(COUNTA($C$5:C11),"000"))</f>
        <v/>
      </c>
      <c r="C11" s="13" t="n"/>
      <c r="D11" s="13" t="n"/>
      <c r="E11" s="22" t="n"/>
      <c r="F11" s="22" t="n"/>
      <c r="G11" s="22" t="n"/>
      <c r="H11" s="14">
        <f>IF(E11="","",F11/E11)</f>
        <v/>
      </c>
      <c r="I11" s="22" t="n"/>
      <c r="J11" s="22" t="n"/>
      <c r="K11" s="14">
        <f>IF(I11="","",J11/I11)</f>
        <v/>
      </c>
      <c r="L11" s="13" t="n"/>
      <c r="M11" s="13" t="n"/>
    </row>
    <row r="12" ht="22" customHeight="1">
      <c r="B12" s="19">
        <f>IF(C12="","SPA-"&amp;TEXT(COUNTA($C$5:C12),"000"))</f>
        <v/>
      </c>
      <c r="C12" s="16" t="n"/>
      <c r="D12" s="16" t="n"/>
      <c r="E12" s="24" t="n"/>
      <c r="F12" s="24" t="n"/>
      <c r="G12" s="24" t="n"/>
      <c r="H12" s="17">
        <f>IF(E12="","",F12/E12)</f>
        <v/>
      </c>
      <c r="I12" s="24" t="n"/>
      <c r="J12" s="24" t="n"/>
      <c r="K12" s="17">
        <f>IF(I12="","",J12/I12)</f>
        <v/>
      </c>
      <c r="L12" s="16" t="n"/>
      <c r="M12" s="16" t="n"/>
    </row>
    <row r="13" ht="22" customHeight="1">
      <c r="B13" s="20">
        <f>IF(C13="","SPA-"&amp;TEXT(COUNTA($C$5:C13),"000"))</f>
        <v/>
      </c>
      <c r="C13" s="13" t="n"/>
      <c r="D13" s="13" t="n"/>
      <c r="E13" s="22" t="n"/>
      <c r="F13" s="22" t="n"/>
      <c r="G13" s="22" t="n"/>
      <c r="H13" s="14">
        <f>IF(E13="","",F13/E13)</f>
        <v/>
      </c>
      <c r="I13" s="22" t="n"/>
      <c r="J13" s="22" t="n"/>
      <c r="K13" s="14">
        <f>IF(I13="","",J13/I13)</f>
        <v/>
      </c>
      <c r="L13" s="13" t="n"/>
      <c r="M13" s="13" t="n"/>
    </row>
    <row r="14" ht="22" customHeight="1">
      <c r="B14" s="19">
        <f>IF(C14="","SPA-"&amp;TEXT(COUNTA($C$5:C14),"000"))</f>
        <v/>
      </c>
      <c r="C14" s="16" t="n"/>
      <c r="D14" s="16" t="n"/>
      <c r="E14" s="24" t="n"/>
      <c r="F14" s="24" t="n"/>
      <c r="G14" s="24" t="n"/>
      <c r="H14" s="17">
        <f>IF(E14="","",F14/E14)</f>
        <v/>
      </c>
      <c r="I14" s="24" t="n"/>
      <c r="J14" s="24" t="n"/>
      <c r="K14" s="17">
        <f>IF(I14="","",J14/I14)</f>
        <v/>
      </c>
      <c r="L14" s="16" t="n"/>
      <c r="M14" s="16" t="n"/>
    </row>
    <row r="15" ht="22" customHeight="1">
      <c r="B15" s="20">
        <f>IF(C15="","SPA-"&amp;TEXT(COUNTA($C$5:C15),"000"))</f>
        <v/>
      </c>
      <c r="C15" s="13" t="n"/>
      <c r="D15" s="13" t="n"/>
      <c r="E15" s="22" t="n"/>
      <c r="F15" s="22" t="n"/>
      <c r="G15" s="22" t="n"/>
      <c r="H15" s="14">
        <f>IF(E15="","",F15/E15)</f>
        <v/>
      </c>
      <c r="I15" s="22" t="n"/>
      <c r="J15" s="22" t="n"/>
      <c r="K15" s="14">
        <f>IF(I15="","",J15/I15)</f>
        <v/>
      </c>
      <c r="L15" s="13" t="n"/>
      <c r="M15" s="13" t="n"/>
    </row>
    <row r="16" ht="22" customHeight="1">
      <c r="B16" s="19">
        <f>IF(C16="","SPA-"&amp;TEXT(COUNTA($C$5:C16),"000"))</f>
        <v/>
      </c>
      <c r="C16" s="16" t="n"/>
      <c r="D16" s="16" t="n"/>
      <c r="E16" s="24" t="n"/>
      <c r="F16" s="24" t="n"/>
      <c r="G16" s="24" t="n"/>
      <c r="H16" s="17">
        <f>IF(E16="","",F16/E16)</f>
        <v/>
      </c>
      <c r="I16" s="24" t="n"/>
      <c r="J16" s="24" t="n"/>
      <c r="K16" s="17">
        <f>IF(I16="","",J16/I16)</f>
        <v/>
      </c>
      <c r="L16" s="16" t="n"/>
      <c r="M16" s="16" t="n"/>
    </row>
    <row r="17" ht="22" customHeight="1">
      <c r="B17" s="20">
        <f>IF(C17="","SPA-"&amp;TEXT(COUNTA($C$5:C17),"000"))</f>
        <v/>
      </c>
      <c r="C17" s="13" t="n"/>
      <c r="D17" s="13" t="n"/>
      <c r="E17" s="22" t="n"/>
      <c r="F17" s="22" t="n"/>
      <c r="G17" s="22" t="n"/>
      <c r="H17" s="14">
        <f>IF(E17="","",F17/E17)</f>
        <v/>
      </c>
      <c r="I17" s="22" t="n"/>
      <c r="J17" s="22" t="n"/>
      <c r="K17" s="14">
        <f>IF(I17="","",J17/I17)</f>
        <v/>
      </c>
      <c r="L17" s="13" t="n"/>
      <c r="M17" s="13" t="n"/>
    </row>
    <row r="18" ht="22" customHeight="1">
      <c r="B18" s="19">
        <f>IF(C18="","SPA-"&amp;TEXT(COUNTA($C$5:C18),"000"))</f>
        <v/>
      </c>
      <c r="C18" s="16" t="n"/>
      <c r="D18" s="16" t="n"/>
      <c r="E18" s="24" t="n"/>
      <c r="F18" s="24" t="n"/>
      <c r="G18" s="24" t="n"/>
      <c r="H18" s="17">
        <f>IF(E18="","",F18/E18)</f>
        <v/>
      </c>
      <c r="I18" s="24" t="n"/>
      <c r="J18" s="24" t="n"/>
      <c r="K18" s="17">
        <f>IF(I18="","",J18/I18)</f>
        <v/>
      </c>
      <c r="L18" s="16" t="n"/>
      <c r="M18" s="16" t="n"/>
    </row>
    <row r="19" ht="22" customHeight="1">
      <c r="B19" s="20">
        <f>IF(C19="","SPA-"&amp;TEXT(COUNTA($C$5:C19),"000"))</f>
        <v/>
      </c>
      <c r="C19" s="13" t="n"/>
      <c r="D19" s="13" t="n"/>
      <c r="E19" s="22" t="n"/>
      <c r="F19" s="22" t="n"/>
      <c r="G19" s="22" t="n"/>
      <c r="H19" s="14">
        <f>IF(E19="","",F19/E19)</f>
        <v/>
      </c>
      <c r="I19" s="22" t="n"/>
      <c r="J19" s="22" t="n"/>
      <c r="K19" s="14">
        <f>IF(I19="","",J19/I19)</f>
        <v/>
      </c>
      <c r="L19" s="13" t="n"/>
      <c r="M19" s="13" t="n"/>
    </row>
    <row r="20" ht="22" customHeight="1">
      <c r="B20" s="19">
        <f>IF(C20="","SPA-"&amp;TEXT(COUNTA($C$5:C20),"000"))</f>
        <v/>
      </c>
      <c r="C20" s="16" t="n"/>
      <c r="D20" s="16" t="n"/>
      <c r="E20" s="24" t="n"/>
      <c r="F20" s="24" t="n"/>
      <c r="G20" s="24" t="n"/>
      <c r="H20" s="17">
        <f>IF(E20="","",F20/E20)</f>
        <v/>
      </c>
      <c r="I20" s="24" t="n"/>
      <c r="J20" s="24" t="n"/>
      <c r="K20" s="17">
        <f>IF(I20="","",J20/I20)</f>
        <v/>
      </c>
      <c r="L20" s="16" t="n"/>
      <c r="M20" s="16" t="n"/>
    </row>
    <row r="21" ht="22" customHeight="1">
      <c r="B21" s="20">
        <f>IF(C21="","SPA-"&amp;TEXT(COUNTA($C$5:C21),"000"))</f>
        <v/>
      </c>
      <c r="C21" s="13" t="n"/>
      <c r="D21" s="13" t="n"/>
      <c r="E21" s="22" t="n"/>
      <c r="F21" s="22" t="n"/>
      <c r="G21" s="22" t="n"/>
      <c r="H21" s="14">
        <f>IF(E21="","",F21/E21)</f>
        <v/>
      </c>
      <c r="I21" s="22" t="n"/>
      <c r="J21" s="22" t="n"/>
      <c r="K21" s="14">
        <f>IF(I21="","",J21/I21)</f>
        <v/>
      </c>
      <c r="L21" s="13" t="n"/>
      <c r="M21" s="13" t="n"/>
    </row>
    <row r="22" ht="22" customHeight="1">
      <c r="B22" s="19">
        <f>IF(C22="","SPA-"&amp;TEXT(COUNTA($C$5:C22),"000"))</f>
        <v/>
      </c>
      <c r="C22" s="16" t="n"/>
      <c r="D22" s="16" t="n"/>
      <c r="E22" s="24" t="n"/>
      <c r="F22" s="24" t="n"/>
      <c r="G22" s="24" t="n"/>
      <c r="H22" s="17">
        <f>IF(E22="","",F22/E22)</f>
        <v/>
      </c>
      <c r="I22" s="24" t="n"/>
      <c r="J22" s="24" t="n"/>
      <c r="K22" s="17">
        <f>IF(I22="","",J22/I22)</f>
        <v/>
      </c>
      <c r="L22" s="16" t="n"/>
      <c r="M22" s="16" t="n"/>
    </row>
    <row r="23" ht="22" customHeight="1">
      <c r="B23" s="20">
        <f>IF(C23="","SPA-"&amp;TEXT(COUNTA($C$5:C23),"000"))</f>
        <v/>
      </c>
      <c r="C23" s="13" t="n"/>
      <c r="D23" s="13" t="n"/>
      <c r="E23" s="22" t="n"/>
      <c r="F23" s="22" t="n"/>
      <c r="G23" s="22" t="n"/>
      <c r="H23" s="14">
        <f>IF(E23="","",F23/E23)</f>
        <v/>
      </c>
      <c r="I23" s="22" t="n"/>
      <c r="J23" s="22" t="n"/>
      <c r="K23" s="14">
        <f>IF(I23="","",J23/I23)</f>
        <v/>
      </c>
      <c r="L23" s="13" t="n"/>
      <c r="M23" s="13" t="n"/>
    </row>
    <row r="24" ht="22" customHeight="1">
      <c r="B24" s="19">
        <f>IF(C24="","SPA-"&amp;TEXT(COUNTA($C$5:C24),"000"))</f>
        <v/>
      </c>
      <c r="C24" s="16" t="n"/>
      <c r="D24" s="16" t="n"/>
      <c r="E24" s="24" t="n"/>
      <c r="F24" s="24" t="n"/>
      <c r="G24" s="24" t="n"/>
      <c r="H24" s="17">
        <f>IF(E24="","",F24/E24)</f>
        <v/>
      </c>
      <c r="I24" s="24" t="n"/>
      <c r="J24" s="24" t="n"/>
      <c r="K24" s="17">
        <f>IF(I24="","",J24/I24)</f>
        <v/>
      </c>
      <c r="L24" s="16" t="n"/>
      <c r="M24" s="16" t="n"/>
    </row>
    <row r="25" ht="22" customHeight="1">
      <c r="B25" s="20">
        <f>IF(C25="","SPA-"&amp;TEXT(COUNTA($C$5:C25),"000"))</f>
        <v/>
      </c>
      <c r="C25" s="13" t="n"/>
      <c r="D25" s="13" t="n"/>
      <c r="E25" s="22" t="n"/>
      <c r="F25" s="22" t="n"/>
      <c r="G25" s="22" t="n"/>
      <c r="H25" s="14">
        <f>IF(E25="","",F25/E25)</f>
        <v/>
      </c>
      <c r="I25" s="22" t="n"/>
      <c r="J25" s="22" t="n"/>
      <c r="K25" s="14">
        <f>IF(I25="","",J25/I25)</f>
        <v/>
      </c>
      <c r="L25" s="13" t="n"/>
      <c r="M25" s="13" t="n"/>
    </row>
    <row r="26" ht="22" customHeight="1">
      <c r="B26" s="19">
        <f>IF(C26="","SPA-"&amp;TEXT(COUNTA($C$5:C26),"000"))</f>
        <v/>
      </c>
      <c r="C26" s="16" t="n"/>
      <c r="D26" s="16" t="n"/>
      <c r="E26" s="24" t="n"/>
      <c r="F26" s="24" t="n"/>
      <c r="G26" s="24" t="n"/>
      <c r="H26" s="17">
        <f>IF(E26="","",F26/E26)</f>
        <v/>
      </c>
      <c r="I26" s="24" t="n"/>
      <c r="J26" s="24" t="n"/>
      <c r="K26" s="17">
        <f>IF(I26="","",J26/I26)</f>
        <v/>
      </c>
      <c r="L26" s="16" t="n"/>
      <c r="M26" s="16" t="n"/>
    </row>
    <row r="27" ht="22" customHeight="1">
      <c r="B27" s="20">
        <f>IF(C27="","SPA-"&amp;TEXT(COUNTA($C$5:C27),"000"))</f>
        <v/>
      </c>
      <c r="C27" s="13" t="n"/>
      <c r="D27" s="13" t="n"/>
      <c r="E27" s="22" t="n"/>
      <c r="F27" s="22" t="n"/>
      <c r="G27" s="22" t="n"/>
      <c r="H27" s="14">
        <f>IF(E27="","",F27/E27)</f>
        <v/>
      </c>
      <c r="I27" s="22" t="n"/>
      <c r="J27" s="22" t="n"/>
      <c r="K27" s="14">
        <f>IF(I27="","",J27/I27)</f>
        <v/>
      </c>
      <c r="L27" s="13" t="n"/>
      <c r="M27" s="13" t="n"/>
    </row>
    <row r="28" ht="22" customHeight="1">
      <c r="B28" s="19">
        <f>IF(C28="","SPA-"&amp;TEXT(COUNTA($C$5:C28),"000"))</f>
        <v/>
      </c>
      <c r="C28" s="16" t="n"/>
      <c r="D28" s="16" t="n"/>
      <c r="E28" s="24" t="n"/>
      <c r="F28" s="24" t="n"/>
      <c r="G28" s="24" t="n"/>
      <c r="H28" s="17">
        <f>IF(E28="","",F28/E28)</f>
        <v/>
      </c>
      <c r="I28" s="24" t="n"/>
      <c r="J28" s="24" t="n"/>
      <c r="K28" s="17">
        <f>IF(I28="","",J28/I28)</f>
        <v/>
      </c>
      <c r="L28" s="16" t="n"/>
      <c r="M28" s="16" t="n"/>
    </row>
    <row r="29" ht="22" customHeight="1">
      <c r="B29" s="20">
        <f>IF(C29="","SPA-"&amp;TEXT(COUNTA($C$5:C29),"000"))</f>
        <v/>
      </c>
      <c r="C29" s="13" t="n"/>
      <c r="D29" s="13" t="n"/>
      <c r="E29" s="22" t="n"/>
      <c r="F29" s="22" t="n"/>
      <c r="G29" s="22" t="n"/>
      <c r="H29" s="14">
        <f>IF(E29="","",F29/E29)</f>
        <v/>
      </c>
      <c r="I29" s="22" t="n"/>
      <c r="J29" s="22" t="n"/>
      <c r="K29" s="14">
        <f>IF(I29="","",J29/I29)</f>
        <v/>
      </c>
      <c r="L29" s="13" t="n"/>
      <c r="M29" s="13" t="n"/>
    </row>
    <row r="30" ht="22" customHeight="1">
      <c r="B30" s="19">
        <f>IF(C30="","SPA-"&amp;TEXT(COUNTA($C$5:C30),"000"))</f>
        <v/>
      </c>
      <c r="C30" s="16" t="n"/>
      <c r="D30" s="16" t="n"/>
      <c r="E30" s="24" t="n"/>
      <c r="F30" s="24" t="n"/>
      <c r="G30" s="24" t="n"/>
      <c r="H30" s="17">
        <f>IF(E30="","",F30/E30)</f>
        <v/>
      </c>
      <c r="I30" s="24" t="n"/>
      <c r="J30" s="24" t="n"/>
      <c r="K30" s="17">
        <f>IF(I30="","",J30/I30)</f>
        <v/>
      </c>
      <c r="L30" s="16" t="n"/>
      <c r="M30" s="16" t="n"/>
    </row>
    <row r="31" ht="22" customHeight="1">
      <c r="B31" s="20">
        <f>IF(C31="","SPA-"&amp;TEXT(COUNTA($C$5:C31),"000"))</f>
        <v/>
      </c>
      <c r="C31" s="13" t="n"/>
      <c r="D31" s="13" t="n"/>
      <c r="E31" s="22" t="n"/>
      <c r="F31" s="22" t="n"/>
      <c r="G31" s="22" t="n"/>
      <c r="H31" s="14">
        <f>IF(E31="","",F31/E31)</f>
        <v/>
      </c>
      <c r="I31" s="22" t="n"/>
      <c r="J31" s="22" t="n"/>
      <c r="K31" s="14">
        <f>IF(I31="","",J31/I31)</f>
        <v/>
      </c>
      <c r="L31" s="13" t="n"/>
      <c r="M31" s="13" t="n"/>
    </row>
    <row r="32" ht="22" customHeight="1">
      <c r="B32" s="19">
        <f>IF(C32="","SPA-"&amp;TEXT(COUNTA($C$5:C32),"000"))</f>
        <v/>
      </c>
      <c r="C32" s="16" t="n"/>
      <c r="D32" s="16" t="n"/>
      <c r="E32" s="24" t="n"/>
      <c r="F32" s="24" t="n"/>
      <c r="G32" s="24" t="n"/>
      <c r="H32" s="17">
        <f>IF(E32="","",F32/E32)</f>
        <v/>
      </c>
      <c r="I32" s="24" t="n"/>
      <c r="J32" s="24" t="n"/>
      <c r="K32" s="17">
        <f>IF(I32="","",J32/I32)</f>
        <v/>
      </c>
      <c r="L32" s="16" t="n"/>
      <c r="M32" s="16" t="n"/>
    </row>
    <row r="33" ht="22" customHeight="1">
      <c r="B33" s="20">
        <f>IF(C33="","SPA-"&amp;TEXT(COUNTA($C$5:C33),"000"))</f>
        <v/>
      </c>
      <c r="C33" s="13" t="n"/>
      <c r="D33" s="13" t="n"/>
      <c r="E33" s="22" t="n"/>
      <c r="F33" s="22" t="n"/>
      <c r="G33" s="22" t="n"/>
      <c r="H33" s="14">
        <f>IF(E33="","",F33/E33)</f>
        <v/>
      </c>
      <c r="I33" s="22" t="n"/>
      <c r="J33" s="22" t="n"/>
      <c r="K33" s="14">
        <f>IF(I33="","",J33/I33)</f>
        <v/>
      </c>
      <c r="L33" s="13" t="n"/>
      <c r="M33" s="13" t="n"/>
    </row>
    <row r="34" ht="22" customHeight="1">
      <c r="B34" s="19">
        <f>IF(C34="","SPA-"&amp;TEXT(COUNTA($C$5:C34),"000"))</f>
        <v/>
      </c>
      <c r="C34" s="16" t="n"/>
      <c r="D34" s="16" t="n"/>
      <c r="E34" s="24" t="n"/>
      <c r="F34" s="24" t="n"/>
      <c r="G34" s="24" t="n"/>
      <c r="H34" s="17">
        <f>IF(E34="","",F34/E34)</f>
        <v/>
      </c>
      <c r="I34" s="24" t="n"/>
      <c r="J34" s="24" t="n"/>
      <c r="K34" s="17">
        <f>IF(I34="","",J34/I34)</f>
        <v/>
      </c>
      <c r="L34" s="16" t="n"/>
      <c r="M34" s="16" t="n"/>
    </row>
    <row r="35" ht="22" customHeight="1">
      <c r="B35" s="20">
        <f>IF(C35="","SPA-"&amp;TEXT(COUNTA($C$5:C35),"000"))</f>
        <v/>
      </c>
      <c r="C35" s="13" t="n"/>
      <c r="D35" s="13" t="n"/>
      <c r="E35" s="22" t="n"/>
      <c r="F35" s="22" t="n"/>
      <c r="G35" s="22" t="n"/>
      <c r="H35" s="14">
        <f>IF(E35="","",F35/E35)</f>
        <v/>
      </c>
      <c r="I35" s="22" t="n"/>
      <c r="J35" s="22" t="n"/>
      <c r="K35" s="14">
        <f>IF(I35="","",J35/I35)</f>
        <v/>
      </c>
      <c r="L35" s="13" t="n"/>
      <c r="M35" s="13" t="n"/>
    </row>
    <row r="36" ht="22" customHeight="1">
      <c r="B36" s="19">
        <f>IF(C36="","SPA-"&amp;TEXT(COUNTA($C$5:C36),"000"))</f>
        <v/>
      </c>
      <c r="C36" s="16" t="n"/>
      <c r="D36" s="16" t="n"/>
      <c r="E36" s="24" t="n"/>
      <c r="F36" s="24" t="n"/>
      <c r="G36" s="24" t="n"/>
      <c r="H36" s="17">
        <f>IF(E36="","",F36/E36)</f>
        <v/>
      </c>
      <c r="I36" s="24" t="n"/>
      <c r="J36" s="24" t="n"/>
      <c r="K36" s="17">
        <f>IF(I36="","",J36/I36)</f>
        <v/>
      </c>
      <c r="L36" s="16" t="n"/>
      <c r="M36" s="16" t="n"/>
    </row>
    <row r="37" ht="22" customHeight="1">
      <c r="B37" s="20">
        <f>IF(C37="","SPA-"&amp;TEXT(COUNTA($C$5:C37),"000"))</f>
        <v/>
      </c>
      <c r="C37" s="13" t="n"/>
      <c r="D37" s="13" t="n"/>
      <c r="E37" s="22" t="n"/>
      <c r="F37" s="22" t="n"/>
      <c r="G37" s="22" t="n"/>
      <c r="H37" s="14">
        <f>IF(E37="","",F37/E37)</f>
        <v/>
      </c>
      <c r="I37" s="22" t="n"/>
      <c r="J37" s="22" t="n"/>
      <c r="K37" s="14">
        <f>IF(I37="","",J37/I37)</f>
        <v/>
      </c>
      <c r="L37" s="13" t="n"/>
      <c r="M37" s="13" t="n"/>
    </row>
    <row r="38" ht="22" customHeight="1">
      <c r="B38" s="19">
        <f>IF(C38="","SPA-"&amp;TEXT(COUNTA($C$5:C38),"000"))</f>
        <v/>
      </c>
      <c r="C38" s="16" t="n"/>
      <c r="D38" s="16" t="n"/>
      <c r="E38" s="24" t="n"/>
      <c r="F38" s="24" t="n"/>
      <c r="G38" s="24" t="n"/>
      <c r="H38" s="17">
        <f>IF(E38="","",F38/E38)</f>
        <v/>
      </c>
      <c r="I38" s="24" t="n"/>
      <c r="J38" s="24" t="n"/>
      <c r="K38" s="17">
        <f>IF(I38="","",J38/I38)</f>
        <v/>
      </c>
      <c r="L38" s="16" t="n"/>
      <c r="M38" s="16" t="n"/>
    </row>
    <row r="39" ht="22" customHeight="1">
      <c r="B39" s="20">
        <f>IF(C39="","SPA-"&amp;TEXT(COUNTA($C$5:C39),"000"))</f>
        <v/>
      </c>
      <c r="C39" s="13" t="n"/>
      <c r="D39" s="13" t="n"/>
      <c r="E39" s="22" t="n"/>
      <c r="F39" s="22" t="n"/>
      <c r="G39" s="22" t="n"/>
      <c r="H39" s="14">
        <f>IF(E39="","",F39/E39)</f>
        <v/>
      </c>
      <c r="I39" s="22" t="n"/>
      <c r="J39" s="22" t="n"/>
      <c r="K39" s="14">
        <f>IF(I39="","",J39/I39)</f>
        <v/>
      </c>
      <c r="L39" s="13" t="n"/>
      <c r="M39" s="13" t="n"/>
    </row>
    <row r="40" ht="22" customHeight="1">
      <c r="B40" s="19">
        <f>IF(C40="","SPA-"&amp;TEXT(COUNTA($C$5:C40),"000"))</f>
        <v/>
      </c>
      <c r="C40" s="16" t="n"/>
      <c r="D40" s="16" t="n"/>
      <c r="E40" s="24" t="n"/>
      <c r="F40" s="24" t="n"/>
      <c r="G40" s="24" t="n"/>
      <c r="H40" s="17">
        <f>IF(E40="","",F40/E40)</f>
        <v/>
      </c>
      <c r="I40" s="24" t="n"/>
      <c r="J40" s="24" t="n"/>
      <c r="K40" s="17">
        <f>IF(I40="","",J40/I40)</f>
        <v/>
      </c>
      <c r="L40" s="16" t="n"/>
      <c r="M40" s="16" t="n"/>
    </row>
    <row r="41" ht="22" customHeight="1">
      <c r="B41" s="20">
        <f>IF(C41="","SPA-"&amp;TEXT(COUNTA($C$5:C41),"000"))</f>
        <v/>
      </c>
      <c r="C41" s="13" t="n"/>
      <c r="D41" s="13" t="n"/>
      <c r="E41" s="22" t="n"/>
      <c r="F41" s="22" t="n"/>
      <c r="G41" s="22" t="n"/>
      <c r="H41" s="14">
        <f>IF(E41="","",F41/E41)</f>
        <v/>
      </c>
      <c r="I41" s="22" t="n"/>
      <c r="J41" s="22" t="n"/>
      <c r="K41" s="14">
        <f>IF(I41="","",J41/I41)</f>
        <v/>
      </c>
      <c r="L41" s="13" t="n"/>
      <c r="M41" s="13" t="n"/>
    </row>
    <row r="42" ht="22" customHeight="1">
      <c r="B42" s="19">
        <f>IF(C42="","SPA-"&amp;TEXT(COUNTA($C$5:C42),"000"))</f>
        <v/>
      </c>
      <c r="C42" s="16" t="n"/>
      <c r="D42" s="16" t="n"/>
      <c r="E42" s="24" t="n"/>
      <c r="F42" s="24" t="n"/>
      <c r="G42" s="24" t="n"/>
      <c r="H42" s="17">
        <f>IF(E42="","",F42/E42)</f>
        <v/>
      </c>
      <c r="I42" s="24" t="n"/>
      <c r="J42" s="24" t="n"/>
      <c r="K42" s="17">
        <f>IF(I42="","",J42/I42)</f>
        <v/>
      </c>
      <c r="L42" s="16" t="n"/>
      <c r="M42" s="16" t="n"/>
    </row>
    <row r="43" ht="22" customHeight="1">
      <c r="B43" s="20">
        <f>IF(C43="","SPA-"&amp;TEXT(COUNTA($C$5:C43),"000"))</f>
        <v/>
      </c>
      <c r="C43" s="13" t="n"/>
      <c r="D43" s="13" t="n"/>
      <c r="E43" s="22" t="n"/>
      <c r="F43" s="22" t="n"/>
      <c r="G43" s="22" t="n"/>
      <c r="H43" s="14">
        <f>IF(E43="","",F43/E43)</f>
        <v/>
      </c>
      <c r="I43" s="22" t="n"/>
      <c r="J43" s="22" t="n"/>
      <c r="K43" s="14">
        <f>IF(I43="","",J43/I43)</f>
        <v/>
      </c>
      <c r="L43" s="13" t="n"/>
      <c r="M43" s="13" t="n"/>
    </row>
    <row r="44" ht="22" customHeight="1">
      <c r="B44" s="19">
        <f>IF(C44="","SPA-"&amp;TEXT(COUNTA($C$5:C44),"000"))</f>
        <v/>
      </c>
      <c r="C44" s="16" t="n"/>
      <c r="D44" s="16" t="n"/>
      <c r="E44" s="24" t="n"/>
      <c r="F44" s="24" t="n"/>
      <c r="G44" s="24" t="n"/>
      <c r="H44" s="17">
        <f>IF(E44="","",F44/E44)</f>
        <v/>
      </c>
      <c r="I44" s="24" t="n"/>
      <c r="J44" s="24" t="n"/>
      <c r="K44" s="17">
        <f>IF(I44="","",J44/I44)</f>
        <v/>
      </c>
      <c r="L44" s="16" t="n"/>
      <c r="M44" s="16" t="n"/>
    </row>
    <row r="45" ht="22" customHeight="1">
      <c r="B45" s="20">
        <f>IF(C45="","SPA-"&amp;TEXT(COUNTA($C$5:C45),"000"))</f>
        <v/>
      </c>
      <c r="C45" s="13" t="n"/>
      <c r="D45" s="13" t="n"/>
      <c r="E45" s="22" t="n"/>
      <c r="F45" s="22" t="n"/>
      <c r="G45" s="22" t="n"/>
      <c r="H45" s="14">
        <f>IF(E45="","",F45/E45)</f>
        <v/>
      </c>
      <c r="I45" s="22" t="n"/>
      <c r="J45" s="22" t="n"/>
      <c r="K45" s="14">
        <f>IF(I45="","",J45/I45)</f>
        <v/>
      </c>
      <c r="L45" s="13" t="n"/>
      <c r="M45" s="13" t="n"/>
    </row>
    <row r="46" ht="22" customHeight="1">
      <c r="B46" s="19">
        <f>IF(C46="","SPA-"&amp;TEXT(COUNTA($C$5:C46),"000"))</f>
        <v/>
      </c>
      <c r="C46" s="16" t="n"/>
      <c r="D46" s="16" t="n"/>
      <c r="E46" s="24" t="n"/>
      <c r="F46" s="24" t="n"/>
      <c r="G46" s="24" t="n"/>
      <c r="H46" s="17">
        <f>IF(E46="","",F46/E46)</f>
        <v/>
      </c>
      <c r="I46" s="24" t="n"/>
      <c r="J46" s="24" t="n"/>
      <c r="K46" s="17">
        <f>IF(I46="","",J46/I46)</f>
        <v/>
      </c>
      <c r="L46" s="16" t="n"/>
      <c r="M46" s="16" t="n"/>
    </row>
    <row r="47" ht="22" customHeight="1">
      <c r="B47" s="20">
        <f>IF(C47="","SPA-"&amp;TEXT(COUNTA($C$5:C47),"000"))</f>
        <v/>
      </c>
      <c r="C47" s="13" t="n"/>
      <c r="D47" s="13" t="n"/>
      <c r="E47" s="22" t="n"/>
      <c r="F47" s="22" t="n"/>
      <c r="G47" s="22" t="n"/>
      <c r="H47" s="14">
        <f>IF(E47="","",F47/E47)</f>
        <v/>
      </c>
      <c r="I47" s="22" t="n"/>
      <c r="J47" s="22" t="n"/>
      <c r="K47" s="14">
        <f>IF(I47="","",J47/I47)</f>
        <v/>
      </c>
      <c r="L47" s="13" t="n"/>
      <c r="M47" s="13" t="n"/>
    </row>
    <row r="48" ht="22" customHeight="1">
      <c r="B48" s="19">
        <f>IF(C48="","SPA-"&amp;TEXT(COUNTA($C$5:C48),"000"))</f>
        <v/>
      </c>
      <c r="C48" s="16" t="n"/>
      <c r="D48" s="16" t="n"/>
      <c r="E48" s="24" t="n"/>
      <c r="F48" s="24" t="n"/>
      <c r="G48" s="24" t="n"/>
      <c r="H48" s="17">
        <f>IF(E48="","",F48/E48)</f>
        <v/>
      </c>
      <c r="I48" s="24" t="n"/>
      <c r="J48" s="24" t="n"/>
      <c r="K48" s="17">
        <f>IF(I48="","",J48/I48)</f>
        <v/>
      </c>
      <c r="L48" s="16" t="n"/>
      <c r="M48" s="16" t="n"/>
    </row>
    <row r="49" ht="22" customHeight="1">
      <c r="B49" s="20">
        <f>IF(C49="","SPA-"&amp;TEXT(COUNTA($C$5:C49),"000"))</f>
        <v/>
      </c>
      <c r="C49" s="13" t="n"/>
      <c r="D49" s="13" t="n"/>
      <c r="E49" s="22" t="n"/>
      <c r="F49" s="22" t="n"/>
      <c r="G49" s="22" t="n"/>
      <c r="H49" s="14">
        <f>IF(E49="","",F49/E49)</f>
        <v/>
      </c>
      <c r="I49" s="22" t="n"/>
      <c r="J49" s="22" t="n"/>
      <c r="K49" s="14">
        <f>IF(I49="","",J49/I49)</f>
        <v/>
      </c>
      <c r="L49" s="13" t="n"/>
      <c r="M49" s="13" t="n"/>
    </row>
    <row r="50" ht="22" customHeight="1">
      <c r="B50" s="19">
        <f>IF(C50="","SPA-"&amp;TEXT(COUNTA($C$5:C50),"000"))</f>
        <v/>
      </c>
      <c r="C50" s="16" t="n"/>
      <c r="D50" s="16" t="n"/>
      <c r="E50" s="24" t="n"/>
      <c r="F50" s="24" t="n"/>
      <c r="G50" s="24" t="n"/>
      <c r="H50" s="17">
        <f>IF(E50="","",F50/E50)</f>
        <v/>
      </c>
      <c r="I50" s="24" t="n"/>
      <c r="J50" s="24" t="n"/>
      <c r="K50" s="17">
        <f>IF(I50="","",J50/I50)</f>
        <v/>
      </c>
      <c r="L50" s="16" t="n"/>
      <c r="M50" s="16" t="n"/>
    </row>
    <row r="51" ht="22" customHeight="1">
      <c r="B51" s="20">
        <f>IF(C51="","SPA-"&amp;TEXT(COUNTA($C$5:C51),"000"))</f>
        <v/>
      </c>
      <c r="C51" s="13" t="n"/>
      <c r="D51" s="13" t="n"/>
      <c r="E51" s="22" t="n"/>
      <c r="F51" s="22" t="n"/>
      <c r="G51" s="22" t="n"/>
      <c r="H51" s="14">
        <f>IF(E51="","",F51/E51)</f>
        <v/>
      </c>
      <c r="I51" s="22" t="n"/>
      <c r="J51" s="22" t="n"/>
      <c r="K51" s="14">
        <f>IF(I51="","",J51/I51)</f>
        <v/>
      </c>
      <c r="L51" s="13" t="n"/>
      <c r="M51" s="13" t="n"/>
    </row>
    <row r="52" ht="22" customHeight="1">
      <c r="B52" s="19">
        <f>IF(C52="","SPA-"&amp;TEXT(COUNTA($C$5:C52),"000"))</f>
        <v/>
      </c>
      <c r="C52" s="16" t="n"/>
      <c r="D52" s="16" t="n"/>
      <c r="E52" s="24" t="n"/>
      <c r="F52" s="24" t="n"/>
      <c r="G52" s="24" t="n"/>
      <c r="H52" s="17">
        <f>IF(E52="","",F52/E52)</f>
        <v/>
      </c>
      <c r="I52" s="24" t="n"/>
      <c r="J52" s="24" t="n"/>
      <c r="K52" s="17">
        <f>IF(I52="","",J52/I52)</f>
        <v/>
      </c>
      <c r="L52" s="16" t="n"/>
      <c r="M52" s="16" t="n"/>
    </row>
    <row r="53" ht="22" customHeight="1">
      <c r="B53" s="20">
        <f>IF(C53="","SPA-"&amp;TEXT(COUNTA($C$5:C53),"000"))</f>
        <v/>
      </c>
      <c r="C53" s="13" t="n"/>
      <c r="D53" s="13" t="n"/>
      <c r="E53" s="22" t="n"/>
      <c r="F53" s="22" t="n"/>
      <c r="G53" s="22" t="n"/>
      <c r="H53" s="14">
        <f>IF(E53="","",F53/E53)</f>
        <v/>
      </c>
      <c r="I53" s="22" t="n"/>
      <c r="J53" s="22" t="n"/>
      <c r="K53" s="14">
        <f>IF(I53="","",J53/I53)</f>
        <v/>
      </c>
      <c r="L53" s="13" t="n"/>
      <c r="M53" s="13" t="n"/>
    </row>
    <row r="54" ht="22" customHeight="1">
      <c r="B54" s="19">
        <f>IF(C54="","SPA-"&amp;TEXT(COUNTA($C$5:C54),"000"))</f>
        <v/>
      </c>
      <c r="C54" s="16" t="n"/>
      <c r="D54" s="16" t="n"/>
      <c r="E54" s="24" t="n"/>
      <c r="F54" s="24" t="n"/>
      <c r="G54" s="24" t="n"/>
      <c r="H54" s="17">
        <f>IF(E54="","",F54/E54)</f>
        <v/>
      </c>
      <c r="I54" s="24" t="n"/>
      <c r="J54" s="24" t="n"/>
      <c r="K54" s="17">
        <f>IF(I54="","",J54/I54)</f>
        <v/>
      </c>
      <c r="L54" s="16" t="n"/>
      <c r="M54" s="16" t="n"/>
    </row>
    <row r="55" ht="22" customHeight="1">
      <c r="B55" s="20">
        <f>IF(C55="","SPA-"&amp;TEXT(COUNTA($C$5:C55),"000"))</f>
        <v/>
      </c>
      <c r="C55" s="13" t="n"/>
      <c r="D55" s="13" t="n"/>
      <c r="E55" s="22" t="n"/>
      <c r="F55" s="22" t="n"/>
      <c r="G55" s="22" t="n"/>
      <c r="H55" s="14">
        <f>IF(E55="","",F55/E55)</f>
        <v/>
      </c>
      <c r="I55" s="22" t="n"/>
      <c r="J55" s="22" t="n"/>
      <c r="K55" s="14">
        <f>IF(I55="","",J55/I55)</f>
        <v/>
      </c>
      <c r="L55" s="13" t="n"/>
      <c r="M55" s="13" t="n"/>
    </row>
    <row r="56" ht="22" customHeight="1">
      <c r="B56" s="19">
        <f>IF(C56="","SPA-"&amp;TEXT(COUNTA($C$5:C56),"000"))</f>
        <v/>
      </c>
      <c r="C56" s="16" t="n"/>
      <c r="D56" s="16" t="n"/>
      <c r="E56" s="24" t="n"/>
      <c r="F56" s="24" t="n"/>
      <c r="G56" s="24" t="n"/>
      <c r="H56" s="17">
        <f>IF(E56="","",F56/E56)</f>
        <v/>
      </c>
      <c r="I56" s="24" t="n"/>
      <c r="J56" s="24" t="n"/>
      <c r="K56" s="17">
        <f>IF(I56="","",J56/I56)</f>
        <v/>
      </c>
      <c r="L56" s="16" t="n"/>
      <c r="M56" s="16" t="n"/>
    </row>
    <row r="57" ht="22" customHeight="1">
      <c r="B57" s="20">
        <f>IF(C57="","SPA-"&amp;TEXT(COUNTA($C$5:C57),"000"))</f>
        <v/>
      </c>
      <c r="C57" s="13" t="n"/>
      <c r="D57" s="13" t="n"/>
      <c r="E57" s="22" t="n"/>
      <c r="F57" s="22" t="n"/>
      <c r="G57" s="22" t="n"/>
      <c r="H57" s="14">
        <f>IF(E57="","",F57/E57)</f>
        <v/>
      </c>
      <c r="I57" s="22" t="n"/>
      <c r="J57" s="22" t="n"/>
      <c r="K57" s="14">
        <f>IF(I57="","",J57/I57)</f>
        <v/>
      </c>
      <c r="L57" s="13" t="n"/>
      <c r="M57" s="13" t="n"/>
    </row>
    <row r="58" ht="22" customHeight="1">
      <c r="B58" s="19">
        <f>IF(C58="","SPA-"&amp;TEXT(COUNTA($C$5:C58),"000"))</f>
        <v/>
      </c>
      <c r="C58" s="16" t="n"/>
      <c r="D58" s="16" t="n"/>
      <c r="E58" s="24" t="n"/>
      <c r="F58" s="24" t="n"/>
      <c r="G58" s="24" t="n"/>
      <c r="H58" s="17">
        <f>IF(E58="","",F58/E58)</f>
        <v/>
      </c>
      <c r="I58" s="24" t="n"/>
      <c r="J58" s="24" t="n"/>
      <c r="K58" s="17">
        <f>IF(I58="","",J58/I58)</f>
        <v/>
      </c>
      <c r="L58" s="16" t="n"/>
      <c r="M58" s="16" t="n"/>
    </row>
    <row r="59" ht="22" customHeight="1">
      <c r="B59" s="20">
        <f>IF(C59="","SPA-"&amp;TEXT(COUNTA($C$5:C59),"000"))</f>
        <v/>
      </c>
      <c r="C59" s="13" t="n"/>
      <c r="D59" s="13" t="n"/>
      <c r="E59" s="22" t="n"/>
      <c r="F59" s="22" t="n"/>
      <c r="G59" s="22" t="n"/>
      <c r="H59" s="14">
        <f>IF(E59="","",F59/E59)</f>
        <v/>
      </c>
      <c r="I59" s="22" t="n"/>
      <c r="J59" s="22" t="n"/>
      <c r="K59" s="14">
        <f>IF(I59="","",J59/I59)</f>
        <v/>
      </c>
      <c r="L59" s="13" t="n"/>
      <c r="M59" s="13" t="n"/>
    </row>
    <row r="60" ht="22" customHeight="1">
      <c r="B60" s="19">
        <f>IF(C60="","SPA-"&amp;TEXT(COUNTA($C$5:C60),"000"))</f>
        <v/>
      </c>
      <c r="C60" s="16" t="n"/>
      <c r="D60" s="16" t="n"/>
      <c r="E60" s="24" t="n"/>
      <c r="F60" s="24" t="n"/>
      <c r="G60" s="24" t="n"/>
      <c r="H60" s="17">
        <f>IF(E60="","",F60/E60)</f>
        <v/>
      </c>
      <c r="I60" s="24" t="n"/>
      <c r="J60" s="24" t="n"/>
      <c r="K60" s="17">
        <f>IF(I60="","",J60/I60)</f>
        <v/>
      </c>
      <c r="L60" s="16" t="n"/>
      <c r="M60" s="16" t="n"/>
    </row>
    <row r="61" ht="22" customHeight="1">
      <c r="B61" s="20">
        <f>IF(C61="","SPA-"&amp;TEXT(COUNTA($C$5:C61),"000"))</f>
        <v/>
      </c>
      <c r="C61" s="13" t="n"/>
      <c r="D61" s="13" t="n"/>
      <c r="E61" s="22" t="n"/>
      <c r="F61" s="22" t="n"/>
      <c r="G61" s="22" t="n"/>
      <c r="H61" s="14">
        <f>IF(E61="","",F61/E61)</f>
        <v/>
      </c>
      <c r="I61" s="22" t="n"/>
      <c r="J61" s="22" t="n"/>
      <c r="K61" s="14">
        <f>IF(I61="","",J61/I61)</f>
        <v/>
      </c>
      <c r="L61" s="13" t="n"/>
      <c r="M61" s="13" t="n"/>
    </row>
    <row r="62" ht="22" customHeight="1">
      <c r="B62" s="19">
        <f>IF(C62="","SPA-"&amp;TEXT(COUNTA($C$5:C62),"000"))</f>
        <v/>
      </c>
      <c r="C62" s="16" t="n"/>
      <c r="D62" s="16" t="n"/>
      <c r="E62" s="24" t="n"/>
      <c r="F62" s="24" t="n"/>
      <c r="G62" s="24" t="n"/>
      <c r="H62" s="17">
        <f>IF(E62="","",F62/E62)</f>
        <v/>
      </c>
      <c r="I62" s="24" t="n"/>
      <c r="J62" s="24" t="n"/>
      <c r="K62" s="17">
        <f>IF(I62="","",J62/I62)</f>
        <v/>
      </c>
      <c r="L62" s="16" t="n"/>
      <c r="M62" s="16" t="n"/>
    </row>
    <row r="63" ht="22" customHeight="1">
      <c r="B63" s="20">
        <f>IF(C63="","SPA-"&amp;TEXT(COUNTA($C$5:C63),"000"))</f>
        <v/>
      </c>
      <c r="C63" s="13" t="n"/>
      <c r="D63" s="13" t="n"/>
      <c r="E63" s="22" t="n"/>
      <c r="F63" s="22" t="n"/>
      <c r="G63" s="22" t="n"/>
      <c r="H63" s="14">
        <f>IF(E63="","",F63/E63)</f>
        <v/>
      </c>
      <c r="I63" s="22" t="n"/>
      <c r="J63" s="22" t="n"/>
      <c r="K63" s="14">
        <f>IF(I63="","",J63/I63)</f>
        <v/>
      </c>
      <c r="L63" s="13" t="n"/>
      <c r="M63" s="13" t="n"/>
    </row>
    <row r="64" ht="22" customHeight="1">
      <c r="B64" s="19">
        <f>IF(C64="","SPA-"&amp;TEXT(COUNTA($C$5:C64),"000"))</f>
        <v/>
      </c>
      <c r="C64" s="16" t="n"/>
      <c r="D64" s="16" t="n"/>
      <c r="E64" s="24" t="n"/>
      <c r="F64" s="24" t="n"/>
      <c r="G64" s="24" t="n"/>
      <c r="H64" s="17">
        <f>IF(E64="","",F64/E64)</f>
        <v/>
      </c>
      <c r="I64" s="24" t="n"/>
      <c r="J64" s="24" t="n"/>
      <c r="K64" s="17">
        <f>IF(I64="","",J64/I64)</f>
        <v/>
      </c>
      <c r="L64" s="16" t="n"/>
      <c r="M64" s="16" t="n"/>
    </row>
    <row r="65" ht="22" customHeight="1">
      <c r="B65" s="20">
        <f>IF(C65="","SPA-"&amp;TEXT(COUNTA($C$5:C65),"000"))</f>
        <v/>
      </c>
      <c r="C65" s="13" t="n"/>
      <c r="D65" s="13" t="n"/>
      <c r="E65" s="22" t="n"/>
      <c r="F65" s="22" t="n"/>
      <c r="G65" s="22" t="n"/>
      <c r="H65" s="14">
        <f>IF(E65="","",F65/E65)</f>
        <v/>
      </c>
      <c r="I65" s="22" t="n"/>
      <c r="J65" s="22" t="n"/>
      <c r="K65" s="14">
        <f>IF(I65="","",J65/I65)</f>
        <v/>
      </c>
      <c r="L65" s="13" t="n"/>
      <c r="M65" s="13" t="n"/>
    </row>
    <row r="66" ht="22" customHeight="1">
      <c r="B66" s="19">
        <f>IF(C66="","SPA-"&amp;TEXT(COUNTA($C$5:C66),"000"))</f>
        <v/>
      </c>
      <c r="C66" s="16" t="n"/>
      <c r="D66" s="16" t="n"/>
      <c r="E66" s="24" t="n"/>
      <c r="F66" s="24" t="n"/>
      <c r="G66" s="24" t="n"/>
      <c r="H66" s="17">
        <f>IF(E66="","",F66/E66)</f>
        <v/>
      </c>
      <c r="I66" s="24" t="n"/>
      <c r="J66" s="24" t="n"/>
      <c r="K66" s="17">
        <f>IF(I66="","",J66/I66)</f>
        <v/>
      </c>
      <c r="L66" s="16" t="n"/>
      <c r="M66" s="16" t="n"/>
    </row>
    <row r="67" ht="22" customHeight="1">
      <c r="B67" s="20">
        <f>IF(C67="","SPA-"&amp;TEXT(COUNTA($C$5:C67),"000"))</f>
        <v/>
      </c>
      <c r="C67" s="13" t="n"/>
      <c r="D67" s="13" t="n"/>
      <c r="E67" s="22" t="n"/>
      <c r="F67" s="22" t="n"/>
      <c r="G67" s="22" t="n"/>
      <c r="H67" s="14">
        <f>IF(E67="","",F67/E67)</f>
        <v/>
      </c>
      <c r="I67" s="22" t="n"/>
      <c r="J67" s="22" t="n"/>
      <c r="K67" s="14">
        <f>IF(I67="","",J67/I67)</f>
        <v/>
      </c>
      <c r="L67" s="13" t="n"/>
      <c r="M67" s="13" t="n"/>
    </row>
    <row r="68" ht="22" customHeight="1">
      <c r="B68" s="19">
        <f>IF(C68="","SPA-"&amp;TEXT(COUNTA($C$5:C68),"000"))</f>
        <v/>
      </c>
      <c r="C68" s="16" t="n"/>
      <c r="D68" s="16" t="n"/>
      <c r="E68" s="24" t="n"/>
      <c r="F68" s="24" t="n"/>
      <c r="G68" s="24" t="n"/>
      <c r="H68" s="17">
        <f>IF(E68="","",F68/E68)</f>
        <v/>
      </c>
      <c r="I68" s="24" t="n"/>
      <c r="J68" s="24" t="n"/>
      <c r="K68" s="17">
        <f>IF(I68="","",J68/I68)</f>
        <v/>
      </c>
      <c r="L68" s="16" t="n"/>
      <c r="M68" s="16" t="n"/>
    </row>
    <row r="69" ht="22" customHeight="1">
      <c r="B69" s="20">
        <f>IF(C69="","SPA-"&amp;TEXT(COUNTA($C$5:C69),"000"))</f>
        <v/>
      </c>
      <c r="C69" s="13" t="n"/>
      <c r="D69" s="13" t="n"/>
      <c r="E69" s="22" t="n"/>
      <c r="F69" s="22" t="n"/>
      <c r="G69" s="22" t="n"/>
      <c r="H69" s="14">
        <f>IF(E69="","",F69/E69)</f>
        <v/>
      </c>
      <c r="I69" s="22" t="n"/>
      <c r="J69" s="22" t="n"/>
      <c r="K69" s="14">
        <f>IF(I69="","",J69/I69)</f>
        <v/>
      </c>
      <c r="L69" s="13" t="n"/>
      <c r="M69" s="13" t="n"/>
    </row>
    <row r="70" ht="22" customHeight="1">
      <c r="B70" s="19">
        <f>IF(C70="","SPA-"&amp;TEXT(COUNTA($C$5:C70),"000"))</f>
        <v/>
      </c>
      <c r="C70" s="16" t="n"/>
      <c r="D70" s="16" t="n"/>
      <c r="E70" s="24" t="n"/>
      <c r="F70" s="24" t="n"/>
      <c r="G70" s="24" t="n"/>
      <c r="H70" s="17">
        <f>IF(E70="","",F70/E70)</f>
        <v/>
      </c>
      <c r="I70" s="24" t="n"/>
      <c r="J70" s="24" t="n"/>
      <c r="K70" s="17">
        <f>IF(I70="","",J70/I70)</f>
        <v/>
      </c>
      <c r="L70" s="16" t="n"/>
      <c r="M70" s="16" t="n"/>
    </row>
    <row r="71" ht="22" customHeight="1">
      <c r="B71" s="20">
        <f>IF(C71="","SPA-"&amp;TEXT(COUNTA($C$5:C71),"000"))</f>
        <v/>
      </c>
      <c r="C71" s="13" t="n"/>
      <c r="D71" s="13" t="n"/>
      <c r="E71" s="22" t="n"/>
      <c r="F71" s="22" t="n"/>
      <c r="G71" s="22" t="n"/>
      <c r="H71" s="14">
        <f>IF(E71="","",F71/E71)</f>
        <v/>
      </c>
      <c r="I71" s="22" t="n"/>
      <c r="J71" s="22" t="n"/>
      <c r="K71" s="14">
        <f>IF(I71="","",J71/I71)</f>
        <v/>
      </c>
      <c r="L71" s="13" t="n"/>
      <c r="M71" s="13" t="n"/>
    </row>
    <row r="72" ht="22" customHeight="1">
      <c r="B72" s="19">
        <f>IF(C72="","SPA-"&amp;TEXT(COUNTA($C$5:C72),"000"))</f>
        <v/>
      </c>
      <c r="C72" s="16" t="n"/>
      <c r="D72" s="16" t="n"/>
      <c r="E72" s="24" t="n"/>
      <c r="F72" s="24" t="n"/>
      <c r="G72" s="24" t="n"/>
      <c r="H72" s="17">
        <f>IF(E72="","",F72/E72)</f>
        <v/>
      </c>
      <c r="I72" s="24" t="n"/>
      <c r="J72" s="24" t="n"/>
      <c r="K72" s="17">
        <f>IF(I72="","",J72/I72)</f>
        <v/>
      </c>
      <c r="L72" s="16" t="n"/>
      <c r="M72" s="16" t="n"/>
    </row>
    <row r="73" ht="22" customHeight="1">
      <c r="B73" s="20">
        <f>IF(C73="","SPA-"&amp;TEXT(COUNTA($C$5:C73),"000"))</f>
        <v/>
      </c>
      <c r="C73" s="13" t="n"/>
      <c r="D73" s="13" t="n"/>
      <c r="E73" s="22" t="n"/>
      <c r="F73" s="22" t="n"/>
      <c r="G73" s="22" t="n"/>
      <c r="H73" s="14">
        <f>IF(E73="","",F73/E73)</f>
        <v/>
      </c>
      <c r="I73" s="22" t="n"/>
      <c r="J73" s="22" t="n"/>
      <c r="K73" s="14">
        <f>IF(I73="","",J73/I73)</f>
        <v/>
      </c>
      <c r="L73" s="13" t="n"/>
      <c r="M73" s="13" t="n"/>
    </row>
    <row r="74" ht="22" customHeight="1">
      <c r="B74" s="19">
        <f>IF(C74="","SPA-"&amp;TEXT(COUNTA($C$5:C74),"000"))</f>
        <v/>
      </c>
      <c r="C74" s="16" t="n"/>
      <c r="D74" s="16" t="n"/>
      <c r="E74" s="24" t="n"/>
      <c r="F74" s="24" t="n"/>
      <c r="G74" s="24" t="n"/>
      <c r="H74" s="17">
        <f>IF(E74="","",F74/E74)</f>
        <v/>
      </c>
      <c r="I74" s="24" t="n"/>
      <c r="J74" s="24" t="n"/>
      <c r="K74" s="17">
        <f>IF(I74="","",J74/I74)</f>
        <v/>
      </c>
      <c r="L74" s="16" t="n"/>
      <c r="M74" s="16" t="n"/>
    </row>
    <row r="75" ht="22" customHeight="1">
      <c r="B75" s="20">
        <f>IF(C75="","SPA-"&amp;TEXT(COUNTA($C$5:C75),"000"))</f>
        <v/>
      </c>
      <c r="C75" s="13" t="n"/>
      <c r="D75" s="13" t="n"/>
      <c r="E75" s="22" t="n"/>
      <c r="F75" s="22" t="n"/>
      <c r="G75" s="22" t="n"/>
      <c r="H75" s="14">
        <f>IF(E75="","",F75/E75)</f>
        <v/>
      </c>
      <c r="I75" s="22" t="n"/>
      <c r="J75" s="22" t="n"/>
      <c r="K75" s="14">
        <f>IF(I75="","",J75/I75)</f>
        <v/>
      </c>
      <c r="L75" s="13" t="n"/>
      <c r="M75" s="13" t="n"/>
    </row>
    <row r="76" ht="22" customHeight="1">
      <c r="B76" s="19">
        <f>IF(C76="","SPA-"&amp;TEXT(COUNTA($C$5:C76),"000"))</f>
        <v/>
      </c>
      <c r="C76" s="16" t="n"/>
      <c r="D76" s="16" t="n"/>
      <c r="E76" s="24" t="n"/>
      <c r="F76" s="24" t="n"/>
      <c r="G76" s="24" t="n"/>
      <c r="H76" s="17">
        <f>IF(E76="","",F76/E76)</f>
        <v/>
      </c>
      <c r="I76" s="24" t="n"/>
      <c r="J76" s="24" t="n"/>
      <c r="K76" s="17">
        <f>IF(I76="","",J76/I76)</f>
        <v/>
      </c>
      <c r="L76" s="16" t="n"/>
      <c r="M76" s="16" t="n"/>
    </row>
    <row r="77" ht="22" customHeight="1">
      <c r="B77" s="20">
        <f>IF(C77="","SPA-"&amp;TEXT(COUNTA($C$5:C77),"000"))</f>
        <v/>
      </c>
      <c r="C77" s="13" t="n"/>
      <c r="D77" s="13" t="n"/>
      <c r="E77" s="22" t="n"/>
      <c r="F77" s="22" t="n"/>
      <c r="G77" s="22" t="n"/>
      <c r="H77" s="14">
        <f>IF(E77="","",F77/E77)</f>
        <v/>
      </c>
      <c r="I77" s="22" t="n"/>
      <c r="J77" s="22" t="n"/>
      <c r="K77" s="14">
        <f>IF(I77="","",J77/I77)</f>
        <v/>
      </c>
      <c r="L77" s="13" t="n"/>
      <c r="M77" s="13" t="n"/>
    </row>
    <row r="78" ht="22" customHeight="1">
      <c r="B78" s="19">
        <f>IF(C78="","SPA-"&amp;TEXT(COUNTA($C$5:C78),"000"))</f>
        <v/>
      </c>
      <c r="C78" s="16" t="n"/>
      <c r="D78" s="16" t="n"/>
      <c r="E78" s="24" t="n"/>
      <c r="F78" s="24" t="n"/>
      <c r="G78" s="24" t="n"/>
      <c r="H78" s="17">
        <f>IF(E78="","",F78/E78)</f>
        <v/>
      </c>
      <c r="I78" s="24" t="n"/>
      <c r="J78" s="24" t="n"/>
      <c r="K78" s="17">
        <f>IF(I78="","",J78/I78)</f>
        <v/>
      </c>
      <c r="L78" s="16" t="n"/>
      <c r="M78" s="16" t="n"/>
    </row>
    <row r="79" ht="22" customHeight="1">
      <c r="B79" s="20">
        <f>IF(C79="","SPA-"&amp;TEXT(COUNTA($C$5:C79),"000"))</f>
        <v/>
      </c>
      <c r="C79" s="13" t="n"/>
      <c r="D79" s="13" t="n"/>
      <c r="E79" s="22" t="n"/>
      <c r="F79" s="22" t="n"/>
      <c r="G79" s="22" t="n"/>
      <c r="H79" s="14">
        <f>IF(E79="","",F79/E79)</f>
        <v/>
      </c>
      <c r="I79" s="22" t="n"/>
      <c r="J79" s="22" t="n"/>
      <c r="K79" s="14">
        <f>IF(I79="","",J79/I79)</f>
        <v/>
      </c>
      <c r="L79" s="13" t="n"/>
      <c r="M79" s="13" t="n"/>
    </row>
    <row r="80" ht="22" customHeight="1">
      <c r="B80" s="19">
        <f>IF(C80="","SPA-"&amp;TEXT(COUNTA($C$5:C80),"000"))</f>
        <v/>
      </c>
      <c r="C80" s="16" t="n"/>
      <c r="D80" s="16" t="n"/>
      <c r="E80" s="24" t="n"/>
      <c r="F80" s="24" t="n"/>
      <c r="G80" s="24" t="n"/>
      <c r="H80" s="17">
        <f>IF(E80="","",F80/E80)</f>
        <v/>
      </c>
      <c r="I80" s="24" t="n"/>
      <c r="J80" s="24" t="n"/>
      <c r="K80" s="17">
        <f>IF(I80="","",J80/I80)</f>
        <v/>
      </c>
      <c r="L80" s="16" t="n"/>
      <c r="M80" s="16" t="n"/>
    </row>
    <row r="81" ht="22" customHeight="1">
      <c r="B81" s="20">
        <f>IF(C81="","SPA-"&amp;TEXT(COUNTA($C$5:C81),"000"))</f>
        <v/>
      </c>
      <c r="C81" s="13" t="n"/>
      <c r="D81" s="13" t="n"/>
      <c r="E81" s="22" t="n"/>
      <c r="F81" s="22" t="n"/>
      <c r="G81" s="22" t="n"/>
      <c r="H81" s="14">
        <f>IF(E81="","",F81/E81)</f>
        <v/>
      </c>
      <c r="I81" s="22" t="n"/>
      <c r="J81" s="22" t="n"/>
      <c r="K81" s="14">
        <f>IF(I81="","",J81/I81)</f>
        <v/>
      </c>
      <c r="L81" s="13" t="n"/>
      <c r="M81" s="13" t="n"/>
    </row>
    <row r="82" ht="22" customHeight="1">
      <c r="B82" s="19">
        <f>IF(C82="","SPA-"&amp;TEXT(COUNTA($C$5:C82),"000"))</f>
        <v/>
      </c>
      <c r="C82" s="16" t="n"/>
      <c r="D82" s="16" t="n"/>
      <c r="E82" s="24" t="n"/>
      <c r="F82" s="24" t="n"/>
      <c r="G82" s="24" t="n"/>
      <c r="H82" s="17">
        <f>IF(E82="","",F82/E82)</f>
        <v/>
      </c>
      <c r="I82" s="24" t="n"/>
      <c r="J82" s="24" t="n"/>
      <c r="K82" s="17">
        <f>IF(I82="","",J82/I82)</f>
        <v/>
      </c>
      <c r="L82" s="16" t="n"/>
      <c r="M82" s="16" t="n"/>
    </row>
    <row r="83" ht="22" customHeight="1">
      <c r="B83" s="20">
        <f>IF(C83="","SPA-"&amp;TEXT(COUNTA($C$5:C83),"000"))</f>
        <v/>
      </c>
      <c r="C83" s="13" t="n"/>
      <c r="D83" s="13" t="n"/>
      <c r="E83" s="22" t="n"/>
      <c r="F83" s="22" t="n"/>
      <c r="G83" s="22" t="n"/>
      <c r="H83" s="14">
        <f>IF(E83="","",F83/E83)</f>
        <v/>
      </c>
      <c r="I83" s="22" t="n"/>
      <c r="J83" s="22" t="n"/>
      <c r="K83" s="14">
        <f>IF(I83="","",J83/I83)</f>
        <v/>
      </c>
      <c r="L83" s="13" t="n"/>
      <c r="M83" s="13" t="n"/>
    </row>
    <row r="84" ht="22" customHeight="1">
      <c r="B84" s="19">
        <f>IF(C84="","SPA-"&amp;TEXT(COUNTA($C$5:C84),"000"))</f>
        <v/>
      </c>
      <c r="C84" s="16" t="n"/>
      <c r="D84" s="16" t="n"/>
      <c r="E84" s="24" t="n"/>
      <c r="F84" s="24" t="n"/>
      <c r="G84" s="24" t="n"/>
      <c r="H84" s="17">
        <f>IF(E84="","",F84/E84)</f>
        <v/>
      </c>
      <c r="I84" s="24" t="n"/>
      <c r="J84" s="24" t="n"/>
      <c r="K84" s="17">
        <f>IF(I84="","",J84/I84)</f>
        <v/>
      </c>
      <c r="L84" s="16" t="n"/>
      <c r="M84" s="16" t="n"/>
    </row>
    <row r="85" ht="22" customHeight="1">
      <c r="B85" s="20">
        <f>IF(C85="","SPA-"&amp;TEXT(COUNTA($C$5:C85),"000"))</f>
        <v/>
      </c>
      <c r="C85" s="13" t="n"/>
      <c r="D85" s="13" t="n"/>
      <c r="E85" s="22" t="n"/>
      <c r="F85" s="22" t="n"/>
      <c r="G85" s="22" t="n"/>
      <c r="H85" s="14">
        <f>IF(E85="","",F85/E85)</f>
        <v/>
      </c>
      <c r="I85" s="22" t="n"/>
      <c r="J85" s="22" t="n"/>
      <c r="K85" s="14">
        <f>IF(I85="","",J85/I85)</f>
        <v/>
      </c>
      <c r="L85" s="13" t="n"/>
      <c r="M85" s="13" t="n"/>
    </row>
    <row r="86" ht="22" customHeight="1">
      <c r="B86" s="19">
        <f>IF(C86="","SPA-"&amp;TEXT(COUNTA($C$5:C86),"000"))</f>
        <v/>
      </c>
      <c r="C86" s="16" t="n"/>
      <c r="D86" s="16" t="n"/>
      <c r="E86" s="24" t="n"/>
      <c r="F86" s="24" t="n"/>
      <c r="G86" s="24" t="n"/>
      <c r="H86" s="17">
        <f>IF(E86="","",F86/E86)</f>
        <v/>
      </c>
      <c r="I86" s="24" t="n"/>
      <c r="J86" s="24" t="n"/>
      <c r="K86" s="17">
        <f>IF(I86="","",J86/I86)</f>
        <v/>
      </c>
      <c r="L86" s="16" t="n"/>
      <c r="M86" s="16" t="n"/>
    </row>
    <row r="87" ht="22" customHeight="1">
      <c r="B87" s="20">
        <f>IF(C87="","SPA-"&amp;TEXT(COUNTA($C$5:C87),"000"))</f>
        <v/>
      </c>
      <c r="C87" s="13" t="n"/>
      <c r="D87" s="13" t="n"/>
      <c r="E87" s="22" t="n"/>
      <c r="F87" s="22" t="n"/>
      <c r="G87" s="22" t="n"/>
      <c r="H87" s="14">
        <f>IF(E87="","",F87/E87)</f>
        <v/>
      </c>
      <c r="I87" s="22" t="n"/>
      <c r="J87" s="22" t="n"/>
      <c r="K87" s="14">
        <f>IF(I87="","",J87/I87)</f>
        <v/>
      </c>
      <c r="L87" s="13" t="n"/>
      <c r="M87" s="13" t="n"/>
    </row>
    <row r="88" ht="22" customHeight="1">
      <c r="B88" s="19">
        <f>IF(C88="","SPA-"&amp;TEXT(COUNTA($C$5:C88),"000"))</f>
        <v/>
      </c>
      <c r="C88" s="16" t="n"/>
      <c r="D88" s="16" t="n"/>
      <c r="E88" s="24" t="n"/>
      <c r="F88" s="24" t="n"/>
      <c r="G88" s="24" t="n"/>
      <c r="H88" s="17">
        <f>IF(E88="","",F88/E88)</f>
        <v/>
      </c>
      <c r="I88" s="24" t="n"/>
      <c r="J88" s="24" t="n"/>
      <c r="K88" s="17">
        <f>IF(I88="","",J88/I88)</f>
        <v/>
      </c>
      <c r="L88" s="16" t="n"/>
      <c r="M88" s="16" t="n"/>
    </row>
    <row r="89" ht="22" customHeight="1">
      <c r="B89" s="20">
        <f>IF(C89="","SPA-"&amp;TEXT(COUNTA($C$5:C89),"000"))</f>
        <v/>
      </c>
      <c r="C89" s="13" t="n"/>
      <c r="D89" s="13" t="n"/>
      <c r="E89" s="22" t="n"/>
      <c r="F89" s="22" t="n"/>
      <c r="G89" s="22" t="n"/>
      <c r="H89" s="14">
        <f>IF(E89="","",F89/E89)</f>
        <v/>
      </c>
      <c r="I89" s="22" t="n"/>
      <c r="J89" s="22" t="n"/>
      <c r="K89" s="14">
        <f>IF(I89="","",J89/I89)</f>
        <v/>
      </c>
      <c r="L89" s="13" t="n"/>
      <c r="M89" s="13" t="n"/>
    </row>
    <row r="90" ht="22" customHeight="1">
      <c r="B90" s="19">
        <f>IF(C90="","SPA-"&amp;TEXT(COUNTA($C$5:C90),"000"))</f>
        <v/>
      </c>
      <c r="C90" s="16" t="n"/>
      <c r="D90" s="16" t="n"/>
      <c r="E90" s="24" t="n"/>
      <c r="F90" s="24" t="n"/>
      <c r="G90" s="24" t="n"/>
      <c r="H90" s="17">
        <f>IF(E90="","",F90/E90)</f>
        <v/>
      </c>
      <c r="I90" s="24" t="n"/>
      <c r="J90" s="24" t="n"/>
      <c r="K90" s="17">
        <f>IF(I90="","",J90/I90)</f>
        <v/>
      </c>
      <c r="L90" s="16" t="n"/>
      <c r="M90" s="16" t="n"/>
    </row>
    <row r="91" ht="22" customHeight="1">
      <c r="B91" s="20">
        <f>IF(C91="","SPA-"&amp;TEXT(COUNTA($C$5:C91),"000"))</f>
        <v/>
      </c>
      <c r="C91" s="13" t="n"/>
      <c r="D91" s="13" t="n"/>
      <c r="E91" s="22" t="n"/>
      <c r="F91" s="22" t="n"/>
      <c r="G91" s="22" t="n"/>
      <c r="H91" s="14">
        <f>IF(E91="","",F91/E91)</f>
        <v/>
      </c>
      <c r="I91" s="22" t="n"/>
      <c r="J91" s="22" t="n"/>
      <c r="K91" s="14">
        <f>IF(I91="","",J91/I91)</f>
        <v/>
      </c>
      <c r="L91" s="13" t="n"/>
      <c r="M91" s="13" t="n"/>
    </row>
    <row r="92" ht="22" customHeight="1">
      <c r="B92" s="19">
        <f>IF(C92="","SPA-"&amp;TEXT(COUNTA($C$5:C92),"000"))</f>
        <v/>
      </c>
      <c r="C92" s="16" t="n"/>
      <c r="D92" s="16" t="n"/>
      <c r="E92" s="24" t="n"/>
      <c r="F92" s="24" t="n"/>
      <c r="G92" s="24" t="n"/>
      <c r="H92" s="17">
        <f>IF(E92="","",F92/E92)</f>
        <v/>
      </c>
      <c r="I92" s="24" t="n"/>
      <c r="J92" s="24" t="n"/>
      <c r="K92" s="17">
        <f>IF(I92="","",J92/I92)</f>
        <v/>
      </c>
      <c r="L92" s="16" t="n"/>
      <c r="M92" s="16" t="n"/>
    </row>
    <row r="93" ht="22" customHeight="1">
      <c r="B93" s="20">
        <f>IF(C93="","SPA-"&amp;TEXT(COUNTA($C$5:C93),"000"))</f>
        <v/>
      </c>
      <c r="C93" s="13" t="n"/>
      <c r="D93" s="13" t="n"/>
      <c r="E93" s="22" t="n"/>
      <c r="F93" s="22" t="n"/>
      <c r="G93" s="22" t="n"/>
      <c r="H93" s="14">
        <f>IF(E93="","",F93/E93)</f>
        <v/>
      </c>
      <c r="I93" s="22" t="n"/>
      <c r="J93" s="22" t="n"/>
      <c r="K93" s="14">
        <f>IF(I93="","",J93/I93)</f>
        <v/>
      </c>
      <c r="L93" s="13" t="n"/>
      <c r="M93" s="13" t="n"/>
    </row>
    <row r="94" ht="22" customHeight="1">
      <c r="B94" s="19">
        <f>IF(C94="","SPA-"&amp;TEXT(COUNTA($C$5:C94),"000"))</f>
        <v/>
      </c>
      <c r="C94" s="16" t="n"/>
      <c r="D94" s="16" t="n"/>
      <c r="E94" s="24" t="n"/>
      <c r="F94" s="24" t="n"/>
      <c r="G94" s="24" t="n"/>
      <c r="H94" s="17">
        <f>IF(E94="","",F94/E94)</f>
        <v/>
      </c>
      <c r="I94" s="24" t="n"/>
      <c r="J94" s="24" t="n"/>
      <c r="K94" s="17">
        <f>IF(I94="","",J94/I94)</f>
        <v/>
      </c>
      <c r="L94" s="16" t="n"/>
      <c r="M94" s="16" t="n"/>
    </row>
    <row r="95" ht="22" customHeight="1">
      <c r="B95" s="20">
        <f>IF(C95="","SPA-"&amp;TEXT(COUNTA($C$5:C95),"000"))</f>
        <v/>
      </c>
      <c r="C95" s="13" t="n"/>
      <c r="D95" s="13" t="n"/>
      <c r="E95" s="22" t="n"/>
      <c r="F95" s="22" t="n"/>
      <c r="G95" s="22" t="n"/>
      <c r="H95" s="14">
        <f>IF(E95="","",F95/E95)</f>
        <v/>
      </c>
      <c r="I95" s="22" t="n"/>
      <c r="J95" s="22" t="n"/>
      <c r="K95" s="14">
        <f>IF(I95="","",J95/I95)</f>
        <v/>
      </c>
      <c r="L95" s="13" t="n"/>
      <c r="M95" s="13" t="n"/>
    </row>
    <row r="96" ht="22" customHeight="1">
      <c r="B96" s="19">
        <f>IF(C96="","SPA-"&amp;TEXT(COUNTA($C$5:C96),"000"))</f>
        <v/>
      </c>
      <c r="C96" s="16" t="n"/>
      <c r="D96" s="16" t="n"/>
      <c r="E96" s="24" t="n"/>
      <c r="F96" s="24" t="n"/>
      <c r="G96" s="24" t="n"/>
      <c r="H96" s="17">
        <f>IF(E96="","",F96/E96)</f>
        <v/>
      </c>
      <c r="I96" s="24" t="n"/>
      <c r="J96" s="24" t="n"/>
      <c r="K96" s="17">
        <f>IF(I96="","",J96/I96)</f>
        <v/>
      </c>
      <c r="L96" s="16" t="n"/>
      <c r="M96" s="16" t="n"/>
    </row>
    <row r="97" ht="22" customHeight="1">
      <c r="B97" s="20">
        <f>IF(C97="","SPA-"&amp;TEXT(COUNTA($C$5:C97),"000"))</f>
        <v/>
      </c>
      <c r="C97" s="13" t="n"/>
      <c r="D97" s="13" t="n"/>
      <c r="E97" s="22" t="n"/>
      <c r="F97" s="22" t="n"/>
      <c r="G97" s="22" t="n"/>
      <c r="H97" s="14">
        <f>IF(E97="","",F97/E97)</f>
        <v/>
      </c>
      <c r="I97" s="22" t="n"/>
      <c r="J97" s="22" t="n"/>
      <c r="K97" s="14">
        <f>IF(I97="","",J97/I97)</f>
        <v/>
      </c>
      <c r="L97" s="13" t="n"/>
      <c r="M97" s="13" t="n"/>
    </row>
    <row r="98" ht="22" customHeight="1">
      <c r="B98" s="19">
        <f>IF(C98="","SPA-"&amp;TEXT(COUNTA($C$5:C98),"000"))</f>
        <v/>
      </c>
      <c r="C98" s="16" t="n"/>
      <c r="D98" s="16" t="n"/>
      <c r="E98" s="24" t="n"/>
      <c r="F98" s="24" t="n"/>
      <c r="G98" s="24" t="n"/>
      <c r="H98" s="17">
        <f>IF(E98="","",F98/E98)</f>
        <v/>
      </c>
      <c r="I98" s="24" t="n"/>
      <c r="J98" s="24" t="n"/>
      <c r="K98" s="17">
        <f>IF(I98="","",J98/I98)</f>
        <v/>
      </c>
      <c r="L98" s="16" t="n"/>
      <c r="M98" s="16" t="n"/>
    </row>
    <row r="99" ht="22" customHeight="1">
      <c r="B99" s="20">
        <f>IF(C99="","SPA-"&amp;TEXT(COUNTA($C$5:C99),"000"))</f>
        <v/>
      </c>
      <c r="C99" s="13" t="n"/>
      <c r="D99" s="13" t="n"/>
      <c r="E99" s="22" t="n"/>
      <c r="F99" s="22" t="n"/>
      <c r="G99" s="22" t="n"/>
      <c r="H99" s="14">
        <f>IF(E99="","",F99/E99)</f>
        <v/>
      </c>
      <c r="I99" s="22" t="n"/>
      <c r="J99" s="22" t="n"/>
      <c r="K99" s="14">
        <f>IF(I99="","",J99/I99)</f>
        <v/>
      </c>
      <c r="L99" s="13" t="n"/>
      <c r="M99" s="13" t="n"/>
    </row>
    <row r="100" ht="22" customHeight="1">
      <c r="B100" s="19">
        <f>IF(C100="","SPA-"&amp;TEXT(COUNTA($C$5:C100),"000"))</f>
        <v/>
      </c>
      <c r="C100" s="16" t="n"/>
      <c r="D100" s="16" t="n"/>
      <c r="E100" s="24" t="n"/>
      <c r="F100" s="24" t="n"/>
      <c r="G100" s="24" t="n"/>
      <c r="H100" s="17">
        <f>IF(E100="","",F100/E100)</f>
        <v/>
      </c>
      <c r="I100" s="24" t="n"/>
      <c r="J100" s="24" t="n"/>
      <c r="K100" s="17">
        <f>IF(I100="","",J100/I100)</f>
        <v/>
      </c>
      <c r="L100" s="16" t="n"/>
      <c r="M100" s="16" t="n"/>
    </row>
    <row r="101" ht="22" customHeight="1">
      <c r="B101" s="20">
        <f>IF(C101="","SPA-"&amp;TEXT(COUNTA($C$5:C101),"000"))</f>
        <v/>
      </c>
      <c r="C101" s="13" t="n"/>
      <c r="D101" s="13" t="n"/>
      <c r="E101" s="22" t="n"/>
      <c r="F101" s="22" t="n"/>
      <c r="G101" s="22" t="n"/>
      <c r="H101" s="14">
        <f>IF(E101="","",F101/E101)</f>
        <v/>
      </c>
      <c r="I101" s="22" t="n"/>
      <c r="J101" s="22" t="n"/>
      <c r="K101" s="14">
        <f>IF(I101="","",J101/I101)</f>
        <v/>
      </c>
      <c r="L101" s="13" t="n"/>
      <c r="M101" s="13" t="n"/>
    </row>
    <row r="102" ht="22" customHeight="1">
      <c r="B102" s="19">
        <f>IF(C102="","SPA-"&amp;TEXT(COUNTA($C$5:C102),"000"))</f>
        <v/>
      </c>
      <c r="C102" s="16" t="n"/>
      <c r="D102" s="16" t="n"/>
      <c r="E102" s="24" t="n"/>
      <c r="F102" s="24" t="n"/>
      <c r="G102" s="24" t="n"/>
      <c r="H102" s="17">
        <f>IF(E102="","",F102/E102)</f>
        <v/>
      </c>
      <c r="I102" s="24" t="n"/>
      <c r="J102" s="24" t="n"/>
      <c r="K102" s="17">
        <f>IF(I102="","",J102/I102)</f>
        <v/>
      </c>
      <c r="L102" s="16" t="n"/>
      <c r="M102" s="16" t="n"/>
    </row>
    <row r="103" ht="22" customHeight="1">
      <c r="B103" s="20">
        <f>IF(C103="","SPA-"&amp;TEXT(COUNTA($C$5:C103),"000"))</f>
        <v/>
      </c>
      <c r="C103" s="13" t="n"/>
      <c r="D103" s="13" t="n"/>
      <c r="E103" s="22" t="n"/>
      <c r="F103" s="22" t="n"/>
      <c r="G103" s="22" t="n"/>
      <c r="H103" s="14">
        <f>IF(E103="","",F103/E103)</f>
        <v/>
      </c>
      <c r="I103" s="22" t="n"/>
      <c r="J103" s="22" t="n"/>
      <c r="K103" s="14">
        <f>IF(I103="","",J103/I103)</f>
        <v/>
      </c>
      <c r="L103" s="13" t="n"/>
      <c r="M103" s="13" t="n"/>
    </row>
    <row r="104" ht="22" customHeight="1">
      <c r="B104" s="19">
        <f>IF(C104="","SPA-"&amp;TEXT(COUNTA($C$5:C104),"000"))</f>
        <v/>
      </c>
      <c r="C104" s="16" t="n"/>
      <c r="D104" s="16" t="n"/>
      <c r="E104" s="24" t="n"/>
      <c r="F104" s="24" t="n"/>
      <c r="G104" s="24" t="n"/>
      <c r="H104" s="17">
        <f>IF(E104="","",F104/E104)</f>
        <v/>
      </c>
      <c r="I104" s="24" t="n"/>
      <c r="J104" s="24" t="n"/>
      <c r="K104" s="17">
        <f>IF(I104="","",J104/I104)</f>
        <v/>
      </c>
      <c r="L104" s="16" t="n"/>
      <c r="M104" s="16" t="n"/>
    </row>
    <row r="105" ht="22" customHeight="1">
      <c r="B105" s="20">
        <f>IF(C105="","SPA-"&amp;TEXT(COUNTA($C$5:C105),"000"))</f>
        <v/>
      </c>
      <c r="C105" s="13" t="n"/>
      <c r="D105" s="13" t="n"/>
      <c r="E105" s="22" t="n"/>
      <c r="F105" s="22" t="n"/>
      <c r="G105" s="22" t="n"/>
      <c r="H105" s="14">
        <f>IF(E105="","",F105/E105)</f>
        <v/>
      </c>
      <c r="I105" s="22" t="n"/>
      <c r="J105" s="22" t="n"/>
      <c r="K105" s="14">
        <f>IF(I105="","",J105/I105)</f>
        <v/>
      </c>
      <c r="L105" s="13" t="n"/>
      <c r="M105" s="13" t="n"/>
    </row>
    <row r="106" ht="22" customHeight="1">
      <c r="B106" s="19">
        <f>IF(C106="","SPA-"&amp;TEXT(COUNTA($C$5:C106),"000"))</f>
        <v/>
      </c>
      <c r="C106" s="16" t="n"/>
      <c r="D106" s="16" t="n"/>
      <c r="E106" s="24" t="n"/>
      <c r="F106" s="24" t="n"/>
      <c r="G106" s="24" t="n"/>
      <c r="H106" s="17">
        <f>IF(E106="","",F106/E106)</f>
        <v/>
      </c>
      <c r="I106" s="24" t="n"/>
      <c r="J106" s="24" t="n"/>
      <c r="K106" s="17">
        <f>IF(I106="","",J106/I106)</f>
        <v/>
      </c>
      <c r="L106" s="16" t="n"/>
      <c r="M106" s="16" t="n"/>
    </row>
    <row r="107" ht="22" customHeight="1">
      <c r="B107" s="20">
        <f>IF(C107="","SPA-"&amp;TEXT(COUNTA($C$5:C107),"000"))</f>
        <v/>
      </c>
      <c r="C107" s="13" t="n"/>
      <c r="D107" s="13" t="n"/>
      <c r="E107" s="22" t="n"/>
      <c r="F107" s="22" t="n"/>
      <c r="G107" s="22" t="n"/>
      <c r="H107" s="14">
        <f>IF(E107="","",F107/E107)</f>
        <v/>
      </c>
      <c r="I107" s="22" t="n"/>
      <c r="J107" s="22" t="n"/>
      <c r="K107" s="14">
        <f>IF(I107="","",J107/I107)</f>
        <v/>
      </c>
      <c r="L107" s="13" t="n"/>
      <c r="M107" s="13" t="n"/>
    </row>
    <row r="108" ht="22" customHeight="1">
      <c r="B108" s="19">
        <f>IF(C108="","SPA-"&amp;TEXT(COUNTA($C$5:C108),"000"))</f>
        <v/>
      </c>
      <c r="C108" s="16" t="n"/>
      <c r="D108" s="16" t="n"/>
      <c r="E108" s="24" t="n"/>
      <c r="F108" s="24" t="n"/>
      <c r="G108" s="24" t="n"/>
      <c r="H108" s="17">
        <f>IF(E108="","",F108/E108)</f>
        <v/>
      </c>
      <c r="I108" s="24" t="n"/>
      <c r="J108" s="24" t="n"/>
      <c r="K108" s="17">
        <f>IF(I108="","",J108/I108)</f>
        <v/>
      </c>
      <c r="L108" s="16" t="n"/>
      <c r="M108" s="16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Plans suivis</t>
        </is>
      </c>
      <c r="D111" s="3" t="inlineStr">
        <is>
          <t>Taux real. moyen (%)</t>
        </is>
      </c>
      <c r="F111" s="3" t="inlineStr">
        <is>
          <t>Budget total (FCFA)</t>
        </is>
      </c>
    </row>
    <row r="112">
      <c r="B112" s="4">
        <f>COUNTIF(B5:B104,"&lt;&gt;")</f>
        <v/>
      </c>
      <c r="D112" s="4">
        <f>IFERROR(AVERAGE(H5:H104),0)</f>
        <v/>
      </c>
      <c r="F112" s="4">
        <f>SUM(I5:I104)</f>
        <v/>
      </c>
    </row>
  </sheetData>
  <mergeCells count="3">
    <mergeCell ref="B3:M3"/>
    <mergeCell ref="B2:M2"/>
    <mergeCell ref="B110:M110"/>
  </mergeCells>
  <conditionalFormatting sqref="L5:L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9:B108">
    <cfRule type="expression" priority="274" dxfId="3">
      <formula>AND($C9="",$C8&lt;&gt;"")</formula>
    </cfRule>
  </conditionalFormatting>
  <conditionalFormatting sqref="C9:C108">
    <cfRule type="expression" priority="275" dxfId="3">
      <formula>AND($C9="",$C8&lt;&gt;"")</formula>
    </cfRule>
  </conditionalFormatting>
  <conditionalFormatting sqref="D9:D108">
    <cfRule type="expression" priority="276" dxfId="3">
      <formula>AND($C9="",$C8&lt;&gt;"")</formula>
    </cfRule>
  </conditionalFormatting>
  <conditionalFormatting sqref="E9:E108">
    <cfRule type="expression" priority="277" dxfId="3">
      <formula>AND($C9="",$C8&lt;&gt;"")</formula>
    </cfRule>
  </conditionalFormatting>
  <conditionalFormatting sqref="F9:F108">
    <cfRule type="expression" priority="278" dxfId="3">
      <formula>AND($C9="",$C8&lt;&gt;"")</formula>
    </cfRule>
  </conditionalFormatting>
  <conditionalFormatting sqref="G9:G108">
    <cfRule type="expression" priority="279" dxfId="3">
      <formula>AND($C9="",$C8&lt;&gt;"")</formula>
    </cfRule>
  </conditionalFormatting>
  <conditionalFormatting sqref="H9:H108">
    <cfRule type="expression" priority="280" dxfId="3">
      <formula>AND($C9="",$C8&lt;&gt;"")</formula>
    </cfRule>
  </conditionalFormatting>
  <conditionalFormatting sqref="I9:I108">
    <cfRule type="expression" priority="281" dxfId="3">
      <formula>AND($C9="",$C8&lt;&gt;"")</formula>
    </cfRule>
  </conditionalFormatting>
  <conditionalFormatting sqref="J9:J108">
    <cfRule type="expression" priority="282" dxfId="3">
      <formula>AND($C9="",$C8&lt;&gt;"")</formula>
    </cfRule>
  </conditionalFormatting>
  <conditionalFormatting sqref="K9:K108">
    <cfRule type="expression" priority="283" dxfId="3">
      <formula>AND($C9="",$C8&lt;&gt;"")</formula>
    </cfRule>
  </conditionalFormatting>
  <conditionalFormatting sqref="L9:L108">
    <cfRule type="expression" priority="284" dxfId="3">
      <formula>AND($C9="",$C8&lt;&gt;"")</formula>
    </cfRule>
  </conditionalFormatting>
  <conditionalFormatting sqref="M9:M108">
    <cfRule type="expression" priority="285" dxfId="3">
      <formula>AND($C9="",$C8&lt;&gt;"")</formula>
    </cfRule>
  </conditionalFormatting>
  <dataValidations count="1">
    <dataValidation sqref="L5:L108" showDropDown="0" showInputMessage="0" showErrorMessage="0" allowBlank="1" errorTitle="Erreur" error="Valeur invalide" promptTitle="Liste" prompt="Choisir dans la liste" type="list">
      <formula1>'_Lists'!$M$2:$M$6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0" customWidth="1" min="5" max="5"/>
    <col width="16" customWidth="1" min="6" max="6"/>
    <col width="24" customWidth="1" min="7" max="7"/>
    <col width="26" customWidth="1" min="8" max="8"/>
    <col width="24" customWidth="1" min="9" max="9"/>
    <col width="18" customWidth="1" min="10" max="10"/>
    <col width="20" customWidth="1" min="11" max="11"/>
    <col width="16" customWidth="1" min="12" max="12"/>
    <col width="40" customWidth="1" min="13" max="13"/>
  </cols>
  <sheetData>
    <row r="1" ht="15" customHeight="1"/>
    <row r="2" ht="32" customHeight="1">
      <c r="B2" s="1" t="inlineStr">
        <is>
          <t>HISTORIQUE BILANS SOCIAUX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Annee</t>
        </is>
      </c>
      <c r="D4" s="12" t="inlineStr">
        <is>
          <t>Effectif Moyen</t>
        </is>
      </c>
      <c r="E4" s="12" t="inlineStr">
        <is>
          <t>Taux Rotation (%)</t>
        </is>
      </c>
      <c r="F4" s="12" t="inlineStr">
        <is>
          <t>Nb Formations</t>
        </is>
      </c>
      <c r="G4" s="12" t="inlineStr">
        <is>
          <t>H Formation / Employe</t>
        </is>
      </c>
      <c r="H4" s="12" t="inlineStr">
        <is>
          <t>Masse Salariale (M FCFA)</t>
        </is>
      </c>
      <c r="I4" s="12" t="inlineStr">
        <is>
          <t>Nb Accidents Travail</t>
        </is>
      </c>
      <c r="J4" s="12" t="inlineStr">
        <is>
          <t>Absentéisme (%)</t>
        </is>
      </c>
      <c r="K4" s="12" t="inlineStr">
        <is>
          <t>Taux Satisfaction</t>
        </is>
      </c>
      <c r="L4" s="12" t="inlineStr">
        <is>
          <t>Statut</t>
        </is>
      </c>
      <c r="M4" s="12" t="inlineStr">
        <is>
          <t>Observations</t>
        </is>
      </c>
    </row>
    <row r="5" ht="22" customHeight="1">
      <c r="B5" s="13" t="inlineStr">
        <is>
          <t>HBS-001</t>
        </is>
      </c>
      <c r="C5" s="13" t="inlineStr">
        <is>
          <t>2022</t>
        </is>
      </c>
      <c r="D5" s="22" t="n">
        <v>150</v>
      </c>
      <c r="E5" s="14" t="n">
        <v>0.25</v>
      </c>
      <c r="F5" s="22" t="n">
        <v>42</v>
      </c>
      <c r="G5" s="40" t="n">
        <v>5.6</v>
      </c>
      <c r="H5" s="36" t="n">
        <v>82</v>
      </c>
      <c r="I5" s="22" t="n">
        <v>12</v>
      </c>
      <c r="J5" s="14" t="n">
        <v>0.07000000000000001</v>
      </c>
      <c r="K5" s="40" t="n">
        <v>3.2</v>
      </c>
      <c r="L5" s="13" t="inlineStr">
        <is>
          <t>Archive</t>
        </is>
      </c>
      <c r="M5" s="13" t="inlineStr">
        <is>
          <t>Premier bilan complet apres COVID</t>
        </is>
      </c>
    </row>
    <row r="6" ht="22" customHeight="1">
      <c r="B6" s="16" t="inlineStr">
        <is>
          <t>HBS-002</t>
        </is>
      </c>
      <c r="C6" s="16" t="inlineStr">
        <is>
          <t>2023</t>
        </is>
      </c>
      <c r="D6" s="24" t="n">
        <v>165</v>
      </c>
      <c r="E6" s="17" t="n">
        <v>0.24</v>
      </c>
      <c r="F6" s="24" t="n">
        <v>55</v>
      </c>
      <c r="G6" s="42" t="n">
        <v>6.7</v>
      </c>
      <c r="H6" s="37" t="n">
        <v>95</v>
      </c>
      <c r="I6" s="24" t="n">
        <v>10</v>
      </c>
      <c r="J6" s="17" t="n">
        <v>0.062</v>
      </c>
      <c r="K6" s="42" t="n">
        <v>3.4</v>
      </c>
      <c r="L6" s="16" t="inlineStr">
        <is>
          <t>Archive</t>
        </is>
      </c>
      <c r="M6" s="16" t="inlineStr">
        <is>
          <t>Debut plan digitalisation</t>
        </is>
      </c>
    </row>
    <row r="7" ht="22" customHeight="1">
      <c r="B7" s="13" t="inlineStr">
        <is>
          <t>HBS-003</t>
        </is>
      </c>
      <c r="C7" s="13" t="inlineStr">
        <is>
          <t>2024</t>
        </is>
      </c>
      <c r="D7" s="22" t="n">
        <v>178</v>
      </c>
      <c r="E7" s="14" t="n">
        <v>0.22</v>
      </c>
      <c r="F7" s="22" t="n">
        <v>68</v>
      </c>
      <c r="G7" s="40" t="n">
        <v>7.6</v>
      </c>
      <c r="H7" s="36" t="n">
        <v>105</v>
      </c>
      <c r="I7" s="22" t="n">
        <v>8</v>
      </c>
      <c r="J7" s="14" t="n">
        <v>0.058</v>
      </c>
      <c r="K7" s="40" t="n">
        <v>3.5</v>
      </c>
      <c r="L7" s="13" t="inlineStr">
        <is>
          <t>Archive</t>
        </is>
      </c>
      <c r="M7" s="13" t="inlineStr">
        <is>
          <t>Amelioration continue</t>
        </is>
      </c>
    </row>
    <row r="8" ht="22" customHeight="1">
      <c r="B8" s="19">
        <f>IF(C8="","HBS-"&amp;TEXT(COUNTA($C$5:C8),"000"))</f>
        <v/>
      </c>
      <c r="C8" s="16" t="n"/>
      <c r="D8" s="24" t="n"/>
      <c r="E8" s="17" t="n"/>
      <c r="F8" s="24" t="n"/>
      <c r="G8" s="42" t="n"/>
      <c r="H8" s="37" t="n"/>
      <c r="I8" s="24" t="n"/>
      <c r="J8" s="17" t="n"/>
      <c r="K8" s="42" t="n"/>
      <c r="L8" s="16" t="n"/>
      <c r="M8" s="16" t="n"/>
    </row>
    <row r="9" ht="22" customHeight="1">
      <c r="B9" s="20">
        <f>IF(C9="","HBS-"&amp;TEXT(COUNTA($C$5:C9),"000"))</f>
        <v/>
      </c>
      <c r="C9" s="13" t="n"/>
      <c r="D9" s="22" t="n"/>
      <c r="E9" s="14" t="n"/>
      <c r="F9" s="22" t="n"/>
      <c r="G9" s="40" t="n"/>
      <c r="H9" s="36" t="n"/>
      <c r="I9" s="22" t="n"/>
      <c r="J9" s="14" t="n"/>
      <c r="K9" s="40" t="n"/>
      <c r="L9" s="13" t="n"/>
      <c r="M9" s="13" t="n"/>
    </row>
    <row r="10" ht="22" customHeight="1">
      <c r="B10" s="19">
        <f>IF(C10="","HBS-"&amp;TEXT(COUNTA($C$5:C10),"000"))</f>
        <v/>
      </c>
      <c r="C10" s="16" t="n"/>
      <c r="D10" s="24" t="n"/>
      <c r="E10" s="17" t="n"/>
      <c r="F10" s="24" t="n"/>
      <c r="G10" s="42" t="n"/>
      <c r="H10" s="37" t="n"/>
      <c r="I10" s="24" t="n"/>
      <c r="J10" s="17" t="n"/>
      <c r="K10" s="42" t="n"/>
      <c r="L10" s="16" t="n"/>
      <c r="M10" s="16" t="n"/>
    </row>
    <row r="11" ht="22" customHeight="1">
      <c r="B11" s="20">
        <f>IF(C11="","HBS-"&amp;TEXT(COUNTA($C$5:C11),"000"))</f>
        <v/>
      </c>
      <c r="C11" s="13" t="n"/>
      <c r="D11" s="22" t="n"/>
      <c r="E11" s="14" t="n"/>
      <c r="F11" s="22" t="n"/>
      <c r="G11" s="40" t="n"/>
      <c r="H11" s="36" t="n"/>
      <c r="I11" s="22" t="n"/>
      <c r="J11" s="14" t="n"/>
      <c r="K11" s="40" t="n"/>
      <c r="L11" s="13" t="n"/>
      <c r="M11" s="13" t="n"/>
    </row>
    <row r="12" ht="22" customHeight="1">
      <c r="B12" s="19">
        <f>IF(C12="","HBS-"&amp;TEXT(COUNTA($C$5:C12),"000"))</f>
        <v/>
      </c>
      <c r="C12" s="16" t="n"/>
      <c r="D12" s="24" t="n"/>
      <c r="E12" s="17" t="n"/>
      <c r="F12" s="24" t="n"/>
      <c r="G12" s="42" t="n"/>
      <c r="H12" s="37" t="n"/>
      <c r="I12" s="24" t="n"/>
      <c r="J12" s="17" t="n"/>
      <c r="K12" s="42" t="n"/>
      <c r="L12" s="16" t="n"/>
      <c r="M12" s="16" t="n"/>
    </row>
    <row r="13" ht="22" customHeight="1">
      <c r="B13" s="20">
        <f>IF(C13="","HBS-"&amp;TEXT(COUNTA($C$5:C13),"000"))</f>
        <v/>
      </c>
      <c r="C13" s="13" t="n"/>
      <c r="D13" s="22" t="n"/>
      <c r="E13" s="14" t="n"/>
      <c r="F13" s="22" t="n"/>
      <c r="G13" s="40" t="n"/>
      <c r="H13" s="36" t="n"/>
      <c r="I13" s="22" t="n"/>
      <c r="J13" s="14" t="n"/>
      <c r="K13" s="40" t="n"/>
      <c r="L13" s="13" t="n"/>
      <c r="M13" s="13" t="n"/>
    </row>
    <row r="14" ht="22" customHeight="1">
      <c r="B14" s="19">
        <f>IF(C14="","HBS-"&amp;TEXT(COUNTA($C$5:C14),"000"))</f>
        <v/>
      </c>
      <c r="C14" s="16" t="n"/>
      <c r="D14" s="24" t="n"/>
      <c r="E14" s="17" t="n"/>
      <c r="F14" s="24" t="n"/>
      <c r="G14" s="42" t="n"/>
      <c r="H14" s="37" t="n"/>
      <c r="I14" s="24" t="n"/>
      <c r="J14" s="17" t="n"/>
      <c r="K14" s="42" t="n"/>
      <c r="L14" s="16" t="n"/>
      <c r="M14" s="16" t="n"/>
    </row>
    <row r="15" ht="22" customHeight="1">
      <c r="B15" s="20">
        <f>IF(C15="","HBS-"&amp;TEXT(COUNTA($C$5:C15),"000"))</f>
        <v/>
      </c>
      <c r="C15" s="13" t="n"/>
      <c r="D15" s="22" t="n"/>
      <c r="E15" s="14" t="n"/>
      <c r="F15" s="22" t="n"/>
      <c r="G15" s="40" t="n"/>
      <c r="H15" s="36" t="n"/>
      <c r="I15" s="22" t="n"/>
      <c r="J15" s="14" t="n"/>
      <c r="K15" s="40" t="n"/>
      <c r="L15" s="13" t="n"/>
      <c r="M15" s="13" t="n"/>
    </row>
    <row r="16" ht="22" customHeight="1">
      <c r="B16" s="19">
        <f>IF(C16="","HBS-"&amp;TEXT(COUNTA($C$5:C16),"000"))</f>
        <v/>
      </c>
      <c r="C16" s="16" t="n"/>
      <c r="D16" s="24" t="n"/>
      <c r="E16" s="17" t="n"/>
      <c r="F16" s="24" t="n"/>
      <c r="G16" s="42" t="n"/>
      <c r="H16" s="37" t="n"/>
      <c r="I16" s="24" t="n"/>
      <c r="J16" s="17" t="n"/>
      <c r="K16" s="42" t="n"/>
      <c r="L16" s="16" t="n"/>
      <c r="M16" s="16" t="n"/>
    </row>
    <row r="17" ht="22" customHeight="1">
      <c r="B17" s="20">
        <f>IF(C17="","HBS-"&amp;TEXT(COUNTA($C$5:C17),"000"))</f>
        <v/>
      </c>
      <c r="C17" s="13" t="n"/>
      <c r="D17" s="22" t="n"/>
      <c r="E17" s="14" t="n"/>
      <c r="F17" s="22" t="n"/>
      <c r="G17" s="40" t="n"/>
      <c r="H17" s="36" t="n"/>
      <c r="I17" s="22" t="n"/>
      <c r="J17" s="14" t="n"/>
      <c r="K17" s="40" t="n"/>
      <c r="L17" s="13" t="n"/>
      <c r="M17" s="13" t="n"/>
    </row>
    <row r="18" ht="22" customHeight="1">
      <c r="B18" s="19">
        <f>IF(C18="","HBS-"&amp;TEXT(COUNTA($C$5:C18),"000"))</f>
        <v/>
      </c>
      <c r="C18" s="16" t="n"/>
      <c r="D18" s="24" t="n"/>
      <c r="E18" s="17" t="n"/>
      <c r="F18" s="24" t="n"/>
      <c r="G18" s="42" t="n"/>
      <c r="H18" s="37" t="n"/>
      <c r="I18" s="24" t="n"/>
      <c r="J18" s="17" t="n"/>
      <c r="K18" s="42" t="n"/>
      <c r="L18" s="16" t="n"/>
      <c r="M18" s="16" t="n"/>
    </row>
    <row r="19" ht="22" customHeight="1">
      <c r="B19" s="20">
        <f>IF(C19="","HBS-"&amp;TEXT(COUNTA($C$5:C19),"000"))</f>
        <v/>
      </c>
      <c r="C19" s="13" t="n"/>
      <c r="D19" s="22" t="n"/>
      <c r="E19" s="14" t="n"/>
      <c r="F19" s="22" t="n"/>
      <c r="G19" s="40" t="n"/>
      <c r="H19" s="36" t="n"/>
      <c r="I19" s="22" t="n"/>
      <c r="J19" s="14" t="n"/>
      <c r="K19" s="40" t="n"/>
      <c r="L19" s="13" t="n"/>
      <c r="M19" s="13" t="n"/>
    </row>
    <row r="20" ht="22" customHeight="1">
      <c r="B20" s="19">
        <f>IF(C20="","HBS-"&amp;TEXT(COUNTA($C$5:C20),"000"))</f>
        <v/>
      </c>
      <c r="C20" s="16" t="n"/>
      <c r="D20" s="24" t="n"/>
      <c r="E20" s="17" t="n"/>
      <c r="F20" s="24" t="n"/>
      <c r="G20" s="42" t="n"/>
      <c r="H20" s="37" t="n"/>
      <c r="I20" s="24" t="n"/>
      <c r="J20" s="17" t="n"/>
      <c r="K20" s="42" t="n"/>
      <c r="L20" s="16" t="n"/>
      <c r="M20" s="16" t="n"/>
    </row>
    <row r="21" ht="22" customHeight="1">
      <c r="B21" s="20">
        <f>IF(C21="","HBS-"&amp;TEXT(COUNTA($C$5:C21),"000"))</f>
        <v/>
      </c>
      <c r="C21" s="13" t="n"/>
      <c r="D21" s="22" t="n"/>
      <c r="E21" s="14" t="n"/>
      <c r="F21" s="22" t="n"/>
      <c r="G21" s="40" t="n"/>
      <c r="H21" s="36" t="n"/>
      <c r="I21" s="22" t="n"/>
      <c r="J21" s="14" t="n"/>
      <c r="K21" s="40" t="n"/>
      <c r="L21" s="13" t="n"/>
      <c r="M21" s="13" t="n"/>
    </row>
    <row r="22" ht="22" customHeight="1">
      <c r="B22" s="19">
        <f>IF(C22="","HBS-"&amp;TEXT(COUNTA($C$5:C22),"000"))</f>
        <v/>
      </c>
      <c r="C22" s="16" t="n"/>
      <c r="D22" s="24" t="n"/>
      <c r="E22" s="17" t="n"/>
      <c r="F22" s="24" t="n"/>
      <c r="G22" s="42" t="n"/>
      <c r="H22" s="37" t="n"/>
      <c r="I22" s="24" t="n"/>
      <c r="J22" s="17" t="n"/>
      <c r="K22" s="42" t="n"/>
      <c r="L22" s="16" t="n"/>
      <c r="M22" s="16" t="n"/>
    </row>
    <row r="23" ht="22" customHeight="1">
      <c r="B23" s="20">
        <f>IF(C23="","HBS-"&amp;TEXT(COUNTA($C$5:C23),"000"))</f>
        <v/>
      </c>
      <c r="C23" s="13" t="n"/>
      <c r="D23" s="22" t="n"/>
      <c r="E23" s="14" t="n"/>
      <c r="F23" s="22" t="n"/>
      <c r="G23" s="40" t="n"/>
      <c r="H23" s="36" t="n"/>
      <c r="I23" s="22" t="n"/>
      <c r="J23" s="14" t="n"/>
      <c r="K23" s="40" t="n"/>
      <c r="L23" s="13" t="n"/>
      <c r="M23" s="13" t="n"/>
    </row>
    <row r="24" ht="22" customHeight="1">
      <c r="B24" s="19">
        <f>IF(C24="","HBS-"&amp;TEXT(COUNTA($C$5:C24),"000"))</f>
        <v/>
      </c>
      <c r="C24" s="16" t="n"/>
      <c r="D24" s="24" t="n"/>
      <c r="E24" s="17" t="n"/>
      <c r="F24" s="24" t="n"/>
      <c r="G24" s="42" t="n"/>
      <c r="H24" s="37" t="n"/>
      <c r="I24" s="24" t="n"/>
      <c r="J24" s="17" t="n"/>
      <c r="K24" s="42" t="n"/>
      <c r="L24" s="16" t="n"/>
      <c r="M24" s="16" t="n"/>
    </row>
    <row r="25" ht="22" customHeight="1">
      <c r="B25" s="20">
        <f>IF(C25="","HBS-"&amp;TEXT(COUNTA($C$5:C25),"000"))</f>
        <v/>
      </c>
      <c r="C25" s="13" t="n"/>
      <c r="D25" s="22" t="n"/>
      <c r="E25" s="14" t="n"/>
      <c r="F25" s="22" t="n"/>
      <c r="G25" s="40" t="n"/>
      <c r="H25" s="36" t="n"/>
      <c r="I25" s="22" t="n"/>
      <c r="J25" s="14" t="n"/>
      <c r="K25" s="40" t="n"/>
      <c r="L25" s="13" t="n"/>
      <c r="M25" s="13" t="n"/>
    </row>
    <row r="26" ht="22" customHeight="1">
      <c r="B26" s="19">
        <f>IF(C26="","HBS-"&amp;TEXT(COUNTA($C$5:C26),"000"))</f>
        <v/>
      </c>
      <c r="C26" s="16" t="n"/>
      <c r="D26" s="24" t="n"/>
      <c r="E26" s="17" t="n"/>
      <c r="F26" s="24" t="n"/>
      <c r="G26" s="42" t="n"/>
      <c r="H26" s="37" t="n"/>
      <c r="I26" s="24" t="n"/>
      <c r="J26" s="17" t="n"/>
      <c r="K26" s="42" t="n"/>
      <c r="L26" s="16" t="n"/>
      <c r="M26" s="16" t="n"/>
    </row>
    <row r="27" ht="22" customHeight="1">
      <c r="B27" s="20">
        <f>IF(C27="","HBS-"&amp;TEXT(COUNTA($C$5:C27),"000"))</f>
        <v/>
      </c>
      <c r="C27" s="13" t="n"/>
      <c r="D27" s="22" t="n"/>
      <c r="E27" s="14" t="n"/>
      <c r="F27" s="22" t="n"/>
      <c r="G27" s="40" t="n"/>
      <c r="H27" s="36" t="n"/>
      <c r="I27" s="22" t="n"/>
      <c r="J27" s="14" t="n"/>
      <c r="K27" s="40" t="n"/>
      <c r="L27" s="13" t="n"/>
      <c r="M27" s="13" t="n"/>
    </row>
    <row r="28" ht="22" customHeight="1">
      <c r="B28" s="19">
        <f>IF(C28="","HBS-"&amp;TEXT(COUNTA($C$5:C28),"000"))</f>
        <v/>
      </c>
      <c r="C28" s="16" t="n"/>
      <c r="D28" s="24" t="n"/>
      <c r="E28" s="17" t="n"/>
      <c r="F28" s="24" t="n"/>
      <c r="G28" s="42" t="n"/>
      <c r="H28" s="37" t="n"/>
      <c r="I28" s="24" t="n"/>
      <c r="J28" s="17" t="n"/>
      <c r="K28" s="42" t="n"/>
      <c r="L28" s="16" t="n"/>
      <c r="M28" s="16" t="n"/>
    </row>
    <row r="29" ht="22" customHeight="1">
      <c r="B29" s="20">
        <f>IF(C29="","HBS-"&amp;TEXT(COUNTA($C$5:C29),"000"))</f>
        <v/>
      </c>
      <c r="C29" s="13" t="n"/>
      <c r="D29" s="22" t="n"/>
      <c r="E29" s="14" t="n"/>
      <c r="F29" s="22" t="n"/>
      <c r="G29" s="40" t="n"/>
      <c r="H29" s="36" t="n"/>
      <c r="I29" s="22" t="n"/>
      <c r="J29" s="14" t="n"/>
      <c r="K29" s="40" t="n"/>
      <c r="L29" s="13" t="n"/>
      <c r="M29" s="13" t="n"/>
    </row>
    <row r="30" ht="22" customHeight="1">
      <c r="B30" s="19">
        <f>IF(C30="","HBS-"&amp;TEXT(COUNTA($C$5:C30),"000"))</f>
        <v/>
      </c>
      <c r="C30" s="16" t="n"/>
      <c r="D30" s="24" t="n"/>
      <c r="E30" s="17" t="n"/>
      <c r="F30" s="24" t="n"/>
      <c r="G30" s="42" t="n"/>
      <c r="H30" s="37" t="n"/>
      <c r="I30" s="24" t="n"/>
      <c r="J30" s="17" t="n"/>
      <c r="K30" s="42" t="n"/>
      <c r="L30" s="16" t="n"/>
      <c r="M30" s="16" t="n"/>
    </row>
    <row r="31" ht="22" customHeight="1">
      <c r="B31" s="20">
        <f>IF(C31="","HBS-"&amp;TEXT(COUNTA($C$5:C31),"000"))</f>
        <v/>
      </c>
      <c r="C31" s="13" t="n"/>
      <c r="D31" s="22" t="n"/>
      <c r="E31" s="14" t="n"/>
      <c r="F31" s="22" t="n"/>
      <c r="G31" s="40" t="n"/>
      <c r="H31" s="36" t="n"/>
      <c r="I31" s="22" t="n"/>
      <c r="J31" s="14" t="n"/>
      <c r="K31" s="40" t="n"/>
      <c r="L31" s="13" t="n"/>
      <c r="M31" s="13" t="n"/>
    </row>
    <row r="32" ht="22" customHeight="1">
      <c r="B32" s="19">
        <f>IF(C32="","HBS-"&amp;TEXT(COUNTA($C$5:C32),"000"))</f>
        <v/>
      </c>
      <c r="C32" s="16" t="n"/>
      <c r="D32" s="24" t="n"/>
      <c r="E32" s="17" t="n"/>
      <c r="F32" s="24" t="n"/>
      <c r="G32" s="42" t="n"/>
      <c r="H32" s="37" t="n"/>
      <c r="I32" s="24" t="n"/>
      <c r="J32" s="17" t="n"/>
      <c r="K32" s="42" t="n"/>
      <c r="L32" s="16" t="n"/>
      <c r="M32" s="16" t="n"/>
    </row>
    <row r="33" ht="22" customHeight="1">
      <c r="B33" s="20">
        <f>IF(C33="","HBS-"&amp;TEXT(COUNTA($C$5:C33),"000"))</f>
        <v/>
      </c>
      <c r="C33" s="13" t="n"/>
      <c r="D33" s="22" t="n"/>
      <c r="E33" s="14" t="n"/>
      <c r="F33" s="22" t="n"/>
      <c r="G33" s="40" t="n"/>
      <c r="H33" s="36" t="n"/>
      <c r="I33" s="22" t="n"/>
      <c r="J33" s="14" t="n"/>
      <c r="K33" s="40" t="n"/>
      <c r="L33" s="13" t="n"/>
      <c r="M33" s="13" t="n"/>
    </row>
    <row r="34" ht="22" customHeight="1">
      <c r="B34" s="19">
        <f>IF(C34="","HBS-"&amp;TEXT(COUNTA($C$5:C34),"000"))</f>
        <v/>
      </c>
      <c r="C34" s="16" t="n"/>
      <c r="D34" s="24" t="n"/>
      <c r="E34" s="17" t="n"/>
      <c r="F34" s="24" t="n"/>
      <c r="G34" s="42" t="n"/>
      <c r="H34" s="37" t="n"/>
      <c r="I34" s="24" t="n"/>
      <c r="J34" s="17" t="n"/>
      <c r="K34" s="42" t="n"/>
      <c r="L34" s="16" t="n"/>
      <c r="M34" s="16" t="n"/>
    </row>
    <row r="35" ht="22" customHeight="1">
      <c r="B35" s="20">
        <f>IF(C35="","HBS-"&amp;TEXT(COUNTA($C$5:C35),"000"))</f>
        <v/>
      </c>
      <c r="C35" s="13" t="n"/>
      <c r="D35" s="22" t="n"/>
      <c r="E35" s="14" t="n"/>
      <c r="F35" s="22" t="n"/>
      <c r="G35" s="40" t="n"/>
      <c r="H35" s="36" t="n"/>
      <c r="I35" s="22" t="n"/>
      <c r="J35" s="14" t="n"/>
      <c r="K35" s="40" t="n"/>
      <c r="L35" s="13" t="n"/>
      <c r="M35" s="13" t="n"/>
    </row>
    <row r="36" ht="22" customHeight="1">
      <c r="B36" s="19">
        <f>IF(C36="","HBS-"&amp;TEXT(COUNTA($C$5:C36),"000"))</f>
        <v/>
      </c>
      <c r="C36" s="16" t="n"/>
      <c r="D36" s="24" t="n"/>
      <c r="E36" s="17" t="n"/>
      <c r="F36" s="24" t="n"/>
      <c r="G36" s="42" t="n"/>
      <c r="H36" s="37" t="n"/>
      <c r="I36" s="24" t="n"/>
      <c r="J36" s="17" t="n"/>
      <c r="K36" s="42" t="n"/>
      <c r="L36" s="16" t="n"/>
      <c r="M36" s="16" t="n"/>
    </row>
    <row r="37" ht="22" customHeight="1">
      <c r="B37" s="20">
        <f>IF(C37="","HBS-"&amp;TEXT(COUNTA($C$5:C37),"000"))</f>
        <v/>
      </c>
      <c r="C37" s="13" t="n"/>
      <c r="D37" s="22" t="n"/>
      <c r="E37" s="14" t="n"/>
      <c r="F37" s="22" t="n"/>
      <c r="G37" s="40" t="n"/>
      <c r="H37" s="36" t="n"/>
      <c r="I37" s="22" t="n"/>
      <c r="J37" s="14" t="n"/>
      <c r="K37" s="40" t="n"/>
      <c r="L37" s="13" t="n"/>
      <c r="M37" s="13" t="n"/>
    </row>
    <row r="38" ht="22" customHeight="1">
      <c r="B38" s="19">
        <f>IF(C38="","HBS-"&amp;TEXT(COUNTA($C$5:C38),"000"))</f>
        <v/>
      </c>
      <c r="C38" s="16" t="n"/>
      <c r="D38" s="24" t="n"/>
      <c r="E38" s="17" t="n"/>
      <c r="F38" s="24" t="n"/>
      <c r="G38" s="42" t="n"/>
      <c r="H38" s="37" t="n"/>
      <c r="I38" s="24" t="n"/>
      <c r="J38" s="17" t="n"/>
      <c r="K38" s="42" t="n"/>
      <c r="L38" s="16" t="n"/>
      <c r="M38" s="16" t="n"/>
    </row>
    <row r="39" ht="22" customHeight="1">
      <c r="B39" s="20">
        <f>IF(C39="","HBS-"&amp;TEXT(COUNTA($C$5:C39),"000"))</f>
        <v/>
      </c>
      <c r="C39" s="13" t="n"/>
      <c r="D39" s="22" t="n"/>
      <c r="E39" s="14" t="n"/>
      <c r="F39" s="22" t="n"/>
      <c r="G39" s="40" t="n"/>
      <c r="H39" s="36" t="n"/>
      <c r="I39" s="22" t="n"/>
      <c r="J39" s="14" t="n"/>
      <c r="K39" s="40" t="n"/>
      <c r="L39" s="13" t="n"/>
      <c r="M39" s="13" t="n"/>
    </row>
    <row r="40" ht="22" customHeight="1">
      <c r="B40" s="19">
        <f>IF(C40="","HBS-"&amp;TEXT(COUNTA($C$5:C40),"000"))</f>
        <v/>
      </c>
      <c r="C40" s="16" t="n"/>
      <c r="D40" s="24" t="n"/>
      <c r="E40" s="17" t="n"/>
      <c r="F40" s="24" t="n"/>
      <c r="G40" s="42" t="n"/>
      <c r="H40" s="37" t="n"/>
      <c r="I40" s="24" t="n"/>
      <c r="J40" s="17" t="n"/>
      <c r="K40" s="42" t="n"/>
      <c r="L40" s="16" t="n"/>
      <c r="M40" s="16" t="n"/>
    </row>
    <row r="41" ht="22" customHeight="1">
      <c r="B41" s="20">
        <f>IF(C41="","HBS-"&amp;TEXT(COUNTA($C$5:C41),"000"))</f>
        <v/>
      </c>
      <c r="C41" s="13" t="n"/>
      <c r="D41" s="22" t="n"/>
      <c r="E41" s="14" t="n"/>
      <c r="F41" s="22" t="n"/>
      <c r="G41" s="40" t="n"/>
      <c r="H41" s="36" t="n"/>
      <c r="I41" s="22" t="n"/>
      <c r="J41" s="14" t="n"/>
      <c r="K41" s="40" t="n"/>
      <c r="L41" s="13" t="n"/>
      <c r="M41" s="13" t="n"/>
    </row>
    <row r="42" ht="22" customHeight="1">
      <c r="B42" s="19">
        <f>IF(C42="","HBS-"&amp;TEXT(COUNTA($C$5:C42),"000"))</f>
        <v/>
      </c>
      <c r="C42" s="16" t="n"/>
      <c r="D42" s="24" t="n"/>
      <c r="E42" s="17" t="n"/>
      <c r="F42" s="24" t="n"/>
      <c r="G42" s="42" t="n"/>
      <c r="H42" s="37" t="n"/>
      <c r="I42" s="24" t="n"/>
      <c r="J42" s="17" t="n"/>
      <c r="K42" s="42" t="n"/>
      <c r="L42" s="16" t="n"/>
      <c r="M42" s="16" t="n"/>
    </row>
    <row r="43" ht="22" customHeight="1">
      <c r="B43" s="20">
        <f>IF(C43="","HBS-"&amp;TEXT(COUNTA($C$5:C43),"000"))</f>
        <v/>
      </c>
      <c r="C43" s="13" t="n"/>
      <c r="D43" s="22" t="n"/>
      <c r="E43" s="14" t="n"/>
      <c r="F43" s="22" t="n"/>
      <c r="G43" s="40" t="n"/>
      <c r="H43" s="36" t="n"/>
      <c r="I43" s="22" t="n"/>
      <c r="J43" s="14" t="n"/>
      <c r="K43" s="40" t="n"/>
      <c r="L43" s="13" t="n"/>
      <c r="M43" s="13" t="n"/>
    </row>
    <row r="44" ht="22" customHeight="1">
      <c r="B44" s="19">
        <f>IF(C44="","HBS-"&amp;TEXT(COUNTA($C$5:C44),"000"))</f>
        <v/>
      </c>
      <c r="C44" s="16" t="n"/>
      <c r="D44" s="24" t="n"/>
      <c r="E44" s="17" t="n"/>
      <c r="F44" s="24" t="n"/>
      <c r="G44" s="42" t="n"/>
      <c r="H44" s="37" t="n"/>
      <c r="I44" s="24" t="n"/>
      <c r="J44" s="17" t="n"/>
      <c r="K44" s="42" t="n"/>
      <c r="L44" s="16" t="n"/>
      <c r="M44" s="16" t="n"/>
    </row>
    <row r="45" ht="22" customHeight="1">
      <c r="B45" s="20">
        <f>IF(C45="","HBS-"&amp;TEXT(COUNTA($C$5:C45),"000"))</f>
        <v/>
      </c>
      <c r="C45" s="13" t="n"/>
      <c r="D45" s="22" t="n"/>
      <c r="E45" s="14" t="n"/>
      <c r="F45" s="22" t="n"/>
      <c r="G45" s="40" t="n"/>
      <c r="H45" s="36" t="n"/>
      <c r="I45" s="22" t="n"/>
      <c r="J45" s="14" t="n"/>
      <c r="K45" s="40" t="n"/>
      <c r="L45" s="13" t="n"/>
      <c r="M45" s="13" t="n"/>
    </row>
    <row r="46" ht="22" customHeight="1">
      <c r="B46" s="19">
        <f>IF(C46="","HBS-"&amp;TEXT(COUNTA($C$5:C46),"000"))</f>
        <v/>
      </c>
      <c r="C46" s="16" t="n"/>
      <c r="D46" s="24" t="n"/>
      <c r="E46" s="17" t="n"/>
      <c r="F46" s="24" t="n"/>
      <c r="G46" s="42" t="n"/>
      <c r="H46" s="37" t="n"/>
      <c r="I46" s="24" t="n"/>
      <c r="J46" s="17" t="n"/>
      <c r="K46" s="42" t="n"/>
      <c r="L46" s="16" t="n"/>
      <c r="M46" s="16" t="n"/>
    </row>
    <row r="47" ht="22" customHeight="1">
      <c r="B47" s="20">
        <f>IF(C47="","HBS-"&amp;TEXT(COUNTA($C$5:C47),"000"))</f>
        <v/>
      </c>
      <c r="C47" s="13" t="n"/>
      <c r="D47" s="22" t="n"/>
      <c r="E47" s="14" t="n"/>
      <c r="F47" s="22" t="n"/>
      <c r="G47" s="40" t="n"/>
      <c r="H47" s="36" t="n"/>
      <c r="I47" s="22" t="n"/>
      <c r="J47" s="14" t="n"/>
      <c r="K47" s="40" t="n"/>
      <c r="L47" s="13" t="n"/>
      <c r="M47" s="13" t="n"/>
    </row>
    <row r="48" ht="22" customHeight="1">
      <c r="B48" s="19">
        <f>IF(C48="","HBS-"&amp;TEXT(COUNTA($C$5:C48),"000"))</f>
        <v/>
      </c>
      <c r="C48" s="16" t="n"/>
      <c r="D48" s="24" t="n"/>
      <c r="E48" s="17" t="n"/>
      <c r="F48" s="24" t="n"/>
      <c r="G48" s="42" t="n"/>
      <c r="H48" s="37" t="n"/>
      <c r="I48" s="24" t="n"/>
      <c r="J48" s="17" t="n"/>
      <c r="K48" s="42" t="n"/>
      <c r="L48" s="16" t="n"/>
      <c r="M48" s="16" t="n"/>
    </row>
    <row r="49" ht="22" customHeight="1">
      <c r="B49" s="20">
        <f>IF(C49="","HBS-"&amp;TEXT(COUNTA($C$5:C49),"000"))</f>
        <v/>
      </c>
      <c r="C49" s="13" t="n"/>
      <c r="D49" s="22" t="n"/>
      <c r="E49" s="14" t="n"/>
      <c r="F49" s="22" t="n"/>
      <c r="G49" s="40" t="n"/>
      <c r="H49" s="36" t="n"/>
      <c r="I49" s="22" t="n"/>
      <c r="J49" s="14" t="n"/>
      <c r="K49" s="40" t="n"/>
      <c r="L49" s="13" t="n"/>
      <c r="M49" s="13" t="n"/>
    </row>
    <row r="50" ht="22" customHeight="1">
      <c r="B50" s="19">
        <f>IF(C50="","HBS-"&amp;TEXT(COUNTA($C$5:C50),"000"))</f>
        <v/>
      </c>
      <c r="C50" s="16" t="n"/>
      <c r="D50" s="24" t="n"/>
      <c r="E50" s="17" t="n"/>
      <c r="F50" s="24" t="n"/>
      <c r="G50" s="42" t="n"/>
      <c r="H50" s="37" t="n"/>
      <c r="I50" s="24" t="n"/>
      <c r="J50" s="17" t="n"/>
      <c r="K50" s="42" t="n"/>
      <c r="L50" s="16" t="n"/>
      <c r="M50" s="16" t="n"/>
    </row>
    <row r="51" ht="22" customHeight="1">
      <c r="B51" s="20">
        <f>IF(C51="","HBS-"&amp;TEXT(COUNTA($C$5:C51),"000"))</f>
        <v/>
      </c>
      <c r="C51" s="13" t="n"/>
      <c r="D51" s="22" t="n"/>
      <c r="E51" s="14" t="n"/>
      <c r="F51" s="22" t="n"/>
      <c r="G51" s="40" t="n"/>
      <c r="H51" s="36" t="n"/>
      <c r="I51" s="22" t="n"/>
      <c r="J51" s="14" t="n"/>
      <c r="K51" s="40" t="n"/>
      <c r="L51" s="13" t="n"/>
      <c r="M51" s="13" t="n"/>
    </row>
    <row r="52" ht="22" customHeight="1">
      <c r="B52" s="19">
        <f>IF(C52="","HBS-"&amp;TEXT(COUNTA($C$5:C52),"000"))</f>
        <v/>
      </c>
      <c r="C52" s="16" t="n"/>
      <c r="D52" s="24" t="n"/>
      <c r="E52" s="17" t="n"/>
      <c r="F52" s="24" t="n"/>
      <c r="G52" s="42" t="n"/>
      <c r="H52" s="37" t="n"/>
      <c r="I52" s="24" t="n"/>
      <c r="J52" s="17" t="n"/>
      <c r="K52" s="42" t="n"/>
      <c r="L52" s="16" t="n"/>
      <c r="M52" s="16" t="n"/>
    </row>
    <row r="53" ht="22" customHeight="1">
      <c r="B53" s="20">
        <f>IF(C53="","HBS-"&amp;TEXT(COUNTA($C$5:C53),"000"))</f>
        <v/>
      </c>
      <c r="C53" s="13" t="n"/>
      <c r="D53" s="22" t="n"/>
      <c r="E53" s="14" t="n"/>
      <c r="F53" s="22" t="n"/>
      <c r="G53" s="40" t="n"/>
      <c r="H53" s="36" t="n"/>
      <c r="I53" s="22" t="n"/>
      <c r="J53" s="14" t="n"/>
      <c r="K53" s="40" t="n"/>
      <c r="L53" s="13" t="n"/>
      <c r="M53" s="13" t="n"/>
    </row>
    <row r="54" ht="22" customHeight="1">
      <c r="B54" s="19">
        <f>IF(C54="","HBS-"&amp;TEXT(COUNTA($C$5:C54),"000"))</f>
        <v/>
      </c>
      <c r="C54" s="16" t="n"/>
      <c r="D54" s="24" t="n"/>
      <c r="E54" s="17" t="n"/>
      <c r="F54" s="24" t="n"/>
      <c r="G54" s="42" t="n"/>
      <c r="H54" s="37" t="n"/>
      <c r="I54" s="24" t="n"/>
      <c r="J54" s="17" t="n"/>
      <c r="K54" s="42" t="n"/>
      <c r="L54" s="16" t="n"/>
      <c r="M54" s="16" t="n"/>
    </row>
    <row r="55" ht="22" customHeight="1">
      <c r="B55" s="20">
        <f>IF(C55="","HBS-"&amp;TEXT(COUNTA($C$5:C55),"000"))</f>
        <v/>
      </c>
      <c r="C55" s="13" t="n"/>
      <c r="D55" s="22" t="n"/>
      <c r="E55" s="14" t="n"/>
      <c r="F55" s="22" t="n"/>
      <c r="G55" s="40" t="n"/>
      <c r="H55" s="36" t="n"/>
      <c r="I55" s="22" t="n"/>
      <c r="J55" s="14" t="n"/>
      <c r="K55" s="40" t="n"/>
      <c r="L55" s="13" t="n"/>
      <c r="M55" s="13" t="n"/>
    </row>
    <row r="56" ht="22" customHeight="1">
      <c r="B56" s="19">
        <f>IF(C56="","HBS-"&amp;TEXT(COUNTA($C$5:C56),"000"))</f>
        <v/>
      </c>
      <c r="C56" s="16" t="n"/>
      <c r="D56" s="24" t="n"/>
      <c r="E56" s="17" t="n"/>
      <c r="F56" s="24" t="n"/>
      <c r="G56" s="42" t="n"/>
      <c r="H56" s="37" t="n"/>
      <c r="I56" s="24" t="n"/>
      <c r="J56" s="17" t="n"/>
      <c r="K56" s="42" t="n"/>
      <c r="L56" s="16" t="n"/>
      <c r="M56" s="16" t="n"/>
    </row>
    <row r="57" ht="22" customHeight="1">
      <c r="B57" s="20">
        <f>IF(C57="","HBS-"&amp;TEXT(COUNTA($C$5:C57),"000"))</f>
        <v/>
      </c>
      <c r="C57" s="13" t="n"/>
      <c r="D57" s="22" t="n"/>
      <c r="E57" s="14" t="n"/>
      <c r="F57" s="22" t="n"/>
      <c r="G57" s="40" t="n"/>
      <c r="H57" s="36" t="n"/>
      <c r="I57" s="22" t="n"/>
      <c r="J57" s="14" t="n"/>
      <c r="K57" s="40" t="n"/>
      <c r="L57" s="13" t="n"/>
      <c r="M57" s="13" t="n"/>
    </row>
    <row r="58" ht="22" customHeight="1">
      <c r="B58" s="19">
        <f>IF(C58="","HBS-"&amp;TEXT(COUNTA($C$5:C58),"000"))</f>
        <v/>
      </c>
      <c r="C58" s="16" t="n"/>
      <c r="D58" s="24" t="n"/>
      <c r="E58" s="17" t="n"/>
      <c r="F58" s="24" t="n"/>
      <c r="G58" s="42" t="n"/>
      <c r="H58" s="37" t="n"/>
      <c r="I58" s="24" t="n"/>
      <c r="J58" s="17" t="n"/>
      <c r="K58" s="42" t="n"/>
      <c r="L58" s="16" t="n"/>
      <c r="M58" s="16" t="n"/>
    </row>
    <row r="59" ht="22" customHeight="1">
      <c r="B59" s="20">
        <f>IF(C59="","HBS-"&amp;TEXT(COUNTA($C$5:C59),"000"))</f>
        <v/>
      </c>
      <c r="C59" s="13" t="n"/>
      <c r="D59" s="22" t="n"/>
      <c r="E59" s="14" t="n"/>
      <c r="F59" s="22" t="n"/>
      <c r="G59" s="40" t="n"/>
      <c r="H59" s="36" t="n"/>
      <c r="I59" s="22" t="n"/>
      <c r="J59" s="14" t="n"/>
      <c r="K59" s="40" t="n"/>
      <c r="L59" s="13" t="n"/>
      <c r="M59" s="13" t="n"/>
    </row>
    <row r="60" ht="22" customHeight="1">
      <c r="B60" s="19">
        <f>IF(C60="","HBS-"&amp;TEXT(COUNTA($C$5:C60),"000"))</f>
        <v/>
      </c>
      <c r="C60" s="16" t="n"/>
      <c r="D60" s="24" t="n"/>
      <c r="E60" s="17" t="n"/>
      <c r="F60" s="24" t="n"/>
      <c r="G60" s="42" t="n"/>
      <c r="H60" s="37" t="n"/>
      <c r="I60" s="24" t="n"/>
      <c r="J60" s="17" t="n"/>
      <c r="K60" s="42" t="n"/>
      <c r="L60" s="16" t="n"/>
      <c r="M60" s="16" t="n"/>
    </row>
    <row r="61" ht="22" customHeight="1">
      <c r="B61" s="20">
        <f>IF(C61="","HBS-"&amp;TEXT(COUNTA($C$5:C61),"000"))</f>
        <v/>
      </c>
      <c r="C61" s="13" t="n"/>
      <c r="D61" s="22" t="n"/>
      <c r="E61" s="14" t="n"/>
      <c r="F61" s="22" t="n"/>
      <c r="G61" s="40" t="n"/>
      <c r="H61" s="36" t="n"/>
      <c r="I61" s="22" t="n"/>
      <c r="J61" s="14" t="n"/>
      <c r="K61" s="40" t="n"/>
      <c r="L61" s="13" t="n"/>
      <c r="M61" s="13" t="n"/>
    </row>
    <row r="62" ht="22" customHeight="1">
      <c r="B62" s="19">
        <f>IF(C62="","HBS-"&amp;TEXT(COUNTA($C$5:C62),"000"))</f>
        <v/>
      </c>
      <c r="C62" s="16" t="n"/>
      <c r="D62" s="24" t="n"/>
      <c r="E62" s="17" t="n"/>
      <c r="F62" s="24" t="n"/>
      <c r="G62" s="42" t="n"/>
      <c r="H62" s="37" t="n"/>
      <c r="I62" s="24" t="n"/>
      <c r="J62" s="17" t="n"/>
      <c r="K62" s="42" t="n"/>
      <c r="L62" s="16" t="n"/>
      <c r="M62" s="16" t="n"/>
    </row>
    <row r="63" ht="22" customHeight="1">
      <c r="B63" s="20">
        <f>IF(C63="","HBS-"&amp;TEXT(COUNTA($C$5:C63),"000"))</f>
        <v/>
      </c>
      <c r="C63" s="13" t="n"/>
      <c r="D63" s="22" t="n"/>
      <c r="E63" s="14" t="n"/>
      <c r="F63" s="22" t="n"/>
      <c r="G63" s="40" t="n"/>
      <c r="H63" s="36" t="n"/>
      <c r="I63" s="22" t="n"/>
      <c r="J63" s="14" t="n"/>
      <c r="K63" s="40" t="n"/>
      <c r="L63" s="13" t="n"/>
      <c r="M63" s="13" t="n"/>
    </row>
    <row r="64" ht="22" customHeight="1">
      <c r="B64" s="19">
        <f>IF(C64="","HBS-"&amp;TEXT(COUNTA($C$5:C64),"000"))</f>
        <v/>
      </c>
      <c r="C64" s="16" t="n"/>
      <c r="D64" s="24" t="n"/>
      <c r="E64" s="17" t="n"/>
      <c r="F64" s="24" t="n"/>
      <c r="G64" s="42" t="n"/>
      <c r="H64" s="37" t="n"/>
      <c r="I64" s="24" t="n"/>
      <c r="J64" s="17" t="n"/>
      <c r="K64" s="42" t="n"/>
      <c r="L64" s="16" t="n"/>
      <c r="M64" s="16" t="n"/>
    </row>
    <row r="65" ht="22" customHeight="1">
      <c r="B65" s="20">
        <f>IF(C65="","HBS-"&amp;TEXT(COUNTA($C$5:C65),"000"))</f>
        <v/>
      </c>
      <c r="C65" s="13" t="n"/>
      <c r="D65" s="22" t="n"/>
      <c r="E65" s="14" t="n"/>
      <c r="F65" s="22" t="n"/>
      <c r="G65" s="40" t="n"/>
      <c r="H65" s="36" t="n"/>
      <c r="I65" s="22" t="n"/>
      <c r="J65" s="14" t="n"/>
      <c r="K65" s="40" t="n"/>
      <c r="L65" s="13" t="n"/>
      <c r="M65" s="13" t="n"/>
    </row>
    <row r="66" ht="22" customHeight="1">
      <c r="B66" s="19">
        <f>IF(C66="","HBS-"&amp;TEXT(COUNTA($C$5:C66),"000"))</f>
        <v/>
      </c>
      <c r="C66" s="16" t="n"/>
      <c r="D66" s="24" t="n"/>
      <c r="E66" s="17" t="n"/>
      <c r="F66" s="24" t="n"/>
      <c r="G66" s="42" t="n"/>
      <c r="H66" s="37" t="n"/>
      <c r="I66" s="24" t="n"/>
      <c r="J66" s="17" t="n"/>
      <c r="K66" s="42" t="n"/>
      <c r="L66" s="16" t="n"/>
      <c r="M66" s="16" t="n"/>
    </row>
    <row r="67" ht="22" customHeight="1">
      <c r="B67" s="20">
        <f>IF(C67="","HBS-"&amp;TEXT(COUNTA($C$5:C67),"000"))</f>
        <v/>
      </c>
      <c r="C67" s="13" t="n"/>
      <c r="D67" s="22" t="n"/>
      <c r="E67" s="14" t="n"/>
      <c r="F67" s="22" t="n"/>
      <c r="G67" s="40" t="n"/>
      <c r="H67" s="36" t="n"/>
      <c r="I67" s="22" t="n"/>
      <c r="J67" s="14" t="n"/>
      <c r="K67" s="40" t="n"/>
      <c r="L67" s="13" t="n"/>
      <c r="M67" s="13" t="n"/>
    </row>
    <row r="68" ht="22" customHeight="1">
      <c r="B68" s="19">
        <f>IF(C68="","HBS-"&amp;TEXT(COUNTA($C$5:C68),"000"))</f>
        <v/>
      </c>
      <c r="C68" s="16" t="n"/>
      <c r="D68" s="24" t="n"/>
      <c r="E68" s="17" t="n"/>
      <c r="F68" s="24" t="n"/>
      <c r="G68" s="42" t="n"/>
      <c r="H68" s="37" t="n"/>
      <c r="I68" s="24" t="n"/>
      <c r="J68" s="17" t="n"/>
      <c r="K68" s="42" t="n"/>
      <c r="L68" s="16" t="n"/>
      <c r="M68" s="16" t="n"/>
    </row>
    <row r="69" ht="22" customHeight="1">
      <c r="B69" s="20">
        <f>IF(C69="","HBS-"&amp;TEXT(COUNTA($C$5:C69),"000"))</f>
        <v/>
      </c>
      <c r="C69" s="13" t="n"/>
      <c r="D69" s="22" t="n"/>
      <c r="E69" s="14" t="n"/>
      <c r="F69" s="22" t="n"/>
      <c r="G69" s="40" t="n"/>
      <c r="H69" s="36" t="n"/>
      <c r="I69" s="22" t="n"/>
      <c r="J69" s="14" t="n"/>
      <c r="K69" s="40" t="n"/>
      <c r="L69" s="13" t="n"/>
      <c r="M69" s="13" t="n"/>
    </row>
    <row r="70" ht="22" customHeight="1">
      <c r="B70" s="19">
        <f>IF(C70="","HBS-"&amp;TEXT(COUNTA($C$5:C70),"000"))</f>
        <v/>
      </c>
      <c r="C70" s="16" t="n"/>
      <c r="D70" s="24" t="n"/>
      <c r="E70" s="17" t="n"/>
      <c r="F70" s="24" t="n"/>
      <c r="G70" s="42" t="n"/>
      <c r="H70" s="37" t="n"/>
      <c r="I70" s="24" t="n"/>
      <c r="J70" s="17" t="n"/>
      <c r="K70" s="42" t="n"/>
      <c r="L70" s="16" t="n"/>
      <c r="M70" s="16" t="n"/>
    </row>
    <row r="71" ht="22" customHeight="1">
      <c r="B71" s="20">
        <f>IF(C71="","HBS-"&amp;TEXT(COUNTA($C$5:C71),"000"))</f>
        <v/>
      </c>
      <c r="C71" s="13" t="n"/>
      <c r="D71" s="22" t="n"/>
      <c r="E71" s="14" t="n"/>
      <c r="F71" s="22" t="n"/>
      <c r="G71" s="40" t="n"/>
      <c r="H71" s="36" t="n"/>
      <c r="I71" s="22" t="n"/>
      <c r="J71" s="14" t="n"/>
      <c r="K71" s="40" t="n"/>
      <c r="L71" s="13" t="n"/>
      <c r="M71" s="13" t="n"/>
    </row>
    <row r="72" ht="22" customHeight="1">
      <c r="B72" s="19">
        <f>IF(C72="","HBS-"&amp;TEXT(COUNTA($C$5:C72),"000"))</f>
        <v/>
      </c>
      <c r="C72" s="16" t="n"/>
      <c r="D72" s="24" t="n"/>
      <c r="E72" s="17" t="n"/>
      <c r="F72" s="24" t="n"/>
      <c r="G72" s="42" t="n"/>
      <c r="H72" s="37" t="n"/>
      <c r="I72" s="24" t="n"/>
      <c r="J72" s="17" t="n"/>
      <c r="K72" s="42" t="n"/>
      <c r="L72" s="16" t="n"/>
      <c r="M72" s="16" t="n"/>
    </row>
    <row r="73" ht="22" customHeight="1">
      <c r="B73" s="20">
        <f>IF(C73="","HBS-"&amp;TEXT(COUNTA($C$5:C73),"000"))</f>
        <v/>
      </c>
      <c r="C73" s="13" t="n"/>
      <c r="D73" s="22" t="n"/>
      <c r="E73" s="14" t="n"/>
      <c r="F73" s="22" t="n"/>
      <c r="G73" s="40" t="n"/>
      <c r="H73" s="36" t="n"/>
      <c r="I73" s="22" t="n"/>
      <c r="J73" s="14" t="n"/>
      <c r="K73" s="40" t="n"/>
      <c r="L73" s="13" t="n"/>
      <c r="M73" s="13" t="n"/>
    </row>
    <row r="74" ht="22" customHeight="1">
      <c r="B74" s="19">
        <f>IF(C74="","HBS-"&amp;TEXT(COUNTA($C$5:C74),"000"))</f>
        <v/>
      </c>
      <c r="C74" s="16" t="n"/>
      <c r="D74" s="24" t="n"/>
      <c r="E74" s="17" t="n"/>
      <c r="F74" s="24" t="n"/>
      <c r="G74" s="42" t="n"/>
      <c r="H74" s="37" t="n"/>
      <c r="I74" s="24" t="n"/>
      <c r="J74" s="17" t="n"/>
      <c r="K74" s="42" t="n"/>
      <c r="L74" s="16" t="n"/>
      <c r="M74" s="16" t="n"/>
    </row>
    <row r="75" ht="22" customHeight="1">
      <c r="B75" s="20">
        <f>IF(C75="","HBS-"&amp;TEXT(COUNTA($C$5:C75),"000"))</f>
        <v/>
      </c>
      <c r="C75" s="13" t="n"/>
      <c r="D75" s="22" t="n"/>
      <c r="E75" s="14" t="n"/>
      <c r="F75" s="22" t="n"/>
      <c r="G75" s="40" t="n"/>
      <c r="H75" s="36" t="n"/>
      <c r="I75" s="22" t="n"/>
      <c r="J75" s="14" t="n"/>
      <c r="K75" s="40" t="n"/>
      <c r="L75" s="13" t="n"/>
      <c r="M75" s="13" t="n"/>
    </row>
    <row r="76" ht="22" customHeight="1">
      <c r="B76" s="19">
        <f>IF(C76="","HBS-"&amp;TEXT(COUNTA($C$5:C76),"000"))</f>
        <v/>
      </c>
      <c r="C76" s="16" t="n"/>
      <c r="D76" s="24" t="n"/>
      <c r="E76" s="17" t="n"/>
      <c r="F76" s="24" t="n"/>
      <c r="G76" s="42" t="n"/>
      <c r="H76" s="37" t="n"/>
      <c r="I76" s="24" t="n"/>
      <c r="J76" s="17" t="n"/>
      <c r="K76" s="42" t="n"/>
      <c r="L76" s="16" t="n"/>
      <c r="M76" s="16" t="n"/>
    </row>
    <row r="77" ht="22" customHeight="1">
      <c r="B77" s="20">
        <f>IF(C77="","HBS-"&amp;TEXT(COUNTA($C$5:C77),"000"))</f>
        <v/>
      </c>
      <c r="C77" s="13" t="n"/>
      <c r="D77" s="22" t="n"/>
      <c r="E77" s="14" t="n"/>
      <c r="F77" s="22" t="n"/>
      <c r="G77" s="40" t="n"/>
      <c r="H77" s="36" t="n"/>
      <c r="I77" s="22" t="n"/>
      <c r="J77" s="14" t="n"/>
      <c r="K77" s="40" t="n"/>
      <c r="L77" s="13" t="n"/>
      <c r="M77" s="13" t="n"/>
    </row>
    <row r="78" ht="22" customHeight="1">
      <c r="B78" s="19">
        <f>IF(C78="","HBS-"&amp;TEXT(COUNTA($C$5:C78),"000"))</f>
        <v/>
      </c>
      <c r="C78" s="16" t="n"/>
      <c r="D78" s="24" t="n"/>
      <c r="E78" s="17" t="n"/>
      <c r="F78" s="24" t="n"/>
      <c r="G78" s="42" t="n"/>
      <c r="H78" s="37" t="n"/>
      <c r="I78" s="24" t="n"/>
      <c r="J78" s="17" t="n"/>
      <c r="K78" s="42" t="n"/>
      <c r="L78" s="16" t="n"/>
      <c r="M78" s="16" t="n"/>
    </row>
    <row r="79" ht="22" customHeight="1">
      <c r="B79" s="20">
        <f>IF(C79="","HBS-"&amp;TEXT(COUNTA($C$5:C79),"000"))</f>
        <v/>
      </c>
      <c r="C79" s="13" t="n"/>
      <c r="D79" s="22" t="n"/>
      <c r="E79" s="14" t="n"/>
      <c r="F79" s="22" t="n"/>
      <c r="G79" s="40" t="n"/>
      <c r="H79" s="36" t="n"/>
      <c r="I79" s="22" t="n"/>
      <c r="J79" s="14" t="n"/>
      <c r="K79" s="40" t="n"/>
      <c r="L79" s="13" t="n"/>
      <c r="M79" s="13" t="n"/>
    </row>
    <row r="80" ht="22" customHeight="1">
      <c r="B80" s="19">
        <f>IF(C80="","HBS-"&amp;TEXT(COUNTA($C$5:C80),"000"))</f>
        <v/>
      </c>
      <c r="C80" s="16" t="n"/>
      <c r="D80" s="24" t="n"/>
      <c r="E80" s="17" t="n"/>
      <c r="F80" s="24" t="n"/>
      <c r="G80" s="42" t="n"/>
      <c r="H80" s="37" t="n"/>
      <c r="I80" s="24" t="n"/>
      <c r="J80" s="17" t="n"/>
      <c r="K80" s="42" t="n"/>
      <c r="L80" s="16" t="n"/>
      <c r="M80" s="16" t="n"/>
    </row>
    <row r="81" ht="22" customHeight="1">
      <c r="B81" s="20">
        <f>IF(C81="","HBS-"&amp;TEXT(COUNTA($C$5:C81),"000"))</f>
        <v/>
      </c>
      <c r="C81" s="13" t="n"/>
      <c r="D81" s="22" t="n"/>
      <c r="E81" s="14" t="n"/>
      <c r="F81" s="22" t="n"/>
      <c r="G81" s="40" t="n"/>
      <c r="H81" s="36" t="n"/>
      <c r="I81" s="22" t="n"/>
      <c r="J81" s="14" t="n"/>
      <c r="K81" s="40" t="n"/>
      <c r="L81" s="13" t="n"/>
      <c r="M81" s="13" t="n"/>
    </row>
    <row r="82" ht="22" customHeight="1">
      <c r="B82" s="19">
        <f>IF(C82="","HBS-"&amp;TEXT(COUNTA($C$5:C82),"000"))</f>
        <v/>
      </c>
      <c r="C82" s="16" t="n"/>
      <c r="D82" s="24" t="n"/>
      <c r="E82" s="17" t="n"/>
      <c r="F82" s="24" t="n"/>
      <c r="G82" s="42" t="n"/>
      <c r="H82" s="37" t="n"/>
      <c r="I82" s="24" t="n"/>
      <c r="J82" s="17" t="n"/>
      <c r="K82" s="42" t="n"/>
      <c r="L82" s="16" t="n"/>
      <c r="M82" s="16" t="n"/>
    </row>
    <row r="83" ht="22" customHeight="1">
      <c r="B83" s="20">
        <f>IF(C83="","HBS-"&amp;TEXT(COUNTA($C$5:C83),"000"))</f>
        <v/>
      </c>
      <c r="C83" s="13" t="n"/>
      <c r="D83" s="22" t="n"/>
      <c r="E83" s="14" t="n"/>
      <c r="F83" s="22" t="n"/>
      <c r="G83" s="40" t="n"/>
      <c r="H83" s="36" t="n"/>
      <c r="I83" s="22" t="n"/>
      <c r="J83" s="14" t="n"/>
      <c r="K83" s="40" t="n"/>
      <c r="L83" s="13" t="n"/>
      <c r="M83" s="13" t="n"/>
    </row>
    <row r="84" ht="22" customHeight="1">
      <c r="B84" s="19">
        <f>IF(C84="","HBS-"&amp;TEXT(COUNTA($C$5:C84),"000"))</f>
        <v/>
      </c>
      <c r="C84" s="16" t="n"/>
      <c r="D84" s="24" t="n"/>
      <c r="E84" s="17" t="n"/>
      <c r="F84" s="24" t="n"/>
      <c r="G84" s="42" t="n"/>
      <c r="H84" s="37" t="n"/>
      <c r="I84" s="24" t="n"/>
      <c r="J84" s="17" t="n"/>
      <c r="K84" s="42" t="n"/>
      <c r="L84" s="16" t="n"/>
      <c r="M84" s="16" t="n"/>
    </row>
    <row r="85" ht="22" customHeight="1">
      <c r="B85" s="20">
        <f>IF(C85="","HBS-"&amp;TEXT(COUNTA($C$5:C85),"000"))</f>
        <v/>
      </c>
      <c r="C85" s="13" t="n"/>
      <c r="D85" s="22" t="n"/>
      <c r="E85" s="14" t="n"/>
      <c r="F85" s="22" t="n"/>
      <c r="G85" s="40" t="n"/>
      <c r="H85" s="36" t="n"/>
      <c r="I85" s="22" t="n"/>
      <c r="J85" s="14" t="n"/>
      <c r="K85" s="40" t="n"/>
      <c r="L85" s="13" t="n"/>
      <c r="M85" s="13" t="n"/>
    </row>
    <row r="86" ht="22" customHeight="1">
      <c r="B86" s="19">
        <f>IF(C86="","HBS-"&amp;TEXT(COUNTA($C$5:C86),"000"))</f>
        <v/>
      </c>
      <c r="C86" s="16" t="n"/>
      <c r="D86" s="24" t="n"/>
      <c r="E86" s="17" t="n"/>
      <c r="F86" s="24" t="n"/>
      <c r="G86" s="42" t="n"/>
      <c r="H86" s="37" t="n"/>
      <c r="I86" s="24" t="n"/>
      <c r="J86" s="17" t="n"/>
      <c r="K86" s="42" t="n"/>
      <c r="L86" s="16" t="n"/>
      <c r="M86" s="16" t="n"/>
    </row>
    <row r="87" ht="22" customHeight="1">
      <c r="B87" s="20">
        <f>IF(C87="","HBS-"&amp;TEXT(COUNTA($C$5:C87),"000"))</f>
        <v/>
      </c>
      <c r="C87" s="13" t="n"/>
      <c r="D87" s="22" t="n"/>
      <c r="E87" s="14" t="n"/>
      <c r="F87" s="22" t="n"/>
      <c r="G87" s="40" t="n"/>
      <c r="H87" s="36" t="n"/>
      <c r="I87" s="22" t="n"/>
      <c r="J87" s="14" t="n"/>
      <c r="K87" s="40" t="n"/>
      <c r="L87" s="13" t="n"/>
      <c r="M87" s="13" t="n"/>
    </row>
    <row r="88" ht="22" customHeight="1">
      <c r="B88" s="19">
        <f>IF(C88="","HBS-"&amp;TEXT(COUNTA($C$5:C88),"000"))</f>
        <v/>
      </c>
      <c r="C88" s="16" t="n"/>
      <c r="D88" s="24" t="n"/>
      <c r="E88" s="17" t="n"/>
      <c r="F88" s="24" t="n"/>
      <c r="G88" s="42" t="n"/>
      <c r="H88" s="37" t="n"/>
      <c r="I88" s="24" t="n"/>
      <c r="J88" s="17" t="n"/>
      <c r="K88" s="42" t="n"/>
      <c r="L88" s="16" t="n"/>
      <c r="M88" s="16" t="n"/>
    </row>
    <row r="89" ht="22" customHeight="1">
      <c r="B89" s="20">
        <f>IF(C89="","HBS-"&amp;TEXT(COUNTA($C$5:C89),"000"))</f>
        <v/>
      </c>
      <c r="C89" s="13" t="n"/>
      <c r="D89" s="22" t="n"/>
      <c r="E89" s="14" t="n"/>
      <c r="F89" s="22" t="n"/>
      <c r="G89" s="40" t="n"/>
      <c r="H89" s="36" t="n"/>
      <c r="I89" s="22" t="n"/>
      <c r="J89" s="14" t="n"/>
      <c r="K89" s="40" t="n"/>
      <c r="L89" s="13" t="n"/>
      <c r="M89" s="13" t="n"/>
    </row>
    <row r="90" ht="22" customHeight="1">
      <c r="B90" s="19">
        <f>IF(C90="","HBS-"&amp;TEXT(COUNTA($C$5:C90),"000"))</f>
        <v/>
      </c>
      <c r="C90" s="16" t="n"/>
      <c r="D90" s="24" t="n"/>
      <c r="E90" s="17" t="n"/>
      <c r="F90" s="24" t="n"/>
      <c r="G90" s="42" t="n"/>
      <c r="H90" s="37" t="n"/>
      <c r="I90" s="24" t="n"/>
      <c r="J90" s="17" t="n"/>
      <c r="K90" s="42" t="n"/>
      <c r="L90" s="16" t="n"/>
      <c r="M90" s="16" t="n"/>
    </row>
    <row r="91" ht="22" customHeight="1">
      <c r="B91" s="20">
        <f>IF(C91="","HBS-"&amp;TEXT(COUNTA($C$5:C91),"000"))</f>
        <v/>
      </c>
      <c r="C91" s="13" t="n"/>
      <c r="D91" s="22" t="n"/>
      <c r="E91" s="14" t="n"/>
      <c r="F91" s="22" t="n"/>
      <c r="G91" s="40" t="n"/>
      <c r="H91" s="36" t="n"/>
      <c r="I91" s="22" t="n"/>
      <c r="J91" s="14" t="n"/>
      <c r="K91" s="40" t="n"/>
      <c r="L91" s="13" t="n"/>
      <c r="M91" s="13" t="n"/>
    </row>
    <row r="92" ht="22" customHeight="1">
      <c r="B92" s="19">
        <f>IF(C92="","HBS-"&amp;TEXT(COUNTA($C$5:C92),"000"))</f>
        <v/>
      </c>
      <c r="C92" s="16" t="n"/>
      <c r="D92" s="24" t="n"/>
      <c r="E92" s="17" t="n"/>
      <c r="F92" s="24" t="n"/>
      <c r="G92" s="42" t="n"/>
      <c r="H92" s="37" t="n"/>
      <c r="I92" s="24" t="n"/>
      <c r="J92" s="17" t="n"/>
      <c r="K92" s="42" t="n"/>
      <c r="L92" s="16" t="n"/>
      <c r="M92" s="16" t="n"/>
    </row>
    <row r="93" ht="22" customHeight="1">
      <c r="B93" s="20">
        <f>IF(C93="","HBS-"&amp;TEXT(COUNTA($C$5:C93),"000"))</f>
        <v/>
      </c>
      <c r="C93" s="13" t="n"/>
      <c r="D93" s="22" t="n"/>
      <c r="E93" s="14" t="n"/>
      <c r="F93" s="22" t="n"/>
      <c r="G93" s="40" t="n"/>
      <c r="H93" s="36" t="n"/>
      <c r="I93" s="22" t="n"/>
      <c r="J93" s="14" t="n"/>
      <c r="K93" s="40" t="n"/>
      <c r="L93" s="13" t="n"/>
      <c r="M93" s="13" t="n"/>
    </row>
    <row r="94" ht="22" customHeight="1">
      <c r="B94" s="19">
        <f>IF(C94="","HBS-"&amp;TEXT(COUNTA($C$5:C94),"000"))</f>
        <v/>
      </c>
      <c r="C94" s="16" t="n"/>
      <c r="D94" s="24" t="n"/>
      <c r="E94" s="17" t="n"/>
      <c r="F94" s="24" t="n"/>
      <c r="G94" s="42" t="n"/>
      <c r="H94" s="37" t="n"/>
      <c r="I94" s="24" t="n"/>
      <c r="J94" s="17" t="n"/>
      <c r="K94" s="42" t="n"/>
      <c r="L94" s="16" t="n"/>
      <c r="M94" s="16" t="n"/>
    </row>
    <row r="95" ht="22" customHeight="1">
      <c r="B95" s="20">
        <f>IF(C95="","HBS-"&amp;TEXT(COUNTA($C$5:C95),"000"))</f>
        <v/>
      </c>
      <c r="C95" s="13" t="n"/>
      <c r="D95" s="22" t="n"/>
      <c r="E95" s="14" t="n"/>
      <c r="F95" s="22" t="n"/>
      <c r="G95" s="40" t="n"/>
      <c r="H95" s="36" t="n"/>
      <c r="I95" s="22" t="n"/>
      <c r="J95" s="14" t="n"/>
      <c r="K95" s="40" t="n"/>
      <c r="L95" s="13" t="n"/>
      <c r="M95" s="13" t="n"/>
    </row>
    <row r="96" ht="22" customHeight="1">
      <c r="B96" s="19">
        <f>IF(C96="","HBS-"&amp;TEXT(COUNTA($C$5:C96),"000"))</f>
        <v/>
      </c>
      <c r="C96" s="16" t="n"/>
      <c r="D96" s="24" t="n"/>
      <c r="E96" s="17" t="n"/>
      <c r="F96" s="24" t="n"/>
      <c r="G96" s="42" t="n"/>
      <c r="H96" s="37" t="n"/>
      <c r="I96" s="24" t="n"/>
      <c r="J96" s="17" t="n"/>
      <c r="K96" s="42" t="n"/>
      <c r="L96" s="16" t="n"/>
      <c r="M96" s="16" t="n"/>
    </row>
    <row r="97" ht="22" customHeight="1">
      <c r="B97" s="20">
        <f>IF(C97="","HBS-"&amp;TEXT(COUNTA($C$5:C97),"000"))</f>
        <v/>
      </c>
      <c r="C97" s="13" t="n"/>
      <c r="D97" s="22" t="n"/>
      <c r="E97" s="14" t="n"/>
      <c r="F97" s="22" t="n"/>
      <c r="G97" s="40" t="n"/>
      <c r="H97" s="36" t="n"/>
      <c r="I97" s="22" t="n"/>
      <c r="J97" s="14" t="n"/>
      <c r="K97" s="40" t="n"/>
      <c r="L97" s="13" t="n"/>
      <c r="M97" s="13" t="n"/>
    </row>
    <row r="98" ht="22" customHeight="1">
      <c r="B98" s="19">
        <f>IF(C98="","HBS-"&amp;TEXT(COUNTA($C$5:C98),"000"))</f>
        <v/>
      </c>
      <c r="C98" s="16" t="n"/>
      <c r="D98" s="24" t="n"/>
      <c r="E98" s="17" t="n"/>
      <c r="F98" s="24" t="n"/>
      <c r="G98" s="42" t="n"/>
      <c r="H98" s="37" t="n"/>
      <c r="I98" s="24" t="n"/>
      <c r="J98" s="17" t="n"/>
      <c r="K98" s="42" t="n"/>
      <c r="L98" s="16" t="n"/>
      <c r="M98" s="16" t="n"/>
    </row>
    <row r="99" ht="22" customHeight="1">
      <c r="B99" s="20">
        <f>IF(C99="","HBS-"&amp;TEXT(COUNTA($C$5:C99),"000"))</f>
        <v/>
      </c>
      <c r="C99" s="13" t="n"/>
      <c r="D99" s="22" t="n"/>
      <c r="E99" s="14" t="n"/>
      <c r="F99" s="22" t="n"/>
      <c r="G99" s="40" t="n"/>
      <c r="H99" s="36" t="n"/>
      <c r="I99" s="22" t="n"/>
      <c r="J99" s="14" t="n"/>
      <c r="K99" s="40" t="n"/>
      <c r="L99" s="13" t="n"/>
      <c r="M99" s="13" t="n"/>
    </row>
    <row r="100" ht="22" customHeight="1">
      <c r="B100" s="19">
        <f>IF(C100="","HBS-"&amp;TEXT(COUNTA($C$5:C100),"000"))</f>
        <v/>
      </c>
      <c r="C100" s="16" t="n"/>
      <c r="D100" s="24" t="n"/>
      <c r="E100" s="17" t="n"/>
      <c r="F100" s="24" t="n"/>
      <c r="G100" s="42" t="n"/>
      <c r="H100" s="37" t="n"/>
      <c r="I100" s="24" t="n"/>
      <c r="J100" s="17" t="n"/>
      <c r="K100" s="42" t="n"/>
      <c r="L100" s="16" t="n"/>
      <c r="M100" s="16" t="n"/>
    </row>
    <row r="101" ht="22" customHeight="1">
      <c r="B101" s="20">
        <f>IF(C101="","HBS-"&amp;TEXT(COUNTA($C$5:C101),"000"))</f>
        <v/>
      </c>
      <c r="C101" s="13" t="n"/>
      <c r="D101" s="22" t="n"/>
      <c r="E101" s="14" t="n"/>
      <c r="F101" s="22" t="n"/>
      <c r="G101" s="40" t="n"/>
      <c r="H101" s="36" t="n"/>
      <c r="I101" s="22" t="n"/>
      <c r="J101" s="14" t="n"/>
      <c r="K101" s="40" t="n"/>
      <c r="L101" s="13" t="n"/>
      <c r="M101" s="13" t="n"/>
    </row>
    <row r="102" ht="22" customHeight="1">
      <c r="B102" s="19">
        <f>IF(C102="","HBS-"&amp;TEXT(COUNTA($C$5:C102),"000"))</f>
        <v/>
      </c>
      <c r="C102" s="16" t="n"/>
      <c r="D102" s="24" t="n"/>
      <c r="E102" s="17" t="n"/>
      <c r="F102" s="24" t="n"/>
      <c r="G102" s="42" t="n"/>
      <c r="H102" s="37" t="n"/>
      <c r="I102" s="24" t="n"/>
      <c r="J102" s="17" t="n"/>
      <c r="K102" s="42" t="n"/>
      <c r="L102" s="16" t="n"/>
      <c r="M102" s="16" t="n"/>
    </row>
    <row r="103" ht="22" customHeight="1">
      <c r="B103" s="20">
        <f>IF(C103="","HBS-"&amp;TEXT(COUNTA($C$5:C103),"000"))</f>
        <v/>
      </c>
      <c r="C103" s="13" t="n"/>
      <c r="D103" s="22" t="n"/>
      <c r="E103" s="14" t="n"/>
      <c r="F103" s="22" t="n"/>
      <c r="G103" s="40" t="n"/>
      <c r="H103" s="36" t="n"/>
      <c r="I103" s="22" t="n"/>
      <c r="J103" s="14" t="n"/>
      <c r="K103" s="40" t="n"/>
      <c r="L103" s="13" t="n"/>
      <c r="M103" s="13" t="n"/>
    </row>
    <row r="104" ht="22" customHeight="1">
      <c r="B104" s="19">
        <f>IF(C104="","HBS-"&amp;TEXT(COUNTA($C$5:C104),"000"))</f>
        <v/>
      </c>
      <c r="C104" s="16" t="n"/>
      <c r="D104" s="24" t="n"/>
      <c r="E104" s="17" t="n"/>
      <c r="F104" s="24" t="n"/>
      <c r="G104" s="42" t="n"/>
      <c r="H104" s="37" t="n"/>
      <c r="I104" s="24" t="n"/>
      <c r="J104" s="17" t="n"/>
      <c r="K104" s="42" t="n"/>
      <c r="L104" s="16" t="n"/>
      <c r="M104" s="16" t="n"/>
    </row>
    <row r="105" ht="22" customHeight="1">
      <c r="B105" s="20">
        <f>IF(C105="","HBS-"&amp;TEXT(COUNTA($C$5:C105),"000"))</f>
        <v/>
      </c>
      <c r="C105" s="13" t="n"/>
      <c r="D105" s="22" t="n"/>
      <c r="E105" s="14" t="n"/>
      <c r="F105" s="22" t="n"/>
      <c r="G105" s="40" t="n"/>
      <c r="H105" s="36" t="n"/>
      <c r="I105" s="22" t="n"/>
      <c r="J105" s="14" t="n"/>
      <c r="K105" s="40" t="n"/>
      <c r="L105" s="13" t="n"/>
      <c r="M105" s="13" t="n"/>
    </row>
    <row r="106" ht="22" customHeight="1">
      <c r="B106" s="19">
        <f>IF(C106="","HBS-"&amp;TEXT(COUNTA($C$5:C106),"000"))</f>
        <v/>
      </c>
      <c r="C106" s="16" t="n"/>
      <c r="D106" s="24" t="n"/>
      <c r="E106" s="17" t="n"/>
      <c r="F106" s="24" t="n"/>
      <c r="G106" s="42" t="n"/>
      <c r="H106" s="37" t="n"/>
      <c r="I106" s="24" t="n"/>
      <c r="J106" s="17" t="n"/>
      <c r="K106" s="42" t="n"/>
      <c r="L106" s="16" t="n"/>
      <c r="M106" s="16" t="n"/>
    </row>
    <row r="107" ht="22" customHeight="1">
      <c r="B107" s="20">
        <f>IF(C107="","HBS-"&amp;TEXT(COUNTA($C$5:C107),"000"))</f>
        <v/>
      </c>
      <c r="C107" s="13" t="n"/>
      <c r="D107" s="22" t="n"/>
      <c r="E107" s="14" t="n"/>
      <c r="F107" s="22" t="n"/>
      <c r="G107" s="40" t="n"/>
      <c r="H107" s="36" t="n"/>
      <c r="I107" s="22" t="n"/>
      <c r="J107" s="14" t="n"/>
      <c r="K107" s="40" t="n"/>
      <c r="L107" s="13" t="n"/>
      <c r="M107" s="13" t="n"/>
    </row>
    <row r="108"/>
    <row r="109">
      <c r="B109" s="6" t="inlineStr">
        <is>
          <t>INDICATEURS (mis a jour automatiquement)</t>
        </is>
      </c>
    </row>
    <row r="110">
      <c r="B110" s="3" t="inlineStr">
        <is>
          <t>Bilans archivés</t>
        </is>
      </c>
      <c r="D110" s="3" t="inlineStr">
        <is>
          <t>Rotation moy. (%)</t>
        </is>
      </c>
      <c r="F110" s="3" t="inlineStr">
        <is>
          <t>Satisfaction moy.</t>
        </is>
      </c>
    </row>
    <row r="111">
      <c r="B111" s="4">
        <f>COUNTIF(B5:B104,"&lt;&gt;")</f>
        <v/>
      </c>
      <c r="D111" s="4">
        <f>IFERROR(AVERAGE(E5:E104),0)</f>
        <v/>
      </c>
      <c r="F111" s="4">
        <f>IFERROR(AVERAGE(K5:K104),0)</f>
        <v/>
      </c>
    </row>
  </sheetData>
  <mergeCells count="3">
    <mergeCell ref="B3:M3"/>
    <mergeCell ref="B2:M2"/>
    <mergeCell ref="B109:M109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conditionalFormatting sqref="M8:M107">
    <cfRule type="expression" priority="12" dxfId="3">
      <formula>AND($C8="",$C7&lt;&gt;"")</formula>
    </cfRule>
  </conditionalFormatting>
  <dataValidations count="1">
    <dataValidation sqref="L5:L107" showDropDown="0" showInputMessage="0" showErrorMessage="0" allowBlank="1" errorTitle="Erreur" error="Valeur invalide" promptTitle="Liste" prompt="Choisir dans la liste" type="list">
      <formula1>'_Lists'!$M$2:$M$6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4" customWidth="1" min="4" max="4"/>
    <col width="30" customWidth="1" min="5" max="5"/>
    <col width="16" customWidth="1" min="6" max="6"/>
    <col width="24" customWidth="1" min="7" max="7"/>
    <col width="22" customWidth="1" min="8" max="8"/>
    <col width="26" customWidth="1" min="9" max="9"/>
    <col width="16" customWidth="1" min="10" max="10"/>
    <col width="34" customWidth="1" min="11" max="11"/>
  </cols>
  <sheetData>
    <row r="1" ht="15" customHeight="1"/>
    <row r="2" ht="32" customHeight="1">
      <c r="B2" s="1" t="inlineStr">
        <is>
          <t>CALENDRIER REPORTING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Rapport / Livrable</t>
        </is>
      </c>
      <c r="D4" s="12" t="inlineStr">
        <is>
          <t>Type</t>
        </is>
      </c>
      <c r="E4" s="12" t="inlineStr">
        <is>
          <t>Destinataire</t>
        </is>
      </c>
      <c r="F4" s="12" t="inlineStr">
        <is>
          <t>Frequence</t>
        </is>
      </c>
      <c r="G4" s="12" t="inlineStr">
        <is>
          <t>Date Prochaine Emission</t>
        </is>
      </c>
      <c r="H4" s="12" t="inlineStr">
        <is>
          <t>Delai Preparation (j)</t>
        </is>
      </c>
      <c r="I4" s="12" t="inlineStr">
        <is>
          <t>Responsable Preparation</t>
        </is>
      </c>
      <c r="J4" s="12" t="inlineStr">
        <is>
          <t>Statut</t>
        </is>
      </c>
      <c r="K4" s="12" t="inlineStr">
        <is>
          <t>Observations</t>
        </is>
      </c>
    </row>
    <row r="5" ht="22" customHeight="1">
      <c r="B5" s="13" t="inlineStr">
        <is>
          <t>CR-001</t>
        </is>
      </c>
      <c r="C5" s="13" t="inlineStr">
        <is>
          <t>Activite RH mensuelle</t>
        </is>
      </c>
      <c r="D5" s="13" t="inlineStr">
        <is>
          <t>Activite mensuelle</t>
        </is>
      </c>
      <c r="E5" s="13" t="inlineStr">
        <is>
          <t>DG</t>
        </is>
      </c>
      <c r="F5" s="13" t="inlineStr">
        <is>
          <t>Mensuel</t>
        </is>
      </c>
      <c r="G5" s="38" t="n">
        <v>45752</v>
      </c>
      <c r="H5" s="22" t="n">
        <v>5</v>
      </c>
      <c r="I5" s="13" t="inlineStr">
        <is>
          <t>DRH</t>
        </is>
      </c>
      <c r="J5" s="13" t="inlineStr">
        <is>
          <t>En cours</t>
        </is>
      </c>
      <c r="K5" s="13" t="inlineStr">
        <is>
          <t>Template automatise</t>
        </is>
      </c>
    </row>
    <row r="6" ht="22" customHeight="1">
      <c r="B6" s="16" t="inlineStr">
        <is>
          <t>CR-002</t>
        </is>
      </c>
      <c r="C6" s="16" t="inlineStr">
        <is>
          <t>Bilan trimestriel RH</t>
        </is>
      </c>
      <c r="D6" s="16" t="inlineStr">
        <is>
          <t>Bilan trimestriel</t>
        </is>
      </c>
      <c r="E6" s="16" t="inlineStr">
        <is>
          <t>Comite de direction</t>
        </is>
      </c>
      <c r="F6" s="16" t="inlineStr">
        <is>
          <t>Trimestriel</t>
        </is>
      </c>
      <c r="G6" s="39" t="n">
        <v>45757</v>
      </c>
      <c r="H6" s="24" t="n">
        <v>10</v>
      </c>
      <c r="I6" s="16" t="inlineStr">
        <is>
          <t>DRH</t>
        </is>
      </c>
      <c r="J6" s="16" t="inlineStr">
        <is>
          <t>En cours</t>
        </is>
      </c>
      <c r="K6" s="16" t="inlineStr">
        <is>
          <t>Donnees Q1 compilees</t>
        </is>
      </c>
    </row>
    <row r="7" ht="22" customHeight="1">
      <c r="B7" s="13" t="inlineStr">
        <is>
          <t>CR-003</t>
        </is>
      </c>
      <c r="C7" s="13" t="inlineStr">
        <is>
          <t>Bilan social annuel</t>
        </is>
      </c>
      <c r="D7" s="13" t="inlineStr">
        <is>
          <t>Bilan social annuel</t>
        </is>
      </c>
      <c r="E7" s="13" t="inlineStr">
        <is>
          <t>CSE / Representants du personnel</t>
        </is>
      </c>
      <c r="F7" s="13" t="inlineStr">
        <is>
          <t>Annuel</t>
        </is>
      </c>
      <c r="G7" s="38" t="n">
        <v>45838</v>
      </c>
      <c r="H7" s="22" t="n">
        <v>30</v>
      </c>
      <c r="I7" s="13" t="inlineStr">
        <is>
          <t>DRH</t>
        </is>
      </c>
      <c r="J7" s="13" t="inlineStr">
        <is>
          <t>En cours</t>
        </is>
      </c>
      <c r="K7" s="13" t="inlineStr">
        <is>
          <t>Compilation depuis janvier</t>
        </is>
      </c>
    </row>
    <row r="8" ht="22" customHeight="1">
      <c r="B8" s="16" t="inlineStr">
        <is>
          <t>CR-004</t>
        </is>
      </c>
      <c r="C8" s="16" t="inlineStr">
        <is>
          <t>Dashboard KPI temps reel</t>
        </is>
      </c>
      <c r="D8" s="16" t="inlineStr">
        <is>
          <t>Tableau de bord KPI</t>
        </is>
      </c>
      <c r="E8" s="16" t="inlineStr">
        <is>
          <t>DG</t>
        </is>
      </c>
      <c r="F8" s="16" t="inlineStr">
        <is>
          <t>Mensuel</t>
        </is>
      </c>
      <c r="G8" s="39" t="n">
        <v>45748</v>
      </c>
      <c r="H8" s="24" t="n">
        <v>2</v>
      </c>
      <c r="I8" s="16" t="inlineStr">
        <is>
          <t>Chef de service IT</t>
        </is>
      </c>
      <c r="J8" s="16" t="inlineStr">
        <is>
          <t>En cours</t>
        </is>
      </c>
      <c r="K8" s="16" t="inlineStr">
        <is>
          <t>Power BI connecte SIRH</t>
        </is>
      </c>
    </row>
    <row r="9" ht="22" customHeight="1">
      <c r="B9" s="13" t="inlineStr">
        <is>
          <t>CR-005</t>
        </is>
      </c>
      <c r="C9" s="13" t="inlineStr">
        <is>
          <t>Rapport paie mensuel</t>
        </is>
      </c>
      <c r="D9" s="13" t="inlineStr">
        <is>
          <t>Reporting DG</t>
        </is>
      </c>
      <c r="E9" s="13" t="inlineStr">
        <is>
          <t>DAF</t>
        </is>
      </c>
      <c r="F9" s="13" t="inlineStr">
        <is>
          <t>Mensuel</t>
        </is>
      </c>
      <c r="G9" s="38" t="n">
        <v>45750</v>
      </c>
      <c r="H9" s="22" t="n">
        <v>3</v>
      </c>
      <c r="I9" s="13" t="inlineStr">
        <is>
          <t>DAF</t>
        </is>
      </c>
      <c r="J9" s="13" t="inlineStr">
        <is>
          <t>En cours</t>
        </is>
      </c>
      <c r="K9" s="13" t="inlineStr">
        <is>
          <t>Automatise via Lucca</t>
        </is>
      </c>
    </row>
    <row r="10" ht="22" customHeight="1">
      <c r="B10" s="19">
        <f>IF(C10="","CR-"&amp;TEXT(COUNTA($C$5:C10),"000"))</f>
        <v/>
      </c>
      <c r="C10" s="16" t="n"/>
      <c r="D10" s="16" t="n"/>
      <c r="E10" s="16" t="n"/>
      <c r="F10" s="16" t="n"/>
      <c r="G10" s="39" t="n"/>
      <c r="H10" s="24" t="n"/>
      <c r="I10" s="16" t="n"/>
      <c r="J10" s="16" t="n"/>
      <c r="K10" s="16" t="n"/>
    </row>
    <row r="11" ht="22" customHeight="1">
      <c r="B11" s="20">
        <f>IF(C11="","CR-"&amp;TEXT(COUNTA($C$5:C11),"000"))</f>
        <v/>
      </c>
      <c r="C11" s="13" t="n"/>
      <c r="D11" s="13" t="n"/>
      <c r="E11" s="13" t="n"/>
      <c r="F11" s="13" t="n"/>
      <c r="G11" s="38" t="n"/>
      <c r="H11" s="22" t="n"/>
      <c r="I11" s="13" t="n"/>
      <c r="J11" s="13" t="n"/>
      <c r="K11" s="13" t="n"/>
    </row>
    <row r="12" ht="22" customHeight="1">
      <c r="B12" s="19">
        <f>IF(C12="","CR-"&amp;TEXT(COUNTA($C$5:C12),"000"))</f>
        <v/>
      </c>
      <c r="C12" s="16" t="n"/>
      <c r="D12" s="16" t="n"/>
      <c r="E12" s="16" t="n"/>
      <c r="F12" s="16" t="n"/>
      <c r="G12" s="39" t="n"/>
      <c r="H12" s="24" t="n"/>
      <c r="I12" s="16" t="n"/>
      <c r="J12" s="16" t="n"/>
      <c r="K12" s="16" t="n"/>
    </row>
    <row r="13" ht="22" customHeight="1">
      <c r="B13" s="20">
        <f>IF(C13="","CR-"&amp;TEXT(COUNTA($C$5:C13),"000"))</f>
        <v/>
      </c>
      <c r="C13" s="13" t="n"/>
      <c r="D13" s="13" t="n"/>
      <c r="E13" s="13" t="n"/>
      <c r="F13" s="13" t="n"/>
      <c r="G13" s="38" t="n"/>
      <c r="H13" s="22" t="n"/>
      <c r="I13" s="13" t="n"/>
      <c r="J13" s="13" t="n"/>
      <c r="K13" s="13" t="n"/>
    </row>
    <row r="14" ht="22" customHeight="1">
      <c r="B14" s="19">
        <f>IF(C14="","CR-"&amp;TEXT(COUNTA($C$5:C14),"000"))</f>
        <v/>
      </c>
      <c r="C14" s="16" t="n"/>
      <c r="D14" s="16" t="n"/>
      <c r="E14" s="16" t="n"/>
      <c r="F14" s="16" t="n"/>
      <c r="G14" s="39" t="n"/>
      <c r="H14" s="24" t="n"/>
      <c r="I14" s="16" t="n"/>
      <c r="J14" s="16" t="n"/>
      <c r="K14" s="16" t="n"/>
    </row>
    <row r="15" ht="22" customHeight="1">
      <c r="B15" s="20">
        <f>IF(C15="","CR-"&amp;TEXT(COUNTA($C$5:C15),"000"))</f>
        <v/>
      </c>
      <c r="C15" s="13" t="n"/>
      <c r="D15" s="13" t="n"/>
      <c r="E15" s="13" t="n"/>
      <c r="F15" s="13" t="n"/>
      <c r="G15" s="38" t="n"/>
      <c r="H15" s="22" t="n"/>
      <c r="I15" s="13" t="n"/>
      <c r="J15" s="13" t="n"/>
      <c r="K15" s="13" t="n"/>
    </row>
    <row r="16" ht="22" customHeight="1">
      <c r="B16" s="19">
        <f>IF(C16="","CR-"&amp;TEXT(COUNTA($C$5:C16),"000"))</f>
        <v/>
      </c>
      <c r="C16" s="16" t="n"/>
      <c r="D16" s="16" t="n"/>
      <c r="E16" s="16" t="n"/>
      <c r="F16" s="16" t="n"/>
      <c r="G16" s="39" t="n"/>
      <c r="H16" s="24" t="n"/>
      <c r="I16" s="16" t="n"/>
      <c r="J16" s="16" t="n"/>
      <c r="K16" s="16" t="n"/>
    </row>
    <row r="17" ht="22" customHeight="1">
      <c r="B17" s="20">
        <f>IF(C17="","CR-"&amp;TEXT(COUNTA($C$5:C17),"000"))</f>
        <v/>
      </c>
      <c r="C17" s="13" t="n"/>
      <c r="D17" s="13" t="n"/>
      <c r="E17" s="13" t="n"/>
      <c r="F17" s="13" t="n"/>
      <c r="G17" s="38" t="n"/>
      <c r="H17" s="22" t="n"/>
      <c r="I17" s="13" t="n"/>
      <c r="J17" s="13" t="n"/>
      <c r="K17" s="13" t="n"/>
    </row>
    <row r="18" ht="22" customHeight="1">
      <c r="B18" s="19">
        <f>IF(C18="","CR-"&amp;TEXT(COUNTA($C$5:C18),"000"))</f>
        <v/>
      </c>
      <c r="C18" s="16" t="n"/>
      <c r="D18" s="16" t="n"/>
      <c r="E18" s="16" t="n"/>
      <c r="F18" s="16" t="n"/>
      <c r="G18" s="39" t="n"/>
      <c r="H18" s="24" t="n"/>
      <c r="I18" s="16" t="n"/>
      <c r="J18" s="16" t="n"/>
      <c r="K18" s="16" t="n"/>
    </row>
    <row r="19" ht="22" customHeight="1">
      <c r="B19" s="20">
        <f>IF(C19="","CR-"&amp;TEXT(COUNTA($C$5:C19),"000"))</f>
        <v/>
      </c>
      <c r="C19" s="13" t="n"/>
      <c r="D19" s="13" t="n"/>
      <c r="E19" s="13" t="n"/>
      <c r="F19" s="13" t="n"/>
      <c r="G19" s="38" t="n"/>
      <c r="H19" s="22" t="n"/>
      <c r="I19" s="13" t="n"/>
      <c r="J19" s="13" t="n"/>
      <c r="K19" s="13" t="n"/>
    </row>
    <row r="20" ht="22" customHeight="1">
      <c r="B20" s="19">
        <f>IF(C20="","CR-"&amp;TEXT(COUNTA($C$5:C20),"000"))</f>
        <v/>
      </c>
      <c r="C20" s="16" t="n"/>
      <c r="D20" s="16" t="n"/>
      <c r="E20" s="16" t="n"/>
      <c r="F20" s="16" t="n"/>
      <c r="G20" s="39" t="n"/>
      <c r="H20" s="24" t="n"/>
      <c r="I20" s="16" t="n"/>
      <c r="J20" s="16" t="n"/>
      <c r="K20" s="16" t="n"/>
    </row>
    <row r="21" ht="22" customHeight="1">
      <c r="B21" s="20">
        <f>IF(C21="","CR-"&amp;TEXT(COUNTA($C$5:C21),"000"))</f>
        <v/>
      </c>
      <c r="C21" s="13" t="n"/>
      <c r="D21" s="13" t="n"/>
      <c r="E21" s="13" t="n"/>
      <c r="F21" s="13" t="n"/>
      <c r="G21" s="38" t="n"/>
      <c r="H21" s="22" t="n"/>
      <c r="I21" s="13" t="n"/>
      <c r="J21" s="13" t="n"/>
      <c r="K21" s="13" t="n"/>
    </row>
    <row r="22" ht="22" customHeight="1">
      <c r="B22" s="19">
        <f>IF(C22="","CR-"&amp;TEXT(COUNTA($C$5:C22),"000"))</f>
        <v/>
      </c>
      <c r="C22" s="16" t="n"/>
      <c r="D22" s="16" t="n"/>
      <c r="E22" s="16" t="n"/>
      <c r="F22" s="16" t="n"/>
      <c r="G22" s="39" t="n"/>
      <c r="H22" s="24" t="n"/>
      <c r="I22" s="16" t="n"/>
      <c r="J22" s="16" t="n"/>
      <c r="K22" s="16" t="n"/>
    </row>
    <row r="23" ht="22" customHeight="1">
      <c r="B23" s="20">
        <f>IF(C23="","CR-"&amp;TEXT(COUNTA($C$5:C23),"000"))</f>
        <v/>
      </c>
      <c r="C23" s="13" t="n"/>
      <c r="D23" s="13" t="n"/>
      <c r="E23" s="13" t="n"/>
      <c r="F23" s="13" t="n"/>
      <c r="G23" s="38" t="n"/>
      <c r="H23" s="22" t="n"/>
      <c r="I23" s="13" t="n"/>
      <c r="J23" s="13" t="n"/>
      <c r="K23" s="13" t="n"/>
    </row>
    <row r="24" ht="22" customHeight="1">
      <c r="B24" s="19">
        <f>IF(C24="","CR-"&amp;TEXT(COUNTA($C$5:C24),"000"))</f>
        <v/>
      </c>
      <c r="C24" s="16" t="n"/>
      <c r="D24" s="16" t="n"/>
      <c r="E24" s="16" t="n"/>
      <c r="F24" s="16" t="n"/>
      <c r="G24" s="39" t="n"/>
      <c r="H24" s="24" t="n"/>
      <c r="I24" s="16" t="n"/>
      <c r="J24" s="16" t="n"/>
      <c r="K24" s="16" t="n"/>
    </row>
    <row r="25" ht="22" customHeight="1">
      <c r="B25" s="20">
        <f>IF(C25="","CR-"&amp;TEXT(COUNTA($C$5:C25),"000"))</f>
        <v/>
      </c>
      <c r="C25" s="13" t="n"/>
      <c r="D25" s="13" t="n"/>
      <c r="E25" s="13" t="n"/>
      <c r="F25" s="13" t="n"/>
      <c r="G25" s="38" t="n"/>
      <c r="H25" s="22" t="n"/>
      <c r="I25" s="13" t="n"/>
      <c r="J25" s="13" t="n"/>
      <c r="K25" s="13" t="n"/>
    </row>
    <row r="26" ht="22" customHeight="1">
      <c r="B26" s="19">
        <f>IF(C26="","CR-"&amp;TEXT(COUNTA($C$5:C26),"000"))</f>
        <v/>
      </c>
      <c r="C26" s="16" t="n"/>
      <c r="D26" s="16" t="n"/>
      <c r="E26" s="16" t="n"/>
      <c r="F26" s="16" t="n"/>
      <c r="G26" s="39" t="n"/>
      <c r="H26" s="24" t="n"/>
      <c r="I26" s="16" t="n"/>
      <c r="J26" s="16" t="n"/>
      <c r="K26" s="16" t="n"/>
    </row>
    <row r="27" ht="22" customHeight="1">
      <c r="B27" s="20">
        <f>IF(C27="","CR-"&amp;TEXT(COUNTA($C$5:C27),"000"))</f>
        <v/>
      </c>
      <c r="C27" s="13" t="n"/>
      <c r="D27" s="13" t="n"/>
      <c r="E27" s="13" t="n"/>
      <c r="F27" s="13" t="n"/>
      <c r="G27" s="38" t="n"/>
      <c r="H27" s="22" t="n"/>
      <c r="I27" s="13" t="n"/>
      <c r="J27" s="13" t="n"/>
      <c r="K27" s="13" t="n"/>
    </row>
    <row r="28" ht="22" customHeight="1">
      <c r="B28" s="19">
        <f>IF(C28="","CR-"&amp;TEXT(COUNTA($C$5:C28),"000"))</f>
        <v/>
      </c>
      <c r="C28" s="16" t="n"/>
      <c r="D28" s="16" t="n"/>
      <c r="E28" s="16" t="n"/>
      <c r="F28" s="16" t="n"/>
      <c r="G28" s="39" t="n"/>
      <c r="H28" s="24" t="n"/>
      <c r="I28" s="16" t="n"/>
      <c r="J28" s="16" t="n"/>
      <c r="K28" s="16" t="n"/>
    </row>
    <row r="29" ht="22" customHeight="1">
      <c r="B29" s="20">
        <f>IF(C29="","CR-"&amp;TEXT(COUNTA($C$5:C29),"000"))</f>
        <v/>
      </c>
      <c r="C29" s="13" t="n"/>
      <c r="D29" s="13" t="n"/>
      <c r="E29" s="13" t="n"/>
      <c r="F29" s="13" t="n"/>
      <c r="G29" s="38" t="n"/>
      <c r="H29" s="22" t="n"/>
      <c r="I29" s="13" t="n"/>
      <c r="J29" s="13" t="n"/>
      <c r="K29" s="13" t="n"/>
    </row>
    <row r="30" ht="22" customHeight="1">
      <c r="B30" s="19">
        <f>IF(C30="","CR-"&amp;TEXT(COUNTA($C$5:C30),"000"))</f>
        <v/>
      </c>
      <c r="C30" s="16" t="n"/>
      <c r="D30" s="16" t="n"/>
      <c r="E30" s="16" t="n"/>
      <c r="F30" s="16" t="n"/>
      <c r="G30" s="39" t="n"/>
      <c r="H30" s="24" t="n"/>
      <c r="I30" s="16" t="n"/>
      <c r="J30" s="16" t="n"/>
      <c r="K30" s="16" t="n"/>
    </row>
    <row r="31" ht="22" customHeight="1">
      <c r="B31" s="20">
        <f>IF(C31="","CR-"&amp;TEXT(COUNTA($C$5:C31),"000"))</f>
        <v/>
      </c>
      <c r="C31" s="13" t="n"/>
      <c r="D31" s="13" t="n"/>
      <c r="E31" s="13" t="n"/>
      <c r="F31" s="13" t="n"/>
      <c r="G31" s="38" t="n"/>
      <c r="H31" s="22" t="n"/>
      <c r="I31" s="13" t="n"/>
      <c r="J31" s="13" t="n"/>
      <c r="K31" s="13" t="n"/>
    </row>
    <row r="32" ht="22" customHeight="1">
      <c r="B32" s="19">
        <f>IF(C32="","CR-"&amp;TEXT(COUNTA($C$5:C32),"000"))</f>
        <v/>
      </c>
      <c r="C32" s="16" t="n"/>
      <c r="D32" s="16" t="n"/>
      <c r="E32" s="16" t="n"/>
      <c r="F32" s="16" t="n"/>
      <c r="G32" s="39" t="n"/>
      <c r="H32" s="24" t="n"/>
      <c r="I32" s="16" t="n"/>
      <c r="J32" s="16" t="n"/>
      <c r="K32" s="16" t="n"/>
    </row>
    <row r="33" ht="22" customHeight="1">
      <c r="B33" s="20">
        <f>IF(C33="","CR-"&amp;TEXT(COUNTA($C$5:C33),"000"))</f>
        <v/>
      </c>
      <c r="C33" s="13" t="n"/>
      <c r="D33" s="13" t="n"/>
      <c r="E33" s="13" t="n"/>
      <c r="F33" s="13" t="n"/>
      <c r="G33" s="38" t="n"/>
      <c r="H33" s="22" t="n"/>
      <c r="I33" s="13" t="n"/>
      <c r="J33" s="13" t="n"/>
      <c r="K33" s="13" t="n"/>
    </row>
    <row r="34" ht="22" customHeight="1">
      <c r="B34" s="19">
        <f>IF(C34="","CR-"&amp;TEXT(COUNTA($C$5:C34),"000"))</f>
        <v/>
      </c>
      <c r="C34" s="16" t="n"/>
      <c r="D34" s="16" t="n"/>
      <c r="E34" s="16" t="n"/>
      <c r="F34" s="16" t="n"/>
      <c r="G34" s="39" t="n"/>
      <c r="H34" s="24" t="n"/>
      <c r="I34" s="16" t="n"/>
      <c r="J34" s="16" t="n"/>
      <c r="K34" s="16" t="n"/>
    </row>
    <row r="35" ht="22" customHeight="1">
      <c r="B35" s="20">
        <f>IF(C35="","CR-"&amp;TEXT(COUNTA($C$5:C35),"000"))</f>
        <v/>
      </c>
      <c r="C35" s="13" t="n"/>
      <c r="D35" s="13" t="n"/>
      <c r="E35" s="13" t="n"/>
      <c r="F35" s="13" t="n"/>
      <c r="G35" s="38" t="n"/>
      <c r="H35" s="22" t="n"/>
      <c r="I35" s="13" t="n"/>
      <c r="J35" s="13" t="n"/>
      <c r="K35" s="13" t="n"/>
    </row>
    <row r="36" ht="22" customHeight="1">
      <c r="B36" s="19">
        <f>IF(C36="","CR-"&amp;TEXT(COUNTA($C$5:C36),"000"))</f>
        <v/>
      </c>
      <c r="C36" s="16" t="n"/>
      <c r="D36" s="16" t="n"/>
      <c r="E36" s="16" t="n"/>
      <c r="F36" s="16" t="n"/>
      <c r="G36" s="39" t="n"/>
      <c r="H36" s="24" t="n"/>
      <c r="I36" s="16" t="n"/>
      <c r="J36" s="16" t="n"/>
      <c r="K36" s="16" t="n"/>
    </row>
    <row r="37" ht="22" customHeight="1">
      <c r="B37" s="20">
        <f>IF(C37="","CR-"&amp;TEXT(COUNTA($C$5:C37),"000"))</f>
        <v/>
      </c>
      <c r="C37" s="13" t="n"/>
      <c r="D37" s="13" t="n"/>
      <c r="E37" s="13" t="n"/>
      <c r="F37" s="13" t="n"/>
      <c r="G37" s="38" t="n"/>
      <c r="H37" s="22" t="n"/>
      <c r="I37" s="13" t="n"/>
      <c r="J37" s="13" t="n"/>
      <c r="K37" s="13" t="n"/>
    </row>
    <row r="38" ht="22" customHeight="1">
      <c r="B38" s="19">
        <f>IF(C38="","CR-"&amp;TEXT(COUNTA($C$5:C38),"000"))</f>
        <v/>
      </c>
      <c r="C38" s="16" t="n"/>
      <c r="D38" s="16" t="n"/>
      <c r="E38" s="16" t="n"/>
      <c r="F38" s="16" t="n"/>
      <c r="G38" s="39" t="n"/>
      <c r="H38" s="24" t="n"/>
      <c r="I38" s="16" t="n"/>
      <c r="J38" s="16" t="n"/>
      <c r="K38" s="16" t="n"/>
    </row>
    <row r="39" ht="22" customHeight="1">
      <c r="B39" s="20">
        <f>IF(C39="","CR-"&amp;TEXT(COUNTA($C$5:C39),"000"))</f>
        <v/>
      </c>
      <c r="C39" s="13" t="n"/>
      <c r="D39" s="13" t="n"/>
      <c r="E39" s="13" t="n"/>
      <c r="F39" s="13" t="n"/>
      <c r="G39" s="38" t="n"/>
      <c r="H39" s="22" t="n"/>
      <c r="I39" s="13" t="n"/>
      <c r="J39" s="13" t="n"/>
      <c r="K39" s="13" t="n"/>
    </row>
    <row r="40" ht="22" customHeight="1">
      <c r="B40" s="19">
        <f>IF(C40="","CR-"&amp;TEXT(COUNTA($C$5:C40),"000"))</f>
        <v/>
      </c>
      <c r="C40" s="16" t="n"/>
      <c r="D40" s="16" t="n"/>
      <c r="E40" s="16" t="n"/>
      <c r="F40" s="16" t="n"/>
      <c r="G40" s="39" t="n"/>
      <c r="H40" s="24" t="n"/>
      <c r="I40" s="16" t="n"/>
      <c r="J40" s="16" t="n"/>
      <c r="K40" s="16" t="n"/>
    </row>
    <row r="41" ht="22" customHeight="1">
      <c r="B41" s="20">
        <f>IF(C41="","CR-"&amp;TEXT(COUNTA($C$5:C41),"000"))</f>
        <v/>
      </c>
      <c r="C41" s="13" t="n"/>
      <c r="D41" s="13" t="n"/>
      <c r="E41" s="13" t="n"/>
      <c r="F41" s="13" t="n"/>
      <c r="G41" s="38" t="n"/>
      <c r="H41" s="22" t="n"/>
      <c r="I41" s="13" t="n"/>
      <c r="J41" s="13" t="n"/>
      <c r="K41" s="13" t="n"/>
    </row>
    <row r="42" ht="22" customHeight="1">
      <c r="B42" s="19">
        <f>IF(C42="","CR-"&amp;TEXT(COUNTA($C$5:C42),"000"))</f>
        <v/>
      </c>
      <c r="C42" s="16" t="n"/>
      <c r="D42" s="16" t="n"/>
      <c r="E42" s="16" t="n"/>
      <c r="F42" s="16" t="n"/>
      <c r="G42" s="39" t="n"/>
      <c r="H42" s="24" t="n"/>
      <c r="I42" s="16" t="n"/>
      <c r="J42" s="16" t="n"/>
      <c r="K42" s="16" t="n"/>
    </row>
    <row r="43" ht="22" customHeight="1">
      <c r="B43" s="20">
        <f>IF(C43="","CR-"&amp;TEXT(COUNTA($C$5:C43),"000"))</f>
        <v/>
      </c>
      <c r="C43" s="13" t="n"/>
      <c r="D43" s="13" t="n"/>
      <c r="E43" s="13" t="n"/>
      <c r="F43" s="13" t="n"/>
      <c r="G43" s="38" t="n"/>
      <c r="H43" s="22" t="n"/>
      <c r="I43" s="13" t="n"/>
      <c r="J43" s="13" t="n"/>
      <c r="K43" s="13" t="n"/>
    </row>
    <row r="44" ht="22" customHeight="1">
      <c r="B44" s="19">
        <f>IF(C44="","CR-"&amp;TEXT(COUNTA($C$5:C44),"000"))</f>
        <v/>
      </c>
      <c r="C44" s="16" t="n"/>
      <c r="D44" s="16" t="n"/>
      <c r="E44" s="16" t="n"/>
      <c r="F44" s="16" t="n"/>
      <c r="G44" s="39" t="n"/>
      <c r="H44" s="24" t="n"/>
      <c r="I44" s="16" t="n"/>
      <c r="J44" s="16" t="n"/>
      <c r="K44" s="16" t="n"/>
    </row>
    <row r="45" ht="22" customHeight="1">
      <c r="B45" s="20">
        <f>IF(C45="","CR-"&amp;TEXT(COUNTA($C$5:C45),"000"))</f>
        <v/>
      </c>
      <c r="C45" s="13" t="n"/>
      <c r="D45" s="13" t="n"/>
      <c r="E45" s="13" t="n"/>
      <c r="F45" s="13" t="n"/>
      <c r="G45" s="38" t="n"/>
      <c r="H45" s="22" t="n"/>
      <c r="I45" s="13" t="n"/>
      <c r="J45" s="13" t="n"/>
      <c r="K45" s="13" t="n"/>
    </row>
    <row r="46" ht="22" customHeight="1">
      <c r="B46" s="19">
        <f>IF(C46="","CR-"&amp;TEXT(COUNTA($C$5:C46),"000"))</f>
        <v/>
      </c>
      <c r="C46" s="16" t="n"/>
      <c r="D46" s="16" t="n"/>
      <c r="E46" s="16" t="n"/>
      <c r="F46" s="16" t="n"/>
      <c r="G46" s="39" t="n"/>
      <c r="H46" s="24" t="n"/>
      <c r="I46" s="16" t="n"/>
      <c r="J46" s="16" t="n"/>
      <c r="K46" s="16" t="n"/>
    </row>
    <row r="47" ht="22" customHeight="1">
      <c r="B47" s="20">
        <f>IF(C47="","CR-"&amp;TEXT(COUNTA($C$5:C47),"000"))</f>
        <v/>
      </c>
      <c r="C47" s="13" t="n"/>
      <c r="D47" s="13" t="n"/>
      <c r="E47" s="13" t="n"/>
      <c r="F47" s="13" t="n"/>
      <c r="G47" s="38" t="n"/>
      <c r="H47" s="22" t="n"/>
      <c r="I47" s="13" t="n"/>
      <c r="J47" s="13" t="n"/>
      <c r="K47" s="13" t="n"/>
    </row>
    <row r="48" ht="22" customHeight="1">
      <c r="B48" s="19">
        <f>IF(C48="","CR-"&amp;TEXT(COUNTA($C$5:C48),"000"))</f>
        <v/>
      </c>
      <c r="C48" s="16" t="n"/>
      <c r="D48" s="16" t="n"/>
      <c r="E48" s="16" t="n"/>
      <c r="F48" s="16" t="n"/>
      <c r="G48" s="39" t="n"/>
      <c r="H48" s="24" t="n"/>
      <c r="I48" s="16" t="n"/>
      <c r="J48" s="16" t="n"/>
      <c r="K48" s="16" t="n"/>
    </row>
    <row r="49" ht="22" customHeight="1">
      <c r="B49" s="20">
        <f>IF(C49="","CR-"&amp;TEXT(COUNTA($C$5:C49),"000"))</f>
        <v/>
      </c>
      <c r="C49" s="13" t="n"/>
      <c r="D49" s="13" t="n"/>
      <c r="E49" s="13" t="n"/>
      <c r="F49" s="13" t="n"/>
      <c r="G49" s="38" t="n"/>
      <c r="H49" s="22" t="n"/>
      <c r="I49" s="13" t="n"/>
      <c r="J49" s="13" t="n"/>
      <c r="K49" s="13" t="n"/>
    </row>
    <row r="50" ht="22" customHeight="1">
      <c r="B50" s="19">
        <f>IF(C50="","CR-"&amp;TEXT(COUNTA($C$5:C50),"000"))</f>
        <v/>
      </c>
      <c r="C50" s="16" t="n"/>
      <c r="D50" s="16" t="n"/>
      <c r="E50" s="16" t="n"/>
      <c r="F50" s="16" t="n"/>
      <c r="G50" s="39" t="n"/>
      <c r="H50" s="24" t="n"/>
      <c r="I50" s="16" t="n"/>
      <c r="J50" s="16" t="n"/>
      <c r="K50" s="16" t="n"/>
    </row>
    <row r="51" ht="22" customHeight="1">
      <c r="B51" s="20">
        <f>IF(C51="","CR-"&amp;TEXT(COUNTA($C$5:C51),"000"))</f>
        <v/>
      </c>
      <c r="C51" s="13" t="n"/>
      <c r="D51" s="13" t="n"/>
      <c r="E51" s="13" t="n"/>
      <c r="F51" s="13" t="n"/>
      <c r="G51" s="38" t="n"/>
      <c r="H51" s="22" t="n"/>
      <c r="I51" s="13" t="n"/>
      <c r="J51" s="13" t="n"/>
      <c r="K51" s="13" t="n"/>
    </row>
    <row r="52" ht="22" customHeight="1">
      <c r="B52" s="19">
        <f>IF(C52="","CR-"&amp;TEXT(COUNTA($C$5:C52),"000"))</f>
        <v/>
      </c>
      <c r="C52" s="16" t="n"/>
      <c r="D52" s="16" t="n"/>
      <c r="E52" s="16" t="n"/>
      <c r="F52" s="16" t="n"/>
      <c r="G52" s="39" t="n"/>
      <c r="H52" s="24" t="n"/>
      <c r="I52" s="16" t="n"/>
      <c r="J52" s="16" t="n"/>
      <c r="K52" s="16" t="n"/>
    </row>
    <row r="53" ht="22" customHeight="1">
      <c r="B53" s="20">
        <f>IF(C53="","CR-"&amp;TEXT(COUNTA($C$5:C53),"000"))</f>
        <v/>
      </c>
      <c r="C53" s="13" t="n"/>
      <c r="D53" s="13" t="n"/>
      <c r="E53" s="13" t="n"/>
      <c r="F53" s="13" t="n"/>
      <c r="G53" s="38" t="n"/>
      <c r="H53" s="22" t="n"/>
      <c r="I53" s="13" t="n"/>
      <c r="J53" s="13" t="n"/>
      <c r="K53" s="13" t="n"/>
    </row>
    <row r="54" ht="22" customHeight="1">
      <c r="B54" s="19">
        <f>IF(C54="","CR-"&amp;TEXT(COUNTA($C$5:C54),"000"))</f>
        <v/>
      </c>
      <c r="C54" s="16" t="n"/>
      <c r="D54" s="16" t="n"/>
      <c r="E54" s="16" t="n"/>
      <c r="F54" s="16" t="n"/>
      <c r="G54" s="39" t="n"/>
      <c r="H54" s="24" t="n"/>
      <c r="I54" s="16" t="n"/>
      <c r="J54" s="16" t="n"/>
      <c r="K54" s="16" t="n"/>
    </row>
    <row r="55" ht="22" customHeight="1">
      <c r="B55" s="20">
        <f>IF(C55="","CR-"&amp;TEXT(COUNTA($C$5:C55),"000"))</f>
        <v/>
      </c>
      <c r="C55" s="13" t="n"/>
      <c r="D55" s="13" t="n"/>
      <c r="E55" s="13" t="n"/>
      <c r="F55" s="13" t="n"/>
      <c r="G55" s="38" t="n"/>
      <c r="H55" s="22" t="n"/>
      <c r="I55" s="13" t="n"/>
      <c r="J55" s="13" t="n"/>
      <c r="K55" s="13" t="n"/>
    </row>
    <row r="56" ht="22" customHeight="1">
      <c r="B56" s="19">
        <f>IF(C56="","CR-"&amp;TEXT(COUNTA($C$5:C56),"000"))</f>
        <v/>
      </c>
      <c r="C56" s="16" t="n"/>
      <c r="D56" s="16" t="n"/>
      <c r="E56" s="16" t="n"/>
      <c r="F56" s="16" t="n"/>
      <c r="G56" s="39" t="n"/>
      <c r="H56" s="24" t="n"/>
      <c r="I56" s="16" t="n"/>
      <c r="J56" s="16" t="n"/>
      <c r="K56" s="16" t="n"/>
    </row>
    <row r="57" ht="22" customHeight="1">
      <c r="B57" s="20">
        <f>IF(C57="","CR-"&amp;TEXT(COUNTA($C$5:C57),"000"))</f>
        <v/>
      </c>
      <c r="C57" s="13" t="n"/>
      <c r="D57" s="13" t="n"/>
      <c r="E57" s="13" t="n"/>
      <c r="F57" s="13" t="n"/>
      <c r="G57" s="38" t="n"/>
      <c r="H57" s="22" t="n"/>
      <c r="I57" s="13" t="n"/>
      <c r="J57" s="13" t="n"/>
      <c r="K57" s="13" t="n"/>
    </row>
    <row r="58" ht="22" customHeight="1">
      <c r="B58" s="19">
        <f>IF(C58="","CR-"&amp;TEXT(COUNTA($C$5:C58),"000"))</f>
        <v/>
      </c>
      <c r="C58" s="16" t="n"/>
      <c r="D58" s="16" t="n"/>
      <c r="E58" s="16" t="n"/>
      <c r="F58" s="16" t="n"/>
      <c r="G58" s="39" t="n"/>
      <c r="H58" s="24" t="n"/>
      <c r="I58" s="16" t="n"/>
      <c r="J58" s="16" t="n"/>
      <c r="K58" s="16" t="n"/>
    </row>
    <row r="59" ht="22" customHeight="1">
      <c r="B59" s="20">
        <f>IF(C59="","CR-"&amp;TEXT(COUNTA($C$5:C59),"000"))</f>
        <v/>
      </c>
      <c r="C59" s="13" t="n"/>
      <c r="D59" s="13" t="n"/>
      <c r="E59" s="13" t="n"/>
      <c r="F59" s="13" t="n"/>
      <c r="G59" s="38" t="n"/>
      <c r="H59" s="22" t="n"/>
      <c r="I59" s="13" t="n"/>
      <c r="J59" s="13" t="n"/>
      <c r="K59" s="13" t="n"/>
    </row>
    <row r="60" ht="22" customHeight="1">
      <c r="B60" s="19">
        <f>IF(C60="","CR-"&amp;TEXT(COUNTA($C$5:C60),"000"))</f>
        <v/>
      </c>
      <c r="C60" s="16" t="n"/>
      <c r="D60" s="16" t="n"/>
      <c r="E60" s="16" t="n"/>
      <c r="F60" s="16" t="n"/>
      <c r="G60" s="39" t="n"/>
      <c r="H60" s="24" t="n"/>
      <c r="I60" s="16" t="n"/>
      <c r="J60" s="16" t="n"/>
      <c r="K60" s="16" t="n"/>
    </row>
    <row r="61" ht="22" customHeight="1">
      <c r="B61" s="20">
        <f>IF(C61="","CR-"&amp;TEXT(COUNTA($C$5:C61),"000"))</f>
        <v/>
      </c>
      <c r="C61" s="13" t="n"/>
      <c r="D61" s="13" t="n"/>
      <c r="E61" s="13" t="n"/>
      <c r="F61" s="13" t="n"/>
      <c r="G61" s="38" t="n"/>
      <c r="H61" s="22" t="n"/>
      <c r="I61" s="13" t="n"/>
      <c r="J61" s="13" t="n"/>
      <c r="K61" s="13" t="n"/>
    </row>
    <row r="62" ht="22" customHeight="1">
      <c r="B62" s="19">
        <f>IF(C62="","CR-"&amp;TEXT(COUNTA($C$5:C62),"000"))</f>
        <v/>
      </c>
      <c r="C62" s="16" t="n"/>
      <c r="D62" s="16" t="n"/>
      <c r="E62" s="16" t="n"/>
      <c r="F62" s="16" t="n"/>
      <c r="G62" s="39" t="n"/>
      <c r="H62" s="24" t="n"/>
      <c r="I62" s="16" t="n"/>
      <c r="J62" s="16" t="n"/>
      <c r="K62" s="16" t="n"/>
    </row>
    <row r="63" ht="22" customHeight="1">
      <c r="B63" s="20">
        <f>IF(C63="","CR-"&amp;TEXT(COUNTA($C$5:C63),"000"))</f>
        <v/>
      </c>
      <c r="C63" s="13" t="n"/>
      <c r="D63" s="13" t="n"/>
      <c r="E63" s="13" t="n"/>
      <c r="F63" s="13" t="n"/>
      <c r="G63" s="38" t="n"/>
      <c r="H63" s="22" t="n"/>
      <c r="I63" s="13" t="n"/>
      <c r="J63" s="13" t="n"/>
      <c r="K63" s="13" t="n"/>
    </row>
    <row r="64" ht="22" customHeight="1">
      <c r="B64" s="19">
        <f>IF(C64="","CR-"&amp;TEXT(COUNTA($C$5:C64),"000"))</f>
        <v/>
      </c>
      <c r="C64" s="16" t="n"/>
      <c r="D64" s="16" t="n"/>
      <c r="E64" s="16" t="n"/>
      <c r="F64" s="16" t="n"/>
      <c r="G64" s="39" t="n"/>
      <c r="H64" s="24" t="n"/>
      <c r="I64" s="16" t="n"/>
      <c r="J64" s="16" t="n"/>
      <c r="K64" s="16" t="n"/>
    </row>
    <row r="65" ht="22" customHeight="1">
      <c r="B65" s="20">
        <f>IF(C65="","CR-"&amp;TEXT(COUNTA($C$5:C65),"000"))</f>
        <v/>
      </c>
      <c r="C65" s="13" t="n"/>
      <c r="D65" s="13" t="n"/>
      <c r="E65" s="13" t="n"/>
      <c r="F65" s="13" t="n"/>
      <c r="G65" s="38" t="n"/>
      <c r="H65" s="22" t="n"/>
      <c r="I65" s="13" t="n"/>
      <c r="J65" s="13" t="n"/>
      <c r="K65" s="13" t="n"/>
    </row>
    <row r="66" ht="22" customHeight="1">
      <c r="B66" s="19">
        <f>IF(C66="","CR-"&amp;TEXT(COUNTA($C$5:C66),"000"))</f>
        <v/>
      </c>
      <c r="C66" s="16" t="n"/>
      <c r="D66" s="16" t="n"/>
      <c r="E66" s="16" t="n"/>
      <c r="F66" s="16" t="n"/>
      <c r="G66" s="39" t="n"/>
      <c r="H66" s="24" t="n"/>
      <c r="I66" s="16" t="n"/>
      <c r="J66" s="16" t="n"/>
      <c r="K66" s="16" t="n"/>
    </row>
    <row r="67" ht="22" customHeight="1">
      <c r="B67" s="20">
        <f>IF(C67="","CR-"&amp;TEXT(COUNTA($C$5:C67),"000"))</f>
        <v/>
      </c>
      <c r="C67" s="13" t="n"/>
      <c r="D67" s="13" t="n"/>
      <c r="E67" s="13" t="n"/>
      <c r="F67" s="13" t="n"/>
      <c r="G67" s="38" t="n"/>
      <c r="H67" s="22" t="n"/>
      <c r="I67" s="13" t="n"/>
      <c r="J67" s="13" t="n"/>
      <c r="K67" s="13" t="n"/>
    </row>
    <row r="68" ht="22" customHeight="1">
      <c r="B68" s="19">
        <f>IF(C68="","CR-"&amp;TEXT(COUNTA($C$5:C68),"000"))</f>
        <v/>
      </c>
      <c r="C68" s="16" t="n"/>
      <c r="D68" s="16" t="n"/>
      <c r="E68" s="16" t="n"/>
      <c r="F68" s="16" t="n"/>
      <c r="G68" s="39" t="n"/>
      <c r="H68" s="24" t="n"/>
      <c r="I68" s="16" t="n"/>
      <c r="J68" s="16" t="n"/>
      <c r="K68" s="16" t="n"/>
    </row>
    <row r="69" ht="22" customHeight="1">
      <c r="B69" s="20">
        <f>IF(C69="","CR-"&amp;TEXT(COUNTA($C$5:C69),"000"))</f>
        <v/>
      </c>
      <c r="C69" s="13" t="n"/>
      <c r="D69" s="13" t="n"/>
      <c r="E69" s="13" t="n"/>
      <c r="F69" s="13" t="n"/>
      <c r="G69" s="38" t="n"/>
      <c r="H69" s="22" t="n"/>
      <c r="I69" s="13" t="n"/>
      <c r="J69" s="13" t="n"/>
      <c r="K69" s="13" t="n"/>
    </row>
    <row r="70" ht="22" customHeight="1">
      <c r="B70" s="19">
        <f>IF(C70="","CR-"&amp;TEXT(COUNTA($C$5:C70),"000"))</f>
        <v/>
      </c>
      <c r="C70" s="16" t="n"/>
      <c r="D70" s="16" t="n"/>
      <c r="E70" s="16" t="n"/>
      <c r="F70" s="16" t="n"/>
      <c r="G70" s="39" t="n"/>
      <c r="H70" s="24" t="n"/>
      <c r="I70" s="16" t="n"/>
      <c r="J70" s="16" t="n"/>
      <c r="K70" s="16" t="n"/>
    </row>
    <row r="71" ht="22" customHeight="1">
      <c r="B71" s="20">
        <f>IF(C71="","CR-"&amp;TEXT(COUNTA($C$5:C71),"000"))</f>
        <v/>
      </c>
      <c r="C71" s="13" t="n"/>
      <c r="D71" s="13" t="n"/>
      <c r="E71" s="13" t="n"/>
      <c r="F71" s="13" t="n"/>
      <c r="G71" s="38" t="n"/>
      <c r="H71" s="22" t="n"/>
      <c r="I71" s="13" t="n"/>
      <c r="J71" s="13" t="n"/>
      <c r="K71" s="13" t="n"/>
    </row>
    <row r="72" ht="22" customHeight="1">
      <c r="B72" s="19">
        <f>IF(C72="","CR-"&amp;TEXT(COUNTA($C$5:C72),"000"))</f>
        <v/>
      </c>
      <c r="C72" s="16" t="n"/>
      <c r="D72" s="16" t="n"/>
      <c r="E72" s="16" t="n"/>
      <c r="F72" s="16" t="n"/>
      <c r="G72" s="39" t="n"/>
      <c r="H72" s="24" t="n"/>
      <c r="I72" s="16" t="n"/>
      <c r="J72" s="16" t="n"/>
      <c r="K72" s="16" t="n"/>
    </row>
    <row r="73" ht="22" customHeight="1">
      <c r="B73" s="20">
        <f>IF(C73="","CR-"&amp;TEXT(COUNTA($C$5:C73),"000"))</f>
        <v/>
      </c>
      <c r="C73" s="13" t="n"/>
      <c r="D73" s="13" t="n"/>
      <c r="E73" s="13" t="n"/>
      <c r="F73" s="13" t="n"/>
      <c r="G73" s="38" t="n"/>
      <c r="H73" s="22" t="n"/>
      <c r="I73" s="13" t="n"/>
      <c r="J73" s="13" t="n"/>
      <c r="K73" s="13" t="n"/>
    </row>
    <row r="74" ht="22" customHeight="1">
      <c r="B74" s="19">
        <f>IF(C74="","CR-"&amp;TEXT(COUNTA($C$5:C74),"000"))</f>
        <v/>
      </c>
      <c r="C74" s="16" t="n"/>
      <c r="D74" s="16" t="n"/>
      <c r="E74" s="16" t="n"/>
      <c r="F74" s="16" t="n"/>
      <c r="G74" s="39" t="n"/>
      <c r="H74" s="24" t="n"/>
      <c r="I74" s="16" t="n"/>
      <c r="J74" s="16" t="n"/>
      <c r="K74" s="16" t="n"/>
    </row>
    <row r="75" ht="22" customHeight="1">
      <c r="B75" s="20">
        <f>IF(C75="","CR-"&amp;TEXT(COUNTA($C$5:C75),"000"))</f>
        <v/>
      </c>
      <c r="C75" s="13" t="n"/>
      <c r="D75" s="13" t="n"/>
      <c r="E75" s="13" t="n"/>
      <c r="F75" s="13" t="n"/>
      <c r="G75" s="38" t="n"/>
      <c r="H75" s="22" t="n"/>
      <c r="I75" s="13" t="n"/>
      <c r="J75" s="13" t="n"/>
      <c r="K75" s="13" t="n"/>
    </row>
    <row r="76" ht="22" customHeight="1">
      <c r="B76" s="19">
        <f>IF(C76="","CR-"&amp;TEXT(COUNTA($C$5:C76),"000"))</f>
        <v/>
      </c>
      <c r="C76" s="16" t="n"/>
      <c r="D76" s="16" t="n"/>
      <c r="E76" s="16" t="n"/>
      <c r="F76" s="16" t="n"/>
      <c r="G76" s="39" t="n"/>
      <c r="H76" s="24" t="n"/>
      <c r="I76" s="16" t="n"/>
      <c r="J76" s="16" t="n"/>
      <c r="K76" s="16" t="n"/>
    </row>
    <row r="77" ht="22" customHeight="1">
      <c r="B77" s="20">
        <f>IF(C77="","CR-"&amp;TEXT(COUNTA($C$5:C77),"000"))</f>
        <v/>
      </c>
      <c r="C77" s="13" t="n"/>
      <c r="D77" s="13" t="n"/>
      <c r="E77" s="13" t="n"/>
      <c r="F77" s="13" t="n"/>
      <c r="G77" s="38" t="n"/>
      <c r="H77" s="22" t="n"/>
      <c r="I77" s="13" t="n"/>
      <c r="J77" s="13" t="n"/>
      <c r="K77" s="13" t="n"/>
    </row>
    <row r="78" ht="22" customHeight="1">
      <c r="B78" s="19">
        <f>IF(C78="","CR-"&amp;TEXT(COUNTA($C$5:C78),"000"))</f>
        <v/>
      </c>
      <c r="C78" s="16" t="n"/>
      <c r="D78" s="16" t="n"/>
      <c r="E78" s="16" t="n"/>
      <c r="F78" s="16" t="n"/>
      <c r="G78" s="39" t="n"/>
      <c r="H78" s="24" t="n"/>
      <c r="I78" s="16" t="n"/>
      <c r="J78" s="16" t="n"/>
      <c r="K78" s="16" t="n"/>
    </row>
    <row r="79" ht="22" customHeight="1">
      <c r="B79" s="20">
        <f>IF(C79="","CR-"&amp;TEXT(COUNTA($C$5:C79),"000"))</f>
        <v/>
      </c>
      <c r="C79" s="13" t="n"/>
      <c r="D79" s="13" t="n"/>
      <c r="E79" s="13" t="n"/>
      <c r="F79" s="13" t="n"/>
      <c r="G79" s="38" t="n"/>
      <c r="H79" s="22" t="n"/>
      <c r="I79" s="13" t="n"/>
      <c r="J79" s="13" t="n"/>
      <c r="K79" s="13" t="n"/>
    </row>
    <row r="80" ht="22" customHeight="1">
      <c r="B80" s="19">
        <f>IF(C80="","CR-"&amp;TEXT(COUNTA($C$5:C80),"000"))</f>
        <v/>
      </c>
      <c r="C80" s="16" t="n"/>
      <c r="D80" s="16" t="n"/>
      <c r="E80" s="16" t="n"/>
      <c r="F80" s="16" t="n"/>
      <c r="G80" s="39" t="n"/>
      <c r="H80" s="24" t="n"/>
      <c r="I80" s="16" t="n"/>
      <c r="J80" s="16" t="n"/>
      <c r="K80" s="16" t="n"/>
    </row>
    <row r="81" ht="22" customHeight="1">
      <c r="B81" s="20">
        <f>IF(C81="","CR-"&amp;TEXT(COUNTA($C$5:C81),"000"))</f>
        <v/>
      </c>
      <c r="C81" s="13" t="n"/>
      <c r="D81" s="13" t="n"/>
      <c r="E81" s="13" t="n"/>
      <c r="F81" s="13" t="n"/>
      <c r="G81" s="38" t="n"/>
      <c r="H81" s="22" t="n"/>
      <c r="I81" s="13" t="n"/>
      <c r="J81" s="13" t="n"/>
      <c r="K81" s="13" t="n"/>
    </row>
    <row r="82" ht="22" customHeight="1">
      <c r="B82" s="19">
        <f>IF(C82="","CR-"&amp;TEXT(COUNTA($C$5:C82),"000"))</f>
        <v/>
      </c>
      <c r="C82" s="16" t="n"/>
      <c r="D82" s="16" t="n"/>
      <c r="E82" s="16" t="n"/>
      <c r="F82" s="16" t="n"/>
      <c r="G82" s="39" t="n"/>
      <c r="H82" s="24" t="n"/>
      <c r="I82" s="16" t="n"/>
      <c r="J82" s="16" t="n"/>
      <c r="K82" s="16" t="n"/>
    </row>
    <row r="83" ht="22" customHeight="1">
      <c r="B83" s="20">
        <f>IF(C83="","CR-"&amp;TEXT(COUNTA($C$5:C83),"000"))</f>
        <v/>
      </c>
      <c r="C83" s="13" t="n"/>
      <c r="D83" s="13" t="n"/>
      <c r="E83" s="13" t="n"/>
      <c r="F83" s="13" t="n"/>
      <c r="G83" s="38" t="n"/>
      <c r="H83" s="22" t="n"/>
      <c r="I83" s="13" t="n"/>
      <c r="J83" s="13" t="n"/>
      <c r="K83" s="13" t="n"/>
    </row>
    <row r="84" ht="22" customHeight="1">
      <c r="B84" s="19">
        <f>IF(C84="","CR-"&amp;TEXT(COUNTA($C$5:C84),"000"))</f>
        <v/>
      </c>
      <c r="C84" s="16" t="n"/>
      <c r="D84" s="16" t="n"/>
      <c r="E84" s="16" t="n"/>
      <c r="F84" s="16" t="n"/>
      <c r="G84" s="39" t="n"/>
      <c r="H84" s="24" t="n"/>
      <c r="I84" s="16" t="n"/>
      <c r="J84" s="16" t="n"/>
      <c r="K84" s="16" t="n"/>
    </row>
    <row r="85" ht="22" customHeight="1">
      <c r="B85" s="20">
        <f>IF(C85="","CR-"&amp;TEXT(COUNTA($C$5:C85),"000"))</f>
        <v/>
      </c>
      <c r="C85" s="13" t="n"/>
      <c r="D85" s="13" t="n"/>
      <c r="E85" s="13" t="n"/>
      <c r="F85" s="13" t="n"/>
      <c r="G85" s="38" t="n"/>
      <c r="H85" s="22" t="n"/>
      <c r="I85" s="13" t="n"/>
      <c r="J85" s="13" t="n"/>
      <c r="K85" s="13" t="n"/>
    </row>
    <row r="86" ht="22" customHeight="1">
      <c r="B86" s="19">
        <f>IF(C86="","CR-"&amp;TEXT(COUNTA($C$5:C86),"000"))</f>
        <v/>
      </c>
      <c r="C86" s="16" t="n"/>
      <c r="D86" s="16" t="n"/>
      <c r="E86" s="16" t="n"/>
      <c r="F86" s="16" t="n"/>
      <c r="G86" s="39" t="n"/>
      <c r="H86" s="24" t="n"/>
      <c r="I86" s="16" t="n"/>
      <c r="J86" s="16" t="n"/>
      <c r="K86" s="16" t="n"/>
    </row>
    <row r="87" ht="22" customHeight="1">
      <c r="B87" s="20">
        <f>IF(C87="","CR-"&amp;TEXT(COUNTA($C$5:C87),"000"))</f>
        <v/>
      </c>
      <c r="C87" s="13" t="n"/>
      <c r="D87" s="13" t="n"/>
      <c r="E87" s="13" t="n"/>
      <c r="F87" s="13" t="n"/>
      <c r="G87" s="38" t="n"/>
      <c r="H87" s="22" t="n"/>
      <c r="I87" s="13" t="n"/>
      <c r="J87" s="13" t="n"/>
      <c r="K87" s="13" t="n"/>
    </row>
    <row r="88" ht="22" customHeight="1">
      <c r="B88" s="19">
        <f>IF(C88="","CR-"&amp;TEXT(COUNTA($C$5:C88),"000"))</f>
        <v/>
      </c>
      <c r="C88" s="16" t="n"/>
      <c r="D88" s="16" t="n"/>
      <c r="E88" s="16" t="n"/>
      <c r="F88" s="16" t="n"/>
      <c r="G88" s="39" t="n"/>
      <c r="H88" s="24" t="n"/>
      <c r="I88" s="16" t="n"/>
      <c r="J88" s="16" t="n"/>
      <c r="K88" s="16" t="n"/>
    </row>
    <row r="89" ht="22" customHeight="1">
      <c r="B89" s="20">
        <f>IF(C89="","CR-"&amp;TEXT(COUNTA($C$5:C89),"000"))</f>
        <v/>
      </c>
      <c r="C89" s="13" t="n"/>
      <c r="D89" s="13" t="n"/>
      <c r="E89" s="13" t="n"/>
      <c r="F89" s="13" t="n"/>
      <c r="G89" s="38" t="n"/>
      <c r="H89" s="22" t="n"/>
      <c r="I89" s="13" t="n"/>
      <c r="J89" s="13" t="n"/>
      <c r="K89" s="13" t="n"/>
    </row>
    <row r="90" ht="22" customHeight="1">
      <c r="B90" s="19">
        <f>IF(C90="","CR-"&amp;TEXT(COUNTA($C$5:C90),"000"))</f>
        <v/>
      </c>
      <c r="C90" s="16" t="n"/>
      <c r="D90" s="16" t="n"/>
      <c r="E90" s="16" t="n"/>
      <c r="F90" s="16" t="n"/>
      <c r="G90" s="39" t="n"/>
      <c r="H90" s="24" t="n"/>
      <c r="I90" s="16" t="n"/>
      <c r="J90" s="16" t="n"/>
      <c r="K90" s="16" t="n"/>
    </row>
    <row r="91" ht="22" customHeight="1">
      <c r="B91" s="20">
        <f>IF(C91="","CR-"&amp;TEXT(COUNTA($C$5:C91),"000"))</f>
        <v/>
      </c>
      <c r="C91" s="13" t="n"/>
      <c r="D91" s="13" t="n"/>
      <c r="E91" s="13" t="n"/>
      <c r="F91" s="13" t="n"/>
      <c r="G91" s="38" t="n"/>
      <c r="H91" s="22" t="n"/>
      <c r="I91" s="13" t="n"/>
      <c r="J91" s="13" t="n"/>
      <c r="K91" s="13" t="n"/>
    </row>
    <row r="92" ht="22" customHeight="1">
      <c r="B92" s="19">
        <f>IF(C92="","CR-"&amp;TEXT(COUNTA($C$5:C92),"000"))</f>
        <v/>
      </c>
      <c r="C92" s="16" t="n"/>
      <c r="D92" s="16" t="n"/>
      <c r="E92" s="16" t="n"/>
      <c r="F92" s="16" t="n"/>
      <c r="G92" s="39" t="n"/>
      <c r="H92" s="24" t="n"/>
      <c r="I92" s="16" t="n"/>
      <c r="J92" s="16" t="n"/>
      <c r="K92" s="16" t="n"/>
    </row>
    <row r="93" ht="22" customHeight="1">
      <c r="B93" s="20">
        <f>IF(C93="","CR-"&amp;TEXT(COUNTA($C$5:C93),"000"))</f>
        <v/>
      </c>
      <c r="C93" s="13" t="n"/>
      <c r="D93" s="13" t="n"/>
      <c r="E93" s="13" t="n"/>
      <c r="F93" s="13" t="n"/>
      <c r="G93" s="38" t="n"/>
      <c r="H93" s="22" t="n"/>
      <c r="I93" s="13" t="n"/>
      <c r="J93" s="13" t="n"/>
      <c r="K93" s="13" t="n"/>
    </row>
    <row r="94" ht="22" customHeight="1">
      <c r="B94" s="19">
        <f>IF(C94="","CR-"&amp;TEXT(COUNTA($C$5:C94),"000"))</f>
        <v/>
      </c>
      <c r="C94" s="16" t="n"/>
      <c r="D94" s="16" t="n"/>
      <c r="E94" s="16" t="n"/>
      <c r="F94" s="16" t="n"/>
      <c r="G94" s="39" t="n"/>
      <c r="H94" s="24" t="n"/>
      <c r="I94" s="16" t="n"/>
      <c r="J94" s="16" t="n"/>
      <c r="K94" s="16" t="n"/>
    </row>
    <row r="95" ht="22" customHeight="1">
      <c r="B95" s="20">
        <f>IF(C95="","CR-"&amp;TEXT(COUNTA($C$5:C95),"000"))</f>
        <v/>
      </c>
      <c r="C95" s="13" t="n"/>
      <c r="D95" s="13" t="n"/>
      <c r="E95" s="13" t="n"/>
      <c r="F95" s="13" t="n"/>
      <c r="G95" s="38" t="n"/>
      <c r="H95" s="22" t="n"/>
      <c r="I95" s="13" t="n"/>
      <c r="J95" s="13" t="n"/>
      <c r="K95" s="13" t="n"/>
    </row>
    <row r="96" ht="22" customHeight="1">
      <c r="B96" s="19">
        <f>IF(C96="","CR-"&amp;TEXT(COUNTA($C$5:C96),"000"))</f>
        <v/>
      </c>
      <c r="C96" s="16" t="n"/>
      <c r="D96" s="16" t="n"/>
      <c r="E96" s="16" t="n"/>
      <c r="F96" s="16" t="n"/>
      <c r="G96" s="39" t="n"/>
      <c r="H96" s="24" t="n"/>
      <c r="I96" s="16" t="n"/>
      <c r="J96" s="16" t="n"/>
      <c r="K96" s="16" t="n"/>
    </row>
    <row r="97" ht="22" customHeight="1">
      <c r="B97" s="20">
        <f>IF(C97="","CR-"&amp;TEXT(COUNTA($C$5:C97),"000"))</f>
        <v/>
      </c>
      <c r="C97" s="13" t="n"/>
      <c r="D97" s="13" t="n"/>
      <c r="E97" s="13" t="n"/>
      <c r="F97" s="13" t="n"/>
      <c r="G97" s="38" t="n"/>
      <c r="H97" s="22" t="n"/>
      <c r="I97" s="13" t="n"/>
      <c r="J97" s="13" t="n"/>
      <c r="K97" s="13" t="n"/>
    </row>
    <row r="98" ht="22" customHeight="1">
      <c r="B98" s="19">
        <f>IF(C98="","CR-"&amp;TEXT(COUNTA($C$5:C98),"000"))</f>
        <v/>
      </c>
      <c r="C98" s="16" t="n"/>
      <c r="D98" s="16" t="n"/>
      <c r="E98" s="16" t="n"/>
      <c r="F98" s="16" t="n"/>
      <c r="G98" s="39" t="n"/>
      <c r="H98" s="24" t="n"/>
      <c r="I98" s="16" t="n"/>
      <c r="J98" s="16" t="n"/>
      <c r="K98" s="16" t="n"/>
    </row>
    <row r="99" ht="22" customHeight="1">
      <c r="B99" s="20">
        <f>IF(C99="","CR-"&amp;TEXT(COUNTA($C$5:C99),"000"))</f>
        <v/>
      </c>
      <c r="C99" s="13" t="n"/>
      <c r="D99" s="13" t="n"/>
      <c r="E99" s="13" t="n"/>
      <c r="F99" s="13" t="n"/>
      <c r="G99" s="38" t="n"/>
      <c r="H99" s="22" t="n"/>
      <c r="I99" s="13" t="n"/>
      <c r="J99" s="13" t="n"/>
      <c r="K99" s="13" t="n"/>
    </row>
    <row r="100" ht="22" customHeight="1">
      <c r="B100" s="19">
        <f>IF(C100="","CR-"&amp;TEXT(COUNTA($C$5:C100),"000"))</f>
        <v/>
      </c>
      <c r="C100" s="16" t="n"/>
      <c r="D100" s="16" t="n"/>
      <c r="E100" s="16" t="n"/>
      <c r="F100" s="16" t="n"/>
      <c r="G100" s="39" t="n"/>
      <c r="H100" s="24" t="n"/>
      <c r="I100" s="16" t="n"/>
      <c r="J100" s="16" t="n"/>
      <c r="K100" s="16" t="n"/>
    </row>
    <row r="101" ht="22" customHeight="1">
      <c r="B101" s="20">
        <f>IF(C101="","CR-"&amp;TEXT(COUNTA($C$5:C101),"000"))</f>
        <v/>
      </c>
      <c r="C101" s="13" t="n"/>
      <c r="D101" s="13" t="n"/>
      <c r="E101" s="13" t="n"/>
      <c r="F101" s="13" t="n"/>
      <c r="G101" s="38" t="n"/>
      <c r="H101" s="22" t="n"/>
      <c r="I101" s="13" t="n"/>
      <c r="J101" s="13" t="n"/>
      <c r="K101" s="13" t="n"/>
    </row>
    <row r="102" ht="22" customHeight="1">
      <c r="B102" s="19">
        <f>IF(C102="","CR-"&amp;TEXT(COUNTA($C$5:C102),"000"))</f>
        <v/>
      </c>
      <c r="C102" s="16" t="n"/>
      <c r="D102" s="16" t="n"/>
      <c r="E102" s="16" t="n"/>
      <c r="F102" s="16" t="n"/>
      <c r="G102" s="39" t="n"/>
      <c r="H102" s="24" t="n"/>
      <c r="I102" s="16" t="n"/>
      <c r="J102" s="16" t="n"/>
      <c r="K102" s="16" t="n"/>
    </row>
    <row r="103" ht="22" customHeight="1">
      <c r="B103" s="20">
        <f>IF(C103="","CR-"&amp;TEXT(COUNTA($C$5:C103),"000"))</f>
        <v/>
      </c>
      <c r="C103" s="13" t="n"/>
      <c r="D103" s="13" t="n"/>
      <c r="E103" s="13" t="n"/>
      <c r="F103" s="13" t="n"/>
      <c r="G103" s="38" t="n"/>
      <c r="H103" s="22" t="n"/>
      <c r="I103" s="13" t="n"/>
      <c r="J103" s="13" t="n"/>
      <c r="K103" s="13" t="n"/>
    </row>
    <row r="104" ht="22" customHeight="1">
      <c r="B104" s="19">
        <f>IF(C104="","CR-"&amp;TEXT(COUNTA($C$5:C104),"000"))</f>
        <v/>
      </c>
      <c r="C104" s="16" t="n"/>
      <c r="D104" s="16" t="n"/>
      <c r="E104" s="16" t="n"/>
      <c r="F104" s="16" t="n"/>
      <c r="G104" s="39" t="n"/>
      <c r="H104" s="24" t="n"/>
      <c r="I104" s="16" t="n"/>
      <c r="J104" s="16" t="n"/>
      <c r="K104" s="16" t="n"/>
    </row>
    <row r="105" ht="22" customHeight="1">
      <c r="B105" s="20">
        <f>IF(C105="","CR-"&amp;TEXT(COUNTA($C$5:C105),"000"))</f>
        <v/>
      </c>
      <c r="C105" s="13" t="n"/>
      <c r="D105" s="13" t="n"/>
      <c r="E105" s="13" t="n"/>
      <c r="F105" s="13" t="n"/>
      <c r="G105" s="38" t="n"/>
      <c r="H105" s="22" t="n"/>
      <c r="I105" s="13" t="n"/>
      <c r="J105" s="13" t="n"/>
      <c r="K105" s="13" t="n"/>
    </row>
    <row r="106" ht="22" customHeight="1">
      <c r="B106" s="19">
        <f>IF(C106="","CR-"&amp;TEXT(COUNTA($C$5:C106),"000"))</f>
        <v/>
      </c>
      <c r="C106" s="16" t="n"/>
      <c r="D106" s="16" t="n"/>
      <c r="E106" s="16" t="n"/>
      <c r="F106" s="16" t="n"/>
      <c r="G106" s="39" t="n"/>
      <c r="H106" s="24" t="n"/>
      <c r="I106" s="16" t="n"/>
      <c r="J106" s="16" t="n"/>
      <c r="K106" s="16" t="n"/>
    </row>
    <row r="107" ht="22" customHeight="1">
      <c r="B107" s="20">
        <f>IF(C107="","CR-"&amp;TEXT(COUNTA($C$5:C107),"000"))</f>
        <v/>
      </c>
      <c r="C107" s="13" t="n"/>
      <c r="D107" s="13" t="n"/>
      <c r="E107" s="13" t="n"/>
      <c r="F107" s="13" t="n"/>
      <c r="G107" s="38" t="n"/>
      <c r="H107" s="22" t="n"/>
      <c r="I107" s="13" t="n"/>
      <c r="J107" s="13" t="n"/>
      <c r="K107" s="13" t="n"/>
    </row>
    <row r="108" ht="22" customHeight="1">
      <c r="B108" s="19">
        <f>IF(C108="","CR-"&amp;TEXT(COUNTA($C$5:C108),"000"))</f>
        <v/>
      </c>
      <c r="C108" s="16" t="n"/>
      <c r="D108" s="16" t="n"/>
      <c r="E108" s="16" t="n"/>
      <c r="F108" s="16" t="n"/>
      <c r="G108" s="39" t="n"/>
      <c r="H108" s="24" t="n"/>
      <c r="I108" s="16" t="n"/>
      <c r="J108" s="16" t="n"/>
      <c r="K108" s="16" t="n"/>
    </row>
    <row r="109" ht="22" customHeight="1">
      <c r="B109" s="20">
        <f>IF(C109="","CR-"&amp;TEXT(COUNTA($C$5:C109),"000"))</f>
        <v/>
      </c>
      <c r="C109" s="13" t="n"/>
      <c r="D109" s="13" t="n"/>
      <c r="E109" s="13" t="n"/>
      <c r="F109" s="13" t="n"/>
      <c r="G109" s="38" t="n"/>
      <c r="H109" s="22" t="n"/>
      <c r="I109" s="13" t="n"/>
      <c r="J109" s="13" t="n"/>
      <c r="K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Rapports planifies</t>
        </is>
      </c>
      <c r="D112" s="3" t="inlineStr">
        <is>
          <t>Mensuels</t>
        </is>
      </c>
      <c r="F112" s="3" t="inlineStr">
        <is>
          <t>En cours</t>
        </is>
      </c>
    </row>
    <row r="113">
      <c r="B113" s="4">
        <f>COUNTIF(B5:B104,"&lt;&gt;")</f>
        <v/>
      </c>
      <c r="D113" s="4">
        <f>COUNTIF(F5:F104,"Mensuel")</f>
        <v/>
      </c>
      <c r="F113" s="4">
        <f>COUNTIF(J5:J104,"En cours")</f>
        <v/>
      </c>
    </row>
  </sheetData>
  <mergeCells count="3">
    <mergeCell ref="B111:K111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10:B109">
    <cfRule type="expression" priority="274" dxfId="3">
      <formula>AND($C10="",$C9&lt;&gt;"")</formula>
    </cfRule>
  </conditionalFormatting>
  <conditionalFormatting sqref="C10:C109">
    <cfRule type="expression" priority="275" dxfId="3">
      <formula>AND($C10="",$C9&lt;&gt;"")</formula>
    </cfRule>
  </conditionalFormatting>
  <conditionalFormatting sqref="D10:D109">
    <cfRule type="expression" priority="276" dxfId="3">
      <formula>AND($C10="",$C9&lt;&gt;"")</formula>
    </cfRule>
  </conditionalFormatting>
  <conditionalFormatting sqref="E10:E109">
    <cfRule type="expression" priority="277" dxfId="3">
      <formula>AND($C10="",$C9&lt;&gt;"")</formula>
    </cfRule>
  </conditionalFormatting>
  <conditionalFormatting sqref="F10:F109">
    <cfRule type="expression" priority="278" dxfId="3">
      <formula>AND($C10="",$C9&lt;&gt;"")</formula>
    </cfRule>
  </conditionalFormatting>
  <conditionalFormatting sqref="G10:G109">
    <cfRule type="expression" priority="279" dxfId="3">
      <formula>AND($C10="",$C9&lt;&gt;"")</formula>
    </cfRule>
  </conditionalFormatting>
  <conditionalFormatting sqref="H10:H109">
    <cfRule type="expression" priority="280" dxfId="3">
      <formula>AND($C10="",$C9&lt;&gt;"")</formula>
    </cfRule>
  </conditionalFormatting>
  <conditionalFormatting sqref="I10:I109">
    <cfRule type="expression" priority="281" dxfId="3">
      <formula>AND($C10="",$C9&lt;&gt;"")</formula>
    </cfRule>
  </conditionalFormatting>
  <conditionalFormatting sqref="J10:J109">
    <cfRule type="expression" priority="282" dxfId="3">
      <formula>AND($C10="",$C9&lt;&gt;"")</formula>
    </cfRule>
  </conditionalFormatting>
  <conditionalFormatting sqref="K10:K109">
    <cfRule type="expression" priority="283" dxfId="3">
      <formula>AND($C10="",$C9&lt;&gt;"")</formula>
    </cfRule>
  </conditionalFormatting>
  <dataValidations count="5">
    <dataValidation sqref="D5:D109" showDropDown="0" showInputMessage="0" showErrorMessage="0" allowBlank="1" errorTitle="Erreur" error="Valeur invalide" promptTitle="Liste" prompt="Choisir dans la liste" type="list">
      <formula1>'_Lists'!$I$2:$I$11</formula1>
    </dataValidation>
    <dataValidation sqref="E5:E109" showDropDown="0" showInputMessage="0" showErrorMessage="0" allowBlank="1" errorTitle="Erreur" error="Valeur invalide" promptTitle="Liste" prompt="Choisir dans la liste" type="list">
      <formula1>'_Lists'!$J$2:$J$11</formula1>
    </dataValidation>
    <dataValidation sqref="F5:F109" showDropDown="0" showInputMessage="0" showErrorMessage="0" allowBlank="1" errorTitle="Erreur" error="Valeur invalide" promptTitle="Liste" prompt="Choisir dans la liste" type="list">
      <formula1>'_Lists'!$D$2:$D$7</formula1>
    </dataValidation>
    <dataValidation sqref="I5:I109" showDropDown="0" showInputMessage="0" showErrorMessage="0" allowBlank="1" errorTitle="Erreur" error="Valeur invalide" promptTitle="Liste" prompt="Choisir dans la liste" type="list">
      <formula1>'_Lists'!$C$2:$C$28</formula1>
    </dataValidation>
    <dataValidation sqref="J5:J109" showDropDown="0" showInputMessage="0" showErrorMessage="0" allowBlank="1" errorTitle="Erreur" error="Valeur invalide" promptTitle="Liste" prompt="Choisir dans la liste" type="list">
      <formula1>'_Lists'!$M$2:$M$6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2" customWidth="1" min="4" max="4"/>
    <col width="14" customWidth="1" min="5" max="5"/>
    <col width="16" customWidth="1" min="6" max="6"/>
    <col width="22" customWidth="1" min="7" max="7"/>
    <col width="16" customWidth="1" min="8" max="8"/>
    <col width="18" customWidth="1" min="9" max="9"/>
    <col width="38" customWidth="1" min="10" max="10"/>
    <col width="14" customWidth="1" min="11" max="11"/>
    <col width="36" customWidth="1" min="12" max="12"/>
  </cols>
  <sheetData>
    <row r="1" ht="15" customHeight="1"/>
    <row r="2" ht="32" customHeight="1">
      <c r="B2" s="1" t="inlineStr">
        <is>
          <t>MATRICE INDICATEURS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Indicateur</t>
        </is>
      </c>
      <c r="D4" s="12" t="inlineStr">
        <is>
          <t>Processus RH</t>
        </is>
      </c>
      <c r="E4" s="12" t="inlineStr">
        <is>
          <t>Categorie</t>
        </is>
      </c>
      <c r="F4" s="12" t="inlineStr">
        <is>
          <t>Frequence</t>
        </is>
      </c>
      <c r="G4" s="12" t="inlineStr">
        <is>
          <t>Source Donnees</t>
        </is>
      </c>
      <c r="H4" s="12" t="inlineStr">
        <is>
          <t>Seuil Alerte</t>
        </is>
      </c>
      <c r="I4" s="12" t="inlineStr">
        <is>
          <t>Proprietaire</t>
        </is>
      </c>
      <c r="J4" s="12" t="inlineStr">
        <is>
          <t>Utilise Dans</t>
        </is>
      </c>
      <c r="K4" s="12" t="inlineStr">
        <is>
          <t>Priorite</t>
        </is>
      </c>
      <c r="L4" s="12" t="inlineStr">
        <is>
          <t>Observations</t>
        </is>
      </c>
    </row>
    <row r="5" ht="22" customHeight="1">
      <c r="B5" s="13" t="inlineStr">
        <is>
          <t>MI-001</t>
        </is>
      </c>
      <c r="C5" s="13" t="inlineStr">
        <is>
          <t>Taux rotation global</t>
        </is>
      </c>
      <c r="D5" s="13" t="inlineStr">
        <is>
          <t>Gestion effectif</t>
        </is>
      </c>
      <c r="E5" s="13" t="inlineStr">
        <is>
          <t>Ratio</t>
        </is>
      </c>
      <c r="F5" s="13" t="inlineStr">
        <is>
          <t>Mensuel</t>
        </is>
      </c>
      <c r="G5" s="13" t="inlineStr">
        <is>
          <t>SIRH</t>
        </is>
      </c>
      <c r="H5" s="13" t="inlineStr">
        <is>
          <t>&gt;15%</t>
        </is>
      </c>
      <c r="I5" s="13" t="inlineStr">
        <is>
          <t>DRH</t>
        </is>
      </c>
      <c r="J5" s="13" t="inlineStr">
        <is>
          <t>TdB Global, Reporting DG, Bilan social</t>
        </is>
      </c>
      <c r="K5" s="13" t="inlineStr">
        <is>
          <t>Haute</t>
        </is>
      </c>
      <c r="L5" s="13" t="inlineStr">
        <is>
          <t>Indicateur phare du service RH</t>
        </is>
      </c>
    </row>
    <row r="6" ht="22" customHeight="1">
      <c r="B6" s="16" t="inlineStr">
        <is>
          <t>MI-002</t>
        </is>
      </c>
      <c r="C6" s="16" t="inlineStr">
        <is>
          <t>Delai moyen embauche</t>
        </is>
      </c>
      <c r="D6" s="16" t="inlineStr">
        <is>
          <t>Recrutement</t>
        </is>
      </c>
      <c r="E6" s="16" t="inlineStr">
        <is>
          <t>Temps</t>
        </is>
      </c>
      <c r="F6" s="16" t="inlineStr">
        <is>
          <t>Mensuel</t>
        </is>
      </c>
      <c r="G6" s="16" t="inlineStr">
        <is>
          <t>ATS + SIRH</t>
        </is>
      </c>
      <c r="H6" s="16" t="inlineStr">
        <is>
          <t>&gt;30j</t>
        </is>
      </c>
      <c r="I6" s="16" t="inlineStr">
        <is>
          <t>Assistante RH</t>
        </is>
      </c>
      <c r="J6" s="16" t="inlineStr">
        <is>
          <t>TdB Global, Reporting DG, Benchmark</t>
        </is>
      </c>
      <c r="K6" s="16" t="inlineStr">
        <is>
          <t>Haute</t>
        </is>
      </c>
      <c r="L6" s="16" t="inlineStr">
        <is>
          <t>Suivi hebdomadaire interne</t>
        </is>
      </c>
    </row>
    <row r="7" ht="22" customHeight="1">
      <c r="B7" s="13" t="inlineStr">
        <is>
          <t>MI-003</t>
        </is>
      </c>
      <c r="C7" s="13" t="inlineStr">
        <is>
          <t>Cout moyen recrutement</t>
        </is>
      </c>
      <c r="D7" s="13" t="inlineStr">
        <is>
          <t>Recrutement</t>
        </is>
      </c>
      <c r="E7" s="13" t="inlineStr">
        <is>
          <t>Financier</t>
        </is>
      </c>
      <c r="F7" s="13" t="inlineStr">
        <is>
          <t>Trimestriel</t>
        </is>
      </c>
      <c r="G7" s="13" t="inlineStr">
        <is>
          <t>Comptabilite + SIRH</t>
        </is>
      </c>
      <c r="H7" s="13" t="inlineStr">
        <is>
          <t>&gt;200k FCFA</t>
        </is>
      </c>
      <c r="I7" s="13" t="inlineStr">
        <is>
          <t>DRH</t>
        </is>
      </c>
      <c r="J7" s="13" t="inlineStr">
        <is>
          <t>Reporting DG, Budget RH, Benchmark</t>
        </is>
      </c>
      <c r="K7" s="13" t="inlineStr">
        <is>
          <t>Moyenne</t>
        </is>
      </c>
      <c r="L7" s="13" t="inlineStr">
        <is>
          <t>Inclure cout indirect</t>
        </is>
      </c>
    </row>
    <row r="8" ht="22" customHeight="1">
      <c r="B8" s="16" t="inlineStr">
        <is>
          <t>MI-004</t>
        </is>
      </c>
      <c r="C8" s="16" t="inlineStr">
        <is>
          <t>H formation / employe</t>
        </is>
      </c>
      <c r="D8" s="16" t="inlineStr">
        <is>
          <t>Formation</t>
        </is>
      </c>
      <c r="E8" s="16" t="inlineStr">
        <is>
          <t>Ratio</t>
        </is>
      </c>
      <c r="F8" s="16" t="inlineStr">
        <is>
          <t>Trimestriel</t>
        </is>
      </c>
      <c r="G8" s="16" t="inlineStr">
        <is>
          <t>SIRH + LMS</t>
        </is>
      </c>
      <c r="H8" s="16" t="inlineStr">
        <is>
          <t>&lt;15h</t>
        </is>
      </c>
      <c r="I8" s="16" t="inlineStr">
        <is>
          <t>DRH</t>
        </is>
      </c>
      <c r="J8" s="16" t="inlineStr">
        <is>
          <t>TdB Global, Bilan social, Feuille route</t>
        </is>
      </c>
      <c r="K8" s="16" t="inlineStr">
        <is>
          <t>Haute</t>
        </is>
      </c>
      <c r="L8" s="16" t="inlineStr">
        <is>
          <t>Objectif 20h en 2025</t>
        </is>
      </c>
    </row>
    <row r="9" ht="22" customHeight="1">
      <c r="B9" s="13" t="inlineStr">
        <is>
          <t>MI-005</t>
        </is>
      </c>
      <c r="C9" s="13" t="inlineStr">
        <is>
          <t>Score satisfaction</t>
        </is>
      </c>
      <c r="D9" s="13" t="inlineStr">
        <is>
          <t>Climat social</t>
        </is>
      </c>
      <c r="E9" s="13" t="inlineStr">
        <is>
          <t>Score</t>
        </is>
      </c>
      <c r="F9" s="13" t="inlineStr">
        <is>
          <t>Semestriel</t>
        </is>
      </c>
      <c r="G9" s="13" t="inlineStr">
        <is>
          <t>Enquetes internes</t>
        </is>
      </c>
      <c r="H9" s="13" t="inlineStr">
        <is>
          <t>&lt;3.5</t>
        </is>
      </c>
      <c r="I9" s="13" t="inlineStr">
        <is>
          <t>DRH</t>
        </is>
      </c>
      <c r="J9" s="13" t="inlineStr">
        <is>
          <t>TdB Global, Reporting DG, Benchmark</t>
        </is>
      </c>
      <c r="K9" s="13" t="inlineStr">
        <is>
          <t>Haute</t>
        </is>
      </c>
      <c r="L9" s="13" t="inlineStr">
        <is>
          <t>Enquete Q1: 3.8/5</t>
        </is>
      </c>
    </row>
    <row r="10" ht="22" customHeight="1">
      <c r="B10" s="16" t="inlineStr">
        <is>
          <t>MI-006</t>
        </is>
      </c>
      <c r="C10" s="16" t="inlineStr">
        <is>
          <t>Taux absentéisme</t>
        </is>
      </c>
      <c r="D10" s="16" t="inlineStr">
        <is>
          <t>Presence</t>
        </is>
      </c>
      <c r="E10" s="16" t="inlineStr">
        <is>
          <t>Ratio</t>
        </is>
      </c>
      <c r="F10" s="16" t="inlineStr">
        <is>
          <t>Mensuel</t>
        </is>
      </c>
      <c r="G10" s="16" t="inlineStr">
        <is>
          <t>SIRH + Paie</t>
        </is>
      </c>
      <c r="H10" s="16" t="inlineStr">
        <is>
          <t>&gt;5%</t>
        </is>
      </c>
      <c r="I10" s="16" t="inlineStr">
        <is>
          <t>DRH</t>
        </is>
      </c>
      <c r="J10" s="16" t="inlineStr">
        <is>
          <t>TdB Global, Bilan social, Reporting DG</t>
        </is>
      </c>
      <c r="K10" s="16" t="inlineStr">
        <is>
          <t>Haute</t>
        </is>
      </c>
      <c r="L10" s="16" t="inlineStr">
        <is>
          <t>Pic fevrier lie a grippe</t>
        </is>
      </c>
    </row>
    <row r="11" ht="22" customHeight="1">
      <c r="B11" s="20">
        <f>IF(C11="","MI-"&amp;TEXT(COUNTA($C$5:C11),"000"))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 ht="22" customHeight="1">
      <c r="B12" s="19">
        <f>IF(C12="","MI-"&amp;TEXT(COUNTA($C$5:C12),"000"))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 ht="22" customHeight="1">
      <c r="B13" s="20">
        <f>IF(C13="","MI-"&amp;TEXT(COUNTA($C$5:C13),"000"))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 ht="22" customHeight="1">
      <c r="B14" s="19">
        <f>IF(C14="","MI-"&amp;TEXT(COUNTA($C$5:C14),"000"))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 ht="22" customHeight="1">
      <c r="B15" s="20">
        <f>IF(C15="","MI-"&amp;TEXT(COUNTA($C$5:C15),"000"))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 ht="22" customHeight="1">
      <c r="B16" s="19">
        <f>IF(C16="","MI-"&amp;TEXT(COUNTA($C$5:C16),"000"))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 ht="22" customHeight="1">
      <c r="B17" s="20">
        <f>IF(C17="","MI-"&amp;TEXT(COUNTA($C$5:C17),"000"))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 ht="22" customHeight="1">
      <c r="B18" s="19">
        <f>IF(C18="","MI-"&amp;TEXT(COUNTA($C$5:C18),"000"))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 ht="22" customHeight="1">
      <c r="B19" s="20">
        <f>IF(C19="","MI-"&amp;TEXT(COUNTA($C$5:C19),"000"))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 ht="22" customHeight="1">
      <c r="B20" s="19">
        <f>IF(C20="","MI-"&amp;TEXT(COUNTA($C$5:C20),"000"))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 ht="22" customHeight="1">
      <c r="B21" s="20">
        <f>IF(C21="","MI-"&amp;TEXT(COUNTA($C$5:C21),"000"))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 ht="22" customHeight="1">
      <c r="B22" s="19">
        <f>IF(C22="","MI-"&amp;TEXT(COUNTA($C$5:C22),"000"))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 ht="22" customHeight="1">
      <c r="B23" s="20">
        <f>IF(C23="","MI-"&amp;TEXT(COUNTA($C$5:C23),"000"))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22" customHeight="1">
      <c r="B24" s="19">
        <f>IF(C24="","MI-"&amp;TEXT(COUNTA($C$5:C24),"000"))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 ht="22" customHeight="1">
      <c r="B25" s="20">
        <f>IF(C25="","MI-"&amp;TEXT(COUNTA($C$5:C25),"000"))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ht="22" customHeight="1">
      <c r="B26" s="19">
        <f>IF(C26="","MI-"&amp;TEXT(COUNTA($C$5:C26),"000"))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 ht="22" customHeight="1">
      <c r="B27" s="20">
        <f>IF(C27="","MI-"&amp;TEXT(COUNTA($C$5:C27),"000"))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B28" s="19">
        <f>IF(C28="","MI-"&amp;TEXT(COUNTA($C$5:C28),"000"))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 ht="22" customHeight="1">
      <c r="B29" s="20">
        <f>IF(C29="","MI-"&amp;TEXT(COUNTA($C$5:C29),"000"))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22" customHeight="1">
      <c r="B30" s="19">
        <f>IF(C30="","MI-"&amp;TEXT(COUNTA($C$5:C30),"000"))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 ht="22" customHeight="1">
      <c r="B31" s="20">
        <f>IF(C31="","MI-"&amp;TEXT(COUNTA($C$5:C31),"000"))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 ht="22" customHeight="1">
      <c r="B32" s="19">
        <f>IF(C32="","MI-"&amp;TEXT(COUNTA($C$5:C32),"000"))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 ht="22" customHeight="1">
      <c r="B33" s="20">
        <f>IF(C33="","MI-"&amp;TEXT(COUNTA($C$5:C33),"000"))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 ht="22" customHeight="1">
      <c r="B34" s="19">
        <f>IF(C34="","MI-"&amp;TEXT(COUNTA($C$5:C34),"000"))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 ht="22" customHeight="1">
      <c r="B35" s="20">
        <f>IF(C35="","MI-"&amp;TEXT(COUNTA($C$5:C35),"000"))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 ht="22" customHeight="1">
      <c r="B36" s="19">
        <f>IF(C36="","MI-"&amp;TEXT(COUNTA($C$5:C36),"000"))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 ht="22" customHeight="1">
      <c r="B37" s="20">
        <f>IF(C37="","MI-"&amp;TEXT(COUNTA($C$5:C37),"000"))</f>
        <v/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 ht="22" customHeight="1">
      <c r="B38" s="19">
        <f>IF(C38="","MI-"&amp;TEXT(COUNTA($C$5:C38),"000"))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 ht="22" customHeight="1">
      <c r="B39" s="20">
        <f>IF(C39="","MI-"&amp;TEXT(COUNTA($C$5:C39),"000"))</f>
        <v/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 ht="22" customHeight="1">
      <c r="B40" s="19">
        <f>IF(C40="","MI-"&amp;TEXT(COUNTA($C$5:C40),"000"))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 ht="22" customHeight="1">
      <c r="B41" s="20">
        <f>IF(C41="","MI-"&amp;TEXT(COUNTA($C$5:C41),"000"))</f>
        <v/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</row>
    <row r="42" ht="22" customHeight="1">
      <c r="B42" s="19">
        <f>IF(C42="","MI-"&amp;TEXT(COUNTA($C$5:C42),"000"))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 ht="22" customHeight="1">
      <c r="B43" s="20">
        <f>IF(C43="","MI-"&amp;TEXT(COUNTA($C$5:C43),"000"))</f>
        <v/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 ht="22" customHeight="1">
      <c r="B44" s="19">
        <f>IF(C44="","MI-"&amp;TEXT(COUNTA($C$5:C44),"000"))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  <row r="45" ht="22" customHeight="1">
      <c r="B45" s="20">
        <f>IF(C45="","MI-"&amp;TEXT(COUNTA($C$5:C45),"000"))</f>
        <v/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</row>
    <row r="46" ht="22" customHeight="1">
      <c r="B46" s="19">
        <f>IF(C46="","MI-"&amp;TEXT(COUNTA($C$5:C46),"000"))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</row>
    <row r="47" ht="22" customHeight="1">
      <c r="B47" s="20">
        <f>IF(C47="","MI-"&amp;TEXT(COUNTA($C$5:C47),"000"))</f>
        <v/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</row>
    <row r="48" ht="22" customHeight="1">
      <c r="B48" s="19">
        <f>IF(C48="","MI-"&amp;TEXT(COUNTA($C$5:C48),"000"))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</row>
    <row r="49" ht="22" customHeight="1">
      <c r="B49" s="20">
        <f>IF(C49="","MI-"&amp;TEXT(COUNTA($C$5:C49),"000"))</f>
        <v/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</row>
    <row r="50" ht="22" customHeight="1">
      <c r="B50" s="19">
        <f>IF(C50="","MI-"&amp;TEXT(COUNTA($C$5:C50),"000"))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</row>
    <row r="51" ht="22" customHeight="1">
      <c r="B51" s="20">
        <f>IF(C51="","MI-"&amp;TEXT(COUNTA($C$5:C51),"000"))</f>
        <v/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</row>
    <row r="52" ht="22" customHeight="1">
      <c r="B52" s="19">
        <f>IF(C52="","MI-"&amp;TEXT(COUNTA($C$5:C52),"000"))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</row>
    <row r="53" ht="22" customHeight="1">
      <c r="B53" s="20">
        <f>IF(C53="","MI-"&amp;TEXT(COUNTA($C$5:C53),"000"))</f>
        <v/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</row>
    <row r="54" ht="22" customHeight="1">
      <c r="B54" s="19">
        <f>IF(C54="","MI-"&amp;TEXT(COUNTA($C$5:C54),"000"))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</row>
    <row r="55" ht="22" customHeight="1">
      <c r="B55" s="20">
        <f>IF(C55="","MI-"&amp;TEXT(COUNTA($C$5:C55),"000"))</f>
        <v/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</row>
    <row r="56" ht="22" customHeight="1">
      <c r="B56" s="19">
        <f>IF(C56="","MI-"&amp;TEXT(COUNTA($C$5:C56),"000"))</f>
        <v/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</row>
    <row r="57" ht="22" customHeight="1">
      <c r="B57" s="20">
        <f>IF(C57="","MI-"&amp;TEXT(COUNTA($C$5:C57),"000"))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</row>
    <row r="58" ht="22" customHeight="1">
      <c r="B58" s="19">
        <f>IF(C58="","MI-"&amp;TEXT(COUNTA($C$5:C58),"000"))</f>
        <v/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</row>
    <row r="59" ht="22" customHeight="1">
      <c r="B59" s="20">
        <f>IF(C59="","MI-"&amp;TEXT(COUNTA($C$5:C59),"000"))</f>
        <v/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</row>
    <row r="60" ht="22" customHeight="1">
      <c r="B60" s="19">
        <f>IF(C60="","MI-"&amp;TEXT(COUNTA($C$5:C60),"000"))</f>
        <v/>
      </c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</row>
    <row r="61" ht="22" customHeight="1">
      <c r="B61" s="20">
        <f>IF(C61="","MI-"&amp;TEXT(COUNTA($C$5:C61),"000"))</f>
        <v/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</row>
    <row r="62" ht="22" customHeight="1">
      <c r="B62" s="19">
        <f>IF(C62="","MI-"&amp;TEXT(COUNTA($C$5:C62),"000"))</f>
        <v/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</row>
    <row r="63" ht="22" customHeight="1">
      <c r="B63" s="20">
        <f>IF(C63="","MI-"&amp;TEXT(COUNTA($C$5:C63),"000"))</f>
        <v/>
      </c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 ht="22" customHeight="1">
      <c r="B64" s="19">
        <f>IF(C64="","MI-"&amp;TEXT(COUNTA($C$5:C64),"000"))</f>
        <v/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</row>
    <row r="65" ht="22" customHeight="1">
      <c r="B65" s="20">
        <f>IF(C65="","MI-"&amp;TEXT(COUNTA($C$5:C65),"000"))</f>
        <v/>
      </c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</row>
    <row r="66" ht="22" customHeight="1">
      <c r="B66" s="19">
        <f>IF(C66="","MI-"&amp;TEXT(COUNTA($C$5:C66),"000"))</f>
        <v/>
      </c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</row>
    <row r="67" ht="22" customHeight="1">
      <c r="B67" s="20">
        <f>IF(C67="","MI-"&amp;TEXT(COUNTA($C$5:C67),"000"))</f>
        <v/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</row>
    <row r="68" ht="22" customHeight="1">
      <c r="B68" s="19">
        <f>IF(C68="","MI-"&amp;TEXT(COUNTA($C$5:C68),"000"))</f>
        <v/>
      </c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</row>
    <row r="69" ht="22" customHeight="1">
      <c r="B69" s="20">
        <f>IF(C69="","MI-"&amp;TEXT(COUNTA($C$5:C69),"000"))</f>
        <v/>
      </c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</row>
    <row r="70" ht="22" customHeight="1">
      <c r="B70" s="19">
        <f>IF(C70="","MI-"&amp;TEXT(COUNTA($C$5:C70),"000"))</f>
        <v/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</row>
    <row r="71" ht="22" customHeight="1">
      <c r="B71" s="20">
        <f>IF(C71="","MI-"&amp;TEXT(COUNTA($C$5:C71),"000"))</f>
        <v/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</row>
    <row r="72" ht="22" customHeight="1">
      <c r="B72" s="19">
        <f>IF(C72="","MI-"&amp;TEXT(COUNTA($C$5:C72),"000"))</f>
        <v/>
      </c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</row>
    <row r="73" ht="22" customHeight="1">
      <c r="B73" s="20">
        <f>IF(C73="","MI-"&amp;TEXT(COUNTA($C$5:C73),"000"))</f>
        <v/>
      </c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</row>
    <row r="74" ht="22" customHeight="1">
      <c r="B74" s="19">
        <f>IF(C74="","MI-"&amp;TEXT(COUNTA($C$5:C74),"000"))</f>
        <v/>
      </c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</row>
    <row r="75" ht="22" customHeight="1">
      <c r="B75" s="20">
        <f>IF(C75="","MI-"&amp;TEXT(COUNTA($C$5:C75),"000"))</f>
        <v/>
      </c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 ht="22" customHeight="1">
      <c r="B76" s="19">
        <f>IF(C76="","MI-"&amp;TEXT(COUNTA($C$5:C76),"000"))</f>
        <v/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</row>
    <row r="77" ht="22" customHeight="1">
      <c r="B77" s="20">
        <f>IF(C77="","MI-"&amp;TEXT(COUNTA($C$5:C77),"000"))</f>
        <v/>
      </c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</row>
    <row r="78" ht="22" customHeight="1">
      <c r="B78" s="19">
        <f>IF(C78="","MI-"&amp;TEXT(COUNTA($C$5:C78),"000"))</f>
        <v/>
      </c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</row>
    <row r="79" ht="22" customHeight="1">
      <c r="B79" s="20">
        <f>IF(C79="","MI-"&amp;TEXT(COUNTA($C$5:C79),"000"))</f>
        <v/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</row>
    <row r="80" ht="22" customHeight="1">
      <c r="B80" s="19">
        <f>IF(C80="","MI-"&amp;TEXT(COUNTA($C$5:C80),"000"))</f>
        <v/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</row>
    <row r="81" ht="22" customHeight="1">
      <c r="B81" s="20">
        <f>IF(C81="","MI-"&amp;TEXT(COUNTA($C$5:C81),"000"))</f>
        <v/>
      </c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</row>
    <row r="82" ht="22" customHeight="1">
      <c r="B82" s="19">
        <f>IF(C82="","MI-"&amp;TEXT(COUNTA($C$5:C82),"000"))</f>
        <v/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</row>
    <row r="83" ht="22" customHeight="1">
      <c r="B83" s="20">
        <f>IF(C83="","MI-"&amp;TEXT(COUNTA($C$5:C83),"000"))</f>
        <v/>
      </c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 ht="22" customHeight="1">
      <c r="B84" s="19">
        <f>IF(C84="","MI-"&amp;TEXT(COUNTA($C$5:C84),"000"))</f>
        <v/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</row>
    <row r="85" ht="22" customHeight="1">
      <c r="B85" s="20">
        <f>IF(C85="","MI-"&amp;TEXT(COUNTA($C$5:C85),"000"))</f>
        <v/>
      </c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</row>
    <row r="86" ht="22" customHeight="1">
      <c r="B86" s="19">
        <f>IF(C86="","MI-"&amp;TEXT(COUNTA($C$5:C86),"000"))</f>
        <v/>
      </c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</row>
    <row r="87" ht="22" customHeight="1">
      <c r="B87" s="20">
        <f>IF(C87="","MI-"&amp;TEXT(COUNTA($C$5:C87),"000"))</f>
        <v/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</row>
    <row r="88" ht="22" customHeight="1">
      <c r="B88" s="19">
        <f>IF(C88="","MI-"&amp;TEXT(COUNTA($C$5:C88),"000"))</f>
        <v/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</row>
    <row r="89" ht="22" customHeight="1">
      <c r="B89" s="20">
        <f>IF(C89="","MI-"&amp;TEXT(COUNTA($C$5:C89),"000"))</f>
        <v/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</row>
    <row r="90" ht="22" customHeight="1">
      <c r="B90" s="19">
        <f>IF(C90="","MI-"&amp;TEXT(COUNTA($C$5:C90),"000"))</f>
        <v/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</row>
    <row r="91" ht="22" customHeight="1">
      <c r="B91" s="20">
        <f>IF(C91="","MI-"&amp;TEXT(COUNTA($C$5:C91),"000"))</f>
        <v/>
      </c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</row>
    <row r="92" ht="22" customHeight="1">
      <c r="B92" s="19">
        <f>IF(C92="","MI-"&amp;TEXT(COUNTA($C$5:C92),"000"))</f>
        <v/>
      </c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</row>
    <row r="93" ht="22" customHeight="1">
      <c r="B93" s="20">
        <f>IF(C93="","MI-"&amp;TEXT(COUNTA($C$5:C93),"000"))</f>
        <v/>
      </c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</row>
    <row r="94" ht="22" customHeight="1">
      <c r="B94" s="19">
        <f>IF(C94="","MI-"&amp;TEXT(COUNTA($C$5:C94),"000"))</f>
        <v/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</row>
    <row r="95" ht="22" customHeight="1">
      <c r="B95" s="20">
        <f>IF(C95="","MI-"&amp;TEXT(COUNTA($C$5:C95),"000"))</f>
        <v/>
      </c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</row>
    <row r="96" ht="22" customHeight="1">
      <c r="B96" s="19">
        <f>IF(C96="","MI-"&amp;TEXT(COUNTA($C$5:C96),"000"))</f>
        <v/>
      </c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</row>
    <row r="97" ht="22" customHeight="1">
      <c r="B97" s="20">
        <f>IF(C97="","MI-"&amp;TEXT(COUNTA($C$5:C97),"000"))</f>
        <v/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</row>
    <row r="98" ht="22" customHeight="1">
      <c r="B98" s="19">
        <f>IF(C98="","MI-"&amp;TEXT(COUNTA($C$5:C98),"000"))</f>
        <v/>
      </c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</row>
    <row r="99" ht="22" customHeight="1">
      <c r="B99" s="20">
        <f>IF(C99="","MI-"&amp;TEXT(COUNTA($C$5:C99),"000"))</f>
        <v/>
      </c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</row>
    <row r="100" ht="22" customHeight="1">
      <c r="B100" s="19">
        <f>IF(C100="","MI-"&amp;TEXT(COUNTA($C$5:C100),"000"))</f>
        <v/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</row>
    <row r="101" ht="22" customHeight="1">
      <c r="B101" s="20">
        <f>IF(C101="","MI-"&amp;TEXT(COUNTA($C$5:C101),"000"))</f>
        <v/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</row>
    <row r="102" ht="22" customHeight="1">
      <c r="B102" s="19">
        <f>IF(C102="","MI-"&amp;TEXT(COUNTA($C$5:C102),"000"))</f>
        <v/>
      </c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</row>
    <row r="103" ht="22" customHeight="1">
      <c r="B103" s="20">
        <f>IF(C103="","MI-"&amp;TEXT(COUNTA($C$5:C103),"000"))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</row>
    <row r="104" ht="22" customHeight="1">
      <c r="B104" s="19">
        <f>IF(C104="","MI-"&amp;TEXT(COUNTA($C$5:C104),"000"))</f>
        <v/>
      </c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</row>
    <row r="105" ht="22" customHeight="1">
      <c r="B105" s="20">
        <f>IF(C105="","MI-"&amp;TEXT(COUNTA($C$5:C105),"000"))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</row>
    <row r="106" ht="22" customHeight="1">
      <c r="B106" s="19">
        <f>IF(C106="","MI-"&amp;TEXT(COUNTA($C$5:C106),"000"))</f>
        <v/>
      </c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</row>
    <row r="107" ht="22" customHeight="1">
      <c r="B107" s="20">
        <f>IF(C107="","MI-"&amp;TEXT(COUNTA($C$5:C107),"000"))</f>
        <v/>
      </c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</row>
    <row r="108" ht="22" customHeight="1">
      <c r="B108" s="19">
        <f>IF(C108="","MI-"&amp;TEXT(COUNTA($C$5:C108),"000"))</f>
        <v/>
      </c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</row>
    <row r="109" ht="22" customHeight="1">
      <c r="B109" s="20">
        <f>IF(C109="","MI-"&amp;TEXT(COUNTA($C$5:C109),"000"))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</row>
    <row r="110" ht="22" customHeight="1">
      <c r="B110" s="19">
        <f>IF(C110="","MI-"&amp;TEXT(COUNTA($C$5:C110),"000"))</f>
        <v/>
      </c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</row>
    <row r="111"/>
    <row r="112">
      <c r="B112" s="6" t="inlineStr">
        <is>
          <t>INDICATEURS (mis a jour automatiquement)</t>
        </is>
      </c>
    </row>
    <row r="113">
      <c r="B113" s="3" t="inlineStr">
        <is>
          <t>Indicateurs cartes</t>
        </is>
      </c>
      <c r="D113" s="3" t="inlineStr">
        <is>
          <t>Priorite haute</t>
        </is>
      </c>
      <c r="F113" s="3" t="inlineStr">
        <is>
          <t>Sources SIRH</t>
        </is>
      </c>
    </row>
    <row r="114">
      <c r="B114" s="4">
        <f>COUNTIF(B5:B104,"&lt;&gt;")</f>
        <v/>
      </c>
      <c r="D114" s="4">
        <f>COUNTIF(K5:K104,"Haute")</f>
        <v/>
      </c>
      <c r="F114" s="4">
        <f>COUNTIF(H5:H104,"SIRH*")</f>
        <v/>
      </c>
    </row>
  </sheetData>
  <mergeCells count="3">
    <mergeCell ref="B2:L2"/>
    <mergeCell ref="B112:L112"/>
    <mergeCell ref="B3:L3"/>
  </mergeCells>
  <conditionalFormatting sqref="B11:B110">
    <cfRule type="expression" priority="1" dxfId="3">
      <formula>AND($C11="",$C10&lt;&gt;"")</formula>
    </cfRule>
  </conditionalFormatting>
  <conditionalFormatting sqref="C11:C110">
    <cfRule type="expression" priority="2" dxfId="3">
      <formula>AND($C11="",$C10&lt;&gt;"")</formula>
    </cfRule>
  </conditionalFormatting>
  <conditionalFormatting sqref="D11:D110">
    <cfRule type="expression" priority="3" dxfId="3">
      <formula>AND($C11="",$C10&lt;&gt;"")</formula>
    </cfRule>
  </conditionalFormatting>
  <conditionalFormatting sqref="E11:E110">
    <cfRule type="expression" priority="4" dxfId="3">
      <formula>AND($C11="",$C10&lt;&gt;"")</formula>
    </cfRule>
  </conditionalFormatting>
  <conditionalFormatting sqref="F11:F110">
    <cfRule type="expression" priority="5" dxfId="3">
      <formula>AND($C11="",$C10&lt;&gt;"")</formula>
    </cfRule>
  </conditionalFormatting>
  <conditionalFormatting sqref="G11:G110">
    <cfRule type="expression" priority="6" dxfId="3">
      <formula>AND($C11="",$C10&lt;&gt;"")</formula>
    </cfRule>
  </conditionalFormatting>
  <conditionalFormatting sqref="H11:H110">
    <cfRule type="expression" priority="7" dxfId="3">
      <formula>AND($C11="",$C10&lt;&gt;"")</formula>
    </cfRule>
  </conditionalFormatting>
  <conditionalFormatting sqref="I11:I110">
    <cfRule type="expression" priority="8" dxfId="3">
      <formula>AND($C11="",$C10&lt;&gt;"")</formula>
    </cfRule>
  </conditionalFormatting>
  <conditionalFormatting sqref="J11:J110">
    <cfRule type="expression" priority="9" dxfId="3">
      <formula>AND($C11="",$C10&lt;&gt;"")</formula>
    </cfRule>
  </conditionalFormatting>
  <conditionalFormatting sqref="K11:K110">
    <cfRule type="expression" priority="10" dxfId="3">
      <formula>AND($C11="",$C10&lt;&gt;"")</formula>
    </cfRule>
  </conditionalFormatting>
  <conditionalFormatting sqref="L11:L110">
    <cfRule type="expression" priority="11" dxfId="3">
      <formula>AND($C11="",$C10&lt;&gt;"")</formula>
    </cfRule>
  </conditionalFormatting>
  <dataValidations count="5">
    <dataValidation sqref="E5:E110" showDropDown="0" showInputMessage="0" showErrorMessage="0" allowBlank="1" errorTitle="Erreur" error="Valeur invalide" promptTitle="Liste" prompt="Choisir dans la liste" type="list">
      <formula1>'_Lists'!$E$2:$E$7</formula1>
    </dataValidation>
    <dataValidation sqref="F5:F110" showDropDown="0" showInputMessage="0" showErrorMessage="0" allowBlank="1" errorTitle="Erreur" error="Valeur invalide" promptTitle="Liste" prompt="Choisir dans la liste" type="list">
      <formula1>'_Lists'!$D$2:$D$7</formula1>
    </dataValidation>
    <dataValidation sqref="H5:H110" showDropDown="0" showInputMessage="0" showErrorMessage="0" allowBlank="1" errorTitle="Erreur" error="Valeur invalide" promptTitle="Liste" prompt="Choisir dans la liste" type="list">
      <formula1>'_Lists'!$N$2:$N$10</formula1>
    </dataValidation>
    <dataValidation sqref="J5:J110" showDropDown="0" showInputMessage="0" showErrorMessage="0" allowBlank="1" errorTitle="Erreur" error="Valeur invalide" promptTitle="Liste" prompt="Choisir dans la liste" type="list">
      <formula1>'_Lists'!$I$2:$I$11</formula1>
    </dataValidation>
    <dataValidation sqref="K5:K110" showDropDown="0" showInputMessage="0" showErrorMessage="0" allowBlank="1" errorTitle="Erreur" error="Valeur invalide" promptTitle="Liste" prompt="Choisir dans la liste" type="list">
      <formula1>'_Lists'!$K$2:$K$5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8" customWidth="1" min="4" max="4"/>
    <col width="22" customWidth="1" min="5" max="5"/>
    <col width="16" customWidth="1" min="6" max="6"/>
    <col width="14" customWidth="1" min="7" max="7"/>
    <col width="18" customWidth="1" min="8" max="8"/>
    <col width="20" customWidth="1" min="9" max="9"/>
    <col width="16" customWidth="1" min="10" max="10"/>
    <col width="42" customWidth="1" min="11" max="11"/>
  </cols>
  <sheetData>
    <row r="1" ht="15" customHeight="1"/>
    <row r="2" ht="32" customHeight="1">
      <c r="B2" s="1" t="inlineStr">
        <is>
          <t>SUIVI OBJECTIFS STRATEGIQUES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Objectif Strategique</t>
        </is>
      </c>
      <c r="D4" s="12" t="inlineStr">
        <is>
          <t>Axe Strategique</t>
        </is>
      </c>
      <c r="E4" s="12" t="inlineStr">
        <is>
          <t>Indicateur</t>
        </is>
      </c>
      <c r="F4" s="12" t="inlineStr">
        <is>
          <t>Cible 2025</t>
        </is>
      </c>
      <c r="G4" s="12" t="inlineStr">
        <is>
          <t>Q1 2025</t>
        </is>
      </c>
      <c r="H4" s="12" t="inlineStr">
        <is>
          <t>Q2 2025 (prev.)</t>
        </is>
      </c>
      <c r="I4" s="12" t="inlineStr">
        <is>
          <t>Ecart Q1 vs Cible</t>
        </is>
      </c>
      <c r="J4" s="12" t="inlineStr">
        <is>
          <t>Statut</t>
        </is>
      </c>
      <c r="K4" s="12" t="inlineStr">
        <is>
          <t>Actions Correctives</t>
        </is>
      </c>
    </row>
    <row r="5" ht="22" customHeight="1">
      <c r="B5" s="13" t="inlineStr">
        <is>
          <t>SO-001</t>
        </is>
      </c>
      <c r="C5" s="13" t="inlineStr">
        <is>
          <t>Reduire rotation a 12%</t>
        </is>
      </c>
      <c r="D5" s="13" t="inlineStr">
        <is>
          <t>Bien-Etre</t>
        </is>
      </c>
      <c r="E5" s="13" t="inlineStr">
        <is>
          <t>Taux rotation</t>
        </is>
      </c>
      <c r="F5" s="40" t="inlineStr">
        <is>
          <t>&lt;=12%</t>
        </is>
      </c>
      <c r="G5" s="40" t="n">
        <v>0.18</v>
      </c>
      <c r="H5" s="40" t="n">
        <v>0.15</v>
      </c>
      <c r="I5" s="41" t="n"/>
      <c r="J5" s="13" t="inlineStr">
        <is>
          <t>En retard</t>
        </is>
      </c>
      <c r="K5" s="13" t="inlineStr">
        <is>
          <t>Mentorat + bonus retention + bien-etre</t>
        </is>
      </c>
    </row>
    <row r="6" ht="22" customHeight="1">
      <c r="B6" s="16" t="inlineStr">
        <is>
          <t>SO-002</t>
        </is>
      </c>
      <c r="C6" s="16" t="inlineStr">
        <is>
          <t>20h formation / employe</t>
        </is>
      </c>
      <c r="D6" s="16" t="inlineStr">
        <is>
          <t>Employabilite</t>
        </is>
      </c>
      <c r="E6" s="16" t="inlineStr">
        <is>
          <t>H form. / employe</t>
        </is>
      </c>
      <c r="F6" s="42" t="inlineStr">
        <is>
          <t>&gt;=20</t>
        </is>
      </c>
      <c r="G6" s="42" t="n">
        <v>12.5</v>
      </c>
      <c r="H6" s="42" t="n">
        <v>16</v>
      </c>
      <c r="I6" s="43" t="n"/>
      <c r="J6" s="16" t="inlineStr">
        <is>
          <t>En retard</t>
        </is>
      </c>
      <c r="K6" s="16" t="inlineStr">
        <is>
          <t>E-learning obligatoire mensuel</t>
        </is>
      </c>
    </row>
    <row r="7" ht="22" customHeight="1">
      <c r="B7" s="13" t="inlineStr">
        <is>
          <t>SO-003</t>
        </is>
      </c>
      <c r="C7" s="13" t="inlineStr">
        <is>
          <t>Score satisfaction &gt;= 4.0</t>
        </is>
      </c>
      <c r="D7" s="13" t="inlineStr">
        <is>
          <t>Climat social</t>
        </is>
      </c>
      <c r="E7" s="13" t="inlineStr">
        <is>
          <t>Score satisfaction</t>
        </is>
      </c>
      <c r="F7" s="40" t="inlineStr">
        <is>
          <t>&gt;=4.0</t>
        </is>
      </c>
      <c r="G7" s="40" t="n">
        <v>3.8</v>
      </c>
      <c r="H7" s="40" t="n">
        <v>3.9</v>
      </c>
      <c r="I7" s="41" t="n"/>
      <c r="J7" s="13" t="inlineStr">
        <is>
          <t>En cours</t>
        </is>
      </c>
      <c r="K7" s="13" t="inlineStr">
        <is>
          <t>Renforcer CSE et evenements</t>
        </is>
      </c>
    </row>
    <row r="8" ht="22" customHeight="1">
      <c r="B8" s="16" t="inlineStr">
        <is>
          <t>SO-004</t>
        </is>
      </c>
      <c r="C8" s="16" t="inlineStr">
        <is>
          <t>80% processus automatises</t>
        </is>
      </c>
      <c r="D8" s="16" t="inlineStr">
        <is>
          <t>Performance</t>
        </is>
      </c>
      <c r="E8" s="16" t="inlineStr">
        <is>
          <t>% processus auto.</t>
        </is>
      </c>
      <c r="F8" s="42" t="inlineStr">
        <is>
          <t>&gt;=80%</t>
        </is>
      </c>
      <c r="G8" s="42" t="n">
        <v>0.45</v>
      </c>
      <c r="H8" s="42" t="n">
        <v>0.6</v>
      </c>
      <c r="I8" s="43" t="n"/>
      <c r="J8" s="16" t="inlineStr">
        <is>
          <t>En cours</t>
        </is>
      </c>
      <c r="K8" s="16" t="inlineStr">
        <is>
          <t>SIRH cloud + Lucca + chatbot</t>
        </is>
      </c>
    </row>
    <row r="9" ht="22" customHeight="1">
      <c r="B9" s="13" t="inlineStr">
        <is>
          <t>SO-005</t>
        </is>
      </c>
      <c r="C9" s="13" t="inlineStr">
        <is>
          <t>100% conformite RGPD</t>
        </is>
      </c>
      <c r="D9" s="13" t="inlineStr">
        <is>
          <t>Conformite</t>
        </is>
      </c>
      <c r="E9" s="13" t="inlineStr">
        <is>
          <t>% conformite audits</t>
        </is>
      </c>
      <c r="F9" s="40" t="inlineStr">
        <is>
          <t>100%</t>
        </is>
      </c>
      <c r="G9" s="40" t="n">
        <v>0.9</v>
      </c>
      <c r="H9" s="40" t="n">
        <v>0.95</v>
      </c>
      <c r="I9" s="41" t="n"/>
      <c r="J9" s="13" t="inlineStr">
        <is>
          <t>En cours</t>
        </is>
      </c>
      <c r="K9" s="13" t="inlineStr">
        <is>
          <t>Numeriser dossier medical + audit Q2</t>
        </is>
      </c>
    </row>
    <row r="10" ht="22" customHeight="1">
      <c r="B10" s="19">
        <f>IF(C10="","SO-"&amp;TEXT(COUNTA($C$5:C10),"000"))</f>
        <v/>
      </c>
      <c r="C10" s="16" t="n"/>
      <c r="D10" s="16" t="n"/>
      <c r="E10" s="16" t="n"/>
      <c r="F10" s="42" t="n"/>
      <c r="G10" s="42" t="n"/>
      <c r="H10" s="42" t="n"/>
      <c r="I10" s="43">
        <f>IF(OR(F10="",G10=""),"",G10-F10)</f>
        <v/>
      </c>
      <c r="J10" s="16" t="n"/>
      <c r="K10" s="16" t="n"/>
    </row>
    <row r="11" ht="22" customHeight="1">
      <c r="B11" s="20">
        <f>IF(C11="","SO-"&amp;TEXT(COUNTA($C$5:C11),"000"))</f>
        <v/>
      </c>
      <c r="C11" s="13" t="n"/>
      <c r="D11" s="13" t="n"/>
      <c r="E11" s="13" t="n"/>
      <c r="F11" s="40" t="n"/>
      <c r="G11" s="40" t="n"/>
      <c r="H11" s="40" t="n"/>
      <c r="I11" s="41">
        <f>IF(OR(F11="",G11=""),"",G11-F11)</f>
        <v/>
      </c>
      <c r="J11" s="13" t="n"/>
      <c r="K11" s="13" t="n"/>
    </row>
    <row r="12" ht="22" customHeight="1">
      <c r="B12" s="19">
        <f>IF(C12="","SO-"&amp;TEXT(COUNTA($C$5:C12),"000"))</f>
        <v/>
      </c>
      <c r="C12" s="16" t="n"/>
      <c r="D12" s="16" t="n"/>
      <c r="E12" s="16" t="n"/>
      <c r="F12" s="42" t="n"/>
      <c r="G12" s="42" t="n"/>
      <c r="H12" s="42" t="n"/>
      <c r="I12" s="43">
        <f>IF(OR(F12="",G12=""),"",G12-F12)</f>
        <v/>
      </c>
      <c r="J12" s="16" t="n"/>
      <c r="K12" s="16" t="n"/>
    </row>
    <row r="13" ht="22" customHeight="1">
      <c r="B13" s="20">
        <f>IF(C13="","SO-"&amp;TEXT(COUNTA($C$5:C13),"000"))</f>
        <v/>
      </c>
      <c r="C13" s="13" t="n"/>
      <c r="D13" s="13" t="n"/>
      <c r="E13" s="13" t="n"/>
      <c r="F13" s="40" t="n"/>
      <c r="G13" s="40" t="n"/>
      <c r="H13" s="40" t="n"/>
      <c r="I13" s="41">
        <f>IF(OR(F13="",G13=""),"",G13-F13)</f>
        <v/>
      </c>
      <c r="J13" s="13" t="n"/>
      <c r="K13" s="13" t="n"/>
    </row>
    <row r="14" ht="22" customHeight="1">
      <c r="B14" s="19">
        <f>IF(C14="","SO-"&amp;TEXT(COUNTA($C$5:C14),"000"))</f>
        <v/>
      </c>
      <c r="C14" s="16" t="n"/>
      <c r="D14" s="16" t="n"/>
      <c r="E14" s="16" t="n"/>
      <c r="F14" s="42" t="n"/>
      <c r="G14" s="42" t="n"/>
      <c r="H14" s="42" t="n"/>
      <c r="I14" s="43">
        <f>IF(OR(F14="",G14=""),"",G14-F14)</f>
        <v/>
      </c>
      <c r="J14" s="16" t="n"/>
      <c r="K14" s="16" t="n"/>
    </row>
    <row r="15" ht="22" customHeight="1">
      <c r="B15" s="20">
        <f>IF(C15="","SO-"&amp;TEXT(COUNTA($C$5:C15),"000"))</f>
        <v/>
      </c>
      <c r="C15" s="13" t="n"/>
      <c r="D15" s="13" t="n"/>
      <c r="E15" s="13" t="n"/>
      <c r="F15" s="40" t="n"/>
      <c r="G15" s="40" t="n"/>
      <c r="H15" s="40" t="n"/>
      <c r="I15" s="41">
        <f>IF(OR(F15="",G15=""),"",G15-F15)</f>
        <v/>
      </c>
      <c r="J15" s="13" t="n"/>
      <c r="K15" s="13" t="n"/>
    </row>
    <row r="16" ht="22" customHeight="1">
      <c r="B16" s="19">
        <f>IF(C16="","SO-"&amp;TEXT(COUNTA($C$5:C16),"000"))</f>
        <v/>
      </c>
      <c r="C16" s="16" t="n"/>
      <c r="D16" s="16" t="n"/>
      <c r="E16" s="16" t="n"/>
      <c r="F16" s="42" t="n"/>
      <c r="G16" s="42" t="n"/>
      <c r="H16" s="42" t="n"/>
      <c r="I16" s="43">
        <f>IF(OR(F16="",G16=""),"",G16-F16)</f>
        <v/>
      </c>
      <c r="J16" s="16" t="n"/>
      <c r="K16" s="16" t="n"/>
    </row>
    <row r="17" ht="22" customHeight="1">
      <c r="B17" s="20">
        <f>IF(C17="","SO-"&amp;TEXT(COUNTA($C$5:C17),"000"))</f>
        <v/>
      </c>
      <c r="C17" s="13" t="n"/>
      <c r="D17" s="13" t="n"/>
      <c r="E17" s="13" t="n"/>
      <c r="F17" s="40" t="n"/>
      <c r="G17" s="40" t="n"/>
      <c r="H17" s="40" t="n"/>
      <c r="I17" s="41">
        <f>IF(OR(F17="",G17=""),"",G17-F17)</f>
        <v/>
      </c>
      <c r="J17" s="13" t="n"/>
      <c r="K17" s="13" t="n"/>
    </row>
    <row r="18" ht="22" customHeight="1">
      <c r="B18" s="19">
        <f>IF(C18="","SO-"&amp;TEXT(COUNTA($C$5:C18),"000"))</f>
        <v/>
      </c>
      <c r="C18" s="16" t="n"/>
      <c r="D18" s="16" t="n"/>
      <c r="E18" s="16" t="n"/>
      <c r="F18" s="42" t="n"/>
      <c r="G18" s="42" t="n"/>
      <c r="H18" s="42" t="n"/>
      <c r="I18" s="43">
        <f>IF(OR(F18="",G18=""),"",G18-F18)</f>
        <v/>
      </c>
      <c r="J18" s="16" t="n"/>
      <c r="K18" s="16" t="n"/>
    </row>
    <row r="19" ht="22" customHeight="1">
      <c r="B19" s="20">
        <f>IF(C19="","SO-"&amp;TEXT(COUNTA($C$5:C19),"000"))</f>
        <v/>
      </c>
      <c r="C19" s="13" t="n"/>
      <c r="D19" s="13" t="n"/>
      <c r="E19" s="13" t="n"/>
      <c r="F19" s="40" t="n"/>
      <c r="G19" s="40" t="n"/>
      <c r="H19" s="40" t="n"/>
      <c r="I19" s="41">
        <f>IF(OR(F19="",G19=""),"",G19-F19)</f>
        <v/>
      </c>
      <c r="J19" s="13" t="n"/>
      <c r="K19" s="13" t="n"/>
    </row>
    <row r="20" ht="22" customHeight="1">
      <c r="B20" s="19">
        <f>IF(C20="","SO-"&amp;TEXT(COUNTA($C$5:C20),"000"))</f>
        <v/>
      </c>
      <c r="C20" s="16" t="n"/>
      <c r="D20" s="16" t="n"/>
      <c r="E20" s="16" t="n"/>
      <c r="F20" s="42" t="n"/>
      <c r="G20" s="42" t="n"/>
      <c r="H20" s="42" t="n"/>
      <c r="I20" s="43">
        <f>IF(OR(F20="",G20=""),"",G20-F20)</f>
        <v/>
      </c>
      <c r="J20" s="16" t="n"/>
      <c r="K20" s="16" t="n"/>
    </row>
    <row r="21" ht="22" customHeight="1">
      <c r="B21" s="20">
        <f>IF(C21="","SO-"&amp;TEXT(COUNTA($C$5:C21),"000"))</f>
        <v/>
      </c>
      <c r="C21" s="13" t="n"/>
      <c r="D21" s="13" t="n"/>
      <c r="E21" s="13" t="n"/>
      <c r="F21" s="40" t="n"/>
      <c r="G21" s="40" t="n"/>
      <c r="H21" s="40" t="n"/>
      <c r="I21" s="41">
        <f>IF(OR(F21="",G21=""),"",G21-F21)</f>
        <v/>
      </c>
      <c r="J21" s="13" t="n"/>
      <c r="K21" s="13" t="n"/>
    </row>
    <row r="22" ht="22" customHeight="1">
      <c r="B22" s="19">
        <f>IF(C22="","SO-"&amp;TEXT(COUNTA($C$5:C22),"000"))</f>
        <v/>
      </c>
      <c r="C22" s="16" t="n"/>
      <c r="D22" s="16" t="n"/>
      <c r="E22" s="16" t="n"/>
      <c r="F22" s="42" t="n"/>
      <c r="G22" s="42" t="n"/>
      <c r="H22" s="42" t="n"/>
      <c r="I22" s="43">
        <f>IF(OR(F22="",G22=""),"",G22-F22)</f>
        <v/>
      </c>
      <c r="J22" s="16" t="n"/>
      <c r="K22" s="16" t="n"/>
    </row>
    <row r="23" ht="22" customHeight="1">
      <c r="B23" s="20">
        <f>IF(C23="","SO-"&amp;TEXT(COUNTA($C$5:C23),"000"))</f>
        <v/>
      </c>
      <c r="C23" s="13" t="n"/>
      <c r="D23" s="13" t="n"/>
      <c r="E23" s="13" t="n"/>
      <c r="F23" s="40" t="n"/>
      <c r="G23" s="40" t="n"/>
      <c r="H23" s="40" t="n"/>
      <c r="I23" s="41">
        <f>IF(OR(F23="",G23=""),"",G23-F23)</f>
        <v/>
      </c>
      <c r="J23" s="13" t="n"/>
      <c r="K23" s="13" t="n"/>
    </row>
    <row r="24" ht="22" customHeight="1">
      <c r="B24" s="19">
        <f>IF(C24="","SO-"&amp;TEXT(COUNTA($C$5:C24),"000"))</f>
        <v/>
      </c>
      <c r="C24" s="16" t="n"/>
      <c r="D24" s="16" t="n"/>
      <c r="E24" s="16" t="n"/>
      <c r="F24" s="42" t="n"/>
      <c r="G24" s="42" t="n"/>
      <c r="H24" s="42" t="n"/>
      <c r="I24" s="43">
        <f>IF(OR(F24="",G24=""),"",G24-F24)</f>
        <v/>
      </c>
      <c r="J24" s="16" t="n"/>
      <c r="K24" s="16" t="n"/>
    </row>
    <row r="25" ht="22" customHeight="1">
      <c r="B25" s="20">
        <f>IF(C25="","SO-"&amp;TEXT(COUNTA($C$5:C25),"000"))</f>
        <v/>
      </c>
      <c r="C25" s="13" t="n"/>
      <c r="D25" s="13" t="n"/>
      <c r="E25" s="13" t="n"/>
      <c r="F25" s="40" t="n"/>
      <c r="G25" s="40" t="n"/>
      <c r="H25" s="40" t="n"/>
      <c r="I25" s="41">
        <f>IF(OR(F25="",G25=""),"",G25-F25)</f>
        <v/>
      </c>
      <c r="J25" s="13" t="n"/>
      <c r="K25" s="13" t="n"/>
    </row>
    <row r="26" ht="22" customHeight="1">
      <c r="B26" s="19">
        <f>IF(C26="","SO-"&amp;TEXT(COUNTA($C$5:C26),"000"))</f>
        <v/>
      </c>
      <c r="C26" s="16" t="n"/>
      <c r="D26" s="16" t="n"/>
      <c r="E26" s="16" t="n"/>
      <c r="F26" s="42" t="n"/>
      <c r="G26" s="42" t="n"/>
      <c r="H26" s="42" t="n"/>
      <c r="I26" s="43">
        <f>IF(OR(F26="",G26=""),"",G26-F26)</f>
        <v/>
      </c>
      <c r="J26" s="16" t="n"/>
      <c r="K26" s="16" t="n"/>
    </row>
    <row r="27" ht="22" customHeight="1">
      <c r="B27" s="20">
        <f>IF(C27="","SO-"&amp;TEXT(COUNTA($C$5:C27),"000"))</f>
        <v/>
      </c>
      <c r="C27" s="13" t="n"/>
      <c r="D27" s="13" t="n"/>
      <c r="E27" s="13" t="n"/>
      <c r="F27" s="40" t="n"/>
      <c r="G27" s="40" t="n"/>
      <c r="H27" s="40" t="n"/>
      <c r="I27" s="41">
        <f>IF(OR(F27="",G27=""),"",G27-F27)</f>
        <v/>
      </c>
      <c r="J27" s="13" t="n"/>
      <c r="K27" s="13" t="n"/>
    </row>
    <row r="28" ht="22" customHeight="1">
      <c r="B28" s="19">
        <f>IF(C28="","SO-"&amp;TEXT(COUNTA($C$5:C28),"000"))</f>
        <v/>
      </c>
      <c r="C28" s="16" t="n"/>
      <c r="D28" s="16" t="n"/>
      <c r="E28" s="16" t="n"/>
      <c r="F28" s="42" t="n"/>
      <c r="G28" s="42" t="n"/>
      <c r="H28" s="42" t="n"/>
      <c r="I28" s="43">
        <f>IF(OR(F28="",G28=""),"",G28-F28)</f>
        <v/>
      </c>
      <c r="J28" s="16" t="n"/>
      <c r="K28" s="16" t="n"/>
    </row>
    <row r="29" ht="22" customHeight="1">
      <c r="B29" s="20">
        <f>IF(C29="","SO-"&amp;TEXT(COUNTA($C$5:C29),"000"))</f>
        <v/>
      </c>
      <c r="C29" s="13" t="n"/>
      <c r="D29" s="13" t="n"/>
      <c r="E29" s="13" t="n"/>
      <c r="F29" s="40" t="n"/>
      <c r="G29" s="40" t="n"/>
      <c r="H29" s="40" t="n"/>
      <c r="I29" s="41">
        <f>IF(OR(F29="",G29=""),"",G29-F29)</f>
        <v/>
      </c>
      <c r="J29" s="13" t="n"/>
      <c r="K29" s="13" t="n"/>
    </row>
    <row r="30" ht="22" customHeight="1">
      <c r="B30" s="19">
        <f>IF(C30="","SO-"&amp;TEXT(COUNTA($C$5:C30),"000"))</f>
        <v/>
      </c>
      <c r="C30" s="16" t="n"/>
      <c r="D30" s="16" t="n"/>
      <c r="E30" s="16" t="n"/>
      <c r="F30" s="42" t="n"/>
      <c r="G30" s="42" t="n"/>
      <c r="H30" s="42" t="n"/>
      <c r="I30" s="43">
        <f>IF(OR(F30="",G30=""),"",G30-F30)</f>
        <v/>
      </c>
      <c r="J30" s="16" t="n"/>
      <c r="K30" s="16" t="n"/>
    </row>
    <row r="31" ht="22" customHeight="1">
      <c r="B31" s="20">
        <f>IF(C31="","SO-"&amp;TEXT(COUNTA($C$5:C31),"000"))</f>
        <v/>
      </c>
      <c r="C31" s="13" t="n"/>
      <c r="D31" s="13" t="n"/>
      <c r="E31" s="13" t="n"/>
      <c r="F31" s="40" t="n"/>
      <c r="G31" s="40" t="n"/>
      <c r="H31" s="40" t="n"/>
      <c r="I31" s="41">
        <f>IF(OR(F31="",G31=""),"",G31-F31)</f>
        <v/>
      </c>
      <c r="J31" s="13" t="n"/>
      <c r="K31" s="13" t="n"/>
    </row>
    <row r="32" ht="22" customHeight="1">
      <c r="B32" s="19">
        <f>IF(C32="","SO-"&amp;TEXT(COUNTA($C$5:C32),"000"))</f>
        <v/>
      </c>
      <c r="C32" s="16" t="n"/>
      <c r="D32" s="16" t="n"/>
      <c r="E32" s="16" t="n"/>
      <c r="F32" s="42" t="n"/>
      <c r="G32" s="42" t="n"/>
      <c r="H32" s="42" t="n"/>
      <c r="I32" s="43">
        <f>IF(OR(F32="",G32=""),"",G32-F32)</f>
        <v/>
      </c>
      <c r="J32" s="16" t="n"/>
      <c r="K32" s="16" t="n"/>
    </row>
    <row r="33" ht="22" customHeight="1">
      <c r="B33" s="20">
        <f>IF(C33="","SO-"&amp;TEXT(COUNTA($C$5:C33),"000"))</f>
        <v/>
      </c>
      <c r="C33" s="13" t="n"/>
      <c r="D33" s="13" t="n"/>
      <c r="E33" s="13" t="n"/>
      <c r="F33" s="40" t="n"/>
      <c r="G33" s="40" t="n"/>
      <c r="H33" s="40" t="n"/>
      <c r="I33" s="41">
        <f>IF(OR(F33="",G33=""),"",G33-F33)</f>
        <v/>
      </c>
      <c r="J33" s="13" t="n"/>
      <c r="K33" s="13" t="n"/>
    </row>
    <row r="34" ht="22" customHeight="1">
      <c r="B34" s="19">
        <f>IF(C34="","SO-"&amp;TEXT(COUNTA($C$5:C34),"000"))</f>
        <v/>
      </c>
      <c r="C34" s="16" t="n"/>
      <c r="D34" s="16" t="n"/>
      <c r="E34" s="16" t="n"/>
      <c r="F34" s="42" t="n"/>
      <c r="G34" s="42" t="n"/>
      <c r="H34" s="42" t="n"/>
      <c r="I34" s="43">
        <f>IF(OR(F34="",G34=""),"",G34-F34)</f>
        <v/>
      </c>
      <c r="J34" s="16" t="n"/>
      <c r="K34" s="16" t="n"/>
    </row>
    <row r="35" ht="22" customHeight="1">
      <c r="B35" s="20">
        <f>IF(C35="","SO-"&amp;TEXT(COUNTA($C$5:C35),"000"))</f>
        <v/>
      </c>
      <c r="C35" s="13" t="n"/>
      <c r="D35" s="13" t="n"/>
      <c r="E35" s="13" t="n"/>
      <c r="F35" s="40" t="n"/>
      <c r="G35" s="40" t="n"/>
      <c r="H35" s="40" t="n"/>
      <c r="I35" s="41">
        <f>IF(OR(F35="",G35=""),"",G35-F35)</f>
        <v/>
      </c>
      <c r="J35" s="13" t="n"/>
      <c r="K35" s="13" t="n"/>
    </row>
    <row r="36" ht="22" customHeight="1">
      <c r="B36" s="19">
        <f>IF(C36="","SO-"&amp;TEXT(COUNTA($C$5:C36),"000"))</f>
        <v/>
      </c>
      <c r="C36" s="16" t="n"/>
      <c r="D36" s="16" t="n"/>
      <c r="E36" s="16" t="n"/>
      <c r="F36" s="42" t="n"/>
      <c r="G36" s="42" t="n"/>
      <c r="H36" s="42" t="n"/>
      <c r="I36" s="43">
        <f>IF(OR(F36="",G36=""),"",G36-F36)</f>
        <v/>
      </c>
      <c r="J36" s="16" t="n"/>
      <c r="K36" s="16" t="n"/>
    </row>
    <row r="37" ht="22" customHeight="1">
      <c r="B37" s="20">
        <f>IF(C37="","SO-"&amp;TEXT(COUNTA($C$5:C37),"000"))</f>
        <v/>
      </c>
      <c r="C37" s="13" t="n"/>
      <c r="D37" s="13" t="n"/>
      <c r="E37" s="13" t="n"/>
      <c r="F37" s="40" t="n"/>
      <c r="G37" s="40" t="n"/>
      <c r="H37" s="40" t="n"/>
      <c r="I37" s="41">
        <f>IF(OR(F37="",G37=""),"",G37-F37)</f>
        <v/>
      </c>
      <c r="J37" s="13" t="n"/>
      <c r="K37" s="13" t="n"/>
    </row>
    <row r="38" ht="22" customHeight="1">
      <c r="B38" s="19">
        <f>IF(C38="","SO-"&amp;TEXT(COUNTA($C$5:C38),"000"))</f>
        <v/>
      </c>
      <c r="C38" s="16" t="n"/>
      <c r="D38" s="16" t="n"/>
      <c r="E38" s="16" t="n"/>
      <c r="F38" s="42" t="n"/>
      <c r="G38" s="42" t="n"/>
      <c r="H38" s="42" t="n"/>
      <c r="I38" s="43">
        <f>IF(OR(F38="",G38=""),"",G38-F38)</f>
        <v/>
      </c>
      <c r="J38" s="16" t="n"/>
      <c r="K38" s="16" t="n"/>
    </row>
    <row r="39" ht="22" customHeight="1">
      <c r="B39" s="20">
        <f>IF(C39="","SO-"&amp;TEXT(COUNTA($C$5:C39),"000"))</f>
        <v/>
      </c>
      <c r="C39" s="13" t="n"/>
      <c r="D39" s="13" t="n"/>
      <c r="E39" s="13" t="n"/>
      <c r="F39" s="40" t="n"/>
      <c r="G39" s="40" t="n"/>
      <c r="H39" s="40" t="n"/>
      <c r="I39" s="41">
        <f>IF(OR(F39="",G39=""),"",G39-F39)</f>
        <v/>
      </c>
      <c r="J39" s="13" t="n"/>
      <c r="K39" s="13" t="n"/>
    </row>
    <row r="40" ht="22" customHeight="1">
      <c r="B40" s="19">
        <f>IF(C40="","SO-"&amp;TEXT(COUNTA($C$5:C40),"000"))</f>
        <v/>
      </c>
      <c r="C40" s="16" t="n"/>
      <c r="D40" s="16" t="n"/>
      <c r="E40" s="16" t="n"/>
      <c r="F40" s="42" t="n"/>
      <c r="G40" s="42" t="n"/>
      <c r="H40" s="42" t="n"/>
      <c r="I40" s="43">
        <f>IF(OR(F40="",G40=""),"",G40-F40)</f>
        <v/>
      </c>
      <c r="J40" s="16" t="n"/>
      <c r="K40" s="16" t="n"/>
    </row>
    <row r="41" ht="22" customHeight="1">
      <c r="B41" s="20">
        <f>IF(C41="","SO-"&amp;TEXT(COUNTA($C$5:C41),"000"))</f>
        <v/>
      </c>
      <c r="C41" s="13" t="n"/>
      <c r="D41" s="13" t="n"/>
      <c r="E41" s="13" t="n"/>
      <c r="F41" s="40" t="n"/>
      <c r="G41" s="40" t="n"/>
      <c r="H41" s="40" t="n"/>
      <c r="I41" s="41">
        <f>IF(OR(F41="",G41=""),"",G41-F41)</f>
        <v/>
      </c>
      <c r="J41" s="13" t="n"/>
      <c r="K41" s="13" t="n"/>
    </row>
    <row r="42" ht="22" customHeight="1">
      <c r="B42" s="19">
        <f>IF(C42="","SO-"&amp;TEXT(COUNTA($C$5:C42),"000"))</f>
        <v/>
      </c>
      <c r="C42" s="16" t="n"/>
      <c r="D42" s="16" t="n"/>
      <c r="E42" s="16" t="n"/>
      <c r="F42" s="42" t="n"/>
      <c r="G42" s="42" t="n"/>
      <c r="H42" s="42" t="n"/>
      <c r="I42" s="43">
        <f>IF(OR(F42="",G42=""),"",G42-F42)</f>
        <v/>
      </c>
      <c r="J42" s="16" t="n"/>
      <c r="K42" s="16" t="n"/>
    </row>
    <row r="43" ht="22" customHeight="1">
      <c r="B43" s="20">
        <f>IF(C43="","SO-"&amp;TEXT(COUNTA($C$5:C43),"000"))</f>
        <v/>
      </c>
      <c r="C43" s="13" t="n"/>
      <c r="D43" s="13" t="n"/>
      <c r="E43" s="13" t="n"/>
      <c r="F43" s="40" t="n"/>
      <c r="G43" s="40" t="n"/>
      <c r="H43" s="40" t="n"/>
      <c r="I43" s="41">
        <f>IF(OR(F43="",G43=""),"",G43-F43)</f>
        <v/>
      </c>
      <c r="J43" s="13" t="n"/>
      <c r="K43" s="13" t="n"/>
    </row>
    <row r="44" ht="22" customHeight="1">
      <c r="B44" s="19">
        <f>IF(C44="","SO-"&amp;TEXT(COUNTA($C$5:C44),"000"))</f>
        <v/>
      </c>
      <c r="C44" s="16" t="n"/>
      <c r="D44" s="16" t="n"/>
      <c r="E44" s="16" t="n"/>
      <c r="F44" s="42" t="n"/>
      <c r="G44" s="42" t="n"/>
      <c r="H44" s="42" t="n"/>
      <c r="I44" s="43">
        <f>IF(OR(F44="",G44=""),"",G44-F44)</f>
        <v/>
      </c>
      <c r="J44" s="16" t="n"/>
      <c r="K44" s="16" t="n"/>
    </row>
    <row r="45" ht="22" customHeight="1">
      <c r="B45" s="20">
        <f>IF(C45="","SO-"&amp;TEXT(COUNTA($C$5:C45),"000"))</f>
        <v/>
      </c>
      <c r="C45" s="13" t="n"/>
      <c r="D45" s="13" t="n"/>
      <c r="E45" s="13" t="n"/>
      <c r="F45" s="40" t="n"/>
      <c r="G45" s="40" t="n"/>
      <c r="H45" s="40" t="n"/>
      <c r="I45" s="41">
        <f>IF(OR(F45="",G45=""),"",G45-F45)</f>
        <v/>
      </c>
      <c r="J45" s="13" t="n"/>
      <c r="K45" s="13" t="n"/>
    </row>
    <row r="46" ht="22" customHeight="1">
      <c r="B46" s="19">
        <f>IF(C46="","SO-"&amp;TEXT(COUNTA($C$5:C46),"000"))</f>
        <v/>
      </c>
      <c r="C46" s="16" t="n"/>
      <c r="D46" s="16" t="n"/>
      <c r="E46" s="16" t="n"/>
      <c r="F46" s="42" t="n"/>
      <c r="G46" s="42" t="n"/>
      <c r="H46" s="42" t="n"/>
      <c r="I46" s="43">
        <f>IF(OR(F46="",G46=""),"",G46-F46)</f>
        <v/>
      </c>
      <c r="J46" s="16" t="n"/>
      <c r="K46" s="16" t="n"/>
    </row>
    <row r="47" ht="22" customHeight="1">
      <c r="B47" s="20">
        <f>IF(C47="","SO-"&amp;TEXT(COUNTA($C$5:C47),"000"))</f>
        <v/>
      </c>
      <c r="C47" s="13" t="n"/>
      <c r="D47" s="13" t="n"/>
      <c r="E47" s="13" t="n"/>
      <c r="F47" s="40" t="n"/>
      <c r="G47" s="40" t="n"/>
      <c r="H47" s="40" t="n"/>
      <c r="I47" s="41">
        <f>IF(OR(F47="",G47=""),"",G47-F47)</f>
        <v/>
      </c>
      <c r="J47" s="13" t="n"/>
      <c r="K47" s="13" t="n"/>
    </row>
    <row r="48" ht="22" customHeight="1">
      <c r="B48" s="19">
        <f>IF(C48="","SO-"&amp;TEXT(COUNTA($C$5:C48),"000"))</f>
        <v/>
      </c>
      <c r="C48" s="16" t="n"/>
      <c r="D48" s="16" t="n"/>
      <c r="E48" s="16" t="n"/>
      <c r="F48" s="42" t="n"/>
      <c r="G48" s="42" t="n"/>
      <c r="H48" s="42" t="n"/>
      <c r="I48" s="43">
        <f>IF(OR(F48="",G48=""),"",G48-F48)</f>
        <v/>
      </c>
      <c r="J48" s="16" t="n"/>
      <c r="K48" s="16" t="n"/>
    </row>
    <row r="49" ht="22" customHeight="1">
      <c r="B49" s="20">
        <f>IF(C49="","SO-"&amp;TEXT(COUNTA($C$5:C49),"000"))</f>
        <v/>
      </c>
      <c r="C49" s="13" t="n"/>
      <c r="D49" s="13" t="n"/>
      <c r="E49" s="13" t="n"/>
      <c r="F49" s="40" t="n"/>
      <c r="G49" s="40" t="n"/>
      <c r="H49" s="40" t="n"/>
      <c r="I49" s="41">
        <f>IF(OR(F49="",G49=""),"",G49-F49)</f>
        <v/>
      </c>
      <c r="J49" s="13" t="n"/>
      <c r="K49" s="13" t="n"/>
    </row>
    <row r="50" ht="22" customHeight="1">
      <c r="B50" s="19">
        <f>IF(C50="","SO-"&amp;TEXT(COUNTA($C$5:C50),"000"))</f>
        <v/>
      </c>
      <c r="C50" s="16" t="n"/>
      <c r="D50" s="16" t="n"/>
      <c r="E50" s="16" t="n"/>
      <c r="F50" s="42" t="n"/>
      <c r="G50" s="42" t="n"/>
      <c r="H50" s="42" t="n"/>
      <c r="I50" s="43">
        <f>IF(OR(F50="",G50=""),"",G50-F50)</f>
        <v/>
      </c>
      <c r="J50" s="16" t="n"/>
      <c r="K50" s="16" t="n"/>
    </row>
    <row r="51" ht="22" customHeight="1">
      <c r="B51" s="20">
        <f>IF(C51="","SO-"&amp;TEXT(COUNTA($C$5:C51),"000"))</f>
        <v/>
      </c>
      <c r="C51" s="13" t="n"/>
      <c r="D51" s="13" t="n"/>
      <c r="E51" s="13" t="n"/>
      <c r="F51" s="40" t="n"/>
      <c r="G51" s="40" t="n"/>
      <c r="H51" s="40" t="n"/>
      <c r="I51" s="41">
        <f>IF(OR(F51="",G51=""),"",G51-F51)</f>
        <v/>
      </c>
      <c r="J51" s="13" t="n"/>
      <c r="K51" s="13" t="n"/>
    </row>
    <row r="52" ht="22" customHeight="1">
      <c r="B52" s="19">
        <f>IF(C52="","SO-"&amp;TEXT(COUNTA($C$5:C52),"000"))</f>
        <v/>
      </c>
      <c r="C52" s="16" t="n"/>
      <c r="D52" s="16" t="n"/>
      <c r="E52" s="16" t="n"/>
      <c r="F52" s="42" t="n"/>
      <c r="G52" s="42" t="n"/>
      <c r="H52" s="42" t="n"/>
      <c r="I52" s="43">
        <f>IF(OR(F52="",G52=""),"",G52-F52)</f>
        <v/>
      </c>
      <c r="J52" s="16" t="n"/>
      <c r="K52" s="16" t="n"/>
    </row>
    <row r="53" ht="22" customHeight="1">
      <c r="B53" s="20">
        <f>IF(C53="","SO-"&amp;TEXT(COUNTA($C$5:C53),"000"))</f>
        <v/>
      </c>
      <c r="C53" s="13" t="n"/>
      <c r="D53" s="13" t="n"/>
      <c r="E53" s="13" t="n"/>
      <c r="F53" s="40" t="n"/>
      <c r="G53" s="40" t="n"/>
      <c r="H53" s="40" t="n"/>
      <c r="I53" s="41">
        <f>IF(OR(F53="",G53=""),"",G53-F53)</f>
        <v/>
      </c>
      <c r="J53" s="13" t="n"/>
      <c r="K53" s="13" t="n"/>
    </row>
    <row r="54" ht="22" customHeight="1">
      <c r="B54" s="19">
        <f>IF(C54="","SO-"&amp;TEXT(COUNTA($C$5:C54),"000"))</f>
        <v/>
      </c>
      <c r="C54" s="16" t="n"/>
      <c r="D54" s="16" t="n"/>
      <c r="E54" s="16" t="n"/>
      <c r="F54" s="42" t="n"/>
      <c r="G54" s="42" t="n"/>
      <c r="H54" s="42" t="n"/>
      <c r="I54" s="43">
        <f>IF(OR(F54="",G54=""),"",G54-F54)</f>
        <v/>
      </c>
      <c r="J54" s="16" t="n"/>
      <c r="K54" s="16" t="n"/>
    </row>
    <row r="55" ht="22" customHeight="1">
      <c r="B55" s="20">
        <f>IF(C55="","SO-"&amp;TEXT(COUNTA($C$5:C55),"000"))</f>
        <v/>
      </c>
      <c r="C55" s="13" t="n"/>
      <c r="D55" s="13" t="n"/>
      <c r="E55" s="13" t="n"/>
      <c r="F55" s="40" t="n"/>
      <c r="G55" s="40" t="n"/>
      <c r="H55" s="40" t="n"/>
      <c r="I55" s="41">
        <f>IF(OR(F55="",G55=""),"",G55-F55)</f>
        <v/>
      </c>
      <c r="J55" s="13" t="n"/>
      <c r="K55" s="13" t="n"/>
    </row>
    <row r="56" ht="22" customHeight="1">
      <c r="B56" s="19">
        <f>IF(C56="","SO-"&amp;TEXT(COUNTA($C$5:C56),"000"))</f>
        <v/>
      </c>
      <c r="C56" s="16" t="n"/>
      <c r="D56" s="16" t="n"/>
      <c r="E56" s="16" t="n"/>
      <c r="F56" s="42" t="n"/>
      <c r="G56" s="42" t="n"/>
      <c r="H56" s="42" t="n"/>
      <c r="I56" s="43">
        <f>IF(OR(F56="",G56=""),"",G56-F56)</f>
        <v/>
      </c>
      <c r="J56" s="16" t="n"/>
      <c r="K56" s="16" t="n"/>
    </row>
    <row r="57" ht="22" customHeight="1">
      <c r="B57" s="20">
        <f>IF(C57="","SO-"&amp;TEXT(COUNTA($C$5:C57),"000"))</f>
        <v/>
      </c>
      <c r="C57" s="13" t="n"/>
      <c r="D57" s="13" t="n"/>
      <c r="E57" s="13" t="n"/>
      <c r="F57" s="40" t="n"/>
      <c r="G57" s="40" t="n"/>
      <c r="H57" s="40" t="n"/>
      <c r="I57" s="41">
        <f>IF(OR(F57="",G57=""),"",G57-F57)</f>
        <v/>
      </c>
      <c r="J57" s="13" t="n"/>
      <c r="K57" s="13" t="n"/>
    </row>
    <row r="58" ht="22" customHeight="1">
      <c r="B58" s="19">
        <f>IF(C58="","SO-"&amp;TEXT(COUNTA($C$5:C58),"000"))</f>
        <v/>
      </c>
      <c r="C58" s="16" t="n"/>
      <c r="D58" s="16" t="n"/>
      <c r="E58" s="16" t="n"/>
      <c r="F58" s="42" t="n"/>
      <c r="G58" s="42" t="n"/>
      <c r="H58" s="42" t="n"/>
      <c r="I58" s="43">
        <f>IF(OR(F58="",G58=""),"",G58-F58)</f>
        <v/>
      </c>
      <c r="J58" s="16" t="n"/>
      <c r="K58" s="16" t="n"/>
    </row>
    <row r="59" ht="22" customHeight="1">
      <c r="B59" s="20">
        <f>IF(C59="","SO-"&amp;TEXT(COUNTA($C$5:C59),"000"))</f>
        <v/>
      </c>
      <c r="C59" s="13" t="n"/>
      <c r="D59" s="13" t="n"/>
      <c r="E59" s="13" t="n"/>
      <c r="F59" s="40" t="n"/>
      <c r="G59" s="40" t="n"/>
      <c r="H59" s="40" t="n"/>
      <c r="I59" s="41">
        <f>IF(OR(F59="",G59=""),"",G59-F59)</f>
        <v/>
      </c>
      <c r="J59" s="13" t="n"/>
      <c r="K59" s="13" t="n"/>
    </row>
    <row r="60" ht="22" customHeight="1">
      <c r="B60" s="19">
        <f>IF(C60="","SO-"&amp;TEXT(COUNTA($C$5:C60),"000"))</f>
        <v/>
      </c>
      <c r="C60" s="16" t="n"/>
      <c r="D60" s="16" t="n"/>
      <c r="E60" s="16" t="n"/>
      <c r="F60" s="42" t="n"/>
      <c r="G60" s="42" t="n"/>
      <c r="H60" s="42" t="n"/>
      <c r="I60" s="43">
        <f>IF(OR(F60="",G60=""),"",G60-F60)</f>
        <v/>
      </c>
      <c r="J60" s="16" t="n"/>
      <c r="K60" s="16" t="n"/>
    </row>
    <row r="61" ht="22" customHeight="1">
      <c r="B61" s="20">
        <f>IF(C61="","SO-"&amp;TEXT(COUNTA($C$5:C61),"000"))</f>
        <v/>
      </c>
      <c r="C61" s="13" t="n"/>
      <c r="D61" s="13" t="n"/>
      <c r="E61" s="13" t="n"/>
      <c r="F61" s="40" t="n"/>
      <c r="G61" s="40" t="n"/>
      <c r="H61" s="40" t="n"/>
      <c r="I61" s="41">
        <f>IF(OR(F61="",G61=""),"",G61-F61)</f>
        <v/>
      </c>
      <c r="J61" s="13" t="n"/>
      <c r="K61" s="13" t="n"/>
    </row>
    <row r="62" ht="22" customHeight="1">
      <c r="B62" s="19">
        <f>IF(C62="","SO-"&amp;TEXT(COUNTA($C$5:C62),"000"))</f>
        <v/>
      </c>
      <c r="C62" s="16" t="n"/>
      <c r="D62" s="16" t="n"/>
      <c r="E62" s="16" t="n"/>
      <c r="F62" s="42" t="n"/>
      <c r="G62" s="42" t="n"/>
      <c r="H62" s="42" t="n"/>
      <c r="I62" s="43">
        <f>IF(OR(F62="",G62=""),"",G62-F62)</f>
        <v/>
      </c>
      <c r="J62" s="16" t="n"/>
      <c r="K62" s="16" t="n"/>
    </row>
    <row r="63" ht="22" customHeight="1">
      <c r="B63" s="20">
        <f>IF(C63="","SO-"&amp;TEXT(COUNTA($C$5:C63),"000"))</f>
        <v/>
      </c>
      <c r="C63" s="13" t="n"/>
      <c r="D63" s="13" t="n"/>
      <c r="E63" s="13" t="n"/>
      <c r="F63" s="40" t="n"/>
      <c r="G63" s="40" t="n"/>
      <c r="H63" s="40" t="n"/>
      <c r="I63" s="41">
        <f>IF(OR(F63="",G63=""),"",G63-F63)</f>
        <v/>
      </c>
      <c r="J63" s="13" t="n"/>
      <c r="K63" s="13" t="n"/>
    </row>
    <row r="64" ht="22" customHeight="1">
      <c r="B64" s="19">
        <f>IF(C64="","SO-"&amp;TEXT(COUNTA($C$5:C64),"000"))</f>
        <v/>
      </c>
      <c r="C64" s="16" t="n"/>
      <c r="D64" s="16" t="n"/>
      <c r="E64" s="16" t="n"/>
      <c r="F64" s="42" t="n"/>
      <c r="G64" s="42" t="n"/>
      <c r="H64" s="42" t="n"/>
      <c r="I64" s="43">
        <f>IF(OR(F64="",G64=""),"",G64-F64)</f>
        <v/>
      </c>
      <c r="J64" s="16" t="n"/>
      <c r="K64" s="16" t="n"/>
    </row>
    <row r="65" ht="22" customHeight="1">
      <c r="B65" s="20">
        <f>IF(C65="","SO-"&amp;TEXT(COUNTA($C$5:C65),"000"))</f>
        <v/>
      </c>
      <c r="C65" s="13" t="n"/>
      <c r="D65" s="13" t="n"/>
      <c r="E65" s="13" t="n"/>
      <c r="F65" s="40" t="n"/>
      <c r="G65" s="40" t="n"/>
      <c r="H65" s="40" t="n"/>
      <c r="I65" s="41">
        <f>IF(OR(F65="",G65=""),"",G65-F65)</f>
        <v/>
      </c>
      <c r="J65" s="13" t="n"/>
      <c r="K65" s="13" t="n"/>
    </row>
    <row r="66" ht="22" customHeight="1">
      <c r="B66" s="19">
        <f>IF(C66="","SO-"&amp;TEXT(COUNTA($C$5:C66),"000"))</f>
        <v/>
      </c>
      <c r="C66" s="16" t="n"/>
      <c r="D66" s="16" t="n"/>
      <c r="E66" s="16" t="n"/>
      <c r="F66" s="42" t="n"/>
      <c r="G66" s="42" t="n"/>
      <c r="H66" s="42" t="n"/>
      <c r="I66" s="43">
        <f>IF(OR(F66="",G66=""),"",G66-F66)</f>
        <v/>
      </c>
      <c r="J66" s="16" t="n"/>
      <c r="K66" s="16" t="n"/>
    </row>
    <row r="67" ht="22" customHeight="1">
      <c r="B67" s="20">
        <f>IF(C67="","SO-"&amp;TEXT(COUNTA($C$5:C67),"000"))</f>
        <v/>
      </c>
      <c r="C67" s="13" t="n"/>
      <c r="D67" s="13" t="n"/>
      <c r="E67" s="13" t="n"/>
      <c r="F67" s="40" t="n"/>
      <c r="G67" s="40" t="n"/>
      <c r="H67" s="40" t="n"/>
      <c r="I67" s="41">
        <f>IF(OR(F67="",G67=""),"",G67-F67)</f>
        <v/>
      </c>
      <c r="J67" s="13" t="n"/>
      <c r="K67" s="13" t="n"/>
    </row>
    <row r="68" ht="22" customHeight="1">
      <c r="B68" s="19">
        <f>IF(C68="","SO-"&amp;TEXT(COUNTA($C$5:C68),"000"))</f>
        <v/>
      </c>
      <c r="C68" s="16" t="n"/>
      <c r="D68" s="16" t="n"/>
      <c r="E68" s="16" t="n"/>
      <c r="F68" s="42" t="n"/>
      <c r="G68" s="42" t="n"/>
      <c r="H68" s="42" t="n"/>
      <c r="I68" s="43">
        <f>IF(OR(F68="",G68=""),"",G68-F68)</f>
        <v/>
      </c>
      <c r="J68" s="16" t="n"/>
      <c r="K68" s="16" t="n"/>
    </row>
    <row r="69" ht="22" customHeight="1">
      <c r="B69" s="20">
        <f>IF(C69="","SO-"&amp;TEXT(COUNTA($C$5:C69),"000"))</f>
        <v/>
      </c>
      <c r="C69" s="13" t="n"/>
      <c r="D69" s="13" t="n"/>
      <c r="E69" s="13" t="n"/>
      <c r="F69" s="40" t="n"/>
      <c r="G69" s="40" t="n"/>
      <c r="H69" s="40" t="n"/>
      <c r="I69" s="41">
        <f>IF(OR(F69="",G69=""),"",G69-F69)</f>
        <v/>
      </c>
      <c r="J69" s="13" t="n"/>
      <c r="K69" s="13" t="n"/>
    </row>
    <row r="70" ht="22" customHeight="1">
      <c r="B70" s="19">
        <f>IF(C70="","SO-"&amp;TEXT(COUNTA($C$5:C70),"000"))</f>
        <v/>
      </c>
      <c r="C70" s="16" t="n"/>
      <c r="D70" s="16" t="n"/>
      <c r="E70" s="16" t="n"/>
      <c r="F70" s="42" t="n"/>
      <c r="G70" s="42" t="n"/>
      <c r="H70" s="42" t="n"/>
      <c r="I70" s="43">
        <f>IF(OR(F70="",G70=""),"",G70-F70)</f>
        <v/>
      </c>
      <c r="J70" s="16" t="n"/>
      <c r="K70" s="16" t="n"/>
    </row>
    <row r="71" ht="22" customHeight="1">
      <c r="B71" s="20">
        <f>IF(C71="","SO-"&amp;TEXT(COUNTA($C$5:C71),"000"))</f>
        <v/>
      </c>
      <c r="C71" s="13" t="n"/>
      <c r="D71" s="13" t="n"/>
      <c r="E71" s="13" t="n"/>
      <c r="F71" s="40" t="n"/>
      <c r="G71" s="40" t="n"/>
      <c r="H71" s="40" t="n"/>
      <c r="I71" s="41">
        <f>IF(OR(F71="",G71=""),"",G71-F71)</f>
        <v/>
      </c>
      <c r="J71" s="13" t="n"/>
      <c r="K71" s="13" t="n"/>
    </row>
    <row r="72" ht="22" customHeight="1">
      <c r="B72" s="19">
        <f>IF(C72="","SO-"&amp;TEXT(COUNTA($C$5:C72),"000"))</f>
        <v/>
      </c>
      <c r="C72" s="16" t="n"/>
      <c r="D72" s="16" t="n"/>
      <c r="E72" s="16" t="n"/>
      <c r="F72" s="42" t="n"/>
      <c r="G72" s="42" t="n"/>
      <c r="H72" s="42" t="n"/>
      <c r="I72" s="43">
        <f>IF(OR(F72="",G72=""),"",G72-F72)</f>
        <v/>
      </c>
      <c r="J72" s="16" t="n"/>
      <c r="K72" s="16" t="n"/>
    </row>
    <row r="73" ht="22" customHeight="1">
      <c r="B73" s="20">
        <f>IF(C73="","SO-"&amp;TEXT(COUNTA($C$5:C73),"000"))</f>
        <v/>
      </c>
      <c r="C73" s="13" t="n"/>
      <c r="D73" s="13" t="n"/>
      <c r="E73" s="13" t="n"/>
      <c r="F73" s="40" t="n"/>
      <c r="G73" s="40" t="n"/>
      <c r="H73" s="40" t="n"/>
      <c r="I73" s="41">
        <f>IF(OR(F73="",G73=""),"",G73-F73)</f>
        <v/>
      </c>
      <c r="J73" s="13" t="n"/>
      <c r="K73" s="13" t="n"/>
    </row>
    <row r="74" ht="22" customHeight="1">
      <c r="B74" s="19">
        <f>IF(C74="","SO-"&amp;TEXT(COUNTA($C$5:C74),"000"))</f>
        <v/>
      </c>
      <c r="C74" s="16" t="n"/>
      <c r="D74" s="16" t="n"/>
      <c r="E74" s="16" t="n"/>
      <c r="F74" s="42" t="n"/>
      <c r="G74" s="42" t="n"/>
      <c r="H74" s="42" t="n"/>
      <c r="I74" s="43">
        <f>IF(OR(F74="",G74=""),"",G74-F74)</f>
        <v/>
      </c>
      <c r="J74" s="16" t="n"/>
      <c r="K74" s="16" t="n"/>
    </row>
    <row r="75" ht="22" customHeight="1">
      <c r="B75" s="20">
        <f>IF(C75="","SO-"&amp;TEXT(COUNTA($C$5:C75),"000"))</f>
        <v/>
      </c>
      <c r="C75" s="13" t="n"/>
      <c r="D75" s="13" t="n"/>
      <c r="E75" s="13" t="n"/>
      <c r="F75" s="40" t="n"/>
      <c r="G75" s="40" t="n"/>
      <c r="H75" s="40" t="n"/>
      <c r="I75" s="41">
        <f>IF(OR(F75="",G75=""),"",G75-F75)</f>
        <v/>
      </c>
      <c r="J75" s="13" t="n"/>
      <c r="K75" s="13" t="n"/>
    </row>
    <row r="76" ht="22" customHeight="1">
      <c r="B76" s="19">
        <f>IF(C76="","SO-"&amp;TEXT(COUNTA($C$5:C76),"000"))</f>
        <v/>
      </c>
      <c r="C76" s="16" t="n"/>
      <c r="D76" s="16" t="n"/>
      <c r="E76" s="16" t="n"/>
      <c r="F76" s="42" t="n"/>
      <c r="G76" s="42" t="n"/>
      <c r="H76" s="42" t="n"/>
      <c r="I76" s="43">
        <f>IF(OR(F76="",G76=""),"",G76-F76)</f>
        <v/>
      </c>
      <c r="J76" s="16" t="n"/>
      <c r="K76" s="16" t="n"/>
    </row>
    <row r="77" ht="22" customHeight="1">
      <c r="B77" s="20">
        <f>IF(C77="","SO-"&amp;TEXT(COUNTA($C$5:C77),"000"))</f>
        <v/>
      </c>
      <c r="C77" s="13" t="n"/>
      <c r="D77" s="13" t="n"/>
      <c r="E77" s="13" t="n"/>
      <c r="F77" s="40" t="n"/>
      <c r="G77" s="40" t="n"/>
      <c r="H77" s="40" t="n"/>
      <c r="I77" s="41">
        <f>IF(OR(F77="",G77=""),"",G77-F77)</f>
        <v/>
      </c>
      <c r="J77" s="13" t="n"/>
      <c r="K77" s="13" t="n"/>
    </row>
    <row r="78" ht="22" customHeight="1">
      <c r="B78" s="19">
        <f>IF(C78="","SO-"&amp;TEXT(COUNTA($C$5:C78),"000"))</f>
        <v/>
      </c>
      <c r="C78" s="16" t="n"/>
      <c r="D78" s="16" t="n"/>
      <c r="E78" s="16" t="n"/>
      <c r="F78" s="42" t="n"/>
      <c r="G78" s="42" t="n"/>
      <c r="H78" s="42" t="n"/>
      <c r="I78" s="43">
        <f>IF(OR(F78="",G78=""),"",G78-F78)</f>
        <v/>
      </c>
      <c r="J78" s="16" t="n"/>
      <c r="K78" s="16" t="n"/>
    </row>
    <row r="79" ht="22" customHeight="1">
      <c r="B79" s="20">
        <f>IF(C79="","SO-"&amp;TEXT(COUNTA($C$5:C79),"000"))</f>
        <v/>
      </c>
      <c r="C79" s="13" t="n"/>
      <c r="D79" s="13" t="n"/>
      <c r="E79" s="13" t="n"/>
      <c r="F79" s="40" t="n"/>
      <c r="G79" s="40" t="n"/>
      <c r="H79" s="40" t="n"/>
      <c r="I79" s="41">
        <f>IF(OR(F79="",G79=""),"",G79-F79)</f>
        <v/>
      </c>
      <c r="J79" s="13" t="n"/>
      <c r="K79" s="13" t="n"/>
    </row>
    <row r="80" ht="22" customHeight="1">
      <c r="B80" s="19">
        <f>IF(C80="","SO-"&amp;TEXT(COUNTA($C$5:C80),"000"))</f>
        <v/>
      </c>
      <c r="C80" s="16" t="n"/>
      <c r="D80" s="16" t="n"/>
      <c r="E80" s="16" t="n"/>
      <c r="F80" s="42" t="n"/>
      <c r="G80" s="42" t="n"/>
      <c r="H80" s="42" t="n"/>
      <c r="I80" s="43">
        <f>IF(OR(F80="",G80=""),"",G80-F80)</f>
        <v/>
      </c>
      <c r="J80" s="16" t="n"/>
      <c r="K80" s="16" t="n"/>
    </row>
    <row r="81" ht="22" customHeight="1">
      <c r="B81" s="20">
        <f>IF(C81="","SO-"&amp;TEXT(COUNTA($C$5:C81),"000"))</f>
        <v/>
      </c>
      <c r="C81" s="13" t="n"/>
      <c r="D81" s="13" t="n"/>
      <c r="E81" s="13" t="n"/>
      <c r="F81" s="40" t="n"/>
      <c r="G81" s="40" t="n"/>
      <c r="H81" s="40" t="n"/>
      <c r="I81" s="41">
        <f>IF(OR(F81="",G81=""),"",G81-F81)</f>
        <v/>
      </c>
      <c r="J81" s="13" t="n"/>
      <c r="K81" s="13" t="n"/>
    </row>
    <row r="82" ht="22" customHeight="1">
      <c r="B82" s="19">
        <f>IF(C82="","SO-"&amp;TEXT(COUNTA($C$5:C82),"000"))</f>
        <v/>
      </c>
      <c r="C82" s="16" t="n"/>
      <c r="D82" s="16" t="n"/>
      <c r="E82" s="16" t="n"/>
      <c r="F82" s="42" t="n"/>
      <c r="G82" s="42" t="n"/>
      <c r="H82" s="42" t="n"/>
      <c r="I82" s="43">
        <f>IF(OR(F82="",G82=""),"",G82-F82)</f>
        <v/>
      </c>
      <c r="J82" s="16" t="n"/>
      <c r="K82" s="16" t="n"/>
    </row>
    <row r="83" ht="22" customHeight="1">
      <c r="B83" s="20">
        <f>IF(C83="","SO-"&amp;TEXT(COUNTA($C$5:C83),"000"))</f>
        <v/>
      </c>
      <c r="C83" s="13" t="n"/>
      <c r="D83" s="13" t="n"/>
      <c r="E83" s="13" t="n"/>
      <c r="F83" s="40" t="n"/>
      <c r="G83" s="40" t="n"/>
      <c r="H83" s="40" t="n"/>
      <c r="I83" s="41">
        <f>IF(OR(F83="",G83=""),"",G83-F83)</f>
        <v/>
      </c>
      <c r="J83" s="13" t="n"/>
      <c r="K83" s="13" t="n"/>
    </row>
    <row r="84" ht="22" customHeight="1">
      <c r="B84" s="19">
        <f>IF(C84="","SO-"&amp;TEXT(COUNTA($C$5:C84),"000"))</f>
        <v/>
      </c>
      <c r="C84" s="16" t="n"/>
      <c r="D84" s="16" t="n"/>
      <c r="E84" s="16" t="n"/>
      <c r="F84" s="42" t="n"/>
      <c r="G84" s="42" t="n"/>
      <c r="H84" s="42" t="n"/>
      <c r="I84" s="43">
        <f>IF(OR(F84="",G84=""),"",G84-F84)</f>
        <v/>
      </c>
      <c r="J84" s="16" t="n"/>
      <c r="K84" s="16" t="n"/>
    </row>
    <row r="85" ht="22" customHeight="1">
      <c r="B85" s="20">
        <f>IF(C85="","SO-"&amp;TEXT(COUNTA($C$5:C85),"000"))</f>
        <v/>
      </c>
      <c r="C85" s="13" t="n"/>
      <c r="D85" s="13" t="n"/>
      <c r="E85" s="13" t="n"/>
      <c r="F85" s="40" t="n"/>
      <c r="G85" s="40" t="n"/>
      <c r="H85" s="40" t="n"/>
      <c r="I85" s="41">
        <f>IF(OR(F85="",G85=""),"",G85-F85)</f>
        <v/>
      </c>
      <c r="J85" s="13" t="n"/>
      <c r="K85" s="13" t="n"/>
    </row>
    <row r="86" ht="22" customHeight="1">
      <c r="B86" s="19">
        <f>IF(C86="","SO-"&amp;TEXT(COUNTA($C$5:C86),"000"))</f>
        <v/>
      </c>
      <c r="C86" s="16" t="n"/>
      <c r="D86" s="16" t="n"/>
      <c r="E86" s="16" t="n"/>
      <c r="F86" s="42" t="n"/>
      <c r="G86" s="42" t="n"/>
      <c r="H86" s="42" t="n"/>
      <c r="I86" s="43">
        <f>IF(OR(F86="",G86=""),"",G86-F86)</f>
        <v/>
      </c>
      <c r="J86" s="16" t="n"/>
      <c r="K86" s="16" t="n"/>
    </row>
    <row r="87" ht="22" customHeight="1">
      <c r="B87" s="20">
        <f>IF(C87="","SO-"&amp;TEXT(COUNTA($C$5:C87),"000"))</f>
        <v/>
      </c>
      <c r="C87" s="13" t="n"/>
      <c r="D87" s="13" t="n"/>
      <c r="E87" s="13" t="n"/>
      <c r="F87" s="40" t="n"/>
      <c r="G87" s="40" t="n"/>
      <c r="H87" s="40" t="n"/>
      <c r="I87" s="41">
        <f>IF(OR(F87="",G87=""),"",G87-F87)</f>
        <v/>
      </c>
      <c r="J87" s="13" t="n"/>
      <c r="K87" s="13" t="n"/>
    </row>
    <row r="88" ht="22" customHeight="1">
      <c r="B88" s="19">
        <f>IF(C88="","SO-"&amp;TEXT(COUNTA($C$5:C88),"000"))</f>
        <v/>
      </c>
      <c r="C88" s="16" t="n"/>
      <c r="D88" s="16" t="n"/>
      <c r="E88" s="16" t="n"/>
      <c r="F88" s="42" t="n"/>
      <c r="G88" s="42" t="n"/>
      <c r="H88" s="42" t="n"/>
      <c r="I88" s="43">
        <f>IF(OR(F88="",G88=""),"",G88-F88)</f>
        <v/>
      </c>
      <c r="J88" s="16" t="n"/>
      <c r="K88" s="16" t="n"/>
    </row>
    <row r="89" ht="22" customHeight="1">
      <c r="B89" s="20">
        <f>IF(C89="","SO-"&amp;TEXT(COUNTA($C$5:C89),"000"))</f>
        <v/>
      </c>
      <c r="C89" s="13" t="n"/>
      <c r="D89" s="13" t="n"/>
      <c r="E89" s="13" t="n"/>
      <c r="F89" s="40" t="n"/>
      <c r="G89" s="40" t="n"/>
      <c r="H89" s="40" t="n"/>
      <c r="I89" s="41">
        <f>IF(OR(F89="",G89=""),"",G89-F89)</f>
        <v/>
      </c>
      <c r="J89" s="13" t="n"/>
      <c r="K89" s="13" t="n"/>
    </row>
    <row r="90" ht="22" customHeight="1">
      <c r="B90" s="19">
        <f>IF(C90="","SO-"&amp;TEXT(COUNTA($C$5:C90),"000"))</f>
        <v/>
      </c>
      <c r="C90" s="16" t="n"/>
      <c r="D90" s="16" t="n"/>
      <c r="E90" s="16" t="n"/>
      <c r="F90" s="42" t="n"/>
      <c r="G90" s="42" t="n"/>
      <c r="H90" s="42" t="n"/>
      <c r="I90" s="43">
        <f>IF(OR(F90="",G90=""),"",G90-F90)</f>
        <v/>
      </c>
      <c r="J90" s="16" t="n"/>
      <c r="K90" s="16" t="n"/>
    </row>
    <row r="91" ht="22" customHeight="1">
      <c r="B91" s="20">
        <f>IF(C91="","SO-"&amp;TEXT(COUNTA($C$5:C91),"000"))</f>
        <v/>
      </c>
      <c r="C91" s="13" t="n"/>
      <c r="D91" s="13" t="n"/>
      <c r="E91" s="13" t="n"/>
      <c r="F91" s="40" t="n"/>
      <c r="G91" s="40" t="n"/>
      <c r="H91" s="40" t="n"/>
      <c r="I91" s="41">
        <f>IF(OR(F91="",G91=""),"",G91-F91)</f>
        <v/>
      </c>
      <c r="J91" s="13" t="n"/>
      <c r="K91" s="13" t="n"/>
    </row>
    <row r="92" ht="22" customHeight="1">
      <c r="B92" s="19">
        <f>IF(C92="","SO-"&amp;TEXT(COUNTA($C$5:C92),"000"))</f>
        <v/>
      </c>
      <c r="C92" s="16" t="n"/>
      <c r="D92" s="16" t="n"/>
      <c r="E92" s="16" t="n"/>
      <c r="F92" s="42" t="n"/>
      <c r="G92" s="42" t="n"/>
      <c r="H92" s="42" t="n"/>
      <c r="I92" s="43">
        <f>IF(OR(F92="",G92=""),"",G92-F92)</f>
        <v/>
      </c>
      <c r="J92" s="16" t="n"/>
      <c r="K92" s="16" t="n"/>
    </row>
    <row r="93" ht="22" customHeight="1">
      <c r="B93" s="20">
        <f>IF(C93="","SO-"&amp;TEXT(COUNTA($C$5:C93),"000"))</f>
        <v/>
      </c>
      <c r="C93" s="13" t="n"/>
      <c r="D93" s="13" t="n"/>
      <c r="E93" s="13" t="n"/>
      <c r="F93" s="40" t="n"/>
      <c r="G93" s="40" t="n"/>
      <c r="H93" s="40" t="n"/>
      <c r="I93" s="41">
        <f>IF(OR(F93="",G93=""),"",G93-F93)</f>
        <v/>
      </c>
      <c r="J93" s="13" t="n"/>
      <c r="K93" s="13" t="n"/>
    </row>
    <row r="94" ht="22" customHeight="1">
      <c r="B94" s="19">
        <f>IF(C94="","SO-"&amp;TEXT(COUNTA($C$5:C94),"000"))</f>
        <v/>
      </c>
      <c r="C94" s="16" t="n"/>
      <c r="D94" s="16" t="n"/>
      <c r="E94" s="16" t="n"/>
      <c r="F94" s="42" t="n"/>
      <c r="G94" s="42" t="n"/>
      <c r="H94" s="42" t="n"/>
      <c r="I94" s="43">
        <f>IF(OR(F94="",G94=""),"",G94-F94)</f>
        <v/>
      </c>
      <c r="J94" s="16" t="n"/>
      <c r="K94" s="16" t="n"/>
    </row>
    <row r="95" ht="22" customHeight="1">
      <c r="B95" s="20">
        <f>IF(C95="","SO-"&amp;TEXT(COUNTA($C$5:C95),"000"))</f>
        <v/>
      </c>
      <c r="C95" s="13" t="n"/>
      <c r="D95" s="13" t="n"/>
      <c r="E95" s="13" t="n"/>
      <c r="F95" s="40" t="n"/>
      <c r="G95" s="40" t="n"/>
      <c r="H95" s="40" t="n"/>
      <c r="I95" s="41">
        <f>IF(OR(F95="",G95=""),"",G95-F95)</f>
        <v/>
      </c>
      <c r="J95" s="13" t="n"/>
      <c r="K95" s="13" t="n"/>
    </row>
    <row r="96" ht="22" customHeight="1">
      <c r="B96" s="19">
        <f>IF(C96="","SO-"&amp;TEXT(COUNTA($C$5:C96),"000"))</f>
        <v/>
      </c>
      <c r="C96" s="16" t="n"/>
      <c r="D96" s="16" t="n"/>
      <c r="E96" s="16" t="n"/>
      <c r="F96" s="42" t="n"/>
      <c r="G96" s="42" t="n"/>
      <c r="H96" s="42" t="n"/>
      <c r="I96" s="43">
        <f>IF(OR(F96="",G96=""),"",G96-F96)</f>
        <v/>
      </c>
      <c r="J96" s="16" t="n"/>
      <c r="K96" s="16" t="n"/>
    </row>
    <row r="97" ht="22" customHeight="1">
      <c r="B97" s="20">
        <f>IF(C97="","SO-"&amp;TEXT(COUNTA($C$5:C97),"000"))</f>
        <v/>
      </c>
      <c r="C97" s="13" t="n"/>
      <c r="D97" s="13" t="n"/>
      <c r="E97" s="13" t="n"/>
      <c r="F97" s="40" t="n"/>
      <c r="G97" s="40" t="n"/>
      <c r="H97" s="40" t="n"/>
      <c r="I97" s="41">
        <f>IF(OR(F97="",G97=""),"",G97-F97)</f>
        <v/>
      </c>
      <c r="J97" s="13" t="n"/>
      <c r="K97" s="13" t="n"/>
    </row>
    <row r="98" ht="22" customHeight="1">
      <c r="B98" s="19">
        <f>IF(C98="","SO-"&amp;TEXT(COUNTA($C$5:C98),"000"))</f>
        <v/>
      </c>
      <c r="C98" s="16" t="n"/>
      <c r="D98" s="16" t="n"/>
      <c r="E98" s="16" t="n"/>
      <c r="F98" s="42" t="n"/>
      <c r="G98" s="42" t="n"/>
      <c r="H98" s="42" t="n"/>
      <c r="I98" s="43">
        <f>IF(OR(F98="",G98=""),"",G98-F98)</f>
        <v/>
      </c>
      <c r="J98" s="16" t="n"/>
      <c r="K98" s="16" t="n"/>
    </row>
    <row r="99" ht="22" customHeight="1">
      <c r="B99" s="20">
        <f>IF(C99="","SO-"&amp;TEXT(COUNTA($C$5:C99),"000"))</f>
        <v/>
      </c>
      <c r="C99" s="13" t="n"/>
      <c r="D99" s="13" t="n"/>
      <c r="E99" s="13" t="n"/>
      <c r="F99" s="40" t="n"/>
      <c r="G99" s="40" t="n"/>
      <c r="H99" s="40" t="n"/>
      <c r="I99" s="41">
        <f>IF(OR(F99="",G99=""),"",G99-F99)</f>
        <v/>
      </c>
      <c r="J99" s="13" t="n"/>
      <c r="K99" s="13" t="n"/>
    </row>
    <row r="100" ht="22" customHeight="1">
      <c r="B100" s="19">
        <f>IF(C100="","SO-"&amp;TEXT(COUNTA($C$5:C100),"000"))</f>
        <v/>
      </c>
      <c r="C100" s="16" t="n"/>
      <c r="D100" s="16" t="n"/>
      <c r="E100" s="16" t="n"/>
      <c r="F100" s="42" t="n"/>
      <c r="G100" s="42" t="n"/>
      <c r="H100" s="42" t="n"/>
      <c r="I100" s="43">
        <f>IF(OR(F100="",G100=""),"",G100-F100)</f>
        <v/>
      </c>
      <c r="J100" s="16" t="n"/>
      <c r="K100" s="16" t="n"/>
    </row>
    <row r="101" ht="22" customHeight="1">
      <c r="B101" s="20">
        <f>IF(C101="","SO-"&amp;TEXT(COUNTA($C$5:C101),"000"))</f>
        <v/>
      </c>
      <c r="C101" s="13" t="n"/>
      <c r="D101" s="13" t="n"/>
      <c r="E101" s="13" t="n"/>
      <c r="F101" s="40" t="n"/>
      <c r="G101" s="40" t="n"/>
      <c r="H101" s="40" t="n"/>
      <c r="I101" s="41">
        <f>IF(OR(F101="",G101=""),"",G101-F101)</f>
        <v/>
      </c>
      <c r="J101" s="13" t="n"/>
      <c r="K101" s="13" t="n"/>
    </row>
    <row r="102" ht="22" customHeight="1">
      <c r="B102" s="19">
        <f>IF(C102="","SO-"&amp;TEXT(COUNTA($C$5:C102),"000"))</f>
        <v/>
      </c>
      <c r="C102" s="16" t="n"/>
      <c r="D102" s="16" t="n"/>
      <c r="E102" s="16" t="n"/>
      <c r="F102" s="42" t="n"/>
      <c r="G102" s="42" t="n"/>
      <c r="H102" s="42" t="n"/>
      <c r="I102" s="43">
        <f>IF(OR(F102="",G102=""),"",G102-F102)</f>
        <v/>
      </c>
      <c r="J102" s="16" t="n"/>
      <c r="K102" s="16" t="n"/>
    </row>
    <row r="103" ht="22" customHeight="1">
      <c r="B103" s="20">
        <f>IF(C103="","SO-"&amp;TEXT(COUNTA($C$5:C103),"000"))</f>
        <v/>
      </c>
      <c r="C103" s="13" t="n"/>
      <c r="D103" s="13" t="n"/>
      <c r="E103" s="13" t="n"/>
      <c r="F103" s="40" t="n"/>
      <c r="G103" s="40" t="n"/>
      <c r="H103" s="40" t="n"/>
      <c r="I103" s="41">
        <f>IF(OR(F103="",G103=""),"",G103-F103)</f>
        <v/>
      </c>
      <c r="J103" s="13" t="n"/>
      <c r="K103" s="13" t="n"/>
    </row>
    <row r="104" ht="22" customHeight="1">
      <c r="B104" s="19">
        <f>IF(C104="","SO-"&amp;TEXT(COUNTA($C$5:C104),"000"))</f>
        <v/>
      </c>
      <c r="C104" s="16" t="n"/>
      <c r="D104" s="16" t="n"/>
      <c r="E104" s="16" t="n"/>
      <c r="F104" s="42" t="n"/>
      <c r="G104" s="42" t="n"/>
      <c r="H104" s="42" t="n"/>
      <c r="I104" s="43">
        <f>IF(OR(F104="",G104=""),"",G104-F104)</f>
        <v/>
      </c>
      <c r="J104" s="16" t="n"/>
      <c r="K104" s="16" t="n"/>
    </row>
    <row r="105" ht="22" customHeight="1">
      <c r="B105" s="20">
        <f>IF(C105="","SO-"&amp;TEXT(COUNTA($C$5:C105),"000"))</f>
        <v/>
      </c>
      <c r="C105" s="13" t="n"/>
      <c r="D105" s="13" t="n"/>
      <c r="E105" s="13" t="n"/>
      <c r="F105" s="40" t="n"/>
      <c r="G105" s="40" t="n"/>
      <c r="H105" s="40" t="n"/>
      <c r="I105" s="41">
        <f>IF(OR(F105="",G105=""),"",G105-F105)</f>
        <v/>
      </c>
      <c r="J105" s="13" t="n"/>
      <c r="K105" s="13" t="n"/>
    </row>
    <row r="106" ht="22" customHeight="1">
      <c r="B106" s="19">
        <f>IF(C106="","SO-"&amp;TEXT(COUNTA($C$5:C106),"000"))</f>
        <v/>
      </c>
      <c r="C106" s="16" t="n"/>
      <c r="D106" s="16" t="n"/>
      <c r="E106" s="16" t="n"/>
      <c r="F106" s="42" t="n"/>
      <c r="G106" s="42" t="n"/>
      <c r="H106" s="42" t="n"/>
      <c r="I106" s="43">
        <f>IF(OR(F106="",G106=""),"",G106-F106)</f>
        <v/>
      </c>
      <c r="J106" s="16" t="n"/>
      <c r="K106" s="16" t="n"/>
    </row>
    <row r="107" ht="22" customHeight="1">
      <c r="B107" s="20">
        <f>IF(C107="","SO-"&amp;TEXT(COUNTA($C$5:C107),"000"))</f>
        <v/>
      </c>
      <c r="C107" s="13" t="n"/>
      <c r="D107" s="13" t="n"/>
      <c r="E107" s="13" t="n"/>
      <c r="F107" s="40" t="n"/>
      <c r="G107" s="40" t="n"/>
      <c r="H107" s="40" t="n"/>
      <c r="I107" s="41">
        <f>IF(OR(F107="",G107=""),"",G107-F107)</f>
        <v/>
      </c>
      <c r="J107" s="13" t="n"/>
      <c r="K107" s="13" t="n"/>
    </row>
    <row r="108" ht="22" customHeight="1">
      <c r="B108" s="19">
        <f>IF(C108="","SO-"&amp;TEXT(COUNTA($C$5:C108),"000"))</f>
        <v/>
      </c>
      <c r="C108" s="16" t="n"/>
      <c r="D108" s="16" t="n"/>
      <c r="E108" s="16" t="n"/>
      <c r="F108" s="42" t="n"/>
      <c r="G108" s="42" t="n"/>
      <c r="H108" s="42" t="n"/>
      <c r="I108" s="43">
        <f>IF(OR(F108="",G108=""),"",G108-F108)</f>
        <v/>
      </c>
      <c r="J108" s="16" t="n"/>
      <c r="K108" s="16" t="n"/>
    </row>
    <row r="109" ht="22" customHeight="1">
      <c r="B109" s="20">
        <f>IF(C109="","SO-"&amp;TEXT(COUNTA($C$5:C109),"000"))</f>
        <v/>
      </c>
      <c r="C109" s="13" t="n"/>
      <c r="D109" s="13" t="n"/>
      <c r="E109" s="13" t="n"/>
      <c r="F109" s="40" t="n"/>
      <c r="G109" s="40" t="n"/>
      <c r="H109" s="40" t="n"/>
      <c r="I109" s="41">
        <f>IF(OR(F109="",G109=""),"",G109-F109)</f>
        <v/>
      </c>
      <c r="J109" s="13" t="n"/>
      <c r="K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Objectifs strategiques</t>
        </is>
      </c>
      <c r="D112" s="3" t="inlineStr">
        <is>
          <t>En cours</t>
        </is>
      </c>
      <c r="F112" s="3" t="inlineStr">
        <is>
          <t>En retard</t>
        </is>
      </c>
    </row>
    <row r="113">
      <c r="B113" s="4">
        <f>COUNTIF(B5:B104,"&lt;&gt;")</f>
        <v/>
      </c>
      <c r="D113" s="4">
        <f>COUNTIF(J5:J104,"En cours")</f>
        <v/>
      </c>
      <c r="F113" s="4">
        <f>COUNTIF(J5:J104,"En retard")</f>
        <v/>
      </c>
    </row>
  </sheetData>
  <mergeCells count="3">
    <mergeCell ref="B111:K111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10:B109">
    <cfRule type="expression" priority="274" dxfId="3">
      <formula>AND($C10="",$C9&lt;&gt;"")</formula>
    </cfRule>
  </conditionalFormatting>
  <conditionalFormatting sqref="C10:C109">
    <cfRule type="expression" priority="275" dxfId="3">
      <formula>AND($C10="",$C9&lt;&gt;"")</formula>
    </cfRule>
  </conditionalFormatting>
  <conditionalFormatting sqref="D10:D109">
    <cfRule type="expression" priority="276" dxfId="3">
      <formula>AND($C10="",$C9&lt;&gt;"")</formula>
    </cfRule>
  </conditionalFormatting>
  <conditionalFormatting sqref="E10:E109">
    <cfRule type="expression" priority="277" dxfId="3">
      <formula>AND($C10="",$C9&lt;&gt;"")</formula>
    </cfRule>
  </conditionalFormatting>
  <conditionalFormatting sqref="F10:F109">
    <cfRule type="expression" priority="278" dxfId="3">
      <formula>AND($C10="",$C9&lt;&gt;"")</formula>
    </cfRule>
  </conditionalFormatting>
  <conditionalFormatting sqref="G10:G109">
    <cfRule type="expression" priority="279" dxfId="3">
      <formula>AND($C10="",$C9&lt;&gt;"")</formula>
    </cfRule>
  </conditionalFormatting>
  <conditionalFormatting sqref="H10:H109">
    <cfRule type="expression" priority="280" dxfId="3">
      <formula>AND($C10="",$C9&lt;&gt;"")</formula>
    </cfRule>
  </conditionalFormatting>
  <conditionalFormatting sqref="I10:I109">
    <cfRule type="expression" priority="281" dxfId="3">
      <formula>AND($C10="",$C9&lt;&gt;"")</formula>
    </cfRule>
  </conditionalFormatting>
  <conditionalFormatting sqref="J10:J109">
    <cfRule type="expression" priority="282" dxfId="3">
      <formula>AND($C10="",$C9&lt;&gt;"")</formula>
    </cfRule>
  </conditionalFormatting>
  <conditionalFormatting sqref="K10:K109">
    <cfRule type="expression" priority="283" dxfId="3">
      <formula>AND($C10="",$C9&lt;&gt;"")</formula>
    </cfRule>
  </conditionalFormatting>
  <dataValidations count="1">
    <dataValidation sqref="J5:J109" showDropDown="0" showInputMessage="0" showErrorMessage="0" allowBlank="1" errorTitle="Erreur" error="Valeur invalide" promptTitle="Liste" prompt="Choisir dans la liste" type="list">
      <formula1>'_Lists'!$L$2:$L$7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0" customWidth="1" min="4" max="4"/>
    <col width="20" customWidth="1" min="5" max="5"/>
    <col width="20" customWidth="1" min="6" max="6"/>
    <col width="26" customWidth="1" min="7" max="7"/>
    <col width="20" customWidth="1" min="8" max="8"/>
    <col width="20" customWidth="1" min="9" max="9"/>
    <col width="22" customWidth="1" min="10" max="10"/>
    <col width="16" customWidth="1" min="11" max="11"/>
    <col width="36" customWidth="1" min="12" max="12"/>
  </cols>
  <sheetData>
    <row r="1" ht="15" customHeight="1"/>
    <row r="2" ht="32" customHeight="1">
      <c r="B2" s="1" t="inlineStr">
        <is>
          <t>ANALYSE BENCHMARKING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2" t="inlineStr">
        <is>
          <t>N°</t>
        </is>
      </c>
      <c r="C4" s="12" t="inlineStr">
        <is>
          <t>Indicateur</t>
        </is>
      </c>
      <c r="D4" s="12" t="inlineStr">
        <is>
          <t>Notre Hotel 2023</t>
        </is>
      </c>
      <c r="E4" s="12" t="inlineStr">
        <is>
          <t>Notre Hotel 2024</t>
        </is>
      </c>
      <c r="F4" s="12" t="inlineStr">
        <is>
          <t>Evolution Interne</t>
        </is>
      </c>
      <c r="G4" s="12" t="inlineStr">
        <is>
          <t>Moyenne Sectorielle 4*</t>
        </is>
      </c>
      <c r="H4" s="12" t="inlineStr">
        <is>
          <t>Ecart vs Secteur</t>
        </is>
      </c>
      <c r="I4" s="12" t="inlineStr">
        <is>
          <t>Meilleur Pratique</t>
        </is>
      </c>
      <c r="J4" s="12" t="inlineStr">
        <is>
          <t>Ecart vs Meilleur</t>
        </is>
      </c>
      <c r="K4" s="12" t="inlineStr">
        <is>
          <t>Statut</t>
        </is>
      </c>
      <c r="L4" s="12" t="inlineStr">
        <is>
          <t>Observations</t>
        </is>
      </c>
    </row>
    <row r="5" ht="22" customHeight="1">
      <c r="B5" s="13" t="inlineStr">
        <is>
          <t>ABM-001</t>
        </is>
      </c>
      <c r="C5" s="13" t="inlineStr">
        <is>
          <t>Taux rotation (%)</t>
        </is>
      </c>
      <c r="D5" s="40" t="n">
        <v>24</v>
      </c>
      <c r="E5" s="40" t="n">
        <v>18</v>
      </c>
      <c r="F5" s="41" t="n"/>
      <c r="G5" s="40" t="n">
        <v>22</v>
      </c>
      <c r="H5" s="41" t="n"/>
      <c r="I5" s="40" t="n">
        <v>10</v>
      </c>
      <c r="J5" s="41" t="n"/>
      <c r="K5" s="13" t="inlineStr">
        <is>
          <t>Bon</t>
        </is>
      </c>
      <c r="L5" s="13" t="inlineStr">
        <is>
          <t>Bonne progression, objectif 12%</t>
        </is>
      </c>
    </row>
    <row r="6" ht="22" customHeight="1">
      <c r="B6" s="16" t="inlineStr">
        <is>
          <t>ABM-002</t>
        </is>
      </c>
      <c r="C6" s="16" t="inlineStr">
        <is>
          <t>Delai embauche (j)</t>
        </is>
      </c>
      <c r="D6" s="42" t="n">
        <v>42</v>
      </c>
      <c r="E6" s="42" t="n">
        <v>28</v>
      </c>
      <c r="F6" s="43" t="n"/>
      <c r="G6" s="42" t="n">
        <v>35</v>
      </c>
      <c r="H6" s="43" t="n"/>
      <c r="I6" s="42" t="n">
        <v>14</v>
      </c>
      <c r="J6" s="43" t="n"/>
      <c r="K6" s="16" t="inlineStr">
        <is>
          <t>Bon</t>
        </is>
      </c>
      <c r="L6" s="16" t="inlineStr">
        <is>
          <t>ATS + IA accelenent le processus</t>
        </is>
      </c>
    </row>
    <row r="7" ht="22" customHeight="1">
      <c r="B7" s="13" t="inlineStr">
        <is>
          <t>ABM-003</t>
        </is>
      </c>
      <c r="C7" s="13" t="inlineStr">
        <is>
          <t>H form. / employe</t>
        </is>
      </c>
      <c r="D7" s="40" t="n">
        <v>5.6</v>
      </c>
      <c r="E7" s="40" t="n">
        <v>7.6</v>
      </c>
      <c r="F7" s="41" t="n"/>
      <c r="G7" s="40" t="n">
        <v>8</v>
      </c>
      <c r="H7" s="41" t="n"/>
      <c r="I7" s="40" t="n">
        <v>15</v>
      </c>
      <c r="J7" s="41" t="n"/>
      <c r="K7" s="13" t="inlineStr">
        <is>
          <t>Insuffisant</t>
        </is>
      </c>
      <c r="L7" s="13" t="inlineStr">
        <is>
          <t>Rattrapage en cours via e-learning</t>
        </is>
      </c>
    </row>
    <row r="8" ht="22" customHeight="1">
      <c r="B8" s="16" t="inlineStr">
        <is>
          <t>ABM-004</t>
        </is>
      </c>
      <c r="C8" s="16" t="inlineStr">
        <is>
          <t>Satisfaction employes</t>
        </is>
      </c>
      <c r="D8" s="42" t="n">
        <v>3.2</v>
      </c>
      <c r="E8" s="42" t="n">
        <v>3.5</v>
      </c>
      <c r="F8" s="43" t="n"/>
      <c r="G8" s="42" t="n">
        <v>3.4</v>
      </c>
      <c r="H8" s="43" t="n"/>
      <c r="I8" s="42" t="n">
        <v>4.5</v>
      </c>
      <c r="J8" s="43" t="n"/>
      <c r="K8" s="16" t="inlineStr">
        <is>
          <t>Bon</t>
        </is>
      </c>
      <c r="L8" s="16" t="inlineStr">
        <is>
          <t>Programme bien-etre porte ses fruits</t>
        </is>
      </c>
    </row>
    <row r="9" ht="22" customHeight="1">
      <c r="B9" s="13" t="inlineStr">
        <is>
          <t>ABM-005</t>
        </is>
      </c>
      <c r="C9" s="13" t="inlineStr">
        <is>
          <t>Absentéisme (%)</t>
        </is>
      </c>
      <c r="D9" s="40" t="n">
        <v>7.5</v>
      </c>
      <c r="E9" s="40" t="n">
        <v>5.8</v>
      </c>
      <c r="F9" s="41" t="n"/>
      <c r="G9" s="40" t="n">
        <v>7</v>
      </c>
      <c r="H9" s="41" t="n"/>
      <c r="I9" s="40" t="n">
        <v>3.5</v>
      </c>
      <c r="J9" s="41" t="n"/>
      <c r="K9" s="13" t="inlineStr">
        <is>
          <t>Moyen</t>
        </is>
      </c>
      <c r="L9" s="13" t="inlineStr">
        <is>
          <t>Amelioration mais encore au-dessus meilleur</t>
        </is>
      </c>
    </row>
    <row r="10" ht="22" customHeight="1">
      <c r="B10" s="19">
        <f>IF(C10="","ABM-"&amp;TEXT(COUNTA($C$5:C10),"000"))</f>
        <v/>
      </c>
      <c r="C10" s="16" t="n"/>
      <c r="D10" s="42" t="n"/>
      <c r="E10" s="42" t="n"/>
      <c r="F10" s="43">
        <f>IF(OR(D10="",E10=""),"",E10-D10)</f>
        <v/>
      </c>
      <c r="G10" s="42" t="n"/>
      <c r="H10" s="43">
        <f>IF(OR(E10="",G10=""),"",E10-G10)</f>
        <v/>
      </c>
      <c r="I10" s="42" t="n"/>
      <c r="J10" s="43">
        <f>IF(OR(E10="",I10=""),"",E10-I10)</f>
        <v/>
      </c>
      <c r="K10" s="16" t="n"/>
      <c r="L10" s="16" t="n"/>
    </row>
    <row r="11" ht="22" customHeight="1">
      <c r="B11" s="20">
        <f>IF(C11="","ABM-"&amp;TEXT(COUNTA($C$5:C11),"000"))</f>
        <v/>
      </c>
      <c r="C11" s="13" t="n"/>
      <c r="D11" s="40" t="n"/>
      <c r="E11" s="40" t="n"/>
      <c r="F11" s="41">
        <f>IF(OR(D11="",E11=""),"",E11-D11)</f>
        <v/>
      </c>
      <c r="G11" s="40" t="n"/>
      <c r="H11" s="41">
        <f>IF(OR(E11="",G11=""),"",E11-G11)</f>
        <v/>
      </c>
      <c r="I11" s="40" t="n"/>
      <c r="J11" s="41">
        <f>IF(OR(E11="",I11=""),"",E11-I11)</f>
        <v/>
      </c>
      <c r="K11" s="13" t="n"/>
      <c r="L11" s="13" t="n"/>
    </row>
    <row r="12" ht="22" customHeight="1">
      <c r="B12" s="19">
        <f>IF(C12="","ABM-"&amp;TEXT(COUNTA($C$5:C12),"000"))</f>
        <v/>
      </c>
      <c r="C12" s="16" t="n"/>
      <c r="D12" s="42" t="n"/>
      <c r="E12" s="42" t="n"/>
      <c r="F12" s="43">
        <f>IF(OR(D12="",E12=""),"",E12-D12)</f>
        <v/>
      </c>
      <c r="G12" s="42" t="n"/>
      <c r="H12" s="43">
        <f>IF(OR(E12="",G12=""),"",E12-G12)</f>
        <v/>
      </c>
      <c r="I12" s="42" t="n"/>
      <c r="J12" s="43">
        <f>IF(OR(E12="",I12=""),"",E12-I12)</f>
        <v/>
      </c>
      <c r="K12" s="16" t="n"/>
      <c r="L12" s="16" t="n"/>
    </row>
    <row r="13" ht="22" customHeight="1">
      <c r="B13" s="20">
        <f>IF(C13="","ABM-"&amp;TEXT(COUNTA($C$5:C13),"000"))</f>
        <v/>
      </c>
      <c r="C13" s="13" t="n"/>
      <c r="D13" s="40" t="n"/>
      <c r="E13" s="40" t="n"/>
      <c r="F13" s="41">
        <f>IF(OR(D13="",E13=""),"",E13-D13)</f>
        <v/>
      </c>
      <c r="G13" s="40" t="n"/>
      <c r="H13" s="41">
        <f>IF(OR(E13="",G13=""),"",E13-G13)</f>
        <v/>
      </c>
      <c r="I13" s="40" t="n"/>
      <c r="J13" s="41">
        <f>IF(OR(E13="",I13=""),"",E13-I13)</f>
        <v/>
      </c>
      <c r="K13" s="13" t="n"/>
      <c r="L13" s="13" t="n"/>
    </row>
    <row r="14" ht="22" customHeight="1">
      <c r="B14" s="19">
        <f>IF(C14="","ABM-"&amp;TEXT(COUNTA($C$5:C14),"000"))</f>
        <v/>
      </c>
      <c r="C14" s="16" t="n"/>
      <c r="D14" s="42" t="n"/>
      <c r="E14" s="42" t="n"/>
      <c r="F14" s="43">
        <f>IF(OR(D14="",E14=""),"",E14-D14)</f>
        <v/>
      </c>
      <c r="G14" s="42" t="n"/>
      <c r="H14" s="43">
        <f>IF(OR(E14="",G14=""),"",E14-G14)</f>
        <v/>
      </c>
      <c r="I14" s="42" t="n"/>
      <c r="J14" s="43">
        <f>IF(OR(E14="",I14=""),"",E14-I14)</f>
        <v/>
      </c>
      <c r="K14" s="16" t="n"/>
      <c r="L14" s="16" t="n"/>
    </row>
    <row r="15" ht="22" customHeight="1">
      <c r="B15" s="20">
        <f>IF(C15="","ABM-"&amp;TEXT(COUNTA($C$5:C15),"000"))</f>
        <v/>
      </c>
      <c r="C15" s="13" t="n"/>
      <c r="D15" s="40" t="n"/>
      <c r="E15" s="40" t="n"/>
      <c r="F15" s="41">
        <f>IF(OR(D15="",E15=""),"",E15-D15)</f>
        <v/>
      </c>
      <c r="G15" s="40" t="n"/>
      <c r="H15" s="41">
        <f>IF(OR(E15="",G15=""),"",E15-G15)</f>
        <v/>
      </c>
      <c r="I15" s="40" t="n"/>
      <c r="J15" s="41">
        <f>IF(OR(E15="",I15=""),"",E15-I15)</f>
        <v/>
      </c>
      <c r="K15" s="13" t="n"/>
      <c r="L15" s="13" t="n"/>
    </row>
    <row r="16" ht="22" customHeight="1">
      <c r="B16" s="19">
        <f>IF(C16="","ABM-"&amp;TEXT(COUNTA($C$5:C16),"000"))</f>
        <v/>
      </c>
      <c r="C16" s="16" t="n"/>
      <c r="D16" s="42" t="n"/>
      <c r="E16" s="42" t="n"/>
      <c r="F16" s="43">
        <f>IF(OR(D16="",E16=""),"",E16-D16)</f>
        <v/>
      </c>
      <c r="G16" s="42" t="n"/>
      <c r="H16" s="43">
        <f>IF(OR(E16="",G16=""),"",E16-G16)</f>
        <v/>
      </c>
      <c r="I16" s="42" t="n"/>
      <c r="J16" s="43">
        <f>IF(OR(E16="",I16=""),"",E16-I16)</f>
        <v/>
      </c>
      <c r="K16" s="16" t="n"/>
      <c r="L16" s="16" t="n"/>
    </row>
    <row r="17" ht="22" customHeight="1">
      <c r="B17" s="20">
        <f>IF(C17="","ABM-"&amp;TEXT(COUNTA($C$5:C17),"000"))</f>
        <v/>
      </c>
      <c r="C17" s="13" t="n"/>
      <c r="D17" s="40" t="n"/>
      <c r="E17" s="40" t="n"/>
      <c r="F17" s="41">
        <f>IF(OR(D17="",E17=""),"",E17-D17)</f>
        <v/>
      </c>
      <c r="G17" s="40" t="n"/>
      <c r="H17" s="41">
        <f>IF(OR(E17="",G17=""),"",E17-G17)</f>
        <v/>
      </c>
      <c r="I17" s="40" t="n"/>
      <c r="J17" s="41">
        <f>IF(OR(E17="",I17=""),"",E17-I17)</f>
        <v/>
      </c>
      <c r="K17" s="13" t="n"/>
      <c r="L17" s="13" t="n"/>
    </row>
    <row r="18" ht="22" customHeight="1">
      <c r="B18" s="19">
        <f>IF(C18="","ABM-"&amp;TEXT(COUNTA($C$5:C18),"000"))</f>
        <v/>
      </c>
      <c r="C18" s="16" t="n"/>
      <c r="D18" s="42" t="n"/>
      <c r="E18" s="42" t="n"/>
      <c r="F18" s="43">
        <f>IF(OR(D18="",E18=""),"",E18-D18)</f>
        <v/>
      </c>
      <c r="G18" s="42" t="n"/>
      <c r="H18" s="43">
        <f>IF(OR(E18="",G18=""),"",E18-G18)</f>
        <v/>
      </c>
      <c r="I18" s="42" t="n"/>
      <c r="J18" s="43">
        <f>IF(OR(E18="",I18=""),"",E18-I18)</f>
        <v/>
      </c>
      <c r="K18" s="16" t="n"/>
      <c r="L18" s="16" t="n"/>
    </row>
    <row r="19" ht="22" customHeight="1">
      <c r="B19" s="20">
        <f>IF(C19="","ABM-"&amp;TEXT(COUNTA($C$5:C19),"000"))</f>
        <v/>
      </c>
      <c r="C19" s="13" t="n"/>
      <c r="D19" s="40" t="n"/>
      <c r="E19" s="40" t="n"/>
      <c r="F19" s="41">
        <f>IF(OR(D19="",E19=""),"",E19-D19)</f>
        <v/>
      </c>
      <c r="G19" s="40" t="n"/>
      <c r="H19" s="41">
        <f>IF(OR(E19="",G19=""),"",E19-G19)</f>
        <v/>
      </c>
      <c r="I19" s="40" t="n"/>
      <c r="J19" s="41">
        <f>IF(OR(E19="",I19=""),"",E19-I19)</f>
        <v/>
      </c>
      <c r="K19" s="13" t="n"/>
      <c r="L19" s="13" t="n"/>
    </row>
    <row r="20" ht="22" customHeight="1">
      <c r="B20" s="19">
        <f>IF(C20="","ABM-"&amp;TEXT(COUNTA($C$5:C20),"000"))</f>
        <v/>
      </c>
      <c r="C20" s="16" t="n"/>
      <c r="D20" s="42" t="n"/>
      <c r="E20" s="42" t="n"/>
      <c r="F20" s="43">
        <f>IF(OR(D20="",E20=""),"",E20-D20)</f>
        <v/>
      </c>
      <c r="G20" s="42" t="n"/>
      <c r="H20" s="43">
        <f>IF(OR(E20="",G20=""),"",E20-G20)</f>
        <v/>
      </c>
      <c r="I20" s="42" t="n"/>
      <c r="J20" s="43">
        <f>IF(OR(E20="",I20=""),"",E20-I20)</f>
        <v/>
      </c>
      <c r="K20" s="16" t="n"/>
      <c r="L20" s="16" t="n"/>
    </row>
    <row r="21" ht="22" customHeight="1">
      <c r="B21" s="20">
        <f>IF(C21="","ABM-"&amp;TEXT(COUNTA($C$5:C21),"000"))</f>
        <v/>
      </c>
      <c r="C21" s="13" t="n"/>
      <c r="D21" s="40" t="n"/>
      <c r="E21" s="40" t="n"/>
      <c r="F21" s="41">
        <f>IF(OR(D21="",E21=""),"",E21-D21)</f>
        <v/>
      </c>
      <c r="G21" s="40" t="n"/>
      <c r="H21" s="41">
        <f>IF(OR(E21="",G21=""),"",E21-G21)</f>
        <v/>
      </c>
      <c r="I21" s="40" t="n"/>
      <c r="J21" s="41">
        <f>IF(OR(E21="",I21=""),"",E21-I21)</f>
        <v/>
      </c>
      <c r="K21" s="13" t="n"/>
      <c r="L21" s="13" t="n"/>
    </row>
    <row r="22" ht="22" customHeight="1">
      <c r="B22" s="19">
        <f>IF(C22="","ABM-"&amp;TEXT(COUNTA($C$5:C22),"000"))</f>
        <v/>
      </c>
      <c r="C22" s="16" t="n"/>
      <c r="D22" s="42" t="n"/>
      <c r="E22" s="42" t="n"/>
      <c r="F22" s="43">
        <f>IF(OR(D22="",E22=""),"",E22-D22)</f>
        <v/>
      </c>
      <c r="G22" s="42" t="n"/>
      <c r="H22" s="43">
        <f>IF(OR(E22="",G22=""),"",E22-G22)</f>
        <v/>
      </c>
      <c r="I22" s="42" t="n"/>
      <c r="J22" s="43">
        <f>IF(OR(E22="",I22=""),"",E22-I22)</f>
        <v/>
      </c>
      <c r="K22" s="16" t="n"/>
      <c r="L22" s="16" t="n"/>
    </row>
    <row r="23" ht="22" customHeight="1">
      <c r="B23" s="20">
        <f>IF(C23="","ABM-"&amp;TEXT(COUNTA($C$5:C23),"000"))</f>
        <v/>
      </c>
      <c r="C23" s="13" t="n"/>
      <c r="D23" s="40" t="n"/>
      <c r="E23" s="40" t="n"/>
      <c r="F23" s="41">
        <f>IF(OR(D23="",E23=""),"",E23-D23)</f>
        <v/>
      </c>
      <c r="G23" s="40" t="n"/>
      <c r="H23" s="41">
        <f>IF(OR(E23="",G23=""),"",E23-G23)</f>
        <v/>
      </c>
      <c r="I23" s="40" t="n"/>
      <c r="J23" s="41">
        <f>IF(OR(E23="",I23=""),"",E23-I23)</f>
        <v/>
      </c>
      <c r="K23" s="13" t="n"/>
      <c r="L23" s="13" t="n"/>
    </row>
    <row r="24" ht="22" customHeight="1">
      <c r="B24" s="19">
        <f>IF(C24="","ABM-"&amp;TEXT(COUNTA($C$5:C24),"000"))</f>
        <v/>
      </c>
      <c r="C24" s="16" t="n"/>
      <c r="D24" s="42" t="n"/>
      <c r="E24" s="42" t="n"/>
      <c r="F24" s="43">
        <f>IF(OR(D24="",E24=""),"",E24-D24)</f>
        <v/>
      </c>
      <c r="G24" s="42" t="n"/>
      <c r="H24" s="43">
        <f>IF(OR(E24="",G24=""),"",E24-G24)</f>
        <v/>
      </c>
      <c r="I24" s="42" t="n"/>
      <c r="J24" s="43">
        <f>IF(OR(E24="",I24=""),"",E24-I24)</f>
        <v/>
      </c>
      <c r="K24" s="16" t="n"/>
      <c r="L24" s="16" t="n"/>
    </row>
    <row r="25" ht="22" customHeight="1">
      <c r="B25" s="20">
        <f>IF(C25="","ABM-"&amp;TEXT(COUNTA($C$5:C25),"000"))</f>
        <v/>
      </c>
      <c r="C25" s="13" t="n"/>
      <c r="D25" s="40" t="n"/>
      <c r="E25" s="40" t="n"/>
      <c r="F25" s="41">
        <f>IF(OR(D25="",E25=""),"",E25-D25)</f>
        <v/>
      </c>
      <c r="G25" s="40" t="n"/>
      <c r="H25" s="41">
        <f>IF(OR(E25="",G25=""),"",E25-G25)</f>
        <v/>
      </c>
      <c r="I25" s="40" t="n"/>
      <c r="J25" s="41">
        <f>IF(OR(E25="",I25=""),"",E25-I25)</f>
        <v/>
      </c>
      <c r="K25" s="13" t="n"/>
      <c r="L25" s="13" t="n"/>
    </row>
    <row r="26" ht="22" customHeight="1">
      <c r="B26" s="19">
        <f>IF(C26="","ABM-"&amp;TEXT(COUNTA($C$5:C26),"000"))</f>
        <v/>
      </c>
      <c r="C26" s="16" t="n"/>
      <c r="D26" s="42" t="n"/>
      <c r="E26" s="42" t="n"/>
      <c r="F26" s="43">
        <f>IF(OR(D26="",E26=""),"",E26-D26)</f>
        <v/>
      </c>
      <c r="G26" s="42" t="n"/>
      <c r="H26" s="43">
        <f>IF(OR(E26="",G26=""),"",E26-G26)</f>
        <v/>
      </c>
      <c r="I26" s="42" t="n"/>
      <c r="J26" s="43">
        <f>IF(OR(E26="",I26=""),"",E26-I26)</f>
        <v/>
      </c>
      <c r="K26" s="16" t="n"/>
      <c r="L26" s="16" t="n"/>
    </row>
    <row r="27" ht="22" customHeight="1">
      <c r="B27" s="20">
        <f>IF(C27="","ABM-"&amp;TEXT(COUNTA($C$5:C27),"000"))</f>
        <v/>
      </c>
      <c r="C27" s="13" t="n"/>
      <c r="D27" s="40" t="n"/>
      <c r="E27" s="40" t="n"/>
      <c r="F27" s="41">
        <f>IF(OR(D27="",E27=""),"",E27-D27)</f>
        <v/>
      </c>
      <c r="G27" s="40" t="n"/>
      <c r="H27" s="41">
        <f>IF(OR(E27="",G27=""),"",E27-G27)</f>
        <v/>
      </c>
      <c r="I27" s="40" t="n"/>
      <c r="J27" s="41">
        <f>IF(OR(E27="",I27=""),"",E27-I27)</f>
        <v/>
      </c>
      <c r="K27" s="13" t="n"/>
      <c r="L27" s="13" t="n"/>
    </row>
    <row r="28" ht="22" customHeight="1">
      <c r="B28" s="19">
        <f>IF(C28="","ABM-"&amp;TEXT(COUNTA($C$5:C28),"000"))</f>
        <v/>
      </c>
      <c r="C28" s="16" t="n"/>
      <c r="D28" s="42" t="n"/>
      <c r="E28" s="42" t="n"/>
      <c r="F28" s="43">
        <f>IF(OR(D28="",E28=""),"",E28-D28)</f>
        <v/>
      </c>
      <c r="G28" s="42" t="n"/>
      <c r="H28" s="43">
        <f>IF(OR(E28="",G28=""),"",E28-G28)</f>
        <v/>
      </c>
      <c r="I28" s="42" t="n"/>
      <c r="J28" s="43">
        <f>IF(OR(E28="",I28=""),"",E28-I28)</f>
        <v/>
      </c>
      <c r="K28" s="16" t="n"/>
      <c r="L28" s="16" t="n"/>
    </row>
    <row r="29" ht="22" customHeight="1">
      <c r="B29" s="20">
        <f>IF(C29="","ABM-"&amp;TEXT(COUNTA($C$5:C29),"000"))</f>
        <v/>
      </c>
      <c r="C29" s="13" t="n"/>
      <c r="D29" s="40" t="n"/>
      <c r="E29" s="40" t="n"/>
      <c r="F29" s="41">
        <f>IF(OR(D29="",E29=""),"",E29-D29)</f>
        <v/>
      </c>
      <c r="G29" s="40" t="n"/>
      <c r="H29" s="41">
        <f>IF(OR(E29="",G29=""),"",E29-G29)</f>
        <v/>
      </c>
      <c r="I29" s="40" t="n"/>
      <c r="J29" s="41">
        <f>IF(OR(E29="",I29=""),"",E29-I29)</f>
        <v/>
      </c>
      <c r="K29" s="13" t="n"/>
      <c r="L29" s="13" t="n"/>
    </row>
    <row r="30" ht="22" customHeight="1">
      <c r="B30" s="19">
        <f>IF(C30="","ABM-"&amp;TEXT(COUNTA($C$5:C30),"000"))</f>
        <v/>
      </c>
      <c r="C30" s="16" t="n"/>
      <c r="D30" s="42" t="n"/>
      <c r="E30" s="42" t="n"/>
      <c r="F30" s="43">
        <f>IF(OR(D30="",E30=""),"",E30-D30)</f>
        <v/>
      </c>
      <c r="G30" s="42" t="n"/>
      <c r="H30" s="43">
        <f>IF(OR(E30="",G30=""),"",E30-G30)</f>
        <v/>
      </c>
      <c r="I30" s="42" t="n"/>
      <c r="J30" s="43">
        <f>IF(OR(E30="",I30=""),"",E30-I30)</f>
        <v/>
      </c>
      <c r="K30" s="16" t="n"/>
      <c r="L30" s="16" t="n"/>
    </row>
    <row r="31" ht="22" customHeight="1">
      <c r="B31" s="20">
        <f>IF(C31="","ABM-"&amp;TEXT(COUNTA($C$5:C31),"000"))</f>
        <v/>
      </c>
      <c r="C31" s="13" t="n"/>
      <c r="D31" s="40" t="n"/>
      <c r="E31" s="40" t="n"/>
      <c r="F31" s="41">
        <f>IF(OR(D31="",E31=""),"",E31-D31)</f>
        <v/>
      </c>
      <c r="G31" s="40" t="n"/>
      <c r="H31" s="41">
        <f>IF(OR(E31="",G31=""),"",E31-G31)</f>
        <v/>
      </c>
      <c r="I31" s="40" t="n"/>
      <c r="J31" s="41">
        <f>IF(OR(E31="",I31=""),"",E31-I31)</f>
        <v/>
      </c>
      <c r="K31" s="13" t="n"/>
      <c r="L31" s="13" t="n"/>
    </row>
    <row r="32" ht="22" customHeight="1">
      <c r="B32" s="19">
        <f>IF(C32="","ABM-"&amp;TEXT(COUNTA($C$5:C32),"000"))</f>
        <v/>
      </c>
      <c r="C32" s="16" t="n"/>
      <c r="D32" s="42" t="n"/>
      <c r="E32" s="42" t="n"/>
      <c r="F32" s="43">
        <f>IF(OR(D32="",E32=""),"",E32-D32)</f>
        <v/>
      </c>
      <c r="G32" s="42" t="n"/>
      <c r="H32" s="43">
        <f>IF(OR(E32="",G32=""),"",E32-G32)</f>
        <v/>
      </c>
      <c r="I32" s="42" t="n"/>
      <c r="J32" s="43">
        <f>IF(OR(E32="",I32=""),"",E32-I32)</f>
        <v/>
      </c>
      <c r="K32" s="16" t="n"/>
      <c r="L32" s="16" t="n"/>
    </row>
    <row r="33" ht="22" customHeight="1">
      <c r="B33" s="20">
        <f>IF(C33="","ABM-"&amp;TEXT(COUNTA($C$5:C33),"000"))</f>
        <v/>
      </c>
      <c r="C33" s="13" t="n"/>
      <c r="D33" s="40" t="n"/>
      <c r="E33" s="40" t="n"/>
      <c r="F33" s="41">
        <f>IF(OR(D33="",E33=""),"",E33-D33)</f>
        <v/>
      </c>
      <c r="G33" s="40" t="n"/>
      <c r="H33" s="41">
        <f>IF(OR(E33="",G33=""),"",E33-G33)</f>
        <v/>
      </c>
      <c r="I33" s="40" t="n"/>
      <c r="J33" s="41">
        <f>IF(OR(E33="",I33=""),"",E33-I33)</f>
        <v/>
      </c>
      <c r="K33" s="13" t="n"/>
      <c r="L33" s="13" t="n"/>
    </row>
    <row r="34" ht="22" customHeight="1">
      <c r="B34" s="19">
        <f>IF(C34="","ABM-"&amp;TEXT(COUNTA($C$5:C34),"000"))</f>
        <v/>
      </c>
      <c r="C34" s="16" t="n"/>
      <c r="D34" s="42" t="n"/>
      <c r="E34" s="42" t="n"/>
      <c r="F34" s="43">
        <f>IF(OR(D34="",E34=""),"",E34-D34)</f>
        <v/>
      </c>
      <c r="G34" s="42" t="n"/>
      <c r="H34" s="43">
        <f>IF(OR(E34="",G34=""),"",E34-G34)</f>
        <v/>
      </c>
      <c r="I34" s="42" t="n"/>
      <c r="J34" s="43">
        <f>IF(OR(E34="",I34=""),"",E34-I34)</f>
        <v/>
      </c>
      <c r="K34" s="16" t="n"/>
      <c r="L34" s="16" t="n"/>
    </row>
    <row r="35" ht="22" customHeight="1">
      <c r="B35" s="20">
        <f>IF(C35="","ABM-"&amp;TEXT(COUNTA($C$5:C35),"000"))</f>
        <v/>
      </c>
      <c r="C35" s="13" t="n"/>
      <c r="D35" s="40" t="n"/>
      <c r="E35" s="40" t="n"/>
      <c r="F35" s="41">
        <f>IF(OR(D35="",E35=""),"",E35-D35)</f>
        <v/>
      </c>
      <c r="G35" s="40" t="n"/>
      <c r="H35" s="41">
        <f>IF(OR(E35="",G35=""),"",E35-G35)</f>
        <v/>
      </c>
      <c r="I35" s="40" t="n"/>
      <c r="J35" s="41">
        <f>IF(OR(E35="",I35=""),"",E35-I35)</f>
        <v/>
      </c>
      <c r="K35" s="13" t="n"/>
      <c r="L35" s="13" t="n"/>
    </row>
    <row r="36" ht="22" customHeight="1">
      <c r="B36" s="19">
        <f>IF(C36="","ABM-"&amp;TEXT(COUNTA($C$5:C36),"000"))</f>
        <v/>
      </c>
      <c r="C36" s="16" t="n"/>
      <c r="D36" s="42" t="n"/>
      <c r="E36" s="42" t="n"/>
      <c r="F36" s="43">
        <f>IF(OR(D36="",E36=""),"",E36-D36)</f>
        <v/>
      </c>
      <c r="G36" s="42" t="n"/>
      <c r="H36" s="43">
        <f>IF(OR(E36="",G36=""),"",E36-G36)</f>
        <v/>
      </c>
      <c r="I36" s="42" t="n"/>
      <c r="J36" s="43">
        <f>IF(OR(E36="",I36=""),"",E36-I36)</f>
        <v/>
      </c>
      <c r="K36" s="16" t="n"/>
      <c r="L36" s="16" t="n"/>
    </row>
    <row r="37" ht="22" customHeight="1">
      <c r="B37" s="20">
        <f>IF(C37="","ABM-"&amp;TEXT(COUNTA($C$5:C37),"000"))</f>
        <v/>
      </c>
      <c r="C37" s="13" t="n"/>
      <c r="D37" s="40" t="n"/>
      <c r="E37" s="40" t="n"/>
      <c r="F37" s="41">
        <f>IF(OR(D37="",E37=""),"",E37-D37)</f>
        <v/>
      </c>
      <c r="G37" s="40" t="n"/>
      <c r="H37" s="41">
        <f>IF(OR(E37="",G37=""),"",E37-G37)</f>
        <v/>
      </c>
      <c r="I37" s="40" t="n"/>
      <c r="J37" s="41">
        <f>IF(OR(E37="",I37=""),"",E37-I37)</f>
        <v/>
      </c>
      <c r="K37" s="13" t="n"/>
      <c r="L37" s="13" t="n"/>
    </row>
    <row r="38" ht="22" customHeight="1">
      <c r="B38" s="19">
        <f>IF(C38="","ABM-"&amp;TEXT(COUNTA($C$5:C38),"000"))</f>
        <v/>
      </c>
      <c r="C38" s="16" t="n"/>
      <c r="D38" s="42" t="n"/>
      <c r="E38" s="42" t="n"/>
      <c r="F38" s="43">
        <f>IF(OR(D38="",E38=""),"",E38-D38)</f>
        <v/>
      </c>
      <c r="G38" s="42" t="n"/>
      <c r="H38" s="43">
        <f>IF(OR(E38="",G38=""),"",E38-G38)</f>
        <v/>
      </c>
      <c r="I38" s="42" t="n"/>
      <c r="J38" s="43">
        <f>IF(OR(E38="",I38=""),"",E38-I38)</f>
        <v/>
      </c>
      <c r="K38" s="16" t="n"/>
      <c r="L38" s="16" t="n"/>
    </row>
    <row r="39" ht="22" customHeight="1">
      <c r="B39" s="20">
        <f>IF(C39="","ABM-"&amp;TEXT(COUNTA($C$5:C39),"000"))</f>
        <v/>
      </c>
      <c r="C39" s="13" t="n"/>
      <c r="D39" s="40" t="n"/>
      <c r="E39" s="40" t="n"/>
      <c r="F39" s="41">
        <f>IF(OR(D39="",E39=""),"",E39-D39)</f>
        <v/>
      </c>
      <c r="G39" s="40" t="n"/>
      <c r="H39" s="41">
        <f>IF(OR(E39="",G39=""),"",E39-G39)</f>
        <v/>
      </c>
      <c r="I39" s="40" t="n"/>
      <c r="J39" s="41">
        <f>IF(OR(E39="",I39=""),"",E39-I39)</f>
        <v/>
      </c>
      <c r="K39" s="13" t="n"/>
      <c r="L39" s="13" t="n"/>
    </row>
    <row r="40" ht="22" customHeight="1">
      <c r="B40" s="19">
        <f>IF(C40="","ABM-"&amp;TEXT(COUNTA($C$5:C40),"000"))</f>
        <v/>
      </c>
      <c r="C40" s="16" t="n"/>
      <c r="D40" s="42" t="n"/>
      <c r="E40" s="42" t="n"/>
      <c r="F40" s="43">
        <f>IF(OR(D40="",E40=""),"",E40-D40)</f>
        <v/>
      </c>
      <c r="G40" s="42" t="n"/>
      <c r="H40" s="43">
        <f>IF(OR(E40="",G40=""),"",E40-G40)</f>
        <v/>
      </c>
      <c r="I40" s="42" t="n"/>
      <c r="J40" s="43">
        <f>IF(OR(E40="",I40=""),"",E40-I40)</f>
        <v/>
      </c>
      <c r="K40" s="16" t="n"/>
      <c r="L40" s="16" t="n"/>
    </row>
    <row r="41" ht="22" customHeight="1">
      <c r="B41" s="20">
        <f>IF(C41="","ABM-"&amp;TEXT(COUNTA($C$5:C41),"000"))</f>
        <v/>
      </c>
      <c r="C41" s="13" t="n"/>
      <c r="D41" s="40" t="n"/>
      <c r="E41" s="40" t="n"/>
      <c r="F41" s="41">
        <f>IF(OR(D41="",E41=""),"",E41-D41)</f>
        <v/>
      </c>
      <c r="G41" s="40" t="n"/>
      <c r="H41" s="41">
        <f>IF(OR(E41="",G41=""),"",E41-G41)</f>
        <v/>
      </c>
      <c r="I41" s="40" t="n"/>
      <c r="J41" s="41">
        <f>IF(OR(E41="",I41=""),"",E41-I41)</f>
        <v/>
      </c>
      <c r="K41" s="13" t="n"/>
      <c r="L41" s="13" t="n"/>
    </row>
    <row r="42" ht="22" customHeight="1">
      <c r="B42" s="19">
        <f>IF(C42="","ABM-"&amp;TEXT(COUNTA($C$5:C42),"000"))</f>
        <v/>
      </c>
      <c r="C42" s="16" t="n"/>
      <c r="D42" s="42" t="n"/>
      <c r="E42" s="42" t="n"/>
      <c r="F42" s="43">
        <f>IF(OR(D42="",E42=""),"",E42-D42)</f>
        <v/>
      </c>
      <c r="G42" s="42" t="n"/>
      <c r="H42" s="43">
        <f>IF(OR(E42="",G42=""),"",E42-G42)</f>
        <v/>
      </c>
      <c r="I42" s="42" t="n"/>
      <c r="J42" s="43">
        <f>IF(OR(E42="",I42=""),"",E42-I42)</f>
        <v/>
      </c>
      <c r="K42" s="16" t="n"/>
      <c r="L42" s="16" t="n"/>
    </row>
    <row r="43" ht="22" customHeight="1">
      <c r="B43" s="20">
        <f>IF(C43="","ABM-"&amp;TEXT(COUNTA($C$5:C43),"000"))</f>
        <v/>
      </c>
      <c r="C43" s="13" t="n"/>
      <c r="D43" s="40" t="n"/>
      <c r="E43" s="40" t="n"/>
      <c r="F43" s="41">
        <f>IF(OR(D43="",E43=""),"",E43-D43)</f>
        <v/>
      </c>
      <c r="G43" s="40" t="n"/>
      <c r="H43" s="41">
        <f>IF(OR(E43="",G43=""),"",E43-G43)</f>
        <v/>
      </c>
      <c r="I43" s="40" t="n"/>
      <c r="J43" s="41">
        <f>IF(OR(E43="",I43=""),"",E43-I43)</f>
        <v/>
      </c>
      <c r="K43" s="13" t="n"/>
      <c r="L43" s="13" t="n"/>
    </row>
    <row r="44" ht="22" customHeight="1">
      <c r="B44" s="19">
        <f>IF(C44="","ABM-"&amp;TEXT(COUNTA($C$5:C44),"000"))</f>
        <v/>
      </c>
      <c r="C44" s="16" t="n"/>
      <c r="D44" s="42" t="n"/>
      <c r="E44" s="42" t="n"/>
      <c r="F44" s="43">
        <f>IF(OR(D44="",E44=""),"",E44-D44)</f>
        <v/>
      </c>
      <c r="G44" s="42" t="n"/>
      <c r="H44" s="43">
        <f>IF(OR(E44="",G44=""),"",E44-G44)</f>
        <v/>
      </c>
      <c r="I44" s="42" t="n"/>
      <c r="J44" s="43">
        <f>IF(OR(E44="",I44=""),"",E44-I44)</f>
        <v/>
      </c>
      <c r="K44" s="16" t="n"/>
      <c r="L44" s="16" t="n"/>
    </row>
    <row r="45" ht="22" customHeight="1">
      <c r="B45" s="20">
        <f>IF(C45="","ABM-"&amp;TEXT(COUNTA($C$5:C45),"000"))</f>
        <v/>
      </c>
      <c r="C45" s="13" t="n"/>
      <c r="D45" s="40" t="n"/>
      <c r="E45" s="40" t="n"/>
      <c r="F45" s="41">
        <f>IF(OR(D45="",E45=""),"",E45-D45)</f>
        <v/>
      </c>
      <c r="G45" s="40" t="n"/>
      <c r="H45" s="41">
        <f>IF(OR(E45="",G45=""),"",E45-G45)</f>
        <v/>
      </c>
      <c r="I45" s="40" t="n"/>
      <c r="J45" s="41">
        <f>IF(OR(E45="",I45=""),"",E45-I45)</f>
        <v/>
      </c>
      <c r="K45" s="13" t="n"/>
      <c r="L45" s="13" t="n"/>
    </row>
    <row r="46" ht="22" customHeight="1">
      <c r="B46" s="19">
        <f>IF(C46="","ABM-"&amp;TEXT(COUNTA($C$5:C46),"000"))</f>
        <v/>
      </c>
      <c r="C46" s="16" t="n"/>
      <c r="D46" s="42" t="n"/>
      <c r="E46" s="42" t="n"/>
      <c r="F46" s="43">
        <f>IF(OR(D46="",E46=""),"",E46-D46)</f>
        <v/>
      </c>
      <c r="G46" s="42" t="n"/>
      <c r="H46" s="43">
        <f>IF(OR(E46="",G46=""),"",E46-G46)</f>
        <v/>
      </c>
      <c r="I46" s="42" t="n"/>
      <c r="J46" s="43">
        <f>IF(OR(E46="",I46=""),"",E46-I46)</f>
        <v/>
      </c>
      <c r="K46" s="16" t="n"/>
      <c r="L46" s="16" t="n"/>
    </row>
    <row r="47" ht="22" customHeight="1">
      <c r="B47" s="20">
        <f>IF(C47="","ABM-"&amp;TEXT(COUNTA($C$5:C47),"000"))</f>
        <v/>
      </c>
      <c r="C47" s="13" t="n"/>
      <c r="D47" s="40" t="n"/>
      <c r="E47" s="40" t="n"/>
      <c r="F47" s="41">
        <f>IF(OR(D47="",E47=""),"",E47-D47)</f>
        <v/>
      </c>
      <c r="G47" s="40" t="n"/>
      <c r="H47" s="41">
        <f>IF(OR(E47="",G47=""),"",E47-G47)</f>
        <v/>
      </c>
      <c r="I47" s="40" t="n"/>
      <c r="J47" s="41">
        <f>IF(OR(E47="",I47=""),"",E47-I47)</f>
        <v/>
      </c>
      <c r="K47" s="13" t="n"/>
      <c r="L47" s="13" t="n"/>
    </row>
    <row r="48" ht="22" customHeight="1">
      <c r="B48" s="19">
        <f>IF(C48="","ABM-"&amp;TEXT(COUNTA($C$5:C48),"000"))</f>
        <v/>
      </c>
      <c r="C48" s="16" t="n"/>
      <c r="D48" s="42" t="n"/>
      <c r="E48" s="42" t="n"/>
      <c r="F48" s="43">
        <f>IF(OR(D48="",E48=""),"",E48-D48)</f>
        <v/>
      </c>
      <c r="G48" s="42" t="n"/>
      <c r="H48" s="43">
        <f>IF(OR(E48="",G48=""),"",E48-G48)</f>
        <v/>
      </c>
      <c r="I48" s="42" t="n"/>
      <c r="J48" s="43">
        <f>IF(OR(E48="",I48=""),"",E48-I48)</f>
        <v/>
      </c>
      <c r="K48" s="16" t="n"/>
      <c r="L48" s="16" t="n"/>
    </row>
    <row r="49" ht="22" customHeight="1">
      <c r="B49" s="20">
        <f>IF(C49="","ABM-"&amp;TEXT(COUNTA($C$5:C49),"000"))</f>
        <v/>
      </c>
      <c r="C49" s="13" t="n"/>
      <c r="D49" s="40" t="n"/>
      <c r="E49" s="40" t="n"/>
      <c r="F49" s="41">
        <f>IF(OR(D49="",E49=""),"",E49-D49)</f>
        <v/>
      </c>
      <c r="G49" s="40" t="n"/>
      <c r="H49" s="41">
        <f>IF(OR(E49="",G49=""),"",E49-G49)</f>
        <v/>
      </c>
      <c r="I49" s="40" t="n"/>
      <c r="J49" s="41">
        <f>IF(OR(E49="",I49=""),"",E49-I49)</f>
        <v/>
      </c>
      <c r="K49" s="13" t="n"/>
      <c r="L49" s="13" t="n"/>
    </row>
    <row r="50" ht="22" customHeight="1">
      <c r="B50" s="19">
        <f>IF(C50="","ABM-"&amp;TEXT(COUNTA($C$5:C50),"000"))</f>
        <v/>
      </c>
      <c r="C50" s="16" t="n"/>
      <c r="D50" s="42" t="n"/>
      <c r="E50" s="42" t="n"/>
      <c r="F50" s="43">
        <f>IF(OR(D50="",E50=""),"",E50-D50)</f>
        <v/>
      </c>
      <c r="G50" s="42" t="n"/>
      <c r="H50" s="43">
        <f>IF(OR(E50="",G50=""),"",E50-G50)</f>
        <v/>
      </c>
      <c r="I50" s="42" t="n"/>
      <c r="J50" s="43">
        <f>IF(OR(E50="",I50=""),"",E50-I50)</f>
        <v/>
      </c>
      <c r="K50" s="16" t="n"/>
      <c r="L50" s="16" t="n"/>
    </row>
    <row r="51" ht="22" customHeight="1">
      <c r="B51" s="20">
        <f>IF(C51="","ABM-"&amp;TEXT(COUNTA($C$5:C51),"000"))</f>
        <v/>
      </c>
      <c r="C51" s="13" t="n"/>
      <c r="D51" s="40" t="n"/>
      <c r="E51" s="40" t="n"/>
      <c r="F51" s="41">
        <f>IF(OR(D51="",E51=""),"",E51-D51)</f>
        <v/>
      </c>
      <c r="G51" s="40" t="n"/>
      <c r="H51" s="41">
        <f>IF(OR(E51="",G51=""),"",E51-G51)</f>
        <v/>
      </c>
      <c r="I51" s="40" t="n"/>
      <c r="J51" s="41">
        <f>IF(OR(E51="",I51=""),"",E51-I51)</f>
        <v/>
      </c>
      <c r="K51" s="13" t="n"/>
      <c r="L51" s="13" t="n"/>
    </row>
    <row r="52" ht="22" customHeight="1">
      <c r="B52" s="19">
        <f>IF(C52="","ABM-"&amp;TEXT(COUNTA($C$5:C52),"000"))</f>
        <v/>
      </c>
      <c r="C52" s="16" t="n"/>
      <c r="D52" s="42" t="n"/>
      <c r="E52" s="42" t="n"/>
      <c r="F52" s="43">
        <f>IF(OR(D52="",E52=""),"",E52-D52)</f>
        <v/>
      </c>
      <c r="G52" s="42" t="n"/>
      <c r="H52" s="43">
        <f>IF(OR(E52="",G52=""),"",E52-G52)</f>
        <v/>
      </c>
      <c r="I52" s="42" t="n"/>
      <c r="J52" s="43">
        <f>IF(OR(E52="",I52=""),"",E52-I52)</f>
        <v/>
      </c>
      <c r="K52" s="16" t="n"/>
      <c r="L52" s="16" t="n"/>
    </row>
    <row r="53" ht="22" customHeight="1">
      <c r="B53" s="20">
        <f>IF(C53="","ABM-"&amp;TEXT(COUNTA($C$5:C53),"000"))</f>
        <v/>
      </c>
      <c r="C53" s="13" t="n"/>
      <c r="D53" s="40" t="n"/>
      <c r="E53" s="40" t="n"/>
      <c r="F53" s="41">
        <f>IF(OR(D53="",E53=""),"",E53-D53)</f>
        <v/>
      </c>
      <c r="G53" s="40" t="n"/>
      <c r="H53" s="41">
        <f>IF(OR(E53="",G53=""),"",E53-G53)</f>
        <v/>
      </c>
      <c r="I53" s="40" t="n"/>
      <c r="J53" s="41">
        <f>IF(OR(E53="",I53=""),"",E53-I53)</f>
        <v/>
      </c>
      <c r="K53" s="13" t="n"/>
      <c r="L53" s="13" t="n"/>
    </row>
    <row r="54" ht="22" customHeight="1">
      <c r="B54" s="19">
        <f>IF(C54="","ABM-"&amp;TEXT(COUNTA($C$5:C54),"000"))</f>
        <v/>
      </c>
      <c r="C54" s="16" t="n"/>
      <c r="D54" s="42" t="n"/>
      <c r="E54" s="42" t="n"/>
      <c r="F54" s="43">
        <f>IF(OR(D54="",E54=""),"",E54-D54)</f>
        <v/>
      </c>
      <c r="G54" s="42" t="n"/>
      <c r="H54" s="43">
        <f>IF(OR(E54="",G54=""),"",E54-G54)</f>
        <v/>
      </c>
      <c r="I54" s="42" t="n"/>
      <c r="J54" s="43">
        <f>IF(OR(E54="",I54=""),"",E54-I54)</f>
        <v/>
      </c>
      <c r="K54" s="16" t="n"/>
      <c r="L54" s="16" t="n"/>
    </row>
    <row r="55" ht="22" customHeight="1">
      <c r="B55" s="20">
        <f>IF(C55="","ABM-"&amp;TEXT(COUNTA($C$5:C55),"000"))</f>
        <v/>
      </c>
      <c r="C55" s="13" t="n"/>
      <c r="D55" s="40" t="n"/>
      <c r="E55" s="40" t="n"/>
      <c r="F55" s="41">
        <f>IF(OR(D55="",E55=""),"",E55-D55)</f>
        <v/>
      </c>
      <c r="G55" s="40" t="n"/>
      <c r="H55" s="41">
        <f>IF(OR(E55="",G55=""),"",E55-G55)</f>
        <v/>
      </c>
      <c r="I55" s="40" t="n"/>
      <c r="J55" s="41">
        <f>IF(OR(E55="",I55=""),"",E55-I55)</f>
        <v/>
      </c>
      <c r="K55" s="13" t="n"/>
      <c r="L55" s="13" t="n"/>
    </row>
    <row r="56" ht="22" customHeight="1">
      <c r="B56" s="19">
        <f>IF(C56="","ABM-"&amp;TEXT(COUNTA($C$5:C56),"000"))</f>
        <v/>
      </c>
      <c r="C56" s="16" t="n"/>
      <c r="D56" s="42" t="n"/>
      <c r="E56" s="42" t="n"/>
      <c r="F56" s="43">
        <f>IF(OR(D56="",E56=""),"",E56-D56)</f>
        <v/>
      </c>
      <c r="G56" s="42" t="n"/>
      <c r="H56" s="43">
        <f>IF(OR(E56="",G56=""),"",E56-G56)</f>
        <v/>
      </c>
      <c r="I56" s="42" t="n"/>
      <c r="J56" s="43">
        <f>IF(OR(E56="",I56=""),"",E56-I56)</f>
        <v/>
      </c>
      <c r="K56" s="16" t="n"/>
      <c r="L56" s="16" t="n"/>
    </row>
    <row r="57" ht="22" customHeight="1">
      <c r="B57" s="20">
        <f>IF(C57="","ABM-"&amp;TEXT(COUNTA($C$5:C57),"000"))</f>
        <v/>
      </c>
      <c r="C57" s="13" t="n"/>
      <c r="D57" s="40" t="n"/>
      <c r="E57" s="40" t="n"/>
      <c r="F57" s="41">
        <f>IF(OR(D57="",E57=""),"",E57-D57)</f>
        <v/>
      </c>
      <c r="G57" s="40" t="n"/>
      <c r="H57" s="41">
        <f>IF(OR(E57="",G57=""),"",E57-G57)</f>
        <v/>
      </c>
      <c r="I57" s="40" t="n"/>
      <c r="J57" s="41">
        <f>IF(OR(E57="",I57=""),"",E57-I57)</f>
        <v/>
      </c>
      <c r="K57" s="13" t="n"/>
      <c r="L57" s="13" t="n"/>
    </row>
    <row r="58" ht="22" customHeight="1">
      <c r="B58" s="19">
        <f>IF(C58="","ABM-"&amp;TEXT(COUNTA($C$5:C58),"000"))</f>
        <v/>
      </c>
      <c r="C58" s="16" t="n"/>
      <c r="D58" s="42" t="n"/>
      <c r="E58" s="42" t="n"/>
      <c r="F58" s="43">
        <f>IF(OR(D58="",E58=""),"",E58-D58)</f>
        <v/>
      </c>
      <c r="G58" s="42" t="n"/>
      <c r="H58" s="43">
        <f>IF(OR(E58="",G58=""),"",E58-G58)</f>
        <v/>
      </c>
      <c r="I58" s="42" t="n"/>
      <c r="J58" s="43">
        <f>IF(OR(E58="",I58=""),"",E58-I58)</f>
        <v/>
      </c>
      <c r="K58" s="16" t="n"/>
      <c r="L58" s="16" t="n"/>
    </row>
    <row r="59" ht="22" customHeight="1">
      <c r="B59" s="20">
        <f>IF(C59="","ABM-"&amp;TEXT(COUNTA($C$5:C59),"000"))</f>
        <v/>
      </c>
      <c r="C59" s="13" t="n"/>
      <c r="D59" s="40" t="n"/>
      <c r="E59" s="40" t="n"/>
      <c r="F59" s="41">
        <f>IF(OR(D59="",E59=""),"",E59-D59)</f>
        <v/>
      </c>
      <c r="G59" s="40" t="n"/>
      <c r="H59" s="41">
        <f>IF(OR(E59="",G59=""),"",E59-G59)</f>
        <v/>
      </c>
      <c r="I59" s="40" t="n"/>
      <c r="J59" s="41">
        <f>IF(OR(E59="",I59=""),"",E59-I59)</f>
        <v/>
      </c>
      <c r="K59" s="13" t="n"/>
      <c r="L59" s="13" t="n"/>
    </row>
    <row r="60" ht="22" customHeight="1">
      <c r="B60" s="19">
        <f>IF(C60="","ABM-"&amp;TEXT(COUNTA($C$5:C60),"000"))</f>
        <v/>
      </c>
      <c r="C60" s="16" t="n"/>
      <c r="D60" s="42" t="n"/>
      <c r="E60" s="42" t="n"/>
      <c r="F60" s="43">
        <f>IF(OR(D60="",E60=""),"",E60-D60)</f>
        <v/>
      </c>
      <c r="G60" s="42" t="n"/>
      <c r="H60" s="43">
        <f>IF(OR(E60="",G60=""),"",E60-G60)</f>
        <v/>
      </c>
      <c r="I60" s="42" t="n"/>
      <c r="J60" s="43">
        <f>IF(OR(E60="",I60=""),"",E60-I60)</f>
        <v/>
      </c>
      <c r="K60" s="16" t="n"/>
      <c r="L60" s="16" t="n"/>
    </row>
    <row r="61" ht="22" customHeight="1">
      <c r="B61" s="20">
        <f>IF(C61="","ABM-"&amp;TEXT(COUNTA($C$5:C61),"000"))</f>
        <v/>
      </c>
      <c r="C61" s="13" t="n"/>
      <c r="D61" s="40" t="n"/>
      <c r="E61" s="40" t="n"/>
      <c r="F61" s="41">
        <f>IF(OR(D61="",E61=""),"",E61-D61)</f>
        <v/>
      </c>
      <c r="G61" s="40" t="n"/>
      <c r="H61" s="41">
        <f>IF(OR(E61="",G61=""),"",E61-G61)</f>
        <v/>
      </c>
      <c r="I61" s="40" t="n"/>
      <c r="J61" s="41">
        <f>IF(OR(E61="",I61=""),"",E61-I61)</f>
        <v/>
      </c>
      <c r="K61" s="13" t="n"/>
      <c r="L61" s="13" t="n"/>
    </row>
    <row r="62" ht="22" customHeight="1">
      <c r="B62" s="19">
        <f>IF(C62="","ABM-"&amp;TEXT(COUNTA($C$5:C62),"000"))</f>
        <v/>
      </c>
      <c r="C62" s="16" t="n"/>
      <c r="D62" s="42" t="n"/>
      <c r="E62" s="42" t="n"/>
      <c r="F62" s="43">
        <f>IF(OR(D62="",E62=""),"",E62-D62)</f>
        <v/>
      </c>
      <c r="G62" s="42" t="n"/>
      <c r="H62" s="43">
        <f>IF(OR(E62="",G62=""),"",E62-G62)</f>
        <v/>
      </c>
      <c r="I62" s="42" t="n"/>
      <c r="J62" s="43">
        <f>IF(OR(E62="",I62=""),"",E62-I62)</f>
        <v/>
      </c>
      <c r="K62" s="16" t="n"/>
      <c r="L62" s="16" t="n"/>
    </row>
    <row r="63" ht="22" customHeight="1">
      <c r="B63" s="20">
        <f>IF(C63="","ABM-"&amp;TEXT(COUNTA($C$5:C63),"000"))</f>
        <v/>
      </c>
      <c r="C63" s="13" t="n"/>
      <c r="D63" s="40" t="n"/>
      <c r="E63" s="40" t="n"/>
      <c r="F63" s="41">
        <f>IF(OR(D63="",E63=""),"",E63-D63)</f>
        <v/>
      </c>
      <c r="G63" s="40" t="n"/>
      <c r="H63" s="41">
        <f>IF(OR(E63="",G63=""),"",E63-G63)</f>
        <v/>
      </c>
      <c r="I63" s="40" t="n"/>
      <c r="J63" s="41">
        <f>IF(OR(E63="",I63=""),"",E63-I63)</f>
        <v/>
      </c>
      <c r="K63" s="13" t="n"/>
      <c r="L63" s="13" t="n"/>
    </row>
    <row r="64" ht="22" customHeight="1">
      <c r="B64" s="19">
        <f>IF(C64="","ABM-"&amp;TEXT(COUNTA($C$5:C64),"000"))</f>
        <v/>
      </c>
      <c r="C64" s="16" t="n"/>
      <c r="D64" s="42" t="n"/>
      <c r="E64" s="42" t="n"/>
      <c r="F64" s="43">
        <f>IF(OR(D64="",E64=""),"",E64-D64)</f>
        <v/>
      </c>
      <c r="G64" s="42" t="n"/>
      <c r="H64" s="43">
        <f>IF(OR(E64="",G64=""),"",E64-G64)</f>
        <v/>
      </c>
      <c r="I64" s="42" t="n"/>
      <c r="J64" s="43">
        <f>IF(OR(E64="",I64=""),"",E64-I64)</f>
        <v/>
      </c>
      <c r="K64" s="16" t="n"/>
      <c r="L64" s="16" t="n"/>
    </row>
    <row r="65" ht="22" customHeight="1">
      <c r="B65" s="20">
        <f>IF(C65="","ABM-"&amp;TEXT(COUNTA($C$5:C65),"000"))</f>
        <v/>
      </c>
      <c r="C65" s="13" t="n"/>
      <c r="D65" s="40" t="n"/>
      <c r="E65" s="40" t="n"/>
      <c r="F65" s="41">
        <f>IF(OR(D65="",E65=""),"",E65-D65)</f>
        <v/>
      </c>
      <c r="G65" s="40" t="n"/>
      <c r="H65" s="41">
        <f>IF(OR(E65="",G65=""),"",E65-G65)</f>
        <v/>
      </c>
      <c r="I65" s="40" t="n"/>
      <c r="J65" s="41">
        <f>IF(OR(E65="",I65=""),"",E65-I65)</f>
        <v/>
      </c>
      <c r="K65" s="13" t="n"/>
      <c r="L65" s="13" t="n"/>
    </row>
    <row r="66" ht="22" customHeight="1">
      <c r="B66" s="19">
        <f>IF(C66="","ABM-"&amp;TEXT(COUNTA($C$5:C66),"000"))</f>
        <v/>
      </c>
      <c r="C66" s="16" t="n"/>
      <c r="D66" s="42" t="n"/>
      <c r="E66" s="42" t="n"/>
      <c r="F66" s="43">
        <f>IF(OR(D66="",E66=""),"",E66-D66)</f>
        <v/>
      </c>
      <c r="G66" s="42" t="n"/>
      <c r="H66" s="43">
        <f>IF(OR(E66="",G66=""),"",E66-G66)</f>
        <v/>
      </c>
      <c r="I66" s="42" t="n"/>
      <c r="J66" s="43">
        <f>IF(OR(E66="",I66=""),"",E66-I66)</f>
        <v/>
      </c>
      <c r="K66" s="16" t="n"/>
      <c r="L66" s="16" t="n"/>
    </row>
    <row r="67" ht="22" customHeight="1">
      <c r="B67" s="20">
        <f>IF(C67="","ABM-"&amp;TEXT(COUNTA($C$5:C67),"000"))</f>
        <v/>
      </c>
      <c r="C67" s="13" t="n"/>
      <c r="D67" s="40" t="n"/>
      <c r="E67" s="40" t="n"/>
      <c r="F67" s="41">
        <f>IF(OR(D67="",E67=""),"",E67-D67)</f>
        <v/>
      </c>
      <c r="G67" s="40" t="n"/>
      <c r="H67" s="41">
        <f>IF(OR(E67="",G67=""),"",E67-G67)</f>
        <v/>
      </c>
      <c r="I67" s="40" t="n"/>
      <c r="J67" s="41">
        <f>IF(OR(E67="",I67=""),"",E67-I67)</f>
        <v/>
      </c>
      <c r="K67" s="13" t="n"/>
      <c r="L67" s="13" t="n"/>
    </row>
    <row r="68" ht="22" customHeight="1">
      <c r="B68" s="19">
        <f>IF(C68="","ABM-"&amp;TEXT(COUNTA($C$5:C68),"000"))</f>
        <v/>
      </c>
      <c r="C68" s="16" t="n"/>
      <c r="D68" s="42" t="n"/>
      <c r="E68" s="42" t="n"/>
      <c r="F68" s="43">
        <f>IF(OR(D68="",E68=""),"",E68-D68)</f>
        <v/>
      </c>
      <c r="G68" s="42" t="n"/>
      <c r="H68" s="43">
        <f>IF(OR(E68="",G68=""),"",E68-G68)</f>
        <v/>
      </c>
      <c r="I68" s="42" t="n"/>
      <c r="J68" s="43">
        <f>IF(OR(E68="",I68=""),"",E68-I68)</f>
        <v/>
      </c>
      <c r="K68" s="16" t="n"/>
      <c r="L68" s="16" t="n"/>
    </row>
    <row r="69" ht="22" customHeight="1">
      <c r="B69" s="20">
        <f>IF(C69="","ABM-"&amp;TEXT(COUNTA($C$5:C69),"000"))</f>
        <v/>
      </c>
      <c r="C69" s="13" t="n"/>
      <c r="D69" s="40" t="n"/>
      <c r="E69" s="40" t="n"/>
      <c r="F69" s="41">
        <f>IF(OR(D69="",E69=""),"",E69-D69)</f>
        <v/>
      </c>
      <c r="G69" s="40" t="n"/>
      <c r="H69" s="41">
        <f>IF(OR(E69="",G69=""),"",E69-G69)</f>
        <v/>
      </c>
      <c r="I69" s="40" t="n"/>
      <c r="J69" s="41">
        <f>IF(OR(E69="",I69=""),"",E69-I69)</f>
        <v/>
      </c>
      <c r="K69" s="13" t="n"/>
      <c r="L69" s="13" t="n"/>
    </row>
    <row r="70" ht="22" customHeight="1">
      <c r="B70" s="19">
        <f>IF(C70="","ABM-"&amp;TEXT(COUNTA($C$5:C70),"000"))</f>
        <v/>
      </c>
      <c r="C70" s="16" t="n"/>
      <c r="D70" s="42" t="n"/>
      <c r="E70" s="42" t="n"/>
      <c r="F70" s="43">
        <f>IF(OR(D70="",E70=""),"",E70-D70)</f>
        <v/>
      </c>
      <c r="G70" s="42" t="n"/>
      <c r="H70" s="43">
        <f>IF(OR(E70="",G70=""),"",E70-G70)</f>
        <v/>
      </c>
      <c r="I70" s="42" t="n"/>
      <c r="J70" s="43">
        <f>IF(OR(E70="",I70=""),"",E70-I70)</f>
        <v/>
      </c>
      <c r="K70" s="16" t="n"/>
      <c r="L70" s="16" t="n"/>
    </row>
    <row r="71" ht="22" customHeight="1">
      <c r="B71" s="20">
        <f>IF(C71="","ABM-"&amp;TEXT(COUNTA($C$5:C71),"000"))</f>
        <v/>
      </c>
      <c r="C71" s="13" t="n"/>
      <c r="D71" s="40" t="n"/>
      <c r="E71" s="40" t="n"/>
      <c r="F71" s="41">
        <f>IF(OR(D71="",E71=""),"",E71-D71)</f>
        <v/>
      </c>
      <c r="G71" s="40" t="n"/>
      <c r="H71" s="41">
        <f>IF(OR(E71="",G71=""),"",E71-G71)</f>
        <v/>
      </c>
      <c r="I71" s="40" t="n"/>
      <c r="J71" s="41">
        <f>IF(OR(E71="",I71=""),"",E71-I71)</f>
        <v/>
      </c>
      <c r="K71" s="13" t="n"/>
      <c r="L71" s="13" t="n"/>
    </row>
    <row r="72" ht="22" customHeight="1">
      <c r="B72" s="19">
        <f>IF(C72="","ABM-"&amp;TEXT(COUNTA($C$5:C72),"000"))</f>
        <v/>
      </c>
      <c r="C72" s="16" t="n"/>
      <c r="D72" s="42" t="n"/>
      <c r="E72" s="42" t="n"/>
      <c r="F72" s="43">
        <f>IF(OR(D72="",E72=""),"",E72-D72)</f>
        <v/>
      </c>
      <c r="G72" s="42" t="n"/>
      <c r="H72" s="43">
        <f>IF(OR(E72="",G72=""),"",E72-G72)</f>
        <v/>
      </c>
      <c r="I72" s="42" t="n"/>
      <c r="J72" s="43">
        <f>IF(OR(E72="",I72=""),"",E72-I72)</f>
        <v/>
      </c>
      <c r="K72" s="16" t="n"/>
      <c r="L72" s="16" t="n"/>
    </row>
    <row r="73" ht="22" customHeight="1">
      <c r="B73" s="20">
        <f>IF(C73="","ABM-"&amp;TEXT(COUNTA($C$5:C73),"000"))</f>
        <v/>
      </c>
      <c r="C73" s="13" t="n"/>
      <c r="D73" s="40" t="n"/>
      <c r="E73" s="40" t="n"/>
      <c r="F73" s="41">
        <f>IF(OR(D73="",E73=""),"",E73-D73)</f>
        <v/>
      </c>
      <c r="G73" s="40" t="n"/>
      <c r="H73" s="41">
        <f>IF(OR(E73="",G73=""),"",E73-G73)</f>
        <v/>
      </c>
      <c r="I73" s="40" t="n"/>
      <c r="J73" s="41">
        <f>IF(OR(E73="",I73=""),"",E73-I73)</f>
        <v/>
      </c>
      <c r="K73" s="13" t="n"/>
      <c r="L73" s="13" t="n"/>
    </row>
    <row r="74" ht="22" customHeight="1">
      <c r="B74" s="19">
        <f>IF(C74="","ABM-"&amp;TEXT(COUNTA($C$5:C74),"000"))</f>
        <v/>
      </c>
      <c r="C74" s="16" t="n"/>
      <c r="D74" s="42" t="n"/>
      <c r="E74" s="42" t="n"/>
      <c r="F74" s="43">
        <f>IF(OR(D74="",E74=""),"",E74-D74)</f>
        <v/>
      </c>
      <c r="G74" s="42" t="n"/>
      <c r="H74" s="43">
        <f>IF(OR(E74="",G74=""),"",E74-G74)</f>
        <v/>
      </c>
      <c r="I74" s="42" t="n"/>
      <c r="J74" s="43">
        <f>IF(OR(E74="",I74=""),"",E74-I74)</f>
        <v/>
      </c>
      <c r="K74" s="16" t="n"/>
      <c r="L74" s="16" t="n"/>
    </row>
    <row r="75" ht="22" customHeight="1">
      <c r="B75" s="20">
        <f>IF(C75="","ABM-"&amp;TEXT(COUNTA($C$5:C75),"000"))</f>
        <v/>
      </c>
      <c r="C75" s="13" t="n"/>
      <c r="D75" s="40" t="n"/>
      <c r="E75" s="40" t="n"/>
      <c r="F75" s="41">
        <f>IF(OR(D75="",E75=""),"",E75-D75)</f>
        <v/>
      </c>
      <c r="G75" s="40" t="n"/>
      <c r="H75" s="41">
        <f>IF(OR(E75="",G75=""),"",E75-G75)</f>
        <v/>
      </c>
      <c r="I75" s="40" t="n"/>
      <c r="J75" s="41">
        <f>IF(OR(E75="",I75=""),"",E75-I75)</f>
        <v/>
      </c>
      <c r="K75" s="13" t="n"/>
      <c r="L75" s="13" t="n"/>
    </row>
    <row r="76" ht="22" customHeight="1">
      <c r="B76" s="19">
        <f>IF(C76="","ABM-"&amp;TEXT(COUNTA($C$5:C76),"000"))</f>
        <v/>
      </c>
      <c r="C76" s="16" t="n"/>
      <c r="D76" s="42" t="n"/>
      <c r="E76" s="42" t="n"/>
      <c r="F76" s="43">
        <f>IF(OR(D76="",E76=""),"",E76-D76)</f>
        <v/>
      </c>
      <c r="G76" s="42" t="n"/>
      <c r="H76" s="43">
        <f>IF(OR(E76="",G76=""),"",E76-G76)</f>
        <v/>
      </c>
      <c r="I76" s="42" t="n"/>
      <c r="J76" s="43">
        <f>IF(OR(E76="",I76=""),"",E76-I76)</f>
        <v/>
      </c>
      <c r="K76" s="16" t="n"/>
      <c r="L76" s="16" t="n"/>
    </row>
    <row r="77" ht="22" customHeight="1">
      <c r="B77" s="20">
        <f>IF(C77="","ABM-"&amp;TEXT(COUNTA($C$5:C77),"000"))</f>
        <v/>
      </c>
      <c r="C77" s="13" t="n"/>
      <c r="D77" s="40" t="n"/>
      <c r="E77" s="40" t="n"/>
      <c r="F77" s="41">
        <f>IF(OR(D77="",E77=""),"",E77-D77)</f>
        <v/>
      </c>
      <c r="G77" s="40" t="n"/>
      <c r="H77" s="41">
        <f>IF(OR(E77="",G77=""),"",E77-G77)</f>
        <v/>
      </c>
      <c r="I77" s="40" t="n"/>
      <c r="J77" s="41">
        <f>IF(OR(E77="",I77=""),"",E77-I77)</f>
        <v/>
      </c>
      <c r="K77" s="13" t="n"/>
      <c r="L77" s="13" t="n"/>
    </row>
    <row r="78" ht="22" customHeight="1">
      <c r="B78" s="19">
        <f>IF(C78="","ABM-"&amp;TEXT(COUNTA($C$5:C78),"000"))</f>
        <v/>
      </c>
      <c r="C78" s="16" t="n"/>
      <c r="D78" s="42" t="n"/>
      <c r="E78" s="42" t="n"/>
      <c r="F78" s="43">
        <f>IF(OR(D78="",E78=""),"",E78-D78)</f>
        <v/>
      </c>
      <c r="G78" s="42" t="n"/>
      <c r="H78" s="43">
        <f>IF(OR(E78="",G78=""),"",E78-G78)</f>
        <v/>
      </c>
      <c r="I78" s="42" t="n"/>
      <c r="J78" s="43">
        <f>IF(OR(E78="",I78=""),"",E78-I78)</f>
        <v/>
      </c>
      <c r="K78" s="16" t="n"/>
      <c r="L78" s="16" t="n"/>
    </row>
    <row r="79" ht="22" customHeight="1">
      <c r="B79" s="20">
        <f>IF(C79="","ABM-"&amp;TEXT(COUNTA($C$5:C79),"000"))</f>
        <v/>
      </c>
      <c r="C79" s="13" t="n"/>
      <c r="D79" s="40" t="n"/>
      <c r="E79" s="40" t="n"/>
      <c r="F79" s="41">
        <f>IF(OR(D79="",E79=""),"",E79-D79)</f>
        <v/>
      </c>
      <c r="G79" s="40" t="n"/>
      <c r="H79" s="41">
        <f>IF(OR(E79="",G79=""),"",E79-G79)</f>
        <v/>
      </c>
      <c r="I79" s="40" t="n"/>
      <c r="J79" s="41">
        <f>IF(OR(E79="",I79=""),"",E79-I79)</f>
        <v/>
      </c>
      <c r="K79" s="13" t="n"/>
      <c r="L79" s="13" t="n"/>
    </row>
    <row r="80" ht="22" customHeight="1">
      <c r="B80" s="19">
        <f>IF(C80="","ABM-"&amp;TEXT(COUNTA($C$5:C80),"000"))</f>
        <v/>
      </c>
      <c r="C80" s="16" t="n"/>
      <c r="D80" s="42" t="n"/>
      <c r="E80" s="42" t="n"/>
      <c r="F80" s="43">
        <f>IF(OR(D80="",E80=""),"",E80-D80)</f>
        <v/>
      </c>
      <c r="G80" s="42" t="n"/>
      <c r="H80" s="43">
        <f>IF(OR(E80="",G80=""),"",E80-G80)</f>
        <v/>
      </c>
      <c r="I80" s="42" t="n"/>
      <c r="J80" s="43">
        <f>IF(OR(E80="",I80=""),"",E80-I80)</f>
        <v/>
      </c>
      <c r="K80" s="16" t="n"/>
      <c r="L80" s="16" t="n"/>
    </row>
    <row r="81" ht="22" customHeight="1">
      <c r="B81" s="20">
        <f>IF(C81="","ABM-"&amp;TEXT(COUNTA($C$5:C81),"000"))</f>
        <v/>
      </c>
      <c r="C81" s="13" t="n"/>
      <c r="D81" s="40" t="n"/>
      <c r="E81" s="40" t="n"/>
      <c r="F81" s="41">
        <f>IF(OR(D81="",E81=""),"",E81-D81)</f>
        <v/>
      </c>
      <c r="G81" s="40" t="n"/>
      <c r="H81" s="41">
        <f>IF(OR(E81="",G81=""),"",E81-G81)</f>
        <v/>
      </c>
      <c r="I81" s="40" t="n"/>
      <c r="J81" s="41">
        <f>IF(OR(E81="",I81=""),"",E81-I81)</f>
        <v/>
      </c>
      <c r="K81" s="13" t="n"/>
      <c r="L81" s="13" t="n"/>
    </row>
    <row r="82" ht="22" customHeight="1">
      <c r="B82" s="19">
        <f>IF(C82="","ABM-"&amp;TEXT(COUNTA($C$5:C82),"000"))</f>
        <v/>
      </c>
      <c r="C82" s="16" t="n"/>
      <c r="D82" s="42" t="n"/>
      <c r="E82" s="42" t="n"/>
      <c r="F82" s="43">
        <f>IF(OR(D82="",E82=""),"",E82-D82)</f>
        <v/>
      </c>
      <c r="G82" s="42" t="n"/>
      <c r="H82" s="43">
        <f>IF(OR(E82="",G82=""),"",E82-G82)</f>
        <v/>
      </c>
      <c r="I82" s="42" t="n"/>
      <c r="J82" s="43">
        <f>IF(OR(E82="",I82=""),"",E82-I82)</f>
        <v/>
      </c>
      <c r="K82" s="16" t="n"/>
      <c r="L82" s="16" t="n"/>
    </row>
    <row r="83" ht="22" customHeight="1">
      <c r="B83" s="20">
        <f>IF(C83="","ABM-"&amp;TEXT(COUNTA($C$5:C83),"000"))</f>
        <v/>
      </c>
      <c r="C83" s="13" t="n"/>
      <c r="D83" s="40" t="n"/>
      <c r="E83" s="40" t="n"/>
      <c r="F83" s="41">
        <f>IF(OR(D83="",E83=""),"",E83-D83)</f>
        <v/>
      </c>
      <c r="G83" s="40" t="n"/>
      <c r="H83" s="41">
        <f>IF(OR(E83="",G83=""),"",E83-G83)</f>
        <v/>
      </c>
      <c r="I83" s="40" t="n"/>
      <c r="J83" s="41">
        <f>IF(OR(E83="",I83=""),"",E83-I83)</f>
        <v/>
      </c>
      <c r="K83" s="13" t="n"/>
      <c r="L83" s="13" t="n"/>
    </row>
    <row r="84" ht="22" customHeight="1">
      <c r="B84" s="19">
        <f>IF(C84="","ABM-"&amp;TEXT(COUNTA($C$5:C84),"000"))</f>
        <v/>
      </c>
      <c r="C84" s="16" t="n"/>
      <c r="D84" s="42" t="n"/>
      <c r="E84" s="42" t="n"/>
      <c r="F84" s="43">
        <f>IF(OR(D84="",E84=""),"",E84-D84)</f>
        <v/>
      </c>
      <c r="G84" s="42" t="n"/>
      <c r="H84" s="43">
        <f>IF(OR(E84="",G84=""),"",E84-G84)</f>
        <v/>
      </c>
      <c r="I84" s="42" t="n"/>
      <c r="J84" s="43">
        <f>IF(OR(E84="",I84=""),"",E84-I84)</f>
        <v/>
      </c>
      <c r="K84" s="16" t="n"/>
      <c r="L84" s="16" t="n"/>
    </row>
    <row r="85" ht="22" customHeight="1">
      <c r="B85" s="20">
        <f>IF(C85="","ABM-"&amp;TEXT(COUNTA($C$5:C85),"000"))</f>
        <v/>
      </c>
      <c r="C85" s="13" t="n"/>
      <c r="D85" s="40" t="n"/>
      <c r="E85" s="40" t="n"/>
      <c r="F85" s="41">
        <f>IF(OR(D85="",E85=""),"",E85-D85)</f>
        <v/>
      </c>
      <c r="G85" s="40" t="n"/>
      <c r="H85" s="41">
        <f>IF(OR(E85="",G85=""),"",E85-G85)</f>
        <v/>
      </c>
      <c r="I85" s="40" t="n"/>
      <c r="J85" s="41">
        <f>IF(OR(E85="",I85=""),"",E85-I85)</f>
        <v/>
      </c>
      <c r="K85" s="13" t="n"/>
      <c r="L85" s="13" t="n"/>
    </row>
    <row r="86" ht="22" customHeight="1">
      <c r="B86" s="19">
        <f>IF(C86="","ABM-"&amp;TEXT(COUNTA($C$5:C86),"000"))</f>
        <v/>
      </c>
      <c r="C86" s="16" t="n"/>
      <c r="D86" s="42" t="n"/>
      <c r="E86" s="42" t="n"/>
      <c r="F86" s="43">
        <f>IF(OR(D86="",E86=""),"",E86-D86)</f>
        <v/>
      </c>
      <c r="G86" s="42" t="n"/>
      <c r="H86" s="43">
        <f>IF(OR(E86="",G86=""),"",E86-G86)</f>
        <v/>
      </c>
      <c r="I86" s="42" t="n"/>
      <c r="J86" s="43">
        <f>IF(OR(E86="",I86=""),"",E86-I86)</f>
        <v/>
      </c>
      <c r="K86" s="16" t="n"/>
      <c r="L86" s="16" t="n"/>
    </row>
    <row r="87" ht="22" customHeight="1">
      <c r="B87" s="20">
        <f>IF(C87="","ABM-"&amp;TEXT(COUNTA($C$5:C87),"000"))</f>
        <v/>
      </c>
      <c r="C87" s="13" t="n"/>
      <c r="D87" s="40" t="n"/>
      <c r="E87" s="40" t="n"/>
      <c r="F87" s="41">
        <f>IF(OR(D87="",E87=""),"",E87-D87)</f>
        <v/>
      </c>
      <c r="G87" s="40" t="n"/>
      <c r="H87" s="41">
        <f>IF(OR(E87="",G87=""),"",E87-G87)</f>
        <v/>
      </c>
      <c r="I87" s="40" t="n"/>
      <c r="J87" s="41">
        <f>IF(OR(E87="",I87=""),"",E87-I87)</f>
        <v/>
      </c>
      <c r="K87" s="13" t="n"/>
      <c r="L87" s="13" t="n"/>
    </row>
    <row r="88" ht="22" customHeight="1">
      <c r="B88" s="19">
        <f>IF(C88="","ABM-"&amp;TEXT(COUNTA($C$5:C88),"000"))</f>
        <v/>
      </c>
      <c r="C88" s="16" t="n"/>
      <c r="D88" s="42" t="n"/>
      <c r="E88" s="42" t="n"/>
      <c r="F88" s="43">
        <f>IF(OR(D88="",E88=""),"",E88-D88)</f>
        <v/>
      </c>
      <c r="G88" s="42" t="n"/>
      <c r="H88" s="43">
        <f>IF(OR(E88="",G88=""),"",E88-G88)</f>
        <v/>
      </c>
      <c r="I88" s="42" t="n"/>
      <c r="J88" s="43">
        <f>IF(OR(E88="",I88=""),"",E88-I88)</f>
        <v/>
      </c>
      <c r="K88" s="16" t="n"/>
      <c r="L88" s="16" t="n"/>
    </row>
    <row r="89" ht="22" customHeight="1">
      <c r="B89" s="20">
        <f>IF(C89="","ABM-"&amp;TEXT(COUNTA($C$5:C89),"000"))</f>
        <v/>
      </c>
      <c r="C89" s="13" t="n"/>
      <c r="D89" s="40" t="n"/>
      <c r="E89" s="40" t="n"/>
      <c r="F89" s="41">
        <f>IF(OR(D89="",E89=""),"",E89-D89)</f>
        <v/>
      </c>
      <c r="G89" s="40" t="n"/>
      <c r="H89" s="41">
        <f>IF(OR(E89="",G89=""),"",E89-G89)</f>
        <v/>
      </c>
      <c r="I89" s="40" t="n"/>
      <c r="J89" s="41">
        <f>IF(OR(E89="",I89=""),"",E89-I89)</f>
        <v/>
      </c>
      <c r="K89" s="13" t="n"/>
      <c r="L89" s="13" t="n"/>
    </row>
    <row r="90" ht="22" customHeight="1">
      <c r="B90" s="19">
        <f>IF(C90="","ABM-"&amp;TEXT(COUNTA($C$5:C90),"000"))</f>
        <v/>
      </c>
      <c r="C90" s="16" t="n"/>
      <c r="D90" s="42" t="n"/>
      <c r="E90" s="42" t="n"/>
      <c r="F90" s="43">
        <f>IF(OR(D90="",E90=""),"",E90-D90)</f>
        <v/>
      </c>
      <c r="G90" s="42" t="n"/>
      <c r="H90" s="43">
        <f>IF(OR(E90="",G90=""),"",E90-G90)</f>
        <v/>
      </c>
      <c r="I90" s="42" t="n"/>
      <c r="J90" s="43">
        <f>IF(OR(E90="",I90=""),"",E90-I90)</f>
        <v/>
      </c>
      <c r="K90" s="16" t="n"/>
      <c r="L90" s="16" t="n"/>
    </row>
    <row r="91" ht="22" customHeight="1">
      <c r="B91" s="20">
        <f>IF(C91="","ABM-"&amp;TEXT(COUNTA($C$5:C91),"000"))</f>
        <v/>
      </c>
      <c r="C91" s="13" t="n"/>
      <c r="D91" s="40" t="n"/>
      <c r="E91" s="40" t="n"/>
      <c r="F91" s="41">
        <f>IF(OR(D91="",E91=""),"",E91-D91)</f>
        <v/>
      </c>
      <c r="G91" s="40" t="n"/>
      <c r="H91" s="41">
        <f>IF(OR(E91="",G91=""),"",E91-G91)</f>
        <v/>
      </c>
      <c r="I91" s="40" t="n"/>
      <c r="J91" s="41">
        <f>IF(OR(E91="",I91=""),"",E91-I91)</f>
        <v/>
      </c>
      <c r="K91" s="13" t="n"/>
      <c r="L91" s="13" t="n"/>
    </row>
    <row r="92" ht="22" customHeight="1">
      <c r="B92" s="19">
        <f>IF(C92="","ABM-"&amp;TEXT(COUNTA($C$5:C92),"000"))</f>
        <v/>
      </c>
      <c r="C92" s="16" t="n"/>
      <c r="D92" s="42" t="n"/>
      <c r="E92" s="42" t="n"/>
      <c r="F92" s="43">
        <f>IF(OR(D92="",E92=""),"",E92-D92)</f>
        <v/>
      </c>
      <c r="G92" s="42" t="n"/>
      <c r="H92" s="43">
        <f>IF(OR(E92="",G92=""),"",E92-G92)</f>
        <v/>
      </c>
      <c r="I92" s="42" t="n"/>
      <c r="J92" s="43">
        <f>IF(OR(E92="",I92=""),"",E92-I92)</f>
        <v/>
      </c>
      <c r="K92" s="16" t="n"/>
      <c r="L92" s="16" t="n"/>
    </row>
    <row r="93" ht="22" customHeight="1">
      <c r="B93" s="20">
        <f>IF(C93="","ABM-"&amp;TEXT(COUNTA($C$5:C93),"000"))</f>
        <v/>
      </c>
      <c r="C93" s="13" t="n"/>
      <c r="D93" s="40" t="n"/>
      <c r="E93" s="40" t="n"/>
      <c r="F93" s="41">
        <f>IF(OR(D93="",E93=""),"",E93-D93)</f>
        <v/>
      </c>
      <c r="G93" s="40" t="n"/>
      <c r="H93" s="41">
        <f>IF(OR(E93="",G93=""),"",E93-G93)</f>
        <v/>
      </c>
      <c r="I93" s="40" t="n"/>
      <c r="J93" s="41">
        <f>IF(OR(E93="",I93=""),"",E93-I93)</f>
        <v/>
      </c>
      <c r="K93" s="13" t="n"/>
      <c r="L93" s="13" t="n"/>
    </row>
    <row r="94" ht="22" customHeight="1">
      <c r="B94" s="19">
        <f>IF(C94="","ABM-"&amp;TEXT(COUNTA($C$5:C94),"000"))</f>
        <v/>
      </c>
      <c r="C94" s="16" t="n"/>
      <c r="D94" s="42" t="n"/>
      <c r="E94" s="42" t="n"/>
      <c r="F94" s="43">
        <f>IF(OR(D94="",E94=""),"",E94-D94)</f>
        <v/>
      </c>
      <c r="G94" s="42" t="n"/>
      <c r="H94" s="43">
        <f>IF(OR(E94="",G94=""),"",E94-G94)</f>
        <v/>
      </c>
      <c r="I94" s="42" t="n"/>
      <c r="J94" s="43">
        <f>IF(OR(E94="",I94=""),"",E94-I94)</f>
        <v/>
      </c>
      <c r="K94" s="16" t="n"/>
      <c r="L94" s="16" t="n"/>
    </row>
    <row r="95" ht="22" customHeight="1">
      <c r="B95" s="20">
        <f>IF(C95="","ABM-"&amp;TEXT(COUNTA($C$5:C95),"000"))</f>
        <v/>
      </c>
      <c r="C95" s="13" t="n"/>
      <c r="D95" s="40" t="n"/>
      <c r="E95" s="40" t="n"/>
      <c r="F95" s="41">
        <f>IF(OR(D95="",E95=""),"",E95-D95)</f>
        <v/>
      </c>
      <c r="G95" s="40" t="n"/>
      <c r="H95" s="41">
        <f>IF(OR(E95="",G95=""),"",E95-G95)</f>
        <v/>
      </c>
      <c r="I95" s="40" t="n"/>
      <c r="J95" s="41">
        <f>IF(OR(E95="",I95=""),"",E95-I95)</f>
        <v/>
      </c>
      <c r="K95" s="13" t="n"/>
      <c r="L95" s="13" t="n"/>
    </row>
    <row r="96" ht="22" customHeight="1">
      <c r="B96" s="19">
        <f>IF(C96="","ABM-"&amp;TEXT(COUNTA($C$5:C96),"000"))</f>
        <v/>
      </c>
      <c r="C96" s="16" t="n"/>
      <c r="D96" s="42" t="n"/>
      <c r="E96" s="42" t="n"/>
      <c r="F96" s="43">
        <f>IF(OR(D96="",E96=""),"",E96-D96)</f>
        <v/>
      </c>
      <c r="G96" s="42" t="n"/>
      <c r="H96" s="43">
        <f>IF(OR(E96="",G96=""),"",E96-G96)</f>
        <v/>
      </c>
      <c r="I96" s="42" t="n"/>
      <c r="J96" s="43">
        <f>IF(OR(E96="",I96=""),"",E96-I96)</f>
        <v/>
      </c>
      <c r="K96" s="16" t="n"/>
      <c r="L96" s="16" t="n"/>
    </row>
    <row r="97" ht="22" customHeight="1">
      <c r="B97" s="20">
        <f>IF(C97="","ABM-"&amp;TEXT(COUNTA($C$5:C97),"000"))</f>
        <v/>
      </c>
      <c r="C97" s="13" t="n"/>
      <c r="D97" s="40" t="n"/>
      <c r="E97" s="40" t="n"/>
      <c r="F97" s="41">
        <f>IF(OR(D97="",E97=""),"",E97-D97)</f>
        <v/>
      </c>
      <c r="G97" s="40" t="n"/>
      <c r="H97" s="41">
        <f>IF(OR(E97="",G97=""),"",E97-G97)</f>
        <v/>
      </c>
      <c r="I97" s="40" t="n"/>
      <c r="J97" s="41">
        <f>IF(OR(E97="",I97=""),"",E97-I97)</f>
        <v/>
      </c>
      <c r="K97" s="13" t="n"/>
      <c r="L97" s="13" t="n"/>
    </row>
    <row r="98" ht="22" customHeight="1">
      <c r="B98" s="19">
        <f>IF(C98="","ABM-"&amp;TEXT(COUNTA($C$5:C98),"000"))</f>
        <v/>
      </c>
      <c r="C98" s="16" t="n"/>
      <c r="D98" s="42" t="n"/>
      <c r="E98" s="42" t="n"/>
      <c r="F98" s="43">
        <f>IF(OR(D98="",E98=""),"",E98-D98)</f>
        <v/>
      </c>
      <c r="G98" s="42" t="n"/>
      <c r="H98" s="43">
        <f>IF(OR(E98="",G98=""),"",E98-G98)</f>
        <v/>
      </c>
      <c r="I98" s="42" t="n"/>
      <c r="J98" s="43">
        <f>IF(OR(E98="",I98=""),"",E98-I98)</f>
        <v/>
      </c>
      <c r="K98" s="16" t="n"/>
      <c r="L98" s="16" t="n"/>
    </row>
    <row r="99" ht="22" customHeight="1">
      <c r="B99" s="20">
        <f>IF(C99="","ABM-"&amp;TEXT(COUNTA($C$5:C99),"000"))</f>
        <v/>
      </c>
      <c r="C99" s="13" t="n"/>
      <c r="D99" s="40" t="n"/>
      <c r="E99" s="40" t="n"/>
      <c r="F99" s="41">
        <f>IF(OR(D99="",E99=""),"",E99-D99)</f>
        <v/>
      </c>
      <c r="G99" s="40" t="n"/>
      <c r="H99" s="41">
        <f>IF(OR(E99="",G99=""),"",E99-G99)</f>
        <v/>
      </c>
      <c r="I99" s="40" t="n"/>
      <c r="J99" s="41">
        <f>IF(OR(E99="",I99=""),"",E99-I99)</f>
        <v/>
      </c>
      <c r="K99" s="13" t="n"/>
      <c r="L99" s="13" t="n"/>
    </row>
    <row r="100" ht="22" customHeight="1">
      <c r="B100" s="19">
        <f>IF(C100="","ABM-"&amp;TEXT(COUNTA($C$5:C100),"000"))</f>
        <v/>
      </c>
      <c r="C100" s="16" t="n"/>
      <c r="D100" s="42" t="n"/>
      <c r="E100" s="42" t="n"/>
      <c r="F100" s="43">
        <f>IF(OR(D100="",E100=""),"",E100-D100)</f>
        <v/>
      </c>
      <c r="G100" s="42" t="n"/>
      <c r="H100" s="43">
        <f>IF(OR(E100="",G100=""),"",E100-G100)</f>
        <v/>
      </c>
      <c r="I100" s="42" t="n"/>
      <c r="J100" s="43">
        <f>IF(OR(E100="",I100=""),"",E100-I100)</f>
        <v/>
      </c>
      <c r="K100" s="16" t="n"/>
      <c r="L100" s="16" t="n"/>
    </row>
    <row r="101" ht="22" customHeight="1">
      <c r="B101" s="20">
        <f>IF(C101="","ABM-"&amp;TEXT(COUNTA($C$5:C101),"000"))</f>
        <v/>
      </c>
      <c r="C101" s="13" t="n"/>
      <c r="D101" s="40" t="n"/>
      <c r="E101" s="40" t="n"/>
      <c r="F101" s="41">
        <f>IF(OR(D101="",E101=""),"",E101-D101)</f>
        <v/>
      </c>
      <c r="G101" s="40" t="n"/>
      <c r="H101" s="41">
        <f>IF(OR(E101="",G101=""),"",E101-G101)</f>
        <v/>
      </c>
      <c r="I101" s="40" t="n"/>
      <c r="J101" s="41">
        <f>IF(OR(E101="",I101=""),"",E101-I101)</f>
        <v/>
      </c>
      <c r="K101" s="13" t="n"/>
      <c r="L101" s="13" t="n"/>
    </row>
    <row r="102" ht="22" customHeight="1">
      <c r="B102" s="19">
        <f>IF(C102="","ABM-"&amp;TEXT(COUNTA($C$5:C102),"000"))</f>
        <v/>
      </c>
      <c r="C102" s="16" t="n"/>
      <c r="D102" s="42" t="n"/>
      <c r="E102" s="42" t="n"/>
      <c r="F102" s="43">
        <f>IF(OR(D102="",E102=""),"",E102-D102)</f>
        <v/>
      </c>
      <c r="G102" s="42" t="n"/>
      <c r="H102" s="43">
        <f>IF(OR(E102="",G102=""),"",E102-G102)</f>
        <v/>
      </c>
      <c r="I102" s="42" t="n"/>
      <c r="J102" s="43">
        <f>IF(OR(E102="",I102=""),"",E102-I102)</f>
        <v/>
      </c>
      <c r="K102" s="16" t="n"/>
      <c r="L102" s="16" t="n"/>
    </row>
    <row r="103" ht="22" customHeight="1">
      <c r="B103" s="20">
        <f>IF(C103="","ABM-"&amp;TEXT(COUNTA($C$5:C103),"000"))</f>
        <v/>
      </c>
      <c r="C103" s="13" t="n"/>
      <c r="D103" s="40" t="n"/>
      <c r="E103" s="40" t="n"/>
      <c r="F103" s="41">
        <f>IF(OR(D103="",E103=""),"",E103-D103)</f>
        <v/>
      </c>
      <c r="G103" s="40" t="n"/>
      <c r="H103" s="41">
        <f>IF(OR(E103="",G103=""),"",E103-G103)</f>
        <v/>
      </c>
      <c r="I103" s="40" t="n"/>
      <c r="J103" s="41">
        <f>IF(OR(E103="",I103=""),"",E103-I103)</f>
        <v/>
      </c>
      <c r="K103" s="13" t="n"/>
      <c r="L103" s="13" t="n"/>
    </row>
    <row r="104" ht="22" customHeight="1">
      <c r="B104" s="19">
        <f>IF(C104="","ABM-"&amp;TEXT(COUNTA($C$5:C104),"000"))</f>
        <v/>
      </c>
      <c r="C104" s="16" t="n"/>
      <c r="D104" s="42" t="n"/>
      <c r="E104" s="42" t="n"/>
      <c r="F104" s="43">
        <f>IF(OR(D104="",E104=""),"",E104-D104)</f>
        <v/>
      </c>
      <c r="G104" s="42" t="n"/>
      <c r="H104" s="43">
        <f>IF(OR(E104="",G104=""),"",E104-G104)</f>
        <v/>
      </c>
      <c r="I104" s="42" t="n"/>
      <c r="J104" s="43">
        <f>IF(OR(E104="",I104=""),"",E104-I104)</f>
        <v/>
      </c>
      <c r="K104" s="16" t="n"/>
      <c r="L104" s="16" t="n"/>
    </row>
    <row r="105" ht="22" customHeight="1">
      <c r="B105" s="20">
        <f>IF(C105="","ABM-"&amp;TEXT(COUNTA($C$5:C105),"000"))</f>
        <v/>
      </c>
      <c r="C105" s="13" t="n"/>
      <c r="D105" s="40" t="n"/>
      <c r="E105" s="40" t="n"/>
      <c r="F105" s="41">
        <f>IF(OR(D105="",E105=""),"",E105-D105)</f>
        <v/>
      </c>
      <c r="G105" s="40" t="n"/>
      <c r="H105" s="41">
        <f>IF(OR(E105="",G105=""),"",E105-G105)</f>
        <v/>
      </c>
      <c r="I105" s="40" t="n"/>
      <c r="J105" s="41">
        <f>IF(OR(E105="",I105=""),"",E105-I105)</f>
        <v/>
      </c>
      <c r="K105" s="13" t="n"/>
      <c r="L105" s="13" t="n"/>
    </row>
    <row r="106" ht="22" customHeight="1">
      <c r="B106" s="19">
        <f>IF(C106="","ABM-"&amp;TEXT(COUNTA($C$5:C106),"000"))</f>
        <v/>
      </c>
      <c r="C106" s="16" t="n"/>
      <c r="D106" s="42" t="n"/>
      <c r="E106" s="42" t="n"/>
      <c r="F106" s="43">
        <f>IF(OR(D106="",E106=""),"",E106-D106)</f>
        <v/>
      </c>
      <c r="G106" s="42" t="n"/>
      <c r="H106" s="43">
        <f>IF(OR(E106="",G106=""),"",E106-G106)</f>
        <v/>
      </c>
      <c r="I106" s="42" t="n"/>
      <c r="J106" s="43">
        <f>IF(OR(E106="",I106=""),"",E106-I106)</f>
        <v/>
      </c>
      <c r="K106" s="16" t="n"/>
      <c r="L106" s="16" t="n"/>
    </row>
    <row r="107" ht="22" customHeight="1">
      <c r="B107" s="20">
        <f>IF(C107="","ABM-"&amp;TEXT(COUNTA($C$5:C107),"000"))</f>
        <v/>
      </c>
      <c r="C107" s="13" t="n"/>
      <c r="D107" s="40" t="n"/>
      <c r="E107" s="40" t="n"/>
      <c r="F107" s="41">
        <f>IF(OR(D107="",E107=""),"",E107-D107)</f>
        <v/>
      </c>
      <c r="G107" s="40" t="n"/>
      <c r="H107" s="41">
        <f>IF(OR(E107="",G107=""),"",E107-G107)</f>
        <v/>
      </c>
      <c r="I107" s="40" t="n"/>
      <c r="J107" s="41">
        <f>IF(OR(E107="",I107=""),"",E107-I107)</f>
        <v/>
      </c>
      <c r="K107" s="13" t="n"/>
      <c r="L107" s="13" t="n"/>
    </row>
    <row r="108" ht="22" customHeight="1">
      <c r="B108" s="19">
        <f>IF(C108="","ABM-"&amp;TEXT(COUNTA($C$5:C108),"000"))</f>
        <v/>
      </c>
      <c r="C108" s="16" t="n"/>
      <c r="D108" s="42" t="n"/>
      <c r="E108" s="42" t="n"/>
      <c r="F108" s="43">
        <f>IF(OR(D108="",E108=""),"",E108-D108)</f>
        <v/>
      </c>
      <c r="G108" s="42" t="n"/>
      <c r="H108" s="43">
        <f>IF(OR(E108="",G108=""),"",E108-G108)</f>
        <v/>
      </c>
      <c r="I108" s="42" t="n"/>
      <c r="J108" s="43">
        <f>IF(OR(E108="",I108=""),"",E108-I108)</f>
        <v/>
      </c>
      <c r="K108" s="16" t="n"/>
      <c r="L108" s="16" t="n"/>
    </row>
    <row r="109" ht="22" customHeight="1">
      <c r="B109" s="20">
        <f>IF(C109="","ABM-"&amp;TEXT(COUNTA($C$5:C109),"000"))</f>
        <v/>
      </c>
      <c r="C109" s="13" t="n"/>
      <c r="D109" s="40" t="n"/>
      <c r="E109" s="40" t="n"/>
      <c r="F109" s="41">
        <f>IF(OR(D109="",E109=""),"",E109-D109)</f>
        <v/>
      </c>
      <c r="G109" s="40" t="n"/>
      <c r="H109" s="41">
        <f>IF(OR(E109="",G109=""),"",E109-G109)</f>
        <v/>
      </c>
      <c r="I109" s="40" t="n"/>
      <c r="J109" s="41">
        <f>IF(OR(E109="",I109=""),"",E109-I109)</f>
        <v/>
      </c>
      <c r="K109" s="13" t="n"/>
      <c r="L109" s="13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Indicateurs benchmark</t>
        </is>
      </c>
      <c r="D112" s="3" t="inlineStr">
        <is>
          <t>Au-dessus secteur</t>
        </is>
      </c>
      <c r="F112" s="3" t="inlineStr">
        <is>
          <t>En dessous meilleur</t>
        </is>
      </c>
    </row>
    <row r="113">
      <c r="B113" s="4">
        <f>COUNTIF(B5:B104,"&lt;&gt;")</f>
        <v/>
      </c>
      <c r="D113" s="4">
        <f>COUNTIF(H5:H104,"&lt;0")</f>
        <v/>
      </c>
      <c r="F113" s="4">
        <f>COUNTIF(J5:J104,"&gt;0")</f>
        <v/>
      </c>
    </row>
  </sheetData>
  <mergeCells count="3">
    <mergeCell ref="B2:L2"/>
    <mergeCell ref="B111:L111"/>
    <mergeCell ref="B3:L3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0">
      <formula>"Cloture"</formula>
    </cfRule>
    <cfRule type="cellIs" priority="93" operator="equal" dxfId="0">
      <formula>"Sous-consomme"</formula>
    </cfRule>
    <cfRule type="cellIs" priority="94" operator="equal" dxfId="0">
      <formula>"Vert (OK)"</formula>
    </cfRule>
    <cfRule type="cellIs" priority="95" operator="equal" dxfId="0">
      <formula>"Vote"</formula>
    </cfRule>
    <cfRule type="cellIs" priority="96" operator="equal" dxfId="0">
      <formula>"Depasse"</formula>
    </cfRule>
    <cfRule type="cellIs" priority="97" operator="equal" dxfId="1">
      <formula>"En attente"</formula>
    </cfRule>
    <cfRule type="cellIs" priority="98" operator="equal" dxfId="1">
      <formula>"A renouveler"</formula>
    </cfRule>
    <cfRule type="cellIs" priority="99" operator="equal" dxfId="1">
      <formula>"En cours"</formula>
    </cfRule>
    <cfRule type="cellIs" priority="100" operator="equal" dxfId="1">
      <formula>"En traitement"</formula>
    </cfRule>
    <cfRule type="cellIs" priority="101" operator="equal" dxfId="1">
      <formula>"En retard"</formula>
    </cfRule>
    <cfRule type="cellIs" priority="102" operator="equal" dxfId="1">
      <formula>"Suspendu"</formula>
    </cfRule>
    <cfRule type="cellIs" priority="103" operator="equal" dxfId="1">
      <formula>"Planifie"</formula>
    </cfRule>
    <cfRule type="cellIs" priority="104" operator="equal" dxfId="1">
      <formula>"Planifiee"</formula>
    </cfRule>
    <cfRule type="cellIs" priority="105" operator="equal" dxfId="1">
      <formula>"Brouillon"</formula>
    </cfRule>
    <cfRule type="cellIs" priority="106" operator="equal" dxfId="1">
      <formula>"En attente de justification"</formula>
    </cfRule>
    <cfRule type="cellIs" priority="107" operator="equal" dxfId="1">
      <formula>"Tolere"</formula>
    </cfRule>
    <cfRule type="cellIs" priority="108" operator="equal" dxfId="1">
      <formula>"Variable"</formula>
    </cfRule>
    <cfRule type="cellIs" priority="109" operator="equal" dxfId="1">
      <formula>"En elaboration"</formula>
    </cfRule>
    <cfRule type="cellIs" priority="110" operator="equal" dxfId="1">
      <formula>"Provisionne"</formula>
    </cfRule>
    <cfRule type="cellIs" priority="111" operator="equal" dxfId="1">
      <formula>"Consomme partiel"</formula>
    </cfRule>
    <cfRule type="cellIs" priority="112" operator="equal" dxfId="1">
      <formula>"Identifie"</formula>
    </cfRule>
    <cfRule type="cellIs" priority="113" operator="equal" dxfId="1">
      <formula>"Priorise"</formula>
    </cfRule>
    <cfRule type="cellIs" priority="114" operator="equal" dxfId="1">
      <formula>"Intermediaire"</formula>
    </cfRule>
    <cfRule type="cellIs" priority="115" operator="equal" dxfId="1">
      <formula>"Non evalue"</formula>
    </cfRule>
    <cfRule type="cellIs" priority="116" operator="equal" dxfId="1">
      <formula>"En cours de realisation"</formula>
    </cfRule>
    <cfRule type="cellIs" priority="117" operator="equal" dxfId="1">
      <formula>"Non demarre"</formula>
    </cfRule>
    <cfRule type="cellIs" priority="118" operator="equal" dxfId="1">
      <formula>"En attente N+1"</formula>
    </cfRule>
    <cfRule type="cellIs" priority="119" operator="equal" dxfId="1">
      <formula>"Prolongation essai"</formula>
    </cfRule>
    <cfRule type="cellIs" priority="120" operator="equal" dxfId="1">
      <formula>"En attente validation"</formula>
    </cfRule>
    <cfRule type="cellIs" priority="121" operator="equal" dxfId="1">
      <formula>"Bon"</formula>
    </cfRule>
    <cfRule type="cellIs" priority="122" operator="equal" dxfId="1">
      <formula>"D - Moyen"</formula>
    </cfRule>
    <cfRule type="cellIs" priority="123" operator="equal" dxfId="1">
      <formula>"En cours de repres."</formula>
    </cfRule>
    <cfRule type="cellIs" priority="124" operator="equal" dxfId="1">
      <formula>"En negociation"</formula>
    </cfRule>
    <cfRule type="cellIs" priority="125" operator="equal" dxfId="1">
      <formula>"En preparation"</formula>
    </cfRule>
    <cfRule type="cellIs" priority="126" operator="equal" dxfId="1">
      <formula>"En cours d'instruction"</formula>
    </cfRule>
    <cfRule type="cellIs" priority="127" operator="equal" dxfId="1">
      <formula>"Transferee N+1"</formula>
    </cfRule>
    <cfRule type="cellIs" priority="128" operator="equal" dxfId="1">
      <formula>"En attente reponse"</formula>
    </cfRule>
    <cfRule type="cellIs" priority="129" operator="equal" dxfId="1">
      <formula>"Enquete ouverte"</formula>
    </cfRule>
    <cfRule type="cellIs" priority="130" operator="equal" dxfId="1">
      <formula>"Convocation envoyee"</formula>
    </cfRule>
    <cfRule type="cellIs" priority="131" operator="equal" dxfId="1">
      <formula>"Entretien realise"</formula>
    </cfRule>
    <cfRule type="cellIs" priority="132" operator="equal" dxfId="1">
      <formula>"Saisie"</formula>
    </cfRule>
    <cfRule type="cellIs" priority="133" operator="equal" dxfId="1">
      <formula>"En mediation"</formula>
    </cfRule>
    <cfRule type="cellIs" priority="134" operator="equal" dxfId="1">
      <formula>"En recours"</formula>
    </cfRule>
    <cfRule type="cellIs" priority="135" operator="equal" dxfId="1">
      <formula>"Reportee"</formula>
    </cfRule>
    <cfRule type="cellIs" priority="136" operator="equal" dxfId="1">
      <formula>"Reporte"</formula>
    </cfRule>
    <cfRule type="cellIs" priority="137" operator="equal" dxfId="1">
      <formula>"Signale"</formula>
    </cfRule>
    <cfRule type="cellIs" priority="138" operator="equal" dxfId="1">
      <formula>"Precontentieux"</formula>
    </cfRule>
    <cfRule type="cellIs" priority="139" operator="equal" dxfId="1">
      <formula>"En attente election"</formula>
    </cfRule>
    <cfRule type="cellIs" priority="140" operator="equal" dxfId="1">
      <formula>"Classe"</formula>
    </cfRule>
    <cfRule type="cellIs" priority="141" operator="equal" dxfId="1">
      <formula>"En cours d'evaluation"</formula>
    </cfRule>
    <cfRule type="cellIs" priority="142" operator="equal" dxfId="1">
      <formula>"En cours d'enquete"</formula>
    </cfRule>
    <cfRule type="cellIs" priority="143" operator="equal" dxfId="1">
      <formula>"En cours de commande"</formula>
    </cfRule>
    <cfRule type="cellIs" priority="144" operator="equal" dxfId="1">
      <formula>"A revoir"</formula>
    </cfRule>
    <cfRule type="cellIs" priority="145" operator="equal" dxfId="1">
      <formula>"A remplacer"</formula>
    </cfRule>
    <cfRule type="cellIs" priority="146" operator="equal" dxfId="1">
      <formula>"En cours d'instruction CNPS"</formula>
    </cfRule>
    <cfRule type="cellIs" priority="147" operator="equal" dxfId="1">
      <formula>"En contestation"</formula>
    </cfRule>
    <cfRule type="cellIs" priority="148" operator="equal" dxfId="1">
      <formula>"Inapte temporaire"</formula>
    </cfRule>
    <cfRule type="cellIs" priority="149" operator="equal" dxfId="1">
      <formula>"Candidat identifie"</formula>
    </cfRule>
    <cfRule type="cellIs" priority="150" operator="equal" dxfId="1">
      <formula>"En formation"</formula>
    </cfRule>
    <cfRule type="cellIs" priority="151" operator="equal" dxfId="1">
      <formula>"En evaluation"</formula>
    </cfRule>
    <cfRule type="cellIs" priority="152" operator="equal" dxfId="1">
      <formula>"En transit"</formula>
    </cfRule>
    <cfRule type="cellIs" priority="153" operator="equal" dxfId="1">
      <formula>"En attente visa"</formula>
    </cfRule>
    <cfRule type="cellIs" priority="154" operator="equal" dxfId="1">
      <formula>"Proposee"</formula>
    </cfRule>
    <cfRule type="cellIs" priority="155" operator="equal" dxfId="1">
      <formula>"En cours d'acquisition"</formula>
    </cfRule>
    <cfRule type="cellIs" priority="156" operator="equal" dxfId="1">
      <formula>"A developper"</formula>
    </cfRule>
    <cfRule type="cellIs" priority="157" operator="equal" dxfId="1">
      <formula>"A renforcer"</formula>
    </cfRule>
    <cfRule type="cellIs" priority="158" operator="equal" dxfId="1">
      <formula>"En cours"</formula>
    </cfRule>
    <cfRule type="cellIs" priority="159" operator="equal" dxfId="1">
      <formula>"Partiellement conforme"</formula>
    </cfRule>
    <cfRule type="cellIs" priority="160" operator="equal" dxfId="1">
      <formula>"En mise en conformite"</formula>
    </cfRule>
    <cfRule type="cellIs" priority="161" operator="equal" dxfId="1">
      <formula>"En revision"</formula>
    </cfRule>
    <cfRule type="cellIs" priority="162" operator="equal" dxfId="1">
      <formula>"A approuver"</formula>
    </cfRule>
    <cfRule type="cellIs" priority="163" operator="equal" dxfId="1">
      <formula>"En conciliation"</formula>
    </cfRule>
    <cfRule type="cellIs" priority="164" operator="equal" dxfId="1">
      <formula>"Assigne tribunal"</formula>
    </cfRule>
    <cfRule type="cellIs" priority="165" operator="equal" dxfId="1">
      <formula>"En cours de preparation"</formula>
    </cfRule>
    <cfRule type="cellIs" priority="166" operator="equal" dxfId="1">
      <formula>"Non effectuee"</formula>
    </cfRule>
    <cfRule type="cellIs" priority="167" operator="equal" dxfId="1">
      <formula>"A archiver"</formula>
    </cfRule>
    <cfRule type="cellIs" priority="168" operator="equal" dxfId="1">
      <formula>"En cours de constitution"</formula>
    </cfRule>
    <cfRule type="cellIs" priority="169" operator="equal" dxfId="1">
      <formula>"A mettre a jour"</formula>
    </cfRule>
    <cfRule type="cellIs" priority="170" operator="equal" dxfId="1">
      <formula>"En restoration"</formula>
    </cfRule>
    <cfRule type="cellIs" priority="171" operator="equal" dxfId="1">
      <formula>"En cours de restauration"</formula>
    </cfRule>
    <cfRule type="cellIs" priority="172" operator="equal" dxfId="1">
      <formula>"A determiner"</formula>
    </cfRule>
    <cfRule type="cellIs" priority="173" operator="equal" dxfId="1">
      <formula>"En revision"</formula>
    </cfRule>
    <cfRule type="cellIs" priority="174" operator="equal" dxfId="1">
      <formula>"Obsolete"</formula>
    </cfRule>
    <cfRule type="cellIs" priority="175" operator="equal" dxfId="1">
      <formula>"Hybride (papier + numerique)"</formula>
    </cfRule>
    <cfRule type="cellIs" priority="176" operator="equal" dxfId="1">
      <formula>"En cours de validation"</formula>
    </cfRule>
    <cfRule type="cellIs" priority="177" operator="equal" dxfId="1">
      <formula>"En cours d'analyse"</formula>
    </cfRule>
    <cfRule type="cellIs" priority="178" operator="equal" dxfId="1">
      <formula>"En cours de redaction"</formula>
    </cfRule>
    <cfRule type="cellIs" priority="179" operator="equal" dxfId="1">
      <formula>"En relecture"</formula>
    </cfRule>
    <cfRule type="cellIs" priority="180" operator="equal" dxfId="1">
      <formula>"En analyse"</formula>
    </cfRule>
    <cfRule type="cellIs" priority="181" operator="equal" dxfId="1">
      <formula>"Entretien planifie"</formula>
    </cfRule>
    <cfRule type="cellIs" priority="182" operator="equal" dxfId="1">
      <formula>"En attente decision"</formula>
    </cfRule>
    <cfRule type="cellIs" priority="183" operator="equal" dxfId="1">
      <formula>"En attente poste"</formula>
    </cfRule>
    <cfRule type="cellIs" priority="184" operator="equal" dxfId="1">
      <formula>"Satisfait"</formula>
    </cfRule>
    <cfRule type="cellIs" priority="185" operator="equal" dxfId="1">
      <formula>"Neutre"</formula>
    </cfRule>
    <cfRule type="cellIs" priority="186" operator="equal" dxfId="1">
      <formula>"En negotation"</formula>
    </cfRule>
    <cfRule type="cellIs" priority="187" operator="equal" dxfId="1">
      <formula>"En pause"</formula>
    </cfRule>
    <cfRule type="cellIs" priority="188" operator="equal" dxfId="1">
      <formula>"En amelioration"</formula>
    </cfRule>
    <cfRule type="cellIs" priority="189" operator="equal" dxfId="1">
      <formula>"En evaluation"</formula>
    </cfRule>
    <cfRule type="cellIs" priority="190" operator="equal" dxfId="1">
      <formula>"Test"</formula>
    </cfRule>
    <cfRule type="cellIs" priority="191" operator="equal" dxfId="1">
      <formula>"Deploiement pilote"</formula>
    </cfRule>
    <cfRule type="cellIs" priority="192" operator="equal" dxfId="1">
      <formula>"Prototype"</formula>
    </cfRule>
    <cfRule type="cellIs" priority="193" operator="equal" dxfId="1">
      <formula>"Etude de faisabilite"</formula>
    </cfRule>
    <cfRule type="cellIs" priority="194" operator="equal" dxfId="1">
      <formula>"Partiellement automatise"</formula>
    </cfRule>
    <cfRule type="cellIs" priority="195" operator="equal" dxfId="1">
      <formula>"Defini"</formula>
    </cfRule>
    <cfRule type="cellIs" priority="196" operator="equal" dxfId="1">
      <formula>"Reproductible"</formula>
    </cfRule>
    <cfRule type="cellIs" priority="197" operator="equal" dxfId="1">
      <formula>"En cours d'adoption"</formula>
    </cfRule>
    <cfRule type="cellIs" priority="198" operator="equal" dxfId="1">
      <formula>"Idee"</formula>
    </cfRule>
    <cfRule type="cellIs" priority="199" operator="equal" dxfId="1">
      <formula>"En execution"</formula>
    </cfRule>
    <cfRule type="cellIs" priority="200" operator="equal" dxfId="1">
      <formula>"Orange (Attention)"</formula>
    </cfRule>
    <cfRule type="cellIs" priority="201" operator="equal" dxfId="1">
      <formula>"Non commence"</formula>
    </cfRule>
    <cfRule type="cellIs" priority="202" operator="equal" dxfId="1">
      <formula>"Reporte"</formula>
    </cfRule>
    <cfRule type="cellIs" priority="203" operator="equal" dxfId="2">
      <formula>"Expire"</formula>
    </cfRule>
    <cfRule type="cellIs" priority="204" operator="equal" dxfId="2">
      <formula>"Rejete"</formula>
    </cfRule>
    <cfRule type="cellIs" priority="205" operator="equal" dxfId="2">
      <formula>"Rejetee"</formula>
    </cfRule>
    <cfRule type="cellIs" priority="206" operator="equal" dxfId="2">
      <formula>"Resilie"</formula>
    </cfRule>
    <cfRule type="cellIs" priority="207" operator="equal" dxfId="2">
      <formula>"Annule"</formula>
    </cfRule>
    <cfRule type="cellIs" priority="208" operator="equal" dxfId="2">
      <formula>"Annulee"</formula>
    </cfRule>
    <cfRule type="cellIs" priority="209" operator="equal" dxfId="2">
      <formula>"Refuse"</formula>
    </cfRule>
    <cfRule type="cellIs" priority="210" operator="equal" dxfId="2">
      <formula>"Non justifie"</formula>
    </cfRule>
    <cfRule type="cellIs" priority="211" operator="equal" dxfId="2">
      <formula>"Non justifiee"</formula>
    </cfRule>
    <cfRule type="cellIs" priority="212" operator="equal" dxfId="2">
      <formula>"Sanctionne"</formula>
    </cfRule>
    <cfRule type="cellIs" priority="213" operator="equal" dxfId="2">
      <formula>"Inaptitude"</formula>
    </cfRule>
    <cfRule type="cellIs" priority="214" operator="equal" dxfId="2">
      <formula>"Absent sans autorisation"</formula>
    </cfRule>
    <cfRule type="cellIs" priority="215" operator="equal" dxfId="2">
      <formula>"Abandon de poste"</formula>
    </cfRule>
    <cfRule type="cellIs" priority="216" operator="equal" dxfId="2">
      <formula>"Non satisfait"</formula>
    </cfRule>
    <cfRule type="cellIs" priority="217" operator="equal" dxfId="2">
      <formula>"Depasse"</formula>
    </cfRule>
    <cfRule type="cellIs" priority="218" operator="equal" dxfId="2">
      <formula>"Non utilise"</formula>
    </cfRule>
    <cfRule type="cellIs" priority="219" operator="equal" dxfId="2">
      <formula>"Non applicable"</formula>
    </cfRule>
    <cfRule type="cellIs" priority="220" operator="equal" dxfId="2">
      <formula>"Debutant"</formula>
    </cfRule>
    <cfRule type="cellIs" priority="221" operator="equal" dxfId="2">
      <formula>"Non atteint"</formula>
    </cfRule>
    <cfRule type="cellIs" priority="222" operator="equal" dxfId="2">
      <formula>"Abandonne"</formula>
    </cfRule>
    <cfRule type="cellIs" priority="223" operator="equal" dxfId="2">
      <formula>"Rupture essai"</formula>
    </cfRule>
    <cfRule type="cellIs" priority="224" operator="equal" dxfId="2">
      <formula>"Insuffisant"</formula>
    </cfRule>
    <cfRule type="cellIs" priority="225" operator="equal" dxfId="2">
      <formula>"Moyen"</formula>
    </cfRule>
    <cfRule type="cellIs" priority="226" operator="equal" dxfId="2">
      <formula>"E - Insuffisant"</formula>
    </cfRule>
    <cfRule type="cellIs" priority="227" operator="equal" dxfId="2">
      <formula>"Dissous"</formula>
    </cfRule>
    <cfRule type="cellIs" priority="228" operator="equal" dxfId="2">
      <formula>"Denonce"</formula>
    </cfRule>
    <cfRule type="cellIs" priority="229" operator="equal" dxfId="2">
      <formula>"Echoue"</formula>
    </cfRule>
    <cfRule type="cellIs" priority="230" operator="equal" dxfId="2">
      <formula>"Echouee"</formula>
    </cfRule>
    <cfRule type="cellIs" priority="231" operator="equal" dxfId="2">
      <formula>"Revoque"</formula>
    </cfRule>
    <cfRule type="cellIs" priority="232" operator="equal" dxfId="2">
      <formula>"Demissionnaire"</formula>
    </cfRule>
    <cfRule type="cellIs" priority="233" operator="equal" dxfId="2">
      <formula>"Licenciement pour faute"</formula>
    </cfRule>
    <cfRule type="cellIs" priority="234" operator="equal" dxfId="2">
      <formula>"Licenciement pour faute grave"</formula>
    </cfRule>
    <cfRule type="cellIs" priority="235" operator="equal" dxfId="2">
      <formula>"Terminee - Echec"</formula>
    </cfRule>
    <cfRule type="cellIs" priority="236" operator="equal" dxfId="2">
      <formula>"Abandonnee"</formula>
    </cfRule>
    <cfRule type="cellIs" priority="237" operator="equal" dxfId="2">
      <formula>"Violence physique"</formula>
    </cfRule>
    <cfRule type="cellIs" priority="238" operator="equal" dxfId="2">
      <formula>"Violence verbale"</formula>
    </cfRule>
    <cfRule type="cellIs" priority="239" operator="equal" dxfId="2">
      <formula>"Fatal"</formula>
    </cfRule>
    <cfRule type="cellIs" priority="240" operator="equal" dxfId="2">
      <formula>"Non reconnue"</formula>
    </cfRule>
    <cfRule type="cellIs" priority="241" operator="equal" dxfId="2">
      <formula>"Inapte definitif"</formula>
    </cfRule>
    <cfRule type="cellIs" priority="242" operator="equal" dxfId="2">
      <formula>"Perdu / vole"</formula>
    </cfRule>
    <cfRule type="cellIs" priority="243" operator="equal" dxfId="2">
      <formula>"Rebute"</formula>
    </cfRule>
    <cfRule type="cellIs" priority="244" operator="equal" dxfId="2">
      <formula>"Obsolette"</formula>
    </cfRule>
    <cfRule type="cellIs" priority="245" operator="equal" dxfId="2">
      <formula>"Conteste"</formula>
    </cfRule>
    <cfRule type="cellIs" priority="246" operator="equal" dxfId="2">
      <formula>"Refusee"</formula>
    </cfRule>
    <cfRule type="cellIs" priority="247" operator="equal" dxfId="2">
      <formula>"Non retenu"</formula>
    </cfRule>
    <cfRule type="cellIs" priority="248" operator="equal" dxfId="2">
      <formula>"Non acquis"</formula>
    </cfRule>
    <cfRule type="cellIs" priority="249" operator="equal" dxfId="2">
      <formula>"Contrat termine"</formula>
    </cfRule>
    <cfRule type="cellIs" priority="250" operator="equal" dxfId="2">
      <formula>"Rapatrie"</formula>
    </cfRule>
    <cfRule type="cellIs" priority="251" operator="equal" dxfId="2">
      <formula>"Non conforme"</formula>
    </cfRule>
    <cfRule type="cellIs" priority="252" operator="equal" dxfId="2">
      <formula>"Abandonne"</formula>
    </cfRule>
    <cfRule type="cellIs" priority="253" operator="equal" dxfId="2">
      <formula>"Perdu"</formula>
    </cfRule>
    <cfRule type="cellIs" priority="254" operator="equal" dxfId="2">
      <formula>"Resilie"</formula>
    </cfRule>
    <cfRule type="cellIs" priority="255" operator="equal" dxfId="2">
      <formula>"Expire"</formula>
    </cfRule>
    <cfRule type="cellIs" priority="256" operator="equal" dxfId="2">
      <formula>"Incomplet"</formula>
    </cfRule>
    <cfRule type="cellIs" priority="257" operator="equal" dxfId="2">
      <formula>"Non restitue"</formula>
    </cfRule>
    <cfRule type="cellIs" priority="258" operator="equal" dxfId="2">
      <formula>"Perdu"</formula>
    </cfRule>
    <cfRule type="cellIs" priority="259" operator="equal" dxfId="2">
      <formula>"Secret"</formula>
    </cfRule>
    <cfRule type="cellIs" priority="260" operator="equal" dxfId="2">
      <formula>"Non retenue"</formula>
    </cfRule>
    <cfRule type="cellIs" priority="261" operator="equal" dxfId="2">
      <formula>"Insatisfait"</formula>
    </cfRule>
    <cfRule type="cellIs" priority="262" operator="equal" dxfId="2">
      <formula>"Tres insatisfait"</formula>
    </cfRule>
    <cfRule type="cellIs" priority="263" operator="equal" dxfId="2">
      <formula>"Non mesure"</formula>
    </cfRule>
    <cfRule type="cellIs" priority="264" operator="equal" dxfId="2">
      <formula>"Non renouvele"</formula>
    </cfRule>
    <cfRule type="cellIs" priority="265" operator="equal" dxfId="2">
      <formula>"Non commence"</formula>
    </cfRule>
    <cfRule type="cellIs" priority="266" operator="equal" dxfId="2">
      <formula>"Initial"</formula>
    </cfRule>
    <cfRule type="cellIs" priority="267" operator="equal" dxfId="2">
      <formula>"Critique"</formula>
    </cfRule>
    <cfRule type="cellIs" priority="268" operator="equal" dxfId="2">
      <formula>"Eleve"</formula>
    </cfRule>
    <cfRule type="cellIs" priority="269" operator="equal" dxfId="2">
      <formula>"Abandonne"</formula>
    </cfRule>
    <cfRule type="cellIs" priority="270" operator="equal" dxfId="2">
      <formula>"Rouge (Alerte)"</formula>
    </cfRule>
    <cfRule type="cellIs" priority="271" operator="equal" dxfId="2">
      <formula>"Non disponible"</formula>
    </cfRule>
    <cfRule type="cellIs" priority="272" operator="equal" dxfId="2">
      <formula>"Insuffisant"</formula>
    </cfRule>
    <cfRule type="cellIs" priority="273" operator="equal" dxfId="2">
      <formula>"Abandonne"</formula>
    </cfRule>
  </conditionalFormatting>
  <conditionalFormatting sqref="B10:B109">
    <cfRule type="expression" priority="274" dxfId="3">
      <formula>AND($C10="",$C9&lt;&gt;"")</formula>
    </cfRule>
  </conditionalFormatting>
  <conditionalFormatting sqref="C10:C109">
    <cfRule type="expression" priority="275" dxfId="3">
      <formula>AND($C10="",$C9&lt;&gt;"")</formula>
    </cfRule>
  </conditionalFormatting>
  <conditionalFormatting sqref="D10:D109">
    <cfRule type="expression" priority="276" dxfId="3">
      <formula>AND($C10="",$C9&lt;&gt;"")</formula>
    </cfRule>
  </conditionalFormatting>
  <conditionalFormatting sqref="E10:E109">
    <cfRule type="expression" priority="277" dxfId="3">
      <formula>AND($C10="",$C9&lt;&gt;"")</formula>
    </cfRule>
  </conditionalFormatting>
  <conditionalFormatting sqref="F10:F109">
    <cfRule type="expression" priority="278" dxfId="3">
      <formula>AND($C10="",$C9&lt;&gt;"")</formula>
    </cfRule>
  </conditionalFormatting>
  <conditionalFormatting sqref="G10:G109">
    <cfRule type="expression" priority="279" dxfId="3">
      <formula>AND($C10="",$C9&lt;&gt;"")</formula>
    </cfRule>
  </conditionalFormatting>
  <conditionalFormatting sqref="H10:H109">
    <cfRule type="expression" priority="280" dxfId="3">
      <formula>AND($C10="",$C9&lt;&gt;"")</formula>
    </cfRule>
  </conditionalFormatting>
  <conditionalFormatting sqref="I10:I109">
    <cfRule type="expression" priority="281" dxfId="3">
      <formula>AND($C10="",$C9&lt;&gt;"")</formula>
    </cfRule>
  </conditionalFormatting>
  <conditionalFormatting sqref="J10:J109">
    <cfRule type="expression" priority="282" dxfId="3">
      <formula>AND($C10="",$C9&lt;&gt;"")</formula>
    </cfRule>
  </conditionalFormatting>
  <conditionalFormatting sqref="K10:K109">
    <cfRule type="expression" priority="283" dxfId="3">
      <formula>AND($C10="",$C9&lt;&gt;"")</formula>
    </cfRule>
  </conditionalFormatting>
  <conditionalFormatting sqref="L10:L109">
    <cfRule type="expression" priority="284" dxfId="3">
      <formula>AND($C10="",$C9&lt;&gt;"")</formula>
    </cfRule>
  </conditionalFormatting>
  <dataValidations count="1">
    <dataValidation sqref="K5:K109" showDropDown="0" showInputMessage="0" showErrorMessage="0" allowBlank="1" errorTitle="Erreur" error="Valeur invalide" promptTitle="Liste" prompt="Choisir dans la liste" type="list">
      <formula1>'_Lists'!$Q$2:$Q$5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2026-07-07T06:46:25Z</dcterms:created>
  <dcterms:modified xmlns:dcterms="http://purl.org/dc/terms/" xmlns:xsi="http://www.w3.org/2001/XMLSchema-instance" xsi:type="dcterms:W3CDTF">2026-07-09T19:23:29Z</dcterms:modified>
</cp:coreProperties>
</file>