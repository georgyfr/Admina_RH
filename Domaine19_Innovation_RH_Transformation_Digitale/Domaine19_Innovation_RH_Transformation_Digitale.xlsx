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ableau de Bord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2-Inventaire Outils Digitaux" sheetId="3" state="visible" r:id="rId3"/>
    <sheet xmlns:r="http://schemas.openxmlformats.org/officeDocument/2006/relationships" name="3-Automatisation Processus RH" sheetId="4" state="visible" r:id="rId4"/>
    <sheet xmlns:r="http://schemas.openxmlformats.org/officeDocument/2006/relationships" name="4-Intelligence Artificielle RH" sheetId="5" state="visible" r:id="rId5"/>
    <sheet xmlns:r="http://schemas.openxmlformats.org/officeDocument/2006/relationships" name="5-Data Analytics RH" sheetId="6" state="visible" r:id="rId6"/>
    <sheet xmlns:r="http://schemas.openxmlformats.org/officeDocument/2006/relationships" name="6-SIRH &amp; Systemes Info" sheetId="7" state="visible" r:id="rId7"/>
    <sheet xmlns:r="http://schemas.openxmlformats.org/officeDocument/2006/relationships" name="7-Digital Learning &amp; E-Learning" sheetId="8" state="visible" r:id="rId8"/>
    <sheet xmlns:r="http://schemas.openxmlformats.org/officeDocument/2006/relationships" name="8-Applications Mobiles RH" sheetId="9" state="visible" r:id="rId9"/>
    <sheet xmlns:r="http://schemas.openxmlformats.org/officeDocument/2006/relationships" name="9-Chatbots &amp; Assistants RH" sheetId="10" state="visible" r:id="rId10"/>
    <sheet xmlns:r="http://schemas.openxmlformats.org/officeDocument/2006/relationships" name="10-Cybersecurite Donnees RH" sheetId="11" state="visible" r:id="rId11"/>
    <sheet xmlns:r="http://schemas.openxmlformats.org/officeDocument/2006/relationships" name="11-Veille Technologique RH" sheetId="12" state="visible" r:id="rId12"/>
    <sheet xmlns:r="http://schemas.openxmlformats.org/officeDocument/2006/relationships" name="12-Suivi Projets Digitaux" sheetId="13" state="visible" r:id="rId13"/>
    <sheet xmlns:r="http://schemas.openxmlformats.org/officeDocument/2006/relationships" name="13-Analyse ROI Outils Digitaux" sheetId="14" state="visible" r:id="rId14"/>
    <sheet xmlns:r="http://schemas.openxmlformats.org/officeDocument/2006/relationships" name="14-Suivi Adoption Outils" sheetId="15" state="visible" r:id="rId15"/>
    <sheet xmlns:r="http://schemas.openxmlformats.org/officeDocument/2006/relationships" name="15-Historique Deploiements" sheetId="16" state="visible" r:id="rId16"/>
    <sheet xmlns:r="http://schemas.openxmlformats.org/officeDocument/2006/relationships" name="16-Calendrier Transform. Dig." sheetId="17" state="visible" r:id="rId17"/>
    <sheet xmlns:r="http://schemas.openxmlformats.org/officeDocument/2006/relationships" name="17-Matrice Outils &amp; Processus" sheetId="18" state="visible" r:id="rId18"/>
    <sheet xmlns:r="http://schemas.openxmlformats.org/officeDocument/2006/relationships" name="18-Suivi Compet. Digitales RH" sheetId="19" state="visible" r:id="rId19"/>
    <sheet xmlns:r="http://schemas.openxmlformats.org/officeDocument/2006/relationships" name="19-Analyse Maturite Digital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0.0"/>
    <numFmt numFmtId="166" formatCode="+0.0;-0.0;0"/>
    <numFmt numFmtId="167" formatCode="0.0%"/>
    <numFmt numFmtId="168" formatCode="+0.0%;-0.0%;0"/>
    <numFmt numFmtId="169" formatCode="+0;-0;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3" fontId="8" fillId="3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3" fontId="8" fillId="4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165" fontId="8" fillId="3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8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8" fontId="8" fillId="4" borderId="0" applyAlignment="1" pivotButton="0" quotePrefix="0" xfId="0">
      <alignment horizontal="right" vertical="center"/>
    </xf>
    <xf numFmtId="169" fontId="8" fillId="3" borderId="0" applyAlignment="1" pivotButton="0" quotePrefix="0" xfId="0">
      <alignment horizontal="right" vertical="center"/>
    </xf>
    <xf numFmtId="169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Projets Digitaux par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Bord'!$B$20:$B$25</f>
            </numRef>
          </cat>
          <val>
            <numRef>
              <f>'1-Tableau de Bord'!$C$20:$C$25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Outils par Statut Deploiement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Bord'!$H$28:$H$33</f>
            </numRef>
          </cat>
          <val>
            <numRef>
              <f>'1-Tableau de Bord'!$I$28:$I$33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19 — INNOVATION RH &amp; TRANSFORMATION DIGITALE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Outils digitaux</t>
        </is>
      </c>
      <c r="E5" s="3" t="inlineStr">
        <is>
          <t>Processus automatises</t>
        </is>
      </c>
      <c r="H5" s="3" t="inlineStr">
        <is>
          <t>Cas d'usage IA</t>
        </is>
      </c>
      <c r="K5" s="3" t="inlineStr">
        <is>
          <t>Indicateurs analytics</t>
        </is>
      </c>
    </row>
    <row r="6">
      <c r="B6" s="4">
        <f>COUNTIF('2-Inventaire Outils Digitaux'!B5:B104,"&lt;&gt;")</f>
        <v/>
      </c>
      <c r="E6" s="4">
        <f>COUNTIF('3-Automatisation Processus RH'!B5:B104,"&lt;&gt;")</f>
        <v/>
      </c>
      <c r="H6" s="4">
        <f>COUNTIF('4-Intelligence Artificielle RH'!B5:B104,"&lt;&gt;")</f>
        <v/>
      </c>
      <c r="K6" s="4">
        <f>COUNTIF('5-Data Analytics RH'!B5:B104,"&lt;&gt;")</f>
        <v/>
      </c>
    </row>
    <row r="7"/>
    <row r="8"/>
    <row r="9">
      <c r="B9" s="3" t="inlineStr">
        <is>
          <t>Modules SIRH</t>
        </is>
      </c>
      <c r="E9" s="3" t="inlineStr">
        <is>
          <t>Modules e-learning</t>
        </is>
      </c>
      <c r="H9" s="3" t="inlineStr">
        <is>
          <t>Apps mobiles RH</t>
        </is>
      </c>
      <c r="K9" s="3" t="inlineStr">
        <is>
          <t>Chatbots / Assistants</t>
        </is>
      </c>
    </row>
    <row r="10">
      <c r="B10" s="4">
        <f>COUNTIF('6-SIRH &amp; Systemes Info'!B5:B104,"&lt;&gt;")</f>
        <v/>
      </c>
      <c r="E10" s="4">
        <f>COUNTIF('7-Digital Learning &amp; E-Learning'!B5:B104,"&lt;&gt;")</f>
        <v/>
      </c>
      <c r="H10" s="4">
        <f>COUNTIF('8-Applications Mobiles RH'!B5:B104,"&lt;&gt;")</f>
        <v/>
      </c>
      <c r="K10" s="4">
        <f>COUNTIF('9-Chatbots &amp; Assistants RH'!B5:B104,"&lt;&gt;")</f>
        <v/>
      </c>
    </row>
    <row r="11"/>
    <row r="12"/>
    <row r="13">
      <c r="B13" s="3" t="inlineStr">
        <is>
          <t>Categories securisees</t>
        </is>
      </c>
      <c r="E13" s="3" t="inlineStr">
        <is>
          <t>Suivis veille tech</t>
        </is>
      </c>
      <c r="H13" s="3" t="inlineStr">
        <is>
          <t>Projets digitaux</t>
        </is>
      </c>
      <c r="K13" s="3" t="inlineStr">
        <is>
          <t>Budget licences (FCFA)</t>
        </is>
      </c>
    </row>
    <row r="14">
      <c r="B14" s="4">
        <f>COUNTIF('10-Cybersecurite Donnees RH'!B5:B104,"&lt;&gt;")</f>
        <v/>
      </c>
      <c r="E14" s="4">
        <f>COUNTIF('11-Veille Technologique RH'!B5:B104,"&lt;&gt;")</f>
        <v/>
      </c>
      <c r="H14" s="4">
        <f>COUNTIF('12-Suivi Projets Digitaux'!B5:B104,"&lt;&gt;")</f>
        <v/>
      </c>
      <c r="K14" s="4">
        <f>IFERROR(SUM('2-Inventaire Outils Digitaux'!H5:H104),0)</f>
        <v/>
      </c>
    </row>
    <row r="15"/>
    <row r="16"/>
    <row r="17"/>
    <row r="18">
      <c r="B18" s="5" t="inlineStr">
        <is>
          <t>PROJETS DIGITAUX PAR TYPE &amp; OUTILS PAR STATUT DEPLOIEMENT</t>
        </is>
      </c>
    </row>
    <row r="19" ht="15" customHeight="1">
      <c r="B19" s="3" t="inlineStr">
        <is>
          <t>Type Projet</t>
        </is>
      </c>
      <c r="C19" s="3" t="inlineStr">
        <is>
          <t>Nombre</t>
        </is>
      </c>
    </row>
    <row r="20" ht="15" customHeight="1">
      <c r="B20" s="6" t="inlineStr">
        <is>
          <t>Infrastructure</t>
        </is>
      </c>
      <c r="C20" s="7">
        <f>COUNTIF('12-Suivi Projets Digitaux'!D5:D104,"Infrastructure")</f>
        <v/>
      </c>
    </row>
    <row r="21" ht="15" customHeight="1">
      <c r="B21" s="6" t="inlineStr">
        <is>
          <t>IA &amp; Chatbot</t>
        </is>
      </c>
      <c r="C21" s="7">
        <f>COUNTIF('12-Suivi Projets Digitaux'!D5:D104,"IA &amp; Chatbot")</f>
        <v/>
      </c>
    </row>
    <row r="22" ht="15" customHeight="1">
      <c r="B22" s="6" t="inlineStr">
        <is>
          <t>Application mobile</t>
        </is>
      </c>
      <c r="C22" s="7">
        <f>COUNTIF('12-Suivi Projets Digitaux'!D5:D104,"Application mobile")</f>
        <v/>
      </c>
    </row>
    <row r="23" ht="15" customHeight="1">
      <c r="B23" s="6" t="inlineStr">
        <is>
          <t>Automatisation</t>
        </is>
      </c>
      <c r="C23" s="7">
        <f>COUNTIF('12-Suivi Projets Digitaux'!D5:D104,"Automatisation")</f>
        <v/>
      </c>
    </row>
    <row r="24" ht="15" customHeight="1">
      <c r="B24" s="6" t="inlineStr">
        <is>
          <t>Analytics &amp; BI</t>
        </is>
      </c>
      <c r="C24" s="7">
        <f>COUNTIF('12-Suivi Projets Digitaux'!D5:D104,"Analytics &amp; BI")</f>
        <v/>
      </c>
    </row>
    <row r="25" ht="15" customHeight="1">
      <c r="B25" s="6" t="inlineStr">
        <is>
          <t>GED &amp; Numerisation</t>
        </is>
      </c>
      <c r="C25" s="7">
        <f>COUNTIF('12-Suivi Projets Digitaux'!D5:D104,"GED &amp; Numerisation")</f>
        <v/>
      </c>
    </row>
    <row r="26" ht="15" customHeight="1"/>
    <row r="27" ht="15" customHeight="1">
      <c r="H27" s="3" t="inlineStr">
        <is>
          <t>Statut Deploiement</t>
        </is>
      </c>
      <c r="I27" s="3" t="inlineStr">
        <is>
          <t>Nombre</t>
        </is>
      </c>
    </row>
    <row r="28" ht="15" customHeight="1">
      <c r="H28" s="6" t="inlineStr">
        <is>
          <t>En production</t>
        </is>
      </c>
      <c r="I28" s="7">
        <f>COUNTIF('2-Inventaire Outils Digitaux'!L5:L104,"En production")</f>
        <v/>
      </c>
    </row>
    <row r="29" ht="15" customHeight="1">
      <c r="H29" s="6" t="inlineStr">
        <is>
          <t>Deploie</t>
        </is>
      </c>
      <c r="I29" s="7">
        <f>COUNTIF('2-Inventaire Outils Digitaux'!L5:L104,"Deploie")</f>
        <v/>
      </c>
    </row>
    <row r="30" ht="15" customHeight="1">
      <c r="H30" s="6" t="inlineStr">
        <is>
          <t>Test</t>
        </is>
      </c>
      <c r="I30" s="7">
        <f>COUNTIF('2-Inventaire Outils Digitaux'!L5:L104,"Test")</f>
        <v/>
      </c>
    </row>
    <row r="31" ht="15" customHeight="1">
      <c r="H31" s="6" t="inlineStr">
        <is>
          <t>En cours</t>
        </is>
      </c>
      <c r="I31" s="7">
        <f>COUNTIF('2-Inventaire Outils Digitaux'!L5:L104,"En cours")</f>
        <v/>
      </c>
    </row>
    <row r="32" ht="15" customHeight="1">
      <c r="H32" s="6" t="inlineStr">
        <is>
          <t>Planifie</t>
        </is>
      </c>
      <c r="I32" s="7">
        <f>COUNTIF('2-Inventaire Outils Digitaux'!L5:L104,"Planifie")</f>
        <v/>
      </c>
    </row>
    <row r="33" ht="15" customHeight="1">
      <c r="H33" s="6" t="inlineStr">
        <is>
          <t>Obsolete</t>
        </is>
      </c>
      <c r="I33" s="7">
        <f>COUNTIF('2-Inventaire Outils Digitaux'!L5:L104,"Obsolete")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I28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conditionalFormatting sqref="I32">
    <cfRule type="cellIs" priority="23" operator="greaterThan" dxfId="4">
      <formula>0</formula>
    </cfRule>
  </conditionalFormatting>
  <conditionalFormatting sqref="I33">
    <cfRule type="cellIs" priority="24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B1" s="8" t="inlineStr">
        <is>
          <t>departement</t>
        </is>
      </c>
      <c r="C1" s="8" t="inlineStr">
        <is>
          <t>poste_hotel</t>
        </is>
      </c>
      <c r="D1" s="8" t="inlineStr">
        <is>
          <t>type_outil_digital</t>
        </is>
      </c>
      <c r="E1" s="8" t="inlineStr">
        <is>
          <t>statut_deploiement</t>
        </is>
      </c>
      <c r="F1" s="8" t="inlineStr">
        <is>
          <t>niveau_automatisation</t>
        </is>
      </c>
      <c r="G1" s="8" t="inlineStr">
        <is>
          <t>type_ia</t>
        </is>
      </c>
      <c r="H1" s="8" t="inlineStr">
        <is>
          <t>niveau_maturite</t>
        </is>
      </c>
      <c r="I1" s="8" t="inlineStr">
        <is>
          <t>frequence_veille</t>
        </is>
      </c>
      <c r="J1" s="8" t="inlineStr">
        <is>
          <t>source_veille</t>
        </is>
      </c>
      <c r="K1" s="8" t="inlineStr">
        <is>
          <t>statut_innovation</t>
        </is>
      </c>
      <c r="L1" s="8" t="inlineStr">
        <is>
          <t>categorie_donnee_rh</t>
        </is>
      </c>
      <c r="M1" s="8" t="inlineStr">
        <is>
          <t>niveau_risque</t>
        </is>
      </c>
      <c r="N1" s="8" t="inlineStr">
        <is>
          <t>statut_adoption</t>
        </is>
      </c>
      <c r="O1" s="8" t="inlineStr">
        <is>
          <t>periode_analyse</t>
        </is>
      </c>
      <c r="P1" s="8" t="inlineStr">
        <is>
          <t>statut_action</t>
        </is>
      </c>
      <c r="Q1" s="8" t="inlineStr">
        <is>
          <t>statut_projet</t>
        </is>
      </c>
      <c r="R1" s="8" t="inlineStr">
        <is>
          <t>fournisseur_tech</t>
        </is>
      </c>
      <c r="S1" s="8" t="inlineStr">
        <is>
          <t>echelle_satisfaction</t>
        </is>
      </c>
      <c r="T1" t="inlineStr">
        <is>
          <t>categorie_outil_digital</t>
        </is>
      </c>
    </row>
    <row r="2">
      <c r="B2" s="9" t="inlineStr">
        <is>
          <t>Direction Generale</t>
        </is>
      </c>
      <c r="C2" s="9" t="inlineStr">
        <is>
          <t>DG</t>
        </is>
      </c>
      <c r="D2" s="9" t="inlineStr">
        <is>
          <t>SIRH</t>
        </is>
      </c>
      <c r="E2" s="9" t="inlineStr">
        <is>
          <t>Planifie</t>
        </is>
      </c>
      <c r="F2" s="9" t="inlineStr">
        <is>
          <t>Manuel</t>
        </is>
      </c>
      <c r="G2" s="9" t="inlineStr">
        <is>
          <t>CV Screening</t>
        </is>
      </c>
      <c r="H2" s="9" t="inlineStr">
        <is>
          <t>Initial</t>
        </is>
      </c>
      <c r="I2" s="9" t="inlineStr">
        <is>
          <t>Quotidienne</t>
        </is>
      </c>
      <c r="J2" s="9" t="inlineStr">
        <is>
          <t>Blog tech</t>
        </is>
      </c>
      <c r="K2" s="9" t="inlineStr">
        <is>
          <t>Idee</t>
        </is>
      </c>
      <c r="L2" s="9" t="inlineStr">
        <is>
          <t>Donnees personnelles</t>
        </is>
      </c>
      <c r="M2" s="9" t="inlineStr">
        <is>
          <t>Critique</t>
        </is>
      </c>
      <c r="N2" s="9" t="inlineStr">
        <is>
          <t>Non commence</t>
        </is>
      </c>
      <c r="O2" s="9" t="inlineStr">
        <is>
          <t>Mensuel</t>
        </is>
      </c>
      <c r="P2" s="9" t="inlineStr">
        <is>
          <t>Planifiee</t>
        </is>
      </c>
      <c r="Q2" s="9" t="inlineStr">
        <is>
          <t>En cours</t>
        </is>
      </c>
      <c r="R2" s="9" t="inlineStr">
        <is>
          <t>SAP</t>
        </is>
      </c>
      <c r="S2" s="9" t="inlineStr">
        <is>
          <t>Tres insatisfait</t>
        </is>
      </c>
      <c r="T2" t="inlineStr">
        <is>
          <t>SIRH</t>
        </is>
      </c>
    </row>
    <row r="3">
      <c r="B3" s="9" t="inlineStr">
        <is>
          <t>Service Client</t>
        </is>
      </c>
      <c r="C3" s="9" t="inlineStr">
        <is>
          <t>DRH</t>
        </is>
      </c>
      <c r="D3" s="9" t="inlineStr">
        <is>
          <t>Paie</t>
        </is>
      </c>
      <c r="E3" s="9" t="inlineStr">
        <is>
          <t>En cours</t>
        </is>
      </c>
      <c r="F3" s="9" t="inlineStr">
        <is>
          <t>Partiellement automatise</t>
        </is>
      </c>
      <c r="G3" s="9" t="inlineStr">
        <is>
          <t>Chatbot RH</t>
        </is>
      </c>
      <c r="H3" s="9" t="inlineStr">
        <is>
          <t>Reproductible</t>
        </is>
      </c>
      <c r="I3" s="9" t="inlineStr">
        <is>
          <t>Hebdomadaire</t>
        </is>
      </c>
      <c r="J3" s="9" t="inlineStr">
        <is>
          <t>Conference</t>
        </is>
      </c>
      <c r="K3" s="9" t="inlineStr">
        <is>
          <t>Etude de faisabilite</t>
        </is>
      </c>
      <c r="L3" s="9" t="inlineStr">
        <is>
          <t>Salaire &amp; paie</t>
        </is>
      </c>
      <c r="M3" s="9" t="inlineStr">
        <is>
          <t>Eleve</t>
        </is>
      </c>
      <c r="N3" s="9" t="inlineStr">
        <is>
          <t>En cours d'adoption</t>
        </is>
      </c>
      <c r="O3" s="9" t="inlineStr">
        <is>
          <t>Trimestriel</t>
        </is>
      </c>
      <c r="P3" s="9" t="inlineStr">
        <is>
          <t>En cours</t>
        </is>
      </c>
      <c r="Q3" s="9" t="inlineStr">
        <is>
          <t>Termine</t>
        </is>
      </c>
      <c r="R3" s="9" t="inlineStr">
        <is>
          <t>Oracle</t>
        </is>
      </c>
      <c r="S3" s="9" t="inlineStr">
        <is>
          <t>Insatisfait</t>
        </is>
      </c>
      <c r="T3" t="inlineStr">
        <is>
          <t>Paie</t>
        </is>
      </c>
    </row>
    <row r="4">
      <c r="B4" s="9" t="inlineStr">
        <is>
          <t>Finance &amp; Comptabilité</t>
        </is>
      </c>
      <c r="C4" s="9" t="inlineStr">
        <is>
          <t>Assistante RH</t>
        </is>
      </c>
      <c r="D4" s="9" t="inlineStr">
        <is>
          <t>Recrutement</t>
        </is>
      </c>
      <c r="E4" s="9" t="inlineStr">
        <is>
          <t>Test</t>
        </is>
      </c>
      <c r="F4" s="9" t="inlineStr">
        <is>
          <t>Automatise</t>
        </is>
      </c>
      <c r="G4" s="9" t="inlineStr">
        <is>
          <t>Predictif turnover</t>
        </is>
      </c>
      <c r="H4" s="9" t="inlineStr">
        <is>
          <t>Defini</t>
        </is>
      </c>
      <c r="I4" s="9" t="inlineStr">
        <is>
          <t>Bimensuelle</t>
        </is>
      </c>
      <c r="J4" s="9" t="inlineStr">
        <is>
          <t>Webinaire</t>
        </is>
      </c>
      <c r="K4" s="9" t="inlineStr">
        <is>
          <t>Prototype</t>
        </is>
      </c>
      <c r="L4" s="9" t="inlineStr">
        <is>
          <t>Sante &amp; medical</t>
        </is>
      </c>
      <c r="M4" s="9" t="inlineStr">
        <is>
          <t>Moyen</t>
        </is>
      </c>
      <c r="N4" s="9" t="inlineStr">
        <is>
          <t>Adopte</t>
        </is>
      </c>
      <c r="O4" s="9" t="inlineStr">
        <is>
          <t>Semestriel</t>
        </is>
      </c>
      <c r="P4" s="9" t="inlineStr">
        <is>
          <t>Terminee</t>
        </is>
      </c>
      <c r="Q4" s="9" t="inlineStr">
        <is>
          <t>En pause</t>
        </is>
      </c>
      <c r="R4" s="9" t="inlineStr">
        <is>
          <t>Workday</t>
        </is>
      </c>
      <c r="S4" s="9" t="inlineStr">
        <is>
          <t>Neutre</t>
        </is>
      </c>
      <c r="T4" t="inlineStr">
        <is>
          <t>Recrutement</t>
        </is>
      </c>
    </row>
    <row r="5">
      <c r="B5" s="9" t="inlineStr">
        <is>
          <t>Marketing &amp; Communication</t>
        </is>
      </c>
      <c r="C5" s="9" t="inlineStr">
        <is>
          <t>DAF</t>
        </is>
      </c>
      <c r="D5" s="9" t="inlineStr">
        <is>
          <t>Formation en ligne</t>
        </is>
      </c>
      <c r="E5" s="9" t="inlineStr">
        <is>
          <t>Deploie</t>
        </is>
      </c>
      <c r="F5" s="9" t="inlineStr">
        <is>
          <t>Totalement automatise</t>
        </is>
      </c>
      <c r="G5" s="9" t="inlineStr">
        <is>
          <t>Analytics avance</t>
        </is>
      </c>
      <c r="H5" s="9" t="inlineStr">
        <is>
          <t>Gere</t>
        </is>
      </c>
      <c r="I5" s="9" t="inlineStr">
        <is>
          <t>Mensuelle</t>
        </is>
      </c>
      <c r="J5" s="9" t="inlineStr">
        <is>
          <t>Fournisseur</t>
        </is>
      </c>
      <c r="K5" s="9" t="inlineStr">
        <is>
          <t>Test</t>
        </is>
      </c>
      <c r="L5" s="9" t="inlineStr">
        <is>
          <t>Performance</t>
        </is>
      </c>
      <c r="M5" s="9" t="inlineStr">
        <is>
          <t>Faible</t>
        </is>
      </c>
      <c r="N5" s="9" t="inlineStr">
        <is>
          <t>Maitrise</t>
        </is>
      </c>
      <c r="O5" s="9" t="inlineStr">
        <is>
          <t>Annuel</t>
        </is>
      </c>
      <c r="P5" s="9" t="inlineStr">
        <is>
          <t>Reportee</t>
        </is>
      </c>
      <c r="Q5" s="9" t="inlineStr">
        <is>
          <t>Abandonne</t>
        </is>
      </c>
      <c r="R5" s="9" t="inlineStr">
        <is>
          <t>Cegid</t>
        </is>
      </c>
      <c r="S5" s="9" t="inlineStr">
        <is>
          <t>Satisfait</t>
        </is>
      </c>
      <c r="T5" t="inlineStr">
        <is>
          <t>Formation</t>
        </is>
      </c>
    </row>
    <row r="6">
      <c r="B6" s="9" t="inlineStr">
        <is>
          <t>Maintenance</t>
        </is>
      </c>
      <c r="C6" s="9" t="inlineStr">
        <is>
          <t>Comptable senior</t>
        </is>
      </c>
      <c r="D6" s="9" t="inlineStr">
        <is>
          <t>Gestion du temps</t>
        </is>
      </c>
      <c r="E6" s="9" t="inlineStr">
        <is>
          <t>En production</t>
        </is>
      </c>
      <c r="G6" s="9" t="inlineStr">
        <is>
          <t>Assistant virtuel</t>
        </is>
      </c>
      <c r="H6" s="9" t="inlineStr">
        <is>
          <t>Optimise</t>
        </is>
      </c>
      <c r="I6" s="9" t="inlineStr">
        <is>
          <t>Trimestrielle</t>
        </is>
      </c>
      <c r="J6" s="9" t="inlineStr">
        <is>
          <t>Benchmark concurrent</t>
        </is>
      </c>
      <c r="K6" s="9" t="inlineStr">
        <is>
          <t>Deploiement pilote</t>
        </is>
      </c>
      <c r="L6" s="9" t="inlineStr">
        <is>
          <t>Formation &amp; competences</t>
        </is>
      </c>
      <c r="N6" s="9" t="inlineStr">
        <is>
          <t>Expert</t>
        </is>
      </c>
      <c r="P6" s="9" t="inlineStr">
        <is>
          <t>Annulee</t>
        </is>
      </c>
      <c r="Q6" s="9" t="inlineStr">
        <is>
          <t>En attente validation</t>
        </is>
      </c>
      <c r="R6" s="9" t="inlineStr">
        <is>
          <t>Lucca</t>
        </is>
      </c>
      <c r="S6" s="9" t="inlineStr">
        <is>
          <t>Tres satisfait</t>
        </is>
      </c>
      <c r="T6" t="inlineStr">
        <is>
          <t>Communication</t>
        </is>
      </c>
    </row>
    <row r="7">
      <c r="B7" s="9" t="inlineStr">
        <is>
          <t>Commercial</t>
        </is>
      </c>
      <c r="C7" s="9" t="inlineStr">
        <is>
          <t>Chef Comptable</t>
        </is>
      </c>
      <c r="D7" s="9" t="inlineStr">
        <is>
          <t>Communication interne</t>
        </is>
      </c>
      <c r="E7" s="9" t="inlineStr">
        <is>
          <t>Obsolete</t>
        </is>
      </c>
      <c r="G7" s="9" t="inlineStr">
        <is>
          <t>Matching competences</t>
        </is>
      </c>
      <c r="J7" s="9" t="inlineStr">
        <is>
          <t>Publication academique</t>
        </is>
      </c>
      <c r="K7" s="9" t="inlineStr">
        <is>
          <t>Production</t>
        </is>
      </c>
      <c r="L7" s="9" t="inlineStr">
        <is>
          <t>Presence &amp; conges</t>
        </is>
      </c>
      <c r="R7" s="9" t="inlineStr">
        <is>
          <t>BambooHR</t>
        </is>
      </c>
      <c r="T7" t="inlineStr">
        <is>
          <t>Collaboration</t>
        </is>
      </c>
    </row>
    <row r="8">
      <c r="B8" s="9" t="inlineStr">
        <is>
          <t>Logistique &amp; Approvisionnement</t>
        </is>
      </c>
      <c r="C8" s="9" t="inlineStr">
        <is>
          <t>Chef Marketing</t>
        </is>
      </c>
      <c r="D8" s="9" t="inlineStr">
        <is>
          <t>Analytics / BI</t>
        </is>
      </c>
      <c r="E8" s="9" t="inlineStr">
        <is>
          <t>Abandonne</t>
        </is>
      </c>
      <c r="G8" s="9" t="inlineStr">
        <is>
          <t>Analyse sentiment</t>
        </is>
      </c>
      <c r="J8" s="9" t="inlineStr">
        <is>
          <t>Reseaux sociaux</t>
        </is>
      </c>
      <c r="K8" s="9" t="inlineStr">
        <is>
          <t>Abandonne</t>
        </is>
      </c>
      <c r="L8" s="9" t="inlineStr">
        <is>
          <t>Recrutement</t>
        </is>
      </c>
      <c r="R8" s="9" t="inlineStr">
        <is>
          <t>HiBob</t>
        </is>
      </c>
      <c r="T8" t="inlineStr">
        <is>
          <t>Sécurité</t>
        </is>
      </c>
    </row>
    <row r="9">
      <c r="B9" s="9" t="inlineStr">
        <is>
          <t>Cuisine &amp; Restauration</t>
        </is>
      </c>
      <c r="C9" s="9" t="inlineStr">
        <is>
          <t>Chef de service IT</t>
        </is>
      </c>
      <c r="D9" s="9" t="inlineStr">
        <is>
          <t>Chatbot RH</t>
        </is>
      </c>
      <c r="G9" s="9" t="inlineStr">
        <is>
          <t>Autre</t>
        </is>
      </c>
      <c r="J9" s="9" t="inlineStr">
        <is>
          <t>Consultant</t>
        </is>
      </c>
      <c r="L9" s="9" t="inlineStr">
        <is>
          <t>Disciplinaire</t>
        </is>
      </c>
      <c r="R9" s="9" t="inlineStr">
        <is>
          <t>Personio</t>
        </is>
      </c>
      <c r="T9" t="inlineStr">
        <is>
          <t>Autre</t>
        </is>
      </c>
    </row>
    <row r="10">
      <c r="B10" s="9" t="inlineStr">
        <is>
          <t>Réception &amp; Front Office</t>
        </is>
      </c>
      <c r="C10" s="9" t="inlineStr">
        <is>
          <t>Technicien IT</t>
        </is>
      </c>
      <c r="D10" s="9" t="inlineStr">
        <is>
          <t>Application mobile</t>
        </is>
      </c>
      <c r="J10" s="9" t="inlineStr">
        <is>
          <t>Autre</t>
        </is>
      </c>
      <c r="L10" s="9" t="inlineStr">
        <is>
          <t>Autre</t>
        </is>
      </c>
      <c r="R10" s="9" t="inlineStr">
        <is>
          <t>Wittyfit</t>
        </is>
      </c>
    </row>
    <row r="11">
      <c r="B11" s="9" t="inlineStr">
        <is>
          <t>Sécurité</t>
        </is>
      </c>
      <c r="C11" s="9" t="inlineStr">
        <is>
          <t>Chef Commercial</t>
        </is>
      </c>
      <c r="D11" s="9" t="inlineStr">
        <is>
          <t>GED (Gestion Electronique Docs)</t>
        </is>
      </c>
      <c r="R11" s="9" t="inlineStr">
        <is>
          <t>Pollen</t>
        </is>
      </c>
    </row>
    <row r="12">
      <c r="B12" s="9" t="inlineStr">
        <is>
          <t>Étage &amp; Housekeeping</t>
        </is>
      </c>
      <c r="C12" s="9" t="inlineStr">
        <is>
          <t>Agent Commercial</t>
        </is>
      </c>
      <c r="D12" s="9" t="inlineStr">
        <is>
          <t>Signature electronique</t>
        </is>
      </c>
      <c r="R12" s="9" t="inlineStr">
        <is>
          <t>Moc感和K</t>
        </is>
      </c>
    </row>
    <row r="13">
      <c r="B13" s="9" t="n"/>
      <c r="C13" s="9" t="inlineStr">
        <is>
          <t>Chef Reception</t>
        </is>
      </c>
      <c r="D13" s="9" t="inlineStr">
        <is>
          <t>Autre</t>
        </is>
      </c>
      <c r="R13" s="9" t="inlineStr">
        <is>
          <t>Developpement interne</t>
        </is>
      </c>
    </row>
    <row r="14">
      <c r="B14" s="9" t="n"/>
      <c r="C14" s="9" t="inlineStr">
        <is>
          <t>Receptionniste</t>
        </is>
      </c>
      <c r="R14" s="9" t="inlineStr">
        <is>
          <t>Open source</t>
        </is>
      </c>
    </row>
    <row r="15">
      <c r="C15" s="9" t="inlineStr">
        <is>
          <t>Chef Cuisine</t>
        </is>
      </c>
      <c r="R15" s="9" t="inlineStr">
        <is>
          <t>Autre</t>
        </is>
      </c>
    </row>
    <row r="16">
      <c r="C16" s="9" t="inlineStr">
        <is>
          <t>Chef Rangement</t>
        </is>
      </c>
    </row>
    <row r="17">
      <c r="C17" s="9" t="inlineStr">
        <is>
          <t>Gouvernante</t>
        </is>
      </c>
    </row>
    <row r="18">
      <c r="C18" s="9" t="inlineStr">
        <is>
          <t>Femme de chambre</t>
        </is>
      </c>
    </row>
    <row r="19">
      <c r="C19" s="9" t="inlineStr">
        <is>
          <t>Agent Securite</t>
        </is>
      </c>
    </row>
    <row r="20">
      <c r="C20" s="9" t="inlineStr">
        <is>
          <t>Chauffeur</t>
        </is>
      </c>
    </row>
    <row r="21">
      <c r="C21" s="9" t="inlineStr">
        <is>
          <t>Agent Entretien</t>
        </is>
      </c>
    </row>
    <row r="22">
      <c r="C22" s="9" t="inlineStr">
        <is>
          <t>Plongeur</t>
        </is>
      </c>
    </row>
    <row r="23">
      <c r="C23" s="9" t="inlineStr">
        <is>
          <t>Serveur</t>
        </is>
      </c>
    </row>
    <row r="24">
      <c r="C24" s="9" t="inlineStr">
        <is>
          <t>Barman</t>
        </is>
      </c>
    </row>
    <row r="25">
      <c r="C25" s="9" t="inlineStr">
        <is>
          <t>Laveur vaisselle</t>
        </is>
      </c>
    </row>
    <row r="26">
      <c r="C26" s="9" t="inlineStr">
        <is>
          <t>Agent de service</t>
        </is>
      </c>
    </row>
    <row r="27">
      <c r="C27" s="9" t="inlineStr">
        <is>
          <t>Standardiste</t>
        </is>
      </c>
    </row>
    <row r="28">
      <c r="C28" s="9" t="inlineStr">
        <is>
          <t>Bagagiste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20" customWidth="1" min="5" max="5"/>
    <col width="12" customWidth="1" min="6" max="6"/>
    <col width="24" customWidth="1" min="7" max="7"/>
    <col width="22" customWidth="1" min="8" max="8"/>
    <col width="16" customWidth="1" min="9" max="9"/>
    <col width="22" customWidth="1" min="10" max="10"/>
    <col width="20" customWidth="1" min="11" max="11"/>
    <col width="18" customWidth="1" min="12" max="12"/>
    <col width="34" customWidth="1" min="13" max="13"/>
  </cols>
  <sheetData>
    <row r="1" ht="15" customHeight="1"/>
    <row r="2" ht="32" customHeight="1">
      <c r="B2" s="1" t="inlineStr">
        <is>
          <t>INVENTAIRE OUTILS DIGITAUX RH (#157)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Nom Outil / Solution</t>
        </is>
      </c>
      <c r="D4" s="10" t="inlineStr">
        <is>
          <t>Type Outil</t>
        </is>
      </c>
      <c r="E4" s="10" t="inlineStr">
        <is>
          <t>Fournisseur</t>
        </is>
      </c>
      <c r="F4" s="10" t="inlineStr">
        <is>
          <t>Version</t>
        </is>
      </c>
      <c r="G4" s="10" t="inlineStr">
        <is>
          <t>Nb Utilisateurs Licences</t>
        </is>
      </c>
      <c r="H4" s="10" t="inlineStr">
        <is>
          <t>Cout Licence / an (FCFA)</t>
        </is>
      </c>
      <c r="I4" s="10" t="inlineStr">
        <is>
          <t>Date Installation</t>
        </is>
      </c>
      <c r="J4" s="10" t="inlineStr">
        <is>
          <t>Prochain Renouvellement</t>
        </is>
      </c>
      <c r="K4" s="10" t="inlineStr">
        <is>
          <t>Responsable IT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OD-001</t>
        </is>
      </c>
      <c r="C5" s="11" t="inlineStr">
        <is>
          <t>SIRH HotelPro</t>
        </is>
      </c>
      <c r="D5" s="11" t="inlineStr">
        <is>
          <t>SIRH</t>
        </is>
      </c>
      <c r="E5" s="11" t="inlineStr">
        <is>
          <t>Cegid</t>
        </is>
      </c>
      <c r="F5" s="11" t="inlineStr">
        <is>
          <t>v4.2</t>
        </is>
      </c>
      <c r="G5" s="12" t="n">
        <v>15</v>
      </c>
      <c r="H5" s="12" t="n">
        <v>3600000</v>
      </c>
      <c r="I5" s="31" t="n">
        <v>45078</v>
      </c>
      <c r="J5" s="31" t="n">
        <v>46174</v>
      </c>
      <c r="K5" s="11" t="inlineStr">
        <is>
          <t>Chef de service IT</t>
        </is>
      </c>
      <c r="L5" s="11" t="inlineStr">
        <is>
          <t>En production</t>
        </is>
      </c>
      <c r="M5" s="11" t="inlineStr">
        <is>
          <t>Contrat maintenance inclus</t>
        </is>
      </c>
    </row>
    <row r="6" ht="22" customHeight="1">
      <c r="B6" s="14" t="inlineStr">
        <is>
          <t>OD-002</t>
        </is>
      </c>
      <c r="C6" s="14" t="inlineStr">
        <is>
          <t>Lucca Paie</t>
        </is>
      </c>
      <c r="D6" s="14" t="inlineStr">
        <is>
          <t>Paie</t>
        </is>
      </c>
      <c r="E6" s="14" t="inlineStr">
        <is>
          <t>Lucca</t>
        </is>
      </c>
      <c r="F6" s="14" t="inlineStr">
        <is>
          <t>Cloud</t>
        </is>
      </c>
      <c r="G6" s="15" t="n">
        <v>5</v>
      </c>
      <c r="H6" s="15" t="n">
        <v>1200000</v>
      </c>
      <c r="I6" s="32" t="n">
        <v>45306</v>
      </c>
      <c r="J6" s="32" t="n">
        <v>45672</v>
      </c>
      <c r="K6" s="14" t="inlineStr">
        <is>
          <t>Comptable senior</t>
        </is>
      </c>
      <c r="L6" s="14" t="inlineStr">
        <is>
          <t>En production</t>
        </is>
      </c>
      <c r="M6" s="14" t="inlineStr">
        <is>
          <t>Integration SIRH prevue T2</t>
        </is>
      </c>
    </row>
    <row r="7" ht="22" customHeight="1">
      <c r="B7" s="11" t="inlineStr">
        <is>
          <t>OD-003</t>
        </is>
      </c>
      <c r="C7" s="11" t="inlineStr">
        <is>
          <t>Welcome to the Jungle</t>
        </is>
      </c>
      <c r="D7" s="11" t="inlineStr">
        <is>
          <t>Recrutement</t>
        </is>
      </c>
      <c r="E7" s="11" t="inlineStr">
        <is>
          <t>WTJ</t>
        </is>
      </c>
      <c r="F7" s="11" t="inlineStr">
        <is>
          <t>SaaS</t>
        </is>
      </c>
      <c r="G7" s="12" t="n">
        <v>3</v>
      </c>
      <c r="H7" s="12" t="n">
        <v>600000</v>
      </c>
      <c r="I7" s="31" t="n">
        <v>45352</v>
      </c>
      <c r="J7" s="31" t="n">
        <v>45717</v>
      </c>
      <c r="K7" s="11" t="inlineStr">
        <is>
          <t>Assistante RH</t>
        </is>
      </c>
      <c r="L7" s="11" t="inlineStr">
        <is>
          <t>En production</t>
        </is>
      </c>
      <c r="M7" s="11" t="inlineStr">
        <is>
          <t>ATS integre avec multi-poste</t>
        </is>
      </c>
    </row>
    <row r="8" ht="22" customHeight="1">
      <c r="B8" s="17">
        <f>IF(C8="","OD-"&amp;TEXT(COUNTA($C$5:C8),"000"))</f>
        <v/>
      </c>
      <c r="C8" s="14" t="n"/>
      <c r="D8" s="14" t="n"/>
      <c r="E8" s="14" t="n"/>
      <c r="F8" s="14" t="n"/>
      <c r="G8" s="15" t="n"/>
      <c r="H8" s="15" t="n"/>
      <c r="I8" s="32" t="n"/>
      <c r="J8" s="32" t="n"/>
      <c r="K8" s="14" t="n"/>
      <c r="L8" s="14" t="n"/>
      <c r="M8" s="14" t="n"/>
    </row>
    <row r="9" ht="22" customHeight="1">
      <c r="B9" s="18">
        <f>IF(C9="","OD-"&amp;TEXT(COUNTA($C$5:C9),"000"))</f>
        <v/>
      </c>
      <c r="C9" s="11" t="n"/>
      <c r="D9" s="11" t="n"/>
      <c r="E9" s="11" t="n"/>
      <c r="F9" s="11" t="n"/>
      <c r="G9" s="12" t="n"/>
      <c r="H9" s="12" t="n"/>
      <c r="I9" s="31" t="n"/>
      <c r="J9" s="31" t="n"/>
      <c r="K9" s="11" t="n"/>
      <c r="L9" s="11" t="n"/>
      <c r="M9" s="11" t="n"/>
    </row>
    <row r="10" ht="22" customHeight="1">
      <c r="B10" s="17">
        <f>IF(C10="","OD-"&amp;TEXT(COUNTA($C$5:C10),"000"))</f>
        <v/>
      </c>
      <c r="C10" s="14" t="n"/>
      <c r="D10" s="14" t="n"/>
      <c r="E10" s="14" t="n"/>
      <c r="F10" s="14" t="n"/>
      <c r="G10" s="15" t="n"/>
      <c r="H10" s="15" t="n"/>
      <c r="I10" s="32" t="n"/>
      <c r="J10" s="32" t="n"/>
      <c r="K10" s="14" t="n"/>
      <c r="L10" s="14" t="n"/>
      <c r="M10" s="14" t="n"/>
    </row>
    <row r="11" ht="22" customHeight="1">
      <c r="B11" s="18">
        <f>IF(C11="","OD-"&amp;TEXT(COUNTA($C$5:C11),"000"))</f>
        <v/>
      </c>
      <c r="C11" s="11" t="n"/>
      <c r="D11" s="11" t="n"/>
      <c r="E11" s="11" t="n"/>
      <c r="F11" s="11" t="n"/>
      <c r="G11" s="12" t="n"/>
      <c r="H11" s="12" t="n"/>
      <c r="I11" s="31" t="n"/>
      <c r="J11" s="31" t="n"/>
      <c r="K11" s="11" t="n"/>
      <c r="L11" s="11" t="n"/>
      <c r="M11" s="11" t="n"/>
    </row>
    <row r="12" ht="22" customHeight="1">
      <c r="B12" s="17">
        <f>IF(C12="","OD-"&amp;TEXT(COUNTA($C$5:C12),"000"))</f>
        <v/>
      </c>
      <c r="C12" s="14" t="n"/>
      <c r="D12" s="14" t="n"/>
      <c r="E12" s="14" t="n"/>
      <c r="F12" s="14" t="n"/>
      <c r="G12" s="15" t="n"/>
      <c r="H12" s="15" t="n"/>
      <c r="I12" s="32" t="n"/>
      <c r="J12" s="32" t="n"/>
      <c r="K12" s="14" t="n"/>
      <c r="L12" s="14" t="n"/>
      <c r="M12" s="14" t="n"/>
    </row>
    <row r="13" ht="22" customHeight="1">
      <c r="B13" s="18">
        <f>IF(C13="","OD-"&amp;TEXT(COUNTA($C$5:C13),"000"))</f>
        <v/>
      </c>
      <c r="C13" s="11" t="n"/>
      <c r="D13" s="11" t="n"/>
      <c r="E13" s="11" t="n"/>
      <c r="F13" s="11" t="n"/>
      <c r="G13" s="12" t="n"/>
      <c r="H13" s="12" t="n"/>
      <c r="I13" s="31" t="n"/>
      <c r="J13" s="31" t="n"/>
      <c r="K13" s="11" t="n"/>
      <c r="L13" s="11" t="n"/>
      <c r="M13" s="11" t="n"/>
    </row>
    <row r="14" ht="22" customHeight="1">
      <c r="B14" s="17">
        <f>IF(C14="","OD-"&amp;TEXT(COUNTA($C$5:C14),"000"))</f>
        <v/>
      </c>
      <c r="C14" s="14" t="n"/>
      <c r="D14" s="14" t="n"/>
      <c r="E14" s="14" t="n"/>
      <c r="F14" s="14" t="n"/>
      <c r="G14" s="15" t="n"/>
      <c r="H14" s="15" t="n"/>
      <c r="I14" s="32" t="n"/>
      <c r="J14" s="32" t="n"/>
      <c r="K14" s="14" t="n"/>
      <c r="L14" s="14" t="n"/>
      <c r="M14" s="14" t="n"/>
    </row>
    <row r="15" ht="22" customHeight="1">
      <c r="B15" s="18">
        <f>IF(C15="","OD-"&amp;TEXT(COUNTA($C$5:C15),"000"))</f>
        <v/>
      </c>
      <c r="C15" s="11" t="n"/>
      <c r="D15" s="11" t="n"/>
      <c r="E15" s="11" t="n"/>
      <c r="F15" s="11" t="n"/>
      <c r="G15" s="12" t="n"/>
      <c r="H15" s="12" t="n"/>
      <c r="I15" s="31" t="n"/>
      <c r="J15" s="31" t="n"/>
      <c r="K15" s="11" t="n"/>
      <c r="L15" s="11" t="n"/>
      <c r="M15" s="11" t="n"/>
    </row>
    <row r="16" ht="22" customHeight="1">
      <c r="B16" s="17">
        <f>IF(C16="","OD-"&amp;TEXT(COUNTA($C$5:C16),"000"))</f>
        <v/>
      </c>
      <c r="C16" s="14" t="n"/>
      <c r="D16" s="14" t="n"/>
      <c r="E16" s="14" t="n"/>
      <c r="F16" s="14" t="n"/>
      <c r="G16" s="15" t="n"/>
      <c r="H16" s="15" t="n"/>
      <c r="I16" s="32" t="n"/>
      <c r="J16" s="32" t="n"/>
      <c r="K16" s="14" t="n"/>
      <c r="L16" s="14" t="n"/>
      <c r="M16" s="14" t="n"/>
    </row>
    <row r="17" ht="22" customHeight="1">
      <c r="B17" s="18">
        <f>IF(C17="","OD-"&amp;TEXT(COUNTA($C$5:C17),"000"))</f>
        <v/>
      </c>
      <c r="C17" s="11" t="n"/>
      <c r="D17" s="11" t="n"/>
      <c r="E17" s="11" t="n"/>
      <c r="F17" s="11" t="n"/>
      <c r="G17" s="12" t="n"/>
      <c r="H17" s="12" t="n"/>
      <c r="I17" s="31" t="n"/>
      <c r="J17" s="31" t="n"/>
      <c r="K17" s="11" t="n"/>
      <c r="L17" s="11" t="n"/>
      <c r="M17" s="11" t="n"/>
    </row>
    <row r="18" ht="22" customHeight="1">
      <c r="B18" s="17">
        <f>IF(C18="","OD-"&amp;TEXT(COUNTA($C$5:C18),"000"))</f>
        <v/>
      </c>
      <c r="C18" s="14" t="n"/>
      <c r="D18" s="14" t="n"/>
      <c r="E18" s="14" t="n"/>
      <c r="F18" s="14" t="n"/>
      <c r="G18" s="15" t="n"/>
      <c r="H18" s="15" t="n"/>
      <c r="I18" s="32" t="n"/>
      <c r="J18" s="32" t="n"/>
      <c r="K18" s="14" t="n"/>
      <c r="L18" s="14" t="n"/>
      <c r="M18" s="14" t="n"/>
    </row>
    <row r="19" ht="22" customHeight="1">
      <c r="B19" s="18">
        <f>IF(C19="","OD-"&amp;TEXT(COUNTA($C$5:C19),"000"))</f>
        <v/>
      </c>
      <c r="C19" s="11" t="n"/>
      <c r="D19" s="11" t="n"/>
      <c r="E19" s="11" t="n"/>
      <c r="F19" s="11" t="n"/>
      <c r="G19" s="12" t="n"/>
      <c r="H19" s="12" t="n"/>
      <c r="I19" s="31" t="n"/>
      <c r="J19" s="31" t="n"/>
      <c r="K19" s="11" t="n"/>
      <c r="L19" s="11" t="n"/>
      <c r="M19" s="11" t="n"/>
    </row>
    <row r="20" ht="22" customHeight="1">
      <c r="B20" s="17">
        <f>IF(C20="","OD-"&amp;TEXT(COUNTA($C$5:C20),"000"))</f>
        <v/>
      </c>
      <c r="C20" s="14" t="n"/>
      <c r="D20" s="14" t="n"/>
      <c r="E20" s="14" t="n"/>
      <c r="F20" s="14" t="n"/>
      <c r="G20" s="15" t="n"/>
      <c r="H20" s="15" t="n"/>
      <c r="I20" s="32" t="n"/>
      <c r="J20" s="32" t="n"/>
      <c r="K20" s="14" t="n"/>
      <c r="L20" s="14" t="n"/>
      <c r="M20" s="14" t="n"/>
    </row>
    <row r="21" ht="22" customHeight="1">
      <c r="B21" s="18">
        <f>IF(C21="","OD-"&amp;TEXT(COUNTA($C$5:C21),"000"))</f>
        <v/>
      </c>
      <c r="C21" s="11" t="n"/>
      <c r="D21" s="11" t="n"/>
      <c r="E21" s="11" t="n"/>
      <c r="F21" s="11" t="n"/>
      <c r="G21" s="12" t="n"/>
      <c r="H21" s="12" t="n"/>
      <c r="I21" s="31" t="n"/>
      <c r="J21" s="31" t="n"/>
      <c r="K21" s="11" t="n"/>
      <c r="L21" s="11" t="n"/>
      <c r="M21" s="11" t="n"/>
    </row>
    <row r="22" ht="22" customHeight="1">
      <c r="B22" s="17">
        <f>IF(C22="","OD-"&amp;TEXT(COUNTA($C$5:C22),"000"))</f>
        <v/>
      </c>
      <c r="C22" s="14" t="n"/>
      <c r="D22" s="14" t="n"/>
      <c r="E22" s="14" t="n"/>
      <c r="F22" s="14" t="n"/>
      <c r="G22" s="15" t="n"/>
      <c r="H22" s="15" t="n"/>
      <c r="I22" s="32" t="n"/>
      <c r="J22" s="32" t="n"/>
      <c r="K22" s="14" t="n"/>
      <c r="L22" s="14" t="n"/>
      <c r="M22" s="14" t="n"/>
    </row>
    <row r="23" ht="22" customHeight="1">
      <c r="B23" s="18">
        <f>IF(C23="","OD-"&amp;TEXT(COUNTA($C$5:C23),"000"))</f>
        <v/>
      </c>
      <c r="C23" s="11" t="n"/>
      <c r="D23" s="11" t="n"/>
      <c r="E23" s="11" t="n"/>
      <c r="F23" s="11" t="n"/>
      <c r="G23" s="12" t="n"/>
      <c r="H23" s="12" t="n"/>
      <c r="I23" s="31" t="n"/>
      <c r="J23" s="31" t="n"/>
      <c r="K23" s="11" t="n"/>
      <c r="L23" s="11" t="n"/>
      <c r="M23" s="11" t="n"/>
    </row>
    <row r="24" ht="22" customHeight="1">
      <c r="B24" s="17">
        <f>IF(C24="","OD-"&amp;TEXT(COUNTA($C$5:C24),"000"))</f>
        <v/>
      </c>
      <c r="C24" s="14" t="n"/>
      <c r="D24" s="14" t="n"/>
      <c r="E24" s="14" t="n"/>
      <c r="F24" s="14" t="n"/>
      <c r="G24" s="15" t="n"/>
      <c r="H24" s="15" t="n"/>
      <c r="I24" s="32" t="n"/>
      <c r="J24" s="32" t="n"/>
      <c r="K24" s="14" t="n"/>
      <c r="L24" s="14" t="n"/>
      <c r="M24" s="14" t="n"/>
    </row>
    <row r="25" ht="22" customHeight="1">
      <c r="B25" s="18">
        <f>IF(C25="","OD-"&amp;TEXT(COUNTA($C$5:C25),"000"))</f>
        <v/>
      </c>
      <c r="C25" s="11" t="n"/>
      <c r="D25" s="11" t="n"/>
      <c r="E25" s="11" t="n"/>
      <c r="F25" s="11" t="n"/>
      <c r="G25" s="12" t="n"/>
      <c r="H25" s="12" t="n"/>
      <c r="I25" s="31" t="n"/>
      <c r="J25" s="31" t="n"/>
      <c r="K25" s="11" t="n"/>
      <c r="L25" s="11" t="n"/>
      <c r="M25" s="11" t="n"/>
    </row>
    <row r="26" ht="22" customHeight="1">
      <c r="B26" s="17">
        <f>IF(C26="","OD-"&amp;TEXT(COUNTA($C$5:C26),"000"))</f>
        <v/>
      </c>
      <c r="C26" s="14" t="n"/>
      <c r="D26" s="14" t="n"/>
      <c r="E26" s="14" t="n"/>
      <c r="F26" s="14" t="n"/>
      <c r="G26" s="15" t="n"/>
      <c r="H26" s="15" t="n"/>
      <c r="I26" s="32" t="n"/>
      <c r="J26" s="32" t="n"/>
      <c r="K26" s="14" t="n"/>
      <c r="L26" s="14" t="n"/>
      <c r="M26" s="14" t="n"/>
    </row>
    <row r="27" ht="22" customHeight="1">
      <c r="B27" s="18">
        <f>IF(C27="","OD-"&amp;TEXT(COUNTA($C$5:C27),"000"))</f>
        <v/>
      </c>
      <c r="C27" s="11" t="n"/>
      <c r="D27" s="11" t="n"/>
      <c r="E27" s="11" t="n"/>
      <c r="F27" s="11" t="n"/>
      <c r="G27" s="12" t="n"/>
      <c r="H27" s="12" t="n"/>
      <c r="I27" s="31" t="n"/>
      <c r="J27" s="31" t="n"/>
      <c r="K27" s="11" t="n"/>
      <c r="L27" s="11" t="n"/>
      <c r="M27" s="11" t="n"/>
    </row>
    <row r="28" ht="22" customHeight="1">
      <c r="B28" s="17">
        <f>IF(C28="","OD-"&amp;TEXT(COUNTA($C$5:C28),"000"))</f>
        <v/>
      </c>
      <c r="C28" s="14" t="n"/>
      <c r="D28" s="14" t="n"/>
      <c r="E28" s="14" t="n"/>
      <c r="F28" s="14" t="n"/>
      <c r="G28" s="15" t="n"/>
      <c r="H28" s="15" t="n"/>
      <c r="I28" s="32" t="n"/>
      <c r="J28" s="32" t="n"/>
      <c r="K28" s="14" t="n"/>
      <c r="L28" s="14" t="n"/>
      <c r="M28" s="14" t="n"/>
    </row>
    <row r="29" ht="22" customHeight="1">
      <c r="B29" s="18">
        <f>IF(C29="","OD-"&amp;TEXT(COUNTA($C$5:C29),"000"))</f>
        <v/>
      </c>
      <c r="C29" s="11" t="n"/>
      <c r="D29" s="11" t="n"/>
      <c r="E29" s="11" t="n"/>
      <c r="F29" s="11" t="n"/>
      <c r="G29" s="12" t="n"/>
      <c r="H29" s="12" t="n"/>
      <c r="I29" s="31" t="n"/>
      <c r="J29" s="31" t="n"/>
      <c r="K29" s="11" t="n"/>
      <c r="L29" s="11" t="n"/>
      <c r="M29" s="11" t="n"/>
    </row>
    <row r="30" ht="22" customHeight="1">
      <c r="B30" s="17">
        <f>IF(C30="","OD-"&amp;TEXT(COUNTA($C$5:C30),"000"))</f>
        <v/>
      </c>
      <c r="C30" s="14" t="n"/>
      <c r="D30" s="14" t="n"/>
      <c r="E30" s="14" t="n"/>
      <c r="F30" s="14" t="n"/>
      <c r="G30" s="15" t="n"/>
      <c r="H30" s="15" t="n"/>
      <c r="I30" s="32" t="n"/>
      <c r="J30" s="32" t="n"/>
      <c r="K30" s="14" t="n"/>
      <c r="L30" s="14" t="n"/>
      <c r="M30" s="14" t="n"/>
    </row>
    <row r="31" ht="22" customHeight="1">
      <c r="B31" s="18">
        <f>IF(C31="","OD-"&amp;TEXT(COUNTA($C$5:C31),"000"))</f>
        <v/>
      </c>
      <c r="C31" s="11" t="n"/>
      <c r="D31" s="11" t="n"/>
      <c r="E31" s="11" t="n"/>
      <c r="F31" s="11" t="n"/>
      <c r="G31" s="12" t="n"/>
      <c r="H31" s="12" t="n"/>
      <c r="I31" s="31" t="n"/>
      <c r="J31" s="31" t="n"/>
      <c r="K31" s="11" t="n"/>
      <c r="L31" s="11" t="n"/>
      <c r="M31" s="11" t="n"/>
    </row>
    <row r="32" ht="22" customHeight="1">
      <c r="B32" s="17">
        <f>IF(C32="","OD-"&amp;TEXT(COUNTA($C$5:C32),"000"))</f>
        <v/>
      </c>
      <c r="C32" s="14" t="n"/>
      <c r="D32" s="14" t="n"/>
      <c r="E32" s="14" t="n"/>
      <c r="F32" s="14" t="n"/>
      <c r="G32" s="15" t="n"/>
      <c r="H32" s="15" t="n"/>
      <c r="I32" s="32" t="n"/>
      <c r="J32" s="32" t="n"/>
      <c r="K32" s="14" t="n"/>
      <c r="L32" s="14" t="n"/>
      <c r="M32" s="14" t="n"/>
    </row>
    <row r="33" ht="22" customHeight="1">
      <c r="B33" s="18">
        <f>IF(C33="","OD-"&amp;TEXT(COUNTA($C$5:C33),"000"))</f>
        <v/>
      </c>
      <c r="C33" s="11" t="n"/>
      <c r="D33" s="11" t="n"/>
      <c r="E33" s="11" t="n"/>
      <c r="F33" s="11" t="n"/>
      <c r="G33" s="12" t="n"/>
      <c r="H33" s="12" t="n"/>
      <c r="I33" s="31" t="n"/>
      <c r="J33" s="31" t="n"/>
      <c r="K33" s="11" t="n"/>
      <c r="L33" s="11" t="n"/>
      <c r="M33" s="11" t="n"/>
    </row>
    <row r="34" ht="22" customHeight="1">
      <c r="B34" s="17">
        <f>IF(C34="","OD-"&amp;TEXT(COUNTA($C$5:C34),"000"))</f>
        <v/>
      </c>
      <c r="C34" s="14" t="n"/>
      <c r="D34" s="14" t="n"/>
      <c r="E34" s="14" t="n"/>
      <c r="F34" s="14" t="n"/>
      <c r="G34" s="15" t="n"/>
      <c r="H34" s="15" t="n"/>
      <c r="I34" s="32" t="n"/>
      <c r="J34" s="32" t="n"/>
      <c r="K34" s="14" t="n"/>
      <c r="L34" s="14" t="n"/>
      <c r="M34" s="14" t="n"/>
    </row>
    <row r="35" ht="22" customHeight="1">
      <c r="B35" s="18">
        <f>IF(C35="","OD-"&amp;TEXT(COUNTA($C$5:C35),"000"))</f>
        <v/>
      </c>
      <c r="C35" s="11" t="n"/>
      <c r="D35" s="11" t="n"/>
      <c r="E35" s="11" t="n"/>
      <c r="F35" s="11" t="n"/>
      <c r="G35" s="12" t="n"/>
      <c r="H35" s="12" t="n"/>
      <c r="I35" s="31" t="n"/>
      <c r="J35" s="31" t="n"/>
      <c r="K35" s="11" t="n"/>
      <c r="L35" s="11" t="n"/>
      <c r="M35" s="11" t="n"/>
    </row>
    <row r="36" ht="22" customHeight="1">
      <c r="B36" s="17">
        <f>IF(C36="","OD-"&amp;TEXT(COUNTA($C$5:C36),"000"))</f>
        <v/>
      </c>
      <c r="C36" s="14" t="n"/>
      <c r="D36" s="14" t="n"/>
      <c r="E36" s="14" t="n"/>
      <c r="F36" s="14" t="n"/>
      <c r="G36" s="15" t="n"/>
      <c r="H36" s="15" t="n"/>
      <c r="I36" s="32" t="n"/>
      <c r="J36" s="32" t="n"/>
      <c r="K36" s="14" t="n"/>
      <c r="L36" s="14" t="n"/>
      <c r="M36" s="14" t="n"/>
    </row>
    <row r="37" ht="22" customHeight="1">
      <c r="B37" s="18">
        <f>IF(C37="","OD-"&amp;TEXT(COUNTA($C$5:C37),"000"))</f>
        <v/>
      </c>
      <c r="C37" s="11" t="n"/>
      <c r="D37" s="11" t="n"/>
      <c r="E37" s="11" t="n"/>
      <c r="F37" s="11" t="n"/>
      <c r="G37" s="12" t="n"/>
      <c r="H37" s="12" t="n"/>
      <c r="I37" s="31" t="n"/>
      <c r="J37" s="31" t="n"/>
      <c r="K37" s="11" t="n"/>
      <c r="L37" s="11" t="n"/>
      <c r="M37" s="11" t="n"/>
    </row>
    <row r="38" ht="22" customHeight="1">
      <c r="B38" s="17">
        <f>IF(C38="","OD-"&amp;TEXT(COUNTA($C$5:C38),"000"))</f>
        <v/>
      </c>
      <c r="C38" s="14" t="n"/>
      <c r="D38" s="14" t="n"/>
      <c r="E38" s="14" t="n"/>
      <c r="F38" s="14" t="n"/>
      <c r="G38" s="15" t="n"/>
      <c r="H38" s="15" t="n"/>
      <c r="I38" s="32" t="n"/>
      <c r="J38" s="32" t="n"/>
      <c r="K38" s="14" t="n"/>
      <c r="L38" s="14" t="n"/>
      <c r="M38" s="14" t="n"/>
    </row>
    <row r="39" ht="22" customHeight="1">
      <c r="B39" s="18">
        <f>IF(C39="","OD-"&amp;TEXT(COUNTA($C$5:C39),"000"))</f>
        <v/>
      </c>
      <c r="C39" s="11" t="n"/>
      <c r="D39" s="11" t="n"/>
      <c r="E39" s="11" t="n"/>
      <c r="F39" s="11" t="n"/>
      <c r="G39" s="12" t="n"/>
      <c r="H39" s="12" t="n"/>
      <c r="I39" s="31" t="n"/>
      <c r="J39" s="31" t="n"/>
      <c r="K39" s="11" t="n"/>
      <c r="L39" s="11" t="n"/>
      <c r="M39" s="11" t="n"/>
    </row>
    <row r="40" ht="22" customHeight="1">
      <c r="B40" s="17">
        <f>IF(C40="","OD-"&amp;TEXT(COUNTA($C$5:C40),"000"))</f>
        <v/>
      </c>
      <c r="C40" s="14" t="n"/>
      <c r="D40" s="14" t="n"/>
      <c r="E40" s="14" t="n"/>
      <c r="F40" s="14" t="n"/>
      <c r="G40" s="15" t="n"/>
      <c r="H40" s="15" t="n"/>
      <c r="I40" s="32" t="n"/>
      <c r="J40" s="32" t="n"/>
      <c r="K40" s="14" t="n"/>
      <c r="L40" s="14" t="n"/>
      <c r="M40" s="14" t="n"/>
    </row>
    <row r="41" ht="22" customHeight="1">
      <c r="B41" s="18">
        <f>IF(C41="","OD-"&amp;TEXT(COUNTA($C$5:C41),"000"))</f>
        <v/>
      </c>
      <c r="C41" s="11" t="n"/>
      <c r="D41" s="11" t="n"/>
      <c r="E41" s="11" t="n"/>
      <c r="F41" s="11" t="n"/>
      <c r="G41" s="12" t="n"/>
      <c r="H41" s="12" t="n"/>
      <c r="I41" s="31" t="n"/>
      <c r="J41" s="31" t="n"/>
      <c r="K41" s="11" t="n"/>
      <c r="L41" s="11" t="n"/>
      <c r="M41" s="11" t="n"/>
    </row>
    <row r="42" ht="22" customHeight="1">
      <c r="B42" s="17">
        <f>IF(C42="","OD-"&amp;TEXT(COUNTA($C$5:C42),"000"))</f>
        <v/>
      </c>
      <c r="C42" s="14" t="n"/>
      <c r="D42" s="14" t="n"/>
      <c r="E42" s="14" t="n"/>
      <c r="F42" s="14" t="n"/>
      <c r="G42" s="15" t="n"/>
      <c r="H42" s="15" t="n"/>
      <c r="I42" s="32" t="n"/>
      <c r="J42" s="32" t="n"/>
      <c r="K42" s="14" t="n"/>
      <c r="L42" s="14" t="n"/>
      <c r="M42" s="14" t="n"/>
    </row>
    <row r="43" ht="22" customHeight="1">
      <c r="B43" s="18">
        <f>IF(C43="","OD-"&amp;TEXT(COUNTA($C$5:C43),"000"))</f>
        <v/>
      </c>
      <c r="C43" s="11" t="n"/>
      <c r="D43" s="11" t="n"/>
      <c r="E43" s="11" t="n"/>
      <c r="F43" s="11" t="n"/>
      <c r="G43" s="12" t="n"/>
      <c r="H43" s="12" t="n"/>
      <c r="I43" s="31" t="n"/>
      <c r="J43" s="31" t="n"/>
      <c r="K43" s="11" t="n"/>
      <c r="L43" s="11" t="n"/>
      <c r="M43" s="11" t="n"/>
    </row>
    <row r="44" ht="22" customHeight="1">
      <c r="B44" s="17">
        <f>IF(C44="","OD-"&amp;TEXT(COUNTA($C$5:C44),"000"))</f>
        <v/>
      </c>
      <c r="C44" s="14" t="n"/>
      <c r="D44" s="14" t="n"/>
      <c r="E44" s="14" t="n"/>
      <c r="F44" s="14" t="n"/>
      <c r="G44" s="15" t="n"/>
      <c r="H44" s="15" t="n"/>
      <c r="I44" s="32" t="n"/>
      <c r="J44" s="32" t="n"/>
      <c r="K44" s="14" t="n"/>
      <c r="L44" s="14" t="n"/>
      <c r="M44" s="14" t="n"/>
    </row>
    <row r="45" ht="22" customHeight="1">
      <c r="B45" s="18">
        <f>IF(C45="","OD-"&amp;TEXT(COUNTA($C$5:C45),"000"))</f>
        <v/>
      </c>
      <c r="C45" s="11" t="n"/>
      <c r="D45" s="11" t="n"/>
      <c r="E45" s="11" t="n"/>
      <c r="F45" s="11" t="n"/>
      <c r="G45" s="12" t="n"/>
      <c r="H45" s="12" t="n"/>
      <c r="I45" s="31" t="n"/>
      <c r="J45" s="31" t="n"/>
      <c r="K45" s="11" t="n"/>
      <c r="L45" s="11" t="n"/>
      <c r="M45" s="11" t="n"/>
    </row>
    <row r="46" ht="22" customHeight="1">
      <c r="B46" s="17">
        <f>IF(C46="","OD-"&amp;TEXT(COUNTA($C$5:C46),"000"))</f>
        <v/>
      </c>
      <c r="C46" s="14" t="n"/>
      <c r="D46" s="14" t="n"/>
      <c r="E46" s="14" t="n"/>
      <c r="F46" s="14" t="n"/>
      <c r="G46" s="15" t="n"/>
      <c r="H46" s="15" t="n"/>
      <c r="I46" s="32" t="n"/>
      <c r="J46" s="32" t="n"/>
      <c r="K46" s="14" t="n"/>
      <c r="L46" s="14" t="n"/>
      <c r="M46" s="14" t="n"/>
    </row>
    <row r="47" ht="22" customHeight="1">
      <c r="B47" s="18">
        <f>IF(C47="","OD-"&amp;TEXT(COUNTA($C$5:C47),"000"))</f>
        <v/>
      </c>
      <c r="C47" s="11" t="n"/>
      <c r="D47" s="11" t="n"/>
      <c r="E47" s="11" t="n"/>
      <c r="F47" s="11" t="n"/>
      <c r="G47" s="12" t="n"/>
      <c r="H47" s="12" t="n"/>
      <c r="I47" s="31" t="n"/>
      <c r="J47" s="31" t="n"/>
      <c r="K47" s="11" t="n"/>
      <c r="L47" s="11" t="n"/>
      <c r="M47" s="11" t="n"/>
    </row>
    <row r="48" ht="22" customHeight="1">
      <c r="B48" s="17">
        <f>IF(C48="","OD-"&amp;TEXT(COUNTA($C$5:C48),"000"))</f>
        <v/>
      </c>
      <c r="C48" s="14" t="n"/>
      <c r="D48" s="14" t="n"/>
      <c r="E48" s="14" t="n"/>
      <c r="F48" s="14" t="n"/>
      <c r="G48" s="15" t="n"/>
      <c r="H48" s="15" t="n"/>
      <c r="I48" s="32" t="n"/>
      <c r="J48" s="32" t="n"/>
      <c r="K48" s="14" t="n"/>
      <c r="L48" s="14" t="n"/>
      <c r="M48" s="14" t="n"/>
    </row>
    <row r="49" ht="22" customHeight="1">
      <c r="B49" s="18">
        <f>IF(C49="","OD-"&amp;TEXT(COUNTA($C$5:C49),"000"))</f>
        <v/>
      </c>
      <c r="C49" s="11" t="n"/>
      <c r="D49" s="11" t="n"/>
      <c r="E49" s="11" t="n"/>
      <c r="F49" s="11" t="n"/>
      <c r="G49" s="12" t="n"/>
      <c r="H49" s="12" t="n"/>
      <c r="I49" s="31" t="n"/>
      <c r="J49" s="31" t="n"/>
      <c r="K49" s="11" t="n"/>
      <c r="L49" s="11" t="n"/>
      <c r="M49" s="11" t="n"/>
    </row>
    <row r="50" ht="22" customHeight="1">
      <c r="B50" s="17">
        <f>IF(C50="","OD-"&amp;TEXT(COUNTA($C$5:C50),"000"))</f>
        <v/>
      </c>
      <c r="C50" s="14" t="n"/>
      <c r="D50" s="14" t="n"/>
      <c r="E50" s="14" t="n"/>
      <c r="F50" s="14" t="n"/>
      <c r="G50" s="15" t="n"/>
      <c r="H50" s="15" t="n"/>
      <c r="I50" s="32" t="n"/>
      <c r="J50" s="32" t="n"/>
      <c r="K50" s="14" t="n"/>
      <c r="L50" s="14" t="n"/>
      <c r="M50" s="14" t="n"/>
    </row>
    <row r="51" ht="22" customHeight="1">
      <c r="B51" s="18">
        <f>IF(C51="","OD-"&amp;TEXT(COUNTA($C$5:C51),"000"))</f>
        <v/>
      </c>
      <c r="C51" s="11" t="n"/>
      <c r="D51" s="11" t="n"/>
      <c r="E51" s="11" t="n"/>
      <c r="F51" s="11" t="n"/>
      <c r="G51" s="12" t="n"/>
      <c r="H51" s="12" t="n"/>
      <c r="I51" s="31" t="n"/>
      <c r="J51" s="31" t="n"/>
      <c r="K51" s="11" t="n"/>
      <c r="L51" s="11" t="n"/>
      <c r="M51" s="11" t="n"/>
    </row>
    <row r="52" ht="22" customHeight="1">
      <c r="B52" s="17">
        <f>IF(C52="","OD-"&amp;TEXT(COUNTA($C$5:C52),"000"))</f>
        <v/>
      </c>
      <c r="C52" s="14" t="n"/>
      <c r="D52" s="14" t="n"/>
      <c r="E52" s="14" t="n"/>
      <c r="F52" s="14" t="n"/>
      <c r="G52" s="15" t="n"/>
      <c r="H52" s="15" t="n"/>
      <c r="I52" s="32" t="n"/>
      <c r="J52" s="32" t="n"/>
      <c r="K52" s="14" t="n"/>
      <c r="L52" s="14" t="n"/>
      <c r="M52" s="14" t="n"/>
    </row>
    <row r="53" ht="22" customHeight="1">
      <c r="B53" s="18">
        <f>IF(C53="","OD-"&amp;TEXT(COUNTA($C$5:C53),"000"))</f>
        <v/>
      </c>
      <c r="C53" s="11" t="n"/>
      <c r="D53" s="11" t="n"/>
      <c r="E53" s="11" t="n"/>
      <c r="F53" s="11" t="n"/>
      <c r="G53" s="12" t="n"/>
      <c r="H53" s="12" t="n"/>
      <c r="I53" s="31" t="n"/>
      <c r="J53" s="31" t="n"/>
      <c r="K53" s="11" t="n"/>
      <c r="L53" s="11" t="n"/>
      <c r="M53" s="11" t="n"/>
    </row>
    <row r="54" ht="22" customHeight="1">
      <c r="B54" s="17">
        <f>IF(C54="","OD-"&amp;TEXT(COUNTA($C$5:C54),"000"))</f>
        <v/>
      </c>
      <c r="C54" s="14" t="n"/>
      <c r="D54" s="14" t="n"/>
      <c r="E54" s="14" t="n"/>
      <c r="F54" s="14" t="n"/>
      <c r="G54" s="15" t="n"/>
      <c r="H54" s="15" t="n"/>
      <c r="I54" s="32" t="n"/>
      <c r="J54" s="32" t="n"/>
      <c r="K54" s="14" t="n"/>
      <c r="L54" s="14" t="n"/>
      <c r="M54" s="14" t="n"/>
    </row>
    <row r="55" ht="22" customHeight="1">
      <c r="B55" s="18">
        <f>IF(C55="","OD-"&amp;TEXT(COUNTA($C$5:C55),"000"))</f>
        <v/>
      </c>
      <c r="C55" s="11" t="n"/>
      <c r="D55" s="11" t="n"/>
      <c r="E55" s="11" t="n"/>
      <c r="F55" s="11" t="n"/>
      <c r="G55" s="12" t="n"/>
      <c r="H55" s="12" t="n"/>
      <c r="I55" s="31" t="n"/>
      <c r="J55" s="31" t="n"/>
      <c r="K55" s="11" t="n"/>
      <c r="L55" s="11" t="n"/>
      <c r="M55" s="11" t="n"/>
    </row>
    <row r="56" ht="22" customHeight="1">
      <c r="B56" s="17">
        <f>IF(C56="","OD-"&amp;TEXT(COUNTA($C$5:C56),"000"))</f>
        <v/>
      </c>
      <c r="C56" s="14" t="n"/>
      <c r="D56" s="14" t="n"/>
      <c r="E56" s="14" t="n"/>
      <c r="F56" s="14" t="n"/>
      <c r="G56" s="15" t="n"/>
      <c r="H56" s="15" t="n"/>
      <c r="I56" s="32" t="n"/>
      <c r="J56" s="32" t="n"/>
      <c r="K56" s="14" t="n"/>
      <c r="L56" s="14" t="n"/>
      <c r="M56" s="14" t="n"/>
    </row>
    <row r="57" ht="22" customHeight="1">
      <c r="B57" s="18">
        <f>IF(C57="","OD-"&amp;TEXT(COUNTA($C$5:C57),"000"))</f>
        <v/>
      </c>
      <c r="C57" s="11" t="n"/>
      <c r="D57" s="11" t="n"/>
      <c r="E57" s="11" t="n"/>
      <c r="F57" s="11" t="n"/>
      <c r="G57" s="12" t="n"/>
      <c r="H57" s="12" t="n"/>
      <c r="I57" s="31" t="n"/>
      <c r="J57" s="31" t="n"/>
      <c r="K57" s="11" t="n"/>
      <c r="L57" s="11" t="n"/>
      <c r="M57" s="11" t="n"/>
    </row>
    <row r="58" ht="22" customHeight="1">
      <c r="B58" s="17">
        <f>IF(C58="","OD-"&amp;TEXT(COUNTA($C$5:C58),"000"))</f>
        <v/>
      </c>
      <c r="C58" s="14" t="n"/>
      <c r="D58" s="14" t="n"/>
      <c r="E58" s="14" t="n"/>
      <c r="F58" s="14" t="n"/>
      <c r="G58" s="15" t="n"/>
      <c r="H58" s="15" t="n"/>
      <c r="I58" s="32" t="n"/>
      <c r="J58" s="32" t="n"/>
      <c r="K58" s="14" t="n"/>
      <c r="L58" s="14" t="n"/>
      <c r="M58" s="14" t="n"/>
    </row>
    <row r="59" ht="22" customHeight="1">
      <c r="B59" s="18">
        <f>IF(C59="","OD-"&amp;TEXT(COUNTA($C$5:C59),"000"))</f>
        <v/>
      </c>
      <c r="C59" s="11" t="n"/>
      <c r="D59" s="11" t="n"/>
      <c r="E59" s="11" t="n"/>
      <c r="F59" s="11" t="n"/>
      <c r="G59" s="12" t="n"/>
      <c r="H59" s="12" t="n"/>
      <c r="I59" s="31" t="n"/>
      <c r="J59" s="31" t="n"/>
      <c r="K59" s="11" t="n"/>
      <c r="L59" s="11" t="n"/>
      <c r="M59" s="11" t="n"/>
    </row>
    <row r="60" ht="22" customHeight="1">
      <c r="B60" s="17">
        <f>IF(C60="","OD-"&amp;TEXT(COUNTA($C$5:C60),"000"))</f>
        <v/>
      </c>
      <c r="C60" s="14" t="n"/>
      <c r="D60" s="14" t="n"/>
      <c r="E60" s="14" t="n"/>
      <c r="F60" s="14" t="n"/>
      <c r="G60" s="15" t="n"/>
      <c r="H60" s="15" t="n"/>
      <c r="I60" s="32" t="n"/>
      <c r="J60" s="32" t="n"/>
      <c r="K60" s="14" t="n"/>
      <c r="L60" s="14" t="n"/>
      <c r="M60" s="14" t="n"/>
    </row>
    <row r="61" ht="22" customHeight="1">
      <c r="B61" s="18">
        <f>IF(C61="","OD-"&amp;TEXT(COUNTA($C$5:C61),"000"))</f>
        <v/>
      </c>
      <c r="C61" s="11" t="n"/>
      <c r="D61" s="11" t="n"/>
      <c r="E61" s="11" t="n"/>
      <c r="F61" s="11" t="n"/>
      <c r="G61" s="12" t="n"/>
      <c r="H61" s="12" t="n"/>
      <c r="I61" s="31" t="n"/>
      <c r="J61" s="31" t="n"/>
      <c r="K61" s="11" t="n"/>
      <c r="L61" s="11" t="n"/>
      <c r="M61" s="11" t="n"/>
    </row>
    <row r="62" ht="22" customHeight="1">
      <c r="B62" s="17">
        <f>IF(C62="","OD-"&amp;TEXT(COUNTA($C$5:C62),"000"))</f>
        <v/>
      </c>
      <c r="C62" s="14" t="n"/>
      <c r="D62" s="14" t="n"/>
      <c r="E62" s="14" t="n"/>
      <c r="F62" s="14" t="n"/>
      <c r="G62" s="15" t="n"/>
      <c r="H62" s="15" t="n"/>
      <c r="I62" s="32" t="n"/>
      <c r="J62" s="32" t="n"/>
      <c r="K62" s="14" t="n"/>
      <c r="L62" s="14" t="n"/>
      <c r="M62" s="14" t="n"/>
    </row>
    <row r="63" ht="22" customHeight="1">
      <c r="B63" s="18">
        <f>IF(C63="","OD-"&amp;TEXT(COUNTA($C$5:C63),"000"))</f>
        <v/>
      </c>
      <c r="C63" s="11" t="n"/>
      <c r="D63" s="11" t="n"/>
      <c r="E63" s="11" t="n"/>
      <c r="F63" s="11" t="n"/>
      <c r="G63" s="12" t="n"/>
      <c r="H63" s="12" t="n"/>
      <c r="I63" s="31" t="n"/>
      <c r="J63" s="31" t="n"/>
      <c r="K63" s="11" t="n"/>
      <c r="L63" s="11" t="n"/>
      <c r="M63" s="11" t="n"/>
    </row>
    <row r="64" ht="22" customHeight="1">
      <c r="B64" s="17">
        <f>IF(C64="","OD-"&amp;TEXT(COUNTA($C$5:C64),"000"))</f>
        <v/>
      </c>
      <c r="C64" s="14" t="n"/>
      <c r="D64" s="14" t="n"/>
      <c r="E64" s="14" t="n"/>
      <c r="F64" s="14" t="n"/>
      <c r="G64" s="15" t="n"/>
      <c r="H64" s="15" t="n"/>
      <c r="I64" s="32" t="n"/>
      <c r="J64" s="32" t="n"/>
      <c r="K64" s="14" t="n"/>
      <c r="L64" s="14" t="n"/>
      <c r="M64" s="14" t="n"/>
    </row>
    <row r="65" ht="22" customHeight="1">
      <c r="B65" s="18">
        <f>IF(C65="","OD-"&amp;TEXT(COUNTA($C$5:C65),"000"))</f>
        <v/>
      </c>
      <c r="C65" s="11" t="n"/>
      <c r="D65" s="11" t="n"/>
      <c r="E65" s="11" t="n"/>
      <c r="F65" s="11" t="n"/>
      <c r="G65" s="12" t="n"/>
      <c r="H65" s="12" t="n"/>
      <c r="I65" s="31" t="n"/>
      <c r="J65" s="31" t="n"/>
      <c r="K65" s="11" t="n"/>
      <c r="L65" s="11" t="n"/>
      <c r="M65" s="11" t="n"/>
    </row>
    <row r="66" ht="22" customHeight="1">
      <c r="B66" s="17">
        <f>IF(C66="","OD-"&amp;TEXT(COUNTA($C$5:C66),"000"))</f>
        <v/>
      </c>
      <c r="C66" s="14" t="n"/>
      <c r="D66" s="14" t="n"/>
      <c r="E66" s="14" t="n"/>
      <c r="F66" s="14" t="n"/>
      <c r="G66" s="15" t="n"/>
      <c r="H66" s="15" t="n"/>
      <c r="I66" s="32" t="n"/>
      <c r="J66" s="32" t="n"/>
      <c r="K66" s="14" t="n"/>
      <c r="L66" s="14" t="n"/>
      <c r="M66" s="14" t="n"/>
    </row>
    <row r="67" ht="22" customHeight="1">
      <c r="B67" s="18">
        <f>IF(C67="","OD-"&amp;TEXT(COUNTA($C$5:C67),"000"))</f>
        <v/>
      </c>
      <c r="C67" s="11" t="n"/>
      <c r="D67" s="11" t="n"/>
      <c r="E67" s="11" t="n"/>
      <c r="F67" s="11" t="n"/>
      <c r="G67" s="12" t="n"/>
      <c r="H67" s="12" t="n"/>
      <c r="I67" s="31" t="n"/>
      <c r="J67" s="31" t="n"/>
      <c r="K67" s="11" t="n"/>
      <c r="L67" s="11" t="n"/>
      <c r="M67" s="11" t="n"/>
    </row>
    <row r="68" ht="22" customHeight="1">
      <c r="B68" s="17">
        <f>IF(C68="","OD-"&amp;TEXT(COUNTA($C$5:C68),"000"))</f>
        <v/>
      </c>
      <c r="C68" s="14" t="n"/>
      <c r="D68" s="14" t="n"/>
      <c r="E68" s="14" t="n"/>
      <c r="F68" s="14" t="n"/>
      <c r="G68" s="15" t="n"/>
      <c r="H68" s="15" t="n"/>
      <c r="I68" s="32" t="n"/>
      <c r="J68" s="32" t="n"/>
      <c r="K68" s="14" t="n"/>
      <c r="L68" s="14" t="n"/>
      <c r="M68" s="14" t="n"/>
    </row>
    <row r="69" ht="22" customHeight="1">
      <c r="B69" s="18">
        <f>IF(C69="","OD-"&amp;TEXT(COUNTA($C$5:C69),"000"))</f>
        <v/>
      </c>
      <c r="C69" s="11" t="n"/>
      <c r="D69" s="11" t="n"/>
      <c r="E69" s="11" t="n"/>
      <c r="F69" s="11" t="n"/>
      <c r="G69" s="12" t="n"/>
      <c r="H69" s="12" t="n"/>
      <c r="I69" s="31" t="n"/>
      <c r="J69" s="31" t="n"/>
      <c r="K69" s="11" t="n"/>
      <c r="L69" s="11" t="n"/>
      <c r="M69" s="11" t="n"/>
    </row>
    <row r="70" ht="22" customHeight="1">
      <c r="B70" s="17">
        <f>IF(C70="","OD-"&amp;TEXT(COUNTA($C$5:C70),"000"))</f>
        <v/>
      </c>
      <c r="C70" s="14" t="n"/>
      <c r="D70" s="14" t="n"/>
      <c r="E70" s="14" t="n"/>
      <c r="F70" s="14" t="n"/>
      <c r="G70" s="15" t="n"/>
      <c r="H70" s="15" t="n"/>
      <c r="I70" s="32" t="n"/>
      <c r="J70" s="32" t="n"/>
      <c r="K70" s="14" t="n"/>
      <c r="L70" s="14" t="n"/>
      <c r="M70" s="14" t="n"/>
    </row>
    <row r="71" ht="22" customHeight="1">
      <c r="B71" s="18">
        <f>IF(C71="","OD-"&amp;TEXT(COUNTA($C$5:C71),"000"))</f>
        <v/>
      </c>
      <c r="C71" s="11" t="n"/>
      <c r="D71" s="11" t="n"/>
      <c r="E71" s="11" t="n"/>
      <c r="F71" s="11" t="n"/>
      <c r="G71" s="12" t="n"/>
      <c r="H71" s="12" t="n"/>
      <c r="I71" s="31" t="n"/>
      <c r="J71" s="31" t="n"/>
      <c r="K71" s="11" t="n"/>
      <c r="L71" s="11" t="n"/>
      <c r="M71" s="11" t="n"/>
    </row>
    <row r="72" ht="22" customHeight="1">
      <c r="B72" s="17">
        <f>IF(C72="","OD-"&amp;TEXT(COUNTA($C$5:C72),"000"))</f>
        <v/>
      </c>
      <c r="C72" s="14" t="n"/>
      <c r="D72" s="14" t="n"/>
      <c r="E72" s="14" t="n"/>
      <c r="F72" s="14" t="n"/>
      <c r="G72" s="15" t="n"/>
      <c r="H72" s="15" t="n"/>
      <c r="I72" s="32" t="n"/>
      <c r="J72" s="32" t="n"/>
      <c r="K72" s="14" t="n"/>
      <c r="L72" s="14" t="n"/>
      <c r="M72" s="14" t="n"/>
    </row>
    <row r="73" ht="22" customHeight="1">
      <c r="B73" s="18">
        <f>IF(C73="","OD-"&amp;TEXT(COUNTA($C$5:C73),"000"))</f>
        <v/>
      </c>
      <c r="C73" s="11" t="n"/>
      <c r="D73" s="11" t="n"/>
      <c r="E73" s="11" t="n"/>
      <c r="F73" s="11" t="n"/>
      <c r="G73" s="12" t="n"/>
      <c r="H73" s="12" t="n"/>
      <c r="I73" s="31" t="n"/>
      <c r="J73" s="31" t="n"/>
      <c r="K73" s="11" t="n"/>
      <c r="L73" s="11" t="n"/>
      <c r="M73" s="11" t="n"/>
    </row>
    <row r="74" ht="22" customHeight="1">
      <c r="B74" s="17">
        <f>IF(C74="","OD-"&amp;TEXT(COUNTA($C$5:C74),"000"))</f>
        <v/>
      </c>
      <c r="C74" s="14" t="n"/>
      <c r="D74" s="14" t="n"/>
      <c r="E74" s="14" t="n"/>
      <c r="F74" s="14" t="n"/>
      <c r="G74" s="15" t="n"/>
      <c r="H74" s="15" t="n"/>
      <c r="I74" s="32" t="n"/>
      <c r="J74" s="32" t="n"/>
      <c r="K74" s="14" t="n"/>
      <c r="L74" s="14" t="n"/>
      <c r="M74" s="14" t="n"/>
    </row>
    <row r="75" ht="22" customHeight="1">
      <c r="B75" s="18">
        <f>IF(C75="","OD-"&amp;TEXT(COUNTA($C$5:C75),"000"))</f>
        <v/>
      </c>
      <c r="C75" s="11" t="n"/>
      <c r="D75" s="11" t="n"/>
      <c r="E75" s="11" t="n"/>
      <c r="F75" s="11" t="n"/>
      <c r="G75" s="12" t="n"/>
      <c r="H75" s="12" t="n"/>
      <c r="I75" s="31" t="n"/>
      <c r="J75" s="31" t="n"/>
      <c r="K75" s="11" t="n"/>
      <c r="L75" s="11" t="n"/>
      <c r="M75" s="11" t="n"/>
    </row>
    <row r="76" ht="22" customHeight="1">
      <c r="B76" s="17">
        <f>IF(C76="","OD-"&amp;TEXT(COUNTA($C$5:C76),"000"))</f>
        <v/>
      </c>
      <c r="C76" s="14" t="n"/>
      <c r="D76" s="14" t="n"/>
      <c r="E76" s="14" t="n"/>
      <c r="F76" s="14" t="n"/>
      <c r="G76" s="15" t="n"/>
      <c r="H76" s="15" t="n"/>
      <c r="I76" s="32" t="n"/>
      <c r="J76" s="32" t="n"/>
      <c r="K76" s="14" t="n"/>
      <c r="L76" s="14" t="n"/>
      <c r="M76" s="14" t="n"/>
    </row>
    <row r="77" ht="22" customHeight="1">
      <c r="B77" s="18">
        <f>IF(C77="","OD-"&amp;TEXT(COUNTA($C$5:C77),"000"))</f>
        <v/>
      </c>
      <c r="C77" s="11" t="n"/>
      <c r="D77" s="11" t="n"/>
      <c r="E77" s="11" t="n"/>
      <c r="F77" s="11" t="n"/>
      <c r="G77" s="12" t="n"/>
      <c r="H77" s="12" t="n"/>
      <c r="I77" s="31" t="n"/>
      <c r="J77" s="31" t="n"/>
      <c r="K77" s="11" t="n"/>
      <c r="L77" s="11" t="n"/>
      <c r="M77" s="11" t="n"/>
    </row>
    <row r="78" ht="22" customHeight="1">
      <c r="B78" s="17">
        <f>IF(C78="","OD-"&amp;TEXT(COUNTA($C$5:C78),"000"))</f>
        <v/>
      </c>
      <c r="C78" s="14" t="n"/>
      <c r="D78" s="14" t="n"/>
      <c r="E78" s="14" t="n"/>
      <c r="F78" s="14" t="n"/>
      <c r="G78" s="15" t="n"/>
      <c r="H78" s="15" t="n"/>
      <c r="I78" s="32" t="n"/>
      <c r="J78" s="32" t="n"/>
      <c r="K78" s="14" t="n"/>
      <c r="L78" s="14" t="n"/>
      <c r="M78" s="14" t="n"/>
    </row>
    <row r="79" ht="22" customHeight="1">
      <c r="B79" s="18">
        <f>IF(C79="","OD-"&amp;TEXT(COUNTA($C$5:C79),"000"))</f>
        <v/>
      </c>
      <c r="C79" s="11" t="n"/>
      <c r="D79" s="11" t="n"/>
      <c r="E79" s="11" t="n"/>
      <c r="F79" s="11" t="n"/>
      <c r="G79" s="12" t="n"/>
      <c r="H79" s="12" t="n"/>
      <c r="I79" s="31" t="n"/>
      <c r="J79" s="31" t="n"/>
      <c r="K79" s="11" t="n"/>
      <c r="L79" s="11" t="n"/>
      <c r="M79" s="11" t="n"/>
    </row>
    <row r="80" ht="22" customHeight="1">
      <c r="B80" s="17">
        <f>IF(C80="","OD-"&amp;TEXT(COUNTA($C$5:C80),"000"))</f>
        <v/>
      </c>
      <c r="C80" s="14" t="n"/>
      <c r="D80" s="14" t="n"/>
      <c r="E80" s="14" t="n"/>
      <c r="F80" s="14" t="n"/>
      <c r="G80" s="15" t="n"/>
      <c r="H80" s="15" t="n"/>
      <c r="I80" s="32" t="n"/>
      <c r="J80" s="32" t="n"/>
      <c r="K80" s="14" t="n"/>
      <c r="L80" s="14" t="n"/>
      <c r="M80" s="14" t="n"/>
    </row>
    <row r="81" ht="22" customHeight="1">
      <c r="B81" s="18">
        <f>IF(C81="","OD-"&amp;TEXT(COUNTA($C$5:C81),"000"))</f>
        <v/>
      </c>
      <c r="C81" s="11" t="n"/>
      <c r="D81" s="11" t="n"/>
      <c r="E81" s="11" t="n"/>
      <c r="F81" s="11" t="n"/>
      <c r="G81" s="12" t="n"/>
      <c r="H81" s="12" t="n"/>
      <c r="I81" s="31" t="n"/>
      <c r="J81" s="31" t="n"/>
      <c r="K81" s="11" t="n"/>
      <c r="L81" s="11" t="n"/>
      <c r="M81" s="11" t="n"/>
    </row>
    <row r="82" ht="22" customHeight="1">
      <c r="B82" s="17">
        <f>IF(C82="","OD-"&amp;TEXT(COUNTA($C$5:C82),"000"))</f>
        <v/>
      </c>
      <c r="C82" s="14" t="n"/>
      <c r="D82" s="14" t="n"/>
      <c r="E82" s="14" t="n"/>
      <c r="F82" s="14" t="n"/>
      <c r="G82" s="15" t="n"/>
      <c r="H82" s="15" t="n"/>
      <c r="I82" s="32" t="n"/>
      <c r="J82" s="32" t="n"/>
      <c r="K82" s="14" t="n"/>
      <c r="L82" s="14" t="n"/>
      <c r="M82" s="14" t="n"/>
    </row>
    <row r="83" ht="22" customHeight="1">
      <c r="B83" s="18">
        <f>IF(C83="","OD-"&amp;TEXT(COUNTA($C$5:C83),"000"))</f>
        <v/>
      </c>
      <c r="C83" s="11" t="n"/>
      <c r="D83" s="11" t="n"/>
      <c r="E83" s="11" t="n"/>
      <c r="F83" s="11" t="n"/>
      <c r="G83" s="12" t="n"/>
      <c r="H83" s="12" t="n"/>
      <c r="I83" s="31" t="n"/>
      <c r="J83" s="31" t="n"/>
      <c r="K83" s="11" t="n"/>
      <c r="L83" s="11" t="n"/>
      <c r="M83" s="11" t="n"/>
    </row>
    <row r="84" ht="22" customHeight="1">
      <c r="B84" s="17">
        <f>IF(C84="","OD-"&amp;TEXT(COUNTA($C$5:C84),"000"))</f>
        <v/>
      </c>
      <c r="C84" s="14" t="n"/>
      <c r="D84" s="14" t="n"/>
      <c r="E84" s="14" t="n"/>
      <c r="F84" s="14" t="n"/>
      <c r="G84" s="15" t="n"/>
      <c r="H84" s="15" t="n"/>
      <c r="I84" s="32" t="n"/>
      <c r="J84" s="32" t="n"/>
      <c r="K84" s="14" t="n"/>
      <c r="L84" s="14" t="n"/>
      <c r="M84" s="14" t="n"/>
    </row>
    <row r="85" ht="22" customHeight="1">
      <c r="B85" s="18">
        <f>IF(C85="","OD-"&amp;TEXT(COUNTA($C$5:C85),"000"))</f>
        <v/>
      </c>
      <c r="C85" s="11" t="n"/>
      <c r="D85" s="11" t="n"/>
      <c r="E85" s="11" t="n"/>
      <c r="F85" s="11" t="n"/>
      <c r="G85" s="12" t="n"/>
      <c r="H85" s="12" t="n"/>
      <c r="I85" s="31" t="n"/>
      <c r="J85" s="31" t="n"/>
      <c r="K85" s="11" t="n"/>
      <c r="L85" s="11" t="n"/>
      <c r="M85" s="11" t="n"/>
    </row>
    <row r="86" ht="22" customHeight="1">
      <c r="B86" s="17">
        <f>IF(C86="","OD-"&amp;TEXT(COUNTA($C$5:C86),"000"))</f>
        <v/>
      </c>
      <c r="C86" s="14" t="n"/>
      <c r="D86" s="14" t="n"/>
      <c r="E86" s="14" t="n"/>
      <c r="F86" s="14" t="n"/>
      <c r="G86" s="15" t="n"/>
      <c r="H86" s="15" t="n"/>
      <c r="I86" s="32" t="n"/>
      <c r="J86" s="32" t="n"/>
      <c r="K86" s="14" t="n"/>
      <c r="L86" s="14" t="n"/>
      <c r="M86" s="14" t="n"/>
    </row>
    <row r="87" ht="22" customHeight="1">
      <c r="B87" s="18">
        <f>IF(C87="","OD-"&amp;TEXT(COUNTA($C$5:C87),"000"))</f>
        <v/>
      </c>
      <c r="C87" s="11" t="n"/>
      <c r="D87" s="11" t="n"/>
      <c r="E87" s="11" t="n"/>
      <c r="F87" s="11" t="n"/>
      <c r="G87" s="12" t="n"/>
      <c r="H87" s="12" t="n"/>
      <c r="I87" s="31" t="n"/>
      <c r="J87" s="31" t="n"/>
      <c r="K87" s="11" t="n"/>
      <c r="L87" s="11" t="n"/>
      <c r="M87" s="11" t="n"/>
    </row>
    <row r="88" ht="22" customHeight="1">
      <c r="B88" s="17">
        <f>IF(C88="","OD-"&amp;TEXT(COUNTA($C$5:C88),"000"))</f>
        <v/>
      </c>
      <c r="C88" s="14" t="n"/>
      <c r="D88" s="14" t="n"/>
      <c r="E88" s="14" t="n"/>
      <c r="F88" s="14" t="n"/>
      <c r="G88" s="15" t="n"/>
      <c r="H88" s="15" t="n"/>
      <c r="I88" s="32" t="n"/>
      <c r="J88" s="32" t="n"/>
      <c r="K88" s="14" t="n"/>
      <c r="L88" s="14" t="n"/>
      <c r="M88" s="14" t="n"/>
    </row>
    <row r="89" ht="22" customHeight="1">
      <c r="B89" s="18">
        <f>IF(C89="","OD-"&amp;TEXT(COUNTA($C$5:C89),"000"))</f>
        <v/>
      </c>
      <c r="C89" s="11" t="n"/>
      <c r="D89" s="11" t="n"/>
      <c r="E89" s="11" t="n"/>
      <c r="F89" s="11" t="n"/>
      <c r="G89" s="12" t="n"/>
      <c r="H89" s="12" t="n"/>
      <c r="I89" s="31" t="n"/>
      <c r="J89" s="31" t="n"/>
      <c r="K89" s="11" t="n"/>
      <c r="L89" s="11" t="n"/>
      <c r="M89" s="11" t="n"/>
    </row>
    <row r="90" ht="22" customHeight="1">
      <c r="B90" s="17">
        <f>IF(C90="","OD-"&amp;TEXT(COUNTA($C$5:C90),"000"))</f>
        <v/>
      </c>
      <c r="C90" s="14" t="n"/>
      <c r="D90" s="14" t="n"/>
      <c r="E90" s="14" t="n"/>
      <c r="F90" s="14" t="n"/>
      <c r="G90" s="15" t="n"/>
      <c r="H90" s="15" t="n"/>
      <c r="I90" s="32" t="n"/>
      <c r="J90" s="32" t="n"/>
      <c r="K90" s="14" t="n"/>
      <c r="L90" s="14" t="n"/>
      <c r="M90" s="14" t="n"/>
    </row>
    <row r="91" ht="22" customHeight="1">
      <c r="B91" s="18">
        <f>IF(C91="","OD-"&amp;TEXT(COUNTA($C$5:C91),"000"))</f>
        <v/>
      </c>
      <c r="C91" s="11" t="n"/>
      <c r="D91" s="11" t="n"/>
      <c r="E91" s="11" t="n"/>
      <c r="F91" s="11" t="n"/>
      <c r="G91" s="12" t="n"/>
      <c r="H91" s="12" t="n"/>
      <c r="I91" s="31" t="n"/>
      <c r="J91" s="31" t="n"/>
      <c r="K91" s="11" t="n"/>
      <c r="L91" s="11" t="n"/>
      <c r="M91" s="11" t="n"/>
    </row>
    <row r="92" ht="22" customHeight="1">
      <c r="B92" s="17">
        <f>IF(C92="","OD-"&amp;TEXT(COUNTA($C$5:C92),"000"))</f>
        <v/>
      </c>
      <c r="C92" s="14" t="n"/>
      <c r="D92" s="14" t="n"/>
      <c r="E92" s="14" t="n"/>
      <c r="F92" s="14" t="n"/>
      <c r="G92" s="15" t="n"/>
      <c r="H92" s="15" t="n"/>
      <c r="I92" s="32" t="n"/>
      <c r="J92" s="32" t="n"/>
      <c r="K92" s="14" t="n"/>
      <c r="L92" s="14" t="n"/>
      <c r="M92" s="14" t="n"/>
    </row>
    <row r="93" ht="22" customHeight="1">
      <c r="B93" s="18">
        <f>IF(C93="","OD-"&amp;TEXT(COUNTA($C$5:C93),"000"))</f>
        <v/>
      </c>
      <c r="C93" s="11" t="n"/>
      <c r="D93" s="11" t="n"/>
      <c r="E93" s="11" t="n"/>
      <c r="F93" s="11" t="n"/>
      <c r="G93" s="12" t="n"/>
      <c r="H93" s="12" t="n"/>
      <c r="I93" s="31" t="n"/>
      <c r="J93" s="31" t="n"/>
      <c r="K93" s="11" t="n"/>
      <c r="L93" s="11" t="n"/>
      <c r="M93" s="11" t="n"/>
    </row>
    <row r="94" ht="22" customHeight="1">
      <c r="B94" s="17">
        <f>IF(C94="","OD-"&amp;TEXT(COUNTA($C$5:C94),"000"))</f>
        <v/>
      </c>
      <c r="C94" s="14" t="n"/>
      <c r="D94" s="14" t="n"/>
      <c r="E94" s="14" t="n"/>
      <c r="F94" s="14" t="n"/>
      <c r="G94" s="15" t="n"/>
      <c r="H94" s="15" t="n"/>
      <c r="I94" s="32" t="n"/>
      <c r="J94" s="32" t="n"/>
      <c r="K94" s="14" t="n"/>
      <c r="L94" s="14" t="n"/>
      <c r="M94" s="14" t="n"/>
    </row>
    <row r="95" ht="22" customHeight="1">
      <c r="B95" s="18">
        <f>IF(C95="","OD-"&amp;TEXT(COUNTA($C$5:C95),"000"))</f>
        <v/>
      </c>
      <c r="C95" s="11" t="n"/>
      <c r="D95" s="11" t="n"/>
      <c r="E95" s="11" t="n"/>
      <c r="F95" s="11" t="n"/>
      <c r="G95" s="12" t="n"/>
      <c r="H95" s="12" t="n"/>
      <c r="I95" s="31" t="n"/>
      <c r="J95" s="31" t="n"/>
      <c r="K95" s="11" t="n"/>
      <c r="L95" s="11" t="n"/>
      <c r="M95" s="11" t="n"/>
    </row>
    <row r="96" ht="22" customHeight="1">
      <c r="B96" s="17">
        <f>IF(C96="","OD-"&amp;TEXT(COUNTA($C$5:C96),"000"))</f>
        <v/>
      </c>
      <c r="C96" s="14" t="n"/>
      <c r="D96" s="14" t="n"/>
      <c r="E96" s="14" t="n"/>
      <c r="F96" s="14" t="n"/>
      <c r="G96" s="15" t="n"/>
      <c r="H96" s="15" t="n"/>
      <c r="I96" s="32" t="n"/>
      <c r="J96" s="32" t="n"/>
      <c r="K96" s="14" t="n"/>
      <c r="L96" s="14" t="n"/>
      <c r="M96" s="14" t="n"/>
    </row>
    <row r="97" ht="22" customHeight="1">
      <c r="B97" s="18">
        <f>IF(C97="","OD-"&amp;TEXT(COUNTA($C$5:C97),"000"))</f>
        <v/>
      </c>
      <c r="C97" s="11" t="n"/>
      <c r="D97" s="11" t="n"/>
      <c r="E97" s="11" t="n"/>
      <c r="F97" s="11" t="n"/>
      <c r="G97" s="12" t="n"/>
      <c r="H97" s="12" t="n"/>
      <c r="I97" s="31" t="n"/>
      <c r="J97" s="31" t="n"/>
      <c r="K97" s="11" t="n"/>
      <c r="L97" s="11" t="n"/>
      <c r="M97" s="11" t="n"/>
    </row>
    <row r="98" ht="22" customHeight="1">
      <c r="B98" s="17">
        <f>IF(C98="","OD-"&amp;TEXT(COUNTA($C$5:C98),"000"))</f>
        <v/>
      </c>
      <c r="C98" s="14" t="n"/>
      <c r="D98" s="14" t="n"/>
      <c r="E98" s="14" t="n"/>
      <c r="F98" s="14" t="n"/>
      <c r="G98" s="15" t="n"/>
      <c r="H98" s="15" t="n"/>
      <c r="I98" s="32" t="n"/>
      <c r="J98" s="32" t="n"/>
      <c r="K98" s="14" t="n"/>
      <c r="L98" s="14" t="n"/>
      <c r="M98" s="14" t="n"/>
    </row>
    <row r="99" ht="22" customHeight="1">
      <c r="B99" s="18">
        <f>IF(C99="","OD-"&amp;TEXT(COUNTA($C$5:C99),"000"))</f>
        <v/>
      </c>
      <c r="C99" s="11" t="n"/>
      <c r="D99" s="11" t="n"/>
      <c r="E99" s="11" t="n"/>
      <c r="F99" s="11" t="n"/>
      <c r="G99" s="12" t="n"/>
      <c r="H99" s="12" t="n"/>
      <c r="I99" s="31" t="n"/>
      <c r="J99" s="31" t="n"/>
      <c r="K99" s="11" t="n"/>
      <c r="L99" s="11" t="n"/>
      <c r="M99" s="11" t="n"/>
    </row>
    <row r="100" ht="22" customHeight="1">
      <c r="B100" s="17">
        <f>IF(C100="","OD-"&amp;TEXT(COUNTA($C$5:C100),"000"))</f>
        <v/>
      </c>
      <c r="C100" s="14" t="n"/>
      <c r="D100" s="14" t="n"/>
      <c r="E100" s="14" t="n"/>
      <c r="F100" s="14" t="n"/>
      <c r="G100" s="15" t="n"/>
      <c r="H100" s="15" t="n"/>
      <c r="I100" s="32" t="n"/>
      <c r="J100" s="32" t="n"/>
      <c r="K100" s="14" t="n"/>
      <c r="L100" s="14" t="n"/>
      <c r="M100" s="14" t="n"/>
    </row>
    <row r="101" ht="22" customHeight="1">
      <c r="B101" s="18">
        <f>IF(C101="","OD-"&amp;TEXT(COUNTA($C$5:C101),"000"))</f>
        <v/>
      </c>
      <c r="C101" s="11" t="n"/>
      <c r="D101" s="11" t="n"/>
      <c r="E101" s="11" t="n"/>
      <c r="F101" s="11" t="n"/>
      <c r="G101" s="12" t="n"/>
      <c r="H101" s="12" t="n"/>
      <c r="I101" s="31" t="n"/>
      <c r="J101" s="31" t="n"/>
      <c r="K101" s="11" t="n"/>
      <c r="L101" s="11" t="n"/>
      <c r="M101" s="11" t="n"/>
    </row>
    <row r="102" ht="22" customHeight="1">
      <c r="B102" s="17">
        <f>IF(C102="","OD-"&amp;TEXT(COUNTA($C$5:C102),"000"))</f>
        <v/>
      </c>
      <c r="C102" s="14" t="n"/>
      <c r="D102" s="14" t="n"/>
      <c r="E102" s="14" t="n"/>
      <c r="F102" s="14" t="n"/>
      <c r="G102" s="15" t="n"/>
      <c r="H102" s="15" t="n"/>
      <c r="I102" s="32" t="n"/>
      <c r="J102" s="32" t="n"/>
      <c r="K102" s="14" t="n"/>
      <c r="L102" s="14" t="n"/>
      <c r="M102" s="14" t="n"/>
    </row>
    <row r="103" ht="22" customHeight="1">
      <c r="B103" s="18">
        <f>IF(C103="","OD-"&amp;TEXT(COUNTA($C$5:C103),"000"))</f>
        <v/>
      </c>
      <c r="C103" s="11" t="n"/>
      <c r="D103" s="11" t="n"/>
      <c r="E103" s="11" t="n"/>
      <c r="F103" s="11" t="n"/>
      <c r="G103" s="12" t="n"/>
      <c r="H103" s="12" t="n"/>
      <c r="I103" s="31" t="n"/>
      <c r="J103" s="31" t="n"/>
      <c r="K103" s="11" t="n"/>
      <c r="L103" s="11" t="n"/>
      <c r="M103" s="11" t="n"/>
    </row>
    <row r="104" ht="22" customHeight="1">
      <c r="B104" s="17">
        <f>IF(C104="","OD-"&amp;TEXT(COUNTA($C$5:C104),"000"))</f>
        <v/>
      </c>
      <c r="C104" s="14" t="n"/>
      <c r="D104" s="14" t="n"/>
      <c r="E104" s="14" t="n"/>
      <c r="F104" s="14" t="n"/>
      <c r="G104" s="15" t="n"/>
      <c r="H104" s="15" t="n"/>
      <c r="I104" s="32" t="n"/>
      <c r="J104" s="32" t="n"/>
      <c r="K104" s="14" t="n"/>
      <c r="L104" s="14" t="n"/>
      <c r="M104" s="14" t="n"/>
    </row>
    <row r="105" ht="22" customHeight="1">
      <c r="B105" s="18">
        <f>IF(C105="","OD-"&amp;TEXT(COUNTA($C$5:C105),"000"))</f>
        <v/>
      </c>
      <c r="C105" s="11" t="n"/>
      <c r="D105" s="11" t="n"/>
      <c r="E105" s="11" t="n"/>
      <c r="F105" s="11" t="n"/>
      <c r="G105" s="12" t="n"/>
      <c r="H105" s="12" t="n"/>
      <c r="I105" s="31" t="n"/>
      <c r="J105" s="31" t="n"/>
      <c r="K105" s="11" t="n"/>
      <c r="L105" s="11" t="n"/>
      <c r="M105" s="11" t="n"/>
    </row>
    <row r="106" ht="22" customHeight="1">
      <c r="B106" s="17">
        <f>IF(C106="","OD-"&amp;TEXT(COUNTA($C$5:C106),"000"))</f>
        <v/>
      </c>
      <c r="C106" s="14" t="n"/>
      <c r="D106" s="14" t="n"/>
      <c r="E106" s="14" t="n"/>
      <c r="F106" s="14" t="n"/>
      <c r="G106" s="15" t="n"/>
      <c r="H106" s="15" t="n"/>
      <c r="I106" s="32" t="n"/>
      <c r="J106" s="32" t="n"/>
      <c r="K106" s="14" t="n"/>
      <c r="L106" s="14" t="n"/>
      <c r="M106" s="14" t="n"/>
    </row>
    <row r="107" ht="22" customHeight="1">
      <c r="B107" s="18">
        <f>IF(C107="","OD-"&amp;TEXT(COUNTA($C$5:C107),"000"))</f>
        <v/>
      </c>
      <c r="C107" s="11" t="n"/>
      <c r="D107" s="11" t="n"/>
      <c r="E107" s="11" t="n"/>
      <c r="F107" s="11" t="n"/>
      <c r="G107" s="12" t="n"/>
      <c r="H107" s="12" t="n"/>
      <c r="I107" s="31" t="n"/>
      <c r="J107" s="31" t="n"/>
      <c r="K107" s="11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Outils digitaux</t>
        </is>
      </c>
      <c r="D110" s="3" t="inlineStr">
        <is>
          <t>En production</t>
        </is>
      </c>
      <c r="F110" s="3" t="inlineStr">
        <is>
          <t>Budget licences (FCFA)</t>
        </is>
      </c>
    </row>
    <row r="111">
      <c r="B111" s="4">
        <f>COUNTIF(B5:B104,"&lt;&gt;")</f>
        <v/>
      </c>
      <c r="D111" s="4">
        <f>COUNTIF(L5:L104,"En production")</f>
        <v/>
      </c>
      <c r="F111" s="4">
        <f>SUM(H5:H104)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3">
    <dataValidation sqref="D5:D107" showDropDown="0" showInputMessage="0" showErrorMessage="0" allowBlank="1" errorTitle="Erreur" error="Valeur invalide" promptTitle="Liste" prompt="Choisir dans la liste" type="list">
      <formula1>'_Lists'!$D$2:$D$13</formula1>
    </dataValidation>
    <dataValidation sqref="E5:E107" showDropDown="0" showInputMessage="0" showErrorMessage="0" allowBlank="1" errorTitle="Erreur" error="Valeur invalide" promptTitle="Liste" prompt="Choisir dans la liste" type="list">
      <formula1>'_Lists'!$R$2:$R$15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6" customWidth="1" min="4" max="4"/>
    <col width="24" customWidth="1" min="5" max="5"/>
    <col width="22" customWidth="1" min="6" max="6"/>
    <col width="28" customWidth="1" min="7" max="7"/>
    <col width="20" customWidth="1" min="8" max="8"/>
    <col width="22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15" customHeight="1"/>
    <row r="2" ht="32" customHeight="1">
      <c r="B2" s="1" t="inlineStr">
        <is>
          <t>AUTOMATISATION PROCESSUS RH (#158)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Processus RH</t>
        </is>
      </c>
      <c r="D4" s="10" t="inlineStr">
        <is>
          <t>Niveau Automatisation</t>
        </is>
      </c>
      <c r="E4" s="10" t="inlineStr">
        <is>
          <t>Outil Utilise</t>
        </is>
      </c>
      <c r="F4" s="10" t="inlineStr">
        <is>
          <t>Etapes Manuel (avant)</t>
        </is>
      </c>
      <c r="G4" s="10" t="inlineStr">
        <is>
          <t>Etapes Automatisees (apres)</t>
        </is>
      </c>
      <c r="H4" s="10" t="inlineStr">
        <is>
          <t>Gain Temps (h/mois)</t>
        </is>
      </c>
      <c r="I4" s="10" t="inlineStr">
        <is>
          <t>Taux Erreur avant (%)</t>
        </is>
      </c>
      <c r="J4" s="10" t="inlineStr">
        <is>
          <t>Taux Erreur apres (%)</t>
        </is>
      </c>
      <c r="K4" s="10" t="inlineStr">
        <is>
          <t>Reduction Erreurs (pts)</t>
        </is>
      </c>
      <c r="L4" s="10" t="inlineStr">
        <is>
          <t>Responsable</t>
        </is>
      </c>
      <c r="M4" s="10" t="inlineStr">
        <is>
          <t>Statut</t>
        </is>
      </c>
    </row>
    <row r="5" ht="22" customHeight="1">
      <c r="B5" s="11" t="inlineStr">
        <is>
          <t>AP-001</t>
        </is>
      </c>
      <c r="C5" s="11" t="inlineStr">
        <is>
          <t>Gestion des conges</t>
        </is>
      </c>
      <c r="D5" s="11" t="inlineStr">
        <is>
          <t>Automatise</t>
        </is>
      </c>
      <c r="E5" s="11" t="inlineStr">
        <is>
          <t>SIRH HotelPro</t>
        </is>
      </c>
      <c r="F5" s="12" t="n">
        <v>8</v>
      </c>
      <c r="G5" s="12" t="n">
        <v>2</v>
      </c>
      <c r="H5" s="12" t="n">
        <v>12</v>
      </c>
      <c r="I5" s="33" t="n">
        <v>15</v>
      </c>
      <c r="J5" s="33" t="n">
        <v>2</v>
      </c>
      <c r="K5" s="34" t="n"/>
      <c r="L5" s="11" t="inlineStr">
        <is>
          <t>DRH</t>
        </is>
      </c>
      <c r="M5" s="11" t="inlineStr">
        <is>
          <t>En production</t>
        </is>
      </c>
    </row>
    <row r="6" ht="22" customHeight="1">
      <c r="B6" s="14" t="inlineStr">
        <is>
          <t>AP-002</t>
        </is>
      </c>
      <c r="C6" s="14" t="inlineStr">
        <is>
          <t>Note de frais</t>
        </is>
      </c>
      <c r="D6" s="14" t="inlineStr">
        <is>
          <t>Partiellement automatise</t>
        </is>
      </c>
      <c r="E6" s="14" t="inlineStr">
        <is>
          <t>Lucca</t>
        </is>
      </c>
      <c r="F6" s="15" t="n">
        <v>6</v>
      </c>
      <c r="G6" s="15" t="n">
        <v>3</v>
      </c>
      <c r="H6" s="15" t="n">
        <v>6</v>
      </c>
      <c r="I6" s="35" t="n">
        <v>20</v>
      </c>
      <c r="J6" s="35" t="n">
        <v>8</v>
      </c>
      <c r="K6" s="36" t="n"/>
      <c r="L6" s="14" t="inlineStr">
        <is>
          <t>DAF</t>
        </is>
      </c>
      <c r="M6" s="14" t="inlineStr">
        <is>
          <t>En cours</t>
        </is>
      </c>
    </row>
    <row r="7" ht="22" customHeight="1">
      <c r="B7" s="11" t="inlineStr">
        <is>
          <t>AP-003</t>
        </is>
      </c>
      <c r="C7" s="11" t="inlineStr">
        <is>
          <t>Onboarding employe</t>
        </is>
      </c>
      <c r="D7" s="11" t="inlineStr">
        <is>
          <t>Partiellement automatise</t>
        </is>
      </c>
      <c r="E7" s="11" t="inlineStr">
        <is>
          <t>SIRH + Email auto</t>
        </is>
      </c>
      <c r="F7" s="12" t="n">
        <v>12</v>
      </c>
      <c r="G7" s="12" t="n">
        <v>5</v>
      </c>
      <c r="H7" s="12" t="n">
        <v>18</v>
      </c>
      <c r="I7" s="33" t="n">
        <v>25</v>
      </c>
      <c r="J7" s="33" t="n">
        <v>10</v>
      </c>
      <c r="K7" s="34" t="n"/>
      <c r="L7" s="11" t="inlineStr">
        <is>
          <t>Assistante RH</t>
        </is>
      </c>
      <c r="M7" s="11" t="inlineStr">
        <is>
          <t>Test</t>
        </is>
      </c>
    </row>
    <row r="8" ht="22" customHeight="1">
      <c r="B8" s="17">
        <f>IF(C8="","AP-"&amp;TEXT(COUNTA($C$5:C8),"000"))</f>
        <v/>
      </c>
      <c r="C8" s="14" t="n"/>
      <c r="D8" s="14" t="n"/>
      <c r="E8" s="14" t="n"/>
      <c r="F8" s="15" t="n"/>
      <c r="G8" s="15" t="n"/>
      <c r="H8" s="15" t="n"/>
      <c r="I8" s="35" t="n"/>
      <c r="J8" s="35" t="n"/>
      <c r="K8" s="36">
        <f>IF(OR(I8="",J8=""),"",I8-J8)</f>
        <v/>
      </c>
      <c r="L8" s="14" t="n"/>
      <c r="M8" s="14" t="n"/>
    </row>
    <row r="9" ht="22" customHeight="1">
      <c r="B9" s="18">
        <f>IF(C9="","AP-"&amp;TEXT(COUNTA($C$5:C9),"000"))</f>
        <v/>
      </c>
      <c r="C9" s="11" t="n"/>
      <c r="D9" s="11" t="n"/>
      <c r="E9" s="11" t="n"/>
      <c r="F9" s="12" t="n"/>
      <c r="G9" s="12" t="n"/>
      <c r="H9" s="12" t="n"/>
      <c r="I9" s="33" t="n"/>
      <c r="J9" s="33" t="n"/>
      <c r="K9" s="34">
        <f>IF(OR(I9="",J9=""),"",I9-J9)</f>
        <v/>
      </c>
      <c r="L9" s="11" t="n"/>
      <c r="M9" s="11" t="n"/>
    </row>
    <row r="10" ht="22" customHeight="1">
      <c r="B10" s="17">
        <f>IF(C10="","AP-"&amp;TEXT(COUNTA($C$5:C10),"000"))</f>
        <v/>
      </c>
      <c r="C10" s="14" t="n"/>
      <c r="D10" s="14" t="n"/>
      <c r="E10" s="14" t="n"/>
      <c r="F10" s="15" t="n"/>
      <c r="G10" s="15" t="n"/>
      <c r="H10" s="15" t="n"/>
      <c r="I10" s="35" t="n"/>
      <c r="J10" s="35" t="n"/>
      <c r="K10" s="36">
        <f>IF(OR(I10="",J10=""),"",I10-J10)</f>
        <v/>
      </c>
      <c r="L10" s="14" t="n"/>
      <c r="M10" s="14" t="n"/>
    </row>
    <row r="11" ht="22" customHeight="1">
      <c r="B11" s="18">
        <f>IF(C11="","AP-"&amp;TEXT(COUNTA($C$5:C11),"000"))</f>
        <v/>
      </c>
      <c r="C11" s="11" t="n"/>
      <c r="D11" s="11" t="n"/>
      <c r="E11" s="11" t="n"/>
      <c r="F11" s="12" t="n"/>
      <c r="G11" s="12" t="n"/>
      <c r="H11" s="12" t="n"/>
      <c r="I11" s="33" t="n"/>
      <c r="J11" s="33" t="n"/>
      <c r="K11" s="34">
        <f>IF(OR(I11="",J11=""),"",I11-J11)</f>
        <v/>
      </c>
      <c r="L11" s="11" t="n"/>
      <c r="M11" s="11" t="n"/>
    </row>
    <row r="12" ht="22" customHeight="1">
      <c r="B12" s="17">
        <f>IF(C12="","AP-"&amp;TEXT(COUNTA($C$5:C12),"000"))</f>
        <v/>
      </c>
      <c r="C12" s="14" t="n"/>
      <c r="D12" s="14" t="n"/>
      <c r="E12" s="14" t="n"/>
      <c r="F12" s="15" t="n"/>
      <c r="G12" s="15" t="n"/>
      <c r="H12" s="15" t="n"/>
      <c r="I12" s="35" t="n"/>
      <c r="J12" s="35" t="n"/>
      <c r="K12" s="36">
        <f>IF(OR(I12="",J12=""),"",I12-J12)</f>
        <v/>
      </c>
      <c r="L12" s="14" t="n"/>
      <c r="M12" s="14" t="n"/>
    </row>
    <row r="13" ht="22" customHeight="1">
      <c r="B13" s="18">
        <f>IF(C13="","AP-"&amp;TEXT(COUNTA($C$5:C13),"000"))</f>
        <v/>
      </c>
      <c r="C13" s="11" t="n"/>
      <c r="D13" s="11" t="n"/>
      <c r="E13" s="11" t="n"/>
      <c r="F13" s="12" t="n"/>
      <c r="G13" s="12" t="n"/>
      <c r="H13" s="12" t="n"/>
      <c r="I13" s="33" t="n"/>
      <c r="J13" s="33" t="n"/>
      <c r="K13" s="34">
        <f>IF(OR(I13="",J13=""),"",I13-J13)</f>
        <v/>
      </c>
      <c r="L13" s="11" t="n"/>
      <c r="M13" s="11" t="n"/>
    </row>
    <row r="14" ht="22" customHeight="1">
      <c r="B14" s="17">
        <f>IF(C14="","AP-"&amp;TEXT(COUNTA($C$5:C14),"000"))</f>
        <v/>
      </c>
      <c r="C14" s="14" t="n"/>
      <c r="D14" s="14" t="n"/>
      <c r="E14" s="14" t="n"/>
      <c r="F14" s="15" t="n"/>
      <c r="G14" s="15" t="n"/>
      <c r="H14" s="15" t="n"/>
      <c r="I14" s="35" t="n"/>
      <c r="J14" s="35" t="n"/>
      <c r="K14" s="36">
        <f>IF(OR(I14="",J14=""),"",I14-J14)</f>
        <v/>
      </c>
      <c r="L14" s="14" t="n"/>
      <c r="M14" s="14" t="n"/>
    </row>
    <row r="15" ht="22" customHeight="1">
      <c r="B15" s="18">
        <f>IF(C15="","AP-"&amp;TEXT(COUNTA($C$5:C15),"000"))</f>
        <v/>
      </c>
      <c r="C15" s="11" t="n"/>
      <c r="D15" s="11" t="n"/>
      <c r="E15" s="11" t="n"/>
      <c r="F15" s="12" t="n"/>
      <c r="G15" s="12" t="n"/>
      <c r="H15" s="12" t="n"/>
      <c r="I15" s="33" t="n"/>
      <c r="J15" s="33" t="n"/>
      <c r="K15" s="34">
        <f>IF(OR(I15="",J15=""),"",I15-J15)</f>
        <v/>
      </c>
      <c r="L15" s="11" t="n"/>
      <c r="M15" s="11" t="n"/>
    </row>
    <row r="16" ht="22" customHeight="1">
      <c r="B16" s="17">
        <f>IF(C16="","AP-"&amp;TEXT(COUNTA($C$5:C16),"000"))</f>
        <v/>
      </c>
      <c r="C16" s="14" t="n"/>
      <c r="D16" s="14" t="n"/>
      <c r="E16" s="14" t="n"/>
      <c r="F16" s="15" t="n"/>
      <c r="G16" s="15" t="n"/>
      <c r="H16" s="15" t="n"/>
      <c r="I16" s="35" t="n"/>
      <c r="J16" s="35" t="n"/>
      <c r="K16" s="36">
        <f>IF(OR(I16="",J16=""),"",I16-J16)</f>
        <v/>
      </c>
      <c r="L16" s="14" t="n"/>
      <c r="M16" s="14" t="n"/>
    </row>
    <row r="17" ht="22" customHeight="1">
      <c r="B17" s="18">
        <f>IF(C17="","AP-"&amp;TEXT(COUNTA($C$5:C17),"000"))</f>
        <v/>
      </c>
      <c r="C17" s="11" t="n"/>
      <c r="D17" s="11" t="n"/>
      <c r="E17" s="11" t="n"/>
      <c r="F17" s="12" t="n"/>
      <c r="G17" s="12" t="n"/>
      <c r="H17" s="12" t="n"/>
      <c r="I17" s="33" t="n"/>
      <c r="J17" s="33" t="n"/>
      <c r="K17" s="34">
        <f>IF(OR(I17="",J17=""),"",I17-J17)</f>
        <v/>
      </c>
      <c r="L17" s="11" t="n"/>
      <c r="M17" s="11" t="n"/>
    </row>
    <row r="18" ht="22" customHeight="1">
      <c r="B18" s="17">
        <f>IF(C18="","AP-"&amp;TEXT(COUNTA($C$5:C18),"000"))</f>
        <v/>
      </c>
      <c r="C18" s="14" t="n"/>
      <c r="D18" s="14" t="n"/>
      <c r="E18" s="14" t="n"/>
      <c r="F18" s="15" t="n"/>
      <c r="G18" s="15" t="n"/>
      <c r="H18" s="15" t="n"/>
      <c r="I18" s="35" t="n"/>
      <c r="J18" s="35" t="n"/>
      <c r="K18" s="36">
        <f>IF(OR(I18="",J18=""),"",I18-J18)</f>
        <v/>
      </c>
      <c r="L18" s="14" t="n"/>
      <c r="M18" s="14" t="n"/>
    </row>
    <row r="19" ht="22" customHeight="1">
      <c r="B19" s="18">
        <f>IF(C19="","AP-"&amp;TEXT(COUNTA($C$5:C19),"000"))</f>
        <v/>
      </c>
      <c r="C19" s="11" t="n"/>
      <c r="D19" s="11" t="n"/>
      <c r="E19" s="11" t="n"/>
      <c r="F19" s="12" t="n"/>
      <c r="G19" s="12" t="n"/>
      <c r="H19" s="12" t="n"/>
      <c r="I19" s="33" t="n"/>
      <c r="J19" s="33" t="n"/>
      <c r="K19" s="34">
        <f>IF(OR(I19="",J19=""),"",I19-J19)</f>
        <v/>
      </c>
      <c r="L19" s="11" t="n"/>
      <c r="M19" s="11" t="n"/>
    </row>
    <row r="20" ht="22" customHeight="1">
      <c r="B20" s="17">
        <f>IF(C20="","AP-"&amp;TEXT(COUNTA($C$5:C20),"000"))</f>
        <v/>
      </c>
      <c r="C20" s="14" t="n"/>
      <c r="D20" s="14" t="n"/>
      <c r="E20" s="14" t="n"/>
      <c r="F20" s="15" t="n"/>
      <c r="G20" s="15" t="n"/>
      <c r="H20" s="15" t="n"/>
      <c r="I20" s="35" t="n"/>
      <c r="J20" s="35" t="n"/>
      <c r="K20" s="36">
        <f>IF(OR(I20="",J20=""),"",I20-J20)</f>
        <v/>
      </c>
      <c r="L20" s="14" t="n"/>
      <c r="M20" s="14" t="n"/>
    </row>
    <row r="21" ht="22" customHeight="1">
      <c r="B21" s="18">
        <f>IF(C21="","AP-"&amp;TEXT(COUNTA($C$5:C21),"000"))</f>
        <v/>
      </c>
      <c r="C21" s="11" t="n"/>
      <c r="D21" s="11" t="n"/>
      <c r="E21" s="11" t="n"/>
      <c r="F21" s="12" t="n"/>
      <c r="G21" s="12" t="n"/>
      <c r="H21" s="12" t="n"/>
      <c r="I21" s="33" t="n"/>
      <c r="J21" s="33" t="n"/>
      <c r="K21" s="34">
        <f>IF(OR(I21="",J21=""),"",I21-J21)</f>
        <v/>
      </c>
      <c r="L21" s="11" t="n"/>
      <c r="M21" s="11" t="n"/>
    </row>
    <row r="22" ht="22" customHeight="1">
      <c r="B22" s="17">
        <f>IF(C22="","AP-"&amp;TEXT(COUNTA($C$5:C22),"000"))</f>
        <v/>
      </c>
      <c r="C22" s="14" t="n"/>
      <c r="D22" s="14" t="n"/>
      <c r="E22" s="14" t="n"/>
      <c r="F22" s="15" t="n"/>
      <c r="G22" s="15" t="n"/>
      <c r="H22" s="15" t="n"/>
      <c r="I22" s="35" t="n"/>
      <c r="J22" s="35" t="n"/>
      <c r="K22" s="36">
        <f>IF(OR(I22="",J22=""),"",I22-J22)</f>
        <v/>
      </c>
      <c r="L22" s="14" t="n"/>
      <c r="M22" s="14" t="n"/>
    </row>
    <row r="23" ht="22" customHeight="1">
      <c r="B23" s="18">
        <f>IF(C23="","AP-"&amp;TEXT(COUNTA($C$5:C23),"000"))</f>
        <v/>
      </c>
      <c r="C23" s="11" t="n"/>
      <c r="D23" s="11" t="n"/>
      <c r="E23" s="11" t="n"/>
      <c r="F23" s="12" t="n"/>
      <c r="G23" s="12" t="n"/>
      <c r="H23" s="12" t="n"/>
      <c r="I23" s="33" t="n"/>
      <c r="J23" s="33" t="n"/>
      <c r="K23" s="34">
        <f>IF(OR(I23="",J23=""),"",I23-J23)</f>
        <v/>
      </c>
      <c r="L23" s="11" t="n"/>
      <c r="M23" s="11" t="n"/>
    </row>
    <row r="24" ht="22" customHeight="1">
      <c r="B24" s="17">
        <f>IF(C24="","AP-"&amp;TEXT(COUNTA($C$5:C24),"000"))</f>
        <v/>
      </c>
      <c r="C24" s="14" t="n"/>
      <c r="D24" s="14" t="n"/>
      <c r="E24" s="14" t="n"/>
      <c r="F24" s="15" t="n"/>
      <c r="G24" s="15" t="n"/>
      <c r="H24" s="15" t="n"/>
      <c r="I24" s="35" t="n"/>
      <c r="J24" s="35" t="n"/>
      <c r="K24" s="36">
        <f>IF(OR(I24="",J24=""),"",I24-J24)</f>
        <v/>
      </c>
      <c r="L24" s="14" t="n"/>
      <c r="M24" s="14" t="n"/>
    </row>
    <row r="25" ht="22" customHeight="1">
      <c r="B25" s="18">
        <f>IF(C25="","AP-"&amp;TEXT(COUNTA($C$5:C25),"000"))</f>
        <v/>
      </c>
      <c r="C25" s="11" t="n"/>
      <c r="D25" s="11" t="n"/>
      <c r="E25" s="11" t="n"/>
      <c r="F25" s="12" t="n"/>
      <c r="G25" s="12" t="n"/>
      <c r="H25" s="12" t="n"/>
      <c r="I25" s="33" t="n"/>
      <c r="J25" s="33" t="n"/>
      <c r="K25" s="34">
        <f>IF(OR(I25="",J25=""),"",I25-J25)</f>
        <v/>
      </c>
      <c r="L25" s="11" t="n"/>
      <c r="M25" s="11" t="n"/>
    </row>
    <row r="26" ht="22" customHeight="1">
      <c r="B26" s="17">
        <f>IF(C26="","AP-"&amp;TEXT(COUNTA($C$5:C26),"000"))</f>
        <v/>
      </c>
      <c r="C26" s="14" t="n"/>
      <c r="D26" s="14" t="n"/>
      <c r="E26" s="14" t="n"/>
      <c r="F26" s="15" t="n"/>
      <c r="G26" s="15" t="n"/>
      <c r="H26" s="15" t="n"/>
      <c r="I26" s="35" t="n"/>
      <c r="J26" s="35" t="n"/>
      <c r="K26" s="36">
        <f>IF(OR(I26="",J26=""),"",I26-J26)</f>
        <v/>
      </c>
      <c r="L26" s="14" t="n"/>
      <c r="M26" s="14" t="n"/>
    </row>
    <row r="27" ht="22" customHeight="1">
      <c r="B27" s="18">
        <f>IF(C27="","AP-"&amp;TEXT(COUNTA($C$5:C27),"000"))</f>
        <v/>
      </c>
      <c r="C27" s="11" t="n"/>
      <c r="D27" s="11" t="n"/>
      <c r="E27" s="11" t="n"/>
      <c r="F27" s="12" t="n"/>
      <c r="G27" s="12" t="n"/>
      <c r="H27" s="12" t="n"/>
      <c r="I27" s="33" t="n"/>
      <c r="J27" s="33" t="n"/>
      <c r="K27" s="34">
        <f>IF(OR(I27="",J27=""),"",I27-J27)</f>
        <v/>
      </c>
      <c r="L27" s="11" t="n"/>
      <c r="M27" s="11" t="n"/>
    </row>
    <row r="28" ht="22" customHeight="1">
      <c r="B28" s="17">
        <f>IF(C28="","AP-"&amp;TEXT(COUNTA($C$5:C28),"000"))</f>
        <v/>
      </c>
      <c r="C28" s="14" t="n"/>
      <c r="D28" s="14" t="n"/>
      <c r="E28" s="14" t="n"/>
      <c r="F28" s="15" t="n"/>
      <c r="G28" s="15" t="n"/>
      <c r="H28" s="15" t="n"/>
      <c r="I28" s="35" t="n"/>
      <c r="J28" s="35" t="n"/>
      <c r="K28" s="36">
        <f>IF(OR(I28="",J28=""),"",I28-J28)</f>
        <v/>
      </c>
      <c r="L28" s="14" t="n"/>
      <c r="M28" s="14" t="n"/>
    </row>
    <row r="29" ht="22" customHeight="1">
      <c r="B29" s="18">
        <f>IF(C29="","AP-"&amp;TEXT(COUNTA($C$5:C29),"000"))</f>
        <v/>
      </c>
      <c r="C29" s="11" t="n"/>
      <c r="D29" s="11" t="n"/>
      <c r="E29" s="11" t="n"/>
      <c r="F29" s="12" t="n"/>
      <c r="G29" s="12" t="n"/>
      <c r="H29" s="12" t="n"/>
      <c r="I29" s="33" t="n"/>
      <c r="J29" s="33" t="n"/>
      <c r="K29" s="34">
        <f>IF(OR(I29="",J29=""),"",I29-J29)</f>
        <v/>
      </c>
      <c r="L29" s="11" t="n"/>
      <c r="M29" s="11" t="n"/>
    </row>
    <row r="30" ht="22" customHeight="1">
      <c r="B30" s="17">
        <f>IF(C30="","AP-"&amp;TEXT(COUNTA($C$5:C30),"000"))</f>
        <v/>
      </c>
      <c r="C30" s="14" t="n"/>
      <c r="D30" s="14" t="n"/>
      <c r="E30" s="14" t="n"/>
      <c r="F30" s="15" t="n"/>
      <c r="G30" s="15" t="n"/>
      <c r="H30" s="15" t="n"/>
      <c r="I30" s="35" t="n"/>
      <c r="J30" s="35" t="n"/>
      <c r="K30" s="36">
        <f>IF(OR(I30="",J30=""),"",I30-J30)</f>
        <v/>
      </c>
      <c r="L30" s="14" t="n"/>
      <c r="M30" s="14" t="n"/>
    </row>
    <row r="31" ht="22" customHeight="1">
      <c r="B31" s="18">
        <f>IF(C31="","AP-"&amp;TEXT(COUNTA($C$5:C31),"000"))</f>
        <v/>
      </c>
      <c r="C31" s="11" t="n"/>
      <c r="D31" s="11" t="n"/>
      <c r="E31" s="11" t="n"/>
      <c r="F31" s="12" t="n"/>
      <c r="G31" s="12" t="n"/>
      <c r="H31" s="12" t="n"/>
      <c r="I31" s="33" t="n"/>
      <c r="J31" s="33" t="n"/>
      <c r="K31" s="34">
        <f>IF(OR(I31="",J31=""),"",I31-J31)</f>
        <v/>
      </c>
      <c r="L31" s="11" t="n"/>
      <c r="M31" s="11" t="n"/>
    </row>
    <row r="32" ht="22" customHeight="1">
      <c r="B32" s="17">
        <f>IF(C32="","AP-"&amp;TEXT(COUNTA($C$5:C32),"000"))</f>
        <v/>
      </c>
      <c r="C32" s="14" t="n"/>
      <c r="D32" s="14" t="n"/>
      <c r="E32" s="14" t="n"/>
      <c r="F32" s="15" t="n"/>
      <c r="G32" s="15" t="n"/>
      <c r="H32" s="15" t="n"/>
      <c r="I32" s="35" t="n"/>
      <c r="J32" s="35" t="n"/>
      <c r="K32" s="36">
        <f>IF(OR(I32="",J32=""),"",I32-J32)</f>
        <v/>
      </c>
      <c r="L32" s="14" t="n"/>
      <c r="M32" s="14" t="n"/>
    </row>
    <row r="33" ht="22" customHeight="1">
      <c r="B33" s="18">
        <f>IF(C33="","AP-"&amp;TEXT(COUNTA($C$5:C33),"000"))</f>
        <v/>
      </c>
      <c r="C33" s="11" t="n"/>
      <c r="D33" s="11" t="n"/>
      <c r="E33" s="11" t="n"/>
      <c r="F33" s="12" t="n"/>
      <c r="G33" s="12" t="n"/>
      <c r="H33" s="12" t="n"/>
      <c r="I33" s="33" t="n"/>
      <c r="J33" s="33" t="n"/>
      <c r="K33" s="34">
        <f>IF(OR(I33="",J33=""),"",I33-J33)</f>
        <v/>
      </c>
      <c r="L33" s="11" t="n"/>
      <c r="M33" s="11" t="n"/>
    </row>
    <row r="34" ht="22" customHeight="1">
      <c r="B34" s="17">
        <f>IF(C34="","AP-"&amp;TEXT(COUNTA($C$5:C34),"000"))</f>
        <v/>
      </c>
      <c r="C34" s="14" t="n"/>
      <c r="D34" s="14" t="n"/>
      <c r="E34" s="14" t="n"/>
      <c r="F34" s="15" t="n"/>
      <c r="G34" s="15" t="n"/>
      <c r="H34" s="15" t="n"/>
      <c r="I34" s="35" t="n"/>
      <c r="J34" s="35" t="n"/>
      <c r="K34" s="36">
        <f>IF(OR(I34="",J34=""),"",I34-J34)</f>
        <v/>
      </c>
      <c r="L34" s="14" t="n"/>
      <c r="M34" s="14" t="n"/>
    </row>
    <row r="35" ht="22" customHeight="1">
      <c r="B35" s="18">
        <f>IF(C35="","AP-"&amp;TEXT(COUNTA($C$5:C35),"000"))</f>
        <v/>
      </c>
      <c r="C35" s="11" t="n"/>
      <c r="D35" s="11" t="n"/>
      <c r="E35" s="11" t="n"/>
      <c r="F35" s="12" t="n"/>
      <c r="G35" s="12" t="n"/>
      <c r="H35" s="12" t="n"/>
      <c r="I35" s="33" t="n"/>
      <c r="J35" s="33" t="n"/>
      <c r="K35" s="34">
        <f>IF(OR(I35="",J35=""),"",I35-J35)</f>
        <v/>
      </c>
      <c r="L35" s="11" t="n"/>
      <c r="M35" s="11" t="n"/>
    </row>
    <row r="36" ht="22" customHeight="1">
      <c r="B36" s="17">
        <f>IF(C36="","AP-"&amp;TEXT(COUNTA($C$5:C36),"000"))</f>
        <v/>
      </c>
      <c r="C36" s="14" t="n"/>
      <c r="D36" s="14" t="n"/>
      <c r="E36" s="14" t="n"/>
      <c r="F36" s="15" t="n"/>
      <c r="G36" s="15" t="n"/>
      <c r="H36" s="15" t="n"/>
      <c r="I36" s="35" t="n"/>
      <c r="J36" s="35" t="n"/>
      <c r="K36" s="36">
        <f>IF(OR(I36="",J36=""),"",I36-J36)</f>
        <v/>
      </c>
      <c r="L36" s="14" t="n"/>
      <c r="M36" s="14" t="n"/>
    </row>
    <row r="37" ht="22" customHeight="1">
      <c r="B37" s="18">
        <f>IF(C37="","AP-"&amp;TEXT(COUNTA($C$5:C37),"000"))</f>
        <v/>
      </c>
      <c r="C37" s="11" t="n"/>
      <c r="D37" s="11" t="n"/>
      <c r="E37" s="11" t="n"/>
      <c r="F37" s="12" t="n"/>
      <c r="G37" s="12" t="n"/>
      <c r="H37" s="12" t="n"/>
      <c r="I37" s="33" t="n"/>
      <c r="J37" s="33" t="n"/>
      <c r="K37" s="34">
        <f>IF(OR(I37="",J37=""),"",I37-J37)</f>
        <v/>
      </c>
      <c r="L37" s="11" t="n"/>
      <c r="M37" s="11" t="n"/>
    </row>
    <row r="38" ht="22" customHeight="1">
      <c r="B38" s="17">
        <f>IF(C38="","AP-"&amp;TEXT(COUNTA($C$5:C38),"000"))</f>
        <v/>
      </c>
      <c r="C38" s="14" t="n"/>
      <c r="D38" s="14" t="n"/>
      <c r="E38" s="14" t="n"/>
      <c r="F38" s="15" t="n"/>
      <c r="G38" s="15" t="n"/>
      <c r="H38" s="15" t="n"/>
      <c r="I38" s="35" t="n"/>
      <c r="J38" s="35" t="n"/>
      <c r="K38" s="36">
        <f>IF(OR(I38="",J38=""),"",I38-J38)</f>
        <v/>
      </c>
      <c r="L38" s="14" t="n"/>
      <c r="M38" s="14" t="n"/>
    </row>
    <row r="39" ht="22" customHeight="1">
      <c r="B39" s="18">
        <f>IF(C39="","AP-"&amp;TEXT(COUNTA($C$5:C39),"000"))</f>
        <v/>
      </c>
      <c r="C39" s="11" t="n"/>
      <c r="D39" s="11" t="n"/>
      <c r="E39" s="11" t="n"/>
      <c r="F39" s="12" t="n"/>
      <c r="G39" s="12" t="n"/>
      <c r="H39" s="12" t="n"/>
      <c r="I39" s="33" t="n"/>
      <c r="J39" s="33" t="n"/>
      <c r="K39" s="34">
        <f>IF(OR(I39="",J39=""),"",I39-J39)</f>
        <v/>
      </c>
      <c r="L39" s="11" t="n"/>
      <c r="M39" s="11" t="n"/>
    </row>
    <row r="40" ht="22" customHeight="1">
      <c r="B40" s="17">
        <f>IF(C40="","AP-"&amp;TEXT(COUNTA($C$5:C40),"000"))</f>
        <v/>
      </c>
      <c r="C40" s="14" t="n"/>
      <c r="D40" s="14" t="n"/>
      <c r="E40" s="14" t="n"/>
      <c r="F40" s="15" t="n"/>
      <c r="G40" s="15" t="n"/>
      <c r="H40" s="15" t="n"/>
      <c r="I40" s="35" t="n"/>
      <c r="J40" s="35" t="n"/>
      <c r="K40" s="36">
        <f>IF(OR(I40="",J40=""),"",I40-J40)</f>
        <v/>
      </c>
      <c r="L40" s="14" t="n"/>
      <c r="M40" s="14" t="n"/>
    </row>
    <row r="41" ht="22" customHeight="1">
      <c r="B41" s="18">
        <f>IF(C41="","AP-"&amp;TEXT(COUNTA($C$5:C41),"000"))</f>
        <v/>
      </c>
      <c r="C41" s="11" t="n"/>
      <c r="D41" s="11" t="n"/>
      <c r="E41" s="11" t="n"/>
      <c r="F41" s="12" t="n"/>
      <c r="G41" s="12" t="n"/>
      <c r="H41" s="12" t="n"/>
      <c r="I41" s="33" t="n"/>
      <c r="J41" s="33" t="n"/>
      <c r="K41" s="34">
        <f>IF(OR(I41="",J41=""),"",I41-J41)</f>
        <v/>
      </c>
      <c r="L41" s="11" t="n"/>
      <c r="M41" s="11" t="n"/>
    </row>
    <row r="42" ht="22" customHeight="1">
      <c r="B42" s="17">
        <f>IF(C42="","AP-"&amp;TEXT(COUNTA($C$5:C42),"000"))</f>
        <v/>
      </c>
      <c r="C42" s="14" t="n"/>
      <c r="D42" s="14" t="n"/>
      <c r="E42" s="14" t="n"/>
      <c r="F42" s="15" t="n"/>
      <c r="G42" s="15" t="n"/>
      <c r="H42" s="15" t="n"/>
      <c r="I42" s="35" t="n"/>
      <c r="J42" s="35" t="n"/>
      <c r="K42" s="36">
        <f>IF(OR(I42="",J42=""),"",I42-J42)</f>
        <v/>
      </c>
      <c r="L42" s="14" t="n"/>
      <c r="M42" s="14" t="n"/>
    </row>
    <row r="43" ht="22" customHeight="1">
      <c r="B43" s="18">
        <f>IF(C43="","AP-"&amp;TEXT(COUNTA($C$5:C43),"000"))</f>
        <v/>
      </c>
      <c r="C43" s="11" t="n"/>
      <c r="D43" s="11" t="n"/>
      <c r="E43" s="11" t="n"/>
      <c r="F43" s="12" t="n"/>
      <c r="G43" s="12" t="n"/>
      <c r="H43" s="12" t="n"/>
      <c r="I43" s="33" t="n"/>
      <c r="J43" s="33" t="n"/>
      <c r="K43" s="34">
        <f>IF(OR(I43="",J43=""),"",I43-J43)</f>
        <v/>
      </c>
      <c r="L43" s="11" t="n"/>
      <c r="M43" s="11" t="n"/>
    </row>
    <row r="44" ht="22" customHeight="1">
      <c r="B44" s="17">
        <f>IF(C44="","AP-"&amp;TEXT(COUNTA($C$5:C44),"000"))</f>
        <v/>
      </c>
      <c r="C44" s="14" t="n"/>
      <c r="D44" s="14" t="n"/>
      <c r="E44" s="14" t="n"/>
      <c r="F44" s="15" t="n"/>
      <c r="G44" s="15" t="n"/>
      <c r="H44" s="15" t="n"/>
      <c r="I44" s="35" t="n"/>
      <c r="J44" s="35" t="n"/>
      <c r="K44" s="36">
        <f>IF(OR(I44="",J44=""),"",I44-J44)</f>
        <v/>
      </c>
      <c r="L44" s="14" t="n"/>
      <c r="M44" s="14" t="n"/>
    </row>
    <row r="45" ht="22" customHeight="1">
      <c r="B45" s="18">
        <f>IF(C45="","AP-"&amp;TEXT(COUNTA($C$5:C45),"000"))</f>
        <v/>
      </c>
      <c r="C45" s="11" t="n"/>
      <c r="D45" s="11" t="n"/>
      <c r="E45" s="11" t="n"/>
      <c r="F45" s="12" t="n"/>
      <c r="G45" s="12" t="n"/>
      <c r="H45" s="12" t="n"/>
      <c r="I45" s="33" t="n"/>
      <c r="J45" s="33" t="n"/>
      <c r="K45" s="34">
        <f>IF(OR(I45="",J45=""),"",I45-J45)</f>
        <v/>
      </c>
      <c r="L45" s="11" t="n"/>
      <c r="M45" s="11" t="n"/>
    </row>
    <row r="46" ht="22" customHeight="1">
      <c r="B46" s="17">
        <f>IF(C46="","AP-"&amp;TEXT(COUNTA($C$5:C46),"000"))</f>
        <v/>
      </c>
      <c r="C46" s="14" t="n"/>
      <c r="D46" s="14" t="n"/>
      <c r="E46" s="14" t="n"/>
      <c r="F46" s="15" t="n"/>
      <c r="G46" s="15" t="n"/>
      <c r="H46" s="15" t="n"/>
      <c r="I46" s="35" t="n"/>
      <c r="J46" s="35" t="n"/>
      <c r="K46" s="36">
        <f>IF(OR(I46="",J46=""),"",I46-J46)</f>
        <v/>
      </c>
      <c r="L46" s="14" t="n"/>
      <c r="M46" s="14" t="n"/>
    </row>
    <row r="47" ht="22" customHeight="1">
      <c r="B47" s="18">
        <f>IF(C47="","AP-"&amp;TEXT(COUNTA($C$5:C47),"000"))</f>
        <v/>
      </c>
      <c r="C47" s="11" t="n"/>
      <c r="D47" s="11" t="n"/>
      <c r="E47" s="11" t="n"/>
      <c r="F47" s="12" t="n"/>
      <c r="G47" s="12" t="n"/>
      <c r="H47" s="12" t="n"/>
      <c r="I47" s="33" t="n"/>
      <c r="J47" s="33" t="n"/>
      <c r="K47" s="34">
        <f>IF(OR(I47="",J47=""),"",I47-J47)</f>
        <v/>
      </c>
      <c r="L47" s="11" t="n"/>
      <c r="M47" s="11" t="n"/>
    </row>
    <row r="48" ht="22" customHeight="1">
      <c r="B48" s="17">
        <f>IF(C48="","AP-"&amp;TEXT(COUNTA($C$5:C48),"000"))</f>
        <v/>
      </c>
      <c r="C48" s="14" t="n"/>
      <c r="D48" s="14" t="n"/>
      <c r="E48" s="14" t="n"/>
      <c r="F48" s="15" t="n"/>
      <c r="G48" s="15" t="n"/>
      <c r="H48" s="15" t="n"/>
      <c r="I48" s="35" t="n"/>
      <c r="J48" s="35" t="n"/>
      <c r="K48" s="36">
        <f>IF(OR(I48="",J48=""),"",I48-J48)</f>
        <v/>
      </c>
      <c r="L48" s="14" t="n"/>
      <c r="M48" s="14" t="n"/>
    </row>
    <row r="49" ht="22" customHeight="1">
      <c r="B49" s="18">
        <f>IF(C49="","AP-"&amp;TEXT(COUNTA($C$5:C49),"000"))</f>
        <v/>
      </c>
      <c r="C49" s="11" t="n"/>
      <c r="D49" s="11" t="n"/>
      <c r="E49" s="11" t="n"/>
      <c r="F49" s="12" t="n"/>
      <c r="G49" s="12" t="n"/>
      <c r="H49" s="12" t="n"/>
      <c r="I49" s="33" t="n"/>
      <c r="J49" s="33" t="n"/>
      <c r="K49" s="34">
        <f>IF(OR(I49="",J49=""),"",I49-J49)</f>
        <v/>
      </c>
      <c r="L49" s="11" t="n"/>
      <c r="M49" s="11" t="n"/>
    </row>
    <row r="50" ht="22" customHeight="1">
      <c r="B50" s="17">
        <f>IF(C50="","AP-"&amp;TEXT(COUNTA($C$5:C50),"000"))</f>
        <v/>
      </c>
      <c r="C50" s="14" t="n"/>
      <c r="D50" s="14" t="n"/>
      <c r="E50" s="14" t="n"/>
      <c r="F50" s="15" t="n"/>
      <c r="G50" s="15" t="n"/>
      <c r="H50" s="15" t="n"/>
      <c r="I50" s="35" t="n"/>
      <c r="J50" s="35" t="n"/>
      <c r="K50" s="36">
        <f>IF(OR(I50="",J50=""),"",I50-J50)</f>
        <v/>
      </c>
      <c r="L50" s="14" t="n"/>
      <c r="M50" s="14" t="n"/>
    </row>
    <row r="51" ht="22" customHeight="1">
      <c r="B51" s="18">
        <f>IF(C51="","AP-"&amp;TEXT(COUNTA($C$5:C51),"000"))</f>
        <v/>
      </c>
      <c r="C51" s="11" t="n"/>
      <c r="D51" s="11" t="n"/>
      <c r="E51" s="11" t="n"/>
      <c r="F51" s="12" t="n"/>
      <c r="G51" s="12" t="n"/>
      <c r="H51" s="12" t="n"/>
      <c r="I51" s="33" t="n"/>
      <c r="J51" s="33" t="n"/>
      <c r="K51" s="34">
        <f>IF(OR(I51="",J51=""),"",I51-J51)</f>
        <v/>
      </c>
      <c r="L51" s="11" t="n"/>
      <c r="M51" s="11" t="n"/>
    </row>
    <row r="52" ht="22" customHeight="1">
      <c r="B52" s="17">
        <f>IF(C52="","AP-"&amp;TEXT(COUNTA($C$5:C52),"000"))</f>
        <v/>
      </c>
      <c r="C52" s="14" t="n"/>
      <c r="D52" s="14" t="n"/>
      <c r="E52" s="14" t="n"/>
      <c r="F52" s="15" t="n"/>
      <c r="G52" s="15" t="n"/>
      <c r="H52" s="15" t="n"/>
      <c r="I52" s="35" t="n"/>
      <c r="J52" s="35" t="n"/>
      <c r="K52" s="36">
        <f>IF(OR(I52="",J52=""),"",I52-J52)</f>
        <v/>
      </c>
      <c r="L52" s="14" t="n"/>
      <c r="M52" s="14" t="n"/>
    </row>
    <row r="53" ht="22" customHeight="1">
      <c r="B53" s="18">
        <f>IF(C53="","AP-"&amp;TEXT(COUNTA($C$5:C53),"000"))</f>
        <v/>
      </c>
      <c r="C53" s="11" t="n"/>
      <c r="D53" s="11" t="n"/>
      <c r="E53" s="11" t="n"/>
      <c r="F53" s="12" t="n"/>
      <c r="G53" s="12" t="n"/>
      <c r="H53" s="12" t="n"/>
      <c r="I53" s="33" t="n"/>
      <c r="J53" s="33" t="n"/>
      <c r="K53" s="34">
        <f>IF(OR(I53="",J53=""),"",I53-J53)</f>
        <v/>
      </c>
      <c r="L53" s="11" t="n"/>
      <c r="M53" s="11" t="n"/>
    </row>
    <row r="54" ht="22" customHeight="1">
      <c r="B54" s="17">
        <f>IF(C54="","AP-"&amp;TEXT(COUNTA($C$5:C54),"000"))</f>
        <v/>
      </c>
      <c r="C54" s="14" t="n"/>
      <c r="D54" s="14" t="n"/>
      <c r="E54" s="14" t="n"/>
      <c r="F54" s="15" t="n"/>
      <c r="G54" s="15" t="n"/>
      <c r="H54" s="15" t="n"/>
      <c r="I54" s="35" t="n"/>
      <c r="J54" s="35" t="n"/>
      <c r="K54" s="36">
        <f>IF(OR(I54="",J54=""),"",I54-J54)</f>
        <v/>
      </c>
      <c r="L54" s="14" t="n"/>
      <c r="M54" s="14" t="n"/>
    </row>
    <row r="55" ht="22" customHeight="1">
      <c r="B55" s="18">
        <f>IF(C55="","AP-"&amp;TEXT(COUNTA($C$5:C55),"000"))</f>
        <v/>
      </c>
      <c r="C55" s="11" t="n"/>
      <c r="D55" s="11" t="n"/>
      <c r="E55" s="11" t="n"/>
      <c r="F55" s="12" t="n"/>
      <c r="G55" s="12" t="n"/>
      <c r="H55" s="12" t="n"/>
      <c r="I55" s="33" t="n"/>
      <c r="J55" s="33" t="n"/>
      <c r="K55" s="34">
        <f>IF(OR(I55="",J55=""),"",I55-J55)</f>
        <v/>
      </c>
      <c r="L55" s="11" t="n"/>
      <c r="M55" s="11" t="n"/>
    </row>
    <row r="56" ht="22" customHeight="1">
      <c r="B56" s="17">
        <f>IF(C56="","AP-"&amp;TEXT(COUNTA($C$5:C56),"000"))</f>
        <v/>
      </c>
      <c r="C56" s="14" t="n"/>
      <c r="D56" s="14" t="n"/>
      <c r="E56" s="14" t="n"/>
      <c r="F56" s="15" t="n"/>
      <c r="G56" s="15" t="n"/>
      <c r="H56" s="15" t="n"/>
      <c r="I56" s="35" t="n"/>
      <c r="J56" s="35" t="n"/>
      <c r="K56" s="36">
        <f>IF(OR(I56="",J56=""),"",I56-J56)</f>
        <v/>
      </c>
      <c r="L56" s="14" t="n"/>
      <c r="M56" s="14" t="n"/>
    </row>
    <row r="57" ht="22" customHeight="1">
      <c r="B57" s="18">
        <f>IF(C57="","AP-"&amp;TEXT(COUNTA($C$5:C57),"000"))</f>
        <v/>
      </c>
      <c r="C57" s="11" t="n"/>
      <c r="D57" s="11" t="n"/>
      <c r="E57" s="11" t="n"/>
      <c r="F57" s="12" t="n"/>
      <c r="G57" s="12" t="n"/>
      <c r="H57" s="12" t="n"/>
      <c r="I57" s="33" t="n"/>
      <c r="J57" s="33" t="n"/>
      <c r="K57" s="34">
        <f>IF(OR(I57="",J57=""),"",I57-J57)</f>
        <v/>
      </c>
      <c r="L57" s="11" t="n"/>
      <c r="M57" s="11" t="n"/>
    </row>
    <row r="58" ht="22" customHeight="1">
      <c r="B58" s="17">
        <f>IF(C58="","AP-"&amp;TEXT(COUNTA($C$5:C58),"000"))</f>
        <v/>
      </c>
      <c r="C58" s="14" t="n"/>
      <c r="D58" s="14" t="n"/>
      <c r="E58" s="14" t="n"/>
      <c r="F58" s="15" t="n"/>
      <c r="G58" s="15" t="n"/>
      <c r="H58" s="15" t="n"/>
      <c r="I58" s="35" t="n"/>
      <c r="J58" s="35" t="n"/>
      <c r="K58" s="36">
        <f>IF(OR(I58="",J58=""),"",I58-J58)</f>
        <v/>
      </c>
      <c r="L58" s="14" t="n"/>
      <c r="M58" s="14" t="n"/>
    </row>
    <row r="59" ht="22" customHeight="1">
      <c r="B59" s="18">
        <f>IF(C59="","AP-"&amp;TEXT(COUNTA($C$5:C59),"000"))</f>
        <v/>
      </c>
      <c r="C59" s="11" t="n"/>
      <c r="D59" s="11" t="n"/>
      <c r="E59" s="11" t="n"/>
      <c r="F59" s="12" t="n"/>
      <c r="G59" s="12" t="n"/>
      <c r="H59" s="12" t="n"/>
      <c r="I59" s="33" t="n"/>
      <c r="J59" s="33" t="n"/>
      <c r="K59" s="34">
        <f>IF(OR(I59="",J59=""),"",I59-J59)</f>
        <v/>
      </c>
      <c r="L59" s="11" t="n"/>
      <c r="M59" s="11" t="n"/>
    </row>
    <row r="60" ht="22" customHeight="1">
      <c r="B60" s="17">
        <f>IF(C60="","AP-"&amp;TEXT(COUNTA($C$5:C60),"000"))</f>
        <v/>
      </c>
      <c r="C60" s="14" t="n"/>
      <c r="D60" s="14" t="n"/>
      <c r="E60" s="14" t="n"/>
      <c r="F60" s="15" t="n"/>
      <c r="G60" s="15" t="n"/>
      <c r="H60" s="15" t="n"/>
      <c r="I60" s="35" t="n"/>
      <c r="J60" s="35" t="n"/>
      <c r="K60" s="36">
        <f>IF(OR(I60="",J60=""),"",I60-J60)</f>
        <v/>
      </c>
      <c r="L60" s="14" t="n"/>
      <c r="M60" s="14" t="n"/>
    </row>
    <row r="61" ht="22" customHeight="1">
      <c r="B61" s="18">
        <f>IF(C61="","AP-"&amp;TEXT(COUNTA($C$5:C61),"000"))</f>
        <v/>
      </c>
      <c r="C61" s="11" t="n"/>
      <c r="D61" s="11" t="n"/>
      <c r="E61" s="11" t="n"/>
      <c r="F61" s="12" t="n"/>
      <c r="G61" s="12" t="n"/>
      <c r="H61" s="12" t="n"/>
      <c r="I61" s="33" t="n"/>
      <c r="J61" s="33" t="n"/>
      <c r="K61" s="34">
        <f>IF(OR(I61="",J61=""),"",I61-J61)</f>
        <v/>
      </c>
      <c r="L61" s="11" t="n"/>
      <c r="M61" s="11" t="n"/>
    </row>
    <row r="62" ht="22" customHeight="1">
      <c r="B62" s="17">
        <f>IF(C62="","AP-"&amp;TEXT(COUNTA($C$5:C62),"000"))</f>
        <v/>
      </c>
      <c r="C62" s="14" t="n"/>
      <c r="D62" s="14" t="n"/>
      <c r="E62" s="14" t="n"/>
      <c r="F62" s="15" t="n"/>
      <c r="G62" s="15" t="n"/>
      <c r="H62" s="15" t="n"/>
      <c r="I62" s="35" t="n"/>
      <c r="J62" s="35" t="n"/>
      <c r="K62" s="36">
        <f>IF(OR(I62="",J62=""),"",I62-J62)</f>
        <v/>
      </c>
      <c r="L62" s="14" t="n"/>
      <c r="M62" s="14" t="n"/>
    </row>
    <row r="63" ht="22" customHeight="1">
      <c r="B63" s="18">
        <f>IF(C63="","AP-"&amp;TEXT(COUNTA($C$5:C63),"000"))</f>
        <v/>
      </c>
      <c r="C63" s="11" t="n"/>
      <c r="D63" s="11" t="n"/>
      <c r="E63" s="11" t="n"/>
      <c r="F63" s="12" t="n"/>
      <c r="G63" s="12" t="n"/>
      <c r="H63" s="12" t="n"/>
      <c r="I63" s="33" t="n"/>
      <c r="J63" s="33" t="n"/>
      <c r="K63" s="34">
        <f>IF(OR(I63="",J63=""),"",I63-J63)</f>
        <v/>
      </c>
      <c r="L63" s="11" t="n"/>
      <c r="M63" s="11" t="n"/>
    </row>
    <row r="64" ht="22" customHeight="1">
      <c r="B64" s="17">
        <f>IF(C64="","AP-"&amp;TEXT(COUNTA($C$5:C64),"000"))</f>
        <v/>
      </c>
      <c r="C64" s="14" t="n"/>
      <c r="D64" s="14" t="n"/>
      <c r="E64" s="14" t="n"/>
      <c r="F64" s="15" t="n"/>
      <c r="G64" s="15" t="n"/>
      <c r="H64" s="15" t="n"/>
      <c r="I64" s="35" t="n"/>
      <c r="J64" s="35" t="n"/>
      <c r="K64" s="36">
        <f>IF(OR(I64="",J64=""),"",I64-J64)</f>
        <v/>
      </c>
      <c r="L64" s="14" t="n"/>
      <c r="M64" s="14" t="n"/>
    </row>
    <row r="65" ht="22" customHeight="1">
      <c r="B65" s="18">
        <f>IF(C65="","AP-"&amp;TEXT(COUNTA($C$5:C65),"000"))</f>
        <v/>
      </c>
      <c r="C65" s="11" t="n"/>
      <c r="D65" s="11" t="n"/>
      <c r="E65" s="11" t="n"/>
      <c r="F65" s="12" t="n"/>
      <c r="G65" s="12" t="n"/>
      <c r="H65" s="12" t="n"/>
      <c r="I65" s="33" t="n"/>
      <c r="J65" s="33" t="n"/>
      <c r="K65" s="34">
        <f>IF(OR(I65="",J65=""),"",I65-J65)</f>
        <v/>
      </c>
      <c r="L65" s="11" t="n"/>
      <c r="M65" s="11" t="n"/>
    </row>
    <row r="66" ht="22" customHeight="1">
      <c r="B66" s="17">
        <f>IF(C66="","AP-"&amp;TEXT(COUNTA($C$5:C66),"000"))</f>
        <v/>
      </c>
      <c r="C66" s="14" t="n"/>
      <c r="D66" s="14" t="n"/>
      <c r="E66" s="14" t="n"/>
      <c r="F66" s="15" t="n"/>
      <c r="G66" s="15" t="n"/>
      <c r="H66" s="15" t="n"/>
      <c r="I66" s="35" t="n"/>
      <c r="J66" s="35" t="n"/>
      <c r="K66" s="36">
        <f>IF(OR(I66="",J66=""),"",I66-J66)</f>
        <v/>
      </c>
      <c r="L66" s="14" t="n"/>
      <c r="M66" s="14" t="n"/>
    </row>
    <row r="67" ht="22" customHeight="1">
      <c r="B67" s="18">
        <f>IF(C67="","AP-"&amp;TEXT(COUNTA($C$5:C67),"000"))</f>
        <v/>
      </c>
      <c r="C67" s="11" t="n"/>
      <c r="D67" s="11" t="n"/>
      <c r="E67" s="11" t="n"/>
      <c r="F67" s="12" t="n"/>
      <c r="G67" s="12" t="n"/>
      <c r="H67" s="12" t="n"/>
      <c r="I67" s="33" t="n"/>
      <c r="J67" s="33" t="n"/>
      <c r="K67" s="34">
        <f>IF(OR(I67="",J67=""),"",I67-J67)</f>
        <v/>
      </c>
      <c r="L67" s="11" t="n"/>
      <c r="M67" s="11" t="n"/>
    </row>
    <row r="68" ht="22" customHeight="1">
      <c r="B68" s="17">
        <f>IF(C68="","AP-"&amp;TEXT(COUNTA($C$5:C68),"000"))</f>
        <v/>
      </c>
      <c r="C68" s="14" t="n"/>
      <c r="D68" s="14" t="n"/>
      <c r="E68" s="14" t="n"/>
      <c r="F68" s="15" t="n"/>
      <c r="G68" s="15" t="n"/>
      <c r="H68" s="15" t="n"/>
      <c r="I68" s="35" t="n"/>
      <c r="J68" s="35" t="n"/>
      <c r="K68" s="36">
        <f>IF(OR(I68="",J68=""),"",I68-J68)</f>
        <v/>
      </c>
      <c r="L68" s="14" t="n"/>
      <c r="M68" s="14" t="n"/>
    </row>
    <row r="69" ht="22" customHeight="1">
      <c r="B69" s="18">
        <f>IF(C69="","AP-"&amp;TEXT(COUNTA($C$5:C69),"000"))</f>
        <v/>
      </c>
      <c r="C69" s="11" t="n"/>
      <c r="D69" s="11" t="n"/>
      <c r="E69" s="11" t="n"/>
      <c r="F69" s="12" t="n"/>
      <c r="G69" s="12" t="n"/>
      <c r="H69" s="12" t="n"/>
      <c r="I69" s="33" t="n"/>
      <c r="J69" s="33" t="n"/>
      <c r="K69" s="34">
        <f>IF(OR(I69="",J69=""),"",I69-J69)</f>
        <v/>
      </c>
      <c r="L69" s="11" t="n"/>
      <c r="M69" s="11" t="n"/>
    </row>
    <row r="70" ht="22" customHeight="1">
      <c r="B70" s="17">
        <f>IF(C70="","AP-"&amp;TEXT(COUNTA($C$5:C70),"000"))</f>
        <v/>
      </c>
      <c r="C70" s="14" t="n"/>
      <c r="D70" s="14" t="n"/>
      <c r="E70" s="14" t="n"/>
      <c r="F70" s="15" t="n"/>
      <c r="G70" s="15" t="n"/>
      <c r="H70" s="15" t="n"/>
      <c r="I70" s="35" t="n"/>
      <c r="J70" s="35" t="n"/>
      <c r="K70" s="36">
        <f>IF(OR(I70="",J70=""),"",I70-J70)</f>
        <v/>
      </c>
      <c r="L70" s="14" t="n"/>
      <c r="M70" s="14" t="n"/>
    </row>
    <row r="71" ht="22" customHeight="1">
      <c r="B71" s="18">
        <f>IF(C71="","AP-"&amp;TEXT(COUNTA($C$5:C71),"000"))</f>
        <v/>
      </c>
      <c r="C71" s="11" t="n"/>
      <c r="D71" s="11" t="n"/>
      <c r="E71" s="11" t="n"/>
      <c r="F71" s="12" t="n"/>
      <c r="G71" s="12" t="n"/>
      <c r="H71" s="12" t="n"/>
      <c r="I71" s="33" t="n"/>
      <c r="J71" s="33" t="n"/>
      <c r="K71" s="34">
        <f>IF(OR(I71="",J71=""),"",I71-J71)</f>
        <v/>
      </c>
      <c r="L71" s="11" t="n"/>
      <c r="M71" s="11" t="n"/>
    </row>
    <row r="72" ht="22" customHeight="1">
      <c r="B72" s="17">
        <f>IF(C72="","AP-"&amp;TEXT(COUNTA($C$5:C72),"000"))</f>
        <v/>
      </c>
      <c r="C72" s="14" t="n"/>
      <c r="D72" s="14" t="n"/>
      <c r="E72" s="14" t="n"/>
      <c r="F72" s="15" t="n"/>
      <c r="G72" s="15" t="n"/>
      <c r="H72" s="15" t="n"/>
      <c r="I72" s="35" t="n"/>
      <c r="J72" s="35" t="n"/>
      <c r="K72" s="36">
        <f>IF(OR(I72="",J72=""),"",I72-J72)</f>
        <v/>
      </c>
      <c r="L72" s="14" t="n"/>
      <c r="M72" s="14" t="n"/>
    </row>
    <row r="73" ht="22" customHeight="1">
      <c r="B73" s="18">
        <f>IF(C73="","AP-"&amp;TEXT(COUNTA($C$5:C73),"000"))</f>
        <v/>
      </c>
      <c r="C73" s="11" t="n"/>
      <c r="D73" s="11" t="n"/>
      <c r="E73" s="11" t="n"/>
      <c r="F73" s="12" t="n"/>
      <c r="G73" s="12" t="n"/>
      <c r="H73" s="12" t="n"/>
      <c r="I73" s="33" t="n"/>
      <c r="J73" s="33" t="n"/>
      <c r="K73" s="34">
        <f>IF(OR(I73="",J73=""),"",I73-J73)</f>
        <v/>
      </c>
      <c r="L73" s="11" t="n"/>
      <c r="M73" s="11" t="n"/>
    </row>
    <row r="74" ht="22" customHeight="1">
      <c r="B74" s="17">
        <f>IF(C74="","AP-"&amp;TEXT(COUNTA($C$5:C74),"000"))</f>
        <v/>
      </c>
      <c r="C74" s="14" t="n"/>
      <c r="D74" s="14" t="n"/>
      <c r="E74" s="14" t="n"/>
      <c r="F74" s="15" t="n"/>
      <c r="G74" s="15" t="n"/>
      <c r="H74" s="15" t="n"/>
      <c r="I74" s="35" t="n"/>
      <c r="J74" s="35" t="n"/>
      <c r="K74" s="36">
        <f>IF(OR(I74="",J74=""),"",I74-J74)</f>
        <v/>
      </c>
      <c r="L74" s="14" t="n"/>
      <c r="M74" s="14" t="n"/>
    </row>
    <row r="75" ht="22" customHeight="1">
      <c r="B75" s="18">
        <f>IF(C75="","AP-"&amp;TEXT(COUNTA($C$5:C75),"000"))</f>
        <v/>
      </c>
      <c r="C75" s="11" t="n"/>
      <c r="D75" s="11" t="n"/>
      <c r="E75" s="11" t="n"/>
      <c r="F75" s="12" t="n"/>
      <c r="G75" s="12" t="n"/>
      <c r="H75" s="12" t="n"/>
      <c r="I75" s="33" t="n"/>
      <c r="J75" s="33" t="n"/>
      <c r="K75" s="34">
        <f>IF(OR(I75="",J75=""),"",I75-J75)</f>
        <v/>
      </c>
      <c r="L75" s="11" t="n"/>
      <c r="M75" s="11" t="n"/>
    </row>
    <row r="76" ht="22" customHeight="1">
      <c r="B76" s="17">
        <f>IF(C76="","AP-"&amp;TEXT(COUNTA($C$5:C76),"000"))</f>
        <v/>
      </c>
      <c r="C76" s="14" t="n"/>
      <c r="D76" s="14" t="n"/>
      <c r="E76" s="14" t="n"/>
      <c r="F76" s="15" t="n"/>
      <c r="G76" s="15" t="n"/>
      <c r="H76" s="15" t="n"/>
      <c r="I76" s="35" t="n"/>
      <c r="J76" s="35" t="n"/>
      <c r="K76" s="36">
        <f>IF(OR(I76="",J76=""),"",I76-J76)</f>
        <v/>
      </c>
      <c r="L76" s="14" t="n"/>
      <c r="M76" s="14" t="n"/>
    </row>
    <row r="77" ht="22" customHeight="1">
      <c r="B77" s="18">
        <f>IF(C77="","AP-"&amp;TEXT(COUNTA($C$5:C77),"000"))</f>
        <v/>
      </c>
      <c r="C77" s="11" t="n"/>
      <c r="D77" s="11" t="n"/>
      <c r="E77" s="11" t="n"/>
      <c r="F77" s="12" t="n"/>
      <c r="G77" s="12" t="n"/>
      <c r="H77" s="12" t="n"/>
      <c r="I77" s="33" t="n"/>
      <c r="J77" s="33" t="n"/>
      <c r="K77" s="34">
        <f>IF(OR(I77="",J77=""),"",I77-J77)</f>
        <v/>
      </c>
      <c r="L77" s="11" t="n"/>
      <c r="M77" s="11" t="n"/>
    </row>
    <row r="78" ht="22" customHeight="1">
      <c r="B78" s="17">
        <f>IF(C78="","AP-"&amp;TEXT(COUNTA($C$5:C78),"000"))</f>
        <v/>
      </c>
      <c r="C78" s="14" t="n"/>
      <c r="D78" s="14" t="n"/>
      <c r="E78" s="14" t="n"/>
      <c r="F78" s="15" t="n"/>
      <c r="G78" s="15" t="n"/>
      <c r="H78" s="15" t="n"/>
      <c r="I78" s="35" t="n"/>
      <c r="J78" s="35" t="n"/>
      <c r="K78" s="36">
        <f>IF(OR(I78="",J78=""),"",I78-J78)</f>
        <v/>
      </c>
      <c r="L78" s="14" t="n"/>
      <c r="M78" s="14" t="n"/>
    </row>
    <row r="79" ht="22" customHeight="1">
      <c r="B79" s="18">
        <f>IF(C79="","AP-"&amp;TEXT(COUNTA($C$5:C79),"000"))</f>
        <v/>
      </c>
      <c r="C79" s="11" t="n"/>
      <c r="D79" s="11" t="n"/>
      <c r="E79" s="11" t="n"/>
      <c r="F79" s="12" t="n"/>
      <c r="G79" s="12" t="n"/>
      <c r="H79" s="12" t="n"/>
      <c r="I79" s="33" t="n"/>
      <c r="J79" s="33" t="n"/>
      <c r="K79" s="34">
        <f>IF(OR(I79="",J79=""),"",I79-J79)</f>
        <v/>
      </c>
      <c r="L79" s="11" t="n"/>
      <c r="M79" s="11" t="n"/>
    </row>
    <row r="80" ht="22" customHeight="1">
      <c r="B80" s="17">
        <f>IF(C80="","AP-"&amp;TEXT(COUNTA($C$5:C80),"000"))</f>
        <v/>
      </c>
      <c r="C80" s="14" t="n"/>
      <c r="D80" s="14" t="n"/>
      <c r="E80" s="14" t="n"/>
      <c r="F80" s="15" t="n"/>
      <c r="G80" s="15" t="n"/>
      <c r="H80" s="15" t="n"/>
      <c r="I80" s="35" t="n"/>
      <c r="J80" s="35" t="n"/>
      <c r="K80" s="36">
        <f>IF(OR(I80="",J80=""),"",I80-J80)</f>
        <v/>
      </c>
      <c r="L80" s="14" t="n"/>
      <c r="M80" s="14" t="n"/>
    </row>
    <row r="81" ht="22" customHeight="1">
      <c r="B81" s="18">
        <f>IF(C81="","AP-"&amp;TEXT(COUNTA($C$5:C81),"000"))</f>
        <v/>
      </c>
      <c r="C81" s="11" t="n"/>
      <c r="D81" s="11" t="n"/>
      <c r="E81" s="11" t="n"/>
      <c r="F81" s="12" t="n"/>
      <c r="G81" s="12" t="n"/>
      <c r="H81" s="12" t="n"/>
      <c r="I81" s="33" t="n"/>
      <c r="J81" s="33" t="n"/>
      <c r="K81" s="34">
        <f>IF(OR(I81="",J81=""),"",I81-J81)</f>
        <v/>
      </c>
      <c r="L81" s="11" t="n"/>
      <c r="M81" s="11" t="n"/>
    </row>
    <row r="82" ht="22" customHeight="1">
      <c r="B82" s="17">
        <f>IF(C82="","AP-"&amp;TEXT(COUNTA($C$5:C82),"000"))</f>
        <v/>
      </c>
      <c r="C82" s="14" t="n"/>
      <c r="D82" s="14" t="n"/>
      <c r="E82" s="14" t="n"/>
      <c r="F82" s="15" t="n"/>
      <c r="G82" s="15" t="n"/>
      <c r="H82" s="15" t="n"/>
      <c r="I82" s="35" t="n"/>
      <c r="J82" s="35" t="n"/>
      <c r="K82" s="36">
        <f>IF(OR(I82="",J82=""),"",I82-J82)</f>
        <v/>
      </c>
      <c r="L82" s="14" t="n"/>
      <c r="M82" s="14" t="n"/>
    </row>
    <row r="83" ht="22" customHeight="1">
      <c r="B83" s="18">
        <f>IF(C83="","AP-"&amp;TEXT(COUNTA($C$5:C83),"000"))</f>
        <v/>
      </c>
      <c r="C83" s="11" t="n"/>
      <c r="D83" s="11" t="n"/>
      <c r="E83" s="11" t="n"/>
      <c r="F83" s="12" t="n"/>
      <c r="G83" s="12" t="n"/>
      <c r="H83" s="12" t="n"/>
      <c r="I83" s="33" t="n"/>
      <c r="J83" s="33" t="n"/>
      <c r="K83" s="34">
        <f>IF(OR(I83="",J83=""),"",I83-J83)</f>
        <v/>
      </c>
      <c r="L83" s="11" t="n"/>
      <c r="M83" s="11" t="n"/>
    </row>
    <row r="84" ht="22" customHeight="1">
      <c r="B84" s="17">
        <f>IF(C84="","AP-"&amp;TEXT(COUNTA($C$5:C84),"000"))</f>
        <v/>
      </c>
      <c r="C84" s="14" t="n"/>
      <c r="D84" s="14" t="n"/>
      <c r="E84" s="14" t="n"/>
      <c r="F84" s="15" t="n"/>
      <c r="G84" s="15" t="n"/>
      <c r="H84" s="15" t="n"/>
      <c r="I84" s="35" t="n"/>
      <c r="J84" s="35" t="n"/>
      <c r="K84" s="36">
        <f>IF(OR(I84="",J84=""),"",I84-J84)</f>
        <v/>
      </c>
      <c r="L84" s="14" t="n"/>
      <c r="M84" s="14" t="n"/>
    </row>
    <row r="85" ht="22" customHeight="1">
      <c r="B85" s="18">
        <f>IF(C85="","AP-"&amp;TEXT(COUNTA($C$5:C85),"000"))</f>
        <v/>
      </c>
      <c r="C85" s="11" t="n"/>
      <c r="D85" s="11" t="n"/>
      <c r="E85" s="11" t="n"/>
      <c r="F85" s="12" t="n"/>
      <c r="G85" s="12" t="n"/>
      <c r="H85" s="12" t="n"/>
      <c r="I85" s="33" t="n"/>
      <c r="J85" s="33" t="n"/>
      <c r="K85" s="34">
        <f>IF(OR(I85="",J85=""),"",I85-J85)</f>
        <v/>
      </c>
      <c r="L85" s="11" t="n"/>
      <c r="M85" s="11" t="n"/>
    </row>
    <row r="86" ht="22" customHeight="1">
      <c r="B86" s="17">
        <f>IF(C86="","AP-"&amp;TEXT(COUNTA($C$5:C86),"000"))</f>
        <v/>
      </c>
      <c r="C86" s="14" t="n"/>
      <c r="D86" s="14" t="n"/>
      <c r="E86" s="14" t="n"/>
      <c r="F86" s="15" t="n"/>
      <c r="G86" s="15" t="n"/>
      <c r="H86" s="15" t="n"/>
      <c r="I86" s="35" t="n"/>
      <c r="J86" s="35" t="n"/>
      <c r="K86" s="36">
        <f>IF(OR(I86="",J86=""),"",I86-J86)</f>
        <v/>
      </c>
      <c r="L86" s="14" t="n"/>
      <c r="M86" s="14" t="n"/>
    </row>
    <row r="87" ht="22" customHeight="1">
      <c r="B87" s="18">
        <f>IF(C87="","AP-"&amp;TEXT(COUNTA($C$5:C87),"000"))</f>
        <v/>
      </c>
      <c r="C87" s="11" t="n"/>
      <c r="D87" s="11" t="n"/>
      <c r="E87" s="11" t="n"/>
      <c r="F87" s="12" t="n"/>
      <c r="G87" s="12" t="n"/>
      <c r="H87" s="12" t="n"/>
      <c r="I87" s="33" t="n"/>
      <c r="J87" s="33" t="n"/>
      <c r="K87" s="34">
        <f>IF(OR(I87="",J87=""),"",I87-J87)</f>
        <v/>
      </c>
      <c r="L87" s="11" t="n"/>
      <c r="M87" s="11" t="n"/>
    </row>
    <row r="88" ht="22" customHeight="1">
      <c r="B88" s="17">
        <f>IF(C88="","AP-"&amp;TEXT(COUNTA($C$5:C88),"000"))</f>
        <v/>
      </c>
      <c r="C88" s="14" t="n"/>
      <c r="D88" s="14" t="n"/>
      <c r="E88" s="14" t="n"/>
      <c r="F88" s="15" t="n"/>
      <c r="G88" s="15" t="n"/>
      <c r="H88" s="15" t="n"/>
      <c r="I88" s="35" t="n"/>
      <c r="J88" s="35" t="n"/>
      <c r="K88" s="36">
        <f>IF(OR(I88="",J88=""),"",I88-J88)</f>
        <v/>
      </c>
      <c r="L88" s="14" t="n"/>
      <c r="M88" s="14" t="n"/>
    </row>
    <row r="89" ht="22" customHeight="1">
      <c r="B89" s="18">
        <f>IF(C89="","AP-"&amp;TEXT(COUNTA($C$5:C89),"000"))</f>
        <v/>
      </c>
      <c r="C89" s="11" t="n"/>
      <c r="D89" s="11" t="n"/>
      <c r="E89" s="11" t="n"/>
      <c r="F89" s="12" t="n"/>
      <c r="G89" s="12" t="n"/>
      <c r="H89" s="12" t="n"/>
      <c r="I89" s="33" t="n"/>
      <c r="J89" s="33" t="n"/>
      <c r="K89" s="34">
        <f>IF(OR(I89="",J89=""),"",I89-J89)</f>
        <v/>
      </c>
      <c r="L89" s="11" t="n"/>
      <c r="M89" s="11" t="n"/>
    </row>
    <row r="90" ht="22" customHeight="1">
      <c r="B90" s="17">
        <f>IF(C90="","AP-"&amp;TEXT(COUNTA($C$5:C90),"000"))</f>
        <v/>
      </c>
      <c r="C90" s="14" t="n"/>
      <c r="D90" s="14" t="n"/>
      <c r="E90" s="14" t="n"/>
      <c r="F90" s="15" t="n"/>
      <c r="G90" s="15" t="n"/>
      <c r="H90" s="15" t="n"/>
      <c r="I90" s="35" t="n"/>
      <c r="J90" s="35" t="n"/>
      <c r="K90" s="36">
        <f>IF(OR(I90="",J90=""),"",I90-J90)</f>
        <v/>
      </c>
      <c r="L90" s="14" t="n"/>
      <c r="M90" s="14" t="n"/>
    </row>
    <row r="91" ht="22" customHeight="1">
      <c r="B91" s="18">
        <f>IF(C91="","AP-"&amp;TEXT(COUNTA($C$5:C91),"000"))</f>
        <v/>
      </c>
      <c r="C91" s="11" t="n"/>
      <c r="D91" s="11" t="n"/>
      <c r="E91" s="11" t="n"/>
      <c r="F91" s="12" t="n"/>
      <c r="G91" s="12" t="n"/>
      <c r="H91" s="12" t="n"/>
      <c r="I91" s="33" t="n"/>
      <c r="J91" s="33" t="n"/>
      <c r="K91" s="34">
        <f>IF(OR(I91="",J91=""),"",I91-J91)</f>
        <v/>
      </c>
      <c r="L91" s="11" t="n"/>
      <c r="M91" s="11" t="n"/>
    </row>
    <row r="92" ht="22" customHeight="1">
      <c r="B92" s="17">
        <f>IF(C92="","AP-"&amp;TEXT(COUNTA($C$5:C92),"000"))</f>
        <v/>
      </c>
      <c r="C92" s="14" t="n"/>
      <c r="D92" s="14" t="n"/>
      <c r="E92" s="14" t="n"/>
      <c r="F92" s="15" t="n"/>
      <c r="G92" s="15" t="n"/>
      <c r="H92" s="15" t="n"/>
      <c r="I92" s="35" t="n"/>
      <c r="J92" s="35" t="n"/>
      <c r="K92" s="36">
        <f>IF(OR(I92="",J92=""),"",I92-J92)</f>
        <v/>
      </c>
      <c r="L92" s="14" t="n"/>
      <c r="M92" s="14" t="n"/>
    </row>
    <row r="93" ht="22" customHeight="1">
      <c r="B93" s="18">
        <f>IF(C93="","AP-"&amp;TEXT(COUNTA($C$5:C93),"000"))</f>
        <v/>
      </c>
      <c r="C93" s="11" t="n"/>
      <c r="D93" s="11" t="n"/>
      <c r="E93" s="11" t="n"/>
      <c r="F93" s="12" t="n"/>
      <c r="G93" s="12" t="n"/>
      <c r="H93" s="12" t="n"/>
      <c r="I93" s="33" t="n"/>
      <c r="J93" s="33" t="n"/>
      <c r="K93" s="34">
        <f>IF(OR(I93="",J93=""),"",I93-J93)</f>
        <v/>
      </c>
      <c r="L93" s="11" t="n"/>
      <c r="M93" s="11" t="n"/>
    </row>
    <row r="94" ht="22" customHeight="1">
      <c r="B94" s="17">
        <f>IF(C94="","AP-"&amp;TEXT(COUNTA($C$5:C94),"000"))</f>
        <v/>
      </c>
      <c r="C94" s="14" t="n"/>
      <c r="D94" s="14" t="n"/>
      <c r="E94" s="14" t="n"/>
      <c r="F94" s="15" t="n"/>
      <c r="G94" s="15" t="n"/>
      <c r="H94" s="15" t="n"/>
      <c r="I94" s="35" t="n"/>
      <c r="J94" s="35" t="n"/>
      <c r="K94" s="36">
        <f>IF(OR(I94="",J94=""),"",I94-J94)</f>
        <v/>
      </c>
      <c r="L94" s="14" t="n"/>
      <c r="M94" s="14" t="n"/>
    </row>
    <row r="95" ht="22" customHeight="1">
      <c r="B95" s="18">
        <f>IF(C95="","AP-"&amp;TEXT(COUNTA($C$5:C95),"000"))</f>
        <v/>
      </c>
      <c r="C95" s="11" t="n"/>
      <c r="D95" s="11" t="n"/>
      <c r="E95" s="11" t="n"/>
      <c r="F95" s="12" t="n"/>
      <c r="G95" s="12" t="n"/>
      <c r="H95" s="12" t="n"/>
      <c r="I95" s="33" t="n"/>
      <c r="J95" s="33" t="n"/>
      <c r="K95" s="34">
        <f>IF(OR(I95="",J95=""),"",I95-J95)</f>
        <v/>
      </c>
      <c r="L95" s="11" t="n"/>
      <c r="M95" s="11" t="n"/>
    </row>
    <row r="96" ht="22" customHeight="1">
      <c r="B96" s="17">
        <f>IF(C96="","AP-"&amp;TEXT(COUNTA($C$5:C96),"000"))</f>
        <v/>
      </c>
      <c r="C96" s="14" t="n"/>
      <c r="D96" s="14" t="n"/>
      <c r="E96" s="14" t="n"/>
      <c r="F96" s="15" t="n"/>
      <c r="G96" s="15" t="n"/>
      <c r="H96" s="15" t="n"/>
      <c r="I96" s="35" t="n"/>
      <c r="J96" s="35" t="n"/>
      <c r="K96" s="36">
        <f>IF(OR(I96="",J96=""),"",I96-J96)</f>
        <v/>
      </c>
      <c r="L96" s="14" t="n"/>
      <c r="M96" s="14" t="n"/>
    </row>
    <row r="97" ht="22" customHeight="1">
      <c r="B97" s="18">
        <f>IF(C97="","AP-"&amp;TEXT(COUNTA($C$5:C97),"000"))</f>
        <v/>
      </c>
      <c r="C97" s="11" t="n"/>
      <c r="D97" s="11" t="n"/>
      <c r="E97" s="11" t="n"/>
      <c r="F97" s="12" t="n"/>
      <c r="G97" s="12" t="n"/>
      <c r="H97" s="12" t="n"/>
      <c r="I97" s="33" t="n"/>
      <c r="J97" s="33" t="n"/>
      <c r="K97" s="34">
        <f>IF(OR(I97="",J97=""),"",I97-J97)</f>
        <v/>
      </c>
      <c r="L97" s="11" t="n"/>
      <c r="M97" s="11" t="n"/>
    </row>
    <row r="98" ht="22" customHeight="1">
      <c r="B98" s="17">
        <f>IF(C98="","AP-"&amp;TEXT(COUNTA($C$5:C98),"000"))</f>
        <v/>
      </c>
      <c r="C98" s="14" t="n"/>
      <c r="D98" s="14" t="n"/>
      <c r="E98" s="14" t="n"/>
      <c r="F98" s="15" t="n"/>
      <c r="G98" s="15" t="n"/>
      <c r="H98" s="15" t="n"/>
      <c r="I98" s="35" t="n"/>
      <c r="J98" s="35" t="n"/>
      <c r="K98" s="36">
        <f>IF(OR(I98="",J98=""),"",I98-J98)</f>
        <v/>
      </c>
      <c r="L98" s="14" t="n"/>
      <c r="M98" s="14" t="n"/>
    </row>
    <row r="99" ht="22" customHeight="1">
      <c r="B99" s="18">
        <f>IF(C99="","AP-"&amp;TEXT(COUNTA($C$5:C99),"000"))</f>
        <v/>
      </c>
      <c r="C99" s="11" t="n"/>
      <c r="D99" s="11" t="n"/>
      <c r="E99" s="11" t="n"/>
      <c r="F99" s="12" t="n"/>
      <c r="G99" s="12" t="n"/>
      <c r="H99" s="12" t="n"/>
      <c r="I99" s="33" t="n"/>
      <c r="J99" s="33" t="n"/>
      <c r="K99" s="34">
        <f>IF(OR(I99="",J99=""),"",I99-J99)</f>
        <v/>
      </c>
      <c r="L99" s="11" t="n"/>
      <c r="M99" s="11" t="n"/>
    </row>
    <row r="100" ht="22" customHeight="1">
      <c r="B100" s="17">
        <f>IF(C100="","AP-"&amp;TEXT(COUNTA($C$5:C100),"000"))</f>
        <v/>
      </c>
      <c r="C100" s="14" t="n"/>
      <c r="D100" s="14" t="n"/>
      <c r="E100" s="14" t="n"/>
      <c r="F100" s="15" t="n"/>
      <c r="G100" s="15" t="n"/>
      <c r="H100" s="15" t="n"/>
      <c r="I100" s="35" t="n"/>
      <c r="J100" s="35" t="n"/>
      <c r="K100" s="36">
        <f>IF(OR(I100="",J100=""),"",I100-J100)</f>
        <v/>
      </c>
      <c r="L100" s="14" t="n"/>
      <c r="M100" s="14" t="n"/>
    </row>
    <row r="101" ht="22" customHeight="1">
      <c r="B101" s="18">
        <f>IF(C101="","AP-"&amp;TEXT(COUNTA($C$5:C101),"000"))</f>
        <v/>
      </c>
      <c r="C101" s="11" t="n"/>
      <c r="D101" s="11" t="n"/>
      <c r="E101" s="11" t="n"/>
      <c r="F101" s="12" t="n"/>
      <c r="G101" s="12" t="n"/>
      <c r="H101" s="12" t="n"/>
      <c r="I101" s="33" t="n"/>
      <c r="J101" s="33" t="n"/>
      <c r="K101" s="34">
        <f>IF(OR(I101="",J101=""),"",I101-J101)</f>
        <v/>
      </c>
      <c r="L101" s="11" t="n"/>
      <c r="M101" s="11" t="n"/>
    </row>
    <row r="102" ht="22" customHeight="1">
      <c r="B102" s="17">
        <f>IF(C102="","AP-"&amp;TEXT(COUNTA($C$5:C102),"000"))</f>
        <v/>
      </c>
      <c r="C102" s="14" t="n"/>
      <c r="D102" s="14" t="n"/>
      <c r="E102" s="14" t="n"/>
      <c r="F102" s="15" t="n"/>
      <c r="G102" s="15" t="n"/>
      <c r="H102" s="15" t="n"/>
      <c r="I102" s="35" t="n"/>
      <c r="J102" s="35" t="n"/>
      <c r="K102" s="36">
        <f>IF(OR(I102="",J102=""),"",I102-J102)</f>
        <v/>
      </c>
      <c r="L102" s="14" t="n"/>
      <c r="M102" s="14" t="n"/>
    </row>
    <row r="103" ht="22" customHeight="1">
      <c r="B103" s="18">
        <f>IF(C103="","AP-"&amp;TEXT(COUNTA($C$5:C103),"000"))</f>
        <v/>
      </c>
      <c r="C103" s="11" t="n"/>
      <c r="D103" s="11" t="n"/>
      <c r="E103" s="11" t="n"/>
      <c r="F103" s="12" t="n"/>
      <c r="G103" s="12" t="n"/>
      <c r="H103" s="12" t="n"/>
      <c r="I103" s="33" t="n"/>
      <c r="J103" s="33" t="n"/>
      <c r="K103" s="34">
        <f>IF(OR(I103="",J103=""),"",I103-J103)</f>
        <v/>
      </c>
      <c r="L103" s="11" t="n"/>
      <c r="M103" s="11" t="n"/>
    </row>
    <row r="104" ht="22" customHeight="1">
      <c r="B104" s="17">
        <f>IF(C104="","AP-"&amp;TEXT(COUNTA($C$5:C104),"000"))</f>
        <v/>
      </c>
      <c r="C104" s="14" t="n"/>
      <c r="D104" s="14" t="n"/>
      <c r="E104" s="14" t="n"/>
      <c r="F104" s="15" t="n"/>
      <c r="G104" s="15" t="n"/>
      <c r="H104" s="15" t="n"/>
      <c r="I104" s="35" t="n"/>
      <c r="J104" s="35" t="n"/>
      <c r="K104" s="36">
        <f>IF(OR(I104="",J104=""),"",I104-J104)</f>
        <v/>
      </c>
      <c r="L104" s="14" t="n"/>
      <c r="M104" s="14" t="n"/>
    </row>
    <row r="105" ht="22" customHeight="1">
      <c r="B105" s="18">
        <f>IF(C105="","AP-"&amp;TEXT(COUNTA($C$5:C105),"000"))</f>
        <v/>
      </c>
      <c r="C105" s="11" t="n"/>
      <c r="D105" s="11" t="n"/>
      <c r="E105" s="11" t="n"/>
      <c r="F105" s="12" t="n"/>
      <c r="G105" s="12" t="n"/>
      <c r="H105" s="12" t="n"/>
      <c r="I105" s="33" t="n"/>
      <c r="J105" s="33" t="n"/>
      <c r="K105" s="34">
        <f>IF(OR(I105="",J105=""),"",I105-J105)</f>
        <v/>
      </c>
      <c r="L105" s="11" t="n"/>
      <c r="M105" s="11" t="n"/>
    </row>
    <row r="106" ht="22" customHeight="1">
      <c r="B106" s="17">
        <f>IF(C106="","AP-"&amp;TEXT(COUNTA($C$5:C106),"000"))</f>
        <v/>
      </c>
      <c r="C106" s="14" t="n"/>
      <c r="D106" s="14" t="n"/>
      <c r="E106" s="14" t="n"/>
      <c r="F106" s="15" t="n"/>
      <c r="G106" s="15" t="n"/>
      <c r="H106" s="15" t="n"/>
      <c r="I106" s="35" t="n"/>
      <c r="J106" s="35" t="n"/>
      <c r="K106" s="36">
        <f>IF(OR(I106="",J106=""),"",I106-J106)</f>
        <v/>
      </c>
      <c r="L106" s="14" t="n"/>
      <c r="M106" s="14" t="n"/>
    </row>
    <row r="107" ht="22" customHeight="1">
      <c r="B107" s="18">
        <f>IF(C107="","AP-"&amp;TEXT(COUNTA($C$5:C107),"000"))</f>
        <v/>
      </c>
      <c r="C107" s="11" t="n"/>
      <c r="D107" s="11" t="n"/>
      <c r="E107" s="11" t="n"/>
      <c r="F107" s="12" t="n"/>
      <c r="G107" s="12" t="n"/>
      <c r="H107" s="12" t="n"/>
      <c r="I107" s="33" t="n"/>
      <c r="J107" s="33" t="n"/>
      <c r="K107" s="34">
        <f>IF(OR(I107="",J107=""),"",I107-J107)</f>
        <v/>
      </c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Processus documentes</t>
        </is>
      </c>
      <c r="D110" s="3" t="inlineStr">
        <is>
          <t>Gain temps total (h/m)</t>
        </is>
      </c>
      <c r="F110" s="3" t="inlineStr">
        <is>
          <t>Totalement auto.</t>
        </is>
      </c>
    </row>
    <row r="111">
      <c r="B111" s="4">
        <f>COUNTIF(B5:B104,"&lt;&gt;")</f>
        <v/>
      </c>
      <c r="D111" s="4">
        <f>SUM(H5:H104)</f>
        <v/>
      </c>
      <c r="F111" s="4">
        <f>COUNTIF(D5:D104,"Totalement automatise")</f>
        <v/>
      </c>
    </row>
  </sheetData>
  <mergeCells count="3">
    <mergeCell ref="B3:M3"/>
    <mergeCell ref="B2:M2"/>
    <mergeCell ref="B109:M109"/>
  </mergeCells>
  <conditionalFormatting sqref="M5:M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'_Lists'!$F$2:$F$5</formula1>
    </dataValidation>
    <dataValidation sqref="M5:M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0" customWidth="1" min="4" max="4"/>
    <col width="26" customWidth="1" min="5" max="5"/>
    <col width="42" customWidth="1" min="6" max="6"/>
    <col width="24" customWidth="1" min="7" max="7"/>
    <col width="14" customWidth="1" min="8" max="8"/>
    <col width="32" customWidth="1" min="9" max="9"/>
    <col width="22" customWidth="1" min="10" max="10"/>
    <col width="20" customWidth="1" min="11" max="11"/>
    <col width="22" customWidth="1" min="12" max="12"/>
    <col width="36" customWidth="1" min="13" max="13"/>
  </cols>
  <sheetData>
    <row r="1" ht="15" customHeight="1"/>
    <row r="2" ht="32" customHeight="1">
      <c r="B2" s="1" t="inlineStr">
        <is>
          <t>INTELLIGENCE ARTIFICIELLE RH (#159)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Cas d'Usage IA</t>
        </is>
      </c>
      <c r="D4" s="10" t="inlineStr">
        <is>
          <t>Type IA</t>
        </is>
      </c>
      <c r="E4" s="10" t="inlineStr">
        <is>
          <t>Departement Beneficiaire</t>
        </is>
      </c>
      <c r="F4" s="10" t="inlineStr">
        <is>
          <t>Description Cas Usage</t>
        </is>
      </c>
      <c r="G4" s="10" t="inlineStr">
        <is>
          <t>Outil / Plateforme</t>
        </is>
      </c>
      <c r="H4" s="10" t="inlineStr">
        <is>
          <t>Date Lancement</t>
        </is>
      </c>
      <c r="I4" s="10" t="inlineStr">
        <is>
          <t>Nb Candidats / Dossiers traites</t>
        </is>
      </c>
      <c r="J4" s="10" t="inlineStr">
        <is>
          <t>Taux Precision IA (%)</t>
        </is>
      </c>
      <c r="K4" s="10" t="inlineStr">
        <is>
          <t>Gain Temps (h/mois)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IA-001</t>
        </is>
      </c>
      <c r="C5" s="11" t="inlineStr">
        <is>
          <t>Pre-selection CV</t>
        </is>
      </c>
      <c r="D5" s="11" t="inlineStr">
        <is>
          <t>CV Screening</t>
        </is>
      </c>
      <c r="E5" s="11" t="inlineStr">
        <is>
          <t>Service Client</t>
        </is>
      </c>
      <c r="F5" s="11" t="inlineStr">
        <is>
          <t>IA analyse automatiquement les CV et classe les candidats par pertinence</t>
        </is>
      </c>
      <c r="G5" s="11" t="inlineStr">
        <is>
          <t>Welcome to the Jungle</t>
        </is>
      </c>
      <c r="H5" s="31" t="n">
        <v>45672</v>
      </c>
      <c r="I5" s="12" t="n">
        <v>340</v>
      </c>
      <c r="J5" s="33" t="n">
        <v>78.5</v>
      </c>
      <c r="K5" s="12" t="n">
        <v>20</v>
      </c>
      <c r="L5" s="11" t="inlineStr">
        <is>
          <t>Test</t>
        </is>
      </c>
      <c r="M5" s="11" t="inlineStr">
        <is>
          <t>Amelioration algo en cours</t>
        </is>
      </c>
    </row>
    <row r="6" ht="22" customHeight="1">
      <c r="B6" s="14" t="inlineStr">
        <is>
          <t>IA-002</t>
        </is>
      </c>
      <c r="C6" s="14" t="inlineStr">
        <is>
          <t>Prediction turnover</t>
        </is>
      </c>
      <c r="D6" s="14" t="inlineStr">
        <is>
          <t>Predictif turnover</t>
        </is>
      </c>
      <c r="E6" s="14" t="inlineStr">
        <is>
          <t>Service Client</t>
        </is>
      </c>
      <c r="F6" s="14" t="inlineStr">
        <is>
          <t>Model predictif identifie les employes a risque de depart</t>
        </is>
      </c>
      <c r="G6" s="14" t="inlineStr">
        <is>
          <t>SIRH HotelPro + Python</t>
        </is>
      </c>
      <c r="H6" s="32" t="n">
        <v>45717</v>
      </c>
      <c r="I6" s="15" t="n">
        <v>0</v>
      </c>
      <c r="J6" s="35" t="n">
        <v>72</v>
      </c>
      <c r="K6" s="15" t="n">
        <v>8</v>
      </c>
      <c r="L6" s="14" t="inlineStr">
        <is>
          <t>Prototype</t>
        </is>
      </c>
      <c r="M6" s="14" t="inlineStr">
        <is>
          <t>Donnees 2023-2024 entrainees</t>
        </is>
      </c>
    </row>
    <row r="7" ht="22" customHeight="1">
      <c r="B7" s="11" t="inlineStr">
        <is>
          <t>IA-003</t>
        </is>
      </c>
      <c r="C7" s="11" t="inlineStr">
        <is>
          <t>Chatbot RH employe</t>
        </is>
      </c>
      <c r="D7" s="11" t="inlineStr">
        <is>
          <t>Chatbot RH</t>
        </is>
      </c>
      <c r="E7" s="11" t="inlineStr">
        <is>
          <t>Tous les departements</t>
        </is>
      </c>
      <c r="F7" s="11" t="inlineStr">
        <is>
          <t>Assistant virtuel repond aux questions RH courantes (conges, paie, etc.)</t>
        </is>
      </c>
      <c r="G7" s="11" t="inlineStr">
        <is>
          <t>Custom GPT</t>
        </is>
      </c>
      <c r="H7" s="31" t="n">
        <v>45689</v>
      </c>
      <c r="I7" s="12" t="n">
        <v>125</v>
      </c>
      <c r="J7" s="33" t="n">
        <v>85</v>
      </c>
      <c r="K7" s="12" t="n">
        <v>15</v>
      </c>
      <c r="L7" s="11" t="inlineStr">
        <is>
          <t>Deploiement pilote</t>
        </is>
      </c>
      <c r="M7" s="11" t="inlineStr">
        <is>
          <t>Base connaissances 150 FAQ</t>
        </is>
      </c>
    </row>
    <row r="8" ht="22" customHeight="1">
      <c r="B8" s="17">
        <f>IF(C8="","IA-"&amp;TEXT(COUNTA($C$5:C8),"000"))</f>
        <v/>
      </c>
      <c r="C8" s="14" t="n"/>
      <c r="D8" s="14" t="n"/>
      <c r="E8" s="14" t="n"/>
      <c r="F8" s="14" t="n"/>
      <c r="G8" s="14" t="n"/>
      <c r="H8" s="32" t="n"/>
      <c r="I8" s="15" t="n"/>
      <c r="J8" s="35" t="n"/>
      <c r="K8" s="15" t="n"/>
      <c r="L8" s="14" t="n"/>
      <c r="M8" s="14" t="n"/>
    </row>
    <row r="9" ht="22" customHeight="1">
      <c r="B9" s="18">
        <f>IF(C9="","IA-"&amp;TEXT(COUNTA($C$5:C9),"000"))</f>
        <v/>
      </c>
      <c r="C9" s="11" t="n"/>
      <c r="D9" s="11" t="n"/>
      <c r="E9" s="11" t="n"/>
      <c r="F9" s="11" t="n"/>
      <c r="G9" s="11" t="n"/>
      <c r="H9" s="31" t="n"/>
      <c r="I9" s="12" t="n"/>
      <c r="J9" s="33" t="n"/>
      <c r="K9" s="12" t="n"/>
      <c r="L9" s="11" t="n"/>
      <c r="M9" s="11" t="n"/>
    </row>
    <row r="10" ht="22" customHeight="1">
      <c r="B10" s="17">
        <f>IF(C10="","IA-"&amp;TEXT(COUNTA($C$5:C10),"000"))</f>
        <v/>
      </c>
      <c r="C10" s="14" t="n"/>
      <c r="D10" s="14" t="n"/>
      <c r="E10" s="14" t="n"/>
      <c r="F10" s="14" t="n"/>
      <c r="G10" s="14" t="n"/>
      <c r="H10" s="32" t="n"/>
      <c r="I10" s="15" t="n"/>
      <c r="J10" s="35" t="n"/>
      <c r="K10" s="15" t="n"/>
      <c r="L10" s="14" t="n"/>
      <c r="M10" s="14" t="n"/>
    </row>
    <row r="11" ht="22" customHeight="1">
      <c r="B11" s="18">
        <f>IF(C11="","IA-"&amp;TEXT(COUNTA($C$5:C11),"000"))</f>
        <v/>
      </c>
      <c r="C11" s="11" t="n"/>
      <c r="D11" s="11" t="n"/>
      <c r="E11" s="11" t="n"/>
      <c r="F11" s="11" t="n"/>
      <c r="G11" s="11" t="n"/>
      <c r="H11" s="31" t="n"/>
      <c r="I11" s="12" t="n"/>
      <c r="J11" s="33" t="n"/>
      <c r="K11" s="12" t="n"/>
      <c r="L11" s="11" t="n"/>
      <c r="M11" s="11" t="n"/>
    </row>
    <row r="12" ht="22" customHeight="1">
      <c r="B12" s="17">
        <f>IF(C12="","IA-"&amp;TEXT(COUNTA($C$5:C12),"000"))</f>
        <v/>
      </c>
      <c r="C12" s="14" t="n"/>
      <c r="D12" s="14" t="n"/>
      <c r="E12" s="14" t="n"/>
      <c r="F12" s="14" t="n"/>
      <c r="G12" s="14" t="n"/>
      <c r="H12" s="32" t="n"/>
      <c r="I12" s="15" t="n"/>
      <c r="J12" s="35" t="n"/>
      <c r="K12" s="15" t="n"/>
      <c r="L12" s="14" t="n"/>
      <c r="M12" s="14" t="n"/>
    </row>
    <row r="13" ht="22" customHeight="1">
      <c r="B13" s="18">
        <f>IF(C13="","IA-"&amp;TEXT(COUNTA($C$5:C13),"000"))</f>
        <v/>
      </c>
      <c r="C13" s="11" t="n"/>
      <c r="D13" s="11" t="n"/>
      <c r="E13" s="11" t="n"/>
      <c r="F13" s="11" t="n"/>
      <c r="G13" s="11" t="n"/>
      <c r="H13" s="31" t="n"/>
      <c r="I13" s="12" t="n"/>
      <c r="J13" s="33" t="n"/>
      <c r="K13" s="12" t="n"/>
      <c r="L13" s="11" t="n"/>
      <c r="M13" s="11" t="n"/>
    </row>
    <row r="14" ht="22" customHeight="1">
      <c r="B14" s="17">
        <f>IF(C14="","IA-"&amp;TEXT(COUNTA($C$5:C14),"000"))</f>
        <v/>
      </c>
      <c r="C14" s="14" t="n"/>
      <c r="D14" s="14" t="n"/>
      <c r="E14" s="14" t="n"/>
      <c r="F14" s="14" t="n"/>
      <c r="G14" s="14" t="n"/>
      <c r="H14" s="32" t="n"/>
      <c r="I14" s="15" t="n"/>
      <c r="J14" s="35" t="n"/>
      <c r="K14" s="15" t="n"/>
      <c r="L14" s="14" t="n"/>
      <c r="M14" s="14" t="n"/>
    </row>
    <row r="15" ht="22" customHeight="1">
      <c r="B15" s="18">
        <f>IF(C15="","IA-"&amp;TEXT(COUNTA($C$5:C15),"000"))</f>
        <v/>
      </c>
      <c r="C15" s="11" t="n"/>
      <c r="D15" s="11" t="n"/>
      <c r="E15" s="11" t="n"/>
      <c r="F15" s="11" t="n"/>
      <c r="G15" s="11" t="n"/>
      <c r="H15" s="31" t="n"/>
      <c r="I15" s="12" t="n"/>
      <c r="J15" s="33" t="n"/>
      <c r="K15" s="12" t="n"/>
      <c r="L15" s="11" t="n"/>
      <c r="M15" s="11" t="n"/>
    </row>
    <row r="16" ht="22" customHeight="1">
      <c r="B16" s="17">
        <f>IF(C16="","IA-"&amp;TEXT(COUNTA($C$5:C16),"000"))</f>
        <v/>
      </c>
      <c r="C16" s="14" t="n"/>
      <c r="D16" s="14" t="n"/>
      <c r="E16" s="14" t="n"/>
      <c r="F16" s="14" t="n"/>
      <c r="G16" s="14" t="n"/>
      <c r="H16" s="32" t="n"/>
      <c r="I16" s="15" t="n"/>
      <c r="J16" s="35" t="n"/>
      <c r="K16" s="15" t="n"/>
      <c r="L16" s="14" t="n"/>
      <c r="M16" s="14" t="n"/>
    </row>
    <row r="17" ht="22" customHeight="1">
      <c r="B17" s="18">
        <f>IF(C17="","IA-"&amp;TEXT(COUNTA($C$5:C17),"000"))</f>
        <v/>
      </c>
      <c r="C17" s="11" t="n"/>
      <c r="D17" s="11" t="n"/>
      <c r="E17" s="11" t="n"/>
      <c r="F17" s="11" t="n"/>
      <c r="G17" s="11" t="n"/>
      <c r="H17" s="31" t="n"/>
      <c r="I17" s="12" t="n"/>
      <c r="J17" s="33" t="n"/>
      <c r="K17" s="12" t="n"/>
      <c r="L17" s="11" t="n"/>
      <c r="M17" s="11" t="n"/>
    </row>
    <row r="18" ht="22" customHeight="1">
      <c r="B18" s="17">
        <f>IF(C18="","IA-"&amp;TEXT(COUNTA($C$5:C18),"000"))</f>
        <v/>
      </c>
      <c r="C18" s="14" t="n"/>
      <c r="D18" s="14" t="n"/>
      <c r="E18" s="14" t="n"/>
      <c r="F18" s="14" t="n"/>
      <c r="G18" s="14" t="n"/>
      <c r="H18" s="32" t="n"/>
      <c r="I18" s="15" t="n"/>
      <c r="J18" s="35" t="n"/>
      <c r="K18" s="15" t="n"/>
      <c r="L18" s="14" t="n"/>
      <c r="M18" s="14" t="n"/>
    </row>
    <row r="19" ht="22" customHeight="1">
      <c r="B19" s="18">
        <f>IF(C19="","IA-"&amp;TEXT(COUNTA($C$5:C19),"000"))</f>
        <v/>
      </c>
      <c r="C19" s="11" t="n"/>
      <c r="D19" s="11" t="n"/>
      <c r="E19" s="11" t="n"/>
      <c r="F19" s="11" t="n"/>
      <c r="G19" s="11" t="n"/>
      <c r="H19" s="31" t="n"/>
      <c r="I19" s="12" t="n"/>
      <c r="J19" s="33" t="n"/>
      <c r="K19" s="12" t="n"/>
      <c r="L19" s="11" t="n"/>
      <c r="M19" s="11" t="n"/>
    </row>
    <row r="20" ht="22" customHeight="1">
      <c r="B20" s="17">
        <f>IF(C20="","IA-"&amp;TEXT(COUNTA($C$5:C20),"000"))</f>
        <v/>
      </c>
      <c r="C20" s="14" t="n"/>
      <c r="D20" s="14" t="n"/>
      <c r="E20" s="14" t="n"/>
      <c r="F20" s="14" t="n"/>
      <c r="G20" s="14" t="n"/>
      <c r="H20" s="32" t="n"/>
      <c r="I20" s="15" t="n"/>
      <c r="J20" s="35" t="n"/>
      <c r="K20" s="15" t="n"/>
      <c r="L20" s="14" t="n"/>
      <c r="M20" s="14" t="n"/>
    </row>
    <row r="21" ht="22" customHeight="1">
      <c r="B21" s="18">
        <f>IF(C21="","IA-"&amp;TEXT(COUNTA($C$5:C21),"000"))</f>
        <v/>
      </c>
      <c r="C21" s="11" t="n"/>
      <c r="D21" s="11" t="n"/>
      <c r="E21" s="11" t="n"/>
      <c r="F21" s="11" t="n"/>
      <c r="G21" s="11" t="n"/>
      <c r="H21" s="31" t="n"/>
      <c r="I21" s="12" t="n"/>
      <c r="J21" s="33" t="n"/>
      <c r="K21" s="12" t="n"/>
      <c r="L21" s="11" t="n"/>
      <c r="M21" s="11" t="n"/>
    </row>
    <row r="22" ht="22" customHeight="1">
      <c r="B22" s="17">
        <f>IF(C22="","IA-"&amp;TEXT(COUNTA($C$5:C22),"000"))</f>
        <v/>
      </c>
      <c r="C22" s="14" t="n"/>
      <c r="D22" s="14" t="n"/>
      <c r="E22" s="14" t="n"/>
      <c r="F22" s="14" t="n"/>
      <c r="G22" s="14" t="n"/>
      <c r="H22" s="32" t="n"/>
      <c r="I22" s="15" t="n"/>
      <c r="J22" s="35" t="n"/>
      <c r="K22" s="15" t="n"/>
      <c r="L22" s="14" t="n"/>
      <c r="M22" s="14" t="n"/>
    </row>
    <row r="23" ht="22" customHeight="1">
      <c r="B23" s="18">
        <f>IF(C23="","IA-"&amp;TEXT(COUNTA($C$5:C23),"000"))</f>
        <v/>
      </c>
      <c r="C23" s="11" t="n"/>
      <c r="D23" s="11" t="n"/>
      <c r="E23" s="11" t="n"/>
      <c r="F23" s="11" t="n"/>
      <c r="G23" s="11" t="n"/>
      <c r="H23" s="31" t="n"/>
      <c r="I23" s="12" t="n"/>
      <c r="J23" s="33" t="n"/>
      <c r="K23" s="12" t="n"/>
      <c r="L23" s="11" t="n"/>
      <c r="M23" s="11" t="n"/>
    </row>
    <row r="24" ht="22" customHeight="1">
      <c r="B24" s="17">
        <f>IF(C24="","IA-"&amp;TEXT(COUNTA($C$5:C24),"000"))</f>
        <v/>
      </c>
      <c r="C24" s="14" t="n"/>
      <c r="D24" s="14" t="n"/>
      <c r="E24" s="14" t="n"/>
      <c r="F24" s="14" t="n"/>
      <c r="G24" s="14" t="n"/>
      <c r="H24" s="32" t="n"/>
      <c r="I24" s="15" t="n"/>
      <c r="J24" s="35" t="n"/>
      <c r="K24" s="15" t="n"/>
      <c r="L24" s="14" t="n"/>
      <c r="M24" s="14" t="n"/>
    </row>
    <row r="25" ht="22" customHeight="1">
      <c r="B25" s="18">
        <f>IF(C25="","IA-"&amp;TEXT(COUNTA($C$5:C25),"000"))</f>
        <v/>
      </c>
      <c r="C25" s="11" t="n"/>
      <c r="D25" s="11" t="n"/>
      <c r="E25" s="11" t="n"/>
      <c r="F25" s="11" t="n"/>
      <c r="G25" s="11" t="n"/>
      <c r="H25" s="31" t="n"/>
      <c r="I25" s="12" t="n"/>
      <c r="J25" s="33" t="n"/>
      <c r="K25" s="12" t="n"/>
      <c r="L25" s="11" t="n"/>
      <c r="M25" s="11" t="n"/>
    </row>
    <row r="26" ht="22" customHeight="1">
      <c r="B26" s="17">
        <f>IF(C26="","IA-"&amp;TEXT(COUNTA($C$5:C26),"000"))</f>
        <v/>
      </c>
      <c r="C26" s="14" t="n"/>
      <c r="D26" s="14" t="n"/>
      <c r="E26" s="14" t="n"/>
      <c r="F26" s="14" t="n"/>
      <c r="G26" s="14" t="n"/>
      <c r="H26" s="32" t="n"/>
      <c r="I26" s="15" t="n"/>
      <c r="J26" s="35" t="n"/>
      <c r="K26" s="15" t="n"/>
      <c r="L26" s="14" t="n"/>
      <c r="M26" s="14" t="n"/>
    </row>
    <row r="27" ht="22" customHeight="1">
      <c r="B27" s="18">
        <f>IF(C27="","IA-"&amp;TEXT(COUNTA($C$5:C27),"000"))</f>
        <v/>
      </c>
      <c r="C27" s="11" t="n"/>
      <c r="D27" s="11" t="n"/>
      <c r="E27" s="11" t="n"/>
      <c r="F27" s="11" t="n"/>
      <c r="G27" s="11" t="n"/>
      <c r="H27" s="31" t="n"/>
      <c r="I27" s="12" t="n"/>
      <c r="J27" s="33" t="n"/>
      <c r="K27" s="12" t="n"/>
      <c r="L27" s="11" t="n"/>
      <c r="M27" s="11" t="n"/>
    </row>
    <row r="28" ht="22" customHeight="1">
      <c r="B28" s="17">
        <f>IF(C28="","IA-"&amp;TEXT(COUNTA($C$5:C28),"000"))</f>
        <v/>
      </c>
      <c r="C28" s="14" t="n"/>
      <c r="D28" s="14" t="n"/>
      <c r="E28" s="14" t="n"/>
      <c r="F28" s="14" t="n"/>
      <c r="G28" s="14" t="n"/>
      <c r="H28" s="32" t="n"/>
      <c r="I28" s="15" t="n"/>
      <c r="J28" s="35" t="n"/>
      <c r="K28" s="15" t="n"/>
      <c r="L28" s="14" t="n"/>
      <c r="M28" s="14" t="n"/>
    </row>
    <row r="29" ht="22" customHeight="1">
      <c r="B29" s="18">
        <f>IF(C29="","IA-"&amp;TEXT(COUNTA($C$5:C29),"000"))</f>
        <v/>
      </c>
      <c r="C29" s="11" t="n"/>
      <c r="D29" s="11" t="n"/>
      <c r="E29" s="11" t="n"/>
      <c r="F29" s="11" t="n"/>
      <c r="G29" s="11" t="n"/>
      <c r="H29" s="31" t="n"/>
      <c r="I29" s="12" t="n"/>
      <c r="J29" s="33" t="n"/>
      <c r="K29" s="12" t="n"/>
      <c r="L29" s="11" t="n"/>
      <c r="M29" s="11" t="n"/>
    </row>
    <row r="30" ht="22" customHeight="1">
      <c r="B30" s="17">
        <f>IF(C30="","IA-"&amp;TEXT(COUNTA($C$5:C30),"000"))</f>
        <v/>
      </c>
      <c r="C30" s="14" t="n"/>
      <c r="D30" s="14" t="n"/>
      <c r="E30" s="14" t="n"/>
      <c r="F30" s="14" t="n"/>
      <c r="G30" s="14" t="n"/>
      <c r="H30" s="32" t="n"/>
      <c r="I30" s="15" t="n"/>
      <c r="J30" s="35" t="n"/>
      <c r="K30" s="15" t="n"/>
      <c r="L30" s="14" t="n"/>
      <c r="M30" s="14" t="n"/>
    </row>
    <row r="31" ht="22" customHeight="1">
      <c r="B31" s="18">
        <f>IF(C31="","IA-"&amp;TEXT(COUNTA($C$5:C31),"000"))</f>
        <v/>
      </c>
      <c r="C31" s="11" t="n"/>
      <c r="D31" s="11" t="n"/>
      <c r="E31" s="11" t="n"/>
      <c r="F31" s="11" t="n"/>
      <c r="G31" s="11" t="n"/>
      <c r="H31" s="31" t="n"/>
      <c r="I31" s="12" t="n"/>
      <c r="J31" s="33" t="n"/>
      <c r="K31" s="12" t="n"/>
      <c r="L31" s="11" t="n"/>
      <c r="M31" s="11" t="n"/>
    </row>
    <row r="32" ht="22" customHeight="1">
      <c r="B32" s="17">
        <f>IF(C32="","IA-"&amp;TEXT(COUNTA($C$5:C32),"000"))</f>
        <v/>
      </c>
      <c r="C32" s="14" t="n"/>
      <c r="D32" s="14" t="n"/>
      <c r="E32" s="14" t="n"/>
      <c r="F32" s="14" t="n"/>
      <c r="G32" s="14" t="n"/>
      <c r="H32" s="32" t="n"/>
      <c r="I32" s="15" t="n"/>
      <c r="J32" s="35" t="n"/>
      <c r="K32" s="15" t="n"/>
      <c r="L32" s="14" t="n"/>
      <c r="M32" s="14" t="n"/>
    </row>
    <row r="33" ht="22" customHeight="1">
      <c r="B33" s="18">
        <f>IF(C33="","IA-"&amp;TEXT(COUNTA($C$5:C33),"000"))</f>
        <v/>
      </c>
      <c r="C33" s="11" t="n"/>
      <c r="D33" s="11" t="n"/>
      <c r="E33" s="11" t="n"/>
      <c r="F33" s="11" t="n"/>
      <c r="G33" s="11" t="n"/>
      <c r="H33" s="31" t="n"/>
      <c r="I33" s="12" t="n"/>
      <c r="J33" s="33" t="n"/>
      <c r="K33" s="12" t="n"/>
      <c r="L33" s="11" t="n"/>
      <c r="M33" s="11" t="n"/>
    </row>
    <row r="34" ht="22" customHeight="1">
      <c r="B34" s="17">
        <f>IF(C34="","IA-"&amp;TEXT(COUNTA($C$5:C34),"000"))</f>
        <v/>
      </c>
      <c r="C34" s="14" t="n"/>
      <c r="D34" s="14" t="n"/>
      <c r="E34" s="14" t="n"/>
      <c r="F34" s="14" t="n"/>
      <c r="G34" s="14" t="n"/>
      <c r="H34" s="32" t="n"/>
      <c r="I34" s="15" t="n"/>
      <c r="J34" s="35" t="n"/>
      <c r="K34" s="15" t="n"/>
      <c r="L34" s="14" t="n"/>
      <c r="M34" s="14" t="n"/>
    </row>
    <row r="35" ht="22" customHeight="1">
      <c r="B35" s="18">
        <f>IF(C35="","IA-"&amp;TEXT(COUNTA($C$5:C35),"000"))</f>
        <v/>
      </c>
      <c r="C35" s="11" t="n"/>
      <c r="D35" s="11" t="n"/>
      <c r="E35" s="11" t="n"/>
      <c r="F35" s="11" t="n"/>
      <c r="G35" s="11" t="n"/>
      <c r="H35" s="31" t="n"/>
      <c r="I35" s="12" t="n"/>
      <c r="J35" s="33" t="n"/>
      <c r="K35" s="12" t="n"/>
      <c r="L35" s="11" t="n"/>
      <c r="M35" s="11" t="n"/>
    </row>
    <row r="36" ht="22" customHeight="1">
      <c r="B36" s="17">
        <f>IF(C36="","IA-"&amp;TEXT(COUNTA($C$5:C36),"000"))</f>
        <v/>
      </c>
      <c r="C36" s="14" t="n"/>
      <c r="D36" s="14" t="n"/>
      <c r="E36" s="14" t="n"/>
      <c r="F36" s="14" t="n"/>
      <c r="G36" s="14" t="n"/>
      <c r="H36" s="32" t="n"/>
      <c r="I36" s="15" t="n"/>
      <c r="J36" s="35" t="n"/>
      <c r="K36" s="15" t="n"/>
      <c r="L36" s="14" t="n"/>
      <c r="M36" s="14" t="n"/>
    </row>
    <row r="37" ht="22" customHeight="1">
      <c r="B37" s="18">
        <f>IF(C37="","IA-"&amp;TEXT(COUNTA($C$5:C37),"000"))</f>
        <v/>
      </c>
      <c r="C37" s="11" t="n"/>
      <c r="D37" s="11" t="n"/>
      <c r="E37" s="11" t="n"/>
      <c r="F37" s="11" t="n"/>
      <c r="G37" s="11" t="n"/>
      <c r="H37" s="31" t="n"/>
      <c r="I37" s="12" t="n"/>
      <c r="J37" s="33" t="n"/>
      <c r="K37" s="12" t="n"/>
      <c r="L37" s="11" t="n"/>
      <c r="M37" s="11" t="n"/>
    </row>
    <row r="38" ht="22" customHeight="1">
      <c r="B38" s="17">
        <f>IF(C38="","IA-"&amp;TEXT(COUNTA($C$5:C38),"000"))</f>
        <v/>
      </c>
      <c r="C38" s="14" t="n"/>
      <c r="D38" s="14" t="n"/>
      <c r="E38" s="14" t="n"/>
      <c r="F38" s="14" t="n"/>
      <c r="G38" s="14" t="n"/>
      <c r="H38" s="32" t="n"/>
      <c r="I38" s="15" t="n"/>
      <c r="J38" s="35" t="n"/>
      <c r="K38" s="15" t="n"/>
      <c r="L38" s="14" t="n"/>
      <c r="M38" s="14" t="n"/>
    </row>
    <row r="39" ht="22" customHeight="1">
      <c r="B39" s="18">
        <f>IF(C39="","IA-"&amp;TEXT(COUNTA($C$5:C39),"000"))</f>
        <v/>
      </c>
      <c r="C39" s="11" t="n"/>
      <c r="D39" s="11" t="n"/>
      <c r="E39" s="11" t="n"/>
      <c r="F39" s="11" t="n"/>
      <c r="G39" s="11" t="n"/>
      <c r="H39" s="31" t="n"/>
      <c r="I39" s="12" t="n"/>
      <c r="J39" s="33" t="n"/>
      <c r="K39" s="12" t="n"/>
      <c r="L39" s="11" t="n"/>
      <c r="M39" s="11" t="n"/>
    </row>
    <row r="40" ht="22" customHeight="1">
      <c r="B40" s="17">
        <f>IF(C40="","IA-"&amp;TEXT(COUNTA($C$5:C40),"000"))</f>
        <v/>
      </c>
      <c r="C40" s="14" t="n"/>
      <c r="D40" s="14" t="n"/>
      <c r="E40" s="14" t="n"/>
      <c r="F40" s="14" t="n"/>
      <c r="G40" s="14" t="n"/>
      <c r="H40" s="32" t="n"/>
      <c r="I40" s="15" t="n"/>
      <c r="J40" s="35" t="n"/>
      <c r="K40" s="15" t="n"/>
      <c r="L40" s="14" t="n"/>
      <c r="M40" s="14" t="n"/>
    </row>
    <row r="41" ht="22" customHeight="1">
      <c r="B41" s="18">
        <f>IF(C41="","IA-"&amp;TEXT(COUNTA($C$5:C41),"000"))</f>
        <v/>
      </c>
      <c r="C41" s="11" t="n"/>
      <c r="D41" s="11" t="n"/>
      <c r="E41" s="11" t="n"/>
      <c r="F41" s="11" t="n"/>
      <c r="G41" s="11" t="n"/>
      <c r="H41" s="31" t="n"/>
      <c r="I41" s="12" t="n"/>
      <c r="J41" s="33" t="n"/>
      <c r="K41" s="12" t="n"/>
      <c r="L41" s="11" t="n"/>
      <c r="M41" s="11" t="n"/>
    </row>
    <row r="42" ht="22" customHeight="1">
      <c r="B42" s="17">
        <f>IF(C42="","IA-"&amp;TEXT(COUNTA($C$5:C42),"000"))</f>
        <v/>
      </c>
      <c r="C42" s="14" t="n"/>
      <c r="D42" s="14" t="n"/>
      <c r="E42" s="14" t="n"/>
      <c r="F42" s="14" t="n"/>
      <c r="G42" s="14" t="n"/>
      <c r="H42" s="32" t="n"/>
      <c r="I42" s="15" t="n"/>
      <c r="J42" s="35" t="n"/>
      <c r="K42" s="15" t="n"/>
      <c r="L42" s="14" t="n"/>
      <c r="M42" s="14" t="n"/>
    </row>
    <row r="43" ht="22" customHeight="1">
      <c r="B43" s="18">
        <f>IF(C43="","IA-"&amp;TEXT(COUNTA($C$5:C43),"000"))</f>
        <v/>
      </c>
      <c r="C43" s="11" t="n"/>
      <c r="D43" s="11" t="n"/>
      <c r="E43" s="11" t="n"/>
      <c r="F43" s="11" t="n"/>
      <c r="G43" s="11" t="n"/>
      <c r="H43" s="31" t="n"/>
      <c r="I43" s="12" t="n"/>
      <c r="J43" s="33" t="n"/>
      <c r="K43" s="12" t="n"/>
      <c r="L43" s="11" t="n"/>
      <c r="M43" s="11" t="n"/>
    </row>
    <row r="44" ht="22" customHeight="1">
      <c r="B44" s="17">
        <f>IF(C44="","IA-"&amp;TEXT(COUNTA($C$5:C44),"000"))</f>
        <v/>
      </c>
      <c r="C44" s="14" t="n"/>
      <c r="D44" s="14" t="n"/>
      <c r="E44" s="14" t="n"/>
      <c r="F44" s="14" t="n"/>
      <c r="G44" s="14" t="n"/>
      <c r="H44" s="32" t="n"/>
      <c r="I44" s="15" t="n"/>
      <c r="J44" s="35" t="n"/>
      <c r="K44" s="15" t="n"/>
      <c r="L44" s="14" t="n"/>
      <c r="M44" s="14" t="n"/>
    </row>
    <row r="45" ht="22" customHeight="1">
      <c r="B45" s="18">
        <f>IF(C45="","IA-"&amp;TEXT(COUNTA($C$5:C45),"000"))</f>
        <v/>
      </c>
      <c r="C45" s="11" t="n"/>
      <c r="D45" s="11" t="n"/>
      <c r="E45" s="11" t="n"/>
      <c r="F45" s="11" t="n"/>
      <c r="G45" s="11" t="n"/>
      <c r="H45" s="31" t="n"/>
      <c r="I45" s="12" t="n"/>
      <c r="J45" s="33" t="n"/>
      <c r="K45" s="12" t="n"/>
      <c r="L45" s="11" t="n"/>
      <c r="M45" s="11" t="n"/>
    </row>
    <row r="46" ht="22" customHeight="1">
      <c r="B46" s="17">
        <f>IF(C46="","IA-"&amp;TEXT(COUNTA($C$5:C46),"000"))</f>
        <v/>
      </c>
      <c r="C46" s="14" t="n"/>
      <c r="D46" s="14" t="n"/>
      <c r="E46" s="14" t="n"/>
      <c r="F46" s="14" t="n"/>
      <c r="G46" s="14" t="n"/>
      <c r="H46" s="32" t="n"/>
      <c r="I46" s="15" t="n"/>
      <c r="J46" s="35" t="n"/>
      <c r="K46" s="15" t="n"/>
      <c r="L46" s="14" t="n"/>
      <c r="M46" s="14" t="n"/>
    </row>
    <row r="47" ht="22" customHeight="1">
      <c r="B47" s="18">
        <f>IF(C47="","IA-"&amp;TEXT(COUNTA($C$5:C47),"000"))</f>
        <v/>
      </c>
      <c r="C47" s="11" t="n"/>
      <c r="D47" s="11" t="n"/>
      <c r="E47" s="11" t="n"/>
      <c r="F47" s="11" t="n"/>
      <c r="G47" s="11" t="n"/>
      <c r="H47" s="31" t="n"/>
      <c r="I47" s="12" t="n"/>
      <c r="J47" s="33" t="n"/>
      <c r="K47" s="12" t="n"/>
      <c r="L47" s="11" t="n"/>
      <c r="M47" s="11" t="n"/>
    </row>
    <row r="48" ht="22" customHeight="1">
      <c r="B48" s="17">
        <f>IF(C48="","IA-"&amp;TEXT(COUNTA($C$5:C48),"000"))</f>
        <v/>
      </c>
      <c r="C48" s="14" t="n"/>
      <c r="D48" s="14" t="n"/>
      <c r="E48" s="14" t="n"/>
      <c r="F48" s="14" t="n"/>
      <c r="G48" s="14" t="n"/>
      <c r="H48" s="32" t="n"/>
      <c r="I48" s="15" t="n"/>
      <c r="J48" s="35" t="n"/>
      <c r="K48" s="15" t="n"/>
      <c r="L48" s="14" t="n"/>
      <c r="M48" s="14" t="n"/>
    </row>
    <row r="49" ht="22" customHeight="1">
      <c r="B49" s="18">
        <f>IF(C49="","IA-"&amp;TEXT(COUNTA($C$5:C49),"000"))</f>
        <v/>
      </c>
      <c r="C49" s="11" t="n"/>
      <c r="D49" s="11" t="n"/>
      <c r="E49" s="11" t="n"/>
      <c r="F49" s="11" t="n"/>
      <c r="G49" s="11" t="n"/>
      <c r="H49" s="31" t="n"/>
      <c r="I49" s="12" t="n"/>
      <c r="J49" s="33" t="n"/>
      <c r="K49" s="12" t="n"/>
      <c r="L49" s="11" t="n"/>
      <c r="M49" s="11" t="n"/>
    </row>
    <row r="50" ht="22" customHeight="1">
      <c r="B50" s="17">
        <f>IF(C50="","IA-"&amp;TEXT(COUNTA($C$5:C50),"000"))</f>
        <v/>
      </c>
      <c r="C50" s="14" t="n"/>
      <c r="D50" s="14" t="n"/>
      <c r="E50" s="14" t="n"/>
      <c r="F50" s="14" t="n"/>
      <c r="G50" s="14" t="n"/>
      <c r="H50" s="32" t="n"/>
      <c r="I50" s="15" t="n"/>
      <c r="J50" s="35" t="n"/>
      <c r="K50" s="15" t="n"/>
      <c r="L50" s="14" t="n"/>
      <c r="M50" s="14" t="n"/>
    </row>
    <row r="51" ht="22" customHeight="1">
      <c r="B51" s="18">
        <f>IF(C51="","IA-"&amp;TEXT(COUNTA($C$5:C51),"000"))</f>
        <v/>
      </c>
      <c r="C51" s="11" t="n"/>
      <c r="D51" s="11" t="n"/>
      <c r="E51" s="11" t="n"/>
      <c r="F51" s="11" t="n"/>
      <c r="G51" s="11" t="n"/>
      <c r="H51" s="31" t="n"/>
      <c r="I51" s="12" t="n"/>
      <c r="J51" s="33" t="n"/>
      <c r="K51" s="12" t="n"/>
      <c r="L51" s="11" t="n"/>
      <c r="M51" s="11" t="n"/>
    </row>
    <row r="52" ht="22" customHeight="1">
      <c r="B52" s="17">
        <f>IF(C52="","IA-"&amp;TEXT(COUNTA($C$5:C52),"000"))</f>
        <v/>
      </c>
      <c r="C52" s="14" t="n"/>
      <c r="D52" s="14" t="n"/>
      <c r="E52" s="14" t="n"/>
      <c r="F52" s="14" t="n"/>
      <c r="G52" s="14" t="n"/>
      <c r="H52" s="32" t="n"/>
      <c r="I52" s="15" t="n"/>
      <c r="J52" s="35" t="n"/>
      <c r="K52" s="15" t="n"/>
      <c r="L52" s="14" t="n"/>
      <c r="M52" s="14" t="n"/>
    </row>
    <row r="53" ht="22" customHeight="1">
      <c r="B53" s="18">
        <f>IF(C53="","IA-"&amp;TEXT(COUNTA($C$5:C53),"000"))</f>
        <v/>
      </c>
      <c r="C53" s="11" t="n"/>
      <c r="D53" s="11" t="n"/>
      <c r="E53" s="11" t="n"/>
      <c r="F53" s="11" t="n"/>
      <c r="G53" s="11" t="n"/>
      <c r="H53" s="31" t="n"/>
      <c r="I53" s="12" t="n"/>
      <c r="J53" s="33" t="n"/>
      <c r="K53" s="12" t="n"/>
      <c r="L53" s="11" t="n"/>
      <c r="M53" s="11" t="n"/>
    </row>
    <row r="54" ht="22" customHeight="1">
      <c r="B54" s="17">
        <f>IF(C54="","IA-"&amp;TEXT(COUNTA($C$5:C54),"000"))</f>
        <v/>
      </c>
      <c r="C54" s="14" t="n"/>
      <c r="D54" s="14" t="n"/>
      <c r="E54" s="14" t="n"/>
      <c r="F54" s="14" t="n"/>
      <c r="G54" s="14" t="n"/>
      <c r="H54" s="32" t="n"/>
      <c r="I54" s="15" t="n"/>
      <c r="J54" s="35" t="n"/>
      <c r="K54" s="15" t="n"/>
      <c r="L54" s="14" t="n"/>
      <c r="M54" s="14" t="n"/>
    </row>
    <row r="55" ht="22" customHeight="1">
      <c r="B55" s="18">
        <f>IF(C55="","IA-"&amp;TEXT(COUNTA($C$5:C55),"000"))</f>
        <v/>
      </c>
      <c r="C55" s="11" t="n"/>
      <c r="D55" s="11" t="n"/>
      <c r="E55" s="11" t="n"/>
      <c r="F55" s="11" t="n"/>
      <c r="G55" s="11" t="n"/>
      <c r="H55" s="31" t="n"/>
      <c r="I55" s="12" t="n"/>
      <c r="J55" s="33" t="n"/>
      <c r="K55" s="12" t="n"/>
      <c r="L55" s="11" t="n"/>
      <c r="M55" s="11" t="n"/>
    </row>
    <row r="56" ht="22" customHeight="1">
      <c r="B56" s="17">
        <f>IF(C56="","IA-"&amp;TEXT(COUNTA($C$5:C56),"000"))</f>
        <v/>
      </c>
      <c r="C56" s="14" t="n"/>
      <c r="D56" s="14" t="n"/>
      <c r="E56" s="14" t="n"/>
      <c r="F56" s="14" t="n"/>
      <c r="G56" s="14" t="n"/>
      <c r="H56" s="32" t="n"/>
      <c r="I56" s="15" t="n"/>
      <c r="J56" s="35" t="n"/>
      <c r="K56" s="15" t="n"/>
      <c r="L56" s="14" t="n"/>
      <c r="M56" s="14" t="n"/>
    </row>
    <row r="57" ht="22" customHeight="1">
      <c r="B57" s="18">
        <f>IF(C57="","IA-"&amp;TEXT(COUNTA($C$5:C57),"000"))</f>
        <v/>
      </c>
      <c r="C57" s="11" t="n"/>
      <c r="D57" s="11" t="n"/>
      <c r="E57" s="11" t="n"/>
      <c r="F57" s="11" t="n"/>
      <c r="G57" s="11" t="n"/>
      <c r="H57" s="31" t="n"/>
      <c r="I57" s="12" t="n"/>
      <c r="J57" s="33" t="n"/>
      <c r="K57" s="12" t="n"/>
      <c r="L57" s="11" t="n"/>
      <c r="M57" s="11" t="n"/>
    </row>
    <row r="58" ht="22" customHeight="1">
      <c r="B58" s="17">
        <f>IF(C58="","IA-"&amp;TEXT(COUNTA($C$5:C58),"000"))</f>
        <v/>
      </c>
      <c r="C58" s="14" t="n"/>
      <c r="D58" s="14" t="n"/>
      <c r="E58" s="14" t="n"/>
      <c r="F58" s="14" t="n"/>
      <c r="G58" s="14" t="n"/>
      <c r="H58" s="32" t="n"/>
      <c r="I58" s="15" t="n"/>
      <c r="J58" s="35" t="n"/>
      <c r="K58" s="15" t="n"/>
      <c r="L58" s="14" t="n"/>
      <c r="M58" s="14" t="n"/>
    </row>
    <row r="59" ht="22" customHeight="1">
      <c r="B59" s="18">
        <f>IF(C59="","IA-"&amp;TEXT(COUNTA($C$5:C59),"000"))</f>
        <v/>
      </c>
      <c r="C59" s="11" t="n"/>
      <c r="D59" s="11" t="n"/>
      <c r="E59" s="11" t="n"/>
      <c r="F59" s="11" t="n"/>
      <c r="G59" s="11" t="n"/>
      <c r="H59" s="31" t="n"/>
      <c r="I59" s="12" t="n"/>
      <c r="J59" s="33" t="n"/>
      <c r="K59" s="12" t="n"/>
      <c r="L59" s="11" t="n"/>
      <c r="M59" s="11" t="n"/>
    </row>
    <row r="60" ht="22" customHeight="1">
      <c r="B60" s="17">
        <f>IF(C60="","IA-"&amp;TEXT(COUNTA($C$5:C60),"000"))</f>
        <v/>
      </c>
      <c r="C60" s="14" t="n"/>
      <c r="D60" s="14" t="n"/>
      <c r="E60" s="14" t="n"/>
      <c r="F60" s="14" t="n"/>
      <c r="G60" s="14" t="n"/>
      <c r="H60" s="32" t="n"/>
      <c r="I60" s="15" t="n"/>
      <c r="J60" s="35" t="n"/>
      <c r="K60" s="15" t="n"/>
      <c r="L60" s="14" t="n"/>
      <c r="M60" s="14" t="n"/>
    </row>
    <row r="61" ht="22" customHeight="1">
      <c r="B61" s="18">
        <f>IF(C61="","IA-"&amp;TEXT(COUNTA($C$5:C61),"000"))</f>
        <v/>
      </c>
      <c r="C61" s="11" t="n"/>
      <c r="D61" s="11" t="n"/>
      <c r="E61" s="11" t="n"/>
      <c r="F61" s="11" t="n"/>
      <c r="G61" s="11" t="n"/>
      <c r="H61" s="31" t="n"/>
      <c r="I61" s="12" t="n"/>
      <c r="J61" s="33" t="n"/>
      <c r="K61" s="12" t="n"/>
      <c r="L61" s="11" t="n"/>
      <c r="M61" s="11" t="n"/>
    </row>
    <row r="62" ht="22" customHeight="1">
      <c r="B62" s="17">
        <f>IF(C62="","IA-"&amp;TEXT(COUNTA($C$5:C62),"000"))</f>
        <v/>
      </c>
      <c r="C62" s="14" t="n"/>
      <c r="D62" s="14" t="n"/>
      <c r="E62" s="14" t="n"/>
      <c r="F62" s="14" t="n"/>
      <c r="G62" s="14" t="n"/>
      <c r="H62" s="32" t="n"/>
      <c r="I62" s="15" t="n"/>
      <c r="J62" s="35" t="n"/>
      <c r="K62" s="15" t="n"/>
      <c r="L62" s="14" t="n"/>
      <c r="M62" s="14" t="n"/>
    </row>
    <row r="63" ht="22" customHeight="1">
      <c r="B63" s="18">
        <f>IF(C63="","IA-"&amp;TEXT(COUNTA($C$5:C63),"000"))</f>
        <v/>
      </c>
      <c r="C63" s="11" t="n"/>
      <c r="D63" s="11" t="n"/>
      <c r="E63" s="11" t="n"/>
      <c r="F63" s="11" t="n"/>
      <c r="G63" s="11" t="n"/>
      <c r="H63" s="31" t="n"/>
      <c r="I63" s="12" t="n"/>
      <c r="J63" s="33" t="n"/>
      <c r="K63" s="12" t="n"/>
      <c r="L63" s="11" t="n"/>
      <c r="M63" s="11" t="n"/>
    </row>
    <row r="64" ht="22" customHeight="1">
      <c r="B64" s="17">
        <f>IF(C64="","IA-"&amp;TEXT(COUNTA($C$5:C64),"000"))</f>
        <v/>
      </c>
      <c r="C64" s="14" t="n"/>
      <c r="D64" s="14" t="n"/>
      <c r="E64" s="14" t="n"/>
      <c r="F64" s="14" t="n"/>
      <c r="G64" s="14" t="n"/>
      <c r="H64" s="32" t="n"/>
      <c r="I64" s="15" t="n"/>
      <c r="J64" s="35" t="n"/>
      <c r="K64" s="15" t="n"/>
      <c r="L64" s="14" t="n"/>
      <c r="M64" s="14" t="n"/>
    </row>
    <row r="65" ht="22" customHeight="1">
      <c r="B65" s="18">
        <f>IF(C65="","IA-"&amp;TEXT(COUNTA($C$5:C65),"000"))</f>
        <v/>
      </c>
      <c r="C65" s="11" t="n"/>
      <c r="D65" s="11" t="n"/>
      <c r="E65" s="11" t="n"/>
      <c r="F65" s="11" t="n"/>
      <c r="G65" s="11" t="n"/>
      <c r="H65" s="31" t="n"/>
      <c r="I65" s="12" t="n"/>
      <c r="J65" s="33" t="n"/>
      <c r="K65" s="12" t="n"/>
      <c r="L65" s="11" t="n"/>
      <c r="M65" s="11" t="n"/>
    </row>
    <row r="66" ht="22" customHeight="1">
      <c r="B66" s="17">
        <f>IF(C66="","IA-"&amp;TEXT(COUNTA($C$5:C66),"000"))</f>
        <v/>
      </c>
      <c r="C66" s="14" t="n"/>
      <c r="D66" s="14" t="n"/>
      <c r="E66" s="14" t="n"/>
      <c r="F66" s="14" t="n"/>
      <c r="G66" s="14" t="n"/>
      <c r="H66" s="32" t="n"/>
      <c r="I66" s="15" t="n"/>
      <c r="J66" s="35" t="n"/>
      <c r="K66" s="15" t="n"/>
      <c r="L66" s="14" t="n"/>
      <c r="M66" s="14" t="n"/>
    </row>
    <row r="67" ht="22" customHeight="1">
      <c r="B67" s="18">
        <f>IF(C67="","IA-"&amp;TEXT(COUNTA($C$5:C67),"000"))</f>
        <v/>
      </c>
      <c r="C67" s="11" t="n"/>
      <c r="D67" s="11" t="n"/>
      <c r="E67" s="11" t="n"/>
      <c r="F67" s="11" t="n"/>
      <c r="G67" s="11" t="n"/>
      <c r="H67" s="31" t="n"/>
      <c r="I67" s="12" t="n"/>
      <c r="J67" s="33" t="n"/>
      <c r="K67" s="12" t="n"/>
      <c r="L67" s="11" t="n"/>
      <c r="M67" s="11" t="n"/>
    </row>
    <row r="68" ht="22" customHeight="1">
      <c r="B68" s="17">
        <f>IF(C68="","IA-"&amp;TEXT(COUNTA($C$5:C68),"000"))</f>
        <v/>
      </c>
      <c r="C68" s="14" t="n"/>
      <c r="D68" s="14" t="n"/>
      <c r="E68" s="14" t="n"/>
      <c r="F68" s="14" t="n"/>
      <c r="G68" s="14" t="n"/>
      <c r="H68" s="32" t="n"/>
      <c r="I68" s="15" t="n"/>
      <c r="J68" s="35" t="n"/>
      <c r="K68" s="15" t="n"/>
      <c r="L68" s="14" t="n"/>
      <c r="M68" s="14" t="n"/>
    </row>
    <row r="69" ht="22" customHeight="1">
      <c r="B69" s="18">
        <f>IF(C69="","IA-"&amp;TEXT(COUNTA($C$5:C69),"000"))</f>
        <v/>
      </c>
      <c r="C69" s="11" t="n"/>
      <c r="D69" s="11" t="n"/>
      <c r="E69" s="11" t="n"/>
      <c r="F69" s="11" t="n"/>
      <c r="G69" s="11" t="n"/>
      <c r="H69" s="31" t="n"/>
      <c r="I69" s="12" t="n"/>
      <c r="J69" s="33" t="n"/>
      <c r="K69" s="12" t="n"/>
      <c r="L69" s="11" t="n"/>
      <c r="M69" s="11" t="n"/>
    </row>
    <row r="70" ht="22" customHeight="1">
      <c r="B70" s="17">
        <f>IF(C70="","IA-"&amp;TEXT(COUNTA($C$5:C70),"000"))</f>
        <v/>
      </c>
      <c r="C70" s="14" t="n"/>
      <c r="D70" s="14" t="n"/>
      <c r="E70" s="14" t="n"/>
      <c r="F70" s="14" t="n"/>
      <c r="G70" s="14" t="n"/>
      <c r="H70" s="32" t="n"/>
      <c r="I70" s="15" t="n"/>
      <c r="J70" s="35" t="n"/>
      <c r="K70" s="15" t="n"/>
      <c r="L70" s="14" t="n"/>
      <c r="M70" s="14" t="n"/>
    </row>
    <row r="71" ht="22" customHeight="1">
      <c r="B71" s="18">
        <f>IF(C71="","IA-"&amp;TEXT(COUNTA($C$5:C71),"000"))</f>
        <v/>
      </c>
      <c r="C71" s="11" t="n"/>
      <c r="D71" s="11" t="n"/>
      <c r="E71" s="11" t="n"/>
      <c r="F71" s="11" t="n"/>
      <c r="G71" s="11" t="n"/>
      <c r="H71" s="31" t="n"/>
      <c r="I71" s="12" t="n"/>
      <c r="J71" s="33" t="n"/>
      <c r="K71" s="12" t="n"/>
      <c r="L71" s="11" t="n"/>
      <c r="M71" s="11" t="n"/>
    </row>
    <row r="72" ht="22" customHeight="1">
      <c r="B72" s="17">
        <f>IF(C72="","IA-"&amp;TEXT(COUNTA($C$5:C72),"000"))</f>
        <v/>
      </c>
      <c r="C72" s="14" t="n"/>
      <c r="D72" s="14" t="n"/>
      <c r="E72" s="14" t="n"/>
      <c r="F72" s="14" t="n"/>
      <c r="G72" s="14" t="n"/>
      <c r="H72" s="32" t="n"/>
      <c r="I72" s="15" t="n"/>
      <c r="J72" s="35" t="n"/>
      <c r="K72" s="15" t="n"/>
      <c r="L72" s="14" t="n"/>
      <c r="M72" s="14" t="n"/>
    </row>
    <row r="73" ht="22" customHeight="1">
      <c r="B73" s="18">
        <f>IF(C73="","IA-"&amp;TEXT(COUNTA($C$5:C73),"000"))</f>
        <v/>
      </c>
      <c r="C73" s="11" t="n"/>
      <c r="D73" s="11" t="n"/>
      <c r="E73" s="11" t="n"/>
      <c r="F73" s="11" t="n"/>
      <c r="G73" s="11" t="n"/>
      <c r="H73" s="31" t="n"/>
      <c r="I73" s="12" t="n"/>
      <c r="J73" s="33" t="n"/>
      <c r="K73" s="12" t="n"/>
      <c r="L73" s="11" t="n"/>
      <c r="M73" s="11" t="n"/>
    </row>
    <row r="74" ht="22" customHeight="1">
      <c r="B74" s="17">
        <f>IF(C74="","IA-"&amp;TEXT(COUNTA($C$5:C74),"000"))</f>
        <v/>
      </c>
      <c r="C74" s="14" t="n"/>
      <c r="D74" s="14" t="n"/>
      <c r="E74" s="14" t="n"/>
      <c r="F74" s="14" t="n"/>
      <c r="G74" s="14" t="n"/>
      <c r="H74" s="32" t="n"/>
      <c r="I74" s="15" t="n"/>
      <c r="J74" s="35" t="n"/>
      <c r="K74" s="15" t="n"/>
      <c r="L74" s="14" t="n"/>
      <c r="M74" s="14" t="n"/>
    </row>
    <row r="75" ht="22" customHeight="1">
      <c r="B75" s="18">
        <f>IF(C75="","IA-"&amp;TEXT(COUNTA($C$5:C75),"000"))</f>
        <v/>
      </c>
      <c r="C75" s="11" t="n"/>
      <c r="D75" s="11" t="n"/>
      <c r="E75" s="11" t="n"/>
      <c r="F75" s="11" t="n"/>
      <c r="G75" s="11" t="n"/>
      <c r="H75" s="31" t="n"/>
      <c r="I75" s="12" t="n"/>
      <c r="J75" s="33" t="n"/>
      <c r="K75" s="12" t="n"/>
      <c r="L75" s="11" t="n"/>
      <c r="M75" s="11" t="n"/>
    </row>
    <row r="76" ht="22" customHeight="1">
      <c r="B76" s="17">
        <f>IF(C76="","IA-"&amp;TEXT(COUNTA($C$5:C76),"000"))</f>
        <v/>
      </c>
      <c r="C76" s="14" t="n"/>
      <c r="D76" s="14" t="n"/>
      <c r="E76" s="14" t="n"/>
      <c r="F76" s="14" t="n"/>
      <c r="G76" s="14" t="n"/>
      <c r="H76" s="32" t="n"/>
      <c r="I76" s="15" t="n"/>
      <c r="J76" s="35" t="n"/>
      <c r="K76" s="15" t="n"/>
      <c r="L76" s="14" t="n"/>
      <c r="M76" s="14" t="n"/>
    </row>
    <row r="77" ht="22" customHeight="1">
      <c r="B77" s="18">
        <f>IF(C77="","IA-"&amp;TEXT(COUNTA($C$5:C77),"000"))</f>
        <v/>
      </c>
      <c r="C77" s="11" t="n"/>
      <c r="D77" s="11" t="n"/>
      <c r="E77" s="11" t="n"/>
      <c r="F77" s="11" t="n"/>
      <c r="G77" s="11" t="n"/>
      <c r="H77" s="31" t="n"/>
      <c r="I77" s="12" t="n"/>
      <c r="J77" s="33" t="n"/>
      <c r="K77" s="12" t="n"/>
      <c r="L77" s="11" t="n"/>
      <c r="M77" s="11" t="n"/>
    </row>
    <row r="78" ht="22" customHeight="1">
      <c r="B78" s="17">
        <f>IF(C78="","IA-"&amp;TEXT(COUNTA($C$5:C78),"000"))</f>
        <v/>
      </c>
      <c r="C78" s="14" t="n"/>
      <c r="D78" s="14" t="n"/>
      <c r="E78" s="14" t="n"/>
      <c r="F78" s="14" t="n"/>
      <c r="G78" s="14" t="n"/>
      <c r="H78" s="32" t="n"/>
      <c r="I78" s="15" t="n"/>
      <c r="J78" s="35" t="n"/>
      <c r="K78" s="15" t="n"/>
      <c r="L78" s="14" t="n"/>
      <c r="M78" s="14" t="n"/>
    </row>
    <row r="79" ht="22" customHeight="1">
      <c r="B79" s="18">
        <f>IF(C79="","IA-"&amp;TEXT(COUNTA($C$5:C79),"000"))</f>
        <v/>
      </c>
      <c r="C79" s="11" t="n"/>
      <c r="D79" s="11" t="n"/>
      <c r="E79" s="11" t="n"/>
      <c r="F79" s="11" t="n"/>
      <c r="G79" s="11" t="n"/>
      <c r="H79" s="31" t="n"/>
      <c r="I79" s="12" t="n"/>
      <c r="J79" s="33" t="n"/>
      <c r="K79" s="12" t="n"/>
      <c r="L79" s="11" t="n"/>
      <c r="M79" s="11" t="n"/>
    </row>
    <row r="80" ht="22" customHeight="1">
      <c r="B80" s="17">
        <f>IF(C80="","IA-"&amp;TEXT(COUNTA($C$5:C80),"000"))</f>
        <v/>
      </c>
      <c r="C80" s="14" t="n"/>
      <c r="D80" s="14" t="n"/>
      <c r="E80" s="14" t="n"/>
      <c r="F80" s="14" t="n"/>
      <c r="G80" s="14" t="n"/>
      <c r="H80" s="32" t="n"/>
      <c r="I80" s="15" t="n"/>
      <c r="J80" s="35" t="n"/>
      <c r="K80" s="15" t="n"/>
      <c r="L80" s="14" t="n"/>
      <c r="M80" s="14" t="n"/>
    </row>
    <row r="81" ht="22" customHeight="1">
      <c r="B81" s="18">
        <f>IF(C81="","IA-"&amp;TEXT(COUNTA($C$5:C81),"000"))</f>
        <v/>
      </c>
      <c r="C81" s="11" t="n"/>
      <c r="D81" s="11" t="n"/>
      <c r="E81" s="11" t="n"/>
      <c r="F81" s="11" t="n"/>
      <c r="G81" s="11" t="n"/>
      <c r="H81" s="31" t="n"/>
      <c r="I81" s="12" t="n"/>
      <c r="J81" s="33" t="n"/>
      <c r="K81" s="12" t="n"/>
      <c r="L81" s="11" t="n"/>
      <c r="M81" s="11" t="n"/>
    </row>
    <row r="82" ht="22" customHeight="1">
      <c r="B82" s="17">
        <f>IF(C82="","IA-"&amp;TEXT(COUNTA($C$5:C82),"000"))</f>
        <v/>
      </c>
      <c r="C82" s="14" t="n"/>
      <c r="D82" s="14" t="n"/>
      <c r="E82" s="14" t="n"/>
      <c r="F82" s="14" t="n"/>
      <c r="G82" s="14" t="n"/>
      <c r="H82" s="32" t="n"/>
      <c r="I82" s="15" t="n"/>
      <c r="J82" s="35" t="n"/>
      <c r="K82" s="15" t="n"/>
      <c r="L82" s="14" t="n"/>
      <c r="M82" s="14" t="n"/>
    </row>
    <row r="83" ht="22" customHeight="1">
      <c r="B83" s="18">
        <f>IF(C83="","IA-"&amp;TEXT(COUNTA($C$5:C83),"000"))</f>
        <v/>
      </c>
      <c r="C83" s="11" t="n"/>
      <c r="D83" s="11" t="n"/>
      <c r="E83" s="11" t="n"/>
      <c r="F83" s="11" t="n"/>
      <c r="G83" s="11" t="n"/>
      <c r="H83" s="31" t="n"/>
      <c r="I83" s="12" t="n"/>
      <c r="J83" s="33" t="n"/>
      <c r="K83" s="12" t="n"/>
      <c r="L83" s="11" t="n"/>
      <c r="M83" s="11" t="n"/>
    </row>
    <row r="84" ht="22" customHeight="1">
      <c r="B84" s="17">
        <f>IF(C84="","IA-"&amp;TEXT(COUNTA($C$5:C84),"000"))</f>
        <v/>
      </c>
      <c r="C84" s="14" t="n"/>
      <c r="D84" s="14" t="n"/>
      <c r="E84" s="14" t="n"/>
      <c r="F84" s="14" t="n"/>
      <c r="G84" s="14" t="n"/>
      <c r="H84" s="32" t="n"/>
      <c r="I84" s="15" t="n"/>
      <c r="J84" s="35" t="n"/>
      <c r="K84" s="15" t="n"/>
      <c r="L84" s="14" t="n"/>
      <c r="M84" s="14" t="n"/>
    </row>
    <row r="85" ht="22" customHeight="1">
      <c r="B85" s="18">
        <f>IF(C85="","IA-"&amp;TEXT(COUNTA($C$5:C85),"000"))</f>
        <v/>
      </c>
      <c r="C85" s="11" t="n"/>
      <c r="D85" s="11" t="n"/>
      <c r="E85" s="11" t="n"/>
      <c r="F85" s="11" t="n"/>
      <c r="G85" s="11" t="n"/>
      <c r="H85" s="31" t="n"/>
      <c r="I85" s="12" t="n"/>
      <c r="J85" s="33" t="n"/>
      <c r="K85" s="12" t="n"/>
      <c r="L85" s="11" t="n"/>
      <c r="M85" s="11" t="n"/>
    </row>
    <row r="86" ht="22" customHeight="1">
      <c r="B86" s="17">
        <f>IF(C86="","IA-"&amp;TEXT(COUNTA($C$5:C86),"000"))</f>
        <v/>
      </c>
      <c r="C86" s="14" t="n"/>
      <c r="D86" s="14" t="n"/>
      <c r="E86" s="14" t="n"/>
      <c r="F86" s="14" t="n"/>
      <c r="G86" s="14" t="n"/>
      <c r="H86" s="32" t="n"/>
      <c r="I86" s="15" t="n"/>
      <c r="J86" s="35" t="n"/>
      <c r="K86" s="15" t="n"/>
      <c r="L86" s="14" t="n"/>
      <c r="M86" s="14" t="n"/>
    </row>
    <row r="87" ht="22" customHeight="1">
      <c r="B87" s="18">
        <f>IF(C87="","IA-"&amp;TEXT(COUNTA($C$5:C87),"000"))</f>
        <v/>
      </c>
      <c r="C87" s="11" t="n"/>
      <c r="D87" s="11" t="n"/>
      <c r="E87" s="11" t="n"/>
      <c r="F87" s="11" t="n"/>
      <c r="G87" s="11" t="n"/>
      <c r="H87" s="31" t="n"/>
      <c r="I87" s="12" t="n"/>
      <c r="J87" s="33" t="n"/>
      <c r="K87" s="12" t="n"/>
      <c r="L87" s="11" t="n"/>
      <c r="M87" s="11" t="n"/>
    </row>
    <row r="88" ht="22" customHeight="1">
      <c r="B88" s="17">
        <f>IF(C88="","IA-"&amp;TEXT(COUNTA($C$5:C88),"000"))</f>
        <v/>
      </c>
      <c r="C88" s="14" t="n"/>
      <c r="D88" s="14" t="n"/>
      <c r="E88" s="14" t="n"/>
      <c r="F88" s="14" t="n"/>
      <c r="G88" s="14" t="n"/>
      <c r="H88" s="32" t="n"/>
      <c r="I88" s="15" t="n"/>
      <c r="J88" s="35" t="n"/>
      <c r="K88" s="15" t="n"/>
      <c r="L88" s="14" t="n"/>
      <c r="M88" s="14" t="n"/>
    </row>
    <row r="89" ht="22" customHeight="1">
      <c r="B89" s="18">
        <f>IF(C89="","IA-"&amp;TEXT(COUNTA($C$5:C89),"000"))</f>
        <v/>
      </c>
      <c r="C89" s="11" t="n"/>
      <c r="D89" s="11" t="n"/>
      <c r="E89" s="11" t="n"/>
      <c r="F89" s="11" t="n"/>
      <c r="G89" s="11" t="n"/>
      <c r="H89" s="31" t="n"/>
      <c r="I89" s="12" t="n"/>
      <c r="J89" s="33" t="n"/>
      <c r="K89" s="12" t="n"/>
      <c r="L89" s="11" t="n"/>
      <c r="M89" s="11" t="n"/>
    </row>
    <row r="90" ht="22" customHeight="1">
      <c r="B90" s="17">
        <f>IF(C90="","IA-"&amp;TEXT(COUNTA($C$5:C90),"000"))</f>
        <v/>
      </c>
      <c r="C90" s="14" t="n"/>
      <c r="D90" s="14" t="n"/>
      <c r="E90" s="14" t="n"/>
      <c r="F90" s="14" t="n"/>
      <c r="G90" s="14" t="n"/>
      <c r="H90" s="32" t="n"/>
      <c r="I90" s="15" t="n"/>
      <c r="J90" s="35" t="n"/>
      <c r="K90" s="15" t="n"/>
      <c r="L90" s="14" t="n"/>
      <c r="M90" s="14" t="n"/>
    </row>
    <row r="91" ht="22" customHeight="1">
      <c r="B91" s="18">
        <f>IF(C91="","IA-"&amp;TEXT(COUNTA($C$5:C91),"000"))</f>
        <v/>
      </c>
      <c r="C91" s="11" t="n"/>
      <c r="D91" s="11" t="n"/>
      <c r="E91" s="11" t="n"/>
      <c r="F91" s="11" t="n"/>
      <c r="G91" s="11" t="n"/>
      <c r="H91" s="31" t="n"/>
      <c r="I91" s="12" t="n"/>
      <c r="J91" s="33" t="n"/>
      <c r="K91" s="12" t="n"/>
      <c r="L91" s="11" t="n"/>
      <c r="M91" s="11" t="n"/>
    </row>
    <row r="92" ht="22" customHeight="1">
      <c r="B92" s="17">
        <f>IF(C92="","IA-"&amp;TEXT(COUNTA($C$5:C92),"000"))</f>
        <v/>
      </c>
      <c r="C92" s="14" t="n"/>
      <c r="D92" s="14" t="n"/>
      <c r="E92" s="14" t="n"/>
      <c r="F92" s="14" t="n"/>
      <c r="G92" s="14" t="n"/>
      <c r="H92" s="32" t="n"/>
      <c r="I92" s="15" t="n"/>
      <c r="J92" s="35" t="n"/>
      <c r="K92" s="15" t="n"/>
      <c r="L92" s="14" t="n"/>
      <c r="M92" s="14" t="n"/>
    </row>
    <row r="93" ht="22" customHeight="1">
      <c r="B93" s="18">
        <f>IF(C93="","IA-"&amp;TEXT(COUNTA($C$5:C93),"000"))</f>
        <v/>
      </c>
      <c r="C93" s="11" t="n"/>
      <c r="D93" s="11" t="n"/>
      <c r="E93" s="11" t="n"/>
      <c r="F93" s="11" t="n"/>
      <c r="G93" s="11" t="n"/>
      <c r="H93" s="31" t="n"/>
      <c r="I93" s="12" t="n"/>
      <c r="J93" s="33" t="n"/>
      <c r="K93" s="12" t="n"/>
      <c r="L93" s="11" t="n"/>
      <c r="M93" s="11" t="n"/>
    </row>
    <row r="94" ht="22" customHeight="1">
      <c r="B94" s="17">
        <f>IF(C94="","IA-"&amp;TEXT(COUNTA($C$5:C94),"000"))</f>
        <v/>
      </c>
      <c r="C94" s="14" t="n"/>
      <c r="D94" s="14" t="n"/>
      <c r="E94" s="14" t="n"/>
      <c r="F94" s="14" t="n"/>
      <c r="G94" s="14" t="n"/>
      <c r="H94" s="32" t="n"/>
      <c r="I94" s="15" t="n"/>
      <c r="J94" s="35" t="n"/>
      <c r="K94" s="15" t="n"/>
      <c r="L94" s="14" t="n"/>
      <c r="M94" s="14" t="n"/>
    </row>
    <row r="95" ht="22" customHeight="1">
      <c r="B95" s="18">
        <f>IF(C95="","IA-"&amp;TEXT(COUNTA($C$5:C95),"000"))</f>
        <v/>
      </c>
      <c r="C95" s="11" t="n"/>
      <c r="D95" s="11" t="n"/>
      <c r="E95" s="11" t="n"/>
      <c r="F95" s="11" t="n"/>
      <c r="G95" s="11" t="n"/>
      <c r="H95" s="31" t="n"/>
      <c r="I95" s="12" t="n"/>
      <c r="J95" s="33" t="n"/>
      <c r="K95" s="12" t="n"/>
      <c r="L95" s="11" t="n"/>
      <c r="M95" s="11" t="n"/>
    </row>
    <row r="96" ht="22" customHeight="1">
      <c r="B96" s="17">
        <f>IF(C96="","IA-"&amp;TEXT(COUNTA($C$5:C96),"000"))</f>
        <v/>
      </c>
      <c r="C96" s="14" t="n"/>
      <c r="D96" s="14" t="n"/>
      <c r="E96" s="14" t="n"/>
      <c r="F96" s="14" t="n"/>
      <c r="G96" s="14" t="n"/>
      <c r="H96" s="32" t="n"/>
      <c r="I96" s="15" t="n"/>
      <c r="J96" s="35" t="n"/>
      <c r="K96" s="15" t="n"/>
      <c r="L96" s="14" t="n"/>
      <c r="M96" s="14" t="n"/>
    </row>
    <row r="97" ht="22" customHeight="1">
      <c r="B97" s="18">
        <f>IF(C97="","IA-"&amp;TEXT(COUNTA($C$5:C97),"000"))</f>
        <v/>
      </c>
      <c r="C97" s="11" t="n"/>
      <c r="D97" s="11" t="n"/>
      <c r="E97" s="11" t="n"/>
      <c r="F97" s="11" t="n"/>
      <c r="G97" s="11" t="n"/>
      <c r="H97" s="31" t="n"/>
      <c r="I97" s="12" t="n"/>
      <c r="J97" s="33" t="n"/>
      <c r="K97" s="12" t="n"/>
      <c r="L97" s="11" t="n"/>
      <c r="M97" s="11" t="n"/>
    </row>
    <row r="98" ht="22" customHeight="1">
      <c r="B98" s="17">
        <f>IF(C98="","IA-"&amp;TEXT(COUNTA($C$5:C98),"000"))</f>
        <v/>
      </c>
      <c r="C98" s="14" t="n"/>
      <c r="D98" s="14" t="n"/>
      <c r="E98" s="14" t="n"/>
      <c r="F98" s="14" t="n"/>
      <c r="G98" s="14" t="n"/>
      <c r="H98" s="32" t="n"/>
      <c r="I98" s="15" t="n"/>
      <c r="J98" s="35" t="n"/>
      <c r="K98" s="15" t="n"/>
      <c r="L98" s="14" t="n"/>
      <c r="M98" s="14" t="n"/>
    </row>
    <row r="99" ht="22" customHeight="1">
      <c r="B99" s="18">
        <f>IF(C99="","IA-"&amp;TEXT(COUNTA($C$5:C99),"000"))</f>
        <v/>
      </c>
      <c r="C99" s="11" t="n"/>
      <c r="D99" s="11" t="n"/>
      <c r="E99" s="11" t="n"/>
      <c r="F99" s="11" t="n"/>
      <c r="G99" s="11" t="n"/>
      <c r="H99" s="31" t="n"/>
      <c r="I99" s="12" t="n"/>
      <c r="J99" s="33" t="n"/>
      <c r="K99" s="12" t="n"/>
      <c r="L99" s="11" t="n"/>
      <c r="M99" s="11" t="n"/>
    </row>
    <row r="100" ht="22" customHeight="1">
      <c r="B100" s="17">
        <f>IF(C100="","IA-"&amp;TEXT(COUNTA($C$5:C100),"000"))</f>
        <v/>
      </c>
      <c r="C100" s="14" t="n"/>
      <c r="D100" s="14" t="n"/>
      <c r="E100" s="14" t="n"/>
      <c r="F100" s="14" t="n"/>
      <c r="G100" s="14" t="n"/>
      <c r="H100" s="32" t="n"/>
      <c r="I100" s="15" t="n"/>
      <c r="J100" s="35" t="n"/>
      <c r="K100" s="15" t="n"/>
      <c r="L100" s="14" t="n"/>
      <c r="M100" s="14" t="n"/>
    </row>
    <row r="101" ht="22" customHeight="1">
      <c r="B101" s="18">
        <f>IF(C101="","IA-"&amp;TEXT(COUNTA($C$5:C101),"000"))</f>
        <v/>
      </c>
      <c r="C101" s="11" t="n"/>
      <c r="D101" s="11" t="n"/>
      <c r="E101" s="11" t="n"/>
      <c r="F101" s="11" t="n"/>
      <c r="G101" s="11" t="n"/>
      <c r="H101" s="31" t="n"/>
      <c r="I101" s="12" t="n"/>
      <c r="J101" s="33" t="n"/>
      <c r="K101" s="12" t="n"/>
      <c r="L101" s="11" t="n"/>
      <c r="M101" s="11" t="n"/>
    </row>
    <row r="102" ht="22" customHeight="1">
      <c r="B102" s="17">
        <f>IF(C102="","IA-"&amp;TEXT(COUNTA($C$5:C102),"000"))</f>
        <v/>
      </c>
      <c r="C102" s="14" t="n"/>
      <c r="D102" s="14" t="n"/>
      <c r="E102" s="14" t="n"/>
      <c r="F102" s="14" t="n"/>
      <c r="G102" s="14" t="n"/>
      <c r="H102" s="32" t="n"/>
      <c r="I102" s="15" t="n"/>
      <c r="J102" s="35" t="n"/>
      <c r="K102" s="15" t="n"/>
      <c r="L102" s="14" t="n"/>
      <c r="M102" s="14" t="n"/>
    </row>
    <row r="103" ht="22" customHeight="1">
      <c r="B103" s="18">
        <f>IF(C103="","IA-"&amp;TEXT(COUNTA($C$5:C103),"000"))</f>
        <v/>
      </c>
      <c r="C103" s="11" t="n"/>
      <c r="D103" s="11" t="n"/>
      <c r="E103" s="11" t="n"/>
      <c r="F103" s="11" t="n"/>
      <c r="G103" s="11" t="n"/>
      <c r="H103" s="31" t="n"/>
      <c r="I103" s="12" t="n"/>
      <c r="J103" s="33" t="n"/>
      <c r="K103" s="12" t="n"/>
      <c r="L103" s="11" t="n"/>
      <c r="M103" s="11" t="n"/>
    </row>
    <row r="104" ht="22" customHeight="1">
      <c r="B104" s="17">
        <f>IF(C104="","IA-"&amp;TEXT(COUNTA($C$5:C104),"000"))</f>
        <v/>
      </c>
      <c r="C104" s="14" t="n"/>
      <c r="D104" s="14" t="n"/>
      <c r="E104" s="14" t="n"/>
      <c r="F104" s="14" t="n"/>
      <c r="G104" s="14" t="n"/>
      <c r="H104" s="32" t="n"/>
      <c r="I104" s="15" t="n"/>
      <c r="J104" s="35" t="n"/>
      <c r="K104" s="15" t="n"/>
      <c r="L104" s="14" t="n"/>
      <c r="M104" s="14" t="n"/>
    </row>
    <row r="105" ht="22" customHeight="1">
      <c r="B105" s="18">
        <f>IF(C105="","IA-"&amp;TEXT(COUNTA($C$5:C105),"000"))</f>
        <v/>
      </c>
      <c r="C105" s="11" t="n"/>
      <c r="D105" s="11" t="n"/>
      <c r="E105" s="11" t="n"/>
      <c r="F105" s="11" t="n"/>
      <c r="G105" s="11" t="n"/>
      <c r="H105" s="31" t="n"/>
      <c r="I105" s="12" t="n"/>
      <c r="J105" s="33" t="n"/>
      <c r="K105" s="12" t="n"/>
      <c r="L105" s="11" t="n"/>
      <c r="M105" s="11" t="n"/>
    </row>
    <row r="106" ht="22" customHeight="1">
      <c r="B106" s="17">
        <f>IF(C106="","IA-"&amp;TEXT(COUNTA($C$5:C106),"000"))</f>
        <v/>
      </c>
      <c r="C106" s="14" t="n"/>
      <c r="D106" s="14" t="n"/>
      <c r="E106" s="14" t="n"/>
      <c r="F106" s="14" t="n"/>
      <c r="G106" s="14" t="n"/>
      <c r="H106" s="32" t="n"/>
      <c r="I106" s="15" t="n"/>
      <c r="J106" s="35" t="n"/>
      <c r="K106" s="15" t="n"/>
      <c r="L106" s="14" t="n"/>
      <c r="M106" s="14" t="n"/>
    </row>
    <row r="107" ht="22" customHeight="1">
      <c r="B107" s="18">
        <f>IF(C107="","IA-"&amp;TEXT(COUNTA($C$5:C107),"000"))</f>
        <v/>
      </c>
      <c r="C107" s="11" t="n"/>
      <c r="D107" s="11" t="n"/>
      <c r="E107" s="11" t="n"/>
      <c r="F107" s="11" t="n"/>
      <c r="G107" s="11" t="n"/>
      <c r="H107" s="31" t="n"/>
      <c r="I107" s="12" t="n"/>
      <c r="J107" s="33" t="n"/>
      <c r="K107" s="12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Cas d'usage IA</t>
        </is>
      </c>
      <c r="D110" s="3" t="inlineStr">
        <is>
          <t>En production</t>
        </is>
      </c>
      <c r="F110" s="3" t="inlineStr">
        <is>
          <t>Dossiers traites IA</t>
        </is>
      </c>
    </row>
    <row r="111">
      <c r="B111" s="4">
        <f>COUNTIF(B5:B104,"&lt;&gt;")</f>
        <v/>
      </c>
      <c r="D111" s="4">
        <f>COUNTIF(L5:L104,"Production")</f>
        <v/>
      </c>
      <c r="F111" s="4">
        <f>SUM(I5:I104)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3">
    <dataValidation sqref="D5:D107" showDropDown="0" showInputMessage="0" showErrorMessage="0" allowBlank="1" errorTitle="Erreur" error="Valeur invalide" promptTitle="Liste" prompt="Choisir dans la liste" type="list">
      <formula1>'_Lists'!$G$2:$G$9</formula1>
    </dataValidation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L5:L107" showDropDown="0" showInputMessage="0" showErrorMessage="0" allowBlank="1" errorTitle="Erreur" error="Valeur invalide" promptTitle="Liste" prompt="Choisir dans la liste" type="list">
      <formula1>'_Lists'!$K$2:$K$8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18" customWidth="1" min="5" max="5"/>
    <col width="16" customWidth="1" min="6" max="6"/>
    <col width="14" customWidth="1" min="7" max="7"/>
    <col width="16" customWidth="1" min="8" max="8"/>
    <col width="18" customWidth="1" min="9" max="9"/>
    <col width="14" customWidth="1" min="10" max="10"/>
    <col width="14" customWidth="1" min="11" max="11"/>
    <col width="20" customWidth="1" min="12" max="12"/>
    <col width="36" customWidth="1" min="13" max="13"/>
  </cols>
  <sheetData>
    <row r="1" ht="15" customHeight="1"/>
    <row r="2" ht="32" customHeight="1">
      <c r="B2" s="1" t="inlineStr">
        <is>
          <t>DATA ANALYTICS RH (#160)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Indicateur Analytique</t>
        </is>
      </c>
      <c r="D4" s="10" t="inlineStr">
        <is>
          <t>Source de Donnees</t>
        </is>
      </c>
      <c r="E4" s="10" t="inlineStr">
        <is>
          <t>Type Analyse</t>
        </is>
      </c>
      <c r="F4" s="10" t="inlineStr">
        <is>
          <t>Frequence</t>
        </is>
      </c>
      <c r="G4" s="10" t="inlineStr">
        <is>
          <t>Derniere MAJ</t>
        </is>
      </c>
      <c r="H4" s="10" t="inlineStr">
        <is>
          <t>Valeur Actuelle</t>
        </is>
      </c>
      <c r="I4" s="10" t="inlineStr">
        <is>
          <t>Valeur Precedente</t>
        </is>
      </c>
      <c r="J4" s="10" t="inlineStr">
        <is>
          <t>Evolution</t>
        </is>
      </c>
      <c r="K4" s="10" t="inlineStr">
        <is>
          <t>Objectif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DA-001</t>
        </is>
      </c>
      <c r="C5" s="11" t="inlineStr">
        <is>
          <t>Taux rotation global</t>
        </is>
      </c>
      <c r="D5" s="11" t="inlineStr">
        <is>
          <t>SIRH</t>
        </is>
      </c>
      <c r="E5" s="11" t="inlineStr">
        <is>
          <t>Descriptive</t>
        </is>
      </c>
      <c r="F5" s="11" t="inlineStr">
        <is>
          <t>Mensuel</t>
        </is>
      </c>
      <c r="G5" s="31" t="n">
        <v>45747</v>
      </c>
      <c r="H5" s="37" t="n">
        <v>0.18</v>
      </c>
      <c r="I5" s="37" t="n">
        <v>0.22</v>
      </c>
      <c r="J5" s="38" t="n"/>
      <c r="K5" s="37" t="n">
        <v>0.12</v>
      </c>
      <c r="L5" s="11" t="inlineStr">
        <is>
          <t>En amelioration</t>
        </is>
      </c>
      <c r="M5" s="11" t="inlineStr">
        <is>
          <t>Baisse significative vs Q4 2024</t>
        </is>
      </c>
    </row>
    <row r="6" ht="22" customHeight="1">
      <c r="B6" s="14" t="inlineStr">
        <is>
          <t>DA-002</t>
        </is>
      </c>
      <c r="C6" s="14" t="inlineStr">
        <is>
          <t>Delai moyen recrutement (j)</t>
        </is>
      </c>
      <c r="D6" s="14" t="inlineStr">
        <is>
          <t>ATS + SIRH</t>
        </is>
      </c>
      <c r="E6" s="14" t="inlineStr">
        <is>
          <t>Descriptive</t>
        </is>
      </c>
      <c r="F6" s="14" t="inlineStr">
        <is>
          <t>Mensuel</t>
        </is>
      </c>
      <c r="G6" s="32" t="n">
        <v>45747</v>
      </c>
      <c r="H6" s="39" t="n">
        <v>28</v>
      </c>
      <c r="I6" s="39" t="n">
        <v>35</v>
      </c>
      <c r="J6" s="40" t="n"/>
      <c r="K6" s="39" t="n">
        <v>21</v>
      </c>
      <c r="L6" s="14" t="inlineStr">
        <is>
          <t>En amelioration</t>
        </is>
      </c>
      <c r="M6" s="14" t="inlineStr">
        <is>
          <t>ATS + IA preselection accelere</t>
        </is>
      </c>
    </row>
    <row r="7" ht="22" customHeight="1">
      <c r="B7" s="11" t="inlineStr">
        <is>
          <t>DA-003</t>
        </is>
      </c>
      <c r="C7" s="11" t="inlineStr">
        <is>
          <t>Score engagement predictif</t>
        </is>
      </c>
      <c r="D7" s="11" t="inlineStr">
        <is>
          <t>SIRH + Enquetes</t>
        </is>
      </c>
      <c r="E7" s="11" t="inlineStr">
        <is>
          <t>Predictif</t>
        </is>
      </c>
      <c r="F7" s="11" t="inlineStr">
        <is>
          <t>Trimestriel</t>
        </is>
      </c>
      <c r="G7" s="31" t="n">
        <v>45731</v>
      </c>
      <c r="H7" s="37" t="n">
        <v>3.7</v>
      </c>
      <c r="I7" s="37" t="n">
        <v>3.5</v>
      </c>
      <c r="J7" s="38" t="n"/>
      <c r="K7" s="37" t="n">
        <v>4.2</v>
      </c>
      <c r="L7" s="11" t="inlineStr">
        <is>
          <t>En amelioration</t>
        </is>
      </c>
      <c r="M7" s="11" t="inlineStr">
        <is>
          <t>Model ML en phase de calibration</t>
        </is>
      </c>
    </row>
    <row r="8" ht="22" customHeight="1">
      <c r="B8" s="17">
        <f>IF(C8="","DA-"&amp;TEXT(COUNTA($C$5:C8),"000"))</f>
        <v/>
      </c>
      <c r="C8" s="14" t="n"/>
      <c r="D8" s="14" t="n"/>
      <c r="E8" s="14" t="n"/>
      <c r="F8" s="14" t="n"/>
      <c r="G8" s="32" t="n"/>
      <c r="H8" s="39" t="n"/>
      <c r="I8" s="39" t="n"/>
      <c r="J8" s="40">
        <f>IF(OR(H8="",I8=""),"",H8-I8)</f>
        <v/>
      </c>
      <c r="K8" s="39" t="n"/>
      <c r="L8" s="14" t="n"/>
      <c r="M8" s="14" t="n"/>
    </row>
    <row r="9" ht="22" customHeight="1">
      <c r="B9" s="18">
        <f>IF(C9="","DA-"&amp;TEXT(COUNTA($C$5:C9),"000"))</f>
        <v/>
      </c>
      <c r="C9" s="11" t="n"/>
      <c r="D9" s="11" t="n"/>
      <c r="E9" s="11" t="n"/>
      <c r="F9" s="11" t="n"/>
      <c r="G9" s="31" t="n"/>
      <c r="H9" s="37" t="n"/>
      <c r="I9" s="37" t="n"/>
      <c r="J9" s="38">
        <f>IF(OR(H9="",I9=""),"",H9-I9)</f>
        <v/>
      </c>
      <c r="K9" s="37" t="n"/>
      <c r="L9" s="11" t="n"/>
      <c r="M9" s="11" t="n"/>
    </row>
    <row r="10" ht="22" customHeight="1">
      <c r="B10" s="17">
        <f>IF(C10="","DA-"&amp;TEXT(COUNTA($C$5:C10),"000"))</f>
        <v/>
      </c>
      <c r="C10" s="14" t="n"/>
      <c r="D10" s="14" t="n"/>
      <c r="E10" s="14" t="n"/>
      <c r="F10" s="14" t="n"/>
      <c r="G10" s="32" t="n"/>
      <c r="H10" s="39" t="n"/>
      <c r="I10" s="39" t="n"/>
      <c r="J10" s="40">
        <f>IF(OR(H10="",I10=""),"",H10-I10)</f>
        <v/>
      </c>
      <c r="K10" s="39" t="n"/>
      <c r="L10" s="14" t="n"/>
      <c r="M10" s="14" t="n"/>
    </row>
    <row r="11" ht="22" customHeight="1">
      <c r="B11" s="18">
        <f>IF(C11="","DA-"&amp;TEXT(COUNTA($C$5:C11),"000"))</f>
        <v/>
      </c>
      <c r="C11" s="11" t="n"/>
      <c r="D11" s="11" t="n"/>
      <c r="E11" s="11" t="n"/>
      <c r="F11" s="11" t="n"/>
      <c r="G11" s="31" t="n"/>
      <c r="H11" s="37" t="n"/>
      <c r="I11" s="37" t="n"/>
      <c r="J11" s="38">
        <f>IF(OR(H11="",I11=""),"",H11-I11)</f>
        <v/>
      </c>
      <c r="K11" s="37" t="n"/>
      <c r="L11" s="11" t="n"/>
      <c r="M11" s="11" t="n"/>
    </row>
    <row r="12" ht="22" customHeight="1">
      <c r="B12" s="17">
        <f>IF(C12="","DA-"&amp;TEXT(COUNTA($C$5:C12),"000"))</f>
        <v/>
      </c>
      <c r="C12" s="14" t="n"/>
      <c r="D12" s="14" t="n"/>
      <c r="E12" s="14" t="n"/>
      <c r="F12" s="14" t="n"/>
      <c r="G12" s="32" t="n"/>
      <c r="H12" s="39" t="n"/>
      <c r="I12" s="39" t="n"/>
      <c r="J12" s="40">
        <f>IF(OR(H12="",I12=""),"",H12-I12)</f>
        <v/>
      </c>
      <c r="K12" s="39" t="n"/>
      <c r="L12" s="14" t="n"/>
      <c r="M12" s="14" t="n"/>
    </row>
    <row r="13" ht="22" customHeight="1">
      <c r="B13" s="18">
        <f>IF(C13="","DA-"&amp;TEXT(COUNTA($C$5:C13),"000"))</f>
        <v/>
      </c>
      <c r="C13" s="11" t="n"/>
      <c r="D13" s="11" t="n"/>
      <c r="E13" s="11" t="n"/>
      <c r="F13" s="11" t="n"/>
      <c r="G13" s="31" t="n"/>
      <c r="H13" s="37" t="n"/>
      <c r="I13" s="37" t="n"/>
      <c r="J13" s="38">
        <f>IF(OR(H13="",I13=""),"",H13-I13)</f>
        <v/>
      </c>
      <c r="K13" s="37" t="n"/>
      <c r="L13" s="11" t="n"/>
      <c r="M13" s="11" t="n"/>
    </row>
    <row r="14" ht="22" customHeight="1">
      <c r="B14" s="17">
        <f>IF(C14="","DA-"&amp;TEXT(COUNTA($C$5:C14),"000"))</f>
        <v/>
      </c>
      <c r="C14" s="14" t="n"/>
      <c r="D14" s="14" t="n"/>
      <c r="E14" s="14" t="n"/>
      <c r="F14" s="14" t="n"/>
      <c r="G14" s="32" t="n"/>
      <c r="H14" s="39" t="n"/>
      <c r="I14" s="39" t="n"/>
      <c r="J14" s="40">
        <f>IF(OR(H14="",I14=""),"",H14-I14)</f>
        <v/>
      </c>
      <c r="K14" s="39" t="n"/>
      <c r="L14" s="14" t="n"/>
      <c r="M14" s="14" t="n"/>
    </row>
    <row r="15" ht="22" customHeight="1">
      <c r="B15" s="18">
        <f>IF(C15="","DA-"&amp;TEXT(COUNTA($C$5:C15),"000"))</f>
        <v/>
      </c>
      <c r="C15" s="11" t="n"/>
      <c r="D15" s="11" t="n"/>
      <c r="E15" s="11" t="n"/>
      <c r="F15" s="11" t="n"/>
      <c r="G15" s="31" t="n"/>
      <c r="H15" s="37" t="n"/>
      <c r="I15" s="37" t="n"/>
      <c r="J15" s="38">
        <f>IF(OR(H15="",I15=""),"",H15-I15)</f>
        <v/>
      </c>
      <c r="K15" s="37" t="n"/>
      <c r="L15" s="11" t="n"/>
      <c r="M15" s="11" t="n"/>
    </row>
    <row r="16" ht="22" customHeight="1">
      <c r="B16" s="17">
        <f>IF(C16="","DA-"&amp;TEXT(COUNTA($C$5:C16),"000"))</f>
        <v/>
      </c>
      <c r="C16" s="14" t="n"/>
      <c r="D16" s="14" t="n"/>
      <c r="E16" s="14" t="n"/>
      <c r="F16" s="14" t="n"/>
      <c r="G16" s="32" t="n"/>
      <c r="H16" s="39" t="n"/>
      <c r="I16" s="39" t="n"/>
      <c r="J16" s="40">
        <f>IF(OR(H16="",I16=""),"",H16-I16)</f>
        <v/>
      </c>
      <c r="K16" s="39" t="n"/>
      <c r="L16" s="14" t="n"/>
      <c r="M16" s="14" t="n"/>
    </row>
    <row r="17" ht="22" customHeight="1">
      <c r="B17" s="18">
        <f>IF(C17="","DA-"&amp;TEXT(COUNTA($C$5:C17),"000"))</f>
        <v/>
      </c>
      <c r="C17" s="11" t="n"/>
      <c r="D17" s="11" t="n"/>
      <c r="E17" s="11" t="n"/>
      <c r="F17" s="11" t="n"/>
      <c r="G17" s="31" t="n"/>
      <c r="H17" s="37" t="n"/>
      <c r="I17" s="37" t="n"/>
      <c r="J17" s="38">
        <f>IF(OR(H17="",I17=""),"",H17-I17)</f>
        <v/>
      </c>
      <c r="K17" s="37" t="n"/>
      <c r="L17" s="11" t="n"/>
      <c r="M17" s="11" t="n"/>
    </row>
    <row r="18" ht="22" customHeight="1">
      <c r="B18" s="17">
        <f>IF(C18="","DA-"&amp;TEXT(COUNTA($C$5:C18),"000"))</f>
        <v/>
      </c>
      <c r="C18" s="14" t="n"/>
      <c r="D18" s="14" t="n"/>
      <c r="E18" s="14" t="n"/>
      <c r="F18" s="14" t="n"/>
      <c r="G18" s="32" t="n"/>
      <c r="H18" s="39" t="n"/>
      <c r="I18" s="39" t="n"/>
      <c r="J18" s="40">
        <f>IF(OR(H18="",I18=""),"",H18-I18)</f>
        <v/>
      </c>
      <c r="K18" s="39" t="n"/>
      <c r="L18" s="14" t="n"/>
      <c r="M18" s="14" t="n"/>
    </row>
    <row r="19" ht="22" customHeight="1">
      <c r="B19" s="18">
        <f>IF(C19="","DA-"&amp;TEXT(COUNTA($C$5:C19),"000"))</f>
        <v/>
      </c>
      <c r="C19" s="11" t="n"/>
      <c r="D19" s="11" t="n"/>
      <c r="E19" s="11" t="n"/>
      <c r="F19" s="11" t="n"/>
      <c r="G19" s="31" t="n"/>
      <c r="H19" s="37" t="n"/>
      <c r="I19" s="37" t="n"/>
      <c r="J19" s="38">
        <f>IF(OR(H19="",I19=""),"",H19-I19)</f>
        <v/>
      </c>
      <c r="K19" s="37" t="n"/>
      <c r="L19" s="11" t="n"/>
      <c r="M19" s="11" t="n"/>
    </row>
    <row r="20" ht="22" customHeight="1">
      <c r="B20" s="17">
        <f>IF(C20="","DA-"&amp;TEXT(COUNTA($C$5:C20),"000"))</f>
        <v/>
      </c>
      <c r="C20" s="14" t="n"/>
      <c r="D20" s="14" t="n"/>
      <c r="E20" s="14" t="n"/>
      <c r="F20" s="14" t="n"/>
      <c r="G20" s="32" t="n"/>
      <c r="H20" s="39" t="n"/>
      <c r="I20" s="39" t="n"/>
      <c r="J20" s="40">
        <f>IF(OR(H20="",I20=""),"",H20-I20)</f>
        <v/>
      </c>
      <c r="K20" s="39" t="n"/>
      <c r="L20" s="14" t="n"/>
      <c r="M20" s="14" t="n"/>
    </row>
    <row r="21" ht="22" customHeight="1">
      <c r="B21" s="18">
        <f>IF(C21="","DA-"&amp;TEXT(COUNTA($C$5:C21),"000"))</f>
        <v/>
      </c>
      <c r="C21" s="11" t="n"/>
      <c r="D21" s="11" t="n"/>
      <c r="E21" s="11" t="n"/>
      <c r="F21" s="11" t="n"/>
      <c r="G21" s="31" t="n"/>
      <c r="H21" s="37" t="n"/>
      <c r="I21" s="37" t="n"/>
      <c r="J21" s="38">
        <f>IF(OR(H21="",I21=""),"",H21-I21)</f>
        <v/>
      </c>
      <c r="K21" s="37" t="n"/>
      <c r="L21" s="11" t="n"/>
      <c r="M21" s="11" t="n"/>
    </row>
    <row r="22" ht="22" customHeight="1">
      <c r="B22" s="17">
        <f>IF(C22="","DA-"&amp;TEXT(COUNTA($C$5:C22),"000"))</f>
        <v/>
      </c>
      <c r="C22" s="14" t="n"/>
      <c r="D22" s="14" t="n"/>
      <c r="E22" s="14" t="n"/>
      <c r="F22" s="14" t="n"/>
      <c r="G22" s="32" t="n"/>
      <c r="H22" s="39" t="n"/>
      <c r="I22" s="39" t="n"/>
      <c r="J22" s="40">
        <f>IF(OR(H22="",I22=""),"",H22-I22)</f>
        <v/>
      </c>
      <c r="K22" s="39" t="n"/>
      <c r="L22" s="14" t="n"/>
      <c r="M22" s="14" t="n"/>
    </row>
    <row r="23" ht="22" customHeight="1">
      <c r="B23" s="18">
        <f>IF(C23="","DA-"&amp;TEXT(COUNTA($C$5:C23),"000"))</f>
        <v/>
      </c>
      <c r="C23" s="11" t="n"/>
      <c r="D23" s="11" t="n"/>
      <c r="E23" s="11" t="n"/>
      <c r="F23" s="11" t="n"/>
      <c r="G23" s="31" t="n"/>
      <c r="H23" s="37" t="n"/>
      <c r="I23" s="37" t="n"/>
      <c r="J23" s="38">
        <f>IF(OR(H23="",I23=""),"",H23-I23)</f>
        <v/>
      </c>
      <c r="K23" s="37" t="n"/>
      <c r="L23" s="11" t="n"/>
      <c r="M23" s="11" t="n"/>
    </row>
    <row r="24" ht="22" customHeight="1">
      <c r="B24" s="17">
        <f>IF(C24="","DA-"&amp;TEXT(COUNTA($C$5:C24),"000"))</f>
        <v/>
      </c>
      <c r="C24" s="14" t="n"/>
      <c r="D24" s="14" t="n"/>
      <c r="E24" s="14" t="n"/>
      <c r="F24" s="14" t="n"/>
      <c r="G24" s="32" t="n"/>
      <c r="H24" s="39" t="n"/>
      <c r="I24" s="39" t="n"/>
      <c r="J24" s="40">
        <f>IF(OR(H24="",I24=""),"",H24-I24)</f>
        <v/>
      </c>
      <c r="K24" s="39" t="n"/>
      <c r="L24" s="14" t="n"/>
      <c r="M24" s="14" t="n"/>
    </row>
    <row r="25" ht="22" customHeight="1">
      <c r="B25" s="18">
        <f>IF(C25="","DA-"&amp;TEXT(COUNTA($C$5:C25),"000"))</f>
        <v/>
      </c>
      <c r="C25" s="11" t="n"/>
      <c r="D25" s="11" t="n"/>
      <c r="E25" s="11" t="n"/>
      <c r="F25" s="11" t="n"/>
      <c r="G25" s="31" t="n"/>
      <c r="H25" s="37" t="n"/>
      <c r="I25" s="37" t="n"/>
      <c r="J25" s="38">
        <f>IF(OR(H25="",I25=""),"",H25-I25)</f>
        <v/>
      </c>
      <c r="K25" s="37" t="n"/>
      <c r="L25" s="11" t="n"/>
      <c r="M25" s="11" t="n"/>
    </row>
    <row r="26" ht="22" customHeight="1">
      <c r="B26" s="17">
        <f>IF(C26="","DA-"&amp;TEXT(COUNTA($C$5:C26),"000"))</f>
        <v/>
      </c>
      <c r="C26" s="14" t="n"/>
      <c r="D26" s="14" t="n"/>
      <c r="E26" s="14" t="n"/>
      <c r="F26" s="14" t="n"/>
      <c r="G26" s="32" t="n"/>
      <c r="H26" s="39" t="n"/>
      <c r="I26" s="39" t="n"/>
      <c r="J26" s="40">
        <f>IF(OR(H26="",I26=""),"",H26-I26)</f>
        <v/>
      </c>
      <c r="K26" s="39" t="n"/>
      <c r="L26" s="14" t="n"/>
      <c r="M26" s="14" t="n"/>
    </row>
    <row r="27" ht="22" customHeight="1">
      <c r="B27" s="18">
        <f>IF(C27="","DA-"&amp;TEXT(COUNTA($C$5:C27),"000"))</f>
        <v/>
      </c>
      <c r="C27" s="11" t="n"/>
      <c r="D27" s="11" t="n"/>
      <c r="E27" s="11" t="n"/>
      <c r="F27" s="11" t="n"/>
      <c r="G27" s="31" t="n"/>
      <c r="H27" s="37" t="n"/>
      <c r="I27" s="37" t="n"/>
      <c r="J27" s="38">
        <f>IF(OR(H27="",I27=""),"",H27-I27)</f>
        <v/>
      </c>
      <c r="K27" s="37" t="n"/>
      <c r="L27" s="11" t="n"/>
      <c r="M27" s="11" t="n"/>
    </row>
    <row r="28" ht="22" customHeight="1">
      <c r="B28" s="17">
        <f>IF(C28="","DA-"&amp;TEXT(COUNTA($C$5:C28),"000"))</f>
        <v/>
      </c>
      <c r="C28" s="14" t="n"/>
      <c r="D28" s="14" t="n"/>
      <c r="E28" s="14" t="n"/>
      <c r="F28" s="14" t="n"/>
      <c r="G28" s="32" t="n"/>
      <c r="H28" s="39" t="n"/>
      <c r="I28" s="39" t="n"/>
      <c r="J28" s="40">
        <f>IF(OR(H28="",I28=""),"",H28-I28)</f>
        <v/>
      </c>
      <c r="K28" s="39" t="n"/>
      <c r="L28" s="14" t="n"/>
      <c r="M28" s="14" t="n"/>
    </row>
    <row r="29" ht="22" customHeight="1">
      <c r="B29" s="18">
        <f>IF(C29="","DA-"&amp;TEXT(COUNTA($C$5:C29),"000"))</f>
        <v/>
      </c>
      <c r="C29" s="11" t="n"/>
      <c r="D29" s="11" t="n"/>
      <c r="E29" s="11" t="n"/>
      <c r="F29" s="11" t="n"/>
      <c r="G29" s="31" t="n"/>
      <c r="H29" s="37" t="n"/>
      <c r="I29" s="37" t="n"/>
      <c r="J29" s="38">
        <f>IF(OR(H29="",I29=""),"",H29-I29)</f>
        <v/>
      </c>
      <c r="K29" s="37" t="n"/>
      <c r="L29" s="11" t="n"/>
      <c r="M29" s="11" t="n"/>
    </row>
    <row r="30" ht="22" customHeight="1">
      <c r="B30" s="17">
        <f>IF(C30="","DA-"&amp;TEXT(COUNTA($C$5:C30),"000"))</f>
        <v/>
      </c>
      <c r="C30" s="14" t="n"/>
      <c r="D30" s="14" t="n"/>
      <c r="E30" s="14" t="n"/>
      <c r="F30" s="14" t="n"/>
      <c r="G30" s="32" t="n"/>
      <c r="H30" s="39" t="n"/>
      <c r="I30" s="39" t="n"/>
      <c r="J30" s="40">
        <f>IF(OR(H30="",I30=""),"",H30-I30)</f>
        <v/>
      </c>
      <c r="K30" s="39" t="n"/>
      <c r="L30" s="14" t="n"/>
      <c r="M30" s="14" t="n"/>
    </row>
    <row r="31" ht="22" customHeight="1">
      <c r="B31" s="18">
        <f>IF(C31="","DA-"&amp;TEXT(COUNTA($C$5:C31),"000"))</f>
        <v/>
      </c>
      <c r="C31" s="11" t="n"/>
      <c r="D31" s="11" t="n"/>
      <c r="E31" s="11" t="n"/>
      <c r="F31" s="11" t="n"/>
      <c r="G31" s="31" t="n"/>
      <c r="H31" s="37" t="n"/>
      <c r="I31" s="37" t="n"/>
      <c r="J31" s="38">
        <f>IF(OR(H31="",I31=""),"",H31-I31)</f>
        <v/>
      </c>
      <c r="K31" s="37" t="n"/>
      <c r="L31" s="11" t="n"/>
      <c r="M31" s="11" t="n"/>
    </row>
    <row r="32" ht="22" customHeight="1">
      <c r="B32" s="17">
        <f>IF(C32="","DA-"&amp;TEXT(COUNTA($C$5:C32),"000"))</f>
        <v/>
      </c>
      <c r="C32" s="14" t="n"/>
      <c r="D32" s="14" t="n"/>
      <c r="E32" s="14" t="n"/>
      <c r="F32" s="14" t="n"/>
      <c r="G32" s="32" t="n"/>
      <c r="H32" s="39" t="n"/>
      <c r="I32" s="39" t="n"/>
      <c r="J32" s="40">
        <f>IF(OR(H32="",I32=""),"",H32-I32)</f>
        <v/>
      </c>
      <c r="K32" s="39" t="n"/>
      <c r="L32" s="14" t="n"/>
      <c r="M32" s="14" t="n"/>
    </row>
    <row r="33" ht="22" customHeight="1">
      <c r="B33" s="18">
        <f>IF(C33="","DA-"&amp;TEXT(COUNTA($C$5:C33),"000"))</f>
        <v/>
      </c>
      <c r="C33" s="11" t="n"/>
      <c r="D33" s="11" t="n"/>
      <c r="E33" s="11" t="n"/>
      <c r="F33" s="11" t="n"/>
      <c r="G33" s="31" t="n"/>
      <c r="H33" s="37" t="n"/>
      <c r="I33" s="37" t="n"/>
      <c r="J33" s="38">
        <f>IF(OR(H33="",I33=""),"",H33-I33)</f>
        <v/>
      </c>
      <c r="K33" s="37" t="n"/>
      <c r="L33" s="11" t="n"/>
      <c r="M33" s="11" t="n"/>
    </row>
    <row r="34" ht="22" customHeight="1">
      <c r="B34" s="17">
        <f>IF(C34="","DA-"&amp;TEXT(COUNTA($C$5:C34),"000"))</f>
        <v/>
      </c>
      <c r="C34" s="14" t="n"/>
      <c r="D34" s="14" t="n"/>
      <c r="E34" s="14" t="n"/>
      <c r="F34" s="14" t="n"/>
      <c r="G34" s="32" t="n"/>
      <c r="H34" s="39" t="n"/>
      <c r="I34" s="39" t="n"/>
      <c r="J34" s="40">
        <f>IF(OR(H34="",I34=""),"",H34-I34)</f>
        <v/>
      </c>
      <c r="K34" s="39" t="n"/>
      <c r="L34" s="14" t="n"/>
      <c r="M34" s="14" t="n"/>
    </row>
    <row r="35" ht="22" customHeight="1">
      <c r="B35" s="18">
        <f>IF(C35="","DA-"&amp;TEXT(COUNTA($C$5:C35),"000"))</f>
        <v/>
      </c>
      <c r="C35" s="11" t="n"/>
      <c r="D35" s="11" t="n"/>
      <c r="E35" s="11" t="n"/>
      <c r="F35" s="11" t="n"/>
      <c r="G35" s="31" t="n"/>
      <c r="H35" s="37" t="n"/>
      <c r="I35" s="37" t="n"/>
      <c r="J35" s="38">
        <f>IF(OR(H35="",I35=""),"",H35-I35)</f>
        <v/>
      </c>
      <c r="K35" s="37" t="n"/>
      <c r="L35" s="11" t="n"/>
      <c r="M35" s="11" t="n"/>
    </row>
    <row r="36" ht="22" customHeight="1">
      <c r="B36" s="17">
        <f>IF(C36="","DA-"&amp;TEXT(COUNTA($C$5:C36),"000"))</f>
        <v/>
      </c>
      <c r="C36" s="14" t="n"/>
      <c r="D36" s="14" t="n"/>
      <c r="E36" s="14" t="n"/>
      <c r="F36" s="14" t="n"/>
      <c r="G36" s="32" t="n"/>
      <c r="H36" s="39" t="n"/>
      <c r="I36" s="39" t="n"/>
      <c r="J36" s="40">
        <f>IF(OR(H36="",I36=""),"",H36-I36)</f>
        <v/>
      </c>
      <c r="K36" s="39" t="n"/>
      <c r="L36" s="14" t="n"/>
      <c r="M36" s="14" t="n"/>
    </row>
    <row r="37" ht="22" customHeight="1">
      <c r="B37" s="18">
        <f>IF(C37="","DA-"&amp;TEXT(COUNTA($C$5:C37),"000"))</f>
        <v/>
      </c>
      <c r="C37" s="11" t="n"/>
      <c r="D37" s="11" t="n"/>
      <c r="E37" s="11" t="n"/>
      <c r="F37" s="11" t="n"/>
      <c r="G37" s="31" t="n"/>
      <c r="H37" s="37" t="n"/>
      <c r="I37" s="37" t="n"/>
      <c r="J37" s="38">
        <f>IF(OR(H37="",I37=""),"",H37-I37)</f>
        <v/>
      </c>
      <c r="K37" s="37" t="n"/>
      <c r="L37" s="11" t="n"/>
      <c r="M37" s="11" t="n"/>
    </row>
    <row r="38" ht="22" customHeight="1">
      <c r="B38" s="17">
        <f>IF(C38="","DA-"&amp;TEXT(COUNTA($C$5:C38),"000"))</f>
        <v/>
      </c>
      <c r="C38" s="14" t="n"/>
      <c r="D38" s="14" t="n"/>
      <c r="E38" s="14" t="n"/>
      <c r="F38" s="14" t="n"/>
      <c r="G38" s="32" t="n"/>
      <c r="H38" s="39" t="n"/>
      <c r="I38" s="39" t="n"/>
      <c r="J38" s="40">
        <f>IF(OR(H38="",I38=""),"",H38-I38)</f>
        <v/>
      </c>
      <c r="K38" s="39" t="n"/>
      <c r="L38" s="14" t="n"/>
      <c r="M38" s="14" t="n"/>
    </row>
    <row r="39" ht="22" customHeight="1">
      <c r="B39" s="18">
        <f>IF(C39="","DA-"&amp;TEXT(COUNTA($C$5:C39),"000"))</f>
        <v/>
      </c>
      <c r="C39" s="11" t="n"/>
      <c r="D39" s="11" t="n"/>
      <c r="E39" s="11" t="n"/>
      <c r="F39" s="11" t="n"/>
      <c r="G39" s="31" t="n"/>
      <c r="H39" s="37" t="n"/>
      <c r="I39" s="37" t="n"/>
      <c r="J39" s="38">
        <f>IF(OR(H39="",I39=""),"",H39-I39)</f>
        <v/>
      </c>
      <c r="K39" s="37" t="n"/>
      <c r="L39" s="11" t="n"/>
      <c r="M39" s="11" t="n"/>
    </row>
    <row r="40" ht="22" customHeight="1">
      <c r="B40" s="17">
        <f>IF(C40="","DA-"&amp;TEXT(COUNTA($C$5:C40),"000"))</f>
        <v/>
      </c>
      <c r="C40" s="14" t="n"/>
      <c r="D40" s="14" t="n"/>
      <c r="E40" s="14" t="n"/>
      <c r="F40" s="14" t="n"/>
      <c r="G40" s="32" t="n"/>
      <c r="H40" s="39" t="n"/>
      <c r="I40" s="39" t="n"/>
      <c r="J40" s="40">
        <f>IF(OR(H40="",I40=""),"",H40-I40)</f>
        <v/>
      </c>
      <c r="K40" s="39" t="n"/>
      <c r="L40" s="14" t="n"/>
      <c r="M40" s="14" t="n"/>
    </row>
    <row r="41" ht="22" customHeight="1">
      <c r="B41" s="18">
        <f>IF(C41="","DA-"&amp;TEXT(COUNTA($C$5:C41),"000"))</f>
        <v/>
      </c>
      <c r="C41" s="11" t="n"/>
      <c r="D41" s="11" t="n"/>
      <c r="E41" s="11" t="n"/>
      <c r="F41" s="11" t="n"/>
      <c r="G41" s="31" t="n"/>
      <c r="H41" s="37" t="n"/>
      <c r="I41" s="37" t="n"/>
      <c r="J41" s="38">
        <f>IF(OR(H41="",I41=""),"",H41-I41)</f>
        <v/>
      </c>
      <c r="K41" s="37" t="n"/>
      <c r="L41" s="11" t="n"/>
      <c r="M41" s="11" t="n"/>
    </row>
    <row r="42" ht="22" customHeight="1">
      <c r="B42" s="17">
        <f>IF(C42="","DA-"&amp;TEXT(COUNTA($C$5:C42),"000"))</f>
        <v/>
      </c>
      <c r="C42" s="14" t="n"/>
      <c r="D42" s="14" t="n"/>
      <c r="E42" s="14" t="n"/>
      <c r="F42" s="14" t="n"/>
      <c r="G42" s="32" t="n"/>
      <c r="H42" s="39" t="n"/>
      <c r="I42" s="39" t="n"/>
      <c r="J42" s="40">
        <f>IF(OR(H42="",I42=""),"",H42-I42)</f>
        <v/>
      </c>
      <c r="K42" s="39" t="n"/>
      <c r="L42" s="14" t="n"/>
      <c r="M42" s="14" t="n"/>
    </row>
    <row r="43" ht="22" customHeight="1">
      <c r="B43" s="18">
        <f>IF(C43="","DA-"&amp;TEXT(COUNTA($C$5:C43),"000"))</f>
        <v/>
      </c>
      <c r="C43" s="11" t="n"/>
      <c r="D43" s="11" t="n"/>
      <c r="E43" s="11" t="n"/>
      <c r="F43" s="11" t="n"/>
      <c r="G43" s="31" t="n"/>
      <c r="H43" s="37" t="n"/>
      <c r="I43" s="37" t="n"/>
      <c r="J43" s="38">
        <f>IF(OR(H43="",I43=""),"",H43-I43)</f>
        <v/>
      </c>
      <c r="K43" s="37" t="n"/>
      <c r="L43" s="11" t="n"/>
      <c r="M43" s="11" t="n"/>
    </row>
    <row r="44" ht="22" customHeight="1">
      <c r="B44" s="17">
        <f>IF(C44="","DA-"&amp;TEXT(COUNTA($C$5:C44),"000"))</f>
        <v/>
      </c>
      <c r="C44" s="14" t="n"/>
      <c r="D44" s="14" t="n"/>
      <c r="E44" s="14" t="n"/>
      <c r="F44" s="14" t="n"/>
      <c r="G44" s="32" t="n"/>
      <c r="H44" s="39" t="n"/>
      <c r="I44" s="39" t="n"/>
      <c r="J44" s="40">
        <f>IF(OR(H44="",I44=""),"",H44-I44)</f>
        <v/>
      </c>
      <c r="K44" s="39" t="n"/>
      <c r="L44" s="14" t="n"/>
      <c r="M44" s="14" t="n"/>
    </row>
    <row r="45" ht="22" customHeight="1">
      <c r="B45" s="18">
        <f>IF(C45="","DA-"&amp;TEXT(COUNTA($C$5:C45),"000"))</f>
        <v/>
      </c>
      <c r="C45" s="11" t="n"/>
      <c r="D45" s="11" t="n"/>
      <c r="E45" s="11" t="n"/>
      <c r="F45" s="11" t="n"/>
      <c r="G45" s="31" t="n"/>
      <c r="H45" s="37" t="n"/>
      <c r="I45" s="37" t="n"/>
      <c r="J45" s="38">
        <f>IF(OR(H45="",I45=""),"",H45-I45)</f>
        <v/>
      </c>
      <c r="K45" s="37" t="n"/>
      <c r="L45" s="11" t="n"/>
      <c r="M45" s="11" t="n"/>
    </row>
    <row r="46" ht="22" customHeight="1">
      <c r="B46" s="17">
        <f>IF(C46="","DA-"&amp;TEXT(COUNTA($C$5:C46),"000"))</f>
        <v/>
      </c>
      <c r="C46" s="14" t="n"/>
      <c r="D46" s="14" t="n"/>
      <c r="E46" s="14" t="n"/>
      <c r="F46" s="14" t="n"/>
      <c r="G46" s="32" t="n"/>
      <c r="H46" s="39" t="n"/>
      <c r="I46" s="39" t="n"/>
      <c r="J46" s="40">
        <f>IF(OR(H46="",I46=""),"",H46-I46)</f>
        <v/>
      </c>
      <c r="K46" s="39" t="n"/>
      <c r="L46" s="14" t="n"/>
      <c r="M46" s="14" t="n"/>
    </row>
    <row r="47" ht="22" customHeight="1">
      <c r="B47" s="18">
        <f>IF(C47="","DA-"&amp;TEXT(COUNTA($C$5:C47),"000"))</f>
        <v/>
      </c>
      <c r="C47" s="11" t="n"/>
      <c r="D47" s="11" t="n"/>
      <c r="E47" s="11" t="n"/>
      <c r="F47" s="11" t="n"/>
      <c r="G47" s="31" t="n"/>
      <c r="H47" s="37" t="n"/>
      <c r="I47" s="37" t="n"/>
      <c r="J47" s="38">
        <f>IF(OR(H47="",I47=""),"",H47-I47)</f>
        <v/>
      </c>
      <c r="K47" s="37" t="n"/>
      <c r="L47" s="11" t="n"/>
      <c r="M47" s="11" t="n"/>
    </row>
    <row r="48" ht="22" customHeight="1">
      <c r="B48" s="17">
        <f>IF(C48="","DA-"&amp;TEXT(COUNTA($C$5:C48),"000"))</f>
        <v/>
      </c>
      <c r="C48" s="14" t="n"/>
      <c r="D48" s="14" t="n"/>
      <c r="E48" s="14" t="n"/>
      <c r="F48" s="14" t="n"/>
      <c r="G48" s="32" t="n"/>
      <c r="H48" s="39" t="n"/>
      <c r="I48" s="39" t="n"/>
      <c r="J48" s="40">
        <f>IF(OR(H48="",I48=""),"",H48-I48)</f>
        <v/>
      </c>
      <c r="K48" s="39" t="n"/>
      <c r="L48" s="14" t="n"/>
      <c r="M48" s="14" t="n"/>
    </row>
    <row r="49" ht="22" customHeight="1">
      <c r="B49" s="18">
        <f>IF(C49="","DA-"&amp;TEXT(COUNTA($C$5:C49),"000"))</f>
        <v/>
      </c>
      <c r="C49" s="11" t="n"/>
      <c r="D49" s="11" t="n"/>
      <c r="E49" s="11" t="n"/>
      <c r="F49" s="11" t="n"/>
      <c r="G49" s="31" t="n"/>
      <c r="H49" s="37" t="n"/>
      <c r="I49" s="37" t="n"/>
      <c r="J49" s="38">
        <f>IF(OR(H49="",I49=""),"",H49-I49)</f>
        <v/>
      </c>
      <c r="K49" s="37" t="n"/>
      <c r="L49" s="11" t="n"/>
      <c r="M49" s="11" t="n"/>
    </row>
    <row r="50" ht="22" customHeight="1">
      <c r="B50" s="17">
        <f>IF(C50="","DA-"&amp;TEXT(COUNTA($C$5:C50),"000"))</f>
        <v/>
      </c>
      <c r="C50" s="14" t="n"/>
      <c r="D50" s="14" t="n"/>
      <c r="E50" s="14" t="n"/>
      <c r="F50" s="14" t="n"/>
      <c r="G50" s="32" t="n"/>
      <c r="H50" s="39" t="n"/>
      <c r="I50" s="39" t="n"/>
      <c r="J50" s="40">
        <f>IF(OR(H50="",I50=""),"",H50-I50)</f>
        <v/>
      </c>
      <c r="K50" s="39" t="n"/>
      <c r="L50" s="14" t="n"/>
      <c r="M50" s="14" t="n"/>
    </row>
    <row r="51" ht="22" customHeight="1">
      <c r="B51" s="18">
        <f>IF(C51="","DA-"&amp;TEXT(COUNTA($C$5:C51),"000"))</f>
        <v/>
      </c>
      <c r="C51" s="11" t="n"/>
      <c r="D51" s="11" t="n"/>
      <c r="E51" s="11" t="n"/>
      <c r="F51" s="11" t="n"/>
      <c r="G51" s="31" t="n"/>
      <c r="H51" s="37" t="n"/>
      <c r="I51" s="37" t="n"/>
      <c r="J51" s="38">
        <f>IF(OR(H51="",I51=""),"",H51-I51)</f>
        <v/>
      </c>
      <c r="K51" s="37" t="n"/>
      <c r="L51" s="11" t="n"/>
      <c r="M51" s="11" t="n"/>
    </row>
    <row r="52" ht="22" customHeight="1">
      <c r="B52" s="17">
        <f>IF(C52="","DA-"&amp;TEXT(COUNTA($C$5:C52),"000"))</f>
        <v/>
      </c>
      <c r="C52" s="14" t="n"/>
      <c r="D52" s="14" t="n"/>
      <c r="E52" s="14" t="n"/>
      <c r="F52" s="14" t="n"/>
      <c r="G52" s="32" t="n"/>
      <c r="H52" s="39" t="n"/>
      <c r="I52" s="39" t="n"/>
      <c r="J52" s="40">
        <f>IF(OR(H52="",I52=""),"",H52-I52)</f>
        <v/>
      </c>
      <c r="K52" s="39" t="n"/>
      <c r="L52" s="14" t="n"/>
      <c r="M52" s="14" t="n"/>
    </row>
    <row r="53" ht="22" customHeight="1">
      <c r="B53" s="18">
        <f>IF(C53="","DA-"&amp;TEXT(COUNTA($C$5:C53),"000"))</f>
        <v/>
      </c>
      <c r="C53" s="11" t="n"/>
      <c r="D53" s="11" t="n"/>
      <c r="E53" s="11" t="n"/>
      <c r="F53" s="11" t="n"/>
      <c r="G53" s="31" t="n"/>
      <c r="H53" s="37" t="n"/>
      <c r="I53" s="37" t="n"/>
      <c r="J53" s="38">
        <f>IF(OR(H53="",I53=""),"",H53-I53)</f>
        <v/>
      </c>
      <c r="K53" s="37" t="n"/>
      <c r="L53" s="11" t="n"/>
      <c r="M53" s="11" t="n"/>
    </row>
    <row r="54" ht="22" customHeight="1">
      <c r="B54" s="17">
        <f>IF(C54="","DA-"&amp;TEXT(COUNTA($C$5:C54),"000"))</f>
        <v/>
      </c>
      <c r="C54" s="14" t="n"/>
      <c r="D54" s="14" t="n"/>
      <c r="E54" s="14" t="n"/>
      <c r="F54" s="14" t="n"/>
      <c r="G54" s="32" t="n"/>
      <c r="H54" s="39" t="n"/>
      <c r="I54" s="39" t="n"/>
      <c r="J54" s="40">
        <f>IF(OR(H54="",I54=""),"",H54-I54)</f>
        <v/>
      </c>
      <c r="K54" s="39" t="n"/>
      <c r="L54" s="14" t="n"/>
      <c r="M54" s="14" t="n"/>
    </row>
    <row r="55" ht="22" customHeight="1">
      <c r="B55" s="18">
        <f>IF(C55="","DA-"&amp;TEXT(COUNTA($C$5:C55),"000"))</f>
        <v/>
      </c>
      <c r="C55" s="11" t="n"/>
      <c r="D55" s="11" t="n"/>
      <c r="E55" s="11" t="n"/>
      <c r="F55" s="11" t="n"/>
      <c r="G55" s="31" t="n"/>
      <c r="H55" s="37" t="n"/>
      <c r="I55" s="37" t="n"/>
      <c r="J55" s="38">
        <f>IF(OR(H55="",I55=""),"",H55-I55)</f>
        <v/>
      </c>
      <c r="K55" s="37" t="n"/>
      <c r="L55" s="11" t="n"/>
      <c r="M55" s="11" t="n"/>
    </row>
    <row r="56" ht="22" customHeight="1">
      <c r="B56" s="17">
        <f>IF(C56="","DA-"&amp;TEXT(COUNTA($C$5:C56),"000"))</f>
        <v/>
      </c>
      <c r="C56" s="14" t="n"/>
      <c r="D56" s="14" t="n"/>
      <c r="E56" s="14" t="n"/>
      <c r="F56" s="14" t="n"/>
      <c r="G56" s="32" t="n"/>
      <c r="H56" s="39" t="n"/>
      <c r="I56" s="39" t="n"/>
      <c r="J56" s="40">
        <f>IF(OR(H56="",I56=""),"",H56-I56)</f>
        <v/>
      </c>
      <c r="K56" s="39" t="n"/>
      <c r="L56" s="14" t="n"/>
      <c r="M56" s="14" t="n"/>
    </row>
    <row r="57" ht="22" customHeight="1">
      <c r="B57" s="18">
        <f>IF(C57="","DA-"&amp;TEXT(COUNTA($C$5:C57),"000"))</f>
        <v/>
      </c>
      <c r="C57" s="11" t="n"/>
      <c r="D57" s="11" t="n"/>
      <c r="E57" s="11" t="n"/>
      <c r="F57" s="11" t="n"/>
      <c r="G57" s="31" t="n"/>
      <c r="H57" s="37" t="n"/>
      <c r="I57" s="37" t="n"/>
      <c r="J57" s="38">
        <f>IF(OR(H57="",I57=""),"",H57-I57)</f>
        <v/>
      </c>
      <c r="K57" s="37" t="n"/>
      <c r="L57" s="11" t="n"/>
      <c r="M57" s="11" t="n"/>
    </row>
    <row r="58" ht="22" customHeight="1">
      <c r="B58" s="17">
        <f>IF(C58="","DA-"&amp;TEXT(COUNTA($C$5:C58),"000"))</f>
        <v/>
      </c>
      <c r="C58" s="14" t="n"/>
      <c r="D58" s="14" t="n"/>
      <c r="E58" s="14" t="n"/>
      <c r="F58" s="14" t="n"/>
      <c r="G58" s="32" t="n"/>
      <c r="H58" s="39" t="n"/>
      <c r="I58" s="39" t="n"/>
      <c r="J58" s="40">
        <f>IF(OR(H58="",I58=""),"",H58-I58)</f>
        <v/>
      </c>
      <c r="K58" s="39" t="n"/>
      <c r="L58" s="14" t="n"/>
      <c r="M58" s="14" t="n"/>
    </row>
    <row r="59" ht="22" customHeight="1">
      <c r="B59" s="18">
        <f>IF(C59="","DA-"&amp;TEXT(COUNTA($C$5:C59),"000"))</f>
        <v/>
      </c>
      <c r="C59" s="11" t="n"/>
      <c r="D59" s="11" t="n"/>
      <c r="E59" s="11" t="n"/>
      <c r="F59" s="11" t="n"/>
      <c r="G59" s="31" t="n"/>
      <c r="H59" s="37" t="n"/>
      <c r="I59" s="37" t="n"/>
      <c r="J59" s="38">
        <f>IF(OR(H59="",I59=""),"",H59-I59)</f>
        <v/>
      </c>
      <c r="K59" s="37" t="n"/>
      <c r="L59" s="11" t="n"/>
      <c r="M59" s="11" t="n"/>
    </row>
    <row r="60" ht="22" customHeight="1">
      <c r="B60" s="17">
        <f>IF(C60="","DA-"&amp;TEXT(COUNTA($C$5:C60),"000"))</f>
        <v/>
      </c>
      <c r="C60" s="14" t="n"/>
      <c r="D60" s="14" t="n"/>
      <c r="E60" s="14" t="n"/>
      <c r="F60" s="14" t="n"/>
      <c r="G60" s="32" t="n"/>
      <c r="H60" s="39" t="n"/>
      <c r="I60" s="39" t="n"/>
      <c r="J60" s="40">
        <f>IF(OR(H60="",I60=""),"",H60-I60)</f>
        <v/>
      </c>
      <c r="K60" s="39" t="n"/>
      <c r="L60" s="14" t="n"/>
      <c r="M60" s="14" t="n"/>
    </row>
    <row r="61" ht="22" customHeight="1">
      <c r="B61" s="18">
        <f>IF(C61="","DA-"&amp;TEXT(COUNTA($C$5:C61),"000"))</f>
        <v/>
      </c>
      <c r="C61" s="11" t="n"/>
      <c r="D61" s="11" t="n"/>
      <c r="E61" s="11" t="n"/>
      <c r="F61" s="11" t="n"/>
      <c r="G61" s="31" t="n"/>
      <c r="H61" s="37" t="n"/>
      <c r="I61" s="37" t="n"/>
      <c r="J61" s="38">
        <f>IF(OR(H61="",I61=""),"",H61-I61)</f>
        <v/>
      </c>
      <c r="K61" s="37" t="n"/>
      <c r="L61" s="11" t="n"/>
      <c r="M61" s="11" t="n"/>
    </row>
    <row r="62" ht="22" customHeight="1">
      <c r="B62" s="17">
        <f>IF(C62="","DA-"&amp;TEXT(COUNTA($C$5:C62),"000"))</f>
        <v/>
      </c>
      <c r="C62" s="14" t="n"/>
      <c r="D62" s="14" t="n"/>
      <c r="E62" s="14" t="n"/>
      <c r="F62" s="14" t="n"/>
      <c r="G62" s="32" t="n"/>
      <c r="H62" s="39" t="n"/>
      <c r="I62" s="39" t="n"/>
      <c r="J62" s="40">
        <f>IF(OR(H62="",I62=""),"",H62-I62)</f>
        <v/>
      </c>
      <c r="K62" s="39" t="n"/>
      <c r="L62" s="14" t="n"/>
      <c r="M62" s="14" t="n"/>
    </row>
    <row r="63" ht="22" customHeight="1">
      <c r="B63" s="18">
        <f>IF(C63="","DA-"&amp;TEXT(COUNTA($C$5:C63),"000"))</f>
        <v/>
      </c>
      <c r="C63" s="11" t="n"/>
      <c r="D63" s="11" t="n"/>
      <c r="E63" s="11" t="n"/>
      <c r="F63" s="11" t="n"/>
      <c r="G63" s="31" t="n"/>
      <c r="H63" s="37" t="n"/>
      <c r="I63" s="37" t="n"/>
      <c r="J63" s="38">
        <f>IF(OR(H63="",I63=""),"",H63-I63)</f>
        <v/>
      </c>
      <c r="K63" s="37" t="n"/>
      <c r="L63" s="11" t="n"/>
      <c r="M63" s="11" t="n"/>
    </row>
    <row r="64" ht="22" customHeight="1">
      <c r="B64" s="17">
        <f>IF(C64="","DA-"&amp;TEXT(COUNTA($C$5:C64),"000"))</f>
        <v/>
      </c>
      <c r="C64" s="14" t="n"/>
      <c r="D64" s="14" t="n"/>
      <c r="E64" s="14" t="n"/>
      <c r="F64" s="14" t="n"/>
      <c r="G64" s="32" t="n"/>
      <c r="H64" s="39" t="n"/>
      <c r="I64" s="39" t="n"/>
      <c r="J64" s="40">
        <f>IF(OR(H64="",I64=""),"",H64-I64)</f>
        <v/>
      </c>
      <c r="K64" s="39" t="n"/>
      <c r="L64" s="14" t="n"/>
      <c r="M64" s="14" t="n"/>
    </row>
    <row r="65" ht="22" customHeight="1">
      <c r="B65" s="18">
        <f>IF(C65="","DA-"&amp;TEXT(COUNTA($C$5:C65),"000"))</f>
        <v/>
      </c>
      <c r="C65" s="11" t="n"/>
      <c r="D65" s="11" t="n"/>
      <c r="E65" s="11" t="n"/>
      <c r="F65" s="11" t="n"/>
      <c r="G65" s="31" t="n"/>
      <c r="H65" s="37" t="n"/>
      <c r="I65" s="37" t="n"/>
      <c r="J65" s="38">
        <f>IF(OR(H65="",I65=""),"",H65-I65)</f>
        <v/>
      </c>
      <c r="K65" s="37" t="n"/>
      <c r="L65" s="11" t="n"/>
      <c r="M65" s="11" t="n"/>
    </row>
    <row r="66" ht="22" customHeight="1">
      <c r="B66" s="17">
        <f>IF(C66="","DA-"&amp;TEXT(COUNTA($C$5:C66),"000"))</f>
        <v/>
      </c>
      <c r="C66" s="14" t="n"/>
      <c r="D66" s="14" t="n"/>
      <c r="E66" s="14" t="n"/>
      <c r="F66" s="14" t="n"/>
      <c r="G66" s="32" t="n"/>
      <c r="H66" s="39" t="n"/>
      <c r="I66" s="39" t="n"/>
      <c r="J66" s="40">
        <f>IF(OR(H66="",I66=""),"",H66-I66)</f>
        <v/>
      </c>
      <c r="K66" s="39" t="n"/>
      <c r="L66" s="14" t="n"/>
      <c r="M66" s="14" t="n"/>
    </row>
    <row r="67" ht="22" customHeight="1">
      <c r="B67" s="18">
        <f>IF(C67="","DA-"&amp;TEXT(COUNTA($C$5:C67),"000"))</f>
        <v/>
      </c>
      <c r="C67" s="11" t="n"/>
      <c r="D67" s="11" t="n"/>
      <c r="E67" s="11" t="n"/>
      <c r="F67" s="11" t="n"/>
      <c r="G67" s="31" t="n"/>
      <c r="H67" s="37" t="n"/>
      <c r="I67" s="37" t="n"/>
      <c r="J67" s="38">
        <f>IF(OR(H67="",I67=""),"",H67-I67)</f>
        <v/>
      </c>
      <c r="K67" s="37" t="n"/>
      <c r="L67" s="11" t="n"/>
      <c r="M67" s="11" t="n"/>
    </row>
    <row r="68" ht="22" customHeight="1">
      <c r="B68" s="17">
        <f>IF(C68="","DA-"&amp;TEXT(COUNTA($C$5:C68),"000"))</f>
        <v/>
      </c>
      <c r="C68" s="14" t="n"/>
      <c r="D68" s="14" t="n"/>
      <c r="E68" s="14" t="n"/>
      <c r="F68" s="14" t="n"/>
      <c r="G68" s="32" t="n"/>
      <c r="H68" s="39" t="n"/>
      <c r="I68" s="39" t="n"/>
      <c r="J68" s="40">
        <f>IF(OR(H68="",I68=""),"",H68-I68)</f>
        <v/>
      </c>
      <c r="K68" s="39" t="n"/>
      <c r="L68" s="14" t="n"/>
      <c r="M68" s="14" t="n"/>
    </row>
    <row r="69" ht="22" customHeight="1">
      <c r="B69" s="18">
        <f>IF(C69="","DA-"&amp;TEXT(COUNTA($C$5:C69),"000"))</f>
        <v/>
      </c>
      <c r="C69" s="11" t="n"/>
      <c r="D69" s="11" t="n"/>
      <c r="E69" s="11" t="n"/>
      <c r="F69" s="11" t="n"/>
      <c r="G69" s="31" t="n"/>
      <c r="H69" s="37" t="n"/>
      <c r="I69" s="37" t="n"/>
      <c r="J69" s="38">
        <f>IF(OR(H69="",I69=""),"",H69-I69)</f>
        <v/>
      </c>
      <c r="K69" s="37" t="n"/>
      <c r="L69" s="11" t="n"/>
      <c r="M69" s="11" t="n"/>
    </row>
    <row r="70" ht="22" customHeight="1">
      <c r="B70" s="17">
        <f>IF(C70="","DA-"&amp;TEXT(COUNTA($C$5:C70),"000"))</f>
        <v/>
      </c>
      <c r="C70" s="14" t="n"/>
      <c r="D70" s="14" t="n"/>
      <c r="E70" s="14" t="n"/>
      <c r="F70" s="14" t="n"/>
      <c r="G70" s="32" t="n"/>
      <c r="H70" s="39" t="n"/>
      <c r="I70" s="39" t="n"/>
      <c r="J70" s="40">
        <f>IF(OR(H70="",I70=""),"",H70-I70)</f>
        <v/>
      </c>
      <c r="K70" s="39" t="n"/>
      <c r="L70" s="14" t="n"/>
      <c r="M70" s="14" t="n"/>
    </row>
    <row r="71" ht="22" customHeight="1">
      <c r="B71" s="18">
        <f>IF(C71="","DA-"&amp;TEXT(COUNTA($C$5:C71),"000"))</f>
        <v/>
      </c>
      <c r="C71" s="11" t="n"/>
      <c r="D71" s="11" t="n"/>
      <c r="E71" s="11" t="n"/>
      <c r="F71" s="11" t="n"/>
      <c r="G71" s="31" t="n"/>
      <c r="H71" s="37" t="n"/>
      <c r="I71" s="37" t="n"/>
      <c r="J71" s="38">
        <f>IF(OR(H71="",I71=""),"",H71-I71)</f>
        <v/>
      </c>
      <c r="K71" s="37" t="n"/>
      <c r="L71" s="11" t="n"/>
      <c r="M71" s="11" t="n"/>
    </row>
    <row r="72" ht="22" customHeight="1">
      <c r="B72" s="17">
        <f>IF(C72="","DA-"&amp;TEXT(COUNTA($C$5:C72),"000"))</f>
        <v/>
      </c>
      <c r="C72" s="14" t="n"/>
      <c r="D72" s="14" t="n"/>
      <c r="E72" s="14" t="n"/>
      <c r="F72" s="14" t="n"/>
      <c r="G72" s="32" t="n"/>
      <c r="H72" s="39" t="n"/>
      <c r="I72" s="39" t="n"/>
      <c r="J72" s="40">
        <f>IF(OR(H72="",I72=""),"",H72-I72)</f>
        <v/>
      </c>
      <c r="K72" s="39" t="n"/>
      <c r="L72" s="14" t="n"/>
      <c r="M72" s="14" t="n"/>
    </row>
    <row r="73" ht="22" customHeight="1">
      <c r="B73" s="18">
        <f>IF(C73="","DA-"&amp;TEXT(COUNTA($C$5:C73),"000"))</f>
        <v/>
      </c>
      <c r="C73" s="11" t="n"/>
      <c r="D73" s="11" t="n"/>
      <c r="E73" s="11" t="n"/>
      <c r="F73" s="11" t="n"/>
      <c r="G73" s="31" t="n"/>
      <c r="H73" s="37" t="n"/>
      <c r="I73" s="37" t="n"/>
      <c r="J73" s="38">
        <f>IF(OR(H73="",I73=""),"",H73-I73)</f>
        <v/>
      </c>
      <c r="K73" s="37" t="n"/>
      <c r="L73" s="11" t="n"/>
      <c r="M73" s="11" t="n"/>
    </row>
    <row r="74" ht="22" customHeight="1">
      <c r="B74" s="17">
        <f>IF(C74="","DA-"&amp;TEXT(COUNTA($C$5:C74),"000"))</f>
        <v/>
      </c>
      <c r="C74" s="14" t="n"/>
      <c r="D74" s="14" t="n"/>
      <c r="E74" s="14" t="n"/>
      <c r="F74" s="14" t="n"/>
      <c r="G74" s="32" t="n"/>
      <c r="H74" s="39" t="n"/>
      <c r="I74" s="39" t="n"/>
      <c r="J74" s="40">
        <f>IF(OR(H74="",I74=""),"",H74-I74)</f>
        <v/>
      </c>
      <c r="K74" s="39" t="n"/>
      <c r="L74" s="14" t="n"/>
      <c r="M74" s="14" t="n"/>
    </row>
    <row r="75" ht="22" customHeight="1">
      <c r="B75" s="18">
        <f>IF(C75="","DA-"&amp;TEXT(COUNTA($C$5:C75),"000"))</f>
        <v/>
      </c>
      <c r="C75" s="11" t="n"/>
      <c r="D75" s="11" t="n"/>
      <c r="E75" s="11" t="n"/>
      <c r="F75" s="11" t="n"/>
      <c r="G75" s="31" t="n"/>
      <c r="H75" s="37" t="n"/>
      <c r="I75" s="37" t="n"/>
      <c r="J75" s="38">
        <f>IF(OR(H75="",I75=""),"",H75-I75)</f>
        <v/>
      </c>
      <c r="K75" s="37" t="n"/>
      <c r="L75" s="11" t="n"/>
      <c r="M75" s="11" t="n"/>
    </row>
    <row r="76" ht="22" customHeight="1">
      <c r="B76" s="17">
        <f>IF(C76="","DA-"&amp;TEXT(COUNTA($C$5:C76),"000"))</f>
        <v/>
      </c>
      <c r="C76" s="14" t="n"/>
      <c r="D76" s="14" t="n"/>
      <c r="E76" s="14" t="n"/>
      <c r="F76" s="14" t="n"/>
      <c r="G76" s="32" t="n"/>
      <c r="H76" s="39" t="n"/>
      <c r="I76" s="39" t="n"/>
      <c r="J76" s="40">
        <f>IF(OR(H76="",I76=""),"",H76-I76)</f>
        <v/>
      </c>
      <c r="K76" s="39" t="n"/>
      <c r="L76" s="14" t="n"/>
      <c r="M76" s="14" t="n"/>
    </row>
    <row r="77" ht="22" customHeight="1">
      <c r="B77" s="18">
        <f>IF(C77="","DA-"&amp;TEXT(COUNTA($C$5:C77),"000"))</f>
        <v/>
      </c>
      <c r="C77" s="11" t="n"/>
      <c r="D77" s="11" t="n"/>
      <c r="E77" s="11" t="n"/>
      <c r="F77" s="11" t="n"/>
      <c r="G77" s="31" t="n"/>
      <c r="H77" s="37" t="n"/>
      <c r="I77" s="37" t="n"/>
      <c r="J77" s="38">
        <f>IF(OR(H77="",I77=""),"",H77-I77)</f>
        <v/>
      </c>
      <c r="K77" s="37" t="n"/>
      <c r="L77" s="11" t="n"/>
      <c r="M77" s="11" t="n"/>
    </row>
    <row r="78" ht="22" customHeight="1">
      <c r="B78" s="17">
        <f>IF(C78="","DA-"&amp;TEXT(COUNTA($C$5:C78),"000"))</f>
        <v/>
      </c>
      <c r="C78" s="14" t="n"/>
      <c r="D78" s="14" t="n"/>
      <c r="E78" s="14" t="n"/>
      <c r="F78" s="14" t="n"/>
      <c r="G78" s="32" t="n"/>
      <c r="H78" s="39" t="n"/>
      <c r="I78" s="39" t="n"/>
      <c r="J78" s="40">
        <f>IF(OR(H78="",I78=""),"",H78-I78)</f>
        <v/>
      </c>
      <c r="K78" s="39" t="n"/>
      <c r="L78" s="14" t="n"/>
      <c r="M78" s="14" t="n"/>
    </row>
    <row r="79" ht="22" customHeight="1">
      <c r="B79" s="18">
        <f>IF(C79="","DA-"&amp;TEXT(COUNTA($C$5:C79),"000"))</f>
        <v/>
      </c>
      <c r="C79" s="11" t="n"/>
      <c r="D79" s="11" t="n"/>
      <c r="E79" s="11" t="n"/>
      <c r="F79" s="11" t="n"/>
      <c r="G79" s="31" t="n"/>
      <c r="H79" s="37" t="n"/>
      <c r="I79" s="37" t="n"/>
      <c r="J79" s="38">
        <f>IF(OR(H79="",I79=""),"",H79-I79)</f>
        <v/>
      </c>
      <c r="K79" s="37" t="n"/>
      <c r="L79" s="11" t="n"/>
      <c r="M79" s="11" t="n"/>
    </row>
    <row r="80" ht="22" customHeight="1">
      <c r="B80" s="17">
        <f>IF(C80="","DA-"&amp;TEXT(COUNTA($C$5:C80),"000"))</f>
        <v/>
      </c>
      <c r="C80" s="14" t="n"/>
      <c r="D80" s="14" t="n"/>
      <c r="E80" s="14" t="n"/>
      <c r="F80" s="14" t="n"/>
      <c r="G80" s="32" t="n"/>
      <c r="H80" s="39" t="n"/>
      <c r="I80" s="39" t="n"/>
      <c r="J80" s="40">
        <f>IF(OR(H80="",I80=""),"",H80-I80)</f>
        <v/>
      </c>
      <c r="K80" s="39" t="n"/>
      <c r="L80" s="14" t="n"/>
      <c r="M80" s="14" t="n"/>
    </row>
    <row r="81" ht="22" customHeight="1">
      <c r="B81" s="18">
        <f>IF(C81="","DA-"&amp;TEXT(COUNTA($C$5:C81),"000"))</f>
        <v/>
      </c>
      <c r="C81" s="11" t="n"/>
      <c r="D81" s="11" t="n"/>
      <c r="E81" s="11" t="n"/>
      <c r="F81" s="11" t="n"/>
      <c r="G81" s="31" t="n"/>
      <c r="H81" s="37" t="n"/>
      <c r="I81" s="37" t="n"/>
      <c r="J81" s="38">
        <f>IF(OR(H81="",I81=""),"",H81-I81)</f>
        <v/>
      </c>
      <c r="K81" s="37" t="n"/>
      <c r="L81" s="11" t="n"/>
      <c r="M81" s="11" t="n"/>
    </row>
    <row r="82" ht="22" customHeight="1">
      <c r="B82" s="17">
        <f>IF(C82="","DA-"&amp;TEXT(COUNTA($C$5:C82),"000"))</f>
        <v/>
      </c>
      <c r="C82" s="14" t="n"/>
      <c r="D82" s="14" t="n"/>
      <c r="E82" s="14" t="n"/>
      <c r="F82" s="14" t="n"/>
      <c r="G82" s="32" t="n"/>
      <c r="H82" s="39" t="n"/>
      <c r="I82" s="39" t="n"/>
      <c r="J82" s="40">
        <f>IF(OR(H82="",I82=""),"",H82-I82)</f>
        <v/>
      </c>
      <c r="K82" s="39" t="n"/>
      <c r="L82" s="14" t="n"/>
      <c r="M82" s="14" t="n"/>
    </row>
    <row r="83" ht="22" customHeight="1">
      <c r="B83" s="18">
        <f>IF(C83="","DA-"&amp;TEXT(COUNTA($C$5:C83),"000"))</f>
        <v/>
      </c>
      <c r="C83" s="11" t="n"/>
      <c r="D83" s="11" t="n"/>
      <c r="E83" s="11" t="n"/>
      <c r="F83" s="11" t="n"/>
      <c r="G83" s="31" t="n"/>
      <c r="H83" s="37" t="n"/>
      <c r="I83" s="37" t="n"/>
      <c r="J83" s="38">
        <f>IF(OR(H83="",I83=""),"",H83-I83)</f>
        <v/>
      </c>
      <c r="K83" s="37" t="n"/>
      <c r="L83" s="11" t="n"/>
      <c r="M83" s="11" t="n"/>
    </row>
    <row r="84" ht="22" customHeight="1">
      <c r="B84" s="17">
        <f>IF(C84="","DA-"&amp;TEXT(COUNTA($C$5:C84),"000"))</f>
        <v/>
      </c>
      <c r="C84" s="14" t="n"/>
      <c r="D84" s="14" t="n"/>
      <c r="E84" s="14" t="n"/>
      <c r="F84" s="14" t="n"/>
      <c r="G84" s="32" t="n"/>
      <c r="H84" s="39" t="n"/>
      <c r="I84" s="39" t="n"/>
      <c r="J84" s="40">
        <f>IF(OR(H84="",I84=""),"",H84-I84)</f>
        <v/>
      </c>
      <c r="K84" s="39" t="n"/>
      <c r="L84" s="14" t="n"/>
      <c r="M84" s="14" t="n"/>
    </row>
    <row r="85" ht="22" customHeight="1">
      <c r="B85" s="18">
        <f>IF(C85="","DA-"&amp;TEXT(COUNTA($C$5:C85),"000"))</f>
        <v/>
      </c>
      <c r="C85" s="11" t="n"/>
      <c r="D85" s="11" t="n"/>
      <c r="E85" s="11" t="n"/>
      <c r="F85" s="11" t="n"/>
      <c r="G85" s="31" t="n"/>
      <c r="H85" s="37" t="n"/>
      <c r="I85" s="37" t="n"/>
      <c r="J85" s="38">
        <f>IF(OR(H85="",I85=""),"",H85-I85)</f>
        <v/>
      </c>
      <c r="K85" s="37" t="n"/>
      <c r="L85" s="11" t="n"/>
      <c r="M85" s="11" t="n"/>
    </row>
    <row r="86" ht="22" customHeight="1">
      <c r="B86" s="17">
        <f>IF(C86="","DA-"&amp;TEXT(COUNTA($C$5:C86),"000"))</f>
        <v/>
      </c>
      <c r="C86" s="14" t="n"/>
      <c r="D86" s="14" t="n"/>
      <c r="E86" s="14" t="n"/>
      <c r="F86" s="14" t="n"/>
      <c r="G86" s="32" t="n"/>
      <c r="H86" s="39" t="n"/>
      <c r="I86" s="39" t="n"/>
      <c r="J86" s="40">
        <f>IF(OR(H86="",I86=""),"",H86-I86)</f>
        <v/>
      </c>
      <c r="K86" s="39" t="n"/>
      <c r="L86" s="14" t="n"/>
      <c r="M86" s="14" t="n"/>
    </row>
    <row r="87" ht="22" customHeight="1">
      <c r="B87" s="18">
        <f>IF(C87="","DA-"&amp;TEXT(COUNTA($C$5:C87),"000"))</f>
        <v/>
      </c>
      <c r="C87" s="11" t="n"/>
      <c r="D87" s="11" t="n"/>
      <c r="E87" s="11" t="n"/>
      <c r="F87" s="11" t="n"/>
      <c r="G87" s="31" t="n"/>
      <c r="H87" s="37" t="n"/>
      <c r="I87" s="37" t="n"/>
      <c r="J87" s="38">
        <f>IF(OR(H87="",I87=""),"",H87-I87)</f>
        <v/>
      </c>
      <c r="K87" s="37" t="n"/>
      <c r="L87" s="11" t="n"/>
      <c r="M87" s="11" t="n"/>
    </row>
    <row r="88" ht="22" customHeight="1">
      <c r="B88" s="17">
        <f>IF(C88="","DA-"&amp;TEXT(COUNTA($C$5:C88),"000"))</f>
        <v/>
      </c>
      <c r="C88" s="14" t="n"/>
      <c r="D88" s="14" t="n"/>
      <c r="E88" s="14" t="n"/>
      <c r="F88" s="14" t="n"/>
      <c r="G88" s="32" t="n"/>
      <c r="H88" s="39" t="n"/>
      <c r="I88" s="39" t="n"/>
      <c r="J88" s="40">
        <f>IF(OR(H88="",I88=""),"",H88-I88)</f>
        <v/>
      </c>
      <c r="K88" s="39" t="n"/>
      <c r="L88" s="14" t="n"/>
      <c r="M88" s="14" t="n"/>
    </row>
    <row r="89" ht="22" customHeight="1">
      <c r="B89" s="18">
        <f>IF(C89="","DA-"&amp;TEXT(COUNTA($C$5:C89),"000"))</f>
        <v/>
      </c>
      <c r="C89" s="11" t="n"/>
      <c r="D89" s="11" t="n"/>
      <c r="E89" s="11" t="n"/>
      <c r="F89" s="11" t="n"/>
      <c r="G89" s="31" t="n"/>
      <c r="H89" s="37" t="n"/>
      <c r="I89" s="37" t="n"/>
      <c r="J89" s="38">
        <f>IF(OR(H89="",I89=""),"",H89-I89)</f>
        <v/>
      </c>
      <c r="K89" s="37" t="n"/>
      <c r="L89" s="11" t="n"/>
      <c r="M89" s="11" t="n"/>
    </row>
    <row r="90" ht="22" customHeight="1">
      <c r="B90" s="17">
        <f>IF(C90="","DA-"&amp;TEXT(COUNTA($C$5:C90),"000"))</f>
        <v/>
      </c>
      <c r="C90" s="14" t="n"/>
      <c r="D90" s="14" t="n"/>
      <c r="E90" s="14" t="n"/>
      <c r="F90" s="14" t="n"/>
      <c r="G90" s="32" t="n"/>
      <c r="H90" s="39" t="n"/>
      <c r="I90" s="39" t="n"/>
      <c r="J90" s="40">
        <f>IF(OR(H90="",I90=""),"",H90-I90)</f>
        <v/>
      </c>
      <c r="K90" s="39" t="n"/>
      <c r="L90" s="14" t="n"/>
      <c r="M90" s="14" t="n"/>
    </row>
    <row r="91" ht="22" customHeight="1">
      <c r="B91" s="18">
        <f>IF(C91="","DA-"&amp;TEXT(COUNTA($C$5:C91),"000"))</f>
        <v/>
      </c>
      <c r="C91" s="11" t="n"/>
      <c r="D91" s="11" t="n"/>
      <c r="E91" s="11" t="n"/>
      <c r="F91" s="11" t="n"/>
      <c r="G91" s="31" t="n"/>
      <c r="H91" s="37" t="n"/>
      <c r="I91" s="37" t="n"/>
      <c r="J91" s="38">
        <f>IF(OR(H91="",I91=""),"",H91-I91)</f>
        <v/>
      </c>
      <c r="K91" s="37" t="n"/>
      <c r="L91" s="11" t="n"/>
      <c r="M91" s="11" t="n"/>
    </row>
    <row r="92" ht="22" customHeight="1">
      <c r="B92" s="17">
        <f>IF(C92="","DA-"&amp;TEXT(COUNTA($C$5:C92),"000"))</f>
        <v/>
      </c>
      <c r="C92" s="14" t="n"/>
      <c r="D92" s="14" t="n"/>
      <c r="E92" s="14" t="n"/>
      <c r="F92" s="14" t="n"/>
      <c r="G92" s="32" t="n"/>
      <c r="H92" s="39" t="n"/>
      <c r="I92" s="39" t="n"/>
      <c r="J92" s="40">
        <f>IF(OR(H92="",I92=""),"",H92-I92)</f>
        <v/>
      </c>
      <c r="K92" s="39" t="n"/>
      <c r="L92" s="14" t="n"/>
      <c r="M92" s="14" t="n"/>
    </row>
    <row r="93" ht="22" customHeight="1">
      <c r="B93" s="18">
        <f>IF(C93="","DA-"&amp;TEXT(COUNTA($C$5:C93),"000"))</f>
        <v/>
      </c>
      <c r="C93" s="11" t="n"/>
      <c r="D93" s="11" t="n"/>
      <c r="E93" s="11" t="n"/>
      <c r="F93" s="11" t="n"/>
      <c r="G93" s="31" t="n"/>
      <c r="H93" s="37" t="n"/>
      <c r="I93" s="37" t="n"/>
      <c r="J93" s="38">
        <f>IF(OR(H93="",I93=""),"",H93-I93)</f>
        <v/>
      </c>
      <c r="K93" s="37" t="n"/>
      <c r="L93" s="11" t="n"/>
      <c r="M93" s="11" t="n"/>
    </row>
    <row r="94" ht="22" customHeight="1">
      <c r="B94" s="17">
        <f>IF(C94="","DA-"&amp;TEXT(COUNTA($C$5:C94),"000"))</f>
        <v/>
      </c>
      <c r="C94" s="14" t="n"/>
      <c r="D94" s="14" t="n"/>
      <c r="E94" s="14" t="n"/>
      <c r="F94" s="14" t="n"/>
      <c r="G94" s="32" t="n"/>
      <c r="H94" s="39" t="n"/>
      <c r="I94" s="39" t="n"/>
      <c r="J94" s="40">
        <f>IF(OR(H94="",I94=""),"",H94-I94)</f>
        <v/>
      </c>
      <c r="K94" s="39" t="n"/>
      <c r="L94" s="14" t="n"/>
      <c r="M94" s="14" t="n"/>
    </row>
    <row r="95" ht="22" customHeight="1">
      <c r="B95" s="18">
        <f>IF(C95="","DA-"&amp;TEXT(COUNTA($C$5:C95),"000"))</f>
        <v/>
      </c>
      <c r="C95" s="11" t="n"/>
      <c r="D95" s="11" t="n"/>
      <c r="E95" s="11" t="n"/>
      <c r="F95" s="11" t="n"/>
      <c r="G95" s="31" t="n"/>
      <c r="H95" s="37" t="n"/>
      <c r="I95" s="37" t="n"/>
      <c r="J95" s="38">
        <f>IF(OR(H95="",I95=""),"",H95-I95)</f>
        <v/>
      </c>
      <c r="K95" s="37" t="n"/>
      <c r="L95" s="11" t="n"/>
      <c r="M95" s="11" t="n"/>
    </row>
    <row r="96" ht="22" customHeight="1">
      <c r="B96" s="17">
        <f>IF(C96="","DA-"&amp;TEXT(COUNTA($C$5:C96),"000"))</f>
        <v/>
      </c>
      <c r="C96" s="14" t="n"/>
      <c r="D96" s="14" t="n"/>
      <c r="E96" s="14" t="n"/>
      <c r="F96" s="14" t="n"/>
      <c r="G96" s="32" t="n"/>
      <c r="H96" s="39" t="n"/>
      <c r="I96" s="39" t="n"/>
      <c r="J96" s="40">
        <f>IF(OR(H96="",I96=""),"",H96-I96)</f>
        <v/>
      </c>
      <c r="K96" s="39" t="n"/>
      <c r="L96" s="14" t="n"/>
      <c r="M96" s="14" t="n"/>
    </row>
    <row r="97" ht="22" customHeight="1">
      <c r="B97" s="18">
        <f>IF(C97="","DA-"&amp;TEXT(COUNTA($C$5:C97),"000"))</f>
        <v/>
      </c>
      <c r="C97" s="11" t="n"/>
      <c r="D97" s="11" t="n"/>
      <c r="E97" s="11" t="n"/>
      <c r="F97" s="11" t="n"/>
      <c r="G97" s="31" t="n"/>
      <c r="H97" s="37" t="n"/>
      <c r="I97" s="37" t="n"/>
      <c r="J97" s="38">
        <f>IF(OR(H97="",I97=""),"",H97-I97)</f>
        <v/>
      </c>
      <c r="K97" s="37" t="n"/>
      <c r="L97" s="11" t="n"/>
      <c r="M97" s="11" t="n"/>
    </row>
    <row r="98" ht="22" customHeight="1">
      <c r="B98" s="17">
        <f>IF(C98="","DA-"&amp;TEXT(COUNTA($C$5:C98),"000"))</f>
        <v/>
      </c>
      <c r="C98" s="14" t="n"/>
      <c r="D98" s="14" t="n"/>
      <c r="E98" s="14" t="n"/>
      <c r="F98" s="14" t="n"/>
      <c r="G98" s="32" t="n"/>
      <c r="H98" s="39" t="n"/>
      <c r="I98" s="39" t="n"/>
      <c r="J98" s="40">
        <f>IF(OR(H98="",I98=""),"",H98-I98)</f>
        <v/>
      </c>
      <c r="K98" s="39" t="n"/>
      <c r="L98" s="14" t="n"/>
      <c r="M98" s="14" t="n"/>
    </row>
    <row r="99" ht="22" customHeight="1">
      <c r="B99" s="18">
        <f>IF(C99="","DA-"&amp;TEXT(COUNTA($C$5:C99),"000"))</f>
        <v/>
      </c>
      <c r="C99" s="11" t="n"/>
      <c r="D99" s="11" t="n"/>
      <c r="E99" s="11" t="n"/>
      <c r="F99" s="11" t="n"/>
      <c r="G99" s="31" t="n"/>
      <c r="H99" s="37" t="n"/>
      <c r="I99" s="37" t="n"/>
      <c r="J99" s="38">
        <f>IF(OR(H99="",I99=""),"",H99-I99)</f>
        <v/>
      </c>
      <c r="K99" s="37" t="n"/>
      <c r="L99" s="11" t="n"/>
      <c r="M99" s="11" t="n"/>
    </row>
    <row r="100" ht="22" customHeight="1">
      <c r="B100" s="17">
        <f>IF(C100="","DA-"&amp;TEXT(COUNTA($C$5:C100),"000"))</f>
        <v/>
      </c>
      <c r="C100" s="14" t="n"/>
      <c r="D100" s="14" t="n"/>
      <c r="E100" s="14" t="n"/>
      <c r="F100" s="14" t="n"/>
      <c r="G100" s="32" t="n"/>
      <c r="H100" s="39" t="n"/>
      <c r="I100" s="39" t="n"/>
      <c r="J100" s="40">
        <f>IF(OR(H100="",I100=""),"",H100-I100)</f>
        <v/>
      </c>
      <c r="K100" s="39" t="n"/>
      <c r="L100" s="14" t="n"/>
      <c r="M100" s="14" t="n"/>
    </row>
    <row r="101" ht="22" customHeight="1">
      <c r="B101" s="18">
        <f>IF(C101="","DA-"&amp;TEXT(COUNTA($C$5:C101),"000"))</f>
        <v/>
      </c>
      <c r="C101" s="11" t="n"/>
      <c r="D101" s="11" t="n"/>
      <c r="E101" s="11" t="n"/>
      <c r="F101" s="11" t="n"/>
      <c r="G101" s="31" t="n"/>
      <c r="H101" s="37" t="n"/>
      <c r="I101" s="37" t="n"/>
      <c r="J101" s="38">
        <f>IF(OR(H101="",I101=""),"",H101-I101)</f>
        <v/>
      </c>
      <c r="K101" s="37" t="n"/>
      <c r="L101" s="11" t="n"/>
      <c r="M101" s="11" t="n"/>
    </row>
    <row r="102" ht="22" customHeight="1">
      <c r="B102" s="17">
        <f>IF(C102="","DA-"&amp;TEXT(COUNTA($C$5:C102),"000"))</f>
        <v/>
      </c>
      <c r="C102" s="14" t="n"/>
      <c r="D102" s="14" t="n"/>
      <c r="E102" s="14" t="n"/>
      <c r="F102" s="14" t="n"/>
      <c r="G102" s="32" t="n"/>
      <c r="H102" s="39" t="n"/>
      <c r="I102" s="39" t="n"/>
      <c r="J102" s="40">
        <f>IF(OR(H102="",I102=""),"",H102-I102)</f>
        <v/>
      </c>
      <c r="K102" s="39" t="n"/>
      <c r="L102" s="14" t="n"/>
      <c r="M102" s="14" t="n"/>
    </row>
    <row r="103" ht="22" customHeight="1">
      <c r="B103" s="18">
        <f>IF(C103="","DA-"&amp;TEXT(COUNTA($C$5:C103),"000"))</f>
        <v/>
      </c>
      <c r="C103" s="11" t="n"/>
      <c r="D103" s="11" t="n"/>
      <c r="E103" s="11" t="n"/>
      <c r="F103" s="11" t="n"/>
      <c r="G103" s="31" t="n"/>
      <c r="H103" s="37" t="n"/>
      <c r="I103" s="37" t="n"/>
      <c r="J103" s="38">
        <f>IF(OR(H103="",I103=""),"",H103-I103)</f>
        <v/>
      </c>
      <c r="K103" s="37" t="n"/>
      <c r="L103" s="11" t="n"/>
      <c r="M103" s="11" t="n"/>
    </row>
    <row r="104" ht="22" customHeight="1">
      <c r="B104" s="17">
        <f>IF(C104="","DA-"&amp;TEXT(COUNTA($C$5:C104),"000"))</f>
        <v/>
      </c>
      <c r="C104" s="14" t="n"/>
      <c r="D104" s="14" t="n"/>
      <c r="E104" s="14" t="n"/>
      <c r="F104" s="14" t="n"/>
      <c r="G104" s="32" t="n"/>
      <c r="H104" s="39" t="n"/>
      <c r="I104" s="39" t="n"/>
      <c r="J104" s="40">
        <f>IF(OR(H104="",I104=""),"",H104-I104)</f>
        <v/>
      </c>
      <c r="K104" s="39" t="n"/>
      <c r="L104" s="14" t="n"/>
      <c r="M104" s="14" t="n"/>
    </row>
    <row r="105" ht="22" customHeight="1">
      <c r="B105" s="18">
        <f>IF(C105="","DA-"&amp;TEXT(COUNTA($C$5:C105),"000"))</f>
        <v/>
      </c>
      <c r="C105" s="11" t="n"/>
      <c r="D105" s="11" t="n"/>
      <c r="E105" s="11" t="n"/>
      <c r="F105" s="11" t="n"/>
      <c r="G105" s="31" t="n"/>
      <c r="H105" s="37" t="n"/>
      <c r="I105" s="37" t="n"/>
      <c r="J105" s="38">
        <f>IF(OR(H105="",I105=""),"",H105-I105)</f>
        <v/>
      </c>
      <c r="K105" s="37" t="n"/>
      <c r="L105" s="11" t="n"/>
      <c r="M105" s="11" t="n"/>
    </row>
    <row r="106" ht="22" customHeight="1">
      <c r="B106" s="17">
        <f>IF(C106="","DA-"&amp;TEXT(COUNTA($C$5:C106),"000"))</f>
        <v/>
      </c>
      <c r="C106" s="14" t="n"/>
      <c r="D106" s="14" t="n"/>
      <c r="E106" s="14" t="n"/>
      <c r="F106" s="14" t="n"/>
      <c r="G106" s="32" t="n"/>
      <c r="H106" s="39" t="n"/>
      <c r="I106" s="39" t="n"/>
      <c r="J106" s="40">
        <f>IF(OR(H106="",I106=""),"",H106-I106)</f>
        <v/>
      </c>
      <c r="K106" s="39" t="n"/>
      <c r="L106" s="14" t="n"/>
      <c r="M106" s="14" t="n"/>
    </row>
    <row r="107" ht="22" customHeight="1">
      <c r="B107" s="18">
        <f>IF(C107="","DA-"&amp;TEXT(COUNTA($C$5:C107),"000"))</f>
        <v/>
      </c>
      <c r="C107" s="11" t="n"/>
      <c r="D107" s="11" t="n"/>
      <c r="E107" s="11" t="n"/>
      <c r="F107" s="11" t="n"/>
      <c r="G107" s="31" t="n"/>
      <c r="H107" s="37" t="n"/>
      <c r="I107" s="37" t="n"/>
      <c r="J107" s="38">
        <f>IF(OR(H107="",I107=""),"",H107-I107)</f>
        <v/>
      </c>
      <c r="K107" s="37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Indicateurs analyses</t>
        </is>
      </c>
      <c r="D110" s="3" t="inlineStr">
        <is>
          <t>Analyses predictives</t>
        </is>
      </c>
      <c r="F110" s="3" t="inlineStr">
        <is>
          <t>En amelioration</t>
        </is>
      </c>
    </row>
    <row r="111">
      <c r="B111" s="4">
        <f>COUNTIF(B5:B104,"&lt;&gt;")</f>
        <v/>
      </c>
      <c r="D111" s="4">
        <f>COUNTIF(E5:E104,"Predictif")</f>
        <v/>
      </c>
      <c r="F111" s="4">
        <f>COUNTIF(L5:L104,"En amelioration")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3">
    <dataValidation sqref="E5:E107" showDropDown="0" showInputMessage="0" showErrorMessage="0" allowBlank="1" errorTitle="Erreur" error="Valeur invalide" promptTitle="Liste" prompt="Choisir dans la liste" type="list">
      <formula1>'_Lists'!$G$2:$G$9</formula1>
    </dataValidation>
    <dataValidation sqref="F5:F107" showDropDown="0" showInputMessage="0" showErrorMessage="0" allowBlank="1" errorTitle="Erreur" error="Valeur invalide" promptTitle="Liste" prompt="Choisir dans la liste" type="list">
      <formula1>'_Lists'!$O$2:$O$5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38" customWidth="1" min="4" max="4"/>
    <col width="32" customWidth="1" min="5" max="5"/>
    <col width="18" customWidth="1" min="6" max="6"/>
    <col width="18" customWidth="1" min="7" max="7"/>
    <col width="18" customWidth="1" min="8" max="8"/>
    <col width="26" customWidth="1" min="9" max="9"/>
    <col width="22" customWidth="1" min="10" max="10"/>
    <col width="24" customWidth="1" min="11" max="11"/>
    <col width="18" customWidth="1" min="12" max="12"/>
    <col width="36" customWidth="1" min="13" max="13"/>
  </cols>
  <sheetData>
    <row r="1" ht="15" customHeight="1"/>
    <row r="2" ht="32" customHeight="1">
      <c r="B2" s="1" t="inlineStr">
        <is>
          <t>SIRH &amp; SYSTEMES D'INFORMATION RH (#161)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Module SIRH</t>
        </is>
      </c>
      <c r="D4" s="10" t="inlineStr">
        <is>
          <t>Fonctionnalites Cles</t>
        </is>
      </c>
      <c r="E4" s="10" t="inlineStr">
        <is>
          <t>Utilisateurs Cles</t>
        </is>
      </c>
      <c r="F4" s="10" t="inlineStr">
        <is>
          <t>Date Mise en Service</t>
        </is>
      </c>
      <c r="G4" s="10" t="inlineStr">
        <is>
          <t>Derniere Mise a Jour</t>
        </is>
      </c>
      <c r="H4" s="10" t="inlineStr">
        <is>
          <t>Nb Pannes / Mois</t>
        </is>
      </c>
      <c r="I4" s="10" t="inlineStr">
        <is>
          <t>Temps Indisponibilite (h/m)</t>
        </is>
      </c>
      <c r="J4" s="10" t="inlineStr">
        <is>
          <t>Taux Disponibilite (%)</t>
        </is>
      </c>
      <c r="K4" s="10" t="inlineStr">
        <is>
          <t>Satisfaction Utilisateurs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SIRH-001</t>
        </is>
      </c>
      <c r="C5" s="11" t="inlineStr">
        <is>
          <t>Module Paie</t>
        </is>
      </c>
      <c r="D5" s="11" t="inlineStr">
        <is>
          <t>Calcul paie, bulletins, declarations CNPS</t>
        </is>
      </c>
      <c r="E5" s="11" t="inlineStr">
        <is>
          <t>DAF, Comptable senior, DRH</t>
        </is>
      </c>
      <c r="F5" s="31" t="n">
        <v>45078</v>
      </c>
      <c r="G5" s="31" t="n">
        <v>45703</v>
      </c>
      <c r="H5" s="12" t="n">
        <v>1</v>
      </c>
      <c r="I5" s="12" t="n">
        <v>2</v>
      </c>
      <c r="J5" s="37" t="n"/>
      <c r="K5" s="11" t="inlineStr">
        <is>
          <t>Satisfait</t>
        </is>
      </c>
      <c r="L5" s="11" t="inlineStr">
        <is>
          <t>En production</t>
        </is>
      </c>
      <c r="M5" s="11" t="inlineStr">
        <is>
          <t>MAJ reglementaire mars 2025</t>
        </is>
      </c>
    </row>
    <row r="6" ht="22" customHeight="1">
      <c r="B6" s="14" t="inlineStr">
        <is>
          <t>SIRH-002</t>
        </is>
      </c>
      <c r="C6" s="14" t="inlineStr">
        <is>
          <t>Module Recrutement</t>
        </is>
      </c>
      <c r="D6" s="14" t="inlineStr">
        <is>
          <t>Offres, CV, entretiens, integration</t>
        </is>
      </c>
      <c r="E6" s="14" t="inlineStr">
        <is>
          <t>DRH, Assistante RH, Chefs service</t>
        </is>
      </c>
      <c r="F6" s="32" t="n">
        <v>45292</v>
      </c>
      <c r="G6" s="32" t="n">
        <v>45717</v>
      </c>
      <c r="H6" s="15" t="n">
        <v>0</v>
      </c>
      <c r="I6" s="15" t="n">
        <v>0</v>
      </c>
      <c r="J6" s="39" t="n"/>
      <c r="K6" s="14" t="inlineStr">
        <is>
          <t>Tres satisfait</t>
        </is>
      </c>
      <c r="L6" s="14" t="inlineStr">
        <is>
          <t>En production</t>
        </is>
      </c>
      <c r="M6" s="14" t="inlineStr">
        <is>
          <t>Integration WTJ operationnelle</t>
        </is>
      </c>
    </row>
    <row r="7" ht="22" customHeight="1">
      <c r="B7" s="11" t="inlineStr">
        <is>
          <t>SIRH-003</t>
        </is>
      </c>
      <c r="C7" s="11" t="inlineStr">
        <is>
          <t>Module Temps &amp; Activites</t>
        </is>
      </c>
      <c r="D7" s="11" t="inlineStr">
        <is>
          <t>Pointage, planning, conges, heures sup.</t>
        </is>
      </c>
      <c r="E7" s="11" t="inlineStr">
        <is>
          <t>Tous les managers</t>
        </is>
      </c>
      <c r="F7" s="31" t="n">
        <v>45444</v>
      </c>
      <c r="G7" s="31" t="n">
        <v>45677</v>
      </c>
      <c r="H7" s="12" t="n">
        <v>2</v>
      </c>
      <c r="I7" s="12" t="n">
        <v>4</v>
      </c>
      <c r="J7" s="37" t="n"/>
      <c r="K7" s="11" t="inlineStr">
        <is>
          <t>Neutre</t>
        </is>
      </c>
      <c r="L7" s="11" t="inlineStr">
        <is>
          <t>En production</t>
        </is>
      </c>
      <c r="M7" s="11" t="inlineStr">
        <is>
          <t>App mobile en cours dev</t>
        </is>
      </c>
    </row>
    <row r="8" ht="22" customHeight="1">
      <c r="B8" s="17">
        <f>IF(C8="","SIRH-"&amp;TEXT(COUNTA($C$5:C8),"000"))</f>
        <v/>
      </c>
      <c r="C8" s="14" t="n"/>
      <c r="D8" s="14" t="n"/>
      <c r="E8" s="14" t="n"/>
      <c r="F8" s="32" t="n"/>
      <c r="G8" s="32" t="n"/>
      <c r="H8" s="15" t="n"/>
      <c r="I8" s="15" t="n"/>
      <c r="J8" s="39">
        <f>IF(I8="","",1-I8/160)</f>
        <v/>
      </c>
      <c r="K8" s="14" t="n"/>
      <c r="L8" s="14" t="n"/>
      <c r="M8" s="14" t="n"/>
    </row>
    <row r="9" ht="22" customHeight="1">
      <c r="B9" s="18">
        <f>IF(C9="","SIRH-"&amp;TEXT(COUNTA($C$5:C9),"000"))</f>
        <v/>
      </c>
      <c r="C9" s="11" t="n"/>
      <c r="D9" s="11" t="n"/>
      <c r="E9" s="11" t="n"/>
      <c r="F9" s="31" t="n"/>
      <c r="G9" s="31" t="n"/>
      <c r="H9" s="12" t="n"/>
      <c r="I9" s="12" t="n"/>
      <c r="J9" s="37">
        <f>IF(I9="","",1-I9/160)</f>
        <v/>
      </c>
      <c r="K9" s="11" t="n"/>
      <c r="L9" s="11" t="n"/>
      <c r="M9" s="11" t="n"/>
    </row>
    <row r="10" ht="22" customHeight="1">
      <c r="B10" s="17">
        <f>IF(C10="","SIRH-"&amp;TEXT(COUNTA($C$5:C10),"000"))</f>
        <v/>
      </c>
      <c r="C10" s="14" t="n"/>
      <c r="D10" s="14" t="n"/>
      <c r="E10" s="14" t="n"/>
      <c r="F10" s="32" t="n"/>
      <c r="G10" s="32" t="n"/>
      <c r="H10" s="15" t="n"/>
      <c r="I10" s="15" t="n"/>
      <c r="J10" s="39">
        <f>IF(I10="","",1-I10/160)</f>
        <v/>
      </c>
      <c r="K10" s="14" t="n"/>
      <c r="L10" s="14" t="n"/>
      <c r="M10" s="14" t="n"/>
    </row>
    <row r="11" ht="22" customHeight="1">
      <c r="B11" s="18">
        <f>IF(C11="","SIRH-"&amp;TEXT(COUNTA($C$5:C11),"000"))</f>
        <v/>
      </c>
      <c r="C11" s="11" t="n"/>
      <c r="D11" s="11" t="n"/>
      <c r="E11" s="11" t="n"/>
      <c r="F11" s="31" t="n"/>
      <c r="G11" s="31" t="n"/>
      <c r="H11" s="12" t="n"/>
      <c r="I11" s="12" t="n"/>
      <c r="J11" s="37">
        <f>IF(I11="","",1-I11/160)</f>
        <v/>
      </c>
      <c r="K11" s="11" t="n"/>
      <c r="L11" s="11" t="n"/>
      <c r="M11" s="11" t="n"/>
    </row>
    <row r="12" ht="22" customHeight="1">
      <c r="B12" s="17">
        <f>IF(C12="","SIRH-"&amp;TEXT(COUNTA($C$5:C12),"000"))</f>
        <v/>
      </c>
      <c r="C12" s="14" t="n"/>
      <c r="D12" s="14" t="n"/>
      <c r="E12" s="14" t="n"/>
      <c r="F12" s="32" t="n"/>
      <c r="G12" s="32" t="n"/>
      <c r="H12" s="15" t="n"/>
      <c r="I12" s="15" t="n"/>
      <c r="J12" s="39">
        <f>IF(I12="","",1-I12/160)</f>
        <v/>
      </c>
      <c r="K12" s="14" t="n"/>
      <c r="L12" s="14" t="n"/>
      <c r="M12" s="14" t="n"/>
    </row>
    <row r="13" ht="22" customHeight="1">
      <c r="B13" s="18">
        <f>IF(C13="","SIRH-"&amp;TEXT(COUNTA($C$5:C13),"000"))</f>
        <v/>
      </c>
      <c r="C13" s="11" t="n"/>
      <c r="D13" s="11" t="n"/>
      <c r="E13" s="11" t="n"/>
      <c r="F13" s="31" t="n"/>
      <c r="G13" s="31" t="n"/>
      <c r="H13" s="12" t="n"/>
      <c r="I13" s="12" t="n"/>
      <c r="J13" s="37">
        <f>IF(I13="","",1-I13/160)</f>
        <v/>
      </c>
      <c r="K13" s="11" t="n"/>
      <c r="L13" s="11" t="n"/>
      <c r="M13" s="11" t="n"/>
    </row>
    <row r="14" ht="22" customHeight="1">
      <c r="B14" s="17">
        <f>IF(C14="","SIRH-"&amp;TEXT(COUNTA($C$5:C14),"000"))</f>
        <v/>
      </c>
      <c r="C14" s="14" t="n"/>
      <c r="D14" s="14" t="n"/>
      <c r="E14" s="14" t="n"/>
      <c r="F14" s="32" t="n"/>
      <c r="G14" s="32" t="n"/>
      <c r="H14" s="15" t="n"/>
      <c r="I14" s="15" t="n"/>
      <c r="J14" s="39">
        <f>IF(I14="","",1-I14/160)</f>
        <v/>
      </c>
      <c r="K14" s="14" t="n"/>
      <c r="L14" s="14" t="n"/>
      <c r="M14" s="14" t="n"/>
    </row>
    <row r="15" ht="22" customHeight="1">
      <c r="B15" s="18">
        <f>IF(C15="","SIRH-"&amp;TEXT(COUNTA($C$5:C15),"000"))</f>
        <v/>
      </c>
      <c r="C15" s="11" t="n"/>
      <c r="D15" s="11" t="n"/>
      <c r="E15" s="11" t="n"/>
      <c r="F15" s="31" t="n"/>
      <c r="G15" s="31" t="n"/>
      <c r="H15" s="12" t="n"/>
      <c r="I15" s="12" t="n"/>
      <c r="J15" s="37">
        <f>IF(I15="","",1-I15/160)</f>
        <v/>
      </c>
      <c r="K15" s="11" t="n"/>
      <c r="L15" s="11" t="n"/>
      <c r="M15" s="11" t="n"/>
    </row>
    <row r="16" ht="22" customHeight="1">
      <c r="B16" s="17">
        <f>IF(C16="","SIRH-"&amp;TEXT(COUNTA($C$5:C16),"000"))</f>
        <v/>
      </c>
      <c r="C16" s="14" t="n"/>
      <c r="D16" s="14" t="n"/>
      <c r="E16" s="14" t="n"/>
      <c r="F16" s="32" t="n"/>
      <c r="G16" s="32" t="n"/>
      <c r="H16" s="15" t="n"/>
      <c r="I16" s="15" t="n"/>
      <c r="J16" s="39">
        <f>IF(I16="","",1-I16/160)</f>
        <v/>
      </c>
      <c r="K16" s="14" t="n"/>
      <c r="L16" s="14" t="n"/>
      <c r="M16" s="14" t="n"/>
    </row>
    <row r="17" ht="22" customHeight="1">
      <c r="B17" s="18">
        <f>IF(C17="","SIRH-"&amp;TEXT(COUNTA($C$5:C17),"000"))</f>
        <v/>
      </c>
      <c r="C17" s="11" t="n"/>
      <c r="D17" s="11" t="n"/>
      <c r="E17" s="11" t="n"/>
      <c r="F17" s="31" t="n"/>
      <c r="G17" s="31" t="n"/>
      <c r="H17" s="12" t="n"/>
      <c r="I17" s="12" t="n"/>
      <c r="J17" s="37">
        <f>IF(I17="","",1-I17/160)</f>
        <v/>
      </c>
      <c r="K17" s="11" t="n"/>
      <c r="L17" s="11" t="n"/>
      <c r="M17" s="11" t="n"/>
    </row>
    <row r="18" ht="22" customHeight="1">
      <c r="B18" s="17">
        <f>IF(C18="","SIRH-"&amp;TEXT(COUNTA($C$5:C18),"000"))</f>
        <v/>
      </c>
      <c r="C18" s="14" t="n"/>
      <c r="D18" s="14" t="n"/>
      <c r="E18" s="14" t="n"/>
      <c r="F18" s="32" t="n"/>
      <c r="G18" s="32" t="n"/>
      <c r="H18" s="15" t="n"/>
      <c r="I18" s="15" t="n"/>
      <c r="J18" s="39">
        <f>IF(I18="","",1-I18/160)</f>
        <v/>
      </c>
      <c r="K18" s="14" t="n"/>
      <c r="L18" s="14" t="n"/>
      <c r="M18" s="14" t="n"/>
    </row>
    <row r="19" ht="22" customHeight="1">
      <c r="B19" s="18">
        <f>IF(C19="","SIRH-"&amp;TEXT(COUNTA($C$5:C19),"000"))</f>
        <v/>
      </c>
      <c r="C19" s="11" t="n"/>
      <c r="D19" s="11" t="n"/>
      <c r="E19" s="11" t="n"/>
      <c r="F19" s="31" t="n"/>
      <c r="G19" s="31" t="n"/>
      <c r="H19" s="12" t="n"/>
      <c r="I19" s="12" t="n"/>
      <c r="J19" s="37">
        <f>IF(I19="","",1-I19/160)</f>
        <v/>
      </c>
      <c r="K19" s="11" t="n"/>
      <c r="L19" s="11" t="n"/>
      <c r="M19" s="11" t="n"/>
    </row>
    <row r="20" ht="22" customHeight="1">
      <c r="B20" s="17">
        <f>IF(C20="","SIRH-"&amp;TEXT(COUNTA($C$5:C20),"000"))</f>
        <v/>
      </c>
      <c r="C20" s="14" t="n"/>
      <c r="D20" s="14" t="n"/>
      <c r="E20" s="14" t="n"/>
      <c r="F20" s="32" t="n"/>
      <c r="G20" s="32" t="n"/>
      <c r="H20" s="15" t="n"/>
      <c r="I20" s="15" t="n"/>
      <c r="J20" s="39">
        <f>IF(I20="","",1-I20/160)</f>
        <v/>
      </c>
      <c r="K20" s="14" t="n"/>
      <c r="L20" s="14" t="n"/>
      <c r="M20" s="14" t="n"/>
    </row>
    <row r="21" ht="22" customHeight="1">
      <c r="B21" s="18">
        <f>IF(C21="","SIRH-"&amp;TEXT(COUNTA($C$5:C21),"000"))</f>
        <v/>
      </c>
      <c r="C21" s="11" t="n"/>
      <c r="D21" s="11" t="n"/>
      <c r="E21" s="11" t="n"/>
      <c r="F21" s="31" t="n"/>
      <c r="G21" s="31" t="n"/>
      <c r="H21" s="12" t="n"/>
      <c r="I21" s="12" t="n"/>
      <c r="J21" s="37">
        <f>IF(I21="","",1-I21/160)</f>
        <v/>
      </c>
      <c r="K21" s="11" t="n"/>
      <c r="L21" s="11" t="n"/>
      <c r="M21" s="11" t="n"/>
    </row>
    <row r="22" ht="22" customHeight="1">
      <c r="B22" s="17">
        <f>IF(C22="","SIRH-"&amp;TEXT(COUNTA($C$5:C22),"000"))</f>
        <v/>
      </c>
      <c r="C22" s="14" t="n"/>
      <c r="D22" s="14" t="n"/>
      <c r="E22" s="14" t="n"/>
      <c r="F22" s="32" t="n"/>
      <c r="G22" s="32" t="n"/>
      <c r="H22" s="15" t="n"/>
      <c r="I22" s="15" t="n"/>
      <c r="J22" s="39">
        <f>IF(I22="","",1-I22/160)</f>
        <v/>
      </c>
      <c r="K22" s="14" t="n"/>
      <c r="L22" s="14" t="n"/>
      <c r="M22" s="14" t="n"/>
    </row>
    <row r="23" ht="22" customHeight="1">
      <c r="B23" s="18">
        <f>IF(C23="","SIRH-"&amp;TEXT(COUNTA($C$5:C23),"000"))</f>
        <v/>
      </c>
      <c r="C23" s="11" t="n"/>
      <c r="D23" s="11" t="n"/>
      <c r="E23" s="11" t="n"/>
      <c r="F23" s="31" t="n"/>
      <c r="G23" s="31" t="n"/>
      <c r="H23" s="12" t="n"/>
      <c r="I23" s="12" t="n"/>
      <c r="J23" s="37">
        <f>IF(I23="","",1-I23/160)</f>
        <v/>
      </c>
      <c r="K23" s="11" t="n"/>
      <c r="L23" s="11" t="n"/>
      <c r="M23" s="11" t="n"/>
    </row>
    <row r="24" ht="22" customHeight="1">
      <c r="B24" s="17">
        <f>IF(C24="","SIRH-"&amp;TEXT(COUNTA($C$5:C24),"000"))</f>
        <v/>
      </c>
      <c r="C24" s="14" t="n"/>
      <c r="D24" s="14" t="n"/>
      <c r="E24" s="14" t="n"/>
      <c r="F24" s="32" t="n"/>
      <c r="G24" s="32" t="n"/>
      <c r="H24" s="15" t="n"/>
      <c r="I24" s="15" t="n"/>
      <c r="J24" s="39">
        <f>IF(I24="","",1-I24/160)</f>
        <v/>
      </c>
      <c r="K24" s="14" t="n"/>
      <c r="L24" s="14" t="n"/>
      <c r="M24" s="14" t="n"/>
    </row>
    <row r="25" ht="22" customHeight="1">
      <c r="B25" s="18">
        <f>IF(C25="","SIRH-"&amp;TEXT(COUNTA($C$5:C25),"000"))</f>
        <v/>
      </c>
      <c r="C25" s="11" t="n"/>
      <c r="D25" s="11" t="n"/>
      <c r="E25" s="11" t="n"/>
      <c r="F25" s="31" t="n"/>
      <c r="G25" s="31" t="n"/>
      <c r="H25" s="12" t="n"/>
      <c r="I25" s="12" t="n"/>
      <c r="J25" s="37">
        <f>IF(I25="","",1-I25/160)</f>
        <v/>
      </c>
      <c r="K25" s="11" t="n"/>
      <c r="L25" s="11" t="n"/>
      <c r="M25" s="11" t="n"/>
    </row>
    <row r="26" ht="22" customHeight="1">
      <c r="B26" s="17">
        <f>IF(C26="","SIRH-"&amp;TEXT(COUNTA($C$5:C26),"000"))</f>
        <v/>
      </c>
      <c r="C26" s="14" t="n"/>
      <c r="D26" s="14" t="n"/>
      <c r="E26" s="14" t="n"/>
      <c r="F26" s="32" t="n"/>
      <c r="G26" s="32" t="n"/>
      <c r="H26" s="15" t="n"/>
      <c r="I26" s="15" t="n"/>
      <c r="J26" s="39">
        <f>IF(I26="","",1-I26/160)</f>
        <v/>
      </c>
      <c r="K26" s="14" t="n"/>
      <c r="L26" s="14" t="n"/>
      <c r="M26" s="14" t="n"/>
    </row>
    <row r="27" ht="22" customHeight="1">
      <c r="B27" s="18">
        <f>IF(C27="","SIRH-"&amp;TEXT(COUNTA($C$5:C27),"000"))</f>
        <v/>
      </c>
      <c r="C27" s="11" t="n"/>
      <c r="D27" s="11" t="n"/>
      <c r="E27" s="11" t="n"/>
      <c r="F27" s="31" t="n"/>
      <c r="G27" s="31" t="n"/>
      <c r="H27" s="12" t="n"/>
      <c r="I27" s="12" t="n"/>
      <c r="J27" s="37">
        <f>IF(I27="","",1-I27/160)</f>
        <v/>
      </c>
      <c r="K27" s="11" t="n"/>
      <c r="L27" s="11" t="n"/>
      <c r="M27" s="11" t="n"/>
    </row>
    <row r="28" ht="22" customHeight="1">
      <c r="B28" s="17">
        <f>IF(C28="","SIRH-"&amp;TEXT(COUNTA($C$5:C28),"000"))</f>
        <v/>
      </c>
      <c r="C28" s="14" t="n"/>
      <c r="D28" s="14" t="n"/>
      <c r="E28" s="14" t="n"/>
      <c r="F28" s="32" t="n"/>
      <c r="G28" s="32" t="n"/>
      <c r="H28" s="15" t="n"/>
      <c r="I28" s="15" t="n"/>
      <c r="J28" s="39">
        <f>IF(I28="","",1-I28/160)</f>
        <v/>
      </c>
      <c r="K28" s="14" t="n"/>
      <c r="L28" s="14" t="n"/>
      <c r="M28" s="14" t="n"/>
    </row>
    <row r="29" ht="22" customHeight="1">
      <c r="B29" s="18">
        <f>IF(C29="","SIRH-"&amp;TEXT(COUNTA($C$5:C29),"000"))</f>
        <v/>
      </c>
      <c r="C29" s="11" t="n"/>
      <c r="D29" s="11" t="n"/>
      <c r="E29" s="11" t="n"/>
      <c r="F29" s="31" t="n"/>
      <c r="G29" s="31" t="n"/>
      <c r="H29" s="12" t="n"/>
      <c r="I29" s="12" t="n"/>
      <c r="J29" s="37">
        <f>IF(I29="","",1-I29/160)</f>
        <v/>
      </c>
      <c r="K29" s="11" t="n"/>
      <c r="L29" s="11" t="n"/>
      <c r="M29" s="11" t="n"/>
    </row>
    <row r="30" ht="22" customHeight="1">
      <c r="B30" s="17">
        <f>IF(C30="","SIRH-"&amp;TEXT(COUNTA($C$5:C30),"000"))</f>
        <v/>
      </c>
      <c r="C30" s="14" t="n"/>
      <c r="D30" s="14" t="n"/>
      <c r="E30" s="14" t="n"/>
      <c r="F30" s="32" t="n"/>
      <c r="G30" s="32" t="n"/>
      <c r="H30" s="15" t="n"/>
      <c r="I30" s="15" t="n"/>
      <c r="J30" s="39">
        <f>IF(I30="","",1-I30/160)</f>
        <v/>
      </c>
      <c r="K30" s="14" t="n"/>
      <c r="L30" s="14" t="n"/>
      <c r="M30" s="14" t="n"/>
    </row>
    <row r="31" ht="22" customHeight="1">
      <c r="B31" s="18">
        <f>IF(C31="","SIRH-"&amp;TEXT(COUNTA($C$5:C31),"000"))</f>
        <v/>
      </c>
      <c r="C31" s="11" t="n"/>
      <c r="D31" s="11" t="n"/>
      <c r="E31" s="11" t="n"/>
      <c r="F31" s="31" t="n"/>
      <c r="G31" s="31" t="n"/>
      <c r="H31" s="12" t="n"/>
      <c r="I31" s="12" t="n"/>
      <c r="J31" s="37">
        <f>IF(I31="","",1-I31/160)</f>
        <v/>
      </c>
      <c r="K31" s="11" t="n"/>
      <c r="L31" s="11" t="n"/>
      <c r="M31" s="11" t="n"/>
    </row>
    <row r="32" ht="22" customHeight="1">
      <c r="B32" s="17">
        <f>IF(C32="","SIRH-"&amp;TEXT(COUNTA($C$5:C32),"000"))</f>
        <v/>
      </c>
      <c r="C32" s="14" t="n"/>
      <c r="D32" s="14" t="n"/>
      <c r="E32" s="14" t="n"/>
      <c r="F32" s="32" t="n"/>
      <c r="G32" s="32" t="n"/>
      <c r="H32" s="15" t="n"/>
      <c r="I32" s="15" t="n"/>
      <c r="J32" s="39">
        <f>IF(I32="","",1-I32/160)</f>
        <v/>
      </c>
      <c r="K32" s="14" t="n"/>
      <c r="L32" s="14" t="n"/>
      <c r="M32" s="14" t="n"/>
    </row>
    <row r="33" ht="22" customHeight="1">
      <c r="B33" s="18">
        <f>IF(C33="","SIRH-"&amp;TEXT(COUNTA($C$5:C33),"000"))</f>
        <v/>
      </c>
      <c r="C33" s="11" t="n"/>
      <c r="D33" s="11" t="n"/>
      <c r="E33" s="11" t="n"/>
      <c r="F33" s="31" t="n"/>
      <c r="G33" s="31" t="n"/>
      <c r="H33" s="12" t="n"/>
      <c r="I33" s="12" t="n"/>
      <c r="J33" s="37">
        <f>IF(I33="","",1-I33/160)</f>
        <v/>
      </c>
      <c r="K33" s="11" t="n"/>
      <c r="L33" s="11" t="n"/>
      <c r="M33" s="11" t="n"/>
    </row>
    <row r="34" ht="22" customHeight="1">
      <c r="B34" s="17">
        <f>IF(C34="","SIRH-"&amp;TEXT(COUNTA($C$5:C34),"000"))</f>
        <v/>
      </c>
      <c r="C34" s="14" t="n"/>
      <c r="D34" s="14" t="n"/>
      <c r="E34" s="14" t="n"/>
      <c r="F34" s="32" t="n"/>
      <c r="G34" s="32" t="n"/>
      <c r="H34" s="15" t="n"/>
      <c r="I34" s="15" t="n"/>
      <c r="J34" s="39">
        <f>IF(I34="","",1-I34/160)</f>
        <v/>
      </c>
      <c r="K34" s="14" t="n"/>
      <c r="L34" s="14" t="n"/>
      <c r="M34" s="14" t="n"/>
    </row>
    <row r="35" ht="22" customHeight="1">
      <c r="B35" s="18">
        <f>IF(C35="","SIRH-"&amp;TEXT(COUNTA($C$5:C35),"000"))</f>
        <v/>
      </c>
      <c r="C35" s="11" t="n"/>
      <c r="D35" s="11" t="n"/>
      <c r="E35" s="11" t="n"/>
      <c r="F35" s="31" t="n"/>
      <c r="G35" s="31" t="n"/>
      <c r="H35" s="12" t="n"/>
      <c r="I35" s="12" t="n"/>
      <c r="J35" s="37">
        <f>IF(I35="","",1-I35/160)</f>
        <v/>
      </c>
      <c r="K35" s="11" t="n"/>
      <c r="L35" s="11" t="n"/>
      <c r="M35" s="11" t="n"/>
    </row>
    <row r="36" ht="22" customHeight="1">
      <c r="B36" s="17">
        <f>IF(C36="","SIRH-"&amp;TEXT(COUNTA($C$5:C36),"000"))</f>
        <v/>
      </c>
      <c r="C36" s="14" t="n"/>
      <c r="D36" s="14" t="n"/>
      <c r="E36" s="14" t="n"/>
      <c r="F36" s="32" t="n"/>
      <c r="G36" s="32" t="n"/>
      <c r="H36" s="15" t="n"/>
      <c r="I36" s="15" t="n"/>
      <c r="J36" s="39">
        <f>IF(I36="","",1-I36/160)</f>
        <v/>
      </c>
      <c r="K36" s="14" t="n"/>
      <c r="L36" s="14" t="n"/>
      <c r="M36" s="14" t="n"/>
    </row>
    <row r="37" ht="22" customHeight="1">
      <c r="B37" s="18">
        <f>IF(C37="","SIRH-"&amp;TEXT(COUNTA($C$5:C37),"000"))</f>
        <v/>
      </c>
      <c r="C37" s="11" t="n"/>
      <c r="D37" s="11" t="n"/>
      <c r="E37" s="11" t="n"/>
      <c r="F37" s="31" t="n"/>
      <c r="G37" s="31" t="n"/>
      <c r="H37" s="12" t="n"/>
      <c r="I37" s="12" t="n"/>
      <c r="J37" s="37">
        <f>IF(I37="","",1-I37/160)</f>
        <v/>
      </c>
      <c r="K37" s="11" t="n"/>
      <c r="L37" s="11" t="n"/>
      <c r="M37" s="11" t="n"/>
    </row>
    <row r="38" ht="22" customHeight="1">
      <c r="B38" s="17">
        <f>IF(C38="","SIRH-"&amp;TEXT(COUNTA($C$5:C38),"000"))</f>
        <v/>
      </c>
      <c r="C38" s="14" t="n"/>
      <c r="D38" s="14" t="n"/>
      <c r="E38" s="14" t="n"/>
      <c r="F38" s="32" t="n"/>
      <c r="G38" s="32" t="n"/>
      <c r="H38" s="15" t="n"/>
      <c r="I38" s="15" t="n"/>
      <c r="J38" s="39">
        <f>IF(I38="","",1-I38/160)</f>
        <v/>
      </c>
      <c r="K38" s="14" t="n"/>
      <c r="L38" s="14" t="n"/>
      <c r="M38" s="14" t="n"/>
    </row>
    <row r="39" ht="22" customHeight="1">
      <c r="B39" s="18">
        <f>IF(C39="","SIRH-"&amp;TEXT(COUNTA($C$5:C39),"000"))</f>
        <v/>
      </c>
      <c r="C39" s="11" t="n"/>
      <c r="D39" s="11" t="n"/>
      <c r="E39" s="11" t="n"/>
      <c r="F39" s="31" t="n"/>
      <c r="G39" s="31" t="n"/>
      <c r="H39" s="12" t="n"/>
      <c r="I39" s="12" t="n"/>
      <c r="J39" s="37">
        <f>IF(I39="","",1-I39/160)</f>
        <v/>
      </c>
      <c r="K39" s="11" t="n"/>
      <c r="L39" s="11" t="n"/>
      <c r="M39" s="11" t="n"/>
    </row>
    <row r="40" ht="22" customHeight="1">
      <c r="B40" s="17">
        <f>IF(C40="","SIRH-"&amp;TEXT(COUNTA($C$5:C40),"000"))</f>
        <v/>
      </c>
      <c r="C40" s="14" t="n"/>
      <c r="D40" s="14" t="n"/>
      <c r="E40" s="14" t="n"/>
      <c r="F40" s="32" t="n"/>
      <c r="G40" s="32" t="n"/>
      <c r="H40" s="15" t="n"/>
      <c r="I40" s="15" t="n"/>
      <c r="J40" s="39">
        <f>IF(I40="","",1-I40/160)</f>
        <v/>
      </c>
      <c r="K40" s="14" t="n"/>
      <c r="L40" s="14" t="n"/>
      <c r="M40" s="14" t="n"/>
    </row>
    <row r="41" ht="22" customHeight="1">
      <c r="B41" s="18">
        <f>IF(C41="","SIRH-"&amp;TEXT(COUNTA($C$5:C41),"000"))</f>
        <v/>
      </c>
      <c r="C41" s="11" t="n"/>
      <c r="D41" s="11" t="n"/>
      <c r="E41" s="11" t="n"/>
      <c r="F41" s="31" t="n"/>
      <c r="G41" s="31" t="n"/>
      <c r="H41" s="12" t="n"/>
      <c r="I41" s="12" t="n"/>
      <c r="J41" s="37">
        <f>IF(I41="","",1-I41/160)</f>
        <v/>
      </c>
      <c r="K41" s="11" t="n"/>
      <c r="L41" s="11" t="n"/>
      <c r="M41" s="11" t="n"/>
    </row>
    <row r="42" ht="22" customHeight="1">
      <c r="B42" s="17">
        <f>IF(C42="","SIRH-"&amp;TEXT(COUNTA($C$5:C42),"000"))</f>
        <v/>
      </c>
      <c r="C42" s="14" t="n"/>
      <c r="D42" s="14" t="n"/>
      <c r="E42" s="14" t="n"/>
      <c r="F42" s="32" t="n"/>
      <c r="G42" s="32" t="n"/>
      <c r="H42" s="15" t="n"/>
      <c r="I42" s="15" t="n"/>
      <c r="J42" s="39">
        <f>IF(I42="","",1-I42/160)</f>
        <v/>
      </c>
      <c r="K42" s="14" t="n"/>
      <c r="L42" s="14" t="n"/>
      <c r="M42" s="14" t="n"/>
    </row>
    <row r="43" ht="22" customHeight="1">
      <c r="B43" s="18">
        <f>IF(C43="","SIRH-"&amp;TEXT(COUNTA($C$5:C43),"000"))</f>
        <v/>
      </c>
      <c r="C43" s="11" t="n"/>
      <c r="D43" s="11" t="n"/>
      <c r="E43" s="11" t="n"/>
      <c r="F43" s="31" t="n"/>
      <c r="G43" s="31" t="n"/>
      <c r="H43" s="12" t="n"/>
      <c r="I43" s="12" t="n"/>
      <c r="J43" s="37">
        <f>IF(I43="","",1-I43/160)</f>
        <v/>
      </c>
      <c r="K43" s="11" t="n"/>
      <c r="L43" s="11" t="n"/>
      <c r="M43" s="11" t="n"/>
    </row>
    <row r="44" ht="22" customHeight="1">
      <c r="B44" s="17">
        <f>IF(C44="","SIRH-"&amp;TEXT(COUNTA($C$5:C44),"000"))</f>
        <v/>
      </c>
      <c r="C44" s="14" t="n"/>
      <c r="D44" s="14" t="n"/>
      <c r="E44" s="14" t="n"/>
      <c r="F44" s="32" t="n"/>
      <c r="G44" s="32" t="n"/>
      <c r="H44" s="15" t="n"/>
      <c r="I44" s="15" t="n"/>
      <c r="J44" s="39">
        <f>IF(I44="","",1-I44/160)</f>
        <v/>
      </c>
      <c r="K44" s="14" t="n"/>
      <c r="L44" s="14" t="n"/>
      <c r="M44" s="14" t="n"/>
    </row>
    <row r="45" ht="22" customHeight="1">
      <c r="B45" s="18">
        <f>IF(C45="","SIRH-"&amp;TEXT(COUNTA($C$5:C45),"000"))</f>
        <v/>
      </c>
      <c r="C45" s="11" t="n"/>
      <c r="D45" s="11" t="n"/>
      <c r="E45" s="11" t="n"/>
      <c r="F45" s="31" t="n"/>
      <c r="G45" s="31" t="n"/>
      <c r="H45" s="12" t="n"/>
      <c r="I45" s="12" t="n"/>
      <c r="J45" s="37">
        <f>IF(I45="","",1-I45/160)</f>
        <v/>
      </c>
      <c r="K45" s="11" t="n"/>
      <c r="L45" s="11" t="n"/>
      <c r="M45" s="11" t="n"/>
    </row>
    <row r="46" ht="22" customHeight="1">
      <c r="B46" s="17">
        <f>IF(C46="","SIRH-"&amp;TEXT(COUNTA($C$5:C46),"000"))</f>
        <v/>
      </c>
      <c r="C46" s="14" t="n"/>
      <c r="D46" s="14" t="n"/>
      <c r="E46" s="14" t="n"/>
      <c r="F46" s="32" t="n"/>
      <c r="G46" s="32" t="n"/>
      <c r="H46" s="15" t="n"/>
      <c r="I46" s="15" t="n"/>
      <c r="J46" s="39">
        <f>IF(I46="","",1-I46/160)</f>
        <v/>
      </c>
      <c r="K46" s="14" t="n"/>
      <c r="L46" s="14" t="n"/>
      <c r="M46" s="14" t="n"/>
    </row>
    <row r="47" ht="22" customHeight="1">
      <c r="B47" s="18">
        <f>IF(C47="","SIRH-"&amp;TEXT(COUNTA($C$5:C47),"000"))</f>
        <v/>
      </c>
      <c r="C47" s="11" t="n"/>
      <c r="D47" s="11" t="n"/>
      <c r="E47" s="11" t="n"/>
      <c r="F47" s="31" t="n"/>
      <c r="G47" s="31" t="n"/>
      <c r="H47" s="12" t="n"/>
      <c r="I47" s="12" t="n"/>
      <c r="J47" s="37">
        <f>IF(I47="","",1-I47/160)</f>
        <v/>
      </c>
      <c r="K47" s="11" t="n"/>
      <c r="L47" s="11" t="n"/>
      <c r="M47" s="11" t="n"/>
    </row>
    <row r="48" ht="22" customHeight="1">
      <c r="B48" s="17">
        <f>IF(C48="","SIRH-"&amp;TEXT(COUNTA($C$5:C48),"000"))</f>
        <v/>
      </c>
      <c r="C48" s="14" t="n"/>
      <c r="D48" s="14" t="n"/>
      <c r="E48" s="14" t="n"/>
      <c r="F48" s="32" t="n"/>
      <c r="G48" s="32" t="n"/>
      <c r="H48" s="15" t="n"/>
      <c r="I48" s="15" t="n"/>
      <c r="J48" s="39">
        <f>IF(I48="","",1-I48/160)</f>
        <v/>
      </c>
      <c r="K48" s="14" t="n"/>
      <c r="L48" s="14" t="n"/>
      <c r="M48" s="14" t="n"/>
    </row>
    <row r="49" ht="22" customHeight="1">
      <c r="B49" s="18">
        <f>IF(C49="","SIRH-"&amp;TEXT(COUNTA($C$5:C49),"000"))</f>
        <v/>
      </c>
      <c r="C49" s="11" t="n"/>
      <c r="D49" s="11" t="n"/>
      <c r="E49" s="11" t="n"/>
      <c r="F49" s="31" t="n"/>
      <c r="G49" s="31" t="n"/>
      <c r="H49" s="12" t="n"/>
      <c r="I49" s="12" t="n"/>
      <c r="J49" s="37">
        <f>IF(I49="","",1-I49/160)</f>
        <v/>
      </c>
      <c r="K49" s="11" t="n"/>
      <c r="L49" s="11" t="n"/>
      <c r="M49" s="11" t="n"/>
    </row>
    <row r="50" ht="22" customHeight="1">
      <c r="B50" s="17">
        <f>IF(C50="","SIRH-"&amp;TEXT(COUNTA($C$5:C50),"000"))</f>
        <v/>
      </c>
      <c r="C50" s="14" t="n"/>
      <c r="D50" s="14" t="n"/>
      <c r="E50" s="14" t="n"/>
      <c r="F50" s="32" t="n"/>
      <c r="G50" s="32" t="n"/>
      <c r="H50" s="15" t="n"/>
      <c r="I50" s="15" t="n"/>
      <c r="J50" s="39">
        <f>IF(I50="","",1-I50/160)</f>
        <v/>
      </c>
      <c r="K50" s="14" t="n"/>
      <c r="L50" s="14" t="n"/>
      <c r="M50" s="14" t="n"/>
    </row>
    <row r="51" ht="22" customHeight="1">
      <c r="B51" s="18">
        <f>IF(C51="","SIRH-"&amp;TEXT(COUNTA($C$5:C51),"000"))</f>
        <v/>
      </c>
      <c r="C51" s="11" t="n"/>
      <c r="D51" s="11" t="n"/>
      <c r="E51" s="11" t="n"/>
      <c r="F51" s="31" t="n"/>
      <c r="G51" s="31" t="n"/>
      <c r="H51" s="12" t="n"/>
      <c r="I51" s="12" t="n"/>
      <c r="J51" s="37">
        <f>IF(I51="","",1-I51/160)</f>
        <v/>
      </c>
      <c r="K51" s="11" t="n"/>
      <c r="L51" s="11" t="n"/>
      <c r="M51" s="11" t="n"/>
    </row>
    <row r="52" ht="22" customHeight="1">
      <c r="B52" s="17">
        <f>IF(C52="","SIRH-"&amp;TEXT(COUNTA($C$5:C52),"000"))</f>
        <v/>
      </c>
      <c r="C52" s="14" t="n"/>
      <c r="D52" s="14" t="n"/>
      <c r="E52" s="14" t="n"/>
      <c r="F52" s="32" t="n"/>
      <c r="G52" s="32" t="n"/>
      <c r="H52" s="15" t="n"/>
      <c r="I52" s="15" t="n"/>
      <c r="J52" s="39">
        <f>IF(I52="","",1-I52/160)</f>
        <v/>
      </c>
      <c r="K52" s="14" t="n"/>
      <c r="L52" s="14" t="n"/>
      <c r="M52" s="14" t="n"/>
    </row>
    <row r="53" ht="22" customHeight="1">
      <c r="B53" s="18">
        <f>IF(C53="","SIRH-"&amp;TEXT(COUNTA($C$5:C53),"000"))</f>
        <v/>
      </c>
      <c r="C53" s="11" t="n"/>
      <c r="D53" s="11" t="n"/>
      <c r="E53" s="11" t="n"/>
      <c r="F53" s="31" t="n"/>
      <c r="G53" s="31" t="n"/>
      <c r="H53" s="12" t="n"/>
      <c r="I53" s="12" t="n"/>
      <c r="J53" s="37">
        <f>IF(I53="","",1-I53/160)</f>
        <v/>
      </c>
      <c r="K53" s="11" t="n"/>
      <c r="L53" s="11" t="n"/>
      <c r="M53" s="11" t="n"/>
    </row>
    <row r="54" ht="22" customHeight="1">
      <c r="B54" s="17">
        <f>IF(C54="","SIRH-"&amp;TEXT(COUNTA($C$5:C54),"000"))</f>
        <v/>
      </c>
      <c r="C54" s="14" t="n"/>
      <c r="D54" s="14" t="n"/>
      <c r="E54" s="14" t="n"/>
      <c r="F54" s="32" t="n"/>
      <c r="G54" s="32" t="n"/>
      <c r="H54" s="15" t="n"/>
      <c r="I54" s="15" t="n"/>
      <c r="J54" s="39">
        <f>IF(I54="","",1-I54/160)</f>
        <v/>
      </c>
      <c r="K54" s="14" t="n"/>
      <c r="L54" s="14" t="n"/>
      <c r="M54" s="14" t="n"/>
    </row>
    <row r="55" ht="22" customHeight="1">
      <c r="B55" s="18">
        <f>IF(C55="","SIRH-"&amp;TEXT(COUNTA($C$5:C55),"000"))</f>
        <v/>
      </c>
      <c r="C55" s="11" t="n"/>
      <c r="D55" s="11" t="n"/>
      <c r="E55" s="11" t="n"/>
      <c r="F55" s="31" t="n"/>
      <c r="G55" s="31" t="n"/>
      <c r="H55" s="12" t="n"/>
      <c r="I55" s="12" t="n"/>
      <c r="J55" s="37">
        <f>IF(I55="","",1-I55/160)</f>
        <v/>
      </c>
      <c r="K55" s="11" t="n"/>
      <c r="L55" s="11" t="n"/>
      <c r="M55" s="11" t="n"/>
    </row>
    <row r="56" ht="22" customHeight="1">
      <c r="B56" s="17">
        <f>IF(C56="","SIRH-"&amp;TEXT(COUNTA($C$5:C56),"000"))</f>
        <v/>
      </c>
      <c r="C56" s="14" t="n"/>
      <c r="D56" s="14" t="n"/>
      <c r="E56" s="14" t="n"/>
      <c r="F56" s="32" t="n"/>
      <c r="G56" s="32" t="n"/>
      <c r="H56" s="15" t="n"/>
      <c r="I56" s="15" t="n"/>
      <c r="J56" s="39">
        <f>IF(I56="","",1-I56/160)</f>
        <v/>
      </c>
      <c r="K56" s="14" t="n"/>
      <c r="L56" s="14" t="n"/>
      <c r="M56" s="14" t="n"/>
    </row>
    <row r="57" ht="22" customHeight="1">
      <c r="B57" s="18">
        <f>IF(C57="","SIRH-"&amp;TEXT(COUNTA($C$5:C57),"000"))</f>
        <v/>
      </c>
      <c r="C57" s="11" t="n"/>
      <c r="D57" s="11" t="n"/>
      <c r="E57" s="11" t="n"/>
      <c r="F57" s="31" t="n"/>
      <c r="G57" s="31" t="n"/>
      <c r="H57" s="12" t="n"/>
      <c r="I57" s="12" t="n"/>
      <c r="J57" s="37">
        <f>IF(I57="","",1-I57/160)</f>
        <v/>
      </c>
      <c r="K57" s="11" t="n"/>
      <c r="L57" s="11" t="n"/>
      <c r="M57" s="11" t="n"/>
    </row>
    <row r="58" ht="22" customHeight="1">
      <c r="B58" s="17">
        <f>IF(C58="","SIRH-"&amp;TEXT(COUNTA($C$5:C58),"000"))</f>
        <v/>
      </c>
      <c r="C58" s="14" t="n"/>
      <c r="D58" s="14" t="n"/>
      <c r="E58" s="14" t="n"/>
      <c r="F58" s="32" t="n"/>
      <c r="G58" s="32" t="n"/>
      <c r="H58" s="15" t="n"/>
      <c r="I58" s="15" t="n"/>
      <c r="J58" s="39">
        <f>IF(I58="","",1-I58/160)</f>
        <v/>
      </c>
      <c r="K58" s="14" t="n"/>
      <c r="L58" s="14" t="n"/>
      <c r="M58" s="14" t="n"/>
    </row>
    <row r="59" ht="22" customHeight="1">
      <c r="B59" s="18">
        <f>IF(C59="","SIRH-"&amp;TEXT(COUNTA($C$5:C59),"000"))</f>
        <v/>
      </c>
      <c r="C59" s="11" t="n"/>
      <c r="D59" s="11" t="n"/>
      <c r="E59" s="11" t="n"/>
      <c r="F59" s="31" t="n"/>
      <c r="G59" s="31" t="n"/>
      <c r="H59" s="12" t="n"/>
      <c r="I59" s="12" t="n"/>
      <c r="J59" s="37">
        <f>IF(I59="","",1-I59/160)</f>
        <v/>
      </c>
      <c r="K59" s="11" t="n"/>
      <c r="L59" s="11" t="n"/>
      <c r="M59" s="11" t="n"/>
    </row>
    <row r="60" ht="22" customHeight="1">
      <c r="B60" s="17">
        <f>IF(C60="","SIRH-"&amp;TEXT(COUNTA($C$5:C60),"000"))</f>
        <v/>
      </c>
      <c r="C60" s="14" t="n"/>
      <c r="D60" s="14" t="n"/>
      <c r="E60" s="14" t="n"/>
      <c r="F60" s="32" t="n"/>
      <c r="G60" s="32" t="n"/>
      <c r="H60" s="15" t="n"/>
      <c r="I60" s="15" t="n"/>
      <c r="J60" s="39">
        <f>IF(I60="","",1-I60/160)</f>
        <v/>
      </c>
      <c r="K60" s="14" t="n"/>
      <c r="L60" s="14" t="n"/>
      <c r="M60" s="14" t="n"/>
    </row>
    <row r="61" ht="22" customHeight="1">
      <c r="B61" s="18">
        <f>IF(C61="","SIRH-"&amp;TEXT(COUNTA($C$5:C61),"000"))</f>
        <v/>
      </c>
      <c r="C61" s="11" t="n"/>
      <c r="D61" s="11" t="n"/>
      <c r="E61" s="11" t="n"/>
      <c r="F61" s="31" t="n"/>
      <c r="G61" s="31" t="n"/>
      <c r="H61" s="12" t="n"/>
      <c r="I61" s="12" t="n"/>
      <c r="J61" s="37">
        <f>IF(I61="","",1-I61/160)</f>
        <v/>
      </c>
      <c r="K61" s="11" t="n"/>
      <c r="L61" s="11" t="n"/>
      <c r="M61" s="11" t="n"/>
    </row>
    <row r="62" ht="22" customHeight="1">
      <c r="B62" s="17">
        <f>IF(C62="","SIRH-"&amp;TEXT(COUNTA($C$5:C62),"000"))</f>
        <v/>
      </c>
      <c r="C62" s="14" t="n"/>
      <c r="D62" s="14" t="n"/>
      <c r="E62" s="14" t="n"/>
      <c r="F62" s="32" t="n"/>
      <c r="G62" s="32" t="n"/>
      <c r="H62" s="15" t="n"/>
      <c r="I62" s="15" t="n"/>
      <c r="J62" s="39">
        <f>IF(I62="","",1-I62/160)</f>
        <v/>
      </c>
      <c r="K62" s="14" t="n"/>
      <c r="L62" s="14" t="n"/>
      <c r="M62" s="14" t="n"/>
    </row>
    <row r="63" ht="22" customHeight="1">
      <c r="B63" s="18">
        <f>IF(C63="","SIRH-"&amp;TEXT(COUNTA($C$5:C63),"000"))</f>
        <v/>
      </c>
      <c r="C63" s="11" t="n"/>
      <c r="D63" s="11" t="n"/>
      <c r="E63" s="11" t="n"/>
      <c r="F63" s="31" t="n"/>
      <c r="G63" s="31" t="n"/>
      <c r="H63" s="12" t="n"/>
      <c r="I63" s="12" t="n"/>
      <c r="J63" s="37">
        <f>IF(I63="","",1-I63/160)</f>
        <v/>
      </c>
      <c r="K63" s="11" t="n"/>
      <c r="L63" s="11" t="n"/>
      <c r="M63" s="11" t="n"/>
    </row>
    <row r="64" ht="22" customHeight="1">
      <c r="B64" s="17">
        <f>IF(C64="","SIRH-"&amp;TEXT(COUNTA($C$5:C64),"000"))</f>
        <v/>
      </c>
      <c r="C64" s="14" t="n"/>
      <c r="D64" s="14" t="n"/>
      <c r="E64" s="14" t="n"/>
      <c r="F64" s="32" t="n"/>
      <c r="G64" s="32" t="n"/>
      <c r="H64" s="15" t="n"/>
      <c r="I64" s="15" t="n"/>
      <c r="J64" s="39">
        <f>IF(I64="","",1-I64/160)</f>
        <v/>
      </c>
      <c r="K64" s="14" t="n"/>
      <c r="L64" s="14" t="n"/>
      <c r="M64" s="14" t="n"/>
    </row>
    <row r="65" ht="22" customHeight="1">
      <c r="B65" s="18">
        <f>IF(C65="","SIRH-"&amp;TEXT(COUNTA($C$5:C65),"000"))</f>
        <v/>
      </c>
      <c r="C65" s="11" t="n"/>
      <c r="D65" s="11" t="n"/>
      <c r="E65" s="11" t="n"/>
      <c r="F65" s="31" t="n"/>
      <c r="G65" s="31" t="n"/>
      <c r="H65" s="12" t="n"/>
      <c r="I65" s="12" t="n"/>
      <c r="J65" s="37">
        <f>IF(I65="","",1-I65/160)</f>
        <v/>
      </c>
      <c r="K65" s="11" t="n"/>
      <c r="L65" s="11" t="n"/>
      <c r="M65" s="11" t="n"/>
    </row>
    <row r="66" ht="22" customHeight="1">
      <c r="B66" s="17">
        <f>IF(C66="","SIRH-"&amp;TEXT(COUNTA($C$5:C66),"000"))</f>
        <v/>
      </c>
      <c r="C66" s="14" t="n"/>
      <c r="D66" s="14" t="n"/>
      <c r="E66" s="14" t="n"/>
      <c r="F66" s="32" t="n"/>
      <c r="G66" s="32" t="n"/>
      <c r="H66" s="15" t="n"/>
      <c r="I66" s="15" t="n"/>
      <c r="J66" s="39">
        <f>IF(I66="","",1-I66/160)</f>
        <v/>
      </c>
      <c r="K66" s="14" t="n"/>
      <c r="L66" s="14" t="n"/>
      <c r="M66" s="14" t="n"/>
    </row>
    <row r="67" ht="22" customHeight="1">
      <c r="B67" s="18">
        <f>IF(C67="","SIRH-"&amp;TEXT(COUNTA($C$5:C67),"000"))</f>
        <v/>
      </c>
      <c r="C67" s="11" t="n"/>
      <c r="D67" s="11" t="n"/>
      <c r="E67" s="11" t="n"/>
      <c r="F67" s="31" t="n"/>
      <c r="G67" s="31" t="n"/>
      <c r="H67" s="12" t="n"/>
      <c r="I67" s="12" t="n"/>
      <c r="J67" s="37">
        <f>IF(I67="","",1-I67/160)</f>
        <v/>
      </c>
      <c r="K67" s="11" t="n"/>
      <c r="L67" s="11" t="n"/>
      <c r="M67" s="11" t="n"/>
    </row>
    <row r="68" ht="22" customHeight="1">
      <c r="B68" s="17">
        <f>IF(C68="","SIRH-"&amp;TEXT(COUNTA($C$5:C68),"000"))</f>
        <v/>
      </c>
      <c r="C68" s="14" t="n"/>
      <c r="D68" s="14" t="n"/>
      <c r="E68" s="14" t="n"/>
      <c r="F68" s="32" t="n"/>
      <c r="G68" s="32" t="n"/>
      <c r="H68" s="15" t="n"/>
      <c r="I68" s="15" t="n"/>
      <c r="J68" s="39">
        <f>IF(I68="","",1-I68/160)</f>
        <v/>
      </c>
      <c r="K68" s="14" t="n"/>
      <c r="L68" s="14" t="n"/>
      <c r="M68" s="14" t="n"/>
    </row>
    <row r="69" ht="22" customHeight="1">
      <c r="B69" s="18">
        <f>IF(C69="","SIRH-"&amp;TEXT(COUNTA($C$5:C69),"000"))</f>
        <v/>
      </c>
      <c r="C69" s="11" t="n"/>
      <c r="D69" s="11" t="n"/>
      <c r="E69" s="11" t="n"/>
      <c r="F69" s="31" t="n"/>
      <c r="G69" s="31" t="n"/>
      <c r="H69" s="12" t="n"/>
      <c r="I69" s="12" t="n"/>
      <c r="J69" s="37">
        <f>IF(I69="","",1-I69/160)</f>
        <v/>
      </c>
      <c r="K69" s="11" t="n"/>
      <c r="L69" s="11" t="n"/>
      <c r="M69" s="11" t="n"/>
    </row>
    <row r="70" ht="22" customHeight="1">
      <c r="B70" s="17">
        <f>IF(C70="","SIRH-"&amp;TEXT(COUNTA($C$5:C70),"000"))</f>
        <v/>
      </c>
      <c r="C70" s="14" t="n"/>
      <c r="D70" s="14" t="n"/>
      <c r="E70" s="14" t="n"/>
      <c r="F70" s="32" t="n"/>
      <c r="G70" s="32" t="n"/>
      <c r="H70" s="15" t="n"/>
      <c r="I70" s="15" t="n"/>
      <c r="J70" s="39">
        <f>IF(I70="","",1-I70/160)</f>
        <v/>
      </c>
      <c r="K70" s="14" t="n"/>
      <c r="L70" s="14" t="n"/>
      <c r="M70" s="14" t="n"/>
    </row>
    <row r="71" ht="22" customHeight="1">
      <c r="B71" s="18">
        <f>IF(C71="","SIRH-"&amp;TEXT(COUNTA($C$5:C71),"000"))</f>
        <v/>
      </c>
      <c r="C71" s="11" t="n"/>
      <c r="D71" s="11" t="n"/>
      <c r="E71" s="11" t="n"/>
      <c r="F71" s="31" t="n"/>
      <c r="G71" s="31" t="n"/>
      <c r="H71" s="12" t="n"/>
      <c r="I71" s="12" t="n"/>
      <c r="J71" s="37">
        <f>IF(I71="","",1-I71/160)</f>
        <v/>
      </c>
      <c r="K71" s="11" t="n"/>
      <c r="L71" s="11" t="n"/>
      <c r="M71" s="11" t="n"/>
    </row>
    <row r="72" ht="22" customHeight="1">
      <c r="B72" s="17">
        <f>IF(C72="","SIRH-"&amp;TEXT(COUNTA($C$5:C72),"000"))</f>
        <v/>
      </c>
      <c r="C72" s="14" t="n"/>
      <c r="D72" s="14" t="n"/>
      <c r="E72" s="14" t="n"/>
      <c r="F72" s="32" t="n"/>
      <c r="G72" s="32" t="n"/>
      <c r="H72" s="15" t="n"/>
      <c r="I72" s="15" t="n"/>
      <c r="J72" s="39">
        <f>IF(I72="","",1-I72/160)</f>
        <v/>
      </c>
      <c r="K72" s="14" t="n"/>
      <c r="L72" s="14" t="n"/>
      <c r="M72" s="14" t="n"/>
    </row>
    <row r="73" ht="22" customHeight="1">
      <c r="B73" s="18">
        <f>IF(C73="","SIRH-"&amp;TEXT(COUNTA($C$5:C73),"000"))</f>
        <v/>
      </c>
      <c r="C73" s="11" t="n"/>
      <c r="D73" s="11" t="n"/>
      <c r="E73" s="11" t="n"/>
      <c r="F73" s="31" t="n"/>
      <c r="G73" s="31" t="n"/>
      <c r="H73" s="12" t="n"/>
      <c r="I73" s="12" t="n"/>
      <c r="J73" s="37">
        <f>IF(I73="","",1-I73/160)</f>
        <v/>
      </c>
      <c r="K73" s="11" t="n"/>
      <c r="L73" s="11" t="n"/>
      <c r="M73" s="11" t="n"/>
    </row>
    <row r="74" ht="22" customHeight="1">
      <c r="B74" s="17">
        <f>IF(C74="","SIRH-"&amp;TEXT(COUNTA($C$5:C74),"000"))</f>
        <v/>
      </c>
      <c r="C74" s="14" t="n"/>
      <c r="D74" s="14" t="n"/>
      <c r="E74" s="14" t="n"/>
      <c r="F74" s="32" t="n"/>
      <c r="G74" s="32" t="n"/>
      <c r="H74" s="15" t="n"/>
      <c r="I74" s="15" t="n"/>
      <c r="J74" s="39">
        <f>IF(I74="","",1-I74/160)</f>
        <v/>
      </c>
      <c r="K74" s="14" t="n"/>
      <c r="L74" s="14" t="n"/>
      <c r="M74" s="14" t="n"/>
    </row>
    <row r="75" ht="22" customHeight="1">
      <c r="B75" s="18">
        <f>IF(C75="","SIRH-"&amp;TEXT(COUNTA($C$5:C75),"000"))</f>
        <v/>
      </c>
      <c r="C75" s="11" t="n"/>
      <c r="D75" s="11" t="n"/>
      <c r="E75" s="11" t="n"/>
      <c r="F75" s="31" t="n"/>
      <c r="G75" s="31" t="n"/>
      <c r="H75" s="12" t="n"/>
      <c r="I75" s="12" t="n"/>
      <c r="J75" s="37">
        <f>IF(I75="","",1-I75/160)</f>
        <v/>
      </c>
      <c r="K75" s="11" t="n"/>
      <c r="L75" s="11" t="n"/>
      <c r="M75" s="11" t="n"/>
    </row>
    <row r="76" ht="22" customHeight="1">
      <c r="B76" s="17">
        <f>IF(C76="","SIRH-"&amp;TEXT(COUNTA($C$5:C76),"000"))</f>
        <v/>
      </c>
      <c r="C76" s="14" t="n"/>
      <c r="D76" s="14" t="n"/>
      <c r="E76" s="14" t="n"/>
      <c r="F76" s="32" t="n"/>
      <c r="G76" s="32" t="n"/>
      <c r="H76" s="15" t="n"/>
      <c r="I76" s="15" t="n"/>
      <c r="J76" s="39">
        <f>IF(I76="","",1-I76/160)</f>
        <v/>
      </c>
      <c r="K76" s="14" t="n"/>
      <c r="L76" s="14" t="n"/>
      <c r="M76" s="14" t="n"/>
    </row>
    <row r="77" ht="22" customHeight="1">
      <c r="B77" s="18">
        <f>IF(C77="","SIRH-"&amp;TEXT(COUNTA($C$5:C77),"000"))</f>
        <v/>
      </c>
      <c r="C77" s="11" t="n"/>
      <c r="D77" s="11" t="n"/>
      <c r="E77" s="11" t="n"/>
      <c r="F77" s="31" t="n"/>
      <c r="G77" s="31" t="n"/>
      <c r="H77" s="12" t="n"/>
      <c r="I77" s="12" t="n"/>
      <c r="J77" s="37">
        <f>IF(I77="","",1-I77/160)</f>
        <v/>
      </c>
      <c r="K77" s="11" t="n"/>
      <c r="L77" s="11" t="n"/>
      <c r="M77" s="11" t="n"/>
    </row>
    <row r="78" ht="22" customHeight="1">
      <c r="B78" s="17">
        <f>IF(C78="","SIRH-"&amp;TEXT(COUNTA($C$5:C78),"000"))</f>
        <v/>
      </c>
      <c r="C78" s="14" t="n"/>
      <c r="D78" s="14" t="n"/>
      <c r="E78" s="14" t="n"/>
      <c r="F78" s="32" t="n"/>
      <c r="G78" s="32" t="n"/>
      <c r="H78" s="15" t="n"/>
      <c r="I78" s="15" t="n"/>
      <c r="J78" s="39">
        <f>IF(I78="","",1-I78/160)</f>
        <v/>
      </c>
      <c r="K78" s="14" t="n"/>
      <c r="L78" s="14" t="n"/>
      <c r="M78" s="14" t="n"/>
    </row>
    <row r="79" ht="22" customHeight="1">
      <c r="B79" s="18">
        <f>IF(C79="","SIRH-"&amp;TEXT(COUNTA($C$5:C79),"000"))</f>
        <v/>
      </c>
      <c r="C79" s="11" t="n"/>
      <c r="D79" s="11" t="n"/>
      <c r="E79" s="11" t="n"/>
      <c r="F79" s="31" t="n"/>
      <c r="G79" s="31" t="n"/>
      <c r="H79" s="12" t="n"/>
      <c r="I79" s="12" t="n"/>
      <c r="J79" s="37">
        <f>IF(I79="","",1-I79/160)</f>
        <v/>
      </c>
      <c r="K79" s="11" t="n"/>
      <c r="L79" s="11" t="n"/>
      <c r="M79" s="11" t="n"/>
    </row>
    <row r="80" ht="22" customHeight="1">
      <c r="B80" s="17">
        <f>IF(C80="","SIRH-"&amp;TEXT(COUNTA($C$5:C80),"000"))</f>
        <v/>
      </c>
      <c r="C80" s="14" t="n"/>
      <c r="D80" s="14" t="n"/>
      <c r="E80" s="14" t="n"/>
      <c r="F80" s="32" t="n"/>
      <c r="G80" s="32" t="n"/>
      <c r="H80" s="15" t="n"/>
      <c r="I80" s="15" t="n"/>
      <c r="J80" s="39">
        <f>IF(I80="","",1-I80/160)</f>
        <v/>
      </c>
      <c r="K80" s="14" t="n"/>
      <c r="L80" s="14" t="n"/>
      <c r="M80" s="14" t="n"/>
    </row>
    <row r="81" ht="22" customHeight="1">
      <c r="B81" s="18">
        <f>IF(C81="","SIRH-"&amp;TEXT(COUNTA($C$5:C81),"000"))</f>
        <v/>
      </c>
      <c r="C81" s="11" t="n"/>
      <c r="D81" s="11" t="n"/>
      <c r="E81" s="11" t="n"/>
      <c r="F81" s="31" t="n"/>
      <c r="G81" s="31" t="n"/>
      <c r="H81" s="12" t="n"/>
      <c r="I81" s="12" t="n"/>
      <c r="J81" s="37">
        <f>IF(I81="","",1-I81/160)</f>
        <v/>
      </c>
      <c r="K81" s="11" t="n"/>
      <c r="L81" s="11" t="n"/>
      <c r="M81" s="11" t="n"/>
    </row>
    <row r="82" ht="22" customHeight="1">
      <c r="B82" s="17">
        <f>IF(C82="","SIRH-"&amp;TEXT(COUNTA($C$5:C82),"000"))</f>
        <v/>
      </c>
      <c r="C82" s="14" t="n"/>
      <c r="D82" s="14" t="n"/>
      <c r="E82" s="14" t="n"/>
      <c r="F82" s="32" t="n"/>
      <c r="G82" s="32" t="n"/>
      <c r="H82" s="15" t="n"/>
      <c r="I82" s="15" t="n"/>
      <c r="J82" s="39">
        <f>IF(I82="","",1-I82/160)</f>
        <v/>
      </c>
      <c r="K82" s="14" t="n"/>
      <c r="L82" s="14" t="n"/>
      <c r="M82" s="14" t="n"/>
    </row>
    <row r="83" ht="22" customHeight="1">
      <c r="B83" s="18">
        <f>IF(C83="","SIRH-"&amp;TEXT(COUNTA($C$5:C83),"000"))</f>
        <v/>
      </c>
      <c r="C83" s="11" t="n"/>
      <c r="D83" s="11" t="n"/>
      <c r="E83" s="11" t="n"/>
      <c r="F83" s="31" t="n"/>
      <c r="G83" s="31" t="n"/>
      <c r="H83" s="12" t="n"/>
      <c r="I83" s="12" t="n"/>
      <c r="J83" s="37">
        <f>IF(I83="","",1-I83/160)</f>
        <v/>
      </c>
      <c r="K83" s="11" t="n"/>
      <c r="L83" s="11" t="n"/>
      <c r="M83" s="11" t="n"/>
    </row>
    <row r="84" ht="22" customHeight="1">
      <c r="B84" s="17">
        <f>IF(C84="","SIRH-"&amp;TEXT(COUNTA($C$5:C84),"000"))</f>
        <v/>
      </c>
      <c r="C84" s="14" t="n"/>
      <c r="D84" s="14" t="n"/>
      <c r="E84" s="14" t="n"/>
      <c r="F84" s="32" t="n"/>
      <c r="G84" s="32" t="n"/>
      <c r="H84" s="15" t="n"/>
      <c r="I84" s="15" t="n"/>
      <c r="J84" s="39">
        <f>IF(I84="","",1-I84/160)</f>
        <v/>
      </c>
      <c r="K84" s="14" t="n"/>
      <c r="L84" s="14" t="n"/>
      <c r="M84" s="14" t="n"/>
    </row>
    <row r="85" ht="22" customHeight="1">
      <c r="B85" s="18">
        <f>IF(C85="","SIRH-"&amp;TEXT(COUNTA($C$5:C85),"000"))</f>
        <v/>
      </c>
      <c r="C85" s="11" t="n"/>
      <c r="D85" s="11" t="n"/>
      <c r="E85" s="11" t="n"/>
      <c r="F85" s="31" t="n"/>
      <c r="G85" s="31" t="n"/>
      <c r="H85" s="12" t="n"/>
      <c r="I85" s="12" t="n"/>
      <c r="J85" s="37">
        <f>IF(I85="","",1-I85/160)</f>
        <v/>
      </c>
      <c r="K85" s="11" t="n"/>
      <c r="L85" s="11" t="n"/>
      <c r="M85" s="11" t="n"/>
    </row>
    <row r="86" ht="22" customHeight="1">
      <c r="B86" s="17">
        <f>IF(C86="","SIRH-"&amp;TEXT(COUNTA($C$5:C86),"000"))</f>
        <v/>
      </c>
      <c r="C86" s="14" t="n"/>
      <c r="D86" s="14" t="n"/>
      <c r="E86" s="14" t="n"/>
      <c r="F86" s="32" t="n"/>
      <c r="G86" s="32" t="n"/>
      <c r="H86" s="15" t="n"/>
      <c r="I86" s="15" t="n"/>
      <c r="J86" s="39">
        <f>IF(I86="","",1-I86/160)</f>
        <v/>
      </c>
      <c r="K86" s="14" t="n"/>
      <c r="L86" s="14" t="n"/>
      <c r="M86" s="14" t="n"/>
    </row>
    <row r="87" ht="22" customHeight="1">
      <c r="B87" s="18">
        <f>IF(C87="","SIRH-"&amp;TEXT(COUNTA($C$5:C87),"000"))</f>
        <v/>
      </c>
      <c r="C87" s="11" t="n"/>
      <c r="D87" s="11" t="n"/>
      <c r="E87" s="11" t="n"/>
      <c r="F87" s="31" t="n"/>
      <c r="G87" s="31" t="n"/>
      <c r="H87" s="12" t="n"/>
      <c r="I87" s="12" t="n"/>
      <c r="J87" s="37">
        <f>IF(I87="","",1-I87/160)</f>
        <v/>
      </c>
      <c r="K87" s="11" t="n"/>
      <c r="L87" s="11" t="n"/>
      <c r="M87" s="11" t="n"/>
    </row>
    <row r="88" ht="22" customHeight="1">
      <c r="B88" s="17">
        <f>IF(C88="","SIRH-"&amp;TEXT(COUNTA($C$5:C88),"000"))</f>
        <v/>
      </c>
      <c r="C88" s="14" t="n"/>
      <c r="D88" s="14" t="n"/>
      <c r="E88" s="14" t="n"/>
      <c r="F88" s="32" t="n"/>
      <c r="G88" s="32" t="n"/>
      <c r="H88" s="15" t="n"/>
      <c r="I88" s="15" t="n"/>
      <c r="J88" s="39">
        <f>IF(I88="","",1-I88/160)</f>
        <v/>
      </c>
      <c r="K88" s="14" t="n"/>
      <c r="L88" s="14" t="n"/>
      <c r="M88" s="14" t="n"/>
    </row>
    <row r="89" ht="22" customHeight="1">
      <c r="B89" s="18">
        <f>IF(C89="","SIRH-"&amp;TEXT(COUNTA($C$5:C89),"000"))</f>
        <v/>
      </c>
      <c r="C89" s="11" t="n"/>
      <c r="D89" s="11" t="n"/>
      <c r="E89" s="11" t="n"/>
      <c r="F89" s="31" t="n"/>
      <c r="G89" s="31" t="n"/>
      <c r="H89" s="12" t="n"/>
      <c r="I89" s="12" t="n"/>
      <c r="J89" s="37">
        <f>IF(I89="","",1-I89/160)</f>
        <v/>
      </c>
      <c r="K89" s="11" t="n"/>
      <c r="L89" s="11" t="n"/>
      <c r="M89" s="11" t="n"/>
    </row>
    <row r="90" ht="22" customHeight="1">
      <c r="B90" s="17">
        <f>IF(C90="","SIRH-"&amp;TEXT(COUNTA($C$5:C90),"000"))</f>
        <v/>
      </c>
      <c r="C90" s="14" t="n"/>
      <c r="D90" s="14" t="n"/>
      <c r="E90" s="14" t="n"/>
      <c r="F90" s="32" t="n"/>
      <c r="G90" s="32" t="n"/>
      <c r="H90" s="15" t="n"/>
      <c r="I90" s="15" t="n"/>
      <c r="J90" s="39">
        <f>IF(I90="","",1-I90/160)</f>
        <v/>
      </c>
      <c r="K90" s="14" t="n"/>
      <c r="L90" s="14" t="n"/>
      <c r="M90" s="14" t="n"/>
    </row>
    <row r="91" ht="22" customHeight="1">
      <c r="B91" s="18">
        <f>IF(C91="","SIRH-"&amp;TEXT(COUNTA($C$5:C91),"000"))</f>
        <v/>
      </c>
      <c r="C91" s="11" t="n"/>
      <c r="D91" s="11" t="n"/>
      <c r="E91" s="11" t="n"/>
      <c r="F91" s="31" t="n"/>
      <c r="G91" s="31" t="n"/>
      <c r="H91" s="12" t="n"/>
      <c r="I91" s="12" t="n"/>
      <c r="J91" s="37">
        <f>IF(I91="","",1-I91/160)</f>
        <v/>
      </c>
      <c r="K91" s="11" t="n"/>
      <c r="L91" s="11" t="n"/>
      <c r="M91" s="11" t="n"/>
    </row>
    <row r="92" ht="22" customHeight="1">
      <c r="B92" s="17">
        <f>IF(C92="","SIRH-"&amp;TEXT(COUNTA($C$5:C92),"000"))</f>
        <v/>
      </c>
      <c r="C92" s="14" t="n"/>
      <c r="D92" s="14" t="n"/>
      <c r="E92" s="14" t="n"/>
      <c r="F92" s="32" t="n"/>
      <c r="G92" s="32" t="n"/>
      <c r="H92" s="15" t="n"/>
      <c r="I92" s="15" t="n"/>
      <c r="J92" s="39">
        <f>IF(I92="","",1-I92/160)</f>
        <v/>
      </c>
      <c r="K92" s="14" t="n"/>
      <c r="L92" s="14" t="n"/>
      <c r="M92" s="14" t="n"/>
    </row>
    <row r="93" ht="22" customHeight="1">
      <c r="B93" s="18">
        <f>IF(C93="","SIRH-"&amp;TEXT(COUNTA($C$5:C93),"000"))</f>
        <v/>
      </c>
      <c r="C93" s="11" t="n"/>
      <c r="D93" s="11" t="n"/>
      <c r="E93" s="11" t="n"/>
      <c r="F93" s="31" t="n"/>
      <c r="G93" s="31" t="n"/>
      <c r="H93" s="12" t="n"/>
      <c r="I93" s="12" t="n"/>
      <c r="J93" s="37">
        <f>IF(I93="","",1-I93/160)</f>
        <v/>
      </c>
      <c r="K93" s="11" t="n"/>
      <c r="L93" s="11" t="n"/>
      <c r="M93" s="11" t="n"/>
    </row>
    <row r="94" ht="22" customHeight="1">
      <c r="B94" s="17">
        <f>IF(C94="","SIRH-"&amp;TEXT(COUNTA($C$5:C94),"000"))</f>
        <v/>
      </c>
      <c r="C94" s="14" t="n"/>
      <c r="D94" s="14" t="n"/>
      <c r="E94" s="14" t="n"/>
      <c r="F94" s="32" t="n"/>
      <c r="G94" s="32" t="n"/>
      <c r="H94" s="15" t="n"/>
      <c r="I94" s="15" t="n"/>
      <c r="J94" s="39">
        <f>IF(I94="","",1-I94/160)</f>
        <v/>
      </c>
      <c r="K94" s="14" t="n"/>
      <c r="L94" s="14" t="n"/>
      <c r="M94" s="14" t="n"/>
    </row>
    <row r="95" ht="22" customHeight="1">
      <c r="B95" s="18">
        <f>IF(C95="","SIRH-"&amp;TEXT(COUNTA($C$5:C95),"000"))</f>
        <v/>
      </c>
      <c r="C95" s="11" t="n"/>
      <c r="D95" s="11" t="n"/>
      <c r="E95" s="11" t="n"/>
      <c r="F95" s="31" t="n"/>
      <c r="G95" s="31" t="n"/>
      <c r="H95" s="12" t="n"/>
      <c r="I95" s="12" t="n"/>
      <c r="J95" s="37">
        <f>IF(I95="","",1-I95/160)</f>
        <v/>
      </c>
      <c r="K95" s="11" t="n"/>
      <c r="L95" s="11" t="n"/>
      <c r="M95" s="11" t="n"/>
    </row>
    <row r="96" ht="22" customHeight="1">
      <c r="B96" s="17">
        <f>IF(C96="","SIRH-"&amp;TEXT(COUNTA($C$5:C96),"000"))</f>
        <v/>
      </c>
      <c r="C96" s="14" t="n"/>
      <c r="D96" s="14" t="n"/>
      <c r="E96" s="14" t="n"/>
      <c r="F96" s="32" t="n"/>
      <c r="G96" s="32" t="n"/>
      <c r="H96" s="15" t="n"/>
      <c r="I96" s="15" t="n"/>
      <c r="J96" s="39">
        <f>IF(I96="","",1-I96/160)</f>
        <v/>
      </c>
      <c r="K96" s="14" t="n"/>
      <c r="L96" s="14" t="n"/>
      <c r="M96" s="14" t="n"/>
    </row>
    <row r="97" ht="22" customHeight="1">
      <c r="B97" s="18">
        <f>IF(C97="","SIRH-"&amp;TEXT(COUNTA($C$5:C97),"000"))</f>
        <v/>
      </c>
      <c r="C97" s="11" t="n"/>
      <c r="D97" s="11" t="n"/>
      <c r="E97" s="11" t="n"/>
      <c r="F97" s="31" t="n"/>
      <c r="G97" s="31" t="n"/>
      <c r="H97" s="12" t="n"/>
      <c r="I97" s="12" t="n"/>
      <c r="J97" s="37">
        <f>IF(I97="","",1-I97/160)</f>
        <v/>
      </c>
      <c r="K97" s="11" t="n"/>
      <c r="L97" s="11" t="n"/>
      <c r="M97" s="11" t="n"/>
    </row>
    <row r="98" ht="22" customHeight="1">
      <c r="B98" s="17">
        <f>IF(C98="","SIRH-"&amp;TEXT(COUNTA($C$5:C98),"000"))</f>
        <v/>
      </c>
      <c r="C98" s="14" t="n"/>
      <c r="D98" s="14" t="n"/>
      <c r="E98" s="14" t="n"/>
      <c r="F98" s="32" t="n"/>
      <c r="G98" s="32" t="n"/>
      <c r="H98" s="15" t="n"/>
      <c r="I98" s="15" t="n"/>
      <c r="J98" s="39">
        <f>IF(I98="","",1-I98/160)</f>
        <v/>
      </c>
      <c r="K98" s="14" t="n"/>
      <c r="L98" s="14" t="n"/>
      <c r="M98" s="14" t="n"/>
    </row>
    <row r="99" ht="22" customHeight="1">
      <c r="B99" s="18">
        <f>IF(C99="","SIRH-"&amp;TEXT(COUNTA($C$5:C99),"000"))</f>
        <v/>
      </c>
      <c r="C99" s="11" t="n"/>
      <c r="D99" s="11" t="n"/>
      <c r="E99" s="11" t="n"/>
      <c r="F99" s="31" t="n"/>
      <c r="G99" s="31" t="n"/>
      <c r="H99" s="12" t="n"/>
      <c r="I99" s="12" t="n"/>
      <c r="J99" s="37">
        <f>IF(I99="","",1-I99/160)</f>
        <v/>
      </c>
      <c r="K99" s="11" t="n"/>
      <c r="L99" s="11" t="n"/>
      <c r="M99" s="11" t="n"/>
    </row>
    <row r="100" ht="22" customHeight="1">
      <c r="B100" s="17">
        <f>IF(C100="","SIRH-"&amp;TEXT(COUNTA($C$5:C100),"000"))</f>
        <v/>
      </c>
      <c r="C100" s="14" t="n"/>
      <c r="D100" s="14" t="n"/>
      <c r="E100" s="14" t="n"/>
      <c r="F100" s="32" t="n"/>
      <c r="G100" s="32" t="n"/>
      <c r="H100" s="15" t="n"/>
      <c r="I100" s="15" t="n"/>
      <c r="J100" s="39">
        <f>IF(I100="","",1-I100/160)</f>
        <v/>
      </c>
      <c r="K100" s="14" t="n"/>
      <c r="L100" s="14" t="n"/>
      <c r="M100" s="14" t="n"/>
    </row>
    <row r="101" ht="22" customHeight="1">
      <c r="B101" s="18">
        <f>IF(C101="","SIRH-"&amp;TEXT(COUNTA($C$5:C101),"000"))</f>
        <v/>
      </c>
      <c r="C101" s="11" t="n"/>
      <c r="D101" s="11" t="n"/>
      <c r="E101" s="11" t="n"/>
      <c r="F101" s="31" t="n"/>
      <c r="G101" s="31" t="n"/>
      <c r="H101" s="12" t="n"/>
      <c r="I101" s="12" t="n"/>
      <c r="J101" s="37">
        <f>IF(I101="","",1-I101/160)</f>
        <v/>
      </c>
      <c r="K101" s="11" t="n"/>
      <c r="L101" s="11" t="n"/>
      <c r="M101" s="11" t="n"/>
    </row>
    <row r="102" ht="22" customHeight="1">
      <c r="B102" s="17">
        <f>IF(C102="","SIRH-"&amp;TEXT(COUNTA($C$5:C102),"000"))</f>
        <v/>
      </c>
      <c r="C102" s="14" t="n"/>
      <c r="D102" s="14" t="n"/>
      <c r="E102" s="14" t="n"/>
      <c r="F102" s="32" t="n"/>
      <c r="G102" s="32" t="n"/>
      <c r="H102" s="15" t="n"/>
      <c r="I102" s="15" t="n"/>
      <c r="J102" s="39">
        <f>IF(I102="","",1-I102/160)</f>
        <v/>
      </c>
      <c r="K102" s="14" t="n"/>
      <c r="L102" s="14" t="n"/>
      <c r="M102" s="14" t="n"/>
    </row>
    <row r="103" ht="22" customHeight="1">
      <c r="B103" s="18">
        <f>IF(C103="","SIRH-"&amp;TEXT(COUNTA($C$5:C103),"000"))</f>
        <v/>
      </c>
      <c r="C103" s="11" t="n"/>
      <c r="D103" s="11" t="n"/>
      <c r="E103" s="11" t="n"/>
      <c r="F103" s="31" t="n"/>
      <c r="G103" s="31" t="n"/>
      <c r="H103" s="12" t="n"/>
      <c r="I103" s="12" t="n"/>
      <c r="J103" s="37">
        <f>IF(I103="","",1-I103/160)</f>
        <v/>
      </c>
      <c r="K103" s="11" t="n"/>
      <c r="L103" s="11" t="n"/>
      <c r="M103" s="11" t="n"/>
    </row>
    <row r="104" ht="22" customHeight="1">
      <c r="B104" s="17">
        <f>IF(C104="","SIRH-"&amp;TEXT(COUNTA($C$5:C104),"000"))</f>
        <v/>
      </c>
      <c r="C104" s="14" t="n"/>
      <c r="D104" s="14" t="n"/>
      <c r="E104" s="14" t="n"/>
      <c r="F104" s="32" t="n"/>
      <c r="G104" s="32" t="n"/>
      <c r="H104" s="15" t="n"/>
      <c r="I104" s="15" t="n"/>
      <c r="J104" s="39">
        <f>IF(I104="","",1-I104/160)</f>
        <v/>
      </c>
      <c r="K104" s="14" t="n"/>
      <c r="L104" s="14" t="n"/>
      <c r="M104" s="14" t="n"/>
    </row>
    <row r="105" ht="22" customHeight="1">
      <c r="B105" s="18">
        <f>IF(C105="","SIRH-"&amp;TEXT(COUNTA($C$5:C105),"000"))</f>
        <v/>
      </c>
      <c r="C105" s="11" t="n"/>
      <c r="D105" s="11" t="n"/>
      <c r="E105" s="11" t="n"/>
      <c r="F105" s="31" t="n"/>
      <c r="G105" s="31" t="n"/>
      <c r="H105" s="12" t="n"/>
      <c r="I105" s="12" t="n"/>
      <c r="J105" s="37">
        <f>IF(I105="","",1-I105/160)</f>
        <v/>
      </c>
      <c r="K105" s="11" t="n"/>
      <c r="L105" s="11" t="n"/>
      <c r="M105" s="11" t="n"/>
    </row>
    <row r="106" ht="22" customHeight="1">
      <c r="B106" s="17">
        <f>IF(C106="","SIRH-"&amp;TEXT(COUNTA($C$5:C106),"000"))</f>
        <v/>
      </c>
      <c r="C106" s="14" t="n"/>
      <c r="D106" s="14" t="n"/>
      <c r="E106" s="14" t="n"/>
      <c r="F106" s="32" t="n"/>
      <c r="G106" s="32" t="n"/>
      <c r="H106" s="15" t="n"/>
      <c r="I106" s="15" t="n"/>
      <c r="J106" s="39">
        <f>IF(I106="","",1-I106/160)</f>
        <v/>
      </c>
      <c r="K106" s="14" t="n"/>
      <c r="L106" s="14" t="n"/>
      <c r="M106" s="14" t="n"/>
    </row>
    <row r="107" ht="22" customHeight="1">
      <c r="B107" s="18">
        <f>IF(C107="","SIRH-"&amp;TEXT(COUNTA($C$5:C107),"000"))</f>
        <v/>
      </c>
      <c r="C107" s="11" t="n"/>
      <c r="D107" s="11" t="n"/>
      <c r="E107" s="11" t="n"/>
      <c r="F107" s="31" t="n"/>
      <c r="G107" s="31" t="n"/>
      <c r="H107" s="12" t="n"/>
      <c r="I107" s="12" t="n"/>
      <c r="J107" s="37">
        <f>IF(I107="","",1-I107/160)</f>
        <v/>
      </c>
      <c r="K107" s="11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Modules SIRH</t>
        </is>
      </c>
      <c r="D110" s="3" t="inlineStr">
        <is>
          <t>En production</t>
        </is>
      </c>
      <c r="F110" s="3" t="inlineStr">
        <is>
          <t>Pannes totales/mois</t>
        </is>
      </c>
    </row>
    <row r="111">
      <c r="B111" s="4">
        <f>COUNTIF(B5:B104,"&lt;&gt;")</f>
        <v/>
      </c>
      <c r="D111" s="4">
        <f>COUNTIF(L5:L104,"En production")</f>
        <v/>
      </c>
      <c r="F111" s="4">
        <f>SUM(H5:H104)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K5:K107" showDropDown="0" showInputMessage="0" showErrorMessage="0" allowBlank="1" errorTitle="Erreur" error="Valeur invalide" promptTitle="Liste" prompt="Choisir dans la liste" type="list">
      <formula1>'_Lists'!$S$2:$S$6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6" customWidth="1" min="5" max="5"/>
    <col width="18" customWidth="1" min="6" max="6"/>
    <col width="20" customWidth="1" min="7" max="7"/>
    <col width="22" customWidth="1" min="8" max="8"/>
    <col width="20" customWidth="1" min="9" max="9"/>
    <col width="18" customWidth="1" min="10" max="10"/>
    <col width="22" customWidth="1" min="11" max="11"/>
    <col width="16" customWidth="1" min="12" max="12"/>
    <col width="18" customWidth="1" min="13" max="13"/>
  </cols>
  <sheetData>
    <row r="1" ht="15" customHeight="1"/>
    <row r="2" ht="32" customHeight="1">
      <c r="B2" s="1" t="inlineStr">
        <is>
          <t>DIGITAL LEARNING &amp; E-LEARNING (#162)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Module E-Learning</t>
        </is>
      </c>
      <c r="D4" s="10" t="inlineStr">
        <is>
          <t>Plateforme</t>
        </is>
      </c>
      <c r="E4" s="10" t="inlineStr">
        <is>
          <t>Categorie</t>
        </is>
      </c>
      <c r="F4" s="10" t="inlineStr">
        <is>
          <t>Nb Inscriptions</t>
        </is>
      </c>
      <c r="G4" s="10" t="inlineStr">
        <is>
          <t>Nb Completions</t>
        </is>
      </c>
      <c r="H4" s="10" t="inlineStr">
        <is>
          <t>Taux Completion (%)</t>
        </is>
      </c>
      <c r="I4" s="10" t="inlineStr">
        <is>
          <t>Duree Moyenne (min)</t>
        </is>
      </c>
      <c r="J4" s="10" t="inlineStr">
        <is>
          <t>Score Moyen Quiz</t>
        </is>
      </c>
      <c r="K4" s="10" t="inlineStr">
        <is>
          <t>Satisfaction Moyenne</t>
        </is>
      </c>
      <c r="L4" s="10" t="inlineStr">
        <is>
          <t>Date Lancement</t>
        </is>
      </c>
      <c r="M4" s="10" t="inlineStr">
        <is>
          <t>Statut</t>
        </is>
      </c>
    </row>
    <row r="5" ht="22" customHeight="1">
      <c r="B5" s="11" t="inlineStr">
        <is>
          <t>EL-001</t>
        </is>
      </c>
      <c r="C5" s="11" t="inlineStr">
        <is>
          <t>Accueil &amp; Securite Hotel</t>
        </is>
      </c>
      <c r="D5" s="11" t="inlineStr">
        <is>
          <t>Moodle interne</t>
        </is>
      </c>
      <c r="E5" s="11" t="inlineStr">
        <is>
          <t>Sécurité</t>
        </is>
      </c>
      <c r="F5" s="12" t="n">
        <v>48</v>
      </c>
      <c r="G5" s="12" t="n">
        <v>42</v>
      </c>
      <c r="H5" s="37" t="n"/>
      <c r="I5" s="12" t="n">
        <v>45</v>
      </c>
      <c r="J5" s="33" t="n">
        <v>82</v>
      </c>
      <c r="K5" s="33" t="n">
        <v>4.2</v>
      </c>
      <c r="L5" s="31" t="n">
        <v>45667</v>
      </c>
      <c r="M5" s="11" t="inlineStr">
        <is>
          <t>En production</t>
        </is>
      </c>
    </row>
    <row r="6" ht="22" customHeight="1">
      <c r="B6" s="14" t="inlineStr">
        <is>
          <t>EL-002</t>
        </is>
      </c>
      <c r="C6" s="14" t="inlineStr">
        <is>
          <t>Excel avanc pour RH</t>
        </is>
      </c>
      <c r="D6" s="14" t="inlineStr">
        <is>
          <t>LinkedIn Learning</t>
        </is>
      </c>
      <c r="E6" s="14" t="inlineStr">
        <is>
          <t>Bureautique</t>
        </is>
      </c>
      <c r="F6" s="15" t="n">
        <v>25</v>
      </c>
      <c r="G6" s="15" t="n">
        <v>18</v>
      </c>
      <c r="H6" s="39" t="n"/>
      <c r="I6" s="15" t="n">
        <v>120</v>
      </c>
      <c r="J6" s="35" t="n">
        <v>75</v>
      </c>
      <c r="K6" s="35" t="n">
        <v>3.8</v>
      </c>
      <c r="L6" s="32" t="n">
        <v>45689</v>
      </c>
      <c r="M6" s="14" t="inlineStr">
        <is>
          <t>En production</t>
        </is>
      </c>
    </row>
    <row r="7" ht="22" customHeight="1">
      <c r="B7" s="11" t="inlineStr">
        <is>
          <t>EL-003</t>
        </is>
      </c>
      <c r="C7" s="11" t="inlineStr">
        <is>
          <t>Gestion conflits au travail</t>
        </is>
      </c>
      <c r="D7" s="11" t="inlineStr">
        <is>
          <t>Moodle interne</t>
        </is>
      </c>
      <c r="E7" s="11" t="inlineStr">
        <is>
          <t>Soft skills</t>
        </is>
      </c>
      <c r="F7" s="12" t="n">
        <v>30</v>
      </c>
      <c r="G7" s="12" t="n">
        <v>12</v>
      </c>
      <c r="H7" s="37" t="n"/>
      <c r="I7" s="12" t="n">
        <v>60</v>
      </c>
      <c r="J7" s="33" t="n">
        <v>88</v>
      </c>
      <c r="K7" s="33" t="n">
        <v>4.5</v>
      </c>
      <c r="L7" s="31" t="n">
        <v>45717</v>
      </c>
      <c r="M7" s="11" t="inlineStr">
        <is>
          <t>En cours</t>
        </is>
      </c>
    </row>
    <row r="8" ht="22" customHeight="1">
      <c r="B8" s="17">
        <f>IF(C8="","EL-"&amp;TEXT(COUNTA($C$5:C8),"000"))</f>
        <v/>
      </c>
      <c r="C8" s="14" t="n"/>
      <c r="D8" s="14" t="n"/>
      <c r="E8" s="14" t="n"/>
      <c r="F8" s="15" t="n"/>
      <c r="G8" s="15" t="n"/>
      <c r="H8" s="39">
        <f>IF(F8="","",G8/F8)</f>
        <v/>
      </c>
      <c r="I8" s="15" t="n"/>
      <c r="J8" s="35" t="n"/>
      <c r="K8" s="35" t="n"/>
      <c r="L8" s="32" t="n"/>
      <c r="M8" s="14" t="n"/>
    </row>
    <row r="9" ht="22" customHeight="1">
      <c r="B9" s="18">
        <f>IF(C9="","EL-"&amp;TEXT(COUNTA($C$5:C9),"000"))</f>
        <v/>
      </c>
      <c r="C9" s="11" t="n"/>
      <c r="D9" s="11" t="n"/>
      <c r="E9" s="11" t="n"/>
      <c r="F9" s="12" t="n"/>
      <c r="G9" s="12" t="n"/>
      <c r="H9" s="37">
        <f>IF(F9="","",G9/F9)</f>
        <v/>
      </c>
      <c r="I9" s="12" t="n"/>
      <c r="J9" s="33" t="n"/>
      <c r="K9" s="33" t="n"/>
      <c r="L9" s="31" t="n"/>
      <c r="M9" s="11" t="n"/>
    </row>
    <row r="10" ht="22" customHeight="1">
      <c r="B10" s="17">
        <f>IF(C10="","EL-"&amp;TEXT(COUNTA($C$5:C10),"000"))</f>
        <v/>
      </c>
      <c r="C10" s="14" t="n"/>
      <c r="D10" s="14" t="n"/>
      <c r="E10" s="14" t="n"/>
      <c r="F10" s="15" t="n"/>
      <c r="G10" s="15" t="n"/>
      <c r="H10" s="39">
        <f>IF(F10="","",G10/F10)</f>
        <v/>
      </c>
      <c r="I10" s="15" t="n"/>
      <c r="J10" s="35" t="n"/>
      <c r="K10" s="35" t="n"/>
      <c r="L10" s="32" t="n"/>
      <c r="M10" s="14" t="n"/>
    </row>
    <row r="11" ht="22" customHeight="1">
      <c r="B11" s="18">
        <f>IF(C11="","EL-"&amp;TEXT(COUNTA($C$5:C11),"000"))</f>
        <v/>
      </c>
      <c r="C11" s="11" t="n"/>
      <c r="D11" s="11" t="n"/>
      <c r="E11" s="11" t="n"/>
      <c r="F11" s="12" t="n"/>
      <c r="G11" s="12" t="n"/>
      <c r="H11" s="37">
        <f>IF(F11="","",G11/F11)</f>
        <v/>
      </c>
      <c r="I11" s="12" t="n"/>
      <c r="J11" s="33" t="n"/>
      <c r="K11" s="33" t="n"/>
      <c r="L11" s="31" t="n"/>
      <c r="M11" s="11" t="n"/>
    </row>
    <row r="12" ht="22" customHeight="1">
      <c r="B12" s="17">
        <f>IF(C12="","EL-"&amp;TEXT(COUNTA($C$5:C12),"000"))</f>
        <v/>
      </c>
      <c r="C12" s="14" t="n"/>
      <c r="D12" s="14" t="n"/>
      <c r="E12" s="14" t="n"/>
      <c r="F12" s="15" t="n"/>
      <c r="G12" s="15" t="n"/>
      <c r="H12" s="39">
        <f>IF(F12="","",G12/F12)</f>
        <v/>
      </c>
      <c r="I12" s="15" t="n"/>
      <c r="J12" s="35" t="n"/>
      <c r="K12" s="35" t="n"/>
      <c r="L12" s="32" t="n"/>
      <c r="M12" s="14" t="n"/>
    </row>
    <row r="13" ht="22" customHeight="1">
      <c r="B13" s="18">
        <f>IF(C13="","EL-"&amp;TEXT(COUNTA($C$5:C13),"000"))</f>
        <v/>
      </c>
      <c r="C13" s="11" t="n"/>
      <c r="D13" s="11" t="n"/>
      <c r="E13" s="11" t="n"/>
      <c r="F13" s="12" t="n"/>
      <c r="G13" s="12" t="n"/>
      <c r="H13" s="37">
        <f>IF(F13="","",G13/F13)</f>
        <v/>
      </c>
      <c r="I13" s="12" t="n"/>
      <c r="J13" s="33" t="n"/>
      <c r="K13" s="33" t="n"/>
      <c r="L13" s="31" t="n"/>
      <c r="M13" s="11" t="n"/>
    </row>
    <row r="14" ht="22" customHeight="1">
      <c r="B14" s="17">
        <f>IF(C14="","EL-"&amp;TEXT(COUNTA($C$5:C14),"000"))</f>
        <v/>
      </c>
      <c r="C14" s="14" t="n"/>
      <c r="D14" s="14" t="n"/>
      <c r="E14" s="14" t="n"/>
      <c r="F14" s="15" t="n"/>
      <c r="G14" s="15" t="n"/>
      <c r="H14" s="39">
        <f>IF(F14="","",G14/F14)</f>
        <v/>
      </c>
      <c r="I14" s="15" t="n"/>
      <c r="J14" s="35" t="n"/>
      <c r="K14" s="35" t="n"/>
      <c r="L14" s="32" t="n"/>
      <c r="M14" s="14" t="n"/>
    </row>
    <row r="15" ht="22" customHeight="1">
      <c r="B15" s="18">
        <f>IF(C15="","EL-"&amp;TEXT(COUNTA($C$5:C15),"000"))</f>
        <v/>
      </c>
      <c r="C15" s="11" t="n"/>
      <c r="D15" s="11" t="n"/>
      <c r="E15" s="11" t="n"/>
      <c r="F15" s="12" t="n"/>
      <c r="G15" s="12" t="n"/>
      <c r="H15" s="37">
        <f>IF(F15="","",G15/F15)</f>
        <v/>
      </c>
      <c r="I15" s="12" t="n"/>
      <c r="J15" s="33" t="n"/>
      <c r="K15" s="33" t="n"/>
      <c r="L15" s="31" t="n"/>
      <c r="M15" s="11" t="n"/>
    </row>
    <row r="16" ht="22" customHeight="1">
      <c r="B16" s="17">
        <f>IF(C16="","EL-"&amp;TEXT(COUNTA($C$5:C16),"000"))</f>
        <v/>
      </c>
      <c r="C16" s="14" t="n"/>
      <c r="D16" s="14" t="n"/>
      <c r="E16" s="14" t="n"/>
      <c r="F16" s="15" t="n"/>
      <c r="G16" s="15" t="n"/>
      <c r="H16" s="39">
        <f>IF(F16="","",G16/F16)</f>
        <v/>
      </c>
      <c r="I16" s="15" t="n"/>
      <c r="J16" s="35" t="n"/>
      <c r="K16" s="35" t="n"/>
      <c r="L16" s="32" t="n"/>
      <c r="M16" s="14" t="n"/>
    </row>
    <row r="17" ht="22" customHeight="1">
      <c r="B17" s="18">
        <f>IF(C17="","EL-"&amp;TEXT(COUNTA($C$5:C17),"000"))</f>
        <v/>
      </c>
      <c r="C17" s="11" t="n"/>
      <c r="D17" s="11" t="n"/>
      <c r="E17" s="11" t="n"/>
      <c r="F17" s="12" t="n"/>
      <c r="G17" s="12" t="n"/>
      <c r="H17" s="37">
        <f>IF(F17="","",G17/F17)</f>
        <v/>
      </c>
      <c r="I17" s="12" t="n"/>
      <c r="J17" s="33" t="n"/>
      <c r="K17" s="33" t="n"/>
      <c r="L17" s="31" t="n"/>
      <c r="M17" s="11" t="n"/>
    </row>
    <row r="18" ht="22" customHeight="1">
      <c r="B18" s="17">
        <f>IF(C18="","EL-"&amp;TEXT(COUNTA($C$5:C18),"000"))</f>
        <v/>
      </c>
      <c r="C18" s="14" t="n"/>
      <c r="D18" s="14" t="n"/>
      <c r="E18" s="14" t="n"/>
      <c r="F18" s="15" t="n"/>
      <c r="G18" s="15" t="n"/>
      <c r="H18" s="39">
        <f>IF(F18="","",G18/F18)</f>
        <v/>
      </c>
      <c r="I18" s="15" t="n"/>
      <c r="J18" s="35" t="n"/>
      <c r="K18" s="35" t="n"/>
      <c r="L18" s="32" t="n"/>
      <c r="M18" s="14" t="n"/>
    </row>
    <row r="19" ht="22" customHeight="1">
      <c r="B19" s="18">
        <f>IF(C19="","EL-"&amp;TEXT(COUNTA($C$5:C19),"000"))</f>
        <v/>
      </c>
      <c r="C19" s="11" t="n"/>
      <c r="D19" s="11" t="n"/>
      <c r="E19" s="11" t="n"/>
      <c r="F19" s="12" t="n"/>
      <c r="G19" s="12" t="n"/>
      <c r="H19" s="37">
        <f>IF(F19="","",G19/F19)</f>
        <v/>
      </c>
      <c r="I19" s="12" t="n"/>
      <c r="J19" s="33" t="n"/>
      <c r="K19" s="33" t="n"/>
      <c r="L19" s="31" t="n"/>
      <c r="M19" s="11" t="n"/>
    </row>
    <row r="20" ht="22" customHeight="1">
      <c r="B20" s="17">
        <f>IF(C20="","EL-"&amp;TEXT(COUNTA($C$5:C20),"000"))</f>
        <v/>
      </c>
      <c r="C20" s="14" t="n"/>
      <c r="D20" s="14" t="n"/>
      <c r="E20" s="14" t="n"/>
      <c r="F20" s="15" t="n"/>
      <c r="G20" s="15" t="n"/>
      <c r="H20" s="39">
        <f>IF(F20="","",G20/F20)</f>
        <v/>
      </c>
      <c r="I20" s="15" t="n"/>
      <c r="J20" s="35" t="n"/>
      <c r="K20" s="35" t="n"/>
      <c r="L20" s="32" t="n"/>
      <c r="M20" s="14" t="n"/>
    </row>
    <row r="21" ht="22" customHeight="1">
      <c r="B21" s="18">
        <f>IF(C21="","EL-"&amp;TEXT(COUNTA($C$5:C21),"000"))</f>
        <v/>
      </c>
      <c r="C21" s="11" t="n"/>
      <c r="D21" s="11" t="n"/>
      <c r="E21" s="11" t="n"/>
      <c r="F21" s="12" t="n"/>
      <c r="G21" s="12" t="n"/>
      <c r="H21" s="37">
        <f>IF(F21="","",G21/F21)</f>
        <v/>
      </c>
      <c r="I21" s="12" t="n"/>
      <c r="J21" s="33" t="n"/>
      <c r="K21" s="33" t="n"/>
      <c r="L21" s="31" t="n"/>
      <c r="M21" s="11" t="n"/>
    </row>
    <row r="22" ht="22" customHeight="1">
      <c r="B22" s="17">
        <f>IF(C22="","EL-"&amp;TEXT(COUNTA($C$5:C22),"000"))</f>
        <v/>
      </c>
      <c r="C22" s="14" t="n"/>
      <c r="D22" s="14" t="n"/>
      <c r="E22" s="14" t="n"/>
      <c r="F22" s="15" t="n"/>
      <c r="G22" s="15" t="n"/>
      <c r="H22" s="39">
        <f>IF(F22="","",G22/F22)</f>
        <v/>
      </c>
      <c r="I22" s="15" t="n"/>
      <c r="J22" s="35" t="n"/>
      <c r="K22" s="35" t="n"/>
      <c r="L22" s="32" t="n"/>
      <c r="M22" s="14" t="n"/>
    </row>
    <row r="23" ht="22" customHeight="1">
      <c r="B23" s="18">
        <f>IF(C23="","EL-"&amp;TEXT(COUNTA($C$5:C23),"000"))</f>
        <v/>
      </c>
      <c r="C23" s="11" t="n"/>
      <c r="D23" s="11" t="n"/>
      <c r="E23" s="11" t="n"/>
      <c r="F23" s="12" t="n"/>
      <c r="G23" s="12" t="n"/>
      <c r="H23" s="37">
        <f>IF(F23="","",G23/F23)</f>
        <v/>
      </c>
      <c r="I23" s="12" t="n"/>
      <c r="J23" s="33" t="n"/>
      <c r="K23" s="33" t="n"/>
      <c r="L23" s="31" t="n"/>
      <c r="M23" s="11" t="n"/>
    </row>
    <row r="24" ht="22" customHeight="1">
      <c r="B24" s="17">
        <f>IF(C24="","EL-"&amp;TEXT(COUNTA($C$5:C24),"000"))</f>
        <v/>
      </c>
      <c r="C24" s="14" t="n"/>
      <c r="D24" s="14" t="n"/>
      <c r="E24" s="14" t="n"/>
      <c r="F24" s="15" t="n"/>
      <c r="G24" s="15" t="n"/>
      <c r="H24" s="39">
        <f>IF(F24="","",G24/F24)</f>
        <v/>
      </c>
      <c r="I24" s="15" t="n"/>
      <c r="J24" s="35" t="n"/>
      <c r="K24" s="35" t="n"/>
      <c r="L24" s="32" t="n"/>
      <c r="M24" s="14" t="n"/>
    </row>
    <row r="25" ht="22" customHeight="1">
      <c r="B25" s="18">
        <f>IF(C25="","EL-"&amp;TEXT(COUNTA($C$5:C25),"000"))</f>
        <v/>
      </c>
      <c r="C25" s="11" t="n"/>
      <c r="D25" s="11" t="n"/>
      <c r="E25" s="11" t="n"/>
      <c r="F25" s="12" t="n"/>
      <c r="G25" s="12" t="n"/>
      <c r="H25" s="37">
        <f>IF(F25="","",G25/F25)</f>
        <v/>
      </c>
      <c r="I25" s="12" t="n"/>
      <c r="J25" s="33" t="n"/>
      <c r="K25" s="33" t="n"/>
      <c r="L25" s="31" t="n"/>
      <c r="M25" s="11" t="n"/>
    </row>
    <row r="26" ht="22" customHeight="1">
      <c r="B26" s="17">
        <f>IF(C26="","EL-"&amp;TEXT(COUNTA($C$5:C26),"000"))</f>
        <v/>
      </c>
      <c r="C26" s="14" t="n"/>
      <c r="D26" s="14" t="n"/>
      <c r="E26" s="14" t="n"/>
      <c r="F26" s="15" t="n"/>
      <c r="G26" s="15" t="n"/>
      <c r="H26" s="39">
        <f>IF(F26="","",G26/F26)</f>
        <v/>
      </c>
      <c r="I26" s="15" t="n"/>
      <c r="J26" s="35" t="n"/>
      <c r="K26" s="35" t="n"/>
      <c r="L26" s="32" t="n"/>
      <c r="M26" s="14" t="n"/>
    </row>
    <row r="27" ht="22" customHeight="1">
      <c r="B27" s="18">
        <f>IF(C27="","EL-"&amp;TEXT(COUNTA($C$5:C27),"000"))</f>
        <v/>
      </c>
      <c r="C27" s="11" t="n"/>
      <c r="D27" s="11" t="n"/>
      <c r="E27" s="11" t="n"/>
      <c r="F27" s="12" t="n"/>
      <c r="G27" s="12" t="n"/>
      <c r="H27" s="37">
        <f>IF(F27="","",G27/F27)</f>
        <v/>
      </c>
      <c r="I27" s="12" t="n"/>
      <c r="J27" s="33" t="n"/>
      <c r="K27" s="33" t="n"/>
      <c r="L27" s="31" t="n"/>
      <c r="M27" s="11" t="n"/>
    </row>
    <row r="28" ht="22" customHeight="1">
      <c r="B28" s="17">
        <f>IF(C28="","EL-"&amp;TEXT(COUNTA($C$5:C28),"000"))</f>
        <v/>
      </c>
      <c r="C28" s="14" t="n"/>
      <c r="D28" s="14" t="n"/>
      <c r="E28" s="14" t="n"/>
      <c r="F28" s="15" t="n"/>
      <c r="G28" s="15" t="n"/>
      <c r="H28" s="39">
        <f>IF(F28="","",G28/F28)</f>
        <v/>
      </c>
      <c r="I28" s="15" t="n"/>
      <c r="J28" s="35" t="n"/>
      <c r="K28" s="35" t="n"/>
      <c r="L28" s="32" t="n"/>
      <c r="M28" s="14" t="n"/>
    </row>
    <row r="29" ht="22" customHeight="1">
      <c r="B29" s="18">
        <f>IF(C29="","EL-"&amp;TEXT(COUNTA($C$5:C29),"000"))</f>
        <v/>
      </c>
      <c r="C29" s="11" t="n"/>
      <c r="D29" s="11" t="n"/>
      <c r="E29" s="11" t="n"/>
      <c r="F29" s="12" t="n"/>
      <c r="G29" s="12" t="n"/>
      <c r="H29" s="37">
        <f>IF(F29="","",G29/F29)</f>
        <v/>
      </c>
      <c r="I29" s="12" t="n"/>
      <c r="J29" s="33" t="n"/>
      <c r="K29" s="33" t="n"/>
      <c r="L29" s="31" t="n"/>
      <c r="M29" s="11" t="n"/>
    </row>
    <row r="30" ht="22" customHeight="1">
      <c r="B30" s="17">
        <f>IF(C30="","EL-"&amp;TEXT(COUNTA($C$5:C30),"000"))</f>
        <v/>
      </c>
      <c r="C30" s="14" t="n"/>
      <c r="D30" s="14" t="n"/>
      <c r="E30" s="14" t="n"/>
      <c r="F30" s="15" t="n"/>
      <c r="G30" s="15" t="n"/>
      <c r="H30" s="39">
        <f>IF(F30="","",G30/F30)</f>
        <v/>
      </c>
      <c r="I30" s="15" t="n"/>
      <c r="J30" s="35" t="n"/>
      <c r="K30" s="35" t="n"/>
      <c r="L30" s="32" t="n"/>
      <c r="M30" s="14" t="n"/>
    </row>
    <row r="31" ht="22" customHeight="1">
      <c r="B31" s="18">
        <f>IF(C31="","EL-"&amp;TEXT(COUNTA($C$5:C31),"000"))</f>
        <v/>
      </c>
      <c r="C31" s="11" t="n"/>
      <c r="D31" s="11" t="n"/>
      <c r="E31" s="11" t="n"/>
      <c r="F31" s="12" t="n"/>
      <c r="G31" s="12" t="n"/>
      <c r="H31" s="37">
        <f>IF(F31="","",G31/F31)</f>
        <v/>
      </c>
      <c r="I31" s="12" t="n"/>
      <c r="J31" s="33" t="n"/>
      <c r="K31" s="33" t="n"/>
      <c r="L31" s="31" t="n"/>
      <c r="M31" s="11" t="n"/>
    </row>
    <row r="32" ht="22" customHeight="1">
      <c r="B32" s="17">
        <f>IF(C32="","EL-"&amp;TEXT(COUNTA($C$5:C32),"000"))</f>
        <v/>
      </c>
      <c r="C32" s="14" t="n"/>
      <c r="D32" s="14" t="n"/>
      <c r="E32" s="14" t="n"/>
      <c r="F32" s="15" t="n"/>
      <c r="G32" s="15" t="n"/>
      <c r="H32" s="39">
        <f>IF(F32="","",G32/F32)</f>
        <v/>
      </c>
      <c r="I32" s="15" t="n"/>
      <c r="J32" s="35" t="n"/>
      <c r="K32" s="35" t="n"/>
      <c r="L32" s="32" t="n"/>
      <c r="M32" s="14" t="n"/>
    </row>
    <row r="33" ht="22" customHeight="1">
      <c r="B33" s="18">
        <f>IF(C33="","EL-"&amp;TEXT(COUNTA($C$5:C33),"000"))</f>
        <v/>
      </c>
      <c r="C33" s="11" t="n"/>
      <c r="D33" s="11" t="n"/>
      <c r="E33" s="11" t="n"/>
      <c r="F33" s="12" t="n"/>
      <c r="G33" s="12" t="n"/>
      <c r="H33" s="37">
        <f>IF(F33="","",G33/F33)</f>
        <v/>
      </c>
      <c r="I33" s="12" t="n"/>
      <c r="J33" s="33" t="n"/>
      <c r="K33" s="33" t="n"/>
      <c r="L33" s="31" t="n"/>
      <c r="M33" s="11" t="n"/>
    </row>
    <row r="34" ht="22" customHeight="1">
      <c r="B34" s="17">
        <f>IF(C34="","EL-"&amp;TEXT(COUNTA($C$5:C34),"000"))</f>
        <v/>
      </c>
      <c r="C34" s="14" t="n"/>
      <c r="D34" s="14" t="n"/>
      <c r="E34" s="14" t="n"/>
      <c r="F34" s="15" t="n"/>
      <c r="G34" s="15" t="n"/>
      <c r="H34" s="39">
        <f>IF(F34="","",G34/F34)</f>
        <v/>
      </c>
      <c r="I34" s="15" t="n"/>
      <c r="J34" s="35" t="n"/>
      <c r="K34" s="35" t="n"/>
      <c r="L34" s="32" t="n"/>
      <c r="M34" s="14" t="n"/>
    </row>
    <row r="35" ht="22" customHeight="1">
      <c r="B35" s="18">
        <f>IF(C35="","EL-"&amp;TEXT(COUNTA($C$5:C35),"000"))</f>
        <v/>
      </c>
      <c r="C35" s="11" t="n"/>
      <c r="D35" s="11" t="n"/>
      <c r="E35" s="11" t="n"/>
      <c r="F35" s="12" t="n"/>
      <c r="G35" s="12" t="n"/>
      <c r="H35" s="37">
        <f>IF(F35="","",G35/F35)</f>
        <v/>
      </c>
      <c r="I35" s="12" t="n"/>
      <c r="J35" s="33" t="n"/>
      <c r="K35" s="33" t="n"/>
      <c r="L35" s="31" t="n"/>
      <c r="M35" s="11" t="n"/>
    </row>
    <row r="36" ht="22" customHeight="1">
      <c r="B36" s="17">
        <f>IF(C36="","EL-"&amp;TEXT(COUNTA($C$5:C36),"000"))</f>
        <v/>
      </c>
      <c r="C36" s="14" t="n"/>
      <c r="D36" s="14" t="n"/>
      <c r="E36" s="14" t="n"/>
      <c r="F36" s="15" t="n"/>
      <c r="G36" s="15" t="n"/>
      <c r="H36" s="39">
        <f>IF(F36="","",G36/F36)</f>
        <v/>
      </c>
      <c r="I36" s="15" t="n"/>
      <c r="J36" s="35" t="n"/>
      <c r="K36" s="35" t="n"/>
      <c r="L36" s="32" t="n"/>
      <c r="M36" s="14" t="n"/>
    </row>
    <row r="37" ht="22" customHeight="1">
      <c r="B37" s="18">
        <f>IF(C37="","EL-"&amp;TEXT(COUNTA($C$5:C37),"000"))</f>
        <v/>
      </c>
      <c r="C37" s="11" t="n"/>
      <c r="D37" s="11" t="n"/>
      <c r="E37" s="11" t="n"/>
      <c r="F37" s="12" t="n"/>
      <c r="G37" s="12" t="n"/>
      <c r="H37" s="37">
        <f>IF(F37="","",G37/F37)</f>
        <v/>
      </c>
      <c r="I37" s="12" t="n"/>
      <c r="J37" s="33" t="n"/>
      <c r="K37" s="33" t="n"/>
      <c r="L37" s="31" t="n"/>
      <c r="M37" s="11" t="n"/>
    </row>
    <row r="38" ht="22" customHeight="1">
      <c r="B38" s="17">
        <f>IF(C38="","EL-"&amp;TEXT(COUNTA($C$5:C38),"000"))</f>
        <v/>
      </c>
      <c r="C38" s="14" t="n"/>
      <c r="D38" s="14" t="n"/>
      <c r="E38" s="14" t="n"/>
      <c r="F38" s="15" t="n"/>
      <c r="G38" s="15" t="n"/>
      <c r="H38" s="39">
        <f>IF(F38="","",G38/F38)</f>
        <v/>
      </c>
      <c r="I38" s="15" t="n"/>
      <c r="J38" s="35" t="n"/>
      <c r="K38" s="35" t="n"/>
      <c r="L38" s="32" t="n"/>
      <c r="M38" s="14" t="n"/>
    </row>
    <row r="39" ht="22" customHeight="1">
      <c r="B39" s="18">
        <f>IF(C39="","EL-"&amp;TEXT(COUNTA($C$5:C39),"000"))</f>
        <v/>
      </c>
      <c r="C39" s="11" t="n"/>
      <c r="D39" s="11" t="n"/>
      <c r="E39" s="11" t="n"/>
      <c r="F39" s="12" t="n"/>
      <c r="G39" s="12" t="n"/>
      <c r="H39" s="37">
        <f>IF(F39="","",G39/F39)</f>
        <v/>
      </c>
      <c r="I39" s="12" t="n"/>
      <c r="J39" s="33" t="n"/>
      <c r="K39" s="33" t="n"/>
      <c r="L39" s="31" t="n"/>
      <c r="M39" s="11" t="n"/>
    </row>
    <row r="40" ht="22" customHeight="1">
      <c r="B40" s="17">
        <f>IF(C40="","EL-"&amp;TEXT(COUNTA($C$5:C40),"000"))</f>
        <v/>
      </c>
      <c r="C40" s="14" t="n"/>
      <c r="D40" s="14" t="n"/>
      <c r="E40" s="14" t="n"/>
      <c r="F40" s="15" t="n"/>
      <c r="G40" s="15" t="n"/>
      <c r="H40" s="39">
        <f>IF(F40="","",G40/F40)</f>
        <v/>
      </c>
      <c r="I40" s="15" t="n"/>
      <c r="J40" s="35" t="n"/>
      <c r="K40" s="35" t="n"/>
      <c r="L40" s="32" t="n"/>
      <c r="M40" s="14" t="n"/>
    </row>
    <row r="41" ht="22" customHeight="1">
      <c r="B41" s="18">
        <f>IF(C41="","EL-"&amp;TEXT(COUNTA($C$5:C41),"000"))</f>
        <v/>
      </c>
      <c r="C41" s="11" t="n"/>
      <c r="D41" s="11" t="n"/>
      <c r="E41" s="11" t="n"/>
      <c r="F41" s="12" t="n"/>
      <c r="G41" s="12" t="n"/>
      <c r="H41" s="37">
        <f>IF(F41="","",G41/F41)</f>
        <v/>
      </c>
      <c r="I41" s="12" t="n"/>
      <c r="J41" s="33" t="n"/>
      <c r="K41" s="33" t="n"/>
      <c r="L41" s="31" t="n"/>
      <c r="M41" s="11" t="n"/>
    </row>
    <row r="42" ht="22" customHeight="1">
      <c r="B42" s="17">
        <f>IF(C42="","EL-"&amp;TEXT(COUNTA($C$5:C42),"000"))</f>
        <v/>
      </c>
      <c r="C42" s="14" t="n"/>
      <c r="D42" s="14" t="n"/>
      <c r="E42" s="14" t="n"/>
      <c r="F42" s="15" t="n"/>
      <c r="G42" s="15" t="n"/>
      <c r="H42" s="39">
        <f>IF(F42="","",G42/F42)</f>
        <v/>
      </c>
      <c r="I42" s="15" t="n"/>
      <c r="J42" s="35" t="n"/>
      <c r="K42" s="35" t="n"/>
      <c r="L42" s="32" t="n"/>
      <c r="M42" s="14" t="n"/>
    </row>
    <row r="43" ht="22" customHeight="1">
      <c r="B43" s="18">
        <f>IF(C43="","EL-"&amp;TEXT(COUNTA($C$5:C43),"000"))</f>
        <v/>
      </c>
      <c r="C43" s="11" t="n"/>
      <c r="D43" s="11" t="n"/>
      <c r="E43" s="11" t="n"/>
      <c r="F43" s="12" t="n"/>
      <c r="G43" s="12" t="n"/>
      <c r="H43" s="37">
        <f>IF(F43="","",G43/F43)</f>
        <v/>
      </c>
      <c r="I43" s="12" t="n"/>
      <c r="J43" s="33" t="n"/>
      <c r="K43" s="33" t="n"/>
      <c r="L43" s="31" t="n"/>
      <c r="M43" s="11" t="n"/>
    </row>
    <row r="44" ht="22" customHeight="1">
      <c r="B44" s="17">
        <f>IF(C44="","EL-"&amp;TEXT(COUNTA($C$5:C44),"000"))</f>
        <v/>
      </c>
      <c r="C44" s="14" t="n"/>
      <c r="D44" s="14" t="n"/>
      <c r="E44" s="14" t="n"/>
      <c r="F44" s="15" t="n"/>
      <c r="G44" s="15" t="n"/>
      <c r="H44" s="39">
        <f>IF(F44="","",G44/F44)</f>
        <v/>
      </c>
      <c r="I44" s="15" t="n"/>
      <c r="J44" s="35" t="n"/>
      <c r="K44" s="35" t="n"/>
      <c r="L44" s="32" t="n"/>
      <c r="M44" s="14" t="n"/>
    </row>
    <row r="45" ht="22" customHeight="1">
      <c r="B45" s="18">
        <f>IF(C45="","EL-"&amp;TEXT(COUNTA($C$5:C45),"000"))</f>
        <v/>
      </c>
      <c r="C45" s="11" t="n"/>
      <c r="D45" s="11" t="n"/>
      <c r="E45" s="11" t="n"/>
      <c r="F45" s="12" t="n"/>
      <c r="G45" s="12" t="n"/>
      <c r="H45" s="37">
        <f>IF(F45="","",G45/F45)</f>
        <v/>
      </c>
      <c r="I45" s="12" t="n"/>
      <c r="J45" s="33" t="n"/>
      <c r="K45" s="33" t="n"/>
      <c r="L45" s="31" t="n"/>
      <c r="M45" s="11" t="n"/>
    </row>
    <row r="46" ht="22" customHeight="1">
      <c r="B46" s="17">
        <f>IF(C46="","EL-"&amp;TEXT(COUNTA($C$5:C46),"000"))</f>
        <v/>
      </c>
      <c r="C46" s="14" t="n"/>
      <c r="D46" s="14" t="n"/>
      <c r="E46" s="14" t="n"/>
      <c r="F46" s="15" t="n"/>
      <c r="G46" s="15" t="n"/>
      <c r="H46" s="39">
        <f>IF(F46="","",G46/F46)</f>
        <v/>
      </c>
      <c r="I46" s="15" t="n"/>
      <c r="J46" s="35" t="n"/>
      <c r="K46" s="35" t="n"/>
      <c r="L46" s="32" t="n"/>
      <c r="M46" s="14" t="n"/>
    </row>
    <row r="47" ht="22" customHeight="1">
      <c r="B47" s="18">
        <f>IF(C47="","EL-"&amp;TEXT(COUNTA($C$5:C47),"000"))</f>
        <v/>
      </c>
      <c r="C47" s="11" t="n"/>
      <c r="D47" s="11" t="n"/>
      <c r="E47" s="11" t="n"/>
      <c r="F47" s="12" t="n"/>
      <c r="G47" s="12" t="n"/>
      <c r="H47" s="37">
        <f>IF(F47="","",G47/F47)</f>
        <v/>
      </c>
      <c r="I47" s="12" t="n"/>
      <c r="J47" s="33" t="n"/>
      <c r="K47" s="33" t="n"/>
      <c r="L47" s="31" t="n"/>
      <c r="M47" s="11" t="n"/>
    </row>
    <row r="48" ht="22" customHeight="1">
      <c r="B48" s="17">
        <f>IF(C48="","EL-"&amp;TEXT(COUNTA($C$5:C48),"000"))</f>
        <v/>
      </c>
      <c r="C48" s="14" t="n"/>
      <c r="D48" s="14" t="n"/>
      <c r="E48" s="14" t="n"/>
      <c r="F48" s="15" t="n"/>
      <c r="G48" s="15" t="n"/>
      <c r="H48" s="39">
        <f>IF(F48="","",G48/F48)</f>
        <v/>
      </c>
      <c r="I48" s="15" t="n"/>
      <c r="J48" s="35" t="n"/>
      <c r="K48" s="35" t="n"/>
      <c r="L48" s="32" t="n"/>
      <c r="M48" s="14" t="n"/>
    </row>
    <row r="49" ht="22" customHeight="1">
      <c r="B49" s="18">
        <f>IF(C49="","EL-"&amp;TEXT(COUNTA($C$5:C49),"000"))</f>
        <v/>
      </c>
      <c r="C49" s="11" t="n"/>
      <c r="D49" s="11" t="n"/>
      <c r="E49" s="11" t="n"/>
      <c r="F49" s="12" t="n"/>
      <c r="G49" s="12" t="n"/>
      <c r="H49" s="37">
        <f>IF(F49="","",G49/F49)</f>
        <v/>
      </c>
      <c r="I49" s="12" t="n"/>
      <c r="J49" s="33" t="n"/>
      <c r="K49" s="33" t="n"/>
      <c r="L49" s="31" t="n"/>
      <c r="M49" s="11" t="n"/>
    </row>
    <row r="50" ht="22" customHeight="1">
      <c r="B50" s="17">
        <f>IF(C50="","EL-"&amp;TEXT(COUNTA($C$5:C50),"000"))</f>
        <v/>
      </c>
      <c r="C50" s="14" t="n"/>
      <c r="D50" s="14" t="n"/>
      <c r="E50" s="14" t="n"/>
      <c r="F50" s="15" t="n"/>
      <c r="G50" s="15" t="n"/>
      <c r="H50" s="39">
        <f>IF(F50="","",G50/F50)</f>
        <v/>
      </c>
      <c r="I50" s="15" t="n"/>
      <c r="J50" s="35" t="n"/>
      <c r="K50" s="35" t="n"/>
      <c r="L50" s="32" t="n"/>
      <c r="M50" s="14" t="n"/>
    </row>
    <row r="51" ht="22" customHeight="1">
      <c r="B51" s="18">
        <f>IF(C51="","EL-"&amp;TEXT(COUNTA($C$5:C51),"000"))</f>
        <v/>
      </c>
      <c r="C51" s="11" t="n"/>
      <c r="D51" s="11" t="n"/>
      <c r="E51" s="11" t="n"/>
      <c r="F51" s="12" t="n"/>
      <c r="G51" s="12" t="n"/>
      <c r="H51" s="37">
        <f>IF(F51="","",G51/F51)</f>
        <v/>
      </c>
      <c r="I51" s="12" t="n"/>
      <c r="J51" s="33" t="n"/>
      <c r="K51" s="33" t="n"/>
      <c r="L51" s="31" t="n"/>
      <c r="M51" s="11" t="n"/>
    </row>
    <row r="52" ht="22" customHeight="1">
      <c r="B52" s="17">
        <f>IF(C52="","EL-"&amp;TEXT(COUNTA($C$5:C52),"000"))</f>
        <v/>
      </c>
      <c r="C52" s="14" t="n"/>
      <c r="D52" s="14" t="n"/>
      <c r="E52" s="14" t="n"/>
      <c r="F52" s="15" t="n"/>
      <c r="G52" s="15" t="n"/>
      <c r="H52" s="39">
        <f>IF(F52="","",G52/F52)</f>
        <v/>
      </c>
      <c r="I52" s="15" t="n"/>
      <c r="J52" s="35" t="n"/>
      <c r="K52" s="35" t="n"/>
      <c r="L52" s="32" t="n"/>
      <c r="M52" s="14" t="n"/>
    </row>
    <row r="53" ht="22" customHeight="1">
      <c r="B53" s="18">
        <f>IF(C53="","EL-"&amp;TEXT(COUNTA($C$5:C53),"000"))</f>
        <v/>
      </c>
      <c r="C53" s="11" t="n"/>
      <c r="D53" s="11" t="n"/>
      <c r="E53" s="11" t="n"/>
      <c r="F53" s="12" t="n"/>
      <c r="G53" s="12" t="n"/>
      <c r="H53" s="37">
        <f>IF(F53="","",G53/F53)</f>
        <v/>
      </c>
      <c r="I53" s="12" t="n"/>
      <c r="J53" s="33" t="n"/>
      <c r="K53" s="33" t="n"/>
      <c r="L53" s="31" t="n"/>
      <c r="M53" s="11" t="n"/>
    </row>
    <row r="54" ht="22" customHeight="1">
      <c r="B54" s="17">
        <f>IF(C54="","EL-"&amp;TEXT(COUNTA($C$5:C54),"000"))</f>
        <v/>
      </c>
      <c r="C54" s="14" t="n"/>
      <c r="D54" s="14" t="n"/>
      <c r="E54" s="14" t="n"/>
      <c r="F54" s="15" t="n"/>
      <c r="G54" s="15" t="n"/>
      <c r="H54" s="39">
        <f>IF(F54="","",G54/F54)</f>
        <v/>
      </c>
      <c r="I54" s="15" t="n"/>
      <c r="J54" s="35" t="n"/>
      <c r="K54" s="35" t="n"/>
      <c r="L54" s="32" t="n"/>
      <c r="M54" s="14" t="n"/>
    </row>
    <row r="55" ht="22" customHeight="1">
      <c r="B55" s="18">
        <f>IF(C55="","EL-"&amp;TEXT(COUNTA($C$5:C55),"000"))</f>
        <v/>
      </c>
      <c r="C55" s="11" t="n"/>
      <c r="D55" s="11" t="n"/>
      <c r="E55" s="11" t="n"/>
      <c r="F55" s="12" t="n"/>
      <c r="G55" s="12" t="n"/>
      <c r="H55" s="37">
        <f>IF(F55="","",G55/F55)</f>
        <v/>
      </c>
      <c r="I55" s="12" t="n"/>
      <c r="J55" s="33" t="n"/>
      <c r="K55" s="33" t="n"/>
      <c r="L55" s="31" t="n"/>
      <c r="M55" s="11" t="n"/>
    </row>
    <row r="56" ht="22" customHeight="1">
      <c r="B56" s="17">
        <f>IF(C56="","EL-"&amp;TEXT(COUNTA($C$5:C56),"000"))</f>
        <v/>
      </c>
      <c r="C56" s="14" t="n"/>
      <c r="D56" s="14" t="n"/>
      <c r="E56" s="14" t="n"/>
      <c r="F56" s="15" t="n"/>
      <c r="G56" s="15" t="n"/>
      <c r="H56" s="39">
        <f>IF(F56="","",G56/F56)</f>
        <v/>
      </c>
      <c r="I56" s="15" t="n"/>
      <c r="J56" s="35" t="n"/>
      <c r="K56" s="35" t="n"/>
      <c r="L56" s="32" t="n"/>
      <c r="M56" s="14" t="n"/>
    </row>
    <row r="57" ht="22" customHeight="1">
      <c r="B57" s="18">
        <f>IF(C57="","EL-"&amp;TEXT(COUNTA($C$5:C57),"000"))</f>
        <v/>
      </c>
      <c r="C57" s="11" t="n"/>
      <c r="D57" s="11" t="n"/>
      <c r="E57" s="11" t="n"/>
      <c r="F57" s="12" t="n"/>
      <c r="G57" s="12" t="n"/>
      <c r="H57" s="37">
        <f>IF(F57="","",G57/F57)</f>
        <v/>
      </c>
      <c r="I57" s="12" t="n"/>
      <c r="J57" s="33" t="n"/>
      <c r="K57" s="33" t="n"/>
      <c r="L57" s="31" t="n"/>
      <c r="M57" s="11" t="n"/>
    </row>
    <row r="58" ht="22" customHeight="1">
      <c r="B58" s="17">
        <f>IF(C58="","EL-"&amp;TEXT(COUNTA($C$5:C58),"000"))</f>
        <v/>
      </c>
      <c r="C58" s="14" t="n"/>
      <c r="D58" s="14" t="n"/>
      <c r="E58" s="14" t="n"/>
      <c r="F58" s="15" t="n"/>
      <c r="G58" s="15" t="n"/>
      <c r="H58" s="39">
        <f>IF(F58="","",G58/F58)</f>
        <v/>
      </c>
      <c r="I58" s="15" t="n"/>
      <c r="J58" s="35" t="n"/>
      <c r="K58" s="35" t="n"/>
      <c r="L58" s="32" t="n"/>
      <c r="M58" s="14" t="n"/>
    </row>
    <row r="59" ht="22" customHeight="1">
      <c r="B59" s="18">
        <f>IF(C59="","EL-"&amp;TEXT(COUNTA($C$5:C59),"000"))</f>
        <v/>
      </c>
      <c r="C59" s="11" t="n"/>
      <c r="D59" s="11" t="n"/>
      <c r="E59" s="11" t="n"/>
      <c r="F59" s="12" t="n"/>
      <c r="G59" s="12" t="n"/>
      <c r="H59" s="37">
        <f>IF(F59="","",G59/F59)</f>
        <v/>
      </c>
      <c r="I59" s="12" t="n"/>
      <c r="J59" s="33" t="n"/>
      <c r="K59" s="33" t="n"/>
      <c r="L59" s="31" t="n"/>
      <c r="M59" s="11" t="n"/>
    </row>
    <row r="60" ht="22" customHeight="1">
      <c r="B60" s="17">
        <f>IF(C60="","EL-"&amp;TEXT(COUNTA($C$5:C60),"000"))</f>
        <v/>
      </c>
      <c r="C60" s="14" t="n"/>
      <c r="D60" s="14" t="n"/>
      <c r="E60" s="14" t="n"/>
      <c r="F60" s="15" t="n"/>
      <c r="G60" s="15" t="n"/>
      <c r="H60" s="39">
        <f>IF(F60="","",G60/F60)</f>
        <v/>
      </c>
      <c r="I60" s="15" t="n"/>
      <c r="J60" s="35" t="n"/>
      <c r="K60" s="35" t="n"/>
      <c r="L60" s="32" t="n"/>
      <c r="M60" s="14" t="n"/>
    </row>
    <row r="61" ht="22" customHeight="1">
      <c r="B61" s="18">
        <f>IF(C61="","EL-"&amp;TEXT(COUNTA($C$5:C61),"000"))</f>
        <v/>
      </c>
      <c r="C61" s="11" t="n"/>
      <c r="D61" s="11" t="n"/>
      <c r="E61" s="11" t="n"/>
      <c r="F61" s="12" t="n"/>
      <c r="G61" s="12" t="n"/>
      <c r="H61" s="37">
        <f>IF(F61="","",G61/F61)</f>
        <v/>
      </c>
      <c r="I61" s="12" t="n"/>
      <c r="J61" s="33" t="n"/>
      <c r="K61" s="33" t="n"/>
      <c r="L61" s="31" t="n"/>
      <c r="M61" s="11" t="n"/>
    </row>
    <row r="62" ht="22" customHeight="1">
      <c r="B62" s="17">
        <f>IF(C62="","EL-"&amp;TEXT(COUNTA($C$5:C62),"000"))</f>
        <v/>
      </c>
      <c r="C62" s="14" t="n"/>
      <c r="D62" s="14" t="n"/>
      <c r="E62" s="14" t="n"/>
      <c r="F62" s="15" t="n"/>
      <c r="G62" s="15" t="n"/>
      <c r="H62" s="39">
        <f>IF(F62="","",G62/F62)</f>
        <v/>
      </c>
      <c r="I62" s="15" t="n"/>
      <c r="J62" s="35" t="n"/>
      <c r="K62" s="35" t="n"/>
      <c r="L62" s="32" t="n"/>
      <c r="M62" s="14" t="n"/>
    </row>
    <row r="63" ht="22" customHeight="1">
      <c r="B63" s="18">
        <f>IF(C63="","EL-"&amp;TEXT(COUNTA($C$5:C63),"000"))</f>
        <v/>
      </c>
      <c r="C63" s="11" t="n"/>
      <c r="D63" s="11" t="n"/>
      <c r="E63" s="11" t="n"/>
      <c r="F63" s="12" t="n"/>
      <c r="G63" s="12" t="n"/>
      <c r="H63" s="37">
        <f>IF(F63="","",G63/F63)</f>
        <v/>
      </c>
      <c r="I63" s="12" t="n"/>
      <c r="J63" s="33" t="n"/>
      <c r="K63" s="33" t="n"/>
      <c r="L63" s="31" t="n"/>
      <c r="M63" s="11" t="n"/>
    </row>
    <row r="64" ht="22" customHeight="1">
      <c r="B64" s="17">
        <f>IF(C64="","EL-"&amp;TEXT(COUNTA($C$5:C64),"000"))</f>
        <v/>
      </c>
      <c r="C64" s="14" t="n"/>
      <c r="D64" s="14" t="n"/>
      <c r="E64" s="14" t="n"/>
      <c r="F64" s="15" t="n"/>
      <c r="G64" s="15" t="n"/>
      <c r="H64" s="39">
        <f>IF(F64="","",G64/F64)</f>
        <v/>
      </c>
      <c r="I64" s="15" t="n"/>
      <c r="J64" s="35" t="n"/>
      <c r="K64" s="35" t="n"/>
      <c r="L64" s="32" t="n"/>
      <c r="M64" s="14" t="n"/>
    </row>
    <row r="65" ht="22" customHeight="1">
      <c r="B65" s="18">
        <f>IF(C65="","EL-"&amp;TEXT(COUNTA($C$5:C65),"000"))</f>
        <v/>
      </c>
      <c r="C65" s="11" t="n"/>
      <c r="D65" s="11" t="n"/>
      <c r="E65" s="11" t="n"/>
      <c r="F65" s="12" t="n"/>
      <c r="G65" s="12" t="n"/>
      <c r="H65" s="37">
        <f>IF(F65="","",G65/F65)</f>
        <v/>
      </c>
      <c r="I65" s="12" t="n"/>
      <c r="J65" s="33" t="n"/>
      <c r="K65" s="33" t="n"/>
      <c r="L65" s="31" t="n"/>
      <c r="M65" s="11" t="n"/>
    </row>
    <row r="66" ht="22" customHeight="1">
      <c r="B66" s="17">
        <f>IF(C66="","EL-"&amp;TEXT(COUNTA($C$5:C66),"000"))</f>
        <v/>
      </c>
      <c r="C66" s="14" t="n"/>
      <c r="D66" s="14" t="n"/>
      <c r="E66" s="14" t="n"/>
      <c r="F66" s="15" t="n"/>
      <c r="G66" s="15" t="n"/>
      <c r="H66" s="39">
        <f>IF(F66="","",G66/F66)</f>
        <v/>
      </c>
      <c r="I66" s="15" t="n"/>
      <c r="J66" s="35" t="n"/>
      <c r="K66" s="35" t="n"/>
      <c r="L66" s="32" t="n"/>
      <c r="M66" s="14" t="n"/>
    </row>
    <row r="67" ht="22" customHeight="1">
      <c r="B67" s="18">
        <f>IF(C67="","EL-"&amp;TEXT(COUNTA($C$5:C67),"000"))</f>
        <v/>
      </c>
      <c r="C67" s="11" t="n"/>
      <c r="D67" s="11" t="n"/>
      <c r="E67" s="11" t="n"/>
      <c r="F67" s="12" t="n"/>
      <c r="G67" s="12" t="n"/>
      <c r="H67" s="37">
        <f>IF(F67="","",G67/F67)</f>
        <v/>
      </c>
      <c r="I67" s="12" t="n"/>
      <c r="J67" s="33" t="n"/>
      <c r="K67" s="33" t="n"/>
      <c r="L67" s="31" t="n"/>
      <c r="M67" s="11" t="n"/>
    </row>
    <row r="68" ht="22" customHeight="1">
      <c r="B68" s="17">
        <f>IF(C68="","EL-"&amp;TEXT(COUNTA($C$5:C68),"000"))</f>
        <v/>
      </c>
      <c r="C68" s="14" t="n"/>
      <c r="D68" s="14" t="n"/>
      <c r="E68" s="14" t="n"/>
      <c r="F68" s="15" t="n"/>
      <c r="G68" s="15" t="n"/>
      <c r="H68" s="39">
        <f>IF(F68="","",G68/F68)</f>
        <v/>
      </c>
      <c r="I68" s="15" t="n"/>
      <c r="J68" s="35" t="n"/>
      <c r="K68" s="35" t="n"/>
      <c r="L68" s="32" t="n"/>
      <c r="M68" s="14" t="n"/>
    </row>
    <row r="69" ht="22" customHeight="1">
      <c r="B69" s="18">
        <f>IF(C69="","EL-"&amp;TEXT(COUNTA($C$5:C69),"000"))</f>
        <v/>
      </c>
      <c r="C69" s="11" t="n"/>
      <c r="D69" s="11" t="n"/>
      <c r="E69" s="11" t="n"/>
      <c r="F69" s="12" t="n"/>
      <c r="G69" s="12" t="n"/>
      <c r="H69" s="37">
        <f>IF(F69="","",G69/F69)</f>
        <v/>
      </c>
      <c r="I69" s="12" t="n"/>
      <c r="J69" s="33" t="n"/>
      <c r="K69" s="33" t="n"/>
      <c r="L69" s="31" t="n"/>
      <c r="M69" s="11" t="n"/>
    </row>
    <row r="70" ht="22" customHeight="1">
      <c r="B70" s="17">
        <f>IF(C70="","EL-"&amp;TEXT(COUNTA($C$5:C70),"000"))</f>
        <v/>
      </c>
      <c r="C70" s="14" t="n"/>
      <c r="D70" s="14" t="n"/>
      <c r="E70" s="14" t="n"/>
      <c r="F70" s="15" t="n"/>
      <c r="G70" s="15" t="n"/>
      <c r="H70" s="39">
        <f>IF(F70="","",G70/F70)</f>
        <v/>
      </c>
      <c r="I70" s="15" t="n"/>
      <c r="J70" s="35" t="n"/>
      <c r="K70" s="35" t="n"/>
      <c r="L70" s="32" t="n"/>
      <c r="M70" s="14" t="n"/>
    </row>
    <row r="71" ht="22" customHeight="1">
      <c r="B71" s="18">
        <f>IF(C71="","EL-"&amp;TEXT(COUNTA($C$5:C71),"000"))</f>
        <v/>
      </c>
      <c r="C71" s="11" t="n"/>
      <c r="D71" s="11" t="n"/>
      <c r="E71" s="11" t="n"/>
      <c r="F71" s="12" t="n"/>
      <c r="G71" s="12" t="n"/>
      <c r="H71" s="37">
        <f>IF(F71="","",G71/F71)</f>
        <v/>
      </c>
      <c r="I71" s="12" t="n"/>
      <c r="J71" s="33" t="n"/>
      <c r="K71" s="33" t="n"/>
      <c r="L71" s="31" t="n"/>
      <c r="M71" s="11" t="n"/>
    </row>
    <row r="72" ht="22" customHeight="1">
      <c r="B72" s="17">
        <f>IF(C72="","EL-"&amp;TEXT(COUNTA($C$5:C72),"000"))</f>
        <v/>
      </c>
      <c r="C72" s="14" t="n"/>
      <c r="D72" s="14" t="n"/>
      <c r="E72" s="14" t="n"/>
      <c r="F72" s="15" t="n"/>
      <c r="G72" s="15" t="n"/>
      <c r="H72" s="39">
        <f>IF(F72="","",G72/F72)</f>
        <v/>
      </c>
      <c r="I72" s="15" t="n"/>
      <c r="J72" s="35" t="n"/>
      <c r="K72" s="35" t="n"/>
      <c r="L72" s="32" t="n"/>
      <c r="M72" s="14" t="n"/>
    </row>
    <row r="73" ht="22" customHeight="1">
      <c r="B73" s="18">
        <f>IF(C73="","EL-"&amp;TEXT(COUNTA($C$5:C73),"000"))</f>
        <v/>
      </c>
      <c r="C73" s="11" t="n"/>
      <c r="D73" s="11" t="n"/>
      <c r="E73" s="11" t="n"/>
      <c r="F73" s="12" t="n"/>
      <c r="G73" s="12" t="n"/>
      <c r="H73" s="37">
        <f>IF(F73="","",G73/F73)</f>
        <v/>
      </c>
      <c r="I73" s="12" t="n"/>
      <c r="J73" s="33" t="n"/>
      <c r="K73" s="33" t="n"/>
      <c r="L73" s="31" t="n"/>
      <c r="M73" s="11" t="n"/>
    </row>
    <row r="74" ht="22" customHeight="1">
      <c r="B74" s="17">
        <f>IF(C74="","EL-"&amp;TEXT(COUNTA($C$5:C74),"000"))</f>
        <v/>
      </c>
      <c r="C74" s="14" t="n"/>
      <c r="D74" s="14" t="n"/>
      <c r="E74" s="14" t="n"/>
      <c r="F74" s="15" t="n"/>
      <c r="G74" s="15" t="n"/>
      <c r="H74" s="39">
        <f>IF(F74="","",G74/F74)</f>
        <v/>
      </c>
      <c r="I74" s="15" t="n"/>
      <c r="J74" s="35" t="n"/>
      <c r="K74" s="35" t="n"/>
      <c r="L74" s="32" t="n"/>
      <c r="M74" s="14" t="n"/>
    </row>
    <row r="75" ht="22" customHeight="1">
      <c r="B75" s="18">
        <f>IF(C75="","EL-"&amp;TEXT(COUNTA($C$5:C75),"000"))</f>
        <v/>
      </c>
      <c r="C75" s="11" t="n"/>
      <c r="D75" s="11" t="n"/>
      <c r="E75" s="11" t="n"/>
      <c r="F75" s="12" t="n"/>
      <c r="G75" s="12" t="n"/>
      <c r="H75" s="37">
        <f>IF(F75="","",G75/F75)</f>
        <v/>
      </c>
      <c r="I75" s="12" t="n"/>
      <c r="J75" s="33" t="n"/>
      <c r="K75" s="33" t="n"/>
      <c r="L75" s="31" t="n"/>
      <c r="M75" s="11" t="n"/>
    </row>
    <row r="76" ht="22" customHeight="1">
      <c r="B76" s="17">
        <f>IF(C76="","EL-"&amp;TEXT(COUNTA($C$5:C76),"000"))</f>
        <v/>
      </c>
      <c r="C76" s="14" t="n"/>
      <c r="D76" s="14" t="n"/>
      <c r="E76" s="14" t="n"/>
      <c r="F76" s="15" t="n"/>
      <c r="G76" s="15" t="n"/>
      <c r="H76" s="39">
        <f>IF(F76="","",G76/F76)</f>
        <v/>
      </c>
      <c r="I76" s="15" t="n"/>
      <c r="J76" s="35" t="n"/>
      <c r="K76" s="35" t="n"/>
      <c r="L76" s="32" t="n"/>
      <c r="M76" s="14" t="n"/>
    </row>
    <row r="77" ht="22" customHeight="1">
      <c r="B77" s="18">
        <f>IF(C77="","EL-"&amp;TEXT(COUNTA($C$5:C77),"000"))</f>
        <v/>
      </c>
      <c r="C77" s="11" t="n"/>
      <c r="D77" s="11" t="n"/>
      <c r="E77" s="11" t="n"/>
      <c r="F77" s="12" t="n"/>
      <c r="G77" s="12" t="n"/>
      <c r="H77" s="37">
        <f>IF(F77="","",G77/F77)</f>
        <v/>
      </c>
      <c r="I77" s="12" t="n"/>
      <c r="J77" s="33" t="n"/>
      <c r="K77" s="33" t="n"/>
      <c r="L77" s="31" t="n"/>
      <c r="M77" s="11" t="n"/>
    </row>
    <row r="78" ht="22" customHeight="1">
      <c r="B78" s="17">
        <f>IF(C78="","EL-"&amp;TEXT(COUNTA($C$5:C78),"000"))</f>
        <v/>
      </c>
      <c r="C78" s="14" t="n"/>
      <c r="D78" s="14" t="n"/>
      <c r="E78" s="14" t="n"/>
      <c r="F78" s="15" t="n"/>
      <c r="G78" s="15" t="n"/>
      <c r="H78" s="39">
        <f>IF(F78="","",G78/F78)</f>
        <v/>
      </c>
      <c r="I78" s="15" t="n"/>
      <c r="J78" s="35" t="n"/>
      <c r="K78" s="35" t="n"/>
      <c r="L78" s="32" t="n"/>
      <c r="M78" s="14" t="n"/>
    </row>
    <row r="79" ht="22" customHeight="1">
      <c r="B79" s="18">
        <f>IF(C79="","EL-"&amp;TEXT(COUNTA($C$5:C79),"000"))</f>
        <v/>
      </c>
      <c r="C79" s="11" t="n"/>
      <c r="D79" s="11" t="n"/>
      <c r="E79" s="11" t="n"/>
      <c r="F79" s="12" t="n"/>
      <c r="G79" s="12" t="n"/>
      <c r="H79" s="37">
        <f>IF(F79="","",G79/F79)</f>
        <v/>
      </c>
      <c r="I79" s="12" t="n"/>
      <c r="J79" s="33" t="n"/>
      <c r="K79" s="33" t="n"/>
      <c r="L79" s="31" t="n"/>
      <c r="M79" s="11" t="n"/>
    </row>
    <row r="80" ht="22" customHeight="1">
      <c r="B80" s="17">
        <f>IF(C80="","EL-"&amp;TEXT(COUNTA($C$5:C80),"000"))</f>
        <v/>
      </c>
      <c r="C80" s="14" t="n"/>
      <c r="D80" s="14" t="n"/>
      <c r="E80" s="14" t="n"/>
      <c r="F80" s="15" t="n"/>
      <c r="G80" s="15" t="n"/>
      <c r="H80" s="39">
        <f>IF(F80="","",G80/F80)</f>
        <v/>
      </c>
      <c r="I80" s="15" t="n"/>
      <c r="J80" s="35" t="n"/>
      <c r="K80" s="35" t="n"/>
      <c r="L80" s="32" t="n"/>
      <c r="M80" s="14" t="n"/>
    </row>
    <row r="81" ht="22" customHeight="1">
      <c r="B81" s="18">
        <f>IF(C81="","EL-"&amp;TEXT(COUNTA($C$5:C81),"000"))</f>
        <v/>
      </c>
      <c r="C81" s="11" t="n"/>
      <c r="D81" s="11" t="n"/>
      <c r="E81" s="11" t="n"/>
      <c r="F81" s="12" t="n"/>
      <c r="G81" s="12" t="n"/>
      <c r="H81" s="37">
        <f>IF(F81="","",G81/F81)</f>
        <v/>
      </c>
      <c r="I81" s="12" t="n"/>
      <c r="J81" s="33" t="n"/>
      <c r="K81" s="33" t="n"/>
      <c r="L81" s="31" t="n"/>
      <c r="M81" s="11" t="n"/>
    </row>
    <row r="82" ht="22" customHeight="1">
      <c r="B82" s="17">
        <f>IF(C82="","EL-"&amp;TEXT(COUNTA($C$5:C82),"000"))</f>
        <v/>
      </c>
      <c r="C82" s="14" t="n"/>
      <c r="D82" s="14" t="n"/>
      <c r="E82" s="14" t="n"/>
      <c r="F82" s="15" t="n"/>
      <c r="G82" s="15" t="n"/>
      <c r="H82" s="39">
        <f>IF(F82="","",G82/F82)</f>
        <v/>
      </c>
      <c r="I82" s="15" t="n"/>
      <c r="J82" s="35" t="n"/>
      <c r="K82" s="35" t="n"/>
      <c r="L82" s="32" t="n"/>
      <c r="M82" s="14" t="n"/>
    </row>
    <row r="83" ht="22" customHeight="1">
      <c r="B83" s="18">
        <f>IF(C83="","EL-"&amp;TEXT(COUNTA($C$5:C83),"000"))</f>
        <v/>
      </c>
      <c r="C83" s="11" t="n"/>
      <c r="D83" s="11" t="n"/>
      <c r="E83" s="11" t="n"/>
      <c r="F83" s="12" t="n"/>
      <c r="G83" s="12" t="n"/>
      <c r="H83" s="37">
        <f>IF(F83="","",G83/F83)</f>
        <v/>
      </c>
      <c r="I83" s="12" t="n"/>
      <c r="J83" s="33" t="n"/>
      <c r="K83" s="33" t="n"/>
      <c r="L83" s="31" t="n"/>
      <c r="M83" s="11" t="n"/>
    </row>
    <row r="84" ht="22" customHeight="1">
      <c r="B84" s="17">
        <f>IF(C84="","EL-"&amp;TEXT(COUNTA($C$5:C84),"000"))</f>
        <v/>
      </c>
      <c r="C84" s="14" t="n"/>
      <c r="D84" s="14" t="n"/>
      <c r="E84" s="14" t="n"/>
      <c r="F84" s="15" t="n"/>
      <c r="G84" s="15" t="n"/>
      <c r="H84" s="39">
        <f>IF(F84="","",G84/F84)</f>
        <v/>
      </c>
      <c r="I84" s="15" t="n"/>
      <c r="J84" s="35" t="n"/>
      <c r="K84" s="35" t="n"/>
      <c r="L84" s="32" t="n"/>
      <c r="M84" s="14" t="n"/>
    </row>
    <row r="85" ht="22" customHeight="1">
      <c r="B85" s="18">
        <f>IF(C85="","EL-"&amp;TEXT(COUNTA($C$5:C85),"000"))</f>
        <v/>
      </c>
      <c r="C85" s="11" t="n"/>
      <c r="D85" s="11" t="n"/>
      <c r="E85" s="11" t="n"/>
      <c r="F85" s="12" t="n"/>
      <c r="G85" s="12" t="n"/>
      <c r="H85" s="37">
        <f>IF(F85="","",G85/F85)</f>
        <v/>
      </c>
      <c r="I85" s="12" t="n"/>
      <c r="J85" s="33" t="n"/>
      <c r="K85" s="33" t="n"/>
      <c r="L85" s="31" t="n"/>
      <c r="M85" s="11" t="n"/>
    </row>
    <row r="86" ht="22" customHeight="1">
      <c r="B86" s="17">
        <f>IF(C86="","EL-"&amp;TEXT(COUNTA($C$5:C86),"000"))</f>
        <v/>
      </c>
      <c r="C86" s="14" t="n"/>
      <c r="D86" s="14" t="n"/>
      <c r="E86" s="14" t="n"/>
      <c r="F86" s="15" t="n"/>
      <c r="G86" s="15" t="n"/>
      <c r="H86" s="39">
        <f>IF(F86="","",G86/F86)</f>
        <v/>
      </c>
      <c r="I86" s="15" t="n"/>
      <c r="J86" s="35" t="n"/>
      <c r="K86" s="35" t="n"/>
      <c r="L86" s="32" t="n"/>
      <c r="M86" s="14" t="n"/>
    </row>
    <row r="87" ht="22" customHeight="1">
      <c r="B87" s="18">
        <f>IF(C87="","EL-"&amp;TEXT(COUNTA($C$5:C87),"000"))</f>
        <v/>
      </c>
      <c r="C87" s="11" t="n"/>
      <c r="D87" s="11" t="n"/>
      <c r="E87" s="11" t="n"/>
      <c r="F87" s="12" t="n"/>
      <c r="G87" s="12" t="n"/>
      <c r="H87" s="37">
        <f>IF(F87="","",G87/F87)</f>
        <v/>
      </c>
      <c r="I87" s="12" t="n"/>
      <c r="J87" s="33" t="n"/>
      <c r="K87" s="33" t="n"/>
      <c r="L87" s="31" t="n"/>
      <c r="M87" s="11" t="n"/>
    </row>
    <row r="88" ht="22" customHeight="1">
      <c r="B88" s="17">
        <f>IF(C88="","EL-"&amp;TEXT(COUNTA($C$5:C88),"000"))</f>
        <v/>
      </c>
      <c r="C88" s="14" t="n"/>
      <c r="D88" s="14" t="n"/>
      <c r="E88" s="14" t="n"/>
      <c r="F88" s="15" t="n"/>
      <c r="G88" s="15" t="n"/>
      <c r="H88" s="39">
        <f>IF(F88="","",G88/F88)</f>
        <v/>
      </c>
      <c r="I88" s="15" t="n"/>
      <c r="J88" s="35" t="n"/>
      <c r="K88" s="35" t="n"/>
      <c r="L88" s="32" t="n"/>
      <c r="M88" s="14" t="n"/>
    </row>
    <row r="89" ht="22" customHeight="1">
      <c r="B89" s="18">
        <f>IF(C89="","EL-"&amp;TEXT(COUNTA($C$5:C89),"000"))</f>
        <v/>
      </c>
      <c r="C89" s="11" t="n"/>
      <c r="D89" s="11" t="n"/>
      <c r="E89" s="11" t="n"/>
      <c r="F89" s="12" t="n"/>
      <c r="G89" s="12" t="n"/>
      <c r="H89" s="37">
        <f>IF(F89="","",G89/F89)</f>
        <v/>
      </c>
      <c r="I89" s="12" t="n"/>
      <c r="J89" s="33" t="n"/>
      <c r="K89" s="33" t="n"/>
      <c r="L89" s="31" t="n"/>
      <c r="M89" s="11" t="n"/>
    </row>
    <row r="90" ht="22" customHeight="1">
      <c r="B90" s="17">
        <f>IF(C90="","EL-"&amp;TEXT(COUNTA($C$5:C90),"000"))</f>
        <v/>
      </c>
      <c r="C90" s="14" t="n"/>
      <c r="D90" s="14" t="n"/>
      <c r="E90" s="14" t="n"/>
      <c r="F90" s="15" t="n"/>
      <c r="G90" s="15" t="n"/>
      <c r="H90" s="39">
        <f>IF(F90="","",G90/F90)</f>
        <v/>
      </c>
      <c r="I90" s="15" t="n"/>
      <c r="J90" s="35" t="n"/>
      <c r="K90" s="35" t="n"/>
      <c r="L90" s="32" t="n"/>
      <c r="M90" s="14" t="n"/>
    </row>
    <row r="91" ht="22" customHeight="1">
      <c r="B91" s="18">
        <f>IF(C91="","EL-"&amp;TEXT(COUNTA($C$5:C91),"000"))</f>
        <v/>
      </c>
      <c r="C91" s="11" t="n"/>
      <c r="D91" s="11" t="n"/>
      <c r="E91" s="11" t="n"/>
      <c r="F91" s="12" t="n"/>
      <c r="G91" s="12" t="n"/>
      <c r="H91" s="37">
        <f>IF(F91="","",G91/F91)</f>
        <v/>
      </c>
      <c r="I91" s="12" t="n"/>
      <c r="J91" s="33" t="n"/>
      <c r="K91" s="33" t="n"/>
      <c r="L91" s="31" t="n"/>
      <c r="M91" s="11" t="n"/>
    </row>
    <row r="92" ht="22" customHeight="1">
      <c r="B92" s="17">
        <f>IF(C92="","EL-"&amp;TEXT(COUNTA($C$5:C92),"000"))</f>
        <v/>
      </c>
      <c r="C92" s="14" t="n"/>
      <c r="D92" s="14" t="n"/>
      <c r="E92" s="14" t="n"/>
      <c r="F92" s="15" t="n"/>
      <c r="G92" s="15" t="n"/>
      <c r="H92" s="39">
        <f>IF(F92="","",G92/F92)</f>
        <v/>
      </c>
      <c r="I92" s="15" t="n"/>
      <c r="J92" s="35" t="n"/>
      <c r="K92" s="35" t="n"/>
      <c r="L92" s="32" t="n"/>
      <c r="M92" s="14" t="n"/>
    </row>
    <row r="93" ht="22" customHeight="1">
      <c r="B93" s="18">
        <f>IF(C93="","EL-"&amp;TEXT(COUNTA($C$5:C93),"000"))</f>
        <v/>
      </c>
      <c r="C93" s="11" t="n"/>
      <c r="D93" s="11" t="n"/>
      <c r="E93" s="11" t="n"/>
      <c r="F93" s="12" t="n"/>
      <c r="G93" s="12" t="n"/>
      <c r="H93" s="37">
        <f>IF(F93="","",G93/F93)</f>
        <v/>
      </c>
      <c r="I93" s="12" t="n"/>
      <c r="J93" s="33" t="n"/>
      <c r="K93" s="33" t="n"/>
      <c r="L93" s="31" t="n"/>
      <c r="M93" s="11" t="n"/>
    </row>
    <row r="94" ht="22" customHeight="1">
      <c r="B94" s="17">
        <f>IF(C94="","EL-"&amp;TEXT(COUNTA($C$5:C94),"000"))</f>
        <v/>
      </c>
      <c r="C94" s="14" t="n"/>
      <c r="D94" s="14" t="n"/>
      <c r="E94" s="14" t="n"/>
      <c r="F94" s="15" t="n"/>
      <c r="G94" s="15" t="n"/>
      <c r="H94" s="39">
        <f>IF(F94="","",G94/F94)</f>
        <v/>
      </c>
      <c r="I94" s="15" t="n"/>
      <c r="J94" s="35" t="n"/>
      <c r="K94" s="35" t="n"/>
      <c r="L94" s="32" t="n"/>
      <c r="M94" s="14" t="n"/>
    </row>
    <row r="95" ht="22" customHeight="1">
      <c r="B95" s="18">
        <f>IF(C95="","EL-"&amp;TEXT(COUNTA($C$5:C95),"000"))</f>
        <v/>
      </c>
      <c r="C95" s="11" t="n"/>
      <c r="D95" s="11" t="n"/>
      <c r="E95" s="11" t="n"/>
      <c r="F95" s="12" t="n"/>
      <c r="G95" s="12" t="n"/>
      <c r="H95" s="37">
        <f>IF(F95="","",G95/F95)</f>
        <v/>
      </c>
      <c r="I95" s="12" t="n"/>
      <c r="J95" s="33" t="n"/>
      <c r="K95" s="33" t="n"/>
      <c r="L95" s="31" t="n"/>
      <c r="M95" s="11" t="n"/>
    </row>
    <row r="96" ht="22" customHeight="1">
      <c r="B96" s="17">
        <f>IF(C96="","EL-"&amp;TEXT(COUNTA($C$5:C96),"000"))</f>
        <v/>
      </c>
      <c r="C96" s="14" t="n"/>
      <c r="D96" s="14" t="n"/>
      <c r="E96" s="14" t="n"/>
      <c r="F96" s="15" t="n"/>
      <c r="G96" s="15" t="n"/>
      <c r="H96" s="39">
        <f>IF(F96="","",G96/F96)</f>
        <v/>
      </c>
      <c r="I96" s="15" t="n"/>
      <c r="J96" s="35" t="n"/>
      <c r="K96" s="35" t="n"/>
      <c r="L96" s="32" t="n"/>
      <c r="M96" s="14" t="n"/>
    </row>
    <row r="97" ht="22" customHeight="1">
      <c r="B97" s="18">
        <f>IF(C97="","EL-"&amp;TEXT(COUNTA($C$5:C97),"000"))</f>
        <v/>
      </c>
      <c r="C97" s="11" t="n"/>
      <c r="D97" s="11" t="n"/>
      <c r="E97" s="11" t="n"/>
      <c r="F97" s="12" t="n"/>
      <c r="G97" s="12" t="n"/>
      <c r="H97" s="37">
        <f>IF(F97="","",G97/F97)</f>
        <v/>
      </c>
      <c r="I97" s="12" t="n"/>
      <c r="J97" s="33" t="n"/>
      <c r="K97" s="33" t="n"/>
      <c r="L97" s="31" t="n"/>
      <c r="M97" s="11" t="n"/>
    </row>
    <row r="98" ht="22" customHeight="1">
      <c r="B98" s="17">
        <f>IF(C98="","EL-"&amp;TEXT(COUNTA($C$5:C98),"000"))</f>
        <v/>
      </c>
      <c r="C98" s="14" t="n"/>
      <c r="D98" s="14" t="n"/>
      <c r="E98" s="14" t="n"/>
      <c r="F98" s="15" t="n"/>
      <c r="G98" s="15" t="n"/>
      <c r="H98" s="39">
        <f>IF(F98="","",G98/F98)</f>
        <v/>
      </c>
      <c r="I98" s="15" t="n"/>
      <c r="J98" s="35" t="n"/>
      <c r="K98" s="35" t="n"/>
      <c r="L98" s="32" t="n"/>
      <c r="M98" s="14" t="n"/>
    </row>
    <row r="99" ht="22" customHeight="1">
      <c r="B99" s="18">
        <f>IF(C99="","EL-"&amp;TEXT(COUNTA($C$5:C99),"000"))</f>
        <v/>
      </c>
      <c r="C99" s="11" t="n"/>
      <c r="D99" s="11" t="n"/>
      <c r="E99" s="11" t="n"/>
      <c r="F99" s="12" t="n"/>
      <c r="G99" s="12" t="n"/>
      <c r="H99" s="37">
        <f>IF(F99="","",G99/F99)</f>
        <v/>
      </c>
      <c r="I99" s="12" t="n"/>
      <c r="J99" s="33" t="n"/>
      <c r="K99" s="33" t="n"/>
      <c r="L99" s="31" t="n"/>
      <c r="M99" s="11" t="n"/>
    </row>
    <row r="100" ht="22" customHeight="1">
      <c r="B100" s="17">
        <f>IF(C100="","EL-"&amp;TEXT(COUNTA($C$5:C100),"000"))</f>
        <v/>
      </c>
      <c r="C100" s="14" t="n"/>
      <c r="D100" s="14" t="n"/>
      <c r="E100" s="14" t="n"/>
      <c r="F100" s="15" t="n"/>
      <c r="G100" s="15" t="n"/>
      <c r="H100" s="39">
        <f>IF(F100="","",G100/F100)</f>
        <v/>
      </c>
      <c r="I100" s="15" t="n"/>
      <c r="J100" s="35" t="n"/>
      <c r="K100" s="35" t="n"/>
      <c r="L100" s="32" t="n"/>
      <c r="M100" s="14" t="n"/>
    </row>
    <row r="101" ht="22" customHeight="1">
      <c r="B101" s="18">
        <f>IF(C101="","EL-"&amp;TEXT(COUNTA($C$5:C101),"000"))</f>
        <v/>
      </c>
      <c r="C101" s="11" t="n"/>
      <c r="D101" s="11" t="n"/>
      <c r="E101" s="11" t="n"/>
      <c r="F101" s="12" t="n"/>
      <c r="G101" s="12" t="n"/>
      <c r="H101" s="37">
        <f>IF(F101="","",G101/F101)</f>
        <v/>
      </c>
      <c r="I101" s="12" t="n"/>
      <c r="J101" s="33" t="n"/>
      <c r="K101" s="33" t="n"/>
      <c r="L101" s="31" t="n"/>
      <c r="M101" s="11" t="n"/>
    </row>
    <row r="102" ht="22" customHeight="1">
      <c r="B102" s="17">
        <f>IF(C102="","EL-"&amp;TEXT(COUNTA($C$5:C102),"000"))</f>
        <v/>
      </c>
      <c r="C102" s="14" t="n"/>
      <c r="D102" s="14" t="n"/>
      <c r="E102" s="14" t="n"/>
      <c r="F102" s="15" t="n"/>
      <c r="G102" s="15" t="n"/>
      <c r="H102" s="39">
        <f>IF(F102="","",G102/F102)</f>
        <v/>
      </c>
      <c r="I102" s="15" t="n"/>
      <c r="J102" s="35" t="n"/>
      <c r="K102" s="35" t="n"/>
      <c r="L102" s="32" t="n"/>
      <c r="M102" s="14" t="n"/>
    </row>
    <row r="103" ht="22" customHeight="1">
      <c r="B103" s="18">
        <f>IF(C103="","EL-"&amp;TEXT(COUNTA($C$5:C103),"000"))</f>
        <v/>
      </c>
      <c r="C103" s="11" t="n"/>
      <c r="D103" s="11" t="n"/>
      <c r="E103" s="11" t="n"/>
      <c r="F103" s="12" t="n"/>
      <c r="G103" s="12" t="n"/>
      <c r="H103" s="37">
        <f>IF(F103="","",G103/F103)</f>
        <v/>
      </c>
      <c r="I103" s="12" t="n"/>
      <c r="J103" s="33" t="n"/>
      <c r="K103" s="33" t="n"/>
      <c r="L103" s="31" t="n"/>
      <c r="M103" s="11" t="n"/>
    </row>
    <row r="104" ht="22" customHeight="1">
      <c r="B104" s="17">
        <f>IF(C104="","EL-"&amp;TEXT(COUNTA($C$5:C104),"000"))</f>
        <v/>
      </c>
      <c r="C104" s="14" t="n"/>
      <c r="D104" s="14" t="n"/>
      <c r="E104" s="14" t="n"/>
      <c r="F104" s="15" t="n"/>
      <c r="G104" s="15" t="n"/>
      <c r="H104" s="39">
        <f>IF(F104="","",G104/F104)</f>
        <v/>
      </c>
      <c r="I104" s="15" t="n"/>
      <c r="J104" s="35" t="n"/>
      <c r="K104" s="35" t="n"/>
      <c r="L104" s="32" t="n"/>
      <c r="M104" s="14" t="n"/>
    </row>
    <row r="105" ht="22" customHeight="1">
      <c r="B105" s="18">
        <f>IF(C105="","EL-"&amp;TEXT(COUNTA($C$5:C105),"000"))</f>
        <v/>
      </c>
      <c r="C105" s="11" t="n"/>
      <c r="D105" s="11" t="n"/>
      <c r="E105" s="11" t="n"/>
      <c r="F105" s="12" t="n"/>
      <c r="G105" s="12" t="n"/>
      <c r="H105" s="37">
        <f>IF(F105="","",G105/F105)</f>
        <v/>
      </c>
      <c r="I105" s="12" t="n"/>
      <c r="J105" s="33" t="n"/>
      <c r="K105" s="33" t="n"/>
      <c r="L105" s="31" t="n"/>
      <c r="M105" s="11" t="n"/>
    </row>
    <row r="106" ht="22" customHeight="1">
      <c r="B106" s="17">
        <f>IF(C106="","EL-"&amp;TEXT(COUNTA($C$5:C106),"000"))</f>
        <v/>
      </c>
      <c r="C106" s="14" t="n"/>
      <c r="D106" s="14" t="n"/>
      <c r="E106" s="14" t="n"/>
      <c r="F106" s="15" t="n"/>
      <c r="G106" s="15" t="n"/>
      <c r="H106" s="39">
        <f>IF(F106="","",G106/F106)</f>
        <v/>
      </c>
      <c r="I106" s="15" t="n"/>
      <c r="J106" s="35" t="n"/>
      <c r="K106" s="35" t="n"/>
      <c r="L106" s="32" t="n"/>
      <c r="M106" s="14" t="n"/>
    </row>
    <row r="107" ht="22" customHeight="1">
      <c r="B107" s="18">
        <f>IF(C107="","EL-"&amp;TEXT(COUNTA($C$5:C107),"000"))</f>
        <v/>
      </c>
      <c r="C107" s="11" t="n"/>
      <c r="D107" s="11" t="n"/>
      <c r="E107" s="11" t="n"/>
      <c r="F107" s="12" t="n"/>
      <c r="G107" s="12" t="n"/>
      <c r="H107" s="37">
        <f>IF(F107="","",G107/F107)</f>
        <v/>
      </c>
      <c r="I107" s="12" t="n"/>
      <c r="J107" s="33" t="n"/>
      <c r="K107" s="33" t="n"/>
      <c r="L107" s="3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Modules e-learning</t>
        </is>
      </c>
      <c r="D110" s="3" t="inlineStr">
        <is>
          <t>Inscriptions totales</t>
        </is>
      </c>
      <c r="F110" s="3" t="inlineStr">
        <is>
          <t>Taux compl. moyen</t>
        </is>
      </c>
    </row>
    <row r="111">
      <c r="B111" s="4">
        <f>COUNTIF(B5:B104,"&lt;&gt;")</f>
        <v/>
      </c>
      <c r="D111" s="4">
        <f>SUM(F5:F104)</f>
        <v/>
      </c>
      <c r="F111" s="4">
        <f>IFERROR(AVERAGE(H5:H104),0)</f>
        <v/>
      </c>
    </row>
  </sheetData>
  <mergeCells count="3">
    <mergeCell ref="B3:M3"/>
    <mergeCell ref="B2:M2"/>
    <mergeCell ref="B109:M109"/>
  </mergeCells>
  <conditionalFormatting sqref="M5:M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'_Lists'!$R$2:$R$15</formula1>
    </dataValidation>
    <dataValidation sqref="M5:M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38" customWidth="1" min="4" max="4"/>
    <col width="16" customWidth="1" min="5" max="5"/>
    <col width="20" customWidth="1" min="6" max="6"/>
    <col width="24" customWidth="1" min="7" max="7"/>
    <col width="22" customWidth="1" min="8" max="8"/>
    <col width="16" customWidth="1" min="9" max="9"/>
    <col width="14" customWidth="1" min="10" max="10"/>
    <col width="18" customWidth="1" min="11" max="11"/>
    <col width="18" customWidth="1" min="12" max="12"/>
    <col width="36" customWidth="1" min="13" max="13"/>
  </cols>
  <sheetData>
    <row r="1" ht="15" customHeight="1"/>
    <row r="2" ht="32" customHeight="1">
      <c r="B2" s="1" t="inlineStr">
        <is>
          <t>APPLICATIONS MOBILES RH (#163)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Application Mobile RH</t>
        </is>
      </c>
      <c r="D4" s="10" t="inlineStr">
        <is>
          <t>Fonctionnalites</t>
        </is>
      </c>
      <c r="E4" s="10" t="inlineStr">
        <is>
          <t>OS Supportes</t>
        </is>
      </c>
      <c r="F4" s="10" t="inlineStr">
        <is>
          <t>Nb Telechargements</t>
        </is>
      </c>
      <c r="G4" s="10" t="inlineStr">
        <is>
          <t>Utilisateurs Actifs/mois</t>
        </is>
      </c>
      <c r="H4" s="10" t="inlineStr">
        <is>
          <t>Taux Utilisation (%)</t>
        </is>
      </c>
      <c r="I4" s="10" t="inlineStr">
        <is>
          <t>Derniere Version</t>
        </is>
      </c>
      <c r="J4" s="10" t="inlineStr">
        <is>
          <t>Date MAJ</t>
        </is>
      </c>
      <c r="K4" s="10" t="inlineStr">
        <is>
          <t>Nb Avis Negatifs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MOB-001</t>
        </is>
      </c>
      <c r="C5" s="11" t="inlineStr">
        <is>
          <t>HotelApp RH</t>
        </is>
      </c>
      <c r="D5" s="11" t="inlineStr">
        <is>
          <t>Conges, paie, pointage, annonces</t>
        </is>
      </c>
      <c r="E5" s="11" t="inlineStr">
        <is>
          <t>iOS, Android</t>
        </is>
      </c>
      <c r="F5" s="12" t="n">
        <v>180</v>
      </c>
      <c r="G5" s="12" t="n">
        <v>145</v>
      </c>
      <c r="H5" s="37" t="n"/>
      <c r="I5" s="11" t="inlineStr">
        <is>
          <t>v2.3.1</t>
        </is>
      </c>
      <c r="J5" s="31" t="n">
        <v>45731</v>
      </c>
      <c r="K5" s="12" t="n">
        <v>3</v>
      </c>
      <c r="L5" s="11" t="inlineStr">
        <is>
          <t>En production</t>
        </is>
      </c>
      <c r="M5" s="11" t="inlineStr">
        <is>
          <t>Maj bug pointage en cours</t>
        </is>
      </c>
    </row>
    <row r="6" ht="22" customHeight="1">
      <c r="B6" s="14" t="inlineStr">
        <is>
          <t>MOB-002</t>
        </is>
      </c>
      <c r="C6" s="14" t="inlineStr">
        <is>
          <t>Wittyfit Bien-Etre</t>
        </is>
      </c>
      <c r="D6" s="14" t="inlineStr">
        <is>
          <t>Sondages bien-etre, activites</t>
        </is>
      </c>
      <c r="E6" s="14" t="inlineStr">
        <is>
          <t>iOS, Android</t>
        </is>
      </c>
      <c r="F6" s="15" t="n">
        <v>120</v>
      </c>
      <c r="G6" s="15" t="n">
        <v>85</v>
      </c>
      <c r="H6" s="39" t="n"/>
      <c r="I6" s="14" t="inlineStr">
        <is>
          <t>v1.8.0</t>
        </is>
      </c>
      <c r="J6" s="32" t="n">
        <v>45716</v>
      </c>
      <c r="K6" s="15" t="n">
        <v>1</v>
      </c>
      <c r="L6" s="14" t="inlineStr">
        <is>
          <t>En production</t>
        </is>
      </c>
      <c r="M6" s="14" t="inlineStr">
        <is>
          <t>Integration SIRH prevue</t>
        </is>
      </c>
    </row>
    <row r="7" ht="22" customHeight="1">
      <c r="B7" s="11" t="inlineStr">
        <is>
          <t>MOB-003</t>
        </is>
      </c>
      <c r="C7" s="11" t="inlineStr">
        <is>
          <t>Papayrhum Notes frais</t>
        </is>
      </c>
      <c r="D7" s="11" t="inlineStr">
        <is>
          <t>Saisie notes frais, photo justificatifs</t>
        </is>
      </c>
      <c r="E7" s="11" t="inlineStr">
        <is>
          <t>iOS, Android</t>
        </is>
      </c>
      <c r="F7" s="12" t="n">
        <v>45</v>
      </c>
      <c r="G7" s="12" t="n">
        <v>30</v>
      </c>
      <c r="H7" s="37" t="n"/>
      <c r="I7" s="11" t="inlineStr">
        <is>
          <t>v3.1</t>
        </is>
      </c>
      <c r="J7" s="31" t="n">
        <v>45677</v>
      </c>
      <c r="K7" s="12" t="n">
        <v>5</v>
      </c>
      <c r="L7" s="11" t="inlineStr">
        <is>
          <t>En production</t>
        </is>
      </c>
      <c r="M7" s="11" t="inlineStr">
        <is>
          <t>Flux de validation a ameliorer</t>
        </is>
      </c>
    </row>
    <row r="8" ht="22" customHeight="1">
      <c r="B8" s="17">
        <f>IF(C8="","MOB-"&amp;TEXT(COUNTA($C$5:C8),"000"))</f>
        <v/>
      </c>
      <c r="C8" s="14" t="n"/>
      <c r="D8" s="14" t="n"/>
      <c r="E8" s="14" t="n"/>
      <c r="F8" s="15" t="n"/>
      <c r="G8" s="15" t="n"/>
      <c r="H8" s="39">
        <f>IF(F8="","",G8/F8)</f>
        <v/>
      </c>
      <c r="I8" s="14" t="n"/>
      <c r="J8" s="32" t="n"/>
      <c r="K8" s="15" t="n"/>
      <c r="L8" s="14" t="n"/>
      <c r="M8" s="14" t="n"/>
    </row>
    <row r="9" ht="22" customHeight="1">
      <c r="B9" s="18">
        <f>IF(C9="","MOB-"&amp;TEXT(COUNTA($C$5:C9),"000"))</f>
        <v/>
      </c>
      <c r="C9" s="11" t="n"/>
      <c r="D9" s="11" t="n"/>
      <c r="E9" s="11" t="n"/>
      <c r="F9" s="12" t="n"/>
      <c r="G9" s="12" t="n"/>
      <c r="H9" s="37">
        <f>IF(F9="","",G9/F9)</f>
        <v/>
      </c>
      <c r="I9" s="11" t="n"/>
      <c r="J9" s="31" t="n"/>
      <c r="K9" s="12" t="n"/>
      <c r="L9" s="11" t="n"/>
      <c r="M9" s="11" t="n"/>
    </row>
    <row r="10" ht="22" customHeight="1">
      <c r="B10" s="17">
        <f>IF(C10="","MOB-"&amp;TEXT(COUNTA($C$5:C10),"000"))</f>
        <v/>
      </c>
      <c r="C10" s="14" t="n"/>
      <c r="D10" s="14" t="n"/>
      <c r="E10" s="14" t="n"/>
      <c r="F10" s="15" t="n"/>
      <c r="G10" s="15" t="n"/>
      <c r="H10" s="39">
        <f>IF(F10="","",G10/F10)</f>
        <v/>
      </c>
      <c r="I10" s="14" t="n"/>
      <c r="J10" s="32" t="n"/>
      <c r="K10" s="15" t="n"/>
      <c r="L10" s="14" t="n"/>
      <c r="M10" s="14" t="n"/>
    </row>
    <row r="11" ht="22" customHeight="1">
      <c r="B11" s="18">
        <f>IF(C11="","MOB-"&amp;TEXT(COUNTA($C$5:C11),"000"))</f>
        <v/>
      </c>
      <c r="C11" s="11" t="n"/>
      <c r="D11" s="11" t="n"/>
      <c r="E11" s="11" t="n"/>
      <c r="F11" s="12" t="n"/>
      <c r="G11" s="12" t="n"/>
      <c r="H11" s="37">
        <f>IF(F11="","",G11/F11)</f>
        <v/>
      </c>
      <c r="I11" s="11" t="n"/>
      <c r="J11" s="31" t="n"/>
      <c r="K11" s="12" t="n"/>
      <c r="L11" s="11" t="n"/>
      <c r="M11" s="11" t="n"/>
    </row>
    <row r="12" ht="22" customHeight="1">
      <c r="B12" s="17">
        <f>IF(C12="","MOB-"&amp;TEXT(COUNTA($C$5:C12),"000"))</f>
        <v/>
      </c>
      <c r="C12" s="14" t="n"/>
      <c r="D12" s="14" t="n"/>
      <c r="E12" s="14" t="n"/>
      <c r="F12" s="15" t="n"/>
      <c r="G12" s="15" t="n"/>
      <c r="H12" s="39">
        <f>IF(F12="","",G12/F12)</f>
        <v/>
      </c>
      <c r="I12" s="14" t="n"/>
      <c r="J12" s="32" t="n"/>
      <c r="K12" s="15" t="n"/>
      <c r="L12" s="14" t="n"/>
      <c r="M12" s="14" t="n"/>
    </row>
    <row r="13" ht="22" customHeight="1">
      <c r="B13" s="18">
        <f>IF(C13="","MOB-"&amp;TEXT(COUNTA($C$5:C13),"000"))</f>
        <v/>
      </c>
      <c r="C13" s="11" t="n"/>
      <c r="D13" s="11" t="n"/>
      <c r="E13" s="11" t="n"/>
      <c r="F13" s="12" t="n"/>
      <c r="G13" s="12" t="n"/>
      <c r="H13" s="37">
        <f>IF(F13="","",G13/F13)</f>
        <v/>
      </c>
      <c r="I13" s="11" t="n"/>
      <c r="J13" s="31" t="n"/>
      <c r="K13" s="12" t="n"/>
      <c r="L13" s="11" t="n"/>
      <c r="M13" s="11" t="n"/>
    </row>
    <row r="14" ht="22" customHeight="1">
      <c r="B14" s="17">
        <f>IF(C14="","MOB-"&amp;TEXT(COUNTA($C$5:C14),"000"))</f>
        <v/>
      </c>
      <c r="C14" s="14" t="n"/>
      <c r="D14" s="14" t="n"/>
      <c r="E14" s="14" t="n"/>
      <c r="F14" s="15" t="n"/>
      <c r="G14" s="15" t="n"/>
      <c r="H14" s="39">
        <f>IF(F14="","",G14/F14)</f>
        <v/>
      </c>
      <c r="I14" s="14" t="n"/>
      <c r="J14" s="32" t="n"/>
      <c r="K14" s="15" t="n"/>
      <c r="L14" s="14" t="n"/>
      <c r="M14" s="14" t="n"/>
    </row>
    <row r="15" ht="22" customHeight="1">
      <c r="B15" s="18">
        <f>IF(C15="","MOB-"&amp;TEXT(COUNTA($C$5:C15),"000"))</f>
        <v/>
      </c>
      <c r="C15" s="11" t="n"/>
      <c r="D15" s="11" t="n"/>
      <c r="E15" s="11" t="n"/>
      <c r="F15" s="12" t="n"/>
      <c r="G15" s="12" t="n"/>
      <c r="H15" s="37">
        <f>IF(F15="","",G15/F15)</f>
        <v/>
      </c>
      <c r="I15" s="11" t="n"/>
      <c r="J15" s="31" t="n"/>
      <c r="K15" s="12" t="n"/>
      <c r="L15" s="11" t="n"/>
      <c r="M15" s="11" t="n"/>
    </row>
    <row r="16" ht="22" customHeight="1">
      <c r="B16" s="17">
        <f>IF(C16="","MOB-"&amp;TEXT(COUNTA($C$5:C16),"000"))</f>
        <v/>
      </c>
      <c r="C16" s="14" t="n"/>
      <c r="D16" s="14" t="n"/>
      <c r="E16" s="14" t="n"/>
      <c r="F16" s="15" t="n"/>
      <c r="G16" s="15" t="n"/>
      <c r="H16" s="39">
        <f>IF(F16="","",G16/F16)</f>
        <v/>
      </c>
      <c r="I16" s="14" t="n"/>
      <c r="J16" s="32" t="n"/>
      <c r="K16" s="15" t="n"/>
      <c r="L16" s="14" t="n"/>
      <c r="M16" s="14" t="n"/>
    </row>
    <row r="17" ht="22" customHeight="1">
      <c r="B17" s="18">
        <f>IF(C17="","MOB-"&amp;TEXT(COUNTA($C$5:C17),"000"))</f>
        <v/>
      </c>
      <c r="C17" s="11" t="n"/>
      <c r="D17" s="11" t="n"/>
      <c r="E17" s="11" t="n"/>
      <c r="F17" s="12" t="n"/>
      <c r="G17" s="12" t="n"/>
      <c r="H17" s="37">
        <f>IF(F17="","",G17/F17)</f>
        <v/>
      </c>
      <c r="I17" s="11" t="n"/>
      <c r="J17" s="31" t="n"/>
      <c r="K17" s="12" t="n"/>
      <c r="L17" s="11" t="n"/>
      <c r="M17" s="11" t="n"/>
    </row>
    <row r="18" ht="22" customHeight="1">
      <c r="B18" s="17">
        <f>IF(C18="","MOB-"&amp;TEXT(COUNTA($C$5:C18),"000"))</f>
        <v/>
      </c>
      <c r="C18" s="14" t="n"/>
      <c r="D18" s="14" t="n"/>
      <c r="E18" s="14" t="n"/>
      <c r="F18" s="15" t="n"/>
      <c r="G18" s="15" t="n"/>
      <c r="H18" s="39">
        <f>IF(F18="","",G18/F18)</f>
        <v/>
      </c>
      <c r="I18" s="14" t="n"/>
      <c r="J18" s="32" t="n"/>
      <c r="K18" s="15" t="n"/>
      <c r="L18" s="14" t="n"/>
      <c r="M18" s="14" t="n"/>
    </row>
    <row r="19" ht="22" customHeight="1">
      <c r="B19" s="18">
        <f>IF(C19="","MOB-"&amp;TEXT(COUNTA($C$5:C19),"000"))</f>
        <v/>
      </c>
      <c r="C19" s="11" t="n"/>
      <c r="D19" s="11" t="n"/>
      <c r="E19" s="11" t="n"/>
      <c r="F19" s="12" t="n"/>
      <c r="G19" s="12" t="n"/>
      <c r="H19" s="37">
        <f>IF(F19="","",G19/F19)</f>
        <v/>
      </c>
      <c r="I19" s="11" t="n"/>
      <c r="J19" s="31" t="n"/>
      <c r="K19" s="12" t="n"/>
      <c r="L19" s="11" t="n"/>
      <c r="M19" s="11" t="n"/>
    </row>
    <row r="20" ht="22" customHeight="1">
      <c r="B20" s="17">
        <f>IF(C20="","MOB-"&amp;TEXT(COUNTA($C$5:C20),"000"))</f>
        <v/>
      </c>
      <c r="C20" s="14" t="n"/>
      <c r="D20" s="14" t="n"/>
      <c r="E20" s="14" t="n"/>
      <c r="F20" s="15" t="n"/>
      <c r="G20" s="15" t="n"/>
      <c r="H20" s="39">
        <f>IF(F20="","",G20/F20)</f>
        <v/>
      </c>
      <c r="I20" s="14" t="n"/>
      <c r="J20" s="32" t="n"/>
      <c r="K20" s="15" t="n"/>
      <c r="L20" s="14" t="n"/>
      <c r="M20" s="14" t="n"/>
    </row>
    <row r="21" ht="22" customHeight="1">
      <c r="B21" s="18">
        <f>IF(C21="","MOB-"&amp;TEXT(COUNTA($C$5:C21),"000"))</f>
        <v/>
      </c>
      <c r="C21" s="11" t="n"/>
      <c r="D21" s="11" t="n"/>
      <c r="E21" s="11" t="n"/>
      <c r="F21" s="12" t="n"/>
      <c r="G21" s="12" t="n"/>
      <c r="H21" s="37">
        <f>IF(F21="","",G21/F21)</f>
        <v/>
      </c>
      <c r="I21" s="11" t="n"/>
      <c r="J21" s="31" t="n"/>
      <c r="K21" s="12" t="n"/>
      <c r="L21" s="11" t="n"/>
      <c r="M21" s="11" t="n"/>
    </row>
    <row r="22" ht="22" customHeight="1">
      <c r="B22" s="17">
        <f>IF(C22="","MOB-"&amp;TEXT(COUNTA($C$5:C22),"000"))</f>
        <v/>
      </c>
      <c r="C22" s="14" t="n"/>
      <c r="D22" s="14" t="n"/>
      <c r="E22" s="14" t="n"/>
      <c r="F22" s="15" t="n"/>
      <c r="G22" s="15" t="n"/>
      <c r="H22" s="39">
        <f>IF(F22="","",G22/F22)</f>
        <v/>
      </c>
      <c r="I22" s="14" t="n"/>
      <c r="J22" s="32" t="n"/>
      <c r="K22" s="15" t="n"/>
      <c r="L22" s="14" t="n"/>
      <c r="M22" s="14" t="n"/>
    </row>
    <row r="23" ht="22" customHeight="1">
      <c r="B23" s="18">
        <f>IF(C23="","MOB-"&amp;TEXT(COUNTA($C$5:C23),"000"))</f>
        <v/>
      </c>
      <c r="C23" s="11" t="n"/>
      <c r="D23" s="11" t="n"/>
      <c r="E23" s="11" t="n"/>
      <c r="F23" s="12" t="n"/>
      <c r="G23" s="12" t="n"/>
      <c r="H23" s="37">
        <f>IF(F23="","",G23/F23)</f>
        <v/>
      </c>
      <c r="I23" s="11" t="n"/>
      <c r="J23" s="31" t="n"/>
      <c r="K23" s="12" t="n"/>
      <c r="L23" s="11" t="n"/>
      <c r="M23" s="11" t="n"/>
    </row>
    <row r="24" ht="22" customHeight="1">
      <c r="B24" s="17">
        <f>IF(C24="","MOB-"&amp;TEXT(COUNTA($C$5:C24),"000"))</f>
        <v/>
      </c>
      <c r="C24" s="14" t="n"/>
      <c r="D24" s="14" t="n"/>
      <c r="E24" s="14" t="n"/>
      <c r="F24" s="15" t="n"/>
      <c r="G24" s="15" t="n"/>
      <c r="H24" s="39">
        <f>IF(F24="","",G24/F24)</f>
        <v/>
      </c>
      <c r="I24" s="14" t="n"/>
      <c r="J24" s="32" t="n"/>
      <c r="K24" s="15" t="n"/>
      <c r="L24" s="14" t="n"/>
      <c r="M24" s="14" t="n"/>
    </row>
    <row r="25" ht="22" customHeight="1">
      <c r="B25" s="18">
        <f>IF(C25="","MOB-"&amp;TEXT(COUNTA($C$5:C25),"000"))</f>
        <v/>
      </c>
      <c r="C25" s="11" t="n"/>
      <c r="D25" s="11" t="n"/>
      <c r="E25" s="11" t="n"/>
      <c r="F25" s="12" t="n"/>
      <c r="G25" s="12" t="n"/>
      <c r="H25" s="37">
        <f>IF(F25="","",G25/F25)</f>
        <v/>
      </c>
      <c r="I25" s="11" t="n"/>
      <c r="J25" s="31" t="n"/>
      <c r="K25" s="12" t="n"/>
      <c r="L25" s="11" t="n"/>
      <c r="M25" s="11" t="n"/>
    </row>
    <row r="26" ht="22" customHeight="1">
      <c r="B26" s="17">
        <f>IF(C26="","MOB-"&amp;TEXT(COUNTA($C$5:C26),"000"))</f>
        <v/>
      </c>
      <c r="C26" s="14" t="n"/>
      <c r="D26" s="14" t="n"/>
      <c r="E26" s="14" t="n"/>
      <c r="F26" s="15" t="n"/>
      <c r="G26" s="15" t="n"/>
      <c r="H26" s="39">
        <f>IF(F26="","",G26/F26)</f>
        <v/>
      </c>
      <c r="I26" s="14" t="n"/>
      <c r="J26" s="32" t="n"/>
      <c r="K26" s="15" t="n"/>
      <c r="L26" s="14" t="n"/>
      <c r="M26" s="14" t="n"/>
    </row>
    <row r="27" ht="22" customHeight="1">
      <c r="B27" s="18">
        <f>IF(C27="","MOB-"&amp;TEXT(COUNTA($C$5:C27),"000"))</f>
        <v/>
      </c>
      <c r="C27" s="11" t="n"/>
      <c r="D27" s="11" t="n"/>
      <c r="E27" s="11" t="n"/>
      <c r="F27" s="12" t="n"/>
      <c r="G27" s="12" t="n"/>
      <c r="H27" s="37">
        <f>IF(F27="","",G27/F27)</f>
        <v/>
      </c>
      <c r="I27" s="11" t="n"/>
      <c r="J27" s="31" t="n"/>
      <c r="K27" s="12" t="n"/>
      <c r="L27" s="11" t="n"/>
      <c r="M27" s="11" t="n"/>
    </row>
    <row r="28" ht="22" customHeight="1">
      <c r="B28" s="17">
        <f>IF(C28="","MOB-"&amp;TEXT(COUNTA($C$5:C28),"000"))</f>
        <v/>
      </c>
      <c r="C28" s="14" t="n"/>
      <c r="D28" s="14" t="n"/>
      <c r="E28" s="14" t="n"/>
      <c r="F28" s="15" t="n"/>
      <c r="G28" s="15" t="n"/>
      <c r="H28" s="39">
        <f>IF(F28="","",G28/F28)</f>
        <v/>
      </c>
      <c r="I28" s="14" t="n"/>
      <c r="J28" s="32" t="n"/>
      <c r="K28" s="15" t="n"/>
      <c r="L28" s="14" t="n"/>
      <c r="M28" s="14" t="n"/>
    </row>
    <row r="29" ht="22" customHeight="1">
      <c r="B29" s="18">
        <f>IF(C29="","MOB-"&amp;TEXT(COUNTA($C$5:C29),"000"))</f>
        <v/>
      </c>
      <c r="C29" s="11" t="n"/>
      <c r="D29" s="11" t="n"/>
      <c r="E29" s="11" t="n"/>
      <c r="F29" s="12" t="n"/>
      <c r="G29" s="12" t="n"/>
      <c r="H29" s="37">
        <f>IF(F29="","",G29/F29)</f>
        <v/>
      </c>
      <c r="I29" s="11" t="n"/>
      <c r="J29" s="31" t="n"/>
      <c r="K29" s="12" t="n"/>
      <c r="L29" s="11" t="n"/>
      <c r="M29" s="11" t="n"/>
    </row>
    <row r="30" ht="22" customHeight="1">
      <c r="B30" s="17">
        <f>IF(C30="","MOB-"&amp;TEXT(COUNTA($C$5:C30),"000"))</f>
        <v/>
      </c>
      <c r="C30" s="14" t="n"/>
      <c r="D30" s="14" t="n"/>
      <c r="E30" s="14" t="n"/>
      <c r="F30" s="15" t="n"/>
      <c r="G30" s="15" t="n"/>
      <c r="H30" s="39">
        <f>IF(F30="","",G30/F30)</f>
        <v/>
      </c>
      <c r="I30" s="14" t="n"/>
      <c r="J30" s="32" t="n"/>
      <c r="K30" s="15" t="n"/>
      <c r="L30" s="14" t="n"/>
      <c r="M30" s="14" t="n"/>
    </row>
    <row r="31" ht="22" customHeight="1">
      <c r="B31" s="18">
        <f>IF(C31="","MOB-"&amp;TEXT(COUNTA($C$5:C31),"000"))</f>
        <v/>
      </c>
      <c r="C31" s="11" t="n"/>
      <c r="D31" s="11" t="n"/>
      <c r="E31" s="11" t="n"/>
      <c r="F31" s="12" t="n"/>
      <c r="G31" s="12" t="n"/>
      <c r="H31" s="37">
        <f>IF(F31="","",G31/F31)</f>
        <v/>
      </c>
      <c r="I31" s="11" t="n"/>
      <c r="J31" s="31" t="n"/>
      <c r="K31" s="12" t="n"/>
      <c r="L31" s="11" t="n"/>
      <c r="M31" s="11" t="n"/>
    </row>
    <row r="32" ht="22" customHeight="1">
      <c r="B32" s="17">
        <f>IF(C32="","MOB-"&amp;TEXT(COUNTA($C$5:C32),"000"))</f>
        <v/>
      </c>
      <c r="C32" s="14" t="n"/>
      <c r="D32" s="14" t="n"/>
      <c r="E32" s="14" t="n"/>
      <c r="F32" s="15" t="n"/>
      <c r="G32" s="15" t="n"/>
      <c r="H32" s="39">
        <f>IF(F32="","",G32/F32)</f>
        <v/>
      </c>
      <c r="I32" s="14" t="n"/>
      <c r="J32" s="32" t="n"/>
      <c r="K32" s="15" t="n"/>
      <c r="L32" s="14" t="n"/>
      <c r="M32" s="14" t="n"/>
    </row>
    <row r="33" ht="22" customHeight="1">
      <c r="B33" s="18">
        <f>IF(C33="","MOB-"&amp;TEXT(COUNTA($C$5:C33),"000"))</f>
        <v/>
      </c>
      <c r="C33" s="11" t="n"/>
      <c r="D33" s="11" t="n"/>
      <c r="E33" s="11" t="n"/>
      <c r="F33" s="12" t="n"/>
      <c r="G33" s="12" t="n"/>
      <c r="H33" s="37">
        <f>IF(F33="","",G33/F33)</f>
        <v/>
      </c>
      <c r="I33" s="11" t="n"/>
      <c r="J33" s="31" t="n"/>
      <c r="K33" s="12" t="n"/>
      <c r="L33" s="11" t="n"/>
      <c r="M33" s="11" t="n"/>
    </row>
    <row r="34" ht="22" customHeight="1">
      <c r="B34" s="17">
        <f>IF(C34="","MOB-"&amp;TEXT(COUNTA($C$5:C34),"000"))</f>
        <v/>
      </c>
      <c r="C34" s="14" t="n"/>
      <c r="D34" s="14" t="n"/>
      <c r="E34" s="14" t="n"/>
      <c r="F34" s="15" t="n"/>
      <c r="G34" s="15" t="n"/>
      <c r="H34" s="39">
        <f>IF(F34="","",G34/F34)</f>
        <v/>
      </c>
      <c r="I34" s="14" t="n"/>
      <c r="J34" s="32" t="n"/>
      <c r="K34" s="15" t="n"/>
      <c r="L34" s="14" t="n"/>
      <c r="M34" s="14" t="n"/>
    </row>
    <row r="35" ht="22" customHeight="1">
      <c r="B35" s="18">
        <f>IF(C35="","MOB-"&amp;TEXT(COUNTA($C$5:C35),"000"))</f>
        <v/>
      </c>
      <c r="C35" s="11" t="n"/>
      <c r="D35" s="11" t="n"/>
      <c r="E35" s="11" t="n"/>
      <c r="F35" s="12" t="n"/>
      <c r="G35" s="12" t="n"/>
      <c r="H35" s="37">
        <f>IF(F35="","",G35/F35)</f>
        <v/>
      </c>
      <c r="I35" s="11" t="n"/>
      <c r="J35" s="31" t="n"/>
      <c r="K35" s="12" t="n"/>
      <c r="L35" s="11" t="n"/>
      <c r="M35" s="11" t="n"/>
    </row>
    <row r="36" ht="22" customHeight="1">
      <c r="B36" s="17">
        <f>IF(C36="","MOB-"&amp;TEXT(COUNTA($C$5:C36),"000"))</f>
        <v/>
      </c>
      <c r="C36" s="14" t="n"/>
      <c r="D36" s="14" t="n"/>
      <c r="E36" s="14" t="n"/>
      <c r="F36" s="15" t="n"/>
      <c r="G36" s="15" t="n"/>
      <c r="H36" s="39">
        <f>IF(F36="","",G36/F36)</f>
        <v/>
      </c>
      <c r="I36" s="14" t="n"/>
      <c r="J36" s="32" t="n"/>
      <c r="K36" s="15" t="n"/>
      <c r="L36" s="14" t="n"/>
      <c r="M36" s="14" t="n"/>
    </row>
    <row r="37" ht="22" customHeight="1">
      <c r="B37" s="18">
        <f>IF(C37="","MOB-"&amp;TEXT(COUNTA($C$5:C37),"000"))</f>
        <v/>
      </c>
      <c r="C37" s="11" t="n"/>
      <c r="D37" s="11" t="n"/>
      <c r="E37" s="11" t="n"/>
      <c r="F37" s="12" t="n"/>
      <c r="G37" s="12" t="n"/>
      <c r="H37" s="37">
        <f>IF(F37="","",G37/F37)</f>
        <v/>
      </c>
      <c r="I37" s="11" t="n"/>
      <c r="J37" s="31" t="n"/>
      <c r="K37" s="12" t="n"/>
      <c r="L37" s="11" t="n"/>
      <c r="M37" s="11" t="n"/>
    </row>
    <row r="38" ht="22" customHeight="1">
      <c r="B38" s="17">
        <f>IF(C38="","MOB-"&amp;TEXT(COUNTA($C$5:C38),"000"))</f>
        <v/>
      </c>
      <c r="C38" s="14" t="n"/>
      <c r="D38" s="14" t="n"/>
      <c r="E38" s="14" t="n"/>
      <c r="F38" s="15" t="n"/>
      <c r="G38" s="15" t="n"/>
      <c r="H38" s="39">
        <f>IF(F38="","",G38/F38)</f>
        <v/>
      </c>
      <c r="I38" s="14" t="n"/>
      <c r="J38" s="32" t="n"/>
      <c r="K38" s="15" t="n"/>
      <c r="L38" s="14" t="n"/>
      <c r="M38" s="14" t="n"/>
    </row>
    <row r="39" ht="22" customHeight="1">
      <c r="B39" s="18">
        <f>IF(C39="","MOB-"&amp;TEXT(COUNTA($C$5:C39),"000"))</f>
        <v/>
      </c>
      <c r="C39" s="11" t="n"/>
      <c r="D39" s="11" t="n"/>
      <c r="E39" s="11" t="n"/>
      <c r="F39" s="12" t="n"/>
      <c r="G39" s="12" t="n"/>
      <c r="H39" s="37">
        <f>IF(F39="","",G39/F39)</f>
        <v/>
      </c>
      <c r="I39" s="11" t="n"/>
      <c r="J39" s="31" t="n"/>
      <c r="K39" s="12" t="n"/>
      <c r="L39" s="11" t="n"/>
      <c r="M39" s="11" t="n"/>
    </row>
    <row r="40" ht="22" customHeight="1">
      <c r="B40" s="17">
        <f>IF(C40="","MOB-"&amp;TEXT(COUNTA($C$5:C40),"000"))</f>
        <v/>
      </c>
      <c r="C40" s="14" t="n"/>
      <c r="D40" s="14" t="n"/>
      <c r="E40" s="14" t="n"/>
      <c r="F40" s="15" t="n"/>
      <c r="G40" s="15" t="n"/>
      <c r="H40" s="39">
        <f>IF(F40="","",G40/F40)</f>
        <v/>
      </c>
      <c r="I40" s="14" t="n"/>
      <c r="J40" s="32" t="n"/>
      <c r="K40" s="15" t="n"/>
      <c r="L40" s="14" t="n"/>
      <c r="M40" s="14" t="n"/>
    </row>
    <row r="41" ht="22" customHeight="1">
      <c r="B41" s="18">
        <f>IF(C41="","MOB-"&amp;TEXT(COUNTA($C$5:C41),"000"))</f>
        <v/>
      </c>
      <c r="C41" s="11" t="n"/>
      <c r="D41" s="11" t="n"/>
      <c r="E41" s="11" t="n"/>
      <c r="F41" s="12" t="n"/>
      <c r="G41" s="12" t="n"/>
      <c r="H41" s="37">
        <f>IF(F41="","",G41/F41)</f>
        <v/>
      </c>
      <c r="I41" s="11" t="n"/>
      <c r="J41" s="31" t="n"/>
      <c r="K41" s="12" t="n"/>
      <c r="L41" s="11" t="n"/>
      <c r="M41" s="11" t="n"/>
    </row>
    <row r="42" ht="22" customHeight="1">
      <c r="B42" s="17">
        <f>IF(C42="","MOB-"&amp;TEXT(COUNTA($C$5:C42),"000"))</f>
        <v/>
      </c>
      <c r="C42" s="14" t="n"/>
      <c r="D42" s="14" t="n"/>
      <c r="E42" s="14" t="n"/>
      <c r="F42" s="15" t="n"/>
      <c r="G42" s="15" t="n"/>
      <c r="H42" s="39">
        <f>IF(F42="","",G42/F42)</f>
        <v/>
      </c>
      <c r="I42" s="14" t="n"/>
      <c r="J42" s="32" t="n"/>
      <c r="K42" s="15" t="n"/>
      <c r="L42" s="14" t="n"/>
      <c r="M42" s="14" t="n"/>
    </row>
    <row r="43" ht="22" customHeight="1">
      <c r="B43" s="18">
        <f>IF(C43="","MOB-"&amp;TEXT(COUNTA($C$5:C43),"000"))</f>
        <v/>
      </c>
      <c r="C43" s="11" t="n"/>
      <c r="D43" s="11" t="n"/>
      <c r="E43" s="11" t="n"/>
      <c r="F43" s="12" t="n"/>
      <c r="G43" s="12" t="n"/>
      <c r="H43" s="37">
        <f>IF(F43="","",G43/F43)</f>
        <v/>
      </c>
      <c r="I43" s="11" t="n"/>
      <c r="J43" s="31" t="n"/>
      <c r="K43" s="12" t="n"/>
      <c r="L43" s="11" t="n"/>
      <c r="M43" s="11" t="n"/>
    </row>
    <row r="44" ht="22" customHeight="1">
      <c r="B44" s="17">
        <f>IF(C44="","MOB-"&amp;TEXT(COUNTA($C$5:C44),"000"))</f>
        <v/>
      </c>
      <c r="C44" s="14" t="n"/>
      <c r="D44" s="14" t="n"/>
      <c r="E44" s="14" t="n"/>
      <c r="F44" s="15" t="n"/>
      <c r="G44" s="15" t="n"/>
      <c r="H44" s="39">
        <f>IF(F44="","",G44/F44)</f>
        <v/>
      </c>
      <c r="I44" s="14" t="n"/>
      <c r="J44" s="32" t="n"/>
      <c r="K44" s="15" t="n"/>
      <c r="L44" s="14" t="n"/>
      <c r="M44" s="14" t="n"/>
    </row>
    <row r="45" ht="22" customHeight="1">
      <c r="B45" s="18">
        <f>IF(C45="","MOB-"&amp;TEXT(COUNTA($C$5:C45),"000"))</f>
        <v/>
      </c>
      <c r="C45" s="11" t="n"/>
      <c r="D45" s="11" t="n"/>
      <c r="E45" s="11" t="n"/>
      <c r="F45" s="12" t="n"/>
      <c r="G45" s="12" t="n"/>
      <c r="H45" s="37">
        <f>IF(F45="","",G45/F45)</f>
        <v/>
      </c>
      <c r="I45" s="11" t="n"/>
      <c r="J45" s="31" t="n"/>
      <c r="K45" s="12" t="n"/>
      <c r="L45" s="11" t="n"/>
      <c r="M45" s="11" t="n"/>
    </row>
    <row r="46" ht="22" customHeight="1">
      <c r="B46" s="17">
        <f>IF(C46="","MOB-"&amp;TEXT(COUNTA($C$5:C46),"000"))</f>
        <v/>
      </c>
      <c r="C46" s="14" t="n"/>
      <c r="D46" s="14" t="n"/>
      <c r="E46" s="14" t="n"/>
      <c r="F46" s="15" t="n"/>
      <c r="G46" s="15" t="n"/>
      <c r="H46" s="39">
        <f>IF(F46="","",G46/F46)</f>
        <v/>
      </c>
      <c r="I46" s="14" t="n"/>
      <c r="J46" s="32" t="n"/>
      <c r="K46" s="15" t="n"/>
      <c r="L46" s="14" t="n"/>
      <c r="M46" s="14" t="n"/>
    </row>
    <row r="47" ht="22" customHeight="1">
      <c r="B47" s="18">
        <f>IF(C47="","MOB-"&amp;TEXT(COUNTA($C$5:C47),"000"))</f>
        <v/>
      </c>
      <c r="C47" s="11" t="n"/>
      <c r="D47" s="11" t="n"/>
      <c r="E47" s="11" t="n"/>
      <c r="F47" s="12" t="n"/>
      <c r="G47" s="12" t="n"/>
      <c r="H47" s="37">
        <f>IF(F47="","",G47/F47)</f>
        <v/>
      </c>
      <c r="I47" s="11" t="n"/>
      <c r="J47" s="31" t="n"/>
      <c r="K47" s="12" t="n"/>
      <c r="L47" s="11" t="n"/>
      <c r="M47" s="11" t="n"/>
    </row>
    <row r="48" ht="22" customHeight="1">
      <c r="B48" s="17">
        <f>IF(C48="","MOB-"&amp;TEXT(COUNTA($C$5:C48),"000"))</f>
        <v/>
      </c>
      <c r="C48" s="14" t="n"/>
      <c r="D48" s="14" t="n"/>
      <c r="E48" s="14" t="n"/>
      <c r="F48" s="15" t="n"/>
      <c r="G48" s="15" t="n"/>
      <c r="H48" s="39">
        <f>IF(F48="","",G48/F48)</f>
        <v/>
      </c>
      <c r="I48" s="14" t="n"/>
      <c r="J48" s="32" t="n"/>
      <c r="K48" s="15" t="n"/>
      <c r="L48" s="14" t="n"/>
      <c r="M48" s="14" t="n"/>
    </row>
    <row r="49" ht="22" customHeight="1">
      <c r="B49" s="18">
        <f>IF(C49="","MOB-"&amp;TEXT(COUNTA($C$5:C49),"000"))</f>
        <v/>
      </c>
      <c r="C49" s="11" t="n"/>
      <c r="D49" s="11" t="n"/>
      <c r="E49" s="11" t="n"/>
      <c r="F49" s="12" t="n"/>
      <c r="G49" s="12" t="n"/>
      <c r="H49" s="37">
        <f>IF(F49="","",G49/F49)</f>
        <v/>
      </c>
      <c r="I49" s="11" t="n"/>
      <c r="J49" s="31" t="n"/>
      <c r="K49" s="12" t="n"/>
      <c r="L49" s="11" t="n"/>
      <c r="M49" s="11" t="n"/>
    </row>
    <row r="50" ht="22" customHeight="1">
      <c r="B50" s="17">
        <f>IF(C50="","MOB-"&amp;TEXT(COUNTA($C$5:C50),"000"))</f>
        <v/>
      </c>
      <c r="C50" s="14" t="n"/>
      <c r="D50" s="14" t="n"/>
      <c r="E50" s="14" t="n"/>
      <c r="F50" s="15" t="n"/>
      <c r="G50" s="15" t="n"/>
      <c r="H50" s="39">
        <f>IF(F50="","",G50/F50)</f>
        <v/>
      </c>
      <c r="I50" s="14" t="n"/>
      <c r="J50" s="32" t="n"/>
      <c r="K50" s="15" t="n"/>
      <c r="L50" s="14" t="n"/>
      <c r="M50" s="14" t="n"/>
    </row>
    <row r="51" ht="22" customHeight="1">
      <c r="B51" s="18">
        <f>IF(C51="","MOB-"&amp;TEXT(COUNTA($C$5:C51),"000"))</f>
        <v/>
      </c>
      <c r="C51" s="11" t="n"/>
      <c r="D51" s="11" t="n"/>
      <c r="E51" s="11" t="n"/>
      <c r="F51" s="12" t="n"/>
      <c r="G51" s="12" t="n"/>
      <c r="H51" s="37">
        <f>IF(F51="","",G51/F51)</f>
        <v/>
      </c>
      <c r="I51" s="11" t="n"/>
      <c r="J51" s="31" t="n"/>
      <c r="K51" s="12" t="n"/>
      <c r="L51" s="11" t="n"/>
      <c r="M51" s="11" t="n"/>
    </row>
    <row r="52" ht="22" customHeight="1">
      <c r="B52" s="17">
        <f>IF(C52="","MOB-"&amp;TEXT(COUNTA($C$5:C52),"000"))</f>
        <v/>
      </c>
      <c r="C52" s="14" t="n"/>
      <c r="D52" s="14" t="n"/>
      <c r="E52" s="14" t="n"/>
      <c r="F52" s="15" t="n"/>
      <c r="G52" s="15" t="n"/>
      <c r="H52" s="39">
        <f>IF(F52="","",G52/F52)</f>
        <v/>
      </c>
      <c r="I52" s="14" t="n"/>
      <c r="J52" s="32" t="n"/>
      <c r="K52" s="15" t="n"/>
      <c r="L52" s="14" t="n"/>
      <c r="M52" s="14" t="n"/>
    </row>
    <row r="53" ht="22" customHeight="1">
      <c r="B53" s="18">
        <f>IF(C53="","MOB-"&amp;TEXT(COUNTA($C$5:C53),"000"))</f>
        <v/>
      </c>
      <c r="C53" s="11" t="n"/>
      <c r="D53" s="11" t="n"/>
      <c r="E53" s="11" t="n"/>
      <c r="F53" s="12" t="n"/>
      <c r="G53" s="12" t="n"/>
      <c r="H53" s="37">
        <f>IF(F53="","",G53/F53)</f>
        <v/>
      </c>
      <c r="I53" s="11" t="n"/>
      <c r="J53" s="31" t="n"/>
      <c r="K53" s="12" t="n"/>
      <c r="L53" s="11" t="n"/>
      <c r="M53" s="11" t="n"/>
    </row>
    <row r="54" ht="22" customHeight="1">
      <c r="B54" s="17">
        <f>IF(C54="","MOB-"&amp;TEXT(COUNTA($C$5:C54),"000"))</f>
        <v/>
      </c>
      <c r="C54" s="14" t="n"/>
      <c r="D54" s="14" t="n"/>
      <c r="E54" s="14" t="n"/>
      <c r="F54" s="15" t="n"/>
      <c r="G54" s="15" t="n"/>
      <c r="H54" s="39">
        <f>IF(F54="","",G54/F54)</f>
        <v/>
      </c>
      <c r="I54" s="14" t="n"/>
      <c r="J54" s="32" t="n"/>
      <c r="K54" s="15" t="n"/>
      <c r="L54" s="14" t="n"/>
      <c r="M54" s="14" t="n"/>
    </row>
    <row r="55" ht="22" customHeight="1">
      <c r="B55" s="18">
        <f>IF(C55="","MOB-"&amp;TEXT(COUNTA($C$5:C55),"000"))</f>
        <v/>
      </c>
      <c r="C55" s="11" t="n"/>
      <c r="D55" s="11" t="n"/>
      <c r="E55" s="11" t="n"/>
      <c r="F55" s="12" t="n"/>
      <c r="G55" s="12" t="n"/>
      <c r="H55" s="37">
        <f>IF(F55="","",G55/F55)</f>
        <v/>
      </c>
      <c r="I55" s="11" t="n"/>
      <c r="J55" s="31" t="n"/>
      <c r="K55" s="12" t="n"/>
      <c r="L55" s="11" t="n"/>
      <c r="M55" s="11" t="n"/>
    </row>
    <row r="56" ht="22" customHeight="1">
      <c r="B56" s="17">
        <f>IF(C56="","MOB-"&amp;TEXT(COUNTA($C$5:C56),"000"))</f>
        <v/>
      </c>
      <c r="C56" s="14" t="n"/>
      <c r="D56" s="14" t="n"/>
      <c r="E56" s="14" t="n"/>
      <c r="F56" s="15" t="n"/>
      <c r="G56" s="15" t="n"/>
      <c r="H56" s="39">
        <f>IF(F56="","",G56/F56)</f>
        <v/>
      </c>
      <c r="I56" s="14" t="n"/>
      <c r="J56" s="32" t="n"/>
      <c r="K56" s="15" t="n"/>
      <c r="L56" s="14" t="n"/>
      <c r="M56" s="14" t="n"/>
    </row>
    <row r="57" ht="22" customHeight="1">
      <c r="B57" s="18">
        <f>IF(C57="","MOB-"&amp;TEXT(COUNTA($C$5:C57),"000"))</f>
        <v/>
      </c>
      <c r="C57" s="11" t="n"/>
      <c r="D57" s="11" t="n"/>
      <c r="E57" s="11" t="n"/>
      <c r="F57" s="12" t="n"/>
      <c r="G57" s="12" t="n"/>
      <c r="H57" s="37">
        <f>IF(F57="","",G57/F57)</f>
        <v/>
      </c>
      <c r="I57" s="11" t="n"/>
      <c r="J57" s="31" t="n"/>
      <c r="K57" s="12" t="n"/>
      <c r="L57" s="11" t="n"/>
      <c r="M57" s="11" t="n"/>
    </row>
    <row r="58" ht="22" customHeight="1">
      <c r="B58" s="17">
        <f>IF(C58="","MOB-"&amp;TEXT(COUNTA($C$5:C58),"000"))</f>
        <v/>
      </c>
      <c r="C58" s="14" t="n"/>
      <c r="D58" s="14" t="n"/>
      <c r="E58" s="14" t="n"/>
      <c r="F58" s="15" t="n"/>
      <c r="G58" s="15" t="n"/>
      <c r="H58" s="39">
        <f>IF(F58="","",G58/F58)</f>
        <v/>
      </c>
      <c r="I58" s="14" t="n"/>
      <c r="J58" s="32" t="n"/>
      <c r="K58" s="15" t="n"/>
      <c r="L58" s="14" t="n"/>
      <c r="M58" s="14" t="n"/>
    </row>
    <row r="59" ht="22" customHeight="1">
      <c r="B59" s="18">
        <f>IF(C59="","MOB-"&amp;TEXT(COUNTA($C$5:C59),"000"))</f>
        <v/>
      </c>
      <c r="C59" s="11" t="n"/>
      <c r="D59" s="11" t="n"/>
      <c r="E59" s="11" t="n"/>
      <c r="F59" s="12" t="n"/>
      <c r="G59" s="12" t="n"/>
      <c r="H59" s="37">
        <f>IF(F59="","",G59/F59)</f>
        <v/>
      </c>
      <c r="I59" s="11" t="n"/>
      <c r="J59" s="31" t="n"/>
      <c r="K59" s="12" t="n"/>
      <c r="L59" s="11" t="n"/>
      <c r="M59" s="11" t="n"/>
    </row>
    <row r="60" ht="22" customHeight="1">
      <c r="B60" s="17">
        <f>IF(C60="","MOB-"&amp;TEXT(COUNTA($C$5:C60),"000"))</f>
        <v/>
      </c>
      <c r="C60" s="14" t="n"/>
      <c r="D60" s="14" t="n"/>
      <c r="E60" s="14" t="n"/>
      <c r="F60" s="15" t="n"/>
      <c r="G60" s="15" t="n"/>
      <c r="H60" s="39">
        <f>IF(F60="","",G60/F60)</f>
        <v/>
      </c>
      <c r="I60" s="14" t="n"/>
      <c r="J60" s="32" t="n"/>
      <c r="K60" s="15" t="n"/>
      <c r="L60" s="14" t="n"/>
      <c r="M60" s="14" t="n"/>
    </row>
    <row r="61" ht="22" customHeight="1">
      <c r="B61" s="18">
        <f>IF(C61="","MOB-"&amp;TEXT(COUNTA($C$5:C61),"000"))</f>
        <v/>
      </c>
      <c r="C61" s="11" t="n"/>
      <c r="D61" s="11" t="n"/>
      <c r="E61" s="11" t="n"/>
      <c r="F61" s="12" t="n"/>
      <c r="G61" s="12" t="n"/>
      <c r="H61" s="37">
        <f>IF(F61="","",G61/F61)</f>
        <v/>
      </c>
      <c r="I61" s="11" t="n"/>
      <c r="J61" s="31" t="n"/>
      <c r="K61" s="12" t="n"/>
      <c r="L61" s="11" t="n"/>
      <c r="M61" s="11" t="n"/>
    </row>
    <row r="62" ht="22" customHeight="1">
      <c r="B62" s="17">
        <f>IF(C62="","MOB-"&amp;TEXT(COUNTA($C$5:C62),"000"))</f>
        <v/>
      </c>
      <c r="C62" s="14" t="n"/>
      <c r="D62" s="14" t="n"/>
      <c r="E62" s="14" t="n"/>
      <c r="F62" s="15" t="n"/>
      <c r="G62" s="15" t="n"/>
      <c r="H62" s="39">
        <f>IF(F62="","",G62/F62)</f>
        <v/>
      </c>
      <c r="I62" s="14" t="n"/>
      <c r="J62" s="32" t="n"/>
      <c r="K62" s="15" t="n"/>
      <c r="L62" s="14" t="n"/>
      <c r="M62" s="14" t="n"/>
    </row>
    <row r="63" ht="22" customHeight="1">
      <c r="B63" s="18">
        <f>IF(C63="","MOB-"&amp;TEXT(COUNTA($C$5:C63),"000"))</f>
        <v/>
      </c>
      <c r="C63" s="11" t="n"/>
      <c r="D63" s="11" t="n"/>
      <c r="E63" s="11" t="n"/>
      <c r="F63" s="12" t="n"/>
      <c r="G63" s="12" t="n"/>
      <c r="H63" s="37">
        <f>IF(F63="","",G63/F63)</f>
        <v/>
      </c>
      <c r="I63" s="11" t="n"/>
      <c r="J63" s="31" t="n"/>
      <c r="K63" s="12" t="n"/>
      <c r="L63" s="11" t="n"/>
      <c r="M63" s="11" t="n"/>
    </row>
    <row r="64" ht="22" customHeight="1">
      <c r="B64" s="17">
        <f>IF(C64="","MOB-"&amp;TEXT(COUNTA($C$5:C64),"000"))</f>
        <v/>
      </c>
      <c r="C64" s="14" t="n"/>
      <c r="D64" s="14" t="n"/>
      <c r="E64" s="14" t="n"/>
      <c r="F64" s="15" t="n"/>
      <c r="G64" s="15" t="n"/>
      <c r="H64" s="39">
        <f>IF(F64="","",G64/F64)</f>
        <v/>
      </c>
      <c r="I64" s="14" t="n"/>
      <c r="J64" s="32" t="n"/>
      <c r="K64" s="15" t="n"/>
      <c r="L64" s="14" t="n"/>
      <c r="M64" s="14" t="n"/>
    </row>
    <row r="65" ht="22" customHeight="1">
      <c r="B65" s="18">
        <f>IF(C65="","MOB-"&amp;TEXT(COUNTA($C$5:C65),"000"))</f>
        <v/>
      </c>
      <c r="C65" s="11" t="n"/>
      <c r="D65" s="11" t="n"/>
      <c r="E65" s="11" t="n"/>
      <c r="F65" s="12" t="n"/>
      <c r="G65" s="12" t="n"/>
      <c r="H65" s="37">
        <f>IF(F65="","",G65/F65)</f>
        <v/>
      </c>
      <c r="I65" s="11" t="n"/>
      <c r="J65" s="31" t="n"/>
      <c r="K65" s="12" t="n"/>
      <c r="L65" s="11" t="n"/>
      <c r="M65" s="11" t="n"/>
    </row>
    <row r="66" ht="22" customHeight="1">
      <c r="B66" s="17">
        <f>IF(C66="","MOB-"&amp;TEXT(COUNTA($C$5:C66),"000"))</f>
        <v/>
      </c>
      <c r="C66" s="14" t="n"/>
      <c r="D66" s="14" t="n"/>
      <c r="E66" s="14" t="n"/>
      <c r="F66" s="15" t="n"/>
      <c r="G66" s="15" t="n"/>
      <c r="H66" s="39">
        <f>IF(F66="","",G66/F66)</f>
        <v/>
      </c>
      <c r="I66" s="14" t="n"/>
      <c r="J66" s="32" t="n"/>
      <c r="K66" s="15" t="n"/>
      <c r="L66" s="14" t="n"/>
      <c r="M66" s="14" t="n"/>
    </row>
    <row r="67" ht="22" customHeight="1">
      <c r="B67" s="18">
        <f>IF(C67="","MOB-"&amp;TEXT(COUNTA($C$5:C67),"000"))</f>
        <v/>
      </c>
      <c r="C67" s="11" t="n"/>
      <c r="D67" s="11" t="n"/>
      <c r="E67" s="11" t="n"/>
      <c r="F67" s="12" t="n"/>
      <c r="G67" s="12" t="n"/>
      <c r="H67" s="37">
        <f>IF(F67="","",G67/F67)</f>
        <v/>
      </c>
      <c r="I67" s="11" t="n"/>
      <c r="J67" s="31" t="n"/>
      <c r="K67" s="12" t="n"/>
      <c r="L67" s="11" t="n"/>
      <c r="M67" s="11" t="n"/>
    </row>
    <row r="68" ht="22" customHeight="1">
      <c r="B68" s="17">
        <f>IF(C68="","MOB-"&amp;TEXT(COUNTA($C$5:C68),"000"))</f>
        <v/>
      </c>
      <c r="C68" s="14" t="n"/>
      <c r="D68" s="14" t="n"/>
      <c r="E68" s="14" t="n"/>
      <c r="F68" s="15" t="n"/>
      <c r="G68" s="15" t="n"/>
      <c r="H68" s="39">
        <f>IF(F68="","",G68/F68)</f>
        <v/>
      </c>
      <c r="I68" s="14" t="n"/>
      <c r="J68" s="32" t="n"/>
      <c r="K68" s="15" t="n"/>
      <c r="L68" s="14" t="n"/>
      <c r="M68" s="14" t="n"/>
    </row>
    <row r="69" ht="22" customHeight="1">
      <c r="B69" s="18">
        <f>IF(C69="","MOB-"&amp;TEXT(COUNTA($C$5:C69),"000"))</f>
        <v/>
      </c>
      <c r="C69" s="11" t="n"/>
      <c r="D69" s="11" t="n"/>
      <c r="E69" s="11" t="n"/>
      <c r="F69" s="12" t="n"/>
      <c r="G69" s="12" t="n"/>
      <c r="H69" s="37">
        <f>IF(F69="","",G69/F69)</f>
        <v/>
      </c>
      <c r="I69" s="11" t="n"/>
      <c r="J69" s="31" t="n"/>
      <c r="K69" s="12" t="n"/>
      <c r="L69" s="11" t="n"/>
      <c r="M69" s="11" t="n"/>
    </row>
    <row r="70" ht="22" customHeight="1">
      <c r="B70" s="17">
        <f>IF(C70="","MOB-"&amp;TEXT(COUNTA($C$5:C70),"000"))</f>
        <v/>
      </c>
      <c r="C70" s="14" t="n"/>
      <c r="D70" s="14" t="n"/>
      <c r="E70" s="14" t="n"/>
      <c r="F70" s="15" t="n"/>
      <c r="G70" s="15" t="n"/>
      <c r="H70" s="39">
        <f>IF(F70="","",G70/F70)</f>
        <v/>
      </c>
      <c r="I70" s="14" t="n"/>
      <c r="J70" s="32" t="n"/>
      <c r="K70" s="15" t="n"/>
      <c r="L70" s="14" t="n"/>
      <c r="M70" s="14" t="n"/>
    </row>
    <row r="71" ht="22" customHeight="1">
      <c r="B71" s="18">
        <f>IF(C71="","MOB-"&amp;TEXT(COUNTA($C$5:C71),"000"))</f>
        <v/>
      </c>
      <c r="C71" s="11" t="n"/>
      <c r="D71" s="11" t="n"/>
      <c r="E71" s="11" t="n"/>
      <c r="F71" s="12" t="n"/>
      <c r="G71" s="12" t="n"/>
      <c r="H71" s="37">
        <f>IF(F71="","",G71/F71)</f>
        <v/>
      </c>
      <c r="I71" s="11" t="n"/>
      <c r="J71" s="31" t="n"/>
      <c r="K71" s="12" t="n"/>
      <c r="L71" s="11" t="n"/>
      <c r="M71" s="11" t="n"/>
    </row>
    <row r="72" ht="22" customHeight="1">
      <c r="B72" s="17">
        <f>IF(C72="","MOB-"&amp;TEXT(COUNTA($C$5:C72),"000"))</f>
        <v/>
      </c>
      <c r="C72" s="14" t="n"/>
      <c r="D72" s="14" t="n"/>
      <c r="E72" s="14" t="n"/>
      <c r="F72" s="15" t="n"/>
      <c r="G72" s="15" t="n"/>
      <c r="H72" s="39">
        <f>IF(F72="","",G72/F72)</f>
        <v/>
      </c>
      <c r="I72" s="14" t="n"/>
      <c r="J72" s="32" t="n"/>
      <c r="K72" s="15" t="n"/>
      <c r="L72" s="14" t="n"/>
      <c r="M72" s="14" t="n"/>
    </row>
    <row r="73" ht="22" customHeight="1">
      <c r="B73" s="18">
        <f>IF(C73="","MOB-"&amp;TEXT(COUNTA($C$5:C73),"000"))</f>
        <v/>
      </c>
      <c r="C73" s="11" t="n"/>
      <c r="D73" s="11" t="n"/>
      <c r="E73" s="11" t="n"/>
      <c r="F73" s="12" t="n"/>
      <c r="G73" s="12" t="n"/>
      <c r="H73" s="37">
        <f>IF(F73="","",G73/F73)</f>
        <v/>
      </c>
      <c r="I73" s="11" t="n"/>
      <c r="J73" s="31" t="n"/>
      <c r="K73" s="12" t="n"/>
      <c r="L73" s="11" t="n"/>
      <c r="M73" s="11" t="n"/>
    </row>
    <row r="74" ht="22" customHeight="1">
      <c r="B74" s="17">
        <f>IF(C74="","MOB-"&amp;TEXT(COUNTA($C$5:C74),"000"))</f>
        <v/>
      </c>
      <c r="C74" s="14" t="n"/>
      <c r="D74" s="14" t="n"/>
      <c r="E74" s="14" t="n"/>
      <c r="F74" s="15" t="n"/>
      <c r="G74" s="15" t="n"/>
      <c r="H74" s="39">
        <f>IF(F74="","",G74/F74)</f>
        <v/>
      </c>
      <c r="I74" s="14" t="n"/>
      <c r="J74" s="32" t="n"/>
      <c r="K74" s="15" t="n"/>
      <c r="L74" s="14" t="n"/>
      <c r="M74" s="14" t="n"/>
    </row>
    <row r="75" ht="22" customHeight="1">
      <c r="B75" s="18">
        <f>IF(C75="","MOB-"&amp;TEXT(COUNTA($C$5:C75),"000"))</f>
        <v/>
      </c>
      <c r="C75" s="11" t="n"/>
      <c r="D75" s="11" t="n"/>
      <c r="E75" s="11" t="n"/>
      <c r="F75" s="12" t="n"/>
      <c r="G75" s="12" t="n"/>
      <c r="H75" s="37">
        <f>IF(F75="","",G75/F75)</f>
        <v/>
      </c>
      <c r="I75" s="11" t="n"/>
      <c r="J75" s="31" t="n"/>
      <c r="K75" s="12" t="n"/>
      <c r="L75" s="11" t="n"/>
      <c r="M75" s="11" t="n"/>
    </row>
    <row r="76" ht="22" customHeight="1">
      <c r="B76" s="17">
        <f>IF(C76="","MOB-"&amp;TEXT(COUNTA($C$5:C76),"000"))</f>
        <v/>
      </c>
      <c r="C76" s="14" t="n"/>
      <c r="D76" s="14" t="n"/>
      <c r="E76" s="14" t="n"/>
      <c r="F76" s="15" t="n"/>
      <c r="G76" s="15" t="n"/>
      <c r="H76" s="39">
        <f>IF(F76="","",G76/F76)</f>
        <v/>
      </c>
      <c r="I76" s="14" t="n"/>
      <c r="J76" s="32" t="n"/>
      <c r="K76" s="15" t="n"/>
      <c r="L76" s="14" t="n"/>
      <c r="M76" s="14" t="n"/>
    </row>
    <row r="77" ht="22" customHeight="1">
      <c r="B77" s="18">
        <f>IF(C77="","MOB-"&amp;TEXT(COUNTA($C$5:C77),"000"))</f>
        <v/>
      </c>
      <c r="C77" s="11" t="n"/>
      <c r="D77" s="11" t="n"/>
      <c r="E77" s="11" t="n"/>
      <c r="F77" s="12" t="n"/>
      <c r="G77" s="12" t="n"/>
      <c r="H77" s="37">
        <f>IF(F77="","",G77/F77)</f>
        <v/>
      </c>
      <c r="I77" s="11" t="n"/>
      <c r="J77" s="31" t="n"/>
      <c r="K77" s="12" t="n"/>
      <c r="L77" s="11" t="n"/>
      <c r="M77" s="11" t="n"/>
    </row>
    <row r="78" ht="22" customHeight="1">
      <c r="B78" s="17">
        <f>IF(C78="","MOB-"&amp;TEXT(COUNTA($C$5:C78),"000"))</f>
        <v/>
      </c>
      <c r="C78" s="14" t="n"/>
      <c r="D78" s="14" t="n"/>
      <c r="E78" s="14" t="n"/>
      <c r="F78" s="15" t="n"/>
      <c r="G78" s="15" t="n"/>
      <c r="H78" s="39">
        <f>IF(F78="","",G78/F78)</f>
        <v/>
      </c>
      <c r="I78" s="14" t="n"/>
      <c r="J78" s="32" t="n"/>
      <c r="K78" s="15" t="n"/>
      <c r="L78" s="14" t="n"/>
      <c r="M78" s="14" t="n"/>
    </row>
    <row r="79" ht="22" customHeight="1">
      <c r="B79" s="18">
        <f>IF(C79="","MOB-"&amp;TEXT(COUNTA($C$5:C79),"000"))</f>
        <v/>
      </c>
      <c r="C79" s="11" t="n"/>
      <c r="D79" s="11" t="n"/>
      <c r="E79" s="11" t="n"/>
      <c r="F79" s="12" t="n"/>
      <c r="G79" s="12" t="n"/>
      <c r="H79" s="37">
        <f>IF(F79="","",G79/F79)</f>
        <v/>
      </c>
      <c r="I79" s="11" t="n"/>
      <c r="J79" s="31" t="n"/>
      <c r="K79" s="12" t="n"/>
      <c r="L79" s="11" t="n"/>
      <c r="M79" s="11" t="n"/>
    </row>
    <row r="80" ht="22" customHeight="1">
      <c r="B80" s="17">
        <f>IF(C80="","MOB-"&amp;TEXT(COUNTA($C$5:C80),"000"))</f>
        <v/>
      </c>
      <c r="C80" s="14" t="n"/>
      <c r="D80" s="14" t="n"/>
      <c r="E80" s="14" t="n"/>
      <c r="F80" s="15" t="n"/>
      <c r="G80" s="15" t="n"/>
      <c r="H80" s="39">
        <f>IF(F80="","",G80/F80)</f>
        <v/>
      </c>
      <c r="I80" s="14" t="n"/>
      <c r="J80" s="32" t="n"/>
      <c r="K80" s="15" t="n"/>
      <c r="L80" s="14" t="n"/>
      <c r="M80" s="14" t="n"/>
    </row>
    <row r="81" ht="22" customHeight="1">
      <c r="B81" s="18">
        <f>IF(C81="","MOB-"&amp;TEXT(COUNTA($C$5:C81),"000"))</f>
        <v/>
      </c>
      <c r="C81" s="11" t="n"/>
      <c r="D81" s="11" t="n"/>
      <c r="E81" s="11" t="n"/>
      <c r="F81" s="12" t="n"/>
      <c r="G81" s="12" t="n"/>
      <c r="H81" s="37">
        <f>IF(F81="","",G81/F81)</f>
        <v/>
      </c>
      <c r="I81" s="11" t="n"/>
      <c r="J81" s="31" t="n"/>
      <c r="K81" s="12" t="n"/>
      <c r="L81" s="11" t="n"/>
      <c r="M81" s="11" t="n"/>
    </row>
    <row r="82" ht="22" customHeight="1">
      <c r="B82" s="17">
        <f>IF(C82="","MOB-"&amp;TEXT(COUNTA($C$5:C82),"000"))</f>
        <v/>
      </c>
      <c r="C82" s="14" t="n"/>
      <c r="D82" s="14" t="n"/>
      <c r="E82" s="14" t="n"/>
      <c r="F82" s="15" t="n"/>
      <c r="G82" s="15" t="n"/>
      <c r="H82" s="39">
        <f>IF(F82="","",G82/F82)</f>
        <v/>
      </c>
      <c r="I82" s="14" t="n"/>
      <c r="J82" s="32" t="n"/>
      <c r="K82" s="15" t="n"/>
      <c r="L82" s="14" t="n"/>
      <c r="M82" s="14" t="n"/>
    </row>
    <row r="83" ht="22" customHeight="1">
      <c r="B83" s="18">
        <f>IF(C83="","MOB-"&amp;TEXT(COUNTA($C$5:C83),"000"))</f>
        <v/>
      </c>
      <c r="C83" s="11" t="n"/>
      <c r="D83" s="11" t="n"/>
      <c r="E83" s="11" t="n"/>
      <c r="F83" s="12" t="n"/>
      <c r="G83" s="12" t="n"/>
      <c r="H83" s="37">
        <f>IF(F83="","",G83/F83)</f>
        <v/>
      </c>
      <c r="I83" s="11" t="n"/>
      <c r="J83" s="31" t="n"/>
      <c r="K83" s="12" t="n"/>
      <c r="L83" s="11" t="n"/>
      <c r="M83" s="11" t="n"/>
    </row>
    <row r="84" ht="22" customHeight="1">
      <c r="B84" s="17">
        <f>IF(C84="","MOB-"&amp;TEXT(COUNTA($C$5:C84),"000"))</f>
        <v/>
      </c>
      <c r="C84" s="14" t="n"/>
      <c r="D84" s="14" t="n"/>
      <c r="E84" s="14" t="n"/>
      <c r="F84" s="15" t="n"/>
      <c r="G84" s="15" t="n"/>
      <c r="H84" s="39">
        <f>IF(F84="","",G84/F84)</f>
        <v/>
      </c>
      <c r="I84" s="14" t="n"/>
      <c r="J84" s="32" t="n"/>
      <c r="K84" s="15" t="n"/>
      <c r="L84" s="14" t="n"/>
      <c r="M84" s="14" t="n"/>
    </row>
    <row r="85" ht="22" customHeight="1">
      <c r="B85" s="18">
        <f>IF(C85="","MOB-"&amp;TEXT(COUNTA($C$5:C85),"000"))</f>
        <v/>
      </c>
      <c r="C85" s="11" t="n"/>
      <c r="D85" s="11" t="n"/>
      <c r="E85" s="11" t="n"/>
      <c r="F85" s="12" t="n"/>
      <c r="G85" s="12" t="n"/>
      <c r="H85" s="37">
        <f>IF(F85="","",G85/F85)</f>
        <v/>
      </c>
      <c r="I85" s="11" t="n"/>
      <c r="J85" s="31" t="n"/>
      <c r="K85" s="12" t="n"/>
      <c r="L85" s="11" t="n"/>
      <c r="M85" s="11" t="n"/>
    </row>
    <row r="86" ht="22" customHeight="1">
      <c r="B86" s="17">
        <f>IF(C86="","MOB-"&amp;TEXT(COUNTA($C$5:C86),"000"))</f>
        <v/>
      </c>
      <c r="C86" s="14" t="n"/>
      <c r="D86" s="14" t="n"/>
      <c r="E86" s="14" t="n"/>
      <c r="F86" s="15" t="n"/>
      <c r="G86" s="15" t="n"/>
      <c r="H86" s="39">
        <f>IF(F86="","",G86/F86)</f>
        <v/>
      </c>
      <c r="I86" s="14" t="n"/>
      <c r="J86" s="32" t="n"/>
      <c r="K86" s="15" t="n"/>
      <c r="L86" s="14" t="n"/>
      <c r="M86" s="14" t="n"/>
    </row>
    <row r="87" ht="22" customHeight="1">
      <c r="B87" s="18">
        <f>IF(C87="","MOB-"&amp;TEXT(COUNTA($C$5:C87),"000"))</f>
        <v/>
      </c>
      <c r="C87" s="11" t="n"/>
      <c r="D87" s="11" t="n"/>
      <c r="E87" s="11" t="n"/>
      <c r="F87" s="12" t="n"/>
      <c r="G87" s="12" t="n"/>
      <c r="H87" s="37">
        <f>IF(F87="","",G87/F87)</f>
        <v/>
      </c>
      <c r="I87" s="11" t="n"/>
      <c r="J87" s="31" t="n"/>
      <c r="K87" s="12" t="n"/>
      <c r="L87" s="11" t="n"/>
      <c r="M87" s="11" t="n"/>
    </row>
    <row r="88" ht="22" customHeight="1">
      <c r="B88" s="17">
        <f>IF(C88="","MOB-"&amp;TEXT(COUNTA($C$5:C88),"000"))</f>
        <v/>
      </c>
      <c r="C88" s="14" t="n"/>
      <c r="D88" s="14" t="n"/>
      <c r="E88" s="14" t="n"/>
      <c r="F88" s="15" t="n"/>
      <c r="G88" s="15" t="n"/>
      <c r="H88" s="39">
        <f>IF(F88="","",G88/F88)</f>
        <v/>
      </c>
      <c r="I88" s="14" t="n"/>
      <c r="J88" s="32" t="n"/>
      <c r="K88" s="15" t="n"/>
      <c r="L88" s="14" t="n"/>
      <c r="M88" s="14" t="n"/>
    </row>
    <row r="89" ht="22" customHeight="1">
      <c r="B89" s="18">
        <f>IF(C89="","MOB-"&amp;TEXT(COUNTA($C$5:C89),"000"))</f>
        <v/>
      </c>
      <c r="C89" s="11" t="n"/>
      <c r="D89" s="11" t="n"/>
      <c r="E89" s="11" t="n"/>
      <c r="F89" s="12" t="n"/>
      <c r="G89" s="12" t="n"/>
      <c r="H89" s="37">
        <f>IF(F89="","",G89/F89)</f>
        <v/>
      </c>
      <c r="I89" s="11" t="n"/>
      <c r="J89" s="31" t="n"/>
      <c r="K89" s="12" t="n"/>
      <c r="L89" s="11" t="n"/>
      <c r="M89" s="11" t="n"/>
    </row>
    <row r="90" ht="22" customHeight="1">
      <c r="B90" s="17">
        <f>IF(C90="","MOB-"&amp;TEXT(COUNTA($C$5:C90),"000"))</f>
        <v/>
      </c>
      <c r="C90" s="14" t="n"/>
      <c r="D90" s="14" t="n"/>
      <c r="E90" s="14" t="n"/>
      <c r="F90" s="15" t="n"/>
      <c r="G90" s="15" t="n"/>
      <c r="H90" s="39">
        <f>IF(F90="","",G90/F90)</f>
        <v/>
      </c>
      <c r="I90" s="14" t="n"/>
      <c r="J90" s="32" t="n"/>
      <c r="K90" s="15" t="n"/>
      <c r="L90" s="14" t="n"/>
      <c r="M90" s="14" t="n"/>
    </row>
    <row r="91" ht="22" customHeight="1">
      <c r="B91" s="18">
        <f>IF(C91="","MOB-"&amp;TEXT(COUNTA($C$5:C91),"000"))</f>
        <v/>
      </c>
      <c r="C91" s="11" t="n"/>
      <c r="D91" s="11" t="n"/>
      <c r="E91" s="11" t="n"/>
      <c r="F91" s="12" t="n"/>
      <c r="G91" s="12" t="n"/>
      <c r="H91" s="37">
        <f>IF(F91="","",G91/F91)</f>
        <v/>
      </c>
      <c r="I91" s="11" t="n"/>
      <c r="J91" s="31" t="n"/>
      <c r="K91" s="12" t="n"/>
      <c r="L91" s="11" t="n"/>
      <c r="M91" s="11" t="n"/>
    </row>
    <row r="92" ht="22" customHeight="1">
      <c r="B92" s="17">
        <f>IF(C92="","MOB-"&amp;TEXT(COUNTA($C$5:C92),"000"))</f>
        <v/>
      </c>
      <c r="C92" s="14" t="n"/>
      <c r="D92" s="14" t="n"/>
      <c r="E92" s="14" t="n"/>
      <c r="F92" s="15" t="n"/>
      <c r="G92" s="15" t="n"/>
      <c r="H92" s="39">
        <f>IF(F92="","",G92/F92)</f>
        <v/>
      </c>
      <c r="I92" s="14" t="n"/>
      <c r="J92" s="32" t="n"/>
      <c r="K92" s="15" t="n"/>
      <c r="L92" s="14" t="n"/>
      <c r="M92" s="14" t="n"/>
    </row>
    <row r="93" ht="22" customHeight="1">
      <c r="B93" s="18">
        <f>IF(C93="","MOB-"&amp;TEXT(COUNTA($C$5:C93),"000"))</f>
        <v/>
      </c>
      <c r="C93" s="11" t="n"/>
      <c r="D93" s="11" t="n"/>
      <c r="E93" s="11" t="n"/>
      <c r="F93" s="12" t="n"/>
      <c r="G93" s="12" t="n"/>
      <c r="H93" s="37">
        <f>IF(F93="","",G93/F93)</f>
        <v/>
      </c>
      <c r="I93" s="11" t="n"/>
      <c r="J93" s="31" t="n"/>
      <c r="K93" s="12" t="n"/>
      <c r="L93" s="11" t="n"/>
      <c r="M93" s="11" t="n"/>
    </row>
    <row r="94" ht="22" customHeight="1">
      <c r="B94" s="17">
        <f>IF(C94="","MOB-"&amp;TEXT(COUNTA($C$5:C94),"000"))</f>
        <v/>
      </c>
      <c r="C94" s="14" t="n"/>
      <c r="D94" s="14" t="n"/>
      <c r="E94" s="14" t="n"/>
      <c r="F94" s="15" t="n"/>
      <c r="G94" s="15" t="n"/>
      <c r="H94" s="39">
        <f>IF(F94="","",G94/F94)</f>
        <v/>
      </c>
      <c r="I94" s="14" t="n"/>
      <c r="J94" s="32" t="n"/>
      <c r="K94" s="15" t="n"/>
      <c r="L94" s="14" t="n"/>
      <c r="M94" s="14" t="n"/>
    </row>
    <row r="95" ht="22" customHeight="1">
      <c r="B95" s="18">
        <f>IF(C95="","MOB-"&amp;TEXT(COUNTA($C$5:C95),"000"))</f>
        <v/>
      </c>
      <c r="C95" s="11" t="n"/>
      <c r="D95" s="11" t="n"/>
      <c r="E95" s="11" t="n"/>
      <c r="F95" s="12" t="n"/>
      <c r="G95" s="12" t="n"/>
      <c r="H95" s="37">
        <f>IF(F95="","",G95/F95)</f>
        <v/>
      </c>
      <c r="I95" s="11" t="n"/>
      <c r="J95" s="31" t="n"/>
      <c r="K95" s="12" t="n"/>
      <c r="L95" s="11" t="n"/>
      <c r="M95" s="11" t="n"/>
    </row>
    <row r="96" ht="22" customHeight="1">
      <c r="B96" s="17">
        <f>IF(C96="","MOB-"&amp;TEXT(COUNTA($C$5:C96),"000"))</f>
        <v/>
      </c>
      <c r="C96" s="14" t="n"/>
      <c r="D96" s="14" t="n"/>
      <c r="E96" s="14" t="n"/>
      <c r="F96" s="15" t="n"/>
      <c r="G96" s="15" t="n"/>
      <c r="H96" s="39">
        <f>IF(F96="","",G96/F96)</f>
        <v/>
      </c>
      <c r="I96" s="14" t="n"/>
      <c r="J96" s="32" t="n"/>
      <c r="K96" s="15" t="n"/>
      <c r="L96" s="14" t="n"/>
      <c r="M96" s="14" t="n"/>
    </row>
    <row r="97" ht="22" customHeight="1">
      <c r="B97" s="18">
        <f>IF(C97="","MOB-"&amp;TEXT(COUNTA($C$5:C97),"000"))</f>
        <v/>
      </c>
      <c r="C97" s="11" t="n"/>
      <c r="D97" s="11" t="n"/>
      <c r="E97" s="11" t="n"/>
      <c r="F97" s="12" t="n"/>
      <c r="G97" s="12" t="n"/>
      <c r="H97" s="37">
        <f>IF(F97="","",G97/F97)</f>
        <v/>
      </c>
      <c r="I97" s="11" t="n"/>
      <c r="J97" s="31" t="n"/>
      <c r="K97" s="12" t="n"/>
      <c r="L97" s="11" t="n"/>
      <c r="M97" s="11" t="n"/>
    </row>
    <row r="98" ht="22" customHeight="1">
      <c r="B98" s="17">
        <f>IF(C98="","MOB-"&amp;TEXT(COUNTA($C$5:C98),"000"))</f>
        <v/>
      </c>
      <c r="C98" s="14" t="n"/>
      <c r="D98" s="14" t="n"/>
      <c r="E98" s="14" t="n"/>
      <c r="F98" s="15" t="n"/>
      <c r="G98" s="15" t="n"/>
      <c r="H98" s="39">
        <f>IF(F98="","",G98/F98)</f>
        <v/>
      </c>
      <c r="I98" s="14" t="n"/>
      <c r="J98" s="32" t="n"/>
      <c r="K98" s="15" t="n"/>
      <c r="L98" s="14" t="n"/>
      <c r="M98" s="14" t="n"/>
    </row>
    <row r="99" ht="22" customHeight="1">
      <c r="B99" s="18">
        <f>IF(C99="","MOB-"&amp;TEXT(COUNTA($C$5:C99),"000"))</f>
        <v/>
      </c>
      <c r="C99" s="11" t="n"/>
      <c r="D99" s="11" t="n"/>
      <c r="E99" s="11" t="n"/>
      <c r="F99" s="12" t="n"/>
      <c r="G99" s="12" t="n"/>
      <c r="H99" s="37">
        <f>IF(F99="","",G99/F99)</f>
        <v/>
      </c>
      <c r="I99" s="11" t="n"/>
      <c r="J99" s="31" t="n"/>
      <c r="K99" s="12" t="n"/>
      <c r="L99" s="11" t="n"/>
      <c r="M99" s="11" t="n"/>
    </row>
    <row r="100" ht="22" customHeight="1">
      <c r="B100" s="17">
        <f>IF(C100="","MOB-"&amp;TEXT(COUNTA($C$5:C100),"000"))</f>
        <v/>
      </c>
      <c r="C100" s="14" t="n"/>
      <c r="D100" s="14" t="n"/>
      <c r="E100" s="14" t="n"/>
      <c r="F100" s="15" t="n"/>
      <c r="G100" s="15" t="n"/>
      <c r="H100" s="39">
        <f>IF(F100="","",G100/F100)</f>
        <v/>
      </c>
      <c r="I100" s="14" t="n"/>
      <c r="J100" s="32" t="n"/>
      <c r="K100" s="15" t="n"/>
      <c r="L100" s="14" t="n"/>
      <c r="M100" s="14" t="n"/>
    </row>
    <row r="101" ht="22" customHeight="1">
      <c r="B101" s="18">
        <f>IF(C101="","MOB-"&amp;TEXT(COUNTA($C$5:C101),"000"))</f>
        <v/>
      </c>
      <c r="C101" s="11" t="n"/>
      <c r="D101" s="11" t="n"/>
      <c r="E101" s="11" t="n"/>
      <c r="F101" s="12" t="n"/>
      <c r="G101" s="12" t="n"/>
      <c r="H101" s="37">
        <f>IF(F101="","",G101/F101)</f>
        <v/>
      </c>
      <c r="I101" s="11" t="n"/>
      <c r="J101" s="31" t="n"/>
      <c r="K101" s="12" t="n"/>
      <c r="L101" s="11" t="n"/>
      <c r="M101" s="11" t="n"/>
    </row>
    <row r="102" ht="22" customHeight="1">
      <c r="B102" s="17">
        <f>IF(C102="","MOB-"&amp;TEXT(COUNTA($C$5:C102),"000"))</f>
        <v/>
      </c>
      <c r="C102" s="14" t="n"/>
      <c r="D102" s="14" t="n"/>
      <c r="E102" s="14" t="n"/>
      <c r="F102" s="15" t="n"/>
      <c r="G102" s="15" t="n"/>
      <c r="H102" s="39">
        <f>IF(F102="","",G102/F102)</f>
        <v/>
      </c>
      <c r="I102" s="14" t="n"/>
      <c r="J102" s="32" t="n"/>
      <c r="K102" s="15" t="n"/>
      <c r="L102" s="14" t="n"/>
      <c r="M102" s="14" t="n"/>
    </row>
    <row r="103" ht="22" customHeight="1">
      <c r="B103" s="18">
        <f>IF(C103="","MOB-"&amp;TEXT(COUNTA($C$5:C103),"000"))</f>
        <v/>
      </c>
      <c r="C103" s="11" t="n"/>
      <c r="D103" s="11" t="n"/>
      <c r="E103" s="11" t="n"/>
      <c r="F103" s="12" t="n"/>
      <c r="G103" s="12" t="n"/>
      <c r="H103" s="37">
        <f>IF(F103="","",G103/F103)</f>
        <v/>
      </c>
      <c r="I103" s="11" t="n"/>
      <c r="J103" s="31" t="n"/>
      <c r="K103" s="12" t="n"/>
      <c r="L103" s="11" t="n"/>
      <c r="M103" s="11" t="n"/>
    </row>
    <row r="104" ht="22" customHeight="1">
      <c r="B104" s="17">
        <f>IF(C104="","MOB-"&amp;TEXT(COUNTA($C$5:C104),"000"))</f>
        <v/>
      </c>
      <c r="C104" s="14" t="n"/>
      <c r="D104" s="14" t="n"/>
      <c r="E104" s="14" t="n"/>
      <c r="F104" s="15" t="n"/>
      <c r="G104" s="15" t="n"/>
      <c r="H104" s="39">
        <f>IF(F104="","",G104/F104)</f>
        <v/>
      </c>
      <c r="I104" s="14" t="n"/>
      <c r="J104" s="32" t="n"/>
      <c r="K104" s="15" t="n"/>
      <c r="L104" s="14" t="n"/>
      <c r="M104" s="14" t="n"/>
    </row>
    <row r="105" ht="22" customHeight="1">
      <c r="B105" s="18">
        <f>IF(C105="","MOB-"&amp;TEXT(COUNTA($C$5:C105),"000"))</f>
        <v/>
      </c>
      <c r="C105" s="11" t="n"/>
      <c r="D105" s="11" t="n"/>
      <c r="E105" s="11" t="n"/>
      <c r="F105" s="12" t="n"/>
      <c r="G105" s="12" t="n"/>
      <c r="H105" s="37">
        <f>IF(F105="","",G105/F105)</f>
        <v/>
      </c>
      <c r="I105" s="11" t="n"/>
      <c r="J105" s="31" t="n"/>
      <c r="K105" s="12" t="n"/>
      <c r="L105" s="11" t="n"/>
      <c r="M105" s="11" t="n"/>
    </row>
    <row r="106" ht="22" customHeight="1">
      <c r="B106" s="17">
        <f>IF(C106="","MOB-"&amp;TEXT(COUNTA($C$5:C106),"000"))</f>
        <v/>
      </c>
      <c r="C106" s="14" t="n"/>
      <c r="D106" s="14" t="n"/>
      <c r="E106" s="14" t="n"/>
      <c r="F106" s="15" t="n"/>
      <c r="G106" s="15" t="n"/>
      <c r="H106" s="39">
        <f>IF(F106="","",G106/F106)</f>
        <v/>
      </c>
      <c r="I106" s="14" t="n"/>
      <c r="J106" s="32" t="n"/>
      <c r="K106" s="15" t="n"/>
      <c r="L106" s="14" t="n"/>
      <c r="M106" s="14" t="n"/>
    </row>
    <row r="107" ht="22" customHeight="1">
      <c r="B107" s="18">
        <f>IF(C107="","MOB-"&amp;TEXT(COUNTA($C$5:C107),"000"))</f>
        <v/>
      </c>
      <c r="C107" s="11" t="n"/>
      <c r="D107" s="11" t="n"/>
      <c r="E107" s="11" t="n"/>
      <c r="F107" s="12" t="n"/>
      <c r="G107" s="12" t="n"/>
      <c r="H107" s="37">
        <f>IF(F107="","",G107/F107)</f>
        <v/>
      </c>
      <c r="I107" s="11" t="n"/>
      <c r="J107" s="31" t="n"/>
      <c r="K107" s="12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Apps mobiles RH</t>
        </is>
      </c>
      <c r="D110" s="3" t="inlineStr">
        <is>
          <t>Total telechargements</t>
        </is>
      </c>
      <c r="F110" s="3" t="inlineStr">
        <is>
          <t>Utilisateurs actifs/m</t>
        </is>
      </c>
    </row>
    <row r="111">
      <c r="B111" s="4">
        <f>COUNTIF(B5:B104,"&lt;&gt;")</f>
        <v/>
      </c>
      <c r="D111" s="4">
        <f>SUM(F5:F104)</f>
        <v/>
      </c>
      <c r="F111" s="4">
        <f>SUM(G5:G104)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1"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8" customWidth="1" min="4" max="4"/>
    <col width="38" customWidth="1" min="5" max="5"/>
    <col width="22" customWidth="1" min="6" max="6"/>
    <col width="22" customWidth="1" min="7" max="7"/>
    <col width="26" customWidth="1" min="8" max="8"/>
    <col width="24" customWidth="1" min="9" max="9"/>
    <col width="24" customWidth="1" min="10" max="10"/>
    <col width="16" customWidth="1" min="11" max="11"/>
    <col width="22" customWidth="1" min="12" max="12"/>
    <col width="36" customWidth="1" min="13" max="13"/>
  </cols>
  <sheetData>
    <row r="1" ht="15" customHeight="1"/>
    <row r="2" ht="32" customHeight="1">
      <c r="B2" s="1" t="inlineStr">
        <is>
          <t>CHATBOTS &amp; ASSISTANTS RH (#164)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Chatbot / Assistant</t>
        </is>
      </c>
      <c r="D4" s="10" t="inlineStr">
        <is>
          <t>Type</t>
        </is>
      </c>
      <c r="E4" s="10" t="inlineStr">
        <is>
          <t>Cas d'Usage Principal</t>
        </is>
      </c>
      <c r="F4" s="10" t="inlineStr">
        <is>
          <t>Technologie</t>
        </is>
      </c>
      <c r="G4" s="10" t="inlineStr">
        <is>
          <t>Nb Questions / Mois</t>
        </is>
      </c>
      <c r="H4" s="10" t="inlineStr">
        <is>
          <t>Taux Resolution Auto (%)</t>
        </is>
      </c>
      <c r="I4" s="10" t="inlineStr">
        <is>
          <t>Satisfaction Utilisateur</t>
        </is>
      </c>
      <c r="J4" s="10" t="inlineStr">
        <is>
          <t>Base Connaissances (FAQ)</t>
        </is>
      </c>
      <c r="K4" s="10" t="inlineStr">
        <is>
          <t>Date Lancement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CB-001</t>
        </is>
      </c>
      <c r="C5" s="11" t="inlineStr">
        <is>
          <t>RH Assistant Hotel</t>
        </is>
      </c>
      <c r="D5" s="11" t="inlineStr">
        <is>
          <t>Chatbot RH</t>
        </is>
      </c>
      <c r="E5" s="11" t="inlineStr">
        <is>
          <t>Repondre aux questions RH courantes</t>
        </is>
      </c>
      <c r="F5" s="11" t="inlineStr">
        <is>
          <t>GPT-4 + RAG interne</t>
        </is>
      </c>
      <c r="G5" s="12" t="n">
        <v>450</v>
      </c>
      <c r="H5" s="37" t="n">
        <v>82</v>
      </c>
      <c r="I5" s="33" t="n">
        <v>4.1</v>
      </c>
      <c r="J5" s="12" t="n">
        <v>150</v>
      </c>
      <c r="K5" s="31" t="n">
        <v>45689</v>
      </c>
      <c r="L5" s="11" t="inlineStr">
        <is>
          <t>Deploiement pilote</t>
        </is>
      </c>
      <c r="M5" s="11" t="inlineStr">
        <is>
          <t>Test avec dept. reception</t>
        </is>
      </c>
    </row>
    <row r="6" ht="22" customHeight="1">
      <c r="B6" s="14" t="inlineStr">
        <is>
          <t>CB-002</t>
        </is>
      </c>
      <c r="C6" s="14" t="inlineStr">
        <is>
          <t>Onboarding Bot</t>
        </is>
      </c>
      <c r="D6" s="14" t="inlineStr">
        <is>
          <t>Assistant virtuel</t>
        </is>
      </c>
      <c r="E6" s="14" t="inlineStr">
        <is>
          <t>Guider les nouveaux employes</t>
        </is>
      </c>
      <c r="F6" s="14" t="inlineStr">
        <is>
          <t>Custom flow</t>
        </is>
      </c>
      <c r="G6" s="15" t="n">
        <v>30</v>
      </c>
      <c r="H6" s="39" t="n">
        <v>90</v>
      </c>
      <c r="I6" s="35" t="n">
        <v>4.5</v>
      </c>
      <c r="J6" s="15" t="n">
        <v>45</v>
      </c>
      <c r="K6" s="32" t="n">
        <v>45672</v>
      </c>
      <c r="L6" s="14" t="inlineStr">
        <is>
          <t>Test</t>
        </is>
      </c>
      <c r="M6" s="14" t="inlineStr">
        <is>
          <t>Parcours 7 jours integre</t>
        </is>
      </c>
    </row>
    <row r="7" ht="22" customHeight="1">
      <c r="B7" s="11" t="inlineStr">
        <is>
          <t>CB-003</t>
        </is>
      </c>
      <c r="C7" s="11" t="inlineStr">
        <is>
          <t>FAQ Paie Bot</t>
        </is>
      </c>
      <c r="D7" s="11" t="inlineStr">
        <is>
          <t>Chatbot RH</t>
        </is>
      </c>
      <c r="E7" s="11" t="inlineStr">
        <is>
          <t>Repondre aux questions sur la paie</t>
        </is>
      </c>
      <c r="F7" s="11" t="inlineStr">
        <is>
          <t>Dialogflow</t>
        </is>
      </c>
      <c r="G7" s="12" t="n">
        <v>120</v>
      </c>
      <c r="H7" s="37" t="n">
        <v>75</v>
      </c>
      <c r="I7" s="33" t="n">
        <v>3.6</v>
      </c>
      <c r="J7" s="12" t="n">
        <v>80</v>
      </c>
      <c r="K7" s="31" t="n">
        <v>45597</v>
      </c>
      <c r="L7" s="11" t="inlineStr">
        <is>
          <t>En production</t>
        </is>
      </c>
      <c r="M7" s="11" t="inlineStr">
        <is>
          <t>Basculement vers GPT-4 etudie</t>
        </is>
      </c>
    </row>
    <row r="8" ht="22" customHeight="1">
      <c r="B8" s="17">
        <f>IF(C8="","CB-"&amp;TEXT(COUNTA($C$5:C8),"000"))</f>
        <v/>
      </c>
      <c r="C8" s="14" t="n"/>
      <c r="D8" s="14" t="n"/>
      <c r="E8" s="14" t="n"/>
      <c r="F8" s="14" t="n"/>
      <c r="G8" s="15" t="n"/>
      <c r="H8" s="39" t="n"/>
      <c r="I8" s="35" t="n"/>
      <c r="J8" s="15" t="n"/>
      <c r="K8" s="32" t="n"/>
      <c r="L8" s="14" t="n"/>
      <c r="M8" s="14" t="n"/>
    </row>
    <row r="9" ht="22" customHeight="1">
      <c r="B9" s="18">
        <f>IF(C9="","CB-"&amp;TEXT(COUNTA($C$5:C9),"000"))</f>
        <v/>
      </c>
      <c r="C9" s="11" t="n"/>
      <c r="D9" s="11" t="n"/>
      <c r="E9" s="11" t="n"/>
      <c r="F9" s="11" t="n"/>
      <c r="G9" s="12" t="n"/>
      <c r="H9" s="37" t="n"/>
      <c r="I9" s="33" t="n"/>
      <c r="J9" s="12" t="n"/>
      <c r="K9" s="31" t="n"/>
      <c r="L9" s="11" t="n"/>
      <c r="M9" s="11" t="n"/>
    </row>
    <row r="10" ht="22" customHeight="1">
      <c r="B10" s="17">
        <f>IF(C10="","CB-"&amp;TEXT(COUNTA($C$5:C10),"000"))</f>
        <v/>
      </c>
      <c r="C10" s="14" t="n"/>
      <c r="D10" s="14" t="n"/>
      <c r="E10" s="14" t="n"/>
      <c r="F10" s="14" t="n"/>
      <c r="G10" s="15" t="n"/>
      <c r="H10" s="39" t="n"/>
      <c r="I10" s="35" t="n"/>
      <c r="J10" s="15" t="n"/>
      <c r="K10" s="32" t="n"/>
      <c r="L10" s="14" t="n"/>
      <c r="M10" s="14" t="n"/>
    </row>
    <row r="11" ht="22" customHeight="1">
      <c r="B11" s="18">
        <f>IF(C11="","CB-"&amp;TEXT(COUNTA($C$5:C11),"000"))</f>
        <v/>
      </c>
      <c r="C11" s="11" t="n"/>
      <c r="D11" s="11" t="n"/>
      <c r="E11" s="11" t="n"/>
      <c r="F11" s="11" t="n"/>
      <c r="G11" s="12" t="n"/>
      <c r="H11" s="37" t="n"/>
      <c r="I11" s="33" t="n"/>
      <c r="J11" s="12" t="n"/>
      <c r="K11" s="31" t="n"/>
      <c r="L11" s="11" t="n"/>
      <c r="M11" s="11" t="n"/>
    </row>
    <row r="12" ht="22" customHeight="1">
      <c r="B12" s="17">
        <f>IF(C12="","CB-"&amp;TEXT(COUNTA($C$5:C12),"000"))</f>
        <v/>
      </c>
      <c r="C12" s="14" t="n"/>
      <c r="D12" s="14" t="n"/>
      <c r="E12" s="14" t="n"/>
      <c r="F12" s="14" t="n"/>
      <c r="G12" s="15" t="n"/>
      <c r="H12" s="39" t="n"/>
      <c r="I12" s="35" t="n"/>
      <c r="J12" s="15" t="n"/>
      <c r="K12" s="32" t="n"/>
      <c r="L12" s="14" t="n"/>
      <c r="M12" s="14" t="n"/>
    </row>
    <row r="13" ht="22" customHeight="1">
      <c r="B13" s="18">
        <f>IF(C13="","CB-"&amp;TEXT(COUNTA($C$5:C13),"000"))</f>
        <v/>
      </c>
      <c r="C13" s="11" t="n"/>
      <c r="D13" s="11" t="n"/>
      <c r="E13" s="11" t="n"/>
      <c r="F13" s="11" t="n"/>
      <c r="G13" s="12" t="n"/>
      <c r="H13" s="37" t="n"/>
      <c r="I13" s="33" t="n"/>
      <c r="J13" s="12" t="n"/>
      <c r="K13" s="31" t="n"/>
      <c r="L13" s="11" t="n"/>
      <c r="M13" s="11" t="n"/>
    </row>
    <row r="14" ht="22" customHeight="1">
      <c r="B14" s="17">
        <f>IF(C14="","CB-"&amp;TEXT(COUNTA($C$5:C14),"000"))</f>
        <v/>
      </c>
      <c r="C14" s="14" t="n"/>
      <c r="D14" s="14" t="n"/>
      <c r="E14" s="14" t="n"/>
      <c r="F14" s="14" t="n"/>
      <c r="G14" s="15" t="n"/>
      <c r="H14" s="39" t="n"/>
      <c r="I14" s="35" t="n"/>
      <c r="J14" s="15" t="n"/>
      <c r="K14" s="32" t="n"/>
      <c r="L14" s="14" t="n"/>
      <c r="M14" s="14" t="n"/>
    </row>
    <row r="15" ht="22" customHeight="1">
      <c r="B15" s="18">
        <f>IF(C15="","CB-"&amp;TEXT(COUNTA($C$5:C15),"000"))</f>
        <v/>
      </c>
      <c r="C15" s="11" t="n"/>
      <c r="D15" s="11" t="n"/>
      <c r="E15" s="11" t="n"/>
      <c r="F15" s="11" t="n"/>
      <c r="G15" s="12" t="n"/>
      <c r="H15" s="37" t="n"/>
      <c r="I15" s="33" t="n"/>
      <c r="J15" s="12" t="n"/>
      <c r="K15" s="31" t="n"/>
      <c r="L15" s="11" t="n"/>
      <c r="M15" s="11" t="n"/>
    </row>
    <row r="16" ht="22" customHeight="1">
      <c r="B16" s="17">
        <f>IF(C16="","CB-"&amp;TEXT(COUNTA($C$5:C16),"000"))</f>
        <v/>
      </c>
      <c r="C16" s="14" t="n"/>
      <c r="D16" s="14" t="n"/>
      <c r="E16" s="14" t="n"/>
      <c r="F16" s="14" t="n"/>
      <c r="G16" s="15" t="n"/>
      <c r="H16" s="39" t="n"/>
      <c r="I16" s="35" t="n"/>
      <c r="J16" s="15" t="n"/>
      <c r="K16" s="32" t="n"/>
      <c r="L16" s="14" t="n"/>
      <c r="M16" s="14" t="n"/>
    </row>
    <row r="17" ht="22" customHeight="1">
      <c r="B17" s="18">
        <f>IF(C17="","CB-"&amp;TEXT(COUNTA($C$5:C17),"000"))</f>
        <v/>
      </c>
      <c r="C17" s="11" t="n"/>
      <c r="D17" s="11" t="n"/>
      <c r="E17" s="11" t="n"/>
      <c r="F17" s="11" t="n"/>
      <c r="G17" s="12" t="n"/>
      <c r="H17" s="37" t="n"/>
      <c r="I17" s="33" t="n"/>
      <c r="J17" s="12" t="n"/>
      <c r="K17" s="31" t="n"/>
      <c r="L17" s="11" t="n"/>
      <c r="M17" s="11" t="n"/>
    </row>
    <row r="18" ht="22" customHeight="1">
      <c r="B18" s="17">
        <f>IF(C18="","CB-"&amp;TEXT(COUNTA($C$5:C18),"000"))</f>
        <v/>
      </c>
      <c r="C18" s="14" t="n"/>
      <c r="D18" s="14" t="n"/>
      <c r="E18" s="14" t="n"/>
      <c r="F18" s="14" t="n"/>
      <c r="G18" s="15" t="n"/>
      <c r="H18" s="39" t="n"/>
      <c r="I18" s="35" t="n"/>
      <c r="J18" s="15" t="n"/>
      <c r="K18" s="32" t="n"/>
      <c r="L18" s="14" t="n"/>
      <c r="M18" s="14" t="n"/>
    </row>
    <row r="19" ht="22" customHeight="1">
      <c r="B19" s="18">
        <f>IF(C19="","CB-"&amp;TEXT(COUNTA($C$5:C19),"000"))</f>
        <v/>
      </c>
      <c r="C19" s="11" t="n"/>
      <c r="D19" s="11" t="n"/>
      <c r="E19" s="11" t="n"/>
      <c r="F19" s="11" t="n"/>
      <c r="G19" s="12" t="n"/>
      <c r="H19" s="37" t="n"/>
      <c r="I19" s="33" t="n"/>
      <c r="J19" s="12" t="n"/>
      <c r="K19" s="31" t="n"/>
      <c r="L19" s="11" t="n"/>
      <c r="M19" s="11" t="n"/>
    </row>
    <row r="20" ht="22" customHeight="1">
      <c r="B20" s="17">
        <f>IF(C20="","CB-"&amp;TEXT(COUNTA($C$5:C20),"000"))</f>
        <v/>
      </c>
      <c r="C20" s="14" t="n"/>
      <c r="D20" s="14" t="n"/>
      <c r="E20" s="14" t="n"/>
      <c r="F20" s="14" t="n"/>
      <c r="G20" s="15" t="n"/>
      <c r="H20" s="39" t="n"/>
      <c r="I20" s="35" t="n"/>
      <c r="J20" s="15" t="n"/>
      <c r="K20" s="32" t="n"/>
      <c r="L20" s="14" t="n"/>
      <c r="M20" s="14" t="n"/>
    </row>
    <row r="21" ht="22" customHeight="1">
      <c r="B21" s="18">
        <f>IF(C21="","CB-"&amp;TEXT(COUNTA($C$5:C21),"000"))</f>
        <v/>
      </c>
      <c r="C21" s="11" t="n"/>
      <c r="D21" s="11" t="n"/>
      <c r="E21" s="11" t="n"/>
      <c r="F21" s="11" t="n"/>
      <c r="G21" s="12" t="n"/>
      <c r="H21" s="37" t="n"/>
      <c r="I21" s="33" t="n"/>
      <c r="J21" s="12" t="n"/>
      <c r="K21" s="31" t="n"/>
      <c r="L21" s="11" t="n"/>
      <c r="M21" s="11" t="n"/>
    </row>
    <row r="22" ht="22" customHeight="1">
      <c r="B22" s="17">
        <f>IF(C22="","CB-"&amp;TEXT(COUNTA($C$5:C22),"000"))</f>
        <v/>
      </c>
      <c r="C22" s="14" t="n"/>
      <c r="D22" s="14" t="n"/>
      <c r="E22" s="14" t="n"/>
      <c r="F22" s="14" t="n"/>
      <c r="G22" s="15" t="n"/>
      <c r="H22" s="39" t="n"/>
      <c r="I22" s="35" t="n"/>
      <c r="J22" s="15" t="n"/>
      <c r="K22" s="32" t="n"/>
      <c r="L22" s="14" t="n"/>
      <c r="M22" s="14" t="n"/>
    </row>
    <row r="23" ht="22" customHeight="1">
      <c r="B23" s="18">
        <f>IF(C23="","CB-"&amp;TEXT(COUNTA($C$5:C23),"000"))</f>
        <v/>
      </c>
      <c r="C23" s="11" t="n"/>
      <c r="D23" s="11" t="n"/>
      <c r="E23" s="11" t="n"/>
      <c r="F23" s="11" t="n"/>
      <c r="G23" s="12" t="n"/>
      <c r="H23" s="37" t="n"/>
      <c r="I23" s="33" t="n"/>
      <c r="J23" s="12" t="n"/>
      <c r="K23" s="31" t="n"/>
      <c r="L23" s="11" t="n"/>
      <c r="M23" s="11" t="n"/>
    </row>
    <row r="24" ht="22" customHeight="1">
      <c r="B24" s="17">
        <f>IF(C24="","CB-"&amp;TEXT(COUNTA($C$5:C24),"000"))</f>
        <v/>
      </c>
      <c r="C24" s="14" t="n"/>
      <c r="D24" s="14" t="n"/>
      <c r="E24" s="14" t="n"/>
      <c r="F24" s="14" t="n"/>
      <c r="G24" s="15" t="n"/>
      <c r="H24" s="39" t="n"/>
      <c r="I24" s="35" t="n"/>
      <c r="J24" s="15" t="n"/>
      <c r="K24" s="32" t="n"/>
      <c r="L24" s="14" t="n"/>
      <c r="M24" s="14" t="n"/>
    </row>
    <row r="25" ht="22" customHeight="1">
      <c r="B25" s="18">
        <f>IF(C25="","CB-"&amp;TEXT(COUNTA($C$5:C25),"000"))</f>
        <v/>
      </c>
      <c r="C25" s="11" t="n"/>
      <c r="D25" s="11" t="n"/>
      <c r="E25" s="11" t="n"/>
      <c r="F25" s="11" t="n"/>
      <c r="G25" s="12" t="n"/>
      <c r="H25" s="37" t="n"/>
      <c r="I25" s="33" t="n"/>
      <c r="J25" s="12" t="n"/>
      <c r="K25" s="31" t="n"/>
      <c r="L25" s="11" t="n"/>
      <c r="M25" s="11" t="n"/>
    </row>
    <row r="26" ht="22" customHeight="1">
      <c r="B26" s="17">
        <f>IF(C26="","CB-"&amp;TEXT(COUNTA($C$5:C26),"000"))</f>
        <v/>
      </c>
      <c r="C26" s="14" t="n"/>
      <c r="D26" s="14" t="n"/>
      <c r="E26" s="14" t="n"/>
      <c r="F26" s="14" t="n"/>
      <c r="G26" s="15" t="n"/>
      <c r="H26" s="39" t="n"/>
      <c r="I26" s="35" t="n"/>
      <c r="J26" s="15" t="n"/>
      <c r="K26" s="32" t="n"/>
      <c r="L26" s="14" t="n"/>
      <c r="M26" s="14" t="n"/>
    </row>
    <row r="27" ht="22" customHeight="1">
      <c r="B27" s="18">
        <f>IF(C27="","CB-"&amp;TEXT(COUNTA($C$5:C27),"000"))</f>
        <v/>
      </c>
      <c r="C27" s="11" t="n"/>
      <c r="D27" s="11" t="n"/>
      <c r="E27" s="11" t="n"/>
      <c r="F27" s="11" t="n"/>
      <c r="G27" s="12" t="n"/>
      <c r="H27" s="37" t="n"/>
      <c r="I27" s="33" t="n"/>
      <c r="J27" s="12" t="n"/>
      <c r="K27" s="31" t="n"/>
      <c r="L27" s="11" t="n"/>
      <c r="M27" s="11" t="n"/>
    </row>
    <row r="28" ht="22" customHeight="1">
      <c r="B28" s="17">
        <f>IF(C28="","CB-"&amp;TEXT(COUNTA($C$5:C28),"000"))</f>
        <v/>
      </c>
      <c r="C28" s="14" t="n"/>
      <c r="D28" s="14" t="n"/>
      <c r="E28" s="14" t="n"/>
      <c r="F28" s="14" t="n"/>
      <c r="G28" s="15" t="n"/>
      <c r="H28" s="39" t="n"/>
      <c r="I28" s="35" t="n"/>
      <c r="J28" s="15" t="n"/>
      <c r="K28" s="32" t="n"/>
      <c r="L28" s="14" t="n"/>
      <c r="M28" s="14" t="n"/>
    </row>
    <row r="29" ht="22" customHeight="1">
      <c r="B29" s="18">
        <f>IF(C29="","CB-"&amp;TEXT(COUNTA($C$5:C29),"000"))</f>
        <v/>
      </c>
      <c r="C29" s="11" t="n"/>
      <c r="D29" s="11" t="n"/>
      <c r="E29" s="11" t="n"/>
      <c r="F29" s="11" t="n"/>
      <c r="G29" s="12" t="n"/>
      <c r="H29" s="37" t="n"/>
      <c r="I29" s="33" t="n"/>
      <c r="J29" s="12" t="n"/>
      <c r="K29" s="31" t="n"/>
      <c r="L29" s="11" t="n"/>
      <c r="M29" s="11" t="n"/>
    </row>
    <row r="30" ht="22" customHeight="1">
      <c r="B30" s="17">
        <f>IF(C30="","CB-"&amp;TEXT(COUNTA($C$5:C30),"000"))</f>
        <v/>
      </c>
      <c r="C30" s="14" t="n"/>
      <c r="D30" s="14" t="n"/>
      <c r="E30" s="14" t="n"/>
      <c r="F30" s="14" t="n"/>
      <c r="G30" s="15" t="n"/>
      <c r="H30" s="39" t="n"/>
      <c r="I30" s="35" t="n"/>
      <c r="J30" s="15" t="n"/>
      <c r="K30" s="32" t="n"/>
      <c r="L30" s="14" t="n"/>
      <c r="M30" s="14" t="n"/>
    </row>
    <row r="31" ht="22" customHeight="1">
      <c r="B31" s="18">
        <f>IF(C31="","CB-"&amp;TEXT(COUNTA($C$5:C31),"000"))</f>
        <v/>
      </c>
      <c r="C31" s="11" t="n"/>
      <c r="D31" s="11" t="n"/>
      <c r="E31" s="11" t="n"/>
      <c r="F31" s="11" t="n"/>
      <c r="G31" s="12" t="n"/>
      <c r="H31" s="37" t="n"/>
      <c r="I31" s="33" t="n"/>
      <c r="J31" s="12" t="n"/>
      <c r="K31" s="31" t="n"/>
      <c r="L31" s="11" t="n"/>
      <c r="M31" s="11" t="n"/>
    </row>
    <row r="32" ht="22" customHeight="1">
      <c r="B32" s="17">
        <f>IF(C32="","CB-"&amp;TEXT(COUNTA($C$5:C32),"000"))</f>
        <v/>
      </c>
      <c r="C32" s="14" t="n"/>
      <c r="D32" s="14" t="n"/>
      <c r="E32" s="14" t="n"/>
      <c r="F32" s="14" t="n"/>
      <c r="G32" s="15" t="n"/>
      <c r="H32" s="39" t="n"/>
      <c r="I32" s="35" t="n"/>
      <c r="J32" s="15" t="n"/>
      <c r="K32" s="32" t="n"/>
      <c r="L32" s="14" t="n"/>
      <c r="M32" s="14" t="n"/>
    </row>
    <row r="33" ht="22" customHeight="1">
      <c r="B33" s="18">
        <f>IF(C33="","CB-"&amp;TEXT(COUNTA($C$5:C33),"000"))</f>
        <v/>
      </c>
      <c r="C33" s="11" t="n"/>
      <c r="D33" s="11" t="n"/>
      <c r="E33" s="11" t="n"/>
      <c r="F33" s="11" t="n"/>
      <c r="G33" s="12" t="n"/>
      <c r="H33" s="37" t="n"/>
      <c r="I33" s="33" t="n"/>
      <c r="J33" s="12" t="n"/>
      <c r="K33" s="31" t="n"/>
      <c r="L33" s="11" t="n"/>
      <c r="M33" s="11" t="n"/>
    </row>
    <row r="34" ht="22" customHeight="1">
      <c r="B34" s="17">
        <f>IF(C34="","CB-"&amp;TEXT(COUNTA($C$5:C34),"000"))</f>
        <v/>
      </c>
      <c r="C34" s="14" t="n"/>
      <c r="D34" s="14" t="n"/>
      <c r="E34" s="14" t="n"/>
      <c r="F34" s="14" t="n"/>
      <c r="G34" s="15" t="n"/>
      <c r="H34" s="39" t="n"/>
      <c r="I34" s="35" t="n"/>
      <c r="J34" s="15" t="n"/>
      <c r="K34" s="32" t="n"/>
      <c r="L34" s="14" t="n"/>
      <c r="M34" s="14" t="n"/>
    </row>
    <row r="35" ht="22" customHeight="1">
      <c r="B35" s="18">
        <f>IF(C35="","CB-"&amp;TEXT(COUNTA($C$5:C35),"000"))</f>
        <v/>
      </c>
      <c r="C35" s="11" t="n"/>
      <c r="D35" s="11" t="n"/>
      <c r="E35" s="11" t="n"/>
      <c r="F35" s="11" t="n"/>
      <c r="G35" s="12" t="n"/>
      <c r="H35" s="37" t="n"/>
      <c r="I35" s="33" t="n"/>
      <c r="J35" s="12" t="n"/>
      <c r="K35" s="31" t="n"/>
      <c r="L35" s="11" t="n"/>
      <c r="M35" s="11" t="n"/>
    </row>
    <row r="36" ht="22" customHeight="1">
      <c r="B36" s="17">
        <f>IF(C36="","CB-"&amp;TEXT(COUNTA($C$5:C36),"000"))</f>
        <v/>
      </c>
      <c r="C36" s="14" t="n"/>
      <c r="D36" s="14" t="n"/>
      <c r="E36" s="14" t="n"/>
      <c r="F36" s="14" t="n"/>
      <c r="G36" s="15" t="n"/>
      <c r="H36" s="39" t="n"/>
      <c r="I36" s="35" t="n"/>
      <c r="J36" s="15" t="n"/>
      <c r="K36" s="32" t="n"/>
      <c r="L36" s="14" t="n"/>
      <c r="M36" s="14" t="n"/>
    </row>
    <row r="37" ht="22" customHeight="1">
      <c r="B37" s="18">
        <f>IF(C37="","CB-"&amp;TEXT(COUNTA($C$5:C37),"000"))</f>
        <v/>
      </c>
      <c r="C37" s="11" t="n"/>
      <c r="D37" s="11" t="n"/>
      <c r="E37" s="11" t="n"/>
      <c r="F37" s="11" t="n"/>
      <c r="G37" s="12" t="n"/>
      <c r="H37" s="37" t="n"/>
      <c r="I37" s="33" t="n"/>
      <c r="J37" s="12" t="n"/>
      <c r="K37" s="31" t="n"/>
      <c r="L37" s="11" t="n"/>
      <c r="M37" s="11" t="n"/>
    </row>
    <row r="38" ht="22" customHeight="1">
      <c r="B38" s="17">
        <f>IF(C38="","CB-"&amp;TEXT(COUNTA($C$5:C38),"000"))</f>
        <v/>
      </c>
      <c r="C38" s="14" t="n"/>
      <c r="D38" s="14" t="n"/>
      <c r="E38" s="14" t="n"/>
      <c r="F38" s="14" t="n"/>
      <c r="G38" s="15" t="n"/>
      <c r="H38" s="39" t="n"/>
      <c r="I38" s="35" t="n"/>
      <c r="J38" s="15" t="n"/>
      <c r="K38" s="32" t="n"/>
      <c r="L38" s="14" t="n"/>
      <c r="M38" s="14" t="n"/>
    </row>
    <row r="39" ht="22" customHeight="1">
      <c r="B39" s="18">
        <f>IF(C39="","CB-"&amp;TEXT(COUNTA($C$5:C39),"000"))</f>
        <v/>
      </c>
      <c r="C39" s="11" t="n"/>
      <c r="D39" s="11" t="n"/>
      <c r="E39" s="11" t="n"/>
      <c r="F39" s="11" t="n"/>
      <c r="G39" s="12" t="n"/>
      <c r="H39" s="37" t="n"/>
      <c r="I39" s="33" t="n"/>
      <c r="J39" s="12" t="n"/>
      <c r="K39" s="31" t="n"/>
      <c r="L39" s="11" t="n"/>
      <c r="M39" s="11" t="n"/>
    </row>
    <row r="40" ht="22" customHeight="1">
      <c r="B40" s="17">
        <f>IF(C40="","CB-"&amp;TEXT(COUNTA($C$5:C40),"000"))</f>
        <v/>
      </c>
      <c r="C40" s="14" t="n"/>
      <c r="D40" s="14" t="n"/>
      <c r="E40" s="14" t="n"/>
      <c r="F40" s="14" t="n"/>
      <c r="G40" s="15" t="n"/>
      <c r="H40" s="39" t="n"/>
      <c r="I40" s="35" t="n"/>
      <c r="J40" s="15" t="n"/>
      <c r="K40" s="32" t="n"/>
      <c r="L40" s="14" t="n"/>
      <c r="M40" s="14" t="n"/>
    </row>
    <row r="41" ht="22" customHeight="1">
      <c r="B41" s="18">
        <f>IF(C41="","CB-"&amp;TEXT(COUNTA($C$5:C41),"000"))</f>
        <v/>
      </c>
      <c r="C41" s="11" t="n"/>
      <c r="D41" s="11" t="n"/>
      <c r="E41" s="11" t="n"/>
      <c r="F41" s="11" t="n"/>
      <c r="G41" s="12" t="n"/>
      <c r="H41" s="37" t="n"/>
      <c r="I41" s="33" t="n"/>
      <c r="J41" s="12" t="n"/>
      <c r="K41" s="31" t="n"/>
      <c r="L41" s="11" t="n"/>
      <c r="M41" s="11" t="n"/>
    </row>
    <row r="42" ht="22" customHeight="1">
      <c r="B42" s="17">
        <f>IF(C42="","CB-"&amp;TEXT(COUNTA($C$5:C42),"000"))</f>
        <v/>
      </c>
      <c r="C42" s="14" t="n"/>
      <c r="D42" s="14" t="n"/>
      <c r="E42" s="14" t="n"/>
      <c r="F42" s="14" t="n"/>
      <c r="G42" s="15" t="n"/>
      <c r="H42" s="39" t="n"/>
      <c r="I42" s="35" t="n"/>
      <c r="J42" s="15" t="n"/>
      <c r="K42" s="32" t="n"/>
      <c r="L42" s="14" t="n"/>
      <c r="M42" s="14" t="n"/>
    </row>
    <row r="43" ht="22" customHeight="1">
      <c r="B43" s="18">
        <f>IF(C43="","CB-"&amp;TEXT(COUNTA($C$5:C43),"000"))</f>
        <v/>
      </c>
      <c r="C43" s="11" t="n"/>
      <c r="D43" s="11" t="n"/>
      <c r="E43" s="11" t="n"/>
      <c r="F43" s="11" t="n"/>
      <c r="G43" s="12" t="n"/>
      <c r="H43" s="37" t="n"/>
      <c r="I43" s="33" t="n"/>
      <c r="J43" s="12" t="n"/>
      <c r="K43" s="31" t="n"/>
      <c r="L43" s="11" t="n"/>
      <c r="M43" s="11" t="n"/>
    </row>
    <row r="44" ht="22" customHeight="1">
      <c r="B44" s="17">
        <f>IF(C44="","CB-"&amp;TEXT(COUNTA($C$5:C44),"000"))</f>
        <v/>
      </c>
      <c r="C44" s="14" t="n"/>
      <c r="D44" s="14" t="n"/>
      <c r="E44" s="14" t="n"/>
      <c r="F44" s="14" t="n"/>
      <c r="G44" s="15" t="n"/>
      <c r="H44" s="39" t="n"/>
      <c r="I44" s="35" t="n"/>
      <c r="J44" s="15" t="n"/>
      <c r="K44" s="32" t="n"/>
      <c r="L44" s="14" t="n"/>
      <c r="M44" s="14" t="n"/>
    </row>
    <row r="45" ht="22" customHeight="1">
      <c r="B45" s="18">
        <f>IF(C45="","CB-"&amp;TEXT(COUNTA($C$5:C45),"000"))</f>
        <v/>
      </c>
      <c r="C45" s="11" t="n"/>
      <c r="D45" s="11" t="n"/>
      <c r="E45" s="11" t="n"/>
      <c r="F45" s="11" t="n"/>
      <c r="G45" s="12" t="n"/>
      <c r="H45" s="37" t="n"/>
      <c r="I45" s="33" t="n"/>
      <c r="J45" s="12" t="n"/>
      <c r="K45" s="31" t="n"/>
      <c r="L45" s="11" t="n"/>
      <c r="M45" s="11" t="n"/>
    </row>
    <row r="46" ht="22" customHeight="1">
      <c r="B46" s="17">
        <f>IF(C46="","CB-"&amp;TEXT(COUNTA($C$5:C46),"000"))</f>
        <v/>
      </c>
      <c r="C46" s="14" t="n"/>
      <c r="D46" s="14" t="n"/>
      <c r="E46" s="14" t="n"/>
      <c r="F46" s="14" t="n"/>
      <c r="G46" s="15" t="n"/>
      <c r="H46" s="39" t="n"/>
      <c r="I46" s="35" t="n"/>
      <c r="J46" s="15" t="n"/>
      <c r="K46" s="32" t="n"/>
      <c r="L46" s="14" t="n"/>
      <c r="M46" s="14" t="n"/>
    </row>
    <row r="47" ht="22" customHeight="1">
      <c r="B47" s="18">
        <f>IF(C47="","CB-"&amp;TEXT(COUNTA($C$5:C47),"000"))</f>
        <v/>
      </c>
      <c r="C47" s="11" t="n"/>
      <c r="D47" s="11" t="n"/>
      <c r="E47" s="11" t="n"/>
      <c r="F47" s="11" t="n"/>
      <c r="G47" s="12" t="n"/>
      <c r="H47" s="37" t="n"/>
      <c r="I47" s="33" t="n"/>
      <c r="J47" s="12" t="n"/>
      <c r="K47" s="31" t="n"/>
      <c r="L47" s="11" t="n"/>
      <c r="M47" s="11" t="n"/>
    </row>
    <row r="48" ht="22" customHeight="1">
      <c r="B48" s="17">
        <f>IF(C48="","CB-"&amp;TEXT(COUNTA($C$5:C48),"000"))</f>
        <v/>
      </c>
      <c r="C48" s="14" t="n"/>
      <c r="D48" s="14" t="n"/>
      <c r="E48" s="14" t="n"/>
      <c r="F48" s="14" t="n"/>
      <c r="G48" s="15" t="n"/>
      <c r="H48" s="39" t="n"/>
      <c r="I48" s="35" t="n"/>
      <c r="J48" s="15" t="n"/>
      <c r="K48" s="32" t="n"/>
      <c r="L48" s="14" t="n"/>
      <c r="M48" s="14" t="n"/>
    </row>
    <row r="49" ht="22" customHeight="1">
      <c r="B49" s="18">
        <f>IF(C49="","CB-"&amp;TEXT(COUNTA($C$5:C49),"000"))</f>
        <v/>
      </c>
      <c r="C49" s="11" t="n"/>
      <c r="D49" s="11" t="n"/>
      <c r="E49" s="11" t="n"/>
      <c r="F49" s="11" t="n"/>
      <c r="G49" s="12" t="n"/>
      <c r="H49" s="37" t="n"/>
      <c r="I49" s="33" t="n"/>
      <c r="J49" s="12" t="n"/>
      <c r="K49" s="31" t="n"/>
      <c r="L49" s="11" t="n"/>
      <c r="M49" s="11" t="n"/>
    </row>
    <row r="50" ht="22" customHeight="1">
      <c r="B50" s="17">
        <f>IF(C50="","CB-"&amp;TEXT(COUNTA($C$5:C50),"000"))</f>
        <v/>
      </c>
      <c r="C50" s="14" t="n"/>
      <c r="D50" s="14" t="n"/>
      <c r="E50" s="14" t="n"/>
      <c r="F50" s="14" t="n"/>
      <c r="G50" s="15" t="n"/>
      <c r="H50" s="39" t="n"/>
      <c r="I50" s="35" t="n"/>
      <c r="J50" s="15" t="n"/>
      <c r="K50" s="32" t="n"/>
      <c r="L50" s="14" t="n"/>
      <c r="M50" s="14" t="n"/>
    </row>
    <row r="51" ht="22" customHeight="1">
      <c r="B51" s="18">
        <f>IF(C51="","CB-"&amp;TEXT(COUNTA($C$5:C51),"000"))</f>
        <v/>
      </c>
      <c r="C51" s="11" t="n"/>
      <c r="D51" s="11" t="n"/>
      <c r="E51" s="11" t="n"/>
      <c r="F51" s="11" t="n"/>
      <c r="G51" s="12" t="n"/>
      <c r="H51" s="37" t="n"/>
      <c r="I51" s="33" t="n"/>
      <c r="J51" s="12" t="n"/>
      <c r="K51" s="31" t="n"/>
      <c r="L51" s="11" t="n"/>
      <c r="M51" s="11" t="n"/>
    </row>
    <row r="52" ht="22" customHeight="1">
      <c r="B52" s="17">
        <f>IF(C52="","CB-"&amp;TEXT(COUNTA($C$5:C52),"000"))</f>
        <v/>
      </c>
      <c r="C52" s="14" t="n"/>
      <c r="D52" s="14" t="n"/>
      <c r="E52" s="14" t="n"/>
      <c r="F52" s="14" t="n"/>
      <c r="G52" s="15" t="n"/>
      <c r="H52" s="39" t="n"/>
      <c r="I52" s="35" t="n"/>
      <c r="J52" s="15" t="n"/>
      <c r="K52" s="32" t="n"/>
      <c r="L52" s="14" t="n"/>
      <c r="M52" s="14" t="n"/>
    </row>
    <row r="53" ht="22" customHeight="1">
      <c r="B53" s="18">
        <f>IF(C53="","CB-"&amp;TEXT(COUNTA($C$5:C53),"000"))</f>
        <v/>
      </c>
      <c r="C53" s="11" t="n"/>
      <c r="D53" s="11" t="n"/>
      <c r="E53" s="11" t="n"/>
      <c r="F53" s="11" t="n"/>
      <c r="G53" s="12" t="n"/>
      <c r="H53" s="37" t="n"/>
      <c r="I53" s="33" t="n"/>
      <c r="J53" s="12" t="n"/>
      <c r="K53" s="31" t="n"/>
      <c r="L53" s="11" t="n"/>
      <c r="M53" s="11" t="n"/>
    </row>
    <row r="54" ht="22" customHeight="1">
      <c r="B54" s="17">
        <f>IF(C54="","CB-"&amp;TEXT(COUNTA($C$5:C54),"000"))</f>
        <v/>
      </c>
      <c r="C54" s="14" t="n"/>
      <c r="D54" s="14" t="n"/>
      <c r="E54" s="14" t="n"/>
      <c r="F54" s="14" t="n"/>
      <c r="G54" s="15" t="n"/>
      <c r="H54" s="39" t="n"/>
      <c r="I54" s="35" t="n"/>
      <c r="J54" s="15" t="n"/>
      <c r="K54" s="32" t="n"/>
      <c r="L54" s="14" t="n"/>
      <c r="M54" s="14" t="n"/>
    </row>
    <row r="55" ht="22" customHeight="1">
      <c r="B55" s="18">
        <f>IF(C55="","CB-"&amp;TEXT(COUNTA($C$5:C55),"000"))</f>
        <v/>
      </c>
      <c r="C55" s="11" t="n"/>
      <c r="D55" s="11" t="n"/>
      <c r="E55" s="11" t="n"/>
      <c r="F55" s="11" t="n"/>
      <c r="G55" s="12" t="n"/>
      <c r="H55" s="37" t="n"/>
      <c r="I55" s="33" t="n"/>
      <c r="J55" s="12" t="n"/>
      <c r="K55" s="31" t="n"/>
      <c r="L55" s="11" t="n"/>
      <c r="M55" s="11" t="n"/>
    </row>
    <row r="56" ht="22" customHeight="1">
      <c r="B56" s="17">
        <f>IF(C56="","CB-"&amp;TEXT(COUNTA($C$5:C56),"000"))</f>
        <v/>
      </c>
      <c r="C56" s="14" t="n"/>
      <c r="D56" s="14" t="n"/>
      <c r="E56" s="14" t="n"/>
      <c r="F56" s="14" t="n"/>
      <c r="G56" s="15" t="n"/>
      <c r="H56" s="39" t="n"/>
      <c r="I56" s="35" t="n"/>
      <c r="J56" s="15" t="n"/>
      <c r="K56" s="32" t="n"/>
      <c r="L56" s="14" t="n"/>
      <c r="M56" s="14" t="n"/>
    </row>
    <row r="57" ht="22" customHeight="1">
      <c r="B57" s="18">
        <f>IF(C57="","CB-"&amp;TEXT(COUNTA($C$5:C57),"000"))</f>
        <v/>
      </c>
      <c r="C57" s="11" t="n"/>
      <c r="D57" s="11" t="n"/>
      <c r="E57" s="11" t="n"/>
      <c r="F57" s="11" t="n"/>
      <c r="G57" s="12" t="n"/>
      <c r="H57" s="37" t="n"/>
      <c r="I57" s="33" t="n"/>
      <c r="J57" s="12" t="n"/>
      <c r="K57" s="31" t="n"/>
      <c r="L57" s="11" t="n"/>
      <c r="M57" s="11" t="n"/>
    </row>
    <row r="58" ht="22" customHeight="1">
      <c r="B58" s="17">
        <f>IF(C58="","CB-"&amp;TEXT(COUNTA($C$5:C58),"000"))</f>
        <v/>
      </c>
      <c r="C58" s="14" t="n"/>
      <c r="D58" s="14" t="n"/>
      <c r="E58" s="14" t="n"/>
      <c r="F58" s="14" t="n"/>
      <c r="G58" s="15" t="n"/>
      <c r="H58" s="39" t="n"/>
      <c r="I58" s="35" t="n"/>
      <c r="J58" s="15" t="n"/>
      <c r="K58" s="32" t="n"/>
      <c r="L58" s="14" t="n"/>
      <c r="M58" s="14" t="n"/>
    </row>
    <row r="59" ht="22" customHeight="1">
      <c r="B59" s="18">
        <f>IF(C59="","CB-"&amp;TEXT(COUNTA($C$5:C59),"000"))</f>
        <v/>
      </c>
      <c r="C59" s="11" t="n"/>
      <c r="D59" s="11" t="n"/>
      <c r="E59" s="11" t="n"/>
      <c r="F59" s="11" t="n"/>
      <c r="G59" s="12" t="n"/>
      <c r="H59" s="37" t="n"/>
      <c r="I59" s="33" t="n"/>
      <c r="J59" s="12" t="n"/>
      <c r="K59" s="31" t="n"/>
      <c r="L59" s="11" t="n"/>
      <c r="M59" s="11" t="n"/>
    </row>
    <row r="60" ht="22" customHeight="1">
      <c r="B60" s="17">
        <f>IF(C60="","CB-"&amp;TEXT(COUNTA($C$5:C60),"000"))</f>
        <v/>
      </c>
      <c r="C60" s="14" t="n"/>
      <c r="D60" s="14" t="n"/>
      <c r="E60" s="14" t="n"/>
      <c r="F60" s="14" t="n"/>
      <c r="G60" s="15" t="n"/>
      <c r="H60" s="39" t="n"/>
      <c r="I60" s="35" t="n"/>
      <c r="J60" s="15" t="n"/>
      <c r="K60" s="32" t="n"/>
      <c r="L60" s="14" t="n"/>
      <c r="M60" s="14" t="n"/>
    </row>
    <row r="61" ht="22" customHeight="1">
      <c r="B61" s="18">
        <f>IF(C61="","CB-"&amp;TEXT(COUNTA($C$5:C61),"000"))</f>
        <v/>
      </c>
      <c r="C61" s="11" t="n"/>
      <c r="D61" s="11" t="n"/>
      <c r="E61" s="11" t="n"/>
      <c r="F61" s="11" t="n"/>
      <c r="G61" s="12" t="n"/>
      <c r="H61" s="37" t="n"/>
      <c r="I61" s="33" t="n"/>
      <c r="J61" s="12" t="n"/>
      <c r="K61" s="31" t="n"/>
      <c r="L61" s="11" t="n"/>
      <c r="M61" s="11" t="n"/>
    </row>
    <row r="62" ht="22" customHeight="1">
      <c r="B62" s="17">
        <f>IF(C62="","CB-"&amp;TEXT(COUNTA($C$5:C62),"000"))</f>
        <v/>
      </c>
      <c r="C62" s="14" t="n"/>
      <c r="D62" s="14" t="n"/>
      <c r="E62" s="14" t="n"/>
      <c r="F62" s="14" t="n"/>
      <c r="G62" s="15" t="n"/>
      <c r="H62" s="39" t="n"/>
      <c r="I62" s="35" t="n"/>
      <c r="J62" s="15" t="n"/>
      <c r="K62" s="32" t="n"/>
      <c r="L62" s="14" t="n"/>
      <c r="M62" s="14" t="n"/>
    </row>
    <row r="63" ht="22" customHeight="1">
      <c r="B63" s="18">
        <f>IF(C63="","CB-"&amp;TEXT(COUNTA($C$5:C63),"000"))</f>
        <v/>
      </c>
      <c r="C63" s="11" t="n"/>
      <c r="D63" s="11" t="n"/>
      <c r="E63" s="11" t="n"/>
      <c r="F63" s="11" t="n"/>
      <c r="G63" s="12" t="n"/>
      <c r="H63" s="37" t="n"/>
      <c r="I63" s="33" t="n"/>
      <c r="J63" s="12" t="n"/>
      <c r="K63" s="31" t="n"/>
      <c r="L63" s="11" t="n"/>
      <c r="M63" s="11" t="n"/>
    </row>
    <row r="64" ht="22" customHeight="1">
      <c r="B64" s="17">
        <f>IF(C64="","CB-"&amp;TEXT(COUNTA($C$5:C64),"000"))</f>
        <v/>
      </c>
      <c r="C64" s="14" t="n"/>
      <c r="D64" s="14" t="n"/>
      <c r="E64" s="14" t="n"/>
      <c r="F64" s="14" t="n"/>
      <c r="G64" s="15" t="n"/>
      <c r="H64" s="39" t="n"/>
      <c r="I64" s="35" t="n"/>
      <c r="J64" s="15" t="n"/>
      <c r="K64" s="32" t="n"/>
      <c r="L64" s="14" t="n"/>
      <c r="M64" s="14" t="n"/>
    </row>
    <row r="65" ht="22" customHeight="1">
      <c r="B65" s="18">
        <f>IF(C65="","CB-"&amp;TEXT(COUNTA($C$5:C65),"000"))</f>
        <v/>
      </c>
      <c r="C65" s="11" t="n"/>
      <c r="D65" s="11" t="n"/>
      <c r="E65" s="11" t="n"/>
      <c r="F65" s="11" t="n"/>
      <c r="G65" s="12" t="n"/>
      <c r="H65" s="37" t="n"/>
      <c r="I65" s="33" t="n"/>
      <c r="J65" s="12" t="n"/>
      <c r="K65" s="31" t="n"/>
      <c r="L65" s="11" t="n"/>
      <c r="M65" s="11" t="n"/>
    </row>
    <row r="66" ht="22" customHeight="1">
      <c r="B66" s="17">
        <f>IF(C66="","CB-"&amp;TEXT(COUNTA($C$5:C66),"000"))</f>
        <v/>
      </c>
      <c r="C66" s="14" t="n"/>
      <c r="D66" s="14" t="n"/>
      <c r="E66" s="14" t="n"/>
      <c r="F66" s="14" t="n"/>
      <c r="G66" s="15" t="n"/>
      <c r="H66" s="39" t="n"/>
      <c r="I66" s="35" t="n"/>
      <c r="J66" s="15" t="n"/>
      <c r="K66" s="32" t="n"/>
      <c r="L66" s="14" t="n"/>
      <c r="M66" s="14" t="n"/>
    </row>
    <row r="67" ht="22" customHeight="1">
      <c r="B67" s="18">
        <f>IF(C67="","CB-"&amp;TEXT(COUNTA($C$5:C67),"000"))</f>
        <v/>
      </c>
      <c r="C67" s="11" t="n"/>
      <c r="D67" s="11" t="n"/>
      <c r="E67" s="11" t="n"/>
      <c r="F67" s="11" t="n"/>
      <c r="G67" s="12" t="n"/>
      <c r="H67" s="37" t="n"/>
      <c r="I67" s="33" t="n"/>
      <c r="J67" s="12" t="n"/>
      <c r="K67" s="31" t="n"/>
      <c r="L67" s="11" t="n"/>
      <c r="M67" s="11" t="n"/>
    </row>
    <row r="68" ht="22" customHeight="1">
      <c r="B68" s="17">
        <f>IF(C68="","CB-"&amp;TEXT(COUNTA($C$5:C68),"000"))</f>
        <v/>
      </c>
      <c r="C68" s="14" t="n"/>
      <c r="D68" s="14" t="n"/>
      <c r="E68" s="14" t="n"/>
      <c r="F68" s="14" t="n"/>
      <c r="G68" s="15" t="n"/>
      <c r="H68" s="39" t="n"/>
      <c r="I68" s="35" t="n"/>
      <c r="J68" s="15" t="n"/>
      <c r="K68" s="32" t="n"/>
      <c r="L68" s="14" t="n"/>
      <c r="M68" s="14" t="n"/>
    </row>
    <row r="69" ht="22" customHeight="1">
      <c r="B69" s="18">
        <f>IF(C69="","CB-"&amp;TEXT(COUNTA($C$5:C69),"000"))</f>
        <v/>
      </c>
      <c r="C69" s="11" t="n"/>
      <c r="D69" s="11" t="n"/>
      <c r="E69" s="11" t="n"/>
      <c r="F69" s="11" t="n"/>
      <c r="G69" s="12" t="n"/>
      <c r="H69" s="37" t="n"/>
      <c r="I69" s="33" t="n"/>
      <c r="J69" s="12" t="n"/>
      <c r="K69" s="31" t="n"/>
      <c r="L69" s="11" t="n"/>
      <c r="M69" s="11" t="n"/>
    </row>
    <row r="70" ht="22" customHeight="1">
      <c r="B70" s="17">
        <f>IF(C70="","CB-"&amp;TEXT(COUNTA($C$5:C70),"000"))</f>
        <v/>
      </c>
      <c r="C70" s="14" t="n"/>
      <c r="D70" s="14" t="n"/>
      <c r="E70" s="14" t="n"/>
      <c r="F70" s="14" t="n"/>
      <c r="G70" s="15" t="n"/>
      <c r="H70" s="39" t="n"/>
      <c r="I70" s="35" t="n"/>
      <c r="J70" s="15" t="n"/>
      <c r="K70" s="32" t="n"/>
      <c r="L70" s="14" t="n"/>
      <c r="M70" s="14" t="n"/>
    </row>
    <row r="71" ht="22" customHeight="1">
      <c r="B71" s="18">
        <f>IF(C71="","CB-"&amp;TEXT(COUNTA($C$5:C71),"000"))</f>
        <v/>
      </c>
      <c r="C71" s="11" t="n"/>
      <c r="D71" s="11" t="n"/>
      <c r="E71" s="11" t="n"/>
      <c r="F71" s="11" t="n"/>
      <c r="G71" s="12" t="n"/>
      <c r="H71" s="37" t="n"/>
      <c r="I71" s="33" t="n"/>
      <c r="J71" s="12" t="n"/>
      <c r="K71" s="31" t="n"/>
      <c r="L71" s="11" t="n"/>
      <c r="M71" s="11" t="n"/>
    </row>
    <row r="72" ht="22" customHeight="1">
      <c r="B72" s="17">
        <f>IF(C72="","CB-"&amp;TEXT(COUNTA($C$5:C72),"000"))</f>
        <v/>
      </c>
      <c r="C72" s="14" t="n"/>
      <c r="D72" s="14" t="n"/>
      <c r="E72" s="14" t="n"/>
      <c r="F72" s="14" t="n"/>
      <c r="G72" s="15" t="n"/>
      <c r="H72" s="39" t="n"/>
      <c r="I72" s="35" t="n"/>
      <c r="J72" s="15" t="n"/>
      <c r="K72" s="32" t="n"/>
      <c r="L72" s="14" t="n"/>
      <c r="M72" s="14" t="n"/>
    </row>
    <row r="73" ht="22" customHeight="1">
      <c r="B73" s="18">
        <f>IF(C73="","CB-"&amp;TEXT(COUNTA($C$5:C73),"000"))</f>
        <v/>
      </c>
      <c r="C73" s="11" t="n"/>
      <c r="D73" s="11" t="n"/>
      <c r="E73" s="11" t="n"/>
      <c r="F73" s="11" t="n"/>
      <c r="G73" s="12" t="n"/>
      <c r="H73" s="37" t="n"/>
      <c r="I73" s="33" t="n"/>
      <c r="J73" s="12" t="n"/>
      <c r="K73" s="31" t="n"/>
      <c r="L73" s="11" t="n"/>
      <c r="M73" s="11" t="n"/>
    </row>
    <row r="74" ht="22" customHeight="1">
      <c r="B74" s="17">
        <f>IF(C74="","CB-"&amp;TEXT(COUNTA($C$5:C74),"000"))</f>
        <v/>
      </c>
      <c r="C74" s="14" t="n"/>
      <c r="D74" s="14" t="n"/>
      <c r="E74" s="14" t="n"/>
      <c r="F74" s="14" t="n"/>
      <c r="G74" s="15" t="n"/>
      <c r="H74" s="39" t="n"/>
      <c r="I74" s="35" t="n"/>
      <c r="J74" s="15" t="n"/>
      <c r="K74" s="32" t="n"/>
      <c r="L74" s="14" t="n"/>
      <c r="M74" s="14" t="n"/>
    </row>
    <row r="75" ht="22" customHeight="1">
      <c r="B75" s="18">
        <f>IF(C75="","CB-"&amp;TEXT(COUNTA($C$5:C75),"000"))</f>
        <v/>
      </c>
      <c r="C75" s="11" t="n"/>
      <c r="D75" s="11" t="n"/>
      <c r="E75" s="11" t="n"/>
      <c r="F75" s="11" t="n"/>
      <c r="G75" s="12" t="n"/>
      <c r="H75" s="37" t="n"/>
      <c r="I75" s="33" t="n"/>
      <c r="J75" s="12" t="n"/>
      <c r="K75" s="31" t="n"/>
      <c r="L75" s="11" t="n"/>
      <c r="M75" s="11" t="n"/>
    </row>
    <row r="76" ht="22" customHeight="1">
      <c r="B76" s="17">
        <f>IF(C76="","CB-"&amp;TEXT(COUNTA($C$5:C76),"000"))</f>
        <v/>
      </c>
      <c r="C76" s="14" t="n"/>
      <c r="D76" s="14" t="n"/>
      <c r="E76" s="14" t="n"/>
      <c r="F76" s="14" t="n"/>
      <c r="G76" s="15" t="n"/>
      <c r="H76" s="39" t="n"/>
      <c r="I76" s="35" t="n"/>
      <c r="J76" s="15" t="n"/>
      <c r="K76" s="32" t="n"/>
      <c r="L76" s="14" t="n"/>
      <c r="M76" s="14" t="n"/>
    </row>
    <row r="77" ht="22" customHeight="1">
      <c r="B77" s="18">
        <f>IF(C77="","CB-"&amp;TEXT(COUNTA($C$5:C77),"000"))</f>
        <v/>
      </c>
      <c r="C77" s="11" t="n"/>
      <c r="D77" s="11" t="n"/>
      <c r="E77" s="11" t="n"/>
      <c r="F77" s="11" t="n"/>
      <c r="G77" s="12" t="n"/>
      <c r="H77" s="37" t="n"/>
      <c r="I77" s="33" t="n"/>
      <c r="J77" s="12" t="n"/>
      <c r="K77" s="31" t="n"/>
      <c r="L77" s="11" t="n"/>
      <c r="M77" s="11" t="n"/>
    </row>
    <row r="78" ht="22" customHeight="1">
      <c r="B78" s="17">
        <f>IF(C78="","CB-"&amp;TEXT(COUNTA($C$5:C78),"000"))</f>
        <v/>
      </c>
      <c r="C78" s="14" t="n"/>
      <c r="D78" s="14" t="n"/>
      <c r="E78" s="14" t="n"/>
      <c r="F78" s="14" t="n"/>
      <c r="G78" s="15" t="n"/>
      <c r="H78" s="39" t="n"/>
      <c r="I78" s="35" t="n"/>
      <c r="J78" s="15" t="n"/>
      <c r="K78" s="32" t="n"/>
      <c r="L78" s="14" t="n"/>
      <c r="M78" s="14" t="n"/>
    </row>
    <row r="79" ht="22" customHeight="1">
      <c r="B79" s="18">
        <f>IF(C79="","CB-"&amp;TEXT(COUNTA($C$5:C79),"000"))</f>
        <v/>
      </c>
      <c r="C79" s="11" t="n"/>
      <c r="D79" s="11" t="n"/>
      <c r="E79" s="11" t="n"/>
      <c r="F79" s="11" t="n"/>
      <c r="G79" s="12" t="n"/>
      <c r="H79" s="37" t="n"/>
      <c r="I79" s="33" t="n"/>
      <c r="J79" s="12" t="n"/>
      <c r="K79" s="31" t="n"/>
      <c r="L79" s="11" t="n"/>
      <c r="M79" s="11" t="n"/>
    </row>
    <row r="80" ht="22" customHeight="1">
      <c r="B80" s="17">
        <f>IF(C80="","CB-"&amp;TEXT(COUNTA($C$5:C80),"000"))</f>
        <v/>
      </c>
      <c r="C80" s="14" t="n"/>
      <c r="D80" s="14" t="n"/>
      <c r="E80" s="14" t="n"/>
      <c r="F80" s="14" t="n"/>
      <c r="G80" s="15" t="n"/>
      <c r="H80" s="39" t="n"/>
      <c r="I80" s="35" t="n"/>
      <c r="J80" s="15" t="n"/>
      <c r="K80" s="32" t="n"/>
      <c r="L80" s="14" t="n"/>
      <c r="M80" s="14" t="n"/>
    </row>
    <row r="81" ht="22" customHeight="1">
      <c r="B81" s="18">
        <f>IF(C81="","CB-"&amp;TEXT(COUNTA($C$5:C81),"000"))</f>
        <v/>
      </c>
      <c r="C81" s="11" t="n"/>
      <c r="D81" s="11" t="n"/>
      <c r="E81" s="11" t="n"/>
      <c r="F81" s="11" t="n"/>
      <c r="G81" s="12" t="n"/>
      <c r="H81" s="37" t="n"/>
      <c r="I81" s="33" t="n"/>
      <c r="J81" s="12" t="n"/>
      <c r="K81" s="31" t="n"/>
      <c r="L81" s="11" t="n"/>
      <c r="M81" s="11" t="n"/>
    </row>
    <row r="82" ht="22" customHeight="1">
      <c r="B82" s="17">
        <f>IF(C82="","CB-"&amp;TEXT(COUNTA($C$5:C82),"000"))</f>
        <v/>
      </c>
      <c r="C82" s="14" t="n"/>
      <c r="D82" s="14" t="n"/>
      <c r="E82" s="14" t="n"/>
      <c r="F82" s="14" t="n"/>
      <c r="G82" s="15" t="n"/>
      <c r="H82" s="39" t="n"/>
      <c r="I82" s="35" t="n"/>
      <c r="J82" s="15" t="n"/>
      <c r="K82" s="32" t="n"/>
      <c r="L82" s="14" t="n"/>
      <c r="M82" s="14" t="n"/>
    </row>
    <row r="83" ht="22" customHeight="1">
      <c r="B83" s="18">
        <f>IF(C83="","CB-"&amp;TEXT(COUNTA($C$5:C83),"000"))</f>
        <v/>
      </c>
      <c r="C83" s="11" t="n"/>
      <c r="D83" s="11" t="n"/>
      <c r="E83" s="11" t="n"/>
      <c r="F83" s="11" t="n"/>
      <c r="G83" s="12" t="n"/>
      <c r="H83" s="37" t="n"/>
      <c r="I83" s="33" t="n"/>
      <c r="J83" s="12" t="n"/>
      <c r="K83" s="31" t="n"/>
      <c r="L83" s="11" t="n"/>
      <c r="M83" s="11" t="n"/>
    </row>
    <row r="84" ht="22" customHeight="1">
      <c r="B84" s="17">
        <f>IF(C84="","CB-"&amp;TEXT(COUNTA($C$5:C84),"000"))</f>
        <v/>
      </c>
      <c r="C84" s="14" t="n"/>
      <c r="D84" s="14" t="n"/>
      <c r="E84" s="14" t="n"/>
      <c r="F84" s="14" t="n"/>
      <c r="G84" s="15" t="n"/>
      <c r="H84" s="39" t="n"/>
      <c r="I84" s="35" t="n"/>
      <c r="J84" s="15" t="n"/>
      <c r="K84" s="32" t="n"/>
      <c r="L84" s="14" t="n"/>
      <c r="M84" s="14" t="n"/>
    </row>
    <row r="85" ht="22" customHeight="1">
      <c r="B85" s="18">
        <f>IF(C85="","CB-"&amp;TEXT(COUNTA($C$5:C85),"000"))</f>
        <v/>
      </c>
      <c r="C85" s="11" t="n"/>
      <c r="D85" s="11" t="n"/>
      <c r="E85" s="11" t="n"/>
      <c r="F85" s="11" t="n"/>
      <c r="G85" s="12" t="n"/>
      <c r="H85" s="37" t="n"/>
      <c r="I85" s="33" t="n"/>
      <c r="J85" s="12" t="n"/>
      <c r="K85" s="31" t="n"/>
      <c r="L85" s="11" t="n"/>
      <c r="M85" s="11" t="n"/>
    </row>
    <row r="86" ht="22" customHeight="1">
      <c r="B86" s="17">
        <f>IF(C86="","CB-"&amp;TEXT(COUNTA($C$5:C86),"000"))</f>
        <v/>
      </c>
      <c r="C86" s="14" t="n"/>
      <c r="D86" s="14" t="n"/>
      <c r="E86" s="14" t="n"/>
      <c r="F86" s="14" t="n"/>
      <c r="G86" s="15" t="n"/>
      <c r="H86" s="39" t="n"/>
      <c r="I86" s="35" t="n"/>
      <c r="J86" s="15" t="n"/>
      <c r="K86" s="32" t="n"/>
      <c r="L86" s="14" t="n"/>
      <c r="M86" s="14" t="n"/>
    </row>
    <row r="87" ht="22" customHeight="1">
      <c r="B87" s="18">
        <f>IF(C87="","CB-"&amp;TEXT(COUNTA($C$5:C87),"000"))</f>
        <v/>
      </c>
      <c r="C87" s="11" t="n"/>
      <c r="D87" s="11" t="n"/>
      <c r="E87" s="11" t="n"/>
      <c r="F87" s="11" t="n"/>
      <c r="G87" s="12" t="n"/>
      <c r="H87" s="37" t="n"/>
      <c r="I87" s="33" t="n"/>
      <c r="J87" s="12" t="n"/>
      <c r="K87" s="31" t="n"/>
      <c r="L87" s="11" t="n"/>
      <c r="M87" s="11" t="n"/>
    </row>
    <row r="88" ht="22" customHeight="1">
      <c r="B88" s="17">
        <f>IF(C88="","CB-"&amp;TEXT(COUNTA($C$5:C88),"000"))</f>
        <v/>
      </c>
      <c r="C88" s="14" t="n"/>
      <c r="D88" s="14" t="n"/>
      <c r="E88" s="14" t="n"/>
      <c r="F88" s="14" t="n"/>
      <c r="G88" s="15" t="n"/>
      <c r="H88" s="39" t="n"/>
      <c r="I88" s="35" t="n"/>
      <c r="J88" s="15" t="n"/>
      <c r="K88" s="32" t="n"/>
      <c r="L88" s="14" t="n"/>
      <c r="M88" s="14" t="n"/>
    </row>
    <row r="89" ht="22" customHeight="1">
      <c r="B89" s="18">
        <f>IF(C89="","CB-"&amp;TEXT(COUNTA($C$5:C89),"000"))</f>
        <v/>
      </c>
      <c r="C89" s="11" t="n"/>
      <c r="D89" s="11" t="n"/>
      <c r="E89" s="11" t="n"/>
      <c r="F89" s="11" t="n"/>
      <c r="G89" s="12" t="n"/>
      <c r="H89" s="37" t="n"/>
      <c r="I89" s="33" t="n"/>
      <c r="J89" s="12" t="n"/>
      <c r="K89" s="31" t="n"/>
      <c r="L89" s="11" t="n"/>
      <c r="M89" s="11" t="n"/>
    </row>
    <row r="90" ht="22" customHeight="1">
      <c r="B90" s="17">
        <f>IF(C90="","CB-"&amp;TEXT(COUNTA($C$5:C90),"000"))</f>
        <v/>
      </c>
      <c r="C90" s="14" t="n"/>
      <c r="D90" s="14" t="n"/>
      <c r="E90" s="14" t="n"/>
      <c r="F90" s="14" t="n"/>
      <c r="G90" s="15" t="n"/>
      <c r="H90" s="39" t="n"/>
      <c r="I90" s="35" t="n"/>
      <c r="J90" s="15" t="n"/>
      <c r="K90" s="32" t="n"/>
      <c r="L90" s="14" t="n"/>
      <c r="M90" s="14" t="n"/>
    </row>
    <row r="91" ht="22" customHeight="1">
      <c r="B91" s="18">
        <f>IF(C91="","CB-"&amp;TEXT(COUNTA($C$5:C91),"000"))</f>
        <v/>
      </c>
      <c r="C91" s="11" t="n"/>
      <c r="D91" s="11" t="n"/>
      <c r="E91" s="11" t="n"/>
      <c r="F91" s="11" t="n"/>
      <c r="G91" s="12" t="n"/>
      <c r="H91" s="37" t="n"/>
      <c r="I91" s="33" t="n"/>
      <c r="J91" s="12" t="n"/>
      <c r="K91" s="31" t="n"/>
      <c r="L91" s="11" t="n"/>
      <c r="M91" s="11" t="n"/>
    </row>
    <row r="92" ht="22" customHeight="1">
      <c r="B92" s="17">
        <f>IF(C92="","CB-"&amp;TEXT(COUNTA($C$5:C92),"000"))</f>
        <v/>
      </c>
      <c r="C92" s="14" t="n"/>
      <c r="D92" s="14" t="n"/>
      <c r="E92" s="14" t="n"/>
      <c r="F92" s="14" t="n"/>
      <c r="G92" s="15" t="n"/>
      <c r="H92" s="39" t="n"/>
      <c r="I92" s="35" t="n"/>
      <c r="J92" s="15" t="n"/>
      <c r="K92" s="32" t="n"/>
      <c r="L92" s="14" t="n"/>
      <c r="M92" s="14" t="n"/>
    </row>
    <row r="93" ht="22" customHeight="1">
      <c r="B93" s="18">
        <f>IF(C93="","CB-"&amp;TEXT(COUNTA($C$5:C93),"000"))</f>
        <v/>
      </c>
      <c r="C93" s="11" t="n"/>
      <c r="D93" s="11" t="n"/>
      <c r="E93" s="11" t="n"/>
      <c r="F93" s="11" t="n"/>
      <c r="G93" s="12" t="n"/>
      <c r="H93" s="37" t="n"/>
      <c r="I93" s="33" t="n"/>
      <c r="J93" s="12" t="n"/>
      <c r="K93" s="31" t="n"/>
      <c r="L93" s="11" t="n"/>
      <c r="M93" s="11" t="n"/>
    </row>
    <row r="94" ht="22" customHeight="1">
      <c r="B94" s="17">
        <f>IF(C94="","CB-"&amp;TEXT(COUNTA($C$5:C94),"000"))</f>
        <v/>
      </c>
      <c r="C94" s="14" t="n"/>
      <c r="D94" s="14" t="n"/>
      <c r="E94" s="14" t="n"/>
      <c r="F94" s="14" t="n"/>
      <c r="G94" s="15" t="n"/>
      <c r="H94" s="39" t="n"/>
      <c r="I94" s="35" t="n"/>
      <c r="J94" s="15" t="n"/>
      <c r="K94" s="32" t="n"/>
      <c r="L94" s="14" t="n"/>
      <c r="M94" s="14" t="n"/>
    </row>
    <row r="95" ht="22" customHeight="1">
      <c r="B95" s="18">
        <f>IF(C95="","CB-"&amp;TEXT(COUNTA($C$5:C95),"000"))</f>
        <v/>
      </c>
      <c r="C95" s="11" t="n"/>
      <c r="D95" s="11" t="n"/>
      <c r="E95" s="11" t="n"/>
      <c r="F95" s="11" t="n"/>
      <c r="G95" s="12" t="n"/>
      <c r="H95" s="37" t="n"/>
      <c r="I95" s="33" t="n"/>
      <c r="J95" s="12" t="n"/>
      <c r="K95" s="31" t="n"/>
      <c r="L95" s="11" t="n"/>
      <c r="M95" s="11" t="n"/>
    </row>
    <row r="96" ht="22" customHeight="1">
      <c r="B96" s="17">
        <f>IF(C96="","CB-"&amp;TEXT(COUNTA($C$5:C96),"000"))</f>
        <v/>
      </c>
      <c r="C96" s="14" t="n"/>
      <c r="D96" s="14" t="n"/>
      <c r="E96" s="14" t="n"/>
      <c r="F96" s="14" t="n"/>
      <c r="G96" s="15" t="n"/>
      <c r="H96" s="39" t="n"/>
      <c r="I96" s="35" t="n"/>
      <c r="J96" s="15" t="n"/>
      <c r="K96" s="32" t="n"/>
      <c r="L96" s="14" t="n"/>
      <c r="M96" s="14" t="n"/>
    </row>
    <row r="97" ht="22" customHeight="1">
      <c r="B97" s="18">
        <f>IF(C97="","CB-"&amp;TEXT(COUNTA($C$5:C97),"000"))</f>
        <v/>
      </c>
      <c r="C97" s="11" t="n"/>
      <c r="D97" s="11" t="n"/>
      <c r="E97" s="11" t="n"/>
      <c r="F97" s="11" t="n"/>
      <c r="G97" s="12" t="n"/>
      <c r="H97" s="37" t="n"/>
      <c r="I97" s="33" t="n"/>
      <c r="J97" s="12" t="n"/>
      <c r="K97" s="31" t="n"/>
      <c r="L97" s="11" t="n"/>
      <c r="M97" s="11" t="n"/>
    </row>
    <row r="98" ht="22" customHeight="1">
      <c r="B98" s="17">
        <f>IF(C98="","CB-"&amp;TEXT(COUNTA($C$5:C98),"000"))</f>
        <v/>
      </c>
      <c r="C98" s="14" t="n"/>
      <c r="D98" s="14" t="n"/>
      <c r="E98" s="14" t="n"/>
      <c r="F98" s="14" t="n"/>
      <c r="G98" s="15" t="n"/>
      <c r="H98" s="39" t="n"/>
      <c r="I98" s="35" t="n"/>
      <c r="J98" s="15" t="n"/>
      <c r="K98" s="32" t="n"/>
      <c r="L98" s="14" t="n"/>
      <c r="M98" s="14" t="n"/>
    </row>
    <row r="99" ht="22" customHeight="1">
      <c r="B99" s="18">
        <f>IF(C99="","CB-"&amp;TEXT(COUNTA($C$5:C99),"000"))</f>
        <v/>
      </c>
      <c r="C99" s="11" t="n"/>
      <c r="D99" s="11" t="n"/>
      <c r="E99" s="11" t="n"/>
      <c r="F99" s="11" t="n"/>
      <c r="G99" s="12" t="n"/>
      <c r="H99" s="37" t="n"/>
      <c r="I99" s="33" t="n"/>
      <c r="J99" s="12" t="n"/>
      <c r="K99" s="31" t="n"/>
      <c r="L99" s="11" t="n"/>
      <c r="M99" s="11" t="n"/>
    </row>
    <row r="100" ht="22" customHeight="1">
      <c r="B100" s="17">
        <f>IF(C100="","CB-"&amp;TEXT(COUNTA($C$5:C100),"000"))</f>
        <v/>
      </c>
      <c r="C100" s="14" t="n"/>
      <c r="D100" s="14" t="n"/>
      <c r="E100" s="14" t="n"/>
      <c r="F100" s="14" t="n"/>
      <c r="G100" s="15" t="n"/>
      <c r="H100" s="39" t="n"/>
      <c r="I100" s="35" t="n"/>
      <c r="J100" s="15" t="n"/>
      <c r="K100" s="32" t="n"/>
      <c r="L100" s="14" t="n"/>
      <c r="M100" s="14" t="n"/>
    </row>
    <row r="101" ht="22" customHeight="1">
      <c r="B101" s="18">
        <f>IF(C101="","CB-"&amp;TEXT(COUNTA($C$5:C101),"000"))</f>
        <v/>
      </c>
      <c r="C101" s="11" t="n"/>
      <c r="D101" s="11" t="n"/>
      <c r="E101" s="11" t="n"/>
      <c r="F101" s="11" t="n"/>
      <c r="G101" s="12" t="n"/>
      <c r="H101" s="37" t="n"/>
      <c r="I101" s="33" t="n"/>
      <c r="J101" s="12" t="n"/>
      <c r="K101" s="31" t="n"/>
      <c r="L101" s="11" t="n"/>
      <c r="M101" s="11" t="n"/>
    </row>
    <row r="102" ht="22" customHeight="1">
      <c r="B102" s="17">
        <f>IF(C102="","CB-"&amp;TEXT(COUNTA($C$5:C102),"000"))</f>
        <v/>
      </c>
      <c r="C102" s="14" t="n"/>
      <c r="D102" s="14" t="n"/>
      <c r="E102" s="14" t="n"/>
      <c r="F102" s="14" t="n"/>
      <c r="G102" s="15" t="n"/>
      <c r="H102" s="39" t="n"/>
      <c r="I102" s="35" t="n"/>
      <c r="J102" s="15" t="n"/>
      <c r="K102" s="32" t="n"/>
      <c r="L102" s="14" t="n"/>
      <c r="M102" s="14" t="n"/>
    </row>
    <row r="103" ht="22" customHeight="1">
      <c r="B103" s="18">
        <f>IF(C103="","CB-"&amp;TEXT(COUNTA($C$5:C103),"000"))</f>
        <v/>
      </c>
      <c r="C103" s="11" t="n"/>
      <c r="D103" s="11" t="n"/>
      <c r="E103" s="11" t="n"/>
      <c r="F103" s="11" t="n"/>
      <c r="G103" s="12" t="n"/>
      <c r="H103" s="37" t="n"/>
      <c r="I103" s="33" t="n"/>
      <c r="J103" s="12" t="n"/>
      <c r="K103" s="31" t="n"/>
      <c r="L103" s="11" t="n"/>
      <c r="M103" s="11" t="n"/>
    </row>
    <row r="104" ht="22" customHeight="1">
      <c r="B104" s="17">
        <f>IF(C104="","CB-"&amp;TEXT(COUNTA($C$5:C104),"000"))</f>
        <v/>
      </c>
      <c r="C104" s="14" t="n"/>
      <c r="D104" s="14" t="n"/>
      <c r="E104" s="14" t="n"/>
      <c r="F104" s="14" t="n"/>
      <c r="G104" s="15" t="n"/>
      <c r="H104" s="39" t="n"/>
      <c r="I104" s="35" t="n"/>
      <c r="J104" s="15" t="n"/>
      <c r="K104" s="32" t="n"/>
      <c r="L104" s="14" t="n"/>
      <c r="M104" s="14" t="n"/>
    </row>
    <row r="105" ht="22" customHeight="1">
      <c r="B105" s="18">
        <f>IF(C105="","CB-"&amp;TEXT(COUNTA($C$5:C105),"000"))</f>
        <v/>
      </c>
      <c r="C105" s="11" t="n"/>
      <c r="D105" s="11" t="n"/>
      <c r="E105" s="11" t="n"/>
      <c r="F105" s="11" t="n"/>
      <c r="G105" s="12" t="n"/>
      <c r="H105" s="37" t="n"/>
      <c r="I105" s="33" t="n"/>
      <c r="J105" s="12" t="n"/>
      <c r="K105" s="31" t="n"/>
      <c r="L105" s="11" t="n"/>
      <c r="M105" s="11" t="n"/>
    </row>
    <row r="106" ht="22" customHeight="1">
      <c r="B106" s="17">
        <f>IF(C106="","CB-"&amp;TEXT(COUNTA($C$5:C106),"000"))</f>
        <v/>
      </c>
      <c r="C106" s="14" t="n"/>
      <c r="D106" s="14" t="n"/>
      <c r="E106" s="14" t="n"/>
      <c r="F106" s="14" t="n"/>
      <c r="G106" s="15" t="n"/>
      <c r="H106" s="39" t="n"/>
      <c r="I106" s="35" t="n"/>
      <c r="J106" s="15" t="n"/>
      <c r="K106" s="32" t="n"/>
      <c r="L106" s="14" t="n"/>
      <c r="M106" s="14" t="n"/>
    </row>
    <row r="107" ht="22" customHeight="1">
      <c r="B107" s="18">
        <f>IF(C107="","CB-"&amp;TEXT(COUNTA($C$5:C107),"000"))</f>
        <v/>
      </c>
      <c r="C107" s="11" t="n"/>
      <c r="D107" s="11" t="n"/>
      <c r="E107" s="11" t="n"/>
      <c r="F107" s="11" t="n"/>
      <c r="G107" s="12" t="n"/>
      <c r="H107" s="37" t="n"/>
      <c r="I107" s="33" t="n"/>
      <c r="J107" s="12" t="n"/>
      <c r="K107" s="31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Chatbots / Assistants</t>
        </is>
      </c>
      <c r="D110" s="3" t="inlineStr">
        <is>
          <t>Questions/mois total</t>
        </is>
      </c>
      <c r="F110" s="3" t="inlineStr">
        <is>
          <t>Taux reso. moyen (%)</t>
        </is>
      </c>
    </row>
    <row r="111">
      <c r="B111" s="4">
        <f>COUNTIF(B5:B104,"&lt;&gt;")</f>
        <v/>
      </c>
      <c r="D111" s="4">
        <f>SUM(G5:G104)</f>
        <v/>
      </c>
      <c r="F111" s="4">
        <f>IFERROR(AVERAGE(H5:H104),0)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C5:C107" showDropDown="0" showInputMessage="0" showErrorMessage="0" allowBlank="1" errorTitle="Erreur" error="Valeur invalide" promptTitle="Liste" prompt="Choisir dans la liste" type="list">
      <formula1>'_Lists'!$G$2:$G$9</formula1>
    </dataValidation>
    <dataValidation sqref="L5:L107" showDropDown="0" showInputMessage="0" showErrorMessage="0" allowBlank="1" errorTitle="Erreur" error="Valeur invalide" promptTitle="Liste" prompt="Choisir dans la liste" type="list">
      <formula1>'_Lists'!$K$2:$K$8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4" customWidth="1" min="4" max="4"/>
    <col width="18" customWidth="1" min="5" max="5"/>
    <col width="40" customWidth="1" min="6" max="6"/>
    <col width="16" customWidth="1" min="7" max="7"/>
    <col width="20" customWidth="1" min="8" max="8"/>
    <col width="22" customWidth="1" min="9" max="9"/>
    <col width="24" customWidth="1" min="10" max="10"/>
    <col width="22" customWidth="1" min="11" max="11"/>
    <col width="28" customWidth="1" min="12" max="12"/>
    <col width="36" customWidth="1" min="13" max="13"/>
  </cols>
  <sheetData>
    <row r="1" ht="15" customHeight="1"/>
    <row r="2" ht="32" customHeight="1">
      <c r="B2" s="1" t="inlineStr">
        <is>
          <t>CYBERSECURITE DONNEES RH (#165)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Categorie Donnee RH</t>
        </is>
      </c>
      <c r="D4" s="10" t="inlineStr">
        <is>
          <t>Systeme / Application</t>
        </is>
      </c>
      <c r="E4" s="10" t="inlineStr">
        <is>
          <t>Niveau de Risque</t>
        </is>
      </c>
      <c r="F4" s="10" t="inlineStr">
        <is>
          <t>Mesures de Securite</t>
        </is>
      </c>
      <c r="G4" s="10" t="inlineStr">
        <is>
          <t>Dernier Audit</t>
        </is>
      </c>
      <c r="H4" s="10" t="inlineStr">
        <is>
          <t>Date Prochain Audit</t>
        </is>
      </c>
      <c r="I4" s="10" t="inlineStr">
        <is>
          <t>Nb Incidents (12 mois)</t>
        </is>
      </c>
      <c r="J4" s="10" t="inlineStr">
        <is>
          <t>Conformite RGPD/Others</t>
        </is>
      </c>
      <c r="K4" s="10" t="inlineStr">
        <is>
          <t>Responsable Securite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CS-001</t>
        </is>
      </c>
      <c r="C5" s="11" t="inlineStr">
        <is>
          <t>Donnees personnelles</t>
        </is>
      </c>
      <c r="D5" s="11" t="inlineStr">
        <is>
          <t>SIRH HotelPro</t>
        </is>
      </c>
      <c r="E5" s="11" t="inlineStr">
        <is>
          <t>Critique</t>
        </is>
      </c>
      <c r="F5" s="11" t="inlineStr">
        <is>
          <t>Chiffrement AES-256, MFA, logs acces</t>
        </is>
      </c>
      <c r="G5" s="31" t="n">
        <v>45672</v>
      </c>
      <c r="H5" s="31" t="n">
        <v>45853</v>
      </c>
      <c r="I5" s="12" t="n">
        <v>0</v>
      </c>
      <c r="J5" s="11" t="inlineStr">
        <is>
          <t>Conforme</t>
        </is>
      </c>
      <c r="K5" s="11" t="inlineStr">
        <is>
          <t>Chef de service IT</t>
        </is>
      </c>
      <c r="L5" s="11" t="inlineStr">
        <is>
          <t>En production</t>
        </is>
      </c>
      <c r="M5" s="11" t="inlineStr">
        <is>
          <t>Audit externe Q1 OK</t>
        </is>
      </c>
    </row>
    <row r="6" ht="22" customHeight="1">
      <c r="B6" s="14" t="inlineStr">
        <is>
          <t>CS-002</t>
        </is>
      </c>
      <c r="C6" s="14" t="inlineStr">
        <is>
          <t>Salaire &amp; paie</t>
        </is>
      </c>
      <c r="D6" s="14" t="inlineStr">
        <is>
          <t>Lucca Paie</t>
        </is>
      </c>
      <c r="E6" s="14" t="inlineStr">
        <is>
          <t>Critique</t>
        </is>
      </c>
      <c r="F6" s="14" t="inlineStr">
        <is>
          <t>Chiffrement, acces restreint DRH+DAF, backup quot.</t>
        </is>
      </c>
      <c r="G6" s="32" t="n">
        <v>45597</v>
      </c>
      <c r="H6" s="32" t="n">
        <v>45778</v>
      </c>
      <c r="I6" s="15" t="n">
        <v>0</v>
      </c>
      <c r="J6" s="14" t="inlineStr">
        <is>
          <t>Conforme</t>
        </is>
      </c>
      <c r="K6" s="14" t="inlineStr">
        <is>
          <t>DAF</t>
        </is>
      </c>
      <c r="L6" s="14" t="inlineStr">
        <is>
          <t>En production</t>
        </is>
      </c>
      <c r="M6" s="14" t="inlineStr">
        <is>
          <t>Sauvegarde CLOUD quotidienne</t>
        </is>
      </c>
    </row>
    <row r="7" ht="22" customHeight="1">
      <c r="B7" s="11" t="inlineStr">
        <is>
          <t>CS-003</t>
        </is>
      </c>
      <c r="C7" s="11" t="inlineStr">
        <is>
          <t>Sante &amp; medical</t>
        </is>
      </c>
      <c r="D7" s="11" t="inlineStr">
        <is>
          <t>Dossier medical papier</t>
        </is>
      </c>
      <c r="E7" s="11" t="inlineStr">
        <is>
          <t>Eleve</t>
        </is>
      </c>
      <c r="F7" s="11" t="inlineStr">
        <is>
          <t>Armoire fermee, acces DRH unique</t>
        </is>
      </c>
      <c r="G7" s="31" t="n">
        <v>45444</v>
      </c>
      <c r="H7" s="31" t="n">
        <v>45809</v>
      </c>
      <c r="I7" s="12" t="n">
        <v>1</v>
      </c>
      <c r="J7" s="11" t="inlineStr">
        <is>
          <t>Non conforme</t>
        </is>
      </c>
      <c r="K7" s="11" t="inlineStr">
        <is>
          <t>DRH</t>
        </is>
      </c>
      <c r="L7" s="11" t="inlineStr">
        <is>
          <t>En mise en conformite</t>
        </is>
      </c>
      <c r="M7" s="11" t="inlineStr">
        <is>
          <t>Migration vers numerique prevue</t>
        </is>
      </c>
    </row>
    <row r="8" ht="22" customHeight="1">
      <c r="B8" s="17">
        <f>IF(C8="","CS-"&amp;TEXT(COUNTA($C$5:C8),"000"))</f>
        <v/>
      </c>
      <c r="C8" s="14" t="n"/>
      <c r="D8" s="14" t="n"/>
      <c r="E8" s="14" t="n"/>
      <c r="F8" s="14" t="n"/>
      <c r="G8" s="32" t="n"/>
      <c r="H8" s="32" t="n"/>
      <c r="I8" s="15" t="n"/>
      <c r="J8" s="14" t="n"/>
      <c r="K8" s="14" t="n"/>
      <c r="L8" s="14" t="n"/>
      <c r="M8" s="14" t="n"/>
    </row>
    <row r="9" ht="22" customHeight="1">
      <c r="B9" s="18">
        <f>IF(C9="","CS-"&amp;TEXT(COUNTA($C$5:C9),"000"))</f>
        <v/>
      </c>
      <c r="C9" s="11" t="n"/>
      <c r="D9" s="11" t="n"/>
      <c r="E9" s="11" t="n"/>
      <c r="F9" s="11" t="n"/>
      <c r="G9" s="31" t="n"/>
      <c r="H9" s="31" t="n"/>
      <c r="I9" s="12" t="n"/>
      <c r="J9" s="11" t="n"/>
      <c r="K9" s="11" t="n"/>
      <c r="L9" s="11" t="n"/>
      <c r="M9" s="11" t="n"/>
    </row>
    <row r="10" ht="22" customHeight="1">
      <c r="B10" s="17">
        <f>IF(C10="","CS-"&amp;TEXT(COUNTA($C$5:C10),"000"))</f>
        <v/>
      </c>
      <c r="C10" s="14" t="n"/>
      <c r="D10" s="14" t="n"/>
      <c r="E10" s="14" t="n"/>
      <c r="F10" s="14" t="n"/>
      <c r="G10" s="32" t="n"/>
      <c r="H10" s="32" t="n"/>
      <c r="I10" s="15" t="n"/>
      <c r="J10" s="14" t="n"/>
      <c r="K10" s="14" t="n"/>
      <c r="L10" s="14" t="n"/>
      <c r="M10" s="14" t="n"/>
    </row>
    <row r="11" ht="22" customHeight="1">
      <c r="B11" s="18">
        <f>IF(C11="","CS-"&amp;TEXT(COUNTA($C$5:C11),"000"))</f>
        <v/>
      </c>
      <c r="C11" s="11" t="n"/>
      <c r="D11" s="11" t="n"/>
      <c r="E11" s="11" t="n"/>
      <c r="F11" s="11" t="n"/>
      <c r="G11" s="31" t="n"/>
      <c r="H11" s="31" t="n"/>
      <c r="I11" s="12" t="n"/>
      <c r="J11" s="11" t="n"/>
      <c r="K11" s="11" t="n"/>
      <c r="L11" s="11" t="n"/>
      <c r="M11" s="11" t="n"/>
    </row>
    <row r="12" ht="22" customHeight="1">
      <c r="B12" s="17">
        <f>IF(C12="","CS-"&amp;TEXT(COUNTA($C$5:C12),"000"))</f>
        <v/>
      </c>
      <c r="C12" s="14" t="n"/>
      <c r="D12" s="14" t="n"/>
      <c r="E12" s="14" t="n"/>
      <c r="F12" s="14" t="n"/>
      <c r="G12" s="32" t="n"/>
      <c r="H12" s="32" t="n"/>
      <c r="I12" s="15" t="n"/>
      <c r="J12" s="14" t="n"/>
      <c r="K12" s="14" t="n"/>
      <c r="L12" s="14" t="n"/>
      <c r="M12" s="14" t="n"/>
    </row>
    <row r="13" ht="22" customHeight="1">
      <c r="B13" s="18">
        <f>IF(C13="","CS-"&amp;TEXT(COUNTA($C$5:C13),"000"))</f>
        <v/>
      </c>
      <c r="C13" s="11" t="n"/>
      <c r="D13" s="11" t="n"/>
      <c r="E13" s="11" t="n"/>
      <c r="F13" s="11" t="n"/>
      <c r="G13" s="31" t="n"/>
      <c r="H13" s="31" t="n"/>
      <c r="I13" s="12" t="n"/>
      <c r="J13" s="11" t="n"/>
      <c r="K13" s="11" t="n"/>
      <c r="L13" s="11" t="n"/>
      <c r="M13" s="11" t="n"/>
    </row>
    <row r="14" ht="22" customHeight="1">
      <c r="B14" s="17">
        <f>IF(C14="","CS-"&amp;TEXT(COUNTA($C$5:C14),"000"))</f>
        <v/>
      </c>
      <c r="C14" s="14" t="n"/>
      <c r="D14" s="14" t="n"/>
      <c r="E14" s="14" t="n"/>
      <c r="F14" s="14" t="n"/>
      <c r="G14" s="32" t="n"/>
      <c r="H14" s="32" t="n"/>
      <c r="I14" s="15" t="n"/>
      <c r="J14" s="14" t="n"/>
      <c r="K14" s="14" t="n"/>
      <c r="L14" s="14" t="n"/>
      <c r="M14" s="14" t="n"/>
    </row>
    <row r="15" ht="22" customHeight="1">
      <c r="B15" s="18">
        <f>IF(C15="","CS-"&amp;TEXT(COUNTA($C$5:C15),"000"))</f>
        <v/>
      </c>
      <c r="C15" s="11" t="n"/>
      <c r="D15" s="11" t="n"/>
      <c r="E15" s="11" t="n"/>
      <c r="F15" s="11" t="n"/>
      <c r="G15" s="31" t="n"/>
      <c r="H15" s="31" t="n"/>
      <c r="I15" s="12" t="n"/>
      <c r="J15" s="11" t="n"/>
      <c r="K15" s="11" t="n"/>
      <c r="L15" s="11" t="n"/>
      <c r="M15" s="11" t="n"/>
    </row>
    <row r="16" ht="22" customHeight="1">
      <c r="B16" s="17">
        <f>IF(C16="","CS-"&amp;TEXT(COUNTA($C$5:C16),"000"))</f>
        <v/>
      </c>
      <c r="C16" s="14" t="n"/>
      <c r="D16" s="14" t="n"/>
      <c r="E16" s="14" t="n"/>
      <c r="F16" s="14" t="n"/>
      <c r="G16" s="32" t="n"/>
      <c r="H16" s="32" t="n"/>
      <c r="I16" s="15" t="n"/>
      <c r="J16" s="14" t="n"/>
      <c r="K16" s="14" t="n"/>
      <c r="L16" s="14" t="n"/>
      <c r="M16" s="14" t="n"/>
    </row>
    <row r="17" ht="22" customHeight="1">
      <c r="B17" s="18">
        <f>IF(C17="","CS-"&amp;TEXT(COUNTA($C$5:C17),"000"))</f>
        <v/>
      </c>
      <c r="C17" s="11" t="n"/>
      <c r="D17" s="11" t="n"/>
      <c r="E17" s="11" t="n"/>
      <c r="F17" s="11" t="n"/>
      <c r="G17" s="31" t="n"/>
      <c r="H17" s="31" t="n"/>
      <c r="I17" s="12" t="n"/>
      <c r="J17" s="11" t="n"/>
      <c r="K17" s="11" t="n"/>
      <c r="L17" s="11" t="n"/>
      <c r="M17" s="11" t="n"/>
    </row>
    <row r="18" ht="22" customHeight="1">
      <c r="B18" s="17">
        <f>IF(C18="","CS-"&amp;TEXT(COUNTA($C$5:C18),"000"))</f>
        <v/>
      </c>
      <c r="C18" s="14" t="n"/>
      <c r="D18" s="14" t="n"/>
      <c r="E18" s="14" t="n"/>
      <c r="F18" s="14" t="n"/>
      <c r="G18" s="32" t="n"/>
      <c r="H18" s="32" t="n"/>
      <c r="I18" s="15" t="n"/>
      <c r="J18" s="14" t="n"/>
      <c r="K18" s="14" t="n"/>
      <c r="L18" s="14" t="n"/>
      <c r="M18" s="14" t="n"/>
    </row>
    <row r="19" ht="22" customHeight="1">
      <c r="B19" s="18">
        <f>IF(C19="","CS-"&amp;TEXT(COUNTA($C$5:C19),"000"))</f>
        <v/>
      </c>
      <c r="C19" s="11" t="n"/>
      <c r="D19" s="11" t="n"/>
      <c r="E19" s="11" t="n"/>
      <c r="F19" s="11" t="n"/>
      <c r="G19" s="31" t="n"/>
      <c r="H19" s="31" t="n"/>
      <c r="I19" s="12" t="n"/>
      <c r="J19" s="11" t="n"/>
      <c r="K19" s="11" t="n"/>
      <c r="L19" s="11" t="n"/>
      <c r="M19" s="11" t="n"/>
    </row>
    <row r="20" ht="22" customHeight="1">
      <c r="B20" s="17">
        <f>IF(C20="","CS-"&amp;TEXT(COUNTA($C$5:C20),"000"))</f>
        <v/>
      </c>
      <c r="C20" s="14" t="n"/>
      <c r="D20" s="14" t="n"/>
      <c r="E20" s="14" t="n"/>
      <c r="F20" s="14" t="n"/>
      <c r="G20" s="32" t="n"/>
      <c r="H20" s="32" t="n"/>
      <c r="I20" s="15" t="n"/>
      <c r="J20" s="14" t="n"/>
      <c r="K20" s="14" t="n"/>
      <c r="L20" s="14" t="n"/>
      <c r="M20" s="14" t="n"/>
    </row>
    <row r="21" ht="22" customHeight="1">
      <c r="B21" s="18">
        <f>IF(C21="","CS-"&amp;TEXT(COUNTA($C$5:C21),"000"))</f>
        <v/>
      </c>
      <c r="C21" s="11" t="n"/>
      <c r="D21" s="11" t="n"/>
      <c r="E21" s="11" t="n"/>
      <c r="F21" s="11" t="n"/>
      <c r="G21" s="31" t="n"/>
      <c r="H21" s="31" t="n"/>
      <c r="I21" s="12" t="n"/>
      <c r="J21" s="11" t="n"/>
      <c r="K21" s="11" t="n"/>
      <c r="L21" s="11" t="n"/>
      <c r="M21" s="11" t="n"/>
    </row>
    <row r="22" ht="22" customHeight="1">
      <c r="B22" s="17">
        <f>IF(C22="","CS-"&amp;TEXT(COUNTA($C$5:C22),"000"))</f>
        <v/>
      </c>
      <c r="C22" s="14" t="n"/>
      <c r="D22" s="14" t="n"/>
      <c r="E22" s="14" t="n"/>
      <c r="F22" s="14" t="n"/>
      <c r="G22" s="32" t="n"/>
      <c r="H22" s="32" t="n"/>
      <c r="I22" s="15" t="n"/>
      <c r="J22" s="14" t="n"/>
      <c r="K22" s="14" t="n"/>
      <c r="L22" s="14" t="n"/>
      <c r="M22" s="14" t="n"/>
    </row>
    <row r="23" ht="22" customHeight="1">
      <c r="B23" s="18">
        <f>IF(C23="","CS-"&amp;TEXT(COUNTA($C$5:C23),"000"))</f>
        <v/>
      </c>
      <c r="C23" s="11" t="n"/>
      <c r="D23" s="11" t="n"/>
      <c r="E23" s="11" t="n"/>
      <c r="F23" s="11" t="n"/>
      <c r="G23" s="31" t="n"/>
      <c r="H23" s="31" t="n"/>
      <c r="I23" s="12" t="n"/>
      <c r="J23" s="11" t="n"/>
      <c r="K23" s="11" t="n"/>
      <c r="L23" s="11" t="n"/>
      <c r="M23" s="11" t="n"/>
    </row>
    <row r="24" ht="22" customHeight="1">
      <c r="B24" s="17">
        <f>IF(C24="","CS-"&amp;TEXT(COUNTA($C$5:C24),"000"))</f>
        <v/>
      </c>
      <c r="C24" s="14" t="n"/>
      <c r="D24" s="14" t="n"/>
      <c r="E24" s="14" t="n"/>
      <c r="F24" s="14" t="n"/>
      <c r="G24" s="32" t="n"/>
      <c r="H24" s="32" t="n"/>
      <c r="I24" s="15" t="n"/>
      <c r="J24" s="14" t="n"/>
      <c r="K24" s="14" t="n"/>
      <c r="L24" s="14" t="n"/>
      <c r="M24" s="14" t="n"/>
    </row>
    <row r="25" ht="22" customHeight="1">
      <c r="B25" s="18">
        <f>IF(C25="","CS-"&amp;TEXT(COUNTA($C$5:C25),"000"))</f>
        <v/>
      </c>
      <c r="C25" s="11" t="n"/>
      <c r="D25" s="11" t="n"/>
      <c r="E25" s="11" t="n"/>
      <c r="F25" s="11" t="n"/>
      <c r="G25" s="31" t="n"/>
      <c r="H25" s="31" t="n"/>
      <c r="I25" s="12" t="n"/>
      <c r="J25" s="11" t="n"/>
      <c r="K25" s="11" t="n"/>
      <c r="L25" s="11" t="n"/>
      <c r="M25" s="11" t="n"/>
    </row>
    <row r="26" ht="22" customHeight="1">
      <c r="B26" s="17">
        <f>IF(C26="","CS-"&amp;TEXT(COUNTA($C$5:C26),"000"))</f>
        <v/>
      </c>
      <c r="C26" s="14" t="n"/>
      <c r="D26" s="14" t="n"/>
      <c r="E26" s="14" t="n"/>
      <c r="F26" s="14" t="n"/>
      <c r="G26" s="32" t="n"/>
      <c r="H26" s="32" t="n"/>
      <c r="I26" s="15" t="n"/>
      <c r="J26" s="14" t="n"/>
      <c r="K26" s="14" t="n"/>
      <c r="L26" s="14" t="n"/>
      <c r="M26" s="14" t="n"/>
    </row>
    <row r="27" ht="22" customHeight="1">
      <c r="B27" s="18">
        <f>IF(C27="","CS-"&amp;TEXT(COUNTA($C$5:C27),"000"))</f>
        <v/>
      </c>
      <c r="C27" s="11" t="n"/>
      <c r="D27" s="11" t="n"/>
      <c r="E27" s="11" t="n"/>
      <c r="F27" s="11" t="n"/>
      <c r="G27" s="31" t="n"/>
      <c r="H27" s="31" t="n"/>
      <c r="I27" s="12" t="n"/>
      <c r="J27" s="11" t="n"/>
      <c r="K27" s="11" t="n"/>
      <c r="L27" s="11" t="n"/>
      <c r="M27" s="11" t="n"/>
    </row>
    <row r="28" ht="22" customHeight="1">
      <c r="B28" s="17">
        <f>IF(C28="","CS-"&amp;TEXT(COUNTA($C$5:C28),"000"))</f>
        <v/>
      </c>
      <c r="C28" s="14" t="n"/>
      <c r="D28" s="14" t="n"/>
      <c r="E28" s="14" t="n"/>
      <c r="F28" s="14" t="n"/>
      <c r="G28" s="32" t="n"/>
      <c r="H28" s="32" t="n"/>
      <c r="I28" s="15" t="n"/>
      <c r="J28" s="14" t="n"/>
      <c r="K28" s="14" t="n"/>
      <c r="L28" s="14" t="n"/>
      <c r="M28" s="14" t="n"/>
    </row>
    <row r="29" ht="22" customHeight="1">
      <c r="B29" s="18">
        <f>IF(C29="","CS-"&amp;TEXT(COUNTA($C$5:C29),"000"))</f>
        <v/>
      </c>
      <c r="C29" s="11" t="n"/>
      <c r="D29" s="11" t="n"/>
      <c r="E29" s="11" t="n"/>
      <c r="F29" s="11" t="n"/>
      <c r="G29" s="31" t="n"/>
      <c r="H29" s="31" t="n"/>
      <c r="I29" s="12" t="n"/>
      <c r="J29" s="11" t="n"/>
      <c r="K29" s="11" t="n"/>
      <c r="L29" s="11" t="n"/>
      <c r="M29" s="11" t="n"/>
    </row>
    <row r="30" ht="22" customHeight="1">
      <c r="B30" s="17">
        <f>IF(C30="","CS-"&amp;TEXT(COUNTA($C$5:C30),"000"))</f>
        <v/>
      </c>
      <c r="C30" s="14" t="n"/>
      <c r="D30" s="14" t="n"/>
      <c r="E30" s="14" t="n"/>
      <c r="F30" s="14" t="n"/>
      <c r="G30" s="32" t="n"/>
      <c r="H30" s="32" t="n"/>
      <c r="I30" s="15" t="n"/>
      <c r="J30" s="14" t="n"/>
      <c r="K30" s="14" t="n"/>
      <c r="L30" s="14" t="n"/>
      <c r="M30" s="14" t="n"/>
    </row>
    <row r="31" ht="22" customHeight="1">
      <c r="B31" s="18">
        <f>IF(C31="","CS-"&amp;TEXT(COUNTA($C$5:C31),"000"))</f>
        <v/>
      </c>
      <c r="C31" s="11" t="n"/>
      <c r="D31" s="11" t="n"/>
      <c r="E31" s="11" t="n"/>
      <c r="F31" s="11" t="n"/>
      <c r="G31" s="31" t="n"/>
      <c r="H31" s="31" t="n"/>
      <c r="I31" s="12" t="n"/>
      <c r="J31" s="11" t="n"/>
      <c r="K31" s="11" t="n"/>
      <c r="L31" s="11" t="n"/>
      <c r="M31" s="11" t="n"/>
    </row>
    <row r="32" ht="22" customHeight="1">
      <c r="B32" s="17">
        <f>IF(C32="","CS-"&amp;TEXT(COUNTA($C$5:C32),"000"))</f>
        <v/>
      </c>
      <c r="C32" s="14" t="n"/>
      <c r="D32" s="14" t="n"/>
      <c r="E32" s="14" t="n"/>
      <c r="F32" s="14" t="n"/>
      <c r="G32" s="32" t="n"/>
      <c r="H32" s="32" t="n"/>
      <c r="I32" s="15" t="n"/>
      <c r="J32" s="14" t="n"/>
      <c r="K32" s="14" t="n"/>
      <c r="L32" s="14" t="n"/>
      <c r="M32" s="14" t="n"/>
    </row>
    <row r="33" ht="22" customHeight="1">
      <c r="B33" s="18">
        <f>IF(C33="","CS-"&amp;TEXT(COUNTA($C$5:C33),"000"))</f>
        <v/>
      </c>
      <c r="C33" s="11" t="n"/>
      <c r="D33" s="11" t="n"/>
      <c r="E33" s="11" t="n"/>
      <c r="F33" s="11" t="n"/>
      <c r="G33" s="31" t="n"/>
      <c r="H33" s="31" t="n"/>
      <c r="I33" s="12" t="n"/>
      <c r="J33" s="11" t="n"/>
      <c r="K33" s="11" t="n"/>
      <c r="L33" s="11" t="n"/>
      <c r="M33" s="11" t="n"/>
    </row>
    <row r="34" ht="22" customHeight="1">
      <c r="B34" s="17">
        <f>IF(C34="","CS-"&amp;TEXT(COUNTA($C$5:C34),"000"))</f>
        <v/>
      </c>
      <c r="C34" s="14" t="n"/>
      <c r="D34" s="14" t="n"/>
      <c r="E34" s="14" t="n"/>
      <c r="F34" s="14" t="n"/>
      <c r="G34" s="32" t="n"/>
      <c r="H34" s="32" t="n"/>
      <c r="I34" s="15" t="n"/>
      <c r="J34" s="14" t="n"/>
      <c r="K34" s="14" t="n"/>
      <c r="L34" s="14" t="n"/>
      <c r="M34" s="14" t="n"/>
    </row>
    <row r="35" ht="22" customHeight="1">
      <c r="B35" s="18">
        <f>IF(C35="","CS-"&amp;TEXT(COUNTA($C$5:C35),"000"))</f>
        <v/>
      </c>
      <c r="C35" s="11" t="n"/>
      <c r="D35" s="11" t="n"/>
      <c r="E35" s="11" t="n"/>
      <c r="F35" s="11" t="n"/>
      <c r="G35" s="31" t="n"/>
      <c r="H35" s="31" t="n"/>
      <c r="I35" s="12" t="n"/>
      <c r="J35" s="11" t="n"/>
      <c r="K35" s="11" t="n"/>
      <c r="L35" s="11" t="n"/>
      <c r="M35" s="11" t="n"/>
    </row>
    <row r="36" ht="22" customHeight="1">
      <c r="B36" s="17">
        <f>IF(C36="","CS-"&amp;TEXT(COUNTA($C$5:C36),"000"))</f>
        <v/>
      </c>
      <c r="C36" s="14" t="n"/>
      <c r="D36" s="14" t="n"/>
      <c r="E36" s="14" t="n"/>
      <c r="F36" s="14" t="n"/>
      <c r="G36" s="32" t="n"/>
      <c r="H36" s="32" t="n"/>
      <c r="I36" s="15" t="n"/>
      <c r="J36" s="14" t="n"/>
      <c r="K36" s="14" t="n"/>
      <c r="L36" s="14" t="n"/>
      <c r="M36" s="14" t="n"/>
    </row>
    <row r="37" ht="22" customHeight="1">
      <c r="B37" s="18">
        <f>IF(C37="","CS-"&amp;TEXT(COUNTA($C$5:C37),"000"))</f>
        <v/>
      </c>
      <c r="C37" s="11" t="n"/>
      <c r="D37" s="11" t="n"/>
      <c r="E37" s="11" t="n"/>
      <c r="F37" s="11" t="n"/>
      <c r="G37" s="31" t="n"/>
      <c r="H37" s="31" t="n"/>
      <c r="I37" s="12" t="n"/>
      <c r="J37" s="11" t="n"/>
      <c r="K37" s="11" t="n"/>
      <c r="L37" s="11" t="n"/>
      <c r="M37" s="11" t="n"/>
    </row>
    <row r="38" ht="22" customHeight="1">
      <c r="B38" s="17">
        <f>IF(C38="","CS-"&amp;TEXT(COUNTA($C$5:C38),"000"))</f>
        <v/>
      </c>
      <c r="C38" s="14" t="n"/>
      <c r="D38" s="14" t="n"/>
      <c r="E38" s="14" t="n"/>
      <c r="F38" s="14" t="n"/>
      <c r="G38" s="32" t="n"/>
      <c r="H38" s="32" t="n"/>
      <c r="I38" s="15" t="n"/>
      <c r="J38" s="14" t="n"/>
      <c r="K38" s="14" t="n"/>
      <c r="L38" s="14" t="n"/>
      <c r="M38" s="14" t="n"/>
    </row>
    <row r="39" ht="22" customHeight="1">
      <c r="B39" s="18">
        <f>IF(C39="","CS-"&amp;TEXT(COUNTA($C$5:C39),"000"))</f>
        <v/>
      </c>
      <c r="C39" s="11" t="n"/>
      <c r="D39" s="11" t="n"/>
      <c r="E39" s="11" t="n"/>
      <c r="F39" s="11" t="n"/>
      <c r="G39" s="31" t="n"/>
      <c r="H39" s="31" t="n"/>
      <c r="I39" s="12" t="n"/>
      <c r="J39" s="11" t="n"/>
      <c r="K39" s="11" t="n"/>
      <c r="L39" s="11" t="n"/>
      <c r="M39" s="11" t="n"/>
    </row>
    <row r="40" ht="22" customHeight="1">
      <c r="B40" s="17">
        <f>IF(C40="","CS-"&amp;TEXT(COUNTA($C$5:C40),"000"))</f>
        <v/>
      </c>
      <c r="C40" s="14" t="n"/>
      <c r="D40" s="14" t="n"/>
      <c r="E40" s="14" t="n"/>
      <c r="F40" s="14" t="n"/>
      <c r="G40" s="32" t="n"/>
      <c r="H40" s="32" t="n"/>
      <c r="I40" s="15" t="n"/>
      <c r="J40" s="14" t="n"/>
      <c r="K40" s="14" t="n"/>
      <c r="L40" s="14" t="n"/>
      <c r="M40" s="14" t="n"/>
    </row>
    <row r="41" ht="22" customHeight="1">
      <c r="B41" s="18">
        <f>IF(C41="","CS-"&amp;TEXT(COUNTA($C$5:C41),"000"))</f>
        <v/>
      </c>
      <c r="C41" s="11" t="n"/>
      <c r="D41" s="11" t="n"/>
      <c r="E41" s="11" t="n"/>
      <c r="F41" s="11" t="n"/>
      <c r="G41" s="31" t="n"/>
      <c r="H41" s="31" t="n"/>
      <c r="I41" s="12" t="n"/>
      <c r="J41" s="11" t="n"/>
      <c r="K41" s="11" t="n"/>
      <c r="L41" s="11" t="n"/>
      <c r="M41" s="11" t="n"/>
    </row>
    <row r="42" ht="22" customHeight="1">
      <c r="B42" s="17">
        <f>IF(C42="","CS-"&amp;TEXT(COUNTA($C$5:C42),"000"))</f>
        <v/>
      </c>
      <c r="C42" s="14" t="n"/>
      <c r="D42" s="14" t="n"/>
      <c r="E42" s="14" t="n"/>
      <c r="F42" s="14" t="n"/>
      <c r="G42" s="32" t="n"/>
      <c r="H42" s="32" t="n"/>
      <c r="I42" s="15" t="n"/>
      <c r="J42" s="14" t="n"/>
      <c r="K42" s="14" t="n"/>
      <c r="L42" s="14" t="n"/>
      <c r="M42" s="14" t="n"/>
    </row>
    <row r="43" ht="22" customHeight="1">
      <c r="B43" s="18">
        <f>IF(C43="","CS-"&amp;TEXT(COUNTA($C$5:C43),"000"))</f>
        <v/>
      </c>
      <c r="C43" s="11" t="n"/>
      <c r="D43" s="11" t="n"/>
      <c r="E43" s="11" t="n"/>
      <c r="F43" s="11" t="n"/>
      <c r="G43" s="31" t="n"/>
      <c r="H43" s="31" t="n"/>
      <c r="I43" s="12" t="n"/>
      <c r="J43" s="11" t="n"/>
      <c r="K43" s="11" t="n"/>
      <c r="L43" s="11" t="n"/>
      <c r="M43" s="11" t="n"/>
    </row>
    <row r="44" ht="22" customHeight="1">
      <c r="B44" s="17">
        <f>IF(C44="","CS-"&amp;TEXT(COUNTA($C$5:C44),"000"))</f>
        <v/>
      </c>
      <c r="C44" s="14" t="n"/>
      <c r="D44" s="14" t="n"/>
      <c r="E44" s="14" t="n"/>
      <c r="F44" s="14" t="n"/>
      <c r="G44" s="32" t="n"/>
      <c r="H44" s="32" t="n"/>
      <c r="I44" s="15" t="n"/>
      <c r="J44" s="14" t="n"/>
      <c r="K44" s="14" t="n"/>
      <c r="L44" s="14" t="n"/>
      <c r="M44" s="14" t="n"/>
    </row>
    <row r="45" ht="22" customHeight="1">
      <c r="B45" s="18">
        <f>IF(C45="","CS-"&amp;TEXT(COUNTA($C$5:C45),"000"))</f>
        <v/>
      </c>
      <c r="C45" s="11" t="n"/>
      <c r="D45" s="11" t="n"/>
      <c r="E45" s="11" t="n"/>
      <c r="F45" s="11" t="n"/>
      <c r="G45" s="31" t="n"/>
      <c r="H45" s="31" t="n"/>
      <c r="I45" s="12" t="n"/>
      <c r="J45" s="11" t="n"/>
      <c r="K45" s="11" t="n"/>
      <c r="L45" s="11" t="n"/>
      <c r="M45" s="11" t="n"/>
    </row>
    <row r="46" ht="22" customHeight="1">
      <c r="B46" s="17">
        <f>IF(C46="","CS-"&amp;TEXT(COUNTA($C$5:C46),"000"))</f>
        <v/>
      </c>
      <c r="C46" s="14" t="n"/>
      <c r="D46" s="14" t="n"/>
      <c r="E46" s="14" t="n"/>
      <c r="F46" s="14" t="n"/>
      <c r="G46" s="32" t="n"/>
      <c r="H46" s="32" t="n"/>
      <c r="I46" s="15" t="n"/>
      <c r="J46" s="14" t="n"/>
      <c r="K46" s="14" t="n"/>
      <c r="L46" s="14" t="n"/>
      <c r="M46" s="14" t="n"/>
    </row>
    <row r="47" ht="22" customHeight="1">
      <c r="B47" s="18">
        <f>IF(C47="","CS-"&amp;TEXT(COUNTA($C$5:C47),"000"))</f>
        <v/>
      </c>
      <c r="C47" s="11" t="n"/>
      <c r="D47" s="11" t="n"/>
      <c r="E47" s="11" t="n"/>
      <c r="F47" s="11" t="n"/>
      <c r="G47" s="31" t="n"/>
      <c r="H47" s="31" t="n"/>
      <c r="I47" s="12" t="n"/>
      <c r="J47" s="11" t="n"/>
      <c r="K47" s="11" t="n"/>
      <c r="L47" s="11" t="n"/>
      <c r="M47" s="11" t="n"/>
    </row>
    <row r="48" ht="22" customHeight="1">
      <c r="B48" s="17">
        <f>IF(C48="","CS-"&amp;TEXT(COUNTA($C$5:C48),"000"))</f>
        <v/>
      </c>
      <c r="C48" s="14" t="n"/>
      <c r="D48" s="14" t="n"/>
      <c r="E48" s="14" t="n"/>
      <c r="F48" s="14" t="n"/>
      <c r="G48" s="32" t="n"/>
      <c r="H48" s="32" t="n"/>
      <c r="I48" s="15" t="n"/>
      <c r="J48" s="14" t="n"/>
      <c r="K48" s="14" t="n"/>
      <c r="L48" s="14" t="n"/>
      <c r="M48" s="14" t="n"/>
    </row>
    <row r="49" ht="22" customHeight="1">
      <c r="B49" s="18">
        <f>IF(C49="","CS-"&amp;TEXT(COUNTA($C$5:C49),"000"))</f>
        <v/>
      </c>
      <c r="C49" s="11" t="n"/>
      <c r="D49" s="11" t="n"/>
      <c r="E49" s="11" t="n"/>
      <c r="F49" s="11" t="n"/>
      <c r="G49" s="31" t="n"/>
      <c r="H49" s="31" t="n"/>
      <c r="I49" s="12" t="n"/>
      <c r="J49" s="11" t="n"/>
      <c r="K49" s="11" t="n"/>
      <c r="L49" s="11" t="n"/>
      <c r="M49" s="11" t="n"/>
    </row>
    <row r="50" ht="22" customHeight="1">
      <c r="B50" s="17">
        <f>IF(C50="","CS-"&amp;TEXT(COUNTA($C$5:C50),"000"))</f>
        <v/>
      </c>
      <c r="C50" s="14" t="n"/>
      <c r="D50" s="14" t="n"/>
      <c r="E50" s="14" t="n"/>
      <c r="F50" s="14" t="n"/>
      <c r="G50" s="32" t="n"/>
      <c r="H50" s="32" t="n"/>
      <c r="I50" s="15" t="n"/>
      <c r="J50" s="14" t="n"/>
      <c r="K50" s="14" t="n"/>
      <c r="L50" s="14" t="n"/>
      <c r="M50" s="14" t="n"/>
    </row>
    <row r="51" ht="22" customHeight="1">
      <c r="B51" s="18">
        <f>IF(C51="","CS-"&amp;TEXT(COUNTA($C$5:C51),"000"))</f>
        <v/>
      </c>
      <c r="C51" s="11" t="n"/>
      <c r="D51" s="11" t="n"/>
      <c r="E51" s="11" t="n"/>
      <c r="F51" s="11" t="n"/>
      <c r="G51" s="31" t="n"/>
      <c r="H51" s="31" t="n"/>
      <c r="I51" s="12" t="n"/>
      <c r="J51" s="11" t="n"/>
      <c r="K51" s="11" t="n"/>
      <c r="L51" s="11" t="n"/>
      <c r="M51" s="11" t="n"/>
    </row>
    <row r="52" ht="22" customHeight="1">
      <c r="B52" s="17">
        <f>IF(C52="","CS-"&amp;TEXT(COUNTA($C$5:C52),"000"))</f>
        <v/>
      </c>
      <c r="C52" s="14" t="n"/>
      <c r="D52" s="14" t="n"/>
      <c r="E52" s="14" t="n"/>
      <c r="F52" s="14" t="n"/>
      <c r="G52" s="32" t="n"/>
      <c r="H52" s="32" t="n"/>
      <c r="I52" s="15" t="n"/>
      <c r="J52" s="14" t="n"/>
      <c r="K52" s="14" t="n"/>
      <c r="L52" s="14" t="n"/>
      <c r="M52" s="14" t="n"/>
    </row>
    <row r="53" ht="22" customHeight="1">
      <c r="B53" s="18">
        <f>IF(C53="","CS-"&amp;TEXT(COUNTA($C$5:C53),"000"))</f>
        <v/>
      </c>
      <c r="C53" s="11" t="n"/>
      <c r="D53" s="11" t="n"/>
      <c r="E53" s="11" t="n"/>
      <c r="F53" s="11" t="n"/>
      <c r="G53" s="31" t="n"/>
      <c r="H53" s="31" t="n"/>
      <c r="I53" s="12" t="n"/>
      <c r="J53" s="11" t="n"/>
      <c r="K53" s="11" t="n"/>
      <c r="L53" s="11" t="n"/>
      <c r="M53" s="11" t="n"/>
    </row>
    <row r="54" ht="22" customHeight="1">
      <c r="B54" s="17">
        <f>IF(C54="","CS-"&amp;TEXT(COUNTA($C$5:C54),"000"))</f>
        <v/>
      </c>
      <c r="C54" s="14" t="n"/>
      <c r="D54" s="14" t="n"/>
      <c r="E54" s="14" t="n"/>
      <c r="F54" s="14" t="n"/>
      <c r="G54" s="32" t="n"/>
      <c r="H54" s="32" t="n"/>
      <c r="I54" s="15" t="n"/>
      <c r="J54" s="14" t="n"/>
      <c r="K54" s="14" t="n"/>
      <c r="L54" s="14" t="n"/>
      <c r="M54" s="14" t="n"/>
    </row>
    <row r="55" ht="22" customHeight="1">
      <c r="B55" s="18">
        <f>IF(C55="","CS-"&amp;TEXT(COUNTA($C$5:C55),"000"))</f>
        <v/>
      </c>
      <c r="C55" s="11" t="n"/>
      <c r="D55" s="11" t="n"/>
      <c r="E55" s="11" t="n"/>
      <c r="F55" s="11" t="n"/>
      <c r="G55" s="31" t="n"/>
      <c r="H55" s="31" t="n"/>
      <c r="I55" s="12" t="n"/>
      <c r="J55" s="11" t="n"/>
      <c r="K55" s="11" t="n"/>
      <c r="L55" s="11" t="n"/>
      <c r="M55" s="11" t="n"/>
    </row>
    <row r="56" ht="22" customHeight="1">
      <c r="B56" s="17">
        <f>IF(C56="","CS-"&amp;TEXT(COUNTA($C$5:C56),"000"))</f>
        <v/>
      </c>
      <c r="C56" s="14" t="n"/>
      <c r="D56" s="14" t="n"/>
      <c r="E56" s="14" t="n"/>
      <c r="F56" s="14" t="n"/>
      <c r="G56" s="32" t="n"/>
      <c r="H56" s="32" t="n"/>
      <c r="I56" s="15" t="n"/>
      <c r="J56" s="14" t="n"/>
      <c r="K56" s="14" t="n"/>
      <c r="L56" s="14" t="n"/>
      <c r="M56" s="14" t="n"/>
    </row>
    <row r="57" ht="22" customHeight="1">
      <c r="B57" s="18">
        <f>IF(C57="","CS-"&amp;TEXT(COUNTA($C$5:C57),"000"))</f>
        <v/>
      </c>
      <c r="C57" s="11" t="n"/>
      <c r="D57" s="11" t="n"/>
      <c r="E57" s="11" t="n"/>
      <c r="F57" s="11" t="n"/>
      <c r="G57" s="31" t="n"/>
      <c r="H57" s="31" t="n"/>
      <c r="I57" s="12" t="n"/>
      <c r="J57" s="11" t="n"/>
      <c r="K57" s="11" t="n"/>
      <c r="L57" s="11" t="n"/>
      <c r="M57" s="11" t="n"/>
    </row>
    <row r="58" ht="22" customHeight="1">
      <c r="B58" s="17">
        <f>IF(C58="","CS-"&amp;TEXT(COUNTA($C$5:C58),"000"))</f>
        <v/>
      </c>
      <c r="C58" s="14" t="n"/>
      <c r="D58" s="14" t="n"/>
      <c r="E58" s="14" t="n"/>
      <c r="F58" s="14" t="n"/>
      <c r="G58" s="32" t="n"/>
      <c r="H58" s="32" t="n"/>
      <c r="I58" s="15" t="n"/>
      <c r="J58" s="14" t="n"/>
      <c r="K58" s="14" t="n"/>
      <c r="L58" s="14" t="n"/>
      <c r="M58" s="14" t="n"/>
    </row>
    <row r="59" ht="22" customHeight="1">
      <c r="B59" s="18">
        <f>IF(C59="","CS-"&amp;TEXT(COUNTA($C$5:C59),"000"))</f>
        <v/>
      </c>
      <c r="C59" s="11" t="n"/>
      <c r="D59" s="11" t="n"/>
      <c r="E59" s="11" t="n"/>
      <c r="F59" s="11" t="n"/>
      <c r="G59" s="31" t="n"/>
      <c r="H59" s="31" t="n"/>
      <c r="I59" s="12" t="n"/>
      <c r="J59" s="11" t="n"/>
      <c r="K59" s="11" t="n"/>
      <c r="L59" s="11" t="n"/>
      <c r="M59" s="11" t="n"/>
    </row>
    <row r="60" ht="22" customHeight="1">
      <c r="B60" s="17">
        <f>IF(C60="","CS-"&amp;TEXT(COUNTA($C$5:C60),"000"))</f>
        <v/>
      </c>
      <c r="C60" s="14" t="n"/>
      <c r="D60" s="14" t="n"/>
      <c r="E60" s="14" t="n"/>
      <c r="F60" s="14" t="n"/>
      <c r="G60" s="32" t="n"/>
      <c r="H60" s="32" t="n"/>
      <c r="I60" s="15" t="n"/>
      <c r="J60" s="14" t="n"/>
      <c r="K60" s="14" t="n"/>
      <c r="L60" s="14" t="n"/>
      <c r="M60" s="14" t="n"/>
    </row>
    <row r="61" ht="22" customHeight="1">
      <c r="B61" s="18">
        <f>IF(C61="","CS-"&amp;TEXT(COUNTA($C$5:C61),"000"))</f>
        <v/>
      </c>
      <c r="C61" s="11" t="n"/>
      <c r="D61" s="11" t="n"/>
      <c r="E61" s="11" t="n"/>
      <c r="F61" s="11" t="n"/>
      <c r="G61" s="31" t="n"/>
      <c r="H61" s="31" t="n"/>
      <c r="I61" s="12" t="n"/>
      <c r="J61" s="11" t="n"/>
      <c r="K61" s="11" t="n"/>
      <c r="L61" s="11" t="n"/>
      <c r="M61" s="11" t="n"/>
    </row>
    <row r="62" ht="22" customHeight="1">
      <c r="B62" s="17">
        <f>IF(C62="","CS-"&amp;TEXT(COUNTA($C$5:C62),"000"))</f>
        <v/>
      </c>
      <c r="C62" s="14" t="n"/>
      <c r="D62" s="14" t="n"/>
      <c r="E62" s="14" t="n"/>
      <c r="F62" s="14" t="n"/>
      <c r="G62" s="32" t="n"/>
      <c r="H62" s="32" t="n"/>
      <c r="I62" s="15" t="n"/>
      <c r="J62" s="14" t="n"/>
      <c r="K62" s="14" t="n"/>
      <c r="L62" s="14" t="n"/>
      <c r="M62" s="14" t="n"/>
    </row>
    <row r="63" ht="22" customHeight="1">
      <c r="B63" s="18">
        <f>IF(C63="","CS-"&amp;TEXT(COUNTA($C$5:C63),"000"))</f>
        <v/>
      </c>
      <c r="C63" s="11" t="n"/>
      <c r="D63" s="11" t="n"/>
      <c r="E63" s="11" t="n"/>
      <c r="F63" s="11" t="n"/>
      <c r="G63" s="31" t="n"/>
      <c r="H63" s="31" t="n"/>
      <c r="I63" s="12" t="n"/>
      <c r="J63" s="11" t="n"/>
      <c r="K63" s="11" t="n"/>
      <c r="L63" s="11" t="n"/>
      <c r="M63" s="11" t="n"/>
    </row>
    <row r="64" ht="22" customHeight="1">
      <c r="B64" s="17">
        <f>IF(C64="","CS-"&amp;TEXT(COUNTA($C$5:C64),"000"))</f>
        <v/>
      </c>
      <c r="C64" s="14" t="n"/>
      <c r="D64" s="14" t="n"/>
      <c r="E64" s="14" t="n"/>
      <c r="F64" s="14" t="n"/>
      <c r="G64" s="32" t="n"/>
      <c r="H64" s="32" t="n"/>
      <c r="I64" s="15" t="n"/>
      <c r="J64" s="14" t="n"/>
      <c r="K64" s="14" t="n"/>
      <c r="L64" s="14" t="n"/>
      <c r="M64" s="14" t="n"/>
    </row>
    <row r="65" ht="22" customHeight="1">
      <c r="B65" s="18">
        <f>IF(C65="","CS-"&amp;TEXT(COUNTA($C$5:C65),"000"))</f>
        <v/>
      </c>
      <c r="C65" s="11" t="n"/>
      <c r="D65" s="11" t="n"/>
      <c r="E65" s="11" t="n"/>
      <c r="F65" s="11" t="n"/>
      <c r="G65" s="31" t="n"/>
      <c r="H65" s="31" t="n"/>
      <c r="I65" s="12" t="n"/>
      <c r="J65" s="11" t="n"/>
      <c r="K65" s="11" t="n"/>
      <c r="L65" s="11" t="n"/>
      <c r="M65" s="11" t="n"/>
    </row>
    <row r="66" ht="22" customHeight="1">
      <c r="B66" s="17">
        <f>IF(C66="","CS-"&amp;TEXT(COUNTA($C$5:C66),"000"))</f>
        <v/>
      </c>
      <c r="C66" s="14" t="n"/>
      <c r="D66" s="14" t="n"/>
      <c r="E66" s="14" t="n"/>
      <c r="F66" s="14" t="n"/>
      <c r="G66" s="32" t="n"/>
      <c r="H66" s="32" t="n"/>
      <c r="I66" s="15" t="n"/>
      <c r="J66" s="14" t="n"/>
      <c r="K66" s="14" t="n"/>
      <c r="L66" s="14" t="n"/>
      <c r="M66" s="14" t="n"/>
    </row>
    <row r="67" ht="22" customHeight="1">
      <c r="B67" s="18">
        <f>IF(C67="","CS-"&amp;TEXT(COUNTA($C$5:C67),"000"))</f>
        <v/>
      </c>
      <c r="C67" s="11" t="n"/>
      <c r="D67" s="11" t="n"/>
      <c r="E67" s="11" t="n"/>
      <c r="F67" s="11" t="n"/>
      <c r="G67" s="31" t="n"/>
      <c r="H67" s="31" t="n"/>
      <c r="I67" s="12" t="n"/>
      <c r="J67" s="11" t="n"/>
      <c r="K67" s="11" t="n"/>
      <c r="L67" s="11" t="n"/>
      <c r="M67" s="11" t="n"/>
    </row>
    <row r="68" ht="22" customHeight="1">
      <c r="B68" s="17">
        <f>IF(C68="","CS-"&amp;TEXT(COUNTA($C$5:C68),"000"))</f>
        <v/>
      </c>
      <c r="C68" s="14" t="n"/>
      <c r="D68" s="14" t="n"/>
      <c r="E68" s="14" t="n"/>
      <c r="F68" s="14" t="n"/>
      <c r="G68" s="32" t="n"/>
      <c r="H68" s="32" t="n"/>
      <c r="I68" s="15" t="n"/>
      <c r="J68" s="14" t="n"/>
      <c r="K68" s="14" t="n"/>
      <c r="L68" s="14" t="n"/>
      <c r="M68" s="14" t="n"/>
    </row>
    <row r="69" ht="22" customHeight="1">
      <c r="B69" s="18">
        <f>IF(C69="","CS-"&amp;TEXT(COUNTA($C$5:C69),"000"))</f>
        <v/>
      </c>
      <c r="C69" s="11" t="n"/>
      <c r="D69" s="11" t="n"/>
      <c r="E69" s="11" t="n"/>
      <c r="F69" s="11" t="n"/>
      <c r="G69" s="31" t="n"/>
      <c r="H69" s="31" t="n"/>
      <c r="I69" s="12" t="n"/>
      <c r="J69" s="11" t="n"/>
      <c r="K69" s="11" t="n"/>
      <c r="L69" s="11" t="n"/>
      <c r="M69" s="11" t="n"/>
    </row>
    <row r="70" ht="22" customHeight="1">
      <c r="B70" s="17">
        <f>IF(C70="","CS-"&amp;TEXT(COUNTA($C$5:C70),"000"))</f>
        <v/>
      </c>
      <c r="C70" s="14" t="n"/>
      <c r="D70" s="14" t="n"/>
      <c r="E70" s="14" t="n"/>
      <c r="F70" s="14" t="n"/>
      <c r="G70" s="32" t="n"/>
      <c r="H70" s="32" t="n"/>
      <c r="I70" s="15" t="n"/>
      <c r="J70" s="14" t="n"/>
      <c r="K70" s="14" t="n"/>
      <c r="L70" s="14" t="n"/>
      <c r="M70" s="14" t="n"/>
    </row>
    <row r="71" ht="22" customHeight="1">
      <c r="B71" s="18">
        <f>IF(C71="","CS-"&amp;TEXT(COUNTA($C$5:C71),"000"))</f>
        <v/>
      </c>
      <c r="C71" s="11" t="n"/>
      <c r="D71" s="11" t="n"/>
      <c r="E71" s="11" t="n"/>
      <c r="F71" s="11" t="n"/>
      <c r="G71" s="31" t="n"/>
      <c r="H71" s="31" t="n"/>
      <c r="I71" s="12" t="n"/>
      <c r="J71" s="11" t="n"/>
      <c r="K71" s="11" t="n"/>
      <c r="L71" s="11" t="n"/>
      <c r="M71" s="11" t="n"/>
    </row>
    <row r="72" ht="22" customHeight="1">
      <c r="B72" s="17">
        <f>IF(C72="","CS-"&amp;TEXT(COUNTA($C$5:C72),"000"))</f>
        <v/>
      </c>
      <c r="C72" s="14" t="n"/>
      <c r="D72" s="14" t="n"/>
      <c r="E72" s="14" t="n"/>
      <c r="F72" s="14" t="n"/>
      <c r="G72" s="32" t="n"/>
      <c r="H72" s="32" t="n"/>
      <c r="I72" s="15" t="n"/>
      <c r="J72" s="14" t="n"/>
      <c r="K72" s="14" t="n"/>
      <c r="L72" s="14" t="n"/>
      <c r="M72" s="14" t="n"/>
    </row>
    <row r="73" ht="22" customHeight="1">
      <c r="B73" s="18">
        <f>IF(C73="","CS-"&amp;TEXT(COUNTA($C$5:C73),"000"))</f>
        <v/>
      </c>
      <c r="C73" s="11" t="n"/>
      <c r="D73" s="11" t="n"/>
      <c r="E73" s="11" t="n"/>
      <c r="F73" s="11" t="n"/>
      <c r="G73" s="31" t="n"/>
      <c r="H73" s="31" t="n"/>
      <c r="I73" s="12" t="n"/>
      <c r="J73" s="11" t="n"/>
      <c r="K73" s="11" t="n"/>
      <c r="L73" s="11" t="n"/>
      <c r="M73" s="11" t="n"/>
    </row>
    <row r="74" ht="22" customHeight="1">
      <c r="B74" s="17">
        <f>IF(C74="","CS-"&amp;TEXT(COUNTA($C$5:C74),"000"))</f>
        <v/>
      </c>
      <c r="C74" s="14" t="n"/>
      <c r="D74" s="14" t="n"/>
      <c r="E74" s="14" t="n"/>
      <c r="F74" s="14" t="n"/>
      <c r="G74" s="32" t="n"/>
      <c r="H74" s="32" t="n"/>
      <c r="I74" s="15" t="n"/>
      <c r="J74" s="14" t="n"/>
      <c r="K74" s="14" t="n"/>
      <c r="L74" s="14" t="n"/>
      <c r="M74" s="14" t="n"/>
    </row>
    <row r="75" ht="22" customHeight="1">
      <c r="B75" s="18">
        <f>IF(C75="","CS-"&amp;TEXT(COUNTA($C$5:C75),"000"))</f>
        <v/>
      </c>
      <c r="C75" s="11" t="n"/>
      <c r="D75" s="11" t="n"/>
      <c r="E75" s="11" t="n"/>
      <c r="F75" s="11" t="n"/>
      <c r="G75" s="31" t="n"/>
      <c r="H75" s="31" t="n"/>
      <c r="I75" s="12" t="n"/>
      <c r="J75" s="11" t="n"/>
      <c r="K75" s="11" t="n"/>
      <c r="L75" s="11" t="n"/>
      <c r="M75" s="11" t="n"/>
    </row>
    <row r="76" ht="22" customHeight="1">
      <c r="B76" s="17">
        <f>IF(C76="","CS-"&amp;TEXT(COUNTA($C$5:C76),"000"))</f>
        <v/>
      </c>
      <c r="C76" s="14" t="n"/>
      <c r="D76" s="14" t="n"/>
      <c r="E76" s="14" t="n"/>
      <c r="F76" s="14" t="n"/>
      <c r="G76" s="32" t="n"/>
      <c r="H76" s="32" t="n"/>
      <c r="I76" s="15" t="n"/>
      <c r="J76" s="14" t="n"/>
      <c r="K76" s="14" t="n"/>
      <c r="L76" s="14" t="n"/>
      <c r="M76" s="14" t="n"/>
    </row>
    <row r="77" ht="22" customHeight="1">
      <c r="B77" s="18">
        <f>IF(C77="","CS-"&amp;TEXT(COUNTA($C$5:C77),"000"))</f>
        <v/>
      </c>
      <c r="C77" s="11" t="n"/>
      <c r="D77" s="11" t="n"/>
      <c r="E77" s="11" t="n"/>
      <c r="F77" s="11" t="n"/>
      <c r="G77" s="31" t="n"/>
      <c r="H77" s="31" t="n"/>
      <c r="I77" s="12" t="n"/>
      <c r="J77" s="11" t="n"/>
      <c r="K77" s="11" t="n"/>
      <c r="L77" s="11" t="n"/>
      <c r="M77" s="11" t="n"/>
    </row>
    <row r="78" ht="22" customHeight="1">
      <c r="B78" s="17">
        <f>IF(C78="","CS-"&amp;TEXT(COUNTA($C$5:C78),"000"))</f>
        <v/>
      </c>
      <c r="C78" s="14" t="n"/>
      <c r="D78" s="14" t="n"/>
      <c r="E78" s="14" t="n"/>
      <c r="F78" s="14" t="n"/>
      <c r="G78" s="32" t="n"/>
      <c r="H78" s="32" t="n"/>
      <c r="I78" s="15" t="n"/>
      <c r="J78" s="14" t="n"/>
      <c r="K78" s="14" t="n"/>
      <c r="L78" s="14" t="n"/>
      <c r="M78" s="14" t="n"/>
    </row>
    <row r="79" ht="22" customHeight="1">
      <c r="B79" s="18">
        <f>IF(C79="","CS-"&amp;TEXT(COUNTA($C$5:C79),"000"))</f>
        <v/>
      </c>
      <c r="C79" s="11" t="n"/>
      <c r="D79" s="11" t="n"/>
      <c r="E79" s="11" t="n"/>
      <c r="F79" s="11" t="n"/>
      <c r="G79" s="31" t="n"/>
      <c r="H79" s="31" t="n"/>
      <c r="I79" s="12" t="n"/>
      <c r="J79" s="11" t="n"/>
      <c r="K79" s="11" t="n"/>
      <c r="L79" s="11" t="n"/>
      <c r="M79" s="11" t="n"/>
    </row>
    <row r="80" ht="22" customHeight="1">
      <c r="B80" s="17">
        <f>IF(C80="","CS-"&amp;TEXT(COUNTA($C$5:C80),"000"))</f>
        <v/>
      </c>
      <c r="C80" s="14" t="n"/>
      <c r="D80" s="14" t="n"/>
      <c r="E80" s="14" t="n"/>
      <c r="F80" s="14" t="n"/>
      <c r="G80" s="32" t="n"/>
      <c r="H80" s="32" t="n"/>
      <c r="I80" s="15" t="n"/>
      <c r="J80" s="14" t="n"/>
      <c r="K80" s="14" t="n"/>
      <c r="L80" s="14" t="n"/>
      <c r="M80" s="14" t="n"/>
    </row>
    <row r="81" ht="22" customHeight="1">
      <c r="B81" s="18">
        <f>IF(C81="","CS-"&amp;TEXT(COUNTA($C$5:C81),"000"))</f>
        <v/>
      </c>
      <c r="C81" s="11" t="n"/>
      <c r="D81" s="11" t="n"/>
      <c r="E81" s="11" t="n"/>
      <c r="F81" s="11" t="n"/>
      <c r="G81" s="31" t="n"/>
      <c r="H81" s="31" t="n"/>
      <c r="I81" s="12" t="n"/>
      <c r="J81" s="11" t="n"/>
      <c r="K81" s="11" t="n"/>
      <c r="L81" s="11" t="n"/>
      <c r="M81" s="11" t="n"/>
    </row>
    <row r="82" ht="22" customHeight="1">
      <c r="B82" s="17">
        <f>IF(C82="","CS-"&amp;TEXT(COUNTA($C$5:C82),"000"))</f>
        <v/>
      </c>
      <c r="C82" s="14" t="n"/>
      <c r="D82" s="14" t="n"/>
      <c r="E82" s="14" t="n"/>
      <c r="F82" s="14" t="n"/>
      <c r="G82" s="32" t="n"/>
      <c r="H82" s="32" t="n"/>
      <c r="I82" s="15" t="n"/>
      <c r="J82" s="14" t="n"/>
      <c r="K82" s="14" t="n"/>
      <c r="L82" s="14" t="n"/>
      <c r="M82" s="14" t="n"/>
    </row>
    <row r="83" ht="22" customHeight="1">
      <c r="B83" s="18">
        <f>IF(C83="","CS-"&amp;TEXT(COUNTA($C$5:C83),"000"))</f>
        <v/>
      </c>
      <c r="C83" s="11" t="n"/>
      <c r="D83" s="11" t="n"/>
      <c r="E83" s="11" t="n"/>
      <c r="F83" s="11" t="n"/>
      <c r="G83" s="31" t="n"/>
      <c r="H83" s="31" t="n"/>
      <c r="I83" s="12" t="n"/>
      <c r="J83" s="11" t="n"/>
      <c r="K83" s="11" t="n"/>
      <c r="L83" s="11" t="n"/>
      <c r="M83" s="11" t="n"/>
    </row>
    <row r="84" ht="22" customHeight="1">
      <c r="B84" s="17">
        <f>IF(C84="","CS-"&amp;TEXT(COUNTA($C$5:C84),"000"))</f>
        <v/>
      </c>
      <c r="C84" s="14" t="n"/>
      <c r="D84" s="14" t="n"/>
      <c r="E84" s="14" t="n"/>
      <c r="F84" s="14" t="n"/>
      <c r="G84" s="32" t="n"/>
      <c r="H84" s="32" t="n"/>
      <c r="I84" s="15" t="n"/>
      <c r="J84" s="14" t="n"/>
      <c r="K84" s="14" t="n"/>
      <c r="L84" s="14" t="n"/>
      <c r="M84" s="14" t="n"/>
    </row>
    <row r="85" ht="22" customHeight="1">
      <c r="B85" s="18">
        <f>IF(C85="","CS-"&amp;TEXT(COUNTA($C$5:C85),"000"))</f>
        <v/>
      </c>
      <c r="C85" s="11" t="n"/>
      <c r="D85" s="11" t="n"/>
      <c r="E85" s="11" t="n"/>
      <c r="F85" s="11" t="n"/>
      <c r="G85" s="31" t="n"/>
      <c r="H85" s="31" t="n"/>
      <c r="I85" s="12" t="n"/>
      <c r="J85" s="11" t="n"/>
      <c r="K85" s="11" t="n"/>
      <c r="L85" s="11" t="n"/>
      <c r="M85" s="11" t="n"/>
    </row>
    <row r="86" ht="22" customHeight="1">
      <c r="B86" s="17">
        <f>IF(C86="","CS-"&amp;TEXT(COUNTA($C$5:C86),"000"))</f>
        <v/>
      </c>
      <c r="C86" s="14" t="n"/>
      <c r="D86" s="14" t="n"/>
      <c r="E86" s="14" t="n"/>
      <c r="F86" s="14" t="n"/>
      <c r="G86" s="32" t="n"/>
      <c r="H86" s="32" t="n"/>
      <c r="I86" s="15" t="n"/>
      <c r="J86" s="14" t="n"/>
      <c r="K86" s="14" t="n"/>
      <c r="L86" s="14" t="n"/>
      <c r="M86" s="14" t="n"/>
    </row>
    <row r="87" ht="22" customHeight="1">
      <c r="B87" s="18">
        <f>IF(C87="","CS-"&amp;TEXT(COUNTA($C$5:C87),"000"))</f>
        <v/>
      </c>
      <c r="C87" s="11" t="n"/>
      <c r="D87" s="11" t="n"/>
      <c r="E87" s="11" t="n"/>
      <c r="F87" s="11" t="n"/>
      <c r="G87" s="31" t="n"/>
      <c r="H87" s="31" t="n"/>
      <c r="I87" s="12" t="n"/>
      <c r="J87" s="11" t="n"/>
      <c r="K87" s="11" t="n"/>
      <c r="L87" s="11" t="n"/>
      <c r="M87" s="11" t="n"/>
    </row>
    <row r="88" ht="22" customHeight="1">
      <c r="B88" s="17">
        <f>IF(C88="","CS-"&amp;TEXT(COUNTA($C$5:C88),"000"))</f>
        <v/>
      </c>
      <c r="C88" s="14" t="n"/>
      <c r="D88" s="14" t="n"/>
      <c r="E88" s="14" t="n"/>
      <c r="F88" s="14" t="n"/>
      <c r="G88" s="32" t="n"/>
      <c r="H88" s="32" t="n"/>
      <c r="I88" s="15" t="n"/>
      <c r="J88" s="14" t="n"/>
      <c r="K88" s="14" t="n"/>
      <c r="L88" s="14" t="n"/>
      <c r="M88" s="14" t="n"/>
    </row>
    <row r="89" ht="22" customHeight="1">
      <c r="B89" s="18">
        <f>IF(C89="","CS-"&amp;TEXT(COUNTA($C$5:C89),"000"))</f>
        <v/>
      </c>
      <c r="C89" s="11" t="n"/>
      <c r="D89" s="11" t="n"/>
      <c r="E89" s="11" t="n"/>
      <c r="F89" s="11" t="n"/>
      <c r="G89" s="31" t="n"/>
      <c r="H89" s="31" t="n"/>
      <c r="I89" s="12" t="n"/>
      <c r="J89" s="11" t="n"/>
      <c r="K89" s="11" t="n"/>
      <c r="L89" s="11" t="n"/>
      <c r="M89" s="11" t="n"/>
    </row>
    <row r="90" ht="22" customHeight="1">
      <c r="B90" s="17">
        <f>IF(C90="","CS-"&amp;TEXT(COUNTA($C$5:C90),"000"))</f>
        <v/>
      </c>
      <c r="C90" s="14" t="n"/>
      <c r="D90" s="14" t="n"/>
      <c r="E90" s="14" t="n"/>
      <c r="F90" s="14" t="n"/>
      <c r="G90" s="32" t="n"/>
      <c r="H90" s="32" t="n"/>
      <c r="I90" s="15" t="n"/>
      <c r="J90" s="14" t="n"/>
      <c r="K90" s="14" t="n"/>
      <c r="L90" s="14" t="n"/>
      <c r="M90" s="14" t="n"/>
    </row>
    <row r="91" ht="22" customHeight="1">
      <c r="B91" s="18">
        <f>IF(C91="","CS-"&amp;TEXT(COUNTA($C$5:C91),"000"))</f>
        <v/>
      </c>
      <c r="C91" s="11" t="n"/>
      <c r="D91" s="11" t="n"/>
      <c r="E91" s="11" t="n"/>
      <c r="F91" s="11" t="n"/>
      <c r="G91" s="31" t="n"/>
      <c r="H91" s="31" t="n"/>
      <c r="I91" s="12" t="n"/>
      <c r="J91" s="11" t="n"/>
      <c r="K91" s="11" t="n"/>
      <c r="L91" s="11" t="n"/>
      <c r="M91" s="11" t="n"/>
    </row>
    <row r="92" ht="22" customHeight="1">
      <c r="B92" s="17">
        <f>IF(C92="","CS-"&amp;TEXT(COUNTA($C$5:C92),"000"))</f>
        <v/>
      </c>
      <c r="C92" s="14" t="n"/>
      <c r="D92" s="14" t="n"/>
      <c r="E92" s="14" t="n"/>
      <c r="F92" s="14" t="n"/>
      <c r="G92" s="32" t="n"/>
      <c r="H92" s="32" t="n"/>
      <c r="I92" s="15" t="n"/>
      <c r="J92" s="14" t="n"/>
      <c r="K92" s="14" t="n"/>
      <c r="L92" s="14" t="n"/>
      <c r="M92" s="14" t="n"/>
    </row>
    <row r="93" ht="22" customHeight="1">
      <c r="B93" s="18">
        <f>IF(C93="","CS-"&amp;TEXT(COUNTA($C$5:C93),"000"))</f>
        <v/>
      </c>
      <c r="C93" s="11" t="n"/>
      <c r="D93" s="11" t="n"/>
      <c r="E93" s="11" t="n"/>
      <c r="F93" s="11" t="n"/>
      <c r="G93" s="31" t="n"/>
      <c r="H93" s="31" t="n"/>
      <c r="I93" s="12" t="n"/>
      <c r="J93" s="11" t="n"/>
      <c r="K93" s="11" t="n"/>
      <c r="L93" s="11" t="n"/>
      <c r="M93" s="11" t="n"/>
    </row>
    <row r="94" ht="22" customHeight="1">
      <c r="B94" s="17">
        <f>IF(C94="","CS-"&amp;TEXT(COUNTA($C$5:C94),"000"))</f>
        <v/>
      </c>
      <c r="C94" s="14" t="n"/>
      <c r="D94" s="14" t="n"/>
      <c r="E94" s="14" t="n"/>
      <c r="F94" s="14" t="n"/>
      <c r="G94" s="32" t="n"/>
      <c r="H94" s="32" t="n"/>
      <c r="I94" s="15" t="n"/>
      <c r="J94" s="14" t="n"/>
      <c r="K94" s="14" t="n"/>
      <c r="L94" s="14" t="n"/>
      <c r="M94" s="14" t="n"/>
    </row>
    <row r="95" ht="22" customHeight="1">
      <c r="B95" s="18">
        <f>IF(C95="","CS-"&amp;TEXT(COUNTA($C$5:C95),"000"))</f>
        <v/>
      </c>
      <c r="C95" s="11" t="n"/>
      <c r="D95" s="11" t="n"/>
      <c r="E95" s="11" t="n"/>
      <c r="F95" s="11" t="n"/>
      <c r="G95" s="31" t="n"/>
      <c r="H95" s="31" t="n"/>
      <c r="I95" s="12" t="n"/>
      <c r="J95" s="11" t="n"/>
      <c r="K95" s="11" t="n"/>
      <c r="L95" s="11" t="n"/>
      <c r="M95" s="11" t="n"/>
    </row>
    <row r="96" ht="22" customHeight="1">
      <c r="B96" s="17">
        <f>IF(C96="","CS-"&amp;TEXT(COUNTA($C$5:C96),"000"))</f>
        <v/>
      </c>
      <c r="C96" s="14" t="n"/>
      <c r="D96" s="14" t="n"/>
      <c r="E96" s="14" t="n"/>
      <c r="F96" s="14" t="n"/>
      <c r="G96" s="32" t="n"/>
      <c r="H96" s="32" t="n"/>
      <c r="I96" s="15" t="n"/>
      <c r="J96" s="14" t="n"/>
      <c r="K96" s="14" t="n"/>
      <c r="L96" s="14" t="n"/>
      <c r="M96" s="14" t="n"/>
    </row>
    <row r="97" ht="22" customHeight="1">
      <c r="B97" s="18">
        <f>IF(C97="","CS-"&amp;TEXT(COUNTA($C$5:C97),"000"))</f>
        <v/>
      </c>
      <c r="C97" s="11" t="n"/>
      <c r="D97" s="11" t="n"/>
      <c r="E97" s="11" t="n"/>
      <c r="F97" s="11" t="n"/>
      <c r="G97" s="31" t="n"/>
      <c r="H97" s="31" t="n"/>
      <c r="I97" s="12" t="n"/>
      <c r="J97" s="11" t="n"/>
      <c r="K97" s="11" t="n"/>
      <c r="L97" s="11" t="n"/>
      <c r="M97" s="11" t="n"/>
    </row>
    <row r="98" ht="22" customHeight="1">
      <c r="B98" s="17">
        <f>IF(C98="","CS-"&amp;TEXT(COUNTA($C$5:C98),"000"))</f>
        <v/>
      </c>
      <c r="C98" s="14" t="n"/>
      <c r="D98" s="14" t="n"/>
      <c r="E98" s="14" t="n"/>
      <c r="F98" s="14" t="n"/>
      <c r="G98" s="32" t="n"/>
      <c r="H98" s="32" t="n"/>
      <c r="I98" s="15" t="n"/>
      <c r="J98" s="14" t="n"/>
      <c r="K98" s="14" t="n"/>
      <c r="L98" s="14" t="n"/>
      <c r="M98" s="14" t="n"/>
    </row>
    <row r="99" ht="22" customHeight="1">
      <c r="B99" s="18">
        <f>IF(C99="","CS-"&amp;TEXT(COUNTA($C$5:C99),"000"))</f>
        <v/>
      </c>
      <c r="C99" s="11" t="n"/>
      <c r="D99" s="11" t="n"/>
      <c r="E99" s="11" t="n"/>
      <c r="F99" s="11" t="n"/>
      <c r="G99" s="31" t="n"/>
      <c r="H99" s="31" t="n"/>
      <c r="I99" s="12" t="n"/>
      <c r="J99" s="11" t="n"/>
      <c r="K99" s="11" t="n"/>
      <c r="L99" s="11" t="n"/>
      <c r="M99" s="11" t="n"/>
    </row>
    <row r="100" ht="22" customHeight="1">
      <c r="B100" s="17">
        <f>IF(C100="","CS-"&amp;TEXT(COUNTA($C$5:C100),"000"))</f>
        <v/>
      </c>
      <c r="C100" s="14" t="n"/>
      <c r="D100" s="14" t="n"/>
      <c r="E100" s="14" t="n"/>
      <c r="F100" s="14" t="n"/>
      <c r="G100" s="32" t="n"/>
      <c r="H100" s="32" t="n"/>
      <c r="I100" s="15" t="n"/>
      <c r="J100" s="14" t="n"/>
      <c r="K100" s="14" t="n"/>
      <c r="L100" s="14" t="n"/>
      <c r="M100" s="14" t="n"/>
    </row>
    <row r="101" ht="22" customHeight="1">
      <c r="B101" s="18">
        <f>IF(C101="","CS-"&amp;TEXT(COUNTA($C$5:C101),"000"))</f>
        <v/>
      </c>
      <c r="C101" s="11" t="n"/>
      <c r="D101" s="11" t="n"/>
      <c r="E101" s="11" t="n"/>
      <c r="F101" s="11" t="n"/>
      <c r="G101" s="31" t="n"/>
      <c r="H101" s="31" t="n"/>
      <c r="I101" s="12" t="n"/>
      <c r="J101" s="11" t="n"/>
      <c r="K101" s="11" t="n"/>
      <c r="L101" s="11" t="n"/>
      <c r="M101" s="11" t="n"/>
    </row>
    <row r="102" ht="22" customHeight="1">
      <c r="B102" s="17">
        <f>IF(C102="","CS-"&amp;TEXT(COUNTA($C$5:C102),"000"))</f>
        <v/>
      </c>
      <c r="C102" s="14" t="n"/>
      <c r="D102" s="14" t="n"/>
      <c r="E102" s="14" t="n"/>
      <c r="F102" s="14" t="n"/>
      <c r="G102" s="32" t="n"/>
      <c r="H102" s="32" t="n"/>
      <c r="I102" s="15" t="n"/>
      <c r="J102" s="14" t="n"/>
      <c r="K102" s="14" t="n"/>
      <c r="L102" s="14" t="n"/>
      <c r="M102" s="14" t="n"/>
    </row>
    <row r="103" ht="22" customHeight="1">
      <c r="B103" s="18">
        <f>IF(C103="","CS-"&amp;TEXT(COUNTA($C$5:C103),"000"))</f>
        <v/>
      </c>
      <c r="C103" s="11" t="n"/>
      <c r="D103" s="11" t="n"/>
      <c r="E103" s="11" t="n"/>
      <c r="F103" s="11" t="n"/>
      <c r="G103" s="31" t="n"/>
      <c r="H103" s="31" t="n"/>
      <c r="I103" s="12" t="n"/>
      <c r="J103" s="11" t="n"/>
      <c r="K103" s="11" t="n"/>
      <c r="L103" s="11" t="n"/>
      <c r="M103" s="11" t="n"/>
    </row>
    <row r="104" ht="22" customHeight="1">
      <c r="B104" s="17">
        <f>IF(C104="","CS-"&amp;TEXT(COUNTA($C$5:C104),"000"))</f>
        <v/>
      </c>
      <c r="C104" s="14" t="n"/>
      <c r="D104" s="14" t="n"/>
      <c r="E104" s="14" t="n"/>
      <c r="F104" s="14" t="n"/>
      <c r="G104" s="32" t="n"/>
      <c r="H104" s="32" t="n"/>
      <c r="I104" s="15" t="n"/>
      <c r="J104" s="14" t="n"/>
      <c r="K104" s="14" t="n"/>
      <c r="L104" s="14" t="n"/>
      <c r="M104" s="14" t="n"/>
    </row>
    <row r="105" ht="22" customHeight="1">
      <c r="B105" s="18">
        <f>IF(C105="","CS-"&amp;TEXT(COUNTA($C$5:C105),"000"))</f>
        <v/>
      </c>
      <c r="C105" s="11" t="n"/>
      <c r="D105" s="11" t="n"/>
      <c r="E105" s="11" t="n"/>
      <c r="F105" s="11" t="n"/>
      <c r="G105" s="31" t="n"/>
      <c r="H105" s="31" t="n"/>
      <c r="I105" s="12" t="n"/>
      <c r="J105" s="11" t="n"/>
      <c r="K105" s="11" t="n"/>
      <c r="L105" s="11" t="n"/>
      <c r="M105" s="11" t="n"/>
    </row>
    <row r="106" ht="22" customHeight="1">
      <c r="B106" s="17">
        <f>IF(C106="","CS-"&amp;TEXT(COUNTA($C$5:C106),"000"))</f>
        <v/>
      </c>
      <c r="C106" s="14" t="n"/>
      <c r="D106" s="14" t="n"/>
      <c r="E106" s="14" t="n"/>
      <c r="F106" s="14" t="n"/>
      <c r="G106" s="32" t="n"/>
      <c r="H106" s="32" t="n"/>
      <c r="I106" s="15" t="n"/>
      <c r="J106" s="14" t="n"/>
      <c r="K106" s="14" t="n"/>
      <c r="L106" s="14" t="n"/>
      <c r="M106" s="14" t="n"/>
    </row>
    <row r="107" ht="22" customHeight="1">
      <c r="B107" s="18">
        <f>IF(C107="","CS-"&amp;TEXT(COUNTA($C$5:C107),"000"))</f>
        <v/>
      </c>
      <c r="C107" s="11" t="n"/>
      <c r="D107" s="11" t="n"/>
      <c r="E107" s="11" t="n"/>
      <c r="F107" s="11" t="n"/>
      <c r="G107" s="31" t="n"/>
      <c r="H107" s="31" t="n"/>
      <c r="I107" s="12" t="n"/>
      <c r="J107" s="11" t="n"/>
      <c r="K107" s="11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Categories securisees</t>
        </is>
      </c>
      <c r="D110" s="3" t="inlineStr">
        <is>
          <t>Incidents totaux</t>
        </is>
      </c>
      <c r="F110" s="3" t="inlineStr">
        <is>
          <t>Conformes</t>
        </is>
      </c>
    </row>
    <row r="111">
      <c r="B111" s="4">
        <f>COUNTIF(B5:B104,"&lt;&gt;")</f>
        <v/>
      </c>
      <c r="D111" s="4">
        <f>SUM(I5:I104)</f>
        <v/>
      </c>
      <c r="F111" s="4">
        <f>COUNTIF(J5:J104,"Conforme")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4">
    <dataValidation sqref="C5:C107" showDropDown="0" showInputMessage="0" showErrorMessage="0" allowBlank="1" errorTitle="Erreur" error="Valeur invalide" promptTitle="Liste" prompt="Choisir dans la liste" type="list">
      <formula1>'_Lists'!$L$2:$L$10</formula1>
    </dataValidation>
    <dataValidation sqref="E5:E107" showDropDown="0" showInputMessage="0" showErrorMessage="0" allowBlank="1" errorTitle="Erreur" error="Valeur invalide" promptTitle="Liste" prompt="Choisir dans la liste" type="list">
      <formula1>'_Lists'!$M$2:$M$5</formula1>
    </dataValidation>
    <dataValidation sqref="J5:J107" showDropDown="0" showInputMessage="0" showErrorMessage="0" allowBlank="1" errorTitle="Erreur" error="Valeur invalide" promptTitle="Liste" prompt="Choisir dans la liste" type="list">
      <formula1>'_Lists'!$E$2:$E$8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46" customWidth="1" min="4" max="4"/>
    <col width="28" customWidth="1" min="5" max="5"/>
    <col width="20" customWidth="1" min="6" max="6"/>
    <col width="34" customWidth="1" min="7" max="7"/>
    <col width="16" customWidth="1" min="8" max="8"/>
    <col width="18" customWidth="1" min="9" max="9"/>
    <col width="14" customWidth="1" min="10" max="10"/>
    <col width="26" customWidth="1" min="11" max="11"/>
    <col width="36" customWidth="1" min="12" max="12"/>
  </cols>
  <sheetData>
    <row r="1" ht="15" customHeight="1"/>
    <row r="2" ht="32" customHeight="1">
      <c r="B2" s="1" t="inlineStr">
        <is>
          <t>VEILLE TECHNOLOGIQUE RH (#166)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Sujet / Technologie</t>
        </is>
      </c>
      <c r="D4" s="10" t="inlineStr">
        <is>
          <t>Description</t>
        </is>
      </c>
      <c r="E4" s="10" t="inlineStr">
        <is>
          <t>Source Veille</t>
        </is>
      </c>
      <c r="F4" s="10" t="inlineStr">
        <is>
          <t>Frequence Suivi</t>
        </is>
      </c>
      <c r="G4" s="10" t="inlineStr">
        <is>
          <t>Impact Potentiel RH</t>
        </is>
      </c>
      <c r="H4" s="10" t="inlineStr">
        <is>
          <t>Date Decouverte</t>
        </is>
      </c>
      <c r="I4" s="10" t="inlineStr">
        <is>
          <t>Date Evaluation</t>
        </is>
      </c>
      <c r="J4" s="10" t="inlineStr">
        <is>
          <t>Priorite</t>
        </is>
      </c>
      <c r="K4" s="10" t="inlineStr">
        <is>
          <t>Statut</t>
        </is>
      </c>
      <c r="L4" s="10" t="inlineStr">
        <is>
          <t>Observations</t>
        </is>
      </c>
    </row>
    <row r="5" ht="22" customHeight="1">
      <c r="B5" s="11" t="inlineStr">
        <is>
          <t>VT-001</t>
        </is>
      </c>
      <c r="C5" s="11" t="inlineStr">
        <is>
          <t>IA Generative pour RH</t>
        </is>
      </c>
      <c r="D5" s="11" t="inlineStr">
        <is>
          <t>Utilisation de ChatGPT/Claude pour rediger offres, fiches poste, syntheses entretiens</t>
        </is>
      </c>
      <c r="E5" s="11" t="inlineStr">
        <is>
          <t>Blog tech, Conference HR Tech</t>
        </is>
      </c>
      <c r="F5" s="11" t="inlineStr">
        <is>
          <t>Hebdomadaire</t>
        </is>
      </c>
      <c r="G5" s="11" t="inlineStr">
        <is>
          <t>Eleve - Automatisation redaction</t>
        </is>
      </c>
      <c r="H5" s="31" t="n">
        <v>45566</v>
      </c>
      <c r="I5" s="31" t="n">
        <v>45672</v>
      </c>
      <c r="J5" s="11" t="inlineStr">
        <is>
          <t>Haute</t>
        </is>
      </c>
      <c r="K5" s="11" t="inlineStr">
        <is>
          <t>Etude de faisabilite</t>
        </is>
      </c>
      <c r="L5" s="11" t="inlineStr">
        <is>
          <t>POC en cours avec GPT-4</t>
        </is>
      </c>
    </row>
    <row r="6" ht="22" customHeight="1">
      <c r="B6" s="14" t="inlineStr">
        <is>
          <t>VT-002</t>
        </is>
      </c>
      <c r="C6" s="14" t="inlineStr">
        <is>
          <t>Blockchain pour verification diplomes</t>
        </is>
      </c>
      <c r="D6" s="14" t="inlineStr">
        <is>
          <t>Verification instantanee des diplomes et certifications candidats</t>
        </is>
      </c>
      <c r="E6" s="14" t="inlineStr">
        <is>
          <t>Publication academique</t>
        </is>
      </c>
      <c r="F6" s="14" t="inlineStr">
        <is>
          <t>Mensuelle</t>
        </is>
      </c>
      <c r="G6" s="14" t="inlineStr">
        <is>
          <t>Moyen - Securisation recrutement</t>
        </is>
      </c>
      <c r="H6" s="32" t="n">
        <v>45627</v>
      </c>
      <c r="I6" s="32" t="n"/>
      <c r="J6" s="14" t="inlineStr">
        <is>
          <t>Moyenne</t>
        </is>
      </c>
      <c r="K6" s="14" t="inlineStr">
        <is>
          <t>Idee</t>
        </is>
      </c>
      <c r="L6" s="14" t="inlineStr">
        <is>
          <t>Technologie encore immature pour notre contexte</t>
        </is>
      </c>
    </row>
    <row r="7" ht="22" customHeight="1">
      <c r="B7" s="11" t="inlineStr">
        <is>
          <t>VT-003</t>
        </is>
      </c>
      <c r="C7" s="11" t="inlineStr">
        <is>
          <t>Reality augmentee formation</t>
        </is>
      </c>
      <c r="D7" s="11" t="inlineStr">
        <is>
          <t>Formation immersive via AR pour les postes operationnels (cuisine, menage)</t>
        </is>
      </c>
      <c r="E7" s="11" t="inlineStr">
        <is>
          <t>Conference HR Tech</t>
        </is>
      </c>
      <c r="F7" s="11" t="inlineStr">
        <is>
          <t>Trimestrielle</t>
        </is>
      </c>
      <c r="G7" s="11" t="inlineStr">
        <is>
          <t>Eleve - Amelioration formation</t>
        </is>
      </c>
      <c r="H7" s="31" t="n">
        <v>45667</v>
      </c>
      <c r="I7" s="31" t="n">
        <v>45748</v>
      </c>
      <c r="J7" s="11" t="inlineStr">
        <is>
          <t>Haute</t>
        </is>
      </c>
      <c r="K7" s="11" t="inlineStr">
        <is>
          <t>Etude de faisabilite</t>
        </is>
      </c>
      <c r="L7" s="11" t="inlineStr">
        <is>
          <t>Casque AR Oculus teste en fev 2025</t>
        </is>
      </c>
    </row>
    <row r="8" ht="22" customHeight="1">
      <c r="B8" s="17">
        <f>IF(C8="","VT-"&amp;TEXT(COUNTA($C$5:C8),"000"))</f>
        <v/>
      </c>
      <c r="C8" s="14" t="n"/>
      <c r="D8" s="14" t="n"/>
      <c r="E8" s="14" t="n"/>
      <c r="F8" s="14" t="n"/>
      <c r="G8" s="14" t="n"/>
      <c r="H8" s="32" t="n"/>
      <c r="I8" s="32" t="n"/>
      <c r="J8" s="14" t="n"/>
      <c r="K8" s="14" t="n"/>
      <c r="L8" s="14" t="n"/>
    </row>
    <row r="9" ht="22" customHeight="1">
      <c r="B9" s="18">
        <f>IF(C9="","VT-"&amp;TEXT(COUNTA($C$5:C9),"000"))</f>
        <v/>
      </c>
      <c r="C9" s="11" t="n"/>
      <c r="D9" s="11" t="n"/>
      <c r="E9" s="11" t="n"/>
      <c r="F9" s="11" t="n"/>
      <c r="G9" s="11" t="n"/>
      <c r="H9" s="31" t="n"/>
      <c r="I9" s="31" t="n"/>
      <c r="J9" s="11" t="n"/>
      <c r="K9" s="11" t="n"/>
      <c r="L9" s="11" t="n"/>
    </row>
    <row r="10" ht="22" customHeight="1">
      <c r="B10" s="17">
        <f>IF(C10="","VT-"&amp;TEXT(COUNTA($C$5:C10),"000"))</f>
        <v/>
      </c>
      <c r="C10" s="14" t="n"/>
      <c r="D10" s="14" t="n"/>
      <c r="E10" s="14" t="n"/>
      <c r="F10" s="14" t="n"/>
      <c r="G10" s="14" t="n"/>
      <c r="H10" s="32" t="n"/>
      <c r="I10" s="32" t="n"/>
      <c r="J10" s="14" t="n"/>
      <c r="K10" s="14" t="n"/>
      <c r="L10" s="14" t="n"/>
    </row>
    <row r="11" ht="22" customHeight="1">
      <c r="B11" s="18">
        <f>IF(C11="","VT-"&amp;TEXT(COUNTA($C$5:C11),"000"))</f>
        <v/>
      </c>
      <c r="C11" s="11" t="n"/>
      <c r="D11" s="11" t="n"/>
      <c r="E11" s="11" t="n"/>
      <c r="F11" s="11" t="n"/>
      <c r="G11" s="11" t="n"/>
      <c r="H11" s="31" t="n"/>
      <c r="I11" s="31" t="n"/>
      <c r="J11" s="11" t="n"/>
      <c r="K11" s="11" t="n"/>
      <c r="L11" s="11" t="n"/>
    </row>
    <row r="12" ht="22" customHeight="1">
      <c r="B12" s="17">
        <f>IF(C12="","VT-"&amp;TEXT(COUNTA($C$5:C12),"000"))</f>
        <v/>
      </c>
      <c r="C12" s="14" t="n"/>
      <c r="D12" s="14" t="n"/>
      <c r="E12" s="14" t="n"/>
      <c r="F12" s="14" t="n"/>
      <c r="G12" s="14" t="n"/>
      <c r="H12" s="32" t="n"/>
      <c r="I12" s="32" t="n"/>
      <c r="J12" s="14" t="n"/>
      <c r="K12" s="14" t="n"/>
      <c r="L12" s="14" t="n"/>
    </row>
    <row r="13" ht="22" customHeight="1">
      <c r="B13" s="18">
        <f>IF(C13="","VT-"&amp;TEXT(COUNTA($C$5:C13),"000"))</f>
        <v/>
      </c>
      <c r="C13" s="11" t="n"/>
      <c r="D13" s="11" t="n"/>
      <c r="E13" s="11" t="n"/>
      <c r="F13" s="11" t="n"/>
      <c r="G13" s="11" t="n"/>
      <c r="H13" s="31" t="n"/>
      <c r="I13" s="31" t="n"/>
      <c r="J13" s="11" t="n"/>
      <c r="K13" s="11" t="n"/>
      <c r="L13" s="11" t="n"/>
    </row>
    <row r="14" ht="22" customHeight="1">
      <c r="B14" s="17">
        <f>IF(C14="","VT-"&amp;TEXT(COUNTA($C$5:C14),"000"))</f>
        <v/>
      </c>
      <c r="C14" s="14" t="n"/>
      <c r="D14" s="14" t="n"/>
      <c r="E14" s="14" t="n"/>
      <c r="F14" s="14" t="n"/>
      <c r="G14" s="14" t="n"/>
      <c r="H14" s="32" t="n"/>
      <c r="I14" s="32" t="n"/>
      <c r="J14" s="14" t="n"/>
      <c r="K14" s="14" t="n"/>
      <c r="L14" s="14" t="n"/>
    </row>
    <row r="15" ht="22" customHeight="1">
      <c r="B15" s="18">
        <f>IF(C15="","VT-"&amp;TEXT(COUNTA($C$5:C15),"000"))</f>
        <v/>
      </c>
      <c r="C15" s="11" t="n"/>
      <c r="D15" s="11" t="n"/>
      <c r="E15" s="11" t="n"/>
      <c r="F15" s="11" t="n"/>
      <c r="G15" s="11" t="n"/>
      <c r="H15" s="31" t="n"/>
      <c r="I15" s="31" t="n"/>
      <c r="J15" s="11" t="n"/>
      <c r="K15" s="11" t="n"/>
      <c r="L15" s="11" t="n"/>
    </row>
    <row r="16" ht="22" customHeight="1">
      <c r="B16" s="17">
        <f>IF(C16="","VT-"&amp;TEXT(COUNTA($C$5:C16),"000"))</f>
        <v/>
      </c>
      <c r="C16" s="14" t="n"/>
      <c r="D16" s="14" t="n"/>
      <c r="E16" s="14" t="n"/>
      <c r="F16" s="14" t="n"/>
      <c r="G16" s="14" t="n"/>
      <c r="H16" s="32" t="n"/>
      <c r="I16" s="32" t="n"/>
      <c r="J16" s="14" t="n"/>
      <c r="K16" s="14" t="n"/>
      <c r="L16" s="14" t="n"/>
    </row>
    <row r="17" ht="22" customHeight="1">
      <c r="B17" s="18">
        <f>IF(C17="","VT-"&amp;TEXT(COUNTA($C$5:C17),"000"))</f>
        <v/>
      </c>
      <c r="C17" s="11" t="n"/>
      <c r="D17" s="11" t="n"/>
      <c r="E17" s="11" t="n"/>
      <c r="F17" s="11" t="n"/>
      <c r="G17" s="11" t="n"/>
      <c r="H17" s="31" t="n"/>
      <c r="I17" s="31" t="n"/>
      <c r="J17" s="11" t="n"/>
      <c r="K17" s="11" t="n"/>
      <c r="L17" s="11" t="n"/>
    </row>
    <row r="18" ht="22" customHeight="1">
      <c r="B18" s="17">
        <f>IF(C18="","VT-"&amp;TEXT(COUNTA($C$5:C18),"000"))</f>
        <v/>
      </c>
      <c r="C18" s="14" t="n"/>
      <c r="D18" s="14" t="n"/>
      <c r="E18" s="14" t="n"/>
      <c r="F18" s="14" t="n"/>
      <c r="G18" s="14" t="n"/>
      <c r="H18" s="32" t="n"/>
      <c r="I18" s="32" t="n"/>
      <c r="J18" s="14" t="n"/>
      <c r="K18" s="14" t="n"/>
      <c r="L18" s="14" t="n"/>
    </row>
    <row r="19" ht="22" customHeight="1">
      <c r="B19" s="18">
        <f>IF(C19="","VT-"&amp;TEXT(COUNTA($C$5:C19),"000"))</f>
        <v/>
      </c>
      <c r="C19" s="11" t="n"/>
      <c r="D19" s="11" t="n"/>
      <c r="E19" s="11" t="n"/>
      <c r="F19" s="11" t="n"/>
      <c r="G19" s="11" t="n"/>
      <c r="H19" s="31" t="n"/>
      <c r="I19" s="31" t="n"/>
      <c r="J19" s="11" t="n"/>
      <c r="K19" s="11" t="n"/>
      <c r="L19" s="11" t="n"/>
    </row>
    <row r="20" ht="22" customHeight="1">
      <c r="B20" s="17">
        <f>IF(C20="","VT-"&amp;TEXT(COUNTA($C$5:C20),"000"))</f>
        <v/>
      </c>
      <c r="C20" s="14" t="n"/>
      <c r="D20" s="14" t="n"/>
      <c r="E20" s="14" t="n"/>
      <c r="F20" s="14" t="n"/>
      <c r="G20" s="14" t="n"/>
      <c r="H20" s="32" t="n"/>
      <c r="I20" s="32" t="n"/>
      <c r="J20" s="14" t="n"/>
      <c r="K20" s="14" t="n"/>
      <c r="L20" s="14" t="n"/>
    </row>
    <row r="21" ht="22" customHeight="1">
      <c r="B21" s="18">
        <f>IF(C21="","VT-"&amp;TEXT(COUNTA($C$5:C21),"000"))</f>
        <v/>
      </c>
      <c r="C21" s="11" t="n"/>
      <c r="D21" s="11" t="n"/>
      <c r="E21" s="11" t="n"/>
      <c r="F21" s="11" t="n"/>
      <c r="G21" s="11" t="n"/>
      <c r="H21" s="31" t="n"/>
      <c r="I21" s="31" t="n"/>
      <c r="J21" s="11" t="n"/>
      <c r="K21" s="11" t="n"/>
      <c r="L21" s="11" t="n"/>
    </row>
    <row r="22" ht="22" customHeight="1">
      <c r="B22" s="17">
        <f>IF(C22="","VT-"&amp;TEXT(COUNTA($C$5:C22),"000"))</f>
        <v/>
      </c>
      <c r="C22" s="14" t="n"/>
      <c r="D22" s="14" t="n"/>
      <c r="E22" s="14" t="n"/>
      <c r="F22" s="14" t="n"/>
      <c r="G22" s="14" t="n"/>
      <c r="H22" s="32" t="n"/>
      <c r="I22" s="32" t="n"/>
      <c r="J22" s="14" t="n"/>
      <c r="K22" s="14" t="n"/>
      <c r="L22" s="14" t="n"/>
    </row>
    <row r="23" ht="22" customHeight="1">
      <c r="B23" s="18">
        <f>IF(C23="","VT-"&amp;TEXT(COUNTA($C$5:C23),"000"))</f>
        <v/>
      </c>
      <c r="C23" s="11" t="n"/>
      <c r="D23" s="11" t="n"/>
      <c r="E23" s="11" t="n"/>
      <c r="F23" s="11" t="n"/>
      <c r="G23" s="11" t="n"/>
      <c r="H23" s="31" t="n"/>
      <c r="I23" s="31" t="n"/>
      <c r="J23" s="11" t="n"/>
      <c r="K23" s="11" t="n"/>
      <c r="L23" s="11" t="n"/>
    </row>
    <row r="24" ht="22" customHeight="1">
      <c r="B24" s="17">
        <f>IF(C24="","VT-"&amp;TEXT(COUNTA($C$5:C24),"000"))</f>
        <v/>
      </c>
      <c r="C24" s="14" t="n"/>
      <c r="D24" s="14" t="n"/>
      <c r="E24" s="14" t="n"/>
      <c r="F24" s="14" t="n"/>
      <c r="G24" s="14" t="n"/>
      <c r="H24" s="32" t="n"/>
      <c r="I24" s="32" t="n"/>
      <c r="J24" s="14" t="n"/>
      <c r="K24" s="14" t="n"/>
      <c r="L24" s="14" t="n"/>
    </row>
    <row r="25" ht="22" customHeight="1">
      <c r="B25" s="18">
        <f>IF(C25="","VT-"&amp;TEXT(COUNTA($C$5:C25),"000"))</f>
        <v/>
      </c>
      <c r="C25" s="11" t="n"/>
      <c r="D25" s="11" t="n"/>
      <c r="E25" s="11" t="n"/>
      <c r="F25" s="11" t="n"/>
      <c r="G25" s="11" t="n"/>
      <c r="H25" s="31" t="n"/>
      <c r="I25" s="31" t="n"/>
      <c r="J25" s="11" t="n"/>
      <c r="K25" s="11" t="n"/>
      <c r="L25" s="11" t="n"/>
    </row>
    <row r="26" ht="22" customHeight="1">
      <c r="B26" s="17">
        <f>IF(C26="","VT-"&amp;TEXT(COUNTA($C$5:C26),"000"))</f>
        <v/>
      </c>
      <c r="C26" s="14" t="n"/>
      <c r="D26" s="14" t="n"/>
      <c r="E26" s="14" t="n"/>
      <c r="F26" s="14" t="n"/>
      <c r="G26" s="14" t="n"/>
      <c r="H26" s="32" t="n"/>
      <c r="I26" s="32" t="n"/>
      <c r="J26" s="14" t="n"/>
      <c r="K26" s="14" t="n"/>
      <c r="L26" s="14" t="n"/>
    </row>
    <row r="27" ht="22" customHeight="1">
      <c r="B27" s="18">
        <f>IF(C27="","VT-"&amp;TEXT(COUNTA($C$5:C27),"000"))</f>
        <v/>
      </c>
      <c r="C27" s="11" t="n"/>
      <c r="D27" s="11" t="n"/>
      <c r="E27" s="11" t="n"/>
      <c r="F27" s="11" t="n"/>
      <c r="G27" s="11" t="n"/>
      <c r="H27" s="31" t="n"/>
      <c r="I27" s="31" t="n"/>
      <c r="J27" s="11" t="n"/>
      <c r="K27" s="11" t="n"/>
      <c r="L27" s="11" t="n"/>
    </row>
    <row r="28" ht="22" customHeight="1">
      <c r="B28" s="17">
        <f>IF(C28="","VT-"&amp;TEXT(COUNTA($C$5:C28),"000"))</f>
        <v/>
      </c>
      <c r="C28" s="14" t="n"/>
      <c r="D28" s="14" t="n"/>
      <c r="E28" s="14" t="n"/>
      <c r="F28" s="14" t="n"/>
      <c r="G28" s="14" t="n"/>
      <c r="H28" s="32" t="n"/>
      <c r="I28" s="32" t="n"/>
      <c r="J28" s="14" t="n"/>
      <c r="K28" s="14" t="n"/>
      <c r="L28" s="14" t="n"/>
    </row>
    <row r="29" ht="22" customHeight="1">
      <c r="B29" s="18">
        <f>IF(C29="","VT-"&amp;TEXT(COUNTA($C$5:C29),"000"))</f>
        <v/>
      </c>
      <c r="C29" s="11" t="n"/>
      <c r="D29" s="11" t="n"/>
      <c r="E29" s="11" t="n"/>
      <c r="F29" s="11" t="n"/>
      <c r="G29" s="11" t="n"/>
      <c r="H29" s="31" t="n"/>
      <c r="I29" s="31" t="n"/>
      <c r="J29" s="11" t="n"/>
      <c r="K29" s="11" t="n"/>
      <c r="L29" s="11" t="n"/>
    </row>
    <row r="30" ht="22" customHeight="1">
      <c r="B30" s="17">
        <f>IF(C30="","VT-"&amp;TEXT(COUNTA($C$5:C30),"000"))</f>
        <v/>
      </c>
      <c r="C30" s="14" t="n"/>
      <c r="D30" s="14" t="n"/>
      <c r="E30" s="14" t="n"/>
      <c r="F30" s="14" t="n"/>
      <c r="G30" s="14" t="n"/>
      <c r="H30" s="32" t="n"/>
      <c r="I30" s="32" t="n"/>
      <c r="J30" s="14" t="n"/>
      <c r="K30" s="14" t="n"/>
      <c r="L30" s="14" t="n"/>
    </row>
    <row r="31" ht="22" customHeight="1">
      <c r="B31" s="18">
        <f>IF(C31="","VT-"&amp;TEXT(COUNTA($C$5:C31),"000"))</f>
        <v/>
      </c>
      <c r="C31" s="11" t="n"/>
      <c r="D31" s="11" t="n"/>
      <c r="E31" s="11" t="n"/>
      <c r="F31" s="11" t="n"/>
      <c r="G31" s="11" t="n"/>
      <c r="H31" s="31" t="n"/>
      <c r="I31" s="31" t="n"/>
      <c r="J31" s="11" t="n"/>
      <c r="K31" s="11" t="n"/>
      <c r="L31" s="11" t="n"/>
    </row>
    <row r="32" ht="22" customHeight="1">
      <c r="B32" s="17">
        <f>IF(C32="","VT-"&amp;TEXT(COUNTA($C$5:C32),"000"))</f>
        <v/>
      </c>
      <c r="C32" s="14" t="n"/>
      <c r="D32" s="14" t="n"/>
      <c r="E32" s="14" t="n"/>
      <c r="F32" s="14" t="n"/>
      <c r="G32" s="14" t="n"/>
      <c r="H32" s="32" t="n"/>
      <c r="I32" s="32" t="n"/>
      <c r="J32" s="14" t="n"/>
      <c r="K32" s="14" t="n"/>
      <c r="L32" s="14" t="n"/>
    </row>
    <row r="33" ht="22" customHeight="1">
      <c r="B33" s="18">
        <f>IF(C33="","VT-"&amp;TEXT(COUNTA($C$5:C33),"000"))</f>
        <v/>
      </c>
      <c r="C33" s="11" t="n"/>
      <c r="D33" s="11" t="n"/>
      <c r="E33" s="11" t="n"/>
      <c r="F33" s="11" t="n"/>
      <c r="G33" s="11" t="n"/>
      <c r="H33" s="31" t="n"/>
      <c r="I33" s="31" t="n"/>
      <c r="J33" s="11" t="n"/>
      <c r="K33" s="11" t="n"/>
      <c r="L33" s="11" t="n"/>
    </row>
    <row r="34" ht="22" customHeight="1">
      <c r="B34" s="17">
        <f>IF(C34="","VT-"&amp;TEXT(COUNTA($C$5:C34),"000"))</f>
        <v/>
      </c>
      <c r="C34" s="14" t="n"/>
      <c r="D34" s="14" t="n"/>
      <c r="E34" s="14" t="n"/>
      <c r="F34" s="14" t="n"/>
      <c r="G34" s="14" t="n"/>
      <c r="H34" s="32" t="n"/>
      <c r="I34" s="32" t="n"/>
      <c r="J34" s="14" t="n"/>
      <c r="K34" s="14" t="n"/>
      <c r="L34" s="14" t="n"/>
    </row>
    <row r="35" ht="22" customHeight="1">
      <c r="B35" s="18">
        <f>IF(C35="","VT-"&amp;TEXT(COUNTA($C$5:C35),"000"))</f>
        <v/>
      </c>
      <c r="C35" s="11" t="n"/>
      <c r="D35" s="11" t="n"/>
      <c r="E35" s="11" t="n"/>
      <c r="F35" s="11" t="n"/>
      <c r="G35" s="11" t="n"/>
      <c r="H35" s="31" t="n"/>
      <c r="I35" s="31" t="n"/>
      <c r="J35" s="11" t="n"/>
      <c r="K35" s="11" t="n"/>
      <c r="L35" s="11" t="n"/>
    </row>
    <row r="36" ht="22" customHeight="1">
      <c r="B36" s="17">
        <f>IF(C36="","VT-"&amp;TEXT(COUNTA($C$5:C36),"000"))</f>
        <v/>
      </c>
      <c r="C36" s="14" t="n"/>
      <c r="D36" s="14" t="n"/>
      <c r="E36" s="14" t="n"/>
      <c r="F36" s="14" t="n"/>
      <c r="G36" s="14" t="n"/>
      <c r="H36" s="32" t="n"/>
      <c r="I36" s="32" t="n"/>
      <c r="J36" s="14" t="n"/>
      <c r="K36" s="14" t="n"/>
      <c r="L36" s="14" t="n"/>
    </row>
    <row r="37" ht="22" customHeight="1">
      <c r="B37" s="18">
        <f>IF(C37="","VT-"&amp;TEXT(COUNTA($C$5:C37),"000"))</f>
        <v/>
      </c>
      <c r="C37" s="11" t="n"/>
      <c r="D37" s="11" t="n"/>
      <c r="E37" s="11" t="n"/>
      <c r="F37" s="11" t="n"/>
      <c r="G37" s="11" t="n"/>
      <c r="H37" s="31" t="n"/>
      <c r="I37" s="31" t="n"/>
      <c r="J37" s="11" t="n"/>
      <c r="K37" s="11" t="n"/>
      <c r="L37" s="11" t="n"/>
    </row>
    <row r="38" ht="22" customHeight="1">
      <c r="B38" s="17">
        <f>IF(C38="","VT-"&amp;TEXT(COUNTA($C$5:C38),"000"))</f>
        <v/>
      </c>
      <c r="C38" s="14" t="n"/>
      <c r="D38" s="14" t="n"/>
      <c r="E38" s="14" t="n"/>
      <c r="F38" s="14" t="n"/>
      <c r="G38" s="14" t="n"/>
      <c r="H38" s="32" t="n"/>
      <c r="I38" s="32" t="n"/>
      <c r="J38" s="14" t="n"/>
      <c r="K38" s="14" t="n"/>
      <c r="L38" s="14" t="n"/>
    </row>
    <row r="39" ht="22" customHeight="1">
      <c r="B39" s="18">
        <f>IF(C39="","VT-"&amp;TEXT(COUNTA($C$5:C39),"000"))</f>
        <v/>
      </c>
      <c r="C39" s="11" t="n"/>
      <c r="D39" s="11" t="n"/>
      <c r="E39" s="11" t="n"/>
      <c r="F39" s="11" t="n"/>
      <c r="G39" s="11" t="n"/>
      <c r="H39" s="31" t="n"/>
      <c r="I39" s="31" t="n"/>
      <c r="J39" s="11" t="n"/>
      <c r="K39" s="11" t="n"/>
      <c r="L39" s="11" t="n"/>
    </row>
    <row r="40" ht="22" customHeight="1">
      <c r="B40" s="17">
        <f>IF(C40="","VT-"&amp;TEXT(COUNTA($C$5:C40),"000"))</f>
        <v/>
      </c>
      <c r="C40" s="14" t="n"/>
      <c r="D40" s="14" t="n"/>
      <c r="E40" s="14" t="n"/>
      <c r="F40" s="14" t="n"/>
      <c r="G40" s="14" t="n"/>
      <c r="H40" s="32" t="n"/>
      <c r="I40" s="32" t="n"/>
      <c r="J40" s="14" t="n"/>
      <c r="K40" s="14" t="n"/>
      <c r="L40" s="14" t="n"/>
    </row>
    <row r="41" ht="22" customHeight="1">
      <c r="B41" s="18">
        <f>IF(C41="","VT-"&amp;TEXT(COUNTA($C$5:C41),"000"))</f>
        <v/>
      </c>
      <c r="C41" s="11" t="n"/>
      <c r="D41" s="11" t="n"/>
      <c r="E41" s="11" t="n"/>
      <c r="F41" s="11" t="n"/>
      <c r="G41" s="11" t="n"/>
      <c r="H41" s="31" t="n"/>
      <c r="I41" s="31" t="n"/>
      <c r="J41" s="11" t="n"/>
      <c r="K41" s="11" t="n"/>
      <c r="L41" s="11" t="n"/>
    </row>
    <row r="42" ht="22" customHeight="1">
      <c r="B42" s="17">
        <f>IF(C42="","VT-"&amp;TEXT(COUNTA($C$5:C42),"000"))</f>
        <v/>
      </c>
      <c r="C42" s="14" t="n"/>
      <c r="D42" s="14" t="n"/>
      <c r="E42" s="14" t="n"/>
      <c r="F42" s="14" t="n"/>
      <c r="G42" s="14" t="n"/>
      <c r="H42" s="32" t="n"/>
      <c r="I42" s="32" t="n"/>
      <c r="J42" s="14" t="n"/>
      <c r="K42" s="14" t="n"/>
      <c r="L42" s="14" t="n"/>
    </row>
    <row r="43" ht="22" customHeight="1">
      <c r="B43" s="18">
        <f>IF(C43="","VT-"&amp;TEXT(COUNTA($C$5:C43),"000"))</f>
        <v/>
      </c>
      <c r="C43" s="11" t="n"/>
      <c r="D43" s="11" t="n"/>
      <c r="E43" s="11" t="n"/>
      <c r="F43" s="11" t="n"/>
      <c r="G43" s="11" t="n"/>
      <c r="H43" s="31" t="n"/>
      <c r="I43" s="31" t="n"/>
      <c r="J43" s="11" t="n"/>
      <c r="K43" s="11" t="n"/>
      <c r="L43" s="11" t="n"/>
    </row>
    <row r="44" ht="22" customHeight="1">
      <c r="B44" s="17">
        <f>IF(C44="","VT-"&amp;TEXT(COUNTA($C$5:C44),"000"))</f>
        <v/>
      </c>
      <c r="C44" s="14" t="n"/>
      <c r="D44" s="14" t="n"/>
      <c r="E44" s="14" t="n"/>
      <c r="F44" s="14" t="n"/>
      <c r="G44" s="14" t="n"/>
      <c r="H44" s="32" t="n"/>
      <c r="I44" s="32" t="n"/>
      <c r="J44" s="14" t="n"/>
      <c r="K44" s="14" t="n"/>
      <c r="L44" s="14" t="n"/>
    </row>
    <row r="45" ht="22" customHeight="1">
      <c r="B45" s="18">
        <f>IF(C45="","VT-"&amp;TEXT(COUNTA($C$5:C45),"000"))</f>
        <v/>
      </c>
      <c r="C45" s="11" t="n"/>
      <c r="D45" s="11" t="n"/>
      <c r="E45" s="11" t="n"/>
      <c r="F45" s="11" t="n"/>
      <c r="G45" s="11" t="n"/>
      <c r="H45" s="31" t="n"/>
      <c r="I45" s="31" t="n"/>
      <c r="J45" s="11" t="n"/>
      <c r="K45" s="11" t="n"/>
      <c r="L45" s="11" t="n"/>
    </row>
    <row r="46" ht="22" customHeight="1">
      <c r="B46" s="17">
        <f>IF(C46="","VT-"&amp;TEXT(COUNTA($C$5:C46),"000"))</f>
        <v/>
      </c>
      <c r="C46" s="14" t="n"/>
      <c r="D46" s="14" t="n"/>
      <c r="E46" s="14" t="n"/>
      <c r="F46" s="14" t="n"/>
      <c r="G46" s="14" t="n"/>
      <c r="H46" s="32" t="n"/>
      <c r="I46" s="32" t="n"/>
      <c r="J46" s="14" t="n"/>
      <c r="K46" s="14" t="n"/>
      <c r="L46" s="14" t="n"/>
    </row>
    <row r="47" ht="22" customHeight="1">
      <c r="B47" s="18">
        <f>IF(C47="","VT-"&amp;TEXT(COUNTA($C$5:C47),"000"))</f>
        <v/>
      </c>
      <c r="C47" s="11" t="n"/>
      <c r="D47" s="11" t="n"/>
      <c r="E47" s="11" t="n"/>
      <c r="F47" s="11" t="n"/>
      <c r="G47" s="11" t="n"/>
      <c r="H47" s="31" t="n"/>
      <c r="I47" s="31" t="n"/>
      <c r="J47" s="11" t="n"/>
      <c r="K47" s="11" t="n"/>
      <c r="L47" s="11" t="n"/>
    </row>
    <row r="48" ht="22" customHeight="1">
      <c r="B48" s="17">
        <f>IF(C48="","VT-"&amp;TEXT(COUNTA($C$5:C48),"000"))</f>
        <v/>
      </c>
      <c r="C48" s="14" t="n"/>
      <c r="D48" s="14" t="n"/>
      <c r="E48" s="14" t="n"/>
      <c r="F48" s="14" t="n"/>
      <c r="G48" s="14" t="n"/>
      <c r="H48" s="32" t="n"/>
      <c r="I48" s="32" t="n"/>
      <c r="J48" s="14" t="n"/>
      <c r="K48" s="14" t="n"/>
      <c r="L48" s="14" t="n"/>
    </row>
    <row r="49" ht="22" customHeight="1">
      <c r="B49" s="18">
        <f>IF(C49="","VT-"&amp;TEXT(COUNTA($C$5:C49),"000"))</f>
        <v/>
      </c>
      <c r="C49" s="11" t="n"/>
      <c r="D49" s="11" t="n"/>
      <c r="E49" s="11" t="n"/>
      <c r="F49" s="11" t="n"/>
      <c r="G49" s="11" t="n"/>
      <c r="H49" s="31" t="n"/>
      <c r="I49" s="31" t="n"/>
      <c r="J49" s="11" t="n"/>
      <c r="K49" s="11" t="n"/>
      <c r="L49" s="11" t="n"/>
    </row>
    <row r="50" ht="22" customHeight="1">
      <c r="B50" s="17">
        <f>IF(C50="","VT-"&amp;TEXT(COUNTA($C$5:C50),"000"))</f>
        <v/>
      </c>
      <c r="C50" s="14" t="n"/>
      <c r="D50" s="14" t="n"/>
      <c r="E50" s="14" t="n"/>
      <c r="F50" s="14" t="n"/>
      <c r="G50" s="14" t="n"/>
      <c r="H50" s="32" t="n"/>
      <c r="I50" s="32" t="n"/>
      <c r="J50" s="14" t="n"/>
      <c r="K50" s="14" t="n"/>
      <c r="L50" s="14" t="n"/>
    </row>
    <row r="51" ht="22" customHeight="1">
      <c r="B51" s="18">
        <f>IF(C51="","VT-"&amp;TEXT(COUNTA($C$5:C51),"000"))</f>
        <v/>
      </c>
      <c r="C51" s="11" t="n"/>
      <c r="D51" s="11" t="n"/>
      <c r="E51" s="11" t="n"/>
      <c r="F51" s="11" t="n"/>
      <c r="G51" s="11" t="n"/>
      <c r="H51" s="31" t="n"/>
      <c r="I51" s="31" t="n"/>
      <c r="J51" s="11" t="n"/>
      <c r="K51" s="11" t="n"/>
      <c r="L51" s="11" t="n"/>
    </row>
    <row r="52" ht="22" customHeight="1">
      <c r="B52" s="17">
        <f>IF(C52="","VT-"&amp;TEXT(COUNTA($C$5:C52),"000"))</f>
        <v/>
      </c>
      <c r="C52" s="14" t="n"/>
      <c r="D52" s="14" t="n"/>
      <c r="E52" s="14" t="n"/>
      <c r="F52" s="14" t="n"/>
      <c r="G52" s="14" t="n"/>
      <c r="H52" s="32" t="n"/>
      <c r="I52" s="32" t="n"/>
      <c r="J52" s="14" t="n"/>
      <c r="K52" s="14" t="n"/>
      <c r="L52" s="14" t="n"/>
    </row>
    <row r="53" ht="22" customHeight="1">
      <c r="B53" s="18">
        <f>IF(C53="","VT-"&amp;TEXT(COUNTA($C$5:C53),"000"))</f>
        <v/>
      </c>
      <c r="C53" s="11" t="n"/>
      <c r="D53" s="11" t="n"/>
      <c r="E53" s="11" t="n"/>
      <c r="F53" s="11" t="n"/>
      <c r="G53" s="11" t="n"/>
      <c r="H53" s="31" t="n"/>
      <c r="I53" s="31" t="n"/>
      <c r="J53" s="11" t="n"/>
      <c r="K53" s="11" t="n"/>
      <c r="L53" s="11" t="n"/>
    </row>
    <row r="54" ht="22" customHeight="1">
      <c r="B54" s="17">
        <f>IF(C54="","VT-"&amp;TEXT(COUNTA($C$5:C54),"000"))</f>
        <v/>
      </c>
      <c r="C54" s="14" t="n"/>
      <c r="D54" s="14" t="n"/>
      <c r="E54" s="14" t="n"/>
      <c r="F54" s="14" t="n"/>
      <c r="G54" s="14" t="n"/>
      <c r="H54" s="32" t="n"/>
      <c r="I54" s="32" t="n"/>
      <c r="J54" s="14" t="n"/>
      <c r="K54" s="14" t="n"/>
      <c r="L54" s="14" t="n"/>
    </row>
    <row r="55" ht="22" customHeight="1">
      <c r="B55" s="18">
        <f>IF(C55="","VT-"&amp;TEXT(COUNTA($C$5:C55),"000"))</f>
        <v/>
      </c>
      <c r="C55" s="11" t="n"/>
      <c r="D55" s="11" t="n"/>
      <c r="E55" s="11" t="n"/>
      <c r="F55" s="11" t="n"/>
      <c r="G55" s="11" t="n"/>
      <c r="H55" s="31" t="n"/>
      <c r="I55" s="31" t="n"/>
      <c r="J55" s="11" t="n"/>
      <c r="K55" s="11" t="n"/>
      <c r="L55" s="11" t="n"/>
    </row>
    <row r="56" ht="22" customHeight="1">
      <c r="B56" s="17">
        <f>IF(C56="","VT-"&amp;TEXT(COUNTA($C$5:C56),"000"))</f>
        <v/>
      </c>
      <c r="C56" s="14" t="n"/>
      <c r="D56" s="14" t="n"/>
      <c r="E56" s="14" t="n"/>
      <c r="F56" s="14" t="n"/>
      <c r="G56" s="14" t="n"/>
      <c r="H56" s="32" t="n"/>
      <c r="I56" s="32" t="n"/>
      <c r="J56" s="14" t="n"/>
      <c r="K56" s="14" t="n"/>
      <c r="L56" s="14" t="n"/>
    </row>
    <row r="57" ht="22" customHeight="1">
      <c r="B57" s="18">
        <f>IF(C57="","VT-"&amp;TEXT(COUNTA($C$5:C57),"000"))</f>
        <v/>
      </c>
      <c r="C57" s="11" t="n"/>
      <c r="D57" s="11" t="n"/>
      <c r="E57" s="11" t="n"/>
      <c r="F57" s="11" t="n"/>
      <c r="G57" s="11" t="n"/>
      <c r="H57" s="31" t="n"/>
      <c r="I57" s="31" t="n"/>
      <c r="J57" s="11" t="n"/>
      <c r="K57" s="11" t="n"/>
      <c r="L57" s="11" t="n"/>
    </row>
    <row r="58" ht="22" customHeight="1">
      <c r="B58" s="17">
        <f>IF(C58="","VT-"&amp;TEXT(COUNTA($C$5:C58),"000"))</f>
        <v/>
      </c>
      <c r="C58" s="14" t="n"/>
      <c r="D58" s="14" t="n"/>
      <c r="E58" s="14" t="n"/>
      <c r="F58" s="14" t="n"/>
      <c r="G58" s="14" t="n"/>
      <c r="H58" s="32" t="n"/>
      <c r="I58" s="32" t="n"/>
      <c r="J58" s="14" t="n"/>
      <c r="K58" s="14" t="n"/>
      <c r="L58" s="14" t="n"/>
    </row>
    <row r="59" ht="22" customHeight="1">
      <c r="B59" s="18">
        <f>IF(C59="","VT-"&amp;TEXT(COUNTA($C$5:C59),"000"))</f>
        <v/>
      </c>
      <c r="C59" s="11" t="n"/>
      <c r="D59" s="11" t="n"/>
      <c r="E59" s="11" t="n"/>
      <c r="F59" s="11" t="n"/>
      <c r="G59" s="11" t="n"/>
      <c r="H59" s="31" t="n"/>
      <c r="I59" s="31" t="n"/>
      <c r="J59" s="11" t="n"/>
      <c r="K59" s="11" t="n"/>
      <c r="L59" s="11" t="n"/>
    </row>
    <row r="60" ht="22" customHeight="1">
      <c r="B60" s="17">
        <f>IF(C60="","VT-"&amp;TEXT(COUNTA($C$5:C60),"000"))</f>
        <v/>
      </c>
      <c r="C60" s="14" t="n"/>
      <c r="D60" s="14" t="n"/>
      <c r="E60" s="14" t="n"/>
      <c r="F60" s="14" t="n"/>
      <c r="G60" s="14" t="n"/>
      <c r="H60" s="32" t="n"/>
      <c r="I60" s="32" t="n"/>
      <c r="J60" s="14" t="n"/>
      <c r="K60" s="14" t="n"/>
      <c r="L60" s="14" t="n"/>
    </row>
    <row r="61" ht="22" customHeight="1">
      <c r="B61" s="18">
        <f>IF(C61="","VT-"&amp;TEXT(COUNTA($C$5:C61),"000"))</f>
        <v/>
      </c>
      <c r="C61" s="11" t="n"/>
      <c r="D61" s="11" t="n"/>
      <c r="E61" s="11" t="n"/>
      <c r="F61" s="11" t="n"/>
      <c r="G61" s="11" t="n"/>
      <c r="H61" s="31" t="n"/>
      <c r="I61" s="31" t="n"/>
      <c r="J61" s="11" t="n"/>
      <c r="K61" s="11" t="n"/>
      <c r="L61" s="11" t="n"/>
    </row>
    <row r="62" ht="22" customHeight="1">
      <c r="B62" s="17">
        <f>IF(C62="","VT-"&amp;TEXT(COUNTA($C$5:C62),"000"))</f>
        <v/>
      </c>
      <c r="C62" s="14" t="n"/>
      <c r="D62" s="14" t="n"/>
      <c r="E62" s="14" t="n"/>
      <c r="F62" s="14" t="n"/>
      <c r="G62" s="14" t="n"/>
      <c r="H62" s="32" t="n"/>
      <c r="I62" s="32" t="n"/>
      <c r="J62" s="14" t="n"/>
      <c r="K62" s="14" t="n"/>
      <c r="L62" s="14" t="n"/>
    </row>
    <row r="63" ht="22" customHeight="1">
      <c r="B63" s="18">
        <f>IF(C63="","VT-"&amp;TEXT(COUNTA($C$5:C63),"000"))</f>
        <v/>
      </c>
      <c r="C63" s="11" t="n"/>
      <c r="D63" s="11" t="n"/>
      <c r="E63" s="11" t="n"/>
      <c r="F63" s="11" t="n"/>
      <c r="G63" s="11" t="n"/>
      <c r="H63" s="31" t="n"/>
      <c r="I63" s="31" t="n"/>
      <c r="J63" s="11" t="n"/>
      <c r="K63" s="11" t="n"/>
      <c r="L63" s="11" t="n"/>
    </row>
    <row r="64" ht="22" customHeight="1">
      <c r="B64" s="17">
        <f>IF(C64="","VT-"&amp;TEXT(COUNTA($C$5:C64),"000"))</f>
        <v/>
      </c>
      <c r="C64" s="14" t="n"/>
      <c r="D64" s="14" t="n"/>
      <c r="E64" s="14" t="n"/>
      <c r="F64" s="14" t="n"/>
      <c r="G64" s="14" t="n"/>
      <c r="H64" s="32" t="n"/>
      <c r="I64" s="32" t="n"/>
      <c r="J64" s="14" t="n"/>
      <c r="K64" s="14" t="n"/>
      <c r="L64" s="14" t="n"/>
    </row>
    <row r="65" ht="22" customHeight="1">
      <c r="B65" s="18">
        <f>IF(C65="","VT-"&amp;TEXT(COUNTA($C$5:C65),"000"))</f>
        <v/>
      </c>
      <c r="C65" s="11" t="n"/>
      <c r="D65" s="11" t="n"/>
      <c r="E65" s="11" t="n"/>
      <c r="F65" s="11" t="n"/>
      <c r="G65" s="11" t="n"/>
      <c r="H65" s="31" t="n"/>
      <c r="I65" s="31" t="n"/>
      <c r="J65" s="11" t="n"/>
      <c r="K65" s="11" t="n"/>
      <c r="L65" s="11" t="n"/>
    </row>
    <row r="66" ht="22" customHeight="1">
      <c r="B66" s="17">
        <f>IF(C66="","VT-"&amp;TEXT(COUNTA($C$5:C66),"000"))</f>
        <v/>
      </c>
      <c r="C66" s="14" t="n"/>
      <c r="D66" s="14" t="n"/>
      <c r="E66" s="14" t="n"/>
      <c r="F66" s="14" t="n"/>
      <c r="G66" s="14" t="n"/>
      <c r="H66" s="32" t="n"/>
      <c r="I66" s="32" t="n"/>
      <c r="J66" s="14" t="n"/>
      <c r="K66" s="14" t="n"/>
      <c r="L66" s="14" t="n"/>
    </row>
    <row r="67" ht="22" customHeight="1">
      <c r="B67" s="18">
        <f>IF(C67="","VT-"&amp;TEXT(COUNTA($C$5:C67),"000"))</f>
        <v/>
      </c>
      <c r="C67" s="11" t="n"/>
      <c r="D67" s="11" t="n"/>
      <c r="E67" s="11" t="n"/>
      <c r="F67" s="11" t="n"/>
      <c r="G67" s="11" t="n"/>
      <c r="H67" s="31" t="n"/>
      <c r="I67" s="31" t="n"/>
      <c r="J67" s="11" t="n"/>
      <c r="K67" s="11" t="n"/>
      <c r="L67" s="11" t="n"/>
    </row>
    <row r="68" ht="22" customHeight="1">
      <c r="B68" s="17">
        <f>IF(C68="","VT-"&amp;TEXT(COUNTA($C$5:C68),"000"))</f>
        <v/>
      </c>
      <c r="C68" s="14" t="n"/>
      <c r="D68" s="14" t="n"/>
      <c r="E68" s="14" t="n"/>
      <c r="F68" s="14" t="n"/>
      <c r="G68" s="14" t="n"/>
      <c r="H68" s="32" t="n"/>
      <c r="I68" s="32" t="n"/>
      <c r="J68" s="14" t="n"/>
      <c r="K68" s="14" t="n"/>
      <c r="L68" s="14" t="n"/>
    </row>
    <row r="69" ht="22" customHeight="1">
      <c r="B69" s="18">
        <f>IF(C69="","VT-"&amp;TEXT(COUNTA($C$5:C69),"000"))</f>
        <v/>
      </c>
      <c r="C69" s="11" t="n"/>
      <c r="D69" s="11" t="n"/>
      <c r="E69" s="11" t="n"/>
      <c r="F69" s="11" t="n"/>
      <c r="G69" s="11" t="n"/>
      <c r="H69" s="31" t="n"/>
      <c r="I69" s="31" t="n"/>
      <c r="J69" s="11" t="n"/>
      <c r="K69" s="11" t="n"/>
      <c r="L69" s="11" t="n"/>
    </row>
    <row r="70" ht="22" customHeight="1">
      <c r="B70" s="17">
        <f>IF(C70="","VT-"&amp;TEXT(COUNTA($C$5:C70),"000"))</f>
        <v/>
      </c>
      <c r="C70" s="14" t="n"/>
      <c r="D70" s="14" t="n"/>
      <c r="E70" s="14" t="n"/>
      <c r="F70" s="14" t="n"/>
      <c r="G70" s="14" t="n"/>
      <c r="H70" s="32" t="n"/>
      <c r="I70" s="32" t="n"/>
      <c r="J70" s="14" t="n"/>
      <c r="K70" s="14" t="n"/>
      <c r="L70" s="14" t="n"/>
    </row>
    <row r="71" ht="22" customHeight="1">
      <c r="B71" s="18">
        <f>IF(C71="","VT-"&amp;TEXT(COUNTA($C$5:C71),"000"))</f>
        <v/>
      </c>
      <c r="C71" s="11" t="n"/>
      <c r="D71" s="11" t="n"/>
      <c r="E71" s="11" t="n"/>
      <c r="F71" s="11" t="n"/>
      <c r="G71" s="11" t="n"/>
      <c r="H71" s="31" t="n"/>
      <c r="I71" s="31" t="n"/>
      <c r="J71" s="11" t="n"/>
      <c r="K71" s="11" t="n"/>
      <c r="L71" s="11" t="n"/>
    </row>
    <row r="72" ht="22" customHeight="1">
      <c r="B72" s="17">
        <f>IF(C72="","VT-"&amp;TEXT(COUNTA($C$5:C72),"000"))</f>
        <v/>
      </c>
      <c r="C72" s="14" t="n"/>
      <c r="D72" s="14" t="n"/>
      <c r="E72" s="14" t="n"/>
      <c r="F72" s="14" t="n"/>
      <c r="G72" s="14" t="n"/>
      <c r="H72" s="32" t="n"/>
      <c r="I72" s="32" t="n"/>
      <c r="J72" s="14" t="n"/>
      <c r="K72" s="14" t="n"/>
      <c r="L72" s="14" t="n"/>
    </row>
    <row r="73" ht="22" customHeight="1">
      <c r="B73" s="18">
        <f>IF(C73="","VT-"&amp;TEXT(COUNTA($C$5:C73),"000"))</f>
        <v/>
      </c>
      <c r="C73" s="11" t="n"/>
      <c r="D73" s="11" t="n"/>
      <c r="E73" s="11" t="n"/>
      <c r="F73" s="11" t="n"/>
      <c r="G73" s="11" t="n"/>
      <c r="H73" s="31" t="n"/>
      <c r="I73" s="31" t="n"/>
      <c r="J73" s="11" t="n"/>
      <c r="K73" s="11" t="n"/>
      <c r="L73" s="11" t="n"/>
    </row>
    <row r="74" ht="22" customHeight="1">
      <c r="B74" s="17">
        <f>IF(C74="","VT-"&amp;TEXT(COUNTA($C$5:C74),"000"))</f>
        <v/>
      </c>
      <c r="C74" s="14" t="n"/>
      <c r="D74" s="14" t="n"/>
      <c r="E74" s="14" t="n"/>
      <c r="F74" s="14" t="n"/>
      <c r="G74" s="14" t="n"/>
      <c r="H74" s="32" t="n"/>
      <c r="I74" s="32" t="n"/>
      <c r="J74" s="14" t="n"/>
      <c r="K74" s="14" t="n"/>
      <c r="L74" s="14" t="n"/>
    </row>
    <row r="75" ht="22" customHeight="1">
      <c r="B75" s="18">
        <f>IF(C75="","VT-"&amp;TEXT(COUNTA($C$5:C75),"000"))</f>
        <v/>
      </c>
      <c r="C75" s="11" t="n"/>
      <c r="D75" s="11" t="n"/>
      <c r="E75" s="11" t="n"/>
      <c r="F75" s="11" t="n"/>
      <c r="G75" s="11" t="n"/>
      <c r="H75" s="31" t="n"/>
      <c r="I75" s="31" t="n"/>
      <c r="J75" s="11" t="n"/>
      <c r="K75" s="11" t="n"/>
      <c r="L75" s="11" t="n"/>
    </row>
    <row r="76" ht="22" customHeight="1">
      <c r="B76" s="17">
        <f>IF(C76="","VT-"&amp;TEXT(COUNTA($C$5:C76),"000"))</f>
        <v/>
      </c>
      <c r="C76" s="14" t="n"/>
      <c r="D76" s="14" t="n"/>
      <c r="E76" s="14" t="n"/>
      <c r="F76" s="14" t="n"/>
      <c r="G76" s="14" t="n"/>
      <c r="H76" s="32" t="n"/>
      <c r="I76" s="32" t="n"/>
      <c r="J76" s="14" t="n"/>
      <c r="K76" s="14" t="n"/>
      <c r="L76" s="14" t="n"/>
    </row>
    <row r="77" ht="22" customHeight="1">
      <c r="B77" s="18">
        <f>IF(C77="","VT-"&amp;TEXT(COUNTA($C$5:C77),"000"))</f>
        <v/>
      </c>
      <c r="C77" s="11" t="n"/>
      <c r="D77" s="11" t="n"/>
      <c r="E77" s="11" t="n"/>
      <c r="F77" s="11" t="n"/>
      <c r="G77" s="11" t="n"/>
      <c r="H77" s="31" t="n"/>
      <c r="I77" s="31" t="n"/>
      <c r="J77" s="11" t="n"/>
      <c r="K77" s="11" t="n"/>
      <c r="L77" s="11" t="n"/>
    </row>
    <row r="78" ht="22" customHeight="1">
      <c r="B78" s="17">
        <f>IF(C78="","VT-"&amp;TEXT(COUNTA($C$5:C78),"000"))</f>
        <v/>
      </c>
      <c r="C78" s="14" t="n"/>
      <c r="D78" s="14" t="n"/>
      <c r="E78" s="14" t="n"/>
      <c r="F78" s="14" t="n"/>
      <c r="G78" s="14" t="n"/>
      <c r="H78" s="32" t="n"/>
      <c r="I78" s="32" t="n"/>
      <c r="J78" s="14" t="n"/>
      <c r="K78" s="14" t="n"/>
      <c r="L78" s="14" t="n"/>
    </row>
    <row r="79" ht="22" customHeight="1">
      <c r="B79" s="18">
        <f>IF(C79="","VT-"&amp;TEXT(COUNTA($C$5:C79),"000"))</f>
        <v/>
      </c>
      <c r="C79" s="11" t="n"/>
      <c r="D79" s="11" t="n"/>
      <c r="E79" s="11" t="n"/>
      <c r="F79" s="11" t="n"/>
      <c r="G79" s="11" t="n"/>
      <c r="H79" s="31" t="n"/>
      <c r="I79" s="31" t="n"/>
      <c r="J79" s="11" t="n"/>
      <c r="K79" s="11" t="n"/>
      <c r="L79" s="11" t="n"/>
    </row>
    <row r="80" ht="22" customHeight="1">
      <c r="B80" s="17">
        <f>IF(C80="","VT-"&amp;TEXT(COUNTA($C$5:C80),"000"))</f>
        <v/>
      </c>
      <c r="C80" s="14" t="n"/>
      <c r="D80" s="14" t="n"/>
      <c r="E80" s="14" t="n"/>
      <c r="F80" s="14" t="n"/>
      <c r="G80" s="14" t="n"/>
      <c r="H80" s="32" t="n"/>
      <c r="I80" s="32" t="n"/>
      <c r="J80" s="14" t="n"/>
      <c r="K80" s="14" t="n"/>
      <c r="L80" s="14" t="n"/>
    </row>
    <row r="81" ht="22" customHeight="1">
      <c r="B81" s="18">
        <f>IF(C81="","VT-"&amp;TEXT(COUNTA($C$5:C81),"000"))</f>
        <v/>
      </c>
      <c r="C81" s="11" t="n"/>
      <c r="D81" s="11" t="n"/>
      <c r="E81" s="11" t="n"/>
      <c r="F81" s="11" t="n"/>
      <c r="G81" s="11" t="n"/>
      <c r="H81" s="31" t="n"/>
      <c r="I81" s="31" t="n"/>
      <c r="J81" s="11" t="n"/>
      <c r="K81" s="11" t="n"/>
      <c r="L81" s="11" t="n"/>
    </row>
    <row r="82" ht="22" customHeight="1">
      <c r="B82" s="17">
        <f>IF(C82="","VT-"&amp;TEXT(COUNTA($C$5:C82),"000"))</f>
        <v/>
      </c>
      <c r="C82" s="14" t="n"/>
      <c r="D82" s="14" t="n"/>
      <c r="E82" s="14" t="n"/>
      <c r="F82" s="14" t="n"/>
      <c r="G82" s="14" t="n"/>
      <c r="H82" s="32" t="n"/>
      <c r="I82" s="32" t="n"/>
      <c r="J82" s="14" t="n"/>
      <c r="K82" s="14" t="n"/>
      <c r="L82" s="14" t="n"/>
    </row>
    <row r="83" ht="22" customHeight="1">
      <c r="B83" s="18">
        <f>IF(C83="","VT-"&amp;TEXT(COUNTA($C$5:C83),"000"))</f>
        <v/>
      </c>
      <c r="C83" s="11" t="n"/>
      <c r="D83" s="11" t="n"/>
      <c r="E83" s="11" t="n"/>
      <c r="F83" s="11" t="n"/>
      <c r="G83" s="11" t="n"/>
      <c r="H83" s="31" t="n"/>
      <c r="I83" s="31" t="n"/>
      <c r="J83" s="11" t="n"/>
      <c r="K83" s="11" t="n"/>
      <c r="L83" s="11" t="n"/>
    </row>
    <row r="84" ht="22" customHeight="1">
      <c r="B84" s="17">
        <f>IF(C84="","VT-"&amp;TEXT(COUNTA($C$5:C84),"000"))</f>
        <v/>
      </c>
      <c r="C84" s="14" t="n"/>
      <c r="D84" s="14" t="n"/>
      <c r="E84" s="14" t="n"/>
      <c r="F84" s="14" t="n"/>
      <c r="G84" s="14" t="n"/>
      <c r="H84" s="32" t="n"/>
      <c r="I84" s="32" t="n"/>
      <c r="J84" s="14" t="n"/>
      <c r="K84" s="14" t="n"/>
      <c r="L84" s="14" t="n"/>
    </row>
    <row r="85" ht="22" customHeight="1">
      <c r="B85" s="18">
        <f>IF(C85="","VT-"&amp;TEXT(COUNTA($C$5:C85),"000"))</f>
        <v/>
      </c>
      <c r="C85" s="11" t="n"/>
      <c r="D85" s="11" t="n"/>
      <c r="E85" s="11" t="n"/>
      <c r="F85" s="11" t="n"/>
      <c r="G85" s="11" t="n"/>
      <c r="H85" s="31" t="n"/>
      <c r="I85" s="31" t="n"/>
      <c r="J85" s="11" t="n"/>
      <c r="K85" s="11" t="n"/>
      <c r="L85" s="11" t="n"/>
    </row>
    <row r="86" ht="22" customHeight="1">
      <c r="B86" s="17">
        <f>IF(C86="","VT-"&amp;TEXT(COUNTA($C$5:C86),"000"))</f>
        <v/>
      </c>
      <c r="C86" s="14" t="n"/>
      <c r="D86" s="14" t="n"/>
      <c r="E86" s="14" t="n"/>
      <c r="F86" s="14" t="n"/>
      <c r="G86" s="14" t="n"/>
      <c r="H86" s="32" t="n"/>
      <c r="I86" s="32" t="n"/>
      <c r="J86" s="14" t="n"/>
      <c r="K86" s="14" t="n"/>
      <c r="L86" s="14" t="n"/>
    </row>
    <row r="87" ht="22" customHeight="1">
      <c r="B87" s="18">
        <f>IF(C87="","VT-"&amp;TEXT(COUNTA($C$5:C87),"000"))</f>
        <v/>
      </c>
      <c r="C87" s="11" t="n"/>
      <c r="D87" s="11" t="n"/>
      <c r="E87" s="11" t="n"/>
      <c r="F87" s="11" t="n"/>
      <c r="G87" s="11" t="n"/>
      <c r="H87" s="31" t="n"/>
      <c r="I87" s="31" t="n"/>
      <c r="J87" s="11" t="n"/>
      <c r="K87" s="11" t="n"/>
      <c r="L87" s="11" t="n"/>
    </row>
    <row r="88" ht="22" customHeight="1">
      <c r="B88" s="17">
        <f>IF(C88="","VT-"&amp;TEXT(COUNTA($C$5:C88),"000"))</f>
        <v/>
      </c>
      <c r="C88" s="14" t="n"/>
      <c r="D88" s="14" t="n"/>
      <c r="E88" s="14" t="n"/>
      <c r="F88" s="14" t="n"/>
      <c r="G88" s="14" t="n"/>
      <c r="H88" s="32" t="n"/>
      <c r="I88" s="32" t="n"/>
      <c r="J88" s="14" t="n"/>
      <c r="K88" s="14" t="n"/>
      <c r="L88" s="14" t="n"/>
    </row>
    <row r="89" ht="22" customHeight="1">
      <c r="B89" s="18">
        <f>IF(C89="","VT-"&amp;TEXT(COUNTA($C$5:C89),"000"))</f>
        <v/>
      </c>
      <c r="C89" s="11" t="n"/>
      <c r="D89" s="11" t="n"/>
      <c r="E89" s="11" t="n"/>
      <c r="F89" s="11" t="n"/>
      <c r="G89" s="11" t="n"/>
      <c r="H89" s="31" t="n"/>
      <c r="I89" s="31" t="n"/>
      <c r="J89" s="11" t="n"/>
      <c r="K89" s="11" t="n"/>
      <c r="L89" s="11" t="n"/>
    </row>
    <row r="90" ht="22" customHeight="1">
      <c r="B90" s="17">
        <f>IF(C90="","VT-"&amp;TEXT(COUNTA($C$5:C90),"000"))</f>
        <v/>
      </c>
      <c r="C90" s="14" t="n"/>
      <c r="D90" s="14" t="n"/>
      <c r="E90" s="14" t="n"/>
      <c r="F90" s="14" t="n"/>
      <c r="G90" s="14" t="n"/>
      <c r="H90" s="32" t="n"/>
      <c r="I90" s="32" t="n"/>
      <c r="J90" s="14" t="n"/>
      <c r="K90" s="14" t="n"/>
      <c r="L90" s="14" t="n"/>
    </row>
    <row r="91" ht="22" customHeight="1">
      <c r="B91" s="18">
        <f>IF(C91="","VT-"&amp;TEXT(COUNTA($C$5:C91),"000"))</f>
        <v/>
      </c>
      <c r="C91" s="11" t="n"/>
      <c r="D91" s="11" t="n"/>
      <c r="E91" s="11" t="n"/>
      <c r="F91" s="11" t="n"/>
      <c r="G91" s="11" t="n"/>
      <c r="H91" s="31" t="n"/>
      <c r="I91" s="31" t="n"/>
      <c r="J91" s="11" t="n"/>
      <c r="K91" s="11" t="n"/>
      <c r="L91" s="11" t="n"/>
    </row>
    <row r="92" ht="22" customHeight="1">
      <c r="B92" s="17">
        <f>IF(C92="","VT-"&amp;TEXT(COUNTA($C$5:C92),"000"))</f>
        <v/>
      </c>
      <c r="C92" s="14" t="n"/>
      <c r="D92" s="14" t="n"/>
      <c r="E92" s="14" t="n"/>
      <c r="F92" s="14" t="n"/>
      <c r="G92" s="14" t="n"/>
      <c r="H92" s="32" t="n"/>
      <c r="I92" s="32" t="n"/>
      <c r="J92" s="14" t="n"/>
      <c r="K92" s="14" t="n"/>
      <c r="L92" s="14" t="n"/>
    </row>
    <row r="93" ht="22" customHeight="1">
      <c r="B93" s="18">
        <f>IF(C93="","VT-"&amp;TEXT(COUNTA($C$5:C93),"000"))</f>
        <v/>
      </c>
      <c r="C93" s="11" t="n"/>
      <c r="D93" s="11" t="n"/>
      <c r="E93" s="11" t="n"/>
      <c r="F93" s="11" t="n"/>
      <c r="G93" s="11" t="n"/>
      <c r="H93" s="31" t="n"/>
      <c r="I93" s="31" t="n"/>
      <c r="J93" s="11" t="n"/>
      <c r="K93" s="11" t="n"/>
      <c r="L93" s="11" t="n"/>
    </row>
    <row r="94" ht="22" customHeight="1">
      <c r="B94" s="17">
        <f>IF(C94="","VT-"&amp;TEXT(COUNTA($C$5:C94),"000"))</f>
        <v/>
      </c>
      <c r="C94" s="14" t="n"/>
      <c r="D94" s="14" t="n"/>
      <c r="E94" s="14" t="n"/>
      <c r="F94" s="14" t="n"/>
      <c r="G94" s="14" t="n"/>
      <c r="H94" s="32" t="n"/>
      <c r="I94" s="32" t="n"/>
      <c r="J94" s="14" t="n"/>
      <c r="K94" s="14" t="n"/>
      <c r="L94" s="14" t="n"/>
    </row>
    <row r="95" ht="22" customHeight="1">
      <c r="B95" s="18">
        <f>IF(C95="","VT-"&amp;TEXT(COUNTA($C$5:C95),"000"))</f>
        <v/>
      </c>
      <c r="C95" s="11" t="n"/>
      <c r="D95" s="11" t="n"/>
      <c r="E95" s="11" t="n"/>
      <c r="F95" s="11" t="n"/>
      <c r="G95" s="11" t="n"/>
      <c r="H95" s="31" t="n"/>
      <c r="I95" s="31" t="n"/>
      <c r="J95" s="11" t="n"/>
      <c r="K95" s="11" t="n"/>
      <c r="L95" s="11" t="n"/>
    </row>
    <row r="96" ht="22" customHeight="1">
      <c r="B96" s="17">
        <f>IF(C96="","VT-"&amp;TEXT(COUNTA($C$5:C96),"000"))</f>
        <v/>
      </c>
      <c r="C96" s="14" t="n"/>
      <c r="D96" s="14" t="n"/>
      <c r="E96" s="14" t="n"/>
      <c r="F96" s="14" t="n"/>
      <c r="G96" s="14" t="n"/>
      <c r="H96" s="32" t="n"/>
      <c r="I96" s="32" t="n"/>
      <c r="J96" s="14" t="n"/>
      <c r="K96" s="14" t="n"/>
      <c r="L96" s="14" t="n"/>
    </row>
    <row r="97" ht="22" customHeight="1">
      <c r="B97" s="18">
        <f>IF(C97="","VT-"&amp;TEXT(COUNTA($C$5:C97),"000"))</f>
        <v/>
      </c>
      <c r="C97" s="11" t="n"/>
      <c r="D97" s="11" t="n"/>
      <c r="E97" s="11" t="n"/>
      <c r="F97" s="11" t="n"/>
      <c r="G97" s="11" t="n"/>
      <c r="H97" s="31" t="n"/>
      <c r="I97" s="31" t="n"/>
      <c r="J97" s="11" t="n"/>
      <c r="K97" s="11" t="n"/>
      <c r="L97" s="11" t="n"/>
    </row>
    <row r="98" ht="22" customHeight="1">
      <c r="B98" s="17">
        <f>IF(C98="","VT-"&amp;TEXT(COUNTA($C$5:C98),"000"))</f>
        <v/>
      </c>
      <c r="C98" s="14" t="n"/>
      <c r="D98" s="14" t="n"/>
      <c r="E98" s="14" t="n"/>
      <c r="F98" s="14" t="n"/>
      <c r="G98" s="14" t="n"/>
      <c r="H98" s="32" t="n"/>
      <c r="I98" s="32" t="n"/>
      <c r="J98" s="14" t="n"/>
      <c r="K98" s="14" t="n"/>
      <c r="L98" s="14" t="n"/>
    </row>
    <row r="99" ht="22" customHeight="1">
      <c r="B99" s="18">
        <f>IF(C99="","VT-"&amp;TEXT(COUNTA($C$5:C99),"000"))</f>
        <v/>
      </c>
      <c r="C99" s="11" t="n"/>
      <c r="D99" s="11" t="n"/>
      <c r="E99" s="11" t="n"/>
      <c r="F99" s="11" t="n"/>
      <c r="G99" s="11" t="n"/>
      <c r="H99" s="31" t="n"/>
      <c r="I99" s="31" t="n"/>
      <c r="J99" s="11" t="n"/>
      <c r="K99" s="11" t="n"/>
      <c r="L99" s="11" t="n"/>
    </row>
    <row r="100" ht="22" customHeight="1">
      <c r="B100" s="17">
        <f>IF(C100="","VT-"&amp;TEXT(COUNTA($C$5:C100),"000"))</f>
        <v/>
      </c>
      <c r="C100" s="14" t="n"/>
      <c r="D100" s="14" t="n"/>
      <c r="E100" s="14" t="n"/>
      <c r="F100" s="14" t="n"/>
      <c r="G100" s="14" t="n"/>
      <c r="H100" s="32" t="n"/>
      <c r="I100" s="32" t="n"/>
      <c r="J100" s="14" t="n"/>
      <c r="K100" s="14" t="n"/>
      <c r="L100" s="14" t="n"/>
    </row>
    <row r="101" ht="22" customHeight="1">
      <c r="B101" s="18">
        <f>IF(C101="","VT-"&amp;TEXT(COUNTA($C$5:C101),"000"))</f>
        <v/>
      </c>
      <c r="C101" s="11" t="n"/>
      <c r="D101" s="11" t="n"/>
      <c r="E101" s="11" t="n"/>
      <c r="F101" s="11" t="n"/>
      <c r="G101" s="11" t="n"/>
      <c r="H101" s="31" t="n"/>
      <c r="I101" s="31" t="n"/>
      <c r="J101" s="11" t="n"/>
      <c r="K101" s="11" t="n"/>
      <c r="L101" s="11" t="n"/>
    </row>
    <row r="102" ht="22" customHeight="1">
      <c r="B102" s="17">
        <f>IF(C102="","VT-"&amp;TEXT(COUNTA($C$5:C102),"000"))</f>
        <v/>
      </c>
      <c r="C102" s="14" t="n"/>
      <c r="D102" s="14" t="n"/>
      <c r="E102" s="14" t="n"/>
      <c r="F102" s="14" t="n"/>
      <c r="G102" s="14" t="n"/>
      <c r="H102" s="32" t="n"/>
      <c r="I102" s="32" t="n"/>
      <c r="J102" s="14" t="n"/>
      <c r="K102" s="14" t="n"/>
      <c r="L102" s="14" t="n"/>
    </row>
    <row r="103" ht="22" customHeight="1">
      <c r="B103" s="18">
        <f>IF(C103="","VT-"&amp;TEXT(COUNTA($C$5:C103),"000"))</f>
        <v/>
      </c>
      <c r="C103" s="11" t="n"/>
      <c r="D103" s="11" t="n"/>
      <c r="E103" s="11" t="n"/>
      <c r="F103" s="11" t="n"/>
      <c r="G103" s="11" t="n"/>
      <c r="H103" s="31" t="n"/>
      <c r="I103" s="31" t="n"/>
      <c r="J103" s="11" t="n"/>
      <c r="K103" s="11" t="n"/>
      <c r="L103" s="11" t="n"/>
    </row>
    <row r="104" ht="22" customHeight="1">
      <c r="B104" s="17">
        <f>IF(C104="","VT-"&amp;TEXT(COUNTA($C$5:C104),"000"))</f>
        <v/>
      </c>
      <c r="C104" s="14" t="n"/>
      <c r="D104" s="14" t="n"/>
      <c r="E104" s="14" t="n"/>
      <c r="F104" s="14" t="n"/>
      <c r="G104" s="14" t="n"/>
      <c r="H104" s="32" t="n"/>
      <c r="I104" s="32" t="n"/>
      <c r="J104" s="14" t="n"/>
      <c r="K104" s="14" t="n"/>
      <c r="L104" s="14" t="n"/>
    </row>
    <row r="105" ht="22" customHeight="1">
      <c r="B105" s="18">
        <f>IF(C105="","VT-"&amp;TEXT(COUNTA($C$5:C105),"000"))</f>
        <v/>
      </c>
      <c r="C105" s="11" t="n"/>
      <c r="D105" s="11" t="n"/>
      <c r="E105" s="11" t="n"/>
      <c r="F105" s="11" t="n"/>
      <c r="G105" s="11" t="n"/>
      <c r="H105" s="31" t="n"/>
      <c r="I105" s="31" t="n"/>
      <c r="J105" s="11" t="n"/>
      <c r="K105" s="11" t="n"/>
      <c r="L105" s="11" t="n"/>
    </row>
    <row r="106" ht="22" customHeight="1">
      <c r="B106" s="17">
        <f>IF(C106="","VT-"&amp;TEXT(COUNTA($C$5:C106),"000"))</f>
        <v/>
      </c>
      <c r="C106" s="14" t="n"/>
      <c r="D106" s="14" t="n"/>
      <c r="E106" s="14" t="n"/>
      <c r="F106" s="14" t="n"/>
      <c r="G106" s="14" t="n"/>
      <c r="H106" s="32" t="n"/>
      <c r="I106" s="32" t="n"/>
      <c r="J106" s="14" t="n"/>
      <c r="K106" s="14" t="n"/>
      <c r="L106" s="14" t="n"/>
    </row>
    <row r="107" ht="22" customHeight="1">
      <c r="B107" s="18">
        <f>IF(C107="","VT-"&amp;TEXT(COUNTA($C$5:C107),"000"))</f>
        <v/>
      </c>
      <c r="C107" s="11" t="n"/>
      <c r="D107" s="11" t="n"/>
      <c r="E107" s="11" t="n"/>
      <c r="F107" s="11" t="n"/>
      <c r="G107" s="11" t="n"/>
      <c r="H107" s="31" t="n"/>
      <c r="I107" s="31" t="n"/>
      <c r="J107" s="11" t="n"/>
      <c r="K107" s="11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Suivis veille tech</t>
        </is>
      </c>
      <c r="D110" s="3" t="inlineStr">
        <is>
          <t>Impact eleve</t>
        </is>
      </c>
      <c r="F110" s="3" t="inlineStr">
        <is>
          <t>En etude</t>
        </is>
      </c>
    </row>
    <row r="111">
      <c r="B111" s="4">
        <f>COUNTIF(B5:B104,"&lt;&gt;")</f>
        <v/>
      </c>
      <c r="D111" s="4">
        <f>COUNTIF(G5:G104,"Eleve*")</f>
        <v/>
      </c>
      <c r="F111" s="4">
        <f>COUNTIF(K5:K104,"Etude*")</f>
        <v/>
      </c>
    </row>
  </sheetData>
  <mergeCells count="3">
    <mergeCell ref="B2:L2"/>
    <mergeCell ref="B109:L109"/>
    <mergeCell ref="B3:L3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dataValidations count="3">
    <dataValidation sqref="F5:F107" showDropDown="0" showInputMessage="0" showErrorMessage="0" allowBlank="1" errorTitle="Erreur" error="Valeur invalide" promptTitle="Liste" prompt="Choisir dans la liste" type="list">
      <formula1>'_Lists'!$J$2:$J$10</formula1>
    </dataValidation>
    <dataValidation sqref="G5:G107" showDropDown="0" showInputMessage="0" showErrorMessage="0" allowBlank="1" errorTitle="Erreur" error="Valeur invalide" promptTitle="Liste" prompt="Choisir dans la liste" type="list">
      <formula1>'_Lists'!$I$2:$I$6</formula1>
    </dataValidation>
    <dataValidation sqref="K5:K107" showDropDown="0" showInputMessage="0" showErrorMessage="0" allowBlank="1" errorTitle="Erreur" error="Valeur invalide" promptTitle="Liste" prompt="Choisir dans la liste" type="list">
      <formula1>'_Lists'!$K$2:$K$8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2" customWidth="1" min="4" max="4"/>
    <col width="24" customWidth="1" min="5" max="5"/>
    <col width="14" customWidth="1" min="6" max="6"/>
    <col width="18" customWidth="1" min="7" max="7"/>
    <col width="22" customWidth="1" min="8" max="8"/>
    <col width="24" customWidth="1" min="9" max="9"/>
    <col width="24" customWidth="1" min="10" max="10"/>
    <col width="16" customWidth="1" min="11" max="11"/>
    <col width="16" customWidth="1" min="12" max="12"/>
    <col width="36" customWidth="1" min="13" max="13"/>
  </cols>
  <sheetData>
    <row r="1" ht="15" customHeight="1"/>
    <row r="2" ht="32" customHeight="1">
      <c r="B2" s="1" t="inlineStr">
        <is>
          <t>SUIVI PROJETS DIGITAUX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Projet Digital RH</t>
        </is>
      </c>
      <c r="D4" s="10" t="inlineStr">
        <is>
          <t>Type Projet</t>
        </is>
      </c>
      <c r="E4" s="10" t="inlineStr">
        <is>
          <t>Responsable</t>
        </is>
      </c>
      <c r="F4" s="10" t="inlineStr">
        <is>
          <t>Date Debut</t>
        </is>
      </c>
      <c r="G4" s="10" t="inlineStr">
        <is>
          <t>Date Fin Prevue</t>
        </is>
      </c>
      <c r="H4" s="10" t="inlineStr">
        <is>
          <t>Budget Prevu (FCFA)</t>
        </is>
      </c>
      <c r="I4" s="10" t="inlineStr">
        <is>
          <t>Budget Consomme (FCFA)</t>
        </is>
      </c>
      <c r="J4" s="10" t="inlineStr">
        <is>
          <t>Taux Consommation (%)</t>
        </is>
      </c>
      <c r="K4" s="10" t="inlineStr">
        <is>
          <t>Jours Restants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SPD-001</t>
        </is>
      </c>
      <c r="C5" s="11" t="inlineStr">
        <is>
          <t>Migration SIRH cloud</t>
        </is>
      </c>
      <c r="D5" s="11" t="inlineStr">
        <is>
          <t>Infrastructure</t>
        </is>
      </c>
      <c r="E5" s="11" t="inlineStr">
        <is>
          <t>Chef de service IT</t>
        </is>
      </c>
      <c r="F5" s="31" t="n">
        <v>45658</v>
      </c>
      <c r="G5" s="31" t="n">
        <v>45930</v>
      </c>
      <c r="H5" s="12" t="n">
        <v>8000000</v>
      </c>
      <c r="I5" s="12" t="n">
        <v>3200000</v>
      </c>
      <c r="J5" s="37" t="n"/>
      <c r="K5" s="12" t="n"/>
      <c r="L5" s="11" t="inlineStr">
        <is>
          <t>En cours</t>
        </is>
      </c>
      <c r="M5" s="11" t="inlineStr">
        <is>
          <t>Phase 2/4 en cours</t>
        </is>
      </c>
    </row>
    <row r="6" ht="22" customHeight="1">
      <c r="B6" s="14" t="inlineStr">
        <is>
          <t>SPD-002</t>
        </is>
      </c>
      <c r="C6" s="14" t="inlineStr">
        <is>
          <t>Chatbot RH v2</t>
        </is>
      </c>
      <c r="D6" s="14" t="inlineStr">
        <is>
          <t>IA &amp; Chatbot</t>
        </is>
      </c>
      <c r="E6" s="14" t="inlineStr">
        <is>
          <t>DRH</t>
        </is>
      </c>
      <c r="F6" s="32" t="n">
        <v>45689</v>
      </c>
      <c r="G6" s="32" t="n">
        <v>45838</v>
      </c>
      <c r="H6" s="15" t="n">
        <v>1500000</v>
      </c>
      <c r="I6" s="15" t="n">
        <v>450000</v>
      </c>
      <c r="J6" s="39" t="n"/>
      <c r="K6" s="15" t="n"/>
      <c r="L6" s="14" t="inlineStr">
        <is>
          <t>En cours</t>
        </is>
      </c>
      <c r="M6" s="14" t="inlineStr">
        <is>
          <t>Integration GPT-4 terminee</t>
        </is>
      </c>
    </row>
    <row r="7" ht="22" customHeight="1">
      <c r="B7" s="11" t="inlineStr">
        <is>
          <t>SPD-003</t>
        </is>
      </c>
      <c r="C7" s="11" t="inlineStr">
        <is>
          <t>App Mobile Pointage</t>
        </is>
      </c>
      <c r="D7" s="11" t="inlineStr">
        <is>
          <t>Application mobile</t>
        </is>
      </c>
      <c r="E7" s="11" t="inlineStr">
        <is>
          <t>Chef de service IT</t>
        </is>
      </c>
      <c r="F7" s="31" t="n">
        <v>45717</v>
      </c>
      <c r="G7" s="31" t="n">
        <v>45869</v>
      </c>
      <c r="H7" s="12" t="n">
        <v>2000000</v>
      </c>
      <c r="I7" s="12" t="n">
        <v>200000</v>
      </c>
      <c r="J7" s="37" t="n"/>
      <c r="K7" s="12" t="n"/>
      <c r="L7" s="11" t="inlineStr">
        <is>
          <t>En cours</t>
        </is>
      </c>
      <c r="M7" s="11" t="inlineStr">
        <is>
          <t>Maquettes validees, dev en cours</t>
        </is>
      </c>
    </row>
    <row r="8" ht="22" customHeight="1">
      <c r="B8" s="17">
        <f>IF(C8="","SPD-"&amp;TEXT(COUNTA($C$5:C8),"000"))</f>
        <v/>
      </c>
      <c r="C8" s="14" t="n"/>
      <c r="D8" s="14" t="n"/>
      <c r="E8" s="14" t="n"/>
      <c r="F8" s="32" t="n"/>
      <c r="G8" s="32" t="n"/>
      <c r="H8" s="15" t="n"/>
      <c r="I8" s="15" t="n"/>
      <c r="J8" s="39">
        <f>IF(H8="","",I8/H8)</f>
        <v/>
      </c>
      <c r="K8" s="15">
        <f>IF(G8="","",MAX(G8-TODAY(),0))</f>
        <v/>
      </c>
      <c r="L8" s="14" t="n"/>
      <c r="M8" s="14" t="n"/>
    </row>
    <row r="9" ht="22" customHeight="1">
      <c r="B9" s="18">
        <f>IF(C9="","SPD-"&amp;TEXT(COUNTA($C$5:C9),"000"))</f>
        <v/>
      </c>
      <c r="C9" s="11" t="n"/>
      <c r="D9" s="11" t="n"/>
      <c r="E9" s="11" t="n"/>
      <c r="F9" s="31" t="n"/>
      <c r="G9" s="31" t="n"/>
      <c r="H9" s="12" t="n"/>
      <c r="I9" s="12" t="n"/>
      <c r="J9" s="37">
        <f>IF(H9="","",I9/H9)</f>
        <v/>
      </c>
      <c r="K9" s="12">
        <f>IF(G9="","",MAX(G9-TODAY(),0))</f>
        <v/>
      </c>
      <c r="L9" s="11" t="n"/>
      <c r="M9" s="11" t="n"/>
    </row>
    <row r="10" ht="22" customHeight="1">
      <c r="B10" s="17">
        <f>IF(C10="","SPD-"&amp;TEXT(COUNTA($C$5:C10),"000"))</f>
        <v/>
      </c>
      <c r="C10" s="14" t="n"/>
      <c r="D10" s="14" t="n"/>
      <c r="E10" s="14" t="n"/>
      <c r="F10" s="32" t="n"/>
      <c r="G10" s="32" t="n"/>
      <c r="H10" s="15" t="n"/>
      <c r="I10" s="15" t="n"/>
      <c r="J10" s="39">
        <f>IF(H10="","",I10/H10)</f>
        <v/>
      </c>
      <c r="K10" s="15">
        <f>IF(G10="","",MAX(G10-TODAY(),0))</f>
        <v/>
      </c>
      <c r="L10" s="14" t="n"/>
      <c r="M10" s="14" t="n"/>
    </row>
    <row r="11" ht="22" customHeight="1">
      <c r="B11" s="18">
        <f>IF(C11="","SPD-"&amp;TEXT(COUNTA($C$5:C11),"000"))</f>
        <v/>
      </c>
      <c r="C11" s="11" t="n"/>
      <c r="D11" s="11" t="n"/>
      <c r="E11" s="11" t="n"/>
      <c r="F11" s="31" t="n"/>
      <c r="G11" s="31" t="n"/>
      <c r="H11" s="12" t="n"/>
      <c r="I11" s="12" t="n"/>
      <c r="J11" s="37">
        <f>IF(H11="","",I11/H11)</f>
        <v/>
      </c>
      <c r="K11" s="12">
        <f>IF(G11="","",MAX(G11-TODAY(),0))</f>
        <v/>
      </c>
      <c r="L11" s="11" t="n"/>
      <c r="M11" s="11" t="n"/>
    </row>
    <row r="12" ht="22" customHeight="1">
      <c r="B12" s="17">
        <f>IF(C12="","SPD-"&amp;TEXT(COUNTA($C$5:C12),"000"))</f>
        <v/>
      </c>
      <c r="C12" s="14" t="n"/>
      <c r="D12" s="14" t="n"/>
      <c r="E12" s="14" t="n"/>
      <c r="F12" s="32" t="n"/>
      <c r="G12" s="32" t="n"/>
      <c r="H12" s="15" t="n"/>
      <c r="I12" s="15" t="n"/>
      <c r="J12" s="39">
        <f>IF(H12="","",I12/H12)</f>
        <v/>
      </c>
      <c r="K12" s="15">
        <f>IF(G12="","",MAX(G12-TODAY(),0))</f>
        <v/>
      </c>
      <c r="L12" s="14" t="n"/>
      <c r="M12" s="14" t="n"/>
    </row>
    <row r="13" ht="22" customHeight="1">
      <c r="B13" s="18">
        <f>IF(C13="","SPD-"&amp;TEXT(COUNTA($C$5:C13),"000"))</f>
        <v/>
      </c>
      <c r="C13" s="11" t="n"/>
      <c r="D13" s="11" t="n"/>
      <c r="E13" s="11" t="n"/>
      <c r="F13" s="31" t="n"/>
      <c r="G13" s="31" t="n"/>
      <c r="H13" s="12" t="n"/>
      <c r="I13" s="12" t="n"/>
      <c r="J13" s="37">
        <f>IF(H13="","",I13/H13)</f>
        <v/>
      </c>
      <c r="K13" s="12">
        <f>IF(G13="","",MAX(G13-TODAY(),0))</f>
        <v/>
      </c>
      <c r="L13" s="11" t="n"/>
      <c r="M13" s="11" t="n"/>
    </row>
    <row r="14" ht="22" customHeight="1">
      <c r="B14" s="17">
        <f>IF(C14="","SPD-"&amp;TEXT(COUNTA($C$5:C14),"000"))</f>
        <v/>
      </c>
      <c r="C14" s="14" t="n"/>
      <c r="D14" s="14" t="n"/>
      <c r="E14" s="14" t="n"/>
      <c r="F14" s="32" t="n"/>
      <c r="G14" s="32" t="n"/>
      <c r="H14" s="15" t="n"/>
      <c r="I14" s="15" t="n"/>
      <c r="J14" s="39">
        <f>IF(H14="","",I14/H14)</f>
        <v/>
      </c>
      <c r="K14" s="15">
        <f>IF(G14="","",MAX(G14-TODAY(),0))</f>
        <v/>
      </c>
      <c r="L14" s="14" t="n"/>
      <c r="M14" s="14" t="n"/>
    </row>
    <row r="15" ht="22" customHeight="1">
      <c r="B15" s="18">
        <f>IF(C15="","SPD-"&amp;TEXT(COUNTA($C$5:C15),"000"))</f>
        <v/>
      </c>
      <c r="C15" s="11" t="n"/>
      <c r="D15" s="11" t="n"/>
      <c r="E15" s="11" t="n"/>
      <c r="F15" s="31" t="n"/>
      <c r="G15" s="31" t="n"/>
      <c r="H15" s="12" t="n"/>
      <c r="I15" s="12" t="n"/>
      <c r="J15" s="37">
        <f>IF(H15="","",I15/H15)</f>
        <v/>
      </c>
      <c r="K15" s="12">
        <f>IF(G15="","",MAX(G15-TODAY(),0))</f>
        <v/>
      </c>
      <c r="L15" s="11" t="n"/>
      <c r="M15" s="11" t="n"/>
    </row>
    <row r="16" ht="22" customHeight="1">
      <c r="B16" s="17">
        <f>IF(C16="","SPD-"&amp;TEXT(COUNTA($C$5:C16),"000"))</f>
        <v/>
      </c>
      <c r="C16" s="14" t="n"/>
      <c r="D16" s="14" t="n"/>
      <c r="E16" s="14" t="n"/>
      <c r="F16" s="32" t="n"/>
      <c r="G16" s="32" t="n"/>
      <c r="H16" s="15" t="n"/>
      <c r="I16" s="15" t="n"/>
      <c r="J16" s="39">
        <f>IF(H16="","",I16/H16)</f>
        <v/>
      </c>
      <c r="K16" s="15">
        <f>IF(G16="","",MAX(G16-TODAY(),0))</f>
        <v/>
      </c>
      <c r="L16" s="14" t="n"/>
      <c r="M16" s="14" t="n"/>
    </row>
    <row r="17" ht="22" customHeight="1">
      <c r="B17" s="18">
        <f>IF(C17="","SPD-"&amp;TEXT(COUNTA($C$5:C17),"000"))</f>
        <v/>
      </c>
      <c r="C17" s="11" t="n"/>
      <c r="D17" s="11" t="n"/>
      <c r="E17" s="11" t="n"/>
      <c r="F17" s="31" t="n"/>
      <c r="G17" s="31" t="n"/>
      <c r="H17" s="12" t="n"/>
      <c r="I17" s="12" t="n"/>
      <c r="J17" s="37">
        <f>IF(H17="","",I17/H17)</f>
        <v/>
      </c>
      <c r="K17" s="12">
        <f>IF(G17="","",MAX(G17-TODAY(),0))</f>
        <v/>
      </c>
      <c r="L17" s="11" t="n"/>
      <c r="M17" s="11" t="n"/>
    </row>
    <row r="18" ht="22" customHeight="1">
      <c r="B18" s="17">
        <f>IF(C18="","SPD-"&amp;TEXT(COUNTA($C$5:C18),"000"))</f>
        <v/>
      </c>
      <c r="C18" s="14" t="n"/>
      <c r="D18" s="14" t="n"/>
      <c r="E18" s="14" t="n"/>
      <c r="F18" s="32" t="n"/>
      <c r="G18" s="32" t="n"/>
      <c r="H18" s="15" t="n"/>
      <c r="I18" s="15" t="n"/>
      <c r="J18" s="39">
        <f>IF(H18="","",I18/H18)</f>
        <v/>
      </c>
      <c r="K18" s="15">
        <f>IF(G18="","",MAX(G18-TODAY(),0))</f>
        <v/>
      </c>
      <c r="L18" s="14" t="n"/>
      <c r="M18" s="14" t="n"/>
    </row>
    <row r="19" ht="22" customHeight="1">
      <c r="B19" s="18">
        <f>IF(C19="","SPD-"&amp;TEXT(COUNTA($C$5:C19),"000"))</f>
        <v/>
      </c>
      <c r="C19" s="11" t="n"/>
      <c r="D19" s="11" t="n"/>
      <c r="E19" s="11" t="n"/>
      <c r="F19" s="31" t="n"/>
      <c r="G19" s="31" t="n"/>
      <c r="H19" s="12" t="n"/>
      <c r="I19" s="12" t="n"/>
      <c r="J19" s="37">
        <f>IF(H19="","",I19/H19)</f>
        <v/>
      </c>
      <c r="K19" s="12">
        <f>IF(G19="","",MAX(G19-TODAY(),0))</f>
        <v/>
      </c>
      <c r="L19" s="11" t="n"/>
      <c r="M19" s="11" t="n"/>
    </row>
    <row r="20" ht="22" customHeight="1">
      <c r="B20" s="17">
        <f>IF(C20="","SPD-"&amp;TEXT(COUNTA($C$5:C20),"000"))</f>
        <v/>
      </c>
      <c r="C20" s="14" t="n"/>
      <c r="D20" s="14" t="n"/>
      <c r="E20" s="14" t="n"/>
      <c r="F20" s="32" t="n"/>
      <c r="G20" s="32" t="n"/>
      <c r="H20" s="15" t="n"/>
      <c r="I20" s="15" t="n"/>
      <c r="J20" s="39">
        <f>IF(H20="","",I20/H20)</f>
        <v/>
      </c>
      <c r="K20" s="15">
        <f>IF(G20="","",MAX(G20-TODAY(),0))</f>
        <v/>
      </c>
      <c r="L20" s="14" t="n"/>
      <c r="M20" s="14" t="n"/>
    </row>
    <row r="21" ht="22" customHeight="1">
      <c r="B21" s="18">
        <f>IF(C21="","SPD-"&amp;TEXT(COUNTA($C$5:C21),"000"))</f>
        <v/>
      </c>
      <c r="C21" s="11" t="n"/>
      <c r="D21" s="11" t="n"/>
      <c r="E21" s="11" t="n"/>
      <c r="F21" s="31" t="n"/>
      <c r="G21" s="31" t="n"/>
      <c r="H21" s="12" t="n"/>
      <c r="I21" s="12" t="n"/>
      <c r="J21" s="37">
        <f>IF(H21="","",I21/H21)</f>
        <v/>
      </c>
      <c r="K21" s="12">
        <f>IF(G21="","",MAX(G21-TODAY(),0))</f>
        <v/>
      </c>
      <c r="L21" s="11" t="n"/>
      <c r="M21" s="11" t="n"/>
    </row>
    <row r="22" ht="22" customHeight="1">
      <c r="B22" s="17">
        <f>IF(C22="","SPD-"&amp;TEXT(COUNTA($C$5:C22),"000"))</f>
        <v/>
      </c>
      <c r="C22" s="14" t="n"/>
      <c r="D22" s="14" t="n"/>
      <c r="E22" s="14" t="n"/>
      <c r="F22" s="32" t="n"/>
      <c r="G22" s="32" t="n"/>
      <c r="H22" s="15" t="n"/>
      <c r="I22" s="15" t="n"/>
      <c r="J22" s="39">
        <f>IF(H22="","",I22/H22)</f>
        <v/>
      </c>
      <c r="K22" s="15">
        <f>IF(G22="","",MAX(G22-TODAY(),0))</f>
        <v/>
      </c>
      <c r="L22" s="14" t="n"/>
      <c r="M22" s="14" t="n"/>
    </row>
    <row r="23" ht="22" customHeight="1">
      <c r="B23" s="18">
        <f>IF(C23="","SPD-"&amp;TEXT(COUNTA($C$5:C23),"000"))</f>
        <v/>
      </c>
      <c r="C23" s="11" t="n"/>
      <c r="D23" s="11" t="n"/>
      <c r="E23" s="11" t="n"/>
      <c r="F23" s="31" t="n"/>
      <c r="G23" s="31" t="n"/>
      <c r="H23" s="12" t="n"/>
      <c r="I23" s="12" t="n"/>
      <c r="J23" s="37">
        <f>IF(H23="","",I23/H23)</f>
        <v/>
      </c>
      <c r="K23" s="12">
        <f>IF(G23="","",MAX(G23-TODAY(),0))</f>
        <v/>
      </c>
      <c r="L23" s="11" t="n"/>
      <c r="M23" s="11" t="n"/>
    </row>
    <row r="24" ht="22" customHeight="1">
      <c r="B24" s="17">
        <f>IF(C24="","SPD-"&amp;TEXT(COUNTA($C$5:C24),"000"))</f>
        <v/>
      </c>
      <c r="C24" s="14" t="n"/>
      <c r="D24" s="14" t="n"/>
      <c r="E24" s="14" t="n"/>
      <c r="F24" s="32" t="n"/>
      <c r="G24" s="32" t="n"/>
      <c r="H24" s="15" t="n"/>
      <c r="I24" s="15" t="n"/>
      <c r="J24" s="39">
        <f>IF(H24="","",I24/H24)</f>
        <v/>
      </c>
      <c r="K24" s="15">
        <f>IF(G24="","",MAX(G24-TODAY(),0))</f>
        <v/>
      </c>
      <c r="L24" s="14" t="n"/>
      <c r="M24" s="14" t="n"/>
    </row>
    <row r="25" ht="22" customHeight="1">
      <c r="B25" s="18">
        <f>IF(C25="","SPD-"&amp;TEXT(COUNTA($C$5:C25),"000"))</f>
        <v/>
      </c>
      <c r="C25" s="11" t="n"/>
      <c r="D25" s="11" t="n"/>
      <c r="E25" s="11" t="n"/>
      <c r="F25" s="31" t="n"/>
      <c r="G25" s="31" t="n"/>
      <c r="H25" s="12" t="n"/>
      <c r="I25" s="12" t="n"/>
      <c r="J25" s="37">
        <f>IF(H25="","",I25/H25)</f>
        <v/>
      </c>
      <c r="K25" s="12">
        <f>IF(G25="","",MAX(G25-TODAY(),0))</f>
        <v/>
      </c>
      <c r="L25" s="11" t="n"/>
      <c r="M25" s="11" t="n"/>
    </row>
    <row r="26" ht="22" customHeight="1">
      <c r="B26" s="17">
        <f>IF(C26="","SPD-"&amp;TEXT(COUNTA($C$5:C26),"000"))</f>
        <v/>
      </c>
      <c r="C26" s="14" t="n"/>
      <c r="D26" s="14" t="n"/>
      <c r="E26" s="14" t="n"/>
      <c r="F26" s="32" t="n"/>
      <c r="G26" s="32" t="n"/>
      <c r="H26" s="15" t="n"/>
      <c r="I26" s="15" t="n"/>
      <c r="J26" s="39">
        <f>IF(H26="","",I26/H26)</f>
        <v/>
      </c>
      <c r="K26" s="15">
        <f>IF(G26="","",MAX(G26-TODAY(),0))</f>
        <v/>
      </c>
      <c r="L26" s="14" t="n"/>
      <c r="M26" s="14" t="n"/>
    </row>
    <row r="27" ht="22" customHeight="1">
      <c r="B27" s="18">
        <f>IF(C27="","SPD-"&amp;TEXT(COUNTA($C$5:C27),"000"))</f>
        <v/>
      </c>
      <c r="C27" s="11" t="n"/>
      <c r="D27" s="11" t="n"/>
      <c r="E27" s="11" t="n"/>
      <c r="F27" s="31" t="n"/>
      <c r="G27" s="31" t="n"/>
      <c r="H27" s="12" t="n"/>
      <c r="I27" s="12" t="n"/>
      <c r="J27" s="37">
        <f>IF(H27="","",I27/H27)</f>
        <v/>
      </c>
      <c r="K27" s="12">
        <f>IF(G27="","",MAX(G27-TODAY(),0))</f>
        <v/>
      </c>
      <c r="L27" s="11" t="n"/>
      <c r="M27" s="11" t="n"/>
    </row>
    <row r="28" ht="22" customHeight="1">
      <c r="B28" s="17">
        <f>IF(C28="","SPD-"&amp;TEXT(COUNTA($C$5:C28),"000"))</f>
        <v/>
      </c>
      <c r="C28" s="14" t="n"/>
      <c r="D28" s="14" t="n"/>
      <c r="E28" s="14" t="n"/>
      <c r="F28" s="32" t="n"/>
      <c r="G28" s="32" t="n"/>
      <c r="H28" s="15" t="n"/>
      <c r="I28" s="15" t="n"/>
      <c r="J28" s="39">
        <f>IF(H28="","",I28/H28)</f>
        <v/>
      </c>
      <c r="K28" s="15">
        <f>IF(G28="","",MAX(G28-TODAY(),0))</f>
        <v/>
      </c>
      <c r="L28" s="14" t="n"/>
      <c r="M28" s="14" t="n"/>
    </row>
    <row r="29" ht="22" customHeight="1">
      <c r="B29" s="18">
        <f>IF(C29="","SPD-"&amp;TEXT(COUNTA($C$5:C29),"000"))</f>
        <v/>
      </c>
      <c r="C29" s="11" t="n"/>
      <c r="D29" s="11" t="n"/>
      <c r="E29" s="11" t="n"/>
      <c r="F29" s="31" t="n"/>
      <c r="G29" s="31" t="n"/>
      <c r="H29" s="12" t="n"/>
      <c r="I29" s="12" t="n"/>
      <c r="J29" s="37">
        <f>IF(H29="","",I29/H29)</f>
        <v/>
      </c>
      <c r="K29" s="12">
        <f>IF(G29="","",MAX(G29-TODAY(),0))</f>
        <v/>
      </c>
      <c r="L29" s="11" t="n"/>
      <c r="M29" s="11" t="n"/>
    </row>
    <row r="30" ht="22" customHeight="1">
      <c r="B30" s="17">
        <f>IF(C30="","SPD-"&amp;TEXT(COUNTA($C$5:C30),"000"))</f>
        <v/>
      </c>
      <c r="C30" s="14" t="n"/>
      <c r="D30" s="14" t="n"/>
      <c r="E30" s="14" t="n"/>
      <c r="F30" s="32" t="n"/>
      <c r="G30" s="32" t="n"/>
      <c r="H30" s="15" t="n"/>
      <c r="I30" s="15" t="n"/>
      <c r="J30" s="39">
        <f>IF(H30="","",I30/H30)</f>
        <v/>
      </c>
      <c r="K30" s="15">
        <f>IF(G30="","",MAX(G30-TODAY(),0))</f>
        <v/>
      </c>
      <c r="L30" s="14" t="n"/>
      <c r="M30" s="14" t="n"/>
    </row>
    <row r="31" ht="22" customHeight="1">
      <c r="B31" s="18">
        <f>IF(C31="","SPD-"&amp;TEXT(COUNTA($C$5:C31),"000"))</f>
        <v/>
      </c>
      <c r="C31" s="11" t="n"/>
      <c r="D31" s="11" t="n"/>
      <c r="E31" s="11" t="n"/>
      <c r="F31" s="31" t="n"/>
      <c r="G31" s="31" t="n"/>
      <c r="H31" s="12" t="n"/>
      <c r="I31" s="12" t="n"/>
      <c r="J31" s="37">
        <f>IF(H31="","",I31/H31)</f>
        <v/>
      </c>
      <c r="K31" s="12">
        <f>IF(G31="","",MAX(G31-TODAY(),0))</f>
        <v/>
      </c>
      <c r="L31" s="11" t="n"/>
      <c r="M31" s="11" t="n"/>
    </row>
    <row r="32" ht="22" customHeight="1">
      <c r="B32" s="17">
        <f>IF(C32="","SPD-"&amp;TEXT(COUNTA($C$5:C32),"000"))</f>
        <v/>
      </c>
      <c r="C32" s="14" t="n"/>
      <c r="D32" s="14" t="n"/>
      <c r="E32" s="14" t="n"/>
      <c r="F32" s="32" t="n"/>
      <c r="G32" s="32" t="n"/>
      <c r="H32" s="15" t="n"/>
      <c r="I32" s="15" t="n"/>
      <c r="J32" s="39">
        <f>IF(H32="","",I32/H32)</f>
        <v/>
      </c>
      <c r="K32" s="15">
        <f>IF(G32="","",MAX(G32-TODAY(),0))</f>
        <v/>
      </c>
      <c r="L32" s="14" t="n"/>
      <c r="M32" s="14" t="n"/>
    </row>
    <row r="33" ht="22" customHeight="1">
      <c r="B33" s="18">
        <f>IF(C33="","SPD-"&amp;TEXT(COUNTA($C$5:C33),"000"))</f>
        <v/>
      </c>
      <c r="C33" s="11" t="n"/>
      <c r="D33" s="11" t="n"/>
      <c r="E33" s="11" t="n"/>
      <c r="F33" s="31" t="n"/>
      <c r="G33" s="31" t="n"/>
      <c r="H33" s="12" t="n"/>
      <c r="I33" s="12" t="n"/>
      <c r="J33" s="37">
        <f>IF(H33="","",I33/H33)</f>
        <v/>
      </c>
      <c r="K33" s="12">
        <f>IF(G33="","",MAX(G33-TODAY(),0))</f>
        <v/>
      </c>
      <c r="L33" s="11" t="n"/>
      <c r="M33" s="11" t="n"/>
    </row>
    <row r="34" ht="22" customHeight="1">
      <c r="B34" s="17">
        <f>IF(C34="","SPD-"&amp;TEXT(COUNTA($C$5:C34),"000"))</f>
        <v/>
      </c>
      <c r="C34" s="14" t="n"/>
      <c r="D34" s="14" t="n"/>
      <c r="E34" s="14" t="n"/>
      <c r="F34" s="32" t="n"/>
      <c r="G34" s="32" t="n"/>
      <c r="H34" s="15" t="n"/>
      <c r="I34" s="15" t="n"/>
      <c r="J34" s="39">
        <f>IF(H34="","",I34/H34)</f>
        <v/>
      </c>
      <c r="K34" s="15">
        <f>IF(G34="","",MAX(G34-TODAY(),0))</f>
        <v/>
      </c>
      <c r="L34" s="14" t="n"/>
      <c r="M34" s="14" t="n"/>
    </row>
    <row r="35" ht="22" customHeight="1">
      <c r="B35" s="18">
        <f>IF(C35="","SPD-"&amp;TEXT(COUNTA($C$5:C35),"000"))</f>
        <v/>
      </c>
      <c r="C35" s="11" t="n"/>
      <c r="D35" s="11" t="n"/>
      <c r="E35" s="11" t="n"/>
      <c r="F35" s="31" t="n"/>
      <c r="G35" s="31" t="n"/>
      <c r="H35" s="12" t="n"/>
      <c r="I35" s="12" t="n"/>
      <c r="J35" s="37">
        <f>IF(H35="","",I35/H35)</f>
        <v/>
      </c>
      <c r="K35" s="12">
        <f>IF(G35="","",MAX(G35-TODAY(),0))</f>
        <v/>
      </c>
      <c r="L35" s="11" t="n"/>
      <c r="M35" s="11" t="n"/>
    </row>
    <row r="36" ht="22" customHeight="1">
      <c r="B36" s="17">
        <f>IF(C36="","SPD-"&amp;TEXT(COUNTA($C$5:C36),"000"))</f>
        <v/>
      </c>
      <c r="C36" s="14" t="n"/>
      <c r="D36" s="14" t="n"/>
      <c r="E36" s="14" t="n"/>
      <c r="F36" s="32" t="n"/>
      <c r="G36" s="32" t="n"/>
      <c r="H36" s="15" t="n"/>
      <c r="I36" s="15" t="n"/>
      <c r="J36" s="39">
        <f>IF(H36="","",I36/H36)</f>
        <v/>
      </c>
      <c r="K36" s="15">
        <f>IF(G36="","",MAX(G36-TODAY(),0))</f>
        <v/>
      </c>
      <c r="L36" s="14" t="n"/>
      <c r="M36" s="14" t="n"/>
    </row>
    <row r="37" ht="22" customHeight="1">
      <c r="B37" s="18">
        <f>IF(C37="","SPD-"&amp;TEXT(COUNTA($C$5:C37),"000"))</f>
        <v/>
      </c>
      <c r="C37" s="11" t="n"/>
      <c r="D37" s="11" t="n"/>
      <c r="E37" s="11" t="n"/>
      <c r="F37" s="31" t="n"/>
      <c r="G37" s="31" t="n"/>
      <c r="H37" s="12" t="n"/>
      <c r="I37" s="12" t="n"/>
      <c r="J37" s="37">
        <f>IF(H37="","",I37/H37)</f>
        <v/>
      </c>
      <c r="K37" s="12">
        <f>IF(G37="","",MAX(G37-TODAY(),0))</f>
        <v/>
      </c>
      <c r="L37" s="11" t="n"/>
      <c r="M37" s="11" t="n"/>
    </row>
    <row r="38" ht="22" customHeight="1">
      <c r="B38" s="17">
        <f>IF(C38="","SPD-"&amp;TEXT(COUNTA($C$5:C38),"000"))</f>
        <v/>
      </c>
      <c r="C38" s="14" t="n"/>
      <c r="D38" s="14" t="n"/>
      <c r="E38" s="14" t="n"/>
      <c r="F38" s="32" t="n"/>
      <c r="G38" s="32" t="n"/>
      <c r="H38" s="15" t="n"/>
      <c r="I38" s="15" t="n"/>
      <c r="J38" s="39">
        <f>IF(H38="","",I38/H38)</f>
        <v/>
      </c>
      <c r="K38" s="15">
        <f>IF(G38="","",MAX(G38-TODAY(),0))</f>
        <v/>
      </c>
      <c r="L38" s="14" t="n"/>
      <c r="M38" s="14" t="n"/>
    </row>
    <row r="39" ht="22" customHeight="1">
      <c r="B39" s="18">
        <f>IF(C39="","SPD-"&amp;TEXT(COUNTA($C$5:C39),"000"))</f>
        <v/>
      </c>
      <c r="C39" s="11" t="n"/>
      <c r="D39" s="11" t="n"/>
      <c r="E39" s="11" t="n"/>
      <c r="F39" s="31" t="n"/>
      <c r="G39" s="31" t="n"/>
      <c r="H39" s="12" t="n"/>
      <c r="I39" s="12" t="n"/>
      <c r="J39" s="37">
        <f>IF(H39="","",I39/H39)</f>
        <v/>
      </c>
      <c r="K39" s="12">
        <f>IF(G39="","",MAX(G39-TODAY(),0))</f>
        <v/>
      </c>
      <c r="L39" s="11" t="n"/>
      <c r="M39" s="11" t="n"/>
    </row>
    <row r="40" ht="22" customHeight="1">
      <c r="B40" s="17">
        <f>IF(C40="","SPD-"&amp;TEXT(COUNTA($C$5:C40),"000"))</f>
        <v/>
      </c>
      <c r="C40" s="14" t="n"/>
      <c r="D40" s="14" t="n"/>
      <c r="E40" s="14" t="n"/>
      <c r="F40" s="32" t="n"/>
      <c r="G40" s="32" t="n"/>
      <c r="H40" s="15" t="n"/>
      <c r="I40" s="15" t="n"/>
      <c r="J40" s="39">
        <f>IF(H40="","",I40/H40)</f>
        <v/>
      </c>
      <c r="K40" s="15">
        <f>IF(G40="","",MAX(G40-TODAY(),0))</f>
        <v/>
      </c>
      <c r="L40" s="14" t="n"/>
      <c r="M40" s="14" t="n"/>
    </row>
    <row r="41" ht="22" customHeight="1">
      <c r="B41" s="18">
        <f>IF(C41="","SPD-"&amp;TEXT(COUNTA($C$5:C41),"000"))</f>
        <v/>
      </c>
      <c r="C41" s="11" t="n"/>
      <c r="D41" s="11" t="n"/>
      <c r="E41" s="11" t="n"/>
      <c r="F41" s="31" t="n"/>
      <c r="G41" s="31" t="n"/>
      <c r="H41" s="12" t="n"/>
      <c r="I41" s="12" t="n"/>
      <c r="J41" s="37">
        <f>IF(H41="","",I41/H41)</f>
        <v/>
      </c>
      <c r="K41" s="12">
        <f>IF(G41="","",MAX(G41-TODAY(),0))</f>
        <v/>
      </c>
      <c r="L41" s="11" t="n"/>
      <c r="M41" s="11" t="n"/>
    </row>
    <row r="42" ht="22" customHeight="1">
      <c r="B42" s="17">
        <f>IF(C42="","SPD-"&amp;TEXT(COUNTA($C$5:C42),"000"))</f>
        <v/>
      </c>
      <c r="C42" s="14" t="n"/>
      <c r="D42" s="14" t="n"/>
      <c r="E42" s="14" t="n"/>
      <c r="F42" s="32" t="n"/>
      <c r="G42" s="32" t="n"/>
      <c r="H42" s="15" t="n"/>
      <c r="I42" s="15" t="n"/>
      <c r="J42" s="39">
        <f>IF(H42="","",I42/H42)</f>
        <v/>
      </c>
      <c r="K42" s="15">
        <f>IF(G42="","",MAX(G42-TODAY(),0))</f>
        <v/>
      </c>
      <c r="L42" s="14" t="n"/>
      <c r="M42" s="14" t="n"/>
    </row>
    <row r="43" ht="22" customHeight="1">
      <c r="B43" s="18">
        <f>IF(C43="","SPD-"&amp;TEXT(COUNTA($C$5:C43),"000"))</f>
        <v/>
      </c>
      <c r="C43" s="11" t="n"/>
      <c r="D43" s="11" t="n"/>
      <c r="E43" s="11" t="n"/>
      <c r="F43" s="31" t="n"/>
      <c r="G43" s="31" t="n"/>
      <c r="H43" s="12" t="n"/>
      <c r="I43" s="12" t="n"/>
      <c r="J43" s="37">
        <f>IF(H43="","",I43/H43)</f>
        <v/>
      </c>
      <c r="K43" s="12">
        <f>IF(G43="","",MAX(G43-TODAY(),0))</f>
        <v/>
      </c>
      <c r="L43" s="11" t="n"/>
      <c r="M43" s="11" t="n"/>
    </row>
    <row r="44" ht="22" customHeight="1">
      <c r="B44" s="17">
        <f>IF(C44="","SPD-"&amp;TEXT(COUNTA($C$5:C44),"000"))</f>
        <v/>
      </c>
      <c r="C44" s="14" t="n"/>
      <c r="D44" s="14" t="n"/>
      <c r="E44" s="14" t="n"/>
      <c r="F44" s="32" t="n"/>
      <c r="G44" s="32" t="n"/>
      <c r="H44" s="15" t="n"/>
      <c r="I44" s="15" t="n"/>
      <c r="J44" s="39">
        <f>IF(H44="","",I44/H44)</f>
        <v/>
      </c>
      <c r="K44" s="15">
        <f>IF(G44="","",MAX(G44-TODAY(),0))</f>
        <v/>
      </c>
      <c r="L44" s="14" t="n"/>
      <c r="M44" s="14" t="n"/>
    </row>
    <row r="45" ht="22" customHeight="1">
      <c r="B45" s="18">
        <f>IF(C45="","SPD-"&amp;TEXT(COUNTA($C$5:C45),"000"))</f>
        <v/>
      </c>
      <c r="C45" s="11" t="n"/>
      <c r="D45" s="11" t="n"/>
      <c r="E45" s="11" t="n"/>
      <c r="F45" s="31" t="n"/>
      <c r="G45" s="31" t="n"/>
      <c r="H45" s="12" t="n"/>
      <c r="I45" s="12" t="n"/>
      <c r="J45" s="37">
        <f>IF(H45="","",I45/H45)</f>
        <v/>
      </c>
      <c r="K45" s="12">
        <f>IF(G45="","",MAX(G45-TODAY(),0))</f>
        <v/>
      </c>
      <c r="L45" s="11" t="n"/>
      <c r="M45" s="11" t="n"/>
    </row>
    <row r="46" ht="22" customHeight="1">
      <c r="B46" s="17">
        <f>IF(C46="","SPD-"&amp;TEXT(COUNTA($C$5:C46),"000"))</f>
        <v/>
      </c>
      <c r="C46" s="14" t="n"/>
      <c r="D46" s="14" t="n"/>
      <c r="E46" s="14" t="n"/>
      <c r="F46" s="32" t="n"/>
      <c r="G46" s="32" t="n"/>
      <c r="H46" s="15" t="n"/>
      <c r="I46" s="15" t="n"/>
      <c r="J46" s="39">
        <f>IF(H46="","",I46/H46)</f>
        <v/>
      </c>
      <c r="K46" s="15">
        <f>IF(G46="","",MAX(G46-TODAY(),0))</f>
        <v/>
      </c>
      <c r="L46" s="14" t="n"/>
      <c r="M46" s="14" t="n"/>
    </row>
    <row r="47" ht="22" customHeight="1">
      <c r="B47" s="18">
        <f>IF(C47="","SPD-"&amp;TEXT(COUNTA($C$5:C47),"000"))</f>
        <v/>
      </c>
      <c r="C47" s="11" t="n"/>
      <c r="D47" s="11" t="n"/>
      <c r="E47" s="11" t="n"/>
      <c r="F47" s="31" t="n"/>
      <c r="G47" s="31" t="n"/>
      <c r="H47" s="12" t="n"/>
      <c r="I47" s="12" t="n"/>
      <c r="J47" s="37">
        <f>IF(H47="","",I47/H47)</f>
        <v/>
      </c>
      <c r="K47" s="12">
        <f>IF(G47="","",MAX(G47-TODAY(),0))</f>
        <v/>
      </c>
      <c r="L47" s="11" t="n"/>
      <c r="M47" s="11" t="n"/>
    </row>
    <row r="48" ht="22" customHeight="1">
      <c r="B48" s="17">
        <f>IF(C48="","SPD-"&amp;TEXT(COUNTA($C$5:C48),"000"))</f>
        <v/>
      </c>
      <c r="C48" s="14" t="n"/>
      <c r="D48" s="14" t="n"/>
      <c r="E48" s="14" t="n"/>
      <c r="F48" s="32" t="n"/>
      <c r="G48" s="32" t="n"/>
      <c r="H48" s="15" t="n"/>
      <c r="I48" s="15" t="n"/>
      <c r="J48" s="39">
        <f>IF(H48="","",I48/H48)</f>
        <v/>
      </c>
      <c r="K48" s="15">
        <f>IF(G48="","",MAX(G48-TODAY(),0))</f>
        <v/>
      </c>
      <c r="L48" s="14" t="n"/>
      <c r="M48" s="14" t="n"/>
    </row>
    <row r="49" ht="22" customHeight="1">
      <c r="B49" s="18">
        <f>IF(C49="","SPD-"&amp;TEXT(COUNTA($C$5:C49),"000"))</f>
        <v/>
      </c>
      <c r="C49" s="11" t="n"/>
      <c r="D49" s="11" t="n"/>
      <c r="E49" s="11" t="n"/>
      <c r="F49" s="31" t="n"/>
      <c r="G49" s="31" t="n"/>
      <c r="H49" s="12" t="n"/>
      <c r="I49" s="12" t="n"/>
      <c r="J49" s="37">
        <f>IF(H49="","",I49/H49)</f>
        <v/>
      </c>
      <c r="K49" s="12">
        <f>IF(G49="","",MAX(G49-TODAY(),0))</f>
        <v/>
      </c>
      <c r="L49" s="11" t="n"/>
      <c r="M49" s="11" t="n"/>
    </row>
    <row r="50" ht="22" customHeight="1">
      <c r="B50" s="17">
        <f>IF(C50="","SPD-"&amp;TEXT(COUNTA($C$5:C50),"000"))</f>
        <v/>
      </c>
      <c r="C50" s="14" t="n"/>
      <c r="D50" s="14" t="n"/>
      <c r="E50" s="14" t="n"/>
      <c r="F50" s="32" t="n"/>
      <c r="G50" s="32" t="n"/>
      <c r="H50" s="15" t="n"/>
      <c r="I50" s="15" t="n"/>
      <c r="J50" s="39">
        <f>IF(H50="","",I50/H50)</f>
        <v/>
      </c>
      <c r="K50" s="15">
        <f>IF(G50="","",MAX(G50-TODAY(),0))</f>
        <v/>
      </c>
      <c r="L50" s="14" t="n"/>
      <c r="M50" s="14" t="n"/>
    </row>
    <row r="51" ht="22" customHeight="1">
      <c r="B51" s="18">
        <f>IF(C51="","SPD-"&amp;TEXT(COUNTA($C$5:C51),"000"))</f>
        <v/>
      </c>
      <c r="C51" s="11" t="n"/>
      <c r="D51" s="11" t="n"/>
      <c r="E51" s="11" t="n"/>
      <c r="F51" s="31" t="n"/>
      <c r="G51" s="31" t="n"/>
      <c r="H51" s="12" t="n"/>
      <c r="I51" s="12" t="n"/>
      <c r="J51" s="37">
        <f>IF(H51="","",I51/H51)</f>
        <v/>
      </c>
      <c r="K51" s="12">
        <f>IF(G51="","",MAX(G51-TODAY(),0))</f>
        <v/>
      </c>
      <c r="L51" s="11" t="n"/>
      <c r="M51" s="11" t="n"/>
    </row>
    <row r="52" ht="22" customHeight="1">
      <c r="B52" s="17">
        <f>IF(C52="","SPD-"&amp;TEXT(COUNTA($C$5:C52),"000"))</f>
        <v/>
      </c>
      <c r="C52" s="14" t="n"/>
      <c r="D52" s="14" t="n"/>
      <c r="E52" s="14" t="n"/>
      <c r="F52" s="32" t="n"/>
      <c r="G52" s="32" t="n"/>
      <c r="H52" s="15" t="n"/>
      <c r="I52" s="15" t="n"/>
      <c r="J52" s="39">
        <f>IF(H52="","",I52/H52)</f>
        <v/>
      </c>
      <c r="K52" s="15">
        <f>IF(G52="","",MAX(G52-TODAY(),0))</f>
        <v/>
      </c>
      <c r="L52" s="14" t="n"/>
      <c r="M52" s="14" t="n"/>
    </row>
    <row r="53" ht="22" customHeight="1">
      <c r="B53" s="18">
        <f>IF(C53="","SPD-"&amp;TEXT(COUNTA($C$5:C53),"000"))</f>
        <v/>
      </c>
      <c r="C53" s="11" t="n"/>
      <c r="D53" s="11" t="n"/>
      <c r="E53" s="11" t="n"/>
      <c r="F53" s="31" t="n"/>
      <c r="G53" s="31" t="n"/>
      <c r="H53" s="12" t="n"/>
      <c r="I53" s="12" t="n"/>
      <c r="J53" s="37">
        <f>IF(H53="","",I53/H53)</f>
        <v/>
      </c>
      <c r="K53" s="12">
        <f>IF(G53="","",MAX(G53-TODAY(),0))</f>
        <v/>
      </c>
      <c r="L53" s="11" t="n"/>
      <c r="M53" s="11" t="n"/>
    </row>
    <row r="54" ht="22" customHeight="1">
      <c r="B54" s="17">
        <f>IF(C54="","SPD-"&amp;TEXT(COUNTA($C$5:C54),"000"))</f>
        <v/>
      </c>
      <c r="C54" s="14" t="n"/>
      <c r="D54" s="14" t="n"/>
      <c r="E54" s="14" t="n"/>
      <c r="F54" s="32" t="n"/>
      <c r="G54" s="32" t="n"/>
      <c r="H54" s="15" t="n"/>
      <c r="I54" s="15" t="n"/>
      <c r="J54" s="39">
        <f>IF(H54="","",I54/H54)</f>
        <v/>
      </c>
      <c r="K54" s="15">
        <f>IF(G54="","",MAX(G54-TODAY(),0))</f>
        <v/>
      </c>
      <c r="L54" s="14" t="n"/>
      <c r="M54" s="14" t="n"/>
    </row>
    <row r="55" ht="22" customHeight="1">
      <c r="B55" s="18">
        <f>IF(C55="","SPD-"&amp;TEXT(COUNTA($C$5:C55),"000"))</f>
        <v/>
      </c>
      <c r="C55" s="11" t="n"/>
      <c r="D55" s="11" t="n"/>
      <c r="E55" s="11" t="n"/>
      <c r="F55" s="31" t="n"/>
      <c r="G55" s="31" t="n"/>
      <c r="H55" s="12" t="n"/>
      <c r="I55" s="12" t="n"/>
      <c r="J55" s="37">
        <f>IF(H55="","",I55/H55)</f>
        <v/>
      </c>
      <c r="K55" s="12">
        <f>IF(G55="","",MAX(G55-TODAY(),0))</f>
        <v/>
      </c>
      <c r="L55" s="11" t="n"/>
      <c r="M55" s="11" t="n"/>
    </row>
    <row r="56" ht="22" customHeight="1">
      <c r="B56" s="17">
        <f>IF(C56="","SPD-"&amp;TEXT(COUNTA($C$5:C56),"000"))</f>
        <v/>
      </c>
      <c r="C56" s="14" t="n"/>
      <c r="D56" s="14" t="n"/>
      <c r="E56" s="14" t="n"/>
      <c r="F56" s="32" t="n"/>
      <c r="G56" s="32" t="n"/>
      <c r="H56" s="15" t="n"/>
      <c r="I56" s="15" t="n"/>
      <c r="J56" s="39">
        <f>IF(H56="","",I56/H56)</f>
        <v/>
      </c>
      <c r="K56" s="15">
        <f>IF(G56="","",MAX(G56-TODAY(),0))</f>
        <v/>
      </c>
      <c r="L56" s="14" t="n"/>
      <c r="M56" s="14" t="n"/>
    </row>
    <row r="57" ht="22" customHeight="1">
      <c r="B57" s="18">
        <f>IF(C57="","SPD-"&amp;TEXT(COUNTA($C$5:C57),"000"))</f>
        <v/>
      </c>
      <c r="C57" s="11" t="n"/>
      <c r="D57" s="11" t="n"/>
      <c r="E57" s="11" t="n"/>
      <c r="F57" s="31" t="n"/>
      <c r="G57" s="31" t="n"/>
      <c r="H57" s="12" t="n"/>
      <c r="I57" s="12" t="n"/>
      <c r="J57" s="37">
        <f>IF(H57="","",I57/H57)</f>
        <v/>
      </c>
      <c r="K57" s="12">
        <f>IF(G57="","",MAX(G57-TODAY(),0))</f>
        <v/>
      </c>
      <c r="L57" s="11" t="n"/>
      <c r="M57" s="11" t="n"/>
    </row>
    <row r="58" ht="22" customHeight="1">
      <c r="B58" s="17">
        <f>IF(C58="","SPD-"&amp;TEXT(COUNTA($C$5:C58),"000"))</f>
        <v/>
      </c>
      <c r="C58" s="14" t="n"/>
      <c r="D58" s="14" t="n"/>
      <c r="E58" s="14" t="n"/>
      <c r="F58" s="32" t="n"/>
      <c r="G58" s="32" t="n"/>
      <c r="H58" s="15" t="n"/>
      <c r="I58" s="15" t="n"/>
      <c r="J58" s="39">
        <f>IF(H58="","",I58/H58)</f>
        <v/>
      </c>
      <c r="K58" s="15">
        <f>IF(G58="","",MAX(G58-TODAY(),0))</f>
        <v/>
      </c>
      <c r="L58" s="14" t="n"/>
      <c r="M58" s="14" t="n"/>
    </row>
    <row r="59" ht="22" customHeight="1">
      <c r="B59" s="18">
        <f>IF(C59="","SPD-"&amp;TEXT(COUNTA($C$5:C59),"000"))</f>
        <v/>
      </c>
      <c r="C59" s="11" t="n"/>
      <c r="D59" s="11" t="n"/>
      <c r="E59" s="11" t="n"/>
      <c r="F59" s="31" t="n"/>
      <c r="G59" s="31" t="n"/>
      <c r="H59" s="12" t="n"/>
      <c r="I59" s="12" t="n"/>
      <c r="J59" s="37">
        <f>IF(H59="","",I59/H59)</f>
        <v/>
      </c>
      <c r="K59" s="12">
        <f>IF(G59="","",MAX(G59-TODAY(),0))</f>
        <v/>
      </c>
      <c r="L59" s="11" t="n"/>
      <c r="M59" s="11" t="n"/>
    </row>
    <row r="60" ht="22" customHeight="1">
      <c r="B60" s="17">
        <f>IF(C60="","SPD-"&amp;TEXT(COUNTA($C$5:C60),"000"))</f>
        <v/>
      </c>
      <c r="C60" s="14" t="n"/>
      <c r="D60" s="14" t="n"/>
      <c r="E60" s="14" t="n"/>
      <c r="F60" s="32" t="n"/>
      <c r="G60" s="32" t="n"/>
      <c r="H60" s="15" t="n"/>
      <c r="I60" s="15" t="n"/>
      <c r="J60" s="39">
        <f>IF(H60="","",I60/H60)</f>
        <v/>
      </c>
      <c r="K60" s="15">
        <f>IF(G60="","",MAX(G60-TODAY(),0))</f>
        <v/>
      </c>
      <c r="L60" s="14" t="n"/>
      <c r="M60" s="14" t="n"/>
    </row>
    <row r="61" ht="22" customHeight="1">
      <c r="B61" s="18">
        <f>IF(C61="","SPD-"&amp;TEXT(COUNTA($C$5:C61),"000"))</f>
        <v/>
      </c>
      <c r="C61" s="11" t="n"/>
      <c r="D61" s="11" t="n"/>
      <c r="E61" s="11" t="n"/>
      <c r="F61" s="31" t="n"/>
      <c r="G61" s="31" t="n"/>
      <c r="H61" s="12" t="n"/>
      <c r="I61" s="12" t="n"/>
      <c r="J61" s="37">
        <f>IF(H61="","",I61/H61)</f>
        <v/>
      </c>
      <c r="K61" s="12">
        <f>IF(G61="","",MAX(G61-TODAY(),0))</f>
        <v/>
      </c>
      <c r="L61" s="11" t="n"/>
      <c r="M61" s="11" t="n"/>
    </row>
    <row r="62" ht="22" customHeight="1">
      <c r="B62" s="17">
        <f>IF(C62="","SPD-"&amp;TEXT(COUNTA($C$5:C62),"000"))</f>
        <v/>
      </c>
      <c r="C62" s="14" t="n"/>
      <c r="D62" s="14" t="n"/>
      <c r="E62" s="14" t="n"/>
      <c r="F62" s="32" t="n"/>
      <c r="G62" s="32" t="n"/>
      <c r="H62" s="15" t="n"/>
      <c r="I62" s="15" t="n"/>
      <c r="J62" s="39">
        <f>IF(H62="","",I62/H62)</f>
        <v/>
      </c>
      <c r="K62" s="15">
        <f>IF(G62="","",MAX(G62-TODAY(),0))</f>
        <v/>
      </c>
      <c r="L62" s="14" t="n"/>
      <c r="M62" s="14" t="n"/>
    </row>
    <row r="63" ht="22" customHeight="1">
      <c r="B63" s="18">
        <f>IF(C63="","SPD-"&amp;TEXT(COUNTA($C$5:C63),"000"))</f>
        <v/>
      </c>
      <c r="C63" s="11" t="n"/>
      <c r="D63" s="11" t="n"/>
      <c r="E63" s="11" t="n"/>
      <c r="F63" s="31" t="n"/>
      <c r="G63" s="31" t="n"/>
      <c r="H63" s="12" t="n"/>
      <c r="I63" s="12" t="n"/>
      <c r="J63" s="37">
        <f>IF(H63="","",I63/H63)</f>
        <v/>
      </c>
      <c r="K63" s="12">
        <f>IF(G63="","",MAX(G63-TODAY(),0))</f>
        <v/>
      </c>
      <c r="L63" s="11" t="n"/>
      <c r="M63" s="11" t="n"/>
    </row>
    <row r="64" ht="22" customHeight="1">
      <c r="B64" s="17">
        <f>IF(C64="","SPD-"&amp;TEXT(COUNTA($C$5:C64),"000"))</f>
        <v/>
      </c>
      <c r="C64" s="14" t="n"/>
      <c r="D64" s="14" t="n"/>
      <c r="E64" s="14" t="n"/>
      <c r="F64" s="32" t="n"/>
      <c r="G64" s="32" t="n"/>
      <c r="H64" s="15" t="n"/>
      <c r="I64" s="15" t="n"/>
      <c r="J64" s="39">
        <f>IF(H64="","",I64/H64)</f>
        <v/>
      </c>
      <c r="K64" s="15">
        <f>IF(G64="","",MAX(G64-TODAY(),0))</f>
        <v/>
      </c>
      <c r="L64" s="14" t="n"/>
      <c r="M64" s="14" t="n"/>
    </row>
    <row r="65" ht="22" customHeight="1">
      <c r="B65" s="18">
        <f>IF(C65="","SPD-"&amp;TEXT(COUNTA($C$5:C65),"000"))</f>
        <v/>
      </c>
      <c r="C65" s="11" t="n"/>
      <c r="D65" s="11" t="n"/>
      <c r="E65" s="11" t="n"/>
      <c r="F65" s="31" t="n"/>
      <c r="G65" s="31" t="n"/>
      <c r="H65" s="12" t="n"/>
      <c r="I65" s="12" t="n"/>
      <c r="J65" s="37">
        <f>IF(H65="","",I65/H65)</f>
        <v/>
      </c>
      <c r="K65" s="12">
        <f>IF(G65="","",MAX(G65-TODAY(),0))</f>
        <v/>
      </c>
      <c r="L65" s="11" t="n"/>
      <c r="M65" s="11" t="n"/>
    </row>
    <row r="66" ht="22" customHeight="1">
      <c r="B66" s="17">
        <f>IF(C66="","SPD-"&amp;TEXT(COUNTA($C$5:C66),"000"))</f>
        <v/>
      </c>
      <c r="C66" s="14" t="n"/>
      <c r="D66" s="14" t="n"/>
      <c r="E66" s="14" t="n"/>
      <c r="F66" s="32" t="n"/>
      <c r="G66" s="32" t="n"/>
      <c r="H66" s="15" t="n"/>
      <c r="I66" s="15" t="n"/>
      <c r="J66" s="39">
        <f>IF(H66="","",I66/H66)</f>
        <v/>
      </c>
      <c r="K66" s="15">
        <f>IF(G66="","",MAX(G66-TODAY(),0))</f>
        <v/>
      </c>
      <c r="L66" s="14" t="n"/>
      <c r="M66" s="14" t="n"/>
    </row>
    <row r="67" ht="22" customHeight="1">
      <c r="B67" s="18">
        <f>IF(C67="","SPD-"&amp;TEXT(COUNTA($C$5:C67),"000"))</f>
        <v/>
      </c>
      <c r="C67" s="11" t="n"/>
      <c r="D67" s="11" t="n"/>
      <c r="E67" s="11" t="n"/>
      <c r="F67" s="31" t="n"/>
      <c r="G67" s="31" t="n"/>
      <c r="H67" s="12" t="n"/>
      <c r="I67" s="12" t="n"/>
      <c r="J67" s="37">
        <f>IF(H67="","",I67/H67)</f>
        <v/>
      </c>
      <c r="K67" s="12">
        <f>IF(G67="","",MAX(G67-TODAY(),0))</f>
        <v/>
      </c>
      <c r="L67" s="11" t="n"/>
      <c r="M67" s="11" t="n"/>
    </row>
    <row r="68" ht="22" customHeight="1">
      <c r="B68" s="17">
        <f>IF(C68="","SPD-"&amp;TEXT(COUNTA($C$5:C68),"000"))</f>
        <v/>
      </c>
      <c r="C68" s="14" t="n"/>
      <c r="D68" s="14" t="n"/>
      <c r="E68" s="14" t="n"/>
      <c r="F68" s="32" t="n"/>
      <c r="G68" s="32" t="n"/>
      <c r="H68" s="15" t="n"/>
      <c r="I68" s="15" t="n"/>
      <c r="J68" s="39">
        <f>IF(H68="","",I68/H68)</f>
        <v/>
      </c>
      <c r="K68" s="15">
        <f>IF(G68="","",MAX(G68-TODAY(),0))</f>
        <v/>
      </c>
      <c r="L68" s="14" t="n"/>
      <c r="M68" s="14" t="n"/>
    </row>
    <row r="69" ht="22" customHeight="1">
      <c r="B69" s="18">
        <f>IF(C69="","SPD-"&amp;TEXT(COUNTA($C$5:C69),"000"))</f>
        <v/>
      </c>
      <c r="C69" s="11" t="n"/>
      <c r="D69" s="11" t="n"/>
      <c r="E69" s="11" t="n"/>
      <c r="F69" s="31" t="n"/>
      <c r="G69" s="31" t="n"/>
      <c r="H69" s="12" t="n"/>
      <c r="I69" s="12" t="n"/>
      <c r="J69" s="37">
        <f>IF(H69="","",I69/H69)</f>
        <v/>
      </c>
      <c r="K69" s="12">
        <f>IF(G69="","",MAX(G69-TODAY(),0))</f>
        <v/>
      </c>
      <c r="L69" s="11" t="n"/>
      <c r="M69" s="11" t="n"/>
    </row>
    <row r="70" ht="22" customHeight="1">
      <c r="B70" s="17">
        <f>IF(C70="","SPD-"&amp;TEXT(COUNTA($C$5:C70),"000"))</f>
        <v/>
      </c>
      <c r="C70" s="14" t="n"/>
      <c r="D70" s="14" t="n"/>
      <c r="E70" s="14" t="n"/>
      <c r="F70" s="32" t="n"/>
      <c r="G70" s="32" t="n"/>
      <c r="H70" s="15" t="n"/>
      <c r="I70" s="15" t="n"/>
      <c r="J70" s="39">
        <f>IF(H70="","",I70/H70)</f>
        <v/>
      </c>
      <c r="K70" s="15">
        <f>IF(G70="","",MAX(G70-TODAY(),0))</f>
        <v/>
      </c>
      <c r="L70" s="14" t="n"/>
      <c r="M70" s="14" t="n"/>
    </row>
    <row r="71" ht="22" customHeight="1">
      <c r="B71" s="18">
        <f>IF(C71="","SPD-"&amp;TEXT(COUNTA($C$5:C71),"000"))</f>
        <v/>
      </c>
      <c r="C71" s="11" t="n"/>
      <c r="D71" s="11" t="n"/>
      <c r="E71" s="11" t="n"/>
      <c r="F71" s="31" t="n"/>
      <c r="G71" s="31" t="n"/>
      <c r="H71" s="12" t="n"/>
      <c r="I71" s="12" t="n"/>
      <c r="J71" s="37">
        <f>IF(H71="","",I71/H71)</f>
        <v/>
      </c>
      <c r="K71" s="12">
        <f>IF(G71="","",MAX(G71-TODAY(),0))</f>
        <v/>
      </c>
      <c r="L71" s="11" t="n"/>
      <c r="M71" s="11" t="n"/>
    </row>
    <row r="72" ht="22" customHeight="1">
      <c r="B72" s="17">
        <f>IF(C72="","SPD-"&amp;TEXT(COUNTA($C$5:C72),"000"))</f>
        <v/>
      </c>
      <c r="C72" s="14" t="n"/>
      <c r="D72" s="14" t="n"/>
      <c r="E72" s="14" t="n"/>
      <c r="F72" s="32" t="n"/>
      <c r="G72" s="32" t="n"/>
      <c r="H72" s="15" t="n"/>
      <c r="I72" s="15" t="n"/>
      <c r="J72" s="39">
        <f>IF(H72="","",I72/H72)</f>
        <v/>
      </c>
      <c r="K72" s="15">
        <f>IF(G72="","",MAX(G72-TODAY(),0))</f>
        <v/>
      </c>
      <c r="L72" s="14" t="n"/>
      <c r="M72" s="14" t="n"/>
    </row>
    <row r="73" ht="22" customHeight="1">
      <c r="B73" s="18">
        <f>IF(C73="","SPD-"&amp;TEXT(COUNTA($C$5:C73),"000"))</f>
        <v/>
      </c>
      <c r="C73" s="11" t="n"/>
      <c r="D73" s="11" t="n"/>
      <c r="E73" s="11" t="n"/>
      <c r="F73" s="31" t="n"/>
      <c r="G73" s="31" t="n"/>
      <c r="H73" s="12" t="n"/>
      <c r="I73" s="12" t="n"/>
      <c r="J73" s="37">
        <f>IF(H73="","",I73/H73)</f>
        <v/>
      </c>
      <c r="K73" s="12">
        <f>IF(G73="","",MAX(G73-TODAY(),0))</f>
        <v/>
      </c>
      <c r="L73" s="11" t="n"/>
      <c r="M73" s="11" t="n"/>
    </row>
    <row r="74" ht="22" customHeight="1">
      <c r="B74" s="17">
        <f>IF(C74="","SPD-"&amp;TEXT(COUNTA($C$5:C74),"000"))</f>
        <v/>
      </c>
      <c r="C74" s="14" t="n"/>
      <c r="D74" s="14" t="n"/>
      <c r="E74" s="14" t="n"/>
      <c r="F74" s="32" t="n"/>
      <c r="G74" s="32" t="n"/>
      <c r="H74" s="15" t="n"/>
      <c r="I74" s="15" t="n"/>
      <c r="J74" s="39">
        <f>IF(H74="","",I74/H74)</f>
        <v/>
      </c>
      <c r="K74" s="15">
        <f>IF(G74="","",MAX(G74-TODAY(),0))</f>
        <v/>
      </c>
      <c r="L74" s="14" t="n"/>
      <c r="M74" s="14" t="n"/>
    </row>
    <row r="75" ht="22" customHeight="1">
      <c r="B75" s="18">
        <f>IF(C75="","SPD-"&amp;TEXT(COUNTA($C$5:C75),"000"))</f>
        <v/>
      </c>
      <c r="C75" s="11" t="n"/>
      <c r="D75" s="11" t="n"/>
      <c r="E75" s="11" t="n"/>
      <c r="F75" s="31" t="n"/>
      <c r="G75" s="31" t="n"/>
      <c r="H75" s="12" t="n"/>
      <c r="I75" s="12" t="n"/>
      <c r="J75" s="37">
        <f>IF(H75="","",I75/H75)</f>
        <v/>
      </c>
      <c r="K75" s="12">
        <f>IF(G75="","",MAX(G75-TODAY(),0))</f>
        <v/>
      </c>
      <c r="L75" s="11" t="n"/>
      <c r="M75" s="11" t="n"/>
    </row>
    <row r="76" ht="22" customHeight="1">
      <c r="B76" s="17">
        <f>IF(C76="","SPD-"&amp;TEXT(COUNTA($C$5:C76),"000"))</f>
        <v/>
      </c>
      <c r="C76" s="14" t="n"/>
      <c r="D76" s="14" t="n"/>
      <c r="E76" s="14" t="n"/>
      <c r="F76" s="32" t="n"/>
      <c r="G76" s="32" t="n"/>
      <c r="H76" s="15" t="n"/>
      <c r="I76" s="15" t="n"/>
      <c r="J76" s="39">
        <f>IF(H76="","",I76/H76)</f>
        <v/>
      </c>
      <c r="K76" s="15">
        <f>IF(G76="","",MAX(G76-TODAY(),0))</f>
        <v/>
      </c>
      <c r="L76" s="14" t="n"/>
      <c r="M76" s="14" t="n"/>
    </row>
    <row r="77" ht="22" customHeight="1">
      <c r="B77" s="18">
        <f>IF(C77="","SPD-"&amp;TEXT(COUNTA($C$5:C77),"000"))</f>
        <v/>
      </c>
      <c r="C77" s="11" t="n"/>
      <c r="D77" s="11" t="n"/>
      <c r="E77" s="11" t="n"/>
      <c r="F77" s="31" t="n"/>
      <c r="G77" s="31" t="n"/>
      <c r="H77" s="12" t="n"/>
      <c r="I77" s="12" t="n"/>
      <c r="J77" s="37">
        <f>IF(H77="","",I77/H77)</f>
        <v/>
      </c>
      <c r="K77" s="12">
        <f>IF(G77="","",MAX(G77-TODAY(),0))</f>
        <v/>
      </c>
      <c r="L77" s="11" t="n"/>
      <c r="M77" s="11" t="n"/>
    </row>
    <row r="78" ht="22" customHeight="1">
      <c r="B78" s="17">
        <f>IF(C78="","SPD-"&amp;TEXT(COUNTA($C$5:C78),"000"))</f>
        <v/>
      </c>
      <c r="C78" s="14" t="n"/>
      <c r="D78" s="14" t="n"/>
      <c r="E78" s="14" t="n"/>
      <c r="F78" s="32" t="n"/>
      <c r="G78" s="32" t="n"/>
      <c r="H78" s="15" t="n"/>
      <c r="I78" s="15" t="n"/>
      <c r="J78" s="39">
        <f>IF(H78="","",I78/H78)</f>
        <v/>
      </c>
      <c r="K78" s="15">
        <f>IF(G78="","",MAX(G78-TODAY(),0))</f>
        <v/>
      </c>
      <c r="L78" s="14" t="n"/>
      <c r="M78" s="14" t="n"/>
    </row>
    <row r="79" ht="22" customHeight="1">
      <c r="B79" s="18">
        <f>IF(C79="","SPD-"&amp;TEXT(COUNTA($C$5:C79),"000"))</f>
        <v/>
      </c>
      <c r="C79" s="11" t="n"/>
      <c r="D79" s="11" t="n"/>
      <c r="E79" s="11" t="n"/>
      <c r="F79" s="31" t="n"/>
      <c r="G79" s="31" t="n"/>
      <c r="H79" s="12" t="n"/>
      <c r="I79" s="12" t="n"/>
      <c r="J79" s="37">
        <f>IF(H79="","",I79/H79)</f>
        <v/>
      </c>
      <c r="K79" s="12">
        <f>IF(G79="","",MAX(G79-TODAY(),0))</f>
        <v/>
      </c>
      <c r="L79" s="11" t="n"/>
      <c r="M79" s="11" t="n"/>
    </row>
    <row r="80" ht="22" customHeight="1">
      <c r="B80" s="17">
        <f>IF(C80="","SPD-"&amp;TEXT(COUNTA($C$5:C80),"000"))</f>
        <v/>
      </c>
      <c r="C80" s="14" t="n"/>
      <c r="D80" s="14" t="n"/>
      <c r="E80" s="14" t="n"/>
      <c r="F80" s="32" t="n"/>
      <c r="G80" s="32" t="n"/>
      <c r="H80" s="15" t="n"/>
      <c r="I80" s="15" t="n"/>
      <c r="J80" s="39">
        <f>IF(H80="","",I80/H80)</f>
        <v/>
      </c>
      <c r="K80" s="15">
        <f>IF(G80="","",MAX(G80-TODAY(),0))</f>
        <v/>
      </c>
      <c r="L80" s="14" t="n"/>
      <c r="M80" s="14" t="n"/>
    </row>
    <row r="81" ht="22" customHeight="1">
      <c r="B81" s="18">
        <f>IF(C81="","SPD-"&amp;TEXT(COUNTA($C$5:C81),"000"))</f>
        <v/>
      </c>
      <c r="C81" s="11" t="n"/>
      <c r="D81" s="11" t="n"/>
      <c r="E81" s="11" t="n"/>
      <c r="F81" s="31" t="n"/>
      <c r="G81" s="31" t="n"/>
      <c r="H81" s="12" t="n"/>
      <c r="I81" s="12" t="n"/>
      <c r="J81" s="37">
        <f>IF(H81="","",I81/H81)</f>
        <v/>
      </c>
      <c r="K81" s="12">
        <f>IF(G81="","",MAX(G81-TODAY(),0))</f>
        <v/>
      </c>
      <c r="L81" s="11" t="n"/>
      <c r="M81" s="11" t="n"/>
    </row>
    <row r="82" ht="22" customHeight="1">
      <c r="B82" s="17">
        <f>IF(C82="","SPD-"&amp;TEXT(COUNTA($C$5:C82),"000"))</f>
        <v/>
      </c>
      <c r="C82" s="14" t="n"/>
      <c r="D82" s="14" t="n"/>
      <c r="E82" s="14" t="n"/>
      <c r="F82" s="32" t="n"/>
      <c r="G82" s="32" t="n"/>
      <c r="H82" s="15" t="n"/>
      <c r="I82" s="15" t="n"/>
      <c r="J82" s="39">
        <f>IF(H82="","",I82/H82)</f>
        <v/>
      </c>
      <c r="K82" s="15">
        <f>IF(G82="","",MAX(G82-TODAY(),0))</f>
        <v/>
      </c>
      <c r="L82" s="14" t="n"/>
      <c r="M82" s="14" t="n"/>
    </row>
    <row r="83" ht="22" customHeight="1">
      <c r="B83" s="18">
        <f>IF(C83="","SPD-"&amp;TEXT(COUNTA($C$5:C83),"000"))</f>
        <v/>
      </c>
      <c r="C83" s="11" t="n"/>
      <c r="D83" s="11" t="n"/>
      <c r="E83" s="11" t="n"/>
      <c r="F83" s="31" t="n"/>
      <c r="G83" s="31" t="n"/>
      <c r="H83" s="12" t="n"/>
      <c r="I83" s="12" t="n"/>
      <c r="J83" s="37">
        <f>IF(H83="","",I83/H83)</f>
        <v/>
      </c>
      <c r="K83" s="12">
        <f>IF(G83="","",MAX(G83-TODAY(),0))</f>
        <v/>
      </c>
      <c r="L83" s="11" t="n"/>
      <c r="M83" s="11" t="n"/>
    </row>
    <row r="84" ht="22" customHeight="1">
      <c r="B84" s="17">
        <f>IF(C84="","SPD-"&amp;TEXT(COUNTA($C$5:C84),"000"))</f>
        <v/>
      </c>
      <c r="C84" s="14" t="n"/>
      <c r="D84" s="14" t="n"/>
      <c r="E84" s="14" t="n"/>
      <c r="F84" s="32" t="n"/>
      <c r="G84" s="32" t="n"/>
      <c r="H84" s="15" t="n"/>
      <c r="I84" s="15" t="n"/>
      <c r="J84" s="39">
        <f>IF(H84="","",I84/H84)</f>
        <v/>
      </c>
      <c r="K84" s="15">
        <f>IF(G84="","",MAX(G84-TODAY(),0))</f>
        <v/>
      </c>
      <c r="L84" s="14" t="n"/>
      <c r="M84" s="14" t="n"/>
    </row>
    <row r="85" ht="22" customHeight="1">
      <c r="B85" s="18">
        <f>IF(C85="","SPD-"&amp;TEXT(COUNTA($C$5:C85),"000"))</f>
        <v/>
      </c>
      <c r="C85" s="11" t="n"/>
      <c r="D85" s="11" t="n"/>
      <c r="E85" s="11" t="n"/>
      <c r="F85" s="31" t="n"/>
      <c r="G85" s="31" t="n"/>
      <c r="H85" s="12" t="n"/>
      <c r="I85" s="12" t="n"/>
      <c r="J85" s="37">
        <f>IF(H85="","",I85/H85)</f>
        <v/>
      </c>
      <c r="K85" s="12">
        <f>IF(G85="","",MAX(G85-TODAY(),0))</f>
        <v/>
      </c>
      <c r="L85" s="11" t="n"/>
      <c r="M85" s="11" t="n"/>
    </row>
    <row r="86" ht="22" customHeight="1">
      <c r="B86" s="17">
        <f>IF(C86="","SPD-"&amp;TEXT(COUNTA($C$5:C86),"000"))</f>
        <v/>
      </c>
      <c r="C86" s="14" t="n"/>
      <c r="D86" s="14" t="n"/>
      <c r="E86" s="14" t="n"/>
      <c r="F86" s="32" t="n"/>
      <c r="G86" s="32" t="n"/>
      <c r="H86" s="15" t="n"/>
      <c r="I86" s="15" t="n"/>
      <c r="J86" s="39">
        <f>IF(H86="","",I86/H86)</f>
        <v/>
      </c>
      <c r="K86" s="15">
        <f>IF(G86="","",MAX(G86-TODAY(),0))</f>
        <v/>
      </c>
      <c r="L86" s="14" t="n"/>
      <c r="M86" s="14" t="n"/>
    </row>
    <row r="87" ht="22" customHeight="1">
      <c r="B87" s="18">
        <f>IF(C87="","SPD-"&amp;TEXT(COUNTA($C$5:C87),"000"))</f>
        <v/>
      </c>
      <c r="C87" s="11" t="n"/>
      <c r="D87" s="11" t="n"/>
      <c r="E87" s="11" t="n"/>
      <c r="F87" s="31" t="n"/>
      <c r="G87" s="31" t="n"/>
      <c r="H87" s="12" t="n"/>
      <c r="I87" s="12" t="n"/>
      <c r="J87" s="37">
        <f>IF(H87="","",I87/H87)</f>
        <v/>
      </c>
      <c r="K87" s="12">
        <f>IF(G87="","",MAX(G87-TODAY(),0))</f>
        <v/>
      </c>
      <c r="L87" s="11" t="n"/>
      <c r="M87" s="11" t="n"/>
    </row>
    <row r="88" ht="22" customHeight="1">
      <c r="B88" s="17">
        <f>IF(C88="","SPD-"&amp;TEXT(COUNTA($C$5:C88),"000"))</f>
        <v/>
      </c>
      <c r="C88" s="14" t="n"/>
      <c r="D88" s="14" t="n"/>
      <c r="E88" s="14" t="n"/>
      <c r="F88" s="32" t="n"/>
      <c r="G88" s="32" t="n"/>
      <c r="H88" s="15" t="n"/>
      <c r="I88" s="15" t="n"/>
      <c r="J88" s="39">
        <f>IF(H88="","",I88/H88)</f>
        <v/>
      </c>
      <c r="K88" s="15">
        <f>IF(G88="","",MAX(G88-TODAY(),0))</f>
        <v/>
      </c>
      <c r="L88" s="14" t="n"/>
      <c r="M88" s="14" t="n"/>
    </row>
    <row r="89" ht="22" customHeight="1">
      <c r="B89" s="18">
        <f>IF(C89="","SPD-"&amp;TEXT(COUNTA($C$5:C89),"000"))</f>
        <v/>
      </c>
      <c r="C89" s="11" t="n"/>
      <c r="D89" s="11" t="n"/>
      <c r="E89" s="11" t="n"/>
      <c r="F89" s="31" t="n"/>
      <c r="G89" s="31" t="n"/>
      <c r="H89" s="12" t="n"/>
      <c r="I89" s="12" t="n"/>
      <c r="J89" s="37">
        <f>IF(H89="","",I89/H89)</f>
        <v/>
      </c>
      <c r="K89" s="12">
        <f>IF(G89="","",MAX(G89-TODAY(),0))</f>
        <v/>
      </c>
      <c r="L89" s="11" t="n"/>
      <c r="M89" s="11" t="n"/>
    </row>
    <row r="90" ht="22" customHeight="1">
      <c r="B90" s="17">
        <f>IF(C90="","SPD-"&amp;TEXT(COUNTA($C$5:C90),"000"))</f>
        <v/>
      </c>
      <c r="C90" s="14" t="n"/>
      <c r="D90" s="14" t="n"/>
      <c r="E90" s="14" t="n"/>
      <c r="F90" s="32" t="n"/>
      <c r="G90" s="32" t="n"/>
      <c r="H90" s="15" t="n"/>
      <c r="I90" s="15" t="n"/>
      <c r="J90" s="39">
        <f>IF(H90="","",I90/H90)</f>
        <v/>
      </c>
      <c r="K90" s="15">
        <f>IF(G90="","",MAX(G90-TODAY(),0))</f>
        <v/>
      </c>
      <c r="L90" s="14" t="n"/>
      <c r="M90" s="14" t="n"/>
    </row>
    <row r="91" ht="22" customHeight="1">
      <c r="B91" s="18">
        <f>IF(C91="","SPD-"&amp;TEXT(COUNTA($C$5:C91),"000"))</f>
        <v/>
      </c>
      <c r="C91" s="11" t="n"/>
      <c r="D91" s="11" t="n"/>
      <c r="E91" s="11" t="n"/>
      <c r="F91" s="31" t="n"/>
      <c r="G91" s="31" t="n"/>
      <c r="H91" s="12" t="n"/>
      <c r="I91" s="12" t="n"/>
      <c r="J91" s="37">
        <f>IF(H91="","",I91/H91)</f>
        <v/>
      </c>
      <c r="K91" s="12">
        <f>IF(G91="","",MAX(G91-TODAY(),0))</f>
        <v/>
      </c>
      <c r="L91" s="11" t="n"/>
      <c r="M91" s="11" t="n"/>
    </row>
    <row r="92" ht="22" customHeight="1">
      <c r="B92" s="17">
        <f>IF(C92="","SPD-"&amp;TEXT(COUNTA($C$5:C92),"000"))</f>
        <v/>
      </c>
      <c r="C92" s="14" t="n"/>
      <c r="D92" s="14" t="n"/>
      <c r="E92" s="14" t="n"/>
      <c r="F92" s="32" t="n"/>
      <c r="G92" s="32" t="n"/>
      <c r="H92" s="15" t="n"/>
      <c r="I92" s="15" t="n"/>
      <c r="J92" s="39">
        <f>IF(H92="","",I92/H92)</f>
        <v/>
      </c>
      <c r="K92" s="15">
        <f>IF(G92="","",MAX(G92-TODAY(),0))</f>
        <v/>
      </c>
      <c r="L92" s="14" t="n"/>
      <c r="M92" s="14" t="n"/>
    </row>
    <row r="93" ht="22" customHeight="1">
      <c r="B93" s="18">
        <f>IF(C93="","SPD-"&amp;TEXT(COUNTA($C$5:C93),"000"))</f>
        <v/>
      </c>
      <c r="C93" s="11" t="n"/>
      <c r="D93" s="11" t="n"/>
      <c r="E93" s="11" t="n"/>
      <c r="F93" s="31" t="n"/>
      <c r="G93" s="31" t="n"/>
      <c r="H93" s="12" t="n"/>
      <c r="I93" s="12" t="n"/>
      <c r="J93" s="37">
        <f>IF(H93="","",I93/H93)</f>
        <v/>
      </c>
      <c r="K93" s="12">
        <f>IF(G93="","",MAX(G93-TODAY(),0))</f>
        <v/>
      </c>
      <c r="L93" s="11" t="n"/>
      <c r="M93" s="11" t="n"/>
    </row>
    <row r="94" ht="22" customHeight="1">
      <c r="B94" s="17">
        <f>IF(C94="","SPD-"&amp;TEXT(COUNTA($C$5:C94),"000"))</f>
        <v/>
      </c>
      <c r="C94" s="14" t="n"/>
      <c r="D94" s="14" t="n"/>
      <c r="E94" s="14" t="n"/>
      <c r="F94" s="32" t="n"/>
      <c r="G94" s="32" t="n"/>
      <c r="H94" s="15" t="n"/>
      <c r="I94" s="15" t="n"/>
      <c r="J94" s="39">
        <f>IF(H94="","",I94/H94)</f>
        <v/>
      </c>
      <c r="K94" s="15">
        <f>IF(G94="","",MAX(G94-TODAY(),0))</f>
        <v/>
      </c>
      <c r="L94" s="14" t="n"/>
      <c r="M94" s="14" t="n"/>
    </row>
    <row r="95" ht="22" customHeight="1">
      <c r="B95" s="18">
        <f>IF(C95="","SPD-"&amp;TEXT(COUNTA($C$5:C95),"000"))</f>
        <v/>
      </c>
      <c r="C95" s="11" t="n"/>
      <c r="D95" s="11" t="n"/>
      <c r="E95" s="11" t="n"/>
      <c r="F95" s="31" t="n"/>
      <c r="G95" s="31" t="n"/>
      <c r="H95" s="12" t="n"/>
      <c r="I95" s="12" t="n"/>
      <c r="J95" s="37">
        <f>IF(H95="","",I95/H95)</f>
        <v/>
      </c>
      <c r="K95" s="12">
        <f>IF(G95="","",MAX(G95-TODAY(),0))</f>
        <v/>
      </c>
      <c r="L95" s="11" t="n"/>
      <c r="M95" s="11" t="n"/>
    </row>
    <row r="96" ht="22" customHeight="1">
      <c r="B96" s="17">
        <f>IF(C96="","SPD-"&amp;TEXT(COUNTA($C$5:C96),"000"))</f>
        <v/>
      </c>
      <c r="C96" s="14" t="n"/>
      <c r="D96" s="14" t="n"/>
      <c r="E96" s="14" t="n"/>
      <c r="F96" s="32" t="n"/>
      <c r="G96" s="32" t="n"/>
      <c r="H96" s="15" t="n"/>
      <c r="I96" s="15" t="n"/>
      <c r="J96" s="39">
        <f>IF(H96="","",I96/H96)</f>
        <v/>
      </c>
      <c r="K96" s="15">
        <f>IF(G96="","",MAX(G96-TODAY(),0))</f>
        <v/>
      </c>
      <c r="L96" s="14" t="n"/>
      <c r="M96" s="14" t="n"/>
    </row>
    <row r="97" ht="22" customHeight="1">
      <c r="B97" s="18">
        <f>IF(C97="","SPD-"&amp;TEXT(COUNTA($C$5:C97),"000"))</f>
        <v/>
      </c>
      <c r="C97" s="11" t="n"/>
      <c r="D97" s="11" t="n"/>
      <c r="E97" s="11" t="n"/>
      <c r="F97" s="31" t="n"/>
      <c r="G97" s="31" t="n"/>
      <c r="H97" s="12" t="n"/>
      <c r="I97" s="12" t="n"/>
      <c r="J97" s="37">
        <f>IF(H97="","",I97/H97)</f>
        <v/>
      </c>
      <c r="K97" s="12">
        <f>IF(G97="","",MAX(G97-TODAY(),0))</f>
        <v/>
      </c>
      <c r="L97" s="11" t="n"/>
      <c r="M97" s="11" t="n"/>
    </row>
    <row r="98" ht="22" customHeight="1">
      <c r="B98" s="17">
        <f>IF(C98="","SPD-"&amp;TEXT(COUNTA($C$5:C98),"000"))</f>
        <v/>
      </c>
      <c r="C98" s="14" t="n"/>
      <c r="D98" s="14" t="n"/>
      <c r="E98" s="14" t="n"/>
      <c r="F98" s="32" t="n"/>
      <c r="G98" s="32" t="n"/>
      <c r="H98" s="15" t="n"/>
      <c r="I98" s="15" t="n"/>
      <c r="J98" s="39">
        <f>IF(H98="","",I98/H98)</f>
        <v/>
      </c>
      <c r="K98" s="15">
        <f>IF(G98="","",MAX(G98-TODAY(),0))</f>
        <v/>
      </c>
      <c r="L98" s="14" t="n"/>
      <c r="M98" s="14" t="n"/>
    </row>
    <row r="99" ht="22" customHeight="1">
      <c r="B99" s="18">
        <f>IF(C99="","SPD-"&amp;TEXT(COUNTA($C$5:C99),"000"))</f>
        <v/>
      </c>
      <c r="C99" s="11" t="n"/>
      <c r="D99" s="11" t="n"/>
      <c r="E99" s="11" t="n"/>
      <c r="F99" s="31" t="n"/>
      <c r="G99" s="31" t="n"/>
      <c r="H99" s="12" t="n"/>
      <c r="I99" s="12" t="n"/>
      <c r="J99" s="37">
        <f>IF(H99="","",I99/H99)</f>
        <v/>
      </c>
      <c r="K99" s="12">
        <f>IF(G99="","",MAX(G99-TODAY(),0))</f>
        <v/>
      </c>
      <c r="L99" s="11" t="n"/>
      <c r="M99" s="11" t="n"/>
    </row>
    <row r="100" ht="22" customHeight="1">
      <c r="B100" s="17">
        <f>IF(C100="","SPD-"&amp;TEXT(COUNTA($C$5:C100),"000"))</f>
        <v/>
      </c>
      <c r="C100" s="14" t="n"/>
      <c r="D100" s="14" t="n"/>
      <c r="E100" s="14" t="n"/>
      <c r="F100" s="32" t="n"/>
      <c r="G100" s="32" t="n"/>
      <c r="H100" s="15" t="n"/>
      <c r="I100" s="15" t="n"/>
      <c r="J100" s="39">
        <f>IF(H100="","",I100/H100)</f>
        <v/>
      </c>
      <c r="K100" s="15">
        <f>IF(G100="","",MAX(G100-TODAY(),0))</f>
        <v/>
      </c>
      <c r="L100" s="14" t="n"/>
      <c r="M100" s="14" t="n"/>
    </row>
    <row r="101" ht="22" customHeight="1">
      <c r="B101" s="18">
        <f>IF(C101="","SPD-"&amp;TEXT(COUNTA($C$5:C101),"000"))</f>
        <v/>
      </c>
      <c r="C101" s="11" t="n"/>
      <c r="D101" s="11" t="n"/>
      <c r="E101" s="11" t="n"/>
      <c r="F101" s="31" t="n"/>
      <c r="G101" s="31" t="n"/>
      <c r="H101" s="12" t="n"/>
      <c r="I101" s="12" t="n"/>
      <c r="J101" s="37">
        <f>IF(H101="","",I101/H101)</f>
        <v/>
      </c>
      <c r="K101" s="12">
        <f>IF(G101="","",MAX(G101-TODAY(),0))</f>
        <v/>
      </c>
      <c r="L101" s="11" t="n"/>
      <c r="M101" s="11" t="n"/>
    </row>
    <row r="102" ht="22" customHeight="1">
      <c r="B102" s="17">
        <f>IF(C102="","SPD-"&amp;TEXT(COUNTA($C$5:C102),"000"))</f>
        <v/>
      </c>
      <c r="C102" s="14" t="n"/>
      <c r="D102" s="14" t="n"/>
      <c r="E102" s="14" t="n"/>
      <c r="F102" s="32" t="n"/>
      <c r="G102" s="32" t="n"/>
      <c r="H102" s="15" t="n"/>
      <c r="I102" s="15" t="n"/>
      <c r="J102" s="39">
        <f>IF(H102="","",I102/H102)</f>
        <v/>
      </c>
      <c r="K102" s="15">
        <f>IF(G102="","",MAX(G102-TODAY(),0))</f>
        <v/>
      </c>
      <c r="L102" s="14" t="n"/>
      <c r="M102" s="14" t="n"/>
    </row>
    <row r="103" ht="22" customHeight="1">
      <c r="B103" s="18">
        <f>IF(C103="","SPD-"&amp;TEXT(COUNTA($C$5:C103),"000"))</f>
        <v/>
      </c>
      <c r="C103" s="11" t="n"/>
      <c r="D103" s="11" t="n"/>
      <c r="E103" s="11" t="n"/>
      <c r="F103" s="31" t="n"/>
      <c r="G103" s="31" t="n"/>
      <c r="H103" s="12" t="n"/>
      <c r="I103" s="12" t="n"/>
      <c r="J103" s="37">
        <f>IF(H103="","",I103/H103)</f>
        <v/>
      </c>
      <c r="K103" s="12">
        <f>IF(G103="","",MAX(G103-TODAY(),0))</f>
        <v/>
      </c>
      <c r="L103" s="11" t="n"/>
      <c r="M103" s="11" t="n"/>
    </row>
    <row r="104" ht="22" customHeight="1">
      <c r="B104" s="17">
        <f>IF(C104="","SPD-"&amp;TEXT(COUNTA($C$5:C104),"000"))</f>
        <v/>
      </c>
      <c r="C104" s="14" t="n"/>
      <c r="D104" s="14" t="n"/>
      <c r="E104" s="14" t="n"/>
      <c r="F104" s="32" t="n"/>
      <c r="G104" s="32" t="n"/>
      <c r="H104" s="15" t="n"/>
      <c r="I104" s="15" t="n"/>
      <c r="J104" s="39">
        <f>IF(H104="","",I104/H104)</f>
        <v/>
      </c>
      <c r="K104" s="15">
        <f>IF(G104="","",MAX(G104-TODAY(),0))</f>
        <v/>
      </c>
      <c r="L104" s="14" t="n"/>
      <c r="M104" s="14" t="n"/>
    </row>
    <row r="105" ht="22" customHeight="1">
      <c r="B105" s="18">
        <f>IF(C105="","SPD-"&amp;TEXT(COUNTA($C$5:C105),"000"))</f>
        <v/>
      </c>
      <c r="C105" s="11" t="n"/>
      <c r="D105" s="11" t="n"/>
      <c r="E105" s="11" t="n"/>
      <c r="F105" s="31" t="n"/>
      <c r="G105" s="31" t="n"/>
      <c r="H105" s="12" t="n"/>
      <c r="I105" s="12" t="n"/>
      <c r="J105" s="37">
        <f>IF(H105="","",I105/H105)</f>
        <v/>
      </c>
      <c r="K105" s="12">
        <f>IF(G105="","",MAX(G105-TODAY(),0))</f>
        <v/>
      </c>
      <c r="L105" s="11" t="n"/>
      <c r="M105" s="11" t="n"/>
    </row>
    <row r="106" ht="22" customHeight="1">
      <c r="B106" s="17">
        <f>IF(C106="","SPD-"&amp;TEXT(COUNTA($C$5:C106),"000"))</f>
        <v/>
      </c>
      <c r="C106" s="14" t="n"/>
      <c r="D106" s="14" t="n"/>
      <c r="E106" s="14" t="n"/>
      <c r="F106" s="32" t="n"/>
      <c r="G106" s="32" t="n"/>
      <c r="H106" s="15" t="n"/>
      <c r="I106" s="15" t="n"/>
      <c r="J106" s="39">
        <f>IF(H106="","",I106/H106)</f>
        <v/>
      </c>
      <c r="K106" s="15">
        <f>IF(G106="","",MAX(G106-TODAY(),0))</f>
        <v/>
      </c>
      <c r="L106" s="14" t="n"/>
      <c r="M106" s="14" t="n"/>
    </row>
    <row r="107" ht="22" customHeight="1">
      <c r="B107" s="18">
        <f>IF(C107="","SPD-"&amp;TEXT(COUNTA($C$5:C107),"000"))</f>
        <v/>
      </c>
      <c r="C107" s="11" t="n"/>
      <c r="D107" s="11" t="n"/>
      <c r="E107" s="11" t="n"/>
      <c r="F107" s="31" t="n"/>
      <c r="G107" s="31" t="n"/>
      <c r="H107" s="12" t="n"/>
      <c r="I107" s="12" t="n"/>
      <c r="J107" s="37">
        <f>IF(H107="","",I107/H107)</f>
        <v/>
      </c>
      <c r="K107" s="12">
        <f>IF(G107="","",MAX(G107-TODAY(),0))</f>
        <v/>
      </c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Projets digitaux</t>
        </is>
      </c>
      <c r="D110" s="3" t="inlineStr">
        <is>
          <t>Budget total (FCFA)</t>
        </is>
      </c>
      <c r="F110" s="3" t="inlineStr">
        <is>
          <t>En cours</t>
        </is>
      </c>
    </row>
    <row r="111">
      <c r="B111" s="4">
        <f>COUNTIF(B5:B104,"&lt;&gt;")</f>
        <v/>
      </c>
      <c r="D111" s="4">
        <f>SUM(H5:H104)</f>
        <v/>
      </c>
      <c r="F111" s="4">
        <f>COUNTIF(L5:L104,"En cours")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'_Lists'!$D$2:$D$13</formula1>
    </dataValidation>
    <dataValidation sqref="L5:L107" showDropDown="0" showInputMessage="0" showErrorMessage="0" allowBlank="1" errorTitle="Erreur" error="Valeur invalide" promptTitle="Liste" prompt="Choisir dans la liste" type="list">
      <formula1>'_Lists'!$Q$2:$Q$6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8" customWidth="1" min="4" max="4"/>
    <col width="18" customWidth="1" min="5" max="5"/>
    <col width="18" customWidth="1" min="6" max="6"/>
    <col width="20" customWidth="1" min="7" max="7"/>
    <col width="24" customWidth="1" min="8" max="8"/>
    <col width="22" customWidth="1" min="9" max="9"/>
    <col width="26" customWidth="1" min="10" max="10"/>
    <col width="16" customWidth="1" min="11" max="11"/>
    <col width="20" customWidth="1" min="12" max="12"/>
    <col width="36" customWidth="1" min="13" max="13"/>
    <col width="20" customWidth="1" min="14" max="14"/>
  </cols>
  <sheetData>
    <row r="1" ht="15" customHeight="1"/>
    <row r="2" ht="32" customHeight="1">
      <c r="B2" s="1" t="inlineStr">
        <is>
          <t>ANALYSE ROI OUTILS DIGITAUX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Outil Digital</t>
        </is>
      </c>
      <c r="D4" s="10" t="inlineStr">
        <is>
          <t>Investissement Initial (FCFA)</t>
        </is>
      </c>
      <c r="E4" s="10" t="inlineStr">
        <is>
          <t>Cout Annuel (FCFA)</t>
        </is>
      </c>
      <c r="F4" s="10" t="inlineStr">
        <is>
          <t>Gain Temps (h/an)</t>
        </is>
      </c>
      <c r="G4" s="10" t="inlineStr">
        <is>
          <t>Cout Heure RH (FCFA)</t>
        </is>
      </c>
      <c r="H4" s="10" t="inlineStr">
        <is>
          <t>Economie Temps (FCFA/an)</t>
        </is>
      </c>
      <c r="I4" s="10" t="inlineStr">
        <is>
          <t>Reduction Erreurs (%)</t>
        </is>
      </c>
      <c r="J4" s="10" t="inlineStr">
        <is>
          <t>Economie Erreurs (FCFA/an)</t>
        </is>
      </c>
      <c r="K4" s="10" t="inlineStr">
        <is>
          <t>ROI Annuel (%)</t>
        </is>
      </c>
      <c r="L4" s="10" t="inlineStr">
        <is>
          <t>Delai Recup. (mois)</t>
        </is>
      </c>
      <c r="M4" s="10" t="inlineStr">
        <is>
          <t>Observations</t>
        </is>
      </c>
      <c r="N4" s="43" t="inlineStr">
        <is>
          <t>Categorie Outil</t>
        </is>
      </c>
    </row>
    <row r="5" ht="22" customHeight="1">
      <c r="B5" s="11" t="inlineStr">
        <is>
          <t>ROI-001</t>
        </is>
      </c>
      <c r="C5" s="11" t="inlineStr">
        <is>
          <t>SIRH HotelPro</t>
        </is>
      </c>
      <c r="D5" s="12" t="n">
        <v>5000000</v>
      </c>
      <c r="E5" s="12" t="n">
        <v>3600000</v>
      </c>
      <c r="F5" s="12" t="n">
        <v>960</v>
      </c>
      <c r="G5" s="12" t="n">
        <v>5000</v>
      </c>
      <c r="H5" s="12" t="n"/>
      <c r="I5" s="37" t="n">
        <v>0.1</v>
      </c>
      <c r="J5" s="12" t="n">
        <v>800000</v>
      </c>
      <c r="K5" s="37" t="n"/>
      <c r="L5" s="12" t="n"/>
      <c r="M5" s="11" t="inlineStr">
        <is>
          <t>ROI positif des la 2e annee</t>
        </is>
      </c>
      <c r="N5" s="44" t="inlineStr">
        <is>
          <t>SIRH</t>
        </is>
      </c>
    </row>
    <row r="6" ht="22" customHeight="1">
      <c r="B6" s="14" t="inlineStr">
        <is>
          <t>ROI-002</t>
        </is>
      </c>
      <c r="C6" s="14" t="inlineStr">
        <is>
          <t>Lucca Paie</t>
        </is>
      </c>
      <c r="D6" s="15" t="n">
        <v>500000</v>
      </c>
      <c r="E6" s="15" t="n">
        <v>1200000</v>
      </c>
      <c r="F6" s="15" t="n">
        <v>360</v>
      </c>
      <c r="G6" s="15" t="n">
        <v>5000</v>
      </c>
      <c r="H6" s="15" t="n"/>
      <c r="I6" s="39" t="n">
        <v>0.15</v>
      </c>
      <c r="J6" s="15" t="n">
        <v>450000</v>
      </c>
      <c r="K6" s="39" t="n"/>
      <c r="L6" s="15" t="n"/>
      <c r="M6" s="14" t="inlineStr">
        <is>
          <t>Integration SIRH ameliorera le ROI</t>
        </is>
      </c>
      <c r="N6" s="44" t="inlineStr">
        <is>
          <t>Paie</t>
        </is>
      </c>
    </row>
    <row r="7" ht="22" customHeight="1">
      <c r="B7" s="11" t="inlineStr">
        <is>
          <t>ROI-003</t>
        </is>
      </c>
      <c r="C7" s="11" t="inlineStr">
        <is>
          <t>Chatbot RH</t>
        </is>
      </c>
      <c r="D7" s="12" t="n">
        <v>800000</v>
      </c>
      <c r="E7" s="12" t="n">
        <v>300000</v>
      </c>
      <c r="F7" s="12" t="n">
        <v>240</v>
      </c>
      <c r="G7" s="12" t="n">
        <v>5000</v>
      </c>
      <c r="H7" s="12" t="n"/>
      <c r="I7" s="37" t="n">
        <v>0.08</v>
      </c>
      <c r="J7" s="12" t="n">
        <v>200000</v>
      </c>
      <c r="K7" s="37" t="n"/>
      <c r="L7" s="12" t="n"/>
      <c r="M7" s="11" t="inlineStr">
        <is>
          <t>Gain qualitatif non chiffre (satisfaction)</t>
        </is>
      </c>
      <c r="N7" s="44" t="inlineStr">
        <is>
          <t>Communication</t>
        </is>
      </c>
    </row>
    <row r="8" ht="22" customHeight="1">
      <c r="B8" s="17">
        <f>IF(C8="","ROI-"&amp;TEXT(COUNTA($C$5:C8),"000"))</f>
        <v/>
      </c>
      <c r="C8" s="14" t="n"/>
      <c r="D8" s="15" t="n"/>
      <c r="E8" s="15" t="n"/>
      <c r="F8" s="15" t="n"/>
      <c r="G8" s="15" t="n"/>
      <c r="H8" s="15">
        <f>IF(OR(F8="",G8=""),"",F8*G8)</f>
        <v/>
      </c>
      <c r="I8" s="39" t="n"/>
      <c r="J8" s="15">
        <f>IF(I8="","",D8*I8)</f>
        <v/>
      </c>
      <c r="K8" s="39">
        <f>IF(OR(H8="",J8="",E8=""),"",(H8+J8-E8)/D8)</f>
        <v/>
      </c>
      <c r="L8" s="15">
        <f>IF(OR(H8="",J8="",E8="",D8=""),"",IF((H8+J8-E8)&lt;=0,"N/A",D8/((H8+J8-E8)/12))</f>
        <v/>
      </c>
      <c r="M8" s="14" t="n"/>
      <c r="N8" s="44" t="inlineStr">
        <is>
          <t>Formation</t>
        </is>
      </c>
    </row>
    <row r="9" ht="22" customHeight="1">
      <c r="B9" s="18">
        <f>IF(C9="","ROI-"&amp;TEXT(COUNTA($C$5:C9),"000"))</f>
        <v/>
      </c>
      <c r="C9" s="11" t="n"/>
      <c r="D9" s="12" t="n"/>
      <c r="E9" s="12" t="n"/>
      <c r="F9" s="12" t="n"/>
      <c r="G9" s="12" t="n"/>
      <c r="H9" s="12">
        <f>IF(OR(F9="",G9=""),"",F9*G9)</f>
        <v/>
      </c>
      <c r="I9" s="37" t="n"/>
      <c r="J9" s="12">
        <f>IF(I9="","",D9*I9)</f>
        <v/>
      </c>
      <c r="K9" s="37">
        <f>IF(OR(H9="",J9="",E9=""),"",(H9+J9-E9)/D9)</f>
        <v/>
      </c>
      <c r="L9" s="12">
        <f>IF(OR(H9="",J9="",E9="",D9=""),"",IF((H9+J9-E9)&lt;=0,"N/A",D9/((H9+J9-E9)/12))</f>
        <v/>
      </c>
      <c r="M9" s="11" t="n"/>
      <c r="N9" s="44" t="inlineStr">
        <is>
          <t>SIRH</t>
        </is>
      </c>
    </row>
    <row r="10" ht="22" customHeight="1">
      <c r="B10" s="17">
        <f>IF(C10="","ROI-"&amp;TEXT(COUNTA($C$5:C10),"000"))</f>
        <v/>
      </c>
      <c r="C10" s="14" t="n"/>
      <c r="D10" s="15" t="n"/>
      <c r="E10" s="15" t="n"/>
      <c r="F10" s="15" t="n"/>
      <c r="G10" s="15" t="n"/>
      <c r="H10" s="15">
        <f>IF(OR(F10="",G10=""),"",F10*G10)</f>
        <v/>
      </c>
      <c r="I10" s="39" t="n"/>
      <c r="J10" s="15">
        <f>IF(I10="","",D10*I10)</f>
        <v/>
      </c>
      <c r="K10" s="39">
        <f>IF(OR(H10="",J10="",E10=""),"",(H10+J10-E10)/D10)</f>
        <v/>
      </c>
      <c r="L10" s="15">
        <f>IF(OR(H10="",J10="",E10="",D10=""),"",IF((H10+J10-E10)&lt;=0,"N/A",D10/((H10+J10-E10)/12))</f>
        <v/>
      </c>
      <c r="M10" s="14" t="n"/>
    </row>
    <row r="11" ht="22" customHeight="1">
      <c r="B11" s="18">
        <f>IF(C11="","ROI-"&amp;TEXT(COUNTA($C$5:C11),"000"))</f>
        <v/>
      </c>
      <c r="C11" s="11" t="n"/>
      <c r="D11" s="12" t="n"/>
      <c r="E11" s="12" t="n"/>
      <c r="F11" s="12" t="n"/>
      <c r="G11" s="12" t="n"/>
      <c r="H11" s="12">
        <f>IF(OR(F11="",G11=""),"",F11*G11)</f>
        <v/>
      </c>
      <c r="I11" s="37" t="n"/>
      <c r="J11" s="12">
        <f>IF(I11="","",D11*I11)</f>
        <v/>
      </c>
      <c r="K11" s="37">
        <f>IF(OR(H11="",J11="",E11=""),"",(H11+J11-E11)/D11)</f>
        <v/>
      </c>
      <c r="L11" s="12">
        <f>IF(OR(H11="",J11="",E11="",D11=""),"",IF((H11+J11-E11)&lt;=0,"N/A",D11/((H11+J11-E11)/12))</f>
        <v/>
      </c>
      <c r="M11" s="11" t="n"/>
    </row>
    <row r="12" ht="22" customHeight="1">
      <c r="B12" s="17">
        <f>IF(C12="","ROI-"&amp;TEXT(COUNTA($C$5:C12),"000"))</f>
        <v/>
      </c>
      <c r="C12" s="14" t="n"/>
      <c r="D12" s="15" t="n"/>
      <c r="E12" s="15" t="n"/>
      <c r="F12" s="15" t="n"/>
      <c r="G12" s="15" t="n"/>
      <c r="H12" s="15">
        <f>IF(OR(F12="",G12=""),"",F12*G12)</f>
        <v/>
      </c>
      <c r="I12" s="39" t="n"/>
      <c r="J12" s="15">
        <f>IF(I12="","",D12*I12)</f>
        <v/>
      </c>
      <c r="K12" s="39">
        <f>IF(OR(H12="",J12="",E12=""),"",(H12+J12-E12)/D12)</f>
        <v/>
      </c>
      <c r="L12" s="15">
        <f>IF(OR(H12="",J12="",E12="",D12=""),"",IF((H12+J12-E12)&lt;=0,"N/A",D12/((H12+J12-E12)/12))</f>
        <v/>
      </c>
      <c r="M12" s="14" t="n"/>
    </row>
    <row r="13" ht="22" customHeight="1">
      <c r="B13" s="18">
        <f>IF(C13="","ROI-"&amp;TEXT(COUNTA($C$5:C13),"000"))</f>
        <v/>
      </c>
      <c r="C13" s="11" t="n"/>
      <c r="D13" s="12" t="n"/>
      <c r="E13" s="12" t="n"/>
      <c r="F13" s="12" t="n"/>
      <c r="G13" s="12" t="n"/>
      <c r="H13" s="12">
        <f>IF(OR(F13="",G13=""),"",F13*G13)</f>
        <v/>
      </c>
      <c r="I13" s="37" t="n"/>
      <c r="J13" s="12">
        <f>IF(I13="","",D13*I13)</f>
        <v/>
      </c>
      <c r="K13" s="37">
        <f>IF(OR(H13="",J13="",E13=""),"",(H13+J13-E13)/D13)</f>
        <v/>
      </c>
      <c r="L13" s="12">
        <f>IF(OR(H13="",J13="",E13="",D13=""),"",IF((H13+J13-E13)&lt;=0,"N/A",D13/((H13+J13-E13)/12))</f>
        <v/>
      </c>
      <c r="M13" s="11" t="n"/>
    </row>
    <row r="14" ht="22" customHeight="1">
      <c r="B14" s="17">
        <f>IF(C14="","ROI-"&amp;TEXT(COUNTA($C$5:C14),"000"))</f>
        <v/>
      </c>
      <c r="C14" s="14" t="n"/>
      <c r="D14" s="15" t="n"/>
      <c r="E14" s="15" t="n"/>
      <c r="F14" s="15" t="n"/>
      <c r="G14" s="15" t="n"/>
      <c r="H14" s="15">
        <f>IF(OR(F14="",G14=""),"",F14*G14)</f>
        <v/>
      </c>
      <c r="I14" s="39" t="n"/>
      <c r="J14" s="15">
        <f>IF(I14="","",D14*I14)</f>
        <v/>
      </c>
      <c r="K14" s="39">
        <f>IF(OR(H14="",J14="",E14=""),"",(H14+J14-E14)/D14)</f>
        <v/>
      </c>
      <c r="L14" s="15">
        <f>IF(OR(H14="",J14="",E14="",D14=""),"",IF((H14+J14-E14)&lt;=0,"N/A",D14/((H14+J14-E14)/12))</f>
        <v/>
      </c>
      <c r="M14" s="14" t="n"/>
    </row>
    <row r="15" ht="22" customHeight="1">
      <c r="B15" s="18">
        <f>IF(C15="","ROI-"&amp;TEXT(COUNTA($C$5:C15),"000"))</f>
        <v/>
      </c>
      <c r="C15" s="11" t="n"/>
      <c r="D15" s="12" t="n"/>
      <c r="E15" s="12" t="n"/>
      <c r="F15" s="12" t="n"/>
      <c r="G15" s="12" t="n"/>
      <c r="H15" s="12">
        <f>IF(OR(F15="",G15=""),"",F15*G15)</f>
        <v/>
      </c>
      <c r="I15" s="37" t="n"/>
      <c r="J15" s="12">
        <f>IF(I15="","",D15*I15)</f>
        <v/>
      </c>
      <c r="K15" s="37">
        <f>IF(OR(H15="",J15="",E15=""),"",(H15+J15-E15)/D15)</f>
        <v/>
      </c>
      <c r="L15" s="12">
        <f>IF(OR(H15="",J15="",E15="",D15=""),"",IF((H15+J15-E15)&lt;=0,"N/A",D15/((H15+J15-E15)/12))</f>
        <v/>
      </c>
      <c r="M15" s="11" t="n"/>
    </row>
    <row r="16" ht="22" customHeight="1">
      <c r="B16" s="17">
        <f>IF(C16="","ROI-"&amp;TEXT(COUNTA($C$5:C16),"000"))</f>
        <v/>
      </c>
      <c r="C16" s="14" t="n"/>
      <c r="D16" s="15" t="n"/>
      <c r="E16" s="15" t="n"/>
      <c r="F16" s="15" t="n"/>
      <c r="G16" s="15" t="n"/>
      <c r="H16" s="15">
        <f>IF(OR(F16="",G16=""),"",F16*G16)</f>
        <v/>
      </c>
      <c r="I16" s="39" t="n"/>
      <c r="J16" s="15">
        <f>IF(I16="","",D16*I16)</f>
        <v/>
      </c>
      <c r="K16" s="39">
        <f>IF(OR(H16="",J16="",E16=""),"",(H16+J16-E16)/D16)</f>
        <v/>
      </c>
      <c r="L16" s="15">
        <f>IF(OR(H16="",J16="",E16="",D16=""),"",IF((H16+J16-E16)&lt;=0,"N/A",D16/((H16+J16-E16)/12))</f>
        <v/>
      </c>
      <c r="M16" s="14" t="n"/>
    </row>
    <row r="17" ht="22" customHeight="1">
      <c r="B17" s="18">
        <f>IF(C17="","ROI-"&amp;TEXT(COUNTA($C$5:C17),"000"))</f>
        <v/>
      </c>
      <c r="C17" s="11" t="n"/>
      <c r="D17" s="12" t="n"/>
      <c r="E17" s="12" t="n"/>
      <c r="F17" s="12" t="n"/>
      <c r="G17" s="12" t="n"/>
      <c r="H17" s="12">
        <f>IF(OR(F17="",G17=""),"",F17*G17)</f>
        <v/>
      </c>
      <c r="I17" s="37" t="n"/>
      <c r="J17" s="12">
        <f>IF(I17="","",D17*I17)</f>
        <v/>
      </c>
      <c r="K17" s="37">
        <f>IF(OR(H17="",J17="",E17=""),"",(H17+J17-E17)/D17)</f>
        <v/>
      </c>
      <c r="L17" s="12">
        <f>IF(OR(H17="",J17="",E17="",D17=""),"",IF((H17+J17-E17)&lt;=0,"N/A",D17/((H17+J17-E17)/12))</f>
        <v/>
      </c>
      <c r="M17" s="11" t="n"/>
    </row>
    <row r="18" ht="22" customHeight="1">
      <c r="B18" s="17">
        <f>IF(C18="","ROI-"&amp;TEXT(COUNTA($C$5:C18),"000"))</f>
        <v/>
      </c>
      <c r="C18" s="14" t="n"/>
      <c r="D18" s="15" t="n"/>
      <c r="E18" s="15" t="n"/>
      <c r="F18" s="15" t="n"/>
      <c r="G18" s="15" t="n"/>
      <c r="H18" s="15">
        <f>IF(OR(F18="",G18=""),"",F18*G18)</f>
        <v/>
      </c>
      <c r="I18" s="39" t="n"/>
      <c r="J18" s="15">
        <f>IF(I18="","",D18*I18)</f>
        <v/>
      </c>
      <c r="K18" s="39">
        <f>IF(OR(H18="",J18="",E18=""),"",(H18+J18-E18)/D18)</f>
        <v/>
      </c>
      <c r="L18" s="15">
        <f>IF(OR(H18="",J18="",E18="",D18=""),"",IF((H18+J18-E18)&lt;=0,"N/A",D18/((H18+J18-E18)/12))</f>
        <v/>
      </c>
      <c r="M18" s="14" t="n"/>
    </row>
    <row r="19" ht="22" customHeight="1">
      <c r="B19" s="18">
        <f>IF(C19="","ROI-"&amp;TEXT(COUNTA($C$5:C19),"000"))</f>
        <v/>
      </c>
      <c r="C19" s="11" t="n"/>
      <c r="D19" s="12" t="n"/>
      <c r="E19" s="12" t="n"/>
      <c r="F19" s="12" t="n"/>
      <c r="G19" s="12" t="n"/>
      <c r="H19" s="12">
        <f>IF(OR(F19="",G19=""),"",F19*G19)</f>
        <v/>
      </c>
      <c r="I19" s="37" t="n"/>
      <c r="J19" s="12">
        <f>IF(I19="","",D19*I19)</f>
        <v/>
      </c>
      <c r="K19" s="37">
        <f>IF(OR(H19="",J19="",E19=""),"",(H19+J19-E19)/D19)</f>
        <v/>
      </c>
      <c r="L19" s="12">
        <f>IF(OR(H19="",J19="",E19="",D19=""),"",IF((H19+J19-E19)&lt;=0,"N/A",D19/((H19+J19-E19)/12))</f>
        <v/>
      </c>
      <c r="M19" s="11" t="n"/>
    </row>
    <row r="20" ht="22" customHeight="1">
      <c r="B20" s="17">
        <f>IF(C20="","ROI-"&amp;TEXT(COUNTA($C$5:C20),"000"))</f>
        <v/>
      </c>
      <c r="C20" s="14" t="n"/>
      <c r="D20" s="15" t="n"/>
      <c r="E20" s="15" t="n"/>
      <c r="F20" s="15" t="n"/>
      <c r="G20" s="15" t="n"/>
      <c r="H20" s="15">
        <f>IF(OR(F20="",G20=""),"",F20*G20)</f>
        <v/>
      </c>
      <c r="I20" s="39" t="n"/>
      <c r="J20" s="15">
        <f>IF(I20="","",D20*I20)</f>
        <v/>
      </c>
      <c r="K20" s="39">
        <f>IF(OR(H20="",J20="",E20=""),"",(H20+J20-E20)/D20)</f>
        <v/>
      </c>
      <c r="L20" s="15">
        <f>IF(OR(H20="",J20="",E20="",D20=""),"",IF((H20+J20-E20)&lt;=0,"N/A",D20/((H20+J20-E20)/12))</f>
        <v/>
      </c>
      <c r="M20" s="14" t="n"/>
    </row>
    <row r="21" ht="22" customHeight="1">
      <c r="B21" s="18">
        <f>IF(C21="","ROI-"&amp;TEXT(COUNTA($C$5:C21),"000"))</f>
        <v/>
      </c>
      <c r="C21" s="11" t="n"/>
      <c r="D21" s="12" t="n"/>
      <c r="E21" s="12" t="n"/>
      <c r="F21" s="12" t="n"/>
      <c r="G21" s="12" t="n"/>
      <c r="H21" s="12">
        <f>IF(OR(F21="",G21=""),"",F21*G21)</f>
        <v/>
      </c>
      <c r="I21" s="37" t="n"/>
      <c r="J21" s="12">
        <f>IF(I21="","",D21*I21)</f>
        <v/>
      </c>
      <c r="K21" s="37">
        <f>IF(OR(H21="",J21="",E21=""),"",(H21+J21-E21)/D21)</f>
        <v/>
      </c>
      <c r="L21" s="12">
        <f>IF(OR(H21="",J21="",E21="",D21=""),"",IF((H21+J21-E21)&lt;=0,"N/A",D21/((H21+J21-E21)/12))</f>
        <v/>
      </c>
      <c r="M21" s="11" t="n"/>
    </row>
    <row r="22" ht="22" customHeight="1">
      <c r="B22" s="17">
        <f>IF(C22="","ROI-"&amp;TEXT(COUNTA($C$5:C22),"000"))</f>
        <v/>
      </c>
      <c r="C22" s="14" t="n"/>
      <c r="D22" s="15" t="n"/>
      <c r="E22" s="15" t="n"/>
      <c r="F22" s="15" t="n"/>
      <c r="G22" s="15" t="n"/>
      <c r="H22" s="15">
        <f>IF(OR(F22="",G22=""),"",F22*G22)</f>
        <v/>
      </c>
      <c r="I22" s="39" t="n"/>
      <c r="J22" s="15">
        <f>IF(I22="","",D22*I22)</f>
        <v/>
      </c>
      <c r="K22" s="39">
        <f>IF(OR(H22="",J22="",E22=""),"",(H22+J22-E22)/D22)</f>
        <v/>
      </c>
      <c r="L22" s="15">
        <f>IF(OR(H22="",J22="",E22="",D22=""),"",IF((H22+J22-E22)&lt;=0,"N/A",D22/((H22+J22-E22)/12))</f>
        <v/>
      </c>
      <c r="M22" s="14" t="n"/>
    </row>
    <row r="23" ht="22" customHeight="1">
      <c r="B23" s="18">
        <f>IF(C23="","ROI-"&amp;TEXT(COUNTA($C$5:C23),"000"))</f>
        <v/>
      </c>
      <c r="C23" s="11" t="n"/>
      <c r="D23" s="12" t="n"/>
      <c r="E23" s="12" t="n"/>
      <c r="F23" s="12" t="n"/>
      <c r="G23" s="12" t="n"/>
      <c r="H23" s="12">
        <f>IF(OR(F23="",G23=""),"",F23*G23)</f>
        <v/>
      </c>
      <c r="I23" s="37" t="n"/>
      <c r="J23" s="12">
        <f>IF(I23="","",D23*I23)</f>
        <v/>
      </c>
      <c r="K23" s="37">
        <f>IF(OR(H23="",J23="",E23=""),"",(H23+J23-E23)/D23)</f>
        <v/>
      </c>
      <c r="L23" s="12">
        <f>IF(OR(H23="",J23="",E23="",D23=""),"",IF((H23+J23-E23)&lt;=0,"N/A",D23/((H23+J23-E23)/12))</f>
        <v/>
      </c>
      <c r="M23" s="11" t="n"/>
    </row>
    <row r="24" ht="22" customHeight="1">
      <c r="B24" s="17">
        <f>IF(C24="","ROI-"&amp;TEXT(COUNTA($C$5:C24),"000"))</f>
        <v/>
      </c>
      <c r="C24" s="14" t="n"/>
      <c r="D24" s="15" t="n"/>
      <c r="E24" s="15" t="n"/>
      <c r="F24" s="15" t="n"/>
      <c r="G24" s="15" t="n"/>
      <c r="H24" s="15">
        <f>IF(OR(F24="",G24=""),"",F24*G24)</f>
        <v/>
      </c>
      <c r="I24" s="39" t="n"/>
      <c r="J24" s="15">
        <f>IF(I24="","",D24*I24)</f>
        <v/>
      </c>
      <c r="K24" s="39">
        <f>IF(OR(H24="",J24="",E24=""),"",(H24+J24-E24)/D24)</f>
        <v/>
      </c>
      <c r="L24" s="15">
        <f>IF(OR(H24="",J24="",E24="",D24=""),"",IF((H24+J24-E24)&lt;=0,"N/A",D24/((H24+J24-E24)/12))</f>
        <v/>
      </c>
      <c r="M24" s="14" t="n"/>
    </row>
    <row r="25" ht="22" customHeight="1">
      <c r="B25" s="18">
        <f>IF(C25="","ROI-"&amp;TEXT(COUNTA($C$5:C25),"000"))</f>
        <v/>
      </c>
      <c r="C25" s="11" t="n"/>
      <c r="D25" s="12" t="n"/>
      <c r="E25" s="12" t="n"/>
      <c r="F25" s="12" t="n"/>
      <c r="G25" s="12" t="n"/>
      <c r="H25" s="12">
        <f>IF(OR(F25="",G25=""),"",F25*G25)</f>
        <v/>
      </c>
      <c r="I25" s="37" t="n"/>
      <c r="J25" s="12">
        <f>IF(I25="","",D25*I25)</f>
        <v/>
      </c>
      <c r="K25" s="37">
        <f>IF(OR(H25="",J25="",E25=""),"",(H25+J25-E25)/D25)</f>
        <v/>
      </c>
      <c r="L25" s="12">
        <f>IF(OR(H25="",J25="",E25="",D25=""),"",IF((H25+J25-E25)&lt;=0,"N/A",D25/((H25+J25-E25)/12))</f>
        <v/>
      </c>
      <c r="M25" s="11" t="n"/>
    </row>
    <row r="26" ht="22" customHeight="1">
      <c r="B26" s="17">
        <f>IF(C26="","ROI-"&amp;TEXT(COUNTA($C$5:C26),"000"))</f>
        <v/>
      </c>
      <c r="C26" s="14" t="n"/>
      <c r="D26" s="15" t="n"/>
      <c r="E26" s="15" t="n"/>
      <c r="F26" s="15" t="n"/>
      <c r="G26" s="15" t="n"/>
      <c r="H26" s="15">
        <f>IF(OR(F26="",G26=""),"",F26*G26)</f>
        <v/>
      </c>
      <c r="I26" s="39" t="n"/>
      <c r="J26" s="15">
        <f>IF(I26="","",D26*I26)</f>
        <v/>
      </c>
      <c r="K26" s="39">
        <f>IF(OR(H26="",J26="",E26=""),"",(H26+J26-E26)/D26)</f>
        <v/>
      </c>
      <c r="L26" s="15">
        <f>IF(OR(H26="",J26="",E26="",D26=""),"",IF((H26+J26-E26)&lt;=0,"N/A",D26/((H26+J26-E26)/12))</f>
        <v/>
      </c>
      <c r="M26" s="14" t="n"/>
    </row>
    <row r="27" ht="22" customHeight="1">
      <c r="B27" s="18">
        <f>IF(C27="","ROI-"&amp;TEXT(COUNTA($C$5:C27),"000"))</f>
        <v/>
      </c>
      <c r="C27" s="11" t="n"/>
      <c r="D27" s="12" t="n"/>
      <c r="E27" s="12" t="n"/>
      <c r="F27" s="12" t="n"/>
      <c r="G27" s="12" t="n"/>
      <c r="H27" s="12">
        <f>IF(OR(F27="",G27=""),"",F27*G27)</f>
        <v/>
      </c>
      <c r="I27" s="37" t="n"/>
      <c r="J27" s="12">
        <f>IF(I27="","",D27*I27)</f>
        <v/>
      </c>
      <c r="K27" s="37">
        <f>IF(OR(H27="",J27="",E27=""),"",(H27+J27-E27)/D27)</f>
        <v/>
      </c>
      <c r="L27" s="12">
        <f>IF(OR(H27="",J27="",E27="",D27=""),"",IF((H27+J27-E27)&lt;=0,"N/A",D27/((H27+J27-E27)/12))</f>
        <v/>
      </c>
      <c r="M27" s="11" t="n"/>
    </row>
    <row r="28" ht="22" customHeight="1">
      <c r="B28" s="17">
        <f>IF(C28="","ROI-"&amp;TEXT(COUNTA($C$5:C28),"000"))</f>
        <v/>
      </c>
      <c r="C28" s="14" t="n"/>
      <c r="D28" s="15" t="n"/>
      <c r="E28" s="15" t="n"/>
      <c r="F28" s="15" t="n"/>
      <c r="G28" s="15" t="n"/>
      <c r="H28" s="15">
        <f>IF(OR(F28="",G28=""),"",F28*G28)</f>
        <v/>
      </c>
      <c r="I28" s="39" t="n"/>
      <c r="J28" s="15">
        <f>IF(I28="","",D28*I28)</f>
        <v/>
      </c>
      <c r="K28" s="39">
        <f>IF(OR(H28="",J28="",E28=""),"",(H28+J28-E28)/D28)</f>
        <v/>
      </c>
      <c r="L28" s="15">
        <f>IF(OR(H28="",J28="",E28="",D28=""),"",IF((H28+J28-E28)&lt;=0,"N/A",D28/((H28+J28-E28)/12))</f>
        <v/>
      </c>
      <c r="M28" s="14" t="n"/>
    </row>
    <row r="29" ht="22" customHeight="1">
      <c r="B29" s="18">
        <f>IF(C29="","ROI-"&amp;TEXT(COUNTA($C$5:C29),"000"))</f>
        <v/>
      </c>
      <c r="C29" s="11" t="n"/>
      <c r="D29" s="12" t="n"/>
      <c r="E29" s="12" t="n"/>
      <c r="F29" s="12" t="n"/>
      <c r="G29" s="12" t="n"/>
      <c r="H29" s="12">
        <f>IF(OR(F29="",G29=""),"",F29*G29)</f>
        <v/>
      </c>
      <c r="I29" s="37" t="n"/>
      <c r="J29" s="12">
        <f>IF(I29="","",D29*I29)</f>
        <v/>
      </c>
      <c r="K29" s="37">
        <f>IF(OR(H29="",J29="",E29=""),"",(H29+J29-E29)/D29)</f>
        <v/>
      </c>
      <c r="L29" s="12">
        <f>IF(OR(H29="",J29="",E29="",D29=""),"",IF((H29+J29-E29)&lt;=0,"N/A",D29/((H29+J29-E29)/12))</f>
        <v/>
      </c>
      <c r="M29" s="11" t="n"/>
    </row>
    <row r="30" ht="22" customHeight="1">
      <c r="B30" s="17">
        <f>IF(C30="","ROI-"&amp;TEXT(COUNTA($C$5:C30),"000"))</f>
        <v/>
      </c>
      <c r="C30" s="14" t="n"/>
      <c r="D30" s="15" t="n"/>
      <c r="E30" s="15" t="n"/>
      <c r="F30" s="15" t="n"/>
      <c r="G30" s="15" t="n"/>
      <c r="H30" s="15">
        <f>IF(OR(F30="",G30=""),"",F30*G30)</f>
        <v/>
      </c>
      <c r="I30" s="39" t="n"/>
      <c r="J30" s="15">
        <f>IF(I30="","",D30*I30)</f>
        <v/>
      </c>
      <c r="K30" s="39">
        <f>IF(OR(H30="",J30="",E30=""),"",(H30+J30-E30)/D30)</f>
        <v/>
      </c>
      <c r="L30" s="15">
        <f>IF(OR(H30="",J30="",E30="",D30=""),"",IF((H30+J30-E30)&lt;=0,"N/A",D30/((H30+J30-E30)/12))</f>
        <v/>
      </c>
      <c r="M30" s="14" t="n"/>
    </row>
    <row r="31" ht="22" customHeight="1">
      <c r="B31" s="18">
        <f>IF(C31="","ROI-"&amp;TEXT(COUNTA($C$5:C31),"000"))</f>
        <v/>
      </c>
      <c r="C31" s="11" t="n"/>
      <c r="D31" s="12" t="n"/>
      <c r="E31" s="12" t="n"/>
      <c r="F31" s="12" t="n"/>
      <c r="G31" s="12" t="n"/>
      <c r="H31" s="12">
        <f>IF(OR(F31="",G31=""),"",F31*G31)</f>
        <v/>
      </c>
      <c r="I31" s="37" t="n"/>
      <c r="J31" s="12">
        <f>IF(I31="","",D31*I31)</f>
        <v/>
      </c>
      <c r="K31" s="37">
        <f>IF(OR(H31="",J31="",E31=""),"",(H31+J31-E31)/D31)</f>
        <v/>
      </c>
      <c r="L31" s="12">
        <f>IF(OR(H31="",J31="",E31="",D31=""),"",IF((H31+J31-E31)&lt;=0,"N/A",D31/((H31+J31-E31)/12))</f>
        <v/>
      </c>
      <c r="M31" s="11" t="n"/>
    </row>
    <row r="32" ht="22" customHeight="1">
      <c r="B32" s="17">
        <f>IF(C32="","ROI-"&amp;TEXT(COUNTA($C$5:C32),"000"))</f>
        <v/>
      </c>
      <c r="C32" s="14" t="n"/>
      <c r="D32" s="15" t="n"/>
      <c r="E32" s="15" t="n"/>
      <c r="F32" s="15" t="n"/>
      <c r="G32" s="15" t="n"/>
      <c r="H32" s="15">
        <f>IF(OR(F32="",G32=""),"",F32*G32)</f>
        <v/>
      </c>
      <c r="I32" s="39" t="n"/>
      <c r="J32" s="15">
        <f>IF(I32="","",D32*I32)</f>
        <v/>
      </c>
      <c r="K32" s="39">
        <f>IF(OR(H32="",J32="",E32=""),"",(H32+J32-E32)/D32)</f>
        <v/>
      </c>
      <c r="L32" s="15">
        <f>IF(OR(H32="",J32="",E32="",D32=""),"",IF((H32+J32-E32)&lt;=0,"N/A",D32/((H32+J32-E32)/12))</f>
        <v/>
      </c>
      <c r="M32" s="14" t="n"/>
    </row>
    <row r="33" ht="22" customHeight="1">
      <c r="B33" s="18">
        <f>IF(C33="","ROI-"&amp;TEXT(COUNTA($C$5:C33),"000"))</f>
        <v/>
      </c>
      <c r="C33" s="11" t="n"/>
      <c r="D33" s="12" t="n"/>
      <c r="E33" s="12" t="n"/>
      <c r="F33" s="12" t="n"/>
      <c r="G33" s="12" t="n"/>
      <c r="H33" s="12">
        <f>IF(OR(F33="",G33=""),"",F33*G33)</f>
        <v/>
      </c>
      <c r="I33" s="37" t="n"/>
      <c r="J33" s="12">
        <f>IF(I33="","",D33*I33)</f>
        <v/>
      </c>
      <c r="K33" s="37">
        <f>IF(OR(H33="",J33="",E33=""),"",(H33+J33-E33)/D33)</f>
        <v/>
      </c>
      <c r="L33" s="12">
        <f>IF(OR(H33="",J33="",E33="",D33=""),"",IF((H33+J33-E33)&lt;=0,"N/A",D33/((H33+J33-E33)/12))</f>
        <v/>
      </c>
      <c r="M33" s="11" t="n"/>
    </row>
    <row r="34" ht="22" customHeight="1">
      <c r="B34" s="17">
        <f>IF(C34="","ROI-"&amp;TEXT(COUNTA($C$5:C34),"000"))</f>
        <v/>
      </c>
      <c r="C34" s="14" t="n"/>
      <c r="D34" s="15" t="n"/>
      <c r="E34" s="15" t="n"/>
      <c r="F34" s="15" t="n"/>
      <c r="G34" s="15" t="n"/>
      <c r="H34" s="15">
        <f>IF(OR(F34="",G34=""),"",F34*G34)</f>
        <v/>
      </c>
      <c r="I34" s="39" t="n"/>
      <c r="J34" s="15">
        <f>IF(I34="","",D34*I34)</f>
        <v/>
      </c>
      <c r="K34" s="39">
        <f>IF(OR(H34="",J34="",E34=""),"",(H34+J34-E34)/D34)</f>
        <v/>
      </c>
      <c r="L34" s="15">
        <f>IF(OR(H34="",J34="",E34="",D34=""),"",IF((H34+J34-E34)&lt;=0,"N/A",D34/((H34+J34-E34)/12))</f>
        <v/>
      </c>
      <c r="M34" s="14" t="n"/>
    </row>
    <row r="35" ht="22" customHeight="1">
      <c r="B35" s="18">
        <f>IF(C35="","ROI-"&amp;TEXT(COUNTA($C$5:C35),"000"))</f>
        <v/>
      </c>
      <c r="C35" s="11" t="n"/>
      <c r="D35" s="12" t="n"/>
      <c r="E35" s="12" t="n"/>
      <c r="F35" s="12" t="n"/>
      <c r="G35" s="12" t="n"/>
      <c r="H35" s="12">
        <f>IF(OR(F35="",G35=""),"",F35*G35)</f>
        <v/>
      </c>
      <c r="I35" s="37" t="n"/>
      <c r="J35" s="12">
        <f>IF(I35="","",D35*I35)</f>
        <v/>
      </c>
      <c r="K35" s="37">
        <f>IF(OR(H35="",J35="",E35=""),"",(H35+J35-E35)/D35)</f>
        <v/>
      </c>
      <c r="L35" s="12">
        <f>IF(OR(H35="",J35="",E35="",D35=""),"",IF((H35+J35-E35)&lt;=0,"N/A",D35/((H35+J35-E35)/12))</f>
        <v/>
      </c>
      <c r="M35" s="11" t="n"/>
    </row>
    <row r="36" ht="22" customHeight="1">
      <c r="B36" s="17">
        <f>IF(C36="","ROI-"&amp;TEXT(COUNTA($C$5:C36),"000"))</f>
        <v/>
      </c>
      <c r="C36" s="14" t="n"/>
      <c r="D36" s="15" t="n"/>
      <c r="E36" s="15" t="n"/>
      <c r="F36" s="15" t="n"/>
      <c r="G36" s="15" t="n"/>
      <c r="H36" s="15">
        <f>IF(OR(F36="",G36=""),"",F36*G36)</f>
        <v/>
      </c>
      <c r="I36" s="39" t="n"/>
      <c r="J36" s="15">
        <f>IF(I36="","",D36*I36)</f>
        <v/>
      </c>
      <c r="K36" s="39">
        <f>IF(OR(H36="",J36="",E36=""),"",(H36+J36-E36)/D36)</f>
        <v/>
      </c>
      <c r="L36" s="15">
        <f>IF(OR(H36="",J36="",E36="",D36=""),"",IF((H36+J36-E36)&lt;=0,"N/A",D36/((H36+J36-E36)/12))</f>
        <v/>
      </c>
      <c r="M36" s="14" t="n"/>
    </row>
    <row r="37" ht="22" customHeight="1">
      <c r="B37" s="18">
        <f>IF(C37="","ROI-"&amp;TEXT(COUNTA($C$5:C37),"000"))</f>
        <v/>
      </c>
      <c r="C37" s="11" t="n"/>
      <c r="D37" s="12" t="n"/>
      <c r="E37" s="12" t="n"/>
      <c r="F37" s="12" t="n"/>
      <c r="G37" s="12" t="n"/>
      <c r="H37" s="12">
        <f>IF(OR(F37="",G37=""),"",F37*G37)</f>
        <v/>
      </c>
      <c r="I37" s="37" t="n"/>
      <c r="J37" s="12">
        <f>IF(I37="","",D37*I37)</f>
        <v/>
      </c>
      <c r="K37" s="37">
        <f>IF(OR(H37="",J37="",E37=""),"",(H37+J37-E37)/D37)</f>
        <v/>
      </c>
      <c r="L37" s="12">
        <f>IF(OR(H37="",J37="",E37="",D37=""),"",IF((H37+J37-E37)&lt;=0,"N/A",D37/((H37+J37-E37)/12))</f>
        <v/>
      </c>
      <c r="M37" s="11" t="n"/>
    </row>
    <row r="38" ht="22" customHeight="1">
      <c r="B38" s="17">
        <f>IF(C38="","ROI-"&amp;TEXT(COUNTA($C$5:C38),"000"))</f>
        <v/>
      </c>
      <c r="C38" s="14" t="n"/>
      <c r="D38" s="15" t="n"/>
      <c r="E38" s="15" t="n"/>
      <c r="F38" s="15" t="n"/>
      <c r="G38" s="15" t="n"/>
      <c r="H38" s="15">
        <f>IF(OR(F38="",G38=""),"",F38*G38)</f>
        <v/>
      </c>
      <c r="I38" s="39" t="n"/>
      <c r="J38" s="15">
        <f>IF(I38="","",D38*I38)</f>
        <v/>
      </c>
      <c r="K38" s="39">
        <f>IF(OR(H38="",J38="",E38=""),"",(H38+J38-E38)/D38)</f>
        <v/>
      </c>
      <c r="L38" s="15">
        <f>IF(OR(H38="",J38="",E38="",D38=""),"",IF((H38+J38-E38)&lt;=0,"N/A",D38/((H38+J38-E38)/12))</f>
        <v/>
      </c>
      <c r="M38" s="14" t="n"/>
    </row>
    <row r="39" ht="22" customHeight="1">
      <c r="B39" s="18">
        <f>IF(C39="","ROI-"&amp;TEXT(COUNTA($C$5:C39),"000"))</f>
        <v/>
      </c>
      <c r="C39" s="11" t="n"/>
      <c r="D39" s="12" t="n"/>
      <c r="E39" s="12" t="n"/>
      <c r="F39" s="12" t="n"/>
      <c r="G39" s="12" t="n"/>
      <c r="H39" s="12">
        <f>IF(OR(F39="",G39=""),"",F39*G39)</f>
        <v/>
      </c>
      <c r="I39" s="37" t="n"/>
      <c r="J39" s="12">
        <f>IF(I39="","",D39*I39)</f>
        <v/>
      </c>
      <c r="K39" s="37">
        <f>IF(OR(H39="",J39="",E39=""),"",(H39+J39-E39)/D39)</f>
        <v/>
      </c>
      <c r="L39" s="12">
        <f>IF(OR(H39="",J39="",E39="",D39=""),"",IF((H39+J39-E39)&lt;=0,"N/A",D39/((H39+J39-E39)/12))</f>
        <v/>
      </c>
      <c r="M39" s="11" t="n"/>
    </row>
    <row r="40" ht="22" customHeight="1">
      <c r="B40" s="17">
        <f>IF(C40="","ROI-"&amp;TEXT(COUNTA($C$5:C40),"000"))</f>
        <v/>
      </c>
      <c r="C40" s="14" t="n"/>
      <c r="D40" s="15" t="n"/>
      <c r="E40" s="15" t="n"/>
      <c r="F40" s="15" t="n"/>
      <c r="G40" s="15" t="n"/>
      <c r="H40" s="15">
        <f>IF(OR(F40="",G40=""),"",F40*G40)</f>
        <v/>
      </c>
      <c r="I40" s="39" t="n"/>
      <c r="J40" s="15">
        <f>IF(I40="","",D40*I40)</f>
        <v/>
      </c>
      <c r="K40" s="39">
        <f>IF(OR(H40="",J40="",E40=""),"",(H40+J40-E40)/D40)</f>
        <v/>
      </c>
      <c r="L40" s="15">
        <f>IF(OR(H40="",J40="",E40="",D40=""),"",IF((H40+J40-E40)&lt;=0,"N/A",D40/((H40+J40-E40)/12))</f>
        <v/>
      </c>
      <c r="M40" s="14" t="n"/>
    </row>
    <row r="41" ht="22" customHeight="1">
      <c r="B41" s="18">
        <f>IF(C41="","ROI-"&amp;TEXT(COUNTA($C$5:C41),"000"))</f>
        <v/>
      </c>
      <c r="C41" s="11" t="n"/>
      <c r="D41" s="12" t="n"/>
      <c r="E41" s="12" t="n"/>
      <c r="F41" s="12" t="n"/>
      <c r="G41" s="12" t="n"/>
      <c r="H41" s="12">
        <f>IF(OR(F41="",G41=""),"",F41*G41)</f>
        <v/>
      </c>
      <c r="I41" s="37" t="n"/>
      <c r="J41" s="12">
        <f>IF(I41="","",D41*I41)</f>
        <v/>
      </c>
      <c r="K41" s="37">
        <f>IF(OR(H41="",J41="",E41=""),"",(H41+J41-E41)/D41)</f>
        <v/>
      </c>
      <c r="L41" s="12">
        <f>IF(OR(H41="",J41="",E41="",D41=""),"",IF((H41+J41-E41)&lt;=0,"N/A",D41/((H41+J41-E41)/12))</f>
        <v/>
      </c>
      <c r="M41" s="11" t="n"/>
    </row>
    <row r="42" ht="22" customHeight="1">
      <c r="B42" s="17">
        <f>IF(C42="","ROI-"&amp;TEXT(COUNTA($C$5:C42),"000"))</f>
        <v/>
      </c>
      <c r="C42" s="14" t="n"/>
      <c r="D42" s="15" t="n"/>
      <c r="E42" s="15" t="n"/>
      <c r="F42" s="15" t="n"/>
      <c r="G42" s="15" t="n"/>
      <c r="H42" s="15">
        <f>IF(OR(F42="",G42=""),"",F42*G42)</f>
        <v/>
      </c>
      <c r="I42" s="39" t="n"/>
      <c r="J42" s="15">
        <f>IF(I42="","",D42*I42)</f>
        <v/>
      </c>
      <c r="K42" s="39">
        <f>IF(OR(H42="",J42="",E42=""),"",(H42+J42-E42)/D42)</f>
        <v/>
      </c>
      <c r="L42" s="15">
        <f>IF(OR(H42="",J42="",E42="",D42=""),"",IF((H42+J42-E42)&lt;=0,"N/A",D42/((H42+J42-E42)/12))</f>
        <v/>
      </c>
      <c r="M42" s="14" t="n"/>
    </row>
    <row r="43" ht="22" customHeight="1">
      <c r="B43" s="18">
        <f>IF(C43="","ROI-"&amp;TEXT(COUNTA($C$5:C43),"000"))</f>
        <v/>
      </c>
      <c r="C43" s="11" t="n"/>
      <c r="D43" s="12" t="n"/>
      <c r="E43" s="12" t="n"/>
      <c r="F43" s="12" t="n"/>
      <c r="G43" s="12" t="n"/>
      <c r="H43" s="12">
        <f>IF(OR(F43="",G43=""),"",F43*G43)</f>
        <v/>
      </c>
      <c r="I43" s="37" t="n"/>
      <c r="J43" s="12">
        <f>IF(I43="","",D43*I43)</f>
        <v/>
      </c>
      <c r="K43" s="37">
        <f>IF(OR(H43="",J43="",E43=""),"",(H43+J43-E43)/D43)</f>
        <v/>
      </c>
      <c r="L43" s="12">
        <f>IF(OR(H43="",J43="",E43="",D43=""),"",IF((H43+J43-E43)&lt;=0,"N/A",D43/((H43+J43-E43)/12))</f>
        <v/>
      </c>
      <c r="M43" s="11" t="n"/>
    </row>
    <row r="44" ht="22" customHeight="1">
      <c r="B44" s="17">
        <f>IF(C44="","ROI-"&amp;TEXT(COUNTA($C$5:C44),"000"))</f>
        <v/>
      </c>
      <c r="C44" s="14" t="n"/>
      <c r="D44" s="15" t="n"/>
      <c r="E44" s="15" t="n"/>
      <c r="F44" s="15" t="n"/>
      <c r="G44" s="15" t="n"/>
      <c r="H44" s="15">
        <f>IF(OR(F44="",G44=""),"",F44*G44)</f>
        <v/>
      </c>
      <c r="I44" s="39" t="n"/>
      <c r="J44" s="15">
        <f>IF(I44="","",D44*I44)</f>
        <v/>
      </c>
      <c r="K44" s="39">
        <f>IF(OR(H44="",J44="",E44=""),"",(H44+J44-E44)/D44)</f>
        <v/>
      </c>
      <c r="L44" s="15">
        <f>IF(OR(H44="",J44="",E44="",D44=""),"",IF((H44+J44-E44)&lt;=0,"N/A",D44/((H44+J44-E44)/12))</f>
        <v/>
      </c>
      <c r="M44" s="14" t="n"/>
    </row>
    <row r="45" ht="22" customHeight="1">
      <c r="B45" s="18">
        <f>IF(C45="","ROI-"&amp;TEXT(COUNTA($C$5:C45),"000"))</f>
        <v/>
      </c>
      <c r="C45" s="11" t="n"/>
      <c r="D45" s="12" t="n"/>
      <c r="E45" s="12" t="n"/>
      <c r="F45" s="12" t="n"/>
      <c r="G45" s="12" t="n"/>
      <c r="H45" s="12">
        <f>IF(OR(F45="",G45=""),"",F45*G45)</f>
        <v/>
      </c>
      <c r="I45" s="37" t="n"/>
      <c r="J45" s="12">
        <f>IF(I45="","",D45*I45)</f>
        <v/>
      </c>
      <c r="K45" s="37">
        <f>IF(OR(H45="",J45="",E45=""),"",(H45+J45-E45)/D45)</f>
        <v/>
      </c>
      <c r="L45" s="12">
        <f>IF(OR(H45="",J45="",E45="",D45=""),"",IF((H45+J45-E45)&lt;=0,"N/A",D45/((H45+J45-E45)/12))</f>
        <v/>
      </c>
      <c r="M45" s="11" t="n"/>
    </row>
    <row r="46" ht="22" customHeight="1">
      <c r="B46" s="17">
        <f>IF(C46="","ROI-"&amp;TEXT(COUNTA($C$5:C46),"000"))</f>
        <v/>
      </c>
      <c r="C46" s="14" t="n"/>
      <c r="D46" s="15" t="n"/>
      <c r="E46" s="15" t="n"/>
      <c r="F46" s="15" t="n"/>
      <c r="G46" s="15" t="n"/>
      <c r="H46" s="15">
        <f>IF(OR(F46="",G46=""),"",F46*G46)</f>
        <v/>
      </c>
      <c r="I46" s="39" t="n"/>
      <c r="J46" s="15">
        <f>IF(I46="","",D46*I46)</f>
        <v/>
      </c>
      <c r="K46" s="39">
        <f>IF(OR(H46="",J46="",E46=""),"",(H46+J46-E46)/D46)</f>
        <v/>
      </c>
      <c r="L46" s="15">
        <f>IF(OR(H46="",J46="",E46="",D46=""),"",IF((H46+J46-E46)&lt;=0,"N/A",D46/((H46+J46-E46)/12))</f>
        <v/>
      </c>
      <c r="M46" s="14" t="n"/>
    </row>
    <row r="47" ht="22" customHeight="1">
      <c r="B47" s="18">
        <f>IF(C47="","ROI-"&amp;TEXT(COUNTA($C$5:C47),"000"))</f>
        <v/>
      </c>
      <c r="C47" s="11" t="n"/>
      <c r="D47" s="12" t="n"/>
      <c r="E47" s="12" t="n"/>
      <c r="F47" s="12" t="n"/>
      <c r="G47" s="12" t="n"/>
      <c r="H47" s="12">
        <f>IF(OR(F47="",G47=""),"",F47*G47)</f>
        <v/>
      </c>
      <c r="I47" s="37" t="n"/>
      <c r="J47" s="12">
        <f>IF(I47="","",D47*I47)</f>
        <v/>
      </c>
      <c r="K47" s="37">
        <f>IF(OR(H47="",J47="",E47=""),"",(H47+J47-E47)/D47)</f>
        <v/>
      </c>
      <c r="L47" s="12">
        <f>IF(OR(H47="",J47="",E47="",D47=""),"",IF((H47+J47-E47)&lt;=0,"N/A",D47/((H47+J47-E47)/12))</f>
        <v/>
      </c>
      <c r="M47" s="11" t="n"/>
    </row>
    <row r="48" ht="22" customHeight="1">
      <c r="B48" s="17">
        <f>IF(C48="","ROI-"&amp;TEXT(COUNTA($C$5:C48),"000"))</f>
        <v/>
      </c>
      <c r="C48" s="14" t="n"/>
      <c r="D48" s="15" t="n"/>
      <c r="E48" s="15" t="n"/>
      <c r="F48" s="15" t="n"/>
      <c r="G48" s="15" t="n"/>
      <c r="H48" s="15">
        <f>IF(OR(F48="",G48=""),"",F48*G48)</f>
        <v/>
      </c>
      <c r="I48" s="39" t="n"/>
      <c r="J48" s="15">
        <f>IF(I48="","",D48*I48)</f>
        <v/>
      </c>
      <c r="K48" s="39">
        <f>IF(OR(H48="",J48="",E48=""),"",(H48+J48-E48)/D48)</f>
        <v/>
      </c>
      <c r="L48" s="15">
        <f>IF(OR(H48="",J48="",E48="",D48=""),"",IF((H48+J48-E48)&lt;=0,"N/A",D48/((H48+J48-E48)/12))</f>
        <v/>
      </c>
      <c r="M48" s="14" t="n"/>
    </row>
    <row r="49" ht="22" customHeight="1">
      <c r="B49" s="18">
        <f>IF(C49="","ROI-"&amp;TEXT(COUNTA($C$5:C49),"000"))</f>
        <v/>
      </c>
      <c r="C49" s="11" t="n"/>
      <c r="D49" s="12" t="n"/>
      <c r="E49" s="12" t="n"/>
      <c r="F49" s="12" t="n"/>
      <c r="G49" s="12" t="n"/>
      <c r="H49" s="12">
        <f>IF(OR(F49="",G49=""),"",F49*G49)</f>
        <v/>
      </c>
      <c r="I49" s="37" t="n"/>
      <c r="J49" s="12">
        <f>IF(I49="","",D49*I49)</f>
        <v/>
      </c>
      <c r="K49" s="37">
        <f>IF(OR(H49="",J49="",E49=""),"",(H49+J49-E49)/D49)</f>
        <v/>
      </c>
      <c r="L49" s="12">
        <f>IF(OR(H49="",J49="",E49="",D49=""),"",IF((H49+J49-E49)&lt;=0,"N/A",D49/((H49+J49-E49)/12))</f>
        <v/>
      </c>
      <c r="M49" s="11" t="n"/>
    </row>
    <row r="50" ht="22" customHeight="1">
      <c r="B50" s="17">
        <f>IF(C50="","ROI-"&amp;TEXT(COUNTA($C$5:C50),"000"))</f>
        <v/>
      </c>
      <c r="C50" s="14" t="n"/>
      <c r="D50" s="15" t="n"/>
      <c r="E50" s="15" t="n"/>
      <c r="F50" s="15" t="n"/>
      <c r="G50" s="15" t="n"/>
      <c r="H50" s="15">
        <f>IF(OR(F50="",G50=""),"",F50*G50)</f>
        <v/>
      </c>
      <c r="I50" s="39" t="n"/>
      <c r="J50" s="15">
        <f>IF(I50="","",D50*I50)</f>
        <v/>
      </c>
      <c r="K50" s="39">
        <f>IF(OR(H50="",J50="",E50=""),"",(H50+J50-E50)/D50)</f>
        <v/>
      </c>
      <c r="L50" s="15">
        <f>IF(OR(H50="",J50="",E50="",D50=""),"",IF((H50+J50-E50)&lt;=0,"N/A",D50/((H50+J50-E50)/12))</f>
        <v/>
      </c>
      <c r="M50" s="14" t="n"/>
    </row>
    <row r="51" ht="22" customHeight="1">
      <c r="B51" s="18">
        <f>IF(C51="","ROI-"&amp;TEXT(COUNTA($C$5:C51),"000"))</f>
        <v/>
      </c>
      <c r="C51" s="11" t="n"/>
      <c r="D51" s="12" t="n"/>
      <c r="E51" s="12" t="n"/>
      <c r="F51" s="12" t="n"/>
      <c r="G51" s="12" t="n"/>
      <c r="H51" s="12">
        <f>IF(OR(F51="",G51=""),"",F51*G51)</f>
        <v/>
      </c>
      <c r="I51" s="37" t="n"/>
      <c r="J51" s="12">
        <f>IF(I51="","",D51*I51)</f>
        <v/>
      </c>
      <c r="K51" s="37">
        <f>IF(OR(H51="",J51="",E51=""),"",(H51+J51-E51)/D51)</f>
        <v/>
      </c>
      <c r="L51" s="12">
        <f>IF(OR(H51="",J51="",E51="",D51=""),"",IF((H51+J51-E51)&lt;=0,"N/A",D51/((H51+J51-E51)/12))</f>
        <v/>
      </c>
      <c r="M51" s="11" t="n"/>
    </row>
    <row r="52" ht="22" customHeight="1">
      <c r="B52" s="17">
        <f>IF(C52="","ROI-"&amp;TEXT(COUNTA($C$5:C52),"000"))</f>
        <v/>
      </c>
      <c r="C52" s="14" t="n"/>
      <c r="D52" s="15" t="n"/>
      <c r="E52" s="15" t="n"/>
      <c r="F52" s="15" t="n"/>
      <c r="G52" s="15" t="n"/>
      <c r="H52" s="15">
        <f>IF(OR(F52="",G52=""),"",F52*G52)</f>
        <v/>
      </c>
      <c r="I52" s="39" t="n"/>
      <c r="J52" s="15">
        <f>IF(I52="","",D52*I52)</f>
        <v/>
      </c>
      <c r="K52" s="39">
        <f>IF(OR(H52="",J52="",E52=""),"",(H52+J52-E52)/D52)</f>
        <v/>
      </c>
      <c r="L52" s="15">
        <f>IF(OR(H52="",J52="",E52="",D52=""),"",IF((H52+J52-E52)&lt;=0,"N/A",D52/((H52+J52-E52)/12))</f>
        <v/>
      </c>
      <c r="M52" s="14" t="n"/>
    </row>
    <row r="53" ht="22" customHeight="1">
      <c r="B53" s="18">
        <f>IF(C53="","ROI-"&amp;TEXT(COUNTA($C$5:C53),"000"))</f>
        <v/>
      </c>
      <c r="C53" s="11" t="n"/>
      <c r="D53" s="12" t="n"/>
      <c r="E53" s="12" t="n"/>
      <c r="F53" s="12" t="n"/>
      <c r="G53" s="12" t="n"/>
      <c r="H53" s="12">
        <f>IF(OR(F53="",G53=""),"",F53*G53)</f>
        <v/>
      </c>
      <c r="I53" s="37" t="n"/>
      <c r="J53" s="12">
        <f>IF(I53="","",D53*I53)</f>
        <v/>
      </c>
      <c r="K53" s="37">
        <f>IF(OR(H53="",J53="",E53=""),"",(H53+J53-E53)/D53)</f>
        <v/>
      </c>
      <c r="L53" s="12">
        <f>IF(OR(H53="",J53="",E53="",D53=""),"",IF((H53+J53-E53)&lt;=0,"N/A",D53/((H53+J53-E53)/12))</f>
        <v/>
      </c>
      <c r="M53" s="11" t="n"/>
    </row>
    <row r="54" ht="22" customHeight="1">
      <c r="B54" s="17">
        <f>IF(C54="","ROI-"&amp;TEXT(COUNTA($C$5:C54),"000"))</f>
        <v/>
      </c>
      <c r="C54" s="14" t="n"/>
      <c r="D54" s="15" t="n"/>
      <c r="E54" s="15" t="n"/>
      <c r="F54" s="15" t="n"/>
      <c r="G54" s="15" t="n"/>
      <c r="H54" s="15">
        <f>IF(OR(F54="",G54=""),"",F54*G54)</f>
        <v/>
      </c>
      <c r="I54" s="39" t="n"/>
      <c r="J54" s="15">
        <f>IF(I54="","",D54*I54)</f>
        <v/>
      </c>
      <c r="K54" s="39">
        <f>IF(OR(H54="",J54="",E54=""),"",(H54+J54-E54)/D54)</f>
        <v/>
      </c>
      <c r="L54" s="15">
        <f>IF(OR(H54="",J54="",E54="",D54=""),"",IF((H54+J54-E54)&lt;=0,"N/A",D54/((H54+J54-E54)/12))</f>
        <v/>
      </c>
      <c r="M54" s="14" t="n"/>
    </row>
    <row r="55" ht="22" customHeight="1">
      <c r="B55" s="18">
        <f>IF(C55="","ROI-"&amp;TEXT(COUNTA($C$5:C55),"000"))</f>
        <v/>
      </c>
      <c r="C55" s="11" t="n"/>
      <c r="D55" s="12" t="n"/>
      <c r="E55" s="12" t="n"/>
      <c r="F55" s="12" t="n"/>
      <c r="G55" s="12" t="n"/>
      <c r="H55" s="12">
        <f>IF(OR(F55="",G55=""),"",F55*G55)</f>
        <v/>
      </c>
      <c r="I55" s="37" t="n"/>
      <c r="J55" s="12">
        <f>IF(I55="","",D55*I55)</f>
        <v/>
      </c>
      <c r="K55" s="37">
        <f>IF(OR(H55="",J55="",E55=""),"",(H55+J55-E55)/D55)</f>
        <v/>
      </c>
      <c r="L55" s="12">
        <f>IF(OR(H55="",J55="",E55="",D55=""),"",IF((H55+J55-E55)&lt;=0,"N/A",D55/((H55+J55-E55)/12))</f>
        <v/>
      </c>
      <c r="M55" s="11" t="n"/>
    </row>
    <row r="56" ht="22" customHeight="1">
      <c r="B56" s="17">
        <f>IF(C56="","ROI-"&amp;TEXT(COUNTA($C$5:C56),"000"))</f>
        <v/>
      </c>
      <c r="C56" s="14" t="n"/>
      <c r="D56" s="15" t="n"/>
      <c r="E56" s="15" t="n"/>
      <c r="F56" s="15" t="n"/>
      <c r="G56" s="15" t="n"/>
      <c r="H56" s="15">
        <f>IF(OR(F56="",G56=""),"",F56*G56)</f>
        <v/>
      </c>
      <c r="I56" s="39" t="n"/>
      <c r="J56" s="15">
        <f>IF(I56="","",D56*I56)</f>
        <v/>
      </c>
      <c r="K56" s="39">
        <f>IF(OR(H56="",J56="",E56=""),"",(H56+J56-E56)/D56)</f>
        <v/>
      </c>
      <c r="L56" s="15">
        <f>IF(OR(H56="",J56="",E56="",D56=""),"",IF((H56+J56-E56)&lt;=0,"N/A",D56/((H56+J56-E56)/12))</f>
        <v/>
      </c>
      <c r="M56" s="14" t="n"/>
    </row>
    <row r="57" ht="22" customHeight="1">
      <c r="B57" s="18">
        <f>IF(C57="","ROI-"&amp;TEXT(COUNTA($C$5:C57),"000"))</f>
        <v/>
      </c>
      <c r="C57" s="11" t="n"/>
      <c r="D57" s="12" t="n"/>
      <c r="E57" s="12" t="n"/>
      <c r="F57" s="12" t="n"/>
      <c r="G57" s="12" t="n"/>
      <c r="H57" s="12">
        <f>IF(OR(F57="",G57=""),"",F57*G57)</f>
        <v/>
      </c>
      <c r="I57" s="37" t="n"/>
      <c r="J57" s="12">
        <f>IF(I57="","",D57*I57)</f>
        <v/>
      </c>
      <c r="K57" s="37">
        <f>IF(OR(H57="",J57="",E57=""),"",(H57+J57-E57)/D57)</f>
        <v/>
      </c>
      <c r="L57" s="12">
        <f>IF(OR(H57="",J57="",E57="",D57=""),"",IF((H57+J57-E57)&lt;=0,"N/A",D57/((H57+J57-E57)/12))</f>
        <v/>
      </c>
      <c r="M57" s="11" t="n"/>
    </row>
    <row r="58" ht="22" customHeight="1">
      <c r="B58" s="17">
        <f>IF(C58="","ROI-"&amp;TEXT(COUNTA($C$5:C58),"000"))</f>
        <v/>
      </c>
      <c r="C58" s="14" t="n"/>
      <c r="D58" s="15" t="n"/>
      <c r="E58" s="15" t="n"/>
      <c r="F58" s="15" t="n"/>
      <c r="G58" s="15" t="n"/>
      <c r="H58" s="15">
        <f>IF(OR(F58="",G58=""),"",F58*G58)</f>
        <v/>
      </c>
      <c r="I58" s="39" t="n"/>
      <c r="J58" s="15">
        <f>IF(I58="","",D58*I58)</f>
        <v/>
      </c>
      <c r="K58" s="39">
        <f>IF(OR(H58="",J58="",E58=""),"",(H58+J58-E58)/D58)</f>
        <v/>
      </c>
      <c r="L58" s="15">
        <f>IF(OR(H58="",J58="",E58="",D58=""),"",IF((H58+J58-E58)&lt;=0,"N/A",D58/((H58+J58-E58)/12))</f>
        <v/>
      </c>
      <c r="M58" s="14" t="n"/>
    </row>
    <row r="59" ht="22" customHeight="1">
      <c r="B59" s="18">
        <f>IF(C59="","ROI-"&amp;TEXT(COUNTA($C$5:C59),"000"))</f>
        <v/>
      </c>
      <c r="C59" s="11" t="n"/>
      <c r="D59" s="12" t="n"/>
      <c r="E59" s="12" t="n"/>
      <c r="F59" s="12" t="n"/>
      <c r="G59" s="12" t="n"/>
      <c r="H59" s="12">
        <f>IF(OR(F59="",G59=""),"",F59*G59)</f>
        <v/>
      </c>
      <c r="I59" s="37" t="n"/>
      <c r="J59" s="12">
        <f>IF(I59="","",D59*I59)</f>
        <v/>
      </c>
      <c r="K59" s="37">
        <f>IF(OR(H59="",J59="",E59=""),"",(H59+J59-E59)/D59)</f>
        <v/>
      </c>
      <c r="L59" s="12">
        <f>IF(OR(H59="",J59="",E59="",D59=""),"",IF((H59+J59-E59)&lt;=0,"N/A",D59/((H59+J59-E59)/12))</f>
        <v/>
      </c>
      <c r="M59" s="11" t="n"/>
    </row>
    <row r="60" ht="22" customHeight="1">
      <c r="B60" s="17">
        <f>IF(C60="","ROI-"&amp;TEXT(COUNTA($C$5:C60),"000"))</f>
        <v/>
      </c>
      <c r="C60" s="14" t="n"/>
      <c r="D60" s="15" t="n"/>
      <c r="E60" s="15" t="n"/>
      <c r="F60" s="15" t="n"/>
      <c r="G60" s="15" t="n"/>
      <c r="H60" s="15">
        <f>IF(OR(F60="",G60=""),"",F60*G60)</f>
        <v/>
      </c>
      <c r="I60" s="39" t="n"/>
      <c r="J60" s="15">
        <f>IF(I60="","",D60*I60)</f>
        <v/>
      </c>
      <c r="K60" s="39">
        <f>IF(OR(H60="",J60="",E60=""),"",(H60+J60-E60)/D60)</f>
        <v/>
      </c>
      <c r="L60" s="15">
        <f>IF(OR(H60="",J60="",E60="",D60=""),"",IF((H60+J60-E60)&lt;=0,"N/A",D60/((H60+J60-E60)/12))</f>
        <v/>
      </c>
      <c r="M60" s="14" t="n"/>
    </row>
    <row r="61" ht="22" customHeight="1">
      <c r="B61" s="18">
        <f>IF(C61="","ROI-"&amp;TEXT(COUNTA($C$5:C61),"000"))</f>
        <v/>
      </c>
      <c r="C61" s="11" t="n"/>
      <c r="D61" s="12" t="n"/>
      <c r="E61" s="12" t="n"/>
      <c r="F61" s="12" t="n"/>
      <c r="G61" s="12" t="n"/>
      <c r="H61" s="12">
        <f>IF(OR(F61="",G61=""),"",F61*G61)</f>
        <v/>
      </c>
      <c r="I61" s="37" t="n"/>
      <c r="J61" s="12">
        <f>IF(I61="","",D61*I61)</f>
        <v/>
      </c>
      <c r="K61" s="37">
        <f>IF(OR(H61="",J61="",E61=""),"",(H61+J61-E61)/D61)</f>
        <v/>
      </c>
      <c r="L61" s="12">
        <f>IF(OR(H61="",J61="",E61="",D61=""),"",IF((H61+J61-E61)&lt;=0,"N/A",D61/((H61+J61-E61)/12))</f>
        <v/>
      </c>
      <c r="M61" s="11" t="n"/>
    </row>
    <row r="62" ht="22" customHeight="1">
      <c r="B62" s="17">
        <f>IF(C62="","ROI-"&amp;TEXT(COUNTA($C$5:C62),"000"))</f>
        <v/>
      </c>
      <c r="C62" s="14" t="n"/>
      <c r="D62" s="15" t="n"/>
      <c r="E62" s="15" t="n"/>
      <c r="F62" s="15" t="n"/>
      <c r="G62" s="15" t="n"/>
      <c r="H62" s="15">
        <f>IF(OR(F62="",G62=""),"",F62*G62)</f>
        <v/>
      </c>
      <c r="I62" s="39" t="n"/>
      <c r="J62" s="15">
        <f>IF(I62="","",D62*I62)</f>
        <v/>
      </c>
      <c r="K62" s="39">
        <f>IF(OR(H62="",J62="",E62=""),"",(H62+J62-E62)/D62)</f>
        <v/>
      </c>
      <c r="L62" s="15">
        <f>IF(OR(H62="",J62="",E62="",D62=""),"",IF((H62+J62-E62)&lt;=0,"N/A",D62/((H62+J62-E62)/12))</f>
        <v/>
      </c>
      <c r="M62" s="14" t="n"/>
    </row>
    <row r="63" ht="22" customHeight="1">
      <c r="B63" s="18">
        <f>IF(C63="","ROI-"&amp;TEXT(COUNTA($C$5:C63),"000"))</f>
        <v/>
      </c>
      <c r="C63" s="11" t="n"/>
      <c r="D63" s="12" t="n"/>
      <c r="E63" s="12" t="n"/>
      <c r="F63" s="12" t="n"/>
      <c r="G63" s="12" t="n"/>
      <c r="H63" s="12">
        <f>IF(OR(F63="",G63=""),"",F63*G63)</f>
        <v/>
      </c>
      <c r="I63" s="37" t="n"/>
      <c r="J63" s="12">
        <f>IF(I63="","",D63*I63)</f>
        <v/>
      </c>
      <c r="K63" s="37">
        <f>IF(OR(H63="",J63="",E63=""),"",(H63+J63-E63)/D63)</f>
        <v/>
      </c>
      <c r="L63" s="12">
        <f>IF(OR(H63="",J63="",E63="",D63=""),"",IF((H63+J63-E63)&lt;=0,"N/A",D63/((H63+J63-E63)/12))</f>
        <v/>
      </c>
      <c r="M63" s="11" t="n"/>
    </row>
    <row r="64" ht="22" customHeight="1">
      <c r="B64" s="17">
        <f>IF(C64="","ROI-"&amp;TEXT(COUNTA($C$5:C64),"000"))</f>
        <v/>
      </c>
      <c r="C64" s="14" t="n"/>
      <c r="D64" s="15" t="n"/>
      <c r="E64" s="15" t="n"/>
      <c r="F64" s="15" t="n"/>
      <c r="G64" s="15" t="n"/>
      <c r="H64" s="15">
        <f>IF(OR(F64="",G64=""),"",F64*G64)</f>
        <v/>
      </c>
      <c r="I64" s="39" t="n"/>
      <c r="J64" s="15">
        <f>IF(I64="","",D64*I64)</f>
        <v/>
      </c>
      <c r="K64" s="39">
        <f>IF(OR(H64="",J64="",E64=""),"",(H64+J64-E64)/D64)</f>
        <v/>
      </c>
      <c r="L64" s="15">
        <f>IF(OR(H64="",J64="",E64="",D64=""),"",IF((H64+J64-E64)&lt;=0,"N/A",D64/((H64+J64-E64)/12))</f>
        <v/>
      </c>
      <c r="M64" s="14" t="n"/>
    </row>
    <row r="65" ht="22" customHeight="1">
      <c r="B65" s="18">
        <f>IF(C65="","ROI-"&amp;TEXT(COUNTA($C$5:C65),"000"))</f>
        <v/>
      </c>
      <c r="C65" s="11" t="n"/>
      <c r="D65" s="12" t="n"/>
      <c r="E65" s="12" t="n"/>
      <c r="F65" s="12" t="n"/>
      <c r="G65" s="12" t="n"/>
      <c r="H65" s="12">
        <f>IF(OR(F65="",G65=""),"",F65*G65)</f>
        <v/>
      </c>
      <c r="I65" s="37" t="n"/>
      <c r="J65" s="12">
        <f>IF(I65="","",D65*I65)</f>
        <v/>
      </c>
      <c r="K65" s="37">
        <f>IF(OR(H65="",J65="",E65=""),"",(H65+J65-E65)/D65)</f>
        <v/>
      </c>
      <c r="L65" s="12">
        <f>IF(OR(H65="",J65="",E65="",D65=""),"",IF((H65+J65-E65)&lt;=0,"N/A",D65/((H65+J65-E65)/12))</f>
        <v/>
      </c>
      <c r="M65" s="11" t="n"/>
    </row>
    <row r="66" ht="22" customHeight="1">
      <c r="B66" s="17">
        <f>IF(C66="","ROI-"&amp;TEXT(COUNTA($C$5:C66),"000"))</f>
        <v/>
      </c>
      <c r="C66" s="14" t="n"/>
      <c r="D66" s="15" t="n"/>
      <c r="E66" s="15" t="n"/>
      <c r="F66" s="15" t="n"/>
      <c r="G66" s="15" t="n"/>
      <c r="H66" s="15">
        <f>IF(OR(F66="",G66=""),"",F66*G66)</f>
        <v/>
      </c>
      <c r="I66" s="39" t="n"/>
      <c r="J66" s="15">
        <f>IF(I66="","",D66*I66)</f>
        <v/>
      </c>
      <c r="K66" s="39">
        <f>IF(OR(H66="",J66="",E66=""),"",(H66+J66-E66)/D66)</f>
        <v/>
      </c>
      <c r="L66" s="15">
        <f>IF(OR(H66="",J66="",E66="",D66=""),"",IF((H66+J66-E66)&lt;=0,"N/A",D66/((H66+J66-E66)/12))</f>
        <v/>
      </c>
      <c r="M66" s="14" t="n"/>
    </row>
    <row r="67" ht="22" customHeight="1">
      <c r="B67" s="18">
        <f>IF(C67="","ROI-"&amp;TEXT(COUNTA($C$5:C67),"000"))</f>
        <v/>
      </c>
      <c r="C67" s="11" t="n"/>
      <c r="D67" s="12" t="n"/>
      <c r="E67" s="12" t="n"/>
      <c r="F67" s="12" t="n"/>
      <c r="G67" s="12" t="n"/>
      <c r="H67" s="12">
        <f>IF(OR(F67="",G67=""),"",F67*G67)</f>
        <v/>
      </c>
      <c r="I67" s="37" t="n"/>
      <c r="J67" s="12">
        <f>IF(I67="","",D67*I67)</f>
        <v/>
      </c>
      <c r="K67" s="37">
        <f>IF(OR(H67="",J67="",E67=""),"",(H67+J67-E67)/D67)</f>
        <v/>
      </c>
      <c r="L67" s="12">
        <f>IF(OR(H67="",J67="",E67="",D67=""),"",IF((H67+J67-E67)&lt;=0,"N/A",D67/((H67+J67-E67)/12))</f>
        <v/>
      </c>
      <c r="M67" s="11" t="n"/>
    </row>
    <row r="68" ht="22" customHeight="1">
      <c r="B68" s="17">
        <f>IF(C68="","ROI-"&amp;TEXT(COUNTA($C$5:C68),"000"))</f>
        <v/>
      </c>
      <c r="C68" s="14" t="n"/>
      <c r="D68" s="15" t="n"/>
      <c r="E68" s="15" t="n"/>
      <c r="F68" s="15" t="n"/>
      <c r="G68" s="15" t="n"/>
      <c r="H68" s="15">
        <f>IF(OR(F68="",G68=""),"",F68*G68)</f>
        <v/>
      </c>
      <c r="I68" s="39" t="n"/>
      <c r="J68" s="15">
        <f>IF(I68="","",D68*I68)</f>
        <v/>
      </c>
      <c r="K68" s="39">
        <f>IF(OR(H68="",J68="",E68=""),"",(H68+J68-E68)/D68)</f>
        <v/>
      </c>
      <c r="L68" s="15">
        <f>IF(OR(H68="",J68="",E68="",D68=""),"",IF((H68+J68-E68)&lt;=0,"N/A",D68/((H68+J68-E68)/12))</f>
        <v/>
      </c>
      <c r="M68" s="14" t="n"/>
    </row>
    <row r="69" ht="22" customHeight="1">
      <c r="B69" s="18">
        <f>IF(C69="","ROI-"&amp;TEXT(COUNTA($C$5:C69),"000"))</f>
        <v/>
      </c>
      <c r="C69" s="11" t="n"/>
      <c r="D69" s="12" t="n"/>
      <c r="E69" s="12" t="n"/>
      <c r="F69" s="12" t="n"/>
      <c r="G69" s="12" t="n"/>
      <c r="H69" s="12">
        <f>IF(OR(F69="",G69=""),"",F69*G69)</f>
        <v/>
      </c>
      <c r="I69" s="37" t="n"/>
      <c r="J69" s="12">
        <f>IF(I69="","",D69*I69)</f>
        <v/>
      </c>
      <c r="K69" s="37">
        <f>IF(OR(H69="",J69="",E69=""),"",(H69+J69-E69)/D69)</f>
        <v/>
      </c>
      <c r="L69" s="12">
        <f>IF(OR(H69="",J69="",E69="",D69=""),"",IF((H69+J69-E69)&lt;=0,"N/A",D69/((H69+J69-E69)/12))</f>
        <v/>
      </c>
      <c r="M69" s="11" t="n"/>
    </row>
    <row r="70" ht="22" customHeight="1">
      <c r="B70" s="17">
        <f>IF(C70="","ROI-"&amp;TEXT(COUNTA($C$5:C70),"000"))</f>
        <v/>
      </c>
      <c r="C70" s="14" t="n"/>
      <c r="D70" s="15" t="n"/>
      <c r="E70" s="15" t="n"/>
      <c r="F70" s="15" t="n"/>
      <c r="G70" s="15" t="n"/>
      <c r="H70" s="15">
        <f>IF(OR(F70="",G70=""),"",F70*G70)</f>
        <v/>
      </c>
      <c r="I70" s="39" t="n"/>
      <c r="J70" s="15">
        <f>IF(I70="","",D70*I70)</f>
        <v/>
      </c>
      <c r="K70" s="39">
        <f>IF(OR(H70="",J70="",E70=""),"",(H70+J70-E70)/D70)</f>
        <v/>
      </c>
      <c r="L70" s="15">
        <f>IF(OR(H70="",J70="",E70="",D70=""),"",IF((H70+J70-E70)&lt;=0,"N/A",D70/((H70+J70-E70)/12))</f>
        <v/>
      </c>
      <c r="M70" s="14" t="n"/>
    </row>
    <row r="71" ht="22" customHeight="1">
      <c r="B71" s="18">
        <f>IF(C71="","ROI-"&amp;TEXT(COUNTA($C$5:C71),"000"))</f>
        <v/>
      </c>
      <c r="C71" s="11" t="n"/>
      <c r="D71" s="12" t="n"/>
      <c r="E71" s="12" t="n"/>
      <c r="F71" s="12" t="n"/>
      <c r="G71" s="12" t="n"/>
      <c r="H71" s="12">
        <f>IF(OR(F71="",G71=""),"",F71*G71)</f>
        <v/>
      </c>
      <c r="I71" s="37" t="n"/>
      <c r="J71" s="12">
        <f>IF(I71="","",D71*I71)</f>
        <v/>
      </c>
      <c r="K71" s="37">
        <f>IF(OR(H71="",J71="",E71=""),"",(H71+J71-E71)/D71)</f>
        <v/>
      </c>
      <c r="L71" s="12">
        <f>IF(OR(H71="",J71="",E71="",D71=""),"",IF((H71+J71-E71)&lt;=0,"N/A",D71/((H71+J71-E71)/12))</f>
        <v/>
      </c>
      <c r="M71" s="11" t="n"/>
    </row>
    <row r="72" ht="22" customHeight="1">
      <c r="B72" s="17">
        <f>IF(C72="","ROI-"&amp;TEXT(COUNTA($C$5:C72),"000"))</f>
        <v/>
      </c>
      <c r="C72" s="14" t="n"/>
      <c r="D72" s="15" t="n"/>
      <c r="E72" s="15" t="n"/>
      <c r="F72" s="15" t="n"/>
      <c r="G72" s="15" t="n"/>
      <c r="H72" s="15">
        <f>IF(OR(F72="",G72=""),"",F72*G72)</f>
        <v/>
      </c>
      <c r="I72" s="39" t="n"/>
      <c r="J72" s="15">
        <f>IF(I72="","",D72*I72)</f>
        <v/>
      </c>
      <c r="K72" s="39">
        <f>IF(OR(H72="",J72="",E72=""),"",(H72+J72-E72)/D72)</f>
        <v/>
      </c>
      <c r="L72" s="15">
        <f>IF(OR(H72="",J72="",E72="",D72=""),"",IF((H72+J72-E72)&lt;=0,"N/A",D72/((H72+J72-E72)/12))</f>
        <v/>
      </c>
      <c r="M72" s="14" t="n"/>
    </row>
    <row r="73" ht="22" customHeight="1">
      <c r="B73" s="18">
        <f>IF(C73="","ROI-"&amp;TEXT(COUNTA($C$5:C73),"000"))</f>
        <v/>
      </c>
      <c r="C73" s="11" t="n"/>
      <c r="D73" s="12" t="n"/>
      <c r="E73" s="12" t="n"/>
      <c r="F73" s="12" t="n"/>
      <c r="G73" s="12" t="n"/>
      <c r="H73" s="12">
        <f>IF(OR(F73="",G73=""),"",F73*G73)</f>
        <v/>
      </c>
      <c r="I73" s="37" t="n"/>
      <c r="J73" s="12">
        <f>IF(I73="","",D73*I73)</f>
        <v/>
      </c>
      <c r="K73" s="37">
        <f>IF(OR(H73="",J73="",E73=""),"",(H73+J73-E73)/D73)</f>
        <v/>
      </c>
      <c r="L73" s="12">
        <f>IF(OR(H73="",J73="",E73="",D73=""),"",IF((H73+J73-E73)&lt;=0,"N/A",D73/((H73+J73-E73)/12))</f>
        <v/>
      </c>
      <c r="M73" s="11" t="n"/>
    </row>
    <row r="74" ht="22" customHeight="1">
      <c r="B74" s="17">
        <f>IF(C74="","ROI-"&amp;TEXT(COUNTA($C$5:C74),"000"))</f>
        <v/>
      </c>
      <c r="C74" s="14" t="n"/>
      <c r="D74" s="15" t="n"/>
      <c r="E74" s="15" t="n"/>
      <c r="F74" s="15" t="n"/>
      <c r="G74" s="15" t="n"/>
      <c r="H74" s="15">
        <f>IF(OR(F74="",G74=""),"",F74*G74)</f>
        <v/>
      </c>
      <c r="I74" s="39" t="n"/>
      <c r="J74" s="15">
        <f>IF(I74="","",D74*I74)</f>
        <v/>
      </c>
      <c r="K74" s="39">
        <f>IF(OR(H74="",J74="",E74=""),"",(H74+J74-E74)/D74)</f>
        <v/>
      </c>
      <c r="L74" s="15">
        <f>IF(OR(H74="",J74="",E74="",D74=""),"",IF((H74+J74-E74)&lt;=0,"N/A",D74/((H74+J74-E74)/12))</f>
        <v/>
      </c>
      <c r="M74" s="14" t="n"/>
    </row>
    <row r="75" ht="22" customHeight="1">
      <c r="B75" s="18">
        <f>IF(C75="","ROI-"&amp;TEXT(COUNTA($C$5:C75),"000"))</f>
        <v/>
      </c>
      <c r="C75" s="11" t="n"/>
      <c r="D75" s="12" t="n"/>
      <c r="E75" s="12" t="n"/>
      <c r="F75" s="12" t="n"/>
      <c r="G75" s="12" t="n"/>
      <c r="H75" s="12">
        <f>IF(OR(F75="",G75=""),"",F75*G75)</f>
        <v/>
      </c>
      <c r="I75" s="37" t="n"/>
      <c r="J75" s="12">
        <f>IF(I75="","",D75*I75)</f>
        <v/>
      </c>
      <c r="K75" s="37">
        <f>IF(OR(H75="",J75="",E75=""),"",(H75+J75-E75)/D75)</f>
        <v/>
      </c>
      <c r="L75" s="12">
        <f>IF(OR(H75="",J75="",E75="",D75=""),"",IF((H75+J75-E75)&lt;=0,"N/A",D75/((H75+J75-E75)/12))</f>
        <v/>
      </c>
      <c r="M75" s="11" t="n"/>
    </row>
    <row r="76" ht="22" customHeight="1">
      <c r="B76" s="17">
        <f>IF(C76="","ROI-"&amp;TEXT(COUNTA($C$5:C76),"000"))</f>
        <v/>
      </c>
      <c r="C76" s="14" t="n"/>
      <c r="D76" s="15" t="n"/>
      <c r="E76" s="15" t="n"/>
      <c r="F76" s="15" t="n"/>
      <c r="G76" s="15" t="n"/>
      <c r="H76" s="15">
        <f>IF(OR(F76="",G76=""),"",F76*G76)</f>
        <v/>
      </c>
      <c r="I76" s="39" t="n"/>
      <c r="J76" s="15">
        <f>IF(I76="","",D76*I76)</f>
        <v/>
      </c>
      <c r="K76" s="39">
        <f>IF(OR(H76="",J76="",E76=""),"",(H76+J76-E76)/D76)</f>
        <v/>
      </c>
      <c r="L76" s="15">
        <f>IF(OR(H76="",J76="",E76="",D76=""),"",IF((H76+J76-E76)&lt;=0,"N/A",D76/((H76+J76-E76)/12))</f>
        <v/>
      </c>
      <c r="M76" s="14" t="n"/>
    </row>
    <row r="77" ht="22" customHeight="1">
      <c r="B77" s="18">
        <f>IF(C77="","ROI-"&amp;TEXT(COUNTA($C$5:C77),"000"))</f>
        <v/>
      </c>
      <c r="C77" s="11" t="n"/>
      <c r="D77" s="12" t="n"/>
      <c r="E77" s="12" t="n"/>
      <c r="F77" s="12" t="n"/>
      <c r="G77" s="12" t="n"/>
      <c r="H77" s="12">
        <f>IF(OR(F77="",G77=""),"",F77*G77)</f>
        <v/>
      </c>
      <c r="I77" s="37" t="n"/>
      <c r="J77" s="12">
        <f>IF(I77="","",D77*I77)</f>
        <v/>
      </c>
      <c r="K77" s="37">
        <f>IF(OR(H77="",J77="",E77=""),"",(H77+J77-E77)/D77)</f>
        <v/>
      </c>
      <c r="L77" s="12">
        <f>IF(OR(H77="",J77="",E77="",D77=""),"",IF((H77+J77-E77)&lt;=0,"N/A",D77/((H77+J77-E77)/12))</f>
        <v/>
      </c>
      <c r="M77" s="11" t="n"/>
    </row>
    <row r="78" ht="22" customHeight="1">
      <c r="B78" s="17">
        <f>IF(C78="","ROI-"&amp;TEXT(COUNTA($C$5:C78),"000"))</f>
        <v/>
      </c>
      <c r="C78" s="14" t="n"/>
      <c r="D78" s="15" t="n"/>
      <c r="E78" s="15" t="n"/>
      <c r="F78" s="15" t="n"/>
      <c r="G78" s="15" t="n"/>
      <c r="H78" s="15">
        <f>IF(OR(F78="",G78=""),"",F78*G78)</f>
        <v/>
      </c>
      <c r="I78" s="39" t="n"/>
      <c r="J78" s="15">
        <f>IF(I78="","",D78*I78)</f>
        <v/>
      </c>
      <c r="K78" s="39">
        <f>IF(OR(H78="",J78="",E78=""),"",(H78+J78-E78)/D78)</f>
        <v/>
      </c>
      <c r="L78" s="15">
        <f>IF(OR(H78="",J78="",E78="",D78=""),"",IF((H78+J78-E78)&lt;=0,"N/A",D78/((H78+J78-E78)/12))</f>
        <v/>
      </c>
      <c r="M78" s="14" t="n"/>
    </row>
    <row r="79" ht="22" customHeight="1">
      <c r="B79" s="18">
        <f>IF(C79="","ROI-"&amp;TEXT(COUNTA($C$5:C79),"000"))</f>
        <v/>
      </c>
      <c r="C79" s="11" t="n"/>
      <c r="D79" s="12" t="n"/>
      <c r="E79" s="12" t="n"/>
      <c r="F79" s="12" t="n"/>
      <c r="G79" s="12" t="n"/>
      <c r="H79" s="12">
        <f>IF(OR(F79="",G79=""),"",F79*G79)</f>
        <v/>
      </c>
      <c r="I79" s="37" t="n"/>
      <c r="J79" s="12">
        <f>IF(I79="","",D79*I79)</f>
        <v/>
      </c>
      <c r="K79" s="37">
        <f>IF(OR(H79="",J79="",E79=""),"",(H79+J79-E79)/D79)</f>
        <v/>
      </c>
      <c r="L79" s="12">
        <f>IF(OR(H79="",J79="",E79="",D79=""),"",IF((H79+J79-E79)&lt;=0,"N/A",D79/((H79+J79-E79)/12))</f>
        <v/>
      </c>
      <c r="M79" s="11" t="n"/>
    </row>
    <row r="80" ht="22" customHeight="1">
      <c r="B80" s="17">
        <f>IF(C80="","ROI-"&amp;TEXT(COUNTA($C$5:C80),"000"))</f>
        <v/>
      </c>
      <c r="C80" s="14" t="n"/>
      <c r="D80" s="15" t="n"/>
      <c r="E80" s="15" t="n"/>
      <c r="F80" s="15" t="n"/>
      <c r="G80" s="15" t="n"/>
      <c r="H80" s="15">
        <f>IF(OR(F80="",G80=""),"",F80*G80)</f>
        <v/>
      </c>
      <c r="I80" s="39" t="n"/>
      <c r="J80" s="15">
        <f>IF(I80="","",D80*I80)</f>
        <v/>
      </c>
      <c r="K80" s="39">
        <f>IF(OR(H80="",J80="",E80=""),"",(H80+J80-E80)/D80)</f>
        <v/>
      </c>
      <c r="L80" s="15">
        <f>IF(OR(H80="",J80="",E80="",D80=""),"",IF((H80+J80-E80)&lt;=0,"N/A",D80/((H80+J80-E80)/12))</f>
        <v/>
      </c>
      <c r="M80" s="14" t="n"/>
    </row>
    <row r="81" ht="22" customHeight="1">
      <c r="B81" s="18">
        <f>IF(C81="","ROI-"&amp;TEXT(COUNTA($C$5:C81),"000"))</f>
        <v/>
      </c>
      <c r="C81" s="11" t="n"/>
      <c r="D81" s="12" t="n"/>
      <c r="E81" s="12" t="n"/>
      <c r="F81" s="12" t="n"/>
      <c r="G81" s="12" t="n"/>
      <c r="H81" s="12">
        <f>IF(OR(F81="",G81=""),"",F81*G81)</f>
        <v/>
      </c>
      <c r="I81" s="37" t="n"/>
      <c r="J81" s="12">
        <f>IF(I81="","",D81*I81)</f>
        <v/>
      </c>
      <c r="K81" s="37">
        <f>IF(OR(H81="",J81="",E81=""),"",(H81+J81-E81)/D81)</f>
        <v/>
      </c>
      <c r="L81" s="12">
        <f>IF(OR(H81="",J81="",E81="",D81=""),"",IF((H81+J81-E81)&lt;=0,"N/A",D81/((H81+J81-E81)/12))</f>
        <v/>
      </c>
      <c r="M81" s="11" t="n"/>
    </row>
    <row r="82" ht="22" customHeight="1">
      <c r="B82" s="17">
        <f>IF(C82="","ROI-"&amp;TEXT(COUNTA($C$5:C82),"000"))</f>
        <v/>
      </c>
      <c r="C82" s="14" t="n"/>
      <c r="D82" s="15" t="n"/>
      <c r="E82" s="15" t="n"/>
      <c r="F82" s="15" t="n"/>
      <c r="G82" s="15" t="n"/>
      <c r="H82" s="15">
        <f>IF(OR(F82="",G82=""),"",F82*G82)</f>
        <v/>
      </c>
      <c r="I82" s="39" t="n"/>
      <c r="J82" s="15">
        <f>IF(I82="","",D82*I82)</f>
        <v/>
      </c>
      <c r="K82" s="39">
        <f>IF(OR(H82="",J82="",E82=""),"",(H82+J82-E82)/D82)</f>
        <v/>
      </c>
      <c r="L82" s="15">
        <f>IF(OR(H82="",J82="",E82="",D82=""),"",IF((H82+J82-E82)&lt;=0,"N/A",D82/((H82+J82-E82)/12))</f>
        <v/>
      </c>
      <c r="M82" s="14" t="n"/>
    </row>
    <row r="83" ht="22" customHeight="1">
      <c r="B83" s="18">
        <f>IF(C83="","ROI-"&amp;TEXT(COUNTA($C$5:C83),"000"))</f>
        <v/>
      </c>
      <c r="C83" s="11" t="n"/>
      <c r="D83" s="12" t="n"/>
      <c r="E83" s="12" t="n"/>
      <c r="F83" s="12" t="n"/>
      <c r="G83" s="12" t="n"/>
      <c r="H83" s="12">
        <f>IF(OR(F83="",G83=""),"",F83*G83)</f>
        <v/>
      </c>
      <c r="I83" s="37" t="n"/>
      <c r="J83" s="12">
        <f>IF(I83="","",D83*I83)</f>
        <v/>
      </c>
      <c r="K83" s="37">
        <f>IF(OR(H83="",J83="",E83=""),"",(H83+J83-E83)/D83)</f>
        <v/>
      </c>
      <c r="L83" s="12">
        <f>IF(OR(H83="",J83="",E83="",D83=""),"",IF((H83+J83-E83)&lt;=0,"N/A",D83/((H83+J83-E83)/12))</f>
        <v/>
      </c>
      <c r="M83" s="11" t="n"/>
    </row>
    <row r="84" ht="22" customHeight="1">
      <c r="B84" s="17">
        <f>IF(C84="","ROI-"&amp;TEXT(COUNTA($C$5:C84),"000"))</f>
        <v/>
      </c>
      <c r="C84" s="14" t="n"/>
      <c r="D84" s="15" t="n"/>
      <c r="E84" s="15" t="n"/>
      <c r="F84" s="15" t="n"/>
      <c r="G84" s="15" t="n"/>
      <c r="H84" s="15">
        <f>IF(OR(F84="",G84=""),"",F84*G84)</f>
        <v/>
      </c>
      <c r="I84" s="39" t="n"/>
      <c r="J84" s="15">
        <f>IF(I84="","",D84*I84)</f>
        <v/>
      </c>
      <c r="K84" s="39">
        <f>IF(OR(H84="",J84="",E84=""),"",(H84+J84-E84)/D84)</f>
        <v/>
      </c>
      <c r="L84" s="15">
        <f>IF(OR(H84="",J84="",E84="",D84=""),"",IF((H84+J84-E84)&lt;=0,"N/A",D84/((H84+J84-E84)/12))</f>
        <v/>
      </c>
      <c r="M84" s="14" t="n"/>
    </row>
    <row r="85" ht="22" customHeight="1">
      <c r="B85" s="18">
        <f>IF(C85="","ROI-"&amp;TEXT(COUNTA($C$5:C85),"000"))</f>
        <v/>
      </c>
      <c r="C85" s="11" t="n"/>
      <c r="D85" s="12" t="n"/>
      <c r="E85" s="12" t="n"/>
      <c r="F85" s="12" t="n"/>
      <c r="G85" s="12" t="n"/>
      <c r="H85" s="12">
        <f>IF(OR(F85="",G85=""),"",F85*G85)</f>
        <v/>
      </c>
      <c r="I85" s="37" t="n"/>
      <c r="J85" s="12">
        <f>IF(I85="","",D85*I85)</f>
        <v/>
      </c>
      <c r="K85" s="37">
        <f>IF(OR(H85="",J85="",E85=""),"",(H85+J85-E85)/D85)</f>
        <v/>
      </c>
      <c r="L85" s="12">
        <f>IF(OR(H85="",J85="",E85="",D85=""),"",IF((H85+J85-E85)&lt;=0,"N/A",D85/((H85+J85-E85)/12))</f>
        <v/>
      </c>
      <c r="M85" s="11" t="n"/>
    </row>
    <row r="86" ht="22" customHeight="1">
      <c r="B86" s="17">
        <f>IF(C86="","ROI-"&amp;TEXT(COUNTA($C$5:C86),"000"))</f>
        <v/>
      </c>
      <c r="C86" s="14" t="n"/>
      <c r="D86" s="15" t="n"/>
      <c r="E86" s="15" t="n"/>
      <c r="F86" s="15" t="n"/>
      <c r="G86" s="15" t="n"/>
      <c r="H86" s="15">
        <f>IF(OR(F86="",G86=""),"",F86*G86)</f>
        <v/>
      </c>
      <c r="I86" s="39" t="n"/>
      <c r="J86" s="15">
        <f>IF(I86="","",D86*I86)</f>
        <v/>
      </c>
      <c r="K86" s="39">
        <f>IF(OR(H86="",J86="",E86=""),"",(H86+J86-E86)/D86)</f>
        <v/>
      </c>
      <c r="L86" s="15">
        <f>IF(OR(H86="",J86="",E86="",D86=""),"",IF((H86+J86-E86)&lt;=0,"N/A",D86/((H86+J86-E86)/12))</f>
        <v/>
      </c>
      <c r="M86" s="14" t="n"/>
    </row>
    <row r="87" ht="22" customHeight="1">
      <c r="B87" s="18">
        <f>IF(C87="","ROI-"&amp;TEXT(COUNTA($C$5:C87),"000"))</f>
        <v/>
      </c>
      <c r="C87" s="11" t="n"/>
      <c r="D87" s="12" t="n"/>
      <c r="E87" s="12" t="n"/>
      <c r="F87" s="12" t="n"/>
      <c r="G87" s="12" t="n"/>
      <c r="H87" s="12">
        <f>IF(OR(F87="",G87=""),"",F87*G87)</f>
        <v/>
      </c>
      <c r="I87" s="37" t="n"/>
      <c r="J87" s="12">
        <f>IF(I87="","",D87*I87)</f>
        <v/>
      </c>
      <c r="K87" s="37">
        <f>IF(OR(H87="",J87="",E87=""),"",(H87+J87-E87)/D87)</f>
        <v/>
      </c>
      <c r="L87" s="12">
        <f>IF(OR(H87="",J87="",E87="",D87=""),"",IF((H87+J87-E87)&lt;=0,"N/A",D87/((H87+J87-E87)/12))</f>
        <v/>
      </c>
      <c r="M87" s="11" t="n"/>
    </row>
    <row r="88" ht="22" customHeight="1">
      <c r="B88" s="17">
        <f>IF(C88="","ROI-"&amp;TEXT(COUNTA($C$5:C88),"000"))</f>
        <v/>
      </c>
      <c r="C88" s="14" t="n"/>
      <c r="D88" s="15" t="n"/>
      <c r="E88" s="15" t="n"/>
      <c r="F88" s="15" t="n"/>
      <c r="G88" s="15" t="n"/>
      <c r="H88" s="15">
        <f>IF(OR(F88="",G88=""),"",F88*G88)</f>
        <v/>
      </c>
      <c r="I88" s="39" t="n"/>
      <c r="J88" s="15">
        <f>IF(I88="","",D88*I88)</f>
        <v/>
      </c>
      <c r="K88" s="39">
        <f>IF(OR(H88="",J88="",E88=""),"",(H88+J88-E88)/D88)</f>
        <v/>
      </c>
      <c r="L88" s="15">
        <f>IF(OR(H88="",J88="",E88="",D88=""),"",IF((H88+J88-E88)&lt;=0,"N/A",D88/((H88+J88-E88)/12))</f>
        <v/>
      </c>
      <c r="M88" s="14" t="n"/>
    </row>
    <row r="89" ht="22" customHeight="1">
      <c r="B89" s="18">
        <f>IF(C89="","ROI-"&amp;TEXT(COUNTA($C$5:C89),"000"))</f>
        <v/>
      </c>
      <c r="C89" s="11" t="n"/>
      <c r="D89" s="12" t="n"/>
      <c r="E89" s="12" t="n"/>
      <c r="F89" s="12" t="n"/>
      <c r="G89" s="12" t="n"/>
      <c r="H89" s="12">
        <f>IF(OR(F89="",G89=""),"",F89*G89)</f>
        <v/>
      </c>
      <c r="I89" s="37" t="n"/>
      <c r="J89" s="12">
        <f>IF(I89="","",D89*I89)</f>
        <v/>
      </c>
      <c r="K89" s="37">
        <f>IF(OR(H89="",J89="",E89=""),"",(H89+J89-E89)/D89)</f>
        <v/>
      </c>
      <c r="L89" s="12">
        <f>IF(OR(H89="",J89="",E89="",D89=""),"",IF((H89+J89-E89)&lt;=0,"N/A",D89/((H89+J89-E89)/12))</f>
        <v/>
      </c>
      <c r="M89" s="11" t="n"/>
    </row>
    <row r="90" ht="22" customHeight="1">
      <c r="B90" s="17">
        <f>IF(C90="","ROI-"&amp;TEXT(COUNTA($C$5:C90),"000"))</f>
        <v/>
      </c>
      <c r="C90" s="14" t="n"/>
      <c r="D90" s="15" t="n"/>
      <c r="E90" s="15" t="n"/>
      <c r="F90" s="15" t="n"/>
      <c r="G90" s="15" t="n"/>
      <c r="H90" s="15">
        <f>IF(OR(F90="",G90=""),"",F90*G90)</f>
        <v/>
      </c>
      <c r="I90" s="39" t="n"/>
      <c r="J90" s="15">
        <f>IF(I90="","",D90*I90)</f>
        <v/>
      </c>
      <c r="K90" s="39">
        <f>IF(OR(H90="",J90="",E90=""),"",(H90+J90-E90)/D90)</f>
        <v/>
      </c>
      <c r="L90" s="15">
        <f>IF(OR(H90="",J90="",E90="",D90=""),"",IF((H90+J90-E90)&lt;=0,"N/A",D90/((H90+J90-E90)/12))</f>
        <v/>
      </c>
      <c r="M90" s="14" t="n"/>
    </row>
    <row r="91" ht="22" customHeight="1">
      <c r="B91" s="18">
        <f>IF(C91="","ROI-"&amp;TEXT(COUNTA($C$5:C91),"000"))</f>
        <v/>
      </c>
      <c r="C91" s="11" t="n"/>
      <c r="D91" s="12" t="n"/>
      <c r="E91" s="12" t="n"/>
      <c r="F91" s="12" t="n"/>
      <c r="G91" s="12" t="n"/>
      <c r="H91" s="12">
        <f>IF(OR(F91="",G91=""),"",F91*G91)</f>
        <v/>
      </c>
      <c r="I91" s="37" t="n"/>
      <c r="J91" s="12">
        <f>IF(I91="","",D91*I91)</f>
        <v/>
      </c>
      <c r="K91" s="37">
        <f>IF(OR(H91="",J91="",E91=""),"",(H91+J91-E91)/D91)</f>
        <v/>
      </c>
      <c r="L91" s="12">
        <f>IF(OR(H91="",J91="",E91="",D91=""),"",IF((H91+J91-E91)&lt;=0,"N/A",D91/((H91+J91-E91)/12))</f>
        <v/>
      </c>
      <c r="M91" s="11" t="n"/>
    </row>
    <row r="92" ht="22" customHeight="1">
      <c r="B92" s="17">
        <f>IF(C92="","ROI-"&amp;TEXT(COUNTA($C$5:C92),"000"))</f>
        <v/>
      </c>
      <c r="C92" s="14" t="n"/>
      <c r="D92" s="15" t="n"/>
      <c r="E92" s="15" t="n"/>
      <c r="F92" s="15" t="n"/>
      <c r="G92" s="15" t="n"/>
      <c r="H92" s="15">
        <f>IF(OR(F92="",G92=""),"",F92*G92)</f>
        <v/>
      </c>
      <c r="I92" s="39" t="n"/>
      <c r="J92" s="15">
        <f>IF(I92="","",D92*I92)</f>
        <v/>
      </c>
      <c r="K92" s="39">
        <f>IF(OR(H92="",J92="",E92=""),"",(H92+J92-E92)/D92)</f>
        <v/>
      </c>
      <c r="L92" s="15">
        <f>IF(OR(H92="",J92="",E92="",D92=""),"",IF((H92+J92-E92)&lt;=0,"N/A",D92/((H92+J92-E92)/12))</f>
        <v/>
      </c>
      <c r="M92" s="14" t="n"/>
    </row>
    <row r="93" ht="22" customHeight="1">
      <c r="B93" s="18">
        <f>IF(C93="","ROI-"&amp;TEXT(COUNTA($C$5:C93),"000"))</f>
        <v/>
      </c>
      <c r="C93" s="11" t="n"/>
      <c r="D93" s="12" t="n"/>
      <c r="E93" s="12" t="n"/>
      <c r="F93" s="12" t="n"/>
      <c r="G93" s="12" t="n"/>
      <c r="H93" s="12">
        <f>IF(OR(F93="",G93=""),"",F93*G93)</f>
        <v/>
      </c>
      <c r="I93" s="37" t="n"/>
      <c r="J93" s="12">
        <f>IF(I93="","",D93*I93)</f>
        <v/>
      </c>
      <c r="K93" s="37">
        <f>IF(OR(H93="",J93="",E93=""),"",(H93+J93-E93)/D93)</f>
        <v/>
      </c>
      <c r="L93" s="12">
        <f>IF(OR(H93="",J93="",E93="",D93=""),"",IF((H93+J93-E93)&lt;=0,"N/A",D93/((H93+J93-E93)/12))</f>
        <v/>
      </c>
      <c r="M93" s="11" t="n"/>
    </row>
    <row r="94" ht="22" customHeight="1">
      <c r="B94" s="17">
        <f>IF(C94="","ROI-"&amp;TEXT(COUNTA($C$5:C94),"000"))</f>
        <v/>
      </c>
      <c r="C94" s="14" t="n"/>
      <c r="D94" s="15" t="n"/>
      <c r="E94" s="15" t="n"/>
      <c r="F94" s="15" t="n"/>
      <c r="G94" s="15" t="n"/>
      <c r="H94" s="15">
        <f>IF(OR(F94="",G94=""),"",F94*G94)</f>
        <v/>
      </c>
      <c r="I94" s="39" t="n"/>
      <c r="J94" s="15">
        <f>IF(I94="","",D94*I94)</f>
        <v/>
      </c>
      <c r="K94" s="39">
        <f>IF(OR(H94="",J94="",E94=""),"",(H94+J94-E94)/D94)</f>
        <v/>
      </c>
      <c r="L94" s="15">
        <f>IF(OR(H94="",J94="",E94="",D94=""),"",IF((H94+J94-E94)&lt;=0,"N/A",D94/((H94+J94-E94)/12))</f>
        <v/>
      </c>
      <c r="M94" s="14" t="n"/>
    </row>
    <row r="95" ht="22" customHeight="1">
      <c r="B95" s="18">
        <f>IF(C95="","ROI-"&amp;TEXT(COUNTA($C$5:C95),"000"))</f>
        <v/>
      </c>
      <c r="C95" s="11" t="n"/>
      <c r="D95" s="12" t="n"/>
      <c r="E95" s="12" t="n"/>
      <c r="F95" s="12" t="n"/>
      <c r="G95" s="12" t="n"/>
      <c r="H95" s="12">
        <f>IF(OR(F95="",G95=""),"",F95*G95)</f>
        <v/>
      </c>
      <c r="I95" s="37" t="n"/>
      <c r="J95" s="12">
        <f>IF(I95="","",D95*I95)</f>
        <v/>
      </c>
      <c r="K95" s="37">
        <f>IF(OR(H95="",J95="",E95=""),"",(H95+J95-E95)/D95)</f>
        <v/>
      </c>
      <c r="L95" s="12">
        <f>IF(OR(H95="",J95="",E95="",D95=""),"",IF((H95+J95-E95)&lt;=0,"N/A",D95/((H95+J95-E95)/12))</f>
        <v/>
      </c>
      <c r="M95" s="11" t="n"/>
    </row>
    <row r="96" ht="22" customHeight="1">
      <c r="B96" s="17">
        <f>IF(C96="","ROI-"&amp;TEXT(COUNTA($C$5:C96),"000"))</f>
        <v/>
      </c>
      <c r="C96" s="14" t="n"/>
      <c r="D96" s="15" t="n"/>
      <c r="E96" s="15" t="n"/>
      <c r="F96" s="15" t="n"/>
      <c r="G96" s="15" t="n"/>
      <c r="H96" s="15">
        <f>IF(OR(F96="",G96=""),"",F96*G96)</f>
        <v/>
      </c>
      <c r="I96" s="39" t="n"/>
      <c r="J96" s="15">
        <f>IF(I96="","",D96*I96)</f>
        <v/>
      </c>
      <c r="K96" s="39">
        <f>IF(OR(H96="",J96="",E96=""),"",(H96+J96-E96)/D96)</f>
        <v/>
      </c>
      <c r="L96" s="15">
        <f>IF(OR(H96="",J96="",E96="",D96=""),"",IF((H96+J96-E96)&lt;=0,"N/A",D96/((H96+J96-E96)/12))</f>
        <v/>
      </c>
      <c r="M96" s="14" t="n"/>
    </row>
    <row r="97" ht="22" customHeight="1">
      <c r="B97" s="18">
        <f>IF(C97="","ROI-"&amp;TEXT(COUNTA($C$5:C97),"000"))</f>
        <v/>
      </c>
      <c r="C97" s="11" t="n"/>
      <c r="D97" s="12" t="n"/>
      <c r="E97" s="12" t="n"/>
      <c r="F97" s="12" t="n"/>
      <c r="G97" s="12" t="n"/>
      <c r="H97" s="12">
        <f>IF(OR(F97="",G97=""),"",F97*G97)</f>
        <v/>
      </c>
      <c r="I97" s="37" t="n"/>
      <c r="J97" s="12">
        <f>IF(I97="","",D97*I97)</f>
        <v/>
      </c>
      <c r="K97" s="37">
        <f>IF(OR(H97="",J97="",E97=""),"",(H97+J97-E97)/D97)</f>
        <v/>
      </c>
      <c r="L97" s="12">
        <f>IF(OR(H97="",J97="",E97="",D97=""),"",IF((H97+J97-E97)&lt;=0,"N/A",D97/((H97+J97-E97)/12))</f>
        <v/>
      </c>
      <c r="M97" s="11" t="n"/>
    </row>
    <row r="98" ht="22" customHeight="1">
      <c r="B98" s="17">
        <f>IF(C98="","ROI-"&amp;TEXT(COUNTA($C$5:C98),"000"))</f>
        <v/>
      </c>
      <c r="C98" s="14" t="n"/>
      <c r="D98" s="15" t="n"/>
      <c r="E98" s="15" t="n"/>
      <c r="F98" s="15" t="n"/>
      <c r="G98" s="15" t="n"/>
      <c r="H98" s="15">
        <f>IF(OR(F98="",G98=""),"",F98*G98)</f>
        <v/>
      </c>
      <c r="I98" s="39" t="n"/>
      <c r="J98" s="15">
        <f>IF(I98="","",D98*I98)</f>
        <v/>
      </c>
      <c r="K98" s="39">
        <f>IF(OR(H98="",J98="",E98=""),"",(H98+J98-E98)/D98)</f>
        <v/>
      </c>
      <c r="L98" s="15">
        <f>IF(OR(H98="",J98="",E98="",D98=""),"",IF((H98+J98-E98)&lt;=0,"N/A",D98/((H98+J98-E98)/12))</f>
        <v/>
      </c>
      <c r="M98" s="14" t="n"/>
    </row>
    <row r="99" ht="22" customHeight="1">
      <c r="B99" s="18">
        <f>IF(C99="","ROI-"&amp;TEXT(COUNTA($C$5:C99),"000"))</f>
        <v/>
      </c>
      <c r="C99" s="11" t="n"/>
      <c r="D99" s="12" t="n"/>
      <c r="E99" s="12" t="n"/>
      <c r="F99" s="12" t="n"/>
      <c r="G99" s="12" t="n"/>
      <c r="H99" s="12">
        <f>IF(OR(F99="",G99=""),"",F99*G99)</f>
        <v/>
      </c>
      <c r="I99" s="37" t="n"/>
      <c r="J99" s="12">
        <f>IF(I99="","",D99*I99)</f>
        <v/>
      </c>
      <c r="K99" s="37">
        <f>IF(OR(H99="",J99="",E99=""),"",(H99+J99-E99)/D99)</f>
        <v/>
      </c>
      <c r="L99" s="12">
        <f>IF(OR(H99="",J99="",E99="",D99=""),"",IF((H99+J99-E99)&lt;=0,"N/A",D99/((H99+J99-E99)/12))</f>
        <v/>
      </c>
      <c r="M99" s="11" t="n"/>
    </row>
    <row r="100" ht="22" customHeight="1">
      <c r="B100" s="17">
        <f>IF(C100="","ROI-"&amp;TEXT(COUNTA($C$5:C100),"000"))</f>
        <v/>
      </c>
      <c r="C100" s="14" t="n"/>
      <c r="D100" s="15" t="n"/>
      <c r="E100" s="15" t="n"/>
      <c r="F100" s="15" t="n"/>
      <c r="G100" s="15" t="n"/>
      <c r="H100" s="15">
        <f>IF(OR(F100="",G100=""),"",F100*G100)</f>
        <v/>
      </c>
      <c r="I100" s="39" t="n"/>
      <c r="J100" s="15">
        <f>IF(I100="","",D100*I100)</f>
        <v/>
      </c>
      <c r="K100" s="39">
        <f>IF(OR(H100="",J100="",E100=""),"",(H100+J100-E100)/D100)</f>
        <v/>
      </c>
      <c r="L100" s="15">
        <f>IF(OR(H100="",J100="",E100="",D100=""),"",IF((H100+J100-E100)&lt;=0,"N/A",D100/((H100+J100-E100)/12))</f>
        <v/>
      </c>
      <c r="M100" s="14" t="n"/>
    </row>
    <row r="101" ht="22" customHeight="1">
      <c r="B101" s="18">
        <f>IF(C101="","ROI-"&amp;TEXT(COUNTA($C$5:C101),"000"))</f>
        <v/>
      </c>
      <c r="C101" s="11" t="n"/>
      <c r="D101" s="12" t="n"/>
      <c r="E101" s="12" t="n"/>
      <c r="F101" s="12" t="n"/>
      <c r="G101" s="12" t="n"/>
      <c r="H101" s="12">
        <f>IF(OR(F101="",G101=""),"",F101*G101)</f>
        <v/>
      </c>
      <c r="I101" s="37" t="n"/>
      <c r="J101" s="12">
        <f>IF(I101="","",D101*I101)</f>
        <v/>
      </c>
      <c r="K101" s="37">
        <f>IF(OR(H101="",J101="",E101=""),"",(H101+J101-E101)/D101)</f>
        <v/>
      </c>
      <c r="L101" s="12">
        <f>IF(OR(H101="",J101="",E101="",D101=""),"",IF((H101+J101-E101)&lt;=0,"N/A",D101/((H101+J101-E101)/12))</f>
        <v/>
      </c>
      <c r="M101" s="11" t="n"/>
    </row>
    <row r="102" ht="22" customHeight="1">
      <c r="B102" s="17">
        <f>IF(C102="","ROI-"&amp;TEXT(COUNTA($C$5:C102),"000"))</f>
        <v/>
      </c>
      <c r="C102" s="14" t="n"/>
      <c r="D102" s="15" t="n"/>
      <c r="E102" s="15" t="n"/>
      <c r="F102" s="15" t="n"/>
      <c r="G102" s="15" t="n"/>
      <c r="H102" s="15">
        <f>IF(OR(F102="",G102=""),"",F102*G102)</f>
        <v/>
      </c>
      <c r="I102" s="39" t="n"/>
      <c r="J102" s="15">
        <f>IF(I102="","",D102*I102)</f>
        <v/>
      </c>
      <c r="K102" s="39">
        <f>IF(OR(H102="",J102="",E102=""),"",(H102+J102-E102)/D102)</f>
        <v/>
      </c>
      <c r="L102" s="15">
        <f>IF(OR(H102="",J102="",E102="",D102=""),"",IF((H102+J102-E102)&lt;=0,"N/A",D102/((H102+J102-E102)/12))</f>
        <v/>
      </c>
      <c r="M102" s="14" t="n"/>
    </row>
    <row r="103" ht="22" customHeight="1">
      <c r="B103" s="18">
        <f>IF(C103="","ROI-"&amp;TEXT(COUNTA($C$5:C103),"000"))</f>
        <v/>
      </c>
      <c r="C103" s="11" t="n"/>
      <c r="D103" s="12" t="n"/>
      <c r="E103" s="12" t="n"/>
      <c r="F103" s="12" t="n"/>
      <c r="G103" s="12" t="n"/>
      <c r="H103" s="12">
        <f>IF(OR(F103="",G103=""),"",F103*G103)</f>
        <v/>
      </c>
      <c r="I103" s="37" t="n"/>
      <c r="J103" s="12">
        <f>IF(I103="","",D103*I103)</f>
        <v/>
      </c>
      <c r="K103" s="37">
        <f>IF(OR(H103="",J103="",E103=""),"",(H103+J103-E103)/D103)</f>
        <v/>
      </c>
      <c r="L103" s="12">
        <f>IF(OR(H103="",J103="",E103="",D103=""),"",IF((H103+J103-E103)&lt;=0,"N/A",D103/((H103+J103-E103)/12))</f>
        <v/>
      </c>
      <c r="M103" s="11" t="n"/>
    </row>
    <row r="104" ht="22" customHeight="1">
      <c r="B104" s="17">
        <f>IF(C104="","ROI-"&amp;TEXT(COUNTA($C$5:C104),"000"))</f>
        <v/>
      </c>
      <c r="C104" s="14" t="n"/>
      <c r="D104" s="15" t="n"/>
      <c r="E104" s="15" t="n"/>
      <c r="F104" s="15" t="n"/>
      <c r="G104" s="15" t="n"/>
      <c r="H104" s="15">
        <f>IF(OR(F104="",G104=""),"",F104*G104)</f>
        <v/>
      </c>
      <c r="I104" s="39" t="n"/>
      <c r="J104" s="15">
        <f>IF(I104="","",D104*I104)</f>
        <v/>
      </c>
      <c r="K104" s="39">
        <f>IF(OR(H104="",J104="",E104=""),"",(H104+J104-E104)/D104)</f>
        <v/>
      </c>
      <c r="L104" s="15">
        <f>IF(OR(H104="",J104="",E104="",D104=""),"",IF((H104+J104-E104)&lt;=0,"N/A",D104/((H104+J104-E104)/12))</f>
        <v/>
      </c>
      <c r="M104" s="14" t="n"/>
    </row>
    <row r="105" ht="22" customHeight="1">
      <c r="B105" s="18">
        <f>IF(C105="","ROI-"&amp;TEXT(COUNTA($C$5:C105),"000"))</f>
        <v/>
      </c>
      <c r="C105" s="11" t="n"/>
      <c r="D105" s="12" t="n"/>
      <c r="E105" s="12" t="n"/>
      <c r="F105" s="12" t="n"/>
      <c r="G105" s="12" t="n"/>
      <c r="H105" s="12">
        <f>IF(OR(F105="",G105=""),"",F105*G105)</f>
        <v/>
      </c>
      <c r="I105" s="37" t="n"/>
      <c r="J105" s="12">
        <f>IF(I105="","",D105*I105)</f>
        <v/>
      </c>
      <c r="K105" s="37">
        <f>IF(OR(H105="",J105="",E105=""),"",(H105+J105-E105)/D105)</f>
        <v/>
      </c>
      <c r="L105" s="12">
        <f>IF(OR(H105="",J105="",E105="",D105=""),"",IF((H105+J105-E105)&lt;=0,"N/A",D105/((H105+J105-E105)/12))</f>
        <v/>
      </c>
      <c r="M105" s="11" t="n"/>
    </row>
    <row r="106" ht="22" customHeight="1">
      <c r="B106" s="17">
        <f>IF(C106="","ROI-"&amp;TEXT(COUNTA($C$5:C106),"000"))</f>
        <v/>
      </c>
      <c r="C106" s="14" t="n"/>
      <c r="D106" s="15" t="n"/>
      <c r="E106" s="15" t="n"/>
      <c r="F106" s="15" t="n"/>
      <c r="G106" s="15" t="n"/>
      <c r="H106" s="15">
        <f>IF(OR(F106="",G106=""),"",F106*G106)</f>
        <v/>
      </c>
      <c r="I106" s="39" t="n"/>
      <c r="J106" s="15">
        <f>IF(I106="","",D106*I106)</f>
        <v/>
      </c>
      <c r="K106" s="39">
        <f>IF(OR(H106="",J106="",E106=""),"",(H106+J106-E106)/D106)</f>
        <v/>
      </c>
      <c r="L106" s="15">
        <f>IF(OR(H106="",J106="",E106="",D106=""),"",IF((H106+J106-E106)&lt;=0,"N/A",D106/((H106+J106-E106)/12))</f>
        <v/>
      </c>
      <c r="M106" s="14" t="n"/>
    </row>
    <row r="107" ht="22" customHeight="1">
      <c r="B107" s="18">
        <f>IF(C107="","ROI-"&amp;TEXT(COUNTA($C$5:C107),"000"))</f>
        <v/>
      </c>
      <c r="C107" s="11" t="n"/>
      <c r="D107" s="12" t="n"/>
      <c r="E107" s="12" t="n"/>
      <c r="F107" s="12" t="n"/>
      <c r="G107" s="12" t="n"/>
      <c r="H107" s="12">
        <f>IF(OR(F107="",G107=""),"",F107*G107)</f>
        <v/>
      </c>
      <c r="I107" s="37" t="n"/>
      <c r="J107" s="12">
        <f>IF(I107="","",D107*I107)</f>
        <v/>
      </c>
      <c r="K107" s="37">
        <f>IF(OR(H107="",J107="",E107=""),"",(H107+J107-E107)/D107)</f>
        <v/>
      </c>
      <c r="L107" s="12">
        <f>IF(OR(H107="",J107="",E107="",D107=""),"",IF((H107+J107-E107)&lt;=0,"N/A",D107/((H107+J107-E107)/12))</f>
        <v/>
      </c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Outils analyses ROI</t>
        </is>
      </c>
      <c r="D110" s="3" t="inlineStr">
        <is>
          <t>Investissement total</t>
        </is>
      </c>
      <c r="F110" s="3" t="inlineStr">
        <is>
          <t>ROI moyen (%)</t>
        </is>
      </c>
    </row>
    <row r="111">
      <c r="B111" s="4">
        <f>COUNTIF(B5:B104,"&lt;&gt;")</f>
        <v/>
      </c>
      <c r="D111" s="4">
        <f>SUM(D5:D104)</f>
        <v/>
      </c>
      <c r="F111" s="4">
        <f>IFERROR(AVERAGE(K5:K104),0)</f>
        <v/>
      </c>
    </row>
  </sheetData>
  <mergeCells count="3">
    <mergeCell ref="B3:M3"/>
    <mergeCell ref="B2:M2"/>
    <mergeCell ref="B109:M109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conditionalFormatting sqref="M8:M107">
    <cfRule type="expression" priority="12" dxfId="3">
      <formula>AND($C8="",$C7&lt;&gt;"")</formula>
    </cfRule>
  </conditionalFormatting>
  <conditionalFormatting sqref="K5:K104">
    <cfRule type="dataBar" priority="13">
      <dataBar>
        <cfvo type="num" val="-1"/>
        <cfvo type="num" val="2"/>
        <color rgb="004472C4"/>
      </dataBar>
    </cfRule>
  </conditionalFormatting>
  <conditionalFormatting sqref="L5:L104">
    <cfRule type="dataBar" priority="14">
      <dataBar>
        <cfvo type="num" val="0"/>
        <cfvo type="num" val="24"/>
        <color rgb="00ED7D31"/>
      </dataBar>
    </cfRule>
  </conditionalFormatting>
  <dataValidations count="1">
    <dataValidation sqref="N5:N104" showDropDown="0" showInputMessage="0" showErrorMessage="0" allowBlank="1" promptTitle="Catégorie" prompt="Choisir la categorie" type="list">
      <formula1>'_Lists'!$T$2:$T$10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4" customWidth="1" min="4" max="4"/>
    <col width="22" customWidth="1" min="5" max="5"/>
    <col width="24" customWidth="1" min="6" max="6"/>
    <col width="20" customWidth="1" min="7" max="7"/>
    <col width="24" customWidth="1" min="8" max="8"/>
    <col width="24" customWidth="1" min="9" max="9"/>
    <col width="22" customWidth="1" min="10" max="10"/>
    <col width="24" customWidth="1" min="11" max="11"/>
    <col width="36" customWidth="1" min="12" max="12"/>
  </cols>
  <sheetData>
    <row r="1" ht="15" customHeight="1"/>
    <row r="2" ht="32" customHeight="1">
      <c r="B2" s="1" t="inlineStr">
        <is>
          <t>SUIVI ADOPTION OUTILS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Outil / Solution</t>
        </is>
      </c>
      <c r="D4" s="10" t="inlineStr">
        <is>
          <t>Population Cible</t>
        </is>
      </c>
      <c r="E4" s="10" t="inlineStr">
        <is>
          <t>Nb Utilisateurs Actifs</t>
        </is>
      </c>
      <c r="F4" s="10" t="inlineStr">
        <is>
          <t>Population Cible (Nb)</t>
        </is>
      </c>
      <c r="G4" s="10" t="inlineStr">
        <is>
          <t>Taux Adoption (%)</t>
        </is>
      </c>
      <c r="H4" s="10" t="inlineStr">
        <is>
          <t>Nb Formations Realisees</t>
        </is>
      </c>
      <c r="I4" s="10" t="inlineStr">
        <is>
          <t>Nb Tickets Support / Mois</t>
        </is>
      </c>
      <c r="J4" s="10" t="inlineStr">
        <is>
          <t>Satisfaction Moyenne</t>
        </is>
      </c>
      <c r="K4" s="10" t="inlineStr">
        <is>
          <t>Statut Adoption</t>
        </is>
      </c>
      <c r="L4" s="10" t="inlineStr">
        <is>
          <t>Observations</t>
        </is>
      </c>
    </row>
    <row r="5" ht="22" customHeight="1">
      <c r="B5" s="11" t="inlineStr">
        <is>
          <t>ADO-001</t>
        </is>
      </c>
      <c r="C5" s="11" t="inlineStr">
        <is>
          <t>SIRH HotelPro</t>
        </is>
      </c>
      <c r="D5" s="11" t="inlineStr">
        <is>
          <t>Cadres &amp; RH</t>
        </is>
      </c>
      <c r="E5" s="12" t="n">
        <v>12</v>
      </c>
      <c r="F5" s="12" t="n">
        <v>15</v>
      </c>
      <c r="G5" s="37" t="n"/>
      <c r="H5" s="12" t="n">
        <v>4</v>
      </c>
      <c r="I5" s="12" t="n">
        <v>8</v>
      </c>
      <c r="J5" s="33" t="n">
        <v>3.8</v>
      </c>
      <c r="K5" s="11" t="inlineStr">
        <is>
          <t>Maitrise</t>
        </is>
      </c>
      <c r="L5" s="11" t="inlineStr">
        <is>
          <t>Bonne adoption, quelques resistances</t>
        </is>
      </c>
    </row>
    <row r="6" ht="22" customHeight="1">
      <c r="B6" s="14" t="inlineStr">
        <is>
          <t>ADO-002</t>
        </is>
      </c>
      <c r="C6" s="14" t="inlineStr">
        <is>
          <t>Lucca Paie</t>
        </is>
      </c>
      <c r="D6" s="14" t="inlineStr">
        <is>
          <t>Finance &amp; RH</t>
        </is>
      </c>
      <c r="E6" s="15" t="n">
        <v>5</v>
      </c>
      <c r="F6" s="15" t="n">
        <v>8</v>
      </c>
      <c r="G6" s="39" t="n"/>
      <c r="H6" s="15" t="n">
        <v>2</v>
      </c>
      <c r="I6" s="15" t="n">
        <v>3</v>
      </c>
      <c r="J6" s="35" t="n">
        <v>4.2</v>
      </c>
      <c r="K6" s="14" t="inlineStr">
        <is>
          <t>Adopte</t>
        </is>
      </c>
      <c r="L6" s="14" t="inlineStr">
        <is>
          <t>Formation complementaire planifiee</t>
        </is>
      </c>
    </row>
    <row r="7" ht="22" customHeight="1">
      <c r="B7" s="11" t="inlineStr">
        <is>
          <t>ADO-003</t>
        </is>
      </c>
      <c r="C7" s="11" t="inlineStr">
        <is>
          <t>HotelApp RH</t>
        </is>
      </c>
      <c r="D7" s="11" t="inlineStr">
        <is>
          <t>Tous les employes</t>
        </is>
      </c>
      <c r="E7" s="12" t="n">
        <v>145</v>
      </c>
      <c r="F7" s="12" t="n">
        <v>200</v>
      </c>
      <c r="G7" s="37" t="n"/>
      <c r="H7" s="12" t="n">
        <v>6</v>
      </c>
      <c r="I7" s="12" t="n">
        <v>15</v>
      </c>
      <c r="J7" s="33" t="n">
        <v>3.5</v>
      </c>
      <c r="K7" s="11" t="inlineStr">
        <is>
          <t>En cours d'adoption</t>
        </is>
      </c>
      <c r="L7" s="11" t="inlineStr">
        <is>
          <t>Campagne communication lancee</t>
        </is>
      </c>
    </row>
    <row r="8" ht="22" customHeight="1">
      <c r="B8" s="17">
        <f>IF(C8="","ADO-"&amp;TEXT(COUNTA($C$5:C8),"000"))</f>
        <v/>
      </c>
      <c r="C8" s="14" t="n"/>
      <c r="D8" s="14" t="n"/>
      <c r="E8" s="15" t="n"/>
      <c r="F8" s="15" t="n"/>
      <c r="G8" s="39">
        <f>IF(F8="","",E8/F8)</f>
        <v/>
      </c>
      <c r="H8" s="15" t="n"/>
      <c r="I8" s="15" t="n"/>
      <c r="J8" s="35" t="n"/>
      <c r="K8" s="14" t="n"/>
      <c r="L8" s="14" t="n"/>
    </row>
    <row r="9" ht="22" customHeight="1">
      <c r="B9" s="18">
        <f>IF(C9="","ADO-"&amp;TEXT(COUNTA($C$5:C9),"000"))</f>
        <v/>
      </c>
      <c r="C9" s="11" t="n"/>
      <c r="D9" s="11" t="n"/>
      <c r="E9" s="12" t="n"/>
      <c r="F9" s="12" t="n"/>
      <c r="G9" s="37">
        <f>IF(F9="","",E9/F9)</f>
        <v/>
      </c>
      <c r="H9" s="12" t="n"/>
      <c r="I9" s="12" t="n"/>
      <c r="J9" s="33" t="n"/>
      <c r="K9" s="11" t="n"/>
      <c r="L9" s="11" t="n"/>
    </row>
    <row r="10" ht="22" customHeight="1">
      <c r="B10" s="17">
        <f>IF(C10="","ADO-"&amp;TEXT(COUNTA($C$5:C10),"000"))</f>
        <v/>
      </c>
      <c r="C10" s="14" t="n"/>
      <c r="D10" s="14" t="n"/>
      <c r="E10" s="15" t="n"/>
      <c r="F10" s="15" t="n"/>
      <c r="G10" s="39">
        <f>IF(F10="","",E10/F10)</f>
        <v/>
      </c>
      <c r="H10" s="15" t="n"/>
      <c r="I10" s="15" t="n"/>
      <c r="J10" s="35" t="n"/>
      <c r="K10" s="14" t="n"/>
      <c r="L10" s="14" t="n"/>
    </row>
    <row r="11" ht="22" customHeight="1">
      <c r="B11" s="18">
        <f>IF(C11="","ADO-"&amp;TEXT(COUNTA($C$5:C11),"000"))</f>
        <v/>
      </c>
      <c r="C11" s="11" t="n"/>
      <c r="D11" s="11" t="n"/>
      <c r="E11" s="12" t="n"/>
      <c r="F11" s="12" t="n"/>
      <c r="G11" s="37">
        <f>IF(F11="","",E11/F11)</f>
        <v/>
      </c>
      <c r="H11" s="12" t="n"/>
      <c r="I11" s="12" t="n"/>
      <c r="J11" s="33" t="n"/>
      <c r="K11" s="11" t="n"/>
      <c r="L11" s="11" t="n"/>
    </row>
    <row r="12" ht="22" customHeight="1">
      <c r="B12" s="17">
        <f>IF(C12="","ADO-"&amp;TEXT(COUNTA($C$5:C12),"000"))</f>
        <v/>
      </c>
      <c r="C12" s="14" t="n"/>
      <c r="D12" s="14" t="n"/>
      <c r="E12" s="15" t="n"/>
      <c r="F12" s="15" t="n"/>
      <c r="G12" s="39">
        <f>IF(F12="","",E12/F12)</f>
        <v/>
      </c>
      <c r="H12" s="15" t="n"/>
      <c r="I12" s="15" t="n"/>
      <c r="J12" s="35" t="n"/>
      <c r="K12" s="14" t="n"/>
      <c r="L12" s="14" t="n"/>
    </row>
    <row r="13" ht="22" customHeight="1">
      <c r="B13" s="18">
        <f>IF(C13="","ADO-"&amp;TEXT(COUNTA($C$5:C13),"000"))</f>
        <v/>
      </c>
      <c r="C13" s="11" t="n"/>
      <c r="D13" s="11" t="n"/>
      <c r="E13" s="12" t="n"/>
      <c r="F13" s="12" t="n"/>
      <c r="G13" s="37">
        <f>IF(F13="","",E13/F13)</f>
        <v/>
      </c>
      <c r="H13" s="12" t="n"/>
      <c r="I13" s="12" t="n"/>
      <c r="J13" s="33" t="n"/>
      <c r="K13" s="11" t="n"/>
      <c r="L13" s="11" t="n"/>
    </row>
    <row r="14" ht="22" customHeight="1">
      <c r="B14" s="17">
        <f>IF(C14="","ADO-"&amp;TEXT(COUNTA($C$5:C14),"000"))</f>
        <v/>
      </c>
      <c r="C14" s="14" t="n"/>
      <c r="D14" s="14" t="n"/>
      <c r="E14" s="15" t="n"/>
      <c r="F14" s="15" t="n"/>
      <c r="G14" s="39">
        <f>IF(F14="","",E14/F14)</f>
        <v/>
      </c>
      <c r="H14" s="15" t="n"/>
      <c r="I14" s="15" t="n"/>
      <c r="J14" s="35" t="n"/>
      <c r="K14" s="14" t="n"/>
      <c r="L14" s="14" t="n"/>
    </row>
    <row r="15" ht="22" customHeight="1">
      <c r="B15" s="18">
        <f>IF(C15="","ADO-"&amp;TEXT(COUNTA($C$5:C15),"000"))</f>
        <v/>
      </c>
      <c r="C15" s="11" t="n"/>
      <c r="D15" s="11" t="n"/>
      <c r="E15" s="12" t="n"/>
      <c r="F15" s="12" t="n"/>
      <c r="G15" s="37">
        <f>IF(F15="","",E15/F15)</f>
        <v/>
      </c>
      <c r="H15" s="12" t="n"/>
      <c r="I15" s="12" t="n"/>
      <c r="J15" s="33" t="n"/>
      <c r="K15" s="11" t="n"/>
      <c r="L15" s="11" t="n"/>
    </row>
    <row r="16" ht="22" customHeight="1">
      <c r="B16" s="17">
        <f>IF(C16="","ADO-"&amp;TEXT(COUNTA($C$5:C16),"000"))</f>
        <v/>
      </c>
      <c r="C16" s="14" t="n"/>
      <c r="D16" s="14" t="n"/>
      <c r="E16" s="15" t="n"/>
      <c r="F16" s="15" t="n"/>
      <c r="G16" s="39">
        <f>IF(F16="","",E16/F16)</f>
        <v/>
      </c>
      <c r="H16" s="15" t="n"/>
      <c r="I16" s="15" t="n"/>
      <c r="J16" s="35" t="n"/>
      <c r="K16" s="14" t="n"/>
      <c r="L16" s="14" t="n"/>
    </row>
    <row r="17" ht="22" customHeight="1">
      <c r="B17" s="18">
        <f>IF(C17="","ADO-"&amp;TEXT(COUNTA($C$5:C17),"000"))</f>
        <v/>
      </c>
      <c r="C17" s="11" t="n"/>
      <c r="D17" s="11" t="n"/>
      <c r="E17" s="12" t="n"/>
      <c r="F17" s="12" t="n"/>
      <c r="G17" s="37">
        <f>IF(F17="","",E17/F17)</f>
        <v/>
      </c>
      <c r="H17" s="12" t="n"/>
      <c r="I17" s="12" t="n"/>
      <c r="J17" s="33" t="n"/>
      <c r="K17" s="11" t="n"/>
      <c r="L17" s="11" t="n"/>
    </row>
    <row r="18" ht="22" customHeight="1">
      <c r="B18" s="17">
        <f>IF(C18="","ADO-"&amp;TEXT(COUNTA($C$5:C18),"000"))</f>
        <v/>
      </c>
      <c r="C18" s="14" t="n"/>
      <c r="D18" s="14" t="n"/>
      <c r="E18" s="15" t="n"/>
      <c r="F18" s="15" t="n"/>
      <c r="G18" s="39">
        <f>IF(F18="","",E18/F18)</f>
        <v/>
      </c>
      <c r="H18" s="15" t="n"/>
      <c r="I18" s="15" t="n"/>
      <c r="J18" s="35" t="n"/>
      <c r="K18" s="14" t="n"/>
      <c r="L18" s="14" t="n"/>
    </row>
    <row r="19" ht="22" customHeight="1">
      <c r="B19" s="18">
        <f>IF(C19="","ADO-"&amp;TEXT(COUNTA($C$5:C19),"000"))</f>
        <v/>
      </c>
      <c r="C19" s="11" t="n"/>
      <c r="D19" s="11" t="n"/>
      <c r="E19" s="12" t="n"/>
      <c r="F19" s="12" t="n"/>
      <c r="G19" s="37">
        <f>IF(F19="","",E19/F19)</f>
        <v/>
      </c>
      <c r="H19" s="12" t="n"/>
      <c r="I19" s="12" t="n"/>
      <c r="J19" s="33" t="n"/>
      <c r="K19" s="11" t="n"/>
      <c r="L19" s="11" t="n"/>
    </row>
    <row r="20" ht="22" customHeight="1">
      <c r="B20" s="17">
        <f>IF(C20="","ADO-"&amp;TEXT(COUNTA($C$5:C20),"000"))</f>
        <v/>
      </c>
      <c r="C20" s="14" t="n"/>
      <c r="D20" s="14" t="n"/>
      <c r="E20" s="15" t="n"/>
      <c r="F20" s="15" t="n"/>
      <c r="G20" s="39">
        <f>IF(F20="","",E20/F20)</f>
        <v/>
      </c>
      <c r="H20" s="15" t="n"/>
      <c r="I20" s="15" t="n"/>
      <c r="J20" s="35" t="n"/>
      <c r="K20" s="14" t="n"/>
      <c r="L20" s="14" t="n"/>
    </row>
    <row r="21" ht="22" customHeight="1">
      <c r="B21" s="18">
        <f>IF(C21="","ADO-"&amp;TEXT(COUNTA($C$5:C21),"000"))</f>
        <v/>
      </c>
      <c r="C21" s="11" t="n"/>
      <c r="D21" s="11" t="n"/>
      <c r="E21" s="12" t="n"/>
      <c r="F21" s="12" t="n"/>
      <c r="G21" s="37">
        <f>IF(F21="","",E21/F21)</f>
        <v/>
      </c>
      <c r="H21" s="12" t="n"/>
      <c r="I21" s="12" t="n"/>
      <c r="J21" s="33" t="n"/>
      <c r="K21" s="11" t="n"/>
      <c r="L21" s="11" t="n"/>
    </row>
    <row r="22" ht="22" customHeight="1">
      <c r="B22" s="17">
        <f>IF(C22="","ADO-"&amp;TEXT(COUNTA($C$5:C22),"000"))</f>
        <v/>
      </c>
      <c r="C22" s="14" t="n"/>
      <c r="D22" s="14" t="n"/>
      <c r="E22" s="15" t="n"/>
      <c r="F22" s="15" t="n"/>
      <c r="G22" s="39">
        <f>IF(F22="","",E22/F22)</f>
        <v/>
      </c>
      <c r="H22" s="15" t="n"/>
      <c r="I22" s="15" t="n"/>
      <c r="J22" s="35" t="n"/>
      <c r="K22" s="14" t="n"/>
      <c r="L22" s="14" t="n"/>
    </row>
    <row r="23" ht="22" customHeight="1">
      <c r="B23" s="18">
        <f>IF(C23="","ADO-"&amp;TEXT(COUNTA($C$5:C23),"000"))</f>
        <v/>
      </c>
      <c r="C23" s="11" t="n"/>
      <c r="D23" s="11" t="n"/>
      <c r="E23" s="12" t="n"/>
      <c r="F23" s="12" t="n"/>
      <c r="G23" s="37">
        <f>IF(F23="","",E23/F23)</f>
        <v/>
      </c>
      <c r="H23" s="12" t="n"/>
      <c r="I23" s="12" t="n"/>
      <c r="J23" s="33" t="n"/>
      <c r="K23" s="11" t="n"/>
      <c r="L23" s="11" t="n"/>
    </row>
    <row r="24" ht="22" customHeight="1">
      <c r="B24" s="17">
        <f>IF(C24="","ADO-"&amp;TEXT(COUNTA($C$5:C24),"000"))</f>
        <v/>
      </c>
      <c r="C24" s="14" t="n"/>
      <c r="D24" s="14" t="n"/>
      <c r="E24" s="15" t="n"/>
      <c r="F24" s="15" t="n"/>
      <c r="G24" s="39">
        <f>IF(F24="","",E24/F24)</f>
        <v/>
      </c>
      <c r="H24" s="15" t="n"/>
      <c r="I24" s="15" t="n"/>
      <c r="J24" s="35" t="n"/>
      <c r="K24" s="14" t="n"/>
      <c r="L24" s="14" t="n"/>
    </row>
    <row r="25" ht="22" customHeight="1">
      <c r="B25" s="18">
        <f>IF(C25="","ADO-"&amp;TEXT(COUNTA($C$5:C25),"000"))</f>
        <v/>
      </c>
      <c r="C25" s="11" t="n"/>
      <c r="D25" s="11" t="n"/>
      <c r="E25" s="12" t="n"/>
      <c r="F25" s="12" t="n"/>
      <c r="G25" s="37">
        <f>IF(F25="","",E25/F25)</f>
        <v/>
      </c>
      <c r="H25" s="12" t="n"/>
      <c r="I25" s="12" t="n"/>
      <c r="J25" s="33" t="n"/>
      <c r="K25" s="11" t="n"/>
      <c r="L25" s="11" t="n"/>
    </row>
    <row r="26" ht="22" customHeight="1">
      <c r="B26" s="17">
        <f>IF(C26="","ADO-"&amp;TEXT(COUNTA($C$5:C26),"000"))</f>
        <v/>
      </c>
      <c r="C26" s="14" t="n"/>
      <c r="D26" s="14" t="n"/>
      <c r="E26" s="15" t="n"/>
      <c r="F26" s="15" t="n"/>
      <c r="G26" s="39">
        <f>IF(F26="","",E26/F26)</f>
        <v/>
      </c>
      <c r="H26" s="15" t="n"/>
      <c r="I26" s="15" t="n"/>
      <c r="J26" s="35" t="n"/>
      <c r="K26" s="14" t="n"/>
      <c r="L26" s="14" t="n"/>
    </row>
    <row r="27" ht="22" customHeight="1">
      <c r="B27" s="18">
        <f>IF(C27="","ADO-"&amp;TEXT(COUNTA($C$5:C27),"000"))</f>
        <v/>
      </c>
      <c r="C27" s="11" t="n"/>
      <c r="D27" s="11" t="n"/>
      <c r="E27" s="12" t="n"/>
      <c r="F27" s="12" t="n"/>
      <c r="G27" s="37">
        <f>IF(F27="","",E27/F27)</f>
        <v/>
      </c>
      <c r="H27" s="12" t="n"/>
      <c r="I27" s="12" t="n"/>
      <c r="J27" s="33" t="n"/>
      <c r="K27" s="11" t="n"/>
      <c r="L27" s="11" t="n"/>
    </row>
    <row r="28" ht="22" customHeight="1">
      <c r="B28" s="17">
        <f>IF(C28="","ADO-"&amp;TEXT(COUNTA($C$5:C28),"000"))</f>
        <v/>
      </c>
      <c r="C28" s="14" t="n"/>
      <c r="D28" s="14" t="n"/>
      <c r="E28" s="15" t="n"/>
      <c r="F28" s="15" t="n"/>
      <c r="G28" s="39">
        <f>IF(F28="","",E28/F28)</f>
        <v/>
      </c>
      <c r="H28" s="15" t="n"/>
      <c r="I28" s="15" t="n"/>
      <c r="J28" s="35" t="n"/>
      <c r="K28" s="14" t="n"/>
      <c r="L28" s="14" t="n"/>
    </row>
    <row r="29" ht="22" customHeight="1">
      <c r="B29" s="18">
        <f>IF(C29="","ADO-"&amp;TEXT(COUNTA($C$5:C29),"000"))</f>
        <v/>
      </c>
      <c r="C29" s="11" t="n"/>
      <c r="D29" s="11" t="n"/>
      <c r="E29" s="12" t="n"/>
      <c r="F29" s="12" t="n"/>
      <c r="G29" s="37">
        <f>IF(F29="","",E29/F29)</f>
        <v/>
      </c>
      <c r="H29" s="12" t="n"/>
      <c r="I29" s="12" t="n"/>
      <c r="J29" s="33" t="n"/>
      <c r="K29" s="11" t="n"/>
      <c r="L29" s="11" t="n"/>
    </row>
    <row r="30" ht="22" customHeight="1">
      <c r="B30" s="17">
        <f>IF(C30="","ADO-"&amp;TEXT(COUNTA($C$5:C30),"000"))</f>
        <v/>
      </c>
      <c r="C30" s="14" t="n"/>
      <c r="D30" s="14" t="n"/>
      <c r="E30" s="15" t="n"/>
      <c r="F30" s="15" t="n"/>
      <c r="G30" s="39">
        <f>IF(F30="","",E30/F30)</f>
        <v/>
      </c>
      <c r="H30" s="15" t="n"/>
      <c r="I30" s="15" t="n"/>
      <c r="J30" s="35" t="n"/>
      <c r="K30" s="14" t="n"/>
      <c r="L30" s="14" t="n"/>
    </row>
    <row r="31" ht="22" customHeight="1">
      <c r="B31" s="18">
        <f>IF(C31="","ADO-"&amp;TEXT(COUNTA($C$5:C31),"000"))</f>
        <v/>
      </c>
      <c r="C31" s="11" t="n"/>
      <c r="D31" s="11" t="n"/>
      <c r="E31" s="12" t="n"/>
      <c r="F31" s="12" t="n"/>
      <c r="G31" s="37">
        <f>IF(F31="","",E31/F31)</f>
        <v/>
      </c>
      <c r="H31" s="12" t="n"/>
      <c r="I31" s="12" t="n"/>
      <c r="J31" s="33" t="n"/>
      <c r="K31" s="11" t="n"/>
      <c r="L31" s="11" t="n"/>
    </row>
    <row r="32" ht="22" customHeight="1">
      <c r="B32" s="17">
        <f>IF(C32="","ADO-"&amp;TEXT(COUNTA($C$5:C32),"000"))</f>
        <v/>
      </c>
      <c r="C32" s="14" t="n"/>
      <c r="D32" s="14" t="n"/>
      <c r="E32" s="15" t="n"/>
      <c r="F32" s="15" t="n"/>
      <c r="G32" s="39">
        <f>IF(F32="","",E32/F32)</f>
        <v/>
      </c>
      <c r="H32" s="15" t="n"/>
      <c r="I32" s="15" t="n"/>
      <c r="J32" s="35" t="n"/>
      <c r="K32" s="14" t="n"/>
      <c r="L32" s="14" t="n"/>
    </row>
    <row r="33" ht="22" customHeight="1">
      <c r="B33" s="18">
        <f>IF(C33="","ADO-"&amp;TEXT(COUNTA($C$5:C33),"000"))</f>
        <v/>
      </c>
      <c r="C33" s="11" t="n"/>
      <c r="D33" s="11" t="n"/>
      <c r="E33" s="12" t="n"/>
      <c r="F33" s="12" t="n"/>
      <c r="G33" s="37">
        <f>IF(F33="","",E33/F33)</f>
        <v/>
      </c>
      <c r="H33" s="12" t="n"/>
      <c r="I33" s="12" t="n"/>
      <c r="J33" s="33" t="n"/>
      <c r="K33" s="11" t="n"/>
      <c r="L33" s="11" t="n"/>
    </row>
    <row r="34" ht="22" customHeight="1">
      <c r="B34" s="17">
        <f>IF(C34="","ADO-"&amp;TEXT(COUNTA($C$5:C34),"000"))</f>
        <v/>
      </c>
      <c r="C34" s="14" t="n"/>
      <c r="D34" s="14" t="n"/>
      <c r="E34" s="15" t="n"/>
      <c r="F34" s="15" t="n"/>
      <c r="G34" s="39">
        <f>IF(F34="","",E34/F34)</f>
        <v/>
      </c>
      <c r="H34" s="15" t="n"/>
      <c r="I34" s="15" t="n"/>
      <c r="J34" s="35" t="n"/>
      <c r="K34" s="14" t="n"/>
      <c r="L34" s="14" t="n"/>
    </row>
    <row r="35" ht="22" customHeight="1">
      <c r="B35" s="18">
        <f>IF(C35="","ADO-"&amp;TEXT(COUNTA($C$5:C35),"000"))</f>
        <v/>
      </c>
      <c r="C35" s="11" t="n"/>
      <c r="D35" s="11" t="n"/>
      <c r="E35" s="12" t="n"/>
      <c r="F35" s="12" t="n"/>
      <c r="G35" s="37">
        <f>IF(F35="","",E35/F35)</f>
        <v/>
      </c>
      <c r="H35" s="12" t="n"/>
      <c r="I35" s="12" t="n"/>
      <c r="J35" s="33" t="n"/>
      <c r="K35" s="11" t="n"/>
      <c r="L35" s="11" t="n"/>
    </row>
    <row r="36" ht="22" customHeight="1">
      <c r="B36" s="17">
        <f>IF(C36="","ADO-"&amp;TEXT(COUNTA($C$5:C36),"000"))</f>
        <v/>
      </c>
      <c r="C36" s="14" t="n"/>
      <c r="D36" s="14" t="n"/>
      <c r="E36" s="15" t="n"/>
      <c r="F36" s="15" t="n"/>
      <c r="G36" s="39">
        <f>IF(F36="","",E36/F36)</f>
        <v/>
      </c>
      <c r="H36" s="15" t="n"/>
      <c r="I36" s="15" t="n"/>
      <c r="J36" s="35" t="n"/>
      <c r="K36" s="14" t="n"/>
      <c r="L36" s="14" t="n"/>
    </row>
    <row r="37" ht="22" customHeight="1">
      <c r="B37" s="18">
        <f>IF(C37="","ADO-"&amp;TEXT(COUNTA($C$5:C37),"000"))</f>
        <v/>
      </c>
      <c r="C37" s="11" t="n"/>
      <c r="D37" s="11" t="n"/>
      <c r="E37" s="12" t="n"/>
      <c r="F37" s="12" t="n"/>
      <c r="G37" s="37">
        <f>IF(F37="","",E37/F37)</f>
        <v/>
      </c>
      <c r="H37" s="12" t="n"/>
      <c r="I37" s="12" t="n"/>
      <c r="J37" s="33" t="n"/>
      <c r="K37" s="11" t="n"/>
      <c r="L37" s="11" t="n"/>
    </row>
    <row r="38" ht="22" customHeight="1">
      <c r="B38" s="17">
        <f>IF(C38="","ADO-"&amp;TEXT(COUNTA($C$5:C38),"000"))</f>
        <v/>
      </c>
      <c r="C38" s="14" t="n"/>
      <c r="D38" s="14" t="n"/>
      <c r="E38" s="15" t="n"/>
      <c r="F38" s="15" t="n"/>
      <c r="G38" s="39">
        <f>IF(F38="","",E38/F38)</f>
        <v/>
      </c>
      <c r="H38" s="15" t="n"/>
      <c r="I38" s="15" t="n"/>
      <c r="J38" s="35" t="n"/>
      <c r="K38" s="14" t="n"/>
      <c r="L38" s="14" t="n"/>
    </row>
    <row r="39" ht="22" customHeight="1">
      <c r="B39" s="18">
        <f>IF(C39="","ADO-"&amp;TEXT(COUNTA($C$5:C39),"000"))</f>
        <v/>
      </c>
      <c r="C39" s="11" t="n"/>
      <c r="D39" s="11" t="n"/>
      <c r="E39" s="12" t="n"/>
      <c r="F39" s="12" t="n"/>
      <c r="G39" s="37">
        <f>IF(F39="","",E39/F39)</f>
        <v/>
      </c>
      <c r="H39" s="12" t="n"/>
      <c r="I39" s="12" t="n"/>
      <c r="J39" s="33" t="n"/>
      <c r="K39" s="11" t="n"/>
      <c r="L39" s="11" t="n"/>
    </row>
    <row r="40" ht="22" customHeight="1">
      <c r="B40" s="17">
        <f>IF(C40="","ADO-"&amp;TEXT(COUNTA($C$5:C40),"000"))</f>
        <v/>
      </c>
      <c r="C40" s="14" t="n"/>
      <c r="D40" s="14" t="n"/>
      <c r="E40" s="15" t="n"/>
      <c r="F40" s="15" t="n"/>
      <c r="G40" s="39">
        <f>IF(F40="","",E40/F40)</f>
        <v/>
      </c>
      <c r="H40" s="15" t="n"/>
      <c r="I40" s="15" t="n"/>
      <c r="J40" s="35" t="n"/>
      <c r="K40" s="14" t="n"/>
      <c r="L40" s="14" t="n"/>
    </row>
    <row r="41" ht="22" customHeight="1">
      <c r="B41" s="18">
        <f>IF(C41="","ADO-"&amp;TEXT(COUNTA($C$5:C41),"000"))</f>
        <v/>
      </c>
      <c r="C41" s="11" t="n"/>
      <c r="D41" s="11" t="n"/>
      <c r="E41" s="12" t="n"/>
      <c r="F41" s="12" t="n"/>
      <c r="G41" s="37">
        <f>IF(F41="","",E41/F41)</f>
        <v/>
      </c>
      <c r="H41" s="12" t="n"/>
      <c r="I41" s="12" t="n"/>
      <c r="J41" s="33" t="n"/>
      <c r="K41" s="11" t="n"/>
      <c r="L41" s="11" t="n"/>
    </row>
    <row r="42" ht="22" customHeight="1">
      <c r="B42" s="17">
        <f>IF(C42="","ADO-"&amp;TEXT(COUNTA($C$5:C42),"000"))</f>
        <v/>
      </c>
      <c r="C42" s="14" t="n"/>
      <c r="D42" s="14" t="n"/>
      <c r="E42" s="15" t="n"/>
      <c r="F42" s="15" t="n"/>
      <c r="G42" s="39">
        <f>IF(F42="","",E42/F42)</f>
        <v/>
      </c>
      <c r="H42" s="15" t="n"/>
      <c r="I42" s="15" t="n"/>
      <c r="J42" s="35" t="n"/>
      <c r="K42" s="14" t="n"/>
      <c r="L42" s="14" t="n"/>
    </row>
    <row r="43" ht="22" customHeight="1">
      <c r="B43" s="18">
        <f>IF(C43="","ADO-"&amp;TEXT(COUNTA($C$5:C43),"000"))</f>
        <v/>
      </c>
      <c r="C43" s="11" t="n"/>
      <c r="D43" s="11" t="n"/>
      <c r="E43" s="12" t="n"/>
      <c r="F43" s="12" t="n"/>
      <c r="G43" s="37">
        <f>IF(F43="","",E43/F43)</f>
        <v/>
      </c>
      <c r="H43" s="12" t="n"/>
      <c r="I43" s="12" t="n"/>
      <c r="J43" s="33" t="n"/>
      <c r="K43" s="11" t="n"/>
      <c r="L43" s="11" t="n"/>
    </row>
    <row r="44" ht="22" customHeight="1">
      <c r="B44" s="17">
        <f>IF(C44="","ADO-"&amp;TEXT(COUNTA($C$5:C44),"000"))</f>
        <v/>
      </c>
      <c r="C44" s="14" t="n"/>
      <c r="D44" s="14" t="n"/>
      <c r="E44" s="15" t="n"/>
      <c r="F44" s="15" t="n"/>
      <c r="G44" s="39">
        <f>IF(F44="","",E44/F44)</f>
        <v/>
      </c>
      <c r="H44" s="15" t="n"/>
      <c r="I44" s="15" t="n"/>
      <c r="J44" s="35" t="n"/>
      <c r="K44" s="14" t="n"/>
      <c r="L44" s="14" t="n"/>
    </row>
    <row r="45" ht="22" customHeight="1">
      <c r="B45" s="18">
        <f>IF(C45="","ADO-"&amp;TEXT(COUNTA($C$5:C45),"000"))</f>
        <v/>
      </c>
      <c r="C45" s="11" t="n"/>
      <c r="D45" s="11" t="n"/>
      <c r="E45" s="12" t="n"/>
      <c r="F45" s="12" t="n"/>
      <c r="G45" s="37">
        <f>IF(F45="","",E45/F45)</f>
        <v/>
      </c>
      <c r="H45" s="12" t="n"/>
      <c r="I45" s="12" t="n"/>
      <c r="J45" s="33" t="n"/>
      <c r="K45" s="11" t="n"/>
      <c r="L45" s="11" t="n"/>
    </row>
    <row r="46" ht="22" customHeight="1">
      <c r="B46" s="17">
        <f>IF(C46="","ADO-"&amp;TEXT(COUNTA($C$5:C46),"000"))</f>
        <v/>
      </c>
      <c r="C46" s="14" t="n"/>
      <c r="D46" s="14" t="n"/>
      <c r="E46" s="15" t="n"/>
      <c r="F46" s="15" t="n"/>
      <c r="G46" s="39">
        <f>IF(F46="","",E46/F46)</f>
        <v/>
      </c>
      <c r="H46" s="15" t="n"/>
      <c r="I46" s="15" t="n"/>
      <c r="J46" s="35" t="n"/>
      <c r="K46" s="14" t="n"/>
      <c r="L46" s="14" t="n"/>
    </row>
    <row r="47" ht="22" customHeight="1">
      <c r="B47" s="18">
        <f>IF(C47="","ADO-"&amp;TEXT(COUNTA($C$5:C47),"000"))</f>
        <v/>
      </c>
      <c r="C47" s="11" t="n"/>
      <c r="D47" s="11" t="n"/>
      <c r="E47" s="12" t="n"/>
      <c r="F47" s="12" t="n"/>
      <c r="G47" s="37">
        <f>IF(F47="","",E47/F47)</f>
        <v/>
      </c>
      <c r="H47" s="12" t="n"/>
      <c r="I47" s="12" t="n"/>
      <c r="J47" s="33" t="n"/>
      <c r="K47" s="11" t="n"/>
      <c r="L47" s="11" t="n"/>
    </row>
    <row r="48" ht="22" customHeight="1">
      <c r="B48" s="17">
        <f>IF(C48="","ADO-"&amp;TEXT(COUNTA($C$5:C48),"000"))</f>
        <v/>
      </c>
      <c r="C48" s="14" t="n"/>
      <c r="D48" s="14" t="n"/>
      <c r="E48" s="15" t="n"/>
      <c r="F48" s="15" t="n"/>
      <c r="G48" s="39">
        <f>IF(F48="","",E48/F48)</f>
        <v/>
      </c>
      <c r="H48" s="15" t="n"/>
      <c r="I48" s="15" t="n"/>
      <c r="J48" s="35" t="n"/>
      <c r="K48" s="14" t="n"/>
      <c r="L48" s="14" t="n"/>
    </row>
    <row r="49" ht="22" customHeight="1">
      <c r="B49" s="18">
        <f>IF(C49="","ADO-"&amp;TEXT(COUNTA($C$5:C49),"000"))</f>
        <v/>
      </c>
      <c r="C49" s="11" t="n"/>
      <c r="D49" s="11" t="n"/>
      <c r="E49" s="12" t="n"/>
      <c r="F49" s="12" t="n"/>
      <c r="G49" s="37">
        <f>IF(F49="","",E49/F49)</f>
        <v/>
      </c>
      <c r="H49" s="12" t="n"/>
      <c r="I49" s="12" t="n"/>
      <c r="J49" s="33" t="n"/>
      <c r="K49" s="11" t="n"/>
      <c r="L49" s="11" t="n"/>
    </row>
    <row r="50" ht="22" customHeight="1">
      <c r="B50" s="17">
        <f>IF(C50="","ADO-"&amp;TEXT(COUNTA($C$5:C50),"000"))</f>
        <v/>
      </c>
      <c r="C50" s="14" t="n"/>
      <c r="D50" s="14" t="n"/>
      <c r="E50" s="15" t="n"/>
      <c r="F50" s="15" t="n"/>
      <c r="G50" s="39">
        <f>IF(F50="","",E50/F50)</f>
        <v/>
      </c>
      <c r="H50" s="15" t="n"/>
      <c r="I50" s="15" t="n"/>
      <c r="J50" s="35" t="n"/>
      <c r="K50" s="14" t="n"/>
      <c r="L50" s="14" t="n"/>
    </row>
    <row r="51" ht="22" customHeight="1">
      <c r="B51" s="18">
        <f>IF(C51="","ADO-"&amp;TEXT(COUNTA($C$5:C51),"000"))</f>
        <v/>
      </c>
      <c r="C51" s="11" t="n"/>
      <c r="D51" s="11" t="n"/>
      <c r="E51" s="12" t="n"/>
      <c r="F51" s="12" t="n"/>
      <c r="G51" s="37">
        <f>IF(F51="","",E51/F51)</f>
        <v/>
      </c>
      <c r="H51" s="12" t="n"/>
      <c r="I51" s="12" t="n"/>
      <c r="J51" s="33" t="n"/>
      <c r="K51" s="11" t="n"/>
      <c r="L51" s="11" t="n"/>
    </row>
    <row r="52" ht="22" customHeight="1">
      <c r="B52" s="17">
        <f>IF(C52="","ADO-"&amp;TEXT(COUNTA($C$5:C52),"000"))</f>
        <v/>
      </c>
      <c r="C52" s="14" t="n"/>
      <c r="D52" s="14" t="n"/>
      <c r="E52" s="15" t="n"/>
      <c r="F52" s="15" t="n"/>
      <c r="G52" s="39">
        <f>IF(F52="","",E52/F52)</f>
        <v/>
      </c>
      <c r="H52" s="15" t="n"/>
      <c r="I52" s="15" t="n"/>
      <c r="J52" s="35" t="n"/>
      <c r="K52" s="14" t="n"/>
      <c r="L52" s="14" t="n"/>
    </row>
    <row r="53" ht="22" customHeight="1">
      <c r="B53" s="18">
        <f>IF(C53="","ADO-"&amp;TEXT(COUNTA($C$5:C53),"000"))</f>
        <v/>
      </c>
      <c r="C53" s="11" t="n"/>
      <c r="D53" s="11" t="n"/>
      <c r="E53" s="12" t="n"/>
      <c r="F53" s="12" t="n"/>
      <c r="G53" s="37">
        <f>IF(F53="","",E53/F53)</f>
        <v/>
      </c>
      <c r="H53" s="12" t="n"/>
      <c r="I53" s="12" t="n"/>
      <c r="J53" s="33" t="n"/>
      <c r="K53" s="11" t="n"/>
      <c r="L53" s="11" t="n"/>
    </row>
    <row r="54" ht="22" customHeight="1">
      <c r="B54" s="17">
        <f>IF(C54="","ADO-"&amp;TEXT(COUNTA($C$5:C54),"000"))</f>
        <v/>
      </c>
      <c r="C54" s="14" t="n"/>
      <c r="D54" s="14" t="n"/>
      <c r="E54" s="15" t="n"/>
      <c r="F54" s="15" t="n"/>
      <c r="G54" s="39">
        <f>IF(F54="","",E54/F54)</f>
        <v/>
      </c>
      <c r="H54" s="15" t="n"/>
      <c r="I54" s="15" t="n"/>
      <c r="J54" s="35" t="n"/>
      <c r="K54" s="14" t="n"/>
      <c r="L54" s="14" t="n"/>
    </row>
    <row r="55" ht="22" customHeight="1">
      <c r="B55" s="18">
        <f>IF(C55="","ADO-"&amp;TEXT(COUNTA($C$5:C55),"000"))</f>
        <v/>
      </c>
      <c r="C55" s="11" t="n"/>
      <c r="D55" s="11" t="n"/>
      <c r="E55" s="12" t="n"/>
      <c r="F55" s="12" t="n"/>
      <c r="G55" s="37">
        <f>IF(F55="","",E55/F55)</f>
        <v/>
      </c>
      <c r="H55" s="12" t="n"/>
      <c r="I55" s="12" t="n"/>
      <c r="J55" s="33" t="n"/>
      <c r="K55" s="11" t="n"/>
      <c r="L55" s="11" t="n"/>
    </row>
    <row r="56" ht="22" customHeight="1">
      <c r="B56" s="17">
        <f>IF(C56="","ADO-"&amp;TEXT(COUNTA($C$5:C56),"000"))</f>
        <v/>
      </c>
      <c r="C56" s="14" t="n"/>
      <c r="D56" s="14" t="n"/>
      <c r="E56" s="15" t="n"/>
      <c r="F56" s="15" t="n"/>
      <c r="G56" s="39">
        <f>IF(F56="","",E56/F56)</f>
        <v/>
      </c>
      <c r="H56" s="15" t="n"/>
      <c r="I56" s="15" t="n"/>
      <c r="J56" s="35" t="n"/>
      <c r="K56" s="14" t="n"/>
      <c r="L56" s="14" t="n"/>
    </row>
    <row r="57" ht="22" customHeight="1">
      <c r="B57" s="18">
        <f>IF(C57="","ADO-"&amp;TEXT(COUNTA($C$5:C57),"000"))</f>
        <v/>
      </c>
      <c r="C57" s="11" t="n"/>
      <c r="D57" s="11" t="n"/>
      <c r="E57" s="12" t="n"/>
      <c r="F57" s="12" t="n"/>
      <c r="G57" s="37">
        <f>IF(F57="","",E57/F57)</f>
        <v/>
      </c>
      <c r="H57" s="12" t="n"/>
      <c r="I57" s="12" t="n"/>
      <c r="J57" s="33" t="n"/>
      <c r="K57" s="11" t="n"/>
      <c r="L57" s="11" t="n"/>
    </row>
    <row r="58" ht="22" customHeight="1">
      <c r="B58" s="17">
        <f>IF(C58="","ADO-"&amp;TEXT(COUNTA($C$5:C58),"000"))</f>
        <v/>
      </c>
      <c r="C58" s="14" t="n"/>
      <c r="D58" s="14" t="n"/>
      <c r="E58" s="15" t="n"/>
      <c r="F58" s="15" t="n"/>
      <c r="G58" s="39">
        <f>IF(F58="","",E58/F58)</f>
        <v/>
      </c>
      <c r="H58" s="15" t="n"/>
      <c r="I58" s="15" t="n"/>
      <c r="J58" s="35" t="n"/>
      <c r="K58" s="14" t="n"/>
      <c r="L58" s="14" t="n"/>
    </row>
    <row r="59" ht="22" customHeight="1">
      <c r="B59" s="18">
        <f>IF(C59="","ADO-"&amp;TEXT(COUNTA($C$5:C59),"000"))</f>
        <v/>
      </c>
      <c r="C59" s="11" t="n"/>
      <c r="D59" s="11" t="n"/>
      <c r="E59" s="12" t="n"/>
      <c r="F59" s="12" t="n"/>
      <c r="G59" s="37">
        <f>IF(F59="","",E59/F59)</f>
        <v/>
      </c>
      <c r="H59" s="12" t="n"/>
      <c r="I59" s="12" t="n"/>
      <c r="J59" s="33" t="n"/>
      <c r="K59" s="11" t="n"/>
      <c r="L59" s="11" t="n"/>
    </row>
    <row r="60" ht="22" customHeight="1">
      <c r="B60" s="17">
        <f>IF(C60="","ADO-"&amp;TEXT(COUNTA($C$5:C60),"000"))</f>
        <v/>
      </c>
      <c r="C60" s="14" t="n"/>
      <c r="D60" s="14" t="n"/>
      <c r="E60" s="15" t="n"/>
      <c r="F60" s="15" t="n"/>
      <c r="G60" s="39">
        <f>IF(F60="","",E60/F60)</f>
        <v/>
      </c>
      <c r="H60" s="15" t="n"/>
      <c r="I60" s="15" t="n"/>
      <c r="J60" s="35" t="n"/>
      <c r="K60" s="14" t="n"/>
      <c r="L60" s="14" t="n"/>
    </row>
    <row r="61" ht="22" customHeight="1">
      <c r="B61" s="18">
        <f>IF(C61="","ADO-"&amp;TEXT(COUNTA($C$5:C61),"000"))</f>
        <v/>
      </c>
      <c r="C61" s="11" t="n"/>
      <c r="D61" s="11" t="n"/>
      <c r="E61" s="12" t="n"/>
      <c r="F61" s="12" t="n"/>
      <c r="G61" s="37">
        <f>IF(F61="","",E61/F61)</f>
        <v/>
      </c>
      <c r="H61" s="12" t="n"/>
      <c r="I61" s="12" t="n"/>
      <c r="J61" s="33" t="n"/>
      <c r="K61" s="11" t="n"/>
      <c r="L61" s="11" t="n"/>
    </row>
    <row r="62" ht="22" customHeight="1">
      <c r="B62" s="17">
        <f>IF(C62="","ADO-"&amp;TEXT(COUNTA($C$5:C62),"000"))</f>
        <v/>
      </c>
      <c r="C62" s="14" t="n"/>
      <c r="D62" s="14" t="n"/>
      <c r="E62" s="15" t="n"/>
      <c r="F62" s="15" t="n"/>
      <c r="G62" s="39">
        <f>IF(F62="","",E62/F62)</f>
        <v/>
      </c>
      <c r="H62" s="15" t="n"/>
      <c r="I62" s="15" t="n"/>
      <c r="J62" s="35" t="n"/>
      <c r="K62" s="14" t="n"/>
      <c r="L62" s="14" t="n"/>
    </row>
    <row r="63" ht="22" customHeight="1">
      <c r="B63" s="18">
        <f>IF(C63="","ADO-"&amp;TEXT(COUNTA($C$5:C63),"000"))</f>
        <v/>
      </c>
      <c r="C63" s="11" t="n"/>
      <c r="D63" s="11" t="n"/>
      <c r="E63" s="12" t="n"/>
      <c r="F63" s="12" t="n"/>
      <c r="G63" s="37">
        <f>IF(F63="","",E63/F63)</f>
        <v/>
      </c>
      <c r="H63" s="12" t="n"/>
      <c r="I63" s="12" t="n"/>
      <c r="J63" s="33" t="n"/>
      <c r="K63" s="11" t="n"/>
      <c r="L63" s="11" t="n"/>
    </row>
    <row r="64" ht="22" customHeight="1">
      <c r="B64" s="17">
        <f>IF(C64="","ADO-"&amp;TEXT(COUNTA($C$5:C64),"000"))</f>
        <v/>
      </c>
      <c r="C64" s="14" t="n"/>
      <c r="D64" s="14" t="n"/>
      <c r="E64" s="15" t="n"/>
      <c r="F64" s="15" t="n"/>
      <c r="G64" s="39">
        <f>IF(F64="","",E64/F64)</f>
        <v/>
      </c>
      <c r="H64" s="15" t="n"/>
      <c r="I64" s="15" t="n"/>
      <c r="J64" s="35" t="n"/>
      <c r="K64" s="14" t="n"/>
      <c r="L64" s="14" t="n"/>
    </row>
    <row r="65" ht="22" customHeight="1">
      <c r="B65" s="18">
        <f>IF(C65="","ADO-"&amp;TEXT(COUNTA($C$5:C65),"000"))</f>
        <v/>
      </c>
      <c r="C65" s="11" t="n"/>
      <c r="D65" s="11" t="n"/>
      <c r="E65" s="12" t="n"/>
      <c r="F65" s="12" t="n"/>
      <c r="G65" s="37">
        <f>IF(F65="","",E65/F65)</f>
        <v/>
      </c>
      <c r="H65" s="12" t="n"/>
      <c r="I65" s="12" t="n"/>
      <c r="J65" s="33" t="n"/>
      <c r="K65" s="11" t="n"/>
      <c r="L65" s="11" t="n"/>
    </row>
    <row r="66" ht="22" customHeight="1">
      <c r="B66" s="17">
        <f>IF(C66="","ADO-"&amp;TEXT(COUNTA($C$5:C66),"000"))</f>
        <v/>
      </c>
      <c r="C66" s="14" t="n"/>
      <c r="D66" s="14" t="n"/>
      <c r="E66" s="15" t="n"/>
      <c r="F66" s="15" t="n"/>
      <c r="G66" s="39">
        <f>IF(F66="","",E66/F66)</f>
        <v/>
      </c>
      <c r="H66" s="15" t="n"/>
      <c r="I66" s="15" t="n"/>
      <c r="J66" s="35" t="n"/>
      <c r="K66" s="14" t="n"/>
      <c r="L66" s="14" t="n"/>
    </row>
    <row r="67" ht="22" customHeight="1">
      <c r="B67" s="18">
        <f>IF(C67="","ADO-"&amp;TEXT(COUNTA($C$5:C67),"000"))</f>
        <v/>
      </c>
      <c r="C67" s="11" t="n"/>
      <c r="D67" s="11" t="n"/>
      <c r="E67" s="12" t="n"/>
      <c r="F67" s="12" t="n"/>
      <c r="G67" s="37">
        <f>IF(F67="","",E67/F67)</f>
        <v/>
      </c>
      <c r="H67" s="12" t="n"/>
      <c r="I67" s="12" t="n"/>
      <c r="J67" s="33" t="n"/>
      <c r="K67" s="11" t="n"/>
      <c r="L67" s="11" t="n"/>
    </row>
    <row r="68" ht="22" customHeight="1">
      <c r="B68" s="17">
        <f>IF(C68="","ADO-"&amp;TEXT(COUNTA($C$5:C68),"000"))</f>
        <v/>
      </c>
      <c r="C68" s="14" t="n"/>
      <c r="D68" s="14" t="n"/>
      <c r="E68" s="15" t="n"/>
      <c r="F68" s="15" t="n"/>
      <c r="G68" s="39">
        <f>IF(F68="","",E68/F68)</f>
        <v/>
      </c>
      <c r="H68" s="15" t="n"/>
      <c r="I68" s="15" t="n"/>
      <c r="J68" s="35" t="n"/>
      <c r="K68" s="14" t="n"/>
      <c r="L68" s="14" t="n"/>
    </row>
    <row r="69" ht="22" customHeight="1">
      <c r="B69" s="18">
        <f>IF(C69="","ADO-"&amp;TEXT(COUNTA($C$5:C69),"000"))</f>
        <v/>
      </c>
      <c r="C69" s="11" t="n"/>
      <c r="D69" s="11" t="n"/>
      <c r="E69" s="12" t="n"/>
      <c r="F69" s="12" t="n"/>
      <c r="G69" s="37">
        <f>IF(F69="","",E69/F69)</f>
        <v/>
      </c>
      <c r="H69" s="12" t="n"/>
      <c r="I69" s="12" t="n"/>
      <c r="J69" s="33" t="n"/>
      <c r="K69" s="11" t="n"/>
      <c r="L69" s="11" t="n"/>
    </row>
    <row r="70" ht="22" customHeight="1">
      <c r="B70" s="17">
        <f>IF(C70="","ADO-"&amp;TEXT(COUNTA($C$5:C70),"000"))</f>
        <v/>
      </c>
      <c r="C70" s="14" t="n"/>
      <c r="D70" s="14" t="n"/>
      <c r="E70" s="15" t="n"/>
      <c r="F70" s="15" t="n"/>
      <c r="G70" s="39">
        <f>IF(F70="","",E70/F70)</f>
        <v/>
      </c>
      <c r="H70" s="15" t="n"/>
      <c r="I70" s="15" t="n"/>
      <c r="J70" s="35" t="n"/>
      <c r="K70" s="14" t="n"/>
      <c r="L70" s="14" t="n"/>
    </row>
    <row r="71" ht="22" customHeight="1">
      <c r="B71" s="18">
        <f>IF(C71="","ADO-"&amp;TEXT(COUNTA($C$5:C71),"000"))</f>
        <v/>
      </c>
      <c r="C71" s="11" t="n"/>
      <c r="D71" s="11" t="n"/>
      <c r="E71" s="12" t="n"/>
      <c r="F71" s="12" t="n"/>
      <c r="G71" s="37">
        <f>IF(F71="","",E71/F71)</f>
        <v/>
      </c>
      <c r="H71" s="12" t="n"/>
      <c r="I71" s="12" t="n"/>
      <c r="J71" s="33" t="n"/>
      <c r="K71" s="11" t="n"/>
      <c r="L71" s="11" t="n"/>
    </row>
    <row r="72" ht="22" customHeight="1">
      <c r="B72" s="17">
        <f>IF(C72="","ADO-"&amp;TEXT(COUNTA($C$5:C72),"000"))</f>
        <v/>
      </c>
      <c r="C72" s="14" t="n"/>
      <c r="D72" s="14" t="n"/>
      <c r="E72" s="15" t="n"/>
      <c r="F72" s="15" t="n"/>
      <c r="G72" s="39">
        <f>IF(F72="","",E72/F72)</f>
        <v/>
      </c>
      <c r="H72" s="15" t="n"/>
      <c r="I72" s="15" t="n"/>
      <c r="J72" s="35" t="n"/>
      <c r="K72" s="14" t="n"/>
      <c r="L72" s="14" t="n"/>
    </row>
    <row r="73" ht="22" customHeight="1">
      <c r="B73" s="18">
        <f>IF(C73="","ADO-"&amp;TEXT(COUNTA($C$5:C73),"000"))</f>
        <v/>
      </c>
      <c r="C73" s="11" t="n"/>
      <c r="D73" s="11" t="n"/>
      <c r="E73" s="12" t="n"/>
      <c r="F73" s="12" t="n"/>
      <c r="G73" s="37">
        <f>IF(F73="","",E73/F73)</f>
        <v/>
      </c>
      <c r="H73" s="12" t="n"/>
      <c r="I73" s="12" t="n"/>
      <c r="J73" s="33" t="n"/>
      <c r="K73" s="11" t="n"/>
      <c r="L73" s="11" t="n"/>
    </row>
    <row r="74" ht="22" customHeight="1">
      <c r="B74" s="17">
        <f>IF(C74="","ADO-"&amp;TEXT(COUNTA($C$5:C74),"000"))</f>
        <v/>
      </c>
      <c r="C74" s="14" t="n"/>
      <c r="D74" s="14" t="n"/>
      <c r="E74" s="15" t="n"/>
      <c r="F74" s="15" t="n"/>
      <c r="G74" s="39">
        <f>IF(F74="","",E74/F74)</f>
        <v/>
      </c>
      <c r="H74" s="15" t="n"/>
      <c r="I74" s="15" t="n"/>
      <c r="J74" s="35" t="n"/>
      <c r="K74" s="14" t="n"/>
      <c r="L74" s="14" t="n"/>
    </row>
    <row r="75" ht="22" customHeight="1">
      <c r="B75" s="18">
        <f>IF(C75="","ADO-"&amp;TEXT(COUNTA($C$5:C75),"000"))</f>
        <v/>
      </c>
      <c r="C75" s="11" t="n"/>
      <c r="D75" s="11" t="n"/>
      <c r="E75" s="12" t="n"/>
      <c r="F75" s="12" t="n"/>
      <c r="G75" s="37">
        <f>IF(F75="","",E75/F75)</f>
        <v/>
      </c>
      <c r="H75" s="12" t="n"/>
      <c r="I75" s="12" t="n"/>
      <c r="J75" s="33" t="n"/>
      <c r="K75" s="11" t="n"/>
      <c r="L75" s="11" t="n"/>
    </row>
    <row r="76" ht="22" customHeight="1">
      <c r="B76" s="17">
        <f>IF(C76="","ADO-"&amp;TEXT(COUNTA($C$5:C76),"000"))</f>
        <v/>
      </c>
      <c r="C76" s="14" t="n"/>
      <c r="D76" s="14" t="n"/>
      <c r="E76" s="15" t="n"/>
      <c r="F76" s="15" t="n"/>
      <c r="G76" s="39">
        <f>IF(F76="","",E76/F76)</f>
        <v/>
      </c>
      <c r="H76" s="15" t="n"/>
      <c r="I76" s="15" t="n"/>
      <c r="J76" s="35" t="n"/>
      <c r="K76" s="14" t="n"/>
      <c r="L76" s="14" t="n"/>
    </row>
    <row r="77" ht="22" customHeight="1">
      <c r="B77" s="18">
        <f>IF(C77="","ADO-"&amp;TEXT(COUNTA($C$5:C77),"000"))</f>
        <v/>
      </c>
      <c r="C77" s="11" t="n"/>
      <c r="D77" s="11" t="n"/>
      <c r="E77" s="12" t="n"/>
      <c r="F77" s="12" t="n"/>
      <c r="G77" s="37">
        <f>IF(F77="","",E77/F77)</f>
        <v/>
      </c>
      <c r="H77" s="12" t="n"/>
      <c r="I77" s="12" t="n"/>
      <c r="J77" s="33" t="n"/>
      <c r="K77" s="11" t="n"/>
      <c r="L77" s="11" t="n"/>
    </row>
    <row r="78" ht="22" customHeight="1">
      <c r="B78" s="17">
        <f>IF(C78="","ADO-"&amp;TEXT(COUNTA($C$5:C78),"000"))</f>
        <v/>
      </c>
      <c r="C78" s="14" t="n"/>
      <c r="D78" s="14" t="n"/>
      <c r="E78" s="15" t="n"/>
      <c r="F78" s="15" t="n"/>
      <c r="G78" s="39">
        <f>IF(F78="","",E78/F78)</f>
        <v/>
      </c>
      <c r="H78" s="15" t="n"/>
      <c r="I78" s="15" t="n"/>
      <c r="J78" s="35" t="n"/>
      <c r="K78" s="14" t="n"/>
      <c r="L78" s="14" t="n"/>
    </row>
    <row r="79" ht="22" customHeight="1">
      <c r="B79" s="18">
        <f>IF(C79="","ADO-"&amp;TEXT(COUNTA($C$5:C79),"000"))</f>
        <v/>
      </c>
      <c r="C79" s="11" t="n"/>
      <c r="D79" s="11" t="n"/>
      <c r="E79" s="12" t="n"/>
      <c r="F79" s="12" t="n"/>
      <c r="G79" s="37">
        <f>IF(F79="","",E79/F79)</f>
        <v/>
      </c>
      <c r="H79" s="12" t="n"/>
      <c r="I79" s="12" t="n"/>
      <c r="J79" s="33" t="n"/>
      <c r="K79" s="11" t="n"/>
      <c r="L79" s="11" t="n"/>
    </row>
    <row r="80" ht="22" customHeight="1">
      <c r="B80" s="17">
        <f>IF(C80="","ADO-"&amp;TEXT(COUNTA($C$5:C80),"000"))</f>
        <v/>
      </c>
      <c r="C80" s="14" t="n"/>
      <c r="D80" s="14" t="n"/>
      <c r="E80" s="15" t="n"/>
      <c r="F80" s="15" t="n"/>
      <c r="G80" s="39">
        <f>IF(F80="","",E80/F80)</f>
        <v/>
      </c>
      <c r="H80" s="15" t="n"/>
      <c r="I80" s="15" t="n"/>
      <c r="J80" s="35" t="n"/>
      <c r="K80" s="14" t="n"/>
      <c r="L80" s="14" t="n"/>
    </row>
    <row r="81" ht="22" customHeight="1">
      <c r="B81" s="18">
        <f>IF(C81="","ADO-"&amp;TEXT(COUNTA($C$5:C81),"000"))</f>
        <v/>
      </c>
      <c r="C81" s="11" t="n"/>
      <c r="D81" s="11" t="n"/>
      <c r="E81" s="12" t="n"/>
      <c r="F81" s="12" t="n"/>
      <c r="G81" s="37">
        <f>IF(F81="","",E81/F81)</f>
        <v/>
      </c>
      <c r="H81" s="12" t="n"/>
      <c r="I81" s="12" t="n"/>
      <c r="J81" s="33" t="n"/>
      <c r="K81" s="11" t="n"/>
      <c r="L81" s="11" t="n"/>
    </row>
    <row r="82" ht="22" customHeight="1">
      <c r="B82" s="17">
        <f>IF(C82="","ADO-"&amp;TEXT(COUNTA($C$5:C82),"000"))</f>
        <v/>
      </c>
      <c r="C82" s="14" t="n"/>
      <c r="D82" s="14" t="n"/>
      <c r="E82" s="15" t="n"/>
      <c r="F82" s="15" t="n"/>
      <c r="G82" s="39">
        <f>IF(F82="","",E82/F82)</f>
        <v/>
      </c>
      <c r="H82" s="15" t="n"/>
      <c r="I82" s="15" t="n"/>
      <c r="J82" s="35" t="n"/>
      <c r="K82" s="14" t="n"/>
      <c r="L82" s="14" t="n"/>
    </row>
    <row r="83" ht="22" customHeight="1">
      <c r="B83" s="18">
        <f>IF(C83="","ADO-"&amp;TEXT(COUNTA($C$5:C83),"000"))</f>
        <v/>
      </c>
      <c r="C83" s="11" t="n"/>
      <c r="D83" s="11" t="n"/>
      <c r="E83" s="12" t="n"/>
      <c r="F83" s="12" t="n"/>
      <c r="G83" s="37">
        <f>IF(F83="","",E83/F83)</f>
        <v/>
      </c>
      <c r="H83" s="12" t="n"/>
      <c r="I83" s="12" t="n"/>
      <c r="J83" s="33" t="n"/>
      <c r="K83" s="11" t="n"/>
      <c r="L83" s="11" t="n"/>
    </row>
    <row r="84" ht="22" customHeight="1">
      <c r="B84" s="17">
        <f>IF(C84="","ADO-"&amp;TEXT(COUNTA($C$5:C84),"000"))</f>
        <v/>
      </c>
      <c r="C84" s="14" t="n"/>
      <c r="D84" s="14" t="n"/>
      <c r="E84" s="15" t="n"/>
      <c r="F84" s="15" t="n"/>
      <c r="G84" s="39">
        <f>IF(F84="","",E84/F84)</f>
        <v/>
      </c>
      <c r="H84" s="15" t="n"/>
      <c r="I84" s="15" t="n"/>
      <c r="J84" s="35" t="n"/>
      <c r="K84" s="14" t="n"/>
      <c r="L84" s="14" t="n"/>
    </row>
    <row r="85" ht="22" customHeight="1">
      <c r="B85" s="18">
        <f>IF(C85="","ADO-"&amp;TEXT(COUNTA($C$5:C85),"000"))</f>
        <v/>
      </c>
      <c r="C85" s="11" t="n"/>
      <c r="D85" s="11" t="n"/>
      <c r="E85" s="12" t="n"/>
      <c r="F85" s="12" t="n"/>
      <c r="G85" s="37">
        <f>IF(F85="","",E85/F85)</f>
        <v/>
      </c>
      <c r="H85" s="12" t="n"/>
      <c r="I85" s="12" t="n"/>
      <c r="J85" s="33" t="n"/>
      <c r="K85" s="11" t="n"/>
      <c r="L85" s="11" t="n"/>
    </row>
    <row r="86" ht="22" customHeight="1">
      <c r="B86" s="17">
        <f>IF(C86="","ADO-"&amp;TEXT(COUNTA($C$5:C86),"000"))</f>
        <v/>
      </c>
      <c r="C86" s="14" t="n"/>
      <c r="D86" s="14" t="n"/>
      <c r="E86" s="15" t="n"/>
      <c r="F86" s="15" t="n"/>
      <c r="G86" s="39">
        <f>IF(F86="","",E86/F86)</f>
        <v/>
      </c>
      <c r="H86" s="15" t="n"/>
      <c r="I86" s="15" t="n"/>
      <c r="J86" s="35" t="n"/>
      <c r="K86" s="14" t="n"/>
      <c r="L86" s="14" t="n"/>
    </row>
    <row r="87" ht="22" customHeight="1">
      <c r="B87" s="18">
        <f>IF(C87="","ADO-"&amp;TEXT(COUNTA($C$5:C87),"000"))</f>
        <v/>
      </c>
      <c r="C87" s="11" t="n"/>
      <c r="D87" s="11" t="n"/>
      <c r="E87" s="12" t="n"/>
      <c r="F87" s="12" t="n"/>
      <c r="G87" s="37">
        <f>IF(F87="","",E87/F87)</f>
        <v/>
      </c>
      <c r="H87" s="12" t="n"/>
      <c r="I87" s="12" t="n"/>
      <c r="J87" s="33" t="n"/>
      <c r="K87" s="11" t="n"/>
      <c r="L87" s="11" t="n"/>
    </row>
    <row r="88" ht="22" customHeight="1">
      <c r="B88" s="17">
        <f>IF(C88="","ADO-"&amp;TEXT(COUNTA($C$5:C88),"000"))</f>
        <v/>
      </c>
      <c r="C88" s="14" t="n"/>
      <c r="D88" s="14" t="n"/>
      <c r="E88" s="15" t="n"/>
      <c r="F88" s="15" t="n"/>
      <c r="G88" s="39">
        <f>IF(F88="","",E88/F88)</f>
        <v/>
      </c>
      <c r="H88" s="15" t="n"/>
      <c r="I88" s="15" t="n"/>
      <c r="J88" s="35" t="n"/>
      <c r="K88" s="14" t="n"/>
      <c r="L88" s="14" t="n"/>
    </row>
    <row r="89" ht="22" customHeight="1">
      <c r="B89" s="18">
        <f>IF(C89="","ADO-"&amp;TEXT(COUNTA($C$5:C89),"000"))</f>
        <v/>
      </c>
      <c r="C89" s="11" t="n"/>
      <c r="D89" s="11" t="n"/>
      <c r="E89" s="12" t="n"/>
      <c r="F89" s="12" t="n"/>
      <c r="G89" s="37">
        <f>IF(F89="","",E89/F89)</f>
        <v/>
      </c>
      <c r="H89" s="12" t="n"/>
      <c r="I89" s="12" t="n"/>
      <c r="J89" s="33" t="n"/>
      <c r="K89" s="11" t="n"/>
      <c r="L89" s="11" t="n"/>
    </row>
    <row r="90" ht="22" customHeight="1">
      <c r="B90" s="17">
        <f>IF(C90="","ADO-"&amp;TEXT(COUNTA($C$5:C90),"000"))</f>
        <v/>
      </c>
      <c r="C90" s="14" t="n"/>
      <c r="D90" s="14" t="n"/>
      <c r="E90" s="15" t="n"/>
      <c r="F90" s="15" t="n"/>
      <c r="G90" s="39">
        <f>IF(F90="","",E90/F90)</f>
        <v/>
      </c>
      <c r="H90" s="15" t="n"/>
      <c r="I90" s="15" t="n"/>
      <c r="J90" s="35" t="n"/>
      <c r="K90" s="14" t="n"/>
      <c r="L90" s="14" t="n"/>
    </row>
    <row r="91" ht="22" customHeight="1">
      <c r="B91" s="18">
        <f>IF(C91="","ADO-"&amp;TEXT(COUNTA($C$5:C91),"000"))</f>
        <v/>
      </c>
      <c r="C91" s="11" t="n"/>
      <c r="D91" s="11" t="n"/>
      <c r="E91" s="12" t="n"/>
      <c r="F91" s="12" t="n"/>
      <c r="G91" s="37">
        <f>IF(F91="","",E91/F91)</f>
        <v/>
      </c>
      <c r="H91" s="12" t="n"/>
      <c r="I91" s="12" t="n"/>
      <c r="J91" s="33" t="n"/>
      <c r="K91" s="11" t="n"/>
      <c r="L91" s="11" t="n"/>
    </row>
    <row r="92" ht="22" customHeight="1">
      <c r="B92" s="17">
        <f>IF(C92="","ADO-"&amp;TEXT(COUNTA($C$5:C92),"000"))</f>
        <v/>
      </c>
      <c r="C92" s="14" t="n"/>
      <c r="D92" s="14" t="n"/>
      <c r="E92" s="15" t="n"/>
      <c r="F92" s="15" t="n"/>
      <c r="G92" s="39">
        <f>IF(F92="","",E92/F92)</f>
        <v/>
      </c>
      <c r="H92" s="15" t="n"/>
      <c r="I92" s="15" t="n"/>
      <c r="J92" s="35" t="n"/>
      <c r="K92" s="14" t="n"/>
      <c r="L92" s="14" t="n"/>
    </row>
    <row r="93" ht="22" customHeight="1">
      <c r="B93" s="18">
        <f>IF(C93="","ADO-"&amp;TEXT(COUNTA($C$5:C93),"000"))</f>
        <v/>
      </c>
      <c r="C93" s="11" t="n"/>
      <c r="D93" s="11" t="n"/>
      <c r="E93" s="12" t="n"/>
      <c r="F93" s="12" t="n"/>
      <c r="G93" s="37">
        <f>IF(F93="","",E93/F93)</f>
        <v/>
      </c>
      <c r="H93" s="12" t="n"/>
      <c r="I93" s="12" t="n"/>
      <c r="J93" s="33" t="n"/>
      <c r="K93" s="11" t="n"/>
      <c r="L93" s="11" t="n"/>
    </row>
    <row r="94" ht="22" customHeight="1">
      <c r="B94" s="17">
        <f>IF(C94="","ADO-"&amp;TEXT(COUNTA($C$5:C94),"000"))</f>
        <v/>
      </c>
      <c r="C94" s="14" t="n"/>
      <c r="D94" s="14" t="n"/>
      <c r="E94" s="15" t="n"/>
      <c r="F94" s="15" t="n"/>
      <c r="G94" s="39">
        <f>IF(F94="","",E94/F94)</f>
        <v/>
      </c>
      <c r="H94" s="15" t="n"/>
      <c r="I94" s="15" t="n"/>
      <c r="J94" s="35" t="n"/>
      <c r="K94" s="14" t="n"/>
      <c r="L94" s="14" t="n"/>
    </row>
    <row r="95" ht="22" customHeight="1">
      <c r="B95" s="18">
        <f>IF(C95="","ADO-"&amp;TEXT(COUNTA($C$5:C95),"000"))</f>
        <v/>
      </c>
      <c r="C95" s="11" t="n"/>
      <c r="D95" s="11" t="n"/>
      <c r="E95" s="12" t="n"/>
      <c r="F95" s="12" t="n"/>
      <c r="G95" s="37">
        <f>IF(F95="","",E95/F95)</f>
        <v/>
      </c>
      <c r="H95" s="12" t="n"/>
      <c r="I95" s="12" t="n"/>
      <c r="J95" s="33" t="n"/>
      <c r="K95" s="11" t="n"/>
      <c r="L95" s="11" t="n"/>
    </row>
    <row r="96" ht="22" customHeight="1">
      <c r="B96" s="17">
        <f>IF(C96="","ADO-"&amp;TEXT(COUNTA($C$5:C96),"000"))</f>
        <v/>
      </c>
      <c r="C96" s="14" t="n"/>
      <c r="D96" s="14" t="n"/>
      <c r="E96" s="15" t="n"/>
      <c r="F96" s="15" t="n"/>
      <c r="G96" s="39">
        <f>IF(F96="","",E96/F96)</f>
        <v/>
      </c>
      <c r="H96" s="15" t="n"/>
      <c r="I96" s="15" t="n"/>
      <c r="J96" s="35" t="n"/>
      <c r="K96" s="14" t="n"/>
      <c r="L96" s="14" t="n"/>
    </row>
    <row r="97" ht="22" customHeight="1">
      <c r="B97" s="18">
        <f>IF(C97="","ADO-"&amp;TEXT(COUNTA($C$5:C97),"000"))</f>
        <v/>
      </c>
      <c r="C97" s="11" t="n"/>
      <c r="D97" s="11" t="n"/>
      <c r="E97" s="12" t="n"/>
      <c r="F97" s="12" t="n"/>
      <c r="G97" s="37">
        <f>IF(F97="","",E97/F97)</f>
        <v/>
      </c>
      <c r="H97" s="12" t="n"/>
      <c r="I97" s="12" t="n"/>
      <c r="J97" s="33" t="n"/>
      <c r="K97" s="11" t="n"/>
      <c r="L97" s="11" t="n"/>
    </row>
    <row r="98" ht="22" customHeight="1">
      <c r="B98" s="17">
        <f>IF(C98="","ADO-"&amp;TEXT(COUNTA($C$5:C98),"000"))</f>
        <v/>
      </c>
      <c r="C98" s="14" t="n"/>
      <c r="D98" s="14" t="n"/>
      <c r="E98" s="15" t="n"/>
      <c r="F98" s="15" t="n"/>
      <c r="G98" s="39">
        <f>IF(F98="","",E98/F98)</f>
        <v/>
      </c>
      <c r="H98" s="15" t="n"/>
      <c r="I98" s="15" t="n"/>
      <c r="J98" s="35" t="n"/>
      <c r="K98" s="14" t="n"/>
      <c r="L98" s="14" t="n"/>
    </row>
    <row r="99" ht="22" customHeight="1">
      <c r="B99" s="18">
        <f>IF(C99="","ADO-"&amp;TEXT(COUNTA($C$5:C99),"000"))</f>
        <v/>
      </c>
      <c r="C99" s="11" t="n"/>
      <c r="D99" s="11" t="n"/>
      <c r="E99" s="12" t="n"/>
      <c r="F99" s="12" t="n"/>
      <c r="G99" s="37">
        <f>IF(F99="","",E99/F99)</f>
        <v/>
      </c>
      <c r="H99" s="12" t="n"/>
      <c r="I99" s="12" t="n"/>
      <c r="J99" s="33" t="n"/>
      <c r="K99" s="11" t="n"/>
      <c r="L99" s="11" t="n"/>
    </row>
    <row r="100" ht="22" customHeight="1">
      <c r="B100" s="17">
        <f>IF(C100="","ADO-"&amp;TEXT(COUNTA($C$5:C100),"000"))</f>
        <v/>
      </c>
      <c r="C100" s="14" t="n"/>
      <c r="D100" s="14" t="n"/>
      <c r="E100" s="15" t="n"/>
      <c r="F100" s="15" t="n"/>
      <c r="G100" s="39">
        <f>IF(F100="","",E100/F100)</f>
        <v/>
      </c>
      <c r="H100" s="15" t="n"/>
      <c r="I100" s="15" t="n"/>
      <c r="J100" s="35" t="n"/>
      <c r="K100" s="14" t="n"/>
      <c r="L100" s="14" t="n"/>
    </row>
    <row r="101" ht="22" customHeight="1">
      <c r="B101" s="18">
        <f>IF(C101="","ADO-"&amp;TEXT(COUNTA($C$5:C101),"000"))</f>
        <v/>
      </c>
      <c r="C101" s="11" t="n"/>
      <c r="D101" s="11" t="n"/>
      <c r="E101" s="12" t="n"/>
      <c r="F101" s="12" t="n"/>
      <c r="G101" s="37">
        <f>IF(F101="","",E101/F101)</f>
        <v/>
      </c>
      <c r="H101" s="12" t="n"/>
      <c r="I101" s="12" t="n"/>
      <c r="J101" s="33" t="n"/>
      <c r="K101" s="11" t="n"/>
      <c r="L101" s="11" t="n"/>
    </row>
    <row r="102" ht="22" customHeight="1">
      <c r="B102" s="17">
        <f>IF(C102="","ADO-"&amp;TEXT(COUNTA($C$5:C102),"000"))</f>
        <v/>
      </c>
      <c r="C102" s="14" t="n"/>
      <c r="D102" s="14" t="n"/>
      <c r="E102" s="15" t="n"/>
      <c r="F102" s="15" t="n"/>
      <c r="G102" s="39">
        <f>IF(F102="","",E102/F102)</f>
        <v/>
      </c>
      <c r="H102" s="15" t="n"/>
      <c r="I102" s="15" t="n"/>
      <c r="J102" s="35" t="n"/>
      <c r="K102" s="14" t="n"/>
      <c r="L102" s="14" t="n"/>
    </row>
    <row r="103" ht="22" customHeight="1">
      <c r="B103" s="18">
        <f>IF(C103="","ADO-"&amp;TEXT(COUNTA($C$5:C103),"000"))</f>
        <v/>
      </c>
      <c r="C103" s="11" t="n"/>
      <c r="D103" s="11" t="n"/>
      <c r="E103" s="12" t="n"/>
      <c r="F103" s="12" t="n"/>
      <c r="G103" s="37">
        <f>IF(F103="","",E103/F103)</f>
        <v/>
      </c>
      <c r="H103" s="12" t="n"/>
      <c r="I103" s="12" t="n"/>
      <c r="J103" s="33" t="n"/>
      <c r="K103" s="11" t="n"/>
      <c r="L103" s="11" t="n"/>
    </row>
    <row r="104" ht="22" customHeight="1">
      <c r="B104" s="17">
        <f>IF(C104="","ADO-"&amp;TEXT(COUNTA($C$5:C104),"000"))</f>
        <v/>
      </c>
      <c r="C104" s="14" t="n"/>
      <c r="D104" s="14" t="n"/>
      <c r="E104" s="15" t="n"/>
      <c r="F104" s="15" t="n"/>
      <c r="G104" s="39">
        <f>IF(F104="","",E104/F104)</f>
        <v/>
      </c>
      <c r="H104" s="15" t="n"/>
      <c r="I104" s="15" t="n"/>
      <c r="J104" s="35" t="n"/>
      <c r="K104" s="14" t="n"/>
      <c r="L104" s="14" t="n"/>
    </row>
    <row r="105" ht="22" customHeight="1">
      <c r="B105" s="18">
        <f>IF(C105="","ADO-"&amp;TEXT(COUNTA($C$5:C105),"000"))</f>
        <v/>
      </c>
      <c r="C105" s="11" t="n"/>
      <c r="D105" s="11" t="n"/>
      <c r="E105" s="12" t="n"/>
      <c r="F105" s="12" t="n"/>
      <c r="G105" s="37">
        <f>IF(F105="","",E105/F105)</f>
        <v/>
      </c>
      <c r="H105" s="12" t="n"/>
      <c r="I105" s="12" t="n"/>
      <c r="J105" s="33" t="n"/>
      <c r="K105" s="11" t="n"/>
      <c r="L105" s="11" t="n"/>
    </row>
    <row r="106" ht="22" customHeight="1">
      <c r="B106" s="17">
        <f>IF(C106="","ADO-"&amp;TEXT(COUNTA($C$5:C106),"000"))</f>
        <v/>
      </c>
      <c r="C106" s="14" t="n"/>
      <c r="D106" s="14" t="n"/>
      <c r="E106" s="15" t="n"/>
      <c r="F106" s="15" t="n"/>
      <c r="G106" s="39">
        <f>IF(F106="","",E106/F106)</f>
        <v/>
      </c>
      <c r="H106" s="15" t="n"/>
      <c r="I106" s="15" t="n"/>
      <c r="J106" s="35" t="n"/>
      <c r="K106" s="14" t="n"/>
      <c r="L106" s="14" t="n"/>
    </row>
    <row r="107" ht="22" customHeight="1">
      <c r="B107" s="18">
        <f>IF(C107="","ADO-"&amp;TEXT(COUNTA($C$5:C107),"000"))</f>
        <v/>
      </c>
      <c r="C107" s="11" t="n"/>
      <c r="D107" s="11" t="n"/>
      <c r="E107" s="12" t="n"/>
      <c r="F107" s="12" t="n"/>
      <c r="G107" s="37">
        <f>IF(F107="","",E107/F107)</f>
        <v/>
      </c>
      <c r="H107" s="12" t="n"/>
      <c r="I107" s="12" t="n"/>
      <c r="J107" s="33" t="n"/>
      <c r="K107" s="11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Outils suivis</t>
        </is>
      </c>
      <c r="D110" s="3" t="inlineStr">
        <is>
          <t>Taux adopt. moyen (%)</t>
        </is>
      </c>
      <c r="F110" s="3" t="inlineStr">
        <is>
          <t>Maitrises</t>
        </is>
      </c>
    </row>
    <row r="111">
      <c r="B111" s="4">
        <f>COUNTIF(B5:B104,"&lt;&gt;")</f>
        <v/>
      </c>
      <c r="D111" s="4">
        <f>IFERROR(AVERAGE(G5:G104),0)</f>
        <v/>
      </c>
      <c r="F111" s="4">
        <f>COUNTIF(K5:K104,"Maitrise")</f>
        <v/>
      </c>
    </row>
  </sheetData>
  <mergeCells count="3">
    <mergeCell ref="B2:L2"/>
    <mergeCell ref="B109:L109"/>
    <mergeCell ref="B3:L3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dataValidations count="1">
    <dataValidation sqref="K5:K107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0" customWidth="1" min="4" max="4"/>
    <col width="18" customWidth="1" min="5" max="5"/>
    <col width="18" customWidth="1" min="6" max="6"/>
    <col width="24" customWidth="1" min="7" max="7"/>
    <col width="24" customWidth="1" min="8" max="8"/>
    <col width="22" customWidth="1" min="9" max="9"/>
    <col width="22" customWidth="1" min="10" max="10"/>
    <col width="16" customWidth="1" min="11" max="11"/>
    <col width="18" customWidth="1" min="12" max="12"/>
    <col width="36" customWidth="1" min="13" max="13"/>
  </cols>
  <sheetData>
    <row r="1" ht="15" customHeight="1"/>
    <row r="2" ht="32" customHeight="1">
      <c r="B2" s="1" t="inlineStr">
        <is>
          <t>HISTORIQUE DEPLOIEMENTS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Solution Deployee</t>
        </is>
      </c>
      <c r="D4" s="10" t="inlineStr">
        <is>
          <t>Type Outil</t>
        </is>
      </c>
      <c r="E4" s="10" t="inlineStr">
        <is>
          <t>Version Deployee</t>
        </is>
      </c>
      <c r="F4" s="10" t="inlineStr">
        <is>
          <t>Date Deploiement</t>
        </is>
      </c>
      <c r="G4" s="10" t="inlineStr">
        <is>
          <t>Responsable</t>
        </is>
      </c>
      <c r="H4" s="10" t="inlineStr">
        <is>
          <t>Nb Utilisateurs Impactes</t>
        </is>
      </c>
      <c r="I4" s="10" t="inlineStr">
        <is>
          <t>Nb Incidents Post-Dep.</t>
        </is>
      </c>
      <c r="J4" s="10" t="inlineStr">
        <is>
          <t>Duree Deploiement (j)</t>
        </is>
      </c>
      <c r="K4" s="10" t="inlineStr">
        <is>
          <t>Succes / Echec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DEP-001</t>
        </is>
      </c>
      <c r="C5" s="11" t="inlineStr">
        <is>
          <t>SIRH HotelPro v4.2</t>
        </is>
      </c>
      <c r="D5" s="11" t="inlineStr">
        <is>
          <t>SIRH</t>
        </is>
      </c>
      <c r="E5" s="11" t="inlineStr">
        <is>
          <t>v4.2</t>
        </is>
      </c>
      <c r="F5" s="31" t="n">
        <v>45703</v>
      </c>
      <c r="G5" s="11" t="inlineStr">
        <is>
          <t>Chef de service IT</t>
        </is>
      </c>
      <c r="H5" s="12" t="n">
        <v>45</v>
      </c>
      <c r="I5" s="12" t="n">
        <v>1</v>
      </c>
      <c r="J5" s="12" t="n">
        <v>3</v>
      </c>
      <c r="K5" s="11" t="inlineStr">
        <is>
          <t>Succes</t>
        </is>
      </c>
      <c r="L5" s="11" t="inlineStr">
        <is>
          <t>En production</t>
        </is>
      </c>
      <c r="M5" s="11" t="inlineStr">
        <is>
          <t>Correctif mineur jour J+2</t>
        </is>
      </c>
    </row>
    <row r="6" ht="22" customHeight="1">
      <c r="B6" s="14" t="inlineStr">
        <is>
          <t>DEP-002</t>
        </is>
      </c>
      <c r="C6" s="14" t="inlineStr">
        <is>
          <t>Lucca integration SIRH</t>
        </is>
      </c>
      <c r="D6" s="14" t="inlineStr">
        <is>
          <t>Paie</t>
        </is>
      </c>
      <c r="E6" s="14" t="inlineStr">
        <is>
          <t>v2.0</t>
        </is>
      </c>
      <c r="F6" s="32" t="n">
        <v>45717</v>
      </c>
      <c r="G6" s="14" t="inlineStr">
        <is>
          <t>Technicien IT</t>
        </is>
      </c>
      <c r="H6" s="15" t="n">
        <v>8</v>
      </c>
      <c r="I6" s="15" t="n">
        <v>0</v>
      </c>
      <c r="J6" s="15" t="n">
        <v>1</v>
      </c>
      <c r="K6" s="14" t="inlineStr">
        <is>
          <t>Succes</t>
        </is>
      </c>
      <c r="L6" s="14" t="inlineStr">
        <is>
          <t>En production</t>
        </is>
      </c>
      <c r="M6" s="14" t="inlineStr">
        <is>
          <t>Migration donnees reussie</t>
        </is>
      </c>
    </row>
    <row r="7" ht="22" customHeight="1">
      <c r="B7" s="11" t="inlineStr">
        <is>
          <t>DEP-003</t>
        </is>
      </c>
      <c r="C7" s="11" t="inlineStr">
        <is>
          <t>HotelApp v2.3</t>
        </is>
      </c>
      <c r="D7" s="11" t="inlineStr">
        <is>
          <t>Application mobile</t>
        </is>
      </c>
      <c r="E7" s="11" t="inlineStr">
        <is>
          <t>v2.3.1</t>
        </is>
      </c>
      <c r="F7" s="31" t="n">
        <v>45726</v>
      </c>
      <c r="G7" s="11" t="inlineStr">
        <is>
          <t>Chef de service IT</t>
        </is>
      </c>
      <c r="H7" s="12" t="n">
        <v>180</v>
      </c>
      <c r="I7" s="12" t="n">
        <v>5</v>
      </c>
      <c r="J7" s="12" t="n">
        <v>2</v>
      </c>
      <c r="K7" s="11" t="inlineStr">
        <is>
          <t>Succes</t>
        </is>
      </c>
      <c r="L7" s="11" t="inlineStr">
        <is>
          <t>En production</t>
        </is>
      </c>
      <c r="M7" s="11" t="inlineStr">
        <is>
          <t>Bug pointage corrige en v2.3.1</t>
        </is>
      </c>
    </row>
    <row r="8" ht="22" customHeight="1">
      <c r="B8" s="17">
        <f>IF(C8="","DEP-"&amp;TEXT(COUNTA($C$5:C8),"000"))</f>
        <v/>
      </c>
      <c r="C8" s="14" t="n"/>
      <c r="D8" s="14" t="n"/>
      <c r="E8" s="14" t="n"/>
      <c r="F8" s="32" t="n"/>
      <c r="G8" s="14" t="n"/>
      <c r="H8" s="15" t="n"/>
      <c r="I8" s="15" t="n"/>
      <c r="J8" s="15" t="n"/>
      <c r="K8" s="14" t="n"/>
      <c r="L8" s="14" t="n"/>
      <c r="M8" s="14" t="n"/>
    </row>
    <row r="9" ht="22" customHeight="1">
      <c r="B9" s="18">
        <f>IF(C9="","DEP-"&amp;TEXT(COUNTA($C$5:C9),"000"))</f>
        <v/>
      </c>
      <c r="C9" s="11" t="n"/>
      <c r="D9" s="11" t="n"/>
      <c r="E9" s="11" t="n"/>
      <c r="F9" s="31" t="n"/>
      <c r="G9" s="11" t="n"/>
      <c r="H9" s="12" t="n"/>
      <c r="I9" s="12" t="n"/>
      <c r="J9" s="12" t="n"/>
      <c r="K9" s="11" t="n"/>
      <c r="L9" s="11" t="n"/>
      <c r="M9" s="11" t="n"/>
    </row>
    <row r="10" ht="22" customHeight="1">
      <c r="B10" s="17">
        <f>IF(C10="","DEP-"&amp;TEXT(COUNTA($C$5:C10),"000"))</f>
        <v/>
      </c>
      <c r="C10" s="14" t="n"/>
      <c r="D10" s="14" t="n"/>
      <c r="E10" s="14" t="n"/>
      <c r="F10" s="32" t="n"/>
      <c r="G10" s="14" t="n"/>
      <c r="H10" s="15" t="n"/>
      <c r="I10" s="15" t="n"/>
      <c r="J10" s="15" t="n"/>
      <c r="K10" s="14" t="n"/>
      <c r="L10" s="14" t="n"/>
      <c r="M10" s="14" t="n"/>
    </row>
    <row r="11" ht="22" customHeight="1">
      <c r="B11" s="18">
        <f>IF(C11="","DEP-"&amp;TEXT(COUNTA($C$5:C11),"000"))</f>
        <v/>
      </c>
      <c r="C11" s="11" t="n"/>
      <c r="D11" s="11" t="n"/>
      <c r="E11" s="11" t="n"/>
      <c r="F11" s="31" t="n"/>
      <c r="G11" s="11" t="n"/>
      <c r="H11" s="12" t="n"/>
      <c r="I11" s="12" t="n"/>
      <c r="J11" s="12" t="n"/>
      <c r="K11" s="11" t="n"/>
      <c r="L11" s="11" t="n"/>
      <c r="M11" s="11" t="n"/>
    </row>
    <row r="12" ht="22" customHeight="1">
      <c r="B12" s="17">
        <f>IF(C12="","DEP-"&amp;TEXT(COUNTA($C$5:C12),"000"))</f>
        <v/>
      </c>
      <c r="C12" s="14" t="n"/>
      <c r="D12" s="14" t="n"/>
      <c r="E12" s="14" t="n"/>
      <c r="F12" s="32" t="n"/>
      <c r="G12" s="14" t="n"/>
      <c r="H12" s="15" t="n"/>
      <c r="I12" s="15" t="n"/>
      <c r="J12" s="15" t="n"/>
      <c r="K12" s="14" t="n"/>
      <c r="L12" s="14" t="n"/>
      <c r="M12" s="14" t="n"/>
    </row>
    <row r="13" ht="22" customHeight="1">
      <c r="B13" s="18">
        <f>IF(C13="","DEP-"&amp;TEXT(COUNTA($C$5:C13),"000"))</f>
        <v/>
      </c>
      <c r="C13" s="11" t="n"/>
      <c r="D13" s="11" t="n"/>
      <c r="E13" s="11" t="n"/>
      <c r="F13" s="31" t="n"/>
      <c r="G13" s="11" t="n"/>
      <c r="H13" s="12" t="n"/>
      <c r="I13" s="12" t="n"/>
      <c r="J13" s="12" t="n"/>
      <c r="K13" s="11" t="n"/>
      <c r="L13" s="11" t="n"/>
      <c r="M13" s="11" t="n"/>
    </row>
    <row r="14" ht="22" customHeight="1">
      <c r="B14" s="17">
        <f>IF(C14="","DEP-"&amp;TEXT(COUNTA($C$5:C14),"000"))</f>
        <v/>
      </c>
      <c r="C14" s="14" t="n"/>
      <c r="D14" s="14" t="n"/>
      <c r="E14" s="14" t="n"/>
      <c r="F14" s="32" t="n"/>
      <c r="G14" s="14" t="n"/>
      <c r="H14" s="15" t="n"/>
      <c r="I14" s="15" t="n"/>
      <c r="J14" s="15" t="n"/>
      <c r="K14" s="14" t="n"/>
      <c r="L14" s="14" t="n"/>
      <c r="M14" s="14" t="n"/>
    </row>
    <row r="15" ht="22" customHeight="1">
      <c r="B15" s="18">
        <f>IF(C15="","DEP-"&amp;TEXT(COUNTA($C$5:C15),"000"))</f>
        <v/>
      </c>
      <c r="C15" s="11" t="n"/>
      <c r="D15" s="11" t="n"/>
      <c r="E15" s="11" t="n"/>
      <c r="F15" s="31" t="n"/>
      <c r="G15" s="11" t="n"/>
      <c r="H15" s="12" t="n"/>
      <c r="I15" s="12" t="n"/>
      <c r="J15" s="12" t="n"/>
      <c r="K15" s="11" t="n"/>
      <c r="L15" s="11" t="n"/>
      <c r="M15" s="11" t="n"/>
    </row>
    <row r="16" ht="22" customHeight="1">
      <c r="B16" s="17">
        <f>IF(C16="","DEP-"&amp;TEXT(COUNTA($C$5:C16),"000"))</f>
        <v/>
      </c>
      <c r="C16" s="14" t="n"/>
      <c r="D16" s="14" t="n"/>
      <c r="E16" s="14" t="n"/>
      <c r="F16" s="32" t="n"/>
      <c r="G16" s="14" t="n"/>
      <c r="H16" s="15" t="n"/>
      <c r="I16" s="15" t="n"/>
      <c r="J16" s="15" t="n"/>
      <c r="K16" s="14" t="n"/>
      <c r="L16" s="14" t="n"/>
      <c r="M16" s="14" t="n"/>
    </row>
    <row r="17" ht="22" customHeight="1">
      <c r="B17" s="18">
        <f>IF(C17="","DEP-"&amp;TEXT(COUNTA($C$5:C17),"000"))</f>
        <v/>
      </c>
      <c r="C17" s="11" t="n"/>
      <c r="D17" s="11" t="n"/>
      <c r="E17" s="11" t="n"/>
      <c r="F17" s="31" t="n"/>
      <c r="G17" s="11" t="n"/>
      <c r="H17" s="12" t="n"/>
      <c r="I17" s="12" t="n"/>
      <c r="J17" s="12" t="n"/>
      <c r="K17" s="11" t="n"/>
      <c r="L17" s="11" t="n"/>
      <c r="M17" s="11" t="n"/>
    </row>
    <row r="18" ht="22" customHeight="1">
      <c r="B18" s="17">
        <f>IF(C18="","DEP-"&amp;TEXT(COUNTA($C$5:C18),"000"))</f>
        <v/>
      </c>
      <c r="C18" s="14" t="n"/>
      <c r="D18" s="14" t="n"/>
      <c r="E18" s="14" t="n"/>
      <c r="F18" s="32" t="n"/>
      <c r="G18" s="14" t="n"/>
      <c r="H18" s="15" t="n"/>
      <c r="I18" s="15" t="n"/>
      <c r="J18" s="15" t="n"/>
      <c r="K18" s="14" t="n"/>
      <c r="L18" s="14" t="n"/>
      <c r="M18" s="14" t="n"/>
    </row>
    <row r="19" ht="22" customHeight="1">
      <c r="B19" s="18">
        <f>IF(C19="","DEP-"&amp;TEXT(COUNTA($C$5:C19),"000"))</f>
        <v/>
      </c>
      <c r="C19" s="11" t="n"/>
      <c r="D19" s="11" t="n"/>
      <c r="E19" s="11" t="n"/>
      <c r="F19" s="31" t="n"/>
      <c r="G19" s="11" t="n"/>
      <c r="H19" s="12" t="n"/>
      <c r="I19" s="12" t="n"/>
      <c r="J19" s="12" t="n"/>
      <c r="K19" s="11" t="n"/>
      <c r="L19" s="11" t="n"/>
      <c r="M19" s="11" t="n"/>
    </row>
    <row r="20" ht="22" customHeight="1">
      <c r="B20" s="17">
        <f>IF(C20="","DEP-"&amp;TEXT(COUNTA($C$5:C20),"000"))</f>
        <v/>
      </c>
      <c r="C20" s="14" t="n"/>
      <c r="D20" s="14" t="n"/>
      <c r="E20" s="14" t="n"/>
      <c r="F20" s="32" t="n"/>
      <c r="G20" s="14" t="n"/>
      <c r="H20" s="15" t="n"/>
      <c r="I20" s="15" t="n"/>
      <c r="J20" s="15" t="n"/>
      <c r="K20" s="14" t="n"/>
      <c r="L20" s="14" t="n"/>
      <c r="M20" s="14" t="n"/>
    </row>
    <row r="21" ht="22" customHeight="1">
      <c r="B21" s="18">
        <f>IF(C21="","DEP-"&amp;TEXT(COUNTA($C$5:C21),"000"))</f>
        <v/>
      </c>
      <c r="C21" s="11" t="n"/>
      <c r="D21" s="11" t="n"/>
      <c r="E21" s="11" t="n"/>
      <c r="F21" s="31" t="n"/>
      <c r="G21" s="11" t="n"/>
      <c r="H21" s="12" t="n"/>
      <c r="I21" s="12" t="n"/>
      <c r="J21" s="12" t="n"/>
      <c r="K21" s="11" t="n"/>
      <c r="L21" s="11" t="n"/>
      <c r="M21" s="11" t="n"/>
    </row>
    <row r="22" ht="22" customHeight="1">
      <c r="B22" s="17">
        <f>IF(C22="","DEP-"&amp;TEXT(COUNTA($C$5:C22),"000"))</f>
        <v/>
      </c>
      <c r="C22" s="14" t="n"/>
      <c r="D22" s="14" t="n"/>
      <c r="E22" s="14" t="n"/>
      <c r="F22" s="32" t="n"/>
      <c r="G22" s="14" t="n"/>
      <c r="H22" s="15" t="n"/>
      <c r="I22" s="15" t="n"/>
      <c r="J22" s="15" t="n"/>
      <c r="K22" s="14" t="n"/>
      <c r="L22" s="14" t="n"/>
      <c r="M22" s="14" t="n"/>
    </row>
    <row r="23" ht="22" customHeight="1">
      <c r="B23" s="18">
        <f>IF(C23="","DEP-"&amp;TEXT(COUNTA($C$5:C23),"000"))</f>
        <v/>
      </c>
      <c r="C23" s="11" t="n"/>
      <c r="D23" s="11" t="n"/>
      <c r="E23" s="11" t="n"/>
      <c r="F23" s="31" t="n"/>
      <c r="G23" s="11" t="n"/>
      <c r="H23" s="12" t="n"/>
      <c r="I23" s="12" t="n"/>
      <c r="J23" s="12" t="n"/>
      <c r="K23" s="11" t="n"/>
      <c r="L23" s="11" t="n"/>
      <c r="M23" s="11" t="n"/>
    </row>
    <row r="24" ht="22" customHeight="1">
      <c r="B24" s="17">
        <f>IF(C24="","DEP-"&amp;TEXT(COUNTA($C$5:C24),"000"))</f>
        <v/>
      </c>
      <c r="C24" s="14" t="n"/>
      <c r="D24" s="14" t="n"/>
      <c r="E24" s="14" t="n"/>
      <c r="F24" s="32" t="n"/>
      <c r="G24" s="14" t="n"/>
      <c r="H24" s="15" t="n"/>
      <c r="I24" s="15" t="n"/>
      <c r="J24" s="15" t="n"/>
      <c r="K24" s="14" t="n"/>
      <c r="L24" s="14" t="n"/>
      <c r="M24" s="14" t="n"/>
    </row>
    <row r="25" ht="22" customHeight="1">
      <c r="B25" s="18">
        <f>IF(C25="","DEP-"&amp;TEXT(COUNTA($C$5:C25),"000"))</f>
        <v/>
      </c>
      <c r="C25" s="11" t="n"/>
      <c r="D25" s="11" t="n"/>
      <c r="E25" s="11" t="n"/>
      <c r="F25" s="31" t="n"/>
      <c r="G25" s="11" t="n"/>
      <c r="H25" s="12" t="n"/>
      <c r="I25" s="12" t="n"/>
      <c r="J25" s="12" t="n"/>
      <c r="K25" s="11" t="n"/>
      <c r="L25" s="11" t="n"/>
      <c r="M25" s="11" t="n"/>
    </row>
    <row r="26" ht="22" customHeight="1">
      <c r="B26" s="17">
        <f>IF(C26="","DEP-"&amp;TEXT(COUNTA($C$5:C26),"000"))</f>
        <v/>
      </c>
      <c r="C26" s="14" t="n"/>
      <c r="D26" s="14" t="n"/>
      <c r="E26" s="14" t="n"/>
      <c r="F26" s="32" t="n"/>
      <c r="G26" s="14" t="n"/>
      <c r="H26" s="15" t="n"/>
      <c r="I26" s="15" t="n"/>
      <c r="J26" s="15" t="n"/>
      <c r="K26" s="14" t="n"/>
      <c r="L26" s="14" t="n"/>
      <c r="M26" s="14" t="n"/>
    </row>
    <row r="27" ht="22" customHeight="1">
      <c r="B27" s="18">
        <f>IF(C27="","DEP-"&amp;TEXT(COUNTA($C$5:C27),"000"))</f>
        <v/>
      </c>
      <c r="C27" s="11" t="n"/>
      <c r="D27" s="11" t="n"/>
      <c r="E27" s="11" t="n"/>
      <c r="F27" s="31" t="n"/>
      <c r="G27" s="11" t="n"/>
      <c r="H27" s="12" t="n"/>
      <c r="I27" s="12" t="n"/>
      <c r="J27" s="12" t="n"/>
      <c r="K27" s="11" t="n"/>
      <c r="L27" s="11" t="n"/>
      <c r="M27" s="11" t="n"/>
    </row>
    <row r="28" ht="22" customHeight="1">
      <c r="B28" s="17">
        <f>IF(C28="","DEP-"&amp;TEXT(COUNTA($C$5:C28),"000"))</f>
        <v/>
      </c>
      <c r="C28" s="14" t="n"/>
      <c r="D28" s="14" t="n"/>
      <c r="E28" s="14" t="n"/>
      <c r="F28" s="32" t="n"/>
      <c r="G28" s="14" t="n"/>
      <c r="H28" s="15" t="n"/>
      <c r="I28" s="15" t="n"/>
      <c r="J28" s="15" t="n"/>
      <c r="K28" s="14" t="n"/>
      <c r="L28" s="14" t="n"/>
      <c r="M28" s="14" t="n"/>
    </row>
    <row r="29" ht="22" customHeight="1">
      <c r="B29" s="18">
        <f>IF(C29="","DEP-"&amp;TEXT(COUNTA($C$5:C29),"000"))</f>
        <v/>
      </c>
      <c r="C29" s="11" t="n"/>
      <c r="D29" s="11" t="n"/>
      <c r="E29" s="11" t="n"/>
      <c r="F29" s="31" t="n"/>
      <c r="G29" s="11" t="n"/>
      <c r="H29" s="12" t="n"/>
      <c r="I29" s="12" t="n"/>
      <c r="J29" s="12" t="n"/>
      <c r="K29" s="11" t="n"/>
      <c r="L29" s="11" t="n"/>
      <c r="M29" s="11" t="n"/>
    </row>
    <row r="30" ht="22" customHeight="1">
      <c r="B30" s="17">
        <f>IF(C30="","DEP-"&amp;TEXT(COUNTA($C$5:C30),"000"))</f>
        <v/>
      </c>
      <c r="C30" s="14" t="n"/>
      <c r="D30" s="14" t="n"/>
      <c r="E30" s="14" t="n"/>
      <c r="F30" s="32" t="n"/>
      <c r="G30" s="14" t="n"/>
      <c r="H30" s="15" t="n"/>
      <c r="I30" s="15" t="n"/>
      <c r="J30" s="15" t="n"/>
      <c r="K30" s="14" t="n"/>
      <c r="L30" s="14" t="n"/>
      <c r="M30" s="14" t="n"/>
    </row>
    <row r="31" ht="22" customHeight="1">
      <c r="B31" s="18">
        <f>IF(C31="","DEP-"&amp;TEXT(COUNTA($C$5:C31),"000"))</f>
        <v/>
      </c>
      <c r="C31" s="11" t="n"/>
      <c r="D31" s="11" t="n"/>
      <c r="E31" s="11" t="n"/>
      <c r="F31" s="31" t="n"/>
      <c r="G31" s="11" t="n"/>
      <c r="H31" s="12" t="n"/>
      <c r="I31" s="12" t="n"/>
      <c r="J31" s="12" t="n"/>
      <c r="K31" s="11" t="n"/>
      <c r="L31" s="11" t="n"/>
      <c r="M31" s="11" t="n"/>
    </row>
    <row r="32" ht="22" customHeight="1">
      <c r="B32" s="17">
        <f>IF(C32="","DEP-"&amp;TEXT(COUNTA($C$5:C32),"000"))</f>
        <v/>
      </c>
      <c r="C32" s="14" t="n"/>
      <c r="D32" s="14" t="n"/>
      <c r="E32" s="14" t="n"/>
      <c r="F32" s="32" t="n"/>
      <c r="G32" s="14" t="n"/>
      <c r="H32" s="15" t="n"/>
      <c r="I32" s="15" t="n"/>
      <c r="J32" s="15" t="n"/>
      <c r="K32" s="14" t="n"/>
      <c r="L32" s="14" t="n"/>
      <c r="M32" s="14" t="n"/>
    </row>
    <row r="33" ht="22" customHeight="1">
      <c r="B33" s="18">
        <f>IF(C33="","DEP-"&amp;TEXT(COUNTA($C$5:C33),"000"))</f>
        <v/>
      </c>
      <c r="C33" s="11" t="n"/>
      <c r="D33" s="11" t="n"/>
      <c r="E33" s="11" t="n"/>
      <c r="F33" s="31" t="n"/>
      <c r="G33" s="11" t="n"/>
      <c r="H33" s="12" t="n"/>
      <c r="I33" s="12" t="n"/>
      <c r="J33" s="12" t="n"/>
      <c r="K33" s="11" t="n"/>
      <c r="L33" s="11" t="n"/>
      <c r="M33" s="11" t="n"/>
    </row>
    <row r="34" ht="22" customHeight="1">
      <c r="B34" s="17">
        <f>IF(C34="","DEP-"&amp;TEXT(COUNTA($C$5:C34),"000"))</f>
        <v/>
      </c>
      <c r="C34" s="14" t="n"/>
      <c r="D34" s="14" t="n"/>
      <c r="E34" s="14" t="n"/>
      <c r="F34" s="32" t="n"/>
      <c r="G34" s="14" t="n"/>
      <c r="H34" s="15" t="n"/>
      <c r="I34" s="15" t="n"/>
      <c r="J34" s="15" t="n"/>
      <c r="K34" s="14" t="n"/>
      <c r="L34" s="14" t="n"/>
      <c r="M34" s="14" t="n"/>
    </row>
    <row r="35" ht="22" customHeight="1">
      <c r="B35" s="18">
        <f>IF(C35="","DEP-"&amp;TEXT(COUNTA($C$5:C35),"000"))</f>
        <v/>
      </c>
      <c r="C35" s="11" t="n"/>
      <c r="D35" s="11" t="n"/>
      <c r="E35" s="11" t="n"/>
      <c r="F35" s="31" t="n"/>
      <c r="G35" s="11" t="n"/>
      <c r="H35" s="12" t="n"/>
      <c r="I35" s="12" t="n"/>
      <c r="J35" s="12" t="n"/>
      <c r="K35" s="11" t="n"/>
      <c r="L35" s="11" t="n"/>
      <c r="M35" s="11" t="n"/>
    </row>
    <row r="36" ht="22" customHeight="1">
      <c r="B36" s="17">
        <f>IF(C36="","DEP-"&amp;TEXT(COUNTA($C$5:C36),"000"))</f>
        <v/>
      </c>
      <c r="C36" s="14" t="n"/>
      <c r="D36" s="14" t="n"/>
      <c r="E36" s="14" t="n"/>
      <c r="F36" s="32" t="n"/>
      <c r="G36" s="14" t="n"/>
      <c r="H36" s="15" t="n"/>
      <c r="I36" s="15" t="n"/>
      <c r="J36" s="15" t="n"/>
      <c r="K36" s="14" t="n"/>
      <c r="L36" s="14" t="n"/>
      <c r="M36" s="14" t="n"/>
    </row>
    <row r="37" ht="22" customHeight="1">
      <c r="B37" s="18">
        <f>IF(C37="","DEP-"&amp;TEXT(COUNTA($C$5:C37),"000"))</f>
        <v/>
      </c>
      <c r="C37" s="11" t="n"/>
      <c r="D37" s="11" t="n"/>
      <c r="E37" s="11" t="n"/>
      <c r="F37" s="31" t="n"/>
      <c r="G37" s="11" t="n"/>
      <c r="H37" s="12" t="n"/>
      <c r="I37" s="12" t="n"/>
      <c r="J37" s="12" t="n"/>
      <c r="K37" s="11" t="n"/>
      <c r="L37" s="11" t="n"/>
      <c r="M37" s="11" t="n"/>
    </row>
    <row r="38" ht="22" customHeight="1">
      <c r="B38" s="17">
        <f>IF(C38="","DEP-"&amp;TEXT(COUNTA($C$5:C38),"000"))</f>
        <v/>
      </c>
      <c r="C38" s="14" t="n"/>
      <c r="D38" s="14" t="n"/>
      <c r="E38" s="14" t="n"/>
      <c r="F38" s="32" t="n"/>
      <c r="G38" s="14" t="n"/>
      <c r="H38" s="15" t="n"/>
      <c r="I38" s="15" t="n"/>
      <c r="J38" s="15" t="n"/>
      <c r="K38" s="14" t="n"/>
      <c r="L38" s="14" t="n"/>
      <c r="M38" s="14" t="n"/>
    </row>
    <row r="39" ht="22" customHeight="1">
      <c r="B39" s="18">
        <f>IF(C39="","DEP-"&amp;TEXT(COUNTA($C$5:C39),"000"))</f>
        <v/>
      </c>
      <c r="C39" s="11" t="n"/>
      <c r="D39" s="11" t="n"/>
      <c r="E39" s="11" t="n"/>
      <c r="F39" s="31" t="n"/>
      <c r="G39" s="11" t="n"/>
      <c r="H39" s="12" t="n"/>
      <c r="I39" s="12" t="n"/>
      <c r="J39" s="12" t="n"/>
      <c r="K39" s="11" t="n"/>
      <c r="L39" s="11" t="n"/>
      <c r="M39" s="11" t="n"/>
    </row>
    <row r="40" ht="22" customHeight="1">
      <c r="B40" s="17">
        <f>IF(C40="","DEP-"&amp;TEXT(COUNTA($C$5:C40),"000"))</f>
        <v/>
      </c>
      <c r="C40" s="14" t="n"/>
      <c r="D40" s="14" t="n"/>
      <c r="E40" s="14" t="n"/>
      <c r="F40" s="32" t="n"/>
      <c r="G40" s="14" t="n"/>
      <c r="H40" s="15" t="n"/>
      <c r="I40" s="15" t="n"/>
      <c r="J40" s="15" t="n"/>
      <c r="K40" s="14" t="n"/>
      <c r="L40" s="14" t="n"/>
      <c r="M40" s="14" t="n"/>
    </row>
    <row r="41" ht="22" customHeight="1">
      <c r="B41" s="18">
        <f>IF(C41="","DEP-"&amp;TEXT(COUNTA($C$5:C41),"000"))</f>
        <v/>
      </c>
      <c r="C41" s="11" t="n"/>
      <c r="D41" s="11" t="n"/>
      <c r="E41" s="11" t="n"/>
      <c r="F41" s="31" t="n"/>
      <c r="G41" s="11" t="n"/>
      <c r="H41" s="12" t="n"/>
      <c r="I41" s="12" t="n"/>
      <c r="J41" s="12" t="n"/>
      <c r="K41" s="11" t="n"/>
      <c r="L41" s="11" t="n"/>
      <c r="M41" s="11" t="n"/>
    </row>
    <row r="42" ht="22" customHeight="1">
      <c r="B42" s="17">
        <f>IF(C42="","DEP-"&amp;TEXT(COUNTA($C$5:C42),"000"))</f>
        <v/>
      </c>
      <c r="C42" s="14" t="n"/>
      <c r="D42" s="14" t="n"/>
      <c r="E42" s="14" t="n"/>
      <c r="F42" s="32" t="n"/>
      <c r="G42" s="14" t="n"/>
      <c r="H42" s="15" t="n"/>
      <c r="I42" s="15" t="n"/>
      <c r="J42" s="15" t="n"/>
      <c r="K42" s="14" t="n"/>
      <c r="L42" s="14" t="n"/>
      <c r="M42" s="14" t="n"/>
    </row>
    <row r="43" ht="22" customHeight="1">
      <c r="B43" s="18">
        <f>IF(C43="","DEP-"&amp;TEXT(COUNTA($C$5:C43),"000"))</f>
        <v/>
      </c>
      <c r="C43" s="11" t="n"/>
      <c r="D43" s="11" t="n"/>
      <c r="E43" s="11" t="n"/>
      <c r="F43" s="31" t="n"/>
      <c r="G43" s="11" t="n"/>
      <c r="H43" s="12" t="n"/>
      <c r="I43" s="12" t="n"/>
      <c r="J43" s="12" t="n"/>
      <c r="K43" s="11" t="n"/>
      <c r="L43" s="11" t="n"/>
      <c r="M43" s="11" t="n"/>
    </row>
    <row r="44" ht="22" customHeight="1">
      <c r="B44" s="17">
        <f>IF(C44="","DEP-"&amp;TEXT(COUNTA($C$5:C44),"000"))</f>
        <v/>
      </c>
      <c r="C44" s="14" t="n"/>
      <c r="D44" s="14" t="n"/>
      <c r="E44" s="14" t="n"/>
      <c r="F44" s="32" t="n"/>
      <c r="G44" s="14" t="n"/>
      <c r="H44" s="15" t="n"/>
      <c r="I44" s="15" t="n"/>
      <c r="J44" s="15" t="n"/>
      <c r="K44" s="14" t="n"/>
      <c r="L44" s="14" t="n"/>
      <c r="M44" s="14" t="n"/>
    </row>
    <row r="45" ht="22" customHeight="1">
      <c r="B45" s="18">
        <f>IF(C45="","DEP-"&amp;TEXT(COUNTA($C$5:C45),"000"))</f>
        <v/>
      </c>
      <c r="C45" s="11" t="n"/>
      <c r="D45" s="11" t="n"/>
      <c r="E45" s="11" t="n"/>
      <c r="F45" s="31" t="n"/>
      <c r="G45" s="11" t="n"/>
      <c r="H45" s="12" t="n"/>
      <c r="I45" s="12" t="n"/>
      <c r="J45" s="12" t="n"/>
      <c r="K45" s="11" t="n"/>
      <c r="L45" s="11" t="n"/>
      <c r="M45" s="11" t="n"/>
    </row>
    <row r="46" ht="22" customHeight="1">
      <c r="B46" s="17">
        <f>IF(C46="","DEP-"&amp;TEXT(COUNTA($C$5:C46),"000"))</f>
        <v/>
      </c>
      <c r="C46" s="14" t="n"/>
      <c r="D46" s="14" t="n"/>
      <c r="E46" s="14" t="n"/>
      <c r="F46" s="32" t="n"/>
      <c r="G46" s="14" t="n"/>
      <c r="H46" s="15" t="n"/>
      <c r="I46" s="15" t="n"/>
      <c r="J46" s="15" t="n"/>
      <c r="K46" s="14" t="n"/>
      <c r="L46" s="14" t="n"/>
      <c r="M46" s="14" t="n"/>
    </row>
    <row r="47" ht="22" customHeight="1">
      <c r="B47" s="18">
        <f>IF(C47="","DEP-"&amp;TEXT(COUNTA($C$5:C47),"000"))</f>
        <v/>
      </c>
      <c r="C47" s="11" t="n"/>
      <c r="D47" s="11" t="n"/>
      <c r="E47" s="11" t="n"/>
      <c r="F47" s="31" t="n"/>
      <c r="G47" s="11" t="n"/>
      <c r="H47" s="12" t="n"/>
      <c r="I47" s="12" t="n"/>
      <c r="J47" s="12" t="n"/>
      <c r="K47" s="11" t="n"/>
      <c r="L47" s="11" t="n"/>
      <c r="M47" s="11" t="n"/>
    </row>
    <row r="48" ht="22" customHeight="1">
      <c r="B48" s="17">
        <f>IF(C48="","DEP-"&amp;TEXT(COUNTA($C$5:C48),"000"))</f>
        <v/>
      </c>
      <c r="C48" s="14" t="n"/>
      <c r="D48" s="14" t="n"/>
      <c r="E48" s="14" t="n"/>
      <c r="F48" s="32" t="n"/>
      <c r="G48" s="14" t="n"/>
      <c r="H48" s="15" t="n"/>
      <c r="I48" s="15" t="n"/>
      <c r="J48" s="15" t="n"/>
      <c r="K48" s="14" t="n"/>
      <c r="L48" s="14" t="n"/>
      <c r="M48" s="14" t="n"/>
    </row>
    <row r="49" ht="22" customHeight="1">
      <c r="B49" s="18">
        <f>IF(C49="","DEP-"&amp;TEXT(COUNTA($C$5:C49),"000"))</f>
        <v/>
      </c>
      <c r="C49" s="11" t="n"/>
      <c r="D49" s="11" t="n"/>
      <c r="E49" s="11" t="n"/>
      <c r="F49" s="31" t="n"/>
      <c r="G49" s="11" t="n"/>
      <c r="H49" s="12" t="n"/>
      <c r="I49" s="12" t="n"/>
      <c r="J49" s="12" t="n"/>
      <c r="K49" s="11" t="n"/>
      <c r="L49" s="11" t="n"/>
      <c r="M49" s="11" t="n"/>
    </row>
    <row r="50" ht="22" customHeight="1">
      <c r="B50" s="17">
        <f>IF(C50="","DEP-"&amp;TEXT(COUNTA($C$5:C50),"000"))</f>
        <v/>
      </c>
      <c r="C50" s="14" t="n"/>
      <c r="D50" s="14" t="n"/>
      <c r="E50" s="14" t="n"/>
      <c r="F50" s="32" t="n"/>
      <c r="G50" s="14" t="n"/>
      <c r="H50" s="15" t="n"/>
      <c r="I50" s="15" t="n"/>
      <c r="J50" s="15" t="n"/>
      <c r="K50" s="14" t="n"/>
      <c r="L50" s="14" t="n"/>
      <c r="M50" s="14" t="n"/>
    </row>
    <row r="51" ht="22" customHeight="1">
      <c r="B51" s="18">
        <f>IF(C51="","DEP-"&amp;TEXT(COUNTA($C$5:C51),"000"))</f>
        <v/>
      </c>
      <c r="C51" s="11" t="n"/>
      <c r="D51" s="11" t="n"/>
      <c r="E51" s="11" t="n"/>
      <c r="F51" s="31" t="n"/>
      <c r="G51" s="11" t="n"/>
      <c r="H51" s="12" t="n"/>
      <c r="I51" s="12" t="n"/>
      <c r="J51" s="12" t="n"/>
      <c r="K51" s="11" t="n"/>
      <c r="L51" s="11" t="n"/>
      <c r="M51" s="11" t="n"/>
    </row>
    <row r="52" ht="22" customHeight="1">
      <c r="B52" s="17">
        <f>IF(C52="","DEP-"&amp;TEXT(COUNTA($C$5:C52),"000"))</f>
        <v/>
      </c>
      <c r="C52" s="14" t="n"/>
      <c r="D52" s="14" t="n"/>
      <c r="E52" s="14" t="n"/>
      <c r="F52" s="32" t="n"/>
      <c r="G52" s="14" t="n"/>
      <c r="H52" s="15" t="n"/>
      <c r="I52" s="15" t="n"/>
      <c r="J52" s="15" t="n"/>
      <c r="K52" s="14" t="n"/>
      <c r="L52" s="14" t="n"/>
      <c r="M52" s="14" t="n"/>
    </row>
    <row r="53" ht="22" customHeight="1">
      <c r="B53" s="18">
        <f>IF(C53="","DEP-"&amp;TEXT(COUNTA($C$5:C53),"000"))</f>
        <v/>
      </c>
      <c r="C53" s="11" t="n"/>
      <c r="D53" s="11" t="n"/>
      <c r="E53" s="11" t="n"/>
      <c r="F53" s="31" t="n"/>
      <c r="G53" s="11" t="n"/>
      <c r="H53" s="12" t="n"/>
      <c r="I53" s="12" t="n"/>
      <c r="J53" s="12" t="n"/>
      <c r="K53" s="11" t="n"/>
      <c r="L53" s="11" t="n"/>
      <c r="M53" s="11" t="n"/>
    </row>
    <row r="54" ht="22" customHeight="1">
      <c r="B54" s="17">
        <f>IF(C54="","DEP-"&amp;TEXT(COUNTA($C$5:C54),"000"))</f>
        <v/>
      </c>
      <c r="C54" s="14" t="n"/>
      <c r="D54" s="14" t="n"/>
      <c r="E54" s="14" t="n"/>
      <c r="F54" s="32" t="n"/>
      <c r="G54" s="14" t="n"/>
      <c r="H54" s="15" t="n"/>
      <c r="I54" s="15" t="n"/>
      <c r="J54" s="15" t="n"/>
      <c r="K54" s="14" t="n"/>
      <c r="L54" s="14" t="n"/>
      <c r="M54" s="14" t="n"/>
    </row>
    <row r="55" ht="22" customHeight="1">
      <c r="B55" s="18">
        <f>IF(C55="","DEP-"&amp;TEXT(COUNTA($C$5:C55),"000"))</f>
        <v/>
      </c>
      <c r="C55" s="11" t="n"/>
      <c r="D55" s="11" t="n"/>
      <c r="E55" s="11" t="n"/>
      <c r="F55" s="31" t="n"/>
      <c r="G55" s="11" t="n"/>
      <c r="H55" s="12" t="n"/>
      <c r="I55" s="12" t="n"/>
      <c r="J55" s="12" t="n"/>
      <c r="K55" s="11" t="n"/>
      <c r="L55" s="11" t="n"/>
      <c r="M55" s="11" t="n"/>
    </row>
    <row r="56" ht="22" customHeight="1">
      <c r="B56" s="17">
        <f>IF(C56="","DEP-"&amp;TEXT(COUNTA($C$5:C56),"000"))</f>
        <v/>
      </c>
      <c r="C56" s="14" t="n"/>
      <c r="D56" s="14" t="n"/>
      <c r="E56" s="14" t="n"/>
      <c r="F56" s="32" t="n"/>
      <c r="G56" s="14" t="n"/>
      <c r="H56" s="15" t="n"/>
      <c r="I56" s="15" t="n"/>
      <c r="J56" s="15" t="n"/>
      <c r="K56" s="14" t="n"/>
      <c r="L56" s="14" t="n"/>
      <c r="M56" s="14" t="n"/>
    </row>
    <row r="57" ht="22" customHeight="1">
      <c r="B57" s="18">
        <f>IF(C57="","DEP-"&amp;TEXT(COUNTA($C$5:C57),"000"))</f>
        <v/>
      </c>
      <c r="C57" s="11" t="n"/>
      <c r="D57" s="11" t="n"/>
      <c r="E57" s="11" t="n"/>
      <c r="F57" s="31" t="n"/>
      <c r="G57" s="11" t="n"/>
      <c r="H57" s="12" t="n"/>
      <c r="I57" s="12" t="n"/>
      <c r="J57" s="12" t="n"/>
      <c r="K57" s="11" t="n"/>
      <c r="L57" s="11" t="n"/>
      <c r="M57" s="11" t="n"/>
    </row>
    <row r="58" ht="22" customHeight="1">
      <c r="B58" s="17">
        <f>IF(C58="","DEP-"&amp;TEXT(COUNTA($C$5:C58),"000"))</f>
        <v/>
      </c>
      <c r="C58" s="14" t="n"/>
      <c r="D58" s="14" t="n"/>
      <c r="E58" s="14" t="n"/>
      <c r="F58" s="32" t="n"/>
      <c r="G58" s="14" t="n"/>
      <c r="H58" s="15" t="n"/>
      <c r="I58" s="15" t="n"/>
      <c r="J58" s="15" t="n"/>
      <c r="K58" s="14" t="n"/>
      <c r="L58" s="14" t="n"/>
      <c r="M58" s="14" t="n"/>
    </row>
    <row r="59" ht="22" customHeight="1">
      <c r="B59" s="18">
        <f>IF(C59="","DEP-"&amp;TEXT(COUNTA($C$5:C59),"000"))</f>
        <v/>
      </c>
      <c r="C59" s="11" t="n"/>
      <c r="D59" s="11" t="n"/>
      <c r="E59" s="11" t="n"/>
      <c r="F59" s="31" t="n"/>
      <c r="G59" s="11" t="n"/>
      <c r="H59" s="12" t="n"/>
      <c r="I59" s="12" t="n"/>
      <c r="J59" s="12" t="n"/>
      <c r="K59" s="11" t="n"/>
      <c r="L59" s="11" t="n"/>
      <c r="M59" s="11" t="n"/>
    </row>
    <row r="60" ht="22" customHeight="1">
      <c r="B60" s="17">
        <f>IF(C60="","DEP-"&amp;TEXT(COUNTA($C$5:C60),"000"))</f>
        <v/>
      </c>
      <c r="C60" s="14" t="n"/>
      <c r="D60" s="14" t="n"/>
      <c r="E60" s="14" t="n"/>
      <c r="F60" s="32" t="n"/>
      <c r="G60" s="14" t="n"/>
      <c r="H60" s="15" t="n"/>
      <c r="I60" s="15" t="n"/>
      <c r="J60" s="15" t="n"/>
      <c r="K60" s="14" t="n"/>
      <c r="L60" s="14" t="n"/>
      <c r="M60" s="14" t="n"/>
    </row>
    <row r="61" ht="22" customHeight="1">
      <c r="B61" s="18">
        <f>IF(C61="","DEP-"&amp;TEXT(COUNTA($C$5:C61),"000"))</f>
        <v/>
      </c>
      <c r="C61" s="11" t="n"/>
      <c r="D61" s="11" t="n"/>
      <c r="E61" s="11" t="n"/>
      <c r="F61" s="31" t="n"/>
      <c r="G61" s="11" t="n"/>
      <c r="H61" s="12" t="n"/>
      <c r="I61" s="12" t="n"/>
      <c r="J61" s="12" t="n"/>
      <c r="K61" s="11" t="n"/>
      <c r="L61" s="11" t="n"/>
      <c r="M61" s="11" t="n"/>
    </row>
    <row r="62" ht="22" customHeight="1">
      <c r="B62" s="17">
        <f>IF(C62="","DEP-"&amp;TEXT(COUNTA($C$5:C62),"000"))</f>
        <v/>
      </c>
      <c r="C62" s="14" t="n"/>
      <c r="D62" s="14" t="n"/>
      <c r="E62" s="14" t="n"/>
      <c r="F62" s="32" t="n"/>
      <c r="G62" s="14" t="n"/>
      <c r="H62" s="15" t="n"/>
      <c r="I62" s="15" t="n"/>
      <c r="J62" s="15" t="n"/>
      <c r="K62" s="14" t="n"/>
      <c r="L62" s="14" t="n"/>
      <c r="M62" s="14" t="n"/>
    </row>
    <row r="63" ht="22" customHeight="1">
      <c r="B63" s="18">
        <f>IF(C63="","DEP-"&amp;TEXT(COUNTA($C$5:C63),"000"))</f>
        <v/>
      </c>
      <c r="C63" s="11" t="n"/>
      <c r="D63" s="11" t="n"/>
      <c r="E63" s="11" t="n"/>
      <c r="F63" s="31" t="n"/>
      <c r="G63" s="11" t="n"/>
      <c r="H63" s="12" t="n"/>
      <c r="I63" s="12" t="n"/>
      <c r="J63" s="12" t="n"/>
      <c r="K63" s="11" t="n"/>
      <c r="L63" s="11" t="n"/>
      <c r="M63" s="11" t="n"/>
    </row>
    <row r="64" ht="22" customHeight="1">
      <c r="B64" s="17">
        <f>IF(C64="","DEP-"&amp;TEXT(COUNTA($C$5:C64),"000"))</f>
        <v/>
      </c>
      <c r="C64" s="14" t="n"/>
      <c r="D64" s="14" t="n"/>
      <c r="E64" s="14" t="n"/>
      <c r="F64" s="32" t="n"/>
      <c r="G64" s="14" t="n"/>
      <c r="H64" s="15" t="n"/>
      <c r="I64" s="15" t="n"/>
      <c r="J64" s="15" t="n"/>
      <c r="K64" s="14" t="n"/>
      <c r="L64" s="14" t="n"/>
      <c r="M64" s="14" t="n"/>
    </row>
    <row r="65" ht="22" customHeight="1">
      <c r="B65" s="18">
        <f>IF(C65="","DEP-"&amp;TEXT(COUNTA($C$5:C65),"000"))</f>
        <v/>
      </c>
      <c r="C65" s="11" t="n"/>
      <c r="D65" s="11" t="n"/>
      <c r="E65" s="11" t="n"/>
      <c r="F65" s="31" t="n"/>
      <c r="G65" s="11" t="n"/>
      <c r="H65" s="12" t="n"/>
      <c r="I65" s="12" t="n"/>
      <c r="J65" s="12" t="n"/>
      <c r="K65" s="11" t="n"/>
      <c r="L65" s="11" t="n"/>
      <c r="M65" s="11" t="n"/>
    </row>
    <row r="66" ht="22" customHeight="1">
      <c r="B66" s="17">
        <f>IF(C66="","DEP-"&amp;TEXT(COUNTA($C$5:C66),"000"))</f>
        <v/>
      </c>
      <c r="C66" s="14" t="n"/>
      <c r="D66" s="14" t="n"/>
      <c r="E66" s="14" t="n"/>
      <c r="F66" s="32" t="n"/>
      <c r="G66" s="14" t="n"/>
      <c r="H66" s="15" t="n"/>
      <c r="I66" s="15" t="n"/>
      <c r="J66" s="15" t="n"/>
      <c r="K66" s="14" t="n"/>
      <c r="L66" s="14" t="n"/>
      <c r="M66" s="14" t="n"/>
    </row>
    <row r="67" ht="22" customHeight="1">
      <c r="B67" s="18">
        <f>IF(C67="","DEP-"&amp;TEXT(COUNTA($C$5:C67),"000"))</f>
        <v/>
      </c>
      <c r="C67" s="11" t="n"/>
      <c r="D67" s="11" t="n"/>
      <c r="E67" s="11" t="n"/>
      <c r="F67" s="31" t="n"/>
      <c r="G67" s="11" t="n"/>
      <c r="H67" s="12" t="n"/>
      <c r="I67" s="12" t="n"/>
      <c r="J67" s="12" t="n"/>
      <c r="K67" s="11" t="n"/>
      <c r="L67" s="11" t="n"/>
      <c r="M67" s="11" t="n"/>
    </row>
    <row r="68" ht="22" customHeight="1">
      <c r="B68" s="17">
        <f>IF(C68="","DEP-"&amp;TEXT(COUNTA($C$5:C68),"000"))</f>
        <v/>
      </c>
      <c r="C68" s="14" t="n"/>
      <c r="D68" s="14" t="n"/>
      <c r="E68" s="14" t="n"/>
      <c r="F68" s="32" t="n"/>
      <c r="G68" s="14" t="n"/>
      <c r="H68" s="15" t="n"/>
      <c r="I68" s="15" t="n"/>
      <c r="J68" s="15" t="n"/>
      <c r="K68" s="14" t="n"/>
      <c r="L68" s="14" t="n"/>
      <c r="M68" s="14" t="n"/>
    </row>
    <row r="69" ht="22" customHeight="1">
      <c r="B69" s="18">
        <f>IF(C69="","DEP-"&amp;TEXT(COUNTA($C$5:C69),"000"))</f>
        <v/>
      </c>
      <c r="C69" s="11" t="n"/>
      <c r="D69" s="11" t="n"/>
      <c r="E69" s="11" t="n"/>
      <c r="F69" s="31" t="n"/>
      <c r="G69" s="11" t="n"/>
      <c r="H69" s="12" t="n"/>
      <c r="I69" s="12" t="n"/>
      <c r="J69" s="12" t="n"/>
      <c r="K69" s="11" t="n"/>
      <c r="L69" s="11" t="n"/>
      <c r="M69" s="11" t="n"/>
    </row>
    <row r="70" ht="22" customHeight="1">
      <c r="B70" s="17">
        <f>IF(C70="","DEP-"&amp;TEXT(COUNTA($C$5:C70),"000"))</f>
        <v/>
      </c>
      <c r="C70" s="14" t="n"/>
      <c r="D70" s="14" t="n"/>
      <c r="E70" s="14" t="n"/>
      <c r="F70" s="32" t="n"/>
      <c r="G70" s="14" t="n"/>
      <c r="H70" s="15" t="n"/>
      <c r="I70" s="15" t="n"/>
      <c r="J70" s="15" t="n"/>
      <c r="K70" s="14" t="n"/>
      <c r="L70" s="14" t="n"/>
      <c r="M70" s="14" t="n"/>
    </row>
    <row r="71" ht="22" customHeight="1">
      <c r="B71" s="18">
        <f>IF(C71="","DEP-"&amp;TEXT(COUNTA($C$5:C71),"000"))</f>
        <v/>
      </c>
      <c r="C71" s="11" t="n"/>
      <c r="D71" s="11" t="n"/>
      <c r="E71" s="11" t="n"/>
      <c r="F71" s="31" t="n"/>
      <c r="G71" s="11" t="n"/>
      <c r="H71" s="12" t="n"/>
      <c r="I71" s="12" t="n"/>
      <c r="J71" s="12" t="n"/>
      <c r="K71" s="11" t="n"/>
      <c r="L71" s="11" t="n"/>
      <c r="M71" s="11" t="n"/>
    </row>
    <row r="72" ht="22" customHeight="1">
      <c r="B72" s="17">
        <f>IF(C72="","DEP-"&amp;TEXT(COUNTA($C$5:C72),"000"))</f>
        <v/>
      </c>
      <c r="C72" s="14" t="n"/>
      <c r="D72" s="14" t="n"/>
      <c r="E72" s="14" t="n"/>
      <c r="F72" s="32" t="n"/>
      <c r="G72" s="14" t="n"/>
      <c r="H72" s="15" t="n"/>
      <c r="I72" s="15" t="n"/>
      <c r="J72" s="15" t="n"/>
      <c r="K72" s="14" t="n"/>
      <c r="L72" s="14" t="n"/>
      <c r="M72" s="14" t="n"/>
    </row>
    <row r="73" ht="22" customHeight="1">
      <c r="B73" s="18">
        <f>IF(C73="","DEP-"&amp;TEXT(COUNTA($C$5:C73),"000"))</f>
        <v/>
      </c>
      <c r="C73" s="11" t="n"/>
      <c r="D73" s="11" t="n"/>
      <c r="E73" s="11" t="n"/>
      <c r="F73" s="31" t="n"/>
      <c r="G73" s="11" t="n"/>
      <c r="H73" s="12" t="n"/>
      <c r="I73" s="12" t="n"/>
      <c r="J73" s="12" t="n"/>
      <c r="K73" s="11" t="n"/>
      <c r="L73" s="11" t="n"/>
      <c r="M73" s="11" t="n"/>
    </row>
    <row r="74" ht="22" customHeight="1">
      <c r="B74" s="17">
        <f>IF(C74="","DEP-"&amp;TEXT(COUNTA($C$5:C74),"000"))</f>
        <v/>
      </c>
      <c r="C74" s="14" t="n"/>
      <c r="D74" s="14" t="n"/>
      <c r="E74" s="14" t="n"/>
      <c r="F74" s="32" t="n"/>
      <c r="G74" s="14" t="n"/>
      <c r="H74" s="15" t="n"/>
      <c r="I74" s="15" t="n"/>
      <c r="J74" s="15" t="n"/>
      <c r="K74" s="14" t="n"/>
      <c r="L74" s="14" t="n"/>
      <c r="M74" s="14" t="n"/>
    </row>
    <row r="75" ht="22" customHeight="1">
      <c r="B75" s="18">
        <f>IF(C75="","DEP-"&amp;TEXT(COUNTA($C$5:C75),"000"))</f>
        <v/>
      </c>
      <c r="C75" s="11" t="n"/>
      <c r="D75" s="11" t="n"/>
      <c r="E75" s="11" t="n"/>
      <c r="F75" s="31" t="n"/>
      <c r="G75" s="11" t="n"/>
      <c r="H75" s="12" t="n"/>
      <c r="I75" s="12" t="n"/>
      <c r="J75" s="12" t="n"/>
      <c r="K75" s="11" t="n"/>
      <c r="L75" s="11" t="n"/>
      <c r="M75" s="11" t="n"/>
    </row>
    <row r="76" ht="22" customHeight="1">
      <c r="B76" s="17">
        <f>IF(C76="","DEP-"&amp;TEXT(COUNTA($C$5:C76),"000"))</f>
        <v/>
      </c>
      <c r="C76" s="14" t="n"/>
      <c r="D76" s="14" t="n"/>
      <c r="E76" s="14" t="n"/>
      <c r="F76" s="32" t="n"/>
      <c r="G76" s="14" t="n"/>
      <c r="H76" s="15" t="n"/>
      <c r="I76" s="15" t="n"/>
      <c r="J76" s="15" t="n"/>
      <c r="K76" s="14" t="n"/>
      <c r="L76" s="14" t="n"/>
      <c r="M76" s="14" t="n"/>
    </row>
    <row r="77" ht="22" customHeight="1">
      <c r="B77" s="18">
        <f>IF(C77="","DEP-"&amp;TEXT(COUNTA($C$5:C77),"000"))</f>
        <v/>
      </c>
      <c r="C77" s="11" t="n"/>
      <c r="D77" s="11" t="n"/>
      <c r="E77" s="11" t="n"/>
      <c r="F77" s="31" t="n"/>
      <c r="G77" s="11" t="n"/>
      <c r="H77" s="12" t="n"/>
      <c r="I77" s="12" t="n"/>
      <c r="J77" s="12" t="n"/>
      <c r="K77" s="11" t="n"/>
      <c r="L77" s="11" t="n"/>
      <c r="M77" s="11" t="n"/>
    </row>
    <row r="78" ht="22" customHeight="1">
      <c r="B78" s="17">
        <f>IF(C78="","DEP-"&amp;TEXT(COUNTA($C$5:C78),"000"))</f>
        <v/>
      </c>
      <c r="C78" s="14" t="n"/>
      <c r="D78" s="14" t="n"/>
      <c r="E78" s="14" t="n"/>
      <c r="F78" s="32" t="n"/>
      <c r="G78" s="14" t="n"/>
      <c r="H78" s="15" t="n"/>
      <c r="I78" s="15" t="n"/>
      <c r="J78" s="15" t="n"/>
      <c r="K78" s="14" t="n"/>
      <c r="L78" s="14" t="n"/>
      <c r="M78" s="14" t="n"/>
    </row>
    <row r="79" ht="22" customHeight="1">
      <c r="B79" s="18">
        <f>IF(C79="","DEP-"&amp;TEXT(COUNTA($C$5:C79),"000"))</f>
        <v/>
      </c>
      <c r="C79" s="11" t="n"/>
      <c r="D79" s="11" t="n"/>
      <c r="E79" s="11" t="n"/>
      <c r="F79" s="31" t="n"/>
      <c r="G79" s="11" t="n"/>
      <c r="H79" s="12" t="n"/>
      <c r="I79" s="12" t="n"/>
      <c r="J79" s="12" t="n"/>
      <c r="K79" s="11" t="n"/>
      <c r="L79" s="11" t="n"/>
      <c r="M79" s="11" t="n"/>
    </row>
    <row r="80" ht="22" customHeight="1">
      <c r="B80" s="17">
        <f>IF(C80="","DEP-"&amp;TEXT(COUNTA($C$5:C80),"000"))</f>
        <v/>
      </c>
      <c r="C80" s="14" t="n"/>
      <c r="D80" s="14" t="n"/>
      <c r="E80" s="14" t="n"/>
      <c r="F80" s="32" t="n"/>
      <c r="G80" s="14" t="n"/>
      <c r="H80" s="15" t="n"/>
      <c r="I80" s="15" t="n"/>
      <c r="J80" s="15" t="n"/>
      <c r="K80" s="14" t="n"/>
      <c r="L80" s="14" t="n"/>
      <c r="M80" s="14" t="n"/>
    </row>
    <row r="81" ht="22" customHeight="1">
      <c r="B81" s="18">
        <f>IF(C81="","DEP-"&amp;TEXT(COUNTA($C$5:C81),"000"))</f>
        <v/>
      </c>
      <c r="C81" s="11" t="n"/>
      <c r="D81" s="11" t="n"/>
      <c r="E81" s="11" t="n"/>
      <c r="F81" s="31" t="n"/>
      <c r="G81" s="11" t="n"/>
      <c r="H81" s="12" t="n"/>
      <c r="I81" s="12" t="n"/>
      <c r="J81" s="12" t="n"/>
      <c r="K81" s="11" t="n"/>
      <c r="L81" s="11" t="n"/>
      <c r="M81" s="11" t="n"/>
    </row>
    <row r="82" ht="22" customHeight="1">
      <c r="B82" s="17">
        <f>IF(C82="","DEP-"&amp;TEXT(COUNTA($C$5:C82),"000"))</f>
        <v/>
      </c>
      <c r="C82" s="14" t="n"/>
      <c r="D82" s="14" t="n"/>
      <c r="E82" s="14" t="n"/>
      <c r="F82" s="32" t="n"/>
      <c r="G82" s="14" t="n"/>
      <c r="H82" s="15" t="n"/>
      <c r="I82" s="15" t="n"/>
      <c r="J82" s="15" t="n"/>
      <c r="K82" s="14" t="n"/>
      <c r="L82" s="14" t="n"/>
      <c r="M82" s="14" t="n"/>
    </row>
    <row r="83" ht="22" customHeight="1">
      <c r="B83" s="18">
        <f>IF(C83="","DEP-"&amp;TEXT(COUNTA($C$5:C83),"000"))</f>
        <v/>
      </c>
      <c r="C83" s="11" t="n"/>
      <c r="D83" s="11" t="n"/>
      <c r="E83" s="11" t="n"/>
      <c r="F83" s="31" t="n"/>
      <c r="G83" s="11" t="n"/>
      <c r="H83" s="12" t="n"/>
      <c r="I83" s="12" t="n"/>
      <c r="J83" s="12" t="n"/>
      <c r="K83" s="11" t="n"/>
      <c r="L83" s="11" t="n"/>
      <c r="M83" s="11" t="n"/>
    </row>
    <row r="84" ht="22" customHeight="1">
      <c r="B84" s="17">
        <f>IF(C84="","DEP-"&amp;TEXT(COUNTA($C$5:C84),"000"))</f>
        <v/>
      </c>
      <c r="C84" s="14" t="n"/>
      <c r="D84" s="14" t="n"/>
      <c r="E84" s="14" t="n"/>
      <c r="F84" s="32" t="n"/>
      <c r="G84" s="14" t="n"/>
      <c r="H84" s="15" t="n"/>
      <c r="I84" s="15" t="n"/>
      <c r="J84" s="15" t="n"/>
      <c r="K84" s="14" t="n"/>
      <c r="L84" s="14" t="n"/>
      <c r="M84" s="14" t="n"/>
    </row>
    <row r="85" ht="22" customHeight="1">
      <c r="B85" s="18">
        <f>IF(C85="","DEP-"&amp;TEXT(COUNTA($C$5:C85),"000"))</f>
        <v/>
      </c>
      <c r="C85" s="11" t="n"/>
      <c r="D85" s="11" t="n"/>
      <c r="E85" s="11" t="n"/>
      <c r="F85" s="31" t="n"/>
      <c r="G85" s="11" t="n"/>
      <c r="H85" s="12" t="n"/>
      <c r="I85" s="12" t="n"/>
      <c r="J85" s="12" t="n"/>
      <c r="K85" s="11" t="n"/>
      <c r="L85" s="11" t="n"/>
      <c r="M85" s="11" t="n"/>
    </row>
    <row r="86" ht="22" customHeight="1">
      <c r="B86" s="17">
        <f>IF(C86="","DEP-"&amp;TEXT(COUNTA($C$5:C86),"000"))</f>
        <v/>
      </c>
      <c r="C86" s="14" t="n"/>
      <c r="D86" s="14" t="n"/>
      <c r="E86" s="14" t="n"/>
      <c r="F86" s="32" t="n"/>
      <c r="G86" s="14" t="n"/>
      <c r="H86" s="15" t="n"/>
      <c r="I86" s="15" t="n"/>
      <c r="J86" s="15" t="n"/>
      <c r="K86" s="14" t="n"/>
      <c r="L86" s="14" t="n"/>
      <c r="M86" s="14" t="n"/>
    </row>
    <row r="87" ht="22" customHeight="1">
      <c r="B87" s="18">
        <f>IF(C87="","DEP-"&amp;TEXT(COUNTA($C$5:C87),"000"))</f>
        <v/>
      </c>
      <c r="C87" s="11" t="n"/>
      <c r="D87" s="11" t="n"/>
      <c r="E87" s="11" t="n"/>
      <c r="F87" s="31" t="n"/>
      <c r="G87" s="11" t="n"/>
      <c r="H87" s="12" t="n"/>
      <c r="I87" s="12" t="n"/>
      <c r="J87" s="12" t="n"/>
      <c r="K87" s="11" t="n"/>
      <c r="L87" s="11" t="n"/>
      <c r="M87" s="11" t="n"/>
    </row>
    <row r="88" ht="22" customHeight="1">
      <c r="B88" s="17">
        <f>IF(C88="","DEP-"&amp;TEXT(COUNTA($C$5:C88),"000"))</f>
        <v/>
      </c>
      <c r="C88" s="14" t="n"/>
      <c r="D88" s="14" t="n"/>
      <c r="E88" s="14" t="n"/>
      <c r="F88" s="32" t="n"/>
      <c r="G88" s="14" t="n"/>
      <c r="H88" s="15" t="n"/>
      <c r="I88" s="15" t="n"/>
      <c r="J88" s="15" t="n"/>
      <c r="K88" s="14" t="n"/>
      <c r="L88" s="14" t="n"/>
      <c r="M88" s="14" t="n"/>
    </row>
    <row r="89" ht="22" customHeight="1">
      <c r="B89" s="18">
        <f>IF(C89="","DEP-"&amp;TEXT(COUNTA($C$5:C89),"000"))</f>
        <v/>
      </c>
      <c r="C89" s="11" t="n"/>
      <c r="D89" s="11" t="n"/>
      <c r="E89" s="11" t="n"/>
      <c r="F89" s="31" t="n"/>
      <c r="G89" s="11" t="n"/>
      <c r="H89" s="12" t="n"/>
      <c r="I89" s="12" t="n"/>
      <c r="J89" s="12" t="n"/>
      <c r="K89" s="11" t="n"/>
      <c r="L89" s="11" t="n"/>
      <c r="M89" s="11" t="n"/>
    </row>
    <row r="90" ht="22" customHeight="1">
      <c r="B90" s="17">
        <f>IF(C90="","DEP-"&amp;TEXT(COUNTA($C$5:C90),"000"))</f>
        <v/>
      </c>
      <c r="C90" s="14" t="n"/>
      <c r="D90" s="14" t="n"/>
      <c r="E90" s="14" t="n"/>
      <c r="F90" s="32" t="n"/>
      <c r="G90" s="14" t="n"/>
      <c r="H90" s="15" t="n"/>
      <c r="I90" s="15" t="n"/>
      <c r="J90" s="15" t="n"/>
      <c r="K90" s="14" t="n"/>
      <c r="L90" s="14" t="n"/>
      <c r="M90" s="14" t="n"/>
    </row>
    <row r="91" ht="22" customHeight="1">
      <c r="B91" s="18">
        <f>IF(C91="","DEP-"&amp;TEXT(COUNTA($C$5:C91),"000"))</f>
        <v/>
      </c>
      <c r="C91" s="11" t="n"/>
      <c r="D91" s="11" t="n"/>
      <c r="E91" s="11" t="n"/>
      <c r="F91" s="31" t="n"/>
      <c r="G91" s="11" t="n"/>
      <c r="H91" s="12" t="n"/>
      <c r="I91" s="12" t="n"/>
      <c r="J91" s="12" t="n"/>
      <c r="K91" s="11" t="n"/>
      <c r="L91" s="11" t="n"/>
      <c r="M91" s="11" t="n"/>
    </row>
    <row r="92" ht="22" customHeight="1">
      <c r="B92" s="17">
        <f>IF(C92="","DEP-"&amp;TEXT(COUNTA($C$5:C92),"000"))</f>
        <v/>
      </c>
      <c r="C92" s="14" t="n"/>
      <c r="D92" s="14" t="n"/>
      <c r="E92" s="14" t="n"/>
      <c r="F92" s="32" t="n"/>
      <c r="G92" s="14" t="n"/>
      <c r="H92" s="15" t="n"/>
      <c r="I92" s="15" t="n"/>
      <c r="J92" s="15" t="n"/>
      <c r="K92" s="14" t="n"/>
      <c r="L92" s="14" t="n"/>
      <c r="M92" s="14" t="n"/>
    </row>
    <row r="93" ht="22" customHeight="1">
      <c r="B93" s="18">
        <f>IF(C93="","DEP-"&amp;TEXT(COUNTA($C$5:C93),"000"))</f>
        <v/>
      </c>
      <c r="C93" s="11" t="n"/>
      <c r="D93" s="11" t="n"/>
      <c r="E93" s="11" t="n"/>
      <c r="F93" s="31" t="n"/>
      <c r="G93" s="11" t="n"/>
      <c r="H93" s="12" t="n"/>
      <c r="I93" s="12" t="n"/>
      <c r="J93" s="12" t="n"/>
      <c r="K93" s="11" t="n"/>
      <c r="L93" s="11" t="n"/>
      <c r="M93" s="11" t="n"/>
    </row>
    <row r="94" ht="22" customHeight="1">
      <c r="B94" s="17">
        <f>IF(C94="","DEP-"&amp;TEXT(COUNTA($C$5:C94),"000"))</f>
        <v/>
      </c>
      <c r="C94" s="14" t="n"/>
      <c r="D94" s="14" t="n"/>
      <c r="E94" s="14" t="n"/>
      <c r="F94" s="32" t="n"/>
      <c r="G94" s="14" t="n"/>
      <c r="H94" s="15" t="n"/>
      <c r="I94" s="15" t="n"/>
      <c r="J94" s="15" t="n"/>
      <c r="K94" s="14" t="n"/>
      <c r="L94" s="14" t="n"/>
      <c r="M94" s="14" t="n"/>
    </row>
    <row r="95" ht="22" customHeight="1">
      <c r="B95" s="18">
        <f>IF(C95="","DEP-"&amp;TEXT(COUNTA($C$5:C95),"000"))</f>
        <v/>
      </c>
      <c r="C95" s="11" t="n"/>
      <c r="D95" s="11" t="n"/>
      <c r="E95" s="11" t="n"/>
      <c r="F95" s="31" t="n"/>
      <c r="G95" s="11" t="n"/>
      <c r="H95" s="12" t="n"/>
      <c r="I95" s="12" t="n"/>
      <c r="J95" s="12" t="n"/>
      <c r="K95" s="11" t="n"/>
      <c r="L95" s="11" t="n"/>
      <c r="M95" s="11" t="n"/>
    </row>
    <row r="96" ht="22" customHeight="1">
      <c r="B96" s="17">
        <f>IF(C96="","DEP-"&amp;TEXT(COUNTA($C$5:C96),"000"))</f>
        <v/>
      </c>
      <c r="C96" s="14" t="n"/>
      <c r="D96" s="14" t="n"/>
      <c r="E96" s="14" t="n"/>
      <c r="F96" s="32" t="n"/>
      <c r="G96" s="14" t="n"/>
      <c r="H96" s="15" t="n"/>
      <c r="I96" s="15" t="n"/>
      <c r="J96" s="15" t="n"/>
      <c r="K96" s="14" t="n"/>
      <c r="L96" s="14" t="n"/>
      <c r="M96" s="14" t="n"/>
    </row>
    <row r="97" ht="22" customHeight="1">
      <c r="B97" s="18">
        <f>IF(C97="","DEP-"&amp;TEXT(COUNTA($C$5:C97),"000"))</f>
        <v/>
      </c>
      <c r="C97" s="11" t="n"/>
      <c r="D97" s="11" t="n"/>
      <c r="E97" s="11" t="n"/>
      <c r="F97" s="31" t="n"/>
      <c r="G97" s="11" t="n"/>
      <c r="H97" s="12" t="n"/>
      <c r="I97" s="12" t="n"/>
      <c r="J97" s="12" t="n"/>
      <c r="K97" s="11" t="n"/>
      <c r="L97" s="11" t="n"/>
      <c r="M97" s="11" t="n"/>
    </row>
    <row r="98" ht="22" customHeight="1">
      <c r="B98" s="17">
        <f>IF(C98="","DEP-"&amp;TEXT(COUNTA($C$5:C98),"000"))</f>
        <v/>
      </c>
      <c r="C98" s="14" t="n"/>
      <c r="D98" s="14" t="n"/>
      <c r="E98" s="14" t="n"/>
      <c r="F98" s="32" t="n"/>
      <c r="G98" s="14" t="n"/>
      <c r="H98" s="15" t="n"/>
      <c r="I98" s="15" t="n"/>
      <c r="J98" s="15" t="n"/>
      <c r="K98" s="14" t="n"/>
      <c r="L98" s="14" t="n"/>
      <c r="M98" s="14" t="n"/>
    </row>
    <row r="99" ht="22" customHeight="1">
      <c r="B99" s="18">
        <f>IF(C99="","DEP-"&amp;TEXT(COUNTA($C$5:C99),"000"))</f>
        <v/>
      </c>
      <c r="C99" s="11" t="n"/>
      <c r="D99" s="11" t="n"/>
      <c r="E99" s="11" t="n"/>
      <c r="F99" s="31" t="n"/>
      <c r="G99" s="11" t="n"/>
      <c r="H99" s="12" t="n"/>
      <c r="I99" s="12" t="n"/>
      <c r="J99" s="12" t="n"/>
      <c r="K99" s="11" t="n"/>
      <c r="L99" s="11" t="n"/>
      <c r="M99" s="11" t="n"/>
    </row>
    <row r="100" ht="22" customHeight="1">
      <c r="B100" s="17">
        <f>IF(C100="","DEP-"&amp;TEXT(COUNTA($C$5:C100),"000"))</f>
        <v/>
      </c>
      <c r="C100" s="14" t="n"/>
      <c r="D100" s="14" t="n"/>
      <c r="E100" s="14" t="n"/>
      <c r="F100" s="32" t="n"/>
      <c r="G100" s="14" t="n"/>
      <c r="H100" s="15" t="n"/>
      <c r="I100" s="15" t="n"/>
      <c r="J100" s="15" t="n"/>
      <c r="K100" s="14" t="n"/>
      <c r="L100" s="14" t="n"/>
      <c r="M100" s="14" t="n"/>
    </row>
    <row r="101" ht="22" customHeight="1">
      <c r="B101" s="18">
        <f>IF(C101="","DEP-"&amp;TEXT(COUNTA($C$5:C101),"000"))</f>
        <v/>
      </c>
      <c r="C101" s="11" t="n"/>
      <c r="D101" s="11" t="n"/>
      <c r="E101" s="11" t="n"/>
      <c r="F101" s="31" t="n"/>
      <c r="G101" s="11" t="n"/>
      <c r="H101" s="12" t="n"/>
      <c r="I101" s="12" t="n"/>
      <c r="J101" s="12" t="n"/>
      <c r="K101" s="11" t="n"/>
      <c r="L101" s="11" t="n"/>
      <c r="M101" s="11" t="n"/>
    </row>
    <row r="102" ht="22" customHeight="1">
      <c r="B102" s="17">
        <f>IF(C102="","DEP-"&amp;TEXT(COUNTA($C$5:C102),"000"))</f>
        <v/>
      </c>
      <c r="C102" s="14" t="n"/>
      <c r="D102" s="14" t="n"/>
      <c r="E102" s="14" t="n"/>
      <c r="F102" s="32" t="n"/>
      <c r="G102" s="14" t="n"/>
      <c r="H102" s="15" t="n"/>
      <c r="I102" s="15" t="n"/>
      <c r="J102" s="15" t="n"/>
      <c r="K102" s="14" t="n"/>
      <c r="L102" s="14" t="n"/>
      <c r="M102" s="14" t="n"/>
    </row>
    <row r="103" ht="22" customHeight="1">
      <c r="B103" s="18">
        <f>IF(C103="","DEP-"&amp;TEXT(COUNTA($C$5:C103),"000"))</f>
        <v/>
      </c>
      <c r="C103" s="11" t="n"/>
      <c r="D103" s="11" t="n"/>
      <c r="E103" s="11" t="n"/>
      <c r="F103" s="31" t="n"/>
      <c r="G103" s="11" t="n"/>
      <c r="H103" s="12" t="n"/>
      <c r="I103" s="12" t="n"/>
      <c r="J103" s="12" t="n"/>
      <c r="K103" s="11" t="n"/>
      <c r="L103" s="11" t="n"/>
      <c r="M103" s="11" t="n"/>
    </row>
    <row r="104" ht="22" customHeight="1">
      <c r="B104" s="17">
        <f>IF(C104="","DEP-"&amp;TEXT(COUNTA($C$5:C104),"000"))</f>
        <v/>
      </c>
      <c r="C104" s="14" t="n"/>
      <c r="D104" s="14" t="n"/>
      <c r="E104" s="14" t="n"/>
      <c r="F104" s="32" t="n"/>
      <c r="G104" s="14" t="n"/>
      <c r="H104" s="15" t="n"/>
      <c r="I104" s="15" t="n"/>
      <c r="J104" s="15" t="n"/>
      <c r="K104" s="14" t="n"/>
      <c r="L104" s="14" t="n"/>
      <c r="M104" s="14" t="n"/>
    </row>
    <row r="105" ht="22" customHeight="1">
      <c r="B105" s="18">
        <f>IF(C105="","DEP-"&amp;TEXT(COUNTA($C$5:C105),"000"))</f>
        <v/>
      </c>
      <c r="C105" s="11" t="n"/>
      <c r="D105" s="11" t="n"/>
      <c r="E105" s="11" t="n"/>
      <c r="F105" s="31" t="n"/>
      <c r="G105" s="11" t="n"/>
      <c r="H105" s="12" t="n"/>
      <c r="I105" s="12" t="n"/>
      <c r="J105" s="12" t="n"/>
      <c r="K105" s="11" t="n"/>
      <c r="L105" s="11" t="n"/>
      <c r="M105" s="11" t="n"/>
    </row>
    <row r="106" ht="22" customHeight="1">
      <c r="B106" s="17">
        <f>IF(C106="","DEP-"&amp;TEXT(COUNTA($C$5:C106),"000"))</f>
        <v/>
      </c>
      <c r="C106" s="14" t="n"/>
      <c r="D106" s="14" t="n"/>
      <c r="E106" s="14" t="n"/>
      <c r="F106" s="32" t="n"/>
      <c r="G106" s="14" t="n"/>
      <c r="H106" s="15" t="n"/>
      <c r="I106" s="15" t="n"/>
      <c r="J106" s="15" t="n"/>
      <c r="K106" s="14" t="n"/>
      <c r="L106" s="14" t="n"/>
      <c r="M106" s="14" t="n"/>
    </row>
    <row r="107" ht="22" customHeight="1">
      <c r="B107" s="18">
        <f>IF(C107="","DEP-"&amp;TEXT(COUNTA($C$5:C107),"000"))</f>
        <v/>
      </c>
      <c r="C107" s="11" t="n"/>
      <c r="D107" s="11" t="n"/>
      <c r="E107" s="11" t="n"/>
      <c r="F107" s="31" t="n"/>
      <c r="G107" s="11" t="n"/>
      <c r="H107" s="12" t="n"/>
      <c r="I107" s="12" t="n"/>
      <c r="J107" s="12" t="n"/>
      <c r="K107" s="11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Deploiements</t>
        </is>
      </c>
      <c r="D110" s="3" t="inlineStr">
        <is>
          <t>Succes</t>
        </is>
      </c>
      <c r="F110" s="3" t="inlineStr">
        <is>
          <t>Incidents totaux</t>
        </is>
      </c>
    </row>
    <row r="111">
      <c r="B111" s="4">
        <f>COUNTIF(B5:B104,"&lt;&gt;")</f>
        <v/>
      </c>
      <c r="D111" s="4">
        <f>COUNTIF(K5:K104,"Succes")</f>
        <v/>
      </c>
      <c r="F111" s="4">
        <f>SUM(I5:I104)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'_Lists'!$D$2:$D$13</formula1>
    </dataValidation>
    <dataValidation sqref="L5:L107" showDropDown="0" showInputMessage="0" showErrorMessage="0" allowBlank="1" errorTitle="Erreur" error="Valeur invalide" promptTitle="Liste" prompt="Choisir dans la liste" type="list">
      <formula1>'_Lists'!$E$2:$E$8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6" customWidth="1" min="4" max="4"/>
    <col width="46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  <col width="16" customWidth="1" min="11" max="11"/>
    <col width="16" customWidth="1" min="12" max="12"/>
    <col width="36" customWidth="1" min="13" max="13"/>
  </cols>
  <sheetData>
    <row r="1" ht="15" customHeight="1"/>
    <row r="2" ht="32" customHeight="1">
      <c r="B2" s="1" t="inlineStr">
        <is>
          <t>CALENDRIER TRANSFORMATION DIGITALE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Initiative Digitale</t>
        </is>
      </c>
      <c r="D4" s="10" t="inlineStr">
        <is>
          <t>Axe Transformation</t>
        </is>
      </c>
      <c r="E4" s="10" t="inlineStr">
        <is>
          <t>Description</t>
        </is>
      </c>
      <c r="F4" s="10" t="inlineStr">
        <is>
          <t>Priorite</t>
        </is>
      </c>
      <c r="G4" s="10" t="inlineStr">
        <is>
          <t>Date Debut</t>
        </is>
      </c>
      <c r="H4" s="10" t="inlineStr">
        <is>
          <t>Date Fin</t>
        </is>
      </c>
      <c r="I4" s="10" t="inlineStr">
        <is>
          <t>Responsable</t>
        </is>
      </c>
      <c r="J4" s="10" t="inlineStr">
        <is>
          <t>Budget (FCFA)</t>
        </is>
      </c>
      <c r="K4" s="10" t="inlineStr">
        <is>
          <t>Avancement (%)</t>
        </is>
      </c>
      <c r="L4" s="10" t="inlineStr">
        <is>
          <t>Statut</t>
        </is>
      </c>
      <c r="M4" s="10" t="inlineStr">
        <is>
          <t>Observations</t>
        </is>
      </c>
    </row>
    <row r="5" ht="22" customHeight="1">
      <c r="B5" s="11" t="inlineStr">
        <is>
          <t>CT-001</t>
        </is>
      </c>
      <c r="C5" s="11" t="inlineStr">
        <is>
          <t>Digitalisation dossier employe</t>
        </is>
      </c>
      <c r="D5" s="11" t="inlineStr">
        <is>
          <t>GED &amp; Numerisation</t>
        </is>
      </c>
      <c r="E5" s="11" t="inlineStr">
        <is>
          <t>Scanner et numeriser tous les dossiers papiers existants</t>
        </is>
      </c>
      <c r="F5" s="11" t="inlineStr">
        <is>
          <t>Haute</t>
        </is>
      </c>
      <c r="G5" s="31" t="n">
        <v>45689</v>
      </c>
      <c r="H5" s="31" t="n">
        <v>45900</v>
      </c>
      <c r="I5" s="11" t="inlineStr">
        <is>
          <t>Assistante RH</t>
        </is>
      </c>
      <c r="J5" s="12" t="n">
        <v>500000</v>
      </c>
      <c r="K5" s="37" t="n">
        <v>0.35</v>
      </c>
      <c r="L5" s="11" t="inlineStr">
        <is>
          <t>En cours</t>
        </is>
      </c>
      <c r="M5" s="11" t="inlineStr">
        <is>
          <t>500 dossiers sur 1500 traites</t>
        </is>
      </c>
    </row>
    <row r="6" ht="22" customHeight="1">
      <c r="B6" s="14" t="inlineStr">
        <is>
          <t>CT-002</t>
        </is>
      </c>
      <c r="C6" s="14" t="inlineStr">
        <is>
          <t>Automatisation onboarding</t>
        </is>
      </c>
      <c r="D6" s="14" t="inlineStr">
        <is>
          <t>Automatisation</t>
        </is>
      </c>
      <c r="E6" s="14" t="inlineStr">
        <is>
          <t>Parcours d'integration 100% digital avec e-signature</t>
        </is>
      </c>
      <c r="F6" s="14" t="inlineStr">
        <is>
          <t>Haute</t>
        </is>
      </c>
      <c r="G6" s="32" t="n">
        <v>45717</v>
      </c>
      <c r="H6" s="32" t="n">
        <v>45838</v>
      </c>
      <c r="I6" s="14" t="inlineStr">
        <is>
          <t>DRH</t>
        </is>
      </c>
      <c r="J6" s="15" t="n">
        <v>300000</v>
      </c>
      <c r="K6" s="39" t="n">
        <v>0.15</v>
      </c>
      <c r="L6" s="14" t="inlineStr">
        <is>
          <t>En cours</t>
        </is>
      </c>
      <c r="M6" s="14" t="inlineStr">
        <is>
          <t xml:space="preserve"> Cahier des charges valide</t>
        </is>
      </c>
    </row>
    <row r="7" ht="22" customHeight="1">
      <c r="B7" s="11" t="inlineStr">
        <is>
          <t>CT-003</t>
        </is>
      </c>
      <c r="C7" s="11" t="inlineStr">
        <is>
          <t>Tableau de bord RH temps reel</t>
        </is>
      </c>
      <c r="D7" s="11" t="inlineStr">
        <is>
          <t>Analytics &amp; BI</t>
        </is>
      </c>
      <c r="E7" s="11" t="inlineStr">
        <is>
          <t>Dashboard KPI RH avec Power BI connecte au SIRH</t>
        </is>
      </c>
      <c r="F7" s="11" t="inlineStr">
        <is>
          <t>Moyenne</t>
        </is>
      </c>
      <c r="G7" s="31" t="n">
        <v>45748</v>
      </c>
      <c r="H7" s="31" t="n">
        <v>45930</v>
      </c>
      <c r="I7" s="11" t="inlineStr">
        <is>
          <t>Chef de service IT</t>
        </is>
      </c>
      <c r="J7" s="12" t="n">
        <v>800000</v>
      </c>
      <c r="K7" s="37" t="n">
        <v>0</v>
      </c>
      <c r="L7" s="11" t="inlineStr">
        <is>
          <t>Planifiee</t>
        </is>
      </c>
      <c r="M7" s="11" t="inlineStr">
        <is>
          <t>Recrutement consultant BI en cours</t>
        </is>
      </c>
    </row>
    <row r="8" ht="22" customHeight="1">
      <c r="B8" s="17">
        <f>IF(C8="","CT-"&amp;TEXT(COUNTA($C$5:C8),"000"))</f>
        <v/>
      </c>
      <c r="C8" s="14" t="n"/>
      <c r="D8" s="14" t="n"/>
      <c r="E8" s="14" t="n"/>
      <c r="F8" s="14" t="n"/>
      <c r="G8" s="32" t="n"/>
      <c r="H8" s="32" t="n"/>
      <c r="I8" s="14" t="n"/>
      <c r="J8" s="15" t="n"/>
      <c r="K8" s="39" t="n"/>
      <c r="L8" s="14" t="n"/>
      <c r="M8" s="14" t="n"/>
    </row>
    <row r="9" ht="22" customHeight="1">
      <c r="B9" s="18">
        <f>IF(C9="","CT-"&amp;TEXT(COUNTA($C$5:C9),"000"))</f>
        <v/>
      </c>
      <c r="C9" s="11" t="n"/>
      <c r="D9" s="11" t="n"/>
      <c r="E9" s="11" t="n"/>
      <c r="F9" s="11" t="n"/>
      <c r="G9" s="31" t="n"/>
      <c r="H9" s="31" t="n"/>
      <c r="I9" s="11" t="n"/>
      <c r="J9" s="12" t="n"/>
      <c r="K9" s="37" t="n"/>
      <c r="L9" s="11" t="n"/>
      <c r="M9" s="11" t="n"/>
    </row>
    <row r="10" ht="22" customHeight="1">
      <c r="B10" s="17">
        <f>IF(C10="","CT-"&amp;TEXT(COUNTA($C$5:C10),"000"))</f>
        <v/>
      </c>
      <c r="C10" s="14" t="n"/>
      <c r="D10" s="14" t="n"/>
      <c r="E10" s="14" t="n"/>
      <c r="F10" s="14" t="n"/>
      <c r="G10" s="32" t="n"/>
      <c r="H10" s="32" t="n"/>
      <c r="I10" s="14" t="n"/>
      <c r="J10" s="15" t="n"/>
      <c r="K10" s="39" t="n"/>
      <c r="L10" s="14" t="n"/>
      <c r="M10" s="14" t="n"/>
    </row>
    <row r="11" ht="22" customHeight="1">
      <c r="B11" s="18">
        <f>IF(C11="","CT-"&amp;TEXT(COUNTA($C$5:C11),"000"))</f>
        <v/>
      </c>
      <c r="C11" s="11" t="n"/>
      <c r="D11" s="11" t="n"/>
      <c r="E11" s="11" t="n"/>
      <c r="F11" s="11" t="n"/>
      <c r="G11" s="31" t="n"/>
      <c r="H11" s="31" t="n"/>
      <c r="I11" s="11" t="n"/>
      <c r="J11" s="12" t="n"/>
      <c r="K11" s="37" t="n"/>
      <c r="L11" s="11" t="n"/>
      <c r="M11" s="11" t="n"/>
    </row>
    <row r="12" ht="22" customHeight="1">
      <c r="B12" s="17">
        <f>IF(C12="","CT-"&amp;TEXT(COUNTA($C$5:C12),"000"))</f>
        <v/>
      </c>
      <c r="C12" s="14" t="n"/>
      <c r="D12" s="14" t="n"/>
      <c r="E12" s="14" t="n"/>
      <c r="F12" s="14" t="n"/>
      <c r="G12" s="32" t="n"/>
      <c r="H12" s="32" t="n"/>
      <c r="I12" s="14" t="n"/>
      <c r="J12" s="15" t="n"/>
      <c r="K12" s="39" t="n"/>
      <c r="L12" s="14" t="n"/>
      <c r="M12" s="14" t="n"/>
    </row>
    <row r="13" ht="22" customHeight="1">
      <c r="B13" s="18">
        <f>IF(C13="","CT-"&amp;TEXT(COUNTA($C$5:C13),"000"))</f>
        <v/>
      </c>
      <c r="C13" s="11" t="n"/>
      <c r="D13" s="11" t="n"/>
      <c r="E13" s="11" t="n"/>
      <c r="F13" s="11" t="n"/>
      <c r="G13" s="31" t="n"/>
      <c r="H13" s="31" t="n"/>
      <c r="I13" s="11" t="n"/>
      <c r="J13" s="12" t="n"/>
      <c r="K13" s="37" t="n"/>
      <c r="L13" s="11" t="n"/>
      <c r="M13" s="11" t="n"/>
    </row>
    <row r="14" ht="22" customHeight="1">
      <c r="B14" s="17">
        <f>IF(C14="","CT-"&amp;TEXT(COUNTA($C$5:C14),"000"))</f>
        <v/>
      </c>
      <c r="C14" s="14" t="n"/>
      <c r="D14" s="14" t="n"/>
      <c r="E14" s="14" t="n"/>
      <c r="F14" s="14" t="n"/>
      <c r="G14" s="32" t="n"/>
      <c r="H14" s="32" t="n"/>
      <c r="I14" s="14" t="n"/>
      <c r="J14" s="15" t="n"/>
      <c r="K14" s="39" t="n"/>
      <c r="L14" s="14" t="n"/>
      <c r="M14" s="14" t="n"/>
    </row>
    <row r="15" ht="22" customHeight="1">
      <c r="B15" s="18">
        <f>IF(C15="","CT-"&amp;TEXT(COUNTA($C$5:C15),"000"))</f>
        <v/>
      </c>
      <c r="C15" s="11" t="n"/>
      <c r="D15" s="11" t="n"/>
      <c r="E15" s="11" t="n"/>
      <c r="F15" s="11" t="n"/>
      <c r="G15" s="31" t="n"/>
      <c r="H15" s="31" t="n"/>
      <c r="I15" s="11" t="n"/>
      <c r="J15" s="12" t="n"/>
      <c r="K15" s="37" t="n"/>
      <c r="L15" s="11" t="n"/>
      <c r="M15" s="11" t="n"/>
    </row>
    <row r="16" ht="22" customHeight="1">
      <c r="B16" s="17">
        <f>IF(C16="","CT-"&amp;TEXT(COUNTA($C$5:C16),"000"))</f>
        <v/>
      </c>
      <c r="C16" s="14" t="n"/>
      <c r="D16" s="14" t="n"/>
      <c r="E16" s="14" t="n"/>
      <c r="F16" s="14" t="n"/>
      <c r="G16" s="32" t="n"/>
      <c r="H16" s="32" t="n"/>
      <c r="I16" s="14" t="n"/>
      <c r="J16" s="15" t="n"/>
      <c r="K16" s="39" t="n"/>
      <c r="L16" s="14" t="n"/>
      <c r="M16" s="14" t="n"/>
    </row>
    <row r="17" ht="22" customHeight="1">
      <c r="B17" s="18">
        <f>IF(C17="","CT-"&amp;TEXT(COUNTA($C$5:C17),"000"))</f>
        <v/>
      </c>
      <c r="C17" s="11" t="n"/>
      <c r="D17" s="11" t="n"/>
      <c r="E17" s="11" t="n"/>
      <c r="F17" s="11" t="n"/>
      <c r="G17" s="31" t="n"/>
      <c r="H17" s="31" t="n"/>
      <c r="I17" s="11" t="n"/>
      <c r="J17" s="12" t="n"/>
      <c r="K17" s="37" t="n"/>
      <c r="L17" s="11" t="n"/>
      <c r="M17" s="11" t="n"/>
    </row>
    <row r="18" ht="22" customHeight="1">
      <c r="B18" s="17">
        <f>IF(C18="","CT-"&amp;TEXT(COUNTA($C$5:C18),"000"))</f>
        <v/>
      </c>
      <c r="C18" s="14" t="n"/>
      <c r="D18" s="14" t="n"/>
      <c r="E18" s="14" t="n"/>
      <c r="F18" s="14" t="n"/>
      <c r="G18" s="32" t="n"/>
      <c r="H18" s="32" t="n"/>
      <c r="I18" s="14" t="n"/>
      <c r="J18" s="15" t="n"/>
      <c r="K18" s="39" t="n"/>
      <c r="L18" s="14" t="n"/>
      <c r="M18" s="14" t="n"/>
    </row>
    <row r="19" ht="22" customHeight="1">
      <c r="B19" s="18">
        <f>IF(C19="","CT-"&amp;TEXT(COUNTA($C$5:C19),"000"))</f>
        <v/>
      </c>
      <c r="C19" s="11" t="n"/>
      <c r="D19" s="11" t="n"/>
      <c r="E19" s="11" t="n"/>
      <c r="F19" s="11" t="n"/>
      <c r="G19" s="31" t="n"/>
      <c r="H19" s="31" t="n"/>
      <c r="I19" s="11" t="n"/>
      <c r="J19" s="12" t="n"/>
      <c r="K19" s="37" t="n"/>
      <c r="L19" s="11" t="n"/>
      <c r="M19" s="11" t="n"/>
    </row>
    <row r="20" ht="22" customHeight="1">
      <c r="B20" s="17">
        <f>IF(C20="","CT-"&amp;TEXT(COUNTA($C$5:C20),"000"))</f>
        <v/>
      </c>
      <c r="C20" s="14" t="n"/>
      <c r="D20" s="14" t="n"/>
      <c r="E20" s="14" t="n"/>
      <c r="F20" s="14" t="n"/>
      <c r="G20" s="32" t="n"/>
      <c r="H20" s="32" t="n"/>
      <c r="I20" s="14" t="n"/>
      <c r="J20" s="15" t="n"/>
      <c r="K20" s="39" t="n"/>
      <c r="L20" s="14" t="n"/>
      <c r="M20" s="14" t="n"/>
    </row>
    <row r="21" ht="22" customHeight="1">
      <c r="B21" s="18">
        <f>IF(C21="","CT-"&amp;TEXT(COUNTA($C$5:C21),"000"))</f>
        <v/>
      </c>
      <c r="C21" s="11" t="n"/>
      <c r="D21" s="11" t="n"/>
      <c r="E21" s="11" t="n"/>
      <c r="F21" s="11" t="n"/>
      <c r="G21" s="31" t="n"/>
      <c r="H21" s="31" t="n"/>
      <c r="I21" s="11" t="n"/>
      <c r="J21" s="12" t="n"/>
      <c r="K21" s="37" t="n"/>
      <c r="L21" s="11" t="n"/>
      <c r="M21" s="11" t="n"/>
    </row>
    <row r="22" ht="22" customHeight="1">
      <c r="B22" s="17">
        <f>IF(C22="","CT-"&amp;TEXT(COUNTA($C$5:C22),"000"))</f>
        <v/>
      </c>
      <c r="C22" s="14" t="n"/>
      <c r="D22" s="14" t="n"/>
      <c r="E22" s="14" t="n"/>
      <c r="F22" s="14" t="n"/>
      <c r="G22" s="32" t="n"/>
      <c r="H22" s="32" t="n"/>
      <c r="I22" s="14" t="n"/>
      <c r="J22" s="15" t="n"/>
      <c r="K22" s="39" t="n"/>
      <c r="L22" s="14" t="n"/>
      <c r="M22" s="14" t="n"/>
    </row>
    <row r="23" ht="22" customHeight="1">
      <c r="B23" s="18">
        <f>IF(C23="","CT-"&amp;TEXT(COUNTA($C$5:C23),"000"))</f>
        <v/>
      </c>
      <c r="C23" s="11" t="n"/>
      <c r="D23" s="11" t="n"/>
      <c r="E23" s="11" t="n"/>
      <c r="F23" s="11" t="n"/>
      <c r="G23" s="31" t="n"/>
      <c r="H23" s="31" t="n"/>
      <c r="I23" s="11" t="n"/>
      <c r="J23" s="12" t="n"/>
      <c r="K23" s="37" t="n"/>
      <c r="L23" s="11" t="n"/>
      <c r="M23" s="11" t="n"/>
    </row>
    <row r="24" ht="22" customHeight="1">
      <c r="B24" s="17">
        <f>IF(C24="","CT-"&amp;TEXT(COUNTA($C$5:C24),"000"))</f>
        <v/>
      </c>
      <c r="C24" s="14" t="n"/>
      <c r="D24" s="14" t="n"/>
      <c r="E24" s="14" t="n"/>
      <c r="F24" s="14" t="n"/>
      <c r="G24" s="32" t="n"/>
      <c r="H24" s="32" t="n"/>
      <c r="I24" s="14" t="n"/>
      <c r="J24" s="15" t="n"/>
      <c r="K24" s="39" t="n"/>
      <c r="L24" s="14" t="n"/>
      <c r="M24" s="14" t="n"/>
    </row>
    <row r="25" ht="22" customHeight="1">
      <c r="B25" s="18">
        <f>IF(C25="","CT-"&amp;TEXT(COUNTA($C$5:C25),"000"))</f>
        <v/>
      </c>
      <c r="C25" s="11" t="n"/>
      <c r="D25" s="11" t="n"/>
      <c r="E25" s="11" t="n"/>
      <c r="F25" s="11" t="n"/>
      <c r="G25" s="31" t="n"/>
      <c r="H25" s="31" t="n"/>
      <c r="I25" s="11" t="n"/>
      <c r="J25" s="12" t="n"/>
      <c r="K25" s="37" t="n"/>
      <c r="L25" s="11" t="n"/>
      <c r="M25" s="11" t="n"/>
    </row>
    <row r="26" ht="22" customHeight="1">
      <c r="B26" s="17">
        <f>IF(C26="","CT-"&amp;TEXT(COUNTA($C$5:C26),"000"))</f>
        <v/>
      </c>
      <c r="C26" s="14" t="n"/>
      <c r="D26" s="14" t="n"/>
      <c r="E26" s="14" t="n"/>
      <c r="F26" s="14" t="n"/>
      <c r="G26" s="32" t="n"/>
      <c r="H26" s="32" t="n"/>
      <c r="I26" s="14" t="n"/>
      <c r="J26" s="15" t="n"/>
      <c r="K26" s="39" t="n"/>
      <c r="L26" s="14" t="n"/>
      <c r="M26" s="14" t="n"/>
    </row>
    <row r="27" ht="22" customHeight="1">
      <c r="B27" s="18">
        <f>IF(C27="","CT-"&amp;TEXT(COUNTA($C$5:C27),"000"))</f>
        <v/>
      </c>
      <c r="C27" s="11" t="n"/>
      <c r="D27" s="11" t="n"/>
      <c r="E27" s="11" t="n"/>
      <c r="F27" s="11" t="n"/>
      <c r="G27" s="31" t="n"/>
      <c r="H27" s="31" t="n"/>
      <c r="I27" s="11" t="n"/>
      <c r="J27" s="12" t="n"/>
      <c r="K27" s="37" t="n"/>
      <c r="L27" s="11" t="n"/>
      <c r="M27" s="11" t="n"/>
    </row>
    <row r="28" ht="22" customHeight="1">
      <c r="B28" s="17">
        <f>IF(C28="","CT-"&amp;TEXT(COUNTA($C$5:C28),"000"))</f>
        <v/>
      </c>
      <c r="C28" s="14" t="n"/>
      <c r="D28" s="14" t="n"/>
      <c r="E28" s="14" t="n"/>
      <c r="F28" s="14" t="n"/>
      <c r="G28" s="32" t="n"/>
      <c r="H28" s="32" t="n"/>
      <c r="I28" s="14" t="n"/>
      <c r="J28" s="15" t="n"/>
      <c r="K28" s="39" t="n"/>
      <c r="L28" s="14" t="n"/>
      <c r="M28" s="14" t="n"/>
    </row>
    <row r="29" ht="22" customHeight="1">
      <c r="B29" s="18">
        <f>IF(C29="","CT-"&amp;TEXT(COUNTA($C$5:C29),"000"))</f>
        <v/>
      </c>
      <c r="C29" s="11" t="n"/>
      <c r="D29" s="11" t="n"/>
      <c r="E29" s="11" t="n"/>
      <c r="F29" s="11" t="n"/>
      <c r="G29" s="31" t="n"/>
      <c r="H29" s="31" t="n"/>
      <c r="I29" s="11" t="n"/>
      <c r="J29" s="12" t="n"/>
      <c r="K29" s="37" t="n"/>
      <c r="L29" s="11" t="n"/>
      <c r="M29" s="11" t="n"/>
    </row>
    <row r="30" ht="22" customHeight="1">
      <c r="B30" s="17">
        <f>IF(C30="","CT-"&amp;TEXT(COUNTA($C$5:C30),"000"))</f>
        <v/>
      </c>
      <c r="C30" s="14" t="n"/>
      <c r="D30" s="14" t="n"/>
      <c r="E30" s="14" t="n"/>
      <c r="F30" s="14" t="n"/>
      <c r="G30" s="32" t="n"/>
      <c r="H30" s="32" t="n"/>
      <c r="I30" s="14" t="n"/>
      <c r="J30" s="15" t="n"/>
      <c r="K30" s="39" t="n"/>
      <c r="L30" s="14" t="n"/>
      <c r="M30" s="14" t="n"/>
    </row>
    <row r="31" ht="22" customHeight="1">
      <c r="B31" s="18">
        <f>IF(C31="","CT-"&amp;TEXT(COUNTA($C$5:C31),"000"))</f>
        <v/>
      </c>
      <c r="C31" s="11" t="n"/>
      <c r="D31" s="11" t="n"/>
      <c r="E31" s="11" t="n"/>
      <c r="F31" s="11" t="n"/>
      <c r="G31" s="31" t="n"/>
      <c r="H31" s="31" t="n"/>
      <c r="I31" s="11" t="n"/>
      <c r="J31" s="12" t="n"/>
      <c r="K31" s="37" t="n"/>
      <c r="L31" s="11" t="n"/>
      <c r="M31" s="11" t="n"/>
    </row>
    <row r="32" ht="22" customHeight="1">
      <c r="B32" s="17">
        <f>IF(C32="","CT-"&amp;TEXT(COUNTA($C$5:C32),"000"))</f>
        <v/>
      </c>
      <c r="C32" s="14" t="n"/>
      <c r="D32" s="14" t="n"/>
      <c r="E32" s="14" t="n"/>
      <c r="F32" s="14" t="n"/>
      <c r="G32" s="32" t="n"/>
      <c r="H32" s="32" t="n"/>
      <c r="I32" s="14" t="n"/>
      <c r="J32" s="15" t="n"/>
      <c r="K32" s="39" t="n"/>
      <c r="L32" s="14" t="n"/>
      <c r="M32" s="14" t="n"/>
    </row>
    <row r="33" ht="22" customHeight="1">
      <c r="B33" s="18">
        <f>IF(C33="","CT-"&amp;TEXT(COUNTA($C$5:C33),"000"))</f>
        <v/>
      </c>
      <c r="C33" s="11" t="n"/>
      <c r="D33" s="11" t="n"/>
      <c r="E33" s="11" t="n"/>
      <c r="F33" s="11" t="n"/>
      <c r="G33" s="31" t="n"/>
      <c r="H33" s="31" t="n"/>
      <c r="I33" s="11" t="n"/>
      <c r="J33" s="12" t="n"/>
      <c r="K33" s="37" t="n"/>
      <c r="L33" s="11" t="n"/>
      <c r="M33" s="11" t="n"/>
    </row>
    <row r="34" ht="22" customHeight="1">
      <c r="B34" s="17">
        <f>IF(C34="","CT-"&amp;TEXT(COUNTA($C$5:C34),"000"))</f>
        <v/>
      </c>
      <c r="C34" s="14" t="n"/>
      <c r="D34" s="14" t="n"/>
      <c r="E34" s="14" t="n"/>
      <c r="F34" s="14" t="n"/>
      <c r="G34" s="32" t="n"/>
      <c r="H34" s="32" t="n"/>
      <c r="I34" s="14" t="n"/>
      <c r="J34" s="15" t="n"/>
      <c r="K34" s="39" t="n"/>
      <c r="L34" s="14" t="n"/>
      <c r="M34" s="14" t="n"/>
    </row>
    <row r="35" ht="22" customHeight="1">
      <c r="B35" s="18">
        <f>IF(C35="","CT-"&amp;TEXT(COUNTA($C$5:C35),"000"))</f>
        <v/>
      </c>
      <c r="C35" s="11" t="n"/>
      <c r="D35" s="11" t="n"/>
      <c r="E35" s="11" t="n"/>
      <c r="F35" s="11" t="n"/>
      <c r="G35" s="31" t="n"/>
      <c r="H35" s="31" t="n"/>
      <c r="I35" s="11" t="n"/>
      <c r="J35" s="12" t="n"/>
      <c r="K35" s="37" t="n"/>
      <c r="L35" s="11" t="n"/>
      <c r="M35" s="11" t="n"/>
    </row>
    <row r="36" ht="22" customHeight="1">
      <c r="B36" s="17">
        <f>IF(C36="","CT-"&amp;TEXT(COUNTA($C$5:C36),"000"))</f>
        <v/>
      </c>
      <c r="C36" s="14" t="n"/>
      <c r="D36" s="14" t="n"/>
      <c r="E36" s="14" t="n"/>
      <c r="F36" s="14" t="n"/>
      <c r="G36" s="32" t="n"/>
      <c r="H36" s="32" t="n"/>
      <c r="I36" s="14" t="n"/>
      <c r="J36" s="15" t="n"/>
      <c r="K36" s="39" t="n"/>
      <c r="L36" s="14" t="n"/>
      <c r="M36" s="14" t="n"/>
    </row>
    <row r="37" ht="22" customHeight="1">
      <c r="B37" s="18">
        <f>IF(C37="","CT-"&amp;TEXT(COUNTA($C$5:C37),"000"))</f>
        <v/>
      </c>
      <c r="C37" s="11" t="n"/>
      <c r="D37" s="11" t="n"/>
      <c r="E37" s="11" t="n"/>
      <c r="F37" s="11" t="n"/>
      <c r="G37" s="31" t="n"/>
      <c r="H37" s="31" t="n"/>
      <c r="I37" s="11" t="n"/>
      <c r="J37" s="12" t="n"/>
      <c r="K37" s="37" t="n"/>
      <c r="L37" s="11" t="n"/>
      <c r="M37" s="11" t="n"/>
    </row>
    <row r="38" ht="22" customHeight="1">
      <c r="B38" s="17">
        <f>IF(C38="","CT-"&amp;TEXT(COUNTA($C$5:C38),"000"))</f>
        <v/>
      </c>
      <c r="C38" s="14" t="n"/>
      <c r="D38" s="14" t="n"/>
      <c r="E38" s="14" t="n"/>
      <c r="F38" s="14" t="n"/>
      <c r="G38" s="32" t="n"/>
      <c r="H38" s="32" t="n"/>
      <c r="I38" s="14" t="n"/>
      <c r="J38" s="15" t="n"/>
      <c r="K38" s="39" t="n"/>
      <c r="L38" s="14" t="n"/>
      <c r="M38" s="14" t="n"/>
    </row>
    <row r="39" ht="22" customHeight="1">
      <c r="B39" s="18">
        <f>IF(C39="","CT-"&amp;TEXT(COUNTA($C$5:C39),"000"))</f>
        <v/>
      </c>
      <c r="C39" s="11" t="n"/>
      <c r="D39" s="11" t="n"/>
      <c r="E39" s="11" t="n"/>
      <c r="F39" s="11" t="n"/>
      <c r="G39" s="31" t="n"/>
      <c r="H39" s="31" t="n"/>
      <c r="I39" s="11" t="n"/>
      <c r="J39" s="12" t="n"/>
      <c r="K39" s="37" t="n"/>
      <c r="L39" s="11" t="n"/>
      <c r="M39" s="11" t="n"/>
    </row>
    <row r="40" ht="22" customHeight="1">
      <c r="B40" s="17">
        <f>IF(C40="","CT-"&amp;TEXT(COUNTA($C$5:C40),"000"))</f>
        <v/>
      </c>
      <c r="C40" s="14" t="n"/>
      <c r="D40" s="14" t="n"/>
      <c r="E40" s="14" t="n"/>
      <c r="F40" s="14" t="n"/>
      <c r="G40" s="32" t="n"/>
      <c r="H40" s="32" t="n"/>
      <c r="I40" s="14" t="n"/>
      <c r="J40" s="15" t="n"/>
      <c r="K40" s="39" t="n"/>
      <c r="L40" s="14" t="n"/>
      <c r="M40" s="14" t="n"/>
    </row>
    <row r="41" ht="22" customHeight="1">
      <c r="B41" s="18">
        <f>IF(C41="","CT-"&amp;TEXT(COUNTA($C$5:C41),"000"))</f>
        <v/>
      </c>
      <c r="C41" s="11" t="n"/>
      <c r="D41" s="11" t="n"/>
      <c r="E41" s="11" t="n"/>
      <c r="F41" s="11" t="n"/>
      <c r="G41" s="31" t="n"/>
      <c r="H41" s="31" t="n"/>
      <c r="I41" s="11" t="n"/>
      <c r="J41" s="12" t="n"/>
      <c r="K41" s="37" t="n"/>
      <c r="L41" s="11" t="n"/>
      <c r="M41" s="11" t="n"/>
    </row>
    <row r="42" ht="22" customHeight="1">
      <c r="B42" s="17">
        <f>IF(C42="","CT-"&amp;TEXT(COUNTA($C$5:C42),"000"))</f>
        <v/>
      </c>
      <c r="C42" s="14" t="n"/>
      <c r="D42" s="14" t="n"/>
      <c r="E42" s="14" t="n"/>
      <c r="F42" s="14" t="n"/>
      <c r="G42" s="32" t="n"/>
      <c r="H42" s="32" t="n"/>
      <c r="I42" s="14" t="n"/>
      <c r="J42" s="15" t="n"/>
      <c r="K42" s="39" t="n"/>
      <c r="L42" s="14" t="n"/>
      <c r="M42" s="14" t="n"/>
    </row>
    <row r="43" ht="22" customHeight="1">
      <c r="B43" s="18">
        <f>IF(C43="","CT-"&amp;TEXT(COUNTA($C$5:C43),"000"))</f>
        <v/>
      </c>
      <c r="C43" s="11" t="n"/>
      <c r="D43" s="11" t="n"/>
      <c r="E43" s="11" t="n"/>
      <c r="F43" s="11" t="n"/>
      <c r="G43" s="31" t="n"/>
      <c r="H43" s="31" t="n"/>
      <c r="I43" s="11" t="n"/>
      <c r="J43" s="12" t="n"/>
      <c r="K43" s="37" t="n"/>
      <c r="L43" s="11" t="n"/>
      <c r="M43" s="11" t="n"/>
    </row>
    <row r="44" ht="22" customHeight="1">
      <c r="B44" s="17">
        <f>IF(C44="","CT-"&amp;TEXT(COUNTA($C$5:C44),"000"))</f>
        <v/>
      </c>
      <c r="C44" s="14" t="n"/>
      <c r="D44" s="14" t="n"/>
      <c r="E44" s="14" t="n"/>
      <c r="F44" s="14" t="n"/>
      <c r="G44" s="32" t="n"/>
      <c r="H44" s="32" t="n"/>
      <c r="I44" s="14" t="n"/>
      <c r="J44" s="15" t="n"/>
      <c r="K44" s="39" t="n"/>
      <c r="L44" s="14" t="n"/>
      <c r="M44" s="14" t="n"/>
    </row>
    <row r="45" ht="22" customHeight="1">
      <c r="B45" s="18">
        <f>IF(C45="","CT-"&amp;TEXT(COUNTA($C$5:C45),"000"))</f>
        <v/>
      </c>
      <c r="C45" s="11" t="n"/>
      <c r="D45" s="11" t="n"/>
      <c r="E45" s="11" t="n"/>
      <c r="F45" s="11" t="n"/>
      <c r="G45" s="31" t="n"/>
      <c r="H45" s="31" t="n"/>
      <c r="I45" s="11" t="n"/>
      <c r="J45" s="12" t="n"/>
      <c r="K45" s="37" t="n"/>
      <c r="L45" s="11" t="n"/>
      <c r="M45" s="11" t="n"/>
    </row>
    <row r="46" ht="22" customHeight="1">
      <c r="B46" s="17">
        <f>IF(C46="","CT-"&amp;TEXT(COUNTA($C$5:C46),"000"))</f>
        <v/>
      </c>
      <c r="C46" s="14" t="n"/>
      <c r="D46" s="14" t="n"/>
      <c r="E46" s="14" t="n"/>
      <c r="F46" s="14" t="n"/>
      <c r="G46" s="32" t="n"/>
      <c r="H46" s="32" t="n"/>
      <c r="I46" s="14" t="n"/>
      <c r="J46" s="15" t="n"/>
      <c r="K46" s="39" t="n"/>
      <c r="L46" s="14" t="n"/>
      <c r="M46" s="14" t="n"/>
    </row>
    <row r="47" ht="22" customHeight="1">
      <c r="B47" s="18">
        <f>IF(C47="","CT-"&amp;TEXT(COUNTA($C$5:C47),"000"))</f>
        <v/>
      </c>
      <c r="C47" s="11" t="n"/>
      <c r="D47" s="11" t="n"/>
      <c r="E47" s="11" t="n"/>
      <c r="F47" s="11" t="n"/>
      <c r="G47" s="31" t="n"/>
      <c r="H47" s="31" t="n"/>
      <c r="I47" s="11" t="n"/>
      <c r="J47" s="12" t="n"/>
      <c r="K47" s="37" t="n"/>
      <c r="L47" s="11" t="n"/>
      <c r="M47" s="11" t="n"/>
    </row>
    <row r="48" ht="22" customHeight="1">
      <c r="B48" s="17">
        <f>IF(C48="","CT-"&amp;TEXT(COUNTA($C$5:C48),"000"))</f>
        <v/>
      </c>
      <c r="C48" s="14" t="n"/>
      <c r="D48" s="14" t="n"/>
      <c r="E48" s="14" t="n"/>
      <c r="F48" s="14" t="n"/>
      <c r="G48" s="32" t="n"/>
      <c r="H48" s="32" t="n"/>
      <c r="I48" s="14" t="n"/>
      <c r="J48" s="15" t="n"/>
      <c r="K48" s="39" t="n"/>
      <c r="L48" s="14" t="n"/>
      <c r="M48" s="14" t="n"/>
    </row>
    <row r="49" ht="22" customHeight="1">
      <c r="B49" s="18">
        <f>IF(C49="","CT-"&amp;TEXT(COUNTA($C$5:C49),"000"))</f>
        <v/>
      </c>
      <c r="C49" s="11" t="n"/>
      <c r="D49" s="11" t="n"/>
      <c r="E49" s="11" t="n"/>
      <c r="F49" s="11" t="n"/>
      <c r="G49" s="31" t="n"/>
      <c r="H49" s="31" t="n"/>
      <c r="I49" s="11" t="n"/>
      <c r="J49" s="12" t="n"/>
      <c r="K49" s="37" t="n"/>
      <c r="L49" s="11" t="n"/>
      <c r="M49" s="11" t="n"/>
    </row>
    <row r="50" ht="22" customHeight="1">
      <c r="B50" s="17">
        <f>IF(C50="","CT-"&amp;TEXT(COUNTA($C$5:C50),"000"))</f>
        <v/>
      </c>
      <c r="C50" s="14" t="n"/>
      <c r="D50" s="14" t="n"/>
      <c r="E50" s="14" t="n"/>
      <c r="F50" s="14" t="n"/>
      <c r="G50" s="32" t="n"/>
      <c r="H50" s="32" t="n"/>
      <c r="I50" s="14" t="n"/>
      <c r="J50" s="15" t="n"/>
      <c r="K50" s="39" t="n"/>
      <c r="L50" s="14" t="n"/>
      <c r="M50" s="14" t="n"/>
    </row>
    <row r="51" ht="22" customHeight="1">
      <c r="B51" s="18">
        <f>IF(C51="","CT-"&amp;TEXT(COUNTA($C$5:C51),"000"))</f>
        <v/>
      </c>
      <c r="C51" s="11" t="n"/>
      <c r="D51" s="11" t="n"/>
      <c r="E51" s="11" t="n"/>
      <c r="F51" s="11" t="n"/>
      <c r="G51" s="31" t="n"/>
      <c r="H51" s="31" t="n"/>
      <c r="I51" s="11" t="n"/>
      <c r="J51" s="12" t="n"/>
      <c r="K51" s="37" t="n"/>
      <c r="L51" s="11" t="n"/>
      <c r="M51" s="11" t="n"/>
    </row>
    <row r="52" ht="22" customHeight="1">
      <c r="B52" s="17">
        <f>IF(C52="","CT-"&amp;TEXT(COUNTA($C$5:C52),"000"))</f>
        <v/>
      </c>
      <c r="C52" s="14" t="n"/>
      <c r="D52" s="14" t="n"/>
      <c r="E52" s="14" t="n"/>
      <c r="F52" s="14" t="n"/>
      <c r="G52" s="32" t="n"/>
      <c r="H52" s="32" t="n"/>
      <c r="I52" s="14" t="n"/>
      <c r="J52" s="15" t="n"/>
      <c r="K52" s="39" t="n"/>
      <c r="L52" s="14" t="n"/>
      <c r="M52" s="14" t="n"/>
    </row>
    <row r="53" ht="22" customHeight="1">
      <c r="B53" s="18">
        <f>IF(C53="","CT-"&amp;TEXT(COUNTA($C$5:C53),"000"))</f>
        <v/>
      </c>
      <c r="C53" s="11" t="n"/>
      <c r="D53" s="11" t="n"/>
      <c r="E53" s="11" t="n"/>
      <c r="F53" s="11" t="n"/>
      <c r="G53" s="31" t="n"/>
      <c r="H53" s="31" t="n"/>
      <c r="I53" s="11" t="n"/>
      <c r="J53" s="12" t="n"/>
      <c r="K53" s="37" t="n"/>
      <c r="L53" s="11" t="n"/>
      <c r="M53" s="11" t="n"/>
    </row>
    <row r="54" ht="22" customHeight="1">
      <c r="B54" s="17">
        <f>IF(C54="","CT-"&amp;TEXT(COUNTA($C$5:C54),"000"))</f>
        <v/>
      </c>
      <c r="C54" s="14" t="n"/>
      <c r="D54" s="14" t="n"/>
      <c r="E54" s="14" t="n"/>
      <c r="F54" s="14" t="n"/>
      <c r="G54" s="32" t="n"/>
      <c r="H54" s="32" t="n"/>
      <c r="I54" s="14" t="n"/>
      <c r="J54" s="15" t="n"/>
      <c r="K54" s="39" t="n"/>
      <c r="L54" s="14" t="n"/>
      <c r="M54" s="14" t="n"/>
    </row>
    <row r="55" ht="22" customHeight="1">
      <c r="B55" s="18">
        <f>IF(C55="","CT-"&amp;TEXT(COUNTA($C$5:C55),"000"))</f>
        <v/>
      </c>
      <c r="C55" s="11" t="n"/>
      <c r="D55" s="11" t="n"/>
      <c r="E55" s="11" t="n"/>
      <c r="F55" s="11" t="n"/>
      <c r="G55" s="31" t="n"/>
      <c r="H55" s="31" t="n"/>
      <c r="I55" s="11" t="n"/>
      <c r="J55" s="12" t="n"/>
      <c r="K55" s="37" t="n"/>
      <c r="L55" s="11" t="n"/>
      <c r="M55" s="11" t="n"/>
    </row>
    <row r="56" ht="22" customHeight="1">
      <c r="B56" s="17">
        <f>IF(C56="","CT-"&amp;TEXT(COUNTA($C$5:C56),"000"))</f>
        <v/>
      </c>
      <c r="C56" s="14" t="n"/>
      <c r="D56" s="14" t="n"/>
      <c r="E56" s="14" t="n"/>
      <c r="F56" s="14" t="n"/>
      <c r="G56" s="32" t="n"/>
      <c r="H56" s="32" t="n"/>
      <c r="I56" s="14" t="n"/>
      <c r="J56" s="15" t="n"/>
      <c r="K56" s="39" t="n"/>
      <c r="L56" s="14" t="n"/>
      <c r="M56" s="14" t="n"/>
    </row>
    <row r="57" ht="22" customHeight="1">
      <c r="B57" s="18">
        <f>IF(C57="","CT-"&amp;TEXT(COUNTA($C$5:C57),"000"))</f>
        <v/>
      </c>
      <c r="C57" s="11" t="n"/>
      <c r="D57" s="11" t="n"/>
      <c r="E57" s="11" t="n"/>
      <c r="F57" s="11" t="n"/>
      <c r="G57" s="31" t="n"/>
      <c r="H57" s="31" t="n"/>
      <c r="I57" s="11" t="n"/>
      <c r="J57" s="12" t="n"/>
      <c r="K57" s="37" t="n"/>
      <c r="L57" s="11" t="n"/>
      <c r="M57" s="11" t="n"/>
    </row>
    <row r="58" ht="22" customHeight="1">
      <c r="B58" s="17">
        <f>IF(C58="","CT-"&amp;TEXT(COUNTA($C$5:C58),"000"))</f>
        <v/>
      </c>
      <c r="C58" s="14" t="n"/>
      <c r="D58" s="14" t="n"/>
      <c r="E58" s="14" t="n"/>
      <c r="F58" s="14" t="n"/>
      <c r="G58" s="32" t="n"/>
      <c r="H58" s="32" t="n"/>
      <c r="I58" s="14" t="n"/>
      <c r="J58" s="15" t="n"/>
      <c r="K58" s="39" t="n"/>
      <c r="L58" s="14" t="n"/>
      <c r="M58" s="14" t="n"/>
    </row>
    <row r="59" ht="22" customHeight="1">
      <c r="B59" s="18">
        <f>IF(C59="","CT-"&amp;TEXT(COUNTA($C$5:C59),"000"))</f>
        <v/>
      </c>
      <c r="C59" s="11" t="n"/>
      <c r="D59" s="11" t="n"/>
      <c r="E59" s="11" t="n"/>
      <c r="F59" s="11" t="n"/>
      <c r="G59" s="31" t="n"/>
      <c r="H59" s="31" t="n"/>
      <c r="I59" s="11" t="n"/>
      <c r="J59" s="12" t="n"/>
      <c r="K59" s="37" t="n"/>
      <c r="L59" s="11" t="n"/>
      <c r="M59" s="11" t="n"/>
    </row>
    <row r="60" ht="22" customHeight="1">
      <c r="B60" s="17">
        <f>IF(C60="","CT-"&amp;TEXT(COUNTA($C$5:C60),"000"))</f>
        <v/>
      </c>
      <c r="C60" s="14" t="n"/>
      <c r="D60" s="14" t="n"/>
      <c r="E60" s="14" t="n"/>
      <c r="F60" s="14" t="n"/>
      <c r="G60" s="32" t="n"/>
      <c r="H60" s="32" t="n"/>
      <c r="I60" s="14" t="n"/>
      <c r="J60" s="15" t="n"/>
      <c r="K60" s="39" t="n"/>
      <c r="L60" s="14" t="n"/>
      <c r="M60" s="14" t="n"/>
    </row>
    <row r="61" ht="22" customHeight="1">
      <c r="B61" s="18">
        <f>IF(C61="","CT-"&amp;TEXT(COUNTA($C$5:C61),"000"))</f>
        <v/>
      </c>
      <c r="C61" s="11" t="n"/>
      <c r="D61" s="11" t="n"/>
      <c r="E61" s="11" t="n"/>
      <c r="F61" s="11" t="n"/>
      <c r="G61" s="31" t="n"/>
      <c r="H61" s="31" t="n"/>
      <c r="I61" s="11" t="n"/>
      <c r="J61" s="12" t="n"/>
      <c r="K61" s="37" t="n"/>
      <c r="L61" s="11" t="n"/>
      <c r="M61" s="11" t="n"/>
    </row>
    <row r="62" ht="22" customHeight="1">
      <c r="B62" s="17">
        <f>IF(C62="","CT-"&amp;TEXT(COUNTA($C$5:C62),"000"))</f>
        <v/>
      </c>
      <c r="C62" s="14" t="n"/>
      <c r="D62" s="14" t="n"/>
      <c r="E62" s="14" t="n"/>
      <c r="F62" s="14" t="n"/>
      <c r="G62" s="32" t="n"/>
      <c r="H62" s="32" t="n"/>
      <c r="I62" s="14" t="n"/>
      <c r="J62" s="15" t="n"/>
      <c r="K62" s="39" t="n"/>
      <c r="L62" s="14" t="n"/>
      <c r="M62" s="14" t="n"/>
    </row>
    <row r="63" ht="22" customHeight="1">
      <c r="B63" s="18">
        <f>IF(C63="","CT-"&amp;TEXT(COUNTA($C$5:C63),"000"))</f>
        <v/>
      </c>
      <c r="C63" s="11" t="n"/>
      <c r="D63" s="11" t="n"/>
      <c r="E63" s="11" t="n"/>
      <c r="F63" s="11" t="n"/>
      <c r="G63" s="31" t="n"/>
      <c r="H63" s="31" t="n"/>
      <c r="I63" s="11" t="n"/>
      <c r="J63" s="12" t="n"/>
      <c r="K63" s="37" t="n"/>
      <c r="L63" s="11" t="n"/>
      <c r="M63" s="11" t="n"/>
    </row>
    <row r="64" ht="22" customHeight="1">
      <c r="B64" s="17">
        <f>IF(C64="","CT-"&amp;TEXT(COUNTA($C$5:C64),"000"))</f>
        <v/>
      </c>
      <c r="C64" s="14" t="n"/>
      <c r="D64" s="14" t="n"/>
      <c r="E64" s="14" t="n"/>
      <c r="F64" s="14" t="n"/>
      <c r="G64" s="32" t="n"/>
      <c r="H64" s="32" t="n"/>
      <c r="I64" s="14" t="n"/>
      <c r="J64" s="15" t="n"/>
      <c r="K64" s="39" t="n"/>
      <c r="L64" s="14" t="n"/>
      <c r="M64" s="14" t="n"/>
    </row>
    <row r="65" ht="22" customHeight="1">
      <c r="B65" s="18">
        <f>IF(C65="","CT-"&amp;TEXT(COUNTA($C$5:C65),"000"))</f>
        <v/>
      </c>
      <c r="C65" s="11" t="n"/>
      <c r="D65" s="11" t="n"/>
      <c r="E65" s="11" t="n"/>
      <c r="F65" s="11" t="n"/>
      <c r="G65" s="31" t="n"/>
      <c r="H65" s="31" t="n"/>
      <c r="I65" s="11" t="n"/>
      <c r="J65" s="12" t="n"/>
      <c r="K65" s="37" t="n"/>
      <c r="L65" s="11" t="n"/>
      <c r="M65" s="11" t="n"/>
    </row>
    <row r="66" ht="22" customHeight="1">
      <c r="B66" s="17">
        <f>IF(C66="","CT-"&amp;TEXT(COUNTA($C$5:C66),"000"))</f>
        <v/>
      </c>
      <c r="C66" s="14" t="n"/>
      <c r="D66" s="14" t="n"/>
      <c r="E66" s="14" t="n"/>
      <c r="F66" s="14" t="n"/>
      <c r="G66" s="32" t="n"/>
      <c r="H66" s="32" t="n"/>
      <c r="I66" s="14" t="n"/>
      <c r="J66" s="15" t="n"/>
      <c r="K66" s="39" t="n"/>
      <c r="L66" s="14" t="n"/>
      <c r="M66" s="14" t="n"/>
    </row>
    <row r="67" ht="22" customHeight="1">
      <c r="B67" s="18">
        <f>IF(C67="","CT-"&amp;TEXT(COUNTA($C$5:C67),"000"))</f>
        <v/>
      </c>
      <c r="C67" s="11" t="n"/>
      <c r="D67" s="11" t="n"/>
      <c r="E67" s="11" t="n"/>
      <c r="F67" s="11" t="n"/>
      <c r="G67" s="31" t="n"/>
      <c r="H67" s="31" t="n"/>
      <c r="I67" s="11" t="n"/>
      <c r="J67" s="12" t="n"/>
      <c r="K67" s="37" t="n"/>
      <c r="L67" s="11" t="n"/>
      <c r="M67" s="11" t="n"/>
    </row>
    <row r="68" ht="22" customHeight="1">
      <c r="B68" s="17">
        <f>IF(C68="","CT-"&amp;TEXT(COUNTA($C$5:C68),"000"))</f>
        <v/>
      </c>
      <c r="C68" s="14" t="n"/>
      <c r="D68" s="14" t="n"/>
      <c r="E68" s="14" t="n"/>
      <c r="F68" s="14" t="n"/>
      <c r="G68" s="32" t="n"/>
      <c r="H68" s="32" t="n"/>
      <c r="I68" s="14" t="n"/>
      <c r="J68" s="15" t="n"/>
      <c r="K68" s="39" t="n"/>
      <c r="L68" s="14" t="n"/>
      <c r="M68" s="14" t="n"/>
    </row>
    <row r="69" ht="22" customHeight="1">
      <c r="B69" s="18">
        <f>IF(C69="","CT-"&amp;TEXT(COUNTA($C$5:C69),"000"))</f>
        <v/>
      </c>
      <c r="C69" s="11" t="n"/>
      <c r="D69" s="11" t="n"/>
      <c r="E69" s="11" t="n"/>
      <c r="F69" s="11" t="n"/>
      <c r="G69" s="31" t="n"/>
      <c r="H69" s="31" t="n"/>
      <c r="I69" s="11" t="n"/>
      <c r="J69" s="12" t="n"/>
      <c r="K69" s="37" t="n"/>
      <c r="L69" s="11" t="n"/>
      <c r="M69" s="11" t="n"/>
    </row>
    <row r="70" ht="22" customHeight="1">
      <c r="B70" s="17">
        <f>IF(C70="","CT-"&amp;TEXT(COUNTA($C$5:C70),"000"))</f>
        <v/>
      </c>
      <c r="C70" s="14" t="n"/>
      <c r="D70" s="14" t="n"/>
      <c r="E70" s="14" t="n"/>
      <c r="F70" s="14" t="n"/>
      <c r="G70" s="32" t="n"/>
      <c r="H70" s="32" t="n"/>
      <c r="I70" s="14" t="n"/>
      <c r="J70" s="15" t="n"/>
      <c r="K70" s="39" t="n"/>
      <c r="L70" s="14" t="n"/>
      <c r="M70" s="14" t="n"/>
    </row>
    <row r="71" ht="22" customHeight="1">
      <c r="B71" s="18">
        <f>IF(C71="","CT-"&amp;TEXT(COUNTA($C$5:C71),"000"))</f>
        <v/>
      </c>
      <c r="C71" s="11" t="n"/>
      <c r="D71" s="11" t="n"/>
      <c r="E71" s="11" t="n"/>
      <c r="F71" s="11" t="n"/>
      <c r="G71" s="31" t="n"/>
      <c r="H71" s="31" t="n"/>
      <c r="I71" s="11" t="n"/>
      <c r="J71" s="12" t="n"/>
      <c r="K71" s="37" t="n"/>
      <c r="L71" s="11" t="n"/>
      <c r="M71" s="11" t="n"/>
    </row>
    <row r="72" ht="22" customHeight="1">
      <c r="B72" s="17">
        <f>IF(C72="","CT-"&amp;TEXT(COUNTA($C$5:C72),"000"))</f>
        <v/>
      </c>
      <c r="C72" s="14" t="n"/>
      <c r="D72" s="14" t="n"/>
      <c r="E72" s="14" t="n"/>
      <c r="F72" s="14" t="n"/>
      <c r="G72" s="32" t="n"/>
      <c r="H72" s="32" t="n"/>
      <c r="I72" s="14" t="n"/>
      <c r="J72" s="15" t="n"/>
      <c r="K72" s="39" t="n"/>
      <c r="L72" s="14" t="n"/>
      <c r="M72" s="14" t="n"/>
    </row>
    <row r="73" ht="22" customHeight="1">
      <c r="B73" s="18">
        <f>IF(C73="","CT-"&amp;TEXT(COUNTA($C$5:C73),"000"))</f>
        <v/>
      </c>
      <c r="C73" s="11" t="n"/>
      <c r="D73" s="11" t="n"/>
      <c r="E73" s="11" t="n"/>
      <c r="F73" s="11" t="n"/>
      <c r="G73" s="31" t="n"/>
      <c r="H73" s="31" t="n"/>
      <c r="I73" s="11" t="n"/>
      <c r="J73" s="12" t="n"/>
      <c r="K73" s="37" t="n"/>
      <c r="L73" s="11" t="n"/>
      <c r="M73" s="11" t="n"/>
    </row>
    <row r="74" ht="22" customHeight="1">
      <c r="B74" s="17">
        <f>IF(C74="","CT-"&amp;TEXT(COUNTA($C$5:C74),"000"))</f>
        <v/>
      </c>
      <c r="C74" s="14" t="n"/>
      <c r="D74" s="14" t="n"/>
      <c r="E74" s="14" t="n"/>
      <c r="F74" s="14" t="n"/>
      <c r="G74" s="32" t="n"/>
      <c r="H74" s="32" t="n"/>
      <c r="I74" s="14" t="n"/>
      <c r="J74" s="15" t="n"/>
      <c r="K74" s="39" t="n"/>
      <c r="L74" s="14" t="n"/>
      <c r="M74" s="14" t="n"/>
    </row>
    <row r="75" ht="22" customHeight="1">
      <c r="B75" s="18">
        <f>IF(C75="","CT-"&amp;TEXT(COUNTA($C$5:C75),"000"))</f>
        <v/>
      </c>
      <c r="C75" s="11" t="n"/>
      <c r="D75" s="11" t="n"/>
      <c r="E75" s="11" t="n"/>
      <c r="F75" s="11" t="n"/>
      <c r="G75" s="31" t="n"/>
      <c r="H75" s="31" t="n"/>
      <c r="I75" s="11" t="n"/>
      <c r="J75" s="12" t="n"/>
      <c r="K75" s="37" t="n"/>
      <c r="L75" s="11" t="n"/>
      <c r="M75" s="11" t="n"/>
    </row>
    <row r="76" ht="22" customHeight="1">
      <c r="B76" s="17">
        <f>IF(C76="","CT-"&amp;TEXT(COUNTA($C$5:C76),"000"))</f>
        <v/>
      </c>
      <c r="C76" s="14" t="n"/>
      <c r="D76" s="14" t="n"/>
      <c r="E76" s="14" t="n"/>
      <c r="F76" s="14" t="n"/>
      <c r="G76" s="32" t="n"/>
      <c r="H76" s="32" t="n"/>
      <c r="I76" s="14" t="n"/>
      <c r="J76" s="15" t="n"/>
      <c r="K76" s="39" t="n"/>
      <c r="L76" s="14" t="n"/>
      <c r="M76" s="14" t="n"/>
    </row>
    <row r="77" ht="22" customHeight="1">
      <c r="B77" s="18">
        <f>IF(C77="","CT-"&amp;TEXT(COUNTA($C$5:C77),"000"))</f>
        <v/>
      </c>
      <c r="C77" s="11" t="n"/>
      <c r="D77" s="11" t="n"/>
      <c r="E77" s="11" t="n"/>
      <c r="F77" s="11" t="n"/>
      <c r="G77" s="31" t="n"/>
      <c r="H77" s="31" t="n"/>
      <c r="I77" s="11" t="n"/>
      <c r="J77" s="12" t="n"/>
      <c r="K77" s="37" t="n"/>
      <c r="L77" s="11" t="n"/>
      <c r="M77" s="11" t="n"/>
    </row>
    <row r="78" ht="22" customHeight="1">
      <c r="B78" s="17">
        <f>IF(C78="","CT-"&amp;TEXT(COUNTA($C$5:C78),"000"))</f>
        <v/>
      </c>
      <c r="C78" s="14" t="n"/>
      <c r="D78" s="14" t="n"/>
      <c r="E78" s="14" t="n"/>
      <c r="F78" s="14" t="n"/>
      <c r="G78" s="32" t="n"/>
      <c r="H78" s="32" t="n"/>
      <c r="I78" s="14" t="n"/>
      <c r="J78" s="15" t="n"/>
      <c r="K78" s="39" t="n"/>
      <c r="L78" s="14" t="n"/>
      <c r="M78" s="14" t="n"/>
    </row>
    <row r="79" ht="22" customHeight="1">
      <c r="B79" s="18">
        <f>IF(C79="","CT-"&amp;TEXT(COUNTA($C$5:C79),"000"))</f>
        <v/>
      </c>
      <c r="C79" s="11" t="n"/>
      <c r="D79" s="11" t="n"/>
      <c r="E79" s="11" t="n"/>
      <c r="F79" s="11" t="n"/>
      <c r="G79" s="31" t="n"/>
      <c r="H79" s="31" t="n"/>
      <c r="I79" s="11" t="n"/>
      <c r="J79" s="12" t="n"/>
      <c r="K79" s="37" t="n"/>
      <c r="L79" s="11" t="n"/>
      <c r="M79" s="11" t="n"/>
    </row>
    <row r="80" ht="22" customHeight="1">
      <c r="B80" s="17">
        <f>IF(C80="","CT-"&amp;TEXT(COUNTA($C$5:C80),"000"))</f>
        <v/>
      </c>
      <c r="C80" s="14" t="n"/>
      <c r="D80" s="14" t="n"/>
      <c r="E80" s="14" t="n"/>
      <c r="F80" s="14" t="n"/>
      <c r="G80" s="32" t="n"/>
      <c r="H80" s="32" t="n"/>
      <c r="I80" s="14" t="n"/>
      <c r="J80" s="15" t="n"/>
      <c r="K80" s="39" t="n"/>
      <c r="L80" s="14" t="n"/>
      <c r="M80" s="14" t="n"/>
    </row>
    <row r="81" ht="22" customHeight="1">
      <c r="B81" s="18">
        <f>IF(C81="","CT-"&amp;TEXT(COUNTA($C$5:C81),"000"))</f>
        <v/>
      </c>
      <c r="C81" s="11" t="n"/>
      <c r="D81" s="11" t="n"/>
      <c r="E81" s="11" t="n"/>
      <c r="F81" s="11" t="n"/>
      <c r="G81" s="31" t="n"/>
      <c r="H81" s="31" t="n"/>
      <c r="I81" s="11" t="n"/>
      <c r="J81" s="12" t="n"/>
      <c r="K81" s="37" t="n"/>
      <c r="L81" s="11" t="n"/>
      <c r="M81" s="11" t="n"/>
    </row>
    <row r="82" ht="22" customHeight="1">
      <c r="B82" s="17">
        <f>IF(C82="","CT-"&amp;TEXT(COUNTA($C$5:C82),"000"))</f>
        <v/>
      </c>
      <c r="C82" s="14" t="n"/>
      <c r="D82" s="14" t="n"/>
      <c r="E82" s="14" t="n"/>
      <c r="F82" s="14" t="n"/>
      <c r="G82" s="32" t="n"/>
      <c r="H82" s="32" t="n"/>
      <c r="I82" s="14" t="n"/>
      <c r="J82" s="15" t="n"/>
      <c r="K82" s="39" t="n"/>
      <c r="L82" s="14" t="n"/>
      <c r="M82" s="14" t="n"/>
    </row>
    <row r="83" ht="22" customHeight="1">
      <c r="B83" s="18">
        <f>IF(C83="","CT-"&amp;TEXT(COUNTA($C$5:C83),"000"))</f>
        <v/>
      </c>
      <c r="C83" s="11" t="n"/>
      <c r="D83" s="11" t="n"/>
      <c r="E83" s="11" t="n"/>
      <c r="F83" s="11" t="n"/>
      <c r="G83" s="31" t="n"/>
      <c r="H83" s="31" t="n"/>
      <c r="I83" s="11" t="n"/>
      <c r="J83" s="12" t="n"/>
      <c r="K83" s="37" t="n"/>
      <c r="L83" s="11" t="n"/>
      <c r="M83" s="11" t="n"/>
    </row>
    <row r="84" ht="22" customHeight="1">
      <c r="B84" s="17">
        <f>IF(C84="","CT-"&amp;TEXT(COUNTA($C$5:C84),"000"))</f>
        <v/>
      </c>
      <c r="C84" s="14" t="n"/>
      <c r="D84" s="14" t="n"/>
      <c r="E84" s="14" t="n"/>
      <c r="F84" s="14" t="n"/>
      <c r="G84" s="32" t="n"/>
      <c r="H84" s="32" t="n"/>
      <c r="I84" s="14" t="n"/>
      <c r="J84" s="15" t="n"/>
      <c r="K84" s="39" t="n"/>
      <c r="L84" s="14" t="n"/>
      <c r="M84" s="14" t="n"/>
    </row>
    <row r="85" ht="22" customHeight="1">
      <c r="B85" s="18">
        <f>IF(C85="","CT-"&amp;TEXT(COUNTA($C$5:C85),"000"))</f>
        <v/>
      </c>
      <c r="C85" s="11" t="n"/>
      <c r="D85" s="11" t="n"/>
      <c r="E85" s="11" t="n"/>
      <c r="F85" s="11" t="n"/>
      <c r="G85" s="31" t="n"/>
      <c r="H85" s="31" t="n"/>
      <c r="I85" s="11" t="n"/>
      <c r="J85" s="12" t="n"/>
      <c r="K85" s="37" t="n"/>
      <c r="L85" s="11" t="n"/>
      <c r="M85" s="11" t="n"/>
    </row>
    <row r="86" ht="22" customHeight="1">
      <c r="B86" s="17">
        <f>IF(C86="","CT-"&amp;TEXT(COUNTA($C$5:C86),"000"))</f>
        <v/>
      </c>
      <c r="C86" s="14" t="n"/>
      <c r="D86" s="14" t="n"/>
      <c r="E86" s="14" t="n"/>
      <c r="F86" s="14" t="n"/>
      <c r="G86" s="32" t="n"/>
      <c r="H86" s="32" t="n"/>
      <c r="I86" s="14" t="n"/>
      <c r="J86" s="15" t="n"/>
      <c r="K86" s="39" t="n"/>
      <c r="L86" s="14" t="n"/>
      <c r="M86" s="14" t="n"/>
    </row>
    <row r="87" ht="22" customHeight="1">
      <c r="B87" s="18">
        <f>IF(C87="","CT-"&amp;TEXT(COUNTA($C$5:C87),"000"))</f>
        <v/>
      </c>
      <c r="C87" s="11" t="n"/>
      <c r="D87" s="11" t="n"/>
      <c r="E87" s="11" t="n"/>
      <c r="F87" s="11" t="n"/>
      <c r="G87" s="31" t="n"/>
      <c r="H87" s="31" t="n"/>
      <c r="I87" s="11" t="n"/>
      <c r="J87" s="12" t="n"/>
      <c r="K87" s="37" t="n"/>
      <c r="L87" s="11" t="n"/>
      <c r="M87" s="11" t="n"/>
    </row>
    <row r="88" ht="22" customHeight="1">
      <c r="B88" s="17">
        <f>IF(C88="","CT-"&amp;TEXT(COUNTA($C$5:C88),"000"))</f>
        <v/>
      </c>
      <c r="C88" s="14" t="n"/>
      <c r="D88" s="14" t="n"/>
      <c r="E88" s="14" t="n"/>
      <c r="F88" s="14" t="n"/>
      <c r="G88" s="32" t="n"/>
      <c r="H88" s="32" t="n"/>
      <c r="I88" s="14" t="n"/>
      <c r="J88" s="15" t="n"/>
      <c r="K88" s="39" t="n"/>
      <c r="L88" s="14" t="n"/>
      <c r="M88" s="14" t="n"/>
    </row>
    <row r="89" ht="22" customHeight="1">
      <c r="B89" s="18">
        <f>IF(C89="","CT-"&amp;TEXT(COUNTA($C$5:C89),"000"))</f>
        <v/>
      </c>
      <c r="C89" s="11" t="n"/>
      <c r="D89" s="11" t="n"/>
      <c r="E89" s="11" t="n"/>
      <c r="F89" s="11" t="n"/>
      <c r="G89" s="31" t="n"/>
      <c r="H89" s="31" t="n"/>
      <c r="I89" s="11" t="n"/>
      <c r="J89" s="12" t="n"/>
      <c r="K89" s="37" t="n"/>
      <c r="L89" s="11" t="n"/>
      <c r="M89" s="11" t="n"/>
    </row>
    <row r="90" ht="22" customHeight="1">
      <c r="B90" s="17">
        <f>IF(C90="","CT-"&amp;TEXT(COUNTA($C$5:C90),"000"))</f>
        <v/>
      </c>
      <c r="C90" s="14" t="n"/>
      <c r="D90" s="14" t="n"/>
      <c r="E90" s="14" t="n"/>
      <c r="F90" s="14" t="n"/>
      <c r="G90" s="32" t="n"/>
      <c r="H90" s="32" t="n"/>
      <c r="I90" s="14" t="n"/>
      <c r="J90" s="15" t="n"/>
      <c r="K90" s="39" t="n"/>
      <c r="L90" s="14" t="n"/>
      <c r="M90" s="14" t="n"/>
    </row>
    <row r="91" ht="22" customHeight="1">
      <c r="B91" s="18">
        <f>IF(C91="","CT-"&amp;TEXT(COUNTA($C$5:C91),"000"))</f>
        <v/>
      </c>
      <c r="C91" s="11" t="n"/>
      <c r="D91" s="11" t="n"/>
      <c r="E91" s="11" t="n"/>
      <c r="F91" s="11" t="n"/>
      <c r="G91" s="31" t="n"/>
      <c r="H91" s="31" t="n"/>
      <c r="I91" s="11" t="n"/>
      <c r="J91" s="12" t="n"/>
      <c r="K91" s="37" t="n"/>
      <c r="L91" s="11" t="n"/>
      <c r="M91" s="11" t="n"/>
    </row>
    <row r="92" ht="22" customHeight="1">
      <c r="B92" s="17">
        <f>IF(C92="","CT-"&amp;TEXT(COUNTA($C$5:C92),"000"))</f>
        <v/>
      </c>
      <c r="C92" s="14" t="n"/>
      <c r="D92" s="14" t="n"/>
      <c r="E92" s="14" t="n"/>
      <c r="F92" s="14" t="n"/>
      <c r="G92" s="32" t="n"/>
      <c r="H92" s="32" t="n"/>
      <c r="I92" s="14" t="n"/>
      <c r="J92" s="15" t="n"/>
      <c r="K92" s="39" t="n"/>
      <c r="L92" s="14" t="n"/>
      <c r="M92" s="14" t="n"/>
    </row>
    <row r="93" ht="22" customHeight="1">
      <c r="B93" s="18">
        <f>IF(C93="","CT-"&amp;TEXT(COUNTA($C$5:C93),"000"))</f>
        <v/>
      </c>
      <c r="C93" s="11" t="n"/>
      <c r="D93" s="11" t="n"/>
      <c r="E93" s="11" t="n"/>
      <c r="F93" s="11" t="n"/>
      <c r="G93" s="31" t="n"/>
      <c r="H93" s="31" t="n"/>
      <c r="I93" s="11" t="n"/>
      <c r="J93" s="12" t="n"/>
      <c r="K93" s="37" t="n"/>
      <c r="L93" s="11" t="n"/>
      <c r="M93" s="11" t="n"/>
    </row>
    <row r="94" ht="22" customHeight="1">
      <c r="B94" s="17">
        <f>IF(C94="","CT-"&amp;TEXT(COUNTA($C$5:C94),"000"))</f>
        <v/>
      </c>
      <c r="C94" s="14" t="n"/>
      <c r="D94" s="14" t="n"/>
      <c r="E94" s="14" t="n"/>
      <c r="F94" s="14" t="n"/>
      <c r="G94" s="32" t="n"/>
      <c r="H94" s="32" t="n"/>
      <c r="I94" s="14" t="n"/>
      <c r="J94" s="15" t="n"/>
      <c r="K94" s="39" t="n"/>
      <c r="L94" s="14" t="n"/>
      <c r="M94" s="14" t="n"/>
    </row>
    <row r="95" ht="22" customHeight="1">
      <c r="B95" s="18">
        <f>IF(C95="","CT-"&amp;TEXT(COUNTA($C$5:C95),"000"))</f>
        <v/>
      </c>
      <c r="C95" s="11" t="n"/>
      <c r="D95" s="11" t="n"/>
      <c r="E95" s="11" t="n"/>
      <c r="F95" s="11" t="n"/>
      <c r="G95" s="31" t="n"/>
      <c r="H95" s="31" t="n"/>
      <c r="I95" s="11" t="n"/>
      <c r="J95" s="12" t="n"/>
      <c r="K95" s="37" t="n"/>
      <c r="L95" s="11" t="n"/>
      <c r="M95" s="11" t="n"/>
    </row>
    <row r="96" ht="22" customHeight="1">
      <c r="B96" s="17">
        <f>IF(C96="","CT-"&amp;TEXT(COUNTA($C$5:C96),"000"))</f>
        <v/>
      </c>
      <c r="C96" s="14" t="n"/>
      <c r="D96" s="14" t="n"/>
      <c r="E96" s="14" t="n"/>
      <c r="F96" s="14" t="n"/>
      <c r="G96" s="32" t="n"/>
      <c r="H96" s="32" t="n"/>
      <c r="I96" s="14" t="n"/>
      <c r="J96" s="15" t="n"/>
      <c r="K96" s="39" t="n"/>
      <c r="L96" s="14" t="n"/>
      <c r="M96" s="14" t="n"/>
    </row>
    <row r="97" ht="22" customHeight="1">
      <c r="B97" s="18">
        <f>IF(C97="","CT-"&amp;TEXT(COUNTA($C$5:C97),"000"))</f>
        <v/>
      </c>
      <c r="C97" s="11" t="n"/>
      <c r="D97" s="11" t="n"/>
      <c r="E97" s="11" t="n"/>
      <c r="F97" s="11" t="n"/>
      <c r="G97" s="31" t="n"/>
      <c r="H97" s="31" t="n"/>
      <c r="I97" s="11" t="n"/>
      <c r="J97" s="12" t="n"/>
      <c r="K97" s="37" t="n"/>
      <c r="L97" s="11" t="n"/>
      <c r="M97" s="11" t="n"/>
    </row>
    <row r="98" ht="22" customHeight="1">
      <c r="B98" s="17">
        <f>IF(C98="","CT-"&amp;TEXT(COUNTA($C$5:C98),"000"))</f>
        <v/>
      </c>
      <c r="C98" s="14" t="n"/>
      <c r="D98" s="14" t="n"/>
      <c r="E98" s="14" t="n"/>
      <c r="F98" s="14" t="n"/>
      <c r="G98" s="32" t="n"/>
      <c r="H98" s="32" t="n"/>
      <c r="I98" s="14" t="n"/>
      <c r="J98" s="15" t="n"/>
      <c r="K98" s="39" t="n"/>
      <c r="L98" s="14" t="n"/>
      <c r="M98" s="14" t="n"/>
    </row>
    <row r="99" ht="22" customHeight="1">
      <c r="B99" s="18">
        <f>IF(C99="","CT-"&amp;TEXT(COUNTA($C$5:C99),"000"))</f>
        <v/>
      </c>
      <c r="C99" s="11" t="n"/>
      <c r="D99" s="11" t="n"/>
      <c r="E99" s="11" t="n"/>
      <c r="F99" s="11" t="n"/>
      <c r="G99" s="31" t="n"/>
      <c r="H99" s="31" t="n"/>
      <c r="I99" s="11" t="n"/>
      <c r="J99" s="12" t="n"/>
      <c r="K99" s="37" t="n"/>
      <c r="L99" s="11" t="n"/>
      <c r="M99" s="11" t="n"/>
    </row>
    <row r="100" ht="22" customHeight="1">
      <c r="B100" s="17">
        <f>IF(C100="","CT-"&amp;TEXT(COUNTA($C$5:C100),"000"))</f>
        <v/>
      </c>
      <c r="C100" s="14" t="n"/>
      <c r="D100" s="14" t="n"/>
      <c r="E100" s="14" t="n"/>
      <c r="F100" s="14" t="n"/>
      <c r="G100" s="32" t="n"/>
      <c r="H100" s="32" t="n"/>
      <c r="I100" s="14" t="n"/>
      <c r="J100" s="15" t="n"/>
      <c r="K100" s="39" t="n"/>
      <c r="L100" s="14" t="n"/>
      <c r="M100" s="14" t="n"/>
    </row>
    <row r="101" ht="22" customHeight="1">
      <c r="B101" s="18">
        <f>IF(C101="","CT-"&amp;TEXT(COUNTA($C$5:C101),"000"))</f>
        <v/>
      </c>
      <c r="C101" s="11" t="n"/>
      <c r="D101" s="11" t="n"/>
      <c r="E101" s="11" t="n"/>
      <c r="F101" s="11" t="n"/>
      <c r="G101" s="31" t="n"/>
      <c r="H101" s="31" t="n"/>
      <c r="I101" s="11" t="n"/>
      <c r="J101" s="12" t="n"/>
      <c r="K101" s="37" t="n"/>
      <c r="L101" s="11" t="n"/>
      <c r="M101" s="11" t="n"/>
    </row>
    <row r="102" ht="22" customHeight="1">
      <c r="B102" s="17">
        <f>IF(C102="","CT-"&amp;TEXT(COUNTA($C$5:C102),"000"))</f>
        <v/>
      </c>
      <c r="C102" s="14" t="n"/>
      <c r="D102" s="14" t="n"/>
      <c r="E102" s="14" t="n"/>
      <c r="F102" s="14" t="n"/>
      <c r="G102" s="32" t="n"/>
      <c r="H102" s="32" t="n"/>
      <c r="I102" s="14" t="n"/>
      <c r="J102" s="15" t="n"/>
      <c r="K102" s="39" t="n"/>
      <c r="L102" s="14" t="n"/>
      <c r="M102" s="14" t="n"/>
    </row>
    <row r="103" ht="22" customHeight="1">
      <c r="B103" s="18">
        <f>IF(C103="","CT-"&amp;TEXT(COUNTA($C$5:C103),"000"))</f>
        <v/>
      </c>
      <c r="C103" s="11" t="n"/>
      <c r="D103" s="11" t="n"/>
      <c r="E103" s="11" t="n"/>
      <c r="F103" s="11" t="n"/>
      <c r="G103" s="31" t="n"/>
      <c r="H103" s="31" t="n"/>
      <c r="I103" s="11" t="n"/>
      <c r="J103" s="12" t="n"/>
      <c r="K103" s="37" t="n"/>
      <c r="L103" s="11" t="n"/>
      <c r="M103" s="11" t="n"/>
    </row>
    <row r="104" ht="22" customHeight="1">
      <c r="B104" s="17">
        <f>IF(C104="","CT-"&amp;TEXT(COUNTA($C$5:C104),"000"))</f>
        <v/>
      </c>
      <c r="C104" s="14" t="n"/>
      <c r="D104" s="14" t="n"/>
      <c r="E104" s="14" t="n"/>
      <c r="F104" s="14" t="n"/>
      <c r="G104" s="32" t="n"/>
      <c r="H104" s="32" t="n"/>
      <c r="I104" s="14" t="n"/>
      <c r="J104" s="15" t="n"/>
      <c r="K104" s="39" t="n"/>
      <c r="L104" s="14" t="n"/>
      <c r="M104" s="14" t="n"/>
    </row>
    <row r="105" ht="22" customHeight="1">
      <c r="B105" s="18">
        <f>IF(C105="","CT-"&amp;TEXT(COUNTA($C$5:C105),"000"))</f>
        <v/>
      </c>
      <c r="C105" s="11" t="n"/>
      <c r="D105" s="11" t="n"/>
      <c r="E105" s="11" t="n"/>
      <c r="F105" s="11" t="n"/>
      <c r="G105" s="31" t="n"/>
      <c r="H105" s="31" t="n"/>
      <c r="I105" s="11" t="n"/>
      <c r="J105" s="12" t="n"/>
      <c r="K105" s="37" t="n"/>
      <c r="L105" s="11" t="n"/>
      <c r="M105" s="11" t="n"/>
    </row>
    <row r="106" ht="22" customHeight="1">
      <c r="B106" s="17">
        <f>IF(C106="","CT-"&amp;TEXT(COUNTA($C$5:C106),"000"))</f>
        <v/>
      </c>
      <c r="C106" s="14" t="n"/>
      <c r="D106" s="14" t="n"/>
      <c r="E106" s="14" t="n"/>
      <c r="F106" s="14" t="n"/>
      <c r="G106" s="32" t="n"/>
      <c r="H106" s="32" t="n"/>
      <c r="I106" s="14" t="n"/>
      <c r="J106" s="15" t="n"/>
      <c r="K106" s="39" t="n"/>
      <c r="L106" s="14" t="n"/>
      <c r="M106" s="14" t="n"/>
    </row>
    <row r="107" ht="22" customHeight="1">
      <c r="B107" s="18">
        <f>IF(C107="","CT-"&amp;TEXT(COUNTA($C$5:C107),"000"))</f>
        <v/>
      </c>
      <c r="C107" s="11" t="n"/>
      <c r="D107" s="11" t="n"/>
      <c r="E107" s="11" t="n"/>
      <c r="F107" s="11" t="n"/>
      <c r="G107" s="31" t="n"/>
      <c r="H107" s="31" t="n"/>
      <c r="I107" s="11" t="n"/>
      <c r="J107" s="12" t="n"/>
      <c r="K107" s="37" t="n"/>
      <c r="L107" s="11" t="n"/>
      <c r="M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Initiatives digitales</t>
        </is>
      </c>
      <c r="D110" s="3" t="inlineStr">
        <is>
          <t>Budget total (FCFA)</t>
        </is>
      </c>
      <c r="F110" s="3" t="inlineStr">
        <is>
          <t>En cours</t>
        </is>
      </c>
    </row>
    <row r="111">
      <c r="B111" s="4">
        <f>COUNTIF(B5:B104,"&lt;&gt;")</f>
        <v/>
      </c>
      <c r="D111" s="4">
        <f>SUM(J5:J104)</f>
        <v/>
      </c>
      <c r="F111" s="4">
        <f>COUNTIF(L5:L104,"En cours")</f>
        <v/>
      </c>
    </row>
  </sheetData>
  <mergeCells count="3">
    <mergeCell ref="B3:M3"/>
    <mergeCell ref="B2:M2"/>
    <mergeCell ref="B109:M109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0">
      <formula>"Diffusee"</formula>
    </cfRule>
    <cfRule type="cellIs" priority="77" operator="equal" dxfId="0">
      <formula>"Publie"</formula>
    </cfRule>
    <cfRule type="cellIs" priority="78" operator="equal" dxfId="0">
      <formula>"Resultats publies"</formula>
    </cfRule>
    <cfRule type="cellIs" priority="79" operator="equal" dxfId="0">
      <formula>"Retenue"</formula>
    </cfRule>
    <cfRule type="cellIs" priority="80" operator="equal" dxfId="0">
      <formula>"Tres satisfait"</formula>
    </cfRule>
    <cfRule type="cellIs" priority="81" operator="equal" dxfId="0">
      <formula>"Recurrent"</formula>
    </cfRule>
    <cfRule type="cellIs" priority="82" operator="equal" dxfId="0">
      <formula>"Atteint"</formula>
    </cfRule>
    <cfRule type="cellIs" priority="83" operator="equal" dxfId="0">
      <formula>"Deploie"</formula>
    </cfRule>
    <cfRule type="cellIs" priority="84" operator="equal" dxfId="0">
      <formula>"En production"</formula>
    </cfRule>
    <cfRule type="cellIs" priority="85" operator="equal" dxfId="0">
      <formula>"Adopte"</formula>
    </cfRule>
    <cfRule type="cellIs" priority="86" operator="equal" dxfId="0">
      <formula>"Maitrise"</formula>
    </cfRule>
    <cfRule type="cellIs" priority="87" operator="equal" dxfId="0">
      <formula>"Automatise"</formula>
    </cfRule>
    <cfRule type="cellIs" priority="88" operator="equal" dxfId="0">
      <formula>"Totalement automatise"</formula>
    </cfRule>
    <cfRule type="cellIs" priority="89" operator="equal" dxfId="0">
      <formula>"Optimise"</formula>
    </cfRule>
    <cfRule type="cellIs" priority="90" operator="equal" dxfId="0">
      <formula>"Gere"</formula>
    </cfRule>
    <cfRule type="cellIs" priority="91" operator="equal" dxfId="0">
      <formula>"Production"</formula>
    </cfRule>
    <cfRule type="cellIs" priority="92" operator="equal" dxfId="1">
      <formula>"En attente"</formula>
    </cfRule>
    <cfRule type="cellIs" priority="93" operator="equal" dxfId="1">
      <formula>"A renouveler"</formula>
    </cfRule>
    <cfRule type="cellIs" priority="94" operator="equal" dxfId="1">
      <formula>"En cours"</formula>
    </cfRule>
    <cfRule type="cellIs" priority="95" operator="equal" dxfId="1">
      <formula>"En traitement"</formula>
    </cfRule>
    <cfRule type="cellIs" priority="96" operator="equal" dxfId="1">
      <formula>"En retard"</formula>
    </cfRule>
    <cfRule type="cellIs" priority="97" operator="equal" dxfId="1">
      <formula>"Suspendu"</formula>
    </cfRule>
    <cfRule type="cellIs" priority="98" operator="equal" dxfId="1">
      <formula>"Planifie"</formula>
    </cfRule>
    <cfRule type="cellIs" priority="99" operator="equal" dxfId="1">
      <formula>"Planifiee"</formula>
    </cfRule>
    <cfRule type="cellIs" priority="100" operator="equal" dxfId="1">
      <formula>"Brouillon"</formula>
    </cfRule>
    <cfRule type="cellIs" priority="101" operator="equal" dxfId="1">
      <formula>"En attente de justification"</formula>
    </cfRule>
    <cfRule type="cellIs" priority="102" operator="equal" dxfId="1">
      <formula>"Tolere"</formula>
    </cfRule>
    <cfRule type="cellIs" priority="103" operator="equal" dxfId="1">
      <formula>"Variable"</formula>
    </cfRule>
    <cfRule type="cellIs" priority="104" operator="equal" dxfId="1">
      <formula>"En elaboration"</formula>
    </cfRule>
    <cfRule type="cellIs" priority="105" operator="equal" dxfId="1">
      <formula>"Provisionne"</formula>
    </cfRule>
    <cfRule type="cellIs" priority="106" operator="equal" dxfId="1">
      <formula>"Consomme partiel"</formula>
    </cfRule>
    <cfRule type="cellIs" priority="107" operator="equal" dxfId="1">
      <formula>"Identifie"</formula>
    </cfRule>
    <cfRule type="cellIs" priority="108" operator="equal" dxfId="1">
      <formula>"Priorise"</formula>
    </cfRule>
    <cfRule type="cellIs" priority="109" operator="equal" dxfId="1">
      <formula>"Intermediaire"</formula>
    </cfRule>
    <cfRule type="cellIs" priority="110" operator="equal" dxfId="1">
      <formula>"Non evalue"</formula>
    </cfRule>
    <cfRule type="cellIs" priority="111" operator="equal" dxfId="1">
      <formula>"En cours de realisation"</formula>
    </cfRule>
    <cfRule type="cellIs" priority="112" operator="equal" dxfId="1">
      <formula>"Non demarre"</formula>
    </cfRule>
    <cfRule type="cellIs" priority="113" operator="equal" dxfId="1">
      <formula>"En attente N+1"</formula>
    </cfRule>
    <cfRule type="cellIs" priority="114" operator="equal" dxfId="1">
      <formula>"Prolongation essai"</formula>
    </cfRule>
    <cfRule type="cellIs" priority="115" operator="equal" dxfId="1">
      <formula>"En attente validation"</formula>
    </cfRule>
    <cfRule type="cellIs" priority="116" operator="equal" dxfId="1">
      <formula>"Bon"</formula>
    </cfRule>
    <cfRule type="cellIs" priority="117" operator="equal" dxfId="1">
      <formula>"D - Moyen"</formula>
    </cfRule>
    <cfRule type="cellIs" priority="118" operator="equal" dxfId="1">
      <formula>"En cours de repres."</formula>
    </cfRule>
    <cfRule type="cellIs" priority="119" operator="equal" dxfId="1">
      <formula>"En negociation"</formula>
    </cfRule>
    <cfRule type="cellIs" priority="120" operator="equal" dxfId="1">
      <formula>"En preparation"</formula>
    </cfRule>
    <cfRule type="cellIs" priority="121" operator="equal" dxfId="1">
      <formula>"En cours d'instruction"</formula>
    </cfRule>
    <cfRule type="cellIs" priority="122" operator="equal" dxfId="1">
      <formula>"Transferee N+1"</formula>
    </cfRule>
    <cfRule type="cellIs" priority="123" operator="equal" dxfId="1">
      <formula>"En attente reponse"</formula>
    </cfRule>
    <cfRule type="cellIs" priority="124" operator="equal" dxfId="1">
      <formula>"Enquete ouverte"</formula>
    </cfRule>
    <cfRule type="cellIs" priority="125" operator="equal" dxfId="1">
      <formula>"Convocation envoyee"</formula>
    </cfRule>
    <cfRule type="cellIs" priority="126" operator="equal" dxfId="1">
      <formula>"Entretien realise"</formula>
    </cfRule>
    <cfRule type="cellIs" priority="127" operator="equal" dxfId="1">
      <formula>"Saisie"</formula>
    </cfRule>
    <cfRule type="cellIs" priority="128" operator="equal" dxfId="1">
      <formula>"En mediation"</formula>
    </cfRule>
    <cfRule type="cellIs" priority="129" operator="equal" dxfId="1">
      <formula>"En recours"</formula>
    </cfRule>
    <cfRule type="cellIs" priority="130" operator="equal" dxfId="1">
      <formula>"Reportee"</formula>
    </cfRule>
    <cfRule type="cellIs" priority="131" operator="equal" dxfId="1">
      <formula>"Reporte"</formula>
    </cfRule>
    <cfRule type="cellIs" priority="132" operator="equal" dxfId="1">
      <formula>"Signale"</formula>
    </cfRule>
    <cfRule type="cellIs" priority="133" operator="equal" dxfId="1">
      <formula>"Precontentieux"</formula>
    </cfRule>
    <cfRule type="cellIs" priority="134" operator="equal" dxfId="1">
      <formula>"En attente election"</formula>
    </cfRule>
    <cfRule type="cellIs" priority="135" operator="equal" dxfId="1">
      <formula>"Classe"</formula>
    </cfRule>
    <cfRule type="cellIs" priority="136" operator="equal" dxfId="1">
      <formula>"En cours d'evaluation"</formula>
    </cfRule>
    <cfRule type="cellIs" priority="137" operator="equal" dxfId="1">
      <formula>"En cours d'enquete"</formula>
    </cfRule>
    <cfRule type="cellIs" priority="138" operator="equal" dxfId="1">
      <formula>"En cours de commande"</formula>
    </cfRule>
    <cfRule type="cellIs" priority="139" operator="equal" dxfId="1">
      <formula>"A revoir"</formula>
    </cfRule>
    <cfRule type="cellIs" priority="140" operator="equal" dxfId="1">
      <formula>"A remplacer"</formula>
    </cfRule>
    <cfRule type="cellIs" priority="141" operator="equal" dxfId="1">
      <formula>"En cours d'instruction CNPS"</formula>
    </cfRule>
    <cfRule type="cellIs" priority="142" operator="equal" dxfId="1">
      <formula>"En contestation"</formula>
    </cfRule>
    <cfRule type="cellIs" priority="143" operator="equal" dxfId="1">
      <formula>"Inapte temporaire"</formula>
    </cfRule>
    <cfRule type="cellIs" priority="144" operator="equal" dxfId="1">
      <formula>"Candidat identifie"</formula>
    </cfRule>
    <cfRule type="cellIs" priority="145" operator="equal" dxfId="1">
      <formula>"En formation"</formula>
    </cfRule>
    <cfRule type="cellIs" priority="146" operator="equal" dxfId="1">
      <formula>"En evaluation"</formula>
    </cfRule>
    <cfRule type="cellIs" priority="147" operator="equal" dxfId="1">
      <formula>"En transit"</formula>
    </cfRule>
    <cfRule type="cellIs" priority="148" operator="equal" dxfId="1">
      <formula>"En attente visa"</formula>
    </cfRule>
    <cfRule type="cellIs" priority="149" operator="equal" dxfId="1">
      <formula>"Proposee"</formula>
    </cfRule>
    <cfRule type="cellIs" priority="150" operator="equal" dxfId="1">
      <formula>"En cours d'acquisition"</formula>
    </cfRule>
    <cfRule type="cellIs" priority="151" operator="equal" dxfId="1">
      <formula>"A developper"</formula>
    </cfRule>
    <cfRule type="cellIs" priority="152" operator="equal" dxfId="1">
      <formula>"A renforcer"</formula>
    </cfRule>
    <cfRule type="cellIs" priority="153" operator="equal" dxfId="1">
      <formula>"En cours"</formula>
    </cfRule>
    <cfRule type="cellIs" priority="154" operator="equal" dxfId="1">
      <formula>"Partiellement conforme"</formula>
    </cfRule>
    <cfRule type="cellIs" priority="155" operator="equal" dxfId="1">
      <formula>"En mise en conformite"</formula>
    </cfRule>
    <cfRule type="cellIs" priority="156" operator="equal" dxfId="1">
      <formula>"En revision"</formula>
    </cfRule>
    <cfRule type="cellIs" priority="157" operator="equal" dxfId="1">
      <formula>"A approuver"</formula>
    </cfRule>
    <cfRule type="cellIs" priority="158" operator="equal" dxfId="1">
      <formula>"En conciliation"</formula>
    </cfRule>
    <cfRule type="cellIs" priority="159" operator="equal" dxfId="1">
      <formula>"Assigne tribunal"</formula>
    </cfRule>
    <cfRule type="cellIs" priority="160" operator="equal" dxfId="1">
      <formula>"En cours de preparation"</formula>
    </cfRule>
    <cfRule type="cellIs" priority="161" operator="equal" dxfId="1">
      <formula>"Non effectuee"</formula>
    </cfRule>
    <cfRule type="cellIs" priority="162" operator="equal" dxfId="1">
      <formula>"A archiver"</formula>
    </cfRule>
    <cfRule type="cellIs" priority="163" operator="equal" dxfId="1">
      <formula>"En cours de constitution"</formula>
    </cfRule>
    <cfRule type="cellIs" priority="164" operator="equal" dxfId="1">
      <formula>"A mettre a jour"</formula>
    </cfRule>
    <cfRule type="cellIs" priority="165" operator="equal" dxfId="1">
      <formula>"En restoration"</formula>
    </cfRule>
    <cfRule type="cellIs" priority="166" operator="equal" dxfId="1">
      <formula>"En cours de restauration"</formula>
    </cfRule>
    <cfRule type="cellIs" priority="167" operator="equal" dxfId="1">
      <formula>"A determiner"</formula>
    </cfRule>
    <cfRule type="cellIs" priority="168" operator="equal" dxfId="1">
      <formula>"En revision"</formula>
    </cfRule>
    <cfRule type="cellIs" priority="169" operator="equal" dxfId="1">
      <formula>"Obsolete"</formula>
    </cfRule>
    <cfRule type="cellIs" priority="170" operator="equal" dxfId="1">
      <formula>"Hybride (papier + numerique)"</formula>
    </cfRule>
    <cfRule type="cellIs" priority="171" operator="equal" dxfId="1">
      <formula>"En cours de validation"</formula>
    </cfRule>
    <cfRule type="cellIs" priority="172" operator="equal" dxfId="1">
      <formula>"En cours d'analyse"</formula>
    </cfRule>
    <cfRule type="cellIs" priority="173" operator="equal" dxfId="1">
      <formula>"En cours de redaction"</formula>
    </cfRule>
    <cfRule type="cellIs" priority="174" operator="equal" dxfId="1">
      <formula>"En relecture"</formula>
    </cfRule>
    <cfRule type="cellIs" priority="175" operator="equal" dxfId="1">
      <formula>"En analyse"</formula>
    </cfRule>
    <cfRule type="cellIs" priority="176" operator="equal" dxfId="1">
      <formula>"Entretien planifie"</formula>
    </cfRule>
    <cfRule type="cellIs" priority="177" operator="equal" dxfId="1">
      <formula>"En attente decision"</formula>
    </cfRule>
    <cfRule type="cellIs" priority="178" operator="equal" dxfId="1">
      <formula>"En attente poste"</formula>
    </cfRule>
    <cfRule type="cellIs" priority="179" operator="equal" dxfId="1">
      <formula>"Satisfait"</formula>
    </cfRule>
    <cfRule type="cellIs" priority="180" operator="equal" dxfId="1">
      <formula>"Neutre"</formula>
    </cfRule>
    <cfRule type="cellIs" priority="181" operator="equal" dxfId="1">
      <formula>"En negotation"</formula>
    </cfRule>
    <cfRule type="cellIs" priority="182" operator="equal" dxfId="1">
      <formula>"En pause"</formula>
    </cfRule>
    <cfRule type="cellIs" priority="183" operator="equal" dxfId="1">
      <formula>"En amelioration"</formula>
    </cfRule>
    <cfRule type="cellIs" priority="184" operator="equal" dxfId="1">
      <formula>"En evaluation"</formula>
    </cfRule>
    <cfRule type="cellIs" priority="185" operator="equal" dxfId="1">
      <formula>"Test"</formula>
    </cfRule>
    <cfRule type="cellIs" priority="186" operator="equal" dxfId="1">
      <formula>"Deploiement pilote"</formula>
    </cfRule>
    <cfRule type="cellIs" priority="187" operator="equal" dxfId="1">
      <formula>"Prototype"</formula>
    </cfRule>
    <cfRule type="cellIs" priority="188" operator="equal" dxfId="1">
      <formula>"Etude de faisabilite"</formula>
    </cfRule>
    <cfRule type="cellIs" priority="189" operator="equal" dxfId="1">
      <formula>"Partiellement automatise"</formula>
    </cfRule>
    <cfRule type="cellIs" priority="190" operator="equal" dxfId="1">
      <formula>"Defini"</formula>
    </cfRule>
    <cfRule type="cellIs" priority="191" operator="equal" dxfId="1">
      <formula>"Reproductible"</formula>
    </cfRule>
    <cfRule type="cellIs" priority="192" operator="equal" dxfId="1">
      <formula>"En cours d'adoption"</formula>
    </cfRule>
    <cfRule type="cellIs" priority="193" operator="equal" dxfId="1">
      <formula>"Idee"</formula>
    </cfRule>
    <cfRule type="cellIs" priority="194" operator="equal" dxfId="2">
      <formula>"Expire"</formula>
    </cfRule>
    <cfRule type="cellIs" priority="195" operator="equal" dxfId="2">
      <formula>"Rejete"</formula>
    </cfRule>
    <cfRule type="cellIs" priority="196" operator="equal" dxfId="2">
      <formula>"Rejetee"</formula>
    </cfRule>
    <cfRule type="cellIs" priority="197" operator="equal" dxfId="2">
      <formula>"Resilie"</formula>
    </cfRule>
    <cfRule type="cellIs" priority="198" operator="equal" dxfId="2">
      <formula>"Annule"</formula>
    </cfRule>
    <cfRule type="cellIs" priority="199" operator="equal" dxfId="2">
      <formula>"Annulee"</formula>
    </cfRule>
    <cfRule type="cellIs" priority="200" operator="equal" dxfId="2">
      <formula>"Refuse"</formula>
    </cfRule>
    <cfRule type="cellIs" priority="201" operator="equal" dxfId="2">
      <formula>"Non justifie"</formula>
    </cfRule>
    <cfRule type="cellIs" priority="202" operator="equal" dxfId="2">
      <formula>"Non justifiee"</formula>
    </cfRule>
    <cfRule type="cellIs" priority="203" operator="equal" dxfId="2">
      <formula>"Sanctionne"</formula>
    </cfRule>
    <cfRule type="cellIs" priority="204" operator="equal" dxfId="2">
      <formula>"Inaptitude"</formula>
    </cfRule>
    <cfRule type="cellIs" priority="205" operator="equal" dxfId="2">
      <formula>"Absent sans autorisation"</formula>
    </cfRule>
    <cfRule type="cellIs" priority="206" operator="equal" dxfId="2">
      <formula>"Abandon de poste"</formula>
    </cfRule>
    <cfRule type="cellIs" priority="207" operator="equal" dxfId="2">
      <formula>"Non satisfait"</formula>
    </cfRule>
    <cfRule type="cellIs" priority="208" operator="equal" dxfId="2">
      <formula>"Depasse"</formula>
    </cfRule>
    <cfRule type="cellIs" priority="209" operator="equal" dxfId="2">
      <formula>"Non utilise"</formula>
    </cfRule>
    <cfRule type="cellIs" priority="210" operator="equal" dxfId="2">
      <formula>"Non applicable"</formula>
    </cfRule>
    <cfRule type="cellIs" priority="211" operator="equal" dxfId="2">
      <formula>"Debutant"</formula>
    </cfRule>
    <cfRule type="cellIs" priority="212" operator="equal" dxfId="2">
      <formula>"Non atteint"</formula>
    </cfRule>
    <cfRule type="cellIs" priority="213" operator="equal" dxfId="2">
      <formula>"Abandonne"</formula>
    </cfRule>
    <cfRule type="cellIs" priority="214" operator="equal" dxfId="2">
      <formula>"Rupture essai"</formula>
    </cfRule>
    <cfRule type="cellIs" priority="215" operator="equal" dxfId="2">
      <formula>"Insuffisant"</formula>
    </cfRule>
    <cfRule type="cellIs" priority="216" operator="equal" dxfId="2">
      <formula>"Moyen"</formula>
    </cfRule>
    <cfRule type="cellIs" priority="217" operator="equal" dxfId="2">
      <formula>"E - Insuffisant"</formula>
    </cfRule>
    <cfRule type="cellIs" priority="218" operator="equal" dxfId="2">
      <formula>"Dissous"</formula>
    </cfRule>
    <cfRule type="cellIs" priority="219" operator="equal" dxfId="2">
      <formula>"Denonce"</formula>
    </cfRule>
    <cfRule type="cellIs" priority="220" operator="equal" dxfId="2">
      <formula>"Echoue"</formula>
    </cfRule>
    <cfRule type="cellIs" priority="221" operator="equal" dxfId="2">
      <formula>"Echouee"</formula>
    </cfRule>
    <cfRule type="cellIs" priority="222" operator="equal" dxfId="2">
      <formula>"Revoque"</formula>
    </cfRule>
    <cfRule type="cellIs" priority="223" operator="equal" dxfId="2">
      <formula>"Demissionnaire"</formula>
    </cfRule>
    <cfRule type="cellIs" priority="224" operator="equal" dxfId="2">
      <formula>"Licenciement pour faute"</formula>
    </cfRule>
    <cfRule type="cellIs" priority="225" operator="equal" dxfId="2">
      <formula>"Licenciement pour faute grave"</formula>
    </cfRule>
    <cfRule type="cellIs" priority="226" operator="equal" dxfId="2">
      <formula>"Terminee - Echec"</formula>
    </cfRule>
    <cfRule type="cellIs" priority="227" operator="equal" dxfId="2">
      <formula>"Abandonnee"</formula>
    </cfRule>
    <cfRule type="cellIs" priority="228" operator="equal" dxfId="2">
      <formula>"Violence physique"</formula>
    </cfRule>
    <cfRule type="cellIs" priority="229" operator="equal" dxfId="2">
      <formula>"Violence verbale"</formula>
    </cfRule>
    <cfRule type="cellIs" priority="230" operator="equal" dxfId="2">
      <formula>"Fatal"</formula>
    </cfRule>
    <cfRule type="cellIs" priority="231" operator="equal" dxfId="2">
      <formula>"Non reconnue"</formula>
    </cfRule>
    <cfRule type="cellIs" priority="232" operator="equal" dxfId="2">
      <formula>"Inapte definitif"</formula>
    </cfRule>
    <cfRule type="cellIs" priority="233" operator="equal" dxfId="2">
      <formula>"Perdu / vole"</formula>
    </cfRule>
    <cfRule type="cellIs" priority="234" operator="equal" dxfId="2">
      <formula>"Rebute"</formula>
    </cfRule>
    <cfRule type="cellIs" priority="235" operator="equal" dxfId="2">
      <formula>"Obsolette"</formula>
    </cfRule>
    <cfRule type="cellIs" priority="236" operator="equal" dxfId="2">
      <formula>"Conteste"</formula>
    </cfRule>
    <cfRule type="cellIs" priority="237" operator="equal" dxfId="2">
      <formula>"Refusee"</formula>
    </cfRule>
    <cfRule type="cellIs" priority="238" operator="equal" dxfId="2">
      <formula>"Non retenu"</formula>
    </cfRule>
    <cfRule type="cellIs" priority="239" operator="equal" dxfId="2">
      <formula>"Non acquis"</formula>
    </cfRule>
    <cfRule type="cellIs" priority="240" operator="equal" dxfId="2">
      <formula>"Contrat termine"</formula>
    </cfRule>
    <cfRule type="cellIs" priority="241" operator="equal" dxfId="2">
      <formula>"Rapatrie"</formula>
    </cfRule>
    <cfRule type="cellIs" priority="242" operator="equal" dxfId="2">
      <formula>"Non conforme"</formula>
    </cfRule>
    <cfRule type="cellIs" priority="243" operator="equal" dxfId="2">
      <formula>"Abandonne"</formula>
    </cfRule>
    <cfRule type="cellIs" priority="244" operator="equal" dxfId="2">
      <formula>"Perdu"</formula>
    </cfRule>
    <cfRule type="cellIs" priority="245" operator="equal" dxfId="2">
      <formula>"Resilie"</formula>
    </cfRule>
    <cfRule type="cellIs" priority="246" operator="equal" dxfId="2">
      <formula>"Expire"</formula>
    </cfRule>
    <cfRule type="cellIs" priority="247" operator="equal" dxfId="2">
      <formula>"Incomplet"</formula>
    </cfRule>
    <cfRule type="cellIs" priority="248" operator="equal" dxfId="2">
      <formula>"Non restitue"</formula>
    </cfRule>
    <cfRule type="cellIs" priority="249" operator="equal" dxfId="2">
      <formula>"Perdu"</formula>
    </cfRule>
    <cfRule type="cellIs" priority="250" operator="equal" dxfId="2">
      <formula>"Secret"</formula>
    </cfRule>
    <cfRule type="cellIs" priority="251" operator="equal" dxfId="2">
      <formula>"Non retenue"</formula>
    </cfRule>
    <cfRule type="cellIs" priority="252" operator="equal" dxfId="2">
      <formula>"Insatisfait"</formula>
    </cfRule>
    <cfRule type="cellIs" priority="253" operator="equal" dxfId="2">
      <formula>"Tres insatisfait"</formula>
    </cfRule>
    <cfRule type="cellIs" priority="254" operator="equal" dxfId="2">
      <formula>"Non mesure"</formula>
    </cfRule>
    <cfRule type="cellIs" priority="255" operator="equal" dxfId="2">
      <formula>"Non renouvele"</formula>
    </cfRule>
    <cfRule type="cellIs" priority="256" operator="equal" dxfId="2">
      <formula>"Non commence"</formula>
    </cfRule>
    <cfRule type="cellIs" priority="257" operator="equal" dxfId="2">
      <formula>"Initial"</formula>
    </cfRule>
    <cfRule type="cellIs" priority="258" operator="equal" dxfId="2">
      <formula>"Critique"</formula>
    </cfRule>
    <cfRule type="cellIs" priority="259" operator="equal" dxfId="2">
      <formula>"Eleve"</formula>
    </cfRule>
    <cfRule type="cellIs" priority="260" operator="equal" dxfId="2">
      <formula>"Abandonne"</formula>
    </cfRule>
  </conditionalFormatting>
  <conditionalFormatting sqref="B8:B107">
    <cfRule type="expression" priority="261" dxfId="3">
      <formula>AND($C8="",$C7&lt;&gt;"")</formula>
    </cfRule>
  </conditionalFormatting>
  <conditionalFormatting sqref="C8:C107">
    <cfRule type="expression" priority="262" dxfId="3">
      <formula>AND($C8="",$C7&lt;&gt;"")</formula>
    </cfRule>
  </conditionalFormatting>
  <conditionalFormatting sqref="D8:D107">
    <cfRule type="expression" priority="263" dxfId="3">
      <formula>AND($C8="",$C7&lt;&gt;"")</formula>
    </cfRule>
  </conditionalFormatting>
  <conditionalFormatting sqref="E8:E107">
    <cfRule type="expression" priority="264" dxfId="3">
      <formula>AND($C8="",$C7&lt;&gt;"")</formula>
    </cfRule>
  </conditionalFormatting>
  <conditionalFormatting sqref="F8:F107">
    <cfRule type="expression" priority="265" dxfId="3">
      <formula>AND($C8="",$C7&lt;&gt;"")</formula>
    </cfRule>
  </conditionalFormatting>
  <conditionalFormatting sqref="G8:G107">
    <cfRule type="expression" priority="266" dxfId="3">
      <formula>AND($C8="",$C7&lt;&gt;"")</formula>
    </cfRule>
  </conditionalFormatting>
  <conditionalFormatting sqref="H8:H107">
    <cfRule type="expression" priority="267" dxfId="3">
      <formula>AND($C8="",$C7&lt;&gt;"")</formula>
    </cfRule>
  </conditionalFormatting>
  <conditionalFormatting sqref="I8:I107">
    <cfRule type="expression" priority="268" dxfId="3">
      <formula>AND($C8="",$C7&lt;&gt;"")</formula>
    </cfRule>
  </conditionalFormatting>
  <conditionalFormatting sqref="J8:J107">
    <cfRule type="expression" priority="269" dxfId="3">
      <formula>AND($C8="",$C7&lt;&gt;"")</formula>
    </cfRule>
  </conditionalFormatting>
  <conditionalFormatting sqref="K8:K107">
    <cfRule type="expression" priority="270" dxfId="3">
      <formula>AND($C8="",$C7&lt;&gt;"")</formula>
    </cfRule>
  </conditionalFormatting>
  <conditionalFormatting sqref="L8:L107">
    <cfRule type="expression" priority="271" dxfId="3">
      <formula>AND($C8="",$C7&lt;&gt;"")</formula>
    </cfRule>
  </conditionalFormatting>
  <conditionalFormatting sqref="M8:M107">
    <cfRule type="expression" priority="272" dxfId="3">
      <formula>AND($C8="",$C7&lt;&gt;"")</formula>
    </cfRule>
  </conditionalFormatting>
  <dataValidations count="2">
    <dataValidation sqref="D5:D107" showDropDown="0" showInputMessage="0" showErrorMessage="0" allowBlank="1" errorTitle="Erreur" error="Valeur invalide" promptTitle="Liste" prompt="Choisir dans la liste" type="list">
      <formula1>'_Lists'!$D$2:$D$13</formula1>
    </dataValidation>
    <dataValidation sqref="L5:L107" showDropDown="0" showInputMessage="0" showErrorMessage="0" allowBlank="1" errorTitle="Erreur" error="Valeur invalide" promptTitle="Liste" prompt="Choisir dans la liste" type="list">
      <formula1>'_Lists'!$P$2:$P$6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6" customWidth="1" min="4" max="4"/>
    <col width="22" customWidth="1" min="5" max="5"/>
    <col width="20" customWidth="1" min="6" max="6"/>
    <col width="26" customWidth="1" min="7" max="7"/>
    <col width="22" customWidth="1" min="8" max="8"/>
    <col width="34" customWidth="1" min="9" max="9"/>
    <col width="34" customWidth="1" min="10" max="10"/>
    <col width="22" customWidth="1" min="11" max="11"/>
    <col width="36" customWidth="1" min="12" max="12"/>
  </cols>
  <sheetData>
    <row r="1" ht="15" customHeight="1"/>
    <row r="2" ht="32" customHeight="1">
      <c r="B2" s="1" t="inlineStr">
        <is>
          <t>MATRICE OUTILS &amp; PROCESSUS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Processus RH</t>
        </is>
      </c>
      <c r="D4" s="10" t="inlineStr">
        <is>
          <t>Outil Principal</t>
        </is>
      </c>
      <c r="E4" s="10" t="inlineStr">
        <is>
          <t>Type Outil</t>
        </is>
      </c>
      <c r="F4" s="10" t="inlineStr">
        <is>
          <t>Niveau Integration</t>
        </is>
      </c>
      <c r="G4" s="10" t="inlineStr">
        <is>
          <t>Niveau Automatisation</t>
        </is>
      </c>
      <c r="H4" s="10" t="inlineStr">
        <is>
          <t>Niveau Satisfaction</t>
        </is>
      </c>
      <c r="I4" s="10" t="inlineStr">
        <is>
          <t>Points Forts</t>
        </is>
      </c>
      <c r="J4" s="10" t="inlineStr">
        <is>
          <t>Axes Amelioration</t>
        </is>
      </c>
      <c r="K4" s="10" t="inlineStr">
        <is>
          <t>Priorite Amelioration</t>
        </is>
      </c>
      <c r="L4" s="10" t="inlineStr">
        <is>
          <t>Observations</t>
        </is>
      </c>
    </row>
    <row r="5" ht="22" customHeight="1">
      <c r="B5" s="11" t="inlineStr">
        <is>
          <t>MOP-001</t>
        </is>
      </c>
      <c r="C5" s="11" t="inlineStr">
        <is>
          <t>Recrutement</t>
        </is>
      </c>
      <c r="D5" s="11" t="inlineStr">
        <is>
          <t>Welcome to the Jungle</t>
        </is>
      </c>
      <c r="E5" s="11" t="inlineStr">
        <is>
          <t>Recrutement</t>
        </is>
      </c>
      <c r="F5" s="11" t="inlineStr">
        <is>
          <t>Eleve</t>
        </is>
      </c>
      <c r="G5" s="11" t="inlineStr">
        <is>
          <t>Automatise</t>
        </is>
      </c>
      <c r="H5" s="11" t="inlineStr">
        <is>
          <t>Satisfait</t>
        </is>
      </c>
      <c r="I5" s="11" t="inlineStr">
        <is>
          <t>CV screening IA, multi-diffusion</t>
        </is>
      </c>
      <c r="J5" s="11" t="inlineStr">
        <is>
          <t>Integration SIRH a renforcer</t>
        </is>
      </c>
      <c r="K5" s="11" t="inlineStr">
        <is>
          <t>Haute</t>
        </is>
      </c>
      <c r="L5" s="11" t="inlineStr">
        <is>
          <t>Project integration Q2 2025</t>
        </is>
      </c>
    </row>
    <row r="6" ht="22" customHeight="1">
      <c r="B6" s="14" t="inlineStr">
        <is>
          <t>MOP-002</t>
        </is>
      </c>
      <c r="C6" s="14" t="inlineStr">
        <is>
          <t>Paie</t>
        </is>
      </c>
      <c r="D6" s="14" t="inlineStr">
        <is>
          <t>Lucca Paie</t>
        </is>
      </c>
      <c r="E6" s="14" t="inlineStr">
        <is>
          <t>Paie</t>
        </is>
      </c>
      <c r="F6" s="14" t="inlineStr">
        <is>
          <t>Moyen</t>
        </is>
      </c>
      <c r="G6" s="14" t="inlineStr">
        <is>
          <t>Automatise</t>
        </is>
      </c>
      <c r="H6" s="14" t="inlineStr">
        <is>
          <t>Tres satisfait</t>
        </is>
      </c>
      <c r="I6" s="14" t="inlineStr">
        <is>
          <t>Calcul automatique, declarations CNPS</t>
        </is>
      </c>
      <c r="J6" s="14" t="inlineStr">
        <is>
          <t>Integration SIRH en cours</t>
        </is>
      </c>
      <c r="K6" s="14" t="inlineStr">
        <is>
          <t>Haute</t>
        </is>
      </c>
      <c r="L6" s="14" t="inlineStr">
        <is>
          <t>Go-live prevu avril 2025</t>
        </is>
      </c>
    </row>
    <row r="7" ht="22" customHeight="1">
      <c r="B7" s="11" t="inlineStr">
        <is>
          <t>MOP-003</t>
        </is>
      </c>
      <c r="C7" s="11" t="inlineStr">
        <is>
          <t>Gestion conges</t>
        </is>
      </c>
      <c r="D7" s="11" t="inlineStr">
        <is>
          <t>SIRH HotelPro</t>
        </is>
      </c>
      <c r="E7" s="11" t="inlineStr">
        <is>
          <t>SIRH</t>
        </is>
      </c>
      <c r="F7" s="11" t="inlineStr">
        <is>
          <t>Eleve</t>
        </is>
      </c>
      <c r="G7" s="11" t="inlineStr">
        <is>
          <t>Automatise</t>
        </is>
      </c>
      <c r="H7" s="11" t="inlineStr">
        <is>
          <t>Satisfait</t>
        </is>
      </c>
      <c r="I7" s="11" t="inlineStr">
        <is>
          <t>Workflow validation, solde auto</t>
        </is>
      </c>
      <c r="J7" s="11" t="inlineStr">
        <is>
          <t>App mobile encore instable</t>
        </is>
      </c>
      <c r="K7" s="11" t="inlineStr">
        <is>
          <t>Moyenne</t>
        </is>
      </c>
      <c r="L7" s="11" t="inlineStr">
        <is>
          <t>MAJ app prevue v2.4</t>
        </is>
      </c>
    </row>
    <row r="8" ht="22" customHeight="1">
      <c r="B8" s="14" t="inlineStr">
        <is>
          <t>MOP-004</t>
        </is>
      </c>
      <c r="C8" s="14" t="inlineStr">
        <is>
          <t>Formation</t>
        </is>
      </c>
      <c r="D8" s="14" t="inlineStr">
        <is>
          <t>Moodle interne</t>
        </is>
      </c>
      <c r="E8" s="14" t="inlineStr">
        <is>
          <t>Formation en ligne</t>
        </is>
      </c>
      <c r="F8" s="14" t="inlineStr">
        <is>
          <t>Faible</t>
        </is>
      </c>
      <c r="G8" s="14" t="inlineStr">
        <is>
          <t>Partiellement automatise</t>
        </is>
      </c>
      <c r="H8" s="14" t="inlineStr">
        <is>
          <t>Neutre</t>
        </is>
      </c>
      <c r="I8" s="14" t="inlineStr">
        <is>
          <t>Contenu riche, accessible</t>
        </is>
      </c>
      <c r="J8" s="14" t="inlineStr">
        <is>
          <t>UX obsolete, pas de tracking SIRH</t>
        </is>
      </c>
      <c r="K8" s="14" t="inlineStr">
        <is>
          <t>Moyenne</t>
        </is>
      </c>
      <c r="L8" s="14" t="inlineStr">
        <is>
          <t>Migration vers Lucca Learning etudiee</t>
        </is>
      </c>
    </row>
    <row r="9" ht="22" customHeight="1">
      <c r="B9" s="18">
        <f>IF(C9="","MOP-"&amp;TEXT(COUNTA($C$5:C9),"000"))</f>
        <v/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22" customHeight="1">
      <c r="B10" s="17">
        <f>IF(C10="","MOP-"&amp;TEXT(COUNTA($C$5:C10),"000"))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22" customHeight="1">
      <c r="B11" s="18">
        <f>IF(C11="","MOP-"&amp;TEXT(COUNTA($C$5:C11),"000"))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22" customHeight="1">
      <c r="B12" s="17">
        <f>IF(C12="","MOP-"&amp;TEXT(COUNTA($C$5:C12),"000"))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22" customHeight="1">
      <c r="B13" s="18">
        <f>IF(C13="","MOP-"&amp;TEXT(COUNTA($C$5:C13),"000"))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22" customHeight="1">
      <c r="B14" s="17">
        <f>IF(C14="","MOP-"&amp;TEXT(COUNTA($C$5:C14),"000"))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22" customHeight="1">
      <c r="B15" s="18">
        <f>IF(C15="","MOP-"&amp;TEXT(COUNTA($C$5:C15),"000"))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22" customHeight="1">
      <c r="B16" s="17">
        <f>IF(C16="","MOP-"&amp;TEXT(COUNTA($C$5:C16),"000"))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2" customHeight="1">
      <c r="B17" s="18">
        <f>IF(C17="","MOP-"&amp;TEXT(COUNTA($C$5:C17),"000"))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22" customHeight="1">
      <c r="B18" s="17">
        <f>IF(C18="","MOP-"&amp;TEXT(COUNTA($C$5:C18),"000"))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2" customHeight="1">
      <c r="B19" s="18">
        <f>IF(C19="","MOP-"&amp;TEXT(COUNTA($C$5:C19),"000"))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22" customHeight="1">
      <c r="B20" s="17">
        <f>IF(C20="","MOP-"&amp;TEXT(COUNTA($C$5:C20),"000"))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2" customHeight="1">
      <c r="B21" s="18">
        <f>IF(C21="","MOP-"&amp;TEXT(COUNTA($C$5:C21),"000"))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22" customHeight="1">
      <c r="B22" s="17">
        <f>IF(C22="","MOP-"&amp;TEXT(COUNTA($C$5:C22),"000"))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2" customHeight="1">
      <c r="B23" s="18">
        <f>IF(C23="","MOP-"&amp;TEXT(COUNTA($C$5:C23),"000"))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22" customHeight="1">
      <c r="B24" s="17">
        <f>IF(C24="","MOP-"&amp;TEXT(COUNTA($C$5:C24),"000"))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ht="22" customHeight="1">
      <c r="B25" s="18">
        <f>IF(C25="","MOP-"&amp;TEXT(COUNTA($C$5:C25),"000"))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B26" s="17">
        <f>IF(C26="","MOP-"&amp;TEXT(COUNTA($C$5:C26),"000"))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 ht="22" customHeight="1">
      <c r="B27" s="18">
        <f>IF(C27="","MOP-"&amp;TEXT(COUNTA($C$5:C27),"000"))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22" customHeight="1">
      <c r="B28" s="17">
        <f>IF(C28="","MOP-"&amp;TEXT(COUNTA($C$5:C28),"000"))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22" customHeight="1">
      <c r="B29" s="18">
        <f>IF(C29="","MOP-"&amp;TEXT(COUNTA($C$5:C29),"000"))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22" customHeight="1">
      <c r="B30" s="17">
        <f>IF(C30="","MOP-"&amp;TEXT(COUNTA($C$5:C30),"000"))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B31" s="18">
        <f>IF(C31="","MOP-"&amp;TEXT(COUNTA($C$5:C31),"000"))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22" customHeight="1">
      <c r="B32" s="17">
        <f>IF(C32="","MOP-"&amp;TEXT(COUNTA($C$5:C32),"000"))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B33" s="18">
        <f>IF(C33="","MOP-"&amp;TEXT(COUNTA($C$5:C33),"000"))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22" customHeight="1">
      <c r="B34" s="17">
        <f>IF(C34="","MOP-"&amp;TEXT(COUNTA($C$5:C34),"000"))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 ht="22" customHeight="1">
      <c r="B35" s="18">
        <f>IF(C35="","MOP-"&amp;TEXT(COUNTA($C$5:C35),"000"))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22" customHeight="1">
      <c r="B36" s="17">
        <f>IF(C36="","MOP-"&amp;TEXT(COUNTA($C$5:C36),"000"))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22" customHeight="1">
      <c r="B37" s="18">
        <f>IF(C37="","MOP-"&amp;TEXT(COUNTA($C$5:C37),"000"))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22" customHeight="1">
      <c r="B38" s="17">
        <f>IF(C38="","MOP-"&amp;TEXT(COUNTA($C$5:C38),"000"))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22" customHeight="1">
      <c r="B39" s="18">
        <f>IF(C39="","MOP-"&amp;TEXT(COUNTA($C$5:C39),"000"))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22" customHeight="1">
      <c r="B40" s="17">
        <f>IF(C40="","MOP-"&amp;TEXT(COUNTA($C$5:C40),"000"))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 ht="22" customHeight="1">
      <c r="B41" s="18">
        <f>IF(C41="","MOP-"&amp;TEXT(COUNTA($C$5:C41),"000"))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22" customHeight="1">
      <c r="B42" s="17">
        <f>IF(C42="","MOP-"&amp;TEXT(COUNTA($C$5:C42),"000"))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 ht="22" customHeight="1">
      <c r="B43" s="18">
        <f>IF(C43="","MOP-"&amp;TEXT(COUNTA($C$5:C43),"000"))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22" customHeight="1">
      <c r="B44" s="17">
        <f>IF(C44="","MOP-"&amp;TEXT(COUNTA($C$5:C44),"000"))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ht="22" customHeight="1">
      <c r="B45" s="18">
        <f>IF(C45="","MOP-"&amp;TEXT(COUNTA($C$5:C45),"000"))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22" customHeight="1">
      <c r="B46" s="17">
        <f>IF(C46="","MOP-"&amp;TEXT(COUNTA($C$5:C46),"000"))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22" customHeight="1">
      <c r="B47" s="18">
        <f>IF(C47="","MOP-"&amp;TEXT(COUNTA($C$5:C47),"000"))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22" customHeight="1">
      <c r="B48" s="17">
        <f>IF(C48="","MOP-"&amp;TEXT(COUNTA($C$5:C48),"000"))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 ht="22" customHeight="1">
      <c r="B49" s="18">
        <f>IF(C49="","MOP-"&amp;TEXT(COUNTA($C$5:C49),"000"))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22" customHeight="1">
      <c r="B50" s="17">
        <f>IF(C50="","MOP-"&amp;TEXT(COUNTA($C$5:C50),"000"))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 ht="22" customHeight="1">
      <c r="B51" s="18">
        <f>IF(C51="","MOP-"&amp;TEXT(COUNTA($C$5:C51),"000"))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 ht="22" customHeight="1">
      <c r="B52" s="17">
        <f>IF(C52="","MOP-"&amp;TEXT(COUNTA($C$5:C52),"000"))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22" customHeight="1">
      <c r="B53" s="18">
        <f>IF(C53="","MOP-"&amp;TEXT(COUNTA($C$5:C53),"000"))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 ht="22" customHeight="1">
      <c r="B54" s="17">
        <f>IF(C54="","MOP-"&amp;TEXT(COUNTA($C$5:C54),"000"))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 ht="22" customHeight="1">
      <c r="B55" s="18">
        <f>IF(C55="","MOP-"&amp;TEXT(COUNTA($C$5:C55),"000"))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 ht="22" customHeight="1">
      <c r="B56" s="17">
        <f>IF(C56="","MOP-"&amp;TEXT(COUNTA($C$5:C56),"000"))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22" customHeight="1">
      <c r="B57" s="18">
        <f>IF(C57="","MOP-"&amp;TEXT(COUNTA($C$5:C57),"000"))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 ht="22" customHeight="1">
      <c r="B58" s="17">
        <f>IF(C58="","MOP-"&amp;TEXT(COUNTA($C$5:C58),"000"))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 ht="22" customHeight="1">
      <c r="B59" s="18">
        <f>IF(C59="","MOP-"&amp;TEXT(COUNTA($C$5:C59),"000"))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 ht="22" customHeight="1">
      <c r="B60" s="17">
        <f>IF(C60="","MOP-"&amp;TEXT(COUNTA($C$5:C60),"000"))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 ht="22" customHeight="1">
      <c r="B61" s="18">
        <f>IF(C61="","MOP-"&amp;TEXT(COUNTA($C$5:C61),"000"))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 ht="22" customHeight="1">
      <c r="B62" s="17">
        <f>IF(C62="","MOP-"&amp;TEXT(COUNTA($C$5:C62),"000"))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 ht="22" customHeight="1">
      <c r="B63" s="18">
        <f>IF(C63="","MOP-"&amp;TEXT(COUNTA($C$5:C63),"000"))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 ht="22" customHeight="1">
      <c r="B64" s="17">
        <f>IF(C64="","MOP-"&amp;TEXT(COUNTA($C$5:C64),"000"))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 ht="22" customHeight="1">
      <c r="B65" s="18">
        <f>IF(C65="","MOP-"&amp;TEXT(COUNTA($C$5:C65),"000"))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 ht="22" customHeight="1">
      <c r="B66" s="17">
        <f>IF(C66="","MOP-"&amp;TEXT(COUNTA($C$5:C66),"000"))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 ht="22" customHeight="1">
      <c r="B67" s="18">
        <f>IF(C67="","MOP-"&amp;TEXT(COUNTA($C$5:C67),"000"))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 ht="22" customHeight="1">
      <c r="B68" s="17">
        <f>IF(C68="","MOP-"&amp;TEXT(COUNTA($C$5:C68),"000"))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 ht="22" customHeight="1">
      <c r="B69" s="18">
        <f>IF(C69="","MOP-"&amp;TEXT(COUNTA($C$5:C69),"000"))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 ht="22" customHeight="1">
      <c r="B70" s="17">
        <f>IF(C70="","MOP-"&amp;TEXT(COUNTA($C$5:C70),"000"))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 ht="22" customHeight="1">
      <c r="B71" s="18">
        <f>IF(C71="","MOP-"&amp;TEXT(COUNTA($C$5:C71),"000"))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 ht="22" customHeight="1">
      <c r="B72" s="17">
        <f>IF(C72="","MOP-"&amp;TEXT(COUNTA($C$5:C72),"000"))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 ht="22" customHeight="1">
      <c r="B73" s="18">
        <f>IF(C73="","MOP-"&amp;TEXT(COUNTA($C$5:C73),"000"))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 ht="22" customHeight="1">
      <c r="B74" s="17">
        <f>IF(C74="","MOP-"&amp;TEXT(COUNTA($C$5:C74),"000"))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 ht="22" customHeight="1">
      <c r="B75" s="18">
        <f>IF(C75="","MOP-"&amp;TEXT(COUNTA($C$5:C75),"000"))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 ht="22" customHeight="1">
      <c r="B76" s="17">
        <f>IF(C76="","MOP-"&amp;TEXT(COUNTA($C$5:C76),"000"))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 ht="22" customHeight="1">
      <c r="B77" s="18">
        <f>IF(C77="","MOP-"&amp;TEXT(COUNTA($C$5:C77),"000"))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 ht="22" customHeight="1">
      <c r="B78" s="17">
        <f>IF(C78="","MOP-"&amp;TEXT(COUNTA($C$5:C78),"000"))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 ht="22" customHeight="1">
      <c r="B79" s="18">
        <f>IF(C79="","MOP-"&amp;TEXT(COUNTA($C$5:C79),"000"))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 ht="22" customHeight="1">
      <c r="B80" s="17">
        <f>IF(C80="","MOP-"&amp;TEXT(COUNTA($C$5:C80),"000"))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 ht="22" customHeight="1">
      <c r="B81" s="18">
        <f>IF(C81="","MOP-"&amp;TEXT(COUNTA($C$5:C81),"000"))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22" customHeight="1">
      <c r="B82" s="17">
        <f>IF(C82="","MOP-"&amp;TEXT(COUNTA($C$5:C82),"000"))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 ht="22" customHeight="1">
      <c r="B83" s="18">
        <f>IF(C83="","MOP-"&amp;TEXT(COUNTA($C$5:C83),"000"))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 ht="22" customHeight="1">
      <c r="B84" s="17">
        <f>IF(C84="","MOP-"&amp;TEXT(COUNTA($C$5:C84),"000"))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 ht="22" customHeight="1">
      <c r="B85" s="18">
        <f>IF(C85="","MOP-"&amp;TEXT(COUNTA($C$5:C85),"000"))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 ht="22" customHeight="1">
      <c r="B86" s="17">
        <f>IF(C86="","MOP-"&amp;TEXT(COUNTA($C$5:C86),"000"))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 ht="22" customHeight="1">
      <c r="B87" s="18">
        <f>IF(C87="","MOP-"&amp;TEXT(COUNTA($C$5:C87),"000"))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 ht="22" customHeight="1">
      <c r="B88" s="17">
        <f>IF(C88="","MOP-"&amp;TEXT(COUNTA($C$5:C88),"000"))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 ht="22" customHeight="1">
      <c r="B89" s="18">
        <f>IF(C89="","MOP-"&amp;TEXT(COUNTA($C$5:C89),"000"))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 ht="22" customHeight="1">
      <c r="B90" s="17">
        <f>IF(C90="","MOP-"&amp;TEXT(COUNTA($C$5:C90),"000"))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 ht="22" customHeight="1">
      <c r="B91" s="18">
        <f>IF(C91="","MOP-"&amp;TEXT(COUNTA($C$5:C91),"000"))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 ht="22" customHeight="1">
      <c r="B92" s="17">
        <f>IF(C92="","MOP-"&amp;TEXT(COUNTA($C$5:C92),"000"))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 ht="22" customHeight="1">
      <c r="B93" s="18">
        <f>IF(C93="","MOP-"&amp;TEXT(COUNTA($C$5:C93),"000"))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 ht="22" customHeight="1">
      <c r="B94" s="17">
        <f>IF(C94="","MOP-"&amp;TEXT(COUNTA($C$5:C94),"000"))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 ht="22" customHeight="1">
      <c r="B95" s="18">
        <f>IF(C95="","MOP-"&amp;TEXT(COUNTA($C$5:C95),"000"))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 ht="22" customHeight="1">
      <c r="B96" s="17">
        <f>IF(C96="","MOP-"&amp;TEXT(COUNTA($C$5:C96),"000"))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 ht="22" customHeight="1">
      <c r="B97" s="18">
        <f>IF(C97="","MOP-"&amp;TEXT(COUNTA($C$5:C97),"000"))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 ht="22" customHeight="1">
      <c r="B98" s="17">
        <f>IF(C98="","MOP-"&amp;TEXT(COUNTA($C$5:C98),"000"))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 ht="22" customHeight="1">
      <c r="B99" s="18">
        <f>IF(C99="","MOP-"&amp;TEXT(COUNTA($C$5:C99),"000"))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 ht="22" customHeight="1">
      <c r="B100" s="17">
        <f>IF(C100="","MOP-"&amp;TEXT(COUNTA($C$5:C100),"000"))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22" customHeight="1">
      <c r="B101" s="18">
        <f>IF(C101="","MOP-"&amp;TEXT(COUNTA($C$5:C101),"000"))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  <row r="102" ht="22" customHeight="1">
      <c r="B102" s="17">
        <f>IF(C102="","MOP-"&amp;TEXT(COUNTA($C$5:C102),"000"))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 ht="22" customHeight="1">
      <c r="B103" s="18">
        <f>IF(C103="","MOP-"&amp;TEXT(COUNTA($C$5:C103),"000"))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</row>
    <row r="104" ht="22" customHeight="1">
      <c r="B104" s="17">
        <f>IF(C104="","MOP-"&amp;TEXT(COUNTA($C$5:C104),"000"))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 ht="22" customHeight="1">
      <c r="B105" s="18">
        <f>IF(C105="","MOP-"&amp;TEXT(COUNTA($C$5:C105),"000"))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</row>
    <row r="106" ht="22" customHeight="1">
      <c r="B106" s="17">
        <f>IF(C106="","MOP-"&amp;TEXT(COUNTA($C$5:C106),"000"))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 ht="22" customHeight="1">
      <c r="B107" s="18">
        <f>IF(C107="","MOP-"&amp;TEXT(COUNTA($C$5:C107),"000"))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</row>
    <row r="108" ht="22" customHeight="1">
      <c r="B108" s="17">
        <f>IF(C108="","MOP-"&amp;TEXT(COUNTA($C$5:C108),"000"))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/>
    <row r="110">
      <c r="B110" s="5" t="inlineStr">
        <is>
          <t>INDICATEURS (mis a jour automatiquement)</t>
        </is>
      </c>
    </row>
    <row r="111">
      <c r="B111" s="3" t="inlineStr">
        <is>
          <t>Processus cartes</t>
        </is>
      </c>
      <c r="D111" s="3" t="inlineStr">
        <is>
          <t>Automatises</t>
        </is>
      </c>
      <c r="F111" s="3" t="inlineStr">
        <is>
          <t>Priorite haute</t>
        </is>
      </c>
    </row>
    <row r="112">
      <c r="B112" s="4">
        <f>COUNTIF(B5:B104,"&lt;&gt;")</f>
        <v/>
      </c>
      <c r="D112" s="4">
        <f>COUNTIF(G5:G104,"Automatise")</f>
        <v/>
      </c>
      <c r="F112" s="4">
        <f>COUNTIF(K5:K104,"Haute")</f>
        <v/>
      </c>
    </row>
  </sheetData>
  <mergeCells count="3">
    <mergeCell ref="B2:L2"/>
    <mergeCell ref="B110:L110"/>
    <mergeCell ref="B3:L3"/>
  </mergeCells>
  <conditionalFormatting sqref="B9:B108">
    <cfRule type="expression" priority="1" dxfId="3">
      <formula>AND($C9="",$C8&lt;&gt;"")</formula>
    </cfRule>
  </conditionalFormatting>
  <conditionalFormatting sqref="C9:C108">
    <cfRule type="expression" priority="2" dxfId="3">
      <formula>AND($C9="",$C8&lt;&gt;"")</formula>
    </cfRule>
  </conditionalFormatting>
  <conditionalFormatting sqref="D9:D108">
    <cfRule type="expression" priority="3" dxfId="3">
      <formula>AND($C9="",$C8&lt;&gt;"")</formula>
    </cfRule>
  </conditionalFormatting>
  <conditionalFormatting sqref="E9:E108">
    <cfRule type="expression" priority="4" dxfId="3">
      <formula>AND($C9="",$C8&lt;&gt;"")</formula>
    </cfRule>
  </conditionalFormatting>
  <conditionalFormatting sqref="F9:F108">
    <cfRule type="expression" priority="5" dxfId="3">
      <formula>AND($C9="",$C8&lt;&gt;"")</formula>
    </cfRule>
  </conditionalFormatting>
  <conditionalFormatting sqref="G9:G108">
    <cfRule type="expression" priority="6" dxfId="3">
      <formula>AND($C9="",$C8&lt;&gt;"")</formula>
    </cfRule>
  </conditionalFormatting>
  <conditionalFormatting sqref="H9:H108">
    <cfRule type="expression" priority="7" dxfId="3">
      <formula>AND($C9="",$C8&lt;&gt;"")</formula>
    </cfRule>
  </conditionalFormatting>
  <conditionalFormatting sqref="I9:I108">
    <cfRule type="expression" priority="8" dxfId="3">
      <formula>AND($C9="",$C8&lt;&gt;"")</formula>
    </cfRule>
  </conditionalFormatting>
  <conditionalFormatting sqref="J9:J108">
    <cfRule type="expression" priority="9" dxfId="3">
      <formula>AND($C9="",$C8&lt;&gt;"")</formula>
    </cfRule>
  </conditionalFormatting>
  <conditionalFormatting sqref="K9:K108">
    <cfRule type="expression" priority="10" dxfId="3">
      <formula>AND($C9="",$C8&lt;&gt;"")</formula>
    </cfRule>
  </conditionalFormatting>
  <conditionalFormatting sqref="L9:L108">
    <cfRule type="expression" priority="11" dxfId="3">
      <formula>AND($C9="",$C8&lt;&gt;"")</formula>
    </cfRule>
  </conditionalFormatting>
  <dataValidations count="5">
    <dataValidation sqref="E5:E108" showDropDown="0" showInputMessage="0" showErrorMessage="0" allowBlank="1" errorTitle="Erreur" error="Valeur invalide" promptTitle="Liste" prompt="Choisir dans la liste" type="list">
      <formula1>'_Lists'!$D$2:$D$13</formula1>
    </dataValidation>
    <dataValidation sqref="F5:F108" showDropDown="0" showInputMessage="0" showErrorMessage="0" allowBlank="1" errorTitle="Erreur" error="Valeur invalide" promptTitle="Liste" prompt="Choisir dans la liste" type="list">
      <formula1>'_Lists'!$M$2:$M$5</formula1>
    </dataValidation>
    <dataValidation sqref="G5:G108" showDropDown="0" showInputMessage="0" showErrorMessage="0" allowBlank="1" errorTitle="Erreur" error="Valeur invalide" promptTitle="Liste" prompt="Choisir dans la liste" type="list">
      <formula1>'_Lists'!$F$2:$F$5</formula1>
    </dataValidation>
    <dataValidation sqref="H5:H108" showDropDown="0" showInputMessage="0" showErrorMessage="0" allowBlank="1" errorTitle="Erreur" error="Valeur invalide" promptTitle="Liste" prompt="Choisir dans la liste" type="list">
      <formula1>'_Lists'!$S$2:$S$6</formula1>
    </dataValidation>
    <dataValidation sqref="K5:K108" showDropDown="0" showInputMessage="0" showErrorMessage="0" allowBlank="1" errorTitle="Erreur" error="Valeur invalide" promptTitle="Liste" prompt="Choisir dans la liste" type="list">
      <formula1>'_Lists'!$M$2:$M$5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2" customWidth="1" min="4" max="4"/>
    <col width="26" customWidth="1" min="5" max="5"/>
    <col width="22" customWidth="1" min="6" max="6"/>
    <col width="16" customWidth="1" min="7" max="7"/>
    <col width="22" customWidth="1" min="8" max="8"/>
    <col width="20" customWidth="1" min="9" max="9"/>
    <col width="22" customWidth="1" min="10" max="10"/>
    <col width="18" customWidth="1" min="11" max="11"/>
    <col width="30" customWidth="1" min="12" max="12"/>
  </cols>
  <sheetData>
    <row r="1" ht="15" customHeight="1"/>
    <row r="2" ht="32" customHeight="1">
      <c r="B2" s="1" t="inlineStr">
        <is>
          <t>SUIVI COMPETENCES DIGITALES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Employe</t>
        </is>
      </c>
      <c r="D4" s="10" t="inlineStr">
        <is>
          <t>Poste</t>
        </is>
      </c>
      <c r="E4" s="10" t="inlineStr">
        <is>
          <t>Departement</t>
        </is>
      </c>
      <c r="F4" s="10" t="inlineStr">
        <is>
          <t>Niveau Digital Global</t>
        </is>
      </c>
      <c r="G4" s="10" t="inlineStr">
        <is>
          <t>SIRH</t>
        </is>
      </c>
      <c r="H4" s="10" t="inlineStr">
        <is>
          <t>Bureautique Avance</t>
        </is>
      </c>
      <c r="I4" s="10" t="inlineStr">
        <is>
          <t>Data &amp; Analytics</t>
        </is>
      </c>
      <c r="J4" s="10" t="inlineStr">
        <is>
          <t>IA &amp; Automatisation</t>
        </is>
      </c>
      <c r="K4" s="10" t="inlineStr">
        <is>
          <t>Cybersecurite</t>
        </is>
      </c>
      <c r="L4" s="10" t="inlineStr">
        <is>
          <t>Plan Formation</t>
        </is>
      </c>
    </row>
    <row r="5" ht="22" customHeight="1">
      <c r="B5" s="11" t="inlineStr">
        <is>
          <t>CD-001</t>
        </is>
      </c>
      <c r="C5" s="11" t="inlineStr">
        <is>
          <t>M. Nkoulou</t>
        </is>
      </c>
      <c r="D5" s="11" t="inlineStr">
        <is>
          <t>DRH</t>
        </is>
      </c>
      <c r="E5" s="11" t="inlineStr">
        <is>
          <t>Service Client</t>
        </is>
      </c>
      <c r="F5" s="11" t="inlineStr">
        <is>
          <t>Avance</t>
        </is>
      </c>
      <c r="G5" s="11" t="inlineStr">
        <is>
          <t>Expert</t>
        </is>
      </c>
      <c r="H5" s="11" t="inlineStr">
        <is>
          <t>Avance</t>
        </is>
      </c>
      <c r="I5" s="11" t="inlineStr">
        <is>
          <t>Intermediaire</t>
        </is>
      </c>
      <c r="J5" s="11" t="inlineStr">
        <is>
          <t>Avance</t>
        </is>
      </c>
      <c r="K5" s="11" t="inlineStr">
        <is>
          <t>Intermediaire</t>
        </is>
      </c>
      <c r="L5" s="11" t="inlineStr">
        <is>
          <t>Formation Data Analytics Q2</t>
        </is>
      </c>
    </row>
    <row r="6" ht="22" customHeight="1">
      <c r="B6" s="14" t="inlineStr">
        <is>
          <t>CD-002</t>
        </is>
      </c>
      <c r="C6" s="14" t="inlineStr">
        <is>
          <t>Mme. Ngassa</t>
        </is>
      </c>
      <c r="D6" s="14" t="inlineStr">
        <is>
          <t>Assistante RH</t>
        </is>
      </c>
      <c r="E6" s="14" t="inlineStr">
        <is>
          <t>Service Client</t>
        </is>
      </c>
      <c r="F6" s="14" t="inlineStr">
        <is>
          <t>Intermediaire</t>
        </is>
      </c>
      <c r="G6" s="14" t="inlineStr">
        <is>
          <t>Maitrise</t>
        </is>
      </c>
      <c r="H6" s="14" t="inlineStr">
        <is>
          <t>Avance</t>
        </is>
      </c>
      <c r="I6" s="14" t="inlineStr">
        <is>
          <t>Debutant</t>
        </is>
      </c>
      <c r="J6" s="14" t="inlineStr">
        <is>
          <t>Debutant</t>
        </is>
      </c>
      <c r="K6" s="14" t="inlineStr">
        <is>
          <t>Intermediaire</t>
        </is>
      </c>
      <c r="L6" s="14" t="inlineStr">
        <is>
          <t>E-learning Data &amp; IA en cours</t>
        </is>
      </c>
    </row>
    <row r="7" ht="22" customHeight="1">
      <c r="B7" s="11" t="inlineStr">
        <is>
          <t>CD-003</t>
        </is>
      </c>
      <c r="C7" s="11" t="inlineStr">
        <is>
          <t>M. Tchinda</t>
        </is>
      </c>
      <c r="D7" s="11" t="inlineStr">
        <is>
          <t>Chef serv. IT</t>
        </is>
      </c>
      <c r="E7" s="11" t="inlineStr">
        <is>
          <t>Informatique</t>
        </is>
      </c>
      <c r="F7" s="11" t="inlineStr">
        <is>
          <t>Expert</t>
        </is>
      </c>
      <c r="G7" s="11" t="inlineStr">
        <is>
          <t>Expert</t>
        </is>
      </c>
      <c r="H7" s="11" t="inlineStr">
        <is>
          <t>Expert</t>
        </is>
      </c>
      <c r="I7" s="11" t="inlineStr">
        <is>
          <t>Expert</t>
        </is>
      </c>
      <c r="J7" s="11" t="inlineStr">
        <is>
          <t>Expert</t>
        </is>
      </c>
      <c r="K7" s="11" t="inlineStr">
        <is>
          <t>Expert</t>
        </is>
      </c>
      <c r="L7" s="11" t="inlineStr">
        <is>
          <t>Formation certification securite</t>
        </is>
      </c>
    </row>
    <row r="8" ht="22" customHeight="1">
      <c r="B8" s="17">
        <f>IF(C8="","CD-"&amp;TEXT(COUNTA($C$5:C8),"000"))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 ht="22" customHeight="1">
      <c r="B9" s="18">
        <f>IF(C9="","CD-"&amp;TEXT(COUNTA($C$5:C9),"000"))</f>
        <v/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22" customHeight="1">
      <c r="B10" s="17">
        <f>IF(C10="","CD-"&amp;TEXT(COUNTA($C$5:C10),"000"))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 ht="22" customHeight="1">
      <c r="B11" s="18">
        <f>IF(C11="","CD-"&amp;TEXT(COUNTA($C$5:C11),"000"))</f>
        <v/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22" customHeight="1">
      <c r="B12" s="17">
        <f>IF(C12="","CD-"&amp;TEXT(COUNTA($C$5:C12),"000"))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 ht="22" customHeight="1">
      <c r="B13" s="18">
        <f>IF(C13="","CD-"&amp;TEXT(COUNTA($C$5:C13),"000"))</f>
        <v/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22" customHeight="1">
      <c r="B14" s="17">
        <f>IF(C14="","CD-"&amp;TEXT(COUNTA($C$5:C14),"000"))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 ht="22" customHeight="1">
      <c r="B15" s="18">
        <f>IF(C15="","CD-"&amp;TEXT(COUNTA($C$5:C15),"000"))</f>
        <v/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22" customHeight="1">
      <c r="B16" s="17">
        <f>IF(C16="","CD-"&amp;TEXT(COUNTA($C$5:C16),"000"))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2" customHeight="1">
      <c r="B17" s="18">
        <f>IF(C17="","CD-"&amp;TEXT(COUNTA($C$5:C17),"000"))</f>
        <v/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 ht="22" customHeight="1">
      <c r="B18" s="17">
        <f>IF(C18="","CD-"&amp;TEXT(COUNTA($C$5:C18),"000"))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2" customHeight="1">
      <c r="B19" s="18">
        <f>IF(C19="","CD-"&amp;TEXT(COUNTA($C$5:C19),"000"))</f>
        <v/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 ht="22" customHeight="1">
      <c r="B20" s="17">
        <f>IF(C20="","CD-"&amp;TEXT(COUNTA($C$5:C20),"000"))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2" customHeight="1">
      <c r="B21" s="18">
        <f>IF(C21="","CD-"&amp;TEXT(COUNTA($C$5:C21),"000"))</f>
        <v/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22" customHeight="1">
      <c r="B22" s="17">
        <f>IF(C22="","CD-"&amp;TEXT(COUNTA($C$5:C22),"000"))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 ht="22" customHeight="1">
      <c r="B23" s="18">
        <f>IF(C23="","CD-"&amp;TEXT(COUNTA($C$5:C23),"000"))</f>
        <v/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 ht="22" customHeight="1">
      <c r="B24" s="17">
        <f>IF(C24="","CD-"&amp;TEXT(COUNTA($C$5:C24),"000"))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ht="22" customHeight="1">
      <c r="B25" s="18">
        <f>IF(C25="","CD-"&amp;TEXT(COUNTA($C$5:C25),"000"))</f>
        <v/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 ht="22" customHeight="1">
      <c r="B26" s="17">
        <f>IF(C26="","CD-"&amp;TEXT(COUNTA($C$5:C26),"000"))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 ht="22" customHeight="1">
      <c r="B27" s="18">
        <f>IF(C27="","CD-"&amp;TEXT(COUNTA($C$5:C27),"000"))</f>
        <v/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 ht="22" customHeight="1">
      <c r="B28" s="17">
        <f>IF(C28="","CD-"&amp;TEXT(COUNTA($C$5:C28),"000"))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22" customHeight="1">
      <c r="B29" s="18">
        <f>IF(C29="","CD-"&amp;TEXT(COUNTA($C$5:C29),"000"))</f>
        <v/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22" customHeight="1">
      <c r="B30" s="17">
        <f>IF(C30="","CD-"&amp;TEXT(COUNTA($C$5:C30),"000"))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B31" s="18">
        <f>IF(C31="","CD-"&amp;TEXT(COUNTA($C$5:C31),"000"))</f>
        <v/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22" customHeight="1">
      <c r="B32" s="17">
        <f>IF(C32="","CD-"&amp;TEXT(COUNTA($C$5:C32),"000"))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B33" s="18">
        <f>IF(C33="","CD-"&amp;TEXT(COUNTA($C$5:C33),"000"))</f>
        <v/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 ht="22" customHeight="1">
      <c r="B34" s="17">
        <f>IF(C34="","CD-"&amp;TEXT(COUNTA($C$5:C34),"000"))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 ht="22" customHeight="1">
      <c r="B35" s="18">
        <f>IF(C35="","CD-"&amp;TEXT(COUNTA($C$5:C35),"000"))</f>
        <v/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 ht="22" customHeight="1">
      <c r="B36" s="17">
        <f>IF(C36="","CD-"&amp;TEXT(COUNTA($C$5:C36),"000"))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 ht="22" customHeight="1">
      <c r="B37" s="18">
        <f>IF(C37="","CD-"&amp;TEXT(COUNTA($C$5:C37),"000"))</f>
        <v/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 ht="22" customHeight="1">
      <c r="B38" s="17">
        <f>IF(C38="","CD-"&amp;TEXT(COUNTA($C$5:C38),"000"))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 ht="22" customHeight="1">
      <c r="B39" s="18">
        <f>IF(C39="","CD-"&amp;TEXT(COUNTA($C$5:C39),"000"))</f>
        <v/>
      </c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 ht="22" customHeight="1">
      <c r="B40" s="17">
        <f>IF(C40="","CD-"&amp;TEXT(COUNTA($C$5:C40),"000"))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 ht="22" customHeight="1">
      <c r="B41" s="18">
        <f>IF(C41="","CD-"&amp;TEXT(COUNTA($C$5:C41),"000"))</f>
        <v/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 ht="22" customHeight="1">
      <c r="B42" s="17">
        <f>IF(C42="","CD-"&amp;TEXT(COUNTA($C$5:C42),"000"))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 ht="22" customHeight="1">
      <c r="B43" s="18">
        <f>IF(C43="","CD-"&amp;TEXT(COUNTA($C$5:C43),"000"))</f>
        <v/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 ht="22" customHeight="1">
      <c r="B44" s="17">
        <f>IF(C44="","CD-"&amp;TEXT(COUNTA($C$5:C44),"000"))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 ht="22" customHeight="1">
      <c r="B45" s="18">
        <f>IF(C45="","CD-"&amp;TEXT(COUNTA($C$5:C45),"000"))</f>
        <v/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 ht="22" customHeight="1">
      <c r="B46" s="17">
        <f>IF(C46="","CD-"&amp;TEXT(COUNTA($C$5:C46),"000"))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 ht="22" customHeight="1">
      <c r="B47" s="18">
        <f>IF(C47="","CD-"&amp;TEXT(COUNTA($C$5:C47),"000"))</f>
        <v/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 ht="22" customHeight="1">
      <c r="B48" s="17">
        <f>IF(C48="","CD-"&amp;TEXT(COUNTA($C$5:C48),"000"))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 ht="22" customHeight="1">
      <c r="B49" s="18">
        <f>IF(C49="","CD-"&amp;TEXT(COUNTA($C$5:C49),"000"))</f>
        <v/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 ht="22" customHeight="1">
      <c r="B50" s="17">
        <f>IF(C50="","CD-"&amp;TEXT(COUNTA($C$5:C50),"000"))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 ht="22" customHeight="1">
      <c r="B51" s="18">
        <f>IF(C51="","CD-"&amp;TEXT(COUNTA($C$5:C51),"000"))</f>
        <v/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 ht="22" customHeight="1">
      <c r="B52" s="17">
        <f>IF(C52="","CD-"&amp;TEXT(COUNTA($C$5:C52),"000"))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 ht="22" customHeight="1">
      <c r="B53" s="18">
        <f>IF(C53="","CD-"&amp;TEXT(COUNTA($C$5:C53),"000"))</f>
        <v/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 ht="22" customHeight="1">
      <c r="B54" s="17">
        <f>IF(C54="","CD-"&amp;TEXT(COUNTA($C$5:C54),"000"))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</row>
    <row r="55" ht="22" customHeight="1">
      <c r="B55" s="18">
        <f>IF(C55="","CD-"&amp;TEXT(COUNTA($C$5:C55),"000"))</f>
        <v/>
      </c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 ht="22" customHeight="1">
      <c r="B56" s="17">
        <f>IF(C56="","CD-"&amp;TEXT(COUNTA($C$5:C56),"000"))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</row>
    <row r="57" ht="22" customHeight="1">
      <c r="B57" s="18">
        <f>IF(C57="","CD-"&amp;TEXT(COUNTA($C$5:C57),"000"))</f>
        <v/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 ht="22" customHeight="1">
      <c r="B58" s="17">
        <f>IF(C58="","CD-"&amp;TEXT(COUNTA($C$5:C58),"000"))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</row>
    <row r="59" ht="22" customHeight="1">
      <c r="B59" s="18">
        <f>IF(C59="","CD-"&amp;TEXT(COUNTA($C$5:C59),"000"))</f>
        <v/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 ht="22" customHeight="1">
      <c r="B60" s="17">
        <f>IF(C60="","CD-"&amp;TEXT(COUNTA($C$5:C60),"000"))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</row>
    <row r="61" ht="22" customHeight="1">
      <c r="B61" s="18">
        <f>IF(C61="","CD-"&amp;TEXT(COUNTA($C$5:C61),"000"))</f>
        <v/>
      </c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 ht="22" customHeight="1">
      <c r="B62" s="17">
        <f>IF(C62="","CD-"&amp;TEXT(COUNTA($C$5:C62),"000"))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</row>
    <row r="63" ht="22" customHeight="1">
      <c r="B63" s="18">
        <f>IF(C63="","CD-"&amp;TEXT(COUNTA($C$5:C63),"000"))</f>
        <v/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 ht="22" customHeight="1">
      <c r="B64" s="17">
        <f>IF(C64="","CD-"&amp;TEXT(COUNTA($C$5:C64),"000"))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</row>
    <row r="65" ht="22" customHeight="1">
      <c r="B65" s="18">
        <f>IF(C65="","CD-"&amp;TEXT(COUNTA($C$5:C65),"000"))</f>
        <v/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 ht="22" customHeight="1">
      <c r="B66" s="17">
        <f>IF(C66="","CD-"&amp;TEXT(COUNTA($C$5:C66),"000"))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</row>
    <row r="67" ht="22" customHeight="1">
      <c r="B67" s="18">
        <f>IF(C67="","CD-"&amp;TEXT(COUNTA($C$5:C67),"000"))</f>
        <v/>
      </c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 ht="22" customHeight="1">
      <c r="B68" s="17">
        <f>IF(C68="","CD-"&amp;TEXT(COUNTA($C$5:C68),"000"))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</row>
    <row r="69" ht="22" customHeight="1">
      <c r="B69" s="18">
        <f>IF(C69="","CD-"&amp;TEXT(COUNTA($C$5:C69),"000"))</f>
        <v/>
      </c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 ht="22" customHeight="1">
      <c r="B70" s="17">
        <f>IF(C70="","CD-"&amp;TEXT(COUNTA($C$5:C70),"000"))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</row>
    <row r="71" ht="22" customHeight="1">
      <c r="B71" s="18">
        <f>IF(C71="","CD-"&amp;TEXT(COUNTA($C$5:C71),"000"))</f>
        <v/>
      </c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 ht="22" customHeight="1">
      <c r="B72" s="17">
        <f>IF(C72="","CD-"&amp;TEXT(COUNTA($C$5:C72),"000"))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</row>
    <row r="73" ht="22" customHeight="1">
      <c r="B73" s="18">
        <f>IF(C73="","CD-"&amp;TEXT(COUNTA($C$5:C73),"000"))</f>
        <v/>
      </c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 ht="22" customHeight="1">
      <c r="B74" s="17">
        <f>IF(C74="","CD-"&amp;TEXT(COUNTA($C$5:C74),"000"))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</row>
    <row r="75" ht="22" customHeight="1">
      <c r="B75" s="18">
        <f>IF(C75="","CD-"&amp;TEXT(COUNTA($C$5:C75),"000"))</f>
        <v/>
      </c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 ht="22" customHeight="1">
      <c r="B76" s="17">
        <f>IF(C76="","CD-"&amp;TEXT(COUNTA($C$5:C76),"000"))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</row>
    <row r="77" ht="22" customHeight="1">
      <c r="B77" s="18">
        <f>IF(C77="","CD-"&amp;TEXT(COUNTA($C$5:C77),"000"))</f>
        <v/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 ht="22" customHeight="1">
      <c r="B78" s="17">
        <f>IF(C78="","CD-"&amp;TEXT(COUNTA($C$5:C78),"000"))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</row>
    <row r="79" ht="22" customHeight="1">
      <c r="B79" s="18">
        <f>IF(C79="","CD-"&amp;TEXT(COUNTA($C$5:C79),"000"))</f>
        <v/>
      </c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 ht="22" customHeight="1">
      <c r="B80" s="17">
        <f>IF(C80="","CD-"&amp;TEXT(COUNTA($C$5:C80),"000"))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</row>
    <row r="81" ht="22" customHeight="1">
      <c r="B81" s="18">
        <f>IF(C81="","CD-"&amp;TEXT(COUNTA($C$5:C81),"000"))</f>
        <v/>
      </c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22" customHeight="1">
      <c r="B82" s="17">
        <f>IF(C82="","CD-"&amp;TEXT(COUNTA($C$5:C82),"000"))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</row>
    <row r="83" ht="22" customHeight="1">
      <c r="B83" s="18">
        <f>IF(C83="","CD-"&amp;TEXT(COUNTA($C$5:C83),"000"))</f>
        <v/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 ht="22" customHeight="1">
      <c r="B84" s="17">
        <f>IF(C84="","CD-"&amp;TEXT(COUNTA($C$5:C84),"000"))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</row>
    <row r="85" ht="22" customHeight="1">
      <c r="B85" s="18">
        <f>IF(C85="","CD-"&amp;TEXT(COUNTA($C$5:C85),"000"))</f>
        <v/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 ht="22" customHeight="1">
      <c r="B86" s="17">
        <f>IF(C86="","CD-"&amp;TEXT(COUNTA($C$5:C86),"000"))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</row>
    <row r="87" ht="22" customHeight="1">
      <c r="B87" s="18">
        <f>IF(C87="","CD-"&amp;TEXT(COUNTA($C$5:C87),"000"))</f>
        <v/>
      </c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 ht="22" customHeight="1">
      <c r="B88" s="17">
        <f>IF(C88="","CD-"&amp;TEXT(COUNTA($C$5:C88),"000"))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</row>
    <row r="89" ht="22" customHeight="1">
      <c r="B89" s="18">
        <f>IF(C89="","CD-"&amp;TEXT(COUNTA($C$5:C89),"000"))</f>
        <v/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 ht="22" customHeight="1">
      <c r="B90" s="17">
        <f>IF(C90="","CD-"&amp;TEXT(COUNTA($C$5:C90),"000"))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</row>
    <row r="91" ht="22" customHeight="1">
      <c r="B91" s="18">
        <f>IF(C91="","CD-"&amp;TEXT(COUNTA($C$5:C91),"000"))</f>
        <v/>
      </c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 ht="22" customHeight="1">
      <c r="B92" s="17">
        <f>IF(C92="","CD-"&amp;TEXT(COUNTA($C$5:C92),"000"))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</row>
    <row r="93" ht="22" customHeight="1">
      <c r="B93" s="18">
        <f>IF(C93="","CD-"&amp;TEXT(COUNTA($C$5:C93),"000"))</f>
        <v/>
      </c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 ht="22" customHeight="1">
      <c r="B94" s="17">
        <f>IF(C94="","CD-"&amp;TEXT(COUNTA($C$5:C94),"000"))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</row>
    <row r="95" ht="22" customHeight="1">
      <c r="B95" s="18">
        <f>IF(C95="","CD-"&amp;TEXT(COUNTA($C$5:C95),"000"))</f>
        <v/>
      </c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 ht="22" customHeight="1">
      <c r="B96" s="17">
        <f>IF(C96="","CD-"&amp;TEXT(COUNTA($C$5:C96),"000"))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</row>
    <row r="97" ht="22" customHeight="1">
      <c r="B97" s="18">
        <f>IF(C97="","CD-"&amp;TEXT(COUNTA($C$5:C97),"000"))</f>
        <v/>
      </c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 ht="22" customHeight="1">
      <c r="B98" s="17">
        <f>IF(C98="","CD-"&amp;TEXT(COUNTA($C$5:C98),"000"))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</row>
    <row r="99" ht="22" customHeight="1">
      <c r="B99" s="18">
        <f>IF(C99="","CD-"&amp;TEXT(COUNTA($C$5:C99),"000"))</f>
        <v/>
      </c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 ht="22" customHeight="1">
      <c r="B100" s="17">
        <f>IF(C100="","CD-"&amp;TEXT(COUNTA($C$5:C100),"000"))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</row>
    <row r="101" ht="22" customHeight="1">
      <c r="B101" s="18">
        <f>IF(C101="","CD-"&amp;TEXT(COUNTA($C$5:C101),"000"))</f>
        <v/>
      </c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  <row r="102" ht="22" customHeight="1">
      <c r="B102" s="17">
        <f>IF(C102="","CD-"&amp;TEXT(COUNTA($C$5:C102),"000"))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 ht="22" customHeight="1">
      <c r="B103" s="18">
        <f>IF(C103="","CD-"&amp;TEXT(COUNTA($C$5:C103),"000"))</f>
        <v/>
      </c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</row>
    <row r="104" ht="22" customHeight="1">
      <c r="B104" s="17">
        <f>IF(C104="","CD-"&amp;TEXT(COUNTA($C$5:C104),"000"))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 ht="22" customHeight="1">
      <c r="B105" s="18">
        <f>IF(C105="","CD-"&amp;TEXT(COUNTA($C$5:C105),"000"))</f>
        <v/>
      </c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</row>
    <row r="106" ht="22" customHeight="1">
      <c r="B106" s="17">
        <f>IF(C106="","CD-"&amp;TEXT(COUNTA($C$5:C106),"000"))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 ht="22" customHeight="1">
      <c r="B107" s="18">
        <f>IF(C107="","CD-"&amp;TEXT(COUNTA($C$5:C107),"000"))</f>
        <v/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</row>
    <row r="108"/>
    <row r="109">
      <c r="B109" s="5" t="inlineStr">
        <is>
          <t>INDICATEURS (mis a jour automatiquement)</t>
        </is>
      </c>
    </row>
    <row r="110">
      <c r="B110" s="3" t="inlineStr">
        <is>
          <t>Employes evalues</t>
        </is>
      </c>
      <c r="D110" s="3" t="inlineStr">
        <is>
          <t>Niveau expert (SIRH)</t>
        </is>
      </c>
      <c r="F110" s="3" t="inlineStr">
        <is>
          <t>Niveau avance (global)</t>
        </is>
      </c>
    </row>
    <row r="111">
      <c r="B111" s="4">
        <f>COUNTIF(B5:B104,"&lt;&gt;")</f>
        <v/>
      </c>
      <c r="D111" s="4">
        <f>COUNTIF(G5:G104,"Expert")</f>
        <v/>
      </c>
      <c r="F111" s="4">
        <f>COUNTIF(F5:F104,"Avance")</f>
        <v/>
      </c>
    </row>
  </sheetData>
  <mergeCells count="3">
    <mergeCell ref="B2:L2"/>
    <mergeCell ref="B109:L109"/>
    <mergeCell ref="B3:L3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conditionalFormatting sqref="K8:K107">
    <cfRule type="expression" priority="10" dxfId="3">
      <formula>AND($C8="",$C7&lt;&gt;"")</formula>
    </cfRule>
  </conditionalFormatting>
  <conditionalFormatting sqref="L8:L107">
    <cfRule type="expression" priority="11" dxfId="3">
      <formula>AND($C8="",$C7&lt;&gt;"")</formula>
    </cfRule>
  </conditionalFormatting>
  <dataValidations count="8">
    <dataValidation sqref="D5:D107" showDropDown="0" showInputMessage="0" showErrorMessage="0" allowBlank="1" errorTitle="Erreur" error="Valeur invalide" promptTitle="Liste" prompt="Choisir dans la liste" type="list">
      <formula1>'_Lists'!$C$2:$C$28</formula1>
    </dataValidation>
    <dataValidation sqref="E5:E107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F5:F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G5:G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H5:H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I5:I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J5:J107" showDropDown="0" showInputMessage="0" showErrorMessage="0" allowBlank="1" errorTitle="Erreur" error="Valeur invalide" promptTitle="Liste" prompt="Choisir dans la liste" type="list">
      <formula1>'_Lists'!$N$2:$N$6</formula1>
    </dataValidation>
    <dataValidation sqref="K5:K107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0" customWidth="1" min="4" max="4"/>
    <col width="14" customWidth="1" min="5" max="5"/>
    <col width="18" customWidth="1" min="6" max="6"/>
    <col width="16" customWidth="1" min="7" max="7"/>
    <col width="12" customWidth="1" min="8" max="8"/>
    <col width="46" customWidth="1" min="9" max="9"/>
    <col width="14" customWidth="1" min="10" max="10"/>
    <col width="14" customWidth="1" min="11" max="11"/>
    <col width="36" customWidth="1" min="12" max="12"/>
  </cols>
  <sheetData>
    <row r="1" ht="15" customHeight="1"/>
    <row r="2" ht="32" customHeight="1">
      <c r="B2" s="1" t="inlineStr">
        <is>
          <t>ANALYSE MATURITE DIGITALE RH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0" t="inlineStr">
        <is>
          <t>N°</t>
        </is>
      </c>
      <c r="C4" s="10" t="inlineStr">
        <is>
          <t>Dimension Maturite</t>
        </is>
      </c>
      <c r="D4" s="10" t="inlineStr">
        <is>
          <t>Niveau Actuel</t>
        </is>
      </c>
      <c r="E4" s="10" t="inlineStr">
        <is>
          <t>Score (1-5)</t>
        </is>
      </c>
      <c r="F4" s="10" t="inlineStr">
        <is>
          <t>Niveau Cible</t>
        </is>
      </c>
      <c r="G4" s="10" t="inlineStr">
        <is>
          <t>Score Cible (1-5)</t>
        </is>
      </c>
      <c r="H4" s="10" t="inlineStr">
        <is>
          <t>Ecart</t>
        </is>
      </c>
      <c r="I4" s="10" t="inlineStr">
        <is>
          <t>Actions Cle</t>
        </is>
      </c>
      <c r="J4" s="10" t="inlineStr">
        <is>
          <t>Priorite</t>
        </is>
      </c>
      <c r="K4" s="10" t="inlineStr">
        <is>
          <t>Echeance</t>
        </is>
      </c>
      <c r="L4" s="10" t="inlineStr">
        <is>
          <t>Observations</t>
        </is>
      </c>
    </row>
    <row r="5" ht="22" customHeight="1">
      <c r="B5" s="11" t="inlineStr">
        <is>
          <t>MD-001</t>
        </is>
      </c>
      <c r="C5" s="11" t="inlineStr">
        <is>
          <t>Infrastructure digitale</t>
        </is>
      </c>
      <c r="D5" s="11" t="inlineStr">
        <is>
          <t>Defini</t>
        </is>
      </c>
      <c r="E5" s="27" t="n">
        <v>3</v>
      </c>
      <c r="F5" s="11" t="inlineStr">
        <is>
          <t>Gere</t>
        </is>
      </c>
      <c r="G5" s="27" t="n">
        <v>4</v>
      </c>
      <c r="H5" s="41" t="n"/>
      <c r="I5" s="11" t="inlineStr">
        <is>
          <t>Cloud SIRH, VPN securise</t>
        </is>
      </c>
      <c r="J5" s="11" t="inlineStr">
        <is>
          <t>Haute</t>
        </is>
      </c>
      <c r="K5" s="11" t="inlineStr">
        <is>
          <t>T3 2025</t>
        </is>
      </c>
      <c r="L5" s="11" t="inlineStr">
        <is>
          <t>Migration cloud en cours</t>
        </is>
      </c>
    </row>
    <row r="6" ht="22" customHeight="1">
      <c r="B6" s="14" t="inlineStr">
        <is>
          <t>MD-002</t>
        </is>
      </c>
      <c r="C6" s="14" t="inlineStr">
        <is>
          <t>Automatisation processus</t>
        </is>
      </c>
      <c r="D6" s="14" t="inlineStr">
        <is>
          <t>Reproductible</t>
        </is>
      </c>
      <c r="E6" s="29" t="n">
        <v>2</v>
      </c>
      <c r="F6" s="14" t="inlineStr">
        <is>
          <t>Gere</t>
        </is>
      </c>
      <c r="G6" s="29" t="n">
        <v>4</v>
      </c>
      <c r="H6" s="42" t="n"/>
      <c r="I6" s="14" t="inlineStr">
        <is>
          <t>Automatiser conges, onboarding, notes frais</t>
        </is>
      </c>
      <c r="J6" s="14" t="inlineStr">
        <is>
          <t>Haute</t>
        </is>
      </c>
      <c r="K6" s="14" t="inlineStr">
        <is>
          <t>T4 2025</t>
        </is>
      </c>
      <c r="L6" s="14" t="inlineStr">
        <is>
          <t>3 processus cibles identifies</t>
        </is>
      </c>
    </row>
    <row r="7" ht="22" customHeight="1">
      <c r="B7" s="11" t="inlineStr">
        <is>
          <t>MD-003</t>
        </is>
      </c>
      <c r="C7" s="11" t="inlineStr">
        <is>
          <t>Data &amp; Analytics RH</t>
        </is>
      </c>
      <c r="D7" s="11" t="inlineStr">
        <is>
          <t>Initial</t>
        </is>
      </c>
      <c r="E7" s="27" t="n">
        <v>1</v>
      </c>
      <c r="F7" s="11" t="inlineStr">
        <is>
          <t>Defini</t>
        </is>
      </c>
      <c r="G7" s="27" t="n">
        <v>3</v>
      </c>
      <c r="H7" s="41" t="n"/>
      <c r="I7" s="11" t="inlineStr">
        <is>
          <t>Deployer BI, former equipe data</t>
        </is>
      </c>
      <c r="J7" s="11" t="inlineStr">
        <is>
          <t>Haute</t>
        </is>
      </c>
      <c r="K7" s="11" t="inlineStr">
        <is>
          <t>T2 2026</t>
        </is>
      </c>
      <c r="L7" s="11" t="inlineStr">
        <is>
          <t>Recrutement consultant BI</t>
        </is>
      </c>
    </row>
    <row r="8" ht="22" customHeight="1">
      <c r="B8" s="14" t="inlineStr">
        <is>
          <t>MD-004</t>
        </is>
      </c>
      <c r="C8" s="14" t="inlineStr">
        <is>
          <t>IA &amp; Innovation</t>
        </is>
      </c>
      <c r="D8" s="14" t="inlineStr">
        <is>
          <t>Initial</t>
        </is>
      </c>
      <c r="E8" s="29" t="n">
        <v>1</v>
      </c>
      <c r="F8" s="14" t="inlineStr">
        <is>
          <t>Reproductible</t>
        </is>
      </c>
      <c r="G8" s="29" t="n">
        <v>2</v>
      </c>
      <c r="H8" s="42" t="n"/>
      <c r="I8" s="14" t="inlineStr">
        <is>
          <t>Chatbot, CV screening, prediction turnover</t>
        </is>
      </c>
      <c r="J8" s="14" t="inlineStr">
        <is>
          <t>Moyenne</t>
        </is>
      </c>
      <c r="K8" s="14" t="inlineStr">
        <is>
          <t>T1 2026</t>
        </is>
      </c>
      <c r="L8" s="14" t="inlineStr">
        <is>
          <t>POC chatbot en cours</t>
        </is>
      </c>
    </row>
    <row r="9" ht="22" customHeight="1">
      <c r="B9" s="11" t="inlineStr">
        <is>
          <t>MD-005</t>
        </is>
      </c>
      <c r="C9" s="11" t="inlineStr">
        <is>
          <t>Securite &amp; Conformite</t>
        </is>
      </c>
      <c r="D9" s="11" t="inlineStr">
        <is>
          <t>Defini</t>
        </is>
      </c>
      <c r="E9" s="27" t="n">
        <v>3</v>
      </c>
      <c r="F9" s="11" t="inlineStr">
        <is>
          <t>Gere</t>
        </is>
      </c>
      <c r="G9" s="27" t="n">
        <v>4</v>
      </c>
      <c r="H9" s="41" t="n"/>
      <c r="I9" s="11" t="inlineStr">
        <is>
          <t>RGPD, chiffrement, audit continu</t>
        </is>
      </c>
      <c r="J9" s="11" t="inlineStr">
        <is>
          <t>Haute</t>
        </is>
      </c>
      <c r="K9" s="11" t="inlineStr">
        <is>
          <t>T3 2025</t>
        </is>
      </c>
      <c r="L9" s="11" t="inlineStr">
        <is>
          <t>Audit externe Q1 conforme</t>
        </is>
      </c>
    </row>
    <row r="10" ht="22" customHeight="1">
      <c r="B10" s="17">
        <f>IF(C10="","MD-"&amp;TEXT(COUNTA($C$5:C10),"000"))</f>
        <v/>
      </c>
      <c r="C10" s="14" t="n"/>
      <c r="D10" s="14" t="n"/>
      <c r="E10" s="29" t="n"/>
      <c r="F10" s="14" t="n"/>
      <c r="G10" s="29" t="n"/>
      <c r="H10" s="42">
        <f>IF(OR(E10="",G10=""),"",G10-E10)</f>
        <v/>
      </c>
      <c r="I10" s="14" t="n"/>
      <c r="J10" s="14" t="n"/>
      <c r="K10" s="14" t="n"/>
      <c r="L10" s="14" t="n"/>
    </row>
    <row r="11" ht="22" customHeight="1">
      <c r="B11" s="18">
        <f>IF(C11="","MD-"&amp;TEXT(COUNTA($C$5:C11),"000"))</f>
        <v/>
      </c>
      <c r="C11" s="11" t="n"/>
      <c r="D11" s="11" t="n"/>
      <c r="E11" s="27" t="n"/>
      <c r="F11" s="11" t="n"/>
      <c r="G11" s="27" t="n"/>
      <c r="H11" s="41">
        <f>IF(OR(E11="",G11=""),"",G11-E11)</f>
        <v/>
      </c>
      <c r="I11" s="11" t="n"/>
      <c r="J11" s="11" t="n"/>
      <c r="K11" s="11" t="n"/>
      <c r="L11" s="11" t="n"/>
    </row>
    <row r="12" ht="22" customHeight="1">
      <c r="B12" s="17">
        <f>IF(C12="","MD-"&amp;TEXT(COUNTA($C$5:C12),"000"))</f>
        <v/>
      </c>
      <c r="C12" s="14" t="n"/>
      <c r="D12" s="14" t="n"/>
      <c r="E12" s="29" t="n"/>
      <c r="F12" s="14" t="n"/>
      <c r="G12" s="29" t="n"/>
      <c r="H12" s="42">
        <f>IF(OR(E12="",G12=""),"",G12-E12)</f>
        <v/>
      </c>
      <c r="I12" s="14" t="n"/>
      <c r="J12" s="14" t="n"/>
      <c r="K12" s="14" t="n"/>
      <c r="L12" s="14" t="n"/>
    </row>
    <row r="13" ht="22" customHeight="1">
      <c r="B13" s="18">
        <f>IF(C13="","MD-"&amp;TEXT(COUNTA($C$5:C13),"000"))</f>
        <v/>
      </c>
      <c r="C13" s="11" t="n"/>
      <c r="D13" s="11" t="n"/>
      <c r="E13" s="27" t="n"/>
      <c r="F13" s="11" t="n"/>
      <c r="G13" s="27" t="n"/>
      <c r="H13" s="41">
        <f>IF(OR(E13="",G13=""),"",G13-E13)</f>
        <v/>
      </c>
      <c r="I13" s="11" t="n"/>
      <c r="J13" s="11" t="n"/>
      <c r="K13" s="11" t="n"/>
      <c r="L13" s="11" t="n"/>
    </row>
    <row r="14" ht="22" customHeight="1">
      <c r="B14" s="17">
        <f>IF(C14="","MD-"&amp;TEXT(COUNTA($C$5:C14),"000"))</f>
        <v/>
      </c>
      <c r="C14" s="14" t="n"/>
      <c r="D14" s="14" t="n"/>
      <c r="E14" s="29" t="n"/>
      <c r="F14" s="14" t="n"/>
      <c r="G14" s="29" t="n"/>
      <c r="H14" s="42">
        <f>IF(OR(E14="",G14=""),"",G14-E14)</f>
        <v/>
      </c>
      <c r="I14" s="14" t="n"/>
      <c r="J14" s="14" t="n"/>
      <c r="K14" s="14" t="n"/>
      <c r="L14" s="14" t="n"/>
    </row>
    <row r="15" ht="22" customHeight="1">
      <c r="B15" s="18">
        <f>IF(C15="","MD-"&amp;TEXT(COUNTA($C$5:C15),"000"))</f>
        <v/>
      </c>
      <c r="C15" s="11" t="n"/>
      <c r="D15" s="11" t="n"/>
      <c r="E15" s="27" t="n"/>
      <c r="F15" s="11" t="n"/>
      <c r="G15" s="27" t="n"/>
      <c r="H15" s="41">
        <f>IF(OR(E15="",G15=""),"",G15-E15)</f>
        <v/>
      </c>
      <c r="I15" s="11" t="n"/>
      <c r="J15" s="11" t="n"/>
      <c r="K15" s="11" t="n"/>
      <c r="L15" s="11" t="n"/>
    </row>
    <row r="16" ht="22" customHeight="1">
      <c r="B16" s="17">
        <f>IF(C16="","MD-"&amp;TEXT(COUNTA($C$5:C16),"000"))</f>
        <v/>
      </c>
      <c r="C16" s="14" t="n"/>
      <c r="D16" s="14" t="n"/>
      <c r="E16" s="29" t="n"/>
      <c r="F16" s="14" t="n"/>
      <c r="G16" s="29" t="n"/>
      <c r="H16" s="42">
        <f>IF(OR(E16="",G16=""),"",G16-E16)</f>
        <v/>
      </c>
      <c r="I16" s="14" t="n"/>
      <c r="J16" s="14" t="n"/>
      <c r="K16" s="14" t="n"/>
      <c r="L16" s="14" t="n"/>
    </row>
    <row r="17" ht="22" customHeight="1">
      <c r="B17" s="18">
        <f>IF(C17="","MD-"&amp;TEXT(COUNTA($C$5:C17),"000"))</f>
        <v/>
      </c>
      <c r="C17" s="11" t="n"/>
      <c r="D17" s="11" t="n"/>
      <c r="E17" s="27" t="n"/>
      <c r="F17" s="11" t="n"/>
      <c r="G17" s="27" t="n"/>
      <c r="H17" s="41">
        <f>IF(OR(E17="",G17=""),"",G17-E17)</f>
        <v/>
      </c>
      <c r="I17" s="11" t="n"/>
      <c r="J17" s="11" t="n"/>
      <c r="K17" s="11" t="n"/>
      <c r="L17" s="11" t="n"/>
    </row>
    <row r="18" ht="22" customHeight="1">
      <c r="B18" s="17">
        <f>IF(C18="","MD-"&amp;TEXT(COUNTA($C$5:C18),"000"))</f>
        <v/>
      </c>
      <c r="C18" s="14" t="n"/>
      <c r="D18" s="14" t="n"/>
      <c r="E18" s="29" t="n"/>
      <c r="F18" s="14" t="n"/>
      <c r="G18" s="29" t="n"/>
      <c r="H18" s="42">
        <f>IF(OR(E18="",G18=""),"",G18-E18)</f>
        <v/>
      </c>
      <c r="I18" s="14" t="n"/>
      <c r="J18" s="14" t="n"/>
      <c r="K18" s="14" t="n"/>
      <c r="L18" s="14" t="n"/>
    </row>
    <row r="19" ht="22" customHeight="1">
      <c r="B19" s="18">
        <f>IF(C19="","MD-"&amp;TEXT(COUNTA($C$5:C19),"000"))</f>
        <v/>
      </c>
      <c r="C19" s="11" t="n"/>
      <c r="D19" s="11" t="n"/>
      <c r="E19" s="27" t="n"/>
      <c r="F19" s="11" t="n"/>
      <c r="G19" s="27" t="n"/>
      <c r="H19" s="41">
        <f>IF(OR(E19="",G19=""),"",G19-E19)</f>
        <v/>
      </c>
      <c r="I19" s="11" t="n"/>
      <c r="J19" s="11" t="n"/>
      <c r="K19" s="11" t="n"/>
      <c r="L19" s="11" t="n"/>
    </row>
    <row r="20" ht="22" customHeight="1">
      <c r="B20" s="17">
        <f>IF(C20="","MD-"&amp;TEXT(COUNTA($C$5:C20),"000"))</f>
        <v/>
      </c>
      <c r="C20" s="14" t="n"/>
      <c r="D20" s="14" t="n"/>
      <c r="E20" s="29" t="n"/>
      <c r="F20" s="14" t="n"/>
      <c r="G20" s="29" t="n"/>
      <c r="H20" s="42">
        <f>IF(OR(E20="",G20=""),"",G20-E20)</f>
        <v/>
      </c>
      <c r="I20" s="14" t="n"/>
      <c r="J20" s="14" t="n"/>
      <c r="K20" s="14" t="n"/>
      <c r="L20" s="14" t="n"/>
    </row>
    <row r="21" ht="22" customHeight="1">
      <c r="B21" s="18">
        <f>IF(C21="","MD-"&amp;TEXT(COUNTA($C$5:C21),"000"))</f>
        <v/>
      </c>
      <c r="C21" s="11" t="n"/>
      <c r="D21" s="11" t="n"/>
      <c r="E21" s="27" t="n"/>
      <c r="F21" s="11" t="n"/>
      <c r="G21" s="27" t="n"/>
      <c r="H21" s="41">
        <f>IF(OR(E21="",G21=""),"",G21-E21)</f>
        <v/>
      </c>
      <c r="I21" s="11" t="n"/>
      <c r="J21" s="11" t="n"/>
      <c r="K21" s="11" t="n"/>
      <c r="L21" s="11" t="n"/>
    </row>
    <row r="22" ht="22" customHeight="1">
      <c r="B22" s="17">
        <f>IF(C22="","MD-"&amp;TEXT(COUNTA($C$5:C22),"000"))</f>
        <v/>
      </c>
      <c r="C22" s="14" t="n"/>
      <c r="D22" s="14" t="n"/>
      <c r="E22" s="29" t="n"/>
      <c r="F22" s="14" t="n"/>
      <c r="G22" s="29" t="n"/>
      <c r="H22" s="42">
        <f>IF(OR(E22="",G22=""),"",G22-E22)</f>
        <v/>
      </c>
      <c r="I22" s="14" t="n"/>
      <c r="J22" s="14" t="n"/>
      <c r="K22" s="14" t="n"/>
      <c r="L22" s="14" t="n"/>
    </row>
    <row r="23" ht="22" customHeight="1">
      <c r="B23" s="18">
        <f>IF(C23="","MD-"&amp;TEXT(COUNTA($C$5:C23),"000"))</f>
        <v/>
      </c>
      <c r="C23" s="11" t="n"/>
      <c r="D23" s="11" t="n"/>
      <c r="E23" s="27" t="n"/>
      <c r="F23" s="11" t="n"/>
      <c r="G23" s="27" t="n"/>
      <c r="H23" s="41">
        <f>IF(OR(E23="",G23=""),"",G23-E23)</f>
        <v/>
      </c>
      <c r="I23" s="11" t="n"/>
      <c r="J23" s="11" t="n"/>
      <c r="K23" s="11" t="n"/>
      <c r="L23" s="11" t="n"/>
    </row>
    <row r="24" ht="22" customHeight="1">
      <c r="B24" s="17">
        <f>IF(C24="","MD-"&amp;TEXT(COUNTA($C$5:C24),"000"))</f>
        <v/>
      </c>
      <c r="C24" s="14" t="n"/>
      <c r="D24" s="14" t="n"/>
      <c r="E24" s="29" t="n"/>
      <c r="F24" s="14" t="n"/>
      <c r="G24" s="29" t="n"/>
      <c r="H24" s="42">
        <f>IF(OR(E24="",G24=""),"",G24-E24)</f>
        <v/>
      </c>
      <c r="I24" s="14" t="n"/>
      <c r="J24" s="14" t="n"/>
      <c r="K24" s="14" t="n"/>
      <c r="L24" s="14" t="n"/>
    </row>
    <row r="25" ht="22" customHeight="1">
      <c r="B25" s="18">
        <f>IF(C25="","MD-"&amp;TEXT(COUNTA($C$5:C25),"000"))</f>
        <v/>
      </c>
      <c r="C25" s="11" t="n"/>
      <c r="D25" s="11" t="n"/>
      <c r="E25" s="27" t="n"/>
      <c r="F25" s="11" t="n"/>
      <c r="G25" s="27" t="n"/>
      <c r="H25" s="41">
        <f>IF(OR(E25="",G25=""),"",G25-E25)</f>
        <v/>
      </c>
      <c r="I25" s="11" t="n"/>
      <c r="J25" s="11" t="n"/>
      <c r="K25" s="11" t="n"/>
      <c r="L25" s="11" t="n"/>
    </row>
    <row r="26" ht="22" customHeight="1">
      <c r="B26" s="17">
        <f>IF(C26="","MD-"&amp;TEXT(COUNTA($C$5:C26),"000"))</f>
        <v/>
      </c>
      <c r="C26" s="14" t="n"/>
      <c r="D26" s="14" t="n"/>
      <c r="E26" s="29" t="n"/>
      <c r="F26" s="14" t="n"/>
      <c r="G26" s="29" t="n"/>
      <c r="H26" s="42">
        <f>IF(OR(E26="",G26=""),"",G26-E26)</f>
        <v/>
      </c>
      <c r="I26" s="14" t="n"/>
      <c r="J26" s="14" t="n"/>
      <c r="K26" s="14" t="n"/>
      <c r="L26" s="14" t="n"/>
    </row>
    <row r="27" ht="22" customHeight="1">
      <c r="B27" s="18">
        <f>IF(C27="","MD-"&amp;TEXT(COUNTA($C$5:C27),"000"))</f>
        <v/>
      </c>
      <c r="C27" s="11" t="n"/>
      <c r="D27" s="11" t="n"/>
      <c r="E27" s="27" t="n"/>
      <c r="F27" s="11" t="n"/>
      <c r="G27" s="27" t="n"/>
      <c r="H27" s="41">
        <f>IF(OR(E27="",G27=""),"",G27-E27)</f>
        <v/>
      </c>
      <c r="I27" s="11" t="n"/>
      <c r="J27" s="11" t="n"/>
      <c r="K27" s="11" t="n"/>
      <c r="L27" s="11" t="n"/>
    </row>
    <row r="28" ht="22" customHeight="1">
      <c r="B28" s="17">
        <f>IF(C28="","MD-"&amp;TEXT(COUNTA($C$5:C28),"000"))</f>
        <v/>
      </c>
      <c r="C28" s="14" t="n"/>
      <c r="D28" s="14" t="n"/>
      <c r="E28" s="29" t="n"/>
      <c r="F28" s="14" t="n"/>
      <c r="G28" s="29" t="n"/>
      <c r="H28" s="42">
        <f>IF(OR(E28="",G28=""),"",G28-E28)</f>
        <v/>
      </c>
      <c r="I28" s="14" t="n"/>
      <c r="J28" s="14" t="n"/>
      <c r="K28" s="14" t="n"/>
      <c r="L28" s="14" t="n"/>
    </row>
    <row r="29" ht="22" customHeight="1">
      <c r="B29" s="18">
        <f>IF(C29="","MD-"&amp;TEXT(COUNTA($C$5:C29),"000"))</f>
        <v/>
      </c>
      <c r="C29" s="11" t="n"/>
      <c r="D29" s="11" t="n"/>
      <c r="E29" s="27" t="n"/>
      <c r="F29" s="11" t="n"/>
      <c r="G29" s="27" t="n"/>
      <c r="H29" s="41">
        <f>IF(OR(E29="",G29=""),"",G29-E29)</f>
        <v/>
      </c>
      <c r="I29" s="11" t="n"/>
      <c r="J29" s="11" t="n"/>
      <c r="K29" s="11" t="n"/>
      <c r="L29" s="11" t="n"/>
    </row>
    <row r="30" ht="22" customHeight="1">
      <c r="B30" s="17">
        <f>IF(C30="","MD-"&amp;TEXT(COUNTA($C$5:C30),"000"))</f>
        <v/>
      </c>
      <c r="C30" s="14" t="n"/>
      <c r="D30" s="14" t="n"/>
      <c r="E30" s="29" t="n"/>
      <c r="F30" s="14" t="n"/>
      <c r="G30" s="29" t="n"/>
      <c r="H30" s="42">
        <f>IF(OR(E30="",G30=""),"",G30-E30)</f>
        <v/>
      </c>
      <c r="I30" s="14" t="n"/>
      <c r="J30" s="14" t="n"/>
      <c r="K30" s="14" t="n"/>
      <c r="L30" s="14" t="n"/>
    </row>
    <row r="31" ht="22" customHeight="1">
      <c r="B31" s="18">
        <f>IF(C31="","MD-"&amp;TEXT(COUNTA($C$5:C31),"000"))</f>
        <v/>
      </c>
      <c r="C31" s="11" t="n"/>
      <c r="D31" s="11" t="n"/>
      <c r="E31" s="27" t="n"/>
      <c r="F31" s="11" t="n"/>
      <c r="G31" s="27" t="n"/>
      <c r="H31" s="41">
        <f>IF(OR(E31="",G31=""),"",G31-E31)</f>
        <v/>
      </c>
      <c r="I31" s="11" t="n"/>
      <c r="J31" s="11" t="n"/>
      <c r="K31" s="11" t="n"/>
      <c r="L31" s="11" t="n"/>
    </row>
    <row r="32" ht="22" customHeight="1">
      <c r="B32" s="17">
        <f>IF(C32="","MD-"&amp;TEXT(COUNTA($C$5:C32),"000"))</f>
        <v/>
      </c>
      <c r="C32" s="14" t="n"/>
      <c r="D32" s="14" t="n"/>
      <c r="E32" s="29" t="n"/>
      <c r="F32" s="14" t="n"/>
      <c r="G32" s="29" t="n"/>
      <c r="H32" s="42">
        <f>IF(OR(E32="",G32=""),"",G32-E32)</f>
        <v/>
      </c>
      <c r="I32" s="14" t="n"/>
      <c r="J32" s="14" t="n"/>
      <c r="K32" s="14" t="n"/>
      <c r="L32" s="14" t="n"/>
    </row>
    <row r="33" ht="22" customHeight="1">
      <c r="B33" s="18">
        <f>IF(C33="","MD-"&amp;TEXT(COUNTA($C$5:C33),"000"))</f>
        <v/>
      </c>
      <c r="C33" s="11" t="n"/>
      <c r="D33" s="11" t="n"/>
      <c r="E33" s="27" t="n"/>
      <c r="F33" s="11" t="n"/>
      <c r="G33" s="27" t="n"/>
      <c r="H33" s="41">
        <f>IF(OR(E33="",G33=""),"",G33-E33)</f>
        <v/>
      </c>
      <c r="I33" s="11" t="n"/>
      <c r="J33" s="11" t="n"/>
      <c r="K33" s="11" t="n"/>
      <c r="L33" s="11" t="n"/>
    </row>
    <row r="34" ht="22" customHeight="1">
      <c r="B34" s="17">
        <f>IF(C34="","MD-"&amp;TEXT(COUNTA($C$5:C34),"000"))</f>
        <v/>
      </c>
      <c r="C34" s="14" t="n"/>
      <c r="D34" s="14" t="n"/>
      <c r="E34" s="29" t="n"/>
      <c r="F34" s="14" t="n"/>
      <c r="G34" s="29" t="n"/>
      <c r="H34" s="42">
        <f>IF(OR(E34="",G34=""),"",G34-E34)</f>
        <v/>
      </c>
      <c r="I34" s="14" t="n"/>
      <c r="J34" s="14" t="n"/>
      <c r="K34" s="14" t="n"/>
      <c r="L34" s="14" t="n"/>
    </row>
    <row r="35" ht="22" customHeight="1">
      <c r="B35" s="18">
        <f>IF(C35="","MD-"&amp;TEXT(COUNTA($C$5:C35),"000"))</f>
        <v/>
      </c>
      <c r="C35" s="11" t="n"/>
      <c r="D35" s="11" t="n"/>
      <c r="E35" s="27" t="n"/>
      <c r="F35" s="11" t="n"/>
      <c r="G35" s="27" t="n"/>
      <c r="H35" s="41">
        <f>IF(OR(E35="",G35=""),"",G35-E35)</f>
        <v/>
      </c>
      <c r="I35" s="11" t="n"/>
      <c r="J35" s="11" t="n"/>
      <c r="K35" s="11" t="n"/>
      <c r="L35" s="11" t="n"/>
    </row>
    <row r="36" ht="22" customHeight="1">
      <c r="B36" s="17">
        <f>IF(C36="","MD-"&amp;TEXT(COUNTA($C$5:C36),"000"))</f>
        <v/>
      </c>
      <c r="C36" s="14" t="n"/>
      <c r="D36" s="14" t="n"/>
      <c r="E36" s="29" t="n"/>
      <c r="F36" s="14" t="n"/>
      <c r="G36" s="29" t="n"/>
      <c r="H36" s="42">
        <f>IF(OR(E36="",G36=""),"",G36-E36)</f>
        <v/>
      </c>
      <c r="I36" s="14" t="n"/>
      <c r="J36" s="14" t="n"/>
      <c r="K36" s="14" t="n"/>
      <c r="L36" s="14" t="n"/>
    </row>
    <row r="37" ht="22" customHeight="1">
      <c r="B37" s="18">
        <f>IF(C37="","MD-"&amp;TEXT(COUNTA($C$5:C37),"000"))</f>
        <v/>
      </c>
      <c r="C37" s="11" t="n"/>
      <c r="D37" s="11" t="n"/>
      <c r="E37" s="27" t="n"/>
      <c r="F37" s="11" t="n"/>
      <c r="G37" s="27" t="n"/>
      <c r="H37" s="41">
        <f>IF(OR(E37="",G37=""),"",G37-E37)</f>
        <v/>
      </c>
      <c r="I37" s="11" t="n"/>
      <c r="J37" s="11" t="n"/>
      <c r="K37" s="11" t="n"/>
      <c r="L37" s="11" t="n"/>
    </row>
    <row r="38" ht="22" customHeight="1">
      <c r="B38" s="17">
        <f>IF(C38="","MD-"&amp;TEXT(COUNTA($C$5:C38),"000"))</f>
        <v/>
      </c>
      <c r="C38" s="14" t="n"/>
      <c r="D38" s="14" t="n"/>
      <c r="E38" s="29" t="n"/>
      <c r="F38" s="14" t="n"/>
      <c r="G38" s="29" t="n"/>
      <c r="H38" s="42">
        <f>IF(OR(E38="",G38=""),"",G38-E38)</f>
        <v/>
      </c>
      <c r="I38" s="14" t="n"/>
      <c r="J38" s="14" t="n"/>
      <c r="K38" s="14" t="n"/>
      <c r="L38" s="14" t="n"/>
    </row>
    <row r="39" ht="22" customHeight="1">
      <c r="B39" s="18">
        <f>IF(C39="","MD-"&amp;TEXT(COUNTA($C$5:C39),"000"))</f>
        <v/>
      </c>
      <c r="C39" s="11" t="n"/>
      <c r="D39" s="11" t="n"/>
      <c r="E39" s="27" t="n"/>
      <c r="F39" s="11" t="n"/>
      <c r="G39" s="27" t="n"/>
      <c r="H39" s="41">
        <f>IF(OR(E39="",G39=""),"",G39-E39)</f>
        <v/>
      </c>
      <c r="I39" s="11" t="n"/>
      <c r="J39" s="11" t="n"/>
      <c r="K39" s="11" t="n"/>
      <c r="L39" s="11" t="n"/>
    </row>
    <row r="40" ht="22" customHeight="1">
      <c r="B40" s="17">
        <f>IF(C40="","MD-"&amp;TEXT(COUNTA($C$5:C40),"000"))</f>
        <v/>
      </c>
      <c r="C40" s="14" t="n"/>
      <c r="D40" s="14" t="n"/>
      <c r="E40" s="29" t="n"/>
      <c r="F40" s="14" t="n"/>
      <c r="G40" s="29" t="n"/>
      <c r="H40" s="42">
        <f>IF(OR(E40="",G40=""),"",G40-E40)</f>
        <v/>
      </c>
      <c r="I40" s="14" t="n"/>
      <c r="J40" s="14" t="n"/>
      <c r="K40" s="14" t="n"/>
      <c r="L40" s="14" t="n"/>
    </row>
    <row r="41" ht="22" customHeight="1">
      <c r="B41" s="18">
        <f>IF(C41="","MD-"&amp;TEXT(COUNTA($C$5:C41),"000"))</f>
        <v/>
      </c>
      <c r="C41" s="11" t="n"/>
      <c r="D41" s="11" t="n"/>
      <c r="E41" s="27" t="n"/>
      <c r="F41" s="11" t="n"/>
      <c r="G41" s="27" t="n"/>
      <c r="H41" s="41">
        <f>IF(OR(E41="",G41=""),"",G41-E41)</f>
        <v/>
      </c>
      <c r="I41" s="11" t="n"/>
      <c r="J41" s="11" t="n"/>
      <c r="K41" s="11" t="n"/>
      <c r="L41" s="11" t="n"/>
    </row>
    <row r="42" ht="22" customHeight="1">
      <c r="B42" s="17">
        <f>IF(C42="","MD-"&amp;TEXT(COUNTA($C$5:C42),"000"))</f>
        <v/>
      </c>
      <c r="C42" s="14" t="n"/>
      <c r="D42" s="14" t="n"/>
      <c r="E42" s="29" t="n"/>
      <c r="F42" s="14" t="n"/>
      <c r="G42" s="29" t="n"/>
      <c r="H42" s="42">
        <f>IF(OR(E42="",G42=""),"",G42-E42)</f>
        <v/>
      </c>
      <c r="I42" s="14" t="n"/>
      <c r="J42" s="14" t="n"/>
      <c r="K42" s="14" t="n"/>
      <c r="L42" s="14" t="n"/>
    </row>
    <row r="43" ht="22" customHeight="1">
      <c r="B43" s="18">
        <f>IF(C43="","MD-"&amp;TEXT(COUNTA($C$5:C43),"000"))</f>
        <v/>
      </c>
      <c r="C43" s="11" t="n"/>
      <c r="D43" s="11" t="n"/>
      <c r="E43" s="27" t="n"/>
      <c r="F43" s="11" t="n"/>
      <c r="G43" s="27" t="n"/>
      <c r="H43" s="41">
        <f>IF(OR(E43="",G43=""),"",G43-E43)</f>
        <v/>
      </c>
      <c r="I43" s="11" t="n"/>
      <c r="J43" s="11" t="n"/>
      <c r="K43" s="11" t="n"/>
      <c r="L43" s="11" t="n"/>
    </row>
    <row r="44" ht="22" customHeight="1">
      <c r="B44" s="17">
        <f>IF(C44="","MD-"&amp;TEXT(COUNTA($C$5:C44),"000"))</f>
        <v/>
      </c>
      <c r="C44" s="14" t="n"/>
      <c r="D44" s="14" t="n"/>
      <c r="E44" s="29" t="n"/>
      <c r="F44" s="14" t="n"/>
      <c r="G44" s="29" t="n"/>
      <c r="H44" s="42">
        <f>IF(OR(E44="",G44=""),"",G44-E44)</f>
        <v/>
      </c>
      <c r="I44" s="14" t="n"/>
      <c r="J44" s="14" t="n"/>
      <c r="K44" s="14" t="n"/>
      <c r="L44" s="14" t="n"/>
    </row>
    <row r="45" ht="22" customHeight="1">
      <c r="B45" s="18">
        <f>IF(C45="","MD-"&amp;TEXT(COUNTA($C$5:C45),"000"))</f>
        <v/>
      </c>
      <c r="C45" s="11" t="n"/>
      <c r="D45" s="11" t="n"/>
      <c r="E45" s="27" t="n"/>
      <c r="F45" s="11" t="n"/>
      <c r="G45" s="27" t="n"/>
      <c r="H45" s="41">
        <f>IF(OR(E45="",G45=""),"",G45-E45)</f>
        <v/>
      </c>
      <c r="I45" s="11" t="n"/>
      <c r="J45" s="11" t="n"/>
      <c r="K45" s="11" t="n"/>
      <c r="L45" s="11" t="n"/>
    </row>
    <row r="46" ht="22" customHeight="1">
      <c r="B46" s="17">
        <f>IF(C46="","MD-"&amp;TEXT(COUNTA($C$5:C46),"000"))</f>
        <v/>
      </c>
      <c r="C46" s="14" t="n"/>
      <c r="D46" s="14" t="n"/>
      <c r="E46" s="29" t="n"/>
      <c r="F46" s="14" t="n"/>
      <c r="G46" s="29" t="n"/>
      <c r="H46" s="42">
        <f>IF(OR(E46="",G46=""),"",G46-E46)</f>
        <v/>
      </c>
      <c r="I46" s="14" t="n"/>
      <c r="J46" s="14" t="n"/>
      <c r="K46" s="14" t="n"/>
      <c r="L46" s="14" t="n"/>
    </row>
    <row r="47" ht="22" customHeight="1">
      <c r="B47" s="18">
        <f>IF(C47="","MD-"&amp;TEXT(COUNTA($C$5:C47),"000"))</f>
        <v/>
      </c>
      <c r="C47" s="11" t="n"/>
      <c r="D47" s="11" t="n"/>
      <c r="E47" s="27" t="n"/>
      <c r="F47" s="11" t="n"/>
      <c r="G47" s="27" t="n"/>
      <c r="H47" s="41">
        <f>IF(OR(E47="",G47=""),"",G47-E47)</f>
        <v/>
      </c>
      <c r="I47" s="11" t="n"/>
      <c r="J47" s="11" t="n"/>
      <c r="K47" s="11" t="n"/>
      <c r="L47" s="11" t="n"/>
    </row>
    <row r="48" ht="22" customHeight="1">
      <c r="B48" s="17">
        <f>IF(C48="","MD-"&amp;TEXT(COUNTA($C$5:C48),"000"))</f>
        <v/>
      </c>
      <c r="C48" s="14" t="n"/>
      <c r="D48" s="14" t="n"/>
      <c r="E48" s="29" t="n"/>
      <c r="F48" s="14" t="n"/>
      <c r="G48" s="29" t="n"/>
      <c r="H48" s="42">
        <f>IF(OR(E48="",G48=""),"",G48-E48)</f>
        <v/>
      </c>
      <c r="I48" s="14" t="n"/>
      <c r="J48" s="14" t="n"/>
      <c r="K48" s="14" t="n"/>
      <c r="L48" s="14" t="n"/>
    </row>
    <row r="49" ht="22" customHeight="1">
      <c r="B49" s="18">
        <f>IF(C49="","MD-"&amp;TEXT(COUNTA($C$5:C49),"000"))</f>
        <v/>
      </c>
      <c r="C49" s="11" t="n"/>
      <c r="D49" s="11" t="n"/>
      <c r="E49" s="27" t="n"/>
      <c r="F49" s="11" t="n"/>
      <c r="G49" s="27" t="n"/>
      <c r="H49" s="41">
        <f>IF(OR(E49="",G49=""),"",G49-E49)</f>
        <v/>
      </c>
      <c r="I49" s="11" t="n"/>
      <c r="J49" s="11" t="n"/>
      <c r="K49" s="11" t="n"/>
      <c r="L49" s="11" t="n"/>
    </row>
    <row r="50" ht="22" customHeight="1">
      <c r="B50" s="17">
        <f>IF(C50="","MD-"&amp;TEXT(COUNTA($C$5:C50),"000"))</f>
        <v/>
      </c>
      <c r="C50" s="14" t="n"/>
      <c r="D50" s="14" t="n"/>
      <c r="E50" s="29" t="n"/>
      <c r="F50" s="14" t="n"/>
      <c r="G50" s="29" t="n"/>
      <c r="H50" s="42">
        <f>IF(OR(E50="",G50=""),"",G50-E50)</f>
        <v/>
      </c>
      <c r="I50" s="14" t="n"/>
      <c r="J50" s="14" t="n"/>
      <c r="K50" s="14" t="n"/>
      <c r="L50" s="14" t="n"/>
    </row>
    <row r="51" ht="22" customHeight="1">
      <c r="B51" s="18">
        <f>IF(C51="","MD-"&amp;TEXT(COUNTA($C$5:C51),"000"))</f>
        <v/>
      </c>
      <c r="C51" s="11" t="n"/>
      <c r="D51" s="11" t="n"/>
      <c r="E51" s="27" t="n"/>
      <c r="F51" s="11" t="n"/>
      <c r="G51" s="27" t="n"/>
      <c r="H51" s="41">
        <f>IF(OR(E51="",G51=""),"",G51-E51)</f>
        <v/>
      </c>
      <c r="I51" s="11" t="n"/>
      <c r="J51" s="11" t="n"/>
      <c r="K51" s="11" t="n"/>
      <c r="L51" s="11" t="n"/>
    </row>
    <row r="52" ht="22" customHeight="1">
      <c r="B52" s="17">
        <f>IF(C52="","MD-"&amp;TEXT(COUNTA($C$5:C52),"000"))</f>
        <v/>
      </c>
      <c r="C52" s="14" t="n"/>
      <c r="D52" s="14" t="n"/>
      <c r="E52" s="29" t="n"/>
      <c r="F52" s="14" t="n"/>
      <c r="G52" s="29" t="n"/>
      <c r="H52" s="42">
        <f>IF(OR(E52="",G52=""),"",G52-E52)</f>
        <v/>
      </c>
      <c r="I52" s="14" t="n"/>
      <c r="J52" s="14" t="n"/>
      <c r="K52" s="14" t="n"/>
      <c r="L52" s="14" t="n"/>
    </row>
    <row r="53" ht="22" customHeight="1">
      <c r="B53" s="18">
        <f>IF(C53="","MD-"&amp;TEXT(COUNTA($C$5:C53),"000"))</f>
        <v/>
      </c>
      <c r="C53" s="11" t="n"/>
      <c r="D53" s="11" t="n"/>
      <c r="E53" s="27" t="n"/>
      <c r="F53" s="11" t="n"/>
      <c r="G53" s="27" t="n"/>
      <c r="H53" s="41">
        <f>IF(OR(E53="",G53=""),"",G53-E53)</f>
        <v/>
      </c>
      <c r="I53" s="11" t="n"/>
      <c r="J53" s="11" t="n"/>
      <c r="K53" s="11" t="n"/>
      <c r="L53" s="11" t="n"/>
    </row>
    <row r="54" ht="22" customHeight="1">
      <c r="B54" s="17">
        <f>IF(C54="","MD-"&amp;TEXT(COUNTA($C$5:C54),"000"))</f>
        <v/>
      </c>
      <c r="C54" s="14" t="n"/>
      <c r="D54" s="14" t="n"/>
      <c r="E54" s="29" t="n"/>
      <c r="F54" s="14" t="n"/>
      <c r="G54" s="29" t="n"/>
      <c r="H54" s="42">
        <f>IF(OR(E54="",G54=""),"",G54-E54)</f>
        <v/>
      </c>
      <c r="I54" s="14" t="n"/>
      <c r="J54" s="14" t="n"/>
      <c r="K54" s="14" t="n"/>
      <c r="L54" s="14" t="n"/>
    </row>
    <row r="55" ht="22" customHeight="1">
      <c r="B55" s="18">
        <f>IF(C55="","MD-"&amp;TEXT(COUNTA($C$5:C55),"000"))</f>
        <v/>
      </c>
      <c r="C55" s="11" t="n"/>
      <c r="D55" s="11" t="n"/>
      <c r="E55" s="27" t="n"/>
      <c r="F55" s="11" t="n"/>
      <c r="G55" s="27" t="n"/>
      <c r="H55" s="41">
        <f>IF(OR(E55="",G55=""),"",G55-E55)</f>
        <v/>
      </c>
      <c r="I55" s="11" t="n"/>
      <c r="J55" s="11" t="n"/>
      <c r="K55" s="11" t="n"/>
      <c r="L55" s="11" t="n"/>
    </row>
    <row r="56" ht="22" customHeight="1">
      <c r="B56" s="17">
        <f>IF(C56="","MD-"&amp;TEXT(COUNTA($C$5:C56),"000"))</f>
        <v/>
      </c>
      <c r="C56" s="14" t="n"/>
      <c r="D56" s="14" t="n"/>
      <c r="E56" s="29" t="n"/>
      <c r="F56" s="14" t="n"/>
      <c r="G56" s="29" t="n"/>
      <c r="H56" s="42">
        <f>IF(OR(E56="",G56=""),"",G56-E56)</f>
        <v/>
      </c>
      <c r="I56" s="14" t="n"/>
      <c r="J56" s="14" t="n"/>
      <c r="K56" s="14" t="n"/>
      <c r="L56" s="14" t="n"/>
    </row>
    <row r="57" ht="22" customHeight="1">
      <c r="B57" s="18">
        <f>IF(C57="","MD-"&amp;TEXT(COUNTA($C$5:C57),"000"))</f>
        <v/>
      </c>
      <c r="C57" s="11" t="n"/>
      <c r="D57" s="11" t="n"/>
      <c r="E57" s="27" t="n"/>
      <c r="F57" s="11" t="n"/>
      <c r="G57" s="27" t="n"/>
      <c r="H57" s="41">
        <f>IF(OR(E57="",G57=""),"",G57-E57)</f>
        <v/>
      </c>
      <c r="I57" s="11" t="n"/>
      <c r="J57" s="11" t="n"/>
      <c r="K57" s="11" t="n"/>
      <c r="L57" s="11" t="n"/>
    </row>
    <row r="58" ht="22" customHeight="1">
      <c r="B58" s="17">
        <f>IF(C58="","MD-"&amp;TEXT(COUNTA($C$5:C58),"000"))</f>
        <v/>
      </c>
      <c r="C58" s="14" t="n"/>
      <c r="D58" s="14" t="n"/>
      <c r="E58" s="29" t="n"/>
      <c r="F58" s="14" t="n"/>
      <c r="G58" s="29" t="n"/>
      <c r="H58" s="42">
        <f>IF(OR(E58="",G58=""),"",G58-E58)</f>
        <v/>
      </c>
      <c r="I58" s="14" t="n"/>
      <c r="J58" s="14" t="n"/>
      <c r="K58" s="14" t="n"/>
      <c r="L58" s="14" t="n"/>
    </row>
    <row r="59" ht="22" customHeight="1">
      <c r="B59" s="18">
        <f>IF(C59="","MD-"&amp;TEXT(COUNTA($C$5:C59),"000"))</f>
        <v/>
      </c>
      <c r="C59" s="11" t="n"/>
      <c r="D59" s="11" t="n"/>
      <c r="E59" s="27" t="n"/>
      <c r="F59" s="11" t="n"/>
      <c r="G59" s="27" t="n"/>
      <c r="H59" s="41">
        <f>IF(OR(E59="",G59=""),"",G59-E59)</f>
        <v/>
      </c>
      <c r="I59" s="11" t="n"/>
      <c r="J59" s="11" t="n"/>
      <c r="K59" s="11" t="n"/>
      <c r="L59" s="11" t="n"/>
    </row>
    <row r="60" ht="22" customHeight="1">
      <c r="B60" s="17">
        <f>IF(C60="","MD-"&amp;TEXT(COUNTA($C$5:C60),"000"))</f>
        <v/>
      </c>
      <c r="C60" s="14" t="n"/>
      <c r="D60" s="14" t="n"/>
      <c r="E60" s="29" t="n"/>
      <c r="F60" s="14" t="n"/>
      <c r="G60" s="29" t="n"/>
      <c r="H60" s="42">
        <f>IF(OR(E60="",G60=""),"",G60-E60)</f>
        <v/>
      </c>
      <c r="I60" s="14" t="n"/>
      <c r="J60" s="14" t="n"/>
      <c r="K60" s="14" t="n"/>
      <c r="L60" s="14" t="n"/>
    </row>
    <row r="61" ht="22" customHeight="1">
      <c r="B61" s="18">
        <f>IF(C61="","MD-"&amp;TEXT(COUNTA($C$5:C61),"000"))</f>
        <v/>
      </c>
      <c r="C61" s="11" t="n"/>
      <c r="D61" s="11" t="n"/>
      <c r="E61" s="27" t="n"/>
      <c r="F61" s="11" t="n"/>
      <c r="G61" s="27" t="n"/>
      <c r="H61" s="41">
        <f>IF(OR(E61="",G61=""),"",G61-E61)</f>
        <v/>
      </c>
      <c r="I61" s="11" t="n"/>
      <c r="J61" s="11" t="n"/>
      <c r="K61" s="11" t="n"/>
      <c r="L61" s="11" t="n"/>
    </row>
    <row r="62" ht="22" customHeight="1">
      <c r="B62" s="17">
        <f>IF(C62="","MD-"&amp;TEXT(COUNTA($C$5:C62),"000"))</f>
        <v/>
      </c>
      <c r="C62" s="14" t="n"/>
      <c r="D62" s="14" t="n"/>
      <c r="E62" s="29" t="n"/>
      <c r="F62" s="14" t="n"/>
      <c r="G62" s="29" t="n"/>
      <c r="H62" s="42">
        <f>IF(OR(E62="",G62=""),"",G62-E62)</f>
        <v/>
      </c>
      <c r="I62" s="14" t="n"/>
      <c r="J62" s="14" t="n"/>
      <c r="K62" s="14" t="n"/>
      <c r="L62" s="14" t="n"/>
    </row>
    <row r="63" ht="22" customHeight="1">
      <c r="B63" s="18">
        <f>IF(C63="","MD-"&amp;TEXT(COUNTA($C$5:C63),"000"))</f>
        <v/>
      </c>
      <c r="C63" s="11" t="n"/>
      <c r="D63" s="11" t="n"/>
      <c r="E63" s="27" t="n"/>
      <c r="F63" s="11" t="n"/>
      <c r="G63" s="27" t="n"/>
      <c r="H63" s="41">
        <f>IF(OR(E63="",G63=""),"",G63-E63)</f>
        <v/>
      </c>
      <c r="I63" s="11" t="n"/>
      <c r="J63" s="11" t="n"/>
      <c r="K63" s="11" t="n"/>
      <c r="L63" s="11" t="n"/>
    </row>
    <row r="64" ht="22" customHeight="1">
      <c r="B64" s="17">
        <f>IF(C64="","MD-"&amp;TEXT(COUNTA($C$5:C64),"000"))</f>
        <v/>
      </c>
      <c r="C64" s="14" t="n"/>
      <c r="D64" s="14" t="n"/>
      <c r="E64" s="29" t="n"/>
      <c r="F64" s="14" t="n"/>
      <c r="G64" s="29" t="n"/>
      <c r="H64" s="42">
        <f>IF(OR(E64="",G64=""),"",G64-E64)</f>
        <v/>
      </c>
      <c r="I64" s="14" t="n"/>
      <c r="J64" s="14" t="n"/>
      <c r="K64" s="14" t="n"/>
      <c r="L64" s="14" t="n"/>
    </row>
    <row r="65" ht="22" customHeight="1">
      <c r="B65" s="18">
        <f>IF(C65="","MD-"&amp;TEXT(COUNTA($C$5:C65),"000"))</f>
        <v/>
      </c>
      <c r="C65" s="11" t="n"/>
      <c r="D65" s="11" t="n"/>
      <c r="E65" s="27" t="n"/>
      <c r="F65" s="11" t="n"/>
      <c r="G65" s="27" t="n"/>
      <c r="H65" s="41">
        <f>IF(OR(E65="",G65=""),"",G65-E65)</f>
        <v/>
      </c>
      <c r="I65" s="11" t="n"/>
      <c r="J65" s="11" t="n"/>
      <c r="K65" s="11" t="n"/>
      <c r="L65" s="11" t="n"/>
    </row>
    <row r="66" ht="22" customHeight="1">
      <c r="B66" s="17">
        <f>IF(C66="","MD-"&amp;TEXT(COUNTA($C$5:C66),"000"))</f>
        <v/>
      </c>
      <c r="C66" s="14" t="n"/>
      <c r="D66" s="14" t="n"/>
      <c r="E66" s="29" t="n"/>
      <c r="F66" s="14" t="n"/>
      <c r="G66" s="29" t="n"/>
      <c r="H66" s="42">
        <f>IF(OR(E66="",G66=""),"",G66-E66)</f>
        <v/>
      </c>
      <c r="I66" s="14" t="n"/>
      <c r="J66" s="14" t="n"/>
      <c r="K66" s="14" t="n"/>
      <c r="L66" s="14" t="n"/>
    </row>
    <row r="67" ht="22" customHeight="1">
      <c r="B67" s="18">
        <f>IF(C67="","MD-"&amp;TEXT(COUNTA($C$5:C67),"000"))</f>
        <v/>
      </c>
      <c r="C67" s="11" t="n"/>
      <c r="D67" s="11" t="n"/>
      <c r="E67" s="27" t="n"/>
      <c r="F67" s="11" t="n"/>
      <c r="G67" s="27" t="n"/>
      <c r="H67" s="41">
        <f>IF(OR(E67="",G67=""),"",G67-E67)</f>
        <v/>
      </c>
      <c r="I67" s="11" t="n"/>
      <c r="J67" s="11" t="n"/>
      <c r="K67" s="11" t="n"/>
      <c r="L67" s="11" t="n"/>
    </row>
    <row r="68" ht="22" customHeight="1">
      <c r="B68" s="17">
        <f>IF(C68="","MD-"&amp;TEXT(COUNTA($C$5:C68),"000"))</f>
        <v/>
      </c>
      <c r="C68" s="14" t="n"/>
      <c r="D68" s="14" t="n"/>
      <c r="E68" s="29" t="n"/>
      <c r="F68" s="14" t="n"/>
      <c r="G68" s="29" t="n"/>
      <c r="H68" s="42">
        <f>IF(OR(E68="",G68=""),"",G68-E68)</f>
        <v/>
      </c>
      <c r="I68" s="14" t="n"/>
      <c r="J68" s="14" t="n"/>
      <c r="K68" s="14" t="n"/>
      <c r="L68" s="14" t="n"/>
    </row>
    <row r="69" ht="22" customHeight="1">
      <c r="B69" s="18">
        <f>IF(C69="","MD-"&amp;TEXT(COUNTA($C$5:C69),"000"))</f>
        <v/>
      </c>
      <c r="C69" s="11" t="n"/>
      <c r="D69" s="11" t="n"/>
      <c r="E69" s="27" t="n"/>
      <c r="F69" s="11" t="n"/>
      <c r="G69" s="27" t="n"/>
      <c r="H69" s="41">
        <f>IF(OR(E69="",G69=""),"",G69-E69)</f>
        <v/>
      </c>
      <c r="I69" s="11" t="n"/>
      <c r="J69" s="11" t="n"/>
      <c r="K69" s="11" t="n"/>
      <c r="L69" s="11" t="n"/>
    </row>
    <row r="70" ht="22" customHeight="1">
      <c r="B70" s="17">
        <f>IF(C70="","MD-"&amp;TEXT(COUNTA($C$5:C70),"000"))</f>
        <v/>
      </c>
      <c r="C70" s="14" t="n"/>
      <c r="D70" s="14" t="n"/>
      <c r="E70" s="29" t="n"/>
      <c r="F70" s="14" t="n"/>
      <c r="G70" s="29" t="n"/>
      <c r="H70" s="42">
        <f>IF(OR(E70="",G70=""),"",G70-E70)</f>
        <v/>
      </c>
      <c r="I70" s="14" t="n"/>
      <c r="J70" s="14" t="n"/>
      <c r="K70" s="14" t="n"/>
      <c r="L70" s="14" t="n"/>
    </row>
    <row r="71" ht="22" customHeight="1">
      <c r="B71" s="18">
        <f>IF(C71="","MD-"&amp;TEXT(COUNTA($C$5:C71),"000"))</f>
        <v/>
      </c>
      <c r="C71" s="11" t="n"/>
      <c r="D71" s="11" t="n"/>
      <c r="E71" s="27" t="n"/>
      <c r="F71" s="11" t="n"/>
      <c r="G71" s="27" t="n"/>
      <c r="H71" s="41">
        <f>IF(OR(E71="",G71=""),"",G71-E71)</f>
        <v/>
      </c>
      <c r="I71" s="11" t="n"/>
      <c r="J71" s="11" t="n"/>
      <c r="K71" s="11" t="n"/>
      <c r="L71" s="11" t="n"/>
    </row>
    <row r="72" ht="22" customHeight="1">
      <c r="B72" s="17">
        <f>IF(C72="","MD-"&amp;TEXT(COUNTA($C$5:C72),"000"))</f>
        <v/>
      </c>
      <c r="C72" s="14" t="n"/>
      <c r="D72" s="14" t="n"/>
      <c r="E72" s="29" t="n"/>
      <c r="F72" s="14" t="n"/>
      <c r="G72" s="29" t="n"/>
      <c r="H72" s="42">
        <f>IF(OR(E72="",G72=""),"",G72-E72)</f>
        <v/>
      </c>
      <c r="I72" s="14" t="n"/>
      <c r="J72" s="14" t="n"/>
      <c r="K72" s="14" t="n"/>
      <c r="L72" s="14" t="n"/>
    </row>
    <row r="73" ht="22" customHeight="1">
      <c r="B73" s="18">
        <f>IF(C73="","MD-"&amp;TEXT(COUNTA($C$5:C73),"000"))</f>
        <v/>
      </c>
      <c r="C73" s="11" t="n"/>
      <c r="D73" s="11" t="n"/>
      <c r="E73" s="27" t="n"/>
      <c r="F73" s="11" t="n"/>
      <c r="G73" s="27" t="n"/>
      <c r="H73" s="41">
        <f>IF(OR(E73="",G73=""),"",G73-E73)</f>
        <v/>
      </c>
      <c r="I73" s="11" t="n"/>
      <c r="J73" s="11" t="n"/>
      <c r="K73" s="11" t="n"/>
      <c r="L73" s="11" t="n"/>
    </row>
    <row r="74" ht="22" customHeight="1">
      <c r="B74" s="17">
        <f>IF(C74="","MD-"&amp;TEXT(COUNTA($C$5:C74),"000"))</f>
        <v/>
      </c>
      <c r="C74" s="14" t="n"/>
      <c r="D74" s="14" t="n"/>
      <c r="E74" s="29" t="n"/>
      <c r="F74" s="14" t="n"/>
      <c r="G74" s="29" t="n"/>
      <c r="H74" s="42">
        <f>IF(OR(E74="",G74=""),"",G74-E74)</f>
        <v/>
      </c>
      <c r="I74" s="14" t="n"/>
      <c r="J74" s="14" t="n"/>
      <c r="K74" s="14" t="n"/>
      <c r="L74" s="14" t="n"/>
    </row>
    <row r="75" ht="22" customHeight="1">
      <c r="B75" s="18">
        <f>IF(C75="","MD-"&amp;TEXT(COUNTA($C$5:C75),"000"))</f>
        <v/>
      </c>
      <c r="C75" s="11" t="n"/>
      <c r="D75" s="11" t="n"/>
      <c r="E75" s="27" t="n"/>
      <c r="F75" s="11" t="n"/>
      <c r="G75" s="27" t="n"/>
      <c r="H75" s="41">
        <f>IF(OR(E75="",G75=""),"",G75-E75)</f>
        <v/>
      </c>
      <c r="I75" s="11" t="n"/>
      <c r="J75" s="11" t="n"/>
      <c r="K75" s="11" t="n"/>
      <c r="L75" s="11" t="n"/>
    </row>
    <row r="76" ht="22" customHeight="1">
      <c r="B76" s="17">
        <f>IF(C76="","MD-"&amp;TEXT(COUNTA($C$5:C76),"000"))</f>
        <v/>
      </c>
      <c r="C76" s="14" t="n"/>
      <c r="D76" s="14" t="n"/>
      <c r="E76" s="29" t="n"/>
      <c r="F76" s="14" t="n"/>
      <c r="G76" s="29" t="n"/>
      <c r="H76" s="42">
        <f>IF(OR(E76="",G76=""),"",G76-E76)</f>
        <v/>
      </c>
      <c r="I76" s="14" t="n"/>
      <c r="J76" s="14" t="n"/>
      <c r="K76" s="14" t="n"/>
      <c r="L76" s="14" t="n"/>
    </row>
    <row r="77" ht="22" customHeight="1">
      <c r="B77" s="18">
        <f>IF(C77="","MD-"&amp;TEXT(COUNTA($C$5:C77),"000"))</f>
        <v/>
      </c>
      <c r="C77" s="11" t="n"/>
      <c r="D77" s="11" t="n"/>
      <c r="E77" s="27" t="n"/>
      <c r="F77" s="11" t="n"/>
      <c r="G77" s="27" t="n"/>
      <c r="H77" s="41">
        <f>IF(OR(E77="",G77=""),"",G77-E77)</f>
        <v/>
      </c>
      <c r="I77" s="11" t="n"/>
      <c r="J77" s="11" t="n"/>
      <c r="K77" s="11" t="n"/>
      <c r="L77" s="11" t="n"/>
    </row>
    <row r="78" ht="22" customHeight="1">
      <c r="B78" s="17">
        <f>IF(C78="","MD-"&amp;TEXT(COUNTA($C$5:C78),"000"))</f>
        <v/>
      </c>
      <c r="C78" s="14" t="n"/>
      <c r="D78" s="14" t="n"/>
      <c r="E78" s="29" t="n"/>
      <c r="F78" s="14" t="n"/>
      <c r="G78" s="29" t="n"/>
      <c r="H78" s="42">
        <f>IF(OR(E78="",G78=""),"",G78-E78)</f>
        <v/>
      </c>
      <c r="I78" s="14" t="n"/>
      <c r="J78" s="14" t="n"/>
      <c r="K78" s="14" t="n"/>
      <c r="L78" s="14" t="n"/>
    </row>
    <row r="79" ht="22" customHeight="1">
      <c r="B79" s="18">
        <f>IF(C79="","MD-"&amp;TEXT(COUNTA($C$5:C79),"000"))</f>
        <v/>
      </c>
      <c r="C79" s="11" t="n"/>
      <c r="D79" s="11" t="n"/>
      <c r="E79" s="27" t="n"/>
      <c r="F79" s="11" t="n"/>
      <c r="G79" s="27" t="n"/>
      <c r="H79" s="41">
        <f>IF(OR(E79="",G79=""),"",G79-E79)</f>
        <v/>
      </c>
      <c r="I79" s="11" t="n"/>
      <c r="J79" s="11" t="n"/>
      <c r="K79" s="11" t="n"/>
      <c r="L79" s="11" t="n"/>
    </row>
    <row r="80" ht="22" customHeight="1">
      <c r="B80" s="17">
        <f>IF(C80="","MD-"&amp;TEXT(COUNTA($C$5:C80),"000"))</f>
        <v/>
      </c>
      <c r="C80" s="14" t="n"/>
      <c r="D80" s="14" t="n"/>
      <c r="E80" s="29" t="n"/>
      <c r="F80" s="14" t="n"/>
      <c r="G80" s="29" t="n"/>
      <c r="H80" s="42">
        <f>IF(OR(E80="",G80=""),"",G80-E80)</f>
        <v/>
      </c>
      <c r="I80" s="14" t="n"/>
      <c r="J80" s="14" t="n"/>
      <c r="K80" s="14" t="n"/>
      <c r="L80" s="14" t="n"/>
    </row>
    <row r="81" ht="22" customHeight="1">
      <c r="B81" s="18">
        <f>IF(C81="","MD-"&amp;TEXT(COUNTA($C$5:C81),"000"))</f>
        <v/>
      </c>
      <c r="C81" s="11" t="n"/>
      <c r="D81" s="11" t="n"/>
      <c r="E81" s="27" t="n"/>
      <c r="F81" s="11" t="n"/>
      <c r="G81" s="27" t="n"/>
      <c r="H81" s="41">
        <f>IF(OR(E81="",G81=""),"",G81-E81)</f>
        <v/>
      </c>
      <c r="I81" s="11" t="n"/>
      <c r="J81" s="11" t="n"/>
      <c r="K81" s="11" t="n"/>
      <c r="L81" s="11" t="n"/>
    </row>
    <row r="82" ht="22" customHeight="1">
      <c r="B82" s="17">
        <f>IF(C82="","MD-"&amp;TEXT(COUNTA($C$5:C82),"000"))</f>
        <v/>
      </c>
      <c r="C82" s="14" t="n"/>
      <c r="D82" s="14" t="n"/>
      <c r="E82" s="29" t="n"/>
      <c r="F82" s="14" t="n"/>
      <c r="G82" s="29" t="n"/>
      <c r="H82" s="42">
        <f>IF(OR(E82="",G82=""),"",G82-E82)</f>
        <v/>
      </c>
      <c r="I82" s="14" t="n"/>
      <c r="J82" s="14" t="n"/>
      <c r="K82" s="14" t="n"/>
      <c r="L82" s="14" t="n"/>
    </row>
    <row r="83" ht="22" customHeight="1">
      <c r="B83" s="18">
        <f>IF(C83="","MD-"&amp;TEXT(COUNTA($C$5:C83),"000"))</f>
        <v/>
      </c>
      <c r="C83" s="11" t="n"/>
      <c r="D83" s="11" t="n"/>
      <c r="E83" s="27" t="n"/>
      <c r="F83" s="11" t="n"/>
      <c r="G83" s="27" t="n"/>
      <c r="H83" s="41">
        <f>IF(OR(E83="",G83=""),"",G83-E83)</f>
        <v/>
      </c>
      <c r="I83" s="11" t="n"/>
      <c r="J83" s="11" t="n"/>
      <c r="K83" s="11" t="n"/>
      <c r="L83" s="11" t="n"/>
    </row>
    <row r="84" ht="22" customHeight="1">
      <c r="B84" s="17">
        <f>IF(C84="","MD-"&amp;TEXT(COUNTA($C$5:C84),"000"))</f>
        <v/>
      </c>
      <c r="C84" s="14" t="n"/>
      <c r="D84" s="14" t="n"/>
      <c r="E84" s="29" t="n"/>
      <c r="F84" s="14" t="n"/>
      <c r="G84" s="29" t="n"/>
      <c r="H84" s="42">
        <f>IF(OR(E84="",G84=""),"",G84-E84)</f>
        <v/>
      </c>
      <c r="I84" s="14" t="n"/>
      <c r="J84" s="14" t="n"/>
      <c r="K84" s="14" t="n"/>
      <c r="L84" s="14" t="n"/>
    </row>
    <row r="85" ht="22" customHeight="1">
      <c r="B85" s="18">
        <f>IF(C85="","MD-"&amp;TEXT(COUNTA($C$5:C85),"000"))</f>
        <v/>
      </c>
      <c r="C85" s="11" t="n"/>
      <c r="D85" s="11" t="n"/>
      <c r="E85" s="27" t="n"/>
      <c r="F85" s="11" t="n"/>
      <c r="G85" s="27" t="n"/>
      <c r="H85" s="41">
        <f>IF(OR(E85="",G85=""),"",G85-E85)</f>
        <v/>
      </c>
      <c r="I85" s="11" t="n"/>
      <c r="J85" s="11" t="n"/>
      <c r="K85" s="11" t="n"/>
      <c r="L85" s="11" t="n"/>
    </row>
    <row r="86" ht="22" customHeight="1">
      <c r="B86" s="17">
        <f>IF(C86="","MD-"&amp;TEXT(COUNTA($C$5:C86),"000"))</f>
        <v/>
      </c>
      <c r="C86" s="14" t="n"/>
      <c r="D86" s="14" t="n"/>
      <c r="E86" s="29" t="n"/>
      <c r="F86" s="14" t="n"/>
      <c r="G86" s="29" t="n"/>
      <c r="H86" s="42">
        <f>IF(OR(E86="",G86=""),"",G86-E86)</f>
        <v/>
      </c>
      <c r="I86" s="14" t="n"/>
      <c r="J86" s="14" t="n"/>
      <c r="K86" s="14" t="n"/>
      <c r="L86" s="14" t="n"/>
    </row>
    <row r="87" ht="22" customHeight="1">
      <c r="B87" s="18">
        <f>IF(C87="","MD-"&amp;TEXT(COUNTA($C$5:C87),"000"))</f>
        <v/>
      </c>
      <c r="C87" s="11" t="n"/>
      <c r="D87" s="11" t="n"/>
      <c r="E87" s="27" t="n"/>
      <c r="F87" s="11" t="n"/>
      <c r="G87" s="27" t="n"/>
      <c r="H87" s="41">
        <f>IF(OR(E87="",G87=""),"",G87-E87)</f>
        <v/>
      </c>
      <c r="I87" s="11" t="n"/>
      <c r="J87" s="11" t="n"/>
      <c r="K87" s="11" t="n"/>
      <c r="L87" s="11" t="n"/>
    </row>
    <row r="88" ht="22" customHeight="1">
      <c r="B88" s="17">
        <f>IF(C88="","MD-"&amp;TEXT(COUNTA($C$5:C88),"000"))</f>
        <v/>
      </c>
      <c r="C88" s="14" t="n"/>
      <c r="D88" s="14" t="n"/>
      <c r="E88" s="29" t="n"/>
      <c r="F88" s="14" t="n"/>
      <c r="G88" s="29" t="n"/>
      <c r="H88" s="42">
        <f>IF(OR(E88="",G88=""),"",G88-E88)</f>
        <v/>
      </c>
      <c r="I88" s="14" t="n"/>
      <c r="J88" s="14" t="n"/>
      <c r="K88" s="14" t="n"/>
      <c r="L88" s="14" t="n"/>
    </row>
    <row r="89" ht="22" customHeight="1">
      <c r="B89" s="18">
        <f>IF(C89="","MD-"&amp;TEXT(COUNTA($C$5:C89),"000"))</f>
        <v/>
      </c>
      <c r="C89" s="11" t="n"/>
      <c r="D89" s="11" t="n"/>
      <c r="E89" s="27" t="n"/>
      <c r="F89" s="11" t="n"/>
      <c r="G89" s="27" t="n"/>
      <c r="H89" s="41">
        <f>IF(OR(E89="",G89=""),"",G89-E89)</f>
        <v/>
      </c>
      <c r="I89" s="11" t="n"/>
      <c r="J89" s="11" t="n"/>
      <c r="K89" s="11" t="n"/>
      <c r="L89" s="11" t="n"/>
    </row>
    <row r="90" ht="22" customHeight="1">
      <c r="B90" s="17">
        <f>IF(C90="","MD-"&amp;TEXT(COUNTA($C$5:C90),"000"))</f>
        <v/>
      </c>
      <c r="C90" s="14" t="n"/>
      <c r="D90" s="14" t="n"/>
      <c r="E90" s="29" t="n"/>
      <c r="F90" s="14" t="n"/>
      <c r="G90" s="29" t="n"/>
      <c r="H90" s="42">
        <f>IF(OR(E90="",G90=""),"",G90-E90)</f>
        <v/>
      </c>
      <c r="I90" s="14" t="n"/>
      <c r="J90" s="14" t="n"/>
      <c r="K90" s="14" t="n"/>
      <c r="L90" s="14" t="n"/>
    </row>
    <row r="91" ht="22" customHeight="1">
      <c r="B91" s="18">
        <f>IF(C91="","MD-"&amp;TEXT(COUNTA($C$5:C91),"000"))</f>
        <v/>
      </c>
      <c r="C91" s="11" t="n"/>
      <c r="D91" s="11" t="n"/>
      <c r="E91" s="27" t="n"/>
      <c r="F91" s="11" t="n"/>
      <c r="G91" s="27" t="n"/>
      <c r="H91" s="41">
        <f>IF(OR(E91="",G91=""),"",G91-E91)</f>
        <v/>
      </c>
      <c r="I91" s="11" t="n"/>
      <c r="J91" s="11" t="n"/>
      <c r="K91" s="11" t="n"/>
      <c r="L91" s="11" t="n"/>
    </row>
    <row r="92" ht="22" customHeight="1">
      <c r="B92" s="17">
        <f>IF(C92="","MD-"&amp;TEXT(COUNTA($C$5:C92),"000"))</f>
        <v/>
      </c>
      <c r="C92" s="14" t="n"/>
      <c r="D92" s="14" t="n"/>
      <c r="E92" s="29" t="n"/>
      <c r="F92" s="14" t="n"/>
      <c r="G92" s="29" t="n"/>
      <c r="H92" s="42">
        <f>IF(OR(E92="",G92=""),"",G92-E92)</f>
        <v/>
      </c>
      <c r="I92" s="14" t="n"/>
      <c r="J92" s="14" t="n"/>
      <c r="K92" s="14" t="n"/>
      <c r="L92" s="14" t="n"/>
    </row>
    <row r="93" ht="22" customHeight="1">
      <c r="B93" s="18">
        <f>IF(C93="","MD-"&amp;TEXT(COUNTA($C$5:C93),"000"))</f>
        <v/>
      </c>
      <c r="C93" s="11" t="n"/>
      <c r="D93" s="11" t="n"/>
      <c r="E93" s="27" t="n"/>
      <c r="F93" s="11" t="n"/>
      <c r="G93" s="27" t="n"/>
      <c r="H93" s="41">
        <f>IF(OR(E93="",G93=""),"",G93-E93)</f>
        <v/>
      </c>
      <c r="I93" s="11" t="n"/>
      <c r="J93" s="11" t="n"/>
      <c r="K93" s="11" t="n"/>
      <c r="L93" s="11" t="n"/>
    </row>
    <row r="94" ht="22" customHeight="1">
      <c r="B94" s="17">
        <f>IF(C94="","MD-"&amp;TEXT(COUNTA($C$5:C94),"000"))</f>
        <v/>
      </c>
      <c r="C94" s="14" t="n"/>
      <c r="D94" s="14" t="n"/>
      <c r="E94" s="29" t="n"/>
      <c r="F94" s="14" t="n"/>
      <c r="G94" s="29" t="n"/>
      <c r="H94" s="42">
        <f>IF(OR(E94="",G94=""),"",G94-E94)</f>
        <v/>
      </c>
      <c r="I94" s="14" t="n"/>
      <c r="J94" s="14" t="n"/>
      <c r="K94" s="14" t="n"/>
      <c r="L94" s="14" t="n"/>
    </row>
    <row r="95" ht="22" customHeight="1">
      <c r="B95" s="18">
        <f>IF(C95="","MD-"&amp;TEXT(COUNTA($C$5:C95),"000"))</f>
        <v/>
      </c>
      <c r="C95" s="11" t="n"/>
      <c r="D95" s="11" t="n"/>
      <c r="E95" s="27" t="n"/>
      <c r="F95" s="11" t="n"/>
      <c r="G95" s="27" t="n"/>
      <c r="H95" s="41">
        <f>IF(OR(E95="",G95=""),"",G95-E95)</f>
        <v/>
      </c>
      <c r="I95" s="11" t="n"/>
      <c r="J95" s="11" t="n"/>
      <c r="K95" s="11" t="n"/>
      <c r="L95" s="11" t="n"/>
    </row>
    <row r="96" ht="22" customHeight="1">
      <c r="B96" s="17">
        <f>IF(C96="","MD-"&amp;TEXT(COUNTA($C$5:C96),"000"))</f>
        <v/>
      </c>
      <c r="C96" s="14" t="n"/>
      <c r="D96" s="14" t="n"/>
      <c r="E96" s="29" t="n"/>
      <c r="F96" s="14" t="n"/>
      <c r="G96" s="29" t="n"/>
      <c r="H96" s="42">
        <f>IF(OR(E96="",G96=""),"",G96-E96)</f>
        <v/>
      </c>
      <c r="I96" s="14" t="n"/>
      <c r="J96" s="14" t="n"/>
      <c r="K96" s="14" t="n"/>
      <c r="L96" s="14" t="n"/>
    </row>
    <row r="97" ht="22" customHeight="1">
      <c r="B97" s="18">
        <f>IF(C97="","MD-"&amp;TEXT(COUNTA($C$5:C97),"000"))</f>
        <v/>
      </c>
      <c r="C97" s="11" t="n"/>
      <c r="D97" s="11" t="n"/>
      <c r="E97" s="27" t="n"/>
      <c r="F97" s="11" t="n"/>
      <c r="G97" s="27" t="n"/>
      <c r="H97" s="41">
        <f>IF(OR(E97="",G97=""),"",G97-E97)</f>
        <v/>
      </c>
      <c r="I97" s="11" t="n"/>
      <c r="J97" s="11" t="n"/>
      <c r="K97" s="11" t="n"/>
      <c r="L97" s="11" t="n"/>
    </row>
    <row r="98" ht="22" customHeight="1">
      <c r="B98" s="17">
        <f>IF(C98="","MD-"&amp;TEXT(COUNTA($C$5:C98),"000"))</f>
        <v/>
      </c>
      <c r="C98" s="14" t="n"/>
      <c r="D98" s="14" t="n"/>
      <c r="E98" s="29" t="n"/>
      <c r="F98" s="14" t="n"/>
      <c r="G98" s="29" t="n"/>
      <c r="H98" s="42">
        <f>IF(OR(E98="",G98=""),"",G98-E98)</f>
        <v/>
      </c>
      <c r="I98" s="14" t="n"/>
      <c r="J98" s="14" t="n"/>
      <c r="K98" s="14" t="n"/>
      <c r="L98" s="14" t="n"/>
    </row>
    <row r="99" ht="22" customHeight="1">
      <c r="B99" s="18">
        <f>IF(C99="","MD-"&amp;TEXT(COUNTA($C$5:C99),"000"))</f>
        <v/>
      </c>
      <c r="C99" s="11" t="n"/>
      <c r="D99" s="11" t="n"/>
      <c r="E99" s="27" t="n"/>
      <c r="F99" s="11" t="n"/>
      <c r="G99" s="27" t="n"/>
      <c r="H99" s="41">
        <f>IF(OR(E99="",G99=""),"",G99-E99)</f>
        <v/>
      </c>
      <c r="I99" s="11" t="n"/>
      <c r="J99" s="11" t="n"/>
      <c r="K99" s="11" t="n"/>
      <c r="L99" s="11" t="n"/>
    </row>
    <row r="100" ht="22" customHeight="1">
      <c r="B100" s="17">
        <f>IF(C100="","MD-"&amp;TEXT(COUNTA($C$5:C100),"000"))</f>
        <v/>
      </c>
      <c r="C100" s="14" t="n"/>
      <c r="D100" s="14" t="n"/>
      <c r="E100" s="29" t="n"/>
      <c r="F100" s="14" t="n"/>
      <c r="G100" s="29" t="n"/>
      <c r="H100" s="42">
        <f>IF(OR(E100="",G100=""),"",G100-E100)</f>
        <v/>
      </c>
      <c r="I100" s="14" t="n"/>
      <c r="J100" s="14" t="n"/>
      <c r="K100" s="14" t="n"/>
      <c r="L100" s="14" t="n"/>
    </row>
    <row r="101" ht="22" customHeight="1">
      <c r="B101" s="18">
        <f>IF(C101="","MD-"&amp;TEXT(COUNTA($C$5:C101),"000"))</f>
        <v/>
      </c>
      <c r="C101" s="11" t="n"/>
      <c r="D101" s="11" t="n"/>
      <c r="E101" s="27" t="n"/>
      <c r="F101" s="11" t="n"/>
      <c r="G101" s="27" t="n"/>
      <c r="H101" s="41">
        <f>IF(OR(E101="",G101=""),"",G101-E101)</f>
        <v/>
      </c>
      <c r="I101" s="11" t="n"/>
      <c r="J101" s="11" t="n"/>
      <c r="K101" s="11" t="n"/>
      <c r="L101" s="11" t="n"/>
    </row>
    <row r="102" ht="22" customHeight="1">
      <c r="B102" s="17">
        <f>IF(C102="","MD-"&amp;TEXT(COUNTA($C$5:C102),"000"))</f>
        <v/>
      </c>
      <c r="C102" s="14" t="n"/>
      <c r="D102" s="14" t="n"/>
      <c r="E102" s="29" t="n"/>
      <c r="F102" s="14" t="n"/>
      <c r="G102" s="29" t="n"/>
      <c r="H102" s="42">
        <f>IF(OR(E102="",G102=""),"",G102-E102)</f>
        <v/>
      </c>
      <c r="I102" s="14" t="n"/>
      <c r="J102" s="14" t="n"/>
      <c r="K102" s="14" t="n"/>
      <c r="L102" s="14" t="n"/>
    </row>
    <row r="103" ht="22" customHeight="1">
      <c r="B103" s="18">
        <f>IF(C103="","MD-"&amp;TEXT(COUNTA($C$5:C103),"000"))</f>
        <v/>
      </c>
      <c r="C103" s="11" t="n"/>
      <c r="D103" s="11" t="n"/>
      <c r="E103" s="27" t="n"/>
      <c r="F103" s="11" t="n"/>
      <c r="G103" s="27" t="n"/>
      <c r="H103" s="41">
        <f>IF(OR(E103="",G103=""),"",G103-E103)</f>
        <v/>
      </c>
      <c r="I103" s="11" t="n"/>
      <c r="J103" s="11" t="n"/>
      <c r="K103" s="11" t="n"/>
      <c r="L103" s="11" t="n"/>
    </row>
    <row r="104" ht="22" customHeight="1">
      <c r="B104" s="17">
        <f>IF(C104="","MD-"&amp;TEXT(COUNTA($C$5:C104),"000"))</f>
        <v/>
      </c>
      <c r="C104" s="14" t="n"/>
      <c r="D104" s="14" t="n"/>
      <c r="E104" s="29" t="n"/>
      <c r="F104" s="14" t="n"/>
      <c r="G104" s="29" t="n"/>
      <c r="H104" s="42">
        <f>IF(OR(E104="",G104=""),"",G104-E104)</f>
        <v/>
      </c>
      <c r="I104" s="14" t="n"/>
      <c r="J104" s="14" t="n"/>
      <c r="K104" s="14" t="n"/>
      <c r="L104" s="14" t="n"/>
    </row>
    <row r="105" ht="22" customHeight="1">
      <c r="B105" s="18">
        <f>IF(C105="","MD-"&amp;TEXT(COUNTA($C$5:C105),"000"))</f>
        <v/>
      </c>
      <c r="C105" s="11" t="n"/>
      <c r="D105" s="11" t="n"/>
      <c r="E105" s="27" t="n"/>
      <c r="F105" s="11" t="n"/>
      <c r="G105" s="27" t="n"/>
      <c r="H105" s="41">
        <f>IF(OR(E105="",G105=""),"",G105-E105)</f>
        <v/>
      </c>
      <c r="I105" s="11" t="n"/>
      <c r="J105" s="11" t="n"/>
      <c r="K105" s="11" t="n"/>
      <c r="L105" s="11" t="n"/>
    </row>
    <row r="106" ht="22" customHeight="1">
      <c r="B106" s="17">
        <f>IF(C106="","MD-"&amp;TEXT(COUNTA($C$5:C106),"000"))</f>
        <v/>
      </c>
      <c r="C106" s="14" t="n"/>
      <c r="D106" s="14" t="n"/>
      <c r="E106" s="29" t="n"/>
      <c r="F106" s="14" t="n"/>
      <c r="G106" s="29" t="n"/>
      <c r="H106" s="42">
        <f>IF(OR(E106="",G106=""),"",G106-E106)</f>
        <v/>
      </c>
      <c r="I106" s="14" t="n"/>
      <c r="J106" s="14" t="n"/>
      <c r="K106" s="14" t="n"/>
      <c r="L106" s="14" t="n"/>
    </row>
    <row r="107" ht="22" customHeight="1">
      <c r="B107" s="18">
        <f>IF(C107="","MD-"&amp;TEXT(COUNTA($C$5:C107),"000"))</f>
        <v/>
      </c>
      <c r="C107" s="11" t="n"/>
      <c r="D107" s="11" t="n"/>
      <c r="E107" s="27" t="n"/>
      <c r="F107" s="11" t="n"/>
      <c r="G107" s="27" t="n"/>
      <c r="H107" s="41">
        <f>IF(OR(E107="",G107=""),"",G107-E107)</f>
        <v/>
      </c>
      <c r="I107" s="11" t="n"/>
      <c r="J107" s="11" t="n"/>
      <c r="K107" s="11" t="n"/>
      <c r="L107" s="11" t="n"/>
    </row>
    <row r="108" ht="22" customHeight="1">
      <c r="B108" s="17">
        <f>IF(C108="","MD-"&amp;TEXT(COUNTA($C$5:C108),"000"))</f>
        <v/>
      </c>
      <c r="C108" s="14" t="n"/>
      <c r="D108" s="14" t="n"/>
      <c r="E108" s="29" t="n"/>
      <c r="F108" s="14" t="n"/>
      <c r="G108" s="29" t="n"/>
      <c r="H108" s="42">
        <f>IF(OR(E108="",G108=""),"",G108-E108)</f>
        <v/>
      </c>
      <c r="I108" s="14" t="n"/>
      <c r="J108" s="14" t="n"/>
      <c r="K108" s="14" t="n"/>
      <c r="L108" s="14" t="n"/>
    </row>
    <row r="109" ht="22" customHeight="1">
      <c r="B109" s="18">
        <f>IF(C109="","MD-"&amp;TEXT(COUNTA($C$5:C109),"000"))</f>
        <v/>
      </c>
      <c r="C109" s="11" t="n"/>
      <c r="D109" s="11" t="n"/>
      <c r="E109" s="27" t="n"/>
      <c r="F109" s="11" t="n"/>
      <c r="G109" s="27" t="n"/>
      <c r="H109" s="41">
        <f>IF(OR(E109="",G109=""),"",G109-E109)</f>
        <v/>
      </c>
      <c r="I109" s="11" t="n"/>
      <c r="J109" s="11" t="n"/>
      <c r="K109" s="11" t="n"/>
      <c r="L109" s="11" t="n"/>
    </row>
    <row r="110"/>
    <row r="111">
      <c r="B111" s="5" t="inlineStr">
        <is>
          <t>INDICATEURS (mis a jour automatiquement)</t>
        </is>
      </c>
    </row>
    <row r="112">
      <c r="B112" s="3" t="inlineStr">
        <is>
          <t>Dimensions analysees</t>
        </is>
      </c>
      <c r="D112" s="3" t="inlineStr">
        <is>
          <t>Score moyen actuel</t>
        </is>
      </c>
      <c r="F112" s="3" t="inlineStr">
        <is>
          <t>Score moyen cible</t>
        </is>
      </c>
    </row>
    <row r="113">
      <c r="B113" s="4">
        <f>COUNTIF(B5:B104,"&lt;&gt;")</f>
        <v/>
      </c>
      <c r="D113" s="4">
        <f>IFERROR(AVERAGE(E5:E104),0)</f>
        <v/>
      </c>
      <c r="F113" s="4">
        <f>IFERROR(AVERAGE(G5:G104),0)</f>
        <v/>
      </c>
    </row>
  </sheetData>
  <mergeCells count="3">
    <mergeCell ref="B2:L2"/>
    <mergeCell ref="B111:L111"/>
    <mergeCell ref="B3:L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L10:L109">
    <cfRule type="expression" priority="1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'_Lists'!$H$2:$H$6</formula1>
    </dataValidation>
    <dataValidation sqref="F5:F109" showDropDown="0" showInputMessage="0" showErrorMessage="0" allowBlank="1" errorTitle="Erreur" error="Valeur invalide" promptTitle="Liste" prompt="Choisir dans la liste" type="list">
      <formula1>'_Lists'!$H$2:$H$6</formula1>
    </dataValidation>
    <dataValidation sqref="J5:J109" showDropDown="0" showInputMessage="0" showErrorMessage="0" allowBlank="1" errorTitle="Erreur" error="Valeur invalide" promptTitle="Liste" prompt="Choisir dans la liste" type="list">
      <formula1>'_Lists'!$M$2:$M$5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2026-07-07T05:53:22Z</dcterms:created>
  <dcterms:modified xmlns:dcterms="http://purl.org/dc/terms/" xmlns:xsi="http://www.w3.org/2001/XMLSchema-instance" xsi:type="dcterms:W3CDTF">2026-07-09T05:27:01Z</dcterms:modified>
</cp:coreProperties>
</file>