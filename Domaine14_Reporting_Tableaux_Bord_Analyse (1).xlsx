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TdB RH Mensuel DG" sheetId="4" state="visible" r:id="rId4"/>
    <sheet xmlns:r="http://schemas.openxmlformats.org/officeDocument/2006/relationships" name="3-TdB par Service" sheetId="5" state="visible" r:id="rId5"/>
    <sheet xmlns:r="http://schemas.openxmlformats.org/officeDocument/2006/relationships" name="4-Pyramide des Ages" sheetId="6" state="visible" r:id="rId6"/>
    <sheet xmlns:r="http://schemas.openxmlformats.org/officeDocument/2006/relationships" name="5-Analyse Turnover" sheetId="7" state="visible" r:id="rId7"/>
    <sheet xmlns:r="http://schemas.openxmlformats.org/officeDocument/2006/relationships" name="6-Cout du Turnover" sheetId="8" state="visible" r:id="rId8"/>
    <sheet xmlns:r="http://schemas.openxmlformats.org/officeDocument/2006/relationships" name="7-Delai Recrutement" sheetId="9" state="visible" r:id="rId9"/>
    <sheet xmlns:r="http://schemas.openxmlformats.org/officeDocument/2006/relationships" name="8-Analyse Masse Salariale" sheetId="10" state="visible" r:id="rId10"/>
    <sheet xmlns:r="http://schemas.openxmlformats.org/officeDocument/2006/relationships" name="9-Ratio Masse Salariale CA" sheetId="11" state="visible" r:id="rId11"/>
    <sheet xmlns:r="http://schemas.openxmlformats.org/officeDocument/2006/relationships" name="10-Cout Complet Employe" sheetId="12" state="visible" r:id="rId12"/>
    <sheet xmlns:r="http://schemas.openxmlformats.org/officeDocument/2006/relationships" name="11-Bilan Social Annuel" sheetId="13" state="visible" r:id="rId13"/>
    <sheet xmlns:r="http://schemas.openxmlformats.org/officeDocument/2006/relationships" name="12-TdB Previsionnel RH" sheetId="14" state="visible" r:id="rId14"/>
    <sheet xmlns:r="http://schemas.openxmlformats.org/officeDocument/2006/relationships" name="13-Benchmarking RH" sheetId="15" state="visible" r:id="rId15"/>
    <sheet xmlns:r="http://schemas.openxmlformats.org/officeDocument/2006/relationships" name="14-Enquetes Sat. Client Eff.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DD/MM/YYYY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2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2" fontId="8" fillId="4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center" vertical="center"/>
    </xf>
    <xf numFmtId="167" fontId="8" fillId="4" borderId="0" applyAlignment="1" pivotButton="0" quotePrefix="0" xfId="0">
      <alignment horizontal="center" vertical="center"/>
    </xf>
    <xf numFmtId="167" fontId="8" fillId="3" borderId="0" applyAlignment="1" pivotButton="0" quotePrefix="0" xfId="0">
      <alignment horizontal="center" vertical="center"/>
    </xf>
    <xf numFmtId="167" fontId="8" fillId="4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ill>
        <patternFill patternType="solid">
          <fgColor rgb="00FFFD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Masse Salariale Mensuelle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Bord'!$B$16:$B$21</f>
            </numRef>
          </cat>
          <val>
            <numRef>
              <f>'1-Tableau de Bord'!$C$16:$C$21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Effectif par Service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Bord'!$H$24:$H$29</f>
            </numRef>
          </cat>
          <val>
            <numRef>
              <f>'1-Tableau de Bord'!$I$24:$I$29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4">
      <c r="B4" s="36" t="inlineStr">
        <is>
          <t>Matricule</t>
        </is>
      </c>
      <c r="C4" s="36" t="inlineStr">
        <is>
          <t>Civilité</t>
        </is>
      </c>
      <c r="D4" s="36" t="inlineStr">
        <is>
          <t>Nom</t>
        </is>
      </c>
      <c r="E4" s="36" t="inlineStr">
        <is>
          <t>Prénom</t>
        </is>
      </c>
      <c r="F4" s="36" t="inlineStr">
        <is>
          <t>Département</t>
        </is>
      </c>
      <c r="G4" s="36" t="inlineStr">
        <is>
          <t>Poste</t>
        </is>
      </c>
      <c r="H4" s="36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14 — REPORTING, TABLEAUX DE BORD &amp; ANALYSE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Effectif total</t>
        </is>
      </c>
      <c r="E5" s="3" t="inlineStr">
        <is>
          <t>Masse salariale (M)</t>
        </is>
      </c>
      <c r="H5" s="3" t="inlineStr">
        <is>
          <t>Cout turnover</t>
        </is>
      </c>
      <c r="K5" s="3" t="inlineStr">
        <is>
          <t>Delai recrut. moyen</t>
        </is>
      </c>
    </row>
    <row r="6">
      <c r="B6" s="4">
        <f>IFERROR(SUM('4-Pyramide des Ages'!F5:F9),0)</f>
        <v/>
      </c>
      <c r="E6" s="5">
        <f>IFERROR(SUM('8-Analyse Masse Salariale'!J5:J10)/1000000,0)</f>
        <v/>
      </c>
      <c r="H6" s="5">
        <f>IFERROR(SUM('6-Cout du Turnover'!L5:L8)/1000000,0)</f>
        <v/>
      </c>
      <c r="K6" s="4">
        <f>IFERROR(AVERAGE('7-Delai Recrutement'!J5:J8),0)</f>
        <v/>
      </c>
    </row>
    <row r="9">
      <c r="B9" s="3" t="inlineStr">
        <is>
          <t>Turnover YTD</t>
        </is>
      </c>
      <c r="E9" s="3" t="inlineStr">
        <is>
          <t>Ratio MS/CA moyen</t>
        </is>
      </c>
      <c r="H9" s="3" t="inlineStr">
        <is>
          <t>Satisfaction client moy.</t>
        </is>
      </c>
      <c r="K9" s="3" t="inlineStr">
        <is>
          <t>Indicateurs previsionnels</t>
        </is>
      </c>
    </row>
    <row r="10">
      <c r="B10" s="6">
        <f>IFERROR(AVERAGE('5-Analyse Turnover'!I5:I10),0)</f>
        <v/>
      </c>
      <c r="E10" s="6">
        <f>IFERROR(AVERAGE('9-Ratio Masse Salariale CA'!F5:F10),0)</f>
        <v/>
      </c>
      <c r="H10" s="7">
        <f>IFERROR(AVERAGE('14-Enquetes Sat. Client Eff.'!E5:E10),0)</f>
        <v/>
      </c>
      <c r="K10" s="4">
        <f>COUNTIF('12-TdB Previsionnel RH'!B5:B104,"&lt;&gt;")</f>
        <v/>
      </c>
    </row>
    <row r="14">
      <c r="B14" s="8" t="inlineStr">
        <is>
          <t>MASSE SALARIALE PAR MOIS &amp; EFFECTIF PAR SERVICE</t>
        </is>
      </c>
    </row>
    <row r="15" ht="15" customHeight="1">
      <c r="B15" s="3" t="inlineStr">
        <is>
          <t>Mois</t>
        </is>
      </c>
      <c r="C15" s="3" t="inlineStr">
        <is>
          <t>Masse Salariale (M FCFA)</t>
        </is>
      </c>
    </row>
    <row r="16" ht="15" customHeight="1">
      <c r="B16" s="9" t="inlineStr">
        <is>
          <t>Janvier</t>
        </is>
      </c>
      <c r="C16" s="10">
        <f>IFERROR(INDEX('8-Analyse Masse Salariale'!J:J,MATCH("Janvier",'8-Analyse Masse Salariale'!C:C,0)),0)/1000000</f>
        <v/>
      </c>
    </row>
    <row r="17" ht="15" customHeight="1">
      <c r="B17" s="9" t="inlineStr">
        <is>
          <t>Fevrier</t>
        </is>
      </c>
      <c r="C17" s="10">
        <f>IFERROR(INDEX('8-Analyse Masse Salariale'!J:J,MATCH("Fevrier",'8-Analyse Masse Salariale'!C:C,0)),0)/1000000</f>
        <v/>
      </c>
    </row>
    <row r="18" ht="15" customHeight="1">
      <c r="B18" s="9" t="inlineStr">
        <is>
          <t>Mars</t>
        </is>
      </c>
      <c r="C18" s="10">
        <f>IFERROR(INDEX('8-Analyse Masse Salariale'!J:J,MATCH("Mars",'8-Analyse Masse Salariale'!C:C,0)),0)/1000000</f>
        <v/>
      </c>
    </row>
    <row r="19" ht="15" customHeight="1">
      <c r="B19" s="9" t="inlineStr">
        <is>
          <t>Avril</t>
        </is>
      </c>
      <c r="C19" s="10">
        <f>IFERROR(INDEX('8-Analyse Masse Salariale'!J:J,MATCH("Avril",'8-Analyse Masse Salariale'!C:C,0)),0)/1000000</f>
        <v/>
      </c>
    </row>
    <row r="20" ht="15" customHeight="1">
      <c r="B20" s="9" t="inlineStr">
        <is>
          <t>Mai</t>
        </is>
      </c>
      <c r="C20" s="10">
        <f>IFERROR(INDEX('8-Analyse Masse Salariale'!J:J,MATCH("Mai",'8-Analyse Masse Salariale'!C:C,0)),0)/1000000</f>
        <v/>
      </c>
    </row>
    <row r="21" ht="15" customHeight="1">
      <c r="B21" s="9" t="inlineStr">
        <is>
          <t>Juin</t>
        </is>
      </c>
      <c r="C21" s="10">
        <f>IFERROR(INDEX('8-Analyse Masse Salariale'!J:J,MATCH("Juin",'8-Analyse Masse Salariale'!C:C,0)),0)/1000000</f>
        <v/>
      </c>
    </row>
    <row r="22" ht="15" customHeight="1"/>
    <row r="23" ht="15" customHeight="1">
      <c r="H23" s="3" t="inlineStr">
        <is>
          <t>Service</t>
        </is>
      </c>
      <c r="I23" s="3" t="inlineStr">
        <is>
          <t>Effectif</t>
        </is>
      </c>
    </row>
    <row r="24" ht="15" customHeight="1">
      <c r="H24" s="9" t="inlineStr">
        <is>
          <t>Direction Generale</t>
        </is>
      </c>
      <c r="I24" s="11">
        <f>IFERROR(INDEX('3-TdB par Service'!D:D,MATCH("Direction Generale",'3-TdB par Service'!C:C,0)),0)</f>
        <v/>
      </c>
    </row>
    <row r="25" ht="15" customHeight="1">
      <c r="H25" s="9" t="inlineStr">
        <is>
          <t>Service Client</t>
        </is>
      </c>
      <c r="I25" s="11">
        <f>IFERROR(INDEX('3-TdB par Service'!D:D,MATCH("Service Client",'3-TdB par Service'!C:C,0)),0)</f>
        <v/>
      </c>
    </row>
    <row r="26" ht="15" customHeight="1">
      <c r="H26" s="9" t="inlineStr">
        <is>
          <t>Réception &amp; Front Office</t>
        </is>
      </c>
      <c r="I26" s="11">
        <f>IFERROR(INDEX('3-TdB par Service'!D:D,MATCH("Réception &amp; Front Office",'3-TdB par Service'!C:C,0)),0)</f>
        <v/>
      </c>
    </row>
    <row r="27" ht="15" customHeight="1">
      <c r="H27" s="9" t="inlineStr">
        <is>
          <t>Cuisine &amp; Restauration</t>
        </is>
      </c>
      <c r="I27" s="11">
        <f>IFERROR(INDEX('3-TdB par Service'!D:D,MATCH("Cuisine &amp; Restauration",'3-TdB par Service'!C:C,0)),0)</f>
        <v/>
      </c>
    </row>
    <row r="28" ht="15" customHeight="1">
      <c r="H28" s="9" t="inlineStr">
        <is>
          <t>Maintenance</t>
        </is>
      </c>
      <c r="I28" s="11">
        <f>IFERROR(INDEX('3-TdB par Service'!D:D,MATCH("Maintenance",'3-TdB par Service'!C:C,0)),0)</f>
        <v/>
      </c>
    </row>
    <row r="29" ht="15" customHeight="1">
      <c r="H29" s="9" t="inlineStr">
        <is>
          <t>Sécurité</t>
        </is>
      </c>
      <c r="I29" s="11">
        <f>IFERROR(INDEX('3-TdB par Service'!D:D,MATCH("Sécurité",'3-TdB par Service'!C:C,0)),0)</f>
        <v/>
      </c>
    </row>
  </sheetData>
  <mergeCells count="19">
    <mergeCell ref="H10:I10"/>
    <mergeCell ref="B3:L3"/>
    <mergeCell ref="K9:L9"/>
    <mergeCell ref="E5:F5"/>
    <mergeCell ref="K5:L5"/>
    <mergeCell ref="H9:I9"/>
    <mergeCell ref="H6:I6"/>
    <mergeCell ref="E10:F10"/>
    <mergeCell ref="B2:L2"/>
    <mergeCell ref="B14:L14"/>
    <mergeCell ref="E9:F9"/>
    <mergeCell ref="E6:F6"/>
    <mergeCell ref="B10:C10"/>
    <mergeCell ref="B9:C9"/>
    <mergeCell ref="B6:C6"/>
    <mergeCell ref="B5:C5"/>
    <mergeCell ref="K10:L10"/>
    <mergeCell ref="H5:I5"/>
    <mergeCell ref="K6:L6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9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departement</t>
        </is>
      </c>
      <c r="C1" s="12" t="inlineStr">
        <is>
          <t>poste_hotel</t>
        </is>
      </c>
      <c r="D1" s="12" t="inlineStr">
        <is>
          <t>categorie_pro</t>
        </is>
      </c>
      <c r="E1" s="12" t="inlineStr">
        <is>
          <t>genre</t>
        </is>
      </c>
      <c r="F1" s="12" t="inlineStr">
        <is>
          <t>mois</t>
        </is>
      </c>
      <c r="G1" s="12" t="inlineStr">
        <is>
          <t>annee</t>
        </is>
      </c>
      <c r="H1" s="12" t="inlineStr">
        <is>
          <t>tranche_age</t>
        </is>
      </c>
      <c r="I1" s="12" t="inlineStr">
        <is>
          <t>type_indicateur</t>
        </is>
      </c>
      <c r="J1" s="12" t="inlineStr">
        <is>
          <t>statut_rapport</t>
        </is>
      </c>
      <c r="K1" s="12" t="inlineStr">
        <is>
          <t>statut_benchmark</t>
        </is>
      </c>
      <c r="L1" s="12" t="inlineStr">
        <is>
          <t>motif_depart</t>
        </is>
      </c>
      <c r="M1" s="12" t="inlineStr">
        <is>
          <t>statut_recrutement</t>
        </is>
      </c>
      <c r="N1" s="12" t="inlineStr">
        <is>
          <t>source_candidat</t>
        </is>
      </c>
      <c r="O1" s="12" t="inlineStr">
        <is>
          <t>statut_action</t>
        </is>
      </c>
      <c r="P1" t="inlineStr">
        <is>
          <t>tendance</t>
        </is>
      </c>
      <c r="Q1" t="inlineStr">
        <is>
          <t>unite_indicateur</t>
        </is>
      </c>
      <c r="R1" t="inlineStr">
        <is>
          <t>positionnement</t>
        </is>
      </c>
    </row>
    <row r="2">
      <c r="B2" s="13" t="inlineStr">
        <is>
          <t>Direction Générale</t>
        </is>
      </c>
      <c r="C2" s="13" t="inlineStr">
        <is>
          <t>DG</t>
        </is>
      </c>
      <c r="D2" s="13" t="inlineStr">
        <is>
          <t>Cadre dirigeant</t>
        </is>
      </c>
      <c r="E2" s="13" t="inlineStr">
        <is>
          <t>Homme</t>
        </is>
      </c>
      <c r="F2" s="13" t="inlineStr">
        <is>
          <t>Janvier</t>
        </is>
      </c>
      <c r="G2" s="13" t="inlineStr">
        <is>
          <t>2024</t>
        </is>
      </c>
      <c r="H2" s="13" t="inlineStr">
        <is>
          <t>18-25 ans</t>
        </is>
      </c>
      <c r="I2" s="13" t="inlineStr">
        <is>
          <t>Effectif</t>
        </is>
      </c>
      <c r="J2" s="13" t="inlineStr">
        <is>
          <t>En cours</t>
        </is>
      </c>
      <c r="K2" s="13" t="inlineStr">
        <is>
          <t>En cours</t>
        </is>
      </c>
      <c r="L2" s="13" t="inlineStr">
        <is>
          <t>Demission</t>
        </is>
      </c>
      <c r="M2" s="13" t="inlineStr">
        <is>
          <t>En cours</t>
        </is>
      </c>
      <c r="N2" s="13" t="inlineStr">
        <is>
          <t>Candidature spontanee</t>
        </is>
      </c>
      <c r="O2" s="13" t="inlineStr">
        <is>
          <t>Planifiee</t>
        </is>
      </c>
      <c r="P2" t="inlineStr">
        <is>
          <t>Hausse</t>
        </is>
      </c>
      <c r="Q2" t="inlineStr">
        <is>
          <t>%</t>
        </is>
      </c>
      <c r="R2" t="inlineStr">
        <is>
          <t>Au-dessus</t>
        </is>
      </c>
    </row>
    <row r="3">
      <c r="B3" s="13" t="inlineStr">
        <is>
          <t>Service Client</t>
        </is>
      </c>
      <c r="C3" s="13" t="inlineStr">
        <is>
          <t>DRH</t>
        </is>
      </c>
      <c r="D3" s="13" t="inlineStr">
        <is>
          <t>Cadre</t>
        </is>
      </c>
      <c r="E3" s="13" t="inlineStr">
        <is>
          <t>Femme</t>
        </is>
      </c>
      <c r="F3" s="13" t="inlineStr">
        <is>
          <t>Fevrier</t>
        </is>
      </c>
      <c r="G3" s="13" t="inlineStr">
        <is>
          <t>2025</t>
        </is>
      </c>
      <c r="H3" s="13" t="inlineStr">
        <is>
          <t>26-35 ans</t>
        </is>
      </c>
      <c r="I3" s="13" t="inlineStr">
        <is>
          <t>Turnover</t>
        </is>
      </c>
      <c r="J3" s="13" t="inlineStr">
        <is>
          <t>Termine</t>
        </is>
      </c>
      <c r="K3" s="13" t="inlineStr">
        <is>
          <t>Termine</t>
        </is>
      </c>
      <c r="L3" s="13" t="inlineStr">
        <is>
          <t>Licenciement</t>
        </is>
      </c>
      <c r="M3" s="13" t="inlineStr">
        <is>
          <t>Pourvu</t>
        </is>
      </c>
      <c r="N3" s="13" t="inlineStr">
        <is>
          <t>Site emploi</t>
        </is>
      </c>
      <c r="O3" s="13" t="inlineStr">
        <is>
          <t>En cours</t>
        </is>
      </c>
      <c r="P3" t="inlineStr">
        <is>
          <t>Baisse</t>
        </is>
      </c>
      <c r="Q3" t="inlineStr">
        <is>
          <t>FCFA</t>
        </is>
      </c>
      <c r="R3" t="inlineStr">
        <is>
          <t>Dans la moyenne</t>
        </is>
      </c>
    </row>
    <row r="4">
      <c r="B4" s="13" t="inlineStr">
        <is>
          <t>Finance &amp; Comptabilité</t>
        </is>
      </c>
      <c r="C4" s="13" t="inlineStr">
        <is>
          <t>Assistante RH</t>
        </is>
      </c>
      <c r="D4" s="13" t="inlineStr">
        <is>
          <t>Agent de maitrise</t>
        </is>
      </c>
      <c r="F4" s="13" t="inlineStr">
        <is>
          <t>Mars</t>
        </is>
      </c>
      <c r="G4" s="13" t="inlineStr">
        <is>
          <t>2026</t>
        </is>
      </c>
      <c r="H4" s="13" t="inlineStr">
        <is>
          <t>36-45 ans</t>
        </is>
      </c>
      <c r="I4" s="13" t="inlineStr">
        <is>
          <t>Absentéisme</t>
        </is>
      </c>
      <c r="J4" s="13" t="inlineStr">
        <is>
          <t>En attente validation</t>
        </is>
      </c>
      <c r="K4" s="13" t="inlineStr">
        <is>
          <t>En attente donnees</t>
        </is>
      </c>
      <c r="L4" s="13" t="inlineStr">
        <is>
          <t>Fin CDD</t>
        </is>
      </c>
      <c r="M4" s="13" t="inlineStr">
        <is>
          <t>Annule</t>
        </is>
      </c>
      <c r="N4" s="13" t="inlineStr">
        <is>
          <t>Recommandation</t>
        </is>
      </c>
      <c r="O4" s="13" t="inlineStr">
        <is>
          <t>Terminee</t>
        </is>
      </c>
      <c r="P4" t="inlineStr">
        <is>
          <t>Stable</t>
        </is>
      </c>
      <c r="Q4" t="inlineStr">
        <is>
          <t>M FCFA</t>
        </is>
      </c>
      <c r="R4" t="inlineStr">
        <is>
          <t>En dessous</t>
        </is>
      </c>
    </row>
    <row r="5">
      <c r="B5" s="13" t="inlineStr">
        <is>
          <t>Marketing &amp; Communication</t>
        </is>
      </c>
      <c r="C5" s="13" t="inlineStr">
        <is>
          <t>DAF</t>
        </is>
      </c>
      <c r="D5" s="13" t="inlineStr">
        <is>
          <t>Employe</t>
        </is>
      </c>
      <c r="F5" s="13" t="inlineStr">
        <is>
          <t>Avril</t>
        </is>
      </c>
      <c r="H5" s="13" t="inlineStr">
        <is>
          <t>46-55 ans</t>
        </is>
      </c>
      <c r="I5" s="13" t="inlineStr">
        <is>
          <t>Formation</t>
        </is>
      </c>
      <c r="J5" s="13" t="inlineStr">
        <is>
          <t>Valide</t>
        </is>
      </c>
      <c r="K5" s="13" t="inlineStr">
        <is>
          <t>Non comparable</t>
        </is>
      </c>
      <c r="L5" s="13" t="inlineStr">
        <is>
          <t>Depart retraite</t>
        </is>
      </c>
      <c r="M5" s="13" t="inlineStr">
        <is>
          <t>Reporte</t>
        </is>
      </c>
      <c r="N5" s="13" t="inlineStr">
        <is>
          <t>Reseau social</t>
        </is>
      </c>
      <c r="O5" s="13" t="inlineStr">
        <is>
          <t>Reportee</t>
        </is>
      </c>
      <c r="Q5" t="inlineStr">
        <is>
          <t>jours</t>
        </is>
      </c>
      <c r="R5" t="inlineStr">
        <is>
          <t>Leader</t>
        </is>
      </c>
    </row>
    <row r="6">
      <c r="B6" s="13" t="inlineStr">
        <is>
          <t>Maintenance</t>
        </is>
      </c>
      <c r="C6" s="13" t="inlineStr">
        <is>
          <t>Comptable senior</t>
        </is>
      </c>
      <c r="D6" s="13" t="inlineStr">
        <is>
          <t>Stagiaire</t>
        </is>
      </c>
      <c r="F6" s="13" t="inlineStr">
        <is>
          <t>Mai</t>
        </is>
      </c>
      <c r="H6" s="13" t="inlineStr">
        <is>
          <t>56 ans et +</t>
        </is>
      </c>
      <c r="I6" s="13" t="inlineStr">
        <is>
          <t>Paie</t>
        </is>
      </c>
      <c r="J6" s="13" t="inlineStr">
        <is>
          <t>Diffuse</t>
        </is>
      </c>
      <c r="K6" s="13" t="inlineStr">
        <is>
          <t>Differe</t>
        </is>
      </c>
      <c r="L6" s="13" t="inlineStr">
        <is>
          <t>Mutation interne</t>
        </is>
      </c>
      <c r="M6" s="13" t="inlineStr">
        <is>
          <t>En attente validation</t>
        </is>
      </c>
      <c r="N6" s="13" t="inlineStr">
        <is>
          <t>Presse</t>
        </is>
      </c>
      <c r="O6" s="13" t="inlineStr">
        <is>
          <t>Annulee</t>
        </is>
      </c>
      <c r="Q6" t="inlineStr">
        <is>
          <t>heures</t>
        </is>
      </c>
      <c r="R6" t="inlineStr">
        <is>
          <t>Très en dessous</t>
        </is>
      </c>
    </row>
    <row r="7">
      <c r="B7" s="13" t="inlineStr">
        <is>
          <t>Commercial</t>
        </is>
      </c>
      <c r="C7" s="13" t="inlineStr">
        <is>
          <t>Chef Comptable</t>
        </is>
      </c>
      <c r="F7" s="13" t="inlineStr">
        <is>
          <t>Juin</t>
        </is>
      </c>
      <c r="I7" s="13" t="inlineStr">
        <is>
          <t>Recrutement</t>
        </is>
      </c>
      <c r="J7" s="13" t="inlineStr">
        <is>
          <t>Archive</t>
        </is>
      </c>
      <c r="L7" s="13" t="inlineStr">
        <is>
          <t>Resiliation amiable</t>
        </is>
      </c>
      <c r="N7" s="13" t="inlineStr">
        <is>
          <t>Cabinet recrutement</t>
        </is>
      </c>
      <c r="Q7" t="inlineStr">
        <is>
          <t>heures/employé/an</t>
        </is>
      </c>
    </row>
    <row r="8">
      <c r="B8" s="13" t="inlineStr">
        <is>
          <t>Logistique &amp; Approvisionnement</t>
        </is>
      </c>
      <c r="C8" s="13" t="inlineStr">
        <is>
          <t>Chef Marketing</t>
        </is>
      </c>
      <c r="F8" s="13" t="inlineStr">
        <is>
          <t>Juillet</t>
        </is>
      </c>
      <c r="I8" s="13" t="inlineStr">
        <is>
          <t>Performance</t>
        </is>
      </c>
      <c r="L8" s="13" t="inlineStr">
        <is>
          <t>Abandon de poste</t>
        </is>
      </c>
      <c r="N8" s="13" t="inlineStr">
        <is>
          <t>Interne (promotion)</t>
        </is>
      </c>
      <c r="Q8" t="inlineStr">
        <is>
          <t>ratio</t>
        </is>
      </c>
    </row>
    <row r="9">
      <c r="B9" s="13" t="inlineStr">
        <is>
          <t>Cuisine &amp; Restauration</t>
        </is>
      </c>
      <c r="C9" s="13" t="inlineStr">
        <is>
          <t>Chef de service IT</t>
        </is>
      </c>
      <c r="F9" s="13" t="inlineStr">
        <is>
          <t>Aout</t>
        </is>
      </c>
      <c r="I9" s="13" t="inlineStr">
        <is>
          <t>Cout RH</t>
        </is>
      </c>
      <c r="L9" s="13" t="inlineStr">
        <is>
          <t>Autre</t>
        </is>
      </c>
      <c r="N9" s="13" t="inlineStr">
        <is>
          <t>Autre</t>
        </is>
      </c>
      <c r="Q9" t="inlineStr">
        <is>
          <t>note /5</t>
        </is>
      </c>
    </row>
    <row r="10">
      <c r="B10" s="13" t="inlineStr">
        <is>
          <t>Réception &amp; Front Office</t>
        </is>
      </c>
      <c r="C10" s="13" t="inlineStr">
        <is>
          <t>Technicien IT</t>
        </is>
      </c>
      <c r="F10" s="13" t="inlineStr">
        <is>
          <t>Septembre</t>
        </is>
      </c>
      <c r="I10" s="13" t="inlineStr">
        <is>
          <t>Satisfaction</t>
        </is>
      </c>
      <c r="Q10" t="inlineStr">
        <is>
          <t>note /10</t>
        </is>
      </c>
    </row>
    <row r="11">
      <c r="B11" s="13" t="inlineStr">
        <is>
          <t>Sécurité</t>
        </is>
      </c>
      <c r="C11" s="13" t="inlineStr">
        <is>
          <t>Chef Commercial</t>
        </is>
      </c>
      <c r="F11" s="13" t="inlineStr">
        <is>
          <t>Octobre</t>
        </is>
      </c>
      <c r="I11" s="13" t="inlineStr">
        <is>
          <t>Conformite</t>
        </is>
      </c>
      <c r="Q11" t="inlineStr">
        <is>
          <t>nb</t>
        </is>
      </c>
    </row>
    <row r="12">
      <c r="B12" s="13" t="inlineStr">
        <is>
          <t>Étage &amp; Housekeeping</t>
        </is>
      </c>
      <c r="C12" s="13" t="inlineStr">
        <is>
          <t>Agent Commercial</t>
        </is>
      </c>
      <c r="F12" s="13" t="inlineStr">
        <is>
          <t>Novembre</t>
        </is>
      </c>
      <c r="I12" s="13" t="inlineStr">
        <is>
          <t>Diversite</t>
        </is>
      </c>
    </row>
    <row r="13">
      <c r="B13" s="13" t="n"/>
      <c r="C13" s="13" t="inlineStr">
        <is>
          <t>Chef Logistique</t>
        </is>
      </c>
      <c r="F13" s="13" t="inlineStr">
        <is>
          <t>Decembre</t>
        </is>
      </c>
      <c r="I13" s="13" t="inlineStr">
        <is>
          <t>Autre</t>
        </is>
      </c>
    </row>
    <row r="14">
      <c r="B14" s="13" t="n"/>
      <c r="C14" s="13" t="inlineStr">
        <is>
          <t>Magasinier</t>
        </is>
      </c>
    </row>
    <row r="15">
      <c r="C15" s="13" t="inlineStr">
        <is>
          <t>Chef Reception</t>
        </is>
      </c>
    </row>
    <row r="16">
      <c r="C16" s="13" t="inlineStr">
        <is>
          <t>Receptionniste</t>
        </is>
      </c>
    </row>
    <row r="17">
      <c r="C17" s="13" t="inlineStr">
        <is>
          <t>Concierge</t>
        </is>
      </c>
    </row>
    <row r="18">
      <c r="C18" s="13" t="inlineStr">
        <is>
          <t>Chef Cuisine</t>
        </is>
      </c>
    </row>
    <row r="19">
      <c r="C19" s="13" t="inlineStr">
        <is>
          <t>Sous-Chef</t>
        </is>
      </c>
    </row>
    <row r="20">
      <c r="C20" s="13" t="inlineStr">
        <is>
          <t>Cuisinier</t>
        </is>
      </c>
    </row>
    <row r="21">
      <c r="C21" s="13" t="inlineStr">
        <is>
          <t>Plongeur</t>
        </is>
      </c>
    </row>
    <row r="22">
      <c r="C22" s="13" t="inlineStr">
        <is>
          <t>Chef Entretien</t>
        </is>
      </c>
    </row>
    <row r="23">
      <c r="C23" s="13" t="inlineStr">
        <is>
          <t>Agent Entretien</t>
        </is>
      </c>
    </row>
    <row r="24">
      <c r="C24" s="13" t="inlineStr">
        <is>
          <t>Chef Securite</t>
        </is>
      </c>
    </row>
    <row r="25">
      <c r="C25" s="13" t="inlineStr">
        <is>
          <t>Agent Securite</t>
        </is>
      </c>
    </row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18" customWidth="1" min="4" max="4"/>
    <col width="12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 ht="15" customHeight="1"/>
    <row r="2" ht="32" customHeight="1">
      <c r="B2" s="1" t="inlineStr">
        <is>
          <t>TdB RH MENSUEL — DIRECTION GENERALE (#136)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Indicateur</t>
        </is>
      </c>
      <c r="D4" s="14" t="inlineStr">
        <is>
          <t>Type Indicateur</t>
        </is>
      </c>
      <c r="E4" s="14" t="inlineStr">
        <is>
          <t>Mois</t>
        </is>
      </c>
      <c r="F4" s="14" t="inlineStr">
        <is>
          <t>Annee</t>
        </is>
      </c>
      <c r="G4" s="14" t="inlineStr">
        <is>
          <t>Valeur</t>
        </is>
      </c>
      <c r="H4" s="14" t="inlineStr">
        <is>
          <t>Objectif</t>
        </is>
      </c>
      <c r="I4" s="14" t="inlineStr">
        <is>
          <t>Ecart</t>
        </is>
      </c>
      <c r="J4" s="14" t="inlineStr">
        <is>
          <t>Tendance</t>
        </is>
      </c>
      <c r="K4" s="14" t="inlineStr">
        <is>
          <t>Statut</t>
        </is>
      </c>
    </row>
    <row r="5" ht="22" customHeight="1">
      <c r="B5" s="15" t="inlineStr">
        <is>
          <t>TDB-001</t>
        </is>
      </c>
      <c r="C5" s="15" t="inlineStr">
        <is>
          <t>Effectif total</t>
        </is>
      </c>
      <c r="D5" s="15" t="inlineStr">
        <is>
          <t>Effectif</t>
        </is>
      </c>
      <c r="E5" s="15" t="inlineStr">
        <is>
          <t>Juin</t>
        </is>
      </c>
      <c r="F5" s="15" t="inlineStr">
        <is>
          <t>2025</t>
        </is>
      </c>
      <c r="G5" s="16" t="n">
        <v>89</v>
      </c>
      <c r="H5" s="16" t="n">
        <v>92</v>
      </c>
      <c r="I5" s="16" t="n"/>
      <c r="J5" s="15" t="n"/>
      <c r="K5" s="15" t="inlineStr">
        <is>
          <t>En cours</t>
        </is>
      </c>
    </row>
    <row r="6" ht="22" customHeight="1">
      <c r="B6" s="17" t="inlineStr">
        <is>
          <t>TDB-002</t>
        </is>
      </c>
      <c r="C6" s="17" t="inlineStr">
        <is>
          <t>Taux turnover mensuel</t>
        </is>
      </c>
      <c r="D6" s="17" t="inlineStr">
        <is>
          <t>Turnover</t>
        </is>
      </c>
      <c r="E6" s="17" t="inlineStr">
        <is>
          <t>Juin</t>
        </is>
      </c>
      <c r="F6" s="17" t="inlineStr">
        <is>
          <t>2025</t>
        </is>
      </c>
      <c r="G6" s="18" t="n">
        <v>0.022</v>
      </c>
      <c r="H6" s="18" t="n">
        <v>0.025</v>
      </c>
      <c r="I6" s="18" t="n"/>
      <c r="J6" s="17" t="n"/>
      <c r="K6" s="17" t="inlineStr">
        <is>
          <t>En cours</t>
        </is>
      </c>
    </row>
    <row r="7" ht="22" customHeight="1">
      <c r="B7" s="15" t="inlineStr">
        <is>
          <t>TDB-003</t>
        </is>
      </c>
      <c r="C7" s="15" t="inlineStr">
        <is>
          <t>Taux absentéisme</t>
        </is>
      </c>
      <c r="D7" s="15" t="inlineStr">
        <is>
          <t>Absentéisme</t>
        </is>
      </c>
      <c r="E7" s="15" t="inlineStr">
        <is>
          <t>Juin</t>
        </is>
      </c>
      <c r="F7" s="15" t="inlineStr">
        <is>
          <t>2025</t>
        </is>
      </c>
      <c r="G7" s="16" t="n">
        <v>0.038</v>
      </c>
      <c r="H7" s="16" t="n">
        <v>0.03</v>
      </c>
      <c r="I7" s="16" t="n"/>
      <c r="J7" s="15" t="n"/>
      <c r="K7" s="15" t="inlineStr">
        <is>
          <t>En cours</t>
        </is>
      </c>
    </row>
    <row r="8" ht="22" customHeight="1">
      <c r="B8" s="17" t="inlineStr">
        <is>
          <t>TDB-004</t>
        </is>
      </c>
      <c r="C8" s="17" t="inlineStr">
        <is>
          <t>Heures formation / employe</t>
        </is>
      </c>
      <c r="D8" s="17" t="inlineStr">
        <is>
          <t>Formation</t>
        </is>
      </c>
      <c r="E8" s="17" t="inlineStr">
        <is>
          <t>Juin</t>
        </is>
      </c>
      <c r="F8" s="17" t="inlineStr">
        <is>
          <t>2025</t>
        </is>
      </c>
      <c r="G8" s="18" t="n">
        <v>4.5</v>
      </c>
      <c r="H8" s="18" t="n">
        <v>6</v>
      </c>
      <c r="I8" s="18" t="n"/>
      <c r="J8" s="17" t="n"/>
      <c r="K8" s="17" t="inlineStr">
        <is>
          <t>En cours</t>
        </is>
      </c>
    </row>
    <row r="9" ht="22" customHeight="1">
      <c r="B9" s="15" t="inlineStr">
        <is>
          <t>TDB-005</t>
        </is>
      </c>
      <c r="C9" s="15" t="inlineStr">
        <is>
          <t>Masse salariale (M FCFA)</t>
        </is>
      </c>
      <c r="D9" s="15" t="inlineStr">
        <is>
          <t>Paie</t>
        </is>
      </c>
      <c r="E9" s="15" t="inlineStr">
        <is>
          <t>Juin</t>
        </is>
      </c>
      <c r="F9" s="15" t="inlineStr">
        <is>
          <t>2025</t>
        </is>
      </c>
      <c r="G9" s="16" t="n">
        <v>28.5</v>
      </c>
      <c r="H9" s="16" t="n">
        <v>30</v>
      </c>
      <c r="I9" s="16" t="n"/>
      <c r="J9" s="15" t="n"/>
      <c r="K9" s="15" t="inlineStr">
        <is>
          <t>En cours</t>
        </is>
      </c>
    </row>
    <row r="10" ht="22" customHeight="1">
      <c r="B10" s="17" t="inlineStr">
        <is>
          <t>TDB-006</t>
        </is>
      </c>
      <c r="C10" s="17" t="inlineStr">
        <is>
          <t>Delai moyen recrutement (j)</t>
        </is>
      </c>
      <c r="D10" s="17" t="inlineStr">
        <is>
          <t>Recrutement</t>
        </is>
      </c>
      <c r="E10" s="17" t="inlineStr">
        <is>
          <t>Juin</t>
        </is>
      </c>
      <c r="F10" s="17" t="inlineStr">
        <is>
          <t>2025</t>
        </is>
      </c>
      <c r="G10" s="18" t="n">
        <v>28</v>
      </c>
      <c r="H10" s="18" t="n">
        <v>21</v>
      </c>
      <c r="I10" s="18" t="n"/>
      <c r="J10" s="17" t="n"/>
      <c r="K10" s="17" t="inlineStr">
        <is>
          <t>En cours</t>
        </is>
      </c>
    </row>
    <row r="11" ht="22" customHeight="1">
      <c r="B11" s="15" t="inlineStr">
        <is>
          <t>TDB-007</t>
        </is>
      </c>
      <c r="C11" s="15" t="inlineStr">
        <is>
          <t>Nb postes vacants</t>
        </is>
      </c>
      <c r="D11" s="15" t="inlineStr">
        <is>
          <t>Recrutement</t>
        </is>
      </c>
      <c r="E11" s="15" t="inlineStr">
        <is>
          <t>Juin</t>
        </is>
      </c>
      <c r="F11" s="15" t="inlineStr">
        <is>
          <t>2025</t>
        </is>
      </c>
      <c r="G11" s="16" t="n">
        <v>4</v>
      </c>
      <c r="H11" s="16" t="n">
        <v>2</v>
      </c>
      <c r="I11" s="16" t="n"/>
      <c r="J11" s="15" t="n"/>
      <c r="K11" s="15" t="inlineStr">
        <is>
          <t>En cours</t>
        </is>
      </c>
    </row>
    <row r="12" ht="22" customHeight="1">
      <c r="B12" s="17" t="inlineStr">
        <is>
          <t>TDB-008</t>
        </is>
      </c>
      <c r="C12" s="17" t="inlineStr">
        <is>
          <t>Taux satisfaction employes</t>
        </is>
      </c>
      <c r="D12" s="17" t="inlineStr">
        <is>
          <t>Satisfaction</t>
        </is>
      </c>
      <c r="E12" s="17" t="inlineStr">
        <is>
          <t>Juin</t>
        </is>
      </c>
      <c r="F12" s="17" t="inlineStr">
        <is>
          <t>2025</t>
        </is>
      </c>
      <c r="G12" s="18" t="n">
        <v>0.72</v>
      </c>
      <c r="H12" s="18" t="n">
        <v>0.8</v>
      </c>
      <c r="I12" s="18" t="n"/>
      <c r="J12" s="17" t="n"/>
      <c r="K12" s="17" t="inlineStr">
        <is>
          <t>En cours</t>
        </is>
      </c>
    </row>
    <row r="13" ht="22" customHeight="1">
      <c r="B13" s="19">
        <f>IF(C13="","TDB-"&amp;TEXT(COUNTA($C$5:C13),"000"))</f>
        <v/>
      </c>
      <c r="C13" s="15" t="n"/>
      <c r="D13" s="15" t="n"/>
      <c r="E13" s="15" t="n"/>
      <c r="F13" s="15" t="n"/>
      <c r="G13" s="16" t="n"/>
      <c r="H13" s="16" t="n"/>
      <c r="I13" s="16">
        <f>IF(OR(G13="",H13=""),"",H13-G13)</f>
        <v/>
      </c>
      <c r="J13" s="15" t="n"/>
      <c r="K13" s="15" t="n"/>
    </row>
    <row r="14" ht="22" customHeight="1">
      <c r="B14" s="20">
        <f>IF(C14="","TDB-"&amp;TEXT(COUNTA($C$5:C14),"000"))</f>
        <v/>
      </c>
      <c r="C14" s="17" t="n"/>
      <c r="D14" s="17" t="n"/>
      <c r="E14" s="17" t="n"/>
      <c r="F14" s="17" t="n"/>
      <c r="G14" s="18" t="n"/>
      <c r="H14" s="18" t="n"/>
      <c r="I14" s="18">
        <f>IF(OR(G14="",H14=""),"",H14-G14)</f>
        <v/>
      </c>
      <c r="J14" s="17" t="n"/>
      <c r="K14" s="17" t="n"/>
    </row>
    <row r="15" ht="22" customHeight="1">
      <c r="B15" s="19">
        <f>IF(C15="","TDB-"&amp;TEXT(COUNTA($C$5:C15),"000"))</f>
        <v/>
      </c>
      <c r="C15" s="15" t="n"/>
      <c r="D15" s="15" t="n"/>
      <c r="E15" s="15" t="n"/>
      <c r="F15" s="15" t="n"/>
      <c r="G15" s="16" t="n"/>
      <c r="H15" s="16" t="n"/>
      <c r="I15" s="16">
        <f>IF(OR(G15="",H15=""),"",H15-G15)</f>
        <v/>
      </c>
      <c r="J15" s="15" t="n"/>
      <c r="K15" s="15" t="n"/>
    </row>
    <row r="16" ht="22" customHeight="1">
      <c r="B16" s="20">
        <f>IF(C16="","TDB-"&amp;TEXT(COUNTA($C$5:C16),"000"))</f>
        <v/>
      </c>
      <c r="C16" s="17" t="n"/>
      <c r="D16" s="17" t="n"/>
      <c r="E16" s="17" t="n"/>
      <c r="F16" s="17" t="n"/>
      <c r="G16" s="18" t="n"/>
      <c r="H16" s="18" t="n"/>
      <c r="I16" s="18">
        <f>IF(OR(G16="",H16=""),"",H16-G16)</f>
        <v/>
      </c>
      <c r="J16" s="17" t="n"/>
      <c r="K16" s="17" t="n"/>
    </row>
    <row r="17" ht="22" customHeight="1">
      <c r="B17" s="19">
        <f>IF(C17="","TDB-"&amp;TEXT(COUNTA($C$5:C17),"000"))</f>
        <v/>
      </c>
      <c r="C17" s="15" t="n"/>
      <c r="D17" s="15" t="n"/>
      <c r="E17" s="15" t="n"/>
      <c r="F17" s="15" t="n"/>
      <c r="G17" s="16" t="n"/>
      <c r="H17" s="16" t="n"/>
      <c r="I17" s="16">
        <f>IF(OR(G17="",H17=""),"",H17-G17)</f>
        <v/>
      </c>
      <c r="J17" s="15" t="n"/>
      <c r="K17" s="15" t="n"/>
    </row>
    <row r="18" ht="22" customHeight="1">
      <c r="B18" s="20">
        <f>IF(C18="","TDB-"&amp;TEXT(COUNTA($C$5:C18),"000"))</f>
        <v/>
      </c>
      <c r="C18" s="17" t="n"/>
      <c r="D18" s="17" t="n"/>
      <c r="E18" s="17" t="n"/>
      <c r="F18" s="17" t="n"/>
      <c r="G18" s="18" t="n"/>
      <c r="H18" s="18" t="n"/>
      <c r="I18" s="18">
        <f>IF(OR(G18="",H18=""),"",H18-G18)</f>
        <v/>
      </c>
      <c r="J18" s="17" t="n"/>
      <c r="K18" s="17" t="n"/>
    </row>
    <row r="19" ht="22" customHeight="1">
      <c r="B19" s="19">
        <f>IF(C19="","TDB-"&amp;TEXT(COUNTA($C$5:C19),"000"))</f>
        <v/>
      </c>
      <c r="C19" s="15" t="n"/>
      <c r="D19" s="15" t="n"/>
      <c r="E19" s="15" t="n"/>
      <c r="F19" s="15" t="n"/>
      <c r="G19" s="16" t="n"/>
      <c r="H19" s="16" t="n"/>
      <c r="I19" s="16">
        <f>IF(OR(G19="",H19=""),"",H19-G19)</f>
        <v/>
      </c>
      <c r="J19" s="15" t="n"/>
      <c r="K19" s="15" t="n"/>
    </row>
    <row r="20" ht="22" customHeight="1">
      <c r="B20" s="20">
        <f>IF(C20="","TDB-"&amp;TEXT(COUNTA($C$5:C20),"000"))</f>
        <v/>
      </c>
      <c r="C20" s="17" t="n"/>
      <c r="D20" s="17" t="n"/>
      <c r="E20" s="17" t="n"/>
      <c r="F20" s="17" t="n"/>
      <c r="G20" s="18" t="n"/>
      <c r="H20" s="18" t="n"/>
      <c r="I20" s="18">
        <f>IF(OR(G20="",H20=""),"",H20-G20)</f>
        <v/>
      </c>
      <c r="J20" s="17" t="n"/>
      <c r="K20" s="17" t="n"/>
    </row>
    <row r="21" ht="22" customHeight="1">
      <c r="B21" s="19">
        <f>IF(C21="","TDB-"&amp;TEXT(COUNTA($C$5:C21),"000"))</f>
        <v/>
      </c>
      <c r="C21" s="15" t="n"/>
      <c r="D21" s="15" t="n"/>
      <c r="E21" s="15" t="n"/>
      <c r="F21" s="15" t="n"/>
      <c r="G21" s="16" t="n"/>
      <c r="H21" s="16" t="n"/>
      <c r="I21" s="16">
        <f>IF(OR(G21="",H21=""),"",H21-G21)</f>
        <v/>
      </c>
      <c r="J21" s="15" t="n"/>
      <c r="K21" s="15" t="n"/>
    </row>
    <row r="22" ht="22" customHeight="1">
      <c r="B22" s="20">
        <f>IF(C22="","TDB-"&amp;TEXT(COUNTA($C$5:C22),"000"))</f>
        <v/>
      </c>
      <c r="C22" s="17" t="n"/>
      <c r="D22" s="17" t="n"/>
      <c r="E22" s="17" t="n"/>
      <c r="F22" s="17" t="n"/>
      <c r="G22" s="18" t="n"/>
      <c r="H22" s="18" t="n"/>
      <c r="I22" s="18">
        <f>IF(OR(G22="",H22=""),"",H22-G22)</f>
        <v/>
      </c>
      <c r="J22" s="17" t="n"/>
      <c r="K22" s="17" t="n"/>
    </row>
    <row r="23" ht="22" customHeight="1">
      <c r="B23" s="19">
        <f>IF(C23="","TDB-"&amp;TEXT(COUNTA($C$5:C23),"000"))</f>
        <v/>
      </c>
      <c r="C23" s="15" t="n"/>
      <c r="D23" s="15" t="n"/>
      <c r="E23" s="15" t="n"/>
      <c r="F23" s="15" t="n"/>
      <c r="G23" s="16" t="n"/>
      <c r="H23" s="16" t="n"/>
      <c r="I23" s="16">
        <f>IF(OR(G23="",H23=""),"",H23-G23)</f>
        <v/>
      </c>
      <c r="J23" s="15" t="n"/>
      <c r="K23" s="15" t="n"/>
    </row>
    <row r="24" ht="22" customHeight="1">
      <c r="B24" s="20">
        <f>IF(C24="","TDB-"&amp;TEXT(COUNTA($C$5:C24),"000"))</f>
        <v/>
      </c>
      <c r="C24" s="17" t="n"/>
      <c r="D24" s="17" t="n"/>
      <c r="E24" s="17" t="n"/>
      <c r="F24" s="17" t="n"/>
      <c r="G24" s="18" t="n"/>
      <c r="H24" s="18" t="n"/>
      <c r="I24" s="18">
        <f>IF(OR(G24="",H24=""),"",H24-G24)</f>
        <v/>
      </c>
      <c r="J24" s="17" t="n"/>
      <c r="K24" s="17" t="n"/>
    </row>
    <row r="25" ht="22" customHeight="1">
      <c r="B25" s="19">
        <f>IF(C25="","TDB-"&amp;TEXT(COUNTA($C$5:C25),"000"))</f>
        <v/>
      </c>
      <c r="C25" s="15" t="n"/>
      <c r="D25" s="15" t="n"/>
      <c r="E25" s="15" t="n"/>
      <c r="F25" s="15" t="n"/>
      <c r="G25" s="16" t="n"/>
      <c r="H25" s="16" t="n"/>
      <c r="I25" s="16">
        <f>IF(OR(G25="",H25=""),"",H25-G25)</f>
        <v/>
      </c>
      <c r="J25" s="15" t="n"/>
      <c r="K25" s="15" t="n"/>
    </row>
    <row r="26" ht="22" customHeight="1">
      <c r="B26" s="20">
        <f>IF(C26="","TDB-"&amp;TEXT(COUNTA($C$5:C26),"000"))</f>
        <v/>
      </c>
      <c r="C26" s="17" t="n"/>
      <c r="D26" s="17" t="n"/>
      <c r="E26" s="17" t="n"/>
      <c r="F26" s="17" t="n"/>
      <c r="G26" s="18" t="n"/>
      <c r="H26" s="18" t="n"/>
      <c r="I26" s="18">
        <f>IF(OR(G26="",H26=""),"",H26-G26)</f>
        <v/>
      </c>
      <c r="J26" s="17" t="n"/>
      <c r="K26" s="17" t="n"/>
    </row>
    <row r="27" ht="22" customHeight="1">
      <c r="B27" s="19">
        <f>IF(C27="","TDB-"&amp;TEXT(COUNTA($C$5:C27),"000"))</f>
        <v/>
      </c>
      <c r="C27" s="15" t="n"/>
      <c r="D27" s="15" t="n"/>
      <c r="E27" s="15" t="n"/>
      <c r="F27" s="15" t="n"/>
      <c r="G27" s="16" t="n"/>
      <c r="H27" s="16" t="n"/>
      <c r="I27" s="16">
        <f>IF(OR(G27="",H27=""),"",H27-G27)</f>
        <v/>
      </c>
      <c r="J27" s="15" t="n"/>
      <c r="K27" s="15" t="n"/>
    </row>
    <row r="28" ht="22" customHeight="1">
      <c r="B28" s="20">
        <f>IF(C28="","TDB-"&amp;TEXT(COUNTA($C$5:C28),"000"))</f>
        <v/>
      </c>
      <c r="C28" s="17" t="n"/>
      <c r="D28" s="17" t="n"/>
      <c r="E28" s="17" t="n"/>
      <c r="F28" s="17" t="n"/>
      <c r="G28" s="18" t="n"/>
      <c r="H28" s="18" t="n"/>
      <c r="I28" s="18">
        <f>IF(OR(G28="",H28=""),"",H28-G28)</f>
        <v/>
      </c>
      <c r="J28" s="17" t="n"/>
      <c r="K28" s="17" t="n"/>
    </row>
    <row r="29" ht="22" customHeight="1">
      <c r="B29" s="19">
        <f>IF(C29="","TDB-"&amp;TEXT(COUNTA($C$5:C29),"000"))</f>
        <v/>
      </c>
      <c r="C29" s="15" t="n"/>
      <c r="D29" s="15" t="n"/>
      <c r="E29" s="15" t="n"/>
      <c r="F29" s="15" t="n"/>
      <c r="G29" s="16" t="n"/>
      <c r="H29" s="16" t="n"/>
      <c r="I29" s="16">
        <f>IF(OR(G29="",H29=""),"",H29-G29)</f>
        <v/>
      </c>
      <c r="J29" s="15" t="n"/>
      <c r="K29" s="15" t="n"/>
    </row>
    <row r="30" ht="22" customHeight="1">
      <c r="B30" s="20">
        <f>IF(C30="","TDB-"&amp;TEXT(COUNTA($C$5:C30),"000"))</f>
        <v/>
      </c>
      <c r="C30" s="17" t="n"/>
      <c r="D30" s="17" t="n"/>
      <c r="E30" s="17" t="n"/>
      <c r="F30" s="17" t="n"/>
      <c r="G30" s="18" t="n"/>
      <c r="H30" s="18" t="n"/>
      <c r="I30" s="18">
        <f>IF(OR(G30="",H30=""),"",H30-G30)</f>
        <v/>
      </c>
      <c r="J30" s="17" t="n"/>
      <c r="K30" s="17" t="n"/>
    </row>
    <row r="31" ht="22" customHeight="1">
      <c r="B31" s="19">
        <f>IF(C31="","TDB-"&amp;TEXT(COUNTA($C$5:C31),"000"))</f>
        <v/>
      </c>
      <c r="C31" s="15" t="n"/>
      <c r="D31" s="15" t="n"/>
      <c r="E31" s="15" t="n"/>
      <c r="F31" s="15" t="n"/>
      <c r="G31" s="16" t="n"/>
      <c r="H31" s="16" t="n"/>
      <c r="I31" s="16">
        <f>IF(OR(G31="",H31=""),"",H31-G31)</f>
        <v/>
      </c>
      <c r="J31" s="15" t="n"/>
      <c r="K31" s="15" t="n"/>
    </row>
    <row r="32" ht="22" customHeight="1">
      <c r="B32" s="20">
        <f>IF(C32="","TDB-"&amp;TEXT(COUNTA($C$5:C32),"000"))</f>
        <v/>
      </c>
      <c r="C32" s="17" t="n"/>
      <c r="D32" s="17" t="n"/>
      <c r="E32" s="17" t="n"/>
      <c r="F32" s="17" t="n"/>
      <c r="G32" s="18" t="n"/>
      <c r="H32" s="18" t="n"/>
      <c r="I32" s="18">
        <f>IF(OR(G32="",H32=""),"",H32-G32)</f>
        <v/>
      </c>
      <c r="J32" s="17" t="n"/>
      <c r="K32" s="17" t="n"/>
    </row>
    <row r="33" ht="22" customHeight="1">
      <c r="B33" s="19">
        <f>IF(C33="","TDB-"&amp;TEXT(COUNTA($C$5:C33),"000"))</f>
        <v/>
      </c>
      <c r="C33" s="15" t="n"/>
      <c r="D33" s="15" t="n"/>
      <c r="E33" s="15" t="n"/>
      <c r="F33" s="15" t="n"/>
      <c r="G33" s="16" t="n"/>
      <c r="H33" s="16" t="n"/>
      <c r="I33" s="16">
        <f>IF(OR(G33="",H33=""),"",H33-G33)</f>
        <v/>
      </c>
      <c r="J33" s="15" t="n"/>
      <c r="K33" s="15" t="n"/>
    </row>
    <row r="34" ht="22" customHeight="1">
      <c r="B34" s="20">
        <f>IF(C34="","TDB-"&amp;TEXT(COUNTA($C$5:C34),"000"))</f>
        <v/>
      </c>
      <c r="C34" s="17" t="n"/>
      <c r="D34" s="17" t="n"/>
      <c r="E34" s="17" t="n"/>
      <c r="F34" s="17" t="n"/>
      <c r="G34" s="18" t="n"/>
      <c r="H34" s="18" t="n"/>
      <c r="I34" s="18">
        <f>IF(OR(G34="",H34=""),"",H34-G34)</f>
        <v/>
      </c>
      <c r="J34" s="17" t="n"/>
      <c r="K34" s="17" t="n"/>
    </row>
    <row r="35" ht="22" customHeight="1">
      <c r="B35" s="19">
        <f>IF(C35="","TDB-"&amp;TEXT(COUNTA($C$5:C35),"000"))</f>
        <v/>
      </c>
      <c r="C35" s="15" t="n"/>
      <c r="D35" s="15" t="n"/>
      <c r="E35" s="15" t="n"/>
      <c r="F35" s="15" t="n"/>
      <c r="G35" s="16" t="n"/>
      <c r="H35" s="16" t="n"/>
      <c r="I35" s="16">
        <f>IF(OR(G35="",H35=""),"",H35-G35)</f>
        <v/>
      </c>
      <c r="J35" s="15" t="n"/>
      <c r="K35" s="15" t="n"/>
    </row>
    <row r="36" ht="22" customHeight="1">
      <c r="B36" s="20">
        <f>IF(C36="","TDB-"&amp;TEXT(COUNTA($C$5:C36),"000"))</f>
        <v/>
      </c>
      <c r="C36" s="17" t="n"/>
      <c r="D36" s="17" t="n"/>
      <c r="E36" s="17" t="n"/>
      <c r="F36" s="17" t="n"/>
      <c r="G36" s="18" t="n"/>
      <c r="H36" s="18" t="n"/>
      <c r="I36" s="18">
        <f>IF(OR(G36="",H36=""),"",H36-G36)</f>
        <v/>
      </c>
      <c r="J36" s="17" t="n"/>
      <c r="K36" s="17" t="n"/>
    </row>
    <row r="37" ht="22" customHeight="1">
      <c r="B37" s="19">
        <f>IF(C37="","TDB-"&amp;TEXT(COUNTA($C$5:C37),"000"))</f>
        <v/>
      </c>
      <c r="C37" s="15" t="n"/>
      <c r="D37" s="15" t="n"/>
      <c r="E37" s="15" t="n"/>
      <c r="F37" s="15" t="n"/>
      <c r="G37" s="16" t="n"/>
      <c r="H37" s="16" t="n"/>
      <c r="I37" s="16">
        <f>IF(OR(G37="",H37=""),"",H37-G37)</f>
        <v/>
      </c>
      <c r="J37" s="15" t="n"/>
      <c r="K37" s="15" t="n"/>
    </row>
    <row r="38" ht="22" customHeight="1">
      <c r="B38" s="20">
        <f>IF(C38="","TDB-"&amp;TEXT(COUNTA($C$5:C38),"000"))</f>
        <v/>
      </c>
      <c r="C38" s="17" t="n"/>
      <c r="D38" s="17" t="n"/>
      <c r="E38" s="17" t="n"/>
      <c r="F38" s="17" t="n"/>
      <c r="G38" s="18" t="n"/>
      <c r="H38" s="18" t="n"/>
      <c r="I38" s="18">
        <f>IF(OR(G38="",H38=""),"",H38-G38)</f>
        <v/>
      </c>
      <c r="J38" s="17" t="n"/>
      <c r="K38" s="17" t="n"/>
    </row>
    <row r="39" ht="22" customHeight="1">
      <c r="B39" s="19">
        <f>IF(C39="","TDB-"&amp;TEXT(COUNTA($C$5:C39),"000"))</f>
        <v/>
      </c>
      <c r="C39" s="15" t="n"/>
      <c r="D39" s="15" t="n"/>
      <c r="E39" s="15" t="n"/>
      <c r="F39" s="15" t="n"/>
      <c r="G39" s="16" t="n"/>
      <c r="H39" s="16" t="n"/>
      <c r="I39" s="16">
        <f>IF(OR(G39="",H39=""),"",H39-G39)</f>
        <v/>
      </c>
      <c r="J39" s="15" t="n"/>
      <c r="K39" s="15" t="n"/>
    </row>
    <row r="40" ht="22" customHeight="1">
      <c r="B40" s="20">
        <f>IF(C40="","TDB-"&amp;TEXT(COUNTA($C$5:C40),"000"))</f>
        <v/>
      </c>
      <c r="C40" s="17" t="n"/>
      <c r="D40" s="17" t="n"/>
      <c r="E40" s="17" t="n"/>
      <c r="F40" s="17" t="n"/>
      <c r="G40" s="18" t="n"/>
      <c r="H40" s="18" t="n"/>
      <c r="I40" s="18">
        <f>IF(OR(G40="",H40=""),"",H40-G40)</f>
        <v/>
      </c>
      <c r="J40" s="17" t="n"/>
      <c r="K40" s="17" t="n"/>
    </row>
    <row r="41" ht="22" customHeight="1">
      <c r="B41" s="19">
        <f>IF(C41="","TDB-"&amp;TEXT(COUNTA($C$5:C41),"000"))</f>
        <v/>
      </c>
      <c r="C41" s="15" t="n"/>
      <c r="D41" s="15" t="n"/>
      <c r="E41" s="15" t="n"/>
      <c r="F41" s="15" t="n"/>
      <c r="G41" s="16" t="n"/>
      <c r="H41" s="16" t="n"/>
      <c r="I41" s="16">
        <f>IF(OR(G41="",H41=""),"",H41-G41)</f>
        <v/>
      </c>
      <c r="J41" s="15" t="n"/>
      <c r="K41" s="15" t="n"/>
    </row>
    <row r="42" ht="22" customHeight="1">
      <c r="B42" s="20">
        <f>IF(C42="","TDB-"&amp;TEXT(COUNTA($C$5:C42),"000"))</f>
        <v/>
      </c>
      <c r="C42" s="17" t="n"/>
      <c r="D42" s="17" t="n"/>
      <c r="E42" s="17" t="n"/>
      <c r="F42" s="17" t="n"/>
      <c r="G42" s="18" t="n"/>
      <c r="H42" s="18" t="n"/>
      <c r="I42" s="18">
        <f>IF(OR(G42="",H42=""),"",H42-G42)</f>
        <v/>
      </c>
      <c r="J42" s="17" t="n"/>
      <c r="K42" s="17" t="n"/>
    </row>
    <row r="43" ht="22" customHeight="1">
      <c r="B43" s="19">
        <f>IF(C43="","TDB-"&amp;TEXT(COUNTA($C$5:C43),"000"))</f>
        <v/>
      </c>
      <c r="C43" s="15" t="n"/>
      <c r="D43" s="15" t="n"/>
      <c r="E43" s="15" t="n"/>
      <c r="F43" s="15" t="n"/>
      <c r="G43" s="16" t="n"/>
      <c r="H43" s="16" t="n"/>
      <c r="I43" s="16">
        <f>IF(OR(G43="",H43=""),"",H43-G43)</f>
        <v/>
      </c>
      <c r="J43" s="15" t="n"/>
      <c r="K43" s="15" t="n"/>
    </row>
    <row r="44" ht="22" customHeight="1">
      <c r="B44" s="20">
        <f>IF(C44="","TDB-"&amp;TEXT(COUNTA($C$5:C44),"000"))</f>
        <v/>
      </c>
      <c r="C44" s="17" t="n"/>
      <c r="D44" s="17" t="n"/>
      <c r="E44" s="17" t="n"/>
      <c r="F44" s="17" t="n"/>
      <c r="G44" s="18" t="n"/>
      <c r="H44" s="18" t="n"/>
      <c r="I44" s="18">
        <f>IF(OR(G44="",H44=""),"",H44-G44)</f>
        <v/>
      </c>
      <c r="J44" s="17" t="n"/>
      <c r="K44" s="17" t="n"/>
    </row>
    <row r="45" ht="22" customHeight="1">
      <c r="B45" s="19">
        <f>IF(C45="","TDB-"&amp;TEXT(COUNTA($C$5:C45),"000"))</f>
        <v/>
      </c>
      <c r="C45" s="15" t="n"/>
      <c r="D45" s="15" t="n"/>
      <c r="E45" s="15" t="n"/>
      <c r="F45" s="15" t="n"/>
      <c r="G45" s="16" t="n"/>
      <c r="H45" s="16" t="n"/>
      <c r="I45" s="16">
        <f>IF(OR(G45="",H45=""),"",H45-G45)</f>
        <v/>
      </c>
      <c r="J45" s="15" t="n"/>
      <c r="K45" s="15" t="n"/>
    </row>
    <row r="46" ht="22" customHeight="1">
      <c r="B46" s="20">
        <f>IF(C46="","TDB-"&amp;TEXT(COUNTA($C$5:C46),"000"))</f>
        <v/>
      </c>
      <c r="C46" s="17" t="n"/>
      <c r="D46" s="17" t="n"/>
      <c r="E46" s="17" t="n"/>
      <c r="F46" s="17" t="n"/>
      <c r="G46" s="18" t="n"/>
      <c r="H46" s="18" t="n"/>
      <c r="I46" s="18">
        <f>IF(OR(G46="",H46=""),"",H46-G46)</f>
        <v/>
      </c>
      <c r="J46" s="17" t="n"/>
      <c r="K46" s="17" t="n"/>
    </row>
    <row r="47" ht="22" customHeight="1">
      <c r="B47" s="19">
        <f>IF(C47="","TDB-"&amp;TEXT(COUNTA($C$5:C47),"000"))</f>
        <v/>
      </c>
      <c r="C47" s="15" t="n"/>
      <c r="D47" s="15" t="n"/>
      <c r="E47" s="15" t="n"/>
      <c r="F47" s="15" t="n"/>
      <c r="G47" s="16" t="n"/>
      <c r="H47" s="16" t="n"/>
      <c r="I47" s="16">
        <f>IF(OR(G47="",H47=""),"",H47-G47)</f>
        <v/>
      </c>
      <c r="J47" s="15" t="n"/>
      <c r="K47" s="15" t="n"/>
    </row>
    <row r="48" ht="22" customHeight="1">
      <c r="B48" s="20">
        <f>IF(C48="","TDB-"&amp;TEXT(COUNTA($C$5:C48),"000"))</f>
        <v/>
      </c>
      <c r="C48" s="17" t="n"/>
      <c r="D48" s="17" t="n"/>
      <c r="E48" s="17" t="n"/>
      <c r="F48" s="17" t="n"/>
      <c r="G48" s="18" t="n"/>
      <c r="H48" s="18" t="n"/>
      <c r="I48" s="18">
        <f>IF(OR(G48="",H48=""),"",H48-G48)</f>
        <v/>
      </c>
      <c r="J48" s="17" t="n"/>
      <c r="K48" s="17" t="n"/>
    </row>
    <row r="49" ht="22" customHeight="1">
      <c r="B49" s="19">
        <f>IF(C49="","TDB-"&amp;TEXT(COUNTA($C$5:C49),"000"))</f>
        <v/>
      </c>
      <c r="C49" s="15" t="n"/>
      <c r="D49" s="15" t="n"/>
      <c r="E49" s="15" t="n"/>
      <c r="F49" s="15" t="n"/>
      <c r="G49" s="16" t="n"/>
      <c r="H49" s="16" t="n"/>
      <c r="I49" s="16">
        <f>IF(OR(G49="",H49=""),"",H49-G49)</f>
        <v/>
      </c>
      <c r="J49" s="15" t="n"/>
      <c r="K49" s="15" t="n"/>
    </row>
    <row r="50" ht="22" customHeight="1">
      <c r="B50" s="20">
        <f>IF(C50="","TDB-"&amp;TEXT(COUNTA($C$5:C50),"000"))</f>
        <v/>
      </c>
      <c r="C50" s="17" t="n"/>
      <c r="D50" s="17" t="n"/>
      <c r="E50" s="17" t="n"/>
      <c r="F50" s="17" t="n"/>
      <c r="G50" s="18" t="n"/>
      <c r="H50" s="18" t="n"/>
      <c r="I50" s="18">
        <f>IF(OR(G50="",H50=""),"",H50-G50)</f>
        <v/>
      </c>
      <c r="J50" s="17" t="n"/>
      <c r="K50" s="17" t="n"/>
    </row>
    <row r="51" ht="22" customHeight="1">
      <c r="B51" s="19">
        <f>IF(C51="","TDB-"&amp;TEXT(COUNTA($C$5:C51),"000"))</f>
        <v/>
      </c>
      <c r="C51" s="15" t="n"/>
      <c r="D51" s="15" t="n"/>
      <c r="E51" s="15" t="n"/>
      <c r="F51" s="15" t="n"/>
      <c r="G51" s="16" t="n"/>
      <c r="H51" s="16" t="n"/>
      <c r="I51" s="16">
        <f>IF(OR(G51="",H51=""),"",H51-G51)</f>
        <v/>
      </c>
      <c r="J51" s="15" t="n"/>
      <c r="K51" s="15" t="n"/>
    </row>
    <row r="52" ht="22" customHeight="1">
      <c r="B52" s="20">
        <f>IF(C52="","TDB-"&amp;TEXT(COUNTA($C$5:C52),"000"))</f>
        <v/>
      </c>
      <c r="C52" s="17" t="n"/>
      <c r="D52" s="17" t="n"/>
      <c r="E52" s="17" t="n"/>
      <c r="F52" s="17" t="n"/>
      <c r="G52" s="18" t="n"/>
      <c r="H52" s="18" t="n"/>
      <c r="I52" s="18">
        <f>IF(OR(G52="",H52=""),"",H52-G52)</f>
        <v/>
      </c>
      <c r="J52" s="17" t="n"/>
      <c r="K52" s="17" t="n"/>
    </row>
    <row r="53" ht="22" customHeight="1">
      <c r="B53" s="19">
        <f>IF(C53="","TDB-"&amp;TEXT(COUNTA($C$5:C53),"000"))</f>
        <v/>
      </c>
      <c r="C53" s="15" t="n"/>
      <c r="D53" s="15" t="n"/>
      <c r="E53" s="15" t="n"/>
      <c r="F53" s="15" t="n"/>
      <c r="G53" s="16" t="n"/>
      <c r="H53" s="16" t="n"/>
      <c r="I53" s="16">
        <f>IF(OR(G53="",H53=""),"",H53-G53)</f>
        <v/>
      </c>
      <c r="J53" s="15" t="n"/>
      <c r="K53" s="15" t="n"/>
    </row>
    <row r="54" ht="22" customHeight="1">
      <c r="B54" s="20">
        <f>IF(C54="","TDB-"&amp;TEXT(COUNTA($C$5:C54),"000"))</f>
        <v/>
      </c>
      <c r="C54" s="17" t="n"/>
      <c r="D54" s="17" t="n"/>
      <c r="E54" s="17" t="n"/>
      <c r="F54" s="17" t="n"/>
      <c r="G54" s="18" t="n"/>
      <c r="H54" s="18" t="n"/>
      <c r="I54" s="18">
        <f>IF(OR(G54="",H54=""),"",H54-G54)</f>
        <v/>
      </c>
      <c r="J54" s="17" t="n"/>
      <c r="K54" s="17" t="n"/>
    </row>
    <row r="55" ht="22" customHeight="1">
      <c r="B55" s="19">
        <f>IF(C55="","TDB-"&amp;TEXT(COUNTA($C$5:C55),"000"))</f>
        <v/>
      </c>
      <c r="C55" s="15" t="n"/>
      <c r="D55" s="15" t="n"/>
      <c r="E55" s="15" t="n"/>
      <c r="F55" s="15" t="n"/>
      <c r="G55" s="16" t="n"/>
      <c r="H55" s="16" t="n"/>
      <c r="I55" s="16">
        <f>IF(OR(G55="",H55=""),"",H55-G55)</f>
        <v/>
      </c>
      <c r="J55" s="15" t="n"/>
      <c r="K55" s="15" t="n"/>
    </row>
    <row r="56" ht="22" customHeight="1">
      <c r="B56" s="20">
        <f>IF(C56="","TDB-"&amp;TEXT(COUNTA($C$5:C56),"000"))</f>
        <v/>
      </c>
      <c r="C56" s="17" t="n"/>
      <c r="D56" s="17" t="n"/>
      <c r="E56" s="17" t="n"/>
      <c r="F56" s="17" t="n"/>
      <c r="G56" s="18" t="n"/>
      <c r="H56" s="18" t="n"/>
      <c r="I56" s="18">
        <f>IF(OR(G56="",H56=""),"",H56-G56)</f>
        <v/>
      </c>
      <c r="J56" s="17" t="n"/>
      <c r="K56" s="17" t="n"/>
    </row>
    <row r="57" ht="22" customHeight="1">
      <c r="B57" s="19">
        <f>IF(C57="","TDB-"&amp;TEXT(COUNTA($C$5:C57),"000"))</f>
        <v/>
      </c>
      <c r="C57" s="15" t="n"/>
      <c r="D57" s="15" t="n"/>
      <c r="E57" s="15" t="n"/>
      <c r="F57" s="15" t="n"/>
      <c r="G57" s="16" t="n"/>
      <c r="H57" s="16" t="n"/>
      <c r="I57" s="16">
        <f>IF(OR(G57="",H57=""),"",H57-G57)</f>
        <v/>
      </c>
      <c r="J57" s="15" t="n"/>
      <c r="K57" s="15" t="n"/>
    </row>
    <row r="58" ht="22" customHeight="1">
      <c r="B58" s="20">
        <f>IF(C58="","TDB-"&amp;TEXT(COUNTA($C$5:C58),"000"))</f>
        <v/>
      </c>
      <c r="C58" s="17" t="n"/>
      <c r="D58" s="17" t="n"/>
      <c r="E58" s="17" t="n"/>
      <c r="F58" s="17" t="n"/>
      <c r="G58" s="18" t="n"/>
      <c r="H58" s="18" t="n"/>
      <c r="I58" s="18">
        <f>IF(OR(G58="",H58=""),"",H58-G58)</f>
        <v/>
      </c>
      <c r="J58" s="17" t="n"/>
      <c r="K58" s="17" t="n"/>
    </row>
    <row r="59" ht="22" customHeight="1">
      <c r="B59" s="19">
        <f>IF(C59="","TDB-"&amp;TEXT(COUNTA($C$5:C59),"000"))</f>
        <v/>
      </c>
      <c r="C59" s="15" t="n"/>
      <c r="D59" s="15" t="n"/>
      <c r="E59" s="15" t="n"/>
      <c r="F59" s="15" t="n"/>
      <c r="G59" s="16" t="n"/>
      <c r="H59" s="16" t="n"/>
      <c r="I59" s="16">
        <f>IF(OR(G59="",H59=""),"",H59-G59)</f>
        <v/>
      </c>
      <c r="J59" s="15" t="n"/>
      <c r="K59" s="15" t="n"/>
    </row>
    <row r="60" ht="22" customHeight="1">
      <c r="B60" s="20">
        <f>IF(C60="","TDB-"&amp;TEXT(COUNTA($C$5:C60),"000"))</f>
        <v/>
      </c>
      <c r="C60" s="17" t="n"/>
      <c r="D60" s="17" t="n"/>
      <c r="E60" s="17" t="n"/>
      <c r="F60" s="17" t="n"/>
      <c r="G60" s="18" t="n"/>
      <c r="H60" s="18" t="n"/>
      <c r="I60" s="18">
        <f>IF(OR(G60="",H60=""),"",H60-G60)</f>
        <v/>
      </c>
      <c r="J60" s="17" t="n"/>
      <c r="K60" s="17" t="n"/>
    </row>
    <row r="61" ht="22" customHeight="1">
      <c r="B61" s="19">
        <f>IF(C61="","TDB-"&amp;TEXT(COUNTA($C$5:C61),"000"))</f>
        <v/>
      </c>
      <c r="C61" s="15" t="n"/>
      <c r="D61" s="15" t="n"/>
      <c r="E61" s="15" t="n"/>
      <c r="F61" s="15" t="n"/>
      <c r="G61" s="16" t="n"/>
      <c r="H61" s="16" t="n"/>
      <c r="I61" s="16">
        <f>IF(OR(G61="",H61=""),"",H61-G61)</f>
        <v/>
      </c>
      <c r="J61" s="15" t="n"/>
      <c r="K61" s="15" t="n"/>
    </row>
    <row r="62" ht="22" customHeight="1">
      <c r="B62" s="20">
        <f>IF(C62="","TDB-"&amp;TEXT(COUNTA($C$5:C62),"000"))</f>
        <v/>
      </c>
      <c r="C62" s="17" t="n"/>
      <c r="D62" s="17" t="n"/>
      <c r="E62" s="17" t="n"/>
      <c r="F62" s="17" t="n"/>
      <c r="G62" s="18" t="n"/>
      <c r="H62" s="18" t="n"/>
      <c r="I62" s="18">
        <f>IF(OR(G62="",H62=""),"",H62-G62)</f>
        <v/>
      </c>
      <c r="J62" s="17" t="n"/>
      <c r="K62" s="17" t="n"/>
    </row>
    <row r="63" ht="22" customHeight="1">
      <c r="B63" s="19">
        <f>IF(C63="","TDB-"&amp;TEXT(COUNTA($C$5:C63),"000"))</f>
        <v/>
      </c>
      <c r="C63" s="15" t="n"/>
      <c r="D63" s="15" t="n"/>
      <c r="E63" s="15" t="n"/>
      <c r="F63" s="15" t="n"/>
      <c r="G63" s="16" t="n"/>
      <c r="H63" s="16" t="n"/>
      <c r="I63" s="16">
        <f>IF(OR(G63="",H63=""),"",H63-G63)</f>
        <v/>
      </c>
      <c r="J63" s="15" t="n"/>
      <c r="K63" s="15" t="n"/>
    </row>
    <row r="64" ht="22" customHeight="1">
      <c r="B64" s="20">
        <f>IF(C64="","TDB-"&amp;TEXT(COUNTA($C$5:C64),"000"))</f>
        <v/>
      </c>
      <c r="C64" s="17" t="n"/>
      <c r="D64" s="17" t="n"/>
      <c r="E64" s="17" t="n"/>
      <c r="F64" s="17" t="n"/>
      <c r="G64" s="18" t="n"/>
      <c r="H64" s="18" t="n"/>
      <c r="I64" s="18">
        <f>IF(OR(G64="",H64=""),"",H64-G64)</f>
        <v/>
      </c>
      <c r="J64" s="17" t="n"/>
      <c r="K64" s="17" t="n"/>
    </row>
    <row r="65" ht="22" customHeight="1">
      <c r="B65" s="19">
        <f>IF(C65="","TDB-"&amp;TEXT(COUNTA($C$5:C65),"000"))</f>
        <v/>
      </c>
      <c r="C65" s="15" t="n"/>
      <c r="D65" s="15" t="n"/>
      <c r="E65" s="15" t="n"/>
      <c r="F65" s="15" t="n"/>
      <c r="G65" s="16" t="n"/>
      <c r="H65" s="16" t="n"/>
      <c r="I65" s="16">
        <f>IF(OR(G65="",H65=""),"",H65-G65)</f>
        <v/>
      </c>
      <c r="J65" s="15" t="n"/>
      <c r="K65" s="15" t="n"/>
    </row>
    <row r="66" ht="22" customHeight="1">
      <c r="B66" s="20">
        <f>IF(C66="","TDB-"&amp;TEXT(COUNTA($C$5:C66),"000"))</f>
        <v/>
      </c>
      <c r="C66" s="17" t="n"/>
      <c r="D66" s="17" t="n"/>
      <c r="E66" s="17" t="n"/>
      <c r="F66" s="17" t="n"/>
      <c r="G66" s="18" t="n"/>
      <c r="H66" s="18" t="n"/>
      <c r="I66" s="18">
        <f>IF(OR(G66="",H66=""),"",H66-G66)</f>
        <v/>
      </c>
      <c r="J66" s="17" t="n"/>
      <c r="K66" s="17" t="n"/>
    </row>
    <row r="67" ht="22" customHeight="1">
      <c r="B67" s="19">
        <f>IF(C67="","TDB-"&amp;TEXT(COUNTA($C$5:C67),"000"))</f>
        <v/>
      </c>
      <c r="C67" s="15" t="n"/>
      <c r="D67" s="15" t="n"/>
      <c r="E67" s="15" t="n"/>
      <c r="F67" s="15" t="n"/>
      <c r="G67" s="16" t="n"/>
      <c r="H67" s="16" t="n"/>
      <c r="I67" s="16">
        <f>IF(OR(G67="",H67=""),"",H67-G67)</f>
        <v/>
      </c>
      <c r="J67" s="15" t="n"/>
      <c r="K67" s="15" t="n"/>
    </row>
    <row r="68" ht="22" customHeight="1">
      <c r="B68" s="20">
        <f>IF(C68="","TDB-"&amp;TEXT(COUNTA($C$5:C68),"000"))</f>
        <v/>
      </c>
      <c r="C68" s="17" t="n"/>
      <c r="D68" s="17" t="n"/>
      <c r="E68" s="17" t="n"/>
      <c r="F68" s="17" t="n"/>
      <c r="G68" s="18" t="n"/>
      <c r="H68" s="18" t="n"/>
      <c r="I68" s="18">
        <f>IF(OR(G68="",H68=""),"",H68-G68)</f>
        <v/>
      </c>
      <c r="J68" s="17" t="n"/>
      <c r="K68" s="17" t="n"/>
    </row>
    <row r="69" ht="22" customHeight="1">
      <c r="B69" s="19">
        <f>IF(C69="","TDB-"&amp;TEXT(COUNTA($C$5:C69),"000"))</f>
        <v/>
      </c>
      <c r="C69" s="15" t="n"/>
      <c r="D69" s="15" t="n"/>
      <c r="E69" s="15" t="n"/>
      <c r="F69" s="15" t="n"/>
      <c r="G69" s="16" t="n"/>
      <c r="H69" s="16" t="n"/>
      <c r="I69" s="16">
        <f>IF(OR(G69="",H69=""),"",H69-G69)</f>
        <v/>
      </c>
      <c r="J69" s="15" t="n"/>
      <c r="K69" s="15" t="n"/>
    </row>
    <row r="70" ht="22" customHeight="1">
      <c r="B70" s="20">
        <f>IF(C70="","TDB-"&amp;TEXT(COUNTA($C$5:C70),"000"))</f>
        <v/>
      </c>
      <c r="C70" s="17" t="n"/>
      <c r="D70" s="17" t="n"/>
      <c r="E70" s="17" t="n"/>
      <c r="F70" s="17" t="n"/>
      <c r="G70" s="18" t="n"/>
      <c r="H70" s="18" t="n"/>
      <c r="I70" s="18">
        <f>IF(OR(G70="",H70=""),"",H70-G70)</f>
        <v/>
      </c>
      <c r="J70" s="17" t="n"/>
      <c r="K70" s="17" t="n"/>
    </row>
    <row r="71" ht="22" customHeight="1">
      <c r="B71" s="19">
        <f>IF(C71="","TDB-"&amp;TEXT(COUNTA($C$5:C71),"000"))</f>
        <v/>
      </c>
      <c r="C71" s="15" t="n"/>
      <c r="D71" s="15" t="n"/>
      <c r="E71" s="15" t="n"/>
      <c r="F71" s="15" t="n"/>
      <c r="G71" s="16" t="n"/>
      <c r="H71" s="16" t="n"/>
      <c r="I71" s="16">
        <f>IF(OR(G71="",H71=""),"",H71-G71)</f>
        <v/>
      </c>
      <c r="J71" s="15" t="n"/>
      <c r="K71" s="15" t="n"/>
    </row>
    <row r="72" ht="22" customHeight="1">
      <c r="B72" s="20">
        <f>IF(C72="","TDB-"&amp;TEXT(COUNTA($C$5:C72),"000"))</f>
        <v/>
      </c>
      <c r="C72" s="17" t="n"/>
      <c r="D72" s="17" t="n"/>
      <c r="E72" s="17" t="n"/>
      <c r="F72" s="17" t="n"/>
      <c r="G72" s="18" t="n"/>
      <c r="H72" s="18" t="n"/>
      <c r="I72" s="18">
        <f>IF(OR(G72="",H72=""),"",H72-G72)</f>
        <v/>
      </c>
      <c r="J72" s="17" t="n"/>
      <c r="K72" s="17" t="n"/>
    </row>
    <row r="73" ht="22" customHeight="1">
      <c r="B73" s="19">
        <f>IF(C73="","TDB-"&amp;TEXT(COUNTA($C$5:C73),"000"))</f>
        <v/>
      </c>
      <c r="C73" s="15" t="n"/>
      <c r="D73" s="15" t="n"/>
      <c r="E73" s="15" t="n"/>
      <c r="F73" s="15" t="n"/>
      <c r="G73" s="16" t="n"/>
      <c r="H73" s="16" t="n"/>
      <c r="I73" s="16">
        <f>IF(OR(G73="",H73=""),"",H73-G73)</f>
        <v/>
      </c>
      <c r="J73" s="15" t="n"/>
      <c r="K73" s="15" t="n"/>
    </row>
    <row r="74" ht="22" customHeight="1">
      <c r="B74" s="20">
        <f>IF(C74="","TDB-"&amp;TEXT(COUNTA($C$5:C74),"000"))</f>
        <v/>
      </c>
      <c r="C74" s="17" t="n"/>
      <c r="D74" s="17" t="n"/>
      <c r="E74" s="17" t="n"/>
      <c r="F74" s="17" t="n"/>
      <c r="G74" s="18" t="n"/>
      <c r="H74" s="18" t="n"/>
      <c r="I74" s="18">
        <f>IF(OR(G74="",H74=""),"",H74-G74)</f>
        <v/>
      </c>
      <c r="J74" s="17" t="n"/>
      <c r="K74" s="17" t="n"/>
    </row>
    <row r="75" ht="22" customHeight="1">
      <c r="B75" s="19">
        <f>IF(C75="","TDB-"&amp;TEXT(COUNTA($C$5:C75),"000"))</f>
        <v/>
      </c>
      <c r="C75" s="15" t="n"/>
      <c r="D75" s="15" t="n"/>
      <c r="E75" s="15" t="n"/>
      <c r="F75" s="15" t="n"/>
      <c r="G75" s="16" t="n"/>
      <c r="H75" s="16" t="n"/>
      <c r="I75" s="16">
        <f>IF(OR(G75="",H75=""),"",H75-G75)</f>
        <v/>
      </c>
      <c r="J75" s="15" t="n"/>
      <c r="K75" s="15" t="n"/>
    </row>
    <row r="76" ht="22" customHeight="1">
      <c r="B76" s="20">
        <f>IF(C76="","TDB-"&amp;TEXT(COUNTA($C$5:C76),"000"))</f>
        <v/>
      </c>
      <c r="C76" s="17" t="n"/>
      <c r="D76" s="17" t="n"/>
      <c r="E76" s="17" t="n"/>
      <c r="F76" s="17" t="n"/>
      <c r="G76" s="18" t="n"/>
      <c r="H76" s="18" t="n"/>
      <c r="I76" s="18">
        <f>IF(OR(G76="",H76=""),"",H76-G76)</f>
        <v/>
      </c>
      <c r="J76" s="17" t="n"/>
      <c r="K76" s="17" t="n"/>
    </row>
    <row r="77" ht="22" customHeight="1">
      <c r="B77" s="19">
        <f>IF(C77="","TDB-"&amp;TEXT(COUNTA($C$5:C77),"000"))</f>
        <v/>
      </c>
      <c r="C77" s="15" t="n"/>
      <c r="D77" s="15" t="n"/>
      <c r="E77" s="15" t="n"/>
      <c r="F77" s="15" t="n"/>
      <c r="G77" s="16" t="n"/>
      <c r="H77" s="16" t="n"/>
      <c r="I77" s="16">
        <f>IF(OR(G77="",H77=""),"",H77-G77)</f>
        <v/>
      </c>
      <c r="J77" s="15" t="n"/>
      <c r="K77" s="15" t="n"/>
    </row>
    <row r="78" ht="22" customHeight="1">
      <c r="B78" s="20">
        <f>IF(C78="","TDB-"&amp;TEXT(COUNTA($C$5:C78),"000"))</f>
        <v/>
      </c>
      <c r="C78" s="17" t="n"/>
      <c r="D78" s="17" t="n"/>
      <c r="E78" s="17" t="n"/>
      <c r="F78" s="17" t="n"/>
      <c r="G78" s="18" t="n"/>
      <c r="H78" s="18" t="n"/>
      <c r="I78" s="18">
        <f>IF(OR(G78="",H78=""),"",H78-G78)</f>
        <v/>
      </c>
      <c r="J78" s="17" t="n"/>
      <c r="K78" s="17" t="n"/>
    </row>
    <row r="79" ht="22" customHeight="1">
      <c r="B79" s="19">
        <f>IF(C79="","TDB-"&amp;TEXT(COUNTA($C$5:C79),"000"))</f>
        <v/>
      </c>
      <c r="C79" s="15" t="n"/>
      <c r="D79" s="15" t="n"/>
      <c r="E79" s="15" t="n"/>
      <c r="F79" s="15" t="n"/>
      <c r="G79" s="16" t="n"/>
      <c r="H79" s="16" t="n"/>
      <c r="I79" s="16">
        <f>IF(OR(G79="",H79=""),"",H79-G79)</f>
        <v/>
      </c>
      <c r="J79" s="15" t="n"/>
      <c r="K79" s="15" t="n"/>
    </row>
    <row r="80" ht="22" customHeight="1">
      <c r="B80" s="20">
        <f>IF(C80="","TDB-"&amp;TEXT(COUNTA($C$5:C80),"000"))</f>
        <v/>
      </c>
      <c r="C80" s="17" t="n"/>
      <c r="D80" s="17" t="n"/>
      <c r="E80" s="17" t="n"/>
      <c r="F80" s="17" t="n"/>
      <c r="G80" s="18" t="n"/>
      <c r="H80" s="18" t="n"/>
      <c r="I80" s="18">
        <f>IF(OR(G80="",H80=""),"",H80-G80)</f>
        <v/>
      </c>
      <c r="J80" s="17" t="n"/>
      <c r="K80" s="17" t="n"/>
    </row>
    <row r="81" ht="22" customHeight="1">
      <c r="B81" s="19">
        <f>IF(C81="","TDB-"&amp;TEXT(COUNTA($C$5:C81),"000"))</f>
        <v/>
      </c>
      <c r="C81" s="15" t="n"/>
      <c r="D81" s="15" t="n"/>
      <c r="E81" s="15" t="n"/>
      <c r="F81" s="15" t="n"/>
      <c r="G81" s="16" t="n"/>
      <c r="H81" s="16" t="n"/>
      <c r="I81" s="16">
        <f>IF(OR(G81="",H81=""),"",H81-G81)</f>
        <v/>
      </c>
      <c r="J81" s="15" t="n"/>
      <c r="K81" s="15" t="n"/>
    </row>
    <row r="82" ht="22" customHeight="1">
      <c r="B82" s="20">
        <f>IF(C82="","TDB-"&amp;TEXT(COUNTA($C$5:C82),"000"))</f>
        <v/>
      </c>
      <c r="C82" s="17" t="n"/>
      <c r="D82" s="17" t="n"/>
      <c r="E82" s="17" t="n"/>
      <c r="F82" s="17" t="n"/>
      <c r="G82" s="18" t="n"/>
      <c r="H82" s="18" t="n"/>
      <c r="I82" s="18">
        <f>IF(OR(G82="",H82=""),"",H82-G82)</f>
        <v/>
      </c>
      <c r="J82" s="17" t="n"/>
      <c r="K82" s="17" t="n"/>
    </row>
    <row r="83" ht="22" customHeight="1">
      <c r="B83" s="19">
        <f>IF(C83="","TDB-"&amp;TEXT(COUNTA($C$5:C83),"000"))</f>
        <v/>
      </c>
      <c r="C83" s="15" t="n"/>
      <c r="D83" s="15" t="n"/>
      <c r="E83" s="15" t="n"/>
      <c r="F83" s="15" t="n"/>
      <c r="G83" s="16" t="n"/>
      <c r="H83" s="16" t="n"/>
      <c r="I83" s="16">
        <f>IF(OR(G83="",H83=""),"",H83-G83)</f>
        <v/>
      </c>
      <c r="J83" s="15" t="n"/>
      <c r="K83" s="15" t="n"/>
    </row>
    <row r="84" ht="22" customHeight="1">
      <c r="B84" s="20">
        <f>IF(C84="","TDB-"&amp;TEXT(COUNTA($C$5:C84),"000"))</f>
        <v/>
      </c>
      <c r="C84" s="17" t="n"/>
      <c r="D84" s="17" t="n"/>
      <c r="E84" s="17" t="n"/>
      <c r="F84" s="17" t="n"/>
      <c r="G84" s="18" t="n"/>
      <c r="H84" s="18" t="n"/>
      <c r="I84" s="18">
        <f>IF(OR(G84="",H84=""),"",H84-G84)</f>
        <v/>
      </c>
      <c r="J84" s="17" t="n"/>
      <c r="K84" s="17" t="n"/>
    </row>
    <row r="85" ht="22" customHeight="1">
      <c r="B85" s="19">
        <f>IF(C85="","TDB-"&amp;TEXT(COUNTA($C$5:C85),"000"))</f>
        <v/>
      </c>
      <c r="C85" s="15" t="n"/>
      <c r="D85" s="15" t="n"/>
      <c r="E85" s="15" t="n"/>
      <c r="F85" s="15" t="n"/>
      <c r="G85" s="16" t="n"/>
      <c r="H85" s="16" t="n"/>
      <c r="I85" s="16">
        <f>IF(OR(G85="",H85=""),"",H85-G85)</f>
        <v/>
      </c>
      <c r="J85" s="15" t="n"/>
      <c r="K85" s="15" t="n"/>
    </row>
    <row r="86" ht="22" customHeight="1">
      <c r="B86" s="20">
        <f>IF(C86="","TDB-"&amp;TEXT(COUNTA($C$5:C86),"000"))</f>
        <v/>
      </c>
      <c r="C86" s="17" t="n"/>
      <c r="D86" s="17" t="n"/>
      <c r="E86" s="17" t="n"/>
      <c r="F86" s="17" t="n"/>
      <c r="G86" s="18" t="n"/>
      <c r="H86" s="18" t="n"/>
      <c r="I86" s="18">
        <f>IF(OR(G86="",H86=""),"",H86-G86)</f>
        <v/>
      </c>
      <c r="J86" s="17" t="n"/>
      <c r="K86" s="17" t="n"/>
    </row>
    <row r="87" ht="22" customHeight="1">
      <c r="B87" s="19">
        <f>IF(C87="","TDB-"&amp;TEXT(COUNTA($C$5:C87),"000"))</f>
        <v/>
      </c>
      <c r="C87" s="15" t="n"/>
      <c r="D87" s="15" t="n"/>
      <c r="E87" s="15" t="n"/>
      <c r="F87" s="15" t="n"/>
      <c r="G87" s="16" t="n"/>
      <c r="H87" s="16" t="n"/>
      <c r="I87" s="16">
        <f>IF(OR(G87="",H87=""),"",H87-G87)</f>
        <v/>
      </c>
      <c r="J87" s="15" t="n"/>
      <c r="K87" s="15" t="n"/>
    </row>
    <row r="88" ht="22" customHeight="1">
      <c r="B88" s="20">
        <f>IF(C88="","TDB-"&amp;TEXT(COUNTA($C$5:C88),"000"))</f>
        <v/>
      </c>
      <c r="C88" s="17" t="n"/>
      <c r="D88" s="17" t="n"/>
      <c r="E88" s="17" t="n"/>
      <c r="F88" s="17" t="n"/>
      <c r="G88" s="18" t="n"/>
      <c r="H88" s="18" t="n"/>
      <c r="I88" s="18">
        <f>IF(OR(G88="",H88=""),"",H88-G88)</f>
        <v/>
      </c>
      <c r="J88" s="17" t="n"/>
      <c r="K88" s="17" t="n"/>
    </row>
    <row r="89" ht="22" customHeight="1">
      <c r="B89" s="19">
        <f>IF(C89="","TDB-"&amp;TEXT(COUNTA($C$5:C89),"000"))</f>
        <v/>
      </c>
      <c r="C89" s="15" t="n"/>
      <c r="D89" s="15" t="n"/>
      <c r="E89" s="15" t="n"/>
      <c r="F89" s="15" t="n"/>
      <c r="G89" s="16" t="n"/>
      <c r="H89" s="16" t="n"/>
      <c r="I89" s="16">
        <f>IF(OR(G89="",H89=""),"",H89-G89)</f>
        <v/>
      </c>
      <c r="J89" s="15" t="n"/>
      <c r="K89" s="15" t="n"/>
    </row>
    <row r="90" ht="22" customHeight="1">
      <c r="B90" s="20">
        <f>IF(C90="","TDB-"&amp;TEXT(COUNTA($C$5:C90),"000"))</f>
        <v/>
      </c>
      <c r="C90" s="17" t="n"/>
      <c r="D90" s="17" t="n"/>
      <c r="E90" s="17" t="n"/>
      <c r="F90" s="17" t="n"/>
      <c r="G90" s="18" t="n"/>
      <c r="H90" s="18" t="n"/>
      <c r="I90" s="18">
        <f>IF(OR(G90="",H90=""),"",H90-G90)</f>
        <v/>
      </c>
      <c r="J90" s="17" t="n"/>
      <c r="K90" s="17" t="n"/>
    </row>
    <row r="91" ht="22" customHeight="1">
      <c r="B91" s="19">
        <f>IF(C91="","TDB-"&amp;TEXT(COUNTA($C$5:C91),"000"))</f>
        <v/>
      </c>
      <c r="C91" s="15" t="n"/>
      <c r="D91" s="15" t="n"/>
      <c r="E91" s="15" t="n"/>
      <c r="F91" s="15" t="n"/>
      <c r="G91" s="16" t="n"/>
      <c r="H91" s="16" t="n"/>
      <c r="I91" s="16">
        <f>IF(OR(G91="",H91=""),"",H91-G91)</f>
        <v/>
      </c>
      <c r="J91" s="15" t="n"/>
      <c r="K91" s="15" t="n"/>
    </row>
    <row r="92" ht="22" customHeight="1">
      <c r="B92" s="20">
        <f>IF(C92="","TDB-"&amp;TEXT(COUNTA($C$5:C92),"000"))</f>
        <v/>
      </c>
      <c r="C92" s="17" t="n"/>
      <c r="D92" s="17" t="n"/>
      <c r="E92" s="17" t="n"/>
      <c r="F92" s="17" t="n"/>
      <c r="G92" s="18" t="n"/>
      <c r="H92" s="18" t="n"/>
      <c r="I92" s="18">
        <f>IF(OR(G92="",H92=""),"",H92-G92)</f>
        <v/>
      </c>
      <c r="J92" s="17" t="n"/>
      <c r="K92" s="17" t="n"/>
    </row>
    <row r="93" ht="22" customHeight="1">
      <c r="B93" s="19">
        <f>IF(C93="","TDB-"&amp;TEXT(COUNTA($C$5:C93),"000"))</f>
        <v/>
      </c>
      <c r="C93" s="15" t="n"/>
      <c r="D93" s="15" t="n"/>
      <c r="E93" s="15" t="n"/>
      <c r="F93" s="15" t="n"/>
      <c r="G93" s="16" t="n"/>
      <c r="H93" s="16" t="n"/>
      <c r="I93" s="16">
        <f>IF(OR(G93="",H93=""),"",H93-G93)</f>
        <v/>
      </c>
      <c r="J93" s="15" t="n"/>
      <c r="K93" s="15" t="n"/>
    </row>
    <row r="94" ht="22" customHeight="1">
      <c r="B94" s="20">
        <f>IF(C94="","TDB-"&amp;TEXT(COUNTA($C$5:C94),"000"))</f>
        <v/>
      </c>
      <c r="C94" s="17" t="n"/>
      <c r="D94" s="17" t="n"/>
      <c r="E94" s="17" t="n"/>
      <c r="F94" s="17" t="n"/>
      <c r="G94" s="18" t="n"/>
      <c r="H94" s="18" t="n"/>
      <c r="I94" s="18">
        <f>IF(OR(G94="",H94=""),"",H94-G94)</f>
        <v/>
      </c>
      <c r="J94" s="17" t="n"/>
      <c r="K94" s="17" t="n"/>
    </row>
    <row r="95" ht="22" customHeight="1">
      <c r="B95" s="19">
        <f>IF(C95="","TDB-"&amp;TEXT(COUNTA($C$5:C95),"000"))</f>
        <v/>
      </c>
      <c r="C95" s="15" t="n"/>
      <c r="D95" s="15" t="n"/>
      <c r="E95" s="15" t="n"/>
      <c r="F95" s="15" t="n"/>
      <c r="G95" s="16" t="n"/>
      <c r="H95" s="16" t="n"/>
      <c r="I95" s="16">
        <f>IF(OR(G95="",H95=""),"",H95-G95)</f>
        <v/>
      </c>
      <c r="J95" s="15" t="n"/>
      <c r="K95" s="15" t="n"/>
    </row>
    <row r="96" ht="22" customHeight="1">
      <c r="B96" s="20">
        <f>IF(C96="","TDB-"&amp;TEXT(COUNTA($C$5:C96),"000"))</f>
        <v/>
      </c>
      <c r="C96" s="17" t="n"/>
      <c r="D96" s="17" t="n"/>
      <c r="E96" s="17" t="n"/>
      <c r="F96" s="17" t="n"/>
      <c r="G96" s="18" t="n"/>
      <c r="H96" s="18" t="n"/>
      <c r="I96" s="18">
        <f>IF(OR(G96="",H96=""),"",H96-G96)</f>
        <v/>
      </c>
      <c r="J96" s="17" t="n"/>
      <c r="K96" s="17" t="n"/>
    </row>
    <row r="97" ht="22" customHeight="1">
      <c r="B97" s="19">
        <f>IF(C97="","TDB-"&amp;TEXT(COUNTA($C$5:C97),"000"))</f>
        <v/>
      </c>
      <c r="C97" s="15" t="n"/>
      <c r="D97" s="15" t="n"/>
      <c r="E97" s="15" t="n"/>
      <c r="F97" s="15" t="n"/>
      <c r="G97" s="16" t="n"/>
      <c r="H97" s="16" t="n"/>
      <c r="I97" s="16">
        <f>IF(OR(G97="",H97=""),"",H97-G97)</f>
        <v/>
      </c>
      <c r="J97" s="15" t="n"/>
      <c r="K97" s="15" t="n"/>
    </row>
    <row r="98" ht="22" customHeight="1">
      <c r="B98" s="20">
        <f>IF(C98="","TDB-"&amp;TEXT(COUNTA($C$5:C98),"000"))</f>
        <v/>
      </c>
      <c r="C98" s="17" t="n"/>
      <c r="D98" s="17" t="n"/>
      <c r="E98" s="17" t="n"/>
      <c r="F98" s="17" t="n"/>
      <c r="G98" s="18" t="n"/>
      <c r="H98" s="18" t="n"/>
      <c r="I98" s="18">
        <f>IF(OR(G98="",H98=""),"",H98-G98)</f>
        <v/>
      </c>
      <c r="J98" s="17" t="n"/>
      <c r="K98" s="17" t="n"/>
    </row>
    <row r="99" ht="22" customHeight="1">
      <c r="B99" s="19">
        <f>IF(C99="","TDB-"&amp;TEXT(COUNTA($C$5:C99),"000"))</f>
        <v/>
      </c>
      <c r="C99" s="15" t="n"/>
      <c r="D99" s="15" t="n"/>
      <c r="E99" s="15" t="n"/>
      <c r="F99" s="15" t="n"/>
      <c r="G99" s="16" t="n"/>
      <c r="H99" s="16" t="n"/>
      <c r="I99" s="16">
        <f>IF(OR(G99="",H99=""),"",H99-G99)</f>
        <v/>
      </c>
      <c r="J99" s="15" t="n"/>
      <c r="K99" s="15" t="n"/>
    </row>
    <row r="100" ht="22" customHeight="1">
      <c r="B100" s="20">
        <f>IF(C100="","TDB-"&amp;TEXT(COUNTA($C$5:C100),"000"))</f>
        <v/>
      </c>
      <c r="C100" s="17" t="n"/>
      <c r="D100" s="17" t="n"/>
      <c r="E100" s="17" t="n"/>
      <c r="F100" s="17" t="n"/>
      <c r="G100" s="18" t="n"/>
      <c r="H100" s="18" t="n"/>
      <c r="I100" s="18">
        <f>IF(OR(G100="",H100=""),"",H100-G100)</f>
        <v/>
      </c>
      <c r="J100" s="17" t="n"/>
      <c r="K100" s="17" t="n"/>
    </row>
    <row r="101" ht="22" customHeight="1">
      <c r="B101" s="19">
        <f>IF(C101="","TDB-"&amp;TEXT(COUNTA($C$5:C101),"000"))</f>
        <v/>
      </c>
      <c r="C101" s="15" t="n"/>
      <c r="D101" s="15" t="n"/>
      <c r="E101" s="15" t="n"/>
      <c r="F101" s="15" t="n"/>
      <c r="G101" s="16" t="n"/>
      <c r="H101" s="16" t="n"/>
      <c r="I101" s="16">
        <f>IF(OR(G101="",H101=""),"",H101-G101)</f>
        <v/>
      </c>
      <c r="J101" s="15" t="n"/>
      <c r="K101" s="15" t="n"/>
    </row>
    <row r="102" ht="22" customHeight="1">
      <c r="B102" s="20">
        <f>IF(C102="","TDB-"&amp;TEXT(COUNTA($C$5:C102),"000"))</f>
        <v/>
      </c>
      <c r="C102" s="17" t="n"/>
      <c r="D102" s="17" t="n"/>
      <c r="E102" s="17" t="n"/>
      <c r="F102" s="17" t="n"/>
      <c r="G102" s="18" t="n"/>
      <c r="H102" s="18" t="n"/>
      <c r="I102" s="18">
        <f>IF(OR(G102="",H102=""),"",H102-G102)</f>
        <v/>
      </c>
      <c r="J102" s="17" t="n"/>
      <c r="K102" s="17" t="n"/>
    </row>
    <row r="103" ht="22" customHeight="1">
      <c r="B103" s="19">
        <f>IF(C103="","TDB-"&amp;TEXT(COUNTA($C$5:C103),"000"))</f>
        <v/>
      </c>
      <c r="C103" s="15" t="n"/>
      <c r="D103" s="15" t="n"/>
      <c r="E103" s="15" t="n"/>
      <c r="F103" s="15" t="n"/>
      <c r="G103" s="16" t="n"/>
      <c r="H103" s="16" t="n"/>
      <c r="I103" s="16">
        <f>IF(OR(G103="",H103=""),"",H103-G103)</f>
        <v/>
      </c>
      <c r="J103" s="15" t="n"/>
      <c r="K103" s="15" t="n"/>
    </row>
    <row r="104" ht="22" customHeight="1">
      <c r="B104" s="20">
        <f>IF(C104="","TDB-"&amp;TEXT(COUNTA($C$5:C104),"000"))</f>
        <v/>
      </c>
      <c r="C104" s="17" t="n"/>
      <c r="D104" s="17" t="n"/>
      <c r="E104" s="17" t="n"/>
      <c r="F104" s="17" t="n"/>
      <c r="G104" s="18" t="n"/>
      <c r="H104" s="18" t="n"/>
      <c r="I104" s="18">
        <f>IF(OR(G104="",H104=""),"",H104-G104)</f>
        <v/>
      </c>
      <c r="J104" s="17" t="n"/>
      <c r="K104" s="17" t="n"/>
    </row>
    <row r="105" ht="22" customHeight="1">
      <c r="B105" s="19">
        <f>IF(C105="","TDB-"&amp;TEXT(COUNTA($C$5:C105),"000"))</f>
        <v/>
      </c>
      <c r="C105" s="15" t="n"/>
      <c r="D105" s="15" t="n"/>
      <c r="E105" s="15" t="n"/>
      <c r="F105" s="15" t="n"/>
      <c r="G105" s="16" t="n"/>
      <c r="H105" s="16" t="n"/>
      <c r="I105" s="16">
        <f>IF(OR(G105="",H105=""),"",H105-G105)</f>
        <v/>
      </c>
      <c r="J105" s="15" t="n"/>
      <c r="K105" s="15" t="n"/>
    </row>
    <row r="106" ht="22" customHeight="1">
      <c r="B106" s="20">
        <f>IF(C106="","TDB-"&amp;TEXT(COUNTA($C$5:C106),"000"))</f>
        <v/>
      </c>
      <c r="C106" s="17" t="n"/>
      <c r="D106" s="17" t="n"/>
      <c r="E106" s="17" t="n"/>
      <c r="F106" s="17" t="n"/>
      <c r="G106" s="18" t="n"/>
      <c r="H106" s="18" t="n"/>
      <c r="I106" s="18">
        <f>IF(OR(G106="",H106=""),"",H106-G106)</f>
        <v/>
      </c>
      <c r="J106" s="17" t="n"/>
      <c r="K106" s="17" t="n"/>
    </row>
    <row r="107" ht="22" customHeight="1">
      <c r="B107" s="19">
        <f>IF(C107="","TDB-"&amp;TEXT(COUNTA($C$5:C107),"000"))</f>
        <v/>
      </c>
      <c r="C107" s="15" t="n"/>
      <c r="D107" s="15" t="n"/>
      <c r="E107" s="15" t="n"/>
      <c r="F107" s="15" t="n"/>
      <c r="G107" s="16" t="n"/>
      <c r="H107" s="16" t="n"/>
      <c r="I107" s="16">
        <f>IF(OR(G107="",H107=""),"",H107-G107)</f>
        <v/>
      </c>
      <c r="J107" s="15" t="n"/>
      <c r="K107" s="15" t="n"/>
    </row>
    <row r="108" ht="22" customHeight="1">
      <c r="B108" s="20">
        <f>IF(C108="","TDB-"&amp;TEXT(COUNTA($C$5:C108),"000"))</f>
        <v/>
      </c>
      <c r="C108" s="17" t="n"/>
      <c r="D108" s="17" t="n"/>
      <c r="E108" s="17" t="n"/>
      <c r="F108" s="17" t="n"/>
      <c r="G108" s="18" t="n"/>
      <c r="H108" s="18" t="n"/>
      <c r="I108" s="18">
        <f>IF(OR(G108="",H108=""),"",H108-G108)</f>
        <v/>
      </c>
      <c r="J108" s="17" t="n"/>
      <c r="K108" s="17" t="n"/>
    </row>
    <row r="109" ht="22" customHeight="1">
      <c r="B109" s="19">
        <f>IF(C109="","TDB-"&amp;TEXT(COUNTA($C$5:C109),"000"))</f>
        <v/>
      </c>
      <c r="C109" s="15" t="n"/>
      <c r="D109" s="15" t="n"/>
      <c r="E109" s="15" t="n"/>
      <c r="F109" s="15" t="n"/>
      <c r="G109" s="16" t="n"/>
      <c r="H109" s="16" t="n"/>
      <c r="I109" s="16">
        <f>IF(OR(G109="",H109=""),"",H109-G109)</f>
        <v/>
      </c>
      <c r="J109" s="15" t="n"/>
      <c r="K109" s="15" t="n"/>
    </row>
    <row r="110" ht="22" customHeight="1">
      <c r="B110" s="20">
        <f>IF(C110="","TDB-"&amp;TEXT(COUNTA($C$5:C110),"000"))</f>
        <v/>
      </c>
      <c r="C110" s="17" t="n"/>
      <c r="D110" s="17" t="n"/>
      <c r="E110" s="17" t="n"/>
      <c r="F110" s="17" t="n"/>
      <c r="G110" s="18" t="n"/>
      <c r="H110" s="18" t="n"/>
      <c r="I110" s="18">
        <f>IF(OR(G110="",H110=""),"",H110-G110)</f>
        <v/>
      </c>
      <c r="J110" s="17" t="n"/>
      <c r="K110" s="17" t="n"/>
    </row>
    <row r="111" ht="22" customHeight="1">
      <c r="B111" s="19">
        <f>IF(C111="","TDB-"&amp;TEXT(COUNTA($C$5:C111),"000"))</f>
        <v/>
      </c>
      <c r="C111" s="15" t="n"/>
      <c r="D111" s="15" t="n"/>
      <c r="E111" s="15" t="n"/>
      <c r="F111" s="15" t="n"/>
      <c r="G111" s="16" t="n"/>
      <c r="H111" s="16" t="n"/>
      <c r="I111" s="16">
        <f>IF(OR(G111="",H111=""),"",H111-G111)</f>
        <v/>
      </c>
      <c r="J111" s="15" t="n"/>
      <c r="K111" s="15" t="n"/>
    </row>
    <row r="112" ht="22" customHeight="1">
      <c r="B112" s="20">
        <f>IF(C112="","TDB-"&amp;TEXT(COUNTA($C$5:C112),"000"))</f>
        <v/>
      </c>
      <c r="C112" s="17" t="n"/>
      <c r="D112" s="17" t="n"/>
      <c r="E112" s="17" t="n"/>
      <c r="F112" s="17" t="n"/>
      <c r="G112" s="18" t="n"/>
      <c r="H112" s="18" t="n"/>
      <c r="I112" s="18">
        <f>IF(OR(G112="",H112=""),"",H112-G112)</f>
        <v/>
      </c>
      <c r="J112" s="17" t="n"/>
      <c r="K112" s="17" t="n"/>
    </row>
    <row r="114">
      <c r="B114" s="8" t="inlineStr">
        <is>
          <t>INDICATEURS (mis a jour automatiquement)</t>
        </is>
      </c>
    </row>
    <row r="115">
      <c r="B115" s="3" t="inlineStr">
        <is>
          <t>Indicateurs suivis</t>
        </is>
      </c>
      <c r="D115" s="3" t="inlineStr">
        <is>
          <t>Objectifs atteints</t>
        </is>
      </c>
    </row>
    <row r="116">
      <c r="B116" s="4">
        <f>COUNTIF(B5:B104,"&lt;&gt;")</f>
        <v/>
      </c>
      <c r="D116" s="4">
        <f>COUNTIF(K5:K104,"Atteint")+COUNTIF(K5:K104,"Depasse")</f>
        <v/>
      </c>
    </row>
  </sheetData>
  <mergeCells count="3">
    <mergeCell ref="B114:K114"/>
    <mergeCell ref="B3:K3"/>
    <mergeCell ref="B2:K2"/>
  </mergeCells>
  <conditionalFormatting sqref="B13:B112">
    <cfRule type="expression" priority="1" dxfId="0">
      <formula>AND($C13="",$C12&lt;&gt;"")</formula>
    </cfRule>
  </conditionalFormatting>
  <conditionalFormatting sqref="C13:C112">
    <cfRule type="expression" priority="2" dxfId="0">
      <formula>AND($C13="",$C12&lt;&gt;"")</formula>
    </cfRule>
  </conditionalFormatting>
  <conditionalFormatting sqref="D13:D112">
    <cfRule type="expression" priority="3" dxfId="0">
      <formula>AND($C13="",$C12&lt;&gt;"")</formula>
    </cfRule>
  </conditionalFormatting>
  <conditionalFormatting sqref="E13:E112">
    <cfRule type="expression" priority="4" dxfId="0">
      <formula>AND($C13="",$C12&lt;&gt;"")</formula>
    </cfRule>
  </conditionalFormatting>
  <conditionalFormatting sqref="F13:F112">
    <cfRule type="expression" priority="5" dxfId="0">
      <formula>AND($C13="",$C12&lt;&gt;"")</formula>
    </cfRule>
  </conditionalFormatting>
  <conditionalFormatting sqref="G13:G112">
    <cfRule type="expression" priority="6" dxfId="0">
      <formula>AND($C13="",$C12&lt;&gt;"")</formula>
    </cfRule>
  </conditionalFormatting>
  <conditionalFormatting sqref="H13:H112">
    <cfRule type="expression" priority="7" dxfId="0">
      <formula>AND($C13="",$C12&lt;&gt;"")</formula>
    </cfRule>
  </conditionalFormatting>
  <conditionalFormatting sqref="I13:I112">
    <cfRule type="expression" priority="8" dxfId="0">
      <formula>AND($C13="",$C12&lt;&gt;"")</formula>
    </cfRule>
  </conditionalFormatting>
  <conditionalFormatting sqref="J13:J112">
    <cfRule type="expression" priority="9" dxfId="0">
      <formula>AND($C13="",$C12&lt;&gt;"")</formula>
    </cfRule>
  </conditionalFormatting>
  <conditionalFormatting sqref="K13:K112">
    <cfRule type="expression" priority="10" dxfId="0">
      <formula>AND($C13="",$C12&lt;&gt;"")</formula>
    </cfRule>
  </conditionalFormatting>
  <dataValidations count="3">
    <dataValidation sqref="D5:D112" showDropDown="0" showInputMessage="0" showErrorMessage="0" allowBlank="1" errorTitle="Erreur" error="Valeur invalide" promptTitle="Liste" prompt="Choisir dans la liste" type="list">
      <formula1>'_Lists'!$I$2:$I$13</formula1>
    </dataValidation>
    <dataValidation sqref="E5:E112" showDropDown="0" showInputMessage="0" showErrorMessage="0" allowBlank="1" errorTitle="Erreur" error="Valeur invalide" promptTitle="Liste" prompt="Choisir dans la liste" type="list">
      <formula1>'_Lists'!$F$2:$F$13</formula1>
    </dataValidation>
    <dataValidation sqref="F5:F112" showDropDown="0" showInputMessage="0" showErrorMessage="0" allowBlank="1" errorTitle="Erreur" error="Valeur invalide" promptTitle="Liste" prompt="Choisir dans la liste" type="list">
      <formula1>'_Lists'!$G$2:$G$4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16" customWidth="1" min="9" max="9"/>
    <col width="16" customWidth="1" min="10" max="10"/>
    <col width="20" customWidth="1" min="11" max="11"/>
    <col width="14" customWidth="1" min="12" max="12"/>
  </cols>
  <sheetData>
    <row r="1" ht="15" customHeight="1"/>
    <row r="2" ht="32" customHeight="1">
      <c r="B2" s="1" t="inlineStr">
        <is>
          <t>TdB PAR SERVICE (#137)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Service</t>
        </is>
      </c>
      <c r="D4" s="14" t="inlineStr">
        <is>
          <t>Effectif</t>
        </is>
      </c>
      <c r="E4" s="14" t="inlineStr">
        <is>
          <t>Hommes</t>
        </is>
      </c>
      <c r="F4" s="14" t="inlineStr">
        <is>
          <t>Femmes</t>
        </is>
      </c>
      <c r="G4" s="14" t="inlineStr">
        <is>
          <t>Cadres</t>
        </is>
      </c>
      <c r="H4" s="14" t="inlineStr">
        <is>
          <t>Masse Salariale (FCFA)</t>
        </is>
      </c>
      <c r="I4" s="14" t="inlineStr">
        <is>
          <t>Nb Depart Mois</t>
        </is>
      </c>
      <c r="J4" s="14" t="inlineStr">
        <is>
          <t>Nb Entrees Mois</t>
        </is>
      </c>
      <c r="K4" s="14" t="inlineStr">
        <is>
          <t>Taux Absenteisme (%)</t>
        </is>
      </c>
      <c r="L4" s="14" t="inlineStr">
        <is>
          <t>Statut</t>
        </is>
      </c>
    </row>
    <row r="5" ht="22" customHeight="1">
      <c r="B5" s="15" t="inlineStr">
        <is>
          <t>SVR-001</t>
        </is>
      </c>
      <c r="C5" s="15" t="inlineStr">
        <is>
          <t>Direction Generale</t>
        </is>
      </c>
      <c r="D5" s="21" t="n">
        <v>4</v>
      </c>
      <c r="E5" s="21" t="n">
        <v>3</v>
      </c>
      <c r="F5" s="21" t="n">
        <v>1</v>
      </c>
      <c r="G5" s="21" t="n">
        <v>4</v>
      </c>
      <c r="H5" s="22" t="n">
        <v>3200000</v>
      </c>
      <c r="I5" s="21" t="n">
        <v>0</v>
      </c>
      <c r="J5" s="21" t="n">
        <v>0</v>
      </c>
      <c r="K5" s="23" t="n">
        <v>0.01</v>
      </c>
      <c r="L5" s="15" t="inlineStr">
        <is>
          <t>En cours</t>
        </is>
      </c>
    </row>
    <row r="6" ht="22" customHeight="1">
      <c r="B6" s="17" t="inlineStr">
        <is>
          <t>SVR-002</t>
        </is>
      </c>
      <c r="C6" s="17" t="inlineStr">
        <is>
          <t>Service Client</t>
        </is>
      </c>
      <c r="D6" s="24" t="n">
        <v>3</v>
      </c>
      <c r="E6" s="24" t="n">
        <v>1</v>
      </c>
      <c r="F6" s="24" t="n">
        <v>2</v>
      </c>
      <c r="G6" s="24" t="n">
        <v>2</v>
      </c>
      <c r="H6" s="25" t="n">
        <v>1050000</v>
      </c>
      <c r="I6" s="24" t="n">
        <v>0</v>
      </c>
      <c r="J6" s="24" t="n">
        <v>1</v>
      </c>
      <c r="K6" s="26" t="n">
        <v>0.02</v>
      </c>
      <c r="L6" s="17" t="inlineStr">
        <is>
          <t>En cours</t>
        </is>
      </c>
    </row>
    <row r="7" ht="22" customHeight="1">
      <c r="B7" s="15" t="inlineStr">
        <is>
          <t>SVR-003</t>
        </is>
      </c>
      <c r="C7" s="15" t="inlineStr">
        <is>
          <t>Réception &amp; Front Office</t>
        </is>
      </c>
      <c r="D7" s="21" t="n">
        <v>14</v>
      </c>
      <c r="E7" s="21" t="n">
        <v>6</v>
      </c>
      <c r="F7" s="21" t="n">
        <v>8</v>
      </c>
      <c r="G7" s="21" t="n">
        <v>3</v>
      </c>
      <c r="H7" s="22" t="n">
        <v>3150000</v>
      </c>
      <c r="I7" s="21" t="n">
        <v>1</v>
      </c>
      <c r="J7" s="21" t="n">
        <v>2</v>
      </c>
      <c r="K7" s="23" t="n">
        <v>0.045</v>
      </c>
      <c r="L7" s="15" t="inlineStr">
        <is>
          <t>En cours</t>
        </is>
      </c>
    </row>
    <row r="8" ht="22" customHeight="1">
      <c r="B8" s="17" t="inlineStr">
        <is>
          <t>SVR-004</t>
        </is>
      </c>
      <c r="C8" s="17" t="inlineStr">
        <is>
          <t>Cuisine &amp; Restauration</t>
        </is>
      </c>
      <c r="D8" s="24" t="n">
        <v>22</v>
      </c>
      <c r="E8" s="24" t="n">
        <v>15</v>
      </c>
      <c r="F8" s="24" t="n">
        <v>7</v>
      </c>
      <c r="G8" s="24" t="n">
        <v>4</v>
      </c>
      <c r="H8" s="25" t="n">
        <v>4950000</v>
      </c>
      <c r="I8" s="24" t="n">
        <v>2</v>
      </c>
      <c r="J8" s="24" t="n">
        <v>1</v>
      </c>
      <c r="K8" s="26" t="n">
        <v>0.05</v>
      </c>
      <c r="L8" s="17" t="inlineStr">
        <is>
          <t>En cours</t>
        </is>
      </c>
    </row>
    <row r="9" ht="22" customHeight="1">
      <c r="B9" s="15" t="inlineStr">
        <is>
          <t>SVR-005</t>
        </is>
      </c>
      <c r="C9" s="15" t="inlineStr">
        <is>
          <t>Maintenance</t>
        </is>
      </c>
      <c r="D9" s="21" t="n">
        <v>10</v>
      </c>
      <c r="E9" s="21" t="n">
        <v>8</v>
      </c>
      <c r="F9" s="21" t="n">
        <v>2</v>
      </c>
      <c r="G9" s="21" t="n">
        <v>2</v>
      </c>
      <c r="H9" s="22" t="n">
        <v>2100000</v>
      </c>
      <c r="I9" s="21" t="n">
        <v>0</v>
      </c>
      <c r="J9" s="21" t="n">
        <v>0</v>
      </c>
      <c r="K9" s="23" t="n">
        <v>0.03</v>
      </c>
      <c r="L9" s="15" t="inlineStr">
        <is>
          <t>En cours</t>
        </is>
      </c>
    </row>
    <row r="10" ht="22" customHeight="1">
      <c r="B10" s="20">
        <f>IF(C10="","SVR-"&amp;TEXT(COUNTA($C$5:C10),"000"))</f>
        <v/>
      </c>
      <c r="C10" s="17" t="n"/>
      <c r="D10" s="24" t="n"/>
      <c r="E10" s="24" t="n"/>
      <c r="F10" s="24" t="n"/>
      <c r="G10" s="24" t="n"/>
      <c r="H10" s="25" t="n"/>
      <c r="I10" s="24" t="n"/>
      <c r="J10" s="24" t="n"/>
      <c r="K10" s="26" t="n"/>
      <c r="L10" s="17" t="n"/>
    </row>
    <row r="11" ht="22" customHeight="1">
      <c r="B11" s="19">
        <f>IF(C11="","SVR-"&amp;TEXT(COUNTA($C$5:C11),"000"))</f>
        <v/>
      </c>
      <c r="C11" s="15" t="n"/>
      <c r="D11" s="21" t="n"/>
      <c r="E11" s="21" t="n"/>
      <c r="F11" s="21" t="n"/>
      <c r="G11" s="21" t="n"/>
      <c r="H11" s="22" t="n"/>
      <c r="I11" s="21" t="n"/>
      <c r="J11" s="21" t="n"/>
      <c r="K11" s="23" t="n"/>
      <c r="L11" s="15" t="n"/>
    </row>
    <row r="12" ht="22" customHeight="1">
      <c r="B12" s="20">
        <f>IF(C12="","SVR-"&amp;TEXT(COUNTA($C$5:C12),"000"))</f>
        <v/>
      </c>
      <c r="C12" s="17" t="n"/>
      <c r="D12" s="24" t="n"/>
      <c r="E12" s="24" t="n"/>
      <c r="F12" s="24" t="n"/>
      <c r="G12" s="24" t="n"/>
      <c r="H12" s="25" t="n"/>
      <c r="I12" s="24" t="n"/>
      <c r="J12" s="24" t="n"/>
      <c r="K12" s="26" t="n"/>
      <c r="L12" s="17" t="n"/>
    </row>
    <row r="13" ht="22" customHeight="1">
      <c r="B13" s="19">
        <f>IF(C13="","SVR-"&amp;TEXT(COUNTA($C$5:C13),"000"))</f>
        <v/>
      </c>
      <c r="C13" s="15" t="n"/>
      <c r="D13" s="21" t="n"/>
      <c r="E13" s="21" t="n"/>
      <c r="F13" s="21" t="n"/>
      <c r="G13" s="21" t="n"/>
      <c r="H13" s="22" t="n"/>
      <c r="I13" s="21" t="n"/>
      <c r="J13" s="21" t="n"/>
      <c r="K13" s="23" t="n"/>
      <c r="L13" s="15" t="n"/>
    </row>
    <row r="14" ht="22" customHeight="1">
      <c r="B14" s="20">
        <f>IF(C14="","SVR-"&amp;TEXT(COUNTA($C$5:C14),"000"))</f>
        <v/>
      </c>
      <c r="C14" s="17" t="n"/>
      <c r="D14" s="24" t="n"/>
      <c r="E14" s="24" t="n"/>
      <c r="F14" s="24" t="n"/>
      <c r="G14" s="24" t="n"/>
      <c r="H14" s="25" t="n"/>
      <c r="I14" s="24" t="n"/>
      <c r="J14" s="24" t="n"/>
      <c r="K14" s="26" t="n"/>
      <c r="L14" s="17" t="n"/>
    </row>
    <row r="15" ht="22" customHeight="1">
      <c r="B15" s="19">
        <f>IF(C15="","SVR-"&amp;TEXT(COUNTA($C$5:C15),"000"))</f>
        <v/>
      </c>
      <c r="C15" s="15" t="n"/>
      <c r="D15" s="21" t="n"/>
      <c r="E15" s="21" t="n"/>
      <c r="F15" s="21" t="n"/>
      <c r="G15" s="21" t="n"/>
      <c r="H15" s="22" t="n"/>
      <c r="I15" s="21" t="n"/>
      <c r="J15" s="21" t="n"/>
      <c r="K15" s="23" t="n"/>
      <c r="L15" s="15" t="n"/>
    </row>
    <row r="16" ht="22" customHeight="1">
      <c r="B16" s="20">
        <f>IF(C16="","SVR-"&amp;TEXT(COUNTA($C$5:C16),"000"))</f>
        <v/>
      </c>
      <c r="C16" s="17" t="n"/>
      <c r="D16" s="24" t="n"/>
      <c r="E16" s="24" t="n"/>
      <c r="F16" s="24" t="n"/>
      <c r="G16" s="24" t="n"/>
      <c r="H16" s="25" t="n"/>
      <c r="I16" s="24" t="n"/>
      <c r="J16" s="24" t="n"/>
      <c r="K16" s="26" t="n"/>
      <c r="L16" s="17" t="n"/>
    </row>
    <row r="17" ht="22" customHeight="1">
      <c r="B17" s="19">
        <f>IF(C17="","SVR-"&amp;TEXT(COUNTA($C$5:C17),"000"))</f>
        <v/>
      </c>
      <c r="C17" s="15" t="n"/>
      <c r="D17" s="21" t="n"/>
      <c r="E17" s="21" t="n"/>
      <c r="F17" s="21" t="n"/>
      <c r="G17" s="21" t="n"/>
      <c r="H17" s="22" t="n"/>
      <c r="I17" s="21" t="n"/>
      <c r="J17" s="21" t="n"/>
      <c r="K17" s="23" t="n"/>
      <c r="L17" s="15" t="n"/>
    </row>
    <row r="18" ht="22" customHeight="1">
      <c r="B18" s="20">
        <f>IF(C18="","SVR-"&amp;TEXT(COUNTA($C$5:C18),"000"))</f>
        <v/>
      </c>
      <c r="C18" s="17" t="n"/>
      <c r="D18" s="24" t="n"/>
      <c r="E18" s="24" t="n"/>
      <c r="F18" s="24" t="n"/>
      <c r="G18" s="24" t="n"/>
      <c r="H18" s="25" t="n"/>
      <c r="I18" s="24" t="n"/>
      <c r="J18" s="24" t="n"/>
      <c r="K18" s="26" t="n"/>
      <c r="L18" s="17" t="n"/>
    </row>
    <row r="19" ht="22" customHeight="1">
      <c r="B19" s="19">
        <f>IF(C19="","SVR-"&amp;TEXT(COUNTA($C$5:C19),"000"))</f>
        <v/>
      </c>
      <c r="C19" s="15" t="n"/>
      <c r="D19" s="21" t="n"/>
      <c r="E19" s="21" t="n"/>
      <c r="F19" s="21" t="n"/>
      <c r="G19" s="21" t="n"/>
      <c r="H19" s="22" t="n"/>
      <c r="I19" s="21" t="n"/>
      <c r="J19" s="21" t="n"/>
      <c r="K19" s="23" t="n"/>
      <c r="L19" s="15" t="n"/>
    </row>
    <row r="20" ht="22" customHeight="1">
      <c r="B20" s="20">
        <f>IF(C20="","SVR-"&amp;TEXT(COUNTA($C$5:C20),"000"))</f>
        <v/>
      </c>
      <c r="C20" s="17" t="n"/>
      <c r="D20" s="24" t="n"/>
      <c r="E20" s="24" t="n"/>
      <c r="F20" s="24" t="n"/>
      <c r="G20" s="24" t="n"/>
      <c r="H20" s="25" t="n"/>
      <c r="I20" s="24" t="n"/>
      <c r="J20" s="24" t="n"/>
      <c r="K20" s="26" t="n"/>
      <c r="L20" s="17" t="n"/>
    </row>
    <row r="21" ht="22" customHeight="1">
      <c r="B21" s="19">
        <f>IF(C21="","SVR-"&amp;TEXT(COUNTA($C$5:C21),"000"))</f>
        <v/>
      </c>
      <c r="C21" s="15" t="n"/>
      <c r="D21" s="21" t="n"/>
      <c r="E21" s="21" t="n"/>
      <c r="F21" s="21" t="n"/>
      <c r="G21" s="21" t="n"/>
      <c r="H21" s="22" t="n"/>
      <c r="I21" s="21" t="n"/>
      <c r="J21" s="21" t="n"/>
      <c r="K21" s="23" t="n"/>
      <c r="L21" s="15" t="n"/>
    </row>
    <row r="22" ht="22" customHeight="1">
      <c r="B22" s="20">
        <f>IF(C22="","SVR-"&amp;TEXT(COUNTA($C$5:C22),"000"))</f>
        <v/>
      </c>
      <c r="C22" s="17" t="n"/>
      <c r="D22" s="24" t="n"/>
      <c r="E22" s="24" t="n"/>
      <c r="F22" s="24" t="n"/>
      <c r="G22" s="24" t="n"/>
      <c r="H22" s="25" t="n"/>
      <c r="I22" s="24" t="n"/>
      <c r="J22" s="24" t="n"/>
      <c r="K22" s="26" t="n"/>
      <c r="L22" s="17" t="n"/>
    </row>
    <row r="23" ht="22" customHeight="1">
      <c r="B23" s="19">
        <f>IF(C23="","SVR-"&amp;TEXT(COUNTA($C$5:C23),"000"))</f>
        <v/>
      </c>
      <c r="C23" s="15" t="n"/>
      <c r="D23" s="21" t="n"/>
      <c r="E23" s="21" t="n"/>
      <c r="F23" s="21" t="n"/>
      <c r="G23" s="21" t="n"/>
      <c r="H23" s="22" t="n"/>
      <c r="I23" s="21" t="n"/>
      <c r="J23" s="21" t="n"/>
      <c r="K23" s="23" t="n"/>
      <c r="L23" s="15" t="n"/>
    </row>
    <row r="24" ht="22" customHeight="1">
      <c r="B24" s="20">
        <f>IF(C24="","SVR-"&amp;TEXT(COUNTA($C$5:C24),"000"))</f>
        <v/>
      </c>
      <c r="C24" s="17" t="n"/>
      <c r="D24" s="24" t="n"/>
      <c r="E24" s="24" t="n"/>
      <c r="F24" s="24" t="n"/>
      <c r="G24" s="24" t="n"/>
      <c r="H24" s="25" t="n"/>
      <c r="I24" s="24" t="n"/>
      <c r="J24" s="24" t="n"/>
      <c r="K24" s="26" t="n"/>
      <c r="L24" s="17" t="n"/>
    </row>
    <row r="25" ht="22" customHeight="1">
      <c r="B25" s="19">
        <f>IF(C25="","SVR-"&amp;TEXT(COUNTA($C$5:C25),"000"))</f>
        <v/>
      </c>
      <c r="C25" s="15" t="n"/>
      <c r="D25" s="21" t="n"/>
      <c r="E25" s="21" t="n"/>
      <c r="F25" s="21" t="n"/>
      <c r="G25" s="21" t="n"/>
      <c r="H25" s="22" t="n"/>
      <c r="I25" s="21" t="n"/>
      <c r="J25" s="21" t="n"/>
      <c r="K25" s="23" t="n"/>
      <c r="L25" s="15" t="n"/>
    </row>
    <row r="26" ht="22" customHeight="1">
      <c r="B26" s="20">
        <f>IF(C26="","SVR-"&amp;TEXT(COUNTA($C$5:C26),"000"))</f>
        <v/>
      </c>
      <c r="C26" s="17" t="n"/>
      <c r="D26" s="24" t="n"/>
      <c r="E26" s="24" t="n"/>
      <c r="F26" s="24" t="n"/>
      <c r="G26" s="24" t="n"/>
      <c r="H26" s="25" t="n"/>
      <c r="I26" s="24" t="n"/>
      <c r="J26" s="24" t="n"/>
      <c r="K26" s="26" t="n"/>
      <c r="L26" s="17" t="n"/>
    </row>
    <row r="27" ht="22" customHeight="1">
      <c r="B27" s="19">
        <f>IF(C27="","SVR-"&amp;TEXT(COUNTA($C$5:C27),"000"))</f>
        <v/>
      </c>
      <c r="C27" s="15" t="n"/>
      <c r="D27" s="21" t="n"/>
      <c r="E27" s="21" t="n"/>
      <c r="F27" s="21" t="n"/>
      <c r="G27" s="21" t="n"/>
      <c r="H27" s="22" t="n"/>
      <c r="I27" s="21" t="n"/>
      <c r="J27" s="21" t="n"/>
      <c r="K27" s="23" t="n"/>
      <c r="L27" s="15" t="n"/>
    </row>
    <row r="28" ht="22" customHeight="1">
      <c r="B28" s="20">
        <f>IF(C28="","SVR-"&amp;TEXT(COUNTA($C$5:C28),"000"))</f>
        <v/>
      </c>
      <c r="C28" s="17" t="n"/>
      <c r="D28" s="24" t="n"/>
      <c r="E28" s="24" t="n"/>
      <c r="F28" s="24" t="n"/>
      <c r="G28" s="24" t="n"/>
      <c r="H28" s="25" t="n"/>
      <c r="I28" s="24" t="n"/>
      <c r="J28" s="24" t="n"/>
      <c r="K28" s="26" t="n"/>
      <c r="L28" s="17" t="n"/>
    </row>
    <row r="29" ht="22" customHeight="1">
      <c r="B29" s="19">
        <f>IF(C29="","SVR-"&amp;TEXT(COUNTA($C$5:C29),"000"))</f>
        <v/>
      </c>
      <c r="C29" s="15" t="n"/>
      <c r="D29" s="21" t="n"/>
      <c r="E29" s="21" t="n"/>
      <c r="F29" s="21" t="n"/>
      <c r="G29" s="21" t="n"/>
      <c r="H29" s="22" t="n"/>
      <c r="I29" s="21" t="n"/>
      <c r="J29" s="21" t="n"/>
      <c r="K29" s="23" t="n"/>
      <c r="L29" s="15" t="n"/>
    </row>
    <row r="30" ht="22" customHeight="1">
      <c r="B30" s="20">
        <f>IF(C30="","SVR-"&amp;TEXT(COUNTA($C$5:C30),"000"))</f>
        <v/>
      </c>
      <c r="C30" s="17" t="n"/>
      <c r="D30" s="24" t="n"/>
      <c r="E30" s="24" t="n"/>
      <c r="F30" s="24" t="n"/>
      <c r="G30" s="24" t="n"/>
      <c r="H30" s="25" t="n"/>
      <c r="I30" s="24" t="n"/>
      <c r="J30" s="24" t="n"/>
      <c r="K30" s="26" t="n"/>
      <c r="L30" s="17" t="n"/>
    </row>
    <row r="31" ht="22" customHeight="1">
      <c r="B31" s="19">
        <f>IF(C31="","SVR-"&amp;TEXT(COUNTA($C$5:C31),"000"))</f>
        <v/>
      </c>
      <c r="C31" s="15" t="n"/>
      <c r="D31" s="21" t="n"/>
      <c r="E31" s="21" t="n"/>
      <c r="F31" s="21" t="n"/>
      <c r="G31" s="21" t="n"/>
      <c r="H31" s="22" t="n"/>
      <c r="I31" s="21" t="n"/>
      <c r="J31" s="21" t="n"/>
      <c r="K31" s="23" t="n"/>
      <c r="L31" s="15" t="n"/>
    </row>
    <row r="32" ht="22" customHeight="1">
      <c r="B32" s="20">
        <f>IF(C32="","SVR-"&amp;TEXT(COUNTA($C$5:C32),"000"))</f>
        <v/>
      </c>
      <c r="C32" s="17" t="n"/>
      <c r="D32" s="24" t="n"/>
      <c r="E32" s="24" t="n"/>
      <c r="F32" s="24" t="n"/>
      <c r="G32" s="24" t="n"/>
      <c r="H32" s="25" t="n"/>
      <c r="I32" s="24" t="n"/>
      <c r="J32" s="24" t="n"/>
      <c r="K32" s="26" t="n"/>
      <c r="L32" s="17" t="n"/>
    </row>
    <row r="33" ht="22" customHeight="1">
      <c r="B33" s="19">
        <f>IF(C33="","SVR-"&amp;TEXT(COUNTA($C$5:C33),"000"))</f>
        <v/>
      </c>
      <c r="C33" s="15" t="n"/>
      <c r="D33" s="21" t="n"/>
      <c r="E33" s="21" t="n"/>
      <c r="F33" s="21" t="n"/>
      <c r="G33" s="21" t="n"/>
      <c r="H33" s="22" t="n"/>
      <c r="I33" s="21" t="n"/>
      <c r="J33" s="21" t="n"/>
      <c r="K33" s="23" t="n"/>
      <c r="L33" s="15" t="n"/>
    </row>
    <row r="34" ht="22" customHeight="1">
      <c r="B34" s="20">
        <f>IF(C34="","SVR-"&amp;TEXT(COUNTA($C$5:C34),"000"))</f>
        <v/>
      </c>
      <c r="C34" s="17" t="n"/>
      <c r="D34" s="24" t="n"/>
      <c r="E34" s="24" t="n"/>
      <c r="F34" s="24" t="n"/>
      <c r="G34" s="24" t="n"/>
      <c r="H34" s="25" t="n"/>
      <c r="I34" s="24" t="n"/>
      <c r="J34" s="24" t="n"/>
      <c r="K34" s="26" t="n"/>
      <c r="L34" s="17" t="n"/>
    </row>
    <row r="35" ht="22" customHeight="1">
      <c r="B35" s="19">
        <f>IF(C35="","SVR-"&amp;TEXT(COUNTA($C$5:C35),"000"))</f>
        <v/>
      </c>
      <c r="C35" s="15" t="n"/>
      <c r="D35" s="21" t="n"/>
      <c r="E35" s="21" t="n"/>
      <c r="F35" s="21" t="n"/>
      <c r="G35" s="21" t="n"/>
      <c r="H35" s="22" t="n"/>
      <c r="I35" s="21" t="n"/>
      <c r="J35" s="21" t="n"/>
      <c r="K35" s="23" t="n"/>
      <c r="L35" s="15" t="n"/>
    </row>
    <row r="36" ht="22" customHeight="1">
      <c r="B36" s="20">
        <f>IF(C36="","SVR-"&amp;TEXT(COUNTA($C$5:C36),"000"))</f>
        <v/>
      </c>
      <c r="C36" s="17" t="n"/>
      <c r="D36" s="24" t="n"/>
      <c r="E36" s="24" t="n"/>
      <c r="F36" s="24" t="n"/>
      <c r="G36" s="24" t="n"/>
      <c r="H36" s="25" t="n"/>
      <c r="I36" s="24" t="n"/>
      <c r="J36" s="24" t="n"/>
      <c r="K36" s="26" t="n"/>
      <c r="L36" s="17" t="n"/>
    </row>
    <row r="37" ht="22" customHeight="1">
      <c r="B37" s="19">
        <f>IF(C37="","SVR-"&amp;TEXT(COUNTA($C$5:C37),"000"))</f>
        <v/>
      </c>
      <c r="C37" s="15" t="n"/>
      <c r="D37" s="21" t="n"/>
      <c r="E37" s="21" t="n"/>
      <c r="F37" s="21" t="n"/>
      <c r="G37" s="21" t="n"/>
      <c r="H37" s="22" t="n"/>
      <c r="I37" s="21" t="n"/>
      <c r="J37" s="21" t="n"/>
      <c r="K37" s="23" t="n"/>
      <c r="L37" s="15" t="n"/>
    </row>
    <row r="38" ht="22" customHeight="1">
      <c r="B38" s="20">
        <f>IF(C38="","SVR-"&amp;TEXT(COUNTA($C$5:C38),"000"))</f>
        <v/>
      </c>
      <c r="C38" s="17" t="n"/>
      <c r="D38" s="24" t="n"/>
      <c r="E38" s="24" t="n"/>
      <c r="F38" s="24" t="n"/>
      <c r="G38" s="24" t="n"/>
      <c r="H38" s="25" t="n"/>
      <c r="I38" s="24" t="n"/>
      <c r="J38" s="24" t="n"/>
      <c r="K38" s="26" t="n"/>
      <c r="L38" s="17" t="n"/>
    </row>
    <row r="39" ht="22" customHeight="1">
      <c r="B39" s="19">
        <f>IF(C39="","SVR-"&amp;TEXT(COUNTA($C$5:C39),"000"))</f>
        <v/>
      </c>
      <c r="C39" s="15" t="n"/>
      <c r="D39" s="21" t="n"/>
      <c r="E39" s="21" t="n"/>
      <c r="F39" s="21" t="n"/>
      <c r="G39" s="21" t="n"/>
      <c r="H39" s="22" t="n"/>
      <c r="I39" s="21" t="n"/>
      <c r="J39" s="21" t="n"/>
      <c r="K39" s="23" t="n"/>
      <c r="L39" s="15" t="n"/>
    </row>
    <row r="40" ht="22" customHeight="1">
      <c r="B40" s="20">
        <f>IF(C40="","SVR-"&amp;TEXT(COUNTA($C$5:C40),"000"))</f>
        <v/>
      </c>
      <c r="C40" s="17" t="n"/>
      <c r="D40" s="24" t="n"/>
      <c r="E40" s="24" t="n"/>
      <c r="F40" s="24" t="n"/>
      <c r="G40" s="24" t="n"/>
      <c r="H40" s="25" t="n"/>
      <c r="I40" s="24" t="n"/>
      <c r="J40" s="24" t="n"/>
      <c r="K40" s="26" t="n"/>
      <c r="L40" s="17" t="n"/>
    </row>
    <row r="41" ht="22" customHeight="1">
      <c r="B41" s="19">
        <f>IF(C41="","SVR-"&amp;TEXT(COUNTA($C$5:C41),"000"))</f>
        <v/>
      </c>
      <c r="C41" s="15" t="n"/>
      <c r="D41" s="21" t="n"/>
      <c r="E41" s="21" t="n"/>
      <c r="F41" s="21" t="n"/>
      <c r="G41" s="21" t="n"/>
      <c r="H41" s="22" t="n"/>
      <c r="I41" s="21" t="n"/>
      <c r="J41" s="21" t="n"/>
      <c r="K41" s="23" t="n"/>
      <c r="L41" s="15" t="n"/>
    </row>
    <row r="42" ht="22" customHeight="1">
      <c r="B42" s="20">
        <f>IF(C42="","SVR-"&amp;TEXT(COUNTA($C$5:C42),"000"))</f>
        <v/>
      </c>
      <c r="C42" s="17" t="n"/>
      <c r="D42" s="24" t="n"/>
      <c r="E42" s="24" t="n"/>
      <c r="F42" s="24" t="n"/>
      <c r="G42" s="24" t="n"/>
      <c r="H42" s="25" t="n"/>
      <c r="I42" s="24" t="n"/>
      <c r="J42" s="24" t="n"/>
      <c r="K42" s="26" t="n"/>
      <c r="L42" s="17" t="n"/>
    </row>
    <row r="43" ht="22" customHeight="1">
      <c r="B43" s="19">
        <f>IF(C43="","SVR-"&amp;TEXT(COUNTA($C$5:C43),"000"))</f>
        <v/>
      </c>
      <c r="C43" s="15" t="n"/>
      <c r="D43" s="21" t="n"/>
      <c r="E43" s="21" t="n"/>
      <c r="F43" s="21" t="n"/>
      <c r="G43" s="21" t="n"/>
      <c r="H43" s="22" t="n"/>
      <c r="I43" s="21" t="n"/>
      <c r="J43" s="21" t="n"/>
      <c r="K43" s="23" t="n"/>
      <c r="L43" s="15" t="n"/>
    </row>
    <row r="44" ht="22" customHeight="1">
      <c r="B44" s="20">
        <f>IF(C44="","SVR-"&amp;TEXT(COUNTA($C$5:C44),"000"))</f>
        <v/>
      </c>
      <c r="C44" s="17" t="n"/>
      <c r="D44" s="24" t="n"/>
      <c r="E44" s="24" t="n"/>
      <c r="F44" s="24" t="n"/>
      <c r="G44" s="24" t="n"/>
      <c r="H44" s="25" t="n"/>
      <c r="I44" s="24" t="n"/>
      <c r="J44" s="24" t="n"/>
      <c r="K44" s="26" t="n"/>
      <c r="L44" s="17" t="n"/>
    </row>
    <row r="45" ht="22" customHeight="1">
      <c r="B45" s="19">
        <f>IF(C45="","SVR-"&amp;TEXT(COUNTA($C$5:C45),"000"))</f>
        <v/>
      </c>
      <c r="C45" s="15" t="n"/>
      <c r="D45" s="21" t="n"/>
      <c r="E45" s="21" t="n"/>
      <c r="F45" s="21" t="n"/>
      <c r="G45" s="21" t="n"/>
      <c r="H45" s="22" t="n"/>
      <c r="I45" s="21" t="n"/>
      <c r="J45" s="21" t="n"/>
      <c r="K45" s="23" t="n"/>
      <c r="L45" s="15" t="n"/>
    </row>
    <row r="46" ht="22" customHeight="1">
      <c r="B46" s="20">
        <f>IF(C46="","SVR-"&amp;TEXT(COUNTA($C$5:C46),"000"))</f>
        <v/>
      </c>
      <c r="C46" s="17" t="n"/>
      <c r="D46" s="24" t="n"/>
      <c r="E46" s="24" t="n"/>
      <c r="F46" s="24" t="n"/>
      <c r="G46" s="24" t="n"/>
      <c r="H46" s="25" t="n"/>
      <c r="I46" s="24" t="n"/>
      <c r="J46" s="24" t="n"/>
      <c r="K46" s="26" t="n"/>
      <c r="L46" s="17" t="n"/>
    </row>
    <row r="47" ht="22" customHeight="1">
      <c r="B47" s="19">
        <f>IF(C47="","SVR-"&amp;TEXT(COUNTA($C$5:C47),"000"))</f>
        <v/>
      </c>
      <c r="C47" s="15" t="n"/>
      <c r="D47" s="21" t="n"/>
      <c r="E47" s="21" t="n"/>
      <c r="F47" s="21" t="n"/>
      <c r="G47" s="21" t="n"/>
      <c r="H47" s="22" t="n"/>
      <c r="I47" s="21" t="n"/>
      <c r="J47" s="21" t="n"/>
      <c r="K47" s="23" t="n"/>
      <c r="L47" s="15" t="n"/>
    </row>
    <row r="48" ht="22" customHeight="1">
      <c r="B48" s="20">
        <f>IF(C48="","SVR-"&amp;TEXT(COUNTA($C$5:C48),"000"))</f>
        <v/>
      </c>
      <c r="C48" s="17" t="n"/>
      <c r="D48" s="24" t="n"/>
      <c r="E48" s="24" t="n"/>
      <c r="F48" s="24" t="n"/>
      <c r="G48" s="24" t="n"/>
      <c r="H48" s="25" t="n"/>
      <c r="I48" s="24" t="n"/>
      <c r="J48" s="24" t="n"/>
      <c r="K48" s="26" t="n"/>
      <c r="L48" s="17" t="n"/>
    </row>
    <row r="49" ht="22" customHeight="1">
      <c r="B49" s="19">
        <f>IF(C49="","SVR-"&amp;TEXT(COUNTA($C$5:C49),"000"))</f>
        <v/>
      </c>
      <c r="C49" s="15" t="n"/>
      <c r="D49" s="21" t="n"/>
      <c r="E49" s="21" t="n"/>
      <c r="F49" s="21" t="n"/>
      <c r="G49" s="21" t="n"/>
      <c r="H49" s="22" t="n"/>
      <c r="I49" s="21" t="n"/>
      <c r="J49" s="21" t="n"/>
      <c r="K49" s="23" t="n"/>
      <c r="L49" s="15" t="n"/>
    </row>
    <row r="50" ht="22" customHeight="1">
      <c r="B50" s="20">
        <f>IF(C50="","SVR-"&amp;TEXT(COUNTA($C$5:C50),"000"))</f>
        <v/>
      </c>
      <c r="C50" s="17" t="n"/>
      <c r="D50" s="24" t="n"/>
      <c r="E50" s="24" t="n"/>
      <c r="F50" s="24" t="n"/>
      <c r="G50" s="24" t="n"/>
      <c r="H50" s="25" t="n"/>
      <c r="I50" s="24" t="n"/>
      <c r="J50" s="24" t="n"/>
      <c r="K50" s="26" t="n"/>
      <c r="L50" s="17" t="n"/>
    </row>
    <row r="51" ht="22" customHeight="1">
      <c r="B51" s="19">
        <f>IF(C51="","SVR-"&amp;TEXT(COUNTA($C$5:C51),"000"))</f>
        <v/>
      </c>
      <c r="C51" s="15" t="n"/>
      <c r="D51" s="21" t="n"/>
      <c r="E51" s="21" t="n"/>
      <c r="F51" s="21" t="n"/>
      <c r="G51" s="21" t="n"/>
      <c r="H51" s="22" t="n"/>
      <c r="I51" s="21" t="n"/>
      <c r="J51" s="21" t="n"/>
      <c r="K51" s="23" t="n"/>
      <c r="L51" s="15" t="n"/>
    </row>
    <row r="52" ht="22" customHeight="1">
      <c r="B52" s="20">
        <f>IF(C52="","SVR-"&amp;TEXT(COUNTA($C$5:C52),"000"))</f>
        <v/>
      </c>
      <c r="C52" s="17" t="n"/>
      <c r="D52" s="24" t="n"/>
      <c r="E52" s="24" t="n"/>
      <c r="F52" s="24" t="n"/>
      <c r="G52" s="24" t="n"/>
      <c r="H52" s="25" t="n"/>
      <c r="I52" s="24" t="n"/>
      <c r="J52" s="24" t="n"/>
      <c r="K52" s="26" t="n"/>
      <c r="L52" s="17" t="n"/>
    </row>
    <row r="53" ht="22" customHeight="1">
      <c r="B53" s="19">
        <f>IF(C53="","SVR-"&amp;TEXT(COUNTA($C$5:C53),"000"))</f>
        <v/>
      </c>
      <c r="C53" s="15" t="n"/>
      <c r="D53" s="21" t="n"/>
      <c r="E53" s="21" t="n"/>
      <c r="F53" s="21" t="n"/>
      <c r="G53" s="21" t="n"/>
      <c r="H53" s="22" t="n"/>
      <c r="I53" s="21" t="n"/>
      <c r="J53" s="21" t="n"/>
      <c r="K53" s="23" t="n"/>
      <c r="L53" s="15" t="n"/>
    </row>
    <row r="54" ht="22" customHeight="1">
      <c r="B54" s="20">
        <f>IF(C54="","SVR-"&amp;TEXT(COUNTA($C$5:C54),"000"))</f>
        <v/>
      </c>
      <c r="C54" s="17" t="n"/>
      <c r="D54" s="24" t="n"/>
      <c r="E54" s="24" t="n"/>
      <c r="F54" s="24" t="n"/>
      <c r="G54" s="24" t="n"/>
      <c r="H54" s="25" t="n"/>
      <c r="I54" s="24" t="n"/>
      <c r="J54" s="24" t="n"/>
      <c r="K54" s="26" t="n"/>
      <c r="L54" s="17" t="n"/>
    </row>
    <row r="55" ht="22" customHeight="1">
      <c r="B55" s="19">
        <f>IF(C55="","SVR-"&amp;TEXT(COUNTA($C$5:C55),"000"))</f>
        <v/>
      </c>
      <c r="C55" s="15" t="n"/>
      <c r="D55" s="21" t="n"/>
      <c r="E55" s="21" t="n"/>
      <c r="F55" s="21" t="n"/>
      <c r="G55" s="21" t="n"/>
      <c r="H55" s="22" t="n"/>
      <c r="I55" s="21" t="n"/>
      <c r="J55" s="21" t="n"/>
      <c r="K55" s="23" t="n"/>
      <c r="L55" s="15" t="n"/>
    </row>
    <row r="56" ht="22" customHeight="1">
      <c r="B56" s="20">
        <f>IF(C56="","SVR-"&amp;TEXT(COUNTA($C$5:C56),"000"))</f>
        <v/>
      </c>
      <c r="C56" s="17" t="n"/>
      <c r="D56" s="24" t="n"/>
      <c r="E56" s="24" t="n"/>
      <c r="F56" s="24" t="n"/>
      <c r="G56" s="24" t="n"/>
      <c r="H56" s="25" t="n"/>
      <c r="I56" s="24" t="n"/>
      <c r="J56" s="24" t="n"/>
      <c r="K56" s="26" t="n"/>
      <c r="L56" s="17" t="n"/>
    </row>
    <row r="57" ht="22" customHeight="1">
      <c r="B57" s="19">
        <f>IF(C57="","SVR-"&amp;TEXT(COUNTA($C$5:C57),"000"))</f>
        <v/>
      </c>
      <c r="C57" s="15" t="n"/>
      <c r="D57" s="21" t="n"/>
      <c r="E57" s="21" t="n"/>
      <c r="F57" s="21" t="n"/>
      <c r="G57" s="21" t="n"/>
      <c r="H57" s="22" t="n"/>
      <c r="I57" s="21" t="n"/>
      <c r="J57" s="21" t="n"/>
      <c r="K57" s="23" t="n"/>
      <c r="L57" s="15" t="n"/>
    </row>
    <row r="58" ht="22" customHeight="1">
      <c r="B58" s="20">
        <f>IF(C58="","SVR-"&amp;TEXT(COUNTA($C$5:C58),"000"))</f>
        <v/>
      </c>
      <c r="C58" s="17" t="n"/>
      <c r="D58" s="24" t="n"/>
      <c r="E58" s="24" t="n"/>
      <c r="F58" s="24" t="n"/>
      <c r="G58" s="24" t="n"/>
      <c r="H58" s="25" t="n"/>
      <c r="I58" s="24" t="n"/>
      <c r="J58" s="24" t="n"/>
      <c r="K58" s="26" t="n"/>
      <c r="L58" s="17" t="n"/>
    </row>
    <row r="59" ht="22" customHeight="1">
      <c r="B59" s="19">
        <f>IF(C59="","SVR-"&amp;TEXT(COUNTA($C$5:C59),"000"))</f>
        <v/>
      </c>
      <c r="C59" s="15" t="n"/>
      <c r="D59" s="21" t="n"/>
      <c r="E59" s="21" t="n"/>
      <c r="F59" s="21" t="n"/>
      <c r="G59" s="21" t="n"/>
      <c r="H59" s="22" t="n"/>
      <c r="I59" s="21" t="n"/>
      <c r="J59" s="21" t="n"/>
      <c r="K59" s="23" t="n"/>
      <c r="L59" s="15" t="n"/>
    </row>
    <row r="60" ht="22" customHeight="1">
      <c r="B60" s="20">
        <f>IF(C60="","SVR-"&amp;TEXT(COUNTA($C$5:C60),"000"))</f>
        <v/>
      </c>
      <c r="C60" s="17" t="n"/>
      <c r="D60" s="24" t="n"/>
      <c r="E60" s="24" t="n"/>
      <c r="F60" s="24" t="n"/>
      <c r="G60" s="24" t="n"/>
      <c r="H60" s="25" t="n"/>
      <c r="I60" s="24" t="n"/>
      <c r="J60" s="24" t="n"/>
      <c r="K60" s="26" t="n"/>
      <c r="L60" s="17" t="n"/>
    </row>
    <row r="61" ht="22" customHeight="1">
      <c r="B61" s="19">
        <f>IF(C61="","SVR-"&amp;TEXT(COUNTA($C$5:C61),"000"))</f>
        <v/>
      </c>
      <c r="C61" s="15" t="n"/>
      <c r="D61" s="21" t="n"/>
      <c r="E61" s="21" t="n"/>
      <c r="F61" s="21" t="n"/>
      <c r="G61" s="21" t="n"/>
      <c r="H61" s="22" t="n"/>
      <c r="I61" s="21" t="n"/>
      <c r="J61" s="21" t="n"/>
      <c r="K61" s="23" t="n"/>
      <c r="L61" s="15" t="n"/>
    </row>
    <row r="62" ht="22" customHeight="1">
      <c r="B62" s="20">
        <f>IF(C62="","SVR-"&amp;TEXT(COUNTA($C$5:C62),"000"))</f>
        <v/>
      </c>
      <c r="C62" s="17" t="n"/>
      <c r="D62" s="24" t="n"/>
      <c r="E62" s="24" t="n"/>
      <c r="F62" s="24" t="n"/>
      <c r="G62" s="24" t="n"/>
      <c r="H62" s="25" t="n"/>
      <c r="I62" s="24" t="n"/>
      <c r="J62" s="24" t="n"/>
      <c r="K62" s="26" t="n"/>
      <c r="L62" s="17" t="n"/>
    </row>
    <row r="63" ht="22" customHeight="1">
      <c r="B63" s="19">
        <f>IF(C63="","SVR-"&amp;TEXT(COUNTA($C$5:C63),"000"))</f>
        <v/>
      </c>
      <c r="C63" s="15" t="n"/>
      <c r="D63" s="21" t="n"/>
      <c r="E63" s="21" t="n"/>
      <c r="F63" s="21" t="n"/>
      <c r="G63" s="21" t="n"/>
      <c r="H63" s="22" t="n"/>
      <c r="I63" s="21" t="n"/>
      <c r="J63" s="21" t="n"/>
      <c r="K63" s="23" t="n"/>
      <c r="L63" s="15" t="n"/>
    </row>
    <row r="64" ht="22" customHeight="1">
      <c r="B64" s="20">
        <f>IF(C64="","SVR-"&amp;TEXT(COUNTA($C$5:C64),"000"))</f>
        <v/>
      </c>
      <c r="C64" s="17" t="n"/>
      <c r="D64" s="24" t="n"/>
      <c r="E64" s="24" t="n"/>
      <c r="F64" s="24" t="n"/>
      <c r="G64" s="24" t="n"/>
      <c r="H64" s="25" t="n"/>
      <c r="I64" s="24" t="n"/>
      <c r="J64" s="24" t="n"/>
      <c r="K64" s="26" t="n"/>
      <c r="L64" s="17" t="n"/>
    </row>
    <row r="65" ht="22" customHeight="1">
      <c r="B65" s="19">
        <f>IF(C65="","SVR-"&amp;TEXT(COUNTA($C$5:C65),"000"))</f>
        <v/>
      </c>
      <c r="C65" s="15" t="n"/>
      <c r="D65" s="21" t="n"/>
      <c r="E65" s="21" t="n"/>
      <c r="F65" s="21" t="n"/>
      <c r="G65" s="21" t="n"/>
      <c r="H65" s="22" t="n"/>
      <c r="I65" s="21" t="n"/>
      <c r="J65" s="21" t="n"/>
      <c r="K65" s="23" t="n"/>
      <c r="L65" s="15" t="n"/>
    </row>
    <row r="66" ht="22" customHeight="1">
      <c r="B66" s="20">
        <f>IF(C66="","SVR-"&amp;TEXT(COUNTA($C$5:C66),"000"))</f>
        <v/>
      </c>
      <c r="C66" s="17" t="n"/>
      <c r="D66" s="24" t="n"/>
      <c r="E66" s="24" t="n"/>
      <c r="F66" s="24" t="n"/>
      <c r="G66" s="24" t="n"/>
      <c r="H66" s="25" t="n"/>
      <c r="I66" s="24" t="n"/>
      <c r="J66" s="24" t="n"/>
      <c r="K66" s="26" t="n"/>
      <c r="L66" s="17" t="n"/>
    </row>
    <row r="67" ht="22" customHeight="1">
      <c r="B67" s="19">
        <f>IF(C67="","SVR-"&amp;TEXT(COUNTA($C$5:C67),"000"))</f>
        <v/>
      </c>
      <c r="C67" s="15" t="n"/>
      <c r="D67" s="21" t="n"/>
      <c r="E67" s="21" t="n"/>
      <c r="F67" s="21" t="n"/>
      <c r="G67" s="21" t="n"/>
      <c r="H67" s="22" t="n"/>
      <c r="I67" s="21" t="n"/>
      <c r="J67" s="21" t="n"/>
      <c r="K67" s="23" t="n"/>
      <c r="L67" s="15" t="n"/>
    </row>
    <row r="68" ht="22" customHeight="1">
      <c r="B68" s="20">
        <f>IF(C68="","SVR-"&amp;TEXT(COUNTA($C$5:C68),"000"))</f>
        <v/>
      </c>
      <c r="C68" s="17" t="n"/>
      <c r="D68" s="24" t="n"/>
      <c r="E68" s="24" t="n"/>
      <c r="F68" s="24" t="n"/>
      <c r="G68" s="24" t="n"/>
      <c r="H68" s="25" t="n"/>
      <c r="I68" s="24" t="n"/>
      <c r="J68" s="24" t="n"/>
      <c r="K68" s="26" t="n"/>
      <c r="L68" s="17" t="n"/>
    </row>
    <row r="69" ht="22" customHeight="1">
      <c r="B69" s="19">
        <f>IF(C69="","SVR-"&amp;TEXT(COUNTA($C$5:C69),"000"))</f>
        <v/>
      </c>
      <c r="C69" s="15" t="n"/>
      <c r="D69" s="21" t="n"/>
      <c r="E69" s="21" t="n"/>
      <c r="F69" s="21" t="n"/>
      <c r="G69" s="21" t="n"/>
      <c r="H69" s="22" t="n"/>
      <c r="I69" s="21" t="n"/>
      <c r="J69" s="21" t="n"/>
      <c r="K69" s="23" t="n"/>
      <c r="L69" s="15" t="n"/>
    </row>
    <row r="70" ht="22" customHeight="1">
      <c r="B70" s="20">
        <f>IF(C70="","SVR-"&amp;TEXT(COUNTA($C$5:C70),"000"))</f>
        <v/>
      </c>
      <c r="C70" s="17" t="n"/>
      <c r="D70" s="24" t="n"/>
      <c r="E70" s="24" t="n"/>
      <c r="F70" s="24" t="n"/>
      <c r="G70" s="24" t="n"/>
      <c r="H70" s="25" t="n"/>
      <c r="I70" s="24" t="n"/>
      <c r="J70" s="24" t="n"/>
      <c r="K70" s="26" t="n"/>
      <c r="L70" s="17" t="n"/>
    </row>
    <row r="71" ht="22" customHeight="1">
      <c r="B71" s="19">
        <f>IF(C71="","SVR-"&amp;TEXT(COUNTA($C$5:C71),"000"))</f>
        <v/>
      </c>
      <c r="C71" s="15" t="n"/>
      <c r="D71" s="21" t="n"/>
      <c r="E71" s="21" t="n"/>
      <c r="F71" s="21" t="n"/>
      <c r="G71" s="21" t="n"/>
      <c r="H71" s="22" t="n"/>
      <c r="I71" s="21" t="n"/>
      <c r="J71" s="21" t="n"/>
      <c r="K71" s="23" t="n"/>
      <c r="L71" s="15" t="n"/>
    </row>
    <row r="72" ht="22" customHeight="1">
      <c r="B72" s="20">
        <f>IF(C72="","SVR-"&amp;TEXT(COUNTA($C$5:C72),"000"))</f>
        <v/>
      </c>
      <c r="C72" s="17" t="n"/>
      <c r="D72" s="24" t="n"/>
      <c r="E72" s="24" t="n"/>
      <c r="F72" s="24" t="n"/>
      <c r="G72" s="24" t="n"/>
      <c r="H72" s="25" t="n"/>
      <c r="I72" s="24" t="n"/>
      <c r="J72" s="24" t="n"/>
      <c r="K72" s="26" t="n"/>
      <c r="L72" s="17" t="n"/>
    </row>
    <row r="73" ht="22" customHeight="1">
      <c r="B73" s="19">
        <f>IF(C73="","SVR-"&amp;TEXT(COUNTA($C$5:C73),"000"))</f>
        <v/>
      </c>
      <c r="C73" s="15" t="n"/>
      <c r="D73" s="21" t="n"/>
      <c r="E73" s="21" t="n"/>
      <c r="F73" s="21" t="n"/>
      <c r="G73" s="21" t="n"/>
      <c r="H73" s="22" t="n"/>
      <c r="I73" s="21" t="n"/>
      <c r="J73" s="21" t="n"/>
      <c r="K73" s="23" t="n"/>
      <c r="L73" s="15" t="n"/>
    </row>
    <row r="74" ht="22" customHeight="1">
      <c r="B74" s="20">
        <f>IF(C74="","SVR-"&amp;TEXT(COUNTA($C$5:C74),"000"))</f>
        <v/>
      </c>
      <c r="C74" s="17" t="n"/>
      <c r="D74" s="24" t="n"/>
      <c r="E74" s="24" t="n"/>
      <c r="F74" s="24" t="n"/>
      <c r="G74" s="24" t="n"/>
      <c r="H74" s="25" t="n"/>
      <c r="I74" s="24" t="n"/>
      <c r="J74" s="24" t="n"/>
      <c r="K74" s="26" t="n"/>
      <c r="L74" s="17" t="n"/>
    </row>
    <row r="75" ht="22" customHeight="1">
      <c r="B75" s="19">
        <f>IF(C75="","SVR-"&amp;TEXT(COUNTA($C$5:C75),"000"))</f>
        <v/>
      </c>
      <c r="C75" s="15" t="n"/>
      <c r="D75" s="21" t="n"/>
      <c r="E75" s="21" t="n"/>
      <c r="F75" s="21" t="n"/>
      <c r="G75" s="21" t="n"/>
      <c r="H75" s="22" t="n"/>
      <c r="I75" s="21" t="n"/>
      <c r="J75" s="21" t="n"/>
      <c r="K75" s="23" t="n"/>
      <c r="L75" s="15" t="n"/>
    </row>
    <row r="76" ht="22" customHeight="1">
      <c r="B76" s="20">
        <f>IF(C76="","SVR-"&amp;TEXT(COUNTA($C$5:C76),"000"))</f>
        <v/>
      </c>
      <c r="C76" s="17" t="n"/>
      <c r="D76" s="24" t="n"/>
      <c r="E76" s="24" t="n"/>
      <c r="F76" s="24" t="n"/>
      <c r="G76" s="24" t="n"/>
      <c r="H76" s="25" t="n"/>
      <c r="I76" s="24" t="n"/>
      <c r="J76" s="24" t="n"/>
      <c r="K76" s="26" t="n"/>
      <c r="L76" s="17" t="n"/>
    </row>
    <row r="77" ht="22" customHeight="1">
      <c r="B77" s="19">
        <f>IF(C77="","SVR-"&amp;TEXT(COUNTA($C$5:C77),"000"))</f>
        <v/>
      </c>
      <c r="C77" s="15" t="n"/>
      <c r="D77" s="21" t="n"/>
      <c r="E77" s="21" t="n"/>
      <c r="F77" s="21" t="n"/>
      <c r="G77" s="21" t="n"/>
      <c r="H77" s="22" t="n"/>
      <c r="I77" s="21" t="n"/>
      <c r="J77" s="21" t="n"/>
      <c r="K77" s="23" t="n"/>
      <c r="L77" s="15" t="n"/>
    </row>
    <row r="78" ht="22" customHeight="1">
      <c r="B78" s="20">
        <f>IF(C78="","SVR-"&amp;TEXT(COUNTA($C$5:C78),"000"))</f>
        <v/>
      </c>
      <c r="C78" s="17" t="n"/>
      <c r="D78" s="24" t="n"/>
      <c r="E78" s="24" t="n"/>
      <c r="F78" s="24" t="n"/>
      <c r="G78" s="24" t="n"/>
      <c r="H78" s="25" t="n"/>
      <c r="I78" s="24" t="n"/>
      <c r="J78" s="24" t="n"/>
      <c r="K78" s="26" t="n"/>
      <c r="L78" s="17" t="n"/>
    </row>
    <row r="79" ht="22" customHeight="1">
      <c r="B79" s="19">
        <f>IF(C79="","SVR-"&amp;TEXT(COUNTA($C$5:C79),"000"))</f>
        <v/>
      </c>
      <c r="C79" s="15" t="n"/>
      <c r="D79" s="21" t="n"/>
      <c r="E79" s="21" t="n"/>
      <c r="F79" s="21" t="n"/>
      <c r="G79" s="21" t="n"/>
      <c r="H79" s="22" t="n"/>
      <c r="I79" s="21" t="n"/>
      <c r="J79" s="21" t="n"/>
      <c r="K79" s="23" t="n"/>
      <c r="L79" s="15" t="n"/>
    </row>
    <row r="80" ht="22" customHeight="1">
      <c r="B80" s="20">
        <f>IF(C80="","SVR-"&amp;TEXT(COUNTA($C$5:C80),"000"))</f>
        <v/>
      </c>
      <c r="C80" s="17" t="n"/>
      <c r="D80" s="24" t="n"/>
      <c r="E80" s="24" t="n"/>
      <c r="F80" s="24" t="n"/>
      <c r="G80" s="24" t="n"/>
      <c r="H80" s="25" t="n"/>
      <c r="I80" s="24" t="n"/>
      <c r="J80" s="24" t="n"/>
      <c r="K80" s="26" t="n"/>
      <c r="L80" s="17" t="n"/>
    </row>
    <row r="81" ht="22" customHeight="1">
      <c r="B81" s="19">
        <f>IF(C81="","SVR-"&amp;TEXT(COUNTA($C$5:C81),"000"))</f>
        <v/>
      </c>
      <c r="C81" s="15" t="n"/>
      <c r="D81" s="21" t="n"/>
      <c r="E81" s="21" t="n"/>
      <c r="F81" s="21" t="n"/>
      <c r="G81" s="21" t="n"/>
      <c r="H81" s="22" t="n"/>
      <c r="I81" s="21" t="n"/>
      <c r="J81" s="21" t="n"/>
      <c r="K81" s="23" t="n"/>
      <c r="L81" s="15" t="n"/>
    </row>
    <row r="82" ht="22" customHeight="1">
      <c r="B82" s="20">
        <f>IF(C82="","SVR-"&amp;TEXT(COUNTA($C$5:C82),"000"))</f>
        <v/>
      </c>
      <c r="C82" s="17" t="n"/>
      <c r="D82" s="24" t="n"/>
      <c r="E82" s="24" t="n"/>
      <c r="F82" s="24" t="n"/>
      <c r="G82" s="24" t="n"/>
      <c r="H82" s="25" t="n"/>
      <c r="I82" s="24" t="n"/>
      <c r="J82" s="24" t="n"/>
      <c r="K82" s="26" t="n"/>
      <c r="L82" s="17" t="n"/>
    </row>
    <row r="83" ht="22" customHeight="1">
      <c r="B83" s="19">
        <f>IF(C83="","SVR-"&amp;TEXT(COUNTA($C$5:C83),"000"))</f>
        <v/>
      </c>
      <c r="C83" s="15" t="n"/>
      <c r="D83" s="21" t="n"/>
      <c r="E83" s="21" t="n"/>
      <c r="F83" s="21" t="n"/>
      <c r="G83" s="21" t="n"/>
      <c r="H83" s="22" t="n"/>
      <c r="I83" s="21" t="n"/>
      <c r="J83" s="21" t="n"/>
      <c r="K83" s="23" t="n"/>
      <c r="L83" s="15" t="n"/>
    </row>
    <row r="84" ht="22" customHeight="1">
      <c r="B84" s="20">
        <f>IF(C84="","SVR-"&amp;TEXT(COUNTA($C$5:C84),"000"))</f>
        <v/>
      </c>
      <c r="C84" s="17" t="n"/>
      <c r="D84" s="24" t="n"/>
      <c r="E84" s="24" t="n"/>
      <c r="F84" s="24" t="n"/>
      <c r="G84" s="24" t="n"/>
      <c r="H84" s="25" t="n"/>
      <c r="I84" s="24" t="n"/>
      <c r="J84" s="24" t="n"/>
      <c r="K84" s="26" t="n"/>
      <c r="L84" s="17" t="n"/>
    </row>
    <row r="85" ht="22" customHeight="1">
      <c r="B85" s="19">
        <f>IF(C85="","SVR-"&amp;TEXT(COUNTA($C$5:C85),"000"))</f>
        <v/>
      </c>
      <c r="C85" s="15" t="n"/>
      <c r="D85" s="21" t="n"/>
      <c r="E85" s="21" t="n"/>
      <c r="F85" s="21" t="n"/>
      <c r="G85" s="21" t="n"/>
      <c r="H85" s="22" t="n"/>
      <c r="I85" s="21" t="n"/>
      <c r="J85" s="21" t="n"/>
      <c r="K85" s="23" t="n"/>
      <c r="L85" s="15" t="n"/>
    </row>
    <row r="86" ht="22" customHeight="1">
      <c r="B86" s="20">
        <f>IF(C86="","SVR-"&amp;TEXT(COUNTA($C$5:C86),"000"))</f>
        <v/>
      </c>
      <c r="C86" s="17" t="n"/>
      <c r="D86" s="24" t="n"/>
      <c r="E86" s="24" t="n"/>
      <c r="F86" s="24" t="n"/>
      <c r="G86" s="24" t="n"/>
      <c r="H86" s="25" t="n"/>
      <c r="I86" s="24" t="n"/>
      <c r="J86" s="24" t="n"/>
      <c r="K86" s="26" t="n"/>
      <c r="L86" s="17" t="n"/>
    </row>
    <row r="87" ht="22" customHeight="1">
      <c r="B87" s="19">
        <f>IF(C87="","SVR-"&amp;TEXT(COUNTA($C$5:C87),"000"))</f>
        <v/>
      </c>
      <c r="C87" s="15" t="n"/>
      <c r="D87" s="21" t="n"/>
      <c r="E87" s="21" t="n"/>
      <c r="F87" s="21" t="n"/>
      <c r="G87" s="21" t="n"/>
      <c r="H87" s="22" t="n"/>
      <c r="I87" s="21" t="n"/>
      <c r="J87" s="21" t="n"/>
      <c r="K87" s="23" t="n"/>
      <c r="L87" s="15" t="n"/>
    </row>
    <row r="88" ht="22" customHeight="1">
      <c r="B88" s="20">
        <f>IF(C88="","SVR-"&amp;TEXT(COUNTA($C$5:C88),"000"))</f>
        <v/>
      </c>
      <c r="C88" s="17" t="n"/>
      <c r="D88" s="24" t="n"/>
      <c r="E88" s="24" t="n"/>
      <c r="F88" s="24" t="n"/>
      <c r="G88" s="24" t="n"/>
      <c r="H88" s="25" t="n"/>
      <c r="I88" s="24" t="n"/>
      <c r="J88" s="24" t="n"/>
      <c r="K88" s="26" t="n"/>
      <c r="L88" s="17" t="n"/>
    </row>
    <row r="89" ht="22" customHeight="1">
      <c r="B89" s="19">
        <f>IF(C89="","SVR-"&amp;TEXT(COUNTA($C$5:C89),"000"))</f>
        <v/>
      </c>
      <c r="C89" s="15" t="n"/>
      <c r="D89" s="21" t="n"/>
      <c r="E89" s="21" t="n"/>
      <c r="F89" s="21" t="n"/>
      <c r="G89" s="21" t="n"/>
      <c r="H89" s="22" t="n"/>
      <c r="I89" s="21" t="n"/>
      <c r="J89" s="21" t="n"/>
      <c r="K89" s="23" t="n"/>
      <c r="L89" s="15" t="n"/>
    </row>
    <row r="90" ht="22" customHeight="1">
      <c r="B90" s="20">
        <f>IF(C90="","SVR-"&amp;TEXT(COUNTA($C$5:C90),"000"))</f>
        <v/>
      </c>
      <c r="C90" s="17" t="n"/>
      <c r="D90" s="24" t="n"/>
      <c r="E90" s="24" t="n"/>
      <c r="F90" s="24" t="n"/>
      <c r="G90" s="24" t="n"/>
      <c r="H90" s="25" t="n"/>
      <c r="I90" s="24" t="n"/>
      <c r="J90" s="24" t="n"/>
      <c r="K90" s="26" t="n"/>
      <c r="L90" s="17" t="n"/>
    </row>
    <row r="91" ht="22" customHeight="1">
      <c r="B91" s="19">
        <f>IF(C91="","SVR-"&amp;TEXT(COUNTA($C$5:C91),"000"))</f>
        <v/>
      </c>
      <c r="C91" s="15" t="n"/>
      <c r="D91" s="21" t="n"/>
      <c r="E91" s="21" t="n"/>
      <c r="F91" s="21" t="n"/>
      <c r="G91" s="21" t="n"/>
      <c r="H91" s="22" t="n"/>
      <c r="I91" s="21" t="n"/>
      <c r="J91" s="21" t="n"/>
      <c r="K91" s="23" t="n"/>
      <c r="L91" s="15" t="n"/>
    </row>
    <row r="92" ht="22" customHeight="1">
      <c r="B92" s="20">
        <f>IF(C92="","SVR-"&amp;TEXT(COUNTA($C$5:C92),"000"))</f>
        <v/>
      </c>
      <c r="C92" s="17" t="n"/>
      <c r="D92" s="24" t="n"/>
      <c r="E92" s="24" t="n"/>
      <c r="F92" s="24" t="n"/>
      <c r="G92" s="24" t="n"/>
      <c r="H92" s="25" t="n"/>
      <c r="I92" s="24" t="n"/>
      <c r="J92" s="24" t="n"/>
      <c r="K92" s="26" t="n"/>
      <c r="L92" s="17" t="n"/>
    </row>
    <row r="93" ht="22" customHeight="1">
      <c r="B93" s="19">
        <f>IF(C93="","SVR-"&amp;TEXT(COUNTA($C$5:C93),"000"))</f>
        <v/>
      </c>
      <c r="C93" s="15" t="n"/>
      <c r="D93" s="21" t="n"/>
      <c r="E93" s="21" t="n"/>
      <c r="F93" s="21" t="n"/>
      <c r="G93" s="21" t="n"/>
      <c r="H93" s="22" t="n"/>
      <c r="I93" s="21" t="n"/>
      <c r="J93" s="21" t="n"/>
      <c r="K93" s="23" t="n"/>
      <c r="L93" s="15" t="n"/>
    </row>
    <row r="94" ht="22" customHeight="1">
      <c r="B94" s="20">
        <f>IF(C94="","SVR-"&amp;TEXT(COUNTA($C$5:C94),"000"))</f>
        <v/>
      </c>
      <c r="C94" s="17" t="n"/>
      <c r="D94" s="24" t="n"/>
      <c r="E94" s="24" t="n"/>
      <c r="F94" s="24" t="n"/>
      <c r="G94" s="24" t="n"/>
      <c r="H94" s="25" t="n"/>
      <c r="I94" s="24" t="n"/>
      <c r="J94" s="24" t="n"/>
      <c r="K94" s="26" t="n"/>
      <c r="L94" s="17" t="n"/>
    </row>
    <row r="95" ht="22" customHeight="1">
      <c r="B95" s="19">
        <f>IF(C95="","SVR-"&amp;TEXT(COUNTA($C$5:C95),"000"))</f>
        <v/>
      </c>
      <c r="C95" s="15" t="n"/>
      <c r="D95" s="21" t="n"/>
      <c r="E95" s="21" t="n"/>
      <c r="F95" s="21" t="n"/>
      <c r="G95" s="21" t="n"/>
      <c r="H95" s="22" t="n"/>
      <c r="I95" s="21" t="n"/>
      <c r="J95" s="21" t="n"/>
      <c r="K95" s="23" t="n"/>
      <c r="L95" s="15" t="n"/>
    </row>
    <row r="96" ht="22" customHeight="1">
      <c r="B96" s="20">
        <f>IF(C96="","SVR-"&amp;TEXT(COUNTA($C$5:C96),"000"))</f>
        <v/>
      </c>
      <c r="C96" s="17" t="n"/>
      <c r="D96" s="24" t="n"/>
      <c r="E96" s="24" t="n"/>
      <c r="F96" s="24" t="n"/>
      <c r="G96" s="24" t="n"/>
      <c r="H96" s="25" t="n"/>
      <c r="I96" s="24" t="n"/>
      <c r="J96" s="24" t="n"/>
      <c r="K96" s="26" t="n"/>
      <c r="L96" s="17" t="n"/>
    </row>
    <row r="97" ht="22" customHeight="1">
      <c r="B97" s="19">
        <f>IF(C97="","SVR-"&amp;TEXT(COUNTA($C$5:C97),"000"))</f>
        <v/>
      </c>
      <c r="C97" s="15" t="n"/>
      <c r="D97" s="21" t="n"/>
      <c r="E97" s="21" t="n"/>
      <c r="F97" s="21" t="n"/>
      <c r="G97" s="21" t="n"/>
      <c r="H97" s="22" t="n"/>
      <c r="I97" s="21" t="n"/>
      <c r="J97" s="21" t="n"/>
      <c r="K97" s="23" t="n"/>
      <c r="L97" s="15" t="n"/>
    </row>
    <row r="98" ht="22" customHeight="1">
      <c r="B98" s="20">
        <f>IF(C98="","SVR-"&amp;TEXT(COUNTA($C$5:C98),"000"))</f>
        <v/>
      </c>
      <c r="C98" s="17" t="n"/>
      <c r="D98" s="24" t="n"/>
      <c r="E98" s="24" t="n"/>
      <c r="F98" s="24" t="n"/>
      <c r="G98" s="24" t="n"/>
      <c r="H98" s="25" t="n"/>
      <c r="I98" s="24" t="n"/>
      <c r="J98" s="24" t="n"/>
      <c r="K98" s="26" t="n"/>
      <c r="L98" s="17" t="n"/>
    </row>
    <row r="99" ht="22" customHeight="1">
      <c r="B99" s="19">
        <f>IF(C99="","SVR-"&amp;TEXT(COUNTA($C$5:C99),"000"))</f>
        <v/>
      </c>
      <c r="C99" s="15" t="n"/>
      <c r="D99" s="21" t="n"/>
      <c r="E99" s="21" t="n"/>
      <c r="F99" s="21" t="n"/>
      <c r="G99" s="21" t="n"/>
      <c r="H99" s="22" t="n"/>
      <c r="I99" s="21" t="n"/>
      <c r="J99" s="21" t="n"/>
      <c r="K99" s="23" t="n"/>
      <c r="L99" s="15" t="n"/>
    </row>
    <row r="100" ht="22" customHeight="1">
      <c r="B100" s="20">
        <f>IF(C100="","SVR-"&amp;TEXT(COUNTA($C$5:C100),"000"))</f>
        <v/>
      </c>
      <c r="C100" s="17" t="n"/>
      <c r="D100" s="24" t="n"/>
      <c r="E100" s="24" t="n"/>
      <c r="F100" s="24" t="n"/>
      <c r="G100" s="24" t="n"/>
      <c r="H100" s="25" t="n"/>
      <c r="I100" s="24" t="n"/>
      <c r="J100" s="24" t="n"/>
      <c r="K100" s="26" t="n"/>
      <c r="L100" s="17" t="n"/>
    </row>
    <row r="101" ht="22" customHeight="1">
      <c r="B101" s="19">
        <f>IF(C101="","SVR-"&amp;TEXT(COUNTA($C$5:C101),"000"))</f>
        <v/>
      </c>
      <c r="C101" s="15" t="n"/>
      <c r="D101" s="21" t="n"/>
      <c r="E101" s="21" t="n"/>
      <c r="F101" s="21" t="n"/>
      <c r="G101" s="21" t="n"/>
      <c r="H101" s="22" t="n"/>
      <c r="I101" s="21" t="n"/>
      <c r="J101" s="21" t="n"/>
      <c r="K101" s="23" t="n"/>
      <c r="L101" s="15" t="n"/>
    </row>
    <row r="102" ht="22" customHeight="1">
      <c r="B102" s="20">
        <f>IF(C102="","SVR-"&amp;TEXT(COUNTA($C$5:C102),"000"))</f>
        <v/>
      </c>
      <c r="C102" s="17" t="n"/>
      <c r="D102" s="24" t="n"/>
      <c r="E102" s="24" t="n"/>
      <c r="F102" s="24" t="n"/>
      <c r="G102" s="24" t="n"/>
      <c r="H102" s="25" t="n"/>
      <c r="I102" s="24" t="n"/>
      <c r="J102" s="24" t="n"/>
      <c r="K102" s="26" t="n"/>
      <c r="L102" s="17" t="n"/>
    </row>
    <row r="103" ht="22" customHeight="1">
      <c r="B103" s="19">
        <f>IF(C103="","SVR-"&amp;TEXT(COUNTA($C$5:C103),"000"))</f>
        <v/>
      </c>
      <c r="C103" s="15" t="n"/>
      <c r="D103" s="21" t="n"/>
      <c r="E103" s="21" t="n"/>
      <c r="F103" s="21" t="n"/>
      <c r="G103" s="21" t="n"/>
      <c r="H103" s="22" t="n"/>
      <c r="I103" s="21" t="n"/>
      <c r="J103" s="21" t="n"/>
      <c r="K103" s="23" t="n"/>
      <c r="L103" s="15" t="n"/>
    </row>
    <row r="104" ht="22" customHeight="1">
      <c r="B104" s="20">
        <f>IF(C104="","SVR-"&amp;TEXT(COUNTA($C$5:C104),"000"))</f>
        <v/>
      </c>
      <c r="C104" s="17" t="n"/>
      <c r="D104" s="24" t="n"/>
      <c r="E104" s="24" t="n"/>
      <c r="F104" s="24" t="n"/>
      <c r="G104" s="24" t="n"/>
      <c r="H104" s="25" t="n"/>
      <c r="I104" s="24" t="n"/>
      <c r="J104" s="24" t="n"/>
      <c r="K104" s="26" t="n"/>
      <c r="L104" s="17" t="n"/>
    </row>
    <row r="105" ht="22" customHeight="1">
      <c r="B105" s="19">
        <f>IF(C105="","SVR-"&amp;TEXT(COUNTA($C$5:C105),"000"))</f>
        <v/>
      </c>
      <c r="C105" s="15" t="n"/>
      <c r="D105" s="21" t="n"/>
      <c r="E105" s="21" t="n"/>
      <c r="F105" s="21" t="n"/>
      <c r="G105" s="21" t="n"/>
      <c r="H105" s="22" t="n"/>
      <c r="I105" s="21" t="n"/>
      <c r="J105" s="21" t="n"/>
      <c r="K105" s="23" t="n"/>
      <c r="L105" s="15" t="n"/>
    </row>
    <row r="106" ht="22" customHeight="1">
      <c r="B106" s="20">
        <f>IF(C106="","SVR-"&amp;TEXT(COUNTA($C$5:C106),"000"))</f>
        <v/>
      </c>
      <c r="C106" s="17" t="n"/>
      <c r="D106" s="24" t="n"/>
      <c r="E106" s="24" t="n"/>
      <c r="F106" s="24" t="n"/>
      <c r="G106" s="24" t="n"/>
      <c r="H106" s="25" t="n"/>
      <c r="I106" s="24" t="n"/>
      <c r="J106" s="24" t="n"/>
      <c r="K106" s="26" t="n"/>
      <c r="L106" s="17" t="n"/>
    </row>
    <row r="107" ht="22" customHeight="1">
      <c r="B107" s="19">
        <f>IF(C107="","SVR-"&amp;TEXT(COUNTA($C$5:C107),"000"))</f>
        <v/>
      </c>
      <c r="C107" s="15" t="n"/>
      <c r="D107" s="21" t="n"/>
      <c r="E107" s="21" t="n"/>
      <c r="F107" s="21" t="n"/>
      <c r="G107" s="21" t="n"/>
      <c r="H107" s="22" t="n"/>
      <c r="I107" s="21" t="n"/>
      <c r="J107" s="21" t="n"/>
      <c r="K107" s="23" t="n"/>
      <c r="L107" s="15" t="n"/>
    </row>
    <row r="108" ht="22" customHeight="1">
      <c r="B108" s="20">
        <f>IF(C108="","SVR-"&amp;TEXT(COUNTA($C$5:C108),"000"))</f>
        <v/>
      </c>
      <c r="C108" s="17" t="n"/>
      <c r="D108" s="24" t="n"/>
      <c r="E108" s="24" t="n"/>
      <c r="F108" s="24" t="n"/>
      <c r="G108" s="24" t="n"/>
      <c r="H108" s="25" t="n"/>
      <c r="I108" s="24" t="n"/>
      <c r="J108" s="24" t="n"/>
      <c r="K108" s="26" t="n"/>
      <c r="L108" s="17" t="n"/>
    </row>
    <row r="109" ht="22" customHeight="1">
      <c r="B109" s="19">
        <f>IF(C109="","SVR-"&amp;TEXT(COUNTA($C$5:C109),"000"))</f>
        <v/>
      </c>
      <c r="C109" s="15" t="n"/>
      <c r="D109" s="21" t="n"/>
      <c r="E109" s="21" t="n"/>
      <c r="F109" s="21" t="n"/>
      <c r="G109" s="21" t="n"/>
      <c r="H109" s="22" t="n"/>
      <c r="I109" s="21" t="n"/>
      <c r="J109" s="21" t="n"/>
      <c r="K109" s="23" t="n"/>
      <c r="L109" s="15" t="n"/>
    </row>
    <row r="111" ht="26" customHeight="1">
      <c r="B111" s="27" t="inlineStr">
        <is>
          <t>TOTAL</t>
        </is>
      </c>
      <c r="C111" s="28" t="n"/>
      <c r="D111" s="29">
        <f>SUM(D5:D104)</f>
        <v/>
      </c>
      <c r="E111" s="29">
        <f>SUM(E5:E104)</f>
        <v/>
      </c>
      <c r="F111" s="29">
        <f>SUM(F5:F104)</f>
        <v/>
      </c>
      <c r="G111" s="29">
        <f>SUM(G5:G104)</f>
        <v/>
      </c>
      <c r="H111" s="29">
        <f>SUM(H5:H104)</f>
        <v/>
      </c>
      <c r="I111" s="29">
        <f>SUM(I5:I104)</f>
        <v/>
      </c>
      <c r="J111" s="29">
        <f>SUM(J5:J104)</f>
        <v/>
      </c>
      <c r="K111" s="28" t="n"/>
      <c r="L111" s="28" t="n"/>
    </row>
    <row r="113">
      <c r="B113" s="8" t="inlineStr">
        <is>
          <t>INDICATEURS (mis a jour automatiquement)</t>
        </is>
      </c>
    </row>
    <row r="114">
      <c r="B114" s="3" t="inlineStr">
        <is>
          <t>Services</t>
        </is>
      </c>
      <c r="D114" s="3" t="inlineStr">
        <is>
          <t>Effectif total</t>
        </is>
      </c>
      <c r="F114" s="3" t="inlineStr">
        <is>
          <t>Masse salariale</t>
        </is>
      </c>
    </row>
    <row r="115">
      <c r="B115" s="4">
        <f>COUNTIF(B5:B104,"&lt;&gt;")</f>
        <v/>
      </c>
      <c r="D115" s="4">
        <f>SUM(D5:D104)</f>
        <v/>
      </c>
      <c r="F115" s="4">
        <f>SUM(H5:H104)</f>
        <v/>
      </c>
    </row>
  </sheetData>
  <mergeCells count="3">
    <mergeCell ref="B2:L2"/>
    <mergeCell ref="B113:L113"/>
    <mergeCell ref="B3:L3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conditionalFormatting sqref="L10:L109">
    <cfRule type="expression" priority="11" dxfId="0">
      <formula>AND($C10="",$C9&lt;&gt;"")</formula>
    </cfRule>
  </conditionalFormatting>
  <dataValidations count="1">
    <dataValidation sqref="C5:C109" showDropDown="0" showInputMessage="0" showErrorMessage="0" allowBlank="1" errorTitle="Erreur" error="Valeur invalide" promptTitle="Liste" prompt="Choisir dans la liste" type="list">
      <formula1>'_Lists'!$B$2:$B$14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2" customWidth="1" min="9" max="9"/>
  </cols>
  <sheetData>
    <row r="1" ht="15" customHeight="1"/>
    <row r="2" ht="32" customHeight="1">
      <c r="B2" s="1" t="inlineStr">
        <is>
          <t>PYRAMIDE DES AGES &amp; DEMOGRAPHIE (#138)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Tranche d'Age</t>
        </is>
      </c>
      <c r="D4" s="14" t="inlineStr">
        <is>
          <t>Hommes</t>
        </is>
      </c>
      <c r="E4" s="14" t="inlineStr">
        <is>
          <t>Femmes</t>
        </is>
      </c>
      <c r="F4" s="14" t="inlineStr">
        <is>
          <t>Total</t>
        </is>
      </c>
      <c r="G4" s="14" t="inlineStr">
        <is>
          <t>% Total</t>
        </is>
      </c>
      <c r="H4" s="14" t="inlineStr">
        <is>
          <t>Nb Cadres</t>
        </is>
      </c>
      <c r="I4" s="14" t="inlineStr">
        <is>
          <t>Anciennete Moy. (ans)</t>
        </is>
      </c>
    </row>
    <row r="5" ht="22" customHeight="1">
      <c r="B5" s="15" t="inlineStr">
        <is>
          <t>PAM-001</t>
        </is>
      </c>
      <c r="C5" s="15" t="inlineStr">
        <is>
          <t>18-25 ans</t>
        </is>
      </c>
      <c r="D5" s="21" t="n">
        <v>8</v>
      </c>
      <c r="E5" s="21" t="n">
        <v>10</v>
      </c>
      <c r="F5" s="21" t="n">
        <v>18</v>
      </c>
      <c r="G5" s="23" t="n"/>
      <c r="H5" s="21" t="n">
        <v>1</v>
      </c>
      <c r="I5" s="30" t="n">
        <v>1.2</v>
      </c>
    </row>
    <row r="6" ht="22" customHeight="1">
      <c r="B6" s="17" t="inlineStr">
        <is>
          <t>PAM-002</t>
        </is>
      </c>
      <c r="C6" s="17" t="inlineStr">
        <is>
          <t>26-35 ans</t>
        </is>
      </c>
      <c r="D6" s="24" t="n">
        <v>22</v>
      </c>
      <c r="E6" s="24" t="n">
        <v>18</v>
      </c>
      <c r="F6" s="24" t="n">
        <v>40</v>
      </c>
      <c r="G6" s="26" t="n"/>
      <c r="H6" s="24" t="n">
        <v>8</v>
      </c>
      <c r="I6" s="31" t="n">
        <v>4.5</v>
      </c>
    </row>
    <row r="7" ht="22" customHeight="1">
      <c r="B7" s="15" t="inlineStr">
        <is>
          <t>PAM-003</t>
        </is>
      </c>
      <c r="C7" s="15" t="inlineStr">
        <is>
          <t>36-45 ans</t>
        </is>
      </c>
      <c r="D7" s="21" t="n">
        <v>12</v>
      </c>
      <c r="E7" s="21" t="n">
        <v>6</v>
      </c>
      <c r="F7" s="21" t="n">
        <v>18</v>
      </c>
      <c r="G7" s="23" t="n"/>
      <c r="H7" s="21" t="n">
        <v>5</v>
      </c>
      <c r="I7" s="30" t="n">
        <v>10.3</v>
      </c>
    </row>
    <row r="8" ht="22" customHeight="1">
      <c r="B8" s="17" t="inlineStr">
        <is>
          <t>PAM-004</t>
        </is>
      </c>
      <c r="C8" s="17" t="inlineStr">
        <is>
          <t>46-55 ans</t>
        </is>
      </c>
      <c r="D8" s="24" t="n">
        <v>5</v>
      </c>
      <c r="E8" s="24" t="n">
        <v>3</v>
      </c>
      <c r="F8" s="24" t="n">
        <v>8</v>
      </c>
      <c r="G8" s="26" t="n"/>
      <c r="H8" s="24" t="n">
        <v>2</v>
      </c>
      <c r="I8" s="31" t="n">
        <v>18.7</v>
      </c>
    </row>
    <row r="9" ht="22" customHeight="1">
      <c r="B9" s="15" t="inlineStr">
        <is>
          <t>PAM-005</t>
        </is>
      </c>
      <c r="C9" s="15" t="inlineStr">
        <is>
          <t>56 ans et +</t>
        </is>
      </c>
      <c r="D9" s="21" t="n">
        <v>3</v>
      </c>
      <c r="E9" s="21" t="n">
        <v>2</v>
      </c>
      <c r="F9" s="21" t="n">
        <v>5</v>
      </c>
      <c r="G9" s="23" t="n"/>
      <c r="H9" s="21" t="n">
        <v>1</v>
      </c>
      <c r="I9" s="30" t="n">
        <v>25</v>
      </c>
    </row>
    <row r="10" ht="22" customHeight="1">
      <c r="B10" s="20">
        <f>IF(C10="","PAM-"&amp;TEXT(COUNTA($C$5:C10),"000"))</f>
        <v/>
      </c>
      <c r="C10" s="17" t="n"/>
      <c r="D10" s="24" t="n"/>
      <c r="E10" s="24" t="n"/>
      <c r="F10" s="24">
        <f>D10+E10</f>
        <v/>
      </c>
      <c r="G10" s="26">
        <f>IF(F10="","",IF(SUM(F5:F104)=0,"",F10/SUM(F5:F104)))</f>
        <v/>
      </c>
      <c r="H10" s="24" t="n"/>
      <c r="I10" s="31" t="n"/>
    </row>
    <row r="11" ht="22" customHeight="1">
      <c r="B11" s="19">
        <f>IF(C11="","PAM-"&amp;TEXT(COUNTA($C$5:C11),"000"))</f>
        <v/>
      </c>
      <c r="C11" s="15" t="n"/>
      <c r="D11" s="21" t="n"/>
      <c r="E11" s="21" t="n"/>
      <c r="F11" s="21">
        <f>D11+E11</f>
        <v/>
      </c>
      <c r="G11" s="23">
        <f>IF(F11="","",IF(SUM(F5:F104)=0,"",F11/SUM(F5:F104)))</f>
        <v/>
      </c>
      <c r="H11" s="21" t="n"/>
      <c r="I11" s="30" t="n"/>
    </row>
    <row r="12" ht="22" customHeight="1">
      <c r="B12" s="20">
        <f>IF(C12="","PAM-"&amp;TEXT(COUNTA($C$5:C12),"000"))</f>
        <v/>
      </c>
      <c r="C12" s="17" t="n"/>
      <c r="D12" s="24" t="n"/>
      <c r="E12" s="24" t="n"/>
      <c r="F12" s="24">
        <f>D12+E12</f>
        <v/>
      </c>
      <c r="G12" s="26">
        <f>IF(F12="","",IF(SUM(F5:F104)=0,"",F12/SUM(F5:F104)))</f>
        <v/>
      </c>
      <c r="H12" s="24" t="n"/>
      <c r="I12" s="31" t="n"/>
    </row>
    <row r="13" ht="22" customHeight="1">
      <c r="B13" s="19">
        <f>IF(C13="","PAM-"&amp;TEXT(COUNTA($C$5:C13),"000"))</f>
        <v/>
      </c>
      <c r="C13" s="15" t="n"/>
      <c r="D13" s="21" t="n"/>
      <c r="E13" s="21" t="n"/>
      <c r="F13" s="21">
        <f>D13+E13</f>
        <v/>
      </c>
      <c r="G13" s="23">
        <f>IF(F13="","",IF(SUM(F5:F104)=0,"",F13/SUM(F5:F104)))</f>
        <v/>
      </c>
      <c r="H13" s="21" t="n"/>
      <c r="I13" s="30" t="n"/>
    </row>
    <row r="14" ht="22" customHeight="1">
      <c r="B14" s="20">
        <f>IF(C14="","PAM-"&amp;TEXT(COUNTA($C$5:C14),"000"))</f>
        <v/>
      </c>
      <c r="C14" s="17" t="n"/>
      <c r="D14" s="24" t="n"/>
      <c r="E14" s="24" t="n"/>
      <c r="F14" s="24">
        <f>D14+E14</f>
        <v/>
      </c>
      <c r="G14" s="26">
        <f>IF(F14="","",IF(SUM(F5:F104)=0,"",F14/SUM(F5:F104)))</f>
        <v/>
      </c>
      <c r="H14" s="24" t="n"/>
      <c r="I14" s="31" t="n"/>
    </row>
    <row r="15" ht="22" customHeight="1">
      <c r="B15" s="19">
        <f>IF(C15="","PAM-"&amp;TEXT(COUNTA($C$5:C15),"000"))</f>
        <v/>
      </c>
      <c r="C15" s="15" t="n"/>
      <c r="D15" s="21" t="n"/>
      <c r="E15" s="21" t="n"/>
      <c r="F15" s="21">
        <f>D15+E15</f>
        <v/>
      </c>
      <c r="G15" s="23">
        <f>IF(F15="","",IF(SUM(F5:F104)=0,"",F15/SUM(F5:F104)))</f>
        <v/>
      </c>
      <c r="H15" s="21" t="n"/>
      <c r="I15" s="30" t="n"/>
    </row>
    <row r="16" ht="22" customHeight="1">
      <c r="B16" s="20">
        <f>IF(C16="","PAM-"&amp;TEXT(COUNTA($C$5:C16),"000"))</f>
        <v/>
      </c>
      <c r="C16" s="17" t="n"/>
      <c r="D16" s="24" t="n"/>
      <c r="E16" s="24" t="n"/>
      <c r="F16" s="24">
        <f>D16+E16</f>
        <v/>
      </c>
      <c r="G16" s="26">
        <f>IF(F16="","",IF(SUM(F5:F104)=0,"",F16/SUM(F5:F104)))</f>
        <v/>
      </c>
      <c r="H16" s="24" t="n"/>
      <c r="I16" s="31" t="n"/>
    </row>
    <row r="17" ht="22" customHeight="1">
      <c r="B17" s="19">
        <f>IF(C17="","PAM-"&amp;TEXT(COUNTA($C$5:C17),"000"))</f>
        <v/>
      </c>
      <c r="C17" s="15" t="n"/>
      <c r="D17" s="21" t="n"/>
      <c r="E17" s="21" t="n"/>
      <c r="F17" s="21">
        <f>D17+E17</f>
        <v/>
      </c>
      <c r="G17" s="23">
        <f>IF(F17="","",IF(SUM(F5:F104)=0,"",F17/SUM(F5:F104)))</f>
        <v/>
      </c>
      <c r="H17" s="21" t="n"/>
      <c r="I17" s="30" t="n"/>
    </row>
    <row r="18" ht="22" customHeight="1">
      <c r="B18" s="20">
        <f>IF(C18="","PAM-"&amp;TEXT(COUNTA($C$5:C18),"000"))</f>
        <v/>
      </c>
      <c r="C18" s="17" t="n"/>
      <c r="D18" s="24" t="n"/>
      <c r="E18" s="24" t="n"/>
      <c r="F18" s="24">
        <f>D18+E18</f>
        <v/>
      </c>
      <c r="G18" s="26">
        <f>IF(F18="","",IF(SUM(F5:F104)=0,"",F18/SUM(F5:F104)))</f>
        <v/>
      </c>
      <c r="H18" s="24" t="n"/>
      <c r="I18" s="31" t="n"/>
    </row>
    <row r="19" ht="22" customHeight="1">
      <c r="B19" s="19">
        <f>IF(C19="","PAM-"&amp;TEXT(COUNTA($C$5:C19),"000"))</f>
        <v/>
      </c>
      <c r="C19" s="15" t="n"/>
      <c r="D19" s="21" t="n"/>
      <c r="E19" s="21" t="n"/>
      <c r="F19" s="21">
        <f>D19+E19</f>
        <v/>
      </c>
      <c r="G19" s="23">
        <f>IF(F19="","",IF(SUM(F5:F104)=0,"",F19/SUM(F5:F104)))</f>
        <v/>
      </c>
      <c r="H19" s="21" t="n"/>
      <c r="I19" s="30" t="n"/>
    </row>
    <row r="20" ht="22" customHeight="1">
      <c r="B20" s="20">
        <f>IF(C20="","PAM-"&amp;TEXT(COUNTA($C$5:C20),"000"))</f>
        <v/>
      </c>
      <c r="C20" s="17" t="n"/>
      <c r="D20" s="24" t="n"/>
      <c r="E20" s="24" t="n"/>
      <c r="F20" s="24">
        <f>D20+E20</f>
        <v/>
      </c>
      <c r="G20" s="26">
        <f>IF(F20="","",IF(SUM(F5:F104)=0,"",F20/SUM(F5:F104)))</f>
        <v/>
      </c>
      <c r="H20" s="24" t="n"/>
      <c r="I20" s="31" t="n"/>
    </row>
    <row r="21" ht="22" customHeight="1">
      <c r="B21" s="19">
        <f>IF(C21="","PAM-"&amp;TEXT(COUNTA($C$5:C21),"000"))</f>
        <v/>
      </c>
      <c r="C21" s="15" t="n"/>
      <c r="D21" s="21" t="n"/>
      <c r="E21" s="21" t="n"/>
      <c r="F21" s="21">
        <f>D21+E21</f>
        <v/>
      </c>
      <c r="G21" s="23">
        <f>IF(F21="","",IF(SUM(F5:F104)=0,"",F21/SUM(F5:F104)))</f>
        <v/>
      </c>
      <c r="H21" s="21" t="n"/>
      <c r="I21" s="30" t="n"/>
    </row>
    <row r="22" ht="22" customHeight="1">
      <c r="B22" s="20">
        <f>IF(C22="","PAM-"&amp;TEXT(COUNTA($C$5:C22),"000"))</f>
        <v/>
      </c>
      <c r="C22" s="17" t="n"/>
      <c r="D22" s="24" t="n"/>
      <c r="E22" s="24" t="n"/>
      <c r="F22" s="24">
        <f>D22+E22</f>
        <v/>
      </c>
      <c r="G22" s="26">
        <f>IF(F22="","",IF(SUM(F5:F104)=0,"",F22/SUM(F5:F104)))</f>
        <v/>
      </c>
      <c r="H22" s="24" t="n"/>
      <c r="I22" s="31" t="n"/>
    </row>
    <row r="23" ht="22" customHeight="1">
      <c r="B23" s="19">
        <f>IF(C23="","PAM-"&amp;TEXT(COUNTA($C$5:C23),"000"))</f>
        <v/>
      </c>
      <c r="C23" s="15" t="n"/>
      <c r="D23" s="21" t="n"/>
      <c r="E23" s="21" t="n"/>
      <c r="F23" s="21">
        <f>D23+E23</f>
        <v/>
      </c>
      <c r="G23" s="23">
        <f>IF(F23="","",IF(SUM(F5:F104)=0,"",F23/SUM(F5:F104)))</f>
        <v/>
      </c>
      <c r="H23" s="21" t="n"/>
      <c r="I23" s="30" t="n"/>
    </row>
    <row r="24" ht="22" customHeight="1">
      <c r="B24" s="20">
        <f>IF(C24="","PAM-"&amp;TEXT(COUNTA($C$5:C24),"000"))</f>
        <v/>
      </c>
      <c r="C24" s="17" t="n"/>
      <c r="D24" s="24" t="n"/>
      <c r="E24" s="24" t="n"/>
      <c r="F24" s="24">
        <f>D24+E24</f>
        <v/>
      </c>
      <c r="G24" s="26">
        <f>IF(F24="","",IF(SUM(F5:F104)=0,"",F24/SUM(F5:F104)))</f>
        <v/>
      </c>
      <c r="H24" s="24" t="n"/>
      <c r="I24" s="31" t="n"/>
    </row>
    <row r="25" ht="22" customHeight="1">
      <c r="B25" s="19">
        <f>IF(C25="","PAM-"&amp;TEXT(COUNTA($C$5:C25),"000"))</f>
        <v/>
      </c>
      <c r="C25" s="15" t="n"/>
      <c r="D25" s="21" t="n"/>
      <c r="E25" s="21" t="n"/>
      <c r="F25" s="21">
        <f>D25+E25</f>
        <v/>
      </c>
      <c r="G25" s="23">
        <f>IF(F25="","",IF(SUM(F5:F104)=0,"",F25/SUM(F5:F104)))</f>
        <v/>
      </c>
      <c r="H25" s="21" t="n"/>
      <c r="I25" s="30" t="n"/>
    </row>
    <row r="26" ht="22" customHeight="1">
      <c r="B26" s="20">
        <f>IF(C26="","PAM-"&amp;TEXT(COUNTA($C$5:C26),"000"))</f>
        <v/>
      </c>
      <c r="C26" s="17" t="n"/>
      <c r="D26" s="24" t="n"/>
      <c r="E26" s="24" t="n"/>
      <c r="F26" s="24">
        <f>D26+E26</f>
        <v/>
      </c>
      <c r="G26" s="26">
        <f>IF(F26="","",IF(SUM(F5:F104)=0,"",F26/SUM(F5:F104)))</f>
        <v/>
      </c>
      <c r="H26" s="24" t="n"/>
      <c r="I26" s="31" t="n"/>
    </row>
    <row r="27" ht="22" customHeight="1">
      <c r="B27" s="19">
        <f>IF(C27="","PAM-"&amp;TEXT(COUNTA($C$5:C27),"000"))</f>
        <v/>
      </c>
      <c r="C27" s="15" t="n"/>
      <c r="D27" s="21" t="n"/>
      <c r="E27" s="21" t="n"/>
      <c r="F27" s="21">
        <f>D27+E27</f>
        <v/>
      </c>
      <c r="G27" s="23">
        <f>IF(F27="","",IF(SUM(F5:F104)=0,"",F27/SUM(F5:F104)))</f>
        <v/>
      </c>
      <c r="H27" s="21" t="n"/>
      <c r="I27" s="30" t="n"/>
    </row>
    <row r="28" ht="22" customHeight="1">
      <c r="B28" s="20">
        <f>IF(C28="","PAM-"&amp;TEXT(COUNTA($C$5:C28),"000"))</f>
        <v/>
      </c>
      <c r="C28" s="17" t="n"/>
      <c r="D28" s="24" t="n"/>
      <c r="E28" s="24" t="n"/>
      <c r="F28" s="24">
        <f>D28+E28</f>
        <v/>
      </c>
      <c r="G28" s="26">
        <f>IF(F28="","",IF(SUM(F5:F104)=0,"",F28/SUM(F5:F104)))</f>
        <v/>
      </c>
      <c r="H28" s="24" t="n"/>
      <c r="I28" s="31" t="n"/>
    </row>
    <row r="29" ht="22" customHeight="1">
      <c r="B29" s="19">
        <f>IF(C29="","PAM-"&amp;TEXT(COUNTA($C$5:C29),"000"))</f>
        <v/>
      </c>
      <c r="C29" s="15" t="n"/>
      <c r="D29" s="21" t="n"/>
      <c r="E29" s="21" t="n"/>
      <c r="F29" s="21">
        <f>D29+E29</f>
        <v/>
      </c>
      <c r="G29" s="23">
        <f>IF(F29="","",IF(SUM(F5:F104)=0,"",F29/SUM(F5:F104)))</f>
        <v/>
      </c>
      <c r="H29" s="21" t="n"/>
      <c r="I29" s="30" t="n"/>
    </row>
    <row r="30" ht="22" customHeight="1">
      <c r="B30" s="20">
        <f>IF(C30="","PAM-"&amp;TEXT(COUNTA($C$5:C30),"000"))</f>
        <v/>
      </c>
      <c r="C30" s="17" t="n"/>
      <c r="D30" s="24" t="n"/>
      <c r="E30" s="24" t="n"/>
      <c r="F30" s="24">
        <f>D30+E30</f>
        <v/>
      </c>
      <c r="G30" s="26">
        <f>IF(F30="","",IF(SUM(F5:F104)=0,"",F30/SUM(F5:F104)))</f>
        <v/>
      </c>
      <c r="H30" s="24" t="n"/>
      <c r="I30" s="31" t="n"/>
    </row>
    <row r="31" ht="22" customHeight="1">
      <c r="B31" s="19">
        <f>IF(C31="","PAM-"&amp;TEXT(COUNTA($C$5:C31),"000"))</f>
        <v/>
      </c>
      <c r="C31" s="15" t="n"/>
      <c r="D31" s="21" t="n"/>
      <c r="E31" s="21" t="n"/>
      <c r="F31" s="21">
        <f>D31+E31</f>
        <v/>
      </c>
      <c r="G31" s="23">
        <f>IF(F31="","",IF(SUM(F5:F104)=0,"",F31/SUM(F5:F104)))</f>
        <v/>
      </c>
      <c r="H31" s="21" t="n"/>
      <c r="I31" s="30" t="n"/>
    </row>
    <row r="32" ht="22" customHeight="1">
      <c r="B32" s="20">
        <f>IF(C32="","PAM-"&amp;TEXT(COUNTA($C$5:C32),"000"))</f>
        <v/>
      </c>
      <c r="C32" s="17" t="n"/>
      <c r="D32" s="24" t="n"/>
      <c r="E32" s="24" t="n"/>
      <c r="F32" s="24">
        <f>D32+E32</f>
        <v/>
      </c>
      <c r="G32" s="26">
        <f>IF(F32="","",IF(SUM(F5:F104)=0,"",F32/SUM(F5:F104)))</f>
        <v/>
      </c>
      <c r="H32" s="24" t="n"/>
      <c r="I32" s="31" t="n"/>
    </row>
    <row r="33" ht="22" customHeight="1">
      <c r="B33" s="19">
        <f>IF(C33="","PAM-"&amp;TEXT(COUNTA($C$5:C33),"000"))</f>
        <v/>
      </c>
      <c r="C33" s="15" t="n"/>
      <c r="D33" s="21" t="n"/>
      <c r="E33" s="21" t="n"/>
      <c r="F33" s="21">
        <f>D33+E33</f>
        <v/>
      </c>
      <c r="G33" s="23">
        <f>IF(F33="","",IF(SUM(F5:F104)=0,"",F33/SUM(F5:F104)))</f>
        <v/>
      </c>
      <c r="H33" s="21" t="n"/>
      <c r="I33" s="30" t="n"/>
    </row>
    <row r="34" ht="22" customHeight="1">
      <c r="B34" s="20">
        <f>IF(C34="","PAM-"&amp;TEXT(COUNTA($C$5:C34),"000"))</f>
        <v/>
      </c>
      <c r="C34" s="17" t="n"/>
      <c r="D34" s="24" t="n"/>
      <c r="E34" s="24" t="n"/>
      <c r="F34" s="24">
        <f>D34+E34</f>
        <v/>
      </c>
      <c r="G34" s="26">
        <f>IF(F34="","",IF(SUM(F5:F104)=0,"",F34/SUM(F5:F104)))</f>
        <v/>
      </c>
      <c r="H34" s="24" t="n"/>
      <c r="I34" s="31" t="n"/>
    </row>
    <row r="35" ht="22" customHeight="1">
      <c r="B35" s="19">
        <f>IF(C35="","PAM-"&amp;TEXT(COUNTA($C$5:C35),"000"))</f>
        <v/>
      </c>
      <c r="C35" s="15" t="n"/>
      <c r="D35" s="21" t="n"/>
      <c r="E35" s="21" t="n"/>
      <c r="F35" s="21">
        <f>D35+E35</f>
        <v/>
      </c>
      <c r="G35" s="23">
        <f>IF(F35="","",IF(SUM(F5:F104)=0,"",F35/SUM(F5:F104)))</f>
        <v/>
      </c>
      <c r="H35" s="21" t="n"/>
      <c r="I35" s="30" t="n"/>
    </row>
    <row r="36" ht="22" customHeight="1">
      <c r="B36" s="20">
        <f>IF(C36="","PAM-"&amp;TEXT(COUNTA($C$5:C36),"000"))</f>
        <v/>
      </c>
      <c r="C36" s="17" t="n"/>
      <c r="D36" s="24" t="n"/>
      <c r="E36" s="24" t="n"/>
      <c r="F36" s="24">
        <f>D36+E36</f>
        <v/>
      </c>
      <c r="G36" s="26">
        <f>IF(F36="","",IF(SUM(F5:F104)=0,"",F36/SUM(F5:F104)))</f>
        <v/>
      </c>
      <c r="H36" s="24" t="n"/>
      <c r="I36" s="31" t="n"/>
    </row>
    <row r="37" ht="22" customHeight="1">
      <c r="B37" s="19">
        <f>IF(C37="","PAM-"&amp;TEXT(COUNTA($C$5:C37),"000"))</f>
        <v/>
      </c>
      <c r="C37" s="15" t="n"/>
      <c r="D37" s="21" t="n"/>
      <c r="E37" s="21" t="n"/>
      <c r="F37" s="21">
        <f>D37+E37</f>
        <v/>
      </c>
      <c r="G37" s="23">
        <f>IF(F37="","",IF(SUM(F5:F104)=0,"",F37/SUM(F5:F104)))</f>
        <v/>
      </c>
      <c r="H37" s="21" t="n"/>
      <c r="I37" s="30" t="n"/>
    </row>
    <row r="38" ht="22" customHeight="1">
      <c r="B38" s="20">
        <f>IF(C38="","PAM-"&amp;TEXT(COUNTA($C$5:C38),"000"))</f>
        <v/>
      </c>
      <c r="C38" s="17" t="n"/>
      <c r="D38" s="24" t="n"/>
      <c r="E38" s="24" t="n"/>
      <c r="F38" s="24">
        <f>D38+E38</f>
        <v/>
      </c>
      <c r="G38" s="26">
        <f>IF(F38="","",IF(SUM(F5:F104)=0,"",F38/SUM(F5:F104)))</f>
        <v/>
      </c>
      <c r="H38" s="24" t="n"/>
      <c r="I38" s="31" t="n"/>
    </row>
    <row r="39" ht="22" customHeight="1">
      <c r="B39" s="19">
        <f>IF(C39="","PAM-"&amp;TEXT(COUNTA($C$5:C39),"000"))</f>
        <v/>
      </c>
      <c r="C39" s="15" t="n"/>
      <c r="D39" s="21" t="n"/>
      <c r="E39" s="21" t="n"/>
      <c r="F39" s="21">
        <f>D39+E39</f>
        <v/>
      </c>
      <c r="G39" s="23">
        <f>IF(F39="","",IF(SUM(F5:F104)=0,"",F39/SUM(F5:F104)))</f>
        <v/>
      </c>
      <c r="H39" s="21" t="n"/>
      <c r="I39" s="30" t="n"/>
    </row>
    <row r="40" ht="22" customHeight="1">
      <c r="B40" s="20">
        <f>IF(C40="","PAM-"&amp;TEXT(COUNTA($C$5:C40),"000"))</f>
        <v/>
      </c>
      <c r="C40" s="17" t="n"/>
      <c r="D40" s="24" t="n"/>
      <c r="E40" s="24" t="n"/>
      <c r="F40" s="24">
        <f>D40+E40</f>
        <v/>
      </c>
      <c r="G40" s="26">
        <f>IF(F40="","",IF(SUM(F5:F104)=0,"",F40/SUM(F5:F104)))</f>
        <v/>
      </c>
      <c r="H40" s="24" t="n"/>
      <c r="I40" s="31" t="n"/>
    </row>
    <row r="41" ht="22" customHeight="1">
      <c r="B41" s="19">
        <f>IF(C41="","PAM-"&amp;TEXT(COUNTA($C$5:C41),"000"))</f>
        <v/>
      </c>
      <c r="C41" s="15" t="n"/>
      <c r="D41" s="21" t="n"/>
      <c r="E41" s="21" t="n"/>
      <c r="F41" s="21">
        <f>D41+E41</f>
        <v/>
      </c>
      <c r="G41" s="23">
        <f>IF(F41="","",IF(SUM(F5:F104)=0,"",F41/SUM(F5:F104)))</f>
        <v/>
      </c>
      <c r="H41" s="21" t="n"/>
      <c r="I41" s="30" t="n"/>
    </row>
    <row r="42" ht="22" customHeight="1">
      <c r="B42" s="20">
        <f>IF(C42="","PAM-"&amp;TEXT(COUNTA($C$5:C42),"000"))</f>
        <v/>
      </c>
      <c r="C42" s="17" t="n"/>
      <c r="D42" s="24" t="n"/>
      <c r="E42" s="24" t="n"/>
      <c r="F42" s="24">
        <f>D42+E42</f>
        <v/>
      </c>
      <c r="G42" s="26">
        <f>IF(F42="","",IF(SUM(F5:F104)=0,"",F42/SUM(F5:F104)))</f>
        <v/>
      </c>
      <c r="H42" s="24" t="n"/>
      <c r="I42" s="31" t="n"/>
    </row>
    <row r="43" ht="22" customHeight="1">
      <c r="B43" s="19">
        <f>IF(C43="","PAM-"&amp;TEXT(COUNTA($C$5:C43),"000"))</f>
        <v/>
      </c>
      <c r="C43" s="15" t="n"/>
      <c r="D43" s="21" t="n"/>
      <c r="E43" s="21" t="n"/>
      <c r="F43" s="21">
        <f>D43+E43</f>
        <v/>
      </c>
      <c r="G43" s="23">
        <f>IF(F43="","",IF(SUM(F5:F104)=0,"",F43/SUM(F5:F104)))</f>
        <v/>
      </c>
      <c r="H43" s="21" t="n"/>
      <c r="I43" s="30" t="n"/>
    </row>
    <row r="44" ht="22" customHeight="1">
      <c r="B44" s="20">
        <f>IF(C44="","PAM-"&amp;TEXT(COUNTA($C$5:C44),"000"))</f>
        <v/>
      </c>
      <c r="C44" s="17" t="n"/>
      <c r="D44" s="24" t="n"/>
      <c r="E44" s="24" t="n"/>
      <c r="F44" s="24">
        <f>D44+E44</f>
        <v/>
      </c>
      <c r="G44" s="26">
        <f>IF(F44="","",IF(SUM(F5:F104)=0,"",F44/SUM(F5:F104)))</f>
        <v/>
      </c>
      <c r="H44" s="24" t="n"/>
      <c r="I44" s="31" t="n"/>
    </row>
    <row r="45" ht="22" customHeight="1">
      <c r="B45" s="19">
        <f>IF(C45="","PAM-"&amp;TEXT(COUNTA($C$5:C45),"000"))</f>
        <v/>
      </c>
      <c r="C45" s="15" t="n"/>
      <c r="D45" s="21" t="n"/>
      <c r="E45" s="21" t="n"/>
      <c r="F45" s="21">
        <f>D45+E45</f>
        <v/>
      </c>
      <c r="G45" s="23">
        <f>IF(F45="","",IF(SUM(F5:F104)=0,"",F45/SUM(F5:F104)))</f>
        <v/>
      </c>
      <c r="H45" s="21" t="n"/>
      <c r="I45" s="30" t="n"/>
    </row>
    <row r="46" ht="22" customHeight="1">
      <c r="B46" s="20">
        <f>IF(C46="","PAM-"&amp;TEXT(COUNTA($C$5:C46),"000"))</f>
        <v/>
      </c>
      <c r="C46" s="17" t="n"/>
      <c r="D46" s="24" t="n"/>
      <c r="E46" s="24" t="n"/>
      <c r="F46" s="24">
        <f>D46+E46</f>
        <v/>
      </c>
      <c r="G46" s="26">
        <f>IF(F46="","",IF(SUM(F5:F104)=0,"",F46/SUM(F5:F104)))</f>
        <v/>
      </c>
      <c r="H46" s="24" t="n"/>
      <c r="I46" s="31" t="n"/>
    </row>
    <row r="47" ht="22" customHeight="1">
      <c r="B47" s="19">
        <f>IF(C47="","PAM-"&amp;TEXT(COUNTA($C$5:C47),"000"))</f>
        <v/>
      </c>
      <c r="C47" s="15" t="n"/>
      <c r="D47" s="21" t="n"/>
      <c r="E47" s="21" t="n"/>
      <c r="F47" s="21">
        <f>D47+E47</f>
        <v/>
      </c>
      <c r="G47" s="23">
        <f>IF(F47="","",IF(SUM(F5:F104)=0,"",F47/SUM(F5:F104)))</f>
        <v/>
      </c>
      <c r="H47" s="21" t="n"/>
      <c r="I47" s="30" t="n"/>
    </row>
    <row r="48" ht="22" customHeight="1">
      <c r="B48" s="20">
        <f>IF(C48="","PAM-"&amp;TEXT(COUNTA($C$5:C48),"000"))</f>
        <v/>
      </c>
      <c r="C48" s="17" t="n"/>
      <c r="D48" s="24" t="n"/>
      <c r="E48" s="24" t="n"/>
      <c r="F48" s="24">
        <f>D48+E48</f>
        <v/>
      </c>
      <c r="G48" s="26">
        <f>IF(F48="","",IF(SUM(F5:F104)=0,"",F48/SUM(F5:F104)))</f>
        <v/>
      </c>
      <c r="H48" s="24" t="n"/>
      <c r="I48" s="31" t="n"/>
    </row>
    <row r="49" ht="22" customHeight="1">
      <c r="B49" s="19">
        <f>IF(C49="","PAM-"&amp;TEXT(COUNTA($C$5:C49),"000"))</f>
        <v/>
      </c>
      <c r="C49" s="15" t="n"/>
      <c r="D49" s="21" t="n"/>
      <c r="E49" s="21" t="n"/>
      <c r="F49" s="21">
        <f>D49+E49</f>
        <v/>
      </c>
      <c r="G49" s="23">
        <f>IF(F49="","",IF(SUM(F5:F104)=0,"",F49/SUM(F5:F104)))</f>
        <v/>
      </c>
      <c r="H49" s="21" t="n"/>
      <c r="I49" s="30" t="n"/>
    </row>
    <row r="50" ht="22" customHeight="1">
      <c r="B50" s="20">
        <f>IF(C50="","PAM-"&amp;TEXT(COUNTA($C$5:C50),"000"))</f>
        <v/>
      </c>
      <c r="C50" s="17" t="n"/>
      <c r="D50" s="24" t="n"/>
      <c r="E50" s="24" t="n"/>
      <c r="F50" s="24">
        <f>D50+E50</f>
        <v/>
      </c>
      <c r="G50" s="26">
        <f>IF(F50="","",IF(SUM(F5:F104)=0,"",F50/SUM(F5:F104)))</f>
        <v/>
      </c>
      <c r="H50" s="24" t="n"/>
      <c r="I50" s="31" t="n"/>
    </row>
    <row r="51" ht="22" customHeight="1">
      <c r="B51" s="19">
        <f>IF(C51="","PAM-"&amp;TEXT(COUNTA($C$5:C51),"000"))</f>
        <v/>
      </c>
      <c r="C51" s="15" t="n"/>
      <c r="D51" s="21" t="n"/>
      <c r="E51" s="21" t="n"/>
      <c r="F51" s="21">
        <f>D51+E51</f>
        <v/>
      </c>
      <c r="G51" s="23">
        <f>IF(F51="","",IF(SUM(F5:F104)=0,"",F51/SUM(F5:F104)))</f>
        <v/>
      </c>
      <c r="H51" s="21" t="n"/>
      <c r="I51" s="30" t="n"/>
    </row>
    <row r="52" ht="22" customHeight="1">
      <c r="B52" s="20">
        <f>IF(C52="","PAM-"&amp;TEXT(COUNTA($C$5:C52),"000"))</f>
        <v/>
      </c>
      <c r="C52" s="17" t="n"/>
      <c r="D52" s="24" t="n"/>
      <c r="E52" s="24" t="n"/>
      <c r="F52" s="24">
        <f>D52+E52</f>
        <v/>
      </c>
      <c r="G52" s="26">
        <f>IF(F52="","",IF(SUM(F5:F104)=0,"",F52/SUM(F5:F104)))</f>
        <v/>
      </c>
      <c r="H52" s="24" t="n"/>
      <c r="I52" s="31" t="n"/>
    </row>
    <row r="53" ht="22" customHeight="1">
      <c r="B53" s="19">
        <f>IF(C53="","PAM-"&amp;TEXT(COUNTA($C$5:C53),"000"))</f>
        <v/>
      </c>
      <c r="C53" s="15" t="n"/>
      <c r="D53" s="21" t="n"/>
      <c r="E53" s="21" t="n"/>
      <c r="F53" s="21">
        <f>D53+E53</f>
        <v/>
      </c>
      <c r="G53" s="23">
        <f>IF(F53="","",IF(SUM(F5:F104)=0,"",F53/SUM(F5:F104)))</f>
        <v/>
      </c>
      <c r="H53" s="21" t="n"/>
      <c r="I53" s="30" t="n"/>
    </row>
    <row r="54" ht="22" customHeight="1">
      <c r="B54" s="20">
        <f>IF(C54="","PAM-"&amp;TEXT(COUNTA($C$5:C54),"000"))</f>
        <v/>
      </c>
      <c r="C54" s="17" t="n"/>
      <c r="D54" s="24" t="n"/>
      <c r="E54" s="24" t="n"/>
      <c r="F54" s="24">
        <f>D54+E54</f>
        <v/>
      </c>
      <c r="G54" s="26">
        <f>IF(F54="","",IF(SUM(F5:F104)=0,"",F54/SUM(F5:F104)))</f>
        <v/>
      </c>
      <c r="H54" s="24" t="n"/>
      <c r="I54" s="31" t="n"/>
    </row>
    <row r="55" ht="22" customHeight="1">
      <c r="B55" s="19">
        <f>IF(C55="","PAM-"&amp;TEXT(COUNTA($C$5:C55),"000"))</f>
        <v/>
      </c>
      <c r="C55" s="15" t="n"/>
      <c r="D55" s="21" t="n"/>
      <c r="E55" s="21" t="n"/>
      <c r="F55" s="21">
        <f>D55+E55</f>
        <v/>
      </c>
      <c r="G55" s="23">
        <f>IF(F55="","",IF(SUM(F5:F104)=0,"",F55/SUM(F5:F104)))</f>
        <v/>
      </c>
      <c r="H55" s="21" t="n"/>
      <c r="I55" s="30" t="n"/>
    </row>
    <row r="56" ht="22" customHeight="1">
      <c r="B56" s="20">
        <f>IF(C56="","PAM-"&amp;TEXT(COUNTA($C$5:C56),"000"))</f>
        <v/>
      </c>
      <c r="C56" s="17" t="n"/>
      <c r="D56" s="24" t="n"/>
      <c r="E56" s="24" t="n"/>
      <c r="F56" s="24">
        <f>D56+E56</f>
        <v/>
      </c>
      <c r="G56" s="26">
        <f>IF(F56="","",IF(SUM(F5:F104)=0,"",F56/SUM(F5:F104)))</f>
        <v/>
      </c>
      <c r="H56" s="24" t="n"/>
      <c r="I56" s="31" t="n"/>
    </row>
    <row r="57" ht="22" customHeight="1">
      <c r="B57" s="19">
        <f>IF(C57="","PAM-"&amp;TEXT(COUNTA($C$5:C57),"000"))</f>
        <v/>
      </c>
      <c r="C57" s="15" t="n"/>
      <c r="D57" s="21" t="n"/>
      <c r="E57" s="21" t="n"/>
      <c r="F57" s="21">
        <f>D57+E57</f>
        <v/>
      </c>
      <c r="G57" s="23">
        <f>IF(F57="","",IF(SUM(F5:F104)=0,"",F57/SUM(F5:F104)))</f>
        <v/>
      </c>
      <c r="H57" s="21" t="n"/>
      <c r="I57" s="30" t="n"/>
    </row>
    <row r="58" ht="22" customHeight="1">
      <c r="B58" s="20">
        <f>IF(C58="","PAM-"&amp;TEXT(COUNTA($C$5:C58),"000"))</f>
        <v/>
      </c>
      <c r="C58" s="17" t="n"/>
      <c r="D58" s="24" t="n"/>
      <c r="E58" s="24" t="n"/>
      <c r="F58" s="24">
        <f>D58+E58</f>
        <v/>
      </c>
      <c r="G58" s="26">
        <f>IF(F58="","",IF(SUM(F5:F104)=0,"",F58/SUM(F5:F104)))</f>
        <v/>
      </c>
      <c r="H58" s="24" t="n"/>
      <c r="I58" s="31" t="n"/>
    </row>
    <row r="59" ht="22" customHeight="1">
      <c r="B59" s="19">
        <f>IF(C59="","PAM-"&amp;TEXT(COUNTA($C$5:C59),"000"))</f>
        <v/>
      </c>
      <c r="C59" s="15" t="n"/>
      <c r="D59" s="21" t="n"/>
      <c r="E59" s="21" t="n"/>
      <c r="F59" s="21">
        <f>D59+E59</f>
        <v/>
      </c>
      <c r="G59" s="23">
        <f>IF(F59="","",IF(SUM(F5:F104)=0,"",F59/SUM(F5:F104)))</f>
        <v/>
      </c>
      <c r="H59" s="21" t="n"/>
      <c r="I59" s="30" t="n"/>
    </row>
    <row r="60" ht="22" customHeight="1">
      <c r="B60" s="20">
        <f>IF(C60="","PAM-"&amp;TEXT(COUNTA($C$5:C60),"000"))</f>
        <v/>
      </c>
      <c r="C60" s="17" t="n"/>
      <c r="D60" s="24" t="n"/>
      <c r="E60" s="24" t="n"/>
      <c r="F60" s="24">
        <f>D60+E60</f>
        <v/>
      </c>
      <c r="G60" s="26">
        <f>IF(F60="","",IF(SUM(F5:F104)=0,"",F60/SUM(F5:F104)))</f>
        <v/>
      </c>
      <c r="H60" s="24" t="n"/>
      <c r="I60" s="31" t="n"/>
    </row>
    <row r="61" ht="22" customHeight="1">
      <c r="B61" s="19">
        <f>IF(C61="","PAM-"&amp;TEXT(COUNTA($C$5:C61),"000"))</f>
        <v/>
      </c>
      <c r="C61" s="15" t="n"/>
      <c r="D61" s="21" t="n"/>
      <c r="E61" s="21" t="n"/>
      <c r="F61" s="21">
        <f>D61+E61</f>
        <v/>
      </c>
      <c r="G61" s="23">
        <f>IF(F61="","",IF(SUM(F5:F104)=0,"",F61/SUM(F5:F104)))</f>
        <v/>
      </c>
      <c r="H61" s="21" t="n"/>
      <c r="I61" s="30" t="n"/>
    </row>
    <row r="62" ht="22" customHeight="1">
      <c r="B62" s="20">
        <f>IF(C62="","PAM-"&amp;TEXT(COUNTA($C$5:C62),"000"))</f>
        <v/>
      </c>
      <c r="C62" s="17" t="n"/>
      <c r="D62" s="24" t="n"/>
      <c r="E62" s="24" t="n"/>
      <c r="F62" s="24">
        <f>D62+E62</f>
        <v/>
      </c>
      <c r="G62" s="26">
        <f>IF(F62="","",IF(SUM(F5:F104)=0,"",F62/SUM(F5:F104)))</f>
        <v/>
      </c>
      <c r="H62" s="24" t="n"/>
      <c r="I62" s="31" t="n"/>
    </row>
    <row r="63" ht="22" customHeight="1">
      <c r="B63" s="19">
        <f>IF(C63="","PAM-"&amp;TEXT(COUNTA($C$5:C63),"000"))</f>
        <v/>
      </c>
      <c r="C63" s="15" t="n"/>
      <c r="D63" s="21" t="n"/>
      <c r="E63" s="21" t="n"/>
      <c r="F63" s="21">
        <f>D63+E63</f>
        <v/>
      </c>
      <c r="G63" s="23">
        <f>IF(F63="","",IF(SUM(F5:F104)=0,"",F63/SUM(F5:F104)))</f>
        <v/>
      </c>
      <c r="H63" s="21" t="n"/>
      <c r="I63" s="30" t="n"/>
    </row>
    <row r="64" ht="22" customHeight="1">
      <c r="B64" s="20">
        <f>IF(C64="","PAM-"&amp;TEXT(COUNTA($C$5:C64),"000"))</f>
        <v/>
      </c>
      <c r="C64" s="17" t="n"/>
      <c r="D64" s="24" t="n"/>
      <c r="E64" s="24" t="n"/>
      <c r="F64" s="24">
        <f>D64+E64</f>
        <v/>
      </c>
      <c r="G64" s="26">
        <f>IF(F64="","",IF(SUM(F5:F104)=0,"",F64/SUM(F5:F104)))</f>
        <v/>
      </c>
      <c r="H64" s="24" t="n"/>
      <c r="I64" s="31" t="n"/>
    </row>
    <row r="65" ht="22" customHeight="1">
      <c r="B65" s="19">
        <f>IF(C65="","PAM-"&amp;TEXT(COUNTA($C$5:C65),"000"))</f>
        <v/>
      </c>
      <c r="C65" s="15" t="n"/>
      <c r="D65" s="21" t="n"/>
      <c r="E65" s="21" t="n"/>
      <c r="F65" s="21">
        <f>D65+E65</f>
        <v/>
      </c>
      <c r="G65" s="23">
        <f>IF(F65="","",IF(SUM(F5:F104)=0,"",F65/SUM(F5:F104)))</f>
        <v/>
      </c>
      <c r="H65" s="21" t="n"/>
      <c r="I65" s="30" t="n"/>
    </row>
    <row r="66" ht="22" customHeight="1">
      <c r="B66" s="20">
        <f>IF(C66="","PAM-"&amp;TEXT(COUNTA($C$5:C66),"000"))</f>
        <v/>
      </c>
      <c r="C66" s="17" t="n"/>
      <c r="D66" s="24" t="n"/>
      <c r="E66" s="24" t="n"/>
      <c r="F66" s="24">
        <f>D66+E66</f>
        <v/>
      </c>
      <c r="G66" s="26">
        <f>IF(F66="","",IF(SUM(F5:F104)=0,"",F66/SUM(F5:F104)))</f>
        <v/>
      </c>
      <c r="H66" s="24" t="n"/>
      <c r="I66" s="31" t="n"/>
    </row>
    <row r="67" ht="22" customHeight="1">
      <c r="B67" s="19">
        <f>IF(C67="","PAM-"&amp;TEXT(COUNTA($C$5:C67),"000"))</f>
        <v/>
      </c>
      <c r="C67" s="15" t="n"/>
      <c r="D67" s="21" t="n"/>
      <c r="E67" s="21" t="n"/>
      <c r="F67" s="21">
        <f>D67+E67</f>
        <v/>
      </c>
      <c r="G67" s="23">
        <f>IF(F67="","",IF(SUM(F5:F104)=0,"",F67/SUM(F5:F104)))</f>
        <v/>
      </c>
      <c r="H67" s="21" t="n"/>
      <c r="I67" s="30" t="n"/>
    </row>
    <row r="68" ht="22" customHeight="1">
      <c r="B68" s="20">
        <f>IF(C68="","PAM-"&amp;TEXT(COUNTA($C$5:C68),"000"))</f>
        <v/>
      </c>
      <c r="C68" s="17" t="n"/>
      <c r="D68" s="24" t="n"/>
      <c r="E68" s="24" t="n"/>
      <c r="F68" s="24">
        <f>D68+E68</f>
        <v/>
      </c>
      <c r="G68" s="26">
        <f>IF(F68="","",IF(SUM(F5:F104)=0,"",F68/SUM(F5:F104)))</f>
        <v/>
      </c>
      <c r="H68" s="24" t="n"/>
      <c r="I68" s="31" t="n"/>
    </row>
    <row r="69" ht="22" customHeight="1">
      <c r="B69" s="19">
        <f>IF(C69="","PAM-"&amp;TEXT(COUNTA($C$5:C69),"000"))</f>
        <v/>
      </c>
      <c r="C69" s="15" t="n"/>
      <c r="D69" s="21" t="n"/>
      <c r="E69" s="21" t="n"/>
      <c r="F69" s="21">
        <f>D69+E69</f>
        <v/>
      </c>
      <c r="G69" s="23">
        <f>IF(F69="","",IF(SUM(F5:F104)=0,"",F69/SUM(F5:F104)))</f>
        <v/>
      </c>
      <c r="H69" s="21" t="n"/>
      <c r="I69" s="30" t="n"/>
    </row>
    <row r="70" ht="22" customHeight="1">
      <c r="B70" s="20">
        <f>IF(C70="","PAM-"&amp;TEXT(COUNTA($C$5:C70),"000"))</f>
        <v/>
      </c>
      <c r="C70" s="17" t="n"/>
      <c r="D70" s="24" t="n"/>
      <c r="E70" s="24" t="n"/>
      <c r="F70" s="24">
        <f>D70+E70</f>
        <v/>
      </c>
      <c r="G70" s="26">
        <f>IF(F70="","",IF(SUM(F5:F104)=0,"",F70/SUM(F5:F104)))</f>
        <v/>
      </c>
      <c r="H70" s="24" t="n"/>
      <c r="I70" s="31" t="n"/>
    </row>
    <row r="71" ht="22" customHeight="1">
      <c r="B71" s="19">
        <f>IF(C71="","PAM-"&amp;TEXT(COUNTA($C$5:C71),"000"))</f>
        <v/>
      </c>
      <c r="C71" s="15" t="n"/>
      <c r="D71" s="21" t="n"/>
      <c r="E71" s="21" t="n"/>
      <c r="F71" s="21">
        <f>D71+E71</f>
        <v/>
      </c>
      <c r="G71" s="23">
        <f>IF(F71="","",IF(SUM(F5:F104)=0,"",F71/SUM(F5:F104)))</f>
        <v/>
      </c>
      <c r="H71" s="21" t="n"/>
      <c r="I71" s="30" t="n"/>
    </row>
    <row r="72" ht="22" customHeight="1">
      <c r="B72" s="20">
        <f>IF(C72="","PAM-"&amp;TEXT(COUNTA($C$5:C72),"000"))</f>
        <v/>
      </c>
      <c r="C72" s="17" t="n"/>
      <c r="D72" s="24" t="n"/>
      <c r="E72" s="24" t="n"/>
      <c r="F72" s="24">
        <f>D72+E72</f>
        <v/>
      </c>
      <c r="G72" s="26">
        <f>IF(F72="","",IF(SUM(F5:F104)=0,"",F72/SUM(F5:F104)))</f>
        <v/>
      </c>
      <c r="H72" s="24" t="n"/>
      <c r="I72" s="31" t="n"/>
    </row>
    <row r="73" ht="22" customHeight="1">
      <c r="B73" s="19">
        <f>IF(C73="","PAM-"&amp;TEXT(COUNTA($C$5:C73),"000"))</f>
        <v/>
      </c>
      <c r="C73" s="15" t="n"/>
      <c r="D73" s="21" t="n"/>
      <c r="E73" s="21" t="n"/>
      <c r="F73" s="21">
        <f>D73+E73</f>
        <v/>
      </c>
      <c r="G73" s="23">
        <f>IF(F73="","",IF(SUM(F5:F104)=0,"",F73/SUM(F5:F104)))</f>
        <v/>
      </c>
      <c r="H73" s="21" t="n"/>
      <c r="I73" s="30" t="n"/>
    </row>
    <row r="74" ht="22" customHeight="1">
      <c r="B74" s="20">
        <f>IF(C74="","PAM-"&amp;TEXT(COUNTA($C$5:C74),"000"))</f>
        <v/>
      </c>
      <c r="C74" s="17" t="n"/>
      <c r="D74" s="24" t="n"/>
      <c r="E74" s="24" t="n"/>
      <c r="F74" s="24">
        <f>D74+E74</f>
        <v/>
      </c>
      <c r="G74" s="26">
        <f>IF(F74="","",IF(SUM(F5:F104)=0,"",F74/SUM(F5:F104)))</f>
        <v/>
      </c>
      <c r="H74" s="24" t="n"/>
      <c r="I74" s="31" t="n"/>
    </row>
    <row r="75" ht="22" customHeight="1">
      <c r="B75" s="19">
        <f>IF(C75="","PAM-"&amp;TEXT(COUNTA($C$5:C75),"000"))</f>
        <v/>
      </c>
      <c r="C75" s="15" t="n"/>
      <c r="D75" s="21" t="n"/>
      <c r="E75" s="21" t="n"/>
      <c r="F75" s="21">
        <f>D75+E75</f>
        <v/>
      </c>
      <c r="G75" s="23">
        <f>IF(F75="","",IF(SUM(F5:F104)=0,"",F75/SUM(F5:F104)))</f>
        <v/>
      </c>
      <c r="H75" s="21" t="n"/>
      <c r="I75" s="30" t="n"/>
    </row>
    <row r="76" ht="22" customHeight="1">
      <c r="B76" s="20">
        <f>IF(C76="","PAM-"&amp;TEXT(COUNTA($C$5:C76),"000"))</f>
        <v/>
      </c>
      <c r="C76" s="17" t="n"/>
      <c r="D76" s="24" t="n"/>
      <c r="E76" s="24" t="n"/>
      <c r="F76" s="24">
        <f>D76+E76</f>
        <v/>
      </c>
      <c r="G76" s="26">
        <f>IF(F76="","",IF(SUM(F5:F104)=0,"",F76/SUM(F5:F104)))</f>
        <v/>
      </c>
      <c r="H76" s="24" t="n"/>
      <c r="I76" s="31" t="n"/>
    </row>
    <row r="77" ht="22" customHeight="1">
      <c r="B77" s="19">
        <f>IF(C77="","PAM-"&amp;TEXT(COUNTA($C$5:C77),"000"))</f>
        <v/>
      </c>
      <c r="C77" s="15" t="n"/>
      <c r="D77" s="21" t="n"/>
      <c r="E77" s="21" t="n"/>
      <c r="F77" s="21">
        <f>D77+E77</f>
        <v/>
      </c>
      <c r="G77" s="23">
        <f>IF(F77="","",IF(SUM(F5:F104)=0,"",F77/SUM(F5:F104)))</f>
        <v/>
      </c>
      <c r="H77" s="21" t="n"/>
      <c r="I77" s="30" t="n"/>
    </row>
    <row r="78" ht="22" customHeight="1">
      <c r="B78" s="20">
        <f>IF(C78="","PAM-"&amp;TEXT(COUNTA($C$5:C78),"000"))</f>
        <v/>
      </c>
      <c r="C78" s="17" t="n"/>
      <c r="D78" s="24" t="n"/>
      <c r="E78" s="24" t="n"/>
      <c r="F78" s="24">
        <f>D78+E78</f>
        <v/>
      </c>
      <c r="G78" s="26">
        <f>IF(F78="","",IF(SUM(F5:F104)=0,"",F78/SUM(F5:F104)))</f>
        <v/>
      </c>
      <c r="H78" s="24" t="n"/>
      <c r="I78" s="31" t="n"/>
    </row>
    <row r="79" ht="22" customHeight="1">
      <c r="B79" s="19">
        <f>IF(C79="","PAM-"&amp;TEXT(COUNTA($C$5:C79),"000"))</f>
        <v/>
      </c>
      <c r="C79" s="15" t="n"/>
      <c r="D79" s="21" t="n"/>
      <c r="E79" s="21" t="n"/>
      <c r="F79" s="21">
        <f>D79+E79</f>
        <v/>
      </c>
      <c r="G79" s="23">
        <f>IF(F79="","",IF(SUM(F5:F104)=0,"",F79/SUM(F5:F104)))</f>
        <v/>
      </c>
      <c r="H79" s="21" t="n"/>
      <c r="I79" s="30" t="n"/>
    </row>
    <row r="80" ht="22" customHeight="1">
      <c r="B80" s="20">
        <f>IF(C80="","PAM-"&amp;TEXT(COUNTA($C$5:C80),"000"))</f>
        <v/>
      </c>
      <c r="C80" s="17" t="n"/>
      <c r="D80" s="24" t="n"/>
      <c r="E80" s="24" t="n"/>
      <c r="F80" s="24">
        <f>D80+E80</f>
        <v/>
      </c>
      <c r="G80" s="26">
        <f>IF(F80="","",IF(SUM(F5:F104)=0,"",F80/SUM(F5:F104)))</f>
        <v/>
      </c>
      <c r="H80" s="24" t="n"/>
      <c r="I80" s="31" t="n"/>
    </row>
    <row r="81" ht="22" customHeight="1">
      <c r="B81" s="19">
        <f>IF(C81="","PAM-"&amp;TEXT(COUNTA($C$5:C81),"000"))</f>
        <v/>
      </c>
      <c r="C81" s="15" t="n"/>
      <c r="D81" s="21" t="n"/>
      <c r="E81" s="21" t="n"/>
      <c r="F81" s="21">
        <f>D81+E81</f>
        <v/>
      </c>
      <c r="G81" s="23">
        <f>IF(F81="","",IF(SUM(F5:F104)=0,"",F81/SUM(F5:F104)))</f>
        <v/>
      </c>
      <c r="H81" s="21" t="n"/>
      <c r="I81" s="30" t="n"/>
    </row>
    <row r="82" ht="22" customHeight="1">
      <c r="B82" s="20">
        <f>IF(C82="","PAM-"&amp;TEXT(COUNTA($C$5:C82),"000"))</f>
        <v/>
      </c>
      <c r="C82" s="17" t="n"/>
      <c r="D82" s="24" t="n"/>
      <c r="E82" s="24" t="n"/>
      <c r="F82" s="24">
        <f>D82+E82</f>
        <v/>
      </c>
      <c r="G82" s="26">
        <f>IF(F82="","",IF(SUM(F5:F104)=0,"",F82/SUM(F5:F104)))</f>
        <v/>
      </c>
      <c r="H82" s="24" t="n"/>
      <c r="I82" s="31" t="n"/>
    </row>
    <row r="83" ht="22" customHeight="1">
      <c r="B83" s="19">
        <f>IF(C83="","PAM-"&amp;TEXT(COUNTA($C$5:C83),"000"))</f>
        <v/>
      </c>
      <c r="C83" s="15" t="n"/>
      <c r="D83" s="21" t="n"/>
      <c r="E83" s="21" t="n"/>
      <c r="F83" s="21">
        <f>D83+E83</f>
        <v/>
      </c>
      <c r="G83" s="23">
        <f>IF(F83="","",IF(SUM(F5:F104)=0,"",F83/SUM(F5:F104)))</f>
        <v/>
      </c>
      <c r="H83" s="21" t="n"/>
      <c r="I83" s="30" t="n"/>
    </row>
    <row r="84" ht="22" customHeight="1">
      <c r="B84" s="20">
        <f>IF(C84="","PAM-"&amp;TEXT(COUNTA($C$5:C84),"000"))</f>
        <v/>
      </c>
      <c r="C84" s="17" t="n"/>
      <c r="D84" s="24" t="n"/>
      <c r="E84" s="24" t="n"/>
      <c r="F84" s="24">
        <f>D84+E84</f>
        <v/>
      </c>
      <c r="G84" s="26">
        <f>IF(F84="","",IF(SUM(F5:F104)=0,"",F84/SUM(F5:F104)))</f>
        <v/>
      </c>
      <c r="H84" s="24" t="n"/>
      <c r="I84" s="31" t="n"/>
    </row>
    <row r="85" ht="22" customHeight="1">
      <c r="B85" s="19">
        <f>IF(C85="","PAM-"&amp;TEXT(COUNTA($C$5:C85),"000"))</f>
        <v/>
      </c>
      <c r="C85" s="15" t="n"/>
      <c r="D85" s="21" t="n"/>
      <c r="E85" s="21" t="n"/>
      <c r="F85" s="21">
        <f>D85+E85</f>
        <v/>
      </c>
      <c r="G85" s="23">
        <f>IF(F85="","",IF(SUM(F5:F104)=0,"",F85/SUM(F5:F104)))</f>
        <v/>
      </c>
      <c r="H85" s="21" t="n"/>
      <c r="I85" s="30" t="n"/>
    </row>
    <row r="86" ht="22" customHeight="1">
      <c r="B86" s="20">
        <f>IF(C86="","PAM-"&amp;TEXT(COUNTA($C$5:C86),"000"))</f>
        <v/>
      </c>
      <c r="C86" s="17" t="n"/>
      <c r="D86" s="24" t="n"/>
      <c r="E86" s="24" t="n"/>
      <c r="F86" s="24">
        <f>D86+E86</f>
        <v/>
      </c>
      <c r="G86" s="26">
        <f>IF(F86="","",IF(SUM(F5:F104)=0,"",F86/SUM(F5:F104)))</f>
        <v/>
      </c>
      <c r="H86" s="24" t="n"/>
      <c r="I86" s="31" t="n"/>
    </row>
    <row r="87" ht="22" customHeight="1">
      <c r="B87" s="19">
        <f>IF(C87="","PAM-"&amp;TEXT(COUNTA($C$5:C87),"000"))</f>
        <v/>
      </c>
      <c r="C87" s="15" t="n"/>
      <c r="D87" s="21" t="n"/>
      <c r="E87" s="21" t="n"/>
      <c r="F87" s="21">
        <f>D87+E87</f>
        <v/>
      </c>
      <c r="G87" s="23">
        <f>IF(F87="","",IF(SUM(F5:F104)=0,"",F87/SUM(F5:F104)))</f>
        <v/>
      </c>
      <c r="H87" s="21" t="n"/>
      <c r="I87" s="30" t="n"/>
    </row>
    <row r="88" ht="22" customHeight="1">
      <c r="B88" s="20">
        <f>IF(C88="","PAM-"&amp;TEXT(COUNTA($C$5:C88),"000"))</f>
        <v/>
      </c>
      <c r="C88" s="17" t="n"/>
      <c r="D88" s="24" t="n"/>
      <c r="E88" s="24" t="n"/>
      <c r="F88" s="24">
        <f>D88+E88</f>
        <v/>
      </c>
      <c r="G88" s="26">
        <f>IF(F88="","",IF(SUM(F5:F104)=0,"",F88/SUM(F5:F104)))</f>
        <v/>
      </c>
      <c r="H88" s="24" t="n"/>
      <c r="I88" s="31" t="n"/>
    </row>
    <row r="89" ht="22" customHeight="1">
      <c r="B89" s="19">
        <f>IF(C89="","PAM-"&amp;TEXT(COUNTA($C$5:C89),"000"))</f>
        <v/>
      </c>
      <c r="C89" s="15" t="n"/>
      <c r="D89" s="21" t="n"/>
      <c r="E89" s="21" t="n"/>
      <c r="F89" s="21">
        <f>D89+E89</f>
        <v/>
      </c>
      <c r="G89" s="23">
        <f>IF(F89="","",IF(SUM(F5:F104)=0,"",F89/SUM(F5:F104)))</f>
        <v/>
      </c>
      <c r="H89" s="21" t="n"/>
      <c r="I89" s="30" t="n"/>
    </row>
    <row r="90" ht="22" customHeight="1">
      <c r="B90" s="20">
        <f>IF(C90="","PAM-"&amp;TEXT(COUNTA($C$5:C90),"000"))</f>
        <v/>
      </c>
      <c r="C90" s="17" t="n"/>
      <c r="D90" s="24" t="n"/>
      <c r="E90" s="24" t="n"/>
      <c r="F90" s="24">
        <f>D90+E90</f>
        <v/>
      </c>
      <c r="G90" s="26">
        <f>IF(F90="","",IF(SUM(F5:F104)=0,"",F90/SUM(F5:F104)))</f>
        <v/>
      </c>
      <c r="H90" s="24" t="n"/>
      <c r="I90" s="31" t="n"/>
    </row>
    <row r="91" ht="22" customHeight="1">
      <c r="B91" s="19">
        <f>IF(C91="","PAM-"&amp;TEXT(COUNTA($C$5:C91),"000"))</f>
        <v/>
      </c>
      <c r="C91" s="15" t="n"/>
      <c r="D91" s="21" t="n"/>
      <c r="E91" s="21" t="n"/>
      <c r="F91" s="21">
        <f>D91+E91</f>
        <v/>
      </c>
      <c r="G91" s="23">
        <f>IF(F91="","",IF(SUM(F5:F104)=0,"",F91/SUM(F5:F104)))</f>
        <v/>
      </c>
      <c r="H91" s="21" t="n"/>
      <c r="I91" s="30" t="n"/>
    </row>
    <row r="92" ht="22" customHeight="1">
      <c r="B92" s="20">
        <f>IF(C92="","PAM-"&amp;TEXT(COUNTA($C$5:C92),"000"))</f>
        <v/>
      </c>
      <c r="C92" s="17" t="n"/>
      <c r="D92" s="24" t="n"/>
      <c r="E92" s="24" t="n"/>
      <c r="F92" s="24">
        <f>D92+E92</f>
        <v/>
      </c>
      <c r="G92" s="26">
        <f>IF(F92="","",IF(SUM(F5:F104)=0,"",F92/SUM(F5:F104)))</f>
        <v/>
      </c>
      <c r="H92" s="24" t="n"/>
      <c r="I92" s="31" t="n"/>
    </row>
    <row r="93" ht="22" customHeight="1">
      <c r="B93" s="19">
        <f>IF(C93="","PAM-"&amp;TEXT(COUNTA($C$5:C93),"000"))</f>
        <v/>
      </c>
      <c r="C93" s="15" t="n"/>
      <c r="D93" s="21" t="n"/>
      <c r="E93" s="21" t="n"/>
      <c r="F93" s="21">
        <f>D93+E93</f>
        <v/>
      </c>
      <c r="G93" s="23">
        <f>IF(F93="","",IF(SUM(F5:F104)=0,"",F93/SUM(F5:F104)))</f>
        <v/>
      </c>
      <c r="H93" s="21" t="n"/>
      <c r="I93" s="30" t="n"/>
    </row>
    <row r="94" ht="22" customHeight="1">
      <c r="B94" s="20">
        <f>IF(C94="","PAM-"&amp;TEXT(COUNTA($C$5:C94),"000"))</f>
        <v/>
      </c>
      <c r="C94" s="17" t="n"/>
      <c r="D94" s="24" t="n"/>
      <c r="E94" s="24" t="n"/>
      <c r="F94" s="24">
        <f>D94+E94</f>
        <v/>
      </c>
      <c r="G94" s="26">
        <f>IF(F94="","",IF(SUM(F5:F104)=0,"",F94/SUM(F5:F104)))</f>
        <v/>
      </c>
      <c r="H94" s="24" t="n"/>
      <c r="I94" s="31" t="n"/>
    </row>
    <row r="95" ht="22" customHeight="1">
      <c r="B95" s="19">
        <f>IF(C95="","PAM-"&amp;TEXT(COUNTA($C$5:C95),"000"))</f>
        <v/>
      </c>
      <c r="C95" s="15" t="n"/>
      <c r="D95" s="21" t="n"/>
      <c r="E95" s="21" t="n"/>
      <c r="F95" s="21">
        <f>D95+E95</f>
        <v/>
      </c>
      <c r="G95" s="23">
        <f>IF(F95="","",IF(SUM(F5:F104)=0,"",F95/SUM(F5:F104)))</f>
        <v/>
      </c>
      <c r="H95" s="21" t="n"/>
      <c r="I95" s="30" t="n"/>
    </row>
    <row r="96" ht="22" customHeight="1">
      <c r="B96" s="20">
        <f>IF(C96="","PAM-"&amp;TEXT(COUNTA($C$5:C96),"000"))</f>
        <v/>
      </c>
      <c r="C96" s="17" t="n"/>
      <c r="D96" s="24" t="n"/>
      <c r="E96" s="24" t="n"/>
      <c r="F96" s="24">
        <f>D96+E96</f>
        <v/>
      </c>
      <c r="G96" s="26">
        <f>IF(F96="","",IF(SUM(F5:F104)=0,"",F96/SUM(F5:F104)))</f>
        <v/>
      </c>
      <c r="H96" s="24" t="n"/>
      <c r="I96" s="31" t="n"/>
    </row>
    <row r="97" ht="22" customHeight="1">
      <c r="B97" s="19">
        <f>IF(C97="","PAM-"&amp;TEXT(COUNTA($C$5:C97),"000"))</f>
        <v/>
      </c>
      <c r="C97" s="15" t="n"/>
      <c r="D97" s="21" t="n"/>
      <c r="E97" s="21" t="n"/>
      <c r="F97" s="21">
        <f>D97+E97</f>
        <v/>
      </c>
      <c r="G97" s="23">
        <f>IF(F97="","",IF(SUM(F5:F104)=0,"",F97/SUM(F5:F104)))</f>
        <v/>
      </c>
      <c r="H97" s="21" t="n"/>
      <c r="I97" s="30" t="n"/>
    </row>
    <row r="98" ht="22" customHeight="1">
      <c r="B98" s="20">
        <f>IF(C98="","PAM-"&amp;TEXT(COUNTA($C$5:C98),"000"))</f>
        <v/>
      </c>
      <c r="C98" s="17" t="n"/>
      <c r="D98" s="24" t="n"/>
      <c r="E98" s="24" t="n"/>
      <c r="F98" s="24">
        <f>D98+E98</f>
        <v/>
      </c>
      <c r="G98" s="26">
        <f>IF(F98="","",IF(SUM(F5:F104)=0,"",F98/SUM(F5:F104)))</f>
        <v/>
      </c>
      <c r="H98" s="24" t="n"/>
      <c r="I98" s="31" t="n"/>
    </row>
    <row r="99" ht="22" customHeight="1">
      <c r="B99" s="19">
        <f>IF(C99="","PAM-"&amp;TEXT(COUNTA($C$5:C99),"000"))</f>
        <v/>
      </c>
      <c r="C99" s="15" t="n"/>
      <c r="D99" s="21" t="n"/>
      <c r="E99" s="21" t="n"/>
      <c r="F99" s="21">
        <f>D99+E99</f>
        <v/>
      </c>
      <c r="G99" s="23">
        <f>IF(F99="","",IF(SUM(F5:F104)=0,"",F99/SUM(F5:F104)))</f>
        <v/>
      </c>
      <c r="H99" s="21" t="n"/>
      <c r="I99" s="30" t="n"/>
    </row>
    <row r="100" ht="22" customHeight="1">
      <c r="B100" s="20">
        <f>IF(C100="","PAM-"&amp;TEXT(COUNTA($C$5:C100),"000"))</f>
        <v/>
      </c>
      <c r="C100" s="17" t="n"/>
      <c r="D100" s="24" t="n"/>
      <c r="E100" s="24" t="n"/>
      <c r="F100" s="24">
        <f>D100+E100</f>
        <v/>
      </c>
      <c r="G100" s="26">
        <f>IF(F100="","",IF(SUM(F5:F104)=0,"",F100/SUM(F5:F104)))</f>
        <v/>
      </c>
      <c r="H100" s="24" t="n"/>
      <c r="I100" s="31" t="n"/>
    </row>
    <row r="101" ht="22" customHeight="1">
      <c r="B101" s="19">
        <f>IF(C101="","PAM-"&amp;TEXT(COUNTA($C$5:C101),"000"))</f>
        <v/>
      </c>
      <c r="C101" s="15" t="n"/>
      <c r="D101" s="21" t="n"/>
      <c r="E101" s="21" t="n"/>
      <c r="F101" s="21">
        <f>D101+E101</f>
        <v/>
      </c>
      <c r="G101" s="23">
        <f>IF(F101="","",IF(SUM(F5:F104)=0,"",F101/SUM(F5:F104)))</f>
        <v/>
      </c>
      <c r="H101" s="21" t="n"/>
      <c r="I101" s="30" t="n"/>
    </row>
    <row r="102" ht="22" customHeight="1">
      <c r="B102" s="20">
        <f>IF(C102="","PAM-"&amp;TEXT(COUNTA($C$5:C102),"000"))</f>
        <v/>
      </c>
      <c r="C102" s="17" t="n"/>
      <c r="D102" s="24" t="n"/>
      <c r="E102" s="24" t="n"/>
      <c r="F102" s="24">
        <f>D102+E102</f>
        <v/>
      </c>
      <c r="G102" s="26">
        <f>IF(F102="","",IF(SUM(F5:F104)=0,"",F102/SUM(F5:F104)))</f>
        <v/>
      </c>
      <c r="H102" s="24" t="n"/>
      <c r="I102" s="31" t="n"/>
    </row>
    <row r="103" ht="22" customHeight="1">
      <c r="B103" s="19">
        <f>IF(C103="","PAM-"&amp;TEXT(COUNTA($C$5:C103),"000"))</f>
        <v/>
      </c>
      <c r="C103" s="15" t="n"/>
      <c r="D103" s="21" t="n"/>
      <c r="E103" s="21" t="n"/>
      <c r="F103" s="21">
        <f>D103+E103</f>
        <v/>
      </c>
      <c r="G103" s="23">
        <f>IF(F103="","",IF(SUM(F5:F104)=0,"",F103/SUM(F5:F104)))</f>
        <v/>
      </c>
      <c r="H103" s="21" t="n"/>
      <c r="I103" s="30" t="n"/>
    </row>
    <row r="104" ht="22" customHeight="1">
      <c r="B104" s="20">
        <f>IF(C104="","PAM-"&amp;TEXT(COUNTA($C$5:C104),"000"))</f>
        <v/>
      </c>
      <c r="C104" s="17" t="n"/>
      <c r="D104" s="24" t="n"/>
      <c r="E104" s="24" t="n"/>
      <c r="F104" s="24">
        <f>D104+E104</f>
        <v/>
      </c>
      <c r="G104" s="26">
        <f>IF(F104="","",IF(SUM(F5:F104)=0,"",F104/SUM(F5:F104)))</f>
        <v/>
      </c>
      <c r="H104" s="24" t="n"/>
      <c r="I104" s="31" t="n"/>
    </row>
    <row r="105" ht="22" customHeight="1">
      <c r="B105" s="19">
        <f>IF(C105="","PAM-"&amp;TEXT(COUNTA($C$5:C105),"000"))</f>
        <v/>
      </c>
      <c r="C105" s="15" t="n"/>
      <c r="D105" s="21" t="n"/>
      <c r="E105" s="21" t="n"/>
      <c r="F105" s="21">
        <f>D105+E105</f>
        <v/>
      </c>
      <c r="G105" s="23">
        <f>IF(F105="","",IF(SUM(F5:F104)=0,"",F105/SUM(F5:F104)))</f>
        <v/>
      </c>
      <c r="H105" s="21" t="n"/>
      <c r="I105" s="30" t="n"/>
    </row>
    <row r="106" ht="22" customHeight="1">
      <c r="B106" s="20">
        <f>IF(C106="","PAM-"&amp;TEXT(COUNTA($C$5:C106),"000"))</f>
        <v/>
      </c>
      <c r="C106" s="17" t="n"/>
      <c r="D106" s="24" t="n"/>
      <c r="E106" s="24" t="n"/>
      <c r="F106" s="24">
        <f>D106+E106</f>
        <v/>
      </c>
      <c r="G106" s="26">
        <f>IF(F106="","",IF(SUM(F5:F104)=0,"",F106/SUM(F5:F104)))</f>
        <v/>
      </c>
      <c r="H106" s="24" t="n"/>
      <c r="I106" s="31" t="n"/>
    </row>
    <row r="107" ht="22" customHeight="1">
      <c r="B107" s="19">
        <f>IF(C107="","PAM-"&amp;TEXT(COUNTA($C$5:C107),"000"))</f>
        <v/>
      </c>
      <c r="C107" s="15" t="n"/>
      <c r="D107" s="21" t="n"/>
      <c r="E107" s="21" t="n"/>
      <c r="F107" s="21">
        <f>D107+E107</f>
        <v/>
      </c>
      <c r="G107" s="23">
        <f>IF(F107="","",IF(SUM(F5:F104)=0,"",F107/SUM(F5:F104)))</f>
        <v/>
      </c>
      <c r="H107" s="21" t="n"/>
      <c r="I107" s="30" t="n"/>
    </row>
    <row r="108" ht="22" customHeight="1">
      <c r="B108" s="20">
        <f>IF(C108="","PAM-"&amp;TEXT(COUNTA($C$5:C108),"000"))</f>
        <v/>
      </c>
      <c r="C108" s="17" t="n"/>
      <c r="D108" s="24" t="n"/>
      <c r="E108" s="24" t="n"/>
      <c r="F108" s="24">
        <f>D108+E108</f>
        <v/>
      </c>
      <c r="G108" s="26">
        <f>IF(F108="","",IF(SUM(F5:F104)=0,"",F108/SUM(F5:F104)))</f>
        <v/>
      </c>
      <c r="H108" s="24" t="n"/>
      <c r="I108" s="31" t="n"/>
    </row>
    <row r="109" ht="22" customHeight="1">
      <c r="B109" s="19">
        <f>IF(C109="","PAM-"&amp;TEXT(COUNTA($C$5:C109),"000"))</f>
        <v/>
      </c>
      <c r="C109" s="15" t="n"/>
      <c r="D109" s="21" t="n"/>
      <c r="E109" s="21" t="n"/>
      <c r="F109" s="21">
        <f>D109+E109</f>
        <v/>
      </c>
      <c r="G109" s="23">
        <f>IF(F109="","",IF(SUM(F5:F104)=0,"",F109/SUM(F5:F104)))</f>
        <v/>
      </c>
      <c r="H109" s="21" t="n"/>
      <c r="I109" s="30" t="n"/>
    </row>
    <row r="111" ht="26" customHeight="1">
      <c r="B111" s="27" t="inlineStr">
        <is>
          <t>TOTAL</t>
        </is>
      </c>
      <c r="C111" s="28" t="n"/>
      <c r="D111" s="29">
        <f>SUM(D5:D104)</f>
        <v/>
      </c>
      <c r="E111" s="29">
        <f>SUM(E5:E104)</f>
        <v/>
      </c>
      <c r="F111" s="29">
        <f>SUM(F5:F104)</f>
        <v/>
      </c>
      <c r="G111" s="28" t="n"/>
      <c r="H111" s="29">
        <f>SUM(H5:H104)</f>
        <v/>
      </c>
      <c r="I111" s="28" t="n"/>
    </row>
    <row r="113">
      <c r="B113" s="8" t="inlineStr">
        <is>
          <t>INDICATEURS (mis a jour automatiquement)</t>
        </is>
      </c>
    </row>
    <row r="114">
      <c r="B114" s="3" t="inlineStr">
        <is>
          <t>Effectif total</t>
        </is>
      </c>
      <c r="D114" s="3" t="inlineStr">
        <is>
          <t>Age moyen</t>
        </is>
      </c>
      <c r="F114" s="3" t="inlineStr">
        <is>
          <t>% femmes</t>
        </is>
      </c>
    </row>
    <row r="115">
      <c r="B115" s="4">
        <f>SUM(F5:F104)</f>
        <v/>
      </c>
      <c r="D115" s="4">
        <f>IFERROR(SUMPRODUCT(C5:C104*F5:F104)/SUM(F5:F104),0)</f>
        <v/>
      </c>
      <c r="F115" s="4">
        <f>IFERROR(SUM(E5:E104)/SUM(F5:F104),0)</f>
        <v/>
      </c>
    </row>
  </sheetData>
  <mergeCells count="3">
    <mergeCell ref="B3:I3"/>
    <mergeCell ref="B2:I2"/>
    <mergeCell ref="B113:I113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dataValidations count="1">
    <dataValidation sqref="C5:C109" showDropDown="0" showInputMessage="0" showErrorMessage="0" allowBlank="1" errorTitle="Erreur" error="Valeur invalide" promptTitle="Liste" prompt="Choisir dans la liste" type="list">
      <formula1>'_Lists'!$H$2:$H$6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0" customWidth="1" min="5" max="5"/>
    <col width="10" customWidth="1" min="6" max="6"/>
    <col width="10" customWidth="1" min="7" max="7"/>
    <col width="20" customWidth="1" min="8" max="8"/>
    <col width="20" customWidth="1" min="9" max="9"/>
    <col width="22" customWidth="1" min="10" max="10"/>
  </cols>
  <sheetData>
    <row r="1" ht="15" customHeight="1"/>
    <row r="2" ht="32" customHeight="1">
      <c r="B2" s="1" t="inlineStr">
        <is>
          <t>ANALYSE DU TURNOVER (#139)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Mois</t>
        </is>
      </c>
      <c r="D4" s="14" t="inlineStr">
        <is>
          <t>Annee</t>
        </is>
      </c>
      <c r="E4" s="14" t="inlineStr">
        <is>
          <t>Effectif Debut Mois</t>
        </is>
      </c>
      <c r="F4" s="14" t="inlineStr">
        <is>
          <t>Entrees</t>
        </is>
      </c>
      <c r="G4" s="14" t="inlineStr">
        <is>
          <t>Sorties</t>
        </is>
      </c>
      <c r="H4" s="14" t="inlineStr">
        <is>
          <t>Effectif Fin Mois</t>
        </is>
      </c>
      <c r="I4" s="14" t="inlineStr">
        <is>
          <t>Taux Turnover (%)</t>
        </is>
      </c>
      <c r="J4" s="14" t="inlineStr">
        <is>
          <t>Taux Turnover YTD (%)</t>
        </is>
      </c>
    </row>
    <row r="5" ht="22" customHeight="1">
      <c r="B5" s="15" t="inlineStr">
        <is>
          <t>TUR-001</t>
        </is>
      </c>
      <c r="C5" s="15" t="inlineStr">
        <is>
          <t>Janvier</t>
        </is>
      </c>
      <c r="D5" s="15" t="inlineStr">
        <is>
          <t>2025</t>
        </is>
      </c>
      <c r="E5" s="21" t="n">
        <v>87</v>
      </c>
      <c r="F5" s="21" t="n">
        <v>5</v>
      </c>
      <c r="G5" s="21" t="n">
        <v>3</v>
      </c>
      <c r="H5" s="21" t="n"/>
      <c r="I5" s="23" t="n"/>
      <c r="J5" s="23" t="n"/>
    </row>
    <row r="6" ht="22" customHeight="1">
      <c r="B6" s="17" t="inlineStr">
        <is>
          <t>TUR-002</t>
        </is>
      </c>
      <c r="C6" s="17" t="inlineStr">
        <is>
          <t>Fevrier</t>
        </is>
      </c>
      <c r="D6" s="17" t="inlineStr">
        <is>
          <t>2025</t>
        </is>
      </c>
      <c r="E6" s="24" t="n">
        <v>89</v>
      </c>
      <c r="F6" s="24" t="n">
        <v>2</v>
      </c>
      <c r="G6" s="24" t="n">
        <v>1</v>
      </c>
      <c r="H6" s="24" t="n"/>
      <c r="I6" s="26" t="n"/>
      <c r="J6" s="26" t="n"/>
    </row>
    <row r="7" ht="22" customHeight="1">
      <c r="B7" s="15" t="inlineStr">
        <is>
          <t>TUR-003</t>
        </is>
      </c>
      <c r="C7" s="15" t="inlineStr">
        <is>
          <t>Mars</t>
        </is>
      </c>
      <c r="D7" s="15" t="inlineStr">
        <is>
          <t>2025</t>
        </is>
      </c>
      <c r="E7" s="21" t="n">
        <v>90</v>
      </c>
      <c r="F7" s="21" t="n">
        <v>3</v>
      </c>
      <c r="G7" s="21" t="n">
        <v>4</v>
      </c>
      <c r="H7" s="21" t="n"/>
      <c r="I7" s="23" t="n"/>
      <c r="J7" s="23" t="n"/>
    </row>
    <row r="8" ht="22" customHeight="1">
      <c r="B8" s="17" t="inlineStr">
        <is>
          <t>TUR-004</t>
        </is>
      </c>
      <c r="C8" s="17" t="inlineStr">
        <is>
          <t>Avril</t>
        </is>
      </c>
      <c r="D8" s="17" t="inlineStr">
        <is>
          <t>2025</t>
        </is>
      </c>
      <c r="E8" s="24" t="n">
        <v>89</v>
      </c>
      <c r="F8" s="24" t="n">
        <v>1</v>
      </c>
      <c r="G8" s="24" t="n">
        <v>2</v>
      </c>
      <c r="H8" s="24" t="n"/>
      <c r="I8" s="26" t="n"/>
      <c r="J8" s="26" t="n"/>
    </row>
    <row r="9" ht="22" customHeight="1">
      <c r="B9" s="15" t="inlineStr">
        <is>
          <t>TUR-005</t>
        </is>
      </c>
      <c r="C9" s="15" t="inlineStr">
        <is>
          <t>Mai</t>
        </is>
      </c>
      <c r="D9" s="15" t="inlineStr">
        <is>
          <t>2025</t>
        </is>
      </c>
      <c r="E9" s="21" t="n">
        <v>88</v>
      </c>
      <c r="F9" s="21" t="n">
        <v>3</v>
      </c>
      <c r="G9" s="21" t="n">
        <v>2</v>
      </c>
      <c r="H9" s="21" t="n"/>
      <c r="I9" s="23" t="n"/>
      <c r="J9" s="23" t="n"/>
    </row>
    <row r="10" ht="22" customHeight="1">
      <c r="B10" s="17" t="inlineStr">
        <is>
          <t>TUR-006</t>
        </is>
      </c>
      <c r="C10" s="17" t="inlineStr">
        <is>
          <t>Juin</t>
        </is>
      </c>
      <c r="D10" s="17" t="inlineStr">
        <is>
          <t>2025</t>
        </is>
      </c>
      <c r="E10" s="24" t="n">
        <v>89</v>
      </c>
      <c r="F10" s="24" t="n">
        <v>2</v>
      </c>
      <c r="G10" s="24" t="n">
        <v>2</v>
      </c>
      <c r="H10" s="24" t="n"/>
      <c r="I10" s="26" t="n"/>
      <c r="J10" s="26" t="n"/>
    </row>
    <row r="11" ht="22" customHeight="1">
      <c r="B11" s="19">
        <f>IF(C11="","TUR-"&amp;TEXT(COUNTA($C$5:C11),"000"))</f>
        <v/>
      </c>
      <c r="C11" s="15" t="n"/>
      <c r="D11" s="15" t="n"/>
      <c r="E11" s="21" t="n"/>
      <c r="F11" s="21" t="n"/>
      <c r="G11" s="21" t="n"/>
      <c r="H11" s="21">
        <f>E11+F11-G11</f>
        <v/>
      </c>
      <c r="I11" s="23">
        <f>IF(E11="","",(G11+F11)/(E11+F11)/2)</f>
        <v/>
      </c>
      <c r="J11" s="23">
        <f>IF(E5="","",SUM(G5:G11)/AVERAGE(E5:E11))</f>
        <v/>
      </c>
    </row>
    <row r="12" ht="22" customHeight="1">
      <c r="B12" s="20">
        <f>IF(C12="","TUR-"&amp;TEXT(COUNTA($C$5:C12),"000"))</f>
        <v/>
      </c>
      <c r="C12" s="17" t="n"/>
      <c r="D12" s="17" t="n"/>
      <c r="E12" s="24" t="n"/>
      <c r="F12" s="24" t="n"/>
      <c r="G12" s="24" t="n"/>
      <c r="H12" s="24">
        <f>E12+F12-G12</f>
        <v/>
      </c>
      <c r="I12" s="26">
        <f>IF(E12="","",(G12+F12)/(E12+F12)/2)</f>
        <v/>
      </c>
      <c r="J12" s="26">
        <f>IF(E5="","",SUM(G5:G12)/AVERAGE(E5:E12))</f>
        <v/>
      </c>
    </row>
    <row r="13" ht="22" customHeight="1">
      <c r="B13" s="19">
        <f>IF(C13="","TUR-"&amp;TEXT(COUNTA($C$5:C13),"000"))</f>
        <v/>
      </c>
      <c r="C13" s="15" t="n"/>
      <c r="D13" s="15" t="n"/>
      <c r="E13" s="21" t="n"/>
      <c r="F13" s="21" t="n"/>
      <c r="G13" s="21" t="n"/>
      <c r="H13" s="21">
        <f>E13+F13-G13</f>
        <v/>
      </c>
      <c r="I13" s="23">
        <f>IF(E13="","",(G13+F13)/(E13+F13)/2)</f>
        <v/>
      </c>
      <c r="J13" s="23">
        <f>IF(E5="","",SUM(G5:G13)/AVERAGE(E5:E13))</f>
        <v/>
      </c>
    </row>
    <row r="14" ht="22" customHeight="1">
      <c r="B14" s="20">
        <f>IF(C14="","TUR-"&amp;TEXT(COUNTA($C$5:C14),"000"))</f>
        <v/>
      </c>
      <c r="C14" s="17" t="n"/>
      <c r="D14" s="17" t="n"/>
      <c r="E14" s="24" t="n"/>
      <c r="F14" s="24" t="n"/>
      <c r="G14" s="24" t="n"/>
      <c r="H14" s="24">
        <f>E14+F14-G14</f>
        <v/>
      </c>
      <c r="I14" s="26">
        <f>IF(E14="","",(G14+F14)/(E14+F14)/2)</f>
        <v/>
      </c>
      <c r="J14" s="26">
        <f>IF(E5="","",SUM(G5:G14)/AVERAGE(E5:E14))</f>
        <v/>
      </c>
    </row>
    <row r="15" ht="22" customHeight="1">
      <c r="B15" s="19">
        <f>IF(C15="","TUR-"&amp;TEXT(COUNTA($C$5:C15),"000"))</f>
        <v/>
      </c>
      <c r="C15" s="15" t="n"/>
      <c r="D15" s="15" t="n"/>
      <c r="E15" s="21" t="n"/>
      <c r="F15" s="21" t="n"/>
      <c r="G15" s="21" t="n"/>
      <c r="H15" s="21">
        <f>E15+F15-G15</f>
        <v/>
      </c>
      <c r="I15" s="23">
        <f>IF(E15="","",(G15+F15)/(E15+F15)/2)</f>
        <v/>
      </c>
      <c r="J15" s="23">
        <f>IF(E5="","",SUM(G5:G15)/AVERAGE(E5:E15))</f>
        <v/>
      </c>
    </row>
    <row r="16" ht="22" customHeight="1">
      <c r="B16" s="20">
        <f>IF(C16="","TUR-"&amp;TEXT(COUNTA($C$5:C16),"000"))</f>
        <v/>
      </c>
      <c r="C16" s="17" t="n"/>
      <c r="D16" s="17" t="n"/>
      <c r="E16" s="24" t="n"/>
      <c r="F16" s="24" t="n"/>
      <c r="G16" s="24" t="n"/>
      <c r="H16" s="24">
        <f>E16+F16-G16</f>
        <v/>
      </c>
      <c r="I16" s="26">
        <f>IF(E16="","",(G16+F16)/(E16+F16)/2)</f>
        <v/>
      </c>
      <c r="J16" s="26">
        <f>IF(E5="","",SUM(G5:G16)/AVERAGE(E5:E16))</f>
        <v/>
      </c>
    </row>
    <row r="17" ht="22" customHeight="1">
      <c r="B17" s="19">
        <f>IF(C17="","TUR-"&amp;TEXT(COUNTA($C$5:C17),"000"))</f>
        <v/>
      </c>
      <c r="C17" s="15" t="n"/>
      <c r="D17" s="15" t="n"/>
      <c r="E17" s="21" t="n"/>
      <c r="F17" s="21" t="n"/>
      <c r="G17" s="21" t="n"/>
      <c r="H17" s="21">
        <f>E17+F17-G17</f>
        <v/>
      </c>
      <c r="I17" s="23">
        <f>IF(E17="","",(G17+F17)/(E17+F17)/2)</f>
        <v/>
      </c>
      <c r="J17" s="23">
        <f>IF(E5="","",SUM(G5:G17)/AVERAGE(E5:E17))</f>
        <v/>
      </c>
    </row>
    <row r="18" ht="22" customHeight="1">
      <c r="B18" s="20">
        <f>IF(C18="","TUR-"&amp;TEXT(COUNTA($C$5:C18),"000"))</f>
        <v/>
      </c>
      <c r="C18" s="17" t="n"/>
      <c r="D18" s="17" t="n"/>
      <c r="E18" s="24" t="n"/>
      <c r="F18" s="24" t="n"/>
      <c r="G18" s="24" t="n"/>
      <c r="H18" s="24">
        <f>E18+F18-G18</f>
        <v/>
      </c>
      <c r="I18" s="26">
        <f>IF(E18="","",(G18+F18)/(E18+F18)/2)</f>
        <v/>
      </c>
      <c r="J18" s="26">
        <f>IF(E5="","",SUM(G5:G18)/AVERAGE(E5:E18))</f>
        <v/>
      </c>
    </row>
    <row r="19" ht="22" customHeight="1">
      <c r="B19" s="19">
        <f>IF(C19="","TUR-"&amp;TEXT(COUNTA($C$5:C19),"000"))</f>
        <v/>
      </c>
      <c r="C19" s="15" t="n"/>
      <c r="D19" s="15" t="n"/>
      <c r="E19" s="21" t="n"/>
      <c r="F19" s="21" t="n"/>
      <c r="G19" s="21" t="n"/>
      <c r="H19" s="21">
        <f>E19+F19-G19</f>
        <v/>
      </c>
      <c r="I19" s="23">
        <f>IF(E19="","",(G19+F19)/(E19+F19)/2)</f>
        <v/>
      </c>
      <c r="J19" s="23">
        <f>IF(E5="","",SUM(G5:G19)/AVERAGE(E5:E19))</f>
        <v/>
      </c>
    </row>
    <row r="20" ht="22" customHeight="1">
      <c r="B20" s="20">
        <f>IF(C20="","TUR-"&amp;TEXT(COUNTA($C$5:C20),"000"))</f>
        <v/>
      </c>
      <c r="C20" s="17" t="n"/>
      <c r="D20" s="17" t="n"/>
      <c r="E20" s="24" t="n"/>
      <c r="F20" s="24" t="n"/>
      <c r="G20" s="24" t="n"/>
      <c r="H20" s="24">
        <f>E20+F20-G20</f>
        <v/>
      </c>
      <c r="I20" s="26">
        <f>IF(E20="","",(G20+F20)/(E20+F20)/2)</f>
        <v/>
      </c>
      <c r="J20" s="26">
        <f>IF(E5="","",SUM(G5:G20)/AVERAGE(E5:E20))</f>
        <v/>
      </c>
    </row>
    <row r="21" ht="22" customHeight="1">
      <c r="B21" s="19">
        <f>IF(C21="","TUR-"&amp;TEXT(COUNTA($C$5:C21),"000"))</f>
        <v/>
      </c>
      <c r="C21" s="15" t="n"/>
      <c r="D21" s="15" t="n"/>
      <c r="E21" s="21" t="n"/>
      <c r="F21" s="21" t="n"/>
      <c r="G21" s="21" t="n"/>
      <c r="H21" s="21">
        <f>E21+F21-G21</f>
        <v/>
      </c>
      <c r="I21" s="23">
        <f>IF(E21="","",(G21+F21)/(E21+F21)/2)</f>
        <v/>
      </c>
      <c r="J21" s="23">
        <f>IF(E5="","",SUM(G5:G21)/AVERAGE(E5:E21))</f>
        <v/>
      </c>
    </row>
    <row r="22" ht="22" customHeight="1">
      <c r="B22" s="20">
        <f>IF(C22="","TUR-"&amp;TEXT(COUNTA($C$5:C22),"000"))</f>
        <v/>
      </c>
      <c r="C22" s="17" t="n"/>
      <c r="D22" s="17" t="n"/>
      <c r="E22" s="24" t="n"/>
      <c r="F22" s="24" t="n"/>
      <c r="G22" s="24" t="n"/>
      <c r="H22" s="24">
        <f>E22+F22-G22</f>
        <v/>
      </c>
      <c r="I22" s="26">
        <f>IF(E22="","",(G22+F22)/(E22+F22)/2)</f>
        <v/>
      </c>
      <c r="J22" s="26">
        <f>IF(E5="","",SUM(G5:G22)/AVERAGE(E5:E22))</f>
        <v/>
      </c>
    </row>
    <row r="23" ht="22" customHeight="1">
      <c r="B23" s="19">
        <f>IF(C23="","TUR-"&amp;TEXT(COUNTA($C$5:C23),"000"))</f>
        <v/>
      </c>
      <c r="C23" s="15" t="n"/>
      <c r="D23" s="15" t="n"/>
      <c r="E23" s="21" t="n"/>
      <c r="F23" s="21" t="n"/>
      <c r="G23" s="21" t="n"/>
      <c r="H23" s="21">
        <f>E23+F23-G23</f>
        <v/>
      </c>
      <c r="I23" s="23">
        <f>IF(E23="","",(G23+F23)/(E23+F23)/2)</f>
        <v/>
      </c>
      <c r="J23" s="23">
        <f>IF(E5="","",SUM(G5:G23)/AVERAGE(E5:E23))</f>
        <v/>
      </c>
    </row>
    <row r="24" ht="22" customHeight="1">
      <c r="B24" s="20">
        <f>IF(C24="","TUR-"&amp;TEXT(COUNTA($C$5:C24),"000"))</f>
        <v/>
      </c>
      <c r="C24" s="17" t="n"/>
      <c r="D24" s="17" t="n"/>
      <c r="E24" s="24" t="n"/>
      <c r="F24" s="24" t="n"/>
      <c r="G24" s="24" t="n"/>
      <c r="H24" s="24">
        <f>E24+F24-G24</f>
        <v/>
      </c>
      <c r="I24" s="26">
        <f>IF(E24="","",(G24+F24)/(E24+F24)/2)</f>
        <v/>
      </c>
      <c r="J24" s="26">
        <f>IF(E5="","",SUM(G5:G24)/AVERAGE(E5:E24))</f>
        <v/>
      </c>
    </row>
    <row r="25" ht="22" customHeight="1">
      <c r="B25" s="19">
        <f>IF(C25="","TUR-"&amp;TEXT(COUNTA($C$5:C25),"000"))</f>
        <v/>
      </c>
      <c r="C25" s="15" t="n"/>
      <c r="D25" s="15" t="n"/>
      <c r="E25" s="21" t="n"/>
      <c r="F25" s="21" t="n"/>
      <c r="G25" s="21" t="n"/>
      <c r="H25" s="21">
        <f>E25+F25-G25</f>
        <v/>
      </c>
      <c r="I25" s="23">
        <f>IF(E25="","",(G25+F25)/(E25+F25)/2)</f>
        <v/>
      </c>
      <c r="J25" s="23">
        <f>IF(E5="","",SUM(G5:G25)/AVERAGE(E5:E25))</f>
        <v/>
      </c>
    </row>
    <row r="26" ht="22" customHeight="1">
      <c r="B26" s="20">
        <f>IF(C26="","TUR-"&amp;TEXT(COUNTA($C$5:C26),"000"))</f>
        <v/>
      </c>
      <c r="C26" s="17" t="n"/>
      <c r="D26" s="17" t="n"/>
      <c r="E26" s="24" t="n"/>
      <c r="F26" s="24" t="n"/>
      <c r="G26" s="24" t="n"/>
      <c r="H26" s="24">
        <f>E26+F26-G26</f>
        <v/>
      </c>
      <c r="I26" s="26">
        <f>IF(E26="","",(G26+F26)/(E26+F26)/2)</f>
        <v/>
      </c>
      <c r="J26" s="26">
        <f>IF(E5="","",SUM(G5:G26)/AVERAGE(E5:E26))</f>
        <v/>
      </c>
    </row>
    <row r="27" ht="22" customHeight="1">
      <c r="B27" s="19">
        <f>IF(C27="","TUR-"&amp;TEXT(COUNTA($C$5:C27),"000"))</f>
        <v/>
      </c>
      <c r="C27" s="15" t="n"/>
      <c r="D27" s="15" t="n"/>
      <c r="E27" s="21" t="n"/>
      <c r="F27" s="21" t="n"/>
      <c r="G27" s="21" t="n"/>
      <c r="H27" s="21">
        <f>E27+F27-G27</f>
        <v/>
      </c>
      <c r="I27" s="23">
        <f>IF(E27="","",(G27+F27)/(E27+F27)/2)</f>
        <v/>
      </c>
      <c r="J27" s="23">
        <f>IF(E5="","",SUM(G5:G27)/AVERAGE(E5:E27))</f>
        <v/>
      </c>
    </row>
    <row r="28" ht="22" customHeight="1">
      <c r="B28" s="20">
        <f>IF(C28="","TUR-"&amp;TEXT(COUNTA($C$5:C28),"000"))</f>
        <v/>
      </c>
      <c r="C28" s="17" t="n"/>
      <c r="D28" s="17" t="n"/>
      <c r="E28" s="24" t="n"/>
      <c r="F28" s="24" t="n"/>
      <c r="G28" s="24" t="n"/>
      <c r="H28" s="24">
        <f>E28+F28-G28</f>
        <v/>
      </c>
      <c r="I28" s="26">
        <f>IF(E28="","",(G28+F28)/(E28+F28)/2)</f>
        <v/>
      </c>
      <c r="J28" s="26">
        <f>IF(E5="","",SUM(G5:G28)/AVERAGE(E5:E28))</f>
        <v/>
      </c>
    </row>
    <row r="29" ht="22" customHeight="1">
      <c r="B29" s="19">
        <f>IF(C29="","TUR-"&amp;TEXT(COUNTA($C$5:C29),"000"))</f>
        <v/>
      </c>
      <c r="C29" s="15" t="n"/>
      <c r="D29" s="15" t="n"/>
      <c r="E29" s="21" t="n"/>
      <c r="F29" s="21" t="n"/>
      <c r="G29" s="21" t="n"/>
      <c r="H29" s="21">
        <f>E29+F29-G29</f>
        <v/>
      </c>
      <c r="I29" s="23">
        <f>IF(E29="","",(G29+F29)/(E29+F29)/2)</f>
        <v/>
      </c>
      <c r="J29" s="23">
        <f>IF(E5="","",SUM(G5:G29)/AVERAGE(E5:E29))</f>
        <v/>
      </c>
    </row>
    <row r="30" ht="22" customHeight="1">
      <c r="B30" s="20">
        <f>IF(C30="","TUR-"&amp;TEXT(COUNTA($C$5:C30),"000"))</f>
        <v/>
      </c>
      <c r="C30" s="17" t="n"/>
      <c r="D30" s="17" t="n"/>
      <c r="E30" s="24" t="n"/>
      <c r="F30" s="24" t="n"/>
      <c r="G30" s="24" t="n"/>
      <c r="H30" s="24">
        <f>E30+F30-G30</f>
        <v/>
      </c>
      <c r="I30" s="26">
        <f>IF(E30="","",(G30+F30)/(E30+F30)/2)</f>
        <v/>
      </c>
      <c r="J30" s="26">
        <f>IF(E5="","",SUM(G5:G30)/AVERAGE(E5:E30))</f>
        <v/>
      </c>
    </row>
    <row r="31" ht="22" customHeight="1">
      <c r="B31" s="19">
        <f>IF(C31="","TUR-"&amp;TEXT(COUNTA($C$5:C31),"000"))</f>
        <v/>
      </c>
      <c r="C31" s="15" t="n"/>
      <c r="D31" s="15" t="n"/>
      <c r="E31" s="21" t="n"/>
      <c r="F31" s="21" t="n"/>
      <c r="G31" s="21" t="n"/>
      <c r="H31" s="21">
        <f>E31+F31-G31</f>
        <v/>
      </c>
      <c r="I31" s="23">
        <f>IF(E31="","",(G31+F31)/(E31+F31)/2)</f>
        <v/>
      </c>
      <c r="J31" s="23">
        <f>IF(E5="","",SUM(G5:G31)/AVERAGE(E5:E31))</f>
        <v/>
      </c>
    </row>
    <row r="32" ht="22" customHeight="1">
      <c r="B32" s="20">
        <f>IF(C32="","TUR-"&amp;TEXT(COUNTA($C$5:C32),"000"))</f>
        <v/>
      </c>
      <c r="C32" s="17" t="n"/>
      <c r="D32" s="17" t="n"/>
      <c r="E32" s="24" t="n"/>
      <c r="F32" s="24" t="n"/>
      <c r="G32" s="24" t="n"/>
      <c r="H32" s="24">
        <f>E32+F32-G32</f>
        <v/>
      </c>
      <c r="I32" s="26">
        <f>IF(E32="","",(G32+F32)/(E32+F32)/2)</f>
        <v/>
      </c>
      <c r="J32" s="26">
        <f>IF(E5="","",SUM(G5:G32)/AVERAGE(E5:E32))</f>
        <v/>
      </c>
    </row>
    <row r="33" ht="22" customHeight="1">
      <c r="B33" s="19">
        <f>IF(C33="","TUR-"&amp;TEXT(COUNTA($C$5:C33),"000"))</f>
        <v/>
      </c>
      <c r="C33" s="15" t="n"/>
      <c r="D33" s="15" t="n"/>
      <c r="E33" s="21" t="n"/>
      <c r="F33" s="21" t="n"/>
      <c r="G33" s="21" t="n"/>
      <c r="H33" s="21">
        <f>E33+F33-G33</f>
        <v/>
      </c>
      <c r="I33" s="23">
        <f>IF(E33="","",(G33+F33)/(E33+F33)/2)</f>
        <v/>
      </c>
      <c r="J33" s="23">
        <f>IF(E5="","",SUM(G5:G33)/AVERAGE(E5:E33))</f>
        <v/>
      </c>
    </row>
    <row r="34" ht="22" customHeight="1">
      <c r="B34" s="20">
        <f>IF(C34="","TUR-"&amp;TEXT(COUNTA($C$5:C34),"000"))</f>
        <v/>
      </c>
      <c r="C34" s="17" t="n"/>
      <c r="D34" s="17" t="n"/>
      <c r="E34" s="24" t="n"/>
      <c r="F34" s="24" t="n"/>
      <c r="G34" s="24" t="n"/>
      <c r="H34" s="24">
        <f>E34+F34-G34</f>
        <v/>
      </c>
      <c r="I34" s="26">
        <f>IF(E34="","",(G34+F34)/(E34+F34)/2)</f>
        <v/>
      </c>
      <c r="J34" s="26">
        <f>IF(E5="","",SUM(G5:G34)/AVERAGE(E5:E34))</f>
        <v/>
      </c>
    </row>
    <row r="35" ht="22" customHeight="1">
      <c r="B35" s="19">
        <f>IF(C35="","TUR-"&amp;TEXT(COUNTA($C$5:C35),"000"))</f>
        <v/>
      </c>
      <c r="C35" s="15" t="n"/>
      <c r="D35" s="15" t="n"/>
      <c r="E35" s="21" t="n"/>
      <c r="F35" s="21" t="n"/>
      <c r="G35" s="21" t="n"/>
      <c r="H35" s="21">
        <f>E35+F35-G35</f>
        <v/>
      </c>
      <c r="I35" s="23">
        <f>IF(E35="","",(G35+F35)/(E35+F35)/2)</f>
        <v/>
      </c>
      <c r="J35" s="23">
        <f>IF(E5="","",SUM(G5:G35)/AVERAGE(E5:E35))</f>
        <v/>
      </c>
    </row>
    <row r="36" ht="22" customHeight="1">
      <c r="B36" s="20">
        <f>IF(C36="","TUR-"&amp;TEXT(COUNTA($C$5:C36),"000"))</f>
        <v/>
      </c>
      <c r="C36" s="17" t="n"/>
      <c r="D36" s="17" t="n"/>
      <c r="E36" s="24" t="n"/>
      <c r="F36" s="24" t="n"/>
      <c r="G36" s="24" t="n"/>
      <c r="H36" s="24">
        <f>E36+F36-G36</f>
        <v/>
      </c>
      <c r="I36" s="26">
        <f>IF(E36="","",(G36+F36)/(E36+F36)/2)</f>
        <v/>
      </c>
      <c r="J36" s="26">
        <f>IF(E5="","",SUM(G5:G36)/AVERAGE(E5:E36))</f>
        <v/>
      </c>
    </row>
    <row r="37" ht="22" customHeight="1">
      <c r="B37" s="19">
        <f>IF(C37="","TUR-"&amp;TEXT(COUNTA($C$5:C37),"000"))</f>
        <v/>
      </c>
      <c r="C37" s="15" t="n"/>
      <c r="D37" s="15" t="n"/>
      <c r="E37" s="21" t="n"/>
      <c r="F37" s="21" t="n"/>
      <c r="G37" s="21" t="n"/>
      <c r="H37" s="21">
        <f>E37+F37-G37</f>
        <v/>
      </c>
      <c r="I37" s="23">
        <f>IF(E37="","",(G37+F37)/(E37+F37)/2)</f>
        <v/>
      </c>
      <c r="J37" s="23">
        <f>IF(E5="","",SUM(G5:G37)/AVERAGE(E5:E37))</f>
        <v/>
      </c>
    </row>
    <row r="38" ht="22" customHeight="1">
      <c r="B38" s="20">
        <f>IF(C38="","TUR-"&amp;TEXT(COUNTA($C$5:C38),"000"))</f>
        <v/>
      </c>
      <c r="C38" s="17" t="n"/>
      <c r="D38" s="17" t="n"/>
      <c r="E38" s="24" t="n"/>
      <c r="F38" s="24" t="n"/>
      <c r="G38" s="24" t="n"/>
      <c r="H38" s="24">
        <f>E38+F38-G38</f>
        <v/>
      </c>
      <c r="I38" s="26">
        <f>IF(E38="","",(G38+F38)/(E38+F38)/2)</f>
        <v/>
      </c>
      <c r="J38" s="26">
        <f>IF(E5="","",SUM(G5:G38)/AVERAGE(E5:E38))</f>
        <v/>
      </c>
    </row>
    <row r="39" ht="22" customHeight="1">
      <c r="B39" s="19">
        <f>IF(C39="","TUR-"&amp;TEXT(COUNTA($C$5:C39),"000"))</f>
        <v/>
      </c>
      <c r="C39" s="15" t="n"/>
      <c r="D39" s="15" t="n"/>
      <c r="E39" s="21" t="n"/>
      <c r="F39" s="21" t="n"/>
      <c r="G39" s="21" t="n"/>
      <c r="H39" s="21">
        <f>E39+F39-G39</f>
        <v/>
      </c>
      <c r="I39" s="23">
        <f>IF(E39="","",(G39+F39)/(E39+F39)/2)</f>
        <v/>
      </c>
      <c r="J39" s="23">
        <f>IF(E5="","",SUM(G5:G39)/AVERAGE(E5:E39))</f>
        <v/>
      </c>
    </row>
    <row r="40" ht="22" customHeight="1">
      <c r="B40" s="20">
        <f>IF(C40="","TUR-"&amp;TEXT(COUNTA($C$5:C40),"000"))</f>
        <v/>
      </c>
      <c r="C40" s="17" t="n"/>
      <c r="D40" s="17" t="n"/>
      <c r="E40" s="24" t="n"/>
      <c r="F40" s="24" t="n"/>
      <c r="G40" s="24" t="n"/>
      <c r="H40" s="24">
        <f>E40+F40-G40</f>
        <v/>
      </c>
      <c r="I40" s="26">
        <f>IF(E40="","",(G40+F40)/(E40+F40)/2)</f>
        <v/>
      </c>
      <c r="J40" s="26">
        <f>IF(E5="","",SUM(G5:G40)/AVERAGE(E5:E40))</f>
        <v/>
      </c>
    </row>
    <row r="41" ht="22" customHeight="1">
      <c r="B41" s="19">
        <f>IF(C41="","TUR-"&amp;TEXT(COUNTA($C$5:C41),"000"))</f>
        <v/>
      </c>
      <c r="C41" s="15" t="n"/>
      <c r="D41" s="15" t="n"/>
      <c r="E41" s="21" t="n"/>
      <c r="F41" s="21" t="n"/>
      <c r="G41" s="21" t="n"/>
      <c r="H41" s="21">
        <f>E41+F41-G41</f>
        <v/>
      </c>
      <c r="I41" s="23">
        <f>IF(E41="","",(G41+F41)/(E41+F41)/2)</f>
        <v/>
      </c>
      <c r="J41" s="23">
        <f>IF(E5="","",SUM(G5:G41)/AVERAGE(E5:E41))</f>
        <v/>
      </c>
    </row>
    <row r="42" ht="22" customHeight="1">
      <c r="B42" s="20">
        <f>IF(C42="","TUR-"&amp;TEXT(COUNTA($C$5:C42),"000"))</f>
        <v/>
      </c>
      <c r="C42" s="17" t="n"/>
      <c r="D42" s="17" t="n"/>
      <c r="E42" s="24" t="n"/>
      <c r="F42" s="24" t="n"/>
      <c r="G42" s="24" t="n"/>
      <c r="H42" s="24">
        <f>E42+F42-G42</f>
        <v/>
      </c>
      <c r="I42" s="26">
        <f>IF(E42="","",(G42+F42)/(E42+F42)/2)</f>
        <v/>
      </c>
      <c r="J42" s="26">
        <f>IF(E5="","",SUM(G5:G42)/AVERAGE(E5:E42))</f>
        <v/>
      </c>
    </row>
    <row r="43" ht="22" customHeight="1">
      <c r="B43" s="19">
        <f>IF(C43="","TUR-"&amp;TEXT(COUNTA($C$5:C43),"000"))</f>
        <v/>
      </c>
      <c r="C43" s="15" t="n"/>
      <c r="D43" s="15" t="n"/>
      <c r="E43" s="21" t="n"/>
      <c r="F43" s="21" t="n"/>
      <c r="G43" s="21" t="n"/>
      <c r="H43" s="21">
        <f>E43+F43-G43</f>
        <v/>
      </c>
      <c r="I43" s="23">
        <f>IF(E43="","",(G43+F43)/(E43+F43)/2)</f>
        <v/>
      </c>
      <c r="J43" s="23">
        <f>IF(E5="","",SUM(G5:G43)/AVERAGE(E5:E43))</f>
        <v/>
      </c>
    </row>
    <row r="44" ht="22" customHeight="1">
      <c r="B44" s="20">
        <f>IF(C44="","TUR-"&amp;TEXT(COUNTA($C$5:C44),"000"))</f>
        <v/>
      </c>
      <c r="C44" s="17" t="n"/>
      <c r="D44" s="17" t="n"/>
      <c r="E44" s="24" t="n"/>
      <c r="F44" s="24" t="n"/>
      <c r="G44" s="24" t="n"/>
      <c r="H44" s="24">
        <f>E44+F44-G44</f>
        <v/>
      </c>
      <c r="I44" s="26">
        <f>IF(E44="","",(G44+F44)/(E44+F44)/2)</f>
        <v/>
      </c>
      <c r="J44" s="26">
        <f>IF(E5="","",SUM(G5:G44)/AVERAGE(E5:E44))</f>
        <v/>
      </c>
    </row>
    <row r="45" ht="22" customHeight="1">
      <c r="B45" s="19">
        <f>IF(C45="","TUR-"&amp;TEXT(COUNTA($C$5:C45),"000"))</f>
        <v/>
      </c>
      <c r="C45" s="15" t="n"/>
      <c r="D45" s="15" t="n"/>
      <c r="E45" s="21" t="n"/>
      <c r="F45" s="21" t="n"/>
      <c r="G45" s="21" t="n"/>
      <c r="H45" s="21">
        <f>E45+F45-G45</f>
        <v/>
      </c>
      <c r="I45" s="23">
        <f>IF(E45="","",(G45+F45)/(E45+F45)/2)</f>
        <v/>
      </c>
      <c r="J45" s="23">
        <f>IF(E5="","",SUM(G5:G45)/AVERAGE(E5:E45))</f>
        <v/>
      </c>
    </row>
    <row r="46" ht="22" customHeight="1">
      <c r="B46" s="20">
        <f>IF(C46="","TUR-"&amp;TEXT(COUNTA($C$5:C46),"000"))</f>
        <v/>
      </c>
      <c r="C46" s="17" t="n"/>
      <c r="D46" s="17" t="n"/>
      <c r="E46" s="24" t="n"/>
      <c r="F46" s="24" t="n"/>
      <c r="G46" s="24" t="n"/>
      <c r="H46" s="24">
        <f>E46+F46-G46</f>
        <v/>
      </c>
      <c r="I46" s="26">
        <f>IF(E46="","",(G46+F46)/(E46+F46)/2)</f>
        <v/>
      </c>
      <c r="J46" s="26">
        <f>IF(E5="","",SUM(G5:G46)/AVERAGE(E5:E46))</f>
        <v/>
      </c>
    </row>
    <row r="47" ht="22" customHeight="1">
      <c r="B47" s="19">
        <f>IF(C47="","TUR-"&amp;TEXT(COUNTA($C$5:C47),"000"))</f>
        <v/>
      </c>
      <c r="C47" s="15" t="n"/>
      <c r="D47" s="15" t="n"/>
      <c r="E47" s="21" t="n"/>
      <c r="F47" s="21" t="n"/>
      <c r="G47" s="21" t="n"/>
      <c r="H47" s="21">
        <f>E47+F47-G47</f>
        <v/>
      </c>
      <c r="I47" s="23">
        <f>IF(E47="","",(G47+F47)/(E47+F47)/2)</f>
        <v/>
      </c>
      <c r="J47" s="23">
        <f>IF(E5="","",SUM(G5:G47)/AVERAGE(E5:E47))</f>
        <v/>
      </c>
    </row>
    <row r="48" ht="22" customHeight="1">
      <c r="B48" s="20">
        <f>IF(C48="","TUR-"&amp;TEXT(COUNTA($C$5:C48),"000"))</f>
        <v/>
      </c>
      <c r="C48" s="17" t="n"/>
      <c r="D48" s="17" t="n"/>
      <c r="E48" s="24" t="n"/>
      <c r="F48" s="24" t="n"/>
      <c r="G48" s="24" t="n"/>
      <c r="H48" s="24">
        <f>E48+F48-G48</f>
        <v/>
      </c>
      <c r="I48" s="26">
        <f>IF(E48="","",(G48+F48)/(E48+F48)/2)</f>
        <v/>
      </c>
      <c r="J48" s="26">
        <f>IF(E5="","",SUM(G5:G48)/AVERAGE(E5:E48))</f>
        <v/>
      </c>
    </row>
    <row r="49" ht="22" customHeight="1">
      <c r="B49" s="19">
        <f>IF(C49="","TUR-"&amp;TEXT(COUNTA($C$5:C49),"000"))</f>
        <v/>
      </c>
      <c r="C49" s="15" t="n"/>
      <c r="D49" s="15" t="n"/>
      <c r="E49" s="21" t="n"/>
      <c r="F49" s="21" t="n"/>
      <c r="G49" s="21" t="n"/>
      <c r="H49" s="21">
        <f>E49+F49-G49</f>
        <v/>
      </c>
      <c r="I49" s="23">
        <f>IF(E49="","",(G49+F49)/(E49+F49)/2)</f>
        <v/>
      </c>
      <c r="J49" s="23">
        <f>IF(E5="","",SUM(G5:G49)/AVERAGE(E5:E49))</f>
        <v/>
      </c>
    </row>
    <row r="50" ht="22" customHeight="1">
      <c r="B50" s="20">
        <f>IF(C50="","TUR-"&amp;TEXT(COUNTA($C$5:C50),"000"))</f>
        <v/>
      </c>
      <c r="C50" s="17" t="n"/>
      <c r="D50" s="17" t="n"/>
      <c r="E50" s="24" t="n"/>
      <c r="F50" s="24" t="n"/>
      <c r="G50" s="24" t="n"/>
      <c r="H50" s="24">
        <f>E50+F50-G50</f>
        <v/>
      </c>
      <c r="I50" s="26">
        <f>IF(E50="","",(G50+F50)/(E50+F50)/2)</f>
        <v/>
      </c>
      <c r="J50" s="26">
        <f>IF(E5="","",SUM(G5:G50)/AVERAGE(E5:E50))</f>
        <v/>
      </c>
    </row>
    <row r="51" ht="22" customHeight="1">
      <c r="B51" s="19">
        <f>IF(C51="","TUR-"&amp;TEXT(COUNTA($C$5:C51),"000"))</f>
        <v/>
      </c>
      <c r="C51" s="15" t="n"/>
      <c r="D51" s="15" t="n"/>
      <c r="E51" s="21" t="n"/>
      <c r="F51" s="21" t="n"/>
      <c r="G51" s="21" t="n"/>
      <c r="H51" s="21">
        <f>E51+F51-G51</f>
        <v/>
      </c>
      <c r="I51" s="23">
        <f>IF(E51="","",(G51+F51)/(E51+F51)/2)</f>
        <v/>
      </c>
      <c r="J51" s="23">
        <f>IF(E5="","",SUM(G5:G51)/AVERAGE(E5:E51))</f>
        <v/>
      </c>
    </row>
    <row r="52" ht="22" customHeight="1">
      <c r="B52" s="20">
        <f>IF(C52="","TUR-"&amp;TEXT(COUNTA($C$5:C52),"000"))</f>
        <v/>
      </c>
      <c r="C52" s="17" t="n"/>
      <c r="D52" s="17" t="n"/>
      <c r="E52" s="24" t="n"/>
      <c r="F52" s="24" t="n"/>
      <c r="G52" s="24" t="n"/>
      <c r="H52" s="24">
        <f>E52+F52-G52</f>
        <v/>
      </c>
      <c r="I52" s="26">
        <f>IF(E52="","",(G52+F52)/(E52+F52)/2)</f>
        <v/>
      </c>
      <c r="J52" s="26">
        <f>IF(E5="","",SUM(G5:G52)/AVERAGE(E5:E52))</f>
        <v/>
      </c>
    </row>
    <row r="53" ht="22" customHeight="1">
      <c r="B53" s="19">
        <f>IF(C53="","TUR-"&amp;TEXT(COUNTA($C$5:C53),"000"))</f>
        <v/>
      </c>
      <c r="C53" s="15" t="n"/>
      <c r="D53" s="15" t="n"/>
      <c r="E53" s="21" t="n"/>
      <c r="F53" s="21" t="n"/>
      <c r="G53" s="21" t="n"/>
      <c r="H53" s="21">
        <f>E53+F53-G53</f>
        <v/>
      </c>
      <c r="I53" s="23">
        <f>IF(E53="","",(G53+F53)/(E53+F53)/2)</f>
        <v/>
      </c>
      <c r="J53" s="23">
        <f>IF(E5="","",SUM(G5:G53)/AVERAGE(E5:E53))</f>
        <v/>
      </c>
    </row>
    <row r="54" ht="22" customHeight="1">
      <c r="B54" s="20">
        <f>IF(C54="","TUR-"&amp;TEXT(COUNTA($C$5:C54),"000"))</f>
        <v/>
      </c>
      <c r="C54" s="17" t="n"/>
      <c r="D54" s="17" t="n"/>
      <c r="E54" s="24" t="n"/>
      <c r="F54" s="24" t="n"/>
      <c r="G54" s="24" t="n"/>
      <c r="H54" s="24">
        <f>E54+F54-G54</f>
        <v/>
      </c>
      <c r="I54" s="26">
        <f>IF(E54="","",(G54+F54)/(E54+F54)/2)</f>
        <v/>
      </c>
      <c r="J54" s="26">
        <f>IF(E5="","",SUM(G5:G54)/AVERAGE(E5:E54))</f>
        <v/>
      </c>
    </row>
    <row r="55" ht="22" customHeight="1">
      <c r="B55" s="19">
        <f>IF(C55="","TUR-"&amp;TEXT(COUNTA($C$5:C55),"000"))</f>
        <v/>
      </c>
      <c r="C55" s="15" t="n"/>
      <c r="D55" s="15" t="n"/>
      <c r="E55" s="21" t="n"/>
      <c r="F55" s="21" t="n"/>
      <c r="G55" s="21" t="n"/>
      <c r="H55" s="21">
        <f>E55+F55-G55</f>
        <v/>
      </c>
      <c r="I55" s="23">
        <f>IF(E55="","",(G55+F55)/(E55+F55)/2)</f>
        <v/>
      </c>
      <c r="J55" s="23">
        <f>IF(E5="","",SUM(G5:G55)/AVERAGE(E5:E55))</f>
        <v/>
      </c>
    </row>
    <row r="56" ht="22" customHeight="1">
      <c r="B56" s="20">
        <f>IF(C56="","TUR-"&amp;TEXT(COUNTA($C$5:C56),"000"))</f>
        <v/>
      </c>
      <c r="C56" s="17" t="n"/>
      <c r="D56" s="17" t="n"/>
      <c r="E56" s="24" t="n"/>
      <c r="F56" s="24" t="n"/>
      <c r="G56" s="24" t="n"/>
      <c r="H56" s="24">
        <f>E56+F56-G56</f>
        <v/>
      </c>
      <c r="I56" s="26">
        <f>IF(E56="","",(G56+F56)/(E56+F56)/2)</f>
        <v/>
      </c>
      <c r="J56" s="26">
        <f>IF(E5="","",SUM(G5:G56)/AVERAGE(E5:E56))</f>
        <v/>
      </c>
    </row>
    <row r="57" ht="22" customHeight="1">
      <c r="B57" s="19">
        <f>IF(C57="","TUR-"&amp;TEXT(COUNTA($C$5:C57),"000"))</f>
        <v/>
      </c>
      <c r="C57" s="15" t="n"/>
      <c r="D57" s="15" t="n"/>
      <c r="E57" s="21" t="n"/>
      <c r="F57" s="21" t="n"/>
      <c r="G57" s="21" t="n"/>
      <c r="H57" s="21">
        <f>E57+F57-G57</f>
        <v/>
      </c>
      <c r="I57" s="23">
        <f>IF(E57="","",(G57+F57)/(E57+F57)/2)</f>
        <v/>
      </c>
      <c r="J57" s="23">
        <f>IF(E5="","",SUM(G5:G57)/AVERAGE(E5:E57))</f>
        <v/>
      </c>
    </row>
    <row r="58" ht="22" customHeight="1">
      <c r="B58" s="20">
        <f>IF(C58="","TUR-"&amp;TEXT(COUNTA($C$5:C58),"000"))</f>
        <v/>
      </c>
      <c r="C58" s="17" t="n"/>
      <c r="D58" s="17" t="n"/>
      <c r="E58" s="24" t="n"/>
      <c r="F58" s="24" t="n"/>
      <c r="G58" s="24" t="n"/>
      <c r="H58" s="24">
        <f>E58+F58-G58</f>
        <v/>
      </c>
      <c r="I58" s="26">
        <f>IF(E58="","",(G58+F58)/(E58+F58)/2)</f>
        <v/>
      </c>
      <c r="J58" s="26">
        <f>IF(E5="","",SUM(G5:G58)/AVERAGE(E5:E58))</f>
        <v/>
      </c>
    </row>
    <row r="59" ht="22" customHeight="1">
      <c r="B59" s="19">
        <f>IF(C59="","TUR-"&amp;TEXT(COUNTA($C$5:C59),"000"))</f>
        <v/>
      </c>
      <c r="C59" s="15" t="n"/>
      <c r="D59" s="15" t="n"/>
      <c r="E59" s="21" t="n"/>
      <c r="F59" s="21" t="n"/>
      <c r="G59" s="21" t="n"/>
      <c r="H59" s="21">
        <f>E59+F59-G59</f>
        <v/>
      </c>
      <c r="I59" s="23">
        <f>IF(E59="","",(G59+F59)/(E59+F59)/2)</f>
        <v/>
      </c>
      <c r="J59" s="23">
        <f>IF(E5="","",SUM(G5:G59)/AVERAGE(E5:E59))</f>
        <v/>
      </c>
    </row>
    <row r="60" ht="22" customHeight="1">
      <c r="B60" s="20">
        <f>IF(C60="","TUR-"&amp;TEXT(COUNTA($C$5:C60),"000"))</f>
        <v/>
      </c>
      <c r="C60" s="17" t="n"/>
      <c r="D60" s="17" t="n"/>
      <c r="E60" s="24" t="n"/>
      <c r="F60" s="24" t="n"/>
      <c r="G60" s="24" t="n"/>
      <c r="H60" s="24">
        <f>E60+F60-G60</f>
        <v/>
      </c>
      <c r="I60" s="26">
        <f>IF(E60="","",(G60+F60)/(E60+F60)/2)</f>
        <v/>
      </c>
      <c r="J60" s="26">
        <f>IF(E5="","",SUM(G5:G60)/AVERAGE(E5:E60))</f>
        <v/>
      </c>
    </row>
    <row r="61" ht="22" customHeight="1">
      <c r="B61" s="19">
        <f>IF(C61="","TUR-"&amp;TEXT(COUNTA($C$5:C61),"000"))</f>
        <v/>
      </c>
      <c r="C61" s="15" t="n"/>
      <c r="D61" s="15" t="n"/>
      <c r="E61" s="21" t="n"/>
      <c r="F61" s="21" t="n"/>
      <c r="G61" s="21" t="n"/>
      <c r="H61" s="21">
        <f>E61+F61-G61</f>
        <v/>
      </c>
      <c r="I61" s="23">
        <f>IF(E61="","",(G61+F61)/(E61+F61)/2)</f>
        <v/>
      </c>
      <c r="J61" s="23">
        <f>IF(E5="","",SUM(G5:G61)/AVERAGE(E5:E61))</f>
        <v/>
      </c>
    </row>
    <row r="62" ht="22" customHeight="1">
      <c r="B62" s="20">
        <f>IF(C62="","TUR-"&amp;TEXT(COUNTA($C$5:C62),"000"))</f>
        <v/>
      </c>
      <c r="C62" s="17" t="n"/>
      <c r="D62" s="17" t="n"/>
      <c r="E62" s="24" t="n"/>
      <c r="F62" s="24" t="n"/>
      <c r="G62" s="24" t="n"/>
      <c r="H62" s="24">
        <f>E62+F62-G62</f>
        <v/>
      </c>
      <c r="I62" s="26">
        <f>IF(E62="","",(G62+F62)/(E62+F62)/2)</f>
        <v/>
      </c>
      <c r="J62" s="26">
        <f>IF(E5="","",SUM(G5:G62)/AVERAGE(E5:E62))</f>
        <v/>
      </c>
    </row>
    <row r="63" ht="22" customHeight="1">
      <c r="B63" s="19">
        <f>IF(C63="","TUR-"&amp;TEXT(COUNTA($C$5:C63),"000"))</f>
        <v/>
      </c>
      <c r="C63" s="15" t="n"/>
      <c r="D63" s="15" t="n"/>
      <c r="E63" s="21" t="n"/>
      <c r="F63" s="21" t="n"/>
      <c r="G63" s="21" t="n"/>
      <c r="H63" s="21">
        <f>E63+F63-G63</f>
        <v/>
      </c>
      <c r="I63" s="23">
        <f>IF(E63="","",(G63+F63)/(E63+F63)/2)</f>
        <v/>
      </c>
      <c r="J63" s="23">
        <f>IF(E5="","",SUM(G5:G63)/AVERAGE(E5:E63))</f>
        <v/>
      </c>
    </row>
    <row r="64" ht="22" customHeight="1">
      <c r="B64" s="20">
        <f>IF(C64="","TUR-"&amp;TEXT(COUNTA($C$5:C64),"000"))</f>
        <v/>
      </c>
      <c r="C64" s="17" t="n"/>
      <c r="D64" s="17" t="n"/>
      <c r="E64" s="24" t="n"/>
      <c r="F64" s="24" t="n"/>
      <c r="G64" s="24" t="n"/>
      <c r="H64" s="24">
        <f>E64+F64-G64</f>
        <v/>
      </c>
      <c r="I64" s="26">
        <f>IF(E64="","",(G64+F64)/(E64+F64)/2)</f>
        <v/>
      </c>
      <c r="J64" s="26">
        <f>IF(E5="","",SUM(G5:G64)/AVERAGE(E5:E64))</f>
        <v/>
      </c>
    </row>
    <row r="65" ht="22" customHeight="1">
      <c r="B65" s="19">
        <f>IF(C65="","TUR-"&amp;TEXT(COUNTA($C$5:C65),"000"))</f>
        <v/>
      </c>
      <c r="C65" s="15" t="n"/>
      <c r="D65" s="15" t="n"/>
      <c r="E65" s="21" t="n"/>
      <c r="F65" s="21" t="n"/>
      <c r="G65" s="21" t="n"/>
      <c r="H65" s="21">
        <f>E65+F65-G65</f>
        <v/>
      </c>
      <c r="I65" s="23">
        <f>IF(E65="","",(G65+F65)/(E65+F65)/2)</f>
        <v/>
      </c>
      <c r="J65" s="23">
        <f>IF(E5="","",SUM(G5:G65)/AVERAGE(E5:E65))</f>
        <v/>
      </c>
    </row>
    <row r="66" ht="22" customHeight="1">
      <c r="B66" s="20">
        <f>IF(C66="","TUR-"&amp;TEXT(COUNTA($C$5:C66),"000"))</f>
        <v/>
      </c>
      <c r="C66" s="17" t="n"/>
      <c r="D66" s="17" t="n"/>
      <c r="E66" s="24" t="n"/>
      <c r="F66" s="24" t="n"/>
      <c r="G66" s="24" t="n"/>
      <c r="H66" s="24">
        <f>E66+F66-G66</f>
        <v/>
      </c>
      <c r="I66" s="26">
        <f>IF(E66="","",(G66+F66)/(E66+F66)/2)</f>
        <v/>
      </c>
      <c r="J66" s="26">
        <f>IF(E5="","",SUM(G5:G66)/AVERAGE(E5:E66))</f>
        <v/>
      </c>
    </row>
    <row r="67" ht="22" customHeight="1">
      <c r="B67" s="19">
        <f>IF(C67="","TUR-"&amp;TEXT(COUNTA($C$5:C67),"000"))</f>
        <v/>
      </c>
      <c r="C67" s="15" t="n"/>
      <c r="D67" s="15" t="n"/>
      <c r="E67" s="21" t="n"/>
      <c r="F67" s="21" t="n"/>
      <c r="G67" s="21" t="n"/>
      <c r="H67" s="21">
        <f>E67+F67-G67</f>
        <v/>
      </c>
      <c r="I67" s="23">
        <f>IF(E67="","",(G67+F67)/(E67+F67)/2)</f>
        <v/>
      </c>
      <c r="J67" s="23">
        <f>IF(E5="","",SUM(G5:G67)/AVERAGE(E5:E67))</f>
        <v/>
      </c>
    </row>
    <row r="68" ht="22" customHeight="1">
      <c r="B68" s="20">
        <f>IF(C68="","TUR-"&amp;TEXT(COUNTA($C$5:C68),"000"))</f>
        <v/>
      </c>
      <c r="C68" s="17" t="n"/>
      <c r="D68" s="17" t="n"/>
      <c r="E68" s="24" t="n"/>
      <c r="F68" s="24" t="n"/>
      <c r="G68" s="24" t="n"/>
      <c r="H68" s="24">
        <f>E68+F68-G68</f>
        <v/>
      </c>
      <c r="I68" s="26">
        <f>IF(E68="","",(G68+F68)/(E68+F68)/2)</f>
        <v/>
      </c>
      <c r="J68" s="26">
        <f>IF(E5="","",SUM(G5:G68)/AVERAGE(E5:E68))</f>
        <v/>
      </c>
    </row>
    <row r="69" ht="22" customHeight="1">
      <c r="B69" s="19">
        <f>IF(C69="","TUR-"&amp;TEXT(COUNTA($C$5:C69),"000"))</f>
        <v/>
      </c>
      <c r="C69" s="15" t="n"/>
      <c r="D69" s="15" t="n"/>
      <c r="E69" s="21" t="n"/>
      <c r="F69" s="21" t="n"/>
      <c r="G69" s="21" t="n"/>
      <c r="H69" s="21">
        <f>E69+F69-G69</f>
        <v/>
      </c>
      <c r="I69" s="23">
        <f>IF(E69="","",(G69+F69)/(E69+F69)/2)</f>
        <v/>
      </c>
      <c r="J69" s="23">
        <f>IF(E5="","",SUM(G5:G69)/AVERAGE(E5:E69))</f>
        <v/>
      </c>
    </row>
    <row r="70" ht="22" customHeight="1">
      <c r="B70" s="20">
        <f>IF(C70="","TUR-"&amp;TEXT(COUNTA($C$5:C70),"000"))</f>
        <v/>
      </c>
      <c r="C70" s="17" t="n"/>
      <c r="D70" s="17" t="n"/>
      <c r="E70" s="24" t="n"/>
      <c r="F70" s="24" t="n"/>
      <c r="G70" s="24" t="n"/>
      <c r="H70" s="24">
        <f>E70+F70-G70</f>
        <v/>
      </c>
      <c r="I70" s="26">
        <f>IF(E70="","",(G70+F70)/(E70+F70)/2)</f>
        <v/>
      </c>
      <c r="J70" s="26">
        <f>IF(E5="","",SUM(G5:G70)/AVERAGE(E5:E70))</f>
        <v/>
      </c>
    </row>
    <row r="71" ht="22" customHeight="1">
      <c r="B71" s="19">
        <f>IF(C71="","TUR-"&amp;TEXT(COUNTA($C$5:C71),"000"))</f>
        <v/>
      </c>
      <c r="C71" s="15" t="n"/>
      <c r="D71" s="15" t="n"/>
      <c r="E71" s="21" t="n"/>
      <c r="F71" s="21" t="n"/>
      <c r="G71" s="21" t="n"/>
      <c r="H71" s="21">
        <f>E71+F71-G71</f>
        <v/>
      </c>
      <c r="I71" s="23">
        <f>IF(E71="","",(G71+F71)/(E71+F71)/2)</f>
        <v/>
      </c>
      <c r="J71" s="23">
        <f>IF(E5="","",SUM(G5:G71)/AVERAGE(E5:E71))</f>
        <v/>
      </c>
    </row>
    <row r="72" ht="22" customHeight="1">
      <c r="B72" s="20">
        <f>IF(C72="","TUR-"&amp;TEXT(COUNTA($C$5:C72),"000"))</f>
        <v/>
      </c>
      <c r="C72" s="17" t="n"/>
      <c r="D72" s="17" t="n"/>
      <c r="E72" s="24" t="n"/>
      <c r="F72" s="24" t="n"/>
      <c r="G72" s="24" t="n"/>
      <c r="H72" s="24">
        <f>E72+F72-G72</f>
        <v/>
      </c>
      <c r="I72" s="26">
        <f>IF(E72="","",(G72+F72)/(E72+F72)/2)</f>
        <v/>
      </c>
      <c r="J72" s="26">
        <f>IF(E5="","",SUM(G5:G72)/AVERAGE(E5:E72))</f>
        <v/>
      </c>
    </row>
    <row r="73" ht="22" customHeight="1">
      <c r="B73" s="19">
        <f>IF(C73="","TUR-"&amp;TEXT(COUNTA($C$5:C73),"000"))</f>
        <v/>
      </c>
      <c r="C73" s="15" t="n"/>
      <c r="D73" s="15" t="n"/>
      <c r="E73" s="21" t="n"/>
      <c r="F73" s="21" t="n"/>
      <c r="G73" s="21" t="n"/>
      <c r="H73" s="21">
        <f>E73+F73-G73</f>
        <v/>
      </c>
      <c r="I73" s="23">
        <f>IF(E73="","",(G73+F73)/(E73+F73)/2)</f>
        <v/>
      </c>
      <c r="J73" s="23">
        <f>IF(E5="","",SUM(G5:G73)/AVERAGE(E5:E73))</f>
        <v/>
      </c>
    </row>
    <row r="74" ht="22" customHeight="1">
      <c r="B74" s="20">
        <f>IF(C74="","TUR-"&amp;TEXT(COUNTA($C$5:C74),"000"))</f>
        <v/>
      </c>
      <c r="C74" s="17" t="n"/>
      <c r="D74" s="17" t="n"/>
      <c r="E74" s="24" t="n"/>
      <c r="F74" s="24" t="n"/>
      <c r="G74" s="24" t="n"/>
      <c r="H74" s="24">
        <f>E74+F74-G74</f>
        <v/>
      </c>
      <c r="I74" s="26">
        <f>IF(E74="","",(G74+F74)/(E74+F74)/2)</f>
        <v/>
      </c>
      <c r="J74" s="26">
        <f>IF(E5="","",SUM(G5:G74)/AVERAGE(E5:E74))</f>
        <v/>
      </c>
    </row>
    <row r="75" ht="22" customHeight="1">
      <c r="B75" s="19">
        <f>IF(C75="","TUR-"&amp;TEXT(COUNTA($C$5:C75),"000"))</f>
        <v/>
      </c>
      <c r="C75" s="15" t="n"/>
      <c r="D75" s="15" t="n"/>
      <c r="E75" s="21" t="n"/>
      <c r="F75" s="21" t="n"/>
      <c r="G75" s="21" t="n"/>
      <c r="H75" s="21">
        <f>E75+F75-G75</f>
        <v/>
      </c>
      <c r="I75" s="23">
        <f>IF(E75="","",(G75+F75)/(E75+F75)/2)</f>
        <v/>
      </c>
      <c r="J75" s="23">
        <f>IF(E5="","",SUM(G5:G75)/AVERAGE(E5:E75))</f>
        <v/>
      </c>
    </row>
    <row r="76" ht="22" customHeight="1">
      <c r="B76" s="20">
        <f>IF(C76="","TUR-"&amp;TEXT(COUNTA($C$5:C76),"000"))</f>
        <v/>
      </c>
      <c r="C76" s="17" t="n"/>
      <c r="D76" s="17" t="n"/>
      <c r="E76" s="24" t="n"/>
      <c r="F76" s="24" t="n"/>
      <c r="G76" s="24" t="n"/>
      <c r="H76" s="24">
        <f>E76+F76-G76</f>
        <v/>
      </c>
      <c r="I76" s="26">
        <f>IF(E76="","",(G76+F76)/(E76+F76)/2)</f>
        <v/>
      </c>
      <c r="J76" s="26">
        <f>IF(E5="","",SUM(G5:G76)/AVERAGE(E5:E76))</f>
        <v/>
      </c>
    </row>
    <row r="77" ht="22" customHeight="1">
      <c r="B77" s="19">
        <f>IF(C77="","TUR-"&amp;TEXT(COUNTA($C$5:C77),"000"))</f>
        <v/>
      </c>
      <c r="C77" s="15" t="n"/>
      <c r="D77" s="15" t="n"/>
      <c r="E77" s="21" t="n"/>
      <c r="F77" s="21" t="n"/>
      <c r="G77" s="21" t="n"/>
      <c r="H77" s="21">
        <f>E77+F77-G77</f>
        <v/>
      </c>
      <c r="I77" s="23">
        <f>IF(E77="","",(G77+F77)/(E77+F77)/2)</f>
        <v/>
      </c>
      <c r="J77" s="23">
        <f>IF(E5="","",SUM(G5:G77)/AVERAGE(E5:E77))</f>
        <v/>
      </c>
    </row>
    <row r="78" ht="22" customHeight="1">
      <c r="B78" s="20">
        <f>IF(C78="","TUR-"&amp;TEXT(COUNTA($C$5:C78),"000"))</f>
        <v/>
      </c>
      <c r="C78" s="17" t="n"/>
      <c r="D78" s="17" t="n"/>
      <c r="E78" s="24" t="n"/>
      <c r="F78" s="24" t="n"/>
      <c r="G78" s="24" t="n"/>
      <c r="H78" s="24">
        <f>E78+F78-G78</f>
        <v/>
      </c>
      <c r="I78" s="26">
        <f>IF(E78="","",(G78+F78)/(E78+F78)/2)</f>
        <v/>
      </c>
      <c r="J78" s="26">
        <f>IF(E5="","",SUM(G5:G78)/AVERAGE(E5:E78))</f>
        <v/>
      </c>
    </row>
    <row r="79" ht="22" customHeight="1">
      <c r="B79" s="19">
        <f>IF(C79="","TUR-"&amp;TEXT(COUNTA($C$5:C79),"000"))</f>
        <v/>
      </c>
      <c r="C79" s="15" t="n"/>
      <c r="D79" s="15" t="n"/>
      <c r="E79" s="21" t="n"/>
      <c r="F79" s="21" t="n"/>
      <c r="G79" s="21" t="n"/>
      <c r="H79" s="21">
        <f>E79+F79-G79</f>
        <v/>
      </c>
      <c r="I79" s="23">
        <f>IF(E79="","",(G79+F79)/(E79+F79)/2)</f>
        <v/>
      </c>
      <c r="J79" s="23">
        <f>IF(E5="","",SUM(G5:G79)/AVERAGE(E5:E79))</f>
        <v/>
      </c>
    </row>
    <row r="80" ht="22" customHeight="1">
      <c r="B80" s="20">
        <f>IF(C80="","TUR-"&amp;TEXT(COUNTA($C$5:C80),"000"))</f>
        <v/>
      </c>
      <c r="C80" s="17" t="n"/>
      <c r="D80" s="17" t="n"/>
      <c r="E80" s="24" t="n"/>
      <c r="F80" s="24" t="n"/>
      <c r="G80" s="24" t="n"/>
      <c r="H80" s="24">
        <f>E80+F80-G80</f>
        <v/>
      </c>
      <c r="I80" s="26">
        <f>IF(E80="","",(G80+F80)/(E80+F80)/2)</f>
        <v/>
      </c>
      <c r="J80" s="26">
        <f>IF(E5="","",SUM(G5:G80)/AVERAGE(E5:E80))</f>
        <v/>
      </c>
    </row>
    <row r="81" ht="22" customHeight="1">
      <c r="B81" s="19">
        <f>IF(C81="","TUR-"&amp;TEXT(COUNTA($C$5:C81),"000"))</f>
        <v/>
      </c>
      <c r="C81" s="15" t="n"/>
      <c r="D81" s="15" t="n"/>
      <c r="E81" s="21" t="n"/>
      <c r="F81" s="21" t="n"/>
      <c r="G81" s="21" t="n"/>
      <c r="H81" s="21">
        <f>E81+F81-G81</f>
        <v/>
      </c>
      <c r="I81" s="23">
        <f>IF(E81="","",(G81+F81)/(E81+F81)/2)</f>
        <v/>
      </c>
      <c r="J81" s="23">
        <f>IF(E5="","",SUM(G5:G81)/AVERAGE(E5:E81))</f>
        <v/>
      </c>
    </row>
    <row r="82" ht="22" customHeight="1">
      <c r="B82" s="20">
        <f>IF(C82="","TUR-"&amp;TEXT(COUNTA($C$5:C82),"000"))</f>
        <v/>
      </c>
      <c r="C82" s="17" t="n"/>
      <c r="D82" s="17" t="n"/>
      <c r="E82" s="24" t="n"/>
      <c r="F82" s="24" t="n"/>
      <c r="G82" s="24" t="n"/>
      <c r="H82" s="24">
        <f>E82+F82-G82</f>
        <v/>
      </c>
      <c r="I82" s="26">
        <f>IF(E82="","",(G82+F82)/(E82+F82)/2)</f>
        <v/>
      </c>
      <c r="J82" s="26">
        <f>IF(E5="","",SUM(G5:G82)/AVERAGE(E5:E82))</f>
        <v/>
      </c>
    </row>
    <row r="83" ht="22" customHeight="1">
      <c r="B83" s="19">
        <f>IF(C83="","TUR-"&amp;TEXT(COUNTA($C$5:C83),"000"))</f>
        <v/>
      </c>
      <c r="C83" s="15" t="n"/>
      <c r="D83" s="15" t="n"/>
      <c r="E83" s="21" t="n"/>
      <c r="F83" s="21" t="n"/>
      <c r="G83" s="21" t="n"/>
      <c r="H83" s="21">
        <f>E83+F83-G83</f>
        <v/>
      </c>
      <c r="I83" s="23">
        <f>IF(E83="","",(G83+F83)/(E83+F83)/2)</f>
        <v/>
      </c>
      <c r="J83" s="23">
        <f>IF(E5="","",SUM(G5:G83)/AVERAGE(E5:E83))</f>
        <v/>
      </c>
    </row>
    <row r="84" ht="22" customHeight="1">
      <c r="B84" s="20">
        <f>IF(C84="","TUR-"&amp;TEXT(COUNTA($C$5:C84),"000"))</f>
        <v/>
      </c>
      <c r="C84" s="17" t="n"/>
      <c r="D84" s="17" t="n"/>
      <c r="E84" s="24" t="n"/>
      <c r="F84" s="24" t="n"/>
      <c r="G84" s="24" t="n"/>
      <c r="H84" s="24">
        <f>E84+F84-G84</f>
        <v/>
      </c>
      <c r="I84" s="26">
        <f>IF(E84="","",(G84+F84)/(E84+F84)/2)</f>
        <v/>
      </c>
      <c r="J84" s="26">
        <f>IF(E5="","",SUM(G5:G84)/AVERAGE(E5:E84))</f>
        <v/>
      </c>
    </row>
    <row r="85" ht="22" customHeight="1">
      <c r="B85" s="19">
        <f>IF(C85="","TUR-"&amp;TEXT(COUNTA($C$5:C85),"000"))</f>
        <v/>
      </c>
      <c r="C85" s="15" t="n"/>
      <c r="D85" s="15" t="n"/>
      <c r="E85" s="21" t="n"/>
      <c r="F85" s="21" t="n"/>
      <c r="G85" s="21" t="n"/>
      <c r="H85" s="21">
        <f>E85+F85-G85</f>
        <v/>
      </c>
      <c r="I85" s="23">
        <f>IF(E85="","",(G85+F85)/(E85+F85)/2)</f>
        <v/>
      </c>
      <c r="J85" s="23">
        <f>IF(E5="","",SUM(G5:G85)/AVERAGE(E5:E85))</f>
        <v/>
      </c>
    </row>
    <row r="86" ht="22" customHeight="1">
      <c r="B86" s="20">
        <f>IF(C86="","TUR-"&amp;TEXT(COUNTA($C$5:C86),"000"))</f>
        <v/>
      </c>
      <c r="C86" s="17" t="n"/>
      <c r="D86" s="17" t="n"/>
      <c r="E86" s="24" t="n"/>
      <c r="F86" s="24" t="n"/>
      <c r="G86" s="24" t="n"/>
      <c r="H86" s="24">
        <f>E86+F86-G86</f>
        <v/>
      </c>
      <c r="I86" s="26">
        <f>IF(E86="","",(G86+F86)/(E86+F86)/2)</f>
        <v/>
      </c>
      <c r="J86" s="26">
        <f>IF(E5="","",SUM(G5:G86)/AVERAGE(E5:E86))</f>
        <v/>
      </c>
    </row>
    <row r="87" ht="22" customHeight="1">
      <c r="B87" s="19">
        <f>IF(C87="","TUR-"&amp;TEXT(COUNTA($C$5:C87),"000"))</f>
        <v/>
      </c>
      <c r="C87" s="15" t="n"/>
      <c r="D87" s="15" t="n"/>
      <c r="E87" s="21" t="n"/>
      <c r="F87" s="21" t="n"/>
      <c r="G87" s="21" t="n"/>
      <c r="H87" s="21">
        <f>E87+F87-G87</f>
        <v/>
      </c>
      <c r="I87" s="23">
        <f>IF(E87="","",(G87+F87)/(E87+F87)/2)</f>
        <v/>
      </c>
      <c r="J87" s="23">
        <f>IF(E5="","",SUM(G5:G87)/AVERAGE(E5:E87))</f>
        <v/>
      </c>
    </row>
    <row r="88" ht="22" customHeight="1">
      <c r="B88" s="20">
        <f>IF(C88="","TUR-"&amp;TEXT(COUNTA($C$5:C88),"000"))</f>
        <v/>
      </c>
      <c r="C88" s="17" t="n"/>
      <c r="D88" s="17" t="n"/>
      <c r="E88" s="24" t="n"/>
      <c r="F88" s="24" t="n"/>
      <c r="G88" s="24" t="n"/>
      <c r="H88" s="24">
        <f>E88+F88-G88</f>
        <v/>
      </c>
      <c r="I88" s="26">
        <f>IF(E88="","",(G88+F88)/(E88+F88)/2)</f>
        <v/>
      </c>
      <c r="J88" s="26">
        <f>IF(E5="","",SUM(G5:G88)/AVERAGE(E5:E88))</f>
        <v/>
      </c>
    </row>
    <row r="89" ht="22" customHeight="1">
      <c r="B89" s="19">
        <f>IF(C89="","TUR-"&amp;TEXT(COUNTA($C$5:C89),"000"))</f>
        <v/>
      </c>
      <c r="C89" s="15" t="n"/>
      <c r="D89" s="15" t="n"/>
      <c r="E89" s="21" t="n"/>
      <c r="F89" s="21" t="n"/>
      <c r="G89" s="21" t="n"/>
      <c r="H89" s="21">
        <f>E89+F89-G89</f>
        <v/>
      </c>
      <c r="I89" s="23">
        <f>IF(E89="","",(G89+F89)/(E89+F89)/2)</f>
        <v/>
      </c>
      <c r="J89" s="23">
        <f>IF(E5="","",SUM(G5:G89)/AVERAGE(E5:E89))</f>
        <v/>
      </c>
    </row>
    <row r="90" ht="22" customHeight="1">
      <c r="B90" s="20">
        <f>IF(C90="","TUR-"&amp;TEXT(COUNTA($C$5:C90),"000"))</f>
        <v/>
      </c>
      <c r="C90" s="17" t="n"/>
      <c r="D90" s="17" t="n"/>
      <c r="E90" s="24" t="n"/>
      <c r="F90" s="24" t="n"/>
      <c r="G90" s="24" t="n"/>
      <c r="H90" s="24">
        <f>E90+F90-G90</f>
        <v/>
      </c>
      <c r="I90" s="26">
        <f>IF(E90="","",(G90+F90)/(E90+F90)/2)</f>
        <v/>
      </c>
      <c r="J90" s="26">
        <f>IF(E5="","",SUM(G5:G90)/AVERAGE(E5:E90))</f>
        <v/>
      </c>
    </row>
    <row r="91" ht="22" customHeight="1">
      <c r="B91" s="19">
        <f>IF(C91="","TUR-"&amp;TEXT(COUNTA($C$5:C91),"000"))</f>
        <v/>
      </c>
      <c r="C91" s="15" t="n"/>
      <c r="D91" s="15" t="n"/>
      <c r="E91" s="21" t="n"/>
      <c r="F91" s="21" t="n"/>
      <c r="G91" s="21" t="n"/>
      <c r="H91" s="21">
        <f>E91+F91-G91</f>
        <v/>
      </c>
      <c r="I91" s="23">
        <f>IF(E91="","",(G91+F91)/(E91+F91)/2)</f>
        <v/>
      </c>
      <c r="J91" s="23">
        <f>IF(E5="","",SUM(G5:G91)/AVERAGE(E5:E91))</f>
        <v/>
      </c>
    </row>
    <row r="92" ht="22" customHeight="1">
      <c r="B92" s="20">
        <f>IF(C92="","TUR-"&amp;TEXT(COUNTA($C$5:C92),"000"))</f>
        <v/>
      </c>
      <c r="C92" s="17" t="n"/>
      <c r="D92" s="17" t="n"/>
      <c r="E92" s="24" t="n"/>
      <c r="F92" s="24" t="n"/>
      <c r="G92" s="24" t="n"/>
      <c r="H92" s="24">
        <f>E92+F92-G92</f>
        <v/>
      </c>
      <c r="I92" s="26">
        <f>IF(E92="","",(G92+F92)/(E92+F92)/2)</f>
        <v/>
      </c>
      <c r="J92" s="26">
        <f>IF(E5="","",SUM(G5:G92)/AVERAGE(E5:E92))</f>
        <v/>
      </c>
    </row>
    <row r="93" ht="22" customHeight="1">
      <c r="B93" s="19">
        <f>IF(C93="","TUR-"&amp;TEXT(COUNTA($C$5:C93),"000"))</f>
        <v/>
      </c>
      <c r="C93" s="15" t="n"/>
      <c r="D93" s="15" t="n"/>
      <c r="E93" s="21" t="n"/>
      <c r="F93" s="21" t="n"/>
      <c r="G93" s="21" t="n"/>
      <c r="H93" s="21">
        <f>E93+F93-G93</f>
        <v/>
      </c>
      <c r="I93" s="23">
        <f>IF(E93="","",(G93+F93)/(E93+F93)/2)</f>
        <v/>
      </c>
      <c r="J93" s="23">
        <f>IF(E5="","",SUM(G5:G93)/AVERAGE(E5:E93))</f>
        <v/>
      </c>
    </row>
    <row r="94" ht="22" customHeight="1">
      <c r="B94" s="20">
        <f>IF(C94="","TUR-"&amp;TEXT(COUNTA($C$5:C94),"000"))</f>
        <v/>
      </c>
      <c r="C94" s="17" t="n"/>
      <c r="D94" s="17" t="n"/>
      <c r="E94" s="24" t="n"/>
      <c r="F94" s="24" t="n"/>
      <c r="G94" s="24" t="n"/>
      <c r="H94" s="24">
        <f>E94+F94-G94</f>
        <v/>
      </c>
      <c r="I94" s="26">
        <f>IF(E94="","",(G94+F94)/(E94+F94)/2)</f>
        <v/>
      </c>
      <c r="J94" s="26">
        <f>IF(E5="","",SUM(G5:G94)/AVERAGE(E5:E94))</f>
        <v/>
      </c>
    </row>
    <row r="95" ht="22" customHeight="1">
      <c r="B95" s="19">
        <f>IF(C95="","TUR-"&amp;TEXT(COUNTA($C$5:C95),"000"))</f>
        <v/>
      </c>
      <c r="C95" s="15" t="n"/>
      <c r="D95" s="15" t="n"/>
      <c r="E95" s="21" t="n"/>
      <c r="F95" s="21" t="n"/>
      <c r="G95" s="21" t="n"/>
      <c r="H95" s="21">
        <f>E95+F95-G95</f>
        <v/>
      </c>
      <c r="I95" s="23">
        <f>IF(E95="","",(G95+F95)/(E95+F95)/2)</f>
        <v/>
      </c>
      <c r="J95" s="23">
        <f>IF(E5="","",SUM(G5:G95)/AVERAGE(E5:E95))</f>
        <v/>
      </c>
    </row>
    <row r="96" ht="22" customHeight="1">
      <c r="B96" s="20">
        <f>IF(C96="","TUR-"&amp;TEXT(COUNTA($C$5:C96),"000"))</f>
        <v/>
      </c>
      <c r="C96" s="17" t="n"/>
      <c r="D96" s="17" t="n"/>
      <c r="E96" s="24" t="n"/>
      <c r="F96" s="24" t="n"/>
      <c r="G96" s="24" t="n"/>
      <c r="H96" s="24">
        <f>E96+F96-G96</f>
        <v/>
      </c>
      <c r="I96" s="26">
        <f>IF(E96="","",(G96+F96)/(E96+F96)/2)</f>
        <v/>
      </c>
      <c r="J96" s="26">
        <f>IF(E5="","",SUM(G5:G96)/AVERAGE(E5:E96))</f>
        <v/>
      </c>
    </row>
    <row r="97" ht="22" customHeight="1">
      <c r="B97" s="19">
        <f>IF(C97="","TUR-"&amp;TEXT(COUNTA($C$5:C97),"000"))</f>
        <v/>
      </c>
      <c r="C97" s="15" t="n"/>
      <c r="D97" s="15" t="n"/>
      <c r="E97" s="21" t="n"/>
      <c r="F97" s="21" t="n"/>
      <c r="G97" s="21" t="n"/>
      <c r="H97" s="21">
        <f>E97+F97-G97</f>
        <v/>
      </c>
      <c r="I97" s="23">
        <f>IF(E97="","",(G97+F97)/(E97+F97)/2)</f>
        <v/>
      </c>
      <c r="J97" s="23">
        <f>IF(E5="","",SUM(G5:G97)/AVERAGE(E5:E97))</f>
        <v/>
      </c>
    </row>
    <row r="98" ht="22" customHeight="1">
      <c r="B98" s="20">
        <f>IF(C98="","TUR-"&amp;TEXT(COUNTA($C$5:C98),"000"))</f>
        <v/>
      </c>
      <c r="C98" s="17" t="n"/>
      <c r="D98" s="17" t="n"/>
      <c r="E98" s="24" t="n"/>
      <c r="F98" s="24" t="n"/>
      <c r="G98" s="24" t="n"/>
      <c r="H98" s="24">
        <f>E98+F98-G98</f>
        <v/>
      </c>
      <c r="I98" s="26">
        <f>IF(E98="","",(G98+F98)/(E98+F98)/2)</f>
        <v/>
      </c>
      <c r="J98" s="26">
        <f>IF(E5="","",SUM(G5:G98)/AVERAGE(E5:E98))</f>
        <v/>
      </c>
    </row>
    <row r="99" ht="22" customHeight="1">
      <c r="B99" s="19">
        <f>IF(C99="","TUR-"&amp;TEXT(COUNTA($C$5:C99),"000"))</f>
        <v/>
      </c>
      <c r="C99" s="15" t="n"/>
      <c r="D99" s="15" t="n"/>
      <c r="E99" s="21" t="n"/>
      <c r="F99" s="21" t="n"/>
      <c r="G99" s="21" t="n"/>
      <c r="H99" s="21">
        <f>E99+F99-G99</f>
        <v/>
      </c>
      <c r="I99" s="23">
        <f>IF(E99="","",(G99+F99)/(E99+F99)/2)</f>
        <v/>
      </c>
      <c r="J99" s="23">
        <f>IF(E5="","",SUM(G5:G99)/AVERAGE(E5:E99))</f>
        <v/>
      </c>
    </row>
    <row r="100" ht="22" customHeight="1">
      <c r="B100" s="20">
        <f>IF(C100="","TUR-"&amp;TEXT(COUNTA($C$5:C100),"000"))</f>
        <v/>
      </c>
      <c r="C100" s="17" t="n"/>
      <c r="D100" s="17" t="n"/>
      <c r="E100" s="24" t="n"/>
      <c r="F100" s="24" t="n"/>
      <c r="G100" s="24" t="n"/>
      <c r="H100" s="24">
        <f>E100+F100-G100</f>
        <v/>
      </c>
      <c r="I100" s="26">
        <f>IF(E100="","",(G100+F100)/(E100+F100)/2)</f>
        <v/>
      </c>
      <c r="J100" s="26">
        <f>IF(E5="","",SUM(G5:G100)/AVERAGE(E5:E100))</f>
        <v/>
      </c>
    </row>
    <row r="101" ht="22" customHeight="1">
      <c r="B101" s="19">
        <f>IF(C101="","TUR-"&amp;TEXT(COUNTA($C$5:C101),"000"))</f>
        <v/>
      </c>
      <c r="C101" s="15" t="n"/>
      <c r="D101" s="15" t="n"/>
      <c r="E101" s="21" t="n"/>
      <c r="F101" s="21" t="n"/>
      <c r="G101" s="21" t="n"/>
      <c r="H101" s="21">
        <f>E101+F101-G101</f>
        <v/>
      </c>
      <c r="I101" s="23">
        <f>IF(E101="","",(G101+F101)/(E101+F101)/2)</f>
        <v/>
      </c>
      <c r="J101" s="23">
        <f>IF(E5="","",SUM(G5:G101)/AVERAGE(E5:E101))</f>
        <v/>
      </c>
    </row>
    <row r="102" ht="22" customHeight="1">
      <c r="B102" s="20">
        <f>IF(C102="","TUR-"&amp;TEXT(COUNTA($C$5:C102),"000"))</f>
        <v/>
      </c>
      <c r="C102" s="17" t="n"/>
      <c r="D102" s="17" t="n"/>
      <c r="E102" s="24" t="n"/>
      <c r="F102" s="24" t="n"/>
      <c r="G102" s="24" t="n"/>
      <c r="H102" s="24">
        <f>E102+F102-G102</f>
        <v/>
      </c>
      <c r="I102" s="26">
        <f>IF(E102="","",(G102+F102)/(E102+F102)/2)</f>
        <v/>
      </c>
      <c r="J102" s="26">
        <f>IF(E5="","",SUM(G5:G102)/AVERAGE(E5:E102))</f>
        <v/>
      </c>
    </row>
    <row r="103" ht="22" customHeight="1">
      <c r="B103" s="19">
        <f>IF(C103="","TUR-"&amp;TEXT(COUNTA($C$5:C103),"000"))</f>
        <v/>
      </c>
      <c r="C103" s="15" t="n"/>
      <c r="D103" s="15" t="n"/>
      <c r="E103" s="21" t="n"/>
      <c r="F103" s="21" t="n"/>
      <c r="G103" s="21" t="n"/>
      <c r="H103" s="21">
        <f>E103+F103-G103</f>
        <v/>
      </c>
      <c r="I103" s="23">
        <f>IF(E103="","",(G103+F103)/(E103+F103)/2)</f>
        <v/>
      </c>
      <c r="J103" s="23">
        <f>IF(E5="","",SUM(G5:G103)/AVERAGE(E5:E103))</f>
        <v/>
      </c>
    </row>
    <row r="104" ht="22" customHeight="1">
      <c r="B104" s="20">
        <f>IF(C104="","TUR-"&amp;TEXT(COUNTA($C$5:C104),"000"))</f>
        <v/>
      </c>
      <c r="C104" s="17" t="n"/>
      <c r="D104" s="17" t="n"/>
      <c r="E104" s="24" t="n"/>
      <c r="F104" s="24" t="n"/>
      <c r="G104" s="24" t="n"/>
      <c r="H104" s="24">
        <f>E104+F104-G104</f>
        <v/>
      </c>
      <c r="I104" s="26">
        <f>IF(E104="","",(G104+F104)/(E104+F104)/2)</f>
        <v/>
      </c>
      <c r="J104" s="26">
        <f>IF(E5="","",SUM(G5:G104)/AVERAGE(E5:E104))</f>
        <v/>
      </c>
    </row>
    <row r="105" ht="22" customHeight="1">
      <c r="B105" s="19">
        <f>IF(C105="","TUR-"&amp;TEXT(COUNTA($C$5:C105),"000"))</f>
        <v/>
      </c>
      <c r="C105" s="15" t="n"/>
      <c r="D105" s="15" t="n"/>
      <c r="E105" s="21" t="n"/>
      <c r="F105" s="21" t="n"/>
      <c r="G105" s="21" t="n"/>
      <c r="H105" s="21">
        <f>E105+F105-G105</f>
        <v/>
      </c>
      <c r="I105" s="23">
        <f>IF(E105="","",(G105+F105)/(E105+F105)/2)</f>
        <v/>
      </c>
      <c r="J105" s="23">
        <f>IF(E5="","",SUM(G5:G105)/AVERAGE(E5:E105))</f>
        <v/>
      </c>
    </row>
    <row r="106" ht="22" customHeight="1">
      <c r="B106" s="20">
        <f>IF(C106="","TUR-"&amp;TEXT(COUNTA($C$5:C106),"000"))</f>
        <v/>
      </c>
      <c r="C106" s="17" t="n"/>
      <c r="D106" s="17" t="n"/>
      <c r="E106" s="24" t="n"/>
      <c r="F106" s="24" t="n"/>
      <c r="G106" s="24" t="n"/>
      <c r="H106" s="24">
        <f>E106+F106-G106</f>
        <v/>
      </c>
      <c r="I106" s="26">
        <f>IF(E106="","",(G106+F106)/(E106+F106)/2)</f>
        <v/>
      </c>
      <c r="J106" s="26">
        <f>IF(E5="","",SUM(G5:G106)/AVERAGE(E5:E106))</f>
        <v/>
      </c>
    </row>
    <row r="107" ht="22" customHeight="1">
      <c r="B107" s="19">
        <f>IF(C107="","TUR-"&amp;TEXT(COUNTA($C$5:C107),"000"))</f>
        <v/>
      </c>
      <c r="C107" s="15" t="n"/>
      <c r="D107" s="15" t="n"/>
      <c r="E107" s="21" t="n"/>
      <c r="F107" s="21" t="n"/>
      <c r="G107" s="21" t="n"/>
      <c r="H107" s="21">
        <f>E107+F107-G107</f>
        <v/>
      </c>
      <c r="I107" s="23">
        <f>IF(E107="","",(G107+F107)/(E107+F107)/2)</f>
        <v/>
      </c>
      <c r="J107" s="23">
        <f>IF(E5="","",SUM(G5:G107)/AVERAGE(E5:E107))</f>
        <v/>
      </c>
    </row>
    <row r="108" ht="22" customHeight="1">
      <c r="B108" s="20">
        <f>IF(C108="","TUR-"&amp;TEXT(COUNTA($C$5:C108),"000"))</f>
        <v/>
      </c>
      <c r="C108" s="17" t="n"/>
      <c r="D108" s="17" t="n"/>
      <c r="E108" s="24" t="n"/>
      <c r="F108" s="24" t="n"/>
      <c r="G108" s="24" t="n"/>
      <c r="H108" s="24">
        <f>E108+F108-G108</f>
        <v/>
      </c>
      <c r="I108" s="26">
        <f>IF(E108="","",(G108+F108)/(E108+F108)/2)</f>
        <v/>
      </c>
      <c r="J108" s="26">
        <f>IF(E5="","",SUM(G5:G108)/AVERAGE(E5:E108))</f>
        <v/>
      </c>
    </row>
    <row r="109" ht="22" customHeight="1">
      <c r="B109" s="19">
        <f>IF(C109="","TUR-"&amp;TEXT(COUNTA($C$5:C109),"000"))</f>
        <v/>
      </c>
      <c r="C109" s="15" t="n"/>
      <c r="D109" s="15" t="n"/>
      <c r="E109" s="21" t="n"/>
      <c r="F109" s="21" t="n"/>
      <c r="G109" s="21" t="n"/>
      <c r="H109" s="21">
        <f>E109+F109-G109</f>
        <v/>
      </c>
      <c r="I109" s="23">
        <f>IF(E109="","",(G109+F109)/(E109+F109)/2)</f>
        <v/>
      </c>
      <c r="J109" s="23">
        <f>IF(E5="","",SUM(G5:G109)/AVERAGE(E5:E109))</f>
        <v/>
      </c>
    </row>
    <row r="110" ht="22" customHeight="1">
      <c r="B110" s="20">
        <f>IF(C110="","TUR-"&amp;TEXT(COUNTA($C$5:C110),"000"))</f>
        <v/>
      </c>
      <c r="C110" s="17" t="n"/>
      <c r="D110" s="17" t="n"/>
      <c r="E110" s="24" t="n"/>
      <c r="F110" s="24" t="n"/>
      <c r="G110" s="24" t="n"/>
      <c r="H110" s="24">
        <f>E110+F110-G110</f>
        <v/>
      </c>
      <c r="I110" s="26">
        <f>IF(E110="","",(G110+F110)/(E110+F110)/2)</f>
        <v/>
      </c>
      <c r="J110" s="26">
        <f>IF(E5="","",SUM(G5:G110)/AVERAGE(E5:E110))</f>
        <v/>
      </c>
    </row>
    <row r="112">
      <c r="B112" s="8" t="inlineStr">
        <is>
          <t>INDICATEURS (mis a jour automatiquement)</t>
        </is>
      </c>
    </row>
    <row r="113">
      <c r="B113" s="3" t="inlineStr">
        <is>
          <t>Sorties totales</t>
        </is>
      </c>
      <c r="D113" s="3" t="inlineStr">
        <is>
          <t>Entrees totales</t>
        </is>
      </c>
      <c r="F113" s="3" t="inlineStr">
        <is>
          <t>Turnover moyen</t>
        </is>
      </c>
    </row>
    <row r="114">
      <c r="B114" s="4">
        <f>SUM(G5:G104)</f>
        <v/>
      </c>
      <c r="D114" s="4">
        <f>SUM(F5:F104)</f>
        <v/>
      </c>
      <c r="F114" s="4">
        <f>IFERROR(AVERAGE(I5:I104),0)</f>
        <v/>
      </c>
    </row>
  </sheetData>
  <mergeCells count="3">
    <mergeCell ref="B112:J112"/>
    <mergeCell ref="B3:J3"/>
    <mergeCell ref="B2:J2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'_Lists'!$F$2:$F$13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'_Lists'!$G$2:$G$4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2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8" customWidth="1" min="11" max="11"/>
    <col width="24" customWidth="1" min="12" max="12"/>
  </cols>
  <sheetData>
    <row r="1" ht="15" customHeight="1"/>
    <row r="2" ht="32" customHeight="1">
      <c r="B2" s="1" t="inlineStr">
        <is>
          <t>COUT DU TURNOVER (#140)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Employe</t>
        </is>
      </c>
      <c r="D4" s="14" t="inlineStr">
        <is>
          <t>Poste</t>
        </is>
      </c>
      <c r="E4" s="14" t="inlineStr">
        <is>
          <t>Service</t>
        </is>
      </c>
      <c r="F4" s="14" t="inlineStr">
        <is>
          <t>Motif Depart</t>
        </is>
      </c>
      <c r="G4" s="14" t="inlineStr">
        <is>
          <t>Date Depart</t>
        </is>
      </c>
      <c r="H4" s="14" t="inlineStr">
        <is>
          <t>Salaire Brut Mensuel</t>
        </is>
      </c>
      <c r="I4" s="14" t="inlineStr">
        <is>
          <t>Cout Recrutement</t>
        </is>
      </c>
      <c r="J4" s="14" t="inlineStr">
        <is>
          <t>Cout Formation</t>
        </is>
      </c>
      <c r="K4" s="14" t="inlineStr">
        <is>
          <t>Cout Integration</t>
        </is>
      </c>
      <c r="L4" s="14" t="inlineStr">
        <is>
          <t>Cout Total Depart (FCFA)</t>
        </is>
      </c>
    </row>
    <row r="5" ht="22" customHeight="1">
      <c r="B5" s="15" t="inlineStr">
        <is>
          <t>CTU-001</t>
        </is>
      </c>
      <c r="C5" s="15" t="inlineStr">
        <is>
          <t>Ngassa A.</t>
        </is>
      </c>
      <c r="D5" s="15" t="inlineStr">
        <is>
          <t>Receptionniste</t>
        </is>
      </c>
      <c r="E5" s="15" t="inlineStr">
        <is>
          <t>Réception &amp; Front Office</t>
        </is>
      </c>
      <c r="F5" s="15" t="inlineStr">
        <is>
          <t>Demission</t>
        </is>
      </c>
      <c r="G5" s="34" t="n">
        <v>45731</v>
      </c>
      <c r="H5" s="22" t="n">
        <v>180000</v>
      </c>
      <c r="I5" s="22" t="n">
        <v>150000</v>
      </c>
      <c r="J5" s="22" t="n">
        <v>50000</v>
      </c>
      <c r="K5" s="22" t="n">
        <v>30000</v>
      </c>
      <c r="L5" s="22" t="n"/>
    </row>
    <row r="6" ht="22" customHeight="1">
      <c r="B6" s="17" t="inlineStr">
        <is>
          <t>CTU-002</t>
        </is>
      </c>
      <c r="C6" s="17" t="inlineStr">
        <is>
          <t>Eyenga M.</t>
        </is>
      </c>
      <c r="D6" s="17" t="inlineStr">
        <is>
          <t>Cuisinier</t>
        </is>
      </c>
      <c r="E6" s="17" t="inlineStr">
        <is>
          <t>Cuisine &amp; Restauration</t>
        </is>
      </c>
      <c r="F6" s="17" t="inlineStr">
        <is>
          <t>Licenciement</t>
        </is>
      </c>
      <c r="G6" s="35" t="n">
        <v>45748</v>
      </c>
      <c r="H6" s="25" t="n">
        <v>220000</v>
      </c>
      <c r="I6" s="25" t="n">
        <v>200000</v>
      </c>
      <c r="J6" s="25" t="n">
        <v>75000</v>
      </c>
      <c r="K6" s="25" t="n">
        <v>0</v>
      </c>
      <c r="L6" s="25" t="n"/>
    </row>
    <row r="7" ht="22" customHeight="1">
      <c r="B7" s="15" t="inlineStr">
        <is>
          <t>CTU-003</t>
        </is>
      </c>
      <c r="C7" s="15" t="inlineStr">
        <is>
          <t>Moukouri D.</t>
        </is>
      </c>
      <c r="D7" s="15" t="inlineStr">
        <is>
          <t>Agent Entretien</t>
        </is>
      </c>
      <c r="E7" s="15" t="inlineStr">
        <is>
          <t>Maintenance</t>
        </is>
      </c>
      <c r="F7" s="15" t="inlineStr">
        <is>
          <t>Fin CDD</t>
        </is>
      </c>
      <c r="G7" s="34" t="n">
        <v>45808</v>
      </c>
      <c r="H7" s="22" t="n">
        <v>145000</v>
      </c>
      <c r="I7" s="22" t="n">
        <v>0</v>
      </c>
      <c r="J7" s="22" t="n">
        <v>25000</v>
      </c>
      <c r="K7" s="22" t="n">
        <v>0</v>
      </c>
      <c r="L7" s="22" t="n"/>
    </row>
    <row r="8" ht="22" customHeight="1">
      <c r="B8" s="17" t="inlineStr">
        <is>
          <t>CTU-004</t>
        </is>
      </c>
      <c r="C8" s="17" t="inlineStr">
        <is>
          <t>Fotso R.</t>
        </is>
      </c>
      <c r="D8" s="17" t="inlineStr">
        <is>
          <t>Sous-Chef</t>
        </is>
      </c>
      <c r="E8" s="17" t="inlineStr">
        <is>
          <t>Cuisine &amp; Restauration</t>
        </is>
      </c>
      <c r="F8" s="17" t="inlineStr">
        <is>
          <t>Demission</t>
        </is>
      </c>
      <c r="G8" s="35" t="n">
        <v>45818</v>
      </c>
      <c r="H8" s="25" t="n">
        <v>280000</v>
      </c>
      <c r="I8" s="25" t="n">
        <v>250000</v>
      </c>
      <c r="J8" s="25" t="n">
        <v>100000</v>
      </c>
      <c r="K8" s="25" t="n">
        <v>50000</v>
      </c>
      <c r="L8" s="25" t="n"/>
    </row>
    <row r="9" ht="22" customHeight="1">
      <c r="B9" s="19">
        <f>IF(C9="","CTU-"&amp;TEXT(COUNTA($C$5:C9),"000"))</f>
        <v/>
      </c>
      <c r="C9" s="15" t="n"/>
      <c r="D9" s="15" t="n"/>
      <c r="E9" s="15" t="n"/>
      <c r="F9" s="15" t="n"/>
      <c r="G9" s="34" t="n"/>
      <c r="H9" s="22" t="n"/>
      <c r="I9" s="22" t="n"/>
      <c r="J9" s="22" t="n"/>
      <c r="K9" s="22" t="n"/>
      <c r="L9" s="22">
        <f>IF(OR(H9="",I9=""),"",(H9*2)+I9+J9+K9)</f>
        <v/>
      </c>
    </row>
    <row r="10" ht="22" customHeight="1">
      <c r="B10" s="20">
        <f>IF(C10="","CTU-"&amp;TEXT(COUNTA($C$5:C10),"000"))</f>
        <v/>
      </c>
      <c r="C10" s="17" t="n"/>
      <c r="D10" s="17" t="n"/>
      <c r="E10" s="17" t="n"/>
      <c r="F10" s="17" t="n"/>
      <c r="G10" s="35" t="n"/>
      <c r="H10" s="25" t="n"/>
      <c r="I10" s="25" t="n"/>
      <c r="J10" s="25" t="n"/>
      <c r="K10" s="25" t="n"/>
      <c r="L10" s="25">
        <f>IF(OR(H10="",I10=""),"",(H10*2)+I10+J10+K10)</f>
        <v/>
      </c>
    </row>
    <row r="11" ht="22" customHeight="1">
      <c r="B11" s="19">
        <f>IF(C11="","CTU-"&amp;TEXT(COUNTA($C$5:C11),"000"))</f>
        <v/>
      </c>
      <c r="C11" s="15" t="n"/>
      <c r="D11" s="15" t="n"/>
      <c r="E11" s="15" t="n"/>
      <c r="F11" s="15" t="n"/>
      <c r="G11" s="34" t="n"/>
      <c r="H11" s="22" t="n"/>
      <c r="I11" s="22" t="n"/>
      <c r="J11" s="22" t="n"/>
      <c r="K11" s="22" t="n"/>
      <c r="L11" s="22">
        <f>IF(OR(H11="",I11=""),"",(H11*2)+I11+J11+K11)</f>
        <v/>
      </c>
    </row>
    <row r="12" ht="22" customHeight="1">
      <c r="B12" s="20">
        <f>IF(C12="","CTU-"&amp;TEXT(COUNTA($C$5:C12),"000"))</f>
        <v/>
      </c>
      <c r="C12" s="17" t="n"/>
      <c r="D12" s="17" t="n"/>
      <c r="E12" s="17" t="n"/>
      <c r="F12" s="17" t="n"/>
      <c r="G12" s="35" t="n"/>
      <c r="H12" s="25" t="n"/>
      <c r="I12" s="25" t="n"/>
      <c r="J12" s="25" t="n"/>
      <c r="K12" s="25" t="n"/>
      <c r="L12" s="25">
        <f>IF(OR(H12="",I12=""),"",(H12*2)+I12+J12+K12)</f>
        <v/>
      </c>
    </row>
    <row r="13" ht="22" customHeight="1">
      <c r="B13" s="19">
        <f>IF(C13="","CTU-"&amp;TEXT(COUNTA($C$5:C13),"000"))</f>
        <v/>
      </c>
      <c r="C13" s="15" t="n"/>
      <c r="D13" s="15" t="n"/>
      <c r="E13" s="15" t="n"/>
      <c r="F13" s="15" t="n"/>
      <c r="G13" s="34" t="n"/>
      <c r="H13" s="22" t="n"/>
      <c r="I13" s="22" t="n"/>
      <c r="J13" s="22" t="n"/>
      <c r="K13" s="22" t="n"/>
      <c r="L13" s="22">
        <f>IF(OR(H13="",I13=""),"",(H13*2)+I13+J13+K13)</f>
        <v/>
      </c>
    </row>
    <row r="14" ht="22" customHeight="1">
      <c r="B14" s="20">
        <f>IF(C14="","CTU-"&amp;TEXT(COUNTA($C$5:C14),"000"))</f>
        <v/>
      </c>
      <c r="C14" s="17" t="n"/>
      <c r="D14" s="17" t="n"/>
      <c r="E14" s="17" t="n"/>
      <c r="F14" s="17" t="n"/>
      <c r="G14" s="35" t="n"/>
      <c r="H14" s="25" t="n"/>
      <c r="I14" s="25" t="n"/>
      <c r="J14" s="25" t="n"/>
      <c r="K14" s="25" t="n"/>
      <c r="L14" s="25">
        <f>IF(OR(H14="",I14=""),"",(H14*2)+I14+J14+K14)</f>
        <v/>
      </c>
    </row>
    <row r="15" ht="22" customHeight="1">
      <c r="B15" s="19">
        <f>IF(C15="","CTU-"&amp;TEXT(COUNTA($C$5:C15),"000"))</f>
        <v/>
      </c>
      <c r="C15" s="15" t="n"/>
      <c r="D15" s="15" t="n"/>
      <c r="E15" s="15" t="n"/>
      <c r="F15" s="15" t="n"/>
      <c r="G15" s="34" t="n"/>
      <c r="H15" s="22" t="n"/>
      <c r="I15" s="22" t="n"/>
      <c r="J15" s="22" t="n"/>
      <c r="K15" s="22" t="n"/>
      <c r="L15" s="22">
        <f>IF(OR(H15="",I15=""),"",(H15*2)+I15+J15+K15)</f>
        <v/>
      </c>
    </row>
    <row r="16" ht="22" customHeight="1">
      <c r="B16" s="20">
        <f>IF(C16="","CTU-"&amp;TEXT(COUNTA($C$5:C16),"000"))</f>
        <v/>
      </c>
      <c r="C16" s="17" t="n"/>
      <c r="D16" s="17" t="n"/>
      <c r="E16" s="17" t="n"/>
      <c r="F16" s="17" t="n"/>
      <c r="G16" s="35" t="n"/>
      <c r="H16" s="25" t="n"/>
      <c r="I16" s="25" t="n"/>
      <c r="J16" s="25" t="n"/>
      <c r="K16" s="25" t="n"/>
      <c r="L16" s="25">
        <f>IF(OR(H16="",I16=""),"",(H16*2)+I16+J16+K16)</f>
        <v/>
      </c>
    </row>
    <row r="17" ht="22" customHeight="1">
      <c r="B17" s="19">
        <f>IF(C17="","CTU-"&amp;TEXT(COUNTA($C$5:C17),"000"))</f>
        <v/>
      </c>
      <c r="C17" s="15" t="n"/>
      <c r="D17" s="15" t="n"/>
      <c r="E17" s="15" t="n"/>
      <c r="F17" s="15" t="n"/>
      <c r="G17" s="34" t="n"/>
      <c r="H17" s="22" t="n"/>
      <c r="I17" s="22" t="n"/>
      <c r="J17" s="22" t="n"/>
      <c r="K17" s="22" t="n"/>
      <c r="L17" s="22">
        <f>IF(OR(H17="",I17=""),"",(H17*2)+I17+J17+K17)</f>
        <v/>
      </c>
    </row>
    <row r="18" ht="22" customHeight="1">
      <c r="B18" s="20">
        <f>IF(C18="","CTU-"&amp;TEXT(COUNTA($C$5:C18),"000"))</f>
        <v/>
      </c>
      <c r="C18" s="17" t="n"/>
      <c r="D18" s="17" t="n"/>
      <c r="E18" s="17" t="n"/>
      <c r="F18" s="17" t="n"/>
      <c r="G18" s="35" t="n"/>
      <c r="H18" s="25" t="n"/>
      <c r="I18" s="25" t="n"/>
      <c r="J18" s="25" t="n"/>
      <c r="K18" s="25" t="n"/>
      <c r="L18" s="25">
        <f>IF(OR(H18="",I18=""),"",(H18*2)+I18+J18+K18)</f>
        <v/>
      </c>
    </row>
    <row r="19" ht="22" customHeight="1">
      <c r="B19" s="19">
        <f>IF(C19="","CTU-"&amp;TEXT(COUNTA($C$5:C19),"000"))</f>
        <v/>
      </c>
      <c r="C19" s="15" t="n"/>
      <c r="D19" s="15" t="n"/>
      <c r="E19" s="15" t="n"/>
      <c r="F19" s="15" t="n"/>
      <c r="G19" s="34" t="n"/>
      <c r="H19" s="22" t="n"/>
      <c r="I19" s="22" t="n"/>
      <c r="J19" s="22" t="n"/>
      <c r="K19" s="22" t="n"/>
      <c r="L19" s="22">
        <f>IF(OR(H19="",I19=""),"",(H19*2)+I19+J19+K19)</f>
        <v/>
      </c>
    </row>
    <row r="20" ht="22" customHeight="1">
      <c r="B20" s="20">
        <f>IF(C20="","CTU-"&amp;TEXT(COUNTA($C$5:C20),"000"))</f>
        <v/>
      </c>
      <c r="C20" s="17" t="n"/>
      <c r="D20" s="17" t="n"/>
      <c r="E20" s="17" t="n"/>
      <c r="F20" s="17" t="n"/>
      <c r="G20" s="35" t="n"/>
      <c r="H20" s="25" t="n"/>
      <c r="I20" s="25" t="n"/>
      <c r="J20" s="25" t="n"/>
      <c r="K20" s="25" t="n"/>
      <c r="L20" s="25">
        <f>IF(OR(H20="",I20=""),"",(H20*2)+I20+J20+K20)</f>
        <v/>
      </c>
    </row>
    <row r="21" ht="22" customHeight="1">
      <c r="B21" s="19">
        <f>IF(C21="","CTU-"&amp;TEXT(COUNTA($C$5:C21),"000"))</f>
        <v/>
      </c>
      <c r="C21" s="15" t="n"/>
      <c r="D21" s="15" t="n"/>
      <c r="E21" s="15" t="n"/>
      <c r="F21" s="15" t="n"/>
      <c r="G21" s="34" t="n"/>
      <c r="H21" s="22" t="n"/>
      <c r="I21" s="22" t="n"/>
      <c r="J21" s="22" t="n"/>
      <c r="K21" s="22" t="n"/>
      <c r="L21" s="22">
        <f>IF(OR(H21="",I21=""),"",(H21*2)+I21+J21+K21)</f>
        <v/>
      </c>
    </row>
    <row r="22" ht="22" customHeight="1">
      <c r="B22" s="20">
        <f>IF(C22="","CTU-"&amp;TEXT(COUNTA($C$5:C22),"000"))</f>
        <v/>
      </c>
      <c r="C22" s="17" t="n"/>
      <c r="D22" s="17" t="n"/>
      <c r="E22" s="17" t="n"/>
      <c r="F22" s="17" t="n"/>
      <c r="G22" s="35" t="n"/>
      <c r="H22" s="25" t="n"/>
      <c r="I22" s="25" t="n"/>
      <c r="J22" s="25" t="n"/>
      <c r="K22" s="25" t="n"/>
      <c r="L22" s="25">
        <f>IF(OR(H22="",I22=""),"",(H22*2)+I22+J22+K22)</f>
        <v/>
      </c>
    </row>
    <row r="23" ht="22" customHeight="1">
      <c r="B23" s="19">
        <f>IF(C23="","CTU-"&amp;TEXT(COUNTA($C$5:C23),"000"))</f>
        <v/>
      </c>
      <c r="C23" s="15" t="n"/>
      <c r="D23" s="15" t="n"/>
      <c r="E23" s="15" t="n"/>
      <c r="F23" s="15" t="n"/>
      <c r="G23" s="34" t="n"/>
      <c r="H23" s="22" t="n"/>
      <c r="I23" s="22" t="n"/>
      <c r="J23" s="22" t="n"/>
      <c r="K23" s="22" t="n"/>
      <c r="L23" s="22">
        <f>IF(OR(H23="",I23=""),"",(H23*2)+I23+J23+K23)</f>
        <v/>
      </c>
    </row>
    <row r="24" ht="22" customHeight="1">
      <c r="B24" s="20">
        <f>IF(C24="","CTU-"&amp;TEXT(COUNTA($C$5:C24),"000"))</f>
        <v/>
      </c>
      <c r="C24" s="17" t="n"/>
      <c r="D24" s="17" t="n"/>
      <c r="E24" s="17" t="n"/>
      <c r="F24" s="17" t="n"/>
      <c r="G24" s="35" t="n"/>
      <c r="H24" s="25" t="n"/>
      <c r="I24" s="25" t="n"/>
      <c r="J24" s="25" t="n"/>
      <c r="K24" s="25" t="n"/>
      <c r="L24" s="25">
        <f>IF(OR(H24="",I24=""),"",(H24*2)+I24+J24+K24)</f>
        <v/>
      </c>
    </row>
    <row r="25" ht="22" customHeight="1">
      <c r="B25" s="19">
        <f>IF(C25="","CTU-"&amp;TEXT(COUNTA($C$5:C25),"000"))</f>
        <v/>
      </c>
      <c r="C25" s="15" t="n"/>
      <c r="D25" s="15" t="n"/>
      <c r="E25" s="15" t="n"/>
      <c r="F25" s="15" t="n"/>
      <c r="G25" s="34" t="n"/>
      <c r="H25" s="22" t="n"/>
      <c r="I25" s="22" t="n"/>
      <c r="J25" s="22" t="n"/>
      <c r="K25" s="22" t="n"/>
      <c r="L25" s="22">
        <f>IF(OR(H25="",I25=""),"",(H25*2)+I25+J25+K25)</f>
        <v/>
      </c>
    </row>
    <row r="26" ht="22" customHeight="1">
      <c r="B26" s="20">
        <f>IF(C26="","CTU-"&amp;TEXT(COUNTA($C$5:C26),"000"))</f>
        <v/>
      </c>
      <c r="C26" s="17" t="n"/>
      <c r="D26" s="17" t="n"/>
      <c r="E26" s="17" t="n"/>
      <c r="F26" s="17" t="n"/>
      <c r="G26" s="35" t="n"/>
      <c r="H26" s="25" t="n"/>
      <c r="I26" s="25" t="n"/>
      <c r="J26" s="25" t="n"/>
      <c r="K26" s="25" t="n"/>
      <c r="L26" s="25">
        <f>IF(OR(H26="",I26=""),"",(H26*2)+I26+J26+K26)</f>
        <v/>
      </c>
    </row>
    <row r="27" ht="22" customHeight="1">
      <c r="B27" s="19">
        <f>IF(C27="","CTU-"&amp;TEXT(COUNTA($C$5:C27),"000"))</f>
        <v/>
      </c>
      <c r="C27" s="15" t="n"/>
      <c r="D27" s="15" t="n"/>
      <c r="E27" s="15" t="n"/>
      <c r="F27" s="15" t="n"/>
      <c r="G27" s="34" t="n"/>
      <c r="H27" s="22" t="n"/>
      <c r="I27" s="22" t="n"/>
      <c r="J27" s="22" t="n"/>
      <c r="K27" s="22" t="n"/>
      <c r="L27" s="22">
        <f>IF(OR(H27="",I27=""),"",(H27*2)+I27+J27+K27)</f>
        <v/>
      </c>
    </row>
    <row r="28" ht="22" customHeight="1">
      <c r="B28" s="20">
        <f>IF(C28="","CTU-"&amp;TEXT(COUNTA($C$5:C28),"000"))</f>
        <v/>
      </c>
      <c r="C28" s="17" t="n"/>
      <c r="D28" s="17" t="n"/>
      <c r="E28" s="17" t="n"/>
      <c r="F28" s="17" t="n"/>
      <c r="G28" s="35" t="n"/>
      <c r="H28" s="25" t="n"/>
      <c r="I28" s="25" t="n"/>
      <c r="J28" s="25" t="n"/>
      <c r="K28" s="25" t="n"/>
      <c r="L28" s="25">
        <f>IF(OR(H28="",I28=""),"",(H28*2)+I28+J28+K28)</f>
        <v/>
      </c>
    </row>
    <row r="29" ht="22" customHeight="1">
      <c r="B29" s="19">
        <f>IF(C29="","CTU-"&amp;TEXT(COUNTA($C$5:C29),"000"))</f>
        <v/>
      </c>
      <c r="C29" s="15" t="n"/>
      <c r="D29" s="15" t="n"/>
      <c r="E29" s="15" t="n"/>
      <c r="F29" s="15" t="n"/>
      <c r="G29" s="34" t="n"/>
      <c r="H29" s="22" t="n"/>
      <c r="I29" s="22" t="n"/>
      <c r="J29" s="22" t="n"/>
      <c r="K29" s="22" t="n"/>
      <c r="L29" s="22">
        <f>IF(OR(H29="",I29=""),"",(H29*2)+I29+J29+K29)</f>
        <v/>
      </c>
    </row>
    <row r="30" ht="22" customHeight="1">
      <c r="B30" s="20">
        <f>IF(C30="","CTU-"&amp;TEXT(COUNTA($C$5:C30),"000"))</f>
        <v/>
      </c>
      <c r="C30" s="17" t="n"/>
      <c r="D30" s="17" t="n"/>
      <c r="E30" s="17" t="n"/>
      <c r="F30" s="17" t="n"/>
      <c r="G30" s="35" t="n"/>
      <c r="H30" s="25" t="n"/>
      <c r="I30" s="25" t="n"/>
      <c r="J30" s="25" t="n"/>
      <c r="K30" s="25" t="n"/>
      <c r="L30" s="25">
        <f>IF(OR(H30="",I30=""),"",(H30*2)+I30+J30+K30)</f>
        <v/>
      </c>
    </row>
    <row r="31" ht="22" customHeight="1">
      <c r="B31" s="19">
        <f>IF(C31="","CTU-"&amp;TEXT(COUNTA($C$5:C31),"000"))</f>
        <v/>
      </c>
      <c r="C31" s="15" t="n"/>
      <c r="D31" s="15" t="n"/>
      <c r="E31" s="15" t="n"/>
      <c r="F31" s="15" t="n"/>
      <c r="G31" s="34" t="n"/>
      <c r="H31" s="22" t="n"/>
      <c r="I31" s="22" t="n"/>
      <c r="J31" s="22" t="n"/>
      <c r="K31" s="22" t="n"/>
      <c r="L31" s="22">
        <f>IF(OR(H31="",I31=""),"",(H31*2)+I31+J31+K31)</f>
        <v/>
      </c>
    </row>
    <row r="32" ht="22" customHeight="1">
      <c r="B32" s="20">
        <f>IF(C32="","CTU-"&amp;TEXT(COUNTA($C$5:C32),"000"))</f>
        <v/>
      </c>
      <c r="C32" s="17" t="n"/>
      <c r="D32" s="17" t="n"/>
      <c r="E32" s="17" t="n"/>
      <c r="F32" s="17" t="n"/>
      <c r="G32" s="35" t="n"/>
      <c r="H32" s="25" t="n"/>
      <c r="I32" s="25" t="n"/>
      <c r="J32" s="25" t="n"/>
      <c r="K32" s="25" t="n"/>
      <c r="L32" s="25">
        <f>IF(OR(H32="",I32=""),"",(H32*2)+I32+J32+K32)</f>
        <v/>
      </c>
    </row>
    <row r="33" ht="22" customHeight="1">
      <c r="B33" s="19">
        <f>IF(C33="","CTU-"&amp;TEXT(COUNTA($C$5:C33),"000"))</f>
        <v/>
      </c>
      <c r="C33" s="15" t="n"/>
      <c r="D33" s="15" t="n"/>
      <c r="E33" s="15" t="n"/>
      <c r="F33" s="15" t="n"/>
      <c r="G33" s="34" t="n"/>
      <c r="H33" s="22" t="n"/>
      <c r="I33" s="22" t="n"/>
      <c r="J33" s="22" t="n"/>
      <c r="K33" s="22" t="n"/>
      <c r="L33" s="22">
        <f>IF(OR(H33="",I33=""),"",(H33*2)+I33+J33+K33)</f>
        <v/>
      </c>
    </row>
    <row r="34" ht="22" customHeight="1">
      <c r="B34" s="20">
        <f>IF(C34="","CTU-"&amp;TEXT(COUNTA($C$5:C34),"000"))</f>
        <v/>
      </c>
      <c r="C34" s="17" t="n"/>
      <c r="D34" s="17" t="n"/>
      <c r="E34" s="17" t="n"/>
      <c r="F34" s="17" t="n"/>
      <c r="G34" s="35" t="n"/>
      <c r="H34" s="25" t="n"/>
      <c r="I34" s="25" t="n"/>
      <c r="J34" s="25" t="n"/>
      <c r="K34" s="25" t="n"/>
      <c r="L34" s="25">
        <f>IF(OR(H34="",I34=""),"",(H34*2)+I34+J34+K34)</f>
        <v/>
      </c>
    </row>
    <row r="35" ht="22" customHeight="1">
      <c r="B35" s="19">
        <f>IF(C35="","CTU-"&amp;TEXT(COUNTA($C$5:C35),"000"))</f>
        <v/>
      </c>
      <c r="C35" s="15" t="n"/>
      <c r="D35" s="15" t="n"/>
      <c r="E35" s="15" t="n"/>
      <c r="F35" s="15" t="n"/>
      <c r="G35" s="34" t="n"/>
      <c r="H35" s="22" t="n"/>
      <c r="I35" s="22" t="n"/>
      <c r="J35" s="22" t="n"/>
      <c r="K35" s="22" t="n"/>
      <c r="L35" s="22">
        <f>IF(OR(H35="",I35=""),"",(H35*2)+I35+J35+K35)</f>
        <v/>
      </c>
    </row>
    <row r="36" ht="22" customHeight="1">
      <c r="B36" s="20">
        <f>IF(C36="","CTU-"&amp;TEXT(COUNTA($C$5:C36),"000"))</f>
        <v/>
      </c>
      <c r="C36" s="17" t="n"/>
      <c r="D36" s="17" t="n"/>
      <c r="E36" s="17" t="n"/>
      <c r="F36" s="17" t="n"/>
      <c r="G36" s="35" t="n"/>
      <c r="H36" s="25" t="n"/>
      <c r="I36" s="25" t="n"/>
      <c r="J36" s="25" t="n"/>
      <c r="K36" s="25" t="n"/>
      <c r="L36" s="25">
        <f>IF(OR(H36="",I36=""),"",(H36*2)+I36+J36+K36)</f>
        <v/>
      </c>
    </row>
    <row r="37" ht="22" customHeight="1">
      <c r="B37" s="19">
        <f>IF(C37="","CTU-"&amp;TEXT(COUNTA($C$5:C37),"000"))</f>
        <v/>
      </c>
      <c r="C37" s="15" t="n"/>
      <c r="D37" s="15" t="n"/>
      <c r="E37" s="15" t="n"/>
      <c r="F37" s="15" t="n"/>
      <c r="G37" s="34" t="n"/>
      <c r="H37" s="22" t="n"/>
      <c r="I37" s="22" t="n"/>
      <c r="J37" s="22" t="n"/>
      <c r="K37" s="22" t="n"/>
      <c r="L37" s="22">
        <f>IF(OR(H37="",I37=""),"",(H37*2)+I37+J37+K37)</f>
        <v/>
      </c>
    </row>
    <row r="38" ht="22" customHeight="1">
      <c r="B38" s="20">
        <f>IF(C38="","CTU-"&amp;TEXT(COUNTA($C$5:C38),"000"))</f>
        <v/>
      </c>
      <c r="C38" s="17" t="n"/>
      <c r="D38" s="17" t="n"/>
      <c r="E38" s="17" t="n"/>
      <c r="F38" s="17" t="n"/>
      <c r="G38" s="35" t="n"/>
      <c r="H38" s="25" t="n"/>
      <c r="I38" s="25" t="n"/>
      <c r="J38" s="25" t="n"/>
      <c r="K38" s="25" t="n"/>
      <c r="L38" s="25">
        <f>IF(OR(H38="",I38=""),"",(H38*2)+I38+J38+K38)</f>
        <v/>
      </c>
    </row>
    <row r="39" ht="22" customHeight="1">
      <c r="B39" s="19">
        <f>IF(C39="","CTU-"&amp;TEXT(COUNTA($C$5:C39),"000"))</f>
        <v/>
      </c>
      <c r="C39" s="15" t="n"/>
      <c r="D39" s="15" t="n"/>
      <c r="E39" s="15" t="n"/>
      <c r="F39" s="15" t="n"/>
      <c r="G39" s="34" t="n"/>
      <c r="H39" s="22" t="n"/>
      <c r="I39" s="22" t="n"/>
      <c r="J39" s="22" t="n"/>
      <c r="K39" s="22" t="n"/>
      <c r="L39" s="22">
        <f>IF(OR(H39="",I39=""),"",(H39*2)+I39+J39+K39)</f>
        <v/>
      </c>
    </row>
    <row r="40" ht="22" customHeight="1">
      <c r="B40" s="20">
        <f>IF(C40="","CTU-"&amp;TEXT(COUNTA($C$5:C40),"000"))</f>
        <v/>
      </c>
      <c r="C40" s="17" t="n"/>
      <c r="D40" s="17" t="n"/>
      <c r="E40" s="17" t="n"/>
      <c r="F40" s="17" t="n"/>
      <c r="G40" s="35" t="n"/>
      <c r="H40" s="25" t="n"/>
      <c r="I40" s="25" t="n"/>
      <c r="J40" s="25" t="n"/>
      <c r="K40" s="25" t="n"/>
      <c r="L40" s="25">
        <f>IF(OR(H40="",I40=""),"",(H40*2)+I40+J40+K40)</f>
        <v/>
      </c>
    </row>
    <row r="41" ht="22" customHeight="1">
      <c r="B41" s="19">
        <f>IF(C41="","CTU-"&amp;TEXT(COUNTA($C$5:C41),"000"))</f>
        <v/>
      </c>
      <c r="C41" s="15" t="n"/>
      <c r="D41" s="15" t="n"/>
      <c r="E41" s="15" t="n"/>
      <c r="F41" s="15" t="n"/>
      <c r="G41" s="34" t="n"/>
      <c r="H41" s="22" t="n"/>
      <c r="I41" s="22" t="n"/>
      <c r="J41" s="22" t="n"/>
      <c r="K41" s="22" t="n"/>
      <c r="L41" s="22">
        <f>IF(OR(H41="",I41=""),"",(H41*2)+I41+J41+K41)</f>
        <v/>
      </c>
    </row>
    <row r="42" ht="22" customHeight="1">
      <c r="B42" s="20">
        <f>IF(C42="","CTU-"&amp;TEXT(COUNTA($C$5:C42),"000"))</f>
        <v/>
      </c>
      <c r="C42" s="17" t="n"/>
      <c r="D42" s="17" t="n"/>
      <c r="E42" s="17" t="n"/>
      <c r="F42" s="17" t="n"/>
      <c r="G42" s="35" t="n"/>
      <c r="H42" s="25" t="n"/>
      <c r="I42" s="25" t="n"/>
      <c r="J42" s="25" t="n"/>
      <c r="K42" s="25" t="n"/>
      <c r="L42" s="25">
        <f>IF(OR(H42="",I42=""),"",(H42*2)+I42+J42+K42)</f>
        <v/>
      </c>
    </row>
    <row r="43" ht="22" customHeight="1">
      <c r="B43" s="19">
        <f>IF(C43="","CTU-"&amp;TEXT(COUNTA($C$5:C43),"000"))</f>
        <v/>
      </c>
      <c r="C43" s="15" t="n"/>
      <c r="D43" s="15" t="n"/>
      <c r="E43" s="15" t="n"/>
      <c r="F43" s="15" t="n"/>
      <c r="G43" s="34" t="n"/>
      <c r="H43" s="22" t="n"/>
      <c r="I43" s="22" t="n"/>
      <c r="J43" s="22" t="n"/>
      <c r="K43" s="22" t="n"/>
      <c r="L43" s="22">
        <f>IF(OR(H43="",I43=""),"",(H43*2)+I43+J43+K43)</f>
        <v/>
      </c>
    </row>
    <row r="44" ht="22" customHeight="1">
      <c r="B44" s="20">
        <f>IF(C44="","CTU-"&amp;TEXT(COUNTA($C$5:C44),"000"))</f>
        <v/>
      </c>
      <c r="C44" s="17" t="n"/>
      <c r="D44" s="17" t="n"/>
      <c r="E44" s="17" t="n"/>
      <c r="F44" s="17" t="n"/>
      <c r="G44" s="35" t="n"/>
      <c r="H44" s="25" t="n"/>
      <c r="I44" s="25" t="n"/>
      <c r="J44" s="25" t="n"/>
      <c r="K44" s="25" t="n"/>
      <c r="L44" s="25">
        <f>IF(OR(H44="",I44=""),"",(H44*2)+I44+J44+K44)</f>
        <v/>
      </c>
    </row>
    <row r="45" ht="22" customHeight="1">
      <c r="B45" s="19">
        <f>IF(C45="","CTU-"&amp;TEXT(COUNTA($C$5:C45),"000"))</f>
        <v/>
      </c>
      <c r="C45" s="15" t="n"/>
      <c r="D45" s="15" t="n"/>
      <c r="E45" s="15" t="n"/>
      <c r="F45" s="15" t="n"/>
      <c r="G45" s="34" t="n"/>
      <c r="H45" s="22" t="n"/>
      <c r="I45" s="22" t="n"/>
      <c r="J45" s="22" t="n"/>
      <c r="K45" s="22" t="n"/>
      <c r="L45" s="22">
        <f>IF(OR(H45="",I45=""),"",(H45*2)+I45+J45+K45)</f>
        <v/>
      </c>
    </row>
    <row r="46" ht="22" customHeight="1">
      <c r="B46" s="20">
        <f>IF(C46="","CTU-"&amp;TEXT(COUNTA($C$5:C46),"000"))</f>
        <v/>
      </c>
      <c r="C46" s="17" t="n"/>
      <c r="D46" s="17" t="n"/>
      <c r="E46" s="17" t="n"/>
      <c r="F46" s="17" t="n"/>
      <c r="G46" s="35" t="n"/>
      <c r="H46" s="25" t="n"/>
      <c r="I46" s="25" t="n"/>
      <c r="J46" s="25" t="n"/>
      <c r="K46" s="25" t="n"/>
      <c r="L46" s="25">
        <f>IF(OR(H46="",I46=""),"",(H46*2)+I46+J46+K46)</f>
        <v/>
      </c>
    </row>
    <row r="47" ht="22" customHeight="1">
      <c r="B47" s="19">
        <f>IF(C47="","CTU-"&amp;TEXT(COUNTA($C$5:C47),"000"))</f>
        <v/>
      </c>
      <c r="C47" s="15" t="n"/>
      <c r="D47" s="15" t="n"/>
      <c r="E47" s="15" t="n"/>
      <c r="F47" s="15" t="n"/>
      <c r="G47" s="34" t="n"/>
      <c r="H47" s="22" t="n"/>
      <c r="I47" s="22" t="n"/>
      <c r="J47" s="22" t="n"/>
      <c r="K47" s="22" t="n"/>
      <c r="L47" s="22">
        <f>IF(OR(H47="",I47=""),"",(H47*2)+I47+J47+K47)</f>
        <v/>
      </c>
    </row>
    <row r="48" ht="22" customHeight="1">
      <c r="B48" s="20">
        <f>IF(C48="","CTU-"&amp;TEXT(COUNTA($C$5:C48),"000"))</f>
        <v/>
      </c>
      <c r="C48" s="17" t="n"/>
      <c r="D48" s="17" t="n"/>
      <c r="E48" s="17" t="n"/>
      <c r="F48" s="17" t="n"/>
      <c r="G48" s="35" t="n"/>
      <c r="H48" s="25" t="n"/>
      <c r="I48" s="25" t="n"/>
      <c r="J48" s="25" t="n"/>
      <c r="K48" s="25" t="n"/>
      <c r="L48" s="25">
        <f>IF(OR(H48="",I48=""),"",(H48*2)+I48+J48+K48)</f>
        <v/>
      </c>
    </row>
    <row r="49" ht="22" customHeight="1">
      <c r="B49" s="19">
        <f>IF(C49="","CTU-"&amp;TEXT(COUNTA($C$5:C49),"000"))</f>
        <v/>
      </c>
      <c r="C49" s="15" t="n"/>
      <c r="D49" s="15" t="n"/>
      <c r="E49" s="15" t="n"/>
      <c r="F49" s="15" t="n"/>
      <c r="G49" s="34" t="n"/>
      <c r="H49" s="22" t="n"/>
      <c r="I49" s="22" t="n"/>
      <c r="J49" s="22" t="n"/>
      <c r="K49" s="22" t="n"/>
      <c r="L49" s="22">
        <f>IF(OR(H49="",I49=""),"",(H49*2)+I49+J49+K49)</f>
        <v/>
      </c>
    </row>
    <row r="50" ht="22" customHeight="1">
      <c r="B50" s="20">
        <f>IF(C50="","CTU-"&amp;TEXT(COUNTA($C$5:C50),"000"))</f>
        <v/>
      </c>
      <c r="C50" s="17" t="n"/>
      <c r="D50" s="17" t="n"/>
      <c r="E50" s="17" t="n"/>
      <c r="F50" s="17" t="n"/>
      <c r="G50" s="35" t="n"/>
      <c r="H50" s="25" t="n"/>
      <c r="I50" s="25" t="n"/>
      <c r="J50" s="25" t="n"/>
      <c r="K50" s="25" t="n"/>
      <c r="L50" s="25">
        <f>IF(OR(H50="",I50=""),"",(H50*2)+I50+J50+K50)</f>
        <v/>
      </c>
    </row>
    <row r="51" ht="22" customHeight="1">
      <c r="B51" s="19">
        <f>IF(C51="","CTU-"&amp;TEXT(COUNTA($C$5:C51),"000"))</f>
        <v/>
      </c>
      <c r="C51" s="15" t="n"/>
      <c r="D51" s="15" t="n"/>
      <c r="E51" s="15" t="n"/>
      <c r="F51" s="15" t="n"/>
      <c r="G51" s="34" t="n"/>
      <c r="H51" s="22" t="n"/>
      <c r="I51" s="22" t="n"/>
      <c r="J51" s="22" t="n"/>
      <c r="K51" s="22" t="n"/>
      <c r="L51" s="22">
        <f>IF(OR(H51="",I51=""),"",(H51*2)+I51+J51+K51)</f>
        <v/>
      </c>
    </row>
    <row r="52" ht="22" customHeight="1">
      <c r="B52" s="20">
        <f>IF(C52="","CTU-"&amp;TEXT(COUNTA($C$5:C52),"000"))</f>
        <v/>
      </c>
      <c r="C52" s="17" t="n"/>
      <c r="D52" s="17" t="n"/>
      <c r="E52" s="17" t="n"/>
      <c r="F52" s="17" t="n"/>
      <c r="G52" s="35" t="n"/>
      <c r="H52" s="25" t="n"/>
      <c r="I52" s="25" t="n"/>
      <c r="J52" s="25" t="n"/>
      <c r="K52" s="25" t="n"/>
      <c r="L52" s="25">
        <f>IF(OR(H52="",I52=""),"",(H52*2)+I52+J52+K52)</f>
        <v/>
      </c>
    </row>
    <row r="53" ht="22" customHeight="1">
      <c r="B53" s="19">
        <f>IF(C53="","CTU-"&amp;TEXT(COUNTA($C$5:C53),"000"))</f>
        <v/>
      </c>
      <c r="C53" s="15" t="n"/>
      <c r="D53" s="15" t="n"/>
      <c r="E53" s="15" t="n"/>
      <c r="F53" s="15" t="n"/>
      <c r="G53" s="34" t="n"/>
      <c r="H53" s="22" t="n"/>
      <c r="I53" s="22" t="n"/>
      <c r="J53" s="22" t="n"/>
      <c r="K53" s="22" t="n"/>
      <c r="L53" s="22">
        <f>IF(OR(H53="",I53=""),"",(H53*2)+I53+J53+K53)</f>
        <v/>
      </c>
    </row>
    <row r="54" ht="22" customHeight="1">
      <c r="B54" s="20">
        <f>IF(C54="","CTU-"&amp;TEXT(COUNTA($C$5:C54),"000"))</f>
        <v/>
      </c>
      <c r="C54" s="17" t="n"/>
      <c r="D54" s="17" t="n"/>
      <c r="E54" s="17" t="n"/>
      <c r="F54" s="17" t="n"/>
      <c r="G54" s="35" t="n"/>
      <c r="H54" s="25" t="n"/>
      <c r="I54" s="25" t="n"/>
      <c r="J54" s="25" t="n"/>
      <c r="K54" s="25" t="n"/>
      <c r="L54" s="25">
        <f>IF(OR(H54="",I54=""),"",(H54*2)+I54+J54+K54)</f>
        <v/>
      </c>
    </row>
    <row r="55" ht="22" customHeight="1">
      <c r="B55" s="19">
        <f>IF(C55="","CTU-"&amp;TEXT(COUNTA($C$5:C55),"000"))</f>
        <v/>
      </c>
      <c r="C55" s="15" t="n"/>
      <c r="D55" s="15" t="n"/>
      <c r="E55" s="15" t="n"/>
      <c r="F55" s="15" t="n"/>
      <c r="G55" s="34" t="n"/>
      <c r="H55" s="22" t="n"/>
      <c r="I55" s="22" t="n"/>
      <c r="J55" s="22" t="n"/>
      <c r="K55" s="22" t="n"/>
      <c r="L55" s="22">
        <f>IF(OR(H55="",I55=""),"",(H55*2)+I55+J55+K55)</f>
        <v/>
      </c>
    </row>
    <row r="56" ht="22" customHeight="1">
      <c r="B56" s="20">
        <f>IF(C56="","CTU-"&amp;TEXT(COUNTA($C$5:C56),"000"))</f>
        <v/>
      </c>
      <c r="C56" s="17" t="n"/>
      <c r="D56" s="17" t="n"/>
      <c r="E56" s="17" t="n"/>
      <c r="F56" s="17" t="n"/>
      <c r="G56" s="35" t="n"/>
      <c r="H56" s="25" t="n"/>
      <c r="I56" s="25" t="n"/>
      <c r="J56" s="25" t="n"/>
      <c r="K56" s="25" t="n"/>
      <c r="L56" s="25">
        <f>IF(OR(H56="",I56=""),"",(H56*2)+I56+J56+K56)</f>
        <v/>
      </c>
    </row>
    <row r="57" ht="22" customHeight="1">
      <c r="B57" s="19">
        <f>IF(C57="","CTU-"&amp;TEXT(COUNTA($C$5:C57),"000"))</f>
        <v/>
      </c>
      <c r="C57" s="15" t="n"/>
      <c r="D57" s="15" t="n"/>
      <c r="E57" s="15" t="n"/>
      <c r="F57" s="15" t="n"/>
      <c r="G57" s="34" t="n"/>
      <c r="H57" s="22" t="n"/>
      <c r="I57" s="22" t="n"/>
      <c r="J57" s="22" t="n"/>
      <c r="K57" s="22" t="n"/>
      <c r="L57" s="22">
        <f>IF(OR(H57="",I57=""),"",(H57*2)+I57+J57+K57)</f>
        <v/>
      </c>
    </row>
    <row r="58" ht="22" customHeight="1">
      <c r="B58" s="20">
        <f>IF(C58="","CTU-"&amp;TEXT(COUNTA($C$5:C58),"000"))</f>
        <v/>
      </c>
      <c r="C58" s="17" t="n"/>
      <c r="D58" s="17" t="n"/>
      <c r="E58" s="17" t="n"/>
      <c r="F58" s="17" t="n"/>
      <c r="G58" s="35" t="n"/>
      <c r="H58" s="25" t="n"/>
      <c r="I58" s="25" t="n"/>
      <c r="J58" s="25" t="n"/>
      <c r="K58" s="25" t="n"/>
      <c r="L58" s="25">
        <f>IF(OR(H58="",I58=""),"",(H58*2)+I58+J58+K58)</f>
        <v/>
      </c>
    </row>
    <row r="59" ht="22" customHeight="1">
      <c r="B59" s="19">
        <f>IF(C59="","CTU-"&amp;TEXT(COUNTA($C$5:C59),"000"))</f>
        <v/>
      </c>
      <c r="C59" s="15" t="n"/>
      <c r="D59" s="15" t="n"/>
      <c r="E59" s="15" t="n"/>
      <c r="F59" s="15" t="n"/>
      <c r="G59" s="34" t="n"/>
      <c r="H59" s="22" t="n"/>
      <c r="I59" s="22" t="n"/>
      <c r="J59" s="22" t="n"/>
      <c r="K59" s="22" t="n"/>
      <c r="L59" s="22">
        <f>IF(OR(H59="",I59=""),"",(H59*2)+I59+J59+K59)</f>
        <v/>
      </c>
    </row>
    <row r="60" ht="22" customHeight="1">
      <c r="B60" s="20">
        <f>IF(C60="","CTU-"&amp;TEXT(COUNTA($C$5:C60),"000"))</f>
        <v/>
      </c>
      <c r="C60" s="17" t="n"/>
      <c r="D60" s="17" t="n"/>
      <c r="E60" s="17" t="n"/>
      <c r="F60" s="17" t="n"/>
      <c r="G60" s="35" t="n"/>
      <c r="H60" s="25" t="n"/>
      <c r="I60" s="25" t="n"/>
      <c r="J60" s="25" t="n"/>
      <c r="K60" s="25" t="n"/>
      <c r="L60" s="25">
        <f>IF(OR(H60="",I60=""),"",(H60*2)+I60+J60+K60)</f>
        <v/>
      </c>
    </row>
    <row r="61" ht="22" customHeight="1">
      <c r="B61" s="19">
        <f>IF(C61="","CTU-"&amp;TEXT(COUNTA($C$5:C61),"000"))</f>
        <v/>
      </c>
      <c r="C61" s="15" t="n"/>
      <c r="D61" s="15" t="n"/>
      <c r="E61" s="15" t="n"/>
      <c r="F61" s="15" t="n"/>
      <c r="G61" s="34" t="n"/>
      <c r="H61" s="22" t="n"/>
      <c r="I61" s="22" t="n"/>
      <c r="J61" s="22" t="n"/>
      <c r="K61" s="22" t="n"/>
      <c r="L61" s="22">
        <f>IF(OR(H61="",I61=""),"",(H61*2)+I61+J61+K61)</f>
        <v/>
      </c>
    </row>
    <row r="62" ht="22" customHeight="1">
      <c r="B62" s="20">
        <f>IF(C62="","CTU-"&amp;TEXT(COUNTA($C$5:C62),"000"))</f>
        <v/>
      </c>
      <c r="C62" s="17" t="n"/>
      <c r="D62" s="17" t="n"/>
      <c r="E62" s="17" t="n"/>
      <c r="F62" s="17" t="n"/>
      <c r="G62" s="35" t="n"/>
      <c r="H62" s="25" t="n"/>
      <c r="I62" s="25" t="n"/>
      <c r="J62" s="25" t="n"/>
      <c r="K62" s="25" t="n"/>
      <c r="L62" s="25">
        <f>IF(OR(H62="",I62=""),"",(H62*2)+I62+J62+K62)</f>
        <v/>
      </c>
    </row>
    <row r="63" ht="22" customHeight="1">
      <c r="B63" s="19">
        <f>IF(C63="","CTU-"&amp;TEXT(COUNTA($C$5:C63),"000"))</f>
        <v/>
      </c>
      <c r="C63" s="15" t="n"/>
      <c r="D63" s="15" t="n"/>
      <c r="E63" s="15" t="n"/>
      <c r="F63" s="15" t="n"/>
      <c r="G63" s="34" t="n"/>
      <c r="H63" s="22" t="n"/>
      <c r="I63" s="22" t="n"/>
      <c r="J63" s="22" t="n"/>
      <c r="K63" s="22" t="n"/>
      <c r="L63" s="22">
        <f>IF(OR(H63="",I63=""),"",(H63*2)+I63+J63+K63)</f>
        <v/>
      </c>
    </row>
    <row r="64" ht="22" customHeight="1">
      <c r="B64" s="20">
        <f>IF(C64="","CTU-"&amp;TEXT(COUNTA($C$5:C64),"000"))</f>
        <v/>
      </c>
      <c r="C64" s="17" t="n"/>
      <c r="D64" s="17" t="n"/>
      <c r="E64" s="17" t="n"/>
      <c r="F64" s="17" t="n"/>
      <c r="G64" s="35" t="n"/>
      <c r="H64" s="25" t="n"/>
      <c r="I64" s="25" t="n"/>
      <c r="J64" s="25" t="n"/>
      <c r="K64" s="25" t="n"/>
      <c r="L64" s="25">
        <f>IF(OR(H64="",I64=""),"",(H64*2)+I64+J64+K64)</f>
        <v/>
      </c>
    </row>
    <row r="65" ht="22" customHeight="1">
      <c r="B65" s="19">
        <f>IF(C65="","CTU-"&amp;TEXT(COUNTA($C$5:C65),"000"))</f>
        <v/>
      </c>
      <c r="C65" s="15" t="n"/>
      <c r="D65" s="15" t="n"/>
      <c r="E65" s="15" t="n"/>
      <c r="F65" s="15" t="n"/>
      <c r="G65" s="34" t="n"/>
      <c r="H65" s="22" t="n"/>
      <c r="I65" s="22" t="n"/>
      <c r="J65" s="22" t="n"/>
      <c r="K65" s="22" t="n"/>
      <c r="L65" s="22">
        <f>IF(OR(H65="",I65=""),"",(H65*2)+I65+J65+K65)</f>
        <v/>
      </c>
    </row>
    <row r="66" ht="22" customHeight="1">
      <c r="B66" s="20">
        <f>IF(C66="","CTU-"&amp;TEXT(COUNTA($C$5:C66),"000"))</f>
        <v/>
      </c>
      <c r="C66" s="17" t="n"/>
      <c r="D66" s="17" t="n"/>
      <c r="E66" s="17" t="n"/>
      <c r="F66" s="17" t="n"/>
      <c r="G66" s="35" t="n"/>
      <c r="H66" s="25" t="n"/>
      <c r="I66" s="25" t="n"/>
      <c r="J66" s="25" t="n"/>
      <c r="K66" s="25" t="n"/>
      <c r="L66" s="25">
        <f>IF(OR(H66="",I66=""),"",(H66*2)+I66+J66+K66)</f>
        <v/>
      </c>
    </row>
    <row r="67" ht="22" customHeight="1">
      <c r="B67" s="19">
        <f>IF(C67="","CTU-"&amp;TEXT(COUNTA($C$5:C67),"000"))</f>
        <v/>
      </c>
      <c r="C67" s="15" t="n"/>
      <c r="D67" s="15" t="n"/>
      <c r="E67" s="15" t="n"/>
      <c r="F67" s="15" t="n"/>
      <c r="G67" s="34" t="n"/>
      <c r="H67" s="22" t="n"/>
      <c r="I67" s="22" t="n"/>
      <c r="J67" s="22" t="n"/>
      <c r="K67" s="22" t="n"/>
      <c r="L67" s="22">
        <f>IF(OR(H67="",I67=""),"",(H67*2)+I67+J67+K67)</f>
        <v/>
      </c>
    </row>
    <row r="68" ht="22" customHeight="1">
      <c r="B68" s="20">
        <f>IF(C68="","CTU-"&amp;TEXT(COUNTA($C$5:C68),"000"))</f>
        <v/>
      </c>
      <c r="C68" s="17" t="n"/>
      <c r="D68" s="17" t="n"/>
      <c r="E68" s="17" t="n"/>
      <c r="F68" s="17" t="n"/>
      <c r="G68" s="35" t="n"/>
      <c r="H68" s="25" t="n"/>
      <c r="I68" s="25" t="n"/>
      <c r="J68" s="25" t="n"/>
      <c r="K68" s="25" t="n"/>
      <c r="L68" s="25">
        <f>IF(OR(H68="",I68=""),"",(H68*2)+I68+J68+K68)</f>
        <v/>
      </c>
    </row>
    <row r="69" ht="22" customHeight="1">
      <c r="B69" s="19">
        <f>IF(C69="","CTU-"&amp;TEXT(COUNTA($C$5:C69),"000"))</f>
        <v/>
      </c>
      <c r="C69" s="15" t="n"/>
      <c r="D69" s="15" t="n"/>
      <c r="E69" s="15" t="n"/>
      <c r="F69" s="15" t="n"/>
      <c r="G69" s="34" t="n"/>
      <c r="H69" s="22" t="n"/>
      <c r="I69" s="22" t="n"/>
      <c r="J69" s="22" t="n"/>
      <c r="K69" s="22" t="n"/>
      <c r="L69" s="22">
        <f>IF(OR(H69="",I69=""),"",(H69*2)+I69+J69+K69)</f>
        <v/>
      </c>
    </row>
    <row r="70" ht="22" customHeight="1">
      <c r="B70" s="20">
        <f>IF(C70="","CTU-"&amp;TEXT(COUNTA($C$5:C70),"000"))</f>
        <v/>
      </c>
      <c r="C70" s="17" t="n"/>
      <c r="D70" s="17" t="n"/>
      <c r="E70" s="17" t="n"/>
      <c r="F70" s="17" t="n"/>
      <c r="G70" s="35" t="n"/>
      <c r="H70" s="25" t="n"/>
      <c r="I70" s="25" t="n"/>
      <c r="J70" s="25" t="n"/>
      <c r="K70" s="25" t="n"/>
      <c r="L70" s="25">
        <f>IF(OR(H70="",I70=""),"",(H70*2)+I70+J70+K70)</f>
        <v/>
      </c>
    </row>
    <row r="71" ht="22" customHeight="1">
      <c r="B71" s="19">
        <f>IF(C71="","CTU-"&amp;TEXT(COUNTA($C$5:C71),"000"))</f>
        <v/>
      </c>
      <c r="C71" s="15" t="n"/>
      <c r="D71" s="15" t="n"/>
      <c r="E71" s="15" t="n"/>
      <c r="F71" s="15" t="n"/>
      <c r="G71" s="34" t="n"/>
      <c r="H71" s="22" t="n"/>
      <c r="I71" s="22" t="n"/>
      <c r="J71" s="22" t="n"/>
      <c r="K71" s="22" t="n"/>
      <c r="L71" s="22">
        <f>IF(OR(H71="",I71=""),"",(H71*2)+I71+J71+K71)</f>
        <v/>
      </c>
    </row>
    <row r="72" ht="22" customHeight="1">
      <c r="B72" s="20">
        <f>IF(C72="","CTU-"&amp;TEXT(COUNTA($C$5:C72),"000"))</f>
        <v/>
      </c>
      <c r="C72" s="17" t="n"/>
      <c r="D72" s="17" t="n"/>
      <c r="E72" s="17" t="n"/>
      <c r="F72" s="17" t="n"/>
      <c r="G72" s="35" t="n"/>
      <c r="H72" s="25" t="n"/>
      <c r="I72" s="25" t="n"/>
      <c r="J72" s="25" t="n"/>
      <c r="K72" s="25" t="n"/>
      <c r="L72" s="25">
        <f>IF(OR(H72="",I72=""),"",(H72*2)+I72+J72+K72)</f>
        <v/>
      </c>
    </row>
    <row r="73" ht="22" customHeight="1">
      <c r="B73" s="19">
        <f>IF(C73="","CTU-"&amp;TEXT(COUNTA($C$5:C73),"000"))</f>
        <v/>
      </c>
      <c r="C73" s="15" t="n"/>
      <c r="D73" s="15" t="n"/>
      <c r="E73" s="15" t="n"/>
      <c r="F73" s="15" t="n"/>
      <c r="G73" s="34" t="n"/>
      <c r="H73" s="22" t="n"/>
      <c r="I73" s="22" t="n"/>
      <c r="J73" s="22" t="n"/>
      <c r="K73" s="22" t="n"/>
      <c r="L73" s="22">
        <f>IF(OR(H73="",I73=""),"",(H73*2)+I73+J73+K73)</f>
        <v/>
      </c>
    </row>
    <row r="74" ht="22" customHeight="1">
      <c r="B74" s="20">
        <f>IF(C74="","CTU-"&amp;TEXT(COUNTA($C$5:C74),"000"))</f>
        <v/>
      </c>
      <c r="C74" s="17" t="n"/>
      <c r="D74" s="17" t="n"/>
      <c r="E74" s="17" t="n"/>
      <c r="F74" s="17" t="n"/>
      <c r="G74" s="35" t="n"/>
      <c r="H74" s="25" t="n"/>
      <c r="I74" s="25" t="n"/>
      <c r="J74" s="25" t="n"/>
      <c r="K74" s="25" t="n"/>
      <c r="L74" s="25">
        <f>IF(OR(H74="",I74=""),"",(H74*2)+I74+J74+K74)</f>
        <v/>
      </c>
    </row>
    <row r="75" ht="22" customHeight="1">
      <c r="B75" s="19">
        <f>IF(C75="","CTU-"&amp;TEXT(COUNTA($C$5:C75),"000"))</f>
        <v/>
      </c>
      <c r="C75" s="15" t="n"/>
      <c r="D75" s="15" t="n"/>
      <c r="E75" s="15" t="n"/>
      <c r="F75" s="15" t="n"/>
      <c r="G75" s="34" t="n"/>
      <c r="H75" s="22" t="n"/>
      <c r="I75" s="22" t="n"/>
      <c r="J75" s="22" t="n"/>
      <c r="K75" s="22" t="n"/>
      <c r="L75" s="22">
        <f>IF(OR(H75="",I75=""),"",(H75*2)+I75+J75+K75)</f>
        <v/>
      </c>
    </row>
    <row r="76" ht="22" customHeight="1">
      <c r="B76" s="20">
        <f>IF(C76="","CTU-"&amp;TEXT(COUNTA($C$5:C76),"000"))</f>
        <v/>
      </c>
      <c r="C76" s="17" t="n"/>
      <c r="D76" s="17" t="n"/>
      <c r="E76" s="17" t="n"/>
      <c r="F76" s="17" t="n"/>
      <c r="G76" s="35" t="n"/>
      <c r="H76" s="25" t="n"/>
      <c r="I76" s="25" t="n"/>
      <c r="J76" s="25" t="n"/>
      <c r="K76" s="25" t="n"/>
      <c r="L76" s="25">
        <f>IF(OR(H76="",I76=""),"",(H76*2)+I76+J76+K76)</f>
        <v/>
      </c>
    </row>
    <row r="77" ht="22" customHeight="1">
      <c r="B77" s="19">
        <f>IF(C77="","CTU-"&amp;TEXT(COUNTA($C$5:C77),"000"))</f>
        <v/>
      </c>
      <c r="C77" s="15" t="n"/>
      <c r="D77" s="15" t="n"/>
      <c r="E77" s="15" t="n"/>
      <c r="F77" s="15" t="n"/>
      <c r="G77" s="34" t="n"/>
      <c r="H77" s="22" t="n"/>
      <c r="I77" s="22" t="n"/>
      <c r="J77" s="22" t="n"/>
      <c r="K77" s="22" t="n"/>
      <c r="L77" s="22">
        <f>IF(OR(H77="",I77=""),"",(H77*2)+I77+J77+K77)</f>
        <v/>
      </c>
    </row>
    <row r="78" ht="22" customHeight="1">
      <c r="B78" s="20">
        <f>IF(C78="","CTU-"&amp;TEXT(COUNTA($C$5:C78),"000"))</f>
        <v/>
      </c>
      <c r="C78" s="17" t="n"/>
      <c r="D78" s="17" t="n"/>
      <c r="E78" s="17" t="n"/>
      <c r="F78" s="17" t="n"/>
      <c r="G78" s="35" t="n"/>
      <c r="H78" s="25" t="n"/>
      <c r="I78" s="25" t="n"/>
      <c r="J78" s="25" t="n"/>
      <c r="K78" s="25" t="n"/>
      <c r="L78" s="25">
        <f>IF(OR(H78="",I78=""),"",(H78*2)+I78+J78+K78)</f>
        <v/>
      </c>
    </row>
    <row r="79" ht="22" customHeight="1">
      <c r="B79" s="19">
        <f>IF(C79="","CTU-"&amp;TEXT(COUNTA($C$5:C79),"000"))</f>
        <v/>
      </c>
      <c r="C79" s="15" t="n"/>
      <c r="D79" s="15" t="n"/>
      <c r="E79" s="15" t="n"/>
      <c r="F79" s="15" t="n"/>
      <c r="G79" s="34" t="n"/>
      <c r="H79" s="22" t="n"/>
      <c r="I79" s="22" t="n"/>
      <c r="J79" s="22" t="n"/>
      <c r="K79" s="22" t="n"/>
      <c r="L79" s="22">
        <f>IF(OR(H79="",I79=""),"",(H79*2)+I79+J79+K79)</f>
        <v/>
      </c>
    </row>
    <row r="80" ht="22" customHeight="1">
      <c r="B80" s="20">
        <f>IF(C80="","CTU-"&amp;TEXT(COUNTA($C$5:C80),"000"))</f>
        <v/>
      </c>
      <c r="C80" s="17" t="n"/>
      <c r="D80" s="17" t="n"/>
      <c r="E80" s="17" t="n"/>
      <c r="F80" s="17" t="n"/>
      <c r="G80" s="35" t="n"/>
      <c r="H80" s="25" t="n"/>
      <c r="I80" s="25" t="n"/>
      <c r="J80" s="25" t="n"/>
      <c r="K80" s="25" t="n"/>
      <c r="L80" s="25">
        <f>IF(OR(H80="",I80=""),"",(H80*2)+I80+J80+K80)</f>
        <v/>
      </c>
    </row>
    <row r="81" ht="22" customHeight="1">
      <c r="B81" s="19">
        <f>IF(C81="","CTU-"&amp;TEXT(COUNTA($C$5:C81),"000"))</f>
        <v/>
      </c>
      <c r="C81" s="15" t="n"/>
      <c r="D81" s="15" t="n"/>
      <c r="E81" s="15" t="n"/>
      <c r="F81" s="15" t="n"/>
      <c r="G81" s="34" t="n"/>
      <c r="H81" s="22" t="n"/>
      <c r="I81" s="22" t="n"/>
      <c r="J81" s="22" t="n"/>
      <c r="K81" s="22" t="n"/>
      <c r="L81" s="22">
        <f>IF(OR(H81="",I81=""),"",(H81*2)+I81+J81+K81)</f>
        <v/>
      </c>
    </row>
    <row r="82" ht="22" customHeight="1">
      <c r="B82" s="20">
        <f>IF(C82="","CTU-"&amp;TEXT(COUNTA($C$5:C82),"000"))</f>
        <v/>
      </c>
      <c r="C82" s="17" t="n"/>
      <c r="D82" s="17" t="n"/>
      <c r="E82" s="17" t="n"/>
      <c r="F82" s="17" t="n"/>
      <c r="G82" s="35" t="n"/>
      <c r="H82" s="25" t="n"/>
      <c r="I82" s="25" t="n"/>
      <c r="J82" s="25" t="n"/>
      <c r="K82" s="25" t="n"/>
      <c r="L82" s="25">
        <f>IF(OR(H82="",I82=""),"",(H82*2)+I82+J82+K82)</f>
        <v/>
      </c>
    </row>
    <row r="83" ht="22" customHeight="1">
      <c r="B83" s="19">
        <f>IF(C83="","CTU-"&amp;TEXT(COUNTA($C$5:C83),"000"))</f>
        <v/>
      </c>
      <c r="C83" s="15" t="n"/>
      <c r="D83" s="15" t="n"/>
      <c r="E83" s="15" t="n"/>
      <c r="F83" s="15" t="n"/>
      <c r="G83" s="34" t="n"/>
      <c r="H83" s="22" t="n"/>
      <c r="I83" s="22" t="n"/>
      <c r="J83" s="22" t="n"/>
      <c r="K83" s="22" t="n"/>
      <c r="L83" s="22">
        <f>IF(OR(H83="",I83=""),"",(H83*2)+I83+J83+K83)</f>
        <v/>
      </c>
    </row>
    <row r="84" ht="22" customHeight="1">
      <c r="B84" s="20">
        <f>IF(C84="","CTU-"&amp;TEXT(COUNTA($C$5:C84),"000"))</f>
        <v/>
      </c>
      <c r="C84" s="17" t="n"/>
      <c r="D84" s="17" t="n"/>
      <c r="E84" s="17" t="n"/>
      <c r="F84" s="17" t="n"/>
      <c r="G84" s="35" t="n"/>
      <c r="H84" s="25" t="n"/>
      <c r="I84" s="25" t="n"/>
      <c r="J84" s="25" t="n"/>
      <c r="K84" s="25" t="n"/>
      <c r="L84" s="25">
        <f>IF(OR(H84="",I84=""),"",(H84*2)+I84+J84+K84)</f>
        <v/>
      </c>
    </row>
    <row r="85" ht="22" customHeight="1">
      <c r="B85" s="19">
        <f>IF(C85="","CTU-"&amp;TEXT(COUNTA($C$5:C85),"000"))</f>
        <v/>
      </c>
      <c r="C85" s="15" t="n"/>
      <c r="D85" s="15" t="n"/>
      <c r="E85" s="15" t="n"/>
      <c r="F85" s="15" t="n"/>
      <c r="G85" s="34" t="n"/>
      <c r="H85" s="22" t="n"/>
      <c r="I85" s="22" t="n"/>
      <c r="J85" s="22" t="n"/>
      <c r="K85" s="22" t="n"/>
      <c r="L85" s="22">
        <f>IF(OR(H85="",I85=""),"",(H85*2)+I85+J85+K85)</f>
        <v/>
      </c>
    </row>
    <row r="86" ht="22" customHeight="1">
      <c r="B86" s="20">
        <f>IF(C86="","CTU-"&amp;TEXT(COUNTA($C$5:C86),"000"))</f>
        <v/>
      </c>
      <c r="C86" s="17" t="n"/>
      <c r="D86" s="17" t="n"/>
      <c r="E86" s="17" t="n"/>
      <c r="F86" s="17" t="n"/>
      <c r="G86" s="35" t="n"/>
      <c r="H86" s="25" t="n"/>
      <c r="I86" s="25" t="n"/>
      <c r="J86" s="25" t="n"/>
      <c r="K86" s="25" t="n"/>
      <c r="L86" s="25">
        <f>IF(OR(H86="",I86=""),"",(H86*2)+I86+J86+K86)</f>
        <v/>
      </c>
    </row>
    <row r="87" ht="22" customHeight="1">
      <c r="B87" s="19">
        <f>IF(C87="","CTU-"&amp;TEXT(COUNTA($C$5:C87),"000"))</f>
        <v/>
      </c>
      <c r="C87" s="15" t="n"/>
      <c r="D87" s="15" t="n"/>
      <c r="E87" s="15" t="n"/>
      <c r="F87" s="15" t="n"/>
      <c r="G87" s="34" t="n"/>
      <c r="H87" s="22" t="n"/>
      <c r="I87" s="22" t="n"/>
      <c r="J87" s="22" t="n"/>
      <c r="K87" s="22" t="n"/>
      <c r="L87" s="22">
        <f>IF(OR(H87="",I87=""),"",(H87*2)+I87+J87+K87)</f>
        <v/>
      </c>
    </row>
    <row r="88" ht="22" customHeight="1">
      <c r="B88" s="20">
        <f>IF(C88="","CTU-"&amp;TEXT(COUNTA($C$5:C88),"000"))</f>
        <v/>
      </c>
      <c r="C88" s="17" t="n"/>
      <c r="D88" s="17" t="n"/>
      <c r="E88" s="17" t="n"/>
      <c r="F88" s="17" t="n"/>
      <c r="G88" s="35" t="n"/>
      <c r="H88" s="25" t="n"/>
      <c r="I88" s="25" t="n"/>
      <c r="J88" s="25" t="n"/>
      <c r="K88" s="25" t="n"/>
      <c r="L88" s="25">
        <f>IF(OR(H88="",I88=""),"",(H88*2)+I88+J88+K88)</f>
        <v/>
      </c>
    </row>
    <row r="89" ht="22" customHeight="1">
      <c r="B89" s="19">
        <f>IF(C89="","CTU-"&amp;TEXT(COUNTA($C$5:C89),"000"))</f>
        <v/>
      </c>
      <c r="C89" s="15" t="n"/>
      <c r="D89" s="15" t="n"/>
      <c r="E89" s="15" t="n"/>
      <c r="F89" s="15" t="n"/>
      <c r="G89" s="34" t="n"/>
      <c r="H89" s="22" t="n"/>
      <c r="I89" s="22" t="n"/>
      <c r="J89" s="22" t="n"/>
      <c r="K89" s="22" t="n"/>
      <c r="L89" s="22">
        <f>IF(OR(H89="",I89=""),"",(H89*2)+I89+J89+K89)</f>
        <v/>
      </c>
    </row>
    <row r="90" ht="22" customHeight="1">
      <c r="B90" s="20">
        <f>IF(C90="","CTU-"&amp;TEXT(COUNTA($C$5:C90),"000"))</f>
        <v/>
      </c>
      <c r="C90" s="17" t="n"/>
      <c r="D90" s="17" t="n"/>
      <c r="E90" s="17" t="n"/>
      <c r="F90" s="17" t="n"/>
      <c r="G90" s="35" t="n"/>
      <c r="H90" s="25" t="n"/>
      <c r="I90" s="25" t="n"/>
      <c r="J90" s="25" t="n"/>
      <c r="K90" s="25" t="n"/>
      <c r="L90" s="25">
        <f>IF(OR(H90="",I90=""),"",(H90*2)+I90+J90+K90)</f>
        <v/>
      </c>
    </row>
    <row r="91" ht="22" customHeight="1">
      <c r="B91" s="19">
        <f>IF(C91="","CTU-"&amp;TEXT(COUNTA($C$5:C91),"000"))</f>
        <v/>
      </c>
      <c r="C91" s="15" t="n"/>
      <c r="D91" s="15" t="n"/>
      <c r="E91" s="15" t="n"/>
      <c r="F91" s="15" t="n"/>
      <c r="G91" s="34" t="n"/>
      <c r="H91" s="22" t="n"/>
      <c r="I91" s="22" t="n"/>
      <c r="J91" s="22" t="n"/>
      <c r="K91" s="22" t="n"/>
      <c r="L91" s="22">
        <f>IF(OR(H91="",I91=""),"",(H91*2)+I91+J91+K91)</f>
        <v/>
      </c>
    </row>
    <row r="92" ht="22" customHeight="1">
      <c r="B92" s="20">
        <f>IF(C92="","CTU-"&amp;TEXT(COUNTA($C$5:C92),"000"))</f>
        <v/>
      </c>
      <c r="C92" s="17" t="n"/>
      <c r="D92" s="17" t="n"/>
      <c r="E92" s="17" t="n"/>
      <c r="F92" s="17" t="n"/>
      <c r="G92" s="35" t="n"/>
      <c r="H92" s="25" t="n"/>
      <c r="I92" s="25" t="n"/>
      <c r="J92" s="25" t="n"/>
      <c r="K92" s="25" t="n"/>
      <c r="L92" s="25">
        <f>IF(OR(H92="",I92=""),"",(H92*2)+I92+J92+K92)</f>
        <v/>
      </c>
    </row>
    <row r="93" ht="22" customHeight="1">
      <c r="B93" s="19">
        <f>IF(C93="","CTU-"&amp;TEXT(COUNTA($C$5:C93),"000"))</f>
        <v/>
      </c>
      <c r="C93" s="15" t="n"/>
      <c r="D93" s="15" t="n"/>
      <c r="E93" s="15" t="n"/>
      <c r="F93" s="15" t="n"/>
      <c r="G93" s="34" t="n"/>
      <c r="H93" s="22" t="n"/>
      <c r="I93" s="22" t="n"/>
      <c r="J93" s="22" t="n"/>
      <c r="K93" s="22" t="n"/>
      <c r="L93" s="22">
        <f>IF(OR(H93="",I93=""),"",(H93*2)+I93+J93+K93)</f>
        <v/>
      </c>
    </row>
    <row r="94" ht="22" customHeight="1">
      <c r="B94" s="20">
        <f>IF(C94="","CTU-"&amp;TEXT(COUNTA($C$5:C94),"000"))</f>
        <v/>
      </c>
      <c r="C94" s="17" t="n"/>
      <c r="D94" s="17" t="n"/>
      <c r="E94" s="17" t="n"/>
      <c r="F94" s="17" t="n"/>
      <c r="G94" s="35" t="n"/>
      <c r="H94" s="25" t="n"/>
      <c r="I94" s="25" t="n"/>
      <c r="J94" s="25" t="n"/>
      <c r="K94" s="25" t="n"/>
      <c r="L94" s="25">
        <f>IF(OR(H94="",I94=""),"",(H94*2)+I94+J94+K94)</f>
        <v/>
      </c>
    </row>
    <row r="95" ht="22" customHeight="1">
      <c r="B95" s="19">
        <f>IF(C95="","CTU-"&amp;TEXT(COUNTA($C$5:C95),"000"))</f>
        <v/>
      </c>
      <c r="C95" s="15" t="n"/>
      <c r="D95" s="15" t="n"/>
      <c r="E95" s="15" t="n"/>
      <c r="F95" s="15" t="n"/>
      <c r="G95" s="34" t="n"/>
      <c r="H95" s="22" t="n"/>
      <c r="I95" s="22" t="n"/>
      <c r="J95" s="22" t="n"/>
      <c r="K95" s="22" t="n"/>
      <c r="L95" s="22">
        <f>IF(OR(H95="",I95=""),"",(H95*2)+I95+J95+K95)</f>
        <v/>
      </c>
    </row>
    <row r="96" ht="22" customHeight="1">
      <c r="B96" s="20">
        <f>IF(C96="","CTU-"&amp;TEXT(COUNTA($C$5:C96),"000"))</f>
        <v/>
      </c>
      <c r="C96" s="17" t="n"/>
      <c r="D96" s="17" t="n"/>
      <c r="E96" s="17" t="n"/>
      <c r="F96" s="17" t="n"/>
      <c r="G96" s="35" t="n"/>
      <c r="H96" s="25" t="n"/>
      <c r="I96" s="25" t="n"/>
      <c r="J96" s="25" t="n"/>
      <c r="K96" s="25" t="n"/>
      <c r="L96" s="25">
        <f>IF(OR(H96="",I96=""),"",(H96*2)+I96+J96+K96)</f>
        <v/>
      </c>
    </row>
    <row r="97" ht="22" customHeight="1">
      <c r="B97" s="19">
        <f>IF(C97="","CTU-"&amp;TEXT(COUNTA($C$5:C97),"000"))</f>
        <v/>
      </c>
      <c r="C97" s="15" t="n"/>
      <c r="D97" s="15" t="n"/>
      <c r="E97" s="15" t="n"/>
      <c r="F97" s="15" t="n"/>
      <c r="G97" s="34" t="n"/>
      <c r="H97" s="22" t="n"/>
      <c r="I97" s="22" t="n"/>
      <c r="J97" s="22" t="n"/>
      <c r="K97" s="22" t="n"/>
      <c r="L97" s="22">
        <f>IF(OR(H97="",I97=""),"",(H97*2)+I97+J97+K97)</f>
        <v/>
      </c>
    </row>
    <row r="98" ht="22" customHeight="1">
      <c r="B98" s="20">
        <f>IF(C98="","CTU-"&amp;TEXT(COUNTA($C$5:C98),"000"))</f>
        <v/>
      </c>
      <c r="C98" s="17" t="n"/>
      <c r="D98" s="17" t="n"/>
      <c r="E98" s="17" t="n"/>
      <c r="F98" s="17" t="n"/>
      <c r="G98" s="35" t="n"/>
      <c r="H98" s="25" t="n"/>
      <c r="I98" s="25" t="n"/>
      <c r="J98" s="25" t="n"/>
      <c r="K98" s="25" t="n"/>
      <c r="L98" s="25">
        <f>IF(OR(H98="",I98=""),"",(H98*2)+I98+J98+K98)</f>
        <v/>
      </c>
    </row>
    <row r="99" ht="22" customHeight="1">
      <c r="B99" s="19">
        <f>IF(C99="","CTU-"&amp;TEXT(COUNTA($C$5:C99),"000"))</f>
        <v/>
      </c>
      <c r="C99" s="15" t="n"/>
      <c r="D99" s="15" t="n"/>
      <c r="E99" s="15" t="n"/>
      <c r="F99" s="15" t="n"/>
      <c r="G99" s="34" t="n"/>
      <c r="H99" s="22" t="n"/>
      <c r="I99" s="22" t="n"/>
      <c r="J99" s="22" t="n"/>
      <c r="K99" s="22" t="n"/>
      <c r="L99" s="22">
        <f>IF(OR(H99="",I99=""),"",(H99*2)+I99+J99+K99)</f>
        <v/>
      </c>
    </row>
    <row r="100" ht="22" customHeight="1">
      <c r="B100" s="20">
        <f>IF(C100="","CTU-"&amp;TEXT(COUNTA($C$5:C100),"000"))</f>
        <v/>
      </c>
      <c r="C100" s="17" t="n"/>
      <c r="D100" s="17" t="n"/>
      <c r="E100" s="17" t="n"/>
      <c r="F100" s="17" t="n"/>
      <c r="G100" s="35" t="n"/>
      <c r="H100" s="25" t="n"/>
      <c r="I100" s="25" t="n"/>
      <c r="J100" s="25" t="n"/>
      <c r="K100" s="25" t="n"/>
      <c r="L100" s="25">
        <f>IF(OR(H100="",I100=""),"",(H100*2)+I100+J100+K100)</f>
        <v/>
      </c>
    </row>
    <row r="101" ht="22" customHeight="1">
      <c r="B101" s="19">
        <f>IF(C101="","CTU-"&amp;TEXT(COUNTA($C$5:C101),"000"))</f>
        <v/>
      </c>
      <c r="C101" s="15" t="n"/>
      <c r="D101" s="15" t="n"/>
      <c r="E101" s="15" t="n"/>
      <c r="F101" s="15" t="n"/>
      <c r="G101" s="34" t="n"/>
      <c r="H101" s="22" t="n"/>
      <c r="I101" s="22" t="n"/>
      <c r="J101" s="22" t="n"/>
      <c r="K101" s="22" t="n"/>
      <c r="L101" s="22">
        <f>IF(OR(H101="",I101=""),"",(H101*2)+I101+J101+K101)</f>
        <v/>
      </c>
    </row>
    <row r="102" ht="22" customHeight="1">
      <c r="B102" s="20">
        <f>IF(C102="","CTU-"&amp;TEXT(COUNTA($C$5:C102),"000"))</f>
        <v/>
      </c>
      <c r="C102" s="17" t="n"/>
      <c r="D102" s="17" t="n"/>
      <c r="E102" s="17" t="n"/>
      <c r="F102" s="17" t="n"/>
      <c r="G102" s="35" t="n"/>
      <c r="H102" s="25" t="n"/>
      <c r="I102" s="25" t="n"/>
      <c r="J102" s="25" t="n"/>
      <c r="K102" s="25" t="n"/>
      <c r="L102" s="25">
        <f>IF(OR(H102="",I102=""),"",(H102*2)+I102+J102+K102)</f>
        <v/>
      </c>
    </row>
    <row r="103" ht="22" customHeight="1">
      <c r="B103" s="19">
        <f>IF(C103="","CTU-"&amp;TEXT(COUNTA($C$5:C103),"000"))</f>
        <v/>
      </c>
      <c r="C103" s="15" t="n"/>
      <c r="D103" s="15" t="n"/>
      <c r="E103" s="15" t="n"/>
      <c r="F103" s="15" t="n"/>
      <c r="G103" s="34" t="n"/>
      <c r="H103" s="22" t="n"/>
      <c r="I103" s="22" t="n"/>
      <c r="J103" s="22" t="n"/>
      <c r="K103" s="22" t="n"/>
      <c r="L103" s="22">
        <f>IF(OR(H103="",I103=""),"",(H103*2)+I103+J103+K103)</f>
        <v/>
      </c>
    </row>
    <row r="104" ht="22" customHeight="1">
      <c r="B104" s="20">
        <f>IF(C104="","CTU-"&amp;TEXT(COUNTA($C$5:C104),"000"))</f>
        <v/>
      </c>
      <c r="C104" s="17" t="n"/>
      <c r="D104" s="17" t="n"/>
      <c r="E104" s="17" t="n"/>
      <c r="F104" s="17" t="n"/>
      <c r="G104" s="35" t="n"/>
      <c r="H104" s="25" t="n"/>
      <c r="I104" s="25" t="n"/>
      <c r="J104" s="25" t="n"/>
      <c r="K104" s="25" t="n"/>
      <c r="L104" s="25">
        <f>IF(OR(H104="",I104=""),"",(H104*2)+I104+J104+K104)</f>
        <v/>
      </c>
    </row>
    <row r="105" ht="22" customHeight="1">
      <c r="B105" s="19">
        <f>IF(C105="","CTU-"&amp;TEXT(COUNTA($C$5:C105),"000"))</f>
        <v/>
      </c>
      <c r="C105" s="15" t="n"/>
      <c r="D105" s="15" t="n"/>
      <c r="E105" s="15" t="n"/>
      <c r="F105" s="15" t="n"/>
      <c r="G105" s="34" t="n"/>
      <c r="H105" s="22" t="n"/>
      <c r="I105" s="22" t="n"/>
      <c r="J105" s="22" t="n"/>
      <c r="K105" s="22" t="n"/>
      <c r="L105" s="22">
        <f>IF(OR(H105="",I105=""),"",(H105*2)+I105+J105+K105)</f>
        <v/>
      </c>
    </row>
    <row r="106" ht="22" customHeight="1">
      <c r="B106" s="20">
        <f>IF(C106="","CTU-"&amp;TEXT(COUNTA($C$5:C106),"000"))</f>
        <v/>
      </c>
      <c r="C106" s="17" t="n"/>
      <c r="D106" s="17" t="n"/>
      <c r="E106" s="17" t="n"/>
      <c r="F106" s="17" t="n"/>
      <c r="G106" s="35" t="n"/>
      <c r="H106" s="25" t="n"/>
      <c r="I106" s="25" t="n"/>
      <c r="J106" s="25" t="n"/>
      <c r="K106" s="25" t="n"/>
      <c r="L106" s="25">
        <f>IF(OR(H106="",I106=""),"",(H106*2)+I106+J106+K106)</f>
        <v/>
      </c>
    </row>
    <row r="107" ht="22" customHeight="1">
      <c r="B107" s="19">
        <f>IF(C107="","CTU-"&amp;TEXT(COUNTA($C$5:C107),"000"))</f>
        <v/>
      </c>
      <c r="C107" s="15" t="n"/>
      <c r="D107" s="15" t="n"/>
      <c r="E107" s="15" t="n"/>
      <c r="F107" s="15" t="n"/>
      <c r="G107" s="34" t="n"/>
      <c r="H107" s="22" t="n"/>
      <c r="I107" s="22" t="n"/>
      <c r="J107" s="22" t="n"/>
      <c r="K107" s="22" t="n"/>
      <c r="L107" s="22">
        <f>IF(OR(H107="",I107=""),"",(H107*2)+I107+J107+K107)</f>
        <v/>
      </c>
    </row>
    <row r="108" ht="22" customHeight="1">
      <c r="B108" s="20">
        <f>IF(C108="","CTU-"&amp;TEXT(COUNTA($C$5:C108),"000"))</f>
        <v/>
      </c>
      <c r="C108" s="17" t="n"/>
      <c r="D108" s="17" t="n"/>
      <c r="E108" s="17" t="n"/>
      <c r="F108" s="17" t="n"/>
      <c r="G108" s="35" t="n"/>
      <c r="H108" s="25" t="n"/>
      <c r="I108" s="25" t="n"/>
      <c r="J108" s="25" t="n"/>
      <c r="K108" s="25" t="n"/>
      <c r="L108" s="25">
        <f>IF(OR(H108="",I108=""),"",(H108*2)+I108+J108+K108)</f>
        <v/>
      </c>
    </row>
    <row r="110" ht="26" customHeight="1">
      <c r="B110" s="27" t="inlineStr">
        <is>
          <t>TOTAL</t>
        </is>
      </c>
      <c r="C110" s="28" t="n"/>
      <c r="D110" s="28" t="n"/>
      <c r="E110" s="28" t="n"/>
      <c r="F110" s="28" t="n"/>
      <c r="G110" s="28" t="n"/>
      <c r="H110" s="28" t="n"/>
      <c r="I110" s="29">
        <f>SUM(I5:I104)</f>
        <v/>
      </c>
      <c r="J110" s="29">
        <f>SUM(J5:J104)</f>
        <v/>
      </c>
      <c r="K110" s="29">
        <f>SUM(K5:K104)</f>
        <v/>
      </c>
      <c r="L110" s="29">
        <f>SUM(L5:L104)</f>
        <v/>
      </c>
    </row>
    <row r="112">
      <c r="B112" s="8" t="inlineStr">
        <is>
          <t>INDICATEURS (mis a jour automatiquement)</t>
        </is>
      </c>
    </row>
    <row r="113">
      <c r="B113" s="3" t="inlineStr">
        <is>
          <t>Departs suivis</t>
        </is>
      </c>
      <c r="D113" s="3" t="inlineStr">
        <is>
          <t>Cout total turnover</t>
        </is>
      </c>
      <c r="F113" s="3" t="inlineStr">
        <is>
          <t>Cout moyen / depart</t>
        </is>
      </c>
    </row>
    <row r="114">
      <c r="B114" s="4">
        <f>COUNTIF(B5:B104,"&lt;&gt;")</f>
        <v/>
      </c>
      <c r="D114" s="4">
        <f>SUM(L5:L104)</f>
        <v/>
      </c>
      <c r="F114" s="4">
        <f>IFERROR(SUM(L5:L104)/COUNTIF(B5:B104,"&lt;&gt;"),0)</f>
        <v/>
      </c>
    </row>
  </sheetData>
  <mergeCells count="3">
    <mergeCell ref="B2:L2"/>
    <mergeCell ref="B112:L112"/>
    <mergeCell ref="B3:L3"/>
  </mergeCells>
  <conditionalFormatting sqref="B9:B108">
    <cfRule type="expression" priority="1" dxfId="0">
      <formula>AND($C9="",$C8&lt;&gt;"")</formula>
    </cfRule>
  </conditionalFormatting>
  <conditionalFormatting sqref="C9:C108">
    <cfRule type="expression" priority="2" dxfId="0">
      <formula>AND($C9="",$C8&lt;&gt;"")</formula>
    </cfRule>
  </conditionalFormatting>
  <conditionalFormatting sqref="D9:D108">
    <cfRule type="expression" priority="3" dxfId="0">
      <formula>AND($C9="",$C8&lt;&gt;"")</formula>
    </cfRule>
  </conditionalFormatting>
  <conditionalFormatting sqref="E9:E108">
    <cfRule type="expression" priority="4" dxfId="0">
      <formula>AND($C9="",$C8&lt;&gt;"")</formula>
    </cfRule>
  </conditionalFormatting>
  <conditionalFormatting sqref="F9:F108">
    <cfRule type="expression" priority="5" dxfId="0">
      <formula>AND($C9="",$C8&lt;&gt;"")</formula>
    </cfRule>
  </conditionalFormatting>
  <conditionalFormatting sqref="G9:G108">
    <cfRule type="expression" priority="6" dxfId="0">
      <formula>AND($C9="",$C8&lt;&gt;"")</formula>
    </cfRule>
  </conditionalFormatting>
  <conditionalFormatting sqref="H9:H108">
    <cfRule type="expression" priority="7" dxfId="0">
      <formula>AND($C9="",$C8&lt;&gt;"")</formula>
    </cfRule>
  </conditionalFormatting>
  <conditionalFormatting sqref="I9:I108">
    <cfRule type="expression" priority="8" dxfId="0">
      <formula>AND($C9="",$C8&lt;&gt;"")</formula>
    </cfRule>
  </conditionalFormatting>
  <conditionalFormatting sqref="J9:J108">
    <cfRule type="expression" priority="9" dxfId="0">
      <formula>AND($C9="",$C8&lt;&gt;"")</formula>
    </cfRule>
  </conditionalFormatting>
  <conditionalFormatting sqref="K9:K108">
    <cfRule type="expression" priority="10" dxfId="0">
      <formula>AND($C9="",$C8&lt;&gt;"")</formula>
    </cfRule>
  </conditionalFormatting>
  <conditionalFormatting sqref="L9:L108">
    <cfRule type="expression" priority="11" dxfId="0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'_Lists'!$L$2:$L$9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4" customWidth="1" min="4" max="4"/>
    <col width="14" customWidth="1" min="5" max="5"/>
    <col width="18" customWidth="1" min="6" max="6"/>
    <col width="18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</cols>
  <sheetData>
    <row r="1" ht="15" customHeight="1"/>
    <row r="2" ht="32" customHeight="1">
      <c r="B2" s="1" t="inlineStr">
        <is>
          <t>SUIVI DELAI DE RECRUTEMENT (#141)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Poste</t>
        </is>
      </c>
      <c r="D4" s="14" t="inlineStr">
        <is>
          <t>Service</t>
        </is>
      </c>
      <c r="E4" s="14" t="inlineStr">
        <is>
          <t>Date Besoin</t>
        </is>
      </c>
      <c r="F4" s="14" t="inlineStr">
        <is>
          <t>Date Publication</t>
        </is>
      </c>
      <c r="G4" s="14" t="inlineStr">
        <is>
          <t>Date 1er Entretien</t>
        </is>
      </c>
      <c r="H4" s="14" t="inlineStr">
        <is>
          <t>Date Decision</t>
        </is>
      </c>
      <c r="I4" s="14" t="inlineStr">
        <is>
          <t>Date Prise de Poste</t>
        </is>
      </c>
      <c r="J4" s="14" t="inlineStr">
        <is>
          <t>Delai Total (j)</t>
        </is>
      </c>
      <c r="K4" s="14" t="inlineStr">
        <is>
          <t>Source Candidat</t>
        </is>
      </c>
      <c r="L4" s="14" t="inlineStr">
        <is>
          <t>Statut</t>
        </is>
      </c>
    </row>
    <row r="5" ht="22" customHeight="1">
      <c r="B5" s="15" t="inlineStr">
        <is>
          <t>DLR-001</t>
        </is>
      </c>
      <c r="C5" s="15" t="inlineStr">
        <is>
          <t>Receptionniste</t>
        </is>
      </c>
      <c r="D5" s="15" t="inlineStr">
        <is>
          <t>Réception &amp; Front Office</t>
        </is>
      </c>
      <c r="E5" s="34" t="n">
        <v>45717</v>
      </c>
      <c r="F5" s="34" t="n">
        <v>45721</v>
      </c>
      <c r="G5" s="34" t="n">
        <v>45734</v>
      </c>
      <c r="H5" s="34" t="n">
        <v>45741</v>
      </c>
      <c r="I5" s="34" t="n">
        <v>45748</v>
      </c>
      <c r="J5" s="21" t="n"/>
      <c r="K5" s="15" t="inlineStr">
        <is>
          <t>Site emploi</t>
        </is>
      </c>
      <c r="L5" s="15" t="inlineStr">
        <is>
          <t>Pourvu</t>
        </is>
      </c>
    </row>
    <row r="6" ht="22" customHeight="1">
      <c r="B6" s="17" t="inlineStr">
        <is>
          <t>DLR-002</t>
        </is>
      </c>
      <c r="C6" s="17" t="inlineStr">
        <is>
          <t>Chef Reception</t>
        </is>
      </c>
      <c r="D6" s="17" t="inlineStr">
        <is>
          <t>Réception &amp; Front Office</t>
        </is>
      </c>
      <c r="E6" s="35" t="n">
        <v>45703</v>
      </c>
      <c r="F6" s="35" t="n">
        <v>45708</v>
      </c>
      <c r="G6" s="35" t="n">
        <v>45726</v>
      </c>
      <c r="H6" s="35" t="n">
        <v>45736</v>
      </c>
      <c r="I6" s="35" t="n">
        <v>45748</v>
      </c>
      <c r="J6" s="24" t="n"/>
      <c r="K6" s="17" t="inlineStr">
        <is>
          <t>Recommandation</t>
        </is>
      </c>
      <c r="L6" s="17" t="inlineStr">
        <is>
          <t>Pourvu</t>
        </is>
      </c>
    </row>
    <row r="7" ht="22" customHeight="1">
      <c r="B7" s="15" t="inlineStr">
        <is>
          <t>DLR-003</t>
        </is>
      </c>
      <c r="C7" s="15" t="inlineStr">
        <is>
          <t>Cuisinier</t>
        </is>
      </c>
      <c r="D7" s="15" t="inlineStr">
        <is>
          <t>Cuisine &amp; Restauration</t>
        </is>
      </c>
      <c r="E7" s="34" t="n">
        <v>45778</v>
      </c>
      <c r="F7" s="34" t="n">
        <v>45782</v>
      </c>
      <c r="G7" s="34" t="n">
        <v>45797</v>
      </c>
      <c r="H7" s="34" t="n">
        <v>45809</v>
      </c>
      <c r="I7" s="34" t="n"/>
      <c r="J7" s="21" t="n"/>
      <c r="K7" s="15" t="inlineStr">
        <is>
          <t>Presse</t>
        </is>
      </c>
      <c r="L7" s="15" t="inlineStr">
        <is>
          <t>En cours</t>
        </is>
      </c>
    </row>
    <row r="8" ht="22" customHeight="1">
      <c r="B8" s="17" t="inlineStr">
        <is>
          <t>DLR-004</t>
        </is>
      </c>
      <c r="C8" s="17" t="inlineStr">
        <is>
          <t>Agent Securite</t>
        </is>
      </c>
      <c r="D8" s="17" t="inlineStr">
        <is>
          <t>Sécurité</t>
        </is>
      </c>
      <c r="E8" s="35" t="n">
        <v>45809</v>
      </c>
      <c r="F8" s="35" t="n">
        <v>45813</v>
      </c>
      <c r="G8" s="35" t="n">
        <v>45826</v>
      </c>
      <c r="H8" s="35" t="n"/>
      <c r="I8" s="35" t="n"/>
      <c r="J8" s="24" t="n"/>
      <c r="K8" s="17" t="inlineStr">
        <is>
          <t>Reseau social</t>
        </is>
      </c>
      <c r="L8" s="17" t="inlineStr">
        <is>
          <t>En cours</t>
        </is>
      </c>
    </row>
    <row r="9" ht="22" customHeight="1">
      <c r="B9" s="19">
        <f>IF(C9="","DLR-"&amp;TEXT(COUNTA($C$5:C9),"000"))</f>
        <v/>
      </c>
      <c r="C9" s="15" t="n"/>
      <c r="D9" s="15" t="n"/>
      <c r="E9" s="34" t="n"/>
      <c r="F9" s="34" t="n"/>
      <c r="G9" s="34" t="n"/>
      <c r="H9" s="34" t="n"/>
      <c r="I9" s="34" t="n"/>
      <c r="J9" s="21">
        <f>IF(OR(F9="",I9=""),"",I9-F9)</f>
        <v/>
      </c>
      <c r="K9" s="15" t="n"/>
      <c r="L9" s="15" t="n"/>
    </row>
    <row r="10" ht="22" customHeight="1">
      <c r="B10" s="20">
        <f>IF(C10="","DLR-"&amp;TEXT(COUNTA($C$5:C10),"000"))</f>
        <v/>
      </c>
      <c r="C10" s="17" t="n"/>
      <c r="D10" s="17" t="n"/>
      <c r="E10" s="35" t="n"/>
      <c r="F10" s="35" t="n"/>
      <c r="G10" s="35" t="n"/>
      <c r="H10" s="35" t="n"/>
      <c r="I10" s="35" t="n"/>
      <c r="J10" s="24">
        <f>IF(OR(F10="",I10=""),"",I10-F10)</f>
        <v/>
      </c>
      <c r="K10" s="17" t="n"/>
      <c r="L10" s="17" t="n"/>
    </row>
    <row r="11" ht="22" customHeight="1">
      <c r="B11" s="19">
        <f>IF(C11="","DLR-"&amp;TEXT(COUNTA($C$5:C11),"000"))</f>
        <v/>
      </c>
      <c r="C11" s="15" t="n"/>
      <c r="D11" s="15" t="n"/>
      <c r="E11" s="34" t="n"/>
      <c r="F11" s="34" t="n"/>
      <c r="G11" s="34" t="n"/>
      <c r="H11" s="34" t="n"/>
      <c r="I11" s="34" t="n"/>
      <c r="J11" s="21">
        <f>IF(OR(F11="",I11=""),"",I11-F11)</f>
        <v/>
      </c>
      <c r="K11" s="15" t="n"/>
      <c r="L11" s="15" t="n"/>
    </row>
    <row r="12" ht="22" customHeight="1">
      <c r="B12" s="20">
        <f>IF(C12="","DLR-"&amp;TEXT(COUNTA($C$5:C12),"000"))</f>
        <v/>
      </c>
      <c r="C12" s="17" t="n"/>
      <c r="D12" s="17" t="n"/>
      <c r="E12" s="35" t="n"/>
      <c r="F12" s="35" t="n"/>
      <c r="G12" s="35" t="n"/>
      <c r="H12" s="35" t="n"/>
      <c r="I12" s="35" t="n"/>
      <c r="J12" s="24">
        <f>IF(OR(F12="",I12=""),"",I12-F12)</f>
        <v/>
      </c>
      <c r="K12" s="17" t="n"/>
      <c r="L12" s="17" t="n"/>
    </row>
    <row r="13" ht="22" customHeight="1">
      <c r="B13" s="19">
        <f>IF(C13="","DLR-"&amp;TEXT(COUNTA($C$5:C13),"000"))</f>
        <v/>
      </c>
      <c r="C13" s="15" t="n"/>
      <c r="D13" s="15" t="n"/>
      <c r="E13" s="34" t="n"/>
      <c r="F13" s="34" t="n"/>
      <c r="G13" s="34" t="n"/>
      <c r="H13" s="34" t="n"/>
      <c r="I13" s="34" t="n"/>
      <c r="J13" s="21">
        <f>IF(OR(F13="",I13=""),"",I13-F13)</f>
        <v/>
      </c>
      <c r="K13" s="15" t="n"/>
      <c r="L13" s="15" t="n"/>
    </row>
    <row r="14" ht="22" customHeight="1">
      <c r="B14" s="20">
        <f>IF(C14="","DLR-"&amp;TEXT(COUNTA($C$5:C14),"000"))</f>
        <v/>
      </c>
      <c r="C14" s="17" t="n"/>
      <c r="D14" s="17" t="n"/>
      <c r="E14" s="35" t="n"/>
      <c r="F14" s="35" t="n"/>
      <c r="G14" s="35" t="n"/>
      <c r="H14" s="35" t="n"/>
      <c r="I14" s="35" t="n"/>
      <c r="J14" s="24">
        <f>IF(OR(F14="",I14=""),"",I14-F14)</f>
        <v/>
      </c>
      <c r="K14" s="17" t="n"/>
      <c r="L14" s="17" t="n"/>
    </row>
    <row r="15" ht="22" customHeight="1">
      <c r="B15" s="19">
        <f>IF(C15="","DLR-"&amp;TEXT(COUNTA($C$5:C15),"000"))</f>
        <v/>
      </c>
      <c r="C15" s="15" t="n"/>
      <c r="D15" s="15" t="n"/>
      <c r="E15" s="34" t="n"/>
      <c r="F15" s="34" t="n"/>
      <c r="G15" s="34" t="n"/>
      <c r="H15" s="34" t="n"/>
      <c r="I15" s="34" t="n"/>
      <c r="J15" s="21">
        <f>IF(OR(F15="",I15=""),"",I15-F15)</f>
        <v/>
      </c>
      <c r="K15" s="15" t="n"/>
      <c r="L15" s="15" t="n"/>
    </row>
    <row r="16" ht="22" customHeight="1">
      <c r="B16" s="20">
        <f>IF(C16="","DLR-"&amp;TEXT(COUNTA($C$5:C16),"000"))</f>
        <v/>
      </c>
      <c r="C16" s="17" t="n"/>
      <c r="D16" s="17" t="n"/>
      <c r="E16" s="35" t="n"/>
      <c r="F16" s="35" t="n"/>
      <c r="G16" s="35" t="n"/>
      <c r="H16" s="35" t="n"/>
      <c r="I16" s="35" t="n"/>
      <c r="J16" s="24">
        <f>IF(OR(F16="",I16=""),"",I16-F16)</f>
        <v/>
      </c>
      <c r="K16" s="17" t="n"/>
      <c r="L16" s="17" t="n"/>
    </row>
    <row r="17" ht="22" customHeight="1">
      <c r="B17" s="19">
        <f>IF(C17="","DLR-"&amp;TEXT(COUNTA($C$5:C17),"000"))</f>
        <v/>
      </c>
      <c r="C17" s="15" t="n"/>
      <c r="D17" s="15" t="n"/>
      <c r="E17" s="34" t="n"/>
      <c r="F17" s="34" t="n"/>
      <c r="G17" s="34" t="n"/>
      <c r="H17" s="34" t="n"/>
      <c r="I17" s="34" t="n"/>
      <c r="J17" s="21">
        <f>IF(OR(F17="",I17=""),"",I17-F17)</f>
        <v/>
      </c>
      <c r="K17" s="15" t="n"/>
      <c r="L17" s="15" t="n"/>
    </row>
    <row r="18" ht="22" customHeight="1">
      <c r="B18" s="20">
        <f>IF(C18="","DLR-"&amp;TEXT(COUNTA($C$5:C18),"000"))</f>
        <v/>
      </c>
      <c r="C18" s="17" t="n"/>
      <c r="D18" s="17" t="n"/>
      <c r="E18" s="35" t="n"/>
      <c r="F18" s="35" t="n"/>
      <c r="G18" s="35" t="n"/>
      <c r="H18" s="35" t="n"/>
      <c r="I18" s="35" t="n"/>
      <c r="J18" s="24">
        <f>IF(OR(F18="",I18=""),"",I18-F18)</f>
        <v/>
      </c>
      <c r="K18" s="17" t="n"/>
      <c r="L18" s="17" t="n"/>
    </row>
    <row r="19" ht="22" customHeight="1">
      <c r="B19" s="19">
        <f>IF(C19="","DLR-"&amp;TEXT(COUNTA($C$5:C19),"000"))</f>
        <v/>
      </c>
      <c r="C19" s="15" t="n"/>
      <c r="D19" s="15" t="n"/>
      <c r="E19" s="34" t="n"/>
      <c r="F19" s="34" t="n"/>
      <c r="G19" s="34" t="n"/>
      <c r="H19" s="34" t="n"/>
      <c r="I19" s="34" t="n"/>
      <c r="J19" s="21">
        <f>IF(OR(F19="",I19=""),"",I19-F19)</f>
        <v/>
      </c>
      <c r="K19" s="15" t="n"/>
      <c r="L19" s="15" t="n"/>
    </row>
    <row r="20" ht="22" customHeight="1">
      <c r="B20" s="20">
        <f>IF(C20="","DLR-"&amp;TEXT(COUNTA($C$5:C20),"000"))</f>
        <v/>
      </c>
      <c r="C20" s="17" t="n"/>
      <c r="D20" s="17" t="n"/>
      <c r="E20" s="35" t="n"/>
      <c r="F20" s="35" t="n"/>
      <c r="G20" s="35" t="n"/>
      <c r="H20" s="35" t="n"/>
      <c r="I20" s="35" t="n"/>
      <c r="J20" s="24">
        <f>IF(OR(F20="",I20=""),"",I20-F20)</f>
        <v/>
      </c>
      <c r="K20" s="17" t="n"/>
      <c r="L20" s="17" t="n"/>
    </row>
    <row r="21" ht="22" customHeight="1">
      <c r="B21" s="19">
        <f>IF(C21="","DLR-"&amp;TEXT(COUNTA($C$5:C21),"000"))</f>
        <v/>
      </c>
      <c r="C21" s="15" t="n"/>
      <c r="D21" s="15" t="n"/>
      <c r="E21" s="34" t="n"/>
      <c r="F21" s="34" t="n"/>
      <c r="G21" s="34" t="n"/>
      <c r="H21" s="34" t="n"/>
      <c r="I21" s="34" t="n"/>
      <c r="J21" s="21">
        <f>IF(OR(F21="",I21=""),"",I21-F21)</f>
        <v/>
      </c>
      <c r="K21" s="15" t="n"/>
      <c r="L21" s="15" t="n"/>
    </row>
    <row r="22" ht="22" customHeight="1">
      <c r="B22" s="20">
        <f>IF(C22="","DLR-"&amp;TEXT(COUNTA($C$5:C22),"000"))</f>
        <v/>
      </c>
      <c r="C22" s="17" t="n"/>
      <c r="D22" s="17" t="n"/>
      <c r="E22" s="35" t="n"/>
      <c r="F22" s="35" t="n"/>
      <c r="G22" s="35" t="n"/>
      <c r="H22" s="35" t="n"/>
      <c r="I22" s="35" t="n"/>
      <c r="J22" s="24">
        <f>IF(OR(F22="",I22=""),"",I22-F22)</f>
        <v/>
      </c>
      <c r="K22" s="17" t="n"/>
      <c r="L22" s="17" t="n"/>
    </row>
    <row r="23" ht="22" customHeight="1">
      <c r="B23" s="19">
        <f>IF(C23="","DLR-"&amp;TEXT(COUNTA($C$5:C23),"000"))</f>
        <v/>
      </c>
      <c r="C23" s="15" t="n"/>
      <c r="D23" s="15" t="n"/>
      <c r="E23" s="34" t="n"/>
      <c r="F23" s="34" t="n"/>
      <c r="G23" s="34" t="n"/>
      <c r="H23" s="34" t="n"/>
      <c r="I23" s="34" t="n"/>
      <c r="J23" s="21">
        <f>IF(OR(F23="",I23=""),"",I23-F23)</f>
        <v/>
      </c>
      <c r="K23" s="15" t="n"/>
      <c r="L23" s="15" t="n"/>
    </row>
    <row r="24" ht="22" customHeight="1">
      <c r="B24" s="20">
        <f>IF(C24="","DLR-"&amp;TEXT(COUNTA($C$5:C24),"000"))</f>
        <v/>
      </c>
      <c r="C24" s="17" t="n"/>
      <c r="D24" s="17" t="n"/>
      <c r="E24" s="35" t="n"/>
      <c r="F24" s="35" t="n"/>
      <c r="G24" s="35" t="n"/>
      <c r="H24" s="35" t="n"/>
      <c r="I24" s="35" t="n"/>
      <c r="J24" s="24">
        <f>IF(OR(F24="",I24=""),"",I24-F24)</f>
        <v/>
      </c>
      <c r="K24" s="17" t="n"/>
      <c r="L24" s="17" t="n"/>
    </row>
    <row r="25" ht="22" customHeight="1">
      <c r="B25" s="19">
        <f>IF(C25="","DLR-"&amp;TEXT(COUNTA($C$5:C25),"000"))</f>
        <v/>
      </c>
      <c r="C25" s="15" t="n"/>
      <c r="D25" s="15" t="n"/>
      <c r="E25" s="34" t="n"/>
      <c r="F25" s="34" t="n"/>
      <c r="G25" s="34" t="n"/>
      <c r="H25" s="34" t="n"/>
      <c r="I25" s="34" t="n"/>
      <c r="J25" s="21">
        <f>IF(OR(F25="",I25=""),"",I25-F25)</f>
        <v/>
      </c>
      <c r="K25" s="15" t="n"/>
      <c r="L25" s="15" t="n"/>
    </row>
    <row r="26" ht="22" customHeight="1">
      <c r="B26" s="20">
        <f>IF(C26="","DLR-"&amp;TEXT(COUNTA($C$5:C26),"000"))</f>
        <v/>
      </c>
      <c r="C26" s="17" t="n"/>
      <c r="D26" s="17" t="n"/>
      <c r="E26" s="35" t="n"/>
      <c r="F26" s="35" t="n"/>
      <c r="G26" s="35" t="n"/>
      <c r="H26" s="35" t="n"/>
      <c r="I26" s="35" t="n"/>
      <c r="J26" s="24">
        <f>IF(OR(F26="",I26=""),"",I26-F26)</f>
        <v/>
      </c>
      <c r="K26" s="17" t="n"/>
      <c r="L26" s="17" t="n"/>
    </row>
    <row r="27" ht="22" customHeight="1">
      <c r="B27" s="19">
        <f>IF(C27="","DLR-"&amp;TEXT(COUNTA($C$5:C27),"000"))</f>
        <v/>
      </c>
      <c r="C27" s="15" t="n"/>
      <c r="D27" s="15" t="n"/>
      <c r="E27" s="34" t="n"/>
      <c r="F27" s="34" t="n"/>
      <c r="G27" s="34" t="n"/>
      <c r="H27" s="34" t="n"/>
      <c r="I27" s="34" t="n"/>
      <c r="J27" s="21">
        <f>IF(OR(F27="",I27=""),"",I27-F27)</f>
        <v/>
      </c>
      <c r="K27" s="15" t="n"/>
      <c r="L27" s="15" t="n"/>
    </row>
    <row r="28" ht="22" customHeight="1">
      <c r="B28" s="20">
        <f>IF(C28="","DLR-"&amp;TEXT(COUNTA($C$5:C28),"000"))</f>
        <v/>
      </c>
      <c r="C28" s="17" t="n"/>
      <c r="D28" s="17" t="n"/>
      <c r="E28" s="35" t="n"/>
      <c r="F28" s="35" t="n"/>
      <c r="G28" s="35" t="n"/>
      <c r="H28" s="35" t="n"/>
      <c r="I28" s="35" t="n"/>
      <c r="J28" s="24">
        <f>IF(OR(F28="",I28=""),"",I28-F28)</f>
        <v/>
      </c>
      <c r="K28" s="17" t="n"/>
      <c r="L28" s="17" t="n"/>
    </row>
    <row r="29" ht="22" customHeight="1">
      <c r="B29" s="19">
        <f>IF(C29="","DLR-"&amp;TEXT(COUNTA($C$5:C29),"000"))</f>
        <v/>
      </c>
      <c r="C29" s="15" t="n"/>
      <c r="D29" s="15" t="n"/>
      <c r="E29" s="34" t="n"/>
      <c r="F29" s="34" t="n"/>
      <c r="G29" s="34" t="n"/>
      <c r="H29" s="34" t="n"/>
      <c r="I29" s="34" t="n"/>
      <c r="J29" s="21">
        <f>IF(OR(F29="",I29=""),"",I29-F29)</f>
        <v/>
      </c>
      <c r="K29" s="15" t="n"/>
      <c r="L29" s="15" t="n"/>
    </row>
    <row r="30" ht="22" customHeight="1">
      <c r="B30" s="20">
        <f>IF(C30="","DLR-"&amp;TEXT(COUNTA($C$5:C30),"000"))</f>
        <v/>
      </c>
      <c r="C30" s="17" t="n"/>
      <c r="D30" s="17" t="n"/>
      <c r="E30" s="35" t="n"/>
      <c r="F30" s="35" t="n"/>
      <c r="G30" s="35" t="n"/>
      <c r="H30" s="35" t="n"/>
      <c r="I30" s="35" t="n"/>
      <c r="J30" s="24">
        <f>IF(OR(F30="",I30=""),"",I30-F30)</f>
        <v/>
      </c>
      <c r="K30" s="17" t="n"/>
      <c r="L30" s="17" t="n"/>
    </row>
    <row r="31" ht="22" customHeight="1">
      <c r="B31" s="19">
        <f>IF(C31="","DLR-"&amp;TEXT(COUNTA($C$5:C31),"000"))</f>
        <v/>
      </c>
      <c r="C31" s="15" t="n"/>
      <c r="D31" s="15" t="n"/>
      <c r="E31" s="34" t="n"/>
      <c r="F31" s="34" t="n"/>
      <c r="G31" s="34" t="n"/>
      <c r="H31" s="34" t="n"/>
      <c r="I31" s="34" t="n"/>
      <c r="J31" s="21">
        <f>IF(OR(F31="",I31=""),"",I31-F31)</f>
        <v/>
      </c>
      <c r="K31" s="15" t="n"/>
      <c r="L31" s="15" t="n"/>
    </row>
    <row r="32" ht="22" customHeight="1">
      <c r="B32" s="20">
        <f>IF(C32="","DLR-"&amp;TEXT(COUNTA($C$5:C32),"000"))</f>
        <v/>
      </c>
      <c r="C32" s="17" t="n"/>
      <c r="D32" s="17" t="n"/>
      <c r="E32" s="35" t="n"/>
      <c r="F32" s="35" t="n"/>
      <c r="G32" s="35" t="n"/>
      <c r="H32" s="35" t="n"/>
      <c r="I32" s="35" t="n"/>
      <c r="J32" s="24">
        <f>IF(OR(F32="",I32=""),"",I32-F32)</f>
        <v/>
      </c>
      <c r="K32" s="17" t="n"/>
      <c r="L32" s="17" t="n"/>
    </row>
    <row r="33" ht="22" customHeight="1">
      <c r="B33" s="19">
        <f>IF(C33="","DLR-"&amp;TEXT(COUNTA($C$5:C33),"000"))</f>
        <v/>
      </c>
      <c r="C33" s="15" t="n"/>
      <c r="D33" s="15" t="n"/>
      <c r="E33" s="34" t="n"/>
      <c r="F33" s="34" t="n"/>
      <c r="G33" s="34" t="n"/>
      <c r="H33" s="34" t="n"/>
      <c r="I33" s="34" t="n"/>
      <c r="J33" s="21">
        <f>IF(OR(F33="",I33=""),"",I33-F33)</f>
        <v/>
      </c>
      <c r="K33" s="15" t="n"/>
      <c r="L33" s="15" t="n"/>
    </row>
    <row r="34" ht="22" customHeight="1">
      <c r="B34" s="20">
        <f>IF(C34="","DLR-"&amp;TEXT(COUNTA($C$5:C34),"000"))</f>
        <v/>
      </c>
      <c r="C34" s="17" t="n"/>
      <c r="D34" s="17" t="n"/>
      <c r="E34" s="35" t="n"/>
      <c r="F34" s="35" t="n"/>
      <c r="G34" s="35" t="n"/>
      <c r="H34" s="35" t="n"/>
      <c r="I34" s="35" t="n"/>
      <c r="J34" s="24">
        <f>IF(OR(F34="",I34=""),"",I34-F34)</f>
        <v/>
      </c>
      <c r="K34" s="17" t="n"/>
      <c r="L34" s="17" t="n"/>
    </row>
    <row r="35" ht="22" customHeight="1">
      <c r="B35" s="19">
        <f>IF(C35="","DLR-"&amp;TEXT(COUNTA($C$5:C35),"000"))</f>
        <v/>
      </c>
      <c r="C35" s="15" t="n"/>
      <c r="D35" s="15" t="n"/>
      <c r="E35" s="34" t="n"/>
      <c r="F35" s="34" t="n"/>
      <c r="G35" s="34" t="n"/>
      <c r="H35" s="34" t="n"/>
      <c r="I35" s="34" t="n"/>
      <c r="J35" s="21">
        <f>IF(OR(F35="",I35=""),"",I35-F35)</f>
        <v/>
      </c>
      <c r="K35" s="15" t="n"/>
      <c r="L35" s="15" t="n"/>
    </row>
    <row r="36" ht="22" customHeight="1">
      <c r="B36" s="20">
        <f>IF(C36="","DLR-"&amp;TEXT(COUNTA($C$5:C36),"000"))</f>
        <v/>
      </c>
      <c r="C36" s="17" t="n"/>
      <c r="D36" s="17" t="n"/>
      <c r="E36" s="35" t="n"/>
      <c r="F36" s="35" t="n"/>
      <c r="G36" s="35" t="n"/>
      <c r="H36" s="35" t="n"/>
      <c r="I36" s="35" t="n"/>
      <c r="J36" s="24">
        <f>IF(OR(F36="",I36=""),"",I36-F36)</f>
        <v/>
      </c>
      <c r="K36" s="17" t="n"/>
      <c r="L36" s="17" t="n"/>
    </row>
    <row r="37" ht="22" customHeight="1">
      <c r="B37" s="19">
        <f>IF(C37="","DLR-"&amp;TEXT(COUNTA($C$5:C37),"000"))</f>
        <v/>
      </c>
      <c r="C37" s="15" t="n"/>
      <c r="D37" s="15" t="n"/>
      <c r="E37" s="34" t="n"/>
      <c r="F37" s="34" t="n"/>
      <c r="G37" s="34" t="n"/>
      <c r="H37" s="34" t="n"/>
      <c r="I37" s="34" t="n"/>
      <c r="J37" s="21">
        <f>IF(OR(F37="",I37=""),"",I37-F37)</f>
        <v/>
      </c>
      <c r="K37" s="15" t="n"/>
      <c r="L37" s="15" t="n"/>
    </row>
    <row r="38" ht="22" customHeight="1">
      <c r="B38" s="20">
        <f>IF(C38="","DLR-"&amp;TEXT(COUNTA($C$5:C38),"000"))</f>
        <v/>
      </c>
      <c r="C38" s="17" t="n"/>
      <c r="D38" s="17" t="n"/>
      <c r="E38" s="35" t="n"/>
      <c r="F38" s="35" t="n"/>
      <c r="G38" s="35" t="n"/>
      <c r="H38" s="35" t="n"/>
      <c r="I38" s="35" t="n"/>
      <c r="J38" s="24">
        <f>IF(OR(F38="",I38=""),"",I38-F38)</f>
        <v/>
      </c>
      <c r="K38" s="17" t="n"/>
      <c r="L38" s="17" t="n"/>
    </row>
    <row r="39" ht="22" customHeight="1">
      <c r="B39" s="19">
        <f>IF(C39="","DLR-"&amp;TEXT(COUNTA($C$5:C39),"000"))</f>
        <v/>
      </c>
      <c r="C39" s="15" t="n"/>
      <c r="D39" s="15" t="n"/>
      <c r="E39" s="34" t="n"/>
      <c r="F39" s="34" t="n"/>
      <c r="G39" s="34" t="n"/>
      <c r="H39" s="34" t="n"/>
      <c r="I39" s="34" t="n"/>
      <c r="J39" s="21">
        <f>IF(OR(F39="",I39=""),"",I39-F39)</f>
        <v/>
      </c>
      <c r="K39" s="15" t="n"/>
      <c r="L39" s="15" t="n"/>
    </row>
    <row r="40" ht="22" customHeight="1">
      <c r="B40" s="20">
        <f>IF(C40="","DLR-"&amp;TEXT(COUNTA($C$5:C40),"000"))</f>
        <v/>
      </c>
      <c r="C40" s="17" t="n"/>
      <c r="D40" s="17" t="n"/>
      <c r="E40" s="35" t="n"/>
      <c r="F40" s="35" t="n"/>
      <c r="G40" s="35" t="n"/>
      <c r="H40" s="35" t="n"/>
      <c r="I40" s="35" t="n"/>
      <c r="J40" s="24">
        <f>IF(OR(F40="",I40=""),"",I40-F40)</f>
        <v/>
      </c>
      <c r="K40" s="17" t="n"/>
      <c r="L40" s="17" t="n"/>
    </row>
    <row r="41" ht="22" customHeight="1">
      <c r="B41" s="19">
        <f>IF(C41="","DLR-"&amp;TEXT(COUNTA($C$5:C41),"000"))</f>
        <v/>
      </c>
      <c r="C41" s="15" t="n"/>
      <c r="D41" s="15" t="n"/>
      <c r="E41" s="34" t="n"/>
      <c r="F41" s="34" t="n"/>
      <c r="G41" s="34" t="n"/>
      <c r="H41" s="34" t="n"/>
      <c r="I41" s="34" t="n"/>
      <c r="J41" s="21">
        <f>IF(OR(F41="",I41=""),"",I41-F41)</f>
        <v/>
      </c>
      <c r="K41" s="15" t="n"/>
      <c r="L41" s="15" t="n"/>
    </row>
    <row r="42" ht="22" customHeight="1">
      <c r="B42" s="20">
        <f>IF(C42="","DLR-"&amp;TEXT(COUNTA($C$5:C42),"000"))</f>
        <v/>
      </c>
      <c r="C42" s="17" t="n"/>
      <c r="D42" s="17" t="n"/>
      <c r="E42" s="35" t="n"/>
      <c r="F42" s="35" t="n"/>
      <c r="G42" s="35" t="n"/>
      <c r="H42" s="35" t="n"/>
      <c r="I42" s="35" t="n"/>
      <c r="J42" s="24">
        <f>IF(OR(F42="",I42=""),"",I42-F42)</f>
        <v/>
      </c>
      <c r="K42" s="17" t="n"/>
      <c r="L42" s="17" t="n"/>
    </row>
    <row r="43" ht="22" customHeight="1">
      <c r="B43" s="19">
        <f>IF(C43="","DLR-"&amp;TEXT(COUNTA($C$5:C43),"000"))</f>
        <v/>
      </c>
      <c r="C43" s="15" t="n"/>
      <c r="D43" s="15" t="n"/>
      <c r="E43" s="34" t="n"/>
      <c r="F43" s="34" t="n"/>
      <c r="G43" s="34" t="n"/>
      <c r="H43" s="34" t="n"/>
      <c r="I43" s="34" t="n"/>
      <c r="J43" s="21">
        <f>IF(OR(F43="",I43=""),"",I43-F43)</f>
        <v/>
      </c>
      <c r="K43" s="15" t="n"/>
      <c r="L43" s="15" t="n"/>
    </row>
    <row r="44" ht="22" customHeight="1">
      <c r="B44" s="20">
        <f>IF(C44="","DLR-"&amp;TEXT(COUNTA($C$5:C44),"000"))</f>
        <v/>
      </c>
      <c r="C44" s="17" t="n"/>
      <c r="D44" s="17" t="n"/>
      <c r="E44" s="35" t="n"/>
      <c r="F44" s="35" t="n"/>
      <c r="G44" s="35" t="n"/>
      <c r="H44" s="35" t="n"/>
      <c r="I44" s="35" t="n"/>
      <c r="J44" s="24">
        <f>IF(OR(F44="",I44=""),"",I44-F44)</f>
        <v/>
      </c>
      <c r="K44" s="17" t="n"/>
      <c r="L44" s="17" t="n"/>
    </row>
    <row r="45" ht="22" customHeight="1">
      <c r="B45" s="19">
        <f>IF(C45="","DLR-"&amp;TEXT(COUNTA($C$5:C45),"000"))</f>
        <v/>
      </c>
      <c r="C45" s="15" t="n"/>
      <c r="D45" s="15" t="n"/>
      <c r="E45" s="34" t="n"/>
      <c r="F45" s="34" t="n"/>
      <c r="G45" s="34" t="n"/>
      <c r="H45" s="34" t="n"/>
      <c r="I45" s="34" t="n"/>
      <c r="J45" s="21">
        <f>IF(OR(F45="",I45=""),"",I45-F45)</f>
        <v/>
      </c>
      <c r="K45" s="15" t="n"/>
      <c r="L45" s="15" t="n"/>
    </row>
    <row r="46" ht="22" customHeight="1">
      <c r="B46" s="20">
        <f>IF(C46="","DLR-"&amp;TEXT(COUNTA($C$5:C46),"000"))</f>
        <v/>
      </c>
      <c r="C46" s="17" t="n"/>
      <c r="D46" s="17" t="n"/>
      <c r="E46" s="35" t="n"/>
      <c r="F46" s="35" t="n"/>
      <c r="G46" s="35" t="n"/>
      <c r="H46" s="35" t="n"/>
      <c r="I46" s="35" t="n"/>
      <c r="J46" s="24">
        <f>IF(OR(F46="",I46=""),"",I46-F46)</f>
        <v/>
      </c>
      <c r="K46" s="17" t="n"/>
      <c r="L46" s="17" t="n"/>
    </row>
    <row r="47" ht="22" customHeight="1">
      <c r="B47" s="19">
        <f>IF(C47="","DLR-"&amp;TEXT(COUNTA($C$5:C47),"000"))</f>
        <v/>
      </c>
      <c r="C47" s="15" t="n"/>
      <c r="D47" s="15" t="n"/>
      <c r="E47" s="34" t="n"/>
      <c r="F47" s="34" t="n"/>
      <c r="G47" s="34" t="n"/>
      <c r="H47" s="34" t="n"/>
      <c r="I47" s="34" t="n"/>
      <c r="J47" s="21">
        <f>IF(OR(F47="",I47=""),"",I47-F47)</f>
        <v/>
      </c>
      <c r="K47" s="15" t="n"/>
      <c r="L47" s="15" t="n"/>
    </row>
    <row r="48" ht="22" customHeight="1">
      <c r="B48" s="20">
        <f>IF(C48="","DLR-"&amp;TEXT(COUNTA($C$5:C48),"000"))</f>
        <v/>
      </c>
      <c r="C48" s="17" t="n"/>
      <c r="D48" s="17" t="n"/>
      <c r="E48" s="35" t="n"/>
      <c r="F48" s="35" t="n"/>
      <c r="G48" s="35" t="n"/>
      <c r="H48" s="35" t="n"/>
      <c r="I48" s="35" t="n"/>
      <c r="J48" s="24">
        <f>IF(OR(F48="",I48=""),"",I48-F48)</f>
        <v/>
      </c>
      <c r="K48" s="17" t="n"/>
      <c r="L48" s="17" t="n"/>
    </row>
    <row r="49" ht="22" customHeight="1">
      <c r="B49" s="19">
        <f>IF(C49="","DLR-"&amp;TEXT(COUNTA($C$5:C49),"000"))</f>
        <v/>
      </c>
      <c r="C49" s="15" t="n"/>
      <c r="D49" s="15" t="n"/>
      <c r="E49" s="34" t="n"/>
      <c r="F49" s="34" t="n"/>
      <c r="G49" s="34" t="n"/>
      <c r="H49" s="34" t="n"/>
      <c r="I49" s="34" t="n"/>
      <c r="J49" s="21">
        <f>IF(OR(F49="",I49=""),"",I49-F49)</f>
        <v/>
      </c>
      <c r="K49" s="15" t="n"/>
      <c r="L49" s="15" t="n"/>
    </row>
    <row r="50" ht="22" customHeight="1">
      <c r="B50" s="20">
        <f>IF(C50="","DLR-"&amp;TEXT(COUNTA($C$5:C50),"000"))</f>
        <v/>
      </c>
      <c r="C50" s="17" t="n"/>
      <c r="D50" s="17" t="n"/>
      <c r="E50" s="35" t="n"/>
      <c r="F50" s="35" t="n"/>
      <c r="G50" s="35" t="n"/>
      <c r="H50" s="35" t="n"/>
      <c r="I50" s="35" t="n"/>
      <c r="J50" s="24">
        <f>IF(OR(F50="",I50=""),"",I50-F50)</f>
        <v/>
      </c>
      <c r="K50" s="17" t="n"/>
      <c r="L50" s="17" t="n"/>
    </row>
    <row r="51" ht="22" customHeight="1">
      <c r="B51" s="19">
        <f>IF(C51="","DLR-"&amp;TEXT(COUNTA($C$5:C51),"000"))</f>
        <v/>
      </c>
      <c r="C51" s="15" t="n"/>
      <c r="D51" s="15" t="n"/>
      <c r="E51" s="34" t="n"/>
      <c r="F51" s="34" t="n"/>
      <c r="G51" s="34" t="n"/>
      <c r="H51" s="34" t="n"/>
      <c r="I51" s="34" t="n"/>
      <c r="J51" s="21">
        <f>IF(OR(F51="",I51=""),"",I51-F51)</f>
        <v/>
      </c>
      <c r="K51" s="15" t="n"/>
      <c r="L51" s="15" t="n"/>
    </row>
    <row r="52" ht="22" customHeight="1">
      <c r="B52" s="20">
        <f>IF(C52="","DLR-"&amp;TEXT(COUNTA($C$5:C52),"000"))</f>
        <v/>
      </c>
      <c r="C52" s="17" t="n"/>
      <c r="D52" s="17" t="n"/>
      <c r="E52" s="35" t="n"/>
      <c r="F52" s="35" t="n"/>
      <c r="G52" s="35" t="n"/>
      <c r="H52" s="35" t="n"/>
      <c r="I52" s="35" t="n"/>
      <c r="J52" s="24">
        <f>IF(OR(F52="",I52=""),"",I52-F52)</f>
        <v/>
      </c>
      <c r="K52" s="17" t="n"/>
      <c r="L52" s="17" t="n"/>
    </row>
    <row r="53" ht="22" customHeight="1">
      <c r="B53" s="19">
        <f>IF(C53="","DLR-"&amp;TEXT(COUNTA($C$5:C53),"000"))</f>
        <v/>
      </c>
      <c r="C53" s="15" t="n"/>
      <c r="D53" s="15" t="n"/>
      <c r="E53" s="34" t="n"/>
      <c r="F53" s="34" t="n"/>
      <c r="G53" s="34" t="n"/>
      <c r="H53" s="34" t="n"/>
      <c r="I53" s="34" t="n"/>
      <c r="J53" s="21">
        <f>IF(OR(F53="",I53=""),"",I53-F53)</f>
        <v/>
      </c>
      <c r="K53" s="15" t="n"/>
      <c r="L53" s="15" t="n"/>
    </row>
    <row r="54" ht="22" customHeight="1">
      <c r="B54" s="20">
        <f>IF(C54="","DLR-"&amp;TEXT(COUNTA($C$5:C54),"000"))</f>
        <v/>
      </c>
      <c r="C54" s="17" t="n"/>
      <c r="D54" s="17" t="n"/>
      <c r="E54" s="35" t="n"/>
      <c r="F54" s="35" t="n"/>
      <c r="G54" s="35" t="n"/>
      <c r="H54" s="35" t="n"/>
      <c r="I54" s="35" t="n"/>
      <c r="J54" s="24">
        <f>IF(OR(F54="",I54=""),"",I54-F54)</f>
        <v/>
      </c>
      <c r="K54" s="17" t="n"/>
      <c r="L54" s="17" t="n"/>
    </row>
    <row r="55" ht="22" customHeight="1">
      <c r="B55" s="19">
        <f>IF(C55="","DLR-"&amp;TEXT(COUNTA($C$5:C55),"000"))</f>
        <v/>
      </c>
      <c r="C55" s="15" t="n"/>
      <c r="D55" s="15" t="n"/>
      <c r="E55" s="34" t="n"/>
      <c r="F55" s="34" t="n"/>
      <c r="G55" s="34" t="n"/>
      <c r="H55" s="34" t="n"/>
      <c r="I55" s="34" t="n"/>
      <c r="J55" s="21">
        <f>IF(OR(F55="",I55=""),"",I55-F55)</f>
        <v/>
      </c>
      <c r="K55" s="15" t="n"/>
      <c r="L55" s="15" t="n"/>
    </row>
    <row r="56" ht="22" customHeight="1">
      <c r="B56" s="20">
        <f>IF(C56="","DLR-"&amp;TEXT(COUNTA($C$5:C56),"000"))</f>
        <v/>
      </c>
      <c r="C56" s="17" t="n"/>
      <c r="D56" s="17" t="n"/>
      <c r="E56" s="35" t="n"/>
      <c r="F56" s="35" t="n"/>
      <c r="G56" s="35" t="n"/>
      <c r="H56" s="35" t="n"/>
      <c r="I56" s="35" t="n"/>
      <c r="J56" s="24">
        <f>IF(OR(F56="",I56=""),"",I56-F56)</f>
        <v/>
      </c>
      <c r="K56" s="17" t="n"/>
      <c r="L56" s="17" t="n"/>
    </row>
    <row r="57" ht="22" customHeight="1">
      <c r="B57" s="19">
        <f>IF(C57="","DLR-"&amp;TEXT(COUNTA($C$5:C57),"000"))</f>
        <v/>
      </c>
      <c r="C57" s="15" t="n"/>
      <c r="D57" s="15" t="n"/>
      <c r="E57" s="34" t="n"/>
      <c r="F57" s="34" t="n"/>
      <c r="G57" s="34" t="n"/>
      <c r="H57" s="34" t="n"/>
      <c r="I57" s="34" t="n"/>
      <c r="J57" s="21">
        <f>IF(OR(F57="",I57=""),"",I57-F57)</f>
        <v/>
      </c>
      <c r="K57" s="15" t="n"/>
      <c r="L57" s="15" t="n"/>
    </row>
    <row r="58" ht="22" customHeight="1">
      <c r="B58" s="20">
        <f>IF(C58="","DLR-"&amp;TEXT(COUNTA($C$5:C58),"000"))</f>
        <v/>
      </c>
      <c r="C58" s="17" t="n"/>
      <c r="D58" s="17" t="n"/>
      <c r="E58" s="35" t="n"/>
      <c r="F58" s="35" t="n"/>
      <c r="G58" s="35" t="n"/>
      <c r="H58" s="35" t="n"/>
      <c r="I58" s="35" t="n"/>
      <c r="J58" s="24">
        <f>IF(OR(F58="",I58=""),"",I58-F58)</f>
        <v/>
      </c>
      <c r="K58" s="17" t="n"/>
      <c r="L58" s="17" t="n"/>
    </row>
    <row r="59" ht="22" customHeight="1">
      <c r="B59" s="19">
        <f>IF(C59="","DLR-"&amp;TEXT(COUNTA($C$5:C59),"000"))</f>
        <v/>
      </c>
      <c r="C59" s="15" t="n"/>
      <c r="D59" s="15" t="n"/>
      <c r="E59" s="34" t="n"/>
      <c r="F59" s="34" t="n"/>
      <c r="G59" s="34" t="n"/>
      <c r="H59" s="34" t="n"/>
      <c r="I59" s="34" t="n"/>
      <c r="J59" s="21">
        <f>IF(OR(F59="",I59=""),"",I59-F59)</f>
        <v/>
      </c>
      <c r="K59" s="15" t="n"/>
      <c r="L59" s="15" t="n"/>
    </row>
    <row r="60" ht="22" customHeight="1">
      <c r="B60" s="20">
        <f>IF(C60="","DLR-"&amp;TEXT(COUNTA($C$5:C60),"000"))</f>
        <v/>
      </c>
      <c r="C60" s="17" t="n"/>
      <c r="D60" s="17" t="n"/>
      <c r="E60" s="35" t="n"/>
      <c r="F60" s="35" t="n"/>
      <c r="G60" s="35" t="n"/>
      <c r="H60" s="35" t="n"/>
      <c r="I60" s="35" t="n"/>
      <c r="J60" s="24">
        <f>IF(OR(F60="",I60=""),"",I60-F60)</f>
        <v/>
      </c>
      <c r="K60" s="17" t="n"/>
      <c r="L60" s="17" t="n"/>
    </row>
    <row r="61" ht="22" customHeight="1">
      <c r="B61" s="19">
        <f>IF(C61="","DLR-"&amp;TEXT(COUNTA($C$5:C61),"000"))</f>
        <v/>
      </c>
      <c r="C61" s="15" t="n"/>
      <c r="D61" s="15" t="n"/>
      <c r="E61" s="34" t="n"/>
      <c r="F61" s="34" t="n"/>
      <c r="G61" s="34" t="n"/>
      <c r="H61" s="34" t="n"/>
      <c r="I61" s="34" t="n"/>
      <c r="J61" s="21">
        <f>IF(OR(F61="",I61=""),"",I61-F61)</f>
        <v/>
      </c>
      <c r="K61" s="15" t="n"/>
      <c r="L61" s="15" t="n"/>
    </row>
    <row r="62" ht="22" customHeight="1">
      <c r="B62" s="20">
        <f>IF(C62="","DLR-"&amp;TEXT(COUNTA($C$5:C62),"000"))</f>
        <v/>
      </c>
      <c r="C62" s="17" t="n"/>
      <c r="D62" s="17" t="n"/>
      <c r="E62" s="35" t="n"/>
      <c r="F62" s="35" t="n"/>
      <c r="G62" s="35" t="n"/>
      <c r="H62" s="35" t="n"/>
      <c r="I62" s="35" t="n"/>
      <c r="J62" s="24">
        <f>IF(OR(F62="",I62=""),"",I62-F62)</f>
        <v/>
      </c>
      <c r="K62" s="17" t="n"/>
      <c r="L62" s="17" t="n"/>
    </row>
    <row r="63" ht="22" customHeight="1">
      <c r="B63" s="19">
        <f>IF(C63="","DLR-"&amp;TEXT(COUNTA($C$5:C63),"000"))</f>
        <v/>
      </c>
      <c r="C63" s="15" t="n"/>
      <c r="D63" s="15" t="n"/>
      <c r="E63" s="34" t="n"/>
      <c r="F63" s="34" t="n"/>
      <c r="G63" s="34" t="n"/>
      <c r="H63" s="34" t="n"/>
      <c r="I63" s="34" t="n"/>
      <c r="J63" s="21">
        <f>IF(OR(F63="",I63=""),"",I63-F63)</f>
        <v/>
      </c>
      <c r="K63" s="15" t="n"/>
      <c r="L63" s="15" t="n"/>
    </row>
    <row r="64" ht="22" customHeight="1">
      <c r="B64" s="20">
        <f>IF(C64="","DLR-"&amp;TEXT(COUNTA($C$5:C64),"000"))</f>
        <v/>
      </c>
      <c r="C64" s="17" t="n"/>
      <c r="D64" s="17" t="n"/>
      <c r="E64" s="35" t="n"/>
      <c r="F64" s="35" t="n"/>
      <c r="G64" s="35" t="n"/>
      <c r="H64" s="35" t="n"/>
      <c r="I64" s="35" t="n"/>
      <c r="J64" s="24">
        <f>IF(OR(F64="",I64=""),"",I64-F64)</f>
        <v/>
      </c>
      <c r="K64" s="17" t="n"/>
      <c r="L64" s="17" t="n"/>
    </row>
    <row r="65" ht="22" customHeight="1">
      <c r="B65" s="19">
        <f>IF(C65="","DLR-"&amp;TEXT(COUNTA($C$5:C65),"000"))</f>
        <v/>
      </c>
      <c r="C65" s="15" t="n"/>
      <c r="D65" s="15" t="n"/>
      <c r="E65" s="34" t="n"/>
      <c r="F65" s="34" t="n"/>
      <c r="G65" s="34" t="n"/>
      <c r="H65" s="34" t="n"/>
      <c r="I65" s="34" t="n"/>
      <c r="J65" s="21">
        <f>IF(OR(F65="",I65=""),"",I65-F65)</f>
        <v/>
      </c>
      <c r="K65" s="15" t="n"/>
      <c r="L65" s="15" t="n"/>
    </row>
    <row r="66" ht="22" customHeight="1">
      <c r="B66" s="20">
        <f>IF(C66="","DLR-"&amp;TEXT(COUNTA($C$5:C66),"000"))</f>
        <v/>
      </c>
      <c r="C66" s="17" t="n"/>
      <c r="D66" s="17" t="n"/>
      <c r="E66" s="35" t="n"/>
      <c r="F66" s="35" t="n"/>
      <c r="G66" s="35" t="n"/>
      <c r="H66" s="35" t="n"/>
      <c r="I66" s="35" t="n"/>
      <c r="J66" s="24">
        <f>IF(OR(F66="",I66=""),"",I66-F66)</f>
        <v/>
      </c>
      <c r="K66" s="17" t="n"/>
      <c r="L66" s="17" t="n"/>
    </row>
    <row r="67" ht="22" customHeight="1">
      <c r="B67" s="19">
        <f>IF(C67="","DLR-"&amp;TEXT(COUNTA($C$5:C67),"000"))</f>
        <v/>
      </c>
      <c r="C67" s="15" t="n"/>
      <c r="D67" s="15" t="n"/>
      <c r="E67" s="34" t="n"/>
      <c r="F67" s="34" t="n"/>
      <c r="G67" s="34" t="n"/>
      <c r="H67" s="34" t="n"/>
      <c r="I67" s="34" t="n"/>
      <c r="J67" s="21">
        <f>IF(OR(F67="",I67=""),"",I67-F67)</f>
        <v/>
      </c>
      <c r="K67" s="15" t="n"/>
      <c r="L67" s="15" t="n"/>
    </row>
    <row r="68" ht="22" customHeight="1">
      <c r="B68" s="20">
        <f>IF(C68="","DLR-"&amp;TEXT(COUNTA($C$5:C68),"000"))</f>
        <v/>
      </c>
      <c r="C68" s="17" t="n"/>
      <c r="D68" s="17" t="n"/>
      <c r="E68" s="35" t="n"/>
      <c r="F68" s="35" t="n"/>
      <c r="G68" s="35" t="n"/>
      <c r="H68" s="35" t="n"/>
      <c r="I68" s="35" t="n"/>
      <c r="J68" s="24">
        <f>IF(OR(F68="",I68=""),"",I68-F68)</f>
        <v/>
      </c>
      <c r="K68" s="17" t="n"/>
      <c r="L68" s="17" t="n"/>
    </row>
    <row r="69" ht="22" customHeight="1">
      <c r="B69" s="19">
        <f>IF(C69="","DLR-"&amp;TEXT(COUNTA($C$5:C69),"000"))</f>
        <v/>
      </c>
      <c r="C69" s="15" t="n"/>
      <c r="D69" s="15" t="n"/>
      <c r="E69" s="34" t="n"/>
      <c r="F69" s="34" t="n"/>
      <c r="G69" s="34" t="n"/>
      <c r="H69" s="34" t="n"/>
      <c r="I69" s="34" t="n"/>
      <c r="J69" s="21">
        <f>IF(OR(F69="",I69=""),"",I69-F69)</f>
        <v/>
      </c>
      <c r="K69" s="15" t="n"/>
      <c r="L69" s="15" t="n"/>
    </row>
    <row r="70" ht="22" customHeight="1">
      <c r="B70" s="20">
        <f>IF(C70="","DLR-"&amp;TEXT(COUNTA($C$5:C70),"000"))</f>
        <v/>
      </c>
      <c r="C70" s="17" t="n"/>
      <c r="D70" s="17" t="n"/>
      <c r="E70" s="35" t="n"/>
      <c r="F70" s="35" t="n"/>
      <c r="G70" s="35" t="n"/>
      <c r="H70" s="35" t="n"/>
      <c r="I70" s="35" t="n"/>
      <c r="J70" s="24">
        <f>IF(OR(F70="",I70=""),"",I70-F70)</f>
        <v/>
      </c>
      <c r="K70" s="17" t="n"/>
      <c r="L70" s="17" t="n"/>
    </row>
    <row r="71" ht="22" customHeight="1">
      <c r="B71" s="19">
        <f>IF(C71="","DLR-"&amp;TEXT(COUNTA($C$5:C71),"000"))</f>
        <v/>
      </c>
      <c r="C71" s="15" t="n"/>
      <c r="D71" s="15" t="n"/>
      <c r="E71" s="34" t="n"/>
      <c r="F71" s="34" t="n"/>
      <c r="G71" s="34" t="n"/>
      <c r="H71" s="34" t="n"/>
      <c r="I71" s="34" t="n"/>
      <c r="J71" s="21">
        <f>IF(OR(F71="",I71=""),"",I71-F71)</f>
        <v/>
      </c>
      <c r="K71" s="15" t="n"/>
      <c r="L71" s="15" t="n"/>
    </row>
    <row r="72" ht="22" customHeight="1">
      <c r="B72" s="20">
        <f>IF(C72="","DLR-"&amp;TEXT(COUNTA($C$5:C72),"000"))</f>
        <v/>
      </c>
      <c r="C72" s="17" t="n"/>
      <c r="D72" s="17" t="n"/>
      <c r="E72" s="35" t="n"/>
      <c r="F72" s="35" t="n"/>
      <c r="G72" s="35" t="n"/>
      <c r="H72" s="35" t="n"/>
      <c r="I72" s="35" t="n"/>
      <c r="J72" s="24">
        <f>IF(OR(F72="",I72=""),"",I72-F72)</f>
        <v/>
      </c>
      <c r="K72" s="17" t="n"/>
      <c r="L72" s="17" t="n"/>
    </row>
    <row r="73" ht="22" customHeight="1">
      <c r="B73" s="19">
        <f>IF(C73="","DLR-"&amp;TEXT(COUNTA($C$5:C73),"000"))</f>
        <v/>
      </c>
      <c r="C73" s="15" t="n"/>
      <c r="D73" s="15" t="n"/>
      <c r="E73" s="34" t="n"/>
      <c r="F73" s="34" t="n"/>
      <c r="G73" s="34" t="n"/>
      <c r="H73" s="34" t="n"/>
      <c r="I73" s="34" t="n"/>
      <c r="J73" s="21">
        <f>IF(OR(F73="",I73=""),"",I73-F73)</f>
        <v/>
      </c>
      <c r="K73" s="15" t="n"/>
      <c r="L73" s="15" t="n"/>
    </row>
    <row r="74" ht="22" customHeight="1">
      <c r="B74" s="20">
        <f>IF(C74="","DLR-"&amp;TEXT(COUNTA($C$5:C74),"000"))</f>
        <v/>
      </c>
      <c r="C74" s="17" t="n"/>
      <c r="D74" s="17" t="n"/>
      <c r="E74" s="35" t="n"/>
      <c r="F74" s="35" t="n"/>
      <c r="G74" s="35" t="n"/>
      <c r="H74" s="35" t="n"/>
      <c r="I74" s="35" t="n"/>
      <c r="J74" s="24">
        <f>IF(OR(F74="",I74=""),"",I74-F74)</f>
        <v/>
      </c>
      <c r="K74" s="17" t="n"/>
      <c r="L74" s="17" t="n"/>
    </row>
    <row r="75" ht="22" customHeight="1">
      <c r="B75" s="19">
        <f>IF(C75="","DLR-"&amp;TEXT(COUNTA($C$5:C75),"000"))</f>
        <v/>
      </c>
      <c r="C75" s="15" t="n"/>
      <c r="D75" s="15" t="n"/>
      <c r="E75" s="34" t="n"/>
      <c r="F75" s="34" t="n"/>
      <c r="G75" s="34" t="n"/>
      <c r="H75" s="34" t="n"/>
      <c r="I75" s="34" t="n"/>
      <c r="J75" s="21">
        <f>IF(OR(F75="",I75=""),"",I75-F75)</f>
        <v/>
      </c>
      <c r="K75" s="15" t="n"/>
      <c r="L75" s="15" t="n"/>
    </row>
    <row r="76" ht="22" customHeight="1">
      <c r="B76" s="20">
        <f>IF(C76="","DLR-"&amp;TEXT(COUNTA($C$5:C76),"000"))</f>
        <v/>
      </c>
      <c r="C76" s="17" t="n"/>
      <c r="D76" s="17" t="n"/>
      <c r="E76" s="35" t="n"/>
      <c r="F76" s="35" t="n"/>
      <c r="G76" s="35" t="n"/>
      <c r="H76" s="35" t="n"/>
      <c r="I76" s="35" t="n"/>
      <c r="J76" s="24">
        <f>IF(OR(F76="",I76=""),"",I76-F76)</f>
        <v/>
      </c>
      <c r="K76" s="17" t="n"/>
      <c r="L76" s="17" t="n"/>
    </row>
    <row r="77" ht="22" customHeight="1">
      <c r="B77" s="19">
        <f>IF(C77="","DLR-"&amp;TEXT(COUNTA($C$5:C77),"000"))</f>
        <v/>
      </c>
      <c r="C77" s="15" t="n"/>
      <c r="D77" s="15" t="n"/>
      <c r="E77" s="34" t="n"/>
      <c r="F77" s="34" t="n"/>
      <c r="G77" s="34" t="n"/>
      <c r="H77" s="34" t="n"/>
      <c r="I77" s="34" t="n"/>
      <c r="J77" s="21">
        <f>IF(OR(F77="",I77=""),"",I77-F77)</f>
        <v/>
      </c>
      <c r="K77" s="15" t="n"/>
      <c r="L77" s="15" t="n"/>
    </row>
    <row r="78" ht="22" customHeight="1">
      <c r="B78" s="20">
        <f>IF(C78="","DLR-"&amp;TEXT(COUNTA($C$5:C78),"000"))</f>
        <v/>
      </c>
      <c r="C78" s="17" t="n"/>
      <c r="D78" s="17" t="n"/>
      <c r="E78" s="35" t="n"/>
      <c r="F78" s="35" t="n"/>
      <c r="G78" s="35" t="n"/>
      <c r="H78" s="35" t="n"/>
      <c r="I78" s="35" t="n"/>
      <c r="J78" s="24">
        <f>IF(OR(F78="",I78=""),"",I78-F78)</f>
        <v/>
      </c>
      <c r="K78" s="17" t="n"/>
      <c r="L78" s="17" t="n"/>
    </row>
    <row r="79" ht="22" customHeight="1">
      <c r="B79" s="19">
        <f>IF(C79="","DLR-"&amp;TEXT(COUNTA($C$5:C79),"000"))</f>
        <v/>
      </c>
      <c r="C79" s="15" t="n"/>
      <c r="D79" s="15" t="n"/>
      <c r="E79" s="34" t="n"/>
      <c r="F79" s="34" t="n"/>
      <c r="G79" s="34" t="n"/>
      <c r="H79" s="34" t="n"/>
      <c r="I79" s="34" t="n"/>
      <c r="J79" s="21">
        <f>IF(OR(F79="",I79=""),"",I79-F79)</f>
        <v/>
      </c>
      <c r="K79" s="15" t="n"/>
      <c r="L79" s="15" t="n"/>
    </row>
    <row r="80" ht="22" customHeight="1">
      <c r="B80" s="20">
        <f>IF(C80="","DLR-"&amp;TEXT(COUNTA($C$5:C80),"000"))</f>
        <v/>
      </c>
      <c r="C80" s="17" t="n"/>
      <c r="D80" s="17" t="n"/>
      <c r="E80" s="35" t="n"/>
      <c r="F80" s="35" t="n"/>
      <c r="G80" s="35" t="n"/>
      <c r="H80" s="35" t="n"/>
      <c r="I80" s="35" t="n"/>
      <c r="J80" s="24">
        <f>IF(OR(F80="",I80=""),"",I80-F80)</f>
        <v/>
      </c>
      <c r="K80" s="17" t="n"/>
      <c r="L80" s="17" t="n"/>
    </row>
    <row r="81" ht="22" customHeight="1">
      <c r="B81" s="19">
        <f>IF(C81="","DLR-"&amp;TEXT(COUNTA($C$5:C81),"000"))</f>
        <v/>
      </c>
      <c r="C81" s="15" t="n"/>
      <c r="D81" s="15" t="n"/>
      <c r="E81" s="34" t="n"/>
      <c r="F81" s="34" t="n"/>
      <c r="G81" s="34" t="n"/>
      <c r="H81" s="34" t="n"/>
      <c r="I81" s="34" t="n"/>
      <c r="J81" s="21">
        <f>IF(OR(F81="",I81=""),"",I81-F81)</f>
        <v/>
      </c>
      <c r="K81" s="15" t="n"/>
      <c r="L81" s="15" t="n"/>
    </row>
    <row r="82" ht="22" customHeight="1">
      <c r="B82" s="20">
        <f>IF(C82="","DLR-"&amp;TEXT(COUNTA($C$5:C82),"000"))</f>
        <v/>
      </c>
      <c r="C82" s="17" t="n"/>
      <c r="D82" s="17" t="n"/>
      <c r="E82" s="35" t="n"/>
      <c r="F82" s="35" t="n"/>
      <c r="G82" s="35" t="n"/>
      <c r="H82" s="35" t="n"/>
      <c r="I82" s="35" t="n"/>
      <c r="J82" s="24">
        <f>IF(OR(F82="",I82=""),"",I82-F82)</f>
        <v/>
      </c>
      <c r="K82" s="17" t="n"/>
      <c r="L82" s="17" t="n"/>
    </row>
    <row r="83" ht="22" customHeight="1">
      <c r="B83" s="19">
        <f>IF(C83="","DLR-"&amp;TEXT(COUNTA($C$5:C83),"000"))</f>
        <v/>
      </c>
      <c r="C83" s="15" t="n"/>
      <c r="D83" s="15" t="n"/>
      <c r="E83" s="34" t="n"/>
      <c r="F83" s="34" t="n"/>
      <c r="G83" s="34" t="n"/>
      <c r="H83" s="34" t="n"/>
      <c r="I83" s="34" t="n"/>
      <c r="J83" s="21">
        <f>IF(OR(F83="",I83=""),"",I83-F83)</f>
        <v/>
      </c>
      <c r="K83" s="15" t="n"/>
      <c r="L83" s="15" t="n"/>
    </row>
    <row r="84" ht="22" customHeight="1">
      <c r="B84" s="20">
        <f>IF(C84="","DLR-"&amp;TEXT(COUNTA($C$5:C84),"000"))</f>
        <v/>
      </c>
      <c r="C84" s="17" t="n"/>
      <c r="D84" s="17" t="n"/>
      <c r="E84" s="35" t="n"/>
      <c r="F84" s="35" t="n"/>
      <c r="G84" s="35" t="n"/>
      <c r="H84" s="35" t="n"/>
      <c r="I84" s="35" t="n"/>
      <c r="J84" s="24">
        <f>IF(OR(F84="",I84=""),"",I84-F84)</f>
        <v/>
      </c>
      <c r="K84" s="17" t="n"/>
      <c r="L84" s="17" t="n"/>
    </row>
    <row r="85" ht="22" customHeight="1">
      <c r="B85" s="19">
        <f>IF(C85="","DLR-"&amp;TEXT(COUNTA($C$5:C85),"000"))</f>
        <v/>
      </c>
      <c r="C85" s="15" t="n"/>
      <c r="D85" s="15" t="n"/>
      <c r="E85" s="34" t="n"/>
      <c r="F85" s="34" t="n"/>
      <c r="G85" s="34" t="n"/>
      <c r="H85" s="34" t="n"/>
      <c r="I85" s="34" t="n"/>
      <c r="J85" s="21">
        <f>IF(OR(F85="",I85=""),"",I85-F85)</f>
        <v/>
      </c>
      <c r="K85" s="15" t="n"/>
      <c r="L85" s="15" t="n"/>
    </row>
    <row r="86" ht="22" customHeight="1">
      <c r="B86" s="20">
        <f>IF(C86="","DLR-"&amp;TEXT(COUNTA($C$5:C86),"000"))</f>
        <v/>
      </c>
      <c r="C86" s="17" t="n"/>
      <c r="D86" s="17" t="n"/>
      <c r="E86" s="35" t="n"/>
      <c r="F86" s="35" t="n"/>
      <c r="G86" s="35" t="n"/>
      <c r="H86" s="35" t="n"/>
      <c r="I86" s="35" t="n"/>
      <c r="J86" s="24">
        <f>IF(OR(F86="",I86=""),"",I86-F86)</f>
        <v/>
      </c>
      <c r="K86" s="17" t="n"/>
      <c r="L86" s="17" t="n"/>
    </row>
    <row r="87" ht="22" customHeight="1">
      <c r="B87" s="19">
        <f>IF(C87="","DLR-"&amp;TEXT(COUNTA($C$5:C87),"000"))</f>
        <v/>
      </c>
      <c r="C87" s="15" t="n"/>
      <c r="D87" s="15" t="n"/>
      <c r="E87" s="34" t="n"/>
      <c r="F87" s="34" t="n"/>
      <c r="G87" s="34" t="n"/>
      <c r="H87" s="34" t="n"/>
      <c r="I87" s="34" t="n"/>
      <c r="J87" s="21">
        <f>IF(OR(F87="",I87=""),"",I87-F87)</f>
        <v/>
      </c>
      <c r="K87" s="15" t="n"/>
      <c r="L87" s="15" t="n"/>
    </row>
    <row r="88" ht="22" customHeight="1">
      <c r="B88" s="20">
        <f>IF(C88="","DLR-"&amp;TEXT(COUNTA($C$5:C88),"000"))</f>
        <v/>
      </c>
      <c r="C88" s="17" t="n"/>
      <c r="D88" s="17" t="n"/>
      <c r="E88" s="35" t="n"/>
      <c r="F88" s="35" t="n"/>
      <c r="G88" s="35" t="n"/>
      <c r="H88" s="35" t="n"/>
      <c r="I88" s="35" t="n"/>
      <c r="J88" s="24">
        <f>IF(OR(F88="",I88=""),"",I88-F88)</f>
        <v/>
      </c>
      <c r="K88" s="17" t="n"/>
      <c r="L88" s="17" t="n"/>
    </row>
    <row r="89" ht="22" customHeight="1">
      <c r="B89" s="19">
        <f>IF(C89="","DLR-"&amp;TEXT(COUNTA($C$5:C89),"000"))</f>
        <v/>
      </c>
      <c r="C89" s="15" t="n"/>
      <c r="D89" s="15" t="n"/>
      <c r="E89" s="34" t="n"/>
      <c r="F89" s="34" t="n"/>
      <c r="G89" s="34" t="n"/>
      <c r="H89" s="34" t="n"/>
      <c r="I89" s="34" t="n"/>
      <c r="J89" s="21">
        <f>IF(OR(F89="",I89=""),"",I89-F89)</f>
        <v/>
      </c>
      <c r="K89" s="15" t="n"/>
      <c r="L89" s="15" t="n"/>
    </row>
    <row r="90" ht="22" customHeight="1">
      <c r="B90" s="20">
        <f>IF(C90="","DLR-"&amp;TEXT(COUNTA($C$5:C90),"000"))</f>
        <v/>
      </c>
      <c r="C90" s="17" t="n"/>
      <c r="D90" s="17" t="n"/>
      <c r="E90" s="35" t="n"/>
      <c r="F90" s="35" t="n"/>
      <c r="G90" s="35" t="n"/>
      <c r="H90" s="35" t="n"/>
      <c r="I90" s="35" t="n"/>
      <c r="J90" s="24">
        <f>IF(OR(F90="",I90=""),"",I90-F90)</f>
        <v/>
      </c>
      <c r="K90" s="17" t="n"/>
      <c r="L90" s="17" t="n"/>
    </row>
    <row r="91" ht="22" customHeight="1">
      <c r="B91" s="19">
        <f>IF(C91="","DLR-"&amp;TEXT(COUNTA($C$5:C91),"000"))</f>
        <v/>
      </c>
      <c r="C91" s="15" t="n"/>
      <c r="D91" s="15" t="n"/>
      <c r="E91" s="34" t="n"/>
      <c r="F91" s="34" t="n"/>
      <c r="G91" s="34" t="n"/>
      <c r="H91" s="34" t="n"/>
      <c r="I91" s="34" t="n"/>
      <c r="J91" s="21">
        <f>IF(OR(F91="",I91=""),"",I91-F91)</f>
        <v/>
      </c>
      <c r="K91" s="15" t="n"/>
      <c r="L91" s="15" t="n"/>
    </row>
    <row r="92" ht="22" customHeight="1">
      <c r="B92" s="20">
        <f>IF(C92="","DLR-"&amp;TEXT(COUNTA($C$5:C92),"000"))</f>
        <v/>
      </c>
      <c r="C92" s="17" t="n"/>
      <c r="D92" s="17" t="n"/>
      <c r="E92" s="35" t="n"/>
      <c r="F92" s="35" t="n"/>
      <c r="G92" s="35" t="n"/>
      <c r="H92" s="35" t="n"/>
      <c r="I92" s="35" t="n"/>
      <c r="J92" s="24">
        <f>IF(OR(F92="",I92=""),"",I92-F92)</f>
        <v/>
      </c>
      <c r="K92" s="17" t="n"/>
      <c r="L92" s="17" t="n"/>
    </row>
    <row r="93" ht="22" customHeight="1">
      <c r="B93" s="19">
        <f>IF(C93="","DLR-"&amp;TEXT(COUNTA($C$5:C93),"000"))</f>
        <v/>
      </c>
      <c r="C93" s="15" t="n"/>
      <c r="D93" s="15" t="n"/>
      <c r="E93" s="34" t="n"/>
      <c r="F93" s="34" t="n"/>
      <c r="G93" s="34" t="n"/>
      <c r="H93" s="34" t="n"/>
      <c r="I93" s="34" t="n"/>
      <c r="J93" s="21">
        <f>IF(OR(F93="",I93=""),"",I93-F93)</f>
        <v/>
      </c>
      <c r="K93" s="15" t="n"/>
      <c r="L93" s="15" t="n"/>
    </row>
    <row r="94" ht="22" customHeight="1">
      <c r="B94" s="20">
        <f>IF(C94="","DLR-"&amp;TEXT(COUNTA($C$5:C94),"000"))</f>
        <v/>
      </c>
      <c r="C94" s="17" t="n"/>
      <c r="D94" s="17" t="n"/>
      <c r="E94" s="35" t="n"/>
      <c r="F94" s="35" t="n"/>
      <c r="G94" s="35" t="n"/>
      <c r="H94" s="35" t="n"/>
      <c r="I94" s="35" t="n"/>
      <c r="J94" s="24">
        <f>IF(OR(F94="",I94=""),"",I94-F94)</f>
        <v/>
      </c>
      <c r="K94" s="17" t="n"/>
      <c r="L94" s="17" t="n"/>
    </row>
    <row r="95" ht="22" customHeight="1">
      <c r="B95" s="19">
        <f>IF(C95="","DLR-"&amp;TEXT(COUNTA($C$5:C95),"000"))</f>
        <v/>
      </c>
      <c r="C95" s="15" t="n"/>
      <c r="D95" s="15" t="n"/>
      <c r="E95" s="34" t="n"/>
      <c r="F95" s="34" t="n"/>
      <c r="G95" s="34" t="n"/>
      <c r="H95" s="34" t="n"/>
      <c r="I95" s="34" t="n"/>
      <c r="J95" s="21">
        <f>IF(OR(F95="",I95=""),"",I95-F95)</f>
        <v/>
      </c>
      <c r="K95" s="15" t="n"/>
      <c r="L95" s="15" t="n"/>
    </row>
    <row r="96" ht="22" customHeight="1">
      <c r="B96" s="20">
        <f>IF(C96="","DLR-"&amp;TEXT(COUNTA($C$5:C96),"000"))</f>
        <v/>
      </c>
      <c r="C96" s="17" t="n"/>
      <c r="D96" s="17" t="n"/>
      <c r="E96" s="35" t="n"/>
      <c r="F96" s="35" t="n"/>
      <c r="G96" s="35" t="n"/>
      <c r="H96" s="35" t="n"/>
      <c r="I96" s="35" t="n"/>
      <c r="J96" s="24">
        <f>IF(OR(F96="",I96=""),"",I96-F96)</f>
        <v/>
      </c>
      <c r="K96" s="17" t="n"/>
      <c r="L96" s="17" t="n"/>
    </row>
    <row r="97" ht="22" customHeight="1">
      <c r="B97" s="19">
        <f>IF(C97="","DLR-"&amp;TEXT(COUNTA($C$5:C97),"000"))</f>
        <v/>
      </c>
      <c r="C97" s="15" t="n"/>
      <c r="D97" s="15" t="n"/>
      <c r="E97" s="34" t="n"/>
      <c r="F97" s="34" t="n"/>
      <c r="G97" s="34" t="n"/>
      <c r="H97" s="34" t="n"/>
      <c r="I97" s="34" t="n"/>
      <c r="J97" s="21">
        <f>IF(OR(F97="",I97=""),"",I97-F97)</f>
        <v/>
      </c>
      <c r="K97" s="15" t="n"/>
      <c r="L97" s="15" t="n"/>
    </row>
    <row r="98" ht="22" customHeight="1">
      <c r="B98" s="20">
        <f>IF(C98="","DLR-"&amp;TEXT(COUNTA($C$5:C98),"000"))</f>
        <v/>
      </c>
      <c r="C98" s="17" t="n"/>
      <c r="D98" s="17" t="n"/>
      <c r="E98" s="35" t="n"/>
      <c r="F98" s="35" t="n"/>
      <c r="G98" s="35" t="n"/>
      <c r="H98" s="35" t="n"/>
      <c r="I98" s="35" t="n"/>
      <c r="J98" s="24">
        <f>IF(OR(F98="",I98=""),"",I98-F98)</f>
        <v/>
      </c>
      <c r="K98" s="17" t="n"/>
      <c r="L98" s="17" t="n"/>
    </row>
    <row r="99" ht="22" customHeight="1">
      <c r="B99" s="19">
        <f>IF(C99="","DLR-"&amp;TEXT(COUNTA($C$5:C99),"000"))</f>
        <v/>
      </c>
      <c r="C99" s="15" t="n"/>
      <c r="D99" s="15" t="n"/>
      <c r="E99" s="34" t="n"/>
      <c r="F99" s="34" t="n"/>
      <c r="G99" s="34" t="n"/>
      <c r="H99" s="34" t="n"/>
      <c r="I99" s="34" t="n"/>
      <c r="J99" s="21">
        <f>IF(OR(F99="",I99=""),"",I99-F99)</f>
        <v/>
      </c>
      <c r="K99" s="15" t="n"/>
      <c r="L99" s="15" t="n"/>
    </row>
    <row r="100" ht="22" customHeight="1">
      <c r="B100" s="20">
        <f>IF(C100="","DLR-"&amp;TEXT(COUNTA($C$5:C100),"000"))</f>
        <v/>
      </c>
      <c r="C100" s="17" t="n"/>
      <c r="D100" s="17" t="n"/>
      <c r="E100" s="35" t="n"/>
      <c r="F100" s="35" t="n"/>
      <c r="G100" s="35" t="n"/>
      <c r="H100" s="35" t="n"/>
      <c r="I100" s="35" t="n"/>
      <c r="J100" s="24">
        <f>IF(OR(F100="",I100=""),"",I100-F100)</f>
        <v/>
      </c>
      <c r="K100" s="17" t="n"/>
      <c r="L100" s="17" t="n"/>
    </row>
    <row r="101" ht="22" customHeight="1">
      <c r="B101" s="19">
        <f>IF(C101="","DLR-"&amp;TEXT(COUNTA($C$5:C101),"000"))</f>
        <v/>
      </c>
      <c r="C101" s="15" t="n"/>
      <c r="D101" s="15" t="n"/>
      <c r="E101" s="34" t="n"/>
      <c r="F101" s="34" t="n"/>
      <c r="G101" s="34" t="n"/>
      <c r="H101" s="34" t="n"/>
      <c r="I101" s="34" t="n"/>
      <c r="J101" s="21">
        <f>IF(OR(F101="",I101=""),"",I101-F101)</f>
        <v/>
      </c>
      <c r="K101" s="15" t="n"/>
      <c r="L101" s="15" t="n"/>
    </row>
    <row r="102" ht="22" customHeight="1">
      <c r="B102" s="20">
        <f>IF(C102="","DLR-"&amp;TEXT(COUNTA($C$5:C102),"000"))</f>
        <v/>
      </c>
      <c r="C102" s="17" t="n"/>
      <c r="D102" s="17" t="n"/>
      <c r="E102" s="35" t="n"/>
      <c r="F102" s="35" t="n"/>
      <c r="G102" s="35" t="n"/>
      <c r="H102" s="35" t="n"/>
      <c r="I102" s="35" t="n"/>
      <c r="J102" s="24">
        <f>IF(OR(F102="",I102=""),"",I102-F102)</f>
        <v/>
      </c>
      <c r="K102" s="17" t="n"/>
      <c r="L102" s="17" t="n"/>
    </row>
    <row r="103" ht="22" customHeight="1">
      <c r="B103" s="19">
        <f>IF(C103="","DLR-"&amp;TEXT(COUNTA($C$5:C103),"000"))</f>
        <v/>
      </c>
      <c r="C103" s="15" t="n"/>
      <c r="D103" s="15" t="n"/>
      <c r="E103" s="34" t="n"/>
      <c r="F103" s="34" t="n"/>
      <c r="G103" s="34" t="n"/>
      <c r="H103" s="34" t="n"/>
      <c r="I103" s="34" t="n"/>
      <c r="J103" s="21">
        <f>IF(OR(F103="",I103=""),"",I103-F103)</f>
        <v/>
      </c>
      <c r="K103" s="15" t="n"/>
      <c r="L103" s="15" t="n"/>
    </row>
    <row r="104" ht="22" customHeight="1">
      <c r="B104" s="20">
        <f>IF(C104="","DLR-"&amp;TEXT(COUNTA($C$5:C104),"000"))</f>
        <v/>
      </c>
      <c r="C104" s="17" t="n"/>
      <c r="D104" s="17" t="n"/>
      <c r="E104" s="35" t="n"/>
      <c r="F104" s="35" t="n"/>
      <c r="G104" s="35" t="n"/>
      <c r="H104" s="35" t="n"/>
      <c r="I104" s="35" t="n"/>
      <c r="J104" s="24">
        <f>IF(OR(F104="",I104=""),"",I104-F104)</f>
        <v/>
      </c>
      <c r="K104" s="17" t="n"/>
      <c r="L104" s="17" t="n"/>
    </row>
    <row r="105" ht="22" customHeight="1">
      <c r="B105" s="19">
        <f>IF(C105="","DLR-"&amp;TEXT(COUNTA($C$5:C105),"000"))</f>
        <v/>
      </c>
      <c r="C105" s="15" t="n"/>
      <c r="D105" s="15" t="n"/>
      <c r="E105" s="34" t="n"/>
      <c r="F105" s="34" t="n"/>
      <c r="G105" s="34" t="n"/>
      <c r="H105" s="34" t="n"/>
      <c r="I105" s="34" t="n"/>
      <c r="J105" s="21">
        <f>IF(OR(F105="",I105=""),"",I105-F105)</f>
        <v/>
      </c>
      <c r="K105" s="15" t="n"/>
      <c r="L105" s="15" t="n"/>
    </row>
    <row r="106" ht="22" customHeight="1">
      <c r="B106" s="20">
        <f>IF(C106="","DLR-"&amp;TEXT(COUNTA($C$5:C106),"000"))</f>
        <v/>
      </c>
      <c r="C106" s="17" t="n"/>
      <c r="D106" s="17" t="n"/>
      <c r="E106" s="35" t="n"/>
      <c r="F106" s="35" t="n"/>
      <c r="G106" s="35" t="n"/>
      <c r="H106" s="35" t="n"/>
      <c r="I106" s="35" t="n"/>
      <c r="J106" s="24">
        <f>IF(OR(F106="",I106=""),"",I106-F106)</f>
        <v/>
      </c>
      <c r="K106" s="17" t="n"/>
      <c r="L106" s="17" t="n"/>
    </row>
    <row r="107" ht="22" customHeight="1">
      <c r="B107" s="19">
        <f>IF(C107="","DLR-"&amp;TEXT(COUNTA($C$5:C107),"000"))</f>
        <v/>
      </c>
      <c r="C107" s="15" t="n"/>
      <c r="D107" s="15" t="n"/>
      <c r="E107" s="34" t="n"/>
      <c r="F107" s="34" t="n"/>
      <c r="G107" s="34" t="n"/>
      <c r="H107" s="34" t="n"/>
      <c r="I107" s="34" t="n"/>
      <c r="J107" s="21">
        <f>IF(OR(F107="",I107=""),"",I107-F107)</f>
        <v/>
      </c>
      <c r="K107" s="15" t="n"/>
      <c r="L107" s="15" t="n"/>
    </row>
    <row r="108" ht="22" customHeight="1">
      <c r="B108" s="20">
        <f>IF(C108="","DLR-"&amp;TEXT(COUNTA($C$5:C108),"000"))</f>
        <v/>
      </c>
      <c r="C108" s="17" t="n"/>
      <c r="D108" s="17" t="n"/>
      <c r="E108" s="35" t="n"/>
      <c r="F108" s="35" t="n"/>
      <c r="G108" s="35" t="n"/>
      <c r="H108" s="35" t="n"/>
      <c r="I108" s="35" t="n"/>
      <c r="J108" s="24">
        <f>IF(OR(F108="",I108=""),"",I108-F108)</f>
        <v/>
      </c>
      <c r="K108" s="17" t="n"/>
      <c r="L108" s="17" t="n"/>
    </row>
    <row r="110">
      <c r="B110" s="8" t="inlineStr">
        <is>
          <t>INDICATEURS (mis a jour automatiquement)</t>
        </is>
      </c>
    </row>
    <row r="111">
      <c r="B111" s="3" t="inlineStr">
        <is>
          <t>Recrutements suivis</t>
        </is>
      </c>
      <c r="D111" s="3" t="inlineStr">
        <is>
          <t>Delai moyen (j)</t>
        </is>
      </c>
      <c r="F111" s="3" t="inlineStr">
        <is>
          <t>Pourvus</t>
        </is>
      </c>
    </row>
    <row r="112">
      <c r="B112" s="4">
        <f>COUNTIF(B5:B104,"&lt;&gt;")</f>
        <v/>
      </c>
      <c r="D112" s="4">
        <f>IFERROR(AVERAGE(J5:J104),0)</f>
        <v/>
      </c>
      <c r="F112" s="4">
        <f>COUNTIF(L5:L104,"Pourvu")</f>
        <v/>
      </c>
    </row>
  </sheetData>
  <mergeCells count="3">
    <mergeCell ref="B2:L2"/>
    <mergeCell ref="B110:L110"/>
    <mergeCell ref="B3:L3"/>
  </mergeCells>
  <conditionalFormatting sqref="B9:B108">
    <cfRule type="expression" priority="1" dxfId="0">
      <formula>AND($C9="",$C8&lt;&gt;"")</formula>
    </cfRule>
  </conditionalFormatting>
  <conditionalFormatting sqref="C9:C108">
    <cfRule type="expression" priority="2" dxfId="0">
      <formula>AND($C9="",$C8&lt;&gt;"")</formula>
    </cfRule>
  </conditionalFormatting>
  <conditionalFormatting sqref="D9:D108">
    <cfRule type="expression" priority="3" dxfId="0">
      <formula>AND($C9="",$C8&lt;&gt;"")</formula>
    </cfRule>
  </conditionalFormatting>
  <conditionalFormatting sqref="E9:E108">
    <cfRule type="expression" priority="4" dxfId="0">
      <formula>AND($C9="",$C8&lt;&gt;"")</formula>
    </cfRule>
  </conditionalFormatting>
  <conditionalFormatting sqref="F9:F108">
    <cfRule type="expression" priority="5" dxfId="0">
      <formula>AND($C9="",$C8&lt;&gt;"")</formula>
    </cfRule>
  </conditionalFormatting>
  <conditionalFormatting sqref="G9:G108">
    <cfRule type="expression" priority="6" dxfId="0">
      <formula>AND($C9="",$C8&lt;&gt;"")</formula>
    </cfRule>
  </conditionalFormatting>
  <conditionalFormatting sqref="H9:H108">
    <cfRule type="expression" priority="7" dxfId="0">
      <formula>AND($C9="",$C8&lt;&gt;"")</formula>
    </cfRule>
  </conditionalFormatting>
  <conditionalFormatting sqref="I9:I108">
    <cfRule type="expression" priority="8" dxfId="0">
      <formula>AND($C9="",$C8&lt;&gt;"")</formula>
    </cfRule>
  </conditionalFormatting>
  <conditionalFormatting sqref="J9:J108">
    <cfRule type="expression" priority="9" dxfId="0">
      <formula>AND($C9="",$C8&lt;&gt;"")</formula>
    </cfRule>
  </conditionalFormatting>
  <conditionalFormatting sqref="K9:K108">
    <cfRule type="expression" priority="10" dxfId="0">
      <formula>AND($C9="",$C8&lt;&gt;"")</formula>
    </cfRule>
  </conditionalFormatting>
  <conditionalFormatting sqref="L9:L108">
    <cfRule type="expression" priority="11" dxfId="0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K5:K108" showDropDown="0" showInputMessage="0" showErrorMessage="0" allowBlank="1" errorTitle="Erreur" error="Valeur invalide" promptTitle="Liste" prompt="Choisir dans la liste" type="list">
      <formula1>'_Lists'!$N$2:$N$9</formula1>
    </dataValidation>
    <dataValidation sqref="L5:L108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4" customWidth="1" min="5" max="5"/>
    <col width="16" customWidth="1" min="6" max="6"/>
    <col width="18" customWidth="1" min="7" max="7"/>
    <col width="24" customWidth="1" min="8" max="8"/>
    <col width="22" customWidth="1" min="9" max="9"/>
    <col width="24" customWidth="1" min="10" max="10"/>
    <col width="24" customWidth="1" min="11" max="11"/>
  </cols>
  <sheetData>
    <row r="1" ht="15" customHeight="1"/>
    <row r="2" ht="32" customHeight="1">
      <c r="B2" s="1" t="inlineStr">
        <is>
          <t>ANALYSE DE LA MASSE SALARIALE (#142)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Mois</t>
        </is>
      </c>
      <c r="D4" s="14" t="inlineStr">
        <is>
          <t>Annee</t>
        </is>
      </c>
      <c r="E4" s="14" t="inlineStr">
        <is>
          <t>Salaires de Base (FCFA)</t>
        </is>
      </c>
      <c r="F4" s="14" t="inlineStr">
        <is>
          <t>Primes (FCFA)</t>
        </is>
      </c>
      <c r="G4" s="14" t="inlineStr">
        <is>
          <t>Heures Sup. (FCFA)</t>
        </is>
      </c>
      <c r="H4" s="14" t="inlineStr">
        <is>
          <t>Cotisations Patronales</t>
        </is>
      </c>
      <c r="I4" s="14" t="inlineStr">
        <is>
          <t>Autres Charges (FCFA)</t>
        </is>
      </c>
      <c r="J4" s="14" t="inlineStr">
        <is>
          <t>Masse Salariale Totale</t>
        </is>
      </c>
      <c r="K4" s="14" t="inlineStr">
        <is>
          <t>Variation vs Mois Prec.</t>
        </is>
      </c>
    </row>
    <row r="5" ht="22" customHeight="1">
      <c r="B5" s="15" t="inlineStr">
        <is>
          <t>MSS-001</t>
        </is>
      </c>
      <c r="C5" s="15" t="inlineStr">
        <is>
          <t>Janvier</t>
        </is>
      </c>
      <c r="D5" s="15" t="inlineStr">
        <is>
          <t>2025</t>
        </is>
      </c>
      <c r="E5" s="22" t="n">
        <v>22000000</v>
      </c>
      <c r="F5" s="22" t="n">
        <v>1850000</v>
      </c>
      <c r="G5" s="22" t="n">
        <v>620000</v>
      </c>
      <c r="H5" s="22" t="n">
        <v>3960000</v>
      </c>
      <c r="I5" s="22" t="n">
        <v>350000</v>
      </c>
      <c r="J5" s="22" t="n"/>
      <c r="K5" s="23" t="n"/>
    </row>
    <row r="6" ht="22" customHeight="1">
      <c r="B6" s="17" t="inlineStr">
        <is>
          <t>MSS-002</t>
        </is>
      </c>
      <c r="C6" s="17" t="inlineStr">
        <is>
          <t>Fevrier</t>
        </is>
      </c>
      <c r="D6" s="17" t="inlineStr">
        <is>
          <t>2025</t>
        </is>
      </c>
      <c r="E6" s="25" t="n">
        <v>22100000</v>
      </c>
      <c r="F6" s="25" t="n">
        <v>1900000</v>
      </c>
      <c r="G6" s="25" t="n">
        <v>580000</v>
      </c>
      <c r="H6" s="25" t="n">
        <v>3978000</v>
      </c>
      <c r="I6" s="25" t="n">
        <v>355000</v>
      </c>
      <c r="J6" s="25" t="n"/>
      <c r="K6" s="26" t="n"/>
    </row>
    <row r="7" ht="22" customHeight="1">
      <c r="B7" s="15" t="inlineStr">
        <is>
          <t>MSS-003</t>
        </is>
      </c>
      <c r="C7" s="15" t="inlineStr">
        <is>
          <t>Mars</t>
        </is>
      </c>
      <c r="D7" s="15" t="inlineStr">
        <is>
          <t>2025</t>
        </is>
      </c>
      <c r="E7" s="22" t="n">
        <v>22300000</v>
      </c>
      <c r="F7" s="22" t="n">
        <v>1920000</v>
      </c>
      <c r="G7" s="22" t="n">
        <v>710000</v>
      </c>
      <c r="H7" s="22" t="n">
        <v>4014000</v>
      </c>
      <c r="I7" s="22" t="n">
        <v>360000</v>
      </c>
      <c r="J7" s="22" t="n"/>
      <c r="K7" s="23" t="n"/>
    </row>
    <row r="8" ht="22" customHeight="1">
      <c r="B8" s="17" t="inlineStr">
        <is>
          <t>MSS-004</t>
        </is>
      </c>
      <c r="C8" s="17" t="inlineStr">
        <is>
          <t>Avril</t>
        </is>
      </c>
      <c r="D8" s="17" t="inlineStr">
        <is>
          <t>2025</t>
        </is>
      </c>
      <c r="E8" s="25" t="n">
        <v>22200000</v>
      </c>
      <c r="F8" s="25" t="n">
        <v>1880000</v>
      </c>
      <c r="G8" s="25" t="n">
        <v>540000</v>
      </c>
      <c r="H8" s="25" t="n">
        <v>3996000</v>
      </c>
      <c r="I8" s="25" t="n">
        <v>350000</v>
      </c>
      <c r="J8" s="25" t="n"/>
      <c r="K8" s="26" t="n"/>
    </row>
    <row r="9" ht="22" customHeight="1">
      <c r="B9" s="15" t="inlineStr">
        <is>
          <t>MSS-005</t>
        </is>
      </c>
      <c r="C9" s="15" t="inlineStr">
        <is>
          <t>Mai</t>
        </is>
      </c>
      <c r="D9" s="15" t="inlineStr">
        <is>
          <t>2025</t>
        </is>
      </c>
      <c r="E9" s="22" t="n">
        <v>22500000</v>
      </c>
      <c r="F9" s="22" t="n">
        <v>1950000</v>
      </c>
      <c r="G9" s="22" t="n">
        <v>680000</v>
      </c>
      <c r="H9" s="22" t="n">
        <v>4050000</v>
      </c>
      <c r="I9" s="22" t="n">
        <v>370000</v>
      </c>
      <c r="J9" s="22" t="n"/>
      <c r="K9" s="23" t="n"/>
    </row>
    <row r="10" ht="22" customHeight="1">
      <c r="B10" s="17" t="inlineStr">
        <is>
          <t>MSS-006</t>
        </is>
      </c>
      <c r="C10" s="17" t="inlineStr">
        <is>
          <t>Juin</t>
        </is>
      </c>
      <c r="D10" s="17" t="inlineStr">
        <is>
          <t>2025</t>
        </is>
      </c>
      <c r="E10" s="25" t="n">
        <v>22700000</v>
      </c>
      <c r="F10" s="25" t="n">
        <v>2000000</v>
      </c>
      <c r="G10" s="25" t="n">
        <v>750000</v>
      </c>
      <c r="H10" s="25" t="n">
        <v>4086000</v>
      </c>
      <c r="I10" s="25" t="n">
        <v>380000</v>
      </c>
      <c r="J10" s="25" t="n"/>
      <c r="K10" s="26" t="n"/>
    </row>
    <row r="11" ht="22" customHeight="1">
      <c r="B11" s="19">
        <f>IF(C11="","MSS-"&amp;TEXT(COUNTA($C$5:C11),"000"))</f>
        <v/>
      </c>
      <c r="C11" s="15" t="n"/>
      <c r="D11" s="15" t="n"/>
      <c r="E11" s="22" t="n"/>
      <c r="F11" s="22" t="n"/>
      <c r="G11" s="22" t="n"/>
      <c r="H11" s="22" t="n"/>
      <c r="I11" s="22" t="n"/>
      <c r="J11" s="22">
        <f>E11+F11+G11+H11+I11</f>
        <v/>
      </c>
      <c r="K11" s="23">
        <f>IF(OR(J11="",ROW()=5),"",(J11-INDIRECT("J"&amp;(ROW()-1)))/INDIRECT("J"&amp;(ROW()-1)))</f>
        <v/>
      </c>
    </row>
    <row r="12" ht="22" customHeight="1">
      <c r="B12" s="20">
        <f>IF(C12="","MSS-"&amp;TEXT(COUNTA($C$5:C12),"000"))</f>
        <v/>
      </c>
      <c r="C12" s="17" t="n"/>
      <c r="D12" s="17" t="n"/>
      <c r="E12" s="25" t="n"/>
      <c r="F12" s="25" t="n"/>
      <c r="G12" s="25" t="n"/>
      <c r="H12" s="25" t="n"/>
      <c r="I12" s="25" t="n"/>
      <c r="J12" s="25">
        <f>E12+F12+G12+H12+I12</f>
        <v/>
      </c>
      <c r="K12" s="26">
        <f>IF(OR(J12="",ROW()=5),"",(J12-INDIRECT("J"&amp;(ROW()-1)))/INDIRECT("J"&amp;(ROW()-1)))</f>
        <v/>
      </c>
    </row>
    <row r="13" ht="22" customHeight="1">
      <c r="B13" s="19">
        <f>IF(C13="","MSS-"&amp;TEXT(COUNTA($C$5:C13),"000"))</f>
        <v/>
      </c>
      <c r="C13" s="15" t="n"/>
      <c r="D13" s="15" t="n"/>
      <c r="E13" s="22" t="n"/>
      <c r="F13" s="22" t="n"/>
      <c r="G13" s="22" t="n"/>
      <c r="H13" s="22" t="n"/>
      <c r="I13" s="22" t="n"/>
      <c r="J13" s="22">
        <f>E13+F13+G13+H13+I13</f>
        <v/>
      </c>
      <c r="K13" s="23">
        <f>IF(OR(J13="",ROW()=5),"",(J13-INDIRECT("J"&amp;(ROW()-1)))/INDIRECT("J"&amp;(ROW()-1)))</f>
        <v/>
      </c>
    </row>
    <row r="14" ht="22" customHeight="1">
      <c r="B14" s="20">
        <f>IF(C14="","MSS-"&amp;TEXT(COUNTA($C$5:C14),"000"))</f>
        <v/>
      </c>
      <c r="C14" s="17" t="n"/>
      <c r="D14" s="17" t="n"/>
      <c r="E14" s="25" t="n"/>
      <c r="F14" s="25" t="n"/>
      <c r="G14" s="25" t="n"/>
      <c r="H14" s="25" t="n"/>
      <c r="I14" s="25" t="n"/>
      <c r="J14" s="25">
        <f>E14+F14+G14+H14+I14</f>
        <v/>
      </c>
      <c r="K14" s="26">
        <f>IF(OR(J14="",ROW()=5),"",(J14-INDIRECT("J"&amp;(ROW()-1)))/INDIRECT("J"&amp;(ROW()-1)))</f>
        <v/>
      </c>
    </row>
    <row r="15" ht="22" customHeight="1">
      <c r="B15" s="19">
        <f>IF(C15="","MSS-"&amp;TEXT(COUNTA($C$5:C15),"000"))</f>
        <v/>
      </c>
      <c r="C15" s="15" t="n"/>
      <c r="D15" s="15" t="n"/>
      <c r="E15" s="22" t="n"/>
      <c r="F15" s="22" t="n"/>
      <c r="G15" s="22" t="n"/>
      <c r="H15" s="22" t="n"/>
      <c r="I15" s="22" t="n"/>
      <c r="J15" s="22">
        <f>E15+F15+G15+H15+I15</f>
        <v/>
      </c>
      <c r="K15" s="23">
        <f>IF(OR(J15="",ROW()=5),"",(J15-INDIRECT("J"&amp;(ROW()-1)))/INDIRECT("J"&amp;(ROW()-1)))</f>
        <v/>
      </c>
    </row>
    <row r="16" ht="22" customHeight="1">
      <c r="B16" s="20">
        <f>IF(C16="","MSS-"&amp;TEXT(COUNTA($C$5:C16),"000"))</f>
        <v/>
      </c>
      <c r="C16" s="17" t="n"/>
      <c r="D16" s="17" t="n"/>
      <c r="E16" s="25" t="n"/>
      <c r="F16" s="25" t="n"/>
      <c r="G16" s="25" t="n"/>
      <c r="H16" s="25" t="n"/>
      <c r="I16" s="25" t="n"/>
      <c r="J16" s="25">
        <f>E16+F16+G16+H16+I16</f>
        <v/>
      </c>
      <c r="K16" s="26">
        <f>IF(OR(J16="",ROW()=5),"",(J16-INDIRECT("J"&amp;(ROW()-1)))/INDIRECT("J"&amp;(ROW()-1)))</f>
        <v/>
      </c>
    </row>
    <row r="17" ht="22" customHeight="1">
      <c r="B17" s="19">
        <f>IF(C17="","MSS-"&amp;TEXT(COUNTA($C$5:C17),"000"))</f>
        <v/>
      </c>
      <c r="C17" s="15" t="n"/>
      <c r="D17" s="15" t="n"/>
      <c r="E17" s="22" t="n"/>
      <c r="F17" s="22" t="n"/>
      <c r="G17" s="22" t="n"/>
      <c r="H17" s="22" t="n"/>
      <c r="I17" s="22" t="n"/>
      <c r="J17" s="22">
        <f>E17+F17+G17+H17+I17</f>
        <v/>
      </c>
      <c r="K17" s="23">
        <f>IF(OR(J17="",ROW()=5),"",(J17-INDIRECT("J"&amp;(ROW()-1)))/INDIRECT("J"&amp;(ROW()-1)))</f>
        <v/>
      </c>
    </row>
    <row r="18" ht="22" customHeight="1">
      <c r="B18" s="20">
        <f>IF(C18="","MSS-"&amp;TEXT(COUNTA($C$5:C18),"000"))</f>
        <v/>
      </c>
      <c r="C18" s="17" t="n"/>
      <c r="D18" s="17" t="n"/>
      <c r="E18" s="25" t="n"/>
      <c r="F18" s="25" t="n"/>
      <c r="G18" s="25" t="n"/>
      <c r="H18" s="25" t="n"/>
      <c r="I18" s="25" t="n"/>
      <c r="J18" s="25">
        <f>E18+F18+G18+H18+I18</f>
        <v/>
      </c>
      <c r="K18" s="26">
        <f>IF(OR(J18="",ROW()=5),"",(J18-INDIRECT("J"&amp;(ROW()-1)))/INDIRECT("J"&amp;(ROW()-1)))</f>
        <v/>
      </c>
    </row>
    <row r="19" ht="22" customHeight="1">
      <c r="B19" s="19">
        <f>IF(C19="","MSS-"&amp;TEXT(COUNTA($C$5:C19),"000"))</f>
        <v/>
      </c>
      <c r="C19" s="15" t="n"/>
      <c r="D19" s="15" t="n"/>
      <c r="E19" s="22" t="n"/>
      <c r="F19" s="22" t="n"/>
      <c r="G19" s="22" t="n"/>
      <c r="H19" s="22" t="n"/>
      <c r="I19" s="22" t="n"/>
      <c r="J19" s="22">
        <f>E19+F19+G19+H19+I19</f>
        <v/>
      </c>
      <c r="K19" s="23">
        <f>IF(OR(J19="",ROW()=5),"",(J19-INDIRECT("J"&amp;(ROW()-1)))/INDIRECT("J"&amp;(ROW()-1)))</f>
        <v/>
      </c>
    </row>
    <row r="20" ht="22" customHeight="1">
      <c r="B20" s="20">
        <f>IF(C20="","MSS-"&amp;TEXT(COUNTA($C$5:C20),"000"))</f>
        <v/>
      </c>
      <c r="C20" s="17" t="n"/>
      <c r="D20" s="17" t="n"/>
      <c r="E20" s="25" t="n"/>
      <c r="F20" s="25" t="n"/>
      <c r="G20" s="25" t="n"/>
      <c r="H20" s="25" t="n"/>
      <c r="I20" s="25" t="n"/>
      <c r="J20" s="25">
        <f>E20+F20+G20+H20+I20</f>
        <v/>
      </c>
      <c r="K20" s="26">
        <f>IF(OR(J20="",ROW()=5),"",(J20-INDIRECT("J"&amp;(ROW()-1)))/INDIRECT("J"&amp;(ROW()-1)))</f>
        <v/>
      </c>
    </row>
    <row r="21" ht="22" customHeight="1">
      <c r="B21" s="19">
        <f>IF(C21="","MSS-"&amp;TEXT(COUNTA($C$5:C21),"000"))</f>
        <v/>
      </c>
      <c r="C21" s="15" t="n"/>
      <c r="D21" s="15" t="n"/>
      <c r="E21" s="22" t="n"/>
      <c r="F21" s="22" t="n"/>
      <c r="G21" s="22" t="n"/>
      <c r="H21" s="22" t="n"/>
      <c r="I21" s="22" t="n"/>
      <c r="J21" s="22">
        <f>E21+F21+G21+H21+I21</f>
        <v/>
      </c>
      <c r="K21" s="23">
        <f>IF(OR(J21="",ROW()=5),"",(J21-INDIRECT("J"&amp;(ROW()-1)))/INDIRECT("J"&amp;(ROW()-1)))</f>
        <v/>
      </c>
    </row>
    <row r="22" ht="22" customHeight="1">
      <c r="B22" s="20">
        <f>IF(C22="","MSS-"&amp;TEXT(COUNTA($C$5:C22),"000"))</f>
        <v/>
      </c>
      <c r="C22" s="17" t="n"/>
      <c r="D22" s="17" t="n"/>
      <c r="E22" s="25" t="n"/>
      <c r="F22" s="25" t="n"/>
      <c r="G22" s="25" t="n"/>
      <c r="H22" s="25" t="n"/>
      <c r="I22" s="25" t="n"/>
      <c r="J22" s="25">
        <f>E22+F22+G22+H22+I22</f>
        <v/>
      </c>
      <c r="K22" s="26">
        <f>IF(OR(J22="",ROW()=5),"",(J22-INDIRECT("J"&amp;(ROW()-1)))/INDIRECT("J"&amp;(ROW()-1)))</f>
        <v/>
      </c>
    </row>
    <row r="23" ht="22" customHeight="1">
      <c r="B23" s="19">
        <f>IF(C23="","MSS-"&amp;TEXT(COUNTA($C$5:C23),"000"))</f>
        <v/>
      </c>
      <c r="C23" s="15" t="n"/>
      <c r="D23" s="15" t="n"/>
      <c r="E23" s="22" t="n"/>
      <c r="F23" s="22" t="n"/>
      <c r="G23" s="22" t="n"/>
      <c r="H23" s="22" t="n"/>
      <c r="I23" s="22" t="n"/>
      <c r="J23" s="22">
        <f>E23+F23+G23+H23+I23</f>
        <v/>
      </c>
      <c r="K23" s="23">
        <f>IF(OR(J23="",ROW()=5),"",(J23-INDIRECT("J"&amp;(ROW()-1)))/INDIRECT("J"&amp;(ROW()-1)))</f>
        <v/>
      </c>
    </row>
    <row r="24" ht="22" customHeight="1">
      <c r="B24" s="20">
        <f>IF(C24="","MSS-"&amp;TEXT(COUNTA($C$5:C24),"000"))</f>
        <v/>
      </c>
      <c r="C24" s="17" t="n"/>
      <c r="D24" s="17" t="n"/>
      <c r="E24" s="25" t="n"/>
      <c r="F24" s="25" t="n"/>
      <c r="G24" s="25" t="n"/>
      <c r="H24" s="25" t="n"/>
      <c r="I24" s="25" t="n"/>
      <c r="J24" s="25">
        <f>E24+F24+G24+H24+I24</f>
        <v/>
      </c>
      <c r="K24" s="26">
        <f>IF(OR(J24="",ROW()=5),"",(J24-INDIRECT("J"&amp;(ROW()-1)))/INDIRECT("J"&amp;(ROW()-1)))</f>
        <v/>
      </c>
    </row>
    <row r="25" ht="22" customHeight="1">
      <c r="B25" s="19">
        <f>IF(C25="","MSS-"&amp;TEXT(COUNTA($C$5:C25),"000"))</f>
        <v/>
      </c>
      <c r="C25" s="15" t="n"/>
      <c r="D25" s="15" t="n"/>
      <c r="E25" s="22" t="n"/>
      <c r="F25" s="22" t="n"/>
      <c r="G25" s="22" t="n"/>
      <c r="H25" s="22" t="n"/>
      <c r="I25" s="22" t="n"/>
      <c r="J25" s="22">
        <f>E25+F25+G25+H25+I25</f>
        <v/>
      </c>
      <c r="K25" s="23">
        <f>IF(OR(J25="",ROW()=5),"",(J25-INDIRECT("J"&amp;(ROW()-1)))/INDIRECT("J"&amp;(ROW()-1)))</f>
        <v/>
      </c>
    </row>
    <row r="26" ht="22" customHeight="1">
      <c r="B26" s="20">
        <f>IF(C26="","MSS-"&amp;TEXT(COUNTA($C$5:C26),"000"))</f>
        <v/>
      </c>
      <c r="C26" s="17" t="n"/>
      <c r="D26" s="17" t="n"/>
      <c r="E26" s="25" t="n"/>
      <c r="F26" s="25" t="n"/>
      <c r="G26" s="25" t="n"/>
      <c r="H26" s="25" t="n"/>
      <c r="I26" s="25" t="n"/>
      <c r="J26" s="25">
        <f>E26+F26+G26+H26+I26</f>
        <v/>
      </c>
      <c r="K26" s="26">
        <f>IF(OR(J26="",ROW()=5),"",(J26-INDIRECT("J"&amp;(ROW()-1)))/INDIRECT("J"&amp;(ROW()-1)))</f>
        <v/>
      </c>
    </row>
    <row r="27" ht="22" customHeight="1">
      <c r="B27" s="19">
        <f>IF(C27="","MSS-"&amp;TEXT(COUNTA($C$5:C27),"000"))</f>
        <v/>
      </c>
      <c r="C27" s="15" t="n"/>
      <c r="D27" s="15" t="n"/>
      <c r="E27" s="22" t="n"/>
      <c r="F27" s="22" t="n"/>
      <c r="G27" s="22" t="n"/>
      <c r="H27" s="22" t="n"/>
      <c r="I27" s="22" t="n"/>
      <c r="J27" s="22">
        <f>E27+F27+G27+H27+I27</f>
        <v/>
      </c>
      <c r="K27" s="23">
        <f>IF(OR(J27="",ROW()=5),"",(J27-INDIRECT("J"&amp;(ROW()-1)))/INDIRECT("J"&amp;(ROW()-1)))</f>
        <v/>
      </c>
    </row>
    <row r="28" ht="22" customHeight="1">
      <c r="B28" s="20">
        <f>IF(C28="","MSS-"&amp;TEXT(COUNTA($C$5:C28),"000"))</f>
        <v/>
      </c>
      <c r="C28" s="17" t="n"/>
      <c r="D28" s="17" t="n"/>
      <c r="E28" s="25" t="n"/>
      <c r="F28" s="25" t="n"/>
      <c r="G28" s="25" t="n"/>
      <c r="H28" s="25" t="n"/>
      <c r="I28" s="25" t="n"/>
      <c r="J28" s="25">
        <f>E28+F28+G28+H28+I28</f>
        <v/>
      </c>
      <c r="K28" s="26">
        <f>IF(OR(J28="",ROW()=5),"",(J28-INDIRECT("J"&amp;(ROW()-1)))/INDIRECT("J"&amp;(ROW()-1)))</f>
        <v/>
      </c>
    </row>
    <row r="29" ht="22" customHeight="1">
      <c r="B29" s="19">
        <f>IF(C29="","MSS-"&amp;TEXT(COUNTA($C$5:C29),"000"))</f>
        <v/>
      </c>
      <c r="C29" s="15" t="n"/>
      <c r="D29" s="15" t="n"/>
      <c r="E29" s="22" t="n"/>
      <c r="F29" s="22" t="n"/>
      <c r="G29" s="22" t="n"/>
      <c r="H29" s="22" t="n"/>
      <c r="I29" s="22" t="n"/>
      <c r="J29" s="22">
        <f>E29+F29+G29+H29+I29</f>
        <v/>
      </c>
      <c r="K29" s="23">
        <f>IF(OR(J29="",ROW()=5),"",(J29-INDIRECT("J"&amp;(ROW()-1)))/INDIRECT("J"&amp;(ROW()-1)))</f>
        <v/>
      </c>
    </row>
    <row r="30" ht="22" customHeight="1">
      <c r="B30" s="20">
        <f>IF(C30="","MSS-"&amp;TEXT(COUNTA($C$5:C30),"000"))</f>
        <v/>
      </c>
      <c r="C30" s="17" t="n"/>
      <c r="D30" s="17" t="n"/>
      <c r="E30" s="25" t="n"/>
      <c r="F30" s="25" t="n"/>
      <c r="G30" s="25" t="n"/>
      <c r="H30" s="25" t="n"/>
      <c r="I30" s="25" t="n"/>
      <c r="J30" s="25">
        <f>E30+F30+G30+H30+I30</f>
        <v/>
      </c>
      <c r="K30" s="26">
        <f>IF(OR(J30="",ROW()=5),"",(J30-INDIRECT("J"&amp;(ROW()-1)))/INDIRECT("J"&amp;(ROW()-1)))</f>
        <v/>
      </c>
    </row>
    <row r="31" ht="22" customHeight="1">
      <c r="B31" s="19">
        <f>IF(C31="","MSS-"&amp;TEXT(COUNTA($C$5:C31),"000"))</f>
        <v/>
      </c>
      <c r="C31" s="15" t="n"/>
      <c r="D31" s="15" t="n"/>
      <c r="E31" s="22" t="n"/>
      <c r="F31" s="22" t="n"/>
      <c r="G31" s="22" t="n"/>
      <c r="H31" s="22" t="n"/>
      <c r="I31" s="22" t="n"/>
      <c r="J31" s="22">
        <f>E31+F31+G31+H31+I31</f>
        <v/>
      </c>
      <c r="K31" s="23">
        <f>IF(OR(J31="",ROW()=5),"",(J31-INDIRECT("J"&amp;(ROW()-1)))/INDIRECT("J"&amp;(ROW()-1)))</f>
        <v/>
      </c>
    </row>
    <row r="32" ht="22" customHeight="1">
      <c r="B32" s="20">
        <f>IF(C32="","MSS-"&amp;TEXT(COUNTA($C$5:C32),"000"))</f>
        <v/>
      </c>
      <c r="C32" s="17" t="n"/>
      <c r="D32" s="17" t="n"/>
      <c r="E32" s="25" t="n"/>
      <c r="F32" s="25" t="n"/>
      <c r="G32" s="25" t="n"/>
      <c r="H32" s="25" t="n"/>
      <c r="I32" s="25" t="n"/>
      <c r="J32" s="25">
        <f>E32+F32+G32+H32+I32</f>
        <v/>
      </c>
      <c r="K32" s="26">
        <f>IF(OR(J32="",ROW()=5),"",(J32-INDIRECT("J"&amp;(ROW()-1)))/INDIRECT("J"&amp;(ROW()-1)))</f>
        <v/>
      </c>
    </row>
    <row r="33" ht="22" customHeight="1">
      <c r="B33" s="19">
        <f>IF(C33="","MSS-"&amp;TEXT(COUNTA($C$5:C33),"000"))</f>
        <v/>
      </c>
      <c r="C33" s="15" t="n"/>
      <c r="D33" s="15" t="n"/>
      <c r="E33" s="22" t="n"/>
      <c r="F33" s="22" t="n"/>
      <c r="G33" s="22" t="n"/>
      <c r="H33" s="22" t="n"/>
      <c r="I33" s="22" t="n"/>
      <c r="J33" s="22">
        <f>E33+F33+G33+H33+I33</f>
        <v/>
      </c>
      <c r="K33" s="23">
        <f>IF(OR(J33="",ROW()=5),"",(J33-INDIRECT("J"&amp;(ROW()-1)))/INDIRECT("J"&amp;(ROW()-1)))</f>
        <v/>
      </c>
    </row>
    <row r="34" ht="22" customHeight="1">
      <c r="B34" s="20">
        <f>IF(C34="","MSS-"&amp;TEXT(COUNTA($C$5:C34),"000"))</f>
        <v/>
      </c>
      <c r="C34" s="17" t="n"/>
      <c r="D34" s="17" t="n"/>
      <c r="E34" s="25" t="n"/>
      <c r="F34" s="25" t="n"/>
      <c r="G34" s="25" t="n"/>
      <c r="H34" s="25" t="n"/>
      <c r="I34" s="25" t="n"/>
      <c r="J34" s="25">
        <f>E34+F34+G34+H34+I34</f>
        <v/>
      </c>
      <c r="K34" s="26">
        <f>IF(OR(J34="",ROW()=5),"",(J34-INDIRECT("J"&amp;(ROW()-1)))/INDIRECT("J"&amp;(ROW()-1)))</f>
        <v/>
      </c>
    </row>
    <row r="35" ht="22" customHeight="1">
      <c r="B35" s="19">
        <f>IF(C35="","MSS-"&amp;TEXT(COUNTA($C$5:C35),"000"))</f>
        <v/>
      </c>
      <c r="C35" s="15" t="n"/>
      <c r="D35" s="15" t="n"/>
      <c r="E35" s="22" t="n"/>
      <c r="F35" s="22" t="n"/>
      <c r="G35" s="22" t="n"/>
      <c r="H35" s="22" t="n"/>
      <c r="I35" s="22" t="n"/>
      <c r="J35" s="22">
        <f>E35+F35+G35+H35+I35</f>
        <v/>
      </c>
      <c r="K35" s="23">
        <f>IF(OR(J35="",ROW()=5),"",(J35-INDIRECT("J"&amp;(ROW()-1)))/INDIRECT("J"&amp;(ROW()-1)))</f>
        <v/>
      </c>
    </row>
    <row r="36" ht="22" customHeight="1">
      <c r="B36" s="20">
        <f>IF(C36="","MSS-"&amp;TEXT(COUNTA($C$5:C36),"000"))</f>
        <v/>
      </c>
      <c r="C36" s="17" t="n"/>
      <c r="D36" s="17" t="n"/>
      <c r="E36" s="25" t="n"/>
      <c r="F36" s="25" t="n"/>
      <c r="G36" s="25" t="n"/>
      <c r="H36" s="25" t="n"/>
      <c r="I36" s="25" t="n"/>
      <c r="J36" s="25">
        <f>E36+F36+G36+H36+I36</f>
        <v/>
      </c>
      <c r="K36" s="26">
        <f>IF(OR(J36="",ROW()=5),"",(J36-INDIRECT("J"&amp;(ROW()-1)))/INDIRECT("J"&amp;(ROW()-1)))</f>
        <v/>
      </c>
    </row>
    <row r="37" ht="22" customHeight="1">
      <c r="B37" s="19">
        <f>IF(C37="","MSS-"&amp;TEXT(COUNTA($C$5:C37),"000"))</f>
        <v/>
      </c>
      <c r="C37" s="15" t="n"/>
      <c r="D37" s="15" t="n"/>
      <c r="E37" s="22" t="n"/>
      <c r="F37" s="22" t="n"/>
      <c r="G37" s="22" t="n"/>
      <c r="H37" s="22" t="n"/>
      <c r="I37" s="22" t="n"/>
      <c r="J37" s="22">
        <f>E37+F37+G37+H37+I37</f>
        <v/>
      </c>
      <c r="K37" s="23">
        <f>IF(OR(J37="",ROW()=5),"",(J37-INDIRECT("J"&amp;(ROW()-1)))/INDIRECT("J"&amp;(ROW()-1)))</f>
        <v/>
      </c>
    </row>
    <row r="38" ht="22" customHeight="1">
      <c r="B38" s="20">
        <f>IF(C38="","MSS-"&amp;TEXT(COUNTA($C$5:C38),"000"))</f>
        <v/>
      </c>
      <c r="C38" s="17" t="n"/>
      <c r="D38" s="17" t="n"/>
      <c r="E38" s="25" t="n"/>
      <c r="F38" s="25" t="n"/>
      <c r="G38" s="25" t="n"/>
      <c r="H38" s="25" t="n"/>
      <c r="I38" s="25" t="n"/>
      <c r="J38" s="25">
        <f>E38+F38+G38+H38+I38</f>
        <v/>
      </c>
      <c r="K38" s="26">
        <f>IF(OR(J38="",ROW()=5),"",(J38-INDIRECT("J"&amp;(ROW()-1)))/INDIRECT("J"&amp;(ROW()-1)))</f>
        <v/>
      </c>
    </row>
    <row r="39" ht="22" customHeight="1">
      <c r="B39" s="19">
        <f>IF(C39="","MSS-"&amp;TEXT(COUNTA($C$5:C39),"000"))</f>
        <v/>
      </c>
      <c r="C39" s="15" t="n"/>
      <c r="D39" s="15" t="n"/>
      <c r="E39" s="22" t="n"/>
      <c r="F39" s="22" t="n"/>
      <c r="G39" s="22" t="n"/>
      <c r="H39" s="22" t="n"/>
      <c r="I39" s="22" t="n"/>
      <c r="J39" s="22">
        <f>E39+F39+G39+H39+I39</f>
        <v/>
      </c>
      <c r="K39" s="23">
        <f>IF(OR(J39="",ROW()=5),"",(J39-INDIRECT("J"&amp;(ROW()-1)))/INDIRECT("J"&amp;(ROW()-1)))</f>
        <v/>
      </c>
    </row>
    <row r="40" ht="22" customHeight="1">
      <c r="B40" s="20">
        <f>IF(C40="","MSS-"&amp;TEXT(COUNTA($C$5:C40),"000"))</f>
        <v/>
      </c>
      <c r="C40" s="17" t="n"/>
      <c r="D40" s="17" t="n"/>
      <c r="E40" s="25" t="n"/>
      <c r="F40" s="25" t="n"/>
      <c r="G40" s="25" t="n"/>
      <c r="H40" s="25" t="n"/>
      <c r="I40" s="25" t="n"/>
      <c r="J40" s="25">
        <f>E40+F40+G40+H40+I40</f>
        <v/>
      </c>
      <c r="K40" s="26">
        <f>IF(OR(J40="",ROW()=5),"",(J40-INDIRECT("J"&amp;(ROW()-1)))/INDIRECT("J"&amp;(ROW()-1)))</f>
        <v/>
      </c>
    </row>
    <row r="41" ht="22" customHeight="1">
      <c r="B41" s="19">
        <f>IF(C41="","MSS-"&amp;TEXT(COUNTA($C$5:C41),"000"))</f>
        <v/>
      </c>
      <c r="C41" s="15" t="n"/>
      <c r="D41" s="15" t="n"/>
      <c r="E41" s="22" t="n"/>
      <c r="F41" s="22" t="n"/>
      <c r="G41" s="22" t="n"/>
      <c r="H41" s="22" t="n"/>
      <c r="I41" s="22" t="n"/>
      <c r="J41" s="22">
        <f>E41+F41+G41+H41+I41</f>
        <v/>
      </c>
      <c r="K41" s="23">
        <f>IF(OR(J41="",ROW()=5),"",(J41-INDIRECT("J"&amp;(ROW()-1)))/INDIRECT("J"&amp;(ROW()-1)))</f>
        <v/>
      </c>
    </row>
    <row r="42" ht="22" customHeight="1">
      <c r="B42" s="20">
        <f>IF(C42="","MSS-"&amp;TEXT(COUNTA($C$5:C42),"000"))</f>
        <v/>
      </c>
      <c r="C42" s="17" t="n"/>
      <c r="D42" s="17" t="n"/>
      <c r="E42" s="25" t="n"/>
      <c r="F42" s="25" t="n"/>
      <c r="G42" s="25" t="n"/>
      <c r="H42" s="25" t="n"/>
      <c r="I42" s="25" t="n"/>
      <c r="J42" s="25">
        <f>E42+F42+G42+H42+I42</f>
        <v/>
      </c>
      <c r="K42" s="26">
        <f>IF(OR(J42="",ROW()=5),"",(J42-INDIRECT("J"&amp;(ROW()-1)))/INDIRECT("J"&amp;(ROW()-1)))</f>
        <v/>
      </c>
    </row>
    <row r="43" ht="22" customHeight="1">
      <c r="B43" s="19">
        <f>IF(C43="","MSS-"&amp;TEXT(COUNTA($C$5:C43),"000"))</f>
        <v/>
      </c>
      <c r="C43" s="15" t="n"/>
      <c r="D43" s="15" t="n"/>
      <c r="E43" s="22" t="n"/>
      <c r="F43" s="22" t="n"/>
      <c r="G43" s="22" t="n"/>
      <c r="H43" s="22" t="n"/>
      <c r="I43" s="22" t="n"/>
      <c r="J43" s="22">
        <f>E43+F43+G43+H43+I43</f>
        <v/>
      </c>
      <c r="K43" s="23">
        <f>IF(OR(J43="",ROW()=5),"",(J43-INDIRECT("J"&amp;(ROW()-1)))/INDIRECT("J"&amp;(ROW()-1)))</f>
        <v/>
      </c>
    </row>
    <row r="44" ht="22" customHeight="1">
      <c r="B44" s="20">
        <f>IF(C44="","MSS-"&amp;TEXT(COUNTA($C$5:C44),"000"))</f>
        <v/>
      </c>
      <c r="C44" s="17" t="n"/>
      <c r="D44" s="17" t="n"/>
      <c r="E44" s="25" t="n"/>
      <c r="F44" s="25" t="n"/>
      <c r="G44" s="25" t="n"/>
      <c r="H44" s="25" t="n"/>
      <c r="I44" s="25" t="n"/>
      <c r="J44" s="25">
        <f>E44+F44+G44+H44+I44</f>
        <v/>
      </c>
      <c r="K44" s="26">
        <f>IF(OR(J44="",ROW()=5),"",(J44-INDIRECT("J"&amp;(ROW()-1)))/INDIRECT("J"&amp;(ROW()-1)))</f>
        <v/>
      </c>
    </row>
    <row r="45" ht="22" customHeight="1">
      <c r="B45" s="19">
        <f>IF(C45="","MSS-"&amp;TEXT(COUNTA($C$5:C45),"000"))</f>
        <v/>
      </c>
      <c r="C45" s="15" t="n"/>
      <c r="D45" s="15" t="n"/>
      <c r="E45" s="22" t="n"/>
      <c r="F45" s="22" t="n"/>
      <c r="G45" s="22" t="n"/>
      <c r="H45" s="22" t="n"/>
      <c r="I45" s="22" t="n"/>
      <c r="J45" s="22">
        <f>E45+F45+G45+H45+I45</f>
        <v/>
      </c>
      <c r="K45" s="23">
        <f>IF(OR(J45="",ROW()=5),"",(J45-INDIRECT("J"&amp;(ROW()-1)))/INDIRECT("J"&amp;(ROW()-1)))</f>
        <v/>
      </c>
    </row>
    <row r="46" ht="22" customHeight="1">
      <c r="B46" s="20">
        <f>IF(C46="","MSS-"&amp;TEXT(COUNTA($C$5:C46),"000"))</f>
        <v/>
      </c>
      <c r="C46" s="17" t="n"/>
      <c r="D46" s="17" t="n"/>
      <c r="E46" s="25" t="n"/>
      <c r="F46" s="25" t="n"/>
      <c r="G46" s="25" t="n"/>
      <c r="H46" s="25" t="n"/>
      <c r="I46" s="25" t="n"/>
      <c r="J46" s="25">
        <f>E46+F46+G46+H46+I46</f>
        <v/>
      </c>
      <c r="K46" s="26">
        <f>IF(OR(J46="",ROW()=5),"",(J46-INDIRECT("J"&amp;(ROW()-1)))/INDIRECT("J"&amp;(ROW()-1)))</f>
        <v/>
      </c>
    </row>
    <row r="47" ht="22" customHeight="1">
      <c r="B47" s="19">
        <f>IF(C47="","MSS-"&amp;TEXT(COUNTA($C$5:C47),"000"))</f>
        <v/>
      </c>
      <c r="C47" s="15" t="n"/>
      <c r="D47" s="15" t="n"/>
      <c r="E47" s="22" t="n"/>
      <c r="F47" s="22" t="n"/>
      <c r="G47" s="22" t="n"/>
      <c r="H47" s="22" t="n"/>
      <c r="I47" s="22" t="n"/>
      <c r="J47" s="22">
        <f>E47+F47+G47+H47+I47</f>
        <v/>
      </c>
      <c r="K47" s="23">
        <f>IF(OR(J47="",ROW()=5),"",(J47-INDIRECT("J"&amp;(ROW()-1)))/INDIRECT("J"&amp;(ROW()-1)))</f>
        <v/>
      </c>
    </row>
    <row r="48" ht="22" customHeight="1">
      <c r="B48" s="20">
        <f>IF(C48="","MSS-"&amp;TEXT(COUNTA($C$5:C48),"000"))</f>
        <v/>
      </c>
      <c r="C48" s="17" t="n"/>
      <c r="D48" s="17" t="n"/>
      <c r="E48" s="25" t="n"/>
      <c r="F48" s="25" t="n"/>
      <c r="G48" s="25" t="n"/>
      <c r="H48" s="25" t="n"/>
      <c r="I48" s="25" t="n"/>
      <c r="J48" s="25">
        <f>E48+F48+G48+H48+I48</f>
        <v/>
      </c>
      <c r="K48" s="26">
        <f>IF(OR(J48="",ROW()=5),"",(J48-INDIRECT("J"&amp;(ROW()-1)))/INDIRECT("J"&amp;(ROW()-1)))</f>
        <v/>
      </c>
    </row>
    <row r="49" ht="22" customHeight="1">
      <c r="B49" s="19">
        <f>IF(C49="","MSS-"&amp;TEXT(COUNTA($C$5:C49),"000"))</f>
        <v/>
      </c>
      <c r="C49" s="15" t="n"/>
      <c r="D49" s="15" t="n"/>
      <c r="E49" s="22" t="n"/>
      <c r="F49" s="22" t="n"/>
      <c r="G49" s="22" t="n"/>
      <c r="H49" s="22" t="n"/>
      <c r="I49" s="22" t="n"/>
      <c r="J49" s="22">
        <f>E49+F49+G49+H49+I49</f>
        <v/>
      </c>
      <c r="K49" s="23">
        <f>IF(OR(J49="",ROW()=5),"",(J49-INDIRECT("J"&amp;(ROW()-1)))/INDIRECT("J"&amp;(ROW()-1)))</f>
        <v/>
      </c>
    </row>
    <row r="50" ht="22" customHeight="1">
      <c r="B50" s="20">
        <f>IF(C50="","MSS-"&amp;TEXT(COUNTA($C$5:C50),"000"))</f>
        <v/>
      </c>
      <c r="C50" s="17" t="n"/>
      <c r="D50" s="17" t="n"/>
      <c r="E50" s="25" t="n"/>
      <c r="F50" s="25" t="n"/>
      <c r="G50" s="25" t="n"/>
      <c r="H50" s="25" t="n"/>
      <c r="I50" s="25" t="n"/>
      <c r="J50" s="25">
        <f>E50+F50+G50+H50+I50</f>
        <v/>
      </c>
      <c r="K50" s="26">
        <f>IF(OR(J50="",ROW()=5),"",(J50-INDIRECT("J"&amp;(ROW()-1)))/INDIRECT("J"&amp;(ROW()-1)))</f>
        <v/>
      </c>
    </row>
    <row r="51" ht="22" customHeight="1">
      <c r="B51" s="19">
        <f>IF(C51="","MSS-"&amp;TEXT(COUNTA($C$5:C51),"000"))</f>
        <v/>
      </c>
      <c r="C51" s="15" t="n"/>
      <c r="D51" s="15" t="n"/>
      <c r="E51" s="22" t="n"/>
      <c r="F51" s="22" t="n"/>
      <c r="G51" s="22" t="n"/>
      <c r="H51" s="22" t="n"/>
      <c r="I51" s="22" t="n"/>
      <c r="J51" s="22">
        <f>E51+F51+G51+H51+I51</f>
        <v/>
      </c>
      <c r="K51" s="23">
        <f>IF(OR(J51="",ROW()=5),"",(J51-INDIRECT("J"&amp;(ROW()-1)))/INDIRECT("J"&amp;(ROW()-1)))</f>
        <v/>
      </c>
    </row>
    <row r="52" ht="22" customHeight="1">
      <c r="B52" s="20">
        <f>IF(C52="","MSS-"&amp;TEXT(COUNTA($C$5:C52),"000"))</f>
        <v/>
      </c>
      <c r="C52" s="17" t="n"/>
      <c r="D52" s="17" t="n"/>
      <c r="E52" s="25" t="n"/>
      <c r="F52" s="25" t="n"/>
      <c r="G52" s="25" t="n"/>
      <c r="H52" s="25" t="n"/>
      <c r="I52" s="25" t="n"/>
      <c r="J52" s="25">
        <f>E52+F52+G52+H52+I52</f>
        <v/>
      </c>
      <c r="K52" s="26">
        <f>IF(OR(J52="",ROW()=5),"",(J52-INDIRECT("J"&amp;(ROW()-1)))/INDIRECT("J"&amp;(ROW()-1)))</f>
        <v/>
      </c>
    </row>
    <row r="53" ht="22" customHeight="1">
      <c r="B53" s="19">
        <f>IF(C53="","MSS-"&amp;TEXT(COUNTA($C$5:C53),"000"))</f>
        <v/>
      </c>
      <c r="C53" s="15" t="n"/>
      <c r="D53" s="15" t="n"/>
      <c r="E53" s="22" t="n"/>
      <c r="F53" s="22" t="n"/>
      <c r="G53" s="22" t="n"/>
      <c r="H53" s="22" t="n"/>
      <c r="I53" s="22" t="n"/>
      <c r="J53" s="22">
        <f>E53+F53+G53+H53+I53</f>
        <v/>
      </c>
      <c r="K53" s="23">
        <f>IF(OR(J53="",ROW()=5),"",(J53-INDIRECT("J"&amp;(ROW()-1)))/INDIRECT("J"&amp;(ROW()-1)))</f>
        <v/>
      </c>
    </row>
    <row r="54" ht="22" customHeight="1">
      <c r="B54" s="20">
        <f>IF(C54="","MSS-"&amp;TEXT(COUNTA($C$5:C54),"000"))</f>
        <v/>
      </c>
      <c r="C54" s="17" t="n"/>
      <c r="D54" s="17" t="n"/>
      <c r="E54" s="25" t="n"/>
      <c r="F54" s="25" t="n"/>
      <c r="G54" s="25" t="n"/>
      <c r="H54" s="25" t="n"/>
      <c r="I54" s="25" t="n"/>
      <c r="J54" s="25">
        <f>E54+F54+G54+H54+I54</f>
        <v/>
      </c>
      <c r="K54" s="26">
        <f>IF(OR(J54="",ROW()=5),"",(J54-INDIRECT("J"&amp;(ROW()-1)))/INDIRECT("J"&amp;(ROW()-1)))</f>
        <v/>
      </c>
    </row>
    <row r="55" ht="22" customHeight="1">
      <c r="B55" s="19">
        <f>IF(C55="","MSS-"&amp;TEXT(COUNTA($C$5:C55),"000"))</f>
        <v/>
      </c>
      <c r="C55" s="15" t="n"/>
      <c r="D55" s="15" t="n"/>
      <c r="E55" s="22" t="n"/>
      <c r="F55" s="22" t="n"/>
      <c r="G55" s="22" t="n"/>
      <c r="H55" s="22" t="n"/>
      <c r="I55" s="22" t="n"/>
      <c r="J55" s="22">
        <f>E55+F55+G55+H55+I55</f>
        <v/>
      </c>
      <c r="K55" s="23">
        <f>IF(OR(J55="",ROW()=5),"",(J55-INDIRECT("J"&amp;(ROW()-1)))/INDIRECT("J"&amp;(ROW()-1)))</f>
        <v/>
      </c>
    </row>
    <row r="56" ht="22" customHeight="1">
      <c r="B56" s="20">
        <f>IF(C56="","MSS-"&amp;TEXT(COUNTA($C$5:C56),"000"))</f>
        <v/>
      </c>
      <c r="C56" s="17" t="n"/>
      <c r="D56" s="17" t="n"/>
      <c r="E56" s="25" t="n"/>
      <c r="F56" s="25" t="n"/>
      <c r="G56" s="25" t="n"/>
      <c r="H56" s="25" t="n"/>
      <c r="I56" s="25" t="n"/>
      <c r="J56" s="25">
        <f>E56+F56+G56+H56+I56</f>
        <v/>
      </c>
      <c r="K56" s="26">
        <f>IF(OR(J56="",ROW()=5),"",(J56-INDIRECT("J"&amp;(ROW()-1)))/INDIRECT("J"&amp;(ROW()-1)))</f>
        <v/>
      </c>
    </row>
    <row r="57" ht="22" customHeight="1">
      <c r="B57" s="19">
        <f>IF(C57="","MSS-"&amp;TEXT(COUNTA($C$5:C57),"000"))</f>
        <v/>
      </c>
      <c r="C57" s="15" t="n"/>
      <c r="D57" s="15" t="n"/>
      <c r="E57" s="22" t="n"/>
      <c r="F57" s="22" t="n"/>
      <c r="G57" s="22" t="n"/>
      <c r="H57" s="22" t="n"/>
      <c r="I57" s="22" t="n"/>
      <c r="J57" s="22">
        <f>E57+F57+G57+H57+I57</f>
        <v/>
      </c>
      <c r="K57" s="23">
        <f>IF(OR(J57="",ROW()=5),"",(J57-INDIRECT("J"&amp;(ROW()-1)))/INDIRECT("J"&amp;(ROW()-1)))</f>
        <v/>
      </c>
    </row>
    <row r="58" ht="22" customHeight="1">
      <c r="B58" s="20">
        <f>IF(C58="","MSS-"&amp;TEXT(COUNTA($C$5:C58),"000"))</f>
        <v/>
      </c>
      <c r="C58" s="17" t="n"/>
      <c r="D58" s="17" t="n"/>
      <c r="E58" s="25" t="n"/>
      <c r="F58" s="25" t="n"/>
      <c r="G58" s="25" t="n"/>
      <c r="H58" s="25" t="n"/>
      <c r="I58" s="25" t="n"/>
      <c r="J58" s="25">
        <f>E58+F58+G58+H58+I58</f>
        <v/>
      </c>
      <c r="K58" s="26">
        <f>IF(OR(J58="",ROW()=5),"",(J58-INDIRECT("J"&amp;(ROW()-1)))/INDIRECT("J"&amp;(ROW()-1)))</f>
        <v/>
      </c>
    </row>
    <row r="59" ht="22" customHeight="1">
      <c r="B59" s="19">
        <f>IF(C59="","MSS-"&amp;TEXT(COUNTA($C$5:C59),"000"))</f>
        <v/>
      </c>
      <c r="C59" s="15" t="n"/>
      <c r="D59" s="15" t="n"/>
      <c r="E59" s="22" t="n"/>
      <c r="F59" s="22" t="n"/>
      <c r="G59" s="22" t="n"/>
      <c r="H59" s="22" t="n"/>
      <c r="I59" s="22" t="n"/>
      <c r="J59" s="22">
        <f>E59+F59+G59+H59+I59</f>
        <v/>
      </c>
      <c r="K59" s="23">
        <f>IF(OR(J59="",ROW()=5),"",(J59-INDIRECT("J"&amp;(ROW()-1)))/INDIRECT("J"&amp;(ROW()-1)))</f>
        <v/>
      </c>
    </row>
    <row r="60" ht="22" customHeight="1">
      <c r="B60" s="20">
        <f>IF(C60="","MSS-"&amp;TEXT(COUNTA($C$5:C60),"000"))</f>
        <v/>
      </c>
      <c r="C60" s="17" t="n"/>
      <c r="D60" s="17" t="n"/>
      <c r="E60" s="25" t="n"/>
      <c r="F60" s="25" t="n"/>
      <c r="G60" s="25" t="n"/>
      <c r="H60" s="25" t="n"/>
      <c r="I60" s="25" t="n"/>
      <c r="J60" s="25">
        <f>E60+F60+G60+H60+I60</f>
        <v/>
      </c>
      <c r="K60" s="26">
        <f>IF(OR(J60="",ROW()=5),"",(J60-INDIRECT("J"&amp;(ROW()-1)))/INDIRECT("J"&amp;(ROW()-1)))</f>
        <v/>
      </c>
    </row>
    <row r="61" ht="22" customHeight="1">
      <c r="B61" s="19">
        <f>IF(C61="","MSS-"&amp;TEXT(COUNTA($C$5:C61),"000"))</f>
        <v/>
      </c>
      <c r="C61" s="15" t="n"/>
      <c r="D61" s="15" t="n"/>
      <c r="E61" s="22" t="n"/>
      <c r="F61" s="22" t="n"/>
      <c r="G61" s="22" t="n"/>
      <c r="H61" s="22" t="n"/>
      <c r="I61" s="22" t="n"/>
      <c r="J61" s="22">
        <f>E61+F61+G61+H61+I61</f>
        <v/>
      </c>
      <c r="K61" s="23">
        <f>IF(OR(J61="",ROW()=5),"",(J61-INDIRECT("J"&amp;(ROW()-1)))/INDIRECT("J"&amp;(ROW()-1)))</f>
        <v/>
      </c>
    </row>
    <row r="62" ht="22" customHeight="1">
      <c r="B62" s="20">
        <f>IF(C62="","MSS-"&amp;TEXT(COUNTA($C$5:C62),"000"))</f>
        <v/>
      </c>
      <c r="C62" s="17" t="n"/>
      <c r="D62" s="17" t="n"/>
      <c r="E62" s="25" t="n"/>
      <c r="F62" s="25" t="n"/>
      <c r="G62" s="25" t="n"/>
      <c r="H62" s="25" t="n"/>
      <c r="I62" s="25" t="n"/>
      <c r="J62" s="25">
        <f>E62+F62+G62+H62+I62</f>
        <v/>
      </c>
      <c r="K62" s="26">
        <f>IF(OR(J62="",ROW()=5),"",(J62-INDIRECT("J"&amp;(ROW()-1)))/INDIRECT("J"&amp;(ROW()-1)))</f>
        <v/>
      </c>
    </row>
    <row r="63" ht="22" customHeight="1">
      <c r="B63" s="19">
        <f>IF(C63="","MSS-"&amp;TEXT(COUNTA($C$5:C63),"000"))</f>
        <v/>
      </c>
      <c r="C63" s="15" t="n"/>
      <c r="D63" s="15" t="n"/>
      <c r="E63" s="22" t="n"/>
      <c r="F63" s="22" t="n"/>
      <c r="G63" s="22" t="n"/>
      <c r="H63" s="22" t="n"/>
      <c r="I63" s="22" t="n"/>
      <c r="J63" s="22">
        <f>E63+F63+G63+H63+I63</f>
        <v/>
      </c>
      <c r="K63" s="23">
        <f>IF(OR(J63="",ROW()=5),"",(J63-INDIRECT("J"&amp;(ROW()-1)))/INDIRECT("J"&amp;(ROW()-1)))</f>
        <v/>
      </c>
    </row>
    <row r="64" ht="22" customHeight="1">
      <c r="B64" s="20">
        <f>IF(C64="","MSS-"&amp;TEXT(COUNTA($C$5:C64),"000"))</f>
        <v/>
      </c>
      <c r="C64" s="17" t="n"/>
      <c r="D64" s="17" t="n"/>
      <c r="E64" s="25" t="n"/>
      <c r="F64" s="25" t="n"/>
      <c r="G64" s="25" t="n"/>
      <c r="H64" s="25" t="n"/>
      <c r="I64" s="25" t="n"/>
      <c r="J64" s="25">
        <f>E64+F64+G64+H64+I64</f>
        <v/>
      </c>
      <c r="K64" s="26">
        <f>IF(OR(J64="",ROW()=5),"",(J64-INDIRECT("J"&amp;(ROW()-1)))/INDIRECT("J"&amp;(ROW()-1)))</f>
        <v/>
      </c>
    </row>
    <row r="65" ht="22" customHeight="1">
      <c r="B65" s="19">
        <f>IF(C65="","MSS-"&amp;TEXT(COUNTA($C$5:C65),"000"))</f>
        <v/>
      </c>
      <c r="C65" s="15" t="n"/>
      <c r="D65" s="15" t="n"/>
      <c r="E65" s="22" t="n"/>
      <c r="F65" s="22" t="n"/>
      <c r="G65" s="22" t="n"/>
      <c r="H65" s="22" t="n"/>
      <c r="I65" s="22" t="n"/>
      <c r="J65" s="22">
        <f>E65+F65+G65+H65+I65</f>
        <v/>
      </c>
      <c r="K65" s="23">
        <f>IF(OR(J65="",ROW()=5),"",(J65-INDIRECT("J"&amp;(ROW()-1)))/INDIRECT("J"&amp;(ROW()-1)))</f>
        <v/>
      </c>
    </row>
    <row r="66" ht="22" customHeight="1">
      <c r="B66" s="20">
        <f>IF(C66="","MSS-"&amp;TEXT(COUNTA($C$5:C66),"000"))</f>
        <v/>
      </c>
      <c r="C66" s="17" t="n"/>
      <c r="D66" s="17" t="n"/>
      <c r="E66" s="25" t="n"/>
      <c r="F66" s="25" t="n"/>
      <c r="G66" s="25" t="n"/>
      <c r="H66" s="25" t="n"/>
      <c r="I66" s="25" t="n"/>
      <c r="J66" s="25">
        <f>E66+F66+G66+H66+I66</f>
        <v/>
      </c>
      <c r="K66" s="26">
        <f>IF(OR(J66="",ROW()=5),"",(J66-INDIRECT("J"&amp;(ROW()-1)))/INDIRECT("J"&amp;(ROW()-1)))</f>
        <v/>
      </c>
    </row>
    <row r="67" ht="22" customHeight="1">
      <c r="B67" s="19">
        <f>IF(C67="","MSS-"&amp;TEXT(COUNTA($C$5:C67),"000"))</f>
        <v/>
      </c>
      <c r="C67" s="15" t="n"/>
      <c r="D67" s="15" t="n"/>
      <c r="E67" s="22" t="n"/>
      <c r="F67" s="22" t="n"/>
      <c r="G67" s="22" t="n"/>
      <c r="H67" s="22" t="n"/>
      <c r="I67" s="22" t="n"/>
      <c r="J67" s="22">
        <f>E67+F67+G67+H67+I67</f>
        <v/>
      </c>
      <c r="K67" s="23">
        <f>IF(OR(J67="",ROW()=5),"",(J67-INDIRECT("J"&amp;(ROW()-1)))/INDIRECT("J"&amp;(ROW()-1)))</f>
        <v/>
      </c>
    </row>
    <row r="68" ht="22" customHeight="1">
      <c r="B68" s="20">
        <f>IF(C68="","MSS-"&amp;TEXT(COUNTA($C$5:C68),"000"))</f>
        <v/>
      </c>
      <c r="C68" s="17" t="n"/>
      <c r="D68" s="17" t="n"/>
      <c r="E68" s="25" t="n"/>
      <c r="F68" s="25" t="n"/>
      <c r="G68" s="25" t="n"/>
      <c r="H68" s="25" t="n"/>
      <c r="I68" s="25" t="n"/>
      <c r="J68" s="25">
        <f>E68+F68+G68+H68+I68</f>
        <v/>
      </c>
      <c r="K68" s="26">
        <f>IF(OR(J68="",ROW()=5),"",(J68-INDIRECT("J"&amp;(ROW()-1)))/INDIRECT("J"&amp;(ROW()-1)))</f>
        <v/>
      </c>
    </row>
    <row r="69" ht="22" customHeight="1">
      <c r="B69" s="19">
        <f>IF(C69="","MSS-"&amp;TEXT(COUNTA($C$5:C69),"000"))</f>
        <v/>
      </c>
      <c r="C69" s="15" t="n"/>
      <c r="D69" s="15" t="n"/>
      <c r="E69" s="22" t="n"/>
      <c r="F69" s="22" t="n"/>
      <c r="G69" s="22" t="n"/>
      <c r="H69" s="22" t="n"/>
      <c r="I69" s="22" t="n"/>
      <c r="J69" s="22">
        <f>E69+F69+G69+H69+I69</f>
        <v/>
      </c>
      <c r="K69" s="23">
        <f>IF(OR(J69="",ROW()=5),"",(J69-INDIRECT("J"&amp;(ROW()-1)))/INDIRECT("J"&amp;(ROW()-1)))</f>
        <v/>
      </c>
    </row>
    <row r="70" ht="22" customHeight="1">
      <c r="B70" s="20">
        <f>IF(C70="","MSS-"&amp;TEXT(COUNTA($C$5:C70),"000"))</f>
        <v/>
      </c>
      <c r="C70" s="17" t="n"/>
      <c r="D70" s="17" t="n"/>
      <c r="E70" s="25" t="n"/>
      <c r="F70" s="25" t="n"/>
      <c r="G70" s="25" t="n"/>
      <c r="H70" s="25" t="n"/>
      <c r="I70" s="25" t="n"/>
      <c r="J70" s="25">
        <f>E70+F70+G70+H70+I70</f>
        <v/>
      </c>
      <c r="K70" s="26">
        <f>IF(OR(J70="",ROW()=5),"",(J70-INDIRECT("J"&amp;(ROW()-1)))/INDIRECT("J"&amp;(ROW()-1)))</f>
        <v/>
      </c>
    </row>
    <row r="71" ht="22" customHeight="1">
      <c r="B71" s="19">
        <f>IF(C71="","MSS-"&amp;TEXT(COUNTA($C$5:C71),"000"))</f>
        <v/>
      </c>
      <c r="C71" s="15" t="n"/>
      <c r="D71" s="15" t="n"/>
      <c r="E71" s="22" t="n"/>
      <c r="F71" s="22" t="n"/>
      <c r="G71" s="22" t="n"/>
      <c r="H71" s="22" t="n"/>
      <c r="I71" s="22" t="n"/>
      <c r="J71" s="22">
        <f>E71+F71+G71+H71+I71</f>
        <v/>
      </c>
      <c r="K71" s="23">
        <f>IF(OR(J71="",ROW()=5),"",(J71-INDIRECT("J"&amp;(ROW()-1)))/INDIRECT("J"&amp;(ROW()-1)))</f>
        <v/>
      </c>
    </row>
    <row r="72" ht="22" customHeight="1">
      <c r="B72" s="20">
        <f>IF(C72="","MSS-"&amp;TEXT(COUNTA($C$5:C72),"000"))</f>
        <v/>
      </c>
      <c r="C72" s="17" t="n"/>
      <c r="D72" s="17" t="n"/>
      <c r="E72" s="25" t="n"/>
      <c r="F72" s="25" t="n"/>
      <c r="G72" s="25" t="n"/>
      <c r="H72" s="25" t="n"/>
      <c r="I72" s="25" t="n"/>
      <c r="J72" s="25">
        <f>E72+F72+G72+H72+I72</f>
        <v/>
      </c>
      <c r="K72" s="26">
        <f>IF(OR(J72="",ROW()=5),"",(J72-INDIRECT("J"&amp;(ROW()-1)))/INDIRECT("J"&amp;(ROW()-1)))</f>
        <v/>
      </c>
    </row>
    <row r="73" ht="22" customHeight="1">
      <c r="B73" s="19">
        <f>IF(C73="","MSS-"&amp;TEXT(COUNTA($C$5:C73),"000"))</f>
        <v/>
      </c>
      <c r="C73" s="15" t="n"/>
      <c r="D73" s="15" t="n"/>
      <c r="E73" s="22" t="n"/>
      <c r="F73" s="22" t="n"/>
      <c r="G73" s="22" t="n"/>
      <c r="H73" s="22" t="n"/>
      <c r="I73" s="22" t="n"/>
      <c r="J73" s="22">
        <f>E73+F73+G73+H73+I73</f>
        <v/>
      </c>
      <c r="K73" s="23">
        <f>IF(OR(J73="",ROW()=5),"",(J73-INDIRECT("J"&amp;(ROW()-1)))/INDIRECT("J"&amp;(ROW()-1)))</f>
        <v/>
      </c>
    </row>
    <row r="74" ht="22" customHeight="1">
      <c r="B74" s="20">
        <f>IF(C74="","MSS-"&amp;TEXT(COUNTA($C$5:C74),"000"))</f>
        <v/>
      </c>
      <c r="C74" s="17" t="n"/>
      <c r="D74" s="17" t="n"/>
      <c r="E74" s="25" t="n"/>
      <c r="F74" s="25" t="n"/>
      <c r="G74" s="25" t="n"/>
      <c r="H74" s="25" t="n"/>
      <c r="I74" s="25" t="n"/>
      <c r="J74" s="25">
        <f>E74+F74+G74+H74+I74</f>
        <v/>
      </c>
      <c r="K74" s="26">
        <f>IF(OR(J74="",ROW()=5),"",(J74-INDIRECT("J"&amp;(ROW()-1)))/INDIRECT("J"&amp;(ROW()-1)))</f>
        <v/>
      </c>
    </row>
    <row r="75" ht="22" customHeight="1">
      <c r="B75" s="19">
        <f>IF(C75="","MSS-"&amp;TEXT(COUNTA($C$5:C75),"000"))</f>
        <v/>
      </c>
      <c r="C75" s="15" t="n"/>
      <c r="D75" s="15" t="n"/>
      <c r="E75" s="22" t="n"/>
      <c r="F75" s="22" t="n"/>
      <c r="G75" s="22" t="n"/>
      <c r="H75" s="22" t="n"/>
      <c r="I75" s="22" t="n"/>
      <c r="J75" s="22">
        <f>E75+F75+G75+H75+I75</f>
        <v/>
      </c>
      <c r="K75" s="23">
        <f>IF(OR(J75="",ROW()=5),"",(J75-INDIRECT("J"&amp;(ROW()-1)))/INDIRECT("J"&amp;(ROW()-1)))</f>
        <v/>
      </c>
    </row>
    <row r="76" ht="22" customHeight="1">
      <c r="B76" s="20">
        <f>IF(C76="","MSS-"&amp;TEXT(COUNTA($C$5:C76),"000"))</f>
        <v/>
      </c>
      <c r="C76" s="17" t="n"/>
      <c r="D76" s="17" t="n"/>
      <c r="E76" s="25" t="n"/>
      <c r="F76" s="25" t="n"/>
      <c r="G76" s="25" t="n"/>
      <c r="H76" s="25" t="n"/>
      <c r="I76" s="25" t="n"/>
      <c r="J76" s="25">
        <f>E76+F76+G76+H76+I76</f>
        <v/>
      </c>
      <c r="K76" s="26">
        <f>IF(OR(J76="",ROW()=5),"",(J76-INDIRECT("J"&amp;(ROW()-1)))/INDIRECT("J"&amp;(ROW()-1)))</f>
        <v/>
      </c>
    </row>
    <row r="77" ht="22" customHeight="1">
      <c r="B77" s="19">
        <f>IF(C77="","MSS-"&amp;TEXT(COUNTA($C$5:C77),"000"))</f>
        <v/>
      </c>
      <c r="C77" s="15" t="n"/>
      <c r="D77" s="15" t="n"/>
      <c r="E77" s="22" t="n"/>
      <c r="F77" s="22" t="n"/>
      <c r="G77" s="22" t="n"/>
      <c r="H77" s="22" t="n"/>
      <c r="I77" s="22" t="n"/>
      <c r="J77" s="22">
        <f>E77+F77+G77+H77+I77</f>
        <v/>
      </c>
      <c r="K77" s="23">
        <f>IF(OR(J77="",ROW()=5),"",(J77-INDIRECT("J"&amp;(ROW()-1)))/INDIRECT("J"&amp;(ROW()-1)))</f>
        <v/>
      </c>
    </row>
    <row r="78" ht="22" customHeight="1">
      <c r="B78" s="20">
        <f>IF(C78="","MSS-"&amp;TEXT(COUNTA($C$5:C78),"000"))</f>
        <v/>
      </c>
      <c r="C78" s="17" t="n"/>
      <c r="D78" s="17" t="n"/>
      <c r="E78" s="25" t="n"/>
      <c r="F78" s="25" t="n"/>
      <c r="G78" s="25" t="n"/>
      <c r="H78" s="25" t="n"/>
      <c r="I78" s="25" t="n"/>
      <c r="J78" s="25">
        <f>E78+F78+G78+H78+I78</f>
        <v/>
      </c>
      <c r="K78" s="26">
        <f>IF(OR(J78="",ROW()=5),"",(J78-INDIRECT("J"&amp;(ROW()-1)))/INDIRECT("J"&amp;(ROW()-1)))</f>
        <v/>
      </c>
    </row>
    <row r="79" ht="22" customHeight="1">
      <c r="B79" s="19">
        <f>IF(C79="","MSS-"&amp;TEXT(COUNTA($C$5:C79),"000"))</f>
        <v/>
      </c>
      <c r="C79" s="15" t="n"/>
      <c r="D79" s="15" t="n"/>
      <c r="E79" s="22" t="n"/>
      <c r="F79" s="22" t="n"/>
      <c r="G79" s="22" t="n"/>
      <c r="H79" s="22" t="n"/>
      <c r="I79" s="22" t="n"/>
      <c r="J79" s="22">
        <f>E79+F79+G79+H79+I79</f>
        <v/>
      </c>
      <c r="K79" s="23">
        <f>IF(OR(J79="",ROW()=5),"",(J79-INDIRECT("J"&amp;(ROW()-1)))/INDIRECT("J"&amp;(ROW()-1)))</f>
        <v/>
      </c>
    </row>
    <row r="80" ht="22" customHeight="1">
      <c r="B80" s="20">
        <f>IF(C80="","MSS-"&amp;TEXT(COUNTA($C$5:C80),"000"))</f>
        <v/>
      </c>
      <c r="C80" s="17" t="n"/>
      <c r="D80" s="17" t="n"/>
      <c r="E80" s="25" t="n"/>
      <c r="F80" s="25" t="n"/>
      <c r="G80" s="25" t="n"/>
      <c r="H80" s="25" t="n"/>
      <c r="I80" s="25" t="n"/>
      <c r="J80" s="25">
        <f>E80+F80+G80+H80+I80</f>
        <v/>
      </c>
      <c r="K80" s="26">
        <f>IF(OR(J80="",ROW()=5),"",(J80-INDIRECT("J"&amp;(ROW()-1)))/INDIRECT("J"&amp;(ROW()-1)))</f>
        <v/>
      </c>
    </row>
    <row r="81" ht="22" customHeight="1">
      <c r="B81" s="19">
        <f>IF(C81="","MSS-"&amp;TEXT(COUNTA($C$5:C81),"000"))</f>
        <v/>
      </c>
      <c r="C81" s="15" t="n"/>
      <c r="D81" s="15" t="n"/>
      <c r="E81" s="22" t="n"/>
      <c r="F81" s="22" t="n"/>
      <c r="G81" s="22" t="n"/>
      <c r="H81" s="22" t="n"/>
      <c r="I81" s="22" t="n"/>
      <c r="J81" s="22">
        <f>E81+F81+G81+H81+I81</f>
        <v/>
      </c>
      <c r="K81" s="23">
        <f>IF(OR(J81="",ROW()=5),"",(J81-INDIRECT("J"&amp;(ROW()-1)))/INDIRECT("J"&amp;(ROW()-1)))</f>
        <v/>
      </c>
    </row>
    <row r="82" ht="22" customHeight="1">
      <c r="B82" s="20">
        <f>IF(C82="","MSS-"&amp;TEXT(COUNTA($C$5:C82),"000"))</f>
        <v/>
      </c>
      <c r="C82" s="17" t="n"/>
      <c r="D82" s="17" t="n"/>
      <c r="E82" s="25" t="n"/>
      <c r="F82" s="25" t="n"/>
      <c r="G82" s="25" t="n"/>
      <c r="H82" s="25" t="n"/>
      <c r="I82" s="25" t="n"/>
      <c r="J82" s="25">
        <f>E82+F82+G82+H82+I82</f>
        <v/>
      </c>
      <c r="K82" s="26">
        <f>IF(OR(J82="",ROW()=5),"",(J82-INDIRECT("J"&amp;(ROW()-1)))/INDIRECT("J"&amp;(ROW()-1)))</f>
        <v/>
      </c>
    </row>
    <row r="83" ht="22" customHeight="1">
      <c r="B83" s="19">
        <f>IF(C83="","MSS-"&amp;TEXT(COUNTA($C$5:C83),"000"))</f>
        <v/>
      </c>
      <c r="C83" s="15" t="n"/>
      <c r="D83" s="15" t="n"/>
      <c r="E83" s="22" t="n"/>
      <c r="F83" s="22" t="n"/>
      <c r="G83" s="22" t="n"/>
      <c r="H83" s="22" t="n"/>
      <c r="I83" s="22" t="n"/>
      <c r="J83" s="22">
        <f>E83+F83+G83+H83+I83</f>
        <v/>
      </c>
      <c r="K83" s="23">
        <f>IF(OR(J83="",ROW()=5),"",(J83-INDIRECT("J"&amp;(ROW()-1)))/INDIRECT("J"&amp;(ROW()-1)))</f>
        <v/>
      </c>
    </row>
    <row r="84" ht="22" customHeight="1">
      <c r="B84" s="20">
        <f>IF(C84="","MSS-"&amp;TEXT(COUNTA($C$5:C84),"000"))</f>
        <v/>
      </c>
      <c r="C84" s="17" t="n"/>
      <c r="D84" s="17" t="n"/>
      <c r="E84" s="25" t="n"/>
      <c r="F84" s="25" t="n"/>
      <c r="G84" s="25" t="n"/>
      <c r="H84" s="25" t="n"/>
      <c r="I84" s="25" t="n"/>
      <c r="J84" s="25">
        <f>E84+F84+G84+H84+I84</f>
        <v/>
      </c>
      <c r="K84" s="26">
        <f>IF(OR(J84="",ROW()=5),"",(J84-INDIRECT("J"&amp;(ROW()-1)))/INDIRECT("J"&amp;(ROW()-1)))</f>
        <v/>
      </c>
    </row>
    <row r="85" ht="22" customHeight="1">
      <c r="B85" s="19">
        <f>IF(C85="","MSS-"&amp;TEXT(COUNTA($C$5:C85),"000"))</f>
        <v/>
      </c>
      <c r="C85" s="15" t="n"/>
      <c r="D85" s="15" t="n"/>
      <c r="E85" s="22" t="n"/>
      <c r="F85" s="22" t="n"/>
      <c r="G85" s="22" t="n"/>
      <c r="H85" s="22" t="n"/>
      <c r="I85" s="22" t="n"/>
      <c r="J85" s="22">
        <f>E85+F85+G85+H85+I85</f>
        <v/>
      </c>
      <c r="K85" s="23">
        <f>IF(OR(J85="",ROW()=5),"",(J85-INDIRECT("J"&amp;(ROW()-1)))/INDIRECT("J"&amp;(ROW()-1)))</f>
        <v/>
      </c>
    </row>
    <row r="86" ht="22" customHeight="1">
      <c r="B86" s="20">
        <f>IF(C86="","MSS-"&amp;TEXT(COUNTA($C$5:C86),"000"))</f>
        <v/>
      </c>
      <c r="C86" s="17" t="n"/>
      <c r="D86" s="17" t="n"/>
      <c r="E86" s="25" t="n"/>
      <c r="F86" s="25" t="n"/>
      <c r="G86" s="25" t="n"/>
      <c r="H86" s="25" t="n"/>
      <c r="I86" s="25" t="n"/>
      <c r="J86" s="25">
        <f>E86+F86+G86+H86+I86</f>
        <v/>
      </c>
      <c r="K86" s="26">
        <f>IF(OR(J86="",ROW()=5),"",(J86-INDIRECT("J"&amp;(ROW()-1)))/INDIRECT("J"&amp;(ROW()-1)))</f>
        <v/>
      </c>
    </row>
    <row r="87" ht="22" customHeight="1">
      <c r="B87" s="19">
        <f>IF(C87="","MSS-"&amp;TEXT(COUNTA($C$5:C87),"000"))</f>
        <v/>
      </c>
      <c r="C87" s="15" t="n"/>
      <c r="D87" s="15" t="n"/>
      <c r="E87" s="22" t="n"/>
      <c r="F87" s="22" t="n"/>
      <c r="G87" s="22" t="n"/>
      <c r="H87" s="22" t="n"/>
      <c r="I87" s="22" t="n"/>
      <c r="J87" s="22">
        <f>E87+F87+G87+H87+I87</f>
        <v/>
      </c>
      <c r="K87" s="23">
        <f>IF(OR(J87="",ROW()=5),"",(J87-INDIRECT("J"&amp;(ROW()-1)))/INDIRECT("J"&amp;(ROW()-1)))</f>
        <v/>
      </c>
    </row>
    <row r="88" ht="22" customHeight="1">
      <c r="B88" s="20">
        <f>IF(C88="","MSS-"&amp;TEXT(COUNTA($C$5:C88),"000"))</f>
        <v/>
      </c>
      <c r="C88" s="17" t="n"/>
      <c r="D88" s="17" t="n"/>
      <c r="E88" s="25" t="n"/>
      <c r="F88" s="25" t="n"/>
      <c r="G88" s="25" t="n"/>
      <c r="H88" s="25" t="n"/>
      <c r="I88" s="25" t="n"/>
      <c r="J88" s="25">
        <f>E88+F88+G88+H88+I88</f>
        <v/>
      </c>
      <c r="K88" s="26">
        <f>IF(OR(J88="",ROW()=5),"",(J88-INDIRECT("J"&amp;(ROW()-1)))/INDIRECT("J"&amp;(ROW()-1)))</f>
        <v/>
      </c>
    </row>
    <row r="89" ht="22" customHeight="1">
      <c r="B89" s="19">
        <f>IF(C89="","MSS-"&amp;TEXT(COUNTA($C$5:C89),"000"))</f>
        <v/>
      </c>
      <c r="C89" s="15" t="n"/>
      <c r="D89" s="15" t="n"/>
      <c r="E89" s="22" t="n"/>
      <c r="F89" s="22" t="n"/>
      <c r="G89" s="22" t="n"/>
      <c r="H89" s="22" t="n"/>
      <c r="I89" s="22" t="n"/>
      <c r="J89" s="22">
        <f>E89+F89+G89+H89+I89</f>
        <v/>
      </c>
      <c r="K89" s="23">
        <f>IF(OR(J89="",ROW()=5),"",(J89-INDIRECT("J"&amp;(ROW()-1)))/INDIRECT("J"&amp;(ROW()-1)))</f>
        <v/>
      </c>
    </row>
    <row r="90" ht="22" customHeight="1">
      <c r="B90" s="20">
        <f>IF(C90="","MSS-"&amp;TEXT(COUNTA($C$5:C90),"000"))</f>
        <v/>
      </c>
      <c r="C90" s="17" t="n"/>
      <c r="D90" s="17" t="n"/>
      <c r="E90" s="25" t="n"/>
      <c r="F90" s="25" t="n"/>
      <c r="G90" s="25" t="n"/>
      <c r="H90" s="25" t="n"/>
      <c r="I90" s="25" t="n"/>
      <c r="J90" s="25">
        <f>E90+F90+G90+H90+I90</f>
        <v/>
      </c>
      <c r="K90" s="26">
        <f>IF(OR(J90="",ROW()=5),"",(J90-INDIRECT("J"&amp;(ROW()-1)))/INDIRECT("J"&amp;(ROW()-1)))</f>
        <v/>
      </c>
    </row>
    <row r="91" ht="22" customHeight="1">
      <c r="B91" s="19">
        <f>IF(C91="","MSS-"&amp;TEXT(COUNTA($C$5:C91),"000"))</f>
        <v/>
      </c>
      <c r="C91" s="15" t="n"/>
      <c r="D91" s="15" t="n"/>
      <c r="E91" s="22" t="n"/>
      <c r="F91" s="22" t="n"/>
      <c r="G91" s="22" t="n"/>
      <c r="H91" s="22" t="n"/>
      <c r="I91" s="22" t="n"/>
      <c r="J91" s="22">
        <f>E91+F91+G91+H91+I91</f>
        <v/>
      </c>
      <c r="K91" s="23">
        <f>IF(OR(J91="",ROW()=5),"",(J91-INDIRECT("J"&amp;(ROW()-1)))/INDIRECT("J"&amp;(ROW()-1)))</f>
        <v/>
      </c>
    </row>
    <row r="92" ht="22" customHeight="1">
      <c r="B92" s="20">
        <f>IF(C92="","MSS-"&amp;TEXT(COUNTA($C$5:C92),"000"))</f>
        <v/>
      </c>
      <c r="C92" s="17" t="n"/>
      <c r="D92" s="17" t="n"/>
      <c r="E92" s="25" t="n"/>
      <c r="F92" s="25" t="n"/>
      <c r="G92" s="25" t="n"/>
      <c r="H92" s="25" t="n"/>
      <c r="I92" s="25" t="n"/>
      <c r="J92" s="25">
        <f>E92+F92+G92+H92+I92</f>
        <v/>
      </c>
      <c r="K92" s="26">
        <f>IF(OR(J92="",ROW()=5),"",(J92-INDIRECT("J"&amp;(ROW()-1)))/INDIRECT("J"&amp;(ROW()-1)))</f>
        <v/>
      </c>
    </row>
    <row r="93" ht="22" customHeight="1">
      <c r="B93" s="19">
        <f>IF(C93="","MSS-"&amp;TEXT(COUNTA($C$5:C93),"000"))</f>
        <v/>
      </c>
      <c r="C93" s="15" t="n"/>
      <c r="D93" s="15" t="n"/>
      <c r="E93" s="22" t="n"/>
      <c r="F93" s="22" t="n"/>
      <c r="G93" s="22" t="n"/>
      <c r="H93" s="22" t="n"/>
      <c r="I93" s="22" t="n"/>
      <c r="J93" s="22">
        <f>E93+F93+G93+H93+I93</f>
        <v/>
      </c>
      <c r="K93" s="23">
        <f>IF(OR(J93="",ROW()=5),"",(J93-INDIRECT("J"&amp;(ROW()-1)))/INDIRECT("J"&amp;(ROW()-1)))</f>
        <v/>
      </c>
    </row>
    <row r="94" ht="22" customHeight="1">
      <c r="B94" s="20">
        <f>IF(C94="","MSS-"&amp;TEXT(COUNTA($C$5:C94),"000"))</f>
        <v/>
      </c>
      <c r="C94" s="17" t="n"/>
      <c r="D94" s="17" t="n"/>
      <c r="E94" s="25" t="n"/>
      <c r="F94" s="25" t="n"/>
      <c r="G94" s="25" t="n"/>
      <c r="H94" s="25" t="n"/>
      <c r="I94" s="25" t="n"/>
      <c r="J94" s="25">
        <f>E94+F94+G94+H94+I94</f>
        <v/>
      </c>
      <c r="K94" s="26">
        <f>IF(OR(J94="",ROW()=5),"",(J94-INDIRECT("J"&amp;(ROW()-1)))/INDIRECT("J"&amp;(ROW()-1)))</f>
        <v/>
      </c>
    </row>
    <row r="95" ht="22" customHeight="1">
      <c r="B95" s="19">
        <f>IF(C95="","MSS-"&amp;TEXT(COUNTA($C$5:C95),"000"))</f>
        <v/>
      </c>
      <c r="C95" s="15" t="n"/>
      <c r="D95" s="15" t="n"/>
      <c r="E95" s="22" t="n"/>
      <c r="F95" s="22" t="n"/>
      <c r="G95" s="22" t="n"/>
      <c r="H95" s="22" t="n"/>
      <c r="I95" s="22" t="n"/>
      <c r="J95" s="22">
        <f>E95+F95+G95+H95+I95</f>
        <v/>
      </c>
      <c r="K95" s="23">
        <f>IF(OR(J95="",ROW()=5),"",(J95-INDIRECT("J"&amp;(ROW()-1)))/INDIRECT("J"&amp;(ROW()-1)))</f>
        <v/>
      </c>
    </row>
    <row r="96" ht="22" customHeight="1">
      <c r="B96" s="20">
        <f>IF(C96="","MSS-"&amp;TEXT(COUNTA($C$5:C96),"000"))</f>
        <v/>
      </c>
      <c r="C96" s="17" t="n"/>
      <c r="D96" s="17" t="n"/>
      <c r="E96" s="25" t="n"/>
      <c r="F96" s="25" t="n"/>
      <c r="G96" s="25" t="n"/>
      <c r="H96" s="25" t="n"/>
      <c r="I96" s="25" t="n"/>
      <c r="J96" s="25">
        <f>E96+F96+G96+H96+I96</f>
        <v/>
      </c>
      <c r="K96" s="26">
        <f>IF(OR(J96="",ROW()=5),"",(J96-INDIRECT("J"&amp;(ROW()-1)))/INDIRECT("J"&amp;(ROW()-1)))</f>
        <v/>
      </c>
    </row>
    <row r="97" ht="22" customHeight="1">
      <c r="B97" s="19">
        <f>IF(C97="","MSS-"&amp;TEXT(COUNTA($C$5:C97),"000"))</f>
        <v/>
      </c>
      <c r="C97" s="15" t="n"/>
      <c r="D97" s="15" t="n"/>
      <c r="E97" s="22" t="n"/>
      <c r="F97" s="22" t="n"/>
      <c r="G97" s="22" t="n"/>
      <c r="H97" s="22" t="n"/>
      <c r="I97" s="22" t="n"/>
      <c r="J97" s="22">
        <f>E97+F97+G97+H97+I97</f>
        <v/>
      </c>
      <c r="K97" s="23">
        <f>IF(OR(J97="",ROW()=5),"",(J97-INDIRECT("J"&amp;(ROW()-1)))/INDIRECT("J"&amp;(ROW()-1)))</f>
        <v/>
      </c>
    </row>
    <row r="98" ht="22" customHeight="1">
      <c r="B98" s="20">
        <f>IF(C98="","MSS-"&amp;TEXT(COUNTA($C$5:C98),"000"))</f>
        <v/>
      </c>
      <c r="C98" s="17" t="n"/>
      <c r="D98" s="17" t="n"/>
      <c r="E98" s="25" t="n"/>
      <c r="F98" s="25" t="n"/>
      <c r="G98" s="25" t="n"/>
      <c r="H98" s="25" t="n"/>
      <c r="I98" s="25" t="n"/>
      <c r="J98" s="25">
        <f>E98+F98+G98+H98+I98</f>
        <v/>
      </c>
      <c r="K98" s="26">
        <f>IF(OR(J98="",ROW()=5),"",(J98-INDIRECT("J"&amp;(ROW()-1)))/INDIRECT("J"&amp;(ROW()-1)))</f>
        <v/>
      </c>
    </row>
    <row r="99" ht="22" customHeight="1">
      <c r="B99" s="19">
        <f>IF(C99="","MSS-"&amp;TEXT(COUNTA($C$5:C99),"000"))</f>
        <v/>
      </c>
      <c r="C99" s="15" t="n"/>
      <c r="D99" s="15" t="n"/>
      <c r="E99" s="22" t="n"/>
      <c r="F99" s="22" t="n"/>
      <c r="G99" s="22" t="n"/>
      <c r="H99" s="22" t="n"/>
      <c r="I99" s="22" t="n"/>
      <c r="J99" s="22">
        <f>E99+F99+G99+H99+I99</f>
        <v/>
      </c>
      <c r="K99" s="23">
        <f>IF(OR(J99="",ROW()=5),"",(J99-INDIRECT("J"&amp;(ROW()-1)))/INDIRECT("J"&amp;(ROW()-1)))</f>
        <v/>
      </c>
    </row>
    <row r="100" ht="22" customHeight="1">
      <c r="B100" s="20">
        <f>IF(C100="","MSS-"&amp;TEXT(COUNTA($C$5:C100),"000"))</f>
        <v/>
      </c>
      <c r="C100" s="17" t="n"/>
      <c r="D100" s="17" t="n"/>
      <c r="E100" s="25" t="n"/>
      <c r="F100" s="25" t="n"/>
      <c r="G100" s="25" t="n"/>
      <c r="H100" s="25" t="n"/>
      <c r="I100" s="25" t="n"/>
      <c r="J100" s="25">
        <f>E100+F100+G100+H100+I100</f>
        <v/>
      </c>
      <c r="K100" s="26">
        <f>IF(OR(J100="",ROW()=5),"",(J100-INDIRECT("J"&amp;(ROW()-1)))/INDIRECT("J"&amp;(ROW()-1)))</f>
        <v/>
      </c>
    </row>
    <row r="101" ht="22" customHeight="1">
      <c r="B101" s="19">
        <f>IF(C101="","MSS-"&amp;TEXT(COUNTA($C$5:C101),"000"))</f>
        <v/>
      </c>
      <c r="C101" s="15" t="n"/>
      <c r="D101" s="15" t="n"/>
      <c r="E101" s="22" t="n"/>
      <c r="F101" s="22" t="n"/>
      <c r="G101" s="22" t="n"/>
      <c r="H101" s="22" t="n"/>
      <c r="I101" s="22" t="n"/>
      <c r="J101" s="22">
        <f>E101+F101+G101+H101+I101</f>
        <v/>
      </c>
      <c r="K101" s="23">
        <f>IF(OR(J101="",ROW()=5),"",(J101-INDIRECT("J"&amp;(ROW()-1)))/INDIRECT("J"&amp;(ROW()-1)))</f>
        <v/>
      </c>
    </row>
    <row r="102" ht="22" customHeight="1">
      <c r="B102" s="20">
        <f>IF(C102="","MSS-"&amp;TEXT(COUNTA($C$5:C102),"000"))</f>
        <v/>
      </c>
      <c r="C102" s="17" t="n"/>
      <c r="D102" s="17" t="n"/>
      <c r="E102" s="25" t="n"/>
      <c r="F102" s="25" t="n"/>
      <c r="G102" s="25" t="n"/>
      <c r="H102" s="25" t="n"/>
      <c r="I102" s="25" t="n"/>
      <c r="J102" s="25">
        <f>E102+F102+G102+H102+I102</f>
        <v/>
      </c>
      <c r="K102" s="26">
        <f>IF(OR(J102="",ROW()=5),"",(J102-INDIRECT("J"&amp;(ROW()-1)))/INDIRECT("J"&amp;(ROW()-1)))</f>
        <v/>
      </c>
    </row>
    <row r="103" ht="22" customHeight="1">
      <c r="B103" s="19">
        <f>IF(C103="","MSS-"&amp;TEXT(COUNTA($C$5:C103),"000"))</f>
        <v/>
      </c>
      <c r="C103" s="15" t="n"/>
      <c r="D103" s="15" t="n"/>
      <c r="E103" s="22" t="n"/>
      <c r="F103" s="22" t="n"/>
      <c r="G103" s="22" t="n"/>
      <c r="H103" s="22" t="n"/>
      <c r="I103" s="22" t="n"/>
      <c r="J103" s="22">
        <f>E103+F103+G103+H103+I103</f>
        <v/>
      </c>
      <c r="K103" s="23">
        <f>IF(OR(J103="",ROW()=5),"",(J103-INDIRECT("J"&amp;(ROW()-1)))/INDIRECT("J"&amp;(ROW()-1)))</f>
        <v/>
      </c>
    </row>
    <row r="104" ht="22" customHeight="1">
      <c r="B104" s="20">
        <f>IF(C104="","MSS-"&amp;TEXT(COUNTA($C$5:C104),"000"))</f>
        <v/>
      </c>
      <c r="C104" s="17" t="n"/>
      <c r="D104" s="17" t="n"/>
      <c r="E104" s="25" t="n"/>
      <c r="F104" s="25" t="n"/>
      <c r="G104" s="25" t="n"/>
      <c r="H104" s="25" t="n"/>
      <c r="I104" s="25" t="n"/>
      <c r="J104" s="25">
        <f>E104+F104+G104+H104+I104</f>
        <v/>
      </c>
      <c r="K104" s="26">
        <f>IF(OR(J104="",ROW()=5),"",(J104-INDIRECT("J"&amp;(ROW()-1)))/INDIRECT("J"&amp;(ROW()-1)))</f>
        <v/>
      </c>
    </row>
    <row r="105" ht="22" customHeight="1">
      <c r="B105" s="19">
        <f>IF(C105="","MSS-"&amp;TEXT(COUNTA($C$5:C105),"000"))</f>
        <v/>
      </c>
      <c r="C105" s="15" t="n"/>
      <c r="D105" s="15" t="n"/>
      <c r="E105" s="22" t="n"/>
      <c r="F105" s="22" t="n"/>
      <c r="G105" s="22" t="n"/>
      <c r="H105" s="22" t="n"/>
      <c r="I105" s="22" t="n"/>
      <c r="J105" s="22">
        <f>E105+F105+G105+H105+I105</f>
        <v/>
      </c>
      <c r="K105" s="23">
        <f>IF(OR(J105="",ROW()=5),"",(J105-INDIRECT("J"&amp;(ROW()-1)))/INDIRECT("J"&amp;(ROW()-1)))</f>
        <v/>
      </c>
    </row>
    <row r="106" ht="22" customHeight="1">
      <c r="B106" s="20">
        <f>IF(C106="","MSS-"&amp;TEXT(COUNTA($C$5:C106),"000"))</f>
        <v/>
      </c>
      <c r="C106" s="17" t="n"/>
      <c r="D106" s="17" t="n"/>
      <c r="E106" s="25" t="n"/>
      <c r="F106" s="25" t="n"/>
      <c r="G106" s="25" t="n"/>
      <c r="H106" s="25" t="n"/>
      <c r="I106" s="25" t="n"/>
      <c r="J106" s="25">
        <f>E106+F106+G106+H106+I106</f>
        <v/>
      </c>
      <c r="K106" s="26">
        <f>IF(OR(J106="",ROW()=5),"",(J106-INDIRECT("J"&amp;(ROW()-1)))/INDIRECT("J"&amp;(ROW()-1)))</f>
        <v/>
      </c>
    </row>
    <row r="107" ht="22" customHeight="1">
      <c r="B107" s="19">
        <f>IF(C107="","MSS-"&amp;TEXT(COUNTA($C$5:C107),"000"))</f>
        <v/>
      </c>
      <c r="C107" s="15" t="n"/>
      <c r="D107" s="15" t="n"/>
      <c r="E107" s="22" t="n"/>
      <c r="F107" s="22" t="n"/>
      <c r="G107" s="22" t="n"/>
      <c r="H107" s="22" t="n"/>
      <c r="I107" s="22" t="n"/>
      <c r="J107" s="22">
        <f>E107+F107+G107+H107+I107</f>
        <v/>
      </c>
      <c r="K107" s="23">
        <f>IF(OR(J107="",ROW()=5),"",(J107-INDIRECT("J"&amp;(ROW()-1)))/INDIRECT("J"&amp;(ROW()-1)))</f>
        <v/>
      </c>
    </row>
    <row r="108" ht="22" customHeight="1">
      <c r="B108" s="20">
        <f>IF(C108="","MSS-"&amp;TEXT(COUNTA($C$5:C108),"000"))</f>
        <v/>
      </c>
      <c r="C108" s="17" t="n"/>
      <c r="D108" s="17" t="n"/>
      <c r="E108" s="25" t="n"/>
      <c r="F108" s="25" t="n"/>
      <c r="G108" s="25" t="n"/>
      <c r="H108" s="25" t="n"/>
      <c r="I108" s="25" t="n"/>
      <c r="J108" s="25">
        <f>E108+F108+G108+H108+I108</f>
        <v/>
      </c>
      <c r="K108" s="26">
        <f>IF(OR(J108="",ROW()=5),"",(J108-INDIRECT("J"&amp;(ROW()-1)))/INDIRECT("J"&amp;(ROW()-1)))</f>
        <v/>
      </c>
    </row>
    <row r="109" ht="22" customHeight="1">
      <c r="B109" s="19">
        <f>IF(C109="","MSS-"&amp;TEXT(COUNTA($C$5:C109),"000"))</f>
        <v/>
      </c>
      <c r="C109" s="15" t="n"/>
      <c r="D109" s="15" t="n"/>
      <c r="E109" s="22" t="n"/>
      <c r="F109" s="22" t="n"/>
      <c r="G109" s="22" t="n"/>
      <c r="H109" s="22" t="n"/>
      <c r="I109" s="22" t="n"/>
      <c r="J109" s="22">
        <f>E109+F109+G109+H109+I109</f>
        <v/>
      </c>
      <c r="K109" s="23">
        <f>IF(OR(J109="",ROW()=5),"",(J109-INDIRECT("J"&amp;(ROW()-1)))/INDIRECT("J"&amp;(ROW()-1)))</f>
        <v/>
      </c>
    </row>
    <row r="110" ht="22" customHeight="1">
      <c r="B110" s="20">
        <f>IF(C110="","MSS-"&amp;TEXT(COUNTA($C$5:C110),"000"))</f>
        <v/>
      </c>
      <c r="C110" s="17" t="n"/>
      <c r="D110" s="17" t="n"/>
      <c r="E110" s="25" t="n"/>
      <c r="F110" s="25" t="n"/>
      <c r="G110" s="25" t="n"/>
      <c r="H110" s="25" t="n"/>
      <c r="I110" s="25" t="n"/>
      <c r="J110" s="25">
        <f>E110+F110+G110+H110+I110</f>
        <v/>
      </c>
      <c r="K110" s="26">
        <f>IF(OR(J110="",ROW()=5),"",(J110-INDIRECT("J"&amp;(ROW()-1)))/INDIRECT("J"&amp;(ROW()-1)))</f>
        <v/>
      </c>
    </row>
    <row r="112" ht="26" customHeight="1">
      <c r="B112" s="27" t="inlineStr">
        <is>
          <t>TOTAL</t>
        </is>
      </c>
      <c r="C112" s="28" t="n"/>
      <c r="D112" s="28" t="n"/>
      <c r="E112" s="29">
        <f>SUM(E5:E104)</f>
        <v/>
      </c>
      <c r="F112" s="29">
        <f>SUM(F5:F104)</f>
        <v/>
      </c>
      <c r="G112" s="29">
        <f>SUM(G5:G104)</f>
        <v/>
      </c>
      <c r="H112" s="29">
        <f>SUM(H5:H104)</f>
        <v/>
      </c>
      <c r="I112" s="29">
        <f>SUM(I5:I104)</f>
        <v/>
      </c>
      <c r="J112" s="29">
        <f>SUM(J5:J104)</f>
        <v/>
      </c>
      <c r="K112" s="28" t="n"/>
    </row>
    <row r="114">
      <c r="B114" s="8" t="inlineStr">
        <is>
          <t>INDICATEURS (mis a jour automatiquement)</t>
        </is>
      </c>
    </row>
    <row r="115">
      <c r="B115" s="3" t="inlineStr">
        <is>
          <t>Masse totale</t>
        </is>
      </c>
      <c r="D115" s="3" t="inlineStr">
        <is>
          <t>Masse moy. mensuelle</t>
        </is>
      </c>
    </row>
    <row r="116">
      <c r="B116" s="4">
        <f>SUM(J5:J104)</f>
        <v/>
      </c>
      <c r="D116" s="4">
        <f>IFERROR(AVERAGE(J5:J104),0)</f>
        <v/>
      </c>
    </row>
  </sheetData>
  <mergeCells count="3">
    <mergeCell ref="B114:K114"/>
    <mergeCell ref="B3:K3"/>
    <mergeCell ref="B2:K2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conditionalFormatting sqref="K11:K110">
    <cfRule type="expression" priority="10" dxfId="0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'_Lists'!$F$2:$F$13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'_Lists'!$G$2:$G$4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4" customWidth="1" min="5" max="5"/>
    <col width="26" customWidth="1" min="6" max="6"/>
    <col width="18" customWidth="1" min="7" max="7"/>
    <col width="20" customWidth="1" min="8" max="8"/>
    <col width="14" customWidth="1" min="9" max="9"/>
    <col width="12" customWidth="1" min="10" max="10"/>
  </cols>
  <sheetData>
    <row r="1" ht="15" customHeight="1"/>
    <row r="2" ht="32" customHeight="1">
      <c r="B2" s="1" t="inlineStr">
        <is>
          <t>RATIO MASSE SALARIALE / CA (#143)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Mois</t>
        </is>
      </c>
      <c r="D4" s="14" t="inlineStr">
        <is>
          <t>Annee</t>
        </is>
      </c>
      <c r="E4" s="14" t="inlineStr">
        <is>
          <t>Masse Salariale (FCFA)</t>
        </is>
      </c>
      <c r="F4" s="14" t="inlineStr">
        <is>
          <t>Chiffre d'Affaires (FCFA)</t>
        </is>
      </c>
      <c r="G4" s="14" t="inlineStr">
        <is>
          <t>Ratio MS/CA (%)</t>
        </is>
      </c>
      <c r="H4" s="14" t="inlineStr">
        <is>
          <t>Ratio Objectif (%)</t>
        </is>
      </c>
      <c r="I4" s="14" t="inlineStr">
        <is>
          <t>Ecart (pts)</t>
        </is>
      </c>
      <c r="J4" s="14" t="inlineStr">
        <is>
          <t>Tendance</t>
        </is>
      </c>
    </row>
    <row r="5" ht="22" customHeight="1">
      <c r="B5" s="15" t="inlineStr">
        <is>
          <t>RMC-001</t>
        </is>
      </c>
      <c r="C5" s="15" t="inlineStr">
        <is>
          <t>Janvier</t>
        </is>
      </c>
      <c r="D5" s="15" t="inlineStr">
        <is>
          <t>2025</t>
        </is>
      </c>
      <c r="E5" s="22" t="n">
        <v>28780000</v>
      </c>
      <c r="F5" s="22" t="n">
        <v>85000000</v>
      </c>
      <c r="G5" s="23" t="n"/>
      <c r="H5" s="23" t="n">
        <v>0.35</v>
      </c>
      <c r="I5" s="23" t="n"/>
      <c r="J5" s="15" t="n"/>
    </row>
    <row r="6" ht="22" customHeight="1">
      <c r="B6" s="17" t="inlineStr">
        <is>
          <t>RMC-002</t>
        </is>
      </c>
      <c r="C6" s="17" t="inlineStr">
        <is>
          <t>Fevrier</t>
        </is>
      </c>
      <c r="D6" s="17" t="inlineStr">
        <is>
          <t>2025</t>
        </is>
      </c>
      <c r="E6" s="25" t="n">
        <v>28913000</v>
      </c>
      <c r="F6" s="25" t="n">
        <v>78000000</v>
      </c>
      <c r="G6" s="26" t="n"/>
      <c r="H6" s="26" t="n">
        <v>0.35</v>
      </c>
      <c r="I6" s="26" t="n"/>
      <c r="J6" s="17" t="n"/>
    </row>
    <row r="7" ht="22" customHeight="1">
      <c r="B7" s="15" t="inlineStr">
        <is>
          <t>RMC-003</t>
        </is>
      </c>
      <c r="C7" s="15" t="inlineStr">
        <is>
          <t>Mars</t>
        </is>
      </c>
      <c r="D7" s="15" t="inlineStr">
        <is>
          <t>2025</t>
        </is>
      </c>
      <c r="E7" s="22" t="n">
        <v>29324000</v>
      </c>
      <c r="F7" s="22" t="n">
        <v>92000000</v>
      </c>
      <c r="G7" s="23" t="n"/>
      <c r="H7" s="23" t="n">
        <v>0.35</v>
      </c>
      <c r="I7" s="23" t="n"/>
      <c r="J7" s="15" t="n"/>
    </row>
    <row r="8" ht="22" customHeight="1">
      <c r="B8" s="17" t="inlineStr">
        <is>
          <t>RMC-004</t>
        </is>
      </c>
      <c r="C8" s="17" t="inlineStr">
        <is>
          <t>Avril</t>
        </is>
      </c>
      <c r="D8" s="17" t="inlineStr">
        <is>
          <t>2025</t>
        </is>
      </c>
      <c r="E8" s="25" t="n">
        <v>29006000</v>
      </c>
      <c r="F8" s="25" t="n">
        <v>88000000</v>
      </c>
      <c r="G8" s="26" t="n"/>
      <c r="H8" s="26" t="n">
        <v>0.35</v>
      </c>
      <c r="I8" s="26" t="n"/>
      <c r="J8" s="17" t="n"/>
    </row>
    <row r="9" ht="22" customHeight="1">
      <c r="B9" s="15" t="inlineStr">
        <is>
          <t>RMC-005</t>
        </is>
      </c>
      <c r="C9" s="15" t="inlineStr">
        <is>
          <t>Mai</t>
        </is>
      </c>
      <c r="D9" s="15" t="inlineStr">
        <is>
          <t>2025</t>
        </is>
      </c>
      <c r="E9" s="22" t="n">
        <v>29550000</v>
      </c>
      <c r="F9" s="22" t="n">
        <v>95000000</v>
      </c>
      <c r="G9" s="23" t="n"/>
      <c r="H9" s="23" t="n">
        <v>0.35</v>
      </c>
      <c r="I9" s="23" t="n"/>
      <c r="J9" s="15" t="n"/>
    </row>
    <row r="10" ht="22" customHeight="1">
      <c r="B10" s="17" t="inlineStr">
        <is>
          <t>RMC-006</t>
        </is>
      </c>
      <c r="C10" s="17" t="inlineStr">
        <is>
          <t>Juin</t>
        </is>
      </c>
      <c r="D10" s="17" t="inlineStr">
        <is>
          <t>2025</t>
        </is>
      </c>
      <c r="E10" s="25" t="n">
        <v>29916000</v>
      </c>
      <c r="F10" s="25" t="n">
        <v>102000000</v>
      </c>
      <c r="G10" s="26" t="n"/>
      <c r="H10" s="26" t="n">
        <v>0.35</v>
      </c>
      <c r="I10" s="26" t="n"/>
      <c r="J10" s="17" t="n"/>
    </row>
    <row r="11" ht="22" customHeight="1">
      <c r="B11" s="19">
        <f>IF(C11="","RMC-"&amp;TEXT(COUNTA($C$5:C11),"000"))</f>
        <v/>
      </c>
      <c r="C11" s="15" t="n"/>
      <c r="D11" s="15" t="n"/>
      <c r="E11" s="22" t="n"/>
      <c r="F11" s="22" t="n"/>
      <c r="G11" s="23">
        <f>IF(OR(E11="",F11=""),"",E11/F11)</f>
        <v/>
      </c>
      <c r="H11" s="23" t="n"/>
      <c r="I11" s="23">
        <f>IF(OR(G11="",H11=""),"",H11-G11)</f>
        <v/>
      </c>
      <c r="J11" s="15" t="n"/>
    </row>
    <row r="12" ht="22" customHeight="1">
      <c r="B12" s="20">
        <f>IF(C12="","RMC-"&amp;TEXT(COUNTA($C$5:C12),"000"))</f>
        <v/>
      </c>
      <c r="C12" s="17" t="n"/>
      <c r="D12" s="17" t="n"/>
      <c r="E12" s="25" t="n"/>
      <c r="F12" s="25" t="n"/>
      <c r="G12" s="26">
        <f>IF(OR(E12="",F12=""),"",E12/F12)</f>
        <v/>
      </c>
      <c r="H12" s="26" t="n"/>
      <c r="I12" s="26">
        <f>IF(OR(G12="",H12=""),"",H12-G12)</f>
        <v/>
      </c>
      <c r="J12" s="17" t="n"/>
    </row>
    <row r="13" ht="22" customHeight="1">
      <c r="B13" s="19">
        <f>IF(C13="","RMC-"&amp;TEXT(COUNTA($C$5:C13),"000"))</f>
        <v/>
      </c>
      <c r="C13" s="15" t="n"/>
      <c r="D13" s="15" t="n"/>
      <c r="E13" s="22" t="n"/>
      <c r="F13" s="22" t="n"/>
      <c r="G13" s="23">
        <f>IF(OR(E13="",F13=""),"",E13/F13)</f>
        <v/>
      </c>
      <c r="H13" s="23" t="n"/>
      <c r="I13" s="23">
        <f>IF(OR(G13="",H13=""),"",H13-G13)</f>
        <v/>
      </c>
      <c r="J13" s="15" t="n"/>
    </row>
    <row r="14" ht="22" customHeight="1">
      <c r="B14" s="20">
        <f>IF(C14="","RMC-"&amp;TEXT(COUNTA($C$5:C14),"000"))</f>
        <v/>
      </c>
      <c r="C14" s="17" t="n"/>
      <c r="D14" s="17" t="n"/>
      <c r="E14" s="25" t="n"/>
      <c r="F14" s="25" t="n"/>
      <c r="G14" s="26">
        <f>IF(OR(E14="",F14=""),"",E14/F14)</f>
        <v/>
      </c>
      <c r="H14" s="26" t="n"/>
      <c r="I14" s="26">
        <f>IF(OR(G14="",H14=""),"",H14-G14)</f>
        <v/>
      </c>
      <c r="J14" s="17" t="n"/>
    </row>
    <row r="15" ht="22" customHeight="1">
      <c r="B15" s="19">
        <f>IF(C15="","RMC-"&amp;TEXT(COUNTA($C$5:C15),"000"))</f>
        <v/>
      </c>
      <c r="C15" s="15" t="n"/>
      <c r="D15" s="15" t="n"/>
      <c r="E15" s="22" t="n"/>
      <c r="F15" s="22" t="n"/>
      <c r="G15" s="23">
        <f>IF(OR(E15="",F15=""),"",E15/F15)</f>
        <v/>
      </c>
      <c r="H15" s="23" t="n"/>
      <c r="I15" s="23">
        <f>IF(OR(G15="",H15=""),"",H15-G15)</f>
        <v/>
      </c>
      <c r="J15" s="15" t="n"/>
    </row>
    <row r="16" ht="22" customHeight="1">
      <c r="B16" s="20">
        <f>IF(C16="","RMC-"&amp;TEXT(COUNTA($C$5:C16),"000"))</f>
        <v/>
      </c>
      <c r="C16" s="17" t="n"/>
      <c r="D16" s="17" t="n"/>
      <c r="E16" s="25" t="n"/>
      <c r="F16" s="25" t="n"/>
      <c r="G16" s="26">
        <f>IF(OR(E16="",F16=""),"",E16/F16)</f>
        <v/>
      </c>
      <c r="H16" s="26" t="n"/>
      <c r="I16" s="26">
        <f>IF(OR(G16="",H16=""),"",H16-G16)</f>
        <v/>
      </c>
      <c r="J16" s="17" t="n"/>
    </row>
    <row r="17" ht="22" customHeight="1">
      <c r="B17" s="19">
        <f>IF(C17="","RMC-"&amp;TEXT(COUNTA($C$5:C17),"000"))</f>
        <v/>
      </c>
      <c r="C17" s="15" t="n"/>
      <c r="D17" s="15" t="n"/>
      <c r="E17" s="22" t="n"/>
      <c r="F17" s="22" t="n"/>
      <c r="G17" s="23">
        <f>IF(OR(E17="",F17=""),"",E17/F17)</f>
        <v/>
      </c>
      <c r="H17" s="23" t="n"/>
      <c r="I17" s="23">
        <f>IF(OR(G17="",H17=""),"",H17-G17)</f>
        <v/>
      </c>
      <c r="J17" s="15" t="n"/>
    </row>
    <row r="18" ht="22" customHeight="1">
      <c r="B18" s="20">
        <f>IF(C18="","RMC-"&amp;TEXT(COUNTA($C$5:C18),"000"))</f>
        <v/>
      </c>
      <c r="C18" s="17" t="n"/>
      <c r="D18" s="17" t="n"/>
      <c r="E18" s="25" t="n"/>
      <c r="F18" s="25" t="n"/>
      <c r="G18" s="26">
        <f>IF(OR(E18="",F18=""),"",E18/F18)</f>
        <v/>
      </c>
      <c r="H18" s="26" t="n"/>
      <c r="I18" s="26">
        <f>IF(OR(G18="",H18=""),"",H18-G18)</f>
        <v/>
      </c>
      <c r="J18" s="17" t="n"/>
    </row>
    <row r="19" ht="22" customHeight="1">
      <c r="B19" s="19">
        <f>IF(C19="","RMC-"&amp;TEXT(COUNTA($C$5:C19),"000"))</f>
        <v/>
      </c>
      <c r="C19" s="15" t="n"/>
      <c r="D19" s="15" t="n"/>
      <c r="E19" s="22" t="n"/>
      <c r="F19" s="22" t="n"/>
      <c r="G19" s="23">
        <f>IF(OR(E19="",F19=""),"",E19/F19)</f>
        <v/>
      </c>
      <c r="H19" s="23" t="n"/>
      <c r="I19" s="23">
        <f>IF(OR(G19="",H19=""),"",H19-G19)</f>
        <v/>
      </c>
      <c r="J19" s="15" t="n"/>
    </row>
    <row r="20" ht="22" customHeight="1">
      <c r="B20" s="20">
        <f>IF(C20="","RMC-"&amp;TEXT(COUNTA($C$5:C20),"000"))</f>
        <v/>
      </c>
      <c r="C20" s="17" t="n"/>
      <c r="D20" s="17" t="n"/>
      <c r="E20" s="25" t="n"/>
      <c r="F20" s="25" t="n"/>
      <c r="G20" s="26">
        <f>IF(OR(E20="",F20=""),"",E20/F20)</f>
        <v/>
      </c>
      <c r="H20" s="26" t="n"/>
      <c r="I20" s="26">
        <f>IF(OR(G20="",H20=""),"",H20-G20)</f>
        <v/>
      </c>
      <c r="J20" s="17" t="n"/>
    </row>
    <row r="21" ht="22" customHeight="1">
      <c r="B21" s="19">
        <f>IF(C21="","RMC-"&amp;TEXT(COUNTA($C$5:C21),"000"))</f>
        <v/>
      </c>
      <c r="C21" s="15" t="n"/>
      <c r="D21" s="15" t="n"/>
      <c r="E21" s="22" t="n"/>
      <c r="F21" s="22" t="n"/>
      <c r="G21" s="23">
        <f>IF(OR(E21="",F21=""),"",E21/F21)</f>
        <v/>
      </c>
      <c r="H21" s="23" t="n"/>
      <c r="I21" s="23">
        <f>IF(OR(G21="",H21=""),"",H21-G21)</f>
        <v/>
      </c>
      <c r="J21" s="15" t="n"/>
    </row>
    <row r="22" ht="22" customHeight="1">
      <c r="B22" s="20">
        <f>IF(C22="","RMC-"&amp;TEXT(COUNTA($C$5:C22),"000"))</f>
        <v/>
      </c>
      <c r="C22" s="17" t="n"/>
      <c r="D22" s="17" t="n"/>
      <c r="E22" s="25" t="n"/>
      <c r="F22" s="25" t="n"/>
      <c r="G22" s="26">
        <f>IF(OR(E22="",F22=""),"",E22/F22)</f>
        <v/>
      </c>
      <c r="H22" s="26" t="n"/>
      <c r="I22" s="26">
        <f>IF(OR(G22="",H22=""),"",H22-G22)</f>
        <v/>
      </c>
      <c r="J22" s="17" t="n"/>
    </row>
    <row r="23" ht="22" customHeight="1">
      <c r="B23" s="19">
        <f>IF(C23="","RMC-"&amp;TEXT(COUNTA($C$5:C23),"000"))</f>
        <v/>
      </c>
      <c r="C23" s="15" t="n"/>
      <c r="D23" s="15" t="n"/>
      <c r="E23" s="22" t="n"/>
      <c r="F23" s="22" t="n"/>
      <c r="G23" s="23">
        <f>IF(OR(E23="",F23=""),"",E23/F23)</f>
        <v/>
      </c>
      <c r="H23" s="23" t="n"/>
      <c r="I23" s="23">
        <f>IF(OR(G23="",H23=""),"",H23-G23)</f>
        <v/>
      </c>
      <c r="J23" s="15" t="n"/>
    </row>
    <row r="24" ht="22" customHeight="1">
      <c r="B24" s="20">
        <f>IF(C24="","RMC-"&amp;TEXT(COUNTA($C$5:C24),"000"))</f>
        <v/>
      </c>
      <c r="C24" s="17" t="n"/>
      <c r="D24" s="17" t="n"/>
      <c r="E24" s="25" t="n"/>
      <c r="F24" s="25" t="n"/>
      <c r="G24" s="26">
        <f>IF(OR(E24="",F24=""),"",E24/F24)</f>
        <v/>
      </c>
      <c r="H24" s="26" t="n"/>
      <c r="I24" s="26">
        <f>IF(OR(G24="",H24=""),"",H24-G24)</f>
        <v/>
      </c>
      <c r="J24" s="17" t="n"/>
    </row>
    <row r="25" ht="22" customHeight="1">
      <c r="B25" s="19">
        <f>IF(C25="","RMC-"&amp;TEXT(COUNTA($C$5:C25),"000"))</f>
        <v/>
      </c>
      <c r="C25" s="15" t="n"/>
      <c r="D25" s="15" t="n"/>
      <c r="E25" s="22" t="n"/>
      <c r="F25" s="22" t="n"/>
      <c r="G25" s="23">
        <f>IF(OR(E25="",F25=""),"",E25/F25)</f>
        <v/>
      </c>
      <c r="H25" s="23" t="n"/>
      <c r="I25" s="23">
        <f>IF(OR(G25="",H25=""),"",H25-G25)</f>
        <v/>
      </c>
      <c r="J25" s="15" t="n"/>
    </row>
    <row r="26" ht="22" customHeight="1">
      <c r="B26" s="20">
        <f>IF(C26="","RMC-"&amp;TEXT(COUNTA($C$5:C26),"000"))</f>
        <v/>
      </c>
      <c r="C26" s="17" t="n"/>
      <c r="D26" s="17" t="n"/>
      <c r="E26" s="25" t="n"/>
      <c r="F26" s="25" t="n"/>
      <c r="G26" s="26">
        <f>IF(OR(E26="",F26=""),"",E26/F26)</f>
        <v/>
      </c>
      <c r="H26" s="26" t="n"/>
      <c r="I26" s="26">
        <f>IF(OR(G26="",H26=""),"",H26-G26)</f>
        <v/>
      </c>
      <c r="J26" s="17" t="n"/>
    </row>
    <row r="27" ht="22" customHeight="1">
      <c r="B27" s="19">
        <f>IF(C27="","RMC-"&amp;TEXT(COUNTA($C$5:C27),"000"))</f>
        <v/>
      </c>
      <c r="C27" s="15" t="n"/>
      <c r="D27" s="15" t="n"/>
      <c r="E27" s="22" t="n"/>
      <c r="F27" s="22" t="n"/>
      <c r="G27" s="23">
        <f>IF(OR(E27="",F27=""),"",E27/F27)</f>
        <v/>
      </c>
      <c r="H27" s="23" t="n"/>
      <c r="I27" s="23">
        <f>IF(OR(G27="",H27=""),"",H27-G27)</f>
        <v/>
      </c>
      <c r="J27" s="15" t="n"/>
    </row>
    <row r="28" ht="22" customHeight="1">
      <c r="B28" s="20">
        <f>IF(C28="","RMC-"&amp;TEXT(COUNTA($C$5:C28),"000"))</f>
        <v/>
      </c>
      <c r="C28" s="17" t="n"/>
      <c r="D28" s="17" t="n"/>
      <c r="E28" s="25" t="n"/>
      <c r="F28" s="25" t="n"/>
      <c r="G28" s="26">
        <f>IF(OR(E28="",F28=""),"",E28/F28)</f>
        <v/>
      </c>
      <c r="H28" s="26" t="n"/>
      <c r="I28" s="26">
        <f>IF(OR(G28="",H28=""),"",H28-G28)</f>
        <v/>
      </c>
      <c r="J28" s="17" t="n"/>
    </row>
    <row r="29" ht="22" customHeight="1">
      <c r="B29" s="19">
        <f>IF(C29="","RMC-"&amp;TEXT(COUNTA($C$5:C29),"000"))</f>
        <v/>
      </c>
      <c r="C29" s="15" t="n"/>
      <c r="D29" s="15" t="n"/>
      <c r="E29" s="22" t="n"/>
      <c r="F29" s="22" t="n"/>
      <c r="G29" s="23">
        <f>IF(OR(E29="",F29=""),"",E29/F29)</f>
        <v/>
      </c>
      <c r="H29" s="23" t="n"/>
      <c r="I29" s="23">
        <f>IF(OR(G29="",H29=""),"",H29-G29)</f>
        <v/>
      </c>
      <c r="J29" s="15" t="n"/>
    </row>
    <row r="30" ht="22" customHeight="1">
      <c r="B30" s="20">
        <f>IF(C30="","RMC-"&amp;TEXT(COUNTA($C$5:C30),"000"))</f>
        <v/>
      </c>
      <c r="C30" s="17" t="n"/>
      <c r="D30" s="17" t="n"/>
      <c r="E30" s="25" t="n"/>
      <c r="F30" s="25" t="n"/>
      <c r="G30" s="26">
        <f>IF(OR(E30="",F30=""),"",E30/F30)</f>
        <v/>
      </c>
      <c r="H30" s="26" t="n"/>
      <c r="I30" s="26">
        <f>IF(OR(G30="",H30=""),"",H30-G30)</f>
        <v/>
      </c>
      <c r="J30" s="17" t="n"/>
    </row>
    <row r="31" ht="22" customHeight="1">
      <c r="B31" s="19">
        <f>IF(C31="","RMC-"&amp;TEXT(COUNTA($C$5:C31),"000"))</f>
        <v/>
      </c>
      <c r="C31" s="15" t="n"/>
      <c r="D31" s="15" t="n"/>
      <c r="E31" s="22" t="n"/>
      <c r="F31" s="22" t="n"/>
      <c r="G31" s="23">
        <f>IF(OR(E31="",F31=""),"",E31/F31)</f>
        <v/>
      </c>
      <c r="H31" s="23" t="n"/>
      <c r="I31" s="23">
        <f>IF(OR(G31="",H31=""),"",H31-G31)</f>
        <v/>
      </c>
      <c r="J31" s="15" t="n"/>
    </row>
    <row r="32" ht="22" customHeight="1">
      <c r="B32" s="20">
        <f>IF(C32="","RMC-"&amp;TEXT(COUNTA($C$5:C32),"000"))</f>
        <v/>
      </c>
      <c r="C32" s="17" t="n"/>
      <c r="D32" s="17" t="n"/>
      <c r="E32" s="25" t="n"/>
      <c r="F32" s="25" t="n"/>
      <c r="G32" s="26">
        <f>IF(OR(E32="",F32=""),"",E32/F32)</f>
        <v/>
      </c>
      <c r="H32" s="26" t="n"/>
      <c r="I32" s="26">
        <f>IF(OR(G32="",H32=""),"",H32-G32)</f>
        <v/>
      </c>
      <c r="J32" s="17" t="n"/>
    </row>
    <row r="33" ht="22" customHeight="1">
      <c r="B33" s="19">
        <f>IF(C33="","RMC-"&amp;TEXT(COUNTA($C$5:C33),"000"))</f>
        <v/>
      </c>
      <c r="C33" s="15" t="n"/>
      <c r="D33" s="15" t="n"/>
      <c r="E33" s="22" t="n"/>
      <c r="F33" s="22" t="n"/>
      <c r="G33" s="23">
        <f>IF(OR(E33="",F33=""),"",E33/F33)</f>
        <v/>
      </c>
      <c r="H33" s="23" t="n"/>
      <c r="I33" s="23">
        <f>IF(OR(G33="",H33=""),"",H33-G33)</f>
        <v/>
      </c>
      <c r="J33" s="15" t="n"/>
    </row>
    <row r="34" ht="22" customHeight="1">
      <c r="B34" s="20">
        <f>IF(C34="","RMC-"&amp;TEXT(COUNTA($C$5:C34),"000"))</f>
        <v/>
      </c>
      <c r="C34" s="17" t="n"/>
      <c r="D34" s="17" t="n"/>
      <c r="E34" s="25" t="n"/>
      <c r="F34" s="25" t="n"/>
      <c r="G34" s="26">
        <f>IF(OR(E34="",F34=""),"",E34/F34)</f>
        <v/>
      </c>
      <c r="H34" s="26" t="n"/>
      <c r="I34" s="26">
        <f>IF(OR(G34="",H34=""),"",H34-G34)</f>
        <v/>
      </c>
      <c r="J34" s="17" t="n"/>
    </row>
    <row r="35" ht="22" customHeight="1">
      <c r="B35" s="19">
        <f>IF(C35="","RMC-"&amp;TEXT(COUNTA($C$5:C35),"000"))</f>
        <v/>
      </c>
      <c r="C35" s="15" t="n"/>
      <c r="D35" s="15" t="n"/>
      <c r="E35" s="22" t="n"/>
      <c r="F35" s="22" t="n"/>
      <c r="G35" s="23">
        <f>IF(OR(E35="",F35=""),"",E35/F35)</f>
        <v/>
      </c>
      <c r="H35" s="23" t="n"/>
      <c r="I35" s="23">
        <f>IF(OR(G35="",H35=""),"",H35-G35)</f>
        <v/>
      </c>
      <c r="J35" s="15" t="n"/>
    </row>
    <row r="36" ht="22" customHeight="1">
      <c r="B36" s="20">
        <f>IF(C36="","RMC-"&amp;TEXT(COUNTA($C$5:C36),"000"))</f>
        <v/>
      </c>
      <c r="C36" s="17" t="n"/>
      <c r="D36" s="17" t="n"/>
      <c r="E36" s="25" t="n"/>
      <c r="F36" s="25" t="n"/>
      <c r="G36" s="26">
        <f>IF(OR(E36="",F36=""),"",E36/F36)</f>
        <v/>
      </c>
      <c r="H36" s="26" t="n"/>
      <c r="I36" s="26">
        <f>IF(OR(G36="",H36=""),"",H36-G36)</f>
        <v/>
      </c>
      <c r="J36" s="17" t="n"/>
    </row>
    <row r="37" ht="22" customHeight="1">
      <c r="B37" s="19">
        <f>IF(C37="","RMC-"&amp;TEXT(COUNTA($C$5:C37),"000"))</f>
        <v/>
      </c>
      <c r="C37" s="15" t="n"/>
      <c r="D37" s="15" t="n"/>
      <c r="E37" s="22" t="n"/>
      <c r="F37" s="22" t="n"/>
      <c r="G37" s="23">
        <f>IF(OR(E37="",F37=""),"",E37/F37)</f>
        <v/>
      </c>
      <c r="H37" s="23" t="n"/>
      <c r="I37" s="23">
        <f>IF(OR(G37="",H37=""),"",H37-G37)</f>
        <v/>
      </c>
      <c r="J37" s="15" t="n"/>
    </row>
    <row r="38" ht="22" customHeight="1">
      <c r="B38" s="20">
        <f>IF(C38="","RMC-"&amp;TEXT(COUNTA($C$5:C38),"000"))</f>
        <v/>
      </c>
      <c r="C38" s="17" t="n"/>
      <c r="D38" s="17" t="n"/>
      <c r="E38" s="25" t="n"/>
      <c r="F38" s="25" t="n"/>
      <c r="G38" s="26">
        <f>IF(OR(E38="",F38=""),"",E38/F38)</f>
        <v/>
      </c>
      <c r="H38" s="26" t="n"/>
      <c r="I38" s="26">
        <f>IF(OR(G38="",H38=""),"",H38-G38)</f>
        <v/>
      </c>
      <c r="J38" s="17" t="n"/>
    </row>
    <row r="39" ht="22" customHeight="1">
      <c r="B39" s="19">
        <f>IF(C39="","RMC-"&amp;TEXT(COUNTA($C$5:C39),"000"))</f>
        <v/>
      </c>
      <c r="C39" s="15" t="n"/>
      <c r="D39" s="15" t="n"/>
      <c r="E39" s="22" t="n"/>
      <c r="F39" s="22" t="n"/>
      <c r="G39" s="23">
        <f>IF(OR(E39="",F39=""),"",E39/F39)</f>
        <v/>
      </c>
      <c r="H39" s="23" t="n"/>
      <c r="I39" s="23">
        <f>IF(OR(G39="",H39=""),"",H39-G39)</f>
        <v/>
      </c>
      <c r="J39" s="15" t="n"/>
    </row>
    <row r="40" ht="22" customHeight="1">
      <c r="B40" s="20">
        <f>IF(C40="","RMC-"&amp;TEXT(COUNTA($C$5:C40),"000"))</f>
        <v/>
      </c>
      <c r="C40" s="17" t="n"/>
      <c r="D40" s="17" t="n"/>
      <c r="E40" s="25" t="n"/>
      <c r="F40" s="25" t="n"/>
      <c r="G40" s="26">
        <f>IF(OR(E40="",F40=""),"",E40/F40)</f>
        <v/>
      </c>
      <c r="H40" s="26" t="n"/>
      <c r="I40" s="26">
        <f>IF(OR(G40="",H40=""),"",H40-G40)</f>
        <v/>
      </c>
      <c r="J40" s="17" t="n"/>
    </row>
    <row r="41" ht="22" customHeight="1">
      <c r="B41" s="19">
        <f>IF(C41="","RMC-"&amp;TEXT(COUNTA($C$5:C41),"000"))</f>
        <v/>
      </c>
      <c r="C41" s="15" t="n"/>
      <c r="D41" s="15" t="n"/>
      <c r="E41" s="22" t="n"/>
      <c r="F41" s="22" t="n"/>
      <c r="G41" s="23">
        <f>IF(OR(E41="",F41=""),"",E41/F41)</f>
        <v/>
      </c>
      <c r="H41" s="23" t="n"/>
      <c r="I41" s="23">
        <f>IF(OR(G41="",H41=""),"",H41-G41)</f>
        <v/>
      </c>
      <c r="J41" s="15" t="n"/>
    </row>
    <row r="42" ht="22" customHeight="1">
      <c r="B42" s="20">
        <f>IF(C42="","RMC-"&amp;TEXT(COUNTA($C$5:C42),"000"))</f>
        <v/>
      </c>
      <c r="C42" s="17" t="n"/>
      <c r="D42" s="17" t="n"/>
      <c r="E42" s="25" t="n"/>
      <c r="F42" s="25" t="n"/>
      <c r="G42" s="26">
        <f>IF(OR(E42="",F42=""),"",E42/F42)</f>
        <v/>
      </c>
      <c r="H42" s="26" t="n"/>
      <c r="I42" s="26">
        <f>IF(OR(G42="",H42=""),"",H42-G42)</f>
        <v/>
      </c>
      <c r="J42" s="17" t="n"/>
    </row>
    <row r="43" ht="22" customHeight="1">
      <c r="B43" s="19">
        <f>IF(C43="","RMC-"&amp;TEXT(COUNTA($C$5:C43),"000"))</f>
        <v/>
      </c>
      <c r="C43" s="15" t="n"/>
      <c r="D43" s="15" t="n"/>
      <c r="E43" s="22" t="n"/>
      <c r="F43" s="22" t="n"/>
      <c r="G43" s="23">
        <f>IF(OR(E43="",F43=""),"",E43/F43)</f>
        <v/>
      </c>
      <c r="H43" s="23" t="n"/>
      <c r="I43" s="23">
        <f>IF(OR(G43="",H43=""),"",H43-G43)</f>
        <v/>
      </c>
      <c r="J43" s="15" t="n"/>
    </row>
    <row r="44" ht="22" customHeight="1">
      <c r="B44" s="20">
        <f>IF(C44="","RMC-"&amp;TEXT(COUNTA($C$5:C44),"000"))</f>
        <v/>
      </c>
      <c r="C44" s="17" t="n"/>
      <c r="D44" s="17" t="n"/>
      <c r="E44" s="25" t="n"/>
      <c r="F44" s="25" t="n"/>
      <c r="G44" s="26">
        <f>IF(OR(E44="",F44=""),"",E44/F44)</f>
        <v/>
      </c>
      <c r="H44" s="26" t="n"/>
      <c r="I44" s="26">
        <f>IF(OR(G44="",H44=""),"",H44-G44)</f>
        <v/>
      </c>
      <c r="J44" s="17" t="n"/>
    </row>
    <row r="45" ht="22" customHeight="1">
      <c r="B45" s="19">
        <f>IF(C45="","RMC-"&amp;TEXT(COUNTA($C$5:C45),"000"))</f>
        <v/>
      </c>
      <c r="C45" s="15" t="n"/>
      <c r="D45" s="15" t="n"/>
      <c r="E45" s="22" t="n"/>
      <c r="F45" s="22" t="n"/>
      <c r="G45" s="23">
        <f>IF(OR(E45="",F45=""),"",E45/F45)</f>
        <v/>
      </c>
      <c r="H45" s="23" t="n"/>
      <c r="I45" s="23">
        <f>IF(OR(G45="",H45=""),"",H45-G45)</f>
        <v/>
      </c>
      <c r="J45" s="15" t="n"/>
    </row>
    <row r="46" ht="22" customHeight="1">
      <c r="B46" s="20">
        <f>IF(C46="","RMC-"&amp;TEXT(COUNTA($C$5:C46),"000"))</f>
        <v/>
      </c>
      <c r="C46" s="17" t="n"/>
      <c r="D46" s="17" t="n"/>
      <c r="E46" s="25" t="n"/>
      <c r="F46" s="25" t="n"/>
      <c r="G46" s="26">
        <f>IF(OR(E46="",F46=""),"",E46/F46)</f>
        <v/>
      </c>
      <c r="H46" s="26" t="n"/>
      <c r="I46" s="26">
        <f>IF(OR(G46="",H46=""),"",H46-G46)</f>
        <v/>
      </c>
      <c r="J46" s="17" t="n"/>
    </row>
    <row r="47" ht="22" customHeight="1">
      <c r="B47" s="19">
        <f>IF(C47="","RMC-"&amp;TEXT(COUNTA($C$5:C47),"000"))</f>
        <v/>
      </c>
      <c r="C47" s="15" t="n"/>
      <c r="D47" s="15" t="n"/>
      <c r="E47" s="22" t="n"/>
      <c r="F47" s="22" t="n"/>
      <c r="G47" s="23">
        <f>IF(OR(E47="",F47=""),"",E47/F47)</f>
        <v/>
      </c>
      <c r="H47" s="23" t="n"/>
      <c r="I47" s="23">
        <f>IF(OR(G47="",H47=""),"",H47-G47)</f>
        <v/>
      </c>
      <c r="J47" s="15" t="n"/>
    </row>
    <row r="48" ht="22" customHeight="1">
      <c r="B48" s="20">
        <f>IF(C48="","RMC-"&amp;TEXT(COUNTA($C$5:C48),"000"))</f>
        <v/>
      </c>
      <c r="C48" s="17" t="n"/>
      <c r="D48" s="17" t="n"/>
      <c r="E48" s="25" t="n"/>
      <c r="F48" s="25" t="n"/>
      <c r="G48" s="26">
        <f>IF(OR(E48="",F48=""),"",E48/F48)</f>
        <v/>
      </c>
      <c r="H48" s="26" t="n"/>
      <c r="I48" s="26">
        <f>IF(OR(G48="",H48=""),"",H48-G48)</f>
        <v/>
      </c>
      <c r="J48" s="17" t="n"/>
    </row>
    <row r="49" ht="22" customHeight="1">
      <c r="B49" s="19">
        <f>IF(C49="","RMC-"&amp;TEXT(COUNTA($C$5:C49),"000"))</f>
        <v/>
      </c>
      <c r="C49" s="15" t="n"/>
      <c r="D49" s="15" t="n"/>
      <c r="E49" s="22" t="n"/>
      <c r="F49" s="22" t="n"/>
      <c r="G49" s="23">
        <f>IF(OR(E49="",F49=""),"",E49/F49)</f>
        <v/>
      </c>
      <c r="H49" s="23" t="n"/>
      <c r="I49" s="23">
        <f>IF(OR(G49="",H49=""),"",H49-G49)</f>
        <v/>
      </c>
      <c r="J49" s="15" t="n"/>
    </row>
    <row r="50" ht="22" customHeight="1">
      <c r="B50" s="20">
        <f>IF(C50="","RMC-"&amp;TEXT(COUNTA($C$5:C50),"000"))</f>
        <v/>
      </c>
      <c r="C50" s="17" t="n"/>
      <c r="D50" s="17" t="n"/>
      <c r="E50" s="25" t="n"/>
      <c r="F50" s="25" t="n"/>
      <c r="G50" s="26">
        <f>IF(OR(E50="",F50=""),"",E50/F50)</f>
        <v/>
      </c>
      <c r="H50" s="26" t="n"/>
      <c r="I50" s="26">
        <f>IF(OR(G50="",H50=""),"",H50-G50)</f>
        <v/>
      </c>
      <c r="J50" s="17" t="n"/>
    </row>
    <row r="51" ht="22" customHeight="1">
      <c r="B51" s="19">
        <f>IF(C51="","RMC-"&amp;TEXT(COUNTA($C$5:C51),"000"))</f>
        <v/>
      </c>
      <c r="C51" s="15" t="n"/>
      <c r="D51" s="15" t="n"/>
      <c r="E51" s="22" t="n"/>
      <c r="F51" s="22" t="n"/>
      <c r="G51" s="23">
        <f>IF(OR(E51="",F51=""),"",E51/F51)</f>
        <v/>
      </c>
      <c r="H51" s="23" t="n"/>
      <c r="I51" s="23">
        <f>IF(OR(G51="",H51=""),"",H51-G51)</f>
        <v/>
      </c>
      <c r="J51" s="15" t="n"/>
    </row>
    <row r="52" ht="22" customHeight="1">
      <c r="B52" s="20">
        <f>IF(C52="","RMC-"&amp;TEXT(COUNTA($C$5:C52),"000"))</f>
        <v/>
      </c>
      <c r="C52" s="17" t="n"/>
      <c r="D52" s="17" t="n"/>
      <c r="E52" s="25" t="n"/>
      <c r="F52" s="25" t="n"/>
      <c r="G52" s="26">
        <f>IF(OR(E52="",F52=""),"",E52/F52)</f>
        <v/>
      </c>
      <c r="H52" s="26" t="n"/>
      <c r="I52" s="26">
        <f>IF(OR(G52="",H52=""),"",H52-G52)</f>
        <v/>
      </c>
      <c r="J52" s="17" t="n"/>
    </row>
    <row r="53" ht="22" customHeight="1">
      <c r="B53" s="19">
        <f>IF(C53="","RMC-"&amp;TEXT(COUNTA($C$5:C53),"000"))</f>
        <v/>
      </c>
      <c r="C53" s="15" t="n"/>
      <c r="D53" s="15" t="n"/>
      <c r="E53" s="22" t="n"/>
      <c r="F53" s="22" t="n"/>
      <c r="G53" s="23">
        <f>IF(OR(E53="",F53=""),"",E53/F53)</f>
        <v/>
      </c>
      <c r="H53" s="23" t="n"/>
      <c r="I53" s="23">
        <f>IF(OR(G53="",H53=""),"",H53-G53)</f>
        <v/>
      </c>
      <c r="J53" s="15" t="n"/>
    </row>
    <row r="54" ht="22" customHeight="1">
      <c r="B54" s="20">
        <f>IF(C54="","RMC-"&amp;TEXT(COUNTA($C$5:C54),"000"))</f>
        <v/>
      </c>
      <c r="C54" s="17" t="n"/>
      <c r="D54" s="17" t="n"/>
      <c r="E54" s="25" t="n"/>
      <c r="F54" s="25" t="n"/>
      <c r="G54" s="26">
        <f>IF(OR(E54="",F54=""),"",E54/F54)</f>
        <v/>
      </c>
      <c r="H54" s="26" t="n"/>
      <c r="I54" s="26">
        <f>IF(OR(G54="",H54=""),"",H54-G54)</f>
        <v/>
      </c>
      <c r="J54" s="17" t="n"/>
    </row>
    <row r="55" ht="22" customHeight="1">
      <c r="B55" s="19">
        <f>IF(C55="","RMC-"&amp;TEXT(COUNTA($C$5:C55),"000"))</f>
        <v/>
      </c>
      <c r="C55" s="15" t="n"/>
      <c r="D55" s="15" t="n"/>
      <c r="E55" s="22" t="n"/>
      <c r="F55" s="22" t="n"/>
      <c r="G55" s="23">
        <f>IF(OR(E55="",F55=""),"",E55/F55)</f>
        <v/>
      </c>
      <c r="H55" s="23" t="n"/>
      <c r="I55" s="23">
        <f>IF(OR(G55="",H55=""),"",H55-G55)</f>
        <v/>
      </c>
      <c r="J55" s="15" t="n"/>
    </row>
    <row r="56" ht="22" customHeight="1">
      <c r="B56" s="20">
        <f>IF(C56="","RMC-"&amp;TEXT(COUNTA($C$5:C56),"000"))</f>
        <v/>
      </c>
      <c r="C56" s="17" t="n"/>
      <c r="D56" s="17" t="n"/>
      <c r="E56" s="25" t="n"/>
      <c r="F56" s="25" t="n"/>
      <c r="G56" s="26">
        <f>IF(OR(E56="",F56=""),"",E56/F56)</f>
        <v/>
      </c>
      <c r="H56" s="26" t="n"/>
      <c r="I56" s="26">
        <f>IF(OR(G56="",H56=""),"",H56-G56)</f>
        <v/>
      </c>
      <c r="J56" s="17" t="n"/>
    </row>
    <row r="57" ht="22" customHeight="1">
      <c r="B57" s="19">
        <f>IF(C57="","RMC-"&amp;TEXT(COUNTA($C$5:C57),"000"))</f>
        <v/>
      </c>
      <c r="C57" s="15" t="n"/>
      <c r="D57" s="15" t="n"/>
      <c r="E57" s="22" t="n"/>
      <c r="F57" s="22" t="n"/>
      <c r="G57" s="23">
        <f>IF(OR(E57="",F57=""),"",E57/F57)</f>
        <v/>
      </c>
      <c r="H57" s="23" t="n"/>
      <c r="I57" s="23">
        <f>IF(OR(G57="",H57=""),"",H57-G57)</f>
        <v/>
      </c>
      <c r="J57" s="15" t="n"/>
    </row>
    <row r="58" ht="22" customHeight="1">
      <c r="B58" s="20">
        <f>IF(C58="","RMC-"&amp;TEXT(COUNTA($C$5:C58),"000"))</f>
        <v/>
      </c>
      <c r="C58" s="17" t="n"/>
      <c r="D58" s="17" t="n"/>
      <c r="E58" s="25" t="n"/>
      <c r="F58" s="25" t="n"/>
      <c r="G58" s="26">
        <f>IF(OR(E58="",F58=""),"",E58/F58)</f>
        <v/>
      </c>
      <c r="H58" s="26" t="n"/>
      <c r="I58" s="26">
        <f>IF(OR(G58="",H58=""),"",H58-G58)</f>
        <v/>
      </c>
      <c r="J58" s="17" t="n"/>
    </row>
    <row r="59" ht="22" customHeight="1">
      <c r="B59" s="19">
        <f>IF(C59="","RMC-"&amp;TEXT(COUNTA($C$5:C59),"000"))</f>
        <v/>
      </c>
      <c r="C59" s="15" t="n"/>
      <c r="D59" s="15" t="n"/>
      <c r="E59" s="22" t="n"/>
      <c r="F59" s="22" t="n"/>
      <c r="G59" s="23">
        <f>IF(OR(E59="",F59=""),"",E59/F59)</f>
        <v/>
      </c>
      <c r="H59" s="23" t="n"/>
      <c r="I59" s="23">
        <f>IF(OR(G59="",H59=""),"",H59-G59)</f>
        <v/>
      </c>
      <c r="J59" s="15" t="n"/>
    </row>
    <row r="60" ht="22" customHeight="1">
      <c r="B60" s="20">
        <f>IF(C60="","RMC-"&amp;TEXT(COUNTA($C$5:C60),"000"))</f>
        <v/>
      </c>
      <c r="C60" s="17" t="n"/>
      <c r="D60" s="17" t="n"/>
      <c r="E60" s="25" t="n"/>
      <c r="F60" s="25" t="n"/>
      <c r="G60" s="26">
        <f>IF(OR(E60="",F60=""),"",E60/F60)</f>
        <v/>
      </c>
      <c r="H60" s="26" t="n"/>
      <c r="I60" s="26">
        <f>IF(OR(G60="",H60=""),"",H60-G60)</f>
        <v/>
      </c>
      <c r="J60" s="17" t="n"/>
    </row>
    <row r="61" ht="22" customHeight="1">
      <c r="B61" s="19">
        <f>IF(C61="","RMC-"&amp;TEXT(COUNTA($C$5:C61),"000"))</f>
        <v/>
      </c>
      <c r="C61" s="15" t="n"/>
      <c r="D61" s="15" t="n"/>
      <c r="E61" s="22" t="n"/>
      <c r="F61" s="22" t="n"/>
      <c r="G61" s="23">
        <f>IF(OR(E61="",F61=""),"",E61/F61)</f>
        <v/>
      </c>
      <c r="H61" s="23" t="n"/>
      <c r="I61" s="23">
        <f>IF(OR(G61="",H61=""),"",H61-G61)</f>
        <v/>
      </c>
      <c r="J61" s="15" t="n"/>
    </row>
    <row r="62" ht="22" customHeight="1">
      <c r="B62" s="20">
        <f>IF(C62="","RMC-"&amp;TEXT(COUNTA($C$5:C62),"000"))</f>
        <v/>
      </c>
      <c r="C62" s="17" t="n"/>
      <c r="D62" s="17" t="n"/>
      <c r="E62" s="25" t="n"/>
      <c r="F62" s="25" t="n"/>
      <c r="G62" s="26">
        <f>IF(OR(E62="",F62=""),"",E62/F62)</f>
        <v/>
      </c>
      <c r="H62" s="26" t="n"/>
      <c r="I62" s="26">
        <f>IF(OR(G62="",H62=""),"",H62-G62)</f>
        <v/>
      </c>
      <c r="J62" s="17" t="n"/>
    </row>
    <row r="63" ht="22" customHeight="1">
      <c r="B63" s="19">
        <f>IF(C63="","RMC-"&amp;TEXT(COUNTA($C$5:C63),"000"))</f>
        <v/>
      </c>
      <c r="C63" s="15" t="n"/>
      <c r="D63" s="15" t="n"/>
      <c r="E63" s="22" t="n"/>
      <c r="F63" s="22" t="n"/>
      <c r="G63" s="23">
        <f>IF(OR(E63="",F63=""),"",E63/F63)</f>
        <v/>
      </c>
      <c r="H63" s="23" t="n"/>
      <c r="I63" s="23">
        <f>IF(OR(G63="",H63=""),"",H63-G63)</f>
        <v/>
      </c>
      <c r="J63" s="15" t="n"/>
    </row>
    <row r="64" ht="22" customHeight="1">
      <c r="B64" s="20">
        <f>IF(C64="","RMC-"&amp;TEXT(COUNTA($C$5:C64),"000"))</f>
        <v/>
      </c>
      <c r="C64" s="17" t="n"/>
      <c r="D64" s="17" t="n"/>
      <c r="E64" s="25" t="n"/>
      <c r="F64" s="25" t="n"/>
      <c r="G64" s="26">
        <f>IF(OR(E64="",F64=""),"",E64/F64)</f>
        <v/>
      </c>
      <c r="H64" s="26" t="n"/>
      <c r="I64" s="26">
        <f>IF(OR(G64="",H64=""),"",H64-G64)</f>
        <v/>
      </c>
      <c r="J64" s="17" t="n"/>
    </row>
    <row r="65" ht="22" customHeight="1">
      <c r="B65" s="19">
        <f>IF(C65="","RMC-"&amp;TEXT(COUNTA($C$5:C65),"000"))</f>
        <v/>
      </c>
      <c r="C65" s="15" t="n"/>
      <c r="D65" s="15" t="n"/>
      <c r="E65" s="22" t="n"/>
      <c r="F65" s="22" t="n"/>
      <c r="G65" s="23">
        <f>IF(OR(E65="",F65=""),"",E65/F65)</f>
        <v/>
      </c>
      <c r="H65" s="23" t="n"/>
      <c r="I65" s="23">
        <f>IF(OR(G65="",H65=""),"",H65-G65)</f>
        <v/>
      </c>
      <c r="J65" s="15" t="n"/>
    </row>
    <row r="66" ht="22" customHeight="1">
      <c r="B66" s="20">
        <f>IF(C66="","RMC-"&amp;TEXT(COUNTA($C$5:C66),"000"))</f>
        <v/>
      </c>
      <c r="C66" s="17" t="n"/>
      <c r="D66" s="17" t="n"/>
      <c r="E66" s="25" t="n"/>
      <c r="F66" s="25" t="n"/>
      <c r="G66" s="26">
        <f>IF(OR(E66="",F66=""),"",E66/F66)</f>
        <v/>
      </c>
      <c r="H66" s="26" t="n"/>
      <c r="I66" s="26">
        <f>IF(OR(G66="",H66=""),"",H66-G66)</f>
        <v/>
      </c>
      <c r="J66" s="17" t="n"/>
    </row>
    <row r="67" ht="22" customHeight="1">
      <c r="B67" s="19">
        <f>IF(C67="","RMC-"&amp;TEXT(COUNTA($C$5:C67),"000"))</f>
        <v/>
      </c>
      <c r="C67" s="15" t="n"/>
      <c r="D67" s="15" t="n"/>
      <c r="E67" s="22" t="n"/>
      <c r="F67" s="22" t="n"/>
      <c r="G67" s="23">
        <f>IF(OR(E67="",F67=""),"",E67/F67)</f>
        <v/>
      </c>
      <c r="H67" s="23" t="n"/>
      <c r="I67" s="23">
        <f>IF(OR(G67="",H67=""),"",H67-G67)</f>
        <v/>
      </c>
      <c r="J67" s="15" t="n"/>
    </row>
    <row r="68" ht="22" customHeight="1">
      <c r="B68" s="20">
        <f>IF(C68="","RMC-"&amp;TEXT(COUNTA($C$5:C68),"000"))</f>
        <v/>
      </c>
      <c r="C68" s="17" t="n"/>
      <c r="D68" s="17" t="n"/>
      <c r="E68" s="25" t="n"/>
      <c r="F68" s="25" t="n"/>
      <c r="G68" s="26">
        <f>IF(OR(E68="",F68=""),"",E68/F68)</f>
        <v/>
      </c>
      <c r="H68" s="26" t="n"/>
      <c r="I68" s="26">
        <f>IF(OR(G68="",H68=""),"",H68-G68)</f>
        <v/>
      </c>
      <c r="J68" s="17" t="n"/>
    </row>
    <row r="69" ht="22" customHeight="1">
      <c r="B69" s="19">
        <f>IF(C69="","RMC-"&amp;TEXT(COUNTA($C$5:C69),"000"))</f>
        <v/>
      </c>
      <c r="C69" s="15" t="n"/>
      <c r="D69" s="15" t="n"/>
      <c r="E69" s="22" t="n"/>
      <c r="F69" s="22" t="n"/>
      <c r="G69" s="23">
        <f>IF(OR(E69="",F69=""),"",E69/F69)</f>
        <v/>
      </c>
      <c r="H69" s="23" t="n"/>
      <c r="I69" s="23">
        <f>IF(OR(G69="",H69=""),"",H69-G69)</f>
        <v/>
      </c>
      <c r="J69" s="15" t="n"/>
    </row>
    <row r="70" ht="22" customHeight="1">
      <c r="B70" s="20">
        <f>IF(C70="","RMC-"&amp;TEXT(COUNTA($C$5:C70),"000"))</f>
        <v/>
      </c>
      <c r="C70" s="17" t="n"/>
      <c r="D70" s="17" t="n"/>
      <c r="E70" s="25" t="n"/>
      <c r="F70" s="25" t="n"/>
      <c r="G70" s="26">
        <f>IF(OR(E70="",F70=""),"",E70/F70)</f>
        <v/>
      </c>
      <c r="H70" s="26" t="n"/>
      <c r="I70" s="26">
        <f>IF(OR(G70="",H70=""),"",H70-G70)</f>
        <v/>
      </c>
      <c r="J70" s="17" t="n"/>
    </row>
    <row r="71" ht="22" customHeight="1">
      <c r="B71" s="19">
        <f>IF(C71="","RMC-"&amp;TEXT(COUNTA($C$5:C71),"000"))</f>
        <v/>
      </c>
      <c r="C71" s="15" t="n"/>
      <c r="D71" s="15" t="n"/>
      <c r="E71" s="22" t="n"/>
      <c r="F71" s="22" t="n"/>
      <c r="G71" s="23">
        <f>IF(OR(E71="",F71=""),"",E71/F71)</f>
        <v/>
      </c>
      <c r="H71" s="23" t="n"/>
      <c r="I71" s="23">
        <f>IF(OR(G71="",H71=""),"",H71-G71)</f>
        <v/>
      </c>
      <c r="J71" s="15" t="n"/>
    </row>
    <row r="72" ht="22" customHeight="1">
      <c r="B72" s="20">
        <f>IF(C72="","RMC-"&amp;TEXT(COUNTA($C$5:C72),"000"))</f>
        <v/>
      </c>
      <c r="C72" s="17" t="n"/>
      <c r="D72" s="17" t="n"/>
      <c r="E72" s="25" t="n"/>
      <c r="F72" s="25" t="n"/>
      <c r="G72" s="26">
        <f>IF(OR(E72="",F72=""),"",E72/F72)</f>
        <v/>
      </c>
      <c r="H72" s="26" t="n"/>
      <c r="I72" s="26">
        <f>IF(OR(G72="",H72=""),"",H72-G72)</f>
        <v/>
      </c>
      <c r="J72" s="17" t="n"/>
    </row>
    <row r="73" ht="22" customHeight="1">
      <c r="B73" s="19">
        <f>IF(C73="","RMC-"&amp;TEXT(COUNTA($C$5:C73),"000"))</f>
        <v/>
      </c>
      <c r="C73" s="15" t="n"/>
      <c r="D73" s="15" t="n"/>
      <c r="E73" s="22" t="n"/>
      <c r="F73" s="22" t="n"/>
      <c r="G73" s="23">
        <f>IF(OR(E73="",F73=""),"",E73/F73)</f>
        <v/>
      </c>
      <c r="H73" s="23" t="n"/>
      <c r="I73" s="23">
        <f>IF(OR(G73="",H73=""),"",H73-G73)</f>
        <v/>
      </c>
      <c r="J73" s="15" t="n"/>
    </row>
    <row r="74" ht="22" customHeight="1">
      <c r="B74" s="20">
        <f>IF(C74="","RMC-"&amp;TEXT(COUNTA($C$5:C74),"000"))</f>
        <v/>
      </c>
      <c r="C74" s="17" t="n"/>
      <c r="D74" s="17" t="n"/>
      <c r="E74" s="25" t="n"/>
      <c r="F74" s="25" t="n"/>
      <c r="G74" s="26">
        <f>IF(OR(E74="",F74=""),"",E74/F74)</f>
        <v/>
      </c>
      <c r="H74" s="26" t="n"/>
      <c r="I74" s="26">
        <f>IF(OR(G74="",H74=""),"",H74-G74)</f>
        <v/>
      </c>
      <c r="J74" s="17" t="n"/>
    </row>
    <row r="75" ht="22" customHeight="1">
      <c r="B75" s="19">
        <f>IF(C75="","RMC-"&amp;TEXT(COUNTA($C$5:C75),"000"))</f>
        <v/>
      </c>
      <c r="C75" s="15" t="n"/>
      <c r="D75" s="15" t="n"/>
      <c r="E75" s="22" t="n"/>
      <c r="F75" s="22" t="n"/>
      <c r="G75" s="23">
        <f>IF(OR(E75="",F75=""),"",E75/F75)</f>
        <v/>
      </c>
      <c r="H75" s="23" t="n"/>
      <c r="I75" s="23">
        <f>IF(OR(G75="",H75=""),"",H75-G75)</f>
        <v/>
      </c>
      <c r="J75" s="15" t="n"/>
    </row>
    <row r="76" ht="22" customHeight="1">
      <c r="B76" s="20">
        <f>IF(C76="","RMC-"&amp;TEXT(COUNTA($C$5:C76),"000"))</f>
        <v/>
      </c>
      <c r="C76" s="17" t="n"/>
      <c r="D76" s="17" t="n"/>
      <c r="E76" s="25" t="n"/>
      <c r="F76" s="25" t="n"/>
      <c r="G76" s="26">
        <f>IF(OR(E76="",F76=""),"",E76/F76)</f>
        <v/>
      </c>
      <c r="H76" s="26" t="n"/>
      <c r="I76" s="26">
        <f>IF(OR(G76="",H76=""),"",H76-G76)</f>
        <v/>
      </c>
      <c r="J76" s="17" t="n"/>
    </row>
    <row r="77" ht="22" customHeight="1">
      <c r="B77" s="19">
        <f>IF(C77="","RMC-"&amp;TEXT(COUNTA($C$5:C77),"000"))</f>
        <v/>
      </c>
      <c r="C77" s="15" t="n"/>
      <c r="D77" s="15" t="n"/>
      <c r="E77" s="22" t="n"/>
      <c r="F77" s="22" t="n"/>
      <c r="G77" s="23">
        <f>IF(OR(E77="",F77=""),"",E77/F77)</f>
        <v/>
      </c>
      <c r="H77" s="23" t="n"/>
      <c r="I77" s="23">
        <f>IF(OR(G77="",H77=""),"",H77-G77)</f>
        <v/>
      </c>
      <c r="J77" s="15" t="n"/>
    </row>
    <row r="78" ht="22" customHeight="1">
      <c r="B78" s="20">
        <f>IF(C78="","RMC-"&amp;TEXT(COUNTA($C$5:C78),"000"))</f>
        <v/>
      </c>
      <c r="C78" s="17" t="n"/>
      <c r="D78" s="17" t="n"/>
      <c r="E78" s="25" t="n"/>
      <c r="F78" s="25" t="n"/>
      <c r="G78" s="26">
        <f>IF(OR(E78="",F78=""),"",E78/F78)</f>
        <v/>
      </c>
      <c r="H78" s="26" t="n"/>
      <c r="I78" s="26">
        <f>IF(OR(G78="",H78=""),"",H78-G78)</f>
        <v/>
      </c>
      <c r="J78" s="17" t="n"/>
    </row>
    <row r="79" ht="22" customHeight="1">
      <c r="B79" s="19">
        <f>IF(C79="","RMC-"&amp;TEXT(COUNTA($C$5:C79),"000"))</f>
        <v/>
      </c>
      <c r="C79" s="15" t="n"/>
      <c r="D79" s="15" t="n"/>
      <c r="E79" s="22" t="n"/>
      <c r="F79" s="22" t="n"/>
      <c r="G79" s="23">
        <f>IF(OR(E79="",F79=""),"",E79/F79)</f>
        <v/>
      </c>
      <c r="H79" s="23" t="n"/>
      <c r="I79" s="23">
        <f>IF(OR(G79="",H79=""),"",H79-G79)</f>
        <v/>
      </c>
      <c r="J79" s="15" t="n"/>
    </row>
    <row r="80" ht="22" customHeight="1">
      <c r="B80" s="20">
        <f>IF(C80="","RMC-"&amp;TEXT(COUNTA($C$5:C80),"000"))</f>
        <v/>
      </c>
      <c r="C80" s="17" t="n"/>
      <c r="D80" s="17" t="n"/>
      <c r="E80" s="25" t="n"/>
      <c r="F80" s="25" t="n"/>
      <c r="G80" s="26">
        <f>IF(OR(E80="",F80=""),"",E80/F80)</f>
        <v/>
      </c>
      <c r="H80" s="26" t="n"/>
      <c r="I80" s="26">
        <f>IF(OR(G80="",H80=""),"",H80-G80)</f>
        <v/>
      </c>
      <c r="J80" s="17" t="n"/>
    </row>
    <row r="81" ht="22" customHeight="1">
      <c r="B81" s="19">
        <f>IF(C81="","RMC-"&amp;TEXT(COUNTA($C$5:C81),"000"))</f>
        <v/>
      </c>
      <c r="C81" s="15" t="n"/>
      <c r="D81" s="15" t="n"/>
      <c r="E81" s="22" t="n"/>
      <c r="F81" s="22" t="n"/>
      <c r="G81" s="23">
        <f>IF(OR(E81="",F81=""),"",E81/F81)</f>
        <v/>
      </c>
      <c r="H81" s="23" t="n"/>
      <c r="I81" s="23">
        <f>IF(OR(G81="",H81=""),"",H81-G81)</f>
        <v/>
      </c>
      <c r="J81" s="15" t="n"/>
    </row>
    <row r="82" ht="22" customHeight="1">
      <c r="B82" s="20">
        <f>IF(C82="","RMC-"&amp;TEXT(COUNTA($C$5:C82),"000"))</f>
        <v/>
      </c>
      <c r="C82" s="17" t="n"/>
      <c r="D82" s="17" t="n"/>
      <c r="E82" s="25" t="n"/>
      <c r="F82" s="25" t="n"/>
      <c r="G82" s="26">
        <f>IF(OR(E82="",F82=""),"",E82/F82)</f>
        <v/>
      </c>
      <c r="H82" s="26" t="n"/>
      <c r="I82" s="26">
        <f>IF(OR(G82="",H82=""),"",H82-G82)</f>
        <v/>
      </c>
      <c r="J82" s="17" t="n"/>
    </row>
    <row r="83" ht="22" customHeight="1">
      <c r="B83" s="19">
        <f>IF(C83="","RMC-"&amp;TEXT(COUNTA($C$5:C83),"000"))</f>
        <v/>
      </c>
      <c r="C83" s="15" t="n"/>
      <c r="D83" s="15" t="n"/>
      <c r="E83" s="22" t="n"/>
      <c r="F83" s="22" t="n"/>
      <c r="G83" s="23">
        <f>IF(OR(E83="",F83=""),"",E83/F83)</f>
        <v/>
      </c>
      <c r="H83" s="23" t="n"/>
      <c r="I83" s="23">
        <f>IF(OR(G83="",H83=""),"",H83-G83)</f>
        <v/>
      </c>
      <c r="J83" s="15" t="n"/>
    </row>
    <row r="84" ht="22" customHeight="1">
      <c r="B84" s="20">
        <f>IF(C84="","RMC-"&amp;TEXT(COUNTA($C$5:C84),"000"))</f>
        <v/>
      </c>
      <c r="C84" s="17" t="n"/>
      <c r="D84" s="17" t="n"/>
      <c r="E84" s="25" t="n"/>
      <c r="F84" s="25" t="n"/>
      <c r="G84" s="26">
        <f>IF(OR(E84="",F84=""),"",E84/F84)</f>
        <v/>
      </c>
      <c r="H84" s="26" t="n"/>
      <c r="I84" s="26">
        <f>IF(OR(G84="",H84=""),"",H84-G84)</f>
        <v/>
      </c>
      <c r="J84" s="17" t="n"/>
    </row>
    <row r="85" ht="22" customHeight="1">
      <c r="B85" s="19">
        <f>IF(C85="","RMC-"&amp;TEXT(COUNTA($C$5:C85),"000"))</f>
        <v/>
      </c>
      <c r="C85" s="15" t="n"/>
      <c r="D85" s="15" t="n"/>
      <c r="E85" s="22" t="n"/>
      <c r="F85" s="22" t="n"/>
      <c r="G85" s="23">
        <f>IF(OR(E85="",F85=""),"",E85/F85)</f>
        <v/>
      </c>
      <c r="H85" s="23" t="n"/>
      <c r="I85" s="23">
        <f>IF(OR(G85="",H85=""),"",H85-G85)</f>
        <v/>
      </c>
      <c r="J85" s="15" t="n"/>
    </row>
    <row r="86" ht="22" customHeight="1">
      <c r="B86" s="20">
        <f>IF(C86="","RMC-"&amp;TEXT(COUNTA($C$5:C86),"000"))</f>
        <v/>
      </c>
      <c r="C86" s="17" t="n"/>
      <c r="D86" s="17" t="n"/>
      <c r="E86" s="25" t="n"/>
      <c r="F86" s="25" t="n"/>
      <c r="G86" s="26">
        <f>IF(OR(E86="",F86=""),"",E86/F86)</f>
        <v/>
      </c>
      <c r="H86" s="26" t="n"/>
      <c r="I86" s="26">
        <f>IF(OR(G86="",H86=""),"",H86-G86)</f>
        <v/>
      </c>
      <c r="J86" s="17" t="n"/>
    </row>
    <row r="87" ht="22" customHeight="1">
      <c r="B87" s="19">
        <f>IF(C87="","RMC-"&amp;TEXT(COUNTA($C$5:C87),"000"))</f>
        <v/>
      </c>
      <c r="C87" s="15" t="n"/>
      <c r="D87" s="15" t="n"/>
      <c r="E87" s="22" t="n"/>
      <c r="F87" s="22" t="n"/>
      <c r="G87" s="23">
        <f>IF(OR(E87="",F87=""),"",E87/F87)</f>
        <v/>
      </c>
      <c r="H87" s="23" t="n"/>
      <c r="I87" s="23">
        <f>IF(OR(G87="",H87=""),"",H87-G87)</f>
        <v/>
      </c>
      <c r="J87" s="15" t="n"/>
    </row>
    <row r="88" ht="22" customHeight="1">
      <c r="B88" s="20">
        <f>IF(C88="","RMC-"&amp;TEXT(COUNTA($C$5:C88),"000"))</f>
        <v/>
      </c>
      <c r="C88" s="17" t="n"/>
      <c r="D88" s="17" t="n"/>
      <c r="E88" s="25" t="n"/>
      <c r="F88" s="25" t="n"/>
      <c r="G88" s="26">
        <f>IF(OR(E88="",F88=""),"",E88/F88)</f>
        <v/>
      </c>
      <c r="H88" s="26" t="n"/>
      <c r="I88" s="26">
        <f>IF(OR(G88="",H88=""),"",H88-G88)</f>
        <v/>
      </c>
      <c r="J88" s="17" t="n"/>
    </row>
    <row r="89" ht="22" customHeight="1">
      <c r="B89" s="19">
        <f>IF(C89="","RMC-"&amp;TEXT(COUNTA($C$5:C89),"000"))</f>
        <v/>
      </c>
      <c r="C89" s="15" t="n"/>
      <c r="D89" s="15" t="n"/>
      <c r="E89" s="22" t="n"/>
      <c r="F89" s="22" t="n"/>
      <c r="G89" s="23">
        <f>IF(OR(E89="",F89=""),"",E89/F89)</f>
        <v/>
      </c>
      <c r="H89" s="23" t="n"/>
      <c r="I89" s="23">
        <f>IF(OR(G89="",H89=""),"",H89-G89)</f>
        <v/>
      </c>
      <c r="J89" s="15" t="n"/>
    </row>
    <row r="90" ht="22" customHeight="1">
      <c r="B90" s="20">
        <f>IF(C90="","RMC-"&amp;TEXT(COUNTA($C$5:C90),"000"))</f>
        <v/>
      </c>
      <c r="C90" s="17" t="n"/>
      <c r="D90" s="17" t="n"/>
      <c r="E90" s="25" t="n"/>
      <c r="F90" s="25" t="n"/>
      <c r="G90" s="26">
        <f>IF(OR(E90="",F90=""),"",E90/F90)</f>
        <v/>
      </c>
      <c r="H90" s="26" t="n"/>
      <c r="I90" s="26">
        <f>IF(OR(G90="",H90=""),"",H90-G90)</f>
        <v/>
      </c>
      <c r="J90" s="17" t="n"/>
    </row>
    <row r="91" ht="22" customHeight="1">
      <c r="B91" s="19">
        <f>IF(C91="","RMC-"&amp;TEXT(COUNTA($C$5:C91),"000"))</f>
        <v/>
      </c>
      <c r="C91" s="15" t="n"/>
      <c r="D91" s="15" t="n"/>
      <c r="E91" s="22" t="n"/>
      <c r="F91" s="22" t="n"/>
      <c r="G91" s="23">
        <f>IF(OR(E91="",F91=""),"",E91/F91)</f>
        <v/>
      </c>
      <c r="H91" s="23" t="n"/>
      <c r="I91" s="23">
        <f>IF(OR(G91="",H91=""),"",H91-G91)</f>
        <v/>
      </c>
      <c r="J91" s="15" t="n"/>
    </row>
    <row r="92" ht="22" customHeight="1">
      <c r="B92" s="20">
        <f>IF(C92="","RMC-"&amp;TEXT(COUNTA($C$5:C92),"000"))</f>
        <v/>
      </c>
      <c r="C92" s="17" t="n"/>
      <c r="D92" s="17" t="n"/>
      <c r="E92" s="25" t="n"/>
      <c r="F92" s="25" t="n"/>
      <c r="G92" s="26">
        <f>IF(OR(E92="",F92=""),"",E92/F92)</f>
        <v/>
      </c>
      <c r="H92" s="26" t="n"/>
      <c r="I92" s="26">
        <f>IF(OR(G92="",H92=""),"",H92-G92)</f>
        <v/>
      </c>
      <c r="J92" s="17" t="n"/>
    </row>
    <row r="93" ht="22" customHeight="1">
      <c r="B93" s="19">
        <f>IF(C93="","RMC-"&amp;TEXT(COUNTA($C$5:C93),"000"))</f>
        <v/>
      </c>
      <c r="C93" s="15" t="n"/>
      <c r="D93" s="15" t="n"/>
      <c r="E93" s="22" t="n"/>
      <c r="F93" s="22" t="n"/>
      <c r="G93" s="23">
        <f>IF(OR(E93="",F93=""),"",E93/F93)</f>
        <v/>
      </c>
      <c r="H93" s="23" t="n"/>
      <c r="I93" s="23">
        <f>IF(OR(G93="",H93=""),"",H93-G93)</f>
        <v/>
      </c>
      <c r="J93" s="15" t="n"/>
    </row>
    <row r="94" ht="22" customHeight="1">
      <c r="B94" s="20">
        <f>IF(C94="","RMC-"&amp;TEXT(COUNTA($C$5:C94),"000"))</f>
        <v/>
      </c>
      <c r="C94" s="17" t="n"/>
      <c r="D94" s="17" t="n"/>
      <c r="E94" s="25" t="n"/>
      <c r="F94" s="25" t="n"/>
      <c r="G94" s="26">
        <f>IF(OR(E94="",F94=""),"",E94/F94)</f>
        <v/>
      </c>
      <c r="H94" s="26" t="n"/>
      <c r="I94" s="26">
        <f>IF(OR(G94="",H94=""),"",H94-G94)</f>
        <v/>
      </c>
      <c r="J94" s="17" t="n"/>
    </row>
    <row r="95" ht="22" customHeight="1">
      <c r="B95" s="19">
        <f>IF(C95="","RMC-"&amp;TEXT(COUNTA($C$5:C95),"000"))</f>
        <v/>
      </c>
      <c r="C95" s="15" t="n"/>
      <c r="D95" s="15" t="n"/>
      <c r="E95" s="22" t="n"/>
      <c r="F95" s="22" t="n"/>
      <c r="G95" s="23">
        <f>IF(OR(E95="",F95=""),"",E95/F95)</f>
        <v/>
      </c>
      <c r="H95" s="23" t="n"/>
      <c r="I95" s="23">
        <f>IF(OR(G95="",H95=""),"",H95-G95)</f>
        <v/>
      </c>
      <c r="J95" s="15" t="n"/>
    </row>
    <row r="96" ht="22" customHeight="1">
      <c r="B96" s="20">
        <f>IF(C96="","RMC-"&amp;TEXT(COUNTA($C$5:C96),"000"))</f>
        <v/>
      </c>
      <c r="C96" s="17" t="n"/>
      <c r="D96" s="17" t="n"/>
      <c r="E96" s="25" t="n"/>
      <c r="F96" s="25" t="n"/>
      <c r="G96" s="26">
        <f>IF(OR(E96="",F96=""),"",E96/F96)</f>
        <v/>
      </c>
      <c r="H96" s="26" t="n"/>
      <c r="I96" s="26">
        <f>IF(OR(G96="",H96=""),"",H96-G96)</f>
        <v/>
      </c>
      <c r="J96" s="17" t="n"/>
    </row>
    <row r="97" ht="22" customHeight="1">
      <c r="B97" s="19">
        <f>IF(C97="","RMC-"&amp;TEXT(COUNTA($C$5:C97),"000"))</f>
        <v/>
      </c>
      <c r="C97" s="15" t="n"/>
      <c r="D97" s="15" t="n"/>
      <c r="E97" s="22" t="n"/>
      <c r="F97" s="22" t="n"/>
      <c r="G97" s="23">
        <f>IF(OR(E97="",F97=""),"",E97/F97)</f>
        <v/>
      </c>
      <c r="H97" s="23" t="n"/>
      <c r="I97" s="23">
        <f>IF(OR(G97="",H97=""),"",H97-G97)</f>
        <v/>
      </c>
      <c r="J97" s="15" t="n"/>
    </row>
    <row r="98" ht="22" customHeight="1">
      <c r="B98" s="20">
        <f>IF(C98="","RMC-"&amp;TEXT(COUNTA($C$5:C98),"000"))</f>
        <v/>
      </c>
      <c r="C98" s="17" t="n"/>
      <c r="D98" s="17" t="n"/>
      <c r="E98" s="25" t="n"/>
      <c r="F98" s="25" t="n"/>
      <c r="G98" s="26">
        <f>IF(OR(E98="",F98=""),"",E98/F98)</f>
        <v/>
      </c>
      <c r="H98" s="26" t="n"/>
      <c r="I98" s="26">
        <f>IF(OR(G98="",H98=""),"",H98-G98)</f>
        <v/>
      </c>
      <c r="J98" s="17" t="n"/>
    </row>
    <row r="99" ht="22" customHeight="1">
      <c r="B99" s="19">
        <f>IF(C99="","RMC-"&amp;TEXT(COUNTA($C$5:C99),"000"))</f>
        <v/>
      </c>
      <c r="C99" s="15" t="n"/>
      <c r="D99" s="15" t="n"/>
      <c r="E99" s="22" t="n"/>
      <c r="F99" s="22" t="n"/>
      <c r="G99" s="23">
        <f>IF(OR(E99="",F99=""),"",E99/F99)</f>
        <v/>
      </c>
      <c r="H99" s="23" t="n"/>
      <c r="I99" s="23">
        <f>IF(OR(G99="",H99=""),"",H99-G99)</f>
        <v/>
      </c>
      <c r="J99" s="15" t="n"/>
    </row>
    <row r="100" ht="22" customHeight="1">
      <c r="B100" s="20">
        <f>IF(C100="","RMC-"&amp;TEXT(COUNTA($C$5:C100),"000"))</f>
        <v/>
      </c>
      <c r="C100" s="17" t="n"/>
      <c r="D100" s="17" t="n"/>
      <c r="E100" s="25" t="n"/>
      <c r="F100" s="25" t="n"/>
      <c r="G100" s="26">
        <f>IF(OR(E100="",F100=""),"",E100/F100)</f>
        <v/>
      </c>
      <c r="H100" s="26" t="n"/>
      <c r="I100" s="26">
        <f>IF(OR(G100="",H100=""),"",H100-G100)</f>
        <v/>
      </c>
      <c r="J100" s="17" t="n"/>
    </row>
    <row r="101" ht="22" customHeight="1">
      <c r="B101" s="19">
        <f>IF(C101="","RMC-"&amp;TEXT(COUNTA($C$5:C101),"000"))</f>
        <v/>
      </c>
      <c r="C101" s="15" t="n"/>
      <c r="D101" s="15" t="n"/>
      <c r="E101" s="22" t="n"/>
      <c r="F101" s="22" t="n"/>
      <c r="G101" s="23">
        <f>IF(OR(E101="",F101=""),"",E101/F101)</f>
        <v/>
      </c>
      <c r="H101" s="23" t="n"/>
      <c r="I101" s="23">
        <f>IF(OR(G101="",H101=""),"",H101-G101)</f>
        <v/>
      </c>
      <c r="J101" s="15" t="n"/>
    </row>
    <row r="102" ht="22" customHeight="1">
      <c r="B102" s="20">
        <f>IF(C102="","RMC-"&amp;TEXT(COUNTA($C$5:C102),"000"))</f>
        <v/>
      </c>
      <c r="C102" s="17" t="n"/>
      <c r="D102" s="17" t="n"/>
      <c r="E102" s="25" t="n"/>
      <c r="F102" s="25" t="n"/>
      <c r="G102" s="26">
        <f>IF(OR(E102="",F102=""),"",E102/F102)</f>
        <v/>
      </c>
      <c r="H102" s="26" t="n"/>
      <c r="I102" s="26">
        <f>IF(OR(G102="",H102=""),"",H102-G102)</f>
        <v/>
      </c>
      <c r="J102" s="17" t="n"/>
    </row>
    <row r="103" ht="22" customHeight="1">
      <c r="B103" s="19">
        <f>IF(C103="","RMC-"&amp;TEXT(COUNTA($C$5:C103),"000"))</f>
        <v/>
      </c>
      <c r="C103" s="15" t="n"/>
      <c r="D103" s="15" t="n"/>
      <c r="E103" s="22" t="n"/>
      <c r="F103" s="22" t="n"/>
      <c r="G103" s="23">
        <f>IF(OR(E103="",F103=""),"",E103/F103)</f>
        <v/>
      </c>
      <c r="H103" s="23" t="n"/>
      <c r="I103" s="23">
        <f>IF(OR(G103="",H103=""),"",H103-G103)</f>
        <v/>
      </c>
      <c r="J103" s="15" t="n"/>
    </row>
    <row r="104" ht="22" customHeight="1">
      <c r="B104" s="20">
        <f>IF(C104="","RMC-"&amp;TEXT(COUNTA($C$5:C104),"000"))</f>
        <v/>
      </c>
      <c r="C104" s="17" t="n"/>
      <c r="D104" s="17" t="n"/>
      <c r="E104" s="25" t="n"/>
      <c r="F104" s="25" t="n"/>
      <c r="G104" s="26">
        <f>IF(OR(E104="",F104=""),"",E104/F104)</f>
        <v/>
      </c>
      <c r="H104" s="26" t="n"/>
      <c r="I104" s="26">
        <f>IF(OR(G104="",H104=""),"",H104-G104)</f>
        <v/>
      </c>
      <c r="J104" s="17" t="n"/>
    </row>
    <row r="105" ht="22" customHeight="1">
      <c r="B105" s="19">
        <f>IF(C105="","RMC-"&amp;TEXT(COUNTA($C$5:C105),"000"))</f>
        <v/>
      </c>
      <c r="C105" s="15" t="n"/>
      <c r="D105" s="15" t="n"/>
      <c r="E105" s="22" t="n"/>
      <c r="F105" s="22" t="n"/>
      <c r="G105" s="23">
        <f>IF(OR(E105="",F105=""),"",E105/F105)</f>
        <v/>
      </c>
      <c r="H105" s="23" t="n"/>
      <c r="I105" s="23">
        <f>IF(OR(G105="",H105=""),"",H105-G105)</f>
        <v/>
      </c>
      <c r="J105" s="15" t="n"/>
    </row>
    <row r="106" ht="22" customHeight="1">
      <c r="B106" s="20">
        <f>IF(C106="","RMC-"&amp;TEXT(COUNTA($C$5:C106),"000"))</f>
        <v/>
      </c>
      <c r="C106" s="17" t="n"/>
      <c r="D106" s="17" t="n"/>
      <c r="E106" s="25" t="n"/>
      <c r="F106" s="25" t="n"/>
      <c r="G106" s="26">
        <f>IF(OR(E106="",F106=""),"",E106/F106)</f>
        <v/>
      </c>
      <c r="H106" s="26" t="n"/>
      <c r="I106" s="26">
        <f>IF(OR(G106="",H106=""),"",H106-G106)</f>
        <v/>
      </c>
      <c r="J106" s="17" t="n"/>
    </row>
    <row r="107" ht="22" customHeight="1">
      <c r="B107" s="19">
        <f>IF(C107="","RMC-"&amp;TEXT(COUNTA($C$5:C107),"000"))</f>
        <v/>
      </c>
      <c r="C107" s="15" t="n"/>
      <c r="D107" s="15" t="n"/>
      <c r="E107" s="22" t="n"/>
      <c r="F107" s="22" t="n"/>
      <c r="G107" s="23">
        <f>IF(OR(E107="",F107=""),"",E107/F107)</f>
        <v/>
      </c>
      <c r="H107" s="23" t="n"/>
      <c r="I107" s="23">
        <f>IF(OR(G107="",H107=""),"",H107-G107)</f>
        <v/>
      </c>
      <c r="J107" s="15" t="n"/>
    </row>
    <row r="108" ht="22" customHeight="1">
      <c r="B108" s="20">
        <f>IF(C108="","RMC-"&amp;TEXT(COUNTA($C$5:C108),"000"))</f>
        <v/>
      </c>
      <c r="C108" s="17" t="n"/>
      <c r="D108" s="17" t="n"/>
      <c r="E108" s="25" t="n"/>
      <c r="F108" s="25" t="n"/>
      <c r="G108" s="26">
        <f>IF(OR(E108="",F108=""),"",E108/F108)</f>
        <v/>
      </c>
      <c r="H108" s="26" t="n"/>
      <c r="I108" s="26">
        <f>IF(OR(G108="",H108=""),"",H108-G108)</f>
        <v/>
      </c>
      <c r="J108" s="17" t="n"/>
    </row>
    <row r="109" ht="22" customHeight="1">
      <c r="B109" s="19">
        <f>IF(C109="","RMC-"&amp;TEXT(COUNTA($C$5:C109),"000"))</f>
        <v/>
      </c>
      <c r="C109" s="15" t="n"/>
      <c r="D109" s="15" t="n"/>
      <c r="E109" s="22" t="n"/>
      <c r="F109" s="22" t="n"/>
      <c r="G109" s="23">
        <f>IF(OR(E109="",F109=""),"",E109/F109)</f>
        <v/>
      </c>
      <c r="H109" s="23" t="n"/>
      <c r="I109" s="23">
        <f>IF(OR(G109="",H109=""),"",H109-G109)</f>
        <v/>
      </c>
      <c r="J109" s="15" t="n"/>
    </row>
    <row r="110" ht="22" customHeight="1">
      <c r="B110" s="20">
        <f>IF(C110="","RMC-"&amp;TEXT(COUNTA($C$5:C110),"000"))</f>
        <v/>
      </c>
      <c r="C110" s="17" t="n"/>
      <c r="D110" s="17" t="n"/>
      <c r="E110" s="25" t="n"/>
      <c r="F110" s="25" t="n"/>
      <c r="G110" s="26">
        <f>IF(OR(E110="",F110=""),"",E110/F110)</f>
        <v/>
      </c>
      <c r="H110" s="26" t="n"/>
      <c r="I110" s="26">
        <f>IF(OR(G110="",H110=""),"",H110-G110)</f>
        <v/>
      </c>
      <c r="J110" s="17" t="n"/>
    </row>
    <row r="112">
      <c r="B112" s="8" t="inlineStr">
        <is>
          <t>INDICATEURS (mis a jour automatiquement)</t>
        </is>
      </c>
    </row>
    <row r="113">
      <c r="B113" s="3" t="inlineStr">
        <is>
          <t>Ratio moyen</t>
        </is>
      </c>
      <c r="D113" s="3" t="inlineStr">
        <is>
          <t>Mois hors objectif</t>
        </is>
      </c>
    </row>
    <row r="114">
      <c r="B114" s="4">
        <f>IFERROR(AVERAGE(G5:G104),0)</f>
        <v/>
      </c>
      <c r="D114" s="4">
        <f>COUNTIF(G5:G104,"&gt;"&amp;0.35)</f>
        <v/>
      </c>
    </row>
  </sheetData>
  <mergeCells count="3">
    <mergeCell ref="B112:J112"/>
    <mergeCell ref="B3:J3"/>
    <mergeCell ref="B2:J2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'_Lists'!$F$2:$F$13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'_Lists'!$G$2:$G$4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2" customWidth="1" min="5" max="5"/>
    <col width="20" customWidth="1" min="6" max="6"/>
    <col width="24" customWidth="1" min="7" max="7"/>
    <col width="18" customWidth="1" min="8" max="8"/>
    <col width="22" customWidth="1" min="9" max="9"/>
    <col width="24" customWidth="1" min="10" max="10"/>
    <col width="22" customWidth="1" min="11" max="11"/>
  </cols>
  <sheetData>
    <row r="1" ht="15" customHeight="1"/>
    <row r="2" ht="32" customHeight="1">
      <c r="B2" s="1" t="inlineStr">
        <is>
          <t>COUT COMPLET PAR EMPLOYE (#144)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Employe</t>
        </is>
      </c>
      <c r="D4" s="14" t="inlineStr">
        <is>
          <t>Poste</t>
        </is>
      </c>
      <c r="E4" s="14" t="inlineStr">
        <is>
          <t>Salaire Brut Annuel</t>
        </is>
      </c>
      <c r="F4" s="14" t="inlineStr">
        <is>
          <t>Primes Annuelles</t>
        </is>
      </c>
      <c r="G4" s="14" t="inlineStr">
        <is>
          <t>Cotisations Patronales</t>
        </is>
      </c>
      <c r="H4" s="14" t="inlineStr">
        <is>
          <t>Formation (FCFA)</t>
        </is>
      </c>
      <c r="I4" s="14" t="inlineStr">
        <is>
          <t>Avantages en Nature</t>
        </is>
      </c>
      <c r="J4" s="14" t="inlineStr">
        <is>
          <t>Cout Complet Total</t>
        </is>
      </c>
      <c r="K4" s="14" t="inlineStr">
        <is>
          <t>Cout Mensuel Moyen</t>
        </is>
      </c>
    </row>
    <row r="5" ht="22" customHeight="1">
      <c r="B5" s="15" t="inlineStr">
        <is>
          <t>CCE-001</t>
        </is>
      </c>
      <c r="C5" s="15" t="inlineStr">
        <is>
          <t>Nkoulou Mbarga P.</t>
        </is>
      </c>
      <c r="D5" s="15" t="inlineStr">
        <is>
          <t>Chef Reception</t>
        </is>
      </c>
      <c r="E5" s="22" t="n">
        <v>3240000</v>
      </c>
      <c r="F5" s="22" t="n">
        <v>360000</v>
      </c>
      <c r="G5" s="22" t="n">
        <v>583200</v>
      </c>
      <c r="H5" s="22" t="n">
        <v>120000</v>
      </c>
      <c r="I5" s="22" t="n">
        <v>180000</v>
      </c>
      <c r="J5" s="22" t="n"/>
      <c r="K5" s="22" t="n"/>
    </row>
    <row r="6" ht="22" customHeight="1">
      <c r="B6" s="17" t="inlineStr">
        <is>
          <t>CCE-002</t>
        </is>
      </c>
      <c r="C6" s="17" t="inlineStr">
        <is>
          <t>Biyong Jean M.</t>
        </is>
      </c>
      <c r="D6" s="17" t="inlineStr">
        <is>
          <t>Chef Cuisine</t>
        </is>
      </c>
      <c r="E6" s="25" t="n">
        <v>3960000</v>
      </c>
      <c r="F6" s="25" t="n">
        <v>480000</v>
      </c>
      <c r="G6" s="25" t="n">
        <v>712800</v>
      </c>
      <c r="H6" s="25" t="n">
        <v>150000</v>
      </c>
      <c r="I6" s="25" t="n">
        <v>240000</v>
      </c>
      <c r="J6" s="25" t="n"/>
      <c r="K6" s="25" t="n"/>
    </row>
    <row r="7" ht="22" customHeight="1">
      <c r="B7" s="15" t="inlineStr">
        <is>
          <t>CCE-003</t>
        </is>
      </c>
      <c r="C7" s="15" t="inlineStr">
        <is>
          <t>Tchinda R.</t>
        </is>
      </c>
      <c r="D7" s="15" t="inlineStr">
        <is>
          <t>DRH</t>
        </is>
      </c>
      <c r="E7" s="22" t="n">
        <v>5400000</v>
      </c>
      <c r="F7" s="22" t="n">
        <v>600000</v>
      </c>
      <c r="G7" s="22" t="n">
        <v>972000</v>
      </c>
      <c r="H7" s="22" t="n">
        <v>200000</v>
      </c>
      <c r="I7" s="22" t="n">
        <v>300000</v>
      </c>
      <c r="J7" s="22" t="n"/>
      <c r="K7" s="22" t="n"/>
    </row>
    <row r="8" ht="22" customHeight="1">
      <c r="B8" s="17" t="inlineStr">
        <is>
          <t>CCE-004</t>
        </is>
      </c>
      <c r="C8" s="17" t="inlineStr">
        <is>
          <t>Nganou D.</t>
        </is>
      </c>
      <c r="D8" s="17" t="inlineStr">
        <is>
          <t>Receptionniste</t>
        </is>
      </c>
      <c r="E8" s="25" t="n">
        <v>2160000</v>
      </c>
      <c r="F8" s="25" t="n">
        <v>240000</v>
      </c>
      <c r="G8" s="25" t="n">
        <v>388800</v>
      </c>
      <c r="H8" s="25" t="n">
        <v>60000</v>
      </c>
      <c r="I8" s="25" t="n">
        <v>120000</v>
      </c>
      <c r="J8" s="25" t="n"/>
      <c r="K8" s="25" t="n"/>
    </row>
    <row r="9" ht="22" customHeight="1">
      <c r="B9" s="15" t="inlineStr">
        <is>
          <t>CCE-005</t>
        </is>
      </c>
      <c r="C9" s="15" t="inlineStr">
        <is>
          <t>Fouda M.</t>
        </is>
      </c>
      <c r="D9" s="15" t="inlineStr">
        <is>
          <t>Cuisinier</t>
        </is>
      </c>
      <c r="E9" s="22" t="n">
        <v>2640000</v>
      </c>
      <c r="F9" s="22" t="n">
        <v>288000</v>
      </c>
      <c r="G9" s="22" t="n">
        <v>475200</v>
      </c>
      <c r="H9" s="22" t="n">
        <v>75000</v>
      </c>
      <c r="I9" s="22" t="n">
        <v>180000</v>
      </c>
      <c r="J9" s="22" t="n"/>
      <c r="K9" s="22" t="n"/>
    </row>
    <row r="10" ht="22" customHeight="1">
      <c r="B10" s="20">
        <f>IF(C10="","CCE-"&amp;TEXT(COUNTA($C$5:C10),"000"))</f>
        <v/>
      </c>
      <c r="C10" s="17" t="n"/>
      <c r="D10" s="17" t="n"/>
      <c r="E10" s="25" t="n"/>
      <c r="F10" s="25" t="n"/>
      <c r="G10" s="25" t="n"/>
      <c r="H10" s="25" t="n"/>
      <c r="I10" s="25" t="n"/>
      <c r="J10" s="25">
        <f>E10+F10+G10+H10+I10</f>
        <v/>
      </c>
      <c r="K10" s="25">
        <f>IF(J10="","",J10/12)</f>
        <v/>
      </c>
    </row>
    <row r="11" ht="22" customHeight="1">
      <c r="B11" s="19">
        <f>IF(C11="","CCE-"&amp;TEXT(COUNTA($C$5:C11),"000"))</f>
        <v/>
      </c>
      <c r="C11" s="15" t="n"/>
      <c r="D11" s="15" t="n"/>
      <c r="E11" s="22" t="n"/>
      <c r="F11" s="22" t="n"/>
      <c r="G11" s="22" t="n"/>
      <c r="H11" s="22" t="n"/>
      <c r="I11" s="22" t="n"/>
      <c r="J11" s="22">
        <f>E11+F11+G11+H11+I11</f>
        <v/>
      </c>
      <c r="K11" s="22">
        <f>IF(J11="","",J11/12)</f>
        <v/>
      </c>
    </row>
    <row r="12" ht="22" customHeight="1">
      <c r="B12" s="20">
        <f>IF(C12="","CCE-"&amp;TEXT(COUNTA($C$5:C12),"000"))</f>
        <v/>
      </c>
      <c r="C12" s="17" t="n"/>
      <c r="D12" s="17" t="n"/>
      <c r="E12" s="25" t="n"/>
      <c r="F12" s="25" t="n"/>
      <c r="G12" s="25" t="n"/>
      <c r="H12" s="25" t="n"/>
      <c r="I12" s="25" t="n"/>
      <c r="J12" s="25">
        <f>E12+F12+G12+H12+I12</f>
        <v/>
      </c>
      <c r="K12" s="25">
        <f>IF(J12="","",J12/12)</f>
        <v/>
      </c>
    </row>
    <row r="13" ht="22" customHeight="1">
      <c r="B13" s="19">
        <f>IF(C13="","CCE-"&amp;TEXT(COUNTA($C$5:C13),"000"))</f>
        <v/>
      </c>
      <c r="C13" s="15" t="n"/>
      <c r="D13" s="15" t="n"/>
      <c r="E13" s="22" t="n"/>
      <c r="F13" s="22" t="n"/>
      <c r="G13" s="22" t="n"/>
      <c r="H13" s="22" t="n"/>
      <c r="I13" s="22" t="n"/>
      <c r="J13" s="22">
        <f>E13+F13+G13+H13+I13</f>
        <v/>
      </c>
      <c r="K13" s="22">
        <f>IF(J13="","",J13/12)</f>
        <v/>
      </c>
    </row>
    <row r="14" ht="22" customHeight="1">
      <c r="B14" s="20">
        <f>IF(C14="","CCE-"&amp;TEXT(COUNTA($C$5:C14),"000"))</f>
        <v/>
      </c>
      <c r="C14" s="17" t="n"/>
      <c r="D14" s="17" t="n"/>
      <c r="E14" s="25" t="n"/>
      <c r="F14" s="25" t="n"/>
      <c r="G14" s="25" t="n"/>
      <c r="H14" s="25" t="n"/>
      <c r="I14" s="25" t="n"/>
      <c r="J14" s="25">
        <f>E14+F14+G14+H14+I14</f>
        <v/>
      </c>
      <c r="K14" s="25">
        <f>IF(J14="","",J14/12)</f>
        <v/>
      </c>
    </row>
    <row r="15" ht="22" customHeight="1">
      <c r="B15" s="19">
        <f>IF(C15="","CCE-"&amp;TEXT(COUNTA($C$5:C15),"000"))</f>
        <v/>
      </c>
      <c r="C15" s="15" t="n"/>
      <c r="D15" s="15" t="n"/>
      <c r="E15" s="22" t="n"/>
      <c r="F15" s="22" t="n"/>
      <c r="G15" s="22" t="n"/>
      <c r="H15" s="22" t="n"/>
      <c r="I15" s="22" t="n"/>
      <c r="J15" s="22">
        <f>E15+F15+G15+H15+I15</f>
        <v/>
      </c>
      <c r="K15" s="22">
        <f>IF(J15="","",J15/12)</f>
        <v/>
      </c>
    </row>
    <row r="16" ht="22" customHeight="1">
      <c r="B16" s="20">
        <f>IF(C16="","CCE-"&amp;TEXT(COUNTA($C$5:C16),"000"))</f>
        <v/>
      </c>
      <c r="C16" s="17" t="n"/>
      <c r="D16" s="17" t="n"/>
      <c r="E16" s="25" t="n"/>
      <c r="F16" s="25" t="n"/>
      <c r="G16" s="25" t="n"/>
      <c r="H16" s="25" t="n"/>
      <c r="I16" s="25" t="n"/>
      <c r="J16" s="25">
        <f>E16+F16+G16+H16+I16</f>
        <v/>
      </c>
      <c r="K16" s="25">
        <f>IF(J16="","",J16/12)</f>
        <v/>
      </c>
    </row>
    <row r="17" ht="22" customHeight="1">
      <c r="B17" s="19">
        <f>IF(C17="","CCE-"&amp;TEXT(COUNTA($C$5:C17),"000"))</f>
        <v/>
      </c>
      <c r="C17" s="15" t="n"/>
      <c r="D17" s="15" t="n"/>
      <c r="E17" s="22" t="n"/>
      <c r="F17" s="22" t="n"/>
      <c r="G17" s="22" t="n"/>
      <c r="H17" s="22" t="n"/>
      <c r="I17" s="22" t="n"/>
      <c r="J17" s="22">
        <f>E17+F17+G17+H17+I17</f>
        <v/>
      </c>
      <c r="K17" s="22">
        <f>IF(J17="","",J17/12)</f>
        <v/>
      </c>
    </row>
    <row r="18" ht="22" customHeight="1">
      <c r="B18" s="20">
        <f>IF(C18="","CCE-"&amp;TEXT(COUNTA($C$5:C18),"000"))</f>
        <v/>
      </c>
      <c r="C18" s="17" t="n"/>
      <c r="D18" s="17" t="n"/>
      <c r="E18" s="25" t="n"/>
      <c r="F18" s="25" t="n"/>
      <c r="G18" s="25" t="n"/>
      <c r="H18" s="25" t="n"/>
      <c r="I18" s="25" t="n"/>
      <c r="J18" s="25">
        <f>E18+F18+G18+H18+I18</f>
        <v/>
      </c>
      <c r="K18" s="25">
        <f>IF(J18="","",J18/12)</f>
        <v/>
      </c>
    </row>
    <row r="19" ht="22" customHeight="1">
      <c r="B19" s="19">
        <f>IF(C19="","CCE-"&amp;TEXT(COUNTA($C$5:C19),"000"))</f>
        <v/>
      </c>
      <c r="C19" s="15" t="n"/>
      <c r="D19" s="15" t="n"/>
      <c r="E19" s="22" t="n"/>
      <c r="F19" s="22" t="n"/>
      <c r="G19" s="22" t="n"/>
      <c r="H19" s="22" t="n"/>
      <c r="I19" s="22" t="n"/>
      <c r="J19" s="22">
        <f>E19+F19+G19+H19+I19</f>
        <v/>
      </c>
      <c r="K19" s="22">
        <f>IF(J19="","",J19/12)</f>
        <v/>
      </c>
    </row>
    <row r="20" ht="22" customHeight="1">
      <c r="B20" s="20">
        <f>IF(C20="","CCE-"&amp;TEXT(COUNTA($C$5:C20),"000"))</f>
        <v/>
      </c>
      <c r="C20" s="17" t="n"/>
      <c r="D20" s="17" t="n"/>
      <c r="E20" s="25" t="n"/>
      <c r="F20" s="25" t="n"/>
      <c r="G20" s="25" t="n"/>
      <c r="H20" s="25" t="n"/>
      <c r="I20" s="25" t="n"/>
      <c r="J20" s="25">
        <f>E20+F20+G20+H20+I20</f>
        <v/>
      </c>
      <c r="K20" s="25">
        <f>IF(J20="","",J20/12)</f>
        <v/>
      </c>
    </row>
    <row r="21" ht="22" customHeight="1">
      <c r="B21" s="19">
        <f>IF(C21="","CCE-"&amp;TEXT(COUNTA($C$5:C21),"000"))</f>
        <v/>
      </c>
      <c r="C21" s="15" t="n"/>
      <c r="D21" s="15" t="n"/>
      <c r="E21" s="22" t="n"/>
      <c r="F21" s="22" t="n"/>
      <c r="G21" s="22" t="n"/>
      <c r="H21" s="22" t="n"/>
      <c r="I21" s="22" t="n"/>
      <c r="J21" s="22">
        <f>E21+F21+G21+H21+I21</f>
        <v/>
      </c>
      <c r="K21" s="22">
        <f>IF(J21="","",J21/12)</f>
        <v/>
      </c>
    </row>
    <row r="22" ht="22" customHeight="1">
      <c r="B22" s="20">
        <f>IF(C22="","CCE-"&amp;TEXT(COUNTA($C$5:C22),"000"))</f>
        <v/>
      </c>
      <c r="C22" s="17" t="n"/>
      <c r="D22" s="17" t="n"/>
      <c r="E22" s="25" t="n"/>
      <c r="F22" s="25" t="n"/>
      <c r="G22" s="25" t="n"/>
      <c r="H22" s="25" t="n"/>
      <c r="I22" s="25" t="n"/>
      <c r="J22" s="25">
        <f>E22+F22+G22+H22+I22</f>
        <v/>
      </c>
      <c r="K22" s="25">
        <f>IF(J22="","",J22/12)</f>
        <v/>
      </c>
    </row>
    <row r="23" ht="22" customHeight="1">
      <c r="B23" s="19">
        <f>IF(C23="","CCE-"&amp;TEXT(COUNTA($C$5:C23),"000"))</f>
        <v/>
      </c>
      <c r="C23" s="15" t="n"/>
      <c r="D23" s="15" t="n"/>
      <c r="E23" s="22" t="n"/>
      <c r="F23" s="22" t="n"/>
      <c r="G23" s="22" t="n"/>
      <c r="H23" s="22" t="n"/>
      <c r="I23" s="22" t="n"/>
      <c r="J23" s="22">
        <f>E23+F23+G23+H23+I23</f>
        <v/>
      </c>
      <c r="K23" s="22">
        <f>IF(J23="","",J23/12)</f>
        <v/>
      </c>
    </row>
    <row r="24" ht="22" customHeight="1">
      <c r="B24" s="20">
        <f>IF(C24="","CCE-"&amp;TEXT(COUNTA($C$5:C24),"000"))</f>
        <v/>
      </c>
      <c r="C24" s="17" t="n"/>
      <c r="D24" s="17" t="n"/>
      <c r="E24" s="25" t="n"/>
      <c r="F24" s="25" t="n"/>
      <c r="G24" s="25" t="n"/>
      <c r="H24" s="25" t="n"/>
      <c r="I24" s="25" t="n"/>
      <c r="J24" s="25">
        <f>E24+F24+G24+H24+I24</f>
        <v/>
      </c>
      <c r="K24" s="25">
        <f>IF(J24="","",J24/12)</f>
        <v/>
      </c>
    </row>
    <row r="25" ht="22" customHeight="1">
      <c r="B25" s="19">
        <f>IF(C25="","CCE-"&amp;TEXT(COUNTA($C$5:C25),"000"))</f>
        <v/>
      </c>
      <c r="C25" s="15" t="n"/>
      <c r="D25" s="15" t="n"/>
      <c r="E25" s="22" t="n"/>
      <c r="F25" s="22" t="n"/>
      <c r="G25" s="22" t="n"/>
      <c r="H25" s="22" t="n"/>
      <c r="I25" s="22" t="n"/>
      <c r="J25" s="22">
        <f>E25+F25+G25+H25+I25</f>
        <v/>
      </c>
      <c r="K25" s="22">
        <f>IF(J25="","",J25/12)</f>
        <v/>
      </c>
    </row>
    <row r="26" ht="22" customHeight="1">
      <c r="B26" s="20">
        <f>IF(C26="","CCE-"&amp;TEXT(COUNTA($C$5:C26),"000"))</f>
        <v/>
      </c>
      <c r="C26" s="17" t="n"/>
      <c r="D26" s="17" t="n"/>
      <c r="E26" s="25" t="n"/>
      <c r="F26" s="25" t="n"/>
      <c r="G26" s="25" t="n"/>
      <c r="H26" s="25" t="n"/>
      <c r="I26" s="25" t="n"/>
      <c r="J26" s="25">
        <f>E26+F26+G26+H26+I26</f>
        <v/>
      </c>
      <c r="K26" s="25">
        <f>IF(J26="","",J26/12)</f>
        <v/>
      </c>
    </row>
    <row r="27" ht="22" customHeight="1">
      <c r="B27" s="19">
        <f>IF(C27="","CCE-"&amp;TEXT(COUNTA($C$5:C27),"000"))</f>
        <v/>
      </c>
      <c r="C27" s="15" t="n"/>
      <c r="D27" s="15" t="n"/>
      <c r="E27" s="22" t="n"/>
      <c r="F27" s="22" t="n"/>
      <c r="G27" s="22" t="n"/>
      <c r="H27" s="22" t="n"/>
      <c r="I27" s="22" t="n"/>
      <c r="J27" s="22">
        <f>E27+F27+G27+H27+I27</f>
        <v/>
      </c>
      <c r="K27" s="22">
        <f>IF(J27="","",J27/12)</f>
        <v/>
      </c>
    </row>
    <row r="28" ht="22" customHeight="1">
      <c r="B28" s="20">
        <f>IF(C28="","CCE-"&amp;TEXT(COUNTA($C$5:C28),"000"))</f>
        <v/>
      </c>
      <c r="C28" s="17" t="n"/>
      <c r="D28" s="17" t="n"/>
      <c r="E28" s="25" t="n"/>
      <c r="F28" s="25" t="n"/>
      <c r="G28" s="25" t="n"/>
      <c r="H28" s="25" t="n"/>
      <c r="I28" s="25" t="n"/>
      <c r="J28" s="25">
        <f>E28+F28+G28+H28+I28</f>
        <v/>
      </c>
      <c r="K28" s="25">
        <f>IF(J28="","",J28/12)</f>
        <v/>
      </c>
    </row>
    <row r="29" ht="22" customHeight="1">
      <c r="B29" s="19">
        <f>IF(C29="","CCE-"&amp;TEXT(COUNTA($C$5:C29),"000"))</f>
        <v/>
      </c>
      <c r="C29" s="15" t="n"/>
      <c r="D29" s="15" t="n"/>
      <c r="E29" s="22" t="n"/>
      <c r="F29" s="22" t="n"/>
      <c r="G29" s="22" t="n"/>
      <c r="H29" s="22" t="n"/>
      <c r="I29" s="22" t="n"/>
      <c r="J29" s="22">
        <f>E29+F29+G29+H29+I29</f>
        <v/>
      </c>
      <c r="K29" s="22">
        <f>IF(J29="","",J29/12)</f>
        <v/>
      </c>
    </row>
    <row r="30" ht="22" customHeight="1">
      <c r="B30" s="20">
        <f>IF(C30="","CCE-"&amp;TEXT(COUNTA($C$5:C30),"000"))</f>
        <v/>
      </c>
      <c r="C30" s="17" t="n"/>
      <c r="D30" s="17" t="n"/>
      <c r="E30" s="25" t="n"/>
      <c r="F30" s="25" t="n"/>
      <c r="G30" s="25" t="n"/>
      <c r="H30" s="25" t="n"/>
      <c r="I30" s="25" t="n"/>
      <c r="J30" s="25">
        <f>E30+F30+G30+H30+I30</f>
        <v/>
      </c>
      <c r="K30" s="25">
        <f>IF(J30="","",J30/12)</f>
        <v/>
      </c>
    </row>
    <row r="31" ht="22" customHeight="1">
      <c r="B31" s="19">
        <f>IF(C31="","CCE-"&amp;TEXT(COUNTA($C$5:C31),"000"))</f>
        <v/>
      </c>
      <c r="C31" s="15" t="n"/>
      <c r="D31" s="15" t="n"/>
      <c r="E31" s="22" t="n"/>
      <c r="F31" s="22" t="n"/>
      <c r="G31" s="22" t="n"/>
      <c r="H31" s="22" t="n"/>
      <c r="I31" s="22" t="n"/>
      <c r="J31" s="22">
        <f>E31+F31+G31+H31+I31</f>
        <v/>
      </c>
      <c r="K31" s="22">
        <f>IF(J31="","",J31/12)</f>
        <v/>
      </c>
    </row>
    <row r="32" ht="22" customHeight="1">
      <c r="B32" s="20">
        <f>IF(C32="","CCE-"&amp;TEXT(COUNTA($C$5:C32),"000"))</f>
        <v/>
      </c>
      <c r="C32" s="17" t="n"/>
      <c r="D32" s="17" t="n"/>
      <c r="E32" s="25" t="n"/>
      <c r="F32" s="25" t="n"/>
      <c r="G32" s="25" t="n"/>
      <c r="H32" s="25" t="n"/>
      <c r="I32" s="25" t="n"/>
      <c r="J32" s="25">
        <f>E32+F32+G32+H32+I32</f>
        <v/>
      </c>
      <c r="K32" s="25">
        <f>IF(J32="","",J32/12)</f>
        <v/>
      </c>
    </row>
    <row r="33" ht="22" customHeight="1">
      <c r="B33" s="19">
        <f>IF(C33="","CCE-"&amp;TEXT(COUNTA($C$5:C33),"000"))</f>
        <v/>
      </c>
      <c r="C33" s="15" t="n"/>
      <c r="D33" s="15" t="n"/>
      <c r="E33" s="22" t="n"/>
      <c r="F33" s="22" t="n"/>
      <c r="G33" s="22" t="n"/>
      <c r="H33" s="22" t="n"/>
      <c r="I33" s="22" t="n"/>
      <c r="J33" s="22">
        <f>E33+F33+G33+H33+I33</f>
        <v/>
      </c>
      <c r="K33" s="22">
        <f>IF(J33="","",J33/12)</f>
        <v/>
      </c>
    </row>
    <row r="34" ht="22" customHeight="1">
      <c r="B34" s="20">
        <f>IF(C34="","CCE-"&amp;TEXT(COUNTA($C$5:C34),"000"))</f>
        <v/>
      </c>
      <c r="C34" s="17" t="n"/>
      <c r="D34" s="17" t="n"/>
      <c r="E34" s="25" t="n"/>
      <c r="F34" s="25" t="n"/>
      <c r="G34" s="25" t="n"/>
      <c r="H34" s="25" t="n"/>
      <c r="I34" s="25" t="n"/>
      <c r="J34" s="25">
        <f>E34+F34+G34+H34+I34</f>
        <v/>
      </c>
      <c r="K34" s="25">
        <f>IF(J34="","",J34/12)</f>
        <v/>
      </c>
    </row>
    <row r="35" ht="22" customHeight="1">
      <c r="B35" s="19">
        <f>IF(C35="","CCE-"&amp;TEXT(COUNTA($C$5:C35),"000"))</f>
        <v/>
      </c>
      <c r="C35" s="15" t="n"/>
      <c r="D35" s="15" t="n"/>
      <c r="E35" s="22" t="n"/>
      <c r="F35" s="22" t="n"/>
      <c r="G35" s="22" t="n"/>
      <c r="H35" s="22" t="n"/>
      <c r="I35" s="22" t="n"/>
      <c r="J35" s="22">
        <f>E35+F35+G35+H35+I35</f>
        <v/>
      </c>
      <c r="K35" s="22">
        <f>IF(J35="","",J35/12)</f>
        <v/>
      </c>
    </row>
    <row r="36" ht="22" customHeight="1">
      <c r="B36" s="20">
        <f>IF(C36="","CCE-"&amp;TEXT(COUNTA($C$5:C36),"000"))</f>
        <v/>
      </c>
      <c r="C36" s="17" t="n"/>
      <c r="D36" s="17" t="n"/>
      <c r="E36" s="25" t="n"/>
      <c r="F36" s="25" t="n"/>
      <c r="G36" s="25" t="n"/>
      <c r="H36" s="25" t="n"/>
      <c r="I36" s="25" t="n"/>
      <c r="J36" s="25">
        <f>E36+F36+G36+H36+I36</f>
        <v/>
      </c>
      <c r="K36" s="25">
        <f>IF(J36="","",J36/12)</f>
        <v/>
      </c>
    </row>
    <row r="37" ht="22" customHeight="1">
      <c r="B37" s="19">
        <f>IF(C37="","CCE-"&amp;TEXT(COUNTA($C$5:C37),"000"))</f>
        <v/>
      </c>
      <c r="C37" s="15" t="n"/>
      <c r="D37" s="15" t="n"/>
      <c r="E37" s="22" t="n"/>
      <c r="F37" s="22" t="n"/>
      <c r="G37" s="22" t="n"/>
      <c r="H37" s="22" t="n"/>
      <c r="I37" s="22" t="n"/>
      <c r="J37" s="22">
        <f>E37+F37+G37+H37+I37</f>
        <v/>
      </c>
      <c r="K37" s="22">
        <f>IF(J37="","",J37/12)</f>
        <v/>
      </c>
    </row>
    <row r="38" ht="22" customHeight="1">
      <c r="B38" s="20">
        <f>IF(C38="","CCE-"&amp;TEXT(COUNTA($C$5:C38),"000"))</f>
        <v/>
      </c>
      <c r="C38" s="17" t="n"/>
      <c r="D38" s="17" t="n"/>
      <c r="E38" s="25" t="n"/>
      <c r="F38" s="25" t="n"/>
      <c r="G38" s="25" t="n"/>
      <c r="H38" s="25" t="n"/>
      <c r="I38" s="25" t="n"/>
      <c r="J38" s="25">
        <f>E38+F38+G38+H38+I38</f>
        <v/>
      </c>
      <c r="K38" s="25">
        <f>IF(J38="","",J38/12)</f>
        <v/>
      </c>
    </row>
    <row r="39" ht="22" customHeight="1">
      <c r="B39" s="19">
        <f>IF(C39="","CCE-"&amp;TEXT(COUNTA($C$5:C39),"000"))</f>
        <v/>
      </c>
      <c r="C39" s="15" t="n"/>
      <c r="D39" s="15" t="n"/>
      <c r="E39" s="22" t="n"/>
      <c r="F39" s="22" t="n"/>
      <c r="G39" s="22" t="n"/>
      <c r="H39" s="22" t="n"/>
      <c r="I39" s="22" t="n"/>
      <c r="J39" s="22">
        <f>E39+F39+G39+H39+I39</f>
        <v/>
      </c>
      <c r="K39" s="22">
        <f>IF(J39="","",J39/12)</f>
        <v/>
      </c>
    </row>
    <row r="40" ht="22" customHeight="1">
      <c r="B40" s="20">
        <f>IF(C40="","CCE-"&amp;TEXT(COUNTA($C$5:C40),"000"))</f>
        <v/>
      </c>
      <c r="C40" s="17" t="n"/>
      <c r="D40" s="17" t="n"/>
      <c r="E40" s="25" t="n"/>
      <c r="F40" s="25" t="n"/>
      <c r="G40" s="25" t="n"/>
      <c r="H40" s="25" t="n"/>
      <c r="I40" s="25" t="n"/>
      <c r="J40" s="25">
        <f>E40+F40+G40+H40+I40</f>
        <v/>
      </c>
      <c r="K40" s="25">
        <f>IF(J40="","",J40/12)</f>
        <v/>
      </c>
    </row>
    <row r="41" ht="22" customHeight="1">
      <c r="B41" s="19">
        <f>IF(C41="","CCE-"&amp;TEXT(COUNTA($C$5:C41),"000"))</f>
        <v/>
      </c>
      <c r="C41" s="15" t="n"/>
      <c r="D41" s="15" t="n"/>
      <c r="E41" s="22" t="n"/>
      <c r="F41" s="22" t="n"/>
      <c r="G41" s="22" t="n"/>
      <c r="H41" s="22" t="n"/>
      <c r="I41" s="22" t="n"/>
      <c r="J41" s="22">
        <f>E41+F41+G41+H41+I41</f>
        <v/>
      </c>
      <c r="K41" s="22">
        <f>IF(J41="","",J41/12)</f>
        <v/>
      </c>
    </row>
    <row r="42" ht="22" customHeight="1">
      <c r="B42" s="20">
        <f>IF(C42="","CCE-"&amp;TEXT(COUNTA($C$5:C42),"000"))</f>
        <v/>
      </c>
      <c r="C42" s="17" t="n"/>
      <c r="D42" s="17" t="n"/>
      <c r="E42" s="25" t="n"/>
      <c r="F42" s="25" t="n"/>
      <c r="G42" s="25" t="n"/>
      <c r="H42" s="25" t="n"/>
      <c r="I42" s="25" t="n"/>
      <c r="J42" s="25">
        <f>E42+F42+G42+H42+I42</f>
        <v/>
      </c>
      <c r="K42" s="25">
        <f>IF(J42="","",J42/12)</f>
        <v/>
      </c>
    </row>
    <row r="43" ht="22" customHeight="1">
      <c r="B43" s="19">
        <f>IF(C43="","CCE-"&amp;TEXT(COUNTA($C$5:C43),"000"))</f>
        <v/>
      </c>
      <c r="C43" s="15" t="n"/>
      <c r="D43" s="15" t="n"/>
      <c r="E43" s="22" t="n"/>
      <c r="F43" s="22" t="n"/>
      <c r="G43" s="22" t="n"/>
      <c r="H43" s="22" t="n"/>
      <c r="I43" s="22" t="n"/>
      <c r="J43" s="22">
        <f>E43+F43+G43+H43+I43</f>
        <v/>
      </c>
      <c r="K43" s="22">
        <f>IF(J43="","",J43/12)</f>
        <v/>
      </c>
    </row>
    <row r="44" ht="22" customHeight="1">
      <c r="B44" s="20">
        <f>IF(C44="","CCE-"&amp;TEXT(COUNTA($C$5:C44),"000"))</f>
        <v/>
      </c>
      <c r="C44" s="17" t="n"/>
      <c r="D44" s="17" t="n"/>
      <c r="E44" s="25" t="n"/>
      <c r="F44" s="25" t="n"/>
      <c r="G44" s="25" t="n"/>
      <c r="H44" s="25" t="n"/>
      <c r="I44" s="25" t="n"/>
      <c r="J44" s="25">
        <f>E44+F44+G44+H44+I44</f>
        <v/>
      </c>
      <c r="K44" s="25">
        <f>IF(J44="","",J44/12)</f>
        <v/>
      </c>
    </row>
    <row r="45" ht="22" customHeight="1">
      <c r="B45" s="19">
        <f>IF(C45="","CCE-"&amp;TEXT(COUNTA($C$5:C45),"000"))</f>
        <v/>
      </c>
      <c r="C45" s="15" t="n"/>
      <c r="D45" s="15" t="n"/>
      <c r="E45" s="22" t="n"/>
      <c r="F45" s="22" t="n"/>
      <c r="G45" s="22" t="n"/>
      <c r="H45" s="22" t="n"/>
      <c r="I45" s="22" t="n"/>
      <c r="J45" s="22">
        <f>E45+F45+G45+H45+I45</f>
        <v/>
      </c>
      <c r="K45" s="22">
        <f>IF(J45="","",J45/12)</f>
        <v/>
      </c>
    </row>
    <row r="46" ht="22" customHeight="1">
      <c r="B46" s="20">
        <f>IF(C46="","CCE-"&amp;TEXT(COUNTA($C$5:C46),"000"))</f>
        <v/>
      </c>
      <c r="C46" s="17" t="n"/>
      <c r="D46" s="17" t="n"/>
      <c r="E46" s="25" t="n"/>
      <c r="F46" s="25" t="n"/>
      <c r="G46" s="25" t="n"/>
      <c r="H46" s="25" t="n"/>
      <c r="I46" s="25" t="n"/>
      <c r="J46" s="25">
        <f>E46+F46+G46+H46+I46</f>
        <v/>
      </c>
      <c r="K46" s="25">
        <f>IF(J46="","",J46/12)</f>
        <v/>
      </c>
    </row>
    <row r="47" ht="22" customHeight="1">
      <c r="B47" s="19">
        <f>IF(C47="","CCE-"&amp;TEXT(COUNTA($C$5:C47),"000"))</f>
        <v/>
      </c>
      <c r="C47" s="15" t="n"/>
      <c r="D47" s="15" t="n"/>
      <c r="E47" s="22" t="n"/>
      <c r="F47" s="22" t="n"/>
      <c r="G47" s="22" t="n"/>
      <c r="H47" s="22" t="n"/>
      <c r="I47" s="22" t="n"/>
      <c r="J47" s="22">
        <f>E47+F47+G47+H47+I47</f>
        <v/>
      </c>
      <c r="K47" s="22">
        <f>IF(J47="","",J47/12)</f>
        <v/>
      </c>
    </row>
    <row r="48" ht="22" customHeight="1">
      <c r="B48" s="20">
        <f>IF(C48="","CCE-"&amp;TEXT(COUNTA($C$5:C48),"000"))</f>
        <v/>
      </c>
      <c r="C48" s="17" t="n"/>
      <c r="D48" s="17" t="n"/>
      <c r="E48" s="25" t="n"/>
      <c r="F48" s="25" t="n"/>
      <c r="G48" s="25" t="n"/>
      <c r="H48" s="25" t="n"/>
      <c r="I48" s="25" t="n"/>
      <c r="J48" s="25">
        <f>E48+F48+G48+H48+I48</f>
        <v/>
      </c>
      <c r="K48" s="25">
        <f>IF(J48="","",J48/12)</f>
        <v/>
      </c>
    </row>
    <row r="49" ht="22" customHeight="1">
      <c r="B49" s="19">
        <f>IF(C49="","CCE-"&amp;TEXT(COUNTA($C$5:C49),"000"))</f>
        <v/>
      </c>
      <c r="C49" s="15" t="n"/>
      <c r="D49" s="15" t="n"/>
      <c r="E49" s="22" t="n"/>
      <c r="F49" s="22" t="n"/>
      <c r="G49" s="22" t="n"/>
      <c r="H49" s="22" t="n"/>
      <c r="I49" s="22" t="n"/>
      <c r="J49" s="22">
        <f>E49+F49+G49+H49+I49</f>
        <v/>
      </c>
      <c r="K49" s="22">
        <f>IF(J49="","",J49/12)</f>
        <v/>
      </c>
    </row>
    <row r="50" ht="22" customHeight="1">
      <c r="B50" s="20">
        <f>IF(C50="","CCE-"&amp;TEXT(COUNTA($C$5:C50),"000"))</f>
        <v/>
      </c>
      <c r="C50" s="17" t="n"/>
      <c r="D50" s="17" t="n"/>
      <c r="E50" s="25" t="n"/>
      <c r="F50" s="25" t="n"/>
      <c r="G50" s="25" t="n"/>
      <c r="H50" s="25" t="n"/>
      <c r="I50" s="25" t="n"/>
      <c r="J50" s="25">
        <f>E50+F50+G50+H50+I50</f>
        <v/>
      </c>
      <c r="K50" s="25">
        <f>IF(J50="","",J50/12)</f>
        <v/>
      </c>
    </row>
    <row r="51" ht="22" customHeight="1">
      <c r="B51" s="19">
        <f>IF(C51="","CCE-"&amp;TEXT(COUNTA($C$5:C51),"000"))</f>
        <v/>
      </c>
      <c r="C51" s="15" t="n"/>
      <c r="D51" s="15" t="n"/>
      <c r="E51" s="22" t="n"/>
      <c r="F51" s="22" t="n"/>
      <c r="G51" s="22" t="n"/>
      <c r="H51" s="22" t="n"/>
      <c r="I51" s="22" t="n"/>
      <c r="J51" s="22">
        <f>E51+F51+G51+H51+I51</f>
        <v/>
      </c>
      <c r="K51" s="22">
        <f>IF(J51="","",J51/12)</f>
        <v/>
      </c>
    </row>
    <row r="52" ht="22" customHeight="1">
      <c r="B52" s="20">
        <f>IF(C52="","CCE-"&amp;TEXT(COUNTA($C$5:C52),"000"))</f>
        <v/>
      </c>
      <c r="C52" s="17" t="n"/>
      <c r="D52" s="17" t="n"/>
      <c r="E52" s="25" t="n"/>
      <c r="F52" s="25" t="n"/>
      <c r="G52" s="25" t="n"/>
      <c r="H52" s="25" t="n"/>
      <c r="I52" s="25" t="n"/>
      <c r="J52" s="25">
        <f>E52+F52+G52+H52+I52</f>
        <v/>
      </c>
      <c r="K52" s="25">
        <f>IF(J52="","",J52/12)</f>
        <v/>
      </c>
    </row>
    <row r="53" ht="22" customHeight="1">
      <c r="B53" s="19">
        <f>IF(C53="","CCE-"&amp;TEXT(COUNTA($C$5:C53),"000"))</f>
        <v/>
      </c>
      <c r="C53" s="15" t="n"/>
      <c r="D53" s="15" t="n"/>
      <c r="E53" s="22" t="n"/>
      <c r="F53" s="22" t="n"/>
      <c r="G53" s="22" t="n"/>
      <c r="H53" s="22" t="n"/>
      <c r="I53" s="22" t="n"/>
      <c r="J53" s="22">
        <f>E53+F53+G53+H53+I53</f>
        <v/>
      </c>
      <c r="K53" s="22">
        <f>IF(J53="","",J53/12)</f>
        <v/>
      </c>
    </row>
    <row r="54" ht="22" customHeight="1">
      <c r="B54" s="20">
        <f>IF(C54="","CCE-"&amp;TEXT(COUNTA($C$5:C54),"000"))</f>
        <v/>
      </c>
      <c r="C54" s="17" t="n"/>
      <c r="D54" s="17" t="n"/>
      <c r="E54" s="25" t="n"/>
      <c r="F54" s="25" t="n"/>
      <c r="G54" s="25" t="n"/>
      <c r="H54" s="25" t="n"/>
      <c r="I54" s="25" t="n"/>
      <c r="J54" s="25">
        <f>E54+F54+G54+H54+I54</f>
        <v/>
      </c>
      <c r="K54" s="25">
        <f>IF(J54="","",J54/12)</f>
        <v/>
      </c>
    </row>
    <row r="55" ht="22" customHeight="1">
      <c r="B55" s="19">
        <f>IF(C55="","CCE-"&amp;TEXT(COUNTA($C$5:C55),"000"))</f>
        <v/>
      </c>
      <c r="C55" s="15" t="n"/>
      <c r="D55" s="15" t="n"/>
      <c r="E55" s="22" t="n"/>
      <c r="F55" s="22" t="n"/>
      <c r="G55" s="22" t="n"/>
      <c r="H55" s="22" t="n"/>
      <c r="I55" s="22" t="n"/>
      <c r="J55" s="22">
        <f>E55+F55+G55+H55+I55</f>
        <v/>
      </c>
      <c r="K55" s="22">
        <f>IF(J55="","",J55/12)</f>
        <v/>
      </c>
    </row>
    <row r="56" ht="22" customHeight="1">
      <c r="B56" s="20">
        <f>IF(C56="","CCE-"&amp;TEXT(COUNTA($C$5:C56),"000"))</f>
        <v/>
      </c>
      <c r="C56" s="17" t="n"/>
      <c r="D56" s="17" t="n"/>
      <c r="E56" s="25" t="n"/>
      <c r="F56" s="25" t="n"/>
      <c r="G56" s="25" t="n"/>
      <c r="H56" s="25" t="n"/>
      <c r="I56" s="25" t="n"/>
      <c r="J56" s="25">
        <f>E56+F56+G56+H56+I56</f>
        <v/>
      </c>
      <c r="K56" s="25">
        <f>IF(J56="","",J56/12)</f>
        <v/>
      </c>
    </row>
    <row r="57" ht="22" customHeight="1">
      <c r="B57" s="19">
        <f>IF(C57="","CCE-"&amp;TEXT(COUNTA($C$5:C57),"000"))</f>
        <v/>
      </c>
      <c r="C57" s="15" t="n"/>
      <c r="D57" s="15" t="n"/>
      <c r="E57" s="22" t="n"/>
      <c r="F57" s="22" t="n"/>
      <c r="G57" s="22" t="n"/>
      <c r="H57" s="22" t="n"/>
      <c r="I57" s="22" t="n"/>
      <c r="J57" s="22">
        <f>E57+F57+G57+H57+I57</f>
        <v/>
      </c>
      <c r="K57" s="22">
        <f>IF(J57="","",J57/12)</f>
        <v/>
      </c>
    </row>
    <row r="58" ht="22" customHeight="1">
      <c r="B58" s="20">
        <f>IF(C58="","CCE-"&amp;TEXT(COUNTA($C$5:C58),"000"))</f>
        <v/>
      </c>
      <c r="C58" s="17" t="n"/>
      <c r="D58" s="17" t="n"/>
      <c r="E58" s="25" t="n"/>
      <c r="F58" s="25" t="n"/>
      <c r="G58" s="25" t="n"/>
      <c r="H58" s="25" t="n"/>
      <c r="I58" s="25" t="n"/>
      <c r="J58" s="25">
        <f>E58+F58+G58+H58+I58</f>
        <v/>
      </c>
      <c r="K58" s="25">
        <f>IF(J58="","",J58/12)</f>
        <v/>
      </c>
    </row>
    <row r="59" ht="22" customHeight="1">
      <c r="B59" s="19">
        <f>IF(C59="","CCE-"&amp;TEXT(COUNTA($C$5:C59),"000"))</f>
        <v/>
      </c>
      <c r="C59" s="15" t="n"/>
      <c r="D59" s="15" t="n"/>
      <c r="E59" s="22" t="n"/>
      <c r="F59" s="22" t="n"/>
      <c r="G59" s="22" t="n"/>
      <c r="H59" s="22" t="n"/>
      <c r="I59" s="22" t="n"/>
      <c r="J59" s="22">
        <f>E59+F59+G59+H59+I59</f>
        <v/>
      </c>
      <c r="K59" s="22">
        <f>IF(J59="","",J59/12)</f>
        <v/>
      </c>
    </row>
    <row r="60" ht="22" customHeight="1">
      <c r="B60" s="20">
        <f>IF(C60="","CCE-"&amp;TEXT(COUNTA($C$5:C60),"000"))</f>
        <v/>
      </c>
      <c r="C60" s="17" t="n"/>
      <c r="D60" s="17" t="n"/>
      <c r="E60" s="25" t="n"/>
      <c r="F60" s="25" t="n"/>
      <c r="G60" s="25" t="n"/>
      <c r="H60" s="25" t="n"/>
      <c r="I60" s="25" t="n"/>
      <c r="J60" s="25">
        <f>E60+F60+G60+H60+I60</f>
        <v/>
      </c>
      <c r="K60" s="25">
        <f>IF(J60="","",J60/12)</f>
        <v/>
      </c>
    </row>
    <row r="61" ht="22" customHeight="1">
      <c r="B61" s="19">
        <f>IF(C61="","CCE-"&amp;TEXT(COUNTA($C$5:C61),"000"))</f>
        <v/>
      </c>
      <c r="C61" s="15" t="n"/>
      <c r="D61" s="15" t="n"/>
      <c r="E61" s="22" t="n"/>
      <c r="F61" s="22" t="n"/>
      <c r="G61" s="22" t="n"/>
      <c r="H61" s="22" t="n"/>
      <c r="I61" s="22" t="n"/>
      <c r="J61" s="22">
        <f>E61+F61+G61+H61+I61</f>
        <v/>
      </c>
      <c r="K61" s="22">
        <f>IF(J61="","",J61/12)</f>
        <v/>
      </c>
    </row>
    <row r="62" ht="22" customHeight="1">
      <c r="B62" s="20">
        <f>IF(C62="","CCE-"&amp;TEXT(COUNTA($C$5:C62),"000"))</f>
        <v/>
      </c>
      <c r="C62" s="17" t="n"/>
      <c r="D62" s="17" t="n"/>
      <c r="E62" s="25" t="n"/>
      <c r="F62" s="25" t="n"/>
      <c r="G62" s="25" t="n"/>
      <c r="H62" s="25" t="n"/>
      <c r="I62" s="25" t="n"/>
      <c r="J62" s="25">
        <f>E62+F62+G62+H62+I62</f>
        <v/>
      </c>
      <c r="K62" s="25">
        <f>IF(J62="","",J62/12)</f>
        <v/>
      </c>
    </row>
    <row r="63" ht="22" customHeight="1">
      <c r="B63" s="19">
        <f>IF(C63="","CCE-"&amp;TEXT(COUNTA($C$5:C63),"000"))</f>
        <v/>
      </c>
      <c r="C63" s="15" t="n"/>
      <c r="D63" s="15" t="n"/>
      <c r="E63" s="22" t="n"/>
      <c r="F63" s="22" t="n"/>
      <c r="G63" s="22" t="n"/>
      <c r="H63" s="22" t="n"/>
      <c r="I63" s="22" t="n"/>
      <c r="J63" s="22">
        <f>E63+F63+G63+H63+I63</f>
        <v/>
      </c>
      <c r="K63" s="22">
        <f>IF(J63="","",J63/12)</f>
        <v/>
      </c>
    </row>
    <row r="64" ht="22" customHeight="1">
      <c r="B64" s="20">
        <f>IF(C64="","CCE-"&amp;TEXT(COUNTA($C$5:C64),"000"))</f>
        <v/>
      </c>
      <c r="C64" s="17" t="n"/>
      <c r="D64" s="17" t="n"/>
      <c r="E64" s="25" t="n"/>
      <c r="F64" s="25" t="n"/>
      <c r="G64" s="25" t="n"/>
      <c r="H64" s="25" t="n"/>
      <c r="I64" s="25" t="n"/>
      <c r="J64" s="25">
        <f>E64+F64+G64+H64+I64</f>
        <v/>
      </c>
      <c r="K64" s="25">
        <f>IF(J64="","",J64/12)</f>
        <v/>
      </c>
    </row>
    <row r="65" ht="22" customHeight="1">
      <c r="B65" s="19">
        <f>IF(C65="","CCE-"&amp;TEXT(COUNTA($C$5:C65),"000"))</f>
        <v/>
      </c>
      <c r="C65" s="15" t="n"/>
      <c r="D65" s="15" t="n"/>
      <c r="E65" s="22" t="n"/>
      <c r="F65" s="22" t="n"/>
      <c r="G65" s="22" t="n"/>
      <c r="H65" s="22" t="n"/>
      <c r="I65" s="22" t="n"/>
      <c r="J65" s="22">
        <f>E65+F65+G65+H65+I65</f>
        <v/>
      </c>
      <c r="K65" s="22">
        <f>IF(J65="","",J65/12)</f>
        <v/>
      </c>
    </row>
    <row r="66" ht="22" customHeight="1">
      <c r="B66" s="20">
        <f>IF(C66="","CCE-"&amp;TEXT(COUNTA($C$5:C66),"000"))</f>
        <v/>
      </c>
      <c r="C66" s="17" t="n"/>
      <c r="D66" s="17" t="n"/>
      <c r="E66" s="25" t="n"/>
      <c r="F66" s="25" t="n"/>
      <c r="G66" s="25" t="n"/>
      <c r="H66" s="25" t="n"/>
      <c r="I66" s="25" t="n"/>
      <c r="J66" s="25">
        <f>E66+F66+G66+H66+I66</f>
        <v/>
      </c>
      <c r="K66" s="25">
        <f>IF(J66="","",J66/12)</f>
        <v/>
      </c>
    </row>
    <row r="67" ht="22" customHeight="1">
      <c r="B67" s="19">
        <f>IF(C67="","CCE-"&amp;TEXT(COUNTA($C$5:C67),"000"))</f>
        <v/>
      </c>
      <c r="C67" s="15" t="n"/>
      <c r="D67" s="15" t="n"/>
      <c r="E67" s="22" t="n"/>
      <c r="F67" s="22" t="n"/>
      <c r="G67" s="22" t="n"/>
      <c r="H67" s="22" t="n"/>
      <c r="I67" s="22" t="n"/>
      <c r="J67" s="22">
        <f>E67+F67+G67+H67+I67</f>
        <v/>
      </c>
      <c r="K67" s="22">
        <f>IF(J67="","",J67/12)</f>
        <v/>
      </c>
    </row>
    <row r="68" ht="22" customHeight="1">
      <c r="B68" s="20">
        <f>IF(C68="","CCE-"&amp;TEXT(COUNTA($C$5:C68),"000"))</f>
        <v/>
      </c>
      <c r="C68" s="17" t="n"/>
      <c r="D68" s="17" t="n"/>
      <c r="E68" s="25" t="n"/>
      <c r="F68" s="25" t="n"/>
      <c r="G68" s="25" t="n"/>
      <c r="H68" s="25" t="n"/>
      <c r="I68" s="25" t="n"/>
      <c r="J68" s="25">
        <f>E68+F68+G68+H68+I68</f>
        <v/>
      </c>
      <c r="K68" s="25">
        <f>IF(J68="","",J68/12)</f>
        <v/>
      </c>
    </row>
    <row r="69" ht="22" customHeight="1">
      <c r="B69" s="19">
        <f>IF(C69="","CCE-"&amp;TEXT(COUNTA($C$5:C69),"000"))</f>
        <v/>
      </c>
      <c r="C69" s="15" t="n"/>
      <c r="D69" s="15" t="n"/>
      <c r="E69" s="22" t="n"/>
      <c r="F69" s="22" t="n"/>
      <c r="G69" s="22" t="n"/>
      <c r="H69" s="22" t="n"/>
      <c r="I69" s="22" t="n"/>
      <c r="J69" s="22">
        <f>E69+F69+G69+H69+I69</f>
        <v/>
      </c>
      <c r="K69" s="22">
        <f>IF(J69="","",J69/12)</f>
        <v/>
      </c>
    </row>
    <row r="70" ht="22" customHeight="1">
      <c r="B70" s="20">
        <f>IF(C70="","CCE-"&amp;TEXT(COUNTA($C$5:C70),"000"))</f>
        <v/>
      </c>
      <c r="C70" s="17" t="n"/>
      <c r="D70" s="17" t="n"/>
      <c r="E70" s="25" t="n"/>
      <c r="F70" s="25" t="n"/>
      <c r="G70" s="25" t="n"/>
      <c r="H70" s="25" t="n"/>
      <c r="I70" s="25" t="n"/>
      <c r="J70" s="25">
        <f>E70+F70+G70+H70+I70</f>
        <v/>
      </c>
      <c r="K70" s="25">
        <f>IF(J70="","",J70/12)</f>
        <v/>
      </c>
    </row>
    <row r="71" ht="22" customHeight="1">
      <c r="B71" s="19">
        <f>IF(C71="","CCE-"&amp;TEXT(COUNTA($C$5:C71),"000"))</f>
        <v/>
      </c>
      <c r="C71" s="15" t="n"/>
      <c r="D71" s="15" t="n"/>
      <c r="E71" s="22" t="n"/>
      <c r="F71" s="22" t="n"/>
      <c r="G71" s="22" t="n"/>
      <c r="H71" s="22" t="n"/>
      <c r="I71" s="22" t="n"/>
      <c r="J71" s="22">
        <f>E71+F71+G71+H71+I71</f>
        <v/>
      </c>
      <c r="K71" s="22">
        <f>IF(J71="","",J71/12)</f>
        <v/>
      </c>
    </row>
    <row r="72" ht="22" customHeight="1">
      <c r="B72" s="20">
        <f>IF(C72="","CCE-"&amp;TEXT(COUNTA($C$5:C72),"000"))</f>
        <v/>
      </c>
      <c r="C72" s="17" t="n"/>
      <c r="D72" s="17" t="n"/>
      <c r="E72" s="25" t="n"/>
      <c r="F72" s="25" t="n"/>
      <c r="G72" s="25" t="n"/>
      <c r="H72" s="25" t="n"/>
      <c r="I72" s="25" t="n"/>
      <c r="J72" s="25">
        <f>E72+F72+G72+H72+I72</f>
        <v/>
      </c>
      <c r="K72" s="25">
        <f>IF(J72="","",J72/12)</f>
        <v/>
      </c>
    </row>
    <row r="73" ht="22" customHeight="1">
      <c r="B73" s="19">
        <f>IF(C73="","CCE-"&amp;TEXT(COUNTA($C$5:C73),"000"))</f>
        <v/>
      </c>
      <c r="C73" s="15" t="n"/>
      <c r="D73" s="15" t="n"/>
      <c r="E73" s="22" t="n"/>
      <c r="F73" s="22" t="n"/>
      <c r="G73" s="22" t="n"/>
      <c r="H73" s="22" t="n"/>
      <c r="I73" s="22" t="n"/>
      <c r="J73" s="22">
        <f>E73+F73+G73+H73+I73</f>
        <v/>
      </c>
      <c r="K73" s="22">
        <f>IF(J73="","",J73/12)</f>
        <v/>
      </c>
    </row>
    <row r="74" ht="22" customHeight="1">
      <c r="B74" s="20">
        <f>IF(C74="","CCE-"&amp;TEXT(COUNTA($C$5:C74),"000"))</f>
        <v/>
      </c>
      <c r="C74" s="17" t="n"/>
      <c r="D74" s="17" t="n"/>
      <c r="E74" s="25" t="n"/>
      <c r="F74" s="25" t="n"/>
      <c r="G74" s="25" t="n"/>
      <c r="H74" s="25" t="n"/>
      <c r="I74" s="25" t="n"/>
      <c r="J74" s="25">
        <f>E74+F74+G74+H74+I74</f>
        <v/>
      </c>
      <c r="K74" s="25">
        <f>IF(J74="","",J74/12)</f>
        <v/>
      </c>
    </row>
    <row r="75" ht="22" customHeight="1">
      <c r="B75" s="19">
        <f>IF(C75="","CCE-"&amp;TEXT(COUNTA($C$5:C75),"000"))</f>
        <v/>
      </c>
      <c r="C75" s="15" t="n"/>
      <c r="D75" s="15" t="n"/>
      <c r="E75" s="22" t="n"/>
      <c r="F75" s="22" t="n"/>
      <c r="G75" s="22" t="n"/>
      <c r="H75" s="22" t="n"/>
      <c r="I75" s="22" t="n"/>
      <c r="J75" s="22">
        <f>E75+F75+G75+H75+I75</f>
        <v/>
      </c>
      <c r="K75" s="22">
        <f>IF(J75="","",J75/12)</f>
        <v/>
      </c>
    </row>
    <row r="76" ht="22" customHeight="1">
      <c r="B76" s="20">
        <f>IF(C76="","CCE-"&amp;TEXT(COUNTA($C$5:C76),"000"))</f>
        <v/>
      </c>
      <c r="C76" s="17" t="n"/>
      <c r="D76" s="17" t="n"/>
      <c r="E76" s="25" t="n"/>
      <c r="F76" s="25" t="n"/>
      <c r="G76" s="25" t="n"/>
      <c r="H76" s="25" t="n"/>
      <c r="I76" s="25" t="n"/>
      <c r="J76" s="25">
        <f>E76+F76+G76+H76+I76</f>
        <v/>
      </c>
      <c r="K76" s="25">
        <f>IF(J76="","",J76/12)</f>
        <v/>
      </c>
    </row>
    <row r="77" ht="22" customHeight="1">
      <c r="B77" s="19">
        <f>IF(C77="","CCE-"&amp;TEXT(COUNTA($C$5:C77),"000"))</f>
        <v/>
      </c>
      <c r="C77" s="15" t="n"/>
      <c r="D77" s="15" t="n"/>
      <c r="E77" s="22" t="n"/>
      <c r="F77" s="22" t="n"/>
      <c r="G77" s="22" t="n"/>
      <c r="H77" s="22" t="n"/>
      <c r="I77" s="22" t="n"/>
      <c r="J77" s="22">
        <f>E77+F77+G77+H77+I77</f>
        <v/>
      </c>
      <c r="K77" s="22">
        <f>IF(J77="","",J77/12)</f>
        <v/>
      </c>
    </row>
    <row r="78" ht="22" customHeight="1">
      <c r="B78" s="20">
        <f>IF(C78="","CCE-"&amp;TEXT(COUNTA($C$5:C78),"000"))</f>
        <v/>
      </c>
      <c r="C78" s="17" t="n"/>
      <c r="D78" s="17" t="n"/>
      <c r="E78" s="25" t="n"/>
      <c r="F78" s="25" t="n"/>
      <c r="G78" s="25" t="n"/>
      <c r="H78" s="25" t="n"/>
      <c r="I78" s="25" t="n"/>
      <c r="J78" s="25">
        <f>E78+F78+G78+H78+I78</f>
        <v/>
      </c>
      <c r="K78" s="25">
        <f>IF(J78="","",J78/12)</f>
        <v/>
      </c>
    </row>
    <row r="79" ht="22" customHeight="1">
      <c r="B79" s="19">
        <f>IF(C79="","CCE-"&amp;TEXT(COUNTA($C$5:C79),"000"))</f>
        <v/>
      </c>
      <c r="C79" s="15" t="n"/>
      <c r="D79" s="15" t="n"/>
      <c r="E79" s="22" t="n"/>
      <c r="F79" s="22" t="n"/>
      <c r="G79" s="22" t="n"/>
      <c r="H79" s="22" t="n"/>
      <c r="I79" s="22" t="n"/>
      <c r="J79" s="22">
        <f>E79+F79+G79+H79+I79</f>
        <v/>
      </c>
      <c r="K79" s="22">
        <f>IF(J79="","",J79/12)</f>
        <v/>
      </c>
    </row>
    <row r="80" ht="22" customHeight="1">
      <c r="B80" s="20">
        <f>IF(C80="","CCE-"&amp;TEXT(COUNTA($C$5:C80),"000"))</f>
        <v/>
      </c>
      <c r="C80" s="17" t="n"/>
      <c r="D80" s="17" t="n"/>
      <c r="E80" s="25" t="n"/>
      <c r="F80" s="25" t="n"/>
      <c r="G80" s="25" t="n"/>
      <c r="H80" s="25" t="n"/>
      <c r="I80" s="25" t="n"/>
      <c r="J80" s="25">
        <f>E80+F80+G80+H80+I80</f>
        <v/>
      </c>
      <c r="K80" s="25">
        <f>IF(J80="","",J80/12)</f>
        <v/>
      </c>
    </row>
    <row r="81" ht="22" customHeight="1">
      <c r="B81" s="19">
        <f>IF(C81="","CCE-"&amp;TEXT(COUNTA($C$5:C81),"000"))</f>
        <v/>
      </c>
      <c r="C81" s="15" t="n"/>
      <c r="D81" s="15" t="n"/>
      <c r="E81" s="22" t="n"/>
      <c r="F81" s="22" t="n"/>
      <c r="G81" s="22" t="n"/>
      <c r="H81" s="22" t="n"/>
      <c r="I81" s="22" t="n"/>
      <c r="J81" s="22">
        <f>E81+F81+G81+H81+I81</f>
        <v/>
      </c>
      <c r="K81" s="22">
        <f>IF(J81="","",J81/12)</f>
        <v/>
      </c>
    </row>
    <row r="82" ht="22" customHeight="1">
      <c r="B82" s="20">
        <f>IF(C82="","CCE-"&amp;TEXT(COUNTA($C$5:C82),"000"))</f>
        <v/>
      </c>
      <c r="C82" s="17" t="n"/>
      <c r="D82" s="17" t="n"/>
      <c r="E82" s="25" t="n"/>
      <c r="F82" s="25" t="n"/>
      <c r="G82" s="25" t="n"/>
      <c r="H82" s="25" t="n"/>
      <c r="I82" s="25" t="n"/>
      <c r="J82" s="25">
        <f>E82+F82+G82+H82+I82</f>
        <v/>
      </c>
      <c r="K82" s="25">
        <f>IF(J82="","",J82/12)</f>
        <v/>
      </c>
    </row>
    <row r="83" ht="22" customHeight="1">
      <c r="B83" s="19">
        <f>IF(C83="","CCE-"&amp;TEXT(COUNTA($C$5:C83),"000"))</f>
        <v/>
      </c>
      <c r="C83" s="15" t="n"/>
      <c r="D83" s="15" t="n"/>
      <c r="E83" s="22" t="n"/>
      <c r="F83" s="22" t="n"/>
      <c r="G83" s="22" t="n"/>
      <c r="H83" s="22" t="n"/>
      <c r="I83" s="22" t="n"/>
      <c r="J83" s="22">
        <f>E83+F83+G83+H83+I83</f>
        <v/>
      </c>
      <c r="K83" s="22">
        <f>IF(J83="","",J83/12)</f>
        <v/>
      </c>
    </row>
    <row r="84" ht="22" customHeight="1">
      <c r="B84" s="20">
        <f>IF(C84="","CCE-"&amp;TEXT(COUNTA($C$5:C84),"000"))</f>
        <v/>
      </c>
      <c r="C84" s="17" t="n"/>
      <c r="D84" s="17" t="n"/>
      <c r="E84" s="25" t="n"/>
      <c r="F84" s="25" t="n"/>
      <c r="G84" s="25" t="n"/>
      <c r="H84" s="25" t="n"/>
      <c r="I84" s="25" t="n"/>
      <c r="J84" s="25">
        <f>E84+F84+G84+H84+I84</f>
        <v/>
      </c>
      <c r="K84" s="25">
        <f>IF(J84="","",J84/12)</f>
        <v/>
      </c>
    </row>
    <row r="85" ht="22" customHeight="1">
      <c r="B85" s="19">
        <f>IF(C85="","CCE-"&amp;TEXT(COUNTA($C$5:C85),"000"))</f>
        <v/>
      </c>
      <c r="C85" s="15" t="n"/>
      <c r="D85" s="15" t="n"/>
      <c r="E85" s="22" t="n"/>
      <c r="F85" s="22" t="n"/>
      <c r="G85" s="22" t="n"/>
      <c r="H85" s="22" t="n"/>
      <c r="I85" s="22" t="n"/>
      <c r="J85" s="22">
        <f>E85+F85+G85+H85+I85</f>
        <v/>
      </c>
      <c r="K85" s="22">
        <f>IF(J85="","",J85/12)</f>
        <v/>
      </c>
    </row>
    <row r="86" ht="22" customHeight="1">
      <c r="B86" s="20">
        <f>IF(C86="","CCE-"&amp;TEXT(COUNTA($C$5:C86),"000"))</f>
        <v/>
      </c>
      <c r="C86" s="17" t="n"/>
      <c r="D86" s="17" t="n"/>
      <c r="E86" s="25" t="n"/>
      <c r="F86" s="25" t="n"/>
      <c r="G86" s="25" t="n"/>
      <c r="H86" s="25" t="n"/>
      <c r="I86" s="25" t="n"/>
      <c r="J86" s="25">
        <f>E86+F86+G86+H86+I86</f>
        <v/>
      </c>
      <c r="K86" s="25">
        <f>IF(J86="","",J86/12)</f>
        <v/>
      </c>
    </row>
    <row r="87" ht="22" customHeight="1">
      <c r="B87" s="19">
        <f>IF(C87="","CCE-"&amp;TEXT(COUNTA($C$5:C87),"000"))</f>
        <v/>
      </c>
      <c r="C87" s="15" t="n"/>
      <c r="D87" s="15" t="n"/>
      <c r="E87" s="22" t="n"/>
      <c r="F87" s="22" t="n"/>
      <c r="G87" s="22" t="n"/>
      <c r="H87" s="22" t="n"/>
      <c r="I87" s="22" t="n"/>
      <c r="J87" s="22">
        <f>E87+F87+G87+H87+I87</f>
        <v/>
      </c>
      <c r="K87" s="22">
        <f>IF(J87="","",J87/12)</f>
        <v/>
      </c>
    </row>
    <row r="88" ht="22" customHeight="1">
      <c r="B88" s="20">
        <f>IF(C88="","CCE-"&amp;TEXT(COUNTA($C$5:C88),"000"))</f>
        <v/>
      </c>
      <c r="C88" s="17" t="n"/>
      <c r="D88" s="17" t="n"/>
      <c r="E88" s="25" t="n"/>
      <c r="F88" s="25" t="n"/>
      <c r="G88" s="25" t="n"/>
      <c r="H88" s="25" t="n"/>
      <c r="I88" s="25" t="n"/>
      <c r="J88" s="25">
        <f>E88+F88+G88+H88+I88</f>
        <v/>
      </c>
      <c r="K88" s="25">
        <f>IF(J88="","",J88/12)</f>
        <v/>
      </c>
    </row>
    <row r="89" ht="22" customHeight="1">
      <c r="B89" s="19">
        <f>IF(C89="","CCE-"&amp;TEXT(COUNTA($C$5:C89),"000"))</f>
        <v/>
      </c>
      <c r="C89" s="15" t="n"/>
      <c r="D89" s="15" t="n"/>
      <c r="E89" s="22" t="n"/>
      <c r="F89" s="22" t="n"/>
      <c r="G89" s="22" t="n"/>
      <c r="H89" s="22" t="n"/>
      <c r="I89" s="22" t="n"/>
      <c r="J89" s="22">
        <f>E89+F89+G89+H89+I89</f>
        <v/>
      </c>
      <c r="K89" s="22">
        <f>IF(J89="","",J89/12)</f>
        <v/>
      </c>
    </row>
    <row r="90" ht="22" customHeight="1">
      <c r="B90" s="20">
        <f>IF(C90="","CCE-"&amp;TEXT(COUNTA($C$5:C90),"000"))</f>
        <v/>
      </c>
      <c r="C90" s="17" t="n"/>
      <c r="D90" s="17" t="n"/>
      <c r="E90" s="25" t="n"/>
      <c r="F90" s="25" t="n"/>
      <c r="G90" s="25" t="n"/>
      <c r="H90" s="25" t="n"/>
      <c r="I90" s="25" t="n"/>
      <c r="J90" s="25">
        <f>E90+F90+G90+H90+I90</f>
        <v/>
      </c>
      <c r="K90" s="25">
        <f>IF(J90="","",J90/12)</f>
        <v/>
      </c>
    </row>
    <row r="91" ht="22" customHeight="1">
      <c r="B91" s="19">
        <f>IF(C91="","CCE-"&amp;TEXT(COUNTA($C$5:C91),"000"))</f>
        <v/>
      </c>
      <c r="C91" s="15" t="n"/>
      <c r="D91" s="15" t="n"/>
      <c r="E91" s="22" t="n"/>
      <c r="F91" s="22" t="n"/>
      <c r="G91" s="22" t="n"/>
      <c r="H91" s="22" t="n"/>
      <c r="I91" s="22" t="n"/>
      <c r="J91" s="22">
        <f>E91+F91+G91+H91+I91</f>
        <v/>
      </c>
      <c r="K91" s="22">
        <f>IF(J91="","",J91/12)</f>
        <v/>
      </c>
    </row>
    <row r="92" ht="22" customHeight="1">
      <c r="B92" s="20">
        <f>IF(C92="","CCE-"&amp;TEXT(COUNTA($C$5:C92),"000"))</f>
        <v/>
      </c>
      <c r="C92" s="17" t="n"/>
      <c r="D92" s="17" t="n"/>
      <c r="E92" s="25" t="n"/>
      <c r="F92" s="25" t="n"/>
      <c r="G92" s="25" t="n"/>
      <c r="H92" s="25" t="n"/>
      <c r="I92" s="25" t="n"/>
      <c r="J92" s="25">
        <f>E92+F92+G92+H92+I92</f>
        <v/>
      </c>
      <c r="K92" s="25">
        <f>IF(J92="","",J92/12)</f>
        <v/>
      </c>
    </row>
    <row r="93" ht="22" customHeight="1">
      <c r="B93" s="19">
        <f>IF(C93="","CCE-"&amp;TEXT(COUNTA($C$5:C93),"000"))</f>
        <v/>
      </c>
      <c r="C93" s="15" t="n"/>
      <c r="D93" s="15" t="n"/>
      <c r="E93" s="22" t="n"/>
      <c r="F93" s="22" t="n"/>
      <c r="G93" s="22" t="n"/>
      <c r="H93" s="22" t="n"/>
      <c r="I93" s="22" t="n"/>
      <c r="J93" s="22">
        <f>E93+F93+G93+H93+I93</f>
        <v/>
      </c>
      <c r="K93" s="22">
        <f>IF(J93="","",J93/12)</f>
        <v/>
      </c>
    </row>
    <row r="94" ht="22" customHeight="1">
      <c r="B94" s="20">
        <f>IF(C94="","CCE-"&amp;TEXT(COUNTA($C$5:C94),"000"))</f>
        <v/>
      </c>
      <c r="C94" s="17" t="n"/>
      <c r="D94" s="17" t="n"/>
      <c r="E94" s="25" t="n"/>
      <c r="F94" s="25" t="n"/>
      <c r="G94" s="25" t="n"/>
      <c r="H94" s="25" t="n"/>
      <c r="I94" s="25" t="n"/>
      <c r="J94" s="25">
        <f>E94+F94+G94+H94+I94</f>
        <v/>
      </c>
      <c r="K94" s="25">
        <f>IF(J94="","",J94/12)</f>
        <v/>
      </c>
    </row>
    <row r="95" ht="22" customHeight="1">
      <c r="B95" s="19">
        <f>IF(C95="","CCE-"&amp;TEXT(COUNTA($C$5:C95),"000"))</f>
        <v/>
      </c>
      <c r="C95" s="15" t="n"/>
      <c r="D95" s="15" t="n"/>
      <c r="E95" s="22" t="n"/>
      <c r="F95" s="22" t="n"/>
      <c r="G95" s="22" t="n"/>
      <c r="H95" s="22" t="n"/>
      <c r="I95" s="22" t="n"/>
      <c r="J95" s="22">
        <f>E95+F95+G95+H95+I95</f>
        <v/>
      </c>
      <c r="K95" s="22">
        <f>IF(J95="","",J95/12)</f>
        <v/>
      </c>
    </row>
    <row r="96" ht="22" customHeight="1">
      <c r="B96" s="20">
        <f>IF(C96="","CCE-"&amp;TEXT(COUNTA($C$5:C96),"000"))</f>
        <v/>
      </c>
      <c r="C96" s="17" t="n"/>
      <c r="D96" s="17" t="n"/>
      <c r="E96" s="25" t="n"/>
      <c r="F96" s="25" t="n"/>
      <c r="G96" s="25" t="n"/>
      <c r="H96" s="25" t="n"/>
      <c r="I96" s="25" t="n"/>
      <c r="J96" s="25">
        <f>E96+F96+G96+H96+I96</f>
        <v/>
      </c>
      <c r="K96" s="25">
        <f>IF(J96="","",J96/12)</f>
        <v/>
      </c>
    </row>
    <row r="97" ht="22" customHeight="1">
      <c r="B97" s="19">
        <f>IF(C97="","CCE-"&amp;TEXT(COUNTA($C$5:C97),"000"))</f>
        <v/>
      </c>
      <c r="C97" s="15" t="n"/>
      <c r="D97" s="15" t="n"/>
      <c r="E97" s="22" t="n"/>
      <c r="F97" s="22" t="n"/>
      <c r="G97" s="22" t="n"/>
      <c r="H97" s="22" t="n"/>
      <c r="I97" s="22" t="n"/>
      <c r="J97" s="22">
        <f>E97+F97+G97+H97+I97</f>
        <v/>
      </c>
      <c r="K97" s="22">
        <f>IF(J97="","",J97/12)</f>
        <v/>
      </c>
    </row>
    <row r="98" ht="22" customHeight="1">
      <c r="B98" s="20">
        <f>IF(C98="","CCE-"&amp;TEXT(COUNTA($C$5:C98),"000"))</f>
        <v/>
      </c>
      <c r="C98" s="17" t="n"/>
      <c r="D98" s="17" t="n"/>
      <c r="E98" s="25" t="n"/>
      <c r="F98" s="25" t="n"/>
      <c r="G98" s="25" t="n"/>
      <c r="H98" s="25" t="n"/>
      <c r="I98" s="25" t="n"/>
      <c r="J98" s="25">
        <f>E98+F98+G98+H98+I98</f>
        <v/>
      </c>
      <c r="K98" s="25">
        <f>IF(J98="","",J98/12)</f>
        <v/>
      </c>
    </row>
    <row r="99" ht="22" customHeight="1">
      <c r="B99" s="19">
        <f>IF(C99="","CCE-"&amp;TEXT(COUNTA($C$5:C99),"000"))</f>
        <v/>
      </c>
      <c r="C99" s="15" t="n"/>
      <c r="D99" s="15" t="n"/>
      <c r="E99" s="22" t="n"/>
      <c r="F99" s="22" t="n"/>
      <c r="G99" s="22" t="n"/>
      <c r="H99" s="22" t="n"/>
      <c r="I99" s="22" t="n"/>
      <c r="J99" s="22">
        <f>E99+F99+G99+H99+I99</f>
        <v/>
      </c>
      <c r="K99" s="22">
        <f>IF(J99="","",J99/12)</f>
        <v/>
      </c>
    </row>
    <row r="100" ht="22" customHeight="1">
      <c r="B100" s="20">
        <f>IF(C100="","CCE-"&amp;TEXT(COUNTA($C$5:C100),"000"))</f>
        <v/>
      </c>
      <c r="C100" s="17" t="n"/>
      <c r="D100" s="17" t="n"/>
      <c r="E100" s="25" t="n"/>
      <c r="F100" s="25" t="n"/>
      <c r="G100" s="25" t="n"/>
      <c r="H100" s="25" t="n"/>
      <c r="I100" s="25" t="n"/>
      <c r="J100" s="25">
        <f>E100+F100+G100+H100+I100</f>
        <v/>
      </c>
      <c r="K100" s="25">
        <f>IF(J100="","",J100/12)</f>
        <v/>
      </c>
    </row>
    <row r="101" ht="22" customHeight="1">
      <c r="B101" s="19">
        <f>IF(C101="","CCE-"&amp;TEXT(COUNTA($C$5:C101),"000"))</f>
        <v/>
      </c>
      <c r="C101" s="15" t="n"/>
      <c r="D101" s="15" t="n"/>
      <c r="E101" s="22" t="n"/>
      <c r="F101" s="22" t="n"/>
      <c r="G101" s="22" t="n"/>
      <c r="H101" s="22" t="n"/>
      <c r="I101" s="22" t="n"/>
      <c r="J101" s="22">
        <f>E101+F101+G101+H101+I101</f>
        <v/>
      </c>
      <c r="K101" s="22">
        <f>IF(J101="","",J101/12)</f>
        <v/>
      </c>
    </row>
    <row r="102" ht="22" customHeight="1">
      <c r="B102" s="20">
        <f>IF(C102="","CCE-"&amp;TEXT(COUNTA($C$5:C102),"000"))</f>
        <v/>
      </c>
      <c r="C102" s="17" t="n"/>
      <c r="D102" s="17" t="n"/>
      <c r="E102" s="25" t="n"/>
      <c r="F102" s="25" t="n"/>
      <c r="G102" s="25" t="n"/>
      <c r="H102" s="25" t="n"/>
      <c r="I102" s="25" t="n"/>
      <c r="J102" s="25">
        <f>E102+F102+G102+H102+I102</f>
        <v/>
      </c>
      <c r="K102" s="25">
        <f>IF(J102="","",J102/12)</f>
        <v/>
      </c>
    </row>
    <row r="103" ht="22" customHeight="1">
      <c r="B103" s="19">
        <f>IF(C103="","CCE-"&amp;TEXT(COUNTA($C$5:C103),"000"))</f>
        <v/>
      </c>
      <c r="C103" s="15" t="n"/>
      <c r="D103" s="15" t="n"/>
      <c r="E103" s="22" t="n"/>
      <c r="F103" s="22" t="n"/>
      <c r="G103" s="22" t="n"/>
      <c r="H103" s="22" t="n"/>
      <c r="I103" s="22" t="n"/>
      <c r="J103" s="22">
        <f>E103+F103+G103+H103+I103</f>
        <v/>
      </c>
      <c r="K103" s="22">
        <f>IF(J103="","",J103/12)</f>
        <v/>
      </c>
    </row>
    <row r="104" ht="22" customHeight="1">
      <c r="B104" s="20">
        <f>IF(C104="","CCE-"&amp;TEXT(COUNTA($C$5:C104),"000"))</f>
        <v/>
      </c>
      <c r="C104" s="17" t="n"/>
      <c r="D104" s="17" t="n"/>
      <c r="E104" s="25" t="n"/>
      <c r="F104" s="25" t="n"/>
      <c r="G104" s="25" t="n"/>
      <c r="H104" s="25" t="n"/>
      <c r="I104" s="25" t="n"/>
      <c r="J104" s="25">
        <f>E104+F104+G104+H104+I104</f>
        <v/>
      </c>
      <c r="K104" s="25">
        <f>IF(J104="","",J104/12)</f>
        <v/>
      </c>
    </row>
    <row r="105" ht="22" customHeight="1">
      <c r="B105" s="19">
        <f>IF(C105="","CCE-"&amp;TEXT(COUNTA($C$5:C105),"000"))</f>
        <v/>
      </c>
      <c r="C105" s="15" t="n"/>
      <c r="D105" s="15" t="n"/>
      <c r="E105" s="22" t="n"/>
      <c r="F105" s="22" t="n"/>
      <c r="G105" s="22" t="n"/>
      <c r="H105" s="22" t="n"/>
      <c r="I105" s="22" t="n"/>
      <c r="J105" s="22">
        <f>E105+F105+G105+H105+I105</f>
        <v/>
      </c>
      <c r="K105" s="22">
        <f>IF(J105="","",J105/12)</f>
        <v/>
      </c>
    </row>
    <row r="106" ht="22" customHeight="1">
      <c r="B106" s="20">
        <f>IF(C106="","CCE-"&amp;TEXT(COUNTA($C$5:C106),"000"))</f>
        <v/>
      </c>
      <c r="C106" s="17" t="n"/>
      <c r="D106" s="17" t="n"/>
      <c r="E106" s="25" t="n"/>
      <c r="F106" s="25" t="n"/>
      <c r="G106" s="25" t="n"/>
      <c r="H106" s="25" t="n"/>
      <c r="I106" s="25" t="n"/>
      <c r="J106" s="25">
        <f>E106+F106+G106+H106+I106</f>
        <v/>
      </c>
      <c r="K106" s="25">
        <f>IF(J106="","",J106/12)</f>
        <v/>
      </c>
    </row>
    <row r="107" ht="22" customHeight="1">
      <c r="B107" s="19">
        <f>IF(C107="","CCE-"&amp;TEXT(COUNTA($C$5:C107),"000"))</f>
        <v/>
      </c>
      <c r="C107" s="15" t="n"/>
      <c r="D107" s="15" t="n"/>
      <c r="E107" s="22" t="n"/>
      <c r="F107" s="22" t="n"/>
      <c r="G107" s="22" t="n"/>
      <c r="H107" s="22" t="n"/>
      <c r="I107" s="22" t="n"/>
      <c r="J107" s="22">
        <f>E107+F107+G107+H107+I107</f>
        <v/>
      </c>
      <c r="K107" s="22">
        <f>IF(J107="","",J107/12)</f>
        <v/>
      </c>
    </row>
    <row r="108" ht="22" customHeight="1">
      <c r="B108" s="20">
        <f>IF(C108="","CCE-"&amp;TEXT(COUNTA($C$5:C108),"000"))</f>
        <v/>
      </c>
      <c r="C108" s="17" t="n"/>
      <c r="D108" s="17" t="n"/>
      <c r="E108" s="25" t="n"/>
      <c r="F108" s="25" t="n"/>
      <c r="G108" s="25" t="n"/>
      <c r="H108" s="25" t="n"/>
      <c r="I108" s="25" t="n"/>
      <c r="J108" s="25">
        <f>E108+F108+G108+H108+I108</f>
        <v/>
      </c>
      <c r="K108" s="25">
        <f>IF(J108="","",J108/12)</f>
        <v/>
      </c>
    </row>
    <row r="109" ht="22" customHeight="1">
      <c r="B109" s="19">
        <f>IF(C109="","CCE-"&amp;TEXT(COUNTA($C$5:C109),"000"))</f>
        <v/>
      </c>
      <c r="C109" s="15" t="n"/>
      <c r="D109" s="15" t="n"/>
      <c r="E109" s="22" t="n"/>
      <c r="F109" s="22" t="n"/>
      <c r="G109" s="22" t="n"/>
      <c r="H109" s="22" t="n"/>
      <c r="I109" s="22" t="n"/>
      <c r="J109" s="22">
        <f>E109+F109+G109+H109+I109</f>
        <v/>
      </c>
      <c r="K109" s="22">
        <f>IF(J109="","",J109/12)</f>
        <v/>
      </c>
    </row>
    <row r="111" ht="26" customHeight="1">
      <c r="B111" s="27" t="inlineStr">
        <is>
          <t>TOTAL</t>
        </is>
      </c>
      <c r="C111" s="28" t="n"/>
      <c r="D111" s="28" t="n"/>
      <c r="E111" s="29">
        <f>SUM(E5:E104)</f>
        <v/>
      </c>
      <c r="F111" s="29">
        <f>SUM(F5:F104)</f>
        <v/>
      </c>
      <c r="G111" s="29">
        <f>SUM(G5:G104)</f>
        <v/>
      </c>
      <c r="H111" s="29">
        <f>SUM(H5:H104)</f>
        <v/>
      </c>
      <c r="I111" s="29">
        <f>SUM(I5:I104)</f>
        <v/>
      </c>
      <c r="J111" s="29">
        <f>SUM(J5:J104)</f>
        <v/>
      </c>
      <c r="K111" s="28" t="n"/>
    </row>
    <row r="113">
      <c r="B113" s="8" t="inlineStr">
        <is>
          <t>INDICATEURS (mis a jour automatiquement)</t>
        </is>
      </c>
    </row>
    <row r="114">
      <c r="B114" s="3" t="inlineStr">
        <is>
          <t>Employes</t>
        </is>
      </c>
      <c r="D114" s="3" t="inlineStr">
        <is>
          <t>Cout total equipe</t>
        </is>
      </c>
      <c r="F114" s="3" t="inlineStr">
        <is>
          <t>Cout moyen / employe</t>
        </is>
      </c>
    </row>
    <row r="115">
      <c r="B115" s="4">
        <f>COUNTIF(B5:B104,"&lt;&gt;")</f>
        <v/>
      </c>
      <c r="D115" s="4">
        <f>SUM(J5:J104)</f>
        <v/>
      </c>
      <c r="F115" s="4">
        <f>IFERROR(SUM(J5:J104)/COUNTIF(B5:B104,"&lt;&gt;"),0)</f>
        <v/>
      </c>
    </row>
  </sheetData>
  <mergeCells count="3">
    <mergeCell ref="B113:K113"/>
    <mergeCell ref="B3:K3"/>
    <mergeCell ref="B2:K2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dataValidations count="1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0" customWidth="1" min="4" max="4"/>
    <col width="14" customWidth="1" min="5" max="5"/>
    <col width="18" customWidth="1" min="6" max="6"/>
    <col width="16" customWidth="1" min="7" max="7"/>
    <col width="32" customWidth="1" min="8" max="8"/>
  </cols>
  <sheetData>
    <row r="1" ht="15" customHeight="1"/>
    <row r="2" ht="32" customHeight="1">
      <c r="B2" s="1" t="inlineStr">
        <is>
          <t>RAPPORT SOCIAL ANNUEL / BILAN SOCIAL (#145)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Rubrique Bilan Social</t>
        </is>
      </c>
      <c r="D4" s="14" t="inlineStr">
        <is>
          <t>Annee</t>
        </is>
      </c>
      <c r="E4" s="14" t="inlineStr">
        <is>
          <t>Valeur</t>
        </is>
      </c>
      <c r="F4" s="14" t="inlineStr">
        <is>
          <t>Annee Precedente</t>
        </is>
      </c>
      <c r="G4" s="14" t="inlineStr">
        <is>
          <t>Variation (%)</t>
        </is>
      </c>
      <c r="H4" s="14" t="inlineStr">
        <is>
          <t>Observations</t>
        </is>
      </c>
    </row>
    <row r="5" ht="22" customHeight="1">
      <c r="B5" s="15" t="inlineStr">
        <is>
          <t>BSO-001</t>
        </is>
      </c>
      <c r="C5" s="15" t="inlineStr">
        <is>
          <t>Effectif au 31/12</t>
        </is>
      </c>
      <c r="D5" s="15" t="inlineStr">
        <is>
          <t>2025</t>
        </is>
      </c>
      <c r="E5" s="15" t="n">
        <v>89</v>
      </c>
      <c r="F5" s="15" t="n">
        <v>85</v>
      </c>
      <c r="G5" s="23" t="n"/>
      <c r="H5" s="15" t="inlineStr">
        <is>
          <t>Hausse liee a l'expansion</t>
        </is>
      </c>
    </row>
    <row r="6" ht="22" customHeight="1">
      <c r="B6" s="17" t="inlineStr">
        <is>
          <t>BSO-002</t>
        </is>
      </c>
      <c r="C6" s="17" t="inlineStr">
        <is>
          <t>Masse salariale brute (M FCFA)</t>
        </is>
      </c>
      <c r="D6" s="17" t="inlineStr">
        <is>
          <t>2025</t>
        </is>
      </c>
      <c r="E6" s="17" t="n">
        <v>348</v>
      </c>
      <c r="F6" s="17" t="n">
        <v>320</v>
      </c>
      <c r="G6" s="26" t="n"/>
      <c r="H6" s="17" t="inlineStr">
        <is>
          <t>Augmentation salariale 5%</t>
        </is>
      </c>
    </row>
    <row r="7" ht="22" customHeight="1">
      <c r="B7" s="15" t="inlineStr">
        <is>
          <t>BSO-003</t>
        </is>
      </c>
      <c r="C7" s="15" t="inlineStr">
        <is>
          <t>Taux turnover annuel</t>
        </is>
      </c>
      <c r="D7" s="15" t="inlineStr">
        <is>
          <t>2025</t>
        </is>
      </c>
      <c r="E7" s="15" t="n">
        <v>0.18</v>
      </c>
      <c r="F7" s="15" t="n">
        <v>0.22</v>
      </c>
      <c r="G7" s="23" t="n"/>
      <c r="H7" s="15" t="inlineStr">
        <is>
          <t>Amelioration retenue</t>
        </is>
      </c>
    </row>
    <row r="8" ht="22" customHeight="1">
      <c r="B8" s="17" t="inlineStr">
        <is>
          <t>BSO-004</t>
        </is>
      </c>
      <c r="C8" s="17" t="inlineStr">
        <is>
          <t>Heures formation totales</t>
        </is>
      </c>
      <c r="D8" s="17" t="inlineStr">
        <is>
          <t>2025</t>
        </is>
      </c>
      <c r="E8" s="17" t="n">
        <v>420</v>
      </c>
      <c r="F8" s="17" t="n">
        <v>380</v>
      </c>
      <c r="G8" s="26" t="n"/>
      <c r="H8" s="17" t="inlineStr">
        <is>
          <t>+10.5% vs N-1</t>
        </is>
      </c>
    </row>
    <row r="9" ht="22" customHeight="1">
      <c r="B9" s="15" t="inlineStr">
        <is>
          <t>BSO-005</t>
        </is>
      </c>
      <c r="C9" s="15" t="inlineStr">
        <is>
          <t>Nb accidents de travail</t>
        </is>
      </c>
      <c r="D9" s="15" t="inlineStr">
        <is>
          <t>2025</t>
        </is>
      </c>
      <c r="E9" s="15" t="n">
        <v>3</v>
      </c>
      <c r="F9" s="15" t="n">
        <v>5</v>
      </c>
      <c r="G9" s="23" t="n"/>
      <c r="H9" s="15" t="inlineStr">
        <is>
          <t>Baisse appreciable</t>
        </is>
      </c>
    </row>
    <row r="10" ht="22" customHeight="1">
      <c r="B10" s="17" t="inlineStr">
        <is>
          <t>BSO-006</t>
        </is>
      </c>
      <c r="C10" s="17" t="inlineStr">
        <is>
          <t>Taux absentéisme</t>
        </is>
      </c>
      <c r="D10" s="17" t="inlineStr">
        <is>
          <t>2025</t>
        </is>
      </c>
      <c r="E10" s="17" t="n">
        <v>0.042</v>
      </c>
      <c r="F10" s="17" t="n">
        <v>0.048</v>
      </c>
      <c r="G10" s="26" t="n"/>
      <c r="H10" s="17" t="inlineStr">
        <is>
          <t>Politique presentialite</t>
        </is>
      </c>
    </row>
    <row r="11" ht="22" customHeight="1">
      <c r="B11" s="15" t="inlineStr">
        <is>
          <t>BSO-007</t>
        </is>
      </c>
      <c r="C11" s="15" t="inlineStr">
        <is>
          <t>Nb recrutements</t>
        </is>
      </c>
      <c r="D11" s="15" t="inlineStr">
        <is>
          <t>2025</t>
        </is>
      </c>
      <c r="E11" s="15" t="n">
        <v>18</v>
      </c>
      <c r="F11" s="15" t="n">
        <v>14</v>
      </c>
      <c r="G11" s="23" t="n"/>
      <c r="H11" s="15" t="inlineStr">
        <is>
          <t>Rotation et expansion</t>
        </is>
      </c>
    </row>
    <row r="12" ht="22" customHeight="1">
      <c r="B12" s="17" t="inlineStr">
        <is>
          <t>BSO-008</t>
        </is>
      </c>
      <c r="C12" s="17" t="inlineStr">
        <is>
          <t>Ratio MS/CA</t>
        </is>
      </c>
      <c r="D12" s="17" t="inlineStr">
        <is>
          <t>2025</t>
        </is>
      </c>
      <c r="E12" s="17" t="n">
        <v>0.32</v>
      </c>
      <c r="F12" s="17" t="n">
        <v>0.34</v>
      </c>
      <c r="G12" s="26" t="n"/>
      <c r="H12" s="17" t="inlineStr">
        <is>
          <t>Objectif 35% atteint</t>
        </is>
      </c>
    </row>
    <row r="13" ht="22" customHeight="1">
      <c r="B13" s="19">
        <f>IF(C13="","BSO-"&amp;TEXT(COUNTA($C$5:C13),"000"))</f>
        <v/>
      </c>
      <c r="C13" s="15" t="n"/>
      <c r="D13" s="15" t="n"/>
      <c r="E13" s="15" t="n"/>
      <c r="F13" s="15" t="n"/>
      <c r="G13" s="23">
        <f>IF(OR(F13="",F13=0),"",(G13-F13)/F13)</f>
        <v/>
      </c>
      <c r="H13" s="15" t="n"/>
    </row>
    <row r="14" ht="22" customHeight="1">
      <c r="B14" s="20">
        <f>IF(C14="","BSO-"&amp;TEXT(COUNTA($C$5:C14),"000"))</f>
        <v/>
      </c>
      <c r="C14" s="17" t="n"/>
      <c r="D14" s="17" t="n"/>
      <c r="E14" s="17" t="n"/>
      <c r="F14" s="17" t="n"/>
      <c r="G14" s="26">
        <f>IF(OR(F14="",F14=0),"",(G14-F14)/F14)</f>
        <v/>
      </c>
      <c r="H14" s="17" t="n"/>
    </row>
    <row r="15" ht="22" customHeight="1">
      <c r="B15" s="19">
        <f>IF(C15="","BSO-"&amp;TEXT(COUNTA($C$5:C15),"000"))</f>
        <v/>
      </c>
      <c r="C15" s="15" t="n"/>
      <c r="D15" s="15" t="n"/>
      <c r="E15" s="15" t="n"/>
      <c r="F15" s="15" t="n"/>
      <c r="G15" s="23">
        <f>IF(OR(F15="",F15=0),"",(G15-F15)/F15)</f>
        <v/>
      </c>
      <c r="H15" s="15" t="n"/>
    </row>
    <row r="16" ht="22" customHeight="1">
      <c r="B16" s="20">
        <f>IF(C16="","BSO-"&amp;TEXT(COUNTA($C$5:C16),"000"))</f>
        <v/>
      </c>
      <c r="C16" s="17" t="n"/>
      <c r="D16" s="17" t="n"/>
      <c r="E16" s="17" t="n"/>
      <c r="F16" s="17" t="n"/>
      <c r="G16" s="26">
        <f>IF(OR(F16="",F16=0),"",(G16-F16)/F16)</f>
        <v/>
      </c>
      <c r="H16" s="17" t="n"/>
    </row>
    <row r="17" ht="22" customHeight="1">
      <c r="B17" s="19">
        <f>IF(C17="","BSO-"&amp;TEXT(COUNTA($C$5:C17),"000"))</f>
        <v/>
      </c>
      <c r="C17" s="15" t="n"/>
      <c r="D17" s="15" t="n"/>
      <c r="E17" s="15" t="n"/>
      <c r="F17" s="15" t="n"/>
      <c r="G17" s="23">
        <f>IF(OR(F17="",F17=0),"",(G17-F17)/F17)</f>
        <v/>
      </c>
      <c r="H17" s="15" t="n"/>
    </row>
    <row r="18" ht="22" customHeight="1">
      <c r="B18" s="20">
        <f>IF(C18="","BSO-"&amp;TEXT(COUNTA($C$5:C18),"000"))</f>
        <v/>
      </c>
      <c r="C18" s="17" t="n"/>
      <c r="D18" s="17" t="n"/>
      <c r="E18" s="17" t="n"/>
      <c r="F18" s="17" t="n"/>
      <c r="G18" s="26">
        <f>IF(OR(F18="",F18=0),"",(G18-F18)/F18)</f>
        <v/>
      </c>
      <c r="H18" s="17" t="n"/>
    </row>
    <row r="19" ht="22" customHeight="1">
      <c r="B19" s="19">
        <f>IF(C19="","BSO-"&amp;TEXT(COUNTA($C$5:C19),"000"))</f>
        <v/>
      </c>
      <c r="C19" s="15" t="n"/>
      <c r="D19" s="15" t="n"/>
      <c r="E19" s="15" t="n"/>
      <c r="F19" s="15" t="n"/>
      <c r="G19" s="23">
        <f>IF(OR(F19="",F19=0),"",(G19-F19)/F19)</f>
        <v/>
      </c>
      <c r="H19" s="15" t="n"/>
    </row>
    <row r="20" ht="22" customHeight="1">
      <c r="B20" s="20">
        <f>IF(C20="","BSO-"&amp;TEXT(COUNTA($C$5:C20),"000"))</f>
        <v/>
      </c>
      <c r="C20" s="17" t="n"/>
      <c r="D20" s="17" t="n"/>
      <c r="E20" s="17" t="n"/>
      <c r="F20" s="17" t="n"/>
      <c r="G20" s="26">
        <f>IF(OR(F20="",F20=0),"",(G20-F20)/F20)</f>
        <v/>
      </c>
      <c r="H20" s="17" t="n"/>
    </row>
    <row r="21" ht="22" customHeight="1">
      <c r="B21" s="19">
        <f>IF(C21="","BSO-"&amp;TEXT(COUNTA($C$5:C21),"000"))</f>
        <v/>
      </c>
      <c r="C21" s="15" t="n"/>
      <c r="D21" s="15" t="n"/>
      <c r="E21" s="15" t="n"/>
      <c r="F21" s="15" t="n"/>
      <c r="G21" s="23">
        <f>IF(OR(F21="",F21=0),"",(G21-F21)/F21)</f>
        <v/>
      </c>
      <c r="H21" s="15" t="n"/>
    </row>
    <row r="22" ht="22" customHeight="1">
      <c r="B22" s="20">
        <f>IF(C22="","BSO-"&amp;TEXT(COUNTA($C$5:C22),"000"))</f>
        <v/>
      </c>
      <c r="C22" s="17" t="n"/>
      <c r="D22" s="17" t="n"/>
      <c r="E22" s="17" t="n"/>
      <c r="F22" s="17" t="n"/>
      <c r="G22" s="26">
        <f>IF(OR(F22="",F22=0),"",(G22-F22)/F22)</f>
        <v/>
      </c>
      <c r="H22" s="17" t="n"/>
    </row>
    <row r="23" ht="22" customHeight="1">
      <c r="B23" s="19">
        <f>IF(C23="","BSO-"&amp;TEXT(COUNTA($C$5:C23),"000"))</f>
        <v/>
      </c>
      <c r="C23" s="15" t="n"/>
      <c r="D23" s="15" t="n"/>
      <c r="E23" s="15" t="n"/>
      <c r="F23" s="15" t="n"/>
      <c r="G23" s="23">
        <f>IF(OR(F23="",F23=0),"",(G23-F23)/F23)</f>
        <v/>
      </c>
      <c r="H23" s="15" t="n"/>
    </row>
    <row r="24" ht="22" customHeight="1">
      <c r="B24" s="20">
        <f>IF(C24="","BSO-"&amp;TEXT(COUNTA($C$5:C24),"000"))</f>
        <v/>
      </c>
      <c r="C24" s="17" t="n"/>
      <c r="D24" s="17" t="n"/>
      <c r="E24" s="17" t="n"/>
      <c r="F24" s="17" t="n"/>
      <c r="G24" s="26">
        <f>IF(OR(F24="",F24=0),"",(G24-F24)/F24)</f>
        <v/>
      </c>
      <c r="H24" s="17" t="n"/>
    </row>
    <row r="25" ht="22" customHeight="1">
      <c r="B25" s="19">
        <f>IF(C25="","BSO-"&amp;TEXT(COUNTA($C$5:C25),"000"))</f>
        <v/>
      </c>
      <c r="C25" s="15" t="n"/>
      <c r="D25" s="15" t="n"/>
      <c r="E25" s="15" t="n"/>
      <c r="F25" s="15" t="n"/>
      <c r="G25" s="23">
        <f>IF(OR(F25="",F25=0),"",(G25-F25)/F25)</f>
        <v/>
      </c>
      <c r="H25" s="15" t="n"/>
    </row>
    <row r="26" ht="22" customHeight="1">
      <c r="B26" s="20">
        <f>IF(C26="","BSO-"&amp;TEXT(COUNTA($C$5:C26),"000"))</f>
        <v/>
      </c>
      <c r="C26" s="17" t="n"/>
      <c r="D26" s="17" t="n"/>
      <c r="E26" s="17" t="n"/>
      <c r="F26" s="17" t="n"/>
      <c r="G26" s="26">
        <f>IF(OR(F26="",F26=0),"",(G26-F26)/F26)</f>
        <v/>
      </c>
      <c r="H26" s="17" t="n"/>
    </row>
    <row r="27" ht="22" customHeight="1">
      <c r="B27" s="19">
        <f>IF(C27="","BSO-"&amp;TEXT(COUNTA($C$5:C27),"000"))</f>
        <v/>
      </c>
      <c r="C27" s="15" t="n"/>
      <c r="D27" s="15" t="n"/>
      <c r="E27" s="15" t="n"/>
      <c r="F27" s="15" t="n"/>
      <c r="G27" s="23">
        <f>IF(OR(F27="",F27=0),"",(G27-F27)/F27)</f>
        <v/>
      </c>
      <c r="H27" s="15" t="n"/>
    </row>
    <row r="28" ht="22" customHeight="1">
      <c r="B28" s="20">
        <f>IF(C28="","BSO-"&amp;TEXT(COUNTA($C$5:C28),"000"))</f>
        <v/>
      </c>
      <c r="C28" s="17" t="n"/>
      <c r="D28" s="17" t="n"/>
      <c r="E28" s="17" t="n"/>
      <c r="F28" s="17" t="n"/>
      <c r="G28" s="26">
        <f>IF(OR(F28="",F28=0),"",(G28-F28)/F28)</f>
        <v/>
      </c>
      <c r="H28" s="17" t="n"/>
    </row>
    <row r="29" ht="22" customHeight="1">
      <c r="B29" s="19">
        <f>IF(C29="","BSO-"&amp;TEXT(COUNTA($C$5:C29),"000"))</f>
        <v/>
      </c>
      <c r="C29" s="15" t="n"/>
      <c r="D29" s="15" t="n"/>
      <c r="E29" s="15" t="n"/>
      <c r="F29" s="15" t="n"/>
      <c r="G29" s="23">
        <f>IF(OR(F29="",F29=0),"",(G29-F29)/F29)</f>
        <v/>
      </c>
      <c r="H29" s="15" t="n"/>
    </row>
    <row r="30" ht="22" customHeight="1">
      <c r="B30" s="20">
        <f>IF(C30="","BSO-"&amp;TEXT(COUNTA($C$5:C30),"000"))</f>
        <v/>
      </c>
      <c r="C30" s="17" t="n"/>
      <c r="D30" s="17" t="n"/>
      <c r="E30" s="17" t="n"/>
      <c r="F30" s="17" t="n"/>
      <c r="G30" s="26">
        <f>IF(OR(F30="",F30=0),"",(G30-F30)/F30)</f>
        <v/>
      </c>
      <c r="H30" s="17" t="n"/>
    </row>
    <row r="31" ht="22" customHeight="1">
      <c r="B31" s="19">
        <f>IF(C31="","BSO-"&amp;TEXT(COUNTA($C$5:C31),"000"))</f>
        <v/>
      </c>
      <c r="C31" s="15" t="n"/>
      <c r="D31" s="15" t="n"/>
      <c r="E31" s="15" t="n"/>
      <c r="F31" s="15" t="n"/>
      <c r="G31" s="23">
        <f>IF(OR(F31="",F31=0),"",(G31-F31)/F31)</f>
        <v/>
      </c>
      <c r="H31" s="15" t="n"/>
    </row>
    <row r="32" ht="22" customHeight="1">
      <c r="B32" s="20">
        <f>IF(C32="","BSO-"&amp;TEXT(COUNTA($C$5:C32),"000"))</f>
        <v/>
      </c>
      <c r="C32" s="17" t="n"/>
      <c r="D32" s="17" t="n"/>
      <c r="E32" s="17" t="n"/>
      <c r="F32" s="17" t="n"/>
      <c r="G32" s="26">
        <f>IF(OR(F32="",F32=0),"",(G32-F32)/F32)</f>
        <v/>
      </c>
      <c r="H32" s="17" t="n"/>
    </row>
    <row r="33" ht="22" customHeight="1">
      <c r="B33" s="19">
        <f>IF(C33="","BSO-"&amp;TEXT(COUNTA($C$5:C33),"000"))</f>
        <v/>
      </c>
      <c r="C33" s="15" t="n"/>
      <c r="D33" s="15" t="n"/>
      <c r="E33" s="15" t="n"/>
      <c r="F33" s="15" t="n"/>
      <c r="G33" s="23">
        <f>IF(OR(F33="",F33=0),"",(G33-F33)/F33)</f>
        <v/>
      </c>
      <c r="H33" s="15" t="n"/>
    </row>
    <row r="34" ht="22" customHeight="1">
      <c r="B34" s="20">
        <f>IF(C34="","BSO-"&amp;TEXT(COUNTA($C$5:C34),"000"))</f>
        <v/>
      </c>
      <c r="C34" s="17" t="n"/>
      <c r="D34" s="17" t="n"/>
      <c r="E34" s="17" t="n"/>
      <c r="F34" s="17" t="n"/>
      <c r="G34" s="26">
        <f>IF(OR(F34="",F34=0),"",(G34-F34)/F34)</f>
        <v/>
      </c>
      <c r="H34" s="17" t="n"/>
    </row>
    <row r="35" ht="22" customHeight="1">
      <c r="B35" s="19">
        <f>IF(C35="","BSO-"&amp;TEXT(COUNTA($C$5:C35),"000"))</f>
        <v/>
      </c>
      <c r="C35" s="15" t="n"/>
      <c r="D35" s="15" t="n"/>
      <c r="E35" s="15" t="n"/>
      <c r="F35" s="15" t="n"/>
      <c r="G35" s="23">
        <f>IF(OR(F35="",F35=0),"",(G35-F35)/F35)</f>
        <v/>
      </c>
      <c r="H35" s="15" t="n"/>
    </row>
    <row r="36" ht="22" customHeight="1">
      <c r="B36" s="20">
        <f>IF(C36="","BSO-"&amp;TEXT(COUNTA($C$5:C36),"000"))</f>
        <v/>
      </c>
      <c r="C36" s="17" t="n"/>
      <c r="D36" s="17" t="n"/>
      <c r="E36" s="17" t="n"/>
      <c r="F36" s="17" t="n"/>
      <c r="G36" s="26">
        <f>IF(OR(F36="",F36=0),"",(G36-F36)/F36)</f>
        <v/>
      </c>
      <c r="H36" s="17" t="n"/>
    </row>
    <row r="37" ht="22" customHeight="1">
      <c r="B37" s="19">
        <f>IF(C37="","BSO-"&amp;TEXT(COUNTA($C$5:C37),"000"))</f>
        <v/>
      </c>
      <c r="C37" s="15" t="n"/>
      <c r="D37" s="15" t="n"/>
      <c r="E37" s="15" t="n"/>
      <c r="F37" s="15" t="n"/>
      <c r="G37" s="23">
        <f>IF(OR(F37="",F37=0),"",(G37-F37)/F37)</f>
        <v/>
      </c>
      <c r="H37" s="15" t="n"/>
    </row>
    <row r="38" ht="22" customHeight="1">
      <c r="B38" s="20">
        <f>IF(C38="","BSO-"&amp;TEXT(COUNTA($C$5:C38),"000"))</f>
        <v/>
      </c>
      <c r="C38" s="17" t="n"/>
      <c r="D38" s="17" t="n"/>
      <c r="E38" s="17" t="n"/>
      <c r="F38" s="17" t="n"/>
      <c r="G38" s="26">
        <f>IF(OR(F38="",F38=0),"",(G38-F38)/F38)</f>
        <v/>
      </c>
      <c r="H38" s="17" t="n"/>
    </row>
    <row r="39" ht="22" customHeight="1">
      <c r="B39" s="19">
        <f>IF(C39="","BSO-"&amp;TEXT(COUNTA($C$5:C39),"000"))</f>
        <v/>
      </c>
      <c r="C39" s="15" t="n"/>
      <c r="D39" s="15" t="n"/>
      <c r="E39" s="15" t="n"/>
      <c r="F39" s="15" t="n"/>
      <c r="G39" s="23">
        <f>IF(OR(F39="",F39=0),"",(G39-F39)/F39)</f>
        <v/>
      </c>
      <c r="H39" s="15" t="n"/>
    </row>
    <row r="40" ht="22" customHeight="1">
      <c r="B40" s="20">
        <f>IF(C40="","BSO-"&amp;TEXT(COUNTA($C$5:C40),"000"))</f>
        <v/>
      </c>
      <c r="C40" s="17" t="n"/>
      <c r="D40" s="17" t="n"/>
      <c r="E40" s="17" t="n"/>
      <c r="F40" s="17" t="n"/>
      <c r="G40" s="26">
        <f>IF(OR(F40="",F40=0),"",(G40-F40)/F40)</f>
        <v/>
      </c>
      <c r="H40" s="17" t="n"/>
    </row>
    <row r="41" ht="22" customHeight="1">
      <c r="B41" s="19">
        <f>IF(C41="","BSO-"&amp;TEXT(COUNTA($C$5:C41),"000"))</f>
        <v/>
      </c>
      <c r="C41" s="15" t="n"/>
      <c r="D41" s="15" t="n"/>
      <c r="E41" s="15" t="n"/>
      <c r="F41" s="15" t="n"/>
      <c r="G41" s="23">
        <f>IF(OR(F41="",F41=0),"",(G41-F41)/F41)</f>
        <v/>
      </c>
      <c r="H41" s="15" t="n"/>
    </row>
    <row r="42" ht="22" customHeight="1">
      <c r="B42" s="20">
        <f>IF(C42="","BSO-"&amp;TEXT(COUNTA($C$5:C42),"000"))</f>
        <v/>
      </c>
      <c r="C42" s="17" t="n"/>
      <c r="D42" s="17" t="n"/>
      <c r="E42" s="17" t="n"/>
      <c r="F42" s="17" t="n"/>
      <c r="G42" s="26">
        <f>IF(OR(F42="",F42=0),"",(G42-F42)/F42)</f>
        <v/>
      </c>
      <c r="H42" s="17" t="n"/>
    </row>
    <row r="43" ht="22" customHeight="1">
      <c r="B43" s="19">
        <f>IF(C43="","BSO-"&amp;TEXT(COUNTA($C$5:C43),"000"))</f>
        <v/>
      </c>
      <c r="C43" s="15" t="n"/>
      <c r="D43" s="15" t="n"/>
      <c r="E43" s="15" t="n"/>
      <c r="F43" s="15" t="n"/>
      <c r="G43" s="23">
        <f>IF(OR(F43="",F43=0),"",(G43-F43)/F43)</f>
        <v/>
      </c>
      <c r="H43" s="15" t="n"/>
    </row>
    <row r="44" ht="22" customHeight="1">
      <c r="B44" s="20">
        <f>IF(C44="","BSO-"&amp;TEXT(COUNTA($C$5:C44),"000"))</f>
        <v/>
      </c>
      <c r="C44" s="17" t="n"/>
      <c r="D44" s="17" t="n"/>
      <c r="E44" s="17" t="n"/>
      <c r="F44" s="17" t="n"/>
      <c r="G44" s="26">
        <f>IF(OR(F44="",F44=0),"",(G44-F44)/F44)</f>
        <v/>
      </c>
      <c r="H44" s="17" t="n"/>
    </row>
    <row r="45" ht="22" customHeight="1">
      <c r="B45" s="19">
        <f>IF(C45="","BSO-"&amp;TEXT(COUNTA($C$5:C45),"000"))</f>
        <v/>
      </c>
      <c r="C45" s="15" t="n"/>
      <c r="D45" s="15" t="n"/>
      <c r="E45" s="15" t="n"/>
      <c r="F45" s="15" t="n"/>
      <c r="G45" s="23">
        <f>IF(OR(F45="",F45=0),"",(G45-F45)/F45)</f>
        <v/>
      </c>
      <c r="H45" s="15" t="n"/>
    </row>
    <row r="46" ht="22" customHeight="1">
      <c r="B46" s="20">
        <f>IF(C46="","BSO-"&amp;TEXT(COUNTA($C$5:C46),"000"))</f>
        <v/>
      </c>
      <c r="C46" s="17" t="n"/>
      <c r="D46" s="17" t="n"/>
      <c r="E46" s="17" t="n"/>
      <c r="F46" s="17" t="n"/>
      <c r="G46" s="26">
        <f>IF(OR(F46="",F46=0),"",(G46-F46)/F46)</f>
        <v/>
      </c>
      <c r="H46" s="17" t="n"/>
    </row>
    <row r="47" ht="22" customHeight="1">
      <c r="B47" s="19">
        <f>IF(C47="","BSO-"&amp;TEXT(COUNTA($C$5:C47),"000"))</f>
        <v/>
      </c>
      <c r="C47" s="15" t="n"/>
      <c r="D47" s="15" t="n"/>
      <c r="E47" s="15" t="n"/>
      <c r="F47" s="15" t="n"/>
      <c r="G47" s="23">
        <f>IF(OR(F47="",F47=0),"",(G47-F47)/F47)</f>
        <v/>
      </c>
      <c r="H47" s="15" t="n"/>
    </row>
    <row r="48" ht="22" customHeight="1">
      <c r="B48" s="20">
        <f>IF(C48="","BSO-"&amp;TEXT(COUNTA($C$5:C48),"000"))</f>
        <v/>
      </c>
      <c r="C48" s="17" t="n"/>
      <c r="D48" s="17" t="n"/>
      <c r="E48" s="17" t="n"/>
      <c r="F48" s="17" t="n"/>
      <c r="G48" s="26">
        <f>IF(OR(F48="",F48=0),"",(G48-F48)/F48)</f>
        <v/>
      </c>
      <c r="H48" s="17" t="n"/>
    </row>
    <row r="49" ht="22" customHeight="1">
      <c r="B49" s="19">
        <f>IF(C49="","BSO-"&amp;TEXT(COUNTA($C$5:C49),"000"))</f>
        <v/>
      </c>
      <c r="C49" s="15" t="n"/>
      <c r="D49" s="15" t="n"/>
      <c r="E49" s="15" t="n"/>
      <c r="F49" s="15" t="n"/>
      <c r="G49" s="23">
        <f>IF(OR(F49="",F49=0),"",(G49-F49)/F49)</f>
        <v/>
      </c>
      <c r="H49" s="15" t="n"/>
    </row>
    <row r="50" ht="22" customHeight="1">
      <c r="B50" s="20">
        <f>IF(C50="","BSO-"&amp;TEXT(COUNTA($C$5:C50),"000"))</f>
        <v/>
      </c>
      <c r="C50" s="17" t="n"/>
      <c r="D50" s="17" t="n"/>
      <c r="E50" s="17" t="n"/>
      <c r="F50" s="17" t="n"/>
      <c r="G50" s="26">
        <f>IF(OR(F50="",F50=0),"",(G50-F50)/F50)</f>
        <v/>
      </c>
      <c r="H50" s="17" t="n"/>
    </row>
    <row r="51" ht="22" customHeight="1">
      <c r="B51" s="19">
        <f>IF(C51="","BSO-"&amp;TEXT(COUNTA($C$5:C51),"000"))</f>
        <v/>
      </c>
      <c r="C51" s="15" t="n"/>
      <c r="D51" s="15" t="n"/>
      <c r="E51" s="15" t="n"/>
      <c r="F51" s="15" t="n"/>
      <c r="G51" s="23">
        <f>IF(OR(F51="",F51=0),"",(G51-F51)/F51)</f>
        <v/>
      </c>
      <c r="H51" s="15" t="n"/>
    </row>
    <row r="52" ht="22" customHeight="1">
      <c r="B52" s="20">
        <f>IF(C52="","BSO-"&amp;TEXT(COUNTA($C$5:C52),"000"))</f>
        <v/>
      </c>
      <c r="C52" s="17" t="n"/>
      <c r="D52" s="17" t="n"/>
      <c r="E52" s="17" t="n"/>
      <c r="F52" s="17" t="n"/>
      <c r="G52" s="26">
        <f>IF(OR(F52="",F52=0),"",(G52-F52)/F52)</f>
        <v/>
      </c>
      <c r="H52" s="17" t="n"/>
    </row>
    <row r="53" ht="22" customHeight="1">
      <c r="B53" s="19">
        <f>IF(C53="","BSO-"&amp;TEXT(COUNTA($C$5:C53),"000"))</f>
        <v/>
      </c>
      <c r="C53" s="15" t="n"/>
      <c r="D53" s="15" t="n"/>
      <c r="E53" s="15" t="n"/>
      <c r="F53" s="15" t="n"/>
      <c r="G53" s="23">
        <f>IF(OR(F53="",F53=0),"",(G53-F53)/F53)</f>
        <v/>
      </c>
      <c r="H53" s="15" t="n"/>
    </row>
    <row r="54" ht="22" customHeight="1">
      <c r="B54" s="20">
        <f>IF(C54="","BSO-"&amp;TEXT(COUNTA($C$5:C54),"000"))</f>
        <v/>
      </c>
      <c r="C54" s="17" t="n"/>
      <c r="D54" s="17" t="n"/>
      <c r="E54" s="17" t="n"/>
      <c r="F54" s="17" t="n"/>
      <c r="G54" s="26">
        <f>IF(OR(F54="",F54=0),"",(G54-F54)/F54)</f>
        <v/>
      </c>
      <c r="H54" s="17" t="n"/>
    </row>
    <row r="55" ht="22" customHeight="1">
      <c r="B55" s="19">
        <f>IF(C55="","BSO-"&amp;TEXT(COUNTA($C$5:C55),"000"))</f>
        <v/>
      </c>
      <c r="C55" s="15" t="n"/>
      <c r="D55" s="15" t="n"/>
      <c r="E55" s="15" t="n"/>
      <c r="F55" s="15" t="n"/>
      <c r="G55" s="23">
        <f>IF(OR(F55="",F55=0),"",(G55-F55)/F55)</f>
        <v/>
      </c>
      <c r="H55" s="15" t="n"/>
    </row>
    <row r="56" ht="22" customHeight="1">
      <c r="B56" s="20">
        <f>IF(C56="","BSO-"&amp;TEXT(COUNTA($C$5:C56),"000"))</f>
        <v/>
      </c>
      <c r="C56" s="17" t="n"/>
      <c r="D56" s="17" t="n"/>
      <c r="E56" s="17" t="n"/>
      <c r="F56" s="17" t="n"/>
      <c r="G56" s="26">
        <f>IF(OR(F56="",F56=0),"",(G56-F56)/F56)</f>
        <v/>
      </c>
      <c r="H56" s="17" t="n"/>
    </row>
    <row r="57" ht="22" customHeight="1">
      <c r="B57" s="19">
        <f>IF(C57="","BSO-"&amp;TEXT(COUNTA($C$5:C57),"000"))</f>
        <v/>
      </c>
      <c r="C57" s="15" t="n"/>
      <c r="D57" s="15" t="n"/>
      <c r="E57" s="15" t="n"/>
      <c r="F57" s="15" t="n"/>
      <c r="G57" s="23">
        <f>IF(OR(F57="",F57=0),"",(G57-F57)/F57)</f>
        <v/>
      </c>
      <c r="H57" s="15" t="n"/>
    </row>
    <row r="58" ht="22" customHeight="1">
      <c r="B58" s="20">
        <f>IF(C58="","BSO-"&amp;TEXT(COUNTA($C$5:C58),"000"))</f>
        <v/>
      </c>
      <c r="C58" s="17" t="n"/>
      <c r="D58" s="17" t="n"/>
      <c r="E58" s="17" t="n"/>
      <c r="F58" s="17" t="n"/>
      <c r="G58" s="26">
        <f>IF(OR(F58="",F58=0),"",(G58-F58)/F58)</f>
        <v/>
      </c>
      <c r="H58" s="17" t="n"/>
    </row>
    <row r="59" ht="22" customHeight="1">
      <c r="B59" s="19">
        <f>IF(C59="","BSO-"&amp;TEXT(COUNTA($C$5:C59),"000"))</f>
        <v/>
      </c>
      <c r="C59" s="15" t="n"/>
      <c r="D59" s="15" t="n"/>
      <c r="E59" s="15" t="n"/>
      <c r="F59" s="15" t="n"/>
      <c r="G59" s="23">
        <f>IF(OR(F59="",F59=0),"",(G59-F59)/F59)</f>
        <v/>
      </c>
      <c r="H59" s="15" t="n"/>
    </row>
    <row r="60" ht="22" customHeight="1">
      <c r="B60" s="20">
        <f>IF(C60="","BSO-"&amp;TEXT(COUNTA($C$5:C60),"000"))</f>
        <v/>
      </c>
      <c r="C60" s="17" t="n"/>
      <c r="D60" s="17" t="n"/>
      <c r="E60" s="17" t="n"/>
      <c r="F60" s="17" t="n"/>
      <c r="G60" s="26">
        <f>IF(OR(F60="",F60=0),"",(G60-F60)/F60)</f>
        <v/>
      </c>
      <c r="H60" s="17" t="n"/>
    </row>
    <row r="61" ht="22" customHeight="1">
      <c r="B61" s="19">
        <f>IF(C61="","BSO-"&amp;TEXT(COUNTA($C$5:C61),"000"))</f>
        <v/>
      </c>
      <c r="C61" s="15" t="n"/>
      <c r="D61" s="15" t="n"/>
      <c r="E61" s="15" t="n"/>
      <c r="F61" s="15" t="n"/>
      <c r="G61" s="23">
        <f>IF(OR(F61="",F61=0),"",(G61-F61)/F61)</f>
        <v/>
      </c>
      <c r="H61" s="15" t="n"/>
    </row>
    <row r="62" ht="22" customHeight="1">
      <c r="B62" s="20">
        <f>IF(C62="","BSO-"&amp;TEXT(COUNTA($C$5:C62),"000"))</f>
        <v/>
      </c>
      <c r="C62" s="17" t="n"/>
      <c r="D62" s="17" t="n"/>
      <c r="E62" s="17" t="n"/>
      <c r="F62" s="17" t="n"/>
      <c r="G62" s="26">
        <f>IF(OR(F62="",F62=0),"",(G62-F62)/F62)</f>
        <v/>
      </c>
      <c r="H62" s="17" t="n"/>
    </row>
    <row r="63" ht="22" customHeight="1">
      <c r="B63" s="19">
        <f>IF(C63="","BSO-"&amp;TEXT(COUNTA($C$5:C63),"000"))</f>
        <v/>
      </c>
      <c r="C63" s="15" t="n"/>
      <c r="D63" s="15" t="n"/>
      <c r="E63" s="15" t="n"/>
      <c r="F63" s="15" t="n"/>
      <c r="G63" s="23">
        <f>IF(OR(F63="",F63=0),"",(G63-F63)/F63)</f>
        <v/>
      </c>
      <c r="H63" s="15" t="n"/>
    </row>
    <row r="64" ht="22" customHeight="1">
      <c r="B64" s="20">
        <f>IF(C64="","BSO-"&amp;TEXT(COUNTA($C$5:C64),"000"))</f>
        <v/>
      </c>
      <c r="C64" s="17" t="n"/>
      <c r="D64" s="17" t="n"/>
      <c r="E64" s="17" t="n"/>
      <c r="F64" s="17" t="n"/>
      <c r="G64" s="26">
        <f>IF(OR(F64="",F64=0),"",(G64-F64)/F64)</f>
        <v/>
      </c>
      <c r="H64" s="17" t="n"/>
    </row>
    <row r="65" ht="22" customHeight="1">
      <c r="B65" s="19">
        <f>IF(C65="","BSO-"&amp;TEXT(COUNTA($C$5:C65),"000"))</f>
        <v/>
      </c>
      <c r="C65" s="15" t="n"/>
      <c r="D65" s="15" t="n"/>
      <c r="E65" s="15" t="n"/>
      <c r="F65" s="15" t="n"/>
      <c r="G65" s="23">
        <f>IF(OR(F65="",F65=0),"",(G65-F65)/F65)</f>
        <v/>
      </c>
      <c r="H65" s="15" t="n"/>
    </row>
    <row r="66" ht="22" customHeight="1">
      <c r="B66" s="20">
        <f>IF(C66="","BSO-"&amp;TEXT(COUNTA($C$5:C66),"000"))</f>
        <v/>
      </c>
      <c r="C66" s="17" t="n"/>
      <c r="D66" s="17" t="n"/>
      <c r="E66" s="17" t="n"/>
      <c r="F66" s="17" t="n"/>
      <c r="G66" s="26">
        <f>IF(OR(F66="",F66=0),"",(G66-F66)/F66)</f>
        <v/>
      </c>
      <c r="H66" s="17" t="n"/>
    </row>
    <row r="67" ht="22" customHeight="1">
      <c r="B67" s="19">
        <f>IF(C67="","BSO-"&amp;TEXT(COUNTA($C$5:C67),"000"))</f>
        <v/>
      </c>
      <c r="C67" s="15" t="n"/>
      <c r="D67" s="15" t="n"/>
      <c r="E67" s="15" t="n"/>
      <c r="F67" s="15" t="n"/>
      <c r="G67" s="23">
        <f>IF(OR(F67="",F67=0),"",(G67-F67)/F67)</f>
        <v/>
      </c>
      <c r="H67" s="15" t="n"/>
    </row>
    <row r="68" ht="22" customHeight="1">
      <c r="B68" s="20">
        <f>IF(C68="","BSO-"&amp;TEXT(COUNTA($C$5:C68),"000"))</f>
        <v/>
      </c>
      <c r="C68" s="17" t="n"/>
      <c r="D68" s="17" t="n"/>
      <c r="E68" s="17" t="n"/>
      <c r="F68" s="17" t="n"/>
      <c r="G68" s="26">
        <f>IF(OR(F68="",F68=0),"",(G68-F68)/F68)</f>
        <v/>
      </c>
      <c r="H68" s="17" t="n"/>
    </row>
    <row r="69" ht="22" customHeight="1">
      <c r="B69" s="19">
        <f>IF(C69="","BSO-"&amp;TEXT(COUNTA($C$5:C69),"000"))</f>
        <v/>
      </c>
      <c r="C69" s="15" t="n"/>
      <c r="D69" s="15" t="n"/>
      <c r="E69" s="15" t="n"/>
      <c r="F69" s="15" t="n"/>
      <c r="G69" s="23">
        <f>IF(OR(F69="",F69=0),"",(G69-F69)/F69)</f>
        <v/>
      </c>
      <c r="H69" s="15" t="n"/>
    </row>
    <row r="70" ht="22" customHeight="1">
      <c r="B70" s="20">
        <f>IF(C70="","BSO-"&amp;TEXT(COUNTA($C$5:C70),"000"))</f>
        <v/>
      </c>
      <c r="C70" s="17" t="n"/>
      <c r="D70" s="17" t="n"/>
      <c r="E70" s="17" t="n"/>
      <c r="F70" s="17" t="n"/>
      <c r="G70" s="26">
        <f>IF(OR(F70="",F70=0),"",(G70-F70)/F70)</f>
        <v/>
      </c>
      <c r="H70" s="17" t="n"/>
    </row>
    <row r="71" ht="22" customHeight="1">
      <c r="B71" s="19">
        <f>IF(C71="","BSO-"&amp;TEXT(COUNTA($C$5:C71),"000"))</f>
        <v/>
      </c>
      <c r="C71" s="15" t="n"/>
      <c r="D71" s="15" t="n"/>
      <c r="E71" s="15" t="n"/>
      <c r="F71" s="15" t="n"/>
      <c r="G71" s="23">
        <f>IF(OR(F71="",F71=0),"",(G71-F71)/F71)</f>
        <v/>
      </c>
      <c r="H71" s="15" t="n"/>
    </row>
    <row r="72" ht="22" customHeight="1">
      <c r="B72" s="20">
        <f>IF(C72="","BSO-"&amp;TEXT(COUNTA($C$5:C72),"000"))</f>
        <v/>
      </c>
      <c r="C72" s="17" t="n"/>
      <c r="D72" s="17" t="n"/>
      <c r="E72" s="17" t="n"/>
      <c r="F72" s="17" t="n"/>
      <c r="G72" s="26">
        <f>IF(OR(F72="",F72=0),"",(G72-F72)/F72)</f>
        <v/>
      </c>
      <c r="H72" s="17" t="n"/>
    </row>
    <row r="73" ht="22" customHeight="1">
      <c r="B73" s="19">
        <f>IF(C73="","BSO-"&amp;TEXT(COUNTA($C$5:C73),"000"))</f>
        <v/>
      </c>
      <c r="C73" s="15" t="n"/>
      <c r="D73" s="15" t="n"/>
      <c r="E73" s="15" t="n"/>
      <c r="F73" s="15" t="n"/>
      <c r="G73" s="23">
        <f>IF(OR(F73="",F73=0),"",(G73-F73)/F73)</f>
        <v/>
      </c>
      <c r="H73" s="15" t="n"/>
    </row>
    <row r="74" ht="22" customHeight="1">
      <c r="B74" s="20">
        <f>IF(C74="","BSO-"&amp;TEXT(COUNTA($C$5:C74),"000"))</f>
        <v/>
      </c>
      <c r="C74" s="17" t="n"/>
      <c r="D74" s="17" t="n"/>
      <c r="E74" s="17" t="n"/>
      <c r="F74" s="17" t="n"/>
      <c r="G74" s="26">
        <f>IF(OR(F74="",F74=0),"",(G74-F74)/F74)</f>
        <v/>
      </c>
      <c r="H74" s="17" t="n"/>
    </row>
    <row r="75" ht="22" customHeight="1">
      <c r="B75" s="19">
        <f>IF(C75="","BSO-"&amp;TEXT(COUNTA($C$5:C75),"000"))</f>
        <v/>
      </c>
      <c r="C75" s="15" t="n"/>
      <c r="D75" s="15" t="n"/>
      <c r="E75" s="15" t="n"/>
      <c r="F75" s="15" t="n"/>
      <c r="G75" s="23">
        <f>IF(OR(F75="",F75=0),"",(G75-F75)/F75)</f>
        <v/>
      </c>
      <c r="H75" s="15" t="n"/>
    </row>
    <row r="76" ht="22" customHeight="1">
      <c r="B76" s="20">
        <f>IF(C76="","BSO-"&amp;TEXT(COUNTA($C$5:C76),"000"))</f>
        <v/>
      </c>
      <c r="C76" s="17" t="n"/>
      <c r="D76" s="17" t="n"/>
      <c r="E76" s="17" t="n"/>
      <c r="F76" s="17" t="n"/>
      <c r="G76" s="26">
        <f>IF(OR(F76="",F76=0),"",(G76-F76)/F76)</f>
        <v/>
      </c>
      <c r="H76" s="17" t="n"/>
    </row>
    <row r="77" ht="22" customHeight="1">
      <c r="B77" s="19">
        <f>IF(C77="","BSO-"&amp;TEXT(COUNTA($C$5:C77),"000"))</f>
        <v/>
      </c>
      <c r="C77" s="15" t="n"/>
      <c r="D77" s="15" t="n"/>
      <c r="E77" s="15" t="n"/>
      <c r="F77" s="15" t="n"/>
      <c r="G77" s="23">
        <f>IF(OR(F77="",F77=0),"",(G77-F77)/F77)</f>
        <v/>
      </c>
      <c r="H77" s="15" t="n"/>
    </row>
    <row r="78" ht="22" customHeight="1">
      <c r="B78" s="20">
        <f>IF(C78="","BSO-"&amp;TEXT(COUNTA($C$5:C78),"000"))</f>
        <v/>
      </c>
      <c r="C78" s="17" t="n"/>
      <c r="D78" s="17" t="n"/>
      <c r="E78" s="17" t="n"/>
      <c r="F78" s="17" t="n"/>
      <c r="G78" s="26">
        <f>IF(OR(F78="",F78=0),"",(G78-F78)/F78)</f>
        <v/>
      </c>
      <c r="H78" s="17" t="n"/>
    </row>
    <row r="79" ht="22" customHeight="1">
      <c r="B79" s="19">
        <f>IF(C79="","BSO-"&amp;TEXT(COUNTA($C$5:C79),"000"))</f>
        <v/>
      </c>
      <c r="C79" s="15" t="n"/>
      <c r="D79" s="15" t="n"/>
      <c r="E79" s="15" t="n"/>
      <c r="F79" s="15" t="n"/>
      <c r="G79" s="23">
        <f>IF(OR(F79="",F79=0),"",(G79-F79)/F79)</f>
        <v/>
      </c>
      <c r="H79" s="15" t="n"/>
    </row>
    <row r="80" ht="22" customHeight="1">
      <c r="B80" s="20">
        <f>IF(C80="","BSO-"&amp;TEXT(COUNTA($C$5:C80),"000"))</f>
        <v/>
      </c>
      <c r="C80" s="17" t="n"/>
      <c r="D80" s="17" t="n"/>
      <c r="E80" s="17" t="n"/>
      <c r="F80" s="17" t="n"/>
      <c r="G80" s="26">
        <f>IF(OR(F80="",F80=0),"",(G80-F80)/F80)</f>
        <v/>
      </c>
      <c r="H80" s="17" t="n"/>
    </row>
    <row r="81" ht="22" customHeight="1">
      <c r="B81" s="19">
        <f>IF(C81="","BSO-"&amp;TEXT(COUNTA($C$5:C81),"000"))</f>
        <v/>
      </c>
      <c r="C81" s="15" t="n"/>
      <c r="D81" s="15" t="n"/>
      <c r="E81" s="15" t="n"/>
      <c r="F81" s="15" t="n"/>
      <c r="G81" s="23">
        <f>IF(OR(F81="",F81=0),"",(G81-F81)/F81)</f>
        <v/>
      </c>
      <c r="H81" s="15" t="n"/>
    </row>
    <row r="82" ht="22" customHeight="1">
      <c r="B82" s="20">
        <f>IF(C82="","BSO-"&amp;TEXT(COUNTA($C$5:C82),"000"))</f>
        <v/>
      </c>
      <c r="C82" s="17" t="n"/>
      <c r="D82" s="17" t="n"/>
      <c r="E82" s="17" t="n"/>
      <c r="F82" s="17" t="n"/>
      <c r="G82" s="26">
        <f>IF(OR(F82="",F82=0),"",(G82-F82)/F82)</f>
        <v/>
      </c>
      <c r="H82" s="17" t="n"/>
    </row>
    <row r="83" ht="22" customHeight="1">
      <c r="B83" s="19">
        <f>IF(C83="","BSO-"&amp;TEXT(COUNTA($C$5:C83),"000"))</f>
        <v/>
      </c>
      <c r="C83" s="15" t="n"/>
      <c r="D83" s="15" t="n"/>
      <c r="E83" s="15" t="n"/>
      <c r="F83" s="15" t="n"/>
      <c r="G83" s="23">
        <f>IF(OR(F83="",F83=0),"",(G83-F83)/F83)</f>
        <v/>
      </c>
      <c r="H83" s="15" t="n"/>
    </row>
    <row r="84" ht="22" customHeight="1">
      <c r="B84" s="20">
        <f>IF(C84="","BSO-"&amp;TEXT(COUNTA($C$5:C84),"000"))</f>
        <v/>
      </c>
      <c r="C84" s="17" t="n"/>
      <c r="D84" s="17" t="n"/>
      <c r="E84" s="17" t="n"/>
      <c r="F84" s="17" t="n"/>
      <c r="G84" s="26">
        <f>IF(OR(F84="",F84=0),"",(G84-F84)/F84)</f>
        <v/>
      </c>
      <c r="H84" s="17" t="n"/>
    </row>
    <row r="85" ht="22" customHeight="1">
      <c r="B85" s="19">
        <f>IF(C85="","BSO-"&amp;TEXT(COUNTA($C$5:C85),"000"))</f>
        <v/>
      </c>
      <c r="C85" s="15" t="n"/>
      <c r="D85" s="15" t="n"/>
      <c r="E85" s="15" t="n"/>
      <c r="F85" s="15" t="n"/>
      <c r="G85" s="23">
        <f>IF(OR(F85="",F85=0),"",(G85-F85)/F85)</f>
        <v/>
      </c>
      <c r="H85" s="15" t="n"/>
    </row>
    <row r="86" ht="22" customHeight="1">
      <c r="B86" s="20">
        <f>IF(C86="","BSO-"&amp;TEXT(COUNTA($C$5:C86),"000"))</f>
        <v/>
      </c>
      <c r="C86" s="17" t="n"/>
      <c r="D86" s="17" t="n"/>
      <c r="E86" s="17" t="n"/>
      <c r="F86" s="17" t="n"/>
      <c r="G86" s="26">
        <f>IF(OR(F86="",F86=0),"",(G86-F86)/F86)</f>
        <v/>
      </c>
      <c r="H86" s="17" t="n"/>
    </row>
    <row r="87" ht="22" customHeight="1">
      <c r="B87" s="19">
        <f>IF(C87="","BSO-"&amp;TEXT(COUNTA($C$5:C87),"000"))</f>
        <v/>
      </c>
      <c r="C87" s="15" t="n"/>
      <c r="D87" s="15" t="n"/>
      <c r="E87" s="15" t="n"/>
      <c r="F87" s="15" t="n"/>
      <c r="G87" s="23">
        <f>IF(OR(F87="",F87=0),"",(G87-F87)/F87)</f>
        <v/>
      </c>
      <c r="H87" s="15" t="n"/>
    </row>
    <row r="88" ht="22" customHeight="1">
      <c r="B88" s="20">
        <f>IF(C88="","BSO-"&amp;TEXT(COUNTA($C$5:C88),"000"))</f>
        <v/>
      </c>
      <c r="C88" s="17" t="n"/>
      <c r="D88" s="17" t="n"/>
      <c r="E88" s="17" t="n"/>
      <c r="F88" s="17" t="n"/>
      <c r="G88" s="26">
        <f>IF(OR(F88="",F88=0),"",(G88-F88)/F88)</f>
        <v/>
      </c>
      <c r="H88" s="17" t="n"/>
    </row>
    <row r="89" ht="22" customHeight="1">
      <c r="B89" s="19">
        <f>IF(C89="","BSO-"&amp;TEXT(COUNTA($C$5:C89),"000"))</f>
        <v/>
      </c>
      <c r="C89" s="15" t="n"/>
      <c r="D89" s="15" t="n"/>
      <c r="E89" s="15" t="n"/>
      <c r="F89" s="15" t="n"/>
      <c r="G89" s="23">
        <f>IF(OR(F89="",F89=0),"",(G89-F89)/F89)</f>
        <v/>
      </c>
      <c r="H89" s="15" t="n"/>
    </row>
    <row r="90" ht="22" customHeight="1">
      <c r="B90" s="20">
        <f>IF(C90="","BSO-"&amp;TEXT(COUNTA($C$5:C90),"000"))</f>
        <v/>
      </c>
      <c r="C90" s="17" t="n"/>
      <c r="D90" s="17" t="n"/>
      <c r="E90" s="17" t="n"/>
      <c r="F90" s="17" t="n"/>
      <c r="G90" s="26">
        <f>IF(OR(F90="",F90=0),"",(G90-F90)/F90)</f>
        <v/>
      </c>
      <c r="H90" s="17" t="n"/>
    </row>
    <row r="91" ht="22" customHeight="1">
      <c r="B91" s="19">
        <f>IF(C91="","BSO-"&amp;TEXT(COUNTA($C$5:C91),"000"))</f>
        <v/>
      </c>
      <c r="C91" s="15" t="n"/>
      <c r="D91" s="15" t="n"/>
      <c r="E91" s="15" t="n"/>
      <c r="F91" s="15" t="n"/>
      <c r="G91" s="23">
        <f>IF(OR(F91="",F91=0),"",(G91-F91)/F91)</f>
        <v/>
      </c>
      <c r="H91" s="15" t="n"/>
    </row>
    <row r="92" ht="22" customHeight="1">
      <c r="B92" s="20">
        <f>IF(C92="","BSO-"&amp;TEXT(COUNTA($C$5:C92),"000"))</f>
        <v/>
      </c>
      <c r="C92" s="17" t="n"/>
      <c r="D92" s="17" t="n"/>
      <c r="E92" s="17" t="n"/>
      <c r="F92" s="17" t="n"/>
      <c r="G92" s="26">
        <f>IF(OR(F92="",F92=0),"",(G92-F92)/F92)</f>
        <v/>
      </c>
      <c r="H92" s="17" t="n"/>
    </row>
    <row r="93" ht="22" customHeight="1">
      <c r="B93" s="19">
        <f>IF(C93="","BSO-"&amp;TEXT(COUNTA($C$5:C93),"000"))</f>
        <v/>
      </c>
      <c r="C93" s="15" t="n"/>
      <c r="D93" s="15" t="n"/>
      <c r="E93" s="15" t="n"/>
      <c r="F93" s="15" t="n"/>
      <c r="G93" s="23">
        <f>IF(OR(F93="",F93=0),"",(G93-F93)/F93)</f>
        <v/>
      </c>
      <c r="H93" s="15" t="n"/>
    </row>
    <row r="94" ht="22" customHeight="1">
      <c r="B94" s="20">
        <f>IF(C94="","BSO-"&amp;TEXT(COUNTA($C$5:C94),"000"))</f>
        <v/>
      </c>
      <c r="C94" s="17" t="n"/>
      <c r="D94" s="17" t="n"/>
      <c r="E94" s="17" t="n"/>
      <c r="F94" s="17" t="n"/>
      <c r="G94" s="26">
        <f>IF(OR(F94="",F94=0),"",(G94-F94)/F94)</f>
        <v/>
      </c>
      <c r="H94" s="17" t="n"/>
    </row>
    <row r="95" ht="22" customHeight="1">
      <c r="B95" s="19">
        <f>IF(C95="","BSO-"&amp;TEXT(COUNTA($C$5:C95),"000"))</f>
        <v/>
      </c>
      <c r="C95" s="15" t="n"/>
      <c r="D95" s="15" t="n"/>
      <c r="E95" s="15" t="n"/>
      <c r="F95" s="15" t="n"/>
      <c r="G95" s="23">
        <f>IF(OR(F95="",F95=0),"",(G95-F95)/F95)</f>
        <v/>
      </c>
      <c r="H95" s="15" t="n"/>
    </row>
    <row r="96" ht="22" customHeight="1">
      <c r="B96" s="20">
        <f>IF(C96="","BSO-"&amp;TEXT(COUNTA($C$5:C96),"000"))</f>
        <v/>
      </c>
      <c r="C96" s="17" t="n"/>
      <c r="D96" s="17" t="n"/>
      <c r="E96" s="17" t="n"/>
      <c r="F96" s="17" t="n"/>
      <c r="G96" s="26">
        <f>IF(OR(F96="",F96=0),"",(G96-F96)/F96)</f>
        <v/>
      </c>
      <c r="H96" s="17" t="n"/>
    </row>
    <row r="97" ht="22" customHeight="1">
      <c r="B97" s="19">
        <f>IF(C97="","BSO-"&amp;TEXT(COUNTA($C$5:C97),"000"))</f>
        <v/>
      </c>
      <c r="C97" s="15" t="n"/>
      <c r="D97" s="15" t="n"/>
      <c r="E97" s="15" t="n"/>
      <c r="F97" s="15" t="n"/>
      <c r="G97" s="23">
        <f>IF(OR(F97="",F97=0),"",(G97-F97)/F97)</f>
        <v/>
      </c>
      <c r="H97" s="15" t="n"/>
    </row>
    <row r="98" ht="22" customHeight="1">
      <c r="B98" s="20">
        <f>IF(C98="","BSO-"&amp;TEXT(COUNTA($C$5:C98),"000"))</f>
        <v/>
      </c>
      <c r="C98" s="17" t="n"/>
      <c r="D98" s="17" t="n"/>
      <c r="E98" s="17" t="n"/>
      <c r="F98" s="17" t="n"/>
      <c r="G98" s="26">
        <f>IF(OR(F98="",F98=0),"",(G98-F98)/F98)</f>
        <v/>
      </c>
      <c r="H98" s="17" t="n"/>
    </row>
    <row r="99" ht="22" customHeight="1">
      <c r="B99" s="19">
        <f>IF(C99="","BSO-"&amp;TEXT(COUNTA($C$5:C99),"000"))</f>
        <v/>
      </c>
      <c r="C99" s="15" t="n"/>
      <c r="D99" s="15" t="n"/>
      <c r="E99" s="15" t="n"/>
      <c r="F99" s="15" t="n"/>
      <c r="G99" s="23">
        <f>IF(OR(F99="",F99=0),"",(G99-F99)/F99)</f>
        <v/>
      </c>
      <c r="H99" s="15" t="n"/>
    </row>
    <row r="100" ht="22" customHeight="1">
      <c r="B100" s="20">
        <f>IF(C100="","BSO-"&amp;TEXT(COUNTA($C$5:C100),"000"))</f>
        <v/>
      </c>
      <c r="C100" s="17" t="n"/>
      <c r="D100" s="17" t="n"/>
      <c r="E100" s="17" t="n"/>
      <c r="F100" s="17" t="n"/>
      <c r="G100" s="26">
        <f>IF(OR(F100="",F100=0),"",(G100-F100)/F100)</f>
        <v/>
      </c>
      <c r="H100" s="17" t="n"/>
    </row>
    <row r="101" ht="22" customHeight="1">
      <c r="B101" s="19">
        <f>IF(C101="","BSO-"&amp;TEXT(COUNTA($C$5:C101),"000"))</f>
        <v/>
      </c>
      <c r="C101" s="15" t="n"/>
      <c r="D101" s="15" t="n"/>
      <c r="E101" s="15" t="n"/>
      <c r="F101" s="15" t="n"/>
      <c r="G101" s="23">
        <f>IF(OR(F101="",F101=0),"",(G101-F101)/F101)</f>
        <v/>
      </c>
      <c r="H101" s="15" t="n"/>
    </row>
    <row r="102" ht="22" customHeight="1">
      <c r="B102" s="20">
        <f>IF(C102="","BSO-"&amp;TEXT(COUNTA($C$5:C102),"000"))</f>
        <v/>
      </c>
      <c r="C102" s="17" t="n"/>
      <c r="D102" s="17" t="n"/>
      <c r="E102" s="17" t="n"/>
      <c r="F102" s="17" t="n"/>
      <c r="G102" s="26">
        <f>IF(OR(F102="",F102=0),"",(G102-F102)/F102)</f>
        <v/>
      </c>
      <c r="H102" s="17" t="n"/>
    </row>
    <row r="103" ht="22" customHeight="1">
      <c r="B103" s="19">
        <f>IF(C103="","BSO-"&amp;TEXT(COUNTA($C$5:C103),"000"))</f>
        <v/>
      </c>
      <c r="C103" s="15" t="n"/>
      <c r="D103" s="15" t="n"/>
      <c r="E103" s="15" t="n"/>
      <c r="F103" s="15" t="n"/>
      <c r="G103" s="23">
        <f>IF(OR(F103="",F103=0),"",(G103-F103)/F103)</f>
        <v/>
      </c>
      <c r="H103" s="15" t="n"/>
    </row>
    <row r="104" ht="22" customHeight="1">
      <c r="B104" s="20">
        <f>IF(C104="","BSO-"&amp;TEXT(COUNTA($C$5:C104),"000"))</f>
        <v/>
      </c>
      <c r="C104" s="17" t="n"/>
      <c r="D104" s="17" t="n"/>
      <c r="E104" s="17" t="n"/>
      <c r="F104" s="17" t="n"/>
      <c r="G104" s="26">
        <f>IF(OR(F104="",F104=0),"",(G104-F104)/F104)</f>
        <v/>
      </c>
      <c r="H104" s="17" t="n"/>
    </row>
    <row r="105" ht="22" customHeight="1">
      <c r="B105" s="19">
        <f>IF(C105="","BSO-"&amp;TEXT(COUNTA($C$5:C105),"000"))</f>
        <v/>
      </c>
      <c r="C105" s="15" t="n"/>
      <c r="D105" s="15" t="n"/>
      <c r="E105" s="15" t="n"/>
      <c r="F105" s="15" t="n"/>
      <c r="G105" s="23">
        <f>IF(OR(F105="",F105=0),"",(G105-F105)/F105)</f>
        <v/>
      </c>
      <c r="H105" s="15" t="n"/>
    </row>
    <row r="106" ht="22" customHeight="1">
      <c r="B106" s="20">
        <f>IF(C106="","BSO-"&amp;TEXT(COUNTA($C$5:C106),"000"))</f>
        <v/>
      </c>
      <c r="C106" s="17" t="n"/>
      <c r="D106" s="17" t="n"/>
      <c r="E106" s="17" t="n"/>
      <c r="F106" s="17" t="n"/>
      <c r="G106" s="26">
        <f>IF(OR(F106="",F106=0),"",(G106-F106)/F106)</f>
        <v/>
      </c>
      <c r="H106" s="17" t="n"/>
    </row>
    <row r="107" ht="22" customHeight="1">
      <c r="B107" s="19">
        <f>IF(C107="","BSO-"&amp;TEXT(COUNTA($C$5:C107),"000"))</f>
        <v/>
      </c>
      <c r="C107" s="15" t="n"/>
      <c r="D107" s="15" t="n"/>
      <c r="E107" s="15" t="n"/>
      <c r="F107" s="15" t="n"/>
      <c r="G107" s="23">
        <f>IF(OR(F107="",F107=0),"",(G107-F107)/F107)</f>
        <v/>
      </c>
      <c r="H107" s="15" t="n"/>
    </row>
    <row r="108" ht="22" customHeight="1">
      <c r="B108" s="20">
        <f>IF(C108="","BSO-"&amp;TEXT(COUNTA($C$5:C108),"000"))</f>
        <v/>
      </c>
      <c r="C108" s="17" t="n"/>
      <c r="D108" s="17" t="n"/>
      <c r="E108" s="17" t="n"/>
      <c r="F108" s="17" t="n"/>
      <c r="G108" s="26">
        <f>IF(OR(F108="",F108=0),"",(G108-F108)/F108)</f>
        <v/>
      </c>
      <c r="H108" s="17" t="n"/>
    </row>
    <row r="109" ht="22" customHeight="1">
      <c r="B109" s="19">
        <f>IF(C109="","BSO-"&amp;TEXT(COUNTA($C$5:C109),"000"))</f>
        <v/>
      </c>
      <c r="C109" s="15" t="n"/>
      <c r="D109" s="15" t="n"/>
      <c r="E109" s="15" t="n"/>
      <c r="F109" s="15" t="n"/>
      <c r="G109" s="23">
        <f>IF(OR(F109="",F109=0),"",(G109-F109)/F109)</f>
        <v/>
      </c>
      <c r="H109" s="15" t="n"/>
    </row>
    <row r="110" ht="22" customHeight="1">
      <c r="B110" s="20">
        <f>IF(C110="","BSO-"&amp;TEXT(COUNTA($C$5:C110),"000"))</f>
        <v/>
      </c>
      <c r="C110" s="17" t="n"/>
      <c r="D110" s="17" t="n"/>
      <c r="E110" s="17" t="n"/>
      <c r="F110" s="17" t="n"/>
      <c r="G110" s="26">
        <f>IF(OR(F110="",F110=0),"",(G110-F110)/F110)</f>
        <v/>
      </c>
      <c r="H110" s="17" t="n"/>
    </row>
    <row r="111" ht="22" customHeight="1">
      <c r="B111" s="19">
        <f>IF(C111="","BSO-"&amp;TEXT(COUNTA($C$5:C111),"000"))</f>
        <v/>
      </c>
      <c r="C111" s="15" t="n"/>
      <c r="D111" s="15" t="n"/>
      <c r="E111" s="15" t="n"/>
      <c r="F111" s="15" t="n"/>
      <c r="G111" s="23">
        <f>IF(OR(F111="",F111=0),"",(G111-F111)/F111)</f>
        <v/>
      </c>
      <c r="H111" s="15" t="n"/>
    </row>
    <row r="112" ht="22" customHeight="1">
      <c r="B112" s="20">
        <f>IF(C112="","BSO-"&amp;TEXT(COUNTA($C$5:C112),"000"))</f>
        <v/>
      </c>
      <c r="C112" s="17" t="n"/>
      <c r="D112" s="17" t="n"/>
      <c r="E112" s="17" t="n"/>
      <c r="F112" s="17" t="n"/>
      <c r="G112" s="26">
        <f>IF(OR(F112="",F112=0),"",(G112-F112)/F112)</f>
        <v/>
      </c>
      <c r="H112" s="17" t="n"/>
    </row>
    <row r="114">
      <c r="B114" s="8" t="inlineStr">
        <is>
          <t>INDICATEURS (mis a jour automatiquement)</t>
        </is>
      </c>
    </row>
    <row r="115">
      <c r="B115" s="3" t="inlineStr">
        <is>
          <t>Rubriques</t>
        </is>
      </c>
      <c r="D115" s="3" t="inlineStr">
        <is>
          <t>Rubriques en hausse</t>
        </is>
      </c>
    </row>
    <row r="116">
      <c r="B116" s="4">
        <f>COUNTIF(B5:B104,"&lt;&gt;")</f>
        <v/>
      </c>
      <c r="D116" s="4">
        <f>COUNTIF(G5:G104,"&gt;"&amp;0)</f>
        <v/>
      </c>
    </row>
  </sheetData>
  <mergeCells count="3">
    <mergeCell ref="B3:H3"/>
    <mergeCell ref="B2:H2"/>
    <mergeCell ref="B114:H114"/>
  </mergeCells>
  <conditionalFormatting sqref="B13:B112">
    <cfRule type="expression" priority="1" dxfId="0">
      <formula>AND($C13="",$C12&lt;&gt;"")</formula>
    </cfRule>
  </conditionalFormatting>
  <conditionalFormatting sqref="C13:C112">
    <cfRule type="expression" priority="2" dxfId="0">
      <formula>AND($C13="",$C12&lt;&gt;"")</formula>
    </cfRule>
  </conditionalFormatting>
  <conditionalFormatting sqref="D13:D112">
    <cfRule type="expression" priority="3" dxfId="0">
      <formula>AND($C13="",$C12&lt;&gt;"")</formula>
    </cfRule>
  </conditionalFormatting>
  <conditionalFormatting sqref="E13:E112">
    <cfRule type="expression" priority="4" dxfId="0">
      <formula>AND($C13="",$C12&lt;&gt;"")</formula>
    </cfRule>
  </conditionalFormatting>
  <conditionalFormatting sqref="F13:F112">
    <cfRule type="expression" priority="5" dxfId="0">
      <formula>AND($C13="",$C12&lt;&gt;"")</formula>
    </cfRule>
  </conditionalFormatting>
  <conditionalFormatting sqref="G13:G112">
    <cfRule type="expression" priority="6" dxfId="0">
      <formula>AND($C13="",$C12&lt;&gt;"")</formula>
    </cfRule>
  </conditionalFormatting>
  <conditionalFormatting sqref="H13:H112">
    <cfRule type="expression" priority="7" dxfId="0">
      <formula>AND($C13="",$C12&lt;&gt;"")</formula>
    </cfRule>
  </conditionalFormatting>
  <dataValidations count="1">
    <dataValidation sqref="D5:D112" showDropDown="0" showInputMessage="0" showErrorMessage="0" allowBlank="1" errorTitle="Erreur" error="Valeur invalide" promptTitle="Liste" prompt="Choisir dans la liste" type="list">
      <formula1>'_Lists'!$G$2:$G$4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38" customWidth="1" min="9" max="9"/>
  </cols>
  <sheetData>
    <row r="1" ht="15" customHeight="1"/>
    <row r="2" ht="32" customHeight="1">
      <c r="B2" s="1" t="inlineStr">
        <is>
          <t>TdB PREVISIONNEL RH (#146)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Indicateur</t>
        </is>
      </c>
      <c r="D4" s="14" t="inlineStr">
        <is>
          <t>Valeur Actuelle</t>
        </is>
      </c>
      <c r="E4" s="14" t="inlineStr">
        <is>
          <t>Prevision T+1</t>
        </is>
      </c>
      <c r="F4" s="14" t="inlineStr">
        <is>
          <t>Prevision T+2</t>
        </is>
      </c>
      <c r="G4" s="14" t="inlineStr">
        <is>
          <t>Prevision T+3</t>
        </is>
      </c>
      <c r="H4" s="14" t="inlineStr">
        <is>
          <t>Tendance</t>
        </is>
      </c>
      <c r="I4" s="14" t="inlineStr">
        <is>
          <t>Hypothese</t>
        </is>
      </c>
    </row>
    <row r="5" ht="22" customHeight="1">
      <c r="B5" s="15" t="inlineStr">
        <is>
          <t>PRE-001</t>
        </is>
      </c>
      <c r="C5" s="15" t="inlineStr">
        <is>
          <t>Effectif prevu</t>
        </is>
      </c>
      <c r="D5" s="16" t="n">
        <v>89</v>
      </c>
      <c r="E5" s="16" t="n">
        <v>95</v>
      </c>
      <c r="F5" s="16" t="n">
        <v>102</v>
      </c>
      <c r="G5" s="16" t="n">
        <v>108</v>
      </c>
      <c r="H5" s="15" t="inlineStr">
        <is>
          <t>Hausse</t>
        </is>
      </c>
      <c r="I5" s="15" t="inlineStr">
        <is>
          <t>Expansion hoteliere + nouvelles chambres</t>
        </is>
      </c>
    </row>
    <row r="6" ht="22" customHeight="1">
      <c r="B6" s="17" t="inlineStr">
        <is>
          <t>PRE-002</t>
        </is>
      </c>
      <c r="C6" s="17" t="inlineStr">
        <is>
          <t>Masse salariale (M FCFA)</t>
        </is>
      </c>
      <c r="D6" s="18" t="n">
        <v>348</v>
      </c>
      <c r="E6" s="18" t="n">
        <v>375</v>
      </c>
      <c r="F6" s="18" t="n">
        <v>405</v>
      </c>
      <c r="G6" s="18" t="n">
        <v>438</v>
      </c>
      <c r="H6" s="17" t="inlineStr">
        <is>
          <t>Hausse</t>
        </is>
      </c>
      <c r="I6" s="17" t="inlineStr">
        <is>
          <t>Embauches + augmentations 3%/an</t>
        </is>
      </c>
    </row>
    <row r="7" ht="22" customHeight="1">
      <c r="B7" s="15" t="inlineStr">
        <is>
          <t>PRE-003</t>
        </is>
      </c>
      <c r="C7" s="15" t="inlineStr">
        <is>
          <t>Taux turnover prevu</t>
        </is>
      </c>
      <c r="D7" s="16" t="n">
        <v>0.18</v>
      </c>
      <c r="E7" s="16" t="n">
        <v>0.16</v>
      </c>
      <c r="F7" s="16" t="n">
        <v>0.14</v>
      </c>
      <c r="G7" s="16" t="n">
        <v>0.12</v>
      </c>
      <c r="H7" s="15" t="inlineStr">
        <is>
          <t>Baisse</t>
        </is>
      </c>
      <c r="I7" s="15" t="inlineStr">
        <is>
          <t>Amelioration conditions travail</t>
        </is>
      </c>
    </row>
    <row r="8" ht="22" customHeight="1">
      <c r="B8" s="17" t="inlineStr">
        <is>
          <t>PRE-004</t>
        </is>
      </c>
      <c r="C8" s="17" t="inlineStr">
        <is>
          <t>Budget formation (M FCFA)</t>
        </is>
      </c>
      <c r="D8" s="18" t="n">
        <v>4.2</v>
      </c>
      <c r="E8" s="18" t="n">
        <v>5</v>
      </c>
      <c r="F8" s="18" t="n">
        <v>6</v>
      </c>
      <c r="G8" s="18" t="n">
        <v>7.2</v>
      </c>
      <c r="H8" s="17" t="inlineStr">
        <is>
          <t>Hausse</t>
        </is>
      </c>
      <c r="I8" s="17" t="inlineStr">
        <is>
          <t>Renforcement competences</t>
        </is>
      </c>
    </row>
    <row r="9" ht="22" customHeight="1">
      <c r="B9" s="15" t="inlineStr">
        <is>
          <t>PRE-005</t>
        </is>
      </c>
      <c r="C9" s="15" t="inlineStr">
        <is>
          <t>Ratio MS/CA prevu</t>
        </is>
      </c>
      <c r="D9" s="16" t="n">
        <v>0.32</v>
      </c>
      <c r="E9" s="16" t="n">
        <v>0.31</v>
      </c>
      <c r="F9" s="16" t="n">
        <v>0.3</v>
      </c>
      <c r="G9" s="16" t="n">
        <v>0.29</v>
      </c>
      <c r="H9" s="15" t="inlineStr">
        <is>
          <t>Baisse</t>
        </is>
      </c>
      <c r="I9" s="15" t="inlineStr">
        <is>
          <t>CA croit plus vite que MS</t>
        </is>
      </c>
    </row>
    <row r="10" ht="22" customHeight="1">
      <c r="B10" s="20">
        <f>IF(C10="","PRE-"&amp;TEXT(COUNTA($C$5:C10),"000"))</f>
        <v/>
      </c>
      <c r="C10" s="17" t="n"/>
      <c r="D10" s="18" t="n"/>
      <c r="E10" s="18" t="n"/>
      <c r="F10" s="18" t="n"/>
      <c r="G10" s="18" t="n"/>
      <c r="H10" s="17" t="n"/>
      <c r="I10" s="17" t="n"/>
    </row>
    <row r="11" ht="22" customHeight="1">
      <c r="B11" s="19">
        <f>IF(C11="","PRE-"&amp;TEXT(COUNTA($C$5:C11),"000"))</f>
        <v/>
      </c>
      <c r="C11" s="15" t="n"/>
      <c r="D11" s="16" t="n"/>
      <c r="E11" s="16" t="n"/>
      <c r="F11" s="16" t="n"/>
      <c r="G11" s="16" t="n"/>
      <c r="H11" s="15" t="n"/>
      <c r="I11" s="15" t="n"/>
    </row>
    <row r="12" ht="22" customHeight="1">
      <c r="B12" s="20">
        <f>IF(C12="","PRE-"&amp;TEXT(COUNTA($C$5:C12),"000"))</f>
        <v/>
      </c>
      <c r="C12" s="17" t="n"/>
      <c r="D12" s="18" t="n"/>
      <c r="E12" s="18" t="n"/>
      <c r="F12" s="18" t="n"/>
      <c r="G12" s="18" t="n"/>
      <c r="H12" s="17" t="n"/>
      <c r="I12" s="17" t="n"/>
    </row>
    <row r="13" ht="22" customHeight="1">
      <c r="B13" s="19">
        <f>IF(C13="","PRE-"&amp;TEXT(COUNTA($C$5:C13),"000"))</f>
        <v/>
      </c>
      <c r="C13" s="15" t="n"/>
      <c r="D13" s="16" t="n"/>
      <c r="E13" s="16" t="n"/>
      <c r="F13" s="16" t="n"/>
      <c r="G13" s="16" t="n"/>
      <c r="H13" s="15" t="n"/>
      <c r="I13" s="15" t="n"/>
    </row>
    <row r="14" ht="22" customHeight="1">
      <c r="B14" s="20">
        <f>IF(C14="","PRE-"&amp;TEXT(COUNTA($C$5:C14),"000"))</f>
        <v/>
      </c>
      <c r="C14" s="17" t="n"/>
      <c r="D14" s="18" t="n"/>
      <c r="E14" s="18" t="n"/>
      <c r="F14" s="18" t="n"/>
      <c r="G14" s="18" t="n"/>
      <c r="H14" s="17" t="n"/>
      <c r="I14" s="17" t="n"/>
    </row>
    <row r="15" ht="22" customHeight="1">
      <c r="B15" s="19">
        <f>IF(C15="","PRE-"&amp;TEXT(COUNTA($C$5:C15),"000"))</f>
        <v/>
      </c>
      <c r="C15" s="15" t="n"/>
      <c r="D15" s="16" t="n"/>
      <c r="E15" s="16" t="n"/>
      <c r="F15" s="16" t="n"/>
      <c r="G15" s="16" t="n"/>
      <c r="H15" s="15" t="n"/>
      <c r="I15" s="15" t="n"/>
    </row>
    <row r="16" ht="22" customHeight="1">
      <c r="B16" s="20">
        <f>IF(C16="","PRE-"&amp;TEXT(COUNTA($C$5:C16),"000"))</f>
        <v/>
      </c>
      <c r="C16" s="17" t="n"/>
      <c r="D16" s="18" t="n"/>
      <c r="E16" s="18" t="n"/>
      <c r="F16" s="18" t="n"/>
      <c r="G16" s="18" t="n"/>
      <c r="H16" s="17" t="n"/>
      <c r="I16" s="17" t="n"/>
    </row>
    <row r="17" ht="22" customHeight="1">
      <c r="B17" s="19">
        <f>IF(C17="","PRE-"&amp;TEXT(COUNTA($C$5:C17),"000"))</f>
        <v/>
      </c>
      <c r="C17" s="15" t="n"/>
      <c r="D17" s="16" t="n"/>
      <c r="E17" s="16" t="n"/>
      <c r="F17" s="16" t="n"/>
      <c r="G17" s="16" t="n"/>
      <c r="H17" s="15" t="n"/>
      <c r="I17" s="15" t="n"/>
    </row>
    <row r="18" ht="22" customHeight="1">
      <c r="B18" s="20">
        <f>IF(C18="","PRE-"&amp;TEXT(COUNTA($C$5:C18),"000"))</f>
        <v/>
      </c>
      <c r="C18" s="17" t="n"/>
      <c r="D18" s="18" t="n"/>
      <c r="E18" s="18" t="n"/>
      <c r="F18" s="18" t="n"/>
      <c r="G18" s="18" t="n"/>
      <c r="H18" s="17" t="n"/>
      <c r="I18" s="17" t="n"/>
    </row>
    <row r="19" ht="22" customHeight="1">
      <c r="B19" s="19">
        <f>IF(C19="","PRE-"&amp;TEXT(COUNTA($C$5:C19),"000"))</f>
        <v/>
      </c>
      <c r="C19" s="15" t="n"/>
      <c r="D19" s="16" t="n"/>
      <c r="E19" s="16" t="n"/>
      <c r="F19" s="16" t="n"/>
      <c r="G19" s="16" t="n"/>
      <c r="H19" s="15" t="n"/>
      <c r="I19" s="15" t="n"/>
    </row>
    <row r="20" ht="22" customHeight="1">
      <c r="B20" s="20">
        <f>IF(C20="","PRE-"&amp;TEXT(COUNTA($C$5:C20),"000"))</f>
        <v/>
      </c>
      <c r="C20" s="17" t="n"/>
      <c r="D20" s="18" t="n"/>
      <c r="E20" s="18" t="n"/>
      <c r="F20" s="18" t="n"/>
      <c r="G20" s="18" t="n"/>
      <c r="H20" s="17" t="n"/>
      <c r="I20" s="17" t="n"/>
    </row>
    <row r="21" ht="22" customHeight="1">
      <c r="B21" s="19">
        <f>IF(C21="","PRE-"&amp;TEXT(COUNTA($C$5:C21),"000"))</f>
        <v/>
      </c>
      <c r="C21" s="15" t="n"/>
      <c r="D21" s="16" t="n"/>
      <c r="E21" s="16" t="n"/>
      <c r="F21" s="16" t="n"/>
      <c r="G21" s="16" t="n"/>
      <c r="H21" s="15" t="n"/>
      <c r="I21" s="15" t="n"/>
    </row>
    <row r="22" ht="22" customHeight="1">
      <c r="B22" s="20">
        <f>IF(C22="","PRE-"&amp;TEXT(COUNTA($C$5:C22),"000"))</f>
        <v/>
      </c>
      <c r="C22" s="17" t="n"/>
      <c r="D22" s="18" t="n"/>
      <c r="E22" s="18" t="n"/>
      <c r="F22" s="18" t="n"/>
      <c r="G22" s="18" t="n"/>
      <c r="H22" s="17" t="n"/>
      <c r="I22" s="17" t="n"/>
    </row>
    <row r="23" ht="22" customHeight="1">
      <c r="B23" s="19">
        <f>IF(C23="","PRE-"&amp;TEXT(COUNTA($C$5:C23),"000"))</f>
        <v/>
      </c>
      <c r="C23" s="15" t="n"/>
      <c r="D23" s="16" t="n"/>
      <c r="E23" s="16" t="n"/>
      <c r="F23" s="16" t="n"/>
      <c r="G23" s="16" t="n"/>
      <c r="H23" s="15" t="n"/>
      <c r="I23" s="15" t="n"/>
    </row>
    <row r="24" ht="22" customHeight="1">
      <c r="B24" s="20">
        <f>IF(C24="","PRE-"&amp;TEXT(COUNTA($C$5:C24),"000"))</f>
        <v/>
      </c>
      <c r="C24" s="17" t="n"/>
      <c r="D24" s="18" t="n"/>
      <c r="E24" s="18" t="n"/>
      <c r="F24" s="18" t="n"/>
      <c r="G24" s="18" t="n"/>
      <c r="H24" s="17" t="n"/>
      <c r="I24" s="17" t="n"/>
    </row>
    <row r="25" ht="22" customHeight="1">
      <c r="B25" s="19">
        <f>IF(C25="","PRE-"&amp;TEXT(COUNTA($C$5:C25),"000"))</f>
        <v/>
      </c>
      <c r="C25" s="15" t="n"/>
      <c r="D25" s="16" t="n"/>
      <c r="E25" s="16" t="n"/>
      <c r="F25" s="16" t="n"/>
      <c r="G25" s="16" t="n"/>
      <c r="H25" s="15" t="n"/>
      <c r="I25" s="15" t="n"/>
    </row>
    <row r="26" ht="22" customHeight="1">
      <c r="B26" s="20">
        <f>IF(C26="","PRE-"&amp;TEXT(COUNTA($C$5:C26),"000"))</f>
        <v/>
      </c>
      <c r="C26" s="17" t="n"/>
      <c r="D26" s="18" t="n"/>
      <c r="E26" s="18" t="n"/>
      <c r="F26" s="18" t="n"/>
      <c r="G26" s="18" t="n"/>
      <c r="H26" s="17" t="n"/>
      <c r="I26" s="17" t="n"/>
    </row>
    <row r="27" ht="22" customHeight="1">
      <c r="B27" s="19">
        <f>IF(C27="","PRE-"&amp;TEXT(COUNTA($C$5:C27),"000"))</f>
        <v/>
      </c>
      <c r="C27" s="15" t="n"/>
      <c r="D27" s="16" t="n"/>
      <c r="E27" s="16" t="n"/>
      <c r="F27" s="16" t="n"/>
      <c r="G27" s="16" t="n"/>
      <c r="H27" s="15" t="n"/>
      <c r="I27" s="15" t="n"/>
    </row>
    <row r="28" ht="22" customHeight="1">
      <c r="B28" s="20">
        <f>IF(C28="","PRE-"&amp;TEXT(COUNTA($C$5:C28),"000"))</f>
        <v/>
      </c>
      <c r="C28" s="17" t="n"/>
      <c r="D28" s="18" t="n"/>
      <c r="E28" s="18" t="n"/>
      <c r="F28" s="18" t="n"/>
      <c r="G28" s="18" t="n"/>
      <c r="H28" s="17" t="n"/>
      <c r="I28" s="17" t="n"/>
    </row>
    <row r="29" ht="22" customHeight="1">
      <c r="B29" s="19">
        <f>IF(C29="","PRE-"&amp;TEXT(COUNTA($C$5:C29),"000"))</f>
        <v/>
      </c>
      <c r="C29" s="15" t="n"/>
      <c r="D29" s="16" t="n"/>
      <c r="E29" s="16" t="n"/>
      <c r="F29" s="16" t="n"/>
      <c r="G29" s="16" t="n"/>
      <c r="H29" s="15" t="n"/>
      <c r="I29" s="15" t="n"/>
    </row>
    <row r="30" ht="22" customHeight="1">
      <c r="B30" s="20">
        <f>IF(C30="","PRE-"&amp;TEXT(COUNTA($C$5:C30),"000"))</f>
        <v/>
      </c>
      <c r="C30" s="17" t="n"/>
      <c r="D30" s="18" t="n"/>
      <c r="E30" s="18" t="n"/>
      <c r="F30" s="18" t="n"/>
      <c r="G30" s="18" t="n"/>
      <c r="H30" s="17" t="n"/>
      <c r="I30" s="17" t="n"/>
    </row>
    <row r="31" ht="22" customHeight="1">
      <c r="B31" s="19">
        <f>IF(C31="","PRE-"&amp;TEXT(COUNTA($C$5:C31),"000"))</f>
        <v/>
      </c>
      <c r="C31" s="15" t="n"/>
      <c r="D31" s="16" t="n"/>
      <c r="E31" s="16" t="n"/>
      <c r="F31" s="16" t="n"/>
      <c r="G31" s="16" t="n"/>
      <c r="H31" s="15" t="n"/>
      <c r="I31" s="15" t="n"/>
    </row>
    <row r="32" ht="22" customHeight="1">
      <c r="B32" s="20">
        <f>IF(C32="","PRE-"&amp;TEXT(COUNTA($C$5:C32),"000"))</f>
        <v/>
      </c>
      <c r="C32" s="17" t="n"/>
      <c r="D32" s="18" t="n"/>
      <c r="E32" s="18" t="n"/>
      <c r="F32" s="18" t="n"/>
      <c r="G32" s="18" t="n"/>
      <c r="H32" s="17" t="n"/>
      <c r="I32" s="17" t="n"/>
    </row>
    <row r="33" ht="22" customHeight="1">
      <c r="B33" s="19">
        <f>IF(C33="","PRE-"&amp;TEXT(COUNTA($C$5:C33),"000"))</f>
        <v/>
      </c>
      <c r="C33" s="15" t="n"/>
      <c r="D33" s="16" t="n"/>
      <c r="E33" s="16" t="n"/>
      <c r="F33" s="16" t="n"/>
      <c r="G33" s="16" t="n"/>
      <c r="H33" s="15" t="n"/>
      <c r="I33" s="15" t="n"/>
    </row>
    <row r="34" ht="22" customHeight="1">
      <c r="B34" s="20">
        <f>IF(C34="","PRE-"&amp;TEXT(COUNTA($C$5:C34),"000"))</f>
        <v/>
      </c>
      <c r="C34" s="17" t="n"/>
      <c r="D34" s="18" t="n"/>
      <c r="E34" s="18" t="n"/>
      <c r="F34" s="18" t="n"/>
      <c r="G34" s="18" t="n"/>
      <c r="H34" s="17" t="n"/>
      <c r="I34" s="17" t="n"/>
    </row>
    <row r="35" ht="22" customHeight="1">
      <c r="B35" s="19">
        <f>IF(C35="","PRE-"&amp;TEXT(COUNTA($C$5:C35),"000"))</f>
        <v/>
      </c>
      <c r="C35" s="15" t="n"/>
      <c r="D35" s="16" t="n"/>
      <c r="E35" s="16" t="n"/>
      <c r="F35" s="16" t="n"/>
      <c r="G35" s="16" t="n"/>
      <c r="H35" s="15" t="n"/>
      <c r="I35" s="15" t="n"/>
    </row>
    <row r="36" ht="22" customHeight="1">
      <c r="B36" s="20">
        <f>IF(C36="","PRE-"&amp;TEXT(COUNTA($C$5:C36),"000"))</f>
        <v/>
      </c>
      <c r="C36" s="17" t="n"/>
      <c r="D36" s="18" t="n"/>
      <c r="E36" s="18" t="n"/>
      <c r="F36" s="18" t="n"/>
      <c r="G36" s="18" t="n"/>
      <c r="H36" s="17" t="n"/>
      <c r="I36" s="17" t="n"/>
    </row>
    <row r="37" ht="22" customHeight="1">
      <c r="B37" s="19">
        <f>IF(C37="","PRE-"&amp;TEXT(COUNTA($C$5:C37),"000"))</f>
        <v/>
      </c>
      <c r="C37" s="15" t="n"/>
      <c r="D37" s="16" t="n"/>
      <c r="E37" s="16" t="n"/>
      <c r="F37" s="16" t="n"/>
      <c r="G37" s="16" t="n"/>
      <c r="H37" s="15" t="n"/>
      <c r="I37" s="15" t="n"/>
    </row>
    <row r="38" ht="22" customHeight="1">
      <c r="B38" s="20">
        <f>IF(C38="","PRE-"&amp;TEXT(COUNTA($C$5:C38),"000"))</f>
        <v/>
      </c>
      <c r="C38" s="17" t="n"/>
      <c r="D38" s="18" t="n"/>
      <c r="E38" s="18" t="n"/>
      <c r="F38" s="18" t="n"/>
      <c r="G38" s="18" t="n"/>
      <c r="H38" s="17" t="n"/>
      <c r="I38" s="17" t="n"/>
    </row>
    <row r="39" ht="22" customHeight="1">
      <c r="B39" s="19">
        <f>IF(C39="","PRE-"&amp;TEXT(COUNTA($C$5:C39),"000"))</f>
        <v/>
      </c>
      <c r="C39" s="15" t="n"/>
      <c r="D39" s="16" t="n"/>
      <c r="E39" s="16" t="n"/>
      <c r="F39" s="16" t="n"/>
      <c r="G39" s="16" t="n"/>
      <c r="H39" s="15" t="n"/>
      <c r="I39" s="15" t="n"/>
    </row>
    <row r="40" ht="22" customHeight="1">
      <c r="B40" s="20">
        <f>IF(C40="","PRE-"&amp;TEXT(COUNTA($C$5:C40),"000"))</f>
        <v/>
      </c>
      <c r="C40" s="17" t="n"/>
      <c r="D40" s="18" t="n"/>
      <c r="E40" s="18" t="n"/>
      <c r="F40" s="18" t="n"/>
      <c r="G40" s="18" t="n"/>
      <c r="H40" s="17" t="n"/>
      <c r="I40" s="17" t="n"/>
    </row>
    <row r="41" ht="22" customHeight="1">
      <c r="B41" s="19">
        <f>IF(C41="","PRE-"&amp;TEXT(COUNTA($C$5:C41),"000"))</f>
        <v/>
      </c>
      <c r="C41" s="15" t="n"/>
      <c r="D41" s="16" t="n"/>
      <c r="E41" s="16" t="n"/>
      <c r="F41" s="16" t="n"/>
      <c r="G41" s="16" t="n"/>
      <c r="H41" s="15" t="n"/>
      <c r="I41" s="15" t="n"/>
    </row>
    <row r="42" ht="22" customHeight="1">
      <c r="B42" s="20">
        <f>IF(C42="","PRE-"&amp;TEXT(COUNTA($C$5:C42),"000"))</f>
        <v/>
      </c>
      <c r="C42" s="17" t="n"/>
      <c r="D42" s="18" t="n"/>
      <c r="E42" s="18" t="n"/>
      <c r="F42" s="18" t="n"/>
      <c r="G42" s="18" t="n"/>
      <c r="H42" s="17" t="n"/>
      <c r="I42" s="17" t="n"/>
    </row>
    <row r="43" ht="22" customHeight="1">
      <c r="B43" s="19">
        <f>IF(C43="","PRE-"&amp;TEXT(COUNTA($C$5:C43),"000"))</f>
        <v/>
      </c>
      <c r="C43" s="15" t="n"/>
      <c r="D43" s="16" t="n"/>
      <c r="E43" s="16" t="n"/>
      <c r="F43" s="16" t="n"/>
      <c r="G43" s="16" t="n"/>
      <c r="H43" s="15" t="n"/>
      <c r="I43" s="15" t="n"/>
    </row>
    <row r="44" ht="22" customHeight="1">
      <c r="B44" s="20">
        <f>IF(C44="","PRE-"&amp;TEXT(COUNTA($C$5:C44),"000"))</f>
        <v/>
      </c>
      <c r="C44" s="17" t="n"/>
      <c r="D44" s="18" t="n"/>
      <c r="E44" s="18" t="n"/>
      <c r="F44" s="18" t="n"/>
      <c r="G44" s="18" t="n"/>
      <c r="H44" s="17" t="n"/>
      <c r="I44" s="17" t="n"/>
    </row>
    <row r="45" ht="22" customHeight="1">
      <c r="B45" s="19">
        <f>IF(C45="","PRE-"&amp;TEXT(COUNTA($C$5:C45),"000"))</f>
        <v/>
      </c>
      <c r="C45" s="15" t="n"/>
      <c r="D45" s="16" t="n"/>
      <c r="E45" s="16" t="n"/>
      <c r="F45" s="16" t="n"/>
      <c r="G45" s="16" t="n"/>
      <c r="H45" s="15" t="n"/>
      <c r="I45" s="15" t="n"/>
    </row>
    <row r="46" ht="22" customHeight="1">
      <c r="B46" s="20">
        <f>IF(C46="","PRE-"&amp;TEXT(COUNTA($C$5:C46),"000"))</f>
        <v/>
      </c>
      <c r="C46" s="17" t="n"/>
      <c r="D46" s="18" t="n"/>
      <c r="E46" s="18" t="n"/>
      <c r="F46" s="18" t="n"/>
      <c r="G46" s="18" t="n"/>
      <c r="H46" s="17" t="n"/>
      <c r="I46" s="17" t="n"/>
    </row>
    <row r="47" ht="22" customHeight="1">
      <c r="B47" s="19">
        <f>IF(C47="","PRE-"&amp;TEXT(COUNTA($C$5:C47),"000"))</f>
        <v/>
      </c>
      <c r="C47" s="15" t="n"/>
      <c r="D47" s="16" t="n"/>
      <c r="E47" s="16" t="n"/>
      <c r="F47" s="16" t="n"/>
      <c r="G47" s="16" t="n"/>
      <c r="H47" s="15" t="n"/>
      <c r="I47" s="15" t="n"/>
    </row>
    <row r="48" ht="22" customHeight="1">
      <c r="B48" s="20">
        <f>IF(C48="","PRE-"&amp;TEXT(COUNTA($C$5:C48),"000"))</f>
        <v/>
      </c>
      <c r="C48" s="17" t="n"/>
      <c r="D48" s="18" t="n"/>
      <c r="E48" s="18" t="n"/>
      <c r="F48" s="18" t="n"/>
      <c r="G48" s="18" t="n"/>
      <c r="H48" s="17" t="n"/>
      <c r="I48" s="17" t="n"/>
    </row>
    <row r="49" ht="22" customHeight="1">
      <c r="B49" s="19">
        <f>IF(C49="","PRE-"&amp;TEXT(COUNTA($C$5:C49),"000"))</f>
        <v/>
      </c>
      <c r="C49" s="15" t="n"/>
      <c r="D49" s="16" t="n"/>
      <c r="E49" s="16" t="n"/>
      <c r="F49" s="16" t="n"/>
      <c r="G49" s="16" t="n"/>
      <c r="H49" s="15" t="n"/>
      <c r="I49" s="15" t="n"/>
    </row>
    <row r="50" ht="22" customHeight="1">
      <c r="B50" s="20">
        <f>IF(C50="","PRE-"&amp;TEXT(COUNTA($C$5:C50),"000"))</f>
        <v/>
      </c>
      <c r="C50" s="17" t="n"/>
      <c r="D50" s="18" t="n"/>
      <c r="E50" s="18" t="n"/>
      <c r="F50" s="18" t="n"/>
      <c r="G50" s="18" t="n"/>
      <c r="H50" s="17" t="n"/>
      <c r="I50" s="17" t="n"/>
    </row>
    <row r="51" ht="22" customHeight="1">
      <c r="B51" s="19">
        <f>IF(C51="","PRE-"&amp;TEXT(COUNTA($C$5:C51),"000"))</f>
        <v/>
      </c>
      <c r="C51" s="15" t="n"/>
      <c r="D51" s="16" t="n"/>
      <c r="E51" s="16" t="n"/>
      <c r="F51" s="16" t="n"/>
      <c r="G51" s="16" t="n"/>
      <c r="H51" s="15" t="n"/>
      <c r="I51" s="15" t="n"/>
    </row>
    <row r="52" ht="22" customHeight="1">
      <c r="B52" s="20">
        <f>IF(C52="","PRE-"&amp;TEXT(COUNTA($C$5:C52),"000"))</f>
        <v/>
      </c>
      <c r="C52" s="17" t="n"/>
      <c r="D52" s="18" t="n"/>
      <c r="E52" s="18" t="n"/>
      <c r="F52" s="18" t="n"/>
      <c r="G52" s="18" t="n"/>
      <c r="H52" s="17" t="n"/>
      <c r="I52" s="17" t="n"/>
    </row>
    <row r="53" ht="22" customHeight="1">
      <c r="B53" s="19">
        <f>IF(C53="","PRE-"&amp;TEXT(COUNTA($C$5:C53),"000"))</f>
        <v/>
      </c>
      <c r="C53" s="15" t="n"/>
      <c r="D53" s="16" t="n"/>
      <c r="E53" s="16" t="n"/>
      <c r="F53" s="16" t="n"/>
      <c r="G53" s="16" t="n"/>
      <c r="H53" s="15" t="n"/>
      <c r="I53" s="15" t="n"/>
    </row>
    <row r="54" ht="22" customHeight="1">
      <c r="B54" s="20">
        <f>IF(C54="","PRE-"&amp;TEXT(COUNTA($C$5:C54),"000"))</f>
        <v/>
      </c>
      <c r="C54" s="17" t="n"/>
      <c r="D54" s="18" t="n"/>
      <c r="E54" s="18" t="n"/>
      <c r="F54" s="18" t="n"/>
      <c r="G54" s="18" t="n"/>
      <c r="H54" s="17" t="n"/>
      <c r="I54" s="17" t="n"/>
    </row>
    <row r="55" ht="22" customHeight="1">
      <c r="B55" s="19">
        <f>IF(C55="","PRE-"&amp;TEXT(COUNTA($C$5:C55),"000"))</f>
        <v/>
      </c>
      <c r="C55" s="15" t="n"/>
      <c r="D55" s="16" t="n"/>
      <c r="E55" s="16" t="n"/>
      <c r="F55" s="16" t="n"/>
      <c r="G55" s="16" t="n"/>
      <c r="H55" s="15" t="n"/>
      <c r="I55" s="15" t="n"/>
    </row>
    <row r="56" ht="22" customHeight="1">
      <c r="B56" s="20">
        <f>IF(C56="","PRE-"&amp;TEXT(COUNTA($C$5:C56),"000"))</f>
        <v/>
      </c>
      <c r="C56" s="17" t="n"/>
      <c r="D56" s="18" t="n"/>
      <c r="E56" s="18" t="n"/>
      <c r="F56" s="18" t="n"/>
      <c r="G56" s="18" t="n"/>
      <c r="H56" s="17" t="n"/>
      <c r="I56" s="17" t="n"/>
    </row>
    <row r="57" ht="22" customHeight="1">
      <c r="B57" s="19">
        <f>IF(C57="","PRE-"&amp;TEXT(COUNTA($C$5:C57),"000"))</f>
        <v/>
      </c>
      <c r="C57" s="15" t="n"/>
      <c r="D57" s="16" t="n"/>
      <c r="E57" s="16" t="n"/>
      <c r="F57" s="16" t="n"/>
      <c r="G57" s="16" t="n"/>
      <c r="H57" s="15" t="n"/>
      <c r="I57" s="15" t="n"/>
    </row>
    <row r="58" ht="22" customHeight="1">
      <c r="B58" s="20">
        <f>IF(C58="","PRE-"&amp;TEXT(COUNTA($C$5:C58),"000"))</f>
        <v/>
      </c>
      <c r="C58" s="17" t="n"/>
      <c r="D58" s="18" t="n"/>
      <c r="E58" s="18" t="n"/>
      <c r="F58" s="18" t="n"/>
      <c r="G58" s="18" t="n"/>
      <c r="H58" s="17" t="n"/>
      <c r="I58" s="17" t="n"/>
    </row>
    <row r="59" ht="22" customHeight="1">
      <c r="B59" s="19">
        <f>IF(C59="","PRE-"&amp;TEXT(COUNTA($C$5:C59),"000"))</f>
        <v/>
      </c>
      <c r="C59" s="15" t="n"/>
      <c r="D59" s="16" t="n"/>
      <c r="E59" s="16" t="n"/>
      <c r="F59" s="16" t="n"/>
      <c r="G59" s="16" t="n"/>
      <c r="H59" s="15" t="n"/>
      <c r="I59" s="15" t="n"/>
    </row>
    <row r="60" ht="22" customHeight="1">
      <c r="B60" s="20">
        <f>IF(C60="","PRE-"&amp;TEXT(COUNTA($C$5:C60),"000"))</f>
        <v/>
      </c>
      <c r="C60" s="17" t="n"/>
      <c r="D60" s="18" t="n"/>
      <c r="E60" s="18" t="n"/>
      <c r="F60" s="18" t="n"/>
      <c r="G60" s="18" t="n"/>
      <c r="H60" s="17" t="n"/>
      <c r="I60" s="17" t="n"/>
    </row>
    <row r="61" ht="22" customHeight="1">
      <c r="B61" s="19">
        <f>IF(C61="","PRE-"&amp;TEXT(COUNTA($C$5:C61),"000"))</f>
        <v/>
      </c>
      <c r="C61" s="15" t="n"/>
      <c r="D61" s="16" t="n"/>
      <c r="E61" s="16" t="n"/>
      <c r="F61" s="16" t="n"/>
      <c r="G61" s="16" t="n"/>
      <c r="H61" s="15" t="n"/>
      <c r="I61" s="15" t="n"/>
    </row>
    <row r="62" ht="22" customHeight="1">
      <c r="B62" s="20">
        <f>IF(C62="","PRE-"&amp;TEXT(COUNTA($C$5:C62),"000"))</f>
        <v/>
      </c>
      <c r="C62" s="17" t="n"/>
      <c r="D62" s="18" t="n"/>
      <c r="E62" s="18" t="n"/>
      <c r="F62" s="18" t="n"/>
      <c r="G62" s="18" t="n"/>
      <c r="H62" s="17" t="n"/>
      <c r="I62" s="17" t="n"/>
    </row>
    <row r="63" ht="22" customHeight="1">
      <c r="B63" s="19">
        <f>IF(C63="","PRE-"&amp;TEXT(COUNTA($C$5:C63),"000"))</f>
        <v/>
      </c>
      <c r="C63" s="15" t="n"/>
      <c r="D63" s="16" t="n"/>
      <c r="E63" s="16" t="n"/>
      <c r="F63" s="16" t="n"/>
      <c r="G63" s="16" t="n"/>
      <c r="H63" s="15" t="n"/>
      <c r="I63" s="15" t="n"/>
    </row>
    <row r="64" ht="22" customHeight="1">
      <c r="B64" s="20">
        <f>IF(C64="","PRE-"&amp;TEXT(COUNTA($C$5:C64),"000"))</f>
        <v/>
      </c>
      <c r="C64" s="17" t="n"/>
      <c r="D64" s="18" t="n"/>
      <c r="E64" s="18" t="n"/>
      <c r="F64" s="18" t="n"/>
      <c r="G64" s="18" t="n"/>
      <c r="H64" s="17" t="n"/>
      <c r="I64" s="17" t="n"/>
    </row>
    <row r="65" ht="22" customHeight="1">
      <c r="B65" s="19">
        <f>IF(C65="","PRE-"&amp;TEXT(COUNTA($C$5:C65),"000"))</f>
        <v/>
      </c>
      <c r="C65" s="15" t="n"/>
      <c r="D65" s="16" t="n"/>
      <c r="E65" s="16" t="n"/>
      <c r="F65" s="16" t="n"/>
      <c r="G65" s="16" t="n"/>
      <c r="H65" s="15" t="n"/>
      <c r="I65" s="15" t="n"/>
    </row>
    <row r="66" ht="22" customHeight="1">
      <c r="B66" s="20">
        <f>IF(C66="","PRE-"&amp;TEXT(COUNTA($C$5:C66),"000"))</f>
        <v/>
      </c>
      <c r="C66" s="17" t="n"/>
      <c r="D66" s="18" t="n"/>
      <c r="E66" s="18" t="n"/>
      <c r="F66" s="18" t="n"/>
      <c r="G66" s="18" t="n"/>
      <c r="H66" s="17" t="n"/>
      <c r="I66" s="17" t="n"/>
    </row>
    <row r="67" ht="22" customHeight="1">
      <c r="B67" s="19">
        <f>IF(C67="","PRE-"&amp;TEXT(COUNTA($C$5:C67),"000"))</f>
        <v/>
      </c>
      <c r="C67" s="15" t="n"/>
      <c r="D67" s="16" t="n"/>
      <c r="E67" s="16" t="n"/>
      <c r="F67" s="16" t="n"/>
      <c r="G67" s="16" t="n"/>
      <c r="H67" s="15" t="n"/>
      <c r="I67" s="15" t="n"/>
    </row>
    <row r="68" ht="22" customHeight="1">
      <c r="B68" s="20">
        <f>IF(C68="","PRE-"&amp;TEXT(COUNTA($C$5:C68),"000"))</f>
        <v/>
      </c>
      <c r="C68" s="17" t="n"/>
      <c r="D68" s="18" t="n"/>
      <c r="E68" s="18" t="n"/>
      <c r="F68" s="18" t="n"/>
      <c r="G68" s="18" t="n"/>
      <c r="H68" s="17" t="n"/>
      <c r="I68" s="17" t="n"/>
    </row>
    <row r="69" ht="22" customHeight="1">
      <c r="B69" s="19">
        <f>IF(C69="","PRE-"&amp;TEXT(COUNTA($C$5:C69),"000"))</f>
        <v/>
      </c>
      <c r="C69" s="15" t="n"/>
      <c r="D69" s="16" t="n"/>
      <c r="E69" s="16" t="n"/>
      <c r="F69" s="16" t="n"/>
      <c r="G69" s="16" t="n"/>
      <c r="H69" s="15" t="n"/>
      <c r="I69" s="15" t="n"/>
    </row>
    <row r="70" ht="22" customHeight="1">
      <c r="B70" s="20">
        <f>IF(C70="","PRE-"&amp;TEXT(COUNTA($C$5:C70),"000"))</f>
        <v/>
      </c>
      <c r="C70" s="17" t="n"/>
      <c r="D70" s="18" t="n"/>
      <c r="E70" s="18" t="n"/>
      <c r="F70" s="18" t="n"/>
      <c r="G70" s="18" t="n"/>
      <c r="H70" s="17" t="n"/>
      <c r="I70" s="17" t="n"/>
    </row>
    <row r="71" ht="22" customHeight="1">
      <c r="B71" s="19">
        <f>IF(C71="","PRE-"&amp;TEXT(COUNTA($C$5:C71),"000"))</f>
        <v/>
      </c>
      <c r="C71" s="15" t="n"/>
      <c r="D71" s="16" t="n"/>
      <c r="E71" s="16" t="n"/>
      <c r="F71" s="16" t="n"/>
      <c r="G71" s="16" t="n"/>
      <c r="H71" s="15" t="n"/>
      <c r="I71" s="15" t="n"/>
    </row>
    <row r="72" ht="22" customHeight="1">
      <c r="B72" s="20">
        <f>IF(C72="","PRE-"&amp;TEXT(COUNTA($C$5:C72),"000"))</f>
        <v/>
      </c>
      <c r="C72" s="17" t="n"/>
      <c r="D72" s="18" t="n"/>
      <c r="E72" s="18" t="n"/>
      <c r="F72" s="18" t="n"/>
      <c r="G72" s="18" t="n"/>
      <c r="H72" s="17" t="n"/>
      <c r="I72" s="17" t="n"/>
    </row>
    <row r="73" ht="22" customHeight="1">
      <c r="B73" s="19">
        <f>IF(C73="","PRE-"&amp;TEXT(COUNTA($C$5:C73),"000"))</f>
        <v/>
      </c>
      <c r="C73" s="15" t="n"/>
      <c r="D73" s="16" t="n"/>
      <c r="E73" s="16" t="n"/>
      <c r="F73" s="16" t="n"/>
      <c r="G73" s="16" t="n"/>
      <c r="H73" s="15" t="n"/>
      <c r="I73" s="15" t="n"/>
    </row>
    <row r="74" ht="22" customHeight="1">
      <c r="B74" s="20">
        <f>IF(C74="","PRE-"&amp;TEXT(COUNTA($C$5:C74),"000"))</f>
        <v/>
      </c>
      <c r="C74" s="17" t="n"/>
      <c r="D74" s="18" t="n"/>
      <c r="E74" s="18" t="n"/>
      <c r="F74" s="18" t="n"/>
      <c r="G74" s="18" t="n"/>
      <c r="H74" s="17" t="n"/>
      <c r="I74" s="17" t="n"/>
    </row>
    <row r="75" ht="22" customHeight="1">
      <c r="B75" s="19">
        <f>IF(C75="","PRE-"&amp;TEXT(COUNTA($C$5:C75),"000"))</f>
        <v/>
      </c>
      <c r="C75" s="15" t="n"/>
      <c r="D75" s="16" t="n"/>
      <c r="E75" s="16" t="n"/>
      <c r="F75" s="16" t="n"/>
      <c r="G75" s="16" t="n"/>
      <c r="H75" s="15" t="n"/>
      <c r="I75" s="15" t="n"/>
    </row>
    <row r="76" ht="22" customHeight="1">
      <c r="B76" s="20">
        <f>IF(C76="","PRE-"&amp;TEXT(COUNTA($C$5:C76),"000"))</f>
        <v/>
      </c>
      <c r="C76" s="17" t="n"/>
      <c r="D76" s="18" t="n"/>
      <c r="E76" s="18" t="n"/>
      <c r="F76" s="18" t="n"/>
      <c r="G76" s="18" t="n"/>
      <c r="H76" s="17" t="n"/>
      <c r="I76" s="17" t="n"/>
    </row>
    <row r="77" ht="22" customHeight="1">
      <c r="B77" s="19">
        <f>IF(C77="","PRE-"&amp;TEXT(COUNTA($C$5:C77),"000"))</f>
        <v/>
      </c>
      <c r="C77" s="15" t="n"/>
      <c r="D77" s="16" t="n"/>
      <c r="E77" s="16" t="n"/>
      <c r="F77" s="16" t="n"/>
      <c r="G77" s="16" t="n"/>
      <c r="H77" s="15" t="n"/>
      <c r="I77" s="15" t="n"/>
    </row>
    <row r="78" ht="22" customHeight="1">
      <c r="B78" s="20">
        <f>IF(C78="","PRE-"&amp;TEXT(COUNTA($C$5:C78),"000"))</f>
        <v/>
      </c>
      <c r="C78" s="17" t="n"/>
      <c r="D78" s="18" t="n"/>
      <c r="E78" s="18" t="n"/>
      <c r="F78" s="18" t="n"/>
      <c r="G78" s="18" t="n"/>
      <c r="H78" s="17" t="n"/>
      <c r="I78" s="17" t="n"/>
    </row>
    <row r="79" ht="22" customHeight="1">
      <c r="B79" s="19">
        <f>IF(C79="","PRE-"&amp;TEXT(COUNTA($C$5:C79),"000"))</f>
        <v/>
      </c>
      <c r="C79" s="15" t="n"/>
      <c r="D79" s="16" t="n"/>
      <c r="E79" s="16" t="n"/>
      <c r="F79" s="16" t="n"/>
      <c r="G79" s="16" t="n"/>
      <c r="H79" s="15" t="n"/>
      <c r="I79" s="15" t="n"/>
    </row>
    <row r="80" ht="22" customHeight="1">
      <c r="B80" s="20">
        <f>IF(C80="","PRE-"&amp;TEXT(COUNTA($C$5:C80),"000"))</f>
        <v/>
      </c>
      <c r="C80" s="17" t="n"/>
      <c r="D80" s="18" t="n"/>
      <c r="E80" s="18" t="n"/>
      <c r="F80" s="18" t="n"/>
      <c r="G80" s="18" t="n"/>
      <c r="H80" s="17" t="n"/>
      <c r="I80" s="17" t="n"/>
    </row>
    <row r="81" ht="22" customHeight="1">
      <c r="B81" s="19">
        <f>IF(C81="","PRE-"&amp;TEXT(COUNTA($C$5:C81),"000"))</f>
        <v/>
      </c>
      <c r="C81" s="15" t="n"/>
      <c r="D81" s="16" t="n"/>
      <c r="E81" s="16" t="n"/>
      <c r="F81" s="16" t="n"/>
      <c r="G81" s="16" t="n"/>
      <c r="H81" s="15" t="n"/>
      <c r="I81" s="15" t="n"/>
    </row>
    <row r="82" ht="22" customHeight="1">
      <c r="B82" s="20">
        <f>IF(C82="","PRE-"&amp;TEXT(COUNTA($C$5:C82),"000"))</f>
        <v/>
      </c>
      <c r="C82" s="17" t="n"/>
      <c r="D82" s="18" t="n"/>
      <c r="E82" s="18" t="n"/>
      <c r="F82" s="18" t="n"/>
      <c r="G82" s="18" t="n"/>
      <c r="H82" s="17" t="n"/>
      <c r="I82" s="17" t="n"/>
    </row>
    <row r="83" ht="22" customHeight="1">
      <c r="B83" s="19">
        <f>IF(C83="","PRE-"&amp;TEXT(COUNTA($C$5:C83),"000"))</f>
        <v/>
      </c>
      <c r="C83" s="15" t="n"/>
      <c r="D83" s="16" t="n"/>
      <c r="E83" s="16" t="n"/>
      <c r="F83" s="16" t="n"/>
      <c r="G83" s="16" t="n"/>
      <c r="H83" s="15" t="n"/>
      <c r="I83" s="15" t="n"/>
    </row>
    <row r="84" ht="22" customHeight="1">
      <c r="B84" s="20">
        <f>IF(C84="","PRE-"&amp;TEXT(COUNTA($C$5:C84),"000"))</f>
        <v/>
      </c>
      <c r="C84" s="17" t="n"/>
      <c r="D84" s="18" t="n"/>
      <c r="E84" s="18" t="n"/>
      <c r="F84" s="18" t="n"/>
      <c r="G84" s="18" t="n"/>
      <c r="H84" s="17" t="n"/>
      <c r="I84" s="17" t="n"/>
    </row>
    <row r="85" ht="22" customHeight="1">
      <c r="B85" s="19">
        <f>IF(C85="","PRE-"&amp;TEXT(COUNTA($C$5:C85),"000"))</f>
        <v/>
      </c>
      <c r="C85" s="15" t="n"/>
      <c r="D85" s="16" t="n"/>
      <c r="E85" s="16" t="n"/>
      <c r="F85" s="16" t="n"/>
      <c r="G85" s="16" t="n"/>
      <c r="H85" s="15" t="n"/>
      <c r="I85" s="15" t="n"/>
    </row>
    <row r="86" ht="22" customHeight="1">
      <c r="B86" s="20">
        <f>IF(C86="","PRE-"&amp;TEXT(COUNTA($C$5:C86),"000"))</f>
        <v/>
      </c>
      <c r="C86" s="17" t="n"/>
      <c r="D86" s="18" t="n"/>
      <c r="E86" s="18" t="n"/>
      <c r="F86" s="18" t="n"/>
      <c r="G86" s="18" t="n"/>
      <c r="H86" s="17" t="n"/>
      <c r="I86" s="17" t="n"/>
    </row>
    <row r="87" ht="22" customHeight="1">
      <c r="B87" s="19">
        <f>IF(C87="","PRE-"&amp;TEXT(COUNTA($C$5:C87),"000"))</f>
        <v/>
      </c>
      <c r="C87" s="15" t="n"/>
      <c r="D87" s="16" t="n"/>
      <c r="E87" s="16" t="n"/>
      <c r="F87" s="16" t="n"/>
      <c r="G87" s="16" t="n"/>
      <c r="H87" s="15" t="n"/>
      <c r="I87" s="15" t="n"/>
    </row>
    <row r="88" ht="22" customHeight="1">
      <c r="B88" s="20">
        <f>IF(C88="","PRE-"&amp;TEXT(COUNTA($C$5:C88),"000"))</f>
        <v/>
      </c>
      <c r="C88" s="17" t="n"/>
      <c r="D88" s="18" t="n"/>
      <c r="E88" s="18" t="n"/>
      <c r="F88" s="18" t="n"/>
      <c r="G88" s="18" t="n"/>
      <c r="H88" s="17" t="n"/>
      <c r="I88" s="17" t="n"/>
    </row>
    <row r="89" ht="22" customHeight="1">
      <c r="B89" s="19">
        <f>IF(C89="","PRE-"&amp;TEXT(COUNTA($C$5:C89),"000"))</f>
        <v/>
      </c>
      <c r="C89" s="15" t="n"/>
      <c r="D89" s="16" t="n"/>
      <c r="E89" s="16" t="n"/>
      <c r="F89" s="16" t="n"/>
      <c r="G89" s="16" t="n"/>
      <c r="H89" s="15" t="n"/>
      <c r="I89" s="15" t="n"/>
    </row>
    <row r="90" ht="22" customHeight="1">
      <c r="B90" s="20">
        <f>IF(C90="","PRE-"&amp;TEXT(COUNTA($C$5:C90),"000"))</f>
        <v/>
      </c>
      <c r="C90" s="17" t="n"/>
      <c r="D90" s="18" t="n"/>
      <c r="E90" s="18" t="n"/>
      <c r="F90" s="18" t="n"/>
      <c r="G90" s="18" t="n"/>
      <c r="H90" s="17" t="n"/>
      <c r="I90" s="17" t="n"/>
    </row>
    <row r="91" ht="22" customHeight="1">
      <c r="B91" s="19">
        <f>IF(C91="","PRE-"&amp;TEXT(COUNTA($C$5:C91),"000"))</f>
        <v/>
      </c>
      <c r="C91" s="15" t="n"/>
      <c r="D91" s="16" t="n"/>
      <c r="E91" s="16" t="n"/>
      <c r="F91" s="16" t="n"/>
      <c r="G91" s="16" t="n"/>
      <c r="H91" s="15" t="n"/>
      <c r="I91" s="15" t="n"/>
    </row>
    <row r="92" ht="22" customHeight="1">
      <c r="B92" s="20">
        <f>IF(C92="","PRE-"&amp;TEXT(COUNTA($C$5:C92),"000"))</f>
        <v/>
      </c>
      <c r="C92" s="17" t="n"/>
      <c r="D92" s="18" t="n"/>
      <c r="E92" s="18" t="n"/>
      <c r="F92" s="18" t="n"/>
      <c r="G92" s="18" t="n"/>
      <c r="H92" s="17" t="n"/>
      <c r="I92" s="17" t="n"/>
    </row>
    <row r="93" ht="22" customHeight="1">
      <c r="B93" s="19">
        <f>IF(C93="","PRE-"&amp;TEXT(COUNTA($C$5:C93),"000"))</f>
        <v/>
      </c>
      <c r="C93" s="15" t="n"/>
      <c r="D93" s="16" t="n"/>
      <c r="E93" s="16" t="n"/>
      <c r="F93" s="16" t="n"/>
      <c r="G93" s="16" t="n"/>
      <c r="H93" s="15" t="n"/>
      <c r="I93" s="15" t="n"/>
    </row>
    <row r="94" ht="22" customHeight="1">
      <c r="B94" s="20">
        <f>IF(C94="","PRE-"&amp;TEXT(COUNTA($C$5:C94),"000"))</f>
        <v/>
      </c>
      <c r="C94" s="17" t="n"/>
      <c r="D94" s="18" t="n"/>
      <c r="E94" s="18" t="n"/>
      <c r="F94" s="18" t="n"/>
      <c r="G94" s="18" t="n"/>
      <c r="H94" s="17" t="n"/>
      <c r="I94" s="17" t="n"/>
    </row>
    <row r="95" ht="22" customHeight="1">
      <c r="B95" s="19">
        <f>IF(C95="","PRE-"&amp;TEXT(COUNTA($C$5:C95),"000"))</f>
        <v/>
      </c>
      <c r="C95" s="15" t="n"/>
      <c r="D95" s="16" t="n"/>
      <c r="E95" s="16" t="n"/>
      <c r="F95" s="16" t="n"/>
      <c r="G95" s="16" t="n"/>
      <c r="H95" s="15" t="n"/>
      <c r="I95" s="15" t="n"/>
    </row>
    <row r="96" ht="22" customHeight="1">
      <c r="B96" s="20">
        <f>IF(C96="","PRE-"&amp;TEXT(COUNTA($C$5:C96),"000"))</f>
        <v/>
      </c>
      <c r="C96" s="17" t="n"/>
      <c r="D96" s="18" t="n"/>
      <c r="E96" s="18" t="n"/>
      <c r="F96" s="18" t="n"/>
      <c r="G96" s="18" t="n"/>
      <c r="H96" s="17" t="n"/>
      <c r="I96" s="17" t="n"/>
    </row>
    <row r="97" ht="22" customHeight="1">
      <c r="B97" s="19">
        <f>IF(C97="","PRE-"&amp;TEXT(COUNTA($C$5:C97),"000"))</f>
        <v/>
      </c>
      <c r="C97" s="15" t="n"/>
      <c r="D97" s="16" t="n"/>
      <c r="E97" s="16" t="n"/>
      <c r="F97" s="16" t="n"/>
      <c r="G97" s="16" t="n"/>
      <c r="H97" s="15" t="n"/>
      <c r="I97" s="15" t="n"/>
    </row>
    <row r="98" ht="22" customHeight="1">
      <c r="B98" s="20">
        <f>IF(C98="","PRE-"&amp;TEXT(COUNTA($C$5:C98),"000"))</f>
        <v/>
      </c>
      <c r="C98" s="17" t="n"/>
      <c r="D98" s="18" t="n"/>
      <c r="E98" s="18" t="n"/>
      <c r="F98" s="18" t="n"/>
      <c r="G98" s="18" t="n"/>
      <c r="H98" s="17" t="n"/>
      <c r="I98" s="17" t="n"/>
    </row>
    <row r="99" ht="22" customHeight="1">
      <c r="B99" s="19">
        <f>IF(C99="","PRE-"&amp;TEXT(COUNTA($C$5:C99),"000"))</f>
        <v/>
      </c>
      <c r="C99" s="15" t="n"/>
      <c r="D99" s="16" t="n"/>
      <c r="E99" s="16" t="n"/>
      <c r="F99" s="16" t="n"/>
      <c r="G99" s="16" t="n"/>
      <c r="H99" s="15" t="n"/>
      <c r="I99" s="15" t="n"/>
    </row>
    <row r="100" ht="22" customHeight="1">
      <c r="B100" s="20">
        <f>IF(C100="","PRE-"&amp;TEXT(COUNTA($C$5:C100),"000"))</f>
        <v/>
      </c>
      <c r="C100" s="17" t="n"/>
      <c r="D100" s="18" t="n"/>
      <c r="E100" s="18" t="n"/>
      <c r="F100" s="18" t="n"/>
      <c r="G100" s="18" t="n"/>
      <c r="H100" s="17" t="n"/>
      <c r="I100" s="17" t="n"/>
    </row>
    <row r="101" ht="22" customHeight="1">
      <c r="B101" s="19">
        <f>IF(C101="","PRE-"&amp;TEXT(COUNTA($C$5:C101),"000"))</f>
        <v/>
      </c>
      <c r="C101" s="15" t="n"/>
      <c r="D101" s="16" t="n"/>
      <c r="E101" s="16" t="n"/>
      <c r="F101" s="16" t="n"/>
      <c r="G101" s="16" t="n"/>
      <c r="H101" s="15" t="n"/>
      <c r="I101" s="15" t="n"/>
    </row>
    <row r="102" ht="22" customHeight="1">
      <c r="B102" s="20">
        <f>IF(C102="","PRE-"&amp;TEXT(COUNTA($C$5:C102),"000"))</f>
        <v/>
      </c>
      <c r="C102" s="17" t="n"/>
      <c r="D102" s="18" t="n"/>
      <c r="E102" s="18" t="n"/>
      <c r="F102" s="18" t="n"/>
      <c r="G102" s="18" t="n"/>
      <c r="H102" s="17" t="n"/>
      <c r="I102" s="17" t="n"/>
    </row>
    <row r="103" ht="22" customHeight="1">
      <c r="B103" s="19">
        <f>IF(C103="","PRE-"&amp;TEXT(COUNTA($C$5:C103),"000"))</f>
        <v/>
      </c>
      <c r="C103" s="15" t="n"/>
      <c r="D103" s="16" t="n"/>
      <c r="E103" s="16" t="n"/>
      <c r="F103" s="16" t="n"/>
      <c r="G103" s="16" t="n"/>
      <c r="H103" s="15" t="n"/>
      <c r="I103" s="15" t="n"/>
    </row>
    <row r="104" ht="22" customHeight="1">
      <c r="B104" s="20">
        <f>IF(C104="","PRE-"&amp;TEXT(COUNTA($C$5:C104),"000"))</f>
        <v/>
      </c>
      <c r="C104" s="17" t="n"/>
      <c r="D104" s="18" t="n"/>
      <c r="E104" s="18" t="n"/>
      <c r="F104" s="18" t="n"/>
      <c r="G104" s="18" t="n"/>
      <c r="H104" s="17" t="n"/>
      <c r="I104" s="17" t="n"/>
    </row>
    <row r="105" ht="22" customHeight="1">
      <c r="B105" s="19">
        <f>IF(C105="","PRE-"&amp;TEXT(COUNTA($C$5:C105),"000"))</f>
        <v/>
      </c>
      <c r="C105" s="15" t="n"/>
      <c r="D105" s="16" t="n"/>
      <c r="E105" s="16" t="n"/>
      <c r="F105" s="16" t="n"/>
      <c r="G105" s="16" t="n"/>
      <c r="H105" s="15" t="n"/>
      <c r="I105" s="15" t="n"/>
    </row>
    <row r="106" ht="22" customHeight="1">
      <c r="B106" s="20">
        <f>IF(C106="","PRE-"&amp;TEXT(COUNTA($C$5:C106),"000"))</f>
        <v/>
      </c>
      <c r="C106" s="17" t="n"/>
      <c r="D106" s="18" t="n"/>
      <c r="E106" s="18" t="n"/>
      <c r="F106" s="18" t="n"/>
      <c r="G106" s="18" t="n"/>
      <c r="H106" s="17" t="n"/>
      <c r="I106" s="17" t="n"/>
    </row>
    <row r="107" ht="22" customHeight="1">
      <c r="B107" s="19">
        <f>IF(C107="","PRE-"&amp;TEXT(COUNTA($C$5:C107),"000"))</f>
        <v/>
      </c>
      <c r="C107" s="15" t="n"/>
      <c r="D107" s="16" t="n"/>
      <c r="E107" s="16" t="n"/>
      <c r="F107" s="16" t="n"/>
      <c r="G107" s="16" t="n"/>
      <c r="H107" s="15" t="n"/>
      <c r="I107" s="15" t="n"/>
    </row>
    <row r="108" ht="22" customHeight="1">
      <c r="B108" s="20">
        <f>IF(C108="","PRE-"&amp;TEXT(COUNTA($C$5:C108),"000"))</f>
        <v/>
      </c>
      <c r="C108" s="17" t="n"/>
      <c r="D108" s="18" t="n"/>
      <c r="E108" s="18" t="n"/>
      <c r="F108" s="18" t="n"/>
      <c r="G108" s="18" t="n"/>
      <c r="H108" s="17" t="n"/>
      <c r="I108" s="17" t="n"/>
    </row>
    <row r="109" ht="22" customHeight="1">
      <c r="B109" s="19">
        <f>IF(C109="","PRE-"&amp;TEXT(COUNTA($C$5:C109),"000"))</f>
        <v/>
      </c>
      <c r="C109" s="15" t="n"/>
      <c r="D109" s="16" t="n"/>
      <c r="E109" s="16" t="n"/>
      <c r="F109" s="16" t="n"/>
      <c r="G109" s="16" t="n"/>
      <c r="H109" s="15" t="n"/>
      <c r="I109" s="15" t="n"/>
    </row>
    <row r="111">
      <c r="B111" s="8" t="inlineStr">
        <is>
          <t>INDICATEURS (mis a jour automatiquement)</t>
        </is>
      </c>
    </row>
    <row r="112">
      <c r="B112" s="3" t="inlineStr">
        <is>
          <t>Indicateurs previsionnels</t>
        </is>
      </c>
    </row>
    <row r="113">
      <c r="B113" s="4">
        <f>COUNTIF(B5:B104,"&lt;&gt;")</f>
        <v/>
      </c>
    </row>
  </sheetData>
  <mergeCells count="3">
    <mergeCell ref="B3:I3"/>
    <mergeCell ref="B2:I2"/>
    <mergeCell ref="B111:I111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dataValidations count="1">
    <dataValidation sqref="H5:H113" showDropDown="0" showInputMessage="0" showErrorMessage="0" allowBlank="1" errorTitle="Valeur invalide" error="Veuillez choisir dans la liste: tendance" promptTitle="tendance" prompt="Choisir: tendance" type="list">
      <formula1>'_Lists'!$P$2:$P$50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0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22" customWidth="1" min="10" max="10"/>
    <col width="14" customWidth="1" min="11" max="11"/>
  </cols>
  <sheetData>
    <row r="1" ht="15" customHeight="1"/>
    <row r="2" ht="32" customHeight="1">
      <c r="B2" s="1" t="inlineStr">
        <is>
          <t>BENCHMARKING RH (#147)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Indicateur</t>
        </is>
      </c>
      <c r="D4" s="14" t="inlineStr">
        <is>
          <t>Unite</t>
        </is>
      </c>
      <c r="E4" s="14" t="inlineStr">
        <is>
          <t>Notre Hotel</t>
        </is>
      </c>
      <c r="F4" s="14" t="inlineStr">
        <is>
          <t>Concurent A</t>
        </is>
      </c>
      <c r="G4" s="14" t="inlineStr">
        <is>
          <t>Concurent B</t>
        </is>
      </c>
      <c r="H4" s="14" t="inlineStr">
        <is>
          <t>Moyenne Secteur</t>
        </is>
      </c>
      <c r="I4" s="14" t="inlineStr">
        <is>
          <t>Positionnement</t>
        </is>
      </c>
      <c r="J4" s="14" t="inlineStr">
        <is>
          <t>Ecart vs Moy. Secteur</t>
        </is>
      </c>
      <c r="K4" s="14" t="inlineStr">
        <is>
          <t>Statut</t>
        </is>
      </c>
    </row>
    <row r="5" ht="22" customHeight="1">
      <c r="B5" s="15" t="inlineStr">
        <is>
          <t>BNK-001</t>
        </is>
      </c>
      <c r="C5" s="15" t="inlineStr">
        <is>
          <t>Taux turnover</t>
        </is>
      </c>
      <c r="D5" s="15" t="inlineStr">
        <is>
          <t>%</t>
        </is>
      </c>
      <c r="E5" s="15" t="n">
        <v>18</v>
      </c>
      <c r="F5" s="15" t="n">
        <v>22</v>
      </c>
      <c r="G5" s="15" t="n">
        <v>15</v>
      </c>
      <c r="H5" s="15" t="n">
        <v>20</v>
      </c>
      <c r="I5" s="15" t="n"/>
      <c r="J5" s="30" t="n"/>
      <c r="K5" s="15" t="inlineStr">
        <is>
          <t>En cours</t>
        </is>
      </c>
    </row>
    <row r="6" ht="22" customHeight="1">
      <c r="B6" s="17" t="inlineStr">
        <is>
          <t>BNK-002</t>
        </is>
      </c>
      <c r="C6" s="17" t="inlineStr">
        <is>
          <t>Ratio MS/CA</t>
        </is>
      </c>
      <c r="D6" s="17" t="inlineStr">
        <is>
          <t>%</t>
        </is>
      </c>
      <c r="E6" s="17" t="n">
        <v>32</v>
      </c>
      <c r="F6" s="17" t="n">
        <v>35</v>
      </c>
      <c r="G6" s="17" t="n">
        <v>30</v>
      </c>
      <c r="H6" s="17" t="n">
        <v>33</v>
      </c>
      <c r="I6" s="17" t="n"/>
      <c r="J6" s="31" t="n"/>
      <c r="K6" s="17" t="inlineStr">
        <is>
          <t>En cours</t>
        </is>
      </c>
    </row>
    <row r="7" ht="22" customHeight="1">
      <c r="B7" s="15" t="inlineStr">
        <is>
          <t>BNK-003</t>
        </is>
      </c>
      <c r="C7" s="15" t="inlineStr">
        <is>
          <t>Delai recrutement</t>
        </is>
      </c>
      <c r="D7" s="15" t="inlineStr">
        <is>
          <t>jours</t>
        </is>
      </c>
      <c r="E7" s="15" t="n">
        <v>28</v>
      </c>
      <c r="F7" s="15" t="n">
        <v>35</v>
      </c>
      <c r="G7" s="15" t="n">
        <v>22</v>
      </c>
      <c r="H7" s="15" t="n">
        <v>30</v>
      </c>
      <c r="I7" s="15" t="n"/>
      <c r="J7" s="30" t="n"/>
      <c r="K7" s="15" t="inlineStr">
        <is>
          <t>En cours</t>
        </is>
      </c>
    </row>
    <row r="8" ht="22" customHeight="1">
      <c r="B8" s="17" t="inlineStr">
        <is>
          <t>BNK-004</t>
        </is>
      </c>
      <c r="C8" s="17" t="inlineStr">
        <is>
          <t>Heures form./employe/an</t>
        </is>
      </c>
      <c r="D8" s="17" t="inlineStr">
        <is>
          <t>heures</t>
        </is>
      </c>
      <c r="E8" s="17" t="n">
        <v>5.2</v>
      </c>
      <c r="F8" s="17" t="n">
        <v>4</v>
      </c>
      <c r="G8" s="17" t="n">
        <v>6.5</v>
      </c>
      <c r="H8" s="17" t="n">
        <v>5</v>
      </c>
      <c r="I8" s="17" t="n"/>
      <c r="J8" s="31" t="n"/>
      <c r="K8" s="17" t="inlineStr">
        <is>
          <t>En cours</t>
        </is>
      </c>
    </row>
    <row r="9" ht="22" customHeight="1">
      <c r="B9" s="15" t="inlineStr">
        <is>
          <t>BNK-005</t>
        </is>
      </c>
      <c r="C9" s="15" t="inlineStr">
        <is>
          <t>Taux absentéisme</t>
        </is>
      </c>
      <c r="D9" s="15" t="inlineStr">
        <is>
          <t>%</t>
        </is>
      </c>
      <c r="E9" s="15" t="n">
        <v>4.2</v>
      </c>
      <c r="F9" s="15" t="n">
        <v>5.1</v>
      </c>
      <c r="G9" s="15" t="n">
        <v>3.8</v>
      </c>
      <c r="H9" s="15" t="n">
        <v>4.5</v>
      </c>
      <c r="I9" s="15" t="n"/>
      <c r="J9" s="30" t="n"/>
      <c r="K9" s="15" t="inlineStr">
        <is>
          <t>En cours</t>
        </is>
      </c>
    </row>
    <row r="10" ht="22" customHeight="1">
      <c r="B10" s="20">
        <f>IF(C10="","BNK-"&amp;TEXT(COUNTA($C$5:C10),"000"))</f>
        <v/>
      </c>
      <c r="C10" s="17" t="n"/>
      <c r="D10" s="17" t="n"/>
      <c r="E10" s="17" t="n"/>
      <c r="F10" s="17" t="n"/>
      <c r="G10" s="17" t="n"/>
      <c r="H10" s="17" t="n"/>
      <c r="I10" s="17" t="n"/>
      <c r="J10" s="31">
        <f>IF(OR(I10="",I10=0),"",G10-I10)</f>
        <v/>
      </c>
      <c r="K10" s="17" t="n"/>
    </row>
    <row r="11" ht="22" customHeight="1">
      <c r="B11" s="19">
        <f>IF(C11="","BNK-"&amp;TEXT(COUNTA($C$5:C11),"000"))</f>
        <v/>
      </c>
      <c r="C11" s="15" t="n"/>
      <c r="D11" s="15" t="n"/>
      <c r="E11" s="15" t="n"/>
      <c r="F11" s="15" t="n"/>
      <c r="G11" s="15" t="n"/>
      <c r="H11" s="15" t="n"/>
      <c r="I11" s="15" t="n"/>
      <c r="J11" s="30">
        <f>IF(OR(I11="",I11=0),"",G11-I11)</f>
        <v/>
      </c>
      <c r="K11" s="15" t="n"/>
    </row>
    <row r="12" ht="22" customHeight="1">
      <c r="B12" s="20">
        <f>IF(C12="","BNK-"&amp;TEXT(COUNTA($C$5:C12),"000"))</f>
        <v/>
      </c>
      <c r="C12" s="17" t="n"/>
      <c r="D12" s="17" t="n"/>
      <c r="E12" s="17" t="n"/>
      <c r="F12" s="17" t="n"/>
      <c r="G12" s="17" t="n"/>
      <c r="H12" s="17" t="n"/>
      <c r="I12" s="17" t="n"/>
      <c r="J12" s="31">
        <f>IF(OR(I12="",I12=0),"",G12-I12)</f>
        <v/>
      </c>
      <c r="K12" s="17" t="n"/>
    </row>
    <row r="13" ht="22" customHeight="1">
      <c r="B13" s="19">
        <f>IF(C13="","BNK-"&amp;TEXT(COUNTA($C$5:C13),"000"))</f>
        <v/>
      </c>
      <c r="C13" s="15" t="n"/>
      <c r="D13" s="15" t="n"/>
      <c r="E13" s="15" t="n"/>
      <c r="F13" s="15" t="n"/>
      <c r="G13" s="15" t="n"/>
      <c r="H13" s="15" t="n"/>
      <c r="I13" s="15" t="n"/>
      <c r="J13" s="30">
        <f>IF(OR(I13="",I13=0),"",G13-I13)</f>
        <v/>
      </c>
      <c r="K13" s="15" t="n"/>
    </row>
    <row r="14" ht="22" customHeight="1">
      <c r="B14" s="20">
        <f>IF(C14="","BNK-"&amp;TEXT(COUNTA($C$5:C14),"000"))</f>
        <v/>
      </c>
      <c r="C14" s="17" t="n"/>
      <c r="D14" s="17" t="n"/>
      <c r="E14" s="17" t="n"/>
      <c r="F14" s="17" t="n"/>
      <c r="G14" s="17" t="n"/>
      <c r="H14" s="17" t="n"/>
      <c r="I14" s="17" t="n"/>
      <c r="J14" s="31">
        <f>IF(OR(I14="",I14=0),"",G14-I14)</f>
        <v/>
      </c>
      <c r="K14" s="17" t="n"/>
    </row>
    <row r="15" ht="22" customHeight="1">
      <c r="B15" s="19">
        <f>IF(C15="","BNK-"&amp;TEXT(COUNTA($C$5:C15),"000"))</f>
        <v/>
      </c>
      <c r="C15" s="15" t="n"/>
      <c r="D15" s="15" t="n"/>
      <c r="E15" s="15" t="n"/>
      <c r="F15" s="15" t="n"/>
      <c r="G15" s="15" t="n"/>
      <c r="H15" s="15" t="n"/>
      <c r="I15" s="15" t="n"/>
      <c r="J15" s="30">
        <f>IF(OR(I15="",I15=0),"",G15-I15)</f>
        <v/>
      </c>
      <c r="K15" s="15" t="n"/>
    </row>
    <row r="16" ht="22" customHeight="1">
      <c r="B16" s="20">
        <f>IF(C16="","BNK-"&amp;TEXT(COUNTA($C$5:C16),"000"))</f>
        <v/>
      </c>
      <c r="C16" s="17" t="n"/>
      <c r="D16" s="17" t="n"/>
      <c r="E16" s="17" t="n"/>
      <c r="F16" s="17" t="n"/>
      <c r="G16" s="17" t="n"/>
      <c r="H16" s="17" t="n"/>
      <c r="I16" s="17" t="n"/>
      <c r="J16" s="31">
        <f>IF(OR(I16="",I16=0),"",G16-I16)</f>
        <v/>
      </c>
      <c r="K16" s="17" t="n"/>
    </row>
    <row r="17" ht="22" customHeight="1">
      <c r="B17" s="19">
        <f>IF(C17="","BNK-"&amp;TEXT(COUNTA($C$5:C17),"000"))</f>
        <v/>
      </c>
      <c r="C17" s="15" t="n"/>
      <c r="D17" s="15" t="n"/>
      <c r="E17" s="15" t="n"/>
      <c r="F17" s="15" t="n"/>
      <c r="G17" s="15" t="n"/>
      <c r="H17" s="15" t="n"/>
      <c r="I17" s="15" t="n"/>
      <c r="J17" s="30">
        <f>IF(OR(I17="",I17=0),"",G17-I17)</f>
        <v/>
      </c>
      <c r="K17" s="15" t="n"/>
    </row>
    <row r="18" ht="22" customHeight="1">
      <c r="B18" s="20">
        <f>IF(C18="","BNK-"&amp;TEXT(COUNTA($C$5:C18),"000"))</f>
        <v/>
      </c>
      <c r="C18" s="17" t="n"/>
      <c r="D18" s="17" t="n"/>
      <c r="E18" s="17" t="n"/>
      <c r="F18" s="17" t="n"/>
      <c r="G18" s="17" t="n"/>
      <c r="H18" s="17" t="n"/>
      <c r="I18" s="17" t="n"/>
      <c r="J18" s="31">
        <f>IF(OR(I18="",I18=0),"",G18-I18)</f>
        <v/>
      </c>
      <c r="K18" s="17" t="n"/>
    </row>
    <row r="19" ht="22" customHeight="1">
      <c r="B19" s="19">
        <f>IF(C19="","BNK-"&amp;TEXT(COUNTA($C$5:C19),"000"))</f>
        <v/>
      </c>
      <c r="C19" s="15" t="n"/>
      <c r="D19" s="15" t="n"/>
      <c r="E19" s="15" t="n"/>
      <c r="F19" s="15" t="n"/>
      <c r="G19" s="15" t="n"/>
      <c r="H19" s="15" t="n"/>
      <c r="I19" s="15" t="n"/>
      <c r="J19" s="30">
        <f>IF(OR(I19="",I19=0),"",G19-I19)</f>
        <v/>
      </c>
      <c r="K19" s="15" t="n"/>
    </row>
    <row r="20" ht="22" customHeight="1">
      <c r="B20" s="20">
        <f>IF(C20="","BNK-"&amp;TEXT(COUNTA($C$5:C20),"000"))</f>
        <v/>
      </c>
      <c r="C20" s="17" t="n"/>
      <c r="D20" s="17" t="n"/>
      <c r="E20" s="17" t="n"/>
      <c r="F20" s="17" t="n"/>
      <c r="G20" s="17" t="n"/>
      <c r="H20" s="17" t="n"/>
      <c r="I20" s="17" t="n"/>
      <c r="J20" s="31">
        <f>IF(OR(I20="",I20=0),"",G20-I20)</f>
        <v/>
      </c>
      <c r="K20" s="17" t="n"/>
    </row>
    <row r="21" ht="22" customHeight="1">
      <c r="B21" s="19">
        <f>IF(C21="","BNK-"&amp;TEXT(COUNTA($C$5:C21),"000"))</f>
        <v/>
      </c>
      <c r="C21" s="15" t="n"/>
      <c r="D21" s="15" t="n"/>
      <c r="E21" s="15" t="n"/>
      <c r="F21" s="15" t="n"/>
      <c r="G21" s="15" t="n"/>
      <c r="H21" s="15" t="n"/>
      <c r="I21" s="15" t="n"/>
      <c r="J21" s="30">
        <f>IF(OR(I21="",I21=0),"",G21-I21)</f>
        <v/>
      </c>
      <c r="K21" s="15" t="n"/>
    </row>
    <row r="22" ht="22" customHeight="1">
      <c r="B22" s="20">
        <f>IF(C22="","BNK-"&amp;TEXT(COUNTA($C$5:C22),"000"))</f>
        <v/>
      </c>
      <c r="C22" s="17" t="n"/>
      <c r="D22" s="17" t="n"/>
      <c r="E22" s="17" t="n"/>
      <c r="F22" s="17" t="n"/>
      <c r="G22" s="17" t="n"/>
      <c r="H22" s="17" t="n"/>
      <c r="I22" s="17" t="n"/>
      <c r="J22" s="31">
        <f>IF(OR(I22="",I22=0),"",G22-I22)</f>
        <v/>
      </c>
      <c r="K22" s="17" t="n"/>
    </row>
    <row r="23" ht="22" customHeight="1">
      <c r="B23" s="19">
        <f>IF(C23="","BNK-"&amp;TEXT(COUNTA($C$5:C23),"000"))</f>
        <v/>
      </c>
      <c r="C23" s="15" t="n"/>
      <c r="D23" s="15" t="n"/>
      <c r="E23" s="15" t="n"/>
      <c r="F23" s="15" t="n"/>
      <c r="G23" s="15" t="n"/>
      <c r="H23" s="15" t="n"/>
      <c r="I23" s="15" t="n"/>
      <c r="J23" s="30">
        <f>IF(OR(I23="",I23=0),"",G23-I23)</f>
        <v/>
      </c>
      <c r="K23" s="15" t="n"/>
    </row>
    <row r="24" ht="22" customHeight="1">
      <c r="B24" s="20">
        <f>IF(C24="","BNK-"&amp;TEXT(COUNTA($C$5:C24),"000"))</f>
        <v/>
      </c>
      <c r="C24" s="17" t="n"/>
      <c r="D24" s="17" t="n"/>
      <c r="E24" s="17" t="n"/>
      <c r="F24" s="17" t="n"/>
      <c r="G24" s="17" t="n"/>
      <c r="H24" s="17" t="n"/>
      <c r="I24" s="17" t="n"/>
      <c r="J24" s="31">
        <f>IF(OR(I24="",I24=0),"",G24-I24)</f>
        <v/>
      </c>
      <c r="K24" s="17" t="n"/>
    </row>
    <row r="25" ht="22" customHeight="1">
      <c r="B25" s="19">
        <f>IF(C25="","BNK-"&amp;TEXT(COUNTA($C$5:C25),"000"))</f>
        <v/>
      </c>
      <c r="C25" s="15" t="n"/>
      <c r="D25" s="15" t="n"/>
      <c r="E25" s="15" t="n"/>
      <c r="F25" s="15" t="n"/>
      <c r="G25" s="15" t="n"/>
      <c r="H25" s="15" t="n"/>
      <c r="I25" s="15" t="n"/>
      <c r="J25" s="30">
        <f>IF(OR(I25="",I25=0),"",G25-I25)</f>
        <v/>
      </c>
      <c r="K25" s="15" t="n"/>
    </row>
    <row r="26" ht="22" customHeight="1">
      <c r="B26" s="20">
        <f>IF(C26="","BNK-"&amp;TEXT(COUNTA($C$5:C26),"000"))</f>
        <v/>
      </c>
      <c r="C26" s="17" t="n"/>
      <c r="D26" s="17" t="n"/>
      <c r="E26" s="17" t="n"/>
      <c r="F26" s="17" t="n"/>
      <c r="G26" s="17" t="n"/>
      <c r="H26" s="17" t="n"/>
      <c r="I26" s="17" t="n"/>
      <c r="J26" s="31">
        <f>IF(OR(I26="",I26=0),"",G26-I26)</f>
        <v/>
      </c>
      <c r="K26" s="17" t="n"/>
    </row>
    <row r="27" ht="22" customHeight="1">
      <c r="B27" s="19">
        <f>IF(C27="","BNK-"&amp;TEXT(COUNTA($C$5:C27),"000"))</f>
        <v/>
      </c>
      <c r="C27" s="15" t="n"/>
      <c r="D27" s="15" t="n"/>
      <c r="E27" s="15" t="n"/>
      <c r="F27" s="15" t="n"/>
      <c r="G27" s="15" t="n"/>
      <c r="H27" s="15" t="n"/>
      <c r="I27" s="15" t="n"/>
      <c r="J27" s="30">
        <f>IF(OR(I27="",I27=0),"",G27-I27)</f>
        <v/>
      </c>
      <c r="K27" s="15" t="n"/>
    </row>
    <row r="28" ht="22" customHeight="1">
      <c r="B28" s="20">
        <f>IF(C28="","BNK-"&amp;TEXT(COUNTA($C$5:C28),"000"))</f>
        <v/>
      </c>
      <c r="C28" s="17" t="n"/>
      <c r="D28" s="17" t="n"/>
      <c r="E28" s="17" t="n"/>
      <c r="F28" s="17" t="n"/>
      <c r="G28" s="17" t="n"/>
      <c r="H28" s="17" t="n"/>
      <c r="I28" s="17" t="n"/>
      <c r="J28" s="31">
        <f>IF(OR(I28="",I28=0),"",G28-I28)</f>
        <v/>
      </c>
      <c r="K28" s="17" t="n"/>
    </row>
    <row r="29" ht="22" customHeight="1">
      <c r="B29" s="19">
        <f>IF(C29="","BNK-"&amp;TEXT(COUNTA($C$5:C29),"000"))</f>
        <v/>
      </c>
      <c r="C29" s="15" t="n"/>
      <c r="D29" s="15" t="n"/>
      <c r="E29" s="15" t="n"/>
      <c r="F29" s="15" t="n"/>
      <c r="G29" s="15" t="n"/>
      <c r="H29" s="15" t="n"/>
      <c r="I29" s="15" t="n"/>
      <c r="J29" s="30">
        <f>IF(OR(I29="",I29=0),"",G29-I29)</f>
        <v/>
      </c>
      <c r="K29" s="15" t="n"/>
    </row>
    <row r="30" ht="22" customHeight="1">
      <c r="B30" s="20">
        <f>IF(C30="","BNK-"&amp;TEXT(COUNTA($C$5:C30),"000"))</f>
        <v/>
      </c>
      <c r="C30" s="17" t="n"/>
      <c r="D30" s="17" t="n"/>
      <c r="E30" s="17" t="n"/>
      <c r="F30" s="17" t="n"/>
      <c r="G30" s="17" t="n"/>
      <c r="H30" s="17" t="n"/>
      <c r="I30" s="17" t="n"/>
      <c r="J30" s="31">
        <f>IF(OR(I30="",I30=0),"",G30-I30)</f>
        <v/>
      </c>
      <c r="K30" s="17" t="n"/>
    </row>
    <row r="31" ht="22" customHeight="1">
      <c r="B31" s="19">
        <f>IF(C31="","BNK-"&amp;TEXT(COUNTA($C$5:C31),"000"))</f>
        <v/>
      </c>
      <c r="C31" s="15" t="n"/>
      <c r="D31" s="15" t="n"/>
      <c r="E31" s="15" t="n"/>
      <c r="F31" s="15" t="n"/>
      <c r="G31" s="15" t="n"/>
      <c r="H31" s="15" t="n"/>
      <c r="I31" s="15" t="n"/>
      <c r="J31" s="30">
        <f>IF(OR(I31="",I31=0),"",G31-I31)</f>
        <v/>
      </c>
      <c r="K31" s="15" t="n"/>
    </row>
    <row r="32" ht="22" customHeight="1">
      <c r="B32" s="20">
        <f>IF(C32="","BNK-"&amp;TEXT(COUNTA($C$5:C32),"000"))</f>
        <v/>
      </c>
      <c r="C32" s="17" t="n"/>
      <c r="D32" s="17" t="n"/>
      <c r="E32" s="17" t="n"/>
      <c r="F32" s="17" t="n"/>
      <c r="G32" s="17" t="n"/>
      <c r="H32" s="17" t="n"/>
      <c r="I32" s="17" t="n"/>
      <c r="J32" s="31">
        <f>IF(OR(I32="",I32=0),"",G32-I32)</f>
        <v/>
      </c>
      <c r="K32" s="17" t="n"/>
    </row>
    <row r="33" ht="22" customHeight="1">
      <c r="B33" s="19">
        <f>IF(C33="","BNK-"&amp;TEXT(COUNTA($C$5:C33),"000"))</f>
        <v/>
      </c>
      <c r="C33" s="15" t="n"/>
      <c r="D33" s="15" t="n"/>
      <c r="E33" s="15" t="n"/>
      <c r="F33" s="15" t="n"/>
      <c r="G33" s="15" t="n"/>
      <c r="H33" s="15" t="n"/>
      <c r="I33" s="15" t="n"/>
      <c r="J33" s="30">
        <f>IF(OR(I33="",I33=0),"",G33-I33)</f>
        <v/>
      </c>
      <c r="K33" s="15" t="n"/>
    </row>
    <row r="34" ht="22" customHeight="1">
      <c r="B34" s="20">
        <f>IF(C34="","BNK-"&amp;TEXT(COUNTA($C$5:C34),"000"))</f>
        <v/>
      </c>
      <c r="C34" s="17" t="n"/>
      <c r="D34" s="17" t="n"/>
      <c r="E34" s="17" t="n"/>
      <c r="F34" s="17" t="n"/>
      <c r="G34" s="17" t="n"/>
      <c r="H34" s="17" t="n"/>
      <c r="I34" s="17" t="n"/>
      <c r="J34" s="31">
        <f>IF(OR(I34="",I34=0),"",G34-I34)</f>
        <v/>
      </c>
      <c r="K34" s="17" t="n"/>
    </row>
    <row r="35" ht="22" customHeight="1">
      <c r="B35" s="19">
        <f>IF(C35="","BNK-"&amp;TEXT(COUNTA($C$5:C35),"000"))</f>
        <v/>
      </c>
      <c r="C35" s="15" t="n"/>
      <c r="D35" s="15" t="n"/>
      <c r="E35" s="15" t="n"/>
      <c r="F35" s="15" t="n"/>
      <c r="G35" s="15" t="n"/>
      <c r="H35" s="15" t="n"/>
      <c r="I35" s="15" t="n"/>
      <c r="J35" s="30">
        <f>IF(OR(I35="",I35=0),"",G35-I35)</f>
        <v/>
      </c>
      <c r="K35" s="15" t="n"/>
    </row>
    <row r="36" ht="22" customHeight="1">
      <c r="B36" s="20">
        <f>IF(C36="","BNK-"&amp;TEXT(COUNTA($C$5:C36),"000"))</f>
        <v/>
      </c>
      <c r="C36" s="17" t="n"/>
      <c r="D36" s="17" t="n"/>
      <c r="E36" s="17" t="n"/>
      <c r="F36" s="17" t="n"/>
      <c r="G36" s="17" t="n"/>
      <c r="H36" s="17" t="n"/>
      <c r="I36" s="17" t="n"/>
      <c r="J36" s="31">
        <f>IF(OR(I36="",I36=0),"",G36-I36)</f>
        <v/>
      </c>
      <c r="K36" s="17" t="n"/>
    </row>
    <row r="37" ht="22" customHeight="1">
      <c r="B37" s="19">
        <f>IF(C37="","BNK-"&amp;TEXT(COUNTA($C$5:C37),"000"))</f>
        <v/>
      </c>
      <c r="C37" s="15" t="n"/>
      <c r="D37" s="15" t="n"/>
      <c r="E37" s="15" t="n"/>
      <c r="F37" s="15" t="n"/>
      <c r="G37" s="15" t="n"/>
      <c r="H37" s="15" t="n"/>
      <c r="I37" s="15" t="n"/>
      <c r="J37" s="30">
        <f>IF(OR(I37="",I37=0),"",G37-I37)</f>
        <v/>
      </c>
      <c r="K37" s="15" t="n"/>
    </row>
    <row r="38" ht="22" customHeight="1">
      <c r="B38" s="20">
        <f>IF(C38="","BNK-"&amp;TEXT(COUNTA($C$5:C38),"000"))</f>
        <v/>
      </c>
      <c r="C38" s="17" t="n"/>
      <c r="D38" s="17" t="n"/>
      <c r="E38" s="17" t="n"/>
      <c r="F38" s="17" t="n"/>
      <c r="G38" s="17" t="n"/>
      <c r="H38" s="17" t="n"/>
      <c r="I38" s="17" t="n"/>
      <c r="J38" s="31">
        <f>IF(OR(I38="",I38=0),"",G38-I38)</f>
        <v/>
      </c>
      <c r="K38" s="17" t="n"/>
    </row>
    <row r="39" ht="22" customHeight="1">
      <c r="B39" s="19">
        <f>IF(C39="","BNK-"&amp;TEXT(COUNTA($C$5:C39),"000"))</f>
        <v/>
      </c>
      <c r="C39" s="15" t="n"/>
      <c r="D39" s="15" t="n"/>
      <c r="E39" s="15" t="n"/>
      <c r="F39" s="15" t="n"/>
      <c r="G39" s="15" t="n"/>
      <c r="H39" s="15" t="n"/>
      <c r="I39" s="15" t="n"/>
      <c r="J39" s="30">
        <f>IF(OR(I39="",I39=0),"",G39-I39)</f>
        <v/>
      </c>
      <c r="K39" s="15" t="n"/>
    </row>
    <row r="40" ht="22" customHeight="1">
      <c r="B40" s="20">
        <f>IF(C40="","BNK-"&amp;TEXT(COUNTA($C$5:C40),"000"))</f>
        <v/>
      </c>
      <c r="C40" s="17" t="n"/>
      <c r="D40" s="17" t="n"/>
      <c r="E40" s="17" t="n"/>
      <c r="F40" s="17" t="n"/>
      <c r="G40" s="17" t="n"/>
      <c r="H40" s="17" t="n"/>
      <c r="I40" s="17" t="n"/>
      <c r="J40" s="31">
        <f>IF(OR(I40="",I40=0),"",G40-I40)</f>
        <v/>
      </c>
      <c r="K40" s="17" t="n"/>
    </row>
    <row r="41" ht="22" customHeight="1">
      <c r="B41" s="19">
        <f>IF(C41="","BNK-"&amp;TEXT(COUNTA($C$5:C41),"000"))</f>
        <v/>
      </c>
      <c r="C41" s="15" t="n"/>
      <c r="D41" s="15" t="n"/>
      <c r="E41" s="15" t="n"/>
      <c r="F41" s="15" t="n"/>
      <c r="G41" s="15" t="n"/>
      <c r="H41" s="15" t="n"/>
      <c r="I41" s="15" t="n"/>
      <c r="J41" s="30">
        <f>IF(OR(I41="",I41=0),"",G41-I41)</f>
        <v/>
      </c>
      <c r="K41" s="15" t="n"/>
    </row>
    <row r="42" ht="22" customHeight="1">
      <c r="B42" s="20">
        <f>IF(C42="","BNK-"&amp;TEXT(COUNTA($C$5:C42),"000"))</f>
        <v/>
      </c>
      <c r="C42" s="17" t="n"/>
      <c r="D42" s="17" t="n"/>
      <c r="E42" s="17" t="n"/>
      <c r="F42" s="17" t="n"/>
      <c r="G42" s="17" t="n"/>
      <c r="H42" s="17" t="n"/>
      <c r="I42" s="17" t="n"/>
      <c r="J42" s="31">
        <f>IF(OR(I42="",I42=0),"",G42-I42)</f>
        <v/>
      </c>
      <c r="K42" s="17" t="n"/>
    </row>
    <row r="43" ht="22" customHeight="1">
      <c r="B43" s="19">
        <f>IF(C43="","BNK-"&amp;TEXT(COUNTA($C$5:C43),"000"))</f>
        <v/>
      </c>
      <c r="C43" s="15" t="n"/>
      <c r="D43" s="15" t="n"/>
      <c r="E43" s="15" t="n"/>
      <c r="F43" s="15" t="n"/>
      <c r="G43" s="15" t="n"/>
      <c r="H43" s="15" t="n"/>
      <c r="I43" s="15" t="n"/>
      <c r="J43" s="30">
        <f>IF(OR(I43="",I43=0),"",G43-I43)</f>
        <v/>
      </c>
      <c r="K43" s="15" t="n"/>
    </row>
    <row r="44" ht="22" customHeight="1">
      <c r="B44" s="20">
        <f>IF(C44="","BNK-"&amp;TEXT(COUNTA($C$5:C44),"000"))</f>
        <v/>
      </c>
      <c r="C44" s="17" t="n"/>
      <c r="D44" s="17" t="n"/>
      <c r="E44" s="17" t="n"/>
      <c r="F44" s="17" t="n"/>
      <c r="G44" s="17" t="n"/>
      <c r="H44" s="17" t="n"/>
      <c r="I44" s="17" t="n"/>
      <c r="J44" s="31">
        <f>IF(OR(I44="",I44=0),"",G44-I44)</f>
        <v/>
      </c>
      <c r="K44" s="17" t="n"/>
    </row>
    <row r="45" ht="22" customHeight="1">
      <c r="B45" s="19">
        <f>IF(C45="","BNK-"&amp;TEXT(COUNTA($C$5:C45),"000"))</f>
        <v/>
      </c>
      <c r="C45" s="15" t="n"/>
      <c r="D45" s="15" t="n"/>
      <c r="E45" s="15" t="n"/>
      <c r="F45" s="15" t="n"/>
      <c r="G45" s="15" t="n"/>
      <c r="H45" s="15" t="n"/>
      <c r="I45" s="15" t="n"/>
      <c r="J45" s="30">
        <f>IF(OR(I45="",I45=0),"",G45-I45)</f>
        <v/>
      </c>
      <c r="K45" s="15" t="n"/>
    </row>
    <row r="46" ht="22" customHeight="1">
      <c r="B46" s="20">
        <f>IF(C46="","BNK-"&amp;TEXT(COUNTA($C$5:C46),"000"))</f>
        <v/>
      </c>
      <c r="C46" s="17" t="n"/>
      <c r="D46" s="17" t="n"/>
      <c r="E46" s="17" t="n"/>
      <c r="F46" s="17" t="n"/>
      <c r="G46" s="17" t="n"/>
      <c r="H46" s="17" t="n"/>
      <c r="I46" s="17" t="n"/>
      <c r="J46" s="31">
        <f>IF(OR(I46="",I46=0),"",G46-I46)</f>
        <v/>
      </c>
      <c r="K46" s="17" t="n"/>
    </row>
    <row r="47" ht="22" customHeight="1">
      <c r="B47" s="19">
        <f>IF(C47="","BNK-"&amp;TEXT(COUNTA($C$5:C47),"000"))</f>
        <v/>
      </c>
      <c r="C47" s="15" t="n"/>
      <c r="D47" s="15" t="n"/>
      <c r="E47" s="15" t="n"/>
      <c r="F47" s="15" t="n"/>
      <c r="G47" s="15" t="n"/>
      <c r="H47" s="15" t="n"/>
      <c r="I47" s="15" t="n"/>
      <c r="J47" s="30">
        <f>IF(OR(I47="",I47=0),"",G47-I47)</f>
        <v/>
      </c>
      <c r="K47" s="15" t="n"/>
    </row>
    <row r="48" ht="22" customHeight="1">
      <c r="B48" s="20">
        <f>IF(C48="","BNK-"&amp;TEXT(COUNTA($C$5:C48),"000"))</f>
        <v/>
      </c>
      <c r="C48" s="17" t="n"/>
      <c r="D48" s="17" t="n"/>
      <c r="E48" s="17" t="n"/>
      <c r="F48" s="17" t="n"/>
      <c r="G48" s="17" t="n"/>
      <c r="H48" s="17" t="n"/>
      <c r="I48" s="17" t="n"/>
      <c r="J48" s="31">
        <f>IF(OR(I48="",I48=0),"",G48-I48)</f>
        <v/>
      </c>
      <c r="K48" s="17" t="n"/>
    </row>
    <row r="49" ht="22" customHeight="1">
      <c r="B49" s="19">
        <f>IF(C49="","BNK-"&amp;TEXT(COUNTA($C$5:C49),"000"))</f>
        <v/>
      </c>
      <c r="C49" s="15" t="n"/>
      <c r="D49" s="15" t="n"/>
      <c r="E49" s="15" t="n"/>
      <c r="F49" s="15" t="n"/>
      <c r="G49" s="15" t="n"/>
      <c r="H49" s="15" t="n"/>
      <c r="I49" s="15" t="n"/>
      <c r="J49" s="30">
        <f>IF(OR(I49="",I49=0),"",G49-I49)</f>
        <v/>
      </c>
      <c r="K49" s="15" t="n"/>
    </row>
    <row r="50" ht="22" customHeight="1">
      <c r="B50" s="20">
        <f>IF(C50="","BNK-"&amp;TEXT(COUNTA($C$5:C50),"000"))</f>
        <v/>
      </c>
      <c r="C50" s="17" t="n"/>
      <c r="D50" s="17" t="n"/>
      <c r="E50" s="17" t="n"/>
      <c r="F50" s="17" t="n"/>
      <c r="G50" s="17" t="n"/>
      <c r="H50" s="17" t="n"/>
      <c r="I50" s="17" t="n"/>
      <c r="J50" s="31">
        <f>IF(OR(I50="",I50=0),"",G50-I50)</f>
        <v/>
      </c>
      <c r="K50" s="17" t="n"/>
    </row>
    <row r="51" ht="22" customHeight="1">
      <c r="B51" s="19">
        <f>IF(C51="","BNK-"&amp;TEXT(COUNTA($C$5:C51),"000"))</f>
        <v/>
      </c>
      <c r="C51" s="15" t="n"/>
      <c r="D51" s="15" t="n"/>
      <c r="E51" s="15" t="n"/>
      <c r="F51" s="15" t="n"/>
      <c r="G51" s="15" t="n"/>
      <c r="H51" s="15" t="n"/>
      <c r="I51" s="15" t="n"/>
      <c r="J51" s="30">
        <f>IF(OR(I51="",I51=0),"",G51-I51)</f>
        <v/>
      </c>
      <c r="K51" s="15" t="n"/>
    </row>
    <row r="52" ht="22" customHeight="1">
      <c r="B52" s="20">
        <f>IF(C52="","BNK-"&amp;TEXT(COUNTA($C$5:C52),"000"))</f>
        <v/>
      </c>
      <c r="C52" s="17" t="n"/>
      <c r="D52" s="17" t="n"/>
      <c r="E52" s="17" t="n"/>
      <c r="F52" s="17" t="n"/>
      <c r="G52" s="17" t="n"/>
      <c r="H52" s="17" t="n"/>
      <c r="I52" s="17" t="n"/>
      <c r="J52" s="31">
        <f>IF(OR(I52="",I52=0),"",G52-I52)</f>
        <v/>
      </c>
      <c r="K52" s="17" t="n"/>
    </row>
    <row r="53" ht="22" customHeight="1">
      <c r="B53" s="19">
        <f>IF(C53="","BNK-"&amp;TEXT(COUNTA($C$5:C53),"000"))</f>
        <v/>
      </c>
      <c r="C53" s="15" t="n"/>
      <c r="D53" s="15" t="n"/>
      <c r="E53" s="15" t="n"/>
      <c r="F53" s="15" t="n"/>
      <c r="G53" s="15" t="n"/>
      <c r="H53" s="15" t="n"/>
      <c r="I53" s="15" t="n"/>
      <c r="J53" s="30">
        <f>IF(OR(I53="",I53=0),"",G53-I53)</f>
        <v/>
      </c>
      <c r="K53" s="15" t="n"/>
    </row>
    <row r="54" ht="22" customHeight="1">
      <c r="B54" s="20">
        <f>IF(C54="","BNK-"&amp;TEXT(COUNTA($C$5:C54),"000"))</f>
        <v/>
      </c>
      <c r="C54" s="17" t="n"/>
      <c r="D54" s="17" t="n"/>
      <c r="E54" s="17" t="n"/>
      <c r="F54" s="17" t="n"/>
      <c r="G54" s="17" t="n"/>
      <c r="H54" s="17" t="n"/>
      <c r="I54" s="17" t="n"/>
      <c r="J54" s="31">
        <f>IF(OR(I54="",I54=0),"",G54-I54)</f>
        <v/>
      </c>
      <c r="K54" s="17" t="n"/>
    </row>
    <row r="55" ht="22" customHeight="1">
      <c r="B55" s="19">
        <f>IF(C55="","BNK-"&amp;TEXT(COUNTA($C$5:C55),"000"))</f>
        <v/>
      </c>
      <c r="C55" s="15" t="n"/>
      <c r="D55" s="15" t="n"/>
      <c r="E55" s="15" t="n"/>
      <c r="F55" s="15" t="n"/>
      <c r="G55" s="15" t="n"/>
      <c r="H55" s="15" t="n"/>
      <c r="I55" s="15" t="n"/>
      <c r="J55" s="30">
        <f>IF(OR(I55="",I55=0),"",G55-I55)</f>
        <v/>
      </c>
      <c r="K55" s="15" t="n"/>
    </row>
    <row r="56" ht="22" customHeight="1">
      <c r="B56" s="20">
        <f>IF(C56="","BNK-"&amp;TEXT(COUNTA($C$5:C56),"000"))</f>
        <v/>
      </c>
      <c r="C56" s="17" t="n"/>
      <c r="D56" s="17" t="n"/>
      <c r="E56" s="17" t="n"/>
      <c r="F56" s="17" t="n"/>
      <c r="G56" s="17" t="n"/>
      <c r="H56" s="17" t="n"/>
      <c r="I56" s="17" t="n"/>
      <c r="J56" s="31">
        <f>IF(OR(I56="",I56=0),"",G56-I56)</f>
        <v/>
      </c>
      <c r="K56" s="17" t="n"/>
    </row>
    <row r="57" ht="22" customHeight="1">
      <c r="B57" s="19">
        <f>IF(C57="","BNK-"&amp;TEXT(COUNTA($C$5:C57),"000"))</f>
        <v/>
      </c>
      <c r="C57" s="15" t="n"/>
      <c r="D57" s="15" t="n"/>
      <c r="E57" s="15" t="n"/>
      <c r="F57" s="15" t="n"/>
      <c r="G57" s="15" t="n"/>
      <c r="H57" s="15" t="n"/>
      <c r="I57" s="15" t="n"/>
      <c r="J57" s="30">
        <f>IF(OR(I57="",I57=0),"",G57-I57)</f>
        <v/>
      </c>
      <c r="K57" s="15" t="n"/>
    </row>
    <row r="58" ht="22" customHeight="1">
      <c r="B58" s="20">
        <f>IF(C58="","BNK-"&amp;TEXT(COUNTA($C$5:C58),"000"))</f>
        <v/>
      </c>
      <c r="C58" s="17" t="n"/>
      <c r="D58" s="17" t="n"/>
      <c r="E58" s="17" t="n"/>
      <c r="F58" s="17" t="n"/>
      <c r="G58" s="17" t="n"/>
      <c r="H58" s="17" t="n"/>
      <c r="I58" s="17" t="n"/>
      <c r="J58" s="31">
        <f>IF(OR(I58="",I58=0),"",G58-I58)</f>
        <v/>
      </c>
      <c r="K58" s="17" t="n"/>
    </row>
    <row r="59" ht="22" customHeight="1">
      <c r="B59" s="19">
        <f>IF(C59="","BNK-"&amp;TEXT(COUNTA($C$5:C59),"000"))</f>
        <v/>
      </c>
      <c r="C59" s="15" t="n"/>
      <c r="D59" s="15" t="n"/>
      <c r="E59" s="15" t="n"/>
      <c r="F59" s="15" t="n"/>
      <c r="G59" s="15" t="n"/>
      <c r="H59" s="15" t="n"/>
      <c r="I59" s="15" t="n"/>
      <c r="J59" s="30">
        <f>IF(OR(I59="",I59=0),"",G59-I59)</f>
        <v/>
      </c>
      <c r="K59" s="15" t="n"/>
    </row>
    <row r="60" ht="22" customHeight="1">
      <c r="B60" s="20">
        <f>IF(C60="","BNK-"&amp;TEXT(COUNTA($C$5:C60),"000"))</f>
        <v/>
      </c>
      <c r="C60" s="17" t="n"/>
      <c r="D60" s="17" t="n"/>
      <c r="E60" s="17" t="n"/>
      <c r="F60" s="17" t="n"/>
      <c r="G60" s="17" t="n"/>
      <c r="H60" s="17" t="n"/>
      <c r="I60" s="17" t="n"/>
      <c r="J60" s="31">
        <f>IF(OR(I60="",I60=0),"",G60-I60)</f>
        <v/>
      </c>
      <c r="K60" s="17" t="n"/>
    </row>
    <row r="61" ht="22" customHeight="1">
      <c r="B61" s="19">
        <f>IF(C61="","BNK-"&amp;TEXT(COUNTA($C$5:C61),"000"))</f>
        <v/>
      </c>
      <c r="C61" s="15" t="n"/>
      <c r="D61" s="15" t="n"/>
      <c r="E61" s="15" t="n"/>
      <c r="F61" s="15" t="n"/>
      <c r="G61" s="15" t="n"/>
      <c r="H61" s="15" t="n"/>
      <c r="I61" s="15" t="n"/>
      <c r="J61" s="30">
        <f>IF(OR(I61="",I61=0),"",G61-I61)</f>
        <v/>
      </c>
      <c r="K61" s="15" t="n"/>
    </row>
    <row r="62" ht="22" customHeight="1">
      <c r="B62" s="20">
        <f>IF(C62="","BNK-"&amp;TEXT(COUNTA($C$5:C62),"000"))</f>
        <v/>
      </c>
      <c r="C62" s="17" t="n"/>
      <c r="D62" s="17" t="n"/>
      <c r="E62" s="17" t="n"/>
      <c r="F62" s="17" t="n"/>
      <c r="G62" s="17" t="n"/>
      <c r="H62" s="17" t="n"/>
      <c r="I62" s="17" t="n"/>
      <c r="J62" s="31">
        <f>IF(OR(I62="",I62=0),"",G62-I62)</f>
        <v/>
      </c>
      <c r="K62" s="17" t="n"/>
    </row>
    <row r="63" ht="22" customHeight="1">
      <c r="B63" s="19">
        <f>IF(C63="","BNK-"&amp;TEXT(COUNTA($C$5:C63),"000"))</f>
        <v/>
      </c>
      <c r="C63" s="15" t="n"/>
      <c r="D63" s="15" t="n"/>
      <c r="E63" s="15" t="n"/>
      <c r="F63" s="15" t="n"/>
      <c r="G63" s="15" t="n"/>
      <c r="H63" s="15" t="n"/>
      <c r="I63" s="15" t="n"/>
      <c r="J63" s="30">
        <f>IF(OR(I63="",I63=0),"",G63-I63)</f>
        <v/>
      </c>
      <c r="K63" s="15" t="n"/>
    </row>
    <row r="64" ht="22" customHeight="1">
      <c r="B64" s="20">
        <f>IF(C64="","BNK-"&amp;TEXT(COUNTA($C$5:C64),"000"))</f>
        <v/>
      </c>
      <c r="C64" s="17" t="n"/>
      <c r="D64" s="17" t="n"/>
      <c r="E64" s="17" t="n"/>
      <c r="F64" s="17" t="n"/>
      <c r="G64" s="17" t="n"/>
      <c r="H64" s="17" t="n"/>
      <c r="I64" s="17" t="n"/>
      <c r="J64" s="31">
        <f>IF(OR(I64="",I64=0),"",G64-I64)</f>
        <v/>
      </c>
      <c r="K64" s="17" t="n"/>
    </row>
    <row r="65" ht="22" customHeight="1">
      <c r="B65" s="19">
        <f>IF(C65="","BNK-"&amp;TEXT(COUNTA($C$5:C65),"000"))</f>
        <v/>
      </c>
      <c r="C65" s="15" t="n"/>
      <c r="D65" s="15" t="n"/>
      <c r="E65" s="15" t="n"/>
      <c r="F65" s="15" t="n"/>
      <c r="G65" s="15" t="n"/>
      <c r="H65" s="15" t="n"/>
      <c r="I65" s="15" t="n"/>
      <c r="J65" s="30">
        <f>IF(OR(I65="",I65=0),"",G65-I65)</f>
        <v/>
      </c>
      <c r="K65" s="15" t="n"/>
    </row>
    <row r="66" ht="22" customHeight="1">
      <c r="B66" s="20">
        <f>IF(C66="","BNK-"&amp;TEXT(COUNTA($C$5:C66),"000"))</f>
        <v/>
      </c>
      <c r="C66" s="17" t="n"/>
      <c r="D66" s="17" t="n"/>
      <c r="E66" s="17" t="n"/>
      <c r="F66" s="17" t="n"/>
      <c r="G66" s="17" t="n"/>
      <c r="H66" s="17" t="n"/>
      <c r="I66" s="17" t="n"/>
      <c r="J66" s="31">
        <f>IF(OR(I66="",I66=0),"",G66-I66)</f>
        <v/>
      </c>
      <c r="K66" s="17" t="n"/>
    </row>
    <row r="67" ht="22" customHeight="1">
      <c r="B67" s="19">
        <f>IF(C67="","BNK-"&amp;TEXT(COUNTA($C$5:C67),"000"))</f>
        <v/>
      </c>
      <c r="C67" s="15" t="n"/>
      <c r="D67" s="15" t="n"/>
      <c r="E67" s="15" t="n"/>
      <c r="F67" s="15" t="n"/>
      <c r="G67" s="15" t="n"/>
      <c r="H67" s="15" t="n"/>
      <c r="I67" s="15" t="n"/>
      <c r="J67" s="30">
        <f>IF(OR(I67="",I67=0),"",G67-I67)</f>
        <v/>
      </c>
      <c r="K67" s="15" t="n"/>
    </row>
    <row r="68" ht="22" customHeight="1">
      <c r="B68" s="20">
        <f>IF(C68="","BNK-"&amp;TEXT(COUNTA($C$5:C68),"000"))</f>
        <v/>
      </c>
      <c r="C68" s="17" t="n"/>
      <c r="D68" s="17" t="n"/>
      <c r="E68" s="17" t="n"/>
      <c r="F68" s="17" t="n"/>
      <c r="G68" s="17" t="n"/>
      <c r="H68" s="17" t="n"/>
      <c r="I68" s="17" t="n"/>
      <c r="J68" s="31">
        <f>IF(OR(I68="",I68=0),"",G68-I68)</f>
        <v/>
      </c>
      <c r="K68" s="17" t="n"/>
    </row>
    <row r="69" ht="22" customHeight="1">
      <c r="B69" s="19">
        <f>IF(C69="","BNK-"&amp;TEXT(COUNTA($C$5:C69),"000"))</f>
        <v/>
      </c>
      <c r="C69" s="15" t="n"/>
      <c r="D69" s="15" t="n"/>
      <c r="E69" s="15" t="n"/>
      <c r="F69" s="15" t="n"/>
      <c r="G69" s="15" t="n"/>
      <c r="H69" s="15" t="n"/>
      <c r="I69" s="15" t="n"/>
      <c r="J69" s="30">
        <f>IF(OR(I69="",I69=0),"",G69-I69)</f>
        <v/>
      </c>
      <c r="K69" s="15" t="n"/>
    </row>
    <row r="70" ht="22" customHeight="1">
      <c r="B70" s="20">
        <f>IF(C70="","BNK-"&amp;TEXT(COUNTA($C$5:C70),"000"))</f>
        <v/>
      </c>
      <c r="C70" s="17" t="n"/>
      <c r="D70" s="17" t="n"/>
      <c r="E70" s="17" t="n"/>
      <c r="F70" s="17" t="n"/>
      <c r="G70" s="17" t="n"/>
      <c r="H70" s="17" t="n"/>
      <c r="I70" s="17" t="n"/>
      <c r="J70" s="31">
        <f>IF(OR(I70="",I70=0),"",G70-I70)</f>
        <v/>
      </c>
      <c r="K70" s="17" t="n"/>
    </row>
    <row r="71" ht="22" customHeight="1">
      <c r="B71" s="19">
        <f>IF(C71="","BNK-"&amp;TEXT(COUNTA($C$5:C71),"000"))</f>
        <v/>
      </c>
      <c r="C71" s="15" t="n"/>
      <c r="D71" s="15" t="n"/>
      <c r="E71" s="15" t="n"/>
      <c r="F71" s="15" t="n"/>
      <c r="G71" s="15" t="n"/>
      <c r="H71" s="15" t="n"/>
      <c r="I71" s="15" t="n"/>
      <c r="J71" s="30">
        <f>IF(OR(I71="",I71=0),"",G71-I71)</f>
        <v/>
      </c>
      <c r="K71" s="15" t="n"/>
    </row>
    <row r="72" ht="22" customHeight="1">
      <c r="B72" s="20">
        <f>IF(C72="","BNK-"&amp;TEXT(COUNTA($C$5:C72),"000"))</f>
        <v/>
      </c>
      <c r="C72" s="17" t="n"/>
      <c r="D72" s="17" t="n"/>
      <c r="E72" s="17" t="n"/>
      <c r="F72" s="17" t="n"/>
      <c r="G72" s="17" t="n"/>
      <c r="H72" s="17" t="n"/>
      <c r="I72" s="17" t="n"/>
      <c r="J72" s="31">
        <f>IF(OR(I72="",I72=0),"",G72-I72)</f>
        <v/>
      </c>
      <c r="K72" s="17" t="n"/>
    </row>
    <row r="73" ht="22" customHeight="1">
      <c r="B73" s="19">
        <f>IF(C73="","BNK-"&amp;TEXT(COUNTA($C$5:C73),"000"))</f>
        <v/>
      </c>
      <c r="C73" s="15" t="n"/>
      <c r="D73" s="15" t="n"/>
      <c r="E73" s="15" t="n"/>
      <c r="F73" s="15" t="n"/>
      <c r="G73" s="15" t="n"/>
      <c r="H73" s="15" t="n"/>
      <c r="I73" s="15" t="n"/>
      <c r="J73" s="30">
        <f>IF(OR(I73="",I73=0),"",G73-I73)</f>
        <v/>
      </c>
      <c r="K73" s="15" t="n"/>
    </row>
    <row r="74" ht="22" customHeight="1">
      <c r="B74" s="20">
        <f>IF(C74="","BNK-"&amp;TEXT(COUNTA($C$5:C74),"000"))</f>
        <v/>
      </c>
      <c r="C74" s="17" t="n"/>
      <c r="D74" s="17" t="n"/>
      <c r="E74" s="17" t="n"/>
      <c r="F74" s="17" t="n"/>
      <c r="G74" s="17" t="n"/>
      <c r="H74" s="17" t="n"/>
      <c r="I74" s="17" t="n"/>
      <c r="J74" s="31">
        <f>IF(OR(I74="",I74=0),"",G74-I74)</f>
        <v/>
      </c>
      <c r="K74" s="17" t="n"/>
    </row>
    <row r="75" ht="22" customHeight="1">
      <c r="B75" s="19">
        <f>IF(C75="","BNK-"&amp;TEXT(COUNTA($C$5:C75),"000"))</f>
        <v/>
      </c>
      <c r="C75" s="15" t="n"/>
      <c r="D75" s="15" t="n"/>
      <c r="E75" s="15" t="n"/>
      <c r="F75" s="15" t="n"/>
      <c r="G75" s="15" t="n"/>
      <c r="H75" s="15" t="n"/>
      <c r="I75" s="15" t="n"/>
      <c r="J75" s="30">
        <f>IF(OR(I75="",I75=0),"",G75-I75)</f>
        <v/>
      </c>
      <c r="K75" s="15" t="n"/>
    </row>
    <row r="76" ht="22" customHeight="1">
      <c r="B76" s="20">
        <f>IF(C76="","BNK-"&amp;TEXT(COUNTA($C$5:C76),"000"))</f>
        <v/>
      </c>
      <c r="C76" s="17" t="n"/>
      <c r="D76" s="17" t="n"/>
      <c r="E76" s="17" t="n"/>
      <c r="F76" s="17" t="n"/>
      <c r="G76" s="17" t="n"/>
      <c r="H76" s="17" t="n"/>
      <c r="I76" s="17" t="n"/>
      <c r="J76" s="31">
        <f>IF(OR(I76="",I76=0),"",G76-I76)</f>
        <v/>
      </c>
      <c r="K76" s="17" t="n"/>
    </row>
    <row r="77" ht="22" customHeight="1">
      <c r="B77" s="19">
        <f>IF(C77="","BNK-"&amp;TEXT(COUNTA($C$5:C77),"000"))</f>
        <v/>
      </c>
      <c r="C77" s="15" t="n"/>
      <c r="D77" s="15" t="n"/>
      <c r="E77" s="15" t="n"/>
      <c r="F77" s="15" t="n"/>
      <c r="G77" s="15" t="n"/>
      <c r="H77" s="15" t="n"/>
      <c r="I77" s="15" t="n"/>
      <c r="J77" s="30">
        <f>IF(OR(I77="",I77=0),"",G77-I77)</f>
        <v/>
      </c>
      <c r="K77" s="15" t="n"/>
    </row>
    <row r="78" ht="22" customHeight="1">
      <c r="B78" s="20">
        <f>IF(C78="","BNK-"&amp;TEXT(COUNTA($C$5:C78),"000"))</f>
        <v/>
      </c>
      <c r="C78" s="17" t="n"/>
      <c r="D78" s="17" t="n"/>
      <c r="E78" s="17" t="n"/>
      <c r="F78" s="17" t="n"/>
      <c r="G78" s="17" t="n"/>
      <c r="H78" s="17" t="n"/>
      <c r="I78" s="17" t="n"/>
      <c r="J78" s="31">
        <f>IF(OR(I78="",I78=0),"",G78-I78)</f>
        <v/>
      </c>
      <c r="K78" s="17" t="n"/>
    </row>
    <row r="79" ht="22" customHeight="1">
      <c r="B79" s="19">
        <f>IF(C79="","BNK-"&amp;TEXT(COUNTA($C$5:C79),"000"))</f>
        <v/>
      </c>
      <c r="C79" s="15" t="n"/>
      <c r="D79" s="15" t="n"/>
      <c r="E79" s="15" t="n"/>
      <c r="F79" s="15" t="n"/>
      <c r="G79" s="15" t="n"/>
      <c r="H79" s="15" t="n"/>
      <c r="I79" s="15" t="n"/>
      <c r="J79" s="30">
        <f>IF(OR(I79="",I79=0),"",G79-I79)</f>
        <v/>
      </c>
      <c r="K79" s="15" t="n"/>
    </row>
    <row r="80" ht="22" customHeight="1">
      <c r="B80" s="20">
        <f>IF(C80="","BNK-"&amp;TEXT(COUNTA($C$5:C80),"000"))</f>
        <v/>
      </c>
      <c r="C80" s="17" t="n"/>
      <c r="D80" s="17" t="n"/>
      <c r="E80" s="17" t="n"/>
      <c r="F80" s="17" t="n"/>
      <c r="G80" s="17" t="n"/>
      <c r="H80" s="17" t="n"/>
      <c r="I80" s="17" t="n"/>
      <c r="J80" s="31">
        <f>IF(OR(I80="",I80=0),"",G80-I80)</f>
        <v/>
      </c>
      <c r="K80" s="17" t="n"/>
    </row>
    <row r="81" ht="22" customHeight="1">
      <c r="B81" s="19">
        <f>IF(C81="","BNK-"&amp;TEXT(COUNTA($C$5:C81),"000"))</f>
        <v/>
      </c>
      <c r="C81" s="15" t="n"/>
      <c r="D81" s="15" t="n"/>
      <c r="E81" s="15" t="n"/>
      <c r="F81" s="15" t="n"/>
      <c r="G81" s="15" t="n"/>
      <c r="H81" s="15" t="n"/>
      <c r="I81" s="15" t="n"/>
      <c r="J81" s="30">
        <f>IF(OR(I81="",I81=0),"",G81-I81)</f>
        <v/>
      </c>
      <c r="K81" s="15" t="n"/>
    </row>
    <row r="82" ht="22" customHeight="1">
      <c r="B82" s="20">
        <f>IF(C82="","BNK-"&amp;TEXT(COUNTA($C$5:C82),"000"))</f>
        <v/>
      </c>
      <c r="C82" s="17" t="n"/>
      <c r="D82" s="17" t="n"/>
      <c r="E82" s="17" t="n"/>
      <c r="F82" s="17" t="n"/>
      <c r="G82" s="17" t="n"/>
      <c r="H82" s="17" t="n"/>
      <c r="I82" s="17" t="n"/>
      <c r="J82" s="31">
        <f>IF(OR(I82="",I82=0),"",G82-I82)</f>
        <v/>
      </c>
      <c r="K82" s="17" t="n"/>
    </row>
    <row r="83" ht="22" customHeight="1">
      <c r="B83" s="19">
        <f>IF(C83="","BNK-"&amp;TEXT(COUNTA($C$5:C83),"000"))</f>
        <v/>
      </c>
      <c r="C83" s="15" t="n"/>
      <c r="D83" s="15" t="n"/>
      <c r="E83" s="15" t="n"/>
      <c r="F83" s="15" t="n"/>
      <c r="G83" s="15" t="n"/>
      <c r="H83" s="15" t="n"/>
      <c r="I83" s="15" t="n"/>
      <c r="J83" s="30">
        <f>IF(OR(I83="",I83=0),"",G83-I83)</f>
        <v/>
      </c>
      <c r="K83" s="15" t="n"/>
    </row>
    <row r="84" ht="22" customHeight="1">
      <c r="B84" s="20">
        <f>IF(C84="","BNK-"&amp;TEXT(COUNTA($C$5:C84),"000"))</f>
        <v/>
      </c>
      <c r="C84" s="17" t="n"/>
      <c r="D84" s="17" t="n"/>
      <c r="E84" s="17" t="n"/>
      <c r="F84" s="17" t="n"/>
      <c r="G84" s="17" t="n"/>
      <c r="H84" s="17" t="n"/>
      <c r="I84" s="17" t="n"/>
      <c r="J84" s="31">
        <f>IF(OR(I84="",I84=0),"",G84-I84)</f>
        <v/>
      </c>
      <c r="K84" s="17" t="n"/>
    </row>
    <row r="85" ht="22" customHeight="1">
      <c r="B85" s="19">
        <f>IF(C85="","BNK-"&amp;TEXT(COUNTA($C$5:C85),"000"))</f>
        <v/>
      </c>
      <c r="C85" s="15" t="n"/>
      <c r="D85" s="15" t="n"/>
      <c r="E85" s="15" t="n"/>
      <c r="F85" s="15" t="n"/>
      <c r="G85" s="15" t="n"/>
      <c r="H85" s="15" t="n"/>
      <c r="I85" s="15" t="n"/>
      <c r="J85" s="30">
        <f>IF(OR(I85="",I85=0),"",G85-I85)</f>
        <v/>
      </c>
      <c r="K85" s="15" t="n"/>
    </row>
    <row r="86" ht="22" customHeight="1">
      <c r="B86" s="20">
        <f>IF(C86="","BNK-"&amp;TEXT(COUNTA($C$5:C86),"000"))</f>
        <v/>
      </c>
      <c r="C86" s="17" t="n"/>
      <c r="D86" s="17" t="n"/>
      <c r="E86" s="17" t="n"/>
      <c r="F86" s="17" t="n"/>
      <c r="G86" s="17" t="n"/>
      <c r="H86" s="17" t="n"/>
      <c r="I86" s="17" t="n"/>
      <c r="J86" s="31">
        <f>IF(OR(I86="",I86=0),"",G86-I86)</f>
        <v/>
      </c>
      <c r="K86" s="17" t="n"/>
    </row>
    <row r="87" ht="22" customHeight="1">
      <c r="B87" s="19">
        <f>IF(C87="","BNK-"&amp;TEXT(COUNTA($C$5:C87),"000"))</f>
        <v/>
      </c>
      <c r="C87" s="15" t="n"/>
      <c r="D87" s="15" t="n"/>
      <c r="E87" s="15" t="n"/>
      <c r="F87" s="15" t="n"/>
      <c r="G87" s="15" t="n"/>
      <c r="H87" s="15" t="n"/>
      <c r="I87" s="15" t="n"/>
      <c r="J87" s="30">
        <f>IF(OR(I87="",I87=0),"",G87-I87)</f>
        <v/>
      </c>
      <c r="K87" s="15" t="n"/>
    </row>
    <row r="88" ht="22" customHeight="1">
      <c r="B88" s="20">
        <f>IF(C88="","BNK-"&amp;TEXT(COUNTA($C$5:C88),"000"))</f>
        <v/>
      </c>
      <c r="C88" s="17" t="n"/>
      <c r="D88" s="17" t="n"/>
      <c r="E88" s="17" t="n"/>
      <c r="F88" s="17" t="n"/>
      <c r="G88" s="17" t="n"/>
      <c r="H88" s="17" t="n"/>
      <c r="I88" s="17" t="n"/>
      <c r="J88" s="31">
        <f>IF(OR(I88="",I88=0),"",G88-I88)</f>
        <v/>
      </c>
      <c r="K88" s="17" t="n"/>
    </row>
    <row r="89" ht="22" customHeight="1">
      <c r="B89" s="19">
        <f>IF(C89="","BNK-"&amp;TEXT(COUNTA($C$5:C89),"000"))</f>
        <v/>
      </c>
      <c r="C89" s="15" t="n"/>
      <c r="D89" s="15" t="n"/>
      <c r="E89" s="15" t="n"/>
      <c r="F89" s="15" t="n"/>
      <c r="G89" s="15" t="n"/>
      <c r="H89" s="15" t="n"/>
      <c r="I89" s="15" t="n"/>
      <c r="J89" s="30">
        <f>IF(OR(I89="",I89=0),"",G89-I89)</f>
        <v/>
      </c>
      <c r="K89" s="15" t="n"/>
    </row>
    <row r="90" ht="22" customHeight="1">
      <c r="B90" s="20">
        <f>IF(C90="","BNK-"&amp;TEXT(COUNTA($C$5:C90),"000"))</f>
        <v/>
      </c>
      <c r="C90" s="17" t="n"/>
      <c r="D90" s="17" t="n"/>
      <c r="E90" s="17" t="n"/>
      <c r="F90" s="17" t="n"/>
      <c r="G90" s="17" t="n"/>
      <c r="H90" s="17" t="n"/>
      <c r="I90" s="17" t="n"/>
      <c r="J90" s="31">
        <f>IF(OR(I90="",I90=0),"",G90-I90)</f>
        <v/>
      </c>
      <c r="K90" s="17" t="n"/>
    </row>
    <row r="91" ht="22" customHeight="1">
      <c r="B91" s="19">
        <f>IF(C91="","BNK-"&amp;TEXT(COUNTA($C$5:C91),"000"))</f>
        <v/>
      </c>
      <c r="C91" s="15" t="n"/>
      <c r="D91" s="15" t="n"/>
      <c r="E91" s="15" t="n"/>
      <c r="F91" s="15" t="n"/>
      <c r="G91" s="15" t="n"/>
      <c r="H91" s="15" t="n"/>
      <c r="I91" s="15" t="n"/>
      <c r="J91" s="30">
        <f>IF(OR(I91="",I91=0),"",G91-I91)</f>
        <v/>
      </c>
      <c r="K91" s="15" t="n"/>
    </row>
    <row r="92" ht="22" customHeight="1">
      <c r="B92" s="20">
        <f>IF(C92="","BNK-"&amp;TEXT(COUNTA($C$5:C92),"000"))</f>
        <v/>
      </c>
      <c r="C92" s="17" t="n"/>
      <c r="D92" s="17" t="n"/>
      <c r="E92" s="17" t="n"/>
      <c r="F92" s="17" t="n"/>
      <c r="G92" s="17" t="n"/>
      <c r="H92" s="17" t="n"/>
      <c r="I92" s="17" t="n"/>
      <c r="J92" s="31">
        <f>IF(OR(I92="",I92=0),"",G92-I92)</f>
        <v/>
      </c>
      <c r="K92" s="17" t="n"/>
    </row>
    <row r="93" ht="22" customHeight="1">
      <c r="B93" s="19">
        <f>IF(C93="","BNK-"&amp;TEXT(COUNTA($C$5:C93),"000"))</f>
        <v/>
      </c>
      <c r="C93" s="15" t="n"/>
      <c r="D93" s="15" t="n"/>
      <c r="E93" s="15" t="n"/>
      <c r="F93" s="15" t="n"/>
      <c r="G93" s="15" t="n"/>
      <c r="H93" s="15" t="n"/>
      <c r="I93" s="15" t="n"/>
      <c r="J93" s="30">
        <f>IF(OR(I93="",I93=0),"",G93-I93)</f>
        <v/>
      </c>
      <c r="K93" s="15" t="n"/>
    </row>
    <row r="94" ht="22" customHeight="1">
      <c r="B94" s="20">
        <f>IF(C94="","BNK-"&amp;TEXT(COUNTA($C$5:C94),"000"))</f>
        <v/>
      </c>
      <c r="C94" s="17" t="n"/>
      <c r="D94" s="17" t="n"/>
      <c r="E94" s="17" t="n"/>
      <c r="F94" s="17" t="n"/>
      <c r="G94" s="17" t="n"/>
      <c r="H94" s="17" t="n"/>
      <c r="I94" s="17" t="n"/>
      <c r="J94" s="31">
        <f>IF(OR(I94="",I94=0),"",G94-I94)</f>
        <v/>
      </c>
      <c r="K94" s="17" t="n"/>
    </row>
    <row r="95" ht="22" customHeight="1">
      <c r="B95" s="19">
        <f>IF(C95="","BNK-"&amp;TEXT(COUNTA($C$5:C95),"000"))</f>
        <v/>
      </c>
      <c r="C95" s="15" t="n"/>
      <c r="D95" s="15" t="n"/>
      <c r="E95" s="15" t="n"/>
      <c r="F95" s="15" t="n"/>
      <c r="G95" s="15" t="n"/>
      <c r="H95" s="15" t="n"/>
      <c r="I95" s="15" t="n"/>
      <c r="J95" s="30">
        <f>IF(OR(I95="",I95=0),"",G95-I95)</f>
        <v/>
      </c>
      <c r="K95" s="15" t="n"/>
    </row>
    <row r="96" ht="22" customHeight="1">
      <c r="B96" s="20">
        <f>IF(C96="","BNK-"&amp;TEXT(COUNTA($C$5:C96),"000"))</f>
        <v/>
      </c>
      <c r="C96" s="17" t="n"/>
      <c r="D96" s="17" t="n"/>
      <c r="E96" s="17" t="n"/>
      <c r="F96" s="17" t="n"/>
      <c r="G96" s="17" t="n"/>
      <c r="H96" s="17" t="n"/>
      <c r="I96" s="17" t="n"/>
      <c r="J96" s="31">
        <f>IF(OR(I96="",I96=0),"",G96-I96)</f>
        <v/>
      </c>
      <c r="K96" s="17" t="n"/>
    </row>
    <row r="97" ht="22" customHeight="1">
      <c r="B97" s="19">
        <f>IF(C97="","BNK-"&amp;TEXT(COUNTA($C$5:C97),"000"))</f>
        <v/>
      </c>
      <c r="C97" s="15" t="n"/>
      <c r="D97" s="15" t="n"/>
      <c r="E97" s="15" t="n"/>
      <c r="F97" s="15" t="n"/>
      <c r="G97" s="15" t="n"/>
      <c r="H97" s="15" t="n"/>
      <c r="I97" s="15" t="n"/>
      <c r="J97" s="30">
        <f>IF(OR(I97="",I97=0),"",G97-I97)</f>
        <v/>
      </c>
      <c r="K97" s="15" t="n"/>
    </row>
    <row r="98" ht="22" customHeight="1">
      <c r="B98" s="20">
        <f>IF(C98="","BNK-"&amp;TEXT(COUNTA($C$5:C98),"000"))</f>
        <v/>
      </c>
      <c r="C98" s="17" t="n"/>
      <c r="D98" s="17" t="n"/>
      <c r="E98" s="17" t="n"/>
      <c r="F98" s="17" t="n"/>
      <c r="G98" s="17" t="n"/>
      <c r="H98" s="17" t="n"/>
      <c r="I98" s="17" t="n"/>
      <c r="J98" s="31">
        <f>IF(OR(I98="",I98=0),"",G98-I98)</f>
        <v/>
      </c>
      <c r="K98" s="17" t="n"/>
    </row>
    <row r="99" ht="22" customHeight="1">
      <c r="B99" s="19">
        <f>IF(C99="","BNK-"&amp;TEXT(COUNTA($C$5:C99),"000"))</f>
        <v/>
      </c>
      <c r="C99" s="15" t="n"/>
      <c r="D99" s="15" t="n"/>
      <c r="E99" s="15" t="n"/>
      <c r="F99" s="15" t="n"/>
      <c r="G99" s="15" t="n"/>
      <c r="H99" s="15" t="n"/>
      <c r="I99" s="15" t="n"/>
      <c r="J99" s="30">
        <f>IF(OR(I99="",I99=0),"",G99-I99)</f>
        <v/>
      </c>
      <c r="K99" s="15" t="n"/>
    </row>
    <row r="100" ht="22" customHeight="1">
      <c r="B100" s="20">
        <f>IF(C100="","BNK-"&amp;TEXT(COUNTA($C$5:C100),"000"))</f>
        <v/>
      </c>
      <c r="C100" s="17" t="n"/>
      <c r="D100" s="17" t="n"/>
      <c r="E100" s="17" t="n"/>
      <c r="F100" s="17" t="n"/>
      <c r="G100" s="17" t="n"/>
      <c r="H100" s="17" t="n"/>
      <c r="I100" s="17" t="n"/>
      <c r="J100" s="31">
        <f>IF(OR(I100="",I100=0),"",G100-I100)</f>
        <v/>
      </c>
      <c r="K100" s="17" t="n"/>
    </row>
    <row r="101" ht="22" customHeight="1">
      <c r="B101" s="19">
        <f>IF(C101="","BNK-"&amp;TEXT(COUNTA($C$5:C101),"000"))</f>
        <v/>
      </c>
      <c r="C101" s="15" t="n"/>
      <c r="D101" s="15" t="n"/>
      <c r="E101" s="15" t="n"/>
      <c r="F101" s="15" t="n"/>
      <c r="G101" s="15" t="n"/>
      <c r="H101" s="15" t="n"/>
      <c r="I101" s="15" t="n"/>
      <c r="J101" s="30">
        <f>IF(OR(I101="",I101=0),"",G101-I101)</f>
        <v/>
      </c>
      <c r="K101" s="15" t="n"/>
    </row>
    <row r="102" ht="22" customHeight="1">
      <c r="B102" s="20">
        <f>IF(C102="","BNK-"&amp;TEXT(COUNTA($C$5:C102),"000"))</f>
        <v/>
      </c>
      <c r="C102" s="17" t="n"/>
      <c r="D102" s="17" t="n"/>
      <c r="E102" s="17" t="n"/>
      <c r="F102" s="17" t="n"/>
      <c r="G102" s="17" t="n"/>
      <c r="H102" s="17" t="n"/>
      <c r="I102" s="17" t="n"/>
      <c r="J102" s="31">
        <f>IF(OR(I102="",I102=0),"",G102-I102)</f>
        <v/>
      </c>
      <c r="K102" s="17" t="n"/>
    </row>
    <row r="103" ht="22" customHeight="1">
      <c r="B103" s="19">
        <f>IF(C103="","BNK-"&amp;TEXT(COUNTA($C$5:C103),"000"))</f>
        <v/>
      </c>
      <c r="C103" s="15" t="n"/>
      <c r="D103" s="15" t="n"/>
      <c r="E103" s="15" t="n"/>
      <c r="F103" s="15" t="n"/>
      <c r="G103" s="15" t="n"/>
      <c r="H103" s="15" t="n"/>
      <c r="I103" s="15" t="n"/>
      <c r="J103" s="30">
        <f>IF(OR(I103="",I103=0),"",G103-I103)</f>
        <v/>
      </c>
      <c r="K103" s="15" t="n"/>
    </row>
    <row r="104" ht="22" customHeight="1">
      <c r="B104" s="20">
        <f>IF(C104="","BNK-"&amp;TEXT(COUNTA($C$5:C104),"000"))</f>
        <v/>
      </c>
      <c r="C104" s="17" t="n"/>
      <c r="D104" s="17" t="n"/>
      <c r="E104" s="17" t="n"/>
      <c r="F104" s="17" t="n"/>
      <c r="G104" s="17" t="n"/>
      <c r="H104" s="17" t="n"/>
      <c r="I104" s="17" t="n"/>
      <c r="J104" s="31">
        <f>IF(OR(I104="",I104=0),"",G104-I104)</f>
        <v/>
      </c>
      <c r="K104" s="17" t="n"/>
    </row>
    <row r="105" ht="22" customHeight="1">
      <c r="B105" s="19">
        <f>IF(C105="","BNK-"&amp;TEXT(COUNTA($C$5:C105),"000"))</f>
        <v/>
      </c>
      <c r="C105" s="15" t="n"/>
      <c r="D105" s="15" t="n"/>
      <c r="E105" s="15" t="n"/>
      <c r="F105" s="15" t="n"/>
      <c r="G105" s="15" t="n"/>
      <c r="H105" s="15" t="n"/>
      <c r="I105" s="15" t="n"/>
      <c r="J105" s="30">
        <f>IF(OR(I105="",I105=0),"",G105-I105)</f>
        <v/>
      </c>
      <c r="K105" s="15" t="n"/>
    </row>
    <row r="106" ht="22" customHeight="1">
      <c r="B106" s="20">
        <f>IF(C106="","BNK-"&amp;TEXT(COUNTA($C$5:C106),"000"))</f>
        <v/>
      </c>
      <c r="C106" s="17" t="n"/>
      <c r="D106" s="17" t="n"/>
      <c r="E106" s="17" t="n"/>
      <c r="F106" s="17" t="n"/>
      <c r="G106" s="17" t="n"/>
      <c r="H106" s="17" t="n"/>
      <c r="I106" s="17" t="n"/>
      <c r="J106" s="31">
        <f>IF(OR(I106="",I106=0),"",G106-I106)</f>
        <v/>
      </c>
      <c r="K106" s="17" t="n"/>
    </row>
    <row r="107" ht="22" customHeight="1">
      <c r="B107" s="19">
        <f>IF(C107="","BNK-"&amp;TEXT(COUNTA($C$5:C107),"000"))</f>
        <v/>
      </c>
      <c r="C107" s="15" t="n"/>
      <c r="D107" s="15" t="n"/>
      <c r="E107" s="15" t="n"/>
      <c r="F107" s="15" t="n"/>
      <c r="G107" s="15" t="n"/>
      <c r="H107" s="15" t="n"/>
      <c r="I107" s="15" t="n"/>
      <c r="J107" s="30">
        <f>IF(OR(I107="",I107=0),"",G107-I107)</f>
        <v/>
      </c>
      <c r="K107" s="15" t="n"/>
    </row>
    <row r="108" ht="22" customHeight="1">
      <c r="B108" s="20">
        <f>IF(C108="","BNK-"&amp;TEXT(COUNTA($C$5:C108),"000"))</f>
        <v/>
      </c>
      <c r="C108" s="17" t="n"/>
      <c r="D108" s="17" t="n"/>
      <c r="E108" s="17" t="n"/>
      <c r="F108" s="17" t="n"/>
      <c r="G108" s="17" t="n"/>
      <c r="H108" s="17" t="n"/>
      <c r="I108" s="17" t="n"/>
      <c r="J108" s="31">
        <f>IF(OR(I108="",I108=0),"",G108-I108)</f>
        <v/>
      </c>
      <c r="K108" s="17" t="n"/>
    </row>
    <row r="109" ht="22" customHeight="1">
      <c r="B109" s="19">
        <f>IF(C109="","BNK-"&amp;TEXT(COUNTA($C$5:C109),"000"))</f>
        <v/>
      </c>
      <c r="C109" s="15" t="n"/>
      <c r="D109" s="15" t="n"/>
      <c r="E109" s="15" t="n"/>
      <c r="F109" s="15" t="n"/>
      <c r="G109" s="15" t="n"/>
      <c r="H109" s="15" t="n"/>
      <c r="I109" s="15" t="n"/>
      <c r="J109" s="30">
        <f>IF(OR(I109="",I109=0),"",G109-I109)</f>
        <v/>
      </c>
      <c r="K109" s="15" t="n"/>
    </row>
    <row r="111">
      <c r="B111" s="8" t="inlineStr">
        <is>
          <t>INDICATEURS (mis a jour automatiquement)</t>
        </is>
      </c>
    </row>
    <row r="112">
      <c r="B112" s="3" t="inlineStr">
        <is>
          <t>Indicateurs compares</t>
        </is>
      </c>
      <c r="D112" s="3" t="inlineStr">
        <is>
          <t>Au dessus moyenne</t>
        </is>
      </c>
    </row>
    <row r="113">
      <c r="B113" s="4">
        <f>COUNTIF(B5:B104,"&lt;&gt;")</f>
        <v/>
      </c>
      <c r="D113" s="4">
        <f>COUNTIF(J5:J104,"&gt;"&amp;0)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"Pourvu"</formula>
    </cfRule>
    <cfRule type="cellIs" priority="15" operator="equal" dxfId="1">
      <formula>"Diffuse"</formula>
    </cfRule>
    <cfRule type="cellIs" priority="16" operator="equal" dxfId="1">
      <formula>"Realise"</formula>
    </cfRule>
    <cfRule type="cellIs" priority="17" operator="equal" dxfId="1">
      <formula>"Realisee"</formula>
    </cfRule>
    <cfRule type="cellIs" priority="18" operator="equal" dxfId="1">
      <formula>"Conforme"</formula>
    </cfRule>
    <cfRule type="cellIs" priority="19" operator="equal" dxfId="1">
      <formula>"Archive"</formula>
    </cfRule>
    <cfRule type="cellIs" priority="20" operator="equal" dxfId="1">
      <formula>"Completee"</formula>
    </cfRule>
    <cfRule type="cellIs" priority="21" operator="equal" dxfId="1">
      <formula>"Expert"</formula>
    </cfRule>
    <cfRule type="cellIs" priority="22" operator="equal" dxfId="1">
      <formula>"Avance"</formula>
    </cfRule>
    <cfRule type="cellIs" priority="23" operator="equal" dxfId="1">
      <formula>"Atteint"</formula>
    </cfRule>
    <cfRule type="cellIs" priority="24" operator="equal" dxfId="1">
      <formula>"Depasse"</formula>
    </cfRule>
    <cfRule type="cellIs" priority="25" operator="equal" dxfId="2">
      <formula>"En attente"</formula>
    </cfRule>
    <cfRule type="cellIs" priority="26" operator="equal" dxfId="2">
      <formula>"A renouveler"</formula>
    </cfRule>
    <cfRule type="cellIs" priority="27" operator="equal" dxfId="2">
      <formula>"En cours"</formula>
    </cfRule>
    <cfRule type="cellIs" priority="28" operator="equal" dxfId="2">
      <formula>"En traitement"</formula>
    </cfRule>
    <cfRule type="cellIs" priority="29" operator="equal" dxfId="2">
      <formula>"En retard"</formula>
    </cfRule>
    <cfRule type="cellIs" priority="30" operator="equal" dxfId="2">
      <formula>"Suspendu"</formula>
    </cfRule>
    <cfRule type="cellIs" priority="31" operator="equal" dxfId="2">
      <formula>"Planifie"</formula>
    </cfRule>
    <cfRule type="cellIs" priority="32" operator="equal" dxfId="2">
      <formula>"Planifiee"</formula>
    </cfRule>
    <cfRule type="cellIs" priority="33" operator="equal" dxfId="2">
      <formula>"Brouillon"</formula>
    </cfRule>
    <cfRule type="cellIs" priority="34" operator="equal" dxfId="2">
      <formula>"En attente validation"</formula>
    </cfRule>
    <cfRule type="cellIs" priority="35" operator="equal" dxfId="2">
      <formula>"En attente donnees"</formula>
    </cfRule>
    <cfRule type="cellIs" priority="36" operator="equal" dxfId="2">
      <formula>"En preparation"</formula>
    </cfRule>
    <cfRule type="cellIs" priority="37" operator="equal" dxfId="2">
      <formula>"Reporte"</formula>
    </cfRule>
    <cfRule type="cellIs" priority="38" operator="equal" dxfId="2">
      <formula>"Reportee"</formula>
    </cfRule>
    <cfRule type="cellIs" priority="39" operator="equal" dxfId="2">
      <formula>"Non comparable"</formula>
    </cfRule>
    <cfRule type="cellIs" priority="40" operator="equal" dxfId="2">
      <formula>"Partiellement conforme"</formula>
    </cfRule>
    <cfRule type="cellIs" priority="41" operator="equal" dxfId="2">
      <formula>"Non evalue"</formula>
    </cfRule>
    <cfRule type="cellIs" priority="42" operator="equal" dxfId="3">
      <formula>"Expire"</formula>
    </cfRule>
    <cfRule type="cellIs" priority="43" operator="equal" dxfId="3">
      <formula>"Rejete"</formula>
    </cfRule>
    <cfRule type="cellIs" priority="44" operator="equal" dxfId="3">
      <formula>"Rejetee"</formula>
    </cfRule>
    <cfRule type="cellIs" priority="45" operator="equal" dxfId="3">
      <formula>"Resilie"</formula>
    </cfRule>
    <cfRule type="cellIs" priority="46" operator="equal" dxfId="3">
      <formula>"Annule"</formula>
    </cfRule>
    <cfRule type="cellIs" priority="47" operator="equal" dxfId="3">
      <formula>"Annulee"</formula>
    </cfRule>
    <cfRule type="cellIs" priority="48" operator="equal" dxfId="3">
      <formula>"Refuse"</formula>
    </cfRule>
    <cfRule type="cellIs" priority="49" operator="equal" dxfId="3">
      <formula>"Non justifie"</formula>
    </cfRule>
    <cfRule type="cellIs" priority="50" operator="equal" dxfId="3">
      <formula>"Inaptitude"</formula>
    </cfRule>
    <cfRule type="cellIs" priority="51" operator="equal" dxfId="3">
      <formula>"Non satisfait"</formula>
    </cfRule>
    <cfRule type="cellIs" priority="52" operator="equal" dxfId="3">
      <formula>"Echoue"</formula>
    </cfRule>
    <cfRule type="cellIs" priority="53" operator="equal" dxfId="3">
      <formula>"Echouee"</formula>
    </cfRule>
    <cfRule type="cellIs" priority="54" operator="equal" dxfId="3">
      <formula>"Abandonne"</formula>
    </cfRule>
    <cfRule type="cellIs" priority="55" operator="equal" dxfId="3">
      <formula>"Abandonnee"</formula>
    </cfRule>
    <cfRule type="cellIs" priority="56" operator="equal" dxfId="3">
      <formula>"Non conforme"</formula>
    </cfRule>
  </conditionalFormatting>
  <conditionalFormatting sqref="B10:B109">
    <cfRule type="expression" priority="57" dxfId="0">
      <formula>AND($C10="",$C9&lt;&gt;"")</formula>
    </cfRule>
  </conditionalFormatting>
  <conditionalFormatting sqref="C10:C109">
    <cfRule type="expression" priority="58" dxfId="0">
      <formula>AND($C10="",$C9&lt;&gt;"")</formula>
    </cfRule>
  </conditionalFormatting>
  <conditionalFormatting sqref="D10:D109">
    <cfRule type="expression" priority="59" dxfId="0">
      <formula>AND($C10="",$C9&lt;&gt;"")</formula>
    </cfRule>
  </conditionalFormatting>
  <conditionalFormatting sqref="E10:E109">
    <cfRule type="expression" priority="60" dxfId="0">
      <formula>AND($C10="",$C9&lt;&gt;"")</formula>
    </cfRule>
  </conditionalFormatting>
  <conditionalFormatting sqref="F10:F109">
    <cfRule type="expression" priority="61" dxfId="0">
      <formula>AND($C10="",$C9&lt;&gt;"")</formula>
    </cfRule>
  </conditionalFormatting>
  <conditionalFormatting sqref="G10:G109">
    <cfRule type="expression" priority="62" dxfId="0">
      <formula>AND($C10="",$C9&lt;&gt;"")</formula>
    </cfRule>
  </conditionalFormatting>
  <conditionalFormatting sqref="H10:H109">
    <cfRule type="expression" priority="63" dxfId="0">
      <formula>AND($C10="",$C9&lt;&gt;"")</formula>
    </cfRule>
  </conditionalFormatting>
  <conditionalFormatting sqref="I10:I109">
    <cfRule type="expression" priority="64" dxfId="0">
      <formula>AND($C10="",$C9&lt;&gt;"")</formula>
    </cfRule>
  </conditionalFormatting>
  <conditionalFormatting sqref="J10:J109">
    <cfRule type="expression" priority="65" dxfId="0">
      <formula>AND($C10="",$C9&lt;&gt;"")</formula>
    </cfRule>
  </conditionalFormatting>
  <conditionalFormatting sqref="K10:K109">
    <cfRule type="expression" priority="66" dxfId="0">
      <formula>AND($C10="",$C9&lt;&gt;"")</formula>
    </cfRule>
  </conditionalFormatting>
  <dataValidations count="3">
    <dataValidation sqref="D5:D113" showDropDown="0" showInputMessage="0" showErrorMessage="0" allowBlank="1" errorTitle="Valeur invalide" error="Veuillez choisir dans la liste: unite_indicateur" promptTitle="unite_indicateur" prompt="Choisir: unite_indicateur" type="list">
      <formula1>'_Lists'!$Q$2:$Q$50</formula1>
    </dataValidation>
    <dataValidation sqref="I5:I113" showDropDown="0" showInputMessage="0" showErrorMessage="0" allowBlank="1" errorTitle="Valeur invalide" error="Veuillez choisir dans la liste: positionnement" promptTitle="positionnement" prompt="Choisir: positionnement" type="list">
      <formula1>'_Lists'!$R$2:$R$50</formula1>
    </dataValidation>
    <dataValidation sqref="K5:K113" showDropDown="0" showInputMessage="0" showErrorMessage="0" allowBlank="1" errorTitle="Valeur invalide" error="Veuillez choisir dans la liste: statut_benchmark" promptTitle="statut_benchmark" prompt="Choisir: statut_benchmark" type="list">
      <formula1>'_Lists'!$K$2:$K$50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30" customWidth="1" min="5" max="5"/>
    <col width="16" customWidth="1" min="6" max="6"/>
    <col width="20" customWidth="1" min="7" max="7"/>
    <col width="20" customWidth="1" min="8" max="8"/>
    <col width="18" customWidth="1" min="9" max="9"/>
    <col width="28" customWidth="1" min="10" max="10"/>
  </cols>
  <sheetData>
    <row r="1" ht="15" customHeight="1"/>
    <row r="2" ht="32" customHeight="1">
      <c r="B2" s="1" t="inlineStr">
        <is>
          <t>ENQUETES SATISFACTION CLIENT vs. EFFECTIFS (#148)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4" t="inlineStr">
        <is>
          <t>N°</t>
        </is>
      </c>
      <c r="C4" s="14" t="inlineStr">
        <is>
          <t>Mois</t>
        </is>
      </c>
      <c r="D4" s="14" t="inlineStr">
        <is>
          <t>Annee</t>
        </is>
      </c>
      <c r="E4" s="14" t="inlineStr">
        <is>
          <t>Note Satisfaction Client (/10)</t>
        </is>
      </c>
      <c r="F4" s="14" t="inlineStr">
        <is>
          <t>Effectif Service</t>
        </is>
      </c>
      <c r="G4" s="14" t="inlineStr">
        <is>
          <t>Taux Absenteisme (%)</t>
        </is>
      </c>
      <c r="H4" s="14" t="inlineStr">
        <is>
          <t>Taux Turnover (%)</t>
        </is>
      </c>
      <c r="I4" s="14" t="inlineStr">
        <is>
          <t>Heures Formation</t>
        </is>
      </c>
      <c r="J4" s="14" t="inlineStr">
        <is>
          <t>Correlation Client/Effectif</t>
        </is>
      </c>
    </row>
    <row r="5" ht="22" customHeight="1">
      <c r="B5" s="15" t="inlineStr">
        <is>
          <t>ESC-001</t>
        </is>
      </c>
      <c r="C5" s="15" t="inlineStr">
        <is>
          <t>Janvier</t>
        </is>
      </c>
      <c r="D5" s="15" t="inlineStr">
        <is>
          <t>2025</t>
        </is>
      </c>
      <c r="E5" s="30" t="n">
        <v>8.199999999999999</v>
      </c>
      <c r="F5" s="21" t="n">
        <v>89</v>
      </c>
      <c r="G5" s="23" t="n">
        <v>3.8</v>
      </c>
      <c r="H5" s="23" t="n">
        <v>2.2</v>
      </c>
      <c r="I5" s="21" t="n">
        <v>35</v>
      </c>
      <c r="J5" s="16" t="n"/>
    </row>
    <row r="6" ht="22" customHeight="1">
      <c r="B6" s="17" t="inlineStr">
        <is>
          <t>ESC-002</t>
        </is>
      </c>
      <c r="C6" s="17" t="inlineStr">
        <is>
          <t>Fevrier</t>
        </is>
      </c>
      <c r="D6" s="17" t="inlineStr">
        <is>
          <t>2025</t>
        </is>
      </c>
      <c r="E6" s="31" t="n">
        <v>7.9</v>
      </c>
      <c r="F6" s="24" t="n">
        <v>89</v>
      </c>
      <c r="G6" s="26" t="n">
        <v>4.1</v>
      </c>
      <c r="H6" s="26" t="n">
        <v>1.1</v>
      </c>
      <c r="I6" s="24" t="n">
        <v>42</v>
      </c>
      <c r="J6" s="18" t="n"/>
    </row>
    <row r="7" ht="22" customHeight="1">
      <c r="B7" s="15" t="inlineStr">
        <is>
          <t>ESC-003</t>
        </is>
      </c>
      <c r="C7" s="15" t="inlineStr">
        <is>
          <t>Mars</t>
        </is>
      </c>
      <c r="D7" s="15" t="inlineStr">
        <is>
          <t>2025</t>
        </is>
      </c>
      <c r="E7" s="30" t="n">
        <v>7.5</v>
      </c>
      <c r="F7" s="21" t="n">
        <v>90</v>
      </c>
      <c r="G7" s="23" t="n">
        <v>4.5</v>
      </c>
      <c r="H7" s="23" t="n">
        <v>3.3</v>
      </c>
      <c r="I7" s="21" t="n">
        <v>38</v>
      </c>
      <c r="J7" s="16" t="n"/>
    </row>
    <row r="8" ht="22" customHeight="1">
      <c r="B8" s="17" t="inlineStr">
        <is>
          <t>ESC-004</t>
        </is>
      </c>
      <c r="C8" s="17" t="inlineStr">
        <is>
          <t>Avril</t>
        </is>
      </c>
      <c r="D8" s="17" t="inlineStr">
        <is>
          <t>2025</t>
        </is>
      </c>
      <c r="E8" s="31" t="n">
        <v>8</v>
      </c>
      <c r="F8" s="24" t="n">
        <v>89</v>
      </c>
      <c r="G8" s="26" t="n">
        <v>3.9</v>
      </c>
      <c r="H8" s="26" t="n">
        <v>2.2</v>
      </c>
      <c r="I8" s="24" t="n">
        <v>50</v>
      </c>
      <c r="J8" s="18" t="n"/>
    </row>
    <row r="9" ht="22" customHeight="1">
      <c r="B9" s="15" t="inlineStr">
        <is>
          <t>ESC-005</t>
        </is>
      </c>
      <c r="C9" s="15" t="inlineStr">
        <is>
          <t>Mai</t>
        </is>
      </c>
      <c r="D9" s="15" t="inlineStr">
        <is>
          <t>2025</t>
        </is>
      </c>
      <c r="E9" s="30" t="n">
        <v>8.4</v>
      </c>
      <c r="F9" s="21" t="n">
        <v>88</v>
      </c>
      <c r="G9" s="23" t="n">
        <v>3.5</v>
      </c>
      <c r="H9" s="23" t="n">
        <v>2.3</v>
      </c>
      <c r="I9" s="21" t="n">
        <v>55</v>
      </c>
      <c r="J9" s="16" t="n"/>
    </row>
    <row r="10" ht="22" customHeight="1">
      <c r="B10" s="17" t="inlineStr">
        <is>
          <t>ESC-006</t>
        </is>
      </c>
      <c r="C10" s="17" t="inlineStr">
        <is>
          <t>Juin</t>
        </is>
      </c>
      <c r="D10" s="17" t="inlineStr">
        <is>
          <t>2025</t>
        </is>
      </c>
      <c r="E10" s="31" t="n">
        <v>8.6</v>
      </c>
      <c r="F10" s="24" t="n">
        <v>89</v>
      </c>
      <c r="G10" s="26" t="n">
        <v>3.2</v>
      </c>
      <c r="H10" s="26" t="n">
        <v>2.2</v>
      </c>
      <c r="I10" s="24" t="n">
        <v>60</v>
      </c>
      <c r="J10" s="18" t="n"/>
    </row>
    <row r="11" ht="22" customHeight="1">
      <c r="B11" s="19">
        <f>IF(C11="","ESC-"&amp;TEXT(COUNTA($C$5:C11),"000"))</f>
        <v/>
      </c>
      <c r="C11" s="15" t="n"/>
      <c r="D11" s="15" t="n"/>
      <c r="E11" s="30" t="n"/>
      <c r="F11" s="21" t="n"/>
      <c r="G11" s="23" t="n"/>
      <c r="H11" s="23" t="n"/>
      <c r="I11" s="21" t="n"/>
      <c r="J11" s="16" t="n"/>
    </row>
    <row r="12" ht="22" customHeight="1">
      <c r="B12" s="20">
        <f>IF(C12="","ESC-"&amp;TEXT(COUNTA($C$5:C12),"000"))</f>
        <v/>
      </c>
      <c r="C12" s="17" t="n"/>
      <c r="D12" s="17" t="n"/>
      <c r="E12" s="31" t="n"/>
      <c r="F12" s="24" t="n"/>
      <c r="G12" s="26" t="n"/>
      <c r="H12" s="26" t="n"/>
      <c r="I12" s="24" t="n"/>
      <c r="J12" s="18" t="n"/>
    </row>
    <row r="13" ht="22" customHeight="1">
      <c r="B13" s="19">
        <f>IF(C13="","ESC-"&amp;TEXT(COUNTA($C$5:C13),"000"))</f>
        <v/>
      </c>
      <c r="C13" s="15" t="n"/>
      <c r="D13" s="15" t="n"/>
      <c r="E13" s="30" t="n"/>
      <c r="F13" s="21" t="n"/>
      <c r="G13" s="23" t="n"/>
      <c r="H13" s="23" t="n"/>
      <c r="I13" s="21" t="n"/>
      <c r="J13" s="16" t="n"/>
    </row>
    <row r="14" ht="22" customHeight="1">
      <c r="B14" s="20">
        <f>IF(C14="","ESC-"&amp;TEXT(COUNTA($C$5:C14),"000"))</f>
        <v/>
      </c>
      <c r="C14" s="17" t="n"/>
      <c r="D14" s="17" t="n"/>
      <c r="E14" s="31" t="n"/>
      <c r="F14" s="24" t="n"/>
      <c r="G14" s="26" t="n"/>
      <c r="H14" s="26" t="n"/>
      <c r="I14" s="24" t="n"/>
      <c r="J14" s="18" t="n"/>
    </row>
    <row r="15" ht="22" customHeight="1">
      <c r="B15" s="19">
        <f>IF(C15="","ESC-"&amp;TEXT(COUNTA($C$5:C15),"000"))</f>
        <v/>
      </c>
      <c r="C15" s="15" t="n"/>
      <c r="D15" s="15" t="n"/>
      <c r="E15" s="30" t="n"/>
      <c r="F15" s="21" t="n"/>
      <c r="G15" s="23" t="n"/>
      <c r="H15" s="23" t="n"/>
      <c r="I15" s="21" t="n"/>
      <c r="J15" s="16" t="n"/>
    </row>
    <row r="16" ht="22" customHeight="1">
      <c r="B16" s="20">
        <f>IF(C16="","ESC-"&amp;TEXT(COUNTA($C$5:C16),"000"))</f>
        <v/>
      </c>
      <c r="C16" s="17" t="n"/>
      <c r="D16" s="17" t="n"/>
      <c r="E16" s="31" t="n"/>
      <c r="F16" s="24" t="n"/>
      <c r="G16" s="26" t="n"/>
      <c r="H16" s="26" t="n"/>
      <c r="I16" s="24" t="n"/>
      <c r="J16" s="18" t="n"/>
    </row>
    <row r="17" ht="22" customHeight="1">
      <c r="B17" s="19">
        <f>IF(C17="","ESC-"&amp;TEXT(COUNTA($C$5:C17),"000"))</f>
        <v/>
      </c>
      <c r="C17" s="15" t="n"/>
      <c r="D17" s="15" t="n"/>
      <c r="E17" s="30" t="n"/>
      <c r="F17" s="21" t="n"/>
      <c r="G17" s="23" t="n"/>
      <c r="H17" s="23" t="n"/>
      <c r="I17" s="21" t="n"/>
      <c r="J17" s="16" t="n"/>
    </row>
    <row r="18" ht="22" customHeight="1">
      <c r="B18" s="20">
        <f>IF(C18="","ESC-"&amp;TEXT(COUNTA($C$5:C18),"000"))</f>
        <v/>
      </c>
      <c r="C18" s="17" t="n"/>
      <c r="D18" s="17" t="n"/>
      <c r="E18" s="31" t="n"/>
      <c r="F18" s="24" t="n"/>
      <c r="G18" s="26" t="n"/>
      <c r="H18" s="26" t="n"/>
      <c r="I18" s="24" t="n"/>
      <c r="J18" s="18" t="n"/>
    </row>
    <row r="19" ht="22" customHeight="1">
      <c r="B19" s="19">
        <f>IF(C19="","ESC-"&amp;TEXT(COUNTA($C$5:C19),"000"))</f>
        <v/>
      </c>
      <c r="C19" s="15" t="n"/>
      <c r="D19" s="15" t="n"/>
      <c r="E19" s="30" t="n"/>
      <c r="F19" s="21" t="n"/>
      <c r="G19" s="23" t="n"/>
      <c r="H19" s="23" t="n"/>
      <c r="I19" s="21" t="n"/>
      <c r="J19" s="16" t="n"/>
    </row>
    <row r="20" ht="22" customHeight="1">
      <c r="B20" s="20">
        <f>IF(C20="","ESC-"&amp;TEXT(COUNTA($C$5:C20),"000"))</f>
        <v/>
      </c>
      <c r="C20" s="17" t="n"/>
      <c r="D20" s="17" t="n"/>
      <c r="E20" s="31" t="n"/>
      <c r="F20" s="24" t="n"/>
      <c r="G20" s="26" t="n"/>
      <c r="H20" s="26" t="n"/>
      <c r="I20" s="24" t="n"/>
      <c r="J20" s="18" t="n"/>
    </row>
    <row r="21" ht="22" customHeight="1">
      <c r="B21" s="19">
        <f>IF(C21="","ESC-"&amp;TEXT(COUNTA($C$5:C21),"000"))</f>
        <v/>
      </c>
      <c r="C21" s="15" t="n"/>
      <c r="D21" s="15" t="n"/>
      <c r="E21" s="30" t="n"/>
      <c r="F21" s="21" t="n"/>
      <c r="G21" s="23" t="n"/>
      <c r="H21" s="23" t="n"/>
      <c r="I21" s="21" t="n"/>
      <c r="J21" s="16" t="n"/>
    </row>
    <row r="22" ht="22" customHeight="1">
      <c r="B22" s="20">
        <f>IF(C22="","ESC-"&amp;TEXT(COUNTA($C$5:C22),"000"))</f>
        <v/>
      </c>
      <c r="C22" s="17" t="n"/>
      <c r="D22" s="17" t="n"/>
      <c r="E22" s="31" t="n"/>
      <c r="F22" s="24" t="n"/>
      <c r="G22" s="26" t="n"/>
      <c r="H22" s="26" t="n"/>
      <c r="I22" s="24" t="n"/>
      <c r="J22" s="18" t="n"/>
    </row>
    <row r="23" ht="22" customHeight="1">
      <c r="B23" s="19">
        <f>IF(C23="","ESC-"&amp;TEXT(COUNTA($C$5:C23),"000"))</f>
        <v/>
      </c>
      <c r="C23" s="15" t="n"/>
      <c r="D23" s="15" t="n"/>
      <c r="E23" s="30" t="n"/>
      <c r="F23" s="21" t="n"/>
      <c r="G23" s="23" t="n"/>
      <c r="H23" s="23" t="n"/>
      <c r="I23" s="21" t="n"/>
      <c r="J23" s="16" t="n"/>
    </row>
    <row r="24" ht="22" customHeight="1">
      <c r="B24" s="20">
        <f>IF(C24="","ESC-"&amp;TEXT(COUNTA($C$5:C24),"000"))</f>
        <v/>
      </c>
      <c r="C24" s="17" t="n"/>
      <c r="D24" s="17" t="n"/>
      <c r="E24" s="31" t="n"/>
      <c r="F24" s="24" t="n"/>
      <c r="G24" s="26" t="n"/>
      <c r="H24" s="26" t="n"/>
      <c r="I24" s="24" t="n"/>
      <c r="J24" s="18" t="n"/>
    </row>
    <row r="25" ht="22" customHeight="1">
      <c r="B25" s="19">
        <f>IF(C25="","ESC-"&amp;TEXT(COUNTA($C$5:C25),"000"))</f>
        <v/>
      </c>
      <c r="C25" s="15" t="n"/>
      <c r="D25" s="15" t="n"/>
      <c r="E25" s="30" t="n"/>
      <c r="F25" s="21" t="n"/>
      <c r="G25" s="23" t="n"/>
      <c r="H25" s="23" t="n"/>
      <c r="I25" s="21" t="n"/>
      <c r="J25" s="16" t="n"/>
    </row>
    <row r="26" ht="22" customHeight="1">
      <c r="B26" s="20">
        <f>IF(C26="","ESC-"&amp;TEXT(COUNTA($C$5:C26),"000"))</f>
        <v/>
      </c>
      <c r="C26" s="17" t="n"/>
      <c r="D26" s="17" t="n"/>
      <c r="E26" s="31" t="n"/>
      <c r="F26" s="24" t="n"/>
      <c r="G26" s="26" t="n"/>
      <c r="H26" s="26" t="n"/>
      <c r="I26" s="24" t="n"/>
      <c r="J26" s="18" t="n"/>
    </row>
    <row r="27" ht="22" customHeight="1">
      <c r="B27" s="19">
        <f>IF(C27="","ESC-"&amp;TEXT(COUNTA($C$5:C27),"000"))</f>
        <v/>
      </c>
      <c r="C27" s="15" t="n"/>
      <c r="D27" s="15" t="n"/>
      <c r="E27" s="30" t="n"/>
      <c r="F27" s="21" t="n"/>
      <c r="G27" s="23" t="n"/>
      <c r="H27" s="23" t="n"/>
      <c r="I27" s="21" t="n"/>
      <c r="J27" s="16" t="n"/>
    </row>
    <row r="28" ht="22" customHeight="1">
      <c r="B28" s="20">
        <f>IF(C28="","ESC-"&amp;TEXT(COUNTA($C$5:C28),"000"))</f>
        <v/>
      </c>
      <c r="C28" s="17" t="n"/>
      <c r="D28" s="17" t="n"/>
      <c r="E28" s="31" t="n"/>
      <c r="F28" s="24" t="n"/>
      <c r="G28" s="26" t="n"/>
      <c r="H28" s="26" t="n"/>
      <c r="I28" s="24" t="n"/>
      <c r="J28" s="18" t="n"/>
    </row>
    <row r="29" ht="22" customHeight="1">
      <c r="B29" s="19">
        <f>IF(C29="","ESC-"&amp;TEXT(COUNTA($C$5:C29),"000"))</f>
        <v/>
      </c>
      <c r="C29" s="15" t="n"/>
      <c r="D29" s="15" t="n"/>
      <c r="E29" s="30" t="n"/>
      <c r="F29" s="21" t="n"/>
      <c r="G29" s="23" t="n"/>
      <c r="H29" s="23" t="n"/>
      <c r="I29" s="21" t="n"/>
      <c r="J29" s="16" t="n"/>
    </row>
    <row r="30" ht="22" customHeight="1">
      <c r="B30" s="20">
        <f>IF(C30="","ESC-"&amp;TEXT(COUNTA($C$5:C30),"000"))</f>
        <v/>
      </c>
      <c r="C30" s="17" t="n"/>
      <c r="D30" s="17" t="n"/>
      <c r="E30" s="31" t="n"/>
      <c r="F30" s="24" t="n"/>
      <c r="G30" s="26" t="n"/>
      <c r="H30" s="26" t="n"/>
      <c r="I30" s="24" t="n"/>
      <c r="J30" s="18" t="n"/>
    </row>
    <row r="31" ht="22" customHeight="1">
      <c r="B31" s="19">
        <f>IF(C31="","ESC-"&amp;TEXT(COUNTA($C$5:C31),"000"))</f>
        <v/>
      </c>
      <c r="C31" s="15" t="n"/>
      <c r="D31" s="15" t="n"/>
      <c r="E31" s="30" t="n"/>
      <c r="F31" s="21" t="n"/>
      <c r="G31" s="23" t="n"/>
      <c r="H31" s="23" t="n"/>
      <c r="I31" s="21" t="n"/>
      <c r="J31" s="16" t="n"/>
    </row>
    <row r="32" ht="22" customHeight="1">
      <c r="B32" s="20">
        <f>IF(C32="","ESC-"&amp;TEXT(COUNTA($C$5:C32),"000"))</f>
        <v/>
      </c>
      <c r="C32" s="17" t="n"/>
      <c r="D32" s="17" t="n"/>
      <c r="E32" s="31" t="n"/>
      <c r="F32" s="24" t="n"/>
      <c r="G32" s="26" t="n"/>
      <c r="H32" s="26" t="n"/>
      <c r="I32" s="24" t="n"/>
      <c r="J32" s="18" t="n"/>
    </row>
    <row r="33" ht="22" customHeight="1">
      <c r="B33" s="19">
        <f>IF(C33="","ESC-"&amp;TEXT(COUNTA($C$5:C33),"000"))</f>
        <v/>
      </c>
      <c r="C33" s="15" t="n"/>
      <c r="D33" s="15" t="n"/>
      <c r="E33" s="30" t="n"/>
      <c r="F33" s="21" t="n"/>
      <c r="G33" s="23" t="n"/>
      <c r="H33" s="23" t="n"/>
      <c r="I33" s="21" t="n"/>
      <c r="J33" s="16" t="n"/>
    </row>
    <row r="34" ht="22" customHeight="1">
      <c r="B34" s="20">
        <f>IF(C34="","ESC-"&amp;TEXT(COUNTA($C$5:C34),"000"))</f>
        <v/>
      </c>
      <c r="C34" s="17" t="n"/>
      <c r="D34" s="17" t="n"/>
      <c r="E34" s="31" t="n"/>
      <c r="F34" s="24" t="n"/>
      <c r="G34" s="26" t="n"/>
      <c r="H34" s="26" t="n"/>
      <c r="I34" s="24" t="n"/>
      <c r="J34" s="18" t="n"/>
    </row>
    <row r="35" ht="22" customHeight="1">
      <c r="B35" s="19">
        <f>IF(C35="","ESC-"&amp;TEXT(COUNTA($C$5:C35),"000"))</f>
        <v/>
      </c>
      <c r="C35" s="15" t="n"/>
      <c r="D35" s="15" t="n"/>
      <c r="E35" s="30" t="n"/>
      <c r="F35" s="21" t="n"/>
      <c r="G35" s="23" t="n"/>
      <c r="H35" s="23" t="n"/>
      <c r="I35" s="21" t="n"/>
      <c r="J35" s="16" t="n"/>
    </row>
    <row r="36" ht="22" customHeight="1">
      <c r="B36" s="20">
        <f>IF(C36="","ESC-"&amp;TEXT(COUNTA($C$5:C36),"000"))</f>
        <v/>
      </c>
      <c r="C36" s="17" t="n"/>
      <c r="D36" s="17" t="n"/>
      <c r="E36" s="31" t="n"/>
      <c r="F36" s="24" t="n"/>
      <c r="G36" s="26" t="n"/>
      <c r="H36" s="26" t="n"/>
      <c r="I36" s="24" t="n"/>
      <c r="J36" s="18" t="n"/>
    </row>
    <row r="37" ht="22" customHeight="1">
      <c r="B37" s="19">
        <f>IF(C37="","ESC-"&amp;TEXT(COUNTA($C$5:C37),"000"))</f>
        <v/>
      </c>
      <c r="C37" s="15" t="n"/>
      <c r="D37" s="15" t="n"/>
      <c r="E37" s="30" t="n"/>
      <c r="F37" s="21" t="n"/>
      <c r="G37" s="23" t="n"/>
      <c r="H37" s="23" t="n"/>
      <c r="I37" s="21" t="n"/>
      <c r="J37" s="16" t="n"/>
    </row>
    <row r="38" ht="22" customHeight="1">
      <c r="B38" s="20">
        <f>IF(C38="","ESC-"&amp;TEXT(COUNTA($C$5:C38),"000"))</f>
        <v/>
      </c>
      <c r="C38" s="17" t="n"/>
      <c r="D38" s="17" t="n"/>
      <c r="E38" s="31" t="n"/>
      <c r="F38" s="24" t="n"/>
      <c r="G38" s="26" t="n"/>
      <c r="H38" s="26" t="n"/>
      <c r="I38" s="24" t="n"/>
      <c r="J38" s="18" t="n"/>
    </row>
    <row r="39" ht="22" customHeight="1">
      <c r="B39" s="19">
        <f>IF(C39="","ESC-"&amp;TEXT(COUNTA($C$5:C39),"000"))</f>
        <v/>
      </c>
      <c r="C39" s="15" t="n"/>
      <c r="D39" s="15" t="n"/>
      <c r="E39" s="30" t="n"/>
      <c r="F39" s="21" t="n"/>
      <c r="G39" s="23" t="n"/>
      <c r="H39" s="23" t="n"/>
      <c r="I39" s="21" t="n"/>
      <c r="J39" s="16" t="n"/>
    </row>
    <row r="40" ht="22" customHeight="1">
      <c r="B40" s="20">
        <f>IF(C40="","ESC-"&amp;TEXT(COUNTA($C$5:C40),"000"))</f>
        <v/>
      </c>
      <c r="C40" s="17" t="n"/>
      <c r="D40" s="17" t="n"/>
      <c r="E40" s="31" t="n"/>
      <c r="F40" s="24" t="n"/>
      <c r="G40" s="26" t="n"/>
      <c r="H40" s="26" t="n"/>
      <c r="I40" s="24" t="n"/>
      <c r="J40" s="18" t="n"/>
    </row>
    <row r="41" ht="22" customHeight="1">
      <c r="B41" s="19">
        <f>IF(C41="","ESC-"&amp;TEXT(COUNTA($C$5:C41),"000"))</f>
        <v/>
      </c>
      <c r="C41" s="15" t="n"/>
      <c r="D41" s="15" t="n"/>
      <c r="E41" s="30" t="n"/>
      <c r="F41" s="21" t="n"/>
      <c r="G41" s="23" t="n"/>
      <c r="H41" s="23" t="n"/>
      <c r="I41" s="21" t="n"/>
      <c r="J41" s="16" t="n"/>
    </row>
    <row r="42" ht="22" customHeight="1">
      <c r="B42" s="20">
        <f>IF(C42="","ESC-"&amp;TEXT(COUNTA($C$5:C42),"000"))</f>
        <v/>
      </c>
      <c r="C42" s="17" t="n"/>
      <c r="D42" s="17" t="n"/>
      <c r="E42" s="31" t="n"/>
      <c r="F42" s="24" t="n"/>
      <c r="G42" s="26" t="n"/>
      <c r="H42" s="26" t="n"/>
      <c r="I42" s="24" t="n"/>
      <c r="J42" s="18" t="n"/>
    </row>
    <row r="43" ht="22" customHeight="1">
      <c r="B43" s="19">
        <f>IF(C43="","ESC-"&amp;TEXT(COUNTA($C$5:C43),"000"))</f>
        <v/>
      </c>
      <c r="C43" s="15" t="n"/>
      <c r="D43" s="15" t="n"/>
      <c r="E43" s="30" t="n"/>
      <c r="F43" s="21" t="n"/>
      <c r="G43" s="23" t="n"/>
      <c r="H43" s="23" t="n"/>
      <c r="I43" s="21" t="n"/>
      <c r="J43" s="16" t="n"/>
    </row>
    <row r="44" ht="22" customHeight="1">
      <c r="B44" s="20">
        <f>IF(C44="","ESC-"&amp;TEXT(COUNTA($C$5:C44),"000"))</f>
        <v/>
      </c>
      <c r="C44" s="17" t="n"/>
      <c r="D44" s="17" t="n"/>
      <c r="E44" s="31" t="n"/>
      <c r="F44" s="24" t="n"/>
      <c r="G44" s="26" t="n"/>
      <c r="H44" s="26" t="n"/>
      <c r="I44" s="24" t="n"/>
      <c r="J44" s="18" t="n"/>
    </row>
    <row r="45" ht="22" customHeight="1">
      <c r="B45" s="19">
        <f>IF(C45="","ESC-"&amp;TEXT(COUNTA($C$5:C45),"000"))</f>
        <v/>
      </c>
      <c r="C45" s="15" t="n"/>
      <c r="D45" s="15" t="n"/>
      <c r="E45" s="30" t="n"/>
      <c r="F45" s="21" t="n"/>
      <c r="G45" s="23" t="n"/>
      <c r="H45" s="23" t="n"/>
      <c r="I45" s="21" t="n"/>
      <c r="J45" s="16" t="n"/>
    </row>
    <row r="46" ht="22" customHeight="1">
      <c r="B46" s="20">
        <f>IF(C46="","ESC-"&amp;TEXT(COUNTA($C$5:C46),"000"))</f>
        <v/>
      </c>
      <c r="C46" s="17" t="n"/>
      <c r="D46" s="17" t="n"/>
      <c r="E46" s="31" t="n"/>
      <c r="F46" s="24" t="n"/>
      <c r="G46" s="26" t="n"/>
      <c r="H46" s="26" t="n"/>
      <c r="I46" s="24" t="n"/>
      <c r="J46" s="18" t="n"/>
    </row>
    <row r="47" ht="22" customHeight="1">
      <c r="B47" s="19">
        <f>IF(C47="","ESC-"&amp;TEXT(COUNTA($C$5:C47),"000"))</f>
        <v/>
      </c>
      <c r="C47" s="15" t="n"/>
      <c r="D47" s="15" t="n"/>
      <c r="E47" s="30" t="n"/>
      <c r="F47" s="21" t="n"/>
      <c r="G47" s="23" t="n"/>
      <c r="H47" s="23" t="n"/>
      <c r="I47" s="21" t="n"/>
      <c r="J47" s="16" t="n"/>
    </row>
    <row r="48" ht="22" customHeight="1">
      <c r="B48" s="20">
        <f>IF(C48="","ESC-"&amp;TEXT(COUNTA($C$5:C48),"000"))</f>
        <v/>
      </c>
      <c r="C48" s="17" t="n"/>
      <c r="D48" s="17" t="n"/>
      <c r="E48" s="31" t="n"/>
      <c r="F48" s="24" t="n"/>
      <c r="G48" s="26" t="n"/>
      <c r="H48" s="26" t="n"/>
      <c r="I48" s="24" t="n"/>
      <c r="J48" s="18" t="n"/>
    </row>
    <row r="49" ht="22" customHeight="1">
      <c r="B49" s="19">
        <f>IF(C49="","ESC-"&amp;TEXT(COUNTA($C$5:C49),"000"))</f>
        <v/>
      </c>
      <c r="C49" s="15" t="n"/>
      <c r="D49" s="15" t="n"/>
      <c r="E49" s="30" t="n"/>
      <c r="F49" s="21" t="n"/>
      <c r="G49" s="23" t="n"/>
      <c r="H49" s="23" t="n"/>
      <c r="I49" s="21" t="n"/>
      <c r="J49" s="16" t="n"/>
    </row>
    <row r="50" ht="22" customHeight="1">
      <c r="B50" s="20">
        <f>IF(C50="","ESC-"&amp;TEXT(COUNTA($C$5:C50),"000"))</f>
        <v/>
      </c>
      <c r="C50" s="17" t="n"/>
      <c r="D50" s="17" t="n"/>
      <c r="E50" s="31" t="n"/>
      <c r="F50" s="24" t="n"/>
      <c r="G50" s="26" t="n"/>
      <c r="H50" s="26" t="n"/>
      <c r="I50" s="24" t="n"/>
      <c r="J50" s="18" t="n"/>
    </row>
    <row r="51" ht="22" customHeight="1">
      <c r="B51" s="19">
        <f>IF(C51="","ESC-"&amp;TEXT(COUNTA($C$5:C51),"000"))</f>
        <v/>
      </c>
      <c r="C51" s="15" t="n"/>
      <c r="D51" s="15" t="n"/>
      <c r="E51" s="30" t="n"/>
      <c r="F51" s="21" t="n"/>
      <c r="G51" s="23" t="n"/>
      <c r="H51" s="23" t="n"/>
      <c r="I51" s="21" t="n"/>
      <c r="J51" s="16" t="n"/>
    </row>
    <row r="52" ht="22" customHeight="1">
      <c r="B52" s="20">
        <f>IF(C52="","ESC-"&amp;TEXT(COUNTA($C$5:C52),"000"))</f>
        <v/>
      </c>
      <c r="C52" s="17" t="n"/>
      <c r="D52" s="17" t="n"/>
      <c r="E52" s="31" t="n"/>
      <c r="F52" s="24" t="n"/>
      <c r="G52" s="26" t="n"/>
      <c r="H52" s="26" t="n"/>
      <c r="I52" s="24" t="n"/>
      <c r="J52" s="18" t="n"/>
    </row>
    <row r="53" ht="22" customHeight="1">
      <c r="B53" s="19">
        <f>IF(C53="","ESC-"&amp;TEXT(COUNTA($C$5:C53),"000"))</f>
        <v/>
      </c>
      <c r="C53" s="15" t="n"/>
      <c r="D53" s="15" t="n"/>
      <c r="E53" s="30" t="n"/>
      <c r="F53" s="21" t="n"/>
      <c r="G53" s="23" t="n"/>
      <c r="H53" s="23" t="n"/>
      <c r="I53" s="21" t="n"/>
      <c r="J53" s="16" t="n"/>
    </row>
    <row r="54" ht="22" customHeight="1">
      <c r="B54" s="20">
        <f>IF(C54="","ESC-"&amp;TEXT(COUNTA($C$5:C54),"000"))</f>
        <v/>
      </c>
      <c r="C54" s="17" t="n"/>
      <c r="D54" s="17" t="n"/>
      <c r="E54" s="31" t="n"/>
      <c r="F54" s="24" t="n"/>
      <c r="G54" s="26" t="n"/>
      <c r="H54" s="26" t="n"/>
      <c r="I54" s="24" t="n"/>
      <c r="J54" s="18" t="n"/>
    </row>
    <row r="55" ht="22" customHeight="1">
      <c r="B55" s="19">
        <f>IF(C55="","ESC-"&amp;TEXT(COUNTA($C$5:C55),"000"))</f>
        <v/>
      </c>
      <c r="C55" s="15" t="n"/>
      <c r="D55" s="15" t="n"/>
      <c r="E55" s="30" t="n"/>
      <c r="F55" s="21" t="n"/>
      <c r="G55" s="23" t="n"/>
      <c r="H55" s="23" t="n"/>
      <c r="I55" s="21" t="n"/>
      <c r="J55" s="16" t="n"/>
    </row>
    <row r="56" ht="22" customHeight="1">
      <c r="B56" s="20">
        <f>IF(C56="","ESC-"&amp;TEXT(COUNTA($C$5:C56),"000"))</f>
        <v/>
      </c>
      <c r="C56" s="17" t="n"/>
      <c r="D56" s="17" t="n"/>
      <c r="E56" s="31" t="n"/>
      <c r="F56" s="24" t="n"/>
      <c r="G56" s="26" t="n"/>
      <c r="H56" s="26" t="n"/>
      <c r="I56" s="24" t="n"/>
      <c r="J56" s="18" t="n"/>
    </row>
    <row r="57" ht="22" customHeight="1">
      <c r="B57" s="19">
        <f>IF(C57="","ESC-"&amp;TEXT(COUNTA($C$5:C57),"000"))</f>
        <v/>
      </c>
      <c r="C57" s="15" t="n"/>
      <c r="D57" s="15" t="n"/>
      <c r="E57" s="30" t="n"/>
      <c r="F57" s="21" t="n"/>
      <c r="G57" s="23" t="n"/>
      <c r="H57" s="23" t="n"/>
      <c r="I57" s="21" t="n"/>
      <c r="J57" s="16" t="n"/>
    </row>
    <row r="58" ht="22" customHeight="1">
      <c r="B58" s="20">
        <f>IF(C58="","ESC-"&amp;TEXT(COUNTA($C$5:C58),"000"))</f>
        <v/>
      </c>
      <c r="C58" s="17" t="n"/>
      <c r="D58" s="17" t="n"/>
      <c r="E58" s="31" t="n"/>
      <c r="F58" s="24" t="n"/>
      <c r="G58" s="26" t="n"/>
      <c r="H58" s="26" t="n"/>
      <c r="I58" s="24" t="n"/>
      <c r="J58" s="18" t="n"/>
    </row>
    <row r="59" ht="22" customHeight="1">
      <c r="B59" s="19">
        <f>IF(C59="","ESC-"&amp;TEXT(COUNTA($C$5:C59),"000"))</f>
        <v/>
      </c>
      <c r="C59" s="15" t="n"/>
      <c r="D59" s="15" t="n"/>
      <c r="E59" s="30" t="n"/>
      <c r="F59" s="21" t="n"/>
      <c r="G59" s="23" t="n"/>
      <c r="H59" s="23" t="n"/>
      <c r="I59" s="21" t="n"/>
      <c r="J59" s="16" t="n"/>
    </row>
    <row r="60" ht="22" customHeight="1">
      <c r="B60" s="20">
        <f>IF(C60="","ESC-"&amp;TEXT(COUNTA($C$5:C60),"000"))</f>
        <v/>
      </c>
      <c r="C60" s="17" t="n"/>
      <c r="D60" s="17" t="n"/>
      <c r="E60" s="31" t="n"/>
      <c r="F60" s="24" t="n"/>
      <c r="G60" s="26" t="n"/>
      <c r="H60" s="26" t="n"/>
      <c r="I60" s="24" t="n"/>
      <c r="J60" s="18" t="n"/>
    </row>
    <row r="61" ht="22" customHeight="1">
      <c r="B61" s="19">
        <f>IF(C61="","ESC-"&amp;TEXT(COUNTA($C$5:C61),"000"))</f>
        <v/>
      </c>
      <c r="C61" s="15" t="n"/>
      <c r="D61" s="15" t="n"/>
      <c r="E61" s="30" t="n"/>
      <c r="F61" s="21" t="n"/>
      <c r="G61" s="23" t="n"/>
      <c r="H61" s="23" t="n"/>
      <c r="I61" s="21" t="n"/>
      <c r="J61" s="16" t="n"/>
    </row>
    <row r="62" ht="22" customHeight="1">
      <c r="B62" s="20">
        <f>IF(C62="","ESC-"&amp;TEXT(COUNTA($C$5:C62),"000"))</f>
        <v/>
      </c>
      <c r="C62" s="17" t="n"/>
      <c r="D62" s="17" t="n"/>
      <c r="E62" s="31" t="n"/>
      <c r="F62" s="24" t="n"/>
      <c r="G62" s="26" t="n"/>
      <c r="H62" s="26" t="n"/>
      <c r="I62" s="24" t="n"/>
      <c r="J62" s="18" t="n"/>
    </row>
    <row r="63" ht="22" customHeight="1">
      <c r="B63" s="19">
        <f>IF(C63="","ESC-"&amp;TEXT(COUNTA($C$5:C63),"000"))</f>
        <v/>
      </c>
      <c r="C63" s="15" t="n"/>
      <c r="D63" s="15" t="n"/>
      <c r="E63" s="30" t="n"/>
      <c r="F63" s="21" t="n"/>
      <c r="G63" s="23" t="n"/>
      <c r="H63" s="23" t="n"/>
      <c r="I63" s="21" t="n"/>
      <c r="J63" s="16" t="n"/>
    </row>
    <row r="64" ht="22" customHeight="1">
      <c r="B64" s="20">
        <f>IF(C64="","ESC-"&amp;TEXT(COUNTA($C$5:C64),"000"))</f>
        <v/>
      </c>
      <c r="C64" s="17" t="n"/>
      <c r="D64" s="17" t="n"/>
      <c r="E64" s="31" t="n"/>
      <c r="F64" s="24" t="n"/>
      <c r="G64" s="26" t="n"/>
      <c r="H64" s="26" t="n"/>
      <c r="I64" s="24" t="n"/>
      <c r="J64" s="18" t="n"/>
    </row>
    <row r="65" ht="22" customHeight="1">
      <c r="B65" s="19">
        <f>IF(C65="","ESC-"&amp;TEXT(COUNTA($C$5:C65),"000"))</f>
        <v/>
      </c>
      <c r="C65" s="15" t="n"/>
      <c r="D65" s="15" t="n"/>
      <c r="E65" s="30" t="n"/>
      <c r="F65" s="21" t="n"/>
      <c r="G65" s="23" t="n"/>
      <c r="H65" s="23" t="n"/>
      <c r="I65" s="21" t="n"/>
      <c r="J65" s="16" t="n"/>
    </row>
    <row r="66" ht="22" customHeight="1">
      <c r="B66" s="20">
        <f>IF(C66="","ESC-"&amp;TEXT(COUNTA($C$5:C66),"000"))</f>
        <v/>
      </c>
      <c r="C66" s="17" t="n"/>
      <c r="D66" s="17" t="n"/>
      <c r="E66" s="31" t="n"/>
      <c r="F66" s="24" t="n"/>
      <c r="G66" s="26" t="n"/>
      <c r="H66" s="26" t="n"/>
      <c r="I66" s="24" t="n"/>
      <c r="J66" s="18" t="n"/>
    </row>
    <row r="67" ht="22" customHeight="1">
      <c r="B67" s="19">
        <f>IF(C67="","ESC-"&amp;TEXT(COUNTA($C$5:C67),"000"))</f>
        <v/>
      </c>
      <c r="C67" s="15" t="n"/>
      <c r="D67" s="15" t="n"/>
      <c r="E67" s="30" t="n"/>
      <c r="F67" s="21" t="n"/>
      <c r="G67" s="23" t="n"/>
      <c r="H67" s="23" t="n"/>
      <c r="I67" s="21" t="n"/>
      <c r="J67" s="16" t="n"/>
    </row>
    <row r="68" ht="22" customHeight="1">
      <c r="B68" s="20">
        <f>IF(C68="","ESC-"&amp;TEXT(COUNTA($C$5:C68),"000"))</f>
        <v/>
      </c>
      <c r="C68" s="17" t="n"/>
      <c r="D68" s="17" t="n"/>
      <c r="E68" s="31" t="n"/>
      <c r="F68" s="24" t="n"/>
      <c r="G68" s="26" t="n"/>
      <c r="H68" s="26" t="n"/>
      <c r="I68" s="24" t="n"/>
      <c r="J68" s="18" t="n"/>
    </row>
    <row r="69" ht="22" customHeight="1">
      <c r="B69" s="19">
        <f>IF(C69="","ESC-"&amp;TEXT(COUNTA($C$5:C69),"000"))</f>
        <v/>
      </c>
      <c r="C69" s="15" t="n"/>
      <c r="D69" s="15" t="n"/>
      <c r="E69" s="30" t="n"/>
      <c r="F69" s="21" t="n"/>
      <c r="G69" s="23" t="n"/>
      <c r="H69" s="23" t="n"/>
      <c r="I69" s="21" t="n"/>
      <c r="J69" s="16" t="n"/>
    </row>
    <row r="70" ht="22" customHeight="1">
      <c r="B70" s="20">
        <f>IF(C70="","ESC-"&amp;TEXT(COUNTA($C$5:C70),"000"))</f>
        <v/>
      </c>
      <c r="C70" s="17" t="n"/>
      <c r="D70" s="17" t="n"/>
      <c r="E70" s="31" t="n"/>
      <c r="F70" s="24" t="n"/>
      <c r="G70" s="26" t="n"/>
      <c r="H70" s="26" t="n"/>
      <c r="I70" s="24" t="n"/>
      <c r="J70" s="18" t="n"/>
    </row>
    <row r="71" ht="22" customHeight="1">
      <c r="B71" s="19">
        <f>IF(C71="","ESC-"&amp;TEXT(COUNTA($C$5:C71),"000"))</f>
        <v/>
      </c>
      <c r="C71" s="15" t="n"/>
      <c r="D71" s="15" t="n"/>
      <c r="E71" s="30" t="n"/>
      <c r="F71" s="21" t="n"/>
      <c r="G71" s="23" t="n"/>
      <c r="H71" s="23" t="n"/>
      <c r="I71" s="21" t="n"/>
      <c r="J71" s="16" t="n"/>
    </row>
    <row r="72" ht="22" customHeight="1">
      <c r="B72" s="20">
        <f>IF(C72="","ESC-"&amp;TEXT(COUNTA($C$5:C72),"000"))</f>
        <v/>
      </c>
      <c r="C72" s="17" t="n"/>
      <c r="D72" s="17" t="n"/>
      <c r="E72" s="31" t="n"/>
      <c r="F72" s="24" t="n"/>
      <c r="G72" s="26" t="n"/>
      <c r="H72" s="26" t="n"/>
      <c r="I72" s="24" t="n"/>
      <c r="J72" s="18" t="n"/>
    </row>
    <row r="73" ht="22" customHeight="1">
      <c r="B73" s="19">
        <f>IF(C73="","ESC-"&amp;TEXT(COUNTA($C$5:C73),"000"))</f>
        <v/>
      </c>
      <c r="C73" s="15" t="n"/>
      <c r="D73" s="15" t="n"/>
      <c r="E73" s="30" t="n"/>
      <c r="F73" s="21" t="n"/>
      <c r="G73" s="23" t="n"/>
      <c r="H73" s="23" t="n"/>
      <c r="I73" s="21" t="n"/>
      <c r="J73" s="16" t="n"/>
    </row>
    <row r="74" ht="22" customHeight="1">
      <c r="B74" s="20">
        <f>IF(C74="","ESC-"&amp;TEXT(COUNTA($C$5:C74),"000"))</f>
        <v/>
      </c>
      <c r="C74" s="17" t="n"/>
      <c r="D74" s="17" t="n"/>
      <c r="E74" s="31" t="n"/>
      <c r="F74" s="24" t="n"/>
      <c r="G74" s="26" t="n"/>
      <c r="H74" s="26" t="n"/>
      <c r="I74" s="24" t="n"/>
      <c r="J74" s="18" t="n"/>
    </row>
    <row r="75" ht="22" customHeight="1">
      <c r="B75" s="19">
        <f>IF(C75="","ESC-"&amp;TEXT(COUNTA($C$5:C75),"000"))</f>
        <v/>
      </c>
      <c r="C75" s="15" t="n"/>
      <c r="D75" s="15" t="n"/>
      <c r="E75" s="30" t="n"/>
      <c r="F75" s="21" t="n"/>
      <c r="G75" s="23" t="n"/>
      <c r="H75" s="23" t="n"/>
      <c r="I75" s="21" t="n"/>
      <c r="J75" s="16" t="n"/>
    </row>
    <row r="76" ht="22" customHeight="1">
      <c r="B76" s="20">
        <f>IF(C76="","ESC-"&amp;TEXT(COUNTA($C$5:C76),"000"))</f>
        <v/>
      </c>
      <c r="C76" s="17" t="n"/>
      <c r="D76" s="17" t="n"/>
      <c r="E76" s="31" t="n"/>
      <c r="F76" s="24" t="n"/>
      <c r="G76" s="26" t="n"/>
      <c r="H76" s="26" t="n"/>
      <c r="I76" s="24" t="n"/>
      <c r="J76" s="18" t="n"/>
    </row>
    <row r="77" ht="22" customHeight="1">
      <c r="B77" s="19">
        <f>IF(C77="","ESC-"&amp;TEXT(COUNTA($C$5:C77),"000"))</f>
        <v/>
      </c>
      <c r="C77" s="15" t="n"/>
      <c r="D77" s="15" t="n"/>
      <c r="E77" s="30" t="n"/>
      <c r="F77" s="21" t="n"/>
      <c r="G77" s="23" t="n"/>
      <c r="H77" s="23" t="n"/>
      <c r="I77" s="21" t="n"/>
      <c r="J77" s="16" t="n"/>
    </row>
    <row r="78" ht="22" customHeight="1">
      <c r="B78" s="20">
        <f>IF(C78="","ESC-"&amp;TEXT(COUNTA($C$5:C78),"000"))</f>
        <v/>
      </c>
      <c r="C78" s="17" t="n"/>
      <c r="D78" s="17" t="n"/>
      <c r="E78" s="31" t="n"/>
      <c r="F78" s="24" t="n"/>
      <c r="G78" s="26" t="n"/>
      <c r="H78" s="26" t="n"/>
      <c r="I78" s="24" t="n"/>
      <c r="J78" s="18" t="n"/>
    </row>
    <row r="79" ht="22" customHeight="1">
      <c r="B79" s="19">
        <f>IF(C79="","ESC-"&amp;TEXT(COUNTA($C$5:C79),"000"))</f>
        <v/>
      </c>
      <c r="C79" s="15" t="n"/>
      <c r="D79" s="15" t="n"/>
      <c r="E79" s="30" t="n"/>
      <c r="F79" s="21" t="n"/>
      <c r="G79" s="23" t="n"/>
      <c r="H79" s="23" t="n"/>
      <c r="I79" s="21" t="n"/>
      <c r="J79" s="16" t="n"/>
    </row>
    <row r="80" ht="22" customHeight="1">
      <c r="B80" s="20">
        <f>IF(C80="","ESC-"&amp;TEXT(COUNTA($C$5:C80),"000"))</f>
        <v/>
      </c>
      <c r="C80" s="17" t="n"/>
      <c r="D80" s="17" t="n"/>
      <c r="E80" s="31" t="n"/>
      <c r="F80" s="24" t="n"/>
      <c r="G80" s="26" t="n"/>
      <c r="H80" s="26" t="n"/>
      <c r="I80" s="24" t="n"/>
      <c r="J80" s="18" t="n"/>
    </row>
    <row r="81" ht="22" customHeight="1">
      <c r="B81" s="19">
        <f>IF(C81="","ESC-"&amp;TEXT(COUNTA($C$5:C81),"000"))</f>
        <v/>
      </c>
      <c r="C81" s="15" t="n"/>
      <c r="D81" s="15" t="n"/>
      <c r="E81" s="30" t="n"/>
      <c r="F81" s="21" t="n"/>
      <c r="G81" s="23" t="n"/>
      <c r="H81" s="23" t="n"/>
      <c r="I81" s="21" t="n"/>
      <c r="J81" s="16" t="n"/>
    </row>
    <row r="82" ht="22" customHeight="1">
      <c r="B82" s="20">
        <f>IF(C82="","ESC-"&amp;TEXT(COUNTA($C$5:C82),"000"))</f>
        <v/>
      </c>
      <c r="C82" s="17" t="n"/>
      <c r="D82" s="17" t="n"/>
      <c r="E82" s="31" t="n"/>
      <c r="F82" s="24" t="n"/>
      <c r="G82" s="26" t="n"/>
      <c r="H82" s="26" t="n"/>
      <c r="I82" s="24" t="n"/>
      <c r="J82" s="18" t="n"/>
    </row>
    <row r="83" ht="22" customHeight="1">
      <c r="B83" s="19">
        <f>IF(C83="","ESC-"&amp;TEXT(COUNTA($C$5:C83),"000"))</f>
        <v/>
      </c>
      <c r="C83" s="15" t="n"/>
      <c r="D83" s="15" t="n"/>
      <c r="E83" s="30" t="n"/>
      <c r="F83" s="21" t="n"/>
      <c r="G83" s="23" t="n"/>
      <c r="H83" s="23" t="n"/>
      <c r="I83" s="21" t="n"/>
      <c r="J83" s="16" t="n"/>
    </row>
    <row r="84" ht="22" customHeight="1">
      <c r="B84" s="20">
        <f>IF(C84="","ESC-"&amp;TEXT(COUNTA($C$5:C84),"000"))</f>
        <v/>
      </c>
      <c r="C84" s="17" t="n"/>
      <c r="D84" s="17" t="n"/>
      <c r="E84" s="31" t="n"/>
      <c r="F84" s="24" t="n"/>
      <c r="G84" s="26" t="n"/>
      <c r="H84" s="26" t="n"/>
      <c r="I84" s="24" t="n"/>
      <c r="J84" s="18" t="n"/>
    </row>
    <row r="85" ht="22" customHeight="1">
      <c r="B85" s="19">
        <f>IF(C85="","ESC-"&amp;TEXT(COUNTA($C$5:C85),"000"))</f>
        <v/>
      </c>
      <c r="C85" s="15" t="n"/>
      <c r="D85" s="15" t="n"/>
      <c r="E85" s="30" t="n"/>
      <c r="F85" s="21" t="n"/>
      <c r="G85" s="23" t="n"/>
      <c r="H85" s="23" t="n"/>
      <c r="I85" s="21" t="n"/>
      <c r="J85" s="16" t="n"/>
    </row>
    <row r="86" ht="22" customHeight="1">
      <c r="B86" s="20">
        <f>IF(C86="","ESC-"&amp;TEXT(COUNTA($C$5:C86),"000"))</f>
        <v/>
      </c>
      <c r="C86" s="17" t="n"/>
      <c r="D86" s="17" t="n"/>
      <c r="E86" s="31" t="n"/>
      <c r="F86" s="24" t="n"/>
      <c r="G86" s="26" t="n"/>
      <c r="H86" s="26" t="n"/>
      <c r="I86" s="24" t="n"/>
      <c r="J86" s="18" t="n"/>
    </row>
    <row r="87" ht="22" customHeight="1">
      <c r="B87" s="19">
        <f>IF(C87="","ESC-"&amp;TEXT(COUNTA($C$5:C87),"000"))</f>
        <v/>
      </c>
      <c r="C87" s="15" t="n"/>
      <c r="D87" s="15" t="n"/>
      <c r="E87" s="30" t="n"/>
      <c r="F87" s="21" t="n"/>
      <c r="G87" s="23" t="n"/>
      <c r="H87" s="23" t="n"/>
      <c r="I87" s="21" t="n"/>
      <c r="J87" s="16" t="n"/>
    </row>
    <row r="88" ht="22" customHeight="1">
      <c r="B88" s="20">
        <f>IF(C88="","ESC-"&amp;TEXT(COUNTA($C$5:C88),"000"))</f>
        <v/>
      </c>
      <c r="C88" s="17" t="n"/>
      <c r="D88" s="17" t="n"/>
      <c r="E88" s="31" t="n"/>
      <c r="F88" s="24" t="n"/>
      <c r="G88" s="26" t="n"/>
      <c r="H88" s="26" t="n"/>
      <c r="I88" s="24" t="n"/>
      <c r="J88" s="18" t="n"/>
    </row>
    <row r="89" ht="22" customHeight="1">
      <c r="B89" s="19">
        <f>IF(C89="","ESC-"&amp;TEXT(COUNTA($C$5:C89),"000"))</f>
        <v/>
      </c>
      <c r="C89" s="15" t="n"/>
      <c r="D89" s="15" t="n"/>
      <c r="E89" s="30" t="n"/>
      <c r="F89" s="21" t="n"/>
      <c r="G89" s="23" t="n"/>
      <c r="H89" s="23" t="n"/>
      <c r="I89" s="21" t="n"/>
      <c r="J89" s="16" t="n"/>
    </row>
    <row r="90" ht="22" customHeight="1">
      <c r="B90" s="20">
        <f>IF(C90="","ESC-"&amp;TEXT(COUNTA($C$5:C90),"000"))</f>
        <v/>
      </c>
      <c r="C90" s="17" t="n"/>
      <c r="D90" s="17" t="n"/>
      <c r="E90" s="31" t="n"/>
      <c r="F90" s="24" t="n"/>
      <c r="G90" s="26" t="n"/>
      <c r="H90" s="26" t="n"/>
      <c r="I90" s="24" t="n"/>
      <c r="J90" s="18" t="n"/>
    </row>
    <row r="91" ht="22" customHeight="1">
      <c r="B91" s="19">
        <f>IF(C91="","ESC-"&amp;TEXT(COUNTA($C$5:C91),"000"))</f>
        <v/>
      </c>
      <c r="C91" s="15" t="n"/>
      <c r="D91" s="15" t="n"/>
      <c r="E91" s="30" t="n"/>
      <c r="F91" s="21" t="n"/>
      <c r="G91" s="23" t="n"/>
      <c r="H91" s="23" t="n"/>
      <c r="I91" s="21" t="n"/>
      <c r="J91" s="16" t="n"/>
    </row>
    <row r="92" ht="22" customHeight="1">
      <c r="B92" s="20">
        <f>IF(C92="","ESC-"&amp;TEXT(COUNTA($C$5:C92),"000"))</f>
        <v/>
      </c>
      <c r="C92" s="17" t="n"/>
      <c r="D92" s="17" t="n"/>
      <c r="E92" s="31" t="n"/>
      <c r="F92" s="24" t="n"/>
      <c r="G92" s="26" t="n"/>
      <c r="H92" s="26" t="n"/>
      <c r="I92" s="24" t="n"/>
      <c r="J92" s="18" t="n"/>
    </row>
    <row r="93" ht="22" customHeight="1">
      <c r="B93" s="19">
        <f>IF(C93="","ESC-"&amp;TEXT(COUNTA($C$5:C93),"000"))</f>
        <v/>
      </c>
      <c r="C93" s="15" t="n"/>
      <c r="D93" s="15" t="n"/>
      <c r="E93" s="30" t="n"/>
      <c r="F93" s="21" t="n"/>
      <c r="G93" s="23" t="n"/>
      <c r="H93" s="23" t="n"/>
      <c r="I93" s="21" t="n"/>
      <c r="J93" s="16" t="n"/>
    </row>
    <row r="94" ht="22" customHeight="1">
      <c r="B94" s="20">
        <f>IF(C94="","ESC-"&amp;TEXT(COUNTA($C$5:C94),"000"))</f>
        <v/>
      </c>
      <c r="C94" s="17" t="n"/>
      <c r="D94" s="17" t="n"/>
      <c r="E94" s="31" t="n"/>
      <c r="F94" s="24" t="n"/>
      <c r="G94" s="26" t="n"/>
      <c r="H94" s="26" t="n"/>
      <c r="I94" s="24" t="n"/>
      <c r="J94" s="18" t="n"/>
    </row>
    <row r="95" ht="22" customHeight="1">
      <c r="B95" s="19">
        <f>IF(C95="","ESC-"&amp;TEXT(COUNTA($C$5:C95),"000"))</f>
        <v/>
      </c>
      <c r="C95" s="15" t="n"/>
      <c r="D95" s="15" t="n"/>
      <c r="E95" s="30" t="n"/>
      <c r="F95" s="21" t="n"/>
      <c r="G95" s="23" t="n"/>
      <c r="H95" s="23" t="n"/>
      <c r="I95" s="21" t="n"/>
      <c r="J95" s="16" t="n"/>
    </row>
    <row r="96" ht="22" customHeight="1">
      <c r="B96" s="20">
        <f>IF(C96="","ESC-"&amp;TEXT(COUNTA($C$5:C96),"000"))</f>
        <v/>
      </c>
      <c r="C96" s="17" t="n"/>
      <c r="D96" s="17" t="n"/>
      <c r="E96" s="31" t="n"/>
      <c r="F96" s="24" t="n"/>
      <c r="G96" s="26" t="n"/>
      <c r="H96" s="26" t="n"/>
      <c r="I96" s="24" t="n"/>
      <c r="J96" s="18" t="n"/>
    </row>
    <row r="97" ht="22" customHeight="1">
      <c r="B97" s="19">
        <f>IF(C97="","ESC-"&amp;TEXT(COUNTA($C$5:C97),"000"))</f>
        <v/>
      </c>
      <c r="C97" s="15" t="n"/>
      <c r="D97" s="15" t="n"/>
      <c r="E97" s="30" t="n"/>
      <c r="F97" s="21" t="n"/>
      <c r="G97" s="23" t="n"/>
      <c r="H97" s="23" t="n"/>
      <c r="I97" s="21" t="n"/>
      <c r="J97" s="16" t="n"/>
    </row>
    <row r="98" ht="22" customHeight="1">
      <c r="B98" s="20">
        <f>IF(C98="","ESC-"&amp;TEXT(COUNTA($C$5:C98),"000"))</f>
        <v/>
      </c>
      <c r="C98" s="17" t="n"/>
      <c r="D98" s="17" t="n"/>
      <c r="E98" s="31" t="n"/>
      <c r="F98" s="24" t="n"/>
      <c r="G98" s="26" t="n"/>
      <c r="H98" s="26" t="n"/>
      <c r="I98" s="24" t="n"/>
      <c r="J98" s="18" t="n"/>
    </row>
    <row r="99" ht="22" customHeight="1">
      <c r="B99" s="19">
        <f>IF(C99="","ESC-"&amp;TEXT(COUNTA($C$5:C99),"000"))</f>
        <v/>
      </c>
      <c r="C99" s="15" t="n"/>
      <c r="D99" s="15" t="n"/>
      <c r="E99" s="30" t="n"/>
      <c r="F99" s="21" t="n"/>
      <c r="G99" s="23" t="n"/>
      <c r="H99" s="23" t="n"/>
      <c r="I99" s="21" t="n"/>
      <c r="J99" s="16" t="n"/>
    </row>
    <row r="100" ht="22" customHeight="1">
      <c r="B100" s="20">
        <f>IF(C100="","ESC-"&amp;TEXT(COUNTA($C$5:C100),"000"))</f>
        <v/>
      </c>
      <c r="C100" s="17" t="n"/>
      <c r="D100" s="17" t="n"/>
      <c r="E100" s="31" t="n"/>
      <c r="F100" s="24" t="n"/>
      <c r="G100" s="26" t="n"/>
      <c r="H100" s="26" t="n"/>
      <c r="I100" s="24" t="n"/>
      <c r="J100" s="18" t="n"/>
    </row>
    <row r="101" ht="22" customHeight="1">
      <c r="B101" s="19">
        <f>IF(C101="","ESC-"&amp;TEXT(COUNTA($C$5:C101),"000"))</f>
        <v/>
      </c>
      <c r="C101" s="15" t="n"/>
      <c r="D101" s="15" t="n"/>
      <c r="E101" s="30" t="n"/>
      <c r="F101" s="21" t="n"/>
      <c r="G101" s="23" t="n"/>
      <c r="H101" s="23" t="n"/>
      <c r="I101" s="21" t="n"/>
      <c r="J101" s="16" t="n"/>
    </row>
    <row r="102" ht="22" customHeight="1">
      <c r="B102" s="20">
        <f>IF(C102="","ESC-"&amp;TEXT(COUNTA($C$5:C102),"000"))</f>
        <v/>
      </c>
      <c r="C102" s="17" t="n"/>
      <c r="D102" s="17" t="n"/>
      <c r="E102" s="31" t="n"/>
      <c r="F102" s="24" t="n"/>
      <c r="G102" s="26" t="n"/>
      <c r="H102" s="26" t="n"/>
      <c r="I102" s="24" t="n"/>
      <c r="J102" s="18" t="n"/>
    </row>
    <row r="103" ht="22" customHeight="1">
      <c r="B103" s="19">
        <f>IF(C103="","ESC-"&amp;TEXT(COUNTA($C$5:C103),"000"))</f>
        <v/>
      </c>
      <c r="C103" s="15" t="n"/>
      <c r="D103" s="15" t="n"/>
      <c r="E103" s="30" t="n"/>
      <c r="F103" s="21" t="n"/>
      <c r="G103" s="23" t="n"/>
      <c r="H103" s="23" t="n"/>
      <c r="I103" s="21" t="n"/>
      <c r="J103" s="16" t="n"/>
    </row>
    <row r="104" ht="22" customHeight="1">
      <c r="B104" s="20">
        <f>IF(C104="","ESC-"&amp;TEXT(COUNTA($C$5:C104),"000"))</f>
        <v/>
      </c>
      <c r="C104" s="17" t="n"/>
      <c r="D104" s="17" t="n"/>
      <c r="E104" s="31" t="n"/>
      <c r="F104" s="24" t="n"/>
      <c r="G104" s="26" t="n"/>
      <c r="H104" s="26" t="n"/>
      <c r="I104" s="24" t="n"/>
      <c r="J104" s="18" t="n"/>
    </row>
    <row r="105" ht="22" customHeight="1">
      <c r="B105" s="19">
        <f>IF(C105="","ESC-"&amp;TEXT(COUNTA($C$5:C105),"000"))</f>
        <v/>
      </c>
      <c r="C105" s="15" t="n"/>
      <c r="D105" s="15" t="n"/>
      <c r="E105" s="30" t="n"/>
      <c r="F105" s="21" t="n"/>
      <c r="G105" s="23" t="n"/>
      <c r="H105" s="23" t="n"/>
      <c r="I105" s="21" t="n"/>
      <c r="J105" s="16" t="n"/>
    </row>
    <row r="106" ht="22" customHeight="1">
      <c r="B106" s="20">
        <f>IF(C106="","ESC-"&amp;TEXT(COUNTA($C$5:C106),"000"))</f>
        <v/>
      </c>
      <c r="C106" s="17" t="n"/>
      <c r="D106" s="17" t="n"/>
      <c r="E106" s="31" t="n"/>
      <c r="F106" s="24" t="n"/>
      <c r="G106" s="26" t="n"/>
      <c r="H106" s="26" t="n"/>
      <c r="I106" s="24" t="n"/>
      <c r="J106" s="18" t="n"/>
    </row>
    <row r="107" ht="22" customHeight="1">
      <c r="B107" s="19">
        <f>IF(C107="","ESC-"&amp;TEXT(COUNTA($C$5:C107),"000"))</f>
        <v/>
      </c>
      <c r="C107" s="15" t="n"/>
      <c r="D107" s="15" t="n"/>
      <c r="E107" s="30" t="n"/>
      <c r="F107" s="21" t="n"/>
      <c r="G107" s="23" t="n"/>
      <c r="H107" s="23" t="n"/>
      <c r="I107" s="21" t="n"/>
      <c r="J107" s="16" t="n"/>
    </row>
    <row r="108" ht="22" customHeight="1">
      <c r="B108" s="20">
        <f>IF(C108="","ESC-"&amp;TEXT(COUNTA($C$5:C108),"000"))</f>
        <v/>
      </c>
      <c r="C108" s="17" t="n"/>
      <c r="D108" s="17" t="n"/>
      <c r="E108" s="31" t="n"/>
      <c r="F108" s="24" t="n"/>
      <c r="G108" s="26" t="n"/>
      <c r="H108" s="26" t="n"/>
      <c r="I108" s="24" t="n"/>
      <c r="J108" s="18" t="n"/>
    </row>
    <row r="109" ht="22" customHeight="1">
      <c r="B109" s="19">
        <f>IF(C109="","ESC-"&amp;TEXT(COUNTA($C$5:C109),"000"))</f>
        <v/>
      </c>
      <c r="C109" s="15" t="n"/>
      <c r="D109" s="15" t="n"/>
      <c r="E109" s="30" t="n"/>
      <c r="F109" s="21" t="n"/>
      <c r="G109" s="23" t="n"/>
      <c r="H109" s="23" t="n"/>
      <c r="I109" s="21" t="n"/>
      <c r="J109" s="16" t="n"/>
    </row>
    <row r="110" ht="22" customHeight="1">
      <c r="B110" s="20">
        <f>IF(C110="","ESC-"&amp;TEXT(COUNTA($C$5:C110),"000"))</f>
        <v/>
      </c>
      <c r="C110" s="17" t="n"/>
      <c r="D110" s="17" t="n"/>
      <c r="E110" s="31" t="n"/>
      <c r="F110" s="24" t="n"/>
      <c r="G110" s="26" t="n"/>
      <c r="H110" s="26" t="n"/>
      <c r="I110" s="24" t="n"/>
      <c r="J110" s="18" t="n"/>
    </row>
    <row r="112">
      <c r="B112" s="8" t="inlineStr">
        <is>
          <t>INDICATEURS (mis a jour automatiquement)</t>
        </is>
      </c>
    </row>
    <row r="113">
      <c r="B113" s="3" t="inlineStr">
        <is>
          <t>Mois analyses</t>
        </is>
      </c>
      <c r="D113" s="3" t="inlineStr">
        <is>
          <t>Satisfaction moy.</t>
        </is>
      </c>
      <c r="F113" s="3" t="inlineStr">
        <is>
          <t>Effectif moy.</t>
        </is>
      </c>
    </row>
    <row r="114">
      <c r="B114" s="4">
        <f>COUNTIF(B5:B104,"&lt;&gt;")</f>
        <v/>
      </c>
      <c r="D114" s="4">
        <f>IFERROR(AVERAGE(E5:E104),0)</f>
        <v/>
      </c>
      <c r="F114" s="4">
        <f>IFERROR(AVERAGE(F5:F104),0)</f>
        <v/>
      </c>
    </row>
  </sheetData>
  <mergeCells count="3">
    <mergeCell ref="B112:J112"/>
    <mergeCell ref="B3:J3"/>
    <mergeCell ref="B2:J2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'_Lists'!$F$2:$F$13</formula1>
    </dataValidation>
    <dataValidation sqref="D5:D110" showDropDown="0" showInputMessage="0" showErrorMessage="0" allowBlank="1" errorTitle="Erreur" error="Valeur invalide" promptTitle="Liste" prompt="Choisir dans la liste" type="list">
      <formula1>'_Lists'!$G$2:$G$4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2026-07-07T08:46:56Z</dcterms:created>
  <dcterms:modified xmlns:dcterms="http://purl.org/dc/terms/" xmlns:xsi="http://www.w3.org/2001/XMLSchema-instance" xsi:type="dcterms:W3CDTF">2026-07-09T17:41:25Z</dcterms:modified>
</cp:coreProperties>
</file>