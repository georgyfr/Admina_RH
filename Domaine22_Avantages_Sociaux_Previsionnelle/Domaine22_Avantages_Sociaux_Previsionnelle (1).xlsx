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01 - _Données Employés" sheetId="1" state="visible" r:id="rId1"/>
    <sheet xmlns:r="http://schemas.openxmlformats.org/officeDocument/2006/relationships" name="F02 - _Lists" sheetId="2" state="visible" r:id="rId2"/>
    <sheet xmlns:r="http://schemas.openxmlformats.org/officeDocument/2006/relationships" name="F03 - 1-Tableau de Bord" sheetId="3" state="visible" r:id="rId3"/>
    <sheet xmlns:r="http://schemas.openxmlformats.org/officeDocument/2006/relationships" name="F04 - 2-Référentiel Avant." sheetId="4" state="visible" r:id="rId4"/>
    <sheet xmlns:r="http://schemas.openxmlformats.org/officeDocument/2006/relationships" name="F05 - 3-Inscription Avant." sheetId="5" state="visible" r:id="rId5"/>
    <sheet xmlns:r="http://schemas.openxmlformats.org/officeDocument/2006/relationships" name="F06 - 4-Suivi Cotisations" sheetId="6" state="visible" r:id="rId6"/>
    <sheet xmlns:r="http://schemas.openxmlformats.org/officeDocument/2006/relationships" name="F07 - 5-Gest. Fournisseurs" sheetId="7" state="visible" r:id="rId7"/>
    <sheet xmlns:r="http://schemas.openxmlformats.org/officeDocument/2006/relationships" name="F08 - 6-Prévoyance Santé" sheetId="8" state="visible" r:id="rId8"/>
    <sheet xmlns:r="http://schemas.openxmlformats.org/officeDocument/2006/relationships" name="F09 - 7-Retraite Complém." sheetId="9" state="visible" r:id="rId9"/>
    <sheet xmlns:r="http://schemas.openxmlformats.org/officeDocument/2006/relationships" name="F10 - 8-Avant. Alimentation" sheetId="10" state="visible" r:id="rId10"/>
    <sheet xmlns:r="http://schemas.openxmlformats.org/officeDocument/2006/relationships" name="F11 - 9-Avantages Transport" sheetId="11" state="visible" r:id="rId11"/>
    <sheet xmlns:r="http://schemas.openxmlformats.org/officeDocument/2006/relationships" name="F12 - 10-Prêts et Avances" sheetId="12" state="visible" r:id="rId12"/>
    <sheet xmlns:r="http://schemas.openxmlformats.org/officeDocument/2006/relationships" name="F13 - 11-Gestion Logement" sheetId="13" state="visible" r:id="rId13"/>
    <sheet xmlns:r="http://schemas.openxmlformats.org/officeDocument/2006/relationships" name="F14 - 12-Analyse Coûts Av." sheetId="14" state="visible" r:id="rId14"/>
    <sheet xmlns:r="http://schemas.openxmlformats.org/officeDocument/2006/relationships" name="F15 - 13-Plafonds Exonér." sheetId="15" state="visible" r:id="rId15"/>
    <sheet xmlns:r="http://schemas.openxmlformats.org/officeDocument/2006/relationships" name="F16 - 14-Suivi Réclamations" sheetId="16" state="visible" r:id="rId16"/>
    <sheet xmlns:r="http://schemas.openxmlformats.org/officeDocument/2006/relationships" name="F17 - 15-Hist. Modif." sheetId="17" state="visible" r:id="rId17"/>
    <sheet xmlns:r="http://schemas.openxmlformats.org/officeDocument/2006/relationships" name="F18 - 16-Cal. Renouvellements" sheetId="18" state="visible" r:id="rId18"/>
    <sheet xmlns:r="http://schemas.openxmlformats.org/officeDocument/2006/relationships" name="F19 - 17-Matrice Emp-Avant" sheetId="19" state="visible" r:id="rId19"/>
    <sheet xmlns:r="http://schemas.openxmlformats.org/officeDocument/2006/relationships" name="F20 - 18-TdB Financier" sheetId="20" state="visible" r:id="rId20"/>
    <sheet xmlns:r="http://schemas.openxmlformats.org/officeDocument/2006/relationships" name="F21 - 19-Analyse Tx Couv.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757575"/>
      <sz val="9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b val="1"/>
      <color rgb="002E7D32"/>
      <sz val="10"/>
    </font>
    <font>
      <name val="Calibri"/>
      <b val="1"/>
      <color rgb="00757575"/>
      <sz val="9"/>
    </font>
    <font>
      <name val="Calibri"/>
      <b val="1"/>
      <color rgb="002E7D32"/>
      <sz val="16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C8E6C9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7" fillId="5" borderId="0" applyAlignment="1" pivotButton="0" quotePrefix="0" xfId="0">
      <alignment horizontal="center" vertical="center"/>
    </xf>
    <xf numFmtId="3" fontId="7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0" fontId="3" fillId="4" borderId="1" pivotButton="0" quotePrefix="0" xfId="0"/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pivotButton="0" quotePrefix="0" xfId="0"/>
    <xf numFmtId="3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8" fillId="6" borderId="1" pivotButton="0" quotePrefix="0" xfId="0"/>
    <xf numFmtId="3" fontId="8" fillId="6" borderId="1" pivotButton="0" quotePrefix="0" xfId="0"/>
    <xf numFmtId="165" fontId="8" fillId="6" borderId="1" pivotButton="0" quotePrefix="0" xfId="0"/>
    <xf numFmtId="3" fontId="3" fillId="4" borderId="1" applyAlignment="1" pivotButton="0" quotePrefix="0" xfId="0">
      <alignment horizontal="left" vertical="center" wrapText="1"/>
    </xf>
    <xf numFmtId="3" fontId="3" fillId="5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left" vertical="center" wrapText="1"/>
    </xf>
    <xf numFmtId="3" fontId="8" fillId="4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4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165" fontId="8" fillId="6" borderId="1" pivotButton="0" quotePrefix="0" xfId="0"/>
    <xf numFmtId="165" fontId="3" fillId="4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Calibri"/>
        <b val="1"/>
        <color rgb="00000000"/>
        <sz val="9"/>
      </font>
      <fill>
        <patternFill patternType="solid">
          <fgColor rgb="00C8E6C9"/>
        </patternFill>
      </fill>
    </dxf>
    <dxf>
      <font>
        <name val="Calibri"/>
        <b val="1"/>
        <color rgb="00000000"/>
        <sz val="9"/>
      </font>
      <fill>
        <patternFill patternType="solid">
          <fgColor rgb="00FFCDD2"/>
        </patternFill>
      </fill>
    </dxf>
    <dxf>
      <font>
        <name val="Calibri"/>
        <b val="1"/>
        <color rgb="00000000"/>
        <sz val="9"/>
      </font>
      <fill>
        <patternFill patternType="solid">
          <fgColor rgb="00FFF9C4"/>
        </patternFill>
      </fill>
    </dxf>
    <dxf>
      <font>
        <name val="Calibri"/>
        <b val="1"/>
        <color rgb="00000000"/>
        <sz val="9"/>
      </font>
      <fill>
        <patternFill patternType="solid">
          <fgColor rgb="00FFE0B2"/>
        </patternFill>
      </fill>
    </dxf>
    <dxf>
      <font>
        <name val="Calibri"/>
        <b val="1"/>
        <color rgb="00000000"/>
        <sz val="9"/>
      </font>
      <fill>
        <patternFill patternType="solid">
          <fgColor rgb="00FFFFFF"/>
        </patternFill>
      </fill>
    </dxf>
    <dxf>
      <font>
        <name val="Calibri"/>
        <b val="1"/>
        <sz val="9"/>
      </font>
      <fill>
        <patternFill patternType="solid">
          <fgColor rgb="00FFCDD2"/>
        </patternFill>
      </fill>
    </dxf>
    <dxf>
      <font>
        <name val="Calibri"/>
        <b val="1"/>
        <sz val="9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4" customWidth="1" min="4" max="4"/>
    <col width="26" customWidth="1" min="5" max="5"/>
    <col width="16" customWidth="1" min="6" max="6"/>
    <col width="12" customWidth="1" min="7" max="7"/>
    <col width="16" customWidth="1" min="8" max="8"/>
    <col width="22" customWidth="1" min="9" max="9"/>
    <col width="22" customWidth="1" min="10" max="10"/>
  </cols>
  <sheetData>
    <row r="1" ht="8" customHeight="1"/>
    <row r="2" ht="30" customHeight="1">
      <c r="A2" s="1" t="inlineStr">
        <is>
          <t>DONNÉES EMPLOYÉS — Base de référence Avantages Sociaux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</t>
        </is>
      </c>
      <c r="C5" s="4" t="inlineStr">
        <is>
          <t>Prénom</t>
        </is>
      </c>
      <c r="D5" s="4" t="inlineStr">
        <is>
          <t>Département</t>
        </is>
      </c>
      <c r="E5" s="4" t="inlineStr">
        <is>
          <t>Poste</t>
        </is>
      </c>
      <c r="F5" s="4" t="inlineStr">
        <is>
          <t>Date Embauche</t>
        </is>
      </c>
      <c r="G5" s="4" t="inlineStr">
        <is>
          <t>Statut</t>
        </is>
      </c>
      <c r="H5" s="4" t="inlineStr">
        <is>
          <t>Classification</t>
        </is>
      </c>
      <c r="I5" s="4" t="inlineStr">
        <is>
          <t>Salaire de base (FCFA)</t>
        </is>
      </c>
      <c r="J5" s="4" t="inlineStr">
        <is>
          <t>Ancienneté (années)</t>
        </is>
      </c>
    </row>
    <row r="6" ht="22" customHeight="1">
      <c r="A6" s="5" t="inlineStr">
        <is>
          <t>EMP-001</t>
        </is>
      </c>
      <c r="B6" s="5" t="inlineStr">
        <is>
          <t>Nkoulou</t>
        </is>
      </c>
      <c r="C6" s="5" t="inlineStr">
        <is>
          <t>Patrice</t>
        </is>
      </c>
      <c r="D6" s="5" t="inlineStr">
        <is>
          <t>Direction Générale</t>
        </is>
      </c>
      <c r="E6" s="5" t="inlineStr">
        <is>
          <t>Réceptionniste chef</t>
        </is>
      </c>
      <c r="F6" s="40" t="n">
        <v>43174</v>
      </c>
      <c r="G6" s="5" t="inlineStr">
        <is>
          <t>CDI</t>
        </is>
      </c>
      <c r="H6" s="5" t="inlineStr">
        <is>
          <t>E4</t>
        </is>
      </c>
      <c r="I6" s="7" t="n">
        <v>350000</v>
      </c>
      <c r="J6" s="8">
        <f>IF(F6="","",DATEDIF(F6,TODAY(),"Y")&amp;" ans "&amp;DATEDIF(F6,TODAY(),"YM")&amp;" mois")</f>
        <v/>
      </c>
      <c r="K6" s="5" t="n"/>
      <c r="L6" s="5" t="n"/>
      <c r="M6" s="5" t="n"/>
      <c r="N6" s="5" t="n"/>
    </row>
    <row r="7" ht="22" customHeight="1">
      <c r="A7" s="9" t="inlineStr">
        <is>
          <t>EMP-002</t>
        </is>
      </c>
      <c r="B7" s="9" t="inlineStr">
        <is>
          <t>Mbarga</t>
        </is>
      </c>
      <c r="C7" s="9" t="inlineStr">
        <is>
          <t>Sylvie</t>
        </is>
      </c>
      <c r="D7" s="9" t="inlineStr">
        <is>
          <t>Cuisine &amp; Restauration</t>
        </is>
      </c>
      <c r="E7" s="9" t="inlineStr">
        <is>
          <t>Chef Cuisinier</t>
        </is>
      </c>
      <c r="F7" s="41" t="n">
        <v>42552</v>
      </c>
      <c r="G7" s="9" t="inlineStr">
        <is>
          <t>CDI</t>
        </is>
      </c>
      <c r="H7" s="9" t="inlineStr">
        <is>
          <t>E5</t>
        </is>
      </c>
      <c r="I7" s="11" t="n">
        <v>420000</v>
      </c>
      <c r="J7" s="12">
        <f>IF(F7="","",DATEDIF(F7,TODAY(),"Y")&amp;" ans "&amp;DATEDIF(F7,TODAY(),"YM")&amp;" mois")</f>
        <v/>
      </c>
      <c r="K7" s="9" t="n"/>
      <c r="L7" s="9" t="n"/>
      <c r="M7" s="9" t="n"/>
      <c r="N7" s="9" t="n"/>
    </row>
    <row r="8" ht="22" customHeight="1">
      <c r="A8" s="5" t="inlineStr">
        <is>
          <t>EMP-003</t>
        </is>
      </c>
      <c r="B8" s="5" t="inlineStr">
        <is>
          <t>Nganou</t>
        </is>
      </c>
      <c r="C8" s="5" t="inlineStr">
        <is>
          <t>Clémentine</t>
        </is>
      </c>
      <c r="D8" s="5" t="inlineStr">
        <is>
          <t>Hébergement</t>
        </is>
      </c>
      <c r="E8" s="5" t="inlineStr">
        <is>
          <t>Gouvernante</t>
        </is>
      </c>
      <c r="F8" s="40" t="n">
        <v>43475</v>
      </c>
      <c r="G8" s="5" t="inlineStr">
        <is>
          <t>CDI</t>
        </is>
      </c>
      <c r="H8" s="5" t="inlineStr">
        <is>
          <t>E4</t>
        </is>
      </c>
      <c r="I8" s="7" t="n">
        <v>320000</v>
      </c>
      <c r="J8" s="8">
        <f>IF(F8="","",DATEDIF(F8,TODAY(),"Y")&amp;" ans "&amp;DATEDIF(F8,TODAY(),"YM")&amp;" mois")</f>
        <v/>
      </c>
      <c r="K8" s="5" t="n"/>
      <c r="L8" s="5" t="n"/>
      <c r="M8" s="5" t="n"/>
      <c r="N8" s="5" t="n"/>
    </row>
    <row r="9" ht="22" customHeight="1">
      <c r="A9" s="9" t="inlineStr">
        <is>
          <t>EMP-004</t>
        </is>
      </c>
      <c r="B9" s="9" t="inlineStr">
        <is>
          <t>Tchinda</t>
        </is>
      </c>
      <c r="C9" s="9" t="inlineStr">
        <is>
          <t>Albert</t>
        </is>
      </c>
      <c r="D9" s="9" t="inlineStr">
        <is>
          <t>Cuisine &amp; Restauration</t>
        </is>
      </c>
      <c r="E9" s="9" t="inlineStr">
        <is>
          <t>Serveur</t>
        </is>
      </c>
      <c r="F9" s="41" t="n">
        <v>44805</v>
      </c>
      <c r="G9" s="9" t="inlineStr">
        <is>
          <t>CDD</t>
        </is>
      </c>
      <c r="H9" s="9" t="inlineStr">
        <is>
          <t>E2</t>
        </is>
      </c>
      <c r="I9" s="11" t="n">
        <v>180000</v>
      </c>
      <c r="J9" s="12">
        <f>IF(F9="","",DATEDIF(F9,TODAY(),"Y")&amp;" ans "&amp;DATEDIF(F9,TODAY(),"YM")&amp;" mois")</f>
        <v/>
      </c>
      <c r="K9" s="9" t="n"/>
      <c r="L9" s="9" t="n"/>
      <c r="M9" s="9" t="n"/>
      <c r="N9" s="9" t="n"/>
    </row>
    <row r="10" ht="22" customHeight="1">
      <c r="A10" s="5" t="inlineStr">
        <is>
          <t>EMP-005</t>
        </is>
      </c>
      <c r="B10" s="5" t="inlineStr">
        <is>
          <t>Bessa</t>
        </is>
      </c>
      <c r="C10" s="5" t="inlineStr">
        <is>
          <t>Jean-Pierre</t>
        </is>
      </c>
      <c r="D10" s="5" t="inlineStr">
        <is>
          <t>Sécurité</t>
        </is>
      </c>
      <c r="E10" s="5" t="inlineStr">
        <is>
          <t>Chef Sécurité</t>
        </is>
      </c>
      <c r="F10" s="40" t="n">
        <v>43059</v>
      </c>
      <c r="G10" s="5" t="inlineStr">
        <is>
          <t>CDI</t>
        </is>
      </c>
      <c r="H10" s="5" t="inlineStr">
        <is>
          <t>E4</t>
        </is>
      </c>
      <c r="I10" s="7" t="n">
        <v>300000</v>
      </c>
      <c r="J10" s="8">
        <f>IF(F10="","",DATEDIF(F10,TODAY(),"Y")&amp;" ans "&amp;DATEDIF(F10,TODAY(),"YM")&amp;" mois")</f>
        <v/>
      </c>
      <c r="K10" s="5" t="n"/>
      <c r="L10" s="5" t="n"/>
      <c r="M10" s="5" t="n"/>
      <c r="N10" s="5" t="n"/>
    </row>
    <row r="11" ht="22" customHeight="1">
      <c r="A11" s="9" t="inlineStr">
        <is>
          <t>EMP-006</t>
        </is>
      </c>
      <c r="B11" s="9" t="inlineStr">
        <is>
          <t>Fotso</t>
        </is>
      </c>
      <c r="C11" s="9" t="inlineStr">
        <is>
          <t>Marie</t>
        </is>
      </c>
      <c r="D11" s="9" t="inlineStr">
        <is>
          <t>Finance &amp; Comptabilité</t>
        </is>
      </c>
      <c r="E11" s="9" t="inlineStr">
        <is>
          <t>Comptable</t>
        </is>
      </c>
      <c r="F11" s="41" t="n">
        <v>43997</v>
      </c>
      <c r="G11" s="9" t="inlineStr">
        <is>
          <t>CDI</t>
        </is>
      </c>
      <c r="H11" s="9" t="inlineStr">
        <is>
          <t>E4</t>
        </is>
      </c>
      <c r="I11" s="11" t="n">
        <v>340000</v>
      </c>
      <c r="J11" s="12">
        <f>IF(F11="","",DATEDIF(F11,TODAY(),"Y")&amp;" ans "&amp;DATEDIF(F11,TODAY(),"YM")&amp;" mois")</f>
        <v/>
      </c>
      <c r="K11" s="9" t="n"/>
      <c r="L11" s="9" t="n"/>
      <c r="M11" s="9" t="n"/>
      <c r="N11" s="9" t="n"/>
    </row>
    <row r="12" ht="22" customHeight="1">
      <c r="A12" s="5" t="inlineStr">
        <is>
          <t>EMP-007</t>
        </is>
      </c>
      <c r="B12" s="5" t="inlineStr">
        <is>
          <t>Kamga</t>
        </is>
      </c>
      <c r="C12" s="5" t="inlineStr">
        <is>
          <t>Samuel</t>
        </is>
      </c>
      <c r="D12" s="5" t="inlineStr">
        <is>
          <t>Entretien &amp; Maintenance</t>
        </is>
      </c>
      <c r="E12" s="5" t="inlineStr">
        <is>
          <t>Technicien</t>
        </is>
      </c>
      <c r="F12" s="40" t="n">
        <v>44958</v>
      </c>
      <c r="G12" s="5" t="inlineStr">
        <is>
          <t>CDI</t>
        </is>
      </c>
      <c r="H12" s="5" t="inlineStr">
        <is>
          <t>E2</t>
        </is>
      </c>
      <c r="I12" s="7" t="n">
        <v>195000</v>
      </c>
      <c r="J12" s="8">
        <f>IF(F12="","",DATEDIF(F12,TODAY(),"Y")&amp;" ans "&amp;DATEDIF(F12,TODAY(),"YM")&amp;" mois")</f>
        <v/>
      </c>
      <c r="K12" s="5" t="n"/>
      <c r="L12" s="5" t="n"/>
      <c r="M12" s="5" t="n"/>
      <c r="N12" s="5" t="n"/>
    </row>
    <row r="13" ht="22" customHeight="1">
      <c r="A13" s="9" t="inlineStr">
        <is>
          <t>EMP-008</t>
        </is>
      </c>
      <c r="B13" s="9" t="inlineStr">
        <is>
          <t>Djomga</t>
        </is>
      </c>
      <c r="C13" s="9" t="inlineStr">
        <is>
          <t>Thérèse</t>
        </is>
      </c>
      <c r="D13" s="9" t="inlineStr">
        <is>
          <t>Réception &amp; Front Office</t>
        </is>
      </c>
      <c r="E13" s="9" t="inlineStr">
        <is>
          <t>Concierge</t>
        </is>
      </c>
      <c r="F13" s="41" t="n">
        <v>42095</v>
      </c>
      <c r="G13" s="9" t="inlineStr">
        <is>
          <t>CDI</t>
        </is>
      </c>
      <c r="H13" s="9" t="inlineStr">
        <is>
          <t>E4</t>
        </is>
      </c>
      <c r="I13" s="11" t="n">
        <v>310000</v>
      </c>
      <c r="J13" s="12">
        <f>IF(F13="","",DATEDIF(F13,TODAY(),"Y")&amp;" ans "&amp;DATEDIF(F13,TODAY(),"YM")&amp;" mois")</f>
        <v/>
      </c>
      <c r="K13" s="9" t="n"/>
      <c r="L13" s="9" t="n"/>
      <c r="M13" s="9" t="n"/>
      <c r="N13" s="9" t="n"/>
    </row>
    <row r="14" ht="22" customHeight="1">
      <c r="A14" s="5" t="inlineStr">
        <is>
          <t>EMP-009</t>
        </is>
      </c>
      <c r="B14" s="5" t="inlineStr">
        <is>
          <t>Tabi</t>
        </is>
      </c>
      <c r="C14" s="5" t="inlineStr">
        <is>
          <t>Emmanuel</t>
        </is>
      </c>
      <c r="D14" s="5" t="inlineStr">
        <is>
          <t>Cuisine &amp; Restauration</t>
        </is>
      </c>
      <c r="E14" s="5" t="inlineStr">
        <is>
          <t>Plongeur</t>
        </is>
      </c>
      <c r="F14" s="40" t="n">
        <v>45153</v>
      </c>
      <c r="G14" s="5" t="inlineStr">
        <is>
          <t>CDD</t>
        </is>
      </c>
      <c r="H14" s="5" t="inlineStr">
        <is>
          <t>E1</t>
        </is>
      </c>
      <c r="I14" s="7" t="n">
        <v>150000</v>
      </c>
      <c r="J14" s="8">
        <f>IF(F14="","",DATEDIF(F14,TODAY(),"Y")&amp;" ans "&amp;DATEDIF(F14,TODAY(),"YM")&amp;" mois")</f>
        <v/>
      </c>
      <c r="K14" s="5" t="n"/>
      <c r="L14" s="5" t="n"/>
      <c r="M14" s="5" t="n"/>
      <c r="N14" s="5" t="n"/>
    </row>
    <row r="15" ht="22" customHeight="1">
      <c r="A15" s="9" t="inlineStr">
        <is>
          <t>EMP-010</t>
        </is>
      </c>
      <c r="B15" s="9" t="inlineStr">
        <is>
          <t>Ngo</t>
        </is>
      </c>
      <c r="C15" s="9" t="inlineStr">
        <is>
          <t>Anatole</t>
        </is>
      </c>
      <c r="D15" s="9" t="inlineStr">
        <is>
          <t>Cuisine &amp; Restauration</t>
        </is>
      </c>
      <c r="E15" s="9" t="inlineStr">
        <is>
          <t>Barman</t>
        </is>
      </c>
      <c r="F15" s="41" t="n">
        <v>44256</v>
      </c>
      <c r="G15" s="9" t="inlineStr">
        <is>
          <t>CDI</t>
        </is>
      </c>
      <c r="H15" s="9" t="inlineStr">
        <is>
          <t>E3</t>
        </is>
      </c>
      <c r="I15" s="11" t="n">
        <v>250000</v>
      </c>
      <c r="J15" s="12">
        <f>IF(F15="","",DATEDIF(F15,TODAY(),"Y")&amp;" ans "&amp;DATEDIF(F15,TODAY(),"YM")&amp;" mois")</f>
        <v/>
      </c>
      <c r="K15" s="9" t="n"/>
      <c r="L15" s="9" t="n"/>
      <c r="M15" s="9" t="n"/>
      <c r="N15" s="9" t="n"/>
    </row>
    <row r="16" ht="22" customHeight="1">
      <c r="A16" s="5" t="inlineStr">
        <is>
          <t>EMP-011</t>
        </is>
      </c>
      <c r="B16" s="5" t="inlineStr">
        <is>
          <t>Aka</t>
        </is>
      </c>
      <c r="C16" s="5" t="inlineStr">
        <is>
          <t>Béatrice</t>
        </is>
      </c>
      <c r="D16" s="5" t="inlineStr">
        <is>
          <t>Ressources Humaines</t>
        </is>
      </c>
      <c r="E16" s="5" t="inlineStr">
        <is>
          <t>Assistante RH</t>
        </is>
      </c>
      <c r="F16" s="40" t="n">
        <v>44075</v>
      </c>
      <c r="G16" s="5" t="inlineStr">
        <is>
          <t>CDI</t>
        </is>
      </c>
      <c r="H16" s="5" t="inlineStr">
        <is>
          <t>E3</t>
        </is>
      </c>
      <c r="I16" s="7" t="n">
        <v>260000</v>
      </c>
      <c r="J16" s="8">
        <f>IF(F16="","",DATEDIF(F16,TODAY(),"Y")&amp;" ans "&amp;DATEDIF(F16,TODAY(),"YM")&amp;" mois")</f>
        <v/>
      </c>
      <c r="K16" s="5" t="n"/>
      <c r="L16" s="5" t="n"/>
      <c r="M16" s="5" t="n"/>
      <c r="N16" s="5" t="n"/>
    </row>
    <row r="17" ht="22" customHeight="1">
      <c r="A17" s="9" t="inlineStr">
        <is>
          <t>EMP-012</t>
        </is>
      </c>
      <c r="B17" s="9" t="inlineStr">
        <is>
          <t>Yao</t>
        </is>
      </c>
      <c r="C17" s="9" t="inlineStr">
        <is>
          <t>Serge</t>
        </is>
      </c>
      <c r="D17" s="9" t="inlineStr">
        <is>
          <t>Commercial &amp; Marketing</t>
        </is>
      </c>
      <c r="E17" s="9" t="inlineStr">
        <is>
          <t>Responsable commercial</t>
        </is>
      </c>
      <c r="F17" s="41" t="n">
        <v>42870</v>
      </c>
      <c r="G17" s="9" t="inlineStr">
        <is>
          <t>CDI</t>
        </is>
      </c>
      <c r="H17" s="9" t="inlineStr">
        <is>
          <t>E5</t>
        </is>
      </c>
      <c r="I17" s="11" t="n">
        <v>380000</v>
      </c>
      <c r="J17" s="12">
        <f>IF(F17="","",DATEDIF(F17,TODAY(),"Y")&amp;" ans "&amp;DATEDIF(F17,TODAY(),"YM")&amp;" mois")</f>
        <v/>
      </c>
      <c r="K17" s="9" t="n"/>
      <c r="L17" s="9" t="n"/>
      <c r="M17" s="9" t="n"/>
      <c r="N17" s="9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</sheetData>
  <mergeCells count="2">
    <mergeCell ref="A3:N3"/>
    <mergeCell ref="A2:N2"/>
  </mergeCells>
  <dataValidations count="3">
    <dataValidation sqref="D6:D20" showDropDown="0" showInputMessage="0" showErrorMessage="0" allowBlank="1" errorTitle="Erreur" error="Valeur invalide" promptTitle="Département" prompt="Choisir: Département" type="list">
      <formula1>"Direction Générale,Ressources Humaines,Finance &amp; Comptabilité,Réception &amp; Front Office,Hébergement,Cuisine &amp; Restauration,Entretien &amp; Maintenance,Sécurité,Commercial &amp; Marketing,Achats &amp; Logistique,Sport &amp; Loisirs,Animation"</formula1>
    </dataValidation>
    <dataValidation sqref="G6:G20" showDropDown="0" showInputMessage="0" showErrorMessage="0" allowBlank="1" errorTitle="Erreur" error="Valeur invalide" promptTitle="Statut" prompt="Choisir: Statut" type="list">
      <formula1>"CDI,CDD,Stage,Intérim"</formula1>
    </dataValidation>
    <dataValidation sqref="H6:H20" showDropDown="0" showInputMessage="0" showErrorMessage="0" allowBlank="1" errorTitle="Erreur" error="Valeur invalide" promptTitle="Classification" prompt="Choisir: Classification" type="list">
      <formula1>"E1,E2,E3,E4,E5,E6"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8" customHeight="1"/>
    <row r="2" ht="30" customHeight="1">
      <c r="A2" s="1" t="inlineStr">
        <is>
          <t>LISTES DE RÉFÉRENCE — Valeurs pour listes déroulantes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Departements</t>
        </is>
      </c>
      <c r="B5" s="4" t="inlineStr">
        <is>
          <t>Categories Avantages</t>
        </is>
      </c>
      <c r="C5" s="4" t="inlineStr">
        <is>
          <t>Types Avantages</t>
        </is>
      </c>
      <c r="D5" s="4" t="inlineStr">
        <is>
          <t>Frequences</t>
        </is>
      </c>
      <c r="E5" s="4" t="inlineStr">
        <is>
          <t>Statuts Avantages</t>
        </is>
      </c>
      <c r="F5" s="4" t="inlineStr">
        <is>
          <t>Fournisseurs</t>
        </is>
      </c>
      <c r="G5" s="4" t="inlineStr">
        <is>
          <t>Niveaux Couverture</t>
        </is>
      </c>
      <c r="H5" s="4" t="inlineStr">
        <is>
          <t>Plafonds</t>
        </is>
      </c>
      <c r="I5" s="4" t="inlineStr">
        <is>
          <t>Oui Non</t>
        </is>
      </c>
      <c r="J5" s="4" t="inlineStr">
        <is>
          <t>Modes Paiement</t>
        </is>
      </c>
      <c r="K5" s="4" t="inlineStr">
        <is>
          <t>Mois</t>
        </is>
      </c>
      <c r="L5" s="4" t="inlineStr">
        <is>
          <t>Etats Logement</t>
        </is>
      </c>
      <c r="M5" s="4" t="inlineStr">
        <is>
          <t>Types Reclamation</t>
        </is>
      </c>
      <c r="N5" s="4" t="inlineStr">
        <is>
          <t>Priorites</t>
        </is>
      </c>
      <c r="O5" s="4" t="inlineStr">
        <is>
          <t>Statuts Reclamation</t>
        </is>
      </c>
      <c r="P5" s="4" t="inlineStr">
        <is>
          <t>Types Pret</t>
        </is>
      </c>
      <c r="Q5" s="4" t="inlineStr">
        <is>
          <t>Types Alimentation</t>
        </is>
      </c>
      <c r="R5" s="4" t="inlineStr">
        <is>
          <t>Types Transport</t>
        </is>
      </c>
      <c r="S5" s="4" t="inlineStr">
        <is>
          <t>Plans Retraite</t>
        </is>
      </c>
      <c r="T5" s="4" t="inlineStr">
        <is>
          <t>Classifications</t>
        </is>
      </c>
      <c r="U5" s="4" t="inlineStr">
        <is>
          <t>Statuts Emploi</t>
        </is>
      </c>
    </row>
    <row r="6" ht="22" customHeight="1">
      <c r="A6" s="5" t="inlineStr">
        <is>
          <t>Direction Générale</t>
        </is>
      </c>
      <c r="B6" s="5" t="inlineStr">
        <is>
          <t>Santé</t>
        </is>
      </c>
      <c r="C6" s="5" t="inlineStr">
        <is>
          <t>Obligatoire</t>
        </is>
      </c>
      <c r="D6" s="5" t="inlineStr">
        <is>
          <t>Mensuel</t>
        </is>
      </c>
      <c r="E6" s="5" t="inlineStr">
        <is>
          <t>Actif</t>
        </is>
      </c>
      <c r="F6" s="5" t="inlineStr">
        <is>
          <t>CNPS</t>
        </is>
      </c>
      <c r="G6" s="5" t="inlineStr">
        <is>
          <t>Basique</t>
        </is>
      </c>
      <c r="H6" s="5" t="inlineStr">
        <is>
          <t>50 000 FCFA</t>
        </is>
      </c>
      <c r="I6" s="5" t="inlineStr">
        <is>
          <t>Oui</t>
        </is>
      </c>
      <c r="J6" s="5" t="inlineStr">
        <is>
          <t>Virement</t>
        </is>
      </c>
      <c r="K6" s="5" t="inlineStr">
        <is>
          <t>Janvier</t>
        </is>
      </c>
      <c r="L6" s="5" t="inlineStr">
        <is>
          <t>Bon</t>
        </is>
      </c>
      <c r="M6" s="5" t="inlineStr">
        <is>
          <t>Retard remboursement</t>
        </is>
      </c>
      <c r="N6" s="5" t="inlineStr">
        <is>
          <t>Basse</t>
        </is>
      </c>
      <c r="O6" s="5" t="inlineStr">
        <is>
          <t>Ouverte</t>
        </is>
      </c>
      <c r="P6" s="5" t="inlineStr">
        <is>
          <t>Prêt social</t>
        </is>
      </c>
      <c r="Q6" s="5" t="inlineStr">
        <is>
          <t>Tickets restaurant</t>
        </is>
      </c>
      <c r="R6" s="5" t="inlineStr">
        <is>
          <t>Abonnement transport</t>
        </is>
      </c>
      <c r="S6" s="5" t="inlineStr">
        <is>
          <t>PER</t>
        </is>
      </c>
      <c r="T6" s="5" t="inlineStr">
        <is>
          <t>E1</t>
        </is>
      </c>
      <c r="U6" s="5" t="inlineStr">
        <is>
          <t>CDI</t>
        </is>
      </c>
    </row>
    <row r="7" ht="22" customHeight="1">
      <c r="A7" s="9" t="inlineStr">
        <is>
          <t>Ressources Humaines</t>
        </is>
      </c>
      <c r="B7" s="9" t="inlineStr">
        <is>
          <t>Retraite</t>
        </is>
      </c>
      <c r="C7" s="9" t="inlineStr">
        <is>
          <t>Conventionné</t>
        </is>
      </c>
      <c r="D7" s="9" t="inlineStr">
        <is>
          <t>Trimestriel</t>
        </is>
      </c>
      <c r="E7" s="9" t="inlineStr">
        <is>
          <t>Suspendu</t>
        </is>
      </c>
      <c r="F7" s="9" t="inlineStr">
        <is>
          <t>AXA Assurance</t>
        </is>
      </c>
      <c r="G7" s="9" t="inlineStr">
        <is>
          <t>Standard</t>
        </is>
      </c>
      <c r="H7" s="9" t="inlineStr">
        <is>
          <t>75 000 FCFA</t>
        </is>
      </c>
      <c r="I7" s="9" t="inlineStr">
        <is>
          <t>Non</t>
        </is>
      </c>
      <c r="J7" s="9" t="inlineStr">
        <is>
          <t>Chèque</t>
        </is>
      </c>
      <c r="K7" s="9" t="inlineStr">
        <is>
          <t>Février</t>
        </is>
      </c>
      <c r="L7" s="9" t="inlineStr">
        <is>
          <t>Moyen</t>
        </is>
      </c>
      <c r="M7" s="9" t="inlineStr">
        <is>
          <t>Couverture refusée</t>
        </is>
      </c>
      <c r="N7" s="9" t="inlineStr">
        <is>
          <t>Moyenne</t>
        </is>
      </c>
      <c r="O7" s="9" t="inlineStr">
        <is>
          <t>En cours</t>
        </is>
      </c>
      <c r="P7" s="9" t="inlineStr">
        <is>
          <t>Avance sur salaire</t>
        </is>
      </c>
      <c r="Q7" s="9" t="inlineStr">
        <is>
          <t>Panier repas</t>
        </is>
      </c>
      <c r="R7" s="9" t="inlineStr">
        <is>
          <t>Indemnité km</t>
        </is>
      </c>
      <c r="S7" s="9" t="inlineStr">
        <is>
          <t>REER</t>
        </is>
      </c>
      <c r="T7" s="9" t="inlineStr">
        <is>
          <t>E2</t>
        </is>
      </c>
      <c r="U7" s="9" t="inlineStr">
        <is>
          <t>CDD</t>
        </is>
      </c>
    </row>
    <row r="8" ht="22" customHeight="1">
      <c r="A8" s="5" t="inlineStr">
        <is>
          <t>Finance &amp; Comptabilité</t>
        </is>
      </c>
      <c r="B8" s="5" t="inlineStr">
        <is>
          <t>Prévoyance</t>
        </is>
      </c>
      <c r="C8" s="5" t="inlineStr">
        <is>
          <t>Facultatif</t>
        </is>
      </c>
      <c r="D8" s="5" t="inlineStr">
        <is>
          <t>Annuel</t>
        </is>
      </c>
      <c r="E8" s="5" t="inlineStr">
        <is>
          <t>En attente</t>
        </is>
      </c>
      <c r="F8" s="5" t="inlineStr">
        <is>
          <t>NSIA Vie</t>
        </is>
      </c>
      <c r="G8" s="5" t="inlineStr">
        <is>
          <t>Premium</t>
        </is>
      </c>
      <c r="H8" s="5" t="inlineStr">
        <is>
          <t>100 000 FCFA</t>
        </is>
      </c>
      <c r="I8" s="5" t="n"/>
      <c r="J8" s="5" t="inlineStr">
        <is>
          <t>Espèces</t>
        </is>
      </c>
      <c r="K8" s="5" t="inlineStr">
        <is>
          <t>Mars</t>
        </is>
      </c>
      <c r="L8" s="5" t="inlineStr">
        <is>
          <t>Réparation</t>
        </is>
      </c>
      <c r="M8" s="5" t="inlineStr">
        <is>
          <t>Montant erroné</t>
        </is>
      </c>
      <c r="N8" s="5" t="inlineStr">
        <is>
          <t>Haute</t>
        </is>
      </c>
      <c r="O8" s="5" t="inlineStr">
        <is>
          <t>Résolue</t>
        </is>
      </c>
      <c r="P8" s="5" t="inlineStr">
        <is>
          <t>Aide financière</t>
        </is>
      </c>
      <c r="Q8" s="5" t="inlineStr">
        <is>
          <t>Prime alimentaire</t>
        </is>
      </c>
      <c r="R8" s="5" t="inlineStr">
        <is>
          <t>Véhicule fonction</t>
        </is>
      </c>
      <c r="S8" s="5" t="inlineStr">
        <is>
          <t>CARPA</t>
        </is>
      </c>
      <c r="T8" s="5" t="inlineStr">
        <is>
          <t>E3</t>
        </is>
      </c>
      <c r="U8" s="5" t="inlineStr">
        <is>
          <t>Stage</t>
        </is>
      </c>
    </row>
    <row r="9" ht="22" customHeight="1">
      <c r="A9" s="9" t="inlineStr">
        <is>
          <t>Réception &amp; Front Office</t>
        </is>
      </c>
      <c r="B9" s="9" t="inlineStr">
        <is>
          <t>Alimentation</t>
        </is>
      </c>
      <c r="C9" s="9" t="n"/>
      <c r="D9" s="9" t="inlineStr">
        <is>
          <t>Ponctuel</t>
        </is>
      </c>
      <c r="E9" s="9" t="inlineStr">
        <is>
          <t>Résilié</t>
        </is>
      </c>
      <c r="F9" s="9" t="inlineStr">
        <is>
          <t>Allianz</t>
        </is>
      </c>
      <c r="G9" s="9" t="n"/>
      <c r="H9" s="9" t="inlineStr">
        <is>
          <t>150 000 FCFA</t>
        </is>
      </c>
      <c r="I9" s="9" t="n"/>
      <c r="J9" s="9" t="inlineStr">
        <is>
          <t>Prélèvement automatique</t>
        </is>
      </c>
      <c r="K9" s="9" t="inlineStr">
        <is>
          <t>Avril</t>
        </is>
      </c>
      <c r="L9" s="9" t="n"/>
      <c r="M9" s="9" t="inlineStr">
        <is>
          <t>Information manquante</t>
        </is>
      </c>
      <c r="N9" s="9" t="n"/>
      <c r="O9" s="9" t="inlineStr">
        <is>
          <t>Rejetée</t>
        </is>
      </c>
      <c r="P9" s="9" t="n"/>
      <c r="Q9" s="9" t="n"/>
      <c r="R9" s="9" t="n"/>
      <c r="S9" s="9" t="inlineStr">
        <is>
          <t>CNPS complémentaire</t>
        </is>
      </c>
      <c r="T9" s="9" t="inlineStr">
        <is>
          <t>E4</t>
        </is>
      </c>
      <c r="U9" s="9" t="inlineStr">
        <is>
          <t>Intérim</t>
        </is>
      </c>
    </row>
    <row r="10" ht="22" customHeight="1">
      <c r="A10" s="5" t="inlineStr">
        <is>
          <t>Hébergement</t>
        </is>
      </c>
      <c r="B10" s="5" t="inlineStr">
        <is>
          <t>Transport</t>
        </is>
      </c>
      <c r="C10" s="5" t="n"/>
      <c r="D10" s="5" t="n"/>
      <c r="E10" s="5" t="n"/>
      <c r="F10" s="5" t="inlineStr">
        <is>
          <t>Mutuelle Hôteliers CI</t>
        </is>
      </c>
      <c r="G10" s="5" t="n"/>
      <c r="H10" s="5" t="inlineStr">
        <is>
          <t>200 000 FCFA</t>
        </is>
      </c>
      <c r="I10" s="5" t="n"/>
      <c r="J10" s="5" t="n"/>
      <c r="K10" s="5" t="inlineStr">
        <is>
          <t>Mai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inlineStr">
        <is>
          <t>E5</t>
        </is>
      </c>
      <c r="U10" s="5" t="n"/>
    </row>
    <row r="11" ht="22" customHeight="1">
      <c r="A11" s="9" t="inlineStr">
        <is>
          <t>Cuisine &amp; Restauration</t>
        </is>
      </c>
      <c r="B11" s="9" t="inlineStr">
        <is>
          <t>Logement</t>
        </is>
      </c>
      <c r="C11" s="9" t="n"/>
      <c r="D11" s="9" t="n"/>
      <c r="E11" s="9" t="n"/>
      <c r="F11" s="9" t="inlineStr">
        <is>
          <t>SNC Lavie</t>
        </is>
      </c>
      <c r="G11" s="9" t="n"/>
      <c r="H11" s="9" t="inlineStr">
        <is>
          <t>300 000 FCFA</t>
        </is>
      </c>
      <c r="I11" s="9" t="n"/>
      <c r="J11" s="9" t="n"/>
      <c r="K11" s="9" t="inlineStr">
        <is>
          <t>Juin</t>
        </is>
      </c>
      <c r="L11" s="9" t="n"/>
      <c r="M11" s="9" t="n"/>
      <c r="N11" s="9" t="n"/>
      <c r="O11" s="9" t="n"/>
      <c r="P11" s="9" t="n"/>
      <c r="Q11" s="9" t="n"/>
      <c r="R11" s="9" t="n"/>
      <c r="S11" s="9" t="n"/>
      <c r="T11" s="9" t="inlineStr">
        <is>
          <t>E6</t>
        </is>
      </c>
      <c r="U11" s="9" t="n"/>
    </row>
    <row r="12" ht="22" customHeight="1">
      <c r="A12" s="5" t="inlineStr">
        <is>
          <t>Entretien &amp; Maintenance</t>
        </is>
      </c>
      <c r="B12" s="5" t="inlineStr">
        <is>
          <t>Formation</t>
        </is>
      </c>
      <c r="C12" s="5" t="n"/>
      <c r="D12" s="5" t="n"/>
      <c r="E12" s="5" t="n"/>
      <c r="F12" s="5" t="inlineStr">
        <is>
          <t>Cie Ivoirienne d'Assurance</t>
        </is>
      </c>
      <c r="G12" s="5" t="n"/>
      <c r="H12" s="5" t="inlineStr">
        <is>
          <t>500 000 FCFA</t>
        </is>
      </c>
      <c r="I12" s="5" t="n"/>
      <c r="J12" s="5" t="n"/>
      <c r="K12" s="5" t="inlineStr">
        <is>
          <t>Juillet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 ht="22" customHeight="1">
      <c r="A13" s="9" t="inlineStr">
        <is>
          <t>Sécurité</t>
        </is>
      </c>
      <c r="B13" s="9" t="inlineStr">
        <is>
          <t>Loisirs</t>
        </is>
      </c>
      <c r="C13" s="9" t="n"/>
      <c r="D13" s="9" t="n"/>
      <c r="E13" s="9" t="n"/>
      <c r="F13" s="9" t="inlineStr">
        <is>
          <t>SATRAM</t>
        </is>
      </c>
      <c r="G13" s="9" t="n"/>
      <c r="H13" s="9" t="n"/>
      <c r="I13" s="9" t="n"/>
      <c r="J13" s="9" t="n"/>
      <c r="K13" s="9" t="inlineStr">
        <is>
          <t>Août</t>
        </is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</row>
    <row r="14" ht="22" customHeight="1">
      <c r="A14" s="5" t="inlineStr">
        <is>
          <t>Commercial &amp; Marketing</t>
        </is>
      </c>
      <c r="B14" s="5" t="inlineStr">
        <is>
          <t>Autre</t>
        </is>
      </c>
      <c r="C14" s="5" t="n"/>
      <c r="D14" s="5" t="n"/>
      <c r="E14" s="5" t="n"/>
      <c r="F14" s="5" t="inlineStr">
        <is>
          <t>CFAO Assurances</t>
        </is>
      </c>
      <c r="G14" s="5" t="n"/>
      <c r="H14" s="5" t="n"/>
      <c r="I14" s="5" t="n"/>
      <c r="J14" s="5" t="n"/>
      <c r="K14" s="5" t="inlineStr">
        <is>
          <t>Septembre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 ht="22" customHeight="1">
      <c r="A15" s="9" t="inlineStr">
        <is>
          <t>Achats &amp; Logistique</t>
        </is>
      </c>
      <c r="B15" s="9" t="n"/>
      <c r="C15" s="9" t="n"/>
      <c r="D15" s="9" t="n"/>
      <c r="E15" s="9" t="n"/>
      <c r="F15" s="9" t="inlineStr">
        <is>
          <t>Coris Assurances</t>
        </is>
      </c>
      <c r="G15" s="9" t="n"/>
      <c r="H15" s="9" t="n"/>
      <c r="I15" s="9" t="n"/>
      <c r="J15" s="9" t="n"/>
      <c r="K15" s="9" t="inlineStr">
        <is>
          <t>Octobre</t>
        </is>
      </c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</row>
    <row r="16" ht="22" customHeight="1">
      <c r="A16" s="5" t="inlineStr">
        <is>
          <t>Sport &amp; Loisirs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inlineStr">
        <is>
          <t>Novembre</t>
        </is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 ht="22" customHeight="1">
      <c r="A17" s="9" t="inlineStr">
        <is>
          <t>Animation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inlineStr">
        <is>
          <t>Décembre</t>
        </is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 ht="2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 ht="2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 ht="2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 ht="2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 ht="2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 ht="22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</row>
  </sheetData>
  <mergeCells count="2">
    <mergeCell ref="A3:U3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8" customHeight="1"/>
    <row r="2" ht="38" customHeight="1">
      <c r="A2" s="13" t="inlineStr">
        <is>
          <t>DOMAINE 22 — AVANTAGES SOCIAUX ET PRÉVOYANCE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14" t="inlineStr">
        <is>
          <t>Tableau de Bord Synthétique — Suivi en temps réel des avantages sociaux et prévoyance</t>
        </is>
      </c>
    </row>
    <row r="4" ht="8" customHeight="1"/>
    <row r="5" ht="24" customHeight="1">
      <c r="A5" s="15" t="inlineStr">
        <is>
          <t>INDICATEURS CLÉS DE PERFORMANCE</t>
        </is>
      </c>
    </row>
    <row r="6" ht="28" customHeight="1">
      <c r="A6" s="16" t="inlineStr">
        <is>
          <t>Total employés bénéficiant</t>
        </is>
      </c>
      <c r="C6" s="16" t="inlineStr">
        <is>
          <t>Coût total avantages/mois (FCFA)</t>
        </is>
      </c>
      <c r="E6" s="16" t="inlineStr">
        <is>
          <t>Taux de couverture santé (%)</t>
        </is>
      </c>
      <c r="G6" s="16" t="inlineStr">
        <is>
          <t>Budget annuel avantages (FCFA)</t>
        </is>
      </c>
      <c r="I6" s="16" t="inlineStr">
        <is>
          <t>Fournisseurs actifs</t>
        </is>
      </c>
      <c r="K6" s="16" t="inlineStr">
        <is>
          <t>Avantages en attente</t>
        </is>
      </c>
    </row>
    <row r="7" ht="36" customHeight="1">
      <c r="A7" s="18">
        <f>COUNTA('F05 - 3-Inscription Avant.'!A6:A25)-COUNTBLANK('F05 - 3-Inscription Avant.'!A6:A25)</f>
        <v/>
      </c>
      <c r="C7" s="19">
        <f>SUMIF('F05 - 3-Inscription Avant.'!D6:D115,"Actif",'F05 - 3-Inscription Avant.'!H6:H115)</f>
        <v/>
      </c>
      <c r="E7" s="42">
        <f>IF(COUNTA('F01 - _Données Employés'!A6:A20)=0,0,COUNTIF('F05 - 3-Inscription Avant.'!F6:F115,"AV-001")/COUNTA('F01 - _Données Employés'!A6:A20))</f>
        <v/>
      </c>
      <c r="G7" s="19">
        <f>SUMIF('F05 - 3-Inscription Avant.'!D6:D115,"Actif",'F05 - 3-Inscription Avant.'!H6:H115)*12</f>
        <v/>
      </c>
      <c r="I7" s="18">
        <f>COUNTIF('F07 - 5-Gest. Fournisseurs'!H6:H35,"Oui")</f>
        <v/>
      </c>
      <c r="K7" s="18">
        <f>COUNTIF('F05 - 3-Inscription Avant.'!D6:D115,"En attente")</f>
        <v/>
      </c>
    </row>
    <row r="8" ht="8" customHeight="1"/>
    <row r="9" ht="24" customHeight="1">
      <c r="A9" s="15" t="inlineStr">
        <is>
          <t>ANALYSE PAR CATÉGORIE D'AVANTAGE</t>
        </is>
      </c>
      <c r="I9" s="15" t="inlineStr">
        <is>
          <t>DISTRIBUTION PAR STATUT</t>
        </is>
      </c>
    </row>
    <row r="10" ht="26" customHeight="1">
      <c r="A10" s="4" t="inlineStr">
        <is>
          <t>Catégorie d'avantage</t>
        </is>
      </c>
      <c r="B10" s="4" t="inlineStr">
        <is>
          <t>Nb bénéficiaires</t>
        </is>
      </c>
      <c r="C10" s="4" t="inlineStr">
        <is>
          <t>Coût mensuel (FCFA)</t>
        </is>
      </c>
      <c r="D10" s="4" t="inlineStr">
        <is>
          <t>% du total</t>
        </is>
      </c>
      <c r="E10" s="4" t="inlineStr">
        <is>
          <t>Budget annuel</t>
        </is>
      </c>
      <c r="F10" s="4" t="inlineStr">
        <is>
          <t>Coût moyen/bénéf.</t>
        </is>
      </c>
      <c r="G10" s="4" t="inlineStr">
        <is>
          <t>Statut</t>
        </is>
      </c>
      <c r="I10" s="4" t="inlineStr">
        <is>
          <t>Statut</t>
        </is>
      </c>
      <c r="J10" s="4" t="inlineStr">
        <is>
          <t>Nombre</t>
        </is>
      </c>
      <c r="K10" s="4" t="inlineStr">
        <is>
          <t>Pourcentage</t>
        </is>
      </c>
    </row>
    <row r="11">
      <c r="A11" s="21" t="inlineStr">
        <is>
          <t>Santé</t>
        </is>
      </c>
      <c r="B11" s="22">
        <f>COUNTIF('F05 - 3-Inscription Avant.'!F6:F115,'F04 - 2-Référentiel Avant.'!B6:B20)</f>
        <v/>
      </c>
      <c r="C11" s="7">
        <f>SUMIF('F04 - 2-Référentiel Avant.'!B6:B20,A11,'F05 - 3-Inscription Avant.'!H6:H115)</f>
        <v/>
      </c>
      <c r="D11" s="43">
        <f>IF(SUM(C11:C19)=0,0,C11/SUM(C11:C19))</f>
        <v/>
      </c>
      <c r="E11" s="7">
        <f>C11*12</f>
        <v/>
      </c>
      <c r="F11" s="7">
        <f>IF(B11=0,0,C11/B11)</f>
        <v/>
      </c>
      <c r="G11" s="8">
        <f>IF(B11&gt;0,"Actif","Inactif")</f>
        <v/>
      </c>
      <c r="I11" s="8" t="inlineStr">
        <is>
          <t>Actif</t>
        </is>
      </c>
      <c r="J11" s="22">
        <f>COUNTIF('F05 - 3-Inscription Avant.'!D6:D115,I11)</f>
        <v/>
      </c>
      <c r="K11" s="43">
        <f>IF(SUM(J11:J14)=0,0,J11/SUM(J11:J14))</f>
        <v/>
      </c>
    </row>
    <row r="12">
      <c r="A12" s="24" t="inlineStr">
        <is>
          <t>Retraite</t>
        </is>
      </c>
      <c r="B12" s="25">
        <f>COUNTIF('F05 - 3-Inscription Avant.'!F6:F115,'F04 - 2-Référentiel Avant.'!B6:B20)</f>
        <v/>
      </c>
      <c r="C12" s="11">
        <f>SUMIF('F04 - 2-Référentiel Avant.'!B6:B20,A12,'F05 - 3-Inscription Avant.'!H6:H115)</f>
        <v/>
      </c>
      <c r="D12" s="44">
        <f>IF(SUM(C11:C19)=0,0,C12/SUM(C11:C19))</f>
        <v/>
      </c>
      <c r="E12" s="11">
        <f>C12*12</f>
        <v/>
      </c>
      <c r="F12" s="11">
        <f>IF(B12=0,0,C12/B12)</f>
        <v/>
      </c>
      <c r="G12" s="12">
        <f>IF(B12&gt;0,"Actif","Inactif")</f>
        <v/>
      </c>
      <c r="I12" s="12" t="inlineStr">
        <is>
          <t>Suspendu</t>
        </is>
      </c>
      <c r="J12" s="25">
        <f>COUNTIF('F05 - 3-Inscription Avant.'!D6:D115,I12)</f>
        <v/>
      </c>
      <c r="K12" s="44">
        <f>IF(SUM(J11:J14)=0,0,J12/SUM(J11:J14))</f>
        <v/>
      </c>
    </row>
    <row r="13">
      <c r="A13" s="21" t="inlineStr">
        <is>
          <t>Prévoyance</t>
        </is>
      </c>
      <c r="B13" s="22">
        <f>COUNTIF('F05 - 3-Inscription Avant.'!F6:F115,'F04 - 2-Référentiel Avant.'!B6:B20)</f>
        <v/>
      </c>
      <c r="C13" s="7">
        <f>SUMIF('F04 - 2-Référentiel Avant.'!B6:B20,A13,'F05 - 3-Inscription Avant.'!H6:H115)</f>
        <v/>
      </c>
      <c r="D13" s="43">
        <f>IF(SUM(C11:C19)=0,0,C13/SUM(C11:C19))</f>
        <v/>
      </c>
      <c r="E13" s="7">
        <f>C13*12</f>
        <v/>
      </c>
      <c r="F13" s="7">
        <f>IF(B13=0,0,C13/B13)</f>
        <v/>
      </c>
      <c r="G13" s="8">
        <f>IF(B13&gt;0,"Actif","Inactif")</f>
        <v/>
      </c>
      <c r="I13" s="8" t="inlineStr">
        <is>
          <t>En attente</t>
        </is>
      </c>
      <c r="J13" s="22">
        <f>COUNTIF('F05 - 3-Inscription Avant.'!D6:D115,I13)</f>
        <v/>
      </c>
      <c r="K13" s="43">
        <f>IF(SUM(J11:J14)=0,0,J13/SUM(J11:J14))</f>
        <v/>
      </c>
    </row>
    <row r="14">
      <c r="A14" s="24" t="inlineStr">
        <is>
          <t>Alimentation</t>
        </is>
      </c>
      <c r="B14" s="25">
        <f>COUNTIF('F05 - 3-Inscription Avant.'!F6:F115,'F04 - 2-Référentiel Avant.'!B6:B20)</f>
        <v/>
      </c>
      <c r="C14" s="11">
        <f>SUMIF('F04 - 2-Référentiel Avant.'!B6:B20,A14,'F05 - 3-Inscription Avant.'!H6:H115)</f>
        <v/>
      </c>
      <c r="D14" s="44">
        <f>IF(SUM(C11:C19)=0,0,C14/SUM(C11:C19))</f>
        <v/>
      </c>
      <c r="E14" s="11">
        <f>C14*12</f>
        <v/>
      </c>
      <c r="F14" s="11">
        <f>IF(B14=0,0,C14/B14)</f>
        <v/>
      </c>
      <c r="G14" s="12">
        <f>IF(B14&gt;0,"Actif","Inactif")</f>
        <v/>
      </c>
      <c r="I14" s="12" t="inlineStr">
        <is>
          <t>Résilié</t>
        </is>
      </c>
      <c r="J14" s="25">
        <f>COUNTIF('F05 - 3-Inscription Avant.'!D6:D115,I14)</f>
        <v/>
      </c>
      <c r="K14" s="44">
        <f>IF(SUM(J11:J14)=0,0,J14/SUM(J11:J14))</f>
        <v/>
      </c>
    </row>
    <row r="15">
      <c r="A15" s="21" t="inlineStr">
        <is>
          <t>Transport</t>
        </is>
      </c>
      <c r="B15" s="22">
        <f>COUNTIF('F05 - 3-Inscription Avant.'!F6:F115,'F04 - 2-Référentiel Avant.'!B6:B20)</f>
        <v/>
      </c>
      <c r="C15" s="7">
        <f>SUMIF('F04 - 2-Référentiel Avant.'!B6:B20,A15,'F05 - 3-Inscription Avant.'!H6:H115)</f>
        <v/>
      </c>
      <c r="D15" s="43">
        <f>IF(SUM(C11:C19)=0,0,C15/SUM(C11:C19))</f>
        <v/>
      </c>
      <c r="E15" s="7">
        <f>C15*12</f>
        <v/>
      </c>
      <c r="F15" s="7">
        <f>IF(B15=0,0,C15/B15)</f>
        <v/>
      </c>
      <c r="G15" s="8">
        <f>IF(B15&gt;0,"Actif","Inactif")</f>
        <v/>
      </c>
    </row>
    <row r="16">
      <c r="A16" s="24" t="inlineStr">
        <is>
          <t>Logement</t>
        </is>
      </c>
      <c r="B16" s="25">
        <f>COUNTIF('F05 - 3-Inscription Avant.'!F6:F115,'F04 - 2-Référentiel Avant.'!B6:B20)</f>
        <v/>
      </c>
      <c r="C16" s="11">
        <f>SUMIF('F04 - 2-Référentiel Avant.'!B6:B20,A16,'F05 - 3-Inscription Avant.'!H6:H115)</f>
        <v/>
      </c>
      <c r="D16" s="44">
        <f>IF(SUM(C11:C19)=0,0,C16/SUM(C11:C19))</f>
        <v/>
      </c>
      <c r="E16" s="11">
        <f>C16*12</f>
        <v/>
      </c>
      <c r="F16" s="11">
        <f>IF(B16=0,0,C16/B16)</f>
        <v/>
      </c>
      <c r="G16" s="12">
        <f>IF(B16&gt;0,"Actif","Inactif")</f>
        <v/>
      </c>
    </row>
    <row r="17">
      <c r="A17" s="21" t="inlineStr">
        <is>
          <t>Formation</t>
        </is>
      </c>
      <c r="B17" s="22">
        <f>COUNTIF('F05 - 3-Inscription Avant.'!F6:F115,'F04 - 2-Référentiel Avant.'!B6:B20)</f>
        <v/>
      </c>
      <c r="C17" s="7">
        <f>SUMIF('F04 - 2-Référentiel Avant.'!B6:B20,A17,'F05 - 3-Inscription Avant.'!H6:H115)</f>
        <v/>
      </c>
      <c r="D17" s="43">
        <f>IF(SUM(C11:C19)=0,0,C17/SUM(C11:C19))</f>
        <v/>
      </c>
      <c r="E17" s="7">
        <f>C17*12</f>
        <v/>
      </c>
      <c r="F17" s="7">
        <f>IF(B17=0,0,C17/B17)</f>
        <v/>
      </c>
      <c r="G17" s="8">
        <f>IF(B17&gt;0,"Actif","Inactif")</f>
        <v/>
      </c>
    </row>
    <row r="18">
      <c r="A18" s="24" t="inlineStr">
        <is>
          <t>Loisirs</t>
        </is>
      </c>
      <c r="B18" s="25">
        <f>COUNTIF('F05 - 3-Inscription Avant.'!F6:F115,'F04 - 2-Référentiel Avant.'!B6:B20)</f>
        <v/>
      </c>
      <c r="C18" s="11">
        <f>SUMIF('F04 - 2-Référentiel Avant.'!B6:B20,A18,'F05 - 3-Inscription Avant.'!H6:H115)</f>
        <v/>
      </c>
      <c r="D18" s="44">
        <f>IF(SUM(C11:C19)=0,0,C18/SUM(C11:C19))</f>
        <v/>
      </c>
      <c r="E18" s="11">
        <f>C18*12</f>
        <v/>
      </c>
      <c r="F18" s="11">
        <f>IF(B18=0,0,C18/B18)</f>
        <v/>
      </c>
      <c r="G18" s="12">
        <f>IF(B18&gt;0,"Actif","Inactif")</f>
        <v/>
      </c>
    </row>
    <row r="19">
      <c r="A19" s="21" t="inlineStr">
        <is>
          <t>Autre</t>
        </is>
      </c>
      <c r="B19" s="22">
        <f>COUNTIF('F05 - 3-Inscription Avant.'!F6:F115,'F04 - 2-Référentiel Avant.'!B6:B20)</f>
        <v/>
      </c>
      <c r="C19" s="7">
        <f>SUMIF('F04 - 2-Référentiel Avant.'!B6:B20,A19,'F05 - 3-Inscription Avant.'!H6:H115)</f>
        <v/>
      </c>
      <c r="D19" s="43">
        <f>IF(SUM(C11:C19)=0,0,C19/SUM(C11:C19))</f>
        <v/>
      </c>
      <c r="E19" s="7">
        <f>C19*12</f>
        <v/>
      </c>
      <c r="F19" s="7">
        <f>IF(B19=0,0,C19/B19)</f>
        <v/>
      </c>
      <c r="G19" s="8">
        <f>IF(B19&gt;0,"Actif","Inactif")</f>
        <v/>
      </c>
    </row>
    <row r="20">
      <c r="A20" s="27" t="inlineStr">
        <is>
          <t>TOTAL</t>
        </is>
      </c>
      <c r="B20" s="28">
        <f>SUM(B11:B19)</f>
        <v/>
      </c>
      <c r="C20" s="28">
        <f>SUM(C11:C19)</f>
        <v/>
      </c>
      <c r="D20" s="45">
        <f>SUM(D11:D19)</f>
        <v/>
      </c>
      <c r="E20" s="28">
        <f>SUM(E11:E19)</f>
        <v/>
      </c>
      <c r="F20" s="27" t="n"/>
      <c r="G20" s="27" t="n"/>
    </row>
    <row r="21"/>
    <row r="22" ht="24" customHeight="1">
      <c r="A22" s="15" t="inlineStr">
        <is>
          <t>TOP 5 AVANTAGES LES PLUS COÛTEUX</t>
        </is>
      </c>
    </row>
    <row r="23">
      <c r="A23" s="4" t="inlineStr">
        <is>
          <t>Rang</t>
        </is>
      </c>
      <c r="B23" s="4" t="inlineStr">
        <is>
          <t>Code Avantage</t>
        </is>
      </c>
      <c r="C23" s="4" t="inlineStr">
        <is>
          <t>Intitulé</t>
        </is>
      </c>
      <c r="D23" s="4" t="inlineStr">
        <is>
          <t>Catégorie</t>
        </is>
      </c>
      <c r="E23" s="4" t="inlineStr">
        <is>
          <t>Coût unitaire (FCFA)</t>
        </is>
      </c>
      <c r="F23" s="4" t="inlineStr">
        <is>
          <t>Bénéficiaires</t>
        </is>
      </c>
      <c r="G23" s="4" t="inlineStr">
        <is>
          <t>Coût total/mois</t>
        </is>
      </c>
    </row>
    <row r="24">
      <c r="A24" s="8" t="n">
        <v>1</v>
      </c>
      <c r="B24" s="8">
        <f>INDEX('F04 - 2-Référentiel Avant.'!A6:A20,MATCH(LARGE('F04 - 2-Référentiel Avant.'!H6:H20*COUNTIF('F05 - 3-Inscription Avant.'!F6:F115,'F04 - 2-Référentiel Avant.'!A6:A20),1),'F04 - 2-Référentiel Avant.'!H6:H20*COUNTIF('F05 - 3-Inscription Avant.'!F6:F115,'F04 - 2-Référentiel Avant.'!A6:A20),0))</f>
        <v/>
      </c>
      <c r="C24" s="8">
        <f>IFERROR(VLOOKUP(B24,'F04 - 2-Référentiel Avant.'!$A$6:$C$20,2,FALSE),"")</f>
        <v/>
      </c>
      <c r="D24" s="8">
        <f>IFERROR(VLOOKUP(B24,'F04 - 2-Référentiel Avant.'!$A$6:$C$20,3,FALSE),"")</f>
        <v/>
      </c>
      <c r="E24" s="22">
        <f>IFERROR(VLOOKUP(B24,'F04 - 2-Référentiel Avant.'!$A$6:$H$20,8,FALSE),0)</f>
        <v/>
      </c>
      <c r="F24" s="22">
        <f>COUNTIF('F05 - 3-Inscription Avant.'!F6:F115,B24)</f>
        <v/>
      </c>
      <c r="G24" s="22">
        <f>E24*F24</f>
        <v/>
      </c>
    </row>
    <row r="25">
      <c r="A25" s="12" t="n">
        <v>2</v>
      </c>
      <c r="B25" s="12">
        <f>INDEX('F04 - 2-Référentiel Avant.'!A6:A20,MATCH(LARGE('F04 - 2-Référentiel Avant.'!H6:H20*COUNTIF('F05 - 3-Inscription Avant.'!F6:F115,'F04 - 2-Référentiel Avant.'!A6:A20),2),'F04 - 2-Référentiel Avant.'!H6:H20*COUNTIF('F05 - 3-Inscription Avant.'!F6:F115,'F04 - 2-Référentiel Avant.'!A6:A20),0))</f>
        <v/>
      </c>
      <c r="C25" s="12">
        <f>IFERROR(VLOOKUP(B25,'F04 - 2-Référentiel Avant.'!$A$6:$C$20,2,FALSE),"")</f>
        <v/>
      </c>
      <c r="D25" s="12">
        <f>IFERROR(VLOOKUP(B25,'F04 - 2-Référentiel Avant.'!$A$6:$C$20,3,FALSE),"")</f>
        <v/>
      </c>
      <c r="E25" s="25">
        <f>IFERROR(VLOOKUP(B25,'F04 - 2-Référentiel Avant.'!$A$6:$H$20,8,FALSE),0)</f>
        <v/>
      </c>
      <c r="F25" s="25">
        <f>COUNTIF('F05 - 3-Inscription Avant.'!F6:F115,B25)</f>
        <v/>
      </c>
      <c r="G25" s="25">
        <f>E25*F25</f>
        <v/>
      </c>
    </row>
    <row r="26">
      <c r="A26" s="8" t="n">
        <v>3</v>
      </c>
      <c r="B26" s="8">
        <f>INDEX('F04 - 2-Référentiel Avant.'!A6:A20,MATCH(LARGE('F04 - 2-Référentiel Avant.'!H6:H20*COUNTIF('F05 - 3-Inscription Avant.'!F6:F115,'F04 - 2-Référentiel Avant.'!A6:A20),3),'F04 - 2-Référentiel Avant.'!H6:H20*COUNTIF('F05 - 3-Inscription Avant.'!F6:F115,'F04 - 2-Référentiel Avant.'!A6:A20),0))</f>
        <v/>
      </c>
      <c r="C26" s="8">
        <f>IFERROR(VLOOKUP(B26,'F04 - 2-Référentiel Avant.'!$A$6:$C$20,2,FALSE),"")</f>
        <v/>
      </c>
      <c r="D26" s="8">
        <f>IFERROR(VLOOKUP(B26,'F04 - 2-Référentiel Avant.'!$A$6:$C$20,3,FALSE),"")</f>
        <v/>
      </c>
      <c r="E26" s="22">
        <f>IFERROR(VLOOKUP(B26,'F04 - 2-Référentiel Avant.'!$A$6:$H$20,8,FALSE),0)</f>
        <v/>
      </c>
      <c r="F26" s="22">
        <f>COUNTIF('F05 - 3-Inscription Avant.'!F6:F115,B26)</f>
        <v/>
      </c>
      <c r="G26" s="22">
        <f>E26*F26</f>
        <v/>
      </c>
    </row>
    <row r="27">
      <c r="A27" s="12" t="n">
        <v>4</v>
      </c>
      <c r="B27" s="12">
        <f>INDEX('F04 - 2-Référentiel Avant.'!A6:A20,MATCH(LARGE('F04 - 2-Référentiel Avant.'!H6:H20*COUNTIF('F05 - 3-Inscription Avant.'!F6:F115,'F04 - 2-Référentiel Avant.'!A6:A20),4),'F04 - 2-Référentiel Avant.'!H6:H20*COUNTIF('F05 - 3-Inscription Avant.'!F6:F115,'F04 - 2-Référentiel Avant.'!A6:A20),0))</f>
        <v/>
      </c>
      <c r="C27" s="12">
        <f>IFERROR(VLOOKUP(B27,'F04 - 2-Référentiel Avant.'!$A$6:$C$20,2,FALSE),"")</f>
        <v/>
      </c>
      <c r="D27" s="12">
        <f>IFERROR(VLOOKUP(B27,'F04 - 2-Référentiel Avant.'!$A$6:$C$20,3,FALSE),"")</f>
        <v/>
      </c>
      <c r="E27" s="25">
        <f>IFERROR(VLOOKUP(B27,'F04 - 2-Référentiel Avant.'!$A$6:$H$20,8,FALSE),0)</f>
        <v/>
      </c>
      <c r="F27" s="25">
        <f>COUNTIF('F05 - 3-Inscription Avant.'!F6:F115,B27)</f>
        <v/>
      </c>
      <c r="G27" s="25">
        <f>E27*F27</f>
        <v/>
      </c>
    </row>
    <row r="28">
      <c r="A28" s="8" t="n">
        <v>5</v>
      </c>
      <c r="B28" s="8">
        <f>INDEX('F04 - 2-Référentiel Avant.'!A6:A20,MATCH(LARGE('F04 - 2-Référentiel Avant.'!H6:H20*COUNTIF('F05 - 3-Inscription Avant.'!F6:F115,'F04 - 2-Référentiel Avant.'!A6:A20),5),'F04 - 2-Référentiel Avant.'!H6:H20*COUNTIF('F05 - 3-Inscription Avant.'!F6:F115,'F04 - 2-Référentiel Avant.'!A6:A20),0))</f>
        <v/>
      </c>
      <c r="C28" s="8">
        <f>IFERROR(VLOOKUP(B28,'F04 - 2-Référentiel Avant.'!$A$6:$C$20,2,FALSE),"")</f>
        <v/>
      </c>
      <c r="D28" s="8">
        <f>IFERROR(VLOOKUP(B28,'F04 - 2-Référentiel Avant.'!$A$6:$C$20,3,FALSE),"")</f>
        <v/>
      </c>
      <c r="E28" s="22">
        <f>IFERROR(VLOOKUP(B28,'F04 - 2-Référentiel Avant.'!$A$6:$H$20,8,FALSE),0)</f>
        <v/>
      </c>
      <c r="F28" s="22">
        <f>COUNTIF('F05 - 3-Inscription Avant.'!F6:F115,B28)</f>
        <v/>
      </c>
      <c r="G28" s="22">
        <f>E28*F28</f>
        <v/>
      </c>
    </row>
  </sheetData>
  <mergeCells count="18">
    <mergeCell ref="K7:L7"/>
    <mergeCell ref="A3:N3"/>
    <mergeCell ref="C6:D6"/>
    <mergeCell ref="C7:D7"/>
    <mergeCell ref="A7:B7"/>
    <mergeCell ref="E6:F6"/>
    <mergeCell ref="E7:F7"/>
    <mergeCell ref="G7:H7"/>
    <mergeCell ref="I6:J6"/>
    <mergeCell ref="I7:J7"/>
    <mergeCell ref="A2:N2"/>
    <mergeCell ref="A9:G9"/>
    <mergeCell ref="A22:G22"/>
    <mergeCell ref="K6:L6"/>
    <mergeCell ref="I9:N9"/>
    <mergeCell ref="G6:H6"/>
    <mergeCell ref="A5:N5"/>
    <mergeCell ref="A6:B6"/>
  </mergeCells>
  <conditionalFormatting sqref="G11:G19">
    <cfRule type="cellIs" priority="1" operator="equal" dxfId="0">
      <formula>"Actif"</formula>
    </cfRule>
    <cfRule type="cellIs" priority="2" operator="equal" dxfId="1">
      <formula>"Inactif"</formula>
    </cfRule>
  </conditionalFormatting>
  <conditionalFormatting sqref="I11:I14">
    <cfRule type="cellIs" priority="3" operator="equal" dxfId="0">
      <formula>"Actif"</formula>
    </cfRule>
    <cfRule type="cellIs" priority="4" operator="equal" dxfId="1">
      <formula>"Suspendu"</formula>
    </cfRule>
    <cfRule type="cellIs" priority="5" operator="equal" dxfId="2">
      <formula>"En attente"</formula>
    </cfRule>
    <cfRule type="cellIs" priority="6" operator="equal" dxfId="3">
      <formula>"Résilié"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36" customWidth="1" min="4" max="4"/>
    <col width="16" customWidth="1" min="5" max="5"/>
    <col width="14" customWidth="1" min="6" max="6"/>
    <col width="24" customWidth="1" min="7" max="7"/>
    <col width="20" customWidth="1" min="8" max="8"/>
    <col width="18" customWidth="1" min="9" max="9"/>
    <col width="26" customWidth="1" min="10" max="10"/>
    <col width="22" customWidth="1" min="11" max="11"/>
    <col width="30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RÉFÉRENTIEL DES AVANTAGES SOCIAUX ET PRÉVOYANCE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avantage</t>
        </is>
      </c>
      <c r="B5" s="4" t="inlineStr">
        <is>
          <t>Catégorie</t>
        </is>
      </c>
      <c r="C5" s="4" t="inlineStr">
        <is>
          <t>Intitulé</t>
        </is>
      </c>
      <c r="D5" s="4" t="inlineStr">
        <is>
          <t>Description</t>
        </is>
      </c>
      <c r="E5" s="4" t="inlineStr">
        <is>
          <t>Type</t>
        </is>
      </c>
      <c r="F5" s="4" t="inlineStr">
        <is>
          <t>Fréquence</t>
        </is>
      </c>
      <c r="G5" s="4" t="inlineStr">
        <is>
          <t>Fournisseur</t>
        </is>
      </c>
      <c r="H5" s="4" t="inlineStr">
        <is>
          <t>Coût unitaire (FCFA)</t>
        </is>
      </c>
      <c r="I5" s="4" t="inlineStr">
        <is>
          <t>Plafond (FCFA)</t>
        </is>
      </c>
      <c r="J5" s="4" t="inlineStr">
        <is>
          <t>Base de calcul</t>
        </is>
      </c>
      <c r="K5" s="4" t="inlineStr">
        <is>
          <t>Bénéficiaires éligibles</t>
        </is>
      </c>
      <c r="L5" s="4" t="inlineStr">
        <is>
          <t>Conformité légale</t>
        </is>
      </c>
      <c r="M5" s="4" t="inlineStr">
        <is>
          <t>Date MAJ</t>
        </is>
      </c>
      <c r="N5" s="4" t="inlineStr"/>
    </row>
    <row r="6" ht="22" customHeight="1">
      <c r="A6" s="5" t="inlineStr">
        <is>
          <t>AV-001</t>
        </is>
      </c>
      <c r="B6" s="5" t="inlineStr">
        <is>
          <t>Santé</t>
        </is>
      </c>
      <c r="C6" s="5" t="inlineStr">
        <is>
          <t>CNPS - Prestations familiales</t>
        </is>
      </c>
      <c r="D6" s="5" t="inlineStr">
        <is>
          <t>Couverture sociale de base obligatoire</t>
        </is>
      </c>
      <c r="E6" s="5" t="inlineStr">
        <is>
          <t>Obligatoire</t>
        </is>
      </c>
      <c r="F6" s="5" t="inlineStr">
        <is>
          <t>Mensuel</t>
        </is>
      </c>
      <c r="G6" s="5" t="inlineStr">
        <is>
          <t>CNPS</t>
        </is>
      </c>
      <c r="H6" s="30" t="n">
        <v>14000</v>
      </c>
      <c r="I6" s="30" t="n">
        <v>200000</v>
      </c>
      <c r="J6" s="5" t="inlineStr">
        <is>
          <t>Salaire de base × 2,8%</t>
        </is>
      </c>
      <c r="K6" s="5" t="inlineStr">
        <is>
          <t>Tous employés</t>
        </is>
      </c>
      <c r="L6" s="5" t="inlineStr">
        <is>
          <t>Conforme - Art. 21 Code Travail CI</t>
        </is>
      </c>
      <c r="M6" s="40" t="n">
        <v>45292</v>
      </c>
      <c r="N6" s="5" t="n"/>
    </row>
    <row r="7" ht="22" customHeight="1">
      <c r="A7" s="9" t="inlineStr">
        <is>
          <t>AV-002</t>
        </is>
      </c>
      <c r="B7" s="9" t="inlineStr">
        <is>
          <t>Santé</t>
        </is>
      </c>
      <c r="C7" s="9" t="inlineStr">
        <is>
          <t>Mutuelle santé hôtellerie</t>
        </is>
      </c>
      <c r="D7" s="9" t="inlineStr">
        <is>
          <t>Complémentaire santé collective</t>
        </is>
      </c>
      <c r="E7" s="9" t="inlineStr">
        <is>
          <t>Conventionné</t>
        </is>
      </c>
      <c r="F7" s="9" t="inlineStr">
        <is>
          <t>Mensuel</t>
        </is>
      </c>
      <c r="G7" s="9" t="inlineStr">
        <is>
          <t>Mutuelle Hôteliers CI</t>
        </is>
      </c>
      <c r="H7" s="31" t="n">
        <v>18500</v>
      </c>
      <c r="I7" s="31" t="n">
        <v>500000</v>
      </c>
      <c r="J7" s="9" t="inlineStr">
        <is>
          <t>Forfait par catégorie</t>
        </is>
      </c>
      <c r="K7" s="9" t="inlineStr">
        <is>
          <t>Tous CDI</t>
        </is>
      </c>
      <c r="L7" s="9" t="inlineStr">
        <is>
          <t>Conforme - Accord collectif</t>
        </is>
      </c>
      <c r="M7" s="41" t="n">
        <v>45292</v>
      </c>
      <c r="N7" s="9" t="n"/>
    </row>
    <row r="8" ht="22" customHeight="1">
      <c r="A8" s="5" t="inlineStr">
        <is>
          <t>AV-003</t>
        </is>
      </c>
      <c r="B8" s="5" t="inlineStr">
        <is>
          <t>Prévoyance</t>
        </is>
      </c>
      <c r="C8" s="5" t="inlineStr">
        <is>
          <t>Assurance décès-invalidité</t>
        </is>
      </c>
      <c r="D8" s="5" t="inlineStr">
        <is>
          <t>Capital décès + invalidité permanente</t>
        </is>
      </c>
      <c r="E8" s="5" t="inlineStr">
        <is>
          <t>Obligatoire</t>
        </is>
      </c>
      <c r="F8" s="5" t="inlineStr">
        <is>
          <t>Mensuel</t>
        </is>
      </c>
      <c r="G8" s="5" t="inlineStr">
        <is>
          <t>AXA Assurance</t>
        </is>
      </c>
      <c r="H8" s="30" t="n">
        <v>8500</v>
      </c>
      <c r="I8" s="30" t="n">
        <v>10000000</v>
      </c>
      <c r="J8" s="5" t="inlineStr">
        <is>
          <t>Salaire × 1,7%</t>
        </is>
      </c>
      <c r="K8" s="5" t="inlineStr">
        <is>
          <t>Tous employés</t>
        </is>
      </c>
      <c r="L8" s="5" t="inlineStr">
        <is>
          <t>Conforme - CNPS</t>
        </is>
      </c>
      <c r="M8" s="40" t="n">
        <v>45292</v>
      </c>
      <c r="N8" s="5" t="n"/>
    </row>
    <row r="9" ht="22" customHeight="1">
      <c r="A9" s="9" t="inlineStr">
        <is>
          <t>AV-004</t>
        </is>
      </c>
      <c r="B9" s="9" t="inlineStr">
        <is>
          <t>Alimentation</t>
        </is>
      </c>
      <c r="C9" s="9" t="inlineStr">
        <is>
          <t>Tickets restaurant</t>
        </is>
      </c>
      <c r="D9" s="9" t="inlineStr">
        <is>
          <t>Aide alimentaire journalière</t>
        </is>
      </c>
      <c r="E9" s="9" t="inlineStr">
        <is>
          <t>Conventionné</t>
        </is>
      </c>
      <c r="F9" s="9" t="inlineStr">
        <is>
          <t>Mensuel</t>
        </is>
      </c>
      <c r="G9" s="9" t="inlineStr">
        <is>
          <t>SNC Lavie</t>
        </is>
      </c>
      <c r="H9" s="31" t="n">
        <v>22000</v>
      </c>
      <c r="I9" s="31" t="n">
        <v>50000</v>
      </c>
      <c r="J9" s="9" t="inlineStr">
        <is>
          <t>Nb jours × valeur faciale</t>
        </is>
      </c>
      <c r="K9" s="9" t="inlineStr">
        <is>
          <t>Tous employés</t>
        </is>
      </c>
      <c r="L9" s="9" t="inlineStr">
        <is>
          <t>Conforme - Convention collective</t>
        </is>
      </c>
      <c r="M9" s="41" t="n">
        <v>45292</v>
      </c>
      <c r="N9" s="9" t="n"/>
    </row>
    <row r="10" ht="22" customHeight="1">
      <c r="A10" s="5" t="inlineStr">
        <is>
          <t>AV-005</t>
        </is>
      </c>
      <c r="B10" s="5" t="inlineStr">
        <is>
          <t>Transport</t>
        </is>
      </c>
      <c r="C10" s="5" t="inlineStr">
        <is>
          <t>Prime de transport</t>
        </is>
      </c>
      <c r="D10" s="5" t="inlineStr">
        <is>
          <t>Indemnité trajet domicile-travail</t>
        </is>
      </c>
      <c r="E10" s="5" t="inlineStr">
        <is>
          <t>Conventionné</t>
        </is>
      </c>
      <c r="F10" s="5" t="inlineStr">
        <is>
          <t>Mensuel</t>
        </is>
      </c>
      <c r="G10" s="5" t="n"/>
      <c r="H10" s="30" t="n">
        <v>25000</v>
      </c>
      <c r="I10" s="30" t="n">
        <v>30000</v>
      </c>
      <c r="J10" s="5" t="inlineStr">
        <is>
          <t>Forfait mensuel</t>
        </is>
      </c>
      <c r="K10" s="5" t="inlineStr">
        <is>
          <t>Tous employés</t>
        </is>
      </c>
      <c r="L10" s="5" t="inlineStr">
        <is>
          <t>Conforme - Art. 30</t>
        </is>
      </c>
      <c r="M10" s="40" t="n">
        <v>45292</v>
      </c>
      <c r="N10" s="5" t="n"/>
    </row>
    <row r="11" ht="22" customHeight="1">
      <c r="A11" s="9" t="inlineStr">
        <is>
          <t>AV-006</t>
        </is>
      </c>
      <c r="B11" s="9" t="inlineStr">
        <is>
          <t>Logement</t>
        </is>
      </c>
      <c r="C11" s="9" t="inlineStr">
        <is>
          <t>Prêt logement social</t>
        </is>
      </c>
      <c r="D11" s="9" t="inlineStr">
        <is>
          <t>Aide à l'accession au logement</t>
        </is>
      </c>
      <c r="E11" s="9" t="inlineStr">
        <is>
          <t>Facultatif</t>
        </is>
      </c>
      <c r="F11" s="9" t="inlineStr">
        <is>
          <t>Ponctuel</t>
        </is>
      </c>
      <c r="G11" s="9" t="inlineStr">
        <is>
          <t>NSIA Vie</t>
        </is>
      </c>
      <c r="H11" s="31" t="n">
        <v>0</v>
      </c>
      <c r="I11" s="31" t="n">
        <v>5000000</v>
      </c>
      <c r="J11" s="9" t="inlineStr">
        <is>
          <t>Salaire × 36 max</t>
        </is>
      </c>
      <c r="K11" s="9" t="inlineStr">
        <is>
          <t>CDI &gt; 2 ans</t>
        </is>
      </c>
      <c r="L11" s="9" t="inlineStr">
        <is>
          <t>Conforme</t>
        </is>
      </c>
      <c r="M11" s="41" t="n">
        <v>45292</v>
      </c>
      <c r="N11" s="9" t="n"/>
    </row>
    <row r="12" ht="22" customHeight="1">
      <c r="A12" s="5" t="inlineStr">
        <is>
          <t>AV-007</t>
        </is>
      </c>
      <c r="B12" s="5" t="inlineStr">
        <is>
          <t>Prévoyance</t>
        </is>
      </c>
      <c r="C12" s="5" t="inlineStr">
        <is>
          <t>Assurance chômage</t>
        </is>
      </c>
      <c r="D12" s="5" t="inlineStr">
        <is>
          <t>Indemnisation perte d'emploi</t>
        </is>
      </c>
      <c r="E12" s="5" t="inlineStr">
        <is>
          <t>Obligatoire</t>
        </is>
      </c>
      <c r="F12" s="5" t="inlineStr">
        <is>
          <t>Mensuel</t>
        </is>
      </c>
      <c r="G12" s="5" t="inlineStr">
        <is>
          <t>CNPS</t>
        </is>
      </c>
      <c r="H12" s="30" t="n">
        <v>5200</v>
      </c>
      <c r="I12" s="30" t="n">
        <v>200000</v>
      </c>
      <c r="J12" s="5" t="inlineStr">
        <is>
          <t>Salaire × 1,04%</t>
        </is>
      </c>
      <c r="K12" s="5" t="inlineStr">
        <is>
          <t>Tous employés</t>
        </is>
      </c>
      <c r="L12" s="5" t="inlineStr">
        <is>
          <t>Conforme - Décret 96-200</t>
        </is>
      </c>
      <c r="M12" s="40" t="n">
        <v>45292</v>
      </c>
      <c r="N12" s="5" t="n"/>
    </row>
    <row r="13" ht="22" customHeight="1">
      <c r="A13" s="9" t="inlineStr">
        <is>
          <t>AV-008</t>
        </is>
      </c>
      <c r="B13" s="9" t="inlineStr">
        <is>
          <t>Retraite</t>
        </is>
      </c>
      <c r="C13" s="9" t="inlineStr">
        <is>
          <t>Retraite complémentaire</t>
        </is>
      </c>
      <c r="D13" s="9" t="inlineStr">
        <is>
          <t>Épargne retraite volontaire</t>
        </is>
      </c>
      <c r="E13" s="9" t="inlineStr">
        <is>
          <t>Facultatif</t>
        </is>
      </c>
      <c r="F13" s="9" t="inlineStr">
        <is>
          <t>Mensuel</t>
        </is>
      </c>
      <c r="G13" s="9" t="inlineStr">
        <is>
          <t>Allianz</t>
        </is>
      </c>
      <c r="H13" s="31" t="n">
        <v>15000</v>
      </c>
      <c r="I13" s="31" t="n">
        <v>150000</v>
      </c>
      <c r="J13" s="9" t="inlineStr">
        <is>
          <t>Forfait + % salaire</t>
        </is>
      </c>
      <c r="K13" s="9" t="inlineStr">
        <is>
          <t>CDI volontaires</t>
        </is>
      </c>
      <c r="L13" s="9" t="inlineStr">
        <is>
          <t>Conforme - Art. 50 Code Travail</t>
        </is>
      </c>
      <c r="M13" s="41" t="n">
        <v>45292</v>
      </c>
      <c r="N13" s="9" t="n"/>
    </row>
    <row r="14" ht="22" customHeight="1">
      <c r="A14" s="5" t="inlineStr">
        <is>
          <t>AV-009</t>
        </is>
      </c>
      <c r="B14" s="5" t="inlineStr">
        <is>
          <t>Santé</t>
        </is>
      </c>
      <c r="C14" s="5" t="inlineStr">
        <is>
          <t>Médecine du travail</t>
        </is>
      </c>
      <c r="D14" s="5" t="inlineStr">
        <is>
          <t>Visites médicales obligatoires</t>
        </is>
      </c>
      <c r="E14" s="5" t="inlineStr">
        <is>
          <t>Obligatoire</t>
        </is>
      </c>
      <c r="F14" s="5" t="inlineStr">
        <is>
          <t>Annuel</t>
        </is>
      </c>
      <c r="G14" s="5" t="inlineStr">
        <is>
          <t>SATRAM</t>
        </is>
      </c>
      <c r="H14" s="30" t="n">
        <v>5000</v>
      </c>
      <c r="I14" s="30" t="n">
        <v>10000</v>
      </c>
      <c r="J14" s="5" t="inlineStr">
        <is>
          <t>Forfait annuel / employé</t>
        </is>
      </c>
      <c r="K14" s="5" t="inlineStr">
        <is>
          <t>Tous employés</t>
        </is>
      </c>
      <c r="L14" s="5" t="inlineStr">
        <is>
          <t>Conforme - Art. 65 Code Travail</t>
        </is>
      </c>
      <c r="M14" s="40" t="n">
        <v>45292</v>
      </c>
      <c r="N14" s="5" t="n"/>
    </row>
    <row r="15" ht="22" customHeight="1">
      <c r="A15" s="9" t="inlineStr">
        <is>
          <t>AV-010</t>
        </is>
      </c>
      <c r="B15" s="9" t="inlineStr">
        <is>
          <t>Alimentation</t>
        </is>
      </c>
      <c r="C15" s="9" t="inlineStr">
        <is>
          <t>Prime panier</t>
        </is>
      </c>
      <c r="D15" s="9" t="inlineStr">
        <is>
          <t>Prime alimentaire complémentaire</t>
        </is>
      </c>
      <c r="E15" s="9" t="inlineStr">
        <is>
          <t>Conventionné</t>
        </is>
      </c>
      <c r="F15" s="9" t="inlineStr">
        <is>
          <t>Mensuel</t>
        </is>
      </c>
      <c r="G15" s="9" t="n"/>
      <c r="H15" s="31" t="n">
        <v>15000</v>
      </c>
      <c r="I15" s="31" t="n">
        <v>20000</v>
      </c>
      <c r="J15" s="9" t="inlineStr">
        <is>
          <t>Forfait mensuel</t>
        </is>
      </c>
      <c r="K15" s="9" t="inlineStr">
        <is>
          <t>Tous employés</t>
        </is>
      </c>
      <c r="L15" s="9" t="inlineStr">
        <is>
          <t>Conforme - Accord entreprise</t>
        </is>
      </c>
      <c r="M15" s="41" t="n">
        <v>45292</v>
      </c>
      <c r="N15" s="9" t="n"/>
    </row>
    <row r="16" ht="22" customHeight="1">
      <c r="A16" s="5" t="inlineStr">
        <is>
          <t>AV-011</t>
        </is>
      </c>
      <c r="B16" s="5" t="inlineStr">
        <is>
          <t>Prévoyance</t>
        </is>
      </c>
      <c r="C16" s="5" t="inlineStr">
        <is>
          <t>Allocation familiale</t>
        </is>
      </c>
      <c r="D16" s="5" t="inlineStr">
        <is>
          <t>Prestations familiales CNPS</t>
        </is>
      </c>
      <c r="E16" s="5" t="inlineStr">
        <is>
          <t>Obligatoire</t>
        </is>
      </c>
      <c r="F16" s="5" t="inlineStr">
        <is>
          <t>Mensuel</t>
        </is>
      </c>
      <c r="G16" s="5" t="inlineStr">
        <is>
          <t>CNPS</t>
        </is>
      </c>
      <c r="H16" s="30" t="n">
        <v>5000</v>
      </c>
      <c r="I16" s="30" t="n">
        <v>50000</v>
      </c>
      <c r="J16" s="5" t="inlineStr">
        <is>
          <t>Par enfant à charge</t>
        </is>
      </c>
      <c r="K16" s="5" t="inlineStr">
        <is>
          <t>Employés avec enfants</t>
        </is>
      </c>
      <c r="L16" s="5" t="inlineStr">
        <is>
          <t>Conforme - Art. 35</t>
        </is>
      </c>
      <c r="M16" s="40" t="n">
        <v>45292</v>
      </c>
      <c r="N16" s="5" t="n"/>
    </row>
    <row r="17" ht="22" customHeight="1">
      <c r="A17" s="9" t="inlineStr">
        <is>
          <t>AV-012</t>
        </is>
      </c>
      <c r="B17" s="9" t="inlineStr">
        <is>
          <t>Prévoyance</t>
        </is>
      </c>
      <c r="C17" s="9" t="inlineStr">
        <is>
          <t>Indemnité de licenciement</t>
        </is>
      </c>
      <c r="D17" s="9" t="inlineStr">
        <is>
          <t>Indemnité départ forcé</t>
        </is>
      </c>
      <c r="E17" s="9" t="inlineStr">
        <is>
          <t>Obligatoire</t>
        </is>
      </c>
      <c r="F17" s="9" t="inlineStr">
        <is>
          <t>Ponctuel</t>
        </is>
      </c>
      <c r="G17" s="9" t="n"/>
      <c r="H17" s="31" t="n">
        <v>0</v>
      </c>
      <c r="I17" s="31" t="n">
        <v>0</v>
      </c>
      <c r="J17" s="9" t="inlineStr">
        <is>
          <t>Ancienneté × salaire</t>
        </is>
      </c>
      <c r="K17" s="9" t="inlineStr">
        <is>
          <t>Selon conditions</t>
        </is>
      </c>
      <c r="L17" s="9" t="inlineStr">
        <is>
          <t>Conforme - Art. 20-21</t>
        </is>
      </c>
      <c r="M17" s="41" t="n">
        <v>45292</v>
      </c>
      <c r="N17" s="9" t="n"/>
    </row>
    <row r="18" ht="22" customHeight="1">
      <c r="A18" s="5" t="inlineStr">
        <is>
          <t>AV-013</t>
        </is>
      </c>
      <c r="B18" s="5" t="inlineStr">
        <is>
          <t>Formation</t>
        </is>
      </c>
      <c r="C18" s="5" t="inlineStr">
        <is>
          <t>Formation continue</t>
        </is>
      </c>
      <c r="D18" s="5" t="inlineStr">
        <is>
          <t>Droit à la formation professionnelle</t>
        </is>
      </c>
      <c r="E18" s="5" t="inlineStr">
        <is>
          <t>Obligatoire</t>
        </is>
      </c>
      <c r="F18" s="5" t="inlineStr">
        <is>
          <t>Annuel</t>
        </is>
      </c>
      <c r="G18" s="5" t="n"/>
      <c r="H18" s="30" t="n">
        <v>40000</v>
      </c>
      <c r="I18" s="30" t="n">
        <v>80000</v>
      </c>
      <c r="J18" s="5" t="inlineStr">
        <is>
          <t>1,2% masse salariale</t>
        </is>
      </c>
      <c r="K18" s="5" t="inlineStr">
        <is>
          <t>Tous employés</t>
        </is>
      </c>
      <c r="L18" s="5" t="inlineStr">
        <is>
          <t>Conforme - Art. 22-24</t>
        </is>
      </c>
      <c r="M18" s="40" t="n">
        <v>45292</v>
      </c>
      <c r="N18" s="5" t="n"/>
    </row>
    <row r="19" ht="22" customHeight="1">
      <c r="A19" s="9" t="inlineStr">
        <is>
          <t>AV-014</t>
        </is>
      </c>
      <c r="B19" s="9" t="inlineStr">
        <is>
          <t>Autre</t>
        </is>
      </c>
      <c r="C19" s="9" t="inlineStr">
        <is>
          <t>Vêtements de travail</t>
        </is>
      </c>
      <c r="D19" s="9" t="inlineStr">
        <is>
          <t>Tenue professionnelle fournie</t>
        </is>
      </c>
      <c r="E19" s="9" t="inlineStr">
        <is>
          <t>Conventionné</t>
        </is>
      </c>
      <c r="F19" s="9" t="inlineStr">
        <is>
          <t>Annuel</t>
        </is>
      </c>
      <c r="G19" s="9" t="n"/>
      <c r="H19" s="31" t="n">
        <v>25000</v>
      </c>
      <c r="I19" s="31" t="n">
        <v>35000</v>
      </c>
      <c r="J19" s="9" t="inlineStr">
        <is>
          <t>Forfait annuel</t>
        </is>
      </c>
      <c r="K19" s="9" t="inlineStr">
        <is>
          <t>Tous employés</t>
        </is>
      </c>
      <c r="L19" s="9" t="inlineStr">
        <is>
          <t>Conforme</t>
        </is>
      </c>
      <c r="M19" s="41" t="n">
        <v>45292</v>
      </c>
      <c r="N19" s="9" t="n"/>
    </row>
    <row r="20" ht="22" customHeight="1">
      <c r="A20" s="5" t="inlineStr">
        <is>
          <t>AV-015</t>
        </is>
      </c>
      <c r="B20" s="5" t="inlineStr">
        <is>
          <t>Autre</t>
        </is>
      </c>
      <c r="C20" s="5" t="inlineStr">
        <is>
          <t>Prime d'ancienneté</t>
        </is>
      </c>
      <c r="D20" s="5" t="inlineStr">
        <is>
          <t>Prime fidélisation selon ancienneté</t>
        </is>
      </c>
      <c r="E20" s="5" t="inlineStr">
        <is>
          <t>Conventionné</t>
        </is>
      </c>
      <c r="F20" s="5" t="inlineStr">
        <is>
          <t>Annuel</t>
        </is>
      </c>
      <c r="G20" s="5" t="n"/>
      <c r="H20" s="30" t="n">
        <v>0</v>
      </c>
      <c r="I20" s="30" t="n">
        <v>50000</v>
      </c>
      <c r="J20" s="5" t="inlineStr">
        <is>
          <t>2% × salaire × années</t>
        </is>
      </c>
      <c r="K20" s="5" t="inlineStr">
        <is>
          <t>CDI &gt; 1 an</t>
        </is>
      </c>
      <c r="L20" s="5" t="inlineStr">
        <is>
          <t>Conforme - Convention collective</t>
        </is>
      </c>
      <c r="M20" s="40" t="n">
        <v>45292</v>
      </c>
      <c r="N20" s="5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31" t="n"/>
      <c r="I21" s="31" t="n"/>
      <c r="J21" s="9" t="n"/>
      <c r="K21" s="9" t="n"/>
      <c r="L21" s="9" t="n"/>
      <c r="M21" s="41" t="n"/>
      <c r="N21" s="9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30" t="n"/>
      <c r="I22" s="30" t="n"/>
      <c r="J22" s="5" t="n"/>
      <c r="K22" s="5" t="n"/>
      <c r="L22" s="5" t="n"/>
      <c r="M22" s="40" t="n"/>
      <c r="N22" s="5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31" t="n"/>
      <c r="I23" s="31" t="n"/>
      <c r="J23" s="9" t="n"/>
      <c r="K23" s="9" t="n"/>
      <c r="L23" s="9" t="n"/>
      <c r="M23" s="41" t="n"/>
      <c r="N23" s="9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30" t="n"/>
      <c r="I24" s="30" t="n"/>
      <c r="J24" s="5" t="n"/>
      <c r="K24" s="5" t="n"/>
      <c r="L24" s="5" t="n"/>
      <c r="M24" s="40" t="n"/>
      <c r="N24" s="5" t="n"/>
    </row>
    <row r="25" ht="22" customHeight="1">
      <c r="A25" s="9" t="n"/>
      <c r="B25" s="9" t="n"/>
      <c r="C25" s="9" t="n"/>
      <c r="D25" s="9" t="n"/>
      <c r="E25" s="9" t="n"/>
      <c r="F25" s="9" t="n"/>
      <c r="G25" s="9" t="n"/>
      <c r="H25" s="31" t="n"/>
      <c r="I25" s="31" t="n"/>
      <c r="J25" s="9" t="n"/>
      <c r="K25" s="9" t="n"/>
      <c r="L25" s="9" t="n"/>
      <c r="M25" s="41" t="n"/>
      <c r="N25" s="9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30" t="n"/>
      <c r="I26" s="30" t="n"/>
      <c r="J26" s="5" t="n"/>
      <c r="K26" s="5" t="n"/>
      <c r="L26" s="5" t="n"/>
      <c r="M26" s="40" t="n"/>
      <c r="N26" s="5" t="n"/>
    </row>
    <row r="27" ht="22" customHeight="1">
      <c r="A27" s="9" t="n"/>
      <c r="B27" s="9" t="n"/>
      <c r="C27" s="9" t="n"/>
      <c r="D27" s="9" t="n"/>
      <c r="E27" s="9" t="n"/>
      <c r="F27" s="9" t="n"/>
      <c r="G27" s="9" t="n"/>
      <c r="H27" s="31" t="n"/>
      <c r="I27" s="31" t="n"/>
      <c r="J27" s="9" t="n"/>
      <c r="K27" s="9" t="n"/>
      <c r="L27" s="9" t="n"/>
      <c r="M27" s="41" t="n"/>
      <c r="N27" s="9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30" t="n"/>
      <c r="I28" s="30" t="n"/>
      <c r="J28" s="5" t="n"/>
      <c r="K28" s="5" t="n"/>
      <c r="L28" s="5" t="n"/>
      <c r="M28" s="40" t="n"/>
      <c r="N28" s="5" t="n"/>
    </row>
    <row r="29" ht="22" customHeight="1">
      <c r="A29" s="9" t="n"/>
      <c r="B29" s="9" t="n"/>
      <c r="C29" s="9" t="n"/>
      <c r="D29" s="9" t="n"/>
      <c r="E29" s="9" t="n"/>
      <c r="F29" s="9" t="n"/>
      <c r="G29" s="9" t="n"/>
      <c r="H29" s="31" t="n"/>
      <c r="I29" s="31" t="n"/>
      <c r="J29" s="9" t="n"/>
      <c r="K29" s="9" t="n"/>
      <c r="L29" s="9" t="n"/>
      <c r="M29" s="41" t="n"/>
      <c r="N29" s="9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30" t="n"/>
      <c r="I30" s="30" t="n"/>
      <c r="J30" s="5" t="n"/>
      <c r="K30" s="5" t="n"/>
      <c r="L30" s="5" t="n"/>
      <c r="M30" s="40" t="n"/>
      <c r="N30" s="5" t="n"/>
    </row>
    <row r="31" ht="22" customHeight="1">
      <c r="A31" s="9" t="n"/>
      <c r="B31" s="9" t="n"/>
      <c r="C31" s="9" t="n"/>
      <c r="D31" s="9" t="n"/>
      <c r="E31" s="9" t="n"/>
      <c r="F31" s="9" t="n"/>
      <c r="G31" s="9" t="n"/>
      <c r="H31" s="31" t="n"/>
      <c r="I31" s="31" t="n"/>
      <c r="J31" s="9" t="n"/>
      <c r="K31" s="9" t="n"/>
      <c r="L31" s="9" t="n"/>
      <c r="M31" s="41" t="n"/>
      <c r="N31" s="9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30" t="n"/>
      <c r="I32" s="30" t="n"/>
      <c r="J32" s="5" t="n"/>
      <c r="K32" s="5" t="n"/>
      <c r="L32" s="5" t="n"/>
      <c r="M32" s="40" t="n"/>
      <c r="N32" s="5" t="n"/>
    </row>
    <row r="33" ht="22" customHeight="1">
      <c r="A33" s="9" t="n"/>
      <c r="B33" s="9" t="n"/>
      <c r="C33" s="9" t="n"/>
      <c r="D33" s="9" t="n"/>
      <c r="E33" s="9" t="n"/>
      <c r="F33" s="9" t="n"/>
      <c r="G33" s="9" t="n"/>
      <c r="H33" s="31" t="n"/>
      <c r="I33" s="31" t="n"/>
      <c r="J33" s="9" t="n"/>
      <c r="K33" s="9" t="n"/>
      <c r="L33" s="9" t="n"/>
      <c r="M33" s="41" t="n"/>
      <c r="N33" s="9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30" t="n"/>
      <c r="I34" s="30" t="n"/>
      <c r="J34" s="5" t="n"/>
      <c r="K34" s="5" t="n"/>
      <c r="L34" s="5" t="n"/>
      <c r="M34" s="40" t="n"/>
      <c r="N34" s="5" t="n"/>
    </row>
    <row r="35" ht="22" customHeight="1">
      <c r="A35" s="9" t="n"/>
      <c r="B35" s="9" t="n"/>
      <c r="C35" s="9" t="n"/>
      <c r="D35" s="9" t="n"/>
      <c r="E35" s="9" t="n"/>
      <c r="F35" s="9" t="n"/>
      <c r="G35" s="9" t="n"/>
      <c r="H35" s="31" t="n"/>
      <c r="I35" s="31" t="n"/>
      <c r="J35" s="9" t="n"/>
      <c r="K35" s="9" t="n"/>
      <c r="L35" s="9" t="n"/>
      <c r="M35" s="41" t="n"/>
      <c r="N35" s="9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30" t="n"/>
      <c r="I36" s="30" t="n"/>
      <c r="J36" s="5" t="n"/>
      <c r="K36" s="5" t="n"/>
      <c r="L36" s="5" t="n"/>
      <c r="M36" s="40" t="n"/>
      <c r="N36" s="5" t="n"/>
    </row>
    <row r="37" ht="22" customHeight="1">
      <c r="A37" s="9" t="n"/>
      <c r="B37" s="9" t="n"/>
      <c r="C37" s="9" t="n"/>
      <c r="D37" s="9" t="n"/>
      <c r="E37" s="9" t="n"/>
      <c r="F37" s="9" t="n"/>
      <c r="G37" s="9" t="n"/>
      <c r="H37" s="31" t="n"/>
      <c r="I37" s="31" t="n"/>
      <c r="J37" s="9" t="n"/>
      <c r="K37" s="9" t="n"/>
      <c r="L37" s="9" t="n"/>
      <c r="M37" s="41" t="n"/>
      <c r="N37" s="9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30" t="n"/>
      <c r="I38" s="30" t="n"/>
      <c r="J38" s="5" t="n"/>
      <c r="K38" s="5" t="n"/>
      <c r="L38" s="5" t="n"/>
      <c r="M38" s="40" t="n"/>
      <c r="N38" s="5" t="n"/>
    </row>
    <row r="39" ht="22" customHeight="1">
      <c r="A39" s="9" t="n"/>
      <c r="B39" s="9" t="n"/>
      <c r="C39" s="9" t="n"/>
      <c r="D39" s="9" t="n"/>
      <c r="E39" s="9" t="n"/>
      <c r="F39" s="9" t="n"/>
      <c r="G39" s="9" t="n"/>
      <c r="H39" s="31" t="n"/>
      <c r="I39" s="31" t="n"/>
      <c r="J39" s="9" t="n"/>
      <c r="K39" s="9" t="n"/>
      <c r="L39" s="9" t="n"/>
      <c r="M39" s="41" t="n"/>
      <c r="N39" s="9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30" t="n"/>
      <c r="I40" s="30" t="n"/>
      <c r="J40" s="5" t="n"/>
      <c r="K40" s="5" t="n"/>
      <c r="L40" s="5" t="n"/>
      <c r="M40" s="40" t="n"/>
      <c r="N40" s="5" t="n"/>
    </row>
    <row r="41" ht="22" customHeight="1">
      <c r="A41" s="9" t="n"/>
      <c r="B41" s="9" t="n"/>
      <c r="C41" s="9" t="n"/>
      <c r="D41" s="9" t="n"/>
      <c r="E41" s="9" t="n"/>
      <c r="F41" s="9" t="n"/>
      <c r="G41" s="9" t="n"/>
      <c r="H41" s="31" t="n"/>
      <c r="I41" s="31" t="n"/>
      <c r="J41" s="9" t="n"/>
      <c r="K41" s="9" t="n"/>
      <c r="L41" s="9" t="n"/>
      <c r="M41" s="41" t="n"/>
      <c r="N41" s="9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30" t="n"/>
      <c r="I42" s="30" t="n"/>
      <c r="J42" s="5" t="n"/>
      <c r="K42" s="5" t="n"/>
      <c r="L42" s="5" t="n"/>
      <c r="M42" s="40" t="n"/>
      <c r="N42" s="5" t="n"/>
    </row>
    <row r="43" ht="22" customHeight="1">
      <c r="A43" s="9" t="n"/>
      <c r="B43" s="9" t="n"/>
      <c r="C43" s="9" t="n"/>
      <c r="D43" s="9" t="n"/>
      <c r="E43" s="9" t="n"/>
      <c r="F43" s="9" t="n"/>
      <c r="G43" s="9" t="n"/>
      <c r="H43" s="31" t="n"/>
      <c r="I43" s="31" t="n"/>
      <c r="J43" s="9" t="n"/>
      <c r="K43" s="9" t="n"/>
      <c r="L43" s="9" t="n"/>
      <c r="M43" s="41" t="n"/>
      <c r="N43" s="9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30" t="n"/>
      <c r="I44" s="30" t="n"/>
      <c r="J44" s="5" t="n"/>
      <c r="K44" s="5" t="n"/>
      <c r="L44" s="5" t="n"/>
      <c r="M44" s="40" t="n"/>
      <c r="N44" s="5" t="n"/>
    </row>
    <row r="45" ht="22" customHeight="1">
      <c r="A45" s="9" t="n"/>
      <c r="B45" s="9" t="n"/>
      <c r="C45" s="9" t="n"/>
      <c r="D45" s="9" t="n"/>
      <c r="E45" s="9" t="n"/>
      <c r="F45" s="9" t="n"/>
      <c r="G45" s="9" t="n"/>
      <c r="H45" s="31" t="n"/>
      <c r="I45" s="31" t="n"/>
      <c r="J45" s="9" t="n"/>
      <c r="K45" s="9" t="n"/>
      <c r="L45" s="9" t="n"/>
      <c r="M45" s="41" t="n"/>
      <c r="N45" s="9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30" t="n"/>
      <c r="I46" s="30" t="n"/>
      <c r="J46" s="5" t="n"/>
      <c r="K46" s="5" t="n"/>
      <c r="L46" s="5" t="n"/>
      <c r="M46" s="40" t="n"/>
      <c r="N46" s="5" t="n"/>
    </row>
    <row r="47" ht="22" customHeight="1">
      <c r="A47" s="9" t="n"/>
      <c r="B47" s="9" t="n"/>
      <c r="C47" s="9" t="n"/>
      <c r="D47" s="9" t="n"/>
      <c r="E47" s="9" t="n"/>
      <c r="F47" s="9" t="n"/>
      <c r="G47" s="9" t="n"/>
      <c r="H47" s="31" t="n"/>
      <c r="I47" s="31" t="n"/>
      <c r="J47" s="9" t="n"/>
      <c r="K47" s="9" t="n"/>
      <c r="L47" s="9" t="n"/>
      <c r="M47" s="41" t="n"/>
      <c r="N47" s="9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30" t="n"/>
      <c r="I48" s="30" t="n"/>
      <c r="J48" s="5" t="n"/>
      <c r="K48" s="5" t="n"/>
      <c r="L48" s="5" t="n"/>
      <c r="M48" s="40" t="n"/>
      <c r="N48" s="5" t="n"/>
    </row>
    <row r="49" ht="22" customHeight="1">
      <c r="A49" s="9" t="n"/>
      <c r="B49" s="9" t="n"/>
      <c r="C49" s="9" t="n"/>
      <c r="D49" s="9" t="n"/>
      <c r="E49" s="9" t="n"/>
      <c r="F49" s="9" t="n"/>
      <c r="G49" s="9" t="n"/>
      <c r="H49" s="31" t="n"/>
      <c r="I49" s="31" t="n"/>
      <c r="J49" s="9" t="n"/>
      <c r="K49" s="9" t="n"/>
      <c r="L49" s="9" t="n"/>
      <c r="M49" s="41" t="n"/>
      <c r="N49" s="9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30" t="n"/>
      <c r="I50" s="30" t="n"/>
      <c r="J50" s="5" t="n"/>
      <c r="K50" s="5" t="n"/>
      <c r="L50" s="5" t="n"/>
      <c r="M50" s="40" t="n"/>
      <c r="N50" s="5" t="n"/>
    </row>
    <row r="51" ht="22" customHeight="1">
      <c r="A51" s="9" t="n"/>
      <c r="B51" s="9" t="n"/>
      <c r="C51" s="9" t="n"/>
      <c r="D51" s="9" t="n"/>
      <c r="E51" s="9" t="n"/>
      <c r="F51" s="9" t="n"/>
      <c r="G51" s="9" t="n"/>
      <c r="H51" s="31" t="n"/>
      <c r="I51" s="31" t="n"/>
      <c r="J51" s="9" t="n"/>
      <c r="K51" s="9" t="n"/>
      <c r="L51" s="9" t="n"/>
      <c r="M51" s="41" t="n"/>
      <c r="N51" s="9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30" t="n"/>
      <c r="I52" s="30" t="n"/>
      <c r="J52" s="5" t="n"/>
      <c r="K52" s="5" t="n"/>
      <c r="L52" s="5" t="n"/>
      <c r="M52" s="40" t="n"/>
      <c r="N52" s="5" t="n"/>
    </row>
    <row r="53" ht="22" customHeight="1">
      <c r="A53" s="9" t="n"/>
      <c r="B53" s="9" t="n"/>
      <c r="C53" s="9" t="n"/>
      <c r="D53" s="9" t="n"/>
      <c r="E53" s="9" t="n"/>
      <c r="F53" s="9" t="n"/>
      <c r="G53" s="9" t="n"/>
      <c r="H53" s="31" t="n"/>
      <c r="I53" s="31" t="n"/>
      <c r="J53" s="9" t="n"/>
      <c r="K53" s="9" t="n"/>
      <c r="L53" s="9" t="n"/>
      <c r="M53" s="41" t="n"/>
      <c r="N53" s="9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30" t="n"/>
      <c r="I54" s="30" t="n"/>
      <c r="J54" s="5" t="n"/>
      <c r="K54" s="5" t="n"/>
      <c r="L54" s="5" t="n"/>
      <c r="M54" s="40" t="n"/>
      <c r="N54" s="5" t="n"/>
    </row>
    <row r="55" ht="22" customHeight="1">
      <c r="A55" s="9" t="n"/>
      <c r="B55" s="9" t="n"/>
      <c r="C55" s="9" t="n"/>
      <c r="D55" s="9" t="n"/>
      <c r="E55" s="9" t="n"/>
      <c r="F55" s="9" t="n"/>
      <c r="G55" s="9" t="n"/>
      <c r="H55" s="31" t="n"/>
      <c r="I55" s="31" t="n"/>
      <c r="J55" s="9" t="n"/>
      <c r="K55" s="9" t="n"/>
      <c r="L55" s="9" t="n"/>
      <c r="M55" s="41" t="n"/>
      <c r="N55" s="9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30" t="n"/>
      <c r="I56" s="30" t="n"/>
      <c r="J56" s="5" t="n"/>
      <c r="K56" s="5" t="n"/>
      <c r="L56" s="5" t="n"/>
      <c r="M56" s="40" t="n"/>
      <c r="N56" s="5" t="n"/>
    </row>
    <row r="57" ht="22" customHeight="1">
      <c r="A57" s="9" t="n"/>
      <c r="B57" s="9" t="n"/>
      <c r="C57" s="9" t="n"/>
      <c r="D57" s="9" t="n"/>
      <c r="E57" s="9" t="n"/>
      <c r="F57" s="9" t="n"/>
      <c r="G57" s="9" t="n"/>
      <c r="H57" s="31" t="n"/>
      <c r="I57" s="31" t="n"/>
      <c r="J57" s="9" t="n"/>
      <c r="K57" s="9" t="n"/>
      <c r="L57" s="9" t="n"/>
      <c r="M57" s="41" t="n"/>
      <c r="N57" s="9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30" t="n"/>
      <c r="I58" s="30" t="n"/>
      <c r="J58" s="5" t="n"/>
      <c r="K58" s="5" t="n"/>
      <c r="L58" s="5" t="n"/>
      <c r="M58" s="40" t="n"/>
      <c r="N58" s="5" t="n"/>
    </row>
    <row r="59" ht="22" customHeight="1">
      <c r="A59" s="9" t="n"/>
      <c r="B59" s="9" t="n"/>
      <c r="C59" s="9" t="n"/>
      <c r="D59" s="9" t="n"/>
      <c r="E59" s="9" t="n"/>
      <c r="F59" s="9" t="n"/>
      <c r="G59" s="9" t="n"/>
      <c r="H59" s="31" t="n"/>
      <c r="I59" s="31" t="n"/>
      <c r="J59" s="9" t="n"/>
      <c r="K59" s="9" t="n"/>
      <c r="L59" s="9" t="n"/>
      <c r="M59" s="41" t="n"/>
      <c r="N59" s="9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30" t="n"/>
      <c r="I60" s="30" t="n"/>
      <c r="J60" s="5" t="n"/>
      <c r="K60" s="5" t="n"/>
      <c r="L60" s="5" t="n"/>
      <c r="M60" s="40" t="n"/>
      <c r="N60" s="5" t="n"/>
    </row>
    <row r="61" ht="22" customHeight="1">
      <c r="A61" s="9" t="n"/>
      <c r="B61" s="9" t="n"/>
      <c r="C61" s="9" t="n"/>
      <c r="D61" s="9" t="n"/>
      <c r="E61" s="9" t="n"/>
      <c r="F61" s="9" t="n"/>
      <c r="G61" s="9" t="n"/>
      <c r="H61" s="31" t="n"/>
      <c r="I61" s="31" t="n"/>
      <c r="J61" s="9" t="n"/>
      <c r="K61" s="9" t="n"/>
      <c r="L61" s="9" t="n"/>
      <c r="M61" s="41" t="n"/>
      <c r="N61" s="9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30" t="n"/>
      <c r="I62" s="30" t="n"/>
      <c r="J62" s="5" t="n"/>
      <c r="K62" s="5" t="n"/>
      <c r="L62" s="5" t="n"/>
      <c r="M62" s="40" t="n"/>
      <c r="N62" s="5" t="n"/>
    </row>
    <row r="63" ht="22" customHeight="1">
      <c r="A63" s="9" t="n"/>
      <c r="B63" s="9" t="n"/>
      <c r="C63" s="9" t="n"/>
      <c r="D63" s="9" t="n"/>
      <c r="E63" s="9" t="n"/>
      <c r="F63" s="9" t="n"/>
      <c r="G63" s="9" t="n"/>
      <c r="H63" s="31" t="n"/>
      <c r="I63" s="31" t="n"/>
      <c r="J63" s="9" t="n"/>
      <c r="K63" s="9" t="n"/>
      <c r="L63" s="9" t="n"/>
      <c r="M63" s="41" t="n"/>
      <c r="N63" s="9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30" t="n"/>
      <c r="I64" s="30" t="n"/>
      <c r="J64" s="5" t="n"/>
      <c r="K64" s="5" t="n"/>
      <c r="L64" s="5" t="n"/>
      <c r="M64" s="40" t="n"/>
      <c r="N64" s="5" t="n"/>
    </row>
    <row r="65" ht="22" customHeight="1">
      <c r="A65" s="9" t="n"/>
      <c r="B65" s="9" t="n"/>
      <c r="C65" s="9" t="n"/>
      <c r="D65" s="9" t="n"/>
      <c r="E65" s="9" t="n"/>
      <c r="F65" s="9" t="n"/>
      <c r="G65" s="9" t="n"/>
      <c r="H65" s="31" t="n"/>
      <c r="I65" s="31" t="n"/>
      <c r="J65" s="9" t="n"/>
      <c r="K65" s="9" t="n"/>
      <c r="L65" s="9" t="n"/>
      <c r="M65" s="41" t="n"/>
      <c r="N65" s="9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30" t="n"/>
      <c r="I66" s="30" t="n"/>
      <c r="J66" s="5" t="n"/>
      <c r="K66" s="5" t="n"/>
      <c r="L66" s="5" t="n"/>
      <c r="M66" s="40" t="n"/>
      <c r="N66" s="5" t="n"/>
    </row>
    <row r="67" ht="22" customHeight="1">
      <c r="A67" s="9" t="n"/>
      <c r="B67" s="9" t="n"/>
      <c r="C67" s="9" t="n"/>
      <c r="D67" s="9" t="n"/>
      <c r="E67" s="9" t="n"/>
      <c r="F67" s="9" t="n"/>
      <c r="G67" s="9" t="n"/>
      <c r="H67" s="31" t="n"/>
      <c r="I67" s="31" t="n"/>
      <c r="J67" s="9" t="n"/>
      <c r="K67" s="9" t="n"/>
      <c r="L67" s="9" t="n"/>
      <c r="M67" s="41" t="n"/>
      <c r="N67" s="9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30" t="n"/>
      <c r="I68" s="30" t="n"/>
      <c r="J68" s="5" t="n"/>
      <c r="K68" s="5" t="n"/>
      <c r="L68" s="5" t="n"/>
      <c r="M68" s="40" t="n"/>
      <c r="N68" s="5" t="n"/>
    </row>
    <row r="69" ht="22" customHeight="1">
      <c r="A69" s="9" t="n"/>
      <c r="B69" s="9" t="n"/>
      <c r="C69" s="9" t="n"/>
      <c r="D69" s="9" t="n"/>
      <c r="E69" s="9" t="n"/>
      <c r="F69" s="9" t="n"/>
      <c r="G69" s="9" t="n"/>
      <c r="H69" s="31" t="n"/>
      <c r="I69" s="31" t="n"/>
      <c r="J69" s="9" t="n"/>
      <c r="K69" s="9" t="n"/>
      <c r="L69" s="9" t="n"/>
      <c r="M69" s="41" t="n"/>
      <c r="N69" s="9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30" t="n"/>
      <c r="I70" s="30" t="n"/>
      <c r="J70" s="5" t="n"/>
      <c r="K70" s="5" t="n"/>
      <c r="L70" s="5" t="n"/>
      <c r="M70" s="40" t="n"/>
      <c r="N70" s="5" t="n"/>
    </row>
    <row r="71" ht="22" customHeight="1">
      <c r="A71" s="9" t="n"/>
      <c r="B71" s="9" t="n"/>
      <c r="C71" s="9" t="n"/>
      <c r="D71" s="9" t="n"/>
      <c r="E71" s="9" t="n"/>
      <c r="F71" s="9" t="n"/>
      <c r="G71" s="9" t="n"/>
      <c r="H71" s="31" t="n"/>
      <c r="I71" s="31" t="n"/>
      <c r="J71" s="9" t="n"/>
      <c r="K71" s="9" t="n"/>
      <c r="L71" s="9" t="n"/>
      <c r="M71" s="41" t="n"/>
      <c r="N71" s="9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30" t="n"/>
      <c r="I72" s="30" t="n"/>
      <c r="J72" s="5" t="n"/>
      <c r="K72" s="5" t="n"/>
      <c r="L72" s="5" t="n"/>
      <c r="M72" s="40" t="n"/>
      <c r="N72" s="5" t="n"/>
    </row>
    <row r="73" ht="22" customHeight="1">
      <c r="A73" s="9" t="n"/>
      <c r="B73" s="9" t="n"/>
      <c r="C73" s="9" t="n"/>
      <c r="D73" s="9" t="n"/>
      <c r="E73" s="9" t="n"/>
      <c r="F73" s="9" t="n"/>
      <c r="G73" s="9" t="n"/>
      <c r="H73" s="31" t="n"/>
      <c r="I73" s="31" t="n"/>
      <c r="J73" s="9" t="n"/>
      <c r="K73" s="9" t="n"/>
      <c r="L73" s="9" t="n"/>
      <c r="M73" s="41" t="n"/>
      <c r="N73" s="9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30" t="n"/>
      <c r="I74" s="30" t="n"/>
      <c r="J74" s="5" t="n"/>
      <c r="K74" s="5" t="n"/>
      <c r="L74" s="5" t="n"/>
      <c r="M74" s="40" t="n"/>
      <c r="N74" s="5" t="n"/>
    </row>
    <row r="75" ht="22" customHeight="1">
      <c r="A75" s="9" t="n"/>
      <c r="B75" s="9" t="n"/>
      <c r="C75" s="9" t="n"/>
      <c r="D75" s="9" t="n"/>
      <c r="E75" s="9" t="n"/>
      <c r="F75" s="9" t="n"/>
      <c r="G75" s="9" t="n"/>
      <c r="H75" s="31" t="n"/>
      <c r="I75" s="31" t="n"/>
      <c r="J75" s="9" t="n"/>
      <c r="K75" s="9" t="n"/>
      <c r="L75" s="9" t="n"/>
      <c r="M75" s="41" t="n"/>
      <c r="N75" s="9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30" t="n"/>
      <c r="I76" s="30" t="n"/>
      <c r="J76" s="5" t="n"/>
      <c r="K76" s="5" t="n"/>
      <c r="L76" s="5" t="n"/>
      <c r="M76" s="40" t="n"/>
      <c r="N76" s="5" t="n"/>
    </row>
    <row r="77" ht="22" customHeight="1">
      <c r="A77" s="9" t="n"/>
      <c r="B77" s="9" t="n"/>
      <c r="C77" s="9" t="n"/>
      <c r="D77" s="9" t="n"/>
      <c r="E77" s="9" t="n"/>
      <c r="F77" s="9" t="n"/>
      <c r="G77" s="9" t="n"/>
      <c r="H77" s="31" t="n"/>
      <c r="I77" s="31" t="n"/>
      <c r="J77" s="9" t="n"/>
      <c r="K77" s="9" t="n"/>
      <c r="L77" s="9" t="n"/>
      <c r="M77" s="41" t="n"/>
      <c r="N77" s="9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30" t="n"/>
      <c r="I78" s="30" t="n"/>
      <c r="J78" s="5" t="n"/>
      <c r="K78" s="5" t="n"/>
      <c r="L78" s="5" t="n"/>
      <c r="M78" s="40" t="n"/>
      <c r="N78" s="5" t="n"/>
    </row>
    <row r="79" ht="22" customHeight="1">
      <c r="A79" s="9" t="n"/>
      <c r="B79" s="9" t="n"/>
      <c r="C79" s="9" t="n"/>
      <c r="D79" s="9" t="n"/>
      <c r="E79" s="9" t="n"/>
      <c r="F79" s="9" t="n"/>
      <c r="G79" s="9" t="n"/>
      <c r="H79" s="31" t="n"/>
      <c r="I79" s="31" t="n"/>
      <c r="J79" s="9" t="n"/>
      <c r="K79" s="9" t="n"/>
      <c r="L79" s="9" t="n"/>
      <c r="M79" s="41" t="n"/>
      <c r="N79" s="9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30" t="n"/>
      <c r="I80" s="30" t="n"/>
      <c r="J80" s="5" t="n"/>
      <c r="K80" s="5" t="n"/>
      <c r="L80" s="5" t="n"/>
      <c r="M80" s="40" t="n"/>
      <c r="N80" s="5" t="n"/>
    </row>
    <row r="81" ht="22" customHeight="1">
      <c r="A81" s="9" t="n"/>
      <c r="B81" s="9" t="n"/>
      <c r="C81" s="9" t="n"/>
      <c r="D81" s="9" t="n"/>
      <c r="E81" s="9" t="n"/>
      <c r="F81" s="9" t="n"/>
      <c r="G81" s="9" t="n"/>
      <c r="H81" s="31" t="n"/>
      <c r="I81" s="31" t="n"/>
      <c r="J81" s="9" t="n"/>
      <c r="K81" s="9" t="n"/>
      <c r="L81" s="9" t="n"/>
      <c r="M81" s="41" t="n"/>
      <c r="N81" s="9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30" t="n"/>
      <c r="I82" s="30" t="n"/>
      <c r="J82" s="5" t="n"/>
      <c r="K82" s="5" t="n"/>
      <c r="L82" s="5" t="n"/>
      <c r="M82" s="40" t="n"/>
      <c r="N82" s="5" t="n"/>
    </row>
    <row r="83" ht="22" customHeight="1">
      <c r="A83" s="9" t="n"/>
      <c r="B83" s="9" t="n"/>
      <c r="C83" s="9" t="n"/>
      <c r="D83" s="9" t="n"/>
      <c r="E83" s="9" t="n"/>
      <c r="F83" s="9" t="n"/>
      <c r="G83" s="9" t="n"/>
      <c r="H83" s="31" t="n"/>
      <c r="I83" s="31" t="n"/>
      <c r="J83" s="9" t="n"/>
      <c r="K83" s="9" t="n"/>
      <c r="L83" s="9" t="n"/>
      <c r="M83" s="41" t="n"/>
      <c r="N83" s="9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30" t="n"/>
      <c r="I84" s="30" t="n"/>
      <c r="J84" s="5" t="n"/>
      <c r="K84" s="5" t="n"/>
      <c r="L84" s="5" t="n"/>
      <c r="M84" s="40" t="n"/>
      <c r="N84" s="5" t="n"/>
    </row>
    <row r="85" ht="22" customHeight="1">
      <c r="A85" s="9" t="n"/>
      <c r="B85" s="9" t="n"/>
      <c r="C85" s="9" t="n"/>
      <c r="D85" s="9" t="n"/>
      <c r="E85" s="9" t="n"/>
      <c r="F85" s="9" t="n"/>
      <c r="G85" s="9" t="n"/>
      <c r="H85" s="31" t="n"/>
      <c r="I85" s="31" t="n"/>
      <c r="J85" s="9" t="n"/>
      <c r="K85" s="9" t="n"/>
      <c r="L85" s="9" t="n"/>
      <c r="M85" s="41" t="n"/>
      <c r="N85" s="9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30" t="n"/>
      <c r="I86" s="30" t="n"/>
      <c r="J86" s="5" t="n"/>
      <c r="K86" s="5" t="n"/>
      <c r="L86" s="5" t="n"/>
      <c r="M86" s="40" t="n"/>
      <c r="N86" s="5" t="n"/>
    </row>
    <row r="87" ht="22" customHeight="1">
      <c r="A87" s="9" t="n"/>
      <c r="B87" s="9" t="n"/>
      <c r="C87" s="9" t="n"/>
      <c r="D87" s="9" t="n"/>
      <c r="E87" s="9" t="n"/>
      <c r="F87" s="9" t="n"/>
      <c r="G87" s="9" t="n"/>
      <c r="H87" s="31" t="n"/>
      <c r="I87" s="31" t="n"/>
      <c r="J87" s="9" t="n"/>
      <c r="K87" s="9" t="n"/>
      <c r="L87" s="9" t="n"/>
      <c r="M87" s="41" t="n"/>
      <c r="N87" s="9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30" t="n"/>
      <c r="I88" s="30" t="n"/>
      <c r="J88" s="5" t="n"/>
      <c r="K88" s="5" t="n"/>
      <c r="L88" s="5" t="n"/>
      <c r="M88" s="40" t="n"/>
      <c r="N88" s="5" t="n"/>
    </row>
    <row r="89" ht="22" customHeight="1">
      <c r="A89" s="9" t="n"/>
      <c r="B89" s="9" t="n"/>
      <c r="C89" s="9" t="n"/>
      <c r="D89" s="9" t="n"/>
      <c r="E89" s="9" t="n"/>
      <c r="F89" s="9" t="n"/>
      <c r="G89" s="9" t="n"/>
      <c r="H89" s="31" t="n"/>
      <c r="I89" s="31" t="n"/>
      <c r="J89" s="9" t="n"/>
      <c r="K89" s="9" t="n"/>
      <c r="L89" s="9" t="n"/>
      <c r="M89" s="41" t="n"/>
      <c r="N89" s="9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30" t="n"/>
      <c r="I90" s="30" t="n"/>
      <c r="J90" s="5" t="n"/>
      <c r="K90" s="5" t="n"/>
      <c r="L90" s="5" t="n"/>
      <c r="M90" s="40" t="n"/>
      <c r="N90" s="5" t="n"/>
    </row>
    <row r="91" ht="22" customHeight="1">
      <c r="A91" s="9" t="n"/>
      <c r="B91" s="9" t="n"/>
      <c r="C91" s="9" t="n"/>
      <c r="D91" s="9" t="n"/>
      <c r="E91" s="9" t="n"/>
      <c r="F91" s="9" t="n"/>
      <c r="G91" s="9" t="n"/>
      <c r="H91" s="31" t="n"/>
      <c r="I91" s="31" t="n"/>
      <c r="J91" s="9" t="n"/>
      <c r="K91" s="9" t="n"/>
      <c r="L91" s="9" t="n"/>
      <c r="M91" s="41" t="n"/>
      <c r="N91" s="9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30" t="n"/>
      <c r="I92" s="30" t="n"/>
      <c r="J92" s="5" t="n"/>
      <c r="K92" s="5" t="n"/>
      <c r="L92" s="5" t="n"/>
      <c r="M92" s="40" t="n"/>
      <c r="N92" s="5" t="n"/>
    </row>
    <row r="93" ht="22" customHeight="1">
      <c r="A93" s="9" t="n"/>
      <c r="B93" s="9" t="n"/>
      <c r="C93" s="9" t="n"/>
      <c r="D93" s="9" t="n"/>
      <c r="E93" s="9" t="n"/>
      <c r="F93" s="9" t="n"/>
      <c r="G93" s="9" t="n"/>
      <c r="H93" s="31" t="n"/>
      <c r="I93" s="31" t="n"/>
      <c r="J93" s="9" t="n"/>
      <c r="K93" s="9" t="n"/>
      <c r="L93" s="9" t="n"/>
      <c r="M93" s="41" t="n"/>
      <c r="N93" s="9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30" t="n"/>
      <c r="I94" s="30" t="n"/>
      <c r="J94" s="5" t="n"/>
      <c r="K94" s="5" t="n"/>
      <c r="L94" s="5" t="n"/>
      <c r="M94" s="40" t="n"/>
      <c r="N94" s="5" t="n"/>
    </row>
    <row r="95" ht="22" customHeight="1">
      <c r="A95" s="9" t="n"/>
      <c r="B95" s="9" t="n"/>
      <c r="C95" s="9" t="n"/>
      <c r="D95" s="9" t="n"/>
      <c r="E95" s="9" t="n"/>
      <c r="F95" s="9" t="n"/>
      <c r="G95" s="9" t="n"/>
      <c r="H95" s="31" t="n"/>
      <c r="I95" s="31" t="n"/>
      <c r="J95" s="9" t="n"/>
      <c r="K95" s="9" t="n"/>
      <c r="L95" s="9" t="n"/>
      <c r="M95" s="41" t="n"/>
      <c r="N95" s="9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30" t="n"/>
      <c r="I96" s="30" t="n"/>
      <c r="J96" s="5" t="n"/>
      <c r="K96" s="5" t="n"/>
      <c r="L96" s="5" t="n"/>
      <c r="M96" s="40" t="n"/>
      <c r="N96" s="5" t="n"/>
    </row>
    <row r="97" ht="22" customHeight="1">
      <c r="A97" s="9" t="n"/>
      <c r="B97" s="9" t="n"/>
      <c r="C97" s="9" t="n"/>
      <c r="D97" s="9" t="n"/>
      <c r="E97" s="9" t="n"/>
      <c r="F97" s="9" t="n"/>
      <c r="G97" s="9" t="n"/>
      <c r="H97" s="31" t="n"/>
      <c r="I97" s="31" t="n"/>
      <c r="J97" s="9" t="n"/>
      <c r="K97" s="9" t="n"/>
      <c r="L97" s="9" t="n"/>
      <c r="M97" s="41" t="n"/>
      <c r="N97" s="9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30" t="n"/>
      <c r="I98" s="30" t="n"/>
      <c r="J98" s="5" t="n"/>
      <c r="K98" s="5" t="n"/>
      <c r="L98" s="5" t="n"/>
      <c r="M98" s="40" t="n"/>
      <c r="N98" s="5" t="n"/>
    </row>
    <row r="99" ht="22" customHeight="1">
      <c r="A99" s="9" t="n"/>
      <c r="B99" s="9" t="n"/>
      <c r="C99" s="9" t="n"/>
      <c r="D99" s="9" t="n"/>
      <c r="E99" s="9" t="n"/>
      <c r="F99" s="9" t="n"/>
      <c r="G99" s="9" t="n"/>
      <c r="H99" s="31" t="n"/>
      <c r="I99" s="31" t="n"/>
      <c r="J99" s="9" t="n"/>
      <c r="K99" s="9" t="n"/>
      <c r="L99" s="9" t="n"/>
      <c r="M99" s="41" t="n"/>
      <c r="N99" s="9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30" t="n"/>
      <c r="I100" s="30" t="n"/>
      <c r="J100" s="5" t="n"/>
      <c r="K100" s="5" t="n"/>
      <c r="L100" s="5" t="n"/>
      <c r="M100" s="40" t="n"/>
      <c r="N100" s="5" t="n"/>
    </row>
    <row r="101" ht="22" customHeight="1">
      <c r="A101" s="9" t="n"/>
      <c r="B101" s="9" t="n"/>
      <c r="C101" s="9" t="n"/>
      <c r="D101" s="9" t="n"/>
      <c r="E101" s="9" t="n"/>
      <c r="F101" s="9" t="n"/>
      <c r="G101" s="9" t="n"/>
      <c r="H101" s="31" t="n"/>
      <c r="I101" s="31" t="n"/>
      <c r="J101" s="9" t="n"/>
      <c r="K101" s="9" t="n"/>
      <c r="L101" s="9" t="n"/>
      <c r="M101" s="41" t="n"/>
      <c r="N101" s="9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30" t="n"/>
      <c r="I102" s="30" t="n"/>
      <c r="J102" s="5" t="n"/>
      <c r="K102" s="5" t="n"/>
      <c r="L102" s="5" t="n"/>
      <c r="M102" s="40" t="n"/>
      <c r="N102" s="5" t="n"/>
    </row>
    <row r="103" ht="22" customHeight="1">
      <c r="A103" s="9" t="n"/>
      <c r="B103" s="9" t="n"/>
      <c r="C103" s="9" t="n"/>
      <c r="D103" s="9" t="n"/>
      <c r="E103" s="9" t="n"/>
      <c r="F103" s="9" t="n"/>
      <c r="G103" s="9" t="n"/>
      <c r="H103" s="31" t="n"/>
      <c r="I103" s="31" t="n"/>
      <c r="J103" s="9" t="n"/>
      <c r="K103" s="9" t="n"/>
      <c r="L103" s="9" t="n"/>
      <c r="M103" s="41" t="n"/>
      <c r="N103" s="9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30" t="n"/>
      <c r="I104" s="30" t="n"/>
      <c r="J104" s="5" t="n"/>
      <c r="K104" s="5" t="n"/>
      <c r="L104" s="5" t="n"/>
      <c r="M104" s="40" t="n"/>
      <c r="N104" s="5" t="n"/>
    </row>
    <row r="105" ht="22" customHeight="1">
      <c r="A105" s="9" t="n"/>
      <c r="B105" s="9" t="n"/>
      <c r="C105" s="9" t="n"/>
      <c r="D105" s="9" t="n"/>
      <c r="E105" s="9" t="n"/>
      <c r="F105" s="9" t="n"/>
      <c r="G105" s="9" t="n"/>
      <c r="H105" s="31" t="n"/>
      <c r="I105" s="31" t="n"/>
      <c r="J105" s="9" t="n"/>
      <c r="K105" s="9" t="n"/>
      <c r="L105" s="9" t="n"/>
      <c r="M105" s="41" t="n"/>
      <c r="N105" s="9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30" t="n"/>
      <c r="I106" s="30" t="n"/>
      <c r="J106" s="5" t="n"/>
      <c r="K106" s="5" t="n"/>
      <c r="L106" s="5" t="n"/>
      <c r="M106" s="40" t="n"/>
      <c r="N106" s="5" t="n"/>
    </row>
    <row r="107" ht="22" customHeight="1">
      <c r="A107" s="9" t="n"/>
      <c r="B107" s="9" t="n"/>
      <c r="C107" s="9" t="n"/>
      <c r="D107" s="9" t="n"/>
      <c r="E107" s="9" t="n"/>
      <c r="F107" s="9" t="n"/>
      <c r="G107" s="9" t="n"/>
      <c r="H107" s="31" t="n"/>
      <c r="I107" s="31" t="n"/>
      <c r="J107" s="9" t="n"/>
      <c r="K107" s="9" t="n"/>
      <c r="L107" s="9" t="n"/>
      <c r="M107" s="41" t="n"/>
      <c r="N107" s="9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30" t="n"/>
      <c r="I108" s="30" t="n"/>
      <c r="J108" s="5" t="n"/>
      <c r="K108" s="5" t="n"/>
      <c r="L108" s="5" t="n"/>
      <c r="M108" s="40" t="n"/>
      <c r="N108" s="5" t="n"/>
    </row>
    <row r="109" ht="22" customHeight="1">
      <c r="A109" s="9" t="n"/>
      <c r="B109" s="9" t="n"/>
      <c r="C109" s="9" t="n"/>
      <c r="D109" s="9" t="n"/>
      <c r="E109" s="9" t="n"/>
      <c r="F109" s="9" t="n"/>
      <c r="G109" s="9" t="n"/>
      <c r="H109" s="31" t="n"/>
      <c r="I109" s="31" t="n"/>
      <c r="J109" s="9" t="n"/>
      <c r="K109" s="9" t="n"/>
      <c r="L109" s="9" t="n"/>
      <c r="M109" s="41" t="n"/>
      <c r="N109" s="9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30" t="n"/>
      <c r="I110" s="30" t="n"/>
      <c r="J110" s="5" t="n"/>
      <c r="K110" s="5" t="n"/>
      <c r="L110" s="5" t="n"/>
      <c r="M110" s="40" t="n"/>
      <c r="N110" s="5" t="n"/>
    </row>
    <row r="111" ht="22" customHeight="1">
      <c r="A111" s="9" t="n"/>
      <c r="B111" s="9" t="n"/>
      <c r="C111" s="9" t="n"/>
      <c r="D111" s="9" t="n"/>
      <c r="E111" s="9" t="n"/>
      <c r="F111" s="9" t="n"/>
      <c r="G111" s="9" t="n"/>
      <c r="H111" s="31" t="n"/>
      <c r="I111" s="31" t="n"/>
      <c r="J111" s="9" t="n"/>
      <c r="K111" s="9" t="n"/>
      <c r="L111" s="9" t="n"/>
      <c r="M111" s="41" t="n"/>
      <c r="N111" s="9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30" t="n"/>
      <c r="I112" s="30" t="n"/>
      <c r="J112" s="5" t="n"/>
      <c r="K112" s="5" t="n"/>
      <c r="L112" s="5" t="n"/>
      <c r="M112" s="40" t="n"/>
      <c r="N112" s="5" t="n"/>
    </row>
    <row r="113" ht="22" customHeight="1">
      <c r="A113" s="9" t="n"/>
      <c r="B113" s="9" t="n"/>
      <c r="C113" s="9" t="n"/>
      <c r="D113" s="9" t="n"/>
      <c r="E113" s="9" t="n"/>
      <c r="F113" s="9" t="n"/>
      <c r="G113" s="9" t="n"/>
      <c r="H113" s="31" t="n"/>
      <c r="I113" s="31" t="n"/>
      <c r="J113" s="9" t="n"/>
      <c r="K113" s="9" t="n"/>
      <c r="L113" s="9" t="n"/>
      <c r="M113" s="41" t="n"/>
      <c r="N113" s="9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30" t="n"/>
      <c r="I114" s="30" t="n"/>
      <c r="J114" s="5" t="n"/>
      <c r="K114" s="5" t="n"/>
      <c r="L114" s="5" t="n"/>
      <c r="M114" s="40" t="n"/>
      <c r="N114" s="5" t="n"/>
    </row>
    <row r="115" ht="22" customHeight="1">
      <c r="A115" s="9" t="n"/>
      <c r="B115" s="9" t="n"/>
      <c r="C115" s="9" t="n"/>
      <c r="D115" s="9" t="n"/>
      <c r="E115" s="9" t="n"/>
      <c r="F115" s="9" t="n"/>
      <c r="G115" s="9" t="n"/>
      <c r="H115" s="31" t="n"/>
      <c r="I115" s="31" t="n"/>
      <c r="J115" s="9" t="n"/>
      <c r="K115" s="9" t="n"/>
      <c r="L115" s="9" t="n"/>
      <c r="M115" s="41" t="n"/>
      <c r="N115" s="9" t="n"/>
    </row>
  </sheetData>
  <mergeCells count="2">
    <mergeCell ref="A3:N3"/>
    <mergeCell ref="A2:N2"/>
  </mergeCells>
  <conditionalFormatting sqref="E6:E115">
    <cfRule type="cellIs" priority="1" operator="equal" dxfId="0">
      <formula>"Obligatoire"</formula>
    </cfRule>
    <cfRule type="cellIs" priority="2" operator="equal" dxfId="2">
      <formula>"Conventionné"</formula>
    </cfRule>
    <cfRule type="cellIs" priority="3" operator="equal" dxfId="3">
      <formula>"Facultatif"</formula>
    </cfRule>
  </conditionalFormatting>
  <dataValidations count="4">
    <dataValidation sqref="B6:B115" showDropDown="0" showInputMessage="0" showErrorMessage="0" allowBlank="1" errorTitle="Erreur" error="Valeur invalide" promptTitle="" prompt="Choisir: " type="list">
      <formula1>"Santé,Retraite,Prévoyance,Alimentation,Transport,Logement,Formation,Loisirs,Autre"</formula1>
    </dataValidation>
    <dataValidation sqref="E6:E115" showDropDown="0" showInputMessage="0" showErrorMessage="0" allowBlank="1" errorTitle="Erreur" error="Valeur invalide" promptTitle="" prompt="Choisir: " type="list">
      <formula1>"Obligatoire,Conventionné,Facultatif"</formula1>
    </dataValidation>
    <dataValidation sqref="F6:F115" showDropDown="0" showInputMessage="0" showErrorMessage="0" allowBlank="1" errorTitle="Erreur" error="Valeur invalide" promptTitle="" prompt="Choisir: " type="list">
      <formula1>"Mensuel,Trimestriel,Annuel,Ponctuel"</formula1>
    </dataValidation>
    <dataValidation sqref="G6:G115" showDropDown="0" showInputMessage="0" showErrorMessage="0" allowBlank="1" errorTitle="Erreur" error="Valeur invalide" promptTitle="" prompt="Choisir: " type="list">
      <formula1>",CNPS,AXA Assurance,NSIA Vie,Allianz,Mutuelle Hôteliers CI,SNC Lavie,Cie Ivoirienne d'Assurance,SATRAM,CFAO Assurances,Coris Assurances"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28" customWidth="1" min="5" max="5"/>
    <col width="18" customWidth="1" min="6" max="6"/>
    <col width="16" customWidth="1" min="7" max="7"/>
    <col width="14" customWidth="1" min="8" max="8"/>
    <col width="22" customWidth="1" min="9" max="9"/>
    <col width="22" customWidth="1" min="10" max="10"/>
    <col width="20" customWidth="1" min="11" max="11"/>
    <col width="16" customWidth="1" min="12" max="12"/>
    <col width="16" customWidth="1" min="13" max="13"/>
    <col width="14" customWidth="1" min="14" max="14"/>
  </cols>
  <sheetData>
    <row r="1" ht="8" customHeight="1"/>
    <row r="2" ht="30" customHeight="1">
      <c r="A2" s="1" t="inlineStr">
        <is>
          <t>INSCRIPTION AUX AVANTAGES SOCIAUX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Prénom (VLOOKUP)</t>
        </is>
      </c>
      <c r="D5" s="4" t="inlineStr">
        <is>
          <t>Code avantage</t>
        </is>
      </c>
      <c r="E5" s="4" t="inlineStr">
        <is>
          <t>Intitulé (VLOOKUP)</t>
        </is>
      </c>
      <c r="F5" s="4" t="inlineStr">
        <is>
          <t>Catégorie (VLOOKUP)</t>
        </is>
      </c>
      <c r="G5" s="4" t="inlineStr">
        <is>
          <t>Date inscription</t>
        </is>
      </c>
      <c r="H5" s="4" t="inlineStr">
        <is>
          <t>Statut</t>
        </is>
      </c>
      <c r="I5" s="4" t="inlineStr">
        <is>
          <t>Cotisation employé (FCFA)</t>
        </is>
      </c>
      <c r="J5" s="4" t="inlineStr">
        <is>
          <t>Cotisation employeur (FCFA)</t>
        </is>
      </c>
      <c r="K5" s="4" t="inlineStr">
        <is>
          <t>Coût total (FCFA)</t>
        </is>
      </c>
      <c r="L5" s="4" t="inlineStr">
        <is>
          <t>Date début</t>
        </is>
      </c>
      <c r="M5" s="4" t="inlineStr">
        <is>
          <t>Date fin</t>
        </is>
      </c>
      <c r="N5" s="4" t="inlineStr">
        <is>
          <t>Date MAJ</t>
        </is>
      </c>
    </row>
    <row r="6" ht="22" customHeight="1">
      <c r="A6" s="5" t="inlineStr">
        <is>
          <t>EMP-001</t>
        </is>
      </c>
      <c r="B6" s="5">
        <f>IFERROR(VLOOKUP(A6,'F01 - _Données Employés'!$A$6:$C$20,2,FALSE),"")</f>
        <v/>
      </c>
      <c r="C6" s="5">
        <f>IFERROR(VLOOKUP(A6,'F01 - _Données Employés'!$A$6:$C$20,3,FALSE),"")</f>
        <v/>
      </c>
      <c r="D6" s="5" t="inlineStr">
        <is>
          <t>AV-001</t>
        </is>
      </c>
      <c r="E6" s="5">
        <f>IFERROR(VLOOKUP(D6,'F04 - 2-Référentiel Avant.'!$A$6:$C$20,3,FALSE),"")</f>
        <v/>
      </c>
      <c r="F6" s="5">
        <f>IFERROR(VLOOKUP(D6,'F04 - 2-Référentiel Avant.'!$A$6:$B$20,2,FALSE),"")</f>
        <v/>
      </c>
      <c r="G6" s="40" t="n">
        <v>43174</v>
      </c>
      <c r="H6" s="5" t="inlineStr">
        <is>
          <t>Actif</t>
        </is>
      </c>
      <c r="I6" s="30" t="n">
        <v>9800</v>
      </c>
      <c r="J6" s="30" t="n">
        <v>14000</v>
      </c>
      <c r="K6" s="30">
        <f>IF(I6="",0,I6+J6)</f>
        <v/>
      </c>
      <c r="L6" s="40" t="n">
        <v>43174</v>
      </c>
      <c r="M6" s="40" t="n"/>
      <c r="N6" s="40" t="n">
        <v>45444</v>
      </c>
    </row>
    <row r="7" ht="22" customHeight="1">
      <c r="A7" s="9" t="inlineStr">
        <is>
          <t>EMP-001</t>
        </is>
      </c>
      <c r="B7" s="9">
        <f>IFERROR(VLOOKUP(A7,'F01 - _Données Employés'!$A$6:$C$20,2,FALSE),"")</f>
        <v/>
      </c>
      <c r="C7" s="9">
        <f>IFERROR(VLOOKUP(A7,'F01 - _Données Employés'!$A$6:$C$20,3,FALSE),"")</f>
        <v/>
      </c>
      <c r="D7" s="9" t="inlineStr">
        <is>
          <t>AV-002</t>
        </is>
      </c>
      <c r="E7" s="9">
        <f>IFERROR(VLOOKUP(D7,'F04 - 2-Référentiel Avant.'!$A$6:$C$20,3,FALSE),"")</f>
        <v/>
      </c>
      <c r="F7" s="9">
        <f>IFERROR(VLOOKUP(D7,'F04 - 2-Référentiel Avant.'!$A$6:$B$20,2,FALSE),"")</f>
        <v/>
      </c>
      <c r="G7" s="41" t="n">
        <v>43174</v>
      </c>
      <c r="H7" s="9" t="inlineStr">
        <is>
          <t>Actif</t>
        </is>
      </c>
      <c r="I7" s="31" t="n">
        <v>7400</v>
      </c>
      <c r="J7" s="31" t="n">
        <v>11100</v>
      </c>
      <c r="K7" s="31">
        <f>IF(I7="",0,I7+J7)</f>
        <v/>
      </c>
      <c r="L7" s="41" t="n">
        <v>43174</v>
      </c>
      <c r="M7" s="41" t="n"/>
      <c r="N7" s="41" t="n">
        <v>45444</v>
      </c>
    </row>
    <row r="8" ht="22" customHeight="1">
      <c r="A8" s="5" t="inlineStr">
        <is>
          <t>EMP-001</t>
        </is>
      </c>
      <c r="B8" s="5">
        <f>IFERROR(VLOOKUP(A8,'F01 - _Données Employés'!$A$6:$C$20,2,FALSE),"")</f>
        <v/>
      </c>
      <c r="C8" s="5">
        <f>IFERROR(VLOOKUP(A8,'F01 - _Données Employés'!$A$6:$C$20,3,FALSE),"")</f>
        <v/>
      </c>
      <c r="D8" s="5" t="inlineStr">
        <is>
          <t>AV-003</t>
        </is>
      </c>
      <c r="E8" s="5">
        <f>IFERROR(VLOOKUP(D8,'F04 - 2-Référentiel Avant.'!$A$6:$C$20,3,FALSE),"")</f>
        <v/>
      </c>
      <c r="F8" s="5">
        <f>IFERROR(VLOOKUP(D8,'F04 - 2-Référentiel Avant.'!$A$6:$B$20,2,FALSE),"")</f>
        <v/>
      </c>
      <c r="G8" s="40" t="n">
        <v>43174</v>
      </c>
      <c r="H8" s="5" t="inlineStr">
        <is>
          <t>Actif</t>
        </is>
      </c>
      <c r="I8" s="30" t="n">
        <v>5950</v>
      </c>
      <c r="J8" s="30" t="n">
        <v>8500</v>
      </c>
      <c r="K8" s="30">
        <f>IF(I8="",0,I8+J8)</f>
        <v/>
      </c>
      <c r="L8" s="40" t="n">
        <v>43174</v>
      </c>
      <c r="M8" s="40" t="n"/>
      <c r="N8" s="40" t="n">
        <v>45444</v>
      </c>
    </row>
    <row r="9" ht="22" customHeight="1">
      <c r="A9" s="9" t="inlineStr">
        <is>
          <t>EMP-001</t>
        </is>
      </c>
      <c r="B9" s="9">
        <f>IFERROR(VLOOKUP(A9,'F01 - _Données Employés'!$A$6:$C$20,2,FALSE),"")</f>
        <v/>
      </c>
      <c r="C9" s="9">
        <f>IFERROR(VLOOKUP(A9,'F01 - _Données Employés'!$A$6:$C$20,3,FALSE),"")</f>
        <v/>
      </c>
      <c r="D9" s="9" t="inlineStr">
        <is>
          <t>AV-004</t>
        </is>
      </c>
      <c r="E9" s="9">
        <f>IFERROR(VLOOKUP(D9,'F04 - 2-Référentiel Avant.'!$A$6:$C$20,3,FALSE),"")</f>
        <v/>
      </c>
      <c r="F9" s="9">
        <f>IFERROR(VLOOKUP(D9,'F04 - 2-Référentiel Avant.'!$A$6:$B$20,2,FALSE),"")</f>
        <v/>
      </c>
      <c r="G9" s="41" t="n">
        <v>43174</v>
      </c>
      <c r="H9" s="9" t="inlineStr">
        <is>
          <t>Actif</t>
        </is>
      </c>
      <c r="I9" s="31" t="n">
        <v>8800</v>
      </c>
      <c r="J9" s="31" t="n">
        <v>13200</v>
      </c>
      <c r="K9" s="31">
        <f>IF(I9="",0,I9+J9)</f>
        <v/>
      </c>
      <c r="L9" s="41" t="n">
        <v>43174</v>
      </c>
      <c r="M9" s="41" t="n"/>
      <c r="N9" s="41" t="n">
        <v>45444</v>
      </c>
    </row>
    <row r="10" ht="22" customHeight="1">
      <c r="A10" s="5" t="inlineStr">
        <is>
          <t>EMP-001</t>
        </is>
      </c>
      <c r="B10" s="5">
        <f>IFERROR(VLOOKUP(A10,'F01 - _Données Employés'!$A$6:$C$20,2,FALSE),"")</f>
        <v/>
      </c>
      <c r="C10" s="5">
        <f>IFERROR(VLOOKUP(A10,'F01 - _Données Employés'!$A$6:$C$20,3,FALSE),"")</f>
        <v/>
      </c>
      <c r="D10" s="5" t="inlineStr">
        <is>
          <t>AV-005</t>
        </is>
      </c>
      <c r="E10" s="5">
        <f>IFERROR(VLOOKUP(D10,'F04 - 2-Référentiel Avant.'!$A$6:$C$20,3,FALSE),"")</f>
        <v/>
      </c>
      <c r="F10" s="5">
        <f>IFERROR(VLOOKUP(D10,'F04 - 2-Référentiel Avant.'!$A$6:$B$20,2,FALSE),"")</f>
        <v/>
      </c>
      <c r="G10" s="40" t="n">
        <v>43174</v>
      </c>
      <c r="H10" s="5" t="inlineStr">
        <is>
          <t>Actif</t>
        </is>
      </c>
      <c r="I10" s="30" t="n">
        <v>10000</v>
      </c>
      <c r="J10" s="30" t="n">
        <v>15000</v>
      </c>
      <c r="K10" s="30">
        <f>IF(I10="",0,I10+J10)</f>
        <v/>
      </c>
      <c r="L10" s="40" t="n">
        <v>43174</v>
      </c>
      <c r="M10" s="40" t="n"/>
      <c r="N10" s="40" t="n">
        <v>45444</v>
      </c>
    </row>
    <row r="11" ht="22" customHeight="1">
      <c r="A11" s="9" t="inlineStr">
        <is>
          <t>EMP-002</t>
        </is>
      </c>
      <c r="B11" s="9">
        <f>IFERROR(VLOOKUP(A11,'F01 - _Données Employés'!$A$6:$C$20,2,FALSE),"")</f>
        <v/>
      </c>
      <c r="C11" s="9">
        <f>IFERROR(VLOOKUP(A11,'F01 - _Données Employés'!$A$6:$C$20,3,FALSE),"")</f>
        <v/>
      </c>
      <c r="D11" s="9" t="inlineStr">
        <is>
          <t>AV-001</t>
        </is>
      </c>
      <c r="E11" s="9">
        <f>IFERROR(VLOOKUP(D11,'F04 - 2-Référentiel Avant.'!$A$6:$C$20,3,FALSE),"")</f>
        <v/>
      </c>
      <c r="F11" s="9">
        <f>IFERROR(VLOOKUP(D11,'F04 - 2-Référentiel Avant.'!$A$6:$B$20,2,FALSE),"")</f>
        <v/>
      </c>
      <c r="G11" s="41" t="n">
        <v>42552</v>
      </c>
      <c r="H11" s="9" t="inlineStr">
        <is>
          <t>Actif</t>
        </is>
      </c>
      <c r="I11" s="31" t="n">
        <v>11760</v>
      </c>
      <c r="J11" s="31" t="n">
        <v>16800</v>
      </c>
      <c r="K11" s="31">
        <f>IF(I11="",0,I11+J11)</f>
        <v/>
      </c>
      <c r="L11" s="41" t="n">
        <v>42552</v>
      </c>
      <c r="M11" s="41" t="n"/>
      <c r="N11" s="41" t="n">
        <v>45444</v>
      </c>
    </row>
    <row r="12" ht="22" customHeight="1">
      <c r="A12" s="5" t="inlineStr">
        <is>
          <t>EMP-002</t>
        </is>
      </c>
      <c r="B12" s="5">
        <f>IFERROR(VLOOKUP(A12,'F01 - _Données Employés'!$A$6:$C$20,2,FALSE),"")</f>
        <v/>
      </c>
      <c r="C12" s="5">
        <f>IFERROR(VLOOKUP(A12,'F01 - _Données Employés'!$A$6:$C$20,3,FALSE),"")</f>
        <v/>
      </c>
      <c r="D12" s="5" t="inlineStr">
        <is>
          <t>AV-002</t>
        </is>
      </c>
      <c r="E12" s="5">
        <f>IFERROR(VLOOKUP(D12,'F04 - 2-Référentiel Avant.'!$A$6:$C$20,3,FALSE),"")</f>
        <v/>
      </c>
      <c r="F12" s="5">
        <f>IFERROR(VLOOKUP(D12,'F04 - 2-Référentiel Avant.'!$A$6:$B$20,2,FALSE),"")</f>
        <v/>
      </c>
      <c r="G12" s="40" t="n">
        <v>42552</v>
      </c>
      <c r="H12" s="5" t="inlineStr">
        <is>
          <t>Actif</t>
        </is>
      </c>
      <c r="I12" s="30" t="n">
        <v>7400</v>
      </c>
      <c r="J12" s="30" t="n">
        <v>11100</v>
      </c>
      <c r="K12" s="30">
        <f>IF(I12="",0,I12+J12)</f>
        <v/>
      </c>
      <c r="L12" s="40" t="n">
        <v>42552</v>
      </c>
      <c r="M12" s="40" t="n"/>
      <c r="N12" s="40" t="n">
        <v>45444</v>
      </c>
    </row>
    <row r="13" ht="22" customHeight="1">
      <c r="A13" s="9" t="inlineStr">
        <is>
          <t>EMP-002</t>
        </is>
      </c>
      <c r="B13" s="9">
        <f>IFERROR(VLOOKUP(A13,'F01 - _Données Employés'!$A$6:$C$20,2,FALSE),"")</f>
        <v/>
      </c>
      <c r="C13" s="9">
        <f>IFERROR(VLOOKUP(A13,'F01 - _Données Employés'!$A$6:$C$20,3,FALSE),"")</f>
        <v/>
      </c>
      <c r="D13" s="9" t="inlineStr">
        <is>
          <t>AV-003</t>
        </is>
      </c>
      <c r="E13" s="9">
        <f>IFERROR(VLOOKUP(D13,'F04 - 2-Référentiel Avant.'!$A$6:$C$20,3,FALSE),"")</f>
        <v/>
      </c>
      <c r="F13" s="9">
        <f>IFERROR(VLOOKUP(D13,'F04 - 2-Référentiel Avant.'!$A$6:$B$20,2,FALSE),"")</f>
        <v/>
      </c>
      <c r="G13" s="41" t="n">
        <v>42552</v>
      </c>
      <c r="H13" s="9" t="inlineStr">
        <is>
          <t>Actif</t>
        </is>
      </c>
      <c r="I13" s="31" t="n">
        <v>7140</v>
      </c>
      <c r="J13" s="31" t="n">
        <v>10200</v>
      </c>
      <c r="K13" s="31">
        <f>IF(I13="",0,I13+J13)</f>
        <v/>
      </c>
      <c r="L13" s="41" t="n">
        <v>42552</v>
      </c>
      <c r="M13" s="41" t="n"/>
      <c r="N13" s="41" t="n">
        <v>45444</v>
      </c>
    </row>
    <row r="14" ht="22" customHeight="1">
      <c r="A14" s="5" t="inlineStr">
        <is>
          <t>EMP-002</t>
        </is>
      </c>
      <c r="B14" s="5">
        <f>IFERROR(VLOOKUP(A14,'F01 - _Données Employés'!$A$6:$C$20,2,FALSE),"")</f>
        <v/>
      </c>
      <c r="C14" s="5">
        <f>IFERROR(VLOOKUP(A14,'F01 - _Données Employés'!$A$6:$C$20,3,FALSE),"")</f>
        <v/>
      </c>
      <c r="D14" s="5" t="inlineStr">
        <is>
          <t>AV-008</t>
        </is>
      </c>
      <c r="E14" s="5">
        <f>IFERROR(VLOOKUP(D14,'F04 - 2-Référentiel Avant.'!$A$6:$C$20,3,FALSE),"")</f>
        <v/>
      </c>
      <c r="F14" s="5">
        <f>IFERROR(VLOOKUP(D14,'F04 - 2-Référentiel Avant.'!$A$6:$B$20,2,FALSE),"")</f>
        <v/>
      </c>
      <c r="G14" s="40" t="n">
        <v>43466</v>
      </c>
      <c r="H14" s="5" t="inlineStr">
        <is>
          <t>Actif</t>
        </is>
      </c>
      <c r="I14" s="30" t="n">
        <v>5000</v>
      </c>
      <c r="J14" s="30" t="n">
        <v>10000</v>
      </c>
      <c r="K14" s="30">
        <f>IF(I14="",0,I14+J14)</f>
        <v/>
      </c>
      <c r="L14" s="40" t="n">
        <v>43466</v>
      </c>
      <c r="M14" s="40" t="n"/>
      <c r="N14" s="40" t="n">
        <v>45444</v>
      </c>
    </row>
    <row r="15" ht="22" customHeight="1">
      <c r="A15" s="9" t="inlineStr">
        <is>
          <t>EMP-003</t>
        </is>
      </c>
      <c r="B15" s="9">
        <f>IFERROR(VLOOKUP(A15,'F01 - _Données Employés'!$A$6:$C$20,2,FALSE),"")</f>
        <v/>
      </c>
      <c r="C15" s="9">
        <f>IFERROR(VLOOKUP(A15,'F01 - _Données Employés'!$A$6:$C$20,3,FALSE),"")</f>
        <v/>
      </c>
      <c r="D15" s="9" t="inlineStr">
        <is>
          <t>AV-001</t>
        </is>
      </c>
      <c r="E15" s="9">
        <f>IFERROR(VLOOKUP(D15,'F04 - 2-Référentiel Avant.'!$A$6:$C$20,3,FALSE),"")</f>
        <v/>
      </c>
      <c r="F15" s="9">
        <f>IFERROR(VLOOKUP(D15,'F04 - 2-Référentiel Avant.'!$A$6:$B$20,2,FALSE),"")</f>
        <v/>
      </c>
      <c r="G15" s="41" t="n">
        <v>43475</v>
      </c>
      <c r="H15" s="9" t="inlineStr">
        <is>
          <t>Actif</t>
        </is>
      </c>
      <c r="I15" s="31" t="n">
        <v>8960</v>
      </c>
      <c r="J15" s="31" t="n">
        <v>12800</v>
      </c>
      <c r="K15" s="31">
        <f>IF(I15="",0,I15+J15)</f>
        <v/>
      </c>
      <c r="L15" s="41" t="n">
        <v>43475</v>
      </c>
      <c r="M15" s="41" t="n"/>
      <c r="N15" s="41" t="n">
        <v>45444</v>
      </c>
    </row>
    <row r="16" ht="22" customHeight="1">
      <c r="A16" s="5" t="inlineStr">
        <is>
          <t>EMP-003</t>
        </is>
      </c>
      <c r="B16" s="5">
        <f>IFERROR(VLOOKUP(A16,'F01 - _Données Employés'!$A$6:$C$20,2,FALSE),"")</f>
        <v/>
      </c>
      <c r="C16" s="5">
        <f>IFERROR(VLOOKUP(A16,'F01 - _Données Employés'!$A$6:$C$20,3,FALSE),"")</f>
        <v/>
      </c>
      <c r="D16" s="5" t="inlineStr">
        <is>
          <t>AV-002</t>
        </is>
      </c>
      <c r="E16" s="5">
        <f>IFERROR(VLOOKUP(D16,'F04 - 2-Référentiel Avant.'!$A$6:$C$20,3,FALSE),"")</f>
        <v/>
      </c>
      <c r="F16" s="5">
        <f>IFERROR(VLOOKUP(D16,'F04 - 2-Référentiel Avant.'!$A$6:$B$20,2,FALSE),"")</f>
        <v/>
      </c>
      <c r="G16" s="40" t="n">
        <v>43475</v>
      </c>
      <c r="H16" s="5" t="inlineStr">
        <is>
          <t>Actif</t>
        </is>
      </c>
      <c r="I16" s="30" t="n">
        <v>7400</v>
      </c>
      <c r="J16" s="30" t="n">
        <v>11100</v>
      </c>
      <c r="K16" s="30">
        <f>IF(I16="",0,I16+J16)</f>
        <v/>
      </c>
      <c r="L16" s="40" t="n">
        <v>43475</v>
      </c>
      <c r="M16" s="40" t="n"/>
      <c r="N16" s="40" t="n">
        <v>45444</v>
      </c>
    </row>
    <row r="17" ht="22" customHeight="1">
      <c r="A17" s="9" t="inlineStr">
        <is>
          <t>EMP-003</t>
        </is>
      </c>
      <c r="B17" s="9">
        <f>IFERROR(VLOOKUP(A17,'F01 - _Données Employés'!$A$6:$C$20,2,FALSE),"")</f>
        <v/>
      </c>
      <c r="C17" s="9">
        <f>IFERROR(VLOOKUP(A17,'F01 - _Données Employés'!$A$6:$C$20,3,FALSE),"")</f>
        <v/>
      </c>
      <c r="D17" s="9" t="inlineStr">
        <is>
          <t>AV-004</t>
        </is>
      </c>
      <c r="E17" s="9">
        <f>IFERROR(VLOOKUP(D17,'F04 - 2-Référentiel Avant.'!$A$6:$C$20,3,FALSE),"")</f>
        <v/>
      </c>
      <c r="F17" s="9">
        <f>IFERROR(VLOOKUP(D17,'F04 - 2-Référentiel Avant.'!$A$6:$B$20,2,FALSE),"")</f>
        <v/>
      </c>
      <c r="G17" s="41" t="n">
        <v>43475</v>
      </c>
      <c r="H17" s="9" t="inlineStr">
        <is>
          <t>Actif</t>
        </is>
      </c>
      <c r="I17" s="31" t="n">
        <v>8800</v>
      </c>
      <c r="J17" s="31" t="n">
        <v>13200</v>
      </c>
      <c r="K17" s="31">
        <f>IF(I17="",0,I17+J17)</f>
        <v/>
      </c>
      <c r="L17" s="41" t="n">
        <v>43475</v>
      </c>
      <c r="M17" s="41" t="n"/>
      <c r="N17" s="41" t="n">
        <v>45444</v>
      </c>
    </row>
    <row r="18" ht="22" customHeight="1">
      <c r="A18" s="5" t="inlineStr">
        <is>
          <t>EMP-004</t>
        </is>
      </c>
      <c r="B18" s="5">
        <f>IFERROR(VLOOKUP(A18,'F01 - _Données Employés'!$A$6:$C$20,2,FALSE),"")</f>
        <v/>
      </c>
      <c r="C18" s="5">
        <f>IFERROR(VLOOKUP(A18,'F01 - _Données Employés'!$A$6:$C$20,3,FALSE),"")</f>
        <v/>
      </c>
      <c r="D18" s="5" t="inlineStr">
        <is>
          <t>AV-001</t>
        </is>
      </c>
      <c r="E18" s="5">
        <f>IFERROR(VLOOKUP(D18,'F04 - 2-Référentiel Avant.'!$A$6:$C$20,3,FALSE),"")</f>
        <v/>
      </c>
      <c r="F18" s="5">
        <f>IFERROR(VLOOKUP(D18,'F04 - 2-Référentiel Avant.'!$A$6:$B$20,2,FALSE),"")</f>
        <v/>
      </c>
      <c r="G18" s="40" t="n">
        <v>44805</v>
      </c>
      <c r="H18" s="5" t="inlineStr">
        <is>
          <t>Actif</t>
        </is>
      </c>
      <c r="I18" s="30" t="n">
        <v>5040</v>
      </c>
      <c r="J18" s="30" t="n">
        <v>7200</v>
      </c>
      <c r="K18" s="30">
        <f>IF(I18="",0,I18+J18)</f>
        <v/>
      </c>
      <c r="L18" s="40" t="n">
        <v>44805</v>
      </c>
      <c r="M18" s="40" t="n"/>
      <c r="N18" s="40" t="n">
        <v>45444</v>
      </c>
    </row>
    <row r="19" ht="22" customHeight="1">
      <c r="A19" s="9" t="inlineStr">
        <is>
          <t>EMP-004</t>
        </is>
      </c>
      <c r="B19" s="9">
        <f>IFERROR(VLOOKUP(A19,'F01 - _Données Employés'!$A$6:$C$20,2,FALSE),"")</f>
        <v/>
      </c>
      <c r="C19" s="9">
        <f>IFERROR(VLOOKUP(A19,'F01 - _Données Employés'!$A$6:$C$20,3,FALSE),"")</f>
        <v/>
      </c>
      <c r="D19" s="9" t="inlineStr">
        <is>
          <t>AV-004</t>
        </is>
      </c>
      <c r="E19" s="9">
        <f>IFERROR(VLOOKUP(D19,'F04 - 2-Référentiel Avant.'!$A$6:$C$20,3,FALSE),"")</f>
        <v/>
      </c>
      <c r="F19" s="9">
        <f>IFERROR(VLOOKUP(D19,'F04 - 2-Référentiel Avant.'!$A$6:$B$20,2,FALSE),"")</f>
        <v/>
      </c>
      <c r="G19" s="41" t="n">
        <v>44805</v>
      </c>
      <c r="H19" s="9" t="inlineStr">
        <is>
          <t>Actif</t>
        </is>
      </c>
      <c r="I19" s="31" t="n">
        <v>8800</v>
      </c>
      <c r="J19" s="31" t="n">
        <v>13200</v>
      </c>
      <c r="K19" s="31">
        <f>IF(I19="",0,I19+J19)</f>
        <v/>
      </c>
      <c r="L19" s="41" t="n">
        <v>44805</v>
      </c>
      <c r="M19" s="41" t="n"/>
      <c r="N19" s="41" t="n">
        <v>45444</v>
      </c>
    </row>
    <row r="20" ht="22" customHeight="1">
      <c r="A20" s="5" t="inlineStr">
        <is>
          <t>EMP-004</t>
        </is>
      </c>
      <c r="B20" s="5">
        <f>IFERROR(VLOOKUP(A20,'F01 - _Données Employés'!$A$6:$C$20,2,FALSE),"")</f>
        <v/>
      </c>
      <c r="C20" s="5">
        <f>IFERROR(VLOOKUP(A20,'F01 - _Données Employés'!$A$6:$C$20,3,FALSE),"")</f>
        <v/>
      </c>
      <c r="D20" s="5" t="inlineStr">
        <is>
          <t>AV-005</t>
        </is>
      </c>
      <c r="E20" s="5">
        <f>IFERROR(VLOOKUP(D20,'F04 - 2-Référentiel Avant.'!$A$6:$C$20,3,FALSE),"")</f>
        <v/>
      </c>
      <c r="F20" s="5">
        <f>IFERROR(VLOOKUP(D20,'F04 - 2-Référentiel Avant.'!$A$6:$B$20,2,FALSE),"")</f>
        <v/>
      </c>
      <c r="G20" s="40" t="n">
        <v>44805</v>
      </c>
      <c r="H20" s="5" t="inlineStr">
        <is>
          <t>En attente</t>
        </is>
      </c>
      <c r="I20" s="30" t="n">
        <v>0</v>
      </c>
      <c r="J20" s="30" t="n">
        <v>25000</v>
      </c>
      <c r="K20" s="30">
        <f>IF(I20="",0,I20+J20)</f>
        <v/>
      </c>
      <c r="L20" s="40" t="n">
        <v>45444</v>
      </c>
      <c r="M20" s="40" t="n"/>
      <c r="N20" s="40" t="n">
        <v>45444</v>
      </c>
    </row>
    <row r="21" ht="22" customHeight="1">
      <c r="A21" s="9" t="inlineStr">
        <is>
          <t>EMP-005</t>
        </is>
      </c>
      <c r="B21" s="9">
        <f>IFERROR(VLOOKUP(A21,'F01 - _Données Employés'!$A$6:$C$20,2,FALSE),"")</f>
        <v/>
      </c>
      <c r="C21" s="9">
        <f>IFERROR(VLOOKUP(A21,'F01 - _Données Employés'!$A$6:$C$20,3,FALSE),"")</f>
        <v/>
      </c>
      <c r="D21" s="9" t="inlineStr">
        <is>
          <t>AV-001</t>
        </is>
      </c>
      <c r="E21" s="9">
        <f>IFERROR(VLOOKUP(D21,'F04 - 2-Référentiel Avant.'!$A$6:$C$20,3,FALSE),"")</f>
        <v/>
      </c>
      <c r="F21" s="9">
        <f>IFERROR(VLOOKUP(D21,'F04 - 2-Référentiel Avant.'!$A$6:$B$20,2,FALSE),"")</f>
        <v/>
      </c>
      <c r="G21" s="41" t="n">
        <v>43059</v>
      </c>
      <c r="H21" s="9" t="inlineStr">
        <is>
          <t>Actif</t>
        </is>
      </c>
      <c r="I21" s="31" t="n">
        <v>8400</v>
      </c>
      <c r="J21" s="31" t="n">
        <v>12000</v>
      </c>
      <c r="K21" s="31">
        <f>IF(I21="",0,I21+J21)</f>
        <v/>
      </c>
      <c r="L21" s="41" t="n">
        <v>43059</v>
      </c>
      <c r="M21" s="41" t="n"/>
      <c r="N21" s="41" t="n">
        <v>45444</v>
      </c>
    </row>
    <row r="22" ht="22" customHeight="1">
      <c r="A22" s="5" t="inlineStr">
        <is>
          <t>EMP-005</t>
        </is>
      </c>
      <c r="B22" s="5">
        <f>IFERROR(VLOOKUP(A22,'F01 - _Données Employés'!$A$6:$C$20,2,FALSE),"")</f>
        <v/>
      </c>
      <c r="C22" s="5">
        <f>IFERROR(VLOOKUP(A22,'F01 - _Données Employés'!$A$6:$C$20,3,FALSE),"")</f>
        <v/>
      </c>
      <c r="D22" s="5" t="inlineStr">
        <is>
          <t>AV-002</t>
        </is>
      </c>
      <c r="E22" s="5">
        <f>IFERROR(VLOOKUP(D22,'F04 - 2-Référentiel Avant.'!$A$6:$C$20,3,FALSE),"")</f>
        <v/>
      </c>
      <c r="F22" s="5">
        <f>IFERROR(VLOOKUP(D22,'F04 - 2-Référentiel Avant.'!$A$6:$B$20,2,FALSE),"")</f>
        <v/>
      </c>
      <c r="G22" s="40" t="n">
        <v>43059</v>
      </c>
      <c r="H22" s="5" t="inlineStr">
        <is>
          <t>Actif</t>
        </is>
      </c>
      <c r="I22" s="30" t="n">
        <v>7400</v>
      </c>
      <c r="J22" s="30" t="n">
        <v>11100</v>
      </c>
      <c r="K22" s="30">
        <f>IF(I22="",0,I22+J22)</f>
        <v/>
      </c>
      <c r="L22" s="40" t="n">
        <v>43059</v>
      </c>
      <c r="M22" s="40" t="n"/>
      <c r="N22" s="40" t="n">
        <v>45444</v>
      </c>
    </row>
    <row r="23" ht="22" customHeight="1">
      <c r="A23" s="9" t="inlineStr">
        <is>
          <t>EMP-005</t>
        </is>
      </c>
      <c r="B23" s="9">
        <f>IFERROR(VLOOKUP(A23,'F01 - _Données Employés'!$A$6:$C$20,2,FALSE),"")</f>
        <v/>
      </c>
      <c r="C23" s="9">
        <f>IFERROR(VLOOKUP(A23,'F01 - _Données Employés'!$A$6:$C$20,3,FALSE),"")</f>
        <v/>
      </c>
      <c r="D23" s="9" t="inlineStr">
        <is>
          <t>AV-006</t>
        </is>
      </c>
      <c r="E23" s="9">
        <f>IFERROR(VLOOKUP(D23,'F04 - 2-Référentiel Avant.'!$A$6:$C$20,3,FALSE),"")</f>
        <v/>
      </c>
      <c r="F23" s="9">
        <f>IFERROR(VLOOKUP(D23,'F04 - 2-Référentiel Avant.'!$A$6:$B$20,2,FALSE),"")</f>
        <v/>
      </c>
      <c r="G23" s="41" t="n">
        <v>43831</v>
      </c>
      <c r="H23" s="9" t="inlineStr">
        <is>
          <t>Actif</t>
        </is>
      </c>
      <c r="I23" s="31" t="n">
        <v>0</v>
      </c>
      <c r="J23" s="31" t="n">
        <v>150000</v>
      </c>
      <c r="K23" s="31">
        <f>IF(I23="",0,I23+J23)</f>
        <v/>
      </c>
      <c r="L23" s="41" t="n">
        <v>43831</v>
      </c>
      <c r="M23" s="41" t="n"/>
      <c r="N23" s="41" t="n">
        <v>45444</v>
      </c>
    </row>
    <row r="24" ht="22" customHeight="1">
      <c r="A24" s="5" t="inlineStr">
        <is>
          <t>EMP-006</t>
        </is>
      </c>
      <c r="B24" s="5">
        <f>IFERROR(VLOOKUP(A24,'F01 - _Données Employés'!$A$6:$C$20,2,FALSE),"")</f>
        <v/>
      </c>
      <c r="C24" s="5">
        <f>IFERROR(VLOOKUP(A24,'F01 - _Données Employés'!$A$6:$C$20,3,FALSE),"")</f>
        <v/>
      </c>
      <c r="D24" s="5" t="inlineStr">
        <is>
          <t>AV-001</t>
        </is>
      </c>
      <c r="E24" s="5">
        <f>IFERROR(VLOOKUP(D24,'F04 - 2-Référentiel Avant.'!$A$6:$C$20,3,FALSE),"")</f>
        <v/>
      </c>
      <c r="F24" s="5">
        <f>IFERROR(VLOOKUP(D24,'F04 - 2-Référentiel Avant.'!$A$6:$B$20,2,FALSE),"")</f>
        <v/>
      </c>
      <c r="G24" s="40" t="n">
        <v>43997</v>
      </c>
      <c r="H24" s="5" t="inlineStr">
        <is>
          <t>Actif</t>
        </is>
      </c>
      <c r="I24" s="30" t="n">
        <v>9520</v>
      </c>
      <c r="J24" s="30" t="n">
        <v>13600</v>
      </c>
      <c r="K24" s="30">
        <f>IF(I24="",0,I24+J24)</f>
        <v/>
      </c>
      <c r="L24" s="40" t="n">
        <v>43997</v>
      </c>
      <c r="M24" s="40" t="n"/>
      <c r="N24" s="40" t="n">
        <v>45444</v>
      </c>
    </row>
    <row r="25" ht="22" customHeight="1">
      <c r="A25" s="9" t="inlineStr">
        <is>
          <t>EMP-006</t>
        </is>
      </c>
      <c r="B25" s="9">
        <f>IFERROR(VLOOKUP(A25,'F01 - _Données Employés'!$A$6:$C$20,2,FALSE),"")</f>
        <v/>
      </c>
      <c r="C25" s="9">
        <f>IFERROR(VLOOKUP(A25,'F01 - _Données Employés'!$A$6:$C$20,3,FALSE),"")</f>
        <v/>
      </c>
      <c r="D25" s="9" t="inlineStr">
        <is>
          <t>AV-008</t>
        </is>
      </c>
      <c r="E25" s="9">
        <f>IFERROR(VLOOKUP(D25,'F04 - 2-Référentiel Avant.'!$A$6:$C$20,3,FALSE),"")</f>
        <v/>
      </c>
      <c r="F25" s="9">
        <f>IFERROR(VLOOKUP(D25,'F04 - 2-Référentiel Avant.'!$A$6:$B$20,2,FALSE),"")</f>
        <v/>
      </c>
      <c r="G25" s="41" t="n">
        <v>44197</v>
      </c>
      <c r="H25" s="9" t="inlineStr">
        <is>
          <t>Actif</t>
        </is>
      </c>
      <c r="I25" s="31" t="n">
        <v>5000</v>
      </c>
      <c r="J25" s="31" t="n">
        <v>10000</v>
      </c>
      <c r="K25" s="31">
        <f>IF(I25="",0,I25+J25)</f>
        <v/>
      </c>
      <c r="L25" s="41" t="n">
        <v>44197</v>
      </c>
      <c r="M25" s="41" t="n"/>
      <c r="N25" s="41" t="n">
        <v>45444</v>
      </c>
    </row>
    <row r="26" ht="22" customHeight="1">
      <c r="A26" s="5" t="n"/>
      <c r="B26" s="5" t="n"/>
      <c r="C26" s="5" t="n"/>
      <c r="D26" s="5" t="n"/>
      <c r="E26" s="5" t="n"/>
      <c r="F26" s="5" t="n"/>
      <c r="G26" s="40" t="n"/>
      <c r="H26" s="5" t="n"/>
      <c r="I26" s="30" t="n"/>
      <c r="J26" s="30" t="n"/>
      <c r="K26" s="30" t="n"/>
      <c r="L26" s="40" t="n"/>
      <c r="M26" s="40" t="n"/>
      <c r="N26" s="40" t="n"/>
    </row>
    <row r="27" ht="22" customHeight="1">
      <c r="A27" s="9" t="n"/>
      <c r="B27" s="9" t="n"/>
      <c r="C27" s="9" t="n"/>
      <c r="D27" s="9" t="n"/>
      <c r="E27" s="9" t="n"/>
      <c r="F27" s="9" t="n"/>
      <c r="G27" s="41" t="n"/>
      <c r="H27" s="9" t="n"/>
      <c r="I27" s="31" t="n"/>
      <c r="J27" s="31" t="n"/>
      <c r="K27" s="31" t="n"/>
      <c r="L27" s="41" t="n"/>
      <c r="M27" s="41" t="n"/>
      <c r="N27" s="41" t="n"/>
    </row>
    <row r="28" ht="22" customHeight="1">
      <c r="A28" s="5" t="n"/>
      <c r="B28" s="5" t="n"/>
      <c r="C28" s="5" t="n"/>
      <c r="D28" s="5" t="n"/>
      <c r="E28" s="5" t="n"/>
      <c r="F28" s="5" t="n"/>
      <c r="G28" s="40" t="n"/>
      <c r="H28" s="5" t="n"/>
      <c r="I28" s="30" t="n"/>
      <c r="J28" s="30" t="n"/>
      <c r="K28" s="30" t="n"/>
      <c r="L28" s="40" t="n"/>
      <c r="M28" s="40" t="n"/>
      <c r="N28" s="40" t="n"/>
    </row>
    <row r="29" ht="22" customHeight="1">
      <c r="A29" s="9" t="n"/>
      <c r="B29" s="9" t="n"/>
      <c r="C29" s="9" t="n"/>
      <c r="D29" s="9" t="n"/>
      <c r="E29" s="9" t="n"/>
      <c r="F29" s="9" t="n"/>
      <c r="G29" s="41" t="n"/>
      <c r="H29" s="9" t="n"/>
      <c r="I29" s="31" t="n"/>
      <c r="J29" s="31" t="n"/>
      <c r="K29" s="31" t="n"/>
      <c r="L29" s="41" t="n"/>
      <c r="M29" s="41" t="n"/>
      <c r="N29" s="41" t="n"/>
    </row>
    <row r="30" ht="22" customHeight="1">
      <c r="A30" s="5" t="n"/>
      <c r="B30" s="5" t="n"/>
      <c r="C30" s="5" t="n"/>
      <c r="D30" s="5" t="n"/>
      <c r="E30" s="5" t="n"/>
      <c r="F30" s="5" t="n"/>
      <c r="G30" s="40" t="n"/>
      <c r="H30" s="5" t="n"/>
      <c r="I30" s="30" t="n"/>
      <c r="J30" s="30" t="n"/>
      <c r="K30" s="30" t="n"/>
      <c r="L30" s="40" t="n"/>
      <c r="M30" s="40" t="n"/>
      <c r="N30" s="40" t="n"/>
    </row>
    <row r="31" ht="22" customHeight="1">
      <c r="A31" s="9" t="n"/>
      <c r="B31" s="9" t="n"/>
      <c r="C31" s="9" t="n"/>
      <c r="D31" s="9" t="n"/>
      <c r="E31" s="9" t="n"/>
      <c r="F31" s="9" t="n"/>
      <c r="G31" s="41" t="n"/>
      <c r="H31" s="9" t="n"/>
      <c r="I31" s="31" t="n"/>
      <c r="J31" s="31" t="n"/>
      <c r="K31" s="31" t="n"/>
      <c r="L31" s="41" t="n"/>
      <c r="M31" s="41" t="n"/>
      <c r="N31" s="41" t="n"/>
    </row>
    <row r="32" ht="22" customHeight="1">
      <c r="A32" s="5" t="n"/>
      <c r="B32" s="5" t="n"/>
      <c r="C32" s="5" t="n"/>
      <c r="D32" s="5" t="n"/>
      <c r="E32" s="5" t="n"/>
      <c r="F32" s="5" t="n"/>
      <c r="G32" s="40" t="n"/>
      <c r="H32" s="5" t="n"/>
      <c r="I32" s="30" t="n"/>
      <c r="J32" s="30" t="n"/>
      <c r="K32" s="30" t="n"/>
      <c r="L32" s="40" t="n"/>
      <c r="M32" s="40" t="n"/>
      <c r="N32" s="40" t="n"/>
    </row>
    <row r="33" ht="22" customHeight="1">
      <c r="A33" s="9" t="n"/>
      <c r="B33" s="9" t="n"/>
      <c r="C33" s="9" t="n"/>
      <c r="D33" s="9" t="n"/>
      <c r="E33" s="9" t="n"/>
      <c r="F33" s="9" t="n"/>
      <c r="G33" s="41" t="n"/>
      <c r="H33" s="9" t="n"/>
      <c r="I33" s="31" t="n"/>
      <c r="J33" s="31" t="n"/>
      <c r="K33" s="31" t="n"/>
      <c r="L33" s="41" t="n"/>
      <c r="M33" s="41" t="n"/>
      <c r="N33" s="41" t="n"/>
    </row>
    <row r="34" ht="22" customHeight="1">
      <c r="A34" s="5" t="n"/>
      <c r="B34" s="5" t="n"/>
      <c r="C34" s="5" t="n"/>
      <c r="D34" s="5" t="n"/>
      <c r="E34" s="5" t="n"/>
      <c r="F34" s="5" t="n"/>
      <c r="G34" s="40" t="n"/>
      <c r="H34" s="5" t="n"/>
      <c r="I34" s="30" t="n"/>
      <c r="J34" s="30" t="n"/>
      <c r="K34" s="30" t="n"/>
      <c r="L34" s="40" t="n"/>
      <c r="M34" s="40" t="n"/>
      <c r="N34" s="40" t="n"/>
    </row>
    <row r="35" ht="22" customHeight="1">
      <c r="A35" s="9" t="n"/>
      <c r="B35" s="9" t="n"/>
      <c r="C35" s="9" t="n"/>
      <c r="D35" s="9" t="n"/>
      <c r="E35" s="9" t="n"/>
      <c r="F35" s="9" t="n"/>
      <c r="G35" s="41" t="n"/>
      <c r="H35" s="9" t="n"/>
      <c r="I35" s="31" t="n"/>
      <c r="J35" s="31" t="n"/>
      <c r="K35" s="31" t="n"/>
      <c r="L35" s="41" t="n"/>
      <c r="M35" s="41" t="n"/>
      <c r="N35" s="41" t="n"/>
    </row>
    <row r="36" ht="22" customHeight="1">
      <c r="A36" s="5" t="n"/>
      <c r="B36" s="5" t="n"/>
      <c r="C36" s="5" t="n"/>
      <c r="D36" s="5" t="n"/>
      <c r="E36" s="5" t="n"/>
      <c r="F36" s="5" t="n"/>
      <c r="G36" s="40" t="n"/>
      <c r="H36" s="5" t="n"/>
      <c r="I36" s="30" t="n"/>
      <c r="J36" s="30" t="n"/>
      <c r="K36" s="30" t="n"/>
      <c r="L36" s="40" t="n"/>
      <c r="M36" s="40" t="n"/>
      <c r="N36" s="40" t="n"/>
    </row>
    <row r="37" ht="22" customHeight="1">
      <c r="A37" s="9" t="n"/>
      <c r="B37" s="9" t="n"/>
      <c r="C37" s="9" t="n"/>
      <c r="D37" s="9" t="n"/>
      <c r="E37" s="9" t="n"/>
      <c r="F37" s="9" t="n"/>
      <c r="G37" s="41" t="n"/>
      <c r="H37" s="9" t="n"/>
      <c r="I37" s="31" t="n"/>
      <c r="J37" s="31" t="n"/>
      <c r="K37" s="31" t="n"/>
      <c r="L37" s="41" t="n"/>
      <c r="M37" s="41" t="n"/>
      <c r="N37" s="41" t="n"/>
    </row>
    <row r="38" ht="22" customHeight="1">
      <c r="A38" s="5" t="n"/>
      <c r="B38" s="5" t="n"/>
      <c r="C38" s="5" t="n"/>
      <c r="D38" s="5" t="n"/>
      <c r="E38" s="5" t="n"/>
      <c r="F38" s="5" t="n"/>
      <c r="G38" s="40" t="n"/>
      <c r="H38" s="5" t="n"/>
      <c r="I38" s="30" t="n"/>
      <c r="J38" s="30" t="n"/>
      <c r="K38" s="30" t="n"/>
      <c r="L38" s="40" t="n"/>
      <c r="M38" s="40" t="n"/>
      <c r="N38" s="40" t="n"/>
    </row>
    <row r="39" ht="22" customHeight="1">
      <c r="A39" s="9" t="n"/>
      <c r="B39" s="9" t="n"/>
      <c r="C39" s="9" t="n"/>
      <c r="D39" s="9" t="n"/>
      <c r="E39" s="9" t="n"/>
      <c r="F39" s="9" t="n"/>
      <c r="G39" s="41" t="n"/>
      <c r="H39" s="9" t="n"/>
      <c r="I39" s="31" t="n"/>
      <c r="J39" s="31" t="n"/>
      <c r="K39" s="31" t="n"/>
      <c r="L39" s="41" t="n"/>
      <c r="M39" s="41" t="n"/>
      <c r="N39" s="41" t="n"/>
    </row>
    <row r="40" ht="22" customHeight="1">
      <c r="A40" s="5" t="n"/>
      <c r="B40" s="5" t="n"/>
      <c r="C40" s="5" t="n"/>
      <c r="D40" s="5" t="n"/>
      <c r="E40" s="5" t="n"/>
      <c r="F40" s="5" t="n"/>
      <c r="G40" s="40" t="n"/>
      <c r="H40" s="5" t="n"/>
      <c r="I40" s="30" t="n"/>
      <c r="J40" s="30" t="n"/>
      <c r="K40" s="30" t="n"/>
      <c r="L40" s="40" t="n"/>
      <c r="M40" s="40" t="n"/>
      <c r="N40" s="40" t="n"/>
    </row>
    <row r="41" ht="22" customHeight="1">
      <c r="A41" s="9" t="n"/>
      <c r="B41" s="9" t="n"/>
      <c r="C41" s="9" t="n"/>
      <c r="D41" s="9" t="n"/>
      <c r="E41" s="9" t="n"/>
      <c r="F41" s="9" t="n"/>
      <c r="G41" s="41" t="n"/>
      <c r="H41" s="9" t="n"/>
      <c r="I41" s="31" t="n"/>
      <c r="J41" s="31" t="n"/>
      <c r="K41" s="31" t="n"/>
      <c r="L41" s="41" t="n"/>
      <c r="M41" s="41" t="n"/>
      <c r="N41" s="41" t="n"/>
    </row>
    <row r="42" ht="22" customHeight="1">
      <c r="A42" s="5" t="n"/>
      <c r="B42" s="5" t="n"/>
      <c r="C42" s="5" t="n"/>
      <c r="D42" s="5" t="n"/>
      <c r="E42" s="5" t="n"/>
      <c r="F42" s="5" t="n"/>
      <c r="G42" s="40" t="n"/>
      <c r="H42" s="5" t="n"/>
      <c r="I42" s="30" t="n"/>
      <c r="J42" s="30" t="n"/>
      <c r="K42" s="30" t="n"/>
      <c r="L42" s="40" t="n"/>
      <c r="M42" s="40" t="n"/>
      <c r="N42" s="40" t="n"/>
    </row>
    <row r="43" ht="22" customHeight="1">
      <c r="A43" s="9" t="n"/>
      <c r="B43" s="9" t="n"/>
      <c r="C43" s="9" t="n"/>
      <c r="D43" s="9" t="n"/>
      <c r="E43" s="9" t="n"/>
      <c r="F43" s="9" t="n"/>
      <c r="G43" s="41" t="n"/>
      <c r="H43" s="9" t="n"/>
      <c r="I43" s="31" t="n"/>
      <c r="J43" s="31" t="n"/>
      <c r="K43" s="31" t="n"/>
      <c r="L43" s="41" t="n"/>
      <c r="M43" s="41" t="n"/>
      <c r="N43" s="41" t="n"/>
    </row>
    <row r="44" ht="22" customHeight="1">
      <c r="A44" s="5" t="n"/>
      <c r="B44" s="5" t="n"/>
      <c r="C44" s="5" t="n"/>
      <c r="D44" s="5" t="n"/>
      <c r="E44" s="5" t="n"/>
      <c r="F44" s="5" t="n"/>
      <c r="G44" s="40" t="n"/>
      <c r="H44" s="5" t="n"/>
      <c r="I44" s="30" t="n"/>
      <c r="J44" s="30" t="n"/>
      <c r="K44" s="30" t="n"/>
      <c r="L44" s="40" t="n"/>
      <c r="M44" s="40" t="n"/>
      <c r="N44" s="40" t="n"/>
    </row>
    <row r="45" ht="22" customHeight="1">
      <c r="A45" s="9" t="n"/>
      <c r="B45" s="9" t="n"/>
      <c r="C45" s="9" t="n"/>
      <c r="D45" s="9" t="n"/>
      <c r="E45" s="9" t="n"/>
      <c r="F45" s="9" t="n"/>
      <c r="G45" s="41" t="n"/>
      <c r="H45" s="9" t="n"/>
      <c r="I45" s="31" t="n"/>
      <c r="J45" s="31" t="n"/>
      <c r="K45" s="31" t="n"/>
      <c r="L45" s="41" t="n"/>
      <c r="M45" s="41" t="n"/>
      <c r="N45" s="41" t="n"/>
    </row>
    <row r="46" ht="22" customHeight="1">
      <c r="A46" s="5" t="n"/>
      <c r="B46" s="5" t="n"/>
      <c r="C46" s="5" t="n"/>
      <c r="D46" s="5" t="n"/>
      <c r="E46" s="5" t="n"/>
      <c r="F46" s="5" t="n"/>
      <c r="G46" s="40" t="n"/>
      <c r="H46" s="5" t="n"/>
      <c r="I46" s="30" t="n"/>
      <c r="J46" s="30" t="n"/>
      <c r="K46" s="30" t="n"/>
      <c r="L46" s="40" t="n"/>
      <c r="M46" s="40" t="n"/>
      <c r="N46" s="40" t="n"/>
    </row>
    <row r="47" ht="22" customHeight="1">
      <c r="A47" s="9" t="n"/>
      <c r="B47" s="9" t="n"/>
      <c r="C47" s="9" t="n"/>
      <c r="D47" s="9" t="n"/>
      <c r="E47" s="9" t="n"/>
      <c r="F47" s="9" t="n"/>
      <c r="G47" s="41" t="n"/>
      <c r="H47" s="9" t="n"/>
      <c r="I47" s="31" t="n"/>
      <c r="J47" s="31" t="n"/>
      <c r="K47" s="31" t="n"/>
      <c r="L47" s="41" t="n"/>
      <c r="M47" s="41" t="n"/>
      <c r="N47" s="41" t="n"/>
    </row>
    <row r="48" ht="22" customHeight="1">
      <c r="A48" s="5" t="n"/>
      <c r="B48" s="5" t="n"/>
      <c r="C48" s="5" t="n"/>
      <c r="D48" s="5" t="n"/>
      <c r="E48" s="5" t="n"/>
      <c r="F48" s="5" t="n"/>
      <c r="G48" s="40" t="n"/>
      <c r="H48" s="5" t="n"/>
      <c r="I48" s="30" t="n"/>
      <c r="J48" s="30" t="n"/>
      <c r="K48" s="30" t="n"/>
      <c r="L48" s="40" t="n"/>
      <c r="M48" s="40" t="n"/>
      <c r="N48" s="40" t="n"/>
    </row>
    <row r="49" ht="22" customHeight="1">
      <c r="A49" s="9" t="n"/>
      <c r="B49" s="9" t="n"/>
      <c r="C49" s="9" t="n"/>
      <c r="D49" s="9" t="n"/>
      <c r="E49" s="9" t="n"/>
      <c r="F49" s="9" t="n"/>
      <c r="G49" s="41" t="n"/>
      <c r="H49" s="9" t="n"/>
      <c r="I49" s="31" t="n"/>
      <c r="J49" s="31" t="n"/>
      <c r="K49" s="31" t="n"/>
      <c r="L49" s="41" t="n"/>
      <c r="M49" s="41" t="n"/>
      <c r="N49" s="41" t="n"/>
    </row>
    <row r="50" ht="22" customHeight="1">
      <c r="A50" s="5" t="n"/>
      <c r="B50" s="5" t="n"/>
      <c r="C50" s="5" t="n"/>
      <c r="D50" s="5" t="n"/>
      <c r="E50" s="5" t="n"/>
      <c r="F50" s="5" t="n"/>
      <c r="G50" s="40" t="n"/>
      <c r="H50" s="5" t="n"/>
      <c r="I50" s="30" t="n"/>
      <c r="J50" s="30" t="n"/>
      <c r="K50" s="30" t="n"/>
      <c r="L50" s="40" t="n"/>
      <c r="M50" s="40" t="n"/>
      <c r="N50" s="40" t="n"/>
    </row>
    <row r="51" ht="22" customHeight="1">
      <c r="A51" s="9" t="n"/>
      <c r="B51" s="9" t="n"/>
      <c r="C51" s="9" t="n"/>
      <c r="D51" s="9" t="n"/>
      <c r="E51" s="9" t="n"/>
      <c r="F51" s="9" t="n"/>
      <c r="G51" s="41" t="n"/>
      <c r="H51" s="9" t="n"/>
      <c r="I51" s="31" t="n"/>
      <c r="J51" s="31" t="n"/>
      <c r="K51" s="31" t="n"/>
      <c r="L51" s="41" t="n"/>
      <c r="M51" s="41" t="n"/>
      <c r="N51" s="41" t="n"/>
    </row>
    <row r="52" ht="22" customHeight="1">
      <c r="A52" s="5" t="n"/>
      <c r="B52" s="5" t="n"/>
      <c r="C52" s="5" t="n"/>
      <c r="D52" s="5" t="n"/>
      <c r="E52" s="5" t="n"/>
      <c r="F52" s="5" t="n"/>
      <c r="G52" s="40" t="n"/>
      <c r="H52" s="5" t="n"/>
      <c r="I52" s="30" t="n"/>
      <c r="J52" s="30" t="n"/>
      <c r="K52" s="30" t="n"/>
      <c r="L52" s="40" t="n"/>
      <c r="M52" s="40" t="n"/>
      <c r="N52" s="40" t="n"/>
    </row>
    <row r="53" ht="22" customHeight="1">
      <c r="A53" s="9" t="n"/>
      <c r="B53" s="9" t="n"/>
      <c r="C53" s="9" t="n"/>
      <c r="D53" s="9" t="n"/>
      <c r="E53" s="9" t="n"/>
      <c r="F53" s="9" t="n"/>
      <c r="G53" s="41" t="n"/>
      <c r="H53" s="9" t="n"/>
      <c r="I53" s="31" t="n"/>
      <c r="J53" s="31" t="n"/>
      <c r="K53" s="31" t="n"/>
      <c r="L53" s="41" t="n"/>
      <c r="M53" s="41" t="n"/>
      <c r="N53" s="41" t="n"/>
    </row>
    <row r="54" ht="22" customHeight="1">
      <c r="A54" s="5" t="n"/>
      <c r="B54" s="5" t="n"/>
      <c r="C54" s="5" t="n"/>
      <c r="D54" s="5" t="n"/>
      <c r="E54" s="5" t="n"/>
      <c r="F54" s="5" t="n"/>
      <c r="G54" s="40" t="n"/>
      <c r="H54" s="5" t="n"/>
      <c r="I54" s="30" t="n"/>
      <c r="J54" s="30" t="n"/>
      <c r="K54" s="30" t="n"/>
      <c r="L54" s="40" t="n"/>
      <c r="M54" s="40" t="n"/>
      <c r="N54" s="40" t="n"/>
    </row>
    <row r="55" ht="22" customHeight="1">
      <c r="A55" s="9" t="n"/>
      <c r="B55" s="9" t="n"/>
      <c r="C55" s="9" t="n"/>
      <c r="D55" s="9" t="n"/>
      <c r="E55" s="9" t="n"/>
      <c r="F55" s="9" t="n"/>
      <c r="G55" s="41" t="n"/>
      <c r="H55" s="9" t="n"/>
      <c r="I55" s="31" t="n"/>
      <c r="J55" s="31" t="n"/>
      <c r="K55" s="31" t="n"/>
      <c r="L55" s="41" t="n"/>
      <c r="M55" s="41" t="n"/>
      <c r="N55" s="41" t="n"/>
    </row>
    <row r="56" ht="22" customHeight="1">
      <c r="A56" s="5" t="n"/>
      <c r="B56" s="5" t="n"/>
      <c r="C56" s="5" t="n"/>
      <c r="D56" s="5" t="n"/>
      <c r="E56" s="5" t="n"/>
      <c r="F56" s="5" t="n"/>
      <c r="G56" s="40" t="n"/>
      <c r="H56" s="5" t="n"/>
      <c r="I56" s="30" t="n"/>
      <c r="J56" s="30" t="n"/>
      <c r="K56" s="30" t="n"/>
      <c r="L56" s="40" t="n"/>
      <c r="M56" s="40" t="n"/>
      <c r="N56" s="40" t="n"/>
    </row>
    <row r="57" ht="22" customHeight="1">
      <c r="A57" s="9" t="n"/>
      <c r="B57" s="9" t="n"/>
      <c r="C57" s="9" t="n"/>
      <c r="D57" s="9" t="n"/>
      <c r="E57" s="9" t="n"/>
      <c r="F57" s="9" t="n"/>
      <c r="G57" s="41" t="n"/>
      <c r="H57" s="9" t="n"/>
      <c r="I57" s="31" t="n"/>
      <c r="J57" s="31" t="n"/>
      <c r="K57" s="31" t="n"/>
      <c r="L57" s="41" t="n"/>
      <c r="M57" s="41" t="n"/>
      <c r="N57" s="41" t="n"/>
    </row>
    <row r="58" ht="22" customHeight="1">
      <c r="A58" s="5" t="n"/>
      <c r="B58" s="5" t="n"/>
      <c r="C58" s="5" t="n"/>
      <c r="D58" s="5" t="n"/>
      <c r="E58" s="5" t="n"/>
      <c r="F58" s="5" t="n"/>
      <c r="G58" s="40" t="n"/>
      <c r="H58" s="5" t="n"/>
      <c r="I58" s="30" t="n"/>
      <c r="J58" s="30" t="n"/>
      <c r="K58" s="30" t="n"/>
      <c r="L58" s="40" t="n"/>
      <c r="M58" s="40" t="n"/>
      <c r="N58" s="40" t="n"/>
    </row>
    <row r="59" ht="22" customHeight="1">
      <c r="A59" s="9" t="n"/>
      <c r="B59" s="9" t="n"/>
      <c r="C59" s="9" t="n"/>
      <c r="D59" s="9" t="n"/>
      <c r="E59" s="9" t="n"/>
      <c r="F59" s="9" t="n"/>
      <c r="G59" s="41" t="n"/>
      <c r="H59" s="9" t="n"/>
      <c r="I59" s="31" t="n"/>
      <c r="J59" s="31" t="n"/>
      <c r="K59" s="31" t="n"/>
      <c r="L59" s="41" t="n"/>
      <c r="M59" s="41" t="n"/>
      <c r="N59" s="41" t="n"/>
    </row>
    <row r="60" ht="22" customHeight="1">
      <c r="A60" s="5" t="n"/>
      <c r="B60" s="5" t="n"/>
      <c r="C60" s="5" t="n"/>
      <c r="D60" s="5" t="n"/>
      <c r="E60" s="5" t="n"/>
      <c r="F60" s="5" t="n"/>
      <c r="G60" s="40" t="n"/>
      <c r="H60" s="5" t="n"/>
      <c r="I60" s="30" t="n"/>
      <c r="J60" s="30" t="n"/>
      <c r="K60" s="30" t="n"/>
      <c r="L60" s="40" t="n"/>
      <c r="M60" s="40" t="n"/>
      <c r="N60" s="40" t="n"/>
    </row>
    <row r="61" ht="22" customHeight="1">
      <c r="A61" s="9" t="n"/>
      <c r="B61" s="9" t="n"/>
      <c r="C61" s="9" t="n"/>
      <c r="D61" s="9" t="n"/>
      <c r="E61" s="9" t="n"/>
      <c r="F61" s="9" t="n"/>
      <c r="G61" s="41" t="n"/>
      <c r="H61" s="9" t="n"/>
      <c r="I61" s="31" t="n"/>
      <c r="J61" s="31" t="n"/>
      <c r="K61" s="31" t="n"/>
      <c r="L61" s="41" t="n"/>
      <c r="M61" s="41" t="n"/>
      <c r="N61" s="41" t="n"/>
    </row>
    <row r="62" ht="22" customHeight="1">
      <c r="A62" s="5" t="n"/>
      <c r="B62" s="5" t="n"/>
      <c r="C62" s="5" t="n"/>
      <c r="D62" s="5" t="n"/>
      <c r="E62" s="5" t="n"/>
      <c r="F62" s="5" t="n"/>
      <c r="G62" s="40" t="n"/>
      <c r="H62" s="5" t="n"/>
      <c r="I62" s="30" t="n"/>
      <c r="J62" s="30" t="n"/>
      <c r="K62" s="30" t="n"/>
      <c r="L62" s="40" t="n"/>
      <c r="M62" s="40" t="n"/>
      <c r="N62" s="40" t="n"/>
    </row>
    <row r="63" ht="22" customHeight="1">
      <c r="A63" s="9" t="n"/>
      <c r="B63" s="9" t="n"/>
      <c r="C63" s="9" t="n"/>
      <c r="D63" s="9" t="n"/>
      <c r="E63" s="9" t="n"/>
      <c r="F63" s="9" t="n"/>
      <c r="G63" s="41" t="n"/>
      <c r="H63" s="9" t="n"/>
      <c r="I63" s="31" t="n"/>
      <c r="J63" s="31" t="n"/>
      <c r="K63" s="31" t="n"/>
      <c r="L63" s="41" t="n"/>
      <c r="M63" s="41" t="n"/>
      <c r="N63" s="41" t="n"/>
    </row>
    <row r="64" ht="22" customHeight="1">
      <c r="A64" s="5" t="n"/>
      <c r="B64" s="5" t="n"/>
      <c r="C64" s="5" t="n"/>
      <c r="D64" s="5" t="n"/>
      <c r="E64" s="5" t="n"/>
      <c r="F64" s="5" t="n"/>
      <c r="G64" s="40" t="n"/>
      <c r="H64" s="5" t="n"/>
      <c r="I64" s="30" t="n"/>
      <c r="J64" s="30" t="n"/>
      <c r="K64" s="30" t="n"/>
      <c r="L64" s="40" t="n"/>
      <c r="M64" s="40" t="n"/>
      <c r="N64" s="40" t="n"/>
    </row>
    <row r="65" ht="22" customHeight="1">
      <c r="A65" s="9" t="n"/>
      <c r="B65" s="9" t="n"/>
      <c r="C65" s="9" t="n"/>
      <c r="D65" s="9" t="n"/>
      <c r="E65" s="9" t="n"/>
      <c r="F65" s="9" t="n"/>
      <c r="G65" s="41" t="n"/>
      <c r="H65" s="9" t="n"/>
      <c r="I65" s="31" t="n"/>
      <c r="J65" s="31" t="n"/>
      <c r="K65" s="31" t="n"/>
      <c r="L65" s="41" t="n"/>
      <c r="M65" s="41" t="n"/>
      <c r="N65" s="41" t="n"/>
    </row>
    <row r="66" ht="22" customHeight="1">
      <c r="A66" s="5" t="n"/>
      <c r="B66" s="5" t="n"/>
      <c r="C66" s="5" t="n"/>
      <c r="D66" s="5" t="n"/>
      <c r="E66" s="5" t="n"/>
      <c r="F66" s="5" t="n"/>
      <c r="G66" s="40" t="n"/>
      <c r="H66" s="5" t="n"/>
      <c r="I66" s="30" t="n"/>
      <c r="J66" s="30" t="n"/>
      <c r="K66" s="30" t="n"/>
      <c r="L66" s="40" t="n"/>
      <c r="M66" s="40" t="n"/>
      <c r="N66" s="40" t="n"/>
    </row>
    <row r="67" ht="22" customHeight="1">
      <c r="A67" s="9" t="n"/>
      <c r="B67" s="9" t="n"/>
      <c r="C67" s="9" t="n"/>
      <c r="D67" s="9" t="n"/>
      <c r="E67" s="9" t="n"/>
      <c r="F67" s="9" t="n"/>
      <c r="G67" s="41" t="n"/>
      <c r="H67" s="9" t="n"/>
      <c r="I67" s="31" t="n"/>
      <c r="J67" s="31" t="n"/>
      <c r="K67" s="31" t="n"/>
      <c r="L67" s="41" t="n"/>
      <c r="M67" s="41" t="n"/>
      <c r="N67" s="41" t="n"/>
    </row>
    <row r="68" ht="22" customHeight="1">
      <c r="A68" s="5" t="n"/>
      <c r="B68" s="5" t="n"/>
      <c r="C68" s="5" t="n"/>
      <c r="D68" s="5" t="n"/>
      <c r="E68" s="5" t="n"/>
      <c r="F68" s="5" t="n"/>
      <c r="G68" s="40" t="n"/>
      <c r="H68" s="5" t="n"/>
      <c r="I68" s="30" t="n"/>
      <c r="J68" s="30" t="n"/>
      <c r="K68" s="30" t="n"/>
      <c r="L68" s="40" t="n"/>
      <c r="M68" s="40" t="n"/>
      <c r="N68" s="40" t="n"/>
    </row>
    <row r="69" ht="22" customHeight="1">
      <c r="A69" s="9" t="n"/>
      <c r="B69" s="9" t="n"/>
      <c r="C69" s="9" t="n"/>
      <c r="D69" s="9" t="n"/>
      <c r="E69" s="9" t="n"/>
      <c r="F69" s="9" t="n"/>
      <c r="G69" s="41" t="n"/>
      <c r="H69" s="9" t="n"/>
      <c r="I69" s="31" t="n"/>
      <c r="J69" s="31" t="n"/>
      <c r="K69" s="31" t="n"/>
      <c r="L69" s="41" t="n"/>
      <c r="M69" s="41" t="n"/>
      <c r="N69" s="41" t="n"/>
    </row>
    <row r="70" ht="22" customHeight="1">
      <c r="A70" s="5" t="n"/>
      <c r="B70" s="5" t="n"/>
      <c r="C70" s="5" t="n"/>
      <c r="D70" s="5" t="n"/>
      <c r="E70" s="5" t="n"/>
      <c r="F70" s="5" t="n"/>
      <c r="G70" s="40" t="n"/>
      <c r="H70" s="5" t="n"/>
      <c r="I70" s="30" t="n"/>
      <c r="J70" s="30" t="n"/>
      <c r="K70" s="30" t="n"/>
      <c r="L70" s="40" t="n"/>
      <c r="M70" s="40" t="n"/>
      <c r="N70" s="40" t="n"/>
    </row>
    <row r="71" ht="22" customHeight="1">
      <c r="A71" s="9" t="n"/>
      <c r="B71" s="9" t="n"/>
      <c r="C71" s="9" t="n"/>
      <c r="D71" s="9" t="n"/>
      <c r="E71" s="9" t="n"/>
      <c r="F71" s="9" t="n"/>
      <c r="G71" s="41" t="n"/>
      <c r="H71" s="9" t="n"/>
      <c r="I71" s="31" t="n"/>
      <c r="J71" s="31" t="n"/>
      <c r="K71" s="31" t="n"/>
      <c r="L71" s="41" t="n"/>
      <c r="M71" s="41" t="n"/>
      <c r="N71" s="41" t="n"/>
    </row>
    <row r="72" ht="22" customHeight="1">
      <c r="A72" s="5" t="n"/>
      <c r="B72" s="5" t="n"/>
      <c r="C72" s="5" t="n"/>
      <c r="D72" s="5" t="n"/>
      <c r="E72" s="5" t="n"/>
      <c r="F72" s="5" t="n"/>
      <c r="G72" s="40" t="n"/>
      <c r="H72" s="5" t="n"/>
      <c r="I72" s="30" t="n"/>
      <c r="J72" s="30" t="n"/>
      <c r="K72" s="30" t="n"/>
      <c r="L72" s="40" t="n"/>
      <c r="M72" s="40" t="n"/>
      <c r="N72" s="40" t="n"/>
    </row>
    <row r="73" ht="22" customHeight="1">
      <c r="A73" s="9" t="n"/>
      <c r="B73" s="9" t="n"/>
      <c r="C73" s="9" t="n"/>
      <c r="D73" s="9" t="n"/>
      <c r="E73" s="9" t="n"/>
      <c r="F73" s="9" t="n"/>
      <c r="G73" s="41" t="n"/>
      <c r="H73" s="9" t="n"/>
      <c r="I73" s="31" t="n"/>
      <c r="J73" s="31" t="n"/>
      <c r="K73" s="31" t="n"/>
      <c r="L73" s="41" t="n"/>
      <c r="M73" s="41" t="n"/>
      <c r="N73" s="41" t="n"/>
    </row>
    <row r="74" ht="22" customHeight="1">
      <c r="A74" s="5" t="n"/>
      <c r="B74" s="5" t="n"/>
      <c r="C74" s="5" t="n"/>
      <c r="D74" s="5" t="n"/>
      <c r="E74" s="5" t="n"/>
      <c r="F74" s="5" t="n"/>
      <c r="G74" s="40" t="n"/>
      <c r="H74" s="5" t="n"/>
      <c r="I74" s="30" t="n"/>
      <c r="J74" s="30" t="n"/>
      <c r="K74" s="30" t="n"/>
      <c r="L74" s="40" t="n"/>
      <c r="M74" s="40" t="n"/>
      <c r="N74" s="40" t="n"/>
    </row>
    <row r="75" ht="22" customHeight="1">
      <c r="A75" s="9" t="n"/>
      <c r="B75" s="9" t="n"/>
      <c r="C75" s="9" t="n"/>
      <c r="D75" s="9" t="n"/>
      <c r="E75" s="9" t="n"/>
      <c r="F75" s="9" t="n"/>
      <c r="G75" s="41" t="n"/>
      <c r="H75" s="9" t="n"/>
      <c r="I75" s="31" t="n"/>
      <c r="J75" s="31" t="n"/>
      <c r="K75" s="31" t="n"/>
      <c r="L75" s="41" t="n"/>
      <c r="M75" s="41" t="n"/>
      <c r="N75" s="41" t="n"/>
    </row>
    <row r="76" ht="22" customHeight="1">
      <c r="A76" s="5" t="n"/>
      <c r="B76" s="5" t="n"/>
      <c r="C76" s="5" t="n"/>
      <c r="D76" s="5" t="n"/>
      <c r="E76" s="5" t="n"/>
      <c r="F76" s="5" t="n"/>
      <c r="G76" s="40" t="n"/>
      <c r="H76" s="5" t="n"/>
      <c r="I76" s="30" t="n"/>
      <c r="J76" s="30" t="n"/>
      <c r="K76" s="30" t="n"/>
      <c r="L76" s="40" t="n"/>
      <c r="M76" s="40" t="n"/>
      <c r="N76" s="40" t="n"/>
    </row>
    <row r="77" ht="22" customHeight="1">
      <c r="A77" s="9" t="n"/>
      <c r="B77" s="9" t="n"/>
      <c r="C77" s="9" t="n"/>
      <c r="D77" s="9" t="n"/>
      <c r="E77" s="9" t="n"/>
      <c r="F77" s="9" t="n"/>
      <c r="G77" s="41" t="n"/>
      <c r="H77" s="9" t="n"/>
      <c r="I77" s="31" t="n"/>
      <c r="J77" s="31" t="n"/>
      <c r="K77" s="31" t="n"/>
      <c r="L77" s="41" t="n"/>
      <c r="M77" s="41" t="n"/>
      <c r="N77" s="41" t="n"/>
    </row>
    <row r="78" ht="22" customHeight="1">
      <c r="A78" s="5" t="n"/>
      <c r="B78" s="5" t="n"/>
      <c r="C78" s="5" t="n"/>
      <c r="D78" s="5" t="n"/>
      <c r="E78" s="5" t="n"/>
      <c r="F78" s="5" t="n"/>
      <c r="G78" s="40" t="n"/>
      <c r="H78" s="5" t="n"/>
      <c r="I78" s="30" t="n"/>
      <c r="J78" s="30" t="n"/>
      <c r="K78" s="30" t="n"/>
      <c r="L78" s="40" t="n"/>
      <c r="M78" s="40" t="n"/>
      <c r="N78" s="40" t="n"/>
    </row>
    <row r="79" ht="22" customHeight="1">
      <c r="A79" s="9" t="n"/>
      <c r="B79" s="9" t="n"/>
      <c r="C79" s="9" t="n"/>
      <c r="D79" s="9" t="n"/>
      <c r="E79" s="9" t="n"/>
      <c r="F79" s="9" t="n"/>
      <c r="G79" s="41" t="n"/>
      <c r="H79" s="9" t="n"/>
      <c r="I79" s="31" t="n"/>
      <c r="J79" s="31" t="n"/>
      <c r="K79" s="31" t="n"/>
      <c r="L79" s="41" t="n"/>
      <c r="M79" s="41" t="n"/>
      <c r="N79" s="41" t="n"/>
    </row>
    <row r="80" ht="22" customHeight="1">
      <c r="A80" s="5" t="n"/>
      <c r="B80" s="5" t="n"/>
      <c r="C80" s="5" t="n"/>
      <c r="D80" s="5" t="n"/>
      <c r="E80" s="5" t="n"/>
      <c r="F80" s="5" t="n"/>
      <c r="G80" s="40" t="n"/>
      <c r="H80" s="5" t="n"/>
      <c r="I80" s="30" t="n"/>
      <c r="J80" s="30" t="n"/>
      <c r="K80" s="30" t="n"/>
      <c r="L80" s="40" t="n"/>
      <c r="M80" s="40" t="n"/>
      <c r="N80" s="40" t="n"/>
    </row>
    <row r="81" ht="22" customHeight="1">
      <c r="A81" s="9" t="n"/>
      <c r="B81" s="9" t="n"/>
      <c r="C81" s="9" t="n"/>
      <c r="D81" s="9" t="n"/>
      <c r="E81" s="9" t="n"/>
      <c r="F81" s="9" t="n"/>
      <c r="G81" s="41" t="n"/>
      <c r="H81" s="9" t="n"/>
      <c r="I81" s="31" t="n"/>
      <c r="J81" s="31" t="n"/>
      <c r="K81" s="31" t="n"/>
      <c r="L81" s="41" t="n"/>
      <c r="M81" s="41" t="n"/>
      <c r="N81" s="41" t="n"/>
    </row>
    <row r="82" ht="22" customHeight="1">
      <c r="A82" s="5" t="n"/>
      <c r="B82" s="5" t="n"/>
      <c r="C82" s="5" t="n"/>
      <c r="D82" s="5" t="n"/>
      <c r="E82" s="5" t="n"/>
      <c r="F82" s="5" t="n"/>
      <c r="G82" s="40" t="n"/>
      <c r="H82" s="5" t="n"/>
      <c r="I82" s="30" t="n"/>
      <c r="J82" s="30" t="n"/>
      <c r="K82" s="30" t="n"/>
      <c r="L82" s="40" t="n"/>
      <c r="M82" s="40" t="n"/>
      <c r="N82" s="40" t="n"/>
    </row>
    <row r="83" ht="22" customHeight="1">
      <c r="A83" s="9" t="n"/>
      <c r="B83" s="9" t="n"/>
      <c r="C83" s="9" t="n"/>
      <c r="D83" s="9" t="n"/>
      <c r="E83" s="9" t="n"/>
      <c r="F83" s="9" t="n"/>
      <c r="G83" s="41" t="n"/>
      <c r="H83" s="9" t="n"/>
      <c r="I83" s="31" t="n"/>
      <c r="J83" s="31" t="n"/>
      <c r="K83" s="31" t="n"/>
      <c r="L83" s="41" t="n"/>
      <c r="M83" s="41" t="n"/>
      <c r="N83" s="41" t="n"/>
    </row>
    <row r="84" ht="22" customHeight="1">
      <c r="A84" s="5" t="n"/>
      <c r="B84" s="5" t="n"/>
      <c r="C84" s="5" t="n"/>
      <c r="D84" s="5" t="n"/>
      <c r="E84" s="5" t="n"/>
      <c r="F84" s="5" t="n"/>
      <c r="G84" s="40" t="n"/>
      <c r="H84" s="5" t="n"/>
      <c r="I84" s="30" t="n"/>
      <c r="J84" s="30" t="n"/>
      <c r="K84" s="30" t="n"/>
      <c r="L84" s="40" t="n"/>
      <c r="M84" s="40" t="n"/>
      <c r="N84" s="40" t="n"/>
    </row>
    <row r="85" ht="22" customHeight="1">
      <c r="A85" s="9" t="n"/>
      <c r="B85" s="9" t="n"/>
      <c r="C85" s="9" t="n"/>
      <c r="D85" s="9" t="n"/>
      <c r="E85" s="9" t="n"/>
      <c r="F85" s="9" t="n"/>
      <c r="G85" s="41" t="n"/>
      <c r="H85" s="9" t="n"/>
      <c r="I85" s="31" t="n"/>
      <c r="J85" s="31" t="n"/>
      <c r="K85" s="31" t="n"/>
      <c r="L85" s="41" t="n"/>
      <c r="M85" s="41" t="n"/>
      <c r="N85" s="41" t="n"/>
    </row>
    <row r="86" ht="22" customHeight="1">
      <c r="A86" s="5" t="n"/>
      <c r="B86" s="5" t="n"/>
      <c r="C86" s="5" t="n"/>
      <c r="D86" s="5" t="n"/>
      <c r="E86" s="5" t="n"/>
      <c r="F86" s="5" t="n"/>
      <c r="G86" s="40" t="n"/>
      <c r="H86" s="5" t="n"/>
      <c r="I86" s="30" t="n"/>
      <c r="J86" s="30" t="n"/>
      <c r="K86" s="30" t="n"/>
      <c r="L86" s="40" t="n"/>
      <c r="M86" s="40" t="n"/>
      <c r="N86" s="40" t="n"/>
    </row>
    <row r="87" ht="22" customHeight="1">
      <c r="A87" s="9" t="n"/>
      <c r="B87" s="9" t="n"/>
      <c r="C87" s="9" t="n"/>
      <c r="D87" s="9" t="n"/>
      <c r="E87" s="9" t="n"/>
      <c r="F87" s="9" t="n"/>
      <c r="G87" s="41" t="n"/>
      <c r="H87" s="9" t="n"/>
      <c r="I87" s="31" t="n"/>
      <c r="J87" s="31" t="n"/>
      <c r="K87" s="31" t="n"/>
      <c r="L87" s="41" t="n"/>
      <c r="M87" s="41" t="n"/>
      <c r="N87" s="41" t="n"/>
    </row>
    <row r="88" ht="22" customHeight="1">
      <c r="A88" s="5" t="n"/>
      <c r="B88" s="5" t="n"/>
      <c r="C88" s="5" t="n"/>
      <c r="D88" s="5" t="n"/>
      <c r="E88" s="5" t="n"/>
      <c r="F88" s="5" t="n"/>
      <c r="G88" s="40" t="n"/>
      <c r="H88" s="5" t="n"/>
      <c r="I88" s="30" t="n"/>
      <c r="J88" s="30" t="n"/>
      <c r="K88" s="30" t="n"/>
      <c r="L88" s="40" t="n"/>
      <c r="M88" s="40" t="n"/>
      <c r="N88" s="40" t="n"/>
    </row>
    <row r="89" ht="22" customHeight="1">
      <c r="A89" s="9" t="n"/>
      <c r="B89" s="9" t="n"/>
      <c r="C89" s="9" t="n"/>
      <c r="D89" s="9" t="n"/>
      <c r="E89" s="9" t="n"/>
      <c r="F89" s="9" t="n"/>
      <c r="G89" s="41" t="n"/>
      <c r="H89" s="9" t="n"/>
      <c r="I89" s="31" t="n"/>
      <c r="J89" s="31" t="n"/>
      <c r="K89" s="31" t="n"/>
      <c r="L89" s="41" t="n"/>
      <c r="M89" s="41" t="n"/>
      <c r="N89" s="41" t="n"/>
    </row>
    <row r="90" ht="22" customHeight="1">
      <c r="A90" s="5" t="n"/>
      <c r="B90" s="5" t="n"/>
      <c r="C90" s="5" t="n"/>
      <c r="D90" s="5" t="n"/>
      <c r="E90" s="5" t="n"/>
      <c r="F90" s="5" t="n"/>
      <c r="G90" s="40" t="n"/>
      <c r="H90" s="5" t="n"/>
      <c r="I90" s="30" t="n"/>
      <c r="J90" s="30" t="n"/>
      <c r="K90" s="30" t="n"/>
      <c r="L90" s="40" t="n"/>
      <c r="M90" s="40" t="n"/>
      <c r="N90" s="40" t="n"/>
    </row>
    <row r="91" ht="22" customHeight="1">
      <c r="A91" s="9" t="n"/>
      <c r="B91" s="9" t="n"/>
      <c r="C91" s="9" t="n"/>
      <c r="D91" s="9" t="n"/>
      <c r="E91" s="9" t="n"/>
      <c r="F91" s="9" t="n"/>
      <c r="G91" s="41" t="n"/>
      <c r="H91" s="9" t="n"/>
      <c r="I91" s="31" t="n"/>
      <c r="J91" s="31" t="n"/>
      <c r="K91" s="31" t="n"/>
      <c r="L91" s="41" t="n"/>
      <c r="M91" s="41" t="n"/>
      <c r="N91" s="41" t="n"/>
    </row>
    <row r="92" ht="22" customHeight="1">
      <c r="A92" s="5" t="n"/>
      <c r="B92" s="5" t="n"/>
      <c r="C92" s="5" t="n"/>
      <c r="D92" s="5" t="n"/>
      <c r="E92" s="5" t="n"/>
      <c r="F92" s="5" t="n"/>
      <c r="G92" s="40" t="n"/>
      <c r="H92" s="5" t="n"/>
      <c r="I92" s="30" t="n"/>
      <c r="J92" s="30" t="n"/>
      <c r="K92" s="30" t="n"/>
      <c r="L92" s="40" t="n"/>
      <c r="M92" s="40" t="n"/>
      <c r="N92" s="40" t="n"/>
    </row>
    <row r="93" ht="22" customHeight="1">
      <c r="A93" s="9" t="n"/>
      <c r="B93" s="9" t="n"/>
      <c r="C93" s="9" t="n"/>
      <c r="D93" s="9" t="n"/>
      <c r="E93" s="9" t="n"/>
      <c r="F93" s="9" t="n"/>
      <c r="G93" s="41" t="n"/>
      <c r="H93" s="9" t="n"/>
      <c r="I93" s="31" t="n"/>
      <c r="J93" s="31" t="n"/>
      <c r="K93" s="31" t="n"/>
      <c r="L93" s="41" t="n"/>
      <c r="M93" s="41" t="n"/>
      <c r="N93" s="41" t="n"/>
    </row>
    <row r="94" ht="22" customHeight="1">
      <c r="A94" s="5" t="n"/>
      <c r="B94" s="5" t="n"/>
      <c r="C94" s="5" t="n"/>
      <c r="D94" s="5" t="n"/>
      <c r="E94" s="5" t="n"/>
      <c r="F94" s="5" t="n"/>
      <c r="G94" s="40" t="n"/>
      <c r="H94" s="5" t="n"/>
      <c r="I94" s="30" t="n"/>
      <c r="J94" s="30" t="n"/>
      <c r="K94" s="30" t="n"/>
      <c r="L94" s="40" t="n"/>
      <c r="M94" s="40" t="n"/>
      <c r="N94" s="40" t="n"/>
    </row>
    <row r="95" ht="22" customHeight="1">
      <c r="A95" s="9" t="n"/>
      <c r="B95" s="9" t="n"/>
      <c r="C95" s="9" t="n"/>
      <c r="D95" s="9" t="n"/>
      <c r="E95" s="9" t="n"/>
      <c r="F95" s="9" t="n"/>
      <c r="G95" s="41" t="n"/>
      <c r="H95" s="9" t="n"/>
      <c r="I95" s="31" t="n"/>
      <c r="J95" s="31" t="n"/>
      <c r="K95" s="31" t="n"/>
      <c r="L95" s="41" t="n"/>
      <c r="M95" s="41" t="n"/>
      <c r="N95" s="41" t="n"/>
    </row>
    <row r="96" ht="22" customHeight="1">
      <c r="A96" s="5" t="n"/>
      <c r="B96" s="5" t="n"/>
      <c r="C96" s="5" t="n"/>
      <c r="D96" s="5" t="n"/>
      <c r="E96" s="5" t="n"/>
      <c r="F96" s="5" t="n"/>
      <c r="G96" s="40" t="n"/>
      <c r="H96" s="5" t="n"/>
      <c r="I96" s="30" t="n"/>
      <c r="J96" s="30" t="n"/>
      <c r="K96" s="30" t="n"/>
      <c r="L96" s="40" t="n"/>
      <c r="M96" s="40" t="n"/>
      <c r="N96" s="40" t="n"/>
    </row>
    <row r="97" ht="22" customHeight="1">
      <c r="A97" s="9" t="n"/>
      <c r="B97" s="9" t="n"/>
      <c r="C97" s="9" t="n"/>
      <c r="D97" s="9" t="n"/>
      <c r="E97" s="9" t="n"/>
      <c r="F97" s="9" t="n"/>
      <c r="G97" s="41" t="n"/>
      <c r="H97" s="9" t="n"/>
      <c r="I97" s="31" t="n"/>
      <c r="J97" s="31" t="n"/>
      <c r="K97" s="31" t="n"/>
      <c r="L97" s="41" t="n"/>
      <c r="M97" s="41" t="n"/>
      <c r="N97" s="41" t="n"/>
    </row>
    <row r="98" ht="22" customHeight="1">
      <c r="A98" s="5" t="n"/>
      <c r="B98" s="5" t="n"/>
      <c r="C98" s="5" t="n"/>
      <c r="D98" s="5" t="n"/>
      <c r="E98" s="5" t="n"/>
      <c r="F98" s="5" t="n"/>
      <c r="G98" s="40" t="n"/>
      <c r="H98" s="5" t="n"/>
      <c r="I98" s="30" t="n"/>
      <c r="J98" s="30" t="n"/>
      <c r="K98" s="30" t="n"/>
      <c r="L98" s="40" t="n"/>
      <c r="M98" s="40" t="n"/>
      <c r="N98" s="40" t="n"/>
    </row>
    <row r="99" ht="22" customHeight="1">
      <c r="A99" s="9" t="n"/>
      <c r="B99" s="9" t="n"/>
      <c r="C99" s="9" t="n"/>
      <c r="D99" s="9" t="n"/>
      <c r="E99" s="9" t="n"/>
      <c r="F99" s="9" t="n"/>
      <c r="G99" s="41" t="n"/>
      <c r="H99" s="9" t="n"/>
      <c r="I99" s="31" t="n"/>
      <c r="J99" s="31" t="n"/>
      <c r="K99" s="31" t="n"/>
      <c r="L99" s="41" t="n"/>
      <c r="M99" s="41" t="n"/>
      <c r="N99" s="41" t="n"/>
    </row>
    <row r="100" ht="22" customHeight="1">
      <c r="A100" s="5" t="n"/>
      <c r="B100" s="5" t="n"/>
      <c r="C100" s="5" t="n"/>
      <c r="D100" s="5" t="n"/>
      <c r="E100" s="5" t="n"/>
      <c r="F100" s="5" t="n"/>
      <c r="G100" s="40" t="n"/>
      <c r="H100" s="5" t="n"/>
      <c r="I100" s="30" t="n"/>
      <c r="J100" s="30" t="n"/>
      <c r="K100" s="30" t="n"/>
      <c r="L100" s="40" t="n"/>
      <c r="M100" s="40" t="n"/>
      <c r="N100" s="40" t="n"/>
    </row>
    <row r="101" ht="22" customHeight="1">
      <c r="A101" s="9" t="n"/>
      <c r="B101" s="9" t="n"/>
      <c r="C101" s="9" t="n"/>
      <c r="D101" s="9" t="n"/>
      <c r="E101" s="9" t="n"/>
      <c r="F101" s="9" t="n"/>
      <c r="G101" s="41" t="n"/>
      <c r="H101" s="9" t="n"/>
      <c r="I101" s="31" t="n"/>
      <c r="J101" s="31" t="n"/>
      <c r="K101" s="31" t="n"/>
      <c r="L101" s="41" t="n"/>
      <c r="M101" s="41" t="n"/>
      <c r="N101" s="41" t="n"/>
    </row>
    <row r="102" ht="22" customHeight="1">
      <c r="A102" s="5" t="n"/>
      <c r="B102" s="5" t="n"/>
      <c r="C102" s="5" t="n"/>
      <c r="D102" s="5" t="n"/>
      <c r="E102" s="5" t="n"/>
      <c r="F102" s="5" t="n"/>
      <c r="G102" s="40" t="n"/>
      <c r="H102" s="5" t="n"/>
      <c r="I102" s="30" t="n"/>
      <c r="J102" s="30" t="n"/>
      <c r="K102" s="30" t="n"/>
      <c r="L102" s="40" t="n"/>
      <c r="M102" s="40" t="n"/>
      <c r="N102" s="40" t="n"/>
    </row>
    <row r="103" ht="22" customHeight="1">
      <c r="A103" s="9" t="n"/>
      <c r="B103" s="9" t="n"/>
      <c r="C103" s="9" t="n"/>
      <c r="D103" s="9" t="n"/>
      <c r="E103" s="9" t="n"/>
      <c r="F103" s="9" t="n"/>
      <c r="G103" s="41" t="n"/>
      <c r="H103" s="9" t="n"/>
      <c r="I103" s="31" t="n"/>
      <c r="J103" s="31" t="n"/>
      <c r="K103" s="31" t="n"/>
      <c r="L103" s="41" t="n"/>
      <c r="M103" s="41" t="n"/>
      <c r="N103" s="41" t="n"/>
    </row>
    <row r="104" ht="22" customHeight="1">
      <c r="A104" s="5" t="n"/>
      <c r="B104" s="5" t="n"/>
      <c r="C104" s="5" t="n"/>
      <c r="D104" s="5" t="n"/>
      <c r="E104" s="5" t="n"/>
      <c r="F104" s="5" t="n"/>
      <c r="G104" s="40" t="n"/>
      <c r="H104" s="5" t="n"/>
      <c r="I104" s="30" t="n"/>
      <c r="J104" s="30" t="n"/>
      <c r="K104" s="30" t="n"/>
      <c r="L104" s="40" t="n"/>
      <c r="M104" s="40" t="n"/>
      <c r="N104" s="40" t="n"/>
    </row>
    <row r="105" ht="22" customHeight="1">
      <c r="A105" s="9" t="n"/>
      <c r="B105" s="9" t="n"/>
      <c r="C105" s="9" t="n"/>
      <c r="D105" s="9" t="n"/>
      <c r="E105" s="9" t="n"/>
      <c r="F105" s="9" t="n"/>
      <c r="G105" s="41" t="n"/>
      <c r="H105" s="9" t="n"/>
      <c r="I105" s="31" t="n"/>
      <c r="J105" s="31" t="n"/>
      <c r="K105" s="31" t="n"/>
      <c r="L105" s="41" t="n"/>
      <c r="M105" s="41" t="n"/>
      <c r="N105" s="41" t="n"/>
    </row>
    <row r="106" ht="22" customHeight="1">
      <c r="A106" s="5" t="n"/>
      <c r="B106" s="5" t="n"/>
      <c r="C106" s="5" t="n"/>
      <c r="D106" s="5" t="n"/>
      <c r="E106" s="5" t="n"/>
      <c r="F106" s="5" t="n"/>
      <c r="G106" s="40" t="n"/>
      <c r="H106" s="5" t="n"/>
      <c r="I106" s="30" t="n"/>
      <c r="J106" s="30" t="n"/>
      <c r="K106" s="30" t="n"/>
      <c r="L106" s="40" t="n"/>
      <c r="M106" s="40" t="n"/>
      <c r="N106" s="40" t="n"/>
    </row>
    <row r="107" ht="22" customHeight="1">
      <c r="A107" s="9" t="n"/>
      <c r="B107" s="9" t="n"/>
      <c r="C107" s="9" t="n"/>
      <c r="D107" s="9" t="n"/>
      <c r="E107" s="9" t="n"/>
      <c r="F107" s="9" t="n"/>
      <c r="G107" s="41" t="n"/>
      <c r="H107" s="9" t="n"/>
      <c r="I107" s="31" t="n"/>
      <c r="J107" s="31" t="n"/>
      <c r="K107" s="31" t="n"/>
      <c r="L107" s="41" t="n"/>
      <c r="M107" s="41" t="n"/>
      <c r="N107" s="41" t="n"/>
    </row>
    <row r="108" ht="22" customHeight="1">
      <c r="A108" s="5" t="n"/>
      <c r="B108" s="5" t="n"/>
      <c r="C108" s="5" t="n"/>
      <c r="D108" s="5" t="n"/>
      <c r="E108" s="5" t="n"/>
      <c r="F108" s="5" t="n"/>
      <c r="G108" s="40" t="n"/>
      <c r="H108" s="5" t="n"/>
      <c r="I108" s="30" t="n"/>
      <c r="J108" s="30" t="n"/>
      <c r="K108" s="30" t="n"/>
      <c r="L108" s="40" t="n"/>
      <c r="M108" s="40" t="n"/>
      <c r="N108" s="40" t="n"/>
    </row>
    <row r="109" ht="22" customHeight="1">
      <c r="A109" s="9" t="n"/>
      <c r="B109" s="9" t="n"/>
      <c r="C109" s="9" t="n"/>
      <c r="D109" s="9" t="n"/>
      <c r="E109" s="9" t="n"/>
      <c r="F109" s="9" t="n"/>
      <c r="G109" s="41" t="n"/>
      <c r="H109" s="9" t="n"/>
      <c r="I109" s="31" t="n"/>
      <c r="J109" s="31" t="n"/>
      <c r="K109" s="31" t="n"/>
      <c r="L109" s="41" t="n"/>
      <c r="M109" s="41" t="n"/>
      <c r="N109" s="41" t="n"/>
    </row>
    <row r="110" ht="22" customHeight="1">
      <c r="A110" s="5" t="n"/>
      <c r="B110" s="5" t="n"/>
      <c r="C110" s="5" t="n"/>
      <c r="D110" s="5" t="n"/>
      <c r="E110" s="5" t="n"/>
      <c r="F110" s="5" t="n"/>
      <c r="G110" s="40" t="n"/>
      <c r="H110" s="5" t="n"/>
      <c r="I110" s="30" t="n"/>
      <c r="J110" s="30" t="n"/>
      <c r="K110" s="30" t="n"/>
      <c r="L110" s="40" t="n"/>
      <c r="M110" s="40" t="n"/>
      <c r="N110" s="40" t="n"/>
    </row>
    <row r="111" ht="22" customHeight="1">
      <c r="A111" s="9" t="n"/>
      <c r="B111" s="9" t="n"/>
      <c r="C111" s="9" t="n"/>
      <c r="D111" s="9" t="n"/>
      <c r="E111" s="9" t="n"/>
      <c r="F111" s="9" t="n"/>
      <c r="G111" s="41" t="n"/>
      <c r="H111" s="9" t="n"/>
      <c r="I111" s="31" t="n"/>
      <c r="J111" s="31" t="n"/>
      <c r="K111" s="31" t="n"/>
      <c r="L111" s="41" t="n"/>
      <c r="M111" s="41" t="n"/>
      <c r="N111" s="41" t="n"/>
    </row>
    <row r="112" ht="22" customHeight="1">
      <c r="A112" s="5" t="n"/>
      <c r="B112" s="5" t="n"/>
      <c r="C112" s="5" t="n"/>
      <c r="D112" s="5" t="n"/>
      <c r="E112" s="5" t="n"/>
      <c r="F112" s="5" t="n"/>
      <c r="G112" s="40" t="n"/>
      <c r="H112" s="5" t="n"/>
      <c r="I112" s="30" t="n"/>
      <c r="J112" s="30" t="n"/>
      <c r="K112" s="30" t="n"/>
      <c r="L112" s="40" t="n"/>
      <c r="M112" s="40" t="n"/>
      <c r="N112" s="40" t="n"/>
    </row>
    <row r="113" ht="22" customHeight="1">
      <c r="A113" s="9" t="n"/>
      <c r="B113" s="9" t="n"/>
      <c r="C113" s="9" t="n"/>
      <c r="D113" s="9" t="n"/>
      <c r="E113" s="9" t="n"/>
      <c r="F113" s="9" t="n"/>
      <c r="G113" s="41" t="n"/>
      <c r="H113" s="9" t="n"/>
      <c r="I113" s="31" t="n"/>
      <c r="J113" s="31" t="n"/>
      <c r="K113" s="31" t="n"/>
      <c r="L113" s="41" t="n"/>
      <c r="M113" s="41" t="n"/>
      <c r="N113" s="41" t="n"/>
    </row>
    <row r="114" ht="22" customHeight="1">
      <c r="A114" s="5" t="n"/>
      <c r="B114" s="5" t="n"/>
      <c r="C114" s="5" t="n"/>
      <c r="D114" s="5" t="n"/>
      <c r="E114" s="5" t="n"/>
      <c r="F114" s="5" t="n"/>
      <c r="G114" s="40" t="n"/>
      <c r="H114" s="5" t="n"/>
      <c r="I114" s="30" t="n"/>
      <c r="J114" s="30" t="n"/>
      <c r="K114" s="30" t="n"/>
      <c r="L114" s="40" t="n"/>
      <c r="M114" s="40" t="n"/>
      <c r="N114" s="40" t="n"/>
    </row>
    <row r="115" ht="22" customHeight="1">
      <c r="A115" s="9" t="n"/>
      <c r="B115" s="9" t="n"/>
      <c r="C115" s="9" t="n"/>
      <c r="D115" s="9" t="n"/>
      <c r="E115" s="9" t="n"/>
      <c r="F115" s="9" t="n"/>
      <c r="G115" s="41" t="n"/>
      <c r="H115" s="9" t="n"/>
      <c r="I115" s="31" t="n"/>
      <c r="J115" s="31" t="n"/>
      <c r="K115" s="31" t="n"/>
      <c r="L115" s="41" t="n"/>
      <c r="M115" s="41" t="n"/>
      <c r="N115" s="41" t="n"/>
    </row>
  </sheetData>
  <mergeCells count="2">
    <mergeCell ref="A3:N3"/>
    <mergeCell ref="A2:N2"/>
  </mergeCells>
  <conditionalFormatting sqref="H6:H115">
    <cfRule type="cellIs" priority="1" operator="equal" dxfId="0">
      <formula>"Actif"</formula>
    </cfRule>
    <cfRule type="cellIs" priority="2" operator="equal" dxfId="1">
      <formula>"Suspendu"</formula>
    </cfRule>
    <cfRule type="cellIs" priority="3" operator="equal" dxfId="2">
      <formula>"En attente"</formula>
    </cfRule>
    <cfRule type="cellIs" priority="4" operator="equal" dxfId="3">
      <formula>"Résilié"</formula>
    </cfRule>
  </conditionalFormatting>
  <dataValidations count="2">
    <dataValidation sqref="D6:D115" showDropDown="0" showInputMessage="0" showErrorMessage="0" allowBlank="1" errorTitle="Erreur" error="Valeur invalide" promptTitle="" prompt="Choisir: " type="list">
      <formula1>"AV-001,AV-002,AV-003,AV-004,AV-005,AV-006,AV-007,AV-008,AV-009,AV-010,AV-011,AV-012,AV-013,AV-014,AV-015"</formula1>
    </dataValidation>
    <dataValidation sqref="H6:H115" showDropDown="0" showInputMessage="0" showErrorMessage="0" allowBlank="1" errorTitle="Erreur" error="Valeur invalide" promptTitle="" prompt="Choisir: " type="list">
      <formula1>"Actif,Suspendu,En attente,Résilié"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6" customWidth="1" min="4" max="4"/>
    <col width="22" customWidth="1" min="5" max="5"/>
    <col width="14" customWidth="1" min="6" max="6"/>
    <col width="18" customWidth="1" min="7" max="7"/>
    <col width="16" customWidth="1" min="8" max="8"/>
    <col width="22" customWidth="1" min="9" max="9"/>
    <col width="18" customWidth="1" min="10" max="10"/>
    <col width="16" customWidth="1" min="11" max="11"/>
    <col width="18" customWidth="1" min="12" max="12"/>
    <col width="20" customWidth="1" min="13" max="13"/>
    <col width="14" customWidth="1" min="14" max="14"/>
  </cols>
  <sheetData>
    <row r="1" ht="8" customHeight="1"/>
    <row r="2" ht="30" customHeight="1">
      <c r="A2" s="1" t="inlineStr">
        <is>
          <t>SUIVI DES COTISATIONS AUX AVANTAGES SOCIAUX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Prénom (VLOOKUP)</t>
        </is>
      </c>
      <c r="D5" s="4" t="inlineStr">
        <is>
          <t>Avantage (VLOOKUP)</t>
        </is>
      </c>
      <c r="E5" s="4" t="inlineStr">
        <is>
          <t>Montant total (FCFA)</t>
        </is>
      </c>
      <c r="F5" s="4" t="inlineStr">
        <is>
          <t>Mois</t>
        </is>
      </c>
      <c r="G5" s="4" t="inlineStr">
        <is>
          <t>Paiement effectué</t>
        </is>
      </c>
      <c r="H5" s="4" t="inlineStr">
        <is>
          <t>Date paiement</t>
        </is>
      </c>
      <c r="I5" s="4" t="inlineStr">
        <is>
          <t>Mode paiement</t>
        </is>
      </c>
      <c r="J5" s="4" t="inlineStr">
        <is>
          <t>Référence</t>
        </is>
      </c>
      <c r="K5" s="4" t="inlineStr">
        <is>
          <t>Retard</t>
        </is>
      </c>
      <c r="L5" s="4" t="inlineStr">
        <is>
          <t>Pénalité (FCFA)</t>
        </is>
      </c>
      <c r="M5" s="4" t="inlineStr">
        <is>
          <t>Montant TTC (FCFA)</t>
        </is>
      </c>
      <c r="N5" s="4" t="inlineStr">
        <is>
          <t>Date MAJ</t>
        </is>
      </c>
    </row>
    <row r="6" ht="22" customHeight="1">
      <c r="A6" s="5" t="inlineStr">
        <is>
          <t>EMP-001</t>
        </is>
      </c>
      <c r="B6" s="5">
        <f>IFERROR(VLOOKUP(A6,'F01 - _Données Employés'!$A$6:$C$20,2,FALSE),"")</f>
        <v/>
      </c>
      <c r="C6" s="5">
        <f>IFERROR(VLOOKUP(A6,'F01 - _Données Employés'!$A$6:$C$20,3,FALSE),"")</f>
        <v/>
      </c>
      <c r="D6" s="5">
        <f>IFERROR(VLOOKUP(D6,'F04 - 2-Référentiel Avant.'!$A$6:$C$20,3,FALSE),"")</f>
        <v/>
      </c>
      <c r="E6" s="30" t="n">
        <v>23800</v>
      </c>
      <c r="F6" s="5" t="inlineStr">
        <is>
          <t>Janvier</t>
        </is>
      </c>
      <c r="G6" s="5" t="inlineStr">
        <is>
          <t>Oui</t>
        </is>
      </c>
      <c r="H6" s="40" t="n">
        <v>45306</v>
      </c>
      <c r="I6" s="5" t="inlineStr">
        <is>
          <t>Virement</t>
        </is>
      </c>
      <c r="J6" s="5" t="inlineStr">
        <is>
          <t>REF-2024-0001</t>
        </is>
      </c>
      <c r="K6" s="5">
        <f>IF(AND(G6="Non",TODAY()&gt;DATE(2025,2,15)),"EN RETARD","")</f>
        <v/>
      </c>
      <c r="L6" s="30">
        <f>IF(K6="EN RETARD",E6*0.05,0)</f>
        <v/>
      </c>
      <c r="M6" s="30">
        <f>E6+L6</f>
        <v/>
      </c>
      <c r="N6" s="40" t="n">
        <v>45319</v>
      </c>
    </row>
    <row r="7" ht="22" customHeight="1">
      <c r="A7" s="9" t="inlineStr">
        <is>
          <t>EMP-002</t>
        </is>
      </c>
      <c r="B7" s="9">
        <f>IFERROR(VLOOKUP(A7,'F01 - _Données Employés'!$A$6:$C$20,2,FALSE),"")</f>
        <v/>
      </c>
      <c r="C7" s="9">
        <f>IFERROR(VLOOKUP(A7,'F01 - _Données Employés'!$A$6:$C$20,3,FALSE),"")</f>
        <v/>
      </c>
      <c r="D7" s="9">
        <f>IFERROR(VLOOKUP(D7,'F04 - 2-Référentiel Avant.'!$A$6:$C$20,3,FALSE),"")</f>
        <v/>
      </c>
      <c r="E7" s="31" t="n">
        <v>18500</v>
      </c>
      <c r="F7" s="9" t="inlineStr">
        <is>
          <t>Février</t>
        </is>
      </c>
      <c r="G7" s="9" t="inlineStr">
        <is>
          <t>Oui</t>
        </is>
      </c>
      <c r="H7" s="41" t="n">
        <v>45337</v>
      </c>
      <c r="I7" s="9" t="inlineStr">
        <is>
          <t>Prélèvement automatique</t>
        </is>
      </c>
      <c r="J7" s="9" t="inlineStr">
        <is>
          <t>REF-2024-0002</t>
        </is>
      </c>
      <c r="K7" s="9">
        <f>IF(AND(G7="Non",TODAY()&gt;DATE(2025,3,15)),"EN RETARD","")</f>
        <v/>
      </c>
      <c r="L7" s="31">
        <f>IF(K7="EN RETARD",E7*0.05,0)</f>
        <v/>
      </c>
      <c r="M7" s="31">
        <f>E7+L7</f>
        <v/>
      </c>
      <c r="N7" s="41" t="n">
        <v>45350</v>
      </c>
    </row>
    <row r="8" ht="22" customHeight="1">
      <c r="A8" s="5" t="inlineStr">
        <is>
          <t>EMP-003</t>
        </is>
      </c>
      <c r="B8" s="5">
        <f>IFERROR(VLOOKUP(A8,'F01 - _Données Employés'!$A$6:$C$20,2,FALSE),"")</f>
        <v/>
      </c>
      <c r="C8" s="5">
        <f>IFERROR(VLOOKUP(A8,'F01 - _Données Employés'!$A$6:$C$20,3,FALSE),"")</f>
        <v/>
      </c>
      <c r="D8" s="5">
        <f>IFERROR(VLOOKUP(D8,'F04 - 2-Référentiel Avant.'!$A$6:$C$20,3,FALSE),"")</f>
        <v/>
      </c>
      <c r="E8" s="30" t="n">
        <v>14440</v>
      </c>
      <c r="F8" s="5" t="inlineStr">
        <is>
          <t>Mars</t>
        </is>
      </c>
      <c r="G8" s="5" t="inlineStr">
        <is>
          <t>Oui</t>
        </is>
      </c>
      <c r="H8" s="40" t="n">
        <v>45366</v>
      </c>
      <c r="I8" s="5" t="inlineStr">
        <is>
          <t>Virement</t>
        </is>
      </c>
      <c r="J8" s="5" t="inlineStr">
        <is>
          <t>REF-2024-0003</t>
        </is>
      </c>
      <c r="K8" s="5">
        <f>IF(AND(G8="Non",TODAY()&gt;DATE(2025,4,15)),"EN RETARD","")</f>
        <v/>
      </c>
      <c r="L8" s="30">
        <f>IF(K8="EN RETARD",E8*0.05,0)</f>
        <v/>
      </c>
      <c r="M8" s="30">
        <f>E8+L8</f>
        <v/>
      </c>
      <c r="N8" s="40" t="n">
        <v>45379</v>
      </c>
    </row>
    <row r="9" ht="22" customHeight="1">
      <c r="A9" s="9" t="inlineStr">
        <is>
          <t>EMP-001</t>
        </is>
      </c>
      <c r="B9" s="9">
        <f>IFERROR(VLOOKUP(A9,'F01 - _Données Employés'!$A$6:$C$20,2,FALSE),"")</f>
        <v/>
      </c>
      <c r="C9" s="9">
        <f>IFERROR(VLOOKUP(A9,'F01 - _Données Employés'!$A$6:$C$20,3,FALSE),"")</f>
        <v/>
      </c>
      <c r="D9" s="9">
        <f>IFERROR(VLOOKUP(D9,'F04 - 2-Référentiel Avant.'!$A$6:$C$20,3,FALSE),"")</f>
        <v/>
      </c>
      <c r="E9" s="31" t="n">
        <v>22000</v>
      </c>
      <c r="F9" s="9" t="inlineStr">
        <is>
          <t>Avril</t>
        </is>
      </c>
      <c r="G9" s="9" t="inlineStr">
        <is>
          <t>Non</t>
        </is>
      </c>
      <c r="H9" s="41" t="n"/>
      <c r="I9" s="9" t="inlineStr">
        <is>
          <t>Chèque</t>
        </is>
      </c>
      <c r="J9" s="9" t="inlineStr">
        <is>
          <t>REF-2024-0004</t>
        </is>
      </c>
      <c r="K9" s="9">
        <f>IF(AND(G9="Non",TODAY()&gt;DATE(2025,5,15)),"EN RETARD","")</f>
        <v/>
      </c>
      <c r="L9" s="31">
        <f>IF(K9="EN RETARD",E9*0.05,0)</f>
        <v/>
      </c>
      <c r="M9" s="31">
        <f>E9+L9</f>
        <v/>
      </c>
      <c r="N9" s="41" t="n">
        <v>45410</v>
      </c>
    </row>
    <row r="10" ht="22" customHeight="1">
      <c r="A10" s="5" t="inlineStr">
        <is>
          <t>EMP-005</t>
        </is>
      </c>
      <c r="B10" s="5">
        <f>IFERROR(VLOOKUP(A10,'F01 - _Données Employés'!$A$6:$C$20,2,FALSE),"")</f>
        <v/>
      </c>
      <c r="C10" s="5">
        <f>IFERROR(VLOOKUP(A10,'F01 - _Données Employés'!$A$6:$C$20,3,FALSE),"")</f>
        <v/>
      </c>
      <c r="D10" s="5">
        <f>IFERROR(VLOOKUP(D10,'F04 - 2-Référentiel Avant.'!$A$6:$C$20,3,FALSE),"")</f>
        <v/>
      </c>
      <c r="E10" s="30" t="n">
        <v>20400</v>
      </c>
      <c r="F10" s="5" t="inlineStr">
        <is>
          <t>Mai</t>
        </is>
      </c>
      <c r="G10" s="5" t="inlineStr">
        <is>
          <t>Oui</t>
        </is>
      </c>
      <c r="H10" s="40" t="n">
        <v>45427</v>
      </c>
      <c r="I10" s="5" t="inlineStr">
        <is>
          <t>Virement</t>
        </is>
      </c>
      <c r="J10" s="5" t="inlineStr">
        <is>
          <t>REF-2024-0005</t>
        </is>
      </c>
      <c r="K10" s="5">
        <f>IF(AND(G10="Non",TODAY()&gt;DATE(2025,6,15)),"EN RETARD","")</f>
        <v/>
      </c>
      <c r="L10" s="30">
        <f>IF(K10="EN RETARD",E10*0.05,0)</f>
        <v/>
      </c>
      <c r="M10" s="30">
        <f>E10+L10</f>
        <v/>
      </c>
      <c r="N10" s="40" t="n">
        <v>45440</v>
      </c>
    </row>
    <row r="11" ht="22" customHeight="1">
      <c r="A11" s="9" t="inlineStr">
        <is>
          <t>EMP-006</t>
        </is>
      </c>
      <c r="B11" s="9">
        <f>IFERROR(VLOOKUP(A11,'F01 - _Données Employés'!$A$6:$C$20,2,FALSE),"")</f>
        <v/>
      </c>
      <c r="C11" s="9">
        <f>IFERROR(VLOOKUP(A11,'F01 - _Données Employés'!$A$6:$C$20,3,FALSE),"")</f>
        <v/>
      </c>
      <c r="D11" s="9">
        <f>IFERROR(VLOOKUP(D11,'F04 - 2-Référentiel Avant.'!$A$6:$C$20,3,FALSE),"")</f>
        <v/>
      </c>
      <c r="E11" s="31" t="n">
        <v>15800</v>
      </c>
      <c r="F11" s="9" t="inlineStr">
        <is>
          <t>Juin</t>
        </is>
      </c>
      <c r="G11" s="9" t="inlineStr">
        <is>
          <t>Oui</t>
        </is>
      </c>
      <c r="H11" s="41" t="n">
        <v>45458</v>
      </c>
      <c r="I11" s="9" t="inlineStr">
        <is>
          <t>Prélèvement automatique</t>
        </is>
      </c>
      <c r="J11" s="9" t="inlineStr">
        <is>
          <t>REF-2024-0006</t>
        </is>
      </c>
      <c r="K11" s="9">
        <f>IF(AND(G11="Non",TODAY()&gt;DATE(2025,7,15)),"EN RETARD","")</f>
        <v/>
      </c>
      <c r="L11" s="31">
        <f>IF(K11="EN RETARD",E11*0.05,0)</f>
        <v/>
      </c>
      <c r="M11" s="31">
        <f>E11+L11</f>
        <v/>
      </c>
      <c r="N11" s="41" t="n">
        <v>45471</v>
      </c>
    </row>
    <row r="12" ht="22" customHeight="1">
      <c r="A12" s="5" t="inlineStr">
        <is>
          <t>EMP-002</t>
        </is>
      </c>
      <c r="B12" s="5">
        <f>IFERROR(VLOOKUP(A12,'F01 - _Données Employés'!$A$6:$C$20,2,FALSE),"")</f>
        <v/>
      </c>
      <c r="C12" s="5">
        <f>IFERROR(VLOOKUP(A12,'F01 - _Données Employés'!$A$6:$C$20,3,FALSE),"")</f>
        <v/>
      </c>
      <c r="D12" s="5">
        <f>IFERROR(VLOOKUP(D12,'F04 - 2-Référentiel Avant.'!$A$6:$C$20,3,FALSE),"")</f>
        <v/>
      </c>
      <c r="E12" s="30" t="n">
        <v>25000</v>
      </c>
      <c r="F12" s="5" t="inlineStr">
        <is>
          <t>Juillet</t>
        </is>
      </c>
      <c r="G12" s="5" t="inlineStr">
        <is>
          <t>Non</t>
        </is>
      </c>
      <c r="H12" s="40" t="n"/>
      <c r="I12" s="5" t="inlineStr">
        <is>
          <t>Virement</t>
        </is>
      </c>
      <c r="J12" s="5" t="inlineStr">
        <is>
          <t>REF-2024-0007</t>
        </is>
      </c>
      <c r="K12" s="5">
        <f>IF(AND(G12="Non",TODAY()&gt;DATE(2025,8,15)),"EN RETARD","")</f>
        <v/>
      </c>
      <c r="L12" s="30">
        <f>IF(K12="EN RETARD",E12*0.05,0)</f>
        <v/>
      </c>
      <c r="M12" s="30">
        <f>E12+L12</f>
        <v/>
      </c>
      <c r="N12" s="40" t="n">
        <v>45501</v>
      </c>
    </row>
    <row r="13" ht="22" customHeight="1">
      <c r="A13" s="9" t="inlineStr">
        <is>
          <t>EMP-003</t>
        </is>
      </c>
      <c r="B13" s="9">
        <f>IFERROR(VLOOKUP(A13,'F01 - _Données Employés'!$A$6:$C$20,2,FALSE),"")</f>
        <v/>
      </c>
      <c r="C13" s="9">
        <f>IFERROR(VLOOKUP(A13,'F01 - _Données Employés'!$A$6:$C$20,3,FALSE),"")</f>
        <v/>
      </c>
      <c r="D13" s="9">
        <f>IFERROR(VLOOKUP(D13,'F04 - 2-Référentiel Avant.'!$A$6:$C$20,3,FALSE),"")</f>
        <v/>
      </c>
      <c r="E13" s="31" t="n">
        <v>19200</v>
      </c>
      <c r="F13" s="9" t="inlineStr">
        <is>
          <t>Août</t>
        </is>
      </c>
      <c r="G13" s="9" t="inlineStr">
        <is>
          <t>Oui</t>
        </is>
      </c>
      <c r="H13" s="41" t="n">
        <v>45519</v>
      </c>
      <c r="I13" s="9" t="inlineStr">
        <is>
          <t>Chèque</t>
        </is>
      </c>
      <c r="J13" s="9" t="inlineStr">
        <is>
          <t>REF-2024-0008</t>
        </is>
      </c>
      <c r="K13" s="9">
        <f>IF(AND(G13="Non",TODAY()&gt;DATE(2025,9,15)),"EN RETARD","")</f>
        <v/>
      </c>
      <c r="L13" s="31">
        <f>IF(K13="EN RETARD",E13*0.05,0)</f>
        <v/>
      </c>
      <c r="M13" s="31">
        <f>E13+L13</f>
        <v/>
      </c>
      <c r="N13" s="41" t="n">
        <v>45532</v>
      </c>
    </row>
    <row r="14" ht="22" customHeight="1">
      <c r="A14" s="5" t="inlineStr">
        <is>
          <t>EMP-001</t>
        </is>
      </c>
      <c r="B14" s="5">
        <f>IFERROR(VLOOKUP(A14,'F01 - _Données Employés'!$A$6:$C$20,2,FALSE),"")</f>
        <v/>
      </c>
      <c r="C14" s="5">
        <f>IFERROR(VLOOKUP(A14,'F01 - _Données Employés'!$A$6:$C$20,3,FALSE),"")</f>
        <v/>
      </c>
      <c r="D14" s="5">
        <f>IFERROR(VLOOKUP(D14,'F04 - 2-Référentiel Avant.'!$A$6:$C$20,3,FALSE),"")</f>
        <v/>
      </c>
      <c r="E14" s="30" t="n">
        <v>17600</v>
      </c>
      <c r="F14" s="5" t="inlineStr">
        <is>
          <t>Septembre</t>
        </is>
      </c>
      <c r="G14" s="5" t="inlineStr">
        <is>
          <t>Oui</t>
        </is>
      </c>
      <c r="H14" s="40" t="n">
        <v>45550</v>
      </c>
      <c r="I14" s="5" t="inlineStr">
        <is>
          <t>Virement</t>
        </is>
      </c>
      <c r="J14" s="5" t="inlineStr">
        <is>
          <t>REF-2024-0009</t>
        </is>
      </c>
      <c r="K14" s="5">
        <f>IF(AND(G14="Non",TODAY()&gt;DATE(2025,10,15)),"EN RETARD","")</f>
        <v/>
      </c>
      <c r="L14" s="30">
        <f>IF(K14="EN RETARD",E14*0.05,0)</f>
        <v/>
      </c>
      <c r="M14" s="30">
        <f>E14+L14</f>
        <v/>
      </c>
      <c r="N14" s="40" t="n">
        <v>45563</v>
      </c>
    </row>
    <row r="15" ht="22" customHeight="1">
      <c r="A15" s="9" t="inlineStr">
        <is>
          <t>EMP-004</t>
        </is>
      </c>
      <c r="B15" s="9">
        <f>IFERROR(VLOOKUP(A15,'F01 - _Données Employés'!$A$6:$C$20,2,FALSE),"")</f>
        <v/>
      </c>
      <c r="C15" s="9">
        <f>IFERROR(VLOOKUP(A15,'F01 - _Données Employés'!$A$6:$C$20,3,FALSE),"")</f>
        <v/>
      </c>
      <c r="D15" s="9">
        <f>IFERROR(VLOOKUP(D15,'F04 - 2-Référentiel Avant.'!$A$6:$C$20,3,FALSE),"")</f>
        <v/>
      </c>
      <c r="E15" s="31" t="n">
        <v>22000</v>
      </c>
      <c r="F15" s="9" t="inlineStr">
        <is>
          <t>Octobre</t>
        </is>
      </c>
      <c r="G15" s="9" t="inlineStr">
        <is>
          <t>Oui</t>
        </is>
      </c>
      <c r="H15" s="41" t="n">
        <v>45580</v>
      </c>
      <c r="I15" s="9" t="inlineStr">
        <is>
          <t>Prélèvement automatique</t>
        </is>
      </c>
      <c r="J15" s="9" t="inlineStr">
        <is>
          <t>REF-2024-0010</t>
        </is>
      </c>
      <c r="K15" s="9">
        <f>IF(AND(G15="Non",TODAY()&gt;DATE(2025,11,15)),"EN RETARD","")</f>
        <v/>
      </c>
      <c r="L15" s="31">
        <f>IF(K15="EN RETARD",E15*0.05,0)</f>
        <v/>
      </c>
      <c r="M15" s="31">
        <f>E15+L15</f>
        <v/>
      </c>
      <c r="N15" s="41" t="n">
        <v>45593</v>
      </c>
    </row>
    <row r="16" ht="22" customHeight="1">
      <c r="A16" s="5" t="inlineStr">
        <is>
          <t>EMP-003</t>
        </is>
      </c>
      <c r="B16" s="5">
        <f>IFERROR(VLOOKUP(A16,'F01 - _Données Employés'!$A$6:$C$20,2,FALSE),"")</f>
        <v/>
      </c>
      <c r="C16" s="5">
        <f>IFERROR(VLOOKUP(A16,'F01 - _Données Employés'!$A$6:$C$20,3,FALSE),"")</f>
        <v/>
      </c>
      <c r="D16" s="5">
        <f>IFERROR(VLOOKUP(D16,'F04 - 2-Référentiel Avant.'!$A$6:$C$20,3,FALSE),"")</f>
        <v/>
      </c>
      <c r="E16" s="30" t="n">
        <v>25000</v>
      </c>
      <c r="F16" s="5" t="inlineStr">
        <is>
          <t>Novembre</t>
        </is>
      </c>
      <c r="G16" s="5" t="inlineStr">
        <is>
          <t>Non</t>
        </is>
      </c>
      <c r="H16" s="40" t="n"/>
      <c r="I16" s="5" t="inlineStr">
        <is>
          <t>Virement</t>
        </is>
      </c>
      <c r="J16" s="5" t="inlineStr">
        <is>
          <t>REF-2024-0011</t>
        </is>
      </c>
      <c r="K16" s="5">
        <f>IF(AND(G16="Non",TODAY()&gt;DATE(2025,12,15)),"EN RETARD","")</f>
        <v/>
      </c>
      <c r="L16" s="30">
        <f>IF(K16="EN RETARD",E16*0.05,0)</f>
        <v/>
      </c>
      <c r="M16" s="30">
        <f>E16+L16</f>
        <v/>
      </c>
      <c r="N16" s="40" t="n">
        <v>45624</v>
      </c>
    </row>
    <row r="17" ht="22" customHeight="1">
      <c r="A17" s="9" t="inlineStr">
        <is>
          <t>EMP-006</t>
        </is>
      </c>
      <c r="B17" s="9">
        <f>IFERROR(VLOOKUP(A17,'F01 - _Données Employés'!$A$6:$C$20,2,FALSE),"")</f>
        <v/>
      </c>
      <c r="C17" s="9">
        <f>IFERROR(VLOOKUP(A17,'F01 - _Données Employés'!$A$6:$C$20,3,FALSE),"")</f>
        <v/>
      </c>
      <c r="D17" s="9">
        <f>IFERROR(VLOOKUP(D17,'F04 - 2-Référentiel Avant.'!$A$6:$C$20,3,FALSE),"")</f>
        <v/>
      </c>
      <c r="E17" s="31" t="n">
        <v>19520</v>
      </c>
      <c r="F17" s="9" t="inlineStr">
        <is>
          <t>Décembre</t>
        </is>
      </c>
      <c r="G17" s="9" t="inlineStr">
        <is>
          <t>Oui</t>
        </is>
      </c>
      <c r="H17" s="41" t="n">
        <v>45641</v>
      </c>
      <c r="I17" s="9" t="inlineStr">
        <is>
          <t>Chèque</t>
        </is>
      </c>
      <c r="J17" s="9" t="inlineStr">
        <is>
          <t>REF-2024-0012</t>
        </is>
      </c>
      <c r="K17" s="9">
        <f>IF(AND(G17="Non",TODAY()&gt;DATE(2026,1,15)),"EN RETARD","")</f>
        <v/>
      </c>
      <c r="L17" s="31">
        <f>IF(K17="EN RETARD",E17*0.05,0)</f>
        <v/>
      </c>
      <c r="M17" s="31">
        <f>E17+L17</f>
        <v/>
      </c>
      <c r="N17" s="41" t="n">
        <v>45654</v>
      </c>
    </row>
    <row r="18" ht="22" customHeight="1">
      <c r="A18" s="5" t="inlineStr">
        <is>
          <t>EMP-008</t>
        </is>
      </c>
      <c r="B18" s="5">
        <f>IFERROR(VLOOKUP(A18,'F01 - _Données Employés'!$A$6:$C$20,2,FALSE),"")</f>
        <v/>
      </c>
      <c r="C18" s="5">
        <f>IFERROR(VLOOKUP(A18,'F01 - _Données Employés'!$A$6:$C$20,3,FALSE),"")</f>
        <v/>
      </c>
      <c r="D18" s="5">
        <f>IFERROR(VLOOKUP(D18,'F04 - 2-Référentiel Avant.'!$A$6:$C$20,3,FALSE),"")</f>
        <v/>
      </c>
      <c r="E18" s="30" t="n">
        <v>15000</v>
      </c>
      <c r="F18" s="5" t="inlineStr">
        <is>
          <t>Janvier</t>
        </is>
      </c>
      <c r="G18" s="5" t="inlineStr">
        <is>
          <t>Oui</t>
        </is>
      </c>
      <c r="H18" s="40" t="n">
        <v>45306</v>
      </c>
      <c r="I18" s="5" t="inlineStr">
        <is>
          <t>Virement</t>
        </is>
      </c>
      <c r="J18" s="5" t="inlineStr">
        <is>
          <t>REF-2024-0013</t>
        </is>
      </c>
      <c r="K18" s="5">
        <f>IF(AND(G18="Non",TODAY()&gt;DATE(2025,2,15)),"EN RETARD","")</f>
        <v/>
      </c>
      <c r="L18" s="30">
        <f>IF(K18="EN RETARD",E18*0.05,0)</f>
        <v/>
      </c>
      <c r="M18" s="30">
        <f>E18+L18</f>
        <v/>
      </c>
      <c r="N18" s="40" t="n">
        <v>45319</v>
      </c>
    </row>
    <row r="19" ht="22" customHeight="1">
      <c r="A19" s="9" t="inlineStr">
        <is>
          <t>EMP-001</t>
        </is>
      </c>
      <c r="B19" s="9">
        <f>IFERROR(VLOOKUP(A19,'F01 - _Données Employés'!$A$6:$C$20,2,FALSE),"")</f>
        <v/>
      </c>
      <c r="C19" s="9">
        <f>IFERROR(VLOOKUP(A19,'F01 - _Données Employés'!$A$6:$C$20,3,FALSE),"")</f>
        <v/>
      </c>
      <c r="D19" s="9">
        <f>IFERROR(VLOOKUP(D19,'F04 - 2-Référentiel Avant.'!$A$6:$C$20,3,FALSE),"")</f>
        <v/>
      </c>
      <c r="E19" s="31" t="n">
        <v>22800</v>
      </c>
      <c r="F19" s="9" t="inlineStr">
        <is>
          <t>Février</t>
        </is>
      </c>
      <c r="G19" s="9" t="inlineStr">
        <is>
          <t>Oui</t>
        </is>
      </c>
      <c r="H19" s="41" t="n">
        <v>45337</v>
      </c>
      <c r="I19" s="9" t="inlineStr">
        <is>
          <t>Prélèvement automatique</t>
        </is>
      </c>
      <c r="J19" s="9" t="inlineStr">
        <is>
          <t>REF-2024-0014</t>
        </is>
      </c>
      <c r="K19" s="9">
        <f>IF(AND(G19="Non",TODAY()&gt;DATE(2025,3,15)),"EN RETARD","")</f>
        <v/>
      </c>
      <c r="L19" s="31">
        <f>IF(K19="EN RETARD",E19*0.05,0)</f>
        <v/>
      </c>
      <c r="M19" s="31">
        <f>E19+L19</f>
        <v/>
      </c>
      <c r="N19" s="41" t="n">
        <v>45350</v>
      </c>
    </row>
    <row r="20" ht="22" customHeight="1">
      <c r="A20" s="5" t="inlineStr">
        <is>
          <t>EMP-004</t>
        </is>
      </c>
      <c r="B20" s="5">
        <f>IFERROR(VLOOKUP(A20,'F01 - _Données Employés'!$A$6:$C$20,2,FALSE),"")</f>
        <v/>
      </c>
      <c r="C20" s="5">
        <f>IFERROR(VLOOKUP(A20,'F01 - _Données Employés'!$A$6:$C$20,3,FALSE),"")</f>
        <v/>
      </c>
      <c r="D20" s="5">
        <f>IFERROR(VLOOKUP(D20,'F04 - 2-Référentiel Avant.'!$A$6:$C$20,3,FALSE),"")</f>
        <v/>
      </c>
      <c r="E20" s="30" t="n">
        <v>13200</v>
      </c>
      <c r="F20" s="5" t="inlineStr">
        <is>
          <t>Mars</t>
        </is>
      </c>
      <c r="G20" s="5" t="inlineStr">
        <is>
          <t>Non</t>
        </is>
      </c>
      <c r="H20" s="40" t="n"/>
      <c r="I20" s="5" t="inlineStr">
        <is>
          <t>Virement</t>
        </is>
      </c>
      <c r="J20" s="5" t="inlineStr">
        <is>
          <t>REF-2024-0015</t>
        </is>
      </c>
      <c r="K20" s="5">
        <f>IF(AND(G20="Non",TODAY()&gt;DATE(2025,4,15)),"EN RETARD","")</f>
        <v/>
      </c>
      <c r="L20" s="30">
        <f>IF(K20="EN RETARD",E20*0.05,0)</f>
        <v/>
      </c>
      <c r="M20" s="30">
        <f>E20+L20</f>
        <v/>
      </c>
      <c r="N20" s="40" t="n">
        <v>45379</v>
      </c>
    </row>
    <row r="21" ht="22" customHeight="1">
      <c r="A21" s="9" t="n"/>
      <c r="B21" s="9" t="n"/>
      <c r="C21" s="9" t="n"/>
      <c r="D21" s="9" t="n"/>
      <c r="E21" s="31" t="n"/>
      <c r="F21" s="9" t="n"/>
      <c r="G21" s="9" t="n"/>
      <c r="H21" s="41" t="n"/>
      <c r="I21" s="9" t="n"/>
      <c r="J21" s="9" t="n"/>
      <c r="K21" s="9" t="n"/>
      <c r="L21" s="31" t="n"/>
      <c r="M21" s="31" t="n"/>
      <c r="N21" s="41" t="n"/>
    </row>
    <row r="22" ht="22" customHeight="1">
      <c r="A22" s="5" t="n"/>
      <c r="B22" s="5" t="n"/>
      <c r="C22" s="5" t="n"/>
      <c r="D22" s="5" t="n"/>
      <c r="E22" s="30" t="n"/>
      <c r="F22" s="5" t="n"/>
      <c r="G22" s="5" t="n"/>
      <c r="H22" s="40" t="n"/>
      <c r="I22" s="5" t="n"/>
      <c r="J22" s="5" t="n"/>
      <c r="K22" s="5" t="n"/>
      <c r="L22" s="30" t="n"/>
      <c r="M22" s="30" t="n"/>
      <c r="N22" s="40" t="n"/>
    </row>
    <row r="23" ht="22" customHeight="1">
      <c r="A23" s="9" t="n"/>
      <c r="B23" s="9" t="n"/>
      <c r="C23" s="9" t="n"/>
      <c r="D23" s="9" t="n"/>
      <c r="E23" s="31" t="n"/>
      <c r="F23" s="9" t="n"/>
      <c r="G23" s="9" t="n"/>
      <c r="H23" s="41" t="n"/>
      <c r="I23" s="9" t="n"/>
      <c r="J23" s="9" t="n"/>
      <c r="K23" s="9" t="n"/>
      <c r="L23" s="31" t="n"/>
      <c r="M23" s="31" t="n"/>
      <c r="N23" s="41" t="n"/>
    </row>
    <row r="24" ht="22" customHeight="1">
      <c r="A24" s="5" t="n"/>
      <c r="B24" s="5" t="n"/>
      <c r="C24" s="5" t="n"/>
      <c r="D24" s="5" t="n"/>
      <c r="E24" s="30" t="n"/>
      <c r="F24" s="5" t="n"/>
      <c r="G24" s="5" t="n"/>
      <c r="H24" s="40" t="n"/>
      <c r="I24" s="5" t="n"/>
      <c r="J24" s="5" t="n"/>
      <c r="K24" s="5" t="n"/>
      <c r="L24" s="30" t="n"/>
      <c r="M24" s="30" t="n"/>
      <c r="N24" s="40" t="n"/>
    </row>
    <row r="25" ht="22" customHeight="1">
      <c r="A25" s="9" t="n"/>
      <c r="B25" s="9" t="n"/>
      <c r="C25" s="9" t="n"/>
      <c r="D25" s="9" t="n"/>
      <c r="E25" s="31" t="n"/>
      <c r="F25" s="9" t="n"/>
      <c r="G25" s="9" t="n"/>
      <c r="H25" s="41" t="n"/>
      <c r="I25" s="9" t="n"/>
      <c r="J25" s="9" t="n"/>
      <c r="K25" s="9" t="n"/>
      <c r="L25" s="31" t="n"/>
      <c r="M25" s="31" t="n"/>
      <c r="N25" s="41" t="n"/>
    </row>
    <row r="26" ht="22" customHeight="1">
      <c r="A26" s="5" t="n"/>
      <c r="B26" s="5" t="n"/>
      <c r="C26" s="5" t="n"/>
      <c r="D26" s="5" t="n"/>
      <c r="E26" s="30" t="n"/>
      <c r="F26" s="5" t="n"/>
      <c r="G26" s="5" t="n"/>
      <c r="H26" s="40" t="n"/>
      <c r="I26" s="5" t="n"/>
      <c r="J26" s="5" t="n"/>
      <c r="K26" s="5" t="n"/>
      <c r="L26" s="30" t="n"/>
      <c r="M26" s="30" t="n"/>
      <c r="N26" s="40" t="n"/>
    </row>
    <row r="27" ht="22" customHeight="1">
      <c r="A27" s="9" t="n"/>
      <c r="B27" s="9" t="n"/>
      <c r="C27" s="9" t="n"/>
      <c r="D27" s="9" t="n"/>
      <c r="E27" s="31" t="n"/>
      <c r="F27" s="9" t="n"/>
      <c r="G27" s="9" t="n"/>
      <c r="H27" s="41" t="n"/>
      <c r="I27" s="9" t="n"/>
      <c r="J27" s="9" t="n"/>
      <c r="K27" s="9" t="n"/>
      <c r="L27" s="31" t="n"/>
      <c r="M27" s="31" t="n"/>
      <c r="N27" s="41" t="n"/>
    </row>
    <row r="28" ht="22" customHeight="1">
      <c r="A28" s="5" t="n"/>
      <c r="B28" s="5" t="n"/>
      <c r="C28" s="5" t="n"/>
      <c r="D28" s="5" t="n"/>
      <c r="E28" s="30" t="n"/>
      <c r="F28" s="5" t="n"/>
      <c r="G28" s="5" t="n"/>
      <c r="H28" s="40" t="n"/>
      <c r="I28" s="5" t="n"/>
      <c r="J28" s="5" t="n"/>
      <c r="K28" s="5" t="n"/>
      <c r="L28" s="30" t="n"/>
      <c r="M28" s="30" t="n"/>
      <c r="N28" s="40" t="n"/>
    </row>
    <row r="29" ht="22" customHeight="1">
      <c r="A29" s="9" t="n"/>
      <c r="B29" s="9" t="n"/>
      <c r="C29" s="9" t="n"/>
      <c r="D29" s="9" t="n"/>
      <c r="E29" s="31" t="n"/>
      <c r="F29" s="9" t="n"/>
      <c r="G29" s="9" t="n"/>
      <c r="H29" s="41" t="n"/>
      <c r="I29" s="9" t="n"/>
      <c r="J29" s="9" t="n"/>
      <c r="K29" s="9" t="n"/>
      <c r="L29" s="31" t="n"/>
      <c r="M29" s="31" t="n"/>
      <c r="N29" s="41" t="n"/>
    </row>
    <row r="30" ht="22" customHeight="1">
      <c r="A30" s="5" t="n"/>
      <c r="B30" s="5" t="n"/>
      <c r="C30" s="5" t="n"/>
      <c r="D30" s="5" t="n"/>
      <c r="E30" s="30" t="n"/>
      <c r="F30" s="5" t="n"/>
      <c r="G30" s="5" t="n"/>
      <c r="H30" s="40" t="n"/>
      <c r="I30" s="5" t="n"/>
      <c r="J30" s="5" t="n"/>
      <c r="K30" s="5" t="n"/>
      <c r="L30" s="30" t="n"/>
      <c r="M30" s="30" t="n"/>
      <c r="N30" s="40" t="n"/>
    </row>
    <row r="31" ht="22" customHeight="1">
      <c r="A31" s="9" t="n"/>
      <c r="B31" s="9" t="n"/>
      <c r="C31" s="9" t="n"/>
      <c r="D31" s="9" t="n"/>
      <c r="E31" s="31" t="n"/>
      <c r="F31" s="9" t="n"/>
      <c r="G31" s="9" t="n"/>
      <c r="H31" s="41" t="n"/>
      <c r="I31" s="9" t="n"/>
      <c r="J31" s="9" t="n"/>
      <c r="K31" s="9" t="n"/>
      <c r="L31" s="31" t="n"/>
      <c r="M31" s="31" t="n"/>
      <c r="N31" s="41" t="n"/>
    </row>
    <row r="32" ht="22" customHeight="1">
      <c r="A32" s="5" t="n"/>
      <c r="B32" s="5" t="n"/>
      <c r="C32" s="5" t="n"/>
      <c r="D32" s="5" t="n"/>
      <c r="E32" s="30" t="n"/>
      <c r="F32" s="5" t="n"/>
      <c r="G32" s="5" t="n"/>
      <c r="H32" s="40" t="n"/>
      <c r="I32" s="5" t="n"/>
      <c r="J32" s="5" t="n"/>
      <c r="K32" s="5" t="n"/>
      <c r="L32" s="30" t="n"/>
      <c r="M32" s="30" t="n"/>
      <c r="N32" s="40" t="n"/>
    </row>
    <row r="33" ht="22" customHeight="1">
      <c r="A33" s="9" t="n"/>
      <c r="B33" s="9" t="n"/>
      <c r="C33" s="9" t="n"/>
      <c r="D33" s="9" t="n"/>
      <c r="E33" s="31" t="n"/>
      <c r="F33" s="9" t="n"/>
      <c r="G33" s="9" t="n"/>
      <c r="H33" s="41" t="n"/>
      <c r="I33" s="9" t="n"/>
      <c r="J33" s="9" t="n"/>
      <c r="K33" s="9" t="n"/>
      <c r="L33" s="31" t="n"/>
      <c r="M33" s="31" t="n"/>
      <c r="N33" s="41" t="n"/>
    </row>
    <row r="34" ht="22" customHeight="1">
      <c r="A34" s="5" t="n"/>
      <c r="B34" s="5" t="n"/>
      <c r="C34" s="5" t="n"/>
      <c r="D34" s="5" t="n"/>
      <c r="E34" s="30" t="n"/>
      <c r="F34" s="5" t="n"/>
      <c r="G34" s="5" t="n"/>
      <c r="H34" s="40" t="n"/>
      <c r="I34" s="5" t="n"/>
      <c r="J34" s="5" t="n"/>
      <c r="K34" s="5" t="n"/>
      <c r="L34" s="30" t="n"/>
      <c r="M34" s="30" t="n"/>
      <c r="N34" s="40" t="n"/>
    </row>
    <row r="35" ht="22" customHeight="1">
      <c r="A35" s="9" t="n"/>
      <c r="B35" s="9" t="n"/>
      <c r="C35" s="9" t="n"/>
      <c r="D35" s="9" t="n"/>
      <c r="E35" s="31" t="n"/>
      <c r="F35" s="9" t="n"/>
      <c r="G35" s="9" t="n"/>
      <c r="H35" s="41" t="n"/>
      <c r="I35" s="9" t="n"/>
      <c r="J35" s="9" t="n"/>
      <c r="K35" s="9" t="n"/>
      <c r="L35" s="31" t="n"/>
      <c r="M35" s="31" t="n"/>
      <c r="N35" s="41" t="n"/>
    </row>
    <row r="36" ht="22" customHeight="1">
      <c r="A36" s="5" t="n"/>
      <c r="B36" s="5" t="n"/>
      <c r="C36" s="5" t="n"/>
      <c r="D36" s="5" t="n"/>
      <c r="E36" s="30" t="n"/>
      <c r="F36" s="5" t="n"/>
      <c r="G36" s="5" t="n"/>
      <c r="H36" s="40" t="n"/>
      <c r="I36" s="5" t="n"/>
      <c r="J36" s="5" t="n"/>
      <c r="K36" s="5" t="n"/>
      <c r="L36" s="30" t="n"/>
      <c r="M36" s="30" t="n"/>
      <c r="N36" s="40" t="n"/>
    </row>
    <row r="37" ht="22" customHeight="1">
      <c r="A37" s="9" t="n"/>
      <c r="B37" s="9" t="n"/>
      <c r="C37" s="9" t="n"/>
      <c r="D37" s="9" t="n"/>
      <c r="E37" s="31" t="n"/>
      <c r="F37" s="9" t="n"/>
      <c r="G37" s="9" t="n"/>
      <c r="H37" s="41" t="n"/>
      <c r="I37" s="9" t="n"/>
      <c r="J37" s="9" t="n"/>
      <c r="K37" s="9" t="n"/>
      <c r="L37" s="31" t="n"/>
      <c r="M37" s="31" t="n"/>
      <c r="N37" s="41" t="n"/>
    </row>
    <row r="38" ht="22" customHeight="1">
      <c r="A38" s="5" t="n"/>
      <c r="B38" s="5" t="n"/>
      <c r="C38" s="5" t="n"/>
      <c r="D38" s="5" t="n"/>
      <c r="E38" s="30" t="n"/>
      <c r="F38" s="5" t="n"/>
      <c r="G38" s="5" t="n"/>
      <c r="H38" s="40" t="n"/>
      <c r="I38" s="5" t="n"/>
      <c r="J38" s="5" t="n"/>
      <c r="K38" s="5" t="n"/>
      <c r="L38" s="30" t="n"/>
      <c r="M38" s="30" t="n"/>
      <c r="N38" s="40" t="n"/>
    </row>
    <row r="39" ht="22" customHeight="1">
      <c r="A39" s="9" t="n"/>
      <c r="B39" s="9" t="n"/>
      <c r="C39" s="9" t="n"/>
      <c r="D39" s="9" t="n"/>
      <c r="E39" s="31" t="n"/>
      <c r="F39" s="9" t="n"/>
      <c r="G39" s="9" t="n"/>
      <c r="H39" s="41" t="n"/>
      <c r="I39" s="9" t="n"/>
      <c r="J39" s="9" t="n"/>
      <c r="K39" s="9" t="n"/>
      <c r="L39" s="31" t="n"/>
      <c r="M39" s="31" t="n"/>
      <c r="N39" s="41" t="n"/>
    </row>
    <row r="40" ht="22" customHeight="1">
      <c r="A40" s="5" t="n"/>
      <c r="B40" s="5" t="n"/>
      <c r="C40" s="5" t="n"/>
      <c r="D40" s="5" t="n"/>
      <c r="E40" s="30" t="n"/>
      <c r="F40" s="5" t="n"/>
      <c r="G40" s="5" t="n"/>
      <c r="H40" s="40" t="n"/>
      <c r="I40" s="5" t="n"/>
      <c r="J40" s="5" t="n"/>
      <c r="K40" s="5" t="n"/>
      <c r="L40" s="30" t="n"/>
      <c r="M40" s="30" t="n"/>
      <c r="N40" s="40" t="n"/>
    </row>
    <row r="41" ht="22" customHeight="1">
      <c r="A41" s="9" t="n"/>
      <c r="B41" s="9" t="n"/>
      <c r="C41" s="9" t="n"/>
      <c r="D41" s="9" t="n"/>
      <c r="E41" s="31" t="n"/>
      <c r="F41" s="9" t="n"/>
      <c r="G41" s="9" t="n"/>
      <c r="H41" s="41" t="n"/>
      <c r="I41" s="9" t="n"/>
      <c r="J41" s="9" t="n"/>
      <c r="K41" s="9" t="n"/>
      <c r="L41" s="31" t="n"/>
      <c r="M41" s="31" t="n"/>
      <c r="N41" s="41" t="n"/>
    </row>
    <row r="42" ht="22" customHeight="1">
      <c r="A42" s="5" t="n"/>
      <c r="B42" s="5" t="n"/>
      <c r="C42" s="5" t="n"/>
      <c r="D42" s="5" t="n"/>
      <c r="E42" s="30" t="n"/>
      <c r="F42" s="5" t="n"/>
      <c r="G42" s="5" t="n"/>
      <c r="H42" s="40" t="n"/>
      <c r="I42" s="5" t="n"/>
      <c r="J42" s="5" t="n"/>
      <c r="K42" s="5" t="n"/>
      <c r="L42" s="30" t="n"/>
      <c r="M42" s="30" t="n"/>
      <c r="N42" s="40" t="n"/>
    </row>
    <row r="43" ht="22" customHeight="1">
      <c r="A43" s="9" t="n"/>
      <c r="B43" s="9" t="n"/>
      <c r="C43" s="9" t="n"/>
      <c r="D43" s="9" t="n"/>
      <c r="E43" s="31" t="n"/>
      <c r="F43" s="9" t="n"/>
      <c r="G43" s="9" t="n"/>
      <c r="H43" s="41" t="n"/>
      <c r="I43" s="9" t="n"/>
      <c r="J43" s="9" t="n"/>
      <c r="K43" s="9" t="n"/>
      <c r="L43" s="31" t="n"/>
      <c r="M43" s="31" t="n"/>
      <c r="N43" s="41" t="n"/>
    </row>
    <row r="44" ht="22" customHeight="1">
      <c r="A44" s="5" t="n"/>
      <c r="B44" s="5" t="n"/>
      <c r="C44" s="5" t="n"/>
      <c r="D44" s="5" t="n"/>
      <c r="E44" s="30" t="n"/>
      <c r="F44" s="5" t="n"/>
      <c r="G44" s="5" t="n"/>
      <c r="H44" s="40" t="n"/>
      <c r="I44" s="5" t="n"/>
      <c r="J44" s="5" t="n"/>
      <c r="K44" s="5" t="n"/>
      <c r="L44" s="30" t="n"/>
      <c r="M44" s="30" t="n"/>
      <c r="N44" s="40" t="n"/>
    </row>
    <row r="45" ht="22" customHeight="1">
      <c r="A45" s="9" t="n"/>
      <c r="B45" s="9" t="n"/>
      <c r="C45" s="9" t="n"/>
      <c r="D45" s="9" t="n"/>
      <c r="E45" s="31" t="n"/>
      <c r="F45" s="9" t="n"/>
      <c r="G45" s="9" t="n"/>
      <c r="H45" s="41" t="n"/>
      <c r="I45" s="9" t="n"/>
      <c r="J45" s="9" t="n"/>
      <c r="K45" s="9" t="n"/>
      <c r="L45" s="31" t="n"/>
      <c r="M45" s="31" t="n"/>
      <c r="N45" s="41" t="n"/>
    </row>
    <row r="46" ht="22" customHeight="1">
      <c r="A46" s="5" t="n"/>
      <c r="B46" s="5" t="n"/>
      <c r="C46" s="5" t="n"/>
      <c r="D46" s="5" t="n"/>
      <c r="E46" s="30" t="n"/>
      <c r="F46" s="5" t="n"/>
      <c r="G46" s="5" t="n"/>
      <c r="H46" s="40" t="n"/>
      <c r="I46" s="5" t="n"/>
      <c r="J46" s="5" t="n"/>
      <c r="K46" s="5" t="n"/>
      <c r="L46" s="30" t="n"/>
      <c r="M46" s="30" t="n"/>
      <c r="N46" s="40" t="n"/>
    </row>
    <row r="47" ht="22" customHeight="1">
      <c r="A47" s="9" t="n"/>
      <c r="B47" s="9" t="n"/>
      <c r="C47" s="9" t="n"/>
      <c r="D47" s="9" t="n"/>
      <c r="E47" s="31" t="n"/>
      <c r="F47" s="9" t="n"/>
      <c r="G47" s="9" t="n"/>
      <c r="H47" s="41" t="n"/>
      <c r="I47" s="9" t="n"/>
      <c r="J47" s="9" t="n"/>
      <c r="K47" s="9" t="n"/>
      <c r="L47" s="31" t="n"/>
      <c r="M47" s="31" t="n"/>
      <c r="N47" s="41" t="n"/>
    </row>
    <row r="48" ht="22" customHeight="1">
      <c r="A48" s="5" t="n"/>
      <c r="B48" s="5" t="n"/>
      <c r="C48" s="5" t="n"/>
      <c r="D48" s="5" t="n"/>
      <c r="E48" s="30" t="n"/>
      <c r="F48" s="5" t="n"/>
      <c r="G48" s="5" t="n"/>
      <c r="H48" s="40" t="n"/>
      <c r="I48" s="5" t="n"/>
      <c r="J48" s="5" t="n"/>
      <c r="K48" s="5" t="n"/>
      <c r="L48" s="30" t="n"/>
      <c r="M48" s="30" t="n"/>
      <c r="N48" s="40" t="n"/>
    </row>
    <row r="49" ht="22" customHeight="1">
      <c r="A49" s="9" t="n"/>
      <c r="B49" s="9" t="n"/>
      <c r="C49" s="9" t="n"/>
      <c r="D49" s="9" t="n"/>
      <c r="E49" s="31" t="n"/>
      <c r="F49" s="9" t="n"/>
      <c r="G49" s="9" t="n"/>
      <c r="H49" s="41" t="n"/>
      <c r="I49" s="9" t="n"/>
      <c r="J49" s="9" t="n"/>
      <c r="K49" s="9" t="n"/>
      <c r="L49" s="31" t="n"/>
      <c r="M49" s="31" t="n"/>
      <c r="N49" s="41" t="n"/>
    </row>
    <row r="50" ht="22" customHeight="1">
      <c r="A50" s="5" t="n"/>
      <c r="B50" s="5" t="n"/>
      <c r="C50" s="5" t="n"/>
      <c r="D50" s="5" t="n"/>
      <c r="E50" s="30" t="n"/>
      <c r="F50" s="5" t="n"/>
      <c r="G50" s="5" t="n"/>
      <c r="H50" s="40" t="n"/>
      <c r="I50" s="5" t="n"/>
      <c r="J50" s="5" t="n"/>
      <c r="K50" s="5" t="n"/>
      <c r="L50" s="30" t="n"/>
      <c r="M50" s="30" t="n"/>
      <c r="N50" s="40" t="n"/>
    </row>
    <row r="51" ht="22" customHeight="1">
      <c r="A51" s="9" t="n"/>
      <c r="B51" s="9" t="n"/>
      <c r="C51" s="9" t="n"/>
      <c r="D51" s="9" t="n"/>
      <c r="E51" s="31" t="n"/>
      <c r="F51" s="9" t="n"/>
      <c r="G51" s="9" t="n"/>
      <c r="H51" s="41" t="n"/>
      <c r="I51" s="9" t="n"/>
      <c r="J51" s="9" t="n"/>
      <c r="K51" s="9" t="n"/>
      <c r="L51" s="31" t="n"/>
      <c r="M51" s="31" t="n"/>
      <c r="N51" s="41" t="n"/>
    </row>
    <row r="52" ht="22" customHeight="1">
      <c r="A52" s="5" t="n"/>
      <c r="B52" s="5" t="n"/>
      <c r="C52" s="5" t="n"/>
      <c r="D52" s="5" t="n"/>
      <c r="E52" s="30" t="n"/>
      <c r="F52" s="5" t="n"/>
      <c r="G52" s="5" t="n"/>
      <c r="H52" s="40" t="n"/>
      <c r="I52" s="5" t="n"/>
      <c r="J52" s="5" t="n"/>
      <c r="K52" s="5" t="n"/>
      <c r="L52" s="30" t="n"/>
      <c r="M52" s="30" t="n"/>
      <c r="N52" s="40" t="n"/>
    </row>
    <row r="53" ht="22" customHeight="1">
      <c r="A53" s="9" t="n"/>
      <c r="B53" s="9" t="n"/>
      <c r="C53" s="9" t="n"/>
      <c r="D53" s="9" t="n"/>
      <c r="E53" s="31" t="n"/>
      <c r="F53" s="9" t="n"/>
      <c r="G53" s="9" t="n"/>
      <c r="H53" s="41" t="n"/>
      <c r="I53" s="9" t="n"/>
      <c r="J53" s="9" t="n"/>
      <c r="K53" s="9" t="n"/>
      <c r="L53" s="31" t="n"/>
      <c r="M53" s="31" t="n"/>
      <c r="N53" s="41" t="n"/>
    </row>
    <row r="54" ht="22" customHeight="1">
      <c r="A54" s="5" t="n"/>
      <c r="B54" s="5" t="n"/>
      <c r="C54" s="5" t="n"/>
      <c r="D54" s="5" t="n"/>
      <c r="E54" s="30" t="n"/>
      <c r="F54" s="5" t="n"/>
      <c r="G54" s="5" t="n"/>
      <c r="H54" s="40" t="n"/>
      <c r="I54" s="5" t="n"/>
      <c r="J54" s="5" t="n"/>
      <c r="K54" s="5" t="n"/>
      <c r="L54" s="30" t="n"/>
      <c r="M54" s="30" t="n"/>
      <c r="N54" s="40" t="n"/>
    </row>
    <row r="55" ht="22" customHeight="1">
      <c r="A55" s="9" t="n"/>
      <c r="B55" s="9" t="n"/>
      <c r="C55" s="9" t="n"/>
      <c r="D55" s="9" t="n"/>
      <c r="E55" s="31" t="n"/>
      <c r="F55" s="9" t="n"/>
      <c r="G55" s="9" t="n"/>
      <c r="H55" s="41" t="n"/>
      <c r="I55" s="9" t="n"/>
      <c r="J55" s="9" t="n"/>
      <c r="K55" s="9" t="n"/>
      <c r="L55" s="31" t="n"/>
      <c r="M55" s="31" t="n"/>
      <c r="N55" s="41" t="n"/>
    </row>
    <row r="56" ht="22" customHeight="1">
      <c r="A56" s="5" t="n"/>
      <c r="B56" s="5" t="n"/>
      <c r="C56" s="5" t="n"/>
      <c r="D56" s="5" t="n"/>
      <c r="E56" s="30" t="n"/>
      <c r="F56" s="5" t="n"/>
      <c r="G56" s="5" t="n"/>
      <c r="H56" s="40" t="n"/>
      <c r="I56" s="5" t="n"/>
      <c r="J56" s="5" t="n"/>
      <c r="K56" s="5" t="n"/>
      <c r="L56" s="30" t="n"/>
      <c r="M56" s="30" t="n"/>
      <c r="N56" s="40" t="n"/>
    </row>
    <row r="57" ht="22" customHeight="1">
      <c r="A57" s="9" t="n"/>
      <c r="B57" s="9" t="n"/>
      <c r="C57" s="9" t="n"/>
      <c r="D57" s="9" t="n"/>
      <c r="E57" s="31" t="n"/>
      <c r="F57" s="9" t="n"/>
      <c r="G57" s="9" t="n"/>
      <c r="H57" s="41" t="n"/>
      <c r="I57" s="9" t="n"/>
      <c r="J57" s="9" t="n"/>
      <c r="K57" s="9" t="n"/>
      <c r="L57" s="31" t="n"/>
      <c r="M57" s="31" t="n"/>
      <c r="N57" s="41" t="n"/>
    </row>
    <row r="58" ht="22" customHeight="1">
      <c r="A58" s="5" t="n"/>
      <c r="B58" s="5" t="n"/>
      <c r="C58" s="5" t="n"/>
      <c r="D58" s="5" t="n"/>
      <c r="E58" s="30" t="n"/>
      <c r="F58" s="5" t="n"/>
      <c r="G58" s="5" t="n"/>
      <c r="H58" s="40" t="n"/>
      <c r="I58" s="5" t="n"/>
      <c r="J58" s="5" t="n"/>
      <c r="K58" s="5" t="n"/>
      <c r="L58" s="30" t="n"/>
      <c r="M58" s="30" t="n"/>
      <c r="N58" s="40" t="n"/>
    </row>
    <row r="59" ht="22" customHeight="1">
      <c r="A59" s="9" t="n"/>
      <c r="B59" s="9" t="n"/>
      <c r="C59" s="9" t="n"/>
      <c r="D59" s="9" t="n"/>
      <c r="E59" s="31" t="n"/>
      <c r="F59" s="9" t="n"/>
      <c r="G59" s="9" t="n"/>
      <c r="H59" s="41" t="n"/>
      <c r="I59" s="9" t="n"/>
      <c r="J59" s="9" t="n"/>
      <c r="K59" s="9" t="n"/>
      <c r="L59" s="31" t="n"/>
      <c r="M59" s="31" t="n"/>
      <c r="N59" s="41" t="n"/>
    </row>
    <row r="60" ht="22" customHeight="1">
      <c r="A60" s="5" t="n"/>
      <c r="B60" s="5" t="n"/>
      <c r="C60" s="5" t="n"/>
      <c r="D60" s="5" t="n"/>
      <c r="E60" s="30" t="n"/>
      <c r="F60" s="5" t="n"/>
      <c r="G60" s="5" t="n"/>
      <c r="H60" s="40" t="n"/>
      <c r="I60" s="5" t="n"/>
      <c r="J60" s="5" t="n"/>
      <c r="K60" s="5" t="n"/>
      <c r="L60" s="30" t="n"/>
      <c r="M60" s="30" t="n"/>
      <c r="N60" s="40" t="n"/>
    </row>
    <row r="61" ht="22" customHeight="1">
      <c r="A61" s="9" t="n"/>
      <c r="B61" s="9" t="n"/>
      <c r="C61" s="9" t="n"/>
      <c r="D61" s="9" t="n"/>
      <c r="E61" s="31" t="n"/>
      <c r="F61" s="9" t="n"/>
      <c r="G61" s="9" t="n"/>
      <c r="H61" s="41" t="n"/>
      <c r="I61" s="9" t="n"/>
      <c r="J61" s="9" t="n"/>
      <c r="K61" s="9" t="n"/>
      <c r="L61" s="31" t="n"/>
      <c r="M61" s="31" t="n"/>
      <c r="N61" s="41" t="n"/>
    </row>
    <row r="62" ht="22" customHeight="1">
      <c r="A62" s="5" t="n"/>
      <c r="B62" s="5" t="n"/>
      <c r="C62" s="5" t="n"/>
      <c r="D62" s="5" t="n"/>
      <c r="E62" s="30" t="n"/>
      <c r="F62" s="5" t="n"/>
      <c r="G62" s="5" t="n"/>
      <c r="H62" s="40" t="n"/>
      <c r="I62" s="5" t="n"/>
      <c r="J62" s="5" t="n"/>
      <c r="K62" s="5" t="n"/>
      <c r="L62" s="30" t="n"/>
      <c r="M62" s="30" t="n"/>
      <c r="N62" s="40" t="n"/>
    </row>
    <row r="63" ht="22" customHeight="1">
      <c r="A63" s="9" t="n"/>
      <c r="B63" s="9" t="n"/>
      <c r="C63" s="9" t="n"/>
      <c r="D63" s="9" t="n"/>
      <c r="E63" s="31" t="n"/>
      <c r="F63" s="9" t="n"/>
      <c r="G63" s="9" t="n"/>
      <c r="H63" s="41" t="n"/>
      <c r="I63" s="9" t="n"/>
      <c r="J63" s="9" t="n"/>
      <c r="K63" s="9" t="n"/>
      <c r="L63" s="31" t="n"/>
      <c r="M63" s="31" t="n"/>
      <c r="N63" s="41" t="n"/>
    </row>
    <row r="64" ht="22" customHeight="1">
      <c r="A64" s="5" t="n"/>
      <c r="B64" s="5" t="n"/>
      <c r="C64" s="5" t="n"/>
      <c r="D64" s="5" t="n"/>
      <c r="E64" s="30" t="n"/>
      <c r="F64" s="5" t="n"/>
      <c r="G64" s="5" t="n"/>
      <c r="H64" s="40" t="n"/>
      <c r="I64" s="5" t="n"/>
      <c r="J64" s="5" t="n"/>
      <c r="K64" s="5" t="n"/>
      <c r="L64" s="30" t="n"/>
      <c r="M64" s="30" t="n"/>
      <c r="N64" s="40" t="n"/>
    </row>
    <row r="65" ht="22" customHeight="1">
      <c r="A65" s="9" t="n"/>
      <c r="B65" s="9" t="n"/>
      <c r="C65" s="9" t="n"/>
      <c r="D65" s="9" t="n"/>
      <c r="E65" s="31" t="n"/>
      <c r="F65" s="9" t="n"/>
      <c r="G65" s="9" t="n"/>
      <c r="H65" s="41" t="n"/>
      <c r="I65" s="9" t="n"/>
      <c r="J65" s="9" t="n"/>
      <c r="K65" s="9" t="n"/>
      <c r="L65" s="31" t="n"/>
      <c r="M65" s="31" t="n"/>
      <c r="N65" s="41" t="n"/>
    </row>
    <row r="66" ht="22" customHeight="1">
      <c r="A66" s="5" t="n"/>
      <c r="B66" s="5" t="n"/>
      <c r="C66" s="5" t="n"/>
      <c r="D66" s="5" t="n"/>
      <c r="E66" s="30" t="n"/>
      <c r="F66" s="5" t="n"/>
      <c r="G66" s="5" t="n"/>
      <c r="H66" s="40" t="n"/>
      <c r="I66" s="5" t="n"/>
      <c r="J66" s="5" t="n"/>
      <c r="K66" s="5" t="n"/>
      <c r="L66" s="30" t="n"/>
      <c r="M66" s="30" t="n"/>
      <c r="N66" s="40" t="n"/>
    </row>
    <row r="67" ht="22" customHeight="1">
      <c r="A67" s="9" t="n"/>
      <c r="B67" s="9" t="n"/>
      <c r="C67" s="9" t="n"/>
      <c r="D67" s="9" t="n"/>
      <c r="E67" s="31" t="n"/>
      <c r="F67" s="9" t="n"/>
      <c r="G67" s="9" t="n"/>
      <c r="H67" s="41" t="n"/>
      <c r="I67" s="9" t="n"/>
      <c r="J67" s="9" t="n"/>
      <c r="K67" s="9" t="n"/>
      <c r="L67" s="31" t="n"/>
      <c r="M67" s="31" t="n"/>
      <c r="N67" s="41" t="n"/>
    </row>
    <row r="68" ht="22" customHeight="1">
      <c r="A68" s="5" t="n"/>
      <c r="B68" s="5" t="n"/>
      <c r="C68" s="5" t="n"/>
      <c r="D68" s="5" t="n"/>
      <c r="E68" s="30" t="n"/>
      <c r="F68" s="5" t="n"/>
      <c r="G68" s="5" t="n"/>
      <c r="H68" s="40" t="n"/>
      <c r="I68" s="5" t="n"/>
      <c r="J68" s="5" t="n"/>
      <c r="K68" s="5" t="n"/>
      <c r="L68" s="30" t="n"/>
      <c r="M68" s="30" t="n"/>
      <c r="N68" s="40" t="n"/>
    </row>
    <row r="69" ht="22" customHeight="1">
      <c r="A69" s="9" t="n"/>
      <c r="B69" s="9" t="n"/>
      <c r="C69" s="9" t="n"/>
      <c r="D69" s="9" t="n"/>
      <c r="E69" s="31" t="n"/>
      <c r="F69" s="9" t="n"/>
      <c r="G69" s="9" t="n"/>
      <c r="H69" s="41" t="n"/>
      <c r="I69" s="9" t="n"/>
      <c r="J69" s="9" t="n"/>
      <c r="K69" s="9" t="n"/>
      <c r="L69" s="31" t="n"/>
      <c r="M69" s="31" t="n"/>
      <c r="N69" s="41" t="n"/>
    </row>
    <row r="70" ht="22" customHeight="1">
      <c r="A70" s="5" t="n"/>
      <c r="B70" s="5" t="n"/>
      <c r="C70" s="5" t="n"/>
      <c r="D70" s="5" t="n"/>
      <c r="E70" s="30" t="n"/>
      <c r="F70" s="5" t="n"/>
      <c r="G70" s="5" t="n"/>
      <c r="H70" s="40" t="n"/>
      <c r="I70" s="5" t="n"/>
      <c r="J70" s="5" t="n"/>
      <c r="K70" s="5" t="n"/>
      <c r="L70" s="30" t="n"/>
      <c r="M70" s="30" t="n"/>
      <c r="N70" s="40" t="n"/>
    </row>
    <row r="71" ht="22" customHeight="1">
      <c r="A71" s="9" t="n"/>
      <c r="B71" s="9" t="n"/>
      <c r="C71" s="9" t="n"/>
      <c r="D71" s="9" t="n"/>
      <c r="E71" s="31" t="n"/>
      <c r="F71" s="9" t="n"/>
      <c r="G71" s="9" t="n"/>
      <c r="H71" s="41" t="n"/>
      <c r="I71" s="9" t="n"/>
      <c r="J71" s="9" t="n"/>
      <c r="K71" s="9" t="n"/>
      <c r="L71" s="31" t="n"/>
      <c r="M71" s="31" t="n"/>
      <c r="N71" s="41" t="n"/>
    </row>
    <row r="72" ht="22" customHeight="1">
      <c r="A72" s="5" t="n"/>
      <c r="B72" s="5" t="n"/>
      <c r="C72" s="5" t="n"/>
      <c r="D72" s="5" t="n"/>
      <c r="E72" s="30" t="n"/>
      <c r="F72" s="5" t="n"/>
      <c r="G72" s="5" t="n"/>
      <c r="H72" s="40" t="n"/>
      <c r="I72" s="5" t="n"/>
      <c r="J72" s="5" t="n"/>
      <c r="K72" s="5" t="n"/>
      <c r="L72" s="30" t="n"/>
      <c r="M72" s="30" t="n"/>
      <c r="N72" s="40" t="n"/>
    </row>
    <row r="73" ht="22" customHeight="1">
      <c r="A73" s="9" t="n"/>
      <c r="B73" s="9" t="n"/>
      <c r="C73" s="9" t="n"/>
      <c r="D73" s="9" t="n"/>
      <c r="E73" s="31" t="n"/>
      <c r="F73" s="9" t="n"/>
      <c r="G73" s="9" t="n"/>
      <c r="H73" s="41" t="n"/>
      <c r="I73" s="9" t="n"/>
      <c r="J73" s="9" t="n"/>
      <c r="K73" s="9" t="n"/>
      <c r="L73" s="31" t="n"/>
      <c r="M73" s="31" t="n"/>
      <c r="N73" s="41" t="n"/>
    </row>
    <row r="74" ht="22" customHeight="1">
      <c r="A74" s="5" t="n"/>
      <c r="B74" s="5" t="n"/>
      <c r="C74" s="5" t="n"/>
      <c r="D74" s="5" t="n"/>
      <c r="E74" s="30" t="n"/>
      <c r="F74" s="5" t="n"/>
      <c r="G74" s="5" t="n"/>
      <c r="H74" s="40" t="n"/>
      <c r="I74" s="5" t="n"/>
      <c r="J74" s="5" t="n"/>
      <c r="K74" s="5" t="n"/>
      <c r="L74" s="30" t="n"/>
      <c r="M74" s="30" t="n"/>
      <c r="N74" s="40" t="n"/>
    </row>
    <row r="75" ht="22" customHeight="1">
      <c r="A75" s="9" t="n"/>
      <c r="B75" s="9" t="n"/>
      <c r="C75" s="9" t="n"/>
      <c r="D75" s="9" t="n"/>
      <c r="E75" s="31" t="n"/>
      <c r="F75" s="9" t="n"/>
      <c r="G75" s="9" t="n"/>
      <c r="H75" s="41" t="n"/>
      <c r="I75" s="9" t="n"/>
      <c r="J75" s="9" t="n"/>
      <c r="K75" s="9" t="n"/>
      <c r="L75" s="31" t="n"/>
      <c r="M75" s="31" t="n"/>
      <c r="N75" s="41" t="n"/>
    </row>
    <row r="76" ht="22" customHeight="1">
      <c r="A76" s="5" t="n"/>
      <c r="B76" s="5" t="n"/>
      <c r="C76" s="5" t="n"/>
      <c r="D76" s="5" t="n"/>
      <c r="E76" s="30" t="n"/>
      <c r="F76" s="5" t="n"/>
      <c r="G76" s="5" t="n"/>
      <c r="H76" s="40" t="n"/>
      <c r="I76" s="5" t="n"/>
      <c r="J76" s="5" t="n"/>
      <c r="K76" s="5" t="n"/>
      <c r="L76" s="30" t="n"/>
      <c r="M76" s="30" t="n"/>
      <c r="N76" s="40" t="n"/>
    </row>
    <row r="77" ht="22" customHeight="1">
      <c r="A77" s="9" t="n"/>
      <c r="B77" s="9" t="n"/>
      <c r="C77" s="9" t="n"/>
      <c r="D77" s="9" t="n"/>
      <c r="E77" s="31" t="n"/>
      <c r="F77" s="9" t="n"/>
      <c r="G77" s="9" t="n"/>
      <c r="H77" s="41" t="n"/>
      <c r="I77" s="9" t="n"/>
      <c r="J77" s="9" t="n"/>
      <c r="K77" s="9" t="n"/>
      <c r="L77" s="31" t="n"/>
      <c r="M77" s="31" t="n"/>
      <c r="N77" s="41" t="n"/>
    </row>
    <row r="78" ht="22" customHeight="1">
      <c r="A78" s="5" t="n"/>
      <c r="B78" s="5" t="n"/>
      <c r="C78" s="5" t="n"/>
      <c r="D78" s="5" t="n"/>
      <c r="E78" s="30" t="n"/>
      <c r="F78" s="5" t="n"/>
      <c r="G78" s="5" t="n"/>
      <c r="H78" s="40" t="n"/>
      <c r="I78" s="5" t="n"/>
      <c r="J78" s="5" t="n"/>
      <c r="K78" s="5" t="n"/>
      <c r="L78" s="30" t="n"/>
      <c r="M78" s="30" t="n"/>
      <c r="N78" s="40" t="n"/>
    </row>
    <row r="79" ht="22" customHeight="1">
      <c r="A79" s="9" t="n"/>
      <c r="B79" s="9" t="n"/>
      <c r="C79" s="9" t="n"/>
      <c r="D79" s="9" t="n"/>
      <c r="E79" s="31" t="n"/>
      <c r="F79" s="9" t="n"/>
      <c r="G79" s="9" t="n"/>
      <c r="H79" s="41" t="n"/>
      <c r="I79" s="9" t="n"/>
      <c r="J79" s="9" t="n"/>
      <c r="K79" s="9" t="n"/>
      <c r="L79" s="31" t="n"/>
      <c r="M79" s="31" t="n"/>
      <c r="N79" s="41" t="n"/>
    </row>
    <row r="80" ht="22" customHeight="1">
      <c r="A80" s="5" t="n"/>
      <c r="B80" s="5" t="n"/>
      <c r="C80" s="5" t="n"/>
      <c r="D80" s="5" t="n"/>
      <c r="E80" s="30" t="n"/>
      <c r="F80" s="5" t="n"/>
      <c r="G80" s="5" t="n"/>
      <c r="H80" s="40" t="n"/>
      <c r="I80" s="5" t="n"/>
      <c r="J80" s="5" t="n"/>
      <c r="K80" s="5" t="n"/>
      <c r="L80" s="30" t="n"/>
      <c r="M80" s="30" t="n"/>
      <c r="N80" s="40" t="n"/>
    </row>
    <row r="81" ht="22" customHeight="1">
      <c r="A81" s="9" t="n"/>
      <c r="B81" s="9" t="n"/>
      <c r="C81" s="9" t="n"/>
      <c r="D81" s="9" t="n"/>
      <c r="E81" s="31" t="n"/>
      <c r="F81" s="9" t="n"/>
      <c r="G81" s="9" t="n"/>
      <c r="H81" s="41" t="n"/>
      <c r="I81" s="9" t="n"/>
      <c r="J81" s="9" t="n"/>
      <c r="K81" s="9" t="n"/>
      <c r="L81" s="31" t="n"/>
      <c r="M81" s="31" t="n"/>
      <c r="N81" s="41" t="n"/>
    </row>
    <row r="82" ht="22" customHeight="1">
      <c r="A82" s="5" t="n"/>
      <c r="B82" s="5" t="n"/>
      <c r="C82" s="5" t="n"/>
      <c r="D82" s="5" t="n"/>
      <c r="E82" s="30" t="n"/>
      <c r="F82" s="5" t="n"/>
      <c r="G82" s="5" t="n"/>
      <c r="H82" s="40" t="n"/>
      <c r="I82" s="5" t="n"/>
      <c r="J82" s="5" t="n"/>
      <c r="K82" s="5" t="n"/>
      <c r="L82" s="30" t="n"/>
      <c r="M82" s="30" t="n"/>
      <c r="N82" s="40" t="n"/>
    </row>
    <row r="83" ht="22" customHeight="1">
      <c r="A83" s="9" t="n"/>
      <c r="B83" s="9" t="n"/>
      <c r="C83" s="9" t="n"/>
      <c r="D83" s="9" t="n"/>
      <c r="E83" s="31" t="n"/>
      <c r="F83" s="9" t="n"/>
      <c r="G83" s="9" t="n"/>
      <c r="H83" s="41" t="n"/>
      <c r="I83" s="9" t="n"/>
      <c r="J83" s="9" t="n"/>
      <c r="K83" s="9" t="n"/>
      <c r="L83" s="31" t="n"/>
      <c r="M83" s="31" t="n"/>
      <c r="N83" s="41" t="n"/>
    </row>
    <row r="84" ht="22" customHeight="1">
      <c r="A84" s="5" t="n"/>
      <c r="B84" s="5" t="n"/>
      <c r="C84" s="5" t="n"/>
      <c r="D84" s="5" t="n"/>
      <c r="E84" s="30" t="n"/>
      <c r="F84" s="5" t="n"/>
      <c r="G84" s="5" t="n"/>
      <c r="H84" s="40" t="n"/>
      <c r="I84" s="5" t="n"/>
      <c r="J84" s="5" t="n"/>
      <c r="K84" s="5" t="n"/>
      <c r="L84" s="30" t="n"/>
      <c r="M84" s="30" t="n"/>
      <c r="N84" s="40" t="n"/>
    </row>
    <row r="85" ht="22" customHeight="1">
      <c r="A85" s="9" t="n"/>
      <c r="B85" s="9" t="n"/>
      <c r="C85" s="9" t="n"/>
      <c r="D85" s="9" t="n"/>
      <c r="E85" s="31" t="n"/>
      <c r="F85" s="9" t="n"/>
      <c r="G85" s="9" t="n"/>
      <c r="H85" s="41" t="n"/>
      <c r="I85" s="9" t="n"/>
      <c r="J85" s="9" t="n"/>
      <c r="K85" s="9" t="n"/>
      <c r="L85" s="31" t="n"/>
      <c r="M85" s="31" t="n"/>
      <c r="N85" s="41" t="n"/>
    </row>
    <row r="86" ht="22" customHeight="1">
      <c r="A86" s="5" t="n"/>
      <c r="B86" s="5" t="n"/>
      <c r="C86" s="5" t="n"/>
      <c r="D86" s="5" t="n"/>
      <c r="E86" s="30" t="n"/>
      <c r="F86" s="5" t="n"/>
      <c r="G86" s="5" t="n"/>
      <c r="H86" s="40" t="n"/>
      <c r="I86" s="5" t="n"/>
      <c r="J86" s="5" t="n"/>
      <c r="K86" s="5" t="n"/>
      <c r="L86" s="30" t="n"/>
      <c r="M86" s="30" t="n"/>
      <c r="N86" s="40" t="n"/>
    </row>
    <row r="87" ht="22" customHeight="1">
      <c r="A87" s="9" t="n"/>
      <c r="B87" s="9" t="n"/>
      <c r="C87" s="9" t="n"/>
      <c r="D87" s="9" t="n"/>
      <c r="E87" s="31" t="n"/>
      <c r="F87" s="9" t="n"/>
      <c r="G87" s="9" t="n"/>
      <c r="H87" s="41" t="n"/>
      <c r="I87" s="9" t="n"/>
      <c r="J87" s="9" t="n"/>
      <c r="K87" s="9" t="n"/>
      <c r="L87" s="31" t="n"/>
      <c r="M87" s="31" t="n"/>
      <c r="N87" s="41" t="n"/>
    </row>
    <row r="88" ht="22" customHeight="1">
      <c r="A88" s="5" t="n"/>
      <c r="B88" s="5" t="n"/>
      <c r="C88" s="5" t="n"/>
      <c r="D88" s="5" t="n"/>
      <c r="E88" s="30" t="n"/>
      <c r="F88" s="5" t="n"/>
      <c r="G88" s="5" t="n"/>
      <c r="H88" s="40" t="n"/>
      <c r="I88" s="5" t="n"/>
      <c r="J88" s="5" t="n"/>
      <c r="K88" s="5" t="n"/>
      <c r="L88" s="30" t="n"/>
      <c r="M88" s="30" t="n"/>
      <c r="N88" s="40" t="n"/>
    </row>
    <row r="89" ht="22" customHeight="1">
      <c r="A89" s="9" t="n"/>
      <c r="B89" s="9" t="n"/>
      <c r="C89" s="9" t="n"/>
      <c r="D89" s="9" t="n"/>
      <c r="E89" s="31" t="n"/>
      <c r="F89" s="9" t="n"/>
      <c r="G89" s="9" t="n"/>
      <c r="H89" s="41" t="n"/>
      <c r="I89" s="9" t="n"/>
      <c r="J89" s="9" t="n"/>
      <c r="K89" s="9" t="n"/>
      <c r="L89" s="31" t="n"/>
      <c r="M89" s="31" t="n"/>
      <c r="N89" s="41" t="n"/>
    </row>
    <row r="90" ht="22" customHeight="1">
      <c r="A90" s="5" t="n"/>
      <c r="B90" s="5" t="n"/>
      <c r="C90" s="5" t="n"/>
      <c r="D90" s="5" t="n"/>
      <c r="E90" s="30" t="n"/>
      <c r="F90" s="5" t="n"/>
      <c r="G90" s="5" t="n"/>
      <c r="H90" s="40" t="n"/>
      <c r="I90" s="5" t="n"/>
      <c r="J90" s="5" t="n"/>
      <c r="K90" s="5" t="n"/>
      <c r="L90" s="30" t="n"/>
      <c r="M90" s="30" t="n"/>
      <c r="N90" s="40" t="n"/>
    </row>
    <row r="91" ht="22" customHeight="1">
      <c r="A91" s="9" t="n"/>
      <c r="B91" s="9" t="n"/>
      <c r="C91" s="9" t="n"/>
      <c r="D91" s="9" t="n"/>
      <c r="E91" s="31" t="n"/>
      <c r="F91" s="9" t="n"/>
      <c r="G91" s="9" t="n"/>
      <c r="H91" s="41" t="n"/>
      <c r="I91" s="9" t="n"/>
      <c r="J91" s="9" t="n"/>
      <c r="K91" s="9" t="n"/>
      <c r="L91" s="31" t="n"/>
      <c r="M91" s="31" t="n"/>
      <c r="N91" s="41" t="n"/>
    </row>
    <row r="92" ht="22" customHeight="1">
      <c r="A92" s="5" t="n"/>
      <c r="B92" s="5" t="n"/>
      <c r="C92" s="5" t="n"/>
      <c r="D92" s="5" t="n"/>
      <c r="E92" s="30" t="n"/>
      <c r="F92" s="5" t="n"/>
      <c r="G92" s="5" t="n"/>
      <c r="H92" s="40" t="n"/>
      <c r="I92" s="5" t="n"/>
      <c r="J92" s="5" t="n"/>
      <c r="K92" s="5" t="n"/>
      <c r="L92" s="30" t="n"/>
      <c r="M92" s="30" t="n"/>
      <c r="N92" s="40" t="n"/>
    </row>
    <row r="93" ht="22" customHeight="1">
      <c r="A93" s="9" t="n"/>
      <c r="B93" s="9" t="n"/>
      <c r="C93" s="9" t="n"/>
      <c r="D93" s="9" t="n"/>
      <c r="E93" s="31" t="n"/>
      <c r="F93" s="9" t="n"/>
      <c r="G93" s="9" t="n"/>
      <c r="H93" s="41" t="n"/>
      <c r="I93" s="9" t="n"/>
      <c r="J93" s="9" t="n"/>
      <c r="K93" s="9" t="n"/>
      <c r="L93" s="31" t="n"/>
      <c r="M93" s="31" t="n"/>
      <c r="N93" s="41" t="n"/>
    </row>
    <row r="94" ht="22" customHeight="1">
      <c r="A94" s="5" t="n"/>
      <c r="B94" s="5" t="n"/>
      <c r="C94" s="5" t="n"/>
      <c r="D94" s="5" t="n"/>
      <c r="E94" s="30" t="n"/>
      <c r="F94" s="5" t="n"/>
      <c r="G94" s="5" t="n"/>
      <c r="H94" s="40" t="n"/>
      <c r="I94" s="5" t="n"/>
      <c r="J94" s="5" t="n"/>
      <c r="K94" s="5" t="n"/>
      <c r="L94" s="30" t="n"/>
      <c r="M94" s="30" t="n"/>
      <c r="N94" s="40" t="n"/>
    </row>
    <row r="95" ht="22" customHeight="1">
      <c r="A95" s="9" t="n"/>
      <c r="B95" s="9" t="n"/>
      <c r="C95" s="9" t="n"/>
      <c r="D95" s="9" t="n"/>
      <c r="E95" s="31" t="n"/>
      <c r="F95" s="9" t="n"/>
      <c r="G95" s="9" t="n"/>
      <c r="H95" s="41" t="n"/>
      <c r="I95" s="9" t="n"/>
      <c r="J95" s="9" t="n"/>
      <c r="K95" s="9" t="n"/>
      <c r="L95" s="31" t="n"/>
      <c r="M95" s="31" t="n"/>
      <c r="N95" s="41" t="n"/>
    </row>
    <row r="96" ht="22" customHeight="1">
      <c r="A96" s="5" t="n"/>
      <c r="B96" s="5" t="n"/>
      <c r="C96" s="5" t="n"/>
      <c r="D96" s="5" t="n"/>
      <c r="E96" s="30" t="n"/>
      <c r="F96" s="5" t="n"/>
      <c r="G96" s="5" t="n"/>
      <c r="H96" s="40" t="n"/>
      <c r="I96" s="5" t="n"/>
      <c r="J96" s="5" t="n"/>
      <c r="K96" s="5" t="n"/>
      <c r="L96" s="30" t="n"/>
      <c r="M96" s="30" t="n"/>
      <c r="N96" s="40" t="n"/>
    </row>
    <row r="97" ht="22" customHeight="1">
      <c r="A97" s="9" t="n"/>
      <c r="B97" s="9" t="n"/>
      <c r="C97" s="9" t="n"/>
      <c r="D97" s="9" t="n"/>
      <c r="E97" s="31" t="n"/>
      <c r="F97" s="9" t="n"/>
      <c r="G97" s="9" t="n"/>
      <c r="H97" s="41" t="n"/>
      <c r="I97" s="9" t="n"/>
      <c r="J97" s="9" t="n"/>
      <c r="K97" s="9" t="n"/>
      <c r="L97" s="31" t="n"/>
      <c r="M97" s="31" t="n"/>
      <c r="N97" s="41" t="n"/>
    </row>
    <row r="98" ht="22" customHeight="1">
      <c r="A98" s="5" t="n"/>
      <c r="B98" s="5" t="n"/>
      <c r="C98" s="5" t="n"/>
      <c r="D98" s="5" t="n"/>
      <c r="E98" s="30" t="n"/>
      <c r="F98" s="5" t="n"/>
      <c r="G98" s="5" t="n"/>
      <c r="H98" s="40" t="n"/>
      <c r="I98" s="5" t="n"/>
      <c r="J98" s="5" t="n"/>
      <c r="K98" s="5" t="n"/>
      <c r="L98" s="30" t="n"/>
      <c r="M98" s="30" t="n"/>
      <c r="N98" s="40" t="n"/>
    </row>
    <row r="99" ht="22" customHeight="1">
      <c r="A99" s="9" t="n"/>
      <c r="B99" s="9" t="n"/>
      <c r="C99" s="9" t="n"/>
      <c r="D99" s="9" t="n"/>
      <c r="E99" s="31" t="n"/>
      <c r="F99" s="9" t="n"/>
      <c r="G99" s="9" t="n"/>
      <c r="H99" s="41" t="n"/>
      <c r="I99" s="9" t="n"/>
      <c r="J99" s="9" t="n"/>
      <c r="K99" s="9" t="n"/>
      <c r="L99" s="31" t="n"/>
      <c r="M99" s="31" t="n"/>
      <c r="N99" s="41" t="n"/>
    </row>
    <row r="100" ht="22" customHeight="1">
      <c r="A100" s="5" t="n"/>
      <c r="B100" s="5" t="n"/>
      <c r="C100" s="5" t="n"/>
      <c r="D100" s="5" t="n"/>
      <c r="E100" s="30" t="n"/>
      <c r="F100" s="5" t="n"/>
      <c r="G100" s="5" t="n"/>
      <c r="H100" s="40" t="n"/>
      <c r="I100" s="5" t="n"/>
      <c r="J100" s="5" t="n"/>
      <c r="K100" s="5" t="n"/>
      <c r="L100" s="30" t="n"/>
      <c r="M100" s="30" t="n"/>
      <c r="N100" s="40" t="n"/>
    </row>
    <row r="101" ht="22" customHeight="1">
      <c r="A101" s="9" t="n"/>
      <c r="B101" s="9" t="n"/>
      <c r="C101" s="9" t="n"/>
      <c r="D101" s="9" t="n"/>
      <c r="E101" s="31" t="n"/>
      <c r="F101" s="9" t="n"/>
      <c r="G101" s="9" t="n"/>
      <c r="H101" s="41" t="n"/>
      <c r="I101" s="9" t="n"/>
      <c r="J101" s="9" t="n"/>
      <c r="K101" s="9" t="n"/>
      <c r="L101" s="31" t="n"/>
      <c r="M101" s="31" t="n"/>
      <c r="N101" s="41" t="n"/>
    </row>
    <row r="102" ht="22" customHeight="1">
      <c r="A102" s="5" t="n"/>
      <c r="B102" s="5" t="n"/>
      <c r="C102" s="5" t="n"/>
      <c r="D102" s="5" t="n"/>
      <c r="E102" s="30" t="n"/>
      <c r="F102" s="5" t="n"/>
      <c r="G102" s="5" t="n"/>
      <c r="H102" s="40" t="n"/>
      <c r="I102" s="5" t="n"/>
      <c r="J102" s="5" t="n"/>
      <c r="K102" s="5" t="n"/>
      <c r="L102" s="30" t="n"/>
      <c r="M102" s="30" t="n"/>
      <c r="N102" s="40" t="n"/>
    </row>
    <row r="103" ht="22" customHeight="1">
      <c r="A103" s="9" t="n"/>
      <c r="B103" s="9" t="n"/>
      <c r="C103" s="9" t="n"/>
      <c r="D103" s="9" t="n"/>
      <c r="E103" s="31" t="n"/>
      <c r="F103" s="9" t="n"/>
      <c r="G103" s="9" t="n"/>
      <c r="H103" s="41" t="n"/>
      <c r="I103" s="9" t="n"/>
      <c r="J103" s="9" t="n"/>
      <c r="K103" s="9" t="n"/>
      <c r="L103" s="31" t="n"/>
      <c r="M103" s="31" t="n"/>
      <c r="N103" s="41" t="n"/>
    </row>
    <row r="104" ht="22" customHeight="1">
      <c r="A104" s="5" t="n"/>
      <c r="B104" s="5" t="n"/>
      <c r="C104" s="5" t="n"/>
      <c r="D104" s="5" t="n"/>
      <c r="E104" s="30" t="n"/>
      <c r="F104" s="5" t="n"/>
      <c r="G104" s="5" t="n"/>
      <c r="H104" s="40" t="n"/>
      <c r="I104" s="5" t="n"/>
      <c r="J104" s="5" t="n"/>
      <c r="K104" s="5" t="n"/>
      <c r="L104" s="30" t="n"/>
      <c r="M104" s="30" t="n"/>
      <c r="N104" s="40" t="n"/>
    </row>
    <row r="105" ht="22" customHeight="1">
      <c r="A105" s="9" t="n"/>
      <c r="B105" s="9" t="n"/>
      <c r="C105" s="9" t="n"/>
      <c r="D105" s="9" t="n"/>
      <c r="E105" s="31" t="n"/>
      <c r="F105" s="9" t="n"/>
      <c r="G105" s="9" t="n"/>
      <c r="H105" s="41" t="n"/>
      <c r="I105" s="9" t="n"/>
      <c r="J105" s="9" t="n"/>
      <c r="K105" s="9" t="n"/>
      <c r="L105" s="31" t="n"/>
      <c r="M105" s="31" t="n"/>
      <c r="N105" s="41" t="n"/>
    </row>
    <row r="106" ht="22" customHeight="1">
      <c r="A106" s="5" t="n"/>
      <c r="B106" s="5" t="n"/>
      <c r="C106" s="5" t="n"/>
      <c r="D106" s="5" t="n"/>
      <c r="E106" s="30" t="n"/>
      <c r="F106" s="5" t="n"/>
      <c r="G106" s="5" t="n"/>
      <c r="H106" s="40" t="n"/>
      <c r="I106" s="5" t="n"/>
      <c r="J106" s="5" t="n"/>
      <c r="K106" s="5" t="n"/>
      <c r="L106" s="30" t="n"/>
      <c r="M106" s="30" t="n"/>
      <c r="N106" s="40" t="n"/>
    </row>
    <row r="107" ht="22" customHeight="1">
      <c r="A107" s="9" t="n"/>
      <c r="B107" s="9" t="n"/>
      <c r="C107" s="9" t="n"/>
      <c r="D107" s="9" t="n"/>
      <c r="E107" s="31" t="n"/>
      <c r="F107" s="9" t="n"/>
      <c r="G107" s="9" t="n"/>
      <c r="H107" s="41" t="n"/>
      <c r="I107" s="9" t="n"/>
      <c r="J107" s="9" t="n"/>
      <c r="K107" s="9" t="n"/>
      <c r="L107" s="31" t="n"/>
      <c r="M107" s="31" t="n"/>
      <c r="N107" s="41" t="n"/>
    </row>
    <row r="108" ht="22" customHeight="1">
      <c r="A108" s="5" t="n"/>
      <c r="B108" s="5" t="n"/>
      <c r="C108" s="5" t="n"/>
      <c r="D108" s="5" t="n"/>
      <c r="E108" s="30" t="n"/>
      <c r="F108" s="5" t="n"/>
      <c r="G108" s="5" t="n"/>
      <c r="H108" s="40" t="n"/>
      <c r="I108" s="5" t="n"/>
      <c r="J108" s="5" t="n"/>
      <c r="K108" s="5" t="n"/>
      <c r="L108" s="30" t="n"/>
      <c r="M108" s="30" t="n"/>
      <c r="N108" s="40" t="n"/>
    </row>
    <row r="109" ht="22" customHeight="1">
      <c r="A109" s="9" t="n"/>
      <c r="B109" s="9" t="n"/>
      <c r="C109" s="9" t="n"/>
      <c r="D109" s="9" t="n"/>
      <c r="E109" s="31" t="n"/>
      <c r="F109" s="9" t="n"/>
      <c r="G109" s="9" t="n"/>
      <c r="H109" s="41" t="n"/>
      <c r="I109" s="9" t="n"/>
      <c r="J109" s="9" t="n"/>
      <c r="K109" s="9" t="n"/>
      <c r="L109" s="31" t="n"/>
      <c r="M109" s="31" t="n"/>
      <c r="N109" s="41" t="n"/>
    </row>
    <row r="110" ht="22" customHeight="1">
      <c r="A110" s="5" t="n"/>
      <c r="B110" s="5" t="n"/>
      <c r="C110" s="5" t="n"/>
      <c r="D110" s="5" t="n"/>
      <c r="E110" s="30" t="n"/>
      <c r="F110" s="5" t="n"/>
      <c r="G110" s="5" t="n"/>
      <c r="H110" s="40" t="n"/>
      <c r="I110" s="5" t="n"/>
      <c r="J110" s="5" t="n"/>
      <c r="K110" s="5" t="n"/>
      <c r="L110" s="30" t="n"/>
      <c r="M110" s="30" t="n"/>
      <c r="N110" s="40" t="n"/>
    </row>
    <row r="111" ht="22" customHeight="1">
      <c r="A111" s="9" t="n"/>
      <c r="B111" s="9" t="n"/>
      <c r="C111" s="9" t="n"/>
      <c r="D111" s="9" t="n"/>
      <c r="E111" s="31" t="n"/>
      <c r="F111" s="9" t="n"/>
      <c r="G111" s="9" t="n"/>
      <c r="H111" s="41" t="n"/>
      <c r="I111" s="9" t="n"/>
      <c r="J111" s="9" t="n"/>
      <c r="K111" s="9" t="n"/>
      <c r="L111" s="31" t="n"/>
      <c r="M111" s="31" t="n"/>
      <c r="N111" s="41" t="n"/>
    </row>
    <row r="112" ht="22" customHeight="1">
      <c r="A112" s="5" t="n"/>
      <c r="B112" s="5" t="n"/>
      <c r="C112" s="5" t="n"/>
      <c r="D112" s="5" t="n"/>
      <c r="E112" s="30" t="n"/>
      <c r="F112" s="5" t="n"/>
      <c r="G112" s="5" t="n"/>
      <c r="H112" s="40" t="n"/>
      <c r="I112" s="5" t="n"/>
      <c r="J112" s="5" t="n"/>
      <c r="K112" s="5" t="n"/>
      <c r="L112" s="30" t="n"/>
      <c r="M112" s="30" t="n"/>
      <c r="N112" s="40" t="n"/>
    </row>
    <row r="113" ht="22" customHeight="1">
      <c r="A113" s="9" t="n"/>
      <c r="B113" s="9" t="n"/>
      <c r="C113" s="9" t="n"/>
      <c r="D113" s="9" t="n"/>
      <c r="E113" s="31" t="n"/>
      <c r="F113" s="9" t="n"/>
      <c r="G113" s="9" t="n"/>
      <c r="H113" s="41" t="n"/>
      <c r="I113" s="9" t="n"/>
      <c r="J113" s="9" t="n"/>
      <c r="K113" s="9" t="n"/>
      <c r="L113" s="31" t="n"/>
      <c r="M113" s="31" t="n"/>
      <c r="N113" s="41" t="n"/>
    </row>
    <row r="114" ht="22" customHeight="1">
      <c r="A114" s="5" t="n"/>
      <c r="B114" s="5" t="n"/>
      <c r="C114" s="5" t="n"/>
      <c r="D114" s="5" t="n"/>
      <c r="E114" s="30" t="n"/>
      <c r="F114" s="5" t="n"/>
      <c r="G114" s="5" t="n"/>
      <c r="H114" s="40" t="n"/>
      <c r="I114" s="5" t="n"/>
      <c r="J114" s="5" t="n"/>
      <c r="K114" s="5" t="n"/>
      <c r="L114" s="30" t="n"/>
      <c r="M114" s="30" t="n"/>
      <c r="N114" s="40" t="n"/>
    </row>
    <row r="115" ht="22" customHeight="1">
      <c r="A115" s="9" t="n"/>
      <c r="B115" s="9" t="n"/>
      <c r="C115" s="9" t="n"/>
      <c r="D115" s="9" t="n"/>
      <c r="E115" s="31" t="n"/>
      <c r="F115" s="9" t="n"/>
      <c r="G115" s="9" t="n"/>
      <c r="H115" s="41" t="n"/>
      <c r="I115" s="9" t="n"/>
      <c r="J115" s="9" t="n"/>
      <c r="K115" s="9" t="n"/>
      <c r="L115" s="31" t="n"/>
      <c r="M115" s="31" t="n"/>
      <c r="N115" s="41" t="n"/>
    </row>
  </sheetData>
  <mergeCells count="2">
    <mergeCell ref="A3:N3"/>
    <mergeCell ref="A2:N2"/>
  </mergeCells>
  <conditionalFormatting sqref="K6:K115">
    <cfRule type="cellIs" priority="1" operator="equal" dxfId="1">
      <formula>"EN RETARD"</formula>
    </cfRule>
  </conditionalFormatting>
  <conditionalFormatting sqref="G6:G115">
    <cfRule type="cellIs" priority="2" operator="equal" dxfId="0">
      <formula>"Oui"</formula>
    </cfRule>
    <cfRule type="cellIs" priority="3" operator="equal" dxfId="1">
      <formula>"Non"</formula>
    </cfRule>
  </conditionalFormatting>
  <dataValidations count="4">
    <dataValidation sqref="D6:D115" showDropDown="0" showInputMessage="0" showErrorMessage="0" allowBlank="1" errorTitle="Erreur" error="Valeur invalide" promptTitle="" prompt="Choisir: " type="list">
      <formula1>"AV-001,AV-002,AV-003,AV-004,AV-005,AV-006,AV-007,AV-008,AV-009,AV-010,AV-011,AV-012,AV-013,AV-014,AV-015"</formula1>
    </dataValidation>
    <dataValidation sqref="F6:F115" showDropDown="0" showInputMessage="0" showErrorMessage="0" allowBlank="1" errorTitle="Erreur" error="Valeur invalide" promptTitle="" prompt="Choisir: " type="list">
      <formula1>"Janvier,Février,Mars,Avril,Mai,Juin,Juillet,Août,Septembre,Octobre,Novembre,Décembre"</formula1>
    </dataValidation>
    <dataValidation sqref="G6:G115" showDropDown="0" showInputMessage="0" showErrorMessage="0" allowBlank="1" errorTitle="Erreur" error="Valeur invalide" promptTitle="" prompt="Choisir: " type="list">
      <formula1>"Oui,Non"</formula1>
    </dataValidation>
    <dataValidation sqref="I6:I115" showDropDown="0" showInputMessage="0" showErrorMessage="0" allowBlank="1" errorTitle="Erreur" error="Valeur invalide" promptTitle="" prompt="Choisir: " type="list">
      <formula1>"Virement,Chèque,Espèces,Prélèvement automatique"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8" customWidth="1" min="3" max="3"/>
    <col width="20" customWidth="1" min="4" max="4"/>
    <col width="20" customWidth="1" min="5" max="5"/>
    <col width="28" customWidth="1" min="6" max="6"/>
    <col width="16" customWidth="1" min="7" max="7"/>
    <col width="18" customWidth="1" min="8" max="8"/>
    <col width="18" customWidth="1" min="9" max="9"/>
    <col width="18" customWidth="1" min="10" max="10"/>
    <col width="24" customWidth="1" min="11" max="11"/>
    <col width="20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GESTION DES FOURNISSEURS D'AVANTAGES SOCIAUX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fournisseur</t>
        </is>
      </c>
      <c r="B5" s="4" t="inlineStr">
        <is>
          <t>Nom</t>
        </is>
      </c>
      <c r="C5" s="4" t="inlineStr">
        <is>
          <t>Catégorie avantages</t>
        </is>
      </c>
      <c r="D5" s="4" t="inlineStr">
        <is>
          <t>Contact</t>
        </is>
      </c>
      <c r="E5" s="4" t="inlineStr">
        <is>
          <t>Téléphone</t>
        </is>
      </c>
      <c r="F5" s="4" t="inlineStr">
        <is>
          <t>Email</t>
        </is>
      </c>
      <c r="G5" s="4" t="inlineStr">
        <is>
          <t>Contrat actif</t>
        </is>
      </c>
      <c r="H5" s="4" t="inlineStr">
        <is>
          <t>Date début contrat</t>
        </is>
      </c>
      <c r="I5" s="4" t="inlineStr">
        <is>
          <t>Date fin contrat</t>
        </is>
      </c>
      <c r="J5" s="4" t="inlineStr">
        <is>
          <t>Nb bénéficiaires</t>
        </is>
      </c>
      <c r="K5" s="4" t="inlineStr">
        <is>
          <t>Coût mensuel total (FCFA)</t>
        </is>
      </c>
      <c r="L5" s="4" t="inlineStr">
        <is>
          <t>Qualité service (1-5)</t>
        </is>
      </c>
      <c r="M5" s="4" t="inlineStr">
        <is>
          <t>Statut</t>
        </is>
      </c>
      <c r="N5" s="4" t="inlineStr">
        <is>
          <t>Date MAJ</t>
        </is>
      </c>
    </row>
    <row r="6" ht="22" customHeight="1">
      <c r="A6" s="5" t="inlineStr">
        <is>
          <t>FOU-001</t>
        </is>
      </c>
      <c r="B6" s="5" t="inlineStr">
        <is>
          <t>CNPS</t>
        </is>
      </c>
      <c r="C6" s="5" t="inlineStr">
        <is>
          <t>Santé, Retraite, Prévoyance</t>
        </is>
      </c>
      <c r="D6" s="5" t="inlineStr">
        <is>
          <t>M. Koné Ibrahim</t>
        </is>
      </c>
      <c r="E6" s="5" t="inlineStr">
        <is>
          <t>+225 20 30 40 50</t>
        </is>
      </c>
      <c r="F6" s="5" t="inlineStr">
        <is>
          <t>contact@cnps.ci</t>
        </is>
      </c>
      <c r="G6" s="5" t="inlineStr">
        <is>
          <t>Oui</t>
        </is>
      </c>
      <c r="H6" s="40" t="n">
        <v>44927</v>
      </c>
      <c r="I6" s="40" t="n">
        <v>46022</v>
      </c>
      <c r="J6" s="5">
        <f>COUNTIF('F04 - 2-Référentiel Avant.'!G6:G20,"*"&amp;B6&amp;"*")</f>
        <v/>
      </c>
      <c r="K6" s="30">
        <f>SUMIF('F06 - 4-Suivi Cotisations'!E6:E115,"&gt;"&amp;0)</f>
        <v/>
      </c>
      <c r="L6" s="30" t="n">
        <v>4</v>
      </c>
      <c r="M6" s="5" t="inlineStr">
        <is>
          <t>Actif</t>
        </is>
      </c>
      <c r="N6" s="40" t="n">
        <v>45444</v>
      </c>
    </row>
    <row r="7" ht="22" customHeight="1">
      <c r="A7" s="9" t="inlineStr">
        <is>
          <t>FOU-002</t>
        </is>
      </c>
      <c r="B7" s="9" t="inlineStr">
        <is>
          <t>AXA Assurance</t>
        </is>
      </c>
      <c r="C7" s="9" t="inlineStr">
        <is>
          <t>Prévoyance</t>
        </is>
      </c>
      <c r="D7" s="9" t="inlineStr">
        <is>
          <t>Mme Touré Awa</t>
        </is>
      </c>
      <c r="E7" s="9" t="inlineStr">
        <is>
          <t>+225 27 20 30 40</t>
        </is>
      </c>
      <c r="F7" s="9" t="inlineStr">
        <is>
          <t>awa.toure@axa.ci</t>
        </is>
      </c>
      <c r="G7" s="9" t="inlineStr">
        <is>
          <t>Oui</t>
        </is>
      </c>
      <c r="H7" s="41" t="n">
        <v>44927</v>
      </c>
      <c r="I7" s="41" t="n">
        <v>45838</v>
      </c>
      <c r="J7" s="9">
        <f>COUNTIF('F04 - 2-Référentiel Avant.'!G6:G20,"*"&amp;B7&amp;"*")</f>
        <v/>
      </c>
      <c r="K7" s="31">
        <f>SUMIF('F06 - 4-Suivi Cotisations'!E6:E115,"&gt;"&amp;0)</f>
        <v/>
      </c>
      <c r="L7" s="31" t="n">
        <v>4</v>
      </c>
      <c r="M7" s="9" t="inlineStr">
        <is>
          <t>Actif</t>
        </is>
      </c>
      <c r="N7" s="41" t="n">
        <v>45444</v>
      </c>
    </row>
    <row r="8" ht="22" customHeight="1">
      <c r="A8" s="5" t="inlineStr">
        <is>
          <t>FOU-003</t>
        </is>
      </c>
      <c r="B8" s="5" t="inlineStr">
        <is>
          <t>NSIA Vie</t>
        </is>
      </c>
      <c r="C8" s="5" t="inlineStr">
        <is>
          <t>Logement</t>
        </is>
      </c>
      <c r="D8" s="5" t="inlineStr">
        <is>
          <t>M. Bamba Moussa</t>
        </is>
      </c>
      <c r="E8" s="5" t="inlineStr">
        <is>
          <t>+225 27 21 22 23</t>
        </is>
      </c>
      <c r="F8" s="5" t="inlineStr">
        <is>
          <t>m.bamba@nsia.ci</t>
        </is>
      </c>
      <c r="G8" s="5" t="inlineStr">
        <is>
          <t>Oui</t>
        </is>
      </c>
      <c r="H8" s="40" t="n">
        <v>45292</v>
      </c>
      <c r="I8" s="40" t="n">
        <v>46022</v>
      </c>
      <c r="J8" s="5">
        <f>COUNTIF('F04 - 2-Référentiel Avant.'!G6:G20,"*"&amp;B8&amp;"*")</f>
        <v/>
      </c>
      <c r="K8" s="30">
        <f>SUMIF('F06 - 4-Suivi Cotisations'!E6:E115,"&gt;"&amp;0)</f>
        <v/>
      </c>
      <c r="L8" s="30" t="n">
        <v>4</v>
      </c>
      <c r="M8" s="5" t="inlineStr">
        <is>
          <t>Actif</t>
        </is>
      </c>
      <c r="N8" s="40" t="n">
        <v>45444</v>
      </c>
    </row>
    <row r="9" ht="22" customHeight="1">
      <c r="A9" s="9" t="inlineStr">
        <is>
          <t>FOU-004</t>
        </is>
      </c>
      <c r="B9" s="9" t="inlineStr">
        <is>
          <t>Allianz</t>
        </is>
      </c>
      <c r="C9" s="9" t="inlineStr">
        <is>
          <t>Retraite</t>
        </is>
      </c>
      <c r="D9" s="9" t="inlineStr">
        <is>
          <t>Mme Diabaté Mariam</t>
        </is>
      </c>
      <c r="E9" s="9" t="inlineStr">
        <is>
          <t>+225 27 30 31 32</t>
        </is>
      </c>
      <c r="F9" s="9" t="inlineStr">
        <is>
          <t>m.diabate@allianz.ci</t>
        </is>
      </c>
      <c r="G9" s="9" t="inlineStr">
        <is>
          <t>Oui</t>
        </is>
      </c>
      <c r="H9" s="41" t="n">
        <v>45078</v>
      </c>
      <c r="I9" s="41" t="n">
        <v>45808</v>
      </c>
      <c r="J9" s="9">
        <f>COUNTIF('F04 - 2-Référentiel Avant.'!G6:G20,"*"&amp;B9&amp;"*")</f>
        <v/>
      </c>
      <c r="K9" s="31">
        <f>SUMIF('F06 - 4-Suivi Cotisations'!E6:E115,"&gt;"&amp;0)</f>
        <v/>
      </c>
      <c r="L9" s="31" t="n">
        <v>4</v>
      </c>
      <c r="M9" s="9" t="inlineStr">
        <is>
          <t>Actif</t>
        </is>
      </c>
      <c r="N9" s="41" t="n">
        <v>45444</v>
      </c>
    </row>
    <row r="10" ht="22" customHeight="1">
      <c r="A10" s="5" t="inlineStr">
        <is>
          <t>FOU-005</t>
        </is>
      </c>
      <c r="B10" s="5" t="inlineStr">
        <is>
          <t>Mutuelle Hôteliers CI</t>
        </is>
      </c>
      <c r="C10" s="5" t="inlineStr">
        <is>
          <t>Santé</t>
        </is>
      </c>
      <c r="D10" s="5" t="inlineStr">
        <is>
          <t>M. Aka Georges</t>
        </is>
      </c>
      <c r="E10" s="5" t="inlineStr">
        <is>
          <t>+225 27 40 41 42</t>
        </is>
      </c>
      <c r="F10" s="5" t="inlineStr">
        <is>
          <t>g.aka@mutuelle-hotel.ci</t>
        </is>
      </c>
      <c r="G10" s="5" t="inlineStr">
        <is>
          <t>Oui</t>
        </is>
      </c>
      <c r="H10" s="40" t="n">
        <v>44562</v>
      </c>
      <c r="I10" s="40" t="n">
        <v>46022</v>
      </c>
      <c r="J10" s="5">
        <f>COUNTIF('F04 - 2-Référentiel Avant.'!G6:G20,"*"&amp;B10&amp;"*")</f>
        <v/>
      </c>
      <c r="K10" s="30">
        <f>SUMIF('F06 - 4-Suivi Cotisations'!E6:E115,"&gt;"&amp;0)</f>
        <v/>
      </c>
      <c r="L10" s="30" t="n">
        <v>4</v>
      </c>
      <c r="M10" s="5" t="inlineStr">
        <is>
          <t>Actif</t>
        </is>
      </c>
      <c r="N10" s="40" t="n">
        <v>45444</v>
      </c>
    </row>
    <row r="11" ht="22" customHeight="1">
      <c r="A11" s="9" t="n"/>
      <c r="B11" s="9" t="n"/>
      <c r="C11" s="9" t="n"/>
      <c r="D11" s="9" t="n"/>
      <c r="E11" s="9" t="n"/>
      <c r="F11" s="9" t="n"/>
      <c r="G11" s="9" t="n"/>
      <c r="H11" s="41" t="n"/>
      <c r="I11" s="41" t="n"/>
      <c r="J11" s="9" t="n"/>
      <c r="K11" s="31" t="n"/>
      <c r="L11" s="31" t="n"/>
      <c r="M11" s="9" t="n"/>
      <c r="N11" s="41" t="n"/>
    </row>
    <row r="12" ht="22" customHeight="1">
      <c r="A12" s="5" t="n"/>
      <c r="B12" s="5" t="n"/>
      <c r="C12" s="5" t="n"/>
      <c r="D12" s="5" t="n"/>
      <c r="E12" s="5" t="n"/>
      <c r="F12" s="5" t="n"/>
      <c r="G12" s="5" t="n"/>
      <c r="H12" s="40" t="n"/>
      <c r="I12" s="40" t="n"/>
      <c r="J12" s="5" t="n"/>
      <c r="K12" s="30" t="n"/>
      <c r="L12" s="30" t="n"/>
      <c r="M12" s="5" t="n"/>
      <c r="N12" s="40" t="n"/>
    </row>
    <row r="13" ht="22" customHeight="1">
      <c r="A13" s="9" t="n"/>
      <c r="B13" s="9" t="n"/>
      <c r="C13" s="9" t="n"/>
      <c r="D13" s="9" t="n"/>
      <c r="E13" s="9" t="n"/>
      <c r="F13" s="9" t="n"/>
      <c r="G13" s="9" t="n"/>
      <c r="H13" s="41" t="n"/>
      <c r="I13" s="41" t="n"/>
      <c r="J13" s="9" t="n"/>
      <c r="K13" s="31" t="n"/>
      <c r="L13" s="31" t="n"/>
      <c r="M13" s="9" t="n"/>
      <c r="N13" s="41" t="n"/>
    </row>
    <row r="14" ht="22" customHeight="1">
      <c r="A14" s="5" t="n"/>
      <c r="B14" s="5" t="n"/>
      <c r="C14" s="5" t="n"/>
      <c r="D14" s="5" t="n"/>
      <c r="E14" s="5" t="n"/>
      <c r="F14" s="5" t="n"/>
      <c r="G14" s="5" t="n"/>
      <c r="H14" s="40" t="n"/>
      <c r="I14" s="40" t="n"/>
      <c r="J14" s="5" t="n"/>
      <c r="K14" s="30" t="n"/>
      <c r="L14" s="30" t="n"/>
      <c r="M14" s="5" t="n"/>
      <c r="N14" s="40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41" t="n"/>
      <c r="I15" s="41" t="n"/>
      <c r="J15" s="9" t="n"/>
      <c r="K15" s="31" t="n"/>
      <c r="L15" s="31" t="n"/>
      <c r="M15" s="9" t="n"/>
      <c r="N15" s="41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40" t="n"/>
      <c r="I16" s="40" t="n"/>
      <c r="J16" s="5" t="n"/>
      <c r="K16" s="30" t="n"/>
      <c r="L16" s="30" t="n"/>
      <c r="M16" s="5" t="n"/>
      <c r="N16" s="40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41" t="n"/>
      <c r="I17" s="41" t="n"/>
      <c r="J17" s="9" t="n"/>
      <c r="K17" s="31" t="n"/>
      <c r="L17" s="31" t="n"/>
      <c r="M17" s="9" t="n"/>
      <c r="N17" s="41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40" t="n"/>
      <c r="I18" s="40" t="n"/>
      <c r="J18" s="5" t="n"/>
      <c r="K18" s="30" t="n"/>
      <c r="L18" s="30" t="n"/>
      <c r="M18" s="5" t="n"/>
      <c r="N18" s="40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41" t="n"/>
      <c r="I19" s="41" t="n"/>
      <c r="J19" s="9" t="n"/>
      <c r="K19" s="31" t="n"/>
      <c r="L19" s="31" t="n"/>
      <c r="M19" s="9" t="n"/>
      <c r="N19" s="41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40" t="n"/>
      <c r="I20" s="40" t="n"/>
      <c r="J20" s="5" t="n"/>
      <c r="K20" s="30" t="n"/>
      <c r="L20" s="30" t="n"/>
      <c r="M20" s="5" t="n"/>
      <c r="N20" s="40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41" t="n"/>
      <c r="I21" s="41" t="n"/>
      <c r="J21" s="9" t="n"/>
      <c r="K21" s="31" t="n"/>
      <c r="L21" s="31" t="n"/>
      <c r="M21" s="9" t="n"/>
      <c r="N21" s="41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40" t="n"/>
      <c r="I22" s="40" t="n"/>
      <c r="J22" s="5" t="n"/>
      <c r="K22" s="30" t="n"/>
      <c r="L22" s="30" t="n"/>
      <c r="M22" s="5" t="n"/>
      <c r="N22" s="40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41" t="n"/>
      <c r="I23" s="41" t="n"/>
      <c r="J23" s="9" t="n"/>
      <c r="K23" s="31" t="n"/>
      <c r="L23" s="31" t="n"/>
      <c r="M23" s="9" t="n"/>
      <c r="N23" s="41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40" t="n"/>
      <c r="I24" s="40" t="n"/>
      <c r="J24" s="5" t="n"/>
      <c r="K24" s="30" t="n"/>
      <c r="L24" s="30" t="n"/>
      <c r="M24" s="5" t="n"/>
      <c r="N24" s="40" t="n"/>
    </row>
    <row r="25" ht="22" customHeight="1">
      <c r="A25" s="9" t="n"/>
      <c r="B25" s="9" t="n"/>
      <c r="C25" s="9" t="n"/>
      <c r="D25" s="9" t="n"/>
      <c r="E25" s="9" t="n"/>
      <c r="F25" s="9" t="n"/>
      <c r="G25" s="9" t="n"/>
      <c r="H25" s="41" t="n"/>
      <c r="I25" s="41" t="n"/>
      <c r="J25" s="9" t="n"/>
      <c r="K25" s="31" t="n"/>
      <c r="L25" s="31" t="n"/>
      <c r="M25" s="9" t="n"/>
      <c r="N25" s="41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40" t="n"/>
      <c r="I26" s="40" t="n"/>
      <c r="J26" s="5" t="n"/>
      <c r="K26" s="30" t="n"/>
      <c r="L26" s="30" t="n"/>
      <c r="M26" s="5" t="n"/>
      <c r="N26" s="40" t="n"/>
    </row>
    <row r="27" ht="22" customHeight="1">
      <c r="A27" s="9" t="n"/>
      <c r="B27" s="9" t="n"/>
      <c r="C27" s="9" t="n"/>
      <c r="D27" s="9" t="n"/>
      <c r="E27" s="9" t="n"/>
      <c r="F27" s="9" t="n"/>
      <c r="G27" s="9" t="n"/>
      <c r="H27" s="41" t="n"/>
      <c r="I27" s="41" t="n"/>
      <c r="J27" s="9" t="n"/>
      <c r="K27" s="31" t="n"/>
      <c r="L27" s="31" t="n"/>
      <c r="M27" s="9" t="n"/>
      <c r="N27" s="41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40" t="n"/>
      <c r="I28" s="40" t="n"/>
      <c r="J28" s="5" t="n"/>
      <c r="K28" s="30" t="n"/>
      <c r="L28" s="30" t="n"/>
      <c r="M28" s="5" t="n"/>
      <c r="N28" s="40" t="n"/>
    </row>
    <row r="29" ht="22" customHeight="1">
      <c r="A29" s="9" t="n"/>
      <c r="B29" s="9" t="n"/>
      <c r="C29" s="9" t="n"/>
      <c r="D29" s="9" t="n"/>
      <c r="E29" s="9" t="n"/>
      <c r="F29" s="9" t="n"/>
      <c r="G29" s="9" t="n"/>
      <c r="H29" s="41" t="n"/>
      <c r="I29" s="41" t="n"/>
      <c r="J29" s="9" t="n"/>
      <c r="K29" s="31" t="n"/>
      <c r="L29" s="31" t="n"/>
      <c r="M29" s="9" t="n"/>
      <c r="N29" s="41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40" t="n"/>
      <c r="I30" s="40" t="n"/>
      <c r="J30" s="5" t="n"/>
      <c r="K30" s="30" t="n"/>
      <c r="L30" s="30" t="n"/>
      <c r="M30" s="5" t="n"/>
      <c r="N30" s="40" t="n"/>
    </row>
    <row r="31" ht="22" customHeight="1">
      <c r="A31" s="9" t="n"/>
      <c r="B31" s="9" t="n"/>
      <c r="C31" s="9" t="n"/>
      <c r="D31" s="9" t="n"/>
      <c r="E31" s="9" t="n"/>
      <c r="F31" s="9" t="n"/>
      <c r="G31" s="9" t="n"/>
      <c r="H31" s="41" t="n"/>
      <c r="I31" s="41" t="n"/>
      <c r="J31" s="9" t="n"/>
      <c r="K31" s="31" t="n"/>
      <c r="L31" s="31" t="n"/>
      <c r="M31" s="9" t="n"/>
      <c r="N31" s="41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40" t="n"/>
      <c r="I32" s="40" t="n"/>
      <c r="J32" s="5" t="n"/>
      <c r="K32" s="30" t="n"/>
      <c r="L32" s="30" t="n"/>
      <c r="M32" s="5" t="n"/>
      <c r="N32" s="40" t="n"/>
    </row>
    <row r="33" ht="22" customHeight="1">
      <c r="A33" s="9" t="n"/>
      <c r="B33" s="9" t="n"/>
      <c r="C33" s="9" t="n"/>
      <c r="D33" s="9" t="n"/>
      <c r="E33" s="9" t="n"/>
      <c r="F33" s="9" t="n"/>
      <c r="G33" s="9" t="n"/>
      <c r="H33" s="41" t="n"/>
      <c r="I33" s="41" t="n"/>
      <c r="J33" s="9" t="n"/>
      <c r="K33" s="31" t="n"/>
      <c r="L33" s="31" t="n"/>
      <c r="M33" s="9" t="n"/>
      <c r="N33" s="41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40" t="n"/>
      <c r="I34" s="40" t="n"/>
      <c r="J34" s="5" t="n"/>
      <c r="K34" s="30" t="n"/>
      <c r="L34" s="30" t="n"/>
      <c r="M34" s="5" t="n"/>
      <c r="N34" s="40" t="n"/>
    </row>
    <row r="35" ht="22" customHeight="1">
      <c r="A35" s="9" t="n"/>
      <c r="B35" s="9" t="n"/>
      <c r="C35" s="9" t="n"/>
      <c r="D35" s="9" t="n"/>
      <c r="E35" s="9" t="n"/>
      <c r="F35" s="9" t="n"/>
      <c r="G35" s="9" t="n"/>
      <c r="H35" s="41" t="n"/>
      <c r="I35" s="41" t="n"/>
      <c r="J35" s="9" t="n"/>
      <c r="K35" s="31" t="n"/>
      <c r="L35" s="31" t="n"/>
      <c r="M35" s="9" t="n"/>
      <c r="N35" s="41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40" t="n"/>
      <c r="I36" s="40" t="n"/>
      <c r="J36" s="5" t="n"/>
      <c r="K36" s="30" t="n"/>
      <c r="L36" s="30" t="n"/>
      <c r="M36" s="5" t="n"/>
      <c r="N36" s="40" t="n"/>
    </row>
    <row r="37" ht="22" customHeight="1">
      <c r="A37" s="9" t="n"/>
      <c r="B37" s="9" t="n"/>
      <c r="C37" s="9" t="n"/>
      <c r="D37" s="9" t="n"/>
      <c r="E37" s="9" t="n"/>
      <c r="F37" s="9" t="n"/>
      <c r="G37" s="9" t="n"/>
      <c r="H37" s="41" t="n"/>
      <c r="I37" s="41" t="n"/>
      <c r="J37" s="9" t="n"/>
      <c r="K37" s="31" t="n"/>
      <c r="L37" s="31" t="n"/>
      <c r="M37" s="9" t="n"/>
      <c r="N37" s="41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40" t="n"/>
      <c r="I38" s="40" t="n"/>
      <c r="J38" s="5" t="n"/>
      <c r="K38" s="30" t="n"/>
      <c r="L38" s="30" t="n"/>
      <c r="M38" s="5" t="n"/>
      <c r="N38" s="40" t="n"/>
    </row>
    <row r="39" ht="22" customHeight="1">
      <c r="A39" s="9" t="n"/>
      <c r="B39" s="9" t="n"/>
      <c r="C39" s="9" t="n"/>
      <c r="D39" s="9" t="n"/>
      <c r="E39" s="9" t="n"/>
      <c r="F39" s="9" t="n"/>
      <c r="G39" s="9" t="n"/>
      <c r="H39" s="41" t="n"/>
      <c r="I39" s="41" t="n"/>
      <c r="J39" s="9" t="n"/>
      <c r="K39" s="31" t="n"/>
      <c r="L39" s="31" t="n"/>
      <c r="M39" s="9" t="n"/>
      <c r="N39" s="41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40" t="n"/>
      <c r="I40" s="40" t="n"/>
      <c r="J40" s="5" t="n"/>
      <c r="K40" s="30" t="n"/>
      <c r="L40" s="30" t="n"/>
      <c r="M40" s="5" t="n"/>
      <c r="N40" s="40" t="n"/>
    </row>
    <row r="41" ht="22" customHeight="1">
      <c r="A41" s="9" t="n"/>
      <c r="B41" s="9" t="n"/>
      <c r="C41" s="9" t="n"/>
      <c r="D41" s="9" t="n"/>
      <c r="E41" s="9" t="n"/>
      <c r="F41" s="9" t="n"/>
      <c r="G41" s="9" t="n"/>
      <c r="H41" s="41" t="n"/>
      <c r="I41" s="41" t="n"/>
      <c r="J41" s="9" t="n"/>
      <c r="K41" s="31" t="n"/>
      <c r="L41" s="31" t="n"/>
      <c r="M41" s="9" t="n"/>
      <c r="N41" s="41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40" t="n"/>
      <c r="I42" s="40" t="n"/>
      <c r="J42" s="5" t="n"/>
      <c r="K42" s="30" t="n"/>
      <c r="L42" s="30" t="n"/>
      <c r="M42" s="5" t="n"/>
      <c r="N42" s="40" t="n"/>
    </row>
    <row r="43" ht="22" customHeight="1">
      <c r="A43" s="9" t="n"/>
      <c r="B43" s="9" t="n"/>
      <c r="C43" s="9" t="n"/>
      <c r="D43" s="9" t="n"/>
      <c r="E43" s="9" t="n"/>
      <c r="F43" s="9" t="n"/>
      <c r="G43" s="9" t="n"/>
      <c r="H43" s="41" t="n"/>
      <c r="I43" s="41" t="n"/>
      <c r="J43" s="9" t="n"/>
      <c r="K43" s="31" t="n"/>
      <c r="L43" s="31" t="n"/>
      <c r="M43" s="9" t="n"/>
      <c r="N43" s="41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40" t="n"/>
      <c r="I44" s="40" t="n"/>
      <c r="J44" s="5" t="n"/>
      <c r="K44" s="30" t="n"/>
      <c r="L44" s="30" t="n"/>
      <c r="M44" s="5" t="n"/>
      <c r="N44" s="40" t="n"/>
    </row>
    <row r="45" ht="22" customHeight="1">
      <c r="A45" s="9" t="n"/>
      <c r="B45" s="9" t="n"/>
      <c r="C45" s="9" t="n"/>
      <c r="D45" s="9" t="n"/>
      <c r="E45" s="9" t="n"/>
      <c r="F45" s="9" t="n"/>
      <c r="G45" s="9" t="n"/>
      <c r="H45" s="41" t="n"/>
      <c r="I45" s="41" t="n"/>
      <c r="J45" s="9" t="n"/>
      <c r="K45" s="31" t="n"/>
      <c r="L45" s="31" t="n"/>
      <c r="M45" s="9" t="n"/>
      <c r="N45" s="41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40" t="n"/>
      <c r="I46" s="40" t="n"/>
      <c r="J46" s="5" t="n"/>
      <c r="K46" s="30" t="n"/>
      <c r="L46" s="30" t="n"/>
      <c r="M46" s="5" t="n"/>
      <c r="N46" s="40" t="n"/>
    </row>
    <row r="47" ht="22" customHeight="1">
      <c r="A47" s="9" t="n"/>
      <c r="B47" s="9" t="n"/>
      <c r="C47" s="9" t="n"/>
      <c r="D47" s="9" t="n"/>
      <c r="E47" s="9" t="n"/>
      <c r="F47" s="9" t="n"/>
      <c r="G47" s="9" t="n"/>
      <c r="H47" s="41" t="n"/>
      <c r="I47" s="41" t="n"/>
      <c r="J47" s="9" t="n"/>
      <c r="K47" s="31" t="n"/>
      <c r="L47" s="31" t="n"/>
      <c r="M47" s="9" t="n"/>
      <c r="N47" s="41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40" t="n"/>
      <c r="I48" s="40" t="n"/>
      <c r="J48" s="5" t="n"/>
      <c r="K48" s="30" t="n"/>
      <c r="L48" s="30" t="n"/>
      <c r="M48" s="5" t="n"/>
      <c r="N48" s="40" t="n"/>
    </row>
    <row r="49" ht="22" customHeight="1">
      <c r="A49" s="9" t="n"/>
      <c r="B49" s="9" t="n"/>
      <c r="C49" s="9" t="n"/>
      <c r="D49" s="9" t="n"/>
      <c r="E49" s="9" t="n"/>
      <c r="F49" s="9" t="n"/>
      <c r="G49" s="9" t="n"/>
      <c r="H49" s="41" t="n"/>
      <c r="I49" s="41" t="n"/>
      <c r="J49" s="9" t="n"/>
      <c r="K49" s="31" t="n"/>
      <c r="L49" s="31" t="n"/>
      <c r="M49" s="9" t="n"/>
      <c r="N49" s="41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40" t="n"/>
      <c r="I50" s="40" t="n"/>
      <c r="J50" s="5" t="n"/>
      <c r="K50" s="30" t="n"/>
      <c r="L50" s="30" t="n"/>
      <c r="M50" s="5" t="n"/>
      <c r="N50" s="40" t="n"/>
    </row>
    <row r="51" ht="22" customHeight="1">
      <c r="A51" s="9" t="n"/>
      <c r="B51" s="9" t="n"/>
      <c r="C51" s="9" t="n"/>
      <c r="D51" s="9" t="n"/>
      <c r="E51" s="9" t="n"/>
      <c r="F51" s="9" t="n"/>
      <c r="G51" s="9" t="n"/>
      <c r="H51" s="41" t="n"/>
      <c r="I51" s="41" t="n"/>
      <c r="J51" s="9" t="n"/>
      <c r="K51" s="31" t="n"/>
      <c r="L51" s="31" t="n"/>
      <c r="M51" s="9" t="n"/>
      <c r="N51" s="41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40" t="n"/>
      <c r="I52" s="40" t="n"/>
      <c r="J52" s="5" t="n"/>
      <c r="K52" s="30" t="n"/>
      <c r="L52" s="30" t="n"/>
      <c r="M52" s="5" t="n"/>
      <c r="N52" s="40" t="n"/>
    </row>
    <row r="53" ht="22" customHeight="1">
      <c r="A53" s="9" t="n"/>
      <c r="B53" s="9" t="n"/>
      <c r="C53" s="9" t="n"/>
      <c r="D53" s="9" t="n"/>
      <c r="E53" s="9" t="n"/>
      <c r="F53" s="9" t="n"/>
      <c r="G53" s="9" t="n"/>
      <c r="H53" s="41" t="n"/>
      <c r="I53" s="41" t="n"/>
      <c r="J53" s="9" t="n"/>
      <c r="K53" s="31" t="n"/>
      <c r="L53" s="31" t="n"/>
      <c r="M53" s="9" t="n"/>
      <c r="N53" s="41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40" t="n"/>
      <c r="I54" s="40" t="n"/>
      <c r="J54" s="5" t="n"/>
      <c r="K54" s="30" t="n"/>
      <c r="L54" s="30" t="n"/>
      <c r="M54" s="5" t="n"/>
      <c r="N54" s="40" t="n"/>
    </row>
    <row r="55" ht="22" customHeight="1">
      <c r="A55" s="9" t="n"/>
      <c r="B55" s="9" t="n"/>
      <c r="C55" s="9" t="n"/>
      <c r="D55" s="9" t="n"/>
      <c r="E55" s="9" t="n"/>
      <c r="F55" s="9" t="n"/>
      <c r="G55" s="9" t="n"/>
      <c r="H55" s="41" t="n"/>
      <c r="I55" s="41" t="n"/>
      <c r="J55" s="9" t="n"/>
      <c r="K55" s="31" t="n"/>
      <c r="L55" s="31" t="n"/>
      <c r="M55" s="9" t="n"/>
      <c r="N55" s="41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40" t="n"/>
      <c r="I56" s="40" t="n"/>
      <c r="J56" s="5" t="n"/>
      <c r="K56" s="30" t="n"/>
      <c r="L56" s="30" t="n"/>
      <c r="M56" s="5" t="n"/>
      <c r="N56" s="40" t="n"/>
    </row>
    <row r="57" ht="22" customHeight="1">
      <c r="A57" s="9" t="n"/>
      <c r="B57" s="9" t="n"/>
      <c r="C57" s="9" t="n"/>
      <c r="D57" s="9" t="n"/>
      <c r="E57" s="9" t="n"/>
      <c r="F57" s="9" t="n"/>
      <c r="G57" s="9" t="n"/>
      <c r="H57" s="41" t="n"/>
      <c r="I57" s="41" t="n"/>
      <c r="J57" s="9" t="n"/>
      <c r="K57" s="31" t="n"/>
      <c r="L57" s="31" t="n"/>
      <c r="M57" s="9" t="n"/>
      <c r="N57" s="41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40" t="n"/>
      <c r="I58" s="40" t="n"/>
      <c r="J58" s="5" t="n"/>
      <c r="K58" s="30" t="n"/>
      <c r="L58" s="30" t="n"/>
      <c r="M58" s="5" t="n"/>
      <c r="N58" s="40" t="n"/>
    </row>
    <row r="59" ht="22" customHeight="1">
      <c r="A59" s="9" t="n"/>
      <c r="B59" s="9" t="n"/>
      <c r="C59" s="9" t="n"/>
      <c r="D59" s="9" t="n"/>
      <c r="E59" s="9" t="n"/>
      <c r="F59" s="9" t="n"/>
      <c r="G59" s="9" t="n"/>
      <c r="H59" s="41" t="n"/>
      <c r="I59" s="41" t="n"/>
      <c r="J59" s="9" t="n"/>
      <c r="K59" s="31" t="n"/>
      <c r="L59" s="31" t="n"/>
      <c r="M59" s="9" t="n"/>
      <c r="N59" s="41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40" t="n"/>
      <c r="I60" s="40" t="n"/>
      <c r="J60" s="5" t="n"/>
      <c r="K60" s="30" t="n"/>
      <c r="L60" s="30" t="n"/>
      <c r="M60" s="5" t="n"/>
      <c r="N60" s="40" t="n"/>
    </row>
    <row r="61" ht="22" customHeight="1">
      <c r="A61" s="9" t="n"/>
      <c r="B61" s="9" t="n"/>
      <c r="C61" s="9" t="n"/>
      <c r="D61" s="9" t="n"/>
      <c r="E61" s="9" t="n"/>
      <c r="F61" s="9" t="n"/>
      <c r="G61" s="9" t="n"/>
      <c r="H61" s="41" t="n"/>
      <c r="I61" s="41" t="n"/>
      <c r="J61" s="9" t="n"/>
      <c r="K61" s="31" t="n"/>
      <c r="L61" s="31" t="n"/>
      <c r="M61" s="9" t="n"/>
      <c r="N61" s="41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40" t="n"/>
      <c r="I62" s="40" t="n"/>
      <c r="J62" s="5" t="n"/>
      <c r="K62" s="30" t="n"/>
      <c r="L62" s="30" t="n"/>
      <c r="M62" s="5" t="n"/>
      <c r="N62" s="40" t="n"/>
    </row>
    <row r="63" ht="22" customHeight="1">
      <c r="A63" s="9" t="n"/>
      <c r="B63" s="9" t="n"/>
      <c r="C63" s="9" t="n"/>
      <c r="D63" s="9" t="n"/>
      <c r="E63" s="9" t="n"/>
      <c r="F63" s="9" t="n"/>
      <c r="G63" s="9" t="n"/>
      <c r="H63" s="41" t="n"/>
      <c r="I63" s="41" t="n"/>
      <c r="J63" s="9" t="n"/>
      <c r="K63" s="31" t="n"/>
      <c r="L63" s="31" t="n"/>
      <c r="M63" s="9" t="n"/>
      <c r="N63" s="41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40" t="n"/>
      <c r="I64" s="40" t="n"/>
      <c r="J64" s="5" t="n"/>
      <c r="K64" s="30" t="n"/>
      <c r="L64" s="30" t="n"/>
      <c r="M64" s="5" t="n"/>
      <c r="N64" s="40" t="n"/>
    </row>
    <row r="65" ht="22" customHeight="1">
      <c r="A65" s="9" t="n"/>
      <c r="B65" s="9" t="n"/>
      <c r="C65" s="9" t="n"/>
      <c r="D65" s="9" t="n"/>
      <c r="E65" s="9" t="n"/>
      <c r="F65" s="9" t="n"/>
      <c r="G65" s="9" t="n"/>
      <c r="H65" s="41" t="n"/>
      <c r="I65" s="41" t="n"/>
      <c r="J65" s="9" t="n"/>
      <c r="K65" s="31" t="n"/>
      <c r="L65" s="31" t="n"/>
      <c r="M65" s="9" t="n"/>
      <c r="N65" s="41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40" t="n"/>
      <c r="I66" s="40" t="n"/>
      <c r="J66" s="5" t="n"/>
      <c r="K66" s="30" t="n"/>
      <c r="L66" s="30" t="n"/>
      <c r="M66" s="5" t="n"/>
      <c r="N66" s="40" t="n"/>
    </row>
    <row r="67" ht="22" customHeight="1">
      <c r="A67" s="9" t="n"/>
      <c r="B67" s="9" t="n"/>
      <c r="C67" s="9" t="n"/>
      <c r="D67" s="9" t="n"/>
      <c r="E67" s="9" t="n"/>
      <c r="F67" s="9" t="n"/>
      <c r="G67" s="9" t="n"/>
      <c r="H67" s="41" t="n"/>
      <c r="I67" s="41" t="n"/>
      <c r="J67" s="9" t="n"/>
      <c r="K67" s="31" t="n"/>
      <c r="L67" s="31" t="n"/>
      <c r="M67" s="9" t="n"/>
      <c r="N67" s="41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40" t="n"/>
      <c r="I68" s="40" t="n"/>
      <c r="J68" s="5" t="n"/>
      <c r="K68" s="30" t="n"/>
      <c r="L68" s="30" t="n"/>
      <c r="M68" s="5" t="n"/>
      <c r="N68" s="40" t="n"/>
    </row>
    <row r="69" ht="22" customHeight="1">
      <c r="A69" s="9" t="n"/>
      <c r="B69" s="9" t="n"/>
      <c r="C69" s="9" t="n"/>
      <c r="D69" s="9" t="n"/>
      <c r="E69" s="9" t="n"/>
      <c r="F69" s="9" t="n"/>
      <c r="G69" s="9" t="n"/>
      <c r="H69" s="41" t="n"/>
      <c r="I69" s="41" t="n"/>
      <c r="J69" s="9" t="n"/>
      <c r="K69" s="31" t="n"/>
      <c r="L69" s="31" t="n"/>
      <c r="M69" s="9" t="n"/>
      <c r="N69" s="41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40" t="n"/>
      <c r="I70" s="40" t="n"/>
      <c r="J70" s="5" t="n"/>
      <c r="K70" s="30" t="n"/>
      <c r="L70" s="30" t="n"/>
      <c r="M70" s="5" t="n"/>
      <c r="N70" s="40" t="n"/>
    </row>
    <row r="71" ht="22" customHeight="1">
      <c r="A71" s="9" t="n"/>
      <c r="B71" s="9" t="n"/>
      <c r="C71" s="9" t="n"/>
      <c r="D71" s="9" t="n"/>
      <c r="E71" s="9" t="n"/>
      <c r="F71" s="9" t="n"/>
      <c r="G71" s="9" t="n"/>
      <c r="H71" s="41" t="n"/>
      <c r="I71" s="41" t="n"/>
      <c r="J71" s="9" t="n"/>
      <c r="K71" s="31" t="n"/>
      <c r="L71" s="31" t="n"/>
      <c r="M71" s="9" t="n"/>
      <c r="N71" s="41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40" t="n"/>
      <c r="I72" s="40" t="n"/>
      <c r="J72" s="5" t="n"/>
      <c r="K72" s="30" t="n"/>
      <c r="L72" s="30" t="n"/>
      <c r="M72" s="5" t="n"/>
      <c r="N72" s="40" t="n"/>
    </row>
    <row r="73" ht="22" customHeight="1">
      <c r="A73" s="9" t="n"/>
      <c r="B73" s="9" t="n"/>
      <c r="C73" s="9" t="n"/>
      <c r="D73" s="9" t="n"/>
      <c r="E73" s="9" t="n"/>
      <c r="F73" s="9" t="n"/>
      <c r="G73" s="9" t="n"/>
      <c r="H73" s="41" t="n"/>
      <c r="I73" s="41" t="n"/>
      <c r="J73" s="9" t="n"/>
      <c r="K73" s="31" t="n"/>
      <c r="L73" s="31" t="n"/>
      <c r="M73" s="9" t="n"/>
      <c r="N73" s="41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40" t="n"/>
      <c r="I74" s="40" t="n"/>
      <c r="J74" s="5" t="n"/>
      <c r="K74" s="30" t="n"/>
      <c r="L74" s="30" t="n"/>
      <c r="M74" s="5" t="n"/>
      <c r="N74" s="40" t="n"/>
    </row>
    <row r="75" ht="22" customHeight="1">
      <c r="A75" s="9" t="n"/>
      <c r="B75" s="9" t="n"/>
      <c r="C75" s="9" t="n"/>
      <c r="D75" s="9" t="n"/>
      <c r="E75" s="9" t="n"/>
      <c r="F75" s="9" t="n"/>
      <c r="G75" s="9" t="n"/>
      <c r="H75" s="41" t="n"/>
      <c r="I75" s="41" t="n"/>
      <c r="J75" s="9" t="n"/>
      <c r="K75" s="31" t="n"/>
      <c r="L75" s="31" t="n"/>
      <c r="M75" s="9" t="n"/>
      <c r="N75" s="41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40" t="n"/>
      <c r="I76" s="40" t="n"/>
      <c r="J76" s="5" t="n"/>
      <c r="K76" s="30" t="n"/>
      <c r="L76" s="30" t="n"/>
      <c r="M76" s="5" t="n"/>
      <c r="N76" s="40" t="n"/>
    </row>
    <row r="77" ht="22" customHeight="1">
      <c r="A77" s="9" t="n"/>
      <c r="B77" s="9" t="n"/>
      <c r="C77" s="9" t="n"/>
      <c r="D77" s="9" t="n"/>
      <c r="E77" s="9" t="n"/>
      <c r="F77" s="9" t="n"/>
      <c r="G77" s="9" t="n"/>
      <c r="H77" s="41" t="n"/>
      <c r="I77" s="41" t="n"/>
      <c r="J77" s="9" t="n"/>
      <c r="K77" s="31" t="n"/>
      <c r="L77" s="31" t="n"/>
      <c r="M77" s="9" t="n"/>
      <c r="N77" s="41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40" t="n"/>
      <c r="I78" s="40" t="n"/>
      <c r="J78" s="5" t="n"/>
      <c r="K78" s="30" t="n"/>
      <c r="L78" s="30" t="n"/>
      <c r="M78" s="5" t="n"/>
      <c r="N78" s="40" t="n"/>
    </row>
    <row r="79" ht="22" customHeight="1">
      <c r="A79" s="9" t="n"/>
      <c r="B79" s="9" t="n"/>
      <c r="C79" s="9" t="n"/>
      <c r="D79" s="9" t="n"/>
      <c r="E79" s="9" t="n"/>
      <c r="F79" s="9" t="n"/>
      <c r="G79" s="9" t="n"/>
      <c r="H79" s="41" t="n"/>
      <c r="I79" s="41" t="n"/>
      <c r="J79" s="9" t="n"/>
      <c r="K79" s="31" t="n"/>
      <c r="L79" s="31" t="n"/>
      <c r="M79" s="9" t="n"/>
      <c r="N79" s="41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40" t="n"/>
      <c r="I80" s="40" t="n"/>
      <c r="J80" s="5" t="n"/>
      <c r="K80" s="30" t="n"/>
      <c r="L80" s="30" t="n"/>
      <c r="M80" s="5" t="n"/>
      <c r="N80" s="40" t="n"/>
    </row>
    <row r="81" ht="22" customHeight="1">
      <c r="A81" s="9" t="n"/>
      <c r="B81" s="9" t="n"/>
      <c r="C81" s="9" t="n"/>
      <c r="D81" s="9" t="n"/>
      <c r="E81" s="9" t="n"/>
      <c r="F81" s="9" t="n"/>
      <c r="G81" s="9" t="n"/>
      <c r="H81" s="41" t="n"/>
      <c r="I81" s="41" t="n"/>
      <c r="J81" s="9" t="n"/>
      <c r="K81" s="31" t="n"/>
      <c r="L81" s="31" t="n"/>
      <c r="M81" s="9" t="n"/>
      <c r="N81" s="41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40" t="n"/>
      <c r="I82" s="40" t="n"/>
      <c r="J82" s="5" t="n"/>
      <c r="K82" s="30" t="n"/>
      <c r="L82" s="30" t="n"/>
      <c r="M82" s="5" t="n"/>
      <c r="N82" s="40" t="n"/>
    </row>
    <row r="83" ht="22" customHeight="1">
      <c r="A83" s="9" t="n"/>
      <c r="B83" s="9" t="n"/>
      <c r="C83" s="9" t="n"/>
      <c r="D83" s="9" t="n"/>
      <c r="E83" s="9" t="n"/>
      <c r="F83" s="9" t="n"/>
      <c r="G83" s="9" t="n"/>
      <c r="H83" s="41" t="n"/>
      <c r="I83" s="41" t="n"/>
      <c r="J83" s="9" t="n"/>
      <c r="K83" s="31" t="n"/>
      <c r="L83" s="31" t="n"/>
      <c r="M83" s="9" t="n"/>
      <c r="N83" s="41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40" t="n"/>
      <c r="I84" s="40" t="n"/>
      <c r="J84" s="5" t="n"/>
      <c r="K84" s="30" t="n"/>
      <c r="L84" s="30" t="n"/>
      <c r="M84" s="5" t="n"/>
      <c r="N84" s="40" t="n"/>
    </row>
    <row r="85" ht="22" customHeight="1">
      <c r="A85" s="9" t="n"/>
      <c r="B85" s="9" t="n"/>
      <c r="C85" s="9" t="n"/>
      <c r="D85" s="9" t="n"/>
      <c r="E85" s="9" t="n"/>
      <c r="F85" s="9" t="n"/>
      <c r="G85" s="9" t="n"/>
      <c r="H85" s="41" t="n"/>
      <c r="I85" s="41" t="n"/>
      <c r="J85" s="9" t="n"/>
      <c r="K85" s="31" t="n"/>
      <c r="L85" s="31" t="n"/>
      <c r="M85" s="9" t="n"/>
      <c r="N85" s="41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40" t="n"/>
      <c r="I86" s="40" t="n"/>
      <c r="J86" s="5" t="n"/>
      <c r="K86" s="30" t="n"/>
      <c r="L86" s="30" t="n"/>
      <c r="M86" s="5" t="n"/>
      <c r="N86" s="40" t="n"/>
    </row>
    <row r="87" ht="22" customHeight="1">
      <c r="A87" s="9" t="n"/>
      <c r="B87" s="9" t="n"/>
      <c r="C87" s="9" t="n"/>
      <c r="D87" s="9" t="n"/>
      <c r="E87" s="9" t="n"/>
      <c r="F87" s="9" t="n"/>
      <c r="G87" s="9" t="n"/>
      <c r="H87" s="41" t="n"/>
      <c r="I87" s="41" t="n"/>
      <c r="J87" s="9" t="n"/>
      <c r="K87" s="31" t="n"/>
      <c r="L87" s="31" t="n"/>
      <c r="M87" s="9" t="n"/>
      <c r="N87" s="41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40" t="n"/>
      <c r="I88" s="40" t="n"/>
      <c r="J88" s="5" t="n"/>
      <c r="K88" s="30" t="n"/>
      <c r="L88" s="30" t="n"/>
      <c r="M88" s="5" t="n"/>
      <c r="N88" s="40" t="n"/>
    </row>
    <row r="89" ht="22" customHeight="1">
      <c r="A89" s="9" t="n"/>
      <c r="B89" s="9" t="n"/>
      <c r="C89" s="9" t="n"/>
      <c r="D89" s="9" t="n"/>
      <c r="E89" s="9" t="n"/>
      <c r="F89" s="9" t="n"/>
      <c r="G89" s="9" t="n"/>
      <c r="H89" s="41" t="n"/>
      <c r="I89" s="41" t="n"/>
      <c r="J89" s="9" t="n"/>
      <c r="K89" s="31" t="n"/>
      <c r="L89" s="31" t="n"/>
      <c r="M89" s="9" t="n"/>
      <c r="N89" s="41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40" t="n"/>
      <c r="I90" s="40" t="n"/>
      <c r="J90" s="5" t="n"/>
      <c r="K90" s="30" t="n"/>
      <c r="L90" s="30" t="n"/>
      <c r="M90" s="5" t="n"/>
      <c r="N90" s="40" t="n"/>
    </row>
    <row r="91" ht="22" customHeight="1">
      <c r="A91" s="9" t="n"/>
      <c r="B91" s="9" t="n"/>
      <c r="C91" s="9" t="n"/>
      <c r="D91" s="9" t="n"/>
      <c r="E91" s="9" t="n"/>
      <c r="F91" s="9" t="n"/>
      <c r="G91" s="9" t="n"/>
      <c r="H91" s="41" t="n"/>
      <c r="I91" s="41" t="n"/>
      <c r="J91" s="9" t="n"/>
      <c r="K91" s="31" t="n"/>
      <c r="L91" s="31" t="n"/>
      <c r="M91" s="9" t="n"/>
      <c r="N91" s="41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40" t="n"/>
      <c r="I92" s="40" t="n"/>
      <c r="J92" s="5" t="n"/>
      <c r="K92" s="30" t="n"/>
      <c r="L92" s="30" t="n"/>
      <c r="M92" s="5" t="n"/>
      <c r="N92" s="40" t="n"/>
    </row>
    <row r="93" ht="22" customHeight="1">
      <c r="A93" s="9" t="n"/>
      <c r="B93" s="9" t="n"/>
      <c r="C93" s="9" t="n"/>
      <c r="D93" s="9" t="n"/>
      <c r="E93" s="9" t="n"/>
      <c r="F93" s="9" t="n"/>
      <c r="G93" s="9" t="n"/>
      <c r="H93" s="41" t="n"/>
      <c r="I93" s="41" t="n"/>
      <c r="J93" s="9" t="n"/>
      <c r="K93" s="31" t="n"/>
      <c r="L93" s="31" t="n"/>
      <c r="M93" s="9" t="n"/>
      <c r="N93" s="41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40" t="n"/>
      <c r="I94" s="40" t="n"/>
      <c r="J94" s="5" t="n"/>
      <c r="K94" s="30" t="n"/>
      <c r="L94" s="30" t="n"/>
      <c r="M94" s="5" t="n"/>
      <c r="N94" s="40" t="n"/>
    </row>
    <row r="95" ht="22" customHeight="1">
      <c r="A95" s="9" t="n"/>
      <c r="B95" s="9" t="n"/>
      <c r="C95" s="9" t="n"/>
      <c r="D95" s="9" t="n"/>
      <c r="E95" s="9" t="n"/>
      <c r="F95" s="9" t="n"/>
      <c r="G95" s="9" t="n"/>
      <c r="H95" s="41" t="n"/>
      <c r="I95" s="41" t="n"/>
      <c r="J95" s="9" t="n"/>
      <c r="K95" s="31" t="n"/>
      <c r="L95" s="31" t="n"/>
      <c r="M95" s="9" t="n"/>
      <c r="N95" s="41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40" t="n"/>
      <c r="I96" s="40" t="n"/>
      <c r="J96" s="5" t="n"/>
      <c r="K96" s="30" t="n"/>
      <c r="L96" s="30" t="n"/>
      <c r="M96" s="5" t="n"/>
      <c r="N96" s="40" t="n"/>
    </row>
    <row r="97" ht="22" customHeight="1">
      <c r="A97" s="9" t="n"/>
      <c r="B97" s="9" t="n"/>
      <c r="C97" s="9" t="n"/>
      <c r="D97" s="9" t="n"/>
      <c r="E97" s="9" t="n"/>
      <c r="F97" s="9" t="n"/>
      <c r="G97" s="9" t="n"/>
      <c r="H97" s="41" t="n"/>
      <c r="I97" s="41" t="n"/>
      <c r="J97" s="9" t="n"/>
      <c r="K97" s="31" t="n"/>
      <c r="L97" s="31" t="n"/>
      <c r="M97" s="9" t="n"/>
      <c r="N97" s="41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40" t="n"/>
      <c r="I98" s="40" t="n"/>
      <c r="J98" s="5" t="n"/>
      <c r="K98" s="30" t="n"/>
      <c r="L98" s="30" t="n"/>
      <c r="M98" s="5" t="n"/>
      <c r="N98" s="40" t="n"/>
    </row>
    <row r="99" ht="22" customHeight="1">
      <c r="A99" s="9" t="n"/>
      <c r="B99" s="9" t="n"/>
      <c r="C99" s="9" t="n"/>
      <c r="D99" s="9" t="n"/>
      <c r="E99" s="9" t="n"/>
      <c r="F99" s="9" t="n"/>
      <c r="G99" s="9" t="n"/>
      <c r="H99" s="41" t="n"/>
      <c r="I99" s="41" t="n"/>
      <c r="J99" s="9" t="n"/>
      <c r="K99" s="31" t="n"/>
      <c r="L99" s="31" t="n"/>
      <c r="M99" s="9" t="n"/>
      <c r="N99" s="41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40" t="n"/>
      <c r="I100" s="40" t="n"/>
      <c r="J100" s="5" t="n"/>
      <c r="K100" s="30" t="n"/>
      <c r="L100" s="30" t="n"/>
      <c r="M100" s="5" t="n"/>
      <c r="N100" s="40" t="n"/>
    </row>
    <row r="101" ht="22" customHeight="1">
      <c r="A101" s="9" t="n"/>
      <c r="B101" s="9" t="n"/>
      <c r="C101" s="9" t="n"/>
      <c r="D101" s="9" t="n"/>
      <c r="E101" s="9" t="n"/>
      <c r="F101" s="9" t="n"/>
      <c r="G101" s="9" t="n"/>
      <c r="H101" s="41" t="n"/>
      <c r="I101" s="41" t="n"/>
      <c r="J101" s="9" t="n"/>
      <c r="K101" s="31" t="n"/>
      <c r="L101" s="31" t="n"/>
      <c r="M101" s="9" t="n"/>
      <c r="N101" s="41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40" t="n"/>
      <c r="I102" s="40" t="n"/>
      <c r="J102" s="5" t="n"/>
      <c r="K102" s="30" t="n"/>
      <c r="L102" s="30" t="n"/>
      <c r="M102" s="5" t="n"/>
      <c r="N102" s="40" t="n"/>
    </row>
    <row r="103" ht="22" customHeight="1">
      <c r="A103" s="9" t="n"/>
      <c r="B103" s="9" t="n"/>
      <c r="C103" s="9" t="n"/>
      <c r="D103" s="9" t="n"/>
      <c r="E103" s="9" t="n"/>
      <c r="F103" s="9" t="n"/>
      <c r="G103" s="9" t="n"/>
      <c r="H103" s="41" t="n"/>
      <c r="I103" s="41" t="n"/>
      <c r="J103" s="9" t="n"/>
      <c r="K103" s="31" t="n"/>
      <c r="L103" s="31" t="n"/>
      <c r="M103" s="9" t="n"/>
      <c r="N103" s="41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40" t="n"/>
      <c r="I104" s="40" t="n"/>
      <c r="J104" s="5" t="n"/>
      <c r="K104" s="30" t="n"/>
      <c r="L104" s="30" t="n"/>
      <c r="M104" s="5" t="n"/>
      <c r="N104" s="40" t="n"/>
    </row>
    <row r="105" ht="22" customHeight="1">
      <c r="A105" s="9" t="n"/>
      <c r="B105" s="9" t="n"/>
      <c r="C105" s="9" t="n"/>
      <c r="D105" s="9" t="n"/>
      <c r="E105" s="9" t="n"/>
      <c r="F105" s="9" t="n"/>
      <c r="G105" s="9" t="n"/>
      <c r="H105" s="41" t="n"/>
      <c r="I105" s="41" t="n"/>
      <c r="J105" s="9" t="n"/>
      <c r="K105" s="31" t="n"/>
      <c r="L105" s="31" t="n"/>
      <c r="M105" s="9" t="n"/>
      <c r="N105" s="41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40" t="n"/>
      <c r="I106" s="40" t="n"/>
      <c r="J106" s="5" t="n"/>
      <c r="K106" s="30" t="n"/>
      <c r="L106" s="30" t="n"/>
      <c r="M106" s="5" t="n"/>
      <c r="N106" s="40" t="n"/>
    </row>
    <row r="107" ht="22" customHeight="1">
      <c r="A107" s="9" t="n"/>
      <c r="B107" s="9" t="n"/>
      <c r="C107" s="9" t="n"/>
      <c r="D107" s="9" t="n"/>
      <c r="E107" s="9" t="n"/>
      <c r="F107" s="9" t="n"/>
      <c r="G107" s="9" t="n"/>
      <c r="H107" s="41" t="n"/>
      <c r="I107" s="41" t="n"/>
      <c r="J107" s="9" t="n"/>
      <c r="K107" s="31" t="n"/>
      <c r="L107" s="31" t="n"/>
      <c r="M107" s="9" t="n"/>
      <c r="N107" s="41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40" t="n"/>
      <c r="I108" s="40" t="n"/>
      <c r="J108" s="5" t="n"/>
      <c r="K108" s="30" t="n"/>
      <c r="L108" s="30" t="n"/>
      <c r="M108" s="5" t="n"/>
      <c r="N108" s="40" t="n"/>
    </row>
    <row r="109" ht="22" customHeight="1">
      <c r="A109" s="9" t="n"/>
      <c r="B109" s="9" t="n"/>
      <c r="C109" s="9" t="n"/>
      <c r="D109" s="9" t="n"/>
      <c r="E109" s="9" t="n"/>
      <c r="F109" s="9" t="n"/>
      <c r="G109" s="9" t="n"/>
      <c r="H109" s="41" t="n"/>
      <c r="I109" s="41" t="n"/>
      <c r="J109" s="9" t="n"/>
      <c r="K109" s="31" t="n"/>
      <c r="L109" s="31" t="n"/>
      <c r="M109" s="9" t="n"/>
      <c r="N109" s="41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40" t="n"/>
      <c r="I110" s="40" t="n"/>
      <c r="J110" s="5" t="n"/>
      <c r="K110" s="30" t="n"/>
      <c r="L110" s="30" t="n"/>
      <c r="M110" s="5" t="n"/>
      <c r="N110" s="40" t="n"/>
    </row>
    <row r="111" ht="22" customHeight="1">
      <c r="A111" s="9" t="n"/>
      <c r="B111" s="9" t="n"/>
      <c r="C111" s="9" t="n"/>
      <c r="D111" s="9" t="n"/>
      <c r="E111" s="9" t="n"/>
      <c r="F111" s="9" t="n"/>
      <c r="G111" s="9" t="n"/>
      <c r="H111" s="41" t="n"/>
      <c r="I111" s="41" t="n"/>
      <c r="J111" s="9" t="n"/>
      <c r="K111" s="31" t="n"/>
      <c r="L111" s="31" t="n"/>
      <c r="M111" s="9" t="n"/>
      <c r="N111" s="41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40" t="n"/>
      <c r="I112" s="40" t="n"/>
      <c r="J112" s="5" t="n"/>
      <c r="K112" s="30" t="n"/>
      <c r="L112" s="30" t="n"/>
      <c r="M112" s="5" t="n"/>
      <c r="N112" s="40" t="n"/>
    </row>
    <row r="113" ht="22" customHeight="1">
      <c r="A113" s="9" t="n"/>
      <c r="B113" s="9" t="n"/>
      <c r="C113" s="9" t="n"/>
      <c r="D113" s="9" t="n"/>
      <c r="E113" s="9" t="n"/>
      <c r="F113" s="9" t="n"/>
      <c r="G113" s="9" t="n"/>
      <c r="H113" s="41" t="n"/>
      <c r="I113" s="41" t="n"/>
      <c r="J113" s="9" t="n"/>
      <c r="K113" s="31" t="n"/>
      <c r="L113" s="31" t="n"/>
      <c r="M113" s="9" t="n"/>
      <c r="N113" s="41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40" t="n"/>
      <c r="I114" s="40" t="n"/>
      <c r="J114" s="5" t="n"/>
      <c r="K114" s="30" t="n"/>
      <c r="L114" s="30" t="n"/>
      <c r="M114" s="5" t="n"/>
      <c r="N114" s="40" t="n"/>
    </row>
    <row r="115" ht="22" customHeight="1">
      <c r="A115" s="9" t="n"/>
      <c r="B115" s="9" t="n"/>
      <c r="C115" s="9" t="n"/>
      <c r="D115" s="9" t="n"/>
      <c r="E115" s="9" t="n"/>
      <c r="F115" s="9" t="n"/>
      <c r="G115" s="9" t="n"/>
      <c r="H115" s="41" t="n"/>
      <c r="I115" s="41" t="n"/>
      <c r="J115" s="9" t="n"/>
      <c r="K115" s="31" t="n"/>
      <c r="L115" s="31" t="n"/>
      <c r="M115" s="9" t="n"/>
      <c r="N115" s="41" t="n"/>
    </row>
  </sheetData>
  <mergeCells count="2">
    <mergeCell ref="A3:N3"/>
    <mergeCell ref="A2:N2"/>
  </mergeCells>
  <conditionalFormatting sqref="G6:G115">
    <cfRule type="cellIs" priority="1" operator="equal" dxfId="0">
      <formula>"Oui"</formula>
    </cfRule>
    <cfRule type="cellIs" priority="2" operator="equal" dxfId="1">
      <formula>"Non"</formula>
    </cfRule>
  </conditionalFormatting>
  <conditionalFormatting sqref="M6:M115">
    <cfRule type="cellIs" priority="3" operator="equal" dxfId="0">
      <formula>"Actif"</formula>
    </cfRule>
    <cfRule type="cellIs" priority="4" operator="equal" dxfId="3">
      <formula>"Suspendu"</formula>
    </cfRule>
    <cfRule type="cellIs" priority="5" operator="equal" dxfId="1">
      <formula>"Résilié"</formula>
    </cfRule>
  </conditionalFormatting>
  <dataValidations count="2">
    <dataValidation sqref="G6:G115" showDropDown="0" showInputMessage="0" showErrorMessage="0" allowBlank="1" errorTitle="Erreur" error="Valeur invalide" promptTitle="" prompt="Choisir: " type="list">
      <formula1>"Oui,Non"</formula1>
    </dataValidation>
    <dataValidation sqref="M6:M115" showDropDown="0" showInputMessage="0" showErrorMessage="0" allowBlank="1" errorTitle="Erreur" error="Valeur invalide" promptTitle="" prompt="Choisir: " type="list">
      <formula1>"Actif,Suspendu,En attente,Résilié"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8" customWidth="1" min="5" max="5"/>
    <col width="20" customWidth="1" min="6" max="6"/>
    <col width="20" customWidth="1" min="7" max="7"/>
    <col width="26" customWidth="1" min="8" max="8"/>
    <col width="26" customWidth="1" min="9" max="9"/>
    <col width="22" customWidth="1" min="10" max="10"/>
    <col width="20" customWidth="1" min="11" max="11"/>
    <col width="16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PRÉVOYANCE SANTÉ — Détail couverture et cotisations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Prénom (VLOOKUP)</t>
        </is>
      </c>
      <c r="D5" s="4" t="inlineStr">
        <is>
          <t>Niveau couverture</t>
        </is>
      </c>
      <c r="E5" s="4" t="inlineStr">
        <is>
          <t>Couverture conjoint</t>
        </is>
      </c>
      <c r="F5" s="4" t="inlineStr">
        <is>
          <t>Couverture enfants</t>
        </is>
      </c>
      <c r="G5" s="4" t="inlineStr">
        <is>
          <t>Nb enfants à charge</t>
        </is>
      </c>
      <c r="H5" s="4" t="inlineStr">
        <is>
          <t>Cotisation mensuelle (FCFA)</t>
        </is>
      </c>
      <c r="I5" s="4" t="inlineStr">
        <is>
          <t>Remboursements mensuels (FCFA)</t>
        </is>
      </c>
      <c r="J5" s="4" t="inlineStr">
        <is>
          <t>Solde disponible (FCFA)</t>
        </is>
      </c>
      <c r="K5" s="4" t="inlineStr">
        <is>
          <t>Plafond annuel (FCFA)</t>
        </is>
      </c>
      <c r="L5" s="4" t="inlineStr">
        <is>
          <t>Utilisation (%)</t>
        </is>
      </c>
      <c r="M5" s="4" t="inlineStr"/>
      <c r="N5" s="4" t="inlineStr">
        <is>
          <t>Date MAJ</t>
        </is>
      </c>
    </row>
    <row r="6" ht="22" customHeight="1">
      <c r="A6" s="5" t="inlineStr">
        <is>
          <t>EMP-001</t>
        </is>
      </c>
      <c r="B6" s="5">
        <f>IFERROR(VLOOKUP(A6,'F01 - _Données Employés'!$A$6:$C$20,2,FALSE),"")</f>
        <v/>
      </c>
      <c r="C6" s="5">
        <f>IFERROR(VLOOKUP(A6,'F01 - _Données Employés'!$A$6:$C$20,3,FALSE),"")</f>
        <v/>
      </c>
      <c r="D6" s="5" t="inlineStr">
        <is>
          <t>Premium</t>
        </is>
      </c>
      <c r="E6" s="5" t="inlineStr">
        <is>
          <t>Oui</t>
        </is>
      </c>
      <c r="F6" s="5" t="inlineStr">
        <is>
          <t>Oui</t>
        </is>
      </c>
      <c r="G6" s="5" t="n">
        <v>3</v>
      </c>
      <c r="H6" s="30">
        <f>IF(D6="Basique",10000,IF(D6="Standard",18500,28000))+IF(E6="Oui",8000,0)+F6*3000</f>
        <v/>
      </c>
      <c r="I6" s="30" t="n">
        <v>15000</v>
      </c>
      <c r="J6" s="30">
        <f>I6*12-H6*12</f>
        <v/>
      </c>
      <c r="K6" s="30">
        <f>IF(D6="Basique",200000,IF(D6="Standard",500000,1000000))</f>
        <v/>
      </c>
      <c r="L6" s="46">
        <f>IF(K6=0,0,(H6*12)/K6)</f>
        <v/>
      </c>
      <c r="M6" s="5" t="n"/>
      <c r="N6" s="40" t="n">
        <v>45444</v>
      </c>
    </row>
    <row r="7" ht="22" customHeight="1">
      <c r="A7" s="9" t="inlineStr">
        <is>
          <t>EMP-002</t>
        </is>
      </c>
      <c r="B7" s="9">
        <f>IFERROR(VLOOKUP(A7,'F01 - _Données Employés'!$A$6:$C$20,2,FALSE),"")</f>
        <v/>
      </c>
      <c r="C7" s="9">
        <f>IFERROR(VLOOKUP(A7,'F01 - _Données Employés'!$A$6:$C$20,3,FALSE),"")</f>
        <v/>
      </c>
      <c r="D7" s="9" t="inlineStr">
        <is>
          <t>Standard</t>
        </is>
      </c>
      <c r="E7" s="9" t="inlineStr">
        <is>
          <t>Oui</t>
        </is>
      </c>
      <c r="F7" s="9" t="inlineStr">
        <is>
          <t>Oui</t>
        </is>
      </c>
      <c r="G7" s="9" t="n">
        <v>2</v>
      </c>
      <c r="H7" s="31">
        <f>IF(D7="Basique",10000,IF(D7="Standard",18500,28000))+IF(E7="Oui",8000,0)+F7*3000</f>
        <v/>
      </c>
      <c r="I7" s="31" t="n">
        <v>25000</v>
      </c>
      <c r="J7" s="31">
        <f>I7*12-H7*12</f>
        <v/>
      </c>
      <c r="K7" s="31">
        <f>IF(D7="Basique",200000,IF(D7="Standard",500000,1000000))</f>
        <v/>
      </c>
      <c r="L7" s="47">
        <f>IF(K7=0,0,(H7*12)/K7)</f>
        <v/>
      </c>
      <c r="M7" s="9" t="n"/>
      <c r="N7" s="41" t="n">
        <v>45444</v>
      </c>
    </row>
    <row r="8" ht="22" customHeight="1">
      <c r="A8" s="5" t="inlineStr">
        <is>
          <t>EMP-003</t>
        </is>
      </c>
      <c r="B8" s="5">
        <f>IFERROR(VLOOKUP(A8,'F01 - _Données Employés'!$A$6:$C$20,2,FALSE),"")</f>
        <v/>
      </c>
      <c r="C8" s="5">
        <f>IFERROR(VLOOKUP(A8,'F01 - _Données Employés'!$A$6:$C$20,3,FALSE),"")</f>
        <v/>
      </c>
      <c r="D8" s="5" t="inlineStr">
        <is>
          <t>Standard</t>
        </is>
      </c>
      <c r="E8" s="5" t="inlineStr">
        <is>
          <t>Non</t>
        </is>
      </c>
      <c r="F8" s="5" t="inlineStr">
        <is>
          <t>Oui</t>
        </is>
      </c>
      <c r="G8" s="5" t="n">
        <v>1</v>
      </c>
      <c r="H8" s="30">
        <f>IF(D8="Basique",10000,IF(D8="Standard",18500,28000))+IF(E8="Oui",8000,0)+F8*3000</f>
        <v/>
      </c>
      <c r="I8" s="30" t="n">
        <v>8000</v>
      </c>
      <c r="J8" s="30">
        <f>I8*12-H8*12</f>
        <v/>
      </c>
      <c r="K8" s="30">
        <f>IF(D8="Basique",200000,IF(D8="Standard",500000,1000000))</f>
        <v/>
      </c>
      <c r="L8" s="46">
        <f>IF(K8=0,0,(H8*12)/K8)</f>
        <v/>
      </c>
      <c r="M8" s="5" t="n"/>
      <c r="N8" s="40" t="n">
        <v>45444</v>
      </c>
    </row>
    <row r="9" ht="22" customHeight="1">
      <c r="A9" s="9" t="inlineStr">
        <is>
          <t>EMP-005</t>
        </is>
      </c>
      <c r="B9" s="9">
        <f>IFERROR(VLOOKUP(A9,'F01 - _Données Employés'!$A$6:$C$20,2,FALSE),"")</f>
        <v/>
      </c>
      <c r="C9" s="9">
        <f>IFERROR(VLOOKUP(A9,'F01 - _Données Employés'!$A$6:$C$20,3,FALSE),"")</f>
        <v/>
      </c>
      <c r="D9" s="9" t="inlineStr">
        <is>
          <t>Premium</t>
        </is>
      </c>
      <c r="E9" s="9" t="inlineStr">
        <is>
          <t>Oui</t>
        </is>
      </c>
      <c r="F9" s="9" t="inlineStr">
        <is>
          <t>Non</t>
        </is>
      </c>
      <c r="G9" s="9" t="n">
        <v>0</v>
      </c>
      <c r="H9" s="31">
        <f>IF(D9="Basique",10000,IF(D9="Standard",18500,28000))+IF(E9="Oui",8000,0)+F9*3000</f>
        <v/>
      </c>
      <c r="I9" s="31" t="n">
        <v>12000</v>
      </c>
      <c r="J9" s="31">
        <f>I9*12-H9*12</f>
        <v/>
      </c>
      <c r="K9" s="31">
        <f>IF(D9="Basique",200000,IF(D9="Standard",500000,1000000))</f>
        <v/>
      </c>
      <c r="L9" s="47">
        <f>IF(K9=0,0,(H9*12)/K9)</f>
        <v/>
      </c>
      <c r="M9" s="9" t="n"/>
      <c r="N9" s="41" t="n">
        <v>45444</v>
      </c>
    </row>
    <row r="10" ht="22" customHeight="1">
      <c r="A10" s="5" t="inlineStr">
        <is>
          <t>EMP-006</t>
        </is>
      </c>
      <c r="B10" s="5">
        <f>IFERROR(VLOOKUP(A10,'F01 - _Données Employés'!$A$6:$C$20,2,FALSE),"")</f>
        <v/>
      </c>
      <c r="C10" s="5">
        <f>IFERROR(VLOOKUP(A10,'F01 - _Données Employés'!$A$6:$C$20,3,FALSE),"")</f>
        <v/>
      </c>
      <c r="D10" s="5" t="inlineStr">
        <is>
          <t>Standard</t>
        </is>
      </c>
      <c r="E10" s="5" t="inlineStr">
        <is>
          <t>Non</t>
        </is>
      </c>
      <c r="F10" s="5" t="inlineStr">
        <is>
          <t>Oui</t>
        </is>
      </c>
      <c r="G10" s="5" t="n">
        <v>2</v>
      </c>
      <c r="H10" s="30">
        <f>IF(D10="Basique",10000,IF(D10="Standard",18500,28000))+IF(E10="Oui",8000,0)+F10*3000</f>
        <v/>
      </c>
      <c r="I10" s="30" t="n">
        <v>5000</v>
      </c>
      <c r="J10" s="30">
        <f>I10*12-H10*12</f>
        <v/>
      </c>
      <c r="K10" s="30">
        <f>IF(D10="Basique",200000,IF(D10="Standard",500000,1000000))</f>
        <v/>
      </c>
      <c r="L10" s="46">
        <f>IF(K10=0,0,(H10*12)/K10)</f>
        <v/>
      </c>
      <c r="M10" s="5" t="n"/>
      <c r="N10" s="40" t="n">
        <v>45444</v>
      </c>
    </row>
    <row r="11" ht="22" customHeight="1">
      <c r="A11" s="9" t="inlineStr">
        <is>
          <t>EMP-008</t>
        </is>
      </c>
      <c r="B11" s="9">
        <f>IFERROR(VLOOKUP(A11,'F01 - _Données Employés'!$A$6:$C$20,2,FALSE),"")</f>
        <v/>
      </c>
      <c r="C11" s="9">
        <f>IFERROR(VLOOKUP(A11,'F01 - _Données Employés'!$A$6:$C$20,3,FALSE),"")</f>
        <v/>
      </c>
      <c r="D11" s="9" t="inlineStr">
        <is>
          <t>Premium</t>
        </is>
      </c>
      <c r="E11" s="9" t="inlineStr">
        <is>
          <t>Oui</t>
        </is>
      </c>
      <c r="F11" s="9" t="inlineStr">
        <is>
          <t>Oui</t>
        </is>
      </c>
      <c r="G11" s="9" t="n">
        <v>2</v>
      </c>
      <c r="H11" s="31">
        <f>IF(D11="Basique",10000,IF(D11="Standard",18500,28000))+IF(E11="Oui",8000,0)+F11*3000</f>
        <v/>
      </c>
      <c r="I11" s="31" t="n">
        <v>20000</v>
      </c>
      <c r="J11" s="31">
        <f>I11*12-H11*12</f>
        <v/>
      </c>
      <c r="K11" s="31">
        <f>IF(D11="Basique",200000,IF(D11="Standard",500000,1000000))</f>
        <v/>
      </c>
      <c r="L11" s="47">
        <f>IF(K11=0,0,(H11*12)/K11)</f>
        <v/>
      </c>
      <c r="M11" s="9" t="n"/>
      <c r="N11" s="41" t="n">
        <v>45444</v>
      </c>
    </row>
    <row r="12" ht="22" customHeight="1">
      <c r="A12" s="5" t="inlineStr">
        <is>
          <t>EMP-010</t>
        </is>
      </c>
      <c r="B12" s="5">
        <f>IFERROR(VLOOKUP(A12,'F01 - _Données Employés'!$A$6:$C$20,2,FALSE),"")</f>
        <v/>
      </c>
      <c r="C12" s="5">
        <f>IFERROR(VLOOKUP(A12,'F01 - _Données Employés'!$A$6:$C$20,3,FALSE),"")</f>
        <v/>
      </c>
      <c r="D12" s="5" t="inlineStr">
        <is>
          <t>Basique</t>
        </is>
      </c>
      <c r="E12" s="5" t="inlineStr">
        <is>
          <t>Non</t>
        </is>
      </c>
      <c r="F12" s="5" t="inlineStr">
        <is>
          <t>Non</t>
        </is>
      </c>
      <c r="G12" s="5" t="n">
        <v>0</v>
      </c>
      <c r="H12" s="30">
        <f>IF(D12="Basique",10000,IF(D12="Standard",18500,28000))+IF(E12="Oui",8000,0)+F12*3000</f>
        <v/>
      </c>
      <c r="I12" s="30" t="n">
        <v>3000</v>
      </c>
      <c r="J12" s="30">
        <f>I12*12-H12*12</f>
        <v/>
      </c>
      <c r="K12" s="30">
        <f>IF(D12="Basique",200000,IF(D12="Standard",500000,1000000))</f>
        <v/>
      </c>
      <c r="L12" s="46">
        <f>IF(K12=0,0,(H12*12)/K12)</f>
        <v/>
      </c>
      <c r="M12" s="5" t="n"/>
      <c r="N12" s="40" t="n">
        <v>45444</v>
      </c>
    </row>
    <row r="13" ht="22" customHeight="1">
      <c r="A13" s="9" t="inlineStr">
        <is>
          <t>EMP-011</t>
        </is>
      </c>
      <c r="B13" s="9">
        <f>IFERROR(VLOOKUP(A13,'F01 - _Données Employés'!$A$6:$C$20,2,FALSE),"")</f>
        <v/>
      </c>
      <c r="C13" s="9">
        <f>IFERROR(VLOOKUP(A13,'F01 - _Données Employés'!$A$6:$C$20,3,FALSE),"")</f>
        <v/>
      </c>
      <c r="D13" s="9" t="inlineStr">
        <is>
          <t>Standard</t>
        </is>
      </c>
      <c r="E13" s="9" t="inlineStr">
        <is>
          <t>Non</t>
        </is>
      </c>
      <c r="F13" s="9" t="inlineStr">
        <is>
          <t>Oui</t>
        </is>
      </c>
      <c r="G13" s="9" t="n">
        <v>1</v>
      </c>
      <c r="H13" s="31">
        <f>IF(D13="Basique",10000,IF(D13="Standard",18500,28000))+IF(E13="Oui",8000,0)+F13*3000</f>
        <v/>
      </c>
      <c r="I13" s="31" t="n">
        <v>6000</v>
      </c>
      <c r="J13" s="31">
        <f>I13*12-H13*12</f>
        <v/>
      </c>
      <c r="K13" s="31">
        <f>IF(D13="Basique",200000,IF(D13="Standard",500000,1000000))</f>
        <v/>
      </c>
      <c r="L13" s="47">
        <f>IF(K13=0,0,(H13*12)/K13)</f>
        <v/>
      </c>
      <c r="M13" s="9" t="n"/>
      <c r="N13" s="41" t="n">
        <v>45444</v>
      </c>
    </row>
    <row r="14" ht="22" customHeight="1">
      <c r="A14" s="5" t="inlineStr">
        <is>
          <t>EMP-012</t>
        </is>
      </c>
      <c r="B14" s="5">
        <f>IFERROR(VLOOKUP(A14,'F01 - _Données Employés'!$A$6:$C$20,2,FALSE),"")</f>
        <v/>
      </c>
      <c r="C14" s="5">
        <f>IFERROR(VLOOKUP(A14,'F01 - _Données Employés'!$A$6:$C$20,3,FALSE),"")</f>
        <v/>
      </c>
      <c r="D14" s="5" t="inlineStr">
        <is>
          <t>Premium</t>
        </is>
      </c>
      <c r="E14" s="5" t="inlineStr">
        <is>
          <t>Oui</t>
        </is>
      </c>
      <c r="F14" s="5" t="inlineStr">
        <is>
          <t>Oui</t>
        </is>
      </c>
      <c r="G14" s="5" t="n">
        <v>3</v>
      </c>
      <c r="H14" s="30">
        <f>IF(D14="Basique",10000,IF(D14="Standard",18500,28000))+IF(E14="Oui",8000,0)+F14*3000</f>
        <v/>
      </c>
      <c r="I14" s="30" t="n">
        <v>18000</v>
      </c>
      <c r="J14" s="30">
        <f>I14*12-H14*12</f>
        <v/>
      </c>
      <c r="K14" s="30">
        <f>IF(D14="Basique",200000,IF(D14="Standard",500000,1000000))</f>
        <v/>
      </c>
      <c r="L14" s="46">
        <f>IF(K14=0,0,(H14*12)/K14)</f>
        <v/>
      </c>
      <c r="M14" s="5" t="n"/>
      <c r="N14" s="40" t="n">
        <v>45444</v>
      </c>
    </row>
    <row r="15" ht="22" customHeight="1">
      <c r="A15" s="9" t="n"/>
      <c r="B15" s="9" t="n"/>
      <c r="C15" s="9" t="n"/>
      <c r="D15" s="9" t="n"/>
      <c r="E15" s="9" t="n"/>
      <c r="F15" s="9" t="n"/>
      <c r="G15" s="9" t="n"/>
      <c r="H15" s="31" t="n"/>
      <c r="I15" s="31" t="n"/>
      <c r="J15" s="31" t="n"/>
      <c r="K15" s="31" t="n"/>
      <c r="L15" s="47" t="n"/>
      <c r="M15" s="9" t="n"/>
      <c r="N15" s="41" t="n"/>
    </row>
    <row r="16" ht="22" customHeight="1">
      <c r="A16" s="5" t="n"/>
      <c r="B16" s="5" t="n"/>
      <c r="C16" s="5" t="n"/>
      <c r="D16" s="5" t="n"/>
      <c r="E16" s="5" t="n"/>
      <c r="F16" s="5" t="n"/>
      <c r="G16" s="5" t="n"/>
      <c r="H16" s="30" t="n"/>
      <c r="I16" s="30" t="n"/>
      <c r="J16" s="30" t="n"/>
      <c r="K16" s="30" t="n"/>
      <c r="L16" s="46" t="n"/>
      <c r="M16" s="5" t="n"/>
      <c r="N16" s="40" t="n"/>
    </row>
    <row r="17" ht="22" customHeight="1">
      <c r="A17" s="9" t="n"/>
      <c r="B17" s="9" t="n"/>
      <c r="C17" s="9" t="n"/>
      <c r="D17" s="9" t="n"/>
      <c r="E17" s="9" t="n"/>
      <c r="F17" s="9" t="n"/>
      <c r="G17" s="9" t="n"/>
      <c r="H17" s="31" t="n"/>
      <c r="I17" s="31" t="n"/>
      <c r="J17" s="31" t="n"/>
      <c r="K17" s="31" t="n"/>
      <c r="L17" s="47" t="n"/>
      <c r="M17" s="9" t="n"/>
      <c r="N17" s="41" t="n"/>
    </row>
    <row r="18" ht="22" customHeight="1">
      <c r="A18" s="5" t="n"/>
      <c r="B18" s="5" t="n"/>
      <c r="C18" s="5" t="n"/>
      <c r="D18" s="5" t="n"/>
      <c r="E18" s="5" t="n"/>
      <c r="F18" s="5" t="n"/>
      <c r="G18" s="5" t="n"/>
      <c r="H18" s="30" t="n"/>
      <c r="I18" s="30" t="n"/>
      <c r="J18" s="30" t="n"/>
      <c r="K18" s="30" t="n"/>
      <c r="L18" s="46" t="n"/>
      <c r="M18" s="5" t="n"/>
      <c r="N18" s="40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31" t="n"/>
      <c r="I19" s="31" t="n"/>
      <c r="J19" s="31" t="n"/>
      <c r="K19" s="31" t="n"/>
      <c r="L19" s="47" t="n"/>
      <c r="M19" s="9" t="n"/>
      <c r="N19" s="41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30" t="n"/>
      <c r="I20" s="30" t="n"/>
      <c r="J20" s="30" t="n"/>
      <c r="K20" s="30" t="n"/>
      <c r="L20" s="46" t="n"/>
      <c r="M20" s="5" t="n"/>
      <c r="N20" s="40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31" t="n"/>
      <c r="I21" s="31" t="n"/>
      <c r="J21" s="31" t="n"/>
      <c r="K21" s="31" t="n"/>
      <c r="L21" s="47" t="n"/>
      <c r="M21" s="9" t="n"/>
      <c r="N21" s="41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30" t="n"/>
      <c r="I22" s="30" t="n"/>
      <c r="J22" s="30" t="n"/>
      <c r="K22" s="30" t="n"/>
      <c r="L22" s="46" t="n"/>
      <c r="M22" s="5" t="n"/>
      <c r="N22" s="40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31" t="n"/>
      <c r="I23" s="31" t="n"/>
      <c r="J23" s="31" t="n"/>
      <c r="K23" s="31" t="n"/>
      <c r="L23" s="47" t="n"/>
      <c r="M23" s="9" t="n"/>
      <c r="N23" s="41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30" t="n"/>
      <c r="I24" s="30" t="n"/>
      <c r="J24" s="30" t="n"/>
      <c r="K24" s="30" t="n"/>
      <c r="L24" s="46" t="n"/>
      <c r="M24" s="5" t="n"/>
      <c r="N24" s="40" t="n"/>
    </row>
    <row r="25" ht="22" customHeight="1">
      <c r="A25" s="9" t="n"/>
      <c r="B25" s="9" t="n"/>
      <c r="C25" s="9" t="n"/>
      <c r="D25" s="9" t="n"/>
      <c r="E25" s="9" t="n"/>
      <c r="F25" s="9" t="n"/>
      <c r="G25" s="9" t="n"/>
      <c r="H25" s="31" t="n"/>
      <c r="I25" s="31" t="n"/>
      <c r="J25" s="31" t="n"/>
      <c r="K25" s="31" t="n"/>
      <c r="L25" s="47" t="n"/>
      <c r="M25" s="9" t="n"/>
      <c r="N25" s="41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30" t="n"/>
      <c r="I26" s="30" t="n"/>
      <c r="J26" s="30" t="n"/>
      <c r="K26" s="30" t="n"/>
      <c r="L26" s="46" t="n"/>
      <c r="M26" s="5" t="n"/>
      <c r="N26" s="40" t="n"/>
    </row>
    <row r="27" ht="22" customHeight="1">
      <c r="A27" s="9" t="n"/>
      <c r="B27" s="9" t="n"/>
      <c r="C27" s="9" t="n"/>
      <c r="D27" s="9" t="n"/>
      <c r="E27" s="9" t="n"/>
      <c r="F27" s="9" t="n"/>
      <c r="G27" s="9" t="n"/>
      <c r="H27" s="31" t="n"/>
      <c r="I27" s="31" t="n"/>
      <c r="J27" s="31" t="n"/>
      <c r="K27" s="31" t="n"/>
      <c r="L27" s="47" t="n"/>
      <c r="M27" s="9" t="n"/>
      <c r="N27" s="41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30" t="n"/>
      <c r="I28" s="30" t="n"/>
      <c r="J28" s="30" t="n"/>
      <c r="K28" s="30" t="n"/>
      <c r="L28" s="46" t="n"/>
      <c r="M28" s="5" t="n"/>
      <c r="N28" s="40" t="n"/>
    </row>
    <row r="29" ht="22" customHeight="1">
      <c r="A29" s="9" t="n"/>
      <c r="B29" s="9" t="n"/>
      <c r="C29" s="9" t="n"/>
      <c r="D29" s="9" t="n"/>
      <c r="E29" s="9" t="n"/>
      <c r="F29" s="9" t="n"/>
      <c r="G29" s="9" t="n"/>
      <c r="H29" s="31" t="n"/>
      <c r="I29" s="31" t="n"/>
      <c r="J29" s="31" t="n"/>
      <c r="K29" s="31" t="n"/>
      <c r="L29" s="47" t="n"/>
      <c r="M29" s="9" t="n"/>
      <c r="N29" s="41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30" t="n"/>
      <c r="I30" s="30" t="n"/>
      <c r="J30" s="30" t="n"/>
      <c r="K30" s="30" t="n"/>
      <c r="L30" s="46" t="n"/>
      <c r="M30" s="5" t="n"/>
      <c r="N30" s="40" t="n"/>
    </row>
    <row r="31" ht="22" customHeight="1">
      <c r="A31" s="9" t="n"/>
      <c r="B31" s="9" t="n"/>
      <c r="C31" s="9" t="n"/>
      <c r="D31" s="9" t="n"/>
      <c r="E31" s="9" t="n"/>
      <c r="F31" s="9" t="n"/>
      <c r="G31" s="9" t="n"/>
      <c r="H31" s="31" t="n"/>
      <c r="I31" s="31" t="n"/>
      <c r="J31" s="31" t="n"/>
      <c r="K31" s="31" t="n"/>
      <c r="L31" s="47" t="n"/>
      <c r="M31" s="9" t="n"/>
      <c r="N31" s="41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30" t="n"/>
      <c r="I32" s="30" t="n"/>
      <c r="J32" s="30" t="n"/>
      <c r="K32" s="30" t="n"/>
      <c r="L32" s="46" t="n"/>
      <c r="M32" s="5" t="n"/>
      <c r="N32" s="40" t="n"/>
    </row>
    <row r="33" ht="22" customHeight="1">
      <c r="A33" s="9" t="n"/>
      <c r="B33" s="9" t="n"/>
      <c r="C33" s="9" t="n"/>
      <c r="D33" s="9" t="n"/>
      <c r="E33" s="9" t="n"/>
      <c r="F33" s="9" t="n"/>
      <c r="G33" s="9" t="n"/>
      <c r="H33" s="31" t="n"/>
      <c r="I33" s="31" t="n"/>
      <c r="J33" s="31" t="n"/>
      <c r="K33" s="31" t="n"/>
      <c r="L33" s="47" t="n"/>
      <c r="M33" s="9" t="n"/>
      <c r="N33" s="41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30" t="n"/>
      <c r="I34" s="30" t="n"/>
      <c r="J34" s="30" t="n"/>
      <c r="K34" s="30" t="n"/>
      <c r="L34" s="46" t="n"/>
      <c r="M34" s="5" t="n"/>
      <c r="N34" s="40" t="n"/>
    </row>
    <row r="35" ht="22" customHeight="1">
      <c r="A35" s="9" t="n"/>
      <c r="B35" s="9" t="n"/>
      <c r="C35" s="9" t="n"/>
      <c r="D35" s="9" t="n"/>
      <c r="E35" s="9" t="n"/>
      <c r="F35" s="9" t="n"/>
      <c r="G35" s="9" t="n"/>
      <c r="H35" s="31" t="n"/>
      <c r="I35" s="31" t="n"/>
      <c r="J35" s="31" t="n"/>
      <c r="K35" s="31" t="n"/>
      <c r="L35" s="47" t="n"/>
      <c r="M35" s="9" t="n"/>
      <c r="N35" s="41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30" t="n"/>
      <c r="I36" s="30" t="n"/>
      <c r="J36" s="30" t="n"/>
      <c r="K36" s="30" t="n"/>
      <c r="L36" s="46" t="n"/>
      <c r="M36" s="5" t="n"/>
      <c r="N36" s="40" t="n"/>
    </row>
    <row r="37" ht="22" customHeight="1">
      <c r="A37" s="9" t="n"/>
      <c r="B37" s="9" t="n"/>
      <c r="C37" s="9" t="n"/>
      <c r="D37" s="9" t="n"/>
      <c r="E37" s="9" t="n"/>
      <c r="F37" s="9" t="n"/>
      <c r="G37" s="9" t="n"/>
      <c r="H37" s="31" t="n"/>
      <c r="I37" s="31" t="n"/>
      <c r="J37" s="31" t="n"/>
      <c r="K37" s="31" t="n"/>
      <c r="L37" s="47" t="n"/>
      <c r="M37" s="9" t="n"/>
      <c r="N37" s="41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30" t="n"/>
      <c r="I38" s="30" t="n"/>
      <c r="J38" s="30" t="n"/>
      <c r="K38" s="30" t="n"/>
      <c r="L38" s="46" t="n"/>
      <c r="M38" s="5" t="n"/>
      <c r="N38" s="40" t="n"/>
    </row>
    <row r="39" ht="22" customHeight="1">
      <c r="A39" s="9" t="n"/>
      <c r="B39" s="9" t="n"/>
      <c r="C39" s="9" t="n"/>
      <c r="D39" s="9" t="n"/>
      <c r="E39" s="9" t="n"/>
      <c r="F39" s="9" t="n"/>
      <c r="G39" s="9" t="n"/>
      <c r="H39" s="31" t="n"/>
      <c r="I39" s="31" t="n"/>
      <c r="J39" s="31" t="n"/>
      <c r="K39" s="31" t="n"/>
      <c r="L39" s="47" t="n"/>
      <c r="M39" s="9" t="n"/>
      <c r="N39" s="41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30" t="n"/>
      <c r="I40" s="30" t="n"/>
      <c r="J40" s="30" t="n"/>
      <c r="K40" s="30" t="n"/>
      <c r="L40" s="46" t="n"/>
      <c r="M40" s="5" t="n"/>
      <c r="N40" s="40" t="n"/>
    </row>
    <row r="41" ht="22" customHeight="1">
      <c r="A41" s="9" t="n"/>
      <c r="B41" s="9" t="n"/>
      <c r="C41" s="9" t="n"/>
      <c r="D41" s="9" t="n"/>
      <c r="E41" s="9" t="n"/>
      <c r="F41" s="9" t="n"/>
      <c r="G41" s="9" t="n"/>
      <c r="H41" s="31" t="n"/>
      <c r="I41" s="31" t="n"/>
      <c r="J41" s="31" t="n"/>
      <c r="K41" s="31" t="n"/>
      <c r="L41" s="47" t="n"/>
      <c r="M41" s="9" t="n"/>
      <c r="N41" s="41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30" t="n"/>
      <c r="I42" s="30" t="n"/>
      <c r="J42" s="30" t="n"/>
      <c r="K42" s="30" t="n"/>
      <c r="L42" s="46" t="n"/>
      <c r="M42" s="5" t="n"/>
      <c r="N42" s="40" t="n"/>
    </row>
    <row r="43" ht="22" customHeight="1">
      <c r="A43" s="9" t="n"/>
      <c r="B43" s="9" t="n"/>
      <c r="C43" s="9" t="n"/>
      <c r="D43" s="9" t="n"/>
      <c r="E43" s="9" t="n"/>
      <c r="F43" s="9" t="n"/>
      <c r="G43" s="9" t="n"/>
      <c r="H43" s="31" t="n"/>
      <c r="I43" s="31" t="n"/>
      <c r="J43" s="31" t="n"/>
      <c r="K43" s="31" t="n"/>
      <c r="L43" s="47" t="n"/>
      <c r="M43" s="9" t="n"/>
      <c r="N43" s="41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30" t="n"/>
      <c r="I44" s="30" t="n"/>
      <c r="J44" s="30" t="n"/>
      <c r="K44" s="30" t="n"/>
      <c r="L44" s="46" t="n"/>
      <c r="M44" s="5" t="n"/>
      <c r="N44" s="40" t="n"/>
    </row>
    <row r="45" ht="22" customHeight="1">
      <c r="A45" s="9" t="n"/>
      <c r="B45" s="9" t="n"/>
      <c r="C45" s="9" t="n"/>
      <c r="D45" s="9" t="n"/>
      <c r="E45" s="9" t="n"/>
      <c r="F45" s="9" t="n"/>
      <c r="G45" s="9" t="n"/>
      <c r="H45" s="31" t="n"/>
      <c r="I45" s="31" t="n"/>
      <c r="J45" s="31" t="n"/>
      <c r="K45" s="31" t="n"/>
      <c r="L45" s="47" t="n"/>
      <c r="M45" s="9" t="n"/>
      <c r="N45" s="41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30" t="n"/>
      <c r="I46" s="30" t="n"/>
      <c r="J46" s="30" t="n"/>
      <c r="K46" s="30" t="n"/>
      <c r="L46" s="46" t="n"/>
      <c r="M46" s="5" t="n"/>
      <c r="N46" s="40" t="n"/>
    </row>
    <row r="47" ht="22" customHeight="1">
      <c r="A47" s="9" t="n"/>
      <c r="B47" s="9" t="n"/>
      <c r="C47" s="9" t="n"/>
      <c r="D47" s="9" t="n"/>
      <c r="E47" s="9" t="n"/>
      <c r="F47" s="9" t="n"/>
      <c r="G47" s="9" t="n"/>
      <c r="H47" s="31" t="n"/>
      <c r="I47" s="31" t="n"/>
      <c r="J47" s="31" t="n"/>
      <c r="K47" s="31" t="n"/>
      <c r="L47" s="47" t="n"/>
      <c r="M47" s="9" t="n"/>
      <c r="N47" s="41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30" t="n"/>
      <c r="I48" s="30" t="n"/>
      <c r="J48" s="30" t="n"/>
      <c r="K48" s="30" t="n"/>
      <c r="L48" s="46" t="n"/>
      <c r="M48" s="5" t="n"/>
      <c r="N48" s="40" t="n"/>
    </row>
    <row r="49" ht="22" customHeight="1">
      <c r="A49" s="9" t="n"/>
      <c r="B49" s="9" t="n"/>
      <c r="C49" s="9" t="n"/>
      <c r="D49" s="9" t="n"/>
      <c r="E49" s="9" t="n"/>
      <c r="F49" s="9" t="n"/>
      <c r="G49" s="9" t="n"/>
      <c r="H49" s="31" t="n"/>
      <c r="I49" s="31" t="n"/>
      <c r="J49" s="31" t="n"/>
      <c r="K49" s="31" t="n"/>
      <c r="L49" s="47" t="n"/>
      <c r="M49" s="9" t="n"/>
      <c r="N49" s="41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30" t="n"/>
      <c r="I50" s="30" t="n"/>
      <c r="J50" s="30" t="n"/>
      <c r="K50" s="30" t="n"/>
      <c r="L50" s="46" t="n"/>
      <c r="M50" s="5" t="n"/>
      <c r="N50" s="40" t="n"/>
    </row>
    <row r="51" ht="22" customHeight="1">
      <c r="A51" s="9" t="n"/>
      <c r="B51" s="9" t="n"/>
      <c r="C51" s="9" t="n"/>
      <c r="D51" s="9" t="n"/>
      <c r="E51" s="9" t="n"/>
      <c r="F51" s="9" t="n"/>
      <c r="G51" s="9" t="n"/>
      <c r="H51" s="31" t="n"/>
      <c r="I51" s="31" t="n"/>
      <c r="J51" s="31" t="n"/>
      <c r="K51" s="31" t="n"/>
      <c r="L51" s="47" t="n"/>
      <c r="M51" s="9" t="n"/>
      <c r="N51" s="41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30" t="n"/>
      <c r="I52" s="30" t="n"/>
      <c r="J52" s="30" t="n"/>
      <c r="K52" s="30" t="n"/>
      <c r="L52" s="46" t="n"/>
      <c r="M52" s="5" t="n"/>
      <c r="N52" s="40" t="n"/>
    </row>
    <row r="53" ht="22" customHeight="1">
      <c r="A53" s="9" t="n"/>
      <c r="B53" s="9" t="n"/>
      <c r="C53" s="9" t="n"/>
      <c r="D53" s="9" t="n"/>
      <c r="E53" s="9" t="n"/>
      <c r="F53" s="9" t="n"/>
      <c r="G53" s="9" t="n"/>
      <c r="H53" s="31" t="n"/>
      <c r="I53" s="31" t="n"/>
      <c r="J53" s="31" t="n"/>
      <c r="K53" s="31" t="n"/>
      <c r="L53" s="47" t="n"/>
      <c r="M53" s="9" t="n"/>
      <c r="N53" s="41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30" t="n"/>
      <c r="I54" s="30" t="n"/>
      <c r="J54" s="30" t="n"/>
      <c r="K54" s="30" t="n"/>
      <c r="L54" s="46" t="n"/>
      <c r="M54" s="5" t="n"/>
      <c r="N54" s="40" t="n"/>
    </row>
    <row r="55" ht="22" customHeight="1">
      <c r="A55" s="9" t="n"/>
      <c r="B55" s="9" t="n"/>
      <c r="C55" s="9" t="n"/>
      <c r="D55" s="9" t="n"/>
      <c r="E55" s="9" t="n"/>
      <c r="F55" s="9" t="n"/>
      <c r="G55" s="9" t="n"/>
      <c r="H55" s="31" t="n"/>
      <c r="I55" s="31" t="n"/>
      <c r="J55" s="31" t="n"/>
      <c r="K55" s="31" t="n"/>
      <c r="L55" s="47" t="n"/>
      <c r="M55" s="9" t="n"/>
      <c r="N55" s="41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30" t="n"/>
      <c r="I56" s="30" t="n"/>
      <c r="J56" s="30" t="n"/>
      <c r="K56" s="30" t="n"/>
      <c r="L56" s="46" t="n"/>
      <c r="M56" s="5" t="n"/>
      <c r="N56" s="40" t="n"/>
    </row>
    <row r="57" ht="22" customHeight="1">
      <c r="A57" s="9" t="n"/>
      <c r="B57" s="9" t="n"/>
      <c r="C57" s="9" t="n"/>
      <c r="D57" s="9" t="n"/>
      <c r="E57" s="9" t="n"/>
      <c r="F57" s="9" t="n"/>
      <c r="G57" s="9" t="n"/>
      <c r="H57" s="31" t="n"/>
      <c r="I57" s="31" t="n"/>
      <c r="J57" s="31" t="n"/>
      <c r="K57" s="31" t="n"/>
      <c r="L57" s="47" t="n"/>
      <c r="M57" s="9" t="n"/>
      <c r="N57" s="41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30" t="n"/>
      <c r="I58" s="30" t="n"/>
      <c r="J58" s="30" t="n"/>
      <c r="K58" s="30" t="n"/>
      <c r="L58" s="46" t="n"/>
      <c r="M58" s="5" t="n"/>
      <c r="N58" s="40" t="n"/>
    </row>
    <row r="59" ht="22" customHeight="1">
      <c r="A59" s="9" t="n"/>
      <c r="B59" s="9" t="n"/>
      <c r="C59" s="9" t="n"/>
      <c r="D59" s="9" t="n"/>
      <c r="E59" s="9" t="n"/>
      <c r="F59" s="9" t="n"/>
      <c r="G59" s="9" t="n"/>
      <c r="H59" s="31" t="n"/>
      <c r="I59" s="31" t="n"/>
      <c r="J59" s="31" t="n"/>
      <c r="K59" s="31" t="n"/>
      <c r="L59" s="47" t="n"/>
      <c r="M59" s="9" t="n"/>
      <c r="N59" s="41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30" t="n"/>
      <c r="I60" s="30" t="n"/>
      <c r="J60" s="30" t="n"/>
      <c r="K60" s="30" t="n"/>
      <c r="L60" s="46" t="n"/>
      <c r="M60" s="5" t="n"/>
      <c r="N60" s="40" t="n"/>
    </row>
    <row r="61" ht="22" customHeight="1">
      <c r="A61" s="9" t="n"/>
      <c r="B61" s="9" t="n"/>
      <c r="C61" s="9" t="n"/>
      <c r="D61" s="9" t="n"/>
      <c r="E61" s="9" t="n"/>
      <c r="F61" s="9" t="n"/>
      <c r="G61" s="9" t="n"/>
      <c r="H61" s="31" t="n"/>
      <c r="I61" s="31" t="n"/>
      <c r="J61" s="31" t="n"/>
      <c r="K61" s="31" t="n"/>
      <c r="L61" s="47" t="n"/>
      <c r="M61" s="9" t="n"/>
      <c r="N61" s="41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30" t="n"/>
      <c r="I62" s="30" t="n"/>
      <c r="J62" s="30" t="n"/>
      <c r="K62" s="30" t="n"/>
      <c r="L62" s="46" t="n"/>
      <c r="M62" s="5" t="n"/>
      <c r="N62" s="40" t="n"/>
    </row>
    <row r="63" ht="22" customHeight="1">
      <c r="A63" s="9" t="n"/>
      <c r="B63" s="9" t="n"/>
      <c r="C63" s="9" t="n"/>
      <c r="D63" s="9" t="n"/>
      <c r="E63" s="9" t="n"/>
      <c r="F63" s="9" t="n"/>
      <c r="G63" s="9" t="n"/>
      <c r="H63" s="31" t="n"/>
      <c r="I63" s="31" t="n"/>
      <c r="J63" s="31" t="n"/>
      <c r="K63" s="31" t="n"/>
      <c r="L63" s="47" t="n"/>
      <c r="M63" s="9" t="n"/>
      <c r="N63" s="41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30" t="n"/>
      <c r="I64" s="30" t="n"/>
      <c r="J64" s="30" t="n"/>
      <c r="K64" s="30" t="n"/>
      <c r="L64" s="46" t="n"/>
      <c r="M64" s="5" t="n"/>
      <c r="N64" s="40" t="n"/>
    </row>
    <row r="65" ht="22" customHeight="1">
      <c r="A65" s="9" t="n"/>
      <c r="B65" s="9" t="n"/>
      <c r="C65" s="9" t="n"/>
      <c r="D65" s="9" t="n"/>
      <c r="E65" s="9" t="n"/>
      <c r="F65" s="9" t="n"/>
      <c r="G65" s="9" t="n"/>
      <c r="H65" s="31" t="n"/>
      <c r="I65" s="31" t="n"/>
      <c r="J65" s="31" t="n"/>
      <c r="K65" s="31" t="n"/>
      <c r="L65" s="47" t="n"/>
      <c r="M65" s="9" t="n"/>
      <c r="N65" s="41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30" t="n"/>
      <c r="I66" s="30" t="n"/>
      <c r="J66" s="30" t="n"/>
      <c r="K66" s="30" t="n"/>
      <c r="L66" s="46" t="n"/>
      <c r="M66" s="5" t="n"/>
      <c r="N66" s="40" t="n"/>
    </row>
    <row r="67" ht="22" customHeight="1">
      <c r="A67" s="9" t="n"/>
      <c r="B67" s="9" t="n"/>
      <c r="C67" s="9" t="n"/>
      <c r="D67" s="9" t="n"/>
      <c r="E67" s="9" t="n"/>
      <c r="F67" s="9" t="n"/>
      <c r="G67" s="9" t="n"/>
      <c r="H67" s="31" t="n"/>
      <c r="I67" s="31" t="n"/>
      <c r="J67" s="31" t="n"/>
      <c r="K67" s="31" t="n"/>
      <c r="L67" s="47" t="n"/>
      <c r="M67" s="9" t="n"/>
      <c r="N67" s="41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30" t="n"/>
      <c r="I68" s="30" t="n"/>
      <c r="J68" s="30" t="n"/>
      <c r="K68" s="30" t="n"/>
      <c r="L68" s="46" t="n"/>
      <c r="M68" s="5" t="n"/>
      <c r="N68" s="40" t="n"/>
    </row>
    <row r="69" ht="22" customHeight="1">
      <c r="A69" s="9" t="n"/>
      <c r="B69" s="9" t="n"/>
      <c r="C69" s="9" t="n"/>
      <c r="D69" s="9" t="n"/>
      <c r="E69" s="9" t="n"/>
      <c r="F69" s="9" t="n"/>
      <c r="G69" s="9" t="n"/>
      <c r="H69" s="31" t="n"/>
      <c r="I69" s="31" t="n"/>
      <c r="J69" s="31" t="n"/>
      <c r="K69" s="31" t="n"/>
      <c r="L69" s="47" t="n"/>
      <c r="M69" s="9" t="n"/>
      <c r="N69" s="41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30" t="n"/>
      <c r="I70" s="30" t="n"/>
      <c r="J70" s="30" t="n"/>
      <c r="K70" s="30" t="n"/>
      <c r="L70" s="46" t="n"/>
      <c r="M70" s="5" t="n"/>
      <c r="N70" s="40" t="n"/>
    </row>
    <row r="71" ht="22" customHeight="1">
      <c r="A71" s="9" t="n"/>
      <c r="B71" s="9" t="n"/>
      <c r="C71" s="9" t="n"/>
      <c r="D71" s="9" t="n"/>
      <c r="E71" s="9" t="n"/>
      <c r="F71" s="9" t="n"/>
      <c r="G71" s="9" t="n"/>
      <c r="H71" s="31" t="n"/>
      <c r="I71" s="31" t="n"/>
      <c r="J71" s="31" t="n"/>
      <c r="K71" s="31" t="n"/>
      <c r="L71" s="47" t="n"/>
      <c r="M71" s="9" t="n"/>
      <c r="N71" s="41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30" t="n"/>
      <c r="I72" s="30" t="n"/>
      <c r="J72" s="30" t="n"/>
      <c r="K72" s="30" t="n"/>
      <c r="L72" s="46" t="n"/>
      <c r="M72" s="5" t="n"/>
      <c r="N72" s="40" t="n"/>
    </row>
    <row r="73" ht="22" customHeight="1">
      <c r="A73" s="9" t="n"/>
      <c r="B73" s="9" t="n"/>
      <c r="C73" s="9" t="n"/>
      <c r="D73" s="9" t="n"/>
      <c r="E73" s="9" t="n"/>
      <c r="F73" s="9" t="n"/>
      <c r="G73" s="9" t="n"/>
      <c r="H73" s="31" t="n"/>
      <c r="I73" s="31" t="n"/>
      <c r="J73" s="31" t="n"/>
      <c r="K73" s="31" t="n"/>
      <c r="L73" s="47" t="n"/>
      <c r="M73" s="9" t="n"/>
      <c r="N73" s="41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30" t="n"/>
      <c r="I74" s="30" t="n"/>
      <c r="J74" s="30" t="n"/>
      <c r="K74" s="30" t="n"/>
      <c r="L74" s="46" t="n"/>
      <c r="M74" s="5" t="n"/>
      <c r="N74" s="40" t="n"/>
    </row>
    <row r="75" ht="22" customHeight="1">
      <c r="A75" s="9" t="n"/>
      <c r="B75" s="9" t="n"/>
      <c r="C75" s="9" t="n"/>
      <c r="D75" s="9" t="n"/>
      <c r="E75" s="9" t="n"/>
      <c r="F75" s="9" t="n"/>
      <c r="G75" s="9" t="n"/>
      <c r="H75" s="31" t="n"/>
      <c r="I75" s="31" t="n"/>
      <c r="J75" s="31" t="n"/>
      <c r="K75" s="31" t="n"/>
      <c r="L75" s="47" t="n"/>
      <c r="M75" s="9" t="n"/>
      <c r="N75" s="41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30" t="n"/>
      <c r="I76" s="30" t="n"/>
      <c r="J76" s="30" t="n"/>
      <c r="K76" s="30" t="n"/>
      <c r="L76" s="46" t="n"/>
      <c r="M76" s="5" t="n"/>
      <c r="N76" s="40" t="n"/>
    </row>
    <row r="77" ht="22" customHeight="1">
      <c r="A77" s="9" t="n"/>
      <c r="B77" s="9" t="n"/>
      <c r="C77" s="9" t="n"/>
      <c r="D77" s="9" t="n"/>
      <c r="E77" s="9" t="n"/>
      <c r="F77" s="9" t="n"/>
      <c r="G77" s="9" t="n"/>
      <c r="H77" s="31" t="n"/>
      <c r="I77" s="31" t="n"/>
      <c r="J77" s="31" t="n"/>
      <c r="K77" s="31" t="n"/>
      <c r="L77" s="47" t="n"/>
      <c r="M77" s="9" t="n"/>
      <c r="N77" s="41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30" t="n"/>
      <c r="I78" s="30" t="n"/>
      <c r="J78" s="30" t="n"/>
      <c r="K78" s="30" t="n"/>
      <c r="L78" s="46" t="n"/>
      <c r="M78" s="5" t="n"/>
      <c r="N78" s="40" t="n"/>
    </row>
    <row r="79" ht="22" customHeight="1">
      <c r="A79" s="9" t="n"/>
      <c r="B79" s="9" t="n"/>
      <c r="C79" s="9" t="n"/>
      <c r="D79" s="9" t="n"/>
      <c r="E79" s="9" t="n"/>
      <c r="F79" s="9" t="n"/>
      <c r="G79" s="9" t="n"/>
      <c r="H79" s="31" t="n"/>
      <c r="I79" s="31" t="n"/>
      <c r="J79" s="31" t="n"/>
      <c r="K79" s="31" t="n"/>
      <c r="L79" s="47" t="n"/>
      <c r="M79" s="9" t="n"/>
      <c r="N79" s="41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30" t="n"/>
      <c r="I80" s="30" t="n"/>
      <c r="J80" s="30" t="n"/>
      <c r="K80" s="30" t="n"/>
      <c r="L80" s="46" t="n"/>
      <c r="M80" s="5" t="n"/>
      <c r="N80" s="40" t="n"/>
    </row>
    <row r="81" ht="22" customHeight="1">
      <c r="A81" s="9" t="n"/>
      <c r="B81" s="9" t="n"/>
      <c r="C81" s="9" t="n"/>
      <c r="D81" s="9" t="n"/>
      <c r="E81" s="9" t="n"/>
      <c r="F81" s="9" t="n"/>
      <c r="G81" s="9" t="n"/>
      <c r="H81" s="31" t="n"/>
      <c r="I81" s="31" t="n"/>
      <c r="J81" s="31" t="n"/>
      <c r="K81" s="31" t="n"/>
      <c r="L81" s="47" t="n"/>
      <c r="M81" s="9" t="n"/>
      <c r="N81" s="41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30" t="n"/>
      <c r="I82" s="30" t="n"/>
      <c r="J82" s="30" t="n"/>
      <c r="K82" s="30" t="n"/>
      <c r="L82" s="46" t="n"/>
      <c r="M82" s="5" t="n"/>
      <c r="N82" s="40" t="n"/>
    </row>
    <row r="83" ht="22" customHeight="1">
      <c r="A83" s="9" t="n"/>
      <c r="B83" s="9" t="n"/>
      <c r="C83" s="9" t="n"/>
      <c r="D83" s="9" t="n"/>
      <c r="E83" s="9" t="n"/>
      <c r="F83" s="9" t="n"/>
      <c r="G83" s="9" t="n"/>
      <c r="H83" s="31" t="n"/>
      <c r="I83" s="31" t="n"/>
      <c r="J83" s="31" t="n"/>
      <c r="K83" s="31" t="n"/>
      <c r="L83" s="47" t="n"/>
      <c r="M83" s="9" t="n"/>
      <c r="N83" s="41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30" t="n"/>
      <c r="I84" s="30" t="n"/>
      <c r="J84" s="30" t="n"/>
      <c r="K84" s="30" t="n"/>
      <c r="L84" s="46" t="n"/>
      <c r="M84" s="5" t="n"/>
      <c r="N84" s="40" t="n"/>
    </row>
    <row r="85" ht="22" customHeight="1">
      <c r="A85" s="9" t="n"/>
      <c r="B85" s="9" t="n"/>
      <c r="C85" s="9" t="n"/>
      <c r="D85" s="9" t="n"/>
      <c r="E85" s="9" t="n"/>
      <c r="F85" s="9" t="n"/>
      <c r="G85" s="9" t="n"/>
      <c r="H85" s="31" t="n"/>
      <c r="I85" s="31" t="n"/>
      <c r="J85" s="31" t="n"/>
      <c r="K85" s="31" t="n"/>
      <c r="L85" s="47" t="n"/>
      <c r="M85" s="9" t="n"/>
      <c r="N85" s="41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30" t="n"/>
      <c r="I86" s="30" t="n"/>
      <c r="J86" s="30" t="n"/>
      <c r="K86" s="30" t="n"/>
      <c r="L86" s="46" t="n"/>
      <c r="M86" s="5" t="n"/>
      <c r="N86" s="40" t="n"/>
    </row>
    <row r="87" ht="22" customHeight="1">
      <c r="A87" s="9" t="n"/>
      <c r="B87" s="9" t="n"/>
      <c r="C87" s="9" t="n"/>
      <c r="D87" s="9" t="n"/>
      <c r="E87" s="9" t="n"/>
      <c r="F87" s="9" t="n"/>
      <c r="G87" s="9" t="n"/>
      <c r="H87" s="31" t="n"/>
      <c r="I87" s="31" t="n"/>
      <c r="J87" s="31" t="n"/>
      <c r="K87" s="31" t="n"/>
      <c r="L87" s="47" t="n"/>
      <c r="M87" s="9" t="n"/>
      <c r="N87" s="41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30" t="n"/>
      <c r="I88" s="30" t="n"/>
      <c r="J88" s="30" t="n"/>
      <c r="K88" s="30" t="n"/>
      <c r="L88" s="46" t="n"/>
      <c r="M88" s="5" t="n"/>
      <c r="N88" s="40" t="n"/>
    </row>
    <row r="89" ht="22" customHeight="1">
      <c r="A89" s="9" t="n"/>
      <c r="B89" s="9" t="n"/>
      <c r="C89" s="9" t="n"/>
      <c r="D89" s="9" t="n"/>
      <c r="E89" s="9" t="n"/>
      <c r="F89" s="9" t="n"/>
      <c r="G89" s="9" t="n"/>
      <c r="H89" s="31" t="n"/>
      <c r="I89" s="31" t="n"/>
      <c r="J89" s="31" t="n"/>
      <c r="K89" s="31" t="n"/>
      <c r="L89" s="47" t="n"/>
      <c r="M89" s="9" t="n"/>
      <c r="N89" s="41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30" t="n"/>
      <c r="I90" s="30" t="n"/>
      <c r="J90" s="30" t="n"/>
      <c r="K90" s="30" t="n"/>
      <c r="L90" s="46" t="n"/>
      <c r="M90" s="5" t="n"/>
      <c r="N90" s="40" t="n"/>
    </row>
    <row r="91" ht="22" customHeight="1">
      <c r="A91" s="9" t="n"/>
      <c r="B91" s="9" t="n"/>
      <c r="C91" s="9" t="n"/>
      <c r="D91" s="9" t="n"/>
      <c r="E91" s="9" t="n"/>
      <c r="F91" s="9" t="n"/>
      <c r="G91" s="9" t="n"/>
      <c r="H91" s="31" t="n"/>
      <c r="I91" s="31" t="n"/>
      <c r="J91" s="31" t="n"/>
      <c r="K91" s="31" t="n"/>
      <c r="L91" s="47" t="n"/>
      <c r="M91" s="9" t="n"/>
      <c r="N91" s="41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30" t="n"/>
      <c r="I92" s="30" t="n"/>
      <c r="J92" s="30" t="n"/>
      <c r="K92" s="30" t="n"/>
      <c r="L92" s="46" t="n"/>
      <c r="M92" s="5" t="n"/>
      <c r="N92" s="40" t="n"/>
    </row>
    <row r="93" ht="22" customHeight="1">
      <c r="A93" s="9" t="n"/>
      <c r="B93" s="9" t="n"/>
      <c r="C93" s="9" t="n"/>
      <c r="D93" s="9" t="n"/>
      <c r="E93" s="9" t="n"/>
      <c r="F93" s="9" t="n"/>
      <c r="G93" s="9" t="n"/>
      <c r="H93" s="31" t="n"/>
      <c r="I93" s="31" t="n"/>
      <c r="J93" s="31" t="n"/>
      <c r="K93" s="31" t="n"/>
      <c r="L93" s="47" t="n"/>
      <c r="M93" s="9" t="n"/>
      <c r="N93" s="41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30" t="n"/>
      <c r="I94" s="30" t="n"/>
      <c r="J94" s="30" t="n"/>
      <c r="K94" s="30" t="n"/>
      <c r="L94" s="46" t="n"/>
      <c r="M94" s="5" t="n"/>
      <c r="N94" s="40" t="n"/>
    </row>
    <row r="95" ht="22" customHeight="1">
      <c r="A95" s="9" t="n"/>
      <c r="B95" s="9" t="n"/>
      <c r="C95" s="9" t="n"/>
      <c r="D95" s="9" t="n"/>
      <c r="E95" s="9" t="n"/>
      <c r="F95" s="9" t="n"/>
      <c r="G95" s="9" t="n"/>
      <c r="H95" s="31" t="n"/>
      <c r="I95" s="31" t="n"/>
      <c r="J95" s="31" t="n"/>
      <c r="K95" s="31" t="n"/>
      <c r="L95" s="47" t="n"/>
      <c r="M95" s="9" t="n"/>
      <c r="N95" s="41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30" t="n"/>
      <c r="I96" s="30" t="n"/>
      <c r="J96" s="30" t="n"/>
      <c r="K96" s="30" t="n"/>
      <c r="L96" s="46" t="n"/>
      <c r="M96" s="5" t="n"/>
      <c r="N96" s="40" t="n"/>
    </row>
    <row r="97" ht="22" customHeight="1">
      <c r="A97" s="9" t="n"/>
      <c r="B97" s="9" t="n"/>
      <c r="C97" s="9" t="n"/>
      <c r="D97" s="9" t="n"/>
      <c r="E97" s="9" t="n"/>
      <c r="F97" s="9" t="n"/>
      <c r="G97" s="9" t="n"/>
      <c r="H97" s="31" t="n"/>
      <c r="I97" s="31" t="n"/>
      <c r="J97" s="31" t="n"/>
      <c r="K97" s="31" t="n"/>
      <c r="L97" s="47" t="n"/>
      <c r="M97" s="9" t="n"/>
      <c r="N97" s="41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30" t="n"/>
      <c r="I98" s="30" t="n"/>
      <c r="J98" s="30" t="n"/>
      <c r="K98" s="30" t="n"/>
      <c r="L98" s="46" t="n"/>
      <c r="M98" s="5" t="n"/>
      <c r="N98" s="40" t="n"/>
    </row>
    <row r="99" ht="22" customHeight="1">
      <c r="A99" s="9" t="n"/>
      <c r="B99" s="9" t="n"/>
      <c r="C99" s="9" t="n"/>
      <c r="D99" s="9" t="n"/>
      <c r="E99" s="9" t="n"/>
      <c r="F99" s="9" t="n"/>
      <c r="G99" s="9" t="n"/>
      <c r="H99" s="31" t="n"/>
      <c r="I99" s="31" t="n"/>
      <c r="J99" s="31" t="n"/>
      <c r="K99" s="31" t="n"/>
      <c r="L99" s="47" t="n"/>
      <c r="M99" s="9" t="n"/>
      <c r="N99" s="41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30" t="n"/>
      <c r="I100" s="30" t="n"/>
      <c r="J100" s="30" t="n"/>
      <c r="K100" s="30" t="n"/>
      <c r="L100" s="46" t="n"/>
      <c r="M100" s="5" t="n"/>
      <c r="N100" s="40" t="n"/>
    </row>
    <row r="101" ht="22" customHeight="1">
      <c r="A101" s="9" t="n"/>
      <c r="B101" s="9" t="n"/>
      <c r="C101" s="9" t="n"/>
      <c r="D101" s="9" t="n"/>
      <c r="E101" s="9" t="n"/>
      <c r="F101" s="9" t="n"/>
      <c r="G101" s="9" t="n"/>
      <c r="H101" s="31" t="n"/>
      <c r="I101" s="31" t="n"/>
      <c r="J101" s="31" t="n"/>
      <c r="K101" s="31" t="n"/>
      <c r="L101" s="47" t="n"/>
      <c r="M101" s="9" t="n"/>
      <c r="N101" s="41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30" t="n"/>
      <c r="I102" s="30" t="n"/>
      <c r="J102" s="30" t="n"/>
      <c r="K102" s="30" t="n"/>
      <c r="L102" s="46" t="n"/>
      <c r="M102" s="5" t="n"/>
      <c r="N102" s="40" t="n"/>
    </row>
    <row r="103" ht="22" customHeight="1">
      <c r="A103" s="9" t="n"/>
      <c r="B103" s="9" t="n"/>
      <c r="C103" s="9" t="n"/>
      <c r="D103" s="9" t="n"/>
      <c r="E103" s="9" t="n"/>
      <c r="F103" s="9" t="n"/>
      <c r="G103" s="9" t="n"/>
      <c r="H103" s="31" t="n"/>
      <c r="I103" s="31" t="n"/>
      <c r="J103" s="31" t="n"/>
      <c r="K103" s="31" t="n"/>
      <c r="L103" s="47" t="n"/>
      <c r="M103" s="9" t="n"/>
      <c r="N103" s="41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30" t="n"/>
      <c r="I104" s="30" t="n"/>
      <c r="J104" s="30" t="n"/>
      <c r="K104" s="30" t="n"/>
      <c r="L104" s="46" t="n"/>
      <c r="M104" s="5" t="n"/>
      <c r="N104" s="40" t="n"/>
    </row>
    <row r="105" ht="22" customHeight="1">
      <c r="A105" s="9" t="n"/>
      <c r="B105" s="9" t="n"/>
      <c r="C105" s="9" t="n"/>
      <c r="D105" s="9" t="n"/>
      <c r="E105" s="9" t="n"/>
      <c r="F105" s="9" t="n"/>
      <c r="G105" s="9" t="n"/>
      <c r="H105" s="31" t="n"/>
      <c r="I105" s="31" t="n"/>
      <c r="J105" s="31" t="n"/>
      <c r="K105" s="31" t="n"/>
      <c r="L105" s="47" t="n"/>
      <c r="M105" s="9" t="n"/>
      <c r="N105" s="41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30" t="n"/>
      <c r="I106" s="30" t="n"/>
      <c r="J106" s="30" t="n"/>
      <c r="K106" s="30" t="n"/>
      <c r="L106" s="46" t="n"/>
      <c r="M106" s="5" t="n"/>
      <c r="N106" s="40" t="n"/>
    </row>
    <row r="107" ht="22" customHeight="1">
      <c r="A107" s="9" t="n"/>
      <c r="B107" s="9" t="n"/>
      <c r="C107" s="9" t="n"/>
      <c r="D107" s="9" t="n"/>
      <c r="E107" s="9" t="n"/>
      <c r="F107" s="9" t="n"/>
      <c r="G107" s="9" t="n"/>
      <c r="H107" s="31" t="n"/>
      <c r="I107" s="31" t="n"/>
      <c r="J107" s="31" t="n"/>
      <c r="K107" s="31" t="n"/>
      <c r="L107" s="47" t="n"/>
      <c r="M107" s="9" t="n"/>
      <c r="N107" s="41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30" t="n"/>
      <c r="I108" s="30" t="n"/>
      <c r="J108" s="30" t="n"/>
      <c r="K108" s="30" t="n"/>
      <c r="L108" s="46" t="n"/>
      <c r="M108" s="5" t="n"/>
      <c r="N108" s="40" t="n"/>
    </row>
    <row r="109" ht="22" customHeight="1">
      <c r="A109" s="9" t="n"/>
      <c r="B109" s="9" t="n"/>
      <c r="C109" s="9" t="n"/>
      <c r="D109" s="9" t="n"/>
      <c r="E109" s="9" t="n"/>
      <c r="F109" s="9" t="n"/>
      <c r="G109" s="9" t="n"/>
      <c r="H109" s="31" t="n"/>
      <c r="I109" s="31" t="n"/>
      <c r="J109" s="31" t="n"/>
      <c r="K109" s="31" t="n"/>
      <c r="L109" s="47" t="n"/>
      <c r="M109" s="9" t="n"/>
      <c r="N109" s="41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30" t="n"/>
      <c r="I110" s="30" t="n"/>
      <c r="J110" s="30" t="n"/>
      <c r="K110" s="30" t="n"/>
      <c r="L110" s="46" t="n"/>
      <c r="M110" s="5" t="n"/>
      <c r="N110" s="40" t="n"/>
    </row>
    <row r="111" ht="22" customHeight="1">
      <c r="A111" s="9" t="n"/>
      <c r="B111" s="9" t="n"/>
      <c r="C111" s="9" t="n"/>
      <c r="D111" s="9" t="n"/>
      <c r="E111" s="9" t="n"/>
      <c r="F111" s="9" t="n"/>
      <c r="G111" s="9" t="n"/>
      <c r="H111" s="31" t="n"/>
      <c r="I111" s="31" t="n"/>
      <c r="J111" s="31" t="n"/>
      <c r="K111" s="31" t="n"/>
      <c r="L111" s="47" t="n"/>
      <c r="M111" s="9" t="n"/>
      <c r="N111" s="41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30" t="n"/>
      <c r="I112" s="30" t="n"/>
      <c r="J112" s="30" t="n"/>
      <c r="K112" s="30" t="n"/>
      <c r="L112" s="46" t="n"/>
      <c r="M112" s="5" t="n"/>
      <c r="N112" s="40" t="n"/>
    </row>
    <row r="113" ht="22" customHeight="1">
      <c r="A113" s="9" t="n"/>
      <c r="B113" s="9" t="n"/>
      <c r="C113" s="9" t="n"/>
      <c r="D113" s="9" t="n"/>
      <c r="E113" s="9" t="n"/>
      <c r="F113" s="9" t="n"/>
      <c r="G113" s="9" t="n"/>
      <c r="H113" s="31" t="n"/>
      <c r="I113" s="31" t="n"/>
      <c r="J113" s="31" t="n"/>
      <c r="K113" s="31" t="n"/>
      <c r="L113" s="47" t="n"/>
      <c r="M113" s="9" t="n"/>
      <c r="N113" s="41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30" t="n"/>
      <c r="I114" s="30" t="n"/>
      <c r="J114" s="30" t="n"/>
      <c r="K114" s="30" t="n"/>
      <c r="L114" s="46" t="n"/>
      <c r="M114" s="5" t="n"/>
      <c r="N114" s="40" t="n"/>
    </row>
    <row r="115" ht="22" customHeight="1">
      <c r="A115" s="9" t="n"/>
      <c r="B115" s="9" t="n"/>
      <c r="C115" s="9" t="n"/>
      <c r="D115" s="9" t="n"/>
      <c r="E115" s="9" t="n"/>
      <c r="F115" s="9" t="n"/>
      <c r="G115" s="9" t="n"/>
      <c r="H115" s="31" t="n"/>
      <c r="I115" s="31" t="n"/>
      <c r="J115" s="31" t="n"/>
      <c r="K115" s="31" t="n"/>
      <c r="L115" s="47" t="n"/>
      <c r="M115" s="9" t="n"/>
      <c r="N115" s="41" t="n"/>
    </row>
  </sheetData>
  <mergeCells count="2">
    <mergeCell ref="A3:N3"/>
    <mergeCell ref="A2:N2"/>
  </mergeCells>
  <conditionalFormatting sqref="D6:D115">
    <cfRule type="cellIs" priority="1" operator="equal" dxfId="3">
      <formula>"Basique"</formula>
    </cfRule>
    <cfRule type="cellIs" priority="2" operator="equal" dxfId="2">
      <formula>"Standard"</formula>
    </cfRule>
    <cfRule type="cellIs" priority="3" operator="equal" dxfId="0">
      <formula>"Premium"</formula>
    </cfRule>
  </conditionalFormatting>
  <dataValidations count="3">
    <dataValidation sqref="D6:D115" showDropDown="0" showInputMessage="0" showErrorMessage="0" allowBlank="1" errorTitle="Erreur" error="Valeur invalide" promptTitle="" prompt="Choisir: " type="list">
      <formula1>"Basique,Standard,Premium"</formula1>
    </dataValidation>
    <dataValidation sqref="E6:E115" showDropDown="0" showInputMessage="0" showErrorMessage="0" allowBlank="1" errorTitle="Erreur" error="Valeur invalide" promptTitle="" prompt="Choisir: " type="list">
      <formula1>"Oui,Non"</formula1>
    </dataValidation>
    <dataValidation sqref="F6:F115" showDropDown="0" showInputMessage="0" showErrorMessage="0" allowBlank="1" errorTitle="Erreur" error="Valeur invalide" promptTitle="" prompt="Choisir: " type="list">
      <formula1>"Oui,Non"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6" customWidth="1" min="4" max="4"/>
    <col width="20" customWidth="1" min="5" max="5"/>
    <col width="22" customWidth="1" min="6" max="6"/>
    <col width="24" customWidth="1" min="7" max="7"/>
    <col width="18" customWidth="1" min="8" max="8"/>
    <col width="16" customWidth="1" min="9" max="9"/>
    <col width="2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RETRAITE COMPLÉMENTAIRE — Plans et projections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Plan retraite</t>
        </is>
      </c>
      <c r="D5" s="4" t="inlineStr">
        <is>
          <t>Points acquis</t>
        </is>
      </c>
      <c r="E5" s="4" t="inlineStr">
        <is>
          <t>Valeur point (FCFA)</t>
        </is>
      </c>
      <c r="F5" s="4" t="inlineStr">
        <is>
          <t>Montant épargné (FCFA)</t>
        </is>
      </c>
      <c r="G5" s="4" t="inlineStr">
        <is>
          <t>Cotisation mensuelle (FCFA)</t>
        </is>
      </c>
      <c r="H5" s="4" t="inlineStr">
        <is>
          <t>Taux employeur (%)</t>
        </is>
      </c>
      <c r="I5" s="4" t="inlineStr">
        <is>
          <t>Taux employé (%)</t>
        </is>
      </c>
      <c r="J5" s="4" t="inlineStr">
        <is>
          <t>Projection retraite (FCFA)</t>
        </is>
      </c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EMP-001</t>
        </is>
      </c>
      <c r="B6" s="5">
        <f>IFERROR(VLOOKUP(A6,'F01 - _Données Employés'!$A$6:$C$20,2,FALSE),"")</f>
        <v/>
      </c>
      <c r="C6" s="5" t="inlineStr">
        <is>
          <t>PER</t>
        </is>
      </c>
      <c r="D6" s="5" t="n">
        <v>150</v>
      </c>
      <c r="E6" s="30" t="n">
        <v>450</v>
      </c>
      <c r="F6" s="30">
        <f>D6*E6</f>
        <v/>
      </c>
      <c r="G6" s="30" t="n">
        <v>15000</v>
      </c>
      <c r="H6" s="30" t="n">
        <v>0.6</v>
      </c>
      <c r="I6" s="46" t="n">
        <v>0.4</v>
      </c>
      <c r="J6" s="46">
        <f>F6+G6*(DATEDIF(IFERROR(VLOOKUP(A6,'F01 - _Données Employés'!$A$6:$F$20,6,FALSE),TODAY()),TODAY(),"Y")*12)</f>
        <v/>
      </c>
      <c r="K6" s="30" t="n"/>
      <c r="L6" s="5" t="n"/>
      <c r="M6" s="5" t="n"/>
      <c r="N6" s="40" t="n">
        <v>45444</v>
      </c>
    </row>
    <row r="7" ht="22" customHeight="1">
      <c r="A7" s="9" t="inlineStr">
        <is>
          <t>EMP-002</t>
        </is>
      </c>
      <c r="B7" s="9">
        <f>IFERROR(VLOOKUP(A7,'F01 - _Données Employés'!$A$6:$C$20,2,FALSE),"")</f>
        <v/>
      </c>
      <c r="C7" s="9" t="inlineStr">
        <is>
          <t>REER</t>
        </is>
      </c>
      <c r="D7" s="9" t="n">
        <v>220</v>
      </c>
      <c r="E7" s="31" t="n">
        <v>520</v>
      </c>
      <c r="F7" s="31">
        <f>D7*E7</f>
        <v/>
      </c>
      <c r="G7" s="31" t="n">
        <v>20000</v>
      </c>
      <c r="H7" s="31" t="n">
        <v>0.5</v>
      </c>
      <c r="I7" s="47" t="n">
        <v>0.5</v>
      </c>
      <c r="J7" s="47">
        <f>F7+G7*(DATEDIF(IFERROR(VLOOKUP(A7,'F01 - _Données Employés'!$A$6:$F$20,6,FALSE),TODAY()),TODAY(),"Y")*12)</f>
        <v/>
      </c>
      <c r="K7" s="31" t="n"/>
      <c r="L7" s="9" t="n"/>
      <c r="M7" s="9" t="n"/>
      <c r="N7" s="41" t="n">
        <v>45444</v>
      </c>
    </row>
    <row r="8" ht="22" customHeight="1">
      <c r="A8" s="5" t="inlineStr">
        <is>
          <t>EMP-005</t>
        </is>
      </c>
      <c r="B8" s="5">
        <f>IFERROR(VLOOKUP(A8,'F01 - _Données Employés'!$A$6:$C$20,2,FALSE),"")</f>
        <v/>
      </c>
      <c r="C8" s="5" t="inlineStr">
        <is>
          <t>CNPS complémentaire</t>
        </is>
      </c>
      <c r="D8" s="5" t="n">
        <v>80</v>
      </c>
      <c r="E8" s="30" t="n">
        <v>380</v>
      </c>
      <c r="F8" s="30">
        <f>D8*E8</f>
        <v/>
      </c>
      <c r="G8" s="30" t="n">
        <v>10000</v>
      </c>
      <c r="H8" s="30" t="n">
        <v>0.4</v>
      </c>
      <c r="I8" s="46" t="n">
        <v>0.6</v>
      </c>
      <c r="J8" s="46">
        <f>F8+G8*(DATEDIF(IFERROR(VLOOKUP(A8,'F01 - _Données Employés'!$A$6:$F$20,6,FALSE),TODAY()),TODAY(),"Y")*12)</f>
        <v/>
      </c>
      <c r="K8" s="30" t="n"/>
      <c r="L8" s="5" t="n"/>
      <c r="M8" s="5" t="n"/>
      <c r="N8" s="40" t="n">
        <v>45444</v>
      </c>
    </row>
    <row r="9" ht="22" customHeight="1">
      <c r="A9" s="9" t="inlineStr">
        <is>
          <t>EMP-006</t>
        </is>
      </c>
      <c r="B9" s="9">
        <f>IFERROR(VLOOKUP(A9,'F01 - _Données Employés'!$A$6:$C$20,2,FALSE),"")</f>
        <v/>
      </c>
      <c r="C9" s="9" t="inlineStr">
        <is>
          <t>PER</t>
        </is>
      </c>
      <c r="D9" s="9" t="n">
        <v>130</v>
      </c>
      <c r="E9" s="31" t="n">
        <v>450</v>
      </c>
      <c r="F9" s="31">
        <f>D9*E9</f>
        <v/>
      </c>
      <c r="G9" s="31" t="n">
        <v>15000</v>
      </c>
      <c r="H9" s="31" t="n">
        <v>0.6</v>
      </c>
      <c r="I9" s="47" t="n">
        <v>0.4</v>
      </c>
      <c r="J9" s="47">
        <f>F9+G9*(DATEDIF(IFERROR(VLOOKUP(A9,'F01 - _Données Employés'!$A$6:$F$20,6,FALSE),TODAY()),TODAY(),"Y")*12)</f>
        <v/>
      </c>
      <c r="K9" s="31" t="n"/>
      <c r="L9" s="9" t="n"/>
      <c r="M9" s="9" t="n"/>
      <c r="N9" s="41" t="n">
        <v>45444</v>
      </c>
    </row>
    <row r="10" ht="22" customHeight="1">
      <c r="A10" s="5" t="inlineStr">
        <is>
          <t>EMP-008</t>
        </is>
      </c>
      <c r="B10" s="5">
        <f>IFERROR(VLOOKUP(A10,'F01 - _Données Employés'!$A$6:$C$20,2,FALSE),"")</f>
        <v/>
      </c>
      <c r="C10" s="5" t="inlineStr">
        <is>
          <t>CARPA</t>
        </is>
      </c>
      <c r="D10" s="5" t="n">
        <v>190</v>
      </c>
      <c r="E10" s="30" t="n">
        <v>500</v>
      </c>
      <c r="F10" s="30">
        <f>D10*E10</f>
        <v/>
      </c>
      <c r="G10" s="30" t="n">
        <v>18000</v>
      </c>
      <c r="H10" s="30" t="n">
        <v>0.55</v>
      </c>
      <c r="I10" s="46" t="n">
        <v>0.45</v>
      </c>
      <c r="J10" s="46">
        <f>F10+G10*(DATEDIF(IFERROR(VLOOKUP(A10,'F01 - _Données Employés'!$A$6:$F$20,6,FALSE),TODAY()),TODAY(),"Y")*12)</f>
        <v/>
      </c>
      <c r="K10" s="30" t="n"/>
      <c r="L10" s="5" t="n"/>
      <c r="M10" s="5" t="n"/>
      <c r="N10" s="40" t="n">
        <v>45444</v>
      </c>
    </row>
    <row r="11" ht="22" customHeight="1">
      <c r="A11" s="9" t="n"/>
      <c r="B11" s="9" t="n"/>
      <c r="C11" s="9" t="n"/>
      <c r="D11" s="9" t="n"/>
      <c r="E11" s="31" t="n"/>
      <c r="F11" s="31" t="n"/>
      <c r="G11" s="31" t="n"/>
      <c r="H11" s="31" t="n"/>
      <c r="I11" s="47" t="n"/>
      <c r="J11" s="47" t="n"/>
      <c r="K11" s="31" t="n"/>
      <c r="L11" s="9" t="n"/>
      <c r="M11" s="9" t="n"/>
      <c r="N11" s="41" t="n"/>
    </row>
    <row r="12" ht="22" customHeight="1">
      <c r="A12" s="5" t="n"/>
      <c r="B12" s="5" t="n"/>
      <c r="C12" s="5" t="n"/>
      <c r="D12" s="5" t="n"/>
      <c r="E12" s="30" t="n"/>
      <c r="F12" s="30" t="n"/>
      <c r="G12" s="30" t="n"/>
      <c r="H12" s="30" t="n"/>
      <c r="I12" s="46" t="n"/>
      <c r="J12" s="46" t="n"/>
      <c r="K12" s="30" t="n"/>
      <c r="L12" s="5" t="n"/>
      <c r="M12" s="5" t="n"/>
      <c r="N12" s="40" t="n"/>
    </row>
    <row r="13" ht="22" customHeight="1">
      <c r="A13" s="9" t="n"/>
      <c r="B13" s="9" t="n"/>
      <c r="C13" s="9" t="n"/>
      <c r="D13" s="9" t="n"/>
      <c r="E13" s="31" t="n"/>
      <c r="F13" s="31" t="n"/>
      <c r="G13" s="31" t="n"/>
      <c r="H13" s="31" t="n"/>
      <c r="I13" s="47" t="n"/>
      <c r="J13" s="47" t="n"/>
      <c r="K13" s="31" t="n"/>
      <c r="L13" s="9" t="n"/>
      <c r="M13" s="9" t="n"/>
      <c r="N13" s="41" t="n"/>
    </row>
    <row r="14" ht="22" customHeight="1">
      <c r="A14" s="5" t="n"/>
      <c r="B14" s="5" t="n"/>
      <c r="C14" s="5" t="n"/>
      <c r="D14" s="5" t="n"/>
      <c r="E14" s="30" t="n"/>
      <c r="F14" s="30" t="n"/>
      <c r="G14" s="30" t="n"/>
      <c r="H14" s="30" t="n"/>
      <c r="I14" s="46" t="n"/>
      <c r="J14" s="46" t="n"/>
      <c r="K14" s="30" t="n"/>
      <c r="L14" s="5" t="n"/>
      <c r="M14" s="5" t="n"/>
      <c r="N14" s="40" t="n"/>
    </row>
    <row r="15" ht="22" customHeight="1">
      <c r="A15" s="9" t="n"/>
      <c r="B15" s="9" t="n"/>
      <c r="C15" s="9" t="n"/>
      <c r="D15" s="9" t="n"/>
      <c r="E15" s="31" t="n"/>
      <c r="F15" s="31" t="n"/>
      <c r="G15" s="31" t="n"/>
      <c r="H15" s="31" t="n"/>
      <c r="I15" s="47" t="n"/>
      <c r="J15" s="47" t="n"/>
      <c r="K15" s="31" t="n"/>
      <c r="L15" s="9" t="n"/>
      <c r="M15" s="9" t="n"/>
      <c r="N15" s="41" t="n"/>
    </row>
    <row r="16" ht="22" customHeight="1">
      <c r="A16" s="5" t="n"/>
      <c r="B16" s="5" t="n"/>
      <c r="C16" s="5" t="n"/>
      <c r="D16" s="5" t="n"/>
      <c r="E16" s="30" t="n"/>
      <c r="F16" s="30" t="n"/>
      <c r="G16" s="30" t="n"/>
      <c r="H16" s="30" t="n"/>
      <c r="I16" s="46" t="n"/>
      <c r="J16" s="46" t="n"/>
      <c r="K16" s="30" t="n"/>
      <c r="L16" s="5" t="n"/>
      <c r="M16" s="5" t="n"/>
      <c r="N16" s="40" t="n"/>
    </row>
    <row r="17" ht="22" customHeight="1">
      <c r="A17" s="9" t="n"/>
      <c r="B17" s="9" t="n"/>
      <c r="C17" s="9" t="n"/>
      <c r="D17" s="9" t="n"/>
      <c r="E17" s="31" t="n"/>
      <c r="F17" s="31" t="n"/>
      <c r="G17" s="31" t="n"/>
      <c r="H17" s="31" t="n"/>
      <c r="I17" s="47" t="n"/>
      <c r="J17" s="47" t="n"/>
      <c r="K17" s="31" t="n"/>
      <c r="L17" s="9" t="n"/>
      <c r="M17" s="9" t="n"/>
      <c r="N17" s="41" t="n"/>
    </row>
    <row r="18" ht="22" customHeight="1">
      <c r="A18" s="5" t="n"/>
      <c r="B18" s="5" t="n"/>
      <c r="C18" s="5" t="n"/>
      <c r="D18" s="5" t="n"/>
      <c r="E18" s="30" t="n"/>
      <c r="F18" s="30" t="n"/>
      <c r="G18" s="30" t="n"/>
      <c r="H18" s="30" t="n"/>
      <c r="I18" s="46" t="n"/>
      <c r="J18" s="46" t="n"/>
      <c r="K18" s="30" t="n"/>
      <c r="L18" s="5" t="n"/>
      <c r="M18" s="5" t="n"/>
      <c r="N18" s="40" t="n"/>
    </row>
    <row r="19" ht="22" customHeight="1">
      <c r="A19" s="9" t="n"/>
      <c r="B19" s="9" t="n"/>
      <c r="C19" s="9" t="n"/>
      <c r="D19" s="9" t="n"/>
      <c r="E19" s="31" t="n"/>
      <c r="F19" s="31" t="n"/>
      <c r="G19" s="31" t="n"/>
      <c r="H19" s="31" t="n"/>
      <c r="I19" s="47" t="n"/>
      <c r="J19" s="47" t="n"/>
      <c r="K19" s="31" t="n"/>
      <c r="L19" s="9" t="n"/>
      <c r="M19" s="9" t="n"/>
      <c r="N19" s="41" t="n"/>
    </row>
    <row r="20" ht="22" customHeight="1">
      <c r="A20" s="5" t="n"/>
      <c r="B20" s="5" t="n"/>
      <c r="C20" s="5" t="n"/>
      <c r="D20" s="5" t="n"/>
      <c r="E20" s="30" t="n"/>
      <c r="F20" s="30" t="n"/>
      <c r="G20" s="30" t="n"/>
      <c r="H20" s="30" t="n"/>
      <c r="I20" s="46" t="n"/>
      <c r="J20" s="46" t="n"/>
      <c r="K20" s="30" t="n"/>
      <c r="L20" s="5" t="n"/>
      <c r="M20" s="5" t="n"/>
      <c r="N20" s="40" t="n"/>
    </row>
    <row r="21" ht="22" customHeight="1">
      <c r="A21" s="9" t="n"/>
      <c r="B21" s="9" t="n"/>
      <c r="C21" s="9" t="n"/>
      <c r="D21" s="9" t="n"/>
      <c r="E21" s="31" t="n"/>
      <c r="F21" s="31" t="n"/>
      <c r="G21" s="31" t="n"/>
      <c r="H21" s="31" t="n"/>
      <c r="I21" s="47" t="n"/>
      <c r="J21" s="47" t="n"/>
      <c r="K21" s="31" t="n"/>
      <c r="L21" s="9" t="n"/>
      <c r="M21" s="9" t="n"/>
      <c r="N21" s="41" t="n"/>
    </row>
    <row r="22" ht="22" customHeight="1">
      <c r="A22" s="5" t="n"/>
      <c r="B22" s="5" t="n"/>
      <c r="C22" s="5" t="n"/>
      <c r="D22" s="5" t="n"/>
      <c r="E22" s="30" t="n"/>
      <c r="F22" s="30" t="n"/>
      <c r="G22" s="30" t="n"/>
      <c r="H22" s="30" t="n"/>
      <c r="I22" s="46" t="n"/>
      <c r="J22" s="46" t="n"/>
      <c r="K22" s="30" t="n"/>
      <c r="L22" s="5" t="n"/>
      <c r="M22" s="5" t="n"/>
      <c r="N22" s="40" t="n"/>
    </row>
    <row r="23" ht="22" customHeight="1">
      <c r="A23" s="9" t="n"/>
      <c r="B23" s="9" t="n"/>
      <c r="C23" s="9" t="n"/>
      <c r="D23" s="9" t="n"/>
      <c r="E23" s="31" t="n"/>
      <c r="F23" s="31" t="n"/>
      <c r="G23" s="31" t="n"/>
      <c r="H23" s="31" t="n"/>
      <c r="I23" s="47" t="n"/>
      <c r="J23" s="47" t="n"/>
      <c r="K23" s="31" t="n"/>
      <c r="L23" s="9" t="n"/>
      <c r="M23" s="9" t="n"/>
      <c r="N23" s="41" t="n"/>
    </row>
    <row r="24" ht="22" customHeight="1">
      <c r="A24" s="5" t="n"/>
      <c r="B24" s="5" t="n"/>
      <c r="C24" s="5" t="n"/>
      <c r="D24" s="5" t="n"/>
      <c r="E24" s="30" t="n"/>
      <c r="F24" s="30" t="n"/>
      <c r="G24" s="30" t="n"/>
      <c r="H24" s="30" t="n"/>
      <c r="I24" s="46" t="n"/>
      <c r="J24" s="46" t="n"/>
      <c r="K24" s="30" t="n"/>
      <c r="L24" s="5" t="n"/>
      <c r="M24" s="5" t="n"/>
      <c r="N24" s="40" t="n"/>
    </row>
    <row r="25" ht="22" customHeight="1">
      <c r="A25" s="9" t="n"/>
      <c r="B25" s="9" t="n"/>
      <c r="C25" s="9" t="n"/>
      <c r="D25" s="9" t="n"/>
      <c r="E25" s="31" t="n"/>
      <c r="F25" s="31" t="n"/>
      <c r="G25" s="31" t="n"/>
      <c r="H25" s="31" t="n"/>
      <c r="I25" s="47" t="n"/>
      <c r="J25" s="47" t="n"/>
      <c r="K25" s="31" t="n"/>
      <c r="L25" s="9" t="n"/>
      <c r="M25" s="9" t="n"/>
      <c r="N25" s="41" t="n"/>
    </row>
    <row r="26" ht="22" customHeight="1">
      <c r="A26" s="5" t="n"/>
      <c r="B26" s="5" t="n"/>
      <c r="C26" s="5" t="n"/>
      <c r="D26" s="5" t="n"/>
      <c r="E26" s="30" t="n"/>
      <c r="F26" s="30" t="n"/>
      <c r="G26" s="30" t="n"/>
      <c r="H26" s="30" t="n"/>
      <c r="I26" s="46" t="n"/>
      <c r="J26" s="46" t="n"/>
      <c r="K26" s="30" t="n"/>
      <c r="L26" s="5" t="n"/>
      <c r="M26" s="5" t="n"/>
      <c r="N26" s="40" t="n"/>
    </row>
    <row r="27" ht="22" customHeight="1">
      <c r="A27" s="9" t="n"/>
      <c r="B27" s="9" t="n"/>
      <c r="C27" s="9" t="n"/>
      <c r="D27" s="9" t="n"/>
      <c r="E27" s="31" t="n"/>
      <c r="F27" s="31" t="n"/>
      <c r="G27" s="31" t="n"/>
      <c r="H27" s="31" t="n"/>
      <c r="I27" s="47" t="n"/>
      <c r="J27" s="47" t="n"/>
      <c r="K27" s="31" t="n"/>
      <c r="L27" s="9" t="n"/>
      <c r="M27" s="9" t="n"/>
      <c r="N27" s="41" t="n"/>
    </row>
    <row r="28" ht="22" customHeight="1">
      <c r="A28" s="5" t="n"/>
      <c r="B28" s="5" t="n"/>
      <c r="C28" s="5" t="n"/>
      <c r="D28" s="5" t="n"/>
      <c r="E28" s="30" t="n"/>
      <c r="F28" s="30" t="n"/>
      <c r="G28" s="30" t="n"/>
      <c r="H28" s="30" t="n"/>
      <c r="I28" s="46" t="n"/>
      <c r="J28" s="46" t="n"/>
      <c r="K28" s="30" t="n"/>
      <c r="L28" s="5" t="n"/>
      <c r="M28" s="5" t="n"/>
      <c r="N28" s="40" t="n"/>
    </row>
    <row r="29" ht="22" customHeight="1">
      <c r="A29" s="9" t="n"/>
      <c r="B29" s="9" t="n"/>
      <c r="C29" s="9" t="n"/>
      <c r="D29" s="9" t="n"/>
      <c r="E29" s="31" t="n"/>
      <c r="F29" s="31" t="n"/>
      <c r="G29" s="31" t="n"/>
      <c r="H29" s="31" t="n"/>
      <c r="I29" s="47" t="n"/>
      <c r="J29" s="47" t="n"/>
      <c r="K29" s="31" t="n"/>
      <c r="L29" s="9" t="n"/>
      <c r="M29" s="9" t="n"/>
      <c r="N29" s="41" t="n"/>
    </row>
    <row r="30" ht="22" customHeight="1">
      <c r="A30" s="5" t="n"/>
      <c r="B30" s="5" t="n"/>
      <c r="C30" s="5" t="n"/>
      <c r="D30" s="5" t="n"/>
      <c r="E30" s="30" t="n"/>
      <c r="F30" s="30" t="n"/>
      <c r="G30" s="30" t="n"/>
      <c r="H30" s="30" t="n"/>
      <c r="I30" s="46" t="n"/>
      <c r="J30" s="46" t="n"/>
      <c r="K30" s="30" t="n"/>
      <c r="L30" s="5" t="n"/>
      <c r="M30" s="5" t="n"/>
      <c r="N30" s="40" t="n"/>
    </row>
    <row r="31" ht="22" customHeight="1">
      <c r="A31" s="9" t="n"/>
      <c r="B31" s="9" t="n"/>
      <c r="C31" s="9" t="n"/>
      <c r="D31" s="9" t="n"/>
      <c r="E31" s="31" t="n"/>
      <c r="F31" s="31" t="n"/>
      <c r="G31" s="31" t="n"/>
      <c r="H31" s="31" t="n"/>
      <c r="I31" s="47" t="n"/>
      <c r="J31" s="47" t="n"/>
      <c r="K31" s="31" t="n"/>
      <c r="L31" s="9" t="n"/>
      <c r="M31" s="9" t="n"/>
      <c r="N31" s="41" t="n"/>
    </row>
    <row r="32" ht="22" customHeight="1">
      <c r="A32" s="5" t="n"/>
      <c r="B32" s="5" t="n"/>
      <c r="C32" s="5" t="n"/>
      <c r="D32" s="5" t="n"/>
      <c r="E32" s="30" t="n"/>
      <c r="F32" s="30" t="n"/>
      <c r="G32" s="30" t="n"/>
      <c r="H32" s="30" t="n"/>
      <c r="I32" s="46" t="n"/>
      <c r="J32" s="46" t="n"/>
      <c r="K32" s="30" t="n"/>
      <c r="L32" s="5" t="n"/>
      <c r="M32" s="5" t="n"/>
      <c r="N32" s="40" t="n"/>
    </row>
    <row r="33" ht="22" customHeight="1">
      <c r="A33" s="9" t="n"/>
      <c r="B33" s="9" t="n"/>
      <c r="C33" s="9" t="n"/>
      <c r="D33" s="9" t="n"/>
      <c r="E33" s="31" t="n"/>
      <c r="F33" s="31" t="n"/>
      <c r="G33" s="31" t="n"/>
      <c r="H33" s="31" t="n"/>
      <c r="I33" s="47" t="n"/>
      <c r="J33" s="47" t="n"/>
      <c r="K33" s="31" t="n"/>
      <c r="L33" s="9" t="n"/>
      <c r="M33" s="9" t="n"/>
      <c r="N33" s="41" t="n"/>
    </row>
    <row r="34" ht="22" customHeight="1">
      <c r="A34" s="5" t="n"/>
      <c r="B34" s="5" t="n"/>
      <c r="C34" s="5" t="n"/>
      <c r="D34" s="5" t="n"/>
      <c r="E34" s="30" t="n"/>
      <c r="F34" s="30" t="n"/>
      <c r="G34" s="30" t="n"/>
      <c r="H34" s="30" t="n"/>
      <c r="I34" s="46" t="n"/>
      <c r="J34" s="46" t="n"/>
      <c r="K34" s="30" t="n"/>
      <c r="L34" s="5" t="n"/>
      <c r="M34" s="5" t="n"/>
      <c r="N34" s="40" t="n"/>
    </row>
    <row r="35" ht="22" customHeight="1">
      <c r="A35" s="9" t="n"/>
      <c r="B35" s="9" t="n"/>
      <c r="C35" s="9" t="n"/>
      <c r="D35" s="9" t="n"/>
      <c r="E35" s="31" t="n"/>
      <c r="F35" s="31" t="n"/>
      <c r="G35" s="31" t="n"/>
      <c r="H35" s="31" t="n"/>
      <c r="I35" s="47" t="n"/>
      <c r="J35" s="47" t="n"/>
      <c r="K35" s="31" t="n"/>
      <c r="L35" s="9" t="n"/>
      <c r="M35" s="9" t="n"/>
      <c r="N35" s="41" t="n"/>
    </row>
    <row r="36" ht="22" customHeight="1">
      <c r="A36" s="5" t="n"/>
      <c r="B36" s="5" t="n"/>
      <c r="C36" s="5" t="n"/>
      <c r="D36" s="5" t="n"/>
      <c r="E36" s="30" t="n"/>
      <c r="F36" s="30" t="n"/>
      <c r="G36" s="30" t="n"/>
      <c r="H36" s="30" t="n"/>
      <c r="I36" s="46" t="n"/>
      <c r="J36" s="46" t="n"/>
      <c r="K36" s="30" t="n"/>
      <c r="L36" s="5" t="n"/>
      <c r="M36" s="5" t="n"/>
      <c r="N36" s="40" t="n"/>
    </row>
    <row r="37" ht="22" customHeight="1">
      <c r="A37" s="9" t="n"/>
      <c r="B37" s="9" t="n"/>
      <c r="C37" s="9" t="n"/>
      <c r="D37" s="9" t="n"/>
      <c r="E37" s="31" t="n"/>
      <c r="F37" s="31" t="n"/>
      <c r="G37" s="31" t="n"/>
      <c r="H37" s="31" t="n"/>
      <c r="I37" s="47" t="n"/>
      <c r="J37" s="47" t="n"/>
      <c r="K37" s="31" t="n"/>
      <c r="L37" s="9" t="n"/>
      <c r="M37" s="9" t="n"/>
      <c r="N37" s="41" t="n"/>
    </row>
    <row r="38" ht="22" customHeight="1">
      <c r="A38" s="5" t="n"/>
      <c r="B38" s="5" t="n"/>
      <c r="C38" s="5" t="n"/>
      <c r="D38" s="5" t="n"/>
      <c r="E38" s="30" t="n"/>
      <c r="F38" s="30" t="n"/>
      <c r="G38" s="30" t="n"/>
      <c r="H38" s="30" t="n"/>
      <c r="I38" s="46" t="n"/>
      <c r="J38" s="46" t="n"/>
      <c r="K38" s="30" t="n"/>
      <c r="L38" s="5" t="n"/>
      <c r="M38" s="5" t="n"/>
      <c r="N38" s="40" t="n"/>
    </row>
    <row r="39" ht="22" customHeight="1">
      <c r="A39" s="9" t="n"/>
      <c r="B39" s="9" t="n"/>
      <c r="C39" s="9" t="n"/>
      <c r="D39" s="9" t="n"/>
      <c r="E39" s="31" t="n"/>
      <c r="F39" s="31" t="n"/>
      <c r="G39" s="31" t="n"/>
      <c r="H39" s="31" t="n"/>
      <c r="I39" s="47" t="n"/>
      <c r="J39" s="47" t="n"/>
      <c r="K39" s="31" t="n"/>
      <c r="L39" s="9" t="n"/>
      <c r="M39" s="9" t="n"/>
      <c r="N39" s="41" t="n"/>
    </row>
    <row r="40" ht="22" customHeight="1">
      <c r="A40" s="5" t="n"/>
      <c r="B40" s="5" t="n"/>
      <c r="C40" s="5" t="n"/>
      <c r="D40" s="5" t="n"/>
      <c r="E40" s="30" t="n"/>
      <c r="F40" s="30" t="n"/>
      <c r="G40" s="30" t="n"/>
      <c r="H40" s="30" t="n"/>
      <c r="I40" s="46" t="n"/>
      <c r="J40" s="46" t="n"/>
      <c r="K40" s="30" t="n"/>
      <c r="L40" s="5" t="n"/>
      <c r="M40" s="5" t="n"/>
      <c r="N40" s="40" t="n"/>
    </row>
    <row r="41" ht="22" customHeight="1">
      <c r="A41" s="9" t="n"/>
      <c r="B41" s="9" t="n"/>
      <c r="C41" s="9" t="n"/>
      <c r="D41" s="9" t="n"/>
      <c r="E41" s="31" t="n"/>
      <c r="F41" s="31" t="n"/>
      <c r="G41" s="31" t="n"/>
      <c r="H41" s="31" t="n"/>
      <c r="I41" s="47" t="n"/>
      <c r="J41" s="47" t="n"/>
      <c r="K41" s="31" t="n"/>
      <c r="L41" s="9" t="n"/>
      <c r="M41" s="9" t="n"/>
      <c r="N41" s="41" t="n"/>
    </row>
    <row r="42" ht="22" customHeight="1">
      <c r="A42" s="5" t="n"/>
      <c r="B42" s="5" t="n"/>
      <c r="C42" s="5" t="n"/>
      <c r="D42" s="5" t="n"/>
      <c r="E42" s="30" t="n"/>
      <c r="F42" s="30" t="n"/>
      <c r="G42" s="30" t="n"/>
      <c r="H42" s="30" t="n"/>
      <c r="I42" s="46" t="n"/>
      <c r="J42" s="46" t="n"/>
      <c r="K42" s="30" t="n"/>
      <c r="L42" s="5" t="n"/>
      <c r="M42" s="5" t="n"/>
      <c r="N42" s="40" t="n"/>
    </row>
    <row r="43" ht="22" customHeight="1">
      <c r="A43" s="9" t="n"/>
      <c r="B43" s="9" t="n"/>
      <c r="C43" s="9" t="n"/>
      <c r="D43" s="9" t="n"/>
      <c r="E43" s="31" t="n"/>
      <c r="F43" s="31" t="n"/>
      <c r="G43" s="31" t="n"/>
      <c r="H43" s="31" t="n"/>
      <c r="I43" s="47" t="n"/>
      <c r="J43" s="47" t="n"/>
      <c r="K43" s="31" t="n"/>
      <c r="L43" s="9" t="n"/>
      <c r="M43" s="9" t="n"/>
      <c r="N43" s="41" t="n"/>
    </row>
    <row r="44" ht="22" customHeight="1">
      <c r="A44" s="5" t="n"/>
      <c r="B44" s="5" t="n"/>
      <c r="C44" s="5" t="n"/>
      <c r="D44" s="5" t="n"/>
      <c r="E44" s="30" t="n"/>
      <c r="F44" s="30" t="n"/>
      <c r="G44" s="30" t="n"/>
      <c r="H44" s="30" t="n"/>
      <c r="I44" s="46" t="n"/>
      <c r="J44" s="46" t="n"/>
      <c r="K44" s="30" t="n"/>
      <c r="L44" s="5" t="n"/>
      <c r="M44" s="5" t="n"/>
      <c r="N44" s="40" t="n"/>
    </row>
    <row r="45" ht="22" customHeight="1">
      <c r="A45" s="9" t="n"/>
      <c r="B45" s="9" t="n"/>
      <c r="C45" s="9" t="n"/>
      <c r="D45" s="9" t="n"/>
      <c r="E45" s="31" t="n"/>
      <c r="F45" s="31" t="n"/>
      <c r="G45" s="31" t="n"/>
      <c r="H45" s="31" t="n"/>
      <c r="I45" s="47" t="n"/>
      <c r="J45" s="47" t="n"/>
      <c r="K45" s="31" t="n"/>
      <c r="L45" s="9" t="n"/>
      <c r="M45" s="9" t="n"/>
      <c r="N45" s="41" t="n"/>
    </row>
    <row r="46" ht="22" customHeight="1">
      <c r="A46" s="5" t="n"/>
      <c r="B46" s="5" t="n"/>
      <c r="C46" s="5" t="n"/>
      <c r="D46" s="5" t="n"/>
      <c r="E46" s="30" t="n"/>
      <c r="F46" s="30" t="n"/>
      <c r="G46" s="30" t="n"/>
      <c r="H46" s="30" t="n"/>
      <c r="I46" s="46" t="n"/>
      <c r="J46" s="46" t="n"/>
      <c r="K46" s="30" t="n"/>
      <c r="L46" s="5" t="n"/>
      <c r="M46" s="5" t="n"/>
      <c r="N46" s="40" t="n"/>
    </row>
    <row r="47" ht="22" customHeight="1">
      <c r="A47" s="9" t="n"/>
      <c r="B47" s="9" t="n"/>
      <c r="C47" s="9" t="n"/>
      <c r="D47" s="9" t="n"/>
      <c r="E47" s="31" t="n"/>
      <c r="F47" s="31" t="n"/>
      <c r="G47" s="31" t="n"/>
      <c r="H47" s="31" t="n"/>
      <c r="I47" s="47" t="n"/>
      <c r="J47" s="47" t="n"/>
      <c r="K47" s="31" t="n"/>
      <c r="L47" s="9" t="n"/>
      <c r="M47" s="9" t="n"/>
      <c r="N47" s="41" t="n"/>
    </row>
    <row r="48" ht="22" customHeight="1">
      <c r="A48" s="5" t="n"/>
      <c r="B48" s="5" t="n"/>
      <c r="C48" s="5" t="n"/>
      <c r="D48" s="5" t="n"/>
      <c r="E48" s="30" t="n"/>
      <c r="F48" s="30" t="n"/>
      <c r="G48" s="30" t="n"/>
      <c r="H48" s="30" t="n"/>
      <c r="I48" s="46" t="n"/>
      <c r="J48" s="46" t="n"/>
      <c r="K48" s="30" t="n"/>
      <c r="L48" s="5" t="n"/>
      <c r="M48" s="5" t="n"/>
      <c r="N48" s="40" t="n"/>
    </row>
    <row r="49" ht="22" customHeight="1">
      <c r="A49" s="9" t="n"/>
      <c r="B49" s="9" t="n"/>
      <c r="C49" s="9" t="n"/>
      <c r="D49" s="9" t="n"/>
      <c r="E49" s="31" t="n"/>
      <c r="F49" s="31" t="n"/>
      <c r="G49" s="31" t="n"/>
      <c r="H49" s="31" t="n"/>
      <c r="I49" s="47" t="n"/>
      <c r="J49" s="47" t="n"/>
      <c r="K49" s="31" t="n"/>
      <c r="L49" s="9" t="n"/>
      <c r="M49" s="9" t="n"/>
      <c r="N49" s="41" t="n"/>
    </row>
    <row r="50" ht="22" customHeight="1">
      <c r="A50" s="5" t="n"/>
      <c r="B50" s="5" t="n"/>
      <c r="C50" s="5" t="n"/>
      <c r="D50" s="5" t="n"/>
      <c r="E50" s="30" t="n"/>
      <c r="F50" s="30" t="n"/>
      <c r="G50" s="30" t="n"/>
      <c r="H50" s="30" t="n"/>
      <c r="I50" s="46" t="n"/>
      <c r="J50" s="46" t="n"/>
      <c r="K50" s="30" t="n"/>
      <c r="L50" s="5" t="n"/>
      <c r="M50" s="5" t="n"/>
      <c r="N50" s="40" t="n"/>
    </row>
    <row r="51" ht="22" customHeight="1">
      <c r="A51" s="9" t="n"/>
      <c r="B51" s="9" t="n"/>
      <c r="C51" s="9" t="n"/>
      <c r="D51" s="9" t="n"/>
      <c r="E51" s="31" t="n"/>
      <c r="F51" s="31" t="n"/>
      <c r="G51" s="31" t="n"/>
      <c r="H51" s="31" t="n"/>
      <c r="I51" s="47" t="n"/>
      <c r="J51" s="47" t="n"/>
      <c r="K51" s="31" t="n"/>
      <c r="L51" s="9" t="n"/>
      <c r="M51" s="9" t="n"/>
      <c r="N51" s="41" t="n"/>
    </row>
    <row r="52" ht="22" customHeight="1">
      <c r="A52" s="5" t="n"/>
      <c r="B52" s="5" t="n"/>
      <c r="C52" s="5" t="n"/>
      <c r="D52" s="5" t="n"/>
      <c r="E52" s="30" t="n"/>
      <c r="F52" s="30" t="n"/>
      <c r="G52" s="30" t="n"/>
      <c r="H52" s="30" t="n"/>
      <c r="I52" s="46" t="n"/>
      <c r="J52" s="46" t="n"/>
      <c r="K52" s="30" t="n"/>
      <c r="L52" s="5" t="n"/>
      <c r="M52" s="5" t="n"/>
      <c r="N52" s="40" t="n"/>
    </row>
    <row r="53" ht="22" customHeight="1">
      <c r="A53" s="9" t="n"/>
      <c r="B53" s="9" t="n"/>
      <c r="C53" s="9" t="n"/>
      <c r="D53" s="9" t="n"/>
      <c r="E53" s="31" t="n"/>
      <c r="F53" s="31" t="n"/>
      <c r="G53" s="31" t="n"/>
      <c r="H53" s="31" t="n"/>
      <c r="I53" s="47" t="n"/>
      <c r="J53" s="47" t="n"/>
      <c r="K53" s="31" t="n"/>
      <c r="L53" s="9" t="n"/>
      <c r="M53" s="9" t="n"/>
      <c r="N53" s="41" t="n"/>
    </row>
    <row r="54" ht="22" customHeight="1">
      <c r="A54" s="5" t="n"/>
      <c r="B54" s="5" t="n"/>
      <c r="C54" s="5" t="n"/>
      <c r="D54" s="5" t="n"/>
      <c r="E54" s="30" t="n"/>
      <c r="F54" s="30" t="n"/>
      <c r="G54" s="30" t="n"/>
      <c r="H54" s="30" t="n"/>
      <c r="I54" s="46" t="n"/>
      <c r="J54" s="46" t="n"/>
      <c r="K54" s="30" t="n"/>
      <c r="L54" s="5" t="n"/>
      <c r="M54" s="5" t="n"/>
      <c r="N54" s="40" t="n"/>
    </row>
    <row r="55" ht="22" customHeight="1">
      <c r="A55" s="9" t="n"/>
      <c r="B55" s="9" t="n"/>
      <c r="C55" s="9" t="n"/>
      <c r="D55" s="9" t="n"/>
      <c r="E55" s="31" t="n"/>
      <c r="F55" s="31" t="n"/>
      <c r="G55" s="31" t="n"/>
      <c r="H55" s="31" t="n"/>
      <c r="I55" s="47" t="n"/>
      <c r="J55" s="47" t="n"/>
      <c r="K55" s="31" t="n"/>
      <c r="L55" s="9" t="n"/>
      <c r="M55" s="9" t="n"/>
      <c r="N55" s="41" t="n"/>
    </row>
    <row r="56" ht="22" customHeight="1">
      <c r="A56" s="5" t="n"/>
      <c r="B56" s="5" t="n"/>
      <c r="C56" s="5" t="n"/>
      <c r="D56" s="5" t="n"/>
      <c r="E56" s="30" t="n"/>
      <c r="F56" s="30" t="n"/>
      <c r="G56" s="30" t="n"/>
      <c r="H56" s="30" t="n"/>
      <c r="I56" s="46" t="n"/>
      <c r="J56" s="46" t="n"/>
      <c r="K56" s="30" t="n"/>
      <c r="L56" s="5" t="n"/>
      <c r="M56" s="5" t="n"/>
      <c r="N56" s="40" t="n"/>
    </row>
    <row r="57" ht="22" customHeight="1">
      <c r="A57" s="9" t="n"/>
      <c r="B57" s="9" t="n"/>
      <c r="C57" s="9" t="n"/>
      <c r="D57" s="9" t="n"/>
      <c r="E57" s="31" t="n"/>
      <c r="F57" s="31" t="n"/>
      <c r="G57" s="31" t="n"/>
      <c r="H57" s="31" t="n"/>
      <c r="I57" s="47" t="n"/>
      <c r="J57" s="47" t="n"/>
      <c r="K57" s="31" t="n"/>
      <c r="L57" s="9" t="n"/>
      <c r="M57" s="9" t="n"/>
      <c r="N57" s="41" t="n"/>
    </row>
    <row r="58" ht="22" customHeight="1">
      <c r="A58" s="5" t="n"/>
      <c r="B58" s="5" t="n"/>
      <c r="C58" s="5" t="n"/>
      <c r="D58" s="5" t="n"/>
      <c r="E58" s="30" t="n"/>
      <c r="F58" s="30" t="n"/>
      <c r="G58" s="30" t="n"/>
      <c r="H58" s="30" t="n"/>
      <c r="I58" s="46" t="n"/>
      <c r="J58" s="46" t="n"/>
      <c r="K58" s="30" t="n"/>
      <c r="L58" s="5" t="n"/>
      <c r="M58" s="5" t="n"/>
      <c r="N58" s="40" t="n"/>
    </row>
    <row r="59" ht="22" customHeight="1">
      <c r="A59" s="9" t="n"/>
      <c r="B59" s="9" t="n"/>
      <c r="C59" s="9" t="n"/>
      <c r="D59" s="9" t="n"/>
      <c r="E59" s="31" t="n"/>
      <c r="F59" s="31" t="n"/>
      <c r="G59" s="31" t="n"/>
      <c r="H59" s="31" t="n"/>
      <c r="I59" s="47" t="n"/>
      <c r="J59" s="47" t="n"/>
      <c r="K59" s="31" t="n"/>
      <c r="L59" s="9" t="n"/>
      <c r="M59" s="9" t="n"/>
      <c r="N59" s="41" t="n"/>
    </row>
    <row r="60" ht="22" customHeight="1">
      <c r="A60" s="5" t="n"/>
      <c r="B60" s="5" t="n"/>
      <c r="C60" s="5" t="n"/>
      <c r="D60" s="5" t="n"/>
      <c r="E60" s="30" t="n"/>
      <c r="F60" s="30" t="n"/>
      <c r="G60" s="30" t="n"/>
      <c r="H60" s="30" t="n"/>
      <c r="I60" s="46" t="n"/>
      <c r="J60" s="46" t="n"/>
      <c r="K60" s="30" t="n"/>
      <c r="L60" s="5" t="n"/>
      <c r="M60" s="5" t="n"/>
      <c r="N60" s="40" t="n"/>
    </row>
    <row r="61" ht="22" customHeight="1">
      <c r="A61" s="9" t="n"/>
      <c r="B61" s="9" t="n"/>
      <c r="C61" s="9" t="n"/>
      <c r="D61" s="9" t="n"/>
      <c r="E61" s="31" t="n"/>
      <c r="F61" s="31" t="n"/>
      <c r="G61" s="31" t="n"/>
      <c r="H61" s="31" t="n"/>
      <c r="I61" s="47" t="n"/>
      <c r="J61" s="47" t="n"/>
      <c r="K61" s="31" t="n"/>
      <c r="L61" s="9" t="n"/>
      <c r="M61" s="9" t="n"/>
      <c r="N61" s="41" t="n"/>
    </row>
    <row r="62" ht="22" customHeight="1">
      <c r="A62" s="5" t="n"/>
      <c r="B62" s="5" t="n"/>
      <c r="C62" s="5" t="n"/>
      <c r="D62" s="5" t="n"/>
      <c r="E62" s="30" t="n"/>
      <c r="F62" s="30" t="n"/>
      <c r="G62" s="30" t="n"/>
      <c r="H62" s="30" t="n"/>
      <c r="I62" s="46" t="n"/>
      <c r="J62" s="46" t="n"/>
      <c r="K62" s="30" t="n"/>
      <c r="L62" s="5" t="n"/>
      <c r="M62" s="5" t="n"/>
      <c r="N62" s="40" t="n"/>
    </row>
    <row r="63" ht="22" customHeight="1">
      <c r="A63" s="9" t="n"/>
      <c r="B63" s="9" t="n"/>
      <c r="C63" s="9" t="n"/>
      <c r="D63" s="9" t="n"/>
      <c r="E63" s="31" t="n"/>
      <c r="F63" s="31" t="n"/>
      <c r="G63" s="31" t="n"/>
      <c r="H63" s="31" t="n"/>
      <c r="I63" s="47" t="n"/>
      <c r="J63" s="47" t="n"/>
      <c r="K63" s="31" t="n"/>
      <c r="L63" s="9" t="n"/>
      <c r="M63" s="9" t="n"/>
      <c r="N63" s="41" t="n"/>
    </row>
    <row r="64" ht="22" customHeight="1">
      <c r="A64" s="5" t="n"/>
      <c r="B64" s="5" t="n"/>
      <c r="C64" s="5" t="n"/>
      <c r="D64" s="5" t="n"/>
      <c r="E64" s="30" t="n"/>
      <c r="F64" s="30" t="n"/>
      <c r="G64" s="30" t="n"/>
      <c r="H64" s="30" t="n"/>
      <c r="I64" s="46" t="n"/>
      <c r="J64" s="46" t="n"/>
      <c r="K64" s="30" t="n"/>
      <c r="L64" s="5" t="n"/>
      <c r="M64" s="5" t="n"/>
      <c r="N64" s="40" t="n"/>
    </row>
    <row r="65" ht="22" customHeight="1">
      <c r="A65" s="9" t="n"/>
      <c r="B65" s="9" t="n"/>
      <c r="C65" s="9" t="n"/>
      <c r="D65" s="9" t="n"/>
      <c r="E65" s="31" t="n"/>
      <c r="F65" s="31" t="n"/>
      <c r="G65" s="31" t="n"/>
      <c r="H65" s="31" t="n"/>
      <c r="I65" s="47" t="n"/>
      <c r="J65" s="47" t="n"/>
      <c r="K65" s="31" t="n"/>
      <c r="L65" s="9" t="n"/>
      <c r="M65" s="9" t="n"/>
      <c r="N65" s="41" t="n"/>
    </row>
    <row r="66" ht="22" customHeight="1">
      <c r="A66" s="5" t="n"/>
      <c r="B66" s="5" t="n"/>
      <c r="C66" s="5" t="n"/>
      <c r="D66" s="5" t="n"/>
      <c r="E66" s="30" t="n"/>
      <c r="F66" s="30" t="n"/>
      <c r="G66" s="30" t="n"/>
      <c r="H66" s="30" t="n"/>
      <c r="I66" s="46" t="n"/>
      <c r="J66" s="46" t="n"/>
      <c r="K66" s="30" t="n"/>
      <c r="L66" s="5" t="n"/>
      <c r="M66" s="5" t="n"/>
      <c r="N66" s="40" t="n"/>
    </row>
    <row r="67" ht="22" customHeight="1">
      <c r="A67" s="9" t="n"/>
      <c r="B67" s="9" t="n"/>
      <c r="C67" s="9" t="n"/>
      <c r="D67" s="9" t="n"/>
      <c r="E67" s="31" t="n"/>
      <c r="F67" s="31" t="n"/>
      <c r="G67" s="31" t="n"/>
      <c r="H67" s="31" t="n"/>
      <c r="I67" s="47" t="n"/>
      <c r="J67" s="47" t="n"/>
      <c r="K67" s="31" t="n"/>
      <c r="L67" s="9" t="n"/>
      <c r="M67" s="9" t="n"/>
      <c r="N67" s="41" t="n"/>
    </row>
    <row r="68" ht="22" customHeight="1">
      <c r="A68" s="5" t="n"/>
      <c r="B68" s="5" t="n"/>
      <c r="C68" s="5" t="n"/>
      <c r="D68" s="5" t="n"/>
      <c r="E68" s="30" t="n"/>
      <c r="F68" s="30" t="n"/>
      <c r="G68" s="30" t="n"/>
      <c r="H68" s="30" t="n"/>
      <c r="I68" s="46" t="n"/>
      <c r="J68" s="46" t="n"/>
      <c r="K68" s="30" t="n"/>
      <c r="L68" s="5" t="n"/>
      <c r="M68" s="5" t="n"/>
      <c r="N68" s="40" t="n"/>
    </row>
    <row r="69" ht="22" customHeight="1">
      <c r="A69" s="9" t="n"/>
      <c r="B69" s="9" t="n"/>
      <c r="C69" s="9" t="n"/>
      <c r="D69" s="9" t="n"/>
      <c r="E69" s="31" t="n"/>
      <c r="F69" s="31" t="n"/>
      <c r="G69" s="31" t="n"/>
      <c r="H69" s="31" t="n"/>
      <c r="I69" s="47" t="n"/>
      <c r="J69" s="47" t="n"/>
      <c r="K69" s="31" t="n"/>
      <c r="L69" s="9" t="n"/>
      <c r="M69" s="9" t="n"/>
      <c r="N69" s="41" t="n"/>
    </row>
    <row r="70" ht="22" customHeight="1">
      <c r="A70" s="5" t="n"/>
      <c r="B70" s="5" t="n"/>
      <c r="C70" s="5" t="n"/>
      <c r="D70" s="5" t="n"/>
      <c r="E70" s="30" t="n"/>
      <c r="F70" s="30" t="n"/>
      <c r="G70" s="30" t="n"/>
      <c r="H70" s="30" t="n"/>
      <c r="I70" s="46" t="n"/>
      <c r="J70" s="46" t="n"/>
      <c r="K70" s="30" t="n"/>
      <c r="L70" s="5" t="n"/>
      <c r="M70" s="5" t="n"/>
      <c r="N70" s="40" t="n"/>
    </row>
    <row r="71" ht="22" customHeight="1">
      <c r="A71" s="9" t="n"/>
      <c r="B71" s="9" t="n"/>
      <c r="C71" s="9" t="n"/>
      <c r="D71" s="9" t="n"/>
      <c r="E71" s="31" t="n"/>
      <c r="F71" s="31" t="n"/>
      <c r="G71" s="31" t="n"/>
      <c r="H71" s="31" t="n"/>
      <c r="I71" s="47" t="n"/>
      <c r="J71" s="47" t="n"/>
      <c r="K71" s="31" t="n"/>
      <c r="L71" s="9" t="n"/>
      <c r="M71" s="9" t="n"/>
      <c r="N71" s="41" t="n"/>
    </row>
    <row r="72" ht="22" customHeight="1">
      <c r="A72" s="5" t="n"/>
      <c r="B72" s="5" t="n"/>
      <c r="C72" s="5" t="n"/>
      <c r="D72" s="5" t="n"/>
      <c r="E72" s="30" t="n"/>
      <c r="F72" s="30" t="n"/>
      <c r="G72" s="30" t="n"/>
      <c r="H72" s="30" t="n"/>
      <c r="I72" s="46" t="n"/>
      <c r="J72" s="46" t="n"/>
      <c r="K72" s="30" t="n"/>
      <c r="L72" s="5" t="n"/>
      <c r="M72" s="5" t="n"/>
      <c r="N72" s="40" t="n"/>
    </row>
    <row r="73" ht="22" customHeight="1">
      <c r="A73" s="9" t="n"/>
      <c r="B73" s="9" t="n"/>
      <c r="C73" s="9" t="n"/>
      <c r="D73" s="9" t="n"/>
      <c r="E73" s="31" t="n"/>
      <c r="F73" s="31" t="n"/>
      <c r="G73" s="31" t="n"/>
      <c r="H73" s="31" t="n"/>
      <c r="I73" s="47" t="n"/>
      <c r="J73" s="47" t="n"/>
      <c r="K73" s="31" t="n"/>
      <c r="L73" s="9" t="n"/>
      <c r="M73" s="9" t="n"/>
      <c r="N73" s="41" t="n"/>
    </row>
    <row r="74" ht="22" customHeight="1">
      <c r="A74" s="5" t="n"/>
      <c r="B74" s="5" t="n"/>
      <c r="C74" s="5" t="n"/>
      <c r="D74" s="5" t="n"/>
      <c r="E74" s="30" t="n"/>
      <c r="F74" s="30" t="n"/>
      <c r="G74" s="30" t="n"/>
      <c r="H74" s="30" t="n"/>
      <c r="I74" s="46" t="n"/>
      <c r="J74" s="46" t="n"/>
      <c r="K74" s="30" t="n"/>
      <c r="L74" s="5" t="n"/>
      <c r="M74" s="5" t="n"/>
      <c r="N74" s="40" t="n"/>
    </row>
    <row r="75" ht="22" customHeight="1">
      <c r="A75" s="9" t="n"/>
      <c r="B75" s="9" t="n"/>
      <c r="C75" s="9" t="n"/>
      <c r="D75" s="9" t="n"/>
      <c r="E75" s="31" t="n"/>
      <c r="F75" s="31" t="n"/>
      <c r="G75" s="31" t="n"/>
      <c r="H75" s="31" t="n"/>
      <c r="I75" s="47" t="n"/>
      <c r="J75" s="47" t="n"/>
      <c r="K75" s="31" t="n"/>
      <c r="L75" s="9" t="n"/>
      <c r="M75" s="9" t="n"/>
      <c r="N75" s="41" t="n"/>
    </row>
    <row r="76" ht="22" customHeight="1">
      <c r="A76" s="5" t="n"/>
      <c r="B76" s="5" t="n"/>
      <c r="C76" s="5" t="n"/>
      <c r="D76" s="5" t="n"/>
      <c r="E76" s="30" t="n"/>
      <c r="F76" s="30" t="n"/>
      <c r="G76" s="30" t="n"/>
      <c r="H76" s="30" t="n"/>
      <c r="I76" s="46" t="n"/>
      <c r="J76" s="46" t="n"/>
      <c r="K76" s="30" t="n"/>
      <c r="L76" s="5" t="n"/>
      <c r="M76" s="5" t="n"/>
      <c r="N76" s="40" t="n"/>
    </row>
    <row r="77" ht="22" customHeight="1">
      <c r="A77" s="9" t="n"/>
      <c r="B77" s="9" t="n"/>
      <c r="C77" s="9" t="n"/>
      <c r="D77" s="9" t="n"/>
      <c r="E77" s="31" t="n"/>
      <c r="F77" s="31" t="n"/>
      <c r="G77" s="31" t="n"/>
      <c r="H77" s="31" t="n"/>
      <c r="I77" s="47" t="n"/>
      <c r="J77" s="47" t="n"/>
      <c r="K77" s="31" t="n"/>
      <c r="L77" s="9" t="n"/>
      <c r="M77" s="9" t="n"/>
      <c r="N77" s="41" t="n"/>
    </row>
    <row r="78" ht="22" customHeight="1">
      <c r="A78" s="5" t="n"/>
      <c r="B78" s="5" t="n"/>
      <c r="C78" s="5" t="n"/>
      <c r="D78" s="5" t="n"/>
      <c r="E78" s="30" t="n"/>
      <c r="F78" s="30" t="n"/>
      <c r="G78" s="30" t="n"/>
      <c r="H78" s="30" t="n"/>
      <c r="I78" s="46" t="n"/>
      <c r="J78" s="46" t="n"/>
      <c r="K78" s="30" t="n"/>
      <c r="L78" s="5" t="n"/>
      <c r="M78" s="5" t="n"/>
      <c r="N78" s="40" t="n"/>
    </row>
    <row r="79" ht="22" customHeight="1">
      <c r="A79" s="9" t="n"/>
      <c r="B79" s="9" t="n"/>
      <c r="C79" s="9" t="n"/>
      <c r="D79" s="9" t="n"/>
      <c r="E79" s="31" t="n"/>
      <c r="F79" s="31" t="n"/>
      <c r="G79" s="31" t="n"/>
      <c r="H79" s="31" t="n"/>
      <c r="I79" s="47" t="n"/>
      <c r="J79" s="47" t="n"/>
      <c r="K79" s="31" t="n"/>
      <c r="L79" s="9" t="n"/>
      <c r="M79" s="9" t="n"/>
      <c r="N79" s="41" t="n"/>
    </row>
    <row r="80" ht="22" customHeight="1">
      <c r="A80" s="5" t="n"/>
      <c r="B80" s="5" t="n"/>
      <c r="C80" s="5" t="n"/>
      <c r="D80" s="5" t="n"/>
      <c r="E80" s="30" t="n"/>
      <c r="F80" s="30" t="n"/>
      <c r="G80" s="30" t="n"/>
      <c r="H80" s="30" t="n"/>
      <c r="I80" s="46" t="n"/>
      <c r="J80" s="46" t="n"/>
      <c r="K80" s="30" t="n"/>
      <c r="L80" s="5" t="n"/>
      <c r="M80" s="5" t="n"/>
      <c r="N80" s="40" t="n"/>
    </row>
    <row r="81" ht="22" customHeight="1">
      <c r="A81" s="9" t="n"/>
      <c r="B81" s="9" t="n"/>
      <c r="C81" s="9" t="n"/>
      <c r="D81" s="9" t="n"/>
      <c r="E81" s="31" t="n"/>
      <c r="F81" s="31" t="n"/>
      <c r="G81" s="31" t="n"/>
      <c r="H81" s="31" t="n"/>
      <c r="I81" s="47" t="n"/>
      <c r="J81" s="47" t="n"/>
      <c r="K81" s="31" t="n"/>
      <c r="L81" s="9" t="n"/>
      <c r="M81" s="9" t="n"/>
      <c r="N81" s="41" t="n"/>
    </row>
    <row r="82" ht="22" customHeight="1">
      <c r="A82" s="5" t="n"/>
      <c r="B82" s="5" t="n"/>
      <c r="C82" s="5" t="n"/>
      <c r="D82" s="5" t="n"/>
      <c r="E82" s="30" t="n"/>
      <c r="F82" s="30" t="n"/>
      <c r="G82" s="30" t="n"/>
      <c r="H82" s="30" t="n"/>
      <c r="I82" s="46" t="n"/>
      <c r="J82" s="46" t="n"/>
      <c r="K82" s="30" t="n"/>
      <c r="L82" s="5" t="n"/>
      <c r="M82" s="5" t="n"/>
      <c r="N82" s="40" t="n"/>
    </row>
    <row r="83" ht="22" customHeight="1">
      <c r="A83" s="9" t="n"/>
      <c r="B83" s="9" t="n"/>
      <c r="C83" s="9" t="n"/>
      <c r="D83" s="9" t="n"/>
      <c r="E83" s="31" t="n"/>
      <c r="F83" s="31" t="n"/>
      <c r="G83" s="31" t="n"/>
      <c r="H83" s="31" t="n"/>
      <c r="I83" s="47" t="n"/>
      <c r="J83" s="47" t="n"/>
      <c r="K83" s="31" t="n"/>
      <c r="L83" s="9" t="n"/>
      <c r="M83" s="9" t="n"/>
      <c r="N83" s="41" t="n"/>
    </row>
    <row r="84" ht="22" customHeight="1">
      <c r="A84" s="5" t="n"/>
      <c r="B84" s="5" t="n"/>
      <c r="C84" s="5" t="n"/>
      <c r="D84" s="5" t="n"/>
      <c r="E84" s="30" t="n"/>
      <c r="F84" s="30" t="n"/>
      <c r="G84" s="30" t="n"/>
      <c r="H84" s="30" t="n"/>
      <c r="I84" s="46" t="n"/>
      <c r="J84" s="46" t="n"/>
      <c r="K84" s="30" t="n"/>
      <c r="L84" s="5" t="n"/>
      <c r="M84" s="5" t="n"/>
      <c r="N84" s="40" t="n"/>
    </row>
    <row r="85" ht="22" customHeight="1">
      <c r="A85" s="9" t="n"/>
      <c r="B85" s="9" t="n"/>
      <c r="C85" s="9" t="n"/>
      <c r="D85" s="9" t="n"/>
      <c r="E85" s="31" t="n"/>
      <c r="F85" s="31" t="n"/>
      <c r="G85" s="31" t="n"/>
      <c r="H85" s="31" t="n"/>
      <c r="I85" s="47" t="n"/>
      <c r="J85" s="47" t="n"/>
      <c r="K85" s="31" t="n"/>
      <c r="L85" s="9" t="n"/>
      <c r="M85" s="9" t="n"/>
      <c r="N85" s="41" t="n"/>
    </row>
    <row r="86" ht="22" customHeight="1">
      <c r="A86" s="5" t="n"/>
      <c r="B86" s="5" t="n"/>
      <c r="C86" s="5" t="n"/>
      <c r="D86" s="5" t="n"/>
      <c r="E86" s="30" t="n"/>
      <c r="F86" s="30" t="n"/>
      <c r="G86" s="30" t="n"/>
      <c r="H86" s="30" t="n"/>
      <c r="I86" s="46" t="n"/>
      <c r="J86" s="46" t="n"/>
      <c r="K86" s="30" t="n"/>
      <c r="L86" s="5" t="n"/>
      <c r="M86" s="5" t="n"/>
      <c r="N86" s="40" t="n"/>
    </row>
    <row r="87" ht="22" customHeight="1">
      <c r="A87" s="9" t="n"/>
      <c r="B87" s="9" t="n"/>
      <c r="C87" s="9" t="n"/>
      <c r="D87" s="9" t="n"/>
      <c r="E87" s="31" t="n"/>
      <c r="F87" s="31" t="n"/>
      <c r="G87" s="31" t="n"/>
      <c r="H87" s="31" t="n"/>
      <c r="I87" s="47" t="n"/>
      <c r="J87" s="47" t="n"/>
      <c r="K87" s="31" t="n"/>
      <c r="L87" s="9" t="n"/>
      <c r="M87" s="9" t="n"/>
      <c r="N87" s="41" t="n"/>
    </row>
    <row r="88" ht="22" customHeight="1">
      <c r="A88" s="5" t="n"/>
      <c r="B88" s="5" t="n"/>
      <c r="C88" s="5" t="n"/>
      <c r="D88" s="5" t="n"/>
      <c r="E88" s="30" t="n"/>
      <c r="F88" s="30" t="n"/>
      <c r="G88" s="30" t="n"/>
      <c r="H88" s="30" t="n"/>
      <c r="I88" s="46" t="n"/>
      <c r="J88" s="46" t="n"/>
      <c r="K88" s="30" t="n"/>
      <c r="L88" s="5" t="n"/>
      <c r="M88" s="5" t="n"/>
      <c r="N88" s="40" t="n"/>
    </row>
    <row r="89" ht="22" customHeight="1">
      <c r="A89" s="9" t="n"/>
      <c r="B89" s="9" t="n"/>
      <c r="C89" s="9" t="n"/>
      <c r="D89" s="9" t="n"/>
      <c r="E89" s="31" t="n"/>
      <c r="F89" s="31" t="n"/>
      <c r="G89" s="31" t="n"/>
      <c r="H89" s="31" t="n"/>
      <c r="I89" s="47" t="n"/>
      <c r="J89" s="47" t="n"/>
      <c r="K89" s="31" t="n"/>
      <c r="L89" s="9" t="n"/>
      <c r="M89" s="9" t="n"/>
      <c r="N89" s="41" t="n"/>
    </row>
    <row r="90" ht="22" customHeight="1">
      <c r="A90" s="5" t="n"/>
      <c r="B90" s="5" t="n"/>
      <c r="C90" s="5" t="n"/>
      <c r="D90" s="5" t="n"/>
      <c r="E90" s="30" t="n"/>
      <c r="F90" s="30" t="n"/>
      <c r="G90" s="30" t="n"/>
      <c r="H90" s="30" t="n"/>
      <c r="I90" s="46" t="n"/>
      <c r="J90" s="46" t="n"/>
      <c r="K90" s="30" t="n"/>
      <c r="L90" s="5" t="n"/>
      <c r="M90" s="5" t="n"/>
      <c r="N90" s="40" t="n"/>
    </row>
    <row r="91" ht="22" customHeight="1">
      <c r="A91" s="9" t="n"/>
      <c r="B91" s="9" t="n"/>
      <c r="C91" s="9" t="n"/>
      <c r="D91" s="9" t="n"/>
      <c r="E91" s="31" t="n"/>
      <c r="F91" s="31" t="n"/>
      <c r="G91" s="31" t="n"/>
      <c r="H91" s="31" t="n"/>
      <c r="I91" s="47" t="n"/>
      <c r="J91" s="47" t="n"/>
      <c r="K91" s="31" t="n"/>
      <c r="L91" s="9" t="n"/>
      <c r="M91" s="9" t="n"/>
      <c r="N91" s="41" t="n"/>
    </row>
    <row r="92" ht="22" customHeight="1">
      <c r="A92" s="5" t="n"/>
      <c r="B92" s="5" t="n"/>
      <c r="C92" s="5" t="n"/>
      <c r="D92" s="5" t="n"/>
      <c r="E92" s="30" t="n"/>
      <c r="F92" s="30" t="n"/>
      <c r="G92" s="30" t="n"/>
      <c r="H92" s="30" t="n"/>
      <c r="I92" s="46" t="n"/>
      <c r="J92" s="46" t="n"/>
      <c r="K92" s="30" t="n"/>
      <c r="L92" s="5" t="n"/>
      <c r="M92" s="5" t="n"/>
      <c r="N92" s="40" t="n"/>
    </row>
    <row r="93" ht="22" customHeight="1">
      <c r="A93" s="9" t="n"/>
      <c r="B93" s="9" t="n"/>
      <c r="C93" s="9" t="n"/>
      <c r="D93" s="9" t="n"/>
      <c r="E93" s="31" t="n"/>
      <c r="F93" s="31" t="n"/>
      <c r="G93" s="31" t="n"/>
      <c r="H93" s="31" t="n"/>
      <c r="I93" s="47" t="n"/>
      <c r="J93" s="47" t="n"/>
      <c r="K93" s="31" t="n"/>
      <c r="L93" s="9" t="n"/>
      <c r="M93" s="9" t="n"/>
      <c r="N93" s="41" t="n"/>
    </row>
    <row r="94" ht="22" customHeight="1">
      <c r="A94" s="5" t="n"/>
      <c r="B94" s="5" t="n"/>
      <c r="C94" s="5" t="n"/>
      <c r="D94" s="5" t="n"/>
      <c r="E94" s="30" t="n"/>
      <c r="F94" s="30" t="n"/>
      <c r="G94" s="30" t="n"/>
      <c r="H94" s="30" t="n"/>
      <c r="I94" s="46" t="n"/>
      <c r="J94" s="46" t="n"/>
      <c r="K94" s="30" t="n"/>
      <c r="L94" s="5" t="n"/>
      <c r="M94" s="5" t="n"/>
      <c r="N94" s="40" t="n"/>
    </row>
    <row r="95" ht="22" customHeight="1">
      <c r="A95" s="9" t="n"/>
      <c r="B95" s="9" t="n"/>
      <c r="C95" s="9" t="n"/>
      <c r="D95" s="9" t="n"/>
      <c r="E95" s="31" t="n"/>
      <c r="F95" s="31" t="n"/>
      <c r="G95" s="31" t="n"/>
      <c r="H95" s="31" t="n"/>
      <c r="I95" s="47" t="n"/>
      <c r="J95" s="47" t="n"/>
      <c r="K95" s="31" t="n"/>
      <c r="L95" s="9" t="n"/>
      <c r="M95" s="9" t="n"/>
      <c r="N95" s="41" t="n"/>
    </row>
    <row r="96" ht="22" customHeight="1">
      <c r="A96" s="5" t="n"/>
      <c r="B96" s="5" t="n"/>
      <c r="C96" s="5" t="n"/>
      <c r="D96" s="5" t="n"/>
      <c r="E96" s="30" t="n"/>
      <c r="F96" s="30" t="n"/>
      <c r="G96" s="30" t="n"/>
      <c r="H96" s="30" t="n"/>
      <c r="I96" s="46" t="n"/>
      <c r="J96" s="46" t="n"/>
      <c r="K96" s="30" t="n"/>
      <c r="L96" s="5" t="n"/>
      <c r="M96" s="5" t="n"/>
      <c r="N96" s="40" t="n"/>
    </row>
    <row r="97" ht="22" customHeight="1">
      <c r="A97" s="9" t="n"/>
      <c r="B97" s="9" t="n"/>
      <c r="C97" s="9" t="n"/>
      <c r="D97" s="9" t="n"/>
      <c r="E97" s="31" t="n"/>
      <c r="F97" s="31" t="n"/>
      <c r="G97" s="31" t="n"/>
      <c r="H97" s="31" t="n"/>
      <c r="I97" s="47" t="n"/>
      <c r="J97" s="47" t="n"/>
      <c r="K97" s="31" t="n"/>
      <c r="L97" s="9" t="n"/>
      <c r="M97" s="9" t="n"/>
      <c r="N97" s="41" t="n"/>
    </row>
    <row r="98" ht="22" customHeight="1">
      <c r="A98" s="5" t="n"/>
      <c r="B98" s="5" t="n"/>
      <c r="C98" s="5" t="n"/>
      <c r="D98" s="5" t="n"/>
      <c r="E98" s="30" t="n"/>
      <c r="F98" s="30" t="n"/>
      <c r="G98" s="30" t="n"/>
      <c r="H98" s="30" t="n"/>
      <c r="I98" s="46" t="n"/>
      <c r="J98" s="46" t="n"/>
      <c r="K98" s="30" t="n"/>
      <c r="L98" s="5" t="n"/>
      <c r="M98" s="5" t="n"/>
      <c r="N98" s="40" t="n"/>
    </row>
    <row r="99" ht="22" customHeight="1">
      <c r="A99" s="9" t="n"/>
      <c r="B99" s="9" t="n"/>
      <c r="C99" s="9" t="n"/>
      <c r="D99" s="9" t="n"/>
      <c r="E99" s="31" t="n"/>
      <c r="F99" s="31" t="n"/>
      <c r="G99" s="31" t="n"/>
      <c r="H99" s="31" t="n"/>
      <c r="I99" s="47" t="n"/>
      <c r="J99" s="47" t="n"/>
      <c r="K99" s="31" t="n"/>
      <c r="L99" s="9" t="n"/>
      <c r="M99" s="9" t="n"/>
      <c r="N99" s="41" t="n"/>
    </row>
    <row r="100" ht="22" customHeight="1">
      <c r="A100" s="5" t="n"/>
      <c r="B100" s="5" t="n"/>
      <c r="C100" s="5" t="n"/>
      <c r="D100" s="5" t="n"/>
      <c r="E100" s="30" t="n"/>
      <c r="F100" s="30" t="n"/>
      <c r="G100" s="30" t="n"/>
      <c r="H100" s="30" t="n"/>
      <c r="I100" s="46" t="n"/>
      <c r="J100" s="46" t="n"/>
      <c r="K100" s="30" t="n"/>
      <c r="L100" s="5" t="n"/>
      <c r="M100" s="5" t="n"/>
      <c r="N100" s="40" t="n"/>
    </row>
    <row r="101" ht="22" customHeight="1">
      <c r="A101" s="9" t="n"/>
      <c r="B101" s="9" t="n"/>
      <c r="C101" s="9" t="n"/>
      <c r="D101" s="9" t="n"/>
      <c r="E101" s="31" t="n"/>
      <c r="F101" s="31" t="n"/>
      <c r="G101" s="31" t="n"/>
      <c r="H101" s="31" t="n"/>
      <c r="I101" s="47" t="n"/>
      <c r="J101" s="47" t="n"/>
      <c r="K101" s="31" t="n"/>
      <c r="L101" s="9" t="n"/>
      <c r="M101" s="9" t="n"/>
      <c r="N101" s="41" t="n"/>
    </row>
    <row r="102" ht="22" customHeight="1">
      <c r="A102" s="5" t="n"/>
      <c r="B102" s="5" t="n"/>
      <c r="C102" s="5" t="n"/>
      <c r="D102" s="5" t="n"/>
      <c r="E102" s="30" t="n"/>
      <c r="F102" s="30" t="n"/>
      <c r="G102" s="30" t="n"/>
      <c r="H102" s="30" t="n"/>
      <c r="I102" s="46" t="n"/>
      <c r="J102" s="46" t="n"/>
      <c r="K102" s="30" t="n"/>
      <c r="L102" s="5" t="n"/>
      <c r="M102" s="5" t="n"/>
      <c r="N102" s="40" t="n"/>
    </row>
    <row r="103" ht="22" customHeight="1">
      <c r="A103" s="9" t="n"/>
      <c r="B103" s="9" t="n"/>
      <c r="C103" s="9" t="n"/>
      <c r="D103" s="9" t="n"/>
      <c r="E103" s="31" t="n"/>
      <c r="F103" s="31" t="n"/>
      <c r="G103" s="31" t="n"/>
      <c r="H103" s="31" t="n"/>
      <c r="I103" s="47" t="n"/>
      <c r="J103" s="47" t="n"/>
      <c r="K103" s="31" t="n"/>
      <c r="L103" s="9" t="n"/>
      <c r="M103" s="9" t="n"/>
      <c r="N103" s="41" t="n"/>
    </row>
    <row r="104" ht="22" customHeight="1">
      <c r="A104" s="5" t="n"/>
      <c r="B104" s="5" t="n"/>
      <c r="C104" s="5" t="n"/>
      <c r="D104" s="5" t="n"/>
      <c r="E104" s="30" t="n"/>
      <c r="F104" s="30" t="n"/>
      <c r="G104" s="30" t="n"/>
      <c r="H104" s="30" t="n"/>
      <c r="I104" s="46" t="n"/>
      <c r="J104" s="46" t="n"/>
      <c r="K104" s="30" t="n"/>
      <c r="L104" s="5" t="n"/>
      <c r="M104" s="5" t="n"/>
      <c r="N104" s="40" t="n"/>
    </row>
    <row r="105" ht="22" customHeight="1">
      <c r="A105" s="9" t="n"/>
      <c r="B105" s="9" t="n"/>
      <c r="C105" s="9" t="n"/>
      <c r="D105" s="9" t="n"/>
      <c r="E105" s="31" t="n"/>
      <c r="F105" s="31" t="n"/>
      <c r="G105" s="31" t="n"/>
      <c r="H105" s="31" t="n"/>
      <c r="I105" s="47" t="n"/>
      <c r="J105" s="47" t="n"/>
      <c r="K105" s="31" t="n"/>
      <c r="L105" s="9" t="n"/>
      <c r="M105" s="9" t="n"/>
      <c r="N105" s="41" t="n"/>
    </row>
    <row r="106" ht="22" customHeight="1">
      <c r="A106" s="5" t="n"/>
      <c r="B106" s="5" t="n"/>
      <c r="C106" s="5" t="n"/>
      <c r="D106" s="5" t="n"/>
      <c r="E106" s="30" t="n"/>
      <c r="F106" s="30" t="n"/>
      <c r="G106" s="30" t="n"/>
      <c r="H106" s="30" t="n"/>
      <c r="I106" s="46" t="n"/>
      <c r="J106" s="46" t="n"/>
      <c r="K106" s="30" t="n"/>
      <c r="L106" s="5" t="n"/>
      <c r="M106" s="5" t="n"/>
      <c r="N106" s="40" t="n"/>
    </row>
    <row r="107" ht="22" customHeight="1">
      <c r="A107" s="9" t="n"/>
      <c r="B107" s="9" t="n"/>
      <c r="C107" s="9" t="n"/>
      <c r="D107" s="9" t="n"/>
      <c r="E107" s="31" t="n"/>
      <c r="F107" s="31" t="n"/>
      <c r="G107" s="31" t="n"/>
      <c r="H107" s="31" t="n"/>
      <c r="I107" s="47" t="n"/>
      <c r="J107" s="47" t="n"/>
      <c r="K107" s="31" t="n"/>
      <c r="L107" s="9" t="n"/>
      <c r="M107" s="9" t="n"/>
      <c r="N107" s="41" t="n"/>
    </row>
    <row r="108" ht="22" customHeight="1">
      <c r="A108" s="5" t="n"/>
      <c r="B108" s="5" t="n"/>
      <c r="C108" s="5" t="n"/>
      <c r="D108" s="5" t="n"/>
      <c r="E108" s="30" t="n"/>
      <c r="F108" s="30" t="n"/>
      <c r="G108" s="30" t="n"/>
      <c r="H108" s="30" t="n"/>
      <c r="I108" s="46" t="n"/>
      <c r="J108" s="46" t="n"/>
      <c r="K108" s="30" t="n"/>
      <c r="L108" s="5" t="n"/>
      <c r="M108" s="5" t="n"/>
      <c r="N108" s="40" t="n"/>
    </row>
    <row r="109" ht="22" customHeight="1">
      <c r="A109" s="9" t="n"/>
      <c r="B109" s="9" t="n"/>
      <c r="C109" s="9" t="n"/>
      <c r="D109" s="9" t="n"/>
      <c r="E109" s="31" t="n"/>
      <c r="F109" s="31" t="n"/>
      <c r="G109" s="31" t="n"/>
      <c r="H109" s="31" t="n"/>
      <c r="I109" s="47" t="n"/>
      <c r="J109" s="47" t="n"/>
      <c r="K109" s="31" t="n"/>
      <c r="L109" s="9" t="n"/>
      <c r="M109" s="9" t="n"/>
      <c r="N109" s="41" t="n"/>
    </row>
    <row r="110" ht="22" customHeight="1">
      <c r="A110" s="5" t="n"/>
      <c r="B110" s="5" t="n"/>
      <c r="C110" s="5" t="n"/>
      <c r="D110" s="5" t="n"/>
      <c r="E110" s="30" t="n"/>
      <c r="F110" s="30" t="n"/>
      <c r="G110" s="30" t="n"/>
      <c r="H110" s="30" t="n"/>
      <c r="I110" s="46" t="n"/>
      <c r="J110" s="46" t="n"/>
      <c r="K110" s="30" t="n"/>
      <c r="L110" s="5" t="n"/>
      <c r="M110" s="5" t="n"/>
      <c r="N110" s="40" t="n"/>
    </row>
    <row r="111" ht="22" customHeight="1">
      <c r="A111" s="9" t="n"/>
      <c r="B111" s="9" t="n"/>
      <c r="C111" s="9" t="n"/>
      <c r="D111" s="9" t="n"/>
      <c r="E111" s="31" t="n"/>
      <c r="F111" s="31" t="n"/>
      <c r="G111" s="31" t="n"/>
      <c r="H111" s="31" t="n"/>
      <c r="I111" s="47" t="n"/>
      <c r="J111" s="47" t="n"/>
      <c r="K111" s="31" t="n"/>
      <c r="L111" s="9" t="n"/>
      <c r="M111" s="9" t="n"/>
      <c r="N111" s="41" t="n"/>
    </row>
    <row r="112" ht="22" customHeight="1">
      <c r="A112" s="5" t="n"/>
      <c r="B112" s="5" t="n"/>
      <c r="C112" s="5" t="n"/>
      <c r="D112" s="5" t="n"/>
      <c r="E112" s="30" t="n"/>
      <c r="F112" s="30" t="n"/>
      <c r="G112" s="30" t="n"/>
      <c r="H112" s="30" t="n"/>
      <c r="I112" s="46" t="n"/>
      <c r="J112" s="46" t="n"/>
      <c r="K112" s="30" t="n"/>
      <c r="L112" s="5" t="n"/>
      <c r="M112" s="5" t="n"/>
      <c r="N112" s="40" t="n"/>
    </row>
    <row r="113" ht="22" customHeight="1">
      <c r="A113" s="9" t="n"/>
      <c r="B113" s="9" t="n"/>
      <c r="C113" s="9" t="n"/>
      <c r="D113" s="9" t="n"/>
      <c r="E113" s="31" t="n"/>
      <c r="F113" s="31" t="n"/>
      <c r="G113" s="31" t="n"/>
      <c r="H113" s="31" t="n"/>
      <c r="I113" s="47" t="n"/>
      <c r="J113" s="47" t="n"/>
      <c r="K113" s="31" t="n"/>
      <c r="L113" s="9" t="n"/>
      <c r="M113" s="9" t="n"/>
      <c r="N113" s="41" t="n"/>
    </row>
    <row r="114" ht="22" customHeight="1">
      <c r="A114" s="5" t="n"/>
      <c r="B114" s="5" t="n"/>
      <c r="C114" s="5" t="n"/>
      <c r="D114" s="5" t="n"/>
      <c r="E114" s="30" t="n"/>
      <c r="F114" s="30" t="n"/>
      <c r="G114" s="30" t="n"/>
      <c r="H114" s="30" t="n"/>
      <c r="I114" s="46" t="n"/>
      <c r="J114" s="46" t="n"/>
      <c r="K114" s="30" t="n"/>
      <c r="L114" s="5" t="n"/>
      <c r="M114" s="5" t="n"/>
      <c r="N114" s="40" t="n"/>
    </row>
    <row r="115" ht="22" customHeight="1">
      <c r="A115" s="9" t="n"/>
      <c r="B115" s="9" t="n"/>
      <c r="C115" s="9" t="n"/>
      <c r="D115" s="9" t="n"/>
      <c r="E115" s="31" t="n"/>
      <c r="F115" s="31" t="n"/>
      <c r="G115" s="31" t="n"/>
      <c r="H115" s="31" t="n"/>
      <c r="I115" s="47" t="n"/>
      <c r="J115" s="47" t="n"/>
      <c r="K115" s="31" t="n"/>
      <c r="L115" s="9" t="n"/>
      <c r="M115" s="9" t="n"/>
      <c r="N115" s="41" t="n"/>
    </row>
  </sheetData>
  <mergeCells count="2">
    <mergeCell ref="A3:N3"/>
    <mergeCell ref="A2:N2"/>
  </mergeCells>
  <conditionalFormatting sqref="B6:B115">
    <cfRule type="cellIs" priority="1" operator="equal" dxfId="0">
      <formula>"PER"</formula>
    </cfRule>
    <cfRule type="cellIs" priority="2" operator="equal" dxfId="2">
      <formula>"REER"</formula>
    </cfRule>
    <cfRule type="cellIs" priority="3" operator="equal" dxfId="3">
      <formula>"CARPA"</formula>
    </cfRule>
    <cfRule type="cellIs" priority="4" operator="equal" dxfId="0">
      <formula>"CNPS complémentaire"</formula>
    </cfRule>
  </conditionalFormatting>
  <dataValidations count="1">
    <dataValidation sqref="C6:C115" showDropDown="0" showInputMessage="0" showErrorMessage="0" allowBlank="1" errorTitle="Erreur" error="Valeur invalide" promptTitle="" prompt="Choisir: " type="list">
      <formula1>"PER,REER,CARPA,CNPS complémentaire"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0" customWidth="1" min="8" max="8"/>
    <col width="2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AVANTAGES ALIMENTATION — Tickets, paniers et primes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Type avantage</t>
        </is>
      </c>
      <c r="D5" s="4" t="inlineStr">
        <is>
          <t>Nb jours ouvrés/mois</t>
        </is>
      </c>
      <c r="E5" s="4" t="inlineStr">
        <is>
          <t>Valeur unitaire (FCFA)</t>
        </is>
      </c>
      <c r="F5" s="4" t="inlineStr">
        <is>
          <t>Montant mensuel (FCFA)</t>
        </is>
      </c>
      <c r="G5" s="4" t="inlineStr">
        <is>
          <t>Participation employeur (%)</t>
        </is>
      </c>
      <c r="H5" s="4" t="inlineStr">
        <is>
          <t>Part employé (FCFA)</t>
        </is>
      </c>
      <c r="I5" s="4" t="inlineStr">
        <is>
          <t>Plafond exonération (FCFA)</t>
        </is>
      </c>
      <c r="J5" s="4" t="inlineStr">
        <is>
          <t>Exonéré</t>
        </is>
      </c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EMP-001</t>
        </is>
      </c>
      <c r="B6" s="5">
        <f>IFERROR(VLOOKUP(A6,'F01 - _Données Employés'!$A$6:$C$20,2,FALSE),"")</f>
        <v/>
      </c>
      <c r="C6" s="5" t="inlineStr">
        <is>
          <t>Tickets restaurant</t>
        </is>
      </c>
      <c r="D6" s="5" t="n">
        <v>22</v>
      </c>
      <c r="E6" s="30" t="n">
        <v>1000</v>
      </c>
      <c r="F6" s="30">
        <f>D6*E6</f>
        <v/>
      </c>
      <c r="G6" s="30" t="n">
        <v>0.6</v>
      </c>
      <c r="H6" s="46">
        <f>F6*(1-G6)</f>
        <v/>
      </c>
      <c r="I6" s="30" t="n">
        <v>50000</v>
      </c>
      <c r="J6" s="30">
        <f>IF(F6&lt;=I6,"Oui","Non")</f>
        <v/>
      </c>
      <c r="K6" s="5" t="n"/>
      <c r="L6" s="5" t="n"/>
      <c r="M6" s="5" t="n"/>
      <c r="N6" s="40" t="n">
        <v>45444</v>
      </c>
    </row>
    <row r="7" ht="22" customHeight="1">
      <c r="A7" s="9" t="inlineStr">
        <is>
          <t>EMP-002</t>
        </is>
      </c>
      <c r="B7" s="9">
        <f>IFERROR(VLOOKUP(A7,'F01 - _Données Employés'!$A$6:$C$20,2,FALSE),"")</f>
        <v/>
      </c>
      <c r="C7" s="9" t="inlineStr">
        <is>
          <t>Tickets restaurant</t>
        </is>
      </c>
      <c r="D7" s="9" t="n">
        <v>22</v>
      </c>
      <c r="E7" s="31" t="n">
        <v>1000</v>
      </c>
      <c r="F7" s="31">
        <f>D7*E7</f>
        <v/>
      </c>
      <c r="G7" s="31" t="n">
        <v>0.6</v>
      </c>
      <c r="H7" s="47">
        <f>F7*(1-G7)</f>
        <v/>
      </c>
      <c r="I7" s="31" t="n">
        <v>50000</v>
      </c>
      <c r="J7" s="31">
        <f>IF(F7&lt;=I7,"Oui","Non")</f>
        <v/>
      </c>
      <c r="K7" s="9" t="n"/>
      <c r="L7" s="9" t="n"/>
      <c r="M7" s="9" t="n"/>
      <c r="N7" s="41" t="n">
        <v>45444</v>
      </c>
    </row>
    <row r="8" ht="22" customHeight="1">
      <c r="A8" s="5" t="inlineStr">
        <is>
          <t>EMP-003</t>
        </is>
      </c>
      <c r="B8" s="5">
        <f>IFERROR(VLOOKUP(A8,'F01 - _Données Employés'!$A$6:$C$20,2,FALSE),"")</f>
        <v/>
      </c>
      <c r="C8" s="5" t="inlineStr">
        <is>
          <t>Panier repas</t>
        </is>
      </c>
      <c r="D8" s="5" t="n">
        <v>22</v>
      </c>
      <c r="E8" s="30" t="n">
        <v>800</v>
      </c>
      <c r="F8" s="30">
        <f>D8*E8</f>
        <v/>
      </c>
      <c r="G8" s="30" t="n">
        <v>0.5</v>
      </c>
      <c r="H8" s="46">
        <f>F8*(1-G8)</f>
        <v/>
      </c>
      <c r="I8" s="30" t="n">
        <v>50000</v>
      </c>
      <c r="J8" s="30">
        <f>IF(F8&lt;=I8,"Oui","Non")</f>
        <v/>
      </c>
      <c r="K8" s="5" t="n"/>
      <c r="L8" s="5" t="n"/>
      <c r="M8" s="5" t="n"/>
      <c r="N8" s="40" t="n">
        <v>45444</v>
      </c>
    </row>
    <row r="9" ht="22" customHeight="1">
      <c r="A9" s="9" t="inlineStr">
        <is>
          <t>EMP-004</t>
        </is>
      </c>
      <c r="B9" s="9">
        <f>IFERROR(VLOOKUP(A9,'F01 - _Données Employés'!$A$6:$C$20,2,FALSE),"")</f>
        <v/>
      </c>
      <c r="C9" s="9" t="inlineStr">
        <is>
          <t>Tickets restaurant</t>
        </is>
      </c>
      <c r="D9" s="9" t="n">
        <v>22</v>
      </c>
      <c r="E9" s="31" t="n">
        <v>1000</v>
      </c>
      <c r="F9" s="31">
        <f>D9*E9</f>
        <v/>
      </c>
      <c r="G9" s="31" t="n">
        <v>0.6</v>
      </c>
      <c r="H9" s="47">
        <f>F9*(1-G9)</f>
        <v/>
      </c>
      <c r="I9" s="31" t="n">
        <v>50000</v>
      </c>
      <c r="J9" s="31">
        <f>IF(F9&lt;=I9,"Oui","Non")</f>
        <v/>
      </c>
      <c r="K9" s="9" t="n"/>
      <c r="L9" s="9" t="n"/>
      <c r="M9" s="9" t="n"/>
      <c r="N9" s="41" t="n">
        <v>45444</v>
      </c>
    </row>
    <row r="10" ht="22" customHeight="1">
      <c r="A10" s="5" t="inlineStr">
        <is>
          <t>EMP-005</t>
        </is>
      </c>
      <c r="B10" s="5">
        <f>IFERROR(VLOOKUP(A10,'F01 - _Données Employés'!$A$6:$C$20,2,FALSE),"")</f>
        <v/>
      </c>
      <c r="C10" s="5" t="inlineStr">
        <is>
          <t>Prime alimentaire</t>
        </is>
      </c>
      <c r="D10" s="5" t="n">
        <v>22</v>
      </c>
      <c r="E10" s="30" t="n">
        <v>15000</v>
      </c>
      <c r="F10" s="30">
        <f>D10*E10</f>
        <v/>
      </c>
      <c r="G10" s="30" t="n">
        <v>1</v>
      </c>
      <c r="H10" s="46">
        <f>F10*(1-G10)</f>
        <v/>
      </c>
      <c r="I10" s="30" t="n">
        <v>50000</v>
      </c>
      <c r="J10" s="30">
        <f>IF(F10&lt;=I10,"Oui","Non")</f>
        <v/>
      </c>
      <c r="K10" s="5" t="n"/>
      <c r="L10" s="5" t="n"/>
      <c r="M10" s="5" t="n"/>
      <c r="N10" s="40" t="n">
        <v>45444</v>
      </c>
    </row>
    <row r="11" ht="22" customHeight="1">
      <c r="A11" s="9" t="inlineStr">
        <is>
          <t>EMP-006</t>
        </is>
      </c>
      <c r="B11" s="9">
        <f>IFERROR(VLOOKUP(A11,'F01 - _Données Employés'!$A$6:$C$20,2,FALSE),"")</f>
        <v/>
      </c>
      <c r="C11" s="9" t="inlineStr">
        <is>
          <t>Tickets restaurant</t>
        </is>
      </c>
      <c r="D11" s="9" t="n">
        <v>22</v>
      </c>
      <c r="E11" s="31" t="n">
        <v>1000</v>
      </c>
      <c r="F11" s="31">
        <f>D11*E11</f>
        <v/>
      </c>
      <c r="G11" s="31" t="n">
        <v>0.6</v>
      </c>
      <c r="H11" s="47">
        <f>F11*(1-G11)</f>
        <v/>
      </c>
      <c r="I11" s="31" t="n">
        <v>50000</v>
      </c>
      <c r="J11" s="31">
        <f>IF(F11&lt;=I11,"Oui","Non")</f>
        <v/>
      </c>
      <c r="K11" s="9" t="n"/>
      <c r="L11" s="9" t="n"/>
      <c r="M11" s="9" t="n"/>
      <c r="N11" s="41" t="n">
        <v>45444</v>
      </c>
    </row>
    <row r="12" ht="22" customHeight="1">
      <c r="A12" s="5" t="inlineStr">
        <is>
          <t>EMP-008</t>
        </is>
      </c>
      <c r="B12" s="5">
        <f>IFERROR(VLOOKUP(A12,'F01 - _Données Employés'!$A$6:$C$20,2,FALSE),"")</f>
        <v/>
      </c>
      <c r="C12" s="5" t="inlineStr">
        <is>
          <t>Tickets restaurant</t>
        </is>
      </c>
      <c r="D12" s="5" t="n">
        <v>22</v>
      </c>
      <c r="E12" s="30" t="n">
        <v>1000</v>
      </c>
      <c r="F12" s="30">
        <f>D12*E12</f>
        <v/>
      </c>
      <c r="G12" s="30" t="n">
        <v>0.6</v>
      </c>
      <c r="H12" s="46">
        <f>F12*(1-G12)</f>
        <v/>
      </c>
      <c r="I12" s="30" t="n">
        <v>50000</v>
      </c>
      <c r="J12" s="30">
        <f>IF(F12&lt;=I12,"Oui","Non")</f>
        <v/>
      </c>
      <c r="K12" s="5" t="n"/>
      <c r="L12" s="5" t="n"/>
      <c r="M12" s="5" t="n"/>
      <c r="N12" s="40" t="n">
        <v>45444</v>
      </c>
    </row>
    <row r="13" ht="22" customHeight="1">
      <c r="A13" s="9" t="inlineStr">
        <is>
          <t>EMP-009</t>
        </is>
      </c>
      <c r="B13" s="9">
        <f>IFERROR(VLOOKUP(A13,'F01 - _Données Employés'!$A$6:$C$20,2,FALSE),"")</f>
        <v/>
      </c>
      <c r="C13" s="9" t="inlineStr">
        <is>
          <t>Panier repas</t>
        </is>
      </c>
      <c r="D13" s="9" t="n">
        <v>22</v>
      </c>
      <c r="E13" s="31" t="n">
        <v>800</v>
      </c>
      <c r="F13" s="31">
        <f>D13*E13</f>
        <v/>
      </c>
      <c r="G13" s="31" t="n">
        <v>0.5</v>
      </c>
      <c r="H13" s="47">
        <f>F13*(1-G13)</f>
        <v/>
      </c>
      <c r="I13" s="31" t="n">
        <v>50000</v>
      </c>
      <c r="J13" s="31">
        <f>IF(F13&lt;=I13,"Oui","Non")</f>
        <v/>
      </c>
      <c r="K13" s="9" t="n"/>
      <c r="L13" s="9" t="n"/>
      <c r="M13" s="9" t="n"/>
      <c r="N13" s="41" t="n">
        <v>45444</v>
      </c>
    </row>
    <row r="14" ht="22" customHeight="1">
      <c r="A14" s="5" t="inlineStr">
        <is>
          <t>EMP-010</t>
        </is>
      </c>
      <c r="B14" s="5">
        <f>IFERROR(VLOOKUP(A14,'F01 - _Données Employés'!$A$6:$C$20,2,FALSE),"")</f>
        <v/>
      </c>
      <c r="C14" s="5" t="inlineStr">
        <is>
          <t>Prime alimentaire</t>
        </is>
      </c>
      <c r="D14" s="5" t="n">
        <v>22</v>
      </c>
      <c r="E14" s="30" t="n">
        <v>15000</v>
      </c>
      <c r="F14" s="30">
        <f>D14*E14</f>
        <v/>
      </c>
      <c r="G14" s="30" t="n">
        <v>1</v>
      </c>
      <c r="H14" s="46">
        <f>F14*(1-G14)</f>
        <v/>
      </c>
      <c r="I14" s="30" t="n">
        <v>50000</v>
      </c>
      <c r="J14" s="30">
        <f>IF(F14&lt;=I14,"Oui","Non")</f>
        <v/>
      </c>
      <c r="K14" s="5" t="n"/>
      <c r="L14" s="5" t="n"/>
      <c r="M14" s="5" t="n"/>
      <c r="N14" s="40" t="n">
        <v>45444</v>
      </c>
    </row>
    <row r="15" ht="22" customHeight="1">
      <c r="A15" s="9" t="n"/>
      <c r="B15" s="9" t="n"/>
      <c r="C15" s="9" t="n"/>
      <c r="D15" s="9" t="n"/>
      <c r="E15" s="31" t="n"/>
      <c r="F15" s="31" t="n"/>
      <c r="G15" s="31" t="n"/>
      <c r="H15" s="47" t="n"/>
      <c r="I15" s="31" t="n"/>
      <c r="J15" s="31" t="n"/>
      <c r="K15" s="9" t="n"/>
      <c r="L15" s="9" t="n"/>
      <c r="M15" s="9" t="n"/>
      <c r="N15" s="41" t="n"/>
    </row>
    <row r="16" ht="22" customHeight="1">
      <c r="A16" s="5" t="n"/>
      <c r="B16" s="5" t="n"/>
      <c r="C16" s="5" t="n"/>
      <c r="D16" s="5" t="n"/>
      <c r="E16" s="30" t="n"/>
      <c r="F16" s="30" t="n"/>
      <c r="G16" s="30" t="n"/>
      <c r="H16" s="46" t="n"/>
      <c r="I16" s="30" t="n"/>
      <c r="J16" s="30" t="n"/>
      <c r="K16" s="5" t="n"/>
      <c r="L16" s="5" t="n"/>
      <c r="M16" s="5" t="n"/>
      <c r="N16" s="40" t="n"/>
    </row>
    <row r="17" ht="22" customHeight="1">
      <c r="A17" s="9" t="n"/>
      <c r="B17" s="9" t="n"/>
      <c r="C17" s="9" t="n"/>
      <c r="D17" s="9" t="n"/>
      <c r="E17" s="31" t="n"/>
      <c r="F17" s="31" t="n"/>
      <c r="G17" s="31" t="n"/>
      <c r="H17" s="47" t="n"/>
      <c r="I17" s="31" t="n"/>
      <c r="J17" s="31" t="n"/>
      <c r="K17" s="9" t="n"/>
      <c r="L17" s="9" t="n"/>
      <c r="M17" s="9" t="n"/>
      <c r="N17" s="41" t="n"/>
    </row>
    <row r="18" ht="22" customHeight="1">
      <c r="A18" s="5" t="n"/>
      <c r="B18" s="5" t="n"/>
      <c r="C18" s="5" t="n"/>
      <c r="D18" s="5" t="n"/>
      <c r="E18" s="30" t="n"/>
      <c r="F18" s="30" t="n"/>
      <c r="G18" s="30" t="n"/>
      <c r="H18" s="46" t="n"/>
      <c r="I18" s="30" t="n"/>
      <c r="J18" s="30" t="n"/>
      <c r="K18" s="5" t="n"/>
      <c r="L18" s="5" t="n"/>
      <c r="M18" s="5" t="n"/>
      <c r="N18" s="40" t="n"/>
    </row>
    <row r="19" ht="22" customHeight="1">
      <c r="A19" s="9" t="n"/>
      <c r="B19" s="9" t="n"/>
      <c r="C19" s="9" t="n"/>
      <c r="D19" s="9" t="n"/>
      <c r="E19" s="31" t="n"/>
      <c r="F19" s="31" t="n"/>
      <c r="G19" s="31" t="n"/>
      <c r="H19" s="47" t="n"/>
      <c r="I19" s="31" t="n"/>
      <c r="J19" s="31" t="n"/>
      <c r="K19" s="9" t="n"/>
      <c r="L19" s="9" t="n"/>
      <c r="M19" s="9" t="n"/>
      <c r="N19" s="41" t="n"/>
    </row>
    <row r="20" ht="22" customHeight="1">
      <c r="A20" s="5" t="n"/>
      <c r="B20" s="5" t="n"/>
      <c r="C20" s="5" t="n"/>
      <c r="D20" s="5" t="n"/>
      <c r="E20" s="30" t="n"/>
      <c r="F20" s="30" t="n"/>
      <c r="G20" s="30" t="n"/>
      <c r="H20" s="46" t="n"/>
      <c r="I20" s="30" t="n"/>
      <c r="J20" s="30" t="n"/>
      <c r="K20" s="5" t="n"/>
      <c r="L20" s="5" t="n"/>
      <c r="M20" s="5" t="n"/>
      <c r="N20" s="40" t="n"/>
    </row>
    <row r="21" ht="22" customHeight="1">
      <c r="A21" s="9" t="n"/>
      <c r="B21" s="9" t="n"/>
      <c r="C21" s="9" t="n"/>
      <c r="D21" s="9" t="n"/>
      <c r="E21" s="31" t="n"/>
      <c r="F21" s="31" t="n"/>
      <c r="G21" s="31" t="n"/>
      <c r="H21" s="47" t="n"/>
      <c r="I21" s="31" t="n"/>
      <c r="J21" s="31" t="n"/>
      <c r="K21" s="9" t="n"/>
      <c r="L21" s="9" t="n"/>
      <c r="M21" s="9" t="n"/>
      <c r="N21" s="41" t="n"/>
    </row>
    <row r="22" ht="22" customHeight="1">
      <c r="A22" s="5" t="n"/>
      <c r="B22" s="5" t="n"/>
      <c r="C22" s="5" t="n"/>
      <c r="D22" s="5" t="n"/>
      <c r="E22" s="30" t="n"/>
      <c r="F22" s="30" t="n"/>
      <c r="G22" s="30" t="n"/>
      <c r="H22" s="46" t="n"/>
      <c r="I22" s="30" t="n"/>
      <c r="J22" s="30" t="n"/>
      <c r="K22" s="5" t="n"/>
      <c r="L22" s="5" t="n"/>
      <c r="M22" s="5" t="n"/>
      <c r="N22" s="40" t="n"/>
    </row>
    <row r="23" ht="22" customHeight="1">
      <c r="A23" s="9" t="n"/>
      <c r="B23" s="9" t="n"/>
      <c r="C23" s="9" t="n"/>
      <c r="D23" s="9" t="n"/>
      <c r="E23" s="31" t="n"/>
      <c r="F23" s="31" t="n"/>
      <c r="G23" s="31" t="n"/>
      <c r="H23" s="47" t="n"/>
      <c r="I23" s="31" t="n"/>
      <c r="J23" s="31" t="n"/>
      <c r="K23" s="9" t="n"/>
      <c r="L23" s="9" t="n"/>
      <c r="M23" s="9" t="n"/>
      <c r="N23" s="41" t="n"/>
    </row>
    <row r="24" ht="22" customHeight="1">
      <c r="A24" s="5" t="n"/>
      <c r="B24" s="5" t="n"/>
      <c r="C24" s="5" t="n"/>
      <c r="D24" s="5" t="n"/>
      <c r="E24" s="30" t="n"/>
      <c r="F24" s="30" t="n"/>
      <c r="G24" s="30" t="n"/>
      <c r="H24" s="46" t="n"/>
      <c r="I24" s="30" t="n"/>
      <c r="J24" s="30" t="n"/>
      <c r="K24" s="5" t="n"/>
      <c r="L24" s="5" t="n"/>
      <c r="M24" s="5" t="n"/>
      <c r="N24" s="40" t="n"/>
    </row>
    <row r="25" ht="22" customHeight="1">
      <c r="A25" s="9" t="n"/>
      <c r="B25" s="9" t="n"/>
      <c r="C25" s="9" t="n"/>
      <c r="D25" s="9" t="n"/>
      <c r="E25" s="31" t="n"/>
      <c r="F25" s="31" t="n"/>
      <c r="G25" s="31" t="n"/>
      <c r="H25" s="47" t="n"/>
      <c r="I25" s="31" t="n"/>
      <c r="J25" s="31" t="n"/>
      <c r="K25" s="9" t="n"/>
      <c r="L25" s="9" t="n"/>
      <c r="M25" s="9" t="n"/>
      <c r="N25" s="41" t="n"/>
    </row>
    <row r="26" ht="22" customHeight="1">
      <c r="A26" s="5" t="n"/>
      <c r="B26" s="5" t="n"/>
      <c r="C26" s="5" t="n"/>
      <c r="D26" s="5" t="n"/>
      <c r="E26" s="30" t="n"/>
      <c r="F26" s="30" t="n"/>
      <c r="G26" s="30" t="n"/>
      <c r="H26" s="46" t="n"/>
      <c r="I26" s="30" t="n"/>
      <c r="J26" s="30" t="n"/>
      <c r="K26" s="5" t="n"/>
      <c r="L26" s="5" t="n"/>
      <c r="M26" s="5" t="n"/>
      <c r="N26" s="40" t="n"/>
    </row>
    <row r="27" ht="22" customHeight="1">
      <c r="A27" s="9" t="n"/>
      <c r="B27" s="9" t="n"/>
      <c r="C27" s="9" t="n"/>
      <c r="D27" s="9" t="n"/>
      <c r="E27" s="31" t="n"/>
      <c r="F27" s="31" t="n"/>
      <c r="G27" s="31" t="n"/>
      <c r="H27" s="47" t="n"/>
      <c r="I27" s="31" t="n"/>
      <c r="J27" s="31" t="n"/>
      <c r="K27" s="9" t="n"/>
      <c r="L27" s="9" t="n"/>
      <c r="M27" s="9" t="n"/>
      <c r="N27" s="41" t="n"/>
    </row>
    <row r="28" ht="22" customHeight="1">
      <c r="A28" s="5" t="n"/>
      <c r="B28" s="5" t="n"/>
      <c r="C28" s="5" t="n"/>
      <c r="D28" s="5" t="n"/>
      <c r="E28" s="30" t="n"/>
      <c r="F28" s="30" t="n"/>
      <c r="G28" s="30" t="n"/>
      <c r="H28" s="46" t="n"/>
      <c r="I28" s="30" t="n"/>
      <c r="J28" s="30" t="n"/>
      <c r="K28" s="5" t="n"/>
      <c r="L28" s="5" t="n"/>
      <c r="M28" s="5" t="n"/>
      <c r="N28" s="40" t="n"/>
    </row>
    <row r="29" ht="22" customHeight="1">
      <c r="A29" s="9" t="n"/>
      <c r="B29" s="9" t="n"/>
      <c r="C29" s="9" t="n"/>
      <c r="D29" s="9" t="n"/>
      <c r="E29" s="31" t="n"/>
      <c r="F29" s="31" t="n"/>
      <c r="G29" s="31" t="n"/>
      <c r="H29" s="47" t="n"/>
      <c r="I29" s="31" t="n"/>
      <c r="J29" s="31" t="n"/>
      <c r="K29" s="9" t="n"/>
      <c r="L29" s="9" t="n"/>
      <c r="M29" s="9" t="n"/>
      <c r="N29" s="41" t="n"/>
    </row>
    <row r="30" ht="22" customHeight="1">
      <c r="A30" s="5" t="n"/>
      <c r="B30" s="5" t="n"/>
      <c r="C30" s="5" t="n"/>
      <c r="D30" s="5" t="n"/>
      <c r="E30" s="30" t="n"/>
      <c r="F30" s="30" t="n"/>
      <c r="G30" s="30" t="n"/>
      <c r="H30" s="46" t="n"/>
      <c r="I30" s="30" t="n"/>
      <c r="J30" s="30" t="n"/>
      <c r="K30" s="5" t="n"/>
      <c r="L30" s="5" t="n"/>
      <c r="M30" s="5" t="n"/>
      <c r="N30" s="40" t="n"/>
    </row>
    <row r="31" ht="22" customHeight="1">
      <c r="A31" s="9" t="n"/>
      <c r="B31" s="9" t="n"/>
      <c r="C31" s="9" t="n"/>
      <c r="D31" s="9" t="n"/>
      <c r="E31" s="31" t="n"/>
      <c r="F31" s="31" t="n"/>
      <c r="G31" s="31" t="n"/>
      <c r="H31" s="47" t="n"/>
      <c r="I31" s="31" t="n"/>
      <c r="J31" s="31" t="n"/>
      <c r="K31" s="9" t="n"/>
      <c r="L31" s="9" t="n"/>
      <c r="M31" s="9" t="n"/>
      <c r="N31" s="41" t="n"/>
    </row>
    <row r="32" ht="22" customHeight="1">
      <c r="A32" s="5" t="n"/>
      <c r="B32" s="5" t="n"/>
      <c r="C32" s="5" t="n"/>
      <c r="D32" s="5" t="n"/>
      <c r="E32" s="30" t="n"/>
      <c r="F32" s="30" t="n"/>
      <c r="G32" s="30" t="n"/>
      <c r="H32" s="46" t="n"/>
      <c r="I32" s="30" t="n"/>
      <c r="J32" s="30" t="n"/>
      <c r="K32" s="5" t="n"/>
      <c r="L32" s="5" t="n"/>
      <c r="M32" s="5" t="n"/>
      <c r="N32" s="40" t="n"/>
    </row>
    <row r="33" ht="22" customHeight="1">
      <c r="A33" s="9" t="n"/>
      <c r="B33" s="9" t="n"/>
      <c r="C33" s="9" t="n"/>
      <c r="D33" s="9" t="n"/>
      <c r="E33" s="31" t="n"/>
      <c r="F33" s="31" t="n"/>
      <c r="G33" s="31" t="n"/>
      <c r="H33" s="47" t="n"/>
      <c r="I33" s="31" t="n"/>
      <c r="J33" s="31" t="n"/>
      <c r="K33" s="9" t="n"/>
      <c r="L33" s="9" t="n"/>
      <c r="M33" s="9" t="n"/>
      <c r="N33" s="41" t="n"/>
    </row>
    <row r="34" ht="22" customHeight="1">
      <c r="A34" s="5" t="n"/>
      <c r="B34" s="5" t="n"/>
      <c r="C34" s="5" t="n"/>
      <c r="D34" s="5" t="n"/>
      <c r="E34" s="30" t="n"/>
      <c r="F34" s="30" t="n"/>
      <c r="G34" s="30" t="n"/>
      <c r="H34" s="46" t="n"/>
      <c r="I34" s="30" t="n"/>
      <c r="J34" s="30" t="n"/>
      <c r="K34" s="5" t="n"/>
      <c r="L34" s="5" t="n"/>
      <c r="M34" s="5" t="n"/>
      <c r="N34" s="40" t="n"/>
    </row>
    <row r="35" ht="22" customHeight="1">
      <c r="A35" s="9" t="n"/>
      <c r="B35" s="9" t="n"/>
      <c r="C35" s="9" t="n"/>
      <c r="D35" s="9" t="n"/>
      <c r="E35" s="31" t="n"/>
      <c r="F35" s="31" t="n"/>
      <c r="G35" s="31" t="n"/>
      <c r="H35" s="47" t="n"/>
      <c r="I35" s="31" t="n"/>
      <c r="J35" s="31" t="n"/>
      <c r="K35" s="9" t="n"/>
      <c r="L35" s="9" t="n"/>
      <c r="M35" s="9" t="n"/>
      <c r="N35" s="41" t="n"/>
    </row>
    <row r="36" ht="22" customHeight="1">
      <c r="A36" s="5" t="n"/>
      <c r="B36" s="5" t="n"/>
      <c r="C36" s="5" t="n"/>
      <c r="D36" s="5" t="n"/>
      <c r="E36" s="30" t="n"/>
      <c r="F36" s="30" t="n"/>
      <c r="G36" s="30" t="n"/>
      <c r="H36" s="46" t="n"/>
      <c r="I36" s="30" t="n"/>
      <c r="J36" s="30" t="n"/>
      <c r="K36" s="5" t="n"/>
      <c r="L36" s="5" t="n"/>
      <c r="M36" s="5" t="n"/>
      <c r="N36" s="40" t="n"/>
    </row>
    <row r="37" ht="22" customHeight="1">
      <c r="A37" s="9" t="n"/>
      <c r="B37" s="9" t="n"/>
      <c r="C37" s="9" t="n"/>
      <c r="D37" s="9" t="n"/>
      <c r="E37" s="31" t="n"/>
      <c r="F37" s="31" t="n"/>
      <c r="G37" s="31" t="n"/>
      <c r="H37" s="47" t="n"/>
      <c r="I37" s="31" t="n"/>
      <c r="J37" s="31" t="n"/>
      <c r="K37" s="9" t="n"/>
      <c r="L37" s="9" t="n"/>
      <c r="M37" s="9" t="n"/>
      <c r="N37" s="41" t="n"/>
    </row>
    <row r="38" ht="22" customHeight="1">
      <c r="A38" s="5" t="n"/>
      <c r="B38" s="5" t="n"/>
      <c r="C38" s="5" t="n"/>
      <c r="D38" s="5" t="n"/>
      <c r="E38" s="30" t="n"/>
      <c r="F38" s="30" t="n"/>
      <c r="G38" s="30" t="n"/>
      <c r="H38" s="46" t="n"/>
      <c r="I38" s="30" t="n"/>
      <c r="J38" s="30" t="n"/>
      <c r="K38" s="5" t="n"/>
      <c r="L38" s="5" t="n"/>
      <c r="M38" s="5" t="n"/>
      <c r="N38" s="40" t="n"/>
    </row>
    <row r="39" ht="22" customHeight="1">
      <c r="A39" s="9" t="n"/>
      <c r="B39" s="9" t="n"/>
      <c r="C39" s="9" t="n"/>
      <c r="D39" s="9" t="n"/>
      <c r="E39" s="31" t="n"/>
      <c r="F39" s="31" t="n"/>
      <c r="G39" s="31" t="n"/>
      <c r="H39" s="47" t="n"/>
      <c r="I39" s="31" t="n"/>
      <c r="J39" s="31" t="n"/>
      <c r="K39" s="9" t="n"/>
      <c r="L39" s="9" t="n"/>
      <c r="M39" s="9" t="n"/>
      <c r="N39" s="41" t="n"/>
    </row>
    <row r="40" ht="22" customHeight="1">
      <c r="A40" s="5" t="n"/>
      <c r="B40" s="5" t="n"/>
      <c r="C40" s="5" t="n"/>
      <c r="D40" s="5" t="n"/>
      <c r="E40" s="30" t="n"/>
      <c r="F40" s="30" t="n"/>
      <c r="G40" s="30" t="n"/>
      <c r="H40" s="46" t="n"/>
      <c r="I40" s="30" t="n"/>
      <c r="J40" s="30" t="n"/>
      <c r="K40" s="5" t="n"/>
      <c r="L40" s="5" t="n"/>
      <c r="M40" s="5" t="n"/>
      <c r="N40" s="40" t="n"/>
    </row>
    <row r="41" ht="22" customHeight="1">
      <c r="A41" s="9" t="n"/>
      <c r="B41" s="9" t="n"/>
      <c r="C41" s="9" t="n"/>
      <c r="D41" s="9" t="n"/>
      <c r="E41" s="31" t="n"/>
      <c r="F41" s="31" t="n"/>
      <c r="G41" s="31" t="n"/>
      <c r="H41" s="47" t="n"/>
      <c r="I41" s="31" t="n"/>
      <c r="J41" s="31" t="n"/>
      <c r="K41" s="9" t="n"/>
      <c r="L41" s="9" t="n"/>
      <c r="M41" s="9" t="n"/>
      <c r="N41" s="41" t="n"/>
    </row>
    <row r="42" ht="22" customHeight="1">
      <c r="A42" s="5" t="n"/>
      <c r="B42" s="5" t="n"/>
      <c r="C42" s="5" t="n"/>
      <c r="D42" s="5" t="n"/>
      <c r="E42" s="30" t="n"/>
      <c r="F42" s="30" t="n"/>
      <c r="G42" s="30" t="n"/>
      <c r="H42" s="46" t="n"/>
      <c r="I42" s="30" t="n"/>
      <c r="J42" s="30" t="n"/>
      <c r="K42" s="5" t="n"/>
      <c r="L42" s="5" t="n"/>
      <c r="M42" s="5" t="n"/>
      <c r="N42" s="40" t="n"/>
    </row>
    <row r="43" ht="22" customHeight="1">
      <c r="A43" s="9" t="n"/>
      <c r="B43" s="9" t="n"/>
      <c r="C43" s="9" t="n"/>
      <c r="D43" s="9" t="n"/>
      <c r="E43" s="31" t="n"/>
      <c r="F43" s="31" t="n"/>
      <c r="G43" s="31" t="n"/>
      <c r="H43" s="47" t="n"/>
      <c r="I43" s="31" t="n"/>
      <c r="J43" s="31" t="n"/>
      <c r="K43" s="9" t="n"/>
      <c r="L43" s="9" t="n"/>
      <c r="M43" s="9" t="n"/>
      <c r="N43" s="41" t="n"/>
    </row>
    <row r="44" ht="22" customHeight="1">
      <c r="A44" s="5" t="n"/>
      <c r="B44" s="5" t="n"/>
      <c r="C44" s="5" t="n"/>
      <c r="D44" s="5" t="n"/>
      <c r="E44" s="30" t="n"/>
      <c r="F44" s="30" t="n"/>
      <c r="G44" s="30" t="n"/>
      <c r="H44" s="46" t="n"/>
      <c r="I44" s="30" t="n"/>
      <c r="J44" s="30" t="n"/>
      <c r="K44" s="5" t="n"/>
      <c r="L44" s="5" t="n"/>
      <c r="M44" s="5" t="n"/>
      <c r="N44" s="40" t="n"/>
    </row>
    <row r="45" ht="22" customHeight="1">
      <c r="A45" s="9" t="n"/>
      <c r="B45" s="9" t="n"/>
      <c r="C45" s="9" t="n"/>
      <c r="D45" s="9" t="n"/>
      <c r="E45" s="31" t="n"/>
      <c r="F45" s="31" t="n"/>
      <c r="G45" s="31" t="n"/>
      <c r="H45" s="47" t="n"/>
      <c r="I45" s="31" t="n"/>
      <c r="J45" s="31" t="n"/>
      <c r="K45" s="9" t="n"/>
      <c r="L45" s="9" t="n"/>
      <c r="M45" s="9" t="n"/>
      <c r="N45" s="41" t="n"/>
    </row>
    <row r="46" ht="22" customHeight="1">
      <c r="A46" s="5" t="n"/>
      <c r="B46" s="5" t="n"/>
      <c r="C46" s="5" t="n"/>
      <c r="D46" s="5" t="n"/>
      <c r="E46" s="30" t="n"/>
      <c r="F46" s="30" t="n"/>
      <c r="G46" s="30" t="n"/>
      <c r="H46" s="46" t="n"/>
      <c r="I46" s="30" t="n"/>
      <c r="J46" s="30" t="n"/>
      <c r="K46" s="5" t="n"/>
      <c r="L46" s="5" t="n"/>
      <c r="M46" s="5" t="n"/>
      <c r="N46" s="40" t="n"/>
    </row>
    <row r="47" ht="22" customHeight="1">
      <c r="A47" s="9" t="n"/>
      <c r="B47" s="9" t="n"/>
      <c r="C47" s="9" t="n"/>
      <c r="D47" s="9" t="n"/>
      <c r="E47" s="31" t="n"/>
      <c r="F47" s="31" t="n"/>
      <c r="G47" s="31" t="n"/>
      <c r="H47" s="47" t="n"/>
      <c r="I47" s="31" t="n"/>
      <c r="J47" s="31" t="n"/>
      <c r="K47" s="9" t="n"/>
      <c r="L47" s="9" t="n"/>
      <c r="M47" s="9" t="n"/>
      <c r="N47" s="41" t="n"/>
    </row>
    <row r="48" ht="22" customHeight="1">
      <c r="A48" s="5" t="n"/>
      <c r="B48" s="5" t="n"/>
      <c r="C48" s="5" t="n"/>
      <c r="D48" s="5" t="n"/>
      <c r="E48" s="30" t="n"/>
      <c r="F48" s="30" t="n"/>
      <c r="G48" s="30" t="n"/>
      <c r="H48" s="46" t="n"/>
      <c r="I48" s="30" t="n"/>
      <c r="J48" s="30" t="n"/>
      <c r="K48" s="5" t="n"/>
      <c r="L48" s="5" t="n"/>
      <c r="M48" s="5" t="n"/>
      <c r="N48" s="40" t="n"/>
    </row>
    <row r="49" ht="22" customHeight="1">
      <c r="A49" s="9" t="n"/>
      <c r="B49" s="9" t="n"/>
      <c r="C49" s="9" t="n"/>
      <c r="D49" s="9" t="n"/>
      <c r="E49" s="31" t="n"/>
      <c r="F49" s="31" t="n"/>
      <c r="G49" s="31" t="n"/>
      <c r="H49" s="47" t="n"/>
      <c r="I49" s="31" t="n"/>
      <c r="J49" s="31" t="n"/>
      <c r="K49" s="9" t="n"/>
      <c r="L49" s="9" t="n"/>
      <c r="M49" s="9" t="n"/>
      <c r="N49" s="41" t="n"/>
    </row>
    <row r="50" ht="22" customHeight="1">
      <c r="A50" s="5" t="n"/>
      <c r="B50" s="5" t="n"/>
      <c r="C50" s="5" t="n"/>
      <c r="D50" s="5" t="n"/>
      <c r="E50" s="30" t="n"/>
      <c r="F50" s="30" t="n"/>
      <c r="G50" s="30" t="n"/>
      <c r="H50" s="46" t="n"/>
      <c r="I50" s="30" t="n"/>
      <c r="J50" s="30" t="n"/>
      <c r="K50" s="5" t="n"/>
      <c r="L50" s="5" t="n"/>
      <c r="M50" s="5" t="n"/>
      <c r="N50" s="40" t="n"/>
    </row>
    <row r="51" ht="22" customHeight="1">
      <c r="A51" s="9" t="n"/>
      <c r="B51" s="9" t="n"/>
      <c r="C51" s="9" t="n"/>
      <c r="D51" s="9" t="n"/>
      <c r="E51" s="31" t="n"/>
      <c r="F51" s="31" t="n"/>
      <c r="G51" s="31" t="n"/>
      <c r="H51" s="47" t="n"/>
      <c r="I51" s="31" t="n"/>
      <c r="J51" s="31" t="n"/>
      <c r="K51" s="9" t="n"/>
      <c r="L51" s="9" t="n"/>
      <c r="M51" s="9" t="n"/>
      <c r="N51" s="41" t="n"/>
    </row>
    <row r="52" ht="22" customHeight="1">
      <c r="A52" s="5" t="n"/>
      <c r="B52" s="5" t="n"/>
      <c r="C52" s="5" t="n"/>
      <c r="D52" s="5" t="n"/>
      <c r="E52" s="30" t="n"/>
      <c r="F52" s="30" t="n"/>
      <c r="G52" s="30" t="n"/>
      <c r="H52" s="46" t="n"/>
      <c r="I52" s="30" t="n"/>
      <c r="J52" s="30" t="n"/>
      <c r="K52" s="5" t="n"/>
      <c r="L52" s="5" t="n"/>
      <c r="M52" s="5" t="n"/>
      <c r="N52" s="40" t="n"/>
    </row>
    <row r="53" ht="22" customHeight="1">
      <c r="A53" s="9" t="n"/>
      <c r="B53" s="9" t="n"/>
      <c r="C53" s="9" t="n"/>
      <c r="D53" s="9" t="n"/>
      <c r="E53" s="31" t="n"/>
      <c r="F53" s="31" t="n"/>
      <c r="G53" s="31" t="n"/>
      <c r="H53" s="47" t="n"/>
      <c r="I53" s="31" t="n"/>
      <c r="J53" s="31" t="n"/>
      <c r="K53" s="9" t="n"/>
      <c r="L53" s="9" t="n"/>
      <c r="M53" s="9" t="n"/>
      <c r="N53" s="41" t="n"/>
    </row>
    <row r="54" ht="22" customHeight="1">
      <c r="A54" s="5" t="n"/>
      <c r="B54" s="5" t="n"/>
      <c r="C54" s="5" t="n"/>
      <c r="D54" s="5" t="n"/>
      <c r="E54" s="30" t="n"/>
      <c r="F54" s="30" t="n"/>
      <c r="G54" s="30" t="n"/>
      <c r="H54" s="46" t="n"/>
      <c r="I54" s="30" t="n"/>
      <c r="J54" s="30" t="n"/>
      <c r="K54" s="5" t="n"/>
      <c r="L54" s="5" t="n"/>
      <c r="M54" s="5" t="n"/>
      <c r="N54" s="40" t="n"/>
    </row>
    <row r="55" ht="22" customHeight="1">
      <c r="A55" s="9" t="n"/>
      <c r="B55" s="9" t="n"/>
      <c r="C55" s="9" t="n"/>
      <c r="D55" s="9" t="n"/>
      <c r="E55" s="31" t="n"/>
      <c r="F55" s="31" t="n"/>
      <c r="G55" s="31" t="n"/>
      <c r="H55" s="47" t="n"/>
      <c r="I55" s="31" t="n"/>
      <c r="J55" s="31" t="n"/>
      <c r="K55" s="9" t="n"/>
      <c r="L55" s="9" t="n"/>
      <c r="M55" s="9" t="n"/>
      <c r="N55" s="41" t="n"/>
    </row>
    <row r="56" ht="22" customHeight="1">
      <c r="A56" s="5" t="n"/>
      <c r="B56" s="5" t="n"/>
      <c r="C56" s="5" t="n"/>
      <c r="D56" s="5" t="n"/>
      <c r="E56" s="30" t="n"/>
      <c r="F56" s="30" t="n"/>
      <c r="G56" s="30" t="n"/>
      <c r="H56" s="46" t="n"/>
      <c r="I56" s="30" t="n"/>
      <c r="J56" s="30" t="n"/>
      <c r="K56" s="5" t="n"/>
      <c r="L56" s="5" t="n"/>
      <c r="M56" s="5" t="n"/>
      <c r="N56" s="40" t="n"/>
    </row>
    <row r="57" ht="22" customHeight="1">
      <c r="A57" s="9" t="n"/>
      <c r="B57" s="9" t="n"/>
      <c r="C57" s="9" t="n"/>
      <c r="D57" s="9" t="n"/>
      <c r="E57" s="31" t="n"/>
      <c r="F57" s="31" t="n"/>
      <c r="G57" s="31" t="n"/>
      <c r="H57" s="47" t="n"/>
      <c r="I57" s="31" t="n"/>
      <c r="J57" s="31" t="n"/>
      <c r="K57" s="9" t="n"/>
      <c r="L57" s="9" t="n"/>
      <c r="M57" s="9" t="n"/>
      <c r="N57" s="41" t="n"/>
    </row>
    <row r="58" ht="22" customHeight="1">
      <c r="A58" s="5" t="n"/>
      <c r="B58" s="5" t="n"/>
      <c r="C58" s="5" t="n"/>
      <c r="D58" s="5" t="n"/>
      <c r="E58" s="30" t="n"/>
      <c r="F58" s="30" t="n"/>
      <c r="G58" s="30" t="n"/>
      <c r="H58" s="46" t="n"/>
      <c r="I58" s="30" t="n"/>
      <c r="J58" s="30" t="n"/>
      <c r="K58" s="5" t="n"/>
      <c r="L58" s="5" t="n"/>
      <c r="M58" s="5" t="n"/>
      <c r="N58" s="40" t="n"/>
    </row>
    <row r="59" ht="22" customHeight="1">
      <c r="A59" s="9" t="n"/>
      <c r="B59" s="9" t="n"/>
      <c r="C59" s="9" t="n"/>
      <c r="D59" s="9" t="n"/>
      <c r="E59" s="31" t="n"/>
      <c r="F59" s="31" t="n"/>
      <c r="G59" s="31" t="n"/>
      <c r="H59" s="47" t="n"/>
      <c r="I59" s="31" t="n"/>
      <c r="J59" s="31" t="n"/>
      <c r="K59" s="9" t="n"/>
      <c r="L59" s="9" t="n"/>
      <c r="M59" s="9" t="n"/>
      <c r="N59" s="41" t="n"/>
    </row>
    <row r="60" ht="22" customHeight="1">
      <c r="A60" s="5" t="n"/>
      <c r="B60" s="5" t="n"/>
      <c r="C60" s="5" t="n"/>
      <c r="D60" s="5" t="n"/>
      <c r="E60" s="30" t="n"/>
      <c r="F60" s="30" t="n"/>
      <c r="G60" s="30" t="n"/>
      <c r="H60" s="46" t="n"/>
      <c r="I60" s="30" t="n"/>
      <c r="J60" s="30" t="n"/>
      <c r="K60" s="5" t="n"/>
      <c r="L60" s="5" t="n"/>
      <c r="M60" s="5" t="n"/>
      <c r="N60" s="40" t="n"/>
    </row>
    <row r="61" ht="22" customHeight="1">
      <c r="A61" s="9" t="n"/>
      <c r="B61" s="9" t="n"/>
      <c r="C61" s="9" t="n"/>
      <c r="D61" s="9" t="n"/>
      <c r="E61" s="31" t="n"/>
      <c r="F61" s="31" t="n"/>
      <c r="G61" s="31" t="n"/>
      <c r="H61" s="47" t="n"/>
      <c r="I61" s="31" t="n"/>
      <c r="J61" s="31" t="n"/>
      <c r="K61" s="9" t="n"/>
      <c r="L61" s="9" t="n"/>
      <c r="M61" s="9" t="n"/>
      <c r="N61" s="41" t="n"/>
    </row>
    <row r="62" ht="22" customHeight="1">
      <c r="A62" s="5" t="n"/>
      <c r="B62" s="5" t="n"/>
      <c r="C62" s="5" t="n"/>
      <c r="D62" s="5" t="n"/>
      <c r="E62" s="30" t="n"/>
      <c r="F62" s="30" t="n"/>
      <c r="G62" s="30" t="n"/>
      <c r="H62" s="46" t="n"/>
      <c r="I62" s="30" t="n"/>
      <c r="J62" s="30" t="n"/>
      <c r="K62" s="5" t="n"/>
      <c r="L62" s="5" t="n"/>
      <c r="M62" s="5" t="n"/>
      <c r="N62" s="40" t="n"/>
    </row>
    <row r="63" ht="22" customHeight="1">
      <c r="A63" s="9" t="n"/>
      <c r="B63" s="9" t="n"/>
      <c r="C63" s="9" t="n"/>
      <c r="D63" s="9" t="n"/>
      <c r="E63" s="31" t="n"/>
      <c r="F63" s="31" t="n"/>
      <c r="G63" s="31" t="n"/>
      <c r="H63" s="47" t="n"/>
      <c r="I63" s="31" t="n"/>
      <c r="J63" s="31" t="n"/>
      <c r="K63" s="9" t="n"/>
      <c r="L63" s="9" t="n"/>
      <c r="M63" s="9" t="n"/>
      <c r="N63" s="41" t="n"/>
    </row>
    <row r="64" ht="22" customHeight="1">
      <c r="A64" s="5" t="n"/>
      <c r="B64" s="5" t="n"/>
      <c r="C64" s="5" t="n"/>
      <c r="D64" s="5" t="n"/>
      <c r="E64" s="30" t="n"/>
      <c r="F64" s="30" t="n"/>
      <c r="G64" s="30" t="n"/>
      <c r="H64" s="46" t="n"/>
      <c r="I64" s="30" t="n"/>
      <c r="J64" s="30" t="n"/>
      <c r="K64" s="5" t="n"/>
      <c r="L64" s="5" t="n"/>
      <c r="M64" s="5" t="n"/>
      <c r="N64" s="40" t="n"/>
    </row>
    <row r="65" ht="22" customHeight="1">
      <c r="A65" s="9" t="n"/>
      <c r="B65" s="9" t="n"/>
      <c r="C65" s="9" t="n"/>
      <c r="D65" s="9" t="n"/>
      <c r="E65" s="31" t="n"/>
      <c r="F65" s="31" t="n"/>
      <c r="G65" s="31" t="n"/>
      <c r="H65" s="47" t="n"/>
      <c r="I65" s="31" t="n"/>
      <c r="J65" s="31" t="n"/>
      <c r="K65" s="9" t="n"/>
      <c r="L65" s="9" t="n"/>
      <c r="M65" s="9" t="n"/>
      <c r="N65" s="41" t="n"/>
    </row>
    <row r="66" ht="22" customHeight="1">
      <c r="A66" s="5" t="n"/>
      <c r="B66" s="5" t="n"/>
      <c r="C66" s="5" t="n"/>
      <c r="D66" s="5" t="n"/>
      <c r="E66" s="30" t="n"/>
      <c r="F66" s="30" t="n"/>
      <c r="G66" s="30" t="n"/>
      <c r="H66" s="46" t="n"/>
      <c r="I66" s="30" t="n"/>
      <c r="J66" s="30" t="n"/>
      <c r="K66" s="5" t="n"/>
      <c r="L66" s="5" t="n"/>
      <c r="M66" s="5" t="n"/>
      <c r="N66" s="40" t="n"/>
    </row>
    <row r="67" ht="22" customHeight="1">
      <c r="A67" s="9" t="n"/>
      <c r="B67" s="9" t="n"/>
      <c r="C67" s="9" t="n"/>
      <c r="D67" s="9" t="n"/>
      <c r="E67" s="31" t="n"/>
      <c r="F67" s="31" t="n"/>
      <c r="G67" s="31" t="n"/>
      <c r="H67" s="47" t="n"/>
      <c r="I67" s="31" t="n"/>
      <c r="J67" s="31" t="n"/>
      <c r="K67" s="9" t="n"/>
      <c r="L67" s="9" t="n"/>
      <c r="M67" s="9" t="n"/>
      <c r="N67" s="41" t="n"/>
    </row>
    <row r="68" ht="22" customHeight="1">
      <c r="A68" s="5" t="n"/>
      <c r="B68" s="5" t="n"/>
      <c r="C68" s="5" t="n"/>
      <c r="D68" s="5" t="n"/>
      <c r="E68" s="30" t="n"/>
      <c r="F68" s="30" t="n"/>
      <c r="G68" s="30" t="n"/>
      <c r="H68" s="46" t="n"/>
      <c r="I68" s="30" t="n"/>
      <c r="J68" s="30" t="n"/>
      <c r="K68" s="5" t="n"/>
      <c r="L68" s="5" t="n"/>
      <c r="M68" s="5" t="n"/>
      <c r="N68" s="40" t="n"/>
    </row>
    <row r="69" ht="22" customHeight="1">
      <c r="A69" s="9" t="n"/>
      <c r="B69" s="9" t="n"/>
      <c r="C69" s="9" t="n"/>
      <c r="D69" s="9" t="n"/>
      <c r="E69" s="31" t="n"/>
      <c r="F69" s="31" t="n"/>
      <c r="G69" s="31" t="n"/>
      <c r="H69" s="47" t="n"/>
      <c r="I69" s="31" t="n"/>
      <c r="J69" s="31" t="n"/>
      <c r="K69" s="9" t="n"/>
      <c r="L69" s="9" t="n"/>
      <c r="M69" s="9" t="n"/>
      <c r="N69" s="41" t="n"/>
    </row>
    <row r="70" ht="22" customHeight="1">
      <c r="A70" s="5" t="n"/>
      <c r="B70" s="5" t="n"/>
      <c r="C70" s="5" t="n"/>
      <c r="D70" s="5" t="n"/>
      <c r="E70" s="30" t="n"/>
      <c r="F70" s="30" t="n"/>
      <c r="G70" s="30" t="n"/>
      <c r="H70" s="46" t="n"/>
      <c r="I70" s="30" t="n"/>
      <c r="J70" s="30" t="n"/>
      <c r="K70" s="5" t="n"/>
      <c r="L70" s="5" t="n"/>
      <c r="M70" s="5" t="n"/>
      <c r="N70" s="40" t="n"/>
    </row>
    <row r="71" ht="22" customHeight="1">
      <c r="A71" s="9" t="n"/>
      <c r="B71" s="9" t="n"/>
      <c r="C71" s="9" t="n"/>
      <c r="D71" s="9" t="n"/>
      <c r="E71" s="31" t="n"/>
      <c r="F71" s="31" t="n"/>
      <c r="G71" s="31" t="n"/>
      <c r="H71" s="47" t="n"/>
      <c r="I71" s="31" t="n"/>
      <c r="J71" s="31" t="n"/>
      <c r="K71" s="9" t="n"/>
      <c r="L71" s="9" t="n"/>
      <c r="M71" s="9" t="n"/>
      <c r="N71" s="41" t="n"/>
    </row>
    <row r="72" ht="22" customHeight="1">
      <c r="A72" s="5" t="n"/>
      <c r="B72" s="5" t="n"/>
      <c r="C72" s="5" t="n"/>
      <c r="D72" s="5" t="n"/>
      <c r="E72" s="30" t="n"/>
      <c r="F72" s="30" t="n"/>
      <c r="G72" s="30" t="n"/>
      <c r="H72" s="46" t="n"/>
      <c r="I72" s="30" t="n"/>
      <c r="J72" s="30" t="n"/>
      <c r="K72" s="5" t="n"/>
      <c r="L72" s="5" t="n"/>
      <c r="M72" s="5" t="n"/>
      <c r="N72" s="40" t="n"/>
    </row>
    <row r="73" ht="22" customHeight="1">
      <c r="A73" s="9" t="n"/>
      <c r="B73" s="9" t="n"/>
      <c r="C73" s="9" t="n"/>
      <c r="D73" s="9" t="n"/>
      <c r="E73" s="31" t="n"/>
      <c r="F73" s="31" t="n"/>
      <c r="G73" s="31" t="n"/>
      <c r="H73" s="47" t="n"/>
      <c r="I73" s="31" t="n"/>
      <c r="J73" s="31" t="n"/>
      <c r="K73" s="9" t="n"/>
      <c r="L73" s="9" t="n"/>
      <c r="M73" s="9" t="n"/>
      <c r="N73" s="41" t="n"/>
    </row>
    <row r="74" ht="22" customHeight="1">
      <c r="A74" s="5" t="n"/>
      <c r="B74" s="5" t="n"/>
      <c r="C74" s="5" t="n"/>
      <c r="D74" s="5" t="n"/>
      <c r="E74" s="30" t="n"/>
      <c r="F74" s="30" t="n"/>
      <c r="G74" s="30" t="n"/>
      <c r="H74" s="46" t="n"/>
      <c r="I74" s="30" t="n"/>
      <c r="J74" s="30" t="n"/>
      <c r="K74" s="5" t="n"/>
      <c r="L74" s="5" t="n"/>
      <c r="M74" s="5" t="n"/>
      <c r="N74" s="40" t="n"/>
    </row>
    <row r="75" ht="22" customHeight="1">
      <c r="A75" s="9" t="n"/>
      <c r="B75" s="9" t="n"/>
      <c r="C75" s="9" t="n"/>
      <c r="D75" s="9" t="n"/>
      <c r="E75" s="31" t="n"/>
      <c r="F75" s="31" t="n"/>
      <c r="G75" s="31" t="n"/>
      <c r="H75" s="47" t="n"/>
      <c r="I75" s="31" t="n"/>
      <c r="J75" s="31" t="n"/>
      <c r="K75" s="9" t="n"/>
      <c r="L75" s="9" t="n"/>
      <c r="M75" s="9" t="n"/>
      <c r="N75" s="41" t="n"/>
    </row>
    <row r="76" ht="22" customHeight="1">
      <c r="A76" s="5" t="n"/>
      <c r="B76" s="5" t="n"/>
      <c r="C76" s="5" t="n"/>
      <c r="D76" s="5" t="n"/>
      <c r="E76" s="30" t="n"/>
      <c r="F76" s="30" t="n"/>
      <c r="G76" s="30" t="n"/>
      <c r="H76" s="46" t="n"/>
      <c r="I76" s="30" t="n"/>
      <c r="J76" s="30" t="n"/>
      <c r="K76" s="5" t="n"/>
      <c r="L76" s="5" t="n"/>
      <c r="M76" s="5" t="n"/>
      <c r="N76" s="40" t="n"/>
    </row>
    <row r="77" ht="22" customHeight="1">
      <c r="A77" s="9" t="n"/>
      <c r="B77" s="9" t="n"/>
      <c r="C77" s="9" t="n"/>
      <c r="D77" s="9" t="n"/>
      <c r="E77" s="31" t="n"/>
      <c r="F77" s="31" t="n"/>
      <c r="G77" s="31" t="n"/>
      <c r="H77" s="47" t="n"/>
      <c r="I77" s="31" t="n"/>
      <c r="J77" s="31" t="n"/>
      <c r="K77" s="9" t="n"/>
      <c r="L77" s="9" t="n"/>
      <c r="M77" s="9" t="n"/>
      <c r="N77" s="41" t="n"/>
    </row>
    <row r="78" ht="22" customHeight="1">
      <c r="A78" s="5" t="n"/>
      <c r="B78" s="5" t="n"/>
      <c r="C78" s="5" t="n"/>
      <c r="D78" s="5" t="n"/>
      <c r="E78" s="30" t="n"/>
      <c r="F78" s="30" t="n"/>
      <c r="G78" s="30" t="n"/>
      <c r="H78" s="46" t="n"/>
      <c r="I78" s="30" t="n"/>
      <c r="J78" s="30" t="n"/>
      <c r="K78" s="5" t="n"/>
      <c r="L78" s="5" t="n"/>
      <c r="M78" s="5" t="n"/>
      <c r="N78" s="40" t="n"/>
    </row>
    <row r="79" ht="22" customHeight="1">
      <c r="A79" s="9" t="n"/>
      <c r="B79" s="9" t="n"/>
      <c r="C79" s="9" t="n"/>
      <c r="D79" s="9" t="n"/>
      <c r="E79" s="31" t="n"/>
      <c r="F79" s="31" t="n"/>
      <c r="G79" s="31" t="n"/>
      <c r="H79" s="47" t="n"/>
      <c r="I79" s="31" t="n"/>
      <c r="J79" s="31" t="n"/>
      <c r="K79" s="9" t="n"/>
      <c r="L79" s="9" t="n"/>
      <c r="M79" s="9" t="n"/>
      <c r="N79" s="41" t="n"/>
    </row>
    <row r="80" ht="22" customHeight="1">
      <c r="A80" s="5" t="n"/>
      <c r="B80" s="5" t="n"/>
      <c r="C80" s="5" t="n"/>
      <c r="D80" s="5" t="n"/>
      <c r="E80" s="30" t="n"/>
      <c r="F80" s="30" t="n"/>
      <c r="G80" s="30" t="n"/>
      <c r="H80" s="46" t="n"/>
      <c r="I80" s="30" t="n"/>
      <c r="J80" s="30" t="n"/>
      <c r="K80" s="5" t="n"/>
      <c r="L80" s="5" t="n"/>
      <c r="M80" s="5" t="n"/>
      <c r="N80" s="40" t="n"/>
    </row>
    <row r="81" ht="22" customHeight="1">
      <c r="A81" s="9" t="n"/>
      <c r="B81" s="9" t="n"/>
      <c r="C81" s="9" t="n"/>
      <c r="D81" s="9" t="n"/>
      <c r="E81" s="31" t="n"/>
      <c r="F81" s="31" t="n"/>
      <c r="G81" s="31" t="n"/>
      <c r="H81" s="47" t="n"/>
      <c r="I81" s="31" t="n"/>
      <c r="J81" s="31" t="n"/>
      <c r="K81" s="9" t="n"/>
      <c r="L81" s="9" t="n"/>
      <c r="M81" s="9" t="n"/>
      <c r="N81" s="41" t="n"/>
    </row>
    <row r="82" ht="22" customHeight="1">
      <c r="A82" s="5" t="n"/>
      <c r="B82" s="5" t="n"/>
      <c r="C82" s="5" t="n"/>
      <c r="D82" s="5" t="n"/>
      <c r="E82" s="30" t="n"/>
      <c r="F82" s="30" t="n"/>
      <c r="G82" s="30" t="n"/>
      <c r="H82" s="46" t="n"/>
      <c r="I82" s="30" t="n"/>
      <c r="J82" s="30" t="n"/>
      <c r="K82" s="5" t="n"/>
      <c r="L82" s="5" t="n"/>
      <c r="M82" s="5" t="n"/>
      <c r="N82" s="40" t="n"/>
    </row>
    <row r="83" ht="22" customHeight="1">
      <c r="A83" s="9" t="n"/>
      <c r="B83" s="9" t="n"/>
      <c r="C83" s="9" t="n"/>
      <c r="D83" s="9" t="n"/>
      <c r="E83" s="31" t="n"/>
      <c r="F83" s="31" t="n"/>
      <c r="G83" s="31" t="n"/>
      <c r="H83" s="47" t="n"/>
      <c r="I83" s="31" t="n"/>
      <c r="J83" s="31" t="n"/>
      <c r="K83" s="9" t="n"/>
      <c r="L83" s="9" t="n"/>
      <c r="M83" s="9" t="n"/>
      <c r="N83" s="41" t="n"/>
    </row>
    <row r="84" ht="22" customHeight="1">
      <c r="A84" s="5" t="n"/>
      <c r="B84" s="5" t="n"/>
      <c r="C84" s="5" t="n"/>
      <c r="D84" s="5" t="n"/>
      <c r="E84" s="30" t="n"/>
      <c r="F84" s="30" t="n"/>
      <c r="G84" s="30" t="n"/>
      <c r="H84" s="46" t="n"/>
      <c r="I84" s="30" t="n"/>
      <c r="J84" s="30" t="n"/>
      <c r="K84" s="5" t="n"/>
      <c r="L84" s="5" t="n"/>
      <c r="M84" s="5" t="n"/>
      <c r="N84" s="40" t="n"/>
    </row>
    <row r="85" ht="22" customHeight="1">
      <c r="A85" s="9" t="n"/>
      <c r="B85" s="9" t="n"/>
      <c r="C85" s="9" t="n"/>
      <c r="D85" s="9" t="n"/>
      <c r="E85" s="31" t="n"/>
      <c r="F85" s="31" t="n"/>
      <c r="G85" s="31" t="n"/>
      <c r="H85" s="47" t="n"/>
      <c r="I85" s="31" t="n"/>
      <c r="J85" s="31" t="n"/>
      <c r="K85" s="9" t="n"/>
      <c r="L85" s="9" t="n"/>
      <c r="M85" s="9" t="n"/>
      <c r="N85" s="41" t="n"/>
    </row>
    <row r="86" ht="22" customHeight="1">
      <c r="A86" s="5" t="n"/>
      <c r="B86" s="5" t="n"/>
      <c r="C86" s="5" t="n"/>
      <c r="D86" s="5" t="n"/>
      <c r="E86" s="30" t="n"/>
      <c r="F86" s="30" t="n"/>
      <c r="G86" s="30" t="n"/>
      <c r="H86" s="46" t="n"/>
      <c r="I86" s="30" t="n"/>
      <c r="J86" s="30" t="n"/>
      <c r="K86" s="5" t="n"/>
      <c r="L86" s="5" t="n"/>
      <c r="M86" s="5" t="n"/>
      <c r="N86" s="40" t="n"/>
    </row>
    <row r="87" ht="22" customHeight="1">
      <c r="A87" s="9" t="n"/>
      <c r="B87" s="9" t="n"/>
      <c r="C87" s="9" t="n"/>
      <c r="D87" s="9" t="n"/>
      <c r="E87" s="31" t="n"/>
      <c r="F87" s="31" t="n"/>
      <c r="G87" s="31" t="n"/>
      <c r="H87" s="47" t="n"/>
      <c r="I87" s="31" t="n"/>
      <c r="J87" s="31" t="n"/>
      <c r="K87" s="9" t="n"/>
      <c r="L87" s="9" t="n"/>
      <c r="M87" s="9" t="n"/>
      <c r="N87" s="41" t="n"/>
    </row>
    <row r="88" ht="22" customHeight="1">
      <c r="A88" s="5" t="n"/>
      <c r="B88" s="5" t="n"/>
      <c r="C88" s="5" t="n"/>
      <c r="D88" s="5" t="n"/>
      <c r="E88" s="30" t="n"/>
      <c r="F88" s="30" t="n"/>
      <c r="G88" s="30" t="n"/>
      <c r="H88" s="46" t="n"/>
      <c r="I88" s="30" t="n"/>
      <c r="J88" s="30" t="n"/>
      <c r="K88" s="5" t="n"/>
      <c r="L88" s="5" t="n"/>
      <c r="M88" s="5" t="n"/>
      <c r="N88" s="40" t="n"/>
    </row>
    <row r="89" ht="22" customHeight="1">
      <c r="A89" s="9" t="n"/>
      <c r="B89" s="9" t="n"/>
      <c r="C89" s="9" t="n"/>
      <c r="D89" s="9" t="n"/>
      <c r="E89" s="31" t="n"/>
      <c r="F89" s="31" t="n"/>
      <c r="G89" s="31" t="n"/>
      <c r="H89" s="47" t="n"/>
      <c r="I89" s="31" t="n"/>
      <c r="J89" s="31" t="n"/>
      <c r="K89" s="9" t="n"/>
      <c r="L89" s="9" t="n"/>
      <c r="M89" s="9" t="n"/>
      <c r="N89" s="41" t="n"/>
    </row>
    <row r="90" ht="22" customHeight="1">
      <c r="A90" s="5" t="n"/>
      <c r="B90" s="5" t="n"/>
      <c r="C90" s="5" t="n"/>
      <c r="D90" s="5" t="n"/>
      <c r="E90" s="30" t="n"/>
      <c r="F90" s="30" t="n"/>
      <c r="G90" s="30" t="n"/>
      <c r="H90" s="46" t="n"/>
      <c r="I90" s="30" t="n"/>
      <c r="J90" s="30" t="n"/>
      <c r="K90" s="5" t="n"/>
      <c r="L90" s="5" t="n"/>
      <c r="M90" s="5" t="n"/>
      <c r="N90" s="40" t="n"/>
    </row>
    <row r="91" ht="22" customHeight="1">
      <c r="A91" s="9" t="n"/>
      <c r="B91" s="9" t="n"/>
      <c r="C91" s="9" t="n"/>
      <c r="D91" s="9" t="n"/>
      <c r="E91" s="31" t="n"/>
      <c r="F91" s="31" t="n"/>
      <c r="G91" s="31" t="n"/>
      <c r="H91" s="47" t="n"/>
      <c r="I91" s="31" t="n"/>
      <c r="J91" s="31" t="n"/>
      <c r="K91" s="9" t="n"/>
      <c r="L91" s="9" t="n"/>
      <c r="M91" s="9" t="n"/>
      <c r="N91" s="41" t="n"/>
    </row>
    <row r="92" ht="22" customHeight="1">
      <c r="A92" s="5" t="n"/>
      <c r="B92" s="5" t="n"/>
      <c r="C92" s="5" t="n"/>
      <c r="D92" s="5" t="n"/>
      <c r="E92" s="30" t="n"/>
      <c r="F92" s="30" t="n"/>
      <c r="G92" s="30" t="n"/>
      <c r="H92" s="46" t="n"/>
      <c r="I92" s="30" t="n"/>
      <c r="J92" s="30" t="n"/>
      <c r="K92" s="5" t="n"/>
      <c r="L92" s="5" t="n"/>
      <c r="M92" s="5" t="n"/>
      <c r="N92" s="40" t="n"/>
    </row>
    <row r="93" ht="22" customHeight="1">
      <c r="A93" s="9" t="n"/>
      <c r="B93" s="9" t="n"/>
      <c r="C93" s="9" t="n"/>
      <c r="D93" s="9" t="n"/>
      <c r="E93" s="31" t="n"/>
      <c r="F93" s="31" t="n"/>
      <c r="G93" s="31" t="n"/>
      <c r="H93" s="47" t="n"/>
      <c r="I93" s="31" t="n"/>
      <c r="J93" s="31" t="n"/>
      <c r="K93" s="9" t="n"/>
      <c r="L93" s="9" t="n"/>
      <c r="M93" s="9" t="n"/>
      <c r="N93" s="41" t="n"/>
    </row>
    <row r="94" ht="22" customHeight="1">
      <c r="A94" s="5" t="n"/>
      <c r="B94" s="5" t="n"/>
      <c r="C94" s="5" t="n"/>
      <c r="D94" s="5" t="n"/>
      <c r="E94" s="30" t="n"/>
      <c r="F94" s="30" t="n"/>
      <c r="G94" s="30" t="n"/>
      <c r="H94" s="46" t="n"/>
      <c r="I94" s="30" t="n"/>
      <c r="J94" s="30" t="n"/>
      <c r="K94" s="5" t="n"/>
      <c r="L94" s="5" t="n"/>
      <c r="M94" s="5" t="n"/>
      <c r="N94" s="40" t="n"/>
    </row>
    <row r="95" ht="22" customHeight="1">
      <c r="A95" s="9" t="n"/>
      <c r="B95" s="9" t="n"/>
      <c r="C95" s="9" t="n"/>
      <c r="D95" s="9" t="n"/>
      <c r="E95" s="31" t="n"/>
      <c r="F95" s="31" t="n"/>
      <c r="G95" s="31" t="n"/>
      <c r="H95" s="47" t="n"/>
      <c r="I95" s="31" t="n"/>
      <c r="J95" s="31" t="n"/>
      <c r="K95" s="9" t="n"/>
      <c r="L95" s="9" t="n"/>
      <c r="M95" s="9" t="n"/>
      <c r="N95" s="41" t="n"/>
    </row>
    <row r="96" ht="22" customHeight="1">
      <c r="A96" s="5" t="n"/>
      <c r="B96" s="5" t="n"/>
      <c r="C96" s="5" t="n"/>
      <c r="D96" s="5" t="n"/>
      <c r="E96" s="30" t="n"/>
      <c r="F96" s="30" t="n"/>
      <c r="G96" s="30" t="n"/>
      <c r="H96" s="46" t="n"/>
      <c r="I96" s="30" t="n"/>
      <c r="J96" s="30" t="n"/>
      <c r="K96" s="5" t="n"/>
      <c r="L96" s="5" t="n"/>
      <c r="M96" s="5" t="n"/>
      <c r="N96" s="40" t="n"/>
    </row>
    <row r="97" ht="22" customHeight="1">
      <c r="A97" s="9" t="n"/>
      <c r="B97" s="9" t="n"/>
      <c r="C97" s="9" t="n"/>
      <c r="D97" s="9" t="n"/>
      <c r="E97" s="31" t="n"/>
      <c r="F97" s="31" t="n"/>
      <c r="G97" s="31" t="n"/>
      <c r="H97" s="47" t="n"/>
      <c r="I97" s="31" t="n"/>
      <c r="J97" s="31" t="n"/>
      <c r="K97" s="9" t="n"/>
      <c r="L97" s="9" t="n"/>
      <c r="M97" s="9" t="n"/>
      <c r="N97" s="41" t="n"/>
    </row>
    <row r="98" ht="22" customHeight="1">
      <c r="A98" s="5" t="n"/>
      <c r="B98" s="5" t="n"/>
      <c r="C98" s="5" t="n"/>
      <c r="D98" s="5" t="n"/>
      <c r="E98" s="30" t="n"/>
      <c r="F98" s="30" t="n"/>
      <c r="G98" s="30" t="n"/>
      <c r="H98" s="46" t="n"/>
      <c r="I98" s="30" t="n"/>
      <c r="J98" s="30" t="n"/>
      <c r="K98" s="5" t="n"/>
      <c r="L98" s="5" t="n"/>
      <c r="M98" s="5" t="n"/>
      <c r="N98" s="40" t="n"/>
    </row>
    <row r="99" ht="22" customHeight="1">
      <c r="A99" s="9" t="n"/>
      <c r="B99" s="9" t="n"/>
      <c r="C99" s="9" t="n"/>
      <c r="D99" s="9" t="n"/>
      <c r="E99" s="31" t="n"/>
      <c r="F99" s="31" t="n"/>
      <c r="G99" s="31" t="n"/>
      <c r="H99" s="47" t="n"/>
      <c r="I99" s="31" t="n"/>
      <c r="J99" s="31" t="n"/>
      <c r="K99" s="9" t="n"/>
      <c r="L99" s="9" t="n"/>
      <c r="M99" s="9" t="n"/>
      <c r="N99" s="41" t="n"/>
    </row>
    <row r="100" ht="22" customHeight="1">
      <c r="A100" s="5" t="n"/>
      <c r="B100" s="5" t="n"/>
      <c r="C100" s="5" t="n"/>
      <c r="D100" s="5" t="n"/>
      <c r="E100" s="30" t="n"/>
      <c r="F100" s="30" t="n"/>
      <c r="G100" s="30" t="n"/>
      <c r="H100" s="46" t="n"/>
      <c r="I100" s="30" t="n"/>
      <c r="J100" s="30" t="n"/>
      <c r="K100" s="5" t="n"/>
      <c r="L100" s="5" t="n"/>
      <c r="M100" s="5" t="n"/>
      <c r="N100" s="40" t="n"/>
    </row>
    <row r="101" ht="22" customHeight="1">
      <c r="A101" s="9" t="n"/>
      <c r="B101" s="9" t="n"/>
      <c r="C101" s="9" t="n"/>
      <c r="D101" s="9" t="n"/>
      <c r="E101" s="31" t="n"/>
      <c r="F101" s="31" t="n"/>
      <c r="G101" s="31" t="n"/>
      <c r="H101" s="47" t="n"/>
      <c r="I101" s="31" t="n"/>
      <c r="J101" s="31" t="n"/>
      <c r="K101" s="9" t="n"/>
      <c r="L101" s="9" t="n"/>
      <c r="M101" s="9" t="n"/>
      <c r="N101" s="41" t="n"/>
    </row>
    <row r="102" ht="22" customHeight="1">
      <c r="A102" s="5" t="n"/>
      <c r="B102" s="5" t="n"/>
      <c r="C102" s="5" t="n"/>
      <c r="D102" s="5" t="n"/>
      <c r="E102" s="30" t="n"/>
      <c r="F102" s="30" t="n"/>
      <c r="G102" s="30" t="n"/>
      <c r="H102" s="46" t="n"/>
      <c r="I102" s="30" t="n"/>
      <c r="J102" s="30" t="n"/>
      <c r="K102" s="5" t="n"/>
      <c r="L102" s="5" t="n"/>
      <c r="M102" s="5" t="n"/>
      <c r="N102" s="40" t="n"/>
    </row>
    <row r="103" ht="22" customHeight="1">
      <c r="A103" s="9" t="n"/>
      <c r="B103" s="9" t="n"/>
      <c r="C103" s="9" t="n"/>
      <c r="D103" s="9" t="n"/>
      <c r="E103" s="31" t="n"/>
      <c r="F103" s="31" t="n"/>
      <c r="G103" s="31" t="n"/>
      <c r="H103" s="47" t="n"/>
      <c r="I103" s="31" t="n"/>
      <c r="J103" s="31" t="n"/>
      <c r="K103" s="9" t="n"/>
      <c r="L103" s="9" t="n"/>
      <c r="M103" s="9" t="n"/>
      <c r="N103" s="41" t="n"/>
    </row>
    <row r="104" ht="22" customHeight="1">
      <c r="A104" s="5" t="n"/>
      <c r="B104" s="5" t="n"/>
      <c r="C104" s="5" t="n"/>
      <c r="D104" s="5" t="n"/>
      <c r="E104" s="30" t="n"/>
      <c r="F104" s="30" t="n"/>
      <c r="G104" s="30" t="n"/>
      <c r="H104" s="46" t="n"/>
      <c r="I104" s="30" t="n"/>
      <c r="J104" s="30" t="n"/>
      <c r="K104" s="5" t="n"/>
      <c r="L104" s="5" t="n"/>
      <c r="M104" s="5" t="n"/>
      <c r="N104" s="40" t="n"/>
    </row>
    <row r="105" ht="22" customHeight="1">
      <c r="A105" s="9" t="n"/>
      <c r="B105" s="9" t="n"/>
      <c r="C105" s="9" t="n"/>
      <c r="D105" s="9" t="n"/>
      <c r="E105" s="31" t="n"/>
      <c r="F105" s="31" t="n"/>
      <c r="G105" s="31" t="n"/>
      <c r="H105" s="47" t="n"/>
      <c r="I105" s="31" t="n"/>
      <c r="J105" s="31" t="n"/>
      <c r="K105" s="9" t="n"/>
      <c r="L105" s="9" t="n"/>
      <c r="M105" s="9" t="n"/>
      <c r="N105" s="41" t="n"/>
    </row>
    <row r="106" ht="22" customHeight="1">
      <c r="A106" s="5" t="n"/>
      <c r="B106" s="5" t="n"/>
      <c r="C106" s="5" t="n"/>
      <c r="D106" s="5" t="n"/>
      <c r="E106" s="30" t="n"/>
      <c r="F106" s="30" t="n"/>
      <c r="G106" s="30" t="n"/>
      <c r="H106" s="46" t="n"/>
      <c r="I106" s="30" t="n"/>
      <c r="J106" s="30" t="n"/>
      <c r="K106" s="5" t="n"/>
      <c r="L106" s="5" t="n"/>
      <c r="M106" s="5" t="n"/>
      <c r="N106" s="40" t="n"/>
    </row>
    <row r="107" ht="22" customHeight="1">
      <c r="A107" s="9" t="n"/>
      <c r="B107" s="9" t="n"/>
      <c r="C107" s="9" t="n"/>
      <c r="D107" s="9" t="n"/>
      <c r="E107" s="31" t="n"/>
      <c r="F107" s="31" t="n"/>
      <c r="G107" s="31" t="n"/>
      <c r="H107" s="47" t="n"/>
      <c r="I107" s="31" t="n"/>
      <c r="J107" s="31" t="n"/>
      <c r="K107" s="9" t="n"/>
      <c r="L107" s="9" t="n"/>
      <c r="M107" s="9" t="n"/>
      <c r="N107" s="41" t="n"/>
    </row>
    <row r="108" ht="22" customHeight="1">
      <c r="A108" s="5" t="n"/>
      <c r="B108" s="5" t="n"/>
      <c r="C108" s="5" t="n"/>
      <c r="D108" s="5" t="n"/>
      <c r="E108" s="30" t="n"/>
      <c r="F108" s="30" t="n"/>
      <c r="G108" s="30" t="n"/>
      <c r="H108" s="46" t="n"/>
      <c r="I108" s="30" t="n"/>
      <c r="J108" s="30" t="n"/>
      <c r="K108" s="5" t="n"/>
      <c r="L108" s="5" t="n"/>
      <c r="M108" s="5" t="n"/>
      <c r="N108" s="40" t="n"/>
    </row>
    <row r="109" ht="22" customHeight="1">
      <c r="A109" s="9" t="n"/>
      <c r="B109" s="9" t="n"/>
      <c r="C109" s="9" t="n"/>
      <c r="D109" s="9" t="n"/>
      <c r="E109" s="31" t="n"/>
      <c r="F109" s="31" t="n"/>
      <c r="G109" s="31" t="n"/>
      <c r="H109" s="47" t="n"/>
      <c r="I109" s="31" t="n"/>
      <c r="J109" s="31" t="n"/>
      <c r="K109" s="9" t="n"/>
      <c r="L109" s="9" t="n"/>
      <c r="M109" s="9" t="n"/>
      <c r="N109" s="41" t="n"/>
    </row>
    <row r="110" ht="22" customHeight="1">
      <c r="A110" s="5" t="n"/>
      <c r="B110" s="5" t="n"/>
      <c r="C110" s="5" t="n"/>
      <c r="D110" s="5" t="n"/>
      <c r="E110" s="30" t="n"/>
      <c r="F110" s="30" t="n"/>
      <c r="G110" s="30" t="n"/>
      <c r="H110" s="46" t="n"/>
      <c r="I110" s="30" t="n"/>
      <c r="J110" s="30" t="n"/>
      <c r="K110" s="5" t="n"/>
      <c r="L110" s="5" t="n"/>
      <c r="M110" s="5" t="n"/>
      <c r="N110" s="40" t="n"/>
    </row>
    <row r="111" ht="22" customHeight="1">
      <c r="A111" s="9" t="n"/>
      <c r="B111" s="9" t="n"/>
      <c r="C111" s="9" t="n"/>
      <c r="D111" s="9" t="n"/>
      <c r="E111" s="31" t="n"/>
      <c r="F111" s="31" t="n"/>
      <c r="G111" s="31" t="n"/>
      <c r="H111" s="47" t="n"/>
      <c r="I111" s="31" t="n"/>
      <c r="J111" s="31" t="n"/>
      <c r="K111" s="9" t="n"/>
      <c r="L111" s="9" t="n"/>
      <c r="M111" s="9" t="n"/>
      <c r="N111" s="41" t="n"/>
    </row>
    <row r="112" ht="22" customHeight="1">
      <c r="A112" s="5" t="n"/>
      <c r="B112" s="5" t="n"/>
      <c r="C112" s="5" t="n"/>
      <c r="D112" s="5" t="n"/>
      <c r="E112" s="30" t="n"/>
      <c r="F112" s="30" t="n"/>
      <c r="G112" s="30" t="n"/>
      <c r="H112" s="46" t="n"/>
      <c r="I112" s="30" t="n"/>
      <c r="J112" s="30" t="n"/>
      <c r="K112" s="5" t="n"/>
      <c r="L112" s="5" t="n"/>
      <c r="M112" s="5" t="n"/>
      <c r="N112" s="40" t="n"/>
    </row>
    <row r="113" ht="22" customHeight="1">
      <c r="A113" s="9" t="n"/>
      <c r="B113" s="9" t="n"/>
      <c r="C113" s="9" t="n"/>
      <c r="D113" s="9" t="n"/>
      <c r="E113" s="31" t="n"/>
      <c r="F113" s="31" t="n"/>
      <c r="G113" s="31" t="n"/>
      <c r="H113" s="47" t="n"/>
      <c r="I113" s="31" t="n"/>
      <c r="J113" s="31" t="n"/>
      <c r="K113" s="9" t="n"/>
      <c r="L113" s="9" t="n"/>
      <c r="M113" s="9" t="n"/>
      <c r="N113" s="41" t="n"/>
    </row>
    <row r="114" ht="22" customHeight="1">
      <c r="A114" s="5" t="n"/>
      <c r="B114" s="5" t="n"/>
      <c r="C114" s="5" t="n"/>
      <c r="D114" s="5" t="n"/>
      <c r="E114" s="30" t="n"/>
      <c r="F114" s="30" t="n"/>
      <c r="G114" s="30" t="n"/>
      <c r="H114" s="46" t="n"/>
      <c r="I114" s="30" t="n"/>
      <c r="J114" s="30" t="n"/>
      <c r="K114" s="5" t="n"/>
      <c r="L114" s="5" t="n"/>
      <c r="M114" s="5" t="n"/>
      <c r="N114" s="40" t="n"/>
    </row>
    <row r="115" ht="22" customHeight="1">
      <c r="A115" s="9" t="n"/>
      <c r="B115" s="9" t="n"/>
      <c r="C115" s="9" t="n"/>
      <c r="D115" s="9" t="n"/>
      <c r="E115" s="31" t="n"/>
      <c r="F115" s="31" t="n"/>
      <c r="G115" s="31" t="n"/>
      <c r="H115" s="47" t="n"/>
      <c r="I115" s="31" t="n"/>
      <c r="J115" s="31" t="n"/>
      <c r="K115" s="9" t="n"/>
      <c r="L115" s="9" t="n"/>
      <c r="M115" s="9" t="n"/>
      <c r="N115" s="41" t="n"/>
    </row>
  </sheetData>
  <mergeCells count="2">
    <mergeCell ref="A3:N3"/>
    <mergeCell ref="A2:N2"/>
  </mergeCells>
  <conditionalFormatting sqref="J6:J115">
    <cfRule type="cellIs" priority="1" operator="equal" dxfId="0">
      <formula>"Oui"</formula>
    </cfRule>
    <cfRule type="cellIs" priority="2" operator="equal" dxfId="3">
      <formula>"Non"</formula>
    </cfRule>
  </conditionalFormatting>
  <dataValidations count="1">
    <dataValidation sqref="C6:C115" showDropDown="0" showInputMessage="0" showErrorMessage="0" allowBlank="1" errorTitle="Erreur" error="Valeur invalide" promptTitle="" prompt="Choisir: " type="list">
      <formula1>"Tickets restaurant,Panier repas,Prime alimentaire"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0" customWidth="1" min="4" max="4"/>
    <col width="18" customWidth="1" min="5" max="5"/>
    <col width="24" customWidth="1" min="6" max="6"/>
    <col width="20" customWidth="1" min="7" max="7"/>
    <col width="16" customWidth="1" min="8" max="8"/>
    <col width="24" customWidth="1" min="9" max="9"/>
    <col width="20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AVANTAGES TRANSPORT — Indemnités et véhicules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Type transport</t>
        </is>
      </c>
      <c r="D5" s="4" t="inlineStr">
        <is>
          <t>Distance trajet (km)</t>
        </is>
      </c>
      <c r="E5" s="4" t="inlineStr">
        <is>
          <t>Tarif/km (FCFA)</t>
        </is>
      </c>
      <c r="F5" s="4" t="inlineStr">
        <is>
          <t>Montant mensuel (FCFA)</t>
        </is>
      </c>
      <c r="G5" s="4" t="inlineStr">
        <is>
          <t>Plafond légal (FCFA)</t>
        </is>
      </c>
      <c r="H5" s="4" t="inlineStr">
        <is>
          <t>Dépassement</t>
        </is>
      </c>
      <c r="I5" s="4" t="inlineStr">
        <is>
          <t>Prise en charge employeur (%)</t>
        </is>
      </c>
      <c r="J5" s="4" t="inlineStr">
        <is>
          <t>Part employé (FCFA)</t>
        </is>
      </c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EMP-001</t>
        </is>
      </c>
      <c r="B6" s="5">
        <f>IFERROR(VLOOKUP(A6,'F01 - _Données Employés'!$A$6:$C$20,2,FALSE),"")</f>
        <v/>
      </c>
      <c r="C6" s="5" t="inlineStr">
        <is>
          <t>Indemnité km</t>
        </is>
      </c>
      <c r="D6" s="5" t="n">
        <v>15</v>
      </c>
      <c r="E6" s="30" t="n">
        <v>150</v>
      </c>
      <c r="F6" s="30">
        <f>IF(C6="Véhicule fonction",50000,IF(C6="Abonnement transport",25000,D6*E6*22))</f>
        <v/>
      </c>
      <c r="G6" s="30" t="n">
        <v>30000</v>
      </c>
      <c r="H6" s="30">
        <f>IF(F6&gt;G6,"DÉPASSÉ","")</f>
        <v/>
      </c>
      <c r="I6" s="5" t="n">
        <v>0.8</v>
      </c>
      <c r="J6" s="46">
        <f>F6*(1-I6)</f>
        <v/>
      </c>
      <c r="K6" s="30" t="n"/>
      <c r="L6" s="5" t="n"/>
      <c r="M6" s="5" t="n"/>
      <c r="N6" s="40" t="n">
        <v>45444</v>
      </c>
    </row>
    <row r="7" ht="22" customHeight="1">
      <c r="A7" s="9" t="inlineStr">
        <is>
          <t>EMP-002</t>
        </is>
      </c>
      <c r="B7" s="9">
        <f>IFERROR(VLOOKUP(A7,'F01 - _Données Employés'!$A$6:$C$20,2,FALSE),"")</f>
        <v/>
      </c>
      <c r="C7" s="9" t="inlineStr">
        <is>
          <t>Indemnité km</t>
        </is>
      </c>
      <c r="D7" s="9" t="n">
        <v>22</v>
      </c>
      <c r="E7" s="31" t="n">
        <v>150</v>
      </c>
      <c r="F7" s="31">
        <f>IF(C7="Véhicule fonction",50000,IF(C7="Abonnement transport",25000,D7*E7*22))</f>
        <v/>
      </c>
      <c r="G7" s="31" t="n">
        <v>30000</v>
      </c>
      <c r="H7" s="31">
        <f>IF(F7&gt;G7,"DÉPASSÉ","")</f>
        <v/>
      </c>
      <c r="I7" s="9" t="n">
        <v>0.8</v>
      </c>
      <c r="J7" s="47">
        <f>F7*(1-I7)</f>
        <v/>
      </c>
      <c r="K7" s="31" t="n"/>
      <c r="L7" s="9" t="n"/>
      <c r="M7" s="9" t="n"/>
      <c r="N7" s="41" t="n">
        <v>45444</v>
      </c>
    </row>
    <row r="8" ht="22" customHeight="1">
      <c r="A8" s="5" t="inlineStr">
        <is>
          <t>EMP-003</t>
        </is>
      </c>
      <c r="B8" s="5">
        <f>IFERROR(VLOOKUP(A8,'F01 - _Données Employés'!$A$6:$C$20,2,FALSE),"")</f>
        <v/>
      </c>
      <c r="C8" s="5" t="inlineStr">
        <is>
          <t>Abonnement transport</t>
        </is>
      </c>
      <c r="D8" s="5" t="n">
        <v>10</v>
      </c>
      <c r="E8" s="30" t="n">
        <v>0</v>
      </c>
      <c r="F8" s="30">
        <f>IF(C8="Véhicule fonction",50000,IF(C8="Abonnement transport",25000,D8*E8*22))</f>
        <v/>
      </c>
      <c r="G8" s="30" t="n">
        <v>25000</v>
      </c>
      <c r="H8" s="30">
        <f>IF(F8&gt;G8,"DÉPASSÉ","")</f>
        <v/>
      </c>
      <c r="I8" s="5" t="n">
        <v>1</v>
      </c>
      <c r="J8" s="46">
        <f>F8*(1-I8)</f>
        <v/>
      </c>
      <c r="K8" s="30" t="n"/>
      <c r="L8" s="5" t="n"/>
      <c r="M8" s="5" t="n"/>
      <c r="N8" s="40" t="n">
        <v>45444</v>
      </c>
    </row>
    <row r="9" ht="22" customHeight="1">
      <c r="A9" s="9" t="inlineStr">
        <is>
          <t>EMP-004</t>
        </is>
      </c>
      <c r="B9" s="9">
        <f>IFERROR(VLOOKUP(A9,'F01 - _Données Employés'!$A$6:$C$20,2,FALSE),"")</f>
        <v/>
      </c>
      <c r="C9" s="9" t="inlineStr">
        <is>
          <t>Indemnité km</t>
        </is>
      </c>
      <c r="D9" s="9" t="n">
        <v>18</v>
      </c>
      <c r="E9" s="31" t="n">
        <v>150</v>
      </c>
      <c r="F9" s="31">
        <f>IF(C9="Véhicule fonction",50000,IF(C9="Abonnement transport",25000,D9*E9*22))</f>
        <v/>
      </c>
      <c r="G9" s="31" t="n">
        <v>30000</v>
      </c>
      <c r="H9" s="31">
        <f>IF(F9&gt;G9,"DÉPASSÉ","")</f>
        <v/>
      </c>
      <c r="I9" s="9" t="n">
        <v>0.8</v>
      </c>
      <c r="J9" s="47">
        <f>F9*(1-I9)</f>
        <v/>
      </c>
      <c r="K9" s="31" t="n"/>
      <c r="L9" s="9" t="n"/>
      <c r="M9" s="9" t="n"/>
      <c r="N9" s="41" t="n">
        <v>45444</v>
      </c>
    </row>
    <row r="10" ht="22" customHeight="1">
      <c r="A10" s="5" t="inlineStr">
        <is>
          <t>EMP-005</t>
        </is>
      </c>
      <c r="B10" s="5">
        <f>IFERROR(VLOOKUP(A10,'F01 - _Données Employés'!$A$6:$C$20,2,FALSE),"")</f>
        <v/>
      </c>
      <c r="C10" s="5" t="inlineStr">
        <is>
          <t>Véhicule fonction</t>
        </is>
      </c>
      <c r="D10" s="5" t="n">
        <v>25</v>
      </c>
      <c r="E10" s="30" t="n">
        <v>0</v>
      </c>
      <c r="F10" s="30">
        <f>IF(C10="Véhicule fonction",50000,IF(C10="Abonnement transport",25000,D10*E10*22))</f>
        <v/>
      </c>
      <c r="G10" s="30" t="n">
        <v>50000</v>
      </c>
      <c r="H10" s="30">
        <f>IF(F10&gt;G10,"DÉPASSÉ","")</f>
        <v/>
      </c>
      <c r="I10" s="5" t="n">
        <v>1</v>
      </c>
      <c r="J10" s="46">
        <f>F10*(1-I10)</f>
        <v/>
      </c>
      <c r="K10" s="30" t="n"/>
      <c r="L10" s="5" t="n"/>
      <c r="M10" s="5" t="n"/>
      <c r="N10" s="40" t="n">
        <v>45444</v>
      </c>
    </row>
    <row r="11" ht="22" customHeight="1">
      <c r="A11" s="9" t="inlineStr">
        <is>
          <t>EMP-006</t>
        </is>
      </c>
      <c r="B11" s="9">
        <f>IFERROR(VLOOKUP(A11,'F01 - _Données Employés'!$A$6:$C$20,2,FALSE),"")</f>
        <v/>
      </c>
      <c r="C11" s="9" t="inlineStr">
        <is>
          <t>Indemnité km</t>
        </is>
      </c>
      <c r="D11" s="9" t="n">
        <v>12</v>
      </c>
      <c r="E11" s="31" t="n">
        <v>150</v>
      </c>
      <c r="F11" s="31">
        <f>IF(C11="Véhicule fonction",50000,IF(C11="Abonnement transport",25000,D11*E11*22))</f>
        <v/>
      </c>
      <c r="G11" s="31" t="n">
        <v>30000</v>
      </c>
      <c r="H11" s="31">
        <f>IF(F11&gt;G11,"DÉPASSÉ","")</f>
        <v/>
      </c>
      <c r="I11" s="9" t="n">
        <v>0.8</v>
      </c>
      <c r="J11" s="47">
        <f>F11*(1-I11)</f>
        <v/>
      </c>
      <c r="K11" s="31" t="n"/>
      <c r="L11" s="9" t="n"/>
      <c r="M11" s="9" t="n"/>
      <c r="N11" s="41" t="n">
        <v>45444</v>
      </c>
    </row>
    <row r="12" ht="22" customHeight="1">
      <c r="A12" s="5" t="inlineStr">
        <is>
          <t>EMP-008</t>
        </is>
      </c>
      <c r="B12" s="5">
        <f>IFERROR(VLOOKUP(A12,'F01 - _Données Employés'!$A$6:$C$20,2,FALSE),"")</f>
        <v/>
      </c>
      <c r="C12" s="5" t="inlineStr">
        <is>
          <t>Indemnité km</t>
        </is>
      </c>
      <c r="D12" s="5" t="n">
        <v>20</v>
      </c>
      <c r="E12" s="30" t="n">
        <v>150</v>
      </c>
      <c r="F12" s="30">
        <f>IF(C12="Véhicule fonction",50000,IF(C12="Abonnement transport",25000,D12*E12*22))</f>
        <v/>
      </c>
      <c r="G12" s="30" t="n">
        <v>30000</v>
      </c>
      <c r="H12" s="30">
        <f>IF(F12&gt;G12,"DÉPASSÉ","")</f>
        <v/>
      </c>
      <c r="I12" s="5" t="n">
        <v>0.8</v>
      </c>
      <c r="J12" s="46">
        <f>F12*(1-I12)</f>
        <v/>
      </c>
      <c r="K12" s="30" t="n"/>
      <c r="L12" s="5" t="n"/>
      <c r="M12" s="5" t="n"/>
      <c r="N12" s="40" t="n">
        <v>45444</v>
      </c>
    </row>
    <row r="13" ht="22" customHeight="1">
      <c r="A13" s="9" t="inlineStr">
        <is>
          <t>EMP-010</t>
        </is>
      </c>
      <c r="B13" s="9">
        <f>IFERROR(VLOOKUP(A13,'F01 - _Données Employés'!$A$6:$C$20,2,FALSE),"")</f>
        <v/>
      </c>
      <c r="C13" s="9" t="inlineStr">
        <is>
          <t>Abonnement transport</t>
        </is>
      </c>
      <c r="D13" s="9" t="n">
        <v>8</v>
      </c>
      <c r="E13" s="31" t="n">
        <v>0</v>
      </c>
      <c r="F13" s="31">
        <f>IF(C13="Véhicule fonction",50000,IF(C13="Abonnement transport",25000,D13*E13*22))</f>
        <v/>
      </c>
      <c r="G13" s="31" t="n">
        <v>25000</v>
      </c>
      <c r="H13" s="31">
        <f>IF(F13&gt;G13,"DÉPASSÉ","")</f>
        <v/>
      </c>
      <c r="I13" s="9" t="n">
        <v>1</v>
      </c>
      <c r="J13" s="47">
        <f>F13*(1-I13)</f>
        <v/>
      </c>
      <c r="K13" s="31" t="n"/>
      <c r="L13" s="9" t="n"/>
      <c r="M13" s="9" t="n"/>
      <c r="N13" s="41" t="n">
        <v>45444</v>
      </c>
    </row>
    <row r="14" ht="22" customHeight="1">
      <c r="A14" s="5" t="n"/>
      <c r="B14" s="5" t="n"/>
      <c r="C14" s="5" t="n"/>
      <c r="D14" s="5" t="n"/>
      <c r="E14" s="30" t="n"/>
      <c r="F14" s="30" t="n"/>
      <c r="G14" s="30" t="n"/>
      <c r="H14" s="30" t="n"/>
      <c r="I14" s="5" t="n"/>
      <c r="J14" s="46" t="n"/>
      <c r="K14" s="30" t="n"/>
      <c r="L14" s="5" t="n"/>
      <c r="M14" s="5" t="n"/>
      <c r="N14" s="40" t="n"/>
    </row>
    <row r="15" ht="22" customHeight="1">
      <c r="A15" s="9" t="n"/>
      <c r="B15" s="9" t="n"/>
      <c r="C15" s="9" t="n"/>
      <c r="D15" s="9" t="n"/>
      <c r="E15" s="31" t="n"/>
      <c r="F15" s="31" t="n"/>
      <c r="G15" s="31" t="n"/>
      <c r="H15" s="31" t="n"/>
      <c r="I15" s="9" t="n"/>
      <c r="J15" s="47" t="n"/>
      <c r="K15" s="31" t="n"/>
      <c r="L15" s="9" t="n"/>
      <c r="M15" s="9" t="n"/>
      <c r="N15" s="41" t="n"/>
    </row>
    <row r="16" ht="22" customHeight="1">
      <c r="A16" s="5" t="n"/>
      <c r="B16" s="5" t="n"/>
      <c r="C16" s="5" t="n"/>
      <c r="D16" s="5" t="n"/>
      <c r="E16" s="30" t="n"/>
      <c r="F16" s="30" t="n"/>
      <c r="G16" s="30" t="n"/>
      <c r="H16" s="30" t="n"/>
      <c r="I16" s="5" t="n"/>
      <c r="J16" s="46" t="n"/>
      <c r="K16" s="30" t="n"/>
      <c r="L16" s="5" t="n"/>
      <c r="M16" s="5" t="n"/>
      <c r="N16" s="40" t="n"/>
    </row>
    <row r="17" ht="22" customHeight="1">
      <c r="A17" s="9" t="n"/>
      <c r="B17" s="9" t="n"/>
      <c r="C17" s="9" t="n"/>
      <c r="D17" s="9" t="n"/>
      <c r="E17" s="31" t="n"/>
      <c r="F17" s="31" t="n"/>
      <c r="G17" s="31" t="n"/>
      <c r="H17" s="31" t="n"/>
      <c r="I17" s="9" t="n"/>
      <c r="J17" s="47" t="n"/>
      <c r="K17" s="31" t="n"/>
      <c r="L17" s="9" t="n"/>
      <c r="M17" s="9" t="n"/>
      <c r="N17" s="41" t="n"/>
    </row>
    <row r="18" ht="22" customHeight="1">
      <c r="A18" s="5" t="n"/>
      <c r="B18" s="5" t="n"/>
      <c r="C18" s="5" t="n"/>
      <c r="D18" s="5" t="n"/>
      <c r="E18" s="30" t="n"/>
      <c r="F18" s="30" t="n"/>
      <c r="G18" s="30" t="n"/>
      <c r="H18" s="30" t="n"/>
      <c r="I18" s="5" t="n"/>
      <c r="J18" s="46" t="n"/>
      <c r="K18" s="30" t="n"/>
      <c r="L18" s="5" t="n"/>
      <c r="M18" s="5" t="n"/>
      <c r="N18" s="40" t="n"/>
    </row>
    <row r="19" ht="22" customHeight="1">
      <c r="A19" s="9" t="n"/>
      <c r="B19" s="9" t="n"/>
      <c r="C19" s="9" t="n"/>
      <c r="D19" s="9" t="n"/>
      <c r="E19" s="31" t="n"/>
      <c r="F19" s="31" t="n"/>
      <c r="G19" s="31" t="n"/>
      <c r="H19" s="31" t="n"/>
      <c r="I19" s="9" t="n"/>
      <c r="J19" s="47" t="n"/>
      <c r="K19" s="31" t="n"/>
      <c r="L19" s="9" t="n"/>
      <c r="M19" s="9" t="n"/>
      <c r="N19" s="41" t="n"/>
    </row>
    <row r="20" ht="22" customHeight="1">
      <c r="A20" s="5" t="n"/>
      <c r="B20" s="5" t="n"/>
      <c r="C20" s="5" t="n"/>
      <c r="D20" s="5" t="n"/>
      <c r="E20" s="30" t="n"/>
      <c r="F20" s="30" t="n"/>
      <c r="G20" s="30" t="n"/>
      <c r="H20" s="30" t="n"/>
      <c r="I20" s="5" t="n"/>
      <c r="J20" s="46" t="n"/>
      <c r="K20" s="30" t="n"/>
      <c r="L20" s="5" t="n"/>
      <c r="M20" s="5" t="n"/>
      <c r="N20" s="40" t="n"/>
    </row>
    <row r="21" ht="22" customHeight="1">
      <c r="A21" s="9" t="n"/>
      <c r="B21" s="9" t="n"/>
      <c r="C21" s="9" t="n"/>
      <c r="D21" s="9" t="n"/>
      <c r="E21" s="31" t="n"/>
      <c r="F21" s="31" t="n"/>
      <c r="G21" s="31" t="n"/>
      <c r="H21" s="31" t="n"/>
      <c r="I21" s="9" t="n"/>
      <c r="J21" s="47" t="n"/>
      <c r="K21" s="31" t="n"/>
      <c r="L21" s="9" t="n"/>
      <c r="M21" s="9" t="n"/>
      <c r="N21" s="41" t="n"/>
    </row>
    <row r="22" ht="22" customHeight="1">
      <c r="A22" s="5" t="n"/>
      <c r="B22" s="5" t="n"/>
      <c r="C22" s="5" t="n"/>
      <c r="D22" s="5" t="n"/>
      <c r="E22" s="30" t="n"/>
      <c r="F22" s="30" t="n"/>
      <c r="G22" s="30" t="n"/>
      <c r="H22" s="30" t="n"/>
      <c r="I22" s="5" t="n"/>
      <c r="J22" s="46" t="n"/>
      <c r="K22" s="30" t="n"/>
      <c r="L22" s="5" t="n"/>
      <c r="M22" s="5" t="n"/>
      <c r="N22" s="40" t="n"/>
    </row>
    <row r="23" ht="22" customHeight="1">
      <c r="A23" s="9" t="n"/>
      <c r="B23" s="9" t="n"/>
      <c r="C23" s="9" t="n"/>
      <c r="D23" s="9" t="n"/>
      <c r="E23" s="31" t="n"/>
      <c r="F23" s="31" t="n"/>
      <c r="G23" s="31" t="n"/>
      <c r="H23" s="31" t="n"/>
      <c r="I23" s="9" t="n"/>
      <c r="J23" s="47" t="n"/>
      <c r="K23" s="31" t="n"/>
      <c r="L23" s="9" t="n"/>
      <c r="M23" s="9" t="n"/>
      <c r="N23" s="41" t="n"/>
    </row>
    <row r="24" ht="22" customHeight="1">
      <c r="A24" s="5" t="n"/>
      <c r="B24" s="5" t="n"/>
      <c r="C24" s="5" t="n"/>
      <c r="D24" s="5" t="n"/>
      <c r="E24" s="30" t="n"/>
      <c r="F24" s="30" t="n"/>
      <c r="G24" s="30" t="n"/>
      <c r="H24" s="30" t="n"/>
      <c r="I24" s="5" t="n"/>
      <c r="J24" s="46" t="n"/>
      <c r="K24" s="30" t="n"/>
      <c r="L24" s="5" t="n"/>
      <c r="M24" s="5" t="n"/>
      <c r="N24" s="40" t="n"/>
    </row>
    <row r="25" ht="22" customHeight="1">
      <c r="A25" s="9" t="n"/>
      <c r="B25" s="9" t="n"/>
      <c r="C25" s="9" t="n"/>
      <c r="D25" s="9" t="n"/>
      <c r="E25" s="31" t="n"/>
      <c r="F25" s="31" t="n"/>
      <c r="G25" s="31" t="n"/>
      <c r="H25" s="31" t="n"/>
      <c r="I25" s="9" t="n"/>
      <c r="J25" s="47" t="n"/>
      <c r="K25" s="31" t="n"/>
      <c r="L25" s="9" t="n"/>
      <c r="M25" s="9" t="n"/>
      <c r="N25" s="41" t="n"/>
    </row>
    <row r="26" ht="22" customHeight="1">
      <c r="A26" s="5" t="n"/>
      <c r="B26" s="5" t="n"/>
      <c r="C26" s="5" t="n"/>
      <c r="D26" s="5" t="n"/>
      <c r="E26" s="30" t="n"/>
      <c r="F26" s="30" t="n"/>
      <c r="G26" s="30" t="n"/>
      <c r="H26" s="30" t="n"/>
      <c r="I26" s="5" t="n"/>
      <c r="J26" s="46" t="n"/>
      <c r="K26" s="30" t="n"/>
      <c r="L26" s="5" t="n"/>
      <c r="M26" s="5" t="n"/>
      <c r="N26" s="40" t="n"/>
    </row>
    <row r="27" ht="22" customHeight="1">
      <c r="A27" s="9" t="n"/>
      <c r="B27" s="9" t="n"/>
      <c r="C27" s="9" t="n"/>
      <c r="D27" s="9" t="n"/>
      <c r="E27" s="31" t="n"/>
      <c r="F27" s="31" t="n"/>
      <c r="G27" s="31" t="n"/>
      <c r="H27" s="31" t="n"/>
      <c r="I27" s="9" t="n"/>
      <c r="J27" s="47" t="n"/>
      <c r="K27" s="31" t="n"/>
      <c r="L27" s="9" t="n"/>
      <c r="M27" s="9" t="n"/>
      <c r="N27" s="41" t="n"/>
    </row>
    <row r="28" ht="22" customHeight="1">
      <c r="A28" s="5" t="n"/>
      <c r="B28" s="5" t="n"/>
      <c r="C28" s="5" t="n"/>
      <c r="D28" s="5" t="n"/>
      <c r="E28" s="30" t="n"/>
      <c r="F28" s="30" t="n"/>
      <c r="G28" s="30" t="n"/>
      <c r="H28" s="30" t="n"/>
      <c r="I28" s="5" t="n"/>
      <c r="J28" s="46" t="n"/>
      <c r="K28" s="30" t="n"/>
      <c r="L28" s="5" t="n"/>
      <c r="M28" s="5" t="n"/>
      <c r="N28" s="40" t="n"/>
    </row>
    <row r="29" ht="22" customHeight="1">
      <c r="A29" s="9" t="n"/>
      <c r="B29" s="9" t="n"/>
      <c r="C29" s="9" t="n"/>
      <c r="D29" s="9" t="n"/>
      <c r="E29" s="31" t="n"/>
      <c r="F29" s="31" t="n"/>
      <c r="G29" s="31" t="n"/>
      <c r="H29" s="31" t="n"/>
      <c r="I29" s="9" t="n"/>
      <c r="J29" s="47" t="n"/>
      <c r="K29" s="31" t="n"/>
      <c r="L29" s="9" t="n"/>
      <c r="M29" s="9" t="n"/>
      <c r="N29" s="41" t="n"/>
    </row>
    <row r="30" ht="22" customHeight="1">
      <c r="A30" s="5" t="n"/>
      <c r="B30" s="5" t="n"/>
      <c r="C30" s="5" t="n"/>
      <c r="D30" s="5" t="n"/>
      <c r="E30" s="30" t="n"/>
      <c r="F30" s="30" t="n"/>
      <c r="G30" s="30" t="n"/>
      <c r="H30" s="30" t="n"/>
      <c r="I30" s="5" t="n"/>
      <c r="J30" s="46" t="n"/>
      <c r="K30" s="30" t="n"/>
      <c r="L30" s="5" t="n"/>
      <c r="M30" s="5" t="n"/>
      <c r="N30" s="40" t="n"/>
    </row>
    <row r="31" ht="22" customHeight="1">
      <c r="A31" s="9" t="n"/>
      <c r="B31" s="9" t="n"/>
      <c r="C31" s="9" t="n"/>
      <c r="D31" s="9" t="n"/>
      <c r="E31" s="31" t="n"/>
      <c r="F31" s="31" t="n"/>
      <c r="G31" s="31" t="n"/>
      <c r="H31" s="31" t="n"/>
      <c r="I31" s="9" t="n"/>
      <c r="J31" s="47" t="n"/>
      <c r="K31" s="31" t="n"/>
      <c r="L31" s="9" t="n"/>
      <c r="M31" s="9" t="n"/>
      <c r="N31" s="41" t="n"/>
    </row>
    <row r="32" ht="22" customHeight="1">
      <c r="A32" s="5" t="n"/>
      <c r="B32" s="5" t="n"/>
      <c r="C32" s="5" t="n"/>
      <c r="D32" s="5" t="n"/>
      <c r="E32" s="30" t="n"/>
      <c r="F32" s="30" t="n"/>
      <c r="G32" s="30" t="n"/>
      <c r="H32" s="30" t="n"/>
      <c r="I32" s="5" t="n"/>
      <c r="J32" s="46" t="n"/>
      <c r="K32" s="30" t="n"/>
      <c r="L32" s="5" t="n"/>
      <c r="M32" s="5" t="n"/>
      <c r="N32" s="40" t="n"/>
    </row>
    <row r="33" ht="22" customHeight="1">
      <c r="A33" s="9" t="n"/>
      <c r="B33" s="9" t="n"/>
      <c r="C33" s="9" t="n"/>
      <c r="D33" s="9" t="n"/>
      <c r="E33" s="31" t="n"/>
      <c r="F33" s="31" t="n"/>
      <c r="G33" s="31" t="n"/>
      <c r="H33" s="31" t="n"/>
      <c r="I33" s="9" t="n"/>
      <c r="J33" s="47" t="n"/>
      <c r="K33" s="31" t="n"/>
      <c r="L33" s="9" t="n"/>
      <c r="M33" s="9" t="n"/>
      <c r="N33" s="41" t="n"/>
    </row>
    <row r="34" ht="22" customHeight="1">
      <c r="A34" s="5" t="n"/>
      <c r="B34" s="5" t="n"/>
      <c r="C34" s="5" t="n"/>
      <c r="D34" s="5" t="n"/>
      <c r="E34" s="30" t="n"/>
      <c r="F34" s="30" t="n"/>
      <c r="G34" s="30" t="n"/>
      <c r="H34" s="30" t="n"/>
      <c r="I34" s="5" t="n"/>
      <c r="J34" s="46" t="n"/>
      <c r="K34" s="30" t="n"/>
      <c r="L34" s="5" t="n"/>
      <c r="M34" s="5" t="n"/>
      <c r="N34" s="40" t="n"/>
    </row>
    <row r="35" ht="22" customHeight="1">
      <c r="A35" s="9" t="n"/>
      <c r="B35" s="9" t="n"/>
      <c r="C35" s="9" t="n"/>
      <c r="D35" s="9" t="n"/>
      <c r="E35" s="31" t="n"/>
      <c r="F35" s="31" t="n"/>
      <c r="G35" s="31" t="n"/>
      <c r="H35" s="31" t="n"/>
      <c r="I35" s="9" t="n"/>
      <c r="J35" s="47" t="n"/>
      <c r="K35" s="31" t="n"/>
      <c r="L35" s="9" t="n"/>
      <c r="M35" s="9" t="n"/>
      <c r="N35" s="41" t="n"/>
    </row>
    <row r="36" ht="22" customHeight="1">
      <c r="A36" s="5" t="n"/>
      <c r="B36" s="5" t="n"/>
      <c r="C36" s="5" t="n"/>
      <c r="D36" s="5" t="n"/>
      <c r="E36" s="30" t="n"/>
      <c r="F36" s="30" t="n"/>
      <c r="G36" s="30" t="n"/>
      <c r="H36" s="30" t="n"/>
      <c r="I36" s="5" t="n"/>
      <c r="J36" s="46" t="n"/>
      <c r="K36" s="30" t="n"/>
      <c r="L36" s="5" t="n"/>
      <c r="M36" s="5" t="n"/>
      <c r="N36" s="40" t="n"/>
    </row>
    <row r="37" ht="22" customHeight="1">
      <c r="A37" s="9" t="n"/>
      <c r="B37" s="9" t="n"/>
      <c r="C37" s="9" t="n"/>
      <c r="D37" s="9" t="n"/>
      <c r="E37" s="31" t="n"/>
      <c r="F37" s="31" t="n"/>
      <c r="G37" s="31" t="n"/>
      <c r="H37" s="31" t="n"/>
      <c r="I37" s="9" t="n"/>
      <c r="J37" s="47" t="n"/>
      <c r="K37" s="31" t="n"/>
      <c r="L37" s="9" t="n"/>
      <c r="M37" s="9" t="n"/>
      <c r="N37" s="41" t="n"/>
    </row>
    <row r="38" ht="22" customHeight="1">
      <c r="A38" s="5" t="n"/>
      <c r="B38" s="5" t="n"/>
      <c r="C38" s="5" t="n"/>
      <c r="D38" s="5" t="n"/>
      <c r="E38" s="30" t="n"/>
      <c r="F38" s="30" t="n"/>
      <c r="G38" s="30" t="n"/>
      <c r="H38" s="30" t="n"/>
      <c r="I38" s="5" t="n"/>
      <c r="J38" s="46" t="n"/>
      <c r="K38" s="30" t="n"/>
      <c r="L38" s="5" t="n"/>
      <c r="M38" s="5" t="n"/>
      <c r="N38" s="40" t="n"/>
    </row>
    <row r="39" ht="22" customHeight="1">
      <c r="A39" s="9" t="n"/>
      <c r="B39" s="9" t="n"/>
      <c r="C39" s="9" t="n"/>
      <c r="D39" s="9" t="n"/>
      <c r="E39" s="31" t="n"/>
      <c r="F39" s="31" t="n"/>
      <c r="G39" s="31" t="n"/>
      <c r="H39" s="31" t="n"/>
      <c r="I39" s="9" t="n"/>
      <c r="J39" s="47" t="n"/>
      <c r="K39" s="31" t="n"/>
      <c r="L39" s="9" t="n"/>
      <c r="M39" s="9" t="n"/>
      <c r="N39" s="41" t="n"/>
    </row>
    <row r="40" ht="22" customHeight="1">
      <c r="A40" s="5" t="n"/>
      <c r="B40" s="5" t="n"/>
      <c r="C40" s="5" t="n"/>
      <c r="D40" s="5" t="n"/>
      <c r="E40" s="30" t="n"/>
      <c r="F40" s="30" t="n"/>
      <c r="G40" s="30" t="n"/>
      <c r="H40" s="30" t="n"/>
      <c r="I40" s="5" t="n"/>
      <c r="J40" s="46" t="n"/>
      <c r="K40" s="30" t="n"/>
      <c r="L40" s="5" t="n"/>
      <c r="M40" s="5" t="n"/>
      <c r="N40" s="40" t="n"/>
    </row>
    <row r="41" ht="22" customHeight="1">
      <c r="A41" s="9" t="n"/>
      <c r="B41" s="9" t="n"/>
      <c r="C41" s="9" t="n"/>
      <c r="D41" s="9" t="n"/>
      <c r="E41" s="31" t="n"/>
      <c r="F41" s="31" t="n"/>
      <c r="G41" s="31" t="n"/>
      <c r="H41" s="31" t="n"/>
      <c r="I41" s="9" t="n"/>
      <c r="J41" s="47" t="n"/>
      <c r="K41" s="31" t="n"/>
      <c r="L41" s="9" t="n"/>
      <c r="M41" s="9" t="n"/>
      <c r="N41" s="41" t="n"/>
    </row>
    <row r="42" ht="22" customHeight="1">
      <c r="A42" s="5" t="n"/>
      <c r="B42" s="5" t="n"/>
      <c r="C42" s="5" t="n"/>
      <c r="D42" s="5" t="n"/>
      <c r="E42" s="30" t="n"/>
      <c r="F42" s="30" t="n"/>
      <c r="G42" s="30" t="n"/>
      <c r="H42" s="30" t="n"/>
      <c r="I42" s="5" t="n"/>
      <c r="J42" s="46" t="n"/>
      <c r="K42" s="30" t="n"/>
      <c r="L42" s="5" t="n"/>
      <c r="M42" s="5" t="n"/>
      <c r="N42" s="40" t="n"/>
    </row>
    <row r="43" ht="22" customHeight="1">
      <c r="A43" s="9" t="n"/>
      <c r="B43" s="9" t="n"/>
      <c r="C43" s="9" t="n"/>
      <c r="D43" s="9" t="n"/>
      <c r="E43" s="31" t="n"/>
      <c r="F43" s="31" t="n"/>
      <c r="G43" s="31" t="n"/>
      <c r="H43" s="31" t="n"/>
      <c r="I43" s="9" t="n"/>
      <c r="J43" s="47" t="n"/>
      <c r="K43" s="31" t="n"/>
      <c r="L43" s="9" t="n"/>
      <c r="M43" s="9" t="n"/>
      <c r="N43" s="41" t="n"/>
    </row>
    <row r="44" ht="22" customHeight="1">
      <c r="A44" s="5" t="n"/>
      <c r="B44" s="5" t="n"/>
      <c r="C44" s="5" t="n"/>
      <c r="D44" s="5" t="n"/>
      <c r="E44" s="30" t="n"/>
      <c r="F44" s="30" t="n"/>
      <c r="G44" s="30" t="n"/>
      <c r="H44" s="30" t="n"/>
      <c r="I44" s="5" t="n"/>
      <c r="J44" s="46" t="n"/>
      <c r="K44" s="30" t="n"/>
      <c r="L44" s="5" t="n"/>
      <c r="M44" s="5" t="n"/>
      <c r="N44" s="40" t="n"/>
    </row>
    <row r="45" ht="22" customHeight="1">
      <c r="A45" s="9" t="n"/>
      <c r="B45" s="9" t="n"/>
      <c r="C45" s="9" t="n"/>
      <c r="D45" s="9" t="n"/>
      <c r="E45" s="31" t="n"/>
      <c r="F45" s="31" t="n"/>
      <c r="G45" s="31" t="n"/>
      <c r="H45" s="31" t="n"/>
      <c r="I45" s="9" t="n"/>
      <c r="J45" s="47" t="n"/>
      <c r="K45" s="31" t="n"/>
      <c r="L45" s="9" t="n"/>
      <c r="M45" s="9" t="n"/>
      <c r="N45" s="41" t="n"/>
    </row>
    <row r="46" ht="22" customHeight="1">
      <c r="A46" s="5" t="n"/>
      <c r="B46" s="5" t="n"/>
      <c r="C46" s="5" t="n"/>
      <c r="D46" s="5" t="n"/>
      <c r="E46" s="30" t="n"/>
      <c r="F46" s="30" t="n"/>
      <c r="G46" s="30" t="n"/>
      <c r="H46" s="30" t="n"/>
      <c r="I46" s="5" t="n"/>
      <c r="J46" s="46" t="n"/>
      <c r="K46" s="30" t="n"/>
      <c r="L46" s="5" t="n"/>
      <c r="M46" s="5" t="n"/>
      <c r="N46" s="40" t="n"/>
    </row>
    <row r="47" ht="22" customHeight="1">
      <c r="A47" s="9" t="n"/>
      <c r="B47" s="9" t="n"/>
      <c r="C47" s="9" t="n"/>
      <c r="D47" s="9" t="n"/>
      <c r="E47" s="31" t="n"/>
      <c r="F47" s="31" t="n"/>
      <c r="G47" s="31" t="n"/>
      <c r="H47" s="31" t="n"/>
      <c r="I47" s="9" t="n"/>
      <c r="J47" s="47" t="n"/>
      <c r="K47" s="31" t="n"/>
      <c r="L47" s="9" t="n"/>
      <c r="M47" s="9" t="n"/>
      <c r="N47" s="41" t="n"/>
    </row>
    <row r="48" ht="22" customHeight="1">
      <c r="A48" s="5" t="n"/>
      <c r="B48" s="5" t="n"/>
      <c r="C48" s="5" t="n"/>
      <c r="D48" s="5" t="n"/>
      <c r="E48" s="30" t="n"/>
      <c r="F48" s="30" t="n"/>
      <c r="G48" s="30" t="n"/>
      <c r="H48" s="30" t="n"/>
      <c r="I48" s="5" t="n"/>
      <c r="J48" s="46" t="n"/>
      <c r="K48" s="30" t="n"/>
      <c r="L48" s="5" t="n"/>
      <c r="M48" s="5" t="n"/>
      <c r="N48" s="40" t="n"/>
    </row>
    <row r="49" ht="22" customHeight="1">
      <c r="A49" s="9" t="n"/>
      <c r="B49" s="9" t="n"/>
      <c r="C49" s="9" t="n"/>
      <c r="D49" s="9" t="n"/>
      <c r="E49" s="31" t="n"/>
      <c r="F49" s="31" t="n"/>
      <c r="G49" s="31" t="n"/>
      <c r="H49" s="31" t="n"/>
      <c r="I49" s="9" t="n"/>
      <c r="J49" s="47" t="n"/>
      <c r="K49" s="31" t="n"/>
      <c r="L49" s="9" t="n"/>
      <c r="M49" s="9" t="n"/>
      <c r="N49" s="41" t="n"/>
    </row>
    <row r="50" ht="22" customHeight="1">
      <c r="A50" s="5" t="n"/>
      <c r="B50" s="5" t="n"/>
      <c r="C50" s="5" t="n"/>
      <c r="D50" s="5" t="n"/>
      <c r="E50" s="30" t="n"/>
      <c r="F50" s="30" t="n"/>
      <c r="G50" s="30" t="n"/>
      <c r="H50" s="30" t="n"/>
      <c r="I50" s="5" t="n"/>
      <c r="J50" s="46" t="n"/>
      <c r="K50" s="30" t="n"/>
      <c r="L50" s="5" t="n"/>
      <c r="M50" s="5" t="n"/>
      <c r="N50" s="40" t="n"/>
    </row>
    <row r="51" ht="22" customHeight="1">
      <c r="A51" s="9" t="n"/>
      <c r="B51" s="9" t="n"/>
      <c r="C51" s="9" t="n"/>
      <c r="D51" s="9" t="n"/>
      <c r="E51" s="31" t="n"/>
      <c r="F51" s="31" t="n"/>
      <c r="G51" s="31" t="n"/>
      <c r="H51" s="31" t="n"/>
      <c r="I51" s="9" t="n"/>
      <c r="J51" s="47" t="n"/>
      <c r="K51" s="31" t="n"/>
      <c r="L51" s="9" t="n"/>
      <c r="M51" s="9" t="n"/>
      <c r="N51" s="41" t="n"/>
    </row>
    <row r="52" ht="22" customHeight="1">
      <c r="A52" s="5" t="n"/>
      <c r="B52" s="5" t="n"/>
      <c r="C52" s="5" t="n"/>
      <c r="D52" s="5" t="n"/>
      <c r="E52" s="30" t="n"/>
      <c r="F52" s="30" t="n"/>
      <c r="G52" s="30" t="n"/>
      <c r="H52" s="30" t="n"/>
      <c r="I52" s="5" t="n"/>
      <c r="J52" s="46" t="n"/>
      <c r="K52" s="30" t="n"/>
      <c r="L52" s="5" t="n"/>
      <c r="M52" s="5" t="n"/>
      <c r="N52" s="40" t="n"/>
    </row>
    <row r="53" ht="22" customHeight="1">
      <c r="A53" s="9" t="n"/>
      <c r="B53" s="9" t="n"/>
      <c r="C53" s="9" t="n"/>
      <c r="D53" s="9" t="n"/>
      <c r="E53" s="31" t="n"/>
      <c r="F53" s="31" t="n"/>
      <c r="G53" s="31" t="n"/>
      <c r="H53" s="31" t="n"/>
      <c r="I53" s="9" t="n"/>
      <c r="J53" s="47" t="n"/>
      <c r="K53" s="31" t="n"/>
      <c r="L53" s="9" t="n"/>
      <c r="M53" s="9" t="n"/>
      <c r="N53" s="41" t="n"/>
    </row>
    <row r="54" ht="22" customHeight="1">
      <c r="A54" s="5" t="n"/>
      <c r="B54" s="5" t="n"/>
      <c r="C54" s="5" t="n"/>
      <c r="D54" s="5" t="n"/>
      <c r="E54" s="30" t="n"/>
      <c r="F54" s="30" t="n"/>
      <c r="G54" s="30" t="n"/>
      <c r="H54" s="30" t="n"/>
      <c r="I54" s="5" t="n"/>
      <c r="J54" s="46" t="n"/>
      <c r="K54" s="30" t="n"/>
      <c r="L54" s="5" t="n"/>
      <c r="M54" s="5" t="n"/>
      <c r="N54" s="40" t="n"/>
    </row>
    <row r="55" ht="22" customHeight="1">
      <c r="A55" s="9" t="n"/>
      <c r="B55" s="9" t="n"/>
      <c r="C55" s="9" t="n"/>
      <c r="D55" s="9" t="n"/>
      <c r="E55" s="31" t="n"/>
      <c r="F55" s="31" t="n"/>
      <c r="G55" s="31" t="n"/>
      <c r="H55" s="31" t="n"/>
      <c r="I55" s="9" t="n"/>
      <c r="J55" s="47" t="n"/>
      <c r="K55" s="31" t="n"/>
      <c r="L55" s="9" t="n"/>
      <c r="M55" s="9" t="n"/>
      <c r="N55" s="41" t="n"/>
    </row>
    <row r="56" ht="22" customHeight="1">
      <c r="A56" s="5" t="n"/>
      <c r="B56" s="5" t="n"/>
      <c r="C56" s="5" t="n"/>
      <c r="D56" s="5" t="n"/>
      <c r="E56" s="30" t="n"/>
      <c r="F56" s="30" t="n"/>
      <c r="G56" s="30" t="n"/>
      <c r="H56" s="30" t="n"/>
      <c r="I56" s="5" t="n"/>
      <c r="J56" s="46" t="n"/>
      <c r="K56" s="30" t="n"/>
      <c r="L56" s="5" t="n"/>
      <c r="M56" s="5" t="n"/>
      <c r="N56" s="40" t="n"/>
    </row>
    <row r="57" ht="22" customHeight="1">
      <c r="A57" s="9" t="n"/>
      <c r="B57" s="9" t="n"/>
      <c r="C57" s="9" t="n"/>
      <c r="D57" s="9" t="n"/>
      <c r="E57" s="31" t="n"/>
      <c r="F57" s="31" t="n"/>
      <c r="G57" s="31" t="n"/>
      <c r="H57" s="31" t="n"/>
      <c r="I57" s="9" t="n"/>
      <c r="J57" s="47" t="n"/>
      <c r="K57" s="31" t="n"/>
      <c r="L57" s="9" t="n"/>
      <c r="M57" s="9" t="n"/>
      <c r="N57" s="41" t="n"/>
    </row>
    <row r="58" ht="22" customHeight="1">
      <c r="A58" s="5" t="n"/>
      <c r="B58" s="5" t="n"/>
      <c r="C58" s="5" t="n"/>
      <c r="D58" s="5" t="n"/>
      <c r="E58" s="30" t="n"/>
      <c r="F58" s="30" t="n"/>
      <c r="G58" s="30" t="n"/>
      <c r="H58" s="30" t="n"/>
      <c r="I58" s="5" t="n"/>
      <c r="J58" s="46" t="n"/>
      <c r="K58" s="30" t="n"/>
      <c r="L58" s="5" t="n"/>
      <c r="M58" s="5" t="n"/>
      <c r="N58" s="40" t="n"/>
    </row>
    <row r="59" ht="22" customHeight="1">
      <c r="A59" s="9" t="n"/>
      <c r="B59" s="9" t="n"/>
      <c r="C59" s="9" t="n"/>
      <c r="D59" s="9" t="n"/>
      <c r="E59" s="31" t="n"/>
      <c r="F59" s="31" t="n"/>
      <c r="G59" s="31" t="n"/>
      <c r="H59" s="31" t="n"/>
      <c r="I59" s="9" t="n"/>
      <c r="J59" s="47" t="n"/>
      <c r="K59" s="31" t="n"/>
      <c r="L59" s="9" t="n"/>
      <c r="M59" s="9" t="n"/>
      <c r="N59" s="41" t="n"/>
    </row>
    <row r="60" ht="22" customHeight="1">
      <c r="A60" s="5" t="n"/>
      <c r="B60" s="5" t="n"/>
      <c r="C60" s="5" t="n"/>
      <c r="D60" s="5" t="n"/>
      <c r="E60" s="30" t="n"/>
      <c r="F60" s="30" t="n"/>
      <c r="G60" s="30" t="n"/>
      <c r="H60" s="30" t="n"/>
      <c r="I60" s="5" t="n"/>
      <c r="J60" s="46" t="n"/>
      <c r="K60" s="30" t="n"/>
      <c r="L60" s="5" t="n"/>
      <c r="M60" s="5" t="n"/>
      <c r="N60" s="40" t="n"/>
    </row>
    <row r="61" ht="22" customHeight="1">
      <c r="A61" s="9" t="n"/>
      <c r="B61" s="9" t="n"/>
      <c r="C61" s="9" t="n"/>
      <c r="D61" s="9" t="n"/>
      <c r="E61" s="31" t="n"/>
      <c r="F61" s="31" t="n"/>
      <c r="G61" s="31" t="n"/>
      <c r="H61" s="31" t="n"/>
      <c r="I61" s="9" t="n"/>
      <c r="J61" s="47" t="n"/>
      <c r="K61" s="31" t="n"/>
      <c r="L61" s="9" t="n"/>
      <c r="M61" s="9" t="n"/>
      <c r="N61" s="41" t="n"/>
    </row>
    <row r="62" ht="22" customHeight="1">
      <c r="A62" s="5" t="n"/>
      <c r="B62" s="5" t="n"/>
      <c r="C62" s="5" t="n"/>
      <c r="D62" s="5" t="n"/>
      <c r="E62" s="30" t="n"/>
      <c r="F62" s="30" t="n"/>
      <c r="G62" s="30" t="n"/>
      <c r="H62" s="30" t="n"/>
      <c r="I62" s="5" t="n"/>
      <c r="J62" s="46" t="n"/>
      <c r="K62" s="30" t="n"/>
      <c r="L62" s="5" t="n"/>
      <c r="M62" s="5" t="n"/>
      <c r="N62" s="40" t="n"/>
    </row>
    <row r="63" ht="22" customHeight="1">
      <c r="A63" s="9" t="n"/>
      <c r="B63" s="9" t="n"/>
      <c r="C63" s="9" t="n"/>
      <c r="D63" s="9" t="n"/>
      <c r="E63" s="31" t="n"/>
      <c r="F63" s="31" t="n"/>
      <c r="G63" s="31" t="n"/>
      <c r="H63" s="31" t="n"/>
      <c r="I63" s="9" t="n"/>
      <c r="J63" s="47" t="n"/>
      <c r="K63" s="31" t="n"/>
      <c r="L63" s="9" t="n"/>
      <c r="M63" s="9" t="n"/>
      <c r="N63" s="41" t="n"/>
    </row>
    <row r="64" ht="22" customHeight="1">
      <c r="A64" s="5" t="n"/>
      <c r="B64" s="5" t="n"/>
      <c r="C64" s="5" t="n"/>
      <c r="D64" s="5" t="n"/>
      <c r="E64" s="30" t="n"/>
      <c r="F64" s="30" t="n"/>
      <c r="G64" s="30" t="n"/>
      <c r="H64" s="30" t="n"/>
      <c r="I64" s="5" t="n"/>
      <c r="J64" s="46" t="n"/>
      <c r="K64" s="30" t="n"/>
      <c r="L64" s="5" t="n"/>
      <c r="M64" s="5" t="n"/>
      <c r="N64" s="40" t="n"/>
    </row>
    <row r="65" ht="22" customHeight="1">
      <c r="A65" s="9" t="n"/>
      <c r="B65" s="9" t="n"/>
      <c r="C65" s="9" t="n"/>
      <c r="D65" s="9" t="n"/>
      <c r="E65" s="31" t="n"/>
      <c r="F65" s="31" t="n"/>
      <c r="G65" s="31" t="n"/>
      <c r="H65" s="31" t="n"/>
      <c r="I65" s="9" t="n"/>
      <c r="J65" s="47" t="n"/>
      <c r="K65" s="31" t="n"/>
      <c r="L65" s="9" t="n"/>
      <c r="M65" s="9" t="n"/>
      <c r="N65" s="41" t="n"/>
    </row>
    <row r="66" ht="22" customHeight="1">
      <c r="A66" s="5" t="n"/>
      <c r="B66" s="5" t="n"/>
      <c r="C66" s="5" t="n"/>
      <c r="D66" s="5" t="n"/>
      <c r="E66" s="30" t="n"/>
      <c r="F66" s="30" t="n"/>
      <c r="G66" s="30" t="n"/>
      <c r="H66" s="30" t="n"/>
      <c r="I66" s="5" t="n"/>
      <c r="J66" s="46" t="n"/>
      <c r="K66" s="30" t="n"/>
      <c r="L66" s="5" t="n"/>
      <c r="M66" s="5" t="n"/>
      <c r="N66" s="40" t="n"/>
    </row>
    <row r="67" ht="22" customHeight="1">
      <c r="A67" s="9" t="n"/>
      <c r="B67" s="9" t="n"/>
      <c r="C67" s="9" t="n"/>
      <c r="D67" s="9" t="n"/>
      <c r="E67" s="31" t="n"/>
      <c r="F67" s="31" t="n"/>
      <c r="G67" s="31" t="n"/>
      <c r="H67" s="31" t="n"/>
      <c r="I67" s="9" t="n"/>
      <c r="J67" s="47" t="n"/>
      <c r="K67" s="31" t="n"/>
      <c r="L67" s="9" t="n"/>
      <c r="M67" s="9" t="n"/>
      <c r="N67" s="41" t="n"/>
    </row>
    <row r="68" ht="22" customHeight="1">
      <c r="A68" s="5" t="n"/>
      <c r="B68" s="5" t="n"/>
      <c r="C68" s="5" t="n"/>
      <c r="D68" s="5" t="n"/>
      <c r="E68" s="30" t="n"/>
      <c r="F68" s="30" t="n"/>
      <c r="G68" s="30" t="n"/>
      <c r="H68" s="30" t="n"/>
      <c r="I68" s="5" t="n"/>
      <c r="J68" s="46" t="n"/>
      <c r="K68" s="30" t="n"/>
      <c r="L68" s="5" t="n"/>
      <c r="M68" s="5" t="n"/>
      <c r="N68" s="40" t="n"/>
    </row>
    <row r="69" ht="22" customHeight="1">
      <c r="A69" s="9" t="n"/>
      <c r="B69" s="9" t="n"/>
      <c r="C69" s="9" t="n"/>
      <c r="D69" s="9" t="n"/>
      <c r="E69" s="31" t="n"/>
      <c r="F69" s="31" t="n"/>
      <c r="G69" s="31" t="n"/>
      <c r="H69" s="31" t="n"/>
      <c r="I69" s="9" t="n"/>
      <c r="J69" s="47" t="n"/>
      <c r="K69" s="31" t="n"/>
      <c r="L69" s="9" t="n"/>
      <c r="M69" s="9" t="n"/>
      <c r="N69" s="41" t="n"/>
    </row>
    <row r="70" ht="22" customHeight="1">
      <c r="A70" s="5" t="n"/>
      <c r="B70" s="5" t="n"/>
      <c r="C70" s="5" t="n"/>
      <c r="D70" s="5" t="n"/>
      <c r="E70" s="30" t="n"/>
      <c r="F70" s="30" t="n"/>
      <c r="G70" s="30" t="n"/>
      <c r="H70" s="30" t="n"/>
      <c r="I70" s="5" t="n"/>
      <c r="J70" s="46" t="n"/>
      <c r="K70" s="30" t="n"/>
      <c r="L70" s="5" t="n"/>
      <c r="M70" s="5" t="n"/>
      <c r="N70" s="40" t="n"/>
    </row>
    <row r="71" ht="22" customHeight="1">
      <c r="A71" s="9" t="n"/>
      <c r="B71" s="9" t="n"/>
      <c r="C71" s="9" t="n"/>
      <c r="D71" s="9" t="n"/>
      <c r="E71" s="31" t="n"/>
      <c r="F71" s="31" t="n"/>
      <c r="G71" s="31" t="n"/>
      <c r="H71" s="31" t="n"/>
      <c r="I71" s="9" t="n"/>
      <c r="J71" s="47" t="n"/>
      <c r="K71" s="31" t="n"/>
      <c r="L71" s="9" t="n"/>
      <c r="M71" s="9" t="n"/>
      <c r="N71" s="41" t="n"/>
    </row>
    <row r="72" ht="22" customHeight="1">
      <c r="A72" s="5" t="n"/>
      <c r="B72" s="5" t="n"/>
      <c r="C72" s="5" t="n"/>
      <c r="D72" s="5" t="n"/>
      <c r="E72" s="30" t="n"/>
      <c r="F72" s="30" t="n"/>
      <c r="G72" s="30" t="n"/>
      <c r="H72" s="30" t="n"/>
      <c r="I72" s="5" t="n"/>
      <c r="J72" s="46" t="n"/>
      <c r="K72" s="30" t="n"/>
      <c r="L72" s="5" t="n"/>
      <c r="M72" s="5" t="n"/>
      <c r="N72" s="40" t="n"/>
    </row>
    <row r="73" ht="22" customHeight="1">
      <c r="A73" s="9" t="n"/>
      <c r="B73" s="9" t="n"/>
      <c r="C73" s="9" t="n"/>
      <c r="D73" s="9" t="n"/>
      <c r="E73" s="31" t="n"/>
      <c r="F73" s="31" t="n"/>
      <c r="G73" s="31" t="n"/>
      <c r="H73" s="31" t="n"/>
      <c r="I73" s="9" t="n"/>
      <c r="J73" s="47" t="n"/>
      <c r="K73" s="31" t="n"/>
      <c r="L73" s="9" t="n"/>
      <c r="M73" s="9" t="n"/>
      <c r="N73" s="41" t="n"/>
    </row>
    <row r="74" ht="22" customHeight="1">
      <c r="A74" s="5" t="n"/>
      <c r="B74" s="5" t="n"/>
      <c r="C74" s="5" t="n"/>
      <c r="D74" s="5" t="n"/>
      <c r="E74" s="30" t="n"/>
      <c r="F74" s="30" t="n"/>
      <c r="G74" s="30" t="n"/>
      <c r="H74" s="30" t="n"/>
      <c r="I74" s="5" t="n"/>
      <c r="J74" s="46" t="n"/>
      <c r="K74" s="30" t="n"/>
      <c r="L74" s="5" t="n"/>
      <c r="M74" s="5" t="n"/>
      <c r="N74" s="40" t="n"/>
    </row>
    <row r="75" ht="22" customHeight="1">
      <c r="A75" s="9" t="n"/>
      <c r="B75" s="9" t="n"/>
      <c r="C75" s="9" t="n"/>
      <c r="D75" s="9" t="n"/>
      <c r="E75" s="31" t="n"/>
      <c r="F75" s="31" t="n"/>
      <c r="G75" s="31" t="n"/>
      <c r="H75" s="31" t="n"/>
      <c r="I75" s="9" t="n"/>
      <c r="J75" s="47" t="n"/>
      <c r="K75" s="31" t="n"/>
      <c r="L75" s="9" t="n"/>
      <c r="M75" s="9" t="n"/>
      <c r="N75" s="41" t="n"/>
    </row>
    <row r="76" ht="22" customHeight="1">
      <c r="A76" s="5" t="n"/>
      <c r="B76" s="5" t="n"/>
      <c r="C76" s="5" t="n"/>
      <c r="D76" s="5" t="n"/>
      <c r="E76" s="30" t="n"/>
      <c r="F76" s="30" t="n"/>
      <c r="G76" s="30" t="n"/>
      <c r="H76" s="30" t="n"/>
      <c r="I76" s="5" t="n"/>
      <c r="J76" s="46" t="n"/>
      <c r="K76" s="30" t="n"/>
      <c r="L76" s="5" t="n"/>
      <c r="M76" s="5" t="n"/>
      <c r="N76" s="40" t="n"/>
    </row>
    <row r="77" ht="22" customHeight="1">
      <c r="A77" s="9" t="n"/>
      <c r="B77" s="9" t="n"/>
      <c r="C77" s="9" t="n"/>
      <c r="D77" s="9" t="n"/>
      <c r="E77" s="31" t="n"/>
      <c r="F77" s="31" t="n"/>
      <c r="G77" s="31" t="n"/>
      <c r="H77" s="31" t="n"/>
      <c r="I77" s="9" t="n"/>
      <c r="J77" s="47" t="n"/>
      <c r="K77" s="31" t="n"/>
      <c r="L77" s="9" t="n"/>
      <c r="M77" s="9" t="n"/>
      <c r="N77" s="41" t="n"/>
    </row>
    <row r="78" ht="22" customHeight="1">
      <c r="A78" s="5" t="n"/>
      <c r="B78" s="5" t="n"/>
      <c r="C78" s="5" t="n"/>
      <c r="D78" s="5" t="n"/>
      <c r="E78" s="30" t="n"/>
      <c r="F78" s="30" t="n"/>
      <c r="G78" s="30" t="n"/>
      <c r="H78" s="30" t="n"/>
      <c r="I78" s="5" t="n"/>
      <c r="J78" s="46" t="n"/>
      <c r="K78" s="30" t="n"/>
      <c r="L78" s="5" t="n"/>
      <c r="M78" s="5" t="n"/>
      <c r="N78" s="40" t="n"/>
    </row>
    <row r="79" ht="22" customHeight="1">
      <c r="A79" s="9" t="n"/>
      <c r="B79" s="9" t="n"/>
      <c r="C79" s="9" t="n"/>
      <c r="D79" s="9" t="n"/>
      <c r="E79" s="31" t="n"/>
      <c r="F79" s="31" t="n"/>
      <c r="G79" s="31" t="n"/>
      <c r="H79" s="31" t="n"/>
      <c r="I79" s="9" t="n"/>
      <c r="J79" s="47" t="n"/>
      <c r="K79" s="31" t="n"/>
      <c r="L79" s="9" t="n"/>
      <c r="M79" s="9" t="n"/>
      <c r="N79" s="41" t="n"/>
    </row>
    <row r="80" ht="22" customHeight="1">
      <c r="A80" s="5" t="n"/>
      <c r="B80" s="5" t="n"/>
      <c r="C80" s="5" t="n"/>
      <c r="D80" s="5" t="n"/>
      <c r="E80" s="30" t="n"/>
      <c r="F80" s="30" t="n"/>
      <c r="G80" s="30" t="n"/>
      <c r="H80" s="30" t="n"/>
      <c r="I80" s="5" t="n"/>
      <c r="J80" s="46" t="n"/>
      <c r="K80" s="30" t="n"/>
      <c r="L80" s="5" t="n"/>
      <c r="M80" s="5" t="n"/>
      <c r="N80" s="40" t="n"/>
    </row>
    <row r="81" ht="22" customHeight="1">
      <c r="A81" s="9" t="n"/>
      <c r="B81" s="9" t="n"/>
      <c r="C81" s="9" t="n"/>
      <c r="D81" s="9" t="n"/>
      <c r="E81" s="31" t="n"/>
      <c r="F81" s="31" t="n"/>
      <c r="G81" s="31" t="n"/>
      <c r="H81" s="31" t="n"/>
      <c r="I81" s="9" t="n"/>
      <c r="J81" s="47" t="n"/>
      <c r="K81" s="31" t="n"/>
      <c r="L81" s="9" t="n"/>
      <c r="M81" s="9" t="n"/>
      <c r="N81" s="41" t="n"/>
    </row>
    <row r="82" ht="22" customHeight="1">
      <c r="A82" s="5" t="n"/>
      <c r="B82" s="5" t="n"/>
      <c r="C82" s="5" t="n"/>
      <c r="D82" s="5" t="n"/>
      <c r="E82" s="30" t="n"/>
      <c r="F82" s="30" t="n"/>
      <c r="G82" s="30" t="n"/>
      <c r="H82" s="30" t="n"/>
      <c r="I82" s="5" t="n"/>
      <c r="J82" s="46" t="n"/>
      <c r="K82" s="30" t="n"/>
      <c r="L82" s="5" t="n"/>
      <c r="M82" s="5" t="n"/>
      <c r="N82" s="40" t="n"/>
    </row>
    <row r="83" ht="22" customHeight="1">
      <c r="A83" s="9" t="n"/>
      <c r="B83" s="9" t="n"/>
      <c r="C83" s="9" t="n"/>
      <c r="D83" s="9" t="n"/>
      <c r="E83" s="31" t="n"/>
      <c r="F83" s="31" t="n"/>
      <c r="G83" s="31" t="n"/>
      <c r="H83" s="31" t="n"/>
      <c r="I83" s="9" t="n"/>
      <c r="J83" s="47" t="n"/>
      <c r="K83" s="31" t="n"/>
      <c r="L83" s="9" t="n"/>
      <c r="M83" s="9" t="n"/>
      <c r="N83" s="41" t="n"/>
    </row>
    <row r="84" ht="22" customHeight="1">
      <c r="A84" s="5" t="n"/>
      <c r="B84" s="5" t="n"/>
      <c r="C84" s="5" t="n"/>
      <c r="D84" s="5" t="n"/>
      <c r="E84" s="30" t="n"/>
      <c r="F84" s="30" t="n"/>
      <c r="G84" s="30" t="n"/>
      <c r="H84" s="30" t="n"/>
      <c r="I84" s="5" t="n"/>
      <c r="J84" s="46" t="n"/>
      <c r="K84" s="30" t="n"/>
      <c r="L84" s="5" t="n"/>
      <c r="M84" s="5" t="n"/>
      <c r="N84" s="40" t="n"/>
    </row>
    <row r="85" ht="22" customHeight="1">
      <c r="A85" s="9" t="n"/>
      <c r="B85" s="9" t="n"/>
      <c r="C85" s="9" t="n"/>
      <c r="D85" s="9" t="n"/>
      <c r="E85" s="31" t="n"/>
      <c r="F85" s="31" t="n"/>
      <c r="G85" s="31" t="n"/>
      <c r="H85" s="31" t="n"/>
      <c r="I85" s="9" t="n"/>
      <c r="J85" s="47" t="n"/>
      <c r="K85" s="31" t="n"/>
      <c r="L85" s="9" t="n"/>
      <c r="M85" s="9" t="n"/>
      <c r="N85" s="41" t="n"/>
    </row>
    <row r="86" ht="22" customHeight="1">
      <c r="A86" s="5" t="n"/>
      <c r="B86" s="5" t="n"/>
      <c r="C86" s="5" t="n"/>
      <c r="D86" s="5" t="n"/>
      <c r="E86" s="30" t="n"/>
      <c r="F86" s="30" t="n"/>
      <c r="G86" s="30" t="n"/>
      <c r="H86" s="30" t="n"/>
      <c r="I86" s="5" t="n"/>
      <c r="J86" s="46" t="n"/>
      <c r="K86" s="30" t="n"/>
      <c r="L86" s="5" t="n"/>
      <c r="M86" s="5" t="n"/>
      <c r="N86" s="40" t="n"/>
    </row>
    <row r="87" ht="22" customHeight="1">
      <c r="A87" s="9" t="n"/>
      <c r="B87" s="9" t="n"/>
      <c r="C87" s="9" t="n"/>
      <c r="D87" s="9" t="n"/>
      <c r="E87" s="31" t="n"/>
      <c r="F87" s="31" t="n"/>
      <c r="G87" s="31" t="n"/>
      <c r="H87" s="31" t="n"/>
      <c r="I87" s="9" t="n"/>
      <c r="J87" s="47" t="n"/>
      <c r="K87" s="31" t="n"/>
      <c r="L87" s="9" t="n"/>
      <c r="M87" s="9" t="n"/>
      <c r="N87" s="41" t="n"/>
    </row>
    <row r="88" ht="22" customHeight="1">
      <c r="A88" s="5" t="n"/>
      <c r="B88" s="5" t="n"/>
      <c r="C88" s="5" t="n"/>
      <c r="D88" s="5" t="n"/>
      <c r="E88" s="30" t="n"/>
      <c r="F88" s="30" t="n"/>
      <c r="G88" s="30" t="n"/>
      <c r="H88" s="30" t="n"/>
      <c r="I88" s="5" t="n"/>
      <c r="J88" s="46" t="n"/>
      <c r="K88" s="30" t="n"/>
      <c r="L88" s="5" t="n"/>
      <c r="M88" s="5" t="n"/>
      <c r="N88" s="40" t="n"/>
    </row>
    <row r="89" ht="22" customHeight="1">
      <c r="A89" s="9" t="n"/>
      <c r="B89" s="9" t="n"/>
      <c r="C89" s="9" t="n"/>
      <c r="D89" s="9" t="n"/>
      <c r="E89" s="31" t="n"/>
      <c r="F89" s="31" t="n"/>
      <c r="G89" s="31" t="n"/>
      <c r="H89" s="31" t="n"/>
      <c r="I89" s="9" t="n"/>
      <c r="J89" s="47" t="n"/>
      <c r="K89" s="31" t="n"/>
      <c r="L89" s="9" t="n"/>
      <c r="M89" s="9" t="n"/>
      <c r="N89" s="41" t="n"/>
    </row>
    <row r="90" ht="22" customHeight="1">
      <c r="A90" s="5" t="n"/>
      <c r="B90" s="5" t="n"/>
      <c r="C90" s="5" t="n"/>
      <c r="D90" s="5" t="n"/>
      <c r="E90" s="30" t="n"/>
      <c r="F90" s="30" t="n"/>
      <c r="G90" s="30" t="n"/>
      <c r="H90" s="30" t="n"/>
      <c r="I90" s="5" t="n"/>
      <c r="J90" s="46" t="n"/>
      <c r="K90" s="30" t="n"/>
      <c r="L90" s="5" t="n"/>
      <c r="M90" s="5" t="n"/>
      <c r="N90" s="40" t="n"/>
    </row>
    <row r="91" ht="22" customHeight="1">
      <c r="A91" s="9" t="n"/>
      <c r="B91" s="9" t="n"/>
      <c r="C91" s="9" t="n"/>
      <c r="D91" s="9" t="n"/>
      <c r="E91" s="31" t="n"/>
      <c r="F91" s="31" t="n"/>
      <c r="G91" s="31" t="n"/>
      <c r="H91" s="31" t="n"/>
      <c r="I91" s="9" t="n"/>
      <c r="J91" s="47" t="n"/>
      <c r="K91" s="31" t="n"/>
      <c r="L91" s="9" t="n"/>
      <c r="M91" s="9" t="n"/>
      <c r="N91" s="41" t="n"/>
    </row>
    <row r="92" ht="22" customHeight="1">
      <c r="A92" s="5" t="n"/>
      <c r="B92" s="5" t="n"/>
      <c r="C92" s="5" t="n"/>
      <c r="D92" s="5" t="n"/>
      <c r="E92" s="30" t="n"/>
      <c r="F92" s="30" t="n"/>
      <c r="G92" s="30" t="n"/>
      <c r="H92" s="30" t="n"/>
      <c r="I92" s="5" t="n"/>
      <c r="J92" s="46" t="n"/>
      <c r="K92" s="30" t="n"/>
      <c r="L92" s="5" t="n"/>
      <c r="M92" s="5" t="n"/>
      <c r="N92" s="40" t="n"/>
    </row>
    <row r="93" ht="22" customHeight="1">
      <c r="A93" s="9" t="n"/>
      <c r="B93" s="9" t="n"/>
      <c r="C93" s="9" t="n"/>
      <c r="D93" s="9" t="n"/>
      <c r="E93" s="31" t="n"/>
      <c r="F93" s="31" t="n"/>
      <c r="G93" s="31" t="n"/>
      <c r="H93" s="31" t="n"/>
      <c r="I93" s="9" t="n"/>
      <c r="J93" s="47" t="n"/>
      <c r="K93" s="31" t="n"/>
      <c r="L93" s="9" t="n"/>
      <c r="M93" s="9" t="n"/>
      <c r="N93" s="41" t="n"/>
    </row>
    <row r="94" ht="22" customHeight="1">
      <c r="A94" s="5" t="n"/>
      <c r="B94" s="5" t="n"/>
      <c r="C94" s="5" t="n"/>
      <c r="D94" s="5" t="n"/>
      <c r="E94" s="30" t="n"/>
      <c r="F94" s="30" t="n"/>
      <c r="G94" s="30" t="n"/>
      <c r="H94" s="30" t="n"/>
      <c r="I94" s="5" t="n"/>
      <c r="J94" s="46" t="n"/>
      <c r="K94" s="30" t="n"/>
      <c r="L94" s="5" t="n"/>
      <c r="M94" s="5" t="n"/>
      <c r="N94" s="40" t="n"/>
    </row>
    <row r="95" ht="22" customHeight="1">
      <c r="A95" s="9" t="n"/>
      <c r="B95" s="9" t="n"/>
      <c r="C95" s="9" t="n"/>
      <c r="D95" s="9" t="n"/>
      <c r="E95" s="31" t="n"/>
      <c r="F95" s="31" t="n"/>
      <c r="G95" s="31" t="n"/>
      <c r="H95" s="31" t="n"/>
      <c r="I95" s="9" t="n"/>
      <c r="J95" s="47" t="n"/>
      <c r="K95" s="31" t="n"/>
      <c r="L95" s="9" t="n"/>
      <c r="M95" s="9" t="n"/>
      <c r="N95" s="41" t="n"/>
    </row>
    <row r="96" ht="22" customHeight="1">
      <c r="A96" s="5" t="n"/>
      <c r="B96" s="5" t="n"/>
      <c r="C96" s="5" t="n"/>
      <c r="D96" s="5" t="n"/>
      <c r="E96" s="30" t="n"/>
      <c r="F96" s="30" t="n"/>
      <c r="G96" s="30" t="n"/>
      <c r="H96" s="30" t="n"/>
      <c r="I96" s="5" t="n"/>
      <c r="J96" s="46" t="n"/>
      <c r="K96" s="30" t="n"/>
      <c r="L96" s="5" t="n"/>
      <c r="M96" s="5" t="n"/>
      <c r="N96" s="40" t="n"/>
    </row>
    <row r="97" ht="22" customHeight="1">
      <c r="A97" s="9" t="n"/>
      <c r="B97" s="9" t="n"/>
      <c r="C97" s="9" t="n"/>
      <c r="D97" s="9" t="n"/>
      <c r="E97" s="31" t="n"/>
      <c r="F97" s="31" t="n"/>
      <c r="G97" s="31" t="n"/>
      <c r="H97" s="31" t="n"/>
      <c r="I97" s="9" t="n"/>
      <c r="J97" s="47" t="n"/>
      <c r="K97" s="31" t="n"/>
      <c r="L97" s="9" t="n"/>
      <c r="M97" s="9" t="n"/>
      <c r="N97" s="41" t="n"/>
    </row>
    <row r="98" ht="22" customHeight="1">
      <c r="A98" s="5" t="n"/>
      <c r="B98" s="5" t="n"/>
      <c r="C98" s="5" t="n"/>
      <c r="D98" s="5" t="n"/>
      <c r="E98" s="30" t="n"/>
      <c r="F98" s="30" t="n"/>
      <c r="G98" s="30" t="n"/>
      <c r="H98" s="30" t="n"/>
      <c r="I98" s="5" t="n"/>
      <c r="J98" s="46" t="n"/>
      <c r="K98" s="30" t="n"/>
      <c r="L98" s="5" t="n"/>
      <c r="M98" s="5" t="n"/>
      <c r="N98" s="40" t="n"/>
    </row>
    <row r="99" ht="22" customHeight="1">
      <c r="A99" s="9" t="n"/>
      <c r="B99" s="9" t="n"/>
      <c r="C99" s="9" t="n"/>
      <c r="D99" s="9" t="n"/>
      <c r="E99" s="31" t="n"/>
      <c r="F99" s="31" t="n"/>
      <c r="G99" s="31" t="n"/>
      <c r="H99" s="31" t="n"/>
      <c r="I99" s="9" t="n"/>
      <c r="J99" s="47" t="n"/>
      <c r="K99" s="31" t="n"/>
      <c r="L99" s="9" t="n"/>
      <c r="M99" s="9" t="n"/>
      <c r="N99" s="41" t="n"/>
    </row>
    <row r="100" ht="22" customHeight="1">
      <c r="A100" s="5" t="n"/>
      <c r="B100" s="5" t="n"/>
      <c r="C100" s="5" t="n"/>
      <c r="D100" s="5" t="n"/>
      <c r="E100" s="30" t="n"/>
      <c r="F100" s="30" t="n"/>
      <c r="G100" s="30" t="n"/>
      <c r="H100" s="30" t="n"/>
      <c r="I100" s="5" t="n"/>
      <c r="J100" s="46" t="n"/>
      <c r="K100" s="30" t="n"/>
      <c r="L100" s="5" t="n"/>
      <c r="M100" s="5" t="n"/>
      <c r="N100" s="40" t="n"/>
    </row>
    <row r="101" ht="22" customHeight="1">
      <c r="A101" s="9" t="n"/>
      <c r="B101" s="9" t="n"/>
      <c r="C101" s="9" t="n"/>
      <c r="D101" s="9" t="n"/>
      <c r="E101" s="31" t="n"/>
      <c r="F101" s="31" t="n"/>
      <c r="G101" s="31" t="n"/>
      <c r="H101" s="31" t="n"/>
      <c r="I101" s="9" t="n"/>
      <c r="J101" s="47" t="n"/>
      <c r="K101" s="31" t="n"/>
      <c r="L101" s="9" t="n"/>
      <c r="M101" s="9" t="n"/>
      <c r="N101" s="41" t="n"/>
    </row>
    <row r="102" ht="22" customHeight="1">
      <c r="A102" s="5" t="n"/>
      <c r="B102" s="5" t="n"/>
      <c r="C102" s="5" t="n"/>
      <c r="D102" s="5" t="n"/>
      <c r="E102" s="30" t="n"/>
      <c r="F102" s="30" t="n"/>
      <c r="G102" s="30" t="n"/>
      <c r="H102" s="30" t="n"/>
      <c r="I102" s="5" t="n"/>
      <c r="J102" s="46" t="n"/>
      <c r="K102" s="30" t="n"/>
      <c r="L102" s="5" t="n"/>
      <c r="M102" s="5" t="n"/>
      <c r="N102" s="40" t="n"/>
    </row>
    <row r="103" ht="22" customHeight="1">
      <c r="A103" s="9" t="n"/>
      <c r="B103" s="9" t="n"/>
      <c r="C103" s="9" t="n"/>
      <c r="D103" s="9" t="n"/>
      <c r="E103" s="31" t="n"/>
      <c r="F103" s="31" t="n"/>
      <c r="G103" s="31" t="n"/>
      <c r="H103" s="31" t="n"/>
      <c r="I103" s="9" t="n"/>
      <c r="J103" s="47" t="n"/>
      <c r="K103" s="31" t="n"/>
      <c r="L103" s="9" t="n"/>
      <c r="M103" s="9" t="n"/>
      <c r="N103" s="41" t="n"/>
    </row>
    <row r="104" ht="22" customHeight="1">
      <c r="A104" s="5" t="n"/>
      <c r="B104" s="5" t="n"/>
      <c r="C104" s="5" t="n"/>
      <c r="D104" s="5" t="n"/>
      <c r="E104" s="30" t="n"/>
      <c r="F104" s="30" t="n"/>
      <c r="G104" s="30" t="n"/>
      <c r="H104" s="30" t="n"/>
      <c r="I104" s="5" t="n"/>
      <c r="J104" s="46" t="n"/>
      <c r="K104" s="30" t="n"/>
      <c r="L104" s="5" t="n"/>
      <c r="M104" s="5" t="n"/>
      <c r="N104" s="40" t="n"/>
    </row>
    <row r="105" ht="22" customHeight="1">
      <c r="A105" s="9" t="n"/>
      <c r="B105" s="9" t="n"/>
      <c r="C105" s="9" t="n"/>
      <c r="D105" s="9" t="n"/>
      <c r="E105" s="31" t="n"/>
      <c r="F105" s="31" t="n"/>
      <c r="G105" s="31" t="n"/>
      <c r="H105" s="31" t="n"/>
      <c r="I105" s="9" t="n"/>
      <c r="J105" s="47" t="n"/>
      <c r="K105" s="31" t="n"/>
      <c r="L105" s="9" t="n"/>
      <c r="M105" s="9" t="n"/>
      <c r="N105" s="41" t="n"/>
    </row>
    <row r="106" ht="22" customHeight="1">
      <c r="A106" s="5" t="n"/>
      <c r="B106" s="5" t="n"/>
      <c r="C106" s="5" t="n"/>
      <c r="D106" s="5" t="n"/>
      <c r="E106" s="30" t="n"/>
      <c r="F106" s="30" t="n"/>
      <c r="G106" s="30" t="n"/>
      <c r="H106" s="30" t="n"/>
      <c r="I106" s="5" t="n"/>
      <c r="J106" s="46" t="n"/>
      <c r="K106" s="30" t="n"/>
      <c r="L106" s="5" t="n"/>
      <c r="M106" s="5" t="n"/>
      <c r="N106" s="40" t="n"/>
    </row>
    <row r="107" ht="22" customHeight="1">
      <c r="A107" s="9" t="n"/>
      <c r="B107" s="9" t="n"/>
      <c r="C107" s="9" t="n"/>
      <c r="D107" s="9" t="n"/>
      <c r="E107" s="31" t="n"/>
      <c r="F107" s="31" t="n"/>
      <c r="G107" s="31" t="n"/>
      <c r="H107" s="31" t="n"/>
      <c r="I107" s="9" t="n"/>
      <c r="J107" s="47" t="n"/>
      <c r="K107" s="31" t="n"/>
      <c r="L107" s="9" t="n"/>
      <c r="M107" s="9" t="n"/>
      <c r="N107" s="41" t="n"/>
    </row>
    <row r="108" ht="22" customHeight="1">
      <c r="A108" s="5" t="n"/>
      <c r="B108" s="5" t="n"/>
      <c r="C108" s="5" t="n"/>
      <c r="D108" s="5" t="n"/>
      <c r="E108" s="30" t="n"/>
      <c r="F108" s="30" t="n"/>
      <c r="G108" s="30" t="n"/>
      <c r="H108" s="30" t="n"/>
      <c r="I108" s="5" t="n"/>
      <c r="J108" s="46" t="n"/>
      <c r="K108" s="30" t="n"/>
      <c r="L108" s="5" t="n"/>
      <c r="M108" s="5" t="n"/>
      <c r="N108" s="40" t="n"/>
    </row>
    <row r="109" ht="22" customHeight="1">
      <c r="A109" s="9" t="n"/>
      <c r="B109" s="9" t="n"/>
      <c r="C109" s="9" t="n"/>
      <c r="D109" s="9" t="n"/>
      <c r="E109" s="31" t="n"/>
      <c r="F109" s="31" t="n"/>
      <c r="G109" s="31" t="n"/>
      <c r="H109" s="31" t="n"/>
      <c r="I109" s="9" t="n"/>
      <c r="J109" s="47" t="n"/>
      <c r="K109" s="31" t="n"/>
      <c r="L109" s="9" t="n"/>
      <c r="M109" s="9" t="n"/>
      <c r="N109" s="41" t="n"/>
    </row>
    <row r="110" ht="22" customHeight="1">
      <c r="A110" s="5" t="n"/>
      <c r="B110" s="5" t="n"/>
      <c r="C110" s="5" t="n"/>
      <c r="D110" s="5" t="n"/>
      <c r="E110" s="30" t="n"/>
      <c r="F110" s="30" t="n"/>
      <c r="G110" s="30" t="n"/>
      <c r="H110" s="30" t="n"/>
      <c r="I110" s="5" t="n"/>
      <c r="J110" s="46" t="n"/>
      <c r="K110" s="30" t="n"/>
      <c r="L110" s="5" t="n"/>
      <c r="M110" s="5" t="n"/>
      <c r="N110" s="40" t="n"/>
    </row>
    <row r="111" ht="22" customHeight="1">
      <c r="A111" s="9" t="n"/>
      <c r="B111" s="9" t="n"/>
      <c r="C111" s="9" t="n"/>
      <c r="D111" s="9" t="n"/>
      <c r="E111" s="31" t="n"/>
      <c r="F111" s="31" t="n"/>
      <c r="G111" s="31" t="n"/>
      <c r="H111" s="31" t="n"/>
      <c r="I111" s="9" t="n"/>
      <c r="J111" s="47" t="n"/>
      <c r="K111" s="31" t="n"/>
      <c r="L111" s="9" t="n"/>
      <c r="M111" s="9" t="n"/>
      <c r="N111" s="41" t="n"/>
    </row>
    <row r="112" ht="22" customHeight="1">
      <c r="A112" s="5" t="n"/>
      <c r="B112" s="5" t="n"/>
      <c r="C112" s="5" t="n"/>
      <c r="D112" s="5" t="n"/>
      <c r="E112" s="30" t="n"/>
      <c r="F112" s="30" t="n"/>
      <c r="G112" s="30" t="n"/>
      <c r="H112" s="30" t="n"/>
      <c r="I112" s="5" t="n"/>
      <c r="J112" s="46" t="n"/>
      <c r="K112" s="30" t="n"/>
      <c r="L112" s="5" t="n"/>
      <c r="M112" s="5" t="n"/>
      <c r="N112" s="40" t="n"/>
    </row>
    <row r="113" ht="22" customHeight="1">
      <c r="A113" s="9" t="n"/>
      <c r="B113" s="9" t="n"/>
      <c r="C113" s="9" t="n"/>
      <c r="D113" s="9" t="n"/>
      <c r="E113" s="31" t="n"/>
      <c r="F113" s="31" t="n"/>
      <c r="G113" s="31" t="n"/>
      <c r="H113" s="31" t="n"/>
      <c r="I113" s="9" t="n"/>
      <c r="J113" s="47" t="n"/>
      <c r="K113" s="31" t="n"/>
      <c r="L113" s="9" t="n"/>
      <c r="M113" s="9" t="n"/>
      <c r="N113" s="41" t="n"/>
    </row>
    <row r="114" ht="22" customHeight="1">
      <c r="A114" s="5" t="n"/>
      <c r="B114" s="5" t="n"/>
      <c r="C114" s="5" t="n"/>
      <c r="D114" s="5" t="n"/>
      <c r="E114" s="30" t="n"/>
      <c r="F114" s="30" t="n"/>
      <c r="G114" s="30" t="n"/>
      <c r="H114" s="30" t="n"/>
      <c r="I114" s="5" t="n"/>
      <c r="J114" s="46" t="n"/>
      <c r="K114" s="30" t="n"/>
      <c r="L114" s="5" t="n"/>
      <c r="M114" s="5" t="n"/>
      <c r="N114" s="40" t="n"/>
    </row>
    <row r="115" ht="22" customHeight="1">
      <c r="A115" s="9" t="n"/>
      <c r="B115" s="9" t="n"/>
      <c r="C115" s="9" t="n"/>
      <c r="D115" s="9" t="n"/>
      <c r="E115" s="31" t="n"/>
      <c r="F115" s="31" t="n"/>
      <c r="G115" s="31" t="n"/>
      <c r="H115" s="31" t="n"/>
      <c r="I115" s="9" t="n"/>
      <c r="J115" s="47" t="n"/>
      <c r="K115" s="31" t="n"/>
      <c r="L115" s="9" t="n"/>
      <c r="M115" s="9" t="n"/>
      <c r="N115" s="41" t="n"/>
    </row>
  </sheetData>
  <mergeCells count="2">
    <mergeCell ref="A3:N3"/>
    <mergeCell ref="A2:N2"/>
  </mergeCells>
  <conditionalFormatting sqref="H6:H115">
    <cfRule type="cellIs" priority="1" operator="equal" dxfId="1">
      <formula>"DÉPASSÉ"</formula>
    </cfRule>
  </conditionalFormatting>
  <dataValidations count="1">
    <dataValidation sqref="C6:C115" showDropDown="0" showInputMessage="0" showErrorMessage="0" allowBlank="1" errorTitle="Erreur" error="Valeur invalide" promptTitle="" prompt="Choisir: " type="list">
      <formula1>"Abonnement transport,Indemnité km,Véhicule fonction"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22" customWidth="1" min="5" max="5"/>
    <col width="16" customWidth="1" min="6" max="6"/>
    <col width="14" customWidth="1" min="7" max="7"/>
    <col width="20" customWidth="1" min="8" max="8"/>
    <col width="24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PRÊTS ET AVANCES SOCIALES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Type prêt</t>
        </is>
      </c>
      <c r="D5" s="4" t="inlineStr">
        <is>
          <t>Montant demandé (FCFA)</t>
        </is>
      </c>
      <c r="E5" s="4" t="inlineStr">
        <is>
          <t>Montant accordé (FCFA)</t>
        </is>
      </c>
      <c r="F5" s="4" t="inlineStr">
        <is>
          <t>Taux intérêt (%)</t>
        </is>
      </c>
      <c r="G5" s="4" t="inlineStr">
        <is>
          <t>Durée (mois)</t>
        </is>
      </c>
      <c r="H5" s="4" t="inlineStr">
        <is>
          <t>Mensualité (FCFA)</t>
        </is>
      </c>
      <c r="I5" s="4" t="inlineStr">
        <is>
          <t>Montant restant dû (FCFA)</t>
        </is>
      </c>
      <c r="J5" s="4" t="inlineStr">
        <is>
          <t>Prochaine échéance</t>
        </is>
      </c>
      <c r="K5" s="4" t="inlineStr">
        <is>
          <t>Statut</t>
        </is>
      </c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EMP-005</t>
        </is>
      </c>
      <c r="B6" s="5">
        <f>IFERROR(VLOOKUP(A6,'F01 - _Données Employés'!$A$6:$C$20,2,FALSE),"")</f>
        <v/>
      </c>
      <c r="C6" s="5" t="inlineStr">
        <is>
          <t>Prêt social</t>
        </is>
      </c>
      <c r="D6" s="30" t="n">
        <v>3000000</v>
      </c>
      <c r="E6" s="30" t="n">
        <v>2500000</v>
      </c>
      <c r="F6" s="46" t="n">
        <v>0.035</v>
      </c>
      <c r="G6" s="5" t="n">
        <v>48</v>
      </c>
      <c r="H6" s="30">
        <f>E6*(1+F6*G6/12)/G6</f>
        <v/>
      </c>
      <c r="I6" s="30">
        <f>E6*(1+F6*G6/12)-H6*G6</f>
        <v/>
      </c>
      <c r="J6" s="40" t="n">
        <v>45474</v>
      </c>
      <c r="K6" s="5" t="inlineStr">
        <is>
          <t>En cours</t>
        </is>
      </c>
      <c r="L6" s="5" t="n"/>
      <c r="M6" s="5" t="n"/>
      <c r="N6" s="40" t="n">
        <v>45444</v>
      </c>
    </row>
    <row r="7" ht="22" customHeight="1">
      <c r="A7" s="9" t="inlineStr">
        <is>
          <t>EMP-001</t>
        </is>
      </c>
      <c r="B7" s="9">
        <f>IFERROR(VLOOKUP(A7,'F01 - _Données Employés'!$A$6:$C$20,2,FALSE),"")</f>
        <v/>
      </c>
      <c r="C7" s="9" t="inlineStr">
        <is>
          <t>Prêt social</t>
        </is>
      </c>
      <c r="D7" s="31" t="n">
        <v>5000000</v>
      </c>
      <c r="E7" s="31" t="n">
        <v>4000000</v>
      </c>
      <c r="F7" s="47" t="n">
        <v>0.03</v>
      </c>
      <c r="G7" s="9" t="n">
        <v>60</v>
      </c>
      <c r="H7" s="31">
        <f>E7*(1+F7*G7/12)/G7</f>
        <v/>
      </c>
      <c r="I7" s="31">
        <f>E7*(1+F7*G7/12)-H7*G7</f>
        <v/>
      </c>
      <c r="J7" s="41" t="n">
        <v>45505</v>
      </c>
      <c r="K7" s="9" t="inlineStr">
        <is>
          <t>En cours</t>
        </is>
      </c>
      <c r="L7" s="9" t="n"/>
      <c r="M7" s="9" t="n"/>
      <c r="N7" s="41" t="n">
        <v>45444</v>
      </c>
    </row>
    <row r="8" ht="22" customHeight="1">
      <c r="A8" s="5" t="inlineStr">
        <is>
          <t>EMP-008</t>
        </is>
      </c>
      <c r="B8" s="5">
        <f>IFERROR(VLOOKUP(A8,'F01 - _Données Employés'!$A$6:$C$20,2,FALSE),"")</f>
        <v/>
      </c>
      <c r="C8" s="5" t="inlineStr">
        <is>
          <t>Avance sur salaire</t>
        </is>
      </c>
      <c r="D8" s="30" t="n">
        <v>200000</v>
      </c>
      <c r="E8" s="30" t="n">
        <v>200000</v>
      </c>
      <c r="F8" s="46" t="n">
        <v>0</v>
      </c>
      <c r="G8" s="5" t="n">
        <v>3</v>
      </c>
      <c r="H8" s="30">
        <f>E8*(1+F8*G8/12)/G8</f>
        <v/>
      </c>
      <c r="I8" s="30">
        <f>E8*(1+F8*G8/12)-H8*G8</f>
        <v/>
      </c>
      <c r="J8" s="40" t="n">
        <v>45536</v>
      </c>
      <c r="K8" s="5" t="inlineStr">
        <is>
          <t>En cours</t>
        </is>
      </c>
      <c r="L8" s="5" t="n"/>
      <c r="M8" s="5" t="n"/>
      <c r="N8" s="40" t="n">
        <v>45444</v>
      </c>
    </row>
    <row r="9" ht="22" customHeight="1">
      <c r="A9" s="9" t="inlineStr">
        <is>
          <t>EMP-003</t>
        </is>
      </c>
      <c r="B9" s="9">
        <f>IFERROR(VLOOKUP(A9,'F01 - _Données Employés'!$A$6:$C$20,2,FALSE),"")</f>
        <v/>
      </c>
      <c r="C9" s="9" t="inlineStr">
        <is>
          <t>Aide financière</t>
        </is>
      </c>
      <c r="D9" s="31" t="n">
        <v>150000</v>
      </c>
      <c r="E9" s="31" t="n">
        <v>150000</v>
      </c>
      <c r="F9" s="47" t="n">
        <v>0</v>
      </c>
      <c r="G9" s="9" t="n">
        <v>6</v>
      </c>
      <c r="H9" s="31">
        <f>E9*(1+F9*G9/12)/G9</f>
        <v/>
      </c>
      <c r="I9" s="31">
        <f>E9*(1+F9*G9/12)-H9*G9</f>
        <v/>
      </c>
      <c r="J9" s="41" t="n">
        <v>45566</v>
      </c>
      <c r="K9" s="9" t="inlineStr">
        <is>
          <t>En cours</t>
        </is>
      </c>
      <c r="L9" s="9" t="n"/>
      <c r="M9" s="9" t="n"/>
      <c r="N9" s="41" t="n">
        <v>45444</v>
      </c>
    </row>
    <row r="10" ht="22" customHeight="1">
      <c r="A10" s="5" t="inlineStr">
        <is>
          <t>EMP-012</t>
        </is>
      </c>
      <c r="B10" s="5">
        <f>IFERROR(VLOOKUP(A10,'F01 - _Données Employés'!$A$6:$C$20,2,FALSE),"")</f>
        <v/>
      </c>
      <c r="C10" s="5" t="inlineStr">
        <is>
          <t>Prêt social</t>
        </is>
      </c>
      <c r="D10" s="30" t="n">
        <v>4000000</v>
      </c>
      <c r="E10" s="30" t="n">
        <v>3500000</v>
      </c>
      <c r="F10" s="46" t="n">
        <v>0.035</v>
      </c>
      <c r="G10" s="5" t="n">
        <v>48</v>
      </c>
      <c r="H10" s="30">
        <f>E10*(1+F10*G10/12)/G10</f>
        <v/>
      </c>
      <c r="I10" s="30">
        <f>E10*(1+F10*G10/12)-H10*G10</f>
        <v/>
      </c>
      <c r="J10" s="40" t="n">
        <v>45597</v>
      </c>
      <c r="K10" s="5" t="inlineStr">
        <is>
          <t>En cours</t>
        </is>
      </c>
      <c r="L10" s="5" t="n"/>
      <c r="M10" s="5" t="n"/>
      <c r="N10" s="40" t="n">
        <v>45444</v>
      </c>
    </row>
    <row r="11" ht="22" customHeight="1">
      <c r="A11" s="9" t="n"/>
      <c r="B11" s="9" t="n"/>
      <c r="C11" s="9" t="n"/>
      <c r="D11" s="31" t="n"/>
      <c r="E11" s="31" t="n"/>
      <c r="F11" s="47" t="n"/>
      <c r="G11" s="9" t="n"/>
      <c r="H11" s="31" t="n"/>
      <c r="I11" s="31" t="n"/>
      <c r="J11" s="41" t="n"/>
      <c r="K11" s="9" t="n"/>
      <c r="L11" s="9" t="n"/>
      <c r="M11" s="9" t="n"/>
      <c r="N11" s="41" t="n"/>
    </row>
    <row r="12" ht="22" customHeight="1">
      <c r="A12" s="5" t="n"/>
      <c r="B12" s="5" t="n"/>
      <c r="C12" s="5" t="n"/>
      <c r="D12" s="30" t="n"/>
      <c r="E12" s="30" t="n"/>
      <c r="F12" s="46" t="n"/>
      <c r="G12" s="5" t="n"/>
      <c r="H12" s="30" t="n"/>
      <c r="I12" s="30" t="n"/>
      <c r="J12" s="40" t="n"/>
      <c r="K12" s="5" t="n"/>
      <c r="L12" s="5" t="n"/>
      <c r="M12" s="5" t="n"/>
      <c r="N12" s="40" t="n"/>
    </row>
    <row r="13" ht="22" customHeight="1">
      <c r="A13" s="9" t="n"/>
      <c r="B13" s="9" t="n"/>
      <c r="C13" s="9" t="n"/>
      <c r="D13" s="31" t="n"/>
      <c r="E13" s="31" t="n"/>
      <c r="F13" s="47" t="n"/>
      <c r="G13" s="9" t="n"/>
      <c r="H13" s="31" t="n"/>
      <c r="I13" s="31" t="n"/>
      <c r="J13" s="41" t="n"/>
      <c r="K13" s="9" t="n"/>
      <c r="L13" s="9" t="n"/>
      <c r="M13" s="9" t="n"/>
      <c r="N13" s="41" t="n"/>
    </row>
    <row r="14" ht="22" customHeight="1">
      <c r="A14" s="5" t="n"/>
      <c r="B14" s="5" t="n"/>
      <c r="C14" s="5" t="n"/>
      <c r="D14" s="30" t="n"/>
      <c r="E14" s="30" t="n"/>
      <c r="F14" s="46" t="n"/>
      <c r="G14" s="5" t="n"/>
      <c r="H14" s="30" t="n"/>
      <c r="I14" s="30" t="n"/>
      <c r="J14" s="40" t="n"/>
      <c r="K14" s="5" t="n"/>
      <c r="L14" s="5" t="n"/>
      <c r="M14" s="5" t="n"/>
      <c r="N14" s="40" t="n"/>
    </row>
    <row r="15" ht="22" customHeight="1">
      <c r="A15" s="9" t="n"/>
      <c r="B15" s="9" t="n"/>
      <c r="C15" s="9" t="n"/>
      <c r="D15" s="31" t="n"/>
      <c r="E15" s="31" t="n"/>
      <c r="F15" s="47" t="n"/>
      <c r="G15" s="9" t="n"/>
      <c r="H15" s="31" t="n"/>
      <c r="I15" s="31" t="n"/>
      <c r="J15" s="41" t="n"/>
      <c r="K15" s="9" t="n"/>
      <c r="L15" s="9" t="n"/>
      <c r="M15" s="9" t="n"/>
      <c r="N15" s="41" t="n"/>
    </row>
    <row r="16" ht="22" customHeight="1">
      <c r="A16" s="5" t="n"/>
      <c r="B16" s="5" t="n"/>
      <c r="C16" s="5" t="n"/>
      <c r="D16" s="30" t="n"/>
      <c r="E16" s="30" t="n"/>
      <c r="F16" s="46" t="n"/>
      <c r="G16" s="5" t="n"/>
      <c r="H16" s="30" t="n"/>
      <c r="I16" s="30" t="n"/>
      <c r="J16" s="40" t="n"/>
      <c r="K16" s="5" t="n"/>
      <c r="L16" s="5" t="n"/>
      <c r="M16" s="5" t="n"/>
      <c r="N16" s="40" t="n"/>
    </row>
    <row r="17" ht="22" customHeight="1">
      <c r="A17" s="9" t="n"/>
      <c r="B17" s="9" t="n"/>
      <c r="C17" s="9" t="n"/>
      <c r="D17" s="31" t="n"/>
      <c r="E17" s="31" t="n"/>
      <c r="F17" s="47" t="n"/>
      <c r="G17" s="9" t="n"/>
      <c r="H17" s="31" t="n"/>
      <c r="I17" s="31" t="n"/>
      <c r="J17" s="41" t="n"/>
      <c r="K17" s="9" t="n"/>
      <c r="L17" s="9" t="n"/>
      <c r="M17" s="9" t="n"/>
      <c r="N17" s="41" t="n"/>
    </row>
    <row r="18" ht="22" customHeight="1">
      <c r="A18" s="5" t="n"/>
      <c r="B18" s="5" t="n"/>
      <c r="C18" s="5" t="n"/>
      <c r="D18" s="30" t="n"/>
      <c r="E18" s="30" t="n"/>
      <c r="F18" s="46" t="n"/>
      <c r="G18" s="5" t="n"/>
      <c r="H18" s="30" t="n"/>
      <c r="I18" s="30" t="n"/>
      <c r="J18" s="40" t="n"/>
      <c r="K18" s="5" t="n"/>
      <c r="L18" s="5" t="n"/>
      <c r="M18" s="5" t="n"/>
      <c r="N18" s="40" t="n"/>
    </row>
    <row r="19" ht="22" customHeight="1">
      <c r="A19" s="9" t="n"/>
      <c r="B19" s="9" t="n"/>
      <c r="C19" s="9" t="n"/>
      <c r="D19" s="31" t="n"/>
      <c r="E19" s="31" t="n"/>
      <c r="F19" s="47" t="n"/>
      <c r="G19" s="9" t="n"/>
      <c r="H19" s="31" t="n"/>
      <c r="I19" s="31" t="n"/>
      <c r="J19" s="41" t="n"/>
      <c r="K19" s="9" t="n"/>
      <c r="L19" s="9" t="n"/>
      <c r="M19" s="9" t="n"/>
      <c r="N19" s="41" t="n"/>
    </row>
    <row r="20" ht="22" customHeight="1">
      <c r="A20" s="5" t="n"/>
      <c r="B20" s="5" t="n"/>
      <c r="C20" s="5" t="n"/>
      <c r="D20" s="30" t="n"/>
      <c r="E20" s="30" t="n"/>
      <c r="F20" s="46" t="n"/>
      <c r="G20" s="5" t="n"/>
      <c r="H20" s="30" t="n"/>
      <c r="I20" s="30" t="n"/>
      <c r="J20" s="40" t="n"/>
      <c r="K20" s="5" t="n"/>
      <c r="L20" s="5" t="n"/>
      <c r="M20" s="5" t="n"/>
      <c r="N20" s="40" t="n"/>
    </row>
    <row r="21" ht="22" customHeight="1">
      <c r="A21" s="9" t="n"/>
      <c r="B21" s="9" t="n"/>
      <c r="C21" s="9" t="n"/>
      <c r="D21" s="31" t="n"/>
      <c r="E21" s="31" t="n"/>
      <c r="F21" s="47" t="n"/>
      <c r="G21" s="9" t="n"/>
      <c r="H21" s="31" t="n"/>
      <c r="I21" s="31" t="n"/>
      <c r="J21" s="41" t="n"/>
      <c r="K21" s="9" t="n"/>
      <c r="L21" s="9" t="n"/>
      <c r="M21" s="9" t="n"/>
      <c r="N21" s="41" t="n"/>
    </row>
    <row r="22" ht="22" customHeight="1">
      <c r="A22" s="5" t="n"/>
      <c r="B22" s="5" t="n"/>
      <c r="C22" s="5" t="n"/>
      <c r="D22" s="30" t="n"/>
      <c r="E22" s="30" t="n"/>
      <c r="F22" s="46" t="n"/>
      <c r="G22" s="5" t="n"/>
      <c r="H22" s="30" t="n"/>
      <c r="I22" s="30" t="n"/>
      <c r="J22" s="40" t="n"/>
      <c r="K22" s="5" t="n"/>
      <c r="L22" s="5" t="n"/>
      <c r="M22" s="5" t="n"/>
      <c r="N22" s="40" t="n"/>
    </row>
    <row r="23" ht="22" customHeight="1">
      <c r="A23" s="9" t="n"/>
      <c r="B23" s="9" t="n"/>
      <c r="C23" s="9" t="n"/>
      <c r="D23" s="31" t="n"/>
      <c r="E23" s="31" t="n"/>
      <c r="F23" s="47" t="n"/>
      <c r="G23" s="9" t="n"/>
      <c r="H23" s="31" t="n"/>
      <c r="I23" s="31" t="n"/>
      <c r="J23" s="41" t="n"/>
      <c r="K23" s="9" t="n"/>
      <c r="L23" s="9" t="n"/>
      <c r="M23" s="9" t="n"/>
      <c r="N23" s="41" t="n"/>
    </row>
    <row r="24" ht="22" customHeight="1">
      <c r="A24" s="5" t="n"/>
      <c r="B24" s="5" t="n"/>
      <c r="C24" s="5" t="n"/>
      <c r="D24" s="30" t="n"/>
      <c r="E24" s="30" t="n"/>
      <c r="F24" s="46" t="n"/>
      <c r="G24" s="5" t="n"/>
      <c r="H24" s="30" t="n"/>
      <c r="I24" s="30" t="n"/>
      <c r="J24" s="40" t="n"/>
      <c r="K24" s="5" t="n"/>
      <c r="L24" s="5" t="n"/>
      <c r="M24" s="5" t="n"/>
      <c r="N24" s="40" t="n"/>
    </row>
    <row r="25" ht="22" customHeight="1">
      <c r="A25" s="9" t="n"/>
      <c r="B25" s="9" t="n"/>
      <c r="C25" s="9" t="n"/>
      <c r="D25" s="31" t="n"/>
      <c r="E25" s="31" t="n"/>
      <c r="F25" s="47" t="n"/>
      <c r="G25" s="9" t="n"/>
      <c r="H25" s="31" t="n"/>
      <c r="I25" s="31" t="n"/>
      <c r="J25" s="41" t="n"/>
      <c r="K25" s="9" t="n"/>
      <c r="L25" s="9" t="n"/>
      <c r="M25" s="9" t="n"/>
      <c r="N25" s="41" t="n"/>
    </row>
    <row r="26" ht="22" customHeight="1">
      <c r="A26" s="5" t="n"/>
      <c r="B26" s="5" t="n"/>
      <c r="C26" s="5" t="n"/>
      <c r="D26" s="30" t="n"/>
      <c r="E26" s="30" t="n"/>
      <c r="F26" s="46" t="n"/>
      <c r="G26" s="5" t="n"/>
      <c r="H26" s="30" t="n"/>
      <c r="I26" s="30" t="n"/>
      <c r="J26" s="40" t="n"/>
      <c r="K26" s="5" t="n"/>
      <c r="L26" s="5" t="n"/>
      <c r="M26" s="5" t="n"/>
      <c r="N26" s="40" t="n"/>
    </row>
    <row r="27" ht="22" customHeight="1">
      <c r="A27" s="9" t="n"/>
      <c r="B27" s="9" t="n"/>
      <c r="C27" s="9" t="n"/>
      <c r="D27" s="31" t="n"/>
      <c r="E27" s="31" t="n"/>
      <c r="F27" s="47" t="n"/>
      <c r="G27" s="9" t="n"/>
      <c r="H27" s="31" t="n"/>
      <c r="I27" s="31" t="n"/>
      <c r="J27" s="41" t="n"/>
      <c r="K27" s="9" t="n"/>
      <c r="L27" s="9" t="n"/>
      <c r="M27" s="9" t="n"/>
      <c r="N27" s="41" t="n"/>
    </row>
    <row r="28" ht="22" customHeight="1">
      <c r="A28" s="5" t="n"/>
      <c r="B28" s="5" t="n"/>
      <c r="C28" s="5" t="n"/>
      <c r="D28" s="30" t="n"/>
      <c r="E28" s="30" t="n"/>
      <c r="F28" s="46" t="n"/>
      <c r="G28" s="5" t="n"/>
      <c r="H28" s="30" t="n"/>
      <c r="I28" s="30" t="n"/>
      <c r="J28" s="40" t="n"/>
      <c r="K28" s="5" t="n"/>
      <c r="L28" s="5" t="n"/>
      <c r="M28" s="5" t="n"/>
      <c r="N28" s="40" t="n"/>
    </row>
    <row r="29" ht="22" customHeight="1">
      <c r="A29" s="9" t="n"/>
      <c r="B29" s="9" t="n"/>
      <c r="C29" s="9" t="n"/>
      <c r="D29" s="31" t="n"/>
      <c r="E29" s="31" t="n"/>
      <c r="F29" s="47" t="n"/>
      <c r="G29" s="9" t="n"/>
      <c r="H29" s="31" t="n"/>
      <c r="I29" s="31" t="n"/>
      <c r="J29" s="41" t="n"/>
      <c r="K29" s="9" t="n"/>
      <c r="L29" s="9" t="n"/>
      <c r="M29" s="9" t="n"/>
      <c r="N29" s="41" t="n"/>
    </row>
    <row r="30" ht="22" customHeight="1">
      <c r="A30" s="5" t="n"/>
      <c r="B30" s="5" t="n"/>
      <c r="C30" s="5" t="n"/>
      <c r="D30" s="30" t="n"/>
      <c r="E30" s="30" t="n"/>
      <c r="F30" s="46" t="n"/>
      <c r="G30" s="5" t="n"/>
      <c r="H30" s="30" t="n"/>
      <c r="I30" s="30" t="n"/>
      <c r="J30" s="40" t="n"/>
      <c r="K30" s="5" t="n"/>
      <c r="L30" s="5" t="n"/>
      <c r="M30" s="5" t="n"/>
      <c r="N30" s="40" t="n"/>
    </row>
    <row r="31" ht="22" customHeight="1">
      <c r="A31" s="9" t="n"/>
      <c r="B31" s="9" t="n"/>
      <c r="C31" s="9" t="n"/>
      <c r="D31" s="31" t="n"/>
      <c r="E31" s="31" t="n"/>
      <c r="F31" s="47" t="n"/>
      <c r="G31" s="9" t="n"/>
      <c r="H31" s="31" t="n"/>
      <c r="I31" s="31" t="n"/>
      <c r="J31" s="41" t="n"/>
      <c r="K31" s="9" t="n"/>
      <c r="L31" s="9" t="n"/>
      <c r="M31" s="9" t="n"/>
      <c r="N31" s="41" t="n"/>
    </row>
    <row r="32" ht="22" customHeight="1">
      <c r="A32" s="5" t="n"/>
      <c r="B32" s="5" t="n"/>
      <c r="C32" s="5" t="n"/>
      <c r="D32" s="30" t="n"/>
      <c r="E32" s="30" t="n"/>
      <c r="F32" s="46" t="n"/>
      <c r="G32" s="5" t="n"/>
      <c r="H32" s="30" t="n"/>
      <c r="I32" s="30" t="n"/>
      <c r="J32" s="40" t="n"/>
      <c r="K32" s="5" t="n"/>
      <c r="L32" s="5" t="n"/>
      <c r="M32" s="5" t="n"/>
      <c r="N32" s="40" t="n"/>
    </row>
    <row r="33" ht="22" customHeight="1">
      <c r="A33" s="9" t="n"/>
      <c r="B33" s="9" t="n"/>
      <c r="C33" s="9" t="n"/>
      <c r="D33" s="31" t="n"/>
      <c r="E33" s="31" t="n"/>
      <c r="F33" s="47" t="n"/>
      <c r="G33" s="9" t="n"/>
      <c r="H33" s="31" t="n"/>
      <c r="I33" s="31" t="n"/>
      <c r="J33" s="41" t="n"/>
      <c r="K33" s="9" t="n"/>
      <c r="L33" s="9" t="n"/>
      <c r="M33" s="9" t="n"/>
      <c r="N33" s="41" t="n"/>
    </row>
    <row r="34" ht="22" customHeight="1">
      <c r="A34" s="5" t="n"/>
      <c r="B34" s="5" t="n"/>
      <c r="C34" s="5" t="n"/>
      <c r="D34" s="30" t="n"/>
      <c r="E34" s="30" t="n"/>
      <c r="F34" s="46" t="n"/>
      <c r="G34" s="5" t="n"/>
      <c r="H34" s="30" t="n"/>
      <c r="I34" s="30" t="n"/>
      <c r="J34" s="40" t="n"/>
      <c r="K34" s="5" t="n"/>
      <c r="L34" s="5" t="n"/>
      <c r="M34" s="5" t="n"/>
      <c r="N34" s="40" t="n"/>
    </row>
    <row r="35" ht="22" customHeight="1">
      <c r="A35" s="9" t="n"/>
      <c r="B35" s="9" t="n"/>
      <c r="C35" s="9" t="n"/>
      <c r="D35" s="31" t="n"/>
      <c r="E35" s="31" t="n"/>
      <c r="F35" s="47" t="n"/>
      <c r="G35" s="9" t="n"/>
      <c r="H35" s="31" t="n"/>
      <c r="I35" s="31" t="n"/>
      <c r="J35" s="41" t="n"/>
      <c r="K35" s="9" t="n"/>
      <c r="L35" s="9" t="n"/>
      <c r="M35" s="9" t="n"/>
      <c r="N35" s="41" t="n"/>
    </row>
    <row r="36" ht="22" customHeight="1">
      <c r="A36" s="5" t="n"/>
      <c r="B36" s="5" t="n"/>
      <c r="C36" s="5" t="n"/>
      <c r="D36" s="30" t="n"/>
      <c r="E36" s="30" t="n"/>
      <c r="F36" s="46" t="n"/>
      <c r="G36" s="5" t="n"/>
      <c r="H36" s="30" t="n"/>
      <c r="I36" s="30" t="n"/>
      <c r="J36" s="40" t="n"/>
      <c r="K36" s="5" t="n"/>
      <c r="L36" s="5" t="n"/>
      <c r="M36" s="5" t="n"/>
      <c r="N36" s="40" t="n"/>
    </row>
    <row r="37" ht="22" customHeight="1">
      <c r="A37" s="9" t="n"/>
      <c r="B37" s="9" t="n"/>
      <c r="C37" s="9" t="n"/>
      <c r="D37" s="31" t="n"/>
      <c r="E37" s="31" t="n"/>
      <c r="F37" s="47" t="n"/>
      <c r="G37" s="9" t="n"/>
      <c r="H37" s="31" t="n"/>
      <c r="I37" s="31" t="n"/>
      <c r="J37" s="41" t="n"/>
      <c r="K37" s="9" t="n"/>
      <c r="L37" s="9" t="n"/>
      <c r="M37" s="9" t="n"/>
      <c r="N37" s="41" t="n"/>
    </row>
    <row r="38" ht="22" customHeight="1">
      <c r="A38" s="5" t="n"/>
      <c r="B38" s="5" t="n"/>
      <c r="C38" s="5" t="n"/>
      <c r="D38" s="30" t="n"/>
      <c r="E38" s="30" t="n"/>
      <c r="F38" s="46" t="n"/>
      <c r="G38" s="5" t="n"/>
      <c r="H38" s="30" t="n"/>
      <c r="I38" s="30" t="n"/>
      <c r="J38" s="40" t="n"/>
      <c r="K38" s="5" t="n"/>
      <c r="L38" s="5" t="n"/>
      <c r="M38" s="5" t="n"/>
      <c r="N38" s="40" t="n"/>
    </row>
    <row r="39" ht="22" customHeight="1">
      <c r="A39" s="9" t="n"/>
      <c r="B39" s="9" t="n"/>
      <c r="C39" s="9" t="n"/>
      <c r="D39" s="31" t="n"/>
      <c r="E39" s="31" t="n"/>
      <c r="F39" s="47" t="n"/>
      <c r="G39" s="9" t="n"/>
      <c r="H39" s="31" t="n"/>
      <c r="I39" s="31" t="n"/>
      <c r="J39" s="41" t="n"/>
      <c r="K39" s="9" t="n"/>
      <c r="L39" s="9" t="n"/>
      <c r="M39" s="9" t="n"/>
      <c r="N39" s="41" t="n"/>
    </row>
    <row r="40" ht="22" customHeight="1">
      <c r="A40" s="5" t="n"/>
      <c r="B40" s="5" t="n"/>
      <c r="C40" s="5" t="n"/>
      <c r="D40" s="30" t="n"/>
      <c r="E40" s="30" t="n"/>
      <c r="F40" s="46" t="n"/>
      <c r="G40" s="5" t="n"/>
      <c r="H40" s="30" t="n"/>
      <c r="I40" s="30" t="n"/>
      <c r="J40" s="40" t="n"/>
      <c r="K40" s="5" t="n"/>
      <c r="L40" s="5" t="n"/>
      <c r="M40" s="5" t="n"/>
      <c r="N40" s="40" t="n"/>
    </row>
    <row r="41" ht="22" customHeight="1">
      <c r="A41" s="9" t="n"/>
      <c r="B41" s="9" t="n"/>
      <c r="C41" s="9" t="n"/>
      <c r="D41" s="31" t="n"/>
      <c r="E41" s="31" t="n"/>
      <c r="F41" s="47" t="n"/>
      <c r="G41" s="9" t="n"/>
      <c r="H41" s="31" t="n"/>
      <c r="I41" s="31" t="n"/>
      <c r="J41" s="41" t="n"/>
      <c r="K41" s="9" t="n"/>
      <c r="L41" s="9" t="n"/>
      <c r="M41" s="9" t="n"/>
      <c r="N41" s="41" t="n"/>
    </row>
    <row r="42" ht="22" customHeight="1">
      <c r="A42" s="5" t="n"/>
      <c r="B42" s="5" t="n"/>
      <c r="C42" s="5" t="n"/>
      <c r="D42" s="30" t="n"/>
      <c r="E42" s="30" t="n"/>
      <c r="F42" s="46" t="n"/>
      <c r="G42" s="5" t="n"/>
      <c r="H42" s="30" t="n"/>
      <c r="I42" s="30" t="n"/>
      <c r="J42" s="40" t="n"/>
      <c r="K42" s="5" t="n"/>
      <c r="L42" s="5" t="n"/>
      <c r="M42" s="5" t="n"/>
      <c r="N42" s="40" t="n"/>
    </row>
    <row r="43" ht="22" customHeight="1">
      <c r="A43" s="9" t="n"/>
      <c r="B43" s="9" t="n"/>
      <c r="C43" s="9" t="n"/>
      <c r="D43" s="31" t="n"/>
      <c r="E43" s="31" t="n"/>
      <c r="F43" s="47" t="n"/>
      <c r="G43" s="9" t="n"/>
      <c r="H43" s="31" t="n"/>
      <c r="I43" s="31" t="n"/>
      <c r="J43" s="41" t="n"/>
      <c r="K43" s="9" t="n"/>
      <c r="L43" s="9" t="n"/>
      <c r="M43" s="9" t="n"/>
      <c r="N43" s="41" t="n"/>
    </row>
    <row r="44" ht="22" customHeight="1">
      <c r="A44" s="5" t="n"/>
      <c r="B44" s="5" t="n"/>
      <c r="C44" s="5" t="n"/>
      <c r="D44" s="30" t="n"/>
      <c r="E44" s="30" t="n"/>
      <c r="F44" s="46" t="n"/>
      <c r="G44" s="5" t="n"/>
      <c r="H44" s="30" t="n"/>
      <c r="I44" s="30" t="n"/>
      <c r="J44" s="40" t="n"/>
      <c r="K44" s="5" t="n"/>
      <c r="L44" s="5" t="n"/>
      <c r="M44" s="5" t="n"/>
      <c r="N44" s="40" t="n"/>
    </row>
    <row r="45" ht="22" customHeight="1">
      <c r="A45" s="9" t="n"/>
      <c r="B45" s="9" t="n"/>
      <c r="C45" s="9" t="n"/>
      <c r="D45" s="31" t="n"/>
      <c r="E45" s="31" t="n"/>
      <c r="F45" s="47" t="n"/>
      <c r="G45" s="9" t="n"/>
      <c r="H45" s="31" t="n"/>
      <c r="I45" s="31" t="n"/>
      <c r="J45" s="41" t="n"/>
      <c r="K45" s="9" t="n"/>
      <c r="L45" s="9" t="n"/>
      <c r="M45" s="9" t="n"/>
      <c r="N45" s="41" t="n"/>
    </row>
    <row r="46" ht="22" customHeight="1">
      <c r="A46" s="5" t="n"/>
      <c r="B46" s="5" t="n"/>
      <c r="C46" s="5" t="n"/>
      <c r="D46" s="30" t="n"/>
      <c r="E46" s="30" t="n"/>
      <c r="F46" s="46" t="n"/>
      <c r="G46" s="5" t="n"/>
      <c r="H46" s="30" t="n"/>
      <c r="I46" s="30" t="n"/>
      <c r="J46" s="40" t="n"/>
      <c r="K46" s="5" t="n"/>
      <c r="L46" s="5" t="n"/>
      <c r="M46" s="5" t="n"/>
      <c r="N46" s="40" t="n"/>
    </row>
    <row r="47" ht="22" customHeight="1">
      <c r="A47" s="9" t="n"/>
      <c r="B47" s="9" t="n"/>
      <c r="C47" s="9" t="n"/>
      <c r="D47" s="31" t="n"/>
      <c r="E47" s="31" t="n"/>
      <c r="F47" s="47" t="n"/>
      <c r="G47" s="9" t="n"/>
      <c r="H47" s="31" t="n"/>
      <c r="I47" s="31" t="n"/>
      <c r="J47" s="41" t="n"/>
      <c r="K47" s="9" t="n"/>
      <c r="L47" s="9" t="n"/>
      <c r="M47" s="9" t="n"/>
      <c r="N47" s="41" t="n"/>
    </row>
    <row r="48" ht="22" customHeight="1">
      <c r="A48" s="5" t="n"/>
      <c r="B48" s="5" t="n"/>
      <c r="C48" s="5" t="n"/>
      <c r="D48" s="30" t="n"/>
      <c r="E48" s="30" t="n"/>
      <c r="F48" s="46" t="n"/>
      <c r="G48" s="5" t="n"/>
      <c r="H48" s="30" t="n"/>
      <c r="I48" s="30" t="n"/>
      <c r="J48" s="40" t="n"/>
      <c r="K48" s="5" t="n"/>
      <c r="L48" s="5" t="n"/>
      <c r="M48" s="5" t="n"/>
      <c r="N48" s="40" t="n"/>
    </row>
    <row r="49" ht="22" customHeight="1">
      <c r="A49" s="9" t="n"/>
      <c r="B49" s="9" t="n"/>
      <c r="C49" s="9" t="n"/>
      <c r="D49" s="31" t="n"/>
      <c r="E49" s="31" t="n"/>
      <c r="F49" s="47" t="n"/>
      <c r="G49" s="9" t="n"/>
      <c r="H49" s="31" t="n"/>
      <c r="I49" s="31" t="n"/>
      <c r="J49" s="41" t="n"/>
      <c r="K49" s="9" t="n"/>
      <c r="L49" s="9" t="n"/>
      <c r="M49" s="9" t="n"/>
      <c r="N49" s="41" t="n"/>
    </row>
    <row r="50" ht="22" customHeight="1">
      <c r="A50" s="5" t="n"/>
      <c r="B50" s="5" t="n"/>
      <c r="C50" s="5" t="n"/>
      <c r="D50" s="30" t="n"/>
      <c r="E50" s="30" t="n"/>
      <c r="F50" s="46" t="n"/>
      <c r="G50" s="5" t="n"/>
      <c r="H50" s="30" t="n"/>
      <c r="I50" s="30" t="n"/>
      <c r="J50" s="40" t="n"/>
      <c r="K50" s="5" t="n"/>
      <c r="L50" s="5" t="n"/>
      <c r="M50" s="5" t="n"/>
      <c r="N50" s="40" t="n"/>
    </row>
    <row r="51" ht="22" customHeight="1">
      <c r="A51" s="9" t="n"/>
      <c r="B51" s="9" t="n"/>
      <c r="C51" s="9" t="n"/>
      <c r="D51" s="31" t="n"/>
      <c r="E51" s="31" t="n"/>
      <c r="F51" s="47" t="n"/>
      <c r="G51" s="9" t="n"/>
      <c r="H51" s="31" t="n"/>
      <c r="I51" s="31" t="n"/>
      <c r="J51" s="41" t="n"/>
      <c r="K51" s="9" t="n"/>
      <c r="L51" s="9" t="n"/>
      <c r="M51" s="9" t="n"/>
      <c r="N51" s="41" t="n"/>
    </row>
    <row r="52" ht="22" customHeight="1">
      <c r="A52" s="5" t="n"/>
      <c r="B52" s="5" t="n"/>
      <c r="C52" s="5" t="n"/>
      <c r="D52" s="30" t="n"/>
      <c r="E52" s="30" t="n"/>
      <c r="F52" s="46" t="n"/>
      <c r="G52" s="5" t="n"/>
      <c r="H52" s="30" t="n"/>
      <c r="I52" s="30" t="n"/>
      <c r="J52" s="40" t="n"/>
      <c r="K52" s="5" t="n"/>
      <c r="L52" s="5" t="n"/>
      <c r="M52" s="5" t="n"/>
      <c r="N52" s="40" t="n"/>
    </row>
    <row r="53" ht="22" customHeight="1">
      <c r="A53" s="9" t="n"/>
      <c r="B53" s="9" t="n"/>
      <c r="C53" s="9" t="n"/>
      <c r="D53" s="31" t="n"/>
      <c r="E53" s="31" t="n"/>
      <c r="F53" s="47" t="n"/>
      <c r="G53" s="9" t="n"/>
      <c r="H53" s="31" t="n"/>
      <c r="I53" s="31" t="n"/>
      <c r="J53" s="41" t="n"/>
      <c r="K53" s="9" t="n"/>
      <c r="L53" s="9" t="n"/>
      <c r="M53" s="9" t="n"/>
      <c r="N53" s="41" t="n"/>
    </row>
    <row r="54" ht="22" customHeight="1">
      <c r="A54" s="5" t="n"/>
      <c r="B54" s="5" t="n"/>
      <c r="C54" s="5" t="n"/>
      <c r="D54" s="30" t="n"/>
      <c r="E54" s="30" t="n"/>
      <c r="F54" s="46" t="n"/>
      <c r="G54" s="5" t="n"/>
      <c r="H54" s="30" t="n"/>
      <c r="I54" s="30" t="n"/>
      <c r="J54" s="40" t="n"/>
      <c r="K54" s="5" t="n"/>
      <c r="L54" s="5" t="n"/>
      <c r="M54" s="5" t="n"/>
      <c r="N54" s="40" t="n"/>
    </row>
    <row r="55" ht="22" customHeight="1">
      <c r="A55" s="9" t="n"/>
      <c r="B55" s="9" t="n"/>
      <c r="C55" s="9" t="n"/>
      <c r="D55" s="31" t="n"/>
      <c r="E55" s="31" t="n"/>
      <c r="F55" s="47" t="n"/>
      <c r="G55" s="9" t="n"/>
      <c r="H55" s="31" t="n"/>
      <c r="I55" s="31" t="n"/>
      <c r="J55" s="41" t="n"/>
      <c r="K55" s="9" t="n"/>
      <c r="L55" s="9" t="n"/>
      <c r="M55" s="9" t="n"/>
      <c r="N55" s="41" t="n"/>
    </row>
    <row r="56" ht="22" customHeight="1">
      <c r="A56" s="5" t="n"/>
      <c r="B56" s="5" t="n"/>
      <c r="C56" s="5" t="n"/>
      <c r="D56" s="30" t="n"/>
      <c r="E56" s="30" t="n"/>
      <c r="F56" s="46" t="n"/>
      <c r="G56" s="5" t="n"/>
      <c r="H56" s="30" t="n"/>
      <c r="I56" s="30" t="n"/>
      <c r="J56" s="40" t="n"/>
      <c r="K56" s="5" t="n"/>
      <c r="L56" s="5" t="n"/>
      <c r="M56" s="5" t="n"/>
      <c r="N56" s="40" t="n"/>
    </row>
    <row r="57" ht="22" customHeight="1">
      <c r="A57" s="9" t="n"/>
      <c r="B57" s="9" t="n"/>
      <c r="C57" s="9" t="n"/>
      <c r="D57" s="31" t="n"/>
      <c r="E57" s="31" t="n"/>
      <c r="F57" s="47" t="n"/>
      <c r="G57" s="9" t="n"/>
      <c r="H57" s="31" t="n"/>
      <c r="I57" s="31" t="n"/>
      <c r="J57" s="41" t="n"/>
      <c r="K57" s="9" t="n"/>
      <c r="L57" s="9" t="n"/>
      <c r="M57" s="9" t="n"/>
      <c r="N57" s="41" t="n"/>
    </row>
    <row r="58" ht="22" customHeight="1">
      <c r="A58" s="5" t="n"/>
      <c r="B58" s="5" t="n"/>
      <c r="C58" s="5" t="n"/>
      <c r="D58" s="30" t="n"/>
      <c r="E58" s="30" t="n"/>
      <c r="F58" s="46" t="n"/>
      <c r="G58" s="5" t="n"/>
      <c r="H58" s="30" t="n"/>
      <c r="I58" s="30" t="n"/>
      <c r="J58" s="40" t="n"/>
      <c r="K58" s="5" t="n"/>
      <c r="L58" s="5" t="n"/>
      <c r="M58" s="5" t="n"/>
      <c r="N58" s="40" t="n"/>
    </row>
    <row r="59" ht="22" customHeight="1">
      <c r="A59" s="9" t="n"/>
      <c r="B59" s="9" t="n"/>
      <c r="C59" s="9" t="n"/>
      <c r="D59" s="31" t="n"/>
      <c r="E59" s="31" t="n"/>
      <c r="F59" s="47" t="n"/>
      <c r="G59" s="9" t="n"/>
      <c r="H59" s="31" t="n"/>
      <c r="I59" s="31" t="n"/>
      <c r="J59" s="41" t="n"/>
      <c r="K59" s="9" t="n"/>
      <c r="L59" s="9" t="n"/>
      <c r="M59" s="9" t="n"/>
      <c r="N59" s="41" t="n"/>
    </row>
    <row r="60" ht="22" customHeight="1">
      <c r="A60" s="5" t="n"/>
      <c r="B60" s="5" t="n"/>
      <c r="C60" s="5" t="n"/>
      <c r="D60" s="30" t="n"/>
      <c r="E60" s="30" t="n"/>
      <c r="F60" s="46" t="n"/>
      <c r="G60" s="5" t="n"/>
      <c r="H60" s="30" t="n"/>
      <c r="I60" s="30" t="n"/>
      <c r="J60" s="40" t="n"/>
      <c r="K60" s="5" t="n"/>
      <c r="L60" s="5" t="n"/>
      <c r="M60" s="5" t="n"/>
      <c r="N60" s="40" t="n"/>
    </row>
    <row r="61" ht="22" customHeight="1">
      <c r="A61" s="9" t="n"/>
      <c r="B61" s="9" t="n"/>
      <c r="C61" s="9" t="n"/>
      <c r="D61" s="31" t="n"/>
      <c r="E61" s="31" t="n"/>
      <c r="F61" s="47" t="n"/>
      <c r="G61" s="9" t="n"/>
      <c r="H61" s="31" t="n"/>
      <c r="I61" s="31" t="n"/>
      <c r="J61" s="41" t="n"/>
      <c r="K61" s="9" t="n"/>
      <c r="L61" s="9" t="n"/>
      <c r="M61" s="9" t="n"/>
      <c r="N61" s="41" t="n"/>
    </row>
    <row r="62" ht="22" customHeight="1">
      <c r="A62" s="5" t="n"/>
      <c r="B62" s="5" t="n"/>
      <c r="C62" s="5" t="n"/>
      <c r="D62" s="30" t="n"/>
      <c r="E62" s="30" t="n"/>
      <c r="F62" s="46" t="n"/>
      <c r="G62" s="5" t="n"/>
      <c r="H62" s="30" t="n"/>
      <c r="I62" s="30" t="n"/>
      <c r="J62" s="40" t="n"/>
      <c r="K62" s="5" t="n"/>
      <c r="L62" s="5" t="n"/>
      <c r="M62" s="5" t="n"/>
      <c r="N62" s="40" t="n"/>
    </row>
    <row r="63" ht="22" customHeight="1">
      <c r="A63" s="9" t="n"/>
      <c r="B63" s="9" t="n"/>
      <c r="C63" s="9" t="n"/>
      <c r="D63" s="31" t="n"/>
      <c r="E63" s="31" t="n"/>
      <c r="F63" s="47" t="n"/>
      <c r="G63" s="9" t="n"/>
      <c r="H63" s="31" t="n"/>
      <c r="I63" s="31" t="n"/>
      <c r="J63" s="41" t="n"/>
      <c r="K63" s="9" t="n"/>
      <c r="L63" s="9" t="n"/>
      <c r="M63" s="9" t="n"/>
      <c r="N63" s="41" t="n"/>
    </row>
    <row r="64" ht="22" customHeight="1">
      <c r="A64" s="5" t="n"/>
      <c r="B64" s="5" t="n"/>
      <c r="C64" s="5" t="n"/>
      <c r="D64" s="30" t="n"/>
      <c r="E64" s="30" t="n"/>
      <c r="F64" s="46" t="n"/>
      <c r="G64" s="5" t="n"/>
      <c r="H64" s="30" t="n"/>
      <c r="I64" s="30" t="n"/>
      <c r="J64" s="40" t="n"/>
      <c r="K64" s="5" t="n"/>
      <c r="L64" s="5" t="n"/>
      <c r="M64" s="5" t="n"/>
      <c r="N64" s="40" t="n"/>
    </row>
    <row r="65" ht="22" customHeight="1">
      <c r="A65" s="9" t="n"/>
      <c r="B65" s="9" t="n"/>
      <c r="C65" s="9" t="n"/>
      <c r="D65" s="31" t="n"/>
      <c r="E65" s="31" t="n"/>
      <c r="F65" s="47" t="n"/>
      <c r="G65" s="9" t="n"/>
      <c r="H65" s="31" t="n"/>
      <c r="I65" s="31" t="n"/>
      <c r="J65" s="41" t="n"/>
      <c r="K65" s="9" t="n"/>
      <c r="L65" s="9" t="n"/>
      <c r="M65" s="9" t="n"/>
      <c r="N65" s="41" t="n"/>
    </row>
    <row r="66" ht="22" customHeight="1">
      <c r="A66" s="5" t="n"/>
      <c r="B66" s="5" t="n"/>
      <c r="C66" s="5" t="n"/>
      <c r="D66" s="30" t="n"/>
      <c r="E66" s="30" t="n"/>
      <c r="F66" s="46" t="n"/>
      <c r="G66" s="5" t="n"/>
      <c r="H66" s="30" t="n"/>
      <c r="I66" s="30" t="n"/>
      <c r="J66" s="40" t="n"/>
      <c r="K66" s="5" t="n"/>
      <c r="L66" s="5" t="n"/>
      <c r="M66" s="5" t="n"/>
      <c r="N66" s="40" t="n"/>
    </row>
    <row r="67" ht="22" customHeight="1">
      <c r="A67" s="9" t="n"/>
      <c r="B67" s="9" t="n"/>
      <c r="C67" s="9" t="n"/>
      <c r="D67" s="31" t="n"/>
      <c r="E67" s="31" t="n"/>
      <c r="F67" s="47" t="n"/>
      <c r="G67" s="9" t="n"/>
      <c r="H67" s="31" t="n"/>
      <c r="I67" s="31" t="n"/>
      <c r="J67" s="41" t="n"/>
      <c r="K67" s="9" t="n"/>
      <c r="L67" s="9" t="n"/>
      <c r="M67" s="9" t="n"/>
      <c r="N67" s="41" t="n"/>
    </row>
    <row r="68" ht="22" customHeight="1">
      <c r="A68" s="5" t="n"/>
      <c r="B68" s="5" t="n"/>
      <c r="C68" s="5" t="n"/>
      <c r="D68" s="30" t="n"/>
      <c r="E68" s="30" t="n"/>
      <c r="F68" s="46" t="n"/>
      <c r="G68" s="5" t="n"/>
      <c r="H68" s="30" t="n"/>
      <c r="I68" s="30" t="n"/>
      <c r="J68" s="40" t="n"/>
      <c r="K68" s="5" t="n"/>
      <c r="L68" s="5" t="n"/>
      <c r="M68" s="5" t="n"/>
      <c r="N68" s="40" t="n"/>
    </row>
    <row r="69" ht="22" customHeight="1">
      <c r="A69" s="9" t="n"/>
      <c r="B69" s="9" t="n"/>
      <c r="C69" s="9" t="n"/>
      <c r="D69" s="31" t="n"/>
      <c r="E69" s="31" t="n"/>
      <c r="F69" s="47" t="n"/>
      <c r="G69" s="9" t="n"/>
      <c r="H69" s="31" t="n"/>
      <c r="I69" s="31" t="n"/>
      <c r="J69" s="41" t="n"/>
      <c r="K69" s="9" t="n"/>
      <c r="L69" s="9" t="n"/>
      <c r="M69" s="9" t="n"/>
      <c r="N69" s="41" t="n"/>
    </row>
    <row r="70" ht="22" customHeight="1">
      <c r="A70" s="5" t="n"/>
      <c r="B70" s="5" t="n"/>
      <c r="C70" s="5" t="n"/>
      <c r="D70" s="30" t="n"/>
      <c r="E70" s="30" t="n"/>
      <c r="F70" s="46" t="n"/>
      <c r="G70" s="5" t="n"/>
      <c r="H70" s="30" t="n"/>
      <c r="I70" s="30" t="n"/>
      <c r="J70" s="40" t="n"/>
      <c r="K70" s="5" t="n"/>
      <c r="L70" s="5" t="n"/>
      <c r="M70" s="5" t="n"/>
      <c r="N70" s="40" t="n"/>
    </row>
    <row r="71" ht="22" customHeight="1">
      <c r="A71" s="9" t="n"/>
      <c r="B71" s="9" t="n"/>
      <c r="C71" s="9" t="n"/>
      <c r="D71" s="31" t="n"/>
      <c r="E71" s="31" t="n"/>
      <c r="F71" s="47" t="n"/>
      <c r="G71" s="9" t="n"/>
      <c r="H71" s="31" t="n"/>
      <c r="I71" s="31" t="n"/>
      <c r="J71" s="41" t="n"/>
      <c r="K71" s="9" t="n"/>
      <c r="L71" s="9" t="n"/>
      <c r="M71" s="9" t="n"/>
      <c r="N71" s="41" t="n"/>
    </row>
    <row r="72" ht="22" customHeight="1">
      <c r="A72" s="5" t="n"/>
      <c r="B72" s="5" t="n"/>
      <c r="C72" s="5" t="n"/>
      <c r="D72" s="30" t="n"/>
      <c r="E72" s="30" t="n"/>
      <c r="F72" s="46" t="n"/>
      <c r="G72" s="5" t="n"/>
      <c r="H72" s="30" t="n"/>
      <c r="I72" s="30" t="n"/>
      <c r="J72" s="40" t="n"/>
      <c r="K72" s="5" t="n"/>
      <c r="L72" s="5" t="n"/>
      <c r="M72" s="5" t="n"/>
      <c r="N72" s="40" t="n"/>
    </row>
    <row r="73" ht="22" customHeight="1">
      <c r="A73" s="9" t="n"/>
      <c r="B73" s="9" t="n"/>
      <c r="C73" s="9" t="n"/>
      <c r="D73" s="31" t="n"/>
      <c r="E73" s="31" t="n"/>
      <c r="F73" s="47" t="n"/>
      <c r="G73" s="9" t="n"/>
      <c r="H73" s="31" t="n"/>
      <c r="I73" s="31" t="n"/>
      <c r="J73" s="41" t="n"/>
      <c r="K73" s="9" t="n"/>
      <c r="L73" s="9" t="n"/>
      <c r="M73" s="9" t="n"/>
      <c r="N73" s="41" t="n"/>
    </row>
    <row r="74" ht="22" customHeight="1">
      <c r="A74" s="5" t="n"/>
      <c r="B74" s="5" t="n"/>
      <c r="C74" s="5" t="n"/>
      <c r="D74" s="30" t="n"/>
      <c r="E74" s="30" t="n"/>
      <c r="F74" s="46" t="n"/>
      <c r="G74" s="5" t="n"/>
      <c r="H74" s="30" t="n"/>
      <c r="I74" s="30" t="n"/>
      <c r="J74" s="40" t="n"/>
      <c r="K74" s="5" t="n"/>
      <c r="L74" s="5" t="n"/>
      <c r="M74" s="5" t="n"/>
      <c r="N74" s="40" t="n"/>
    </row>
    <row r="75" ht="22" customHeight="1">
      <c r="A75" s="9" t="n"/>
      <c r="B75" s="9" t="n"/>
      <c r="C75" s="9" t="n"/>
      <c r="D75" s="31" t="n"/>
      <c r="E75" s="31" t="n"/>
      <c r="F75" s="47" t="n"/>
      <c r="G75" s="9" t="n"/>
      <c r="H75" s="31" t="n"/>
      <c r="I75" s="31" t="n"/>
      <c r="J75" s="41" t="n"/>
      <c r="K75" s="9" t="n"/>
      <c r="L75" s="9" t="n"/>
      <c r="M75" s="9" t="n"/>
      <c r="N75" s="41" t="n"/>
    </row>
    <row r="76" ht="22" customHeight="1">
      <c r="A76" s="5" t="n"/>
      <c r="B76" s="5" t="n"/>
      <c r="C76" s="5" t="n"/>
      <c r="D76" s="30" t="n"/>
      <c r="E76" s="30" t="n"/>
      <c r="F76" s="46" t="n"/>
      <c r="G76" s="5" t="n"/>
      <c r="H76" s="30" t="n"/>
      <c r="I76" s="30" t="n"/>
      <c r="J76" s="40" t="n"/>
      <c r="K76" s="5" t="n"/>
      <c r="L76" s="5" t="n"/>
      <c r="M76" s="5" t="n"/>
      <c r="N76" s="40" t="n"/>
    </row>
    <row r="77" ht="22" customHeight="1">
      <c r="A77" s="9" t="n"/>
      <c r="B77" s="9" t="n"/>
      <c r="C77" s="9" t="n"/>
      <c r="D77" s="31" t="n"/>
      <c r="E77" s="31" t="n"/>
      <c r="F77" s="47" t="n"/>
      <c r="G77" s="9" t="n"/>
      <c r="H77" s="31" t="n"/>
      <c r="I77" s="31" t="n"/>
      <c r="J77" s="41" t="n"/>
      <c r="K77" s="9" t="n"/>
      <c r="L77" s="9" t="n"/>
      <c r="M77" s="9" t="n"/>
      <c r="N77" s="41" t="n"/>
    </row>
    <row r="78" ht="22" customHeight="1">
      <c r="A78" s="5" t="n"/>
      <c r="B78" s="5" t="n"/>
      <c r="C78" s="5" t="n"/>
      <c r="D78" s="30" t="n"/>
      <c r="E78" s="30" t="n"/>
      <c r="F78" s="46" t="n"/>
      <c r="G78" s="5" t="n"/>
      <c r="H78" s="30" t="n"/>
      <c r="I78" s="30" t="n"/>
      <c r="J78" s="40" t="n"/>
      <c r="K78" s="5" t="n"/>
      <c r="L78" s="5" t="n"/>
      <c r="M78" s="5" t="n"/>
      <c r="N78" s="40" t="n"/>
    </row>
    <row r="79" ht="22" customHeight="1">
      <c r="A79" s="9" t="n"/>
      <c r="B79" s="9" t="n"/>
      <c r="C79" s="9" t="n"/>
      <c r="D79" s="31" t="n"/>
      <c r="E79" s="31" t="n"/>
      <c r="F79" s="47" t="n"/>
      <c r="G79" s="9" t="n"/>
      <c r="H79" s="31" t="n"/>
      <c r="I79" s="31" t="n"/>
      <c r="J79" s="41" t="n"/>
      <c r="K79" s="9" t="n"/>
      <c r="L79" s="9" t="n"/>
      <c r="M79" s="9" t="n"/>
      <c r="N79" s="41" t="n"/>
    </row>
    <row r="80" ht="22" customHeight="1">
      <c r="A80" s="5" t="n"/>
      <c r="B80" s="5" t="n"/>
      <c r="C80" s="5" t="n"/>
      <c r="D80" s="30" t="n"/>
      <c r="E80" s="30" t="n"/>
      <c r="F80" s="46" t="n"/>
      <c r="G80" s="5" t="n"/>
      <c r="H80" s="30" t="n"/>
      <c r="I80" s="30" t="n"/>
      <c r="J80" s="40" t="n"/>
      <c r="K80" s="5" t="n"/>
      <c r="L80" s="5" t="n"/>
      <c r="M80" s="5" t="n"/>
      <c r="N80" s="40" t="n"/>
    </row>
    <row r="81" ht="22" customHeight="1">
      <c r="A81" s="9" t="n"/>
      <c r="B81" s="9" t="n"/>
      <c r="C81" s="9" t="n"/>
      <c r="D81" s="31" t="n"/>
      <c r="E81" s="31" t="n"/>
      <c r="F81" s="47" t="n"/>
      <c r="G81" s="9" t="n"/>
      <c r="H81" s="31" t="n"/>
      <c r="I81" s="31" t="n"/>
      <c r="J81" s="41" t="n"/>
      <c r="K81" s="9" t="n"/>
      <c r="L81" s="9" t="n"/>
      <c r="M81" s="9" t="n"/>
      <c r="N81" s="41" t="n"/>
    </row>
    <row r="82" ht="22" customHeight="1">
      <c r="A82" s="5" t="n"/>
      <c r="B82" s="5" t="n"/>
      <c r="C82" s="5" t="n"/>
      <c r="D82" s="30" t="n"/>
      <c r="E82" s="30" t="n"/>
      <c r="F82" s="46" t="n"/>
      <c r="G82" s="5" t="n"/>
      <c r="H82" s="30" t="n"/>
      <c r="I82" s="30" t="n"/>
      <c r="J82" s="40" t="n"/>
      <c r="K82" s="5" t="n"/>
      <c r="L82" s="5" t="n"/>
      <c r="M82" s="5" t="n"/>
      <c r="N82" s="40" t="n"/>
    </row>
    <row r="83" ht="22" customHeight="1">
      <c r="A83" s="9" t="n"/>
      <c r="B83" s="9" t="n"/>
      <c r="C83" s="9" t="n"/>
      <c r="D83" s="31" t="n"/>
      <c r="E83" s="31" t="n"/>
      <c r="F83" s="47" t="n"/>
      <c r="G83" s="9" t="n"/>
      <c r="H83" s="31" t="n"/>
      <c r="I83" s="31" t="n"/>
      <c r="J83" s="41" t="n"/>
      <c r="K83" s="9" t="n"/>
      <c r="L83" s="9" t="n"/>
      <c r="M83" s="9" t="n"/>
      <c r="N83" s="41" t="n"/>
    </row>
    <row r="84" ht="22" customHeight="1">
      <c r="A84" s="5" t="n"/>
      <c r="B84" s="5" t="n"/>
      <c r="C84" s="5" t="n"/>
      <c r="D84" s="30" t="n"/>
      <c r="E84" s="30" t="n"/>
      <c r="F84" s="46" t="n"/>
      <c r="G84" s="5" t="n"/>
      <c r="H84" s="30" t="n"/>
      <c r="I84" s="30" t="n"/>
      <c r="J84" s="40" t="n"/>
      <c r="K84" s="5" t="n"/>
      <c r="L84" s="5" t="n"/>
      <c r="M84" s="5" t="n"/>
      <c r="N84" s="40" t="n"/>
    </row>
    <row r="85" ht="22" customHeight="1">
      <c r="A85" s="9" t="n"/>
      <c r="B85" s="9" t="n"/>
      <c r="C85" s="9" t="n"/>
      <c r="D85" s="31" t="n"/>
      <c r="E85" s="31" t="n"/>
      <c r="F85" s="47" t="n"/>
      <c r="G85" s="9" t="n"/>
      <c r="H85" s="31" t="n"/>
      <c r="I85" s="31" t="n"/>
      <c r="J85" s="41" t="n"/>
      <c r="K85" s="9" t="n"/>
      <c r="L85" s="9" t="n"/>
      <c r="M85" s="9" t="n"/>
      <c r="N85" s="41" t="n"/>
    </row>
    <row r="86" ht="22" customHeight="1">
      <c r="A86" s="5" t="n"/>
      <c r="B86" s="5" t="n"/>
      <c r="C86" s="5" t="n"/>
      <c r="D86" s="30" t="n"/>
      <c r="E86" s="30" t="n"/>
      <c r="F86" s="46" t="n"/>
      <c r="G86" s="5" t="n"/>
      <c r="H86" s="30" t="n"/>
      <c r="I86" s="30" t="n"/>
      <c r="J86" s="40" t="n"/>
      <c r="K86" s="5" t="n"/>
      <c r="L86" s="5" t="n"/>
      <c r="M86" s="5" t="n"/>
      <c r="N86" s="40" t="n"/>
    </row>
    <row r="87" ht="22" customHeight="1">
      <c r="A87" s="9" t="n"/>
      <c r="B87" s="9" t="n"/>
      <c r="C87" s="9" t="n"/>
      <c r="D87" s="31" t="n"/>
      <c r="E87" s="31" t="n"/>
      <c r="F87" s="47" t="n"/>
      <c r="G87" s="9" t="n"/>
      <c r="H87" s="31" t="n"/>
      <c r="I87" s="31" t="n"/>
      <c r="J87" s="41" t="n"/>
      <c r="K87" s="9" t="n"/>
      <c r="L87" s="9" t="n"/>
      <c r="M87" s="9" t="n"/>
      <c r="N87" s="41" t="n"/>
    </row>
    <row r="88" ht="22" customHeight="1">
      <c r="A88" s="5" t="n"/>
      <c r="B88" s="5" t="n"/>
      <c r="C88" s="5" t="n"/>
      <c r="D88" s="30" t="n"/>
      <c r="E88" s="30" t="n"/>
      <c r="F88" s="46" t="n"/>
      <c r="G88" s="5" t="n"/>
      <c r="H88" s="30" t="n"/>
      <c r="I88" s="30" t="n"/>
      <c r="J88" s="40" t="n"/>
      <c r="K88" s="5" t="n"/>
      <c r="L88" s="5" t="n"/>
      <c r="M88" s="5" t="n"/>
      <c r="N88" s="40" t="n"/>
    </row>
    <row r="89" ht="22" customHeight="1">
      <c r="A89" s="9" t="n"/>
      <c r="B89" s="9" t="n"/>
      <c r="C89" s="9" t="n"/>
      <c r="D89" s="31" t="n"/>
      <c r="E89" s="31" t="n"/>
      <c r="F89" s="47" t="n"/>
      <c r="G89" s="9" t="n"/>
      <c r="H89" s="31" t="n"/>
      <c r="I89" s="31" t="n"/>
      <c r="J89" s="41" t="n"/>
      <c r="K89" s="9" t="n"/>
      <c r="L89" s="9" t="n"/>
      <c r="M89" s="9" t="n"/>
      <c r="N89" s="41" t="n"/>
    </row>
    <row r="90" ht="22" customHeight="1">
      <c r="A90" s="5" t="n"/>
      <c r="B90" s="5" t="n"/>
      <c r="C90" s="5" t="n"/>
      <c r="D90" s="30" t="n"/>
      <c r="E90" s="30" t="n"/>
      <c r="F90" s="46" t="n"/>
      <c r="G90" s="5" t="n"/>
      <c r="H90" s="30" t="n"/>
      <c r="I90" s="30" t="n"/>
      <c r="J90" s="40" t="n"/>
      <c r="K90" s="5" t="n"/>
      <c r="L90" s="5" t="n"/>
      <c r="M90" s="5" t="n"/>
      <c r="N90" s="40" t="n"/>
    </row>
    <row r="91" ht="22" customHeight="1">
      <c r="A91" s="9" t="n"/>
      <c r="B91" s="9" t="n"/>
      <c r="C91" s="9" t="n"/>
      <c r="D91" s="31" t="n"/>
      <c r="E91" s="31" t="n"/>
      <c r="F91" s="47" t="n"/>
      <c r="G91" s="9" t="n"/>
      <c r="H91" s="31" t="n"/>
      <c r="I91" s="31" t="n"/>
      <c r="J91" s="41" t="n"/>
      <c r="K91" s="9" t="n"/>
      <c r="L91" s="9" t="n"/>
      <c r="M91" s="9" t="n"/>
      <c r="N91" s="41" t="n"/>
    </row>
    <row r="92" ht="22" customHeight="1">
      <c r="A92" s="5" t="n"/>
      <c r="B92" s="5" t="n"/>
      <c r="C92" s="5" t="n"/>
      <c r="D92" s="30" t="n"/>
      <c r="E92" s="30" t="n"/>
      <c r="F92" s="46" t="n"/>
      <c r="G92" s="5" t="n"/>
      <c r="H92" s="30" t="n"/>
      <c r="I92" s="30" t="n"/>
      <c r="J92" s="40" t="n"/>
      <c r="K92" s="5" t="n"/>
      <c r="L92" s="5" t="n"/>
      <c r="M92" s="5" t="n"/>
      <c r="N92" s="40" t="n"/>
    </row>
    <row r="93" ht="22" customHeight="1">
      <c r="A93" s="9" t="n"/>
      <c r="B93" s="9" t="n"/>
      <c r="C93" s="9" t="n"/>
      <c r="D93" s="31" t="n"/>
      <c r="E93" s="31" t="n"/>
      <c r="F93" s="47" t="n"/>
      <c r="G93" s="9" t="n"/>
      <c r="H93" s="31" t="n"/>
      <c r="I93" s="31" t="n"/>
      <c r="J93" s="41" t="n"/>
      <c r="K93" s="9" t="n"/>
      <c r="L93" s="9" t="n"/>
      <c r="M93" s="9" t="n"/>
      <c r="N93" s="41" t="n"/>
    </row>
    <row r="94" ht="22" customHeight="1">
      <c r="A94" s="5" t="n"/>
      <c r="B94" s="5" t="n"/>
      <c r="C94" s="5" t="n"/>
      <c r="D94" s="30" t="n"/>
      <c r="E94" s="30" t="n"/>
      <c r="F94" s="46" t="n"/>
      <c r="G94" s="5" t="n"/>
      <c r="H94" s="30" t="n"/>
      <c r="I94" s="30" t="n"/>
      <c r="J94" s="40" t="n"/>
      <c r="K94" s="5" t="n"/>
      <c r="L94" s="5" t="n"/>
      <c r="M94" s="5" t="n"/>
      <c r="N94" s="40" t="n"/>
    </row>
    <row r="95" ht="22" customHeight="1">
      <c r="A95" s="9" t="n"/>
      <c r="B95" s="9" t="n"/>
      <c r="C95" s="9" t="n"/>
      <c r="D95" s="31" t="n"/>
      <c r="E95" s="31" t="n"/>
      <c r="F95" s="47" t="n"/>
      <c r="G95" s="9" t="n"/>
      <c r="H95" s="31" t="n"/>
      <c r="I95" s="31" t="n"/>
      <c r="J95" s="41" t="n"/>
      <c r="K95" s="9" t="n"/>
      <c r="L95" s="9" t="n"/>
      <c r="M95" s="9" t="n"/>
      <c r="N95" s="41" t="n"/>
    </row>
    <row r="96" ht="22" customHeight="1">
      <c r="A96" s="5" t="n"/>
      <c r="B96" s="5" t="n"/>
      <c r="C96" s="5" t="n"/>
      <c r="D96" s="30" t="n"/>
      <c r="E96" s="30" t="n"/>
      <c r="F96" s="46" t="n"/>
      <c r="G96" s="5" t="n"/>
      <c r="H96" s="30" t="n"/>
      <c r="I96" s="30" t="n"/>
      <c r="J96" s="40" t="n"/>
      <c r="K96" s="5" t="n"/>
      <c r="L96" s="5" t="n"/>
      <c r="M96" s="5" t="n"/>
      <c r="N96" s="40" t="n"/>
    </row>
    <row r="97" ht="22" customHeight="1">
      <c r="A97" s="9" t="n"/>
      <c r="B97" s="9" t="n"/>
      <c r="C97" s="9" t="n"/>
      <c r="D97" s="31" t="n"/>
      <c r="E97" s="31" t="n"/>
      <c r="F97" s="47" t="n"/>
      <c r="G97" s="9" t="n"/>
      <c r="H97" s="31" t="n"/>
      <c r="I97" s="31" t="n"/>
      <c r="J97" s="41" t="n"/>
      <c r="K97" s="9" t="n"/>
      <c r="L97" s="9" t="n"/>
      <c r="M97" s="9" t="n"/>
      <c r="N97" s="41" t="n"/>
    </row>
    <row r="98" ht="22" customHeight="1">
      <c r="A98" s="5" t="n"/>
      <c r="B98" s="5" t="n"/>
      <c r="C98" s="5" t="n"/>
      <c r="D98" s="30" t="n"/>
      <c r="E98" s="30" t="n"/>
      <c r="F98" s="46" t="n"/>
      <c r="G98" s="5" t="n"/>
      <c r="H98" s="30" t="n"/>
      <c r="I98" s="30" t="n"/>
      <c r="J98" s="40" t="n"/>
      <c r="K98" s="5" t="n"/>
      <c r="L98" s="5" t="n"/>
      <c r="M98" s="5" t="n"/>
      <c r="N98" s="40" t="n"/>
    </row>
    <row r="99" ht="22" customHeight="1">
      <c r="A99" s="9" t="n"/>
      <c r="B99" s="9" t="n"/>
      <c r="C99" s="9" t="n"/>
      <c r="D99" s="31" t="n"/>
      <c r="E99" s="31" t="n"/>
      <c r="F99" s="47" t="n"/>
      <c r="G99" s="9" t="n"/>
      <c r="H99" s="31" t="n"/>
      <c r="I99" s="31" t="n"/>
      <c r="J99" s="41" t="n"/>
      <c r="K99" s="9" t="n"/>
      <c r="L99" s="9" t="n"/>
      <c r="M99" s="9" t="n"/>
      <c r="N99" s="41" t="n"/>
    </row>
    <row r="100" ht="22" customHeight="1">
      <c r="A100" s="5" t="n"/>
      <c r="B100" s="5" t="n"/>
      <c r="C100" s="5" t="n"/>
      <c r="D100" s="30" t="n"/>
      <c r="E100" s="30" t="n"/>
      <c r="F100" s="46" t="n"/>
      <c r="G100" s="5" t="n"/>
      <c r="H100" s="30" t="n"/>
      <c r="I100" s="30" t="n"/>
      <c r="J100" s="40" t="n"/>
      <c r="K100" s="5" t="n"/>
      <c r="L100" s="5" t="n"/>
      <c r="M100" s="5" t="n"/>
      <c r="N100" s="40" t="n"/>
    </row>
    <row r="101" ht="22" customHeight="1">
      <c r="A101" s="9" t="n"/>
      <c r="B101" s="9" t="n"/>
      <c r="C101" s="9" t="n"/>
      <c r="D101" s="31" t="n"/>
      <c r="E101" s="31" t="n"/>
      <c r="F101" s="47" t="n"/>
      <c r="G101" s="9" t="n"/>
      <c r="H101" s="31" t="n"/>
      <c r="I101" s="31" t="n"/>
      <c r="J101" s="41" t="n"/>
      <c r="K101" s="9" t="n"/>
      <c r="L101" s="9" t="n"/>
      <c r="M101" s="9" t="n"/>
      <c r="N101" s="41" t="n"/>
    </row>
    <row r="102" ht="22" customHeight="1">
      <c r="A102" s="5" t="n"/>
      <c r="B102" s="5" t="n"/>
      <c r="C102" s="5" t="n"/>
      <c r="D102" s="30" t="n"/>
      <c r="E102" s="30" t="n"/>
      <c r="F102" s="46" t="n"/>
      <c r="G102" s="5" t="n"/>
      <c r="H102" s="30" t="n"/>
      <c r="I102" s="30" t="n"/>
      <c r="J102" s="40" t="n"/>
      <c r="K102" s="5" t="n"/>
      <c r="L102" s="5" t="n"/>
      <c r="M102" s="5" t="n"/>
      <c r="N102" s="40" t="n"/>
    </row>
    <row r="103" ht="22" customHeight="1">
      <c r="A103" s="9" t="n"/>
      <c r="B103" s="9" t="n"/>
      <c r="C103" s="9" t="n"/>
      <c r="D103" s="31" t="n"/>
      <c r="E103" s="31" t="n"/>
      <c r="F103" s="47" t="n"/>
      <c r="G103" s="9" t="n"/>
      <c r="H103" s="31" t="n"/>
      <c r="I103" s="31" t="n"/>
      <c r="J103" s="41" t="n"/>
      <c r="K103" s="9" t="n"/>
      <c r="L103" s="9" t="n"/>
      <c r="M103" s="9" t="n"/>
      <c r="N103" s="41" t="n"/>
    </row>
    <row r="104" ht="22" customHeight="1">
      <c r="A104" s="5" t="n"/>
      <c r="B104" s="5" t="n"/>
      <c r="C104" s="5" t="n"/>
      <c r="D104" s="30" t="n"/>
      <c r="E104" s="30" t="n"/>
      <c r="F104" s="46" t="n"/>
      <c r="G104" s="5" t="n"/>
      <c r="H104" s="30" t="n"/>
      <c r="I104" s="30" t="n"/>
      <c r="J104" s="40" t="n"/>
      <c r="K104" s="5" t="n"/>
      <c r="L104" s="5" t="n"/>
      <c r="M104" s="5" t="n"/>
      <c r="N104" s="40" t="n"/>
    </row>
    <row r="105" ht="22" customHeight="1">
      <c r="A105" s="9" t="n"/>
      <c r="B105" s="9" t="n"/>
      <c r="C105" s="9" t="n"/>
      <c r="D105" s="31" t="n"/>
      <c r="E105" s="31" t="n"/>
      <c r="F105" s="47" t="n"/>
      <c r="G105" s="9" t="n"/>
      <c r="H105" s="31" t="n"/>
      <c r="I105" s="31" t="n"/>
      <c r="J105" s="41" t="n"/>
      <c r="K105" s="9" t="n"/>
      <c r="L105" s="9" t="n"/>
      <c r="M105" s="9" t="n"/>
      <c r="N105" s="41" t="n"/>
    </row>
    <row r="106" ht="22" customHeight="1">
      <c r="A106" s="5" t="n"/>
      <c r="B106" s="5" t="n"/>
      <c r="C106" s="5" t="n"/>
      <c r="D106" s="30" t="n"/>
      <c r="E106" s="30" t="n"/>
      <c r="F106" s="46" t="n"/>
      <c r="G106" s="5" t="n"/>
      <c r="H106" s="30" t="n"/>
      <c r="I106" s="30" t="n"/>
      <c r="J106" s="40" t="n"/>
      <c r="K106" s="5" t="n"/>
      <c r="L106" s="5" t="n"/>
      <c r="M106" s="5" t="n"/>
      <c r="N106" s="40" t="n"/>
    </row>
    <row r="107" ht="22" customHeight="1">
      <c r="A107" s="9" t="n"/>
      <c r="B107" s="9" t="n"/>
      <c r="C107" s="9" t="n"/>
      <c r="D107" s="31" t="n"/>
      <c r="E107" s="31" t="n"/>
      <c r="F107" s="47" t="n"/>
      <c r="G107" s="9" t="n"/>
      <c r="H107" s="31" t="n"/>
      <c r="I107" s="31" t="n"/>
      <c r="J107" s="41" t="n"/>
      <c r="K107" s="9" t="n"/>
      <c r="L107" s="9" t="n"/>
      <c r="M107" s="9" t="n"/>
      <c r="N107" s="41" t="n"/>
    </row>
    <row r="108" ht="22" customHeight="1">
      <c r="A108" s="5" t="n"/>
      <c r="B108" s="5" t="n"/>
      <c r="C108" s="5" t="n"/>
      <c r="D108" s="30" t="n"/>
      <c r="E108" s="30" t="n"/>
      <c r="F108" s="46" t="n"/>
      <c r="G108" s="5" t="n"/>
      <c r="H108" s="30" t="n"/>
      <c r="I108" s="30" t="n"/>
      <c r="J108" s="40" t="n"/>
      <c r="K108" s="5" t="n"/>
      <c r="L108" s="5" t="n"/>
      <c r="M108" s="5" t="n"/>
      <c r="N108" s="40" t="n"/>
    </row>
    <row r="109" ht="22" customHeight="1">
      <c r="A109" s="9" t="n"/>
      <c r="B109" s="9" t="n"/>
      <c r="C109" s="9" t="n"/>
      <c r="D109" s="31" t="n"/>
      <c r="E109" s="31" t="n"/>
      <c r="F109" s="47" t="n"/>
      <c r="G109" s="9" t="n"/>
      <c r="H109" s="31" t="n"/>
      <c r="I109" s="31" t="n"/>
      <c r="J109" s="41" t="n"/>
      <c r="K109" s="9" t="n"/>
      <c r="L109" s="9" t="n"/>
      <c r="M109" s="9" t="n"/>
      <c r="N109" s="41" t="n"/>
    </row>
    <row r="110" ht="22" customHeight="1">
      <c r="A110" s="5" t="n"/>
      <c r="B110" s="5" t="n"/>
      <c r="C110" s="5" t="n"/>
      <c r="D110" s="30" t="n"/>
      <c r="E110" s="30" t="n"/>
      <c r="F110" s="46" t="n"/>
      <c r="G110" s="5" t="n"/>
      <c r="H110" s="30" t="n"/>
      <c r="I110" s="30" t="n"/>
      <c r="J110" s="40" t="n"/>
      <c r="K110" s="5" t="n"/>
      <c r="L110" s="5" t="n"/>
      <c r="M110" s="5" t="n"/>
      <c r="N110" s="40" t="n"/>
    </row>
    <row r="111" ht="22" customHeight="1">
      <c r="A111" s="9" t="n"/>
      <c r="B111" s="9" t="n"/>
      <c r="C111" s="9" t="n"/>
      <c r="D111" s="31" t="n"/>
      <c r="E111" s="31" t="n"/>
      <c r="F111" s="47" t="n"/>
      <c r="G111" s="9" t="n"/>
      <c r="H111" s="31" t="n"/>
      <c r="I111" s="31" t="n"/>
      <c r="J111" s="41" t="n"/>
      <c r="K111" s="9" t="n"/>
      <c r="L111" s="9" t="n"/>
      <c r="M111" s="9" t="n"/>
      <c r="N111" s="41" t="n"/>
    </row>
    <row r="112" ht="22" customHeight="1">
      <c r="A112" s="5" t="n"/>
      <c r="B112" s="5" t="n"/>
      <c r="C112" s="5" t="n"/>
      <c r="D112" s="30" t="n"/>
      <c r="E112" s="30" t="n"/>
      <c r="F112" s="46" t="n"/>
      <c r="G112" s="5" t="n"/>
      <c r="H112" s="30" t="n"/>
      <c r="I112" s="30" t="n"/>
      <c r="J112" s="40" t="n"/>
      <c r="K112" s="5" t="n"/>
      <c r="L112" s="5" t="n"/>
      <c r="M112" s="5" t="n"/>
      <c r="N112" s="40" t="n"/>
    </row>
    <row r="113" ht="22" customHeight="1">
      <c r="A113" s="9" t="n"/>
      <c r="B113" s="9" t="n"/>
      <c r="C113" s="9" t="n"/>
      <c r="D113" s="31" t="n"/>
      <c r="E113" s="31" t="n"/>
      <c r="F113" s="47" t="n"/>
      <c r="G113" s="9" t="n"/>
      <c r="H113" s="31" t="n"/>
      <c r="I113" s="31" t="n"/>
      <c r="J113" s="41" t="n"/>
      <c r="K113" s="9" t="n"/>
      <c r="L113" s="9" t="n"/>
      <c r="M113" s="9" t="n"/>
      <c r="N113" s="41" t="n"/>
    </row>
    <row r="114" ht="22" customHeight="1">
      <c r="A114" s="5" t="n"/>
      <c r="B114" s="5" t="n"/>
      <c r="C114" s="5" t="n"/>
      <c r="D114" s="30" t="n"/>
      <c r="E114" s="30" t="n"/>
      <c r="F114" s="46" t="n"/>
      <c r="G114" s="5" t="n"/>
      <c r="H114" s="30" t="n"/>
      <c r="I114" s="30" t="n"/>
      <c r="J114" s="40" t="n"/>
      <c r="K114" s="5" t="n"/>
      <c r="L114" s="5" t="n"/>
      <c r="M114" s="5" t="n"/>
      <c r="N114" s="40" t="n"/>
    </row>
    <row r="115" ht="22" customHeight="1">
      <c r="A115" s="9" t="n"/>
      <c r="B115" s="9" t="n"/>
      <c r="C115" s="9" t="n"/>
      <c r="D115" s="31" t="n"/>
      <c r="E115" s="31" t="n"/>
      <c r="F115" s="47" t="n"/>
      <c r="G115" s="9" t="n"/>
      <c r="H115" s="31" t="n"/>
      <c r="I115" s="31" t="n"/>
      <c r="J115" s="41" t="n"/>
      <c r="K115" s="9" t="n"/>
      <c r="L115" s="9" t="n"/>
      <c r="M115" s="9" t="n"/>
      <c r="N115" s="41" t="n"/>
    </row>
  </sheetData>
  <mergeCells count="2">
    <mergeCell ref="A3:N3"/>
    <mergeCell ref="A2:N2"/>
  </mergeCells>
  <conditionalFormatting sqref="K6:K115">
    <cfRule type="cellIs" priority="1" operator="equal" dxfId="2">
      <formula>"En cours"</formula>
    </cfRule>
    <cfRule type="cellIs" priority="2" operator="equal" dxfId="0">
      <formula>"Terminé"</formula>
    </cfRule>
    <cfRule type="cellIs" priority="3" operator="equal" dxfId="1">
      <formula>"En retard"</formula>
    </cfRule>
  </conditionalFormatting>
  <dataValidations count="2">
    <dataValidation sqref="C6:C115" showDropDown="0" showInputMessage="0" showErrorMessage="0" allowBlank="1" errorTitle="Erreur" error="Valeur invalide" promptTitle="" prompt="Choisir: " type="list">
      <formula1>"Prêt social,Avance sur salaire,Aide financière"</formula1>
    </dataValidation>
    <dataValidation sqref="K6:K115" showDropDown="0" showInputMessage="0" showErrorMessage="0" allowBlank="1" errorTitle="Erreur" error="Valeur invalide" promptTitle="" prompt="Choisir: " type="list">
      <formula1>"Actif,Suspendu,En attente,Résilié"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6" customWidth="1" min="4" max="4"/>
    <col width="22" customWidth="1" min="5" max="5"/>
    <col width="20" customWidth="1" min="6" max="6"/>
    <col width="20" customWidth="1" min="7" max="7"/>
    <col width="18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GESTION LOGEMENT — Fonctionnel, indemnités et aides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Type logement</t>
        </is>
      </c>
      <c r="D5" s="4" t="inlineStr">
        <is>
          <t>Nombre pièces</t>
        </is>
      </c>
      <c r="E5" s="4" t="inlineStr">
        <is>
          <t>Loyer mensuel (FCFA)</t>
        </is>
      </c>
      <c r="F5" s="4" t="inlineStr">
        <is>
          <t>Prise en charge (%)</t>
        </is>
      </c>
      <c r="G5" s="4" t="inlineStr">
        <is>
          <t>Part employé (FCFA)</t>
        </is>
      </c>
      <c r="H5" s="4" t="inlineStr">
        <is>
          <t>État logement</t>
        </is>
      </c>
      <c r="I5" s="4" t="inlineStr">
        <is>
          <t>Date état des lieux</t>
        </is>
      </c>
      <c r="J5" s="4" t="inlineStr">
        <is>
          <t>Statut</t>
        </is>
      </c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EMP-005</t>
        </is>
      </c>
      <c r="B6" s="5">
        <f>IFERROR(VLOOKUP(A6,'F01 - _Données Employés'!$A$6:$C$20,2,FALSE),"")</f>
        <v/>
      </c>
      <c r="C6" s="5" t="inlineStr">
        <is>
          <t>Logement fonctionnel</t>
        </is>
      </c>
      <c r="D6" s="5" t="n">
        <v>3</v>
      </c>
      <c r="E6" s="30" t="n">
        <v>0</v>
      </c>
      <c r="F6" s="46" t="n">
        <v>1</v>
      </c>
      <c r="G6" s="30">
        <f>E6*(1-F6)</f>
        <v/>
      </c>
      <c r="H6" s="5" t="inlineStr">
        <is>
          <t>Bon</t>
        </is>
      </c>
      <c r="I6" s="40" t="n">
        <v>45306</v>
      </c>
      <c r="J6" s="5" t="inlineStr">
        <is>
          <t>Actif</t>
        </is>
      </c>
      <c r="K6" s="5" t="n"/>
      <c r="L6" s="5" t="n"/>
      <c r="M6" s="5" t="n"/>
      <c r="N6" s="40" t="n">
        <v>45444</v>
      </c>
    </row>
    <row r="7" ht="22" customHeight="1">
      <c r="A7" s="9" t="inlineStr">
        <is>
          <t>EMP-001</t>
        </is>
      </c>
      <c r="B7" s="9">
        <f>IFERROR(VLOOKUP(A7,'F01 - _Données Employés'!$A$6:$C$20,2,FALSE),"")</f>
        <v/>
      </c>
      <c r="C7" s="9" t="inlineStr">
        <is>
          <t>Indemnité logement</t>
        </is>
      </c>
      <c r="D7" s="9" t="n">
        <v>2</v>
      </c>
      <c r="E7" s="31" t="n">
        <v>80000</v>
      </c>
      <c r="F7" s="47" t="n">
        <v>0.5</v>
      </c>
      <c r="G7" s="31">
        <f>E7*(1-F7)</f>
        <v/>
      </c>
      <c r="H7" s="9" t="n"/>
      <c r="I7" s="41" t="n">
        <v>45306</v>
      </c>
      <c r="J7" s="9" t="inlineStr">
        <is>
          <t>Actif</t>
        </is>
      </c>
      <c r="K7" s="9" t="n"/>
      <c r="L7" s="9" t="n"/>
      <c r="M7" s="9" t="n"/>
      <c r="N7" s="41" t="n">
        <v>45444</v>
      </c>
    </row>
    <row r="8" ht="22" customHeight="1">
      <c r="A8" s="5" t="inlineStr">
        <is>
          <t>EMP-008</t>
        </is>
      </c>
      <c r="B8" s="5">
        <f>IFERROR(VLOOKUP(A8,'F01 - _Données Employés'!$A$6:$C$20,2,FALSE),"")</f>
        <v/>
      </c>
      <c r="C8" s="5" t="inlineStr">
        <is>
          <t>Indemnité logement</t>
        </is>
      </c>
      <c r="D8" s="5" t="n">
        <v>2</v>
      </c>
      <c r="E8" s="30" t="n">
        <v>75000</v>
      </c>
      <c r="F8" s="46" t="n">
        <v>0.4</v>
      </c>
      <c r="G8" s="30">
        <f>E8*(1-F8)</f>
        <v/>
      </c>
      <c r="H8" s="5" t="n"/>
      <c r="I8" s="40" t="n">
        <v>45306</v>
      </c>
      <c r="J8" s="5" t="inlineStr">
        <is>
          <t>Actif</t>
        </is>
      </c>
      <c r="K8" s="5" t="n"/>
      <c r="L8" s="5" t="n"/>
      <c r="M8" s="5" t="n"/>
      <c r="N8" s="40" t="n">
        <v>45444</v>
      </c>
    </row>
    <row r="9" ht="22" customHeight="1">
      <c r="A9" s="9" t="inlineStr">
        <is>
          <t>EMP-002</t>
        </is>
      </c>
      <c r="B9" s="9">
        <f>IFERROR(VLOOKUP(A9,'F01 - _Données Employés'!$A$6:$C$20,2,FALSE),"")</f>
        <v/>
      </c>
      <c r="C9" s="9" t="inlineStr">
        <is>
          <t>Aide au logement</t>
        </is>
      </c>
      <c r="D9" s="9" t="n">
        <v>3</v>
      </c>
      <c r="E9" s="31" t="n">
        <v>120000</v>
      </c>
      <c r="F9" s="47" t="n">
        <v>0.3</v>
      </c>
      <c r="G9" s="31">
        <f>E9*(1-F9)</f>
        <v/>
      </c>
      <c r="H9" s="9" t="n"/>
      <c r="I9" s="41" t="n">
        <v>45306</v>
      </c>
      <c r="J9" s="9" t="inlineStr">
        <is>
          <t>Actif</t>
        </is>
      </c>
      <c r="K9" s="9" t="n"/>
      <c r="L9" s="9" t="n"/>
      <c r="M9" s="9" t="n"/>
      <c r="N9" s="41" t="n">
        <v>45444</v>
      </c>
    </row>
    <row r="10" ht="22" customHeight="1">
      <c r="A10" s="5" t="n"/>
      <c r="B10" s="5" t="n"/>
      <c r="C10" s="5" t="n"/>
      <c r="D10" s="5" t="n"/>
      <c r="E10" s="30" t="n"/>
      <c r="F10" s="46" t="n"/>
      <c r="G10" s="30" t="n"/>
      <c r="H10" s="5" t="n"/>
      <c r="I10" s="40" t="n"/>
      <c r="J10" s="5" t="n"/>
      <c r="K10" s="5" t="n"/>
      <c r="L10" s="5" t="n"/>
      <c r="M10" s="5" t="n"/>
      <c r="N10" s="40" t="n"/>
    </row>
    <row r="11" ht="22" customHeight="1">
      <c r="A11" s="9" t="n"/>
      <c r="B11" s="9" t="n"/>
      <c r="C11" s="9" t="n"/>
      <c r="D11" s="9" t="n"/>
      <c r="E11" s="31" t="n"/>
      <c r="F11" s="47" t="n"/>
      <c r="G11" s="31" t="n"/>
      <c r="H11" s="9" t="n"/>
      <c r="I11" s="41" t="n"/>
      <c r="J11" s="9" t="n"/>
      <c r="K11" s="9" t="n"/>
      <c r="L11" s="9" t="n"/>
      <c r="M11" s="9" t="n"/>
      <c r="N11" s="41" t="n"/>
    </row>
    <row r="12" ht="22" customHeight="1">
      <c r="A12" s="5" t="n"/>
      <c r="B12" s="5" t="n"/>
      <c r="C12" s="5" t="n"/>
      <c r="D12" s="5" t="n"/>
      <c r="E12" s="30" t="n"/>
      <c r="F12" s="46" t="n"/>
      <c r="G12" s="30" t="n"/>
      <c r="H12" s="5" t="n"/>
      <c r="I12" s="40" t="n"/>
      <c r="J12" s="5" t="n"/>
      <c r="K12" s="5" t="n"/>
      <c r="L12" s="5" t="n"/>
      <c r="M12" s="5" t="n"/>
      <c r="N12" s="40" t="n"/>
    </row>
    <row r="13" ht="22" customHeight="1">
      <c r="A13" s="9" t="n"/>
      <c r="B13" s="9" t="n"/>
      <c r="C13" s="9" t="n"/>
      <c r="D13" s="9" t="n"/>
      <c r="E13" s="31" t="n"/>
      <c r="F13" s="47" t="n"/>
      <c r="G13" s="31" t="n"/>
      <c r="H13" s="9" t="n"/>
      <c r="I13" s="41" t="n"/>
      <c r="J13" s="9" t="n"/>
      <c r="K13" s="9" t="n"/>
      <c r="L13" s="9" t="n"/>
      <c r="M13" s="9" t="n"/>
      <c r="N13" s="41" t="n"/>
    </row>
    <row r="14" ht="22" customHeight="1">
      <c r="A14" s="5" t="n"/>
      <c r="B14" s="5" t="n"/>
      <c r="C14" s="5" t="n"/>
      <c r="D14" s="5" t="n"/>
      <c r="E14" s="30" t="n"/>
      <c r="F14" s="46" t="n"/>
      <c r="G14" s="30" t="n"/>
      <c r="H14" s="5" t="n"/>
      <c r="I14" s="40" t="n"/>
      <c r="J14" s="5" t="n"/>
      <c r="K14" s="5" t="n"/>
      <c r="L14" s="5" t="n"/>
      <c r="M14" s="5" t="n"/>
      <c r="N14" s="40" t="n"/>
    </row>
    <row r="15" ht="22" customHeight="1">
      <c r="A15" s="9" t="n"/>
      <c r="B15" s="9" t="n"/>
      <c r="C15" s="9" t="n"/>
      <c r="D15" s="9" t="n"/>
      <c r="E15" s="31" t="n"/>
      <c r="F15" s="47" t="n"/>
      <c r="G15" s="31" t="n"/>
      <c r="H15" s="9" t="n"/>
      <c r="I15" s="41" t="n"/>
      <c r="J15" s="9" t="n"/>
      <c r="K15" s="9" t="n"/>
      <c r="L15" s="9" t="n"/>
      <c r="M15" s="9" t="n"/>
      <c r="N15" s="41" t="n"/>
    </row>
    <row r="16" ht="22" customHeight="1">
      <c r="A16" s="5" t="n"/>
      <c r="B16" s="5" t="n"/>
      <c r="C16" s="5" t="n"/>
      <c r="D16" s="5" t="n"/>
      <c r="E16" s="30" t="n"/>
      <c r="F16" s="46" t="n"/>
      <c r="G16" s="30" t="n"/>
      <c r="H16" s="5" t="n"/>
      <c r="I16" s="40" t="n"/>
      <c r="J16" s="5" t="n"/>
      <c r="K16" s="5" t="n"/>
      <c r="L16" s="5" t="n"/>
      <c r="M16" s="5" t="n"/>
      <c r="N16" s="40" t="n"/>
    </row>
    <row r="17" ht="22" customHeight="1">
      <c r="A17" s="9" t="n"/>
      <c r="B17" s="9" t="n"/>
      <c r="C17" s="9" t="n"/>
      <c r="D17" s="9" t="n"/>
      <c r="E17" s="31" t="n"/>
      <c r="F17" s="47" t="n"/>
      <c r="G17" s="31" t="n"/>
      <c r="H17" s="9" t="n"/>
      <c r="I17" s="41" t="n"/>
      <c r="J17" s="9" t="n"/>
      <c r="K17" s="9" t="n"/>
      <c r="L17" s="9" t="n"/>
      <c r="M17" s="9" t="n"/>
      <c r="N17" s="41" t="n"/>
    </row>
    <row r="18" ht="22" customHeight="1">
      <c r="A18" s="5" t="n"/>
      <c r="B18" s="5" t="n"/>
      <c r="C18" s="5" t="n"/>
      <c r="D18" s="5" t="n"/>
      <c r="E18" s="30" t="n"/>
      <c r="F18" s="46" t="n"/>
      <c r="G18" s="30" t="n"/>
      <c r="H18" s="5" t="n"/>
      <c r="I18" s="40" t="n"/>
      <c r="J18" s="5" t="n"/>
      <c r="K18" s="5" t="n"/>
      <c r="L18" s="5" t="n"/>
      <c r="M18" s="5" t="n"/>
      <c r="N18" s="40" t="n"/>
    </row>
    <row r="19" ht="22" customHeight="1">
      <c r="A19" s="9" t="n"/>
      <c r="B19" s="9" t="n"/>
      <c r="C19" s="9" t="n"/>
      <c r="D19" s="9" t="n"/>
      <c r="E19" s="31" t="n"/>
      <c r="F19" s="47" t="n"/>
      <c r="G19" s="31" t="n"/>
      <c r="H19" s="9" t="n"/>
      <c r="I19" s="41" t="n"/>
      <c r="J19" s="9" t="n"/>
      <c r="K19" s="9" t="n"/>
      <c r="L19" s="9" t="n"/>
      <c r="M19" s="9" t="n"/>
      <c r="N19" s="41" t="n"/>
    </row>
    <row r="20" ht="22" customHeight="1">
      <c r="A20" s="5" t="n"/>
      <c r="B20" s="5" t="n"/>
      <c r="C20" s="5" t="n"/>
      <c r="D20" s="5" t="n"/>
      <c r="E20" s="30" t="n"/>
      <c r="F20" s="46" t="n"/>
      <c r="G20" s="30" t="n"/>
      <c r="H20" s="5" t="n"/>
      <c r="I20" s="40" t="n"/>
      <c r="J20" s="5" t="n"/>
      <c r="K20" s="5" t="n"/>
      <c r="L20" s="5" t="n"/>
      <c r="M20" s="5" t="n"/>
      <c r="N20" s="40" t="n"/>
    </row>
    <row r="21" ht="22" customHeight="1">
      <c r="A21" s="9" t="n"/>
      <c r="B21" s="9" t="n"/>
      <c r="C21" s="9" t="n"/>
      <c r="D21" s="9" t="n"/>
      <c r="E21" s="31" t="n"/>
      <c r="F21" s="47" t="n"/>
      <c r="G21" s="31" t="n"/>
      <c r="H21" s="9" t="n"/>
      <c r="I21" s="41" t="n"/>
      <c r="J21" s="9" t="n"/>
      <c r="K21" s="9" t="n"/>
      <c r="L21" s="9" t="n"/>
      <c r="M21" s="9" t="n"/>
      <c r="N21" s="41" t="n"/>
    </row>
    <row r="22" ht="22" customHeight="1">
      <c r="A22" s="5" t="n"/>
      <c r="B22" s="5" t="n"/>
      <c r="C22" s="5" t="n"/>
      <c r="D22" s="5" t="n"/>
      <c r="E22" s="30" t="n"/>
      <c r="F22" s="46" t="n"/>
      <c r="G22" s="30" t="n"/>
      <c r="H22" s="5" t="n"/>
      <c r="I22" s="40" t="n"/>
      <c r="J22" s="5" t="n"/>
      <c r="K22" s="5" t="n"/>
      <c r="L22" s="5" t="n"/>
      <c r="M22" s="5" t="n"/>
      <c r="N22" s="40" t="n"/>
    </row>
    <row r="23" ht="22" customHeight="1">
      <c r="A23" s="9" t="n"/>
      <c r="B23" s="9" t="n"/>
      <c r="C23" s="9" t="n"/>
      <c r="D23" s="9" t="n"/>
      <c r="E23" s="31" t="n"/>
      <c r="F23" s="47" t="n"/>
      <c r="G23" s="31" t="n"/>
      <c r="H23" s="9" t="n"/>
      <c r="I23" s="41" t="n"/>
      <c r="J23" s="9" t="n"/>
      <c r="K23" s="9" t="n"/>
      <c r="L23" s="9" t="n"/>
      <c r="M23" s="9" t="n"/>
      <c r="N23" s="41" t="n"/>
    </row>
    <row r="24" ht="22" customHeight="1">
      <c r="A24" s="5" t="n"/>
      <c r="B24" s="5" t="n"/>
      <c r="C24" s="5" t="n"/>
      <c r="D24" s="5" t="n"/>
      <c r="E24" s="30" t="n"/>
      <c r="F24" s="46" t="n"/>
      <c r="G24" s="30" t="n"/>
      <c r="H24" s="5" t="n"/>
      <c r="I24" s="40" t="n"/>
      <c r="J24" s="5" t="n"/>
      <c r="K24" s="5" t="n"/>
      <c r="L24" s="5" t="n"/>
      <c r="M24" s="5" t="n"/>
      <c r="N24" s="40" t="n"/>
    </row>
    <row r="25" ht="22" customHeight="1">
      <c r="A25" s="9" t="n"/>
      <c r="B25" s="9" t="n"/>
      <c r="C25" s="9" t="n"/>
      <c r="D25" s="9" t="n"/>
      <c r="E25" s="31" t="n"/>
      <c r="F25" s="47" t="n"/>
      <c r="G25" s="31" t="n"/>
      <c r="H25" s="9" t="n"/>
      <c r="I25" s="41" t="n"/>
      <c r="J25" s="9" t="n"/>
      <c r="K25" s="9" t="n"/>
      <c r="L25" s="9" t="n"/>
      <c r="M25" s="9" t="n"/>
      <c r="N25" s="41" t="n"/>
    </row>
    <row r="26" ht="22" customHeight="1">
      <c r="A26" s="5" t="n"/>
      <c r="B26" s="5" t="n"/>
      <c r="C26" s="5" t="n"/>
      <c r="D26" s="5" t="n"/>
      <c r="E26" s="30" t="n"/>
      <c r="F26" s="46" t="n"/>
      <c r="G26" s="30" t="n"/>
      <c r="H26" s="5" t="n"/>
      <c r="I26" s="40" t="n"/>
      <c r="J26" s="5" t="n"/>
      <c r="K26" s="5" t="n"/>
      <c r="L26" s="5" t="n"/>
      <c r="M26" s="5" t="n"/>
      <c r="N26" s="40" t="n"/>
    </row>
    <row r="27" ht="22" customHeight="1">
      <c r="A27" s="9" t="n"/>
      <c r="B27" s="9" t="n"/>
      <c r="C27" s="9" t="n"/>
      <c r="D27" s="9" t="n"/>
      <c r="E27" s="31" t="n"/>
      <c r="F27" s="47" t="n"/>
      <c r="G27" s="31" t="n"/>
      <c r="H27" s="9" t="n"/>
      <c r="I27" s="41" t="n"/>
      <c r="J27" s="9" t="n"/>
      <c r="K27" s="9" t="n"/>
      <c r="L27" s="9" t="n"/>
      <c r="M27" s="9" t="n"/>
      <c r="N27" s="41" t="n"/>
    </row>
    <row r="28" ht="22" customHeight="1">
      <c r="A28" s="5" t="n"/>
      <c r="B28" s="5" t="n"/>
      <c r="C28" s="5" t="n"/>
      <c r="D28" s="5" t="n"/>
      <c r="E28" s="30" t="n"/>
      <c r="F28" s="46" t="n"/>
      <c r="G28" s="30" t="n"/>
      <c r="H28" s="5" t="n"/>
      <c r="I28" s="40" t="n"/>
      <c r="J28" s="5" t="n"/>
      <c r="K28" s="5" t="n"/>
      <c r="L28" s="5" t="n"/>
      <c r="M28" s="5" t="n"/>
      <c r="N28" s="40" t="n"/>
    </row>
    <row r="29" ht="22" customHeight="1">
      <c r="A29" s="9" t="n"/>
      <c r="B29" s="9" t="n"/>
      <c r="C29" s="9" t="n"/>
      <c r="D29" s="9" t="n"/>
      <c r="E29" s="31" t="n"/>
      <c r="F29" s="47" t="n"/>
      <c r="G29" s="31" t="n"/>
      <c r="H29" s="9" t="n"/>
      <c r="I29" s="41" t="n"/>
      <c r="J29" s="9" t="n"/>
      <c r="K29" s="9" t="n"/>
      <c r="L29" s="9" t="n"/>
      <c r="M29" s="9" t="n"/>
      <c r="N29" s="41" t="n"/>
    </row>
    <row r="30" ht="22" customHeight="1">
      <c r="A30" s="5" t="n"/>
      <c r="B30" s="5" t="n"/>
      <c r="C30" s="5" t="n"/>
      <c r="D30" s="5" t="n"/>
      <c r="E30" s="30" t="n"/>
      <c r="F30" s="46" t="n"/>
      <c r="G30" s="30" t="n"/>
      <c r="H30" s="5" t="n"/>
      <c r="I30" s="40" t="n"/>
      <c r="J30" s="5" t="n"/>
      <c r="K30" s="5" t="n"/>
      <c r="L30" s="5" t="n"/>
      <c r="M30" s="5" t="n"/>
      <c r="N30" s="40" t="n"/>
    </row>
    <row r="31" ht="22" customHeight="1">
      <c r="A31" s="9" t="n"/>
      <c r="B31" s="9" t="n"/>
      <c r="C31" s="9" t="n"/>
      <c r="D31" s="9" t="n"/>
      <c r="E31" s="31" t="n"/>
      <c r="F31" s="47" t="n"/>
      <c r="G31" s="31" t="n"/>
      <c r="H31" s="9" t="n"/>
      <c r="I31" s="41" t="n"/>
      <c r="J31" s="9" t="n"/>
      <c r="K31" s="9" t="n"/>
      <c r="L31" s="9" t="n"/>
      <c r="M31" s="9" t="n"/>
      <c r="N31" s="41" t="n"/>
    </row>
    <row r="32" ht="22" customHeight="1">
      <c r="A32" s="5" t="n"/>
      <c r="B32" s="5" t="n"/>
      <c r="C32" s="5" t="n"/>
      <c r="D32" s="5" t="n"/>
      <c r="E32" s="30" t="n"/>
      <c r="F32" s="46" t="n"/>
      <c r="G32" s="30" t="n"/>
      <c r="H32" s="5" t="n"/>
      <c r="I32" s="40" t="n"/>
      <c r="J32" s="5" t="n"/>
      <c r="K32" s="5" t="n"/>
      <c r="L32" s="5" t="n"/>
      <c r="M32" s="5" t="n"/>
      <c r="N32" s="40" t="n"/>
    </row>
    <row r="33" ht="22" customHeight="1">
      <c r="A33" s="9" t="n"/>
      <c r="B33" s="9" t="n"/>
      <c r="C33" s="9" t="n"/>
      <c r="D33" s="9" t="n"/>
      <c r="E33" s="31" t="n"/>
      <c r="F33" s="47" t="n"/>
      <c r="G33" s="31" t="n"/>
      <c r="H33" s="9" t="n"/>
      <c r="I33" s="41" t="n"/>
      <c r="J33" s="9" t="n"/>
      <c r="K33" s="9" t="n"/>
      <c r="L33" s="9" t="n"/>
      <c r="M33" s="9" t="n"/>
      <c r="N33" s="41" t="n"/>
    </row>
    <row r="34" ht="22" customHeight="1">
      <c r="A34" s="5" t="n"/>
      <c r="B34" s="5" t="n"/>
      <c r="C34" s="5" t="n"/>
      <c r="D34" s="5" t="n"/>
      <c r="E34" s="30" t="n"/>
      <c r="F34" s="46" t="n"/>
      <c r="G34" s="30" t="n"/>
      <c r="H34" s="5" t="n"/>
      <c r="I34" s="40" t="n"/>
      <c r="J34" s="5" t="n"/>
      <c r="K34" s="5" t="n"/>
      <c r="L34" s="5" t="n"/>
      <c r="M34" s="5" t="n"/>
      <c r="N34" s="40" t="n"/>
    </row>
    <row r="35" ht="22" customHeight="1">
      <c r="A35" s="9" t="n"/>
      <c r="B35" s="9" t="n"/>
      <c r="C35" s="9" t="n"/>
      <c r="D35" s="9" t="n"/>
      <c r="E35" s="31" t="n"/>
      <c r="F35" s="47" t="n"/>
      <c r="G35" s="31" t="n"/>
      <c r="H35" s="9" t="n"/>
      <c r="I35" s="41" t="n"/>
      <c r="J35" s="9" t="n"/>
      <c r="K35" s="9" t="n"/>
      <c r="L35" s="9" t="n"/>
      <c r="M35" s="9" t="n"/>
      <c r="N35" s="41" t="n"/>
    </row>
    <row r="36" ht="22" customHeight="1">
      <c r="A36" s="5" t="n"/>
      <c r="B36" s="5" t="n"/>
      <c r="C36" s="5" t="n"/>
      <c r="D36" s="5" t="n"/>
      <c r="E36" s="30" t="n"/>
      <c r="F36" s="46" t="n"/>
      <c r="G36" s="30" t="n"/>
      <c r="H36" s="5" t="n"/>
      <c r="I36" s="40" t="n"/>
      <c r="J36" s="5" t="n"/>
      <c r="K36" s="5" t="n"/>
      <c r="L36" s="5" t="n"/>
      <c r="M36" s="5" t="n"/>
      <c r="N36" s="40" t="n"/>
    </row>
    <row r="37" ht="22" customHeight="1">
      <c r="A37" s="9" t="n"/>
      <c r="B37" s="9" t="n"/>
      <c r="C37" s="9" t="n"/>
      <c r="D37" s="9" t="n"/>
      <c r="E37" s="31" t="n"/>
      <c r="F37" s="47" t="n"/>
      <c r="G37" s="31" t="n"/>
      <c r="H37" s="9" t="n"/>
      <c r="I37" s="41" t="n"/>
      <c r="J37" s="9" t="n"/>
      <c r="K37" s="9" t="n"/>
      <c r="L37" s="9" t="n"/>
      <c r="M37" s="9" t="n"/>
      <c r="N37" s="41" t="n"/>
    </row>
    <row r="38" ht="22" customHeight="1">
      <c r="A38" s="5" t="n"/>
      <c r="B38" s="5" t="n"/>
      <c r="C38" s="5" t="n"/>
      <c r="D38" s="5" t="n"/>
      <c r="E38" s="30" t="n"/>
      <c r="F38" s="46" t="n"/>
      <c r="G38" s="30" t="n"/>
      <c r="H38" s="5" t="n"/>
      <c r="I38" s="40" t="n"/>
      <c r="J38" s="5" t="n"/>
      <c r="K38" s="5" t="n"/>
      <c r="L38" s="5" t="n"/>
      <c r="M38" s="5" t="n"/>
      <c r="N38" s="40" t="n"/>
    </row>
    <row r="39" ht="22" customHeight="1">
      <c r="A39" s="9" t="n"/>
      <c r="B39" s="9" t="n"/>
      <c r="C39" s="9" t="n"/>
      <c r="D39" s="9" t="n"/>
      <c r="E39" s="31" t="n"/>
      <c r="F39" s="47" t="n"/>
      <c r="G39" s="31" t="n"/>
      <c r="H39" s="9" t="n"/>
      <c r="I39" s="41" t="n"/>
      <c r="J39" s="9" t="n"/>
      <c r="K39" s="9" t="n"/>
      <c r="L39" s="9" t="n"/>
      <c r="M39" s="9" t="n"/>
      <c r="N39" s="41" t="n"/>
    </row>
    <row r="40" ht="22" customHeight="1">
      <c r="A40" s="5" t="n"/>
      <c r="B40" s="5" t="n"/>
      <c r="C40" s="5" t="n"/>
      <c r="D40" s="5" t="n"/>
      <c r="E40" s="30" t="n"/>
      <c r="F40" s="46" t="n"/>
      <c r="G40" s="30" t="n"/>
      <c r="H40" s="5" t="n"/>
      <c r="I40" s="40" t="n"/>
      <c r="J40" s="5" t="n"/>
      <c r="K40" s="5" t="n"/>
      <c r="L40" s="5" t="n"/>
      <c r="M40" s="5" t="n"/>
      <c r="N40" s="40" t="n"/>
    </row>
    <row r="41" ht="22" customHeight="1">
      <c r="A41" s="9" t="n"/>
      <c r="B41" s="9" t="n"/>
      <c r="C41" s="9" t="n"/>
      <c r="D41" s="9" t="n"/>
      <c r="E41" s="31" t="n"/>
      <c r="F41" s="47" t="n"/>
      <c r="G41" s="31" t="n"/>
      <c r="H41" s="9" t="n"/>
      <c r="I41" s="41" t="n"/>
      <c r="J41" s="9" t="n"/>
      <c r="K41" s="9" t="n"/>
      <c r="L41" s="9" t="n"/>
      <c r="M41" s="9" t="n"/>
      <c r="N41" s="41" t="n"/>
    </row>
    <row r="42" ht="22" customHeight="1">
      <c r="A42" s="5" t="n"/>
      <c r="B42" s="5" t="n"/>
      <c r="C42" s="5" t="n"/>
      <c r="D42" s="5" t="n"/>
      <c r="E42" s="30" t="n"/>
      <c r="F42" s="46" t="n"/>
      <c r="G42" s="30" t="n"/>
      <c r="H42" s="5" t="n"/>
      <c r="I42" s="40" t="n"/>
      <c r="J42" s="5" t="n"/>
      <c r="K42" s="5" t="n"/>
      <c r="L42" s="5" t="n"/>
      <c r="M42" s="5" t="n"/>
      <c r="N42" s="40" t="n"/>
    </row>
    <row r="43" ht="22" customHeight="1">
      <c r="A43" s="9" t="n"/>
      <c r="B43" s="9" t="n"/>
      <c r="C43" s="9" t="n"/>
      <c r="D43" s="9" t="n"/>
      <c r="E43" s="31" t="n"/>
      <c r="F43" s="47" t="n"/>
      <c r="G43" s="31" t="n"/>
      <c r="H43" s="9" t="n"/>
      <c r="I43" s="41" t="n"/>
      <c r="J43" s="9" t="n"/>
      <c r="K43" s="9" t="n"/>
      <c r="L43" s="9" t="n"/>
      <c r="M43" s="9" t="n"/>
      <c r="N43" s="41" t="n"/>
    </row>
    <row r="44" ht="22" customHeight="1">
      <c r="A44" s="5" t="n"/>
      <c r="B44" s="5" t="n"/>
      <c r="C44" s="5" t="n"/>
      <c r="D44" s="5" t="n"/>
      <c r="E44" s="30" t="n"/>
      <c r="F44" s="46" t="n"/>
      <c r="G44" s="30" t="n"/>
      <c r="H44" s="5" t="n"/>
      <c r="I44" s="40" t="n"/>
      <c r="J44" s="5" t="n"/>
      <c r="K44" s="5" t="n"/>
      <c r="L44" s="5" t="n"/>
      <c r="M44" s="5" t="n"/>
      <c r="N44" s="40" t="n"/>
    </row>
    <row r="45" ht="22" customHeight="1">
      <c r="A45" s="9" t="n"/>
      <c r="B45" s="9" t="n"/>
      <c r="C45" s="9" t="n"/>
      <c r="D45" s="9" t="n"/>
      <c r="E45" s="31" t="n"/>
      <c r="F45" s="47" t="n"/>
      <c r="G45" s="31" t="n"/>
      <c r="H45" s="9" t="n"/>
      <c r="I45" s="41" t="n"/>
      <c r="J45" s="9" t="n"/>
      <c r="K45" s="9" t="n"/>
      <c r="L45" s="9" t="n"/>
      <c r="M45" s="9" t="n"/>
      <c r="N45" s="41" t="n"/>
    </row>
    <row r="46" ht="22" customHeight="1">
      <c r="A46" s="5" t="n"/>
      <c r="B46" s="5" t="n"/>
      <c r="C46" s="5" t="n"/>
      <c r="D46" s="5" t="n"/>
      <c r="E46" s="30" t="n"/>
      <c r="F46" s="46" t="n"/>
      <c r="G46" s="30" t="n"/>
      <c r="H46" s="5" t="n"/>
      <c r="I46" s="40" t="n"/>
      <c r="J46" s="5" t="n"/>
      <c r="K46" s="5" t="n"/>
      <c r="L46" s="5" t="n"/>
      <c r="M46" s="5" t="n"/>
      <c r="N46" s="40" t="n"/>
    </row>
    <row r="47" ht="22" customHeight="1">
      <c r="A47" s="9" t="n"/>
      <c r="B47" s="9" t="n"/>
      <c r="C47" s="9" t="n"/>
      <c r="D47" s="9" t="n"/>
      <c r="E47" s="31" t="n"/>
      <c r="F47" s="47" t="n"/>
      <c r="G47" s="31" t="n"/>
      <c r="H47" s="9" t="n"/>
      <c r="I47" s="41" t="n"/>
      <c r="J47" s="9" t="n"/>
      <c r="K47" s="9" t="n"/>
      <c r="L47" s="9" t="n"/>
      <c r="M47" s="9" t="n"/>
      <c r="N47" s="41" t="n"/>
    </row>
    <row r="48" ht="22" customHeight="1">
      <c r="A48" s="5" t="n"/>
      <c r="B48" s="5" t="n"/>
      <c r="C48" s="5" t="n"/>
      <c r="D48" s="5" t="n"/>
      <c r="E48" s="30" t="n"/>
      <c r="F48" s="46" t="n"/>
      <c r="G48" s="30" t="n"/>
      <c r="H48" s="5" t="n"/>
      <c r="I48" s="40" t="n"/>
      <c r="J48" s="5" t="n"/>
      <c r="K48" s="5" t="n"/>
      <c r="L48" s="5" t="n"/>
      <c r="M48" s="5" t="n"/>
      <c r="N48" s="40" t="n"/>
    </row>
    <row r="49" ht="22" customHeight="1">
      <c r="A49" s="9" t="n"/>
      <c r="B49" s="9" t="n"/>
      <c r="C49" s="9" t="n"/>
      <c r="D49" s="9" t="n"/>
      <c r="E49" s="31" t="n"/>
      <c r="F49" s="47" t="n"/>
      <c r="G49" s="31" t="n"/>
      <c r="H49" s="9" t="n"/>
      <c r="I49" s="41" t="n"/>
      <c r="J49" s="9" t="n"/>
      <c r="K49" s="9" t="n"/>
      <c r="L49" s="9" t="n"/>
      <c r="M49" s="9" t="n"/>
      <c r="N49" s="41" t="n"/>
    </row>
    <row r="50" ht="22" customHeight="1">
      <c r="A50" s="5" t="n"/>
      <c r="B50" s="5" t="n"/>
      <c r="C50" s="5" t="n"/>
      <c r="D50" s="5" t="n"/>
      <c r="E50" s="30" t="n"/>
      <c r="F50" s="46" t="n"/>
      <c r="G50" s="30" t="n"/>
      <c r="H50" s="5" t="n"/>
      <c r="I50" s="40" t="n"/>
      <c r="J50" s="5" t="n"/>
      <c r="K50" s="5" t="n"/>
      <c r="L50" s="5" t="n"/>
      <c r="M50" s="5" t="n"/>
      <c r="N50" s="40" t="n"/>
    </row>
    <row r="51" ht="22" customHeight="1">
      <c r="A51" s="9" t="n"/>
      <c r="B51" s="9" t="n"/>
      <c r="C51" s="9" t="n"/>
      <c r="D51" s="9" t="n"/>
      <c r="E51" s="31" t="n"/>
      <c r="F51" s="47" t="n"/>
      <c r="G51" s="31" t="n"/>
      <c r="H51" s="9" t="n"/>
      <c r="I51" s="41" t="n"/>
      <c r="J51" s="9" t="n"/>
      <c r="K51" s="9" t="n"/>
      <c r="L51" s="9" t="n"/>
      <c r="M51" s="9" t="n"/>
      <c r="N51" s="41" t="n"/>
    </row>
    <row r="52" ht="22" customHeight="1">
      <c r="A52" s="5" t="n"/>
      <c r="B52" s="5" t="n"/>
      <c r="C52" s="5" t="n"/>
      <c r="D52" s="5" t="n"/>
      <c r="E52" s="30" t="n"/>
      <c r="F52" s="46" t="n"/>
      <c r="G52" s="30" t="n"/>
      <c r="H52" s="5" t="n"/>
      <c r="I52" s="40" t="n"/>
      <c r="J52" s="5" t="n"/>
      <c r="K52" s="5" t="n"/>
      <c r="L52" s="5" t="n"/>
      <c r="M52" s="5" t="n"/>
      <c r="N52" s="40" t="n"/>
    </row>
    <row r="53" ht="22" customHeight="1">
      <c r="A53" s="9" t="n"/>
      <c r="B53" s="9" t="n"/>
      <c r="C53" s="9" t="n"/>
      <c r="D53" s="9" t="n"/>
      <c r="E53" s="31" t="n"/>
      <c r="F53" s="47" t="n"/>
      <c r="G53" s="31" t="n"/>
      <c r="H53" s="9" t="n"/>
      <c r="I53" s="41" t="n"/>
      <c r="J53" s="9" t="n"/>
      <c r="K53" s="9" t="n"/>
      <c r="L53" s="9" t="n"/>
      <c r="M53" s="9" t="n"/>
      <c r="N53" s="41" t="n"/>
    </row>
    <row r="54" ht="22" customHeight="1">
      <c r="A54" s="5" t="n"/>
      <c r="B54" s="5" t="n"/>
      <c r="C54" s="5" t="n"/>
      <c r="D54" s="5" t="n"/>
      <c r="E54" s="30" t="n"/>
      <c r="F54" s="46" t="n"/>
      <c r="G54" s="30" t="n"/>
      <c r="H54" s="5" t="n"/>
      <c r="I54" s="40" t="n"/>
      <c r="J54" s="5" t="n"/>
      <c r="K54" s="5" t="n"/>
      <c r="L54" s="5" t="n"/>
      <c r="M54" s="5" t="n"/>
      <c r="N54" s="40" t="n"/>
    </row>
    <row r="55" ht="22" customHeight="1">
      <c r="A55" s="9" t="n"/>
      <c r="B55" s="9" t="n"/>
      <c r="C55" s="9" t="n"/>
      <c r="D55" s="9" t="n"/>
      <c r="E55" s="31" t="n"/>
      <c r="F55" s="47" t="n"/>
      <c r="G55" s="31" t="n"/>
      <c r="H55" s="9" t="n"/>
      <c r="I55" s="41" t="n"/>
      <c r="J55" s="9" t="n"/>
      <c r="K55" s="9" t="n"/>
      <c r="L55" s="9" t="n"/>
      <c r="M55" s="9" t="n"/>
      <c r="N55" s="41" t="n"/>
    </row>
    <row r="56" ht="22" customHeight="1">
      <c r="A56" s="5" t="n"/>
      <c r="B56" s="5" t="n"/>
      <c r="C56" s="5" t="n"/>
      <c r="D56" s="5" t="n"/>
      <c r="E56" s="30" t="n"/>
      <c r="F56" s="46" t="n"/>
      <c r="G56" s="30" t="n"/>
      <c r="H56" s="5" t="n"/>
      <c r="I56" s="40" t="n"/>
      <c r="J56" s="5" t="n"/>
      <c r="K56" s="5" t="n"/>
      <c r="L56" s="5" t="n"/>
      <c r="M56" s="5" t="n"/>
      <c r="N56" s="40" t="n"/>
    </row>
    <row r="57" ht="22" customHeight="1">
      <c r="A57" s="9" t="n"/>
      <c r="B57" s="9" t="n"/>
      <c r="C57" s="9" t="n"/>
      <c r="D57" s="9" t="n"/>
      <c r="E57" s="31" t="n"/>
      <c r="F57" s="47" t="n"/>
      <c r="G57" s="31" t="n"/>
      <c r="H57" s="9" t="n"/>
      <c r="I57" s="41" t="n"/>
      <c r="J57" s="9" t="n"/>
      <c r="K57" s="9" t="n"/>
      <c r="L57" s="9" t="n"/>
      <c r="M57" s="9" t="n"/>
      <c r="N57" s="41" t="n"/>
    </row>
    <row r="58" ht="22" customHeight="1">
      <c r="A58" s="5" t="n"/>
      <c r="B58" s="5" t="n"/>
      <c r="C58" s="5" t="n"/>
      <c r="D58" s="5" t="n"/>
      <c r="E58" s="30" t="n"/>
      <c r="F58" s="46" t="n"/>
      <c r="G58" s="30" t="n"/>
      <c r="H58" s="5" t="n"/>
      <c r="I58" s="40" t="n"/>
      <c r="J58" s="5" t="n"/>
      <c r="K58" s="5" t="n"/>
      <c r="L58" s="5" t="n"/>
      <c r="M58" s="5" t="n"/>
      <c r="N58" s="40" t="n"/>
    </row>
    <row r="59" ht="22" customHeight="1">
      <c r="A59" s="9" t="n"/>
      <c r="B59" s="9" t="n"/>
      <c r="C59" s="9" t="n"/>
      <c r="D59" s="9" t="n"/>
      <c r="E59" s="31" t="n"/>
      <c r="F59" s="47" t="n"/>
      <c r="G59" s="31" t="n"/>
      <c r="H59" s="9" t="n"/>
      <c r="I59" s="41" t="n"/>
      <c r="J59" s="9" t="n"/>
      <c r="K59" s="9" t="n"/>
      <c r="L59" s="9" t="n"/>
      <c r="M59" s="9" t="n"/>
      <c r="N59" s="41" t="n"/>
    </row>
    <row r="60" ht="22" customHeight="1">
      <c r="A60" s="5" t="n"/>
      <c r="B60" s="5" t="n"/>
      <c r="C60" s="5" t="n"/>
      <c r="D60" s="5" t="n"/>
      <c r="E60" s="30" t="n"/>
      <c r="F60" s="46" t="n"/>
      <c r="G60" s="30" t="n"/>
      <c r="H60" s="5" t="n"/>
      <c r="I60" s="40" t="n"/>
      <c r="J60" s="5" t="n"/>
      <c r="K60" s="5" t="n"/>
      <c r="L60" s="5" t="n"/>
      <c r="M60" s="5" t="n"/>
      <c r="N60" s="40" t="n"/>
    </row>
    <row r="61" ht="22" customHeight="1">
      <c r="A61" s="9" t="n"/>
      <c r="B61" s="9" t="n"/>
      <c r="C61" s="9" t="n"/>
      <c r="D61" s="9" t="n"/>
      <c r="E61" s="31" t="n"/>
      <c r="F61" s="47" t="n"/>
      <c r="G61" s="31" t="n"/>
      <c r="H61" s="9" t="n"/>
      <c r="I61" s="41" t="n"/>
      <c r="J61" s="9" t="n"/>
      <c r="K61" s="9" t="n"/>
      <c r="L61" s="9" t="n"/>
      <c r="M61" s="9" t="n"/>
      <c r="N61" s="41" t="n"/>
    </row>
    <row r="62" ht="22" customHeight="1">
      <c r="A62" s="5" t="n"/>
      <c r="B62" s="5" t="n"/>
      <c r="C62" s="5" t="n"/>
      <c r="D62" s="5" t="n"/>
      <c r="E62" s="30" t="n"/>
      <c r="F62" s="46" t="n"/>
      <c r="G62" s="30" t="n"/>
      <c r="H62" s="5" t="n"/>
      <c r="I62" s="40" t="n"/>
      <c r="J62" s="5" t="n"/>
      <c r="K62" s="5" t="n"/>
      <c r="L62" s="5" t="n"/>
      <c r="M62" s="5" t="n"/>
      <c r="N62" s="40" t="n"/>
    </row>
    <row r="63" ht="22" customHeight="1">
      <c r="A63" s="9" t="n"/>
      <c r="B63" s="9" t="n"/>
      <c r="C63" s="9" t="n"/>
      <c r="D63" s="9" t="n"/>
      <c r="E63" s="31" t="n"/>
      <c r="F63" s="47" t="n"/>
      <c r="G63" s="31" t="n"/>
      <c r="H63" s="9" t="n"/>
      <c r="I63" s="41" t="n"/>
      <c r="J63" s="9" t="n"/>
      <c r="K63" s="9" t="n"/>
      <c r="L63" s="9" t="n"/>
      <c r="M63" s="9" t="n"/>
      <c r="N63" s="41" t="n"/>
    </row>
    <row r="64" ht="22" customHeight="1">
      <c r="A64" s="5" t="n"/>
      <c r="B64" s="5" t="n"/>
      <c r="C64" s="5" t="n"/>
      <c r="D64" s="5" t="n"/>
      <c r="E64" s="30" t="n"/>
      <c r="F64" s="46" t="n"/>
      <c r="G64" s="30" t="n"/>
      <c r="H64" s="5" t="n"/>
      <c r="I64" s="40" t="n"/>
      <c r="J64" s="5" t="n"/>
      <c r="K64" s="5" t="n"/>
      <c r="L64" s="5" t="n"/>
      <c r="M64" s="5" t="n"/>
      <c r="N64" s="40" t="n"/>
    </row>
    <row r="65" ht="22" customHeight="1">
      <c r="A65" s="9" t="n"/>
      <c r="B65" s="9" t="n"/>
      <c r="C65" s="9" t="n"/>
      <c r="D65" s="9" t="n"/>
      <c r="E65" s="31" t="n"/>
      <c r="F65" s="47" t="n"/>
      <c r="G65" s="31" t="n"/>
      <c r="H65" s="9" t="n"/>
      <c r="I65" s="41" t="n"/>
      <c r="J65" s="9" t="n"/>
      <c r="K65" s="9" t="n"/>
      <c r="L65" s="9" t="n"/>
      <c r="M65" s="9" t="n"/>
      <c r="N65" s="41" t="n"/>
    </row>
    <row r="66" ht="22" customHeight="1">
      <c r="A66" s="5" t="n"/>
      <c r="B66" s="5" t="n"/>
      <c r="C66" s="5" t="n"/>
      <c r="D66" s="5" t="n"/>
      <c r="E66" s="30" t="n"/>
      <c r="F66" s="46" t="n"/>
      <c r="G66" s="30" t="n"/>
      <c r="H66" s="5" t="n"/>
      <c r="I66" s="40" t="n"/>
      <c r="J66" s="5" t="n"/>
      <c r="K66" s="5" t="n"/>
      <c r="L66" s="5" t="n"/>
      <c r="M66" s="5" t="n"/>
      <c r="N66" s="40" t="n"/>
    </row>
    <row r="67" ht="22" customHeight="1">
      <c r="A67" s="9" t="n"/>
      <c r="B67" s="9" t="n"/>
      <c r="C67" s="9" t="n"/>
      <c r="D67" s="9" t="n"/>
      <c r="E67" s="31" t="n"/>
      <c r="F67" s="47" t="n"/>
      <c r="G67" s="31" t="n"/>
      <c r="H67" s="9" t="n"/>
      <c r="I67" s="41" t="n"/>
      <c r="J67" s="9" t="n"/>
      <c r="K67" s="9" t="n"/>
      <c r="L67" s="9" t="n"/>
      <c r="M67" s="9" t="n"/>
      <c r="N67" s="41" t="n"/>
    </row>
    <row r="68" ht="22" customHeight="1">
      <c r="A68" s="5" t="n"/>
      <c r="B68" s="5" t="n"/>
      <c r="C68" s="5" t="n"/>
      <c r="D68" s="5" t="n"/>
      <c r="E68" s="30" t="n"/>
      <c r="F68" s="46" t="n"/>
      <c r="G68" s="30" t="n"/>
      <c r="H68" s="5" t="n"/>
      <c r="I68" s="40" t="n"/>
      <c r="J68" s="5" t="n"/>
      <c r="K68" s="5" t="n"/>
      <c r="L68" s="5" t="n"/>
      <c r="M68" s="5" t="n"/>
      <c r="N68" s="40" t="n"/>
    </row>
    <row r="69" ht="22" customHeight="1">
      <c r="A69" s="9" t="n"/>
      <c r="B69" s="9" t="n"/>
      <c r="C69" s="9" t="n"/>
      <c r="D69" s="9" t="n"/>
      <c r="E69" s="31" t="n"/>
      <c r="F69" s="47" t="n"/>
      <c r="G69" s="31" t="n"/>
      <c r="H69" s="9" t="n"/>
      <c r="I69" s="41" t="n"/>
      <c r="J69" s="9" t="n"/>
      <c r="K69" s="9" t="n"/>
      <c r="L69" s="9" t="n"/>
      <c r="M69" s="9" t="n"/>
      <c r="N69" s="41" t="n"/>
    </row>
    <row r="70" ht="22" customHeight="1">
      <c r="A70" s="5" t="n"/>
      <c r="B70" s="5" t="n"/>
      <c r="C70" s="5" t="n"/>
      <c r="D70" s="5" t="n"/>
      <c r="E70" s="30" t="n"/>
      <c r="F70" s="46" t="n"/>
      <c r="G70" s="30" t="n"/>
      <c r="H70" s="5" t="n"/>
      <c r="I70" s="40" t="n"/>
      <c r="J70" s="5" t="n"/>
      <c r="K70" s="5" t="n"/>
      <c r="L70" s="5" t="n"/>
      <c r="M70" s="5" t="n"/>
      <c r="N70" s="40" t="n"/>
    </row>
    <row r="71" ht="22" customHeight="1">
      <c r="A71" s="9" t="n"/>
      <c r="B71" s="9" t="n"/>
      <c r="C71" s="9" t="n"/>
      <c r="D71" s="9" t="n"/>
      <c r="E71" s="31" t="n"/>
      <c r="F71" s="47" t="n"/>
      <c r="G71" s="31" t="n"/>
      <c r="H71" s="9" t="n"/>
      <c r="I71" s="41" t="n"/>
      <c r="J71" s="9" t="n"/>
      <c r="K71" s="9" t="n"/>
      <c r="L71" s="9" t="n"/>
      <c r="M71" s="9" t="n"/>
      <c r="N71" s="41" t="n"/>
    </row>
    <row r="72" ht="22" customHeight="1">
      <c r="A72" s="5" t="n"/>
      <c r="B72" s="5" t="n"/>
      <c r="C72" s="5" t="n"/>
      <c r="D72" s="5" t="n"/>
      <c r="E72" s="30" t="n"/>
      <c r="F72" s="46" t="n"/>
      <c r="G72" s="30" t="n"/>
      <c r="H72" s="5" t="n"/>
      <c r="I72" s="40" t="n"/>
      <c r="J72" s="5" t="n"/>
      <c r="K72" s="5" t="n"/>
      <c r="L72" s="5" t="n"/>
      <c r="M72" s="5" t="n"/>
      <c r="N72" s="40" t="n"/>
    </row>
    <row r="73" ht="22" customHeight="1">
      <c r="A73" s="9" t="n"/>
      <c r="B73" s="9" t="n"/>
      <c r="C73" s="9" t="n"/>
      <c r="D73" s="9" t="n"/>
      <c r="E73" s="31" t="n"/>
      <c r="F73" s="47" t="n"/>
      <c r="G73" s="31" t="n"/>
      <c r="H73" s="9" t="n"/>
      <c r="I73" s="41" t="n"/>
      <c r="J73" s="9" t="n"/>
      <c r="K73" s="9" t="n"/>
      <c r="L73" s="9" t="n"/>
      <c r="M73" s="9" t="n"/>
      <c r="N73" s="41" t="n"/>
    </row>
    <row r="74" ht="22" customHeight="1">
      <c r="A74" s="5" t="n"/>
      <c r="B74" s="5" t="n"/>
      <c r="C74" s="5" t="n"/>
      <c r="D74" s="5" t="n"/>
      <c r="E74" s="30" t="n"/>
      <c r="F74" s="46" t="n"/>
      <c r="G74" s="30" t="n"/>
      <c r="H74" s="5" t="n"/>
      <c r="I74" s="40" t="n"/>
      <c r="J74" s="5" t="n"/>
      <c r="K74" s="5" t="n"/>
      <c r="L74" s="5" t="n"/>
      <c r="M74" s="5" t="n"/>
      <c r="N74" s="40" t="n"/>
    </row>
    <row r="75" ht="22" customHeight="1">
      <c r="A75" s="9" t="n"/>
      <c r="B75" s="9" t="n"/>
      <c r="C75" s="9" t="n"/>
      <c r="D75" s="9" t="n"/>
      <c r="E75" s="31" t="n"/>
      <c r="F75" s="47" t="n"/>
      <c r="G75" s="31" t="n"/>
      <c r="H75" s="9" t="n"/>
      <c r="I75" s="41" t="n"/>
      <c r="J75" s="9" t="n"/>
      <c r="K75" s="9" t="n"/>
      <c r="L75" s="9" t="n"/>
      <c r="M75" s="9" t="n"/>
      <c r="N75" s="41" t="n"/>
    </row>
    <row r="76" ht="22" customHeight="1">
      <c r="A76" s="5" t="n"/>
      <c r="B76" s="5" t="n"/>
      <c r="C76" s="5" t="n"/>
      <c r="D76" s="5" t="n"/>
      <c r="E76" s="30" t="n"/>
      <c r="F76" s="46" t="n"/>
      <c r="G76" s="30" t="n"/>
      <c r="H76" s="5" t="n"/>
      <c r="I76" s="40" t="n"/>
      <c r="J76" s="5" t="n"/>
      <c r="K76" s="5" t="n"/>
      <c r="L76" s="5" t="n"/>
      <c r="M76" s="5" t="n"/>
      <c r="N76" s="40" t="n"/>
    </row>
    <row r="77" ht="22" customHeight="1">
      <c r="A77" s="9" t="n"/>
      <c r="B77" s="9" t="n"/>
      <c r="C77" s="9" t="n"/>
      <c r="D77" s="9" t="n"/>
      <c r="E77" s="31" t="n"/>
      <c r="F77" s="47" t="n"/>
      <c r="G77" s="31" t="n"/>
      <c r="H77" s="9" t="n"/>
      <c r="I77" s="41" t="n"/>
      <c r="J77" s="9" t="n"/>
      <c r="K77" s="9" t="n"/>
      <c r="L77" s="9" t="n"/>
      <c r="M77" s="9" t="n"/>
      <c r="N77" s="41" t="n"/>
    </row>
    <row r="78" ht="22" customHeight="1">
      <c r="A78" s="5" t="n"/>
      <c r="B78" s="5" t="n"/>
      <c r="C78" s="5" t="n"/>
      <c r="D78" s="5" t="n"/>
      <c r="E78" s="30" t="n"/>
      <c r="F78" s="46" t="n"/>
      <c r="G78" s="30" t="n"/>
      <c r="H78" s="5" t="n"/>
      <c r="I78" s="40" t="n"/>
      <c r="J78" s="5" t="n"/>
      <c r="K78" s="5" t="n"/>
      <c r="L78" s="5" t="n"/>
      <c r="M78" s="5" t="n"/>
      <c r="N78" s="40" t="n"/>
    </row>
    <row r="79" ht="22" customHeight="1">
      <c r="A79" s="9" t="n"/>
      <c r="B79" s="9" t="n"/>
      <c r="C79" s="9" t="n"/>
      <c r="D79" s="9" t="n"/>
      <c r="E79" s="31" t="n"/>
      <c r="F79" s="47" t="n"/>
      <c r="G79" s="31" t="n"/>
      <c r="H79" s="9" t="n"/>
      <c r="I79" s="41" t="n"/>
      <c r="J79" s="9" t="n"/>
      <c r="K79" s="9" t="n"/>
      <c r="L79" s="9" t="n"/>
      <c r="M79" s="9" t="n"/>
      <c r="N79" s="41" t="n"/>
    </row>
    <row r="80" ht="22" customHeight="1">
      <c r="A80" s="5" t="n"/>
      <c r="B80" s="5" t="n"/>
      <c r="C80" s="5" t="n"/>
      <c r="D80" s="5" t="n"/>
      <c r="E80" s="30" t="n"/>
      <c r="F80" s="46" t="n"/>
      <c r="G80" s="30" t="n"/>
      <c r="H80" s="5" t="n"/>
      <c r="I80" s="40" t="n"/>
      <c r="J80" s="5" t="n"/>
      <c r="K80" s="5" t="n"/>
      <c r="L80" s="5" t="n"/>
      <c r="M80" s="5" t="n"/>
      <c r="N80" s="40" t="n"/>
    </row>
    <row r="81" ht="22" customHeight="1">
      <c r="A81" s="9" t="n"/>
      <c r="B81" s="9" t="n"/>
      <c r="C81" s="9" t="n"/>
      <c r="D81" s="9" t="n"/>
      <c r="E81" s="31" t="n"/>
      <c r="F81" s="47" t="n"/>
      <c r="G81" s="31" t="n"/>
      <c r="H81" s="9" t="n"/>
      <c r="I81" s="41" t="n"/>
      <c r="J81" s="9" t="n"/>
      <c r="K81" s="9" t="n"/>
      <c r="L81" s="9" t="n"/>
      <c r="M81" s="9" t="n"/>
      <c r="N81" s="41" t="n"/>
    </row>
    <row r="82" ht="22" customHeight="1">
      <c r="A82" s="5" t="n"/>
      <c r="B82" s="5" t="n"/>
      <c r="C82" s="5" t="n"/>
      <c r="D82" s="5" t="n"/>
      <c r="E82" s="30" t="n"/>
      <c r="F82" s="46" t="n"/>
      <c r="G82" s="30" t="n"/>
      <c r="H82" s="5" t="n"/>
      <c r="I82" s="40" t="n"/>
      <c r="J82" s="5" t="n"/>
      <c r="K82" s="5" t="n"/>
      <c r="L82" s="5" t="n"/>
      <c r="M82" s="5" t="n"/>
      <c r="N82" s="40" t="n"/>
    </row>
    <row r="83" ht="22" customHeight="1">
      <c r="A83" s="9" t="n"/>
      <c r="B83" s="9" t="n"/>
      <c r="C83" s="9" t="n"/>
      <c r="D83" s="9" t="n"/>
      <c r="E83" s="31" t="n"/>
      <c r="F83" s="47" t="n"/>
      <c r="G83" s="31" t="n"/>
      <c r="H83" s="9" t="n"/>
      <c r="I83" s="41" t="n"/>
      <c r="J83" s="9" t="n"/>
      <c r="K83" s="9" t="n"/>
      <c r="L83" s="9" t="n"/>
      <c r="M83" s="9" t="n"/>
      <c r="N83" s="41" t="n"/>
    </row>
    <row r="84" ht="22" customHeight="1">
      <c r="A84" s="5" t="n"/>
      <c r="B84" s="5" t="n"/>
      <c r="C84" s="5" t="n"/>
      <c r="D84" s="5" t="n"/>
      <c r="E84" s="30" t="n"/>
      <c r="F84" s="46" t="n"/>
      <c r="G84" s="30" t="n"/>
      <c r="H84" s="5" t="n"/>
      <c r="I84" s="40" t="n"/>
      <c r="J84" s="5" t="n"/>
      <c r="K84" s="5" t="n"/>
      <c r="L84" s="5" t="n"/>
      <c r="M84" s="5" t="n"/>
      <c r="N84" s="40" t="n"/>
    </row>
    <row r="85" ht="22" customHeight="1">
      <c r="A85" s="9" t="n"/>
      <c r="B85" s="9" t="n"/>
      <c r="C85" s="9" t="n"/>
      <c r="D85" s="9" t="n"/>
      <c r="E85" s="31" t="n"/>
      <c r="F85" s="47" t="n"/>
      <c r="G85" s="31" t="n"/>
      <c r="H85" s="9" t="n"/>
      <c r="I85" s="41" t="n"/>
      <c r="J85" s="9" t="n"/>
      <c r="K85" s="9" t="n"/>
      <c r="L85" s="9" t="n"/>
      <c r="M85" s="9" t="n"/>
      <c r="N85" s="41" t="n"/>
    </row>
    <row r="86" ht="22" customHeight="1">
      <c r="A86" s="5" t="n"/>
      <c r="B86" s="5" t="n"/>
      <c r="C86" s="5" t="n"/>
      <c r="D86" s="5" t="n"/>
      <c r="E86" s="30" t="n"/>
      <c r="F86" s="46" t="n"/>
      <c r="G86" s="30" t="n"/>
      <c r="H86" s="5" t="n"/>
      <c r="I86" s="40" t="n"/>
      <c r="J86" s="5" t="n"/>
      <c r="K86" s="5" t="n"/>
      <c r="L86" s="5" t="n"/>
      <c r="M86" s="5" t="n"/>
      <c r="N86" s="40" t="n"/>
    </row>
    <row r="87" ht="22" customHeight="1">
      <c r="A87" s="9" t="n"/>
      <c r="B87" s="9" t="n"/>
      <c r="C87" s="9" t="n"/>
      <c r="D87" s="9" t="n"/>
      <c r="E87" s="31" t="n"/>
      <c r="F87" s="47" t="n"/>
      <c r="G87" s="31" t="n"/>
      <c r="H87" s="9" t="n"/>
      <c r="I87" s="41" t="n"/>
      <c r="J87" s="9" t="n"/>
      <c r="K87" s="9" t="n"/>
      <c r="L87" s="9" t="n"/>
      <c r="M87" s="9" t="n"/>
      <c r="N87" s="41" t="n"/>
    </row>
    <row r="88" ht="22" customHeight="1">
      <c r="A88" s="5" t="n"/>
      <c r="B88" s="5" t="n"/>
      <c r="C88" s="5" t="n"/>
      <c r="D88" s="5" t="n"/>
      <c r="E88" s="30" t="n"/>
      <c r="F88" s="46" t="n"/>
      <c r="G88" s="30" t="n"/>
      <c r="H88" s="5" t="n"/>
      <c r="I88" s="40" t="n"/>
      <c r="J88" s="5" t="n"/>
      <c r="K88" s="5" t="n"/>
      <c r="L88" s="5" t="n"/>
      <c r="M88" s="5" t="n"/>
      <c r="N88" s="40" t="n"/>
    </row>
    <row r="89" ht="22" customHeight="1">
      <c r="A89" s="9" t="n"/>
      <c r="B89" s="9" t="n"/>
      <c r="C89" s="9" t="n"/>
      <c r="D89" s="9" t="n"/>
      <c r="E89" s="31" t="n"/>
      <c r="F89" s="47" t="n"/>
      <c r="G89" s="31" t="n"/>
      <c r="H89" s="9" t="n"/>
      <c r="I89" s="41" t="n"/>
      <c r="J89" s="9" t="n"/>
      <c r="K89" s="9" t="n"/>
      <c r="L89" s="9" t="n"/>
      <c r="M89" s="9" t="n"/>
      <c r="N89" s="41" t="n"/>
    </row>
    <row r="90" ht="22" customHeight="1">
      <c r="A90" s="5" t="n"/>
      <c r="B90" s="5" t="n"/>
      <c r="C90" s="5" t="n"/>
      <c r="D90" s="5" t="n"/>
      <c r="E90" s="30" t="n"/>
      <c r="F90" s="46" t="n"/>
      <c r="G90" s="30" t="n"/>
      <c r="H90" s="5" t="n"/>
      <c r="I90" s="40" t="n"/>
      <c r="J90" s="5" t="n"/>
      <c r="K90" s="5" t="n"/>
      <c r="L90" s="5" t="n"/>
      <c r="M90" s="5" t="n"/>
      <c r="N90" s="40" t="n"/>
    </row>
    <row r="91" ht="22" customHeight="1">
      <c r="A91" s="9" t="n"/>
      <c r="B91" s="9" t="n"/>
      <c r="C91" s="9" t="n"/>
      <c r="D91" s="9" t="n"/>
      <c r="E91" s="31" t="n"/>
      <c r="F91" s="47" t="n"/>
      <c r="G91" s="31" t="n"/>
      <c r="H91" s="9" t="n"/>
      <c r="I91" s="41" t="n"/>
      <c r="J91" s="9" t="n"/>
      <c r="K91" s="9" t="n"/>
      <c r="L91" s="9" t="n"/>
      <c r="M91" s="9" t="n"/>
      <c r="N91" s="41" t="n"/>
    </row>
    <row r="92" ht="22" customHeight="1">
      <c r="A92" s="5" t="n"/>
      <c r="B92" s="5" t="n"/>
      <c r="C92" s="5" t="n"/>
      <c r="D92" s="5" t="n"/>
      <c r="E92" s="30" t="n"/>
      <c r="F92" s="46" t="n"/>
      <c r="G92" s="30" t="n"/>
      <c r="H92" s="5" t="n"/>
      <c r="I92" s="40" t="n"/>
      <c r="J92" s="5" t="n"/>
      <c r="K92" s="5" t="n"/>
      <c r="L92" s="5" t="n"/>
      <c r="M92" s="5" t="n"/>
      <c r="N92" s="40" t="n"/>
    </row>
    <row r="93" ht="22" customHeight="1">
      <c r="A93" s="9" t="n"/>
      <c r="B93" s="9" t="n"/>
      <c r="C93" s="9" t="n"/>
      <c r="D93" s="9" t="n"/>
      <c r="E93" s="31" t="n"/>
      <c r="F93" s="47" t="n"/>
      <c r="G93" s="31" t="n"/>
      <c r="H93" s="9" t="n"/>
      <c r="I93" s="41" t="n"/>
      <c r="J93" s="9" t="n"/>
      <c r="K93" s="9" t="n"/>
      <c r="L93" s="9" t="n"/>
      <c r="M93" s="9" t="n"/>
      <c r="N93" s="41" t="n"/>
    </row>
    <row r="94" ht="22" customHeight="1">
      <c r="A94" s="5" t="n"/>
      <c r="B94" s="5" t="n"/>
      <c r="C94" s="5" t="n"/>
      <c r="D94" s="5" t="n"/>
      <c r="E94" s="30" t="n"/>
      <c r="F94" s="46" t="n"/>
      <c r="G94" s="30" t="n"/>
      <c r="H94" s="5" t="n"/>
      <c r="I94" s="40" t="n"/>
      <c r="J94" s="5" t="n"/>
      <c r="K94" s="5" t="n"/>
      <c r="L94" s="5" t="n"/>
      <c r="M94" s="5" t="n"/>
      <c r="N94" s="40" t="n"/>
    </row>
    <row r="95" ht="22" customHeight="1">
      <c r="A95" s="9" t="n"/>
      <c r="B95" s="9" t="n"/>
      <c r="C95" s="9" t="n"/>
      <c r="D95" s="9" t="n"/>
      <c r="E95" s="31" t="n"/>
      <c r="F95" s="47" t="n"/>
      <c r="G95" s="31" t="n"/>
      <c r="H95" s="9" t="n"/>
      <c r="I95" s="41" t="n"/>
      <c r="J95" s="9" t="n"/>
      <c r="K95" s="9" t="n"/>
      <c r="L95" s="9" t="n"/>
      <c r="M95" s="9" t="n"/>
      <c r="N95" s="41" t="n"/>
    </row>
    <row r="96" ht="22" customHeight="1">
      <c r="A96" s="5" t="n"/>
      <c r="B96" s="5" t="n"/>
      <c r="C96" s="5" t="n"/>
      <c r="D96" s="5" t="n"/>
      <c r="E96" s="30" t="n"/>
      <c r="F96" s="46" t="n"/>
      <c r="G96" s="30" t="n"/>
      <c r="H96" s="5" t="n"/>
      <c r="I96" s="40" t="n"/>
      <c r="J96" s="5" t="n"/>
      <c r="K96" s="5" t="n"/>
      <c r="L96" s="5" t="n"/>
      <c r="M96" s="5" t="n"/>
      <c r="N96" s="40" t="n"/>
    </row>
    <row r="97" ht="22" customHeight="1">
      <c r="A97" s="9" t="n"/>
      <c r="B97" s="9" t="n"/>
      <c r="C97" s="9" t="n"/>
      <c r="D97" s="9" t="n"/>
      <c r="E97" s="31" t="n"/>
      <c r="F97" s="47" t="n"/>
      <c r="G97" s="31" t="n"/>
      <c r="H97" s="9" t="n"/>
      <c r="I97" s="41" t="n"/>
      <c r="J97" s="9" t="n"/>
      <c r="K97" s="9" t="n"/>
      <c r="L97" s="9" t="n"/>
      <c r="M97" s="9" t="n"/>
      <c r="N97" s="41" t="n"/>
    </row>
    <row r="98" ht="22" customHeight="1">
      <c r="A98" s="5" t="n"/>
      <c r="B98" s="5" t="n"/>
      <c r="C98" s="5" t="n"/>
      <c r="D98" s="5" t="n"/>
      <c r="E98" s="30" t="n"/>
      <c r="F98" s="46" t="n"/>
      <c r="G98" s="30" t="n"/>
      <c r="H98" s="5" t="n"/>
      <c r="I98" s="40" t="n"/>
      <c r="J98" s="5" t="n"/>
      <c r="K98" s="5" t="n"/>
      <c r="L98" s="5" t="n"/>
      <c r="M98" s="5" t="n"/>
      <c r="N98" s="40" t="n"/>
    </row>
    <row r="99" ht="22" customHeight="1">
      <c r="A99" s="9" t="n"/>
      <c r="B99" s="9" t="n"/>
      <c r="C99" s="9" t="n"/>
      <c r="D99" s="9" t="n"/>
      <c r="E99" s="31" t="n"/>
      <c r="F99" s="47" t="n"/>
      <c r="G99" s="31" t="n"/>
      <c r="H99" s="9" t="n"/>
      <c r="I99" s="41" t="n"/>
      <c r="J99" s="9" t="n"/>
      <c r="K99" s="9" t="n"/>
      <c r="L99" s="9" t="n"/>
      <c r="M99" s="9" t="n"/>
      <c r="N99" s="41" t="n"/>
    </row>
    <row r="100" ht="22" customHeight="1">
      <c r="A100" s="5" t="n"/>
      <c r="B100" s="5" t="n"/>
      <c r="C100" s="5" t="n"/>
      <c r="D100" s="5" t="n"/>
      <c r="E100" s="30" t="n"/>
      <c r="F100" s="46" t="n"/>
      <c r="G100" s="30" t="n"/>
      <c r="H100" s="5" t="n"/>
      <c r="I100" s="40" t="n"/>
      <c r="J100" s="5" t="n"/>
      <c r="K100" s="5" t="n"/>
      <c r="L100" s="5" t="n"/>
      <c r="M100" s="5" t="n"/>
      <c r="N100" s="40" t="n"/>
    </row>
    <row r="101" ht="22" customHeight="1">
      <c r="A101" s="9" t="n"/>
      <c r="B101" s="9" t="n"/>
      <c r="C101" s="9" t="n"/>
      <c r="D101" s="9" t="n"/>
      <c r="E101" s="31" t="n"/>
      <c r="F101" s="47" t="n"/>
      <c r="G101" s="31" t="n"/>
      <c r="H101" s="9" t="n"/>
      <c r="I101" s="41" t="n"/>
      <c r="J101" s="9" t="n"/>
      <c r="K101" s="9" t="n"/>
      <c r="L101" s="9" t="n"/>
      <c r="M101" s="9" t="n"/>
      <c r="N101" s="41" t="n"/>
    </row>
    <row r="102" ht="22" customHeight="1">
      <c r="A102" s="5" t="n"/>
      <c r="B102" s="5" t="n"/>
      <c r="C102" s="5" t="n"/>
      <c r="D102" s="5" t="n"/>
      <c r="E102" s="30" t="n"/>
      <c r="F102" s="46" t="n"/>
      <c r="G102" s="30" t="n"/>
      <c r="H102" s="5" t="n"/>
      <c r="I102" s="40" t="n"/>
      <c r="J102" s="5" t="n"/>
      <c r="K102" s="5" t="n"/>
      <c r="L102" s="5" t="n"/>
      <c r="M102" s="5" t="n"/>
      <c r="N102" s="40" t="n"/>
    </row>
    <row r="103" ht="22" customHeight="1">
      <c r="A103" s="9" t="n"/>
      <c r="B103" s="9" t="n"/>
      <c r="C103" s="9" t="n"/>
      <c r="D103" s="9" t="n"/>
      <c r="E103" s="31" t="n"/>
      <c r="F103" s="47" t="n"/>
      <c r="G103" s="31" t="n"/>
      <c r="H103" s="9" t="n"/>
      <c r="I103" s="41" t="n"/>
      <c r="J103" s="9" t="n"/>
      <c r="K103" s="9" t="n"/>
      <c r="L103" s="9" t="n"/>
      <c r="M103" s="9" t="n"/>
      <c r="N103" s="41" t="n"/>
    </row>
    <row r="104" ht="22" customHeight="1">
      <c r="A104" s="5" t="n"/>
      <c r="B104" s="5" t="n"/>
      <c r="C104" s="5" t="n"/>
      <c r="D104" s="5" t="n"/>
      <c r="E104" s="30" t="n"/>
      <c r="F104" s="46" t="n"/>
      <c r="G104" s="30" t="n"/>
      <c r="H104" s="5" t="n"/>
      <c r="I104" s="40" t="n"/>
      <c r="J104" s="5" t="n"/>
      <c r="K104" s="5" t="n"/>
      <c r="L104" s="5" t="n"/>
      <c r="M104" s="5" t="n"/>
      <c r="N104" s="40" t="n"/>
    </row>
    <row r="105" ht="22" customHeight="1">
      <c r="A105" s="9" t="n"/>
      <c r="B105" s="9" t="n"/>
      <c r="C105" s="9" t="n"/>
      <c r="D105" s="9" t="n"/>
      <c r="E105" s="31" t="n"/>
      <c r="F105" s="47" t="n"/>
      <c r="G105" s="31" t="n"/>
      <c r="H105" s="9" t="n"/>
      <c r="I105" s="41" t="n"/>
      <c r="J105" s="9" t="n"/>
      <c r="K105" s="9" t="n"/>
      <c r="L105" s="9" t="n"/>
      <c r="M105" s="9" t="n"/>
      <c r="N105" s="41" t="n"/>
    </row>
    <row r="106" ht="22" customHeight="1">
      <c r="A106" s="5" t="n"/>
      <c r="B106" s="5" t="n"/>
      <c r="C106" s="5" t="n"/>
      <c r="D106" s="5" t="n"/>
      <c r="E106" s="30" t="n"/>
      <c r="F106" s="46" t="n"/>
      <c r="G106" s="30" t="n"/>
      <c r="H106" s="5" t="n"/>
      <c r="I106" s="40" t="n"/>
      <c r="J106" s="5" t="n"/>
      <c r="K106" s="5" t="n"/>
      <c r="L106" s="5" t="n"/>
      <c r="M106" s="5" t="n"/>
      <c r="N106" s="40" t="n"/>
    </row>
    <row r="107" ht="22" customHeight="1">
      <c r="A107" s="9" t="n"/>
      <c r="B107" s="9" t="n"/>
      <c r="C107" s="9" t="n"/>
      <c r="D107" s="9" t="n"/>
      <c r="E107" s="31" t="n"/>
      <c r="F107" s="47" t="n"/>
      <c r="G107" s="31" t="n"/>
      <c r="H107" s="9" t="n"/>
      <c r="I107" s="41" t="n"/>
      <c r="J107" s="9" t="n"/>
      <c r="K107" s="9" t="n"/>
      <c r="L107" s="9" t="n"/>
      <c r="M107" s="9" t="n"/>
      <c r="N107" s="41" t="n"/>
    </row>
    <row r="108" ht="22" customHeight="1">
      <c r="A108" s="5" t="n"/>
      <c r="B108" s="5" t="n"/>
      <c r="C108" s="5" t="n"/>
      <c r="D108" s="5" t="n"/>
      <c r="E108" s="30" t="n"/>
      <c r="F108" s="46" t="n"/>
      <c r="G108" s="30" t="n"/>
      <c r="H108" s="5" t="n"/>
      <c r="I108" s="40" t="n"/>
      <c r="J108" s="5" t="n"/>
      <c r="K108" s="5" t="n"/>
      <c r="L108" s="5" t="n"/>
      <c r="M108" s="5" t="n"/>
      <c r="N108" s="40" t="n"/>
    </row>
    <row r="109" ht="22" customHeight="1">
      <c r="A109" s="9" t="n"/>
      <c r="B109" s="9" t="n"/>
      <c r="C109" s="9" t="n"/>
      <c r="D109" s="9" t="n"/>
      <c r="E109" s="31" t="n"/>
      <c r="F109" s="47" t="n"/>
      <c r="G109" s="31" t="n"/>
      <c r="H109" s="9" t="n"/>
      <c r="I109" s="41" t="n"/>
      <c r="J109" s="9" t="n"/>
      <c r="K109" s="9" t="n"/>
      <c r="L109" s="9" t="n"/>
      <c r="M109" s="9" t="n"/>
      <c r="N109" s="41" t="n"/>
    </row>
    <row r="110" ht="22" customHeight="1">
      <c r="A110" s="5" t="n"/>
      <c r="B110" s="5" t="n"/>
      <c r="C110" s="5" t="n"/>
      <c r="D110" s="5" t="n"/>
      <c r="E110" s="30" t="n"/>
      <c r="F110" s="46" t="n"/>
      <c r="G110" s="30" t="n"/>
      <c r="H110" s="5" t="n"/>
      <c r="I110" s="40" t="n"/>
      <c r="J110" s="5" t="n"/>
      <c r="K110" s="5" t="n"/>
      <c r="L110" s="5" t="n"/>
      <c r="M110" s="5" t="n"/>
      <c r="N110" s="40" t="n"/>
    </row>
    <row r="111" ht="22" customHeight="1">
      <c r="A111" s="9" t="n"/>
      <c r="B111" s="9" t="n"/>
      <c r="C111" s="9" t="n"/>
      <c r="D111" s="9" t="n"/>
      <c r="E111" s="31" t="n"/>
      <c r="F111" s="47" t="n"/>
      <c r="G111" s="31" t="n"/>
      <c r="H111" s="9" t="n"/>
      <c r="I111" s="41" t="n"/>
      <c r="J111" s="9" t="n"/>
      <c r="K111" s="9" t="n"/>
      <c r="L111" s="9" t="n"/>
      <c r="M111" s="9" t="n"/>
      <c r="N111" s="41" t="n"/>
    </row>
    <row r="112" ht="22" customHeight="1">
      <c r="A112" s="5" t="n"/>
      <c r="B112" s="5" t="n"/>
      <c r="C112" s="5" t="n"/>
      <c r="D112" s="5" t="n"/>
      <c r="E112" s="30" t="n"/>
      <c r="F112" s="46" t="n"/>
      <c r="G112" s="30" t="n"/>
      <c r="H112" s="5" t="n"/>
      <c r="I112" s="40" t="n"/>
      <c r="J112" s="5" t="n"/>
      <c r="K112" s="5" t="n"/>
      <c r="L112" s="5" t="n"/>
      <c r="M112" s="5" t="n"/>
      <c r="N112" s="40" t="n"/>
    </row>
    <row r="113" ht="22" customHeight="1">
      <c r="A113" s="9" t="n"/>
      <c r="B113" s="9" t="n"/>
      <c r="C113" s="9" t="n"/>
      <c r="D113" s="9" t="n"/>
      <c r="E113" s="31" t="n"/>
      <c r="F113" s="47" t="n"/>
      <c r="G113" s="31" t="n"/>
      <c r="H113" s="9" t="n"/>
      <c r="I113" s="41" t="n"/>
      <c r="J113" s="9" t="n"/>
      <c r="K113" s="9" t="n"/>
      <c r="L113" s="9" t="n"/>
      <c r="M113" s="9" t="n"/>
      <c r="N113" s="41" t="n"/>
    </row>
    <row r="114" ht="22" customHeight="1">
      <c r="A114" s="5" t="n"/>
      <c r="B114" s="5" t="n"/>
      <c r="C114" s="5" t="n"/>
      <c r="D114" s="5" t="n"/>
      <c r="E114" s="30" t="n"/>
      <c r="F114" s="46" t="n"/>
      <c r="G114" s="30" t="n"/>
      <c r="H114" s="5" t="n"/>
      <c r="I114" s="40" t="n"/>
      <c r="J114" s="5" t="n"/>
      <c r="K114" s="5" t="n"/>
      <c r="L114" s="5" t="n"/>
      <c r="M114" s="5" t="n"/>
      <c r="N114" s="40" t="n"/>
    </row>
    <row r="115" ht="22" customHeight="1">
      <c r="A115" s="9" t="n"/>
      <c r="B115" s="9" t="n"/>
      <c r="C115" s="9" t="n"/>
      <c r="D115" s="9" t="n"/>
      <c r="E115" s="31" t="n"/>
      <c r="F115" s="47" t="n"/>
      <c r="G115" s="31" t="n"/>
      <c r="H115" s="9" t="n"/>
      <c r="I115" s="41" t="n"/>
      <c r="J115" s="9" t="n"/>
      <c r="K115" s="9" t="n"/>
      <c r="L115" s="9" t="n"/>
      <c r="M115" s="9" t="n"/>
      <c r="N115" s="41" t="n"/>
    </row>
  </sheetData>
  <mergeCells count="2">
    <mergeCell ref="A3:N3"/>
    <mergeCell ref="A2:N2"/>
  </mergeCells>
  <conditionalFormatting sqref="H6:H115">
    <cfRule type="cellIs" priority="1" operator="equal" dxfId="0">
      <formula>"Bon"</formula>
    </cfRule>
    <cfRule type="cellIs" priority="2" operator="equal" dxfId="2">
      <formula>"Moyen"</formula>
    </cfRule>
    <cfRule type="cellIs" priority="3" operator="equal" dxfId="1">
      <formula>"Réparation"</formula>
    </cfRule>
  </conditionalFormatting>
  <dataValidations count="3">
    <dataValidation sqref="C6:C115" showDropDown="0" showInputMessage="0" showErrorMessage="0" allowBlank="1" errorTitle="Erreur" error="Valeur invalide" promptTitle="" prompt="Choisir: " type="list">
      <formula1>"Logement fonctionnel,Indemnité logement,Aide au logement"</formula1>
    </dataValidation>
    <dataValidation sqref="H6:H115" showDropDown="0" showInputMessage="0" showErrorMessage="0" allowBlank="1" errorTitle="Erreur" error="Valeur invalide" promptTitle="" prompt="Choisir: " type="list">
      <formula1>"Bon,Moyen,Réparation"</formula1>
    </dataValidation>
    <dataValidation sqref="J6:J115" showDropDown="0" showInputMessage="0" showErrorMessage="0" allowBlank="1" errorTitle="Erreur" error="Valeur invalide" promptTitle="" prompt="Choisir: " type="list">
      <formula1>"Actif,Suspendu,En attente,Résilié"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16" customWidth="1" min="4" max="4"/>
    <col width="22" customWidth="1" min="5" max="5"/>
    <col width="16" customWidth="1" min="6" max="6"/>
    <col width="22" customWidth="1" min="7" max="7"/>
    <col width="20" customWidth="1" min="8" max="8"/>
    <col width="3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ANALYSE DES COÛTS DES AVANTAGES SOCIAUX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Catégorie avantage</t>
        </is>
      </c>
      <c r="B5" s="4" t="inlineStr">
        <is>
          <t>Coût total annuel (FCFA)</t>
        </is>
      </c>
      <c r="C5" s="4" t="inlineStr">
        <is>
          <t>Coût moyen/bénéf. (FCFA)</t>
        </is>
      </c>
      <c r="D5" s="4" t="inlineStr">
        <is>
          <t>% budget RH</t>
        </is>
      </c>
      <c r="E5" s="4" t="inlineStr">
        <is>
          <t>Variation vs année préc.</t>
        </is>
      </c>
      <c r="F5" s="4" t="inlineStr">
        <is>
          <t>Tendance</t>
        </is>
      </c>
      <c r="G5" s="4" t="inlineStr">
        <is>
          <t>Budget prévu (FCFA)</t>
        </is>
      </c>
      <c r="H5" s="4" t="inlineStr">
        <is>
          <t>Écart (FCFA)</t>
        </is>
      </c>
      <c r="I5" s="4" t="inlineStr">
        <is>
          <t>Commentaire</t>
        </is>
      </c>
      <c r="J5" s="4" t="inlineStr"/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Santé</t>
        </is>
      </c>
      <c r="B6" s="30">
        <f>SUMIF('F04 - 2-Référentiel Avant.'!B6:B20,A6,'F05 - 3-Inscription Avant.'!H6:H115)*12</f>
        <v/>
      </c>
      <c r="C6" s="30">
        <f>IF(B6=0,0,B6/MAX(COUNTIF('F05 - 3-Inscription Avant.'!F6:F115,'F04 - 2-Référentiel Avant.'!A6:A20),1))</f>
        <v/>
      </c>
      <c r="D6" s="46">
        <f>IF(SUM(B6:B14)=0,0,B6/SUM(B6:B14))</f>
        <v/>
      </c>
      <c r="E6" s="5" t="inlineStr">
        <is>
          <t>+5%</t>
        </is>
      </c>
      <c r="F6" s="5">
        <f>IF(ISNUMBER(SEARCH("+",E6)),"↗ Hausse",IF(ISNUMBER(SEARCH("-",E6)),"↘ Baisse","→ Stable"))</f>
        <v/>
      </c>
      <c r="G6" s="30" t="n">
        <v>4800000</v>
      </c>
      <c r="H6" s="30">
        <f>G6-B6</f>
        <v/>
      </c>
      <c r="I6" s="5" t="inlineStr"/>
      <c r="J6" s="5" t="n"/>
      <c r="K6" s="5" t="n"/>
      <c r="L6" s="5" t="n"/>
      <c r="M6" s="5" t="n"/>
      <c r="N6" s="40" t="n">
        <v>45444</v>
      </c>
    </row>
    <row r="7" ht="22" customHeight="1">
      <c r="A7" s="9" t="inlineStr">
        <is>
          <t>Retraite</t>
        </is>
      </c>
      <c r="B7" s="31">
        <f>SUMIF('F04 - 2-Référentiel Avant.'!B6:B20,A7,'F05 - 3-Inscription Avant.'!H6:H115)*12</f>
        <v/>
      </c>
      <c r="C7" s="31">
        <f>IF(B7=0,0,B7/MAX(COUNTIF('F05 - 3-Inscription Avant.'!F6:F115,'F04 - 2-Référentiel Avant.'!A6:A20),1))</f>
        <v/>
      </c>
      <c r="D7" s="47">
        <f>IF(SUM(B6:B14)=0,0,B7/SUM(B6:B14))</f>
        <v/>
      </c>
      <c r="E7" s="9" t="inlineStr">
        <is>
          <t>+8%</t>
        </is>
      </c>
      <c r="F7" s="9">
        <f>IF(ISNUMBER(SEARCH("+",E7)),"↗ Hausse",IF(ISNUMBER(SEARCH("-",E7)),"↘ Baisse","→ Stable"))</f>
        <v/>
      </c>
      <c r="G7" s="31" t="n">
        <v>2400000</v>
      </c>
      <c r="H7" s="31">
        <f>G7-B7</f>
        <v/>
      </c>
      <c r="I7" s="9" t="inlineStr"/>
      <c r="J7" s="9" t="n"/>
      <c r="K7" s="9" t="n"/>
      <c r="L7" s="9" t="n"/>
      <c r="M7" s="9" t="n"/>
      <c r="N7" s="41" t="n">
        <v>45444</v>
      </c>
    </row>
    <row r="8" ht="22" customHeight="1">
      <c r="A8" s="5" t="inlineStr">
        <is>
          <t>Prévoyance</t>
        </is>
      </c>
      <c r="B8" s="30">
        <f>SUMIF('F04 - 2-Référentiel Avant.'!B6:B20,A8,'F05 - 3-Inscription Avant.'!H6:H115)*12</f>
        <v/>
      </c>
      <c r="C8" s="30">
        <f>IF(B8=0,0,B8/MAX(COUNTIF('F05 - 3-Inscription Avant.'!F6:F115,'F04 - 2-Référentiel Avant.'!A6:A20),1))</f>
        <v/>
      </c>
      <c r="D8" s="46">
        <f>IF(SUM(B6:B14)=0,0,B8/SUM(B6:B14))</f>
        <v/>
      </c>
      <c r="E8" s="5" t="inlineStr">
        <is>
          <t>-2%</t>
        </is>
      </c>
      <c r="F8" s="5">
        <f>IF(ISNUMBER(SEARCH("+",E8)),"↗ Hausse",IF(ISNUMBER(SEARCH("-",E8)),"↘ Baisse","→ Stable"))</f>
        <v/>
      </c>
      <c r="G8" s="30" t="n">
        <v>3600000</v>
      </c>
      <c r="H8" s="30">
        <f>G8-B8</f>
        <v/>
      </c>
      <c r="I8" s="5" t="inlineStr"/>
      <c r="J8" s="5" t="n"/>
      <c r="K8" s="5" t="n"/>
      <c r="L8" s="5" t="n"/>
      <c r="M8" s="5" t="n"/>
      <c r="N8" s="40" t="n">
        <v>45444</v>
      </c>
    </row>
    <row r="9" ht="22" customHeight="1">
      <c r="A9" s="9" t="inlineStr">
        <is>
          <t>Alimentation</t>
        </is>
      </c>
      <c r="B9" s="31">
        <f>SUMIF('F04 - 2-Référentiel Avant.'!B6:B20,A9,'F05 - 3-Inscription Avant.'!H6:H115)*12</f>
        <v/>
      </c>
      <c r="C9" s="31">
        <f>IF(B9=0,0,B9/MAX(COUNTIF('F05 - 3-Inscription Avant.'!F6:F115,'F04 - 2-Référentiel Avant.'!A6:A20),1))</f>
        <v/>
      </c>
      <c r="D9" s="47">
        <f>IF(SUM(B6:B14)=0,0,B9/SUM(B6:B14))</f>
        <v/>
      </c>
      <c r="E9" s="9" t="inlineStr">
        <is>
          <t>+3%</t>
        </is>
      </c>
      <c r="F9" s="9">
        <f>IF(ISNUMBER(SEARCH("+",E9)),"↗ Hausse",IF(ISNUMBER(SEARCH("-",E9)),"↘ Baisse","→ Stable"))</f>
        <v/>
      </c>
      <c r="G9" s="31" t="n">
        <v>4200000</v>
      </c>
      <c r="H9" s="31">
        <f>G9-B9</f>
        <v/>
      </c>
      <c r="I9" s="9" t="inlineStr"/>
      <c r="J9" s="9" t="n"/>
      <c r="K9" s="9" t="n"/>
      <c r="L9" s="9" t="n"/>
      <c r="M9" s="9" t="n"/>
      <c r="N9" s="41" t="n">
        <v>45444</v>
      </c>
    </row>
    <row r="10" ht="22" customHeight="1">
      <c r="A10" s="5" t="inlineStr">
        <is>
          <t>Transport</t>
        </is>
      </c>
      <c r="B10" s="30">
        <f>SUMIF('F04 - 2-Référentiel Avant.'!B6:B20,A10,'F05 - 3-Inscription Avant.'!H6:H115)*12</f>
        <v/>
      </c>
      <c r="C10" s="30">
        <f>IF(B10=0,0,B10/MAX(COUNTIF('F05 - 3-Inscription Avant.'!F6:F115,'F04 - 2-Référentiel Avant.'!A6:A20),1))</f>
        <v/>
      </c>
      <c r="D10" s="46">
        <f>IF(SUM(B6:B14)=0,0,B10/SUM(B6:B14))</f>
        <v/>
      </c>
      <c r="E10" s="5" t="inlineStr">
        <is>
          <t>+1%</t>
        </is>
      </c>
      <c r="F10" s="5">
        <f>IF(ISNUMBER(SEARCH("+",E10)),"↗ Hausse",IF(ISNUMBER(SEARCH("-",E10)),"↘ Baisse","→ Stable"))</f>
        <v/>
      </c>
      <c r="G10" s="30" t="n">
        <v>3000000</v>
      </c>
      <c r="H10" s="30">
        <f>G10-B10</f>
        <v/>
      </c>
      <c r="I10" s="5" t="inlineStr"/>
      <c r="J10" s="5" t="n"/>
      <c r="K10" s="5" t="n"/>
      <c r="L10" s="5" t="n"/>
      <c r="M10" s="5" t="n"/>
      <c r="N10" s="40" t="n">
        <v>45444</v>
      </c>
    </row>
    <row r="11" ht="22" customHeight="1">
      <c r="A11" s="9" t="inlineStr">
        <is>
          <t>Logement</t>
        </is>
      </c>
      <c r="B11" s="31">
        <f>SUMIF('F04 - 2-Référentiel Avant.'!B6:B20,A11,'F05 - 3-Inscription Avant.'!H6:H115)*12</f>
        <v/>
      </c>
      <c r="C11" s="31">
        <f>IF(B11=0,0,B11/MAX(COUNTIF('F05 - 3-Inscription Avant.'!F6:F115,'F04 - 2-Référentiel Avant.'!A6:A20),1))</f>
        <v/>
      </c>
      <c r="D11" s="47">
        <f>IF(SUM(B6:B14)=0,0,B11/SUM(B6:B14))</f>
        <v/>
      </c>
      <c r="E11" s="9" t="inlineStr">
        <is>
          <t>+10%</t>
        </is>
      </c>
      <c r="F11" s="9">
        <f>IF(ISNUMBER(SEARCH("+",E11)),"↗ Hausse",IF(ISNUMBER(SEARCH("-",E11)),"↘ Baisse","→ Stable"))</f>
        <v/>
      </c>
      <c r="G11" s="31" t="n">
        <v>1800000</v>
      </c>
      <c r="H11" s="31">
        <f>G11-B11</f>
        <v/>
      </c>
      <c r="I11" s="9" t="inlineStr"/>
      <c r="J11" s="9" t="n"/>
      <c r="K11" s="9" t="n"/>
      <c r="L11" s="9" t="n"/>
      <c r="M11" s="9" t="n"/>
      <c r="N11" s="41" t="n">
        <v>45444</v>
      </c>
    </row>
    <row r="12" ht="22" customHeight="1">
      <c r="A12" s="5" t="inlineStr">
        <is>
          <t>Formation</t>
        </is>
      </c>
      <c r="B12" s="30">
        <f>SUMIF('F04 - 2-Référentiel Avant.'!B6:B20,A12,'F05 - 3-Inscription Avant.'!H6:H115)*12</f>
        <v/>
      </c>
      <c r="C12" s="30">
        <f>IF(B12=0,0,B12/MAX(COUNTIF('F05 - 3-Inscription Avant.'!F6:F115,'F04 - 2-Référentiel Avant.'!A6:A20),1))</f>
        <v/>
      </c>
      <c r="D12" s="46">
        <f>IF(SUM(B6:B14)=0,0,B12/SUM(B6:B14))</f>
        <v/>
      </c>
      <c r="E12" s="5" t="inlineStr">
        <is>
          <t>-5%</t>
        </is>
      </c>
      <c r="F12" s="5">
        <f>IF(ISNUMBER(SEARCH("+",E12)),"↗ Hausse",IF(ISNUMBER(SEARCH("-",E12)),"↘ Baisse","→ Stable"))</f>
        <v/>
      </c>
      <c r="G12" s="30" t="n">
        <v>960000</v>
      </c>
      <c r="H12" s="30">
        <f>G12-B12</f>
        <v/>
      </c>
      <c r="I12" s="5" t="inlineStr"/>
      <c r="J12" s="5" t="n"/>
      <c r="K12" s="5" t="n"/>
      <c r="L12" s="5" t="n"/>
      <c r="M12" s="5" t="n"/>
      <c r="N12" s="40" t="n">
        <v>45444</v>
      </c>
    </row>
    <row r="13" ht="22" customHeight="1">
      <c r="A13" s="9" t="inlineStr">
        <is>
          <t>Loisirs</t>
        </is>
      </c>
      <c r="B13" s="31">
        <f>SUMIF('F04 - 2-Référentiel Avant.'!B6:B20,A13,'F05 - 3-Inscription Avant.'!H6:H115)*12</f>
        <v/>
      </c>
      <c r="C13" s="31">
        <f>IF(B13=0,0,B13/MAX(COUNTIF('F05 - 3-Inscription Avant.'!F6:F115,'F04 - 2-Référentiel Avant.'!A6:A20),1))</f>
        <v/>
      </c>
      <c r="D13" s="47">
        <f>IF(SUM(B6:B14)=0,0,B13/SUM(B6:B14))</f>
        <v/>
      </c>
      <c r="E13" s="9" t="inlineStr">
        <is>
          <t>0%</t>
        </is>
      </c>
      <c r="F13" s="9">
        <f>IF(ISNUMBER(SEARCH("+",E13)),"↗ Hausse",IF(ISNUMBER(SEARCH("-",E13)),"↘ Baisse","→ Stable"))</f>
        <v/>
      </c>
      <c r="G13" s="31" t="n">
        <v>300000</v>
      </c>
      <c r="H13" s="31">
        <f>G13-B13</f>
        <v/>
      </c>
      <c r="I13" s="9" t="inlineStr"/>
      <c r="J13" s="9" t="n"/>
      <c r="K13" s="9" t="n"/>
      <c r="L13" s="9" t="n"/>
      <c r="M13" s="9" t="n"/>
      <c r="N13" s="41" t="n">
        <v>45444</v>
      </c>
    </row>
    <row r="14" ht="22" customHeight="1">
      <c r="A14" s="5" t="inlineStr">
        <is>
          <t>Autre</t>
        </is>
      </c>
      <c r="B14" s="30">
        <f>SUMIF('F04 - 2-Référentiel Avant.'!B6:B20,A14,'F05 - 3-Inscription Avant.'!H6:H115)*12</f>
        <v/>
      </c>
      <c r="C14" s="30">
        <f>IF(B14=0,0,B14/MAX(COUNTIF('F05 - 3-Inscription Avant.'!F6:F115,'F04 - 2-Référentiel Avant.'!A6:A20),1))</f>
        <v/>
      </c>
      <c r="D14" s="46">
        <f>IF(SUM(B6:B14)=0,0,B14/SUM(B6:B14))</f>
        <v/>
      </c>
      <c r="E14" s="5" t="inlineStr">
        <is>
          <t>+2%</t>
        </is>
      </c>
      <c r="F14" s="5">
        <f>IF(ISNUMBER(SEARCH("+",E14)),"↗ Hausse",IF(ISNUMBER(SEARCH("-",E14)),"↘ Baisse","→ Stable"))</f>
        <v/>
      </c>
      <c r="G14" s="30" t="n">
        <v>600000</v>
      </c>
      <c r="H14" s="30">
        <f>G14-B14</f>
        <v/>
      </c>
      <c r="I14" s="5" t="inlineStr"/>
      <c r="J14" s="5" t="n"/>
      <c r="K14" s="5" t="n"/>
      <c r="L14" s="5" t="n"/>
      <c r="M14" s="5" t="n"/>
      <c r="N14" s="40" t="n">
        <v>45444</v>
      </c>
    </row>
    <row r="15" ht="22" customHeight="1">
      <c r="A15" s="9" t="n"/>
      <c r="B15" s="31" t="n"/>
      <c r="C15" s="31" t="n"/>
      <c r="D15" s="47" t="n"/>
      <c r="E15" s="9" t="n"/>
      <c r="F15" s="9" t="n"/>
      <c r="G15" s="31" t="n"/>
      <c r="H15" s="31" t="n"/>
      <c r="I15" s="9" t="n"/>
      <c r="J15" s="9" t="n"/>
      <c r="K15" s="9" t="n"/>
      <c r="L15" s="9" t="n"/>
      <c r="M15" s="9" t="n"/>
      <c r="N15" s="41" t="n"/>
    </row>
    <row r="16" ht="22" customHeight="1">
      <c r="A16" s="5" t="n"/>
      <c r="B16" s="30" t="n"/>
      <c r="C16" s="30" t="n"/>
      <c r="D16" s="46" t="n"/>
      <c r="E16" s="5" t="n"/>
      <c r="F16" s="5" t="n"/>
      <c r="G16" s="30" t="n"/>
      <c r="H16" s="30" t="n"/>
      <c r="I16" s="5" t="n"/>
      <c r="J16" s="5" t="n"/>
      <c r="K16" s="5" t="n"/>
      <c r="L16" s="5" t="n"/>
      <c r="M16" s="5" t="n"/>
      <c r="N16" s="40" t="n"/>
    </row>
    <row r="17" ht="22" customHeight="1">
      <c r="A17" s="9" t="n"/>
      <c r="B17" s="31" t="n"/>
      <c r="C17" s="31" t="n"/>
      <c r="D17" s="47" t="n"/>
      <c r="E17" s="9" t="n"/>
      <c r="F17" s="9" t="n"/>
      <c r="G17" s="31" t="n"/>
      <c r="H17" s="31" t="n"/>
      <c r="I17" s="9" t="n"/>
      <c r="J17" s="9" t="n"/>
      <c r="K17" s="9" t="n"/>
      <c r="L17" s="9" t="n"/>
      <c r="M17" s="9" t="n"/>
      <c r="N17" s="41" t="n"/>
    </row>
    <row r="18" ht="22" customHeight="1">
      <c r="A18" s="5" t="n"/>
      <c r="B18" s="30" t="n"/>
      <c r="C18" s="30" t="n"/>
      <c r="D18" s="46" t="n"/>
      <c r="E18" s="5" t="n"/>
      <c r="F18" s="5" t="n"/>
      <c r="G18" s="30" t="n"/>
      <c r="H18" s="30" t="n"/>
      <c r="I18" s="5" t="n"/>
      <c r="J18" s="5" t="n"/>
      <c r="K18" s="5" t="n"/>
      <c r="L18" s="5" t="n"/>
      <c r="M18" s="5" t="n"/>
      <c r="N18" s="40" t="n"/>
    </row>
    <row r="19" ht="22" customHeight="1">
      <c r="A19" s="9" t="n"/>
      <c r="B19" s="31" t="n"/>
      <c r="C19" s="31" t="n"/>
      <c r="D19" s="47" t="n"/>
      <c r="E19" s="9" t="n"/>
      <c r="F19" s="9" t="n"/>
      <c r="G19" s="31" t="n"/>
      <c r="H19" s="31" t="n"/>
      <c r="I19" s="9" t="n"/>
      <c r="J19" s="9" t="n"/>
      <c r="K19" s="9" t="n"/>
      <c r="L19" s="9" t="n"/>
      <c r="M19" s="9" t="n"/>
      <c r="N19" s="41" t="n"/>
    </row>
    <row r="20" ht="22" customHeight="1">
      <c r="A20" s="5" t="n"/>
      <c r="B20" s="30" t="n"/>
      <c r="C20" s="30" t="n"/>
      <c r="D20" s="46" t="n"/>
      <c r="E20" s="5" t="n"/>
      <c r="F20" s="5" t="n"/>
      <c r="G20" s="30" t="n"/>
      <c r="H20" s="30" t="n"/>
      <c r="I20" s="5" t="n"/>
      <c r="J20" s="5" t="n"/>
      <c r="K20" s="5" t="n"/>
      <c r="L20" s="5" t="n"/>
      <c r="M20" s="5" t="n"/>
      <c r="N20" s="40" t="n"/>
    </row>
    <row r="21" ht="22" customHeight="1">
      <c r="A21" s="9" t="n"/>
      <c r="B21" s="31" t="n"/>
      <c r="C21" s="31" t="n"/>
      <c r="D21" s="47" t="n"/>
      <c r="E21" s="9" t="n"/>
      <c r="F21" s="9" t="n"/>
      <c r="G21" s="31" t="n"/>
      <c r="H21" s="31" t="n"/>
      <c r="I21" s="9" t="n"/>
      <c r="J21" s="9" t="n"/>
      <c r="K21" s="9" t="n"/>
      <c r="L21" s="9" t="n"/>
      <c r="M21" s="9" t="n"/>
      <c r="N21" s="41" t="n"/>
    </row>
    <row r="22" ht="22" customHeight="1">
      <c r="A22" s="5" t="n"/>
      <c r="B22" s="30" t="n"/>
      <c r="C22" s="30" t="n"/>
      <c r="D22" s="46" t="n"/>
      <c r="E22" s="5" t="n"/>
      <c r="F22" s="5" t="n"/>
      <c r="G22" s="30" t="n"/>
      <c r="H22" s="30" t="n"/>
      <c r="I22" s="5" t="n"/>
      <c r="J22" s="5" t="n"/>
      <c r="K22" s="5" t="n"/>
      <c r="L22" s="5" t="n"/>
      <c r="M22" s="5" t="n"/>
      <c r="N22" s="40" t="n"/>
    </row>
    <row r="23" ht="22" customHeight="1">
      <c r="A23" s="9" t="n"/>
      <c r="B23" s="31" t="n"/>
      <c r="C23" s="31" t="n"/>
      <c r="D23" s="47" t="n"/>
      <c r="E23" s="9" t="n"/>
      <c r="F23" s="9" t="n"/>
      <c r="G23" s="31" t="n"/>
      <c r="H23" s="31" t="n"/>
      <c r="I23" s="9" t="n"/>
      <c r="J23" s="9" t="n"/>
      <c r="K23" s="9" t="n"/>
      <c r="L23" s="9" t="n"/>
      <c r="M23" s="9" t="n"/>
      <c r="N23" s="41" t="n"/>
    </row>
    <row r="24" ht="22" customHeight="1">
      <c r="A24" s="5" t="n"/>
      <c r="B24" s="30" t="n"/>
      <c r="C24" s="30" t="n"/>
      <c r="D24" s="46" t="n"/>
      <c r="E24" s="5" t="n"/>
      <c r="F24" s="5" t="n"/>
      <c r="G24" s="30" t="n"/>
      <c r="H24" s="30" t="n"/>
      <c r="I24" s="5" t="n"/>
      <c r="J24" s="5" t="n"/>
      <c r="K24" s="5" t="n"/>
      <c r="L24" s="5" t="n"/>
      <c r="M24" s="5" t="n"/>
      <c r="N24" s="40" t="n"/>
    </row>
    <row r="25" ht="22" customHeight="1">
      <c r="A25" s="9" t="n"/>
      <c r="B25" s="31" t="n"/>
      <c r="C25" s="31" t="n"/>
      <c r="D25" s="47" t="n"/>
      <c r="E25" s="9" t="n"/>
      <c r="F25" s="9" t="n"/>
      <c r="G25" s="31" t="n"/>
      <c r="H25" s="31" t="n"/>
      <c r="I25" s="9" t="n"/>
      <c r="J25" s="9" t="n"/>
      <c r="K25" s="9" t="n"/>
      <c r="L25" s="9" t="n"/>
      <c r="M25" s="9" t="n"/>
      <c r="N25" s="41" t="n"/>
    </row>
    <row r="26" ht="22" customHeight="1">
      <c r="A26" s="5" t="n"/>
      <c r="B26" s="30" t="n"/>
      <c r="C26" s="30" t="n"/>
      <c r="D26" s="46" t="n"/>
      <c r="E26" s="5" t="n"/>
      <c r="F26" s="5" t="n"/>
      <c r="G26" s="30" t="n"/>
      <c r="H26" s="30" t="n"/>
      <c r="I26" s="5" t="n"/>
      <c r="J26" s="5" t="n"/>
      <c r="K26" s="5" t="n"/>
      <c r="L26" s="5" t="n"/>
      <c r="M26" s="5" t="n"/>
      <c r="N26" s="40" t="n"/>
    </row>
    <row r="27" ht="22" customHeight="1">
      <c r="A27" s="9" t="n"/>
      <c r="B27" s="31" t="n"/>
      <c r="C27" s="31" t="n"/>
      <c r="D27" s="47" t="n"/>
      <c r="E27" s="9" t="n"/>
      <c r="F27" s="9" t="n"/>
      <c r="G27" s="31" t="n"/>
      <c r="H27" s="31" t="n"/>
      <c r="I27" s="9" t="n"/>
      <c r="J27" s="9" t="n"/>
      <c r="K27" s="9" t="n"/>
      <c r="L27" s="9" t="n"/>
      <c r="M27" s="9" t="n"/>
      <c r="N27" s="41" t="n"/>
    </row>
    <row r="28" ht="22" customHeight="1">
      <c r="A28" s="5" t="n"/>
      <c r="B28" s="30" t="n"/>
      <c r="C28" s="30" t="n"/>
      <c r="D28" s="46" t="n"/>
      <c r="E28" s="5" t="n"/>
      <c r="F28" s="5" t="n"/>
      <c r="G28" s="30" t="n"/>
      <c r="H28" s="30" t="n"/>
      <c r="I28" s="5" t="n"/>
      <c r="J28" s="5" t="n"/>
      <c r="K28" s="5" t="n"/>
      <c r="L28" s="5" t="n"/>
      <c r="M28" s="5" t="n"/>
      <c r="N28" s="40" t="n"/>
    </row>
    <row r="29" ht="22" customHeight="1">
      <c r="A29" s="9" t="n"/>
      <c r="B29" s="31" t="n"/>
      <c r="C29" s="31" t="n"/>
      <c r="D29" s="47" t="n"/>
      <c r="E29" s="9" t="n"/>
      <c r="F29" s="9" t="n"/>
      <c r="G29" s="31" t="n"/>
      <c r="H29" s="31" t="n"/>
      <c r="I29" s="9" t="n"/>
      <c r="J29" s="9" t="n"/>
      <c r="K29" s="9" t="n"/>
      <c r="L29" s="9" t="n"/>
      <c r="M29" s="9" t="n"/>
      <c r="N29" s="41" t="n"/>
    </row>
    <row r="30" ht="22" customHeight="1">
      <c r="A30" s="5" t="n"/>
      <c r="B30" s="30" t="n"/>
      <c r="C30" s="30" t="n"/>
      <c r="D30" s="46" t="n"/>
      <c r="E30" s="5" t="n"/>
      <c r="F30" s="5" t="n"/>
      <c r="G30" s="30" t="n"/>
      <c r="H30" s="30" t="n"/>
      <c r="I30" s="5" t="n"/>
      <c r="J30" s="5" t="n"/>
      <c r="K30" s="5" t="n"/>
      <c r="L30" s="5" t="n"/>
      <c r="M30" s="5" t="n"/>
      <c r="N30" s="40" t="n"/>
    </row>
    <row r="31" ht="22" customHeight="1">
      <c r="A31" s="9" t="n"/>
      <c r="B31" s="31" t="n"/>
      <c r="C31" s="31" t="n"/>
      <c r="D31" s="47" t="n"/>
      <c r="E31" s="9" t="n"/>
      <c r="F31" s="9" t="n"/>
      <c r="G31" s="31" t="n"/>
      <c r="H31" s="31" t="n"/>
      <c r="I31" s="9" t="n"/>
      <c r="J31" s="9" t="n"/>
      <c r="K31" s="9" t="n"/>
      <c r="L31" s="9" t="n"/>
      <c r="M31" s="9" t="n"/>
      <c r="N31" s="41" t="n"/>
    </row>
    <row r="32" ht="22" customHeight="1">
      <c r="A32" s="5" t="n"/>
      <c r="B32" s="30" t="n"/>
      <c r="C32" s="30" t="n"/>
      <c r="D32" s="46" t="n"/>
      <c r="E32" s="5" t="n"/>
      <c r="F32" s="5" t="n"/>
      <c r="G32" s="30" t="n"/>
      <c r="H32" s="30" t="n"/>
      <c r="I32" s="5" t="n"/>
      <c r="J32" s="5" t="n"/>
      <c r="K32" s="5" t="n"/>
      <c r="L32" s="5" t="n"/>
      <c r="M32" s="5" t="n"/>
      <c r="N32" s="40" t="n"/>
    </row>
    <row r="33" ht="22" customHeight="1">
      <c r="A33" s="9" t="n"/>
      <c r="B33" s="31" t="n"/>
      <c r="C33" s="31" t="n"/>
      <c r="D33" s="47" t="n"/>
      <c r="E33" s="9" t="n"/>
      <c r="F33" s="9" t="n"/>
      <c r="G33" s="31" t="n"/>
      <c r="H33" s="31" t="n"/>
      <c r="I33" s="9" t="n"/>
      <c r="J33" s="9" t="n"/>
      <c r="K33" s="9" t="n"/>
      <c r="L33" s="9" t="n"/>
      <c r="M33" s="9" t="n"/>
      <c r="N33" s="41" t="n"/>
    </row>
    <row r="34" ht="22" customHeight="1">
      <c r="A34" s="5" t="n"/>
      <c r="B34" s="30" t="n"/>
      <c r="C34" s="30" t="n"/>
      <c r="D34" s="46" t="n"/>
      <c r="E34" s="5" t="n"/>
      <c r="F34" s="5" t="n"/>
      <c r="G34" s="30" t="n"/>
      <c r="H34" s="30" t="n"/>
      <c r="I34" s="5" t="n"/>
      <c r="J34" s="5" t="n"/>
      <c r="K34" s="5" t="n"/>
      <c r="L34" s="5" t="n"/>
      <c r="M34" s="5" t="n"/>
      <c r="N34" s="40" t="n"/>
    </row>
    <row r="35" ht="22" customHeight="1">
      <c r="A35" s="9" t="n"/>
      <c r="B35" s="31" t="n"/>
      <c r="C35" s="31" t="n"/>
      <c r="D35" s="47" t="n"/>
      <c r="E35" s="9" t="n"/>
      <c r="F35" s="9" t="n"/>
      <c r="G35" s="31" t="n"/>
      <c r="H35" s="31" t="n"/>
      <c r="I35" s="9" t="n"/>
      <c r="J35" s="9" t="n"/>
      <c r="K35" s="9" t="n"/>
      <c r="L35" s="9" t="n"/>
      <c r="M35" s="9" t="n"/>
      <c r="N35" s="41" t="n"/>
    </row>
    <row r="36" ht="22" customHeight="1">
      <c r="A36" s="5" t="n"/>
      <c r="B36" s="30" t="n"/>
      <c r="C36" s="30" t="n"/>
      <c r="D36" s="46" t="n"/>
      <c r="E36" s="5" t="n"/>
      <c r="F36" s="5" t="n"/>
      <c r="G36" s="30" t="n"/>
      <c r="H36" s="30" t="n"/>
      <c r="I36" s="5" t="n"/>
      <c r="J36" s="5" t="n"/>
      <c r="K36" s="5" t="n"/>
      <c r="L36" s="5" t="n"/>
      <c r="M36" s="5" t="n"/>
      <c r="N36" s="40" t="n"/>
    </row>
    <row r="37" ht="22" customHeight="1">
      <c r="A37" s="9" t="n"/>
      <c r="B37" s="31" t="n"/>
      <c r="C37" s="31" t="n"/>
      <c r="D37" s="47" t="n"/>
      <c r="E37" s="9" t="n"/>
      <c r="F37" s="9" t="n"/>
      <c r="G37" s="31" t="n"/>
      <c r="H37" s="31" t="n"/>
      <c r="I37" s="9" t="n"/>
      <c r="J37" s="9" t="n"/>
      <c r="K37" s="9" t="n"/>
      <c r="L37" s="9" t="n"/>
      <c r="M37" s="9" t="n"/>
      <c r="N37" s="41" t="n"/>
    </row>
    <row r="38" ht="22" customHeight="1">
      <c r="A38" s="5" t="n"/>
      <c r="B38" s="30" t="n"/>
      <c r="C38" s="30" t="n"/>
      <c r="D38" s="46" t="n"/>
      <c r="E38" s="5" t="n"/>
      <c r="F38" s="5" t="n"/>
      <c r="G38" s="30" t="n"/>
      <c r="H38" s="30" t="n"/>
      <c r="I38" s="5" t="n"/>
      <c r="J38" s="5" t="n"/>
      <c r="K38" s="5" t="n"/>
      <c r="L38" s="5" t="n"/>
      <c r="M38" s="5" t="n"/>
      <c r="N38" s="40" t="n"/>
    </row>
    <row r="39" ht="22" customHeight="1">
      <c r="A39" s="9" t="n"/>
      <c r="B39" s="31" t="n"/>
      <c r="C39" s="31" t="n"/>
      <c r="D39" s="47" t="n"/>
      <c r="E39" s="9" t="n"/>
      <c r="F39" s="9" t="n"/>
      <c r="G39" s="31" t="n"/>
      <c r="H39" s="31" t="n"/>
      <c r="I39" s="9" t="n"/>
      <c r="J39" s="9" t="n"/>
      <c r="K39" s="9" t="n"/>
      <c r="L39" s="9" t="n"/>
      <c r="M39" s="9" t="n"/>
      <c r="N39" s="41" t="n"/>
    </row>
    <row r="40" ht="22" customHeight="1">
      <c r="A40" s="5" t="n"/>
      <c r="B40" s="30" t="n"/>
      <c r="C40" s="30" t="n"/>
      <c r="D40" s="46" t="n"/>
      <c r="E40" s="5" t="n"/>
      <c r="F40" s="5" t="n"/>
      <c r="G40" s="30" t="n"/>
      <c r="H40" s="30" t="n"/>
      <c r="I40" s="5" t="n"/>
      <c r="J40" s="5" t="n"/>
      <c r="K40" s="5" t="n"/>
      <c r="L40" s="5" t="n"/>
      <c r="M40" s="5" t="n"/>
      <c r="N40" s="40" t="n"/>
    </row>
    <row r="41" ht="22" customHeight="1">
      <c r="A41" s="9" t="n"/>
      <c r="B41" s="31" t="n"/>
      <c r="C41" s="31" t="n"/>
      <c r="D41" s="47" t="n"/>
      <c r="E41" s="9" t="n"/>
      <c r="F41" s="9" t="n"/>
      <c r="G41" s="31" t="n"/>
      <c r="H41" s="31" t="n"/>
      <c r="I41" s="9" t="n"/>
      <c r="J41" s="9" t="n"/>
      <c r="K41" s="9" t="n"/>
      <c r="L41" s="9" t="n"/>
      <c r="M41" s="9" t="n"/>
      <c r="N41" s="41" t="n"/>
    </row>
    <row r="42" ht="22" customHeight="1">
      <c r="A42" s="5" t="n"/>
      <c r="B42" s="30" t="n"/>
      <c r="C42" s="30" t="n"/>
      <c r="D42" s="46" t="n"/>
      <c r="E42" s="5" t="n"/>
      <c r="F42" s="5" t="n"/>
      <c r="G42" s="30" t="n"/>
      <c r="H42" s="30" t="n"/>
      <c r="I42" s="5" t="n"/>
      <c r="J42" s="5" t="n"/>
      <c r="K42" s="5" t="n"/>
      <c r="L42" s="5" t="n"/>
      <c r="M42" s="5" t="n"/>
      <c r="N42" s="40" t="n"/>
    </row>
    <row r="43" ht="22" customHeight="1">
      <c r="A43" s="9" t="n"/>
      <c r="B43" s="31" t="n"/>
      <c r="C43" s="31" t="n"/>
      <c r="D43" s="47" t="n"/>
      <c r="E43" s="9" t="n"/>
      <c r="F43" s="9" t="n"/>
      <c r="G43" s="31" t="n"/>
      <c r="H43" s="31" t="n"/>
      <c r="I43" s="9" t="n"/>
      <c r="J43" s="9" t="n"/>
      <c r="K43" s="9" t="n"/>
      <c r="L43" s="9" t="n"/>
      <c r="M43" s="9" t="n"/>
      <c r="N43" s="41" t="n"/>
    </row>
    <row r="44" ht="22" customHeight="1">
      <c r="A44" s="5" t="n"/>
      <c r="B44" s="30" t="n"/>
      <c r="C44" s="30" t="n"/>
      <c r="D44" s="46" t="n"/>
      <c r="E44" s="5" t="n"/>
      <c r="F44" s="5" t="n"/>
      <c r="G44" s="30" t="n"/>
      <c r="H44" s="30" t="n"/>
      <c r="I44" s="5" t="n"/>
      <c r="J44" s="5" t="n"/>
      <c r="K44" s="5" t="n"/>
      <c r="L44" s="5" t="n"/>
      <c r="M44" s="5" t="n"/>
      <c r="N44" s="40" t="n"/>
    </row>
    <row r="45" ht="22" customHeight="1">
      <c r="A45" s="9" t="n"/>
      <c r="B45" s="31" t="n"/>
      <c r="C45" s="31" t="n"/>
      <c r="D45" s="47" t="n"/>
      <c r="E45" s="9" t="n"/>
      <c r="F45" s="9" t="n"/>
      <c r="G45" s="31" t="n"/>
      <c r="H45" s="31" t="n"/>
      <c r="I45" s="9" t="n"/>
      <c r="J45" s="9" t="n"/>
      <c r="K45" s="9" t="n"/>
      <c r="L45" s="9" t="n"/>
      <c r="M45" s="9" t="n"/>
      <c r="N45" s="41" t="n"/>
    </row>
    <row r="46" ht="22" customHeight="1">
      <c r="A46" s="5" t="n"/>
      <c r="B46" s="30" t="n"/>
      <c r="C46" s="30" t="n"/>
      <c r="D46" s="46" t="n"/>
      <c r="E46" s="5" t="n"/>
      <c r="F46" s="5" t="n"/>
      <c r="G46" s="30" t="n"/>
      <c r="H46" s="30" t="n"/>
      <c r="I46" s="5" t="n"/>
      <c r="J46" s="5" t="n"/>
      <c r="K46" s="5" t="n"/>
      <c r="L46" s="5" t="n"/>
      <c r="M46" s="5" t="n"/>
      <c r="N46" s="40" t="n"/>
    </row>
    <row r="47" ht="22" customHeight="1">
      <c r="A47" s="9" t="n"/>
      <c r="B47" s="31" t="n"/>
      <c r="C47" s="31" t="n"/>
      <c r="D47" s="47" t="n"/>
      <c r="E47" s="9" t="n"/>
      <c r="F47" s="9" t="n"/>
      <c r="G47" s="31" t="n"/>
      <c r="H47" s="31" t="n"/>
      <c r="I47" s="9" t="n"/>
      <c r="J47" s="9" t="n"/>
      <c r="K47" s="9" t="n"/>
      <c r="L47" s="9" t="n"/>
      <c r="M47" s="9" t="n"/>
      <c r="N47" s="41" t="n"/>
    </row>
    <row r="48" ht="22" customHeight="1">
      <c r="A48" s="5" t="n"/>
      <c r="B48" s="30" t="n"/>
      <c r="C48" s="30" t="n"/>
      <c r="D48" s="46" t="n"/>
      <c r="E48" s="5" t="n"/>
      <c r="F48" s="5" t="n"/>
      <c r="G48" s="30" t="n"/>
      <c r="H48" s="30" t="n"/>
      <c r="I48" s="5" t="n"/>
      <c r="J48" s="5" t="n"/>
      <c r="K48" s="5" t="n"/>
      <c r="L48" s="5" t="n"/>
      <c r="M48" s="5" t="n"/>
      <c r="N48" s="40" t="n"/>
    </row>
    <row r="49" ht="22" customHeight="1">
      <c r="A49" s="9" t="n"/>
      <c r="B49" s="31" t="n"/>
      <c r="C49" s="31" t="n"/>
      <c r="D49" s="47" t="n"/>
      <c r="E49" s="9" t="n"/>
      <c r="F49" s="9" t="n"/>
      <c r="G49" s="31" t="n"/>
      <c r="H49" s="31" t="n"/>
      <c r="I49" s="9" t="n"/>
      <c r="J49" s="9" t="n"/>
      <c r="K49" s="9" t="n"/>
      <c r="L49" s="9" t="n"/>
      <c r="M49" s="9" t="n"/>
      <c r="N49" s="41" t="n"/>
    </row>
    <row r="50" ht="22" customHeight="1">
      <c r="A50" s="5" t="n"/>
      <c r="B50" s="30" t="n"/>
      <c r="C50" s="30" t="n"/>
      <c r="D50" s="46" t="n"/>
      <c r="E50" s="5" t="n"/>
      <c r="F50" s="5" t="n"/>
      <c r="G50" s="30" t="n"/>
      <c r="H50" s="30" t="n"/>
      <c r="I50" s="5" t="n"/>
      <c r="J50" s="5" t="n"/>
      <c r="K50" s="5" t="n"/>
      <c r="L50" s="5" t="n"/>
      <c r="M50" s="5" t="n"/>
      <c r="N50" s="40" t="n"/>
    </row>
    <row r="51" ht="22" customHeight="1">
      <c r="A51" s="9" t="n"/>
      <c r="B51" s="31" t="n"/>
      <c r="C51" s="31" t="n"/>
      <c r="D51" s="47" t="n"/>
      <c r="E51" s="9" t="n"/>
      <c r="F51" s="9" t="n"/>
      <c r="G51" s="31" t="n"/>
      <c r="H51" s="31" t="n"/>
      <c r="I51" s="9" t="n"/>
      <c r="J51" s="9" t="n"/>
      <c r="K51" s="9" t="n"/>
      <c r="L51" s="9" t="n"/>
      <c r="M51" s="9" t="n"/>
      <c r="N51" s="41" t="n"/>
    </row>
    <row r="52" ht="22" customHeight="1">
      <c r="A52" s="5" t="n"/>
      <c r="B52" s="30" t="n"/>
      <c r="C52" s="30" t="n"/>
      <c r="D52" s="46" t="n"/>
      <c r="E52" s="5" t="n"/>
      <c r="F52" s="5" t="n"/>
      <c r="G52" s="30" t="n"/>
      <c r="H52" s="30" t="n"/>
      <c r="I52" s="5" t="n"/>
      <c r="J52" s="5" t="n"/>
      <c r="K52" s="5" t="n"/>
      <c r="L52" s="5" t="n"/>
      <c r="M52" s="5" t="n"/>
      <c r="N52" s="40" t="n"/>
    </row>
    <row r="53" ht="22" customHeight="1">
      <c r="A53" s="9" t="n"/>
      <c r="B53" s="31" t="n"/>
      <c r="C53" s="31" t="n"/>
      <c r="D53" s="47" t="n"/>
      <c r="E53" s="9" t="n"/>
      <c r="F53" s="9" t="n"/>
      <c r="G53" s="31" t="n"/>
      <c r="H53" s="31" t="n"/>
      <c r="I53" s="9" t="n"/>
      <c r="J53" s="9" t="n"/>
      <c r="K53" s="9" t="n"/>
      <c r="L53" s="9" t="n"/>
      <c r="M53" s="9" t="n"/>
      <c r="N53" s="41" t="n"/>
    </row>
    <row r="54" ht="22" customHeight="1">
      <c r="A54" s="5" t="n"/>
      <c r="B54" s="30" t="n"/>
      <c r="C54" s="30" t="n"/>
      <c r="D54" s="46" t="n"/>
      <c r="E54" s="5" t="n"/>
      <c r="F54" s="5" t="n"/>
      <c r="G54" s="30" t="n"/>
      <c r="H54" s="30" t="n"/>
      <c r="I54" s="5" t="n"/>
      <c r="J54" s="5" t="n"/>
      <c r="K54" s="5" t="n"/>
      <c r="L54" s="5" t="n"/>
      <c r="M54" s="5" t="n"/>
      <c r="N54" s="40" t="n"/>
    </row>
    <row r="55" ht="22" customHeight="1">
      <c r="A55" s="9" t="n"/>
      <c r="B55" s="31" t="n"/>
      <c r="C55" s="31" t="n"/>
      <c r="D55" s="47" t="n"/>
      <c r="E55" s="9" t="n"/>
      <c r="F55" s="9" t="n"/>
      <c r="G55" s="31" t="n"/>
      <c r="H55" s="31" t="n"/>
      <c r="I55" s="9" t="n"/>
      <c r="J55" s="9" t="n"/>
      <c r="K55" s="9" t="n"/>
      <c r="L55" s="9" t="n"/>
      <c r="M55" s="9" t="n"/>
      <c r="N55" s="41" t="n"/>
    </row>
    <row r="56" ht="22" customHeight="1">
      <c r="A56" s="5" t="n"/>
      <c r="B56" s="30" t="n"/>
      <c r="C56" s="30" t="n"/>
      <c r="D56" s="46" t="n"/>
      <c r="E56" s="5" t="n"/>
      <c r="F56" s="5" t="n"/>
      <c r="G56" s="30" t="n"/>
      <c r="H56" s="30" t="n"/>
      <c r="I56" s="5" t="n"/>
      <c r="J56" s="5" t="n"/>
      <c r="K56" s="5" t="n"/>
      <c r="L56" s="5" t="n"/>
      <c r="M56" s="5" t="n"/>
      <c r="N56" s="40" t="n"/>
    </row>
    <row r="57" ht="22" customHeight="1">
      <c r="A57" s="9" t="n"/>
      <c r="B57" s="31" t="n"/>
      <c r="C57" s="31" t="n"/>
      <c r="D57" s="47" t="n"/>
      <c r="E57" s="9" t="n"/>
      <c r="F57" s="9" t="n"/>
      <c r="G57" s="31" t="n"/>
      <c r="H57" s="31" t="n"/>
      <c r="I57" s="9" t="n"/>
      <c r="J57" s="9" t="n"/>
      <c r="K57" s="9" t="n"/>
      <c r="L57" s="9" t="n"/>
      <c r="M57" s="9" t="n"/>
      <c r="N57" s="41" t="n"/>
    </row>
    <row r="58" ht="22" customHeight="1">
      <c r="A58" s="5" t="n"/>
      <c r="B58" s="30" t="n"/>
      <c r="C58" s="30" t="n"/>
      <c r="D58" s="46" t="n"/>
      <c r="E58" s="5" t="n"/>
      <c r="F58" s="5" t="n"/>
      <c r="G58" s="30" t="n"/>
      <c r="H58" s="30" t="n"/>
      <c r="I58" s="5" t="n"/>
      <c r="J58" s="5" t="n"/>
      <c r="K58" s="5" t="n"/>
      <c r="L58" s="5" t="n"/>
      <c r="M58" s="5" t="n"/>
      <c r="N58" s="40" t="n"/>
    </row>
    <row r="59" ht="22" customHeight="1">
      <c r="A59" s="9" t="n"/>
      <c r="B59" s="31" t="n"/>
      <c r="C59" s="31" t="n"/>
      <c r="D59" s="47" t="n"/>
      <c r="E59" s="9" t="n"/>
      <c r="F59" s="9" t="n"/>
      <c r="G59" s="31" t="n"/>
      <c r="H59" s="31" t="n"/>
      <c r="I59" s="9" t="n"/>
      <c r="J59" s="9" t="n"/>
      <c r="K59" s="9" t="n"/>
      <c r="L59" s="9" t="n"/>
      <c r="M59" s="9" t="n"/>
      <c r="N59" s="41" t="n"/>
    </row>
    <row r="60" ht="22" customHeight="1">
      <c r="A60" s="5" t="n"/>
      <c r="B60" s="30" t="n"/>
      <c r="C60" s="30" t="n"/>
      <c r="D60" s="46" t="n"/>
      <c r="E60" s="5" t="n"/>
      <c r="F60" s="5" t="n"/>
      <c r="G60" s="30" t="n"/>
      <c r="H60" s="30" t="n"/>
      <c r="I60" s="5" t="n"/>
      <c r="J60" s="5" t="n"/>
      <c r="K60" s="5" t="n"/>
      <c r="L60" s="5" t="n"/>
      <c r="M60" s="5" t="n"/>
      <c r="N60" s="40" t="n"/>
    </row>
    <row r="61" ht="22" customHeight="1">
      <c r="A61" s="9" t="n"/>
      <c r="B61" s="31" t="n"/>
      <c r="C61" s="31" t="n"/>
      <c r="D61" s="47" t="n"/>
      <c r="E61" s="9" t="n"/>
      <c r="F61" s="9" t="n"/>
      <c r="G61" s="31" t="n"/>
      <c r="H61" s="31" t="n"/>
      <c r="I61" s="9" t="n"/>
      <c r="J61" s="9" t="n"/>
      <c r="K61" s="9" t="n"/>
      <c r="L61" s="9" t="n"/>
      <c r="M61" s="9" t="n"/>
      <c r="N61" s="41" t="n"/>
    </row>
    <row r="62" ht="22" customHeight="1">
      <c r="A62" s="5" t="n"/>
      <c r="B62" s="30" t="n"/>
      <c r="C62" s="30" t="n"/>
      <c r="D62" s="46" t="n"/>
      <c r="E62" s="5" t="n"/>
      <c r="F62" s="5" t="n"/>
      <c r="G62" s="30" t="n"/>
      <c r="H62" s="30" t="n"/>
      <c r="I62" s="5" t="n"/>
      <c r="J62" s="5" t="n"/>
      <c r="K62" s="5" t="n"/>
      <c r="L62" s="5" t="n"/>
      <c r="M62" s="5" t="n"/>
      <c r="N62" s="40" t="n"/>
    </row>
    <row r="63" ht="22" customHeight="1">
      <c r="A63" s="9" t="n"/>
      <c r="B63" s="31" t="n"/>
      <c r="C63" s="31" t="n"/>
      <c r="D63" s="47" t="n"/>
      <c r="E63" s="9" t="n"/>
      <c r="F63" s="9" t="n"/>
      <c r="G63" s="31" t="n"/>
      <c r="H63" s="31" t="n"/>
      <c r="I63" s="9" t="n"/>
      <c r="J63" s="9" t="n"/>
      <c r="K63" s="9" t="n"/>
      <c r="L63" s="9" t="n"/>
      <c r="M63" s="9" t="n"/>
      <c r="N63" s="41" t="n"/>
    </row>
    <row r="64" ht="22" customHeight="1">
      <c r="A64" s="5" t="n"/>
      <c r="B64" s="30" t="n"/>
      <c r="C64" s="30" t="n"/>
      <c r="D64" s="46" t="n"/>
      <c r="E64" s="5" t="n"/>
      <c r="F64" s="5" t="n"/>
      <c r="G64" s="30" t="n"/>
      <c r="H64" s="30" t="n"/>
      <c r="I64" s="5" t="n"/>
      <c r="J64" s="5" t="n"/>
      <c r="K64" s="5" t="n"/>
      <c r="L64" s="5" t="n"/>
      <c r="M64" s="5" t="n"/>
      <c r="N64" s="40" t="n"/>
    </row>
    <row r="65" ht="22" customHeight="1">
      <c r="A65" s="9" t="n"/>
      <c r="B65" s="31" t="n"/>
      <c r="C65" s="31" t="n"/>
      <c r="D65" s="47" t="n"/>
      <c r="E65" s="9" t="n"/>
      <c r="F65" s="9" t="n"/>
      <c r="G65" s="31" t="n"/>
      <c r="H65" s="31" t="n"/>
      <c r="I65" s="9" t="n"/>
      <c r="J65" s="9" t="n"/>
      <c r="K65" s="9" t="n"/>
      <c r="L65" s="9" t="n"/>
      <c r="M65" s="9" t="n"/>
      <c r="N65" s="41" t="n"/>
    </row>
    <row r="66" ht="22" customHeight="1">
      <c r="A66" s="5" t="n"/>
      <c r="B66" s="30" t="n"/>
      <c r="C66" s="30" t="n"/>
      <c r="D66" s="46" t="n"/>
      <c r="E66" s="5" t="n"/>
      <c r="F66" s="5" t="n"/>
      <c r="G66" s="30" t="n"/>
      <c r="H66" s="30" t="n"/>
      <c r="I66" s="5" t="n"/>
      <c r="J66" s="5" t="n"/>
      <c r="K66" s="5" t="n"/>
      <c r="L66" s="5" t="n"/>
      <c r="M66" s="5" t="n"/>
      <c r="N66" s="40" t="n"/>
    </row>
    <row r="67" ht="22" customHeight="1">
      <c r="A67" s="9" t="n"/>
      <c r="B67" s="31" t="n"/>
      <c r="C67" s="31" t="n"/>
      <c r="D67" s="47" t="n"/>
      <c r="E67" s="9" t="n"/>
      <c r="F67" s="9" t="n"/>
      <c r="G67" s="31" t="n"/>
      <c r="H67" s="31" t="n"/>
      <c r="I67" s="9" t="n"/>
      <c r="J67" s="9" t="n"/>
      <c r="K67" s="9" t="n"/>
      <c r="L67" s="9" t="n"/>
      <c r="M67" s="9" t="n"/>
      <c r="N67" s="41" t="n"/>
    </row>
    <row r="68" ht="22" customHeight="1">
      <c r="A68" s="5" t="n"/>
      <c r="B68" s="30" t="n"/>
      <c r="C68" s="30" t="n"/>
      <c r="D68" s="46" t="n"/>
      <c r="E68" s="5" t="n"/>
      <c r="F68" s="5" t="n"/>
      <c r="G68" s="30" t="n"/>
      <c r="H68" s="30" t="n"/>
      <c r="I68" s="5" t="n"/>
      <c r="J68" s="5" t="n"/>
      <c r="K68" s="5" t="n"/>
      <c r="L68" s="5" t="n"/>
      <c r="M68" s="5" t="n"/>
      <c r="N68" s="40" t="n"/>
    </row>
    <row r="69" ht="22" customHeight="1">
      <c r="A69" s="9" t="n"/>
      <c r="B69" s="31" t="n"/>
      <c r="C69" s="31" t="n"/>
      <c r="D69" s="47" t="n"/>
      <c r="E69" s="9" t="n"/>
      <c r="F69" s="9" t="n"/>
      <c r="G69" s="31" t="n"/>
      <c r="H69" s="31" t="n"/>
      <c r="I69" s="9" t="n"/>
      <c r="J69" s="9" t="n"/>
      <c r="K69" s="9" t="n"/>
      <c r="L69" s="9" t="n"/>
      <c r="M69" s="9" t="n"/>
      <c r="N69" s="41" t="n"/>
    </row>
    <row r="70" ht="22" customHeight="1">
      <c r="A70" s="5" t="n"/>
      <c r="B70" s="30" t="n"/>
      <c r="C70" s="30" t="n"/>
      <c r="D70" s="46" t="n"/>
      <c r="E70" s="5" t="n"/>
      <c r="F70" s="5" t="n"/>
      <c r="G70" s="30" t="n"/>
      <c r="H70" s="30" t="n"/>
      <c r="I70" s="5" t="n"/>
      <c r="J70" s="5" t="n"/>
      <c r="K70" s="5" t="n"/>
      <c r="L70" s="5" t="n"/>
      <c r="M70" s="5" t="n"/>
      <c r="N70" s="40" t="n"/>
    </row>
    <row r="71" ht="22" customHeight="1">
      <c r="A71" s="9" t="n"/>
      <c r="B71" s="31" t="n"/>
      <c r="C71" s="31" t="n"/>
      <c r="D71" s="47" t="n"/>
      <c r="E71" s="9" t="n"/>
      <c r="F71" s="9" t="n"/>
      <c r="G71" s="31" t="n"/>
      <c r="H71" s="31" t="n"/>
      <c r="I71" s="9" t="n"/>
      <c r="J71" s="9" t="n"/>
      <c r="K71" s="9" t="n"/>
      <c r="L71" s="9" t="n"/>
      <c r="M71" s="9" t="n"/>
      <c r="N71" s="41" t="n"/>
    </row>
    <row r="72" ht="22" customHeight="1">
      <c r="A72" s="5" t="n"/>
      <c r="B72" s="30" t="n"/>
      <c r="C72" s="30" t="n"/>
      <c r="D72" s="46" t="n"/>
      <c r="E72" s="5" t="n"/>
      <c r="F72" s="5" t="n"/>
      <c r="G72" s="30" t="n"/>
      <c r="H72" s="30" t="n"/>
      <c r="I72" s="5" t="n"/>
      <c r="J72" s="5" t="n"/>
      <c r="K72" s="5" t="n"/>
      <c r="L72" s="5" t="n"/>
      <c r="M72" s="5" t="n"/>
      <c r="N72" s="40" t="n"/>
    </row>
    <row r="73" ht="22" customHeight="1">
      <c r="A73" s="9" t="n"/>
      <c r="B73" s="31" t="n"/>
      <c r="C73" s="31" t="n"/>
      <c r="D73" s="47" t="n"/>
      <c r="E73" s="9" t="n"/>
      <c r="F73" s="9" t="n"/>
      <c r="G73" s="31" t="n"/>
      <c r="H73" s="31" t="n"/>
      <c r="I73" s="9" t="n"/>
      <c r="J73" s="9" t="n"/>
      <c r="K73" s="9" t="n"/>
      <c r="L73" s="9" t="n"/>
      <c r="M73" s="9" t="n"/>
      <c r="N73" s="41" t="n"/>
    </row>
    <row r="74" ht="22" customHeight="1">
      <c r="A74" s="5" t="n"/>
      <c r="B74" s="30" t="n"/>
      <c r="C74" s="30" t="n"/>
      <c r="D74" s="46" t="n"/>
      <c r="E74" s="5" t="n"/>
      <c r="F74" s="5" t="n"/>
      <c r="G74" s="30" t="n"/>
      <c r="H74" s="30" t="n"/>
      <c r="I74" s="5" t="n"/>
      <c r="J74" s="5" t="n"/>
      <c r="K74" s="5" t="n"/>
      <c r="L74" s="5" t="n"/>
      <c r="M74" s="5" t="n"/>
      <c r="N74" s="40" t="n"/>
    </row>
    <row r="75" ht="22" customHeight="1">
      <c r="A75" s="9" t="n"/>
      <c r="B75" s="31" t="n"/>
      <c r="C75" s="31" t="n"/>
      <c r="D75" s="47" t="n"/>
      <c r="E75" s="9" t="n"/>
      <c r="F75" s="9" t="n"/>
      <c r="G75" s="31" t="n"/>
      <c r="H75" s="31" t="n"/>
      <c r="I75" s="9" t="n"/>
      <c r="J75" s="9" t="n"/>
      <c r="K75" s="9" t="n"/>
      <c r="L75" s="9" t="n"/>
      <c r="M75" s="9" t="n"/>
      <c r="N75" s="41" t="n"/>
    </row>
    <row r="76" ht="22" customHeight="1">
      <c r="A76" s="5" t="n"/>
      <c r="B76" s="30" t="n"/>
      <c r="C76" s="30" t="n"/>
      <c r="D76" s="46" t="n"/>
      <c r="E76" s="5" t="n"/>
      <c r="F76" s="5" t="n"/>
      <c r="G76" s="30" t="n"/>
      <c r="H76" s="30" t="n"/>
      <c r="I76" s="5" t="n"/>
      <c r="J76" s="5" t="n"/>
      <c r="K76" s="5" t="n"/>
      <c r="L76" s="5" t="n"/>
      <c r="M76" s="5" t="n"/>
      <c r="N76" s="40" t="n"/>
    </row>
    <row r="77" ht="22" customHeight="1">
      <c r="A77" s="9" t="n"/>
      <c r="B77" s="31" t="n"/>
      <c r="C77" s="31" t="n"/>
      <c r="D77" s="47" t="n"/>
      <c r="E77" s="9" t="n"/>
      <c r="F77" s="9" t="n"/>
      <c r="G77" s="31" t="n"/>
      <c r="H77" s="31" t="n"/>
      <c r="I77" s="9" t="n"/>
      <c r="J77" s="9" t="n"/>
      <c r="K77" s="9" t="n"/>
      <c r="L77" s="9" t="n"/>
      <c r="M77" s="9" t="n"/>
      <c r="N77" s="41" t="n"/>
    </row>
    <row r="78" ht="22" customHeight="1">
      <c r="A78" s="5" t="n"/>
      <c r="B78" s="30" t="n"/>
      <c r="C78" s="30" t="n"/>
      <c r="D78" s="46" t="n"/>
      <c r="E78" s="5" t="n"/>
      <c r="F78" s="5" t="n"/>
      <c r="G78" s="30" t="n"/>
      <c r="H78" s="30" t="n"/>
      <c r="I78" s="5" t="n"/>
      <c r="J78" s="5" t="n"/>
      <c r="K78" s="5" t="n"/>
      <c r="L78" s="5" t="n"/>
      <c r="M78" s="5" t="n"/>
      <c r="N78" s="40" t="n"/>
    </row>
    <row r="79" ht="22" customHeight="1">
      <c r="A79" s="9" t="n"/>
      <c r="B79" s="31" t="n"/>
      <c r="C79" s="31" t="n"/>
      <c r="D79" s="47" t="n"/>
      <c r="E79" s="9" t="n"/>
      <c r="F79" s="9" t="n"/>
      <c r="G79" s="31" t="n"/>
      <c r="H79" s="31" t="n"/>
      <c r="I79" s="9" t="n"/>
      <c r="J79" s="9" t="n"/>
      <c r="K79" s="9" t="n"/>
      <c r="L79" s="9" t="n"/>
      <c r="M79" s="9" t="n"/>
      <c r="N79" s="41" t="n"/>
    </row>
    <row r="80" ht="22" customHeight="1">
      <c r="A80" s="5" t="n"/>
      <c r="B80" s="30" t="n"/>
      <c r="C80" s="30" t="n"/>
      <c r="D80" s="46" t="n"/>
      <c r="E80" s="5" t="n"/>
      <c r="F80" s="5" t="n"/>
      <c r="G80" s="30" t="n"/>
      <c r="H80" s="30" t="n"/>
      <c r="I80" s="5" t="n"/>
      <c r="J80" s="5" t="n"/>
      <c r="K80" s="5" t="n"/>
      <c r="L80" s="5" t="n"/>
      <c r="M80" s="5" t="n"/>
      <c r="N80" s="40" t="n"/>
    </row>
    <row r="81" ht="22" customHeight="1">
      <c r="A81" s="9" t="n"/>
      <c r="B81" s="31" t="n"/>
      <c r="C81" s="31" t="n"/>
      <c r="D81" s="47" t="n"/>
      <c r="E81" s="9" t="n"/>
      <c r="F81" s="9" t="n"/>
      <c r="G81" s="31" t="n"/>
      <c r="H81" s="31" t="n"/>
      <c r="I81" s="9" t="n"/>
      <c r="J81" s="9" t="n"/>
      <c r="K81" s="9" t="n"/>
      <c r="L81" s="9" t="n"/>
      <c r="M81" s="9" t="n"/>
      <c r="N81" s="41" t="n"/>
    </row>
    <row r="82" ht="22" customHeight="1">
      <c r="A82" s="5" t="n"/>
      <c r="B82" s="30" t="n"/>
      <c r="C82" s="30" t="n"/>
      <c r="D82" s="46" t="n"/>
      <c r="E82" s="5" t="n"/>
      <c r="F82" s="5" t="n"/>
      <c r="G82" s="30" t="n"/>
      <c r="H82" s="30" t="n"/>
      <c r="I82" s="5" t="n"/>
      <c r="J82" s="5" t="n"/>
      <c r="K82" s="5" t="n"/>
      <c r="L82" s="5" t="n"/>
      <c r="M82" s="5" t="n"/>
      <c r="N82" s="40" t="n"/>
    </row>
    <row r="83" ht="22" customHeight="1">
      <c r="A83" s="9" t="n"/>
      <c r="B83" s="31" t="n"/>
      <c r="C83" s="31" t="n"/>
      <c r="D83" s="47" t="n"/>
      <c r="E83" s="9" t="n"/>
      <c r="F83" s="9" t="n"/>
      <c r="G83" s="31" t="n"/>
      <c r="H83" s="31" t="n"/>
      <c r="I83" s="9" t="n"/>
      <c r="J83" s="9" t="n"/>
      <c r="K83" s="9" t="n"/>
      <c r="L83" s="9" t="n"/>
      <c r="M83" s="9" t="n"/>
      <c r="N83" s="41" t="n"/>
    </row>
    <row r="84" ht="22" customHeight="1">
      <c r="A84" s="5" t="n"/>
      <c r="B84" s="30" t="n"/>
      <c r="C84" s="30" t="n"/>
      <c r="D84" s="46" t="n"/>
      <c r="E84" s="5" t="n"/>
      <c r="F84" s="5" t="n"/>
      <c r="G84" s="30" t="n"/>
      <c r="H84" s="30" t="n"/>
      <c r="I84" s="5" t="n"/>
      <c r="J84" s="5" t="n"/>
      <c r="K84" s="5" t="n"/>
      <c r="L84" s="5" t="n"/>
      <c r="M84" s="5" t="n"/>
      <c r="N84" s="40" t="n"/>
    </row>
    <row r="85" ht="22" customHeight="1">
      <c r="A85" s="9" t="n"/>
      <c r="B85" s="31" t="n"/>
      <c r="C85" s="31" t="n"/>
      <c r="D85" s="47" t="n"/>
      <c r="E85" s="9" t="n"/>
      <c r="F85" s="9" t="n"/>
      <c r="G85" s="31" t="n"/>
      <c r="H85" s="31" t="n"/>
      <c r="I85" s="9" t="n"/>
      <c r="J85" s="9" t="n"/>
      <c r="K85" s="9" t="n"/>
      <c r="L85" s="9" t="n"/>
      <c r="M85" s="9" t="n"/>
      <c r="N85" s="41" t="n"/>
    </row>
    <row r="86" ht="22" customHeight="1">
      <c r="A86" s="5" t="n"/>
      <c r="B86" s="30" t="n"/>
      <c r="C86" s="30" t="n"/>
      <c r="D86" s="46" t="n"/>
      <c r="E86" s="5" t="n"/>
      <c r="F86" s="5" t="n"/>
      <c r="G86" s="30" t="n"/>
      <c r="H86" s="30" t="n"/>
      <c r="I86" s="5" t="n"/>
      <c r="J86" s="5" t="n"/>
      <c r="K86" s="5" t="n"/>
      <c r="L86" s="5" t="n"/>
      <c r="M86" s="5" t="n"/>
      <c r="N86" s="40" t="n"/>
    </row>
    <row r="87" ht="22" customHeight="1">
      <c r="A87" s="9" t="n"/>
      <c r="B87" s="31" t="n"/>
      <c r="C87" s="31" t="n"/>
      <c r="D87" s="47" t="n"/>
      <c r="E87" s="9" t="n"/>
      <c r="F87" s="9" t="n"/>
      <c r="G87" s="31" t="n"/>
      <c r="H87" s="31" t="n"/>
      <c r="I87" s="9" t="n"/>
      <c r="J87" s="9" t="n"/>
      <c r="K87" s="9" t="n"/>
      <c r="L87" s="9" t="n"/>
      <c r="M87" s="9" t="n"/>
      <c r="N87" s="41" t="n"/>
    </row>
    <row r="88" ht="22" customHeight="1">
      <c r="A88" s="5" t="n"/>
      <c r="B88" s="30" t="n"/>
      <c r="C88" s="30" t="n"/>
      <c r="D88" s="46" t="n"/>
      <c r="E88" s="5" t="n"/>
      <c r="F88" s="5" t="n"/>
      <c r="G88" s="30" t="n"/>
      <c r="H88" s="30" t="n"/>
      <c r="I88" s="5" t="n"/>
      <c r="J88" s="5" t="n"/>
      <c r="K88" s="5" t="n"/>
      <c r="L88" s="5" t="n"/>
      <c r="M88" s="5" t="n"/>
      <c r="N88" s="40" t="n"/>
    </row>
    <row r="89" ht="22" customHeight="1">
      <c r="A89" s="9" t="n"/>
      <c r="B89" s="31" t="n"/>
      <c r="C89" s="31" t="n"/>
      <c r="D89" s="47" t="n"/>
      <c r="E89" s="9" t="n"/>
      <c r="F89" s="9" t="n"/>
      <c r="G89" s="31" t="n"/>
      <c r="H89" s="31" t="n"/>
      <c r="I89" s="9" t="n"/>
      <c r="J89" s="9" t="n"/>
      <c r="K89" s="9" t="n"/>
      <c r="L89" s="9" t="n"/>
      <c r="M89" s="9" t="n"/>
      <c r="N89" s="41" t="n"/>
    </row>
    <row r="90" ht="22" customHeight="1">
      <c r="A90" s="5" t="n"/>
      <c r="B90" s="30" t="n"/>
      <c r="C90" s="30" t="n"/>
      <c r="D90" s="46" t="n"/>
      <c r="E90" s="5" t="n"/>
      <c r="F90" s="5" t="n"/>
      <c r="G90" s="30" t="n"/>
      <c r="H90" s="30" t="n"/>
      <c r="I90" s="5" t="n"/>
      <c r="J90" s="5" t="n"/>
      <c r="K90" s="5" t="n"/>
      <c r="L90" s="5" t="n"/>
      <c r="M90" s="5" t="n"/>
      <c r="N90" s="40" t="n"/>
    </row>
    <row r="91" ht="22" customHeight="1">
      <c r="A91" s="9" t="n"/>
      <c r="B91" s="31" t="n"/>
      <c r="C91" s="31" t="n"/>
      <c r="D91" s="47" t="n"/>
      <c r="E91" s="9" t="n"/>
      <c r="F91" s="9" t="n"/>
      <c r="G91" s="31" t="n"/>
      <c r="H91" s="31" t="n"/>
      <c r="I91" s="9" t="n"/>
      <c r="J91" s="9" t="n"/>
      <c r="K91" s="9" t="n"/>
      <c r="L91" s="9" t="n"/>
      <c r="M91" s="9" t="n"/>
      <c r="N91" s="41" t="n"/>
    </row>
    <row r="92" ht="22" customHeight="1">
      <c r="A92" s="5" t="n"/>
      <c r="B92" s="30" t="n"/>
      <c r="C92" s="30" t="n"/>
      <c r="D92" s="46" t="n"/>
      <c r="E92" s="5" t="n"/>
      <c r="F92" s="5" t="n"/>
      <c r="G92" s="30" t="n"/>
      <c r="H92" s="30" t="n"/>
      <c r="I92" s="5" t="n"/>
      <c r="J92" s="5" t="n"/>
      <c r="K92" s="5" t="n"/>
      <c r="L92" s="5" t="n"/>
      <c r="M92" s="5" t="n"/>
      <c r="N92" s="40" t="n"/>
    </row>
    <row r="93" ht="22" customHeight="1">
      <c r="A93" s="9" t="n"/>
      <c r="B93" s="31" t="n"/>
      <c r="C93" s="31" t="n"/>
      <c r="D93" s="47" t="n"/>
      <c r="E93" s="9" t="n"/>
      <c r="F93" s="9" t="n"/>
      <c r="G93" s="31" t="n"/>
      <c r="H93" s="31" t="n"/>
      <c r="I93" s="9" t="n"/>
      <c r="J93" s="9" t="n"/>
      <c r="K93" s="9" t="n"/>
      <c r="L93" s="9" t="n"/>
      <c r="M93" s="9" t="n"/>
      <c r="N93" s="41" t="n"/>
    </row>
    <row r="94" ht="22" customHeight="1">
      <c r="A94" s="5" t="n"/>
      <c r="B94" s="30" t="n"/>
      <c r="C94" s="30" t="n"/>
      <c r="D94" s="46" t="n"/>
      <c r="E94" s="5" t="n"/>
      <c r="F94" s="5" t="n"/>
      <c r="G94" s="30" t="n"/>
      <c r="H94" s="30" t="n"/>
      <c r="I94" s="5" t="n"/>
      <c r="J94" s="5" t="n"/>
      <c r="K94" s="5" t="n"/>
      <c r="L94" s="5" t="n"/>
      <c r="M94" s="5" t="n"/>
      <c r="N94" s="40" t="n"/>
    </row>
    <row r="95" ht="22" customHeight="1">
      <c r="A95" s="9" t="n"/>
      <c r="B95" s="31" t="n"/>
      <c r="C95" s="31" t="n"/>
      <c r="D95" s="47" t="n"/>
      <c r="E95" s="9" t="n"/>
      <c r="F95" s="9" t="n"/>
      <c r="G95" s="31" t="n"/>
      <c r="H95" s="31" t="n"/>
      <c r="I95" s="9" t="n"/>
      <c r="J95" s="9" t="n"/>
      <c r="K95" s="9" t="n"/>
      <c r="L95" s="9" t="n"/>
      <c r="M95" s="9" t="n"/>
      <c r="N95" s="41" t="n"/>
    </row>
    <row r="96" ht="22" customHeight="1">
      <c r="A96" s="5" t="n"/>
      <c r="B96" s="30" t="n"/>
      <c r="C96" s="30" t="n"/>
      <c r="D96" s="46" t="n"/>
      <c r="E96" s="5" t="n"/>
      <c r="F96" s="5" t="n"/>
      <c r="G96" s="30" t="n"/>
      <c r="H96" s="30" t="n"/>
      <c r="I96" s="5" t="n"/>
      <c r="J96" s="5" t="n"/>
      <c r="K96" s="5" t="n"/>
      <c r="L96" s="5" t="n"/>
      <c r="M96" s="5" t="n"/>
      <c r="N96" s="40" t="n"/>
    </row>
    <row r="97" ht="22" customHeight="1">
      <c r="A97" s="9" t="n"/>
      <c r="B97" s="31" t="n"/>
      <c r="C97" s="31" t="n"/>
      <c r="D97" s="47" t="n"/>
      <c r="E97" s="9" t="n"/>
      <c r="F97" s="9" t="n"/>
      <c r="G97" s="31" t="n"/>
      <c r="H97" s="31" t="n"/>
      <c r="I97" s="9" t="n"/>
      <c r="J97" s="9" t="n"/>
      <c r="K97" s="9" t="n"/>
      <c r="L97" s="9" t="n"/>
      <c r="M97" s="9" t="n"/>
      <c r="N97" s="41" t="n"/>
    </row>
    <row r="98" ht="22" customHeight="1">
      <c r="A98" s="5" t="n"/>
      <c r="B98" s="30" t="n"/>
      <c r="C98" s="30" t="n"/>
      <c r="D98" s="46" t="n"/>
      <c r="E98" s="5" t="n"/>
      <c r="F98" s="5" t="n"/>
      <c r="G98" s="30" t="n"/>
      <c r="H98" s="30" t="n"/>
      <c r="I98" s="5" t="n"/>
      <c r="J98" s="5" t="n"/>
      <c r="K98" s="5" t="n"/>
      <c r="L98" s="5" t="n"/>
      <c r="M98" s="5" t="n"/>
      <c r="N98" s="40" t="n"/>
    </row>
    <row r="99" ht="22" customHeight="1">
      <c r="A99" s="9" t="n"/>
      <c r="B99" s="31" t="n"/>
      <c r="C99" s="31" t="n"/>
      <c r="D99" s="47" t="n"/>
      <c r="E99" s="9" t="n"/>
      <c r="F99" s="9" t="n"/>
      <c r="G99" s="31" t="n"/>
      <c r="H99" s="31" t="n"/>
      <c r="I99" s="9" t="n"/>
      <c r="J99" s="9" t="n"/>
      <c r="K99" s="9" t="n"/>
      <c r="L99" s="9" t="n"/>
      <c r="M99" s="9" t="n"/>
      <c r="N99" s="41" t="n"/>
    </row>
    <row r="100" ht="22" customHeight="1">
      <c r="A100" s="5" t="n"/>
      <c r="B100" s="30" t="n"/>
      <c r="C100" s="30" t="n"/>
      <c r="D100" s="46" t="n"/>
      <c r="E100" s="5" t="n"/>
      <c r="F100" s="5" t="n"/>
      <c r="G100" s="30" t="n"/>
      <c r="H100" s="30" t="n"/>
      <c r="I100" s="5" t="n"/>
      <c r="J100" s="5" t="n"/>
      <c r="K100" s="5" t="n"/>
      <c r="L100" s="5" t="n"/>
      <c r="M100" s="5" t="n"/>
      <c r="N100" s="40" t="n"/>
    </row>
    <row r="101" ht="22" customHeight="1">
      <c r="A101" s="9" t="n"/>
      <c r="B101" s="31" t="n"/>
      <c r="C101" s="31" t="n"/>
      <c r="D101" s="47" t="n"/>
      <c r="E101" s="9" t="n"/>
      <c r="F101" s="9" t="n"/>
      <c r="G101" s="31" t="n"/>
      <c r="H101" s="31" t="n"/>
      <c r="I101" s="9" t="n"/>
      <c r="J101" s="9" t="n"/>
      <c r="K101" s="9" t="n"/>
      <c r="L101" s="9" t="n"/>
      <c r="M101" s="9" t="n"/>
      <c r="N101" s="41" t="n"/>
    </row>
    <row r="102" ht="22" customHeight="1">
      <c r="A102" s="5" t="n"/>
      <c r="B102" s="30" t="n"/>
      <c r="C102" s="30" t="n"/>
      <c r="D102" s="46" t="n"/>
      <c r="E102" s="5" t="n"/>
      <c r="F102" s="5" t="n"/>
      <c r="G102" s="30" t="n"/>
      <c r="H102" s="30" t="n"/>
      <c r="I102" s="5" t="n"/>
      <c r="J102" s="5" t="n"/>
      <c r="K102" s="5" t="n"/>
      <c r="L102" s="5" t="n"/>
      <c r="M102" s="5" t="n"/>
      <c r="N102" s="40" t="n"/>
    </row>
    <row r="103" ht="22" customHeight="1">
      <c r="A103" s="9" t="n"/>
      <c r="B103" s="31" t="n"/>
      <c r="C103" s="31" t="n"/>
      <c r="D103" s="47" t="n"/>
      <c r="E103" s="9" t="n"/>
      <c r="F103" s="9" t="n"/>
      <c r="G103" s="31" t="n"/>
      <c r="H103" s="31" t="n"/>
      <c r="I103" s="9" t="n"/>
      <c r="J103" s="9" t="n"/>
      <c r="K103" s="9" t="n"/>
      <c r="L103" s="9" t="n"/>
      <c r="M103" s="9" t="n"/>
      <c r="N103" s="41" t="n"/>
    </row>
    <row r="104" ht="22" customHeight="1">
      <c r="A104" s="5" t="n"/>
      <c r="B104" s="30" t="n"/>
      <c r="C104" s="30" t="n"/>
      <c r="D104" s="46" t="n"/>
      <c r="E104" s="5" t="n"/>
      <c r="F104" s="5" t="n"/>
      <c r="G104" s="30" t="n"/>
      <c r="H104" s="30" t="n"/>
      <c r="I104" s="5" t="n"/>
      <c r="J104" s="5" t="n"/>
      <c r="K104" s="5" t="n"/>
      <c r="L104" s="5" t="n"/>
      <c r="M104" s="5" t="n"/>
      <c r="N104" s="40" t="n"/>
    </row>
    <row r="105" ht="22" customHeight="1">
      <c r="A105" s="9" t="n"/>
      <c r="B105" s="31" t="n"/>
      <c r="C105" s="31" t="n"/>
      <c r="D105" s="47" t="n"/>
      <c r="E105" s="9" t="n"/>
      <c r="F105" s="9" t="n"/>
      <c r="G105" s="31" t="n"/>
      <c r="H105" s="31" t="n"/>
      <c r="I105" s="9" t="n"/>
      <c r="J105" s="9" t="n"/>
      <c r="K105" s="9" t="n"/>
      <c r="L105" s="9" t="n"/>
      <c r="M105" s="9" t="n"/>
      <c r="N105" s="41" t="n"/>
    </row>
    <row r="106" ht="22" customHeight="1">
      <c r="A106" s="5" t="n"/>
      <c r="B106" s="30" t="n"/>
      <c r="C106" s="30" t="n"/>
      <c r="D106" s="46" t="n"/>
      <c r="E106" s="5" t="n"/>
      <c r="F106" s="5" t="n"/>
      <c r="G106" s="30" t="n"/>
      <c r="H106" s="30" t="n"/>
      <c r="I106" s="5" t="n"/>
      <c r="J106" s="5" t="n"/>
      <c r="K106" s="5" t="n"/>
      <c r="L106" s="5" t="n"/>
      <c r="M106" s="5" t="n"/>
      <c r="N106" s="40" t="n"/>
    </row>
    <row r="107" ht="22" customHeight="1">
      <c r="A107" s="9" t="n"/>
      <c r="B107" s="31" t="n"/>
      <c r="C107" s="31" t="n"/>
      <c r="D107" s="47" t="n"/>
      <c r="E107" s="9" t="n"/>
      <c r="F107" s="9" t="n"/>
      <c r="G107" s="31" t="n"/>
      <c r="H107" s="31" t="n"/>
      <c r="I107" s="9" t="n"/>
      <c r="J107" s="9" t="n"/>
      <c r="K107" s="9" t="n"/>
      <c r="L107" s="9" t="n"/>
      <c r="M107" s="9" t="n"/>
      <c r="N107" s="41" t="n"/>
    </row>
    <row r="108" ht="22" customHeight="1">
      <c r="A108" s="5" t="n"/>
      <c r="B108" s="30" t="n"/>
      <c r="C108" s="30" t="n"/>
      <c r="D108" s="46" t="n"/>
      <c r="E108" s="5" t="n"/>
      <c r="F108" s="5" t="n"/>
      <c r="G108" s="30" t="n"/>
      <c r="H108" s="30" t="n"/>
      <c r="I108" s="5" t="n"/>
      <c r="J108" s="5" t="n"/>
      <c r="K108" s="5" t="n"/>
      <c r="L108" s="5" t="n"/>
      <c r="M108" s="5" t="n"/>
      <c r="N108" s="40" t="n"/>
    </row>
    <row r="109" ht="22" customHeight="1">
      <c r="A109" s="9" t="n"/>
      <c r="B109" s="31" t="n"/>
      <c r="C109" s="31" t="n"/>
      <c r="D109" s="47" t="n"/>
      <c r="E109" s="9" t="n"/>
      <c r="F109" s="9" t="n"/>
      <c r="G109" s="31" t="n"/>
      <c r="H109" s="31" t="n"/>
      <c r="I109" s="9" t="n"/>
      <c r="J109" s="9" t="n"/>
      <c r="K109" s="9" t="n"/>
      <c r="L109" s="9" t="n"/>
      <c r="M109" s="9" t="n"/>
      <c r="N109" s="41" t="n"/>
    </row>
    <row r="110" ht="22" customHeight="1">
      <c r="A110" s="5" t="n"/>
      <c r="B110" s="30" t="n"/>
      <c r="C110" s="30" t="n"/>
      <c r="D110" s="46" t="n"/>
      <c r="E110" s="5" t="n"/>
      <c r="F110" s="5" t="n"/>
      <c r="G110" s="30" t="n"/>
      <c r="H110" s="30" t="n"/>
      <c r="I110" s="5" t="n"/>
      <c r="J110" s="5" t="n"/>
      <c r="K110" s="5" t="n"/>
      <c r="L110" s="5" t="n"/>
      <c r="M110" s="5" t="n"/>
      <c r="N110" s="40" t="n"/>
    </row>
    <row r="111" ht="22" customHeight="1">
      <c r="A111" s="9" t="n"/>
      <c r="B111" s="31" t="n"/>
      <c r="C111" s="31" t="n"/>
      <c r="D111" s="47" t="n"/>
      <c r="E111" s="9" t="n"/>
      <c r="F111" s="9" t="n"/>
      <c r="G111" s="31" t="n"/>
      <c r="H111" s="31" t="n"/>
      <c r="I111" s="9" t="n"/>
      <c r="J111" s="9" t="n"/>
      <c r="K111" s="9" t="n"/>
      <c r="L111" s="9" t="n"/>
      <c r="M111" s="9" t="n"/>
      <c r="N111" s="41" t="n"/>
    </row>
    <row r="112" ht="22" customHeight="1">
      <c r="A112" s="5" t="n"/>
      <c r="B112" s="30" t="n"/>
      <c r="C112" s="30" t="n"/>
      <c r="D112" s="46" t="n"/>
      <c r="E112" s="5" t="n"/>
      <c r="F112" s="5" t="n"/>
      <c r="G112" s="30" t="n"/>
      <c r="H112" s="30" t="n"/>
      <c r="I112" s="5" t="n"/>
      <c r="J112" s="5" t="n"/>
      <c r="K112" s="5" t="n"/>
      <c r="L112" s="5" t="n"/>
      <c r="M112" s="5" t="n"/>
      <c r="N112" s="40" t="n"/>
    </row>
    <row r="113" ht="22" customHeight="1">
      <c r="A113" s="9" t="n"/>
      <c r="B113" s="31" t="n"/>
      <c r="C113" s="31" t="n"/>
      <c r="D113" s="47" t="n"/>
      <c r="E113" s="9" t="n"/>
      <c r="F113" s="9" t="n"/>
      <c r="G113" s="31" t="n"/>
      <c r="H113" s="31" t="n"/>
      <c r="I113" s="9" t="n"/>
      <c r="J113" s="9" t="n"/>
      <c r="K113" s="9" t="n"/>
      <c r="L113" s="9" t="n"/>
      <c r="M113" s="9" t="n"/>
      <c r="N113" s="41" t="n"/>
    </row>
    <row r="114" ht="22" customHeight="1">
      <c r="A114" s="5" t="n"/>
      <c r="B114" s="30" t="n"/>
      <c r="C114" s="30" t="n"/>
      <c r="D114" s="46" t="n"/>
      <c r="E114" s="5" t="n"/>
      <c r="F114" s="5" t="n"/>
      <c r="G114" s="30" t="n"/>
      <c r="H114" s="30" t="n"/>
      <c r="I114" s="5" t="n"/>
      <c r="J114" s="5" t="n"/>
      <c r="K114" s="5" t="n"/>
      <c r="L114" s="5" t="n"/>
      <c r="M114" s="5" t="n"/>
      <c r="N114" s="40" t="n"/>
    </row>
    <row r="115" ht="22" customHeight="1">
      <c r="A115" s="9" t="n"/>
      <c r="B115" s="31" t="n"/>
      <c r="C115" s="31" t="n"/>
      <c r="D115" s="47" t="n"/>
      <c r="E115" s="9" t="n"/>
      <c r="F115" s="9" t="n"/>
      <c r="G115" s="31" t="n"/>
      <c r="H115" s="31" t="n"/>
      <c r="I115" s="9" t="n"/>
      <c r="J115" s="9" t="n"/>
      <c r="K115" s="9" t="n"/>
      <c r="L115" s="9" t="n"/>
      <c r="M115" s="9" t="n"/>
      <c r="N115" s="41" t="n"/>
    </row>
  </sheetData>
  <mergeCells count="2">
    <mergeCell ref="A3:N3"/>
    <mergeCell ref="A2:N2"/>
  </mergeCells>
  <conditionalFormatting sqref="F6:F115">
    <cfRule type="cellIs" priority="1" operator="equal" dxfId="3">
      <formula>"↗ Hausse"</formula>
    </cfRule>
    <cfRule type="cellIs" priority="2" operator="equal" dxfId="0">
      <formula>"↘ Baisse"</formula>
    </cfRule>
    <cfRule type="cellIs" priority="3" operator="equal" dxfId="2">
      <formula>"→ Stable"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4" customWidth="1" min="4" max="4"/>
    <col width="20" customWidth="1" min="5" max="5"/>
    <col width="28" customWidth="1" min="6" max="6"/>
    <col width="24" customWidth="1" min="7" max="7"/>
    <col width="24" customWidth="1" min="8" max="8"/>
    <col width="22" customWidth="1" min="9" max="9"/>
    <col width="28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PLAFONDS LÉGAUX ET EXONÉRATIONS FISCALES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Code avantage</t>
        </is>
      </c>
      <c r="B5" s="4" t="inlineStr">
        <is>
          <t>Type avantage</t>
        </is>
      </c>
      <c r="C5" s="4" t="inlineStr">
        <is>
          <t>Plafond légal annuel (FCFA)</t>
        </is>
      </c>
      <c r="D5" s="4" t="inlineStr">
        <is>
          <t>Plafond utilisé (FCFA)</t>
        </is>
      </c>
      <c r="E5" s="4" t="inlineStr">
        <is>
          <t>Taux utilisation (%)</t>
        </is>
      </c>
      <c r="F5" s="4" t="inlineStr">
        <is>
          <t>Dépassement</t>
        </is>
      </c>
      <c r="G5" s="4" t="inlineStr">
        <is>
          <t>Montant exonéré (FCFA)</t>
        </is>
      </c>
      <c r="H5" s="4" t="inlineStr">
        <is>
          <t>Montant imposable (FCFA)</t>
        </is>
      </c>
      <c r="I5" s="4" t="inlineStr">
        <is>
          <t>Impact fiscal (FCFA)</t>
        </is>
      </c>
      <c r="J5" s="4" t="inlineStr">
        <is>
          <t>Recommandation</t>
        </is>
      </c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AV-001</t>
        </is>
      </c>
      <c r="B6" s="5" t="inlineStr">
        <is>
          <t>Santé</t>
        </is>
      </c>
      <c r="C6" s="30" t="n">
        <v>600000</v>
      </c>
      <c r="D6" s="30">
        <f>SUMIF('F05 - 3-Inscription Avant.'!F6:F115,A6,'F05 - 3-Inscription Avant.'!H6:H115)*12</f>
        <v/>
      </c>
      <c r="E6" s="46">
        <f>IF(C6=0,0,D6/C6)</f>
        <v/>
      </c>
      <c r="F6" s="5">
        <f>IF(D6&gt;C6,"DÉPASSÉ DE "&amp;TEXT((D6-C6),"#,##0")&amp;" FCFA","")</f>
        <v/>
      </c>
      <c r="G6" s="30">
        <f>MIN(D6,C6)</f>
        <v/>
      </c>
      <c r="H6" s="30">
        <f>MAX(D6-C6,0)</f>
        <v/>
      </c>
      <c r="I6" s="30">
        <f>MAX(D6-C6,0)*0.25</f>
        <v/>
      </c>
      <c r="J6" s="5">
        <f>IF(E6&gt;0.9,"Veiller au plafond","OK")</f>
        <v/>
      </c>
      <c r="K6" s="5" t="n"/>
      <c r="L6" s="5" t="n"/>
      <c r="M6" s="5" t="n"/>
      <c r="N6" s="40" t="n"/>
    </row>
    <row r="7" ht="22" customHeight="1">
      <c r="A7" s="9" t="inlineStr">
        <is>
          <t>AV-002</t>
        </is>
      </c>
      <c r="B7" s="9" t="inlineStr">
        <is>
          <t>Santé</t>
        </is>
      </c>
      <c r="C7" s="31" t="n">
        <v>500000</v>
      </c>
      <c r="D7" s="31">
        <f>SUMIF('F05 - 3-Inscription Avant.'!F6:F115,A7,'F05 - 3-Inscription Avant.'!H6:H115)*12</f>
        <v/>
      </c>
      <c r="E7" s="47">
        <f>IF(C7=0,0,D7/C7)</f>
        <v/>
      </c>
      <c r="F7" s="9">
        <f>IF(D7&gt;C7,"DÉPASSÉ DE "&amp;TEXT((D7-C7),"#,##0")&amp;" FCFA","")</f>
        <v/>
      </c>
      <c r="G7" s="31">
        <f>MIN(D7,C7)</f>
        <v/>
      </c>
      <c r="H7" s="31">
        <f>MAX(D7-C7,0)</f>
        <v/>
      </c>
      <c r="I7" s="31">
        <f>MAX(D7-C7,0)*0.25</f>
        <v/>
      </c>
      <c r="J7" s="9">
        <f>IF(E7&gt;0.9,"Veiller au plafond","OK")</f>
        <v/>
      </c>
      <c r="K7" s="9" t="n"/>
      <c r="L7" s="9" t="n"/>
      <c r="M7" s="9" t="n"/>
      <c r="N7" s="41" t="n"/>
    </row>
    <row r="8" ht="22" customHeight="1">
      <c r="A8" s="5" t="inlineStr">
        <is>
          <t>AV-003</t>
        </is>
      </c>
      <c r="B8" s="5" t="inlineStr">
        <is>
          <t>Prévoyance</t>
        </is>
      </c>
      <c r="C8" s="30" t="n">
        <v>10000000</v>
      </c>
      <c r="D8" s="30">
        <f>SUMIF('F05 - 3-Inscription Avant.'!F6:F115,A8,'F05 - 3-Inscription Avant.'!H6:H115)*12</f>
        <v/>
      </c>
      <c r="E8" s="46">
        <f>IF(C8=0,0,D8/C8)</f>
        <v/>
      </c>
      <c r="F8" s="5">
        <f>IF(D8&gt;C8,"DÉPASSÉ DE "&amp;TEXT((D8-C8),"#,##0")&amp;" FCFA","")</f>
        <v/>
      </c>
      <c r="G8" s="30">
        <f>MIN(D8,C8)</f>
        <v/>
      </c>
      <c r="H8" s="30">
        <f>MAX(D8-C8,0)</f>
        <v/>
      </c>
      <c r="I8" s="30">
        <f>MAX(D8-C8,0)*0.25</f>
        <v/>
      </c>
      <c r="J8" s="5">
        <f>IF(E8&gt;0.9,"Veiller au plafond","OK")</f>
        <v/>
      </c>
      <c r="K8" s="5" t="n"/>
      <c r="L8" s="5" t="n"/>
      <c r="M8" s="5" t="n"/>
      <c r="N8" s="40" t="n"/>
    </row>
    <row r="9" ht="22" customHeight="1">
      <c r="A9" s="9" t="inlineStr">
        <is>
          <t>AV-004</t>
        </is>
      </c>
      <c r="B9" s="9" t="inlineStr">
        <is>
          <t>Alimentation</t>
        </is>
      </c>
      <c r="C9" s="31" t="n">
        <v>600000</v>
      </c>
      <c r="D9" s="31">
        <f>SUMIF('F05 - 3-Inscription Avant.'!F6:F115,A9,'F05 - 3-Inscription Avant.'!H6:H115)*12</f>
        <v/>
      </c>
      <c r="E9" s="47">
        <f>IF(C9=0,0,D9/C9)</f>
        <v/>
      </c>
      <c r="F9" s="9">
        <f>IF(D9&gt;C9,"DÉPASSÉ DE "&amp;TEXT((D9-C9),"#,##0")&amp;" FCFA","")</f>
        <v/>
      </c>
      <c r="G9" s="31">
        <f>MIN(D9,C9)</f>
        <v/>
      </c>
      <c r="H9" s="31">
        <f>MAX(D9-C9,0)</f>
        <v/>
      </c>
      <c r="I9" s="31">
        <f>MAX(D9-C9,0)*0.25</f>
        <v/>
      </c>
      <c r="J9" s="9">
        <f>IF(E9&gt;0.9,"Veiller au plafond","OK")</f>
        <v/>
      </c>
      <c r="K9" s="9" t="n"/>
      <c r="L9" s="9" t="n"/>
      <c r="M9" s="9" t="n"/>
      <c r="N9" s="41" t="n"/>
    </row>
    <row r="10" ht="22" customHeight="1">
      <c r="A10" s="5" t="inlineStr">
        <is>
          <t>AV-005</t>
        </is>
      </c>
      <c r="B10" s="5" t="inlineStr">
        <is>
          <t>Transport</t>
        </is>
      </c>
      <c r="C10" s="30" t="n">
        <v>360000</v>
      </c>
      <c r="D10" s="30">
        <f>SUMIF('F05 - 3-Inscription Avant.'!F6:F115,A10,'F05 - 3-Inscription Avant.'!H6:H115)*12</f>
        <v/>
      </c>
      <c r="E10" s="46">
        <f>IF(C10=0,0,D10/C10)</f>
        <v/>
      </c>
      <c r="F10" s="5">
        <f>IF(D10&gt;C10,"DÉPASSÉ DE "&amp;TEXT((D10-C10),"#,##0")&amp;" FCFA","")</f>
        <v/>
      </c>
      <c r="G10" s="30">
        <f>MIN(D10,C10)</f>
        <v/>
      </c>
      <c r="H10" s="30">
        <f>MAX(D10-C10,0)</f>
        <v/>
      </c>
      <c r="I10" s="30">
        <f>MAX(D10-C10,0)*0.25</f>
        <v/>
      </c>
      <c r="J10" s="5">
        <f>IF(E10&gt;0.9,"Veiller au plafond","OK")</f>
        <v/>
      </c>
      <c r="K10" s="5" t="n"/>
      <c r="L10" s="5" t="n"/>
      <c r="M10" s="5" t="n"/>
      <c r="N10" s="40" t="n"/>
    </row>
    <row r="11" ht="22" customHeight="1">
      <c r="A11" s="9" t="inlineStr">
        <is>
          <t>AV-008</t>
        </is>
      </c>
      <c r="B11" s="9" t="inlineStr">
        <is>
          <t>Retraite</t>
        </is>
      </c>
      <c r="C11" s="31" t="n">
        <v>150000</v>
      </c>
      <c r="D11" s="31">
        <f>SUMIF('F05 - 3-Inscription Avant.'!F6:F115,A11,'F05 - 3-Inscription Avant.'!H6:H115)*12</f>
        <v/>
      </c>
      <c r="E11" s="47">
        <f>IF(C11=0,0,D11/C11)</f>
        <v/>
      </c>
      <c r="F11" s="9">
        <f>IF(D11&gt;C11,"DÉPASSÉ DE "&amp;TEXT((D11-C11),"#,##0")&amp;" FCFA","")</f>
        <v/>
      </c>
      <c r="G11" s="31">
        <f>MIN(D11,C11)</f>
        <v/>
      </c>
      <c r="H11" s="31">
        <f>MAX(D11-C11,0)</f>
        <v/>
      </c>
      <c r="I11" s="31">
        <f>MAX(D11-C11,0)*0.25</f>
        <v/>
      </c>
      <c r="J11" s="9">
        <f>IF(E11&gt;0.9,"Veiller au plafond","OK")</f>
        <v/>
      </c>
      <c r="K11" s="9" t="n"/>
      <c r="L11" s="9" t="n"/>
      <c r="M11" s="9" t="n"/>
      <c r="N11" s="41" t="n"/>
    </row>
    <row r="12" ht="22" customHeight="1">
      <c r="A12" s="5" t="inlineStr">
        <is>
          <t>AV-013</t>
        </is>
      </c>
      <c r="B12" s="5" t="inlineStr">
        <is>
          <t>Formation</t>
        </is>
      </c>
      <c r="C12" s="30" t="n">
        <v>960000</v>
      </c>
      <c r="D12" s="30">
        <f>SUMIF('F05 - 3-Inscription Avant.'!F6:F115,A12,'F05 - 3-Inscription Avant.'!H6:H115)*12</f>
        <v/>
      </c>
      <c r="E12" s="46">
        <f>IF(C12=0,0,D12/C12)</f>
        <v/>
      </c>
      <c r="F12" s="5">
        <f>IF(D12&gt;C12,"DÉPASSÉ DE "&amp;TEXT((D12-C12),"#,##0")&amp;" FCFA","")</f>
        <v/>
      </c>
      <c r="G12" s="30">
        <f>MIN(D12,C12)</f>
        <v/>
      </c>
      <c r="H12" s="30">
        <f>MAX(D12-C12,0)</f>
        <v/>
      </c>
      <c r="I12" s="30">
        <f>MAX(D12-C12,0)*0.25</f>
        <v/>
      </c>
      <c r="J12" s="5">
        <f>IF(E12&gt;0.9,"Veiller au plafond","OK")</f>
        <v/>
      </c>
      <c r="K12" s="5" t="n"/>
      <c r="L12" s="5" t="n"/>
      <c r="M12" s="5" t="n"/>
      <c r="N12" s="40" t="n"/>
    </row>
    <row r="13" ht="22" customHeight="1">
      <c r="A13" s="9" t="n"/>
      <c r="B13" s="9" t="n"/>
      <c r="C13" s="31" t="n"/>
      <c r="D13" s="31" t="n"/>
      <c r="E13" s="47" t="n"/>
      <c r="F13" s="9" t="n"/>
      <c r="G13" s="31" t="n"/>
      <c r="H13" s="31" t="n"/>
      <c r="I13" s="31" t="n"/>
      <c r="J13" s="9" t="n"/>
      <c r="K13" s="9" t="n"/>
      <c r="L13" s="9" t="n"/>
      <c r="M13" s="9" t="n"/>
      <c r="N13" s="41" t="n"/>
    </row>
    <row r="14" ht="22" customHeight="1">
      <c r="A14" s="5" t="n"/>
      <c r="B14" s="5" t="n"/>
      <c r="C14" s="30" t="n"/>
      <c r="D14" s="30" t="n"/>
      <c r="E14" s="46" t="n"/>
      <c r="F14" s="5" t="n"/>
      <c r="G14" s="30" t="n"/>
      <c r="H14" s="30" t="n"/>
      <c r="I14" s="30" t="n"/>
      <c r="J14" s="5" t="n"/>
      <c r="K14" s="5" t="n"/>
      <c r="L14" s="5" t="n"/>
      <c r="M14" s="5" t="n"/>
      <c r="N14" s="40" t="n"/>
    </row>
    <row r="15" ht="22" customHeight="1">
      <c r="A15" s="9" t="n"/>
      <c r="B15" s="9" t="n"/>
      <c r="C15" s="31" t="n"/>
      <c r="D15" s="31" t="n"/>
      <c r="E15" s="47" t="n"/>
      <c r="F15" s="9" t="n"/>
      <c r="G15" s="31" t="n"/>
      <c r="H15" s="31" t="n"/>
      <c r="I15" s="31" t="n"/>
      <c r="J15" s="9" t="n"/>
      <c r="K15" s="9" t="n"/>
      <c r="L15" s="9" t="n"/>
      <c r="M15" s="9" t="n"/>
      <c r="N15" s="41" t="n"/>
    </row>
    <row r="16" ht="22" customHeight="1">
      <c r="A16" s="5" t="n"/>
      <c r="B16" s="5" t="n"/>
      <c r="C16" s="30" t="n"/>
      <c r="D16" s="30" t="n"/>
      <c r="E16" s="46" t="n"/>
      <c r="F16" s="5" t="n"/>
      <c r="G16" s="30" t="n"/>
      <c r="H16" s="30" t="n"/>
      <c r="I16" s="30" t="n"/>
      <c r="J16" s="5" t="n"/>
      <c r="K16" s="5" t="n"/>
      <c r="L16" s="5" t="n"/>
      <c r="M16" s="5" t="n"/>
      <c r="N16" s="40" t="n"/>
    </row>
    <row r="17" ht="22" customHeight="1">
      <c r="A17" s="9" t="n"/>
      <c r="B17" s="9" t="n"/>
      <c r="C17" s="31" t="n"/>
      <c r="D17" s="31" t="n"/>
      <c r="E17" s="47" t="n"/>
      <c r="F17" s="9" t="n"/>
      <c r="G17" s="31" t="n"/>
      <c r="H17" s="31" t="n"/>
      <c r="I17" s="31" t="n"/>
      <c r="J17" s="9" t="n"/>
      <c r="K17" s="9" t="n"/>
      <c r="L17" s="9" t="n"/>
      <c r="M17" s="9" t="n"/>
      <c r="N17" s="41" t="n"/>
    </row>
    <row r="18" ht="22" customHeight="1">
      <c r="A18" s="5" t="n"/>
      <c r="B18" s="5" t="n"/>
      <c r="C18" s="30" t="n"/>
      <c r="D18" s="30" t="n"/>
      <c r="E18" s="46" t="n"/>
      <c r="F18" s="5" t="n"/>
      <c r="G18" s="30" t="n"/>
      <c r="H18" s="30" t="n"/>
      <c r="I18" s="30" t="n"/>
      <c r="J18" s="5" t="n"/>
      <c r="K18" s="5" t="n"/>
      <c r="L18" s="5" t="n"/>
      <c r="M18" s="5" t="n"/>
      <c r="N18" s="40" t="n"/>
    </row>
    <row r="19" ht="22" customHeight="1">
      <c r="A19" s="9" t="n"/>
      <c r="B19" s="9" t="n"/>
      <c r="C19" s="31" t="n"/>
      <c r="D19" s="31" t="n"/>
      <c r="E19" s="47" t="n"/>
      <c r="F19" s="9" t="n"/>
      <c r="G19" s="31" t="n"/>
      <c r="H19" s="31" t="n"/>
      <c r="I19" s="31" t="n"/>
      <c r="J19" s="9" t="n"/>
      <c r="K19" s="9" t="n"/>
      <c r="L19" s="9" t="n"/>
      <c r="M19" s="9" t="n"/>
      <c r="N19" s="41" t="n"/>
    </row>
    <row r="20" ht="22" customHeight="1">
      <c r="A20" s="5" t="n"/>
      <c r="B20" s="5" t="n"/>
      <c r="C20" s="30" t="n"/>
      <c r="D20" s="30" t="n"/>
      <c r="E20" s="46" t="n"/>
      <c r="F20" s="5" t="n"/>
      <c r="G20" s="30" t="n"/>
      <c r="H20" s="30" t="n"/>
      <c r="I20" s="30" t="n"/>
      <c r="J20" s="5" t="n"/>
      <c r="K20" s="5" t="n"/>
      <c r="L20" s="5" t="n"/>
      <c r="M20" s="5" t="n"/>
      <c r="N20" s="40" t="n"/>
    </row>
    <row r="21" ht="22" customHeight="1">
      <c r="A21" s="9" t="n"/>
      <c r="B21" s="9" t="n"/>
      <c r="C21" s="31" t="n"/>
      <c r="D21" s="31" t="n"/>
      <c r="E21" s="47" t="n"/>
      <c r="F21" s="9" t="n"/>
      <c r="G21" s="31" t="n"/>
      <c r="H21" s="31" t="n"/>
      <c r="I21" s="31" t="n"/>
      <c r="J21" s="9" t="n"/>
      <c r="K21" s="9" t="n"/>
      <c r="L21" s="9" t="n"/>
      <c r="M21" s="9" t="n"/>
      <c r="N21" s="41" t="n"/>
    </row>
    <row r="22" ht="22" customHeight="1">
      <c r="A22" s="5" t="n"/>
      <c r="B22" s="5" t="n"/>
      <c r="C22" s="30" t="n"/>
      <c r="D22" s="30" t="n"/>
      <c r="E22" s="46" t="n"/>
      <c r="F22" s="5" t="n"/>
      <c r="G22" s="30" t="n"/>
      <c r="H22" s="30" t="n"/>
      <c r="I22" s="30" t="n"/>
      <c r="J22" s="5" t="n"/>
      <c r="K22" s="5" t="n"/>
      <c r="L22" s="5" t="n"/>
      <c r="M22" s="5" t="n"/>
      <c r="N22" s="40" t="n"/>
    </row>
    <row r="23" ht="22" customHeight="1">
      <c r="A23" s="9" t="n"/>
      <c r="B23" s="9" t="n"/>
      <c r="C23" s="31" t="n"/>
      <c r="D23" s="31" t="n"/>
      <c r="E23" s="47" t="n"/>
      <c r="F23" s="9" t="n"/>
      <c r="G23" s="31" t="n"/>
      <c r="H23" s="31" t="n"/>
      <c r="I23" s="31" t="n"/>
      <c r="J23" s="9" t="n"/>
      <c r="K23" s="9" t="n"/>
      <c r="L23" s="9" t="n"/>
      <c r="M23" s="9" t="n"/>
      <c r="N23" s="41" t="n"/>
    </row>
    <row r="24" ht="22" customHeight="1">
      <c r="A24" s="5" t="n"/>
      <c r="B24" s="5" t="n"/>
      <c r="C24" s="30" t="n"/>
      <c r="D24" s="30" t="n"/>
      <c r="E24" s="46" t="n"/>
      <c r="F24" s="5" t="n"/>
      <c r="G24" s="30" t="n"/>
      <c r="H24" s="30" t="n"/>
      <c r="I24" s="30" t="n"/>
      <c r="J24" s="5" t="n"/>
      <c r="K24" s="5" t="n"/>
      <c r="L24" s="5" t="n"/>
      <c r="M24" s="5" t="n"/>
      <c r="N24" s="40" t="n"/>
    </row>
    <row r="25" ht="22" customHeight="1">
      <c r="A25" s="9" t="n"/>
      <c r="B25" s="9" t="n"/>
      <c r="C25" s="31" t="n"/>
      <c r="D25" s="31" t="n"/>
      <c r="E25" s="47" t="n"/>
      <c r="F25" s="9" t="n"/>
      <c r="G25" s="31" t="n"/>
      <c r="H25" s="31" t="n"/>
      <c r="I25" s="31" t="n"/>
      <c r="J25" s="9" t="n"/>
      <c r="K25" s="9" t="n"/>
      <c r="L25" s="9" t="n"/>
      <c r="M25" s="9" t="n"/>
      <c r="N25" s="41" t="n"/>
    </row>
    <row r="26" ht="22" customHeight="1">
      <c r="A26" s="5" t="n"/>
      <c r="B26" s="5" t="n"/>
      <c r="C26" s="30" t="n"/>
      <c r="D26" s="30" t="n"/>
      <c r="E26" s="46" t="n"/>
      <c r="F26" s="5" t="n"/>
      <c r="G26" s="30" t="n"/>
      <c r="H26" s="30" t="n"/>
      <c r="I26" s="30" t="n"/>
      <c r="J26" s="5" t="n"/>
      <c r="K26" s="5" t="n"/>
      <c r="L26" s="5" t="n"/>
      <c r="M26" s="5" t="n"/>
      <c r="N26" s="40" t="n"/>
    </row>
    <row r="27" ht="22" customHeight="1">
      <c r="A27" s="9" t="n"/>
      <c r="B27" s="9" t="n"/>
      <c r="C27" s="31" t="n"/>
      <c r="D27" s="31" t="n"/>
      <c r="E27" s="47" t="n"/>
      <c r="F27" s="9" t="n"/>
      <c r="G27" s="31" t="n"/>
      <c r="H27" s="31" t="n"/>
      <c r="I27" s="31" t="n"/>
      <c r="J27" s="9" t="n"/>
      <c r="K27" s="9" t="n"/>
      <c r="L27" s="9" t="n"/>
      <c r="M27" s="9" t="n"/>
      <c r="N27" s="41" t="n"/>
    </row>
    <row r="28" ht="22" customHeight="1">
      <c r="A28" s="5" t="n"/>
      <c r="B28" s="5" t="n"/>
      <c r="C28" s="30" t="n"/>
      <c r="D28" s="30" t="n"/>
      <c r="E28" s="46" t="n"/>
      <c r="F28" s="5" t="n"/>
      <c r="G28" s="30" t="n"/>
      <c r="H28" s="30" t="n"/>
      <c r="I28" s="30" t="n"/>
      <c r="J28" s="5" t="n"/>
      <c r="K28" s="5" t="n"/>
      <c r="L28" s="5" t="n"/>
      <c r="M28" s="5" t="n"/>
      <c r="N28" s="40" t="n"/>
    </row>
    <row r="29" ht="22" customHeight="1">
      <c r="A29" s="9" t="n"/>
      <c r="B29" s="9" t="n"/>
      <c r="C29" s="31" t="n"/>
      <c r="D29" s="31" t="n"/>
      <c r="E29" s="47" t="n"/>
      <c r="F29" s="9" t="n"/>
      <c r="G29" s="31" t="n"/>
      <c r="H29" s="31" t="n"/>
      <c r="I29" s="31" t="n"/>
      <c r="J29" s="9" t="n"/>
      <c r="K29" s="9" t="n"/>
      <c r="L29" s="9" t="n"/>
      <c r="M29" s="9" t="n"/>
      <c r="N29" s="41" t="n"/>
    </row>
    <row r="30" ht="22" customHeight="1">
      <c r="A30" s="5" t="n"/>
      <c r="B30" s="5" t="n"/>
      <c r="C30" s="30" t="n"/>
      <c r="D30" s="30" t="n"/>
      <c r="E30" s="46" t="n"/>
      <c r="F30" s="5" t="n"/>
      <c r="G30" s="30" t="n"/>
      <c r="H30" s="30" t="n"/>
      <c r="I30" s="30" t="n"/>
      <c r="J30" s="5" t="n"/>
      <c r="K30" s="5" t="n"/>
      <c r="L30" s="5" t="n"/>
      <c r="M30" s="5" t="n"/>
      <c r="N30" s="40" t="n"/>
    </row>
    <row r="31" ht="22" customHeight="1">
      <c r="A31" s="9" t="n"/>
      <c r="B31" s="9" t="n"/>
      <c r="C31" s="31" t="n"/>
      <c r="D31" s="31" t="n"/>
      <c r="E31" s="47" t="n"/>
      <c r="F31" s="9" t="n"/>
      <c r="G31" s="31" t="n"/>
      <c r="H31" s="31" t="n"/>
      <c r="I31" s="31" t="n"/>
      <c r="J31" s="9" t="n"/>
      <c r="K31" s="9" t="n"/>
      <c r="L31" s="9" t="n"/>
      <c r="M31" s="9" t="n"/>
      <c r="N31" s="41" t="n"/>
    </row>
    <row r="32" ht="22" customHeight="1">
      <c r="A32" s="5" t="n"/>
      <c r="B32" s="5" t="n"/>
      <c r="C32" s="30" t="n"/>
      <c r="D32" s="30" t="n"/>
      <c r="E32" s="46" t="n"/>
      <c r="F32" s="5" t="n"/>
      <c r="G32" s="30" t="n"/>
      <c r="H32" s="30" t="n"/>
      <c r="I32" s="30" t="n"/>
      <c r="J32" s="5" t="n"/>
      <c r="K32" s="5" t="n"/>
      <c r="L32" s="5" t="n"/>
      <c r="M32" s="5" t="n"/>
      <c r="N32" s="40" t="n"/>
    </row>
    <row r="33" ht="22" customHeight="1">
      <c r="A33" s="9" t="n"/>
      <c r="B33" s="9" t="n"/>
      <c r="C33" s="31" t="n"/>
      <c r="D33" s="31" t="n"/>
      <c r="E33" s="47" t="n"/>
      <c r="F33" s="9" t="n"/>
      <c r="G33" s="31" t="n"/>
      <c r="H33" s="31" t="n"/>
      <c r="I33" s="31" t="n"/>
      <c r="J33" s="9" t="n"/>
      <c r="K33" s="9" t="n"/>
      <c r="L33" s="9" t="n"/>
      <c r="M33" s="9" t="n"/>
      <c r="N33" s="41" t="n"/>
    </row>
    <row r="34" ht="22" customHeight="1">
      <c r="A34" s="5" t="n"/>
      <c r="B34" s="5" t="n"/>
      <c r="C34" s="30" t="n"/>
      <c r="D34" s="30" t="n"/>
      <c r="E34" s="46" t="n"/>
      <c r="F34" s="5" t="n"/>
      <c r="G34" s="30" t="n"/>
      <c r="H34" s="30" t="n"/>
      <c r="I34" s="30" t="n"/>
      <c r="J34" s="5" t="n"/>
      <c r="K34" s="5" t="n"/>
      <c r="L34" s="5" t="n"/>
      <c r="M34" s="5" t="n"/>
      <c r="N34" s="40" t="n"/>
    </row>
    <row r="35" ht="22" customHeight="1">
      <c r="A35" s="9" t="n"/>
      <c r="B35" s="9" t="n"/>
      <c r="C35" s="31" t="n"/>
      <c r="D35" s="31" t="n"/>
      <c r="E35" s="47" t="n"/>
      <c r="F35" s="9" t="n"/>
      <c r="G35" s="31" t="n"/>
      <c r="H35" s="31" t="n"/>
      <c r="I35" s="31" t="n"/>
      <c r="J35" s="9" t="n"/>
      <c r="K35" s="9" t="n"/>
      <c r="L35" s="9" t="n"/>
      <c r="M35" s="9" t="n"/>
      <c r="N35" s="41" t="n"/>
    </row>
    <row r="36" ht="22" customHeight="1">
      <c r="A36" s="5" t="n"/>
      <c r="B36" s="5" t="n"/>
      <c r="C36" s="30" t="n"/>
      <c r="D36" s="30" t="n"/>
      <c r="E36" s="46" t="n"/>
      <c r="F36" s="5" t="n"/>
      <c r="G36" s="30" t="n"/>
      <c r="H36" s="30" t="n"/>
      <c r="I36" s="30" t="n"/>
      <c r="J36" s="5" t="n"/>
      <c r="K36" s="5" t="n"/>
      <c r="L36" s="5" t="n"/>
      <c r="M36" s="5" t="n"/>
      <c r="N36" s="40" t="n"/>
    </row>
    <row r="37" ht="22" customHeight="1">
      <c r="A37" s="9" t="n"/>
      <c r="B37" s="9" t="n"/>
      <c r="C37" s="31" t="n"/>
      <c r="D37" s="31" t="n"/>
      <c r="E37" s="47" t="n"/>
      <c r="F37" s="9" t="n"/>
      <c r="G37" s="31" t="n"/>
      <c r="H37" s="31" t="n"/>
      <c r="I37" s="31" t="n"/>
      <c r="J37" s="9" t="n"/>
      <c r="K37" s="9" t="n"/>
      <c r="L37" s="9" t="n"/>
      <c r="M37" s="9" t="n"/>
      <c r="N37" s="41" t="n"/>
    </row>
    <row r="38" ht="22" customHeight="1">
      <c r="A38" s="5" t="n"/>
      <c r="B38" s="5" t="n"/>
      <c r="C38" s="30" t="n"/>
      <c r="D38" s="30" t="n"/>
      <c r="E38" s="46" t="n"/>
      <c r="F38" s="5" t="n"/>
      <c r="G38" s="30" t="n"/>
      <c r="H38" s="30" t="n"/>
      <c r="I38" s="30" t="n"/>
      <c r="J38" s="5" t="n"/>
      <c r="K38" s="5" t="n"/>
      <c r="L38" s="5" t="n"/>
      <c r="M38" s="5" t="n"/>
      <c r="N38" s="40" t="n"/>
    </row>
    <row r="39" ht="22" customHeight="1">
      <c r="A39" s="9" t="n"/>
      <c r="B39" s="9" t="n"/>
      <c r="C39" s="31" t="n"/>
      <c r="D39" s="31" t="n"/>
      <c r="E39" s="47" t="n"/>
      <c r="F39" s="9" t="n"/>
      <c r="G39" s="31" t="n"/>
      <c r="H39" s="31" t="n"/>
      <c r="I39" s="31" t="n"/>
      <c r="J39" s="9" t="n"/>
      <c r="K39" s="9" t="n"/>
      <c r="L39" s="9" t="n"/>
      <c r="M39" s="9" t="n"/>
      <c r="N39" s="41" t="n"/>
    </row>
    <row r="40" ht="22" customHeight="1">
      <c r="A40" s="5" t="n"/>
      <c r="B40" s="5" t="n"/>
      <c r="C40" s="30" t="n"/>
      <c r="D40" s="30" t="n"/>
      <c r="E40" s="46" t="n"/>
      <c r="F40" s="5" t="n"/>
      <c r="G40" s="30" t="n"/>
      <c r="H40" s="30" t="n"/>
      <c r="I40" s="30" t="n"/>
      <c r="J40" s="5" t="n"/>
      <c r="K40" s="5" t="n"/>
      <c r="L40" s="5" t="n"/>
      <c r="M40" s="5" t="n"/>
      <c r="N40" s="40" t="n"/>
    </row>
    <row r="41" ht="22" customHeight="1">
      <c r="A41" s="9" t="n"/>
      <c r="B41" s="9" t="n"/>
      <c r="C41" s="31" t="n"/>
      <c r="D41" s="31" t="n"/>
      <c r="E41" s="47" t="n"/>
      <c r="F41" s="9" t="n"/>
      <c r="G41" s="31" t="n"/>
      <c r="H41" s="31" t="n"/>
      <c r="I41" s="31" t="n"/>
      <c r="J41" s="9" t="n"/>
      <c r="K41" s="9" t="n"/>
      <c r="L41" s="9" t="n"/>
      <c r="M41" s="9" t="n"/>
      <c r="N41" s="41" t="n"/>
    </row>
    <row r="42" ht="22" customHeight="1">
      <c r="A42" s="5" t="n"/>
      <c r="B42" s="5" t="n"/>
      <c r="C42" s="30" t="n"/>
      <c r="D42" s="30" t="n"/>
      <c r="E42" s="46" t="n"/>
      <c r="F42" s="5" t="n"/>
      <c r="G42" s="30" t="n"/>
      <c r="H42" s="30" t="n"/>
      <c r="I42" s="30" t="n"/>
      <c r="J42" s="5" t="n"/>
      <c r="K42" s="5" t="n"/>
      <c r="L42" s="5" t="n"/>
      <c r="M42" s="5" t="n"/>
      <c r="N42" s="40" t="n"/>
    </row>
    <row r="43" ht="22" customHeight="1">
      <c r="A43" s="9" t="n"/>
      <c r="B43" s="9" t="n"/>
      <c r="C43" s="31" t="n"/>
      <c r="D43" s="31" t="n"/>
      <c r="E43" s="47" t="n"/>
      <c r="F43" s="9" t="n"/>
      <c r="G43" s="31" t="n"/>
      <c r="H43" s="31" t="n"/>
      <c r="I43" s="31" t="n"/>
      <c r="J43" s="9" t="n"/>
      <c r="K43" s="9" t="n"/>
      <c r="L43" s="9" t="n"/>
      <c r="M43" s="9" t="n"/>
      <c r="N43" s="41" t="n"/>
    </row>
    <row r="44" ht="22" customHeight="1">
      <c r="A44" s="5" t="n"/>
      <c r="B44" s="5" t="n"/>
      <c r="C44" s="30" t="n"/>
      <c r="D44" s="30" t="n"/>
      <c r="E44" s="46" t="n"/>
      <c r="F44" s="5" t="n"/>
      <c r="G44" s="30" t="n"/>
      <c r="H44" s="30" t="n"/>
      <c r="I44" s="30" t="n"/>
      <c r="J44" s="5" t="n"/>
      <c r="K44" s="5" t="n"/>
      <c r="L44" s="5" t="n"/>
      <c r="M44" s="5" t="n"/>
      <c r="N44" s="40" t="n"/>
    </row>
    <row r="45" ht="22" customHeight="1">
      <c r="A45" s="9" t="n"/>
      <c r="B45" s="9" t="n"/>
      <c r="C45" s="31" t="n"/>
      <c r="D45" s="31" t="n"/>
      <c r="E45" s="47" t="n"/>
      <c r="F45" s="9" t="n"/>
      <c r="G45" s="31" t="n"/>
      <c r="H45" s="31" t="n"/>
      <c r="I45" s="31" t="n"/>
      <c r="J45" s="9" t="n"/>
      <c r="K45" s="9" t="n"/>
      <c r="L45" s="9" t="n"/>
      <c r="M45" s="9" t="n"/>
      <c r="N45" s="41" t="n"/>
    </row>
    <row r="46" ht="22" customHeight="1">
      <c r="A46" s="5" t="n"/>
      <c r="B46" s="5" t="n"/>
      <c r="C46" s="30" t="n"/>
      <c r="D46" s="30" t="n"/>
      <c r="E46" s="46" t="n"/>
      <c r="F46" s="5" t="n"/>
      <c r="G46" s="30" t="n"/>
      <c r="H46" s="30" t="n"/>
      <c r="I46" s="30" t="n"/>
      <c r="J46" s="5" t="n"/>
      <c r="K46" s="5" t="n"/>
      <c r="L46" s="5" t="n"/>
      <c r="M46" s="5" t="n"/>
      <c r="N46" s="40" t="n"/>
    </row>
    <row r="47" ht="22" customHeight="1">
      <c r="A47" s="9" t="n"/>
      <c r="B47" s="9" t="n"/>
      <c r="C47" s="31" t="n"/>
      <c r="D47" s="31" t="n"/>
      <c r="E47" s="47" t="n"/>
      <c r="F47" s="9" t="n"/>
      <c r="G47" s="31" t="n"/>
      <c r="H47" s="31" t="n"/>
      <c r="I47" s="31" t="n"/>
      <c r="J47" s="9" t="n"/>
      <c r="K47" s="9" t="n"/>
      <c r="L47" s="9" t="n"/>
      <c r="M47" s="9" t="n"/>
      <c r="N47" s="41" t="n"/>
    </row>
    <row r="48" ht="22" customHeight="1">
      <c r="A48" s="5" t="n"/>
      <c r="B48" s="5" t="n"/>
      <c r="C48" s="30" t="n"/>
      <c r="D48" s="30" t="n"/>
      <c r="E48" s="46" t="n"/>
      <c r="F48" s="5" t="n"/>
      <c r="G48" s="30" t="n"/>
      <c r="H48" s="30" t="n"/>
      <c r="I48" s="30" t="n"/>
      <c r="J48" s="5" t="n"/>
      <c r="K48" s="5" t="n"/>
      <c r="L48" s="5" t="n"/>
      <c r="M48" s="5" t="n"/>
      <c r="N48" s="40" t="n"/>
    </row>
    <row r="49" ht="22" customHeight="1">
      <c r="A49" s="9" t="n"/>
      <c r="B49" s="9" t="n"/>
      <c r="C49" s="31" t="n"/>
      <c r="D49" s="31" t="n"/>
      <c r="E49" s="47" t="n"/>
      <c r="F49" s="9" t="n"/>
      <c r="G49" s="31" t="n"/>
      <c r="H49" s="31" t="n"/>
      <c r="I49" s="31" t="n"/>
      <c r="J49" s="9" t="n"/>
      <c r="K49" s="9" t="n"/>
      <c r="L49" s="9" t="n"/>
      <c r="M49" s="9" t="n"/>
      <c r="N49" s="41" t="n"/>
    </row>
    <row r="50" ht="22" customHeight="1">
      <c r="A50" s="5" t="n"/>
      <c r="B50" s="5" t="n"/>
      <c r="C50" s="30" t="n"/>
      <c r="D50" s="30" t="n"/>
      <c r="E50" s="46" t="n"/>
      <c r="F50" s="5" t="n"/>
      <c r="G50" s="30" t="n"/>
      <c r="H50" s="30" t="n"/>
      <c r="I50" s="30" t="n"/>
      <c r="J50" s="5" t="n"/>
      <c r="K50" s="5" t="n"/>
      <c r="L50" s="5" t="n"/>
      <c r="M50" s="5" t="n"/>
      <c r="N50" s="40" t="n"/>
    </row>
    <row r="51" ht="22" customHeight="1">
      <c r="A51" s="9" t="n"/>
      <c r="B51" s="9" t="n"/>
      <c r="C51" s="31" t="n"/>
      <c r="D51" s="31" t="n"/>
      <c r="E51" s="47" t="n"/>
      <c r="F51" s="9" t="n"/>
      <c r="G51" s="31" t="n"/>
      <c r="H51" s="31" t="n"/>
      <c r="I51" s="31" t="n"/>
      <c r="J51" s="9" t="n"/>
      <c r="K51" s="9" t="n"/>
      <c r="L51" s="9" t="n"/>
      <c r="M51" s="9" t="n"/>
      <c r="N51" s="41" t="n"/>
    </row>
    <row r="52" ht="22" customHeight="1">
      <c r="A52" s="5" t="n"/>
      <c r="B52" s="5" t="n"/>
      <c r="C52" s="30" t="n"/>
      <c r="D52" s="30" t="n"/>
      <c r="E52" s="46" t="n"/>
      <c r="F52" s="5" t="n"/>
      <c r="G52" s="30" t="n"/>
      <c r="H52" s="30" t="n"/>
      <c r="I52" s="30" t="n"/>
      <c r="J52" s="5" t="n"/>
      <c r="K52" s="5" t="n"/>
      <c r="L52" s="5" t="n"/>
      <c r="M52" s="5" t="n"/>
      <c r="N52" s="40" t="n"/>
    </row>
    <row r="53" ht="22" customHeight="1">
      <c r="A53" s="9" t="n"/>
      <c r="B53" s="9" t="n"/>
      <c r="C53" s="31" t="n"/>
      <c r="D53" s="31" t="n"/>
      <c r="E53" s="47" t="n"/>
      <c r="F53" s="9" t="n"/>
      <c r="G53" s="31" t="n"/>
      <c r="H53" s="31" t="n"/>
      <c r="I53" s="31" t="n"/>
      <c r="J53" s="9" t="n"/>
      <c r="K53" s="9" t="n"/>
      <c r="L53" s="9" t="n"/>
      <c r="M53" s="9" t="n"/>
      <c r="N53" s="41" t="n"/>
    </row>
    <row r="54" ht="22" customHeight="1">
      <c r="A54" s="5" t="n"/>
      <c r="B54" s="5" t="n"/>
      <c r="C54" s="30" t="n"/>
      <c r="D54" s="30" t="n"/>
      <c r="E54" s="46" t="n"/>
      <c r="F54" s="5" t="n"/>
      <c r="G54" s="30" t="n"/>
      <c r="H54" s="30" t="n"/>
      <c r="I54" s="30" t="n"/>
      <c r="J54" s="5" t="n"/>
      <c r="K54" s="5" t="n"/>
      <c r="L54" s="5" t="n"/>
      <c r="M54" s="5" t="n"/>
      <c r="N54" s="40" t="n"/>
    </row>
    <row r="55" ht="22" customHeight="1">
      <c r="A55" s="9" t="n"/>
      <c r="B55" s="9" t="n"/>
      <c r="C55" s="31" t="n"/>
      <c r="D55" s="31" t="n"/>
      <c r="E55" s="47" t="n"/>
      <c r="F55" s="9" t="n"/>
      <c r="G55" s="31" t="n"/>
      <c r="H55" s="31" t="n"/>
      <c r="I55" s="31" t="n"/>
      <c r="J55" s="9" t="n"/>
      <c r="K55" s="9" t="n"/>
      <c r="L55" s="9" t="n"/>
      <c r="M55" s="9" t="n"/>
      <c r="N55" s="41" t="n"/>
    </row>
    <row r="56" ht="22" customHeight="1">
      <c r="A56" s="5" t="n"/>
      <c r="B56" s="5" t="n"/>
      <c r="C56" s="30" t="n"/>
      <c r="D56" s="30" t="n"/>
      <c r="E56" s="46" t="n"/>
      <c r="F56" s="5" t="n"/>
      <c r="G56" s="30" t="n"/>
      <c r="H56" s="30" t="n"/>
      <c r="I56" s="30" t="n"/>
      <c r="J56" s="5" t="n"/>
      <c r="K56" s="5" t="n"/>
      <c r="L56" s="5" t="n"/>
      <c r="M56" s="5" t="n"/>
      <c r="N56" s="40" t="n"/>
    </row>
    <row r="57" ht="22" customHeight="1">
      <c r="A57" s="9" t="n"/>
      <c r="B57" s="9" t="n"/>
      <c r="C57" s="31" t="n"/>
      <c r="D57" s="31" t="n"/>
      <c r="E57" s="47" t="n"/>
      <c r="F57" s="9" t="n"/>
      <c r="G57" s="31" t="n"/>
      <c r="H57" s="31" t="n"/>
      <c r="I57" s="31" t="n"/>
      <c r="J57" s="9" t="n"/>
      <c r="K57" s="9" t="n"/>
      <c r="L57" s="9" t="n"/>
      <c r="M57" s="9" t="n"/>
      <c r="N57" s="41" t="n"/>
    </row>
    <row r="58" ht="22" customHeight="1">
      <c r="A58" s="5" t="n"/>
      <c r="B58" s="5" t="n"/>
      <c r="C58" s="30" t="n"/>
      <c r="D58" s="30" t="n"/>
      <c r="E58" s="46" t="n"/>
      <c r="F58" s="5" t="n"/>
      <c r="G58" s="30" t="n"/>
      <c r="H58" s="30" t="n"/>
      <c r="I58" s="30" t="n"/>
      <c r="J58" s="5" t="n"/>
      <c r="K58" s="5" t="n"/>
      <c r="L58" s="5" t="n"/>
      <c r="M58" s="5" t="n"/>
      <c r="N58" s="40" t="n"/>
    </row>
    <row r="59" ht="22" customHeight="1">
      <c r="A59" s="9" t="n"/>
      <c r="B59" s="9" t="n"/>
      <c r="C59" s="31" t="n"/>
      <c r="D59" s="31" t="n"/>
      <c r="E59" s="47" t="n"/>
      <c r="F59" s="9" t="n"/>
      <c r="G59" s="31" t="n"/>
      <c r="H59" s="31" t="n"/>
      <c r="I59" s="31" t="n"/>
      <c r="J59" s="9" t="n"/>
      <c r="K59" s="9" t="n"/>
      <c r="L59" s="9" t="n"/>
      <c r="M59" s="9" t="n"/>
      <c r="N59" s="41" t="n"/>
    </row>
    <row r="60" ht="22" customHeight="1">
      <c r="A60" s="5" t="n"/>
      <c r="B60" s="5" t="n"/>
      <c r="C60" s="30" t="n"/>
      <c r="D60" s="30" t="n"/>
      <c r="E60" s="46" t="n"/>
      <c r="F60" s="5" t="n"/>
      <c r="G60" s="30" t="n"/>
      <c r="H60" s="30" t="n"/>
      <c r="I60" s="30" t="n"/>
      <c r="J60" s="5" t="n"/>
      <c r="K60" s="5" t="n"/>
      <c r="L60" s="5" t="n"/>
      <c r="M60" s="5" t="n"/>
      <c r="N60" s="40" t="n"/>
    </row>
    <row r="61" ht="22" customHeight="1">
      <c r="A61" s="9" t="n"/>
      <c r="B61" s="9" t="n"/>
      <c r="C61" s="31" t="n"/>
      <c r="D61" s="31" t="n"/>
      <c r="E61" s="47" t="n"/>
      <c r="F61" s="9" t="n"/>
      <c r="G61" s="31" t="n"/>
      <c r="H61" s="31" t="n"/>
      <c r="I61" s="31" t="n"/>
      <c r="J61" s="9" t="n"/>
      <c r="K61" s="9" t="n"/>
      <c r="L61" s="9" t="n"/>
      <c r="M61" s="9" t="n"/>
      <c r="N61" s="41" t="n"/>
    </row>
    <row r="62" ht="22" customHeight="1">
      <c r="A62" s="5" t="n"/>
      <c r="B62" s="5" t="n"/>
      <c r="C62" s="30" t="n"/>
      <c r="D62" s="30" t="n"/>
      <c r="E62" s="46" t="n"/>
      <c r="F62" s="5" t="n"/>
      <c r="G62" s="30" t="n"/>
      <c r="H62" s="30" t="n"/>
      <c r="I62" s="30" t="n"/>
      <c r="J62" s="5" t="n"/>
      <c r="K62" s="5" t="n"/>
      <c r="L62" s="5" t="n"/>
      <c r="M62" s="5" t="n"/>
      <c r="N62" s="40" t="n"/>
    </row>
    <row r="63" ht="22" customHeight="1">
      <c r="A63" s="9" t="n"/>
      <c r="B63" s="9" t="n"/>
      <c r="C63" s="31" t="n"/>
      <c r="D63" s="31" t="n"/>
      <c r="E63" s="47" t="n"/>
      <c r="F63" s="9" t="n"/>
      <c r="G63" s="31" t="n"/>
      <c r="H63" s="31" t="n"/>
      <c r="I63" s="31" t="n"/>
      <c r="J63" s="9" t="n"/>
      <c r="K63" s="9" t="n"/>
      <c r="L63" s="9" t="n"/>
      <c r="M63" s="9" t="n"/>
      <c r="N63" s="41" t="n"/>
    </row>
    <row r="64" ht="22" customHeight="1">
      <c r="A64" s="5" t="n"/>
      <c r="B64" s="5" t="n"/>
      <c r="C64" s="30" t="n"/>
      <c r="D64" s="30" t="n"/>
      <c r="E64" s="46" t="n"/>
      <c r="F64" s="5" t="n"/>
      <c r="G64" s="30" t="n"/>
      <c r="H64" s="30" t="n"/>
      <c r="I64" s="30" t="n"/>
      <c r="J64" s="5" t="n"/>
      <c r="K64" s="5" t="n"/>
      <c r="L64" s="5" t="n"/>
      <c r="M64" s="5" t="n"/>
      <c r="N64" s="40" t="n"/>
    </row>
    <row r="65" ht="22" customHeight="1">
      <c r="A65" s="9" t="n"/>
      <c r="B65" s="9" t="n"/>
      <c r="C65" s="31" t="n"/>
      <c r="D65" s="31" t="n"/>
      <c r="E65" s="47" t="n"/>
      <c r="F65" s="9" t="n"/>
      <c r="G65" s="31" t="n"/>
      <c r="H65" s="31" t="n"/>
      <c r="I65" s="31" t="n"/>
      <c r="J65" s="9" t="n"/>
      <c r="K65" s="9" t="n"/>
      <c r="L65" s="9" t="n"/>
      <c r="M65" s="9" t="n"/>
      <c r="N65" s="41" t="n"/>
    </row>
    <row r="66" ht="22" customHeight="1">
      <c r="A66" s="5" t="n"/>
      <c r="B66" s="5" t="n"/>
      <c r="C66" s="30" t="n"/>
      <c r="D66" s="30" t="n"/>
      <c r="E66" s="46" t="n"/>
      <c r="F66" s="5" t="n"/>
      <c r="G66" s="30" t="n"/>
      <c r="H66" s="30" t="n"/>
      <c r="I66" s="30" t="n"/>
      <c r="J66" s="5" t="n"/>
      <c r="K66" s="5" t="n"/>
      <c r="L66" s="5" t="n"/>
      <c r="M66" s="5" t="n"/>
      <c r="N66" s="40" t="n"/>
    </row>
    <row r="67" ht="22" customHeight="1">
      <c r="A67" s="9" t="n"/>
      <c r="B67" s="9" t="n"/>
      <c r="C67" s="31" t="n"/>
      <c r="D67" s="31" t="n"/>
      <c r="E67" s="47" t="n"/>
      <c r="F67" s="9" t="n"/>
      <c r="G67" s="31" t="n"/>
      <c r="H67" s="31" t="n"/>
      <c r="I67" s="31" t="n"/>
      <c r="J67" s="9" t="n"/>
      <c r="K67" s="9" t="n"/>
      <c r="L67" s="9" t="n"/>
      <c r="M67" s="9" t="n"/>
      <c r="N67" s="41" t="n"/>
    </row>
    <row r="68" ht="22" customHeight="1">
      <c r="A68" s="5" t="n"/>
      <c r="B68" s="5" t="n"/>
      <c r="C68" s="30" t="n"/>
      <c r="D68" s="30" t="n"/>
      <c r="E68" s="46" t="n"/>
      <c r="F68" s="5" t="n"/>
      <c r="G68" s="30" t="n"/>
      <c r="H68" s="30" t="n"/>
      <c r="I68" s="30" t="n"/>
      <c r="J68" s="5" t="n"/>
      <c r="K68" s="5" t="n"/>
      <c r="L68" s="5" t="n"/>
      <c r="M68" s="5" t="n"/>
      <c r="N68" s="40" t="n"/>
    </row>
    <row r="69" ht="22" customHeight="1">
      <c r="A69" s="9" t="n"/>
      <c r="B69" s="9" t="n"/>
      <c r="C69" s="31" t="n"/>
      <c r="D69" s="31" t="n"/>
      <c r="E69" s="47" t="n"/>
      <c r="F69" s="9" t="n"/>
      <c r="G69" s="31" t="n"/>
      <c r="H69" s="31" t="n"/>
      <c r="I69" s="31" t="n"/>
      <c r="J69" s="9" t="n"/>
      <c r="K69" s="9" t="n"/>
      <c r="L69" s="9" t="n"/>
      <c r="M69" s="9" t="n"/>
      <c r="N69" s="41" t="n"/>
    </row>
    <row r="70" ht="22" customHeight="1">
      <c r="A70" s="5" t="n"/>
      <c r="B70" s="5" t="n"/>
      <c r="C70" s="30" t="n"/>
      <c r="D70" s="30" t="n"/>
      <c r="E70" s="46" t="n"/>
      <c r="F70" s="5" t="n"/>
      <c r="G70" s="30" t="n"/>
      <c r="H70" s="30" t="n"/>
      <c r="I70" s="30" t="n"/>
      <c r="J70" s="5" t="n"/>
      <c r="K70" s="5" t="n"/>
      <c r="L70" s="5" t="n"/>
      <c r="M70" s="5" t="n"/>
      <c r="N70" s="40" t="n"/>
    </row>
    <row r="71" ht="22" customHeight="1">
      <c r="A71" s="9" t="n"/>
      <c r="B71" s="9" t="n"/>
      <c r="C71" s="31" t="n"/>
      <c r="D71" s="31" t="n"/>
      <c r="E71" s="47" t="n"/>
      <c r="F71" s="9" t="n"/>
      <c r="G71" s="31" t="n"/>
      <c r="H71" s="31" t="n"/>
      <c r="I71" s="31" t="n"/>
      <c r="J71" s="9" t="n"/>
      <c r="K71" s="9" t="n"/>
      <c r="L71" s="9" t="n"/>
      <c r="M71" s="9" t="n"/>
      <c r="N71" s="41" t="n"/>
    </row>
    <row r="72" ht="22" customHeight="1">
      <c r="A72" s="5" t="n"/>
      <c r="B72" s="5" t="n"/>
      <c r="C72" s="30" t="n"/>
      <c r="D72" s="30" t="n"/>
      <c r="E72" s="46" t="n"/>
      <c r="F72" s="5" t="n"/>
      <c r="G72" s="30" t="n"/>
      <c r="H72" s="30" t="n"/>
      <c r="I72" s="30" t="n"/>
      <c r="J72" s="5" t="n"/>
      <c r="K72" s="5" t="n"/>
      <c r="L72" s="5" t="n"/>
      <c r="M72" s="5" t="n"/>
      <c r="N72" s="40" t="n"/>
    </row>
    <row r="73" ht="22" customHeight="1">
      <c r="A73" s="9" t="n"/>
      <c r="B73" s="9" t="n"/>
      <c r="C73" s="31" t="n"/>
      <c r="D73" s="31" t="n"/>
      <c r="E73" s="47" t="n"/>
      <c r="F73" s="9" t="n"/>
      <c r="G73" s="31" t="n"/>
      <c r="H73" s="31" t="n"/>
      <c r="I73" s="31" t="n"/>
      <c r="J73" s="9" t="n"/>
      <c r="K73" s="9" t="n"/>
      <c r="L73" s="9" t="n"/>
      <c r="M73" s="9" t="n"/>
      <c r="N73" s="41" t="n"/>
    </row>
    <row r="74" ht="22" customHeight="1">
      <c r="A74" s="5" t="n"/>
      <c r="B74" s="5" t="n"/>
      <c r="C74" s="30" t="n"/>
      <c r="D74" s="30" t="n"/>
      <c r="E74" s="46" t="n"/>
      <c r="F74" s="5" t="n"/>
      <c r="G74" s="30" t="n"/>
      <c r="H74" s="30" t="n"/>
      <c r="I74" s="30" t="n"/>
      <c r="J74" s="5" t="n"/>
      <c r="K74" s="5" t="n"/>
      <c r="L74" s="5" t="n"/>
      <c r="M74" s="5" t="n"/>
      <c r="N74" s="40" t="n"/>
    </row>
    <row r="75" ht="22" customHeight="1">
      <c r="A75" s="9" t="n"/>
      <c r="B75" s="9" t="n"/>
      <c r="C75" s="31" t="n"/>
      <c r="D75" s="31" t="n"/>
      <c r="E75" s="47" t="n"/>
      <c r="F75" s="9" t="n"/>
      <c r="G75" s="31" t="n"/>
      <c r="H75" s="31" t="n"/>
      <c r="I75" s="31" t="n"/>
      <c r="J75" s="9" t="n"/>
      <c r="K75" s="9" t="n"/>
      <c r="L75" s="9" t="n"/>
      <c r="M75" s="9" t="n"/>
      <c r="N75" s="41" t="n"/>
    </row>
    <row r="76" ht="22" customHeight="1">
      <c r="A76" s="5" t="n"/>
      <c r="B76" s="5" t="n"/>
      <c r="C76" s="30" t="n"/>
      <c r="D76" s="30" t="n"/>
      <c r="E76" s="46" t="n"/>
      <c r="F76" s="5" t="n"/>
      <c r="G76" s="30" t="n"/>
      <c r="H76" s="30" t="n"/>
      <c r="I76" s="30" t="n"/>
      <c r="J76" s="5" t="n"/>
      <c r="K76" s="5" t="n"/>
      <c r="L76" s="5" t="n"/>
      <c r="M76" s="5" t="n"/>
      <c r="N76" s="40" t="n"/>
    </row>
    <row r="77" ht="22" customHeight="1">
      <c r="A77" s="9" t="n"/>
      <c r="B77" s="9" t="n"/>
      <c r="C77" s="31" t="n"/>
      <c r="D77" s="31" t="n"/>
      <c r="E77" s="47" t="n"/>
      <c r="F77" s="9" t="n"/>
      <c r="G77" s="31" t="n"/>
      <c r="H77" s="31" t="n"/>
      <c r="I77" s="31" t="n"/>
      <c r="J77" s="9" t="n"/>
      <c r="K77" s="9" t="n"/>
      <c r="L77" s="9" t="n"/>
      <c r="M77" s="9" t="n"/>
      <c r="N77" s="41" t="n"/>
    </row>
    <row r="78" ht="22" customHeight="1">
      <c r="A78" s="5" t="n"/>
      <c r="B78" s="5" t="n"/>
      <c r="C78" s="30" t="n"/>
      <c r="D78" s="30" t="n"/>
      <c r="E78" s="46" t="n"/>
      <c r="F78" s="5" t="n"/>
      <c r="G78" s="30" t="n"/>
      <c r="H78" s="30" t="n"/>
      <c r="I78" s="30" t="n"/>
      <c r="J78" s="5" t="n"/>
      <c r="K78" s="5" t="n"/>
      <c r="L78" s="5" t="n"/>
      <c r="M78" s="5" t="n"/>
      <c r="N78" s="40" t="n"/>
    </row>
    <row r="79" ht="22" customHeight="1">
      <c r="A79" s="9" t="n"/>
      <c r="B79" s="9" t="n"/>
      <c r="C79" s="31" t="n"/>
      <c r="D79" s="31" t="n"/>
      <c r="E79" s="47" t="n"/>
      <c r="F79" s="9" t="n"/>
      <c r="G79" s="31" t="n"/>
      <c r="H79" s="31" t="n"/>
      <c r="I79" s="31" t="n"/>
      <c r="J79" s="9" t="n"/>
      <c r="K79" s="9" t="n"/>
      <c r="L79" s="9" t="n"/>
      <c r="M79" s="9" t="n"/>
      <c r="N79" s="41" t="n"/>
    </row>
    <row r="80" ht="22" customHeight="1">
      <c r="A80" s="5" t="n"/>
      <c r="B80" s="5" t="n"/>
      <c r="C80" s="30" t="n"/>
      <c r="D80" s="30" t="n"/>
      <c r="E80" s="46" t="n"/>
      <c r="F80" s="5" t="n"/>
      <c r="G80" s="30" t="n"/>
      <c r="H80" s="30" t="n"/>
      <c r="I80" s="30" t="n"/>
      <c r="J80" s="5" t="n"/>
      <c r="K80" s="5" t="n"/>
      <c r="L80" s="5" t="n"/>
      <c r="M80" s="5" t="n"/>
      <c r="N80" s="40" t="n"/>
    </row>
    <row r="81" ht="22" customHeight="1">
      <c r="A81" s="9" t="n"/>
      <c r="B81" s="9" t="n"/>
      <c r="C81" s="31" t="n"/>
      <c r="D81" s="31" t="n"/>
      <c r="E81" s="47" t="n"/>
      <c r="F81" s="9" t="n"/>
      <c r="G81" s="31" t="n"/>
      <c r="H81" s="31" t="n"/>
      <c r="I81" s="31" t="n"/>
      <c r="J81" s="9" t="n"/>
      <c r="K81" s="9" t="n"/>
      <c r="L81" s="9" t="n"/>
      <c r="M81" s="9" t="n"/>
      <c r="N81" s="41" t="n"/>
    </row>
    <row r="82" ht="22" customHeight="1">
      <c r="A82" s="5" t="n"/>
      <c r="B82" s="5" t="n"/>
      <c r="C82" s="30" t="n"/>
      <c r="D82" s="30" t="n"/>
      <c r="E82" s="46" t="n"/>
      <c r="F82" s="5" t="n"/>
      <c r="G82" s="30" t="n"/>
      <c r="H82" s="30" t="n"/>
      <c r="I82" s="30" t="n"/>
      <c r="J82" s="5" t="n"/>
      <c r="K82" s="5" t="n"/>
      <c r="L82" s="5" t="n"/>
      <c r="M82" s="5" t="n"/>
      <c r="N82" s="40" t="n"/>
    </row>
    <row r="83" ht="22" customHeight="1">
      <c r="A83" s="9" t="n"/>
      <c r="B83" s="9" t="n"/>
      <c r="C83" s="31" t="n"/>
      <c r="D83" s="31" t="n"/>
      <c r="E83" s="47" t="n"/>
      <c r="F83" s="9" t="n"/>
      <c r="G83" s="31" t="n"/>
      <c r="H83" s="31" t="n"/>
      <c r="I83" s="31" t="n"/>
      <c r="J83" s="9" t="n"/>
      <c r="K83" s="9" t="n"/>
      <c r="L83" s="9" t="n"/>
      <c r="M83" s="9" t="n"/>
      <c r="N83" s="41" t="n"/>
    </row>
    <row r="84" ht="22" customHeight="1">
      <c r="A84" s="5" t="n"/>
      <c r="B84" s="5" t="n"/>
      <c r="C84" s="30" t="n"/>
      <c r="D84" s="30" t="n"/>
      <c r="E84" s="46" t="n"/>
      <c r="F84" s="5" t="n"/>
      <c r="G84" s="30" t="n"/>
      <c r="H84" s="30" t="n"/>
      <c r="I84" s="30" t="n"/>
      <c r="J84" s="5" t="n"/>
      <c r="K84" s="5" t="n"/>
      <c r="L84" s="5" t="n"/>
      <c r="M84" s="5" t="n"/>
      <c r="N84" s="40" t="n"/>
    </row>
    <row r="85" ht="22" customHeight="1">
      <c r="A85" s="9" t="n"/>
      <c r="B85" s="9" t="n"/>
      <c r="C85" s="31" t="n"/>
      <c r="D85" s="31" t="n"/>
      <c r="E85" s="47" t="n"/>
      <c r="F85" s="9" t="n"/>
      <c r="G85" s="31" t="n"/>
      <c r="H85" s="31" t="n"/>
      <c r="I85" s="31" t="n"/>
      <c r="J85" s="9" t="n"/>
      <c r="K85" s="9" t="n"/>
      <c r="L85" s="9" t="n"/>
      <c r="M85" s="9" t="n"/>
      <c r="N85" s="41" t="n"/>
    </row>
    <row r="86" ht="22" customHeight="1">
      <c r="A86" s="5" t="n"/>
      <c r="B86" s="5" t="n"/>
      <c r="C86" s="30" t="n"/>
      <c r="D86" s="30" t="n"/>
      <c r="E86" s="46" t="n"/>
      <c r="F86" s="5" t="n"/>
      <c r="G86" s="30" t="n"/>
      <c r="H86" s="30" t="n"/>
      <c r="I86" s="30" t="n"/>
      <c r="J86" s="5" t="n"/>
      <c r="K86" s="5" t="n"/>
      <c r="L86" s="5" t="n"/>
      <c r="M86" s="5" t="n"/>
      <c r="N86" s="40" t="n"/>
    </row>
    <row r="87" ht="22" customHeight="1">
      <c r="A87" s="9" t="n"/>
      <c r="B87" s="9" t="n"/>
      <c r="C87" s="31" t="n"/>
      <c r="D87" s="31" t="n"/>
      <c r="E87" s="47" t="n"/>
      <c r="F87" s="9" t="n"/>
      <c r="G87" s="31" t="n"/>
      <c r="H87" s="31" t="n"/>
      <c r="I87" s="31" t="n"/>
      <c r="J87" s="9" t="n"/>
      <c r="K87" s="9" t="n"/>
      <c r="L87" s="9" t="n"/>
      <c r="M87" s="9" t="n"/>
      <c r="N87" s="41" t="n"/>
    </row>
    <row r="88" ht="22" customHeight="1">
      <c r="A88" s="5" t="n"/>
      <c r="B88" s="5" t="n"/>
      <c r="C88" s="30" t="n"/>
      <c r="D88" s="30" t="n"/>
      <c r="E88" s="46" t="n"/>
      <c r="F88" s="5" t="n"/>
      <c r="G88" s="30" t="n"/>
      <c r="H88" s="30" t="n"/>
      <c r="I88" s="30" t="n"/>
      <c r="J88" s="5" t="n"/>
      <c r="K88" s="5" t="n"/>
      <c r="L88" s="5" t="n"/>
      <c r="M88" s="5" t="n"/>
      <c r="N88" s="40" t="n"/>
    </row>
    <row r="89" ht="22" customHeight="1">
      <c r="A89" s="9" t="n"/>
      <c r="B89" s="9" t="n"/>
      <c r="C89" s="31" t="n"/>
      <c r="D89" s="31" t="n"/>
      <c r="E89" s="47" t="n"/>
      <c r="F89" s="9" t="n"/>
      <c r="G89" s="31" t="n"/>
      <c r="H89" s="31" t="n"/>
      <c r="I89" s="31" t="n"/>
      <c r="J89" s="9" t="n"/>
      <c r="K89" s="9" t="n"/>
      <c r="L89" s="9" t="n"/>
      <c r="M89" s="9" t="n"/>
      <c r="N89" s="41" t="n"/>
    </row>
    <row r="90" ht="22" customHeight="1">
      <c r="A90" s="5" t="n"/>
      <c r="B90" s="5" t="n"/>
      <c r="C90" s="30" t="n"/>
      <c r="D90" s="30" t="n"/>
      <c r="E90" s="46" t="n"/>
      <c r="F90" s="5" t="n"/>
      <c r="G90" s="30" t="n"/>
      <c r="H90" s="30" t="n"/>
      <c r="I90" s="30" t="n"/>
      <c r="J90" s="5" t="n"/>
      <c r="K90" s="5" t="n"/>
      <c r="L90" s="5" t="n"/>
      <c r="M90" s="5" t="n"/>
      <c r="N90" s="40" t="n"/>
    </row>
    <row r="91" ht="22" customHeight="1">
      <c r="A91" s="9" t="n"/>
      <c r="B91" s="9" t="n"/>
      <c r="C91" s="31" t="n"/>
      <c r="D91" s="31" t="n"/>
      <c r="E91" s="47" t="n"/>
      <c r="F91" s="9" t="n"/>
      <c r="G91" s="31" t="n"/>
      <c r="H91" s="31" t="n"/>
      <c r="I91" s="31" t="n"/>
      <c r="J91" s="9" t="n"/>
      <c r="K91" s="9" t="n"/>
      <c r="L91" s="9" t="n"/>
      <c r="M91" s="9" t="n"/>
      <c r="N91" s="41" t="n"/>
    </row>
    <row r="92" ht="22" customHeight="1">
      <c r="A92" s="5" t="n"/>
      <c r="B92" s="5" t="n"/>
      <c r="C92" s="30" t="n"/>
      <c r="D92" s="30" t="n"/>
      <c r="E92" s="46" t="n"/>
      <c r="F92" s="5" t="n"/>
      <c r="G92" s="30" t="n"/>
      <c r="H92" s="30" t="n"/>
      <c r="I92" s="30" t="n"/>
      <c r="J92" s="5" t="n"/>
      <c r="K92" s="5" t="n"/>
      <c r="L92" s="5" t="n"/>
      <c r="M92" s="5" t="n"/>
      <c r="N92" s="40" t="n"/>
    </row>
    <row r="93" ht="22" customHeight="1">
      <c r="A93" s="9" t="n"/>
      <c r="B93" s="9" t="n"/>
      <c r="C93" s="31" t="n"/>
      <c r="D93" s="31" t="n"/>
      <c r="E93" s="47" t="n"/>
      <c r="F93" s="9" t="n"/>
      <c r="G93" s="31" t="n"/>
      <c r="H93" s="31" t="n"/>
      <c r="I93" s="31" t="n"/>
      <c r="J93" s="9" t="n"/>
      <c r="K93" s="9" t="n"/>
      <c r="L93" s="9" t="n"/>
      <c r="M93" s="9" t="n"/>
      <c r="N93" s="41" t="n"/>
    </row>
    <row r="94" ht="22" customHeight="1">
      <c r="A94" s="5" t="n"/>
      <c r="B94" s="5" t="n"/>
      <c r="C94" s="30" t="n"/>
      <c r="D94" s="30" t="n"/>
      <c r="E94" s="46" t="n"/>
      <c r="F94" s="5" t="n"/>
      <c r="G94" s="30" t="n"/>
      <c r="H94" s="30" t="n"/>
      <c r="I94" s="30" t="n"/>
      <c r="J94" s="5" t="n"/>
      <c r="K94" s="5" t="n"/>
      <c r="L94" s="5" t="n"/>
      <c r="M94" s="5" t="n"/>
      <c r="N94" s="40" t="n"/>
    </row>
    <row r="95" ht="22" customHeight="1">
      <c r="A95" s="9" t="n"/>
      <c r="B95" s="9" t="n"/>
      <c r="C95" s="31" t="n"/>
      <c r="D95" s="31" t="n"/>
      <c r="E95" s="47" t="n"/>
      <c r="F95" s="9" t="n"/>
      <c r="G95" s="31" t="n"/>
      <c r="H95" s="31" t="n"/>
      <c r="I95" s="31" t="n"/>
      <c r="J95" s="9" t="n"/>
      <c r="K95" s="9" t="n"/>
      <c r="L95" s="9" t="n"/>
      <c r="M95" s="9" t="n"/>
      <c r="N95" s="41" t="n"/>
    </row>
    <row r="96" ht="22" customHeight="1">
      <c r="A96" s="5" t="n"/>
      <c r="B96" s="5" t="n"/>
      <c r="C96" s="30" t="n"/>
      <c r="D96" s="30" t="n"/>
      <c r="E96" s="46" t="n"/>
      <c r="F96" s="5" t="n"/>
      <c r="G96" s="30" t="n"/>
      <c r="H96" s="30" t="n"/>
      <c r="I96" s="30" t="n"/>
      <c r="J96" s="5" t="n"/>
      <c r="K96" s="5" t="n"/>
      <c r="L96" s="5" t="n"/>
      <c r="M96" s="5" t="n"/>
      <c r="N96" s="40" t="n"/>
    </row>
    <row r="97" ht="22" customHeight="1">
      <c r="A97" s="9" t="n"/>
      <c r="B97" s="9" t="n"/>
      <c r="C97" s="31" t="n"/>
      <c r="D97" s="31" t="n"/>
      <c r="E97" s="47" t="n"/>
      <c r="F97" s="9" t="n"/>
      <c r="G97" s="31" t="n"/>
      <c r="H97" s="31" t="n"/>
      <c r="I97" s="31" t="n"/>
      <c r="J97" s="9" t="n"/>
      <c r="K97" s="9" t="n"/>
      <c r="L97" s="9" t="n"/>
      <c r="M97" s="9" t="n"/>
      <c r="N97" s="41" t="n"/>
    </row>
    <row r="98" ht="22" customHeight="1">
      <c r="A98" s="5" t="n"/>
      <c r="B98" s="5" t="n"/>
      <c r="C98" s="30" t="n"/>
      <c r="D98" s="30" t="n"/>
      <c r="E98" s="46" t="n"/>
      <c r="F98" s="5" t="n"/>
      <c r="G98" s="30" t="n"/>
      <c r="H98" s="30" t="n"/>
      <c r="I98" s="30" t="n"/>
      <c r="J98" s="5" t="n"/>
      <c r="K98" s="5" t="n"/>
      <c r="L98" s="5" t="n"/>
      <c r="M98" s="5" t="n"/>
      <c r="N98" s="40" t="n"/>
    </row>
    <row r="99" ht="22" customHeight="1">
      <c r="A99" s="9" t="n"/>
      <c r="B99" s="9" t="n"/>
      <c r="C99" s="31" t="n"/>
      <c r="D99" s="31" t="n"/>
      <c r="E99" s="47" t="n"/>
      <c r="F99" s="9" t="n"/>
      <c r="G99" s="31" t="n"/>
      <c r="H99" s="31" t="n"/>
      <c r="I99" s="31" t="n"/>
      <c r="J99" s="9" t="n"/>
      <c r="K99" s="9" t="n"/>
      <c r="L99" s="9" t="n"/>
      <c r="M99" s="9" t="n"/>
      <c r="N99" s="41" t="n"/>
    </row>
    <row r="100" ht="22" customHeight="1">
      <c r="A100" s="5" t="n"/>
      <c r="B100" s="5" t="n"/>
      <c r="C100" s="30" t="n"/>
      <c r="D100" s="30" t="n"/>
      <c r="E100" s="46" t="n"/>
      <c r="F100" s="5" t="n"/>
      <c r="G100" s="30" t="n"/>
      <c r="H100" s="30" t="n"/>
      <c r="I100" s="30" t="n"/>
      <c r="J100" s="5" t="n"/>
      <c r="K100" s="5" t="n"/>
      <c r="L100" s="5" t="n"/>
      <c r="M100" s="5" t="n"/>
      <c r="N100" s="40" t="n"/>
    </row>
    <row r="101" ht="22" customHeight="1">
      <c r="A101" s="9" t="n"/>
      <c r="B101" s="9" t="n"/>
      <c r="C101" s="31" t="n"/>
      <c r="D101" s="31" t="n"/>
      <c r="E101" s="47" t="n"/>
      <c r="F101" s="9" t="n"/>
      <c r="G101" s="31" t="n"/>
      <c r="H101" s="31" t="n"/>
      <c r="I101" s="31" t="n"/>
      <c r="J101" s="9" t="n"/>
      <c r="K101" s="9" t="n"/>
      <c r="L101" s="9" t="n"/>
      <c r="M101" s="9" t="n"/>
      <c r="N101" s="41" t="n"/>
    </row>
    <row r="102" ht="22" customHeight="1">
      <c r="A102" s="5" t="n"/>
      <c r="B102" s="5" t="n"/>
      <c r="C102" s="30" t="n"/>
      <c r="D102" s="30" t="n"/>
      <c r="E102" s="46" t="n"/>
      <c r="F102" s="5" t="n"/>
      <c r="G102" s="30" t="n"/>
      <c r="H102" s="30" t="n"/>
      <c r="I102" s="30" t="n"/>
      <c r="J102" s="5" t="n"/>
      <c r="K102" s="5" t="n"/>
      <c r="L102" s="5" t="n"/>
      <c r="M102" s="5" t="n"/>
      <c r="N102" s="40" t="n"/>
    </row>
    <row r="103" ht="22" customHeight="1">
      <c r="A103" s="9" t="n"/>
      <c r="B103" s="9" t="n"/>
      <c r="C103" s="31" t="n"/>
      <c r="D103" s="31" t="n"/>
      <c r="E103" s="47" t="n"/>
      <c r="F103" s="9" t="n"/>
      <c r="G103" s="31" t="n"/>
      <c r="H103" s="31" t="n"/>
      <c r="I103" s="31" t="n"/>
      <c r="J103" s="9" t="n"/>
      <c r="K103" s="9" t="n"/>
      <c r="L103" s="9" t="n"/>
      <c r="M103" s="9" t="n"/>
      <c r="N103" s="41" t="n"/>
    </row>
    <row r="104" ht="22" customHeight="1">
      <c r="A104" s="5" t="n"/>
      <c r="B104" s="5" t="n"/>
      <c r="C104" s="30" t="n"/>
      <c r="D104" s="30" t="n"/>
      <c r="E104" s="46" t="n"/>
      <c r="F104" s="5" t="n"/>
      <c r="G104" s="30" t="n"/>
      <c r="H104" s="30" t="n"/>
      <c r="I104" s="30" t="n"/>
      <c r="J104" s="5" t="n"/>
      <c r="K104" s="5" t="n"/>
      <c r="L104" s="5" t="n"/>
      <c r="M104" s="5" t="n"/>
      <c r="N104" s="40" t="n"/>
    </row>
    <row r="105" ht="22" customHeight="1">
      <c r="A105" s="9" t="n"/>
      <c r="B105" s="9" t="n"/>
      <c r="C105" s="31" t="n"/>
      <c r="D105" s="31" t="n"/>
      <c r="E105" s="47" t="n"/>
      <c r="F105" s="9" t="n"/>
      <c r="G105" s="31" t="n"/>
      <c r="H105" s="31" t="n"/>
      <c r="I105" s="31" t="n"/>
      <c r="J105" s="9" t="n"/>
      <c r="K105" s="9" t="n"/>
      <c r="L105" s="9" t="n"/>
      <c r="M105" s="9" t="n"/>
      <c r="N105" s="41" t="n"/>
    </row>
    <row r="106" ht="22" customHeight="1">
      <c r="A106" s="5" t="n"/>
      <c r="B106" s="5" t="n"/>
      <c r="C106" s="30" t="n"/>
      <c r="D106" s="30" t="n"/>
      <c r="E106" s="46" t="n"/>
      <c r="F106" s="5" t="n"/>
      <c r="G106" s="30" t="n"/>
      <c r="H106" s="30" t="n"/>
      <c r="I106" s="30" t="n"/>
      <c r="J106" s="5" t="n"/>
      <c r="K106" s="5" t="n"/>
      <c r="L106" s="5" t="n"/>
      <c r="M106" s="5" t="n"/>
      <c r="N106" s="40" t="n"/>
    </row>
    <row r="107" ht="22" customHeight="1">
      <c r="A107" s="9" t="n"/>
      <c r="B107" s="9" t="n"/>
      <c r="C107" s="31" t="n"/>
      <c r="D107" s="31" t="n"/>
      <c r="E107" s="47" t="n"/>
      <c r="F107" s="9" t="n"/>
      <c r="G107" s="31" t="n"/>
      <c r="H107" s="31" t="n"/>
      <c r="I107" s="31" t="n"/>
      <c r="J107" s="9" t="n"/>
      <c r="K107" s="9" t="n"/>
      <c r="L107" s="9" t="n"/>
      <c r="M107" s="9" t="n"/>
      <c r="N107" s="41" t="n"/>
    </row>
    <row r="108" ht="22" customHeight="1">
      <c r="A108" s="5" t="n"/>
      <c r="B108" s="5" t="n"/>
      <c r="C108" s="30" t="n"/>
      <c r="D108" s="30" t="n"/>
      <c r="E108" s="46" t="n"/>
      <c r="F108" s="5" t="n"/>
      <c r="G108" s="30" t="n"/>
      <c r="H108" s="30" t="n"/>
      <c r="I108" s="30" t="n"/>
      <c r="J108" s="5" t="n"/>
      <c r="K108" s="5" t="n"/>
      <c r="L108" s="5" t="n"/>
      <c r="M108" s="5" t="n"/>
      <c r="N108" s="40" t="n"/>
    </row>
    <row r="109" ht="22" customHeight="1">
      <c r="A109" s="9" t="n"/>
      <c r="B109" s="9" t="n"/>
      <c r="C109" s="31" t="n"/>
      <c r="D109" s="31" t="n"/>
      <c r="E109" s="47" t="n"/>
      <c r="F109" s="9" t="n"/>
      <c r="G109" s="31" t="n"/>
      <c r="H109" s="31" t="n"/>
      <c r="I109" s="31" t="n"/>
      <c r="J109" s="9" t="n"/>
      <c r="K109" s="9" t="n"/>
      <c r="L109" s="9" t="n"/>
      <c r="M109" s="9" t="n"/>
      <c r="N109" s="41" t="n"/>
    </row>
    <row r="110" ht="22" customHeight="1">
      <c r="A110" s="5" t="n"/>
      <c r="B110" s="5" t="n"/>
      <c r="C110" s="30" t="n"/>
      <c r="D110" s="30" t="n"/>
      <c r="E110" s="46" t="n"/>
      <c r="F110" s="5" t="n"/>
      <c r="G110" s="30" t="n"/>
      <c r="H110" s="30" t="n"/>
      <c r="I110" s="30" t="n"/>
      <c r="J110" s="5" t="n"/>
      <c r="K110" s="5" t="n"/>
      <c r="L110" s="5" t="n"/>
      <c r="M110" s="5" t="n"/>
      <c r="N110" s="40" t="n"/>
    </row>
    <row r="111" ht="22" customHeight="1">
      <c r="A111" s="9" t="n"/>
      <c r="B111" s="9" t="n"/>
      <c r="C111" s="31" t="n"/>
      <c r="D111" s="31" t="n"/>
      <c r="E111" s="47" t="n"/>
      <c r="F111" s="9" t="n"/>
      <c r="G111" s="31" t="n"/>
      <c r="H111" s="31" t="n"/>
      <c r="I111" s="31" t="n"/>
      <c r="J111" s="9" t="n"/>
      <c r="K111" s="9" t="n"/>
      <c r="L111" s="9" t="n"/>
      <c r="M111" s="9" t="n"/>
      <c r="N111" s="41" t="n"/>
    </row>
    <row r="112" ht="22" customHeight="1">
      <c r="A112" s="5" t="n"/>
      <c r="B112" s="5" t="n"/>
      <c r="C112" s="30" t="n"/>
      <c r="D112" s="30" t="n"/>
      <c r="E112" s="46" t="n"/>
      <c r="F112" s="5" t="n"/>
      <c r="G112" s="30" t="n"/>
      <c r="H112" s="30" t="n"/>
      <c r="I112" s="30" t="n"/>
      <c r="J112" s="5" t="n"/>
      <c r="K112" s="5" t="n"/>
      <c r="L112" s="5" t="n"/>
      <c r="M112" s="5" t="n"/>
      <c r="N112" s="40" t="n"/>
    </row>
    <row r="113" ht="22" customHeight="1">
      <c r="A113" s="9" t="n"/>
      <c r="B113" s="9" t="n"/>
      <c r="C113" s="31" t="n"/>
      <c r="D113" s="31" t="n"/>
      <c r="E113" s="47" t="n"/>
      <c r="F113" s="9" t="n"/>
      <c r="G113" s="31" t="n"/>
      <c r="H113" s="31" t="n"/>
      <c r="I113" s="31" t="n"/>
      <c r="J113" s="9" t="n"/>
      <c r="K113" s="9" t="n"/>
      <c r="L113" s="9" t="n"/>
      <c r="M113" s="9" t="n"/>
      <c r="N113" s="41" t="n"/>
    </row>
    <row r="114" ht="22" customHeight="1">
      <c r="A114" s="5" t="n"/>
      <c r="B114" s="5" t="n"/>
      <c r="C114" s="30" t="n"/>
      <c r="D114" s="30" t="n"/>
      <c r="E114" s="46" t="n"/>
      <c r="F114" s="5" t="n"/>
      <c r="G114" s="30" t="n"/>
      <c r="H114" s="30" t="n"/>
      <c r="I114" s="30" t="n"/>
      <c r="J114" s="5" t="n"/>
      <c r="K114" s="5" t="n"/>
      <c r="L114" s="5" t="n"/>
      <c r="M114" s="5" t="n"/>
      <c r="N114" s="40" t="n"/>
    </row>
    <row r="115" ht="22" customHeight="1">
      <c r="A115" s="9" t="n"/>
      <c r="B115" s="9" t="n"/>
      <c r="C115" s="31" t="n"/>
      <c r="D115" s="31" t="n"/>
      <c r="E115" s="47" t="n"/>
      <c r="F115" s="9" t="n"/>
      <c r="G115" s="31" t="n"/>
      <c r="H115" s="31" t="n"/>
      <c r="I115" s="31" t="n"/>
      <c r="J115" s="9" t="n"/>
      <c r="K115" s="9" t="n"/>
      <c r="L115" s="9" t="n"/>
      <c r="M115" s="9" t="n"/>
      <c r="N115" s="41" t="n"/>
    </row>
  </sheetData>
  <mergeCells count="2">
    <mergeCell ref="A3:N3"/>
    <mergeCell ref="A2:N2"/>
  </mergeCells>
  <conditionalFormatting sqref="F6:F115">
    <cfRule type="cellIs" priority="1" operator="equal" dxfId="1">
      <formula>"DÉPASSÉ"</formula>
    </cfRule>
  </conditionalFormatting>
  <conditionalFormatting sqref="J6:J115">
    <cfRule type="cellIs" priority="2" operator="equal" dxfId="3">
      <formula>"Veiller au plafond"</formula>
    </cfRule>
    <cfRule type="cellIs" priority="3" operator="equal" dxfId="0">
      <formula>"OK"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4" customWidth="1" min="4" max="4"/>
    <col width="18" customWidth="1" min="5" max="5"/>
    <col width="36" customWidth="1" min="6" max="6"/>
    <col width="14" customWidth="1" min="7" max="7"/>
    <col width="14" customWidth="1" min="8" max="8"/>
    <col width="22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SUIVI DES RÉCLAMATIONS AVANTAGES SOCIAUX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 (VLOOKUP)</t>
        </is>
      </c>
      <c r="C5" s="4" t="inlineStr">
        <is>
          <t>Avantage concerné</t>
        </is>
      </c>
      <c r="D5" s="4" t="inlineStr">
        <is>
          <t>Type réclamation</t>
        </is>
      </c>
      <c r="E5" s="4" t="inlineStr">
        <is>
          <t>Date réclamation</t>
        </is>
      </c>
      <c r="F5" s="4" t="inlineStr">
        <is>
          <t>Description</t>
        </is>
      </c>
      <c r="G5" s="4" t="inlineStr">
        <is>
          <t>Priorité</t>
        </is>
      </c>
      <c r="H5" s="4" t="inlineStr">
        <is>
          <t>Statut</t>
        </is>
      </c>
      <c r="I5" s="4" t="inlineStr">
        <is>
          <t>Délai résolution (jours)</t>
        </is>
      </c>
      <c r="J5" s="4" t="inlineStr">
        <is>
          <t>Responsable</t>
        </is>
      </c>
      <c r="K5" s="4" t="inlineStr">
        <is>
          <t>Date résolution</t>
        </is>
      </c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EMP-003</t>
        </is>
      </c>
      <c r="B6" s="5">
        <f>IFERROR(VLOOKUP(A6,'F01 - _Données Employés'!$A$6:$C$20,2,FALSE),"")</f>
        <v/>
      </c>
      <c r="C6" s="5" t="inlineStr">
        <is>
          <t>AV-002</t>
        </is>
      </c>
      <c r="D6" s="5" t="inlineStr">
        <is>
          <t>Retard remboursement</t>
        </is>
      </c>
      <c r="E6" s="40" t="n">
        <v>45413</v>
      </c>
      <c r="F6" s="5" t="inlineStr">
        <is>
          <t>Remboursement soins non reçu depuis 2 mois</t>
        </is>
      </c>
      <c r="G6" s="5" t="inlineStr">
        <is>
          <t>Haute</t>
        </is>
      </c>
      <c r="H6" s="5" t="inlineStr">
        <is>
          <t>En cours</t>
        </is>
      </c>
      <c r="I6" s="30">
        <f>IF(H6="Résolue",IFERROR(L6-E6,30),IF(H6="Rejetée",IFERROR(L6-E6,0),TODAY()-E6))</f>
        <v/>
      </c>
      <c r="J6" s="5" t="inlineStr">
        <is>
          <t>Mme Koffi</t>
        </is>
      </c>
      <c r="K6" s="40" t="n"/>
      <c r="L6" s="5" t="n"/>
      <c r="M6" s="5" t="n"/>
      <c r="N6" s="40" t="n">
        <v>45444</v>
      </c>
    </row>
    <row r="7" ht="22" customHeight="1">
      <c r="A7" s="9" t="inlineStr">
        <is>
          <t>EMP-001</t>
        </is>
      </c>
      <c r="B7" s="9">
        <f>IFERROR(VLOOKUP(A7,'F01 - _Données Employés'!$A$6:$C$20,2,FALSE),"")</f>
        <v/>
      </c>
      <c r="C7" s="9" t="inlineStr">
        <is>
          <t>AV-004</t>
        </is>
      </c>
      <c r="D7" s="9" t="inlineStr">
        <is>
          <t>Montant erroné</t>
        </is>
      </c>
      <c r="E7" s="41" t="n">
        <v>45416</v>
      </c>
      <c r="F7" s="9" t="inlineStr">
        <is>
          <t>Ticket restaurant valeur incorrecte ce mois</t>
        </is>
      </c>
      <c r="G7" s="9" t="inlineStr">
        <is>
          <t>Moyenne</t>
        </is>
      </c>
      <c r="H7" s="9" t="inlineStr">
        <is>
          <t>Ouverte</t>
        </is>
      </c>
      <c r="I7" s="31">
        <f>IF(H7="Résolue",IFERROR(L7-E7,30),IF(H7="Rejetée",IFERROR(L7-E7,0),TODAY()-E7))</f>
        <v/>
      </c>
      <c r="J7" s="9" t="inlineStr">
        <is>
          <t>M. Diallo</t>
        </is>
      </c>
      <c r="K7" s="41" t="n"/>
      <c r="L7" s="9" t="n"/>
      <c r="M7" s="9" t="n"/>
      <c r="N7" s="41" t="n">
        <v>45444</v>
      </c>
    </row>
    <row r="8" ht="22" customHeight="1">
      <c r="A8" s="5" t="inlineStr">
        <is>
          <t>EMP-005</t>
        </is>
      </c>
      <c r="B8" s="5">
        <f>IFERROR(VLOOKUP(A8,'F01 - _Données Employés'!$A$6:$C$20,2,FALSE),"")</f>
        <v/>
      </c>
      <c r="C8" s="5" t="inlineStr">
        <is>
          <t>AV-001</t>
        </is>
      </c>
      <c r="D8" s="5" t="inlineStr">
        <is>
          <t>Information manquante</t>
        </is>
      </c>
      <c r="E8" s="40" t="n">
        <v>45419</v>
      </c>
      <c r="F8" s="5" t="inlineStr">
        <is>
          <t>Attestation CNPS non disponible</t>
        </is>
      </c>
      <c r="G8" s="5" t="inlineStr">
        <is>
          <t>Basse</t>
        </is>
      </c>
      <c r="H8" s="5" t="inlineStr">
        <is>
          <t>Résolue</t>
        </is>
      </c>
      <c r="I8" s="30">
        <f>IF(H8="Résolue",IFERROR(L8-E8,30),IF(H8="Rejetée",IFERROR(L8-E8,0),TODAY()-E8))</f>
        <v/>
      </c>
      <c r="J8" s="5" t="inlineStr">
        <is>
          <t>Mme Koffi</t>
        </is>
      </c>
      <c r="K8" s="40" t="n">
        <v>45437</v>
      </c>
      <c r="L8" s="5" t="n"/>
      <c r="M8" s="5" t="n"/>
      <c r="N8" s="40" t="n">
        <v>45444</v>
      </c>
    </row>
    <row r="9" ht="22" customHeight="1">
      <c r="A9" s="9" t="inlineStr">
        <is>
          <t>EMP-008</t>
        </is>
      </c>
      <c r="B9" s="9">
        <f>IFERROR(VLOOKUP(A9,'F01 - _Données Employés'!$A$6:$C$20,2,FALSE),"")</f>
        <v/>
      </c>
      <c r="C9" s="9" t="inlineStr">
        <is>
          <t>AV-002</t>
        </is>
      </c>
      <c r="D9" s="9" t="inlineStr">
        <is>
          <t>Couverture refusée</t>
        </is>
      </c>
      <c r="E9" s="41" t="n">
        <v>45422</v>
      </c>
      <c r="F9" s="9" t="inlineStr">
        <is>
          <t>Soins dentaires non couverts</t>
        </is>
      </c>
      <c r="G9" s="9" t="inlineStr">
        <is>
          <t>Haute</t>
        </is>
      </c>
      <c r="H9" s="9" t="inlineStr">
        <is>
          <t>En cours</t>
        </is>
      </c>
      <c r="I9" s="31">
        <f>IF(H9="Résolue",IFERROR(L9-E9,30),IF(H9="Rejetée",IFERROR(L9-E9,0),TODAY()-E9))</f>
        <v/>
      </c>
      <c r="J9" s="9" t="inlineStr">
        <is>
          <t>M. Diallo</t>
        </is>
      </c>
      <c r="K9" s="41" t="n"/>
      <c r="L9" s="9" t="n"/>
      <c r="M9" s="9" t="n"/>
      <c r="N9" s="41" t="n">
        <v>45444</v>
      </c>
    </row>
    <row r="10" ht="22" customHeight="1">
      <c r="A10" s="5" t="inlineStr">
        <is>
          <t>EMP-002</t>
        </is>
      </c>
      <c r="B10" s="5">
        <f>IFERROR(VLOOKUP(A10,'F01 - _Données Employés'!$A$6:$C$20,2,FALSE),"")</f>
        <v/>
      </c>
      <c r="C10" s="5" t="inlineStr">
        <is>
          <t>AV-003</t>
        </is>
      </c>
      <c r="D10" s="5" t="inlineStr">
        <is>
          <t>Retard remboursement</t>
        </is>
      </c>
      <c r="E10" s="40" t="n">
        <v>45425</v>
      </c>
      <c r="F10" s="5" t="inlineStr">
        <is>
          <t>Capital décès dossier en attente</t>
        </is>
      </c>
      <c r="G10" s="5" t="inlineStr">
        <is>
          <t>Haute</t>
        </is>
      </c>
      <c r="H10" s="5" t="inlineStr">
        <is>
          <t>Ouverte</t>
        </is>
      </c>
      <c r="I10" s="30">
        <f>IF(H10="Résolue",IFERROR(L10-E10,30),IF(H10="Rejetée",IFERROR(L10-E10,0),TODAY()-E10))</f>
        <v/>
      </c>
      <c r="J10" s="5" t="inlineStr">
        <is>
          <t>Mme Koffi</t>
        </is>
      </c>
      <c r="K10" s="40" t="n"/>
      <c r="L10" s="5" t="n"/>
      <c r="M10" s="5" t="n"/>
      <c r="N10" s="40" t="n">
        <v>45444</v>
      </c>
    </row>
    <row r="11" ht="22" customHeight="1">
      <c r="A11" s="9" t="n"/>
      <c r="B11" s="9" t="n"/>
      <c r="C11" s="9" t="n"/>
      <c r="D11" s="9" t="n"/>
      <c r="E11" s="41" t="n"/>
      <c r="F11" s="9" t="n"/>
      <c r="G11" s="9" t="n"/>
      <c r="H11" s="9" t="n"/>
      <c r="I11" s="31" t="n"/>
      <c r="J11" s="9" t="n"/>
      <c r="K11" s="41" t="n"/>
      <c r="L11" s="9" t="n"/>
      <c r="M11" s="9" t="n"/>
      <c r="N11" s="41" t="n"/>
    </row>
    <row r="12" ht="22" customHeight="1">
      <c r="A12" s="5" t="n"/>
      <c r="B12" s="5" t="n"/>
      <c r="C12" s="5" t="n"/>
      <c r="D12" s="5" t="n"/>
      <c r="E12" s="40" t="n"/>
      <c r="F12" s="5" t="n"/>
      <c r="G12" s="5" t="n"/>
      <c r="H12" s="5" t="n"/>
      <c r="I12" s="30" t="n"/>
      <c r="J12" s="5" t="n"/>
      <c r="K12" s="40" t="n"/>
      <c r="L12" s="5" t="n"/>
      <c r="M12" s="5" t="n"/>
      <c r="N12" s="40" t="n"/>
    </row>
    <row r="13" ht="22" customHeight="1">
      <c r="A13" s="9" t="n"/>
      <c r="B13" s="9" t="n"/>
      <c r="C13" s="9" t="n"/>
      <c r="D13" s="9" t="n"/>
      <c r="E13" s="41" t="n"/>
      <c r="F13" s="9" t="n"/>
      <c r="G13" s="9" t="n"/>
      <c r="H13" s="9" t="n"/>
      <c r="I13" s="31" t="n"/>
      <c r="J13" s="9" t="n"/>
      <c r="K13" s="41" t="n"/>
      <c r="L13" s="9" t="n"/>
      <c r="M13" s="9" t="n"/>
      <c r="N13" s="41" t="n"/>
    </row>
    <row r="14" ht="22" customHeight="1">
      <c r="A14" s="5" t="n"/>
      <c r="B14" s="5" t="n"/>
      <c r="C14" s="5" t="n"/>
      <c r="D14" s="5" t="n"/>
      <c r="E14" s="40" t="n"/>
      <c r="F14" s="5" t="n"/>
      <c r="G14" s="5" t="n"/>
      <c r="H14" s="5" t="n"/>
      <c r="I14" s="30" t="n"/>
      <c r="J14" s="5" t="n"/>
      <c r="K14" s="40" t="n"/>
      <c r="L14" s="5" t="n"/>
      <c r="M14" s="5" t="n"/>
      <c r="N14" s="40" t="n"/>
    </row>
    <row r="15" ht="22" customHeight="1">
      <c r="A15" s="9" t="n"/>
      <c r="B15" s="9" t="n"/>
      <c r="C15" s="9" t="n"/>
      <c r="D15" s="9" t="n"/>
      <c r="E15" s="41" t="n"/>
      <c r="F15" s="9" t="n"/>
      <c r="G15" s="9" t="n"/>
      <c r="H15" s="9" t="n"/>
      <c r="I15" s="31" t="n"/>
      <c r="J15" s="9" t="n"/>
      <c r="K15" s="41" t="n"/>
      <c r="L15" s="9" t="n"/>
      <c r="M15" s="9" t="n"/>
      <c r="N15" s="41" t="n"/>
    </row>
    <row r="16" ht="22" customHeight="1">
      <c r="A16" s="5" t="n"/>
      <c r="B16" s="5" t="n"/>
      <c r="C16" s="5" t="n"/>
      <c r="D16" s="5" t="n"/>
      <c r="E16" s="40" t="n"/>
      <c r="F16" s="5" t="n"/>
      <c r="G16" s="5" t="n"/>
      <c r="H16" s="5" t="n"/>
      <c r="I16" s="30" t="n"/>
      <c r="J16" s="5" t="n"/>
      <c r="K16" s="40" t="n"/>
      <c r="L16" s="5" t="n"/>
      <c r="M16" s="5" t="n"/>
      <c r="N16" s="40" t="n"/>
    </row>
    <row r="17" ht="22" customHeight="1">
      <c r="A17" s="9" t="n"/>
      <c r="B17" s="9" t="n"/>
      <c r="C17" s="9" t="n"/>
      <c r="D17" s="9" t="n"/>
      <c r="E17" s="41" t="n"/>
      <c r="F17" s="9" t="n"/>
      <c r="G17" s="9" t="n"/>
      <c r="H17" s="9" t="n"/>
      <c r="I17" s="31" t="n"/>
      <c r="J17" s="9" t="n"/>
      <c r="K17" s="41" t="n"/>
      <c r="L17" s="9" t="n"/>
      <c r="M17" s="9" t="n"/>
      <c r="N17" s="41" t="n"/>
    </row>
    <row r="18" ht="22" customHeight="1">
      <c r="A18" s="5" t="n"/>
      <c r="B18" s="5" t="n"/>
      <c r="C18" s="5" t="n"/>
      <c r="D18" s="5" t="n"/>
      <c r="E18" s="40" t="n"/>
      <c r="F18" s="5" t="n"/>
      <c r="G18" s="5" t="n"/>
      <c r="H18" s="5" t="n"/>
      <c r="I18" s="30" t="n"/>
      <c r="J18" s="5" t="n"/>
      <c r="K18" s="40" t="n"/>
      <c r="L18" s="5" t="n"/>
      <c r="M18" s="5" t="n"/>
      <c r="N18" s="40" t="n"/>
    </row>
    <row r="19" ht="22" customHeight="1">
      <c r="A19" s="9" t="n"/>
      <c r="B19" s="9" t="n"/>
      <c r="C19" s="9" t="n"/>
      <c r="D19" s="9" t="n"/>
      <c r="E19" s="41" t="n"/>
      <c r="F19" s="9" t="n"/>
      <c r="G19" s="9" t="n"/>
      <c r="H19" s="9" t="n"/>
      <c r="I19" s="31" t="n"/>
      <c r="J19" s="9" t="n"/>
      <c r="K19" s="41" t="n"/>
      <c r="L19" s="9" t="n"/>
      <c r="M19" s="9" t="n"/>
      <c r="N19" s="41" t="n"/>
    </row>
    <row r="20" ht="22" customHeight="1">
      <c r="A20" s="5" t="n"/>
      <c r="B20" s="5" t="n"/>
      <c r="C20" s="5" t="n"/>
      <c r="D20" s="5" t="n"/>
      <c r="E20" s="40" t="n"/>
      <c r="F20" s="5" t="n"/>
      <c r="G20" s="5" t="n"/>
      <c r="H20" s="5" t="n"/>
      <c r="I20" s="30" t="n"/>
      <c r="J20" s="5" t="n"/>
      <c r="K20" s="40" t="n"/>
      <c r="L20" s="5" t="n"/>
      <c r="M20" s="5" t="n"/>
      <c r="N20" s="40" t="n"/>
    </row>
    <row r="21" ht="22" customHeight="1">
      <c r="A21" s="9" t="n"/>
      <c r="B21" s="9" t="n"/>
      <c r="C21" s="9" t="n"/>
      <c r="D21" s="9" t="n"/>
      <c r="E21" s="41" t="n"/>
      <c r="F21" s="9" t="n"/>
      <c r="G21" s="9" t="n"/>
      <c r="H21" s="9" t="n"/>
      <c r="I21" s="31" t="n"/>
      <c r="J21" s="9" t="n"/>
      <c r="K21" s="41" t="n"/>
      <c r="L21" s="9" t="n"/>
      <c r="M21" s="9" t="n"/>
      <c r="N21" s="41" t="n"/>
    </row>
    <row r="22" ht="22" customHeight="1">
      <c r="A22" s="5" t="n"/>
      <c r="B22" s="5" t="n"/>
      <c r="C22" s="5" t="n"/>
      <c r="D22" s="5" t="n"/>
      <c r="E22" s="40" t="n"/>
      <c r="F22" s="5" t="n"/>
      <c r="G22" s="5" t="n"/>
      <c r="H22" s="5" t="n"/>
      <c r="I22" s="30" t="n"/>
      <c r="J22" s="5" t="n"/>
      <c r="K22" s="40" t="n"/>
      <c r="L22" s="5" t="n"/>
      <c r="M22" s="5" t="n"/>
      <c r="N22" s="40" t="n"/>
    </row>
    <row r="23" ht="22" customHeight="1">
      <c r="A23" s="9" t="n"/>
      <c r="B23" s="9" t="n"/>
      <c r="C23" s="9" t="n"/>
      <c r="D23" s="9" t="n"/>
      <c r="E23" s="41" t="n"/>
      <c r="F23" s="9" t="n"/>
      <c r="G23" s="9" t="n"/>
      <c r="H23" s="9" t="n"/>
      <c r="I23" s="31" t="n"/>
      <c r="J23" s="9" t="n"/>
      <c r="K23" s="41" t="n"/>
      <c r="L23" s="9" t="n"/>
      <c r="M23" s="9" t="n"/>
      <c r="N23" s="41" t="n"/>
    </row>
    <row r="24" ht="22" customHeight="1">
      <c r="A24" s="5" t="n"/>
      <c r="B24" s="5" t="n"/>
      <c r="C24" s="5" t="n"/>
      <c r="D24" s="5" t="n"/>
      <c r="E24" s="40" t="n"/>
      <c r="F24" s="5" t="n"/>
      <c r="G24" s="5" t="n"/>
      <c r="H24" s="5" t="n"/>
      <c r="I24" s="30" t="n"/>
      <c r="J24" s="5" t="n"/>
      <c r="K24" s="40" t="n"/>
      <c r="L24" s="5" t="n"/>
      <c r="M24" s="5" t="n"/>
      <c r="N24" s="40" t="n"/>
    </row>
    <row r="25" ht="22" customHeight="1">
      <c r="A25" s="9" t="n"/>
      <c r="B25" s="9" t="n"/>
      <c r="C25" s="9" t="n"/>
      <c r="D25" s="9" t="n"/>
      <c r="E25" s="41" t="n"/>
      <c r="F25" s="9" t="n"/>
      <c r="G25" s="9" t="n"/>
      <c r="H25" s="9" t="n"/>
      <c r="I25" s="31" t="n"/>
      <c r="J25" s="9" t="n"/>
      <c r="K25" s="41" t="n"/>
      <c r="L25" s="9" t="n"/>
      <c r="M25" s="9" t="n"/>
      <c r="N25" s="41" t="n"/>
    </row>
    <row r="26" ht="22" customHeight="1">
      <c r="A26" s="5" t="n"/>
      <c r="B26" s="5" t="n"/>
      <c r="C26" s="5" t="n"/>
      <c r="D26" s="5" t="n"/>
      <c r="E26" s="40" t="n"/>
      <c r="F26" s="5" t="n"/>
      <c r="G26" s="5" t="n"/>
      <c r="H26" s="5" t="n"/>
      <c r="I26" s="30" t="n"/>
      <c r="J26" s="5" t="n"/>
      <c r="K26" s="40" t="n"/>
      <c r="L26" s="5" t="n"/>
      <c r="M26" s="5" t="n"/>
      <c r="N26" s="40" t="n"/>
    </row>
    <row r="27" ht="22" customHeight="1">
      <c r="A27" s="9" t="n"/>
      <c r="B27" s="9" t="n"/>
      <c r="C27" s="9" t="n"/>
      <c r="D27" s="9" t="n"/>
      <c r="E27" s="41" t="n"/>
      <c r="F27" s="9" t="n"/>
      <c r="G27" s="9" t="n"/>
      <c r="H27" s="9" t="n"/>
      <c r="I27" s="31" t="n"/>
      <c r="J27" s="9" t="n"/>
      <c r="K27" s="41" t="n"/>
      <c r="L27" s="9" t="n"/>
      <c r="M27" s="9" t="n"/>
      <c r="N27" s="41" t="n"/>
    </row>
    <row r="28" ht="22" customHeight="1">
      <c r="A28" s="5" t="n"/>
      <c r="B28" s="5" t="n"/>
      <c r="C28" s="5" t="n"/>
      <c r="D28" s="5" t="n"/>
      <c r="E28" s="40" t="n"/>
      <c r="F28" s="5" t="n"/>
      <c r="G28" s="5" t="n"/>
      <c r="H28" s="5" t="n"/>
      <c r="I28" s="30" t="n"/>
      <c r="J28" s="5" t="n"/>
      <c r="K28" s="40" t="n"/>
      <c r="L28" s="5" t="n"/>
      <c r="M28" s="5" t="n"/>
      <c r="N28" s="40" t="n"/>
    </row>
    <row r="29" ht="22" customHeight="1">
      <c r="A29" s="9" t="n"/>
      <c r="B29" s="9" t="n"/>
      <c r="C29" s="9" t="n"/>
      <c r="D29" s="9" t="n"/>
      <c r="E29" s="41" t="n"/>
      <c r="F29" s="9" t="n"/>
      <c r="G29" s="9" t="n"/>
      <c r="H29" s="9" t="n"/>
      <c r="I29" s="31" t="n"/>
      <c r="J29" s="9" t="n"/>
      <c r="K29" s="41" t="n"/>
      <c r="L29" s="9" t="n"/>
      <c r="M29" s="9" t="n"/>
      <c r="N29" s="41" t="n"/>
    </row>
    <row r="30" ht="22" customHeight="1">
      <c r="A30" s="5" t="n"/>
      <c r="B30" s="5" t="n"/>
      <c r="C30" s="5" t="n"/>
      <c r="D30" s="5" t="n"/>
      <c r="E30" s="40" t="n"/>
      <c r="F30" s="5" t="n"/>
      <c r="G30" s="5" t="n"/>
      <c r="H30" s="5" t="n"/>
      <c r="I30" s="30" t="n"/>
      <c r="J30" s="5" t="n"/>
      <c r="K30" s="40" t="n"/>
      <c r="L30" s="5" t="n"/>
      <c r="M30" s="5" t="n"/>
      <c r="N30" s="40" t="n"/>
    </row>
    <row r="31" ht="22" customHeight="1">
      <c r="A31" s="9" t="n"/>
      <c r="B31" s="9" t="n"/>
      <c r="C31" s="9" t="n"/>
      <c r="D31" s="9" t="n"/>
      <c r="E31" s="41" t="n"/>
      <c r="F31" s="9" t="n"/>
      <c r="G31" s="9" t="n"/>
      <c r="H31" s="9" t="n"/>
      <c r="I31" s="31" t="n"/>
      <c r="J31" s="9" t="n"/>
      <c r="K31" s="41" t="n"/>
      <c r="L31" s="9" t="n"/>
      <c r="M31" s="9" t="n"/>
      <c r="N31" s="41" t="n"/>
    </row>
    <row r="32" ht="22" customHeight="1">
      <c r="A32" s="5" t="n"/>
      <c r="B32" s="5" t="n"/>
      <c r="C32" s="5" t="n"/>
      <c r="D32" s="5" t="n"/>
      <c r="E32" s="40" t="n"/>
      <c r="F32" s="5" t="n"/>
      <c r="G32" s="5" t="n"/>
      <c r="H32" s="5" t="n"/>
      <c r="I32" s="30" t="n"/>
      <c r="J32" s="5" t="n"/>
      <c r="K32" s="40" t="n"/>
      <c r="L32" s="5" t="n"/>
      <c r="M32" s="5" t="n"/>
      <c r="N32" s="40" t="n"/>
    </row>
    <row r="33" ht="22" customHeight="1">
      <c r="A33" s="9" t="n"/>
      <c r="B33" s="9" t="n"/>
      <c r="C33" s="9" t="n"/>
      <c r="D33" s="9" t="n"/>
      <c r="E33" s="41" t="n"/>
      <c r="F33" s="9" t="n"/>
      <c r="G33" s="9" t="n"/>
      <c r="H33" s="9" t="n"/>
      <c r="I33" s="31" t="n"/>
      <c r="J33" s="9" t="n"/>
      <c r="K33" s="41" t="n"/>
      <c r="L33" s="9" t="n"/>
      <c r="M33" s="9" t="n"/>
      <c r="N33" s="41" t="n"/>
    </row>
    <row r="34" ht="22" customHeight="1">
      <c r="A34" s="5" t="n"/>
      <c r="B34" s="5" t="n"/>
      <c r="C34" s="5" t="n"/>
      <c r="D34" s="5" t="n"/>
      <c r="E34" s="40" t="n"/>
      <c r="F34" s="5" t="n"/>
      <c r="G34" s="5" t="n"/>
      <c r="H34" s="5" t="n"/>
      <c r="I34" s="30" t="n"/>
      <c r="J34" s="5" t="n"/>
      <c r="K34" s="40" t="n"/>
      <c r="L34" s="5" t="n"/>
      <c r="M34" s="5" t="n"/>
      <c r="N34" s="40" t="n"/>
    </row>
    <row r="35" ht="22" customHeight="1">
      <c r="A35" s="9" t="n"/>
      <c r="B35" s="9" t="n"/>
      <c r="C35" s="9" t="n"/>
      <c r="D35" s="9" t="n"/>
      <c r="E35" s="41" t="n"/>
      <c r="F35" s="9" t="n"/>
      <c r="G35" s="9" t="n"/>
      <c r="H35" s="9" t="n"/>
      <c r="I35" s="31" t="n"/>
      <c r="J35" s="9" t="n"/>
      <c r="K35" s="41" t="n"/>
      <c r="L35" s="9" t="n"/>
      <c r="M35" s="9" t="n"/>
      <c r="N35" s="41" t="n"/>
    </row>
    <row r="36" ht="22" customHeight="1">
      <c r="A36" s="5" t="n"/>
      <c r="B36" s="5" t="n"/>
      <c r="C36" s="5" t="n"/>
      <c r="D36" s="5" t="n"/>
      <c r="E36" s="40" t="n"/>
      <c r="F36" s="5" t="n"/>
      <c r="G36" s="5" t="n"/>
      <c r="H36" s="5" t="n"/>
      <c r="I36" s="30" t="n"/>
      <c r="J36" s="5" t="n"/>
      <c r="K36" s="40" t="n"/>
      <c r="L36" s="5" t="n"/>
      <c r="M36" s="5" t="n"/>
      <c r="N36" s="40" t="n"/>
    </row>
    <row r="37" ht="22" customHeight="1">
      <c r="A37" s="9" t="n"/>
      <c r="B37" s="9" t="n"/>
      <c r="C37" s="9" t="n"/>
      <c r="D37" s="9" t="n"/>
      <c r="E37" s="41" t="n"/>
      <c r="F37" s="9" t="n"/>
      <c r="G37" s="9" t="n"/>
      <c r="H37" s="9" t="n"/>
      <c r="I37" s="31" t="n"/>
      <c r="J37" s="9" t="n"/>
      <c r="K37" s="41" t="n"/>
      <c r="L37" s="9" t="n"/>
      <c r="M37" s="9" t="n"/>
      <c r="N37" s="41" t="n"/>
    </row>
    <row r="38" ht="22" customHeight="1">
      <c r="A38" s="5" t="n"/>
      <c r="B38" s="5" t="n"/>
      <c r="C38" s="5" t="n"/>
      <c r="D38" s="5" t="n"/>
      <c r="E38" s="40" t="n"/>
      <c r="F38" s="5" t="n"/>
      <c r="G38" s="5" t="n"/>
      <c r="H38" s="5" t="n"/>
      <c r="I38" s="30" t="n"/>
      <c r="J38" s="5" t="n"/>
      <c r="K38" s="40" t="n"/>
      <c r="L38" s="5" t="n"/>
      <c r="M38" s="5" t="n"/>
      <c r="N38" s="40" t="n"/>
    </row>
    <row r="39" ht="22" customHeight="1">
      <c r="A39" s="9" t="n"/>
      <c r="B39" s="9" t="n"/>
      <c r="C39" s="9" t="n"/>
      <c r="D39" s="9" t="n"/>
      <c r="E39" s="41" t="n"/>
      <c r="F39" s="9" t="n"/>
      <c r="G39" s="9" t="n"/>
      <c r="H39" s="9" t="n"/>
      <c r="I39" s="31" t="n"/>
      <c r="J39" s="9" t="n"/>
      <c r="K39" s="41" t="n"/>
      <c r="L39" s="9" t="n"/>
      <c r="M39" s="9" t="n"/>
      <c r="N39" s="41" t="n"/>
    </row>
    <row r="40" ht="22" customHeight="1">
      <c r="A40" s="5" t="n"/>
      <c r="B40" s="5" t="n"/>
      <c r="C40" s="5" t="n"/>
      <c r="D40" s="5" t="n"/>
      <c r="E40" s="40" t="n"/>
      <c r="F40" s="5" t="n"/>
      <c r="G40" s="5" t="n"/>
      <c r="H40" s="5" t="n"/>
      <c r="I40" s="30" t="n"/>
      <c r="J40" s="5" t="n"/>
      <c r="K40" s="40" t="n"/>
      <c r="L40" s="5" t="n"/>
      <c r="M40" s="5" t="n"/>
      <c r="N40" s="40" t="n"/>
    </row>
    <row r="41" ht="22" customHeight="1">
      <c r="A41" s="9" t="n"/>
      <c r="B41" s="9" t="n"/>
      <c r="C41" s="9" t="n"/>
      <c r="D41" s="9" t="n"/>
      <c r="E41" s="41" t="n"/>
      <c r="F41" s="9" t="n"/>
      <c r="G41" s="9" t="n"/>
      <c r="H41" s="9" t="n"/>
      <c r="I41" s="31" t="n"/>
      <c r="J41" s="9" t="n"/>
      <c r="K41" s="41" t="n"/>
      <c r="L41" s="9" t="n"/>
      <c r="M41" s="9" t="n"/>
      <c r="N41" s="41" t="n"/>
    </row>
    <row r="42" ht="22" customHeight="1">
      <c r="A42" s="5" t="n"/>
      <c r="B42" s="5" t="n"/>
      <c r="C42" s="5" t="n"/>
      <c r="D42" s="5" t="n"/>
      <c r="E42" s="40" t="n"/>
      <c r="F42" s="5" t="n"/>
      <c r="G42" s="5" t="n"/>
      <c r="H42" s="5" t="n"/>
      <c r="I42" s="30" t="n"/>
      <c r="J42" s="5" t="n"/>
      <c r="K42" s="40" t="n"/>
      <c r="L42" s="5" t="n"/>
      <c r="M42" s="5" t="n"/>
      <c r="N42" s="40" t="n"/>
    </row>
    <row r="43" ht="22" customHeight="1">
      <c r="A43" s="9" t="n"/>
      <c r="B43" s="9" t="n"/>
      <c r="C43" s="9" t="n"/>
      <c r="D43" s="9" t="n"/>
      <c r="E43" s="41" t="n"/>
      <c r="F43" s="9" t="n"/>
      <c r="G43" s="9" t="n"/>
      <c r="H43" s="9" t="n"/>
      <c r="I43" s="31" t="n"/>
      <c r="J43" s="9" t="n"/>
      <c r="K43" s="41" t="n"/>
      <c r="L43" s="9" t="n"/>
      <c r="M43" s="9" t="n"/>
      <c r="N43" s="41" t="n"/>
    </row>
    <row r="44" ht="22" customHeight="1">
      <c r="A44" s="5" t="n"/>
      <c r="B44" s="5" t="n"/>
      <c r="C44" s="5" t="n"/>
      <c r="D44" s="5" t="n"/>
      <c r="E44" s="40" t="n"/>
      <c r="F44" s="5" t="n"/>
      <c r="G44" s="5" t="n"/>
      <c r="H44" s="5" t="n"/>
      <c r="I44" s="30" t="n"/>
      <c r="J44" s="5" t="n"/>
      <c r="K44" s="40" t="n"/>
      <c r="L44" s="5" t="n"/>
      <c r="M44" s="5" t="n"/>
      <c r="N44" s="40" t="n"/>
    </row>
    <row r="45" ht="22" customHeight="1">
      <c r="A45" s="9" t="n"/>
      <c r="B45" s="9" t="n"/>
      <c r="C45" s="9" t="n"/>
      <c r="D45" s="9" t="n"/>
      <c r="E45" s="41" t="n"/>
      <c r="F45" s="9" t="n"/>
      <c r="G45" s="9" t="n"/>
      <c r="H45" s="9" t="n"/>
      <c r="I45" s="31" t="n"/>
      <c r="J45" s="9" t="n"/>
      <c r="K45" s="41" t="n"/>
      <c r="L45" s="9" t="n"/>
      <c r="M45" s="9" t="n"/>
      <c r="N45" s="41" t="n"/>
    </row>
    <row r="46" ht="22" customHeight="1">
      <c r="A46" s="5" t="n"/>
      <c r="B46" s="5" t="n"/>
      <c r="C46" s="5" t="n"/>
      <c r="D46" s="5" t="n"/>
      <c r="E46" s="40" t="n"/>
      <c r="F46" s="5" t="n"/>
      <c r="G46" s="5" t="n"/>
      <c r="H46" s="5" t="n"/>
      <c r="I46" s="30" t="n"/>
      <c r="J46" s="5" t="n"/>
      <c r="K46" s="40" t="n"/>
      <c r="L46" s="5" t="n"/>
      <c r="M46" s="5" t="n"/>
      <c r="N46" s="40" t="n"/>
    </row>
    <row r="47" ht="22" customHeight="1">
      <c r="A47" s="9" t="n"/>
      <c r="B47" s="9" t="n"/>
      <c r="C47" s="9" t="n"/>
      <c r="D47" s="9" t="n"/>
      <c r="E47" s="41" t="n"/>
      <c r="F47" s="9" t="n"/>
      <c r="G47" s="9" t="n"/>
      <c r="H47" s="9" t="n"/>
      <c r="I47" s="31" t="n"/>
      <c r="J47" s="9" t="n"/>
      <c r="K47" s="41" t="n"/>
      <c r="L47" s="9" t="n"/>
      <c r="M47" s="9" t="n"/>
      <c r="N47" s="41" t="n"/>
    </row>
    <row r="48" ht="22" customHeight="1">
      <c r="A48" s="5" t="n"/>
      <c r="B48" s="5" t="n"/>
      <c r="C48" s="5" t="n"/>
      <c r="D48" s="5" t="n"/>
      <c r="E48" s="40" t="n"/>
      <c r="F48" s="5" t="n"/>
      <c r="G48" s="5" t="n"/>
      <c r="H48" s="5" t="n"/>
      <c r="I48" s="30" t="n"/>
      <c r="J48" s="5" t="n"/>
      <c r="K48" s="40" t="n"/>
      <c r="L48" s="5" t="n"/>
      <c r="M48" s="5" t="n"/>
      <c r="N48" s="40" t="n"/>
    </row>
    <row r="49" ht="22" customHeight="1">
      <c r="A49" s="9" t="n"/>
      <c r="B49" s="9" t="n"/>
      <c r="C49" s="9" t="n"/>
      <c r="D49" s="9" t="n"/>
      <c r="E49" s="41" t="n"/>
      <c r="F49" s="9" t="n"/>
      <c r="G49" s="9" t="n"/>
      <c r="H49" s="9" t="n"/>
      <c r="I49" s="31" t="n"/>
      <c r="J49" s="9" t="n"/>
      <c r="K49" s="41" t="n"/>
      <c r="L49" s="9" t="n"/>
      <c r="M49" s="9" t="n"/>
      <c r="N49" s="41" t="n"/>
    </row>
    <row r="50" ht="22" customHeight="1">
      <c r="A50" s="5" t="n"/>
      <c r="B50" s="5" t="n"/>
      <c r="C50" s="5" t="n"/>
      <c r="D50" s="5" t="n"/>
      <c r="E50" s="40" t="n"/>
      <c r="F50" s="5" t="n"/>
      <c r="G50" s="5" t="n"/>
      <c r="H50" s="5" t="n"/>
      <c r="I50" s="30" t="n"/>
      <c r="J50" s="5" t="n"/>
      <c r="K50" s="40" t="n"/>
      <c r="L50" s="5" t="n"/>
      <c r="M50" s="5" t="n"/>
      <c r="N50" s="40" t="n"/>
    </row>
    <row r="51" ht="22" customHeight="1">
      <c r="A51" s="9" t="n"/>
      <c r="B51" s="9" t="n"/>
      <c r="C51" s="9" t="n"/>
      <c r="D51" s="9" t="n"/>
      <c r="E51" s="41" t="n"/>
      <c r="F51" s="9" t="n"/>
      <c r="G51" s="9" t="n"/>
      <c r="H51" s="9" t="n"/>
      <c r="I51" s="31" t="n"/>
      <c r="J51" s="9" t="n"/>
      <c r="K51" s="41" t="n"/>
      <c r="L51" s="9" t="n"/>
      <c r="M51" s="9" t="n"/>
      <c r="N51" s="41" t="n"/>
    </row>
    <row r="52" ht="22" customHeight="1">
      <c r="A52" s="5" t="n"/>
      <c r="B52" s="5" t="n"/>
      <c r="C52" s="5" t="n"/>
      <c r="D52" s="5" t="n"/>
      <c r="E52" s="40" t="n"/>
      <c r="F52" s="5" t="n"/>
      <c r="G52" s="5" t="n"/>
      <c r="H52" s="5" t="n"/>
      <c r="I52" s="30" t="n"/>
      <c r="J52" s="5" t="n"/>
      <c r="K52" s="40" t="n"/>
      <c r="L52" s="5" t="n"/>
      <c r="M52" s="5" t="n"/>
      <c r="N52" s="40" t="n"/>
    </row>
    <row r="53" ht="22" customHeight="1">
      <c r="A53" s="9" t="n"/>
      <c r="B53" s="9" t="n"/>
      <c r="C53" s="9" t="n"/>
      <c r="D53" s="9" t="n"/>
      <c r="E53" s="41" t="n"/>
      <c r="F53" s="9" t="n"/>
      <c r="G53" s="9" t="n"/>
      <c r="H53" s="9" t="n"/>
      <c r="I53" s="31" t="n"/>
      <c r="J53" s="9" t="n"/>
      <c r="K53" s="41" t="n"/>
      <c r="L53" s="9" t="n"/>
      <c r="M53" s="9" t="n"/>
      <c r="N53" s="41" t="n"/>
    </row>
    <row r="54" ht="22" customHeight="1">
      <c r="A54" s="5" t="n"/>
      <c r="B54" s="5" t="n"/>
      <c r="C54" s="5" t="n"/>
      <c r="D54" s="5" t="n"/>
      <c r="E54" s="40" t="n"/>
      <c r="F54" s="5" t="n"/>
      <c r="G54" s="5" t="n"/>
      <c r="H54" s="5" t="n"/>
      <c r="I54" s="30" t="n"/>
      <c r="J54" s="5" t="n"/>
      <c r="K54" s="40" t="n"/>
      <c r="L54" s="5" t="n"/>
      <c r="M54" s="5" t="n"/>
      <c r="N54" s="40" t="n"/>
    </row>
    <row r="55" ht="22" customHeight="1">
      <c r="A55" s="9" t="n"/>
      <c r="B55" s="9" t="n"/>
      <c r="C55" s="9" t="n"/>
      <c r="D55" s="9" t="n"/>
      <c r="E55" s="41" t="n"/>
      <c r="F55" s="9" t="n"/>
      <c r="G55" s="9" t="n"/>
      <c r="H55" s="9" t="n"/>
      <c r="I55" s="31" t="n"/>
      <c r="J55" s="9" t="n"/>
      <c r="K55" s="41" t="n"/>
      <c r="L55" s="9" t="n"/>
      <c r="M55" s="9" t="n"/>
      <c r="N55" s="41" t="n"/>
    </row>
    <row r="56" ht="22" customHeight="1">
      <c r="A56" s="5" t="n"/>
      <c r="B56" s="5" t="n"/>
      <c r="C56" s="5" t="n"/>
      <c r="D56" s="5" t="n"/>
      <c r="E56" s="40" t="n"/>
      <c r="F56" s="5" t="n"/>
      <c r="G56" s="5" t="n"/>
      <c r="H56" s="5" t="n"/>
      <c r="I56" s="30" t="n"/>
      <c r="J56" s="5" t="n"/>
      <c r="K56" s="40" t="n"/>
      <c r="L56" s="5" t="n"/>
      <c r="M56" s="5" t="n"/>
      <c r="N56" s="40" t="n"/>
    </row>
    <row r="57" ht="22" customHeight="1">
      <c r="A57" s="9" t="n"/>
      <c r="B57" s="9" t="n"/>
      <c r="C57" s="9" t="n"/>
      <c r="D57" s="9" t="n"/>
      <c r="E57" s="41" t="n"/>
      <c r="F57" s="9" t="n"/>
      <c r="G57" s="9" t="n"/>
      <c r="H57" s="9" t="n"/>
      <c r="I57" s="31" t="n"/>
      <c r="J57" s="9" t="n"/>
      <c r="K57" s="41" t="n"/>
      <c r="L57" s="9" t="n"/>
      <c r="M57" s="9" t="n"/>
      <c r="N57" s="41" t="n"/>
    </row>
    <row r="58" ht="22" customHeight="1">
      <c r="A58" s="5" t="n"/>
      <c r="B58" s="5" t="n"/>
      <c r="C58" s="5" t="n"/>
      <c r="D58" s="5" t="n"/>
      <c r="E58" s="40" t="n"/>
      <c r="F58" s="5" t="n"/>
      <c r="G58" s="5" t="n"/>
      <c r="H58" s="5" t="n"/>
      <c r="I58" s="30" t="n"/>
      <c r="J58" s="5" t="n"/>
      <c r="K58" s="40" t="n"/>
      <c r="L58" s="5" t="n"/>
      <c r="M58" s="5" t="n"/>
      <c r="N58" s="40" t="n"/>
    </row>
    <row r="59" ht="22" customHeight="1">
      <c r="A59" s="9" t="n"/>
      <c r="B59" s="9" t="n"/>
      <c r="C59" s="9" t="n"/>
      <c r="D59" s="9" t="n"/>
      <c r="E59" s="41" t="n"/>
      <c r="F59" s="9" t="n"/>
      <c r="G59" s="9" t="n"/>
      <c r="H59" s="9" t="n"/>
      <c r="I59" s="31" t="n"/>
      <c r="J59" s="9" t="n"/>
      <c r="K59" s="41" t="n"/>
      <c r="L59" s="9" t="n"/>
      <c r="M59" s="9" t="n"/>
      <c r="N59" s="41" t="n"/>
    </row>
    <row r="60" ht="22" customHeight="1">
      <c r="A60" s="5" t="n"/>
      <c r="B60" s="5" t="n"/>
      <c r="C60" s="5" t="n"/>
      <c r="D60" s="5" t="n"/>
      <c r="E60" s="40" t="n"/>
      <c r="F60" s="5" t="n"/>
      <c r="G60" s="5" t="n"/>
      <c r="H60" s="5" t="n"/>
      <c r="I60" s="30" t="n"/>
      <c r="J60" s="5" t="n"/>
      <c r="K60" s="40" t="n"/>
      <c r="L60" s="5" t="n"/>
      <c r="M60" s="5" t="n"/>
      <c r="N60" s="40" t="n"/>
    </row>
    <row r="61" ht="22" customHeight="1">
      <c r="A61" s="9" t="n"/>
      <c r="B61" s="9" t="n"/>
      <c r="C61" s="9" t="n"/>
      <c r="D61" s="9" t="n"/>
      <c r="E61" s="41" t="n"/>
      <c r="F61" s="9" t="n"/>
      <c r="G61" s="9" t="n"/>
      <c r="H61" s="9" t="n"/>
      <c r="I61" s="31" t="n"/>
      <c r="J61" s="9" t="n"/>
      <c r="K61" s="41" t="n"/>
      <c r="L61" s="9" t="n"/>
      <c r="M61" s="9" t="n"/>
      <c r="N61" s="41" t="n"/>
    </row>
    <row r="62" ht="22" customHeight="1">
      <c r="A62" s="5" t="n"/>
      <c r="B62" s="5" t="n"/>
      <c r="C62" s="5" t="n"/>
      <c r="D62" s="5" t="n"/>
      <c r="E62" s="40" t="n"/>
      <c r="F62" s="5" t="n"/>
      <c r="G62" s="5" t="n"/>
      <c r="H62" s="5" t="n"/>
      <c r="I62" s="30" t="n"/>
      <c r="J62" s="5" t="n"/>
      <c r="K62" s="40" t="n"/>
      <c r="L62" s="5" t="n"/>
      <c r="M62" s="5" t="n"/>
      <c r="N62" s="40" t="n"/>
    </row>
    <row r="63" ht="22" customHeight="1">
      <c r="A63" s="9" t="n"/>
      <c r="B63" s="9" t="n"/>
      <c r="C63" s="9" t="n"/>
      <c r="D63" s="9" t="n"/>
      <c r="E63" s="41" t="n"/>
      <c r="F63" s="9" t="n"/>
      <c r="G63" s="9" t="n"/>
      <c r="H63" s="9" t="n"/>
      <c r="I63" s="31" t="n"/>
      <c r="J63" s="9" t="n"/>
      <c r="K63" s="41" t="n"/>
      <c r="L63" s="9" t="n"/>
      <c r="M63" s="9" t="n"/>
      <c r="N63" s="41" t="n"/>
    </row>
    <row r="64" ht="22" customHeight="1">
      <c r="A64" s="5" t="n"/>
      <c r="B64" s="5" t="n"/>
      <c r="C64" s="5" t="n"/>
      <c r="D64" s="5" t="n"/>
      <c r="E64" s="40" t="n"/>
      <c r="F64" s="5" t="n"/>
      <c r="G64" s="5" t="n"/>
      <c r="H64" s="5" t="n"/>
      <c r="I64" s="30" t="n"/>
      <c r="J64" s="5" t="n"/>
      <c r="K64" s="40" t="n"/>
      <c r="L64" s="5" t="n"/>
      <c r="M64" s="5" t="n"/>
      <c r="N64" s="40" t="n"/>
    </row>
    <row r="65" ht="22" customHeight="1">
      <c r="A65" s="9" t="n"/>
      <c r="B65" s="9" t="n"/>
      <c r="C65" s="9" t="n"/>
      <c r="D65" s="9" t="n"/>
      <c r="E65" s="41" t="n"/>
      <c r="F65" s="9" t="n"/>
      <c r="G65" s="9" t="n"/>
      <c r="H65" s="9" t="n"/>
      <c r="I65" s="31" t="n"/>
      <c r="J65" s="9" t="n"/>
      <c r="K65" s="41" t="n"/>
      <c r="L65" s="9" t="n"/>
      <c r="M65" s="9" t="n"/>
      <c r="N65" s="41" t="n"/>
    </row>
    <row r="66" ht="22" customHeight="1">
      <c r="A66" s="5" t="n"/>
      <c r="B66" s="5" t="n"/>
      <c r="C66" s="5" t="n"/>
      <c r="D66" s="5" t="n"/>
      <c r="E66" s="40" t="n"/>
      <c r="F66" s="5" t="n"/>
      <c r="G66" s="5" t="n"/>
      <c r="H66" s="5" t="n"/>
      <c r="I66" s="30" t="n"/>
      <c r="J66" s="5" t="n"/>
      <c r="K66" s="40" t="n"/>
      <c r="L66" s="5" t="n"/>
      <c r="M66" s="5" t="n"/>
      <c r="N66" s="40" t="n"/>
    </row>
    <row r="67" ht="22" customHeight="1">
      <c r="A67" s="9" t="n"/>
      <c r="B67" s="9" t="n"/>
      <c r="C67" s="9" t="n"/>
      <c r="D67" s="9" t="n"/>
      <c r="E67" s="41" t="n"/>
      <c r="F67" s="9" t="n"/>
      <c r="G67" s="9" t="n"/>
      <c r="H67" s="9" t="n"/>
      <c r="I67" s="31" t="n"/>
      <c r="J67" s="9" t="n"/>
      <c r="K67" s="41" t="n"/>
      <c r="L67" s="9" t="n"/>
      <c r="M67" s="9" t="n"/>
      <c r="N67" s="41" t="n"/>
    </row>
    <row r="68" ht="22" customHeight="1">
      <c r="A68" s="5" t="n"/>
      <c r="B68" s="5" t="n"/>
      <c r="C68" s="5" t="n"/>
      <c r="D68" s="5" t="n"/>
      <c r="E68" s="40" t="n"/>
      <c r="F68" s="5" t="n"/>
      <c r="G68" s="5" t="n"/>
      <c r="H68" s="5" t="n"/>
      <c r="I68" s="30" t="n"/>
      <c r="J68" s="5" t="n"/>
      <c r="K68" s="40" t="n"/>
      <c r="L68" s="5" t="n"/>
      <c r="M68" s="5" t="n"/>
      <c r="N68" s="40" t="n"/>
    </row>
    <row r="69" ht="22" customHeight="1">
      <c r="A69" s="9" t="n"/>
      <c r="B69" s="9" t="n"/>
      <c r="C69" s="9" t="n"/>
      <c r="D69" s="9" t="n"/>
      <c r="E69" s="41" t="n"/>
      <c r="F69" s="9" t="n"/>
      <c r="G69" s="9" t="n"/>
      <c r="H69" s="9" t="n"/>
      <c r="I69" s="31" t="n"/>
      <c r="J69" s="9" t="n"/>
      <c r="K69" s="41" t="n"/>
      <c r="L69" s="9" t="n"/>
      <c r="M69" s="9" t="n"/>
      <c r="N69" s="41" t="n"/>
    </row>
    <row r="70" ht="22" customHeight="1">
      <c r="A70" s="5" t="n"/>
      <c r="B70" s="5" t="n"/>
      <c r="C70" s="5" t="n"/>
      <c r="D70" s="5" t="n"/>
      <c r="E70" s="40" t="n"/>
      <c r="F70" s="5" t="n"/>
      <c r="G70" s="5" t="n"/>
      <c r="H70" s="5" t="n"/>
      <c r="I70" s="30" t="n"/>
      <c r="J70" s="5" t="n"/>
      <c r="K70" s="40" t="n"/>
      <c r="L70" s="5" t="n"/>
      <c r="M70" s="5" t="n"/>
      <c r="N70" s="40" t="n"/>
    </row>
    <row r="71" ht="22" customHeight="1">
      <c r="A71" s="9" t="n"/>
      <c r="B71" s="9" t="n"/>
      <c r="C71" s="9" t="n"/>
      <c r="D71" s="9" t="n"/>
      <c r="E71" s="41" t="n"/>
      <c r="F71" s="9" t="n"/>
      <c r="G71" s="9" t="n"/>
      <c r="H71" s="9" t="n"/>
      <c r="I71" s="31" t="n"/>
      <c r="J71" s="9" t="n"/>
      <c r="K71" s="41" t="n"/>
      <c r="L71" s="9" t="n"/>
      <c r="M71" s="9" t="n"/>
      <c r="N71" s="41" t="n"/>
    </row>
    <row r="72" ht="22" customHeight="1">
      <c r="A72" s="5" t="n"/>
      <c r="B72" s="5" t="n"/>
      <c r="C72" s="5" t="n"/>
      <c r="D72" s="5" t="n"/>
      <c r="E72" s="40" t="n"/>
      <c r="F72" s="5" t="n"/>
      <c r="G72" s="5" t="n"/>
      <c r="H72" s="5" t="n"/>
      <c r="I72" s="30" t="n"/>
      <c r="J72" s="5" t="n"/>
      <c r="K72" s="40" t="n"/>
      <c r="L72" s="5" t="n"/>
      <c r="M72" s="5" t="n"/>
      <c r="N72" s="40" t="n"/>
    </row>
    <row r="73" ht="22" customHeight="1">
      <c r="A73" s="9" t="n"/>
      <c r="B73" s="9" t="n"/>
      <c r="C73" s="9" t="n"/>
      <c r="D73" s="9" t="n"/>
      <c r="E73" s="41" t="n"/>
      <c r="F73" s="9" t="n"/>
      <c r="G73" s="9" t="n"/>
      <c r="H73" s="9" t="n"/>
      <c r="I73" s="31" t="n"/>
      <c r="J73" s="9" t="n"/>
      <c r="K73" s="41" t="n"/>
      <c r="L73" s="9" t="n"/>
      <c r="M73" s="9" t="n"/>
      <c r="N73" s="41" t="n"/>
    </row>
    <row r="74" ht="22" customHeight="1">
      <c r="A74" s="5" t="n"/>
      <c r="B74" s="5" t="n"/>
      <c r="C74" s="5" t="n"/>
      <c r="D74" s="5" t="n"/>
      <c r="E74" s="40" t="n"/>
      <c r="F74" s="5" t="n"/>
      <c r="G74" s="5" t="n"/>
      <c r="H74" s="5" t="n"/>
      <c r="I74" s="30" t="n"/>
      <c r="J74" s="5" t="n"/>
      <c r="K74" s="40" t="n"/>
      <c r="L74" s="5" t="n"/>
      <c r="M74" s="5" t="n"/>
      <c r="N74" s="40" t="n"/>
    </row>
    <row r="75" ht="22" customHeight="1">
      <c r="A75" s="9" t="n"/>
      <c r="B75" s="9" t="n"/>
      <c r="C75" s="9" t="n"/>
      <c r="D75" s="9" t="n"/>
      <c r="E75" s="41" t="n"/>
      <c r="F75" s="9" t="n"/>
      <c r="G75" s="9" t="n"/>
      <c r="H75" s="9" t="n"/>
      <c r="I75" s="31" t="n"/>
      <c r="J75" s="9" t="n"/>
      <c r="K75" s="41" t="n"/>
      <c r="L75" s="9" t="n"/>
      <c r="M75" s="9" t="n"/>
      <c r="N75" s="41" t="n"/>
    </row>
    <row r="76" ht="22" customHeight="1">
      <c r="A76" s="5" t="n"/>
      <c r="B76" s="5" t="n"/>
      <c r="C76" s="5" t="n"/>
      <c r="D76" s="5" t="n"/>
      <c r="E76" s="40" t="n"/>
      <c r="F76" s="5" t="n"/>
      <c r="G76" s="5" t="n"/>
      <c r="H76" s="5" t="n"/>
      <c r="I76" s="30" t="n"/>
      <c r="J76" s="5" t="n"/>
      <c r="K76" s="40" t="n"/>
      <c r="L76" s="5" t="n"/>
      <c r="M76" s="5" t="n"/>
      <c r="N76" s="40" t="n"/>
    </row>
    <row r="77" ht="22" customHeight="1">
      <c r="A77" s="9" t="n"/>
      <c r="B77" s="9" t="n"/>
      <c r="C77" s="9" t="n"/>
      <c r="D77" s="9" t="n"/>
      <c r="E77" s="41" t="n"/>
      <c r="F77" s="9" t="n"/>
      <c r="G77" s="9" t="n"/>
      <c r="H77" s="9" t="n"/>
      <c r="I77" s="31" t="n"/>
      <c r="J77" s="9" t="n"/>
      <c r="K77" s="41" t="n"/>
      <c r="L77" s="9" t="n"/>
      <c r="M77" s="9" t="n"/>
      <c r="N77" s="41" t="n"/>
    </row>
    <row r="78" ht="22" customHeight="1">
      <c r="A78" s="5" t="n"/>
      <c r="B78" s="5" t="n"/>
      <c r="C78" s="5" t="n"/>
      <c r="D78" s="5" t="n"/>
      <c r="E78" s="40" t="n"/>
      <c r="F78" s="5" t="n"/>
      <c r="G78" s="5" t="n"/>
      <c r="H78" s="5" t="n"/>
      <c r="I78" s="30" t="n"/>
      <c r="J78" s="5" t="n"/>
      <c r="K78" s="40" t="n"/>
      <c r="L78" s="5" t="n"/>
      <c r="M78" s="5" t="n"/>
      <c r="N78" s="40" t="n"/>
    </row>
    <row r="79" ht="22" customHeight="1">
      <c r="A79" s="9" t="n"/>
      <c r="B79" s="9" t="n"/>
      <c r="C79" s="9" t="n"/>
      <c r="D79" s="9" t="n"/>
      <c r="E79" s="41" t="n"/>
      <c r="F79" s="9" t="n"/>
      <c r="G79" s="9" t="n"/>
      <c r="H79" s="9" t="n"/>
      <c r="I79" s="31" t="n"/>
      <c r="J79" s="9" t="n"/>
      <c r="K79" s="41" t="n"/>
      <c r="L79" s="9" t="n"/>
      <c r="M79" s="9" t="n"/>
      <c r="N79" s="41" t="n"/>
    </row>
    <row r="80" ht="22" customHeight="1">
      <c r="A80" s="5" t="n"/>
      <c r="B80" s="5" t="n"/>
      <c r="C80" s="5" t="n"/>
      <c r="D80" s="5" t="n"/>
      <c r="E80" s="40" t="n"/>
      <c r="F80" s="5" t="n"/>
      <c r="G80" s="5" t="n"/>
      <c r="H80" s="5" t="n"/>
      <c r="I80" s="30" t="n"/>
      <c r="J80" s="5" t="n"/>
      <c r="K80" s="40" t="n"/>
      <c r="L80" s="5" t="n"/>
      <c r="M80" s="5" t="n"/>
      <c r="N80" s="40" t="n"/>
    </row>
    <row r="81" ht="22" customHeight="1">
      <c r="A81" s="9" t="n"/>
      <c r="B81" s="9" t="n"/>
      <c r="C81" s="9" t="n"/>
      <c r="D81" s="9" t="n"/>
      <c r="E81" s="41" t="n"/>
      <c r="F81" s="9" t="n"/>
      <c r="G81" s="9" t="n"/>
      <c r="H81" s="9" t="n"/>
      <c r="I81" s="31" t="n"/>
      <c r="J81" s="9" t="n"/>
      <c r="K81" s="41" t="n"/>
      <c r="L81" s="9" t="n"/>
      <c r="M81" s="9" t="n"/>
      <c r="N81" s="41" t="n"/>
    </row>
    <row r="82" ht="22" customHeight="1">
      <c r="A82" s="5" t="n"/>
      <c r="B82" s="5" t="n"/>
      <c r="C82" s="5" t="n"/>
      <c r="D82" s="5" t="n"/>
      <c r="E82" s="40" t="n"/>
      <c r="F82" s="5" t="n"/>
      <c r="G82" s="5" t="n"/>
      <c r="H82" s="5" t="n"/>
      <c r="I82" s="30" t="n"/>
      <c r="J82" s="5" t="n"/>
      <c r="K82" s="40" t="n"/>
      <c r="L82" s="5" t="n"/>
      <c r="M82" s="5" t="n"/>
      <c r="N82" s="40" t="n"/>
    </row>
    <row r="83" ht="22" customHeight="1">
      <c r="A83" s="9" t="n"/>
      <c r="B83" s="9" t="n"/>
      <c r="C83" s="9" t="n"/>
      <c r="D83" s="9" t="n"/>
      <c r="E83" s="41" t="n"/>
      <c r="F83" s="9" t="n"/>
      <c r="G83" s="9" t="n"/>
      <c r="H83" s="9" t="n"/>
      <c r="I83" s="31" t="n"/>
      <c r="J83" s="9" t="n"/>
      <c r="K83" s="41" t="n"/>
      <c r="L83" s="9" t="n"/>
      <c r="M83" s="9" t="n"/>
      <c r="N83" s="41" t="n"/>
    </row>
    <row r="84" ht="22" customHeight="1">
      <c r="A84" s="5" t="n"/>
      <c r="B84" s="5" t="n"/>
      <c r="C84" s="5" t="n"/>
      <c r="D84" s="5" t="n"/>
      <c r="E84" s="40" t="n"/>
      <c r="F84" s="5" t="n"/>
      <c r="G84" s="5" t="n"/>
      <c r="H84" s="5" t="n"/>
      <c r="I84" s="30" t="n"/>
      <c r="J84" s="5" t="n"/>
      <c r="K84" s="40" t="n"/>
      <c r="L84" s="5" t="n"/>
      <c r="M84" s="5" t="n"/>
      <c r="N84" s="40" t="n"/>
    </row>
    <row r="85" ht="22" customHeight="1">
      <c r="A85" s="9" t="n"/>
      <c r="B85" s="9" t="n"/>
      <c r="C85" s="9" t="n"/>
      <c r="D85" s="9" t="n"/>
      <c r="E85" s="41" t="n"/>
      <c r="F85" s="9" t="n"/>
      <c r="G85" s="9" t="n"/>
      <c r="H85" s="9" t="n"/>
      <c r="I85" s="31" t="n"/>
      <c r="J85" s="9" t="n"/>
      <c r="K85" s="41" t="n"/>
      <c r="L85" s="9" t="n"/>
      <c r="M85" s="9" t="n"/>
      <c r="N85" s="41" t="n"/>
    </row>
    <row r="86" ht="22" customHeight="1">
      <c r="A86" s="5" t="n"/>
      <c r="B86" s="5" t="n"/>
      <c r="C86" s="5" t="n"/>
      <c r="D86" s="5" t="n"/>
      <c r="E86" s="40" t="n"/>
      <c r="F86" s="5" t="n"/>
      <c r="G86" s="5" t="n"/>
      <c r="H86" s="5" t="n"/>
      <c r="I86" s="30" t="n"/>
      <c r="J86" s="5" t="n"/>
      <c r="K86" s="40" t="n"/>
      <c r="L86" s="5" t="n"/>
      <c r="M86" s="5" t="n"/>
      <c r="N86" s="40" t="n"/>
    </row>
    <row r="87" ht="22" customHeight="1">
      <c r="A87" s="9" t="n"/>
      <c r="B87" s="9" t="n"/>
      <c r="C87" s="9" t="n"/>
      <c r="D87" s="9" t="n"/>
      <c r="E87" s="41" t="n"/>
      <c r="F87" s="9" t="n"/>
      <c r="G87" s="9" t="n"/>
      <c r="H87" s="9" t="n"/>
      <c r="I87" s="31" t="n"/>
      <c r="J87" s="9" t="n"/>
      <c r="K87" s="41" t="n"/>
      <c r="L87" s="9" t="n"/>
      <c r="M87" s="9" t="n"/>
      <c r="N87" s="41" t="n"/>
    </row>
    <row r="88" ht="22" customHeight="1">
      <c r="A88" s="5" t="n"/>
      <c r="B88" s="5" t="n"/>
      <c r="C88" s="5" t="n"/>
      <c r="D88" s="5" t="n"/>
      <c r="E88" s="40" t="n"/>
      <c r="F88" s="5" t="n"/>
      <c r="G88" s="5" t="n"/>
      <c r="H88" s="5" t="n"/>
      <c r="I88" s="30" t="n"/>
      <c r="J88" s="5" t="n"/>
      <c r="K88" s="40" t="n"/>
      <c r="L88" s="5" t="n"/>
      <c r="M88" s="5" t="n"/>
      <c r="N88" s="40" t="n"/>
    </row>
    <row r="89" ht="22" customHeight="1">
      <c r="A89" s="9" t="n"/>
      <c r="B89" s="9" t="n"/>
      <c r="C89" s="9" t="n"/>
      <c r="D89" s="9" t="n"/>
      <c r="E89" s="41" t="n"/>
      <c r="F89" s="9" t="n"/>
      <c r="G89" s="9" t="n"/>
      <c r="H89" s="9" t="n"/>
      <c r="I89" s="31" t="n"/>
      <c r="J89" s="9" t="n"/>
      <c r="K89" s="41" t="n"/>
      <c r="L89" s="9" t="n"/>
      <c r="M89" s="9" t="n"/>
      <c r="N89" s="41" t="n"/>
    </row>
    <row r="90" ht="22" customHeight="1">
      <c r="A90" s="5" t="n"/>
      <c r="B90" s="5" t="n"/>
      <c r="C90" s="5" t="n"/>
      <c r="D90" s="5" t="n"/>
      <c r="E90" s="40" t="n"/>
      <c r="F90" s="5" t="n"/>
      <c r="G90" s="5" t="n"/>
      <c r="H90" s="5" t="n"/>
      <c r="I90" s="30" t="n"/>
      <c r="J90" s="5" t="n"/>
      <c r="K90" s="40" t="n"/>
      <c r="L90" s="5" t="n"/>
      <c r="M90" s="5" t="n"/>
      <c r="N90" s="40" t="n"/>
    </row>
    <row r="91" ht="22" customHeight="1">
      <c r="A91" s="9" t="n"/>
      <c r="B91" s="9" t="n"/>
      <c r="C91" s="9" t="n"/>
      <c r="D91" s="9" t="n"/>
      <c r="E91" s="41" t="n"/>
      <c r="F91" s="9" t="n"/>
      <c r="G91" s="9" t="n"/>
      <c r="H91" s="9" t="n"/>
      <c r="I91" s="31" t="n"/>
      <c r="J91" s="9" t="n"/>
      <c r="K91" s="41" t="n"/>
      <c r="L91" s="9" t="n"/>
      <c r="M91" s="9" t="n"/>
      <c r="N91" s="41" t="n"/>
    </row>
    <row r="92" ht="22" customHeight="1">
      <c r="A92" s="5" t="n"/>
      <c r="B92" s="5" t="n"/>
      <c r="C92" s="5" t="n"/>
      <c r="D92" s="5" t="n"/>
      <c r="E92" s="40" t="n"/>
      <c r="F92" s="5" t="n"/>
      <c r="G92" s="5" t="n"/>
      <c r="H92" s="5" t="n"/>
      <c r="I92" s="30" t="n"/>
      <c r="J92" s="5" t="n"/>
      <c r="K92" s="40" t="n"/>
      <c r="L92" s="5" t="n"/>
      <c r="M92" s="5" t="n"/>
      <c r="N92" s="40" t="n"/>
    </row>
    <row r="93" ht="22" customHeight="1">
      <c r="A93" s="9" t="n"/>
      <c r="B93" s="9" t="n"/>
      <c r="C93" s="9" t="n"/>
      <c r="D93" s="9" t="n"/>
      <c r="E93" s="41" t="n"/>
      <c r="F93" s="9" t="n"/>
      <c r="G93" s="9" t="n"/>
      <c r="H93" s="9" t="n"/>
      <c r="I93" s="31" t="n"/>
      <c r="J93" s="9" t="n"/>
      <c r="K93" s="41" t="n"/>
      <c r="L93" s="9" t="n"/>
      <c r="M93" s="9" t="n"/>
      <c r="N93" s="41" t="n"/>
    </row>
    <row r="94" ht="22" customHeight="1">
      <c r="A94" s="5" t="n"/>
      <c r="B94" s="5" t="n"/>
      <c r="C94" s="5" t="n"/>
      <c r="D94" s="5" t="n"/>
      <c r="E94" s="40" t="n"/>
      <c r="F94" s="5" t="n"/>
      <c r="G94" s="5" t="n"/>
      <c r="H94" s="5" t="n"/>
      <c r="I94" s="30" t="n"/>
      <c r="J94" s="5" t="n"/>
      <c r="K94" s="40" t="n"/>
      <c r="L94" s="5" t="n"/>
      <c r="M94" s="5" t="n"/>
      <c r="N94" s="40" t="n"/>
    </row>
    <row r="95" ht="22" customHeight="1">
      <c r="A95" s="9" t="n"/>
      <c r="B95" s="9" t="n"/>
      <c r="C95" s="9" t="n"/>
      <c r="D95" s="9" t="n"/>
      <c r="E95" s="41" t="n"/>
      <c r="F95" s="9" t="n"/>
      <c r="G95" s="9" t="n"/>
      <c r="H95" s="9" t="n"/>
      <c r="I95" s="31" t="n"/>
      <c r="J95" s="9" t="n"/>
      <c r="K95" s="41" t="n"/>
      <c r="L95" s="9" t="n"/>
      <c r="M95" s="9" t="n"/>
      <c r="N95" s="41" t="n"/>
    </row>
    <row r="96" ht="22" customHeight="1">
      <c r="A96" s="5" t="n"/>
      <c r="B96" s="5" t="n"/>
      <c r="C96" s="5" t="n"/>
      <c r="D96" s="5" t="n"/>
      <c r="E96" s="40" t="n"/>
      <c r="F96" s="5" t="n"/>
      <c r="G96" s="5" t="n"/>
      <c r="H96" s="5" t="n"/>
      <c r="I96" s="30" t="n"/>
      <c r="J96" s="5" t="n"/>
      <c r="K96" s="40" t="n"/>
      <c r="L96" s="5" t="n"/>
      <c r="M96" s="5" t="n"/>
      <c r="N96" s="40" t="n"/>
    </row>
    <row r="97" ht="22" customHeight="1">
      <c r="A97" s="9" t="n"/>
      <c r="B97" s="9" t="n"/>
      <c r="C97" s="9" t="n"/>
      <c r="D97" s="9" t="n"/>
      <c r="E97" s="41" t="n"/>
      <c r="F97" s="9" t="n"/>
      <c r="G97" s="9" t="n"/>
      <c r="H97" s="9" t="n"/>
      <c r="I97" s="31" t="n"/>
      <c r="J97" s="9" t="n"/>
      <c r="K97" s="41" t="n"/>
      <c r="L97" s="9" t="n"/>
      <c r="M97" s="9" t="n"/>
      <c r="N97" s="41" t="n"/>
    </row>
    <row r="98" ht="22" customHeight="1">
      <c r="A98" s="5" t="n"/>
      <c r="B98" s="5" t="n"/>
      <c r="C98" s="5" t="n"/>
      <c r="D98" s="5" t="n"/>
      <c r="E98" s="40" t="n"/>
      <c r="F98" s="5" t="n"/>
      <c r="G98" s="5" t="n"/>
      <c r="H98" s="5" t="n"/>
      <c r="I98" s="30" t="n"/>
      <c r="J98" s="5" t="n"/>
      <c r="K98" s="40" t="n"/>
      <c r="L98" s="5" t="n"/>
      <c r="M98" s="5" t="n"/>
      <c r="N98" s="40" t="n"/>
    </row>
    <row r="99" ht="22" customHeight="1">
      <c r="A99" s="9" t="n"/>
      <c r="B99" s="9" t="n"/>
      <c r="C99" s="9" t="n"/>
      <c r="D99" s="9" t="n"/>
      <c r="E99" s="41" t="n"/>
      <c r="F99" s="9" t="n"/>
      <c r="G99" s="9" t="n"/>
      <c r="H99" s="9" t="n"/>
      <c r="I99" s="31" t="n"/>
      <c r="J99" s="9" t="n"/>
      <c r="K99" s="41" t="n"/>
      <c r="L99" s="9" t="n"/>
      <c r="M99" s="9" t="n"/>
      <c r="N99" s="41" t="n"/>
    </row>
    <row r="100" ht="22" customHeight="1">
      <c r="A100" s="5" t="n"/>
      <c r="B100" s="5" t="n"/>
      <c r="C100" s="5" t="n"/>
      <c r="D100" s="5" t="n"/>
      <c r="E100" s="40" t="n"/>
      <c r="F100" s="5" t="n"/>
      <c r="G100" s="5" t="n"/>
      <c r="H100" s="5" t="n"/>
      <c r="I100" s="30" t="n"/>
      <c r="J100" s="5" t="n"/>
      <c r="K100" s="40" t="n"/>
      <c r="L100" s="5" t="n"/>
      <c r="M100" s="5" t="n"/>
      <c r="N100" s="40" t="n"/>
    </row>
    <row r="101" ht="22" customHeight="1">
      <c r="A101" s="9" t="n"/>
      <c r="B101" s="9" t="n"/>
      <c r="C101" s="9" t="n"/>
      <c r="D101" s="9" t="n"/>
      <c r="E101" s="41" t="n"/>
      <c r="F101" s="9" t="n"/>
      <c r="G101" s="9" t="n"/>
      <c r="H101" s="9" t="n"/>
      <c r="I101" s="31" t="n"/>
      <c r="J101" s="9" t="n"/>
      <c r="K101" s="41" t="n"/>
      <c r="L101" s="9" t="n"/>
      <c r="M101" s="9" t="n"/>
      <c r="N101" s="41" t="n"/>
    </row>
    <row r="102" ht="22" customHeight="1">
      <c r="A102" s="5" t="n"/>
      <c r="B102" s="5" t="n"/>
      <c r="C102" s="5" t="n"/>
      <c r="D102" s="5" t="n"/>
      <c r="E102" s="40" t="n"/>
      <c r="F102" s="5" t="n"/>
      <c r="G102" s="5" t="n"/>
      <c r="H102" s="5" t="n"/>
      <c r="I102" s="30" t="n"/>
      <c r="J102" s="5" t="n"/>
      <c r="K102" s="40" t="n"/>
      <c r="L102" s="5" t="n"/>
      <c r="M102" s="5" t="n"/>
      <c r="N102" s="40" t="n"/>
    </row>
    <row r="103" ht="22" customHeight="1">
      <c r="A103" s="9" t="n"/>
      <c r="B103" s="9" t="n"/>
      <c r="C103" s="9" t="n"/>
      <c r="D103" s="9" t="n"/>
      <c r="E103" s="41" t="n"/>
      <c r="F103" s="9" t="n"/>
      <c r="G103" s="9" t="n"/>
      <c r="H103" s="9" t="n"/>
      <c r="I103" s="31" t="n"/>
      <c r="J103" s="9" t="n"/>
      <c r="K103" s="41" t="n"/>
      <c r="L103" s="9" t="n"/>
      <c r="M103" s="9" t="n"/>
      <c r="N103" s="41" t="n"/>
    </row>
    <row r="104" ht="22" customHeight="1">
      <c r="A104" s="5" t="n"/>
      <c r="B104" s="5" t="n"/>
      <c r="C104" s="5" t="n"/>
      <c r="D104" s="5" t="n"/>
      <c r="E104" s="40" t="n"/>
      <c r="F104" s="5" t="n"/>
      <c r="G104" s="5" t="n"/>
      <c r="H104" s="5" t="n"/>
      <c r="I104" s="30" t="n"/>
      <c r="J104" s="5" t="n"/>
      <c r="K104" s="40" t="n"/>
      <c r="L104" s="5" t="n"/>
      <c r="M104" s="5" t="n"/>
      <c r="N104" s="40" t="n"/>
    </row>
    <row r="105" ht="22" customHeight="1">
      <c r="A105" s="9" t="n"/>
      <c r="B105" s="9" t="n"/>
      <c r="C105" s="9" t="n"/>
      <c r="D105" s="9" t="n"/>
      <c r="E105" s="41" t="n"/>
      <c r="F105" s="9" t="n"/>
      <c r="G105" s="9" t="n"/>
      <c r="H105" s="9" t="n"/>
      <c r="I105" s="31" t="n"/>
      <c r="J105" s="9" t="n"/>
      <c r="K105" s="41" t="n"/>
      <c r="L105" s="9" t="n"/>
      <c r="M105" s="9" t="n"/>
      <c r="N105" s="41" t="n"/>
    </row>
    <row r="106" ht="22" customHeight="1">
      <c r="A106" s="5" t="n"/>
      <c r="B106" s="5" t="n"/>
      <c r="C106" s="5" t="n"/>
      <c r="D106" s="5" t="n"/>
      <c r="E106" s="40" t="n"/>
      <c r="F106" s="5" t="n"/>
      <c r="G106" s="5" t="n"/>
      <c r="H106" s="5" t="n"/>
      <c r="I106" s="30" t="n"/>
      <c r="J106" s="5" t="n"/>
      <c r="K106" s="40" t="n"/>
      <c r="L106" s="5" t="n"/>
      <c r="M106" s="5" t="n"/>
      <c r="N106" s="40" t="n"/>
    </row>
    <row r="107" ht="22" customHeight="1">
      <c r="A107" s="9" t="n"/>
      <c r="B107" s="9" t="n"/>
      <c r="C107" s="9" t="n"/>
      <c r="D107" s="9" t="n"/>
      <c r="E107" s="41" t="n"/>
      <c r="F107" s="9" t="n"/>
      <c r="G107" s="9" t="n"/>
      <c r="H107" s="9" t="n"/>
      <c r="I107" s="31" t="n"/>
      <c r="J107" s="9" t="n"/>
      <c r="K107" s="41" t="n"/>
      <c r="L107" s="9" t="n"/>
      <c r="M107" s="9" t="n"/>
      <c r="N107" s="41" t="n"/>
    </row>
    <row r="108" ht="22" customHeight="1">
      <c r="A108" s="5" t="n"/>
      <c r="B108" s="5" t="n"/>
      <c r="C108" s="5" t="n"/>
      <c r="D108" s="5" t="n"/>
      <c r="E108" s="40" t="n"/>
      <c r="F108" s="5" t="n"/>
      <c r="G108" s="5" t="n"/>
      <c r="H108" s="5" t="n"/>
      <c r="I108" s="30" t="n"/>
      <c r="J108" s="5" t="n"/>
      <c r="K108" s="40" t="n"/>
      <c r="L108" s="5" t="n"/>
      <c r="M108" s="5" t="n"/>
      <c r="N108" s="40" t="n"/>
    </row>
    <row r="109" ht="22" customHeight="1">
      <c r="A109" s="9" t="n"/>
      <c r="B109" s="9" t="n"/>
      <c r="C109" s="9" t="n"/>
      <c r="D109" s="9" t="n"/>
      <c r="E109" s="41" t="n"/>
      <c r="F109" s="9" t="n"/>
      <c r="G109" s="9" t="n"/>
      <c r="H109" s="9" t="n"/>
      <c r="I109" s="31" t="n"/>
      <c r="J109" s="9" t="n"/>
      <c r="K109" s="41" t="n"/>
      <c r="L109" s="9" t="n"/>
      <c r="M109" s="9" t="n"/>
      <c r="N109" s="41" t="n"/>
    </row>
    <row r="110" ht="22" customHeight="1">
      <c r="A110" s="5" t="n"/>
      <c r="B110" s="5" t="n"/>
      <c r="C110" s="5" t="n"/>
      <c r="D110" s="5" t="n"/>
      <c r="E110" s="40" t="n"/>
      <c r="F110" s="5" t="n"/>
      <c r="G110" s="5" t="n"/>
      <c r="H110" s="5" t="n"/>
      <c r="I110" s="30" t="n"/>
      <c r="J110" s="5" t="n"/>
      <c r="K110" s="40" t="n"/>
      <c r="L110" s="5" t="n"/>
      <c r="M110" s="5" t="n"/>
      <c r="N110" s="40" t="n"/>
    </row>
    <row r="111" ht="22" customHeight="1">
      <c r="A111" s="9" t="n"/>
      <c r="B111" s="9" t="n"/>
      <c r="C111" s="9" t="n"/>
      <c r="D111" s="9" t="n"/>
      <c r="E111" s="41" t="n"/>
      <c r="F111" s="9" t="n"/>
      <c r="G111" s="9" t="n"/>
      <c r="H111" s="9" t="n"/>
      <c r="I111" s="31" t="n"/>
      <c r="J111" s="9" t="n"/>
      <c r="K111" s="41" t="n"/>
      <c r="L111" s="9" t="n"/>
      <c r="M111" s="9" t="n"/>
      <c r="N111" s="41" t="n"/>
    </row>
    <row r="112" ht="22" customHeight="1">
      <c r="A112" s="5" t="n"/>
      <c r="B112" s="5" t="n"/>
      <c r="C112" s="5" t="n"/>
      <c r="D112" s="5" t="n"/>
      <c r="E112" s="40" t="n"/>
      <c r="F112" s="5" t="n"/>
      <c r="G112" s="5" t="n"/>
      <c r="H112" s="5" t="n"/>
      <c r="I112" s="30" t="n"/>
      <c r="J112" s="5" t="n"/>
      <c r="K112" s="40" t="n"/>
      <c r="L112" s="5" t="n"/>
      <c r="M112" s="5" t="n"/>
      <c r="N112" s="40" t="n"/>
    </row>
    <row r="113" ht="22" customHeight="1">
      <c r="A113" s="9" t="n"/>
      <c r="B113" s="9" t="n"/>
      <c r="C113" s="9" t="n"/>
      <c r="D113" s="9" t="n"/>
      <c r="E113" s="41" t="n"/>
      <c r="F113" s="9" t="n"/>
      <c r="G113" s="9" t="n"/>
      <c r="H113" s="9" t="n"/>
      <c r="I113" s="31" t="n"/>
      <c r="J113" s="9" t="n"/>
      <c r="K113" s="41" t="n"/>
      <c r="L113" s="9" t="n"/>
      <c r="M113" s="9" t="n"/>
      <c r="N113" s="41" t="n"/>
    </row>
    <row r="114" ht="22" customHeight="1">
      <c r="A114" s="5" t="n"/>
      <c r="B114" s="5" t="n"/>
      <c r="C114" s="5" t="n"/>
      <c r="D114" s="5" t="n"/>
      <c r="E114" s="40" t="n"/>
      <c r="F114" s="5" t="n"/>
      <c r="G114" s="5" t="n"/>
      <c r="H114" s="5" t="n"/>
      <c r="I114" s="30" t="n"/>
      <c r="J114" s="5" t="n"/>
      <c r="K114" s="40" t="n"/>
      <c r="L114" s="5" t="n"/>
      <c r="M114" s="5" t="n"/>
      <c r="N114" s="40" t="n"/>
    </row>
    <row r="115" ht="22" customHeight="1">
      <c r="A115" s="9" t="n"/>
      <c r="B115" s="9" t="n"/>
      <c r="C115" s="9" t="n"/>
      <c r="D115" s="9" t="n"/>
      <c r="E115" s="41" t="n"/>
      <c r="F115" s="9" t="n"/>
      <c r="G115" s="9" t="n"/>
      <c r="H115" s="9" t="n"/>
      <c r="I115" s="31" t="n"/>
      <c r="J115" s="9" t="n"/>
      <c r="K115" s="41" t="n"/>
      <c r="L115" s="9" t="n"/>
      <c r="M115" s="9" t="n"/>
      <c r="N115" s="41" t="n"/>
    </row>
  </sheetData>
  <mergeCells count="2">
    <mergeCell ref="A3:N3"/>
    <mergeCell ref="A2:N2"/>
  </mergeCells>
  <conditionalFormatting sqref="G6:G115">
    <cfRule type="cellIs" priority="1" operator="equal" dxfId="1">
      <formula>"Haute"</formula>
    </cfRule>
    <cfRule type="cellIs" priority="2" operator="equal" dxfId="3">
      <formula>"Moyenne"</formula>
    </cfRule>
    <cfRule type="cellIs" priority="3" operator="equal" dxfId="0">
      <formula>"Basse"</formula>
    </cfRule>
  </conditionalFormatting>
  <conditionalFormatting sqref="H6:H115">
    <cfRule type="cellIs" priority="4" operator="equal" dxfId="1">
      <formula>"Ouverte"</formula>
    </cfRule>
    <cfRule type="cellIs" priority="5" operator="equal" dxfId="2">
      <formula>"En cours"</formula>
    </cfRule>
    <cfRule type="cellIs" priority="6" operator="equal" dxfId="0">
      <formula>"Résolue"</formula>
    </cfRule>
    <cfRule type="cellIs" priority="7" operator="equal" dxfId="3">
      <formula>"Rejetée"</formula>
    </cfRule>
  </conditionalFormatting>
  <dataValidations count="3">
    <dataValidation sqref="D6:D115" showDropDown="0" showInputMessage="0" showErrorMessage="0" allowBlank="1" errorTitle="Erreur" error="Valeur invalide" promptTitle="" prompt="Choisir: " type="list">
      <formula1>"Retard remboursement,Couverture refusée,Montant erroné,Information manquante"</formula1>
    </dataValidation>
    <dataValidation sqref="G6:G115" showDropDown="0" showInputMessage="0" showErrorMessage="0" allowBlank="1" errorTitle="Erreur" error="Valeur invalide" promptTitle="" prompt="Choisir: " type="list">
      <formula1>"Basse,Moyenne,Haute"</formula1>
    </dataValidation>
    <dataValidation sqref="H6:H115" showDropDown="0" showInputMessage="0" showErrorMessage="0" allowBlank="1" errorTitle="Erreur" error="Valeur invalide" promptTitle="" prompt="Choisir: " type="list">
      <formula1>"Ouverte,En cours,Résolue,Rejetée"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8" customWidth="1" min="4" max="4"/>
    <col width="32" customWidth="1" min="5" max="5"/>
    <col width="16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HISTORIQUE DES MODIFICATIONS D'AVANTAGES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Avantage</t>
        </is>
      </c>
      <c r="B5" s="4" t="inlineStr">
        <is>
          <t>Ancien montant (FCFA)</t>
        </is>
      </c>
      <c r="C5" s="4" t="inlineStr">
        <is>
          <t>Nouveau montant (FCFA)</t>
        </is>
      </c>
      <c r="D5" s="4" t="inlineStr">
        <is>
          <t>Date modification</t>
        </is>
      </c>
      <c r="E5" s="4" t="inlineStr">
        <is>
          <t>Motif</t>
        </is>
      </c>
      <c r="F5" s="4" t="inlineStr">
        <is>
          <t>Validé par</t>
        </is>
      </c>
      <c r="G5" s="4" t="inlineStr">
        <is>
          <t>Impact budgétaire (FCFA)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AV-002</t>
        </is>
      </c>
      <c r="B6" s="30" t="n">
        <v>16000</v>
      </c>
      <c r="C6" s="30" t="n">
        <v>18500</v>
      </c>
      <c r="D6" s="40" t="inlineStr">
        <is>
          <t>Révision tarifaire mutuelle 2024</t>
        </is>
      </c>
      <c r="E6" s="5" t="inlineStr">
        <is>
          <t>DRH</t>
        </is>
      </c>
      <c r="F6" s="40" t="n">
        <v>45306</v>
      </c>
      <c r="G6" s="30">
        <f>(C6-B6)*COUNTIF('F05 - 3-Inscription Avant.'!F6:F115,A6)*12</f>
        <v/>
      </c>
      <c r="H6" s="5" t="n"/>
      <c r="I6" s="5" t="n"/>
      <c r="J6" s="5" t="n"/>
      <c r="K6" s="5" t="n"/>
      <c r="L6" s="5" t="n"/>
      <c r="M6" s="5" t="n"/>
      <c r="N6" s="40" t="n">
        <v>45444</v>
      </c>
    </row>
    <row r="7" ht="22" customHeight="1">
      <c r="A7" s="9" t="inlineStr">
        <is>
          <t>AV-004</t>
        </is>
      </c>
      <c r="B7" s="31" t="n">
        <v>20000</v>
      </c>
      <c r="C7" s="31" t="n">
        <v>22000</v>
      </c>
      <c r="D7" s="41" t="inlineStr">
        <is>
          <t>Ajustement inflation alimentaire</t>
        </is>
      </c>
      <c r="E7" s="9" t="inlineStr">
        <is>
          <t>DAF</t>
        </is>
      </c>
      <c r="F7" s="41" t="n">
        <v>45323</v>
      </c>
      <c r="G7" s="31">
        <f>(C7-B7)*COUNTIF('F05 - 3-Inscription Avant.'!F6:F115,A7)*12</f>
        <v/>
      </c>
      <c r="H7" s="9" t="n"/>
      <c r="I7" s="9" t="n"/>
      <c r="J7" s="9" t="n"/>
      <c r="K7" s="9" t="n"/>
      <c r="L7" s="9" t="n"/>
      <c r="M7" s="9" t="n"/>
      <c r="N7" s="41" t="n">
        <v>45444</v>
      </c>
    </row>
    <row r="8" ht="22" customHeight="1">
      <c r="A8" s="5" t="inlineStr">
        <is>
          <t>AV-005</t>
        </is>
      </c>
      <c r="B8" s="30" t="n">
        <v>22000</v>
      </c>
      <c r="C8" s="30" t="n">
        <v>25000</v>
      </c>
      <c r="D8" s="40" t="inlineStr">
        <is>
          <t>Augmentation coût carburant</t>
        </is>
      </c>
      <c r="E8" s="5" t="inlineStr">
        <is>
          <t>DAF</t>
        </is>
      </c>
      <c r="F8" s="40" t="n">
        <v>45352</v>
      </c>
      <c r="G8" s="30">
        <f>(C8-B8)*COUNTIF('F05 - 3-Inscription Avant.'!F6:F115,A8)*12</f>
        <v/>
      </c>
      <c r="H8" s="5" t="n"/>
      <c r="I8" s="5" t="n"/>
      <c r="J8" s="5" t="n"/>
      <c r="K8" s="5" t="n"/>
      <c r="L8" s="5" t="n"/>
      <c r="M8" s="5" t="n"/>
      <c r="N8" s="40" t="n">
        <v>45444</v>
      </c>
    </row>
    <row r="9" ht="22" customHeight="1">
      <c r="A9" s="9" t="inlineStr">
        <is>
          <t>AV-008</t>
        </is>
      </c>
      <c r="B9" s="31" t="n">
        <v>12000</v>
      </c>
      <c r="C9" s="31" t="n">
        <v>15000</v>
      </c>
      <c r="D9" s="41" t="inlineStr">
        <is>
          <t>Révision plan épargne retraite</t>
        </is>
      </c>
      <c r="E9" s="9" t="inlineStr">
        <is>
          <t>DRH</t>
        </is>
      </c>
      <c r="F9" s="41" t="n">
        <v>45292</v>
      </c>
      <c r="G9" s="31">
        <f>(C9-B9)*COUNTIF('F05 - 3-Inscription Avant.'!F6:F115,A9)*12</f>
        <v/>
      </c>
      <c r="H9" s="9" t="n"/>
      <c r="I9" s="9" t="n"/>
      <c r="J9" s="9" t="n"/>
      <c r="K9" s="9" t="n"/>
      <c r="L9" s="9" t="n"/>
      <c r="M9" s="9" t="n"/>
      <c r="N9" s="41" t="n">
        <v>45444</v>
      </c>
    </row>
    <row r="10" ht="22" customHeight="1">
      <c r="A10" s="5" t="inlineStr">
        <is>
          <t>AV-013</t>
        </is>
      </c>
      <c r="B10" s="30" t="n">
        <v>35000</v>
      </c>
      <c r="C10" s="30" t="n">
        <v>40000</v>
      </c>
      <c r="D10" s="40" t="inlineStr">
        <is>
          <t>Augmentation budget formation</t>
        </is>
      </c>
      <c r="E10" s="5" t="inlineStr">
        <is>
          <t>DRH</t>
        </is>
      </c>
      <c r="F10" s="40" t="n">
        <v>45383</v>
      </c>
      <c r="G10" s="30">
        <f>(C10-B10)*COUNTIF('F05 - 3-Inscription Avant.'!F6:F115,A10)*12</f>
        <v/>
      </c>
      <c r="H10" s="5" t="n"/>
      <c r="I10" s="5" t="n"/>
      <c r="J10" s="5" t="n"/>
      <c r="K10" s="5" t="n"/>
      <c r="L10" s="5" t="n"/>
      <c r="M10" s="5" t="n"/>
      <c r="N10" s="40" t="n">
        <v>45444</v>
      </c>
    </row>
    <row r="11" ht="22" customHeight="1">
      <c r="A11" s="9" t="n"/>
      <c r="B11" s="31" t="n"/>
      <c r="C11" s="31" t="n"/>
      <c r="D11" s="41" t="n"/>
      <c r="E11" s="9" t="n"/>
      <c r="F11" s="9" t="n"/>
      <c r="G11" s="31" t="n"/>
      <c r="H11" s="9" t="n"/>
      <c r="I11" s="9" t="n"/>
      <c r="J11" s="9" t="n"/>
      <c r="K11" s="9" t="n"/>
      <c r="L11" s="9" t="n"/>
      <c r="M11" s="9" t="n"/>
      <c r="N11" s="41" t="n"/>
    </row>
    <row r="12" ht="22" customHeight="1">
      <c r="A12" s="5" t="n"/>
      <c r="B12" s="30" t="n"/>
      <c r="C12" s="30" t="n"/>
      <c r="D12" s="40" t="n"/>
      <c r="E12" s="5" t="n"/>
      <c r="F12" s="5" t="n"/>
      <c r="G12" s="30" t="n"/>
      <c r="H12" s="5" t="n"/>
      <c r="I12" s="5" t="n"/>
      <c r="J12" s="5" t="n"/>
      <c r="K12" s="5" t="n"/>
      <c r="L12" s="5" t="n"/>
      <c r="M12" s="5" t="n"/>
      <c r="N12" s="40" t="n"/>
    </row>
    <row r="13" ht="22" customHeight="1">
      <c r="A13" s="9" t="n"/>
      <c r="B13" s="31" t="n"/>
      <c r="C13" s="31" t="n"/>
      <c r="D13" s="41" t="n"/>
      <c r="E13" s="9" t="n"/>
      <c r="F13" s="9" t="n"/>
      <c r="G13" s="31" t="n"/>
      <c r="H13" s="9" t="n"/>
      <c r="I13" s="9" t="n"/>
      <c r="J13" s="9" t="n"/>
      <c r="K13" s="9" t="n"/>
      <c r="L13" s="9" t="n"/>
      <c r="M13" s="9" t="n"/>
      <c r="N13" s="41" t="n"/>
    </row>
    <row r="14" ht="22" customHeight="1">
      <c r="A14" s="5" t="n"/>
      <c r="B14" s="30" t="n"/>
      <c r="C14" s="30" t="n"/>
      <c r="D14" s="40" t="n"/>
      <c r="E14" s="5" t="n"/>
      <c r="F14" s="5" t="n"/>
      <c r="G14" s="30" t="n"/>
      <c r="H14" s="5" t="n"/>
      <c r="I14" s="5" t="n"/>
      <c r="J14" s="5" t="n"/>
      <c r="K14" s="5" t="n"/>
      <c r="L14" s="5" t="n"/>
      <c r="M14" s="5" t="n"/>
      <c r="N14" s="40" t="n"/>
    </row>
    <row r="15" ht="22" customHeight="1">
      <c r="A15" s="9" t="n"/>
      <c r="B15" s="31" t="n"/>
      <c r="C15" s="31" t="n"/>
      <c r="D15" s="41" t="n"/>
      <c r="E15" s="9" t="n"/>
      <c r="F15" s="9" t="n"/>
      <c r="G15" s="31" t="n"/>
      <c r="H15" s="9" t="n"/>
      <c r="I15" s="9" t="n"/>
      <c r="J15" s="9" t="n"/>
      <c r="K15" s="9" t="n"/>
      <c r="L15" s="9" t="n"/>
      <c r="M15" s="9" t="n"/>
      <c r="N15" s="41" t="n"/>
    </row>
    <row r="16" ht="22" customHeight="1">
      <c r="A16" s="5" t="n"/>
      <c r="B16" s="30" t="n"/>
      <c r="C16" s="30" t="n"/>
      <c r="D16" s="40" t="n"/>
      <c r="E16" s="5" t="n"/>
      <c r="F16" s="5" t="n"/>
      <c r="G16" s="30" t="n"/>
      <c r="H16" s="5" t="n"/>
      <c r="I16" s="5" t="n"/>
      <c r="J16" s="5" t="n"/>
      <c r="K16" s="5" t="n"/>
      <c r="L16" s="5" t="n"/>
      <c r="M16" s="5" t="n"/>
      <c r="N16" s="40" t="n"/>
    </row>
    <row r="17" ht="22" customHeight="1">
      <c r="A17" s="9" t="n"/>
      <c r="B17" s="31" t="n"/>
      <c r="C17" s="31" t="n"/>
      <c r="D17" s="41" t="n"/>
      <c r="E17" s="9" t="n"/>
      <c r="F17" s="9" t="n"/>
      <c r="G17" s="31" t="n"/>
      <c r="H17" s="9" t="n"/>
      <c r="I17" s="9" t="n"/>
      <c r="J17" s="9" t="n"/>
      <c r="K17" s="9" t="n"/>
      <c r="L17" s="9" t="n"/>
      <c r="M17" s="9" t="n"/>
      <c r="N17" s="41" t="n"/>
    </row>
    <row r="18" ht="22" customHeight="1">
      <c r="A18" s="5" t="n"/>
      <c r="B18" s="30" t="n"/>
      <c r="C18" s="30" t="n"/>
      <c r="D18" s="40" t="n"/>
      <c r="E18" s="5" t="n"/>
      <c r="F18" s="5" t="n"/>
      <c r="G18" s="30" t="n"/>
      <c r="H18" s="5" t="n"/>
      <c r="I18" s="5" t="n"/>
      <c r="J18" s="5" t="n"/>
      <c r="K18" s="5" t="n"/>
      <c r="L18" s="5" t="n"/>
      <c r="M18" s="5" t="n"/>
      <c r="N18" s="40" t="n"/>
    </row>
    <row r="19" ht="22" customHeight="1">
      <c r="A19" s="9" t="n"/>
      <c r="B19" s="31" t="n"/>
      <c r="C19" s="31" t="n"/>
      <c r="D19" s="41" t="n"/>
      <c r="E19" s="9" t="n"/>
      <c r="F19" s="9" t="n"/>
      <c r="G19" s="31" t="n"/>
      <c r="H19" s="9" t="n"/>
      <c r="I19" s="9" t="n"/>
      <c r="J19" s="9" t="n"/>
      <c r="K19" s="9" t="n"/>
      <c r="L19" s="9" t="n"/>
      <c r="M19" s="9" t="n"/>
      <c r="N19" s="41" t="n"/>
    </row>
    <row r="20" ht="22" customHeight="1">
      <c r="A20" s="5" t="n"/>
      <c r="B20" s="30" t="n"/>
      <c r="C20" s="30" t="n"/>
      <c r="D20" s="40" t="n"/>
      <c r="E20" s="5" t="n"/>
      <c r="F20" s="5" t="n"/>
      <c r="G20" s="30" t="n"/>
      <c r="H20" s="5" t="n"/>
      <c r="I20" s="5" t="n"/>
      <c r="J20" s="5" t="n"/>
      <c r="K20" s="5" t="n"/>
      <c r="L20" s="5" t="n"/>
      <c r="M20" s="5" t="n"/>
      <c r="N20" s="40" t="n"/>
    </row>
    <row r="21" ht="22" customHeight="1">
      <c r="A21" s="9" t="n"/>
      <c r="B21" s="31" t="n"/>
      <c r="C21" s="31" t="n"/>
      <c r="D21" s="41" t="n"/>
      <c r="E21" s="9" t="n"/>
      <c r="F21" s="9" t="n"/>
      <c r="G21" s="31" t="n"/>
      <c r="H21" s="9" t="n"/>
      <c r="I21" s="9" t="n"/>
      <c r="J21" s="9" t="n"/>
      <c r="K21" s="9" t="n"/>
      <c r="L21" s="9" t="n"/>
      <c r="M21" s="9" t="n"/>
      <c r="N21" s="41" t="n"/>
    </row>
    <row r="22" ht="22" customHeight="1">
      <c r="A22" s="5" t="n"/>
      <c r="B22" s="30" t="n"/>
      <c r="C22" s="30" t="n"/>
      <c r="D22" s="40" t="n"/>
      <c r="E22" s="5" t="n"/>
      <c r="F22" s="5" t="n"/>
      <c r="G22" s="30" t="n"/>
      <c r="H22" s="5" t="n"/>
      <c r="I22" s="5" t="n"/>
      <c r="J22" s="5" t="n"/>
      <c r="K22" s="5" t="n"/>
      <c r="L22" s="5" t="n"/>
      <c r="M22" s="5" t="n"/>
      <c r="N22" s="40" t="n"/>
    </row>
    <row r="23" ht="22" customHeight="1">
      <c r="A23" s="9" t="n"/>
      <c r="B23" s="31" t="n"/>
      <c r="C23" s="31" t="n"/>
      <c r="D23" s="41" t="n"/>
      <c r="E23" s="9" t="n"/>
      <c r="F23" s="9" t="n"/>
      <c r="G23" s="31" t="n"/>
      <c r="H23" s="9" t="n"/>
      <c r="I23" s="9" t="n"/>
      <c r="J23" s="9" t="n"/>
      <c r="K23" s="9" t="n"/>
      <c r="L23" s="9" t="n"/>
      <c r="M23" s="9" t="n"/>
      <c r="N23" s="41" t="n"/>
    </row>
    <row r="24" ht="22" customHeight="1">
      <c r="A24" s="5" t="n"/>
      <c r="B24" s="30" t="n"/>
      <c r="C24" s="30" t="n"/>
      <c r="D24" s="40" t="n"/>
      <c r="E24" s="5" t="n"/>
      <c r="F24" s="5" t="n"/>
      <c r="G24" s="30" t="n"/>
      <c r="H24" s="5" t="n"/>
      <c r="I24" s="5" t="n"/>
      <c r="J24" s="5" t="n"/>
      <c r="K24" s="5" t="n"/>
      <c r="L24" s="5" t="n"/>
      <c r="M24" s="5" t="n"/>
      <c r="N24" s="40" t="n"/>
    </row>
    <row r="25" ht="22" customHeight="1">
      <c r="A25" s="9" t="n"/>
      <c r="B25" s="31" t="n"/>
      <c r="C25" s="31" t="n"/>
      <c r="D25" s="41" t="n"/>
      <c r="E25" s="9" t="n"/>
      <c r="F25" s="9" t="n"/>
      <c r="G25" s="31" t="n"/>
      <c r="H25" s="9" t="n"/>
      <c r="I25" s="9" t="n"/>
      <c r="J25" s="9" t="n"/>
      <c r="K25" s="9" t="n"/>
      <c r="L25" s="9" t="n"/>
      <c r="M25" s="9" t="n"/>
      <c r="N25" s="41" t="n"/>
    </row>
    <row r="26" ht="22" customHeight="1">
      <c r="A26" s="5" t="n"/>
      <c r="B26" s="30" t="n"/>
      <c r="C26" s="30" t="n"/>
      <c r="D26" s="40" t="n"/>
      <c r="E26" s="5" t="n"/>
      <c r="F26" s="5" t="n"/>
      <c r="G26" s="30" t="n"/>
      <c r="H26" s="5" t="n"/>
      <c r="I26" s="5" t="n"/>
      <c r="J26" s="5" t="n"/>
      <c r="K26" s="5" t="n"/>
      <c r="L26" s="5" t="n"/>
      <c r="M26" s="5" t="n"/>
      <c r="N26" s="40" t="n"/>
    </row>
    <row r="27" ht="22" customHeight="1">
      <c r="A27" s="9" t="n"/>
      <c r="B27" s="31" t="n"/>
      <c r="C27" s="31" t="n"/>
      <c r="D27" s="41" t="n"/>
      <c r="E27" s="9" t="n"/>
      <c r="F27" s="9" t="n"/>
      <c r="G27" s="31" t="n"/>
      <c r="H27" s="9" t="n"/>
      <c r="I27" s="9" t="n"/>
      <c r="J27" s="9" t="n"/>
      <c r="K27" s="9" t="n"/>
      <c r="L27" s="9" t="n"/>
      <c r="M27" s="9" t="n"/>
      <c r="N27" s="41" t="n"/>
    </row>
    <row r="28" ht="22" customHeight="1">
      <c r="A28" s="5" t="n"/>
      <c r="B28" s="30" t="n"/>
      <c r="C28" s="30" t="n"/>
      <c r="D28" s="40" t="n"/>
      <c r="E28" s="5" t="n"/>
      <c r="F28" s="5" t="n"/>
      <c r="G28" s="30" t="n"/>
      <c r="H28" s="5" t="n"/>
      <c r="I28" s="5" t="n"/>
      <c r="J28" s="5" t="n"/>
      <c r="K28" s="5" t="n"/>
      <c r="L28" s="5" t="n"/>
      <c r="M28" s="5" t="n"/>
      <c r="N28" s="40" t="n"/>
    </row>
    <row r="29" ht="22" customHeight="1">
      <c r="A29" s="9" t="n"/>
      <c r="B29" s="31" t="n"/>
      <c r="C29" s="31" t="n"/>
      <c r="D29" s="41" t="n"/>
      <c r="E29" s="9" t="n"/>
      <c r="F29" s="9" t="n"/>
      <c r="G29" s="31" t="n"/>
      <c r="H29" s="9" t="n"/>
      <c r="I29" s="9" t="n"/>
      <c r="J29" s="9" t="n"/>
      <c r="K29" s="9" t="n"/>
      <c r="L29" s="9" t="n"/>
      <c r="M29" s="9" t="n"/>
      <c r="N29" s="41" t="n"/>
    </row>
    <row r="30" ht="22" customHeight="1">
      <c r="A30" s="5" t="n"/>
      <c r="B30" s="30" t="n"/>
      <c r="C30" s="30" t="n"/>
      <c r="D30" s="40" t="n"/>
      <c r="E30" s="5" t="n"/>
      <c r="F30" s="5" t="n"/>
      <c r="G30" s="30" t="n"/>
      <c r="H30" s="5" t="n"/>
      <c r="I30" s="5" t="n"/>
      <c r="J30" s="5" t="n"/>
      <c r="K30" s="5" t="n"/>
      <c r="L30" s="5" t="n"/>
      <c r="M30" s="5" t="n"/>
      <c r="N30" s="40" t="n"/>
    </row>
    <row r="31" ht="22" customHeight="1">
      <c r="A31" s="9" t="n"/>
      <c r="B31" s="31" t="n"/>
      <c r="C31" s="31" t="n"/>
      <c r="D31" s="41" t="n"/>
      <c r="E31" s="9" t="n"/>
      <c r="F31" s="9" t="n"/>
      <c r="G31" s="31" t="n"/>
      <c r="H31" s="9" t="n"/>
      <c r="I31" s="9" t="n"/>
      <c r="J31" s="9" t="n"/>
      <c r="K31" s="9" t="n"/>
      <c r="L31" s="9" t="n"/>
      <c r="M31" s="9" t="n"/>
      <c r="N31" s="41" t="n"/>
    </row>
    <row r="32" ht="22" customHeight="1">
      <c r="A32" s="5" t="n"/>
      <c r="B32" s="30" t="n"/>
      <c r="C32" s="30" t="n"/>
      <c r="D32" s="40" t="n"/>
      <c r="E32" s="5" t="n"/>
      <c r="F32" s="5" t="n"/>
      <c r="G32" s="30" t="n"/>
      <c r="H32" s="5" t="n"/>
      <c r="I32" s="5" t="n"/>
      <c r="J32" s="5" t="n"/>
      <c r="K32" s="5" t="n"/>
      <c r="L32" s="5" t="n"/>
      <c r="M32" s="5" t="n"/>
      <c r="N32" s="40" t="n"/>
    </row>
    <row r="33" ht="22" customHeight="1">
      <c r="A33" s="9" t="n"/>
      <c r="B33" s="31" t="n"/>
      <c r="C33" s="31" t="n"/>
      <c r="D33" s="41" t="n"/>
      <c r="E33" s="9" t="n"/>
      <c r="F33" s="9" t="n"/>
      <c r="G33" s="31" t="n"/>
      <c r="H33" s="9" t="n"/>
      <c r="I33" s="9" t="n"/>
      <c r="J33" s="9" t="n"/>
      <c r="K33" s="9" t="n"/>
      <c r="L33" s="9" t="n"/>
      <c r="M33" s="9" t="n"/>
      <c r="N33" s="41" t="n"/>
    </row>
    <row r="34" ht="22" customHeight="1">
      <c r="A34" s="5" t="n"/>
      <c r="B34" s="30" t="n"/>
      <c r="C34" s="30" t="n"/>
      <c r="D34" s="40" t="n"/>
      <c r="E34" s="5" t="n"/>
      <c r="F34" s="5" t="n"/>
      <c r="G34" s="30" t="n"/>
      <c r="H34" s="5" t="n"/>
      <c r="I34" s="5" t="n"/>
      <c r="J34" s="5" t="n"/>
      <c r="K34" s="5" t="n"/>
      <c r="L34" s="5" t="n"/>
      <c r="M34" s="5" t="n"/>
      <c r="N34" s="40" t="n"/>
    </row>
    <row r="35" ht="22" customHeight="1">
      <c r="A35" s="9" t="n"/>
      <c r="B35" s="31" t="n"/>
      <c r="C35" s="31" t="n"/>
      <c r="D35" s="41" t="n"/>
      <c r="E35" s="9" t="n"/>
      <c r="F35" s="9" t="n"/>
      <c r="G35" s="31" t="n"/>
      <c r="H35" s="9" t="n"/>
      <c r="I35" s="9" t="n"/>
      <c r="J35" s="9" t="n"/>
      <c r="K35" s="9" t="n"/>
      <c r="L35" s="9" t="n"/>
      <c r="M35" s="9" t="n"/>
      <c r="N35" s="41" t="n"/>
    </row>
    <row r="36" ht="22" customHeight="1">
      <c r="A36" s="5" t="n"/>
      <c r="B36" s="30" t="n"/>
      <c r="C36" s="30" t="n"/>
      <c r="D36" s="40" t="n"/>
      <c r="E36" s="5" t="n"/>
      <c r="F36" s="5" t="n"/>
      <c r="G36" s="30" t="n"/>
      <c r="H36" s="5" t="n"/>
      <c r="I36" s="5" t="n"/>
      <c r="J36" s="5" t="n"/>
      <c r="K36" s="5" t="n"/>
      <c r="L36" s="5" t="n"/>
      <c r="M36" s="5" t="n"/>
      <c r="N36" s="40" t="n"/>
    </row>
    <row r="37" ht="22" customHeight="1">
      <c r="A37" s="9" t="n"/>
      <c r="B37" s="31" t="n"/>
      <c r="C37" s="31" t="n"/>
      <c r="D37" s="41" t="n"/>
      <c r="E37" s="9" t="n"/>
      <c r="F37" s="9" t="n"/>
      <c r="G37" s="31" t="n"/>
      <c r="H37" s="9" t="n"/>
      <c r="I37" s="9" t="n"/>
      <c r="J37" s="9" t="n"/>
      <c r="K37" s="9" t="n"/>
      <c r="L37" s="9" t="n"/>
      <c r="M37" s="9" t="n"/>
      <c r="N37" s="41" t="n"/>
    </row>
    <row r="38" ht="22" customHeight="1">
      <c r="A38" s="5" t="n"/>
      <c r="B38" s="30" t="n"/>
      <c r="C38" s="30" t="n"/>
      <c r="D38" s="40" t="n"/>
      <c r="E38" s="5" t="n"/>
      <c r="F38" s="5" t="n"/>
      <c r="G38" s="30" t="n"/>
      <c r="H38" s="5" t="n"/>
      <c r="I38" s="5" t="n"/>
      <c r="J38" s="5" t="n"/>
      <c r="K38" s="5" t="n"/>
      <c r="L38" s="5" t="n"/>
      <c r="M38" s="5" t="n"/>
      <c r="N38" s="40" t="n"/>
    </row>
    <row r="39" ht="22" customHeight="1">
      <c r="A39" s="9" t="n"/>
      <c r="B39" s="31" t="n"/>
      <c r="C39" s="31" t="n"/>
      <c r="D39" s="41" t="n"/>
      <c r="E39" s="9" t="n"/>
      <c r="F39" s="9" t="n"/>
      <c r="G39" s="31" t="n"/>
      <c r="H39" s="9" t="n"/>
      <c r="I39" s="9" t="n"/>
      <c r="J39" s="9" t="n"/>
      <c r="K39" s="9" t="n"/>
      <c r="L39" s="9" t="n"/>
      <c r="M39" s="9" t="n"/>
      <c r="N39" s="41" t="n"/>
    </row>
    <row r="40" ht="22" customHeight="1">
      <c r="A40" s="5" t="n"/>
      <c r="B40" s="30" t="n"/>
      <c r="C40" s="30" t="n"/>
      <c r="D40" s="40" t="n"/>
      <c r="E40" s="5" t="n"/>
      <c r="F40" s="5" t="n"/>
      <c r="G40" s="30" t="n"/>
      <c r="H40" s="5" t="n"/>
      <c r="I40" s="5" t="n"/>
      <c r="J40" s="5" t="n"/>
      <c r="K40" s="5" t="n"/>
      <c r="L40" s="5" t="n"/>
      <c r="M40" s="5" t="n"/>
      <c r="N40" s="40" t="n"/>
    </row>
    <row r="41" ht="22" customHeight="1">
      <c r="A41" s="9" t="n"/>
      <c r="B41" s="31" t="n"/>
      <c r="C41" s="31" t="n"/>
      <c r="D41" s="41" t="n"/>
      <c r="E41" s="9" t="n"/>
      <c r="F41" s="9" t="n"/>
      <c r="G41" s="31" t="n"/>
      <c r="H41" s="9" t="n"/>
      <c r="I41" s="9" t="n"/>
      <c r="J41" s="9" t="n"/>
      <c r="K41" s="9" t="n"/>
      <c r="L41" s="9" t="n"/>
      <c r="M41" s="9" t="n"/>
      <c r="N41" s="41" t="n"/>
    </row>
    <row r="42" ht="22" customHeight="1">
      <c r="A42" s="5" t="n"/>
      <c r="B42" s="30" t="n"/>
      <c r="C42" s="30" t="n"/>
      <c r="D42" s="40" t="n"/>
      <c r="E42" s="5" t="n"/>
      <c r="F42" s="5" t="n"/>
      <c r="G42" s="30" t="n"/>
      <c r="H42" s="5" t="n"/>
      <c r="I42" s="5" t="n"/>
      <c r="J42" s="5" t="n"/>
      <c r="K42" s="5" t="n"/>
      <c r="L42" s="5" t="n"/>
      <c r="M42" s="5" t="n"/>
      <c r="N42" s="40" t="n"/>
    </row>
    <row r="43" ht="22" customHeight="1">
      <c r="A43" s="9" t="n"/>
      <c r="B43" s="31" t="n"/>
      <c r="C43" s="31" t="n"/>
      <c r="D43" s="41" t="n"/>
      <c r="E43" s="9" t="n"/>
      <c r="F43" s="9" t="n"/>
      <c r="G43" s="31" t="n"/>
      <c r="H43" s="9" t="n"/>
      <c r="I43" s="9" t="n"/>
      <c r="J43" s="9" t="n"/>
      <c r="K43" s="9" t="n"/>
      <c r="L43" s="9" t="n"/>
      <c r="M43" s="9" t="n"/>
      <c r="N43" s="41" t="n"/>
    </row>
    <row r="44" ht="22" customHeight="1">
      <c r="A44" s="5" t="n"/>
      <c r="B44" s="30" t="n"/>
      <c r="C44" s="30" t="n"/>
      <c r="D44" s="40" t="n"/>
      <c r="E44" s="5" t="n"/>
      <c r="F44" s="5" t="n"/>
      <c r="G44" s="30" t="n"/>
      <c r="H44" s="5" t="n"/>
      <c r="I44" s="5" t="n"/>
      <c r="J44" s="5" t="n"/>
      <c r="K44" s="5" t="n"/>
      <c r="L44" s="5" t="n"/>
      <c r="M44" s="5" t="n"/>
      <c r="N44" s="40" t="n"/>
    </row>
    <row r="45" ht="22" customHeight="1">
      <c r="A45" s="9" t="n"/>
      <c r="B45" s="31" t="n"/>
      <c r="C45" s="31" t="n"/>
      <c r="D45" s="41" t="n"/>
      <c r="E45" s="9" t="n"/>
      <c r="F45" s="9" t="n"/>
      <c r="G45" s="31" t="n"/>
      <c r="H45" s="9" t="n"/>
      <c r="I45" s="9" t="n"/>
      <c r="J45" s="9" t="n"/>
      <c r="K45" s="9" t="n"/>
      <c r="L45" s="9" t="n"/>
      <c r="M45" s="9" t="n"/>
      <c r="N45" s="41" t="n"/>
    </row>
    <row r="46" ht="22" customHeight="1">
      <c r="A46" s="5" t="n"/>
      <c r="B46" s="30" t="n"/>
      <c r="C46" s="30" t="n"/>
      <c r="D46" s="40" t="n"/>
      <c r="E46" s="5" t="n"/>
      <c r="F46" s="5" t="n"/>
      <c r="G46" s="30" t="n"/>
      <c r="H46" s="5" t="n"/>
      <c r="I46" s="5" t="n"/>
      <c r="J46" s="5" t="n"/>
      <c r="K46" s="5" t="n"/>
      <c r="L46" s="5" t="n"/>
      <c r="M46" s="5" t="n"/>
      <c r="N46" s="40" t="n"/>
    </row>
    <row r="47" ht="22" customHeight="1">
      <c r="A47" s="9" t="n"/>
      <c r="B47" s="31" t="n"/>
      <c r="C47" s="31" t="n"/>
      <c r="D47" s="41" t="n"/>
      <c r="E47" s="9" t="n"/>
      <c r="F47" s="9" t="n"/>
      <c r="G47" s="31" t="n"/>
      <c r="H47" s="9" t="n"/>
      <c r="I47" s="9" t="n"/>
      <c r="J47" s="9" t="n"/>
      <c r="K47" s="9" t="n"/>
      <c r="L47" s="9" t="n"/>
      <c r="M47" s="9" t="n"/>
      <c r="N47" s="41" t="n"/>
    </row>
    <row r="48" ht="22" customHeight="1">
      <c r="A48" s="5" t="n"/>
      <c r="B48" s="30" t="n"/>
      <c r="C48" s="30" t="n"/>
      <c r="D48" s="40" t="n"/>
      <c r="E48" s="5" t="n"/>
      <c r="F48" s="5" t="n"/>
      <c r="G48" s="30" t="n"/>
      <c r="H48" s="5" t="n"/>
      <c r="I48" s="5" t="n"/>
      <c r="J48" s="5" t="n"/>
      <c r="K48" s="5" t="n"/>
      <c r="L48" s="5" t="n"/>
      <c r="M48" s="5" t="n"/>
      <c r="N48" s="40" t="n"/>
    </row>
    <row r="49" ht="22" customHeight="1">
      <c r="A49" s="9" t="n"/>
      <c r="B49" s="31" t="n"/>
      <c r="C49" s="31" t="n"/>
      <c r="D49" s="41" t="n"/>
      <c r="E49" s="9" t="n"/>
      <c r="F49" s="9" t="n"/>
      <c r="G49" s="31" t="n"/>
      <c r="H49" s="9" t="n"/>
      <c r="I49" s="9" t="n"/>
      <c r="J49" s="9" t="n"/>
      <c r="K49" s="9" t="n"/>
      <c r="L49" s="9" t="n"/>
      <c r="M49" s="9" t="n"/>
      <c r="N49" s="41" t="n"/>
    </row>
    <row r="50" ht="22" customHeight="1">
      <c r="A50" s="5" t="n"/>
      <c r="B50" s="30" t="n"/>
      <c r="C50" s="30" t="n"/>
      <c r="D50" s="40" t="n"/>
      <c r="E50" s="5" t="n"/>
      <c r="F50" s="5" t="n"/>
      <c r="G50" s="30" t="n"/>
      <c r="H50" s="5" t="n"/>
      <c r="I50" s="5" t="n"/>
      <c r="J50" s="5" t="n"/>
      <c r="K50" s="5" t="n"/>
      <c r="L50" s="5" t="n"/>
      <c r="M50" s="5" t="n"/>
      <c r="N50" s="40" t="n"/>
    </row>
    <row r="51" ht="22" customHeight="1">
      <c r="A51" s="9" t="n"/>
      <c r="B51" s="31" t="n"/>
      <c r="C51" s="31" t="n"/>
      <c r="D51" s="41" t="n"/>
      <c r="E51" s="9" t="n"/>
      <c r="F51" s="9" t="n"/>
      <c r="G51" s="31" t="n"/>
      <c r="H51" s="9" t="n"/>
      <c r="I51" s="9" t="n"/>
      <c r="J51" s="9" t="n"/>
      <c r="K51" s="9" t="n"/>
      <c r="L51" s="9" t="n"/>
      <c r="M51" s="9" t="n"/>
      <c r="N51" s="41" t="n"/>
    </row>
    <row r="52" ht="22" customHeight="1">
      <c r="A52" s="5" t="n"/>
      <c r="B52" s="30" t="n"/>
      <c r="C52" s="30" t="n"/>
      <c r="D52" s="40" t="n"/>
      <c r="E52" s="5" t="n"/>
      <c r="F52" s="5" t="n"/>
      <c r="G52" s="30" t="n"/>
      <c r="H52" s="5" t="n"/>
      <c r="I52" s="5" t="n"/>
      <c r="J52" s="5" t="n"/>
      <c r="K52" s="5" t="n"/>
      <c r="L52" s="5" t="n"/>
      <c r="M52" s="5" t="n"/>
      <c r="N52" s="40" t="n"/>
    </row>
    <row r="53" ht="22" customHeight="1">
      <c r="A53" s="9" t="n"/>
      <c r="B53" s="31" t="n"/>
      <c r="C53" s="31" t="n"/>
      <c r="D53" s="41" t="n"/>
      <c r="E53" s="9" t="n"/>
      <c r="F53" s="9" t="n"/>
      <c r="G53" s="31" t="n"/>
      <c r="H53" s="9" t="n"/>
      <c r="I53" s="9" t="n"/>
      <c r="J53" s="9" t="n"/>
      <c r="K53" s="9" t="n"/>
      <c r="L53" s="9" t="n"/>
      <c r="M53" s="9" t="n"/>
      <c r="N53" s="41" t="n"/>
    </row>
    <row r="54" ht="22" customHeight="1">
      <c r="A54" s="5" t="n"/>
      <c r="B54" s="30" t="n"/>
      <c r="C54" s="30" t="n"/>
      <c r="D54" s="40" t="n"/>
      <c r="E54" s="5" t="n"/>
      <c r="F54" s="5" t="n"/>
      <c r="G54" s="30" t="n"/>
      <c r="H54" s="5" t="n"/>
      <c r="I54" s="5" t="n"/>
      <c r="J54" s="5" t="n"/>
      <c r="K54" s="5" t="n"/>
      <c r="L54" s="5" t="n"/>
      <c r="M54" s="5" t="n"/>
      <c r="N54" s="40" t="n"/>
    </row>
    <row r="55" ht="22" customHeight="1">
      <c r="A55" s="9" t="n"/>
      <c r="B55" s="31" t="n"/>
      <c r="C55" s="31" t="n"/>
      <c r="D55" s="41" t="n"/>
      <c r="E55" s="9" t="n"/>
      <c r="F55" s="9" t="n"/>
      <c r="G55" s="31" t="n"/>
      <c r="H55" s="9" t="n"/>
      <c r="I55" s="9" t="n"/>
      <c r="J55" s="9" t="n"/>
      <c r="K55" s="9" t="n"/>
      <c r="L55" s="9" t="n"/>
      <c r="M55" s="9" t="n"/>
      <c r="N55" s="41" t="n"/>
    </row>
    <row r="56" ht="22" customHeight="1">
      <c r="A56" s="5" t="n"/>
      <c r="B56" s="30" t="n"/>
      <c r="C56" s="30" t="n"/>
      <c r="D56" s="40" t="n"/>
      <c r="E56" s="5" t="n"/>
      <c r="F56" s="5" t="n"/>
      <c r="G56" s="30" t="n"/>
      <c r="H56" s="5" t="n"/>
      <c r="I56" s="5" t="n"/>
      <c r="J56" s="5" t="n"/>
      <c r="K56" s="5" t="n"/>
      <c r="L56" s="5" t="n"/>
      <c r="M56" s="5" t="n"/>
      <c r="N56" s="40" t="n"/>
    </row>
    <row r="57" ht="22" customHeight="1">
      <c r="A57" s="9" t="n"/>
      <c r="B57" s="31" t="n"/>
      <c r="C57" s="31" t="n"/>
      <c r="D57" s="41" t="n"/>
      <c r="E57" s="9" t="n"/>
      <c r="F57" s="9" t="n"/>
      <c r="G57" s="31" t="n"/>
      <c r="H57" s="9" t="n"/>
      <c r="I57" s="9" t="n"/>
      <c r="J57" s="9" t="n"/>
      <c r="K57" s="9" t="n"/>
      <c r="L57" s="9" t="n"/>
      <c r="M57" s="9" t="n"/>
      <c r="N57" s="41" t="n"/>
    </row>
    <row r="58" ht="22" customHeight="1">
      <c r="A58" s="5" t="n"/>
      <c r="B58" s="30" t="n"/>
      <c r="C58" s="30" t="n"/>
      <c r="D58" s="40" t="n"/>
      <c r="E58" s="5" t="n"/>
      <c r="F58" s="5" t="n"/>
      <c r="G58" s="30" t="n"/>
      <c r="H58" s="5" t="n"/>
      <c r="I58" s="5" t="n"/>
      <c r="J58" s="5" t="n"/>
      <c r="K58" s="5" t="n"/>
      <c r="L58" s="5" t="n"/>
      <c r="M58" s="5" t="n"/>
      <c r="N58" s="40" t="n"/>
    </row>
    <row r="59" ht="22" customHeight="1">
      <c r="A59" s="9" t="n"/>
      <c r="B59" s="31" t="n"/>
      <c r="C59" s="31" t="n"/>
      <c r="D59" s="41" t="n"/>
      <c r="E59" s="9" t="n"/>
      <c r="F59" s="9" t="n"/>
      <c r="G59" s="31" t="n"/>
      <c r="H59" s="9" t="n"/>
      <c r="I59" s="9" t="n"/>
      <c r="J59" s="9" t="n"/>
      <c r="K59" s="9" t="n"/>
      <c r="L59" s="9" t="n"/>
      <c r="M59" s="9" t="n"/>
      <c r="N59" s="41" t="n"/>
    </row>
    <row r="60" ht="22" customHeight="1">
      <c r="A60" s="5" t="n"/>
      <c r="B60" s="30" t="n"/>
      <c r="C60" s="30" t="n"/>
      <c r="D60" s="40" t="n"/>
      <c r="E60" s="5" t="n"/>
      <c r="F60" s="5" t="n"/>
      <c r="G60" s="30" t="n"/>
      <c r="H60" s="5" t="n"/>
      <c r="I60" s="5" t="n"/>
      <c r="J60" s="5" t="n"/>
      <c r="K60" s="5" t="n"/>
      <c r="L60" s="5" t="n"/>
      <c r="M60" s="5" t="n"/>
      <c r="N60" s="40" t="n"/>
    </row>
    <row r="61" ht="22" customHeight="1">
      <c r="A61" s="9" t="n"/>
      <c r="B61" s="31" t="n"/>
      <c r="C61" s="31" t="n"/>
      <c r="D61" s="41" t="n"/>
      <c r="E61" s="9" t="n"/>
      <c r="F61" s="9" t="n"/>
      <c r="G61" s="31" t="n"/>
      <c r="H61" s="9" t="n"/>
      <c r="I61" s="9" t="n"/>
      <c r="J61" s="9" t="n"/>
      <c r="K61" s="9" t="n"/>
      <c r="L61" s="9" t="n"/>
      <c r="M61" s="9" t="n"/>
      <c r="N61" s="41" t="n"/>
    </row>
    <row r="62" ht="22" customHeight="1">
      <c r="A62" s="5" t="n"/>
      <c r="B62" s="30" t="n"/>
      <c r="C62" s="30" t="n"/>
      <c r="D62" s="40" t="n"/>
      <c r="E62" s="5" t="n"/>
      <c r="F62" s="5" t="n"/>
      <c r="G62" s="30" t="n"/>
      <c r="H62" s="5" t="n"/>
      <c r="I62" s="5" t="n"/>
      <c r="J62" s="5" t="n"/>
      <c r="K62" s="5" t="n"/>
      <c r="L62" s="5" t="n"/>
      <c r="M62" s="5" t="n"/>
      <c r="N62" s="40" t="n"/>
    </row>
    <row r="63" ht="22" customHeight="1">
      <c r="A63" s="9" t="n"/>
      <c r="B63" s="31" t="n"/>
      <c r="C63" s="31" t="n"/>
      <c r="D63" s="41" t="n"/>
      <c r="E63" s="9" t="n"/>
      <c r="F63" s="9" t="n"/>
      <c r="G63" s="31" t="n"/>
      <c r="H63" s="9" t="n"/>
      <c r="I63" s="9" t="n"/>
      <c r="J63" s="9" t="n"/>
      <c r="K63" s="9" t="n"/>
      <c r="L63" s="9" t="n"/>
      <c r="M63" s="9" t="n"/>
      <c r="N63" s="41" t="n"/>
    </row>
    <row r="64" ht="22" customHeight="1">
      <c r="A64" s="5" t="n"/>
      <c r="B64" s="30" t="n"/>
      <c r="C64" s="30" t="n"/>
      <c r="D64" s="40" t="n"/>
      <c r="E64" s="5" t="n"/>
      <c r="F64" s="5" t="n"/>
      <c r="G64" s="30" t="n"/>
      <c r="H64" s="5" t="n"/>
      <c r="I64" s="5" t="n"/>
      <c r="J64" s="5" t="n"/>
      <c r="K64" s="5" t="n"/>
      <c r="L64" s="5" t="n"/>
      <c r="M64" s="5" t="n"/>
      <c r="N64" s="40" t="n"/>
    </row>
    <row r="65" ht="22" customHeight="1">
      <c r="A65" s="9" t="n"/>
      <c r="B65" s="31" t="n"/>
      <c r="C65" s="31" t="n"/>
      <c r="D65" s="41" t="n"/>
      <c r="E65" s="9" t="n"/>
      <c r="F65" s="9" t="n"/>
      <c r="G65" s="31" t="n"/>
      <c r="H65" s="9" t="n"/>
      <c r="I65" s="9" t="n"/>
      <c r="J65" s="9" t="n"/>
      <c r="K65" s="9" t="n"/>
      <c r="L65" s="9" t="n"/>
      <c r="M65" s="9" t="n"/>
      <c r="N65" s="41" t="n"/>
    </row>
    <row r="66" ht="22" customHeight="1">
      <c r="A66" s="5" t="n"/>
      <c r="B66" s="30" t="n"/>
      <c r="C66" s="30" t="n"/>
      <c r="D66" s="40" t="n"/>
      <c r="E66" s="5" t="n"/>
      <c r="F66" s="5" t="n"/>
      <c r="G66" s="30" t="n"/>
      <c r="H66" s="5" t="n"/>
      <c r="I66" s="5" t="n"/>
      <c r="J66" s="5" t="n"/>
      <c r="K66" s="5" t="n"/>
      <c r="L66" s="5" t="n"/>
      <c r="M66" s="5" t="n"/>
      <c r="N66" s="40" t="n"/>
    </row>
    <row r="67" ht="22" customHeight="1">
      <c r="A67" s="9" t="n"/>
      <c r="B67" s="31" t="n"/>
      <c r="C67" s="31" t="n"/>
      <c r="D67" s="41" t="n"/>
      <c r="E67" s="9" t="n"/>
      <c r="F67" s="9" t="n"/>
      <c r="G67" s="31" t="n"/>
      <c r="H67" s="9" t="n"/>
      <c r="I67" s="9" t="n"/>
      <c r="J67" s="9" t="n"/>
      <c r="K67" s="9" t="n"/>
      <c r="L67" s="9" t="n"/>
      <c r="M67" s="9" t="n"/>
      <c r="N67" s="41" t="n"/>
    </row>
    <row r="68" ht="22" customHeight="1">
      <c r="A68" s="5" t="n"/>
      <c r="B68" s="30" t="n"/>
      <c r="C68" s="30" t="n"/>
      <c r="D68" s="40" t="n"/>
      <c r="E68" s="5" t="n"/>
      <c r="F68" s="5" t="n"/>
      <c r="G68" s="30" t="n"/>
      <c r="H68" s="5" t="n"/>
      <c r="I68" s="5" t="n"/>
      <c r="J68" s="5" t="n"/>
      <c r="K68" s="5" t="n"/>
      <c r="L68" s="5" t="n"/>
      <c r="M68" s="5" t="n"/>
      <c r="N68" s="40" t="n"/>
    </row>
    <row r="69" ht="22" customHeight="1">
      <c r="A69" s="9" t="n"/>
      <c r="B69" s="31" t="n"/>
      <c r="C69" s="31" t="n"/>
      <c r="D69" s="41" t="n"/>
      <c r="E69" s="9" t="n"/>
      <c r="F69" s="9" t="n"/>
      <c r="G69" s="31" t="n"/>
      <c r="H69" s="9" t="n"/>
      <c r="I69" s="9" t="n"/>
      <c r="J69" s="9" t="n"/>
      <c r="K69" s="9" t="n"/>
      <c r="L69" s="9" t="n"/>
      <c r="M69" s="9" t="n"/>
      <c r="N69" s="41" t="n"/>
    </row>
    <row r="70" ht="22" customHeight="1">
      <c r="A70" s="5" t="n"/>
      <c r="B70" s="30" t="n"/>
      <c r="C70" s="30" t="n"/>
      <c r="D70" s="40" t="n"/>
      <c r="E70" s="5" t="n"/>
      <c r="F70" s="5" t="n"/>
      <c r="G70" s="30" t="n"/>
      <c r="H70" s="5" t="n"/>
      <c r="I70" s="5" t="n"/>
      <c r="J70" s="5" t="n"/>
      <c r="K70" s="5" t="n"/>
      <c r="L70" s="5" t="n"/>
      <c r="M70" s="5" t="n"/>
      <c r="N70" s="40" t="n"/>
    </row>
    <row r="71" ht="22" customHeight="1">
      <c r="A71" s="9" t="n"/>
      <c r="B71" s="31" t="n"/>
      <c r="C71" s="31" t="n"/>
      <c r="D71" s="41" t="n"/>
      <c r="E71" s="9" t="n"/>
      <c r="F71" s="9" t="n"/>
      <c r="G71" s="31" t="n"/>
      <c r="H71" s="9" t="n"/>
      <c r="I71" s="9" t="n"/>
      <c r="J71" s="9" t="n"/>
      <c r="K71" s="9" t="n"/>
      <c r="L71" s="9" t="n"/>
      <c r="M71" s="9" t="n"/>
      <c r="N71" s="41" t="n"/>
    </row>
    <row r="72" ht="22" customHeight="1">
      <c r="A72" s="5" t="n"/>
      <c r="B72" s="30" t="n"/>
      <c r="C72" s="30" t="n"/>
      <c r="D72" s="40" t="n"/>
      <c r="E72" s="5" t="n"/>
      <c r="F72" s="5" t="n"/>
      <c r="G72" s="30" t="n"/>
      <c r="H72" s="5" t="n"/>
      <c r="I72" s="5" t="n"/>
      <c r="J72" s="5" t="n"/>
      <c r="K72" s="5" t="n"/>
      <c r="L72" s="5" t="n"/>
      <c r="M72" s="5" t="n"/>
      <c r="N72" s="40" t="n"/>
    </row>
    <row r="73" ht="22" customHeight="1">
      <c r="A73" s="9" t="n"/>
      <c r="B73" s="31" t="n"/>
      <c r="C73" s="31" t="n"/>
      <c r="D73" s="41" t="n"/>
      <c r="E73" s="9" t="n"/>
      <c r="F73" s="9" t="n"/>
      <c r="G73" s="31" t="n"/>
      <c r="H73" s="9" t="n"/>
      <c r="I73" s="9" t="n"/>
      <c r="J73" s="9" t="n"/>
      <c r="K73" s="9" t="n"/>
      <c r="L73" s="9" t="n"/>
      <c r="M73" s="9" t="n"/>
      <c r="N73" s="41" t="n"/>
    </row>
    <row r="74" ht="22" customHeight="1">
      <c r="A74" s="5" t="n"/>
      <c r="B74" s="30" t="n"/>
      <c r="C74" s="30" t="n"/>
      <c r="D74" s="40" t="n"/>
      <c r="E74" s="5" t="n"/>
      <c r="F74" s="5" t="n"/>
      <c r="G74" s="30" t="n"/>
      <c r="H74" s="5" t="n"/>
      <c r="I74" s="5" t="n"/>
      <c r="J74" s="5" t="n"/>
      <c r="K74" s="5" t="n"/>
      <c r="L74" s="5" t="n"/>
      <c r="M74" s="5" t="n"/>
      <c r="N74" s="40" t="n"/>
    </row>
    <row r="75" ht="22" customHeight="1">
      <c r="A75" s="9" t="n"/>
      <c r="B75" s="31" t="n"/>
      <c r="C75" s="31" t="n"/>
      <c r="D75" s="41" t="n"/>
      <c r="E75" s="9" t="n"/>
      <c r="F75" s="9" t="n"/>
      <c r="G75" s="31" t="n"/>
      <c r="H75" s="9" t="n"/>
      <c r="I75" s="9" t="n"/>
      <c r="J75" s="9" t="n"/>
      <c r="K75" s="9" t="n"/>
      <c r="L75" s="9" t="n"/>
      <c r="M75" s="9" t="n"/>
      <c r="N75" s="41" t="n"/>
    </row>
    <row r="76" ht="22" customHeight="1">
      <c r="A76" s="5" t="n"/>
      <c r="B76" s="30" t="n"/>
      <c r="C76" s="30" t="n"/>
      <c r="D76" s="40" t="n"/>
      <c r="E76" s="5" t="n"/>
      <c r="F76" s="5" t="n"/>
      <c r="G76" s="30" t="n"/>
      <c r="H76" s="5" t="n"/>
      <c r="I76" s="5" t="n"/>
      <c r="J76" s="5" t="n"/>
      <c r="K76" s="5" t="n"/>
      <c r="L76" s="5" t="n"/>
      <c r="M76" s="5" t="n"/>
      <c r="N76" s="40" t="n"/>
    </row>
    <row r="77" ht="22" customHeight="1">
      <c r="A77" s="9" t="n"/>
      <c r="B77" s="31" t="n"/>
      <c r="C77" s="31" t="n"/>
      <c r="D77" s="41" t="n"/>
      <c r="E77" s="9" t="n"/>
      <c r="F77" s="9" t="n"/>
      <c r="G77" s="31" t="n"/>
      <c r="H77" s="9" t="n"/>
      <c r="I77" s="9" t="n"/>
      <c r="J77" s="9" t="n"/>
      <c r="K77" s="9" t="n"/>
      <c r="L77" s="9" t="n"/>
      <c r="M77" s="9" t="n"/>
      <c r="N77" s="41" t="n"/>
    </row>
    <row r="78" ht="22" customHeight="1">
      <c r="A78" s="5" t="n"/>
      <c r="B78" s="30" t="n"/>
      <c r="C78" s="30" t="n"/>
      <c r="D78" s="40" t="n"/>
      <c r="E78" s="5" t="n"/>
      <c r="F78" s="5" t="n"/>
      <c r="G78" s="30" t="n"/>
      <c r="H78" s="5" t="n"/>
      <c r="I78" s="5" t="n"/>
      <c r="J78" s="5" t="n"/>
      <c r="K78" s="5" t="n"/>
      <c r="L78" s="5" t="n"/>
      <c r="M78" s="5" t="n"/>
      <c r="N78" s="40" t="n"/>
    </row>
    <row r="79" ht="22" customHeight="1">
      <c r="A79" s="9" t="n"/>
      <c r="B79" s="31" t="n"/>
      <c r="C79" s="31" t="n"/>
      <c r="D79" s="41" t="n"/>
      <c r="E79" s="9" t="n"/>
      <c r="F79" s="9" t="n"/>
      <c r="G79" s="31" t="n"/>
      <c r="H79" s="9" t="n"/>
      <c r="I79" s="9" t="n"/>
      <c r="J79" s="9" t="n"/>
      <c r="K79" s="9" t="n"/>
      <c r="L79" s="9" t="n"/>
      <c r="M79" s="9" t="n"/>
      <c r="N79" s="41" t="n"/>
    </row>
    <row r="80" ht="22" customHeight="1">
      <c r="A80" s="5" t="n"/>
      <c r="B80" s="30" t="n"/>
      <c r="C80" s="30" t="n"/>
      <c r="D80" s="40" t="n"/>
      <c r="E80" s="5" t="n"/>
      <c r="F80" s="5" t="n"/>
      <c r="G80" s="30" t="n"/>
      <c r="H80" s="5" t="n"/>
      <c r="I80" s="5" t="n"/>
      <c r="J80" s="5" t="n"/>
      <c r="K80" s="5" t="n"/>
      <c r="L80" s="5" t="n"/>
      <c r="M80" s="5" t="n"/>
      <c r="N80" s="40" t="n"/>
    </row>
    <row r="81" ht="22" customHeight="1">
      <c r="A81" s="9" t="n"/>
      <c r="B81" s="31" t="n"/>
      <c r="C81" s="31" t="n"/>
      <c r="D81" s="41" t="n"/>
      <c r="E81" s="9" t="n"/>
      <c r="F81" s="9" t="n"/>
      <c r="G81" s="31" t="n"/>
      <c r="H81" s="9" t="n"/>
      <c r="I81" s="9" t="n"/>
      <c r="J81" s="9" t="n"/>
      <c r="K81" s="9" t="n"/>
      <c r="L81" s="9" t="n"/>
      <c r="M81" s="9" t="n"/>
      <c r="N81" s="41" t="n"/>
    </row>
    <row r="82" ht="22" customHeight="1">
      <c r="A82" s="5" t="n"/>
      <c r="B82" s="30" t="n"/>
      <c r="C82" s="30" t="n"/>
      <c r="D82" s="40" t="n"/>
      <c r="E82" s="5" t="n"/>
      <c r="F82" s="5" t="n"/>
      <c r="G82" s="30" t="n"/>
      <c r="H82" s="5" t="n"/>
      <c r="I82" s="5" t="n"/>
      <c r="J82" s="5" t="n"/>
      <c r="K82" s="5" t="n"/>
      <c r="L82" s="5" t="n"/>
      <c r="M82" s="5" t="n"/>
      <c r="N82" s="40" t="n"/>
    </row>
    <row r="83" ht="22" customHeight="1">
      <c r="A83" s="9" t="n"/>
      <c r="B83" s="31" t="n"/>
      <c r="C83" s="31" t="n"/>
      <c r="D83" s="41" t="n"/>
      <c r="E83" s="9" t="n"/>
      <c r="F83" s="9" t="n"/>
      <c r="G83" s="31" t="n"/>
      <c r="H83" s="9" t="n"/>
      <c r="I83" s="9" t="n"/>
      <c r="J83" s="9" t="n"/>
      <c r="K83" s="9" t="n"/>
      <c r="L83" s="9" t="n"/>
      <c r="M83" s="9" t="n"/>
      <c r="N83" s="41" t="n"/>
    </row>
    <row r="84" ht="22" customHeight="1">
      <c r="A84" s="5" t="n"/>
      <c r="B84" s="30" t="n"/>
      <c r="C84" s="30" t="n"/>
      <c r="D84" s="40" t="n"/>
      <c r="E84" s="5" t="n"/>
      <c r="F84" s="5" t="n"/>
      <c r="G84" s="30" t="n"/>
      <c r="H84" s="5" t="n"/>
      <c r="I84" s="5" t="n"/>
      <c r="J84" s="5" t="n"/>
      <c r="K84" s="5" t="n"/>
      <c r="L84" s="5" t="n"/>
      <c r="M84" s="5" t="n"/>
      <c r="N84" s="40" t="n"/>
    </row>
    <row r="85" ht="22" customHeight="1">
      <c r="A85" s="9" t="n"/>
      <c r="B85" s="31" t="n"/>
      <c r="C85" s="31" t="n"/>
      <c r="D85" s="41" t="n"/>
      <c r="E85" s="9" t="n"/>
      <c r="F85" s="9" t="n"/>
      <c r="G85" s="31" t="n"/>
      <c r="H85" s="9" t="n"/>
      <c r="I85" s="9" t="n"/>
      <c r="J85" s="9" t="n"/>
      <c r="K85" s="9" t="n"/>
      <c r="L85" s="9" t="n"/>
      <c r="M85" s="9" t="n"/>
      <c r="N85" s="41" t="n"/>
    </row>
    <row r="86" ht="22" customHeight="1">
      <c r="A86" s="5" t="n"/>
      <c r="B86" s="30" t="n"/>
      <c r="C86" s="30" t="n"/>
      <c r="D86" s="40" t="n"/>
      <c r="E86" s="5" t="n"/>
      <c r="F86" s="5" t="n"/>
      <c r="G86" s="30" t="n"/>
      <c r="H86" s="5" t="n"/>
      <c r="I86" s="5" t="n"/>
      <c r="J86" s="5" t="n"/>
      <c r="K86" s="5" t="n"/>
      <c r="L86" s="5" t="n"/>
      <c r="M86" s="5" t="n"/>
      <c r="N86" s="40" t="n"/>
    </row>
    <row r="87" ht="22" customHeight="1">
      <c r="A87" s="9" t="n"/>
      <c r="B87" s="31" t="n"/>
      <c r="C87" s="31" t="n"/>
      <c r="D87" s="41" t="n"/>
      <c r="E87" s="9" t="n"/>
      <c r="F87" s="9" t="n"/>
      <c r="G87" s="31" t="n"/>
      <c r="H87" s="9" t="n"/>
      <c r="I87" s="9" t="n"/>
      <c r="J87" s="9" t="n"/>
      <c r="K87" s="9" t="n"/>
      <c r="L87" s="9" t="n"/>
      <c r="M87" s="9" t="n"/>
      <c r="N87" s="41" t="n"/>
    </row>
    <row r="88" ht="22" customHeight="1">
      <c r="A88" s="5" t="n"/>
      <c r="B88" s="30" t="n"/>
      <c r="C88" s="30" t="n"/>
      <c r="D88" s="40" t="n"/>
      <c r="E88" s="5" t="n"/>
      <c r="F88" s="5" t="n"/>
      <c r="G88" s="30" t="n"/>
      <c r="H88" s="5" t="n"/>
      <c r="I88" s="5" t="n"/>
      <c r="J88" s="5" t="n"/>
      <c r="K88" s="5" t="n"/>
      <c r="L88" s="5" t="n"/>
      <c r="M88" s="5" t="n"/>
      <c r="N88" s="40" t="n"/>
    </row>
    <row r="89" ht="22" customHeight="1">
      <c r="A89" s="9" t="n"/>
      <c r="B89" s="31" t="n"/>
      <c r="C89" s="31" t="n"/>
      <c r="D89" s="41" t="n"/>
      <c r="E89" s="9" t="n"/>
      <c r="F89" s="9" t="n"/>
      <c r="G89" s="31" t="n"/>
      <c r="H89" s="9" t="n"/>
      <c r="I89" s="9" t="n"/>
      <c r="J89" s="9" t="n"/>
      <c r="K89" s="9" t="n"/>
      <c r="L89" s="9" t="n"/>
      <c r="M89" s="9" t="n"/>
      <c r="N89" s="41" t="n"/>
    </row>
    <row r="90" ht="22" customHeight="1">
      <c r="A90" s="5" t="n"/>
      <c r="B90" s="30" t="n"/>
      <c r="C90" s="30" t="n"/>
      <c r="D90" s="40" t="n"/>
      <c r="E90" s="5" t="n"/>
      <c r="F90" s="5" t="n"/>
      <c r="G90" s="30" t="n"/>
      <c r="H90" s="5" t="n"/>
      <c r="I90" s="5" t="n"/>
      <c r="J90" s="5" t="n"/>
      <c r="K90" s="5" t="n"/>
      <c r="L90" s="5" t="n"/>
      <c r="M90" s="5" t="n"/>
      <c r="N90" s="40" t="n"/>
    </row>
    <row r="91" ht="22" customHeight="1">
      <c r="A91" s="9" t="n"/>
      <c r="B91" s="31" t="n"/>
      <c r="C91" s="31" t="n"/>
      <c r="D91" s="41" t="n"/>
      <c r="E91" s="9" t="n"/>
      <c r="F91" s="9" t="n"/>
      <c r="G91" s="31" t="n"/>
      <c r="H91" s="9" t="n"/>
      <c r="I91" s="9" t="n"/>
      <c r="J91" s="9" t="n"/>
      <c r="K91" s="9" t="n"/>
      <c r="L91" s="9" t="n"/>
      <c r="M91" s="9" t="n"/>
      <c r="N91" s="41" t="n"/>
    </row>
    <row r="92" ht="22" customHeight="1">
      <c r="A92" s="5" t="n"/>
      <c r="B92" s="30" t="n"/>
      <c r="C92" s="30" t="n"/>
      <c r="D92" s="40" t="n"/>
      <c r="E92" s="5" t="n"/>
      <c r="F92" s="5" t="n"/>
      <c r="G92" s="30" t="n"/>
      <c r="H92" s="5" t="n"/>
      <c r="I92" s="5" t="n"/>
      <c r="J92" s="5" t="n"/>
      <c r="K92" s="5" t="n"/>
      <c r="L92" s="5" t="n"/>
      <c r="M92" s="5" t="n"/>
      <c r="N92" s="40" t="n"/>
    </row>
    <row r="93" ht="22" customHeight="1">
      <c r="A93" s="9" t="n"/>
      <c r="B93" s="31" t="n"/>
      <c r="C93" s="31" t="n"/>
      <c r="D93" s="41" t="n"/>
      <c r="E93" s="9" t="n"/>
      <c r="F93" s="9" t="n"/>
      <c r="G93" s="31" t="n"/>
      <c r="H93" s="9" t="n"/>
      <c r="I93" s="9" t="n"/>
      <c r="J93" s="9" t="n"/>
      <c r="K93" s="9" t="n"/>
      <c r="L93" s="9" t="n"/>
      <c r="M93" s="9" t="n"/>
      <c r="N93" s="41" t="n"/>
    </row>
    <row r="94" ht="22" customHeight="1">
      <c r="A94" s="5" t="n"/>
      <c r="B94" s="30" t="n"/>
      <c r="C94" s="30" t="n"/>
      <c r="D94" s="40" t="n"/>
      <c r="E94" s="5" t="n"/>
      <c r="F94" s="5" t="n"/>
      <c r="G94" s="30" t="n"/>
      <c r="H94" s="5" t="n"/>
      <c r="I94" s="5" t="n"/>
      <c r="J94" s="5" t="n"/>
      <c r="K94" s="5" t="n"/>
      <c r="L94" s="5" t="n"/>
      <c r="M94" s="5" t="n"/>
      <c r="N94" s="40" t="n"/>
    </row>
    <row r="95" ht="22" customHeight="1">
      <c r="A95" s="9" t="n"/>
      <c r="B95" s="31" t="n"/>
      <c r="C95" s="31" t="n"/>
      <c r="D95" s="41" t="n"/>
      <c r="E95" s="9" t="n"/>
      <c r="F95" s="9" t="n"/>
      <c r="G95" s="31" t="n"/>
      <c r="H95" s="9" t="n"/>
      <c r="I95" s="9" t="n"/>
      <c r="J95" s="9" t="n"/>
      <c r="K95" s="9" t="n"/>
      <c r="L95" s="9" t="n"/>
      <c r="M95" s="9" t="n"/>
      <c r="N95" s="41" t="n"/>
    </row>
    <row r="96" ht="22" customHeight="1">
      <c r="A96" s="5" t="n"/>
      <c r="B96" s="30" t="n"/>
      <c r="C96" s="30" t="n"/>
      <c r="D96" s="40" t="n"/>
      <c r="E96" s="5" t="n"/>
      <c r="F96" s="5" t="n"/>
      <c r="G96" s="30" t="n"/>
      <c r="H96" s="5" t="n"/>
      <c r="I96" s="5" t="n"/>
      <c r="J96" s="5" t="n"/>
      <c r="K96" s="5" t="n"/>
      <c r="L96" s="5" t="n"/>
      <c r="M96" s="5" t="n"/>
      <c r="N96" s="40" t="n"/>
    </row>
    <row r="97" ht="22" customHeight="1">
      <c r="A97" s="9" t="n"/>
      <c r="B97" s="31" t="n"/>
      <c r="C97" s="31" t="n"/>
      <c r="D97" s="41" t="n"/>
      <c r="E97" s="9" t="n"/>
      <c r="F97" s="9" t="n"/>
      <c r="G97" s="31" t="n"/>
      <c r="H97" s="9" t="n"/>
      <c r="I97" s="9" t="n"/>
      <c r="J97" s="9" t="n"/>
      <c r="K97" s="9" t="n"/>
      <c r="L97" s="9" t="n"/>
      <c r="M97" s="9" t="n"/>
      <c r="N97" s="41" t="n"/>
    </row>
    <row r="98" ht="22" customHeight="1">
      <c r="A98" s="5" t="n"/>
      <c r="B98" s="30" t="n"/>
      <c r="C98" s="30" t="n"/>
      <c r="D98" s="40" t="n"/>
      <c r="E98" s="5" t="n"/>
      <c r="F98" s="5" t="n"/>
      <c r="G98" s="30" t="n"/>
      <c r="H98" s="5" t="n"/>
      <c r="I98" s="5" t="n"/>
      <c r="J98" s="5" t="n"/>
      <c r="K98" s="5" t="n"/>
      <c r="L98" s="5" t="n"/>
      <c r="M98" s="5" t="n"/>
      <c r="N98" s="40" t="n"/>
    </row>
    <row r="99" ht="22" customHeight="1">
      <c r="A99" s="9" t="n"/>
      <c r="B99" s="31" t="n"/>
      <c r="C99" s="31" t="n"/>
      <c r="D99" s="41" t="n"/>
      <c r="E99" s="9" t="n"/>
      <c r="F99" s="9" t="n"/>
      <c r="G99" s="31" t="n"/>
      <c r="H99" s="9" t="n"/>
      <c r="I99" s="9" t="n"/>
      <c r="J99" s="9" t="n"/>
      <c r="K99" s="9" t="n"/>
      <c r="L99" s="9" t="n"/>
      <c r="M99" s="9" t="n"/>
      <c r="N99" s="41" t="n"/>
    </row>
    <row r="100" ht="22" customHeight="1">
      <c r="A100" s="5" t="n"/>
      <c r="B100" s="30" t="n"/>
      <c r="C100" s="30" t="n"/>
      <c r="D100" s="40" t="n"/>
      <c r="E100" s="5" t="n"/>
      <c r="F100" s="5" t="n"/>
      <c r="G100" s="30" t="n"/>
      <c r="H100" s="5" t="n"/>
      <c r="I100" s="5" t="n"/>
      <c r="J100" s="5" t="n"/>
      <c r="K100" s="5" t="n"/>
      <c r="L100" s="5" t="n"/>
      <c r="M100" s="5" t="n"/>
      <c r="N100" s="40" t="n"/>
    </row>
    <row r="101" ht="22" customHeight="1">
      <c r="A101" s="9" t="n"/>
      <c r="B101" s="31" t="n"/>
      <c r="C101" s="31" t="n"/>
      <c r="D101" s="41" t="n"/>
      <c r="E101" s="9" t="n"/>
      <c r="F101" s="9" t="n"/>
      <c r="G101" s="31" t="n"/>
      <c r="H101" s="9" t="n"/>
      <c r="I101" s="9" t="n"/>
      <c r="J101" s="9" t="n"/>
      <c r="K101" s="9" t="n"/>
      <c r="L101" s="9" t="n"/>
      <c r="M101" s="9" t="n"/>
      <c r="N101" s="41" t="n"/>
    </row>
    <row r="102" ht="22" customHeight="1">
      <c r="A102" s="5" t="n"/>
      <c r="B102" s="30" t="n"/>
      <c r="C102" s="30" t="n"/>
      <c r="D102" s="40" t="n"/>
      <c r="E102" s="5" t="n"/>
      <c r="F102" s="5" t="n"/>
      <c r="G102" s="30" t="n"/>
      <c r="H102" s="5" t="n"/>
      <c r="I102" s="5" t="n"/>
      <c r="J102" s="5" t="n"/>
      <c r="K102" s="5" t="n"/>
      <c r="L102" s="5" t="n"/>
      <c r="M102" s="5" t="n"/>
      <c r="N102" s="40" t="n"/>
    </row>
    <row r="103" ht="22" customHeight="1">
      <c r="A103" s="9" t="n"/>
      <c r="B103" s="31" t="n"/>
      <c r="C103" s="31" t="n"/>
      <c r="D103" s="41" t="n"/>
      <c r="E103" s="9" t="n"/>
      <c r="F103" s="9" t="n"/>
      <c r="G103" s="31" t="n"/>
      <c r="H103" s="9" t="n"/>
      <c r="I103" s="9" t="n"/>
      <c r="J103" s="9" t="n"/>
      <c r="K103" s="9" t="n"/>
      <c r="L103" s="9" t="n"/>
      <c r="M103" s="9" t="n"/>
      <c r="N103" s="41" t="n"/>
    </row>
    <row r="104" ht="22" customHeight="1">
      <c r="A104" s="5" t="n"/>
      <c r="B104" s="30" t="n"/>
      <c r="C104" s="30" t="n"/>
      <c r="D104" s="40" t="n"/>
      <c r="E104" s="5" t="n"/>
      <c r="F104" s="5" t="n"/>
      <c r="G104" s="30" t="n"/>
      <c r="H104" s="5" t="n"/>
      <c r="I104" s="5" t="n"/>
      <c r="J104" s="5" t="n"/>
      <c r="K104" s="5" t="n"/>
      <c r="L104" s="5" t="n"/>
      <c r="M104" s="5" t="n"/>
      <c r="N104" s="40" t="n"/>
    </row>
    <row r="105" ht="22" customHeight="1">
      <c r="A105" s="9" t="n"/>
      <c r="B105" s="31" t="n"/>
      <c r="C105" s="31" t="n"/>
      <c r="D105" s="41" t="n"/>
      <c r="E105" s="9" t="n"/>
      <c r="F105" s="9" t="n"/>
      <c r="G105" s="31" t="n"/>
      <c r="H105" s="9" t="n"/>
      <c r="I105" s="9" t="n"/>
      <c r="J105" s="9" t="n"/>
      <c r="K105" s="9" t="n"/>
      <c r="L105" s="9" t="n"/>
      <c r="M105" s="9" t="n"/>
      <c r="N105" s="41" t="n"/>
    </row>
    <row r="106" ht="22" customHeight="1">
      <c r="A106" s="5" t="n"/>
      <c r="B106" s="30" t="n"/>
      <c r="C106" s="30" t="n"/>
      <c r="D106" s="40" t="n"/>
      <c r="E106" s="5" t="n"/>
      <c r="F106" s="5" t="n"/>
      <c r="G106" s="30" t="n"/>
      <c r="H106" s="5" t="n"/>
      <c r="I106" s="5" t="n"/>
      <c r="J106" s="5" t="n"/>
      <c r="K106" s="5" t="n"/>
      <c r="L106" s="5" t="n"/>
      <c r="M106" s="5" t="n"/>
      <c r="N106" s="40" t="n"/>
    </row>
    <row r="107" ht="22" customHeight="1">
      <c r="A107" s="9" t="n"/>
      <c r="B107" s="31" t="n"/>
      <c r="C107" s="31" t="n"/>
      <c r="D107" s="41" t="n"/>
      <c r="E107" s="9" t="n"/>
      <c r="F107" s="9" t="n"/>
      <c r="G107" s="31" t="n"/>
      <c r="H107" s="9" t="n"/>
      <c r="I107" s="9" t="n"/>
      <c r="J107" s="9" t="n"/>
      <c r="K107" s="9" t="n"/>
      <c r="L107" s="9" t="n"/>
      <c r="M107" s="9" t="n"/>
      <c r="N107" s="41" t="n"/>
    </row>
    <row r="108" ht="22" customHeight="1">
      <c r="A108" s="5" t="n"/>
      <c r="B108" s="30" t="n"/>
      <c r="C108" s="30" t="n"/>
      <c r="D108" s="40" t="n"/>
      <c r="E108" s="5" t="n"/>
      <c r="F108" s="5" t="n"/>
      <c r="G108" s="30" t="n"/>
      <c r="H108" s="5" t="n"/>
      <c r="I108" s="5" t="n"/>
      <c r="J108" s="5" t="n"/>
      <c r="K108" s="5" t="n"/>
      <c r="L108" s="5" t="n"/>
      <c r="M108" s="5" t="n"/>
      <c r="N108" s="40" t="n"/>
    </row>
    <row r="109" ht="22" customHeight="1">
      <c r="A109" s="9" t="n"/>
      <c r="B109" s="31" t="n"/>
      <c r="C109" s="31" t="n"/>
      <c r="D109" s="41" t="n"/>
      <c r="E109" s="9" t="n"/>
      <c r="F109" s="9" t="n"/>
      <c r="G109" s="31" t="n"/>
      <c r="H109" s="9" t="n"/>
      <c r="I109" s="9" t="n"/>
      <c r="J109" s="9" t="n"/>
      <c r="K109" s="9" t="n"/>
      <c r="L109" s="9" t="n"/>
      <c r="M109" s="9" t="n"/>
      <c r="N109" s="41" t="n"/>
    </row>
    <row r="110" ht="22" customHeight="1">
      <c r="A110" s="5" t="n"/>
      <c r="B110" s="30" t="n"/>
      <c r="C110" s="30" t="n"/>
      <c r="D110" s="40" t="n"/>
      <c r="E110" s="5" t="n"/>
      <c r="F110" s="5" t="n"/>
      <c r="G110" s="30" t="n"/>
      <c r="H110" s="5" t="n"/>
      <c r="I110" s="5" t="n"/>
      <c r="J110" s="5" t="n"/>
      <c r="K110" s="5" t="n"/>
      <c r="L110" s="5" t="n"/>
      <c r="M110" s="5" t="n"/>
      <c r="N110" s="40" t="n"/>
    </row>
    <row r="111" ht="22" customHeight="1">
      <c r="A111" s="9" t="n"/>
      <c r="B111" s="31" t="n"/>
      <c r="C111" s="31" t="n"/>
      <c r="D111" s="41" t="n"/>
      <c r="E111" s="9" t="n"/>
      <c r="F111" s="9" t="n"/>
      <c r="G111" s="31" t="n"/>
      <c r="H111" s="9" t="n"/>
      <c r="I111" s="9" t="n"/>
      <c r="J111" s="9" t="n"/>
      <c r="K111" s="9" t="n"/>
      <c r="L111" s="9" t="n"/>
      <c r="M111" s="9" t="n"/>
      <c r="N111" s="41" t="n"/>
    </row>
    <row r="112" ht="22" customHeight="1">
      <c r="A112" s="5" t="n"/>
      <c r="B112" s="30" t="n"/>
      <c r="C112" s="30" t="n"/>
      <c r="D112" s="40" t="n"/>
      <c r="E112" s="5" t="n"/>
      <c r="F112" s="5" t="n"/>
      <c r="G112" s="30" t="n"/>
      <c r="H112" s="5" t="n"/>
      <c r="I112" s="5" t="n"/>
      <c r="J112" s="5" t="n"/>
      <c r="K112" s="5" t="n"/>
      <c r="L112" s="5" t="n"/>
      <c r="M112" s="5" t="n"/>
      <c r="N112" s="40" t="n"/>
    </row>
    <row r="113" ht="22" customHeight="1">
      <c r="A113" s="9" t="n"/>
      <c r="B113" s="31" t="n"/>
      <c r="C113" s="31" t="n"/>
      <c r="D113" s="41" t="n"/>
      <c r="E113" s="9" t="n"/>
      <c r="F113" s="9" t="n"/>
      <c r="G113" s="31" t="n"/>
      <c r="H113" s="9" t="n"/>
      <c r="I113" s="9" t="n"/>
      <c r="J113" s="9" t="n"/>
      <c r="K113" s="9" t="n"/>
      <c r="L113" s="9" t="n"/>
      <c r="M113" s="9" t="n"/>
      <c r="N113" s="41" t="n"/>
    </row>
    <row r="114" ht="22" customHeight="1">
      <c r="A114" s="5" t="n"/>
      <c r="B114" s="30" t="n"/>
      <c r="C114" s="30" t="n"/>
      <c r="D114" s="40" t="n"/>
      <c r="E114" s="5" t="n"/>
      <c r="F114" s="5" t="n"/>
      <c r="G114" s="30" t="n"/>
      <c r="H114" s="5" t="n"/>
      <c r="I114" s="5" t="n"/>
      <c r="J114" s="5" t="n"/>
      <c r="K114" s="5" t="n"/>
      <c r="L114" s="5" t="n"/>
      <c r="M114" s="5" t="n"/>
      <c r="N114" s="40" t="n"/>
    </row>
    <row r="115" ht="22" customHeight="1">
      <c r="A115" s="9" t="n"/>
      <c r="B115" s="31" t="n"/>
      <c r="C115" s="31" t="n"/>
      <c r="D115" s="41" t="n"/>
      <c r="E115" s="9" t="n"/>
      <c r="F115" s="9" t="n"/>
      <c r="G115" s="31" t="n"/>
      <c r="H115" s="9" t="n"/>
      <c r="I115" s="9" t="n"/>
      <c r="J115" s="9" t="n"/>
      <c r="K115" s="9" t="n"/>
      <c r="L115" s="9" t="n"/>
      <c r="M115" s="9" t="n"/>
      <c r="N115" s="41" t="n"/>
    </row>
  </sheetData>
  <mergeCells count="2">
    <mergeCell ref="A3:N3"/>
    <mergeCell ref="A2:N2"/>
  </mergeCells>
  <dataValidations count="1">
    <dataValidation sqref="A6:A115" showDropDown="0" showInputMessage="0" showErrorMessage="0" allowBlank="1" errorTitle="Erreur" error="Valeur invalide" promptTitle="" prompt="Choisir: " type="list">
      <formula1>"AV-001,AV-002,AV-003,AV-004,AV-005,AV-006,AV-007,AV-008,AV-009,AV-010,AV-011,AV-012,AV-013,AV-014,AV-015"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28" customWidth="1" min="7" max="7"/>
    <col width="18" customWidth="1" min="8" max="8"/>
    <col width="22" customWidth="1" min="9" max="9"/>
    <col width="20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CALENDRIER DES RENOUVELLEMENTS DE CONTRATS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Fournisseur</t>
        </is>
      </c>
      <c r="B5" s="4" t="inlineStr">
        <is>
          <t>Avantage</t>
        </is>
      </c>
      <c r="C5" s="4" t="inlineStr">
        <is>
          <t>Date fin contrat</t>
        </is>
      </c>
      <c r="D5" s="4" t="inlineStr">
        <is>
          <t>Date alerte (-60j)</t>
        </is>
      </c>
      <c r="E5" s="4" t="inlineStr">
        <is>
          <t>Jours restants</t>
        </is>
      </c>
      <c r="F5" s="4" t="inlineStr">
        <is>
          <t>Statut</t>
        </is>
      </c>
      <c r="G5" s="4" t="inlineStr">
        <is>
          <t>Action requise</t>
        </is>
      </c>
      <c r="H5" s="4" t="inlineStr">
        <is>
          <t>Responsable</t>
        </is>
      </c>
      <c r="I5" s="4" t="inlineStr">
        <is>
          <t>Renouvellement effectué</t>
        </is>
      </c>
      <c r="J5" s="4" t="inlineStr">
        <is>
          <t>Date renouvellement</t>
        </is>
      </c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AXA Assurance</t>
        </is>
      </c>
      <c r="B6" s="5" t="inlineStr">
        <is>
          <t>AV-003</t>
        </is>
      </c>
      <c r="C6" s="40" t="n">
        <v>45838</v>
      </c>
      <c r="D6" s="40">
        <f>C6-60</f>
        <v/>
      </c>
      <c r="E6" s="30">
        <f>IF(C6="","",C6-TODAY())</f>
        <v/>
      </c>
      <c r="F6" s="5">
        <f>IF(E6="","",IF(E6&lt;30,"URGENT",IF(E6&lt;60,"ATTENTION","OK")))</f>
        <v/>
      </c>
      <c r="G6" s="5" t="inlineStr">
        <is>
          <t>Relancer négociation</t>
        </is>
      </c>
      <c r="H6" s="5" t="inlineStr">
        <is>
          <t>M. Koné</t>
        </is>
      </c>
      <c r="I6" s="5" t="inlineStr">
        <is>
          <t>Non</t>
        </is>
      </c>
      <c r="J6" s="40" t="n"/>
      <c r="K6" s="5" t="n"/>
      <c r="L6" s="5" t="n"/>
      <c r="M6" s="5" t="n"/>
      <c r="N6" s="40" t="n">
        <v>45444</v>
      </c>
    </row>
    <row r="7" ht="22" customHeight="1">
      <c r="A7" s="9" t="inlineStr">
        <is>
          <t>Mutuelle Hôteliers CI</t>
        </is>
      </c>
      <c r="B7" s="9" t="inlineStr">
        <is>
          <t>AV-002</t>
        </is>
      </c>
      <c r="C7" s="41" t="n">
        <v>46022</v>
      </c>
      <c r="D7" s="41">
        <f>C7-60</f>
        <v/>
      </c>
      <c r="E7" s="31">
        <f>IF(C7="","",C7-TODAY())</f>
        <v/>
      </c>
      <c r="F7" s="9">
        <f>IF(E7="","",IF(E7&lt;30,"URGENT",IF(E7&lt;60,"ATTENTION","OK")))</f>
        <v/>
      </c>
      <c r="G7" s="9" t="inlineStr">
        <is>
          <t>Préparer appel d'offres</t>
        </is>
      </c>
      <c r="H7" s="9" t="inlineStr">
        <is>
          <t>Mme Touré</t>
        </is>
      </c>
      <c r="I7" s="9" t="inlineStr">
        <is>
          <t>Non</t>
        </is>
      </c>
      <c r="J7" s="41" t="n"/>
      <c r="K7" s="9" t="n"/>
      <c r="L7" s="9" t="n"/>
      <c r="M7" s="9" t="n"/>
      <c r="N7" s="41" t="n">
        <v>45444</v>
      </c>
    </row>
    <row r="8" ht="22" customHeight="1">
      <c r="A8" s="5" t="inlineStr">
        <is>
          <t>Allianz</t>
        </is>
      </c>
      <c r="B8" s="5" t="inlineStr">
        <is>
          <t>AV-008</t>
        </is>
      </c>
      <c r="C8" s="40" t="n">
        <v>45808</v>
      </c>
      <c r="D8" s="40">
        <f>C8-60</f>
        <v/>
      </c>
      <c r="E8" s="30">
        <f>IF(C8="","",C8-TODAY())</f>
        <v/>
      </c>
      <c r="F8" s="5">
        <f>IF(E8="","",IF(E8&lt;30,"URGENT",IF(E8&lt;60,"ATTENTION","OK")))</f>
        <v/>
      </c>
      <c r="G8" s="5" t="inlineStr">
        <is>
          <t>Comparer offres</t>
        </is>
      </c>
      <c r="H8" s="5" t="inlineStr">
        <is>
          <t>M. Bamba</t>
        </is>
      </c>
      <c r="I8" s="5" t="inlineStr">
        <is>
          <t>Non</t>
        </is>
      </c>
      <c r="J8" s="40" t="n"/>
      <c r="K8" s="5" t="n"/>
      <c r="L8" s="5" t="n"/>
      <c r="M8" s="5" t="n"/>
      <c r="N8" s="40" t="n">
        <v>45444</v>
      </c>
    </row>
    <row r="9" ht="22" customHeight="1">
      <c r="A9" s="9" t="inlineStr">
        <is>
          <t>NSIA Vie</t>
        </is>
      </c>
      <c r="B9" s="9" t="inlineStr">
        <is>
          <t>AV-006</t>
        </is>
      </c>
      <c r="C9" s="41" t="n">
        <v>46022</v>
      </c>
      <c r="D9" s="41">
        <f>C9-60</f>
        <v/>
      </c>
      <c r="E9" s="31">
        <f>IF(C9="","",C9-TODAY())</f>
        <v/>
      </c>
      <c r="F9" s="9">
        <f>IF(E9="","",IF(E9&lt;30,"URGENT",IF(E9&lt;60,"ATTENTION","OK")))</f>
        <v/>
      </c>
      <c r="G9" s="9" t="inlineStr">
        <is>
          <t>Évaluer conditions</t>
        </is>
      </c>
      <c r="H9" s="9" t="inlineStr">
        <is>
          <t>Mme Diabaté</t>
        </is>
      </c>
      <c r="I9" s="9" t="inlineStr">
        <is>
          <t>Non</t>
        </is>
      </c>
      <c r="J9" s="41" t="n"/>
      <c r="K9" s="9" t="n"/>
      <c r="L9" s="9" t="n"/>
      <c r="M9" s="9" t="n"/>
      <c r="N9" s="41" t="n">
        <v>45444</v>
      </c>
    </row>
    <row r="10" ht="22" customHeight="1">
      <c r="A10" s="5" t="inlineStr">
        <is>
          <t>SATRAM</t>
        </is>
      </c>
      <c r="B10" s="5" t="inlineStr">
        <is>
          <t>AV-009</t>
        </is>
      </c>
      <c r="C10" s="40" t="n">
        <v>45657</v>
      </c>
      <c r="D10" s="40">
        <f>C10-60</f>
        <v/>
      </c>
      <c r="E10" s="30">
        <f>IF(C10="","",C10-TODAY())</f>
        <v/>
      </c>
      <c r="F10" s="5">
        <f>IF(E10="","",IF(E10&lt;30,"URGENT",IF(E10&lt;60,"ATTENTION","OK")))</f>
        <v/>
      </c>
      <c r="G10" s="5" t="inlineStr">
        <is>
          <t>Planifier visite annuelle</t>
        </is>
      </c>
      <c r="H10" s="5" t="inlineStr">
        <is>
          <t>M. Aka</t>
        </is>
      </c>
      <c r="I10" s="5" t="inlineStr">
        <is>
          <t>Oui</t>
        </is>
      </c>
      <c r="J10" s="40" t="n">
        <v>45611</v>
      </c>
      <c r="K10" s="5" t="n"/>
      <c r="L10" s="5" t="n"/>
      <c r="M10" s="5" t="n"/>
      <c r="N10" s="40" t="n">
        <v>45444</v>
      </c>
    </row>
    <row r="11" ht="22" customHeight="1">
      <c r="A11" s="9" t="n"/>
      <c r="B11" s="9" t="n"/>
      <c r="C11" s="41" t="n"/>
      <c r="D11" s="41" t="n"/>
      <c r="E11" s="31" t="n"/>
      <c r="F11" s="9" t="n"/>
      <c r="G11" s="9" t="n"/>
      <c r="H11" s="9" t="n"/>
      <c r="I11" s="9" t="n"/>
      <c r="J11" s="41" t="n"/>
      <c r="K11" s="9" t="n"/>
      <c r="L11" s="9" t="n"/>
      <c r="M11" s="9" t="n"/>
      <c r="N11" s="41" t="n"/>
    </row>
    <row r="12" ht="22" customHeight="1">
      <c r="A12" s="5" t="n"/>
      <c r="B12" s="5" t="n"/>
      <c r="C12" s="40" t="n"/>
      <c r="D12" s="40" t="n"/>
      <c r="E12" s="30" t="n"/>
      <c r="F12" s="5" t="n"/>
      <c r="G12" s="5" t="n"/>
      <c r="H12" s="5" t="n"/>
      <c r="I12" s="5" t="n"/>
      <c r="J12" s="40" t="n"/>
      <c r="K12" s="5" t="n"/>
      <c r="L12" s="5" t="n"/>
      <c r="M12" s="5" t="n"/>
      <c r="N12" s="40" t="n"/>
    </row>
    <row r="13" ht="22" customHeight="1">
      <c r="A13" s="9" t="n"/>
      <c r="B13" s="9" t="n"/>
      <c r="C13" s="41" t="n"/>
      <c r="D13" s="41" t="n"/>
      <c r="E13" s="31" t="n"/>
      <c r="F13" s="9" t="n"/>
      <c r="G13" s="9" t="n"/>
      <c r="H13" s="9" t="n"/>
      <c r="I13" s="9" t="n"/>
      <c r="J13" s="41" t="n"/>
      <c r="K13" s="9" t="n"/>
      <c r="L13" s="9" t="n"/>
      <c r="M13" s="9" t="n"/>
      <c r="N13" s="41" t="n"/>
    </row>
    <row r="14" ht="22" customHeight="1">
      <c r="A14" s="5" t="n"/>
      <c r="B14" s="5" t="n"/>
      <c r="C14" s="40" t="n"/>
      <c r="D14" s="40" t="n"/>
      <c r="E14" s="30" t="n"/>
      <c r="F14" s="5" t="n"/>
      <c r="G14" s="5" t="n"/>
      <c r="H14" s="5" t="n"/>
      <c r="I14" s="5" t="n"/>
      <c r="J14" s="40" t="n"/>
      <c r="K14" s="5" t="n"/>
      <c r="L14" s="5" t="n"/>
      <c r="M14" s="5" t="n"/>
      <c r="N14" s="40" t="n"/>
    </row>
    <row r="15" ht="22" customHeight="1">
      <c r="A15" s="9" t="n"/>
      <c r="B15" s="9" t="n"/>
      <c r="C15" s="41" t="n"/>
      <c r="D15" s="41" t="n"/>
      <c r="E15" s="31" t="n"/>
      <c r="F15" s="9" t="n"/>
      <c r="G15" s="9" t="n"/>
      <c r="H15" s="9" t="n"/>
      <c r="I15" s="9" t="n"/>
      <c r="J15" s="41" t="n"/>
      <c r="K15" s="9" t="n"/>
      <c r="L15" s="9" t="n"/>
      <c r="M15" s="9" t="n"/>
      <c r="N15" s="41" t="n"/>
    </row>
    <row r="16" ht="22" customHeight="1">
      <c r="A16" s="5" t="n"/>
      <c r="B16" s="5" t="n"/>
      <c r="C16" s="40" t="n"/>
      <c r="D16" s="40" t="n"/>
      <c r="E16" s="30" t="n"/>
      <c r="F16" s="5" t="n"/>
      <c r="G16" s="5" t="n"/>
      <c r="H16" s="5" t="n"/>
      <c r="I16" s="5" t="n"/>
      <c r="J16" s="40" t="n"/>
      <c r="K16" s="5" t="n"/>
      <c r="L16" s="5" t="n"/>
      <c r="M16" s="5" t="n"/>
      <c r="N16" s="40" t="n"/>
    </row>
    <row r="17" ht="22" customHeight="1">
      <c r="A17" s="9" t="n"/>
      <c r="B17" s="9" t="n"/>
      <c r="C17" s="41" t="n"/>
      <c r="D17" s="41" t="n"/>
      <c r="E17" s="31" t="n"/>
      <c r="F17" s="9" t="n"/>
      <c r="G17" s="9" t="n"/>
      <c r="H17" s="9" t="n"/>
      <c r="I17" s="9" t="n"/>
      <c r="J17" s="41" t="n"/>
      <c r="K17" s="9" t="n"/>
      <c r="L17" s="9" t="n"/>
      <c r="M17" s="9" t="n"/>
      <c r="N17" s="41" t="n"/>
    </row>
    <row r="18" ht="22" customHeight="1">
      <c r="A18" s="5" t="n"/>
      <c r="B18" s="5" t="n"/>
      <c r="C18" s="40" t="n"/>
      <c r="D18" s="40" t="n"/>
      <c r="E18" s="30" t="n"/>
      <c r="F18" s="5" t="n"/>
      <c r="G18" s="5" t="n"/>
      <c r="H18" s="5" t="n"/>
      <c r="I18" s="5" t="n"/>
      <c r="J18" s="40" t="n"/>
      <c r="K18" s="5" t="n"/>
      <c r="L18" s="5" t="n"/>
      <c r="M18" s="5" t="n"/>
      <c r="N18" s="40" t="n"/>
    </row>
    <row r="19" ht="22" customHeight="1">
      <c r="A19" s="9" t="n"/>
      <c r="B19" s="9" t="n"/>
      <c r="C19" s="41" t="n"/>
      <c r="D19" s="41" t="n"/>
      <c r="E19" s="31" t="n"/>
      <c r="F19" s="9" t="n"/>
      <c r="G19" s="9" t="n"/>
      <c r="H19" s="9" t="n"/>
      <c r="I19" s="9" t="n"/>
      <c r="J19" s="41" t="n"/>
      <c r="K19" s="9" t="n"/>
      <c r="L19" s="9" t="n"/>
      <c r="M19" s="9" t="n"/>
      <c r="N19" s="41" t="n"/>
    </row>
    <row r="20" ht="22" customHeight="1">
      <c r="A20" s="5" t="n"/>
      <c r="B20" s="5" t="n"/>
      <c r="C20" s="40" t="n"/>
      <c r="D20" s="40" t="n"/>
      <c r="E20" s="30" t="n"/>
      <c r="F20" s="5" t="n"/>
      <c r="G20" s="5" t="n"/>
      <c r="H20" s="5" t="n"/>
      <c r="I20" s="5" t="n"/>
      <c r="J20" s="40" t="n"/>
      <c r="K20" s="5" t="n"/>
      <c r="L20" s="5" t="n"/>
      <c r="M20" s="5" t="n"/>
      <c r="N20" s="40" t="n"/>
    </row>
    <row r="21" ht="22" customHeight="1">
      <c r="A21" s="9" t="n"/>
      <c r="B21" s="9" t="n"/>
      <c r="C21" s="41" t="n"/>
      <c r="D21" s="41" t="n"/>
      <c r="E21" s="31" t="n"/>
      <c r="F21" s="9" t="n"/>
      <c r="G21" s="9" t="n"/>
      <c r="H21" s="9" t="n"/>
      <c r="I21" s="9" t="n"/>
      <c r="J21" s="41" t="n"/>
      <c r="K21" s="9" t="n"/>
      <c r="L21" s="9" t="n"/>
      <c r="M21" s="9" t="n"/>
      <c r="N21" s="41" t="n"/>
    </row>
    <row r="22" ht="22" customHeight="1">
      <c r="A22" s="5" t="n"/>
      <c r="B22" s="5" t="n"/>
      <c r="C22" s="40" t="n"/>
      <c r="D22" s="40" t="n"/>
      <c r="E22" s="30" t="n"/>
      <c r="F22" s="5" t="n"/>
      <c r="G22" s="5" t="n"/>
      <c r="H22" s="5" t="n"/>
      <c r="I22" s="5" t="n"/>
      <c r="J22" s="40" t="n"/>
      <c r="K22" s="5" t="n"/>
      <c r="L22" s="5" t="n"/>
      <c r="M22" s="5" t="n"/>
      <c r="N22" s="40" t="n"/>
    </row>
    <row r="23" ht="22" customHeight="1">
      <c r="A23" s="9" t="n"/>
      <c r="B23" s="9" t="n"/>
      <c r="C23" s="41" t="n"/>
      <c r="D23" s="41" t="n"/>
      <c r="E23" s="31" t="n"/>
      <c r="F23" s="9" t="n"/>
      <c r="G23" s="9" t="n"/>
      <c r="H23" s="9" t="n"/>
      <c r="I23" s="9" t="n"/>
      <c r="J23" s="41" t="n"/>
      <c r="K23" s="9" t="n"/>
      <c r="L23" s="9" t="n"/>
      <c r="M23" s="9" t="n"/>
      <c r="N23" s="41" t="n"/>
    </row>
    <row r="24" ht="22" customHeight="1">
      <c r="A24" s="5" t="n"/>
      <c r="B24" s="5" t="n"/>
      <c r="C24" s="40" t="n"/>
      <c r="D24" s="40" t="n"/>
      <c r="E24" s="30" t="n"/>
      <c r="F24" s="5" t="n"/>
      <c r="G24" s="5" t="n"/>
      <c r="H24" s="5" t="n"/>
      <c r="I24" s="5" t="n"/>
      <c r="J24" s="40" t="n"/>
      <c r="K24" s="5" t="n"/>
      <c r="L24" s="5" t="n"/>
      <c r="M24" s="5" t="n"/>
      <c r="N24" s="40" t="n"/>
    </row>
    <row r="25" ht="22" customHeight="1">
      <c r="A25" s="9" t="n"/>
      <c r="B25" s="9" t="n"/>
      <c r="C25" s="41" t="n"/>
      <c r="D25" s="41" t="n"/>
      <c r="E25" s="31" t="n"/>
      <c r="F25" s="9" t="n"/>
      <c r="G25" s="9" t="n"/>
      <c r="H25" s="9" t="n"/>
      <c r="I25" s="9" t="n"/>
      <c r="J25" s="41" t="n"/>
      <c r="K25" s="9" t="n"/>
      <c r="L25" s="9" t="n"/>
      <c r="M25" s="9" t="n"/>
      <c r="N25" s="41" t="n"/>
    </row>
    <row r="26" ht="22" customHeight="1">
      <c r="A26" s="5" t="n"/>
      <c r="B26" s="5" t="n"/>
      <c r="C26" s="40" t="n"/>
      <c r="D26" s="40" t="n"/>
      <c r="E26" s="30" t="n"/>
      <c r="F26" s="5" t="n"/>
      <c r="G26" s="5" t="n"/>
      <c r="H26" s="5" t="n"/>
      <c r="I26" s="5" t="n"/>
      <c r="J26" s="40" t="n"/>
      <c r="K26" s="5" t="n"/>
      <c r="L26" s="5" t="n"/>
      <c r="M26" s="5" t="n"/>
      <c r="N26" s="40" t="n"/>
    </row>
    <row r="27" ht="22" customHeight="1">
      <c r="A27" s="9" t="n"/>
      <c r="B27" s="9" t="n"/>
      <c r="C27" s="41" t="n"/>
      <c r="D27" s="41" t="n"/>
      <c r="E27" s="31" t="n"/>
      <c r="F27" s="9" t="n"/>
      <c r="G27" s="9" t="n"/>
      <c r="H27" s="9" t="n"/>
      <c r="I27" s="9" t="n"/>
      <c r="J27" s="41" t="n"/>
      <c r="K27" s="9" t="n"/>
      <c r="L27" s="9" t="n"/>
      <c r="M27" s="9" t="n"/>
      <c r="N27" s="41" t="n"/>
    </row>
    <row r="28" ht="22" customHeight="1">
      <c r="A28" s="5" t="n"/>
      <c r="B28" s="5" t="n"/>
      <c r="C28" s="40" t="n"/>
      <c r="D28" s="40" t="n"/>
      <c r="E28" s="30" t="n"/>
      <c r="F28" s="5" t="n"/>
      <c r="G28" s="5" t="n"/>
      <c r="H28" s="5" t="n"/>
      <c r="I28" s="5" t="n"/>
      <c r="J28" s="40" t="n"/>
      <c r="K28" s="5" t="n"/>
      <c r="L28" s="5" t="n"/>
      <c r="M28" s="5" t="n"/>
      <c r="N28" s="40" t="n"/>
    </row>
    <row r="29" ht="22" customHeight="1">
      <c r="A29" s="9" t="n"/>
      <c r="B29" s="9" t="n"/>
      <c r="C29" s="41" t="n"/>
      <c r="D29" s="41" t="n"/>
      <c r="E29" s="31" t="n"/>
      <c r="F29" s="9" t="n"/>
      <c r="G29" s="9" t="n"/>
      <c r="H29" s="9" t="n"/>
      <c r="I29" s="9" t="n"/>
      <c r="J29" s="41" t="n"/>
      <c r="K29" s="9" t="n"/>
      <c r="L29" s="9" t="n"/>
      <c r="M29" s="9" t="n"/>
      <c r="N29" s="41" t="n"/>
    </row>
    <row r="30" ht="22" customHeight="1">
      <c r="A30" s="5" t="n"/>
      <c r="B30" s="5" t="n"/>
      <c r="C30" s="40" t="n"/>
      <c r="D30" s="40" t="n"/>
      <c r="E30" s="30" t="n"/>
      <c r="F30" s="5" t="n"/>
      <c r="G30" s="5" t="n"/>
      <c r="H30" s="5" t="n"/>
      <c r="I30" s="5" t="n"/>
      <c r="J30" s="40" t="n"/>
      <c r="K30" s="5" t="n"/>
      <c r="L30" s="5" t="n"/>
      <c r="M30" s="5" t="n"/>
      <c r="N30" s="40" t="n"/>
    </row>
    <row r="31" ht="22" customHeight="1">
      <c r="A31" s="9" t="n"/>
      <c r="B31" s="9" t="n"/>
      <c r="C31" s="41" t="n"/>
      <c r="D31" s="41" t="n"/>
      <c r="E31" s="31" t="n"/>
      <c r="F31" s="9" t="n"/>
      <c r="G31" s="9" t="n"/>
      <c r="H31" s="9" t="n"/>
      <c r="I31" s="9" t="n"/>
      <c r="J31" s="41" t="n"/>
      <c r="K31" s="9" t="n"/>
      <c r="L31" s="9" t="n"/>
      <c r="M31" s="9" t="n"/>
      <c r="N31" s="41" t="n"/>
    </row>
    <row r="32" ht="22" customHeight="1">
      <c r="A32" s="5" t="n"/>
      <c r="B32" s="5" t="n"/>
      <c r="C32" s="40" t="n"/>
      <c r="D32" s="40" t="n"/>
      <c r="E32" s="30" t="n"/>
      <c r="F32" s="5" t="n"/>
      <c r="G32" s="5" t="n"/>
      <c r="H32" s="5" t="n"/>
      <c r="I32" s="5" t="n"/>
      <c r="J32" s="40" t="n"/>
      <c r="K32" s="5" t="n"/>
      <c r="L32" s="5" t="n"/>
      <c r="M32" s="5" t="n"/>
      <c r="N32" s="40" t="n"/>
    </row>
    <row r="33" ht="22" customHeight="1">
      <c r="A33" s="9" t="n"/>
      <c r="B33" s="9" t="n"/>
      <c r="C33" s="41" t="n"/>
      <c r="D33" s="41" t="n"/>
      <c r="E33" s="31" t="n"/>
      <c r="F33" s="9" t="n"/>
      <c r="G33" s="9" t="n"/>
      <c r="H33" s="9" t="n"/>
      <c r="I33" s="9" t="n"/>
      <c r="J33" s="41" t="n"/>
      <c r="K33" s="9" t="n"/>
      <c r="L33" s="9" t="n"/>
      <c r="M33" s="9" t="n"/>
      <c r="N33" s="41" t="n"/>
    </row>
    <row r="34" ht="22" customHeight="1">
      <c r="A34" s="5" t="n"/>
      <c r="B34" s="5" t="n"/>
      <c r="C34" s="40" t="n"/>
      <c r="D34" s="40" t="n"/>
      <c r="E34" s="30" t="n"/>
      <c r="F34" s="5" t="n"/>
      <c r="G34" s="5" t="n"/>
      <c r="H34" s="5" t="n"/>
      <c r="I34" s="5" t="n"/>
      <c r="J34" s="40" t="n"/>
      <c r="K34" s="5" t="n"/>
      <c r="L34" s="5" t="n"/>
      <c r="M34" s="5" t="n"/>
      <c r="N34" s="40" t="n"/>
    </row>
    <row r="35" ht="22" customHeight="1">
      <c r="A35" s="9" t="n"/>
      <c r="B35" s="9" t="n"/>
      <c r="C35" s="41" t="n"/>
      <c r="D35" s="41" t="n"/>
      <c r="E35" s="31" t="n"/>
      <c r="F35" s="9" t="n"/>
      <c r="G35" s="9" t="n"/>
      <c r="H35" s="9" t="n"/>
      <c r="I35" s="9" t="n"/>
      <c r="J35" s="41" t="n"/>
      <c r="K35" s="9" t="n"/>
      <c r="L35" s="9" t="n"/>
      <c r="M35" s="9" t="n"/>
      <c r="N35" s="41" t="n"/>
    </row>
    <row r="36" ht="22" customHeight="1">
      <c r="A36" s="5" t="n"/>
      <c r="B36" s="5" t="n"/>
      <c r="C36" s="40" t="n"/>
      <c r="D36" s="40" t="n"/>
      <c r="E36" s="30" t="n"/>
      <c r="F36" s="5" t="n"/>
      <c r="G36" s="5" t="n"/>
      <c r="H36" s="5" t="n"/>
      <c r="I36" s="5" t="n"/>
      <c r="J36" s="40" t="n"/>
      <c r="K36" s="5" t="n"/>
      <c r="L36" s="5" t="n"/>
      <c r="M36" s="5" t="n"/>
      <c r="N36" s="40" t="n"/>
    </row>
    <row r="37" ht="22" customHeight="1">
      <c r="A37" s="9" t="n"/>
      <c r="B37" s="9" t="n"/>
      <c r="C37" s="41" t="n"/>
      <c r="D37" s="41" t="n"/>
      <c r="E37" s="31" t="n"/>
      <c r="F37" s="9" t="n"/>
      <c r="G37" s="9" t="n"/>
      <c r="H37" s="9" t="n"/>
      <c r="I37" s="9" t="n"/>
      <c r="J37" s="41" t="n"/>
      <c r="K37" s="9" t="n"/>
      <c r="L37" s="9" t="n"/>
      <c r="M37" s="9" t="n"/>
      <c r="N37" s="41" t="n"/>
    </row>
    <row r="38" ht="22" customHeight="1">
      <c r="A38" s="5" t="n"/>
      <c r="B38" s="5" t="n"/>
      <c r="C38" s="40" t="n"/>
      <c r="D38" s="40" t="n"/>
      <c r="E38" s="30" t="n"/>
      <c r="F38" s="5" t="n"/>
      <c r="G38" s="5" t="n"/>
      <c r="H38" s="5" t="n"/>
      <c r="I38" s="5" t="n"/>
      <c r="J38" s="40" t="n"/>
      <c r="K38" s="5" t="n"/>
      <c r="L38" s="5" t="n"/>
      <c r="M38" s="5" t="n"/>
      <c r="N38" s="40" t="n"/>
    </row>
    <row r="39" ht="22" customHeight="1">
      <c r="A39" s="9" t="n"/>
      <c r="B39" s="9" t="n"/>
      <c r="C39" s="41" t="n"/>
      <c r="D39" s="41" t="n"/>
      <c r="E39" s="31" t="n"/>
      <c r="F39" s="9" t="n"/>
      <c r="G39" s="9" t="n"/>
      <c r="H39" s="9" t="n"/>
      <c r="I39" s="9" t="n"/>
      <c r="J39" s="41" t="n"/>
      <c r="K39" s="9" t="n"/>
      <c r="L39" s="9" t="n"/>
      <c r="M39" s="9" t="n"/>
      <c r="N39" s="41" t="n"/>
    </row>
    <row r="40" ht="22" customHeight="1">
      <c r="A40" s="5" t="n"/>
      <c r="B40" s="5" t="n"/>
      <c r="C40" s="40" t="n"/>
      <c r="D40" s="40" t="n"/>
      <c r="E40" s="30" t="n"/>
      <c r="F40" s="5" t="n"/>
      <c r="G40" s="5" t="n"/>
      <c r="H40" s="5" t="n"/>
      <c r="I40" s="5" t="n"/>
      <c r="J40" s="40" t="n"/>
      <c r="K40" s="5" t="n"/>
      <c r="L40" s="5" t="n"/>
      <c r="M40" s="5" t="n"/>
      <c r="N40" s="40" t="n"/>
    </row>
    <row r="41" ht="22" customHeight="1">
      <c r="A41" s="9" t="n"/>
      <c r="B41" s="9" t="n"/>
      <c r="C41" s="41" t="n"/>
      <c r="D41" s="41" t="n"/>
      <c r="E41" s="31" t="n"/>
      <c r="F41" s="9" t="n"/>
      <c r="G41" s="9" t="n"/>
      <c r="H41" s="9" t="n"/>
      <c r="I41" s="9" t="n"/>
      <c r="J41" s="41" t="n"/>
      <c r="K41" s="9" t="n"/>
      <c r="L41" s="9" t="n"/>
      <c r="M41" s="9" t="n"/>
      <c r="N41" s="41" t="n"/>
    </row>
    <row r="42" ht="22" customHeight="1">
      <c r="A42" s="5" t="n"/>
      <c r="B42" s="5" t="n"/>
      <c r="C42" s="40" t="n"/>
      <c r="D42" s="40" t="n"/>
      <c r="E42" s="30" t="n"/>
      <c r="F42" s="5" t="n"/>
      <c r="G42" s="5" t="n"/>
      <c r="H42" s="5" t="n"/>
      <c r="I42" s="5" t="n"/>
      <c r="J42" s="40" t="n"/>
      <c r="K42" s="5" t="n"/>
      <c r="L42" s="5" t="n"/>
      <c r="M42" s="5" t="n"/>
      <c r="N42" s="40" t="n"/>
    </row>
    <row r="43" ht="22" customHeight="1">
      <c r="A43" s="9" t="n"/>
      <c r="B43" s="9" t="n"/>
      <c r="C43" s="41" t="n"/>
      <c r="D43" s="41" t="n"/>
      <c r="E43" s="31" t="n"/>
      <c r="F43" s="9" t="n"/>
      <c r="G43" s="9" t="n"/>
      <c r="H43" s="9" t="n"/>
      <c r="I43" s="9" t="n"/>
      <c r="J43" s="41" t="n"/>
      <c r="K43" s="9" t="n"/>
      <c r="L43" s="9" t="n"/>
      <c r="M43" s="9" t="n"/>
      <c r="N43" s="41" t="n"/>
    </row>
    <row r="44" ht="22" customHeight="1">
      <c r="A44" s="5" t="n"/>
      <c r="B44" s="5" t="n"/>
      <c r="C44" s="40" t="n"/>
      <c r="D44" s="40" t="n"/>
      <c r="E44" s="30" t="n"/>
      <c r="F44" s="5" t="n"/>
      <c r="G44" s="5" t="n"/>
      <c r="H44" s="5" t="n"/>
      <c r="I44" s="5" t="n"/>
      <c r="J44" s="40" t="n"/>
      <c r="K44" s="5" t="n"/>
      <c r="L44" s="5" t="n"/>
      <c r="M44" s="5" t="n"/>
      <c r="N44" s="40" t="n"/>
    </row>
    <row r="45" ht="22" customHeight="1">
      <c r="A45" s="9" t="n"/>
      <c r="B45" s="9" t="n"/>
      <c r="C45" s="41" t="n"/>
      <c r="D45" s="41" t="n"/>
      <c r="E45" s="31" t="n"/>
      <c r="F45" s="9" t="n"/>
      <c r="G45" s="9" t="n"/>
      <c r="H45" s="9" t="n"/>
      <c r="I45" s="9" t="n"/>
      <c r="J45" s="41" t="n"/>
      <c r="K45" s="9" t="n"/>
      <c r="L45" s="9" t="n"/>
      <c r="M45" s="9" t="n"/>
      <c r="N45" s="41" t="n"/>
    </row>
    <row r="46" ht="22" customHeight="1">
      <c r="A46" s="5" t="n"/>
      <c r="B46" s="5" t="n"/>
      <c r="C46" s="40" t="n"/>
      <c r="D46" s="40" t="n"/>
      <c r="E46" s="30" t="n"/>
      <c r="F46" s="5" t="n"/>
      <c r="G46" s="5" t="n"/>
      <c r="H46" s="5" t="n"/>
      <c r="I46" s="5" t="n"/>
      <c r="J46" s="40" t="n"/>
      <c r="K46" s="5" t="n"/>
      <c r="L46" s="5" t="n"/>
      <c r="M46" s="5" t="n"/>
      <c r="N46" s="40" t="n"/>
    </row>
    <row r="47" ht="22" customHeight="1">
      <c r="A47" s="9" t="n"/>
      <c r="B47" s="9" t="n"/>
      <c r="C47" s="41" t="n"/>
      <c r="D47" s="41" t="n"/>
      <c r="E47" s="31" t="n"/>
      <c r="F47" s="9" t="n"/>
      <c r="G47" s="9" t="n"/>
      <c r="H47" s="9" t="n"/>
      <c r="I47" s="9" t="n"/>
      <c r="J47" s="41" t="n"/>
      <c r="K47" s="9" t="n"/>
      <c r="L47" s="9" t="n"/>
      <c r="M47" s="9" t="n"/>
      <c r="N47" s="41" t="n"/>
    </row>
    <row r="48" ht="22" customHeight="1">
      <c r="A48" s="5" t="n"/>
      <c r="B48" s="5" t="n"/>
      <c r="C48" s="40" t="n"/>
      <c r="D48" s="40" t="n"/>
      <c r="E48" s="30" t="n"/>
      <c r="F48" s="5" t="n"/>
      <c r="G48" s="5" t="n"/>
      <c r="H48" s="5" t="n"/>
      <c r="I48" s="5" t="n"/>
      <c r="J48" s="40" t="n"/>
      <c r="K48" s="5" t="n"/>
      <c r="L48" s="5" t="n"/>
      <c r="M48" s="5" t="n"/>
      <c r="N48" s="40" t="n"/>
    </row>
    <row r="49" ht="22" customHeight="1">
      <c r="A49" s="9" t="n"/>
      <c r="B49" s="9" t="n"/>
      <c r="C49" s="41" t="n"/>
      <c r="D49" s="41" t="n"/>
      <c r="E49" s="31" t="n"/>
      <c r="F49" s="9" t="n"/>
      <c r="G49" s="9" t="n"/>
      <c r="H49" s="9" t="n"/>
      <c r="I49" s="9" t="n"/>
      <c r="J49" s="41" t="n"/>
      <c r="K49" s="9" t="n"/>
      <c r="L49" s="9" t="n"/>
      <c r="M49" s="9" t="n"/>
      <c r="N49" s="41" t="n"/>
    </row>
    <row r="50" ht="22" customHeight="1">
      <c r="A50" s="5" t="n"/>
      <c r="B50" s="5" t="n"/>
      <c r="C50" s="40" t="n"/>
      <c r="D50" s="40" t="n"/>
      <c r="E50" s="30" t="n"/>
      <c r="F50" s="5" t="n"/>
      <c r="G50" s="5" t="n"/>
      <c r="H50" s="5" t="n"/>
      <c r="I50" s="5" t="n"/>
      <c r="J50" s="40" t="n"/>
      <c r="K50" s="5" t="n"/>
      <c r="L50" s="5" t="n"/>
      <c r="M50" s="5" t="n"/>
      <c r="N50" s="40" t="n"/>
    </row>
    <row r="51" ht="22" customHeight="1">
      <c r="A51" s="9" t="n"/>
      <c r="B51" s="9" t="n"/>
      <c r="C51" s="41" t="n"/>
      <c r="D51" s="41" t="n"/>
      <c r="E51" s="31" t="n"/>
      <c r="F51" s="9" t="n"/>
      <c r="G51" s="9" t="n"/>
      <c r="H51" s="9" t="n"/>
      <c r="I51" s="9" t="n"/>
      <c r="J51" s="41" t="n"/>
      <c r="K51" s="9" t="n"/>
      <c r="L51" s="9" t="n"/>
      <c r="M51" s="9" t="n"/>
      <c r="N51" s="41" t="n"/>
    </row>
    <row r="52" ht="22" customHeight="1">
      <c r="A52" s="5" t="n"/>
      <c r="B52" s="5" t="n"/>
      <c r="C52" s="40" t="n"/>
      <c r="D52" s="40" t="n"/>
      <c r="E52" s="30" t="n"/>
      <c r="F52" s="5" t="n"/>
      <c r="G52" s="5" t="n"/>
      <c r="H52" s="5" t="n"/>
      <c r="I52" s="5" t="n"/>
      <c r="J52" s="40" t="n"/>
      <c r="K52" s="5" t="n"/>
      <c r="L52" s="5" t="n"/>
      <c r="M52" s="5" t="n"/>
      <c r="N52" s="40" t="n"/>
    </row>
    <row r="53" ht="22" customHeight="1">
      <c r="A53" s="9" t="n"/>
      <c r="B53" s="9" t="n"/>
      <c r="C53" s="41" t="n"/>
      <c r="D53" s="41" t="n"/>
      <c r="E53" s="31" t="n"/>
      <c r="F53" s="9" t="n"/>
      <c r="G53" s="9" t="n"/>
      <c r="H53" s="9" t="n"/>
      <c r="I53" s="9" t="n"/>
      <c r="J53" s="41" t="n"/>
      <c r="K53" s="9" t="n"/>
      <c r="L53" s="9" t="n"/>
      <c r="M53" s="9" t="n"/>
      <c r="N53" s="41" t="n"/>
    </row>
    <row r="54" ht="22" customHeight="1">
      <c r="A54" s="5" t="n"/>
      <c r="B54" s="5" t="n"/>
      <c r="C54" s="40" t="n"/>
      <c r="D54" s="40" t="n"/>
      <c r="E54" s="30" t="n"/>
      <c r="F54" s="5" t="n"/>
      <c r="G54" s="5" t="n"/>
      <c r="H54" s="5" t="n"/>
      <c r="I54" s="5" t="n"/>
      <c r="J54" s="40" t="n"/>
      <c r="K54" s="5" t="n"/>
      <c r="L54" s="5" t="n"/>
      <c r="M54" s="5" t="n"/>
      <c r="N54" s="40" t="n"/>
    </row>
    <row r="55" ht="22" customHeight="1">
      <c r="A55" s="9" t="n"/>
      <c r="B55" s="9" t="n"/>
      <c r="C55" s="41" t="n"/>
      <c r="D55" s="41" t="n"/>
      <c r="E55" s="31" t="n"/>
      <c r="F55" s="9" t="n"/>
      <c r="G55" s="9" t="n"/>
      <c r="H55" s="9" t="n"/>
      <c r="I55" s="9" t="n"/>
      <c r="J55" s="41" t="n"/>
      <c r="K55" s="9" t="n"/>
      <c r="L55" s="9" t="n"/>
      <c r="M55" s="9" t="n"/>
      <c r="N55" s="41" t="n"/>
    </row>
    <row r="56" ht="22" customHeight="1">
      <c r="A56" s="5" t="n"/>
      <c r="B56" s="5" t="n"/>
      <c r="C56" s="40" t="n"/>
      <c r="D56" s="40" t="n"/>
      <c r="E56" s="30" t="n"/>
      <c r="F56" s="5" t="n"/>
      <c r="G56" s="5" t="n"/>
      <c r="H56" s="5" t="n"/>
      <c r="I56" s="5" t="n"/>
      <c r="J56" s="40" t="n"/>
      <c r="K56" s="5" t="n"/>
      <c r="L56" s="5" t="n"/>
      <c r="M56" s="5" t="n"/>
      <c r="N56" s="40" t="n"/>
    </row>
    <row r="57" ht="22" customHeight="1">
      <c r="A57" s="9" t="n"/>
      <c r="B57" s="9" t="n"/>
      <c r="C57" s="41" t="n"/>
      <c r="D57" s="41" t="n"/>
      <c r="E57" s="31" t="n"/>
      <c r="F57" s="9" t="n"/>
      <c r="G57" s="9" t="n"/>
      <c r="H57" s="9" t="n"/>
      <c r="I57" s="9" t="n"/>
      <c r="J57" s="41" t="n"/>
      <c r="K57" s="9" t="n"/>
      <c r="L57" s="9" t="n"/>
      <c r="M57" s="9" t="n"/>
      <c r="N57" s="41" t="n"/>
    </row>
    <row r="58" ht="22" customHeight="1">
      <c r="A58" s="5" t="n"/>
      <c r="B58" s="5" t="n"/>
      <c r="C58" s="40" t="n"/>
      <c r="D58" s="40" t="n"/>
      <c r="E58" s="30" t="n"/>
      <c r="F58" s="5" t="n"/>
      <c r="G58" s="5" t="n"/>
      <c r="H58" s="5" t="n"/>
      <c r="I58" s="5" t="n"/>
      <c r="J58" s="40" t="n"/>
      <c r="K58" s="5" t="n"/>
      <c r="L58" s="5" t="n"/>
      <c r="M58" s="5" t="n"/>
      <c r="N58" s="40" t="n"/>
    </row>
    <row r="59" ht="22" customHeight="1">
      <c r="A59" s="9" t="n"/>
      <c r="B59" s="9" t="n"/>
      <c r="C59" s="41" t="n"/>
      <c r="D59" s="41" t="n"/>
      <c r="E59" s="31" t="n"/>
      <c r="F59" s="9" t="n"/>
      <c r="G59" s="9" t="n"/>
      <c r="H59" s="9" t="n"/>
      <c r="I59" s="9" t="n"/>
      <c r="J59" s="41" t="n"/>
      <c r="K59" s="9" t="n"/>
      <c r="L59" s="9" t="n"/>
      <c r="M59" s="9" t="n"/>
      <c r="N59" s="41" t="n"/>
    </row>
    <row r="60" ht="22" customHeight="1">
      <c r="A60" s="5" t="n"/>
      <c r="B60" s="5" t="n"/>
      <c r="C60" s="40" t="n"/>
      <c r="D60" s="40" t="n"/>
      <c r="E60" s="30" t="n"/>
      <c r="F60" s="5" t="n"/>
      <c r="G60" s="5" t="n"/>
      <c r="H60" s="5" t="n"/>
      <c r="I60" s="5" t="n"/>
      <c r="J60" s="40" t="n"/>
      <c r="K60" s="5" t="n"/>
      <c r="L60" s="5" t="n"/>
      <c r="M60" s="5" t="n"/>
      <c r="N60" s="40" t="n"/>
    </row>
    <row r="61" ht="22" customHeight="1">
      <c r="A61" s="9" t="n"/>
      <c r="B61" s="9" t="n"/>
      <c r="C61" s="41" t="n"/>
      <c r="D61" s="41" t="n"/>
      <c r="E61" s="31" t="n"/>
      <c r="F61" s="9" t="n"/>
      <c r="G61" s="9" t="n"/>
      <c r="H61" s="9" t="n"/>
      <c r="I61" s="9" t="n"/>
      <c r="J61" s="41" t="n"/>
      <c r="K61" s="9" t="n"/>
      <c r="L61" s="9" t="n"/>
      <c r="M61" s="9" t="n"/>
      <c r="N61" s="41" t="n"/>
    </row>
    <row r="62" ht="22" customHeight="1">
      <c r="A62" s="5" t="n"/>
      <c r="B62" s="5" t="n"/>
      <c r="C62" s="40" t="n"/>
      <c r="D62" s="40" t="n"/>
      <c r="E62" s="30" t="n"/>
      <c r="F62" s="5" t="n"/>
      <c r="G62" s="5" t="n"/>
      <c r="H62" s="5" t="n"/>
      <c r="I62" s="5" t="n"/>
      <c r="J62" s="40" t="n"/>
      <c r="K62" s="5" t="n"/>
      <c r="L62" s="5" t="n"/>
      <c r="M62" s="5" t="n"/>
      <c r="N62" s="40" t="n"/>
    </row>
    <row r="63" ht="22" customHeight="1">
      <c r="A63" s="9" t="n"/>
      <c r="B63" s="9" t="n"/>
      <c r="C63" s="41" t="n"/>
      <c r="D63" s="41" t="n"/>
      <c r="E63" s="31" t="n"/>
      <c r="F63" s="9" t="n"/>
      <c r="G63" s="9" t="n"/>
      <c r="H63" s="9" t="n"/>
      <c r="I63" s="9" t="n"/>
      <c r="J63" s="41" t="n"/>
      <c r="K63" s="9" t="n"/>
      <c r="L63" s="9" t="n"/>
      <c r="M63" s="9" t="n"/>
      <c r="N63" s="41" t="n"/>
    </row>
    <row r="64" ht="22" customHeight="1">
      <c r="A64" s="5" t="n"/>
      <c r="B64" s="5" t="n"/>
      <c r="C64" s="40" t="n"/>
      <c r="D64" s="40" t="n"/>
      <c r="E64" s="30" t="n"/>
      <c r="F64" s="5" t="n"/>
      <c r="G64" s="5" t="n"/>
      <c r="H64" s="5" t="n"/>
      <c r="I64" s="5" t="n"/>
      <c r="J64" s="40" t="n"/>
      <c r="K64" s="5" t="n"/>
      <c r="L64" s="5" t="n"/>
      <c r="M64" s="5" t="n"/>
      <c r="N64" s="40" t="n"/>
    </row>
    <row r="65" ht="22" customHeight="1">
      <c r="A65" s="9" t="n"/>
      <c r="B65" s="9" t="n"/>
      <c r="C65" s="41" t="n"/>
      <c r="D65" s="41" t="n"/>
      <c r="E65" s="31" t="n"/>
      <c r="F65" s="9" t="n"/>
      <c r="G65" s="9" t="n"/>
      <c r="H65" s="9" t="n"/>
      <c r="I65" s="9" t="n"/>
      <c r="J65" s="41" t="n"/>
      <c r="K65" s="9" t="n"/>
      <c r="L65" s="9" t="n"/>
      <c r="M65" s="9" t="n"/>
      <c r="N65" s="41" t="n"/>
    </row>
    <row r="66" ht="22" customHeight="1">
      <c r="A66" s="5" t="n"/>
      <c r="B66" s="5" t="n"/>
      <c r="C66" s="40" t="n"/>
      <c r="D66" s="40" t="n"/>
      <c r="E66" s="30" t="n"/>
      <c r="F66" s="5" t="n"/>
      <c r="G66" s="5" t="n"/>
      <c r="H66" s="5" t="n"/>
      <c r="I66" s="5" t="n"/>
      <c r="J66" s="40" t="n"/>
      <c r="K66" s="5" t="n"/>
      <c r="L66" s="5" t="n"/>
      <c r="M66" s="5" t="n"/>
      <c r="N66" s="40" t="n"/>
    </row>
    <row r="67" ht="22" customHeight="1">
      <c r="A67" s="9" t="n"/>
      <c r="B67" s="9" t="n"/>
      <c r="C67" s="41" t="n"/>
      <c r="D67" s="41" t="n"/>
      <c r="E67" s="31" t="n"/>
      <c r="F67" s="9" t="n"/>
      <c r="G67" s="9" t="n"/>
      <c r="H67" s="9" t="n"/>
      <c r="I67" s="9" t="n"/>
      <c r="J67" s="41" t="n"/>
      <c r="K67" s="9" t="n"/>
      <c r="L67" s="9" t="n"/>
      <c r="M67" s="9" t="n"/>
      <c r="N67" s="41" t="n"/>
    </row>
    <row r="68" ht="22" customHeight="1">
      <c r="A68" s="5" t="n"/>
      <c r="B68" s="5" t="n"/>
      <c r="C68" s="40" t="n"/>
      <c r="D68" s="40" t="n"/>
      <c r="E68" s="30" t="n"/>
      <c r="F68" s="5" t="n"/>
      <c r="G68" s="5" t="n"/>
      <c r="H68" s="5" t="n"/>
      <c r="I68" s="5" t="n"/>
      <c r="J68" s="40" t="n"/>
      <c r="K68" s="5" t="n"/>
      <c r="L68" s="5" t="n"/>
      <c r="M68" s="5" t="n"/>
      <c r="N68" s="40" t="n"/>
    </row>
    <row r="69" ht="22" customHeight="1">
      <c r="A69" s="9" t="n"/>
      <c r="B69" s="9" t="n"/>
      <c r="C69" s="41" t="n"/>
      <c r="D69" s="41" t="n"/>
      <c r="E69" s="31" t="n"/>
      <c r="F69" s="9" t="n"/>
      <c r="G69" s="9" t="n"/>
      <c r="H69" s="9" t="n"/>
      <c r="I69" s="9" t="n"/>
      <c r="J69" s="41" t="n"/>
      <c r="K69" s="9" t="n"/>
      <c r="L69" s="9" t="n"/>
      <c r="M69" s="9" t="n"/>
      <c r="N69" s="41" t="n"/>
    </row>
    <row r="70" ht="22" customHeight="1">
      <c r="A70" s="5" t="n"/>
      <c r="B70" s="5" t="n"/>
      <c r="C70" s="40" t="n"/>
      <c r="D70" s="40" t="n"/>
      <c r="E70" s="30" t="n"/>
      <c r="F70" s="5" t="n"/>
      <c r="G70" s="5" t="n"/>
      <c r="H70" s="5" t="n"/>
      <c r="I70" s="5" t="n"/>
      <c r="J70" s="40" t="n"/>
      <c r="K70" s="5" t="n"/>
      <c r="L70" s="5" t="n"/>
      <c r="M70" s="5" t="n"/>
      <c r="N70" s="40" t="n"/>
    </row>
    <row r="71" ht="22" customHeight="1">
      <c r="A71" s="9" t="n"/>
      <c r="B71" s="9" t="n"/>
      <c r="C71" s="41" t="n"/>
      <c r="D71" s="41" t="n"/>
      <c r="E71" s="31" t="n"/>
      <c r="F71" s="9" t="n"/>
      <c r="G71" s="9" t="n"/>
      <c r="H71" s="9" t="n"/>
      <c r="I71" s="9" t="n"/>
      <c r="J71" s="41" t="n"/>
      <c r="K71" s="9" t="n"/>
      <c r="L71" s="9" t="n"/>
      <c r="M71" s="9" t="n"/>
      <c r="N71" s="41" t="n"/>
    </row>
    <row r="72" ht="22" customHeight="1">
      <c r="A72" s="5" t="n"/>
      <c r="B72" s="5" t="n"/>
      <c r="C72" s="40" t="n"/>
      <c r="D72" s="40" t="n"/>
      <c r="E72" s="30" t="n"/>
      <c r="F72" s="5" t="n"/>
      <c r="G72" s="5" t="n"/>
      <c r="H72" s="5" t="n"/>
      <c r="I72" s="5" t="n"/>
      <c r="J72" s="40" t="n"/>
      <c r="K72" s="5" t="n"/>
      <c r="L72" s="5" t="n"/>
      <c r="M72" s="5" t="n"/>
      <c r="N72" s="40" t="n"/>
    </row>
    <row r="73" ht="22" customHeight="1">
      <c r="A73" s="9" t="n"/>
      <c r="B73" s="9" t="n"/>
      <c r="C73" s="41" t="n"/>
      <c r="D73" s="41" t="n"/>
      <c r="E73" s="31" t="n"/>
      <c r="F73" s="9" t="n"/>
      <c r="G73" s="9" t="n"/>
      <c r="H73" s="9" t="n"/>
      <c r="I73" s="9" t="n"/>
      <c r="J73" s="41" t="n"/>
      <c r="K73" s="9" t="n"/>
      <c r="L73" s="9" t="n"/>
      <c r="M73" s="9" t="n"/>
      <c r="N73" s="41" t="n"/>
    </row>
    <row r="74" ht="22" customHeight="1">
      <c r="A74" s="5" t="n"/>
      <c r="B74" s="5" t="n"/>
      <c r="C74" s="40" t="n"/>
      <c r="D74" s="40" t="n"/>
      <c r="E74" s="30" t="n"/>
      <c r="F74" s="5" t="n"/>
      <c r="G74" s="5" t="n"/>
      <c r="H74" s="5" t="n"/>
      <c r="I74" s="5" t="n"/>
      <c r="J74" s="40" t="n"/>
      <c r="K74" s="5" t="n"/>
      <c r="L74" s="5" t="n"/>
      <c r="M74" s="5" t="n"/>
      <c r="N74" s="40" t="n"/>
    </row>
    <row r="75" ht="22" customHeight="1">
      <c r="A75" s="9" t="n"/>
      <c r="B75" s="9" t="n"/>
      <c r="C75" s="41" t="n"/>
      <c r="D75" s="41" t="n"/>
      <c r="E75" s="31" t="n"/>
      <c r="F75" s="9" t="n"/>
      <c r="G75" s="9" t="n"/>
      <c r="H75" s="9" t="n"/>
      <c r="I75" s="9" t="n"/>
      <c r="J75" s="41" t="n"/>
      <c r="K75" s="9" t="n"/>
      <c r="L75" s="9" t="n"/>
      <c r="M75" s="9" t="n"/>
      <c r="N75" s="41" t="n"/>
    </row>
    <row r="76" ht="22" customHeight="1">
      <c r="A76" s="5" t="n"/>
      <c r="B76" s="5" t="n"/>
      <c r="C76" s="40" t="n"/>
      <c r="D76" s="40" t="n"/>
      <c r="E76" s="30" t="n"/>
      <c r="F76" s="5" t="n"/>
      <c r="G76" s="5" t="n"/>
      <c r="H76" s="5" t="n"/>
      <c r="I76" s="5" t="n"/>
      <c r="J76" s="40" t="n"/>
      <c r="K76" s="5" t="n"/>
      <c r="L76" s="5" t="n"/>
      <c r="M76" s="5" t="n"/>
      <c r="N76" s="40" t="n"/>
    </row>
    <row r="77" ht="22" customHeight="1">
      <c r="A77" s="9" t="n"/>
      <c r="B77" s="9" t="n"/>
      <c r="C77" s="41" t="n"/>
      <c r="D77" s="41" t="n"/>
      <c r="E77" s="31" t="n"/>
      <c r="F77" s="9" t="n"/>
      <c r="G77" s="9" t="n"/>
      <c r="H77" s="9" t="n"/>
      <c r="I77" s="9" t="n"/>
      <c r="J77" s="41" t="n"/>
      <c r="K77" s="9" t="n"/>
      <c r="L77" s="9" t="n"/>
      <c r="M77" s="9" t="n"/>
      <c r="N77" s="41" t="n"/>
    </row>
    <row r="78" ht="22" customHeight="1">
      <c r="A78" s="5" t="n"/>
      <c r="B78" s="5" t="n"/>
      <c r="C78" s="40" t="n"/>
      <c r="D78" s="40" t="n"/>
      <c r="E78" s="30" t="n"/>
      <c r="F78" s="5" t="n"/>
      <c r="G78" s="5" t="n"/>
      <c r="H78" s="5" t="n"/>
      <c r="I78" s="5" t="n"/>
      <c r="J78" s="40" t="n"/>
      <c r="K78" s="5" t="n"/>
      <c r="L78" s="5" t="n"/>
      <c r="M78" s="5" t="n"/>
      <c r="N78" s="40" t="n"/>
    </row>
    <row r="79" ht="22" customHeight="1">
      <c r="A79" s="9" t="n"/>
      <c r="B79" s="9" t="n"/>
      <c r="C79" s="41" t="n"/>
      <c r="D79" s="41" t="n"/>
      <c r="E79" s="31" t="n"/>
      <c r="F79" s="9" t="n"/>
      <c r="G79" s="9" t="n"/>
      <c r="H79" s="9" t="n"/>
      <c r="I79" s="9" t="n"/>
      <c r="J79" s="41" t="n"/>
      <c r="K79" s="9" t="n"/>
      <c r="L79" s="9" t="n"/>
      <c r="M79" s="9" t="n"/>
      <c r="N79" s="41" t="n"/>
    </row>
    <row r="80" ht="22" customHeight="1">
      <c r="A80" s="5" t="n"/>
      <c r="B80" s="5" t="n"/>
      <c r="C80" s="40" t="n"/>
      <c r="D80" s="40" t="n"/>
      <c r="E80" s="30" t="n"/>
      <c r="F80" s="5" t="n"/>
      <c r="G80" s="5" t="n"/>
      <c r="H80" s="5" t="n"/>
      <c r="I80" s="5" t="n"/>
      <c r="J80" s="40" t="n"/>
      <c r="K80" s="5" t="n"/>
      <c r="L80" s="5" t="n"/>
      <c r="M80" s="5" t="n"/>
      <c r="N80" s="40" t="n"/>
    </row>
    <row r="81" ht="22" customHeight="1">
      <c r="A81" s="9" t="n"/>
      <c r="B81" s="9" t="n"/>
      <c r="C81" s="41" t="n"/>
      <c r="D81" s="41" t="n"/>
      <c r="E81" s="31" t="n"/>
      <c r="F81" s="9" t="n"/>
      <c r="G81" s="9" t="n"/>
      <c r="H81" s="9" t="n"/>
      <c r="I81" s="9" t="n"/>
      <c r="J81" s="41" t="n"/>
      <c r="K81" s="9" t="n"/>
      <c r="L81" s="9" t="n"/>
      <c r="M81" s="9" t="n"/>
      <c r="N81" s="41" t="n"/>
    </row>
    <row r="82" ht="22" customHeight="1">
      <c r="A82" s="5" t="n"/>
      <c r="B82" s="5" t="n"/>
      <c r="C82" s="40" t="n"/>
      <c r="D82" s="40" t="n"/>
      <c r="E82" s="30" t="n"/>
      <c r="F82" s="5" t="n"/>
      <c r="G82" s="5" t="n"/>
      <c r="H82" s="5" t="n"/>
      <c r="I82" s="5" t="n"/>
      <c r="J82" s="40" t="n"/>
      <c r="K82" s="5" t="n"/>
      <c r="L82" s="5" t="n"/>
      <c r="M82" s="5" t="n"/>
      <c r="N82" s="40" t="n"/>
    </row>
    <row r="83" ht="22" customHeight="1">
      <c r="A83" s="9" t="n"/>
      <c r="B83" s="9" t="n"/>
      <c r="C83" s="41" t="n"/>
      <c r="D83" s="41" t="n"/>
      <c r="E83" s="31" t="n"/>
      <c r="F83" s="9" t="n"/>
      <c r="G83" s="9" t="n"/>
      <c r="H83" s="9" t="n"/>
      <c r="I83" s="9" t="n"/>
      <c r="J83" s="41" t="n"/>
      <c r="K83" s="9" t="n"/>
      <c r="L83" s="9" t="n"/>
      <c r="M83" s="9" t="n"/>
      <c r="N83" s="41" t="n"/>
    </row>
    <row r="84" ht="22" customHeight="1">
      <c r="A84" s="5" t="n"/>
      <c r="B84" s="5" t="n"/>
      <c r="C84" s="40" t="n"/>
      <c r="D84" s="40" t="n"/>
      <c r="E84" s="30" t="n"/>
      <c r="F84" s="5" t="n"/>
      <c r="G84" s="5" t="n"/>
      <c r="H84" s="5" t="n"/>
      <c r="I84" s="5" t="n"/>
      <c r="J84" s="40" t="n"/>
      <c r="K84" s="5" t="n"/>
      <c r="L84" s="5" t="n"/>
      <c r="M84" s="5" t="n"/>
      <c r="N84" s="40" t="n"/>
    </row>
    <row r="85" ht="22" customHeight="1">
      <c r="A85" s="9" t="n"/>
      <c r="B85" s="9" t="n"/>
      <c r="C85" s="41" t="n"/>
      <c r="D85" s="41" t="n"/>
      <c r="E85" s="31" t="n"/>
      <c r="F85" s="9" t="n"/>
      <c r="G85" s="9" t="n"/>
      <c r="H85" s="9" t="n"/>
      <c r="I85" s="9" t="n"/>
      <c r="J85" s="41" t="n"/>
      <c r="K85" s="9" t="n"/>
      <c r="L85" s="9" t="n"/>
      <c r="M85" s="9" t="n"/>
      <c r="N85" s="41" t="n"/>
    </row>
    <row r="86" ht="22" customHeight="1">
      <c r="A86" s="5" t="n"/>
      <c r="B86" s="5" t="n"/>
      <c r="C86" s="40" t="n"/>
      <c r="D86" s="40" t="n"/>
      <c r="E86" s="30" t="n"/>
      <c r="F86" s="5" t="n"/>
      <c r="G86" s="5" t="n"/>
      <c r="H86" s="5" t="n"/>
      <c r="I86" s="5" t="n"/>
      <c r="J86" s="40" t="n"/>
      <c r="K86" s="5" t="n"/>
      <c r="L86" s="5" t="n"/>
      <c r="M86" s="5" t="n"/>
      <c r="N86" s="40" t="n"/>
    </row>
    <row r="87" ht="22" customHeight="1">
      <c r="A87" s="9" t="n"/>
      <c r="B87" s="9" t="n"/>
      <c r="C87" s="41" t="n"/>
      <c r="D87" s="41" t="n"/>
      <c r="E87" s="31" t="n"/>
      <c r="F87" s="9" t="n"/>
      <c r="G87" s="9" t="n"/>
      <c r="H87" s="9" t="n"/>
      <c r="I87" s="9" t="n"/>
      <c r="J87" s="41" t="n"/>
      <c r="K87" s="9" t="n"/>
      <c r="L87" s="9" t="n"/>
      <c r="M87" s="9" t="n"/>
      <c r="N87" s="41" t="n"/>
    </row>
    <row r="88" ht="22" customHeight="1">
      <c r="A88" s="5" t="n"/>
      <c r="B88" s="5" t="n"/>
      <c r="C88" s="40" t="n"/>
      <c r="D88" s="40" t="n"/>
      <c r="E88" s="30" t="n"/>
      <c r="F88" s="5" t="n"/>
      <c r="G88" s="5" t="n"/>
      <c r="H88" s="5" t="n"/>
      <c r="I88" s="5" t="n"/>
      <c r="J88" s="40" t="n"/>
      <c r="K88" s="5" t="n"/>
      <c r="L88" s="5" t="n"/>
      <c r="M88" s="5" t="n"/>
      <c r="N88" s="40" t="n"/>
    </row>
    <row r="89" ht="22" customHeight="1">
      <c r="A89" s="9" t="n"/>
      <c r="B89" s="9" t="n"/>
      <c r="C89" s="41" t="n"/>
      <c r="D89" s="41" t="n"/>
      <c r="E89" s="31" t="n"/>
      <c r="F89" s="9" t="n"/>
      <c r="G89" s="9" t="n"/>
      <c r="H89" s="9" t="n"/>
      <c r="I89" s="9" t="n"/>
      <c r="J89" s="41" t="n"/>
      <c r="K89" s="9" t="n"/>
      <c r="L89" s="9" t="n"/>
      <c r="M89" s="9" t="n"/>
      <c r="N89" s="41" t="n"/>
    </row>
    <row r="90" ht="22" customHeight="1">
      <c r="A90" s="5" t="n"/>
      <c r="B90" s="5" t="n"/>
      <c r="C90" s="40" t="n"/>
      <c r="D90" s="40" t="n"/>
      <c r="E90" s="30" t="n"/>
      <c r="F90" s="5" t="n"/>
      <c r="G90" s="5" t="n"/>
      <c r="H90" s="5" t="n"/>
      <c r="I90" s="5" t="n"/>
      <c r="J90" s="40" t="n"/>
      <c r="K90" s="5" t="n"/>
      <c r="L90" s="5" t="n"/>
      <c r="M90" s="5" t="n"/>
      <c r="N90" s="40" t="n"/>
    </row>
    <row r="91" ht="22" customHeight="1">
      <c r="A91" s="9" t="n"/>
      <c r="B91" s="9" t="n"/>
      <c r="C91" s="41" t="n"/>
      <c r="D91" s="41" t="n"/>
      <c r="E91" s="31" t="n"/>
      <c r="F91" s="9" t="n"/>
      <c r="G91" s="9" t="n"/>
      <c r="H91" s="9" t="n"/>
      <c r="I91" s="9" t="n"/>
      <c r="J91" s="41" t="n"/>
      <c r="K91" s="9" t="n"/>
      <c r="L91" s="9" t="n"/>
      <c r="M91" s="9" t="n"/>
      <c r="N91" s="41" t="n"/>
    </row>
    <row r="92" ht="22" customHeight="1">
      <c r="A92" s="5" t="n"/>
      <c r="B92" s="5" t="n"/>
      <c r="C92" s="40" t="n"/>
      <c r="D92" s="40" t="n"/>
      <c r="E92" s="30" t="n"/>
      <c r="F92" s="5" t="n"/>
      <c r="G92" s="5" t="n"/>
      <c r="H92" s="5" t="n"/>
      <c r="I92" s="5" t="n"/>
      <c r="J92" s="40" t="n"/>
      <c r="K92" s="5" t="n"/>
      <c r="L92" s="5" t="n"/>
      <c r="M92" s="5" t="n"/>
      <c r="N92" s="40" t="n"/>
    </row>
    <row r="93" ht="22" customHeight="1">
      <c r="A93" s="9" t="n"/>
      <c r="B93" s="9" t="n"/>
      <c r="C93" s="41" t="n"/>
      <c r="D93" s="41" t="n"/>
      <c r="E93" s="31" t="n"/>
      <c r="F93" s="9" t="n"/>
      <c r="G93" s="9" t="n"/>
      <c r="H93" s="9" t="n"/>
      <c r="I93" s="9" t="n"/>
      <c r="J93" s="41" t="n"/>
      <c r="K93" s="9" t="n"/>
      <c r="L93" s="9" t="n"/>
      <c r="M93" s="9" t="n"/>
      <c r="N93" s="41" t="n"/>
    </row>
    <row r="94" ht="22" customHeight="1">
      <c r="A94" s="5" t="n"/>
      <c r="B94" s="5" t="n"/>
      <c r="C94" s="40" t="n"/>
      <c r="D94" s="40" t="n"/>
      <c r="E94" s="30" t="n"/>
      <c r="F94" s="5" t="n"/>
      <c r="G94" s="5" t="n"/>
      <c r="H94" s="5" t="n"/>
      <c r="I94" s="5" t="n"/>
      <c r="J94" s="40" t="n"/>
      <c r="K94" s="5" t="n"/>
      <c r="L94" s="5" t="n"/>
      <c r="M94" s="5" t="n"/>
      <c r="N94" s="40" t="n"/>
    </row>
    <row r="95" ht="22" customHeight="1">
      <c r="A95" s="9" t="n"/>
      <c r="B95" s="9" t="n"/>
      <c r="C95" s="41" t="n"/>
      <c r="D95" s="41" t="n"/>
      <c r="E95" s="31" t="n"/>
      <c r="F95" s="9" t="n"/>
      <c r="G95" s="9" t="n"/>
      <c r="H95" s="9" t="n"/>
      <c r="I95" s="9" t="n"/>
      <c r="J95" s="41" t="n"/>
      <c r="K95" s="9" t="n"/>
      <c r="L95" s="9" t="n"/>
      <c r="M95" s="9" t="n"/>
      <c r="N95" s="41" t="n"/>
    </row>
    <row r="96" ht="22" customHeight="1">
      <c r="A96" s="5" t="n"/>
      <c r="B96" s="5" t="n"/>
      <c r="C96" s="40" t="n"/>
      <c r="D96" s="40" t="n"/>
      <c r="E96" s="30" t="n"/>
      <c r="F96" s="5" t="n"/>
      <c r="G96" s="5" t="n"/>
      <c r="H96" s="5" t="n"/>
      <c r="I96" s="5" t="n"/>
      <c r="J96" s="40" t="n"/>
      <c r="K96" s="5" t="n"/>
      <c r="L96" s="5" t="n"/>
      <c r="M96" s="5" t="n"/>
      <c r="N96" s="40" t="n"/>
    </row>
    <row r="97" ht="22" customHeight="1">
      <c r="A97" s="9" t="n"/>
      <c r="B97" s="9" t="n"/>
      <c r="C97" s="41" t="n"/>
      <c r="D97" s="41" t="n"/>
      <c r="E97" s="31" t="n"/>
      <c r="F97" s="9" t="n"/>
      <c r="G97" s="9" t="n"/>
      <c r="H97" s="9" t="n"/>
      <c r="I97" s="9" t="n"/>
      <c r="J97" s="41" t="n"/>
      <c r="K97" s="9" t="n"/>
      <c r="L97" s="9" t="n"/>
      <c r="M97" s="9" t="n"/>
      <c r="N97" s="41" t="n"/>
    </row>
    <row r="98" ht="22" customHeight="1">
      <c r="A98" s="5" t="n"/>
      <c r="B98" s="5" t="n"/>
      <c r="C98" s="40" t="n"/>
      <c r="D98" s="40" t="n"/>
      <c r="E98" s="30" t="n"/>
      <c r="F98" s="5" t="n"/>
      <c r="G98" s="5" t="n"/>
      <c r="H98" s="5" t="n"/>
      <c r="I98" s="5" t="n"/>
      <c r="J98" s="40" t="n"/>
      <c r="K98" s="5" t="n"/>
      <c r="L98" s="5" t="n"/>
      <c r="M98" s="5" t="n"/>
      <c r="N98" s="40" t="n"/>
    </row>
    <row r="99" ht="22" customHeight="1">
      <c r="A99" s="9" t="n"/>
      <c r="B99" s="9" t="n"/>
      <c r="C99" s="41" t="n"/>
      <c r="D99" s="41" t="n"/>
      <c r="E99" s="31" t="n"/>
      <c r="F99" s="9" t="n"/>
      <c r="G99" s="9" t="n"/>
      <c r="H99" s="9" t="n"/>
      <c r="I99" s="9" t="n"/>
      <c r="J99" s="41" t="n"/>
      <c r="K99" s="9" t="n"/>
      <c r="L99" s="9" t="n"/>
      <c r="M99" s="9" t="n"/>
      <c r="N99" s="41" t="n"/>
    </row>
    <row r="100" ht="22" customHeight="1">
      <c r="A100" s="5" t="n"/>
      <c r="B100" s="5" t="n"/>
      <c r="C100" s="40" t="n"/>
      <c r="D100" s="40" t="n"/>
      <c r="E100" s="30" t="n"/>
      <c r="F100" s="5" t="n"/>
      <c r="G100" s="5" t="n"/>
      <c r="H100" s="5" t="n"/>
      <c r="I100" s="5" t="n"/>
      <c r="J100" s="40" t="n"/>
      <c r="K100" s="5" t="n"/>
      <c r="L100" s="5" t="n"/>
      <c r="M100" s="5" t="n"/>
      <c r="N100" s="40" t="n"/>
    </row>
    <row r="101" ht="22" customHeight="1">
      <c r="A101" s="9" t="n"/>
      <c r="B101" s="9" t="n"/>
      <c r="C101" s="41" t="n"/>
      <c r="D101" s="41" t="n"/>
      <c r="E101" s="31" t="n"/>
      <c r="F101" s="9" t="n"/>
      <c r="G101" s="9" t="n"/>
      <c r="H101" s="9" t="n"/>
      <c r="I101" s="9" t="n"/>
      <c r="J101" s="41" t="n"/>
      <c r="K101" s="9" t="n"/>
      <c r="L101" s="9" t="n"/>
      <c r="M101" s="9" t="n"/>
      <c r="N101" s="41" t="n"/>
    </row>
    <row r="102" ht="22" customHeight="1">
      <c r="A102" s="5" t="n"/>
      <c r="B102" s="5" t="n"/>
      <c r="C102" s="40" t="n"/>
      <c r="D102" s="40" t="n"/>
      <c r="E102" s="30" t="n"/>
      <c r="F102" s="5" t="n"/>
      <c r="G102" s="5" t="n"/>
      <c r="H102" s="5" t="n"/>
      <c r="I102" s="5" t="n"/>
      <c r="J102" s="40" t="n"/>
      <c r="K102" s="5" t="n"/>
      <c r="L102" s="5" t="n"/>
      <c r="M102" s="5" t="n"/>
      <c r="N102" s="40" t="n"/>
    </row>
    <row r="103" ht="22" customHeight="1">
      <c r="A103" s="9" t="n"/>
      <c r="B103" s="9" t="n"/>
      <c r="C103" s="41" t="n"/>
      <c r="D103" s="41" t="n"/>
      <c r="E103" s="31" t="n"/>
      <c r="F103" s="9" t="n"/>
      <c r="G103" s="9" t="n"/>
      <c r="H103" s="9" t="n"/>
      <c r="I103" s="9" t="n"/>
      <c r="J103" s="41" t="n"/>
      <c r="K103" s="9" t="n"/>
      <c r="L103" s="9" t="n"/>
      <c r="M103" s="9" t="n"/>
      <c r="N103" s="41" t="n"/>
    </row>
    <row r="104" ht="22" customHeight="1">
      <c r="A104" s="5" t="n"/>
      <c r="B104" s="5" t="n"/>
      <c r="C104" s="40" t="n"/>
      <c r="D104" s="40" t="n"/>
      <c r="E104" s="30" t="n"/>
      <c r="F104" s="5" t="n"/>
      <c r="G104" s="5" t="n"/>
      <c r="H104" s="5" t="n"/>
      <c r="I104" s="5" t="n"/>
      <c r="J104" s="40" t="n"/>
      <c r="K104" s="5" t="n"/>
      <c r="L104" s="5" t="n"/>
      <c r="M104" s="5" t="n"/>
      <c r="N104" s="40" t="n"/>
    </row>
    <row r="105" ht="22" customHeight="1">
      <c r="A105" s="9" t="n"/>
      <c r="B105" s="9" t="n"/>
      <c r="C105" s="41" t="n"/>
      <c r="D105" s="41" t="n"/>
      <c r="E105" s="31" t="n"/>
      <c r="F105" s="9" t="n"/>
      <c r="G105" s="9" t="n"/>
      <c r="H105" s="9" t="n"/>
      <c r="I105" s="9" t="n"/>
      <c r="J105" s="41" t="n"/>
      <c r="K105" s="9" t="n"/>
      <c r="L105" s="9" t="n"/>
      <c r="M105" s="9" t="n"/>
      <c r="N105" s="41" t="n"/>
    </row>
    <row r="106" ht="22" customHeight="1">
      <c r="A106" s="5" t="n"/>
      <c r="B106" s="5" t="n"/>
      <c r="C106" s="40" t="n"/>
      <c r="D106" s="40" t="n"/>
      <c r="E106" s="30" t="n"/>
      <c r="F106" s="5" t="n"/>
      <c r="G106" s="5" t="n"/>
      <c r="H106" s="5" t="n"/>
      <c r="I106" s="5" t="n"/>
      <c r="J106" s="40" t="n"/>
      <c r="K106" s="5" t="n"/>
      <c r="L106" s="5" t="n"/>
      <c r="M106" s="5" t="n"/>
      <c r="N106" s="40" t="n"/>
    </row>
    <row r="107" ht="22" customHeight="1">
      <c r="A107" s="9" t="n"/>
      <c r="B107" s="9" t="n"/>
      <c r="C107" s="41" t="n"/>
      <c r="D107" s="41" t="n"/>
      <c r="E107" s="31" t="n"/>
      <c r="F107" s="9" t="n"/>
      <c r="G107" s="9" t="n"/>
      <c r="H107" s="9" t="n"/>
      <c r="I107" s="9" t="n"/>
      <c r="J107" s="41" t="n"/>
      <c r="K107" s="9" t="n"/>
      <c r="L107" s="9" t="n"/>
      <c r="M107" s="9" t="n"/>
      <c r="N107" s="41" t="n"/>
    </row>
    <row r="108" ht="22" customHeight="1">
      <c r="A108" s="5" t="n"/>
      <c r="B108" s="5" t="n"/>
      <c r="C108" s="40" t="n"/>
      <c r="D108" s="40" t="n"/>
      <c r="E108" s="30" t="n"/>
      <c r="F108" s="5" t="n"/>
      <c r="G108" s="5" t="n"/>
      <c r="H108" s="5" t="n"/>
      <c r="I108" s="5" t="n"/>
      <c r="J108" s="40" t="n"/>
      <c r="K108" s="5" t="n"/>
      <c r="L108" s="5" t="n"/>
      <c r="M108" s="5" t="n"/>
      <c r="N108" s="40" t="n"/>
    </row>
    <row r="109" ht="22" customHeight="1">
      <c r="A109" s="9" t="n"/>
      <c r="B109" s="9" t="n"/>
      <c r="C109" s="41" t="n"/>
      <c r="D109" s="41" t="n"/>
      <c r="E109" s="31" t="n"/>
      <c r="F109" s="9" t="n"/>
      <c r="G109" s="9" t="n"/>
      <c r="H109" s="9" t="n"/>
      <c r="I109" s="9" t="n"/>
      <c r="J109" s="41" t="n"/>
      <c r="K109" s="9" t="n"/>
      <c r="L109" s="9" t="n"/>
      <c r="M109" s="9" t="n"/>
      <c r="N109" s="41" t="n"/>
    </row>
    <row r="110" ht="22" customHeight="1">
      <c r="A110" s="5" t="n"/>
      <c r="B110" s="5" t="n"/>
      <c r="C110" s="40" t="n"/>
      <c r="D110" s="40" t="n"/>
      <c r="E110" s="30" t="n"/>
      <c r="F110" s="5" t="n"/>
      <c r="G110" s="5" t="n"/>
      <c r="H110" s="5" t="n"/>
      <c r="I110" s="5" t="n"/>
      <c r="J110" s="40" t="n"/>
      <c r="K110" s="5" t="n"/>
      <c r="L110" s="5" t="n"/>
      <c r="M110" s="5" t="n"/>
      <c r="N110" s="40" t="n"/>
    </row>
    <row r="111" ht="22" customHeight="1">
      <c r="A111" s="9" t="n"/>
      <c r="B111" s="9" t="n"/>
      <c r="C111" s="41" t="n"/>
      <c r="D111" s="41" t="n"/>
      <c r="E111" s="31" t="n"/>
      <c r="F111" s="9" t="n"/>
      <c r="G111" s="9" t="n"/>
      <c r="H111" s="9" t="n"/>
      <c r="I111" s="9" t="n"/>
      <c r="J111" s="41" t="n"/>
      <c r="K111" s="9" t="n"/>
      <c r="L111" s="9" t="n"/>
      <c r="M111" s="9" t="n"/>
      <c r="N111" s="41" t="n"/>
    </row>
    <row r="112" ht="22" customHeight="1">
      <c r="A112" s="5" t="n"/>
      <c r="B112" s="5" t="n"/>
      <c r="C112" s="40" t="n"/>
      <c r="D112" s="40" t="n"/>
      <c r="E112" s="30" t="n"/>
      <c r="F112" s="5" t="n"/>
      <c r="G112" s="5" t="n"/>
      <c r="H112" s="5" t="n"/>
      <c r="I112" s="5" t="n"/>
      <c r="J112" s="40" t="n"/>
      <c r="K112" s="5" t="n"/>
      <c r="L112" s="5" t="n"/>
      <c r="M112" s="5" t="n"/>
      <c r="N112" s="40" t="n"/>
    </row>
    <row r="113" ht="22" customHeight="1">
      <c r="A113" s="9" t="n"/>
      <c r="B113" s="9" t="n"/>
      <c r="C113" s="41" t="n"/>
      <c r="D113" s="41" t="n"/>
      <c r="E113" s="31" t="n"/>
      <c r="F113" s="9" t="n"/>
      <c r="G113" s="9" t="n"/>
      <c r="H113" s="9" t="n"/>
      <c r="I113" s="9" t="n"/>
      <c r="J113" s="41" t="n"/>
      <c r="K113" s="9" t="n"/>
      <c r="L113" s="9" t="n"/>
      <c r="M113" s="9" t="n"/>
      <c r="N113" s="41" t="n"/>
    </row>
    <row r="114" ht="22" customHeight="1">
      <c r="A114" s="5" t="n"/>
      <c r="B114" s="5" t="n"/>
      <c r="C114" s="40" t="n"/>
      <c r="D114" s="40" t="n"/>
      <c r="E114" s="30" t="n"/>
      <c r="F114" s="5" t="n"/>
      <c r="G114" s="5" t="n"/>
      <c r="H114" s="5" t="n"/>
      <c r="I114" s="5" t="n"/>
      <c r="J114" s="40" t="n"/>
      <c r="K114" s="5" t="n"/>
      <c r="L114" s="5" t="n"/>
      <c r="M114" s="5" t="n"/>
      <c r="N114" s="40" t="n"/>
    </row>
    <row r="115" ht="22" customHeight="1">
      <c r="A115" s="9" t="n"/>
      <c r="B115" s="9" t="n"/>
      <c r="C115" s="41" t="n"/>
      <c r="D115" s="41" t="n"/>
      <c r="E115" s="31" t="n"/>
      <c r="F115" s="9" t="n"/>
      <c r="G115" s="9" t="n"/>
      <c r="H115" s="9" t="n"/>
      <c r="I115" s="9" t="n"/>
      <c r="J115" s="41" t="n"/>
      <c r="K115" s="9" t="n"/>
      <c r="L115" s="9" t="n"/>
      <c r="M115" s="9" t="n"/>
      <c r="N115" s="41" t="n"/>
    </row>
  </sheetData>
  <mergeCells count="2">
    <mergeCell ref="A3:N3"/>
    <mergeCell ref="A2:N2"/>
  </mergeCells>
  <conditionalFormatting sqref="F6:F115">
    <cfRule type="cellIs" priority="1" operator="equal" dxfId="1">
      <formula>"URGENT"</formula>
    </cfRule>
    <cfRule type="cellIs" priority="2" operator="equal" dxfId="3">
      <formula>"ATTENTION"</formula>
    </cfRule>
    <cfRule type="cellIs" priority="3" operator="equal" dxfId="0">
      <formula>"OK"</formula>
    </cfRule>
  </conditionalFormatting>
  <conditionalFormatting sqref="I6:I115">
    <cfRule type="cellIs" priority="4" operator="equal" dxfId="0">
      <formula>"Oui"</formula>
    </cfRule>
    <cfRule type="cellIs" priority="5" operator="equal" dxfId="2">
      <formula>"Non"</formula>
    </cfRule>
  </conditionalFormatting>
  <dataValidations count="1">
    <dataValidation sqref="I6:I115" showDropDown="0" showInputMessage="0" showErrorMessage="0" allowBlank="1" errorTitle="Erreur" error="Valeur invalide" promptTitle="" prompt="Choisir: " type="list">
      <formula1>"Oui,Non"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MATRICE EMPLOYÉS VS AVANTAGES — Inscriptions par catégorie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Matricule</t>
        </is>
      </c>
      <c r="B5" s="4" t="inlineStr">
        <is>
          <t>Nom</t>
        </is>
      </c>
      <c r="C5" s="4" t="inlineStr">
        <is>
          <t>Santé</t>
        </is>
      </c>
      <c r="D5" s="4" t="inlineStr">
        <is>
          <t>Retraite</t>
        </is>
      </c>
      <c r="E5" s="4" t="inlineStr">
        <is>
          <t>Prévoyance</t>
        </is>
      </c>
      <c r="F5" s="4" t="inlineStr">
        <is>
          <t>Alimentation</t>
        </is>
      </c>
      <c r="G5" s="4" t="inlineStr">
        <is>
          <t>Transport</t>
        </is>
      </c>
      <c r="H5" s="4" t="inlineStr">
        <is>
          <t>Logement</t>
        </is>
      </c>
      <c r="I5" s="4" t="inlineStr">
        <is>
          <t>Formation</t>
        </is>
      </c>
      <c r="J5" s="4" t="inlineStr">
        <is>
          <t>Loisirs</t>
        </is>
      </c>
      <c r="K5" s="4" t="inlineStr">
        <is>
          <t>Autre</t>
        </is>
      </c>
      <c r="L5" s="4" t="inlineStr">
        <is>
          <t>Total</t>
        </is>
      </c>
      <c r="M5" s="4" t="inlineStr"/>
      <c r="N5" s="4" t="inlineStr"/>
    </row>
    <row r="6" ht="22" customHeight="1">
      <c r="A6" s="5" t="inlineStr">
        <is>
          <t>EMP-001</t>
        </is>
      </c>
      <c r="B6" s="5" t="inlineStr">
        <is>
          <t>Nkoulou Patrice</t>
        </is>
      </c>
      <c r="C6" s="22">
        <f>COUNTIFS('F05 - 3-Inscription Avant.'!$A$6:$A$115,A6,'F05 - 3-Inscription Avant.'!$F$6:$F$115,"Santé")</f>
        <v/>
      </c>
      <c r="D6" s="22">
        <f>COUNTIFS('F05 - 3-Inscription Avant.'!$A$6:$A$115,A6,'F05 - 3-Inscription Avant.'!$F$6:$F$115,"Retraite")</f>
        <v/>
      </c>
      <c r="E6" s="22">
        <f>COUNTIFS('F05 - 3-Inscription Avant.'!$A$6:$A$115,A6,'F05 - 3-Inscription Avant.'!$F$6:$F$115,"Prévoyance")</f>
        <v/>
      </c>
      <c r="F6" s="22">
        <f>COUNTIFS('F05 - 3-Inscription Avant.'!$A$6:$A$115,A6,'F05 - 3-Inscription Avant.'!$F$6:$F$115,"Alimentation")</f>
        <v/>
      </c>
      <c r="G6" s="22">
        <f>COUNTIFS('F05 - 3-Inscription Avant.'!$A$6:$A$115,A6,'F05 - 3-Inscription Avant.'!$F$6:$F$115,"Transport")</f>
        <v/>
      </c>
      <c r="H6" s="22">
        <f>COUNTIFS('F05 - 3-Inscription Avant.'!$A$6:$A$115,A6,'F05 - 3-Inscription Avant.'!$F$6:$F$115,"Logement")</f>
        <v/>
      </c>
      <c r="I6" s="22">
        <f>COUNTIFS('F05 - 3-Inscription Avant.'!$A$6:$A$115,A6,'F05 - 3-Inscription Avant.'!$F$6:$F$115,"Formation")</f>
        <v/>
      </c>
      <c r="J6" s="22">
        <f>COUNTIFS('F05 - 3-Inscription Avant.'!$A$6:$A$115,A6,'F05 - 3-Inscription Avant.'!$F$6:$F$115,"Loisirs")</f>
        <v/>
      </c>
      <c r="K6" s="22">
        <f>COUNTIFS('F05 - 3-Inscription Avant.'!$A$6:$A$115,A6,'F05 - 3-Inscription Avant.'!$F$6:$F$115,"Autre")</f>
        <v/>
      </c>
      <c r="L6" s="34">
        <f>SUM(C6:K6)</f>
        <v/>
      </c>
      <c r="M6" s="5" t="n"/>
      <c r="N6" s="5" t="n"/>
    </row>
    <row r="7" ht="22" customHeight="1">
      <c r="A7" s="9" t="inlineStr">
        <is>
          <t>EMP-002</t>
        </is>
      </c>
      <c r="B7" s="9" t="inlineStr">
        <is>
          <t>Mbarga Sylvie</t>
        </is>
      </c>
      <c r="C7" s="25">
        <f>COUNTIFS('F05 - 3-Inscription Avant.'!$A$6:$A$115,A7,'F05 - 3-Inscription Avant.'!$F$6:$F$115,"Santé")</f>
        <v/>
      </c>
      <c r="D7" s="25">
        <f>COUNTIFS('F05 - 3-Inscription Avant.'!$A$6:$A$115,A7,'F05 - 3-Inscription Avant.'!$F$6:$F$115,"Retraite")</f>
        <v/>
      </c>
      <c r="E7" s="25">
        <f>COUNTIFS('F05 - 3-Inscription Avant.'!$A$6:$A$115,A7,'F05 - 3-Inscription Avant.'!$F$6:$F$115,"Prévoyance")</f>
        <v/>
      </c>
      <c r="F7" s="25">
        <f>COUNTIFS('F05 - 3-Inscription Avant.'!$A$6:$A$115,A7,'F05 - 3-Inscription Avant.'!$F$6:$F$115,"Alimentation")</f>
        <v/>
      </c>
      <c r="G7" s="25">
        <f>COUNTIFS('F05 - 3-Inscription Avant.'!$A$6:$A$115,A7,'F05 - 3-Inscription Avant.'!$F$6:$F$115,"Transport")</f>
        <v/>
      </c>
      <c r="H7" s="25">
        <f>COUNTIFS('F05 - 3-Inscription Avant.'!$A$6:$A$115,A7,'F05 - 3-Inscription Avant.'!$F$6:$F$115,"Logement")</f>
        <v/>
      </c>
      <c r="I7" s="25">
        <f>COUNTIFS('F05 - 3-Inscription Avant.'!$A$6:$A$115,A7,'F05 - 3-Inscription Avant.'!$F$6:$F$115,"Formation")</f>
        <v/>
      </c>
      <c r="J7" s="25">
        <f>COUNTIFS('F05 - 3-Inscription Avant.'!$A$6:$A$115,A7,'F05 - 3-Inscription Avant.'!$F$6:$F$115,"Loisirs")</f>
        <v/>
      </c>
      <c r="K7" s="25">
        <f>COUNTIFS('F05 - 3-Inscription Avant.'!$A$6:$A$115,A7,'F05 - 3-Inscription Avant.'!$F$6:$F$115,"Autre")</f>
        <v/>
      </c>
      <c r="L7" s="35">
        <f>SUM(C7:K7)</f>
        <v/>
      </c>
      <c r="M7" s="9" t="n"/>
      <c r="N7" s="9" t="n"/>
    </row>
    <row r="8" ht="22" customHeight="1">
      <c r="A8" s="5" t="inlineStr">
        <is>
          <t>EMP-003</t>
        </is>
      </c>
      <c r="B8" s="5" t="inlineStr">
        <is>
          <t>Nganou Clémentine</t>
        </is>
      </c>
      <c r="C8" s="22">
        <f>COUNTIFS('F05 - 3-Inscription Avant.'!$A$6:$A$115,A8,'F05 - 3-Inscription Avant.'!$F$6:$F$115,"Santé")</f>
        <v/>
      </c>
      <c r="D8" s="22">
        <f>COUNTIFS('F05 - 3-Inscription Avant.'!$A$6:$A$115,A8,'F05 - 3-Inscription Avant.'!$F$6:$F$115,"Retraite")</f>
        <v/>
      </c>
      <c r="E8" s="22">
        <f>COUNTIFS('F05 - 3-Inscription Avant.'!$A$6:$A$115,A8,'F05 - 3-Inscription Avant.'!$F$6:$F$115,"Prévoyance")</f>
        <v/>
      </c>
      <c r="F8" s="22">
        <f>COUNTIFS('F05 - 3-Inscription Avant.'!$A$6:$A$115,A8,'F05 - 3-Inscription Avant.'!$F$6:$F$115,"Alimentation")</f>
        <v/>
      </c>
      <c r="G8" s="22">
        <f>COUNTIFS('F05 - 3-Inscription Avant.'!$A$6:$A$115,A8,'F05 - 3-Inscription Avant.'!$F$6:$F$115,"Transport")</f>
        <v/>
      </c>
      <c r="H8" s="22">
        <f>COUNTIFS('F05 - 3-Inscription Avant.'!$A$6:$A$115,A8,'F05 - 3-Inscription Avant.'!$F$6:$F$115,"Logement")</f>
        <v/>
      </c>
      <c r="I8" s="22">
        <f>COUNTIFS('F05 - 3-Inscription Avant.'!$A$6:$A$115,A8,'F05 - 3-Inscription Avant.'!$F$6:$F$115,"Formation")</f>
        <v/>
      </c>
      <c r="J8" s="22">
        <f>COUNTIFS('F05 - 3-Inscription Avant.'!$A$6:$A$115,A8,'F05 - 3-Inscription Avant.'!$F$6:$F$115,"Loisirs")</f>
        <v/>
      </c>
      <c r="K8" s="22">
        <f>COUNTIFS('F05 - 3-Inscription Avant.'!$A$6:$A$115,A8,'F05 - 3-Inscription Avant.'!$F$6:$F$115,"Autre")</f>
        <v/>
      </c>
      <c r="L8" s="34">
        <f>SUM(C8:K8)</f>
        <v/>
      </c>
      <c r="M8" s="5" t="n"/>
      <c r="N8" s="5" t="n"/>
    </row>
    <row r="9" ht="22" customHeight="1">
      <c r="A9" s="9" t="inlineStr">
        <is>
          <t>EMP-004</t>
        </is>
      </c>
      <c r="B9" s="9" t="inlineStr">
        <is>
          <t>Tchinda Albert</t>
        </is>
      </c>
      <c r="C9" s="25">
        <f>COUNTIFS('F05 - 3-Inscription Avant.'!$A$6:$A$115,A9,'F05 - 3-Inscription Avant.'!$F$6:$F$115,"Santé")</f>
        <v/>
      </c>
      <c r="D9" s="25">
        <f>COUNTIFS('F05 - 3-Inscription Avant.'!$A$6:$A$115,A9,'F05 - 3-Inscription Avant.'!$F$6:$F$115,"Retraite")</f>
        <v/>
      </c>
      <c r="E9" s="25">
        <f>COUNTIFS('F05 - 3-Inscription Avant.'!$A$6:$A$115,A9,'F05 - 3-Inscription Avant.'!$F$6:$F$115,"Prévoyance")</f>
        <v/>
      </c>
      <c r="F9" s="25">
        <f>COUNTIFS('F05 - 3-Inscription Avant.'!$A$6:$A$115,A9,'F05 - 3-Inscription Avant.'!$F$6:$F$115,"Alimentation")</f>
        <v/>
      </c>
      <c r="G9" s="25">
        <f>COUNTIFS('F05 - 3-Inscription Avant.'!$A$6:$A$115,A9,'F05 - 3-Inscription Avant.'!$F$6:$F$115,"Transport")</f>
        <v/>
      </c>
      <c r="H9" s="25">
        <f>COUNTIFS('F05 - 3-Inscription Avant.'!$A$6:$A$115,A9,'F05 - 3-Inscription Avant.'!$F$6:$F$115,"Logement")</f>
        <v/>
      </c>
      <c r="I9" s="25">
        <f>COUNTIFS('F05 - 3-Inscription Avant.'!$A$6:$A$115,A9,'F05 - 3-Inscription Avant.'!$F$6:$F$115,"Formation")</f>
        <v/>
      </c>
      <c r="J9" s="25">
        <f>COUNTIFS('F05 - 3-Inscription Avant.'!$A$6:$A$115,A9,'F05 - 3-Inscription Avant.'!$F$6:$F$115,"Loisirs")</f>
        <v/>
      </c>
      <c r="K9" s="25">
        <f>COUNTIFS('F05 - 3-Inscription Avant.'!$A$6:$A$115,A9,'F05 - 3-Inscription Avant.'!$F$6:$F$115,"Autre")</f>
        <v/>
      </c>
      <c r="L9" s="35">
        <f>SUM(C9:K9)</f>
        <v/>
      </c>
      <c r="M9" s="9" t="n"/>
      <c r="N9" s="9" t="n"/>
    </row>
    <row r="10" ht="22" customHeight="1">
      <c r="A10" s="5" t="inlineStr">
        <is>
          <t>EMP-005</t>
        </is>
      </c>
      <c r="B10" s="5" t="inlineStr">
        <is>
          <t>Bessa Jean-Pierre</t>
        </is>
      </c>
      <c r="C10" s="22">
        <f>COUNTIFS('F05 - 3-Inscription Avant.'!$A$6:$A$115,A10,'F05 - 3-Inscription Avant.'!$F$6:$F$115,"Santé")</f>
        <v/>
      </c>
      <c r="D10" s="22">
        <f>COUNTIFS('F05 - 3-Inscription Avant.'!$A$6:$A$115,A10,'F05 - 3-Inscription Avant.'!$F$6:$F$115,"Retraite")</f>
        <v/>
      </c>
      <c r="E10" s="22">
        <f>COUNTIFS('F05 - 3-Inscription Avant.'!$A$6:$A$115,A10,'F05 - 3-Inscription Avant.'!$F$6:$F$115,"Prévoyance")</f>
        <v/>
      </c>
      <c r="F10" s="22">
        <f>COUNTIFS('F05 - 3-Inscription Avant.'!$A$6:$A$115,A10,'F05 - 3-Inscription Avant.'!$F$6:$F$115,"Alimentation")</f>
        <v/>
      </c>
      <c r="G10" s="22">
        <f>COUNTIFS('F05 - 3-Inscription Avant.'!$A$6:$A$115,A10,'F05 - 3-Inscription Avant.'!$F$6:$F$115,"Transport")</f>
        <v/>
      </c>
      <c r="H10" s="22">
        <f>COUNTIFS('F05 - 3-Inscription Avant.'!$A$6:$A$115,A10,'F05 - 3-Inscription Avant.'!$F$6:$F$115,"Logement")</f>
        <v/>
      </c>
      <c r="I10" s="22">
        <f>COUNTIFS('F05 - 3-Inscription Avant.'!$A$6:$A$115,A10,'F05 - 3-Inscription Avant.'!$F$6:$F$115,"Formation")</f>
        <v/>
      </c>
      <c r="J10" s="22">
        <f>COUNTIFS('F05 - 3-Inscription Avant.'!$A$6:$A$115,A10,'F05 - 3-Inscription Avant.'!$F$6:$F$115,"Loisirs")</f>
        <v/>
      </c>
      <c r="K10" s="22">
        <f>COUNTIFS('F05 - 3-Inscription Avant.'!$A$6:$A$115,A10,'F05 - 3-Inscription Avant.'!$F$6:$F$115,"Autre")</f>
        <v/>
      </c>
      <c r="L10" s="34">
        <f>SUM(C10:K10)</f>
        <v/>
      </c>
      <c r="M10" s="5" t="n"/>
      <c r="N10" s="5" t="n"/>
    </row>
    <row r="11" ht="22" customHeight="1">
      <c r="A11" s="9" t="inlineStr">
        <is>
          <t>EMP-006</t>
        </is>
      </c>
      <c r="B11" s="9" t="inlineStr">
        <is>
          <t>Fotso Marie</t>
        </is>
      </c>
      <c r="C11" s="25">
        <f>COUNTIFS('F05 - 3-Inscription Avant.'!$A$6:$A$115,A11,'F05 - 3-Inscription Avant.'!$F$6:$F$115,"Santé")</f>
        <v/>
      </c>
      <c r="D11" s="25">
        <f>COUNTIFS('F05 - 3-Inscription Avant.'!$A$6:$A$115,A11,'F05 - 3-Inscription Avant.'!$F$6:$F$115,"Retraite")</f>
        <v/>
      </c>
      <c r="E11" s="25">
        <f>COUNTIFS('F05 - 3-Inscription Avant.'!$A$6:$A$115,A11,'F05 - 3-Inscription Avant.'!$F$6:$F$115,"Prévoyance")</f>
        <v/>
      </c>
      <c r="F11" s="25">
        <f>COUNTIFS('F05 - 3-Inscription Avant.'!$A$6:$A$115,A11,'F05 - 3-Inscription Avant.'!$F$6:$F$115,"Alimentation")</f>
        <v/>
      </c>
      <c r="G11" s="25">
        <f>COUNTIFS('F05 - 3-Inscription Avant.'!$A$6:$A$115,A11,'F05 - 3-Inscription Avant.'!$F$6:$F$115,"Transport")</f>
        <v/>
      </c>
      <c r="H11" s="25">
        <f>COUNTIFS('F05 - 3-Inscription Avant.'!$A$6:$A$115,A11,'F05 - 3-Inscription Avant.'!$F$6:$F$115,"Logement")</f>
        <v/>
      </c>
      <c r="I11" s="25">
        <f>COUNTIFS('F05 - 3-Inscription Avant.'!$A$6:$A$115,A11,'F05 - 3-Inscription Avant.'!$F$6:$F$115,"Formation")</f>
        <v/>
      </c>
      <c r="J11" s="25">
        <f>COUNTIFS('F05 - 3-Inscription Avant.'!$A$6:$A$115,A11,'F05 - 3-Inscription Avant.'!$F$6:$F$115,"Loisirs")</f>
        <v/>
      </c>
      <c r="K11" s="25">
        <f>COUNTIFS('F05 - 3-Inscription Avant.'!$A$6:$A$115,A11,'F05 - 3-Inscription Avant.'!$F$6:$F$115,"Autre")</f>
        <v/>
      </c>
      <c r="L11" s="35">
        <f>SUM(C11:K11)</f>
        <v/>
      </c>
      <c r="M11" s="9" t="n"/>
      <c r="N11" s="9" t="n"/>
    </row>
    <row r="12" ht="22" customHeight="1">
      <c r="A12" s="5" t="inlineStr">
        <is>
          <t>EMP-007</t>
        </is>
      </c>
      <c r="B12" s="5" t="inlineStr">
        <is>
          <t>Kamga Samuel</t>
        </is>
      </c>
      <c r="C12" s="22">
        <f>COUNTIFS('F05 - 3-Inscription Avant.'!$A$6:$A$115,A12,'F05 - 3-Inscription Avant.'!$F$6:$F$115,"Santé")</f>
        <v/>
      </c>
      <c r="D12" s="22">
        <f>COUNTIFS('F05 - 3-Inscription Avant.'!$A$6:$A$115,A12,'F05 - 3-Inscription Avant.'!$F$6:$F$115,"Retraite")</f>
        <v/>
      </c>
      <c r="E12" s="22">
        <f>COUNTIFS('F05 - 3-Inscription Avant.'!$A$6:$A$115,A12,'F05 - 3-Inscription Avant.'!$F$6:$F$115,"Prévoyance")</f>
        <v/>
      </c>
      <c r="F12" s="22">
        <f>COUNTIFS('F05 - 3-Inscription Avant.'!$A$6:$A$115,A12,'F05 - 3-Inscription Avant.'!$F$6:$F$115,"Alimentation")</f>
        <v/>
      </c>
      <c r="G12" s="22">
        <f>COUNTIFS('F05 - 3-Inscription Avant.'!$A$6:$A$115,A12,'F05 - 3-Inscription Avant.'!$F$6:$F$115,"Transport")</f>
        <v/>
      </c>
      <c r="H12" s="22">
        <f>COUNTIFS('F05 - 3-Inscription Avant.'!$A$6:$A$115,A12,'F05 - 3-Inscription Avant.'!$F$6:$F$115,"Logement")</f>
        <v/>
      </c>
      <c r="I12" s="22">
        <f>COUNTIFS('F05 - 3-Inscription Avant.'!$A$6:$A$115,A12,'F05 - 3-Inscription Avant.'!$F$6:$F$115,"Formation")</f>
        <v/>
      </c>
      <c r="J12" s="22">
        <f>COUNTIFS('F05 - 3-Inscription Avant.'!$A$6:$A$115,A12,'F05 - 3-Inscription Avant.'!$F$6:$F$115,"Loisirs")</f>
        <v/>
      </c>
      <c r="K12" s="22">
        <f>COUNTIFS('F05 - 3-Inscription Avant.'!$A$6:$A$115,A12,'F05 - 3-Inscription Avant.'!$F$6:$F$115,"Autre")</f>
        <v/>
      </c>
      <c r="L12" s="34">
        <f>SUM(C12:K12)</f>
        <v/>
      </c>
      <c r="M12" s="5" t="n"/>
      <c r="N12" s="5" t="n"/>
    </row>
    <row r="13" ht="22" customHeight="1">
      <c r="A13" s="9" t="inlineStr">
        <is>
          <t>EMP-008</t>
        </is>
      </c>
      <c r="B13" s="9" t="inlineStr">
        <is>
          <t>Djomga Thérèse</t>
        </is>
      </c>
      <c r="C13" s="25">
        <f>COUNTIFS('F05 - 3-Inscription Avant.'!$A$6:$A$115,A13,'F05 - 3-Inscription Avant.'!$F$6:$F$115,"Santé")</f>
        <v/>
      </c>
      <c r="D13" s="25">
        <f>COUNTIFS('F05 - 3-Inscription Avant.'!$A$6:$A$115,A13,'F05 - 3-Inscription Avant.'!$F$6:$F$115,"Retraite")</f>
        <v/>
      </c>
      <c r="E13" s="25">
        <f>COUNTIFS('F05 - 3-Inscription Avant.'!$A$6:$A$115,A13,'F05 - 3-Inscription Avant.'!$F$6:$F$115,"Prévoyance")</f>
        <v/>
      </c>
      <c r="F13" s="25">
        <f>COUNTIFS('F05 - 3-Inscription Avant.'!$A$6:$A$115,A13,'F05 - 3-Inscription Avant.'!$F$6:$F$115,"Alimentation")</f>
        <v/>
      </c>
      <c r="G13" s="25">
        <f>COUNTIFS('F05 - 3-Inscription Avant.'!$A$6:$A$115,A13,'F05 - 3-Inscription Avant.'!$F$6:$F$115,"Transport")</f>
        <v/>
      </c>
      <c r="H13" s="25">
        <f>COUNTIFS('F05 - 3-Inscription Avant.'!$A$6:$A$115,A13,'F05 - 3-Inscription Avant.'!$F$6:$F$115,"Logement")</f>
        <v/>
      </c>
      <c r="I13" s="25">
        <f>COUNTIFS('F05 - 3-Inscription Avant.'!$A$6:$A$115,A13,'F05 - 3-Inscription Avant.'!$F$6:$F$115,"Formation")</f>
        <v/>
      </c>
      <c r="J13" s="25">
        <f>COUNTIFS('F05 - 3-Inscription Avant.'!$A$6:$A$115,A13,'F05 - 3-Inscription Avant.'!$F$6:$F$115,"Loisirs")</f>
        <v/>
      </c>
      <c r="K13" s="25">
        <f>COUNTIFS('F05 - 3-Inscription Avant.'!$A$6:$A$115,A13,'F05 - 3-Inscription Avant.'!$F$6:$F$115,"Autre")</f>
        <v/>
      </c>
      <c r="L13" s="35">
        <f>SUM(C13:K13)</f>
        <v/>
      </c>
      <c r="M13" s="9" t="n"/>
      <c r="N13" s="9" t="n"/>
    </row>
    <row r="14" ht="22" customHeight="1">
      <c r="A14" s="5" t="inlineStr">
        <is>
          <t>EMP-009</t>
        </is>
      </c>
      <c r="B14" s="5" t="inlineStr">
        <is>
          <t>Tabi Emmanuel</t>
        </is>
      </c>
      <c r="C14" s="22">
        <f>COUNTIFS('F05 - 3-Inscription Avant.'!$A$6:$A$115,A14,'F05 - 3-Inscription Avant.'!$F$6:$F$115,"Santé")</f>
        <v/>
      </c>
      <c r="D14" s="22">
        <f>COUNTIFS('F05 - 3-Inscription Avant.'!$A$6:$A$115,A14,'F05 - 3-Inscription Avant.'!$F$6:$F$115,"Retraite")</f>
        <v/>
      </c>
      <c r="E14" s="22">
        <f>COUNTIFS('F05 - 3-Inscription Avant.'!$A$6:$A$115,A14,'F05 - 3-Inscription Avant.'!$F$6:$F$115,"Prévoyance")</f>
        <v/>
      </c>
      <c r="F14" s="22">
        <f>COUNTIFS('F05 - 3-Inscription Avant.'!$A$6:$A$115,A14,'F05 - 3-Inscription Avant.'!$F$6:$F$115,"Alimentation")</f>
        <v/>
      </c>
      <c r="G14" s="22">
        <f>COUNTIFS('F05 - 3-Inscription Avant.'!$A$6:$A$115,A14,'F05 - 3-Inscription Avant.'!$F$6:$F$115,"Transport")</f>
        <v/>
      </c>
      <c r="H14" s="22">
        <f>COUNTIFS('F05 - 3-Inscription Avant.'!$A$6:$A$115,A14,'F05 - 3-Inscription Avant.'!$F$6:$F$115,"Logement")</f>
        <v/>
      </c>
      <c r="I14" s="22">
        <f>COUNTIFS('F05 - 3-Inscription Avant.'!$A$6:$A$115,A14,'F05 - 3-Inscription Avant.'!$F$6:$F$115,"Formation")</f>
        <v/>
      </c>
      <c r="J14" s="22">
        <f>COUNTIFS('F05 - 3-Inscription Avant.'!$A$6:$A$115,A14,'F05 - 3-Inscription Avant.'!$F$6:$F$115,"Loisirs")</f>
        <v/>
      </c>
      <c r="K14" s="22">
        <f>COUNTIFS('F05 - 3-Inscription Avant.'!$A$6:$A$115,A14,'F05 - 3-Inscription Avant.'!$F$6:$F$115,"Autre")</f>
        <v/>
      </c>
      <c r="L14" s="34">
        <f>SUM(C14:K14)</f>
        <v/>
      </c>
      <c r="M14" s="5" t="n"/>
      <c r="N14" s="5" t="n"/>
    </row>
    <row r="15" ht="22" customHeight="1">
      <c r="A15" s="9" t="inlineStr">
        <is>
          <t>EMP-010</t>
        </is>
      </c>
      <c r="B15" s="9" t="inlineStr">
        <is>
          <t>Ngo Anatole</t>
        </is>
      </c>
      <c r="C15" s="25">
        <f>COUNTIFS('F05 - 3-Inscription Avant.'!$A$6:$A$115,A15,'F05 - 3-Inscription Avant.'!$F$6:$F$115,"Santé")</f>
        <v/>
      </c>
      <c r="D15" s="25">
        <f>COUNTIFS('F05 - 3-Inscription Avant.'!$A$6:$A$115,A15,'F05 - 3-Inscription Avant.'!$F$6:$F$115,"Retraite")</f>
        <v/>
      </c>
      <c r="E15" s="25">
        <f>COUNTIFS('F05 - 3-Inscription Avant.'!$A$6:$A$115,A15,'F05 - 3-Inscription Avant.'!$F$6:$F$115,"Prévoyance")</f>
        <v/>
      </c>
      <c r="F15" s="25">
        <f>COUNTIFS('F05 - 3-Inscription Avant.'!$A$6:$A$115,A15,'F05 - 3-Inscription Avant.'!$F$6:$F$115,"Alimentation")</f>
        <v/>
      </c>
      <c r="G15" s="25">
        <f>COUNTIFS('F05 - 3-Inscription Avant.'!$A$6:$A$115,A15,'F05 - 3-Inscription Avant.'!$F$6:$F$115,"Transport")</f>
        <v/>
      </c>
      <c r="H15" s="25">
        <f>COUNTIFS('F05 - 3-Inscription Avant.'!$A$6:$A$115,A15,'F05 - 3-Inscription Avant.'!$F$6:$F$115,"Logement")</f>
        <v/>
      </c>
      <c r="I15" s="25">
        <f>COUNTIFS('F05 - 3-Inscription Avant.'!$A$6:$A$115,A15,'F05 - 3-Inscription Avant.'!$F$6:$F$115,"Formation")</f>
        <v/>
      </c>
      <c r="J15" s="25">
        <f>COUNTIFS('F05 - 3-Inscription Avant.'!$A$6:$A$115,A15,'F05 - 3-Inscription Avant.'!$F$6:$F$115,"Loisirs")</f>
        <v/>
      </c>
      <c r="K15" s="25">
        <f>COUNTIFS('F05 - 3-Inscription Avant.'!$A$6:$A$115,A15,'F05 - 3-Inscription Avant.'!$F$6:$F$115,"Autre")</f>
        <v/>
      </c>
      <c r="L15" s="35">
        <f>SUM(C15:K15)</f>
        <v/>
      </c>
      <c r="M15" s="9" t="n"/>
      <c r="N15" s="9" t="n"/>
    </row>
    <row r="16" ht="22" customHeight="1">
      <c r="A16" s="5" t="inlineStr">
        <is>
          <t>EMP-011</t>
        </is>
      </c>
      <c r="B16" s="5" t="inlineStr">
        <is>
          <t>Aka Béatrice</t>
        </is>
      </c>
      <c r="C16" s="22">
        <f>COUNTIFS('F05 - 3-Inscription Avant.'!$A$6:$A$115,A16,'F05 - 3-Inscription Avant.'!$F$6:$F$115,"Santé")</f>
        <v/>
      </c>
      <c r="D16" s="22">
        <f>COUNTIFS('F05 - 3-Inscription Avant.'!$A$6:$A$115,A16,'F05 - 3-Inscription Avant.'!$F$6:$F$115,"Retraite")</f>
        <v/>
      </c>
      <c r="E16" s="22">
        <f>COUNTIFS('F05 - 3-Inscription Avant.'!$A$6:$A$115,A16,'F05 - 3-Inscription Avant.'!$F$6:$F$115,"Prévoyance")</f>
        <v/>
      </c>
      <c r="F16" s="22">
        <f>COUNTIFS('F05 - 3-Inscription Avant.'!$A$6:$A$115,A16,'F05 - 3-Inscription Avant.'!$F$6:$F$115,"Alimentation")</f>
        <v/>
      </c>
      <c r="G16" s="22">
        <f>COUNTIFS('F05 - 3-Inscription Avant.'!$A$6:$A$115,A16,'F05 - 3-Inscription Avant.'!$F$6:$F$115,"Transport")</f>
        <v/>
      </c>
      <c r="H16" s="22">
        <f>COUNTIFS('F05 - 3-Inscription Avant.'!$A$6:$A$115,A16,'F05 - 3-Inscription Avant.'!$F$6:$F$115,"Logement")</f>
        <v/>
      </c>
      <c r="I16" s="22">
        <f>COUNTIFS('F05 - 3-Inscription Avant.'!$A$6:$A$115,A16,'F05 - 3-Inscription Avant.'!$F$6:$F$115,"Formation")</f>
        <v/>
      </c>
      <c r="J16" s="22">
        <f>COUNTIFS('F05 - 3-Inscription Avant.'!$A$6:$A$115,A16,'F05 - 3-Inscription Avant.'!$F$6:$F$115,"Loisirs")</f>
        <v/>
      </c>
      <c r="K16" s="22">
        <f>COUNTIFS('F05 - 3-Inscription Avant.'!$A$6:$A$115,A16,'F05 - 3-Inscription Avant.'!$F$6:$F$115,"Autre")</f>
        <v/>
      </c>
      <c r="L16" s="34">
        <f>SUM(C16:K16)</f>
        <v/>
      </c>
      <c r="M16" s="5" t="n"/>
      <c r="N16" s="5" t="n"/>
    </row>
    <row r="17" ht="22" customHeight="1">
      <c r="A17" s="9" t="inlineStr">
        <is>
          <t>EMP-012</t>
        </is>
      </c>
      <c r="B17" s="9" t="inlineStr">
        <is>
          <t>Yao Serge</t>
        </is>
      </c>
      <c r="C17" s="25">
        <f>COUNTIFS('F05 - 3-Inscription Avant.'!$A$6:$A$115,A17,'F05 - 3-Inscription Avant.'!$F$6:$F$115,"Santé")</f>
        <v/>
      </c>
      <c r="D17" s="25">
        <f>COUNTIFS('F05 - 3-Inscription Avant.'!$A$6:$A$115,A17,'F05 - 3-Inscription Avant.'!$F$6:$F$115,"Retraite")</f>
        <v/>
      </c>
      <c r="E17" s="25">
        <f>COUNTIFS('F05 - 3-Inscription Avant.'!$A$6:$A$115,A17,'F05 - 3-Inscription Avant.'!$F$6:$F$115,"Prévoyance")</f>
        <v/>
      </c>
      <c r="F17" s="25">
        <f>COUNTIFS('F05 - 3-Inscription Avant.'!$A$6:$A$115,A17,'F05 - 3-Inscription Avant.'!$F$6:$F$115,"Alimentation")</f>
        <v/>
      </c>
      <c r="G17" s="25">
        <f>COUNTIFS('F05 - 3-Inscription Avant.'!$A$6:$A$115,A17,'F05 - 3-Inscription Avant.'!$F$6:$F$115,"Transport")</f>
        <v/>
      </c>
      <c r="H17" s="25">
        <f>COUNTIFS('F05 - 3-Inscription Avant.'!$A$6:$A$115,A17,'F05 - 3-Inscription Avant.'!$F$6:$F$115,"Logement")</f>
        <v/>
      </c>
      <c r="I17" s="25">
        <f>COUNTIFS('F05 - 3-Inscription Avant.'!$A$6:$A$115,A17,'F05 - 3-Inscription Avant.'!$F$6:$F$115,"Formation")</f>
        <v/>
      </c>
      <c r="J17" s="25">
        <f>COUNTIFS('F05 - 3-Inscription Avant.'!$A$6:$A$115,A17,'F05 - 3-Inscription Avant.'!$F$6:$F$115,"Loisirs")</f>
        <v/>
      </c>
      <c r="K17" s="25">
        <f>COUNTIFS('F05 - 3-Inscription Avant.'!$A$6:$A$115,A17,'F05 - 3-Inscription Avant.'!$F$6:$F$115,"Autre")</f>
        <v/>
      </c>
      <c r="L17" s="35">
        <f>SUM(C17:K17)</f>
        <v/>
      </c>
      <c r="M17" s="9" t="n"/>
      <c r="N17" s="9" t="n"/>
    </row>
    <row r="18" ht="22" customHeight="1">
      <c r="A18" s="36" t="inlineStr">
        <is>
          <t>TOTAL</t>
        </is>
      </c>
      <c r="B18" s="36" t="inlineStr">
        <is>
          <t>par catégorie</t>
        </is>
      </c>
      <c r="C18" s="37">
        <f>SUM(C6:C17)</f>
        <v/>
      </c>
      <c r="D18" s="37">
        <f>SUM(D6:D17)</f>
        <v/>
      </c>
      <c r="E18" s="37">
        <f>SUM(E6:E17)</f>
        <v/>
      </c>
      <c r="F18" s="37">
        <f>SUM(F6:F17)</f>
        <v/>
      </c>
      <c r="G18" s="37">
        <f>SUM(G6:G17)</f>
        <v/>
      </c>
      <c r="H18" s="37">
        <f>SUM(H6:H17)</f>
        <v/>
      </c>
      <c r="I18" s="37">
        <f>SUM(I6:I17)</f>
        <v/>
      </c>
      <c r="J18" s="37">
        <f>SUM(J6:J17)</f>
        <v/>
      </c>
      <c r="K18" s="37">
        <f>SUM(K6:K17)</f>
        <v/>
      </c>
      <c r="L18" s="37">
        <f>SUM(L6:L17)</f>
        <v/>
      </c>
      <c r="M18" s="5" t="n"/>
      <c r="N18" s="5" t="n"/>
    </row>
    <row r="19" ht="22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 ht="22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22" customHeight="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 ht="22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22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 ht="22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</row>
    <row r="25" ht="22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 ht="22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</row>
    <row r="27" ht="22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 ht="22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</row>
    <row r="29" ht="22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 ht="22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</row>
    <row r="31" ht="22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</row>
    <row r="32" ht="22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</row>
    <row r="33" ht="22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</row>
    <row r="34" ht="22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</row>
    <row r="35" ht="22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 ht="22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</row>
    <row r="37" ht="22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</row>
    <row r="38" ht="22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</row>
    <row r="39" ht="22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</row>
    <row r="40" ht="22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</row>
    <row r="41" ht="22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</row>
    <row r="42" ht="22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</row>
    <row r="43" ht="22" customHeight="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</row>
    <row r="44" ht="22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</row>
    <row r="45" ht="22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</row>
    <row r="46" ht="22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</row>
    <row r="47" ht="22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</row>
    <row r="48" ht="22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</row>
    <row r="49" ht="22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</row>
    <row r="50" ht="22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</row>
    <row r="51" ht="22" customHeight="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</row>
    <row r="52" ht="22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22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</row>
    <row r="54" ht="22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</row>
    <row r="55" ht="22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</row>
    <row r="56" ht="22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</row>
    <row r="57" ht="22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</row>
    <row r="58" ht="22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</row>
    <row r="59" ht="22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</row>
    <row r="60" ht="22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</row>
    <row r="61" ht="22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</row>
    <row r="62" ht="22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</row>
    <row r="63" ht="22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</row>
    <row r="64" ht="22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</row>
    <row r="65" ht="22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</row>
    <row r="66" ht="22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</row>
    <row r="67" ht="22" customHeight="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</row>
    <row r="68" ht="22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</row>
    <row r="69" ht="22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</row>
    <row r="70" ht="22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</row>
    <row r="71" ht="22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</row>
    <row r="72" ht="22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</row>
    <row r="73" ht="22" customHeight="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</row>
    <row r="74" ht="22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</row>
    <row r="75" ht="22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</row>
    <row r="76" ht="22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</row>
    <row r="77" ht="22" customHeight="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</row>
    <row r="78" ht="22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</row>
    <row r="79" ht="22" customHeight="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</row>
    <row r="80" ht="22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</row>
    <row r="81" ht="22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</row>
    <row r="82" ht="22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</row>
    <row r="83" ht="22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</row>
    <row r="84" ht="22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</row>
    <row r="85" ht="22" customHeight="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</row>
    <row r="86" ht="22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</row>
    <row r="87" ht="22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</row>
    <row r="88" ht="22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</row>
    <row r="89" ht="22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</row>
    <row r="90" ht="22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</row>
    <row r="91" ht="22" customHeight="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</row>
    <row r="92" ht="22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</row>
    <row r="93" ht="22" customHeight="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</row>
    <row r="94" ht="22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</row>
    <row r="95" ht="22" customHeight="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</row>
    <row r="96" ht="22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</row>
    <row r="97" ht="22" customHeight="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</row>
    <row r="98" ht="22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</row>
    <row r="99" ht="22" customHeight="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</row>
    <row r="100" ht="22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 ht="22" customHeight="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</row>
    <row r="102" ht="22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 ht="22" customHeight="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</row>
    <row r="104" ht="22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 ht="22" customHeight="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</row>
    <row r="106" ht="22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 ht="22" customHeight="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</row>
    <row r="108" ht="22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 ht="22" customHeight="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</row>
    <row r="110" ht="22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 ht="22" customHeight="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</row>
    <row r="112" ht="22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 ht="22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</row>
    <row r="114" ht="22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 ht="22" customHeight="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</row>
  </sheetData>
  <mergeCells count="2">
    <mergeCell ref="A3:N3"/>
    <mergeCell ref="A2:N2"/>
  </mergeCells>
  <conditionalFormatting sqref="C6:C17">
    <cfRule type="cellIs" priority="1" operator="equal" dxfId="4">
      <formula>"0"</formula>
    </cfRule>
  </conditionalFormatting>
  <conditionalFormatting sqref="D6:D17">
    <cfRule type="cellIs" priority="2" operator="equal" dxfId="4">
      <formula>"0"</formula>
    </cfRule>
  </conditionalFormatting>
  <conditionalFormatting sqref="E6:E17">
    <cfRule type="cellIs" priority="3" operator="equal" dxfId="4">
      <formula>"0"</formula>
    </cfRule>
  </conditionalFormatting>
  <conditionalFormatting sqref="F6:F17">
    <cfRule type="cellIs" priority="4" operator="equal" dxfId="4">
      <formula>"0"</formula>
    </cfRule>
  </conditionalFormatting>
  <conditionalFormatting sqref="G6:G17">
    <cfRule type="cellIs" priority="5" operator="equal" dxfId="4">
      <formula>"0"</formula>
    </cfRule>
  </conditionalFormatting>
  <conditionalFormatting sqref="H6:H17">
    <cfRule type="cellIs" priority="6" operator="equal" dxfId="4">
      <formula>"0"</formula>
    </cfRule>
  </conditionalFormatting>
  <conditionalFormatting sqref="I6:I17">
    <cfRule type="cellIs" priority="7" operator="equal" dxfId="4">
      <formula>"0"</formula>
    </cfRule>
  </conditionalFormatting>
  <conditionalFormatting sqref="J6:J17">
    <cfRule type="cellIs" priority="8" operator="equal" dxfId="4">
      <formula>"0"</formula>
    </cfRule>
  </conditionalFormatting>
  <conditionalFormatting sqref="K6:K17">
    <cfRule type="cellIs" priority="9" operator="equal" dxfId="4">
      <formula>"0"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4" customWidth="1" min="4" max="4"/>
    <col width="22" customWidth="1" min="5" max="5"/>
    <col width="22" customWidth="1" min="6" max="6"/>
    <col width="22" customWidth="1" min="7" max="7"/>
    <col width="24" customWidth="1" min="8" max="8"/>
    <col width="22" customWidth="1" min="9" max="9"/>
    <col width="20" customWidth="1" min="10" max="10"/>
    <col width="22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TABLEAU DE BORD FINANCIER — Suivi mensuel des coûts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Mois</t>
        </is>
      </c>
      <c r="B5" s="4" t="inlineStr">
        <is>
          <t>Total Santé (FCFA)</t>
        </is>
      </c>
      <c r="C5" s="4" t="inlineStr">
        <is>
          <t>Total Retraite (FCFA)</t>
        </is>
      </c>
      <c r="D5" s="4" t="inlineStr">
        <is>
          <t>Total Alimentation (FCFA)</t>
        </is>
      </c>
      <c r="E5" s="4" t="inlineStr">
        <is>
          <t>Total Transport (FCFA)</t>
        </is>
      </c>
      <c r="F5" s="4" t="inlineStr">
        <is>
          <t>Total Logements (FCFA)</t>
        </is>
      </c>
      <c r="G5" s="4" t="inlineStr">
        <is>
          <t>Total Autres (FCFA)</t>
        </is>
      </c>
      <c r="H5" s="4" t="inlineStr">
        <is>
          <t>Coût total mois (FCFA)</t>
        </is>
      </c>
      <c r="I5" s="4" t="inlineStr">
        <is>
          <t>Budget mensuel (FCFA)</t>
        </is>
      </c>
      <c r="J5" s="4" t="inlineStr">
        <is>
          <t>Écart (FCFA)</t>
        </is>
      </c>
      <c r="K5" s="4" t="inlineStr">
        <is>
          <t>Cumul année (FCFA)</t>
        </is>
      </c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Janvier</t>
        </is>
      </c>
      <c r="B6" s="30">
        <f>SUMIF('F05 - 3-Inscription Avant.'!F$6:F$115,"Santé",'F05 - 3-Inscription Avant.'!K$6:K$115)</f>
        <v/>
      </c>
      <c r="C6" s="30">
        <f>SUMIF('F05 - 3-Inscription Avant.'!F$6:F$115,"Retraite",'F05 - 3-Inscription Avant.'!K$6:K$115)</f>
        <v/>
      </c>
      <c r="D6" s="30">
        <f>SUMIF('F05 - 3-Inscription Avant.'!F$6:F$115,"Alimentation",'F05 - 3-Inscription Avant.'!K$6:K$115)</f>
        <v/>
      </c>
      <c r="E6" s="30">
        <f>SUMIF('F05 - 3-Inscription Avant.'!F$6:F$115,"Transport",'F05 - 3-Inscription Avant.'!K$6:K$115)</f>
        <v/>
      </c>
      <c r="F6" s="30">
        <f>SUMIF('F05 - 3-Inscription Avant.'!F$6:F$115,"Logement",'F05 - 3-Inscription Avant.'!K$6:K$115)</f>
        <v/>
      </c>
      <c r="G6" s="30">
        <f>SUMIF('F05 - 3-Inscription Avant.'!F6:F115,'F04 - 2-Référentiel Avant.'!A6:A20)-SUM(B6:F6)</f>
        <v/>
      </c>
      <c r="H6" s="30">
        <f>SUM(B6:G6)</f>
        <v/>
      </c>
      <c r="I6" s="30" t="n">
        <v>2160000</v>
      </c>
      <c r="J6" s="30">
        <f>I6-H6</f>
        <v/>
      </c>
      <c r="K6" s="30">
        <f>IF(ROW()=6,H6,J5+H6)</f>
        <v/>
      </c>
      <c r="L6" s="5" t="n"/>
      <c r="M6" s="5" t="n"/>
      <c r="N6" s="40" t="n">
        <v>45319</v>
      </c>
    </row>
    <row r="7" ht="22" customHeight="1">
      <c r="A7" s="9" t="inlineStr">
        <is>
          <t>Février</t>
        </is>
      </c>
      <c r="B7" s="31">
        <f>SUMIF('F05 - 3-Inscription Avant.'!F$6:F$115,"Santé",'F05 - 3-Inscription Avant.'!K$6:K$115)</f>
        <v/>
      </c>
      <c r="C7" s="31">
        <f>SUMIF('F05 - 3-Inscription Avant.'!F$6:F$115,"Retraite",'F05 - 3-Inscription Avant.'!K$6:K$115)</f>
        <v/>
      </c>
      <c r="D7" s="31">
        <f>SUMIF('F05 - 3-Inscription Avant.'!F$6:F$115,"Alimentation",'F05 - 3-Inscription Avant.'!K$6:K$115)</f>
        <v/>
      </c>
      <c r="E7" s="31">
        <f>SUMIF('F05 - 3-Inscription Avant.'!F$6:F$115,"Transport",'F05 - 3-Inscription Avant.'!K$6:K$115)</f>
        <v/>
      </c>
      <c r="F7" s="31">
        <f>SUMIF('F05 - 3-Inscription Avant.'!F$6:F$115,"Logement",'F05 - 3-Inscription Avant.'!K$6:K$115)</f>
        <v/>
      </c>
      <c r="G7" s="31">
        <f>SUMIF('F05 - 3-Inscription Avant.'!F6:F115,'F04 - 2-Référentiel Avant.'!A6:A20)-SUM(B7:F7)</f>
        <v/>
      </c>
      <c r="H7" s="31">
        <f>SUM(B7:G7)</f>
        <v/>
      </c>
      <c r="I7" s="31" t="n">
        <v>2160000</v>
      </c>
      <c r="J7" s="31">
        <f>I7-H7</f>
        <v/>
      </c>
      <c r="K7" s="31">
        <f>IF(ROW()=6,H7,J6+H7)</f>
        <v/>
      </c>
      <c r="L7" s="9" t="n"/>
      <c r="M7" s="9" t="n"/>
      <c r="N7" s="41" t="n">
        <v>45350</v>
      </c>
    </row>
    <row r="8" ht="22" customHeight="1">
      <c r="A8" s="5" t="inlineStr">
        <is>
          <t>Mars</t>
        </is>
      </c>
      <c r="B8" s="30">
        <f>SUMIF('F05 - 3-Inscription Avant.'!F$6:F$115,"Santé",'F05 - 3-Inscription Avant.'!K$6:K$115)</f>
        <v/>
      </c>
      <c r="C8" s="30">
        <f>SUMIF('F05 - 3-Inscription Avant.'!F$6:F$115,"Retraite",'F05 - 3-Inscription Avant.'!K$6:K$115)</f>
        <v/>
      </c>
      <c r="D8" s="30">
        <f>SUMIF('F05 - 3-Inscription Avant.'!F$6:F$115,"Alimentation",'F05 - 3-Inscription Avant.'!K$6:K$115)</f>
        <v/>
      </c>
      <c r="E8" s="30">
        <f>SUMIF('F05 - 3-Inscription Avant.'!F$6:F$115,"Transport",'F05 - 3-Inscription Avant.'!K$6:K$115)</f>
        <v/>
      </c>
      <c r="F8" s="30">
        <f>SUMIF('F05 - 3-Inscription Avant.'!F$6:F$115,"Logement",'F05 - 3-Inscription Avant.'!K$6:K$115)</f>
        <v/>
      </c>
      <c r="G8" s="30">
        <f>SUMIF('F05 - 3-Inscription Avant.'!F6:F115,'F04 - 2-Référentiel Avant.'!A6:A20)-SUM(B8:F8)</f>
        <v/>
      </c>
      <c r="H8" s="30">
        <f>SUM(B8:G8)</f>
        <v/>
      </c>
      <c r="I8" s="30" t="n">
        <v>2160000</v>
      </c>
      <c r="J8" s="30">
        <f>I8-H8</f>
        <v/>
      </c>
      <c r="K8" s="30">
        <f>IF(ROW()=6,H8,J7+H8)</f>
        <v/>
      </c>
      <c r="L8" s="5" t="n"/>
      <c r="M8" s="5" t="n"/>
      <c r="N8" s="40" t="n">
        <v>45379</v>
      </c>
    </row>
    <row r="9" ht="22" customHeight="1">
      <c r="A9" s="9" t="inlineStr">
        <is>
          <t>Avril</t>
        </is>
      </c>
      <c r="B9" s="31">
        <f>SUMIF('F05 - 3-Inscription Avant.'!F$6:F$115,"Santé",'F05 - 3-Inscription Avant.'!K$6:K$115)</f>
        <v/>
      </c>
      <c r="C9" s="31">
        <f>SUMIF('F05 - 3-Inscription Avant.'!F$6:F$115,"Retraite",'F05 - 3-Inscription Avant.'!K$6:K$115)</f>
        <v/>
      </c>
      <c r="D9" s="31">
        <f>SUMIF('F05 - 3-Inscription Avant.'!F$6:F$115,"Alimentation",'F05 - 3-Inscription Avant.'!K$6:K$115)</f>
        <v/>
      </c>
      <c r="E9" s="31">
        <f>SUMIF('F05 - 3-Inscription Avant.'!F$6:F$115,"Transport",'F05 - 3-Inscription Avant.'!K$6:K$115)</f>
        <v/>
      </c>
      <c r="F9" s="31">
        <f>SUMIF('F05 - 3-Inscription Avant.'!F$6:F$115,"Logement",'F05 - 3-Inscription Avant.'!K$6:K$115)</f>
        <v/>
      </c>
      <c r="G9" s="31">
        <f>SUMIF('F05 - 3-Inscription Avant.'!F6:F115,'F04 - 2-Référentiel Avant.'!A6:A20)-SUM(B9:F9)</f>
        <v/>
      </c>
      <c r="H9" s="31">
        <f>SUM(B9:G9)</f>
        <v/>
      </c>
      <c r="I9" s="31" t="n">
        <v>2160000</v>
      </c>
      <c r="J9" s="31">
        <f>I9-H9</f>
        <v/>
      </c>
      <c r="K9" s="31">
        <f>IF(ROW()=6,H9,J8+H9)</f>
        <v/>
      </c>
      <c r="L9" s="9" t="n"/>
      <c r="M9" s="9" t="n"/>
      <c r="N9" s="41" t="n">
        <v>45410</v>
      </c>
    </row>
    <row r="10" ht="22" customHeight="1">
      <c r="A10" s="5" t="inlineStr">
        <is>
          <t>Mai</t>
        </is>
      </c>
      <c r="B10" s="30">
        <f>SUMIF('F05 - 3-Inscription Avant.'!F$6:F$115,"Santé",'F05 - 3-Inscription Avant.'!K$6:K$115)</f>
        <v/>
      </c>
      <c r="C10" s="30">
        <f>SUMIF('F05 - 3-Inscription Avant.'!F$6:F$115,"Retraite",'F05 - 3-Inscription Avant.'!K$6:K$115)</f>
        <v/>
      </c>
      <c r="D10" s="30">
        <f>SUMIF('F05 - 3-Inscription Avant.'!F$6:F$115,"Alimentation",'F05 - 3-Inscription Avant.'!K$6:K$115)</f>
        <v/>
      </c>
      <c r="E10" s="30">
        <f>SUMIF('F05 - 3-Inscription Avant.'!F$6:F$115,"Transport",'F05 - 3-Inscription Avant.'!K$6:K$115)</f>
        <v/>
      </c>
      <c r="F10" s="30">
        <f>SUMIF('F05 - 3-Inscription Avant.'!F$6:F$115,"Logement",'F05 - 3-Inscription Avant.'!K$6:K$115)</f>
        <v/>
      </c>
      <c r="G10" s="30">
        <f>SUMIF('F05 - 3-Inscription Avant.'!F6:F115,'F04 - 2-Référentiel Avant.'!A6:A20)-SUM(B10:F10)</f>
        <v/>
      </c>
      <c r="H10" s="30">
        <f>SUM(B10:G10)</f>
        <v/>
      </c>
      <c r="I10" s="30" t="n">
        <v>2160000</v>
      </c>
      <c r="J10" s="30">
        <f>I10-H10</f>
        <v/>
      </c>
      <c r="K10" s="30">
        <f>IF(ROW()=6,H10,J9+H10)</f>
        <v/>
      </c>
      <c r="L10" s="5" t="n"/>
      <c r="M10" s="5" t="n"/>
      <c r="N10" s="40" t="n">
        <v>45440</v>
      </c>
    </row>
    <row r="11" ht="22" customHeight="1">
      <c r="A11" s="9" t="inlineStr">
        <is>
          <t>Juin</t>
        </is>
      </c>
      <c r="B11" s="31">
        <f>SUMIF('F05 - 3-Inscription Avant.'!F$6:F$115,"Santé",'F05 - 3-Inscription Avant.'!K$6:K$115)</f>
        <v/>
      </c>
      <c r="C11" s="31">
        <f>SUMIF('F05 - 3-Inscription Avant.'!F$6:F$115,"Retraite",'F05 - 3-Inscription Avant.'!K$6:K$115)</f>
        <v/>
      </c>
      <c r="D11" s="31">
        <f>SUMIF('F05 - 3-Inscription Avant.'!F$6:F$115,"Alimentation",'F05 - 3-Inscription Avant.'!K$6:K$115)</f>
        <v/>
      </c>
      <c r="E11" s="31">
        <f>SUMIF('F05 - 3-Inscription Avant.'!F$6:F$115,"Transport",'F05 - 3-Inscription Avant.'!K$6:K$115)</f>
        <v/>
      </c>
      <c r="F11" s="31">
        <f>SUMIF('F05 - 3-Inscription Avant.'!F$6:F$115,"Logement",'F05 - 3-Inscription Avant.'!K$6:K$115)</f>
        <v/>
      </c>
      <c r="G11" s="31">
        <f>SUMIF('F05 - 3-Inscription Avant.'!F6:F115,'F04 - 2-Référentiel Avant.'!A6:A20)-SUM(B11:F11)</f>
        <v/>
      </c>
      <c r="H11" s="31">
        <f>SUM(B11:G11)</f>
        <v/>
      </c>
      <c r="I11" s="31" t="n">
        <v>2160000</v>
      </c>
      <c r="J11" s="31">
        <f>I11-H11</f>
        <v/>
      </c>
      <c r="K11" s="31">
        <f>IF(ROW()=6,H11,J10+H11)</f>
        <v/>
      </c>
      <c r="L11" s="9" t="n"/>
      <c r="M11" s="9" t="n"/>
      <c r="N11" s="41" t="n">
        <v>45471</v>
      </c>
    </row>
    <row r="12" ht="22" customHeight="1">
      <c r="A12" s="5" t="inlineStr">
        <is>
          <t>Juillet</t>
        </is>
      </c>
      <c r="B12" s="30">
        <f>SUMIF('F05 - 3-Inscription Avant.'!F$6:F$115,"Santé",'F05 - 3-Inscription Avant.'!K$6:K$115)</f>
        <v/>
      </c>
      <c r="C12" s="30">
        <f>SUMIF('F05 - 3-Inscription Avant.'!F$6:F$115,"Retraite",'F05 - 3-Inscription Avant.'!K$6:K$115)</f>
        <v/>
      </c>
      <c r="D12" s="30">
        <f>SUMIF('F05 - 3-Inscription Avant.'!F$6:F$115,"Alimentation",'F05 - 3-Inscription Avant.'!K$6:K$115)</f>
        <v/>
      </c>
      <c r="E12" s="30">
        <f>SUMIF('F05 - 3-Inscription Avant.'!F$6:F$115,"Transport",'F05 - 3-Inscription Avant.'!K$6:K$115)</f>
        <v/>
      </c>
      <c r="F12" s="30">
        <f>SUMIF('F05 - 3-Inscription Avant.'!F$6:F$115,"Logement",'F05 - 3-Inscription Avant.'!K$6:K$115)</f>
        <v/>
      </c>
      <c r="G12" s="30">
        <f>SUMIF('F05 - 3-Inscription Avant.'!F6:F115,'F04 - 2-Référentiel Avant.'!A6:A20)-SUM(B12:F12)</f>
        <v/>
      </c>
      <c r="H12" s="30">
        <f>SUM(B12:G12)</f>
        <v/>
      </c>
      <c r="I12" s="30" t="n">
        <v>2160000</v>
      </c>
      <c r="J12" s="30">
        <f>I12-H12</f>
        <v/>
      </c>
      <c r="K12" s="30">
        <f>IF(ROW()=6,H12,J11+H12)</f>
        <v/>
      </c>
      <c r="L12" s="5" t="n"/>
      <c r="M12" s="5" t="n"/>
      <c r="N12" s="40" t="n">
        <v>45501</v>
      </c>
    </row>
    <row r="13" ht="22" customHeight="1">
      <c r="A13" s="9" t="inlineStr">
        <is>
          <t>Août</t>
        </is>
      </c>
      <c r="B13" s="31">
        <f>SUMIF('F05 - 3-Inscription Avant.'!F$6:F$115,"Santé",'F05 - 3-Inscription Avant.'!K$6:K$115)</f>
        <v/>
      </c>
      <c r="C13" s="31">
        <f>SUMIF('F05 - 3-Inscription Avant.'!F$6:F$115,"Retraite",'F05 - 3-Inscription Avant.'!K$6:K$115)</f>
        <v/>
      </c>
      <c r="D13" s="31">
        <f>SUMIF('F05 - 3-Inscription Avant.'!F$6:F$115,"Alimentation",'F05 - 3-Inscription Avant.'!K$6:K$115)</f>
        <v/>
      </c>
      <c r="E13" s="31">
        <f>SUMIF('F05 - 3-Inscription Avant.'!F$6:F$115,"Transport",'F05 - 3-Inscription Avant.'!K$6:K$115)</f>
        <v/>
      </c>
      <c r="F13" s="31">
        <f>SUMIF('F05 - 3-Inscription Avant.'!F$6:F$115,"Logement",'F05 - 3-Inscription Avant.'!K$6:K$115)</f>
        <v/>
      </c>
      <c r="G13" s="31">
        <f>SUMIF('F05 - 3-Inscription Avant.'!F6:F115,'F04 - 2-Référentiel Avant.'!A6:A20)-SUM(B13:F13)</f>
        <v/>
      </c>
      <c r="H13" s="31">
        <f>SUM(B13:G13)</f>
        <v/>
      </c>
      <c r="I13" s="31" t="n">
        <v>2160000</v>
      </c>
      <c r="J13" s="31">
        <f>I13-H13</f>
        <v/>
      </c>
      <c r="K13" s="31">
        <f>IF(ROW()=6,H13,J12+H13)</f>
        <v/>
      </c>
      <c r="L13" s="9" t="n"/>
      <c r="M13" s="9" t="n"/>
      <c r="N13" s="41" t="n">
        <v>45532</v>
      </c>
    </row>
    <row r="14" ht="22" customHeight="1">
      <c r="A14" s="5" t="inlineStr">
        <is>
          <t>Septembre</t>
        </is>
      </c>
      <c r="B14" s="30">
        <f>SUMIF('F05 - 3-Inscription Avant.'!F$6:F$115,"Santé",'F05 - 3-Inscription Avant.'!K$6:K$115)</f>
        <v/>
      </c>
      <c r="C14" s="30">
        <f>SUMIF('F05 - 3-Inscription Avant.'!F$6:F$115,"Retraite",'F05 - 3-Inscription Avant.'!K$6:K$115)</f>
        <v/>
      </c>
      <c r="D14" s="30">
        <f>SUMIF('F05 - 3-Inscription Avant.'!F$6:F$115,"Alimentation",'F05 - 3-Inscription Avant.'!K$6:K$115)</f>
        <v/>
      </c>
      <c r="E14" s="30">
        <f>SUMIF('F05 - 3-Inscription Avant.'!F$6:F$115,"Transport",'F05 - 3-Inscription Avant.'!K$6:K$115)</f>
        <v/>
      </c>
      <c r="F14" s="30">
        <f>SUMIF('F05 - 3-Inscription Avant.'!F$6:F$115,"Logement",'F05 - 3-Inscription Avant.'!K$6:K$115)</f>
        <v/>
      </c>
      <c r="G14" s="30">
        <f>SUMIF('F05 - 3-Inscription Avant.'!F6:F115,'F04 - 2-Référentiel Avant.'!A6:A20)-SUM(B14:F14)</f>
        <v/>
      </c>
      <c r="H14" s="30">
        <f>SUM(B14:G14)</f>
        <v/>
      </c>
      <c r="I14" s="30" t="n">
        <v>2160000</v>
      </c>
      <c r="J14" s="30">
        <f>I14-H14</f>
        <v/>
      </c>
      <c r="K14" s="30">
        <f>IF(ROW()=6,H14,J13+H14)</f>
        <v/>
      </c>
      <c r="L14" s="5" t="n"/>
      <c r="M14" s="5" t="n"/>
      <c r="N14" s="40" t="n">
        <v>45563</v>
      </c>
    </row>
    <row r="15" ht="22" customHeight="1">
      <c r="A15" s="9" t="inlineStr">
        <is>
          <t>Octobre</t>
        </is>
      </c>
      <c r="B15" s="31">
        <f>SUMIF('F05 - 3-Inscription Avant.'!F$6:F$115,"Santé",'F05 - 3-Inscription Avant.'!K$6:K$115)</f>
        <v/>
      </c>
      <c r="C15" s="31">
        <f>SUMIF('F05 - 3-Inscription Avant.'!F$6:F$115,"Retraite",'F05 - 3-Inscription Avant.'!K$6:K$115)</f>
        <v/>
      </c>
      <c r="D15" s="31">
        <f>SUMIF('F05 - 3-Inscription Avant.'!F$6:F$115,"Alimentation",'F05 - 3-Inscription Avant.'!K$6:K$115)</f>
        <v/>
      </c>
      <c r="E15" s="31">
        <f>SUMIF('F05 - 3-Inscription Avant.'!F$6:F$115,"Transport",'F05 - 3-Inscription Avant.'!K$6:K$115)</f>
        <v/>
      </c>
      <c r="F15" s="31">
        <f>SUMIF('F05 - 3-Inscription Avant.'!F$6:F$115,"Logement",'F05 - 3-Inscription Avant.'!K$6:K$115)</f>
        <v/>
      </c>
      <c r="G15" s="31">
        <f>SUMIF('F05 - 3-Inscription Avant.'!F6:F115,'F04 - 2-Référentiel Avant.'!A6:A20)-SUM(B15:F15)</f>
        <v/>
      </c>
      <c r="H15" s="31">
        <f>SUM(B15:G15)</f>
        <v/>
      </c>
      <c r="I15" s="31" t="n">
        <v>2160000</v>
      </c>
      <c r="J15" s="31">
        <f>I15-H15</f>
        <v/>
      </c>
      <c r="K15" s="31">
        <f>IF(ROW()=6,H15,J14+H15)</f>
        <v/>
      </c>
      <c r="L15" s="9" t="n"/>
      <c r="M15" s="9" t="n"/>
      <c r="N15" s="41" t="n">
        <v>45593</v>
      </c>
    </row>
    <row r="16" ht="22" customHeight="1">
      <c r="A16" s="5" t="inlineStr">
        <is>
          <t>Novembre</t>
        </is>
      </c>
      <c r="B16" s="30">
        <f>SUMIF('F05 - 3-Inscription Avant.'!F$6:F$115,"Santé",'F05 - 3-Inscription Avant.'!K$6:K$115)</f>
        <v/>
      </c>
      <c r="C16" s="30">
        <f>SUMIF('F05 - 3-Inscription Avant.'!F$6:F$115,"Retraite",'F05 - 3-Inscription Avant.'!K$6:K$115)</f>
        <v/>
      </c>
      <c r="D16" s="30">
        <f>SUMIF('F05 - 3-Inscription Avant.'!F$6:F$115,"Alimentation",'F05 - 3-Inscription Avant.'!K$6:K$115)</f>
        <v/>
      </c>
      <c r="E16" s="30">
        <f>SUMIF('F05 - 3-Inscription Avant.'!F$6:F$115,"Transport",'F05 - 3-Inscription Avant.'!K$6:K$115)</f>
        <v/>
      </c>
      <c r="F16" s="30">
        <f>SUMIF('F05 - 3-Inscription Avant.'!F$6:F$115,"Logement",'F05 - 3-Inscription Avant.'!K$6:K$115)</f>
        <v/>
      </c>
      <c r="G16" s="30">
        <f>SUMIF('F05 - 3-Inscription Avant.'!F6:F115,'F04 - 2-Référentiel Avant.'!A6:A20)-SUM(B16:F16)</f>
        <v/>
      </c>
      <c r="H16" s="30">
        <f>SUM(B16:G16)</f>
        <v/>
      </c>
      <c r="I16" s="30" t="n">
        <v>2160000</v>
      </c>
      <c r="J16" s="30">
        <f>I16-H16</f>
        <v/>
      </c>
      <c r="K16" s="30">
        <f>IF(ROW()=6,H16,J15+H16)</f>
        <v/>
      </c>
      <c r="L16" s="5" t="n"/>
      <c r="M16" s="5" t="n"/>
      <c r="N16" s="40" t="n">
        <v>45624</v>
      </c>
    </row>
    <row r="17" ht="22" customHeight="1">
      <c r="A17" s="9" t="inlineStr">
        <is>
          <t>Décembre</t>
        </is>
      </c>
      <c r="B17" s="31">
        <f>SUMIF('F05 - 3-Inscription Avant.'!F$6:F$115,"Santé",'F05 - 3-Inscription Avant.'!K$6:K$115)</f>
        <v/>
      </c>
      <c r="C17" s="31">
        <f>SUMIF('F05 - 3-Inscription Avant.'!F$6:F$115,"Retraite",'F05 - 3-Inscription Avant.'!K$6:K$115)</f>
        <v/>
      </c>
      <c r="D17" s="31">
        <f>SUMIF('F05 - 3-Inscription Avant.'!F$6:F$115,"Alimentation",'F05 - 3-Inscription Avant.'!K$6:K$115)</f>
        <v/>
      </c>
      <c r="E17" s="31">
        <f>SUMIF('F05 - 3-Inscription Avant.'!F$6:F$115,"Transport",'F05 - 3-Inscription Avant.'!K$6:K$115)</f>
        <v/>
      </c>
      <c r="F17" s="31">
        <f>SUMIF('F05 - 3-Inscription Avant.'!F$6:F$115,"Logement",'F05 - 3-Inscription Avant.'!K$6:K$115)</f>
        <v/>
      </c>
      <c r="G17" s="31">
        <f>SUMIF('F05 - 3-Inscription Avant.'!F6:F115,'F04 - 2-Référentiel Avant.'!A6:A20)-SUM(B17:F17)</f>
        <v/>
      </c>
      <c r="H17" s="31">
        <f>SUM(B17:G17)</f>
        <v/>
      </c>
      <c r="I17" s="31" t="n">
        <v>2160000</v>
      </c>
      <c r="J17" s="31">
        <f>I17-H17</f>
        <v/>
      </c>
      <c r="K17" s="31">
        <f>IF(ROW()=6,H17,J16+H17)</f>
        <v/>
      </c>
      <c r="L17" s="9" t="n"/>
      <c r="M17" s="9" t="n"/>
      <c r="N17" s="41" t="n">
        <v>45654</v>
      </c>
    </row>
    <row r="18" ht="22" customHeight="1">
      <c r="A18" s="5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5" t="n"/>
      <c r="M18" s="5" t="n"/>
      <c r="N18" s="40" t="n"/>
    </row>
    <row r="19" ht="22" customHeight="1">
      <c r="A19" s="9" t="n"/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9" t="n"/>
      <c r="M19" s="9" t="n"/>
      <c r="N19" s="41" t="n"/>
    </row>
    <row r="20" ht="22" customHeight="1">
      <c r="A20" s="5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5" t="n"/>
      <c r="M20" s="5" t="n"/>
      <c r="N20" s="40" t="n"/>
    </row>
    <row r="21" ht="22" customHeight="1">
      <c r="A21" s="9" t="n"/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9" t="n"/>
      <c r="M21" s="9" t="n"/>
      <c r="N21" s="41" t="n"/>
    </row>
    <row r="22" ht="22" customHeight="1">
      <c r="A22" s="5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5" t="n"/>
      <c r="M22" s="5" t="n"/>
      <c r="N22" s="40" t="n"/>
    </row>
    <row r="23" ht="22" customHeight="1">
      <c r="A23" s="9" t="n"/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9" t="n"/>
      <c r="M23" s="9" t="n"/>
      <c r="N23" s="41" t="n"/>
    </row>
    <row r="24" ht="22" customHeight="1">
      <c r="A24" s="5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5" t="n"/>
      <c r="M24" s="5" t="n"/>
      <c r="N24" s="40" t="n"/>
    </row>
    <row r="25" ht="22" customHeight="1">
      <c r="A25" s="9" t="n"/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9" t="n"/>
      <c r="M25" s="9" t="n"/>
      <c r="N25" s="41" t="n"/>
    </row>
    <row r="26" ht="22" customHeight="1">
      <c r="A26" s="5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5" t="n"/>
      <c r="M26" s="5" t="n"/>
      <c r="N26" s="40" t="n"/>
    </row>
    <row r="27" ht="22" customHeight="1">
      <c r="A27" s="9" t="n"/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9" t="n"/>
      <c r="M27" s="9" t="n"/>
      <c r="N27" s="41" t="n"/>
    </row>
    <row r="28" ht="22" customHeight="1">
      <c r="A28" s="5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5" t="n"/>
      <c r="M28" s="5" t="n"/>
      <c r="N28" s="40" t="n"/>
    </row>
    <row r="29" ht="22" customHeight="1">
      <c r="A29" s="9" t="n"/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9" t="n"/>
      <c r="M29" s="9" t="n"/>
      <c r="N29" s="41" t="n"/>
    </row>
    <row r="30" ht="22" customHeight="1">
      <c r="A30" s="5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5" t="n"/>
      <c r="M30" s="5" t="n"/>
      <c r="N30" s="40" t="n"/>
    </row>
    <row r="31" ht="22" customHeight="1">
      <c r="A31" s="9" t="n"/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9" t="n"/>
      <c r="M31" s="9" t="n"/>
      <c r="N31" s="41" t="n"/>
    </row>
    <row r="32" ht="22" customHeight="1">
      <c r="A32" s="5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5" t="n"/>
      <c r="M32" s="5" t="n"/>
      <c r="N32" s="40" t="n"/>
    </row>
    <row r="33" ht="22" customHeight="1">
      <c r="A33" s="9" t="n"/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9" t="n"/>
      <c r="M33" s="9" t="n"/>
      <c r="N33" s="41" t="n"/>
    </row>
    <row r="34" ht="22" customHeight="1">
      <c r="A34" s="5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5" t="n"/>
      <c r="M34" s="5" t="n"/>
      <c r="N34" s="40" t="n"/>
    </row>
    <row r="35" ht="22" customHeight="1">
      <c r="A35" s="9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9" t="n"/>
      <c r="M35" s="9" t="n"/>
      <c r="N35" s="41" t="n"/>
    </row>
    <row r="36" ht="22" customHeight="1">
      <c r="A36" s="5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5" t="n"/>
      <c r="M36" s="5" t="n"/>
      <c r="N36" s="40" t="n"/>
    </row>
    <row r="37" ht="22" customHeight="1">
      <c r="A37" s="9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9" t="n"/>
      <c r="M37" s="9" t="n"/>
      <c r="N37" s="41" t="n"/>
    </row>
    <row r="38" ht="22" customHeight="1">
      <c r="A38" s="5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5" t="n"/>
      <c r="M38" s="5" t="n"/>
      <c r="N38" s="40" t="n"/>
    </row>
    <row r="39" ht="22" customHeight="1">
      <c r="A39" s="9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9" t="n"/>
      <c r="M39" s="9" t="n"/>
      <c r="N39" s="41" t="n"/>
    </row>
    <row r="40" ht="22" customHeight="1">
      <c r="A40" s="5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5" t="n"/>
      <c r="M40" s="5" t="n"/>
      <c r="N40" s="40" t="n"/>
    </row>
    <row r="41" ht="22" customHeight="1">
      <c r="A41" s="9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9" t="n"/>
      <c r="M41" s="9" t="n"/>
      <c r="N41" s="41" t="n"/>
    </row>
    <row r="42" ht="22" customHeight="1">
      <c r="A42" s="5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5" t="n"/>
      <c r="M42" s="5" t="n"/>
      <c r="N42" s="40" t="n"/>
    </row>
    <row r="43" ht="22" customHeight="1">
      <c r="A43" s="9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9" t="n"/>
      <c r="M43" s="9" t="n"/>
      <c r="N43" s="41" t="n"/>
    </row>
    <row r="44" ht="22" customHeight="1">
      <c r="A44" s="5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5" t="n"/>
      <c r="M44" s="5" t="n"/>
      <c r="N44" s="40" t="n"/>
    </row>
    <row r="45" ht="22" customHeight="1">
      <c r="A45" s="9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9" t="n"/>
      <c r="M45" s="9" t="n"/>
      <c r="N45" s="41" t="n"/>
    </row>
    <row r="46" ht="22" customHeight="1">
      <c r="A46" s="5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5" t="n"/>
      <c r="M46" s="5" t="n"/>
      <c r="N46" s="40" t="n"/>
    </row>
    <row r="47" ht="22" customHeight="1">
      <c r="A47" s="9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9" t="n"/>
      <c r="M47" s="9" t="n"/>
      <c r="N47" s="41" t="n"/>
    </row>
    <row r="48" ht="22" customHeight="1">
      <c r="A48" s="5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5" t="n"/>
      <c r="M48" s="5" t="n"/>
      <c r="N48" s="40" t="n"/>
    </row>
    <row r="49" ht="22" customHeight="1">
      <c r="A49" s="9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9" t="n"/>
      <c r="M49" s="9" t="n"/>
      <c r="N49" s="41" t="n"/>
    </row>
    <row r="50" ht="22" customHeight="1">
      <c r="A50" s="5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5" t="n"/>
      <c r="M50" s="5" t="n"/>
      <c r="N50" s="40" t="n"/>
    </row>
    <row r="51" ht="22" customHeight="1">
      <c r="A51" s="9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9" t="n"/>
      <c r="M51" s="9" t="n"/>
      <c r="N51" s="41" t="n"/>
    </row>
    <row r="52" ht="22" customHeight="1">
      <c r="A52" s="5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5" t="n"/>
      <c r="M52" s="5" t="n"/>
      <c r="N52" s="40" t="n"/>
    </row>
    <row r="53" ht="22" customHeight="1">
      <c r="A53" s="9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9" t="n"/>
      <c r="M53" s="9" t="n"/>
      <c r="N53" s="41" t="n"/>
    </row>
    <row r="54" ht="22" customHeight="1">
      <c r="A54" s="5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5" t="n"/>
      <c r="M54" s="5" t="n"/>
      <c r="N54" s="40" t="n"/>
    </row>
    <row r="55" ht="22" customHeight="1">
      <c r="A55" s="9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9" t="n"/>
      <c r="M55" s="9" t="n"/>
      <c r="N55" s="41" t="n"/>
    </row>
    <row r="56" ht="22" customHeight="1">
      <c r="A56" s="5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5" t="n"/>
      <c r="M56" s="5" t="n"/>
      <c r="N56" s="40" t="n"/>
    </row>
    <row r="57" ht="22" customHeight="1">
      <c r="A57" s="9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9" t="n"/>
      <c r="M57" s="9" t="n"/>
      <c r="N57" s="41" t="n"/>
    </row>
    <row r="58" ht="22" customHeight="1">
      <c r="A58" s="5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5" t="n"/>
      <c r="M58" s="5" t="n"/>
      <c r="N58" s="40" t="n"/>
    </row>
    <row r="59" ht="22" customHeight="1">
      <c r="A59" s="9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9" t="n"/>
      <c r="M59" s="9" t="n"/>
      <c r="N59" s="41" t="n"/>
    </row>
    <row r="60" ht="22" customHeight="1">
      <c r="A60" s="5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5" t="n"/>
      <c r="M60" s="5" t="n"/>
      <c r="N60" s="40" t="n"/>
    </row>
    <row r="61" ht="22" customHeight="1">
      <c r="A61" s="9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9" t="n"/>
      <c r="M61" s="9" t="n"/>
      <c r="N61" s="41" t="n"/>
    </row>
    <row r="62" ht="22" customHeight="1">
      <c r="A62" s="5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5" t="n"/>
      <c r="M62" s="5" t="n"/>
      <c r="N62" s="40" t="n"/>
    </row>
    <row r="63" ht="22" customHeight="1">
      <c r="A63" s="9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9" t="n"/>
      <c r="M63" s="9" t="n"/>
      <c r="N63" s="41" t="n"/>
    </row>
    <row r="64" ht="22" customHeight="1">
      <c r="A64" s="5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5" t="n"/>
      <c r="M64" s="5" t="n"/>
      <c r="N64" s="40" t="n"/>
    </row>
    <row r="65" ht="22" customHeight="1">
      <c r="A65" s="9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9" t="n"/>
      <c r="M65" s="9" t="n"/>
      <c r="N65" s="41" t="n"/>
    </row>
    <row r="66" ht="22" customHeight="1">
      <c r="A66" s="5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5" t="n"/>
      <c r="M66" s="5" t="n"/>
      <c r="N66" s="40" t="n"/>
    </row>
    <row r="67" ht="22" customHeight="1">
      <c r="A67" s="9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9" t="n"/>
      <c r="M67" s="9" t="n"/>
      <c r="N67" s="41" t="n"/>
    </row>
    <row r="68" ht="22" customHeight="1">
      <c r="A68" s="5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5" t="n"/>
      <c r="M68" s="5" t="n"/>
      <c r="N68" s="40" t="n"/>
    </row>
    <row r="69" ht="22" customHeight="1">
      <c r="A69" s="9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9" t="n"/>
      <c r="M69" s="9" t="n"/>
      <c r="N69" s="41" t="n"/>
    </row>
    <row r="70" ht="22" customHeight="1">
      <c r="A70" s="5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5" t="n"/>
      <c r="M70" s="5" t="n"/>
      <c r="N70" s="40" t="n"/>
    </row>
    <row r="71" ht="22" customHeight="1">
      <c r="A71" s="9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9" t="n"/>
      <c r="M71" s="9" t="n"/>
      <c r="N71" s="41" t="n"/>
    </row>
    <row r="72" ht="22" customHeight="1">
      <c r="A72" s="5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5" t="n"/>
      <c r="M72" s="5" t="n"/>
      <c r="N72" s="40" t="n"/>
    </row>
    <row r="73" ht="22" customHeight="1">
      <c r="A73" s="9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9" t="n"/>
      <c r="M73" s="9" t="n"/>
      <c r="N73" s="41" t="n"/>
    </row>
    <row r="74" ht="22" customHeight="1">
      <c r="A74" s="5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5" t="n"/>
      <c r="M74" s="5" t="n"/>
      <c r="N74" s="40" t="n"/>
    </row>
    <row r="75" ht="22" customHeight="1">
      <c r="A75" s="9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9" t="n"/>
      <c r="M75" s="9" t="n"/>
      <c r="N75" s="41" t="n"/>
    </row>
    <row r="76" ht="22" customHeight="1">
      <c r="A76" s="5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5" t="n"/>
      <c r="M76" s="5" t="n"/>
      <c r="N76" s="40" t="n"/>
    </row>
    <row r="77" ht="22" customHeight="1">
      <c r="A77" s="9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9" t="n"/>
      <c r="M77" s="9" t="n"/>
      <c r="N77" s="41" t="n"/>
    </row>
    <row r="78" ht="22" customHeight="1">
      <c r="A78" s="5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5" t="n"/>
      <c r="M78" s="5" t="n"/>
      <c r="N78" s="40" t="n"/>
    </row>
    <row r="79" ht="22" customHeight="1">
      <c r="A79" s="9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9" t="n"/>
      <c r="M79" s="9" t="n"/>
      <c r="N79" s="41" t="n"/>
    </row>
    <row r="80" ht="22" customHeight="1">
      <c r="A80" s="5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5" t="n"/>
      <c r="M80" s="5" t="n"/>
      <c r="N80" s="40" t="n"/>
    </row>
    <row r="81" ht="22" customHeight="1">
      <c r="A81" s="9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9" t="n"/>
      <c r="M81" s="9" t="n"/>
      <c r="N81" s="41" t="n"/>
    </row>
    <row r="82" ht="22" customHeight="1">
      <c r="A82" s="5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5" t="n"/>
      <c r="M82" s="5" t="n"/>
      <c r="N82" s="40" t="n"/>
    </row>
    <row r="83" ht="22" customHeight="1">
      <c r="A83" s="9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9" t="n"/>
      <c r="M83" s="9" t="n"/>
      <c r="N83" s="41" t="n"/>
    </row>
    <row r="84" ht="22" customHeight="1">
      <c r="A84" s="5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5" t="n"/>
      <c r="M84" s="5" t="n"/>
      <c r="N84" s="40" t="n"/>
    </row>
    <row r="85" ht="22" customHeight="1">
      <c r="A85" s="9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9" t="n"/>
      <c r="M85" s="9" t="n"/>
      <c r="N85" s="41" t="n"/>
    </row>
    <row r="86" ht="22" customHeight="1">
      <c r="A86" s="5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5" t="n"/>
      <c r="M86" s="5" t="n"/>
      <c r="N86" s="40" t="n"/>
    </row>
    <row r="87" ht="22" customHeight="1">
      <c r="A87" s="9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9" t="n"/>
      <c r="M87" s="9" t="n"/>
      <c r="N87" s="41" t="n"/>
    </row>
    <row r="88" ht="22" customHeight="1">
      <c r="A88" s="5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5" t="n"/>
      <c r="M88" s="5" t="n"/>
      <c r="N88" s="40" t="n"/>
    </row>
    <row r="89" ht="22" customHeight="1">
      <c r="A89" s="9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9" t="n"/>
      <c r="M89" s="9" t="n"/>
      <c r="N89" s="41" t="n"/>
    </row>
    <row r="90" ht="22" customHeight="1">
      <c r="A90" s="5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5" t="n"/>
      <c r="M90" s="5" t="n"/>
      <c r="N90" s="40" t="n"/>
    </row>
    <row r="91" ht="22" customHeight="1">
      <c r="A91" s="9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9" t="n"/>
      <c r="M91" s="9" t="n"/>
      <c r="N91" s="41" t="n"/>
    </row>
    <row r="92" ht="22" customHeight="1">
      <c r="A92" s="5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5" t="n"/>
      <c r="M92" s="5" t="n"/>
      <c r="N92" s="40" t="n"/>
    </row>
    <row r="93" ht="22" customHeight="1">
      <c r="A93" s="9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9" t="n"/>
      <c r="M93" s="9" t="n"/>
      <c r="N93" s="41" t="n"/>
    </row>
    <row r="94" ht="22" customHeight="1">
      <c r="A94" s="5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5" t="n"/>
      <c r="M94" s="5" t="n"/>
      <c r="N94" s="40" t="n"/>
    </row>
    <row r="95" ht="22" customHeight="1">
      <c r="A95" s="9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9" t="n"/>
      <c r="M95" s="9" t="n"/>
      <c r="N95" s="41" t="n"/>
    </row>
    <row r="96" ht="22" customHeight="1">
      <c r="A96" s="5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5" t="n"/>
      <c r="M96" s="5" t="n"/>
      <c r="N96" s="40" t="n"/>
    </row>
    <row r="97" ht="22" customHeight="1">
      <c r="A97" s="9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9" t="n"/>
      <c r="M97" s="9" t="n"/>
      <c r="N97" s="41" t="n"/>
    </row>
    <row r="98" ht="22" customHeight="1">
      <c r="A98" s="5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5" t="n"/>
      <c r="M98" s="5" t="n"/>
      <c r="N98" s="40" t="n"/>
    </row>
    <row r="99" ht="22" customHeight="1">
      <c r="A99" s="9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9" t="n"/>
      <c r="M99" s="9" t="n"/>
      <c r="N99" s="41" t="n"/>
    </row>
    <row r="100" ht="22" customHeight="1">
      <c r="A100" s="5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5" t="n"/>
      <c r="M100" s="5" t="n"/>
      <c r="N100" s="40" t="n"/>
    </row>
    <row r="101" ht="22" customHeight="1">
      <c r="A101" s="9" t="n"/>
      <c r="B101" s="31" t="n"/>
      <c r="C101" s="31" t="n"/>
      <c r="D101" s="31" t="n"/>
      <c r="E101" s="31" t="n"/>
      <c r="F101" s="31" t="n"/>
      <c r="G101" s="31" t="n"/>
      <c r="H101" s="31" t="n"/>
      <c r="I101" s="31" t="n"/>
      <c r="J101" s="31" t="n"/>
      <c r="K101" s="31" t="n"/>
      <c r="L101" s="9" t="n"/>
      <c r="M101" s="9" t="n"/>
      <c r="N101" s="41" t="n"/>
    </row>
    <row r="102" ht="22" customHeight="1">
      <c r="A102" s="5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5" t="n"/>
      <c r="M102" s="5" t="n"/>
      <c r="N102" s="40" t="n"/>
    </row>
    <row r="103" ht="22" customHeight="1">
      <c r="A103" s="9" t="n"/>
      <c r="B103" s="31" t="n"/>
      <c r="C103" s="31" t="n"/>
      <c r="D103" s="31" t="n"/>
      <c r="E103" s="31" t="n"/>
      <c r="F103" s="31" t="n"/>
      <c r="G103" s="31" t="n"/>
      <c r="H103" s="31" t="n"/>
      <c r="I103" s="31" t="n"/>
      <c r="J103" s="31" t="n"/>
      <c r="K103" s="31" t="n"/>
      <c r="L103" s="9" t="n"/>
      <c r="M103" s="9" t="n"/>
      <c r="N103" s="41" t="n"/>
    </row>
    <row r="104" ht="22" customHeight="1">
      <c r="A104" s="5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5" t="n"/>
      <c r="M104" s="5" t="n"/>
      <c r="N104" s="40" t="n"/>
    </row>
    <row r="105" ht="22" customHeight="1">
      <c r="A105" s="9" t="n"/>
      <c r="B105" s="31" t="n"/>
      <c r="C105" s="31" t="n"/>
      <c r="D105" s="31" t="n"/>
      <c r="E105" s="31" t="n"/>
      <c r="F105" s="31" t="n"/>
      <c r="G105" s="31" t="n"/>
      <c r="H105" s="31" t="n"/>
      <c r="I105" s="31" t="n"/>
      <c r="J105" s="31" t="n"/>
      <c r="K105" s="31" t="n"/>
      <c r="L105" s="9" t="n"/>
      <c r="M105" s="9" t="n"/>
      <c r="N105" s="41" t="n"/>
    </row>
    <row r="106" ht="22" customHeight="1">
      <c r="A106" s="5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5" t="n"/>
      <c r="M106" s="5" t="n"/>
      <c r="N106" s="40" t="n"/>
    </row>
    <row r="107" ht="22" customHeight="1">
      <c r="A107" s="9" t="n"/>
      <c r="B107" s="31" t="n"/>
      <c r="C107" s="31" t="n"/>
      <c r="D107" s="31" t="n"/>
      <c r="E107" s="31" t="n"/>
      <c r="F107" s="31" t="n"/>
      <c r="G107" s="31" t="n"/>
      <c r="H107" s="31" t="n"/>
      <c r="I107" s="31" t="n"/>
      <c r="J107" s="31" t="n"/>
      <c r="K107" s="31" t="n"/>
      <c r="L107" s="9" t="n"/>
      <c r="M107" s="9" t="n"/>
      <c r="N107" s="41" t="n"/>
    </row>
    <row r="108" ht="22" customHeight="1">
      <c r="A108" s="5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5" t="n"/>
      <c r="M108" s="5" t="n"/>
      <c r="N108" s="40" t="n"/>
    </row>
    <row r="109" ht="22" customHeight="1">
      <c r="A109" s="9" t="n"/>
      <c r="B109" s="31" t="n"/>
      <c r="C109" s="31" t="n"/>
      <c r="D109" s="31" t="n"/>
      <c r="E109" s="31" t="n"/>
      <c r="F109" s="31" t="n"/>
      <c r="G109" s="31" t="n"/>
      <c r="H109" s="31" t="n"/>
      <c r="I109" s="31" t="n"/>
      <c r="J109" s="31" t="n"/>
      <c r="K109" s="31" t="n"/>
      <c r="L109" s="9" t="n"/>
      <c r="M109" s="9" t="n"/>
      <c r="N109" s="41" t="n"/>
    </row>
    <row r="110" ht="22" customHeight="1">
      <c r="A110" s="5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5" t="n"/>
      <c r="M110" s="5" t="n"/>
      <c r="N110" s="40" t="n"/>
    </row>
    <row r="111" ht="22" customHeight="1">
      <c r="A111" s="9" t="n"/>
      <c r="B111" s="31" t="n"/>
      <c r="C111" s="31" t="n"/>
      <c r="D111" s="31" t="n"/>
      <c r="E111" s="31" t="n"/>
      <c r="F111" s="31" t="n"/>
      <c r="G111" s="31" t="n"/>
      <c r="H111" s="31" t="n"/>
      <c r="I111" s="31" t="n"/>
      <c r="J111" s="31" t="n"/>
      <c r="K111" s="31" t="n"/>
      <c r="L111" s="9" t="n"/>
      <c r="M111" s="9" t="n"/>
      <c r="N111" s="41" t="n"/>
    </row>
    <row r="112" ht="22" customHeight="1">
      <c r="A112" s="5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5" t="n"/>
      <c r="M112" s="5" t="n"/>
      <c r="N112" s="40" t="n"/>
    </row>
    <row r="113" ht="22" customHeight="1">
      <c r="A113" s="9" t="n"/>
      <c r="B113" s="31" t="n"/>
      <c r="C113" s="31" t="n"/>
      <c r="D113" s="31" t="n"/>
      <c r="E113" s="31" t="n"/>
      <c r="F113" s="31" t="n"/>
      <c r="G113" s="31" t="n"/>
      <c r="H113" s="31" t="n"/>
      <c r="I113" s="31" t="n"/>
      <c r="J113" s="31" t="n"/>
      <c r="K113" s="31" t="n"/>
      <c r="L113" s="9" t="n"/>
      <c r="M113" s="9" t="n"/>
      <c r="N113" s="41" t="n"/>
    </row>
    <row r="114" ht="22" customHeight="1">
      <c r="A114" s="5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5" t="n"/>
      <c r="M114" s="5" t="n"/>
      <c r="N114" s="40" t="n"/>
    </row>
    <row r="115" ht="22" customHeight="1">
      <c r="A115" s="9" t="n"/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9" t="n"/>
      <c r="M115" s="9" t="n"/>
      <c r="N115" s="41" t="n"/>
    </row>
  </sheetData>
  <mergeCells count="2">
    <mergeCell ref="A3:N3"/>
    <mergeCell ref="A2:N2"/>
  </mergeCells>
  <conditionalFormatting sqref="J6:J115">
    <cfRule type="cellIs" priority="1" operator="equal" dxfId="0">
      <formula>"OK"</formula>
    </cfRule>
  </conditionalFormatting>
  <conditionalFormatting sqref="J6:J17">
    <cfRule type="expression" priority="2" dxfId="5">
      <formula>J6&lt;0</formula>
    </cfRule>
    <cfRule type="expression" priority="3" dxfId="6">
      <formula>J6&gt;=0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0" customWidth="1" min="4" max="4"/>
    <col width="14" customWidth="1" min="5" max="5"/>
    <col width="14" customWidth="1" min="6" max="6"/>
    <col width="28" customWidth="1" min="7" max="7"/>
    <col width="16" customWidth="1" min="8" max="8"/>
    <col width="2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8" customHeight="1"/>
    <row r="2" ht="30" customHeight="1">
      <c r="A2" s="1" t="inlineStr">
        <is>
          <t>ANALYSE DU TAUX DE COUVERTURE DES AVANTAGES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20" customHeight="1">
      <c r="A3" s="3" t="inlineStr">
        <is>
          <t>TABLEAU DYNAMIQUE — Saisissez dans la zone prévue ci-dessous</t>
        </is>
      </c>
    </row>
    <row r="4" ht="8" customHeight="1"/>
    <row r="5" ht="28" customHeight="1">
      <c r="A5" s="4" t="inlineStr">
        <is>
          <t>Catégorie avantage</t>
        </is>
      </c>
      <c r="B5" s="4" t="inlineStr">
        <is>
          <t>Effectif total</t>
        </is>
      </c>
      <c r="C5" s="4" t="inlineStr">
        <is>
          <t>Bénéficiaires</t>
        </is>
      </c>
      <c r="D5" s="4" t="inlineStr">
        <is>
          <t>Taux couverture (%)</t>
        </is>
      </c>
      <c r="E5" s="4" t="inlineStr">
        <is>
          <t>Objectif (%)</t>
        </is>
      </c>
      <c r="F5" s="4" t="inlineStr">
        <is>
          <t>Écart (pts)</t>
        </is>
      </c>
      <c r="G5" s="4" t="inlineStr">
        <is>
          <t>Cible annuelle</t>
        </is>
      </c>
      <c r="H5" s="4" t="inlineStr">
        <is>
          <t>Statut</t>
        </is>
      </c>
      <c r="I5" s="4" t="inlineStr">
        <is>
          <t>Plan rattrapage</t>
        </is>
      </c>
      <c r="J5" s="4" t="inlineStr"/>
      <c r="K5" s="4" t="inlineStr"/>
      <c r="L5" s="4" t="inlineStr"/>
      <c r="M5" s="4" t="inlineStr"/>
      <c r="N5" s="4" t="inlineStr">
        <is>
          <t>Date MAJ</t>
        </is>
      </c>
    </row>
    <row r="6" ht="22" customHeight="1">
      <c r="A6" s="5" t="inlineStr">
        <is>
          <t>Santé</t>
        </is>
      </c>
      <c r="B6" s="30">
        <f>COUNTA('F01 - _Données Employés'!A6:A20)</f>
        <v/>
      </c>
      <c r="C6" s="30">
        <f>COUNTIF('F05 - 3-Inscription Avant.'!F$6:F$115,"Santé")</f>
        <v/>
      </c>
      <c r="D6" s="46">
        <f>IF(B6=0,0,C6/B6)</f>
        <v/>
      </c>
      <c r="E6" s="46" t="n">
        <v>1</v>
      </c>
      <c r="F6" s="46">
        <f>D6-E6</f>
        <v/>
      </c>
      <c r="G6" s="5" t="inlineStr">
        <is>
          <t>100% couverture santé</t>
        </is>
      </c>
      <c r="H6" s="5">
        <f>IF(D6&gt;=E6,"ATTEINT",IF(D6&gt;=E6-0.1,"PROCHE","INSUFFISANT"))</f>
        <v/>
      </c>
      <c r="I6" s="5">
        <f>IF(H6="INSUFFISANT","Plan d'action requis","")</f>
        <v/>
      </c>
      <c r="J6" s="5" t="n"/>
      <c r="K6" s="5" t="n"/>
      <c r="L6" s="5" t="n"/>
      <c r="M6" s="5" t="n"/>
      <c r="N6" s="40" t="n">
        <v>45444</v>
      </c>
    </row>
    <row r="7" ht="22" customHeight="1">
      <c r="A7" s="9" t="inlineStr">
        <is>
          <t>Retraite</t>
        </is>
      </c>
      <c r="B7" s="31">
        <f>COUNTA('F01 - _Données Employés'!A6:A20)</f>
        <v/>
      </c>
      <c r="C7" s="31">
        <f>COUNTIF('F05 - 3-Inscription Avant.'!F$6:F$115,"Retraite")</f>
        <v/>
      </c>
      <c r="D7" s="47">
        <f>IF(B7=0,0,C7/B7)</f>
        <v/>
      </c>
      <c r="E7" s="47" t="n">
        <v>0.5</v>
      </c>
      <c r="F7" s="47">
        <f>D7-E7</f>
        <v/>
      </c>
      <c r="G7" s="9" t="inlineStr">
        <is>
          <t>50% adhésion retraite</t>
        </is>
      </c>
      <c r="H7" s="9">
        <f>IF(D7&gt;=E7,"ATTEINT",IF(D7&gt;=E7-0.1,"PROCHE","INSUFFISANT"))</f>
        <v/>
      </c>
      <c r="I7" s="9">
        <f>IF(H7="INSUFFISANT","Plan d'action requis","")</f>
        <v/>
      </c>
      <c r="J7" s="9" t="n"/>
      <c r="K7" s="9" t="n"/>
      <c r="L7" s="9" t="n"/>
      <c r="M7" s="9" t="n"/>
      <c r="N7" s="41" t="n">
        <v>45444</v>
      </c>
    </row>
    <row r="8" ht="22" customHeight="1">
      <c r="A8" s="5" t="inlineStr">
        <is>
          <t>Prévoyance</t>
        </is>
      </c>
      <c r="B8" s="30">
        <f>COUNTA('F01 - _Données Employés'!A6:A20)</f>
        <v/>
      </c>
      <c r="C8" s="30">
        <f>COUNTIF('F05 - 3-Inscription Avant.'!F$6:F$115,"Prévoyance")</f>
        <v/>
      </c>
      <c r="D8" s="46">
        <f>IF(B8=0,0,C8/B8)</f>
        <v/>
      </c>
      <c r="E8" s="46" t="n">
        <v>1</v>
      </c>
      <c r="F8" s="46">
        <f>D8-E8</f>
        <v/>
      </c>
      <c r="G8" s="5" t="inlineStr">
        <is>
          <t>100% prévoyance</t>
        </is>
      </c>
      <c r="H8" s="5">
        <f>IF(D8&gt;=E8,"ATTEINT",IF(D8&gt;=E8-0.1,"PROCHE","INSUFFISANT"))</f>
        <v/>
      </c>
      <c r="I8" s="5">
        <f>IF(H8="INSUFFISANT","Plan d'action requis","")</f>
        <v/>
      </c>
      <c r="J8" s="5" t="n"/>
      <c r="K8" s="5" t="n"/>
      <c r="L8" s="5" t="n"/>
      <c r="M8" s="5" t="n"/>
      <c r="N8" s="40" t="n">
        <v>45444</v>
      </c>
    </row>
    <row r="9" ht="22" customHeight="1">
      <c r="A9" s="9" t="inlineStr">
        <is>
          <t>Alimentation</t>
        </is>
      </c>
      <c r="B9" s="31">
        <f>COUNTA('F01 - _Données Employés'!A6:A20)</f>
        <v/>
      </c>
      <c r="C9" s="31">
        <f>COUNTIF('F05 - 3-Inscription Avant.'!F$6:F$115,"Alimentation")</f>
        <v/>
      </c>
      <c r="D9" s="47">
        <f>IF(B9=0,0,C9/B9)</f>
        <v/>
      </c>
      <c r="E9" s="47" t="n">
        <v>1</v>
      </c>
      <c r="F9" s="47">
        <f>D9-E9</f>
        <v/>
      </c>
      <c r="G9" s="9" t="inlineStr">
        <is>
          <t>100% alimentation</t>
        </is>
      </c>
      <c r="H9" s="9">
        <f>IF(D9&gt;=E9,"ATTEINT",IF(D9&gt;=E9-0.1,"PROCHE","INSUFFISANT"))</f>
        <v/>
      </c>
      <c r="I9" s="9">
        <f>IF(H9="INSUFFISANT","Plan d'action requis","")</f>
        <v/>
      </c>
      <c r="J9" s="9" t="n"/>
      <c r="K9" s="9" t="n"/>
      <c r="L9" s="9" t="n"/>
      <c r="M9" s="9" t="n"/>
      <c r="N9" s="41" t="n">
        <v>45444</v>
      </c>
    </row>
    <row r="10" ht="22" customHeight="1">
      <c r="A10" s="5" t="inlineStr">
        <is>
          <t>Transport</t>
        </is>
      </c>
      <c r="B10" s="30">
        <f>COUNTA('F01 - _Données Employés'!A6:A20)</f>
        <v/>
      </c>
      <c r="C10" s="30">
        <f>COUNTIF('F05 - 3-Inscription Avant.'!F$6:F$115,"Transport")</f>
        <v/>
      </c>
      <c r="D10" s="46">
        <f>IF(B10=0,0,C10/B10)</f>
        <v/>
      </c>
      <c r="E10" s="46" t="n">
        <v>1</v>
      </c>
      <c r="F10" s="46">
        <f>D10-E10</f>
        <v/>
      </c>
      <c r="G10" s="5" t="inlineStr">
        <is>
          <t>100% transport</t>
        </is>
      </c>
      <c r="H10" s="5">
        <f>IF(D10&gt;=E10,"ATTEINT",IF(D10&gt;=E10-0.1,"PROCHE","INSUFFISANT"))</f>
        <v/>
      </c>
      <c r="I10" s="5">
        <f>IF(H10="INSUFFISANT","Plan d'action requis","")</f>
        <v/>
      </c>
      <c r="J10" s="5" t="n"/>
      <c r="K10" s="5" t="n"/>
      <c r="L10" s="5" t="n"/>
      <c r="M10" s="5" t="n"/>
      <c r="N10" s="40" t="n">
        <v>45444</v>
      </c>
    </row>
    <row r="11" ht="22" customHeight="1">
      <c r="A11" s="9" t="inlineStr">
        <is>
          <t>Logement</t>
        </is>
      </c>
      <c r="B11" s="31">
        <f>COUNTA('F01 - _Données Employés'!A6:A20)</f>
        <v/>
      </c>
      <c r="C11" s="31">
        <f>COUNTIF('F05 - 3-Inscription Avant.'!F$6:F$115,"Logement")</f>
        <v/>
      </c>
      <c r="D11" s="47">
        <f>IF(B11=0,0,C11/B11)</f>
        <v/>
      </c>
      <c r="E11" s="47" t="n">
        <v>0.3</v>
      </c>
      <c r="F11" s="47">
        <f>D11-E11</f>
        <v/>
      </c>
      <c r="G11" s="9" t="inlineStr">
        <is>
          <t>30% logement</t>
        </is>
      </c>
      <c r="H11" s="9">
        <f>IF(D11&gt;=E11,"ATTEINT",IF(D11&gt;=E11-0.1,"PROCHE","INSUFFISANT"))</f>
        <v/>
      </c>
      <c r="I11" s="9">
        <f>IF(H11="INSUFFISANT","Plan d'action requis","")</f>
        <v/>
      </c>
      <c r="J11" s="9" t="n"/>
      <c r="K11" s="9" t="n"/>
      <c r="L11" s="9" t="n"/>
      <c r="M11" s="9" t="n"/>
      <c r="N11" s="41" t="n">
        <v>45444</v>
      </c>
    </row>
    <row r="12" ht="22" customHeight="1">
      <c r="A12" s="5" t="inlineStr">
        <is>
          <t>Formation</t>
        </is>
      </c>
      <c r="B12" s="30">
        <f>COUNTA('F01 - _Données Employés'!A6:A20)</f>
        <v/>
      </c>
      <c r="C12" s="30">
        <f>COUNTIF('F05 - 3-Inscription Avant.'!F$6:F$115,"Formation")</f>
        <v/>
      </c>
      <c r="D12" s="46">
        <f>IF(B12=0,0,C12/B12)</f>
        <v/>
      </c>
      <c r="E12" s="46" t="n">
        <v>1</v>
      </c>
      <c r="F12" s="46">
        <f>D12-E12</f>
        <v/>
      </c>
      <c r="G12" s="5" t="inlineStr">
        <is>
          <t>100% formation</t>
        </is>
      </c>
      <c r="H12" s="5">
        <f>IF(D12&gt;=E12,"ATTEINT",IF(D12&gt;=E12-0.1,"PROCHE","INSUFFISANT"))</f>
        <v/>
      </c>
      <c r="I12" s="5">
        <f>IF(H12="INSUFFISANT","Plan d'action requis","")</f>
        <v/>
      </c>
      <c r="J12" s="5" t="n"/>
      <c r="K12" s="5" t="n"/>
      <c r="L12" s="5" t="n"/>
      <c r="M12" s="5" t="n"/>
      <c r="N12" s="40" t="n">
        <v>45444</v>
      </c>
    </row>
    <row r="13" ht="22" customHeight="1">
      <c r="A13" s="9" t="inlineStr">
        <is>
          <t>Loisirs</t>
        </is>
      </c>
      <c r="B13" s="31">
        <f>COUNTA('F01 - _Données Employés'!A6:A20)</f>
        <v/>
      </c>
      <c r="C13" s="31">
        <f>COUNTIF('F05 - 3-Inscription Avant.'!F$6:F$115,"Loisirs")</f>
        <v/>
      </c>
      <c r="D13" s="47">
        <f>IF(B13=0,0,C13/B13)</f>
        <v/>
      </c>
      <c r="E13" s="47" t="n">
        <v>0.5</v>
      </c>
      <c r="F13" s="47">
        <f>D13-E13</f>
        <v/>
      </c>
      <c r="G13" s="9" t="inlineStr">
        <is>
          <t>50% loisirs</t>
        </is>
      </c>
      <c r="H13" s="9">
        <f>IF(D13&gt;=E13,"ATTEINT",IF(D13&gt;=E13-0.1,"PROCHE","INSUFFISANT"))</f>
        <v/>
      </c>
      <c r="I13" s="9">
        <f>IF(H13="INSUFFISANT","Plan d'action requis","")</f>
        <v/>
      </c>
      <c r="J13" s="9" t="n"/>
      <c r="K13" s="9" t="n"/>
      <c r="L13" s="9" t="n"/>
      <c r="M13" s="9" t="n"/>
      <c r="N13" s="41" t="n">
        <v>45444</v>
      </c>
    </row>
    <row r="14" ht="22" customHeight="1">
      <c r="A14" s="5" t="inlineStr">
        <is>
          <t>Autre</t>
        </is>
      </c>
      <c r="B14" s="30">
        <f>COUNTA('F01 - _Données Employés'!A6:A20)</f>
        <v/>
      </c>
      <c r="C14" s="30">
        <f>COUNTIF('F05 - 3-Inscription Avant.'!F$6:F$115,"Autre")</f>
        <v/>
      </c>
      <c r="D14" s="46">
        <f>IF(B14=0,0,C14/B14)</f>
        <v/>
      </c>
      <c r="E14" s="46" t="n">
        <v>0.8</v>
      </c>
      <c r="F14" s="46">
        <f>D14-E14</f>
        <v/>
      </c>
      <c r="G14" s="5" t="inlineStr">
        <is>
          <t>80% divers</t>
        </is>
      </c>
      <c r="H14" s="5">
        <f>IF(D14&gt;=E14,"ATTEINT",IF(D14&gt;=E14-0.1,"PROCHE","INSUFFISANT"))</f>
        <v/>
      </c>
      <c r="I14" s="5">
        <f>IF(H14="INSUFFISANT","Plan d'action requis","")</f>
        <v/>
      </c>
      <c r="J14" s="5" t="n"/>
      <c r="K14" s="5" t="n"/>
      <c r="L14" s="5" t="n"/>
      <c r="M14" s="5" t="n"/>
      <c r="N14" s="40" t="n">
        <v>45444</v>
      </c>
    </row>
    <row r="15" ht="22" customHeight="1">
      <c r="A15" s="9" t="n"/>
      <c r="B15" s="31" t="n"/>
      <c r="C15" s="31" t="n"/>
      <c r="D15" s="47" t="n"/>
      <c r="E15" s="47" t="n"/>
      <c r="F15" s="47" t="n"/>
      <c r="G15" s="9" t="n"/>
      <c r="H15" s="9" t="n"/>
      <c r="I15" s="9" t="n"/>
      <c r="J15" s="9" t="n"/>
      <c r="K15" s="9" t="n"/>
      <c r="L15" s="9" t="n"/>
      <c r="M15" s="9" t="n"/>
      <c r="N15" s="41" t="n"/>
    </row>
    <row r="16" ht="22" customHeight="1">
      <c r="A16" s="5" t="n"/>
      <c r="B16" s="30" t="n"/>
      <c r="C16" s="30" t="n"/>
      <c r="D16" s="46" t="n"/>
      <c r="E16" s="46" t="n"/>
      <c r="F16" s="46" t="n"/>
      <c r="G16" s="5" t="n"/>
      <c r="H16" s="5" t="n"/>
      <c r="I16" s="5" t="n"/>
      <c r="J16" s="5" t="n"/>
      <c r="K16" s="5" t="n"/>
      <c r="L16" s="5" t="n"/>
      <c r="M16" s="5" t="n"/>
      <c r="N16" s="40" t="n"/>
    </row>
    <row r="17" ht="22" customHeight="1">
      <c r="A17" s="9" t="n"/>
      <c r="B17" s="31" t="n"/>
      <c r="C17" s="31" t="n"/>
      <c r="D17" s="47" t="n"/>
      <c r="E17" s="47" t="n"/>
      <c r="F17" s="47" t="n"/>
      <c r="G17" s="9" t="n"/>
      <c r="H17" s="9" t="n"/>
      <c r="I17" s="9" t="n"/>
      <c r="J17" s="9" t="n"/>
      <c r="K17" s="9" t="n"/>
      <c r="L17" s="9" t="n"/>
      <c r="M17" s="9" t="n"/>
      <c r="N17" s="41" t="n"/>
    </row>
    <row r="18" ht="22" customHeight="1">
      <c r="A18" s="5" t="n"/>
      <c r="B18" s="30" t="n"/>
      <c r="C18" s="30" t="n"/>
      <c r="D18" s="46" t="n"/>
      <c r="E18" s="46" t="n"/>
      <c r="F18" s="46" t="n"/>
      <c r="G18" s="5" t="n"/>
      <c r="H18" s="5" t="n"/>
      <c r="I18" s="5" t="n"/>
      <c r="J18" s="5" t="n"/>
      <c r="K18" s="5" t="n"/>
      <c r="L18" s="5" t="n"/>
      <c r="M18" s="5" t="n"/>
      <c r="N18" s="40" t="n"/>
    </row>
    <row r="19" ht="22" customHeight="1">
      <c r="A19" s="9" t="n"/>
      <c r="B19" s="31" t="n"/>
      <c r="C19" s="31" t="n"/>
      <c r="D19" s="47" t="n"/>
      <c r="E19" s="47" t="n"/>
      <c r="F19" s="47" t="n"/>
      <c r="G19" s="9" t="n"/>
      <c r="H19" s="9" t="n"/>
      <c r="I19" s="9" t="n"/>
      <c r="J19" s="9" t="n"/>
      <c r="K19" s="9" t="n"/>
      <c r="L19" s="9" t="n"/>
      <c r="M19" s="9" t="n"/>
      <c r="N19" s="41" t="n"/>
    </row>
    <row r="20" ht="22" customHeight="1">
      <c r="A20" s="5" t="n"/>
      <c r="B20" s="30" t="n"/>
      <c r="C20" s="30" t="n"/>
      <c r="D20" s="46" t="n"/>
      <c r="E20" s="46" t="n"/>
      <c r="F20" s="46" t="n"/>
      <c r="G20" s="5" t="n"/>
      <c r="H20" s="5" t="n"/>
      <c r="I20" s="5" t="n"/>
      <c r="J20" s="5" t="n"/>
      <c r="K20" s="5" t="n"/>
      <c r="L20" s="5" t="n"/>
      <c r="M20" s="5" t="n"/>
      <c r="N20" s="40" t="n"/>
    </row>
    <row r="21" ht="22" customHeight="1">
      <c r="A21" s="9" t="n"/>
      <c r="B21" s="31" t="n"/>
      <c r="C21" s="31" t="n"/>
      <c r="D21" s="47" t="n"/>
      <c r="E21" s="47" t="n"/>
      <c r="F21" s="47" t="n"/>
      <c r="G21" s="9" t="n"/>
      <c r="H21" s="9" t="n"/>
      <c r="I21" s="9" t="n"/>
      <c r="J21" s="9" t="n"/>
      <c r="K21" s="9" t="n"/>
      <c r="L21" s="9" t="n"/>
      <c r="M21" s="9" t="n"/>
      <c r="N21" s="41" t="n"/>
    </row>
    <row r="22" ht="22" customHeight="1">
      <c r="A22" s="5" t="n"/>
      <c r="B22" s="30" t="n"/>
      <c r="C22" s="30" t="n"/>
      <c r="D22" s="46" t="n"/>
      <c r="E22" s="46" t="n"/>
      <c r="F22" s="46" t="n"/>
      <c r="G22" s="5" t="n"/>
      <c r="H22" s="5" t="n"/>
      <c r="I22" s="5" t="n"/>
      <c r="J22" s="5" t="n"/>
      <c r="K22" s="5" t="n"/>
      <c r="L22" s="5" t="n"/>
      <c r="M22" s="5" t="n"/>
      <c r="N22" s="40" t="n"/>
    </row>
    <row r="23" ht="22" customHeight="1">
      <c r="A23" s="9" t="n"/>
      <c r="B23" s="31" t="n"/>
      <c r="C23" s="31" t="n"/>
      <c r="D23" s="47" t="n"/>
      <c r="E23" s="47" t="n"/>
      <c r="F23" s="47" t="n"/>
      <c r="G23" s="9" t="n"/>
      <c r="H23" s="9" t="n"/>
      <c r="I23" s="9" t="n"/>
      <c r="J23" s="9" t="n"/>
      <c r="K23" s="9" t="n"/>
      <c r="L23" s="9" t="n"/>
      <c r="M23" s="9" t="n"/>
      <c r="N23" s="41" t="n"/>
    </row>
    <row r="24" ht="22" customHeight="1">
      <c r="A24" s="5" t="n"/>
      <c r="B24" s="30" t="n"/>
      <c r="C24" s="30" t="n"/>
      <c r="D24" s="46" t="n"/>
      <c r="E24" s="46" t="n"/>
      <c r="F24" s="46" t="n"/>
      <c r="G24" s="5" t="n"/>
      <c r="H24" s="5" t="n"/>
      <c r="I24" s="5" t="n"/>
      <c r="J24" s="5" t="n"/>
      <c r="K24" s="5" t="n"/>
      <c r="L24" s="5" t="n"/>
      <c r="M24" s="5" t="n"/>
      <c r="N24" s="40" t="n"/>
    </row>
    <row r="25" ht="22" customHeight="1">
      <c r="A25" s="9" t="n"/>
      <c r="B25" s="31" t="n"/>
      <c r="C25" s="31" t="n"/>
      <c r="D25" s="47" t="n"/>
      <c r="E25" s="47" t="n"/>
      <c r="F25" s="47" t="n"/>
      <c r="G25" s="9" t="n"/>
      <c r="H25" s="9" t="n"/>
      <c r="I25" s="9" t="n"/>
      <c r="J25" s="9" t="n"/>
      <c r="K25" s="9" t="n"/>
      <c r="L25" s="9" t="n"/>
      <c r="M25" s="9" t="n"/>
      <c r="N25" s="41" t="n"/>
    </row>
    <row r="26" ht="22" customHeight="1">
      <c r="A26" s="5" t="n"/>
      <c r="B26" s="30" t="n"/>
      <c r="C26" s="30" t="n"/>
      <c r="D26" s="46" t="n"/>
      <c r="E26" s="46" t="n"/>
      <c r="F26" s="46" t="n"/>
      <c r="G26" s="5" t="n"/>
      <c r="H26" s="5" t="n"/>
      <c r="I26" s="5" t="n"/>
      <c r="J26" s="5" t="n"/>
      <c r="K26" s="5" t="n"/>
      <c r="L26" s="5" t="n"/>
      <c r="M26" s="5" t="n"/>
      <c r="N26" s="40" t="n"/>
    </row>
    <row r="27" ht="22" customHeight="1">
      <c r="A27" s="9" t="n"/>
      <c r="B27" s="31" t="n"/>
      <c r="C27" s="31" t="n"/>
      <c r="D27" s="47" t="n"/>
      <c r="E27" s="47" t="n"/>
      <c r="F27" s="47" t="n"/>
      <c r="G27" s="9" t="n"/>
      <c r="H27" s="9" t="n"/>
      <c r="I27" s="9" t="n"/>
      <c r="J27" s="9" t="n"/>
      <c r="K27" s="9" t="n"/>
      <c r="L27" s="9" t="n"/>
      <c r="M27" s="9" t="n"/>
      <c r="N27" s="41" t="n"/>
    </row>
    <row r="28" ht="22" customHeight="1">
      <c r="A28" s="5" t="n"/>
      <c r="B28" s="30" t="n"/>
      <c r="C28" s="30" t="n"/>
      <c r="D28" s="46" t="n"/>
      <c r="E28" s="46" t="n"/>
      <c r="F28" s="46" t="n"/>
      <c r="G28" s="5" t="n"/>
      <c r="H28" s="5" t="n"/>
      <c r="I28" s="5" t="n"/>
      <c r="J28" s="5" t="n"/>
      <c r="K28" s="5" t="n"/>
      <c r="L28" s="5" t="n"/>
      <c r="M28" s="5" t="n"/>
      <c r="N28" s="40" t="n"/>
    </row>
    <row r="29" ht="22" customHeight="1">
      <c r="A29" s="9" t="n"/>
      <c r="B29" s="31" t="n"/>
      <c r="C29" s="31" t="n"/>
      <c r="D29" s="47" t="n"/>
      <c r="E29" s="47" t="n"/>
      <c r="F29" s="47" t="n"/>
      <c r="G29" s="9" t="n"/>
      <c r="H29" s="9" t="n"/>
      <c r="I29" s="9" t="n"/>
      <c r="J29" s="9" t="n"/>
      <c r="K29" s="9" t="n"/>
      <c r="L29" s="9" t="n"/>
      <c r="M29" s="9" t="n"/>
      <c r="N29" s="41" t="n"/>
    </row>
    <row r="30" ht="22" customHeight="1">
      <c r="A30" s="5" t="n"/>
      <c r="B30" s="30" t="n"/>
      <c r="C30" s="30" t="n"/>
      <c r="D30" s="46" t="n"/>
      <c r="E30" s="46" t="n"/>
      <c r="F30" s="46" t="n"/>
      <c r="G30" s="5" t="n"/>
      <c r="H30" s="5" t="n"/>
      <c r="I30" s="5" t="n"/>
      <c r="J30" s="5" t="n"/>
      <c r="K30" s="5" t="n"/>
      <c r="L30" s="5" t="n"/>
      <c r="M30" s="5" t="n"/>
      <c r="N30" s="40" t="n"/>
    </row>
    <row r="31" ht="22" customHeight="1">
      <c r="A31" s="9" t="n"/>
      <c r="B31" s="31" t="n"/>
      <c r="C31" s="31" t="n"/>
      <c r="D31" s="47" t="n"/>
      <c r="E31" s="47" t="n"/>
      <c r="F31" s="47" t="n"/>
      <c r="G31" s="9" t="n"/>
      <c r="H31" s="9" t="n"/>
      <c r="I31" s="9" t="n"/>
      <c r="J31" s="9" t="n"/>
      <c r="K31" s="9" t="n"/>
      <c r="L31" s="9" t="n"/>
      <c r="M31" s="9" t="n"/>
      <c r="N31" s="41" t="n"/>
    </row>
    <row r="32" ht="22" customHeight="1">
      <c r="A32" s="5" t="n"/>
      <c r="B32" s="30" t="n"/>
      <c r="C32" s="30" t="n"/>
      <c r="D32" s="46" t="n"/>
      <c r="E32" s="46" t="n"/>
      <c r="F32" s="46" t="n"/>
      <c r="G32" s="5" t="n"/>
      <c r="H32" s="5" t="n"/>
      <c r="I32" s="5" t="n"/>
      <c r="J32" s="5" t="n"/>
      <c r="K32" s="5" t="n"/>
      <c r="L32" s="5" t="n"/>
      <c r="M32" s="5" t="n"/>
      <c r="N32" s="40" t="n"/>
    </row>
    <row r="33" ht="22" customHeight="1">
      <c r="A33" s="9" t="n"/>
      <c r="B33" s="31" t="n"/>
      <c r="C33" s="31" t="n"/>
      <c r="D33" s="47" t="n"/>
      <c r="E33" s="47" t="n"/>
      <c r="F33" s="47" t="n"/>
      <c r="G33" s="9" t="n"/>
      <c r="H33" s="9" t="n"/>
      <c r="I33" s="9" t="n"/>
      <c r="J33" s="9" t="n"/>
      <c r="K33" s="9" t="n"/>
      <c r="L33" s="9" t="n"/>
      <c r="M33" s="9" t="n"/>
      <c r="N33" s="41" t="n"/>
    </row>
    <row r="34" ht="22" customHeight="1">
      <c r="A34" s="5" t="n"/>
      <c r="B34" s="30" t="n"/>
      <c r="C34" s="30" t="n"/>
      <c r="D34" s="46" t="n"/>
      <c r="E34" s="46" t="n"/>
      <c r="F34" s="46" t="n"/>
      <c r="G34" s="5" t="n"/>
      <c r="H34" s="5" t="n"/>
      <c r="I34" s="5" t="n"/>
      <c r="J34" s="5" t="n"/>
      <c r="K34" s="5" t="n"/>
      <c r="L34" s="5" t="n"/>
      <c r="M34" s="5" t="n"/>
      <c r="N34" s="40" t="n"/>
    </row>
    <row r="35" ht="22" customHeight="1">
      <c r="A35" s="9" t="n"/>
      <c r="B35" s="31" t="n"/>
      <c r="C35" s="31" t="n"/>
      <c r="D35" s="47" t="n"/>
      <c r="E35" s="47" t="n"/>
      <c r="F35" s="47" t="n"/>
      <c r="G35" s="9" t="n"/>
      <c r="H35" s="9" t="n"/>
      <c r="I35" s="9" t="n"/>
      <c r="J35" s="9" t="n"/>
      <c r="K35" s="9" t="n"/>
      <c r="L35" s="9" t="n"/>
      <c r="M35" s="9" t="n"/>
      <c r="N35" s="41" t="n"/>
    </row>
    <row r="36" ht="22" customHeight="1">
      <c r="A36" s="5" t="n"/>
      <c r="B36" s="30" t="n"/>
      <c r="C36" s="30" t="n"/>
      <c r="D36" s="46" t="n"/>
      <c r="E36" s="46" t="n"/>
      <c r="F36" s="46" t="n"/>
      <c r="G36" s="5" t="n"/>
      <c r="H36" s="5" t="n"/>
      <c r="I36" s="5" t="n"/>
      <c r="J36" s="5" t="n"/>
      <c r="K36" s="5" t="n"/>
      <c r="L36" s="5" t="n"/>
      <c r="M36" s="5" t="n"/>
      <c r="N36" s="40" t="n"/>
    </row>
    <row r="37" ht="22" customHeight="1">
      <c r="A37" s="9" t="n"/>
      <c r="B37" s="31" t="n"/>
      <c r="C37" s="31" t="n"/>
      <c r="D37" s="47" t="n"/>
      <c r="E37" s="47" t="n"/>
      <c r="F37" s="47" t="n"/>
      <c r="G37" s="9" t="n"/>
      <c r="H37" s="9" t="n"/>
      <c r="I37" s="9" t="n"/>
      <c r="J37" s="9" t="n"/>
      <c r="K37" s="9" t="n"/>
      <c r="L37" s="9" t="n"/>
      <c r="M37" s="9" t="n"/>
      <c r="N37" s="41" t="n"/>
    </row>
    <row r="38" ht="22" customHeight="1">
      <c r="A38" s="5" t="n"/>
      <c r="B38" s="30" t="n"/>
      <c r="C38" s="30" t="n"/>
      <c r="D38" s="46" t="n"/>
      <c r="E38" s="46" t="n"/>
      <c r="F38" s="46" t="n"/>
      <c r="G38" s="5" t="n"/>
      <c r="H38" s="5" t="n"/>
      <c r="I38" s="5" t="n"/>
      <c r="J38" s="5" t="n"/>
      <c r="K38" s="5" t="n"/>
      <c r="L38" s="5" t="n"/>
      <c r="M38" s="5" t="n"/>
      <c r="N38" s="40" t="n"/>
    </row>
    <row r="39" ht="22" customHeight="1">
      <c r="A39" s="9" t="n"/>
      <c r="B39" s="31" t="n"/>
      <c r="C39" s="31" t="n"/>
      <c r="D39" s="47" t="n"/>
      <c r="E39" s="47" t="n"/>
      <c r="F39" s="47" t="n"/>
      <c r="G39" s="9" t="n"/>
      <c r="H39" s="9" t="n"/>
      <c r="I39" s="9" t="n"/>
      <c r="J39" s="9" t="n"/>
      <c r="K39" s="9" t="n"/>
      <c r="L39" s="9" t="n"/>
      <c r="M39" s="9" t="n"/>
      <c r="N39" s="41" t="n"/>
    </row>
    <row r="40" ht="22" customHeight="1">
      <c r="A40" s="5" t="n"/>
      <c r="B40" s="30" t="n"/>
      <c r="C40" s="30" t="n"/>
      <c r="D40" s="46" t="n"/>
      <c r="E40" s="46" t="n"/>
      <c r="F40" s="46" t="n"/>
      <c r="G40" s="5" t="n"/>
      <c r="H40" s="5" t="n"/>
      <c r="I40" s="5" t="n"/>
      <c r="J40" s="5" t="n"/>
      <c r="K40" s="5" t="n"/>
      <c r="L40" s="5" t="n"/>
      <c r="M40" s="5" t="n"/>
      <c r="N40" s="40" t="n"/>
    </row>
    <row r="41" ht="22" customHeight="1">
      <c r="A41" s="9" t="n"/>
      <c r="B41" s="31" t="n"/>
      <c r="C41" s="31" t="n"/>
      <c r="D41" s="47" t="n"/>
      <c r="E41" s="47" t="n"/>
      <c r="F41" s="47" t="n"/>
      <c r="G41" s="9" t="n"/>
      <c r="H41" s="9" t="n"/>
      <c r="I41" s="9" t="n"/>
      <c r="J41" s="9" t="n"/>
      <c r="K41" s="9" t="n"/>
      <c r="L41" s="9" t="n"/>
      <c r="M41" s="9" t="n"/>
      <c r="N41" s="41" t="n"/>
    </row>
    <row r="42" ht="22" customHeight="1">
      <c r="A42" s="5" t="n"/>
      <c r="B42" s="30" t="n"/>
      <c r="C42" s="30" t="n"/>
      <c r="D42" s="46" t="n"/>
      <c r="E42" s="46" t="n"/>
      <c r="F42" s="46" t="n"/>
      <c r="G42" s="5" t="n"/>
      <c r="H42" s="5" t="n"/>
      <c r="I42" s="5" t="n"/>
      <c r="J42" s="5" t="n"/>
      <c r="K42" s="5" t="n"/>
      <c r="L42" s="5" t="n"/>
      <c r="M42" s="5" t="n"/>
      <c r="N42" s="40" t="n"/>
    </row>
    <row r="43" ht="22" customHeight="1">
      <c r="A43" s="9" t="n"/>
      <c r="B43" s="31" t="n"/>
      <c r="C43" s="31" t="n"/>
      <c r="D43" s="47" t="n"/>
      <c r="E43" s="47" t="n"/>
      <c r="F43" s="47" t="n"/>
      <c r="G43" s="9" t="n"/>
      <c r="H43" s="9" t="n"/>
      <c r="I43" s="9" t="n"/>
      <c r="J43" s="9" t="n"/>
      <c r="K43" s="9" t="n"/>
      <c r="L43" s="9" t="n"/>
      <c r="M43" s="9" t="n"/>
      <c r="N43" s="41" t="n"/>
    </row>
    <row r="44" ht="22" customHeight="1">
      <c r="A44" s="5" t="n"/>
      <c r="B44" s="30" t="n"/>
      <c r="C44" s="30" t="n"/>
      <c r="D44" s="46" t="n"/>
      <c r="E44" s="46" t="n"/>
      <c r="F44" s="46" t="n"/>
      <c r="G44" s="5" t="n"/>
      <c r="H44" s="5" t="n"/>
      <c r="I44" s="5" t="n"/>
      <c r="J44" s="5" t="n"/>
      <c r="K44" s="5" t="n"/>
      <c r="L44" s="5" t="n"/>
      <c r="M44" s="5" t="n"/>
      <c r="N44" s="40" t="n"/>
    </row>
    <row r="45" ht="22" customHeight="1">
      <c r="A45" s="9" t="n"/>
      <c r="B45" s="31" t="n"/>
      <c r="C45" s="31" t="n"/>
      <c r="D45" s="47" t="n"/>
      <c r="E45" s="47" t="n"/>
      <c r="F45" s="47" t="n"/>
      <c r="G45" s="9" t="n"/>
      <c r="H45" s="9" t="n"/>
      <c r="I45" s="9" t="n"/>
      <c r="J45" s="9" t="n"/>
      <c r="K45" s="9" t="n"/>
      <c r="L45" s="9" t="n"/>
      <c r="M45" s="9" t="n"/>
      <c r="N45" s="41" t="n"/>
    </row>
    <row r="46" ht="22" customHeight="1">
      <c r="A46" s="5" t="n"/>
      <c r="B46" s="30" t="n"/>
      <c r="C46" s="30" t="n"/>
      <c r="D46" s="46" t="n"/>
      <c r="E46" s="46" t="n"/>
      <c r="F46" s="46" t="n"/>
      <c r="G46" s="5" t="n"/>
      <c r="H46" s="5" t="n"/>
      <c r="I46" s="5" t="n"/>
      <c r="J46" s="5" t="n"/>
      <c r="K46" s="5" t="n"/>
      <c r="L46" s="5" t="n"/>
      <c r="M46" s="5" t="n"/>
      <c r="N46" s="40" t="n"/>
    </row>
    <row r="47" ht="22" customHeight="1">
      <c r="A47" s="9" t="n"/>
      <c r="B47" s="31" t="n"/>
      <c r="C47" s="31" t="n"/>
      <c r="D47" s="47" t="n"/>
      <c r="E47" s="47" t="n"/>
      <c r="F47" s="47" t="n"/>
      <c r="G47" s="9" t="n"/>
      <c r="H47" s="9" t="n"/>
      <c r="I47" s="9" t="n"/>
      <c r="J47" s="9" t="n"/>
      <c r="K47" s="9" t="n"/>
      <c r="L47" s="9" t="n"/>
      <c r="M47" s="9" t="n"/>
      <c r="N47" s="41" t="n"/>
    </row>
    <row r="48" ht="22" customHeight="1">
      <c r="A48" s="5" t="n"/>
      <c r="B48" s="30" t="n"/>
      <c r="C48" s="30" t="n"/>
      <c r="D48" s="46" t="n"/>
      <c r="E48" s="46" t="n"/>
      <c r="F48" s="46" t="n"/>
      <c r="G48" s="5" t="n"/>
      <c r="H48" s="5" t="n"/>
      <c r="I48" s="5" t="n"/>
      <c r="J48" s="5" t="n"/>
      <c r="K48" s="5" t="n"/>
      <c r="L48" s="5" t="n"/>
      <c r="M48" s="5" t="n"/>
      <c r="N48" s="40" t="n"/>
    </row>
    <row r="49" ht="22" customHeight="1">
      <c r="A49" s="9" t="n"/>
      <c r="B49" s="31" t="n"/>
      <c r="C49" s="31" t="n"/>
      <c r="D49" s="47" t="n"/>
      <c r="E49" s="47" t="n"/>
      <c r="F49" s="47" t="n"/>
      <c r="G49" s="9" t="n"/>
      <c r="H49" s="9" t="n"/>
      <c r="I49" s="9" t="n"/>
      <c r="J49" s="9" t="n"/>
      <c r="K49" s="9" t="n"/>
      <c r="L49" s="9" t="n"/>
      <c r="M49" s="9" t="n"/>
      <c r="N49" s="41" t="n"/>
    </row>
    <row r="50" ht="22" customHeight="1">
      <c r="A50" s="5" t="n"/>
      <c r="B50" s="30" t="n"/>
      <c r="C50" s="30" t="n"/>
      <c r="D50" s="46" t="n"/>
      <c r="E50" s="46" t="n"/>
      <c r="F50" s="46" t="n"/>
      <c r="G50" s="5" t="n"/>
      <c r="H50" s="5" t="n"/>
      <c r="I50" s="5" t="n"/>
      <c r="J50" s="5" t="n"/>
      <c r="K50" s="5" t="n"/>
      <c r="L50" s="5" t="n"/>
      <c r="M50" s="5" t="n"/>
      <c r="N50" s="40" t="n"/>
    </row>
    <row r="51" ht="22" customHeight="1">
      <c r="A51" s="9" t="n"/>
      <c r="B51" s="31" t="n"/>
      <c r="C51" s="31" t="n"/>
      <c r="D51" s="47" t="n"/>
      <c r="E51" s="47" t="n"/>
      <c r="F51" s="47" t="n"/>
      <c r="G51" s="9" t="n"/>
      <c r="H51" s="9" t="n"/>
      <c r="I51" s="9" t="n"/>
      <c r="J51" s="9" t="n"/>
      <c r="K51" s="9" t="n"/>
      <c r="L51" s="9" t="n"/>
      <c r="M51" s="9" t="n"/>
      <c r="N51" s="41" t="n"/>
    </row>
    <row r="52" ht="22" customHeight="1">
      <c r="A52" s="5" t="n"/>
      <c r="B52" s="30" t="n"/>
      <c r="C52" s="30" t="n"/>
      <c r="D52" s="46" t="n"/>
      <c r="E52" s="46" t="n"/>
      <c r="F52" s="46" t="n"/>
      <c r="G52" s="5" t="n"/>
      <c r="H52" s="5" t="n"/>
      <c r="I52" s="5" t="n"/>
      <c r="J52" s="5" t="n"/>
      <c r="K52" s="5" t="n"/>
      <c r="L52" s="5" t="n"/>
      <c r="M52" s="5" t="n"/>
      <c r="N52" s="40" t="n"/>
    </row>
    <row r="53" ht="22" customHeight="1">
      <c r="A53" s="9" t="n"/>
      <c r="B53" s="31" t="n"/>
      <c r="C53" s="31" t="n"/>
      <c r="D53" s="47" t="n"/>
      <c r="E53" s="47" t="n"/>
      <c r="F53" s="47" t="n"/>
      <c r="G53" s="9" t="n"/>
      <c r="H53" s="9" t="n"/>
      <c r="I53" s="9" t="n"/>
      <c r="J53" s="9" t="n"/>
      <c r="K53" s="9" t="n"/>
      <c r="L53" s="9" t="n"/>
      <c r="M53" s="9" t="n"/>
      <c r="N53" s="41" t="n"/>
    </row>
    <row r="54" ht="22" customHeight="1">
      <c r="A54" s="5" t="n"/>
      <c r="B54" s="30" t="n"/>
      <c r="C54" s="30" t="n"/>
      <c r="D54" s="46" t="n"/>
      <c r="E54" s="46" t="n"/>
      <c r="F54" s="46" t="n"/>
      <c r="G54" s="5" t="n"/>
      <c r="H54" s="5" t="n"/>
      <c r="I54" s="5" t="n"/>
      <c r="J54" s="5" t="n"/>
      <c r="K54" s="5" t="n"/>
      <c r="L54" s="5" t="n"/>
      <c r="M54" s="5" t="n"/>
      <c r="N54" s="40" t="n"/>
    </row>
    <row r="55" ht="22" customHeight="1">
      <c r="A55" s="9" t="n"/>
      <c r="B55" s="31" t="n"/>
      <c r="C55" s="31" t="n"/>
      <c r="D55" s="47" t="n"/>
      <c r="E55" s="47" t="n"/>
      <c r="F55" s="47" t="n"/>
      <c r="G55" s="9" t="n"/>
      <c r="H55" s="9" t="n"/>
      <c r="I55" s="9" t="n"/>
      <c r="J55" s="9" t="n"/>
      <c r="K55" s="9" t="n"/>
      <c r="L55" s="9" t="n"/>
      <c r="M55" s="9" t="n"/>
      <c r="N55" s="41" t="n"/>
    </row>
    <row r="56" ht="22" customHeight="1">
      <c r="A56" s="5" t="n"/>
      <c r="B56" s="30" t="n"/>
      <c r="C56" s="30" t="n"/>
      <c r="D56" s="46" t="n"/>
      <c r="E56" s="46" t="n"/>
      <c r="F56" s="46" t="n"/>
      <c r="G56" s="5" t="n"/>
      <c r="H56" s="5" t="n"/>
      <c r="I56" s="5" t="n"/>
      <c r="J56" s="5" t="n"/>
      <c r="K56" s="5" t="n"/>
      <c r="L56" s="5" t="n"/>
      <c r="M56" s="5" t="n"/>
      <c r="N56" s="40" t="n"/>
    </row>
    <row r="57" ht="22" customHeight="1">
      <c r="A57" s="9" t="n"/>
      <c r="B57" s="31" t="n"/>
      <c r="C57" s="31" t="n"/>
      <c r="D57" s="47" t="n"/>
      <c r="E57" s="47" t="n"/>
      <c r="F57" s="47" t="n"/>
      <c r="G57" s="9" t="n"/>
      <c r="H57" s="9" t="n"/>
      <c r="I57" s="9" t="n"/>
      <c r="J57" s="9" t="n"/>
      <c r="K57" s="9" t="n"/>
      <c r="L57" s="9" t="n"/>
      <c r="M57" s="9" t="n"/>
      <c r="N57" s="41" t="n"/>
    </row>
    <row r="58" ht="22" customHeight="1">
      <c r="A58" s="5" t="n"/>
      <c r="B58" s="30" t="n"/>
      <c r="C58" s="30" t="n"/>
      <c r="D58" s="46" t="n"/>
      <c r="E58" s="46" t="n"/>
      <c r="F58" s="46" t="n"/>
      <c r="G58" s="5" t="n"/>
      <c r="H58" s="5" t="n"/>
      <c r="I58" s="5" t="n"/>
      <c r="J58" s="5" t="n"/>
      <c r="K58" s="5" t="n"/>
      <c r="L58" s="5" t="n"/>
      <c r="M58" s="5" t="n"/>
      <c r="N58" s="40" t="n"/>
    </row>
    <row r="59" ht="22" customHeight="1">
      <c r="A59" s="9" t="n"/>
      <c r="B59" s="31" t="n"/>
      <c r="C59" s="31" t="n"/>
      <c r="D59" s="47" t="n"/>
      <c r="E59" s="47" t="n"/>
      <c r="F59" s="47" t="n"/>
      <c r="G59" s="9" t="n"/>
      <c r="H59" s="9" t="n"/>
      <c r="I59" s="9" t="n"/>
      <c r="J59" s="9" t="n"/>
      <c r="K59" s="9" t="n"/>
      <c r="L59" s="9" t="n"/>
      <c r="M59" s="9" t="n"/>
      <c r="N59" s="41" t="n"/>
    </row>
    <row r="60" ht="22" customHeight="1">
      <c r="A60" s="5" t="n"/>
      <c r="B60" s="30" t="n"/>
      <c r="C60" s="30" t="n"/>
      <c r="D60" s="46" t="n"/>
      <c r="E60" s="46" t="n"/>
      <c r="F60" s="46" t="n"/>
      <c r="G60" s="5" t="n"/>
      <c r="H60" s="5" t="n"/>
      <c r="I60" s="5" t="n"/>
      <c r="J60" s="5" t="n"/>
      <c r="K60" s="5" t="n"/>
      <c r="L60" s="5" t="n"/>
      <c r="M60" s="5" t="n"/>
      <c r="N60" s="40" t="n"/>
    </row>
    <row r="61" ht="22" customHeight="1">
      <c r="A61" s="9" t="n"/>
      <c r="B61" s="31" t="n"/>
      <c r="C61" s="31" t="n"/>
      <c r="D61" s="47" t="n"/>
      <c r="E61" s="47" t="n"/>
      <c r="F61" s="47" t="n"/>
      <c r="G61" s="9" t="n"/>
      <c r="H61" s="9" t="n"/>
      <c r="I61" s="9" t="n"/>
      <c r="J61" s="9" t="n"/>
      <c r="K61" s="9" t="n"/>
      <c r="L61" s="9" t="n"/>
      <c r="M61" s="9" t="n"/>
      <c r="N61" s="41" t="n"/>
    </row>
    <row r="62" ht="22" customHeight="1">
      <c r="A62" s="5" t="n"/>
      <c r="B62" s="30" t="n"/>
      <c r="C62" s="30" t="n"/>
      <c r="D62" s="46" t="n"/>
      <c r="E62" s="46" t="n"/>
      <c r="F62" s="46" t="n"/>
      <c r="G62" s="5" t="n"/>
      <c r="H62" s="5" t="n"/>
      <c r="I62" s="5" t="n"/>
      <c r="J62" s="5" t="n"/>
      <c r="K62" s="5" t="n"/>
      <c r="L62" s="5" t="n"/>
      <c r="M62" s="5" t="n"/>
      <c r="N62" s="40" t="n"/>
    </row>
    <row r="63" ht="22" customHeight="1">
      <c r="A63" s="9" t="n"/>
      <c r="B63" s="31" t="n"/>
      <c r="C63" s="31" t="n"/>
      <c r="D63" s="47" t="n"/>
      <c r="E63" s="47" t="n"/>
      <c r="F63" s="47" t="n"/>
      <c r="G63" s="9" t="n"/>
      <c r="H63" s="9" t="n"/>
      <c r="I63" s="9" t="n"/>
      <c r="J63" s="9" t="n"/>
      <c r="K63" s="9" t="n"/>
      <c r="L63" s="9" t="n"/>
      <c r="M63" s="9" t="n"/>
      <c r="N63" s="41" t="n"/>
    </row>
    <row r="64" ht="22" customHeight="1">
      <c r="A64" s="5" t="n"/>
      <c r="B64" s="30" t="n"/>
      <c r="C64" s="30" t="n"/>
      <c r="D64" s="46" t="n"/>
      <c r="E64" s="46" t="n"/>
      <c r="F64" s="46" t="n"/>
      <c r="G64" s="5" t="n"/>
      <c r="H64" s="5" t="n"/>
      <c r="I64" s="5" t="n"/>
      <c r="J64" s="5" t="n"/>
      <c r="K64" s="5" t="n"/>
      <c r="L64" s="5" t="n"/>
      <c r="M64" s="5" t="n"/>
      <c r="N64" s="40" t="n"/>
    </row>
    <row r="65" ht="22" customHeight="1">
      <c r="A65" s="9" t="n"/>
      <c r="B65" s="31" t="n"/>
      <c r="C65" s="31" t="n"/>
      <c r="D65" s="47" t="n"/>
      <c r="E65" s="47" t="n"/>
      <c r="F65" s="47" t="n"/>
      <c r="G65" s="9" t="n"/>
      <c r="H65" s="9" t="n"/>
      <c r="I65" s="9" t="n"/>
      <c r="J65" s="9" t="n"/>
      <c r="K65" s="9" t="n"/>
      <c r="L65" s="9" t="n"/>
      <c r="M65" s="9" t="n"/>
      <c r="N65" s="41" t="n"/>
    </row>
    <row r="66" ht="22" customHeight="1">
      <c r="A66" s="5" t="n"/>
      <c r="B66" s="30" t="n"/>
      <c r="C66" s="30" t="n"/>
      <c r="D66" s="46" t="n"/>
      <c r="E66" s="46" t="n"/>
      <c r="F66" s="46" t="n"/>
      <c r="G66" s="5" t="n"/>
      <c r="H66" s="5" t="n"/>
      <c r="I66" s="5" t="n"/>
      <c r="J66" s="5" t="n"/>
      <c r="K66" s="5" t="n"/>
      <c r="L66" s="5" t="n"/>
      <c r="M66" s="5" t="n"/>
      <c r="N66" s="40" t="n"/>
    </row>
    <row r="67" ht="22" customHeight="1">
      <c r="A67" s="9" t="n"/>
      <c r="B67" s="31" t="n"/>
      <c r="C67" s="31" t="n"/>
      <c r="D67" s="47" t="n"/>
      <c r="E67" s="47" t="n"/>
      <c r="F67" s="47" t="n"/>
      <c r="G67" s="9" t="n"/>
      <c r="H67" s="9" t="n"/>
      <c r="I67" s="9" t="n"/>
      <c r="J67" s="9" t="n"/>
      <c r="K67" s="9" t="n"/>
      <c r="L67" s="9" t="n"/>
      <c r="M67" s="9" t="n"/>
      <c r="N67" s="41" t="n"/>
    </row>
    <row r="68" ht="22" customHeight="1">
      <c r="A68" s="5" t="n"/>
      <c r="B68" s="30" t="n"/>
      <c r="C68" s="30" t="n"/>
      <c r="D68" s="46" t="n"/>
      <c r="E68" s="46" t="n"/>
      <c r="F68" s="46" t="n"/>
      <c r="G68" s="5" t="n"/>
      <c r="H68" s="5" t="n"/>
      <c r="I68" s="5" t="n"/>
      <c r="J68" s="5" t="n"/>
      <c r="K68" s="5" t="n"/>
      <c r="L68" s="5" t="n"/>
      <c r="M68" s="5" t="n"/>
      <c r="N68" s="40" t="n"/>
    </row>
    <row r="69" ht="22" customHeight="1">
      <c r="A69" s="9" t="n"/>
      <c r="B69" s="31" t="n"/>
      <c r="C69" s="31" t="n"/>
      <c r="D69" s="47" t="n"/>
      <c r="E69" s="47" t="n"/>
      <c r="F69" s="47" t="n"/>
      <c r="G69" s="9" t="n"/>
      <c r="H69" s="9" t="n"/>
      <c r="I69" s="9" t="n"/>
      <c r="J69" s="9" t="n"/>
      <c r="K69" s="9" t="n"/>
      <c r="L69" s="9" t="n"/>
      <c r="M69" s="9" t="n"/>
      <c r="N69" s="41" t="n"/>
    </row>
    <row r="70" ht="22" customHeight="1">
      <c r="A70" s="5" t="n"/>
      <c r="B70" s="30" t="n"/>
      <c r="C70" s="30" t="n"/>
      <c r="D70" s="46" t="n"/>
      <c r="E70" s="46" t="n"/>
      <c r="F70" s="46" t="n"/>
      <c r="G70" s="5" t="n"/>
      <c r="H70" s="5" t="n"/>
      <c r="I70" s="5" t="n"/>
      <c r="J70" s="5" t="n"/>
      <c r="K70" s="5" t="n"/>
      <c r="L70" s="5" t="n"/>
      <c r="M70" s="5" t="n"/>
      <c r="N70" s="40" t="n"/>
    </row>
    <row r="71" ht="22" customHeight="1">
      <c r="A71" s="9" t="n"/>
      <c r="B71" s="31" t="n"/>
      <c r="C71" s="31" t="n"/>
      <c r="D71" s="47" t="n"/>
      <c r="E71" s="47" t="n"/>
      <c r="F71" s="47" t="n"/>
      <c r="G71" s="9" t="n"/>
      <c r="H71" s="9" t="n"/>
      <c r="I71" s="9" t="n"/>
      <c r="J71" s="9" t="n"/>
      <c r="K71" s="9" t="n"/>
      <c r="L71" s="9" t="n"/>
      <c r="M71" s="9" t="n"/>
      <c r="N71" s="41" t="n"/>
    </row>
    <row r="72" ht="22" customHeight="1">
      <c r="A72" s="5" t="n"/>
      <c r="B72" s="30" t="n"/>
      <c r="C72" s="30" t="n"/>
      <c r="D72" s="46" t="n"/>
      <c r="E72" s="46" t="n"/>
      <c r="F72" s="46" t="n"/>
      <c r="G72" s="5" t="n"/>
      <c r="H72" s="5" t="n"/>
      <c r="I72" s="5" t="n"/>
      <c r="J72" s="5" t="n"/>
      <c r="K72" s="5" t="n"/>
      <c r="L72" s="5" t="n"/>
      <c r="M72" s="5" t="n"/>
      <c r="N72" s="40" t="n"/>
    </row>
    <row r="73" ht="22" customHeight="1">
      <c r="A73" s="9" t="n"/>
      <c r="B73" s="31" t="n"/>
      <c r="C73" s="31" t="n"/>
      <c r="D73" s="47" t="n"/>
      <c r="E73" s="47" t="n"/>
      <c r="F73" s="47" t="n"/>
      <c r="G73" s="9" t="n"/>
      <c r="H73" s="9" t="n"/>
      <c r="I73" s="9" t="n"/>
      <c r="J73" s="9" t="n"/>
      <c r="K73" s="9" t="n"/>
      <c r="L73" s="9" t="n"/>
      <c r="M73" s="9" t="n"/>
      <c r="N73" s="41" t="n"/>
    </row>
    <row r="74" ht="22" customHeight="1">
      <c r="A74" s="5" t="n"/>
      <c r="B74" s="30" t="n"/>
      <c r="C74" s="30" t="n"/>
      <c r="D74" s="46" t="n"/>
      <c r="E74" s="46" t="n"/>
      <c r="F74" s="46" t="n"/>
      <c r="G74" s="5" t="n"/>
      <c r="H74" s="5" t="n"/>
      <c r="I74" s="5" t="n"/>
      <c r="J74" s="5" t="n"/>
      <c r="K74" s="5" t="n"/>
      <c r="L74" s="5" t="n"/>
      <c r="M74" s="5" t="n"/>
      <c r="N74" s="40" t="n"/>
    </row>
    <row r="75" ht="22" customHeight="1">
      <c r="A75" s="9" t="n"/>
      <c r="B75" s="31" t="n"/>
      <c r="C75" s="31" t="n"/>
      <c r="D75" s="47" t="n"/>
      <c r="E75" s="47" t="n"/>
      <c r="F75" s="47" t="n"/>
      <c r="G75" s="9" t="n"/>
      <c r="H75" s="9" t="n"/>
      <c r="I75" s="9" t="n"/>
      <c r="J75" s="9" t="n"/>
      <c r="K75" s="9" t="n"/>
      <c r="L75" s="9" t="n"/>
      <c r="M75" s="9" t="n"/>
      <c r="N75" s="41" t="n"/>
    </row>
    <row r="76" ht="22" customHeight="1">
      <c r="A76" s="5" t="n"/>
      <c r="B76" s="30" t="n"/>
      <c r="C76" s="30" t="n"/>
      <c r="D76" s="46" t="n"/>
      <c r="E76" s="46" t="n"/>
      <c r="F76" s="46" t="n"/>
      <c r="G76" s="5" t="n"/>
      <c r="H76" s="5" t="n"/>
      <c r="I76" s="5" t="n"/>
      <c r="J76" s="5" t="n"/>
      <c r="K76" s="5" t="n"/>
      <c r="L76" s="5" t="n"/>
      <c r="M76" s="5" t="n"/>
      <c r="N76" s="40" t="n"/>
    </row>
    <row r="77" ht="22" customHeight="1">
      <c r="A77" s="9" t="n"/>
      <c r="B77" s="31" t="n"/>
      <c r="C77" s="31" t="n"/>
      <c r="D77" s="47" t="n"/>
      <c r="E77" s="47" t="n"/>
      <c r="F77" s="47" t="n"/>
      <c r="G77" s="9" t="n"/>
      <c r="H77" s="9" t="n"/>
      <c r="I77" s="9" t="n"/>
      <c r="J77" s="9" t="n"/>
      <c r="K77" s="9" t="n"/>
      <c r="L77" s="9" t="n"/>
      <c r="M77" s="9" t="n"/>
      <c r="N77" s="41" t="n"/>
    </row>
    <row r="78" ht="22" customHeight="1">
      <c r="A78" s="5" t="n"/>
      <c r="B78" s="30" t="n"/>
      <c r="C78" s="30" t="n"/>
      <c r="D78" s="46" t="n"/>
      <c r="E78" s="46" t="n"/>
      <c r="F78" s="46" t="n"/>
      <c r="G78" s="5" t="n"/>
      <c r="H78" s="5" t="n"/>
      <c r="I78" s="5" t="n"/>
      <c r="J78" s="5" t="n"/>
      <c r="K78" s="5" t="n"/>
      <c r="L78" s="5" t="n"/>
      <c r="M78" s="5" t="n"/>
      <c r="N78" s="40" t="n"/>
    </row>
    <row r="79" ht="22" customHeight="1">
      <c r="A79" s="9" t="n"/>
      <c r="B79" s="31" t="n"/>
      <c r="C79" s="31" t="n"/>
      <c r="D79" s="47" t="n"/>
      <c r="E79" s="47" t="n"/>
      <c r="F79" s="47" t="n"/>
      <c r="G79" s="9" t="n"/>
      <c r="H79" s="9" t="n"/>
      <c r="I79" s="9" t="n"/>
      <c r="J79" s="9" t="n"/>
      <c r="K79" s="9" t="n"/>
      <c r="L79" s="9" t="n"/>
      <c r="M79" s="9" t="n"/>
      <c r="N79" s="41" t="n"/>
    </row>
    <row r="80" ht="22" customHeight="1">
      <c r="A80" s="5" t="n"/>
      <c r="B80" s="30" t="n"/>
      <c r="C80" s="30" t="n"/>
      <c r="D80" s="46" t="n"/>
      <c r="E80" s="46" t="n"/>
      <c r="F80" s="46" t="n"/>
      <c r="G80" s="5" t="n"/>
      <c r="H80" s="5" t="n"/>
      <c r="I80" s="5" t="n"/>
      <c r="J80" s="5" t="n"/>
      <c r="K80" s="5" t="n"/>
      <c r="L80" s="5" t="n"/>
      <c r="M80" s="5" t="n"/>
      <c r="N80" s="40" t="n"/>
    </row>
    <row r="81" ht="22" customHeight="1">
      <c r="A81" s="9" t="n"/>
      <c r="B81" s="31" t="n"/>
      <c r="C81" s="31" t="n"/>
      <c r="D81" s="47" t="n"/>
      <c r="E81" s="47" t="n"/>
      <c r="F81" s="47" t="n"/>
      <c r="G81" s="9" t="n"/>
      <c r="H81" s="9" t="n"/>
      <c r="I81" s="9" t="n"/>
      <c r="J81" s="9" t="n"/>
      <c r="K81" s="9" t="n"/>
      <c r="L81" s="9" t="n"/>
      <c r="M81" s="9" t="n"/>
      <c r="N81" s="41" t="n"/>
    </row>
    <row r="82" ht="22" customHeight="1">
      <c r="A82" s="5" t="n"/>
      <c r="B82" s="30" t="n"/>
      <c r="C82" s="30" t="n"/>
      <c r="D82" s="46" t="n"/>
      <c r="E82" s="46" t="n"/>
      <c r="F82" s="46" t="n"/>
      <c r="G82" s="5" t="n"/>
      <c r="H82" s="5" t="n"/>
      <c r="I82" s="5" t="n"/>
      <c r="J82" s="5" t="n"/>
      <c r="K82" s="5" t="n"/>
      <c r="L82" s="5" t="n"/>
      <c r="M82" s="5" t="n"/>
      <c r="N82" s="40" t="n"/>
    </row>
    <row r="83" ht="22" customHeight="1">
      <c r="A83" s="9" t="n"/>
      <c r="B83" s="31" t="n"/>
      <c r="C83" s="31" t="n"/>
      <c r="D83" s="47" t="n"/>
      <c r="E83" s="47" t="n"/>
      <c r="F83" s="47" t="n"/>
      <c r="G83" s="9" t="n"/>
      <c r="H83" s="9" t="n"/>
      <c r="I83" s="9" t="n"/>
      <c r="J83" s="9" t="n"/>
      <c r="K83" s="9" t="n"/>
      <c r="L83" s="9" t="n"/>
      <c r="M83" s="9" t="n"/>
      <c r="N83" s="41" t="n"/>
    </row>
    <row r="84" ht="22" customHeight="1">
      <c r="A84" s="5" t="n"/>
      <c r="B84" s="30" t="n"/>
      <c r="C84" s="30" t="n"/>
      <c r="D84" s="46" t="n"/>
      <c r="E84" s="46" t="n"/>
      <c r="F84" s="46" t="n"/>
      <c r="G84" s="5" t="n"/>
      <c r="H84" s="5" t="n"/>
      <c r="I84" s="5" t="n"/>
      <c r="J84" s="5" t="n"/>
      <c r="K84" s="5" t="n"/>
      <c r="L84" s="5" t="n"/>
      <c r="M84" s="5" t="n"/>
      <c r="N84" s="40" t="n"/>
    </row>
    <row r="85" ht="22" customHeight="1">
      <c r="A85" s="9" t="n"/>
      <c r="B85" s="31" t="n"/>
      <c r="C85" s="31" t="n"/>
      <c r="D85" s="47" t="n"/>
      <c r="E85" s="47" t="n"/>
      <c r="F85" s="47" t="n"/>
      <c r="G85" s="9" t="n"/>
      <c r="H85" s="9" t="n"/>
      <c r="I85" s="9" t="n"/>
      <c r="J85" s="9" t="n"/>
      <c r="K85" s="9" t="n"/>
      <c r="L85" s="9" t="n"/>
      <c r="M85" s="9" t="n"/>
      <c r="N85" s="41" t="n"/>
    </row>
    <row r="86" ht="22" customHeight="1">
      <c r="A86" s="5" t="n"/>
      <c r="B86" s="30" t="n"/>
      <c r="C86" s="30" t="n"/>
      <c r="D86" s="46" t="n"/>
      <c r="E86" s="46" t="n"/>
      <c r="F86" s="46" t="n"/>
      <c r="G86" s="5" t="n"/>
      <c r="H86" s="5" t="n"/>
      <c r="I86" s="5" t="n"/>
      <c r="J86" s="5" t="n"/>
      <c r="K86" s="5" t="n"/>
      <c r="L86" s="5" t="n"/>
      <c r="M86" s="5" t="n"/>
      <c r="N86" s="40" t="n"/>
    </row>
    <row r="87" ht="22" customHeight="1">
      <c r="A87" s="9" t="n"/>
      <c r="B87" s="31" t="n"/>
      <c r="C87" s="31" t="n"/>
      <c r="D87" s="47" t="n"/>
      <c r="E87" s="47" t="n"/>
      <c r="F87" s="47" t="n"/>
      <c r="G87" s="9" t="n"/>
      <c r="H87" s="9" t="n"/>
      <c r="I87" s="9" t="n"/>
      <c r="J87" s="9" t="n"/>
      <c r="K87" s="9" t="n"/>
      <c r="L87" s="9" t="n"/>
      <c r="M87" s="9" t="n"/>
      <c r="N87" s="41" t="n"/>
    </row>
    <row r="88" ht="22" customHeight="1">
      <c r="A88" s="5" t="n"/>
      <c r="B88" s="30" t="n"/>
      <c r="C88" s="30" t="n"/>
      <c r="D88" s="46" t="n"/>
      <c r="E88" s="46" t="n"/>
      <c r="F88" s="46" t="n"/>
      <c r="G88" s="5" t="n"/>
      <c r="H88" s="5" t="n"/>
      <c r="I88" s="5" t="n"/>
      <c r="J88" s="5" t="n"/>
      <c r="K88" s="5" t="n"/>
      <c r="L88" s="5" t="n"/>
      <c r="M88" s="5" t="n"/>
      <c r="N88" s="40" t="n"/>
    </row>
    <row r="89" ht="22" customHeight="1">
      <c r="A89" s="9" t="n"/>
      <c r="B89" s="31" t="n"/>
      <c r="C89" s="31" t="n"/>
      <c r="D89" s="47" t="n"/>
      <c r="E89" s="47" t="n"/>
      <c r="F89" s="47" t="n"/>
      <c r="G89" s="9" t="n"/>
      <c r="H89" s="9" t="n"/>
      <c r="I89" s="9" t="n"/>
      <c r="J89" s="9" t="n"/>
      <c r="K89" s="9" t="n"/>
      <c r="L89" s="9" t="n"/>
      <c r="M89" s="9" t="n"/>
      <c r="N89" s="41" t="n"/>
    </row>
    <row r="90" ht="22" customHeight="1">
      <c r="A90" s="5" t="n"/>
      <c r="B90" s="30" t="n"/>
      <c r="C90" s="30" t="n"/>
      <c r="D90" s="46" t="n"/>
      <c r="E90" s="46" t="n"/>
      <c r="F90" s="46" t="n"/>
      <c r="G90" s="5" t="n"/>
      <c r="H90" s="5" t="n"/>
      <c r="I90" s="5" t="n"/>
      <c r="J90" s="5" t="n"/>
      <c r="K90" s="5" t="n"/>
      <c r="L90" s="5" t="n"/>
      <c r="M90" s="5" t="n"/>
      <c r="N90" s="40" t="n"/>
    </row>
    <row r="91" ht="22" customHeight="1">
      <c r="A91" s="9" t="n"/>
      <c r="B91" s="31" t="n"/>
      <c r="C91" s="31" t="n"/>
      <c r="D91" s="47" t="n"/>
      <c r="E91" s="47" t="n"/>
      <c r="F91" s="47" t="n"/>
      <c r="G91" s="9" t="n"/>
      <c r="H91" s="9" t="n"/>
      <c r="I91" s="9" t="n"/>
      <c r="J91" s="9" t="n"/>
      <c r="K91" s="9" t="n"/>
      <c r="L91" s="9" t="n"/>
      <c r="M91" s="9" t="n"/>
      <c r="N91" s="41" t="n"/>
    </row>
    <row r="92" ht="22" customHeight="1">
      <c r="A92" s="5" t="n"/>
      <c r="B92" s="30" t="n"/>
      <c r="C92" s="30" t="n"/>
      <c r="D92" s="46" t="n"/>
      <c r="E92" s="46" t="n"/>
      <c r="F92" s="46" t="n"/>
      <c r="G92" s="5" t="n"/>
      <c r="H92" s="5" t="n"/>
      <c r="I92" s="5" t="n"/>
      <c r="J92" s="5" t="n"/>
      <c r="K92" s="5" t="n"/>
      <c r="L92" s="5" t="n"/>
      <c r="M92" s="5" t="n"/>
      <c r="N92" s="40" t="n"/>
    </row>
    <row r="93" ht="22" customHeight="1">
      <c r="A93" s="9" t="n"/>
      <c r="B93" s="31" t="n"/>
      <c r="C93" s="31" t="n"/>
      <c r="D93" s="47" t="n"/>
      <c r="E93" s="47" t="n"/>
      <c r="F93" s="47" t="n"/>
      <c r="G93" s="9" t="n"/>
      <c r="H93" s="9" t="n"/>
      <c r="I93" s="9" t="n"/>
      <c r="J93" s="9" t="n"/>
      <c r="K93" s="9" t="n"/>
      <c r="L93" s="9" t="n"/>
      <c r="M93" s="9" t="n"/>
      <c r="N93" s="41" t="n"/>
    </row>
    <row r="94" ht="22" customHeight="1">
      <c r="A94" s="5" t="n"/>
      <c r="B94" s="30" t="n"/>
      <c r="C94" s="30" t="n"/>
      <c r="D94" s="46" t="n"/>
      <c r="E94" s="46" t="n"/>
      <c r="F94" s="46" t="n"/>
      <c r="G94" s="5" t="n"/>
      <c r="H94" s="5" t="n"/>
      <c r="I94" s="5" t="n"/>
      <c r="J94" s="5" t="n"/>
      <c r="K94" s="5" t="n"/>
      <c r="L94" s="5" t="n"/>
      <c r="M94" s="5" t="n"/>
      <c r="N94" s="40" t="n"/>
    </row>
    <row r="95" ht="22" customHeight="1">
      <c r="A95" s="9" t="n"/>
      <c r="B95" s="31" t="n"/>
      <c r="C95" s="31" t="n"/>
      <c r="D95" s="47" t="n"/>
      <c r="E95" s="47" t="n"/>
      <c r="F95" s="47" t="n"/>
      <c r="G95" s="9" t="n"/>
      <c r="H95" s="9" t="n"/>
      <c r="I95" s="9" t="n"/>
      <c r="J95" s="9" t="n"/>
      <c r="K95" s="9" t="n"/>
      <c r="L95" s="9" t="n"/>
      <c r="M95" s="9" t="n"/>
      <c r="N95" s="41" t="n"/>
    </row>
    <row r="96" ht="22" customHeight="1">
      <c r="A96" s="5" t="n"/>
      <c r="B96" s="30" t="n"/>
      <c r="C96" s="30" t="n"/>
      <c r="D96" s="46" t="n"/>
      <c r="E96" s="46" t="n"/>
      <c r="F96" s="46" t="n"/>
      <c r="G96" s="5" t="n"/>
      <c r="H96" s="5" t="n"/>
      <c r="I96" s="5" t="n"/>
      <c r="J96" s="5" t="n"/>
      <c r="K96" s="5" t="n"/>
      <c r="L96" s="5" t="n"/>
      <c r="M96" s="5" t="n"/>
      <c r="N96" s="40" t="n"/>
    </row>
    <row r="97" ht="22" customHeight="1">
      <c r="A97" s="9" t="n"/>
      <c r="B97" s="31" t="n"/>
      <c r="C97" s="31" t="n"/>
      <c r="D97" s="47" t="n"/>
      <c r="E97" s="47" t="n"/>
      <c r="F97" s="47" t="n"/>
      <c r="G97" s="9" t="n"/>
      <c r="H97" s="9" t="n"/>
      <c r="I97" s="9" t="n"/>
      <c r="J97" s="9" t="n"/>
      <c r="K97" s="9" t="n"/>
      <c r="L97" s="9" t="n"/>
      <c r="M97" s="9" t="n"/>
      <c r="N97" s="41" t="n"/>
    </row>
    <row r="98" ht="22" customHeight="1">
      <c r="A98" s="5" t="n"/>
      <c r="B98" s="30" t="n"/>
      <c r="C98" s="30" t="n"/>
      <c r="D98" s="46" t="n"/>
      <c r="E98" s="46" t="n"/>
      <c r="F98" s="46" t="n"/>
      <c r="G98" s="5" t="n"/>
      <c r="H98" s="5" t="n"/>
      <c r="I98" s="5" t="n"/>
      <c r="J98" s="5" t="n"/>
      <c r="K98" s="5" t="n"/>
      <c r="L98" s="5" t="n"/>
      <c r="M98" s="5" t="n"/>
      <c r="N98" s="40" t="n"/>
    </row>
    <row r="99" ht="22" customHeight="1">
      <c r="A99" s="9" t="n"/>
      <c r="B99" s="31" t="n"/>
      <c r="C99" s="31" t="n"/>
      <c r="D99" s="47" t="n"/>
      <c r="E99" s="47" t="n"/>
      <c r="F99" s="47" t="n"/>
      <c r="G99" s="9" t="n"/>
      <c r="H99" s="9" t="n"/>
      <c r="I99" s="9" t="n"/>
      <c r="J99" s="9" t="n"/>
      <c r="K99" s="9" t="n"/>
      <c r="L99" s="9" t="n"/>
      <c r="M99" s="9" t="n"/>
      <c r="N99" s="41" t="n"/>
    </row>
    <row r="100" ht="22" customHeight="1">
      <c r="A100" s="5" t="n"/>
      <c r="B100" s="30" t="n"/>
      <c r="C100" s="30" t="n"/>
      <c r="D100" s="46" t="n"/>
      <c r="E100" s="46" t="n"/>
      <c r="F100" s="46" t="n"/>
      <c r="G100" s="5" t="n"/>
      <c r="H100" s="5" t="n"/>
      <c r="I100" s="5" t="n"/>
      <c r="J100" s="5" t="n"/>
      <c r="K100" s="5" t="n"/>
      <c r="L100" s="5" t="n"/>
      <c r="M100" s="5" t="n"/>
      <c r="N100" s="40" t="n"/>
    </row>
    <row r="101" ht="22" customHeight="1">
      <c r="A101" s="9" t="n"/>
      <c r="B101" s="31" t="n"/>
      <c r="C101" s="31" t="n"/>
      <c r="D101" s="47" t="n"/>
      <c r="E101" s="47" t="n"/>
      <c r="F101" s="47" t="n"/>
      <c r="G101" s="9" t="n"/>
      <c r="H101" s="9" t="n"/>
      <c r="I101" s="9" t="n"/>
      <c r="J101" s="9" t="n"/>
      <c r="K101" s="9" t="n"/>
      <c r="L101" s="9" t="n"/>
      <c r="M101" s="9" t="n"/>
      <c r="N101" s="41" t="n"/>
    </row>
    <row r="102" ht="22" customHeight="1">
      <c r="A102" s="5" t="n"/>
      <c r="B102" s="30" t="n"/>
      <c r="C102" s="30" t="n"/>
      <c r="D102" s="46" t="n"/>
      <c r="E102" s="46" t="n"/>
      <c r="F102" s="46" t="n"/>
      <c r="G102" s="5" t="n"/>
      <c r="H102" s="5" t="n"/>
      <c r="I102" s="5" t="n"/>
      <c r="J102" s="5" t="n"/>
      <c r="K102" s="5" t="n"/>
      <c r="L102" s="5" t="n"/>
      <c r="M102" s="5" t="n"/>
      <c r="N102" s="40" t="n"/>
    </row>
    <row r="103" ht="22" customHeight="1">
      <c r="A103" s="9" t="n"/>
      <c r="B103" s="31" t="n"/>
      <c r="C103" s="31" t="n"/>
      <c r="D103" s="47" t="n"/>
      <c r="E103" s="47" t="n"/>
      <c r="F103" s="47" t="n"/>
      <c r="G103" s="9" t="n"/>
      <c r="H103" s="9" t="n"/>
      <c r="I103" s="9" t="n"/>
      <c r="J103" s="9" t="n"/>
      <c r="K103" s="9" t="n"/>
      <c r="L103" s="9" t="n"/>
      <c r="M103" s="9" t="n"/>
      <c r="N103" s="41" t="n"/>
    </row>
    <row r="104" ht="22" customHeight="1">
      <c r="A104" s="5" t="n"/>
      <c r="B104" s="30" t="n"/>
      <c r="C104" s="30" t="n"/>
      <c r="D104" s="46" t="n"/>
      <c r="E104" s="46" t="n"/>
      <c r="F104" s="46" t="n"/>
      <c r="G104" s="5" t="n"/>
      <c r="H104" s="5" t="n"/>
      <c r="I104" s="5" t="n"/>
      <c r="J104" s="5" t="n"/>
      <c r="K104" s="5" t="n"/>
      <c r="L104" s="5" t="n"/>
      <c r="M104" s="5" t="n"/>
      <c r="N104" s="40" t="n"/>
    </row>
    <row r="105" ht="22" customHeight="1">
      <c r="A105" s="9" t="n"/>
      <c r="B105" s="31" t="n"/>
      <c r="C105" s="31" t="n"/>
      <c r="D105" s="47" t="n"/>
      <c r="E105" s="47" t="n"/>
      <c r="F105" s="47" t="n"/>
      <c r="G105" s="9" t="n"/>
      <c r="H105" s="9" t="n"/>
      <c r="I105" s="9" t="n"/>
      <c r="J105" s="9" t="n"/>
      <c r="K105" s="9" t="n"/>
      <c r="L105" s="9" t="n"/>
      <c r="M105" s="9" t="n"/>
      <c r="N105" s="41" t="n"/>
    </row>
    <row r="106" ht="22" customHeight="1">
      <c r="A106" s="5" t="n"/>
      <c r="B106" s="30" t="n"/>
      <c r="C106" s="30" t="n"/>
      <c r="D106" s="46" t="n"/>
      <c r="E106" s="46" t="n"/>
      <c r="F106" s="46" t="n"/>
      <c r="G106" s="5" t="n"/>
      <c r="H106" s="5" t="n"/>
      <c r="I106" s="5" t="n"/>
      <c r="J106" s="5" t="n"/>
      <c r="K106" s="5" t="n"/>
      <c r="L106" s="5" t="n"/>
      <c r="M106" s="5" t="n"/>
      <c r="N106" s="40" t="n"/>
    </row>
    <row r="107" ht="22" customHeight="1">
      <c r="A107" s="9" t="n"/>
      <c r="B107" s="31" t="n"/>
      <c r="C107" s="31" t="n"/>
      <c r="D107" s="47" t="n"/>
      <c r="E107" s="47" t="n"/>
      <c r="F107" s="47" t="n"/>
      <c r="G107" s="9" t="n"/>
      <c r="H107" s="9" t="n"/>
      <c r="I107" s="9" t="n"/>
      <c r="J107" s="9" t="n"/>
      <c r="K107" s="9" t="n"/>
      <c r="L107" s="9" t="n"/>
      <c r="M107" s="9" t="n"/>
      <c r="N107" s="41" t="n"/>
    </row>
    <row r="108" ht="22" customHeight="1">
      <c r="A108" s="5" t="n"/>
      <c r="B108" s="30" t="n"/>
      <c r="C108" s="30" t="n"/>
      <c r="D108" s="46" t="n"/>
      <c r="E108" s="46" t="n"/>
      <c r="F108" s="46" t="n"/>
      <c r="G108" s="5" t="n"/>
      <c r="H108" s="5" t="n"/>
      <c r="I108" s="5" t="n"/>
      <c r="J108" s="5" t="n"/>
      <c r="K108" s="5" t="n"/>
      <c r="L108" s="5" t="n"/>
      <c r="M108" s="5" t="n"/>
      <c r="N108" s="40" t="n"/>
    </row>
    <row r="109" ht="22" customHeight="1">
      <c r="A109" s="9" t="n"/>
      <c r="B109" s="31" t="n"/>
      <c r="C109" s="31" t="n"/>
      <c r="D109" s="47" t="n"/>
      <c r="E109" s="47" t="n"/>
      <c r="F109" s="47" t="n"/>
      <c r="G109" s="9" t="n"/>
      <c r="H109" s="9" t="n"/>
      <c r="I109" s="9" t="n"/>
      <c r="J109" s="9" t="n"/>
      <c r="K109" s="9" t="n"/>
      <c r="L109" s="9" t="n"/>
      <c r="M109" s="9" t="n"/>
      <c r="N109" s="41" t="n"/>
    </row>
    <row r="110" ht="22" customHeight="1">
      <c r="A110" s="5" t="n"/>
      <c r="B110" s="30" t="n"/>
      <c r="C110" s="30" t="n"/>
      <c r="D110" s="46" t="n"/>
      <c r="E110" s="46" t="n"/>
      <c r="F110" s="46" t="n"/>
      <c r="G110" s="5" t="n"/>
      <c r="H110" s="5" t="n"/>
      <c r="I110" s="5" t="n"/>
      <c r="J110" s="5" t="n"/>
      <c r="K110" s="5" t="n"/>
      <c r="L110" s="5" t="n"/>
      <c r="M110" s="5" t="n"/>
      <c r="N110" s="40" t="n"/>
    </row>
    <row r="111" ht="22" customHeight="1">
      <c r="A111" s="9" t="n"/>
      <c r="B111" s="31" t="n"/>
      <c r="C111" s="31" t="n"/>
      <c r="D111" s="47" t="n"/>
      <c r="E111" s="47" t="n"/>
      <c r="F111" s="47" t="n"/>
      <c r="G111" s="9" t="n"/>
      <c r="H111" s="9" t="n"/>
      <c r="I111" s="9" t="n"/>
      <c r="J111" s="9" t="n"/>
      <c r="K111" s="9" t="n"/>
      <c r="L111" s="9" t="n"/>
      <c r="M111" s="9" t="n"/>
      <c r="N111" s="41" t="n"/>
    </row>
    <row r="112" ht="22" customHeight="1">
      <c r="A112" s="5" t="n"/>
      <c r="B112" s="30" t="n"/>
      <c r="C112" s="30" t="n"/>
      <c r="D112" s="46" t="n"/>
      <c r="E112" s="46" t="n"/>
      <c r="F112" s="46" t="n"/>
      <c r="G112" s="5" t="n"/>
      <c r="H112" s="5" t="n"/>
      <c r="I112" s="5" t="n"/>
      <c r="J112" s="5" t="n"/>
      <c r="K112" s="5" t="n"/>
      <c r="L112" s="5" t="n"/>
      <c r="M112" s="5" t="n"/>
      <c r="N112" s="40" t="n"/>
    </row>
    <row r="113" ht="22" customHeight="1">
      <c r="A113" s="9" t="n"/>
      <c r="B113" s="31" t="n"/>
      <c r="C113" s="31" t="n"/>
      <c r="D113" s="47" t="n"/>
      <c r="E113" s="47" t="n"/>
      <c r="F113" s="47" t="n"/>
      <c r="G113" s="9" t="n"/>
      <c r="H113" s="9" t="n"/>
      <c r="I113" s="9" t="n"/>
      <c r="J113" s="9" t="n"/>
      <c r="K113" s="9" t="n"/>
      <c r="L113" s="9" t="n"/>
      <c r="M113" s="9" t="n"/>
      <c r="N113" s="41" t="n"/>
    </row>
    <row r="114" ht="22" customHeight="1">
      <c r="A114" s="5" t="n"/>
      <c r="B114" s="30" t="n"/>
      <c r="C114" s="30" t="n"/>
      <c r="D114" s="46" t="n"/>
      <c r="E114" s="46" t="n"/>
      <c r="F114" s="46" t="n"/>
      <c r="G114" s="5" t="n"/>
      <c r="H114" s="5" t="n"/>
      <c r="I114" s="5" t="n"/>
      <c r="J114" s="5" t="n"/>
      <c r="K114" s="5" t="n"/>
      <c r="L114" s="5" t="n"/>
      <c r="M114" s="5" t="n"/>
      <c r="N114" s="40" t="n"/>
    </row>
    <row r="115" ht="22" customHeight="1">
      <c r="A115" s="9" t="n"/>
      <c r="B115" s="31" t="n"/>
      <c r="C115" s="31" t="n"/>
      <c r="D115" s="47" t="n"/>
      <c r="E115" s="47" t="n"/>
      <c r="F115" s="47" t="n"/>
      <c r="G115" s="9" t="n"/>
      <c r="H115" s="9" t="n"/>
      <c r="I115" s="9" t="n"/>
      <c r="J115" s="9" t="n"/>
      <c r="K115" s="9" t="n"/>
      <c r="L115" s="9" t="n"/>
      <c r="M115" s="9" t="n"/>
      <c r="N115" s="41" t="n"/>
    </row>
  </sheetData>
  <mergeCells count="2">
    <mergeCell ref="A3:N3"/>
    <mergeCell ref="A2:N2"/>
  </mergeCells>
  <conditionalFormatting sqref="H6:H115">
    <cfRule type="cellIs" priority="1" operator="equal" dxfId="0">
      <formula>"ATTEINT"</formula>
    </cfRule>
    <cfRule type="cellIs" priority="2" operator="equal" dxfId="3">
      <formula>"PROCHE"</formula>
    </cfRule>
    <cfRule type="cellIs" priority="3" operator="equal" dxfId="1">
      <formula>"INSUFFISANT"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2026-07-15T04:52:47Z</dcterms:created>
  <dcterms:modified xmlns:dcterms="http://purl.org/dc/terms/" xmlns:xsi="http://www.w3.org/2001/XMLSchema-instance" xsi:type="dcterms:W3CDTF">2026-07-15T05:10:06Z</dcterms:modified>
</cp:coreProperties>
</file>