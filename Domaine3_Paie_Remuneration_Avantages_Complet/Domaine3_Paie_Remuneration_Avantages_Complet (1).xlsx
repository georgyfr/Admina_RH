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★ Bulletin de Paie" sheetId="1" state="visible" r:id="rId1"/>
    <sheet xmlns:r="http://schemas.openxmlformats.org/officeDocument/2006/relationships" name="Tableau de Bord" sheetId="2" state="visible" r:id="rId2"/>
    <sheet xmlns:r="http://schemas.openxmlformats.org/officeDocument/2006/relationships" name="1-Grille Salariale" sheetId="3" state="visible" r:id="rId3"/>
    <sheet xmlns:r="http://schemas.openxmlformats.org/officeDocument/2006/relationships" name="2-Calcul des Salaires" sheetId="4" state="visible" r:id="rId4"/>
    <sheet xmlns:r="http://schemas.openxmlformats.org/officeDocument/2006/relationships" name="3-Primes &amp; Indemnités" sheetId="5" state="visible" r:id="rId5"/>
    <sheet xmlns:r="http://schemas.openxmlformats.org/officeDocument/2006/relationships" name="4-Heures Supplementaires" sheetId="6" state="visible" r:id="rId6"/>
    <sheet xmlns:r="http://schemas.openxmlformats.org/officeDocument/2006/relationships" name="5-Cotisations Salariales" sheetId="7" state="visible" r:id="rId7"/>
    <sheet xmlns:r="http://schemas.openxmlformats.org/officeDocument/2006/relationships" name="6-Deductions Retenues" sheetId="8" state="visible" r:id="rId8"/>
    <sheet xmlns:r="http://schemas.openxmlformats.org/officeDocument/2006/relationships" name="7-Acomptes Avances" sheetId="9" state="visible" r:id="rId9"/>
    <sheet xmlns:r="http://schemas.openxmlformats.org/officeDocument/2006/relationships" name="8-Prets Personnel" sheetId="10" state="visible" r:id="rId10"/>
    <sheet xmlns:r="http://schemas.openxmlformats.org/officeDocument/2006/relationships" name="9-Historique Paie" sheetId="11" state="visible" r:id="rId11"/>
    <sheet xmlns:r="http://schemas.openxmlformats.org/officeDocument/2006/relationships" name="10-Evolutions Salariales" sheetId="12" state="visible" r:id="rId12"/>
    <sheet xmlns:r="http://schemas.openxmlformats.org/officeDocument/2006/relationships" name="11-Cout Salarie" sheetId="13" state="visible" r:id="rId13"/>
    <sheet xmlns:r="http://schemas.openxmlformats.org/officeDocument/2006/relationships" name="12-Masse Salariale" sheetId="14" state="visible" r:id="rId14"/>
    <sheet xmlns:r="http://schemas.openxmlformats.org/officeDocument/2006/relationships" name="13-13eme Mois" sheetId="15" state="visible" r:id="rId15"/>
    <sheet xmlns:r="http://schemas.openxmlformats.org/officeDocument/2006/relationships" name="14-Variables Pourboires" sheetId="16" state="visible" r:id="rId16"/>
    <sheet xmlns:r="http://schemas.openxmlformats.org/officeDocument/2006/relationships" name="15-Avantages Nature" sheetId="17" state="visible" r:id="rId17"/>
    <sheet xmlns:r="http://schemas.openxmlformats.org/officeDocument/2006/relationships" name="16-Tickets Restaurant" sheetId="18" state="visible" r:id="rId18"/>
    <sheet xmlns:r="http://schemas.openxmlformats.org/officeDocument/2006/relationships" name="17-Compte Epargne Temps" sheetId="19" state="visible" r:id="rId19"/>
    <sheet xmlns:r="http://schemas.openxmlformats.org/officeDocument/2006/relationships" name="18-Indemnites Depart" sheetId="20" state="visible" r:id="rId20"/>
    <sheet xmlns:r="http://schemas.openxmlformats.org/officeDocument/2006/relationships" name="19-Notes de Frais" sheetId="21" state="visible" r:id="rId21"/>
    <sheet xmlns:r="http://schemas.openxmlformats.org/officeDocument/2006/relationships" name="20-Mutuelle Prevoyance" sheetId="22" state="visible" r:id="rId22"/>
    <sheet xmlns:r="http://schemas.openxmlformats.org/officeDocument/2006/relationships" name="_Parametres Paie" sheetId="23" state="hidden" r:id="rId23"/>
    <sheet xmlns:r="http://schemas.openxmlformats.org/officeDocument/2006/relationships" name="_Données Employés" sheetId="24" state="visible" r:id="rId24"/>
    <sheet xmlns:r="http://schemas.openxmlformats.org/officeDocument/2006/relationships" name="_Lists" sheetId="25" state="hidden" r:id="rId25"/>
  </sheets>
  <definedNames>
    <definedName name="_xlnm.Print_Area" localSheetId="0">'★ Bulletin de Paie'!$A$1:$J$41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%"/>
    <numFmt numFmtId="166" formatCode="0.0"/>
    <numFmt numFmtId="167" formatCode="#,##0 &quot; FCFA&quot;"/>
  </numFmts>
  <fonts count="25">
    <font>
      <name val="Calibri"/>
      <family val="2"/>
      <color theme="1"/>
      <sz val="11"/>
      <scheme val="minor"/>
    </font>
    <font>
      <name val="Noto Sans CJK SC"/>
      <b val="1"/>
      <color rgb="0037352F"/>
      <sz val="10"/>
    </font>
    <font>
      <name val="Noto Sans CJK SC"/>
      <color rgb="001B2A4A"/>
      <sz val="14"/>
    </font>
    <font>
      <name val="Noto Sans CJK SC"/>
      <color rgb="008C8A84"/>
      <sz val="9"/>
    </font>
    <font>
      <name val="Noto Sans CJK SC"/>
      <color rgb="00FFFFFF"/>
      <sz val="10"/>
    </font>
    <font>
      <name val="Noto Sans CJK SC"/>
      <color rgb="0037352F"/>
      <sz val="10"/>
    </font>
    <font>
      <name val="Noto Sans CJK SC"/>
      <color rgb="001B2A4A"/>
      <sz val="11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1B2A4A"/>
      <sz val="18"/>
    </font>
    <font>
      <name val="Noto Sans CJK SC"/>
      <b val="1"/>
      <color rgb="001B2A4A"/>
      <sz val="12"/>
    </font>
    <font>
      <name val="Noto Sans CJK SC"/>
      <b val="1"/>
      <color rgb="00FFFFFF"/>
      <sz val="12"/>
    </font>
    <font>
      <name val="Calibri"/>
      <b val="1"/>
      <color rgb="00FFFFFF"/>
      <sz val="16"/>
    </font>
    <font>
      <name val="Calibri"/>
      <i val="1"/>
      <color rgb="00D6E4F0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1F3864"/>
      <sz val="12"/>
    </font>
    <font>
      <name val="Calibri"/>
      <b val="1"/>
      <color rgb="001F3864"/>
      <sz val="10"/>
    </font>
    <font>
      <name val="Calibri"/>
      <b val="1"/>
      <color rgb="002E75B6"/>
      <sz val="11"/>
    </font>
    <font>
      <name val="Calibri"/>
      <color rgb="00404040"/>
      <sz val="11"/>
    </font>
    <font>
      <name val="Calibri"/>
      <b val="1"/>
      <color rgb="00FFFFFF"/>
      <sz val="9"/>
    </font>
    <font>
      <name val="Calibri"/>
      <b val="1"/>
      <color rgb="001F3864"/>
      <sz val="11"/>
    </font>
    <font>
      <name val="Calibri"/>
      <b val="1"/>
      <color rgb="00548235"/>
      <sz val="14"/>
    </font>
    <font>
      <name val="Calibri"/>
      <b val="1"/>
      <color rgb="001F3864"/>
      <sz val="14"/>
    </font>
    <font>
      <name val="Calibri"/>
      <i val="1"/>
      <color rgb="002E75B6"/>
      <sz val="9"/>
    </font>
  </fonts>
  <fills count="1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B2A4A"/>
      </patternFill>
    </fill>
    <fill>
      <patternFill patternType="solid">
        <fgColor rgb="00F7F7F5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1B7D46"/>
      </patternFill>
    </fill>
    <fill>
      <patternFill patternType="solid">
        <fgColor rgb="00D6E4F0"/>
      </patternFill>
    </fill>
    <fill>
      <patternFill patternType="solid">
        <fgColor rgb="001F3864"/>
      </patternFill>
    </fill>
    <fill>
      <patternFill patternType="solid">
        <fgColor rgb="00C49A2B"/>
      </patternFill>
    </fill>
    <fill>
      <patternFill patternType="solid">
        <fgColor rgb="002E75B6"/>
      </patternFill>
    </fill>
    <fill>
      <patternFill patternType="solid">
        <fgColor rgb="00FFF9E6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E2EFDA"/>
      </patternFill>
    </fill>
  </fills>
  <borders count="15">
    <border>
      <left/>
      <right/>
      <top/>
      <bottom/>
      <diagonal/>
    </border>
    <border/>
    <border>
      <bottom style="thin">
        <color rgb="00E9E9E8"/>
      </bottom>
    </border>
    <border>
      <left/>
      <right/>
      <top/>
      <bottom style="thin">
        <color rgb="00E9E9E8"/>
      </bottom>
      <diagonal/>
    </border>
    <border>
      <bottom style="double">
        <color rgb="001B2A4A"/>
      </bottom>
    </border>
    <border>
      <top style="medium">
        <color rgb="00E9E9E8"/>
      </top>
    </border>
    <border>
      <left/>
      <right/>
      <top style="medium">
        <color rgb="00E9E9E8"/>
      </top>
      <bottom/>
      <diagonal/>
    </border>
    <border>
      <right/>
      <bottom style="thin">
        <color rgb="00E9E9E8"/>
      </bottom>
    </border>
    <border>
      <right/>
      <top style="medium">
        <color rgb="00E9E9E8"/>
      </top>
      <bottom/>
    </border>
    <border>
      <left style="medium">
        <color rgb="00C49A2B"/>
      </left>
      <right style="medium">
        <color rgb="00C49A2B"/>
      </right>
      <top style="medium">
        <color rgb="00C49A2B"/>
      </top>
      <bottom style="medium">
        <color rgb="00C49A2B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3" fontId="9" fillId="2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3" fontId="5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3" borderId="2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/>
    </xf>
    <xf numFmtId="3" fontId="5" fillId="2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3" fontId="5" fillId="4" borderId="0" applyAlignment="1" pivotButton="0" quotePrefix="0" xfId="0">
      <alignment horizontal="right" vertical="center"/>
    </xf>
    <xf numFmtId="0" fontId="5" fillId="5" borderId="0" pivotButton="0" quotePrefix="0" xfId="0"/>
    <xf numFmtId="3" fontId="5" fillId="5" borderId="0" applyAlignment="1" pivotButton="0" quotePrefix="0" xfId="0">
      <alignment horizontal="right" vertical="center"/>
    </xf>
    <xf numFmtId="0" fontId="5" fillId="2" borderId="0" pivotButton="0" quotePrefix="0" xfId="0"/>
    <xf numFmtId="0" fontId="5" fillId="4" borderId="0" pivotButton="0" quotePrefix="0" xfId="0"/>
    <xf numFmtId="0" fontId="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3" fontId="5" fillId="2" borderId="2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3" fillId="0" borderId="0" pivotButton="0" quotePrefix="0" xfId="0"/>
    <xf numFmtId="164" fontId="5" fillId="2" borderId="0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0" fillId="0" borderId="3" pivotButton="0" quotePrefix="0" xfId="0"/>
    <xf numFmtId="0" fontId="10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center" vertical="center"/>
    </xf>
    <xf numFmtId="3" fontId="11" fillId="3" borderId="2" applyAlignment="1" pivotButton="0" quotePrefix="0" xfId="0">
      <alignment horizontal="right" vertical="center"/>
    </xf>
    <xf numFmtId="0" fontId="11" fillId="7" borderId="1" applyAlignment="1" pivotButton="0" quotePrefix="0" xfId="0">
      <alignment horizontal="left" vertical="center"/>
    </xf>
    <xf numFmtId="3" fontId="11" fillId="7" borderId="4" applyAlignment="1" pivotButton="0" quotePrefix="0" xfId="0">
      <alignment horizontal="right" vertical="center"/>
    </xf>
    <xf numFmtId="3" fontId="11" fillId="3" borderId="4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/>
    </xf>
    <xf numFmtId="0" fontId="1" fillId="4" borderId="5" applyAlignment="1" pivotButton="0" quotePrefix="0" xfId="0">
      <alignment horizontal="left" vertical="center"/>
    </xf>
    <xf numFmtId="3" fontId="1" fillId="4" borderId="5" applyAlignment="1" pivotButton="0" quotePrefix="0" xfId="0">
      <alignment horizontal="right" vertical="center"/>
    </xf>
    <xf numFmtId="0" fontId="0" fillId="0" borderId="6" pivotButton="0" quotePrefix="0" xfId="0"/>
    <xf numFmtId="0" fontId="1" fillId="6" borderId="5" applyAlignment="1" pivotButton="0" quotePrefix="0" xfId="0">
      <alignment horizontal="left" vertical="center"/>
    </xf>
    <xf numFmtId="3" fontId="1" fillId="6" borderId="5" applyAlignment="1" pivotButton="0" quotePrefix="0" xfId="0">
      <alignment horizontal="right" vertical="center"/>
    </xf>
    <xf numFmtId="0" fontId="2" fillId="2" borderId="1" applyAlignment="1" pivotButton="0" quotePrefix="0" xfId="0">
      <alignment horizontal="left" vertical="center"/>
    </xf>
    <xf numFmtId="0" fontId="5" fillId="2" borderId="2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165" fontId="1" fillId="2" borderId="2" applyAlignment="1" pivotButton="0" quotePrefix="0" xfId="0">
      <alignment horizontal="center" vertical="center"/>
    </xf>
    <xf numFmtId="3" fontId="0" fillId="2" borderId="0" applyAlignment="1" pivotButton="0" quotePrefix="0" xfId="0">
      <alignment horizontal="right" vertical="center"/>
    </xf>
    <xf numFmtId="166" fontId="0" fillId="2" borderId="0" pivotButton="0" quotePrefix="0" xfId="0"/>
    <xf numFmtId="3" fontId="0" fillId="4" borderId="0" applyAlignment="1" pivotButton="0" quotePrefix="0" xfId="0">
      <alignment horizontal="right" vertical="center"/>
    </xf>
    <xf numFmtId="166" fontId="0" fillId="4" borderId="0" pivotButton="0" quotePrefix="0" xfId="0"/>
    <xf numFmtId="3" fontId="5" fillId="5" borderId="0" pivotButton="0" quotePrefix="0" xfId="0"/>
    <xf numFmtId="166" fontId="5" fillId="5" borderId="0" pivotButton="0" quotePrefix="0" xfId="0"/>
    <xf numFmtId="3" fontId="5" fillId="4" borderId="0" pivotButton="0" quotePrefix="0" xfId="0"/>
    <xf numFmtId="166" fontId="5" fillId="4" borderId="0" pivotButton="0" quotePrefix="0" xfId="0"/>
    <xf numFmtId="3" fontId="5" fillId="2" borderId="0" pivotButton="0" quotePrefix="0" xfId="0"/>
    <xf numFmtId="166" fontId="5" fillId="2" borderId="0" pivotButton="0" quotePrefix="0" xfId="0"/>
    <xf numFmtId="0" fontId="1" fillId="0" borderId="0" pivotButton="0" quotePrefix="0" xfId="0"/>
    <xf numFmtId="0" fontId="5" fillId="5" borderId="7" applyAlignment="1" pivotButton="0" quotePrefix="0" xfId="0">
      <alignment horizontal="left" vertical="center"/>
    </xf>
    <xf numFmtId="0" fontId="5" fillId="6" borderId="7" applyAlignment="1" pivotButton="0" quotePrefix="0" xfId="0">
      <alignment horizontal="left" vertical="center"/>
    </xf>
    <xf numFmtId="0" fontId="5" fillId="4" borderId="7" applyAlignment="1" pivotButton="0" quotePrefix="0" xfId="0">
      <alignment horizontal="left" vertical="center"/>
    </xf>
    <xf numFmtId="3" fontId="5" fillId="6" borderId="7" applyAlignment="1" pivotButton="0" quotePrefix="0" xfId="0">
      <alignment horizontal="right" vertical="center"/>
    </xf>
    <xf numFmtId="3" fontId="5" fillId="4" borderId="7" applyAlignment="1" pivotButton="0" quotePrefix="0" xfId="0">
      <alignment horizontal="right" vertical="center"/>
    </xf>
    <xf numFmtId="3" fontId="1" fillId="4" borderId="8" applyAlignment="1" pivotButton="0" quotePrefix="0" xfId="0">
      <alignment horizontal="right" vertical="center"/>
    </xf>
    <xf numFmtId="3" fontId="1" fillId="6" borderId="8" applyAlignment="1" pivotButton="0" quotePrefix="0" xfId="0">
      <alignment horizontal="right" vertical="center"/>
    </xf>
    <xf numFmtId="165" fontId="1" fillId="2" borderId="2" applyAlignment="1" pivotButton="0" quotePrefix="0" xfId="0">
      <alignment horizontal="center" vertical="center"/>
    </xf>
    <xf numFmtId="166" fontId="0" fillId="2" borderId="0" pivotButton="0" quotePrefix="0" xfId="0"/>
    <xf numFmtId="166" fontId="0" fillId="4" borderId="0" pivotButton="0" quotePrefix="0" xfId="0"/>
    <xf numFmtId="166" fontId="5" fillId="5" borderId="0" pivotButton="0" quotePrefix="0" xfId="0"/>
    <xf numFmtId="166" fontId="5" fillId="4" borderId="0" pivotButton="0" quotePrefix="0" xfId="0"/>
    <xf numFmtId="166" fontId="5" fillId="2" borderId="0" pivotButton="0" quotePrefix="0" xfId="0"/>
    <xf numFmtId="0" fontId="0" fillId="9" borderId="0" pivotButton="0" quotePrefix="0" xfId="0"/>
    <xf numFmtId="0" fontId="12" fillId="9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0" fillId="10" borderId="0" pivotButton="0" quotePrefix="0" xfId="0"/>
    <xf numFmtId="0" fontId="14" fillId="11" borderId="0" applyAlignment="1" pivotButton="0" quotePrefix="0" xfId="0">
      <alignment horizontal="center" vertical="center" wrapText="1"/>
    </xf>
    <xf numFmtId="0" fontId="15" fillId="11" borderId="0" applyAlignment="1" pivotButton="0" quotePrefix="0" xfId="0">
      <alignment horizontal="right" vertical="center"/>
    </xf>
    <xf numFmtId="0" fontId="16" fillId="12" borderId="9" applyAlignment="1" pivotButton="0" quotePrefix="0" xfId="0">
      <alignment horizontal="center" vertical="center" wrapText="1"/>
    </xf>
    <xf numFmtId="0" fontId="17" fillId="8" borderId="0" applyAlignment="1" pivotButton="0" quotePrefix="0" xfId="0">
      <alignment horizontal="left" vertical="center" wrapText="1"/>
    </xf>
    <xf numFmtId="0" fontId="18" fillId="2" borderId="10" applyAlignment="1" pivotButton="0" quotePrefix="0" xfId="0">
      <alignment horizontal="center" vertical="center" wrapText="1"/>
    </xf>
    <xf numFmtId="0" fontId="19" fillId="2" borderId="10" applyAlignment="1" pivotButton="0" quotePrefix="0" xfId="0">
      <alignment horizontal="center" vertical="center" wrapText="1"/>
    </xf>
    <xf numFmtId="0" fontId="15" fillId="11" borderId="0" applyAlignment="1" pivotButton="0" quotePrefix="0" xfId="0">
      <alignment horizontal="center" vertical="center" wrapText="1"/>
    </xf>
    <xf numFmtId="0" fontId="17" fillId="8" borderId="10" applyAlignment="1" pivotButton="0" quotePrefix="0" xfId="0">
      <alignment horizontal="left" vertical="center" wrapText="1"/>
    </xf>
    <xf numFmtId="0" fontId="19" fillId="2" borderId="10" applyAlignment="1" pivotButton="0" quotePrefix="0" xfId="0">
      <alignment horizontal="left" vertical="center" wrapText="1"/>
    </xf>
    <xf numFmtId="3" fontId="19" fillId="2" borderId="10" applyAlignment="1" pivotButton="0" quotePrefix="0" xfId="0">
      <alignment horizontal="left" vertical="center" wrapText="1"/>
    </xf>
    <xf numFmtId="0" fontId="20" fillId="9" borderId="10" applyAlignment="1" pivotButton="0" quotePrefix="0" xfId="0">
      <alignment horizontal="center" vertical="center" wrapText="1"/>
    </xf>
    <xf numFmtId="0" fontId="17" fillId="2" borderId="10" applyAlignment="1" pivotButton="0" quotePrefix="0" xfId="0">
      <alignment horizontal="left" vertical="center" wrapText="1"/>
    </xf>
    <xf numFmtId="3" fontId="19" fillId="2" borderId="10" applyAlignment="1" pivotButton="0" quotePrefix="0" xfId="0">
      <alignment horizontal="right" vertical="center"/>
    </xf>
    <xf numFmtId="0" fontId="17" fillId="13" borderId="10" applyAlignment="1" pivotButton="0" quotePrefix="0" xfId="0">
      <alignment horizontal="left" vertical="center" wrapText="1"/>
    </xf>
    <xf numFmtId="3" fontId="19" fillId="13" borderId="10" applyAlignment="1" pivotButton="0" quotePrefix="0" xfId="0">
      <alignment horizontal="right" vertical="center"/>
    </xf>
    <xf numFmtId="0" fontId="19" fillId="13" borderId="10" applyAlignment="1" pivotButton="0" quotePrefix="0" xfId="0">
      <alignment horizontal="center" vertical="center" wrapText="1"/>
    </xf>
    <xf numFmtId="0" fontId="21" fillId="8" borderId="10" applyAlignment="1" pivotButton="0" quotePrefix="0" xfId="0">
      <alignment horizontal="left" vertical="center" wrapText="1"/>
    </xf>
    <xf numFmtId="0" fontId="0" fillId="8" borderId="10" pivotButton="0" quotePrefix="0" xfId="0"/>
    <xf numFmtId="3" fontId="21" fillId="8" borderId="10" applyAlignment="1" pivotButton="0" quotePrefix="0" xfId="0">
      <alignment horizontal="right" vertical="center"/>
    </xf>
    <xf numFmtId="0" fontId="14" fillId="14" borderId="10" applyAlignment="1" pivotButton="0" quotePrefix="0" xfId="0">
      <alignment horizontal="center" vertical="center" wrapText="1"/>
    </xf>
    <xf numFmtId="0" fontId="14" fillId="9" borderId="10" applyAlignment="1" pivotButton="0" quotePrefix="0" xfId="0">
      <alignment horizontal="center" vertical="center" wrapText="1"/>
    </xf>
    <xf numFmtId="167" fontId="22" fillId="15" borderId="10" applyAlignment="1" pivotButton="0" quotePrefix="0" xfId="0">
      <alignment horizontal="center" vertical="center" wrapText="1"/>
    </xf>
    <xf numFmtId="167" fontId="23" fillId="8" borderId="10" applyAlignment="1" pivotButton="0" quotePrefix="0" xfId="0">
      <alignment horizontal="center" vertical="center" wrapText="1"/>
    </xf>
    <xf numFmtId="167" fontId="19" fillId="2" borderId="10" applyAlignment="1" pivotButton="0" quotePrefix="0" xfId="0">
      <alignment horizontal="right" vertical="center"/>
    </xf>
    <xf numFmtId="167" fontId="19" fillId="13" borderId="10" applyAlignment="1" pivotButton="0" quotePrefix="0" xfId="0">
      <alignment horizontal="right" vertical="center"/>
    </xf>
    <xf numFmtId="0" fontId="21" fillId="13" borderId="10" applyAlignment="1" pivotButton="0" quotePrefix="0" xfId="0">
      <alignment horizontal="left" vertical="center" wrapText="1"/>
    </xf>
    <xf numFmtId="167" fontId="21" fillId="13" borderId="10" applyAlignment="1" pivotButton="0" quotePrefix="0" xfId="0">
      <alignment horizontal="right" vertical="center"/>
    </xf>
    <xf numFmtId="0" fontId="21" fillId="2" borderId="10" applyAlignment="1" pivotButton="0" quotePrefix="0" xfId="0">
      <alignment horizontal="left" vertical="center" wrapText="1"/>
    </xf>
    <xf numFmtId="167" fontId="21" fillId="2" borderId="10" applyAlignment="1" pivotButton="0" quotePrefix="0" xfId="0">
      <alignment horizontal="right" vertical="center"/>
    </xf>
    <xf numFmtId="0" fontId="24" fillId="12" borderId="10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3" pivotButton="0" quotePrefix="0" xfId="0"/>
  </cellXfs>
  <cellStyles count="1">
    <cellStyle name="Normal" xfId="0" builtinId="0" hidden="0"/>
  </cellStyles>
  <dxfs count="4">
    <dxf>
      <font>
        <b val="1"/>
        <color rgb="001B2A4A"/>
      </font>
      <fill>
        <patternFill>
          <bgColor rgb="00D6E4F0"/>
        </patternFill>
      </fill>
    </dxf>
    <dxf>
      <font>
        <color rgb="001B7D46"/>
      </font>
      <fill>
        <patternFill>
          <bgColor rgb="00E8F5E9"/>
        </patternFill>
      </fill>
    </dxf>
    <dxf>
      <font>
        <color rgb="00C0392B"/>
      </font>
      <fill>
        <patternFill>
          <bgColor rgb="00FDEDEC"/>
        </patternFill>
      </fill>
    </dxf>
    <dxf>
      <font>
        <color rgb="00D4820A"/>
      </font>
      <fill>
        <patternFill>
          <bgColor rgb="00FEF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Masse Brute par Département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'Tableau de Bord'!C16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'Tableau de Bord'!$B$17:$B$22</f>
            </numRef>
          </cat>
          <val>
            <numRef>
              <f>'Tableau de Bord'!$C$17:$C$22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FCFA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>None</a:t>
              </a:r>
            </a:p>
          </txPr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Répartition par Type de Prime</a:t>
            </a:r>
          </a:p>
        </rich>
      </tx>
    </title>
    <plotArea>
      <pieChart>
        <varyColors val="1"/>
        <ser>
          <idx val="0"/>
          <order val="0"/>
          <tx>
            <strRef>
              <f>'Tableau de Bord'!H16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B7D4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4820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C8A84"/>
              </a:solidFill>
              <a:ln xmlns:a="http://schemas.openxmlformats.org/drawingml/2006/main">
                <a:prstDash val="solid"/>
              </a:ln>
            </spPr>
          </dPt>
          <cat>
            <numRef>
              <f>'Tableau de Bord'!$G$17:$G$21</f>
            </numRef>
          </cat>
          <val>
            <numRef>
              <f>'Tableau de Bord'!$H$17:$H$21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15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J41"/>
  <sheetViews>
    <sheetView workbookViewId="0">
      <selection activeCell="A1" sqref="A1"/>
    </sheetView>
  </sheetViews>
  <sheetFormatPr baseColWidth="8" defaultRowHeight="15"/>
  <cols>
    <col width="2.5" customWidth="1" min="1" max="1"/>
    <col width="32" customWidth="1" min="2" max="2"/>
    <col width="22" customWidth="1" min="3" max="3"/>
    <col width="16" customWidth="1" min="4" max="4"/>
    <col width="20" customWidth="1" min="5" max="5"/>
    <col width="2" customWidth="1" min="6" max="6"/>
    <col width="32" customWidth="1" min="7" max="7"/>
    <col width="22" customWidth="1" min="8" max="8"/>
    <col width="16" customWidth="1" min="9" max="9"/>
    <col width="20" customWidth="1" min="10" max="10"/>
  </cols>
  <sheetData>
    <row r="1">
      <c r="B1" s="87" t="n"/>
    </row>
    <row r="2" ht="38" customHeight="1">
      <c r="B2" s="88" t="inlineStr">
        <is>
          <t>HÔTEL 4 ÉTOILES — BULLETIN DE PAIE INDIVIDUEL</t>
        </is>
      </c>
    </row>
    <row r="3" ht="22" customHeight="1">
      <c r="B3" s="89" t="inlineStr">
        <is>
          <t>Domaine 3 — Paie, Rémunération &amp; Avantages Sociaux</t>
        </is>
      </c>
    </row>
    <row r="4" ht="4" customHeight="1">
      <c r="B4" s="90" t="n"/>
    </row>
    <row r="5" ht="28" customHeight="1">
      <c r="B5" s="91" t="inlineStr">
        <is>
          <t>RECHERCHER UN EMPLOYÉ</t>
        </is>
      </c>
      <c r="D5" s="92" t="inlineStr">
        <is>
          <t>Matricule :</t>
        </is>
      </c>
      <c r="E5" s="93" t="n"/>
      <c r="G5" s="92" t="inlineStr">
        <is>
          <t>Période :</t>
        </is>
      </c>
      <c r="H5" s="93" t="n"/>
    </row>
    <row r="6" ht="26" customHeight="1">
      <c r="B6" s="94" t="inlineStr">
        <is>
          <t>Employé sélectionné :</t>
        </is>
      </c>
      <c r="D6" s="95">
        <f>IF(E5="","⚠ Saisir un matricule ci-dessus",IFERROR(VLOOKUP(E5,'_Données Employés'!$B$5:$S$114,3,FALSE)&amp;" "&amp;VLOOKUP(E5,'_Données Employés'!$B$5:$S$114,4,FALSE),"Matricule non trouvé"))</f>
        <v/>
      </c>
      <c r="E6" s="121" t="n"/>
      <c r="G6" s="94" t="inlineStr">
        <is>
          <t>Département :</t>
        </is>
      </c>
      <c r="H6" s="96">
        <f>IF(E5="","",IFERROR(VLOOKUP(E5,'_Données Employés'!$B$5:$S$114,10,FALSE),""))</f>
        <v/>
      </c>
      <c r="I6" s="122" t="n"/>
      <c r="J6" s="121" t="n"/>
    </row>
    <row r="7" ht="6" customHeight="1"/>
    <row r="8">
      <c r="B8" s="97" t="inlineStr">
        <is>
          <t>IDENTITÉ DU SALARIÉ</t>
        </is>
      </c>
      <c r="G8" s="97" t="inlineStr">
        <is>
          <t>INFORMATIONS EMPLOI</t>
        </is>
      </c>
    </row>
    <row r="9">
      <c r="B9" s="98" t="inlineStr">
        <is>
          <t>Matricule</t>
        </is>
      </c>
      <c r="C9" s="99">
        <f>IF(E5="","",E5)</f>
        <v/>
      </c>
      <c r="D9" s="98" t="inlineStr">
        <is>
          <t>Civilité</t>
        </is>
      </c>
      <c r="E9" s="99">
        <f>IF(E5="","",IFERROR(VLOOKUP(E5,'_Données Employés'!$B$5:$S$114,2,FALSE),""))</f>
        <v/>
      </c>
      <c r="G9" s="98" t="inlineStr">
        <is>
          <t>Département</t>
        </is>
      </c>
      <c r="H9" s="99">
        <f>IF(E5="","",IFERROR(VLOOKUP(E5,'_Données Employés'!$B$5:$S$114,10,FALSE),""))</f>
        <v/>
      </c>
      <c r="I9" s="98" t="inlineStr">
        <is>
          <t>Poste</t>
        </is>
      </c>
      <c r="J9" s="99">
        <f>IF(E5="","",IFERROR(VLOOKUP(E5,'_Données Employés'!$B$5:$S$114,9,FALSE),""))</f>
        <v/>
      </c>
    </row>
    <row r="10">
      <c r="B10" s="98" t="inlineStr">
        <is>
          <t>Nom</t>
        </is>
      </c>
      <c r="C10" s="99">
        <f>IF(E5="","",IFERROR(VLOOKUP(E5,'_Données Employés'!$B$5:$S$114,3,FALSE),""))</f>
        <v/>
      </c>
      <c r="D10" s="98" t="inlineStr">
        <is>
          <t>Prénom</t>
        </is>
      </c>
      <c r="E10" s="99">
        <f>IF(E5="","",IFERROR(VLOOKUP(E5,'_Données Employés'!$B$5:$S$114,4,FALSE),""))</f>
        <v/>
      </c>
      <c r="G10" s="98" t="inlineStr">
        <is>
          <t>Type contrat</t>
        </is>
      </c>
      <c r="H10" s="99">
        <f>IF(E5="","",IFERROR(VLOOKUP(E5,'_Données Employés'!$B$5:$S$114,11,FALSE),""))</f>
        <v/>
      </c>
      <c r="I10" s="98" t="inlineStr">
        <is>
          <t>Régime travail</t>
        </is>
      </c>
      <c r="J10" s="99">
        <f>IF(E5="","",IFERROR(VLOOKUP(E5,'_Données Employés'!$B$5:$S$114,12,FALSE),""))</f>
        <v/>
      </c>
    </row>
    <row r="11">
      <c r="B11" s="98" t="inlineStr">
        <is>
          <t>Date naissance</t>
        </is>
      </c>
      <c r="C11" s="99">
        <f>IF(E5="","",IFERROR(VLOOKUP(E5,'_Données Employés'!$B$5:$S$114,5,FALSE),""))</f>
        <v/>
      </c>
      <c r="D11" s="98" t="inlineStr">
        <is>
          <t>Nationalité</t>
        </is>
      </c>
      <c r="E11" s="99">
        <f>IF(E5="","",IFERROR(VLOOKUP(E5,'_Données Employés'!$B$5:$S$114,7,FALSE),""))</f>
        <v/>
      </c>
      <c r="G11" s="98" t="inlineStr">
        <is>
          <t>Date embauche</t>
        </is>
      </c>
      <c r="H11" s="99">
        <f>IF(E5="","",IFERROR(VLOOKUP(E5,'_Données Employés'!$B$5:$S$114,13,FALSE),""))</f>
        <v/>
      </c>
      <c r="I11" s="98" t="inlineStr">
        <is>
          <t>Ancienneté</t>
        </is>
      </c>
      <c r="J11" s="99">
        <f>IF(E5="","",IFERROR(VLOOKUP(E5,'_Données Employés'!$B$5:$S$114,18,FALSE),""))</f>
        <v/>
      </c>
    </row>
    <row r="12">
      <c r="B12" s="98" t="inlineStr">
        <is>
          <t>Échelon</t>
        </is>
      </c>
      <c r="C12" s="99">
        <f>IF(E5="","",IFERROR(VLOOKUP(E5,'_Données Employés'!$B$5:$S$114,14,FALSE),""))</f>
        <v/>
      </c>
      <c r="D12" s="98" t="inlineStr">
        <is>
          <t>Statut</t>
        </is>
      </c>
      <c r="E12" s="99">
        <f>IF(E5="","",IFERROR(VLOOKUP(E5,'_Données Employés'!$B$5:$S$114,15,FALSE),""))</f>
        <v/>
      </c>
      <c r="G12" s="98" t="inlineStr">
        <is>
          <t>Catégorie</t>
        </is>
      </c>
      <c r="H12" s="99">
        <f>IF(E5="","",IFERROR(VLOOKUP(E5,'_Données Employés'!$B$5:$S$114,8,FALSE),""))</f>
        <v/>
      </c>
      <c r="I12" s="98" t="inlineStr">
        <is>
          <t>Salaire base</t>
        </is>
      </c>
      <c r="J12" s="100">
        <f>IF(E5="","",IFERROR(VLOOKUP(E5,'_Données Employés'!$B$5:$S$114,16,FALSE),""))</f>
        <v/>
      </c>
    </row>
    <row r="13" ht="6" customHeight="1"/>
    <row r="14">
      <c r="B14" s="97" t="inlineStr">
        <is>
          <t>DÉTAIL DE LA RÉMUNÉRATION</t>
        </is>
      </c>
    </row>
    <row r="15">
      <c r="B15" s="101" t="inlineStr">
        <is>
          <t>RUBRIQUE (GAINS)</t>
        </is>
      </c>
      <c r="C15" s="101" t="inlineStr">
        <is>
          <t>Base (FCFA)</t>
        </is>
      </c>
      <c r="D15" s="101" t="inlineStr">
        <is>
          <t>Taux</t>
        </is>
      </c>
      <c r="E15" s="101" t="inlineStr">
        <is>
          <t>Montant (FCFA)</t>
        </is>
      </c>
      <c r="G15" s="101" t="inlineStr">
        <is>
          <t>RUBRIQUE (RETENUES)</t>
        </is>
      </c>
      <c r="H15" s="101" t="inlineStr">
        <is>
          <t>Base (FCFA)</t>
        </is>
      </c>
      <c r="I15" s="101" t="inlineStr">
        <is>
          <t>Taux</t>
        </is>
      </c>
      <c r="J15" s="101" t="inlineStr">
        <is>
          <t>Montant (FCFA)</t>
        </is>
      </c>
    </row>
    <row r="16">
      <c r="B16" s="102" t="inlineStr">
        <is>
          <t>Salaire de base</t>
        </is>
      </c>
      <c r="C16" s="103">
        <f>IF(E5="","",IFERROR(VLOOKUP(E5,'_Données Employés'!$B$5:$S$114,16,FALSE),""))</f>
        <v/>
      </c>
      <c r="D16" s="96" t="inlineStr">
        <is>
          <t>100%</t>
        </is>
      </c>
      <c r="E16" s="103">
        <f>IF(E5="","",IFERROR(VLOOKUP(E5,'_Données Employés'!$B$5:$S$114,16,FALSE),""))</f>
        <v/>
      </c>
      <c r="G16" s="102" t="inlineStr">
        <is>
          <t>CNPS Employé</t>
        </is>
      </c>
      <c r="H16" s="103">
        <f>IF(E5="","",E24)</f>
        <v/>
      </c>
      <c r="I16" s="96" t="inlineStr">
        <is>
          <t>2,8%</t>
        </is>
      </c>
      <c r="J16" s="103">
        <f>IF(E5="","",IFERROR(E24*0.028,0))</f>
        <v/>
      </c>
    </row>
    <row r="17">
      <c r="B17" s="104" t="inlineStr">
        <is>
          <t>Prime d'ancienneté</t>
        </is>
      </c>
      <c r="C17" s="105">
        <f>IF(E5="","",IFERROR(VLOOKUP(E5,'_Données Employés'!$B$5:$S$114,16,FALSE),""))</f>
        <v/>
      </c>
      <c r="D17" s="106" t="inlineStr">
        <is>
          <t>5%</t>
        </is>
      </c>
      <c r="E17" s="105">
        <f>IF(E5="","",IFERROR(VLOOKUP(E5,'_Données Employés'!$B$5:$S$114,16,FALSE)*0.05,0))</f>
        <v/>
      </c>
      <c r="G17" s="104" t="inlineStr">
        <is>
          <t>CNAMGS Employé</t>
        </is>
      </c>
      <c r="H17" s="105">
        <f>IF(E5="","",E24)</f>
        <v/>
      </c>
      <c r="I17" s="106" t="inlineStr">
        <is>
          <t>1,5%</t>
        </is>
      </c>
      <c r="J17" s="105">
        <f>IF(E5="","",IFERROR(E24*0.015,0))</f>
        <v/>
      </c>
    </row>
    <row r="18">
      <c r="B18" s="102" t="inlineStr">
        <is>
          <t>Indemnité logement</t>
        </is>
      </c>
      <c r="C18" s="103">
        <f>IF(E5="","",IFERROR(VLOOKUP(E5,'_Données Employés'!$B$5:$S$114,16,FALSE),""))</f>
        <v/>
      </c>
      <c r="D18" s="96" t="inlineStr">
        <is>
          <t>30%</t>
        </is>
      </c>
      <c r="E18" s="103">
        <f>IF(E5="","",IFERROR(VLOOKUP(E5,'_Données Employés'!$B$5:$S$114,16,FALSE)*0.3,0))</f>
        <v/>
      </c>
      <c r="G18" s="102" t="inlineStr">
        <is>
          <t>IR Salaires</t>
        </is>
      </c>
      <c r="H18" s="103">
        <f>IF(E5="","",E24)</f>
        <v/>
      </c>
      <c r="I18" s="96" t="inlineStr">
        <is>
          <t>Barème progressif</t>
        </is>
      </c>
      <c r="J18" s="103" t="inlineStr">
        <is>
          <t>IF(E5="","",IFERROR(IF(E23&lt;=62000,0,IF(E23&lt;=146000,(E23-62000)*0.1,IF(E23&lt;=236000,8400+(E23-146000)*0.15,IF(E23&lt;=360000,21900+(E23-236000)*0.25,IF(E23&lt;=550000,52900+(E23-360000)*0.35,119400+(E23-550000)*0.4))))),0))</t>
        </is>
      </c>
    </row>
    <row r="19">
      <c r="B19" s="104" t="inlineStr">
        <is>
          <t>Prime transport</t>
        </is>
      </c>
      <c r="C19" s="105">
        <f>IF(E5="","",25000)</f>
        <v/>
      </c>
      <c r="D19" s="106" t="inlineStr">
        <is>
          <t>Fixe</t>
        </is>
      </c>
      <c r="E19" s="105">
        <f>IF(E5="","",25000)</f>
        <v/>
      </c>
      <c r="G19" s="104" t="inlineStr">
        <is>
          <t>Acomptes &amp; avances</t>
        </is>
      </c>
      <c r="H19" s="105">
        <f>IF(E5="","",IFERROR(SUMPRODUCT(('7-Acomptes Avances'!$C$5:$C$104=E5)*('7-Acomptes Avances'!$H$5:$H$104)),0))</f>
        <v/>
      </c>
      <c r="I19" s="106" t="inlineStr">
        <is>
          <t>Variable</t>
        </is>
      </c>
      <c r="J19" s="105">
        <f>IF(E5="","",IFERROR(SUMPRODUCT(('7-Acomptes Avances'!$C$5:$C$104=E5)*('7-Acomptes Avances'!$H$5:$H$104)),0))</f>
        <v/>
      </c>
    </row>
    <row r="20">
      <c r="B20" s="102" t="inlineStr">
        <is>
          <t>Heures supplémentaires</t>
        </is>
      </c>
      <c r="C20" s="103">
        <f>IF(E5="","",IFERROR(SUMPRODUCT(('4-Heures Supplementaires'!$C$5:$C$104=E5)*('4-Heures Supplementaires'!$L$5:$L$104)),0))</f>
        <v/>
      </c>
      <c r="D20" s="96" t="inlineStr">
        <is>
          <t>Variable</t>
        </is>
      </c>
      <c r="E20" s="103">
        <f>IF(E5="","",IFERROR(SUMPRODUCT(('4-Heures Supplementaires'!$C$5:$C$104=E5)*('4-Heures Supplementaires'!$L$5:$L$104)),0))</f>
        <v/>
      </c>
      <c r="G20" s="102" t="inlineStr">
        <is>
          <t>Prêts personnels</t>
        </is>
      </c>
      <c r="H20" s="103">
        <f>IF(E5="","",IFERROR(SUMPRODUCT(('8-Prets Personnel'!$C$5:$C$104=E5)*('8-Prets Personnel'!$H$5:$H$104)),0))</f>
        <v/>
      </c>
      <c r="I20" s="96" t="inlineStr">
        <is>
          <t>Mensualité</t>
        </is>
      </c>
      <c r="J20" s="103">
        <f>IF(E5="","",IFERROR(SUMPRODUCT(('8-Prets Personnel'!$C$5:$C$104=E5)*('8-Prets Personnel'!$H$5:$H$104)),0))</f>
        <v/>
      </c>
    </row>
    <row r="21">
      <c r="B21" s="104" t="inlineStr">
        <is>
          <t>Primes &amp; indemnités</t>
        </is>
      </c>
      <c r="C21" s="105">
        <f>IF(E5="","",IFERROR(SUMPRODUCT(('3-Primes &amp; Indemnités'!$C$5:$C$104=E5)*('3-Primes &amp; Indemnités'!$L$5:$L$104)),0))</f>
        <v/>
      </c>
      <c r="D21" s="106" t="inlineStr">
        <is>
          <t>Variable</t>
        </is>
      </c>
      <c r="E21" s="105">
        <f>IF(E5="","",IFERROR(SUMPRODUCT(('3-Primes &amp; Indemnités'!$C$5:$C$104=E5)*('3-Primes &amp; Indemnités'!$L$5:$L$104)),0))</f>
        <v/>
      </c>
      <c r="G21" s="104" t="inlineStr">
        <is>
          <t>Autres déductions</t>
        </is>
      </c>
      <c r="H21" s="105">
        <f>IF(E5="","",IFERROR(SUMPRODUCT(('6-Deductions Retenues'!$C$5:$C$104=E5)*('6-Deductions Retenues'!$H$5:$H$104)),0))</f>
        <v/>
      </c>
      <c r="I21" s="106" t="inlineStr">
        <is>
          <t>Variable</t>
        </is>
      </c>
      <c r="J21" s="105">
        <f>IF(E5="","",IFERROR(SUMPRODUCT(('6-Deductions Retenues'!$C$5:$C$104=E5)*('6-Deductions Retenues'!$H$5:$H$104)),0))</f>
        <v/>
      </c>
    </row>
    <row r="22">
      <c r="B22" s="102" t="inlineStr">
        <is>
          <t>Avantages en nature</t>
        </is>
      </c>
      <c r="C22" s="103">
        <f>IF(E5="","",IFERROR(SUMPRODUCT(('15-Avantages Nature'!$C$5:$C$104=E5)*('15-Avantages Nature'!$G$5:$G$104)),0))</f>
        <v/>
      </c>
      <c r="D22" s="96" t="inlineStr">
        <is>
          <t>Variable</t>
        </is>
      </c>
      <c r="E22" s="103">
        <f>IF(E5="","",IFERROR(SUMPRODUCT(('15-Avantages Nature'!$C$5:$C$104=E5)*('15-Avantages Nature'!$G$5:$G$104)),0))</f>
        <v/>
      </c>
      <c r="G22" s="102" t="inlineStr">
        <is>
          <t>Mutuelle/Prévoyance</t>
        </is>
      </c>
      <c r="H22" s="103">
        <f>IF(E5="","",IFERROR(SUMPRODUCT(('20-Mutuelle Prevoyance'!$C$5:$C$104=E5)*('20-Mutuelle Prevoyance'!$H$5:$H$104)),0))</f>
        <v/>
      </c>
      <c r="I22" s="96" t="inlineStr">
        <is>
          <t>Variable</t>
        </is>
      </c>
      <c r="J22" s="103">
        <f>IF(E5="","",IFERROR(SUMPRODUCT(('20-Mutuelle Prevoyance'!$C$5:$C$104=E5)*('20-Mutuelle Prevoyance'!$H$5:$H$104)),0))</f>
        <v/>
      </c>
    </row>
    <row r="23">
      <c r="B23" s="104" t="inlineStr">
        <is>
          <t>Variables &amp; pourboires</t>
        </is>
      </c>
      <c r="C23" s="105">
        <f>IF(E5="","",IFERROR(SUMPRODUCT(('14-Variables Pourboires'!$C$5:$C$104=E5)*('14-Variables Pourboires'!$H$5:$H$104)),0))</f>
        <v/>
      </c>
      <c r="D23" s="106" t="inlineStr">
        <is>
          <t>Variable</t>
        </is>
      </c>
      <c r="E23" s="105">
        <f>IF(E5="","",IFERROR(SUMPRODUCT(('14-Variables Pourboires'!$C$5:$C$104=E5)*('14-Variables Pourboires'!$H$5:$H$104)),0))</f>
        <v/>
      </c>
      <c r="G23" s="107" t="inlineStr">
        <is>
          <t>TOTAL RETENUES</t>
        </is>
      </c>
      <c r="H23" s="108" t="n"/>
      <c r="I23" s="108" t="n"/>
      <c r="J23" s="109">
        <f>IF(E5="","",SUM(J16:J22))</f>
        <v/>
      </c>
    </row>
    <row r="24">
      <c r="B24" s="107" t="inlineStr">
        <is>
          <t>TOTAL BRUT</t>
        </is>
      </c>
      <c r="C24" s="108" t="n"/>
      <c r="D24" s="108" t="n"/>
      <c r="E24" s="109">
        <f>IF(E5="","",SUM(E16:E23))</f>
        <v/>
      </c>
    </row>
    <row r="25" ht="6" customHeight="1"/>
    <row r="26">
      <c r="B26" s="110" t="inlineStr">
        <is>
          <t>SALAIRE NET À PAYER</t>
        </is>
      </c>
      <c r="C26" s="122" t="n"/>
      <c r="D26" s="122" t="n"/>
      <c r="E26" s="121" t="n"/>
      <c r="G26" s="111" t="inlineStr">
        <is>
          <t>COÛT TOTAL EMPLOYEUR</t>
        </is>
      </c>
      <c r="H26" s="122" t="n"/>
      <c r="I26" s="122" t="n"/>
      <c r="J26" s="121" t="n"/>
    </row>
    <row r="27" ht="32" customHeight="1">
      <c r="B27" s="112">
        <f>IF(E5="","",IFERROR(E24-J23,0))</f>
        <v/>
      </c>
      <c r="C27" s="122" t="n"/>
      <c r="D27" s="122" t="n"/>
      <c r="E27" s="121" t="n"/>
      <c r="G27" s="113">
        <f>IF(E5="","",IFERROR(E24*1.082,0))</f>
        <v/>
      </c>
      <c r="H27" s="122" t="n"/>
      <c r="I27" s="122" t="n"/>
      <c r="J27" s="121" t="n"/>
    </row>
    <row r="28" ht="6" customHeight="1"/>
    <row r="29">
      <c r="B29" s="97" t="inlineStr">
        <is>
          <t>RÉCAPITULATIF MENSUEL</t>
        </is>
      </c>
    </row>
    <row r="30">
      <c r="B30" s="102" t="inlineStr">
        <is>
          <t>Salaire de base</t>
        </is>
      </c>
      <c r="C30" s="122" t="n"/>
      <c r="D30" s="122" t="n"/>
      <c r="E30" s="122" t="n"/>
      <c r="F30" s="121" t="n"/>
      <c r="G30" s="114">
        <f>IF(E5="","",IFERROR(VLOOKUP(E5,'_Données Employés'!$B$5:$S$114,16,FALSE),""))</f>
        <v/>
      </c>
      <c r="H30" s="122" t="n"/>
      <c r="I30" s="122" t="n"/>
      <c r="J30" s="121" t="n"/>
    </row>
    <row r="31">
      <c r="B31" s="104" t="inlineStr">
        <is>
          <t>Total primes &amp; indemnités réglementaires</t>
        </is>
      </c>
      <c r="C31" s="122" t="n"/>
      <c r="D31" s="122" t="n"/>
      <c r="E31" s="122" t="n"/>
      <c r="F31" s="121" t="n"/>
      <c r="G31" s="115">
        <f>IF(E5="","",IFERROR(SUM(E17:E20),0))</f>
        <v/>
      </c>
      <c r="H31" s="122" t="n"/>
      <c r="I31" s="122" t="n"/>
      <c r="J31" s="121" t="n"/>
    </row>
    <row r="32">
      <c r="B32" s="102" t="inlineStr">
        <is>
          <t>Total primes variables &amp; avantages</t>
        </is>
      </c>
      <c r="C32" s="122" t="n"/>
      <c r="D32" s="122" t="n"/>
      <c r="E32" s="122" t="n"/>
      <c r="F32" s="121" t="n"/>
      <c r="G32" s="114">
        <f>IF(E5="","",IFERROR(SUM(E21:E23),0))</f>
        <v/>
      </c>
      <c r="H32" s="122" t="n"/>
      <c r="I32" s="122" t="n"/>
      <c r="J32" s="121" t="n"/>
    </row>
    <row r="33">
      <c r="B33" s="116" t="inlineStr">
        <is>
          <t>Salaire brut total</t>
        </is>
      </c>
      <c r="C33" s="122" t="n"/>
      <c r="D33" s="122" t="n"/>
      <c r="E33" s="122" t="n"/>
      <c r="F33" s="121" t="n"/>
      <c r="G33" s="117">
        <f>IF(E5="","",E24)</f>
        <v/>
      </c>
      <c r="H33" s="122" t="n"/>
      <c r="I33" s="122" t="n"/>
      <c r="J33" s="121" t="n"/>
    </row>
    <row r="34">
      <c r="B34" s="102" t="inlineStr">
        <is>
          <t>Total cotisations sociales (CNPS+CNAMGS+IR)</t>
        </is>
      </c>
      <c r="C34" s="122" t="n"/>
      <c r="D34" s="122" t="n"/>
      <c r="E34" s="122" t="n"/>
      <c r="F34" s="121" t="n"/>
      <c r="G34" s="114">
        <f>IF(E5="","",IFERROR(SUM(J16:J18),0))</f>
        <v/>
      </c>
      <c r="H34" s="122" t="n"/>
      <c r="I34" s="122" t="n"/>
      <c r="J34" s="121" t="n"/>
    </row>
    <row r="35">
      <c r="B35" s="104" t="inlineStr">
        <is>
          <t>Total déductions diverses</t>
        </is>
      </c>
      <c r="C35" s="122" t="n"/>
      <c r="D35" s="122" t="n"/>
      <c r="E35" s="122" t="n"/>
      <c r="F35" s="121" t="n"/>
      <c r="G35" s="115">
        <f>IF(E5="","",IFERROR(SUM(J19:J22),0))</f>
        <v/>
      </c>
      <c r="H35" s="122" t="n"/>
      <c r="I35" s="122" t="n"/>
      <c r="J35" s="121" t="n"/>
    </row>
    <row r="36">
      <c r="B36" s="118" t="inlineStr">
        <is>
          <t>Total retenues</t>
        </is>
      </c>
      <c r="C36" s="122" t="n"/>
      <c r="D36" s="122" t="n"/>
      <c r="E36" s="122" t="n"/>
      <c r="F36" s="121" t="n"/>
      <c r="G36" s="119">
        <f>IF(E5="","",IFERROR(J23,0))</f>
        <v/>
      </c>
      <c r="H36" s="122" t="n"/>
      <c r="I36" s="122" t="n"/>
      <c r="J36" s="121" t="n"/>
    </row>
    <row r="37">
      <c r="B37" s="116" t="inlineStr">
        <is>
          <t>NET À PAYER</t>
        </is>
      </c>
      <c r="C37" s="122" t="n"/>
      <c r="D37" s="122" t="n"/>
      <c r="E37" s="122" t="n"/>
      <c r="F37" s="121" t="n"/>
      <c r="G37" s="117">
        <f>IF(E5="","",IFERROR(E24-J23,0))</f>
        <v/>
      </c>
      <c r="H37" s="122" t="n"/>
      <c r="I37" s="122" t="n"/>
      <c r="J37" s="121" t="n"/>
    </row>
    <row r="38">
      <c r="B38" s="102" t="inlineStr">
        <is>
          <t>Charges patronales (8,2%)</t>
        </is>
      </c>
      <c r="C38" s="122" t="n"/>
      <c r="D38" s="122" t="n"/>
      <c r="E38" s="122" t="n"/>
      <c r="F38" s="121" t="n"/>
      <c r="G38" s="114">
        <f>IF(E5="","",IFERROR(E24*0.082,0))</f>
        <v/>
      </c>
      <c r="H38" s="122" t="n"/>
      <c r="I38" s="122" t="n"/>
      <c r="J38" s="121" t="n"/>
    </row>
    <row r="39">
      <c r="B39" s="116" t="inlineStr">
        <is>
          <t>Coût total pour l'hôtel</t>
        </is>
      </c>
      <c r="C39" s="122" t="n"/>
      <c r="D39" s="122" t="n"/>
      <c r="E39" s="122" t="n"/>
      <c r="F39" s="121" t="n"/>
      <c r="G39" s="117">
        <f>IF(E5="","",IFERROR(E24*1.082,0))</f>
        <v/>
      </c>
      <c r="H39" s="122" t="n"/>
      <c r="I39" s="122" t="n"/>
      <c r="J39" s="121" t="n"/>
    </row>
    <row r="40" ht="6" customHeight="1"/>
    <row r="41" ht="32" customHeight="1">
      <c r="B41" s="120" t="inlineStr">
        <is>
          <t>Mode d'emploi : 1) Cliquer sur la cellule jaune « Matricule » en ligne 5  →  2) Choisir un employé dans la liste déroulante  →  3) La fiche de paie se remplit automatiquement</t>
        </is>
      </c>
      <c r="C41" s="122" t="n"/>
      <c r="D41" s="122" t="n"/>
      <c r="E41" s="122" t="n"/>
      <c r="F41" s="122" t="n"/>
      <c r="G41" s="122" t="n"/>
      <c r="H41" s="122" t="n"/>
      <c r="I41" s="122" t="n"/>
      <c r="J41" s="121" t="n"/>
    </row>
  </sheetData>
  <mergeCells count="39">
    <mergeCell ref="G26:J26"/>
    <mergeCell ref="G35:J35"/>
    <mergeCell ref="B14:J14"/>
    <mergeCell ref="B1:J1"/>
    <mergeCell ref="B31:F31"/>
    <mergeCell ref="G32:J32"/>
    <mergeCell ref="B29:J29"/>
    <mergeCell ref="D6:E6"/>
    <mergeCell ref="B26:E26"/>
    <mergeCell ref="B39:F39"/>
    <mergeCell ref="G31:J31"/>
    <mergeCell ref="G27:J27"/>
    <mergeCell ref="G36:J36"/>
    <mergeCell ref="B27:E27"/>
    <mergeCell ref="B38:F38"/>
    <mergeCell ref="B34:F34"/>
    <mergeCell ref="G8:J8"/>
    <mergeCell ref="G39:J39"/>
    <mergeCell ref="B35:F35"/>
    <mergeCell ref="B37:F37"/>
    <mergeCell ref="B41:J41"/>
    <mergeCell ref="I5:J5"/>
    <mergeCell ref="G38:J38"/>
    <mergeCell ref="B4:J4"/>
    <mergeCell ref="G37:J37"/>
    <mergeCell ref="B30:F30"/>
    <mergeCell ref="B6:C6"/>
    <mergeCell ref="B3:J3"/>
    <mergeCell ref="B8:E8"/>
    <mergeCell ref="B5:C5"/>
    <mergeCell ref="B33:F33"/>
    <mergeCell ref="G34:J34"/>
    <mergeCell ref="E15"/>
    <mergeCell ref="G30:J30"/>
    <mergeCell ref="B36:F36"/>
    <mergeCell ref="G33:J33"/>
    <mergeCell ref="B32:F32"/>
    <mergeCell ref="B2:J2"/>
    <mergeCell ref="H6:J6"/>
  </mergeCells>
  <dataValidations count="2">
    <dataValidation sqref="E5" showDropDown="0" showInputMessage="1" showErrorMessage="0" allowBlank="1" promptTitle="Matricule employé" prompt="Sélectionner un matricule dans la liste déroulante" type="list">
      <formula1>'_Lists'!$N$2:$N$11</formula1>
    </dataValidation>
    <dataValidation sqref="H5:J5" showDropDown="0" showInputMessage="1" showErrorMessage="0" allowBlank="1" promptTitle="Période" prompt="Sélectionner le mois de paie" type="list">
      <formula1>'_Lists'!$L$2:$L$13</formula1>
    </dataValidation>
  </dataValidation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18" customWidth="1" min="4" max="4"/>
    <col width="18" customWidth="1" min="5" max="5"/>
    <col width="5" customWidth="1" min="6" max="6"/>
    <col width="22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2" ht="36" customHeight="1">
      <c r="B2" s="1" t="inlineStr">
        <is>
          <t>DOMAINE 3 — PAIE, RÉMUNÉRATION &amp; AVANTAGES SOCIAUX</t>
        </is>
      </c>
    </row>
    <row r="3">
      <c r="B3" s="2" t="inlineStr">
        <is>
          <t>Tableau de bord — Vue synthétique (toutes les feuilles connectées automatiquement)</t>
        </is>
      </c>
    </row>
    <row r="5">
      <c r="B5" s="2" t="inlineStr">
        <is>
          <t>Masse brute mensuelle (FCFA)</t>
        </is>
      </c>
      <c r="D5" s="2" t="inlineStr">
        <is>
          <t>Masse nette mensuelle (FCFA)</t>
        </is>
      </c>
      <c r="G5" s="2" t="inlineStr">
        <is>
          <t>Coût total employeur (FCFA)</t>
        </is>
      </c>
      <c r="I5" s="2" t="inlineStr">
        <is>
          <t>Effectif actif</t>
        </is>
      </c>
    </row>
    <row r="6">
      <c r="B6" s="3">
        <f>SUM('2-Calcul des Salaires'!J5:J104)</f>
        <v/>
      </c>
      <c r="D6" s="3">
        <f>SUM('2-Calcul des Salaires'!O5:O104)</f>
        <v/>
      </c>
      <c r="G6" s="3">
        <f>SUM('2-Calcul des Salaires'!Q5:Q104)</f>
        <v/>
      </c>
      <c r="I6" s="3">
        <f>COUNTA('_Données Employés'!B5:B114)</f>
        <v/>
      </c>
    </row>
    <row r="8">
      <c r="B8" s="2" t="inlineStr">
        <is>
          <t>Total primes (FCFA)</t>
        </is>
      </c>
      <c r="D8" s="2" t="inlineStr">
        <is>
          <t>Total HS nets (FCFA)</t>
        </is>
      </c>
      <c r="G8" s="2" t="inlineStr">
        <is>
          <t>Total cotisations (FCFA)</t>
        </is>
      </c>
      <c r="I8" s="2" t="inlineStr">
        <is>
          <t>Prêts en cours</t>
        </is>
      </c>
    </row>
    <row r="9">
      <c r="B9" s="3">
        <f>SUM('3-Primes &amp; Indemnités'!L5:L104)</f>
        <v/>
      </c>
      <c r="D9" s="3">
        <f>SUM('4-Heures Supplementaires'!K5:K104)</f>
        <v/>
      </c>
      <c r="G9" s="3">
        <f>SUM('5-Cotisations Salariales'!J5:J104)</f>
        <v/>
      </c>
      <c r="I9" s="3">
        <f>COUNTIF('8-Prets Personnel'!K5:K104,"En cours")</f>
        <v/>
      </c>
    </row>
    <row r="11">
      <c r="B11" s="2" t="inlineStr">
        <is>
          <t>Avantages nature (FCFA)</t>
        </is>
      </c>
      <c r="D11" s="2" t="inlineStr">
        <is>
          <t>Tickets restaurant (FCFA)</t>
        </is>
      </c>
      <c r="G11" s="2" t="inlineStr">
        <is>
          <t>Valeur CET totale (FCFA)</t>
        </is>
      </c>
      <c r="I11" s="2" t="inlineStr">
        <is>
          <t>Notes de frais (FCFA)</t>
        </is>
      </c>
    </row>
    <row r="12">
      <c r="B12" s="3">
        <f>SUM('15-Avantages Nature'!G5:G104)</f>
        <v/>
      </c>
      <c r="D12" s="3">
        <f>SUM('16-Tickets Restaurant'!K5:K104)</f>
        <v/>
      </c>
      <c r="G12" s="3">
        <f>SUM('17-Compte Epargne Temps'!L5:L104)</f>
        <v/>
      </c>
      <c r="I12" s="3">
        <f>SUM('19-Notes de Frais'!H5:H104)</f>
        <v/>
      </c>
    </row>
    <row r="15" ht="26" customHeight="1">
      <c r="B15" s="4" t="inlineStr">
        <is>
          <t>RÉPARTITION PAR DÉPARTEMENT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B16" s="6" t="inlineStr">
        <is>
          <t>Département</t>
        </is>
      </c>
      <c r="C16" s="6" t="inlineStr">
        <is>
          <t>Masse Brute (FCFA)</t>
        </is>
      </c>
      <c r="D16" s="6" t="inlineStr">
        <is>
          <t>Effectif</t>
        </is>
      </c>
      <c r="G16" s="6" t="inlineStr">
        <is>
          <t>Type de Prime</t>
        </is>
      </c>
      <c r="H16" s="6" t="inlineStr">
        <is>
          <t>Montant (FCFA)</t>
        </is>
      </c>
    </row>
    <row r="17">
      <c r="B17" s="7" t="inlineStr">
        <is>
          <t>Ressources Humaines</t>
        </is>
      </c>
      <c r="C17" s="8">
        <f>SUMPRODUCT(('_Données Employés'!$K$5:$K$114="Ressources Humaines")*('_Données Employés'!$R$5:$R$114))</f>
        <v/>
      </c>
      <c r="D17" s="9">
        <f>COUNTIF('_Données Employés'!$K$5:$K$114,"Ressources Humaines")</f>
        <v/>
      </c>
      <c r="G17" s="7" t="inlineStr">
        <is>
          <t>Prime de responsabilite</t>
        </is>
      </c>
      <c r="H17" s="8">
        <f>SUMPRODUCT(('3-Primes &amp; Indemnités'!$F$5:$F$104=H17)*('3-Primes &amp; Indemnités'!$L$5:$L$104))</f>
        <v/>
      </c>
    </row>
    <row r="18">
      <c r="B18" s="10" t="inlineStr">
        <is>
          <t>Finance &amp; Comptabilite</t>
        </is>
      </c>
      <c r="C18" s="11">
        <f>SUMPRODUCT(('_Données Employés'!$K$5:$K$114="Finance &amp; Comptabilite")*('_Données Employés'!$R$5:$R$114))</f>
        <v/>
      </c>
      <c r="D18" s="12">
        <f>COUNTIF('_Données Employés'!$K$5:$K$114,"Finance &amp; Comptabilite")</f>
        <v/>
      </c>
      <c r="G18" s="10" t="inlineStr">
        <is>
          <t>Prime de rendement</t>
        </is>
      </c>
      <c r="H18" s="11">
        <f>SUMPRODUCT(('3-Primes &amp; Indemnités'!$F$5:$F$104=H18)*('3-Primes &amp; Indemnités'!$L$5:$L$104))</f>
        <v/>
      </c>
    </row>
    <row r="19">
      <c r="B19" s="7" t="inlineStr">
        <is>
          <t>Reception &amp; Front Office</t>
        </is>
      </c>
      <c r="C19" s="8">
        <f>SUMPRODUCT(('_Données Employés'!$K$5:$K$114="Reception &amp; Front Office")*('_Données Employés'!$R$5:$R$114))</f>
        <v/>
      </c>
      <c r="D19" s="9">
        <f>COUNTIF('_Données Employés'!$K$5:$K$114,"Reception &amp; Front Office")</f>
        <v/>
      </c>
      <c r="G19" s="7" t="inlineStr">
        <is>
          <t>Indemnite de danger</t>
        </is>
      </c>
      <c r="H19" s="8">
        <f>SUMPRODUCT(('3-Primes &amp; Indemnités'!$F$5:$F$104=H19)*('3-Primes &amp; Indemnités'!$L$5:$L$104))</f>
        <v/>
      </c>
    </row>
    <row r="20">
      <c r="B20" s="10" t="inlineStr">
        <is>
          <t>Cuisine &amp; Restauration</t>
        </is>
      </c>
      <c r="C20" s="11">
        <f>SUMPRODUCT(('_Données Employés'!$K$5:$K$114="Cuisine &amp; Restauration")*('_Données Employés'!$R$5:$R$114))</f>
        <v/>
      </c>
      <c r="D20" s="12">
        <f>COUNTIF('_Données Employés'!$K$5:$K$114,"Cuisine &amp; Restauration")</f>
        <v/>
      </c>
      <c r="G20" s="10" t="inlineStr">
        <is>
          <t>Prime exceptionnelle</t>
        </is>
      </c>
      <c r="H20" s="11">
        <f>SUMPRODUCT(('3-Primes &amp; Indemnités'!$F$5:$F$104=H20)*('3-Primes &amp; Indemnités'!$L$5:$L$104))</f>
        <v/>
      </c>
    </row>
    <row r="21">
      <c r="B21" s="7" t="inlineStr">
        <is>
          <t>Securite</t>
        </is>
      </c>
      <c r="C21" s="8">
        <f>SUMPRODUCT(('_Données Employés'!$K$5:$K$114="Securite")*('_Données Employés'!$R$5:$R$114))</f>
        <v/>
      </c>
      <c r="D21" s="9">
        <f>COUNTIF('_Données Employés'!$K$5:$K$114,"Securite")</f>
        <v/>
      </c>
      <c r="G21" s="7" t="inlineStr">
        <is>
          <t>Prime d'anciennete</t>
        </is>
      </c>
      <c r="H21" s="8">
        <f>SUMPRODUCT(('3-Primes &amp; Indemnités'!$F$5:$F$104=H21)*('3-Primes &amp; Indemnités'!$L$5:$L$104))</f>
        <v/>
      </c>
    </row>
    <row r="22">
      <c r="B22" s="10" t="inlineStr">
        <is>
          <t>Entretien &amp; Maintenance</t>
        </is>
      </c>
      <c r="C22" s="11">
        <f>SUMPRODUCT(('_Données Employés'!$K$5:$K$114="Entretien &amp; Maintenance")*('_Données Employés'!$R$5:$R$114))</f>
        <v/>
      </c>
      <c r="D22" s="12">
        <f>COUNTIF('_Données Employés'!$K$5:$K$114,"Entretien &amp; Maintenance")</f>
        <v/>
      </c>
    </row>
  </sheetData>
  <mergeCells count="2">
    <mergeCell ref="B3:K3"/>
    <mergeCell ref="B2:K2"/>
  </mergeCells>
  <conditionalFormatting sqref="B6">
    <cfRule type="cellIs" priority="1" operator="greaterThan" dxfId="0">
      <formula>0</formula>
    </cfRule>
  </conditionalFormatting>
  <conditionalFormatting sqref="D6">
    <cfRule type="cellIs" priority="2" operator="greaterThan" dxfId="0">
      <formula>0</formula>
    </cfRule>
  </conditionalFormatting>
  <conditionalFormatting sqref="G6">
    <cfRule type="cellIs" priority="3" operator="greaterThan" dxfId="0">
      <formula>0</formula>
    </cfRule>
  </conditionalFormatting>
  <conditionalFormatting sqref="I6">
    <cfRule type="cellIs" priority="4" operator="greaterThan" dxfId="0">
      <formula>0</formula>
    </cfRule>
  </conditionalFormatting>
  <conditionalFormatting sqref="B9">
    <cfRule type="cellIs" priority="5" operator="greaterThan" dxfId="0">
      <formula>0</formula>
    </cfRule>
  </conditionalFormatting>
  <conditionalFormatting sqref="D9">
    <cfRule type="cellIs" priority="6" operator="greaterThan" dxfId="0">
      <formula>0</formula>
    </cfRule>
  </conditionalFormatting>
  <conditionalFormatting sqref="G9">
    <cfRule type="cellIs" priority="7" operator="greaterThan" dxfId="0">
      <formula>0</formula>
    </cfRule>
  </conditionalFormatting>
  <conditionalFormatting sqref="I9">
    <cfRule type="cellIs" priority="8" operator="greaterThan" dxfId="0">
      <formula>0</formula>
    </cfRule>
  </conditionalFormatting>
  <conditionalFormatting sqref="B12">
    <cfRule type="cellIs" priority="9" operator="greaterThan" dxfId="0">
      <formula>0</formula>
    </cfRule>
  </conditionalFormatting>
  <conditionalFormatting sqref="D12">
    <cfRule type="cellIs" priority="10" operator="greaterThan" dxfId="0">
      <formula>0</formula>
    </cfRule>
  </conditionalFormatting>
  <conditionalFormatting sqref="G12">
    <cfRule type="cellIs" priority="11" operator="greaterThan" dxfId="0">
      <formula>0</formula>
    </cfRule>
  </conditionalFormatting>
  <conditionalFormatting sqref="I12">
    <cfRule type="cellIs" priority="12" operator="greater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10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8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  <col width="18" customWidth="1" min="9" max="9"/>
    <col width="10" customWidth="1" min="10" max="10"/>
    <col width="18" customWidth="1" min="11" max="11"/>
    <col width="18" customWidth="1" min="12" max="12"/>
    <col width="10" customWidth="1" min="13" max="13"/>
  </cols>
  <sheetData>
    <row r="1" ht="15" customHeight="1"/>
    <row r="2" ht="32" customHeight="1">
      <c r="B2" s="13" t="inlineStr">
        <is>
          <t>PAIE — 1-Grille Salariale</t>
        </is>
      </c>
    </row>
    <row r="3" ht="8" customHeight="1"/>
    <row r="4" ht="28" customHeight="1">
      <c r="B4" s="14" t="inlineStr">
        <is>
          <t>N° Grille</t>
        </is>
      </c>
      <c r="C4" s="14" t="inlineStr">
        <is>
          <t>Poste</t>
        </is>
      </c>
      <c r="D4" s="14" t="inlineStr">
        <is>
          <t>Département</t>
        </is>
      </c>
      <c r="E4" s="14" t="inlineStr">
        <is>
          <t>Catégorie</t>
        </is>
      </c>
      <c r="F4" s="14" t="inlineStr">
        <is>
          <t>Échelon</t>
        </is>
      </c>
      <c r="G4" s="14" t="inlineStr">
        <is>
          <t>Salaire Base (FCFA)</t>
        </is>
      </c>
      <c r="H4" s="14" t="inlineStr">
        <is>
          <t>Prime Ancienneté (FCFA)</t>
        </is>
      </c>
      <c r="I4" s="14" t="inlineStr">
        <is>
          <t>Salaire Total (FCFA)</t>
        </is>
      </c>
      <c r="J4" s="14" t="inlineStr">
        <is>
          <t>Nb Postes</t>
        </is>
      </c>
      <c r="K4" s="14" t="inlineStr">
        <is>
          <t>Masse Poste (FCFA)</t>
        </is>
      </c>
      <c r="L4" s="14" t="inlineStr">
        <is>
          <t>Salaire Marché (FCFA)</t>
        </is>
      </c>
      <c r="M4" s="14" t="inlineStr">
        <is>
          <t>Statut</t>
        </is>
      </c>
    </row>
    <row r="5" ht="22" customHeight="1">
      <c r="B5" s="15" t="inlineStr">
        <is>
          <t>GR-001</t>
        </is>
      </c>
      <c r="C5" s="15" t="inlineStr">
        <is>
          <t>DRH</t>
        </is>
      </c>
      <c r="D5" s="15" t="inlineStr">
        <is>
          <t>Ressources Humaines</t>
        </is>
      </c>
      <c r="E5" s="15" t="inlineStr">
        <is>
          <t>Cadre superieur</t>
        </is>
      </c>
      <c r="F5" s="15" t="inlineStr">
        <is>
          <t>Echelon 5</t>
        </is>
      </c>
      <c r="G5" s="16" t="n">
        <v>635000</v>
      </c>
      <c r="H5" s="16" t="n">
        <v>31750</v>
      </c>
      <c r="I5" s="16" t="n">
        <v>666750</v>
      </c>
      <c r="J5" s="16" t="n">
        <v>1</v>
      </c>
      <c r="K5" s="16" t="n">
        <v>666750</v>
      </c>
      <c r="L5" s="16" t="n">
        <v>700000</v>
      </c>
      <c r="M5" s="15" t="inlineStr">
        <is>
          <t>Actif</t>
        </is>
      </c>
    </row>
    <row r="6" ht="22" customHeight="1">
      <c r="B6" s="17" t="inlineStr">
        <is>
          <t>GR-002</t>
        </is>
      </c>
      <c r="C6" s="17" t="inlineStr">
        <is>
          <t>Chef Comptable</t>
        </is>
      </c>
      <c r="D6" s="17" t="inlineStr">
        <is>
          <t>Finance &amp; Comptabilite</t>
        </is>
      </c>
      <c r="E6" s="17" t="inlineStr">
        <is>
          <t>Cadre</t>
        </is>
      </c>
      <c r="F6" s="17" t="inlineStr">
        <is>
          <t>Echelon 4</t>
        </is>
      </c>
      <c r="G6" s="18" t="n">
        <v>484000</v>
      </c>
      <c r="H6" s="18" t="n">
        <v>24200</v>
      </c>
      <c r="I6" s="18" t="n">
        <v>508200</v>
      </c>
      <c r="J6" s="18" t="n">
        <v>1</v>
      </c>
      <c r="K6" s="18" t="n">
        <v>508200</v>
      </c>
      <c r="L6" s="18" t="n">
        <v>520000</v>
      </c>
      <c r="M6" s="17" t="inlineStr">
        <is>
          <t>Actif</t>
        </is>
      </c>
    </row>
    <row r="7" ht="22" customHeight="1">
      <c r="B7" s="15" t="inlineStr">
        <is>
          <t>GR-003</t>
        </is>
      </c>
      <c r="C7" s="15" t="inlineStr">
        <is>
          <t>Receptionniste</t>
        </is>
      </c>
      <c r="D7" s="15" t="inlineStr">
        <is>
          <t>Reception &amp; Front Office</t>
        </is>
      </c>
      <c r="E7" s="15" t="inlineStr">
        <is>
          <t>Employe</t>
        </is>
      </c>
      <c r="F7" s="15" t="inlineStr">
        <is>
          <t>Echelon 3</t>
        </is>
      </c>
      <c r="G7" s="16" t="n">
        <v>207000</v>
      </c>
      <c r="H7" s="16" t="n">
        <v>10350</v>
      </c>
      <c r="I7" s="16" t="n">
        <v>217350</v>
      </c>
      <c r="J7" s="16" t="n">
        <v>6</v>
      </c>
      <c r="K7" s="16" t="n">
        <v>1304100</v>
      </c>
      <c r="L7" s="16" t="n">
        <v>220000</v>
      </c>
      <c r="M7" s="15" t="inlineStr">
        <is>
          <t>Actif</t>
        </is>
      </c>
    </row>
    <row r="8" ht="22" customHeight="1">
      <c r="B8" s="17" t="inlineStr">
        <is>
          <t>GR-004</t>
        </is>
      </c>
      <c r="C8" s="17" t="inlineStr">
        <is>
          <t>Chef cuisinier</t>
        </is>
      </c>
      <c r="D8" s="17" t="inlineStr">
        <is>
          <t>Cuisine &amp; Restauration</t>
        </is>
      </c>
      <c r="E8" s="17" t="inlineStr">
        <is>
          <t>Maitrise</t>
        </is>
      </c>
      <c r="F8" s="17" t="inlineStr">
        <is>
          <t>Echelon 3</t>
        </is>
      </c>
      <c r="G8" s="18" t="n">
        <v>253000</v>
      </c>
      <c r="H8" s="18" t="n">
        <v>12650</v>
      </c>
      <c r="I8" s="18" t="n">
        <v>265650</v>
      </c>
      <c r="J8" s="18" t="n">
        <v>5</v>
      </c>
      <c r="K8" s="18" t="n">
        <v>1328250</v>
      </c>
      <c r="L8" s="18" t="n">
        <v>260000</v>
      </c>
      <c r="M8" s="17" t="inlineStr">
        <is>
          <t>Actif</t>
        </is>
      </c>
    </row>
    <row r="9" ht="22" customHeight="1">
      <c r="B9" s="15" t="inlineStr">
        <is>
          <t>GR-005</t>
        </is>
      </c>
      <c r="C9" s="15" t="inlineStr">
        <is>
          <t>Agent securite</t>
        </is>
      </c>
      <c r="D9" s="15" t="inlineStr">
        <is>
          <t>Securite</t>
        </is>
      </c>
      <c r="E9" s="15" t="inlineStr">
        <is>
          <t>Ouvrier</t>
        </is>
      </c>
      <c r="F9" s="15" t="inlineStr">
        <is>
          <t>Echelon 2</t>
        </is>
      </c>
      <c r="G9" s="16" t="n">
        <v>149500</v>
      </c>
      <c r="H9" s="16" t="n">
        <v>7475</v>
      </c>
      <c r="I9" s="16" t="n">
        <v>156975</v>
      </c>
      <c r="J9" s="16" t="n">
        <v>4</v>
      </c>
      <c r="K9" s="16" t="n">
        <v>627900</v>
      </c>
      <c r="L9" s="16" t="n">
        <v>145000</v>
      </c>
      <c r="M9" s="15" t="inlineStr">
        <is>
          <t>Actif</t>
        </is>
      </c>
    </row>
    <row r="10" ht="22" customHeight="1">
      <c r="B10" s="19">
        <f>IF(C10="","GR"&amp;TEXT(COUNTA($C$5:C10),"000"))</f>
        <v/>
      </c>
      <c r="C10" s="19" t="n"/>
      <c r="D10" s="19" t="n"/>
      <c r="E10" s="19" t="n"/>
      <c r="F10" s="19" t="n"/>
      <c r="G10" s="19" t="n"/>
      <c r="H10" s="20">
        <f>IF(F10="","",IFERROR(F10*0.05,0))</f>
        <v/>
      </c>
      <c r="I10" s="20">
        <f>IF(F10="","",IFERROR(F10+G10,0))</f>
        <v/>
      </c>
      <c r="J10" s="19" t="n"/>
      <c r="K10" s="20">
        <f>IF(OR(F10="",I10=""),"",IFERROR(H10*I10,0))</f>
        <v/>
      </c>
      <c r="L10" s="19" t="n"/>
      <c r="M10" s="19" t="n"/>
    </row>
    <row r="11" ht="22" customHeight="1">
      <c r="B11" s="21">
        <f>IF(C11="","GR"&amp;TEXT(COUNTA($C$5:C11),"000"))</f>
        <v/>
      </c>
      <c r="C11" s="21" t="n"/>
      <c r="D11" s="21" t="n"/>
      <c r="E11" s="21" t="n"/>
      <c r="F11" s="21" t="n"/>
      <c r="G11" s="21" t="n"/>
      <c r="H11" s="16">
        <f>IF(F11="","",IFERROR(F11*0.05,0))</f>
        <v/>
      </c>
      <c r="I11" s="16">
        <f>IF(F11="","",IFERROR(F11+G11,0))</f>
        <v/>
      </c>
      <c r="J11" s="21" t="n"/>
      <c r="K11" s="16">
        <f>IF(OR(F11="",I11=""),"",IFERROR(H11*I11,0))</f>
        <v/>
      </c>
      <c r="L11" s="21" t="n"/>
      <c r="M11" s="21" t="n"/>
    </row>
    <row r="12" ht="22" customHeight="1">
      <c r="B12" s="22">
        <f>IF(C12="","GR"&amp;TEXT(COUNTA($C$5:C12),"000"))</f>
        <v/>
      </c>
      <c r="C12" s="22" t="n"/>
      <c r="D12" s="22" t="n"/>
      <c r="E12" s="22" t="n"/>
      <c r="F12" s="22" t="n"/>
      <c r="G12" s="22" t="n"/>
      <c r="H12" s="18">
        <f>IF(F12="","",IFERROR(F12*0.05,0))</f>
        <v/>
      </c>
      <c r="I12" s="18">
        <f>IF(F12="","",IFERROR(F12+G12,0))</f>
        <v/>
      </c>
      <c r="J12" s="22" t="n"/>
      <c r="K12" s="18">
        <f>IF(OR(F12="",I12=""),"",IFERROR(H12*I12,0))</f>
        <v/>
      </c>
      <c r="L12" s="22" t="n"/>
      <c r="M12" s="22" t="n"/>
    </row>
    <row r="13" ht="22" customHeight="1">
      <c r="B13" s="21">
        <f>IF(C13="","GR"&amp;TEXT(COUNTA($C$5:C13),"000"))</f>
        <v/>
      </c>
      <c r="C13" s="21" t="n"/>
      <c r="D13" s="21" t="n"/>
      <c r="E13" s="21" t="n"/>
      <c r="F13" s="21" t="n"/>
      <c r="G13" s="21" t="n"/>
      <c r="H13" s="16">
        <f>IF(F13="","",IFERROR(F13*0.05,0))</f>
        <v/>
      </c>
      <c r="I13" s="16">
        <f>IF(F13="","",IFERROR(F13+G13,0))</f>
        <v/>
      </c>
      <c r="J13" s="21" t="n"/>
      <c r="K13" s="16">
        <f>IF(OR(F13="",I13=""),"",IFERROR(H13*I13,0))</f>
        <v/>
      </c>
      <c r="L13" s="21" t="n"/>
      <c r="M13" s="21" t="n"/>
    </row>
    <row r="14" ht="22" customHeight="1">
      <c r="B14" s="22">
        <f>IF(C14="","GR"&amp;TEXT(COUNTA($C$5:C14),"000"))</f>
        <v/>
      </c>
      <c r="C14" s="22" t="n"/>
      <c r="D14" s="22" t="n"/>
      <c r="E14" s="22" t="n"/>
      <c r="F14" s="22" t="n"/>
      <c r="G14" s="22" t="n"/>
      <c r="H14" s="18">
        <f>IF(F14="","",IFERROR(F14*0.05,0))</f>
        <v/>
      </c>
      <c r="I14" s="18">
        <f>IF(F14="","",IFERROR(F14+G14,0))</f>
        <v/>
      </c>
      <c r="J14" s="22" t="n"/>
      <c r="K14" s="18">
        <f>IF(OR(F14="",I14=""),"",IFERROR(H14*I14,0))</f>
        <v/>
      </c>
      <c r="L14" s="22" t="n"/>
      <c r="M14" s="22" t="n"/>
    </row>
    <row r="15" ht="22" customHeight="1">
      <c r="B15" s="21">
        <f>IF(C15="","GR"&amp;TEXT(COUNTA($C$5:C15),"000"))</f>
        <v/>
      </c>
      <c r="C15" s="21" t="n"/>
      <c r="D15" s="21" t="n"/>
      <c r="E15" s="21" t="n"/>
      <c r="F15" s="21" t="n"/>
      <c r="G15" s="21" t="n"/>
      <c r="H15" s="16">
        <f>IF(F15="","",IFERROR(F15*0.05,0))</f>
        <v/>
      </c>
      <c r="I15" s="16">
        <f>IF(F15="","",IFERROR(F15+G15,0))</f>
        <v/>
      </c>
      <c r="J15" s="21" t="n"/>
      <c r="K15" s="16">
        <f>IF(OR(F15="",I15=""),"",IFERROR(H15*I15,0))</f>
        <v/>
      </c>
      <c r="L15" s="21" t="n"/>
      <c r="M15" s="21" t="n"/>
    </row>
    <row r="16" ht="22" customHeight="1">
      <c r="B16" s="22">
        <f>IF(C16="","GR"&amp;TEXT(COUNTA($C$5:C16),"000"))</f>
        <v/>
      </c>
      <c r="C16" s="22" t="n"/>
      <c r="D16" s="22" t="n"/>
      <c r="E16" s="22" t="n"/>
      <c r="F16" s="22" t="n"/>
      <c r="G16" s="22" t="n"/>
      <c r="H16" s="18">
        <f>IF(F16="","",IFERROR(F16*0.05,0))</f>
        <v/>
      </c>
      <c r="I16" s="18">
        <f>IF(F16="","",IFERROR(F16+G16,0))</f>
        <v/>
      </c>
      <c r="J16" s="22" t="n"/>
      <c r="K16" s="18">
        <f>IF(OR(F16="",I16=""),"",IFERROR(H16*I16,0))</f>
        <v/>
      </c>
      <c r="L16" s="22" t="n"/>
      <c r="M16" s="22" t="n"/>
    </row>
    <row r="17" ht="22" customHeight="1">
      <c r="B17" s="21">
        <f>IF(C17="","GR"&amp;TEXT(COUNTA($C$5:C17),"000"))</f>
        <v/>
      </c>
      <c r="C17" s="21" t="n"/>
      <c r="D17" s="21" t="n"/>
      <c r="E17" s="21" t="n"/>
      <c r="F17" s="21" t="n"/>
      <c r="G17" s="21" t="n"/>
      <c r="H17" s="16">
        <f>IF(F17="","",IFERROR(F17*0.05,0))</f>
        <v/>
      </c>
      <c r="I17" s="16">
        <f>IF(F17="","",IFERROR(F17+G17,0))</f>
        <v/>
      </c>
      <c r="J17" s="21" t="n"/>
      <c r="K17" s="16">
        <f>IF(OR(F17="",I17=""),"",IFERROR(H17*I17,0))</f>
        <v/>
      </c>
      <c r="L17" s="21" t="n"/>
      <c r="M17" s="21" t="n"/>
    </row>
    <row r="18" ht="22" customHeight="1">
      <c r="B18" s="22">
        <f>IF(C18="","GR"&amp;TEXT(COUNTA($C$5:C18),"000"))</f>
        <v/>
      </c>
      <c r="C18" s="22" t="n"/>
      <c r="D18" s="22" t="n"/>
      <c r="E18" s="22" t="n"/>
      <c r="F18" s="22" t="n"/>
      <c r="G18" s="22" t="n"/>
      <c r="H18" s="18">
        <f>IF(F18="","",IFERROR(F18*0.05,0))</f>
        <v/>
      </c>
      <c r="I18" s="18">
        <f>IF(F18="","",IFERROR(F18+G18,0))</f>
        <v/>
      </c>
      <c r="J18" s="22" t="n"/>
      <c r="K18" s="18">
        <f>IF(OR(F18="",I18=""),"",IFERROR(H18*I18,0))</f>
        <v/>
      </c>
      <c r="L18" s="22" t="n"/>
      <c r="M18" s="22" t="n"/>
    </row>
    <row r="19" ht="22" customHeight="1">
      <c r="B19" s="21">
        <f>IF(C19="","GR"&amp;TEXT(COUNTA($C$5:C19),"000"))</f>
        <v/>
      </c>
      <c r="C19" s="21" t="n"/>
      <c r="D19" s="21" t="n"/>
      <c r="E19" s="21" t="n"/>
      <c r="F19" s="21" t="n"/>
      <c r="G19" s="21" t="n"/>
      <c r="H19" s="16">
        <f>IF(F19="","",IFERROR(F19*0.05,0))</f>
        <v/>
      </c>
      <c r="I19" s="16">
        <f>IF(F19="","",IFERROR(F19+G19,0))</f>
        <v/>
      </c>
      <c r="J19" s="21" t="n"/>
      <c r="K19" s="16">
        <f>IF(OR(F19="",I19=""),"",IFERROR(H19*I19,0))</f>
        <v/>
      </c>
      <c r="L19" s="21" t="n"/>
      <c r="M19" s="21" t="n"/>
    </row>
    <row r="20" ht="22" customHeight="1">
      <c r="B20" s="22">
        <f>IF(C20="","GR"&amp;TEXT(COUNTA($C$5:C20),"000"))</f>
        <v/>
      </c>
      <c r="C20" s="22" t="n"/>
      <c r="D20" s="22" t="n"/>
      <c r="E20" s="22" t="n"/>
      <c r="F20" s="22" t="n"/>
      <c r="G20" s="22" t="n"/>
      <c r="H20" s="18">
        <f>IF(F20="","",IFERROR(F20*0.05,0))</f>
        <v/>
      </c>
      <c r="I20" s="18">
        <f>IF(F20="","",IFERROR(F20+G20,0))</f>
        <v/>
      </c>
      <c r="J20" s="22" t="n"/>
      <c r="K20" s="18">
        <f>IF(OR(F20="",I20=""),"",IFERROR(H20*I20,0))</f>
        <v/>
      </c>
      <c r="L20" s="22" t="n"/>
      <c r="M20" s="22" t="n"/>
    </row>
    <row r="21" ht="22" customHeight="1">
      <c r="B21" s="21">
        <f>IF(C21="","GR"&amp;TEXT(COUNTA($C$5:C21),"000"))</f>
        <v/>
      </c>
      <c r="C21" s="21" t="n"/>
      <c r="D21" s="21" t="n"/>
      <c r="E21" s="21" t="n"/>
      <c r="F21" s="21" t="n"/>
      <c r="G21" s="21" t="n"/>
      <c r="H21" s="16">
        <f>IF(F21="","",IFERROR(F21*0.05,0))</f>
        <v/>
      </c>
      <c r="I21" s="16">
        <f>IF(F21="","",IFERROR(F21+G21,0))</f>
        <v/>
      </c>
      <c r="J21" s="21" t="n"/>
      <c r="K21" s="16">
        <f>IF(OR(F21="",I21=""),"",IFERROR(H21*I21,0))</f>
        <v/>
      </c>
      <c r="L21" s="21" t="n"/>
      <c r="M21" s="21" t="n"/>
    </row>
    <row r="22" ht="22" customHeight="1">
      <c r="B22" s="22">
        <f>IF(C22="","GR"&amp;TEXT(COUNTA($C$5:C22),"000"))</f>
        <v/>
      </c>
      <c r="C22" s="22" t="n"/>
      <c r="D22" s="22" t="n"/>
      <c r="E22" s="22" t="n"/>
      <c r="F22" s="22" t="n"/>
      <c r="G22" s="22" t="n"/>
      <c r="H22" s="18">
        <f>IF(F22="","",IFERROR(F22*0.05,0))</f>
        <v/>
      </c>
      <c r="I22" s="18">
        <f>IF(F22="","",IFERROR(F22+G22,0))</f>
        <v/>
      </c>
      <c r="J22" s="22" t="n"/>
      <c r="K22" s="18">
        <f>IF(OR(F22="",I22=""),"",IFERROR(H22*I22,0))</f>
        <v/>
      </c>
      <c r="L22" s="22" t="n"/>
      <c r="M22" s="22" t="n"/>
    </row>
    <row r="23" ht="22" customHeight="1">
      <c r="B23" s="21">
        <f>IF(C23="","GR"&amp;TEXT(COUNTA($C$5:C23),"000"))</f>
        <v/>
      </c>
      <c r="C23" s="21" t="n"/>
      <c r="D23" s="21" t="n"/>
      <c r="E23" s="21" t="n"/>
      <c r="F23" s="21" t="n"/>
      <c r="G23" s="21" t="n"/>
      <c r="H23" s="16">
        <f>IF(F23="","",IFERROR(F23*0.05,0))</f>
        <v/>
      </c>
      <c r="I23" s="16">
        <f>IF(F23="","",IFERROR(F23+G23,0))</f>
        <v/>
      </c>
      <c r="J23" s="21" t="n"/>
      <c r="K23" s="16">
        <f>IF(OR(F23="",I23=""),"",IFERROR(H23*I23,0))</f>
        <v/>
      </c>
      <c r="L23" s="21" t="n"/>
      <c r="M23" s="21" t="n"/>
    </row>
    <row r="24" ht="22" customHeight="1">
      <c r="B24" s="22">
        <f>IF(C24="","GR"&amp;TEXT(COUNTA($C$5:C24),"000"))</f>
        <v/>
      </c>
      <c r="C24" s="22" t="n"/>
      <c r="D24" s="22" t="n"/>
      <c r="E24" s="22" t="n"/>
      <c r="F24" s="22" t="n"/>
      <c r="G24" s="22" t="n"/>
      <c r="H24" s="18">
        <f>IF(F24="","",IFERROR(F24*0.05,0))</f>
        <v/>
      </c>
      <c r="I24" s="18">
        <f>IF(F24="","",IFERROR(F24+G24,0))</f>
        <v/>
      </c>
      <c r="J24" s="22" t="n"/>
      <c r="K24" s="18">
        <f>IF(OR(F24="",I24=""),"",IFERROR(H24*I24,0))</f>
        <v/>
      </c>
      <c r="L24" s="22" t="n"/>
      <c r="M24" s="22" t="n"/>
    </row>
    <row r="25" ht="22" customHeight="1">
      <c r="B25" s="21">
        <f>IF(C25="","GR"&amp;TEXT(COUNTA($C$5:C25),"000"))</f>
        <v/>
      </c>
      <c r="C25" s="21" t="n"/>
      <c r="D25" s="21" t="n"/>
      <c r="E25" s="21" t="n"/>
      <c r="F25" s="21" t="n"/>
      <c r="G25" s="21" t="n"/>
      <c r="H25" s="16">
        <f>IF(F25="","",IFERROR(F25*0.05,0))</f>
        <v/>
      </c>
      <c r="I25" s="16">
        <f>IF(F25="","",IFERROR(F25+G25,0))</f>
        <v/>
      </c>
      <c r="J25" s="21" t="n"/>
      <c r="K25" s="16">
        <f>IF(OR(F25="",I25=""),"",IFERROR(H25*I25,0))</f>
        <v/>
      </c>
      <c r="L25" s="21" t="n"/>
      <c r="M25" s="21" t="n"/>
    </row>
    <row r="26" ht="22" customHeight="1">
      <c r="B26" s="22">
        <f>IF(C26="","GR"&amp;TEXT(COUNTA($C$5:C26),"000"))</f>
        <v/>
      </c>
      <c r="C26" s="22" t="n"/>
      <c r="D26" s="22" t="n"/>
      <c r="E26" s="22" t="n"/>
      <c r="F26" s="22" t="n"/>
      <c r="G26" s="22" t="n"/>
      <c r="H26" s="18">
        <f>IF(F26="","",IFERROR(F26*0.05,0))</f>
        <v/>
      </c>
      <c r="I26" s="18">
        <f>IF(F26="","",IFERROR(F26+G26,0))</f>
        <v/>
      </c>
      <c r="J26" s="22" t="n"/>
      <c r="K26" s="18">
        <f>IF(OR(F26="",I26=""),"",IFERROR(H26*I26,0))</f>
        <v/>
      </c>
      <c r="L26" s="22" t="n"/>
      <c r="M26" s="22" t="n"/>
    </row>
    <row r="27" ht="22" customHeight="1">
      <c r="B27" s="21">
        <f>IF(C27="","GR"&amp;TEXT(COUNTA($C$5:C27),"000"))</f>
        <v/>
      </c>
      <c r="C27" s="21" t="n"/>
      <c r="D27" s="21" t="n"/>
      <c r="E27" s="21" t="n"/>
      <c r="F27" s="21" t="n"/>
      <c r="G27" s="21" t="n"/>
      <c r="H27" s="16">
        <f>IF(F27="","",IFERROR(F27*0.05,0))</f>
        <v/>
      </c>
      <c r="I27" s="16">
        <f>IF(F27="","",IFERROR(F27+G27,0))</f>
        <v/>
      </c>
      <c r="J27" s="21" t="n"/>
      <c r="K27" s="16">
        <f>IF(OR(F27="",I27=""),"",IFERROR(H27*I27,0))</f>
        <v/>
      </c>
      <c r="L27" s="21" t="n"/>
      <c r="M27" s="21" t="n"/>
    </row>
    <row r="28" ht="22" customHeight="1">
      <c r="B28" s="22">
        <f>IF(C28="","GR"&amp;TEXT(COUNTA($C$5:C28),"000"))</f>
        <v/>
      </c>
      <c r="C28" s="22" t="n"/>
      <c r="D28" s="22" t="n"/>
      <c r="E28" s="22" t="n"/>
      <c r="F28" s="22" t="n"/>
      <c r="G28" s="22" t="n"/>
      <c r="H28" s="18">
        <f>IF(F28="","",IFERROR(F28*0.05,0))</f>
        <v/>
      </c>
      <c r="I28" s="18">
        <f>IF(F28="","",IFERROR(F28+G28,0))</f>
        <v/>
      </c>
      <c r="J28" s="22" t="n"/>
      <c r="K28" s="18">
        <f>IF(OR(F28="",I28=""),"",IFERROR(H28*I28,0))</f>
        <v/>
      </c>
      <c r="L28" s="22" t="n"/>
      <c r="M28" s="22" t="n"/>
    </row>
    <row r="29" ht="22" customHeight="1">
      <c r="B29" s="21">
        <f>IF(C29="","GR"&amp;TEXT(COUNTA($C$5:C29),"000"))</f>
        <v/>
      </c>
      <c r="C29" s="21" t="n"/>
      <c r="D29" s="21" t="n"/>
      <c r="E29" s="21" t="n"/>
      <c r="F29" s="21" t="n"/>
      <c r="G29" s="21" t="n"/>
      <c r="H29" s="16">
        <f>IF(F29="","",IFERROR(F29*0.05,0))</f>
        <v/>
      </c>
      <c r="I29" s="16">
        <f>IF(F29="","",IFERROR(F29+G29,0))</f>
        <v/>
      </c>
      <c r="J29" s="21" t="n"/>
      <c r="K29" s="16">
        <f>IF(OR(F29="",I29=""),"",IFERROR(H29*I29,0))</f>
        <v/>
      </c>
      <c r="L29" s="21" t="n"/>
      <c r="M29" s="21" t="n"/>
    </row>
    <row r="30" ht="22" customHeight="1">
      <c r="B30" s="22">
        <f>IF(C30="","GR"&amp;TEXT(COUNTA($C$5:C30),"000"))</f>
        <v/>
      </c>
      <c r="C30" s="22" t="n"/>
      <c r="D30" s="22" t="n"/>
      <c r="E30" s="22" t="n"/>
      <c r="F30" s="22" t="n"/>
      <c r="G30" s="22" t="n"/>
      <c r="H30" s="18">
        <f>IF(F30="","",IFERROR(F30*0.05,0))</f>
        <v/>
      </c>
      <c r="I30" s="18">
        <f>IF(F30="","",IFERROR(F30+G30,0))</f>
        <v/>
      </c>
      <c r="J30" s="22" t="n"/>
      <c r="K30" s="18">
        <f>IF(OR(F30="",I30=""),"",IFERROR(H30*I30,0))</f>
        <v/>
      </c>
      <c r="L30" s="22" t="n"/>
      <c r="M30" s="22" t="n"/>
    </row>
    <row r="31" ht="22" customHeight="1">
      <c r="B31" s="21">
        <f>IF(C31="","GR"&amp;TEXT(COUNTA($C$5:C31),"000"))</f>
        <v/>
      </c>
      <c r="C31" s="21" t="n"/>
      <c r="D31" s="21" t="n"/>
      <c r="E31" s="21" t="n"/>
      <c r="F31" s="21" t="n"/>
      <c r="G31" s="21" t="n"/>
      <c r="H31" s="16">
        <f>IF(F31="","",IFERROR(F31*0.05,0))</f>
        <v/>
      </c>
      <c r="I31" s="16">
        <f>IF(F31="","",IFERROR(F31+G31,0))</f>
        <v/>
      </c>
      <c r="J31" s="21" t="n"/>
      <c r="K31" s="16">
        <f>IF(OR(F31="",I31=""),"",IFERROR(H31*I31,0))</f>
        <v/>
      </c>
      <c r="L31" s="21" t="n"/>
      <c r="M31" s="21" t="n"/>
    </row>
    <row r="32" ht="22" customHeight="1">
      <c r="B32" s="22">
        <f>IF(C32="","GR"&amp;TEXT(COUNTA($C$5:C32),"000"))</f>
        <v/>
      </c>
      <c r="C32" s="22" t="n"/>
      <c r="D32" s="22" t="n"/>
      <c r="E32" s="22" t="n"/>
      <c r="F32" s="22" t="n"/>
      <c r="G32" s="22" t="n"/>
      <c r="H32" s="18">
        <f>IF(F32="","",IFERROR(F32*0.05,0))</f>
        <v/>
      </c>
      <c r="I32" s="18">
        <f>IF(F32="","",IFERROR(F32+G32,0))</f>
        <v/>
      </c>
      <c r="J32" s="22" t="n"/>
      <c r="K32" s="18">
        <f>IF(OR(F32="",I32=""),"",IFERROR(H32*I32,0))</f>
        <v/>
      </c>
      <c r="L32" s="22" t="n"/>
      <c r="M32" s="22" t="n"/>
    </row>
    <row r="33" ht="22" customHeight="1">
      <c r="B33" s="21">
        <f>IF(C33="","GR"&amp;TEXT(COUNTA($C$5:C33),"000"))</f>
        <v/>
      </c>
      <c r="C33" s="21" t="n"/>
      <c r="D33" s="21" t="n"/>
      <c r="E33" s="21" t="n"/>
      <c r="F33" s="21" t="n"/>
      <c r="G33" s="21" t="n"/>
      <c r="H33" s="16">
        <f>IF(F33="","",IFERROR(F33*0.05,0))</f>
        <v/>
      </c>
      <c r="I33" s="16">
        <f>IF(F33="","",IFERROR(F33+G33,0))</f>
        <v/>
      </c>
      <c r="J33" s="21" t="n"/>
      <c r="K33" s="16">
        <f>IF(OR(F33="",I33=""),"",IFERROR(H33*I33,0))</f>
        <v/>
      </c>
      <c r="L33" s="21" t="n"/>
      <c r="M33" s="21" t="n"/>
    </row>
    <row r="34" ht="22" customHeight="1">
      <c r="B34" s="22">
        <f>IF(C34="","GR"&amp;TEXT(COUNTA($C$5:C34),"000"))</f>
        <v/>
      </c>
      <c r="C34" s="22" t="n"/>
      <c r="D34" s="22" t="n"/>
      <c r="E34" s="22" t="n"/>
      <c r="F34" s="22" t="n"/>
      <c r="G34" s="22" t="n"/>
      <c r="H34" s="18">
        <f>IF(F34="","",IFERROR(F34*0.05,0))</f>
        <v/>
      </c>
      <c r="I34" s="18">
        <f>IF(F34="","",IFERROR(F34+G34,0))</f>
        <v/>
      </c>
      <c r="J34" s="22" t="n"/>
      <c r="K34" s="18">
        <f>IF(OR(F34="",I34=""),"",IFERROR(H34*I34,0))</f>
        <v/>
      </c>
      <c r="L34" s="22" t="n"/>
      <c r="M34" s="22" t="n"/>
    </row>
    <row r="35" ht="22" customHeight="1">
      <c r="B35" s="21">
        <f>IF(C35="","GR"&amp;TEXT(COUNTA($C$5:C35),"000"))</f>
        <v/>
      </c>
      <c r="C35" s="21" t="n"/>
      <c r="D35" s="21" t="n"/>
      <c r="E35" s="21" t="n"/>
      <c r="F35" s="21" t="n"/>
      <c r="G35" s="21" t="n"/>
      <c r="H35" s="16">
        <f>IF(F35="","",IFERROR(F35*0.05,0))</f>
        <v/>
      </c>
      <c r="I35" s="16">
        <f>IF(F35="","",IFERROR(F35+G35,0))</f>
        <v/>
      </c>
      <c r="J35" s="21" t="n"/>
      <c r="K35" s="16">
        <f>IF(OR(F35="",I35=""),"",IFERROR(H35*I35,0))</f>
        <v/>
      </c>
      <c r="L35" s="21" t="n"/>
      <c r="M35" s="21" t="n"/>
    </row>
    <row r="36" ht="22" customHeight="1">
      <c r="B36" s="22">
        <f>IF(C36="","GR"&amp;TEXT(COUNTA($C$5:C36),"000"))</f>
        <v/>
      </c>
      <c r="C36" s="22" t="n"/>
      <c r="D36" s="22" t="n"/>
      <c r="E36" s="22" t="n"/>
      <c r="F36" s="22" t="n"/>
      <c r="G36" s="22" t="n"/>
      <c r="H36" s="18">
        <f>IF(F36="","",IFERROR(F36*0.05,0))</f>
        <v/>
      </c>
      <c r="I36" s="18">
        <f>IF(F36="","",IFERROR(F36+G36,0))</f>
        <v/>
      </c>
      <c r="J36" s="22" t="n"/>
      <c r="K36" s="18">
        <f>IF(OR(F36="",I36=""),"",IFERROR(H36*I36,0))</f>
        <v/>
      </c>
      <c r="L36" s="22" t="n"/>
      <c r="M36" s="22" t="n"/>
    </row>
    <row r="37" ht="22" customHeight="1">
      <c r="B37" s="21">
        <f>IF(C37="","GR"&amp;TEXT(COUNTA($C$5:C37),"000"))</f>
        <v/>
      </c>
      <c r="C37" s="21" t="n"/>
      <c r="D37" s="21" t="n"/>
      <c r="E37" s="21" t="n"/>
      <c r="F37" s="21" t="n"/>
      <c r="G37" s="21" t="n"/>
      <c r="H37" s="16">
        <f>IF(F37="","",IFERROR(F37*0.05,0))</f>
        <v/>
      </c>
      <c r="I37" s="16">
        <f>IF(F37="","",IFERROR(F37+G37,0))</f>
        <v/>
      </c>
      <c r="J37" s="21" t="n"/>
      <c r="K37" s="16">
        <f>IF(OR(F37="",I37=""),"",IFERROR(H37*I37,0))</f>
        <v/>
      </c>
      <c r="L37" s="21" t="n"/>
      <c r="M37" s="21" t="n"/>
    </row>
    <row r="38" ht="22" customHeight="1">
      <c r="B38" s="22">
        <f>IF(C38="","GR"&amp;TEXT(COUNTA($C$5:C38),"000"))</f>
        <v/>
      </c>
      <c r="C38" s="22" t="n"/>
      <c r="D38" s="22" t="n"/>
      <c r="E38" s="22" t="n"/>
      <c r="F38" s="22" t="n"/>
      <c r="G38" s="22" t="n"/>
      <c r="H38" s="18">
        <f>IF(F38="","",IFERROR(F38*0.05,0))</f>
        <v/>
      </c>
      <c r="I38" s="18">
        <f>IF(F38="","",IFERROR(F38+G38,0))</f>
        <v/>
      </c>
      <c r="J38" s="22" t="n"/>
      <c r="K38" s="18">
        <f>IF(OR(F38="",I38=""),"",IFERROR(H38*I38,0))</f>
        <v/>
      </c>
      <c r="L38" s="22" t="n"/>
      <c r="M38" s="22" t="n"/>
    </row>
    <row r="39" ht="22" customHeight="1">
      <c r="B39" s="21">
        <f>IF(C39="","GR"&amp;TEXT(COUNTA($C$5:C39),"000"))</f>
        <v/>
      </c>
      <c r="C39" s="21" t="n"/>
      <c r="D39" s="21" t="n"/>
      <c r="E39" s="21" t="n"/>
      <c r="F39" s="21" t="n"/>
      <c r="G39" s="21" t="n"/>
      <c r="H39" s="16">
        <f>IF(F39="","",IFERROR(F39*0.05,0))</f>
        <v/>
      </c>
      <c r="I39" s="16">
        <f>IF(F39="","",IFERROR(F39+G39,0))</f>
        <v/>
      </c>
      <c r="J39" s="21" t="n"/>
      <c r="K39" s="16">
        <f>IF(OR(F39="",I39=""),"",IFERROR(H39*I39,0))</f>
        <v/>
      </c>
      <c r="L39" s="21" t="n"/>
      <c r="M39" s="21" t="n"/>
    </row>
    <row r="40" ht="22" customHeight="1">
      <c r="B40" s="22">
        <f>IF(C40="","GR"&amp;TEXT(COUNTA($C$5:C40),"000"))</f>
        <v/>
      </c>
      <c r="C40" s="22" t="n"/>
      <c r="D40" s="22" t="n"/>
      <c r="E40" s="22" t="n"/>
      <c r="F40" s="22" t="n"/>
      <c r="G40" s="22" t="n"/>
      <c r="H40" s="18">
        <f>IF(F40="","",IFERROR(F40*0.05,0))</f>
        <v/>
      </c>
      <c r="I40" s="18">
        <f>IF(F40="","",IFERROR(F40+G40,0))</f>
        <v/>
      </c>
      <c r="J40" s="22" t="n"/>
      <c r="K40" s="18">
        <f>IF(OR(F40="",I40=""),"",IFERROR(H40*I40,0))</f>
        <v/>
      </c>
      <c r="L40" s="22" t="n"/>
      <c r="M40" s="22" t="n"/>
    </row>
    <row r="41" ht="22" customHeight="1">
      <c r="B41" s="21">
        <f>IF(C41="","GR"&amp;TEXT(COUNTA($C$5:C41),"000"))</f>
        <v/>
      </c>
      <c r="C41" s="21" t="n"/>
      <c r="D41" s="21" t="n"/>
      <c r="E41" s="21" t="n"/>
      <c r="F41" s="21" t="n"/>
      <c r="G41" s="21" t="n"/>
      <c r="H41" s="16">
        <f>IF(F41="","",IFERROR(F41*0.05,0))</f>
        <v/>
      </c>
      <c r="I41" s="16">
        <f>IF(F41="","",IFERROR(F41+G41,0))</f>
        <v/>
      </c>
      <c r="J41" s="21" t="n"/>
      <c r="K41" s="16">
        <f>IF(OR(F41="",I41=""),"",IFERROR(H41*I41,0))</f>
        <v/>
      </c>
      <c r="L41" s="21" t="n"/>
      <c r="M41" s="21" t="n"/>
    </row>
    <row r="42" ht="22" customHeight="1">
      <c r="B42" s="22">
        <f>IF(C42="","GR"&amp;TEXT(COUNTA($C$5:C42),"000"))</f>
        <v/>
      </c>
      <c r="C42" s="22" t="n"/>
      <c r="D42" s="22" t="n"/>
      <c r="E42" s="22" t="n"/>
      <c r="F42" s="22" t="n"/>
      <c r="G42" s="22" t="n"/>
      <c r="H42" s="18">
        <f>IF(F42="","",IFERROR(F42*0.05,0))</f>
        <v/>
      </c>
      <c r="I42" s="18">
        <f>IF(F42="","",IFERROR(F42+G42,0))</f>
        <v/>
      </c>
      <c r="J42" s="22" t="n"/>
      <c r="K42" s="18">
        <f>IF(OR(F42="",I42=""),"",IFERROR(H42*I42,0))</f>
        <v/>
      </c>
      <c r="L42" s="22" t="n"/>
      <c r="M42" s="22" t="n"/>
    </row>
    <row r="43" ht="22" customHeight="1">
      <c r="B43" s="21">
        <f>IF(C43="","GR"&amp;TEXT(COUNTA($C$5:C43),"000"))</f>
        <v/>
      </c>
      <c r="C43" s="21" t="n"/>
      <c r="D43" s="21" t="n"/>
      <c r="E43" s="21" t="n"/>
      <c r="F43" s="21" t="n"/>
      <c r="G43" s="21" t="n"/>
      <c r="H43" s="16">
        <f>IF(F43="","",IFERROR(F43*0.05,0))</f>
        <v/>
      </c>
      <c r="I43" s="16">
        <f>IF(F43="","",IFERROR(F43+G43,0))</f>
        <v/>
      </c>
      <c r="J43" s="21" t="n"/>
      <c r="K43" s="16">
        <f>IF(OR(F43="",I43=""),"",IFERROR(H43*I43,0))</f>
        <v/>
      </c>
      <c r="L43" s="21" t="n"/>
      <c r="M43" s="21" t="n"/>
    </row>
    <row r="44" ht="22" customHeight="1">
      <c r="B44" s="22">
        <f>IF(C44="","GR"&amp;TEXT(COUNTA($C$5:C44),"000"))</f>
        <v/>
      </c>
      <c r="C44" s="22" t="n"/>
      <c r="D44" s="22" t="n"/>
      <c r="E44" s="22" t="n"/>
      <c r="F44" s="22" t="n"/>
      <c r="G44" s="22" t="n"/>
      <c r="H44" s="18">
        <f>IF(F44="","",IFERROR(F44*0.05,0))</f>
        <v/>
      </c>
      <c r="I44" s="18">
        <f>IF(F44="","",IFERROR(F44+G44,0))</f>
        <v/>
      </c>
      <c r="J44" s="22" t="n"/>
      <c r="K44" s="18">
        <f>IF(OR(F44="",I44=""),"",IFERROR(H44*I44,0))</f>
        <v/>
      </c>
      <c r="L44" s="22" t="n"/>
      <c r="M44" s="22" t="n"/>
    </row>
    <row r="45" ht="22" customHeight="1">
      <c r="B45" s="21">
        <f>IF(C45="","GR"&amp;TEXT(COUNTA($C$5:C45),"000"))</f>
        <v/>
      </c>
      <c r="C45" s="21" t="n"/>
      <c r="D45" s="21" t="n"/>
      <c r="E45" s="21" t="n"/>
      <c r="F45" s="21" t="n"/>
      <c r="G45" s="21" t="n"/>
      <c r="H45" s="16">
        <f>IF(F45="","",IFERROR(F45*0.05,0))</f>
        <v/>
      </c>
      <c r="I45" s="16">
        <f>IF(F45="","",IFERROR(F45+G45,0))</f>
        <v/>
      </c>
      <c r="J45" s="21" t="n"/>
      <c r="K45" s="16">
        <f>IF(OR(F45="",I45=""),"",IFERROR(H45*I45,0))</f>
        <v/>
      </c>
      <c r="L45" s="21" t="n"/>
      <c r="M45" s="21" t="n"/>
    </row>
    <row r="46" ht="22" customHeight="1">
      <c r="B46" s="22">
        <f>IF(C46="","GR"&amp;TEXT(COUNTA($C$5:C46),"000"))</f>
        <v/>
      </c>
      <c r="C46" s="22" t="n"/>
      <c r="D46" s="22" t="n"/>
      <c r="E46" s="22" t="n"/>
      <c r="F46" s="22" t="n"/>
      <c r="G46" s="22" t="n"/>
      <c r="H46" s="18">
        <f>IF(F46="","",IFERROR(F46*0.05,0))</f>
        <v/>
      </c>
      <c r="I46" s="18">
        <f>IF(F46="","",IFERROR(F46+G46,0))</f>
        <v/>
      </c>
      <c r="J46" s="22" t="n"/>
      <c r="K46" s="18">
        <f>IF(OR(F46="",I46=""),"",IFERROR(H46*I46,0))</f>
        <v/>
      </c>
      <c r="L46" s="22" t="n"/>
      <c r="M46" s="22" t="n"/>
    </row>
    <row r="47" ht="22" customHeight="1">
      <c r="B47" s="21">
        <f>IF(C47="","GR"&amp;TEXT(COUNTA($C$5:C47),"000"))</f>
        <v/>
      </c>
      <c r="C47" s="21" t="n"/>
      <c r="D47" s="21" t="n"/>
      <c r="E47" s="21" t="n"/>
      <c r="F47" s="21" t="n"/>
      <c r="G47" s="21" t="n"/>
      <c r="H47" s="16">
        <f>IF(F47="","",IFERROR(F47*0.05,0))</f>
        <v/>
      </c>
      <c r="I47" s="16">
        <f>IF(F47="","",IFERROR(F47+G47,0))</f>
        <v/>
      </c>
      <c r="J47" s="21" t="n"/>
      <c r="K47" s="16">
        <f>IF(OR(F47="",I47=""),"",IFERROR(H47*I47,0))</f>
        <v/>
      </c>
      <c r="L47" s="21" t="n"/>
      <c r="M47" s="21" t="n"/>
    </row>
    <row r="48" ht="22" customHeight="1">
      <c r="B48" s="22">
        <f>IF(C48="","GR"&amp;TEXT(COUNTA($C$5:C48),"000"))</f>
        <v/>
      </c>
      <c r="C48" s="22" t="n"/>
      <c r="D48" s="22" t="n"/>
      <c r="E48" s="22" t="n"/>
      <c r="F48" s="22" t="n"/>
      <c r="G48" s="22" t="n"/>
      <c r="H48" s="18">
        <f>IF(F48="","",IFERROR(F48*0.05,0))</f>
        <v/>
      </c>
      <c r="I48" s="18">
        <f>IF(F48="","",IFERROR(F48+G48,0))</f>
        <v/>
      </c>
      <c r="J48" s="22" t="n"/>
      <c r="K48" s="18">
        <f>IF(OR(F48="",I48=""),"",IFERROR(H48*I48,0))</f>
        <v/>
      </c>
      <c r="L48" s="22" t="n"/>
      <c r="M48" s="22" t="n"/>
    </row>
    <row r="49" ht="22" customHeight="1">
      <c r="B49" s="21">
        <f>IF(C49="","GR"&amp;TEXT(COUNTA($C$5:C49),"000"))</f>
        <v/>
      </c>
      <c r="C49" s="21" t="n"/>
      <c r="D49" s="21" t="n"/>
      <c r="E49" s="21" t="n"/>
      <c r="F49" s="21" t="n"/>
      <c r="G49" s="21" t="n"/>
      <c r="H49" s="16">
        <f>IF(F49="","",IFERROR(F49*0.05,0))</f>
        <v/>
      </c>
      <c r="I49" s="16">
        <f>IF(F49="","",IFERROR(F49+G49,0))</f>
        <v/>
      </c>
      <c r="J49" s="21" t="n"/>
      <c r="K49" s="16">
        <f>IF(OR(F49="",I49=""),"",IFERROR(H49*I49,0))</f>
        <v/>
      </c>
      <c r="L49" s="21" t="n"/>
      <c r="M49" s="21" t="n"/>
    </row>
    <row r="50" ht="22" customHeight="1">
      <c r="B50" s="22">
        <f>IF(C50="","GR"&amp;TEXT(COUNTA($C$5:C50),"000"))</f>
        <v/>
      </c>
      <c r="C50" s="22" t="n"/>
      <c r="D50" s="22" t="n"/>
      <c r="E50" s="22" t="n"/>
      <c r="F50" s="22" t="n"/>
      <c r="G50" s="22" t="n"/>
      <c r="H50" s="18">
        <f>IF(F50="","",IFERROR(F50*0.05,0))</f>
        <v/>
      </c>
      <c r="I50" s="18">
        <f>IF(F50="","",IFERROR(F50+G50,0))</f>
        <v/>
      </c>
      <c r="J50" s="22" t="n"/>
      <c r="K50" s="18">
        <f>IF(OR(F50="",I50=""),"",IFERROR(H50*I50,0))</f>
        <v/>
      </c>
      <c r="L50" s="22" t="n"/>
      <c r="M50" s="22" t="n"/>
    </row>
    <row r="51" ht="22" customHeight="1">
      <c r="B51" s="21">
        <f>IF(C51="","GR"&amp;TEXT(COUNTA($C$5:C51),"000"))</f>
        <v/>
      </c>
      <c r="C51" s="21" t="n"/>
      <c r="D51" s="21" t="n"/>
      <c r="E51" s="21" t="n"/>
      <c r="F51" s="21" t="n"/>
      <c r="G51" s="21" t="n"/>
      <c r="H51" s="16">
        <f>IF(F51="","",IFERROR(F51*0.05,0))</f>
        <v/>
      </c>
      <c r="I51" s="16">
        <f>IF(F51="","",IFERROR(F51+G51,0))</f>
        <v/>
      </c>
      <c r="J51" s="21" t="n"/>
      <c r="K51" s="16">
        <f>IF(OR(F51="",I51=""),"",IFERROR(H51*I51,0))</f>
        <v/>
      </c>
      <c r="L51" s="21" t="n"/>
      <c r="M51" s="21" t="n"/>
    </row>
    <row r="52" ht="22" customHeight="1">
      <c r="B52" s="22">
        <f>IF(C52="","GR"&amp;TEXT(COUNTA($C$5:C52),"000"))</f>
        <v/>
      </c>
      <c r="C52" s="22" t="n"/>
      <c r="D52" s="22" t="n"/>
      <c r="E52" s="22" t="n"/>
      <c r="F52" s="22" t="n"/>
      <c r="G52" s="22" t="n"/>
      <c r="H52" s="18">
        <f>IF(F52="","",IFERROR(F52*0.05,0))</f>
        <v/>
      </c>
      <c r="I52" s="18">
        <f>IF(F52="","",IFERROR(F52+G52,0))</f>
        <v/>
      </c>
      <c r="J52" s="22" t="n"/>
      <c r="K52" s="18">
        <f>IF(OR(F52="",I52=""),"",IFERROR(H52*I52,0))</f>
        <v/>
      </c>
      <c r="L52" s="22" t="n"/>
      <c r="M52" s="22" t="n"/>
    </row>
    <row r="53" ht="22" customHeight="1">
      <c r="B53" s="21">
        <f>IF(C53="","GR"&amp;TEXT(COUNTA($C$5:C53),"000"))</f>
        <v/>
      </c>
      <c r="C53" s="21" t="n"/>
      <c r="D53" s="21" t="n"/>
      <c r="E53" s="21" t="n"/>
      <c r="F53" s="21" t="n"/>
      <c r="G53" s="21" t="n"/>
      <c r="H53" s="16">
        <f>IF(F53="","",IFERROR(F53*0.05,0))</f>
        <v/>
      </c>
      <c r="I53" s="16">
        <f>IF(F53="","",IFERROR(F53+G53,0))</f>
        <v/>
      </c>
      <c r="J53" s="21" t="n"/>
      <c r="K53" s="16">
        <f>IF(OR(F53="",I53=""),"",IFERROR(H53*I53,0))</f>
        <v/>
      </c>
      <c r="L53" s="21" t="n"/>
      <c r="M53" s="21" t="n"/>
    </row>
    <row r="54" ht="22" customHeight="1">
      <c r="B54" s="22">
        <f>IF(C54="","GR"&amp;TEXT(COUNTA($C$5:C54),"000"))</f>
        <v/>
      </c>
      <c r="C54" s="22" t="n"/>
      <c r="D54" s="22" t="n"/>
      <c r="E54" s="22" t="n"/>
      <c r="F54" s="22" t="n"/>
      <c r="G54" s="22" t="n"/>
      <c r="H54" s="18">
        <f>IF(F54="","",IFERROR(F54*0.05,0))</f>
        <v/>
      </c>
      <c r="I54" s="18">
        <f>IF(F54="","",IFERROR(F54+G54,0))</f>
        <v/>
      </c>
      <c r="J54" s="22" t="n"/>
      <c r="K54" s="18">
        <f>IF(OR(F54="",I54=""),"",IFERROR(H54*I54,0))</f>
        <v/>
      </c>
      <c r="L54" s="22" t="n"/>
      <c r="M54" s="22" t="n"/>
    </row>
    <row r="55" ht="22" customHeight="1">
      <c r="B55" s="21">
        <f>IF(C55="","GR"&amp;TEXT(COUNTA($C$5:C55),"000"))</f>
        <v/>
      </c>
      <c r="C55" s="21" t="n"/>
      <c r="D55" s="21" t="n"/>
      <c r="E55" s="21" t="n"/>
      <c r="F55" s="21" t="n"/>
      <c r="G55" s="21" t="n"/>
      <c r="H55" s="16">
        <f>IF(F55="","",IFERROR(F55*0.05,0))</f>
        <v/>
      </c>
      <c r="I55" s="16">
        <f>IF(F55="","",IFERROR(F55+G55,0))</f>
        <v/>
      </c>
      <c r="J55" s="21" t="n"/>
      <c r="K55" s="16">
        <f>IF(OR(F55="",I55=""),"",IFERROR(H55*I55,0))</f>
        <v/>
      </c>
      <c r="L55" s="21" t="n"/>
      <c r="M55" s="21" t="n"/>
    </row>
    <row r="56" ht="22" customHeight="1">
      <c r="B56" s="22">
        <f>IF(C56="","GR"&amp;TEXT(COUNTA($C$5:C56),"000"))</f>
        <v/>
      </c>
      <c r="C56" s="22" t="n"/>
      <c r="D56" s="22" t="n"/>
      <c r="E56" s="22" t="n"/>
      <c r="F56" s="22" t="n"/>
      <c r="G56" s="22" t="n"/>
      <c r="H56" s="18">
        <f>IF(F56="","",IFERROR(F56*0.05,0))</f>
        <v/>
      </c>
      <c r="I56" s="18">
        <f>IF(F56="","",IFERROR(F56+G56,0))</f>
        <v/>
      </c>
      <c r="J56" s="22" t="n"/>
      <c r="K56" s="18">
        <f>IF(OR(F56="",I56=""),"",IFERROR(H56*I56,0))</f>
        <v/>
      </c>
      <c r="L56" s="22" t="n"/>
      <c r="M56" s="22" t="n"/>
    </row>
    <row r="57" ht="22" customHeight="1">
      <c r="B57" s="21">
        <f>IF(C57="","GR"&amp;TEXT(COUNTA($C$5:C57),"000"))</f>
        <v/>
      </c>
      <c r="C57" s="21" t="n"/>
      <c r="D57" s="21" t="n"/>
      <c r="E57" s="21" t="n"/>
      <c r="F57" s="21" t="n"/>
      <c r="G57" s="21" t="n"/>
      <c r="H57" s="16">
        <f>IF(F57="","",IFERROR(F57*0.05,0))</f>
        <v/>
      </c>
      <c r="I57" s="16">
        <f>IF(F57="","",IFERROR(F57+G57,0))</f>
        <v/>
      </c>
      <c r="J57" s="21" t="n"/>
      <c r="K57" s="16">
        <f>IF(OR(F57="",I57=""),"",IFERROR(H57*I57,0))</f>
        <v/>
      </c>
      <c r="L57" s="21" t="n"/>
      <c r="M57" s="21" t="n"/>
    </row>
    <row r="58" ht="22" customHeight="1">
      <c r="B58" s="22">
        <f>IF(C58="","GR"&amp;TEXT(COUNTA($C$5:C58),"000"))</f>
        <v/>
      </c>
      <c r="C58" s="22" t="n"/>
      <c r="D58" s="22" t="n"/>
      <c r="E58" s="22" t="n"/>
      <c r="F58" s="22" t="n"/>
      <c r="G58" s="22" t="n"/>
      <c r="H58" s="18">
        <f>IF(F58="","",IFERROR(F58*0.05,0))</f>
        <v/>
      </c>
      <c r="I58" s="18">
        <f>IF(F58="","",IFERROR(F58+G58,0))</f>
        <v/>
      </c>
      <c r="J58" s="22" t="n"/>
      <c r="K58" s="18">
        <f>IF(OR(F58="",I58=""),"",IFERROR(H58*I58,0))</f>
        <v/>
      </c>
      <c r="L58" s="22" t="n"/>
      <c r="M58" s="22" t="n"/>
    </row>
    <row r="59" ht="22" customHeight="1">
      <c r="B59" s="21">
        <f>IF(C59="","GR"&amp;TEXT(COUNTA($C$5:C59),"000"))</f>
        <v/>
      </c>
      <c r="C59" s="21" t="n"/>
      <c r="D59" s="21" t="n"/>
      <c r="E59" s="21" t="n"/>
      <c r="F59" s="21" t="n"/>
      <c r="G59" s="21" t="n"/>
      <c r="H59" s="16">
        <f>IF(F59="","",IFERROR(F59*0.05,0))</f>
        <v/>
      </c>
      <c r="I59" s="16">
        <f>IF(F59="","",IFERROR(F59+G59,0))</f>
        <v/>
      </c>
      <c r="J59" s="21" t="n"/>
      <c r="K59" s="16">
        <f>IF(OR(F59="",I59=""),"",IFERROR(H59*I59,0))</f>
        <v/>
      </c>
      <c r="L59" s="21" t="n"/>
      <c r="M59" s="21" t="n"/>
    </row>
    <row r="60" ht="22" customHeight="1">
      <c r="B60" s="22">
        <f>IF(C60="","GR"&amp;TEXT(COUNTA($C$5:C60),"000"))</f>
        <v/>
      </c>
      <c r="C60" s="22" t="n"/>
      <c r="D60" s="22" t="n"/>
      <c r="E60" s="22" t="n"/>
      <c r="F60" s="22" t="n"/>
      <c r="G60" s="22" t="n"/>
      <c r="H60" s="18">
        <f>IF(F60="","",IFERROR(F60*0.05,0))</f>
        <v/>
      </c>
      <c r="I60" s="18">
        <f>IF(F60="","",IFERROR(F60+G60,0))</f>
        <v/>
      </c>
      <c r="J60" s="22" t="n"/>
      <c r="K60" s="18">
        <f>IF(OR(F60="",I60=""),"",IFERROR(H60*I60,0))</f>
        <v/>
      </c>
      <c r="L60" s="22" t="n"/>
      <c r="M60" s="22" t="n"/>
    </row>
    <row r="61" ht="22" customHeight="1">
      <c r="B61" s="21">
        <f>IF(C61="","GR"&amp;TEXT(COUNTA($C$5:C61),"000"))</f>
        <v/>
      </c>
      <c r="C61" s="21" t="n"/>
      <c r="D61" s="21" t="n"/>
      <c r="E61" s="21" t="n"/>
      <c r="F61" s="21" t="n"/>
      <c r="G61" s="21" t="n"/>
      <c r="H61" s="16">
        <f>IF(F61="","",IFERROR(F61*0.05,0))</f>
        <v/>
      </c>
      <c r="I61" s="16">
        <f>IF(F61="","",IFERROR(F61+G61,0))</f>
        <v/>
      </c>
      <c r="J61" s="21" t="n"/>
      <c r="K61" s="16">
        <f>IF(OR(F61="",I61=""),"",IFERROR(H61*I61,0))</f>
        <v/>
      </c>
      <c r="L61" s="21" t="n"/>
      <c r="M61" s="21" t="n"/>
    </row>
    <row r="62" ht="22" customHeight="1">
      <c r="B62" s="22">
        <f>IF(C62="","GR"&amp;TEXT(COUNTA($C$5:C62),"000"))</f>
        <v/>
      </c>
      <c r="C62" s="22" t="n"/>
      <c r="D62" s="22" t="n"/>
      <c r="E62" s="22" t="n"/>
      <c r="F62" s="22" t="n"/>
      <c r="G62" s="22" t="n"/>
      <c r="H62" s="18">
        <f>IF(F62="","",IFERROR(F62*0.05,0))</f>
        <v/>
      </c>
      <c r="I62" s="18">
        <f>IF(F62="","",IFERROR(F62+G62,0))</f>
        <v/>
      </c>
      <c r="J62" s="22" t="n"/>
      <c r="K62" s="18">
        <f>IF(OR(F62="",I62=""),"",IFERROR(H62*I62,0))</f>
        <v/>
      </c>
      <c r="L62" s="22" t="n"/>
      <c r="M62" s="22" t="n"/>
    </row>
    <row r="63" ht="22" customHeight="1">
      <c r="B63" s="21">
        <f>IF(C63="","GR"&amp;TEXT(COUNTA($C$5:C63),"000"))</f>
        <v/>
      </c>
      <c r="C63" s="21" t="n"/>
      <c r="D63" s="21" t="n"/>
      <c r="E63" s="21" t="n"/>
      <c r="F63" s="21" t="n"/>
      <c r="G63" s="21" t="n"/>
      <c r="H63" s="16">
        <f>IF(F63="","",IFERROR(F63*0.05,0))</f>
        <v/>
      </c>
      <c r="I63" s="16">
        <f>IF(F63="","",IFERROR(F63+G63,0))</f>
        <v/>
      </c>
      <c r="J63" s="21" t="n"/>
      <c r="K63" s="16">
        <f>IF(OR(F63="",I63=""),"",IFERROR(H63*I63,0))</f>
        <v/>
      </c>
      <c r="L63" s="21" t="n"/>
      <c r="M63" s="21" t="n"/>
    </row>
    <row r="64" ht="22" customHeight="1">
      <c r="B64" s="22">
        <f>IF(C64="","GR"&amp;TEXT(COUNTA($C$5:C64),"000"))</f>
        <v/>
      </c>
      <c r="C64" s="22" t="n"/>
      <c r="D64" s="22" t="n"/>
      <c r="E64" s="22" t="n"/>
      <c r="F64" s="22" t="n"/>
      <c r="G64" s="22" t="n"/>
      <c r="H64" s="18">
        <f>IF(F64="","",IFERROR(F64*0.05,0))</f>
        <v/>
      </c>
      <c r="I64" s="18">
        <f>IF(F64="","",IFERROR(F64+G64,0))</f>
        <v/>
      </c>
      <c r="J64" s="22" t="n"/>
      <c r="K64" s="18">
        <f>IF(OR(F64="",I64=""),"",IFERROR(H64*I64,0))</f>
        <v/>
      </c>
      <c r="L64" s="22" t="n"/>
      <c r="M64" s="22" t="n"/>
    </row>
    <row r="65" ht="22" customHeight="1">
      <c r="B65" s="21">
        <f>IF(C65="","GR"&amp;TEXT(COUNTA($C$5:C65),"000"))</f>
        <v/>
      </c>
      <c r="C65" s="21" t="n"/>
      <c r="D65" s="21" t="n"/>
      <c r="E65" s="21" t="n"/>
      <c r="F65" s="21" t="n"/>
      <c r="G65" s="21" t="n"/>
      <c r="H65" s="16">
        <f>IF(F65="","",IFERROR(F65*0.05,0))</f>
        <v/>
      </c>
      <c r="I65" s="16">
        <f>IF(F65="","",IFERROR(F65+G65,0))</f>
        <v/>
      </c>
      <c r="J65" s="21" t="n"/>
      <c r="K65" s="16">
        <f>IF(OR(F65="",I65=""),"",IFERROR(H65*I65,0))</f>
        <v/>
      </c>
      <c r="L65" s="21" t="n"/>
      <c r="M65" s="21" t="n"/>
    </row>
    <row r="66" ht="22" customHeight="1">
      <c r="B66" s="22">
        <f>IF(C66="","GR"&amp;TEXT(COUNTA($C$5:C66),"000"))</f>
        <v/>
      </c>
      <c r="C66" s="22" t="n"/>
      <c r="D66" s="22" t="n"/>
      <c r="E66" s="22" t="n"/>
      <c r="F66" s="22" t="n"/>
      <c r="G66" s="22" t="n"/>
      <c r="H66" s="18">
        <f>IF(F66="","",IFERROR(F66*0.05,0))</f>
        <v/>
      </c>
      <c r="I66" s="18">
        <f>IF(F66="","",IFERROR(F66+G66,0))</f>
        <v/>
      </c>
      <c r="J66" s="22" t="n"/>
      <c r="K66" s="18">
        <f>IF(OR(F66="",I66=""),"",IFERROR(H66*I66,0))</f>
        <v/>
      </c>
      <c r="L66" s="22" t="n"/>
      <c r="M66" s="22" t="n"/>
    </row>
    <row r="67" ht="22" customHeight="1">
      <c r="B67" s="21">
        <f>IF(C67="","GR"&amp;TEXT(COUNTA($C$5:C67),"000"))</f>
        <v/>
      </c>
      <c r="C67" s="21" t="n"/>
      <c r="D67" s="21" t="n"/>
      <c r="E67" s="21" t="n"/>
      <c r="F67" s="21" t="n"/>
      <c r="G67" s="21" t="n"/>
      <c r="H67" s="16">
        <f>IF(F67="","",IFERROR(F67*0.05,0))</f>
        <v/>
      </c>
      <c r="I67" s="16">
        <f>IF(F67="","",IFERROR(F67+G67,0))</f>
        <v/>
      </c>
      <c r="J67" s="21" t="n"/>
      <c r="K67" s="16">
        <f>IF(OR(F67="",I67=""),"",IFERROR(H67*I67,0))</f>
        <v/>
      </c>
      <c r="L67" s="21" t="n"/>
      <c r="M67" s="21" t="n"/>
    </row>
    <row r="68" ht="22" customHeight="1">
      <c r="B68" s="22">
        <f>IF(C68="","GR"&amp;TEXT(COUNTA($C$5:C68),"000"))</f>
        <v/>
      </c>
      <c r="C68" s="22" t="n"/>
      <c r="D68" s="22" t="n"/>
      <c r="E68" s="22" t="n"/>
      <c r="F68" s="22" t="n"/>
      <c r="G68" s="22" t="n"/>
      <c r="H68" s="18">
        <f>IF(F68="","",IFERROR(F68*0.05,0))</f>
        <v/>
      </c>
      <c r="I68" s="18">
        <f>IF(F68="","",IFERROR(F68+G68,0))</f>
        <v/>
      </c>
      <c r="J68" s="22" t="n"/>
      <c r="K68" s="18">
        <f>IF(OR(F68="",I68=""),"",IFERROR(H68*I68,0))</f>
        <v/>
      </c>
      <c r="L68" s="22" t="n"/>
      <c r="M68" s="22" t="n"/>
    </row>
    <row r="69" ht="22" customHeight="1">
      <c r="B69" s="21">
        <f>IF(C69="","GR"&amp;TEXT(COUNTA($C$5:C69),"000"))</f>
        <v/>
      </c>
      <c r="C69" s="21" t="n"/>
      <c r="D69" s="21" t="n"/>
      <c r="E69" s="21" t="n"/>
      <c r="F69" s="21" t="n"/>
      <c r="G69" s="21" t="n"/>
      <c r="H69" s="16">
        <f>IF(F69="","",IFERROR(F69*0.05,0))</f>
        <v/>
      </c>
      <c r="I69" s="16">
        <f>IF(F69="","",IFERROR(F69+G69,0))</f>
        <v/>
      </c>
      <c r="J69" s="21" t="n"/>
      <c r="K69" s="16">
        <f>IF(OR(F69="",I69=""),"",IFERROR(H69*I69,0))</f>
        <v/>
      </c>
      <c r="L69" s="21" t="n"/>
      <c r="M69" s="21" t="n"/>
    </row>
    <row r="70" ht="22" customHeight="1">
      <c r="B70" s="22">
        <f>IF(C70="","GR"&amp;TEXT(COUNTA($C$5:C70),"000"))</f>
        <v/>
      </c>
      <c r="C70" s="22" t="n"/>
      <c r="D70" s="22" t="n"/>
      <c r="E70" s="22" t="n"/>
      <c r="F70" s="22" t="n"/>
      <c r="G70" s="22" t="n"/>
      <c r="H70" s="18">
        <f>IF(F70="","",IFERROR(F70*0.05,0))</f>
        <v/>
      </c>
      <c r="I70" s="18">
        <f>IF(F70="","",IFERROR(F70+G70,0))</f>
        <v/>
      </c>
      <c r="J70" s="22" t="n"/>
      <c r="K70" s="18">
        <f>IF(OR(F70="",I70=""),"",IFERROR(H70*I70,0))</f>
        <v/>
      </c>
      <c r="L70" s="22" t="n"/>
      <c r="M70" s="22" t="n"/>
    </row>
    <row r="71" ht="22" customHeight="1">
      <c r="B71" s="21">
        <f>IF(C71="","GR"&amp;TEXT(COUNTA($C$5:C71),"000"))</f>
        <v/>
      </c>
      <c r="C71" s="21" t="n"/>
      <c r="D71" s="21" t="n"/>
      <c r="E71" s="21" t="n"/>
      <c r="F71" s="21" t="n"/>
      <c r="G71" s="21" t="n"/>
      <c r="H71" s="16">
        <f>IF(F71="","",IFERROR(F71*0.05,0))</f>
        <v/>
      </c>
      <c r="I71" s="16">
        <f>IF(F71="","",IFERROR(F71+G71,0))</f>
        <v/>
      </c>
      <c r="J71" s="21" t="n"/>
      <c r="K71" s="16">
        <f>IF(OR(F71="",I71=""),"",IFERROR(H71*I71,0))</f>
        <v/>
      </c>
      <c r="L71" s="21" t="n"/>
      <c r="M71" s="21" t="n"/>
    </row>
    <row r="72" ht="22" customHeight="1">
      <c r="B72" s="22">
        <f>IF(C72="","GR"&amp;TEXT(COUNTA($C$5:C72),"000"))</f>
        <v/>
      </c>
      <c r="C72" s="22" t="n"/>
      <c r="D72" s="22" t="n"/>
      <c r="E72" s="22" t="n"/>
      <c r="F72" s="22" t="n"/>
      <c r="G72" s="22" t="n"/>
      <c r="H72" s="18">
        <f>IF(F72="","",IFERROR(F72*0.05,0))</f>
        <v/>
      </c>
      <c r="I72" s="18">
        <f>IF(F72="","",IFERROR(F72+G72,0))</f>
        <v/>
      </c>
      <c r="J72" s="22" t="n"/>
      <c r="K72" s="18">
        <f>IF(OR(F72="",I72=""),"",IFERROR(H72*I72,0))</f>
        <v/>
      </c>
      <c r="L72" s="22" t="n"/>
      <c r="M72" s="22" t="n"/>
    </row>
    <row r="73" ht="22" customHeight="1">
      <c r="B73" s="21">
        <f>IF(C73="","GR"&amp;TEXT(COUNTA($C$5:C73),"000"))</f>
        <v/>
      </c>
      <c r="C73" s="21" t="n"/>
      <c r="D73" s="21" t="n"/>
      <c r="E73" s="21" t="n"/>
      <c r="F73" s="21" t="n"/>
      <c r="G73" s="21" t="n"/>
      <c r="H73" s="16">
        <f>IF(F73="","",IFERROR(F73*0.05,0))</f>
        <v/>
      </c>
      <c r="I73" s="16">
        <f>IF(F73="","",IFERROR(F73+G73,0))</f>
        <v/>
      </c>
      <c r="J73" s="21" t="n"/>
      <c r="K73" s="16">
        <f>IF(OR(F73="",I73=""),"",IFERROR(H73*I73,0))</f>
        <v/>
      </c>
      <c r="L73" s="21" t="n"/>
      <c r="M73" s="21" t="n"/>
    </row>
    <row r="74" ht="22" customHeight="1">
      <c r="B74" s="22">
        <f>IF(C74="","GR"&amp;TEXT(COUNTA($C$5:C74),"000"))</f>
        <v/>
      </c>
      <c r="C74" s="22" t="n"/>
      <c r="D74" s="22" t="n"/>
      <c r="E74" s="22" t="n"/>
      <c r="F74" s="22" t="n"/>
      <c r="G74" s="22" t="n"/>
      <c r="H74" s="18">
        <f>IF(F74="","",IFERROR(F74*0.05,0))</f>
        <v/>
      </c>
      <c r="I74" s="18">
        <f>IF(F74="","",IFERROR(F74+G74,0))</f>
        <v/>
      </c>
      <c r="J74" s="22" t="n"/>
      <c r="K74" s="18">
        <f>IF(OR(F74="",I74=""),"",IFERROR(H74*I74,0))</f>
        <v/>
      </c>
      <c r="L74" s="22" t="n"/>
      <c r="M74" s="22" t="n"/>
    </row>
    <row r="75" ht="22" customHeight="1">
      <c r="B75" s="21">
        <f>IF(C75="","GR"&amp;TEXT(COUNTA($C$5:C75),"000"))</f>
        <v/>
      </c>
      <c r="C75" s="21" t="n"/>
      <c r="D75" s="21" t="n"/>
      <c r="E75" s="21" t="n"/>
      <c r="F75" s="21" t="n"/>
      <c r="G75" s="21" t="n"/>
      <c r="H75" s="16">
        <f>IF(F75="","",IFERROR(F75*0.05,0))</f>
        <v/>
      </c>
      <c r="I75" s="16">
        <f>IF(F75="","",IFERROR(F75+G75,0))</f>
        <v/>
      </c>
      <c r="J75" s="21" t="n"/>
      <c r="K75" s="16">
        <f>IF(OR(F75="",I75=""),"",IFERROR(H75*I75,0))</f>
        <v/>
      </c>
      <c r="L75" s="21" t="n"/>
      <c r="M75" s="21" t="n"/>
    </row>
    <row r="76" ht="22" customHeight="1">
      <c r="B76" s="22">
        <f>IF(C76="","GR"&amp;TEXT(COUNTA($C$5:C76),"000"))</f>
        <v/>
      </c>
      <c r="C76" s="22" t="n"/>
      <c r="D76" s="22" t="n"/>
      <c r="E76" s="22" t="n"/>
      <c r="F76" s="22" t="n"/>
      <c r="G76" s="22" t="n"/>
      <c r="H76" s="18">
        <f>IF(F76="","",IFERROR(F76*0.05,0))</f>
        <v/>
      </c>
      <c r="I76" s="18">
        <f>IF(F76="","",IFERROR(F76+G76,0))</f>
        <v/>
      </c>
      <c r="J76" s="22" t="n"/>
      <c r="K76" s="18">
        <f>IF(OR(F76="",I76=""),"",IFERROR(H76*I76,0))</f>
        <v/>
      </c>
      <c r="L76" s="22" t="n"/>
      <c r="M76" s="22" t="n"/>
    </row>
    <row r="77" ht="22" customHeight="1">
      <c r="B77" s="21">
        <f>IF(C77="","GR"&amp;TEXT(COUNTA($C$5:C77),"000"))</f>
        <v/>
      </c>
      <c r="C77" s="21" t="n"/>
      <c r="D77" s="21" t="n"/>
      <c r="E77" s="21" t="n"/>
      <c r="F77" s="21" t="n"/>
      <c r="G77" s="21" t="n"/>
      <c r="H77" s="16">
        <f>IF(F77="","",IFERROR(F77*0.05,0))</f>
        <v/>
      </c>
      <c r="I77" s="16">
        <f>IF(F77="","",IFERROR(F77+G77,0))</f>
        <v/>
      </c>
      <c r="J77" s="21" t="n"/>
      <c r="K77" s="16">
        <f>IF(OR(F77="",I77=""),"",IFERROR(H77*I77,0))</f>
        <v/>
      </c>
      <c r="L77" s="21" t="n"/>
      <c r="M77" s="21" t="n"/>
    </row>
    <row r="78" ht="22" customHeight="1">
      <c r="B78" s="22">
        <f>IF(C78="","GR"&amp;TEXT(COUNTA($C$5:C78),"000"))</f>
        <v/>
      </c>
      <c r="C78" s="22" t="n"/>
      <c r="D78" s="22" t="n"/>
      <c r="E78" s="22" t="n"/>
      <c r="F78" s="22" t="n"/>
      <c r="G78" s="22" t="n"/>
      <c r="H78" s="18">
        <f>IF(F78="","",IFERROR(F78*0.05,0))</f>
        <v/>
      </c>
      <c r="I78" s="18">
        <f>IF(F78="","",IFERROR(F78+G78,0))</f>
        <v/>
      </c>
      <c r="J78" s="22" t="n"/>
      <c r="K78" s="18">
        <f>IF(OR(F78="",I78=""),"",IFERROR(H78*I78,0))</f>
        <v/>
      </c>
      <c r="L78" s="22" t="n"/>
      <c r="M78" s="22" t="n"/>
    </row>
    <row r="79" ht="22" customHeight="1">
      <c r="B79" s="21">
        <f>IF(C79="","GR"&amp;TEXT(COUNTA($C$5:C79),"000"))</f>
        <v/>
      </c>
      <c r="C79" s="21" t="n"/>
      <c r="D79" s="21" t="n"/>
      <c r="E79" s="21" t="n"/>
      <c r="F79" s="21" t="n"/>
      <c r="G79" s="21" t="n"/>
      <c r="H79" s="16">
        <f>IF(F79="","",IFERROR(F79*0.05,0))</f>
        <v/>
      </c>
      <c r="I79" s="16">
        <f>IF(F79="","",IFERROR(F79+G79,0))</f>
        <v/>
      </c>
      <c r="J79" s="21" t="n"/>
      <c r="K79" s="16">
        <f>IF(OR(F79="",I79=""),"",IFERROR(H79*I79,0))</f>
        <v/>
      </c>
      <c r="L79" s="21" t="n"/>
      <c r="M79" s="21" t="n"/>
    </row>
    <row r="80" ht="22" customHeight="1">
      <c r="B80" s="22">
        <f>IF(C80="","GR"&amp;TEXT(COUNTA($C$5:C80),"000"))</f>
        <v/>
      </c>
      <c r="C80" s="22" t="n"/>
      <c r="D80" s="22" t="n"/>
      <c r="E80" s="22" t="n"/>
      <c r="F80" s="22" t="n"/>
      <c r="G80" s="22" t="n"/>
      <c r="H80" s="18">
        <f>IF(F80="","",IFERROR(F80*0.05,0))</f>
        <v/>
      </c>
      <c r="I80" s="18">
        <f>IF(F80="","",IFERROR(F80+G80,0))</f>
        <v/>
      </c>
      <c r="J80" s="22" t="n"/>
      <c r="K80" s="18">
        <f>IF(OR(F80="",I80=""),"",IFERROR(H80*I80,0))</f>
        <v/>
      </c>
      <c r="L80" s="22" t="n"/>
      <c r="M80" s="22" t="n"/>
    </row>
    <row r="81" ht="22" customHeight="1">
      <c r="B81" s="21">
        <f>IF(C81="","GR"&amp;TEXT(COUNTA($C$5:C81),"000"))</f>
        <v/>
      </c>
      <c r="C81" s="21" t="n"/>
      <c r="D81" s="21" t="n"/>
      <c r="E81" s="21" t="n"/>
      <c r="F81" s="21" t="n"/>
      <c r="G81" s="21" t="n"/>
      <c r="H81" s="16">
        <f>IF(F81="","",IFERROR(F81*0.05,0))</f>
        <v/>
      </c>
      <c r="I81" s="16">
        <f>IF(F81="","",IFERROR(F81+G81,0))</f>
        <v/>
      </c>
      <c r="J81" s="21" t="n"/>
      <c r="K81" s="16">
        <f>IF(OR(F81="",I81=""),"",IFERROR(H81*I81,0))</f>
        <v/>
      </c>
      <c r="L81" s="21" t="n"/>
      <c r="M81" s="21" t="n"/>
    </row>
    <row r="82" ht="22" customHeight="1">
      <c r="B82" s="22">
        <f>IF(C82="","GR"&amp;TEXT(COUNTA($C$5:C82),"000"))</f>
        <v/>
      </c>
      <c r="C82" s="22" t="n"/>
      <c r="D82" s="22" t="n"/>
      <c r="E82" s="22" t="n"/>
      <c r="F82" s="22" t="n"/>
      <c r="G82" s="22" t="n"/>
      <c r="H82" s="18">
        <f>IF(F82="","",IFERROR(F82*0.05,0))</f>
        <v/>
      </c>
      <c r="I82" s="18">
        <f>IF(F82="","",IFERROR(F82+G82,0))</f>
        <v/>
      </c>
      <c r="J82" s="22" t="n"/>
      <c r="K82" s="18">
        <f>IF(OR(F82="",I82=""),"",IFERROR(H82*I82,0))</f>
        <v/>
      </c>
      <c r="L82" s="22" t="n"/>
      <c r="M82" s="22" t="n"/>
    </row>
    <row r="83" ht="22" customHeight="1">
      <c r="B83" s="21">
        <f>IF(C83="","GR"&amp;TEXT(COUNTA($C$5:C83),"000"))</f>
        <v/>
      </c>
      <c r="C83" s="21" t="n"/>
      <c r="D83" s="21" t="n"/>
      <c r="E83" s="21" t="n"/>
      <c r="F83" s="21" t="n"/>
      <c r="G83" s="21" t="n"/>
      <c r="H83" s="16">
        <f>IF(F83="","",IFERROR(F83*0.05,0))</f>
        <v/>
      </c>
      <c r="I83" s="16">
        <f>IF(F83="","",IFERROR(F83+G83,0))</f>
        <v/>
      </c>
      <c r="J83" s="21" t="n"/>
      <c r="K83" s="16">
        <f>IF(OR(F83="",I83=""),"",IFERROR(H83*I83,0))</f>
        <v/>
      </c>
      <c r="L83" s="21" t="n"/>
      <c r="M83" s="21" t="n"/>
    </row>
    <row r="84" ht="22" customHeight="1">
      <c r="B84" s="22">
        <f>IF(C84="","GR"&amp;TEXT(COUNTA($C$5:C84),"000"))</f>
        <v/>
      </c>
      <c r="C84" s="22" t="n"/>
      <c r="D84" s="22" t="n"/>
      <c r="E84" s="22" t="n"/>
      <c r="F84" s="22" t="n"/>
      <c r="G84" s="22" t="n"/>
      <c r="H84" s="18">
        <f>IF(F84="","",IFERROR(F84*0.05,0))</f>
        <v/>
      </c>
      <c r="I84" s="18">
        <f>IF(F84="","",IFERROR(F84+G84,0))</f>
        <v/>
      </c>
      <c r="J84" s="22" t="n"/>
      <c r="K84" s="18">
        <f>IF(OR(F84="",I84=""),"",IFERROR(H84*I84,0))</f>
        <v/>
      </c>
      <c r="L84" s="22" t="n"/>
      <c r="M84" s="22" t="n"/>
    </row>
    <row r="85" ht="22" customHeight="1">
      <c r="B85" s="21">
        <f>IF(C85="","GR"&amp;TEXT(COUNTA($C$5:C85),"000"))</f>
        <v/>
      </c>
      <c r="C85" s="21" t="n"/>
      <c r="D85" s="21" t="n"/>
      <c r="E85" s="21" t="n"/>
      <c r="F85" s="21" t="n"/>
      <c r="G85" s="21" t="n"/>
      <c r="H85" s="16">
        <f>IF(F85="","",IFERROR(F85*0.05,0))</f>
        <v/>
      </c>
      <c r="I85" s="16">
        <f>IF(F85="","",IFERROR(F85+G85,0))</f>
        <v/>
      </c>
      <c r="J85" s="21" t="n"/>
      <c r="K85" s="16">
        <f>IF(OR(F85="",I85=""),"",IFERROR(H85*I85,0))</f>
        <v/>
      </c>
      <c r="L85" s="21" t="n"/>
      <c r="M85" s="21" t="n"/>
    </row>
    <row r="86" ht="22" customHeight="1">
      <c r="B86" s="22">
        <f>IF(C86="","GR"&amp;TEXT(COUNTA($C$5:C86),"000"))</f>
        <v/>
      </c>
      <c r="C86" s="22" t="n"/>
      <c r="D86" s="22" t="n"/>
      <c r="E86" s="22" t="n"/>
      <c r="F86" s="22" t="n"/>
      <c r="G86" s="22" t="n"/>
      <c r="H86" s="18">
        <f>IF(F86="","",IFERROR(F86*0.05,0))</f>
        <v/>
      </c>
      <c r="I86" s="18">
        <f>IF(F86="","",IFERROR(F86+G86,0))</f>
        <v/>
      </c>
      <c r="J86" s="22" t="n"/>
      <c r="K86" s="18">
        <f>IF(OR(F86="",I86=""),"",IFERROR(H86*I86,0))</f>
        <v/>
      </c>
      <c r="L86" s="22" t="n"/>
      <c r="M86" s="22" t="n"/>
    </row>
    <row r="87" ht="22" customHeight="1">
      <c r="B87" s="21">
        <f>IF(C87="","GR"&amp;TEXT(COUNTA($C$5:C87),"000"))</f>
        <v/>
      </c>
      <c r="C87" s="21" t="n"/>
      <c r="D87" s="21" t="n"/>
      <c r="E87" s="21" t="n"/>
      <c r="F87" s="21" t="n"/>
      <c r="G87" s="21" t="n"/>
      <c r="H87" s="16">
        <f>IF(F87="","",IFERROR(F87*0.05,0))</f>
        <v/>
      </c>
      <c r="I87" s="16">
        <f>IF(F87="","",IFERROR(F87+G87,0))</f>
        <v/>
      </c>
      <c r="J87" s="21" t="n"/>
      <c r="K87" s="16">
        <f>IF(OR(F87="",I87=""),"",IFERROR(H87*I87,0))</f>
        <v/>
      </c>
      <c r="L87" s="21" t="n"/>
      <c r="M87" s="21" t="n"/>
    </row>
    <row r="88" ht="22" customHeight="1">
      <c r="B88" s="22">
        <f>IF(C88="","GR"&amp;TEXT(COUNTA($C$5:C88),"000"))</f>
        <v/>
      </c>
      <c r="C88" s="22" t="n"/>
      <c r="D88" s="22" t="n"/>
      <c r="E88" s="22" t="n"/>
      <c r="F88" s="22" t="n"/>
      <c r="G88" s="22" t="n"/>
      <c r="H88" s="18">
        <f>IF(F88="","",IFERROR(F88*0.05,0))</f>
        <v/>
      </c>
      <c r="I88" s="18">
        <f>IF(F88="","",IFERROR(F88+G88,0))</f>
        <v/>
      </c>
      <c r="J88" s="22" t="n"/>
      <c r="K88" s="18">
        <f>IF(OR(F88="",I88=""),"",IFERROR(H88*I88,0))</f>
        <v/>
      </c>
      <c r="L88" s="22" t="n"/>
      <c r="M88" s="22" t="n"/>
    </row>
    <row r="89" ht="22" customHeight="1">
      <c r="B89" s="21">
        <f>IF(C89="","GR"&amp;TEXT(COUNTA($C$5:C89),"000"))</f>
        <v/>
      </c>
      <c r="C89" s="21" t="n"/>
      <c r="D89" s="21" t="n"/>
      <c r="E89" s="21" t="n"/>
      <c r="F89" s="21" t="n"/>
      <c r="G89" s="21" t="n"/>
      <c r="H89" s="16">
        <f>IF(F89="","",IFERROR(F89*0.05,0))</f>
        <v/>
      </c>
      <c r="I89" s="16">
        <f>IF(F89="","",IFERROR(F89+G89,0))</f>
        <v/>
      </c>
      <c r="J89" s="21" t="n"/>
      <c r="K89" s="16">
        <f>IF(OR(F89="",I89=""),"",IFERROR(H89*I89,0))</f>
        <v/>
      </c>
      <c r="L89" s="21" t="n"/>
      <c r="M89" s="21" t="n"/>
    </row>
    <row r="90" ht="22" customHeight="1">
      <c r="B90" s="22">
        <f>IF(C90="","GR"&amp;TEXT(COUNTA($C$5:C90),"000"))</f>
        <v/>
      </c>
      <c r="C90" s="22" t="n"/>
      <c r="D90" s="22" t="n"/>
      <c r="E90" s="22" t="n"/>
      <c r="F90" s="22" t="n"/>
      <c r="G90" s="22" t="n"/>
      <c r="H90" s="18">
        <f>IF(F90="","",IFERROR(F90*0.05,0))</f>
        <v/>
      </c>
      <c r="I90" s="18">
        <f>IF(F90="","",IFERROR(F90+G90,0))</f>
        <v/>
      </c>
      <c r="J90" s="22" t="n"/>
      <c r="K90" s="18">
        <f>IF(OR(F90="",I90=""),"",IFERROR(H90*I90,0))</f>
        <v/>
      </c>
      <c r="L90" s="22" t="n"/>
      <c r="M90" s="22" t="n"/>
    </row>
    <row r="91" ht="22" customHeight="1">
      <c r="B91" s="21">
        <f>IF(C91="","GR"&amp;TEXT(COUNTA($C$5:C91),"000"))</f>
        <v/>
      </c>
      <c r="C91" s="21" t="n"/>
      <c r="D91" s="21" t="n"/>
      <c r="E91" s="21" t="n"/>
      <c r="F91" s="21" t="n"/>
      <c r="G91" s="21" t="n"/>
      <c r="H91" s="16">
        <f>IF(F91="","",IFERROR(F91*0.05,0))</f>
        <v/>
      </c>
      <c r="I91" s="16">
        <f>IF(F91="","",IFERROR(F91+G91,0))</f>
        <v/>
      </c>
      <c r="J91" s="21" t="n"/>
      <c r="K91" s="16">
        <f>IF(OR(F91="",I91=""),"",IFERROR(H91*I91,0))</f>
        <v/>
      </c>
      <c r="L91" s="21" t="n"/>
      <c r="M91" s="21" t="n"/>
    </row>
    <row r="92" ht="22" customHeight="1">
      <c r="B92" s="22">
        <f>IF(C92="","GR"&amp;TEXT(COUNTA($C$5:C92),"000"))</f>
        <v/>
      </c>
      <c r="C92" s="22" t="n"/>
      <c r="D92" s="22" t="n"/>
      <c r="E92" s="22" t="n"/>
      <c r="F92" s="22" t="n"/>
      <c r="G92" s="22" t="n"/>
      <c r="H92" s="18">
        <f>IF(F92="","",IFERROR(F92*0.05,0))</f>
        <v/>
      </c>
      <c r="I92" s="18">
        <f>IF(F92="","",IFERROR(F92+G92,0))</f>
        <v/>
      </c>
      <c r="J92" s="22" t="n"/>
      <c r="K92" s="18">
        <f>IF(OR(F92="",I92=""),"",IFERROR(H92*I92,0))</f>
        <v/>
      </c>
      <c r="L92" s="22" t="n"/>
      <c r="M92" s="22" t="n"/>
    </row>
    <row r="93" ht="22" customHeight="1">
      <c r="B93" s="21">
        <f>IF(C93="","GR"&amp;TEXT(COUNTA($C$5:C93),"000"))</f>
        <v/>
      </c>
      <c r="C93" s="21" t="n"/>
      <c r="D93" s="21" t="n"/>
      <c r="E93" s="21" t="n"/>
      <c r="F93" s="21" t="n"/>
      <c r="G93" s="21" t="n"/>
      <c r="H93" s="16">
        <f>IF(F93="","",IFERROR(F93*0.05,0))</f>
        <v/>
      </c>
      <c r="I93" s="16">
        <f>IF(F93="","",IFERROR(F93+G93,0))</f>
        <v/>
      </c>
      <c r="J93" s="21" t="n"/>
      <c r="K93" s="16">
        <f>IF(OR(F93="",I93=""),"",IFERROR(H93*I93,0))</f>
        <v/>
      </c>
      <c r="L93" s="21" t="n"/>
      <c r="M93" s="21" t="n"/>
    </row>
    <row r="94" ht="22" customHeight="1">
      <c r="B94" s="22">
        <f>IF(C94="","GR"&amp;TEXT(COUNTA($C$5:C94),"000"))</f>
        <v/>
      </c>
      <c r="C94" s="22" t="n"/>
      <c r="D94" s="22" t="n"/>
      <c r="E94" s="22" t="n"/>
      <c r="F94" s="22" t="n"/>
      <c r="G94" s="22" t="n"/>
      <c r="H94" s="18">
        <f>IF(F94="","",IFERROR(F94*0.05,0))</f>
        <v/>
      </c>
      <c r="I94" s="18">
        <f>IF(F94="","",IFERROR(F94+G94,0))</f>
        <v/>
      </c>
      <c r="J94" s="22" t="n"/>
      <c r="K94" s="18">
        <f>IF(OR(F94="",I94=""),"",IFERROR(H94*I94,0))</f>
        <v/>
      </c>
      <c r="L94" s="22" t="n"/>
      <c r="M94" s="22" t="n"/>
    </row>
    <row r="95" ht="22" customHeight="1">
      <c r="B95" s="21">
        <f>IF(C95="","GR"&amp;TEXT(COUNTA($C$5:C95),"000"))</f>
        <v/>
      </c>
      <c r="C95" s="21" t="n"/>
      <c r="D95" s="21" t="n"/>
      <c r="E95" s="21" t="n"/>
      <c r="F95" s="21" t="n"/>
      <c r="G95" s="21" t="n"/>
      <c r="H95" s="16">
        <f>IF(F95="","",IFERROR(F95*0.05,0))</f>
        <v/>
      </c>
      <c r="I95" s="16">
        <f>IF(F95="","",IFERROR(F95+G95,0))</f>
        <v/>
      </c>
      <c r="J95" s="21" t="n"/>
      <c r="K95" s="16">
        <f>IF(OR(F95="",I95=""),"",IFERROR(H95*I95,0))</f>
        <v/>
      </c>
      <c r="L95" s="21" t="n"/>
      <c r="M95" s="21" t="n"/>
    </row>
    <row r="96" ht="22" customHeight="1">
      <c r="B96" s="22">
        <f>IF(C96="","GR"&amp;TEXT(COUNTA($C$5:C96),"000"))</f>
        <v/>
      </c>
      <c r="C96" s="22" t="n"/>
      <c r="D96" s="22" t="n"/>
      <c r="E96" s="22" t="n"/>
      <c r="F96" s="22" t="n"/>
      <c r="G96" s="22" t="n"/>
      <c r="H96" s="18">
        <f>IF(F96="","",IFERROR(F96*0.05,0))</f>
        <v/>
      </c>
      <c r="I96" s="18">
        <f>IF(F96="","",IFERROR(F96+G96,0))</f>
        <v/>
      </c>
      <c r="J96" s="22" t="n"/>
      <c r="K96" s="18">
        <f>IF(OR(F96="",I96=""),"",IFERROR(H96*I96,0))</f>
        <v/>
      </c>
      <c r="L96" s="22" t="n"/>
      <c r="M96" s="22" t="n"/>
    </row>
    <row r="97" ht="22" customHeight="1">
      <c r="B97" s="21">
        <f>IF(C97="","GR"&amp;TEXT(COUNTA($C$5:C97),"000"))</f>
        <v/>
      </c>
      <c r="C97" s="21" t="n"/>
      <c r="D97" s="21" t="n"/>
      <c r="E97" s="21" t="n"/>
      <c r="F97" s="21" t="n"/>
      <c r="G97" s="21" t="n"/>
      <c r="H97" s="16">
        <f>IF(F97="","",IFERROR(F97*0.05,0))</f>
        <v/>
      </c>
      <c r="I97" s="16">
        <f>IF(F97="","",IFERROR(F97+G97,0))</f>
        <v/>
      </c>
      <c r="J97" s="21" t="n"/>
      <c r="K97" s="16">
        <f>IF(OR(F97="",I97=""),"",IFERROR(H97*I97,0))</f>
        <v/>
      </c>
      <c r="L97" s="21" t="n"/>
      <c r="M97" s="21" t="n"/>
    </row>
    <row r="98" ht="22" customHeight="1">
      <c r="B98" s="22">
        <f>IF(C98="","GR"&amp;TEXT(COUNTA($C$5:C98),"000"))</f>
        <v/>
      </c>
      <c r="C98" s="22" t="n"/>
      <c r="D98" s="22" t="n"/>
      <c r="E98" s="22" t="n"/>
      <c r="F98" s="22" t="n"/>
      <c r="G98" s="22" t="n"/>
      <c r="H98" s="18">
        <f>IF(F98="","",IFERROR(F98*0.05,0))</f>
        <v/>
      </c>
      <c r="I98" s="18">
        <f>IF(F98="","",IFERROR(F98+G98,0))</f>
        <v/>
      </c>
      <c r="J98" s="22" t="n"/>
      <c r="K98" s="18">
        <f>IF(OR(F98="",I98=""),"",IFERROR(H98*I98,0))</f>
        <v/>
      </c>
      <c r="L98" s="22" t="n"/>
      <c r="M98" s="22" t="n"/>
    </row>
    <row r="99" ht="22" customHeight="1">
      <c r="B99" s="21">
        <f>IF(C99="","GR"&amp;TEXT(COUNTA($C$5:C99),"000"))</f>
        <v/>
      </c>
      <c r="C99" s="21" t="n"/>
      <c r="D99" s="21" t="n"/>
      <c r="E99" s="21" t="n"/>
      <c r="F99" s="21" t="n"/>
      <c r="G99" s="21" t="n"/>
      <c r="H99" s="16">
        <f>IF(F99="","",IFERROR(F99*0.05,0))</f>
        <v/>
      </c>
      <c r="I99" s="16">
        <f>IF(F99="","",IFERROR(F99+G99,0))</f>
        <v/>
      </c>
      <c r="J99" s="21" t="n"/>
      <c r="K99" s="16">
        <f>IF(OR(F99="",I99=""),"",IFERROR(H99*I99,0))</f>
        <v/>
      </c>
      <c r="L99" s="21" t="n"/>
      <c r="M99" s="21" t="n"/>
    </row>
    <row r="100" ht="22" customHeight="1">
      <c r="B100" s="22">
        <f>IF(C100="","GR"&amp;TEXT(COUNTA($C$5:C100),"000"))</f>
        <v/>
      </c>
      <c r="C100" s="22" t="n"/>
      <c r="D100" s="22" t="n"/>
      <c r="E100" s="22" t="n"/>
      <c r="F100" s="22" t="n"/>
      <c r="G100" s="22" t="n"/>
      <c r="H100" s="18">
        <f>IF(F100="","",IFERROR(F100*0.05,0))</f>
        <v/>
      </c>
      <c r="I100" s="18">
        <f>IF(F100="","",IFERROR(F100+G100,0))</f>
        <v/>
      </c>
      <c r="J100" s="22" t="n"/>
      <c r="K100" s="18">
        <f>IF(OR(F100="",I100=""),"",IFERROR(H100*I100,0))</f>
        <v/>
      </c>
      <c r="L100" s="22" t="n"/>
      <c r="M100" s="22" t="n"/>
    </row>
    <row r="101" ht="22" customHeight="1">
      <c r="B101" s="21">
        <f>IF(C101="","GR"&amp;TEXT(COUNTA($C$5:C101),"000"))</f>
        <v/>
      </c>
      <c r="C101" s="21" t="n"/>
      <c r="D101" s="21" t="n"/>
      <c r="E101" s="21" t="n"/>
      <c r="F101" s="21" t="n"/>
      <c r="G101" s="21" t="n"/>
      <c r="H101" s="16">
        <f>IF(F101="","",IFERROR(F101*0.05,0))</f>
        <v/>
      </c>
      <c r="I101" s="16">
        <f>IF(F101="","",IFERROR(F101+G101,0))</f>
        <v/>
      </c>
      <c r="J101" s="21" t="n"/>
      <c r="K101" s="16">
        <f>IF(OR(F101="",I101=""),"",IFERROR(H101*I101,0))</f>
        <v/>
      </c>
      <c r="L101" s="21" t="n"/>
      <c r="M101" s="21" t="n"/>
    </row>
    <row r="102" ht="22" customHeight="1">
      <c r="B102" s="22">
        <f>IF(C102="","GR"&amp;TEXT(COUNTA($C$5:C102),"000"))</f>
        <v/>
      </c>
      <c r="C102" s="22" t="n"/>
      <c r="D102" s="22" t="n"/>
      <c r="E102" s="22" t="n"/>
      <c r="F102" s="22" t="n"/>
      <c r="G102" s="22" t="n"/>
      <c r="H102" s="18">
        <f>IF(F102="","",IFERROR(F102*0.05,0))</f>
        <v/>
      </c>
      <c r="I102" s="18">
        <f>IF(F102="","",IFERROR(F102+G102,0))</f>
        <v/>
      </c>
      <c r="J102" s="22" t="n"/>
      <c r="K102" s="18">
        <f>IF(OR(F102="",I102=""),"",IFERROR(H102*I102,0))</f>
        <v/>
      </c>
      <c r="L102" s="22" t="n"/>
      <c r="M102" s="22" t="n"/>
    </row>
    <row r="103" ht="22" customHeight="1">
      <c r="B103" s="21">
        <f>IF(C103="","GR"&amp;TEXT(COUNTA($C$5:C103),"000"))</f>
        <v/>
      </c>
      <c r="C103" s="21" t="n"/>
      <c r="D103" s="21" t="n"/>
      <c r="E103" s="21" t="n"/>
      <c r="F103" s="21" t="n"/>
      <c r="G103" s="21" t="n"/>
      <c r="H103" s="16">
        <f>IF(F103="","",IFERROR(F103*0.05,0))</f>
        <v/>
      </c>
      <c r="I103" s="16">
        <f>IF(F103="","",IFERROR(F103+G103,0))</f>
        <v/>
      </c>
      <c r="J103" s="21" t="n"/>
      <c r="K103" s="16">
        <f>IF(OR(F103="",I103=""),"",IFERROR(H103*I103,0))</f>
        <v/>
      </c>
      <c r="L103" s="21" t="n"/>
      <c r="M103" s="21" t="n"/>
    </row>
    <row r="104" ht="22" customHeight="1">
      <c r="B104" s="22">
        <f>IF(C104="","GR"&amp;TEXT(COUNTA($C$5:C104),"000"))</f>
        <v/>
      </c>
      <c r="C104" s="22" t="n"/>
      <c r="D104" s="22" t="n"/>
      <c r="E104" s="22" t="n"/>
      <c r="F104" s="22" t="n"/>
      <c r="G104" s="22" t="n"/>
      <c r="H104" s="18">
        <f>IF(F104="","",IFERROR(F104*0.05,0))</f>
        <v/>
      </c>
      <c r="I104" s="18">
        <f>IF(F104="","",IFERROR(F104+G104,0))</f>
        <v/>
      </c>
      <c r="J104" s="22" t="n"/>
      <c r="K104" s="18">
        <f>IF(OR(F104="",I104=""),"",IFERROR(H104*I104,0))</f>
        <v/>
      </c>
      <c r="L104" s="22" t="n"/>
      <c r="M104" s="22" t="n"/>
    </row>
    <row r="107">
      <c r="B107" s="23" t="inlineStr">
        <is>
          <t>KPI Postes actifs</t>
        </is>
      </c>
      <c r="C107" s="23" t="inlineStr">
        <is>
          <t>KPI Masse totale (FCFA)</t>
        </is>
      </c>
      <c r="D107" s="23" t="inlineStr">
        <is>
          <t>KPI Écart moyen marché (FCFA)</t>
        </is>
      </c>
    </row>
    <row r="108">
      <c r="B108" s="24">
        <f>COUNTIF(M5:M104,"Actif")</f>
        <v/>
      </c>
      <c r="C108" s="25">
        <f>SUM(K5:K104)</f>
        <v/>
      </c>
      <c r="D108" s="25">
        <f>IFERROR(AVERAGE(L5:L104),0)</f>
        <v/>
      </c>
    </row>
  </sheetData>
  <mergeCells count="1">
    <mergeCell ref="B2:M2"/>
  </mergeCells>
  <conditionalFormatting sqref="M5:M104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"Solde"</formula>
    </cfRule>
    <cfRule type="cellIs" priority="4" operator="equal" dxfId="1">
      <formula>"Actif"</formula>
    </cfRule>
    <cfRule type="cellIs" priority="5" operator="equal" dxfId="1">
      <formula>"Oui"</formula>
    </cfRule>
    <cfRule type="cellIs" priority="6" operator="equal" dxfId="2">
      <formula>"Rejete"</formula>
    </cfRule>
    <cfRule type="cellIs" priority="7" operator="equal" dxfId="2">
      <formula>"En retard"</formula>
    </cfRule>
    <cfRule type="cellIs" priority="8" operator="equal" dxfId="2">
      <formula>"Refuse"</formula>
    </cfRule>
    <cfRule type="cellIs" priority="9" operator="equal" dxfId="2">
      <formula>"Annule"</formula>
    </cfRule>
    <cfRule type="cellIs" priority="10" operator="equal" dxfId="2">
      <formula>"Non"</formula>
    </cfRule>
    <cfRule type="cellIs" priority="11" operator="equal" dxfId="3">
      <formula>"En attente"</formula>
    </cfRule>
    <cfRule type="cellIs" priority="12" operator="equal" dxfId="3">
      <formula>"En cours"</formula>
    </cfRule>
    <cfRule type="cellIs" priority="13" operator="equal" dxfId="3">
      <formula>"Brouillon"</formula>
    </cfRule>
    <cfRule type="cellIs" priority="14" operator="equal" dxfId="3">
      <formula>"Demande"</formula>
    </cfRule>
    <cfRule type="cellIs" priority="15" operator="equal" dxfId="3">
      <formula>"Partiellement monetise"</formula>
    </cfRule>
  </conditionalFormatting>
  <conditionalFormatting sqref="G5:G104">
    <cfRule type="dataBar" priority="16">
      <dataBar>
        <cfvo type="num" val="0"/>
        <cfvo type="num" val="1"/>
        <color rgb="001B2A4A"/>
      </dataBar>
    </cfRule>
  </conditionalFormatting>
  <conditionalFormatting sqref="H5:H104">
    <cfRule type="dataBar" priority="17">
      <dataBar>
        <cfvo type="num" val="0"/>
        <cfvo type="num" val="1"/>
        <color rgb="001B2A4A"/>
      </dataBar>
    </cfRule>
  </conditionalFormatting>
  <conditionalFormatting sqref="I5:I104">
    <cfRule type="dataBar" priority="18">
      <dataBar>
        <cfvo type="num" val="0"/>
        <cfvo type="num" val="1"/>
        <color rgb="001B2A4A"/>
      </dataBar>
    </cfRule>
  </conditionalFormatting>
  <conditionalFormatting sqref="J5:J104">
    <cfRule type="dataBar" priority="19">
      <dataBar>
        <cfvo type="num" val="0"/>
        <cfvo type="num" val="1"/>
        <color rgb="001B2A4A"/>
      </dataBar>
    </cfRule>
  </conditionalFormatting>
  <conditionalFormatting sqref="K5:K104">
    <cfRule type="dataBar" priority="20">
      <dataBar>
        <cfvo type="num" val="0"/>
        <cfvo type="num" val="1"/>
        <color rgb="001B2A4A"/>
      </dataBar>
    </cfRule>
  </conditionalFormatting>
  <conditionalFormatting sqref="L5:L104">
    <cfRule type="dataBar" priority="21">
      <dataBar>
        <cfvo type="num" val="0"/>
        <cfvo type="num" val="1"/>
        <color rgb="001B2A4A"/>
      </dataBar>
    </cfRule>
  </conditionalFormatting>
  <conditionalFormatting sqref="B108">
    <cfRule type="cellIs" priority="22" operator="greaterThan" dxfId="0">
      <formula>0</formula>
    </cfRule>
  </conditionalFormatting>
  <conditionalFormatting sqref="C108">
    <cfRule type="cellIs" priority="23" operator="greaterThan" dxfId="0">
      <formula>0</formula>
    </cfRule>
  </conditionalFormatting>
  <conditionalFormatting sqref="D108">
    <cfRule type="cellIs" priority="24" operator="greaterThan" dxfId="0">
      <formula>0</formula>
    </cfRule>
  </conditionalFormatting>
  <dataValidations count="3">
    <dataValidation sqref="E5:E104" showDropDown="0" showInputMessage="0" showErrorMessage="0" allowBlank="1" type="list">
      <formula1>'_Lists'!$E$2:$E$7</formula1>
    </dataValidation>
    <dataValidation sqref="F5:F104" showDropDown="0" showInputMessage="0" showErrorMessage="0" allowBlank="1" type="list">
      <formula1>'_Lists'!$J$2:$J$6</formula1>
    </dataValidation>
    <dataValidation sqref="M5:M104" showDropDown="0" showInputMessage="0" showErrorMessage="0" allowBlank="1" type="list">
      <formula1>'_Lists'!$H$2:$H$3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Q10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8" customWidth="1" min="3" max="3"/>
    <col width="12" customWidth="1" min="4" max="4"/>
    <col width="16" customWidth="1" min="5" max="5"/>
    <col width="16" customWidth="1" min="6" max="6"/>
    <col width="18" customWidth="1" min="7" max="7"/>
    <col width="16" customWidth="1" min="8" max="8"/>
    <col width="16" customWidth="1" min="9" max="9"/>
    <col width="16" customWidth="1" min="10" max="10"/>
    <col width="12" customWidth="1" min="11" max="11"/>
    <col width="12" customWidth="1" min="12" max="12"/>
    <col width="14" customWidth="1" min="13" max="13"/>
    <col width="16" customWidth="1" min="14" max="14"/>
    <col width="16" customWidth="1" min="15" max="15"/>
    <col width="16" customWidth="1" min="16" max="16"/>
    <col width="18" customWidth="1" min="17" max="17"/>
  </cols>
  <sheetData>
    <row r="1" ht="15" customHeight="1"/>
    <row r="2" ht="32" customHeight="1">
      <c r="B2" s="13" t="inlineStr">
        <is>
          <t>PAIE — Moteur de calcul des salaires (lié à _Données Employés)</t>
        </is>
      </c>
    </row>
    <row r="3" ht="8" customHeight="1"/>
    <row r="4" ht="28" customHeight="1">
      <c r="B4" s="26" t="inlineStr">
        <is>
          <t>Matricule</t>
        </is>
      </c>
      <c r="C4" s="26" t="inlineStr">
        <is>
          <t>Nom Employé</t>
        </is>
      </c>
      <c r="D4" s="26" t="inlineStr">
        <is>
          <t>Mois</t>
        </is>
      </c>
      <c r="E4" s="26" t="inlineStr">
        <is>
          <t>Salaire Base</t>
        </is>
      </c>
      <c r="F4" s="26" t="inlineStr">
        <is>
          <t>Prime Ancienneté 5%</t>
        </is>
      </c>
      <c r="G4" s="26" t="inlineStr">
        <is>
          <t>Indemn. Logement 30%</t>
        </is>
      </c>
      <c r="H4" s="26" t="inlineStr">
        <is>
          <t>Prime Transport</t>
        </is>
      </c>
      <c r="I4" s="26" t="inlineStr">
        <is>
          <t>Total Primes</t>
        </is>
      </c>
      <c r="J4" s="26" t="inlineStr">
        <is>
          <t>Salaire Brut</t>
        </is>
      </c>
      <c r="K4" s="26" t="inlineStr">
        <is>
          <t>CNPS 2.8%</t>
        </is>
      </c>
      <c r="L4" s="26" t="inlineStr">
        <is>
          <t>CNAMGS 1.5%</t>
        </is>
      </c>
      <c r="M4" s="26" t="inlineStr">
        <is>
          <t>IR Salaires</t>
        </is>
      </c>
      <c r="N4" s="26" t="inlineStr">
        <is>
          <t>Total Retenues</t>
        </is>
      </c>
      <c r="O4" s="26" t="inlineStr">
        <is>
          <t>Salaire Net</t>
        </is>
      </c>
      <c r="P4" s="26" t="inlineStr">
        <is>
          <t>Charges Patron. 8.2%</t>
        </is>
      </c>
      <c r="Q4" s="26" t="inlineStr">
        <is>
          <t>Coût Total Emp.</t>
        </is>
      </c>
    </row>
    <row r="5" ht="22" customHeight="1">
      <c r="B5" s="27" t="inlineStr">
        <is>
          <t>EMP-001</t>
        </is>
      </c>
      <c r="C5" s="27" t="inlineStr">
        <is>
          <t>Nganou Clarisse</t>
        </is>
      </c>
      <c r="D5" s="28" t="inlineStr">
        <is>
          <t>Juin</t>
        </is>
      </c>
      <c r="E5" s="29">
        <f>VLOOKUP(B5,'_Données Employés'!$B$5:$S$114,16,FALSE)</f>
        <v/>
      </c>
      <c r="F5" s="29">
        <f>IF(E5="","",E5*0.05)</f>
        <v/>
      </c>
      <c r="G5" s="29">
        <f>IF(E5="","",E5*0.3)</f>
        <v/>
      </c>
      <c r="H5" s="29">
        <f>IF(E5="","",25000)</f>
        <v/>
      </c>
      <c r="I5" s="29">
        <f>IF(E5="","",SUM(F5:H5))</f>
        <v/>
      </c>
      <c r="J5" s="29">
        <f>IF(E5="","",E5+I5)</f>
        <v/>
      </c>
      <c r="K5" s="29">
        <f>IF(J5="","",J5*0.028)</f>
        <v/>
      </c>
      <c r="L5" s="29">
        <f>IF(J5="","",J5*0.015)</f>
        <v/>
      </c>
      <c r="M5" s="29">
        <f>IF(J5="","",IFERROR(IF(J5&lt;=62000,0,IF(J5&lt;=146000,(J5-62000)*0.1,IF(J5&lt;=236000,8400+(J5-146000)*0.15,IF(J5&lt;=360000,21900+(J5-236000)*0.25,IF(J5&lt;=550000,51900+(J5-360000)*0.35,118400+(J5-550000)*0.4))))),0))</f>
        <v/>
      </c>
      <c r="N5" s="29">
        <f>IF(J5="","",SUM(K5:M5))</f>
        <v/>
      </c>
      <c r="O5" s="29">
        <f>IF(J5="","",J5-N5)</f>
        <v/>
      </c>
      <c r="P5" s="29">
        <f>IF(J5="","",J5*0.082)</f>
        <v/>
      </c>
      <c r="Q5" s="29">
        <f>IF(J5="","",J5+P5)</f>
        <v/>
      </c>
    </row>
    <row r="6" ht="22" customHeight="1">
      <c r="B6" s="10" t="inlineStr">
        <is>
          <t>EMP-002</t>
        </is>
      </c>
      <c r="C6" s="10" t="inlineStr">
        <is>
          <t>Tchinda Armand</t>
        </is>
      </c>
      <c r="D6" s="30" t="inlineStr">
        <is>
          <t>Juin</t>
        </is>
      </c>
      <c r="E6" s="11">
        <f>VLOOKUP(B6,'_Données Employés'!$B$5:$S$114,16,FALSE)</f>
        <v/>
      </c>
      <c r="F6" s="11">
        <f>IF(E6="","",E6*0.05)</f>
        <v/>
      </c>
      <c r="G6" s="11">
        <f>IF(E6="","",E6*0.3)</f>
        <v/>
      </c>
      <c r="H6" s="11">
        <f>IF(E6="","",25000)</f>
        <v/>
      </c>
      <c r="I6" s="11">
        <f>IF(E6="","",SUM(F6:H6))</f>
        <v/>
      </c>
      <c r="J6" s="11">
        <f>IF(E6="","",E6+I6)</f>
        <v/>
      </c>
      <c r="K6" s="11">
        <f>IF(J6="","",J6*0.028)</f>
        <v/>
      </c>
      <c r="L6" s="11">
        <f>IF(J6="","",J6*0.015)</f>
        <v/>
      </c>
      <c r="M6" s="11">
        <f>IF(J6="","",IFERROR(IF(J6&lt;=62000,0,IF(J6&lt;=146000,(J6-62000)*0.1,IF(J6&lt;=236000,8400+(J6-146000)*0.15,IF(J6&lt;=360000,21900+(J6-236000)*0.25,IF(J6&lt;=550000,51900+(J6-360000)*0.35,118400+(J6-550000)*0.4))))),0))</f>
        <v/>
      </c>
      <c r="N6" s="11">
        <f>IF(J6="","",SUM(K6:M6))</f>
        <v/>
      </c>
      <c r="O6" s="11">
        <f>IF(J6="","",J6-N6)</f>
        <v/>
      </c>
      <c r="P6" s="11">
        <f>IF(J6="","",J6*0.082)</f>
        <v/>
      </c>
      <c r="Q6" s="11">
        <f>IF(J6="","",J6+P6)</f>
        <v/>
      </c>
    </row>
    <row r="7" ht="22" customHeight="1">
      <c r="B7" s="27" t="inlineStr">
        <is>
          <t>EMP-003</t>
        </is>
      </c>
      <c r="C7" s="27" t="inlineStr">
        <is>
          <t>Fotso Marguerite</t>
        </is>
      </c>
      <c r="D7" s="28" t="inlineStr">
        <is>
          <t>Juin</t>
        </is>
      </c>
      <c r="E7" s="29">
        <f>VLOOKUP(B7,'_Données Employés'!$B$5:$S$114,16,FALSE)</f>
        <v/>
      </c>
      <c r="F7" s="29">
        <f>IF(E7="","",E7*0.05)</f>
        <v/>
      </c>
      <c r="G7" s="29">
        <f>IF(E7="","",E7*0.3)</f>
        <v/>
      </c>
      <c r="H7" s="29">
        <f>IF(E7="","",25000)</f>
        <v/>
      </c>
      <c r="I7" s="29">
        <f>IF(E7="","",SUM(F7:H7))</f>
        <v/>
      </c>
      <c r="J7" s="29">
        <f>IF(E7="","",E7+I7)</f>
        <v/>
      </c>
      <c r="K7" s="29">
        <f>IF(J7="","",J7*0.028)</f>
        <v/>
      </c>
      <c r="L7" s="29">
        <f>IF(J7="","",J7*0.015)</f>
        <v/>
      </c>
      <c r="M7" s="29">
        <f>IF(J7="","",IFERROR(IF(J7&lt;=62000,0,IF(J7&lt;=146000,(J7-62000)*0.1,IF(J7&lt;=236000,8400+(J7-146000)*0.15,IF(J7&lt;=360000,21900+(J7-236000)*0.25,IF(J7&lt;=550000,51900+(J7-360000)*0.35,118400+(J7-550000)*0.4))))),0))</f>
        <v/>
      </c>
      <c r="N7" s="29">
        <f>IF(J7="","",SUM(K7:M7))</f>
        <v/>
      </c>
      <c r="O7" s="29">
        <f>IF(J7="","",J7-N7)</f>
        <v/>
      </c>
      <c r="P7" s="29">
        <f>IF(J7="","",J7*0.082)</f>
        <v/>
      </c>
      <c r="Q7" s="29">
        <f>IF(J7="","",J7+P7)</f>
        <v/>
      </c>
    </row>
    <row r="8" ht="22" customHeight="1">
      <c r="B8" s="10" t="inlineStr">
        <is>
          <t>EMP-004</t>
        </is>
      </c>
      <c r="C8" s="10" t="inlineStr">
        <is>
          <t>Ouedraogo Ibrahim</t>
        </is>
      </c>
      <c r="D8" s="30" t="inlineStr">
        <is>
          <t>Juin</t>
        </is>
      </c>
      <c r="E8" s="11">
        <f>VLOOKUP(B8,'_Données Employés'!$B$5:$S$114,16,FALSE)</f>
        <v/>
      </c>
      <c r="F8" s="11">
        <f>IF(E8="","",E8*0.05)</f>
        <v/>
      </c>
      <c r="G8" s="11">
        <f>IF(E8="","",E8*0.3)</f>
        <v/>
      </c>
      <c r="H8" s="11">
        <f>IF(E8="","",25000)</f>
        <v/>
      </c>
      <c r="I8" s="11">
        <f>IF(E8="","",SUM(F8:H8))</f>
        <v/>
      </c>
      <c r="J8" s="11">
        <f>IF(E8="","",E8+I8)</f>
        <v/>
      </c>
      <c r="K8" s="11">
        <f>IF(J8="","",J8*0.028)</f>
        <v/>
      </c>
      <c r="L8" s="11">
        <f>IF(J8="","",J8*0.015)</f>
        <v/>
      </c>
      <c r="M8" s="11">
        <f>IF(J8="","",IFERROR(IF(J8&lt;=62000,0,IF(J8&lt;=146000,(J8-62000)*0.1,IF(J8&lt;=236000,8400+(J8-146000)*0.15,IF(J8&lt;=360000,21900+(J8-236000)*0.25,IF(J8&lt;=550000,51900+(J8-360000)*0.35,118400+(J8-550000)*0.4))))),0))</f>
        <v/>
      </c>
      <c r="N8" s="11">
        <f>IF(J8="","",SUM(K8:M8))</f>
        <v/>
      </c>
      <c r="O8" s="11">
        <f>IF(J8="","",J8-N8)</f>
        <v/>
      </c>
      <c r="P8" s="11">
        <f>IF(J8="","",J8*0.082)</f>
        <v/>
      </c>
      <c r="Q8" s="11">
        <f>IF(J8="","",J8+P8)</f>
        <v/>
      </c>
    </row>
    <row r="9" ht="22" customHeight="1">
      <c r="B9" s="27" t="inlineStr">
        <is>
          <t>EMP-005</t>
        </is>
      </c>
      <c r="C9" s="27" t="inlineStr">
        <is>
          <t>Diallo Moussa</t>
        </is>
      </c>
      <c r="D9" s="28" t="inlineStr">
        <is>
          <t>Juin</t>
        </is>
      </c>
      <c r="E9" s="29">
        <f>VLOOKUP(B9,'_Données Employés'!$B$5:$S$114,16,FALSE)</f>
        <v/>
      </c>
      <c r="F9" s="29">
        <f>IF(E9="","",E9*0.05)</f>
        <v/>
      </c>
      <c r="G9" s="29">
        <f>IF(E9="","",E9*0.3)</f>
        <v/>
      </c>
      <c r="H9" s="29">
        <f>IF(E9="","",25000)</f>
        <v/>
      </c>
      <c r="I9" s="29">
        <f>IF(E9="","",SUM(F9:H9))</f>
        <v/>
      </c>
      <c r="J9" s="29">
        <f>IF(E9="","",E9+I9)</f>
        <v/>
      </c>
      <c r="K9" s="29">
        <f>IF(J9="","",J9*0.028)</f>
        <v/>
      </c>
      <c r="L9" s="29">
        <f>IF(J9="","",J9*0.015)</f>
        <v/>
      </c>
      <c r="M9" s="29">
        <f>IF(J9="","",IFERROR(IF(J9&lt;=62000,0,IF(J9&lt;=146000,(J9-62000)*0.1,IF(J9&lt;=236000,8400+(J9-146000)*0.15,IF(J9&lt;=360000,21900+(J9-236000)*0.25,IF(J9&lt;=550000,51900+(J9-360000)*0.35,118400+(J9-550000)*0.4))))),0))</f>
        <v/>
      </c>
      <c r="N9" s="29">
        <f>IF(J9="","",SUM(K9:M9))</f>
        <v/>
      </c>
      <c r="O9" s="29">
        <f>IF(J9="","",J9-N9)</f>
        <v/>
      </c>
      <c r="P9" s="29">
        <f>IF(J9="","",J9*0.082)</f>
        <v/>
      </c>
      <c r="Q9" s="29">
        <f>IF(J9="","",J9+P9)</f>
        <v/>
      </c>
    </row>
    <row r="10" ht="22" customHeight="1">
      <c r="B10" s="10" t="inlineStr">
        <is>
          <t>EMP-006</t>
        </is>
      </c>
      <c r="C10" s="10" t="inlineStr">
        <is>
          <t>Ngassa Brigitte</t>
        </is>
      </c>
      <c r="D10" s="30" t="inlineStr">
        <is>
          <t>Juin</t>
        </is>
      </c>
      <c r="E10" s="11">
        <f>VLOOKUP(B10,'_Données Employés'!$B$5:$S$114,16,FALSE)</f>
        <v/>
      </c>
      <c r="F10" s="11">
        <f>IF(E10="","",E10*0.05)</f>
        <v/>
      </c>
      <c r="G10" s="11">
        <f>IF(E10="","",E10*0.3)</f>
        <v/>
      </c>
      <c r="H10" s="11">
        <f>IF(E10="","",25000)</f>
        <v/>
      </c>
      <c r="I10" s="11">
        <f>IF(E10="","",SUM(F10:H10))</f>
        <v/>
      </c>
      <c r="J10" s="11">
        <f>IF(E10="","",E10+I10)</f>
        <v/>
      </c>
      <c r="K10" s="11">
        <f>IF(J10="","",J10*0.028)</f>
        <v/>
      </c>
      <c r="L10" s="11">
        <f>IF(J10="","",J10*0.015)</f>
        <v/>
      </c>
      <c r="M10" s="11">
        <f>IF(J10="","",IFERROR(IF(J10&lt;=62000,0,IF(J10&lt;=146000,(J10-62000)*0.1,IF(J10&lt;=236000,8400+(J10-146000)*0.15,IF(J10&lt;=360000,21900+(J10-236000)*0.25,IF(J10&lt;=550000,51900+(J10-360000)*0.35,118400+(J10-550000)*0.4))))),0))</f>
        <v/>
      </c>
      <c r="N10" s="11">
        <f>IF(J10="","",SUM(K10:M10))</f>
        <v/>
      </c>
      <c r="O10" s="11">
        <f>IF(J10="","",J10-N10)</f>
        <v/>
      </c>
      <c r="P10" s="11">
        <f>IF(J10="","",J10*0.082)</f>
        <v/>
      </c>
      <c r="Q10" s="11">
        <f>IF(J10="","",J10+P10)</f>
        <v/>
      </c>
    </row>
    <row r="11" ht="22" customHeight="1">
      <c r="B11" s="27" t="inlineStr">
        <is>
          <t>EMP-007</t>
        </is>
      </c>
      <c r="C11" s="27" t="inlineStr">
        <is>
          <t>Kamga Pierre</t>
        </is>
      </c>
      <c r="D11" s="28" t="inlineStr">
        <is>
          <t>Juin</t>
        </is>
      </c>
      <c r="E11" s="29">
        <f>VLOOKUP(B11,'_Données Employés'!$B$5:$S$114,16,FALSE)</f>
        <v/>
      </c>
      <c r="F11" s="29">
        <f>IF(E11="","",E11*0.05)</f>
        <v/>
      </c>
      <c r="G11" s="29">
        <f>IF(E11="","",E11*0.3)</f>
        <v/>
      </c>
      <c r="H11" s="29">
        <f>IF(E11="","",25000)</f>
        <v/>
      </c>
      <c r="I11" s="29">
        <f>IF(E11="","",SUM(F11:H11))</f>
        <v/>
      </c>
      <c r="J11" s="29">
        <f>IF(E11="","",E11+I11)</f>
        <v/>
      </c>
      <c r="K11" s="29">
        <f>IF(J11="","",J11*0.028)</f>
        <v/>
      </c>
      <c r="L11" s="29">
        <f>IF(J11="","",J11*0.015)</f>
        <v/>
      </c>
      <c r="M11" s="29">
        <f>IF(J11="","",IFERROR(IF(J11&lt;=62000,0,IF(J11&lt;=146000,(J11-62000)*0.1,IF(J11&lt;=236000,8400+(J11-146000)*0.15,IF(J11&lt;=360000,21900+(J11-236000)*0.25,IF(J11&lt;=550000,51900+(J11-360000)*0.35,118400+(J11-550000)*0.4))))),0))</f>
        <v/>
      </c>
      <c r="N11" s="29">
        <f>IF(J11="","",SUM(K11:M11))</f>
        <v/>
      </c>
      <c r="O11" s="29">
        <f>IF(J11="","",J11-N11)</f>
        <v/>
      </c>
      <c r="P11" s="29">
        <f>IF(J11="","",J11*0.082)</f>
        <v/>
      </c>
      <c r="Q11" s="29">
        <f>IF(J11="","",J11+P11)</f>
        <v/>
      </c>
    </row>
    <row r="12" ht="22" customHeight="1">
      <c r="B12" s="10" t="inlineStr">
        <is>
          <t>EMP-008</t>
        </is>
      </c>
      <c r="C12" s="10" t="inlineStr">
        <is>
          <t>Ekode Aline</t>
        </is>
      </c>
      <c r="D12" s="30" t="inlineStr">
        <is>
          <t>Juin</t>
        </is>
      </c>
      <c r="E12" s="11">
        <f>VLOOKUP(B12,'_Données Employés'!$B$5:$S$114,16,FALSE)</f>
        <v/>
      </c>
      <c r="F12" s="11">
        <f>IF(E12="","",E12*0.05)</f>
        <v/>
      </c>
      <c r="G12" s="11">
        <f>IF(E12="","",E12*0.3)</f>
        <v/>
      </c>
      <c r="H12" s="11">
        <f>IF(E12="","",25000)</f>
        <v/>
      </c>
      <c r="I12" s="11">
        <f>IF(E12="","",SUM(F12:H12))</f>
        <v/>
      </c>
      <c r="J12" s="11">
        <f>IF(E12="","",E12+I12)</f>
        <v/>
      </c>
      <c r="K12" s="11">
        <f>IF(J12="","",J12*0.028)</f>
        <v/>
      </c>
      <c r="L12" s="11">
        <f>IF(J12="","",J12*0.015)</f>
        <v/>
      </c>
      <c r="M12" s="11">
        <f>IF(J12="","",IFERROR(IF(J12&lt;=62000,0,IF(J12&lt;=146000,(J12-62000)*0.1,IF(J12&lt;=236000,8400+(J12-146000)*0.15,IF(J12&lt;=360000,21900+(J12-236000)*0.25,IF(J12&lt;=550000,51900+(J12-360000)*0.35,118400+(J12-550000)*0.4))))),0))</f>
        <v/>
      </c>
      <c r="N12" s="11">
        <f>IF(J12="","",SUM(K12:M12))</f>
        <v/>
      </c>
      <c r="O12" s="11">
        <f>IF(J12="","",J12-N12)</f>
        <v/>
      </c>
      <c r="P12" s="11">
        <f>IF(J12="","",J12*0.082)</f>
        <v/>
      </c>
      <c r="Q12" s="11">
        <f>IF(J12="","",J12+P12)</f>
        <v/>
      </c>
    </row>
    <row r="13" ht="22" customHeight="1">
      <c r="B13" s="27" t="inlineStr">
        <is>
          <t>EMP-009</t>
        </is>
      </c>
      <c r="C13" s="27" t="inlineStr">
        <is>
          <t>Bouba Hassan</t>
        </is>
      </c>
      <c r="D13" s="28" t="inlineStr">
        <is>
          <t>Juin</t>
        </is>
      </c>
      <c r="E13" s="29">
        <f>VLOOKUP(B13,'_Données Employés'!$B$5:$S$114,16,FALSE)</f>
        <v/>
      </c>
      <c r="F13" s="29">
        <f>IF(E13="","",E13*0.05)</f>
        <v/>
      </c>
      <c r="G13" s="29">
        <f>IF(E13="","",E13*0.3)</f>
        <v/>
      </c>
      <c r="H13" s="29">
        <f>IF(E13="","",25000)</f>
        <v/>
      </c>
      <c r="I13" s="29">
        <f>IF(E13="","",SUM(F13:H13))</f>
        <v/>
      </c>
      <c r="J13" s="29">
        <f>IF(E13="","",E13+I13)</f>
        <v/>
      </c>
      <c r="K13" s="29">
        <f>IF(J13="","",J13*0.028)</f>
        <v/>
      </c>
      <c r="L13" s="29">
        <f>IF(J13="","",J13*0.015)</f>
        <v/>
      </c>
      <c r="M13" s="29">
        <f>IF(J13="","",IFERROR(IF(J13&lt;=62000,0,IF(J13&lt;=146000,(J13-62000)*0.1,IF(J13&lt;=236000,8400+(J13-146000)*0.15,IF(J13&lt;=360000,21900+(J13-236000)*0.25,IF(J13&lt;=550000,51900+(J13-360000)*0.35,118400+(J13-550000)*0.4))))),0))</f>
        <v/>
      </c>
      <c r="N13" s="29">
        <f>IF(J13="","",SUM(K13:M13))</f>
        <v/>
      </c>
      <c r="O13" s="29">
        <f>IF(J13="","",J13-N13)</f>
        <v/>
      </c>
      <c r="P13" s="29">
        <f>IF(J13="","",J13*0.082)</f>
        <v/>
      </c>
      <c r="Q13" s="29">
        <f>IF(J13="","",J13+P13)</f>
        <v/>
      </c>
    </row>
    <row r="14" ht="22" customHeight="1">
      <c r="B14" s="10" t="inlineStr">
        <is>
          <t>EMP-010</t>
        </is>
      </c>
      <c r="C14" s="10" t="inlineStr">
        <is>
          <t>Atangana Simon</t>
        </is>
      </c>
      <c r="D14" s="30" t="inlineStr">
        <is>
          <t>Juin</t>
        </is>
      </c>
      <c r="E14" s="11">
        <f>VLOOKUP(B14,'_Données Employés'!$B$5:$S$114,16,FALSE)</f>
        <v/>
      </c>
      <c r="F14" s="11">
        <f>IF(E14="","",E14*0.05)</f>
        <v/>
      </c>
      <c r="G14" s="11">
        <f>IF(E14="","",E14*0.3)</f>
        <v/>
      </c>
      <c r="H14" s="11">
        <f>IF(E14="","",25000)</f>
        <v/>
      </c>
      <c r="I14" s="11">
        <f>IF(E14="","",SUM(F14:H14))</f>
        <v/>
      </c>
      <c r="J14" s="11">
        <f>IF(E14="","",E14+I14)</f>
        <v/>
      </c>
      <c r="K14" s="11">
        <f>IF(J14="","",J14*0.028)</f>
        <v/>
      </c>
      <c r="L14" s="11">
        <f>IF(J14="","",J14*0.015)</f>
        <v/>
      </c>
      <c r="M14" s="11">
        <f>IF(J14="","",IFERROR(IF(J14&lt;=62000,0,IF(J14&lt;=146000,(J14-62000)*0.1,IF(J14&lt;=236000,8400+(J14-146000)*0.15,IF(J14&lt;=360000,21900+(J14-236000)*0.25,IF(J14&lt;=550000,51900+(J14-360000)*0.35,118400+(J14-550000)*0.4))))),0))</f>
        <v/>
      </c>
      <c r="N14" s="11">
        <f>IF(J14="","",SUM(K14:M14))</f>
        <v/>
      </c>
      <c r="O14" s="11">
        <f>IF(J14="","",J14-N14)</f>
        <v/>
      </c>
      <c r="P14" s="11">
        <f>IF(J14="","",J14*0.082)</f>
        <v/>
      </c>
      <c r="Q14" s="11">
        <f>IF(J14="","",J14+P14)</f>
        <v/>
      </c>
    </row>
    <row r="15" ht="22" customHeight="1">
      <c r="B15" s="31" t="inlineStr"/>
      <c r="C15" s="27">
        <f>IF(B15="","",VLOOKUP(B15,'_Données Employés'!$B$5:$S$114,3,FALSE))</f>
        <v/>
      </c>
      <c r="D15" s="28" t="inlineStr"/>
      <c r="E15" s="29">
        <f>IF(B15="","",VLOOKUP(B15,'_Données Employés'!$B$5:$S$114,16,FALSE))</f>
        <v/>
      </c>
      <c r="F15" s="29">
        <f>IF(E15="","",E15*0.05)</f>
        <v/>
      </c>
      <c r="G15" s="29">
        <f>IF(E15="","",E15*0.3)</f>
        <v/>
      </c>
      <c r="H15" s="29">
        <f>IF(E15="","",25000)</f>
        <v/>
      </c>
      <c r="I15" s="29">
        <f>IF(E15="","",SUM(F15:H15))</f>
        <v/>
      </c>
      <c r="J15" s="29">
        <f>IF(E15="","",E15+I15)</f>
        <v/>
      </c>
      <c r="K15" s="29">
        <f>IF(J15="","",J15*0.028)</f>
        <v/>
      </c>
      <c r="L15" s="29">
        <f>IF(J15="","",J15*0.015)</f>
        <v/>
      </c>
      <c r="M15" s="29">
        <f>IF(J15="","",IFERROR(IF(J15&lt;=62000,0,IF(J15&lt;=146000,(J15-62000)*0.1,IF(J15&lt;=236000,8400+(J15-146000)*0.15,IF(J15&lt;=360000,21900+(J15-236000)*0.25,IF(J15&lt;=550000,51900+(J15-360000)*0.35,118400+(J15-550000)*0.4))))),0))</f>
        <v/>
      </c>
      <c r="N15" s="29">
        <f>IF(J15="","",SUM(K15:M15))</f>
        <v/>
      </c>
      <c r="O15" s="29">
        <f>IF(J15="","",J15-N15)</f>
        <v/>
      </c>
      <c r="P15" s="29">
        <f>IF(J15="","",J15*0.082)</f>
        <v/>
      </c>
      <c r="Q15" s="29">
        <f>IF(J15="","",J15+P15)</f>
        <v/>
      </c>
    </row>
    <row r="16" ht="22" customHeight="1">
      <c r="B16" s="10" t="inlineStr"/>
      <c r="C16" s="10">
        <f>IF(B16="","",VLOOKUP(B16,'_Données Employés'!$B$5:$S$114,3,FALSE))</f>
        <v/>
      </c>
      <c r="D16" s="30" t="inlineStr"/>
      <c r="E16" s="11">
        <f>IF(B16="","",VLOOKUP(B16,'_Données Employés'!$B$5:$S$114,16,FALSE))</f>
        <v/>
      </c>
      <c r="F16" s="11">
        <f>IF(E16="","",E16*0.05)</f>
        <v/>
      </c>
      <c r="G16" s="11">
        <f>IF(E16="","",E16*0.3)</f>
        <v/>
      </c>
      <c r="H16" s="11">
        <f>IF(E16="","",25000)</f>
        <v/>
      </c>
      <c r="I16" s="11">
        <f>IF(E16="","",SUM(F16:H16))</f>
        <v/>
      </c>
      <c r="J16" s="11">
        <f>IF(E16="","",E16+I16)</f>
        <v/>
      </c>
      <c r="K16" s="11">
        <f>IF(J16="","",J16*0.028)</f>
        <v/>
      </c>
      <c r="L16" s="11">
        <f>IF(J16="","",J16*0.015)</f>
        <v/>
      </c>
      <c r="M16" s="11">
        <f>IF(J16="","",IFERROR(IF(J16&lt;=62000,0,IF(J16&lt;=146000,(J16-62000)*0.1,IF(J16&lt;=236000,8400+(J16-146000)*0.15,IF(J16&lt;=360000,21900+(J16-236000)*0.25,IF(J16&lt;=550000,51900+(J16-360000)*0.35,118400+(J16-550000)*0.4))))),0))</f>
        <v/>
      </c>
      <c r="N16" s="11">
        <f>IF(J16="","",SUM(K16:M16))</f>
        <v/>
      </c>
      <c r="O16" s="11">
        <f>IF(J16="","",J16-N16)</f>
        <v/>
      </c>
      <c r="P16" s="11">
        <f>IF(J16="","",J16*0.082)</f>
        <v/>
      </c>
      <c r="Q16" s="11">
        <f>IF(J16="","",J16+P16)</f>
        <v/>
      </c>
    </row>
    <row r="17" ht="22" customHeight="1">
      <c r="B17" s="27" t="inlineStr"/>
      <c r="C17" s="27">
        <f>IF(B17="","",VLOOKUP(B17,'_Données Employés'!$B$5:$S$114,3,FALSE))</f>
        <v/>
      </c>
      <c r="D17" s="28" t="inlineStr"/>
      <c r="E17" s="29">
        <f>IF(B17="","",VLOOKUP(B17,'_Données Employés'!$B$5:$S$114,16,FALSE))</f>
        <v/>
      </c>
      <c r="F17" s="29">
        <f>IF(E17="","",E17*0.05)</f>
        <v/>
      </c>
      <c r="G17" s="29">
        <f>IF(E17="","",E17*0.3)</f>
        <v/>
      </c>
      <c r="H17" s="29">
        <f>IF(E17="","",25000)</f>
        <v/>
      </c>
      <c r="I17" s="29">
        <f>IF(E17="","",SUM(F17:H17))</f>
        <v/>
      </c>
      <c r="J17" s="29">
        <f>IF(E17="","",E17+I17)</f>
        <v/>
      </c>
      <c r="K17" s="29">
        <f>IF(J17="","",J17*0.028)</f>
        <v/>
      </c>
      <c r="L17" s="29">
        <f>IF(J17="","",J17*0.015)</f>
        <v/>
      </c>
      <c r="M17" s="29">
        <f>IF(J17="","",IFERROR(IF(J17&lt;=62000,0,IF(J17&lt;=146000,(J17-62000)*0.1,IF(J17&lt;=236000,8400+(J17-146000)*0.15,IF(J17&lt;=360000,21900+(J17-236000)*0.25,IF(J17&lt;=550000,51900+(J17-360000)*0.35,118400+(J17-550000)*0.4))))),0))</f>
        <v/>
      </c>
      <c r="N17" s="29">
        <f>IF(J17="","",SUM(K17:M17))</f>
        <v/>
      </c>
      <c r="O17" s="29">
        <f>IF(J17="","",J17-N17)</f>
        <v/>
      </c>
      <c r="P17" s="29">
        <f>IF(J17="","",J17*0.082)</f>
        <v/>
      </c>
      <c r="Q17" s="29">
        <f>IF(J17="","",J17+P17)</f>
        <v/>
      </c>
    </row>
    <row r="18" ht="22" customHeight="1">
      <c r="B18" s="10" t="inlineStr"/>
      <c r="C18" s="10">
        <f>IF(B18="","",VLOOKUP(B18,'_Données Employés'!$B$5:$S$114,3,FALSE))</f>
        <v/>
      </c>
      <c r="D18" s="30" t="inlineStr"/>
      <c r="E18" s="11">
        <f>IF(B18="","",VLOOKUP(B18,'_Données Employés'!$B$5:$S$114,16,FALSE))</f>
        <v/>
      </c>
      <c r="F18" s="11">
        <f>IF(E18="","",E18*0.05)</f>
        <v/>
      </c>
      <c r="G18" s="11">
        <f>IF(E18="","",E18*0.3)</f>
        <v/>
      </c>
      <c r="H18" s="11">
        <f>IF(E18="","",25000)</f>
        <v/>
      </c>
      <c r="I18" s="11">
        <f>IF(E18="","",SUM(F18:H18))</f>
        <v/>
      </c>
      <c r="J18" s="11">
        <f>IF(E18="","",E18+I18)</f>
        <v/>
      </c>
      <c r="K18" s="11">
        <f>IF(J18="","",J18*0.028)</f>
        <v/>
      </c>
      <c r="L18" s="11">
        <f>IF(J18="","",J18*0.015)</f>
        <v/>
      </c>
      <c r="M18" s="11">
        <f>IF(J18="","",IFERROR(IF(J18&lt;=62000,0,IF(J18&lt;=146000,(J18-62000)*0.1,IF(J18&lt;=236000,8400+(J18-146000)*0.15,IF(J18&lt;=360000,21900+(J18-236000)*0.25,IF(J18&lt;=550000,51900+(J18-360000)*0.35,118400+(J18-550000)*0.4))))),0))</f>
        <v/>
      </c>
      <c r="N18" s="11">
        <f>IF(J18="","",SUM(K18:M18))</f>
        <v/>
      </c>
      <c r="O18" s="11">
        <f>IF(J18="","",J18-N18)</f>
        <v/>
      </c>
      <c r="P18" s="11">
        <f>IF(J18="","",J18*0.082)</f>
        <v/>
      </c>
      <c r="Q18" s="11">
        <f>IF(J18="","",J18+P18)</f>
        <v/>
      </c>
    </row>
    <row r="19" ht="22" customHeight="1">
      <c r="B19" s="27" t="inlineStr"/>
      <c r="C19" s="27">
        <f>IF(B19="","",VLOOKUP(B19,'_Données Employés'!$B$5:$S$114,3,FALSE))</f>
        <v/>
      </c>
      <c r="D19" s="28" t="inlineStr"/>
      <c r="E19" s="29">
        <f>IF(B19="","",VLOOKUP(B19,'_Données Employés'!$B$5:$S$114,16,FALSE))</f>
        <v/>
      </c>
      <c r="F19" s="29">
        <f>IF(E19="","",E19*0.05)</f>
        <v/>
      </c>
      <c r="G19" s="29">
        <f>IF(E19="","",E19*0.3)</f>
        <v/>
      </c>
      <c r="H19" s="29">
        <f>IF(E19="","",25000)</f>
        <v/>
      </c>
      <c r="I19" s="29">
        <f>IF(E19="","",SUM(F19:H19))</f>
        <v/>
      </c>
      <c r="J19" s="29">
        <f>IF(E19="","",E19+I19)</f>
        <v/>
      </c>
      <c r="K19" s="29">
        <f>IF(J19="","",J19*0.028)</f>
        <v/>
      </c>
      <c r="L19" s="29">
        <f>IF(J19="","",J19*0.015)</f>
        <v/>
      </c>
      <c r="M19" s="29">
        <f>IF(J19="","",IFERROR(IF(J19&lt;=62000,0,IF(J19&lt;=146000,(J19-62000)*0.1,IF(J19&lt;=236000,8400+(J19-146000)*0.15,IF(J19&lt;=360000,21900+(J19-236000)*0.25,IF(J19&lt;=550000,51900+(J19-360000)*0.35,118400+(J19-550000)*0.4))))),0))</f>
        <v/>
      </c>
      <c r="N19" s="29">
        <f>IF(J19="","",SUM(K19:M19))</f>
        <v/>
      </c>
      <c r="O19" s="29">
        <f>IF(J19="","",J19-N19)</f>
        <v/>
      </c>
      <c r="P19" s="29">
        <f>IF(J19="","",J19*0.082)</f>
        <v/>
      </c>
      <c r="Q19" s="29">
        <f>IF(J19="","",J19+P19)</f>
        <v/>
      </c>
    </row>
    <row r="20" ht="22" customHeight="1">
      <c r="B20" s="10" t="inlineStr"/>
      <c r="C20" s="10">
        <f>IF(B20="","",VLOOKUP(B20,'_Données Employés'!$B$5:$S$114,3,FALSE))</f>
        <v/>
      </c>
      <c r="D20" s="30" t="inlineStr"/>
      <c r="E20" s="11">
        <f>IF(B20="","",VLOOKUP(B20,'_Données Employés'!$B$5:$S$114,16,FALSE))</f>
        <v/>
      </c>
      <c r="F20" s="11">
        <f>IF(E20="","",E20*0.05)</f>
        <v/>
      </c>
      <c r="G20" s="11">
        <f>IF(E20="","",E20*0.3)</f>
        <v/>
      </c>
      <c r="H20" s="11">
        <f>IF(E20="","",25000)</f>
        <v/>
      </c>
      <c r="I20" s="11">
        <f>IF(E20="","",SUM(F20:H20))</f>
        <v/>
      </c>
      <c r="J20" s="11">
        <f>IF(E20="","",E20+I20)</f>
        <v/>
      </c>
      <c r="K20" s="11">
        <f>IF(J20="","",J20*0.028)</f>
        <v/>
      </c>
      <c r="L20" s="11">
        <f>IF(J20="","",J20*0.015)</f>
        <v/>
      </c>
      <c r="M20" s="11">
        <f>IF(J20="","",IFERROR(IF(J20&lt;=62000,0,IF(J20&lt;=146000,(J20-62000)*0.1,IF(J20&lt;=236000,8400+(J20-146000)*0.15,IF(J20&lt;=360000,21900+(J20-236000)*0.25,IF(J20&lt;=550000,51900+(J20-360000)*0.35,118400+(J20-550000)*0.4))))),0))</f>
        <v/>
      </c>
      <c r="N20" s="11">
        <f>IF(J20="","",SUM(K20:M20))</f>
        <v/>
      </c>
      <c r="O20" s="11">
        <f>IF(J20="","",J20-N20)</f>
        <v/>
      </c>
      <c r="P20" s="11">
        <f>IF(J20="","",J20*0.082)</f>
        <v/>
      </c>
      <c r="Q20" s="11">
        <f>IF(J20="","",J20+P20)</f>
        <v/>
      </c>
    </row>
    <row r="21" ht="22" customHeight="1">
      <c r="B21" s="27" t="inlineStr"/>
      <c r="C21" s="27">
        <f>IF(B21="","",VLOOKUP(B21,'_Données Employés'!$B$5:$S$114,3,FALSE))</f>
        <v/>
      </c>
      <c r="D21" s="28" t="inlineStr"/>
      <c r="E21" s="29">
        <f>IF(B21="","",VLOOKUP(B21,'_Données Employés'!$B$5:$S$114,16,FALSE))</f>
        <v/>
      </c>
      <c r="F21" s="29">
        <f>IF(E21="","",E21*0.05)</f>
        <v/>
      </c>
      <c r="G21" s="29">
        <f>IF(E21="","",E21*0.3)</f>
        <v/>
      </c>
      <c r="H21" s="29">
        <f>IF(E21="","",25000)</f>
        <v/>
      </c>
      <c r="I21" s="29">
        <f>IF(E21="","",SUM(F21:H21))</f>
        <v/>
      </c>
      <c r="J21" s="29">
        <f>IF(E21="","",E21+I21)</f>
        <v/>
      </c>
      <c r="K21" s="29">
        <f>IF(J21="","",J21*0.028)</f>
        <v/>
      </c>
      <c r="L21" s="29">
        <f>IF(J21="","",J21*0.015)</f>
        <v/>
      </c>
      <c r="M21" s="29">
        <f>IF(J21="","",IFERROR(IF(J21&lt;=62000,0,IF(J21&lt;=146000,(J21-62000)*0.1,IF(J21&lt;=236000,8400+(J21-146000)*0.15,IF(J21&lt;=360000,21900+(J21-236000)*0.25,IF(J21&lt;=550000,51900+(J21-360000)*0.35,118400+(J21-550000)*0.4))))),0))</f>
        <v/>
      </c>
      <c r="N21" s="29">
        <f>IF(J21="","",SUM(K21:M21))</f>
        <v/>
      </c>
      <c r="O21" s="29">
        <f>IF(J21="","",J21-N21)</f>
        <v/>
      </c>
      <c r="P21" s="29">
        <f>IF(J21="","",J21*0.082)</f>
        <v/>
      </c>
      <c r="Q21" s="29">
        <f>IF(J21="","",J21+P21)</f>
        <v/>
      </c>
    </row>
    <row r="22" ht="22" customHeight="1">
      <c r="B22" s="10" t="inlineStr"/>
      <c r="C22" s="10">
        <f>IF(B22="","",VLOOKUP(B22,'_Données Employés'!$B$5:$S$114,3,FALSE))</f>
        <v/>
      </c>
      <c r="D22" s="30" t="inlineStr"/>
      <c r="E22" s="11">
        <f>IF(B22="","",VLOOKUP(B22,'_Données Employés'!$B$5:$S$114,16,FALSE))</f>
        <v/>
      </c>
      <c r="F22" s="11">
        <f>IF(E22="","",E22*0.05)</f>
        <v/>
      </c>
      <c r="G22" s="11">
        <f>IF(E22="","",E22*0.3)</f>
        <v/>
      </c>
      <c r="H22" s="11">
        <f>IF(E22="","",25000)</f>
        <v/>
      </c>
      <c r="I22" s="11">
        <f>IF(E22="","",SUM(F22:H22))</f>
        <v/>
      </c>
      <c r="J22" s="11">
        <f>IF(E22="","",E22+I22)</f>
        <v/>
      </c>
      <c r="K22" s="11">
        <f>IF(J22="","",J22*0.028)</f>
        <v/>
      </c>
      <c r="L22" s="11">
        <f>IF(J22="","",J22*0.015)</f>
        <v/>
      </c>
      <c r="M22" s="11">
        <f>IF(J22="","",IFERROR(IF(J22&lt;=62000,0,IF(J22&lt;=146000,(J22-62000)*0.1,IF(J22&lt;=236000,8400+(J22-146000)*0.15,IF(J22&lt;=360000,21900+(J22-236000)*0.25,IF(J22&lt;=550000,51900+(J22-360000)*0.35,118400+(J22-550000)*0.4))))),0))</f>
        <v/>
      </c>
      <c r="N22" s="11">
        <f>IF(J22="","",SUM(K22:M22))</f>
        <v/>
      </c>
      <c r="O22" s="11">
        <f>IF(J22="","",J22-N22)</f>
        <v/>
      </c>
      <c r="P22" s="11">
        <f>IF(J22="","",J22*0.082)</f>
        <v/>
      </c>
      <c r="Q22" s="11">
        <f>IF(J22="","",J22+P22)</f>
        <v/>
      </c>
    </row>
    <row r="23" ht="22" customHeight="1">
      <c r="B23" s="27" t="inlineStr"/>
      <c r="C23" s="27">
        <f>IF(B23="","",VLOOKUP(B23,'_Données Employés'!$B$5:$S$114,3,FALSE))</f>
        <v/>
      </c>
      <c r="D23" s="28" t="inlineStr"/>
      <c r="E23" s="29">
        <f>IF(B23="","",VLOOKUP(B23,'_Données Employés'!$B$5:$S$114,16,FALSE))</f>
        <v/>
      </c>
      <c r="F23" s="29">
        <f>IF(E23="","",E23*0.05)</f>
        <v/>
      </c>
      <c r="G23" s="29">
        <f>IF(E23="","",E23*0.3)</f>
        <v/>
      </c>
      <c r="H23" s="29">
        <f>IF(E23="","",25000)</f>
        <v/>
      </c>
      <c r="I23" s="29">
        <f>IF(E23="","",SUM(F23:H23))</f>
        <v/>
      </c>
      <c r="J23" s="29">
        <f>IF(E23="","",E23+I23)</f>
        <v/>
      </c>
      <c r="K23" s="29">
        <f>IF(J23="","",J23*0.028)</f>
        <v/>
      </c>
      <c r="L23" s="29">
        <f>IF(J23="","",J23*0.015)</f>
        <v/>
      </c>
      <c r="M23" s="29">
        <f>IF(J23="","",IFERROR(IF(J23&lt;=62000,0,IF(J23&lt;=146000,(J23-62000)*0.1,IF(J23&lt;=236000,8400+(J23-146000)*0.15,IF(J23&lt;=360000,21900+(J23-236000)*0.25,IF(J23&lt;=550000,51900+(J23-360000)*0.35,118400+(J23-550000)*0.4))))),0))</f>
        <v/>
      </c>
      <c r="N23" s="29">
        <f>IF(J23="","",SUM(K23:M23))</f>
        <v/>
      </c>
      <c r="O23" s="29">
        <f>IF(J23="","",J23-N23)</f>
        <v/>
      </c>
      <c r="P23" s="29">
        <f>IF(J23="","",J23*0.082)</f>
        <v/>
      </c>
      <c r="Q23" s="29">
        <f>IF(J23="","",J23+P23)</f>
        <v/>
      </c>
    </row>
    <row r="24" ht="22" customHeight="1">
      <c r="B24" s="10" t="inlineStr"/>
      <c r="C24" s="10">
        <f>IF(B24="","",VLOOKUP(B24,'_Données Employés'!$B$5:$S$114,3,FALSE))</f>
        <v/>
      </c>
      <c r="D24" s="30" t="inlineStr"/>
      <c r="E24" s="11">
        <f>IF(B24="","",VLOOKUP(B24,'_Données Employés'!$B$5:$S$114,16,FALSE))</f>
        <v/>
      </c>
      <c r="F24" s="11">
        <f>IF(E24="","",E24*0.05)</f>
        <v/>
      </c>
      <c r="G24" s="11">
        <f>IF(E24="","",E24*0.3)</f>
        <v/>
      </c>
      <c r="H24" s="11">
        <f>IF(E24="","",25000)</f>
        <v/>
      </c>
      <c r="I24" s="11">
        <f>IF(E24="","",SUM(F24:H24))</f>
        <v/>
      </c>
      <c r="J24" s="11">
        <f>IF(E24="","",E24+I24)</f>
        <v/>
      </c>
      <c r="K24" s="11">
        <f>IF(J24="","",J24*0.028)</f>
        <v/>
      </c>
      <c r="L24" s="11">
        <f>IF(J24="","",J24*0.015)</f>
        <v/>
      </c>
      <c r="M24" s="11">
        <f>IF(J24="","",IFERROR(IF(J24&lt;=62000,0,IF(J24&lt;=146000,(J24-62000)*0.1,IF(J24&lt;=236000,8400+(J24-146000)*0.15,IF(J24&lt;=360000,21900+(J24-236000)*0.25,IF(J24&lt;=550000,51900+(J24-360000)*0.35,118400+(J24-550000)*0.4))))),0))</f>
        <v/>
      </c>
      <c r="N24" s="11">
        <f>IF(J24="","",SUM(K24:M24))</f>
        <v/>
      </c>
      <c r="O24" s="11">
        <f>IF(J24="","",J24-N24)</f>
        <v/>
      </c>
      <c r="P24" s="11">
        <f>IF(J24="","",J24*0.082)</f>
        <v/>
      </c>
      <c r="Q24" s="11">
        <f>IF(J24="","",J24+P24)</f>
        <v/>
      </c>
    </row>
    <row r="25" ht="22" customHeight="1">
      <c r="B25" s="27" t="inlineStr"/>
      <c r="C25" s="27">
        <f>IF(B25="","",VLOOKUP(B25,'_Données Employés'!$B$5:$S$114,3,FALSE))</f>
        <v/>
      </c>
      <c r="D25" s="28" t="inlineStr"/>
      <c r="E25" s="29">
        <f>IF(B25="","",VLOOKUP(B25,'_Données Employés'!$B$5:$S$114,16,FALSE))</f>
        <v/>
      </c>
      <c r="F25" s="29">
        <f>IF(E25="","",E25*0.05)</f>
        <v/>
      </c>
      <c r="G25" s="29">
        <f>IF(E25="","",E25*0.3)</f>
        <v/>
      </c>
      <c r="H25" s="29">
        <f>IF(E25="","",25000)</f>
        <v/>
      </c>
      <c r="I25" s="29">
        <f>IF(E25="","",SUM(F25:H25))</f>
        <v/>
      </c>
      <c r="J25" s="29">
        <f>IF(E25="","",E25+I25)</f>
        <v/>
      </c>
      <c r="K25" s="29">
        <f>IF(J25="","",J25*0.028)</f>
        <v/>
      </c>
      <c r="L25" s="29">
        <f>IF(J25="","",J25*0.015)</f>
        <v/>
      </c>
      <c r="M25" s="29">
        <f>IF(J25="","",IFERROR(IF(J25&lt;=62000,0,IF(J25&lt;=146000,(J25-62000)*0.1,IF(J25&lt;=236000,8400+(J25-146000)*0.15,IF(J25&lt;=360000,21900+(J25-236000)*0.25,IF(J25&lt;=550000,51900+(J25-360000)*0.35,118400+(J25-550000)*0.4))))),0))</f>
        <v/>
      </c>
      <c r="N25" s="29">
        <f>IF(J25="","",SUM(K25:M25))</f>
        <v/>
      </c>
      <c r="O25" s="29">
        <f>IF(J25="","",J25-N25)</f>
        <v/>
      </c>
      <c r="P25" s="29">
        <f>IF(J25="","",J25*0.082)</f>
        <v/>
      </c>
      <c r="Q25" s="29">
        <f>IF(J25="","",J25+P25)</f>
        <v/>
      </c>
    </row>
    <row r="26" ht="22" customHeight="1">
      <c r="B26" s="10" t="inlineStr"/>
      <c r="C26" s="10">
        <f>IF(B26="","",VLOOKUP(B26,'_Données Employés'!$B$5:$S$114,3,FALSE))</f>
        <v/>
      </c>
      <c r="D26" s="30" t="inlineStr"/>
      <c r="E26" s="11">
        <f>IF(B26="","",VLOOKUP(B26,'_Données Employés'!$B$5:$S$114,16,FALSE))</f>
        <v/>
      </c>
      <c r="F26" s="11">
        <f>IF(E26="","",E26*0.05)</f>
        <v/>
      </c>
      <c r="G26" s="11">
        <f>IF(E26="","",E26*0.3)</f>
        <v/>
      </c>
      <c r="H26" s="11">
        <f>IF(E26="","",25000)</f>
        <v/>
      </c>
      <c r="I26" s="11">
        <f>IF(E26="","",SUM(F26:H26))</f>
        <v/>
      </c>
      <c r="J26" s="11">
        <f>IF(E26="","",E26+I26)</f>
        <v/>
      </c>
      <c r="K26" s="11">
        <f>IF(J26="","",J26*0.028)</f>
        <v/>
      </c>
      <c r="L26" s="11">
        <f>IF(J26="","",J26*0.015)</f>
        <v/>
      </c>
      <c r="M26" s="11">
        <f>IF(J26="","",IFERROR(IF(J26&lt;=62000,0,IF(J26&lt;=146000,(J26-62000)*0.1,IF(J26&lt;=236000,8400+(J26-146000)*0.15,IF(J26&lt;=360000,21900+(J26-236000)*0.25,IF(J26&lt;=550000,51900+(J26-360000)*0.35,118400+(J26-550000)*0.4))))),0))</f>
        <v/>
      </c>
      <c r="N26" s="11">
        <f>IF(J26="","",SUM(K26:M26))</f>
        <v/>
      </c>
      <c r="O26" s="11">
        <f>IF(J26="","",J26-N26)</f>
        <v/>
      </c>
      <c r="P26" s="11">
        <f>IF(J26="","",J26*0.082)</f>
        <v/>
      </c>
      <c r="Q26" s="11">
        <f>IF(J26="","",J26+P26)</f>
        <v/>
      </c>
    </row>
    <row r="27" ht="22" customHeight="1">
      <c r="B27" s="27" t="inlineStr"/>
      <c r="C27" s="27">
        <f>IF(B27="","",VLOOKUP(B27,'_Données Employés'!$B$5:$S$114,3,FALSE))</f>
        <v/>
      </c>
      <c r="D27" s="28" t="inlineStr"/>
      <c r="E27" s="29">
        <f>IF(B27="","",VLOOKUP(B27,'_Données Employés'!$B$5:$S$114,16,FALSE))</f>
        <v/>
      </c>
      <c r="F27" s="29">
        <f>IF(E27="","",E27*0.05)</f>
        <v/>
      </c>
      <c r="G27" s="29">
        <f>IF(E27="","",E27*0.3)</f>
        <v/>
      </c>
      <c r="H27" s="29">
        <f>IF(E27="","",25000)</f>
        <v/>
      </c>
      <c r="I27" s="29">
        <f>IF(E27="","",SUM(F27:H27))</f>
        <v/>
      </c>
      <c r="J27" s="29">
        <f>IF(E27="","",E27+I27)</f>
        <v/>
      </c>
      <c r="K27" s="29">
        <f>IF(J27="","",J27*0.028)</f>
        <v/>
      </c>
      <c r="L27" s="29">
        <f>IF(J27="","",J27*0.015)</f>
        <v/>
      </c>
      <c r="M27" s="29">
        <f>IF(J27="","",IFERROR(IF(J27&lt;=62000,0,IF(J27&lt;=146000,(J27-62000)*0.1,IF(J27&lt;=236000,8400+(J27-146000)*0.15,IF(J27&lt;=360000,21900+(J27-236000)*0.25,IF(J27&lt;=550000,51900+(J27-360000)*0.35,118400+(J27-550000)*0.4))))),0))</f>
        <v/>
      </c>
      <c r="N27" s="29">
        <f>IF(J27="","",SUM(K27:M27))</f>
        <v/>
      </c>
      <c r="O27" s="29">
        <f>IF(J27="","",J27-N27)</f>
        <v/>
      </c>
      <c r="P27" s="29">
        <f>IF(J27="","",J27*0.082)</f>
        <v/>
      </c>
      <c r="Q27" s="29">
        <f>IF(J27="","",J27+P27)</f>
        <v/>
      </c>
    </row>
    <row r="28" ht="22" customHeight="1">
      <c r="B28" s="10" t="inlineStr"/>
      <c r="C28" s="10">
        <f>IF(B28="","",VLOOKUP(B28,'_Données Employés'!$B$5:$S$114,3,FALSE))</f>
        <v/>
      </c>
      <c r="D28" s="30" t="inlineStr"/>
      <c r="E28" s="11">
        <f>IF(B28="","",VLOOKUP(B28,'_Données Employés'!$B$5:$S$114,16,FALSE))</f>
        <v/>
      </c>
      <c r="F28" s="11">
        <f>IF(E28="","",E28*0.05)</f>
        <v/>
      </c>
      <c r="G28" s="11">
        <f>IF(E28="","",E28*0.3)</f>
        <v/>
      </c>
      <c r="H28" s="11">
        <f>IF(E28="","",25000)</f>
        <v/>
      </c>
      <c r="I28" s="11">
        <f>IF(E28="","",SUM(F28:H28))</f>
        <v/>
      </c>
      <c r="J28" s="11">
        <f>IF(E28="","",E28+I28)</f>
        <v/>
      </c>
      <c r="K28" s="11">
        <f>IF(J28="","",J28*0.028)</f>
        <v/>
      </c>
      <c r="L28" s="11">
        <f>IF(J28="","",J28*0.015)</f>
        <v/>
      </c>
      <c r="M28" s="11">
        <f>IF(J28="","",IFERROR(IF(J28&lt;=62000,0,IF(J28&lt;=146000,(J28-62000)*0.1,IF(J28&lt;=236000,8400+(J28-146000)*0.15,IF(J28&lt;=360000,21900+(J28-236000)*0.25,IF(J28&lt;=550000,51900+(J28-360000)*0.35,118400+(J28-550000)*0.4))))),0))</f>
        <v/>
      </c>
      <c r="N28" s="11">
        <f>IF(J28="","",SUM(K28:M28))</f>
        <v/>
      </c>
      <c r="O28" s="11">
        <f>IF(J28="","",J28-N28)</f>
        <v/>
      </c>
      <c r="P28" s="11">
        <f>IF(J28="","",J28*0.082)</f>
        <v/>
      </c>
      <c r="Q28" s="11">
        <f>IF(J28="","",J28+P28)</f>
        <v/>
      </c>
    </row>
    <row r="29" ht="22" customHeight="1">
      <c r="B29" s="27" t="inlineStr"/>
      <c r="C29" s="27">
        <f>IF(B29="","",VLOOKUP(B29,'_Données Employés'!$B$5:$S$114,3,FALSE))</f>
        <v/>
      </c>
      <c r="D29" s="28" t="inlineStr"/>
      <c r="E29" s="29">
        <f>IF(B29="","",VLOOKUP(B29,'_Données Employés'!$B$5:$S$114,16,FALSE))</f>
        <v/>
      </c>
      <c r="F29" s="29">
        <f>IF(E29="","",E29*0.05)</f>
        <v/>
      </c>
      <c r="G29" s="29">
        <f>IF(E29="","",E29*0.3)</f>
        <v/>
      </c>
      <c r="H29" s="29">
        <f>IF(E29="","",25000)</f>
        <v/>
      </c>
      <c r="I29" s="29">
        <f>IF(E29="","",SUM(F29:H29))</f>
        <v/>
      </c>
      <c r="J29" s="29">
        <f>IF(E29="","",E29+I29)</f>
        <v/>
      </c>
      <c r="K29" s="29">
        <f>IF(J29="","",J29*0.028)</f>
        <v/>
      </c>
      <c r="L29" s="29">
        <f>IF(J29="","",J29*0.015)</f>
        <v/>
      </c>
      <c r="M29" s="29">
        <f>IF(J29="","",IFERROR(IF(J29&lt;=62000,0,IF(J29&lt;=146000,(J29-62000)*0.1,IF(J29&lt;=236000,8400+(J29-146000)*0.15,IF(J29&lt;=360000,21900+(J29-236000)*0.25,IF(J29&lt;=550000,51900+(J29-360000)*0.35,118400+(J29-550000)*0.4))))),0))</f>
        <v/>
      </c>
      <c r="N29" s="29">
        <f>IF(J29="","",SUM(K29:M29))</f>
        <v/>
      </c>
      <c r="O29" s="29">
        <f>IF(J29="","",J29-N29)</f>
        <v/>
      </c>
      <c r="P29" s="29">
        <f>IF(J29="","",J29*0.082)</f>
        <v/>
      </c>
      <c r="Q29" s="29">
        <f>IF(J29="","",J29+P29)</f>
        <v/>
      </c>
    </row>
    <row r="30" ht="22" customHeight="1">
      <c r="B30" s="10" t="inlineStr"/>
      <c r="C30" s="10">
        <f>IF(B30="","",VLOOKUP(B30,'_Données Employés'!$B$5:$S$114,3,FALSE))</f>
        <v/>
      </c>
      <c r="D30" s="30" t="inlineStr"/>
      <c r="E30" s="11">
        <f>IF(B30="","",VLOOKUP(B30,'_Données Employés'!$B$5:$S$114,16,FALSE))</f>
        <v/>
      </c>
      <c r="F30" s="11">
        <f>IF(E30="","",E30*0.05)</f>
        <v/>
      </c>
      <c r="G30" s="11">
        <f>IF(E30="","",E30*0.3)</f>
        <v/>
      </c>
      <c r="H30" s="11">
        <f>IF(E30="","",25000)</f>
        <v/>
      </c>
      <c r="I30" s="11">
        <f>IF(E30="","",SUM(F30:H30))</f>
        <v/>
      </c>
      <c r="J30" s="11">
        <f>IF(E30="","",E30+I30)</f>
        <v/>
      </c>
      <c r="K30" s="11">
        <f>IF(J30="","",J30*0.028)</f>
        <v/>
      </c>
      <c r="L30" s="11">
        <f>IF(J30="","",J30*0.015)</f>
        <v/>
      </c>
      <c r="M30" s="11">
        <f>IF(J30="","",IFERROR(IF(J30&lt;=62000,0,IF(J30&lt;=146000,(J30-62000)*0.1,IF(J30&lt;=236000,8400+(J30-146000)*0.15,IF(J30&lt;=360000,21900+(J30-236000)*0.25,IF(J30&lt;=550000,51900+(J30-360000)*0.35,118400+(J30-550000)*0.4))))),0))</f>
        <v/>
      </c>
      <c r="N30" s="11">
        <f>IF(J30="","",SUM(K30:M30))</f>
        <v/>
      </c>
      <c r="O30" s="11">
        <f>IF(J30="","",J30-N30)</f>
        <v/>
      </c>
      <c r="P30" s="11">
        <f>IF(J30="","",J30*0.082)</f>
        <v/>
      </c>
      <c r="Q30" s="11">
        <f>IF(J30="","",J30+P30)</f>
        <v/>
      </c>
    </row>
    <row r="31" ht="22" customHeight="1">
      <c r="B31" s="27" t="inlineStr"/>
      <c r="C31" s="27">
        <f>IF(B31="","",VLOOKUP(B31,'_Données Employés'!$B$5:$S$114,3,FALSE))</f>
        <v/>
      </c>
      <c r="D31" s="28" t="inlineStr"/>
      <c r="E31" s="29">
        <f>IF(B31="","",VLOOKUP(B31,'_Données Employés'!$B$5:$S$114,16,FALSE))</f>
        <v/>
      </c>
      <c r="F31" s="29">
        <f>IF(E31="","",E31*0.05)</f>
        <v/>
      </c>
      <c r="G31" s="29">
        <f>IF(E31="","",E31*0.3)</f>
        <v/>
      </c>
      <c r="H31" s="29">
        <f>IF(E31="","",25000)</f>
        <v/>
      </c>
      <c r="I31" s="29">
        <f>IF(E31="","",SUM(F31:H31))</f>
        <v/>
      </c>
      <c r="J31" s="29">
        <f>IF(E31="","",E31+I31)</f>
        <v/>
      </c>
      <c r="K31" s="29">
        <f>IF(J31="","",J31*0.028)</f>
        <v/>
      </c>
      <c r="L31" s="29">
        <f>IF(J31="","",J31*0.015)</f>
        <v/>
      </c>
      <c r="M31" s="29">
        <f>IF(J31="","",IFERROR(IF(J31&lt;=62000,0,IF(J31&lt;=146000,(J31-62000)*0.1,IF(J31&lt;=236000,8400+(J31-146000)*0.15,IF(J31&lt;=360000,21900+(J31-236000)*0.25,IF(J31&lt;=550000,51900+(J31-360000)*0.35,118400+(J31-550000)*0.4))))),0))</f>
        <v/>
      </c>
      <c r="N31" s="29">
        <f>IF(J31="","",SUM(K31:M31))</f>
        <v/>
      </c>
      <c r="O31" s="29">
        <f>IF(J31="","",J31-N31)</f>
        <v/>
      </c>
      <c r="P31" s="29">
        <f>IF(J31="","",J31*0.082)</f>
        <v/>
      </c>
      <c r="Q31" s="29">
        <f>IF(J31="","",J31+P31)</f>
        <v/>
      </c>
    </row>
    <row r="32" ht="22" customHeight="1">
      <c r="B32" s="10" t="inlineStr"/>
      <c r="C32" s="10">
        <f>IF(B32="","",VLOOKUP(B32,'_Données Employés'!$B$5:$S$114,3,FALSE))</f>
        <v/>
      </c>
      <c r="D32" s="30" t="inlineStr"/>
      <c r="E32" s="11">
        <f>IF(B32="","",VLOOKUP(B32,'_Données Employés'!$B$5:$S$114,16,FALSE))</f>
        <v/>
      </c>
      <c r="F32" s="11">
        <f>IF(E32="","",E32*0.05)</f>
        <v/>
      </c>
      <c r="G32" s="11">
        <f>IF(E32="","",E32*0.3)</f>
        <v/>
      </c>
      <c r="H32" s="11">
        <f>IF(E32="","",25000)</f>
        <v/>
      </c>
      <c r="I32" s="11">
        <f>IF(E32="","",SUM(F32:H32))</f>
        <v/>
      </c>
      <c r="J32" s="11">
        <f>IF(E32="","",E32+I32)</f>
        <v/>
      </c>
      <c r="K32" s="11">
        <f>IF(J32="","",J32*0.028)</f>
        <v/>
      </c>
      <c r="L32" s="11">
        <f>IF(J32="","",J32*0.015)</f>
        <v/>
      </c>
      <c r="M32" s="11">
        <f>IF(J32="","",IFERROR(IF(J32&lt;=62000,0,IF(J32&lt;=146000,(J32-62000)*0.1,IF(J32&lt;=236000,8400+(J32-146000)*0.15,IF(J32&lt;=360000,21900+(J32-236000)*0.25,IF(J32&lt;=550000,51900+(J32-360000)*0.35,118400+(J32-550000)*0.4))))),0))</f>
        <v/>
      </c>
      <c r="N32" s="11">
        <f>IF(J32="","",SUM(K32:M32))</f>
        <v/>
      </c>
      <c r="O32" s="11">
        <f>IF(J32="","",J32-N32)</f>
        <v/>
      </c>
      <c r="P32" s="11">
        <f>IF(J32="","",J32*0.082)</f>
        <v/>
      </c>
      <c r="Q32" s="11">
        <f>IF(J32="","",J32+P32)</f>
        <v/>
      </c>
    </row>
    <row r="33" ht="22" customHeight="1">
      <c r="B33" s="27" t="inlineStr"/>
      <c r="C33" s="27">
        <f>IF(B33="","",VLOOKUP(B33,'_Données Employés'!$B$5:$S$114,3,FALSE))</f>
        <v/>
      </c>
      <c r="D33" s="28" t="inlineStr"/>
      <c r="E33" s="29">
        <f>IF(B33="","",VLOOKUP(B33,'_Données Employés'!$B$5:$S$114,16,FALSE))</f>
        <v/>
      </c>
      <c r="F33" s="29">
        <f>IF(E33="","",E33*0.05)</f>
        <v/>
      </c>
      <c r="G33" s="29">
        <f>IF(E33="","",E33*0.3)</f>
        <v/>
      </c>
      <c r="H33" s="29">
        <f>IF(E33="","",25000)</f>
        <v/>
      </c>
      <c r="I33" s="29">
        <f>IF(E33="","",SUM(F33:H33))</f>
        <v/>
      </c>
      <c r="J33" s="29">
        <f>IF(E33="","",E33+I33)</f>
        <v/>
      </c>
      <c r="K33" s="29">
        <f>IF(J33="","",J33*0.028)</f>
        <v/>
      </c>
      <c r="L33" s="29">
        <f>IF(J33="","",J33*0.015)</f>
        <v/>
      </c>
      <c r="M33" s="29">
        <f>IF(J33="","",IFERROR(IF(J33&lt;=62000,0,IF(J33&lt;=146000,(J33-62000)*0.1,IF(J33&lt;=236000,8400+(J33-146000)*0.15,IF(J33&lt;=360000,21900+(J33-236000)*0.25,IF(J33&lt;=550000,51900+(J33-360000)*0.35,118400+(J33-550000)*0.4))))),0))</f>
        <v/>
      </c>
      <c r="N33" s="29">
        <f>IF(J33="","",SUM(K33:M33))</f>
        <v/>
      </c>
      <c r="O33" s="29">
        <f>IF(J33="","",J33-N33)</f>
        <v/>
      </c>
      <c r="P33" s="29">
        <f>IF(J33="","",J33*0.082)</f>
        <v/>
      </c>
      <c r="Q33" s="29">
        <f>IF(J33="","",J33+P33)</f>
        <v/>
      </c>
    </row>
    <row r="34" ht="22" customHeight="1">
      <c r="B34" s="10" t="inlineStr"/>
      <c r="C34" s="10">
        <f>IF(B34="","",VLOOKUP(B34,'_Données Employés'!$B$5:$S$114,3,FALSE))</f>
        <v/>
      </c>
      <c r="D34" s="30" t="inlineStr"/>
      <c r="E34" s="11">
        <f>IF(B34="","",VLOOKUP(B34,'_Données Employés'!$B$5:$S$114,16,FALSE))</f>
        <v/>
      </c>
      <c r="F34" s="11">
        <f>IF(E34="","",E34*0.05)</f>
        <v/>
      </c>
      <c r="G34" s="11">
        <f>IF(E34="","",E34*0.3)</f>
        <v/>
      </c>
      <c r="H34" s="11">
        <f>IF(E34="","",25000)</f>
        <v/>
      </c>
      <c r="I34" s="11">
        <f>IF(E34="","",SUM(F34:H34))</f>
        <v/>
      </c>
      <c r="J34" s="11">
        <f>IF(E34="","",E34+I34)</f>
        <v/>
      </c>
      <c r="K34" s="11">
        <f>IF(J34="","",J34*0.028)</f>
        <v/>
      </c>
      <c r="L34" s="11">
        <f>IF(J34="","",J34*0.015)</f>
        <v/>
      </c>
      <c r="M34" s="11">
        <f>IF(J34="","",IFERROR(IF(J34&lt;=62000,0,IF(J34&lt;=146000,(J34-62000)*0.1,IF(J34&lt;=236000,8400+(J34-146000)*0.15,IF(J34&lt;=360000,21900+(J34-236000)*0.25,IF(J34&lt;=550000,51900+(J34-360000)*0.35,118400+(J34-550000)*0.4))))),0))</f>
        <v/>
      </c>
      <c r="N34" s="11">
        <f>IF(J34="","",SUM(K34:M34))</f>
        <v/>
      </c>
      <c r="O34" s="11">
        <f>IF(J34="","",J34-N34)</f>
        <v/>
      </c>
      <c r="P34" s="11">
        <f>IF(J34="","",J34*0.082)</f>
        <v/>
      </c>
      <c r="Q34" s="11">
        <f>IF(J34="","",J34+P34)</f>
        <v/>
      </c>
    </row>
    <row r="35" ht="22" customHeight="1">
      <c r="B35" s="27" t="inlineStr"/>
      <c r="C35" s="27">
        <f>IF(B35="","",VLOOKUP(B35,'_Données Employés'!$B$5:$S$114,3,FALSE))</f>
        <v/>
      </c>
      <c r="D35" s="28" t="inlineStr"/>
      <c r="E35" s="29">
        <f>IF(B35="","",VLOOKUP(B35,'_Données Employés'!$B$5:$S$114,16,FALSE))</f>
        <v/>
      </c>
      <c r="F35" s="29">
        <f>IF(E35="","",E35*0.05)</f>
        <v/>
      </c>
      <c r="G35" s="29">
        <f>IF(E35="","",E35*0.3)</f>
        <v/>
      </c>
      <c r="H35" s="29">
        <f>IF(E35="","",25000)</f>
        <v/>
      </c>
      <c r="I35" s="29">
        <f>IF(E35="","",SUM(F35:H35))</f>
        <v/>
      </c>
      <c r="J35" s="29">
        <f>IF(E35="","",E35+I35)</f>
        <v/>
      </c>
      <c r="K35" s="29">
        <f>IF(J35="","",J35*0.028)</f>
        <v/>
      </c>
      <c r="L35" s="29">
        <f>IF(J35="","",J35*0.015)</f>
        <v/>
      </c>
      <c r="M35" s="29">
        <f>IF(J35="","",IFERROR(IF(J35&lt;=62000,0,IF(J35&lt;=146000,(J35-62000)*0.1,IF(J35&lt;=236000,8400+(J35-146000)*0.15,IF(J35&lt;=360000,21900+(J35-236000)*0.25,IF(J35&lt;=550000,51900+(J35-360000)*0.35,118400+(J35-550000)*0.4))))),0))</f>
        <v/>
      </c>
      <c r="N35" s="29">
        <f>IF(J35="","",SUM(K35:M35))</f>
        <v/>
      </c>
      <c r="O35" s="29">
        <f>IF(J35="","",J35-N35)</f>
        <v/>
      </c>
      <c r="P35" s="29">
        <f>IF(J35="","",J35*0.082)</f>
        <v/>
      </c>
      <c r="Q35" s="29">
        <f>IF(J35="","",J35+P35)</f>
        <v/>
      </c>
    </row>
    <row r="36" ht="22" customHeight="1">
      <c r="B36" s="10" t="inlineStr"/>
      <c r="C36" s="10">
        <f>IF(B36="","",VLOOKUP(B36,'_Données Employés'!$B$5:$S$114,3,FALSE))</f>
        <v/>
      </c>
      <c r="D36" s="30" t="inlineStr"/>
      <c r="E36" s="11">
        <f>IF(B36="","",VLOOKUP(B36,'_Données Employés'!$B$5:$S$114,16,FALSE))</f>
        <v/>
      </c>
      <c r="F36" s="11">
        <f>IF(E36="","",E36*0.05)</f>
        <v/>
      </c>
      <c r="G36" s="11">
        <f>IF(E36="","",E36*0.3)</f>
        <v/>
      </c>
      <c r="H36" s="11">
        <f>IF(E36="","",25000)</f>
        <v/>
      </c>
      <c r="I36" s="11">
        <f>IF(E36="","",SUM(F36:H36))</f>
        <v/>
      </c>
      <c r="J36" s="11">
        <f>IF(E36="","",E36+I36)</f>
        <v/>
      </c>
      <c r="K36" s="11">
        <f>IF(J36="","",J36*0.028)</f>
        <v/>
      </c>
      <c r="L36" s="11">
        <f>IF(J36="","",J36*0.015)</f>
        <v/>
      </c>
      <c r="M36" s="11">
        <f>IF(J36="","",IFERROR(IF(J36&lt;=62000,0,IF(J36&lt;=146000,(J36-62000)*0.1,IF(J36&lt;=236000,8400+(J36-146000)*0.15,IF(J36&lt;=360000,21900+(J36-236000)*0.25,IF(J36&lt;=550000,51900+(J36-360000)*0.35,118400+(J36-550000)*0.4))))),0))</f>
        <v/>
      </c>
      <c r="N36" s="11">
        <f>IF(J36="","",SUM(K36:M36))</f>
        <v/>
      </c>
      <c r="O36" s="11">
        <f>IF(J36="","",J36-N36)</f>
        <v/>
      </c>
      <c r="P36" s="11">
        <f>IF(J36="","",J36*0.082)</f>
        <v/>
      </c>
      <c r="Q36" s="11">
        <f>IF(J36="","",J36+P36)</f>
        <v/>
      </c>
    </row>
    <row r="37" ht="22" customHeight="1">
      <c r="B37" s="27" t="inlineStr"/>
      <c r="C37" s="27">
        <f>IF(B37="","",VLOOKUP(B37,'_Données Employés'!$B$5:$S$114,3,FALSE))</f>
        <v/>
      </c>
      <c r="D37" s="28" t="inlineStr"/>
      <c r="E37" s="29">
        <f>IF(B37="","",VLOOKUP(B37,'_Données Employés'!$B$5:$S$114,16,FALSE))</f>
        <v/>
      </c>
      <c r="F37" s="29">
        <f>IF(E37="","",E37*0.05)</f>
        <v/>
      </c>
      <c r="G37" s="29">
        <f>IF(E37="","",E37*0.3)</f>
        <v/>
      </c>
      <c r="H37" s="29">
        <f>IF(E37="","",25000)</f>
        <v/>
      </c>
      <c r="I37" s="29">
        <f>IF(E37="","",SUM(F37:H37))</f>
        <v/>
      </c>
      <c r="J37" s="29">
        <f>IF(E37="","",E37+I37)</f>
        <v/>
      </c>
      <c r="K37" s="29">
        <f>IF(J37="","",J37*0.028)</f>
        <v/>
      </c>
      <c r="L37" s="29">
        <f>IF(J37="","",J37*0.015)</f>
        <v/>
      </c>
      <c r="M37" s="29">
        <f>IF(J37="","",IFERROR(IF(J37&lt;=62000,0,IF(J37&lt;=146000,(J37-62000)*0.1,IF(J37&lt;=236000,8400+(J37-146000)*0.15,IF(J37&lt;=360000,21900+(J37-236000)*0.25,IF(J37&lt;=550000,51900+(J37-360000)*0.35,118400+(J37-550000)*0.4))))),0))</f>
        <v/>
      </c>
      <c r="N37" s="29">
        <f>IF(J37="","",SUM(K37:M37))</f>
        <v/>
      </c>
      <c r="O37" s="29">
        <f>IF(J37="","",J37-N37)</f>
        <v/>
      </c>
      <c r="P37" s="29">
        <f>IF(J37="","",J37*0.082)</f>
        <v/>
      </c>
      <c r="Q37" s="29">
        <f>IF(J37="","",J37+P37)</f>
        <v/>
      </c>
    </row>
    <row r="38" ht="22" customHeight="1">
      <c r="B38" s="10" t="inlineStr"/>
      <c r="C38" s="10">
        <f>IF(B38="","",VLOOKUP(B38,'_Données Employés'!$B$5:$S$114,3,FALSE))</f>
        <v/>
      </c>
      <c r="D38" s="30" t="inlineStr"/>
      <c r="E38" s="11">
        <f>IF(B38="","",VLOOKUP(B38,'_Données Employés'!$B$5:$S$114,16,FALSE))</f>
        <v/>
      </c>
      <c r="F38" s="11">
        <f>IF(E38="","",E38*0.05)</f>
        <v/>
      </c>
      <c r="G38" s="11">
        <f>IF(E38="","",E38*0.3)</f>
        <v/>
      </c>
      <c r="H38" s="11">
        <f>IF(E38="","",25000)</f>
        <v/>
      </c>
      <c r="I38" s="11">
        <f>IF(E38="","",SUM(F38:H38))</f>
        <v/>
      </c>
      <c r="J38" s="11">
        <f>IF(E38="","",E38+I38)</f>
        <v/>
      </c>
      <c r="K38" s="11">
        <f>IF(J38="","",J38*0.028)</f>
        <v/>
      </c>
      <c r="L38" s="11">
        <f>IF(J38="","",J38*0.015)</f>
        <v/>
      </c>
      <c r="M38" s="11">
        <f>IF(J38="","",IFERROR(IF(J38&lt;=62000,0,IF(J38&lt;=146000,(J38-62000)*0.1,IF(J38&lt;=236000,8400+(J38-146000)*0.15,IF(J38&lt;=360000,21900+(J38-236000)*0.25,IF(J38&lt;=550000,51900+(J38-360000)*0.35,118400+(J38-550000)*0.4))))),0))</f>
        <v/>
      </c>
      <c r="N38" s="11">
        <f>IF(J38="","",SUM(K38:M38))</f>
        <v/>
      </c>
      <c r="O38" s="11">
        <f>IF(J38="","",J38-N38)</f>
        <v/>
      </c>
      <c r="P38" s="11">
        <f>IF(J38="","",J38*0.082)</f>
        <v/>
      </c>
      <c r="Q38" s="11">
        <f>IF(J38="","",J38+P38)</f>
        <v/>
      </c>
    </row>
    <row r="39" ht="22" customHeight="1">
      <c r="B39" s="27" t="inlineStr"/>
      <c r="C39" s="27">
        <f>IF(B39="","",VLOOKUP(B39,'_Données Employés'!$B$5:$S$114,3,FALSE))</f>
        <v/>
      </c>
      <c r="D39" s="28" t="inlineStr"/>
      <c r="E39" s="29">
        <f>IF(B39="","",VLOOKUP(B39,'_Données Employés'!$B$5:$S$114,16,FALSE))</f>
        <v/>
      </c>
      <c r="F39" s="29">
        <f>IF(E39="","",E39*0.05)</f>
        <v/>
      </c>
      <c r="G39" s="29">
        <f>IF(E39="","",E39*0.3)</f>
        <v/>
      </c>
      <c r="H39" s="29">
        <f>IF(E39="","",25000)</f>
        <v/>
      </c>
      <c r="I39" s="29">
        <f>IF(E39="","",SUM(F39:H39))</f>
        <v/>
      </c>
      <c r="J39" s="29">
        <f>IF(E39="","",E39+I39)</f>
        <v/>
      </c>
      <c r="K39" s="29">
        <f>IF(J39="","",J39*0.028)</f>
        <v/>
      </c>
      <c r="L39" s="29">
        <f>IF(J39="","",J39*0.015)</f>
        <v/>
      </c>
      <c r="M39" s="29">
        <f>IF(J39="","",IFERROR(IF(J39&lt;=62000,0,IF(J39&lt;=146000,(J39-62000)*0.1,IF(J39&lt;=236000,8400+(J39-146000)*0.15,IF(J39&lt;=360000,21900+(J39-236000)*0.25,IF(J39&lt;=550000,51900+(J39-360000)*0.35,118400+(J39-550000)*0.4))))),0))</f>
        <v/>
      </c>
      <c r="N39" s="29">
        <f>IF(J39="","",SUM(K39:M39))</f>
        <v/>
      </c>
      <c r="O39" s="29">
        <f>IF(J39="","",J39-N39)</f>
        <v/>
      </c>
      <c r="P39" s="29">
        <f>IF(J39="","",J39*0.082)</f>
        <v/>
      </c>
      <c r="Q39" s="29">
        <f>IF(J39="","",J39+P39)</f>
        <v/>
      </c>
    </row>
    <row r="40" ht="22" customHeight="1">
      <c r="B40" s="10" t="inlineStr"/>
      <c r="C40" s="10">
        <f>IF(B40="","",VLOOKUP(B40,'_Données Employés'!$B$5:$S$114,3,FALSE))</f>
        <v/>
      </c>
      <c r="D40" s="30" t="inlineStr"/>
      <c r="E40" s="11">
        <f>IF(B40="","",VLOOKUP(B40,'_Données Employés'!$B$5:$S$114,16,FALSE))</f>
        <v/>
      </c>
      <c r="F40" s="11">
        <f>IF(E40="","",E40*0.05)</f>
        <v/>
      </c>
      <c r="G40" s="11">
        <f>IF(E40="","",E40*0.3)</f>
        <v/>
      </c>
      <c r="H40" s="11">
        <f>IF(E40="","",25000)</f>
        <v/>
      </c>
      <c r="I40" s="11">
        <f>IF(E40="","",SUM(F40:H40))</f>
        <v/>
      </c>
      <c r="J40" s="11">
        <f>IF(E40="","",E40+I40)</f>
        <v/>
      </c>
      <c r="K40" s="11">
        <f>IF(J40="","",J40*0.028)</f>
        <v/>
      </c>
      <c r="L40" s="11">
        <f>IF(J40="","",J40*0.015)</f>
        <v/>
      </c>
      <c r="M40" s="11">
        <f>IF(J40="","",IFERROR(IF(J40&lt;=62000,0,IF(J40&lt;=146000,(J40-62000)*0.1,IF(J40&lt;=236000,8400+(J40-146000)*0.15,IF(J40&lt;=360000,21900+(J40-236000)*0.25,IF(J40&lt;=550000,51900+(J40-360000)*0.35,118400+(J40-550000)*0.4))))),0))</f>
        <v/>
      </c>
      <c r="N40" s="11">
        <f>IF(J40="","",SUM(K40:M40))</f>
        <v/>
      </c>
      <c r="O40" s="11">
        <f>IF(J40="","",J40-N40)</f>
        <v/>
      </c>
      <c r="P40" s="11">
        <f>IF(J40="","",J40*0.082)</f>
        <v/>
      </c>
      <c r="Q40" s="11">
        <f>IF(J40="","",J40+P40)</f>
        <v/>
      </c>
    </row>
    <row r="41" ht="22" customHeight="1">
      <c r="B41" s="27" t="inlineStr"/>
      <c r="C41" s="27">
        <f>IF(B41="","",VLOOKUP(B41,'_Données Employés'!$B$5:$S$114,3,FALSE))</f>
        <v/>
      </c>
      <c r="D41" s="28" t="inlineStr"/>
      <c r="E41" s="29">
        <f>IF(B41="","",VLOOKUP(B41,'_Données Employés'!$B$5:$S$114,16,FALSE))</f>
        <v/>
      </c>
      <c r="F41" s="29">
        <f>IF(E41="","",E41*0.05)</f>
        <v/>
      </c>
      <c r="G41" s="29">
        <f>IF(E41="","",E41*0.3)</f>
        <v/>
      </c>
      <c r="H41" s="29">
        <f>IF(E41="","",25000)</f>
        <v/>
      </c>
      <c r="I41" s="29">
        <f>IF(E41="","",SUM(F41:H41))</f>
        <v/>
      </c>
      <c r="J41" s="29">
        <f>IF(E41="","",E41+I41)</f>
        <v/>
      </c>
      <c r="K41" s="29">
        <f>IF(J41="","",J41*0.028)</f>
        <v/>
      </c>
      <c r="L41" s="29">
        <f>IF(J41="","",J41*0.015)</f>
        <v/>
      </c>
      <c r="M41" s="29">
        <f>IF(J41="","",IFERROR(IF(J41&lt;=62000,0,IF(J41&lt;=146000,(J41-62000)*0.1,IF(J41&lt;=236000,8400+(J41-146000)*0.15,IF(J41&lt;=360000,21900+(J41-236000)*0.25,IF(J41&lt;=550000,51900+(J41-360000)*0.35,118400+(J41-550000)*0.4))))),0))</f>
        <v/>
      </c>
      <c r="N41" s="29">
        <f>IF(J41="","",SUM(K41:M41))</f>
        <v/>
      </c>
      <c r="O41" s="29">
        <f>IF(J41="","",J41-N41)</f>
        <v/>
      </c>
      <c r="P41" s="29">
        <f>IF(J41="","",J41*0.082)</f>
        <v/>
      </c>
      <c r="Q41" s="29">
        <f>IF(J41="","",J41+P41)</f>
        <v/>
      </c>
    </row>
    <row r="42" ht="22" customHeight="1">
      <c r="B42" s="10" t="inlineStr"/>
      <c r="C42" s="10">
        <f>IF(B42="","",VLOOKUP(B42,'_Données Employés'!$B$5:$S$114,3,FALSE))</f>
        <v/>
      </c>
      <c r="D42" s="30" t="inlineStr"/>
      <c r="E42" s="11">
        <f>IF(B42="","",VLOOKUP(B42,'_Données Employés'!$B$5:$S$114,16,FALSE))</f>
        <v/>
      </c>
      <c r="F42" s="11">
        <f>IF(E42="","",E42*0.05)</f>
        <v/>
      </c>
      <c r="G42" s="11">
        <f>IF(E42="","",E42*0.3)</f>
        <v/>
      </c>
      <c r="H42" s="11">
        <f>IF(E42="","",25000)</f>
        <v/>
      </c>
      <c r="I42" s="11">
        <f>IF(E42="","",SUM(F42:H42))</f>
        <v/>
      </c>
      <c r="J42" s="11">
        <f>IF(E42="","",E42+I42)</f>
        <v/>
      </c>
      <c r="K42" s="11">
        <f>IF(J42="","",J42*0.028)</f>
        <v/>
      </c>
      <c r="L42" s="11">
        <f>IF(J42="","",J42*0.015)</f>
        <v/>
      </c>
      <c r="M42" s="11">
        <f>IF(J42="","",IFERROR(IF(J42&lt;=62000,0,IF(J42&lt;=146000,(J42-62000)*0.1,IF(J42&lt;=236000,8400+(J42-146000)*0.15,IF(J42&lt;=360000,21900+(J42-236000)*0.25,IF(J42&lt;=550000,51900+(J42-360000)*0.35,118400+(J42-550000)*0.4))))),0))</f>
        <v/>
      </c>
      <c r="N42" s="11">
        <f>IF(J42="","",SUM(K42:M42))</f>
        <v/>
      </c>
      <c r="O42" s="11">
        <f>IF(J42="","",J42-N42)</f>
        <v/>
      </c>
      <c r="P42" s="11">
        <f>IF(J42="","",J42*0.082)</f>
        <v/>
      </c>
      <c r="Q42" s="11">
        <f>IF(J42="","",J42+P42)</f>
        <v/>
      </c>
    </row>
    <row r="43" ht="22" customHeight="1">
      <c r="B43" s="27" t="inlineStr"/>
      <c r="C43" s="27">
        <f>IF(B43="","",VLOOKUP(B43,'_Données Employés'!$B$5:$S$114,3,FALSE))</f>
        <v/>
      </c>
      <c r="D43" s="28" t="inlineStr"/>
      <c r="E43" s="29">
        <f>IF(B43="","",VLOOKUP(B43,'_Données Employés'!$B$5:$S$114,16,FALSE))</f>
        <v/>
      </c>
      <c r="F43" s="29">
        <f>IF(E43="","",E43*0.05)</f>
        <v/>
      </c>
      <c r="G43" s="29">
        <f>IF(E43="","",E43*0.3)</f>
        <v/>
      </c>
      <c r="H43" s="29">
        <f>IF(E43="","",25000)</f>
        <v/>
      </c>
      <c r="I43" s="29">
        <f>IF(E43="","",SUM(F43:H43))</f>
        <v/>
      </c>
      <c r="J43" s="29">
        <f>IF(E43="","",E43+I43)</f>
        <v/>
      </c>
      <c r="K43" s="29">
        <f>IF(J43="","",J43*0.028)</f>
        <v/>
      </c>
      <c r="L43" s="29">
        <f>IF(J43="","",J43*0.015)</f>
        <v/>
      </c>
      <c r="M43" s="29">
        <f>IF(J43="","",IFERROR(IF(J43&lt;=62000,0,IF(J43&lt;=146000,(J43-62000)*0.1,IF(J43&lt;=236000,8400+(J43-146000)*0.15,IF(J43&lt;=360000,21900+(J43-236000)*0.25,IF(J43&lt;=550000,51900+(J43-360000)*0.35,118400+(J43-550000)*0.4))))),0))</f>
        <v/>
      </c>
      <c r="N43" s="29">
        <f>IF(J43="","",SUM(K43:M43))</f>
        <v/>
      </c>
      <c r="O43" s="29">
        <f>IF(J43="","",J43-N43)</f>
        <v/>
      </c>
      <c r="P43" s="29">
        <f>IF(J43="","",J43*0.082)</f>
        <v/>
      </c>
      <c r="Q43" s="29">
        <f>IF(J43="","",J43+P43)</f>
        <v/>
      </c>
    </row>
    <row r="44" ht="22" customHeight="1">
      <c r="B44" s="10" t="inlineStr"/>
      <c r="C44" s="10">
        <f>IF(B44="","",VLOOKUP(B44,'_Données Employés'!$B$5:$S$114,3,FALSE))</f>
        <v/>
      </c>
      <c r="D44" s="30" t="inlineStr"/>
      <c r="E44" s="11">
        <f>IF(B44="","",VLOOKUP(B44,'_Données Employés'!$B$5:$S$114,16,FALSE))</f>
        <v/>
      </c>
      <c r="F44" s="11">
        <f>IF(E44="","",E44*0.05)</f>
        <v/>
      </c>
      <c r="G44" s="11">
        <f>IF(E44="","",E44*0.3)</f>
        <v/>
      </c>
      <c r="H44" s="11">
        <f>IF(E44="","",25000)</f>
        <v/>
      </c>
      <c r="I44" s="11">
        <f>IF(E44="","",SUM(F44:H44))</f>
        <v/>
      </c>
      <c r="J44" s="11">
        <f>IF(E44="","",E44+I44)</f>
        <v/>
      </c>
      <c r="K44" s="11">
        <f>IF(J44="","",J44*0.028)</f>
        <v/>
      </c>
      <c r="L44" s="11">
        <f>IF(J44="","",J44*0.015)</f>
        <v/>
      </c>
      <c r="M44" s="11">
        <f>IF(J44="","",IFERROR(IF(J44&lt;=62000,0,IF(J44&lt;=146000,(J44-62000)*0.1,IF(J44&lt;=236000,8400+(J44-146000)*0.15,IF(J44&lt;=360000,21900+(J44-236000)*0.25,IF(J44&lt;=550000,51900+(J44-360000)*0.35,118400+(J44-550000)*0.4))))),0))</f>
        <v/>
      </c>
      <c r="N44" s="11">
        <f>IF(J44="","",SUM(K44:M44))</f>
        <v/>
      </c>
      <c r="O44" s="11">
        <f>IF(J44="","",J44-N44)</f>
        <v/>
      </c>
      <c r="P44" s="11">
        <f>IF(J44="","",J44*0.082)</f>
        <v/>
      </c>
      <c r="Q44" s="11">
        <f>IF(J44="","",J44+P44)</f>
        <v/>
      </c>
    </row>
    <row r="45" ht="22" customHeight="1">
      <c r="B45" s="27" t="inlineStr"/>
      <c r="C45" s="27">
        <f>IF(B45="","",VLOOKUP(B45,'_Données Employés'!$B$5:$S$114,3,FALSE))</f>
        <v/>
      </c>
      <c r="D45" s="28" t="inlineStr"/>
      <c r="E45" s="29">
        <f>IF(B45="","",VLOOKUP(B45,'_Données Employés'!$B$5:$S$114,16,FALSE))</f>
        <v/>
      </c>
      <c r="F45" s="29">
        <f>IF(E45="","",E45*0.05)</f>
        <v/>
      </c>
      <c r="G45" s="29">
        <f>IF(E45="","",E45*0.3)</f>
        <v/>
      </c>
      <c r="H45" s="29">
        <f>IF(E45="","",25000)</f>
        <v/>
      </c>
      <c r="I45" s="29">
        <f>IF(E45="","",SUM(F45:H45))</f>
        <v/>
      </c>
      <c r="J45" s="29">
        <f>IF(E45="","",E45+I45)</f>
        <v/>
      </c>
      <c r="K45" s="29">
        <f>IF(J45="","",J45*0.028)</f>
        <v/>
      </c>
      <c r="L45" s="29">
        <f>IF(J45="","",J45*0.015)</f>
        <v/>
      </c>
      <c r="M45" s="29">
        <f>IF(J45="","",IFERROR(IF(J45&lt;=62000,0,IF(J45&lt;=146000,(J45-62000)*0.1,IF(J45&lt;=236000,8400+(J45-146000)*0.15,IF(J45&lt;=360000,21900+(J45-236000)*0.25,IF(J45&lt;=550000,51900+(J45-360000)*0.35,118400+(J45-550000)*0.4))))),0))</f>
        <v/>
      </c>
      <c r="N45" s="29">
        <f>IF(J45="","",SUM(K45:M45))</f>
        <v/>
      </c>
      <c r="O45" s="29">
        <f>IF(J45="","",J45-N45)</f>
        <v/>
      </c>
      <c r="P45" s="29">
        <f>IF(J45="","",J45*0.082)</f>
        <v/>
      </c>
      <c r="Q45" s="29">
        <f>IF(J45="","",J45+P45)</f>
        <v/>
      </c>
    </row>
    <row r="46" ht="22" customHeight="1">
      <c r="B46" s="10" t="inlineStr"/>
      <c r="C46" s="10">
        <f>IF(B46="","",VLOOKUP(B46,'_Données Employés'!$B$5:$S$114,3,FALSE))</f>
        <v/>
      </c>
      <c r="D46" s="30" t="inlineStr"/>
      <c r="E46" s="11">
        <f>IF(B46="","",VLOOKUP(B46,'_Données Employés'!$B$5:$S$114,16,FALSE))</f>
        <v/>
      </c>
      <c r="F46" s="11">
        <f>IF(E46="","",E46*0.05)</f>
        <v/>
      </c>
      <c r="G46" s="11">
        <f>IF(E46="","",E46*0.3)</f>
        <v/>
      </c>
      <c r="H46" s="11">
        <f>IF(E46="","",25000)</f>
        <v/>
      </c>
      <c r="I46" s="11">
        <f>IF(E46="","",SUM(F46:H46))</f>
        <v/>
      </c>
      <c r="J46" s="11">
        <f>IF(E46="","",E46+I46)</f>
        <v/>
      </c>
      <c r="K46" s="11">
        <f>IF(J46="","",J46*0.028)</f>
        <v/>
      </c>
      <c r="L46" s="11">
        <f>IF(J46="","",J46*0.015)</f>
        <v/>
      </c>
      <c r="M46" s="11">
        <f>IF(J46="","",IFERROR(IF(J46&lt;=62000,0,IF(J46&lt;=146000,(J46-62000)*0.1,IF(J46&lt;=236000,8400+(J46-146000)*0.15,IF(J46&lt;=360000,21900+(J46-236000)*0.25,IF(J46&lt;=550000,51900+(J46-360000)*0.35,118400+(J46-550000)*0.4))))),0))</f>
        <v/>
      </c>
      <c r="N46" s="11">
        <f>IF(J46="","",SUM(K46:M46))</f>
        <v/>
      </c>
      <c r="O46" s="11">
        <f>IF(J46="","",J46-N46)</f>
        <v/>
      </c>
      <c r="P46" s="11">
        <f>IF(J46="","",J46*0.082)</f>
        <v/>
      </c>
      <c r="Q46" s="11">
        <f>IF(J46="","",J46+P46)</f>
        <v/>
      </c>
    </row>
    <row r="47" ht="22" customHeight="1">
      <c r="B47" s="27" t="inlineStr"/>
      <c r="C47" s="27">
        <f>IF(B47="","",VLOOKUP(B47,'_Données Employés'!$B$5:$S$114,3,FALSE))</f>
        <v/>
      </c>
      <c r="D47" s="28" t="inlineStr"/>
      <c r="E47" s="29">
        <f>IF(B47="","",VLOOKUP(B47,'_Données Employés'!$B$5:$S$114,16,FALSE))</f>
        <v/>
      </c>
      <c r="F47" s="29">
        <f>IF(E47="","",E47*0.05)</f>
        <v/>
      </c>
      <c r="G47" s="29">
        <f>IF(E47="","",E47*0.3)</f>
        <v/>
      </c>
      <c r="H47" s="29">
        <f>IF(E47="","",25000)</f>
        <v/>
      </c>
      <c r="I47" s="29">
        <f>IF(E47="","",SUM(F47:H47))</f>
        <v/>
      </c>
      <c r="J47" s="29">
        <f>IF(E47="","",E47+I47)</f>
        <v/>
      </c>
      <c r="K47" s="29">
        <f>IF(J47="","",J47*0.028)</f>
        <v/>
      </c>
      <c r="L47" s="29">
        <f>IF(J47="","",J47*0.015)</f>
        <v/>
      </c>
      <c r="M47" s="29">
        <f>IF(J47="","",IFERROR(IF(J47&lt;=62000,0,IF(J47&lt;=146000,(J47-62000)*0.1,IF(J47&lt;=236000,8400+(J47-146000)*0.15,IF(J47&lt;=360000,21900+(J47-236000)*0.25,IF(J47&lt;=550000,51900+(J47-360000)*0.35,118400+(J47-550000)*0.4))))),0))</f>
        <v/>
      </c>
      <c r="N47" s="29">
        <f>IF(J47="","",SUM(K47:M47))</f>
        <v/>
      </c>
      <c r="O47" s="29">
        <f>IF(J47="","",J47-N47)</f>
        <v/>
      </c>
      <c r="P47" s="29">
        <f>IF(J47="","",J47*0.082)</f>
        <v/>
      </c>
      <c r="Q47" s="29">
        <f>IF(J47="","",J47+P47)</f>
        <v/>
      </c>
    </row>
    <row r="48" ht="22" customHeight="1">
      <c r="B48" s="10" t="inlineStr"/>
      <c r="C48" s="10">
        <f>IF(B48="","",VLOOKUP(B48,'_Données Employés'!$B$5:$S$114,3,FALSE))</f>
        <v/>
      </c>
      <c r="D48" s="30" t="inlineStr"/>
      <c r="E48" s="11">
        <f>IF(B48="","",VLOOKUP(B48,'_Données Employés'!$B$5:$S$114,16,FALSE))</f>
        <v/>
      </c>
      <c r="F48" s="11">
        <f>IF(E48="","",E48*0.05)</f>
        <v/>
      </c>
      <c r="G48" s="11">
        <f>IF(E48="","",E48*0.3)</f>
        <v/>
      </c>
      <c r="H48" s="11">
        <f>IF(E48="","",25000)</f>
        <v/>
      </c>
      <c r="I48" s="11">
        <f>IF(E48="","",SUM(F48:H48))</f>
        <v/>
      </c>
      <c r="J48" s="11">
        <f>IF(E48="","",E48+I48)</f>
        <v/>
      </c>
      <c r="K48" s="11">
        <f>IF(J48="","",J48*0.028)</f>
        <v/>
      </c>
      <c r="L48" s="11">
        <f>IF(J48="","",J48*0.015)</f>
        <v/>
      </c>
      <c r="M48" s="11">
        <f>IF(J48="","",IFERROR(IF(J48&lt;=62000,0,IF(J48&lt;=146000,(J48-62000)*0.1,IF(J48&lt;=236000,8400+(J48-146000)*0.15,IF(J48&lt;=360000,21900+(J48-236000)*0.25,IF(J48&lt;=550000,51900+(J48-360000)*0.35,118400+(J48-550000)*0.4))))),0))</f>
        <v/>
      </c>
      <c r="N48" s="11">
        <f>IF(J48="","",SUM(K48:M48))</f>
        <v/>
      </c>
      <c r="O48" s="11">
        <f>IF(J48="","",J48-N48)</f>
        <v/>
      </c>
      <c r="P48" s="11">
        <f>IF(J48="","",J48*0.082)</f>
        <v/>
      </c>
      <c r="Q48" s="11">
        <f>IF(J48="","",J48+P48)</f>
        <v/>
      </c>
    </row>
    <row r="49" ht="22" customHeight="1">
      <c r="B49" s="27" t="inlineStr"/>
      <c r="C49" s="27">
        <f>IF(B49="","",VLOOKUP(B49,'_Données Employés'!$B$5:$S$114,3,FALSE))</f>
        <v/>
      </c>
      <c r="D49" s="28" t="inlineStr"/>
      <c r="E49" s="29">
        <f>IF(B49="","",VLOOKUP(B49,'_Données Employés'!$B$5:$S$114,16,FALSE))</f>
        <v/>
      </c>
      <c r="F49" s="29">
        <f>IF(E49="","",E49*0.05)</f>
        <v/>
      </c>
      <c r="G49" s="29">
        <f>IF(E49="","",E49*0.3)</f>
        <v/>
      </c>
      <c r="H49" s="29">
        <f>IF(E49="","",25000)</f>
        <v/>
      </c>
      <c r="I49" s="29">
        <f>IF(E49="","",SUM(F49:H49))</f>
        <v/>
      </c>
      <c r="J49" s="29">
        <f>IF(E49="","",E49+I49)</f>
        <v/>
      </c>
      <c r="K49" s="29">
        <f>IF(J49="","",J49*0.028)</f>
        <v/>
      </c>
      <c r="L49" s="29">
        <f>IF(J49="","",J49*0.015)</f>
        <v/>
      </c>
      <c r="M49" s="29">
        <f>IF(J49="","",IFERROR(IF(J49&lt;=62000,0,IF(J49&lt;=146000,(J49-62000)*0.1,IF(J49&lt;=236000,8400+(J49-146000)*0.15,IF(J49&lt;=360000,21900+(J49-236000)*0.25,IF(J49&lt;=550000,51900+(J49-360000)*0.35,118400+(J49-550000)*0.4))))),0))</f>
        <v/>
      </c>
      <c r="N49" s="29">
        <f>IF(J49="","",SUM(K49:M49))</f>
        <v/>
      </c>
      <c r="O49" s="29">
        <f>IF(J49="","",J49-N49)</f>
        <v/>
      </c>
      <c r="P49" s="29">
        <f>IF(J49="","",J49*0.082)</f>
        <v/>
      </c>
      <c r="Q49" s="29">
        <f>IF(J49="","",J49+P49)</f>
        <v/>
      </c>
    </row>
    <row r="50" ht="22" customHeight="1">
      <c r="B50" s="10" t="inlineStr"/>
      <c r="C50" s="10">
        <f>IF(B50="","",VLOOKUP(B50,'_Données Employés'!$B$5:$S$114,3,FALSE))</f>
        <v/>
      </c>
      <c r="D50" s="30" t="inlineStr"/>
      <c r="E50" s="11">
        <f>IF(B50="","",VLOOKUP(B50,'_Données Employés'!$B$5:$S$114,16,FALSE))</f>
        <v/>
      </c>
      <c r="F50" s="11">
        <f>IF(E50="","",E50*0.05)</f>
        <v/>
      </c>
      <c r="G50" s="11">
        <f>IF(E50="","",E50*0.3)</f>
        <v/>
      </c>
      <c r="H50" s="11">
        <f>IF(E50="","",25000)</f>
        <v/>
      </c>
      <c r="I50" s="11">
        <f>IF(E50="","",SUM(F50:H50))</f>
        <v/>
      </c>
      <c r="J50" s="11">
        <f>IF(E50="","",E50+I50)</f>
        <v/>
      </c>
      <c r="K50" s="11">
        <f>IF(J50="","",J50*0.028)</f>
        <v/>
      </c>
      <c r="L50" s="11">
        <f>IF(J50="","",J50*0.015)</f>
        <v/>
      </c>
      <c r="M50" s="11">
        <f>IF(J50="","",IFERROR(IF(J50&lt;=62000,0,IF(J50&lt;=146000,(J50-62000)*0.1,IF(J50&lt;=236000,8400+(J50-146000)*0.15,IF(J50&lt;=360000,21900+(J50-236000)*0.25,IF(J50&lt;=550000,51900+(J50-360000)*0.35,118400+(J50-550000)*0.4))))),0))</f>
        <v/>
      </c>
      <c r="N50" s="11">
        <f>IF(J50="","",SUM(K50:M50))</f>
        <v/>
      </c>
      <c r="O50" s="11">
        <f>IF(J50="","",J50-N50)</f>
        <v/>
      </c>
      <c r="P50" s="11">
        <f>IF(J50="","",J50*0.082)</f>
        <v/>
      </c>
      <c r="Q50" s="11">
        <f>IF(J50="","",J50+P50)</f>
        <v/>
      </c>
    </row>
    <row r="51" ht="22" customHeight="1">
      <c r="B51" s="27" t="inlineStr"/>
      <c r="C51" s="27">
        <f>IF(B51="","",VLOOKUP(B51,'_Données Employés'!$B$5:$S$114,3,FALSE))</f>
        <v/>
      </c>
      <c r="D51" s="28" t="inlineStr"/>
      <c r="E51" s="29">
        <f>IF(B51="","",VLOOKUP(B51,'_Données Employés'!$B$5:$S$114,16,FALSE))</f>
        <v/>
      </c>
      <c r="F51" s="29">
        <f>IF(E51="","",E51*0.05)</f>
        <v/>
      </c>
      <c r="G51" s="29">
        <f>IF(E51="","",E51*0.3)</f>
        <v/>
      </c>
      <c r="H51" s="29">
        <f>IF(E51="","",25000)</f>
        <v/>
      </c>
      <c r="I51" s="29">
        <f>IF(E51="","",SUM(F51:H51))</f>
        <v/>
      </c>
      <c r="J51" s="29">
        <f>IF(E51="","",E51+I51)</f>
        <v/>
      </c>
      <c r="K51" s="29">
        <f>IF(J51="","",J51*0.028)</f>
        <v/>
      </c>
      <c r="L51" s="29">
        <f>IF(J51="","",J51*0.015)</f>
        <v/>
      </c>
      <c r="M51" s="29">
        <f>IF(J51="","",IFERROR(IF(J51&lt;=62000,0,IF(J51&lt;=146000,(J51-62000)*0.1,IF(J51&lt;=236000,8400+(J51-146000)*0.15,IF(J51&lt;=360000,21900+(J51-236000)*0.25,IF(J51&lt;=550000,51900+(J51-360000)*0.35,118400+(J51-550000)*0.4))))),0))</f>
        <v/>
      </c>
      <c r="N51" s="29">
        <f>IF(J51="","",SUM(K51:M51))</f>
        <v/>
      </c>
      <c r="O51" s="29">
        <f>IF(J51="","",J51-N51)</f>
        <v/>
      </c>
      <c r="P51" s="29">
        <f>IF(J51="","",J51*0.082)</f>
        <v/>
      </c>
      <c r="Q51" s="29">
        <f>IF(J51="","",J51+P51)</f>
        <v/>
      </c>
    </row>
    <row r="52" ht="22" customHeight="1">
      <c r="B52" s="10" t="inlineStr"/>
      <c r="C52" s="10">
        <f>IF(B52="","",VLOOKUP(B52,'_Données Employés'!$B$5:$S$114,3,FALSE))</f>
        <v/>
      </c>
      <c r="D52" s="30" t="inlineStr"/>
      <c r="E52" s="11">
        <f>IF(B52="","",VLOOKUP(B52,'_Données Employés'!$B$5:$S$114,16,FALSE))</f>
        <v/>
      </c>
      <c r="F52" s="11">
        <f>IF(E52="","",E52*0.05)</f>
        <v/>
      </c>
      <c r="G52" s="11">
        <f>IF(E52="","",E52*0.3)</f>
        <v/>
      </c>
      <c r="H52" s="11">
        <f>IF(E52="","",25000)</f>
        <v/>
      </c>
      <c r="I52" s="11">
        <f>IF(E52="","",SUM(F52:H52))</f>
        <v/>
      </c>
      <c r="J52" s="11">
        <f>IF(E52="","",E52+I52)</f>
        <v/>
      </c>
      <c r="K52" s="11">
        <f>IF(J52="","",J52*0.028)</f>
        <v/>
      </c>
      <c r="L52" s="11">
        <f>IF(J52="","",J52*0.015)</f>
        <v/>
      </c>
      <c r="M52" s="11">
        <f>IF(J52="","",IFERROR(IF(J52&lt;=62000,0,IF(J52&lt;=146000,(J52-62000)*0.1,IF(J52&lt;=236000,8400+(J52-146000)*0.15,IF(J52&lt;=360000,21900+(J52-236000)*0.25,IF(J52&lt;=550000,51900+(J52-360000)*0.35,118400+(J52-550000)*0.4))))),0))</f>
        <v/>
      </c>
      <c r="N52" s="11">
        <f>IF(J52="","",SUM(K52:M52))</f>
        <v/>
      </c>
      <c r="O52" s="11">
        <f>IF(J52="","",J52-N52)</f>
        <v/>
      </c>
      <c r="P52" s="11">
        <f>IF(J52="","",J52*0.082)</f>
        <v/>
      </c>
      <c r="Q52" s="11">
        <f>IF(J52="","",J52+P52)</f>
        <v/>
      </c>
    </row>
    <row r="53" ht="22" customHeight="1">
      <c r="B53" s="27" t="inlineStr"/>
      <c r="C53" s="27">
        <f>IF(B53="","",VLOOKUP(B53,'_Données Employés'!$B$5:$S$114,3,FALSE))</f>
        <v/>
      </c>
      <c r="D53" s="28" t="inlineStr"/>
      <c r="E53" s="29">
        <f>IF(B53="","",VLOOKUP(B53,'_Données Employés'!$B$5:$S$114,16,FALSE))</f>
        <v/>
      </c>
      <c r="F53" s="29">
        <f>IF(E53="","",E53*0.05)</f>
        <v/>
      </c>
      <c r="G53" s="29">
        <f>IF(E53="","",E53*0.3)</f>
        <v/>
      </c>
      <c r="H53" s="29">
        <f>IF(E53="","",25000)</f>
        <v/>
      </c>
      <c r="I53" s="29">
        <f>IF(E53="","",SUM(F53:H53))</f>
        <v/>
      </c>
      <c r="J53" s="29">
        <f>IF(E53="","",E53+I53)</f>
        <v/>
      </c>
      <c r="K53" s="29">
        <f>IF(J53="","",J53*0.028)</f>
        <v/>
      </c>
      <c r="L53" s="29">
        <f>IF(J53="","",J53*0.015)</f>
        <v/>
      </c>
      <c r="M53" s="29">
        <f>IF(J53="","",IFERROR(IF(J53&lt;=62000,0,IF(J53&lt;=146000,(J53-62000)*0.1,IF(J53&lt;=236000,8400+(J53-146000)*0.15,IF(J53&lt;=360000,21900+(J53-236000)*0.25,IF(J53&lt;=550000,51900+(J53-360000)*0.35,118400+(J53-550000)*0.4))))),0))</f>
        <v/>
      </c>
      <c r="N53" s="29">
        <f>IF(J53="","",SUM(K53:M53))</f>
        <v/>
      </c>
      <c r="O53" s="29">
        <f>IF(J53="","",J53-N53)</f>
        <v/>
      </c>
      <c r="P53" s="29">
        <f>IF(J53="","",J53*0.082)</f>
        <v/>
      </c>
      <c r="Q53" s="29">
        <f>IF(J53="","",J53+P53)</f>
        <v/>
      </c>
    </row>
    <row r="54" ht="22" customHeight="1">
      <c r="B54" s="10" t="inlineStr"/>
      <c r="C54" s="10">
        <f>IF(B54="","",VLOOKUP(B54,'_Données Employés'!$B$5:$S$114,3,FALSE))</f>
        <v/>
      </c>
      <c r="D54" s="30" t="inlineStr"/>
      <c r="E54" s="11">
        <f>IF(B54="","",VLOOKUP(B54,'_Données Employés'!$B$5:$S$114,16,FALSE))</f>
        <v/>
      </c>
      <c r="F54" s="11">
        <f>IF(E54="","",E54*0.05)</f>
        <v/>
      </c>
      <c r="G54" s="11">
        <f>IF(E54="","",E54*0.3)</f>
        <v/>
      </c>
      <c r="H54" s="11">
        <f>IF(E54="","",25000)</f>
        <v/>
      </c>
      <c r="I54" s="11">
        <f>IF(E54="","",SUM(F54:H54))</f>
        <v/>
      </c>
      <c r="J54" s="11">
        <f>IF(E54="","",E54+I54)</f>
        <v/>
      </c>
      <c r="K54" s="11">
        <f>IF(J54="","",J54*0.028)</f>
        <v/>
      </c>
      <c r="L54" s="11">
        <f>IF(J54="","",J54*0.015)</f>
        <v/>
      </c>
      <c r="M54" s="11">
        <f>IF(J54="","",IFERROR(IF(J54&lt;=62000,0,IF(J54&lt;=146000,(J54-62000)*0.1,IF(J54&lt;=236000,8400+(J54-146000)*0.15,IF(J54&lt;=360000,21900+(J54-236000)*0.25,IF(J54&lt;=550000,51900+(J54-360000)*0.35,118400+(J54-550000)*0.4))))),0))</f>
        <v/>
      </c>
      <c r="N54" s="11">
        <f>IF(J54="","",SUM(K54:M54))</f>
        <v/>
      </c>
      <c r="O54" s="11">
        <f>IF(J54="","",J54-N54)</f>
        <v/>
      </c>
      <c r="P54" s="11">
        <f>IF(J54="","",J54*0.082)</f>
        <v/>
      </c>
      <c r="Q54" s="11">
        <f>IF(J54="","",J54+P54)</f>
        <v/>
      </c>
    </row>
    <row r="55" ht="22" customHeight="1">
      <c r="B55" s="27" t="inlineStr"/>
      <c r="C55" s="27">
        <f>IF(B55="","",VLOOKUP(B55,'_Données Employés'!$B$5:$S$114,3,FALSE))</f>
        <v/>
      </c>
      <c r="D55" s="28" t="inlineStr"/>
      <c r="E55" s="29">
        <f>IF(B55="","",VLOOKUP(B55,'_Données Employés'!$B$5:$S$114,16,FALSE))</f>
        <v/>
      </c>
      <c r="F55" s="29">
        <f>IF(E55="","",E55*0.05)</f>
        <v/>
      </c>
      <c r="G55" s="29">
        <f>IF(E55="","",E55*0.3)</f>
        <v/>
      </c>
      <c r="H55" s="29">
        <f>IF(E55="","",25000)</f>
        <v/>
      </c>
      <c r="I55" s="29">
        <f>IF(E55="","",SUM(F55:H55))</f>
        <v/>
      </c>
      <c r="J55" s="29">
        <f>IF(E55="","",E55+I55)</f>
        <v/>
      </c>
      <c r="K55" s="29">
        <f>IF(J55="","",J55*0.028)</f>
        <v/>
      </c>
      <c r="L55" s="29">
        <f>IF(J55="","",J55*0.015)</f>
        <v/>
      </c>
      <c r="M55" s="29">
        <f>IF(J55="","",IFERROR(IF(J55&lt;=62000,0,IF(J55&lt;=146000,(J55-62000)*0.1,IF(J55&lt;=236000,8400+(J55-146000)*0.15,IF(J55&lt;=360000,21900+(J55-236000)*0.25,IF(J55&lt;=550000,51900+(J55-360000)*0.35,118400+(J55-550000)*0.4))))),0))</f>
        <v/>
      </c>
      <c r="N55" s="29">
        <f>IF(J55="","",SUM(K55:M55))</f>
        <v/>
      </c>
      <c r="O55" s="29">
        <f>IF(J55="","",J55-N55)</f>
        <v/>
      </c>
      <c r="P55" s="29">
        <f>IF(J55="","",J55*0.082)</f>
        <v/>
      </c>
      <c r="Q55" s="29">
        <f>IF(J55="","",J55+P55)</f>
        <v/>
      </c>
    </row>
    <row r="56" ht="22" customHeight="1">
      <c r="B56" s="10" t="inlineStr"/>
      <c r="C56" s="10">
        <f>IF(B56="","",VLOOKUP(B56,'_Données Employés'!$B$5:$S$114,3,FALSE))</f>
        <v/>
      </c>
      <c r="D56" s="30" t="inlineStr"/>
      <c r="E56" s="11">
        <f>IF(B56="","",VLOOKUP(B56,'_Données Employés'!$B$5:$S$114,16,FALSE))</f>
        <v/>
      </c>
      <c r="F56" s="11">
        <f>IF(E56="","",E56*0.05)</f>
        <v/>
      </c>
      <c r="G56" s="11">
        <f>IF(E56="","",E56*0.3)</f>
        <v/>
      </c>
      <c r="H56" s="11">
        <f>IF(E56="","",25000)</f>
        <v/>
      </c>
      <c r="I56" s="11">
        <f>IF(E56="","",SUM(F56:H56))</f>
        <v/>
      </c>
      <c r="J56" s="11">
        <f>IF(E56="","",E56+I56)</f>
        <v/>
      </c>
      <c r="K56" s="11">
        <f>IF(J56="","",J56*0.028)</f>
        <v/>
      </c>
      <c r="L56" s="11">
        <f>IF(J56="","",J56*0.015)</f>
        <v/>
      </c>
      <c r="M56" s="11">
        <f>IF(J56="","",IFERROR(IF(J56&lt;=62000,0,IF(J56&lt;=146000,(J56-62000)*0.1,IF(J56&lt;=236000,8400+(J56-146000)*0.15,IF(J56&lt;=360000,21900+(J56-236000)*0.25,IF(J56&lt;=550000,51900+(J56-360000)*0.35,118400+(J56-550000)*0.4))))),0))</f>
        <v/>
      </c>
      <c r="N56" s="11">
        <f>IF(J56="","",SUM(K56:M56))</f>
        <v/>
      </c>
      <c r="O56" s="11">
        <f>IF(J56="","",J56-N56)</f>
        <v/>
      </c>
      <c r="P56" s="11">
        <f>IF(J56="","",J56*0.082)</f>
        <v/>
      </c>
      <c r="Q56" s="11">
        <f>IF(J56="","",J56+P56)</f>
        <v/>
      </c>
    </row>
    <row r="57" ht="22" customHeight="1">
      <c r="B57" s="27" t="inlineStr"/>
      <c r="C57" s="27">
        <f>IF(B57="","",VLOOKUP(B57,'_Données Employés'!$B$5:$S$114,3,FALSE))</f>
        <v/>
      </c>
      <c r="D57" s="28" t="inlineStr"/>
      <c r="E57" s="29">
        <f>IF(B57="","",VLOOKUP(B57,'_Données Employés'!$B$5:$S$114,16,FALSE))</f>
        <v/>
      </c>
      <c r="F57" s="29">
        <f>IF(E57="","",E57*0.05)</f>
        <v/>
      </c>
      <c r="G57" s="29">
        <f>IF(E57="","",E57*0.3)</f>
        <v/>
      </c>
      <c r="H57" s="29">
        <f>IF(E57="","",25000)</f>
        <v/>
      </c>
      <c r="I57" s="29">
        <f>IF(E57="","",SUM(F57:H57))</f>
        <v/>
      </c>
      <c r="J57" s="29">
        <f>IF(E57="","",E57+I57)</f>
        <v/>
      </c>
      <c r="K57" s="29">
        <f>IF(J57="","",J57*0.028)</f>
        <v/>
      </c>
      <c r="L57" s="29">
        <f>IF(J57="","",J57*0.015)</f>
        <v/>
      </c>
      <c r="M57" s="29">
        <f>IF(J57="","",IFERROR(IF(J57&lt;=62000,0,IF(J57&lt;=146000,(J57-62000)*0.1,IF(J57&lt;=236000,8400+(J57-146000)*0.15,IF(J57&lt;=360000,21900+(J57-236000)*0.25,IF(J57&lt;=550000,51900+(J57-360000)*0.35,118400+(J57-550000)*0.4))))),0))</f>
        <v/>
      </c>
      <c r="N57" s="29">
        <f>IF(J57="","",SUM(K57:M57))</f>
        <v/>
      </c>
      <c r="O57" s="29">
        <f>IF(J57="","",J57-N57)</f>
        <v/>
      </c>
      <c r="P57" s="29">
        <f>IF(J57="","",J57*0.082)</f>
        <v/>
      </c>
      <c r="Q57" s="29">
        <f>IF(J57="","",J57+P57)</f>
        <v/>
      </c>
    </row>
    <row r="58" ht="22" customHeight="1">
      <c r="B58" s="10" t="inlineStr"/>
      <c r="C58" s="10">
        <f>IF(B58="","",VLOOKUP(B58,'_Données Employés'!$B$5:$S$114,3,FALSE))</f>
        <v/>
      </c>
      <c r="D58" s="30" t="inlineStr"/>
      <c r="E58" s="11">
        <f>IF(B58="","",VLOOKUP(B58,'_Données Employés'!$B$5:$S$114,16,FALSE))</f>
        <v/>
      </c>
      <c r="F58" s="11">
        <f>IF(E58="","",E58*0.05)</f>
        <v/>
      </c>
      <c r="G58" s="11">
        <f>IF(E58="","",E58*0.3)</f>
        <v/>
      </c>
      <c r="H58" s="11">
        <f>IF(E58="","",25000)</f>
        <v/>
      </c>
      <c r="I58" s="11">
        <f>IF(E58="","",SUM(F58:H58))</f>
        <v/>
      </c>
      <c r="J58" s="11">
        <f>IF(E58="","",E58+I58)</f>
        <v/>
      </c>
      <c r="K58" s="11">
        <f>IF(J58="","",J58*0.028)</f>
        <v/>
      </c>
      <c r="L58" s="11">
        <f>IF(J58="","",J58*0.015)</f>
        <v/>
      </c>
      <c r="M58" s="11">
        <f>IF(J58="","",IFERROR(IF(J58&lt;=62000,0,IF(J58&lt;=146000,(J58-62000)*0.1,IF(J58&lt;=236000,8400+(J58-146000)*0.15,IF(J58&lt;=360000,21900+(J58-236000)*0.25,IF(J58&lt;=550000,51900+(J58-360000)*0.35,118400+(J58-550000)*0.4))))),0))</f>
        <v/>
      </c>
      <c r="N58" s="11">
        <f>IF(J58="","",SUM(K58:M58))</f>
        <v/>
      </c>
      <c r="O58" s="11">
        <f>IF(J58="","",J58-N58)</f>
        <v/>
      </c>
      <c r="P58" s="11">
        <f>IF(J58="","",J58*0.082)</f>
        <v/>
      </c>
      <c r="Q58" s="11">
        <f>IF(J58="","",J58+P58)</f>
        <v/>
      </c>
    </row>
    <row r="59" ht="22" customHeight="1">
      <c r="B59" s="27" t="inlineStr"/>
      <c r="C59" s="27">
        <f>IF(B59="","",VLOOKUP(B59,'_Données Employés'!$B$5:$S$114,3,FALSE))</f>
        <v/>
      </c>
      <c r="D59" s="28" t="inlineStr"/>
      <c r="E59" s="29">
        <f>IF(B59="","",VLOOKUP(B59,'_Données Employés'!$B$5:$S$114,16,FALSE))</f>
        <v/>
      </c>
      <c r="F59" s="29">
        <f>IF(E59="","",E59*0.05)</f>
        <v/>
      </c>
      <c r="G59" s="29">
        <f>IF(E59="","",E59*0.3)</f>
        <v/>
      </c>
      <c r="H59" s="29">
        <f>IF(E59="","",25000)</f>
        <v/>
      </c>
      <c r="I59" s="29">
        <f>IF(E59="","",SUM(F59:H59))</f>
        <v/>
      </c>
      <c r="J59" s="29">
        <f>IF(E59="","",E59+I59)</f>
        <v/>
      </c>
      <c r="K59" s="29">
        <f>IF(J59="","",J59*0.028)</f>
        <v/>
      </c>
      <c r="L59" s="29">
        <f>IF(J59="","",J59*0.015)</f>
        <v/>
      </c>
      <c r="M59" s="29">
        <f>IF(J59="","",IFERROR(IF(J59&lt;=62000,0,IF(J59&lt;=146000,(J59-62000)*0.1,IF(J59&lt;=236000,8400+(J59-146000)*0.15,IF(J59&lt;=360000,21900+(J59-236000)*0.25,IF(J59&lt;=550000,51900+(J59-360000)*0.35,118400+(J59-550000)*0.4))))),0))</f>
        <v/>
      </c>
      <c r="N59" s="29">
        <f>IF(J59="","",SUM(K59:M59))</f>
        <v/>
      </c>
      <c r="O59" s="29">
        <f>IF(J59="","",J59-N59)</f>
        <v/>
      </c>
      <c r="P59" s="29">
        <f>IF(J59="","",J59*0.082)</f>
        <v/>
      </c>
      <c r="Q59" s="29">
        <f>IF(J59="","",J59+P59)</f>
        <v/>
      </c>
    </row>
    <row r="60" ht="22" customHeight="1">
      <c r="B60" s="10" t="inlineStr"/>
      <c r="C60" s="10">
        <f>IF(B60="","",VLOOKUP(B60,'_Données Employés'!$B$5:$S$114,3,FALSE))</f>
        <v/>
      </c>
      <c r="D60" s="30" t="inlineStr"/>
      <c r="E60" s="11">
        <f>IF(B60="","",VLOOKUP(B60,'_Données Employés'!$B$5:$S$114,16,FALSE))</f>
        <v/>
      </c>
      <c r="F60" s="11">
        <f>IF(E60="","",E60*0.05)</f>
        <v/>
      </c>
      <c r="G60" s="11">
        <f>IF(E60="","",E60*0.3)</f>
        <v/>
      </c>
      <c r="H60" s="11">
        <f>IF(E60="","",25000)</f>
        <v/>
      </c>
      <c r="I60" s="11">
        <f>IF(E60="","",SUM(F60:H60))</f>
        <v/>
      </c>
      <c r="J60" s="11">
        <f>IF(E60="","",E60+I60)</f>
        <v/>
      </c>
      <c r="K60" s="11">
        <f>IF(J60="","",J60*0.028)</f>
        <v/>
      </c>
      <c r="L60" s="11">
        <f>IF(J60="","",J60*0.015)</f>
        <v/>
      </c>
      <c r="M60" s="11">
        <f>IF(J60="","",IFERROR(IF(J60&lt;=62000,0,IF(J60&lt;=146000,(J60-62000)*0.1,IF(J60&lt;=236000,8400+(J60-146000)*0.15,IF(J60&lt;=360000,21900+(J60-236000)*0.25,IF(J60&lt;=550000,51900+(J60-360000)*0.35,118400+(J60-550000)*0.4))))),0))</f>
        <v/>
      </c>
      <c r="N60" s="11">
        <f>IF(J60="","",SUM(K60:M60))</f>
        <v/>
      </c>
      <c r="O60" s="11">
        <f>IF(J60="","",J60-N60)</f>
        <v/>
      </c>
      <c r="P60" s="11">
        <f>IF(J60="","",J60*0.082)</f>
        <v/>
      </c>
      <c r="Q60" s="11">
        <f>IF(J60="","",J60+P60)</f>
        <v/>
      </c>
    </row>
    <row r="61" ht="22" customHeight="1">
      <c r="B61" s="27" t="inlineStr"/>
      <c r="C61" s="27">
        <f>IF(B61="","",VLOOKUP(B61,'_Données Employés'!$B$5:$S$114,3,FALSE))</f>
        <v/>
      </c>
      <c r="D61" s="28" t="inlineStr"/>
      <c r="E61" s="29">
        <f>IF(B61="","",VLOOKUP(B61,'_Données Employés'!$B$5:$S$114,16,FALSE))</f>
        <v/>
      </c>
      <c r="F61" s="29">
        <f>IF(E61="","",E61*0.05)</f>
        <v/>
      </c>
      <c r="G61" s="29">
        <f>IF(E61="","",E61*0.3)</f>
        <v/>
      </c>
      <c r="H61" s="29">
        <f>IF(E61="","",25000)</f>
        <v/>
      </c>
      <c r="I61" s="29">
        <f>IF(E61="","",SUM(F61:H61))</f>
        <v/>
      </c>
      <c r="J61" s="29">
        <f>IF(E61="","",E61+I61)</f>
        <v/>
      </c>
      <c r="K61" s="29">
        <f>IF(J61="","",J61*0.028)</f>
        <v/>
      </c>
      <c r="L61" s="29">
        <f>IF(J61="","",J61*0.015)</f>
        <v/>
      </c>
      <c r="M61" s="29">
        <f>IF(J61="","",IFERROR(IF(J61&lt;=62000,0,IF(J61&lt;=146000,(J61-62000)*0.1,IF(J61&lt;=236000,8400+(J61-146000)*0.15,IF(J61&lt;=360000,21900+(J61-236000)*0.25,IF(J61&lt;=550000,51900+(J61-360000)*0.35,118400+(J61-550000)*0.4))))),0))</f>
        <v/>
      </c>
      <c r="N61" s="29">
        <f>IF(J61="","",SUM(K61:M61))</f>
        <v/>
      </c>
      <c r="O61" s="29">
        <f>IF(J61="","",J61-N61)</f>
        <v/>
      </c>
      <c r="P61" s="29">
        <f>IF(J61="","",J61*0.082)</f>
        <v/>
      </c>
      <c r="Q61" s="29">
        <f>IF(J61="","",J61+P61)</f>
        <v/>
      </c>
    </row>
    <row r="62" ht="22" customHeight="1">
      <c r="B62" s="10" t="inlineStr"/>
      <c r="C62" s="10">
        <f>IF(B62="","",VLOOKUP(B62,'_Données Employés'!$B$5:$S$114,3,FALSE))</f>
        <v/>
      </c>
      <c r="D62" s="30" t="inlineStr"/>
      <c r="E62" s="11">
        <f>IF(B62="","",VLOOKUP(B62,'_Données Employés'!$B$5:$S$114,16,FALSE))</f>
        <v/>
      </c>
      <c r="F62" s="11">
        <f>IF(E62="","",E62*0.05)</f>
        <v/>
      </c>
      <c r="G62" s="11">
        <f>IF(E62="","",E62*0.3)</f>
        <v/>
      </c>
      <c r="H62" s="11">
        <f>IF(E62="","",25000)</f>
        <v/>
      </c>
      <c r="I62" s="11">
        <f>IF(E62="","",SUM(F62:H62))</f>
        <v/>
      </c>
      <c r="J62" s="11">
        <f>IF(E62="","",E62+I62)</f>
        <v/>
      </c>
      <c r="K62" s="11">
        <f>IF(J62="","",J62*0.028)</f>
        <v/>
      </c>
      <c r="L62" s="11">
        <f>IF(J62="","",J62*0.015)</f>
        <v/>
      </c>
      <c r="M62" s="11">
        <f>IF(J62="","",IFERROR(IF(J62&lt;=62000,0,IF(J62&lt;=146000,(J62-62000)*0.1,IF(J62&lt;=236000,8400+(J62-146000)*0.15,IF(J62&lt;=360000,21900+(J62-236000)*0.25,IF(J62&lt;=550000,51900+(J62-360000)*0.35,118400+(J62-550000)*0.4))))),0))</f>
        <v/>
      </c>
      <c r="N62" s="11">
        <f>IF(J62="","",SUM(K62:M62))</f>
        <v/>
      </c>
      <c r="O62" s="11">
        <f>IF(J62="","",J62-N62)</f>
        <v/>
      </c>
      <c r="P62" s="11">
        <f>IF(J62="","",J62*0.082)</f>
        <v/>
      </c>
      <c r="Q62" s="11">
        <f>IF(J62="","",J62+P62)</f>
        <v/>
      </c>
    </row>
    <row r="63" ht="22" customHeight="1">
      <c r="B63" s="27" t="inlineStr"/>
      <c r="C63" s="27">
        <f>IF(B63="","",VLOOKUP(B63,'_Données Employés'!$B$5:$S$114,3,FALSE))</f>
        <v/>
      </c>
      <c r="D63" s="28" t="inlineStr"/>
      <c r="E63" s="29">
        <f>IF(B63="","",VLOOKUP(B63,'_Données Employés'!$B$5:$S$114,16,FALSE))</f>
        <v/>
      </c>
      <c r="F63" s="29">
        <f>IF(E63="","",E63*0.05)</f>
        <v/>
      </c>
      <c r="G63" s="29">
        <f>IF(E63="","",E63*0.3)</f>
        <v/>
      </c>
      <c r="H63" s="29">
        <f>IF(E63="","",25000)</f>
        <v/>
      </c>
      <c r="I63" s="29">
        <f>IF(E63="","",SUM(F63:H63))</f>
        <v/>
      </c>
      <c r="J63" s="29">
        <f>IF(E63="","",E63+I63)</f>
        <v/>
      </c>
      <c r="K63" s="29">
        <f>IF(J63="","",J63*0.028)</f>
        <v/>
      </c>
      <c r="L63" s="29">
        <f>IF(J63="","",J63*0.015)</f>
        <v/>
      </c>
      <c r="M63" s="29">
        <f>IF(J63="","",IFERROR(IF(J63&lt;=62000,0,IF(J63&lt;=146000,(J63-62000)*0.1,IF(J63&lt;=236000,8400+(J63-146000)*0.15,IF(J63&lt;=360000,21900+(J63-236000)*0.25,IF(J63&lt;=550000,51900+(J63-360000)*0.35,118400+(J63-550000)*0.4))))),0))</f>
        <v/>
      </c>
      <c r="N63" s="29">
        <f>IF(J63="","",SUM(K63:M63))</f>
        <v/>
      </c>
      <c r="O63" s="29">
        <f>IF(J63="","",J63-N63)</f>
        <v/>
      </c>
      <c r="P63" s="29">
        <f>IF(J63="","",J63*0.082)</f>
        <v/>
      </c>
      <c r="Q63" s="29">
        <f>IF(J63="","",J63+P63)</f>
        <v/>
      </c>
    </row>
    <row r="64" ht="22" customHeight="1">
      <c r="B64" s="10" t="inlineStr"/>
      <c r="C64" s="10">
        <f>IF(B64="","",VLOOKUP(B64,'_Données Employés'!$B$5:$S$114,3,FALSE))</f>
        <v/>
      </c>
      <c r="D64" s="30" t="inlineStr"/>
      <c r="E64" s="11">
        <f>IF(B64="","",VLOOKUP(B64,'_Données Employés'!$B$5:$S$114,16,FALSE))</f>
        <v/>
      </c>
      <c r="F64" s="11">
        <f>IF(E64="","",E64*0.05)</f>
        <v/>
      </c>
      <c r="G64" s="11">
        <f>IF(E64="","",E64*0.3)</f>
        <v/>
      </c>
      <c r="H64" s="11">
        <f>IF(E64="","",25000)</f>
        <v/>
      </c>
      <c r="I64" s="11">
        <f>IF(E64="","",SUM(F64:H64))</f>
        <v/>
      </c>
      <c r="J64" s="11">
        <f>IF(E64="","",E64+I64)</f>
        <v/>
      </c>
      <c r="K64" s="11">
        <f>IF(J64="","",J64*0.028)</f>
        <v/>
      </c>
      <c r="L64" s="11">
        <f>IF(J64="","",J64*0.015)</f>
        <v/>
      </c>
      <c r="M64" s="11">
        <f>IF(J64="","",IFERROR(IF(J64&lt;=62000,0,IF(J64&lt;=146000,(J64-62000)*0.1,IF(J64&lt;=236000,8400+(J64-146000)*0.15,IF(J64&lt;=360000,21900+(J64-236000)*0.25,IF(J64&lt;=550000,51900+(J64-360000)*0.35,118400+(J64-550000)*0.4))))),0))</f>
        <v/>
      </c>
      <c r="N64" s="11">
        <f>IF(J64="","",SUM(K64:M64))</f>
        <v/>
      </c>
      <c r="O64" s="11">
        <f>IF(J64="","",J64-N64)</f>
        <v/>
      </c>
      <c r="P64" s="11">
        <f>IF(J64="","",J64*0.082)</f>
        <v/>
      </c>
      <c r="Q64" s="11">
        <f>IF(J64="","",J64+P64)</f>
        <v/>
      </c>
    </row>
    <row r="65" ht="22" customHeight="1">
      <c r="B65" s="27" t="inlineStr"/>
      <c r="C65" s="27">
        <f>IF(B65="","",VLOOKUP(B65,'_Données Employés'!$B$5:$S$114,3,FALSE))</f>
        <v/>
      </c>
      <c r="D65" s="28" t="inlineStr"/>
      <c r="E65" s="29">
        <f>IF(B65="","",VLOOKUP(B65,'_Données Employés'!$B$5:$S$114,16,FALSE))</f>
        <v/>
      </c>
      <c r="F65" s="29">
        <f>IF(E65="","",E65*0.05)</f>
        <v/>
      </c>
      <c r="G65" s="29">
        <f>IF(E65="","",E65*0.3)</f>
        <v/>
      </c>
      <c r="H65" s="29">
        <f>IF(E65="","",25000)</f>
        <v/>
      </c>
      <c r="I65" s="29">
        <f>IF(E65="","",SUM(F65:H65))</f>
        <v/>
      </c>
      <c r="J65" s="29">
        <f>IF(E65="","",E65+I65)</f>
        <v/>
      </c>
      <c r="K65" s="29">
        <f>IF(J65="","",J65*0.028)</f>
        <v/>
      </c>
      <c r="L65" s="29">
        <f>IF(J65="","",J65*0.015)</f>
        <v/>
      </c>
      <c r="M65" s="29">
        <f>IF(J65="","",IFERROR(IF(J65&lt;=62000,0,IF(J65&lt;=146000,(J65-62000)*0.1,IF(J65&lt;=236000,8400+(J65-146000)*0.15,IF(J65&lt;=360000,21900+(J65-236000)*0.25,IF(J65&lt;=550000,51900+(J65-360000)*0.35,118400+(J65-550000)*0.4))))),0))</f>
        <v/>
      </c>
      <c r="N65" s="29">
        <f>IF(J65="","",SUM(K65:M65))</f>
        <v/>
      </c>
      <c r="O65" s="29">
        <f>IF(J65="","",J65-N65)</f>
        <v/>
      </c>
      <c r="P65" s="29">
        <f>IF(J65="","",J65*0.082)</f>
        <v/>
      </c>
      <c r="Q65" s="29">
        <f>IF(J65="","",J65+P65)</f>
        <v/>
      </c>
    </row>
    <row r="66" ht="22" customHeight="1">
      <c r="B66" s="10" t="inlineStr"/>
      <c r="C66" s="10">
        <f>IF(B66="","",VLOOKUP(B66,'_Données Employés'!$B$5:$S$114,3,FALSE))</f>
        <v/>
      </c>
      <c r="D66" s="30" t="inlineStr"/>
      <c r="E66" s="11">
        <f>IF(B66="","",VLOOKUP(B66,'_Données Employés'!$B$5:$S$114,16,FALSE))</f>
        <v/>
      </c>
      <c r="F66" s="11">
        <f>IF(E66="","",E66*0.05)</f>
        <v/>
      </c>
      <c r="G66" s="11">
        <f>IF(E66="","",E66*0.3)</f>
        <v/>
      </c>
      <c r="H66" s="11">
        <f>IF(E66="","",25000)</f>
        <v/>
      </c>
      <c r="I66" s="11">
        <f>IF(E66="","",SUM(F66:H66))</f>
        <v/>
      </c>
      <c r="J66" s="11">
        <f>IF(E66="","",E66+I66)</f>
        <v/>
      </c>
      <c r="K66" s="11">
        <f>IF(J66="","",J66*0.028)</f>
        <v/>
      </c>
      <c r="L66" s="11">
        <f>IF(J66="","",J66*0.015)</f>
        <v/>
      </c>
      <c r="M66" s="11">
        <f>IF(J66="","",IFERROR(IF(J66&lt;=62000,0,IF(J66&lt;=146000,(J66-62000)*0.1,IF(J66&lt;=236000,8400+(J66-146000)*0.15,IF(J66&lt;=360000,21900+(J66-236000)*0.25,IF(J66&lt;=550000,51900+(J66-360000)*0.35,118400+(J66-550000)*0.4))))),0))</f>
        <v/>
      </c>
      <c r="N66" s="11">
        <f>IF(J66="","",SUM(K66:M66))</f>
        <v/>
      </c>
      <c r="O66" s="11">
        <f>IF(J66="","",J66-N66)</f>
        <v/>
      </c>
      <c r="P66" s="11">
        <f>IF(J66="","",J66*0.082)</f>
        <v/>
      </c>
      <c r="Q66" s="11">
        <f>IF(J66="","",J66+P66)</f>
        <v/>
      </c>
    </row>
    <row r="67" ht="22" customHeight="1">
      <c r="B67" s="27" t="inlineStr"/>
      <c r="C67" s="27">
        <f>IF(B67="","",VLOOKUP(B67,'_Données Employés'!$B$5:$S$114,3,FALSE))</f>
        <v/>
      </c>
      <c r="D67" s="28" t="inlineStr"/>
      <c r="E67" s="29">
        <f>IF(B67="","",VLOOKUP(B67,'_Données Employés'!$B$5:$S$114,16,FALSE))</f>
        <v/>
      </c>
      <c r="F67" s="29">
        <f>IF(E67="","",E67*0.05)</f>
        <v/>
      </c>
      <c r="G67" s="29">
        <f>IF(E67="","",E67*0.3)</f>
        <v/>
      </c>
      <c r="H67" s="29">
        <f>IF(E67="","",25000)</f>
        <v/>
      </c>
      <c r="I67" s="29">
        <f>IF(E67="","",SUM(F67:H67))</f>
        <v/>
      </c>
      <c r="J67" s="29">
        <f>IF(E67="","",E67+I67)</f>
        <v/>
      </c>
      <c r="K67" s="29">
        <f>IF(J67="","",J67*0.028)</f>
        <v/>
      </c>
      <c r="L67" s="29">
        <f>IF(J67="","",J67*0.015)</f>
        <v/>
      </c>
      <c r="M67" s="29">
        <f>IF(J67="","",IFERROR(IF(J67&lt;=62000,0,IF(J67&lt;=146000,(J67-62000)*0.1,IF(J67&lt;=236000,8400+(J67-146000)*0.15,IF(J67&lt;=360000,21900+(J67-236000)*0.25,IF(J67&lt;=550000,51900+(J67-360000)*0.35,118400+(J67-550000)*0.4))))),0))</f>
        <v/>
      </c>
      <c r="N67" s="29">
        <f>IF(J67="","",SUM(K67:M67))</f>
        <v/>
      </c>
      <c r="O67" s="29">
        <f>IF(J67="","",J67-N67)</f>
        <v/>
      </c>
      <c r="P67" s="29">
        <f>IF(J67="","",J67*0.082)</f>
        <v/>
      </c>
      <c r="Q67" s="29">
        <f>IF(J67="","",J67+P67)</f>
        <v/>
      </c>
    </row>
    <row r="68" ht="22" customHeight="1">
      <c r="B68" s="10" t="inlineStr"/>
      <c r="C68" s="10">
        <f>IF(B68="","",VLOOKUP(B68,'_Données Employés'!$B$5:$S$114,3,FALSE))</f>
        <v/>
      </c>
      <c r="D68" s="30" t="inlineStr"/>
      <c r="E68" s="11">
        <f>IF(B68="","",VLOOKUP(B68,'_Données Employés'!$B$5:$S$114,16,FALSE))</f>
        <v/>
      </c>
      <c r="F68" s="11">
        <f>IF(E68="","",E68*0.05)</f>
        <v/>
      </c>
      <c r="G68" s="11">
        <f>IF(E68="","",E68*0.3)</f>
        <v/>
      </c>
      <c r="H68" s="11">
        <f>IF(E68="","",25000)</f>
        <v/>
      </c>
      <c r="I68" s="11">
        <f>IF(E68="","",SUM(F68:H68))</f>
        <v/>
      </c>
      <c r="J68" s="11">
        <f>IF(E68="","",E68+I68)</f>
        <v/>
      </c>
      <c r="K68" s="11">
        <f>IF(J68="","",J68*0.028)</f>
        <v/>
      </c>
      <c r="L68" s="11">
        <f>IF(J68="","",J68*0.015)</f>
        <v/>
      </c>
      <c r="M68" s="11">
        <f>IF(J68="","",IFERROR(IF(J68&lt;=62000,0,IF(J68&lt;=146000,(J68-62000)*0.1,IF(J68&lt;=236000,8400+(J68-146000)*0.15,IF(J68&lt;=360000,21900+(J68-236000)*0.25,IF(J68&lt;=550000,51900+(J68-360000)*0.35,118400+(J68-550000)*0.4))))),0))</f>
        <v/>
      </c>
      <c r="N68" s="11">
        <f>IF(J68="","",SUM(K68:M68))</f>
        <v/>
      </c>
      <c r="O68" s="11">
        <f>IF(J68="","",J68-N68)</f>
        <v/>
      </c>
      <c r="P68" s="11">
        <f>IF(J68="","",J68*0.082)</f>
        <v/>
      </c>
      <c r="Q68" s="11">
        <f>IF(J68="","",J68+P68)</f>
        <v/>
      </c>
    </row>
    <row r="69" ht="22" customHeight="1">
      <c r="B69" s="27" t="inlineStr"/>
      <c r="C69" s="27">
        <f>IF(B69="","",VLOOKUP(B69,'_Données Employés'!$B$5:$S$114,3,FALSE))</f>
        <v/>
      </c>
      <c r="D69" s="28" t="inlineStr"/>
      <c r="E69" s="29">
        <f>IF(B69="","",VLOOKUP(B69,'_Données Employés'!$B$5:$S$114,16,FALSE))</f>
        <v/>
      </c>
      <c r="F69" s="29">
        <f>IF(E69="","",E69*0.05)</f>
        <v/>
      </c>
      <c r="G69" s="29">
        <f>IF(E69="","",E69*0.3)</f>
        <v/>
      </c>
      <c r="H69" s="29">
        <f>IF(E69="","",25000)</f>
        <v/>
      </c>
      <c r="I69" s="29">
        <f>IF(E69="","",SUM(F69:H69))</f>
        <v/>
      </c>
      <c r="J69" s="29">
        <f>IF(E69="","",E69+I69)</f>
        <v/>
      </c>
      <c r="K69" s="29">
        <f>IF(J69="","",J69*0.028)</f>
        <v/>
      </c>
      <c r="L69" s="29">
        <f>IF(J69="","",J69*0.015)</f>
        <v/>
      </c>
      <c r="M69" s="29">
        <f>IF(J69="","",IFERROR(IF(J69&lt;=62000,0,IF(J69&lt;=146000,(J69-62000)*0.1,IF(J69&lt;=236000,8400+(J69-146000)*0.15,IF(J69&lt;=360000,21900+(J69-236000)*0.25,IF(J69&lt;=550000,51900+(J69-360000)*0.35,118400+(J69-550000)*0.4))))),0))</f>
        <v/>
      </c>
      <c r="N69" s="29">
        <f>IF(J69="","",SUM(K69:M69))</f>
        <v/>
      </c>
      <c r="O69" s="29">
        <f>IF(J69="","",J69-N69)</f>
        <v/>
      </c>
      <c r="P69" s="29">
        <f>IF(J69="","",J69*0.082)</f>
        <v/>
      </c>
      <c r="Q69" s="29">
        <f>IF(J69="","",J69+P69)</f>
        <v/>
      </c>
    </row>
    <row r="70" ht="22" customHeight="1">
      <c r="B70" s="10" t="inlineStr"/>
      <c r="C70" s="10">
        <f>IF(B70="","",VLOOKUP(B70,'_Données Employés'!$B$5:$S$114,3,FALSE))</f>
        <v/>
      </c>
      <c r="D70" s="30" t="inlineStr"/>
      <c r="E70" s="11">
        <f>IF(B70="","",VLOOKUP(B70,'_Données Employés'!$B$5:$S$114,16,FALSE))</f>
        <v/>
      </c>
      <c r="F70" s="11">
        <f>IF(E70="","",E70*0.05)</f>
        <v/>
      </c>
      <c r="G70" s="11">
        <f>IF(E70="","",E70*0.3)</f>
        <v/>
      </c>
      <c r="H70" s="11">
        <f>IF(E70="","",25000)</f>
        <v/>
      </c>
      <c r="I70" s="11">
        <f>IF(E70="","",SUM(F70:H70))</f>
        <v/>
      </c>
      <c r="J70" s="11">
        <f>IF(E70="","",E70+I70)</f>
        <v/>
      </c>
      <c r="K70" s="11">
        <f>IF(J70="","",J70*0.028)</f>
        <v/>
      </c>
      <c r="L70" s="11">
        <f>IF(J70="","",J70*0.015)</f>
        <v/>
      </c>
      <c r="M70" s="11">
        <f>IF(J70="","",IFERROR(IF(J70&lt;=62000,0,IF(J70&lt;=146000,(J70-62000)*0.1,IF(J70&lt;=236000,8400+(J70-146000)*0.15,IF(J70&lt;=360000,21900+(J70-236000)*0.25,IF(J70&lt;=550000,51900+(J70-360000)*0.35,118400+(J70-550000)*0.4))))),0))</f>
        <v/>
      </c>
      <c r="N70" s="11">
        <f>IF(J70="","",SUM(K70:M70))</f>
        <v/>
      </c>
      <c r="O70" s="11">
        <f>IF(J70="","",J70-N70)</f>
        <v/>
      </c>
      <c r="P70" s="11">
        <f>IF(J70="","",J70*0.082)</f>
        <v/>
      </c>
      <c r="Q70" s="11">
        <f>IF(J70="","",J70+P70)</f>
        <v/>
      </c>
    </row>
    <row r="71" ht="22" customHeight="1">
      <c r="B71" s="27" t="inlineStr"/>
      <c r="C71" s="27">
        <f>IF(B71="","",VLOOKUP(B71,'_Données Employés'!$B$5:$S$114,3,FALSE))</f>
        <v/>
      </c>
      <c r="D71" s="28" t="inlineStr"/>
      <c r="E71" s="29">
        <f>IF(B71="","",VLOOKUP(B71,'_Données Employés'!$B$5:$S$114,16,FALSE))</f>
        <v/>
      </c>
      <c r="F71" s="29">
        <f>IF(E71="","",E71*0.05)</f>
        <v/>
      </c>
      <c r="G71" s="29">
        <f>IF(E71="","",E71*0.3)</f>
        <v/>
      </c>
      <c r="H71" s="29">
        <f>IF(E71="","",25000)</f>
        <v/>
      </c>
      <c r="I71" s="29">
        <f>IF(E71="","",SUM(F71:H71))</f>
        <v/>
      </c>
      <c r="J71" s="29">
        <f>IF(E71="","",E71+I71)</f>
        <v/>
      </c>
      <c r="K71" s="29">
        <f>IF(J71="","",J71*0.028)</f>
        <v/>
      </c>
      <c r="L71" s="29">
        <f>IF(J71="","",J71*0.015)</f>
        <v/>
      </c>
      <c r="M71" s="29">
        <f>IF(J71="","",IFERROR(IF(J71&lt;=62000,0,IF(J71&lt;=146000,(J71-62000)*0.1,IF(J71&lt;=236000,8400+(J71-146000)*0.15,IF(J71&lt;=360000,21900+(J71-236000)*0.25,IF(J71&lt;=550000,51900+(J71-360000)*0.35,118400+(J71-550000)*0.4))))),0))</f>
        <v/>
      </c>
      <c r="N71" s="29">
        <f>IF(J71="","",SUM(K71:M71))</f>
        <v/>
      </c>
      <c r="O71" s="29">
        <f>IF(J71="","",J71-N71)</f>
        <v/>
      </c>
      <c r="P71" s="29">
        <f>IF(J71="","",J71*0.082)</f>
        <v/>
      </c>
      <c r="Q71" s="29">
        <f>IF(J71="","",J71+P71)</f>
        <v/>
      </c>
    </row>
    <row r="72" ht="22" customHeight="1">
      <c r="B72" s="10" t="inlineStr"/>
      <c r="C72" s="10">
        <f>IF(B72="","",VLOOKUP(B72,'_Données Employés'!$B$5:$S$114,3,FALSE))</f>
        <v/>
      </c>
      <c r="D72" s="30" t="inlineStr"/>
      <c r="E72" s="11">
        <f>IF(B72="","",VLOOKUP(B72,'_Données Employés'!$B$5:$S$114,16,FALSE))</f>
        <v/>
      </c>
      <c r="F72" s="11">
        <f>IF(E72="","",E72*0.05)</f>
        <v/>
      </c>
      <c r="G72" s="11">
        <f>IF(E72="","",E72*0.3)</f>
        <v/>
      </c>
      <c r="H72" s="11">
        <f>IF(E72="","",25000)</f>
        <v/>
      </c>
      <c r="I72" s="11">
        <f>IF(E72="","",SUM(F72:H72))</f>
        <v/>
      </c>
      <c r="J72" s="11">
        <f>IF(E72="","",E72+I72)</f>
        <v/>
      </c>
      <c r="K72" s="11">
        <f>IF(J72="","",J72*0.028)</f>
        <v/>
      </c>
      <c r="L72" s="11">
        <f>IF(J72="","",J72*0.015)</f>
        <v/>
      </c>
      <c r="M72" s="11">
        <f>IF(J72="","",IFERROR(IF(J72&lt;=62000,0,IF(J72&lt;=146000,(J72-62000)*0.1,IF(J72&lt;=236000,8400+(J72-146000)*0.15,IF(J72&lt;=360000,21900+(J72-236000)*0.25,IF(J72&lt;=550000,51900+(J72-360000)*0.35,118400+(J72-550000)*0.4))))),0))</f>
        <v/>
      </c>
      <c r="N72" s="11">
        <f>IF(J72="","",SUM(K72:M72))</f>
        <v/>
      </c>
      <c r="O72" s="11">
        <f>IF(J72="","",J72-N72)</f>
        <v/>
      </c>
      <c r="P72" s="11">
        <f>IF(J72="","",J72*0.082)</f>
        <v/>
      </c>
      <c r="Q72" s="11">
        <f>IF(J72="","",J72+P72)</f>
        <v/>
      </c>
    </row>
    <row r="73" ht="22" customHeight="1">
      <c r="B73" s="27" t="inlineStr"/>
      <c r="C73" s="27">
        <f>IF(B73="","",VLOOKUP(B73,'_Données Employés'!$B$5:$S$114,3,FALSE))</f>
        <v/>
      </c>
      <c r="D73" s="28" t="inlineStr"/>
      <c r="E73" s="29">
        <f>IF(B73="","",VLOOKUP(B73,'_Données Employés'!$B$5:$S$114,16,FALSE))</f>
        <v/>
      </c>
      <c r="F73" s="29">
        <f>IF(E73="","",E73*0.05)</f>
        <v/>
      </c>
      <c r="G73" s="29">
        <f>IF(E73="","",E73*0.3)</f>
        <v/>
      </c>
      <c r="H73" s="29">
        <f>IF(E73="","",25000)</f>
        <v/>
      </c>
      <c r="I73" s="29">
        <f>IF(E73="","",SUM(F73:H73))</f>
        <v/>
      </c>
      <c r="J73" s="29">
        <f>IF(E73="","",E73+I73)</f>
        <v/>
      </c>
      <c r="K73" s="29">
        <f>IF(J73="","",J73*0.028)</f>
        <v/>
      </c>
      <c r="L73" s="29">
        <f>IF(J73="","",J73*0.015)</f>
        <v/>
      </c>
      <c r="M73" s="29">
        <f>IF(J73="","",IFERROR(IF(J73&lt;=62000,0,IF(J73&lt;=146000,(J73-62000)*0.1,IF(J73&lt;=236000,8400+(J73-146000)*0.15,IF(J73&lt;=360000,21900+(J73-236000)*0.25,IF(J73&lt;=550000,51900+(J73-360000)*0.35,118400+(J73-550000)*0.4))))),0))</f>
        <v/>
      </c>
      <c r="N73" s="29">
        <f>IF(J73="","",SUM(K73:M73))</f>
        <v/>
      </c>
      <c r="O73" s="29">
        <f>IF(J73="","",J73-N73)</f>
        <v/>
      </c>
      <c r="P73" s="29">
        <f>IF(J73="","",J73*0.082)</f>
        <v/>
      </c>
      <c r="Q73" s="29">
        <f>IF(J73="","",J73+P73)</f>
        <v/>
      </c>
    </row>
    <row r="74" ht="22" customHeight="1">
      <c r="B74" s="10" t="inlineStr"/>
      <c r="C74" s="10">
        <f>IF(B74="","",VLOOKUP(B74,'_Données Employés'!$B$5:$S$114,3,FALSE))</f>
        <v/>
      </c>
      <c r="D74" s="30" t="inlineStr"/>
      <c r="E74" s="11">
        <f>IF(B74="","",VLOOKUP(B74,'_Données Employés'!$B$5:$S$114,16,FALSE))</f>
        <v/>
      </c>
      <c r="F74" s="11">
        <f>IF(E74="","",E74*0.05)</f>
        <v/>
      </c>
      <c r="G74" s="11">
        <f>IF(E74="","",E74*0.3)</f>
        <v/>
      </c>
      <c r="H74" s="11">
        <f>IF(E74="","",25000)</f>
        <v/>
      </c>
      <c r="I74" s="11">
        <f>IF(E74="","",SUM(F74:H74))</f>
        <v/>
      </c>
      <c r="J74" s="11">
        <f>IF(E74="","",E74+I74)</f>
        <v/>
      </c>
      <c r="K74" s="11">
        <f>IF(J74="","",J74*0.028)</f>
        <v/>
      </c>
      <c r="L74" s="11">
        <f>IF(J74="","",J74*0.015)</f>
        <v/>
      </c>
      <c r="M74" s="11">
        <f>IF(J74="","",IFERROR(IF(J74&lt;=62000,0,IF(J74&lt;=146000,(J74-62000)*0.1,IF(J74&lt;=236000,8400+(J74-146000)*0.15,IF(J74&lt;=360000,21900+(J74-236000)*0.25,IF(J74&lt;=550000,51900+(J74-360000)*0.35,118400+(J74-550000)*0.4))))),0))</f>
        <v/>
      </c>
      <c r="N74" s="11">
        <f>IF(J74="","",SUM(K74:M74))</f>
        <v/>
      </c>
      <c r="O74" s="11">
        <f>IF(J74="","",J74-N74)</f>
        <v/>
      </c>
      <c r="P74" s="11">
        <f>IF(J74="","",J74*0.082)</f>
        <v/>
      </c>
      <c r="Q74" s="11">
        <f>IF(J74="","",J74+P74)</f>
        <v/>
      </c>
    </row>
    <row r="75" ht="22" customHeight="1">
      <c r="B75" s="27" t="inlineStr"/>
      <c r="C75" s="27">
        <f>IF(B75="","",VLOOKUP(B75,'_Données Employés'!$B$5:$S$114,3,FALSE))</f>
        <v/>
      </c>
      <c r="D75" s="28" t="inlineStr"/>
      <c r="E75" s="29">
        <f>IF(B75="","",VLOOKUP(B75,'_Données Employés'!$B$5:$S$114,16,FALSE))</f>
        <v/>
      </c>
      <c r="F75" s="29">
        <f>IF(E75="","",E75*0.05)</f>
        <v/>
      </c>
      <c r="G75" s="29">
        <f>IF(E75="","",E75*0.3)</f>
        <v/>
      </c>
      <c r="H75" s="29">
        <f>IF(E75="","",25000)</f>
        <v/>
      </c>
      <c r="I75" s="29">
        <f>IF(E75="","",SUM(F75:H75))</f>
        <v/>
      </c>
      <c r="J75" s="29">
        <f>IF(E75="","",E75+I75)</f>
        <v/>
      </c>
      <c r="K75" s="29">
        <f>IF(J75="","",J75*0.028)</f>
        <v/>
      </c>
      <c r="L75" s="29">
        <f>IF(J75="","",J75*0.015)</f>
        <v/>
      </c>
      <c r="M75" s="29">
        <f>IF(J75="","",IFERROR(IF(J75&lt;=62000,0,IF(J75&lt;=146000,(J75-62000)*0.1,IF(J75&lt;=236000,8400+(J75-146000)*0.15,IF(J75&lt;=360000,21900+(J75-236000)*0.25,IF(J75&lt;=550000,51900+(J75-360000)*0.35,118400+(J75-550000)*0.4))))),0))</f>
        <v/>
      </c>
      <c r="N75" s="29">
        <f>IF(J75="","",SUM(K75:M75))</f>
        <v/>
      </c>
      <c r="O75" s="29">
        <f>IF(J75="","",J75-N75)</f>
        <v/>
      </c>
      <c r="P75" s="29">
        <f>IF(J75="","",J75*0.082)</f>
        <v/>
      </c>
      <c r="Q75" s="29">
        <f>IF(J75="","",J75+P75)</f>
        <v/>
      </c>
    </row>
    <row r="76" ht="22" customHeight="1">
      <c r="B76" s="10" t="inlineStr"/>
      <c r="C76" s="10">
        <f>IF(B76="","",VLOOKUP(B76,'_Données Employés'!$B$5:$S$114,3,FALSE))</f>
        <v/>
      </c>
      <c r="D76" s="30" t="inlineStr"/>
      <c r="E76" s="11">
        <f>IF(B76="","",VLOOKUP(B76,'_Données Employés'!$B$5:$S$114,16,FALSE))</f>
        <v/>
      </c>
      <c r="F76" s="11">
        <f>IF(E76="","",E76*0.05)</f>
        <v/>
      </c>
      <c r="G76" s="11">
        <f>IF(E76="","",E76*0.3)</f>
        <v/>
      </c>
      <c r="H76" s="11">
        <f>IF(E76="","",25000)</f>
        <v/>
      </c>
      <c r="I76" s="11">
        <f>IF(E76="","",SUM(F76:H76))</f>
        <v/>
      </c>
      <c r="J76" s="11">
        <f>IF(E76="","",E76+I76)</f>
        <v/>
      </c>
      <c r="K76" s="11">
        <f>IF(J76="","",J76*0.028)</f>
        <v/>
      </c>
      <c r="L76" s="11">
        <f>IF(J76="","",J76*0.015)</f>
        <v/>
      </c>
      <c r="M76" s="11">
        <f>IF(J76="","",IFERROR(IF(J76&lt;=62000,0,IF(J76&lt;=146000,(J76-62000)*0.1,IF(J76&lt;=236000,8400+(J76-146000)*0.15,IF(J76&lt;=360000,21900+(J76-236000)*0.25,IF(J76&lt;=550000,51900+(J76-360000)*0.35,118400+(J76-550000)*0.4))))),0))</f>
        <v/>
      </c>
      <c r="N76" s="11">
        <f>IF(J76="","",SUM(K76:M76))</f>
        <v/>
      </c>
      <c r="O76" s="11">
        <f>IF(J76="","",J76-N76)</f>
        <v/>
      </c>
      <c r="P76" s="11">
        <f>IF(J76="","",J76*0.082)</f>
        <v/>
      </c>
      <c r="Q76" s="11">
        <f>IF(J76="","",J76+P76)</f>
        <v/>
      </c>
    </row>
    <row r="77" ht="22" customHeight="1">
      <c r="B77" s="27" t="inlineStr"/>
      <c r="C77" s="27">
        <f>IF(B77="","",VLOOKUP(B77,'_Données Employés'!$B$5:$S$114,3,FALSE))</f>
        <v/>
      </c>
      <c r="D77" s="28" t="inlineStr"/>
      <c r="E77" s="29">
        <f>IF(B77="","",VLOOKUP(B77,'_Données Employés'!$B$5:$S$114,16,FALSE))</f>
        <v/>
      </c>
      <c r="F77" s="29">
        <f>IF(E77="","",E77*0.05)</f>
        <v/>
      </c>
      <c r="G77" s="29">
        <f>IF(E77="","",E77*0.3)</f>
        <v/>
      </c>
      <c r="H77" s="29">
        <f>IF(E77="","",25000)</f>
        <v/>
      </c>
      <c r="I77" s="29">
        <f>IF(E77="","",SUM(F77:H77))</f>
        <v/>
      </c>
      <c r="J77" s="29">
        <f>IF(E77="","",E77+I77)</f>
        <v/>
      </c>
      <c r="K77" s="29">
        <f>IF(J77="","",J77*0.028)</f>
        <v/>
      </c>
      <c r="L77" s="29">
        <f>IF(J77="","",J77*0.015)</f>
        <v/>
      </c>
      <c r="M77" s="29">
        <f>IF(J77="","",IFERROR(IF(J77&lt;=62000,0,IF(J77&lt;=146000,(J77-62000)*0.1,IF(J77&lt;=236000,8400+(J77-146000)*0.15,IF(J77&lt;=360000,21900+(J77-236000)*0.25,IF(J77&lt;=550000,51900+(J77-360000)*0.35,118400+(J77-550000)*0.4))))),0))</f>
        <v/>
      </c>
      <c r="N77" s="29">
        <f>IF(J77="","",SUM(K77:M77))</f>
        <v/>
      </c>
      <c r="O77" s="29">
        <f>IF(J77="","",J77-N77)</f>
        <v/>
      </c>
      <c r="P77" s="29">
        <f>IF(J77="","",J77*0.082)</f>
        <v/>
      </c>
      <c r="Q77" s="29">
        <f>IF(J77="","",J77+P77)</f>
        <v/>
      </c>
    </row>
    <row r="78" ht="22" customHeight="1">
      <c r="B78" s="10" t="inlineStr"/>
      <c r="C78" s="10">
        <f>IF(B78="","",VLOOKUP(B78,'_Données Employés'!$B$5:$S$114,3,FALSE))</f>
        <v/>
      </c>
      <c r="D78" s="30" t="inlineStr"/>
      <c r="E78" s="11">
        <f>IF(B78="","",VLOOKUP(B78,'_Données Employés'!$B$5:$S$114,16,FALSE))</f>
        <v/>
      </c>
      <c r="F78" s="11">
        <f>IF(E78="","",E78*0.05)</f>
        <v/>
      </c>
      <c r="G78" s="11">
        <f>IF(E78="","",E78*0.3)</f>
        <v/>
      </c>
      <c r="H78" s="11">
        <f>IF(E78="","",25000)</f>
        <v/>
      </c>
      <c r="I78" s="11">
        <f>IF(E78="","",SUM(F78:H78))</f>
        <v/>
      </c>
      <c r="J78" s="11">
        <f>IF(E78="","",E78+I78)</f>
        <v/>
      </c>
      <c r="K78" s="11">
        <f>IF(J78="","",J78*0.028)</f>
        <v/>
      </c>
      <c r="L78" s="11">
        <f>IF(J78="","",J78*0.015)</f>
        <v/>
      </c>
      <c r="M78" s="11">
        <f>IF(J78="","",IFERROR(IF(J78&lt;=62000,0,IF(J78&lt;=146000,(J78-62000)*0.1,IF(J78&lt;=236000,8400+(J78-146000)*0.15,IF(J78&lt;=360000,21900+(J78-236000)*0.25,IF(J78&lt;=550000,51900+(J78-360000)*0.35,118400+(J78-550000)*0.4))))),0))</f>
        <v/>
      </c>
      <c r="N78" s="11">
        <f>IF(J78="","",SUM(K78:M78))</f>
        <v/>
      </c>
      <c r="O78" s="11">
        <f>IF(J78="","",J78-N78)</f>
        <v/>
      </c>
      <c r="P78" s="11">
        <f>IF(J78="","",J78*0.082)</f>
        <v/>
      </c>
      <c r="Q78" s="11">
        <f>IF(J78="","",J78+P78)</f>
        <v/>
      </c>
    </row>
    <row r="79" ht="22" customHeight="1">
      <c r="B79" s="27" t="inlineStr"/>
      <c r="C79" s="27">
        <f>IF(B79="","",VLOOKUP(B79,'_Données Employés'!$B$5:$S$114,3,FALSE))</f>
        <v/>
      </c>
      <c r="D79" s="28" t="inlineStr"/>
      <c r="E79" s="29">
        <f>IF(B79="","",VLOOKUP(B79,'_Données Employés'!$B$5:$S$114,16,FALSE))</f>
        <v/>
      </c>
      <c r="F79" s="29">
        <f>IF(E79="","",E79*0.05)</f>
        <v/>
      </c>
      <c r="G79" s="29">
        <f>IF(E79="","",E79*0.3)</f>
        <v/>
      </c>
      <c r="H79" s="29">
        <f>IF(E79="","",25000)</f>
        <v/>
      </c>
      <c r="I79" s="29">
        <f>IF(E79="","",SUM(F79:H79))</f>
        <v/>
      </c>
      <c r="J79" s="29">
        <f>IF(E79="","",E79+I79)</f>
        <v/>
      </c>
      <c r="K79" s="29">
        <f>IF(J79="","",J79*0.028)</f>
        <v/>
      </c>
      <c r="L79" s="29">
        <f>IF(J79="","",J79*0.015)</f>
        <v/>
      </c>
      <c r="M79" s="29">
        <f>IF(J79="","",IFERROR(IF(J79&lt;=62000,0,IF(J79&lt;=146000,(J79-62000)*0.1,IF(J79&lt;=236000,8400+(J79-146000)*0.15,IF(J79&lt;=360000,21900+(J79-236000)*0.25,IF(J79&lt;=550000,51900+(J79-360000)*0.35,118400+(J79-550000)*0.4))))),0))</f>
        <v/>
      </c>
      <c r="N79" s="29">
        <f>IF(J79="","",SUM(K79:M79))</f>
        <v/>
      </c>
      <c r="O79" s="29">
        <f>IF(J79="","",J79-N79)</f>
        <v/>
      </c>
      <c r="P79" s="29">
        <f>IF(J79="","",J79*0.082)</f>
        <v/>
      </c>
      <c r="Q79" s="29">
        <f>IF(J79="","",J79+P79)</f>
        <v/>
      </c>
    </row>
    <row r="80" ht="22" customHeight="1">
      <c r="B80" s="10" t="inlineStr"/>
      <c r="C80" s="10">
        <f>IF(B80="","",VLOOKUP(B80,'_Données Employés'!$B$5:$S$114,3,FALSE))</f>
        <v/>
      </c>
      <c r="D80" s="30" t="inlineStr"/>
      <c r="E80" s="11">
        <f>IF(B80="","",VLOOKUP(B80,'_Données Employés'!$B$5:$S$114,16,FALSE))</f>
        <v/>
      </c>
      <c r="F80" s="11">
        <f>IF(E80="","",E80*0.05)</f>
        <v/>
      </c>
      <c r="G80" s="11">
        <f>IF(E80="","",E80*0.3)</f>
        <v/>
      </c>
      <c r="H80" s="11">
        <f>IF(E80="","",25000)</f>
        <v/>
      </c>
      <c r="I80" s="11">
        <f>IF(E80="","",SUM(F80:H80))</f>
        <v/>
      </c>
      <c r="J80" s="11">
        <f>IF(E80="","",E80+I80)</f>
        <v/>
      </c>
      <c r="K80" s="11">
        <f>IF(J80="","",J80*0.028)</f>
        <v/>
      </c>
      <c r="L80" s="11">
        <f>IF(J80="","",J80*0.015)</f>
        <v/>
      </c>
      <c r="M80" s="11">
        <f>IF(J80="","",IFERROR(IF(J80&lt;=62000,0,IF(J80&lt;=146000,(J80-62000)*0.1,IF(J80&lt;=236000,8400+(J80-146000)*0.15,IF(J80&lt;=360000,21900+(J80-236000)*0.25,IF(J80&lt;=550000,51900+(J80-360000)*0.35,118400+(J80-550000)*0.4))))),0))</f>
        <v/>
      </c>
      <c r="N80" s="11">
        <f>IF(J80="","",SUM(K80:M80))</f>
        <v/>
      </c>
      <c r="O80" s="11">
        <f>IF(J80="","",J80-N80)</f>
        <v/>
      </c>
      <c r="P80" s="11">
        <f>IF(J80="","",J80*0.082)</f>
        <v/>
      </c>
      <c r="Q80" s="11">
        <f>IF(J80="","",J80+P80)</f>
        <v/>
      </c>
    </row>
    <row r="81" ht="22" customHeight="1">
      <c r="B81" s="27" t="inlineStr"/>
      <c r="C81" s="27">
        <f>IF(B81="","",VLOOKUP(B81,'_Données Employés'!$B$5:$S$114,3,FALSE))</f>
        <v/>
      </c>
      <c r="D81" s="28" t="inlineStr"/>
      <c r="E81" s="29">
        <f>IF(B81="","",VLOOKUP(B81,'_Données Employés'!$B$5:$S$114,16,FALSE))</f>
        <v/>
      </c>
      <c r="F81" s="29">
        <f>IF(E81="","",E81*0.05)</f>
        <v/>
      </c>
      <c r="G81" s="29">
        <f>IF(E81="","",E81*0.3)</f>
        <v/>
      </c>
      <c r="H81" s="29">
        <f>IF(E81="","",25000)</f>
        <v/>
      </c>
      <c r="I81" s="29">
        <f>IF(E81="","",SUM(F81:H81))</f>
        <v/>
      </c>
      <c r="J81" s="29">
        <f>IF(E81="","",E81+I81)</f>
        <v/>
      </c>
      <c r="K81" s="29">
        <f>IF(J81="","",J81*0.028)</f>
        <v/>
      </c>
      <c r="L81" s="29">
        <f>IF(J81="","",J81*0.015)</f>
        <v/>
      </c>
      <c r="M81" s="29">
        <f>IF(J81="","",IFERROR(IF(J81&lt;=62000,0,IF(J81&lt;=146000,(J81-62000)*0.1,IF(J81&lt;=236000,8400+(J81-146000)*0.15,IF(J81&lt;=360000,21900+(J81-236000)*0.25,IF(J81&lt;=550000,51900+(J81-360000)*0.35,118400+(J81-550000)*0.4))))),0))</f>
        <v/>
      </c>
      <c r="N81" s="29">
        <f>IF(J81="","",SUM(K81:M81))</f>
        <v/>
      </c>
      <c r="O81" s="29">
        <f>IF(J81="","",J81-N81)</f>
        <v/>
      </c>
      <c r="P81" s="29">
        <f>IF(J81="","",J81*0.082)</f>
        <v/>
      </c>
      <c r="Q81" s="29">
        <f>IF(J81="","",J81+P81)</f>
        <v/>
      </c>
    </row>
    <row r="82" ht="22" customHeight="1">
      <c r="B82" s="10" t="inlineStr"/>
      <c r="C82" s="10">
        <f>IF(B82="","",VLOOKUP(B82,'_Données Employés'!$B$5:$S$114,3,FALSE))</f>
        <v/>
      </c>
      <c r="D82" s="30" t="inlineStr"/>
      <c r="E82" s="11">
        <f>IF(B82="","",VLOOKUP(B82,'_Données Employés'!$B$5:$S$114,16,FALSE))</f>
        <v/>
      </c>
      <c r="F82" s="11">
        <f>IF(E82="","",E82*0.05)</f>
        <v/>
      </c>
      <c r="G82" s="11">
        <f>IF(E82="","",E82*0.3)</f>
        <v/>
      </c>
      <c r="H82" s="11">
        <f>IF(E82="","",25000)</f>
        <v/>
      </c>
      <c r="I82" s="11">
        <f>IF(E82="","",SUM(F82:H82))</f>
        <v/>
      </c>
      <c r="J82" s="11">
        <f>IF(E82="","",E82+I82)</f>
        <v/>
      </c>
      <c r="K82" s="11">
        <f>IF(J82="","",J82*0.028)</f>
        <v/>
      </c>
      <c r="L82" s="11">
        <f>IF(J82="","",J82*0.015)</f>
        <v/>
      </c>
      <c r="M82" s="11">
        <f>IF(J82="","",IFERROR(IF(J82&lt;=62000,0,IF(J82&lt;=146000,(J82-62000)*0.1,IF(J82&lt;=236000,8400+(J82-146000)*0.15,IF(J82&lt;=360000,21900+(J82-236000)*0.25,IF(J82&lt;=550000,51900+(J82-360000)*0.35,118400+(J82-550000)*0.4))))),0))</f>
        <v/>
      </c>
      <c r="N82" s="11">
        <f>IF(J82="","",SUM(K82:M82))</f>
        <v/>
      </c>
      <c r="O82" s="11">
        <f>IF(J82="","",J82-N82)</f>
        <v/>
      </c>
      <c r="P82" s="11">
        <f>IF(J82="","",J82*0.082)</f>
        <v/>
      </c>
      <c r="Q82" s="11">
        <f>IF(J82="","",J82+P82)</f>
        <v/>
      </c>
    </row>
    <row r="83" ht="22" customHeight="1">
      <c r="B83" s="27" t="inlineStr"/>
      <c r="C83" s="27">
        <f>IF(B83="","",VLOOKUP(B83,'_Données Employés'!$B$5:$S$114,3,FALSE))</f>
        <v/>
      </c>
      <c r="D83" s="28" t="inlineStr"/>
      <c r="E83" s="29">
        <f>IF(B83="","",VLOOKUP(B83,'_Données Employés'!$B$5:$S$114,16,FALSE))</f>
        <v/>
      </c>
      <c r="F83" s="29">
        <f>IF(E83="","",E83*0.05)</f>
        <v/>
      </c>
      <c r="G83" s="29">
        <f>IF(E83="","",E83*0.3)</f>
        <v/>
      </c>
      <c r="H83" s="29">
        <f>IF(E83="","",25000)</f>
        <v/>
      </c>
      <c r="I83" s="29">
        <f>IF(E83="","",SUM(F83:H83))</f>
        <v/>
      </c>
      <c r="J83" s="29">
        <f>IF(E83="","",E83+I83)</f>
        <v/>
      </c>
      <c r="K83" s="29">
        <f>IF(J83="","",J83*0.028)</f>
        <v/>
      </c>
      <c r="L83" s="29">
        <f>IF(J83="","",J83*0.015)</f>
        <v/>
      </c>
      <c r="M83" s="29">
        <f>IF(J83="","",IFERROR(IF(J83&lt;=62000,0,IF(J83&lt;=146000,(J83-62000)*0.1,IF(J83&lt;=236000,8400+(J83-146000)*0.15,IF(J83&lt;=360000,21900+(J83-236000)*0.25,IF(J83&lt;=550000,51900+(J83-360000)*0.35,118400+(J83-550000)*0.4))))),0))</f>
        <v/>
      </c>
      <c r="N83" s="29">
        <f>IF(J83="","",SUM(K83:M83))</f>
        <v/>
      </c>
      <c r="O83" s="29">
        <f>IF(J83="","",J83-N83)</f>
        <v/>
      </c>
      <c r="P83" s="29">
        <f>IF(J83="","",J83*0.082)</f>
        <v/>
      </c>
      <c r="Q83" s="29">
        <f>IF(J83="","",J83+P83)</f>
        <v/>
      </c>
    </row>
    <row r="84" ht="22" customHeight="1">
      <c r="B84" s="10" t="inlineStr"/>
      <c r="C84" s="10">
        <f>IF(B84="","",VLOOKUP(B84,'_Données Employés'!$B$5:$S$114,3,FALSE))</f>
        <v/>
      </c>
      <c r="D84" s="30" t="inlineStr"/>
      <c r="E84" s="11">
        <f>IF(B84="","",VLOOKUP(B84,'_Données Employés'!$B$5:$S$114,16,FALSE))</f>
        <v/>
      </c>
      <c r="F84" s="11">
        <f>IF(E84="","",E84*0.05)</f>
        <v/>
      </c>
      <c r="G84" s="11">
        <f>IF(E84="","",E84*0.3)</f>
        <v/>
      </c>
      <c r="H84" s="11">
        <f>IF(E84="","",25000)</f>
        <v/>
      </c>
      <c r="I84" s="11">
        <f>IF(E84="","",SUM(F84:H84))</f>
        <v/>
      </c>
      <c r="J84" s="11">
        <f>IF(E84="","",E84+I84)</f>
        <v/>
      </c>
      <c r="K84" s="11">
        <f>IF(J84="","",J84*0.028)</f>
        <v/>
      </c>
      <c r="L84" s="11">
        <f>IF(J84="","",J84*0.015)</f>
        <v/>
      </c>
      <c r="M84" s="11">
        <f>IF(J84="","",IFERROR(IF(J84&lt;=62000,0,IF(J84&lt;=146000,(J84-62000)*0.1,IF(J84&lt;=236000,8400+(J84-146000)*0.15,IF(J84&lt;=360000,21900+(J84-236000)*0.25,IF(J84&lt;=550000,51900+(J84-360000)*0.35,118400+(J84-550000)*0.4))))),0))</f>
        <v/>
      </c>
      <c r="N84" s="11">
        <f>IF(J84="","",SUM(K84:M84))</f>
        <v/>
      </c>
      <c r="O84" s="11">
        <f>IF(J84="","",J84-N84)</f>
        <v/>
      </c>
      <c r="P84" s="11">
        <f>IF(J84="","",J84*0.082)</f>
        <v/>
      </c>
      <c r="Q84" s="11">
        <f>IF(J84="","",J84+P84)</f>
        <v/>
      </c>
    </row>
    <row r="85" ht="22" customHeight="1">
      <c r="B85" s="27" t="inlineStr"/>
      <c r="C85" s="27">
        <f>IF(B85="","",VLOOKUP(B85,'_Données Employés'!$B$5:$S$114,3,FALSE))</f>
        <v/>
      </c>
      <c r="D85" s="28" t="inlineStr"/>
      <c r="E85" s="29">
        <f>IF(B85="","",VLOOKUP(B85,'_Données Employés'!$B$5:$S$114,16,FALSE))</f>
        <v/>
      </c>
      <c r="F85" s="29">
        <f>IF(E85="","",E85*0.05)</f>
        <v/>
      </c>
      <c r="G85" s="29">
        <f>IF(E85="","",E85*0.3)</f>
        <v/>
      </c>
      <c r="H85" s="29">
        <f>IF(E85="","",25000)</f>
        <v/>
      </c>
      <c r="I85" s="29">
        <f>IF(E85="","",SUM(F85:H85))</f>
        <v/>
      </c>
      <c r="J85" s="29">
        <f>IF(E85="","",E85+I85)</f>
        <v/>
      </c>
      <c r="K85" s="29">
        <f>IF(J85="","",J85*0.028)</f>
        <v/>
      </c>
      <c r="L85" s="29">
        <f>IF(J85="","",J85*0.015)</f>
        <v/>
      </c>
      <c r="M85" s="29">
        <f>IF(J85="","",IFERROR(IF(J85&lt;=62000,0,IF(J85&lt;=146000,(J85-62000)*0.1,IF(J85&lt;=236000,8400+(J85-146000)*0.15,IF(J85&lt;=360000,21900+(J85-236000)*0.25,IF(J85&lt;=550000,51900+(J85-360000)*0.35,118400+(J85-550000)*0.4))))),0))</f>
        <v/>
      </c>
      <c r="N85" s="29">
        <f>IF(J85="","",SUM(K85:M85))</f>
        <v/>
      </c>
      <c r="O85" s="29">
        <f>IF(J85="","",J85-N85)</f>
        <v/>
      </c>
      <c r="P85" s="29">
        <f>IF(J85="","",J85*0.082)</f>
        <v/>
      </c>
      <c r="Q85" s="29">
        <f>IF(J85="","",J85+P85)</f>
        <v/>
      </c>
    </row>
    <row r="86" ht="22" customHeight="1">
      <c r="B86" s="10" t="inlineStr"/>
      <c r="C86" s="10">
        <f>IF(B86="","",VLOOKUP(B86,'_Données Employés'!$B$5:$S$114,3,FALSE))</f>
        <v/>
      </c>
      <c r="D86" s="30" t="inlineStr"/>
      <c r="E86" s="11">
        <f>IF(B86="","",VLOOKUP(B86,'_Données Employés'!$B$5:$S$114,16,FALSE))</f>
        <v/>
      </c>
      <c r="F86" s="11">
        <f>IF(E86="","",E86*0.05)</f>
        <v/>
      </c>
      <c r="G86" s="11">
        <f>IF(E86="","",E86*0.3)</f>
        <v/>
      </c>
      <c r="H86" s="11">
        <f>IF(E86="","",25000)</f>
        <v/>
      </c>
      <c r="I86" s="11">
        <f>IF(E86="","",SUM(F86:H86))</f>
        <v/>
      </c>
      <c r="J86" s="11">
        <f>IF(E86="","",E86+I86)</f>
        <v/>
      </c>
      <c r="K86" s="11">
        <f>IF(J86="","",J86*0.028)</f>
        <v/>
      </c>
      <c r="L86" s="11">
        <f>IF(J86="","",J86*0.015)</f>
        <v/>
      </c>
      <c r="M86" s="11">
        <f>IF(J86="","",IFERROR(IF(J86&lt;=62000,0,IF(J86&lt;=146000,(J86-62000)*0.1,IF(J86&lt;=236000,8400+(J86-146000)*0.15,IF(J86&lt;=360000,21900+(J86-236000)*0.25,IF(J86&lt;=550000,51900+(J86-360000)*0.35,118400+(J86-550000)*0.4))))),0))</f>
        <v/>
      </c>
      <c r="N86" s="11">
        <f>IF(J86="","",SUM(K86:M86))</f>
        <v/>
      </c>
      <c r="O86" s="11">
        <f>IF(J86="","",J86-N86)</f>
        <v/>
      </c>
      <c r="P86" s="11">
        <f>IF(J86="","",J86*0.082)</f>
        <v/>
      </c>
      <c r="Q86" s="11">
        <f>IF(J86="","",J86+P86)</f>
        <v/>
      </c>
    </row>
    <row r="87" ht="22" customHeight="1">
      <c r="B87" s="27" t="inlineStr"/>
      <c r="C87" s="27">
        <f>IF(B87="","",VLOOKUP(B87,'_Données Employés'!$B$5:$S$114,3,FALSE))</f>
        <v/>
      </c>
      <c r="D87" s="28" t="inlineStr"/>
      <c r="E87" s="29">
        <f>IF(B87="","",VLOOKUP(B87,'_Données Employés'!$B$5:$S$114,16,FALSE))</f>
        <v/>
      </c>
      <c r="F87" s="29">
        <f>IF(E87="","",E87*0.05)</f>
        <v/>
      </c>
      <c r="G87" s="29">
        <f>IF(E87="","",E87*0.3)</f>
        <v/>
      </c>
      <c r="H87" s="29">
        <f>IF(E87="","",25000)</f>
        <v/>
      </c>
      <c r="I87" s="29">
        <f>IF(E87="","",SUM(F87:H87))</f>
        <v/>
      </c>
      <c r="J87" s="29">
        <f>IF(E87="","",E87+I87)</f>
        <v/>
      </c>
      <c r="K87" s="29">
        <f>IF(J87="","",J87*0.028)</f>
        <v/>
      </c>
      <c r="L87" s="29">
        <f>IF(J87="","",J87*0.015)</f>
        <v/>
      </c>
      <c r="M87" s="29">
        <f>IF(J87="","",IFERROR(IF(J87&lt;=62000,0,IF(J87&lt;=146000,(J87-62000)*0.1,IF(J87&lt;=236000,8400+(J87-146000)*0.15,IF(J87&lt;=360000,21900+(J87-236000)*0.25,IF(J87&lt;=550000,51900+(J87-360000)*0.35,118400+(J87-550000)*0.4))))),0))</f>
        <v/>
      </c>
      <c r="N87" s="29">
        <f>IF(J87="","",SUM(K87:M87))</f>
        <v/>
      </c>
      <c r="O87" s="29">
        <f>IF(J87="","",J87-N87)</f>
        <v/>
      </c>
      <c r="P87" s="29">
        <f>IF(J87="","",J87*0.082)</f>
        <v/>
      </c>
      <c r="Q87" s="29">
        <f>IF(J87="","",J87+P87)</f>
        <v/>
      </c>
    </row>
    <row r="88" ht="22" customHeight="1">
      <c r="B88" s="10" t="inlineStr"/>
      <c r="C88" s="10">
        <f>IF(B88="","",VLOOKUP(B88,'_Données Employés'!$B$5:$S$114,3,FALSE))</f>
        <v/>
      </c>
      <c r="D88" s="30" t="inlineStr"/>
      <c r="E88" s="11">
        <f>IF(B88="","",VLOOKUP(B88,'_Données Employés'!$B$5:$S$114,16,FALSE))</f>
        <v/>
      </c>
      <c r="F88" s="11">
        <f>IF(E88="","",E88*0.05)</f>
        <v/>
      </c>
      <c r="G88" s="11">
        <f>IF(E88="","",E88*0.3)</f>
        <v/>
      </c>
      <c r="H88" s="11">
        <f>IF(E88="","",25000)</f>
        <v/>
      </c>
      <c r="I88" s="11">
        <f>IF(E88="","",SUM(F88:H88))</f>
        <v/>
      </c>
      <c r="J88" s="11">
        <f>IF(E88="","",E88+I88)</f>
        <v/>
      </c>
      <c r="K88" s="11">
        <f>IF(J88="","",J88*0.028)</f>
        <v/>
      </c>
      <c r="L88" s="11">
        <f>IF(J88="","",J88*0.015)</f>
        <v/>
      </c>
      <c r="M88" s="11">
        <f>IF(J88="","",IFERROR(IF(J88&lt;=62000,0,IF(J88&lt;=146000,(J88-62000)*0.1,IF(J88&lt;=236000,8400+(J88-146000)*0.15,IF(J88&lt;=360000,21900+(J88-236000)*0.25,IF(J88&lt;=550000,51900+(J88-360000)*0.35,118400+(J88-550000)*0.4))))),0))</f>
        <v/>
      </c>
      <c r="N88" s="11">
        <f>IF(J88="","",SUM(K88:M88))</f>
        <v/>
      </c>
      <c r="O88" s="11">
        <f>IF(J88="","",J88-N88)</f>
        <v/>
      </c>
      <c r="P88" s="11">
        <f>IF(J88="","",J88*0.082)</f>
        <v/>
      </c>
      <c r="Q88" s="11">
        <f>IF(J88="","",J88+P88)</f>
        <v/>
      </c>
    </row>
    <row r="89" ht="22" customHeight="1">
      <c r="B89" s="27" t="inlineStr"/>
      <c r="C89" s="27">
        <f>IF(B89="","",VLOOKUP(B89,'_Données Employés'!$B$5:$S$114,3,FALSE))</f>
        <v/>
      </c>
      <c r="D89" s="28" t="inlineStr"/>
      <c r="E89" s="29">
        <f>IF(B89="","",VLOOKUP(B89,'_Données Employés'!$B$5:$S$114,16,FALSE))</f>
        <v/>
      </c>
      <c r="F89" s="29">
        <f>IF(E89="","",E89*0.05)</f>
        <v/>
      </c>
      <c r="G89" s="29">
        <f>IF(E89="","",E89*0.3)</f>
        <v/>
      </c>
      <c r="H89" s="29">
        <f>IF(E89="","",25000)</f>
        <v/>
      </c>
      <c r="I89" s="29">
        <f>IF(E89="","",SUM(F89:H89))</f>
        <v/>
      </c>
      <c r="J89" s="29">
        <f>IF(E89="","",E89+I89)</f>
        <v/>
      </c>
      <c r="K89" s="29">
        <f>IF(J89="","",J89*0.028)</f>
        <v/>
      </c>
      <c r="L89" s="29">
        <f>IF(J89="","",J89*0.015)</f>
        <v/>
      </c>
      <c r="M89" s="29">
        <f>IF(J89="","",IFERROR(IF(J89&lt;=62000,0,IF(J89&lt;=146000,(J89-62000)*0.1,IF(J89&lt;=236000,8400+(J89-146000)*0.15,IF(J89&lt;=360000,21900+(J89-236000)*0.25,IF(J89&lt;=550000,51900+(J89-360000)*0.35,118400+(J89-550000)*0.4))))),0))</f>
        <v/>
      </c>
      <c r="N89" s="29">
        <f>IF(J89="","",SUM(K89:M89))</f>
        <v/>
      </c>
      <c r="O89" s="29">
        <f>IF(J89="","",J89-N89)</f>
        <v/>
      </c>
      <c r="P89" s="29">
        <f>IF(J89="","",J89*0.082)</f>
        <v/>
      </c>
      <c r="Q89" s="29">
        <f>IF(J89="","",J89+P89)</f>
        <v/>
      </c>
    </row>
    <row r="90" ht="22" customHeight="1">
      <c r="B90" s="10" t="inlineStr"/>
      <c r="C90" s="10">
        <f>IF(B90="","",VLOOKUP(B90,'_Données Employés'!$B$5:$S$114,3,FALSE))</f>
        <v/>
      </c>
      <c r="D90" s="30" t="inlineStr"/>
      <c r="E90" s="11">
        <f>IF(B90="","",VLOOKUP(B90,'_Données Employés'!$B$5:$S$114,16,FALSE))</f>
        <v/>
      </c>
      <c r="F90" s="11">
        <f>IF(E90="","",E90*0.05)</f>
        <v/>
      </c>
      <c r="G90" s="11">
        <f>IF(E90="","",E90*0.3)</f>
        <v/>
      </c>
      <c r="H90" s="11">
        <f>IF(E90="","",25000)</f>
        <v/>
      </c>
      <c r="I90" s="11">
        <f>IF(E90="","",SUM(F90:H90))</f>
        <v/>
      </c>
      <c r="J90" s="11">
        <f>IF(E90="","",E90+I90)</f>
        <v/>
      </c>
      <c r="K90" s="11">
        <f>IF(J90="","",J90*0.028)</f>
        <v/>
      </c>
      <c r="L90" s="11">
        <f>IF(J90="","",J90*0.015)</f>
        <v/>
      </c>
      <c r="M90" s="11">
        <f>IF(J90="","",IFERROR(IF(J90&lt;=62000,0,IF(J90&lt;=146000,(J90-62000)*0.1,IF(J90&lt;=236000,8400+(J90-146000)*0.15,IF(J90&lt;=360000,21900+(J90-236000)*0.25,IF(J90&lt;=550000,51900+(J90-360000)*0.35,118400+(J90-550000)*0.4))))),0))</f>
        <v/>
      </c>
      <c r="N90" s="11">
        <f>IF(J90="","",SUM(K90:M90))</f>
        <v/>
      </c>
      <c r="O90" s="11">
        <f>IF(J90="","",J90-N90)</f>
        <v/>
      </c>
      <c r="P90" s="11">
        <f>IF(J90="","",J90*0.082)</f>
        <v/>
      </c>
      <c r="Q90" s="11">
        <f>IF(J90="","",J90+P90)</f>
        <v/>
      </c>
    </row>
    <row r="91" ht="22" customHeight="1">
      <c r="B91" s="27" t="inlineStr"/>
      <c r="C91" s="27">
        <f>IF(B91="","",VLOOKUP(B91,'_Données Employés'!$B$5:$S$114,3,FALSE))</f>
        <v/>
      </c>
      <c r="D91" s="28" t="inlineStr"/>
      <c r="E91" s="29">
        <f>IF(B91="","",VLOOKUP(B91,'_Données Employés'!$B$5:$S$114,16,FALSE))</f>
        <v/>
      </c>
      <c r="F91" s="29">
        <f>IF(E91="","",E91*0.05)</f>
        <v/>
      </c>
      <c r="G91" s="29">
        <f>IF(E91="","",E91*0.3)</f>
        <v/>
      </c>
      <c r="H91" s="29">
        <f>IF(E91="","",25000)</f>
        <v/>
      </c>
      <c r="I91" s="29">
        <f>IF(E91="","",SUM(F91:H91))</f>
        <v/>
      </c>
      <c r="J91" s="29">
        <f>IF(E91="","",E91+I91)</f>
        <v/>
      </c>
      <c r="K91" s="29">
        <f>IF(J91="","",J91*0.028)</f>
        <v/>
      </c>
      <c r="L91" s="29">
        <f>IF(J91="","",J91*0.015)</f>
        <v/>
      </c>
      <c r="M91" s="29">
        <f>IF(J91="","",IFERROR(IF(J91&lt;=62000,0,IF(J91&lt;=146000,(J91-62000)*0.1,IF(J91&lt;=236000,8400+(J91-146000)*0.15,IF(J91&lt;=360000,21900+(J91-236000)*0.25,IF(J91&lt;=550000,51900+(J91-360000)*0.35,118400+(J91-550000)*0.4))))),0))</f>
        <v/>
      </c>
      <c r="N91" s="29">
        <f>IF(J91="","",SUM(K91:M91))</f>
        <v/>
      </c>
      <c r="O91" s="29">
        <f>IF(J91="","",J91-N91)</f>
        <v/>
      </c>
      <c r="P91" s="29">
        <f>IF(J91="","",J91*0.082)</f>
        <v/>
      </c>
      <c r="Q91" s="29">
        <f>IF(J91="","",J91+P91)</f>
        <v/>
      </c>
    </row>
    <row r="92" ht="22" customHeight="1">
      <c r="B92" s="10" t="inlineStr"/>
      <c r="C92" s="10">
        <f>IF(B92="","",VLOOKUP(B92,'_Données Employés'!$B$5:$S$114,3,FALSE))</f>
        <v/>
      </c>
      <c r="D92" s="30" t="inlineStr"/>
      <c r="E92" s="11">
        <f>IF(B92="","",VLOOKUP(B92,'_Données Employés'!$B$5:$S$114,16,FALSE))</f>
        <v/>
      </c>
      <c r="F92" s="11">
        <f>IF(E92="","",E92*0.05)</f>
        <v/>
      </c>
      <c r="G92" s="11">
        <f>IF(E92="","",E92*0.3)</f>
        <v/>
      </c>
      <c r="H92" s="11">
        <f>IF(E92="","",25000)</f>
        <v/>
      </c>
      <c r="I92" s="11">
        <f>IF(E92="","",SUM(F92:H92))</f>
        <v/>
      </c>
      <c r="J92" s="11">
        <f>IF(E92="","",E92+I92)</f>
        <v/>
      </c>
      <c r="K92" s="11">
        <f>IF(J92="","",J92*0.028)</f>
        <v/>
      </c>
      <c r="L92" s="11">
        <f>IF(J92="","",J92*0.015)</f>
        <v/>
      </c>
      <c r="M92" s="11">
        <f>IF(J92="","",IFERROR(IF(J92&lt;=62000,0,IF(J92&lt;=146000,(J92-62000)*0.1,IF(J92&lt;=236000,8400+(J92-146000)*0.15,IF(J92&lt;=360000,21900+(J92-236000)*0.25,IF(J92&lt;=550000,51900+(J92-360000)*0.35,118400+(J92-550000)*0.4))))),0))</f>
        <v/>
      </c>
      <c r="N92" s="11">
        <f>IF(J92="","",SUM(K92:M92))</f>
        <v/>
      </c>
      <c r="O92" s="11">
        <f>IF(J92="","",J92-N92)</f>
        <v/>
      </c>
      <c r="P92" s="11">
        <f>IF(J92="","",J92*0.082)</f>
        <v/>
      </c>
      <c r="Q92" s="11">
        <f>IF(J92="","",J92+P92)</f>
        <v/>
      </c>
    </row>
    <row r="93" ht="22" customHeight="1">
      <c r="B93" s="27" t="inlineStr"/>
      <c r="C93" s="27">
        <f>IF(B93="","",VLOOKUP(B93,'_Données Employés'!$B$5:$S$114,3,FALSE))</f>
        <v/>
      </c>
      <c r="D93" s="28" t="inlineStr"/>
      <c r="E93" s="29">
        <f>IF(B93="","",VLOOKUP(B93,'_Données Employés'!$B$5:$S$114,16,FALSE))</f>
        <v/>
      </c>
      <c r="F93" s="29">
        <f>IF(E93="","",E93*0.05)</f>
        <v/>
      </c>
      <c r="G93" s="29">
        <f>IF(E93="","",E93*0.3)</f>
        <v/>
      </c>
      <c r="H93" s="29">
        <f>IF(E93="","",25000)</f>
        <v/>
      </c>
      <c r="I93" s="29">
        <f>IF(E93="","",SUM(F93:H93))</f>
        <v/>
      </c>
      <c r="J93" s="29">
        <f>IF(E93="","",E93+I93)</f>
        <v/>
      </c>
      <c r="K93" s="29">
        <f>IF(J93="","",J93*0.028)</f>
        <v/>
      </c>
      <c r="L93" s="29">
        <f>IF(J93="","",J93*0.015)</f>
        <v/>
      </c>
      <c r="M93" s="29">
        <f>IF(J93="","",IFERROR(IF(J93&lt;=62000,0,IF(J93&lt;=146000,(J93-62000)*0.1,IF(J93&lt;=236000,8400+(J93-146000)*0.15,IF(J93&lt;=360000,21900+(J93-236000)*0.25,IF(J93&lt;=550000,51900+(J93-360000)*0.35,118400+(J93-550000)*0.4))))),0))</f>
        <v/>
      </c>
      <c r="N93" s="29">
        <f>IF(J93="","",SUM(K93:M93))</f>
        <v/>
      </c>
      <c r="O93" s="29">
        <f>IF(J93="","",J93-N93)</f>
        <v/>
      </c>
      <c r="P93" s="29">
        <f>IF(J93="","",J93*0.082)</f>
        <v/>
      </c>
      <c r="Q93" s="29">
        <f>IF(J93="","",J93+P93)</f>
        <v/>
      </c>
    </row>
    <row r="94" ht="22" customHeight="1">
      <c r="B94" s="10" t="inlineStr"/>
      <c r="C94" s="10">
        <f>IF(B94="","",VLOOKUP(B94,'_Données Employés'!$B$5:$S$114,3,FALSE))</f>
        <v/>
      </c>
      <c r="D94" s="30" t="inlineStr"/>
      <c r="E94" s="11">
        <f>IF(B94="","",VLOOKUP(B94,'_Données Employés'!$B$5:$S$114,16,FALSE))</f>
        <v/>
      </c>
      <c r="F94" s="11">
        <f>IF(E94="","",E94*0.05)</f>
        <v/>
      </c>
      <c r="G94" s="11">
        <f>IF(E94="","",E94*0.3)</f>
        <v/>
      </c>
      <c r="H94" s="11">
        <f>IF(E94="","",25000)</f>
        <v/>
      </c>
      <c r="I94" s="11">
        <f>IF(E94="","",SUM(F94:H94))</f>
        <v/>
      </c>
      <c r="J94" s="11">
        <f>IF(E94="","",E94+I94)</f>
        <v/>
      </c>
      <c r="K94" s="11">
        <f>IF(J94="","",J94*0.028)</f>
        <v/>
      </c>
      <c r="L94" s="11">
        <f>IF(J94="","",J94*0.015)</f>
        <v/>
      </c>
      <c r="M94" s="11">
        <f>IF(J94="","",IFERROR(IF(J94&lt;=62000,0,IF(J94&lt;=146000,(J94-62000)*0.1,IF(J94&lt;=236000,8400+(J94-146000)*0.15,IF(J94&lt;=360000,21900+(J94-236000)*0.25,IF(J94&lt;=550000,51900+(J94-360000)*0.35,118400+(J94-550000)*0.4))))),0))</f>
        <v/>
      </c>
      <c r="N94" s="11">
        <f>IF(J94="","",SUM(K94:M94))</f>
        <v/>
      </c>
      <c r="O94" s="11">
        <f>IF(J94="","",J94-N94)</f>
        <v/>
      </c>
      <c r="P94" s="11">
        <f>IF(J94="","",J94*0.082)</f>
        <v/>
      </c>
      <c r="Q94" s="11">
        <f>IF(J94="","",J94+P94)</f>
        <v/>
      </c>
    </row>
    <row r="95" ht="22" customHeight="1">
      <c r="B95" s="27" t="inlineStr"/>
      <c r="C95" s="27">
        <f>IF(B95="","",VLOOKUP(B95,'_Données Employés'!$B$5:$S$114,3,FALSE))</f>
        <v/>
      </c>
      <c r="D95" s="28" t="inlineStr"/>
      <c r="E95" s="29">
        <f>IF(B95="","",VLOOKUP(B95,'_Données Employés'!$B$5:$S$114,16,FALSE))</f>
        <v/>
      </c>
      <c r="F95" s="29">
        <f>IF(E95="","",E95*0.05)</f>
        <v/>
      </c>
      <c r="G95" s="29">
        <f>IF(E95="","",E95*0.3)</f>
        <v/>
      </c>
      <c r="H95" s="29">
        <f>IF(E95="","",25000)</f>
        <v/>
      </c>
      <c r="I95" s="29">
        <f>IF(E95="","",SUM(F95:H95))</f>
        <v/>
      </c>
      <c r="J95" s="29">
        <f>IF(E95="","",E95+I95)</f>
        <v/>
      </c>
      <c r="K95" s="29">
        <f>IF(J95="","",J95*0.028)</f>
        <v/>
      </c>
      <c r="L95" s="29">
        <f>IF(J95="","",J95*0.015)</f>
        <v/>
      </c>
      <c r="M95" s="29">
        <f>IF(J95="","",IFERROR(IF(J95&lt;=62000,0,IF(J95&lt;=146000,(J95-62000)*0.1,IF(J95&lt;=236000,8400+(J95-146000)*0.15,IF(J95&lt;=360000,21900+(J95-236000)*0.25,IF(J95&lt;=550000,51900+(J95-360000)*0.35,118400+(J95-550000)*0.4))))),0))</f>
        <v/>
      </c>
      <c r="N95" s="29">
        <f>IF(J95="","",SUM(K95:M95))</f>
        <v/>
      </c>
      <c r="O95" s="29">
        <f>IF(J95="","",J95-N95)</f>
        <v/>
      </c>
      <c r="P95" s="29">
        <f>IF(J95="","",J95*0.082)</f>
        <v/>
      </c>
      <c r="Q95" s="29">
        <f>IF(J95="","",J95+P95)</f>
        <v/>
      </c>
    </row>
    <row r="96" ht="22" customHeight="1">
      <c r="B96" s="10" t="inlineStr"/>
      <c r="C96" s="10">
        <f>IF(B96="","",VLOOKUP(B96,'_Données Employés'!$B$5:$S$114,3,FALSE))</f>
        <v/>
      </c>
      <c r="D96" s="30" t="inlineStr"/>
      <c r="E96" s="11">
        <f>IF(B96="","",VLOOKUP(B96,'_Données Employés'!$B$5:$S$114,16,FALSE))</f>
        <v/>
      </c>
      <c r="F96" s="11">
        <f>IF(E96="","",E96*0.05)</f>
        <v/>
      </c>
      <c r="G96" s="11">
        <f>IF(E96="","",E96*0.3)</f>
        <v/>
      </c>
      <c r="H96" s="11">
        <f>IF(E96="","",25000)</f>
        <v/>
      </c>
      <c r="I96" s="11">
        <f>IF(E96="","",SUM(F96:H96))</f>
        <v/>
      </c>
      <c r="J96" s="11">
        <f>IF(E96="","",E96+I96)</f>
        <v/>
      </c>
      <c r="K96" s="11">
        <f>IF(J96="","",J96*0.028)</f>
        <v/>
      </c>
      <c r="L96" s="11">
        <f>IF(J96="","",J96*0.015)</f>
        <v/>
      </c>
      <c r="M96" s="11">
        <f>IF(J96="","",IFERROR(IF(J96&lt;=62000,0,IF(J96&lt;=146000,(J96-62000)*0.1,IF(J96&lt;=236000,8400+(J96-146000)*0.15,IF(J96&lt;=360000,21900+(J96-236000)*0.25,IF(J96&lt;=550000,51900+(J96-360000)*0.35,118400+(J96-550000)*0.4))))),0))</f>
        <v/>
      </c>
      <c r="N96" s="11">
        <f>IF(J96="","",SUM(K96:M96))</f>
        <v/>
      </c>
      <c r="O96" s="11">
        <f>IF(J96="","",J96-N96)</f>
        <v/>
      </c>
      <c r="P96" s="11">
        <f>IF(J96="","",J96*0.082)</f>
        <v/>
      </c>
      <c r="Q96" s="11">
        <f>IF(J96="","",J96+P96)</f>
        <v/>
      </c>
    </row>
    <row r="97" ht="22" customHeight="1">
      <c r="B97" s="27" t="inlineStr"/>
      <c r="C97" s="27">
        <f>IF(B97="","",VLOOKUP(B97,'_Données Employés'!$B$5:$S$114,3,FALSE))</f>
        <v/>
      </c>
      <c r="D97" s="28" t="inlineStr"/>
      <c r="E97" s="29">
        <f>IF(B97="","",VLOOKUP(B97,'_Données Employés'!$B$5:$S$114,16,FALSE))</f>
        <v/>
      </c>
      <c r="F97" s="29">
        <f>IF(E97="","",E97*0.05)</f>
        <v/>
      </c>
      <c r="G97" s="29">
        <f>IF(E97="","",E97*0.3)</f>
        <v/>
      </c>
      <c r="H97" s="29">
        <f>IF(E97="","",25000)</f>
        <v/>
      </c>
      <c r="I97" s="29">
        <f>IF(E97="","",SUM(F97:H97))</f>
        <v/>
      </c>
      <c r="J97" s="29">
        <f>IF(E97="","",E97+I97)</f>
        <v/>
      </c>
      <c r="K97" s="29">
        <f>IF(J97="","",J97*0.028)</f>
        <v/>
      </c>
      <c r="L97" s="29">
        <f>IF(J97="","",J97*0.015)</f>
        <v/>
      </c>
      <c r="M97" s="29">
        <f>IF(J97="","",IFERROR(IF(J97&lt;=62000,0,IF(J97&lt;=146000,(J97-62000)*0.1,IF(J97&lt;=236000,8400+(J97-146000)*0.15,IF(J97&lt;=360000,21900+(J97-236000)*0.25,IF(J97&lt;=550000,51900+(J97-360000)*0.35,118400+(J97-550000)*0.4))))),0))</f>
        <v/>
      </c>
      <c r="N97" s="29">
        <f>IF(J97="","",SUM(K97:M97))</f>
        <v/>
      </c>
      <c r="O97" s="29">
        <f>IF(J97="","",J97-N97)</f>
        <v/>
      </c>
      <c r="P97" s="29">
        <f>IF(J97="","",J97*0.082)</f>
        <v/>
      </c>
      <c r="Q97" s="29">
        <f>IF(J97="","",J97+P97)</f>
        <v/>
      </c>
    </row>
    <row r="98" ht="22" customHeight="1">
      <c r="B98" s="10" t="inlineStr"/>
      <c r="C98" s="10">
        <f>IF(B98="","",VLOOKUP(B98,'_Données Employés'!$B$5:$S$114,3,FALSE))</f>
        <v/>
      </c>
      <c r="D98" s="30" t="inlineStr"/>
      <c r="E98" s="11">
        <f>IF(B98="","",VLOOKUP(B98,'_Données Employés'!$B$5:$S$114,16,FALSE))</f>
        <v/>
      </c>
      <c r="F98" s="11">
        <f>IF(E98="","",E98*0.05)</f>
        <v/>
      </c>
      <c r="G98" s="11">
        <f>IF(E98="","",E98*0.3)</f>
        <v/>
      </c>
      <c r="H98" s="11">
        <f>IF(E98="","",25000)</f>
        <v/>
      </c>
      <c r="I98" s="11">
        <f>IF(E98="","",SUM(F98:H98))</f>
        <v/>
      </c>
      <c r="J98" s="11">
        <f>IF(E98="","",E98+I98)</f>
        <v/>
      </c>
      <c r="K98" s="11">
        <f>IF(J98="","",J98*0.028)</f>
        <v/>
      </c>
      <c r="L98" s="11">
        <f>IF(J98="","",J98*0.015)</f>
        <v/>
      </c>
      <c r="M98" s="11">
        <f>IF(J98="","",IFERROR(IF(J98&lt;=62000,0,IF(J98&lt;=146000,(J98-62000)*0.1,IF(J98&lt;=236000,8400+(J98-146000)*0.15,IF(J98&lt;=360000,21900+(J98-236000)*0.25,IF(J98&lt;=550000,51900+(J98-360000)*0.35,118400+(J98-550000)*0.4))))),0))</f>
        <v/>
      </c>
      <c r="N98" s="11">
        <f>IF(J98="","",SUM(K98:M98))</f>
        <v/>
      </c>
      <c r="O98" s="11">
        <f>IF(J98="","",J98-N98)</f>
        <v/>
      </c>
      <c r="P98" s="11">
        <f>IF(J98="","",J98*0.082)</f>
        <v/>
      </c>
      <c r="Q98" s="11">
        <f>IF(J98="","",J98+P98)</f>
        <v/>
      </c>
    </row>
    <row r="99" ht="22" customHeight="1">
      <c r="B99" s="27" t="inlineStr"/>
      <c r="C99" s="27">
        <f>IF(B99="","",VLOOKUP(B99,'_Données Employés'!$B$5:$S$114,3,FALSE))</f>
        <v/>
      </c>
      <c r="D99" s="28" t="inlineStr"/>
      <c r="E99" s="29">
        <f>IF(B99="","",VLOOKUP(B99,'_Données Employés'!$B$5:$S$114,16,FALSE))</f>
        <v/>
      </c>
      <c r="F99" s="29">
        <f>IF(E99="","",E99*0.05)</f>
        <v/>
      </c>
      <c r="G99" s="29">
        <f>IF(E99="","",E99*0.3)</f>
        <v/>
      </c>
      <c r="H99" s="29">
        <f>IF(E99="","",25000)</f>
        <v/>
      </c>
      <c r="I99" s="29">
        <f>IF(E99="","",SUM(F99:H99))</f>
        <v/>
      </c>
      <c r="J99" s="29">
        <f>IF(E99="","",E99+I99)</f>
        <v/>
      </c>
      <c r="K99" s="29">
        <f>IF(J99="","",J99*0.028)</f>
        <v/>
      </c>
      <c r="L99" s="29">
        <f>IF(J99="","",J99*0.015)</f>
        <v/>
      </c>
      <c r="M99" s="29">
        <f>IF(J99="","",IFERROR(IF(J99&lt;=62000,0,IF(J99&lt;=146000,(J99-62000)*0.1,IF(J99&lt;=236000,8400+(J99-146000)*0.15,IF(J99&lt;=360000,21900+(J99-236000)*0.25,IF(J99&lt;=550000,51900+(J99-360000)*0.35,118400+(J99-550000)*0.4))))),0))</f>
        <v/>
      </c>
      <c r="N99" s="29">
        <f>IF(J99="","",SUM(K99:M99))</f>
        <v/>
      </c>
      <c r="O99" s="29">
        <f>IF(J99="","",J99-N99)</f>
        <v/>
      </c>
      <c r="P99" s="29">
        <f>IF(J99="","",J99*0.082)</f>
        <v/>
      </c>
      <c r="Q99" s="29">
        <f>IF(J99="","",J99+P99)</f>
        <v/>
      </c>
    </row>
    <row r="100" ht="22" customHeight="1">
      <c r="B100" s="10" t="inlineStr"/>
      <c r="C100" s="10">
        <f>IF(B100="","",VLOOKUP(B100,'_Données Employés'!$B$5:$S$114,3,FALSE))</f>
        <v/>
      </c>
      <c r="D100" s="30" t="inlineStr"/>
      <c r="E100" s="11">
        <f>IF(B100="","",VLOOKUP(B100,'_Données Employés'!$B$5:$S$114,16,FALSE))</f>
        <v/>
      </c>
      <c r="F100" s="11">
        <f>IF(E100="","",E100*0.05)</f>
        <v/>
      </c>
      <c r="G100" s="11">
        <f>IF(E100="","",E100*0.3)</f>
        <v/>
      </c>
      <c r="H100" s="11">
        <f>IF(E100="","",25000)</f>
        <v/>
      </c>
      <c r="I100" s="11">
        <f>IF(E100="","",SUM(F100:H100))</f>
        <v/>
      </c>
      <c r="J100" s="11">
        <f>IF(E100="","",E100+I100)</f>
        <v/>
      </c>
      <c r="K100" s="11">
        <f>IF(J100="","",J100*0.028)</f>
        <v/>
      </c>
      <c r="L100" s="11">
        <f>IF(J100="","",J100*0.015)</f>
        <v/>
      </c>
      <c r="M100" s="11">
        <f>IF(J100="","",IFERROR(IF(J100&lt;=62000,0,IF(J100&lt;=146000,(J100-62000)*0.1,IF(J100&lt;=236000,8400+(J100-146000)*0.15,IF(J100&lt;=360000,21900+(J100-236000)*0.25,IF(J100&lt;=550000,51900+(J100-360000)*0.35,118400+(J100-550000)*0.4))))),0))</f>
        <v/>
      </c>
      <c r="N100" s="11">
        <f>IF(J100="","",SUM(K100:M100))</f>
        <v/>
      </c>
      <c r="O100" s="11">
        <f>IF(J100="","",J100-N100)</f>
        <v/>
      </c>
      <c r="P100" s="11">
        <f>IF(J100="","",J100*0.082)</f>
        <v/>
      </c>
      <c r="Q100" s="11">
        <f>IF(J100="","",J100+P100)</f>
        <v/>
      </c>
    </row>
    <row r="101" ht="22" customHeight="1">
      <c r="B101" s="27" t="inlineStr"/>
      <c r="C101" s="27">
        <f>IF(B101="","",VLOOKUP(B101,'_Données Employés'!$B$5:$S$114,3,FALSE))</f>
        <v/>
      </c>
      <c r="D101" s="28" t="inlineStr"/>
      <c r="E101" s="29">
        <f>IF(B101="","",VLOOKUP(B101,'_Données Employés'!$B$5:$S$114,16,FALSE))</f>
        <v/>
      </c>
      <c r="F101" s="29">
        <f>IF(E101="","",E101*0.05)</f>
        <v/>
      </c>
      <c r="G101" s="29">
        <f>IF(E101="","",E101*0.3)</f>
        <v/>
      </c>
      <c r="H101" s="29">
        <f>IF(E101="","",25000)</f>
        <v/>
      </c>
      <c r="I101" s="29">
        <f>IF(E101="","",SUM(F101:H101))</f>
        <v/>
      </c>
      <c r="J101" s="29">
        <f>IF(E101="","",E101+I101)</f>
        <v/>
      </c>
      <c r="K101" s="29">
        <f>IF(J101="","",J101*0.028)</f>
        <v/>
      </c>
      <c r="L101" s="29">
        <f>IF(J101="","",J101*0.015)</f>
        <v/>
      </c>
      <c r="M101" s="29">
        <f>IF(J101="","",IFERROR(IF(J101&lt;=62000,0,IF(J101&lt;=146000,(J101-62000)*0.1,IF(J101&lt;=236000,8400+(J101-146000)*0.15,IF(J101&lt;=360000,21900+(J101-236000)*0.25,IF(J101&lt;=550000,51900+(J101-360000)*0.35,118400+(J101-550000)*0.4))))),0))</f>
        <v/>
      </c>
      <c r="N101" s="29">
        <f>IF(J101="","",SUM(K101:M101))</f>
        <v/>
      </c>
      <c r="O101" s="29">
        <f>IF(J101="","",J101-N101)</f>
        <v/>
      </c>
      <c r="P101" s="29">
        <f>IF(J101="","",J101*0.082)</f>
        <v/>
      </c>
      <c r="Q101" s="29">
        <f>IF(J101="","",J101+P101)</f>
        <v/>
      </c>
    </row>
    <row r="102" ht="22" customHeight="1">
      <c r="B102" s="10" t="inlineStr"/>
      <c r="C102" s="10">
        <f>IF(B102="","",VLOOKUP(B102,'_Données Employés'!$B$5:$S$114,3,FALSE))</f>
        <v/>
      </c>
      <c r="D102" s="30" t="inlineStr"/>
      <c r="E102" s="11">
        <f>IF(B102="","",VLOOKUP(B102,'_Données Employés'!$B$5:$S$114,16,FALSE))</f>
        <v/>
      </c>
      <c r="F102" s="11">
        <f>IF(E102="","",E102*0.05)</f>
        <v/>
      </c>
      <c r="G102" s="11">
        <f>IF(E102="","",E102*0.3)</f>
        <v/>
      </c>
      <c r="H102" s="11">
        <f>IF(E102="","",25000)</f>
        <v/>
      </c>
      <c r="I102" s="11">
        <f>IF(E102="","",SUM(F102:H102))</f>
        <v/>
      </c>
      <c r="J102" s="11">
        <f>IF(E102="","",E102+I102)</f>
        <v/>
      </c>
      <c r="K102" s="11">
        <f>IF(J102="","",J102*0.028)</f>
        <v/>
      </c>
      <c r="L102" s="11">
        <f>IF(J102="","",J102*0.015)</f>
        <v/>
      </c>
      <c r="M102" s="11">
        <f>IF(J102="","",IFERROR(IF(J102&lt;=62000,0,IF(J102&lt;=146000,(J102-62000)*0.1,IF(J102&lt;=236000,8400+(J102-146000)*0.15,IF(J102&lt;=360000,21900+(J102-236000)*0.25,IF(J102&lt;=550000,51900+(J102-360000)*0.35,118400+(J102-550000)*0.4))))),0))</f>
        <v/>
      </c>
      <c r="N102" s="11">
        <f>IF(J102="","",SUM(K102:M102))</f>
        <v/>
      </c>
      <c r="O102" s="11">
        <f>IF(J102="","",J102-N102)</f>
        <v/>
      </c>
      <c r="P102" s="11">
        <f>IF(J102="","",J102*0.082)</f>
        <v/>
      </c>
      <c r="Q102" s="11">
        <f>IF(J102="","",J102+P102)</f>
        <v/>
      </c>
    </row>
    <row r="103" ht="22" customHeight="1">
      <c r="B103" s="27" t="inlineStr"/>
      <c r="C103" s="27">
        <f>IF(B103="","",VLOOKUP(B103,'_Données Employés'!$B$5:$S$114,3,FALSE))</f>
        <v/>
      </c>
      <c r="D103" s="28" t="inlineStr"/>
      <c r="E103" s="29">
        <f>IF(B103="","",VLOOKUP(B103,'_Données Employés'!$B$5:$S$114,16,FALSE))</f>
        <v/>
      </c>
      <c r="F103" s="29">
        <f>IF(E103="","",E103*0.05)</f>
        <v/>
      </c>
      <c r="G103" s="29">
        <f>IF(E103="","",E103*0.3)</f>
        <v/>
      </c>
      <c r="H103" s="29">
        <f>IF(E103="","",25000)</f>
        <v/>
      </c>
      <c r="I103" s="29">
        <f>IF(E103="","",SUM(F103:H103))</f>
        <v/>
      </c>
      <c r="J103" s="29">
        <f>IF(E103="","",E103+I103)</f>
        <v/>
      </c>
      <c r="K103" s="29">
        <f>IF(J103="","",J103*0.028)</f>
        <v/>
      </c>
      <c r="L103" s="29">
        <f>IF(J103="","",J103*0.015)</f>
        <v/>
      </c>
      <c r="M103" s="29">
        <f>IF(J103="","",IFERROR(IF(J103&lt;=62000,0,IF(J103&lt;=146000,(J103-62000)*0.1,IF(J103&lt;=236000,8400+(J103-146000)*0.15,IF(J103&lt;=360000,21900+(J103-236000)*0.25,IF(J103&lt;=550000,51900+(J103-360000)*0.35,118400+(J103-550000)*0.4))))),0))</f>
        <v/>
      </c>
      <c r="N103" s="29">
        <f>IF(J103="","",SUM(K103:M103))</f>
        <v/>
      </c>
      <c r="O103" s="29">
        <f>IF(J103="","",J103-N103)</f>
        <v/>
      </c>
      <c r="P103" s="29">
        <f>IF(J103="","",J103*0.082)</f>
        <v/>
      </c>
      <c r="Q103" s="29">
        <f>IF(J103="","",J103+P103)</f>
        <v/>
      </c>
    </row>
    <row r="104" ht="22" customHeight="1">
      <c r="B104" s="10" t="inlineStr"/>
      <c r="C104" s="10">
        <f>IF(B104="","",VLOOKUP(B104,'_Données Employés'!$B$5:$S$114,3,FALSE))</f>
        <v/>
      </c>
      <c r="D104" s="30" t="inlineStr"/>
      <c r="E104" s="11">
        <f>IF(B104="","",VLOOKUP(B104,'_Données Employés'!$B$5:$S$114,16,FALSE))</f>
        <v/>
      </c>
      <c r="F104" s="11">
        <f>IF(E104="","",E104*0.05)</f>
        <v/>
      </c>
      <c r="G104" s="11">
        <f>IF(E104="","",E104*0.3)</f>
        <v/>
      </c>
      <c r="H104" s="11">
        <f>IF(E104="","",25000)</f>
        <v/>
      </c>
      <c r="I104" s="11">
        <f>IF(E104="","",SUM(F104:H104))</f>
        <v/>
      </c>
      <c r="J104" s="11">
        <f>IF(E104="","",E104+I104)</f>
        <v/>
      </c>
      <c r="K104" s="11">
        <f>IF(J104="","",J104*0.028)</f>
        <v/>
      </c>
      <c r="L104" s="11">
        <f>IF(J104="","",J104*0.015)</f>
        <v/>
      </c>
      <c r="M104" s="11">
        <f>IF(J104="","",IFERROR(IF(J104&lt;=62000,0,IF(J104&lt;=146000,(J104-62000)*0.1,IF(J104&lt;=236000,8400+(J104-146000)*0.15,IF(J104&lt;=360000,21900+(J104-236000)*0.25,IF(J104&lt;=550000,51900+(J104-360000)*0.35,118400+(J104-550000)*0.4))))),0))</f>
        <v/>
      </c>
      <c r="N104" s="11">
        <f>IF(J104="","",SUM(K104:M104))</f>
        <v/>
      </c>
      <c r="O104" s="11">
        <f>IF(J104="","",J104-N104)</f>
        <v/>
      </c>
      <c r="P104" s="11">
        <f>IF(J104="","",J104*0.082)</f>
        <v/>
      </c>
      <c r="Q104" s="11">
        <f>IF(J104="","",J104+P104)</f>
        <v/>
      </c>
    </row>
    <row r="107">
      <c r="B107" s="32" t="inlineStr">
        <is>
          <t>KPI Masse brute (FCFA)</t>
        </is>
      </c>
      <c r="D107" s="32" t="inlineStr">
        <is>
          <t>KPI Masse nette (FCFA)</t>
        </is>
      </c>
      <c r="F107" s="32" t="inlineStr">
        <is>
          <t>KPI Coût total employeur (FCFA)</t>
        </is>
      </c>
      <c r="H107" s="32" t="inlineStr">
        <is>
          <t>KPI Taux prélèvement moy.</t>
        </is>
      </c>
    </row>
    <row r="108">
      <c r="B108" s="25">
        <f>SUM(J5:J104)</f>
        <v/>
      </c>
      <c r="D108" s="25">
        <f>SUM(O5:O104)</f>
        <v/>
      </c>
      <c r="F108" s="25">
        <f>SUM(Q5:Q104)</f>
        <v/>
      </c>
      <c r="H108" s="24">
        <f>IFERROR(AVERAGE(N5:N104)/AVERAGE(J5:J104),0)</f>
        <v/>
      </c>
    </row>
  </sheetData>
  <mergeCells count="1">
    <mergeCell ref="B2:Q2"/>
  </mergeCells>
  <conditionalFormatting sqref="E5:E104">
    <cfRule type="dataBar" priority="1">
      <dataBar>
        <cfvo type="num" val="0"/>
        <cfvo type="num" val="1"/>
        <color rgb="001B2A4A"/>
      </dataBar>
    </cfRule>
  </conditionalFormatting>
  <conditionalFormatting sqref="F5:F104">
    <cfRule type="dataBar" priority="2">
      <dataBar>
        <cfvo type="num" val="0"/>
        <cfvo type="num" val="1"/>
        <color rgb="001B2A4A"/>
      </dataBar>
    </cfRule>
  </conditionalFormatting>
  <conditionalFormatting sqref="G5:G104">
    <cfRule type="dataBar" priority="3">
      <dataBar>
        <cfvo type="num" val="0"/>
        <cfvo type="num" val="1"/>
        <color rgb="001B2A4A"/>
      </dataBar>
    </cfRule>
  </conditionalFormatting>
  <conditionalFormatting sqref="H5:H104">
    <cfRule type="dataBar" priority="4">
      <dataBar>
        <cfvo type="num" val="0"/>
        <cfvo type="num" val="1"/>
        <color rgb="001B2A4A"/>
      </dataBar>
    </cfRule>
  </conditionalFormatting>
  <conditionalFormatting sqref="I5:I104">
    <cfRule type="dataBar" priority="5">
      <dataBar>
        <cfvo type="num" val="0"/>
        <cfvo type="num" val="1"/>
        <color rgb="001B2A4A"/>
      </dataBar>
    </cfRule>
  </conditionalFormatting>
  <conditionalFormatting sqref="J5:J104">
    <cfRule type="dataBar" priority="6">
      <dataBar>
        <cfvo type="num" val="0"/>
        <cfvo type="num" val="1"/>
        <color rgb="001B2A4A"/>
      </dataBar>
    </cfRule>
  </conditionalFormatting>
  <conditionalFormatting sqref="K5:K104">
    <cfRule type="dataBar" priority="7">
      <dataBar>
        <cfvo type="num" val="0"/>
        <cfvo type="num" val="1"/>
        <color rgb="001B2A4A"/>
      </dataBar>
    </cfRule>
  </conditionalFormatting>
  <conditionalFormatting sqref="L5:L104">
    <cfRule type="dataBar" priority="8">
      <dataBar>
        <cfvo type="num" val="0"/>
        <cfvo type="num" val="1"/>
        <color rgb="001B2A4A"/>
      </dataBar>
    </cfRule>
  </conditionalFormatting>
  <conditionalFormatting sqref="M5:M104">
    <cfRule type="dataBar" priority="9">
      <dataBar>
        <cfvo type="num" val="0"/>
        <cfvo type="num" val="1"/>
        <color rgb="001B2A4A"/>
      </dataBar>
    </cfRule>
  </conditionalFormatting>
  <conditionalFormatting sqref="N5:N104">
    <cfRule type="dataBar" priority="10">
      <dataBar>
        <cfvo type="num" val="0"/>
        <cfvo type="num" val="1"/>
        <color rgb="001B2A4A"/>
      </dataBar>
    </cfRule>
  </conditionalFormatting>
  <conditionalFormatting sqref="O5:O104">
    <cfRule type="dataBar" priority="11">
      <dataBar>
        <cfvo type="num" val="0"/>
        <cfvo type="num" val="1"/>
        <color rgb="001B2A4A"/>
      </dataBar>
    </cfRule>
  </conditionalFormatting>
  <conditionalFormatting sqref="P5:P104">
    <cfRule type="dataBar" priority="12">
      <dataBar>
        <cfvo type="num" val="0"/>
        <cfvo type="num" val="1"/>
        <color rgb="001B2A4A"/>
      </dataBar>
    </cfRule>
  </conditionalFormatting>
  <conditionalFormatting sqref="Q5:Q104">
    <cfRule type="dataBar" priority="13">
      <dataBar>
        <cfvo type="num" val="0"/>
        <cfvo type="num" val="1"/>
        <color rgb="001B2A4A"/>
      </dataBar>
    </cfRule>
  </conditionalFormatting>
  <dataValidations count="2">
    <dataValidation sqref="B5:B104" showDropDown="0" showInputMessage="0" showErrorMessage="0" allowBlank="1" prompt="Choisir un matricule" type="list">
      <formula1>'_Données Employés'!$B$5:$B$114</formula1>
    </dataValidation>
    <dataValidation sqref="D5:D104" showDropDown="0" showInputMessage="0" showErrorMessage="0" allowBlank="1" type="list">
      <formula1>'_Lists'!$K$2:$K$13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M10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18" customWidth="1" min="4" max="4"/>
    <col width="24" customWidth="1" min="5" max="5"/>
    <col width="22" customWidth="1" min="6" max="6"/>
    <col width="12" customWidth="1" min="7" max="7"/>
    <col width="16" customWidth="1" min="8" max="8"/>
    <col width="10" customWidth="1" min="9" max="9"/>
    <col width="18" customWidth="1" min="10" max="10"/>
    <col width="10" customWidth="1" min="11" max="11"/>
    <col width="18" customWidth="1" min="12" max="12"/>
    <col width="10" customWidth="1" min="13" max="13"/>
  </cols>
  <sheetData>
    <row r="1" ht="15" customHeight="1"/>
    <row r="2" ht="32" customHeight="1">
      <c r="B2" s="13" t="inlineStr">
        <is>
          <t>PAIE — 3-Primes &amp; Indemnités</t>
        </is>
      </c>
    </row>
    <row r="3" ht="8" customHeight="1"/>
    <row r="4" ht="28" customHeight="1">
      <c r="B4" s="14" t="inlineStr">
        <is>
          <t>N°</t>
        </is>
      </c>
      <c r="C4" s="14" t="inlineStr">
        <is>
          <t>Matricule</t>
        </is>
      </c>
      <c r="D4" s="14" t="inlineStr">
        <is>
          <t>Nom Employé</t>
        </is>
      </c>
      <c r="E4" s="14" t="inlineStr">
        <is>
          <t>Département</t>
        </is>
      </c>
      <c r="F4" s="14" t="inlineStr">
        <is>
          <t>Type Prime</t>
        </is>
      </c>
      <c r="G4" s="14" t="inlineStr">
        <is>
          <t>Mois</t>
        </is>
      </c>
      <c r="H4" s="14" t="inlineStr">
        <is>
          <t>Base Calcul (FCFA)</t>
        </is>
      </c>
      <c r="I4" s="14" t="inlineStr">
        <is>
          <t>Taux (%)</t>
        </is>
      </c>
      <c r="J4" s="14" t="inlineStr">
        <is>
          <t>Montant Brut (FCFA)</t>
        </is>
      </c>
      <c r="K4" s="14" t="inlineStr">
        <is>
          <t>Imposable</t>
        </is>
      </c>
      <c r="L4" s="14" t="inlineStr">
        <is>
          <t>Montant Net (FCFA)</t>
        </is>
      </c>
      <c r="M4" s="14" t="inlineStr">
        <is>
          <t>Statut</t>
        </is>
      </c>
    </row>
    <row r="5" ht="22" customHeight="1">
      <c r="B5" s="15" t="inlineStr">
        <is>
          <t>PRI-001</t>
        </is>
      </c>
      <c r="C5" s="15" t="inlineStr">
        <is>
          <t>EMP-001</t>
        </is>
      </c>
      <c r="D5" s="15" t="inlineStr">
        <is>
          <t>Nganou Clarisse</t>
        </is>
      </c>
      <c r="E5" s="15" t="inlineStr">
        <is>
          <t>Ressources Humaines</t>
        </is>
      </c>
      <c r="F5" s="15" t="inlineStr">
        <is>
          <t>Prime de responsabilite</t>
        </is>
      </c>
      <c r="G5" s="15" t="inlineStr">
        <is>
          <t>Juin</t>
        </is>
      </c>
      <c r="H5" s="16" t="n">
        <v>635000</v>
      </c>
      <c r="I5" s="16" t="n">
        <v>10</v>
      </c>
      <c r="J5" s="16" t="n">
        <v>63500</v>
      </c>
      <c r="K5" s="15" t="inlineStr">
        <is>
          <t>Oui</t>
        </is>
      </c>
      <c r="L5" s="16" t="n">
        <v>53975</v>
      </c>
      <c r="M5" s="15" t="inlineStr">
        <is>
          <t>Approuve</t>
        </is>
      </c>
    </row>
    <row r="6" ht="22" customHeight="1">
      <c r="B6" s="17" t="inlineStr">
        <is>
          <t>PRI-002</t>
        </is>
      </c>
      <c r="C6" s="17" t="inlineStr">
        <is>
          <t>EMP-002</t>
        </is>
      </c>
      <c r="D6" s="17" t="inlineStr">
        <is>
          <t>Tchinda Armand</t>
        </is>
      </c>
      <c r="E6" s="17" t="inlineStr">
        <is>
          <t>Finance &amp; Comptabilite</t>
        </is>
      </c>
      <c r="F6" s="17" t="inlineStr">
        <is>
          <t>Prime de rendement</t>
        </is>
      </c>
      <c r="G6" s="17" t="inlineStr">
        <is>
          <t>Juin</t>
        </is>
      </c>
      <c r="H6" s="18" t="n">
        <v>484000</v>
      </c>
      <c r="I6" s="18" t="n">
        <v>5</v>
      </c>
      <c r="J6" s="18" t="n">
        <v>24200</v>
      </c>
      <c r="K6" s="17" t="inlineStr">
        <is>
          <t>Oui</t>
        </is>
      </c>
      <c r="L6" s="18" t="n">
        <v>20570</v>
      </c>
      <c r="M6" s="17" t="inlineStr">
        <is>
          <t>Approuve</t>
        </is>
      </c>
    </row>
    <row r="7" ht="22" customHeight="1">
      <c r="B7" s="15" t="inlineStr">
        <is>
          <t>PRI-003</t>
        </is>
      </c>
      <c r="C7" s="15" t="inlineStr">
        <is>
          <t>EMP-005</t>
        </is>
      </c>
      <c r="D7" s="15" t="inlineStr">
        <is>
          <t>Diallo Moussa</t>
        </is>
      </c>
      <c r="E7" s="15" t="inlineStr">
        <is>
          <t>Cuisine &amp; Restauration</t>
        </is>
      </c>
      <c r="F7" s="15" t="inlineStr">
        <is>
          <t>Indemnite de danger</t>
        </is>
      </c>
      <c r="G7" s="15" t="inlineStr">
        <is>
          <t>Juin</t>
        </is>
      </c>
      <c r="H7" s="16" t="n">
        <v>253000</v>
      </c>
      <c r="I7" s="16" t="n">
        <v>5</v>
      </c>
      <c r="J7" s="16" t="n">
        <v>12650</v>
      </c>
      <c r="K7" s="15" t="inlineStr">
        <is>
          <t>Oui</t>
        </is>
      </c>
      <c r="L7" s="16" t="n">
        <v>10752</v>
      </c>
      <c r="M7" s="15" t="inlineStr">
        <is>
          <t>Approuve</t>
        </is>
      </c>
    </row>
    <row r="8" ht="22" customHeight="1">
      <c r="B8" s="17" t="inlineStr">
        <is>
          <t>PRI-004</t>
        </is>
      </c>
      <c r="C8" s="17" t="inlineStr">
        <is>
          <t>EMP-004</t>
        </is>
      </c>
      <c r="D8" s="17" t="inlineStr">
        <is>
          <t>Ouedraogo Ibrahim</t>
        </is>
      </c>
      <c r="E8" s="17" t="inlineStr">
        <is>
          <t>Reception &amp; Front Office</t>
        </is>
      </c>
      <c r="F8" s="17" t="inlineStr">
        <is>
          <t>Prime exceptionnelle</t>
        </is>
      </c>
      <c r="G8" s="17" t="inlineStr">
        <is>
          <t>Juin</t>
        </is>
      </c>
      <c r="H8" s="18" t="n">
        <v>207000</v>
      </c>
      <c r="I8" s="18" t="n">
        <v>0</v>
      </c>
      <c r="J8" s="18" t="n">
        <v>15000</v>
      </c>
      <c r="K8" s="17" t="inlineStr">
        <is>
          <t>Oui</t>
        </is>
      </c>
      <c r="L8" s="18" t="n">
        <v>12750</v>
      </c>
      <c r="M8" s="17" t="inlineStr">
        <is>
          <t>Approuve</t>
        </is>
      </c>
    </row>
    <row r="9" ht="22" customHeight="1">
      <c r="B9" s="19">
        <f>IF(C9="","PRI"&amp;TEXT(COUNTA($C$5:C9),"000"))</f>
        <v/>
      </c>
      <c r="C9" s="19" t="n"/>
      <c r="D9" s="19">
        <f>IF(C9="","",VLOOKUP(C9,'_Données Employés'!$B$5:$S$114,3,FALSE))</f>
        <v/>
      </c>
      <c r="E9" s="19">
        <f>IF(C9="","",VLOOKUP(C9,'_Données Employés'!$B$5:$S$114,10,FALSE))</f>
        <v/>
      </c>
      <c r="F9" s="19" t="n"/>
      <c r="G9" s="19" t="n"/>
      <c r="H9" s="19" t="n"/>
      <c r="I9" s="19" t="n"/>
      <c r="J9" s="20">
        <f>IF(OR(G9="",H9=""),"",IFERROR(G9*H9/100,0))</f>
        <v/>
      </c>
      <c r="K9" s="19" t="n"/>
      <c r="L9" s="20">
        <f>IF(I9="","",IF(I9="Non",I9,IFERROR(I9*0.85,0)))</f>
        <v/>
      </c>
      <c r="M9" s="19" t="n"/>
    </row>
    <row r="10" ht="22" customHeight="1">
      <c r="B10" s="22">
        <f>IF(C10="","PRI"&amp;TEXT(COUNTA($C$5:C10),"000"))</f>
        <v/>
      </c>
      <c r="C10" s="22" t="n"/>
      <c r="D10" s="22">
        <f>IF(C10="","",VLOOKUP(C10,'_Données Employés'!$B$5:$S$114,3,FALSE))</f>
        <v/>
      </c>
      <c r="E10" s="22">
        <f>IF(C10="","",VLOOKUP(C10,'_Données Employés'!$B$5:$S$114,10,FALSE))</f>
        <v/>
      </c>
      <c r="F10" s="22" t="n"/>
      <c r="G10" s="22" t="n"/>
      <c r="H10" s="22" t="n"/>
      <c r="I10" s="22" t="n"/>
      <c r="J10" s="18">
        <f>IF(OR(G10="",H10=""),"",IFERROR(G10*H10/100,0))</f>
        <v/>
      </c>
      <c r="K10" s="22" t="n"/>
      <c r="L10" s="18">
        <f>IF(I10="","",IF(I10="Non",I10,IFERROR(I10*0.85,0)))</f>
        <v/>
      </c>
      <c r="M10" s="22" t="n"/>
    </row>
    <row r="11" ht="22" customHeight="1">
      <c r="B11" s="21">
        <f>IF(C11="","PRI"&amp;TEXT(COUNTA($C$5:C11),"000"))</f>
        <v/>
      </c>
      <c r="C11" s="21" t="n"/>
      <c r="D11" s="21">
        <f>IF(C11="","",VLOOKUP(C11,'_Données Employés'!$B$5:$S$114,3,FALSE))</f>
        <v/>
      </c>
      <c r="E11" s="21">
        <f>IF(C11="","",VLOOKUP(C11,'_Données Employés'!$B$5:$S$114,10,FALSE))</f>
        <v/>
      </c>
      <c r="F11" s="21" t="n"/>
      <c r="G11" s="21" t="n"/>
      <c r="H11" s="21" t="n"/>
      <c r="I11" s="21" t="n"/>
      <c r="J11" s="16">
        <f>IF(OR(G11="",H11=""),"",IFERROR(G11*H11/100,0))</f>
        <v/>
      </c>
      <c r="K11" s="21" t="n"/>
      <c r="L11" s="16">
        <f>IF(I11="","",IF(I11="Non",I11,IFERROR(I11*0.85,0)))</f>
        <v/>
      </c>
      <c r="M11" s="21" t="n"/>
    </row>
    <row r="12" ht="22" customHeight="1">
      <c r="B12" s="22">
        <f>IF(C12="","PRI"&amp;TEXT(COUNTA($C$5:C12),"000"))</f>
        <v/>
      </c>
      <c r="C12" s="22" t="n"/>
      <c r="D12" s="22">
        <f>IF(C12="","",VLOOKUP(C12,'_Données Employés'!$B$5:$S$114,3,FALSE))</f>
        <v/>
      </c>
      <c r="E12" s="22">
        <f>IF(C12="","",VLOOKUP(C12,'_Données Employés'!$B$5:$S$114,10,FALSE))</f>
        <v/>
      </c>
      <c r="F12" s="22" t="n"/>
      <c r="G12" s="22" t="n"/>
      <c r="H12" s="22" t="n"/>
      <c r="I12" s="22" t="n"/>
      <c r="J12" s="18">
        <f>IF(OR(G12="",H12=""),"",IFERROR(G12*H12/100,0))</f>
        <v/>
      </c>
      <c r="K12" s="22" t="n"/>
      <c r="L12" s="18">
        <f>IF(I12="","",IF(I12="Non",I12,IFERROR(I12*0.85,0)))</f>
        <v/>
      </c>
      <c r="M12" s="22" t="n"/>
    </row>
    <row r="13" ht="22" customHeight="1">
      <c r="B13" s="21">
        <f>IF(C13="","PRI"&amp;TEXT(COUNTA($C$5:C13),"000"))</f>
        <v/>
      </c>
      <c r="C13" s="21" t="n"/>
      <c r="D13" s="21">
        <f>IF(C13="","",VLOOKUP(C13,'_Données Employés'!$B$5:$S$114,3,FALSE))</f>
        <v/>
      </c>
      <c r="E13" s="21">
        <f>IF(C13="","",VLOOKUP(C13,'_Données Employés'!$B$5:$S$114,10,FALSE))</f>
        <v/>
      </c>
      <c r="F13" s="21" t="n"/>
      <c r="G13" s="21" t="n"/>
      <c r="H13" s="21" t="n"/>
      <c r="I13" s="21" t="n"/>
      <c r="J13" s="16">
        <f>IF(OR(G13="",H13=""),"",IFERROR(G13*H13/100,0))</f>
        <v/>
      </c>
      <c r="K13" s="21" t="n"/>
      <c r="L13" s="16">
        <f>IF(I13="","",IF(I13="Non",I13,IFERROR(I13*0.85,0)))</f>
        <v/>
      </c>
      <c r="M13" s="21" t="n"/>
    </row>
    <row r="14" ht="22" customHeight="1">
      <c r="B14" s="22">
        <f>IF(C14="","PRI"&amp;TEXT(COUNTA($C$5:C14),"000"))</f>
        <v/>
      </c>
      <c r="C14" s="22" t="n"/>
      <c r="D14" s="22">
        <f>IF(C14="","",VLOOKUP(C14,'_Données Employés'!$B$5:$S$114,3,FALSE))</f>
        <v/>
      </c>
      <c r="E14" s="22">
        <f>IF(C14="","",VLOOKUP(C14,'_Données Employés'!$B$5:$S$114,10,FALSE))</f>
        <v/>
      </c>
      <c r="F14" s="22" t="n"/>
      <c r="G14" s="22" t="n"/>
      <c r="H14" s="22" t="n"/>
      <c r="I14" s="22" t="n"/>
      <c r="J14" s="18">
        <f>IF(OR(G14="",H14=""),"",IFERROR(G14*H14/100,0))</f>
        <v/>
      </c>
      <c r="K14" s="22" t="n"/>
      <c r="L14" s="18">
        <f>IF(I14="","",IF(I14="Non",I14,IFERROR(I14*0.85,0)))</f>
        <v/>
      </c>
      <c r="M14" s="22" t="n"/>
    </row>
    <row r="15" ht="22" customHeight="1">
      <c r="B15" s="21">
        <f>IF(C15="","PRI"&amp;TEXT(COUNTA($C$5:C15),"000"))</f>
        <v/>
      </c>
      <c r="C15" s="21" t="n"/>
      <c r="D15" s="21">
        <f>IF(C15="","",VLOOKUP(C15,'_Données Employés'!$B$5:$S$114,3,FALSE))</f>
        <v/>
      </c>
      <c r="E15" s="21">
        <f>IF(C15="","",VLOOKUP(C15,'_Données Employés'!$B$5:$S$114,10,FALSE))</f>
        <v/>
      </c>
      <c r="F15" s="21" t="n"/>
      <c r="G15" s="21" t="n"/>
      <c r="H15" s="21" t="n"/>
      <c r="I15" s="21" t="n"/>
      <c r="J15" s="16">
        <f>IF(OR(G15="",H15=""),"",IFERROR(G15*H15/100,0))</f>
        <v/>
      </c>
      <c r="K15" s="21" t="n"/>
      <c r="L15" s="16">
        <f>IF(I15="","",IF(I15="Non",I15,IFERROR(I15*0.85,0)))</f>
        <v/>
      </c>
      <c r="M15" s="21" t="n"/>
    </row>
    <row r="16" ht="22" customHeight="1">
      <c r="B16" s="22">
        <f>IF(C16="","PRI"&amp;TEXT(COUNTA($C$5:C16),"000"))</f>
        <v/>
      </c>
      <c r="C16" s="22" t="n"/>
      <c r="D16" s="22">
        <f>IF(C16="","",VLOOKUP(C16,'_Données Employés'!$B$5:$S$114,3,FALSE))</f>
        <v/>
      </c>
      <c r="E16" s="22">
        <f>IF(C16="","",VLOOKUP(C16,'_Données Employés'!$B$5:$S$114,10,FALSE))</f>
        <v/>
      </c>
      <c r="F16" s="22" t="n"/>
      <c r="G16" s="22" t="n"/>
      <c r="H16" s="22" t="n"/>
      <c r="I16" s="22" t="n"/>
      <c r="J16" s="18">
        <f>IF(OR(G16="",H16=""),"",IFERROR(G16*H16/100,0))</f>
        <v/>
      </c>
      <c r="K16" s="22" t="n"/>
      <c r="L16" s="18">
        <f>IF(I16="","",IF(I16="Non",I16,IFERROR(I16*0.85,0)))</f>
        <v/>
      </c>
      <c r="M16" s="22" t="n"/>
    </row>
    <row r="17" ht="22" customHeight="1">
      <c r="B17" s="21">
        <f>IF(C17="","PRI"&amp;TEXT(COUNTA($C$5:C17),"000"))</f>
        <v/>
      </c>
      <c r="C17" s="21" t="n"/>
      <c r="D17" s="21">
        <f>IF(C17="","",VLOOKUP(C17,'_Données Employés'!$B$5:$S$114,3,FALSE))</f>
        <v/>
      </c>
      <c r="E17" s="21">
        <f>IF(C17="","",VLOOKUP(C17,'_Données Employés'!$B$5:$S$114,10,FALSE))</f>
        <v/>
      </c>
      <c r="F17" s="21" t="n"/>
      <c r="G17" s="21" t="n"/>
      <c r="H17" s="21" t="n"/>
      <c r="I17" s="21" t="n"/>
      <c r="J17" s="16">
        <f>IF(OR(G17="",H17=""),"",IFERROR(G17*H17/100,0))</f>
        <v/>
      </c>
      <c r="K17" s="21" t="n"/>
      <c r="L17" s="16">
        <f>IF(I17="","",IF(I17="Non",I17,IFERROR(I17*0.85,0)))</f>
        <v/>
      </c>
      <c r="M17" s="21" t="n"/>
    </row>
    <row r="18" ht="22" customHeight="1">
      <c r="B18" s="22">
        <f>IF(C18="","PRI"&amp;TEXT(COUNTA($C$5:C18),"000"))</f>
        <v/>
      </c>
      <c r="C18" s="22" t="n"/>
      <c r="D18" s="22">
        <f>IF(C18="","",VLOOKUP(C18,'_Données Employés'!$B$5:$S$114,3,FALSE))</f>
        <v/>
      </c>
      <c r="E18" s="22">
        <f>IF(C18="","",VLOOKUP(C18,'_Données Employés'!$B$5:$S$114,10,FALSE))</f>
        <v/>
      </c>
      <c r="F18" s="22" t="n"/>
      <c r="G18" s="22" t="n"/>
      <c r="H18" s="22" t="n"/>
      <c r="I18" s="22" t="n"/>
      <c r="J18" s="18">
        <f>IF(OR(G18="",H18=""),"",IFERROR(G18*H18/100,0))</f>
        <v/>
      </c>
      <c r="K18" s="22" t="n"/>
      <c r="L18" s="18">
        <f>IF(I18="","",IF(I18="Non",I18,IFERROR(I18*0.85,0)))</f>
        <v/>
      </c>
      <c r="M18" s="22" t="n"/>
    </row>
    <row r="19" ht="22" customHeight="1">
      <c r="B19" s="21">
        <f>IF(C19="","PRI"&amp;TEXT(COUNTA($C$5:C19),"000"))</f>
        <v/>
      </c>
      <c r="C19" s="21" t="n"/>
      <c r="D19" s="21">
        <f>IF(C19="","",VLOOKUP(C19,'_Données Employés'!$B$5:$S$114,3,FALSE))</f>
        <v/>
      </c>
      <c r="E19" s="21">
        <f>IF(C19="","",VLOOKUP(C19,'_Données Employés'!$B$5:$S$114,10,FALSE))</f>
        <v/>
      </c>
      <c r="F19" s="21" t="n"/>
      <c r="G19" s="21" t="n"/>
      <c r="H19" s="21" t="n"/>
      <c r="I19" s="21" t="n"/>
      <c r="J19" s="16">
        <f>IF(OR(G19="",H19=""),"",IFERROR(G19*H19/100,0))</f>
        <v/>
      </c>
      <c r="K19" s="21" t="n"/>
      <c r="L19" s="16">
        <f>IF(I19="","",IF(I19="Non",I19,IFERROR(I19*0.85,0)))</f>
        <v/>
      </c>
      <c r="M19" s="21" t="n"/>
    </row>
    <row r="20" ht="22" customHeight="1">
      <c r="B20" s="22">
        <f>IF(C20="","PRI"&amp;TEXT(COUNTA($C$5:C20),"000"))</f>
        <v/>
      </c>
      <c r="C20" s="22" t="n"/>
      <c r="D20" s="22">
        <f>IF(C20="","",VLOOKUP(C20,'_Données Employés'!$B$5:$S$114,3,FALSE))</f>
        <v/>
      </c>
      <c r="E20" s="22">
        <f>IF(C20="","",VLOOKUP(C20,'_Données Employés'!$B$5:$S$114,10,FALSE))</f>
        <v/>
      </c>
      <c r="F20" s="22" t="n"/>
      <c r="G20" s="22" t="n"/>
      <c r="H20" s="22" t="n"/>
      <c r="I20" s="22" t="n"/>
      <c r="J20" s="18">
        <f>IF(OR(G20="",H20=""),"",IFERROR(G20*H20/100,0))</f>
        <v/>
      </c>
      <c r="K20" s="22" t="n"/>
      <c r="L20" s="18">
        <f>IF(I20="","",IF(I20="Non",I20,IFERROR(I20*0.85,0)))</f>
        <v/>
      </c>
      <c r="M20" s="22" t="n"/>
    </row>
    <row r="21" ht="22" customHeight="1">
      <c r="B21" s="21">
        <f>IF(C21="","PRI"&amp;TEXT(COUNTA($C$5:C21),"000"))</f>
        <v/>
      </c>
      <c r="C21" s="21" t="n"/>
      <c r="D21" s="21">
        <f>IF(C21="","",VLOOKUP(C21,'_Données Employés'!$B$5:$S$114,3,FALSE))</f>
        <v/>
      </c>
      <c r="E21" s="21">
        <f>IF(C21="","",VLOOKUP(C21,'_Données Employés'!$B$5:$S$114,10,FALSE))</f>
        <v/>
      </c>
      <c r="F21" s="21" t="n"/>
      <c r="G21" s="21" t="n"/>
      <c r="H21" s="21" t="n"/>
      <c r="I21" s="21" t="n"/>
      <c r="J21" s="16">
        <f>IF(OR(G21="",H21=""),"",IFERROR(G21*H21/100,0))</f>
        <v/>
      </c>
      <c r="K21" s="21" t="n"/>
      <c r="L21" s="16">
        <f>IF(I21="","",IF(I21="Non",I21,IFERROR(I21*0.85,0)))</f>
        <v/>
      </c>
      <c r="M21" s="21" t="n"/>
    </row>
    <row r="22" ht="22" customHeight="1">
      <c r="B22" s="22">
        <f>IF(C22="","PRI"&amp;TEXT(COUNTA($C$5:C22),"000"))</f>
        <v/>
      </c>
      <c r="C22" s="22" t="n"/>
      <c r="D22" s="22">
        <f>IF(C22="","",VLOOKUP(C22,'_Données Employés'!$B$5:$S$114,3,FALSE))</f>
        <v/>
      </c>
      <c r="E22" s="22">
        <f>IF(C22="","",VLOOKUP(C22,'_Données Employés'!$B$5:$S$114,10,FALSE))</f>
        <v/>
      </c>
      <c r="F22" s="22" t="n"/>
      <c r="G22" s="22" t="n"/>
      <c r="H22" s="22" t="n"/>
      <c r="I22" s="22" t="n"/>
      <c r="J22" s="18">
        <f>IF(OR(G22="",H22=""),"",IFERROR(G22*H22/100,0))</f>
        <v/>
      </c>
      <c r="K22" s="22" t="n"/>
      <c r="L22" s="18">
        <f>IF(I22="","",IF(I22="Non",I22,IFERROR(I22*0.85,0)))</f>
        <v/>
      </c>
      <c r="M22" s="22" t="n"/>
    </row>
    <row r="23" ht="22" customHeight="1">
      <c r="B23" s="21">
        <f>IF(C23="","PRI"&amp;TEXT(COUNTA($C$5:C23),"000"))</f>
        <v/>
      </c>
      <c r="C23" s="21" t="n"/>
      <c r="D23" s="21">
        <f>IF(C23="","",VLOOKUP(C23,'_Données Employés'!$B$5:$S$114,3,FALSE))</f>
        <v/>
      </c>
      <c r="E23" s="21">
        <f>IF(C23="","",VLOOKUP(C23,'_Données Employés'!$B$5:$S$114,10,FALSE))</f>
        <v/>
      </c>
      <c r="F23" s="21" t="n"/>
      <c r="G23" s="21" t="n"/>
      <c r="H23" s="21" t="n"/>
      <c r="I23" s="21" t="n"/>
      <c r="J23" s="16">
        <f>IF(OR(G23="",H23=""),"",IFERROR(G23*H23/100,0))</f>
        <v/>
      </c>
      <c r="K23" s="21" t="n"/>
      <c r="L23" s="16">
        <f>IF(I23="","",IF(I23="Non",I23,IFERROR(I23*0.85,0)))</f>
        <v/>
      </c>
      <c r="M23" s="21" t="n"/>
    </row>
    <row r="24" ht="22" customHeight="1">
      <c r="B24" s="22">
        <f>IF(C24="","PRI"&amp;TEXT(COUNTA($C$5:C24),"000"))</f>
        <v/>
      </c>
      <c r="C24" s="22" t="n"/>
      <c r="D24" s="22">
        <f>IF(C24="","",VLOOKUP(C24,'_Données Employés'!$B$5:$S$114,3,FALSE))</f>
        <v/>
      </c>
      <c r="E24" s="22">
        <f>IF(C24="","",VLOOKUP(C24,'_Données Employés'!$B$5:$S$114,10,FALSE))</f>
        <v/>
      </c>
      <c r="F24" s="22" t="n"/>
      <c r="G24" s="22" t="n"/>
      <c r="H24" s="22" t="n"/>
      <c r="I24" s="22" t="n"/>
      <c r="J24" s="18">
        <f>IF(OR(G24="",H24=""),"",IFERROR(G24*H24/100,0))</f>
        <v/>
      </c>
      <c r="K24" s="22" t="n"/>
      <c r="L24" s="18">
        <f>IF(I24="","",IF(I24="Non",I24,IFERROR(I24*0.85,0)))</f>
        <v/>
      </c>
      <c r="M24" s="22" t="n"/>
    </row>
    <row r="25" ht="22" customHeight="1">
      <c r="B25" s="21">
        <f>IF(C25="","PRI"&amp;TEXT(COUNTA($C$5:C25),"000"))</f>
        <v/>
      </c>
      <c r="C25" s="21" t="n"/>
      <c r="D25" s="21">
        <f>IF(C25="","",VLOOKUP(C25,'_Données Employés'!$B$5:$S$114,3,FALSE))</f>
        <v/>
      </c>
      <c r="E25" s="21">
        <f>IF(C25="","",VLOOKUP(C25,'_Données Employés'!$B$5:$S$114,10,FALSE))</f>
        <v/>
      </c>
      <c r="F25" s="21" t="n"/>
      <c r="G25" s="21" t="n"/>
      <c r="H25" s="21" t="n"/>
      <c r="I25" s="21" t="n"/>
      <c r="J25" s="16">
        <f>IF(OR(G25="",H25=""),"",IFERROR(G25*H25/100,0))</f>
        <v/>
      </c>
      <c r="K25" s="21" t="n"/>
      <c r="L25" s="16">
        <f>IF(I25="","",IF(I25="Non",I25,IFERROR(I25*0.85,0)))</f>
        <v/>
      </c>
      <c r="M25" s="21" t="n"/>
    </row>
    <row r="26" ht="22" customHeight="1">
      <c r="B26" s="22">
        <f>IF(C26="","PRI"&amp;TEXT(COUNTA($C$5:C26),"000"))</f>
        <v/>
      </c>
      <c r="C26" s="22" t="n"/>
      <c r="D26" s="22">
        <f>IF(C26="","",VLOOKUP(C26,'_Données Employés'!$B$5:$S$114,3,FALSE))</f>
        <v/>
      </c>
      <c r="E26" s="22">
        <f>IF(C26="","",VLOOKUP(C26,'_Données Employés'!$B$5:$S$114,10,FALSE))</f>
        <v/>
      </c>
      <c r="F26" s="22" t="n"/>
      <c r="G26" s="22" t="n"/>
      <c r="H26" s="22" t="n"/>
      <c r="I26" s="22" t="n"/>
      <c r="J26" s="18">
        <f>IF(OR(G26="",H26=""),"",IFERROR(G26*H26/100,0))</f>
        <v/>
      </c>
      <c r="K26" s="22" t="n"/>
      <c r="L26" s="18">
        <f>IF(I26="","",IF(I26="Non",I26,IFERROR(I26*0.85,0)))</f>
        <v/>
      </c>
      <c r="M26" s="22" t="n"/>
    </row>
    <row r="27" ht="22" customHeight="1">
      <c r="B27" s="21">
        <f>IF(C27="","PRI"&amp;TEXT(COUNTA($C$5:C27),"000"))</f>
        <v/>
      </c>
      <c r="C27" s="21" t="n"/>
      <c r="D27" s="21">
        <f>IF(C27="","",VLOOKUP(C27,'_Données Employés'!$B$5:$S$114,3,FALSE))</f>
        <v/>
      </c>
      <c r="E27" s="21">
        <f>IF(C27="","",VLOOKUP(C27,'_Données Employés'!$B$5:$S$114,10,FALSE))</f>
        <v/>
      </c>
      <c r="F27" s="21" t="n"/>
      <c r="G27" s="21" t="n"/>
      <c r="H27" s="21" t="n"/>
      <c r="I27" s="21" t="n"/>
      <c r="J27" s="16">
        <f>IF(OR(G27="",H27=""),"",IFERROR(G27*H27/100,0))</f>
        <v/>
      </c>
      <c r="K27" s="21" t="n"/>
      <c r="L27" s="16">
        <f>IF(I27="","",IF(I27="Non",I27,IFERROR(I27*0.85,0)))</f>
        <v/>
      </c>
      <c r="M27" s="21" t="n"/>
    </row>
    <row r="28" ht="22" customHeight="1">
      <c r="B28" s="22">
        <f>IF(C28="","PRI"&amp;TEXT(COUNTA($C$5:C28),"000"))</f>
        <v/>
      </c>
      <c r="C28" s="22" t="n"/>
      <c r="D28" s="22">
        <f>IF(C28="","",VLOOKUP(C28,'_Données Employés'!$B$5:$S$114,3,FALSE))</f>
        <v/>
      </c>
      <c r="E28" s="22">
        <f>IF(C28="","",VLOOKUP(C28,'_Données Employés'!$B$5:$S$114,10,FALSE))</f>
        <v/>
      </c>
      <c r="F28" s="22" t="n"/>
      <c r="G28" s="22" t="n"/>
      <c r="H28" s="22" t="n"/>
      <c r="I28" s="22" t="n"/>
      <c r="J28" s="18">
        <f>IF(OR(G28="",H28=""),"",IFERROR(G28*H28/100,0))</f>
        <v/>
      </c>
      <c r="K28" s="22" t="n"/>
      <c r="L28" s="18">
        <f>IF(I28="","",IF(I28="Non",I28,IFERROR(I28*0.85,0)))</f>
        <v/>
      </c>
      <c r="M28" s="22" t="n"/>
    </row>
    <row r="29" ht="22" customHeight="1">
      <c r="B29" s="21">
        <f>IF(C29="","PRI"&amp;TEXT(COUNTA($C$5:C29),"000"))</f>
        <v/>
      </c>
      <c r="C29" s="21" t="n"/>
      <c r="D29" s="21">
        <f>IF(C29="","",VLOOKUP(C29,'_Données Employés'!$B$5:$S$114,3,FALSE))</f>
        <v/>
      </c>
      <c r="E29" s="21">
        <f>IF(C29="","",VLOOKUP(C29,'_Données Employés'!$B$5:$S$114,10,FALSE))</f>
        <v/>
      </c>
      <c r="F29" s="21" t="n"/>
      <c r="G29" s="21" t="n"/>
      <c r="H29" s="21" t="n"/>
      <c r="I29" s="21" t="n"/>
      <c r="J29" s="16">
        <f>IF(OR(G29="",H29=""),"",IFERROR(G29*H29/100,0))</f>
        <v/>
      </c>
      <c r="K29" s="21" t="n"/>
      <c r="L29" s="16">
        <f>IF(I29="","",IF(I29="Non",I29,IFERROR(I29*0.85,0)))</f>
        <v/>
      </c>
      <c r="M29" s="21" t="n"/>
    </row>
    <row r="30" ht="22" customHeight="1">
      <c r="B30" s="22">
        <f>IF(C30="","PRI"&amp;TEXT(COUNTA($C$5:C30),"000"))</f>
        <v/>
      </c>
      <c r="C30" s="22" t="n"/>
      <c r="D30" s="22">
        <f>IF(C30="","",VLOOKUP(C30,'_Données Employés'!$B$5:$S$114,3,FALSE))</f>
        <v/>
      </c>
      <c r="E30" s="22">
        <f>IF(C30="","",VLOOKUP(C30,'_Données Employés'!$B$5:$S$114,10,FALSE))</f>
        <v/>
      </c>
      <c r="F30" s="22" t="n"/>
      <c r="G30" s="22" t="n"/>
      <c r="H30" s="22" t="n"/>
      <c r="I30" s="22" t="n"/>
      <c r="J30" s="18">
        <f>IF(OR(G30="",H30=""),"",IFERROR(G30*H30/100,0))</f>
        <v/>
      </c>
      <c r="K30" s="22" t="n"/>
      <c r="L30" s="18">
        <f>IF(I30="","",IF(I30="Non",I30,IFERROR(I30*0.85,0)))</f>
        <v/>
      </c>
      <c r="M30" s="22" t="n"/>
    </row>
    <row r="31" ht="22" customHeight="1">
      <c r="B31" s="21">
        <f>IF(C31="","PRI"&amp;TEXT(COUNTA($C$5:C31),"000"))</f>
        <v/>
      </c>
      <c r="C31" s="21" t="n"/>
      <c r="D31" s="21">
        <f>IF(C31="","",VLOOKUP(C31,'_Données Employés'!$B$5:$S$114,3,FALSE))</f>
        <v/>
      </c>
      <c r="E31" s="21">
        <f>IF(C31="","",VLOOKUP(C31,'_Données Employés'!$B$5:$S$114,10,FALSE))</f>
        <v/>
      </c>
      <c r="F31" s="21" t="n"/>
      <c r="G31" s="21" t="n"/>
      <c r="H31" s="21" t="n"/>
      <c r="I31" s="21" t="n"/>
      <c r="J31" s="16">
        <f>IF(OR(G31="",H31=""),"",IFERROR(G31*H31/100,0))</f>
        <v/>
      </c>
      <c r="K31" s="21" t="n"/>
      <c r="L31" s="16">
        <f>IF(I31="","",IF(I31="Non",I31,IFERROR(I31*0.85,0)))</f>
        <v/>
      </c>
      <c r="M31" s="21" t="n"/>
    </row>
    <row r="32" ht="22" customHeight="1">
      <c r="B32" s="22">
        <f>IF(C32="","PRI"&amp;TEXT(COUNTA($C$5:C32),"000"))</f>
        <v/>
      </c>
      <c r="C32" s="22" t="n"/>
      <c r="D32" s="22">
        <f>IF(C32="","",VLOOKUP(C32,'_Données Employés'!$B$5:$S$114,3,FALSE))</f>
        <v/>
      </c>
      <c r="E32" s="22">
        <f>IF(C32="","",VLOOKUP(C32,'_Données Employés'!$B$5:$S$114,10,FALSE))</f>
        <v/>
      </c>
      <c r="F32" s="22" t="n"/>
      <c r="G32" s="22" t="n"/>
      <c r="H32" s="22" t="n"/>
      <c r="I32" s="22" t="n"/>
      <c r="J32" s="18">
        <f>IF(OR(G32="",H32=""),"",IFERROR(G32*H32/100,0))</f>
        <v/>
      </c>
      <c r="K32" s="22" t="n"/>
      <c r="L32" s="18">
        <f>IF(I32="","",IF(I32="Non",I32,IFERROR(I32*0.85,0)))</f>
        <v/>
      </c>
      <c r="M32" s="22" t="n"/>
    </row>
    <row r="33" ht="22" customHeight="1">
      <c r="B33" s="21">
        <f>IF(C33="","PRI"&amp;TEXT(COUNTA($C$5:C33),"000"))</f>
        <v/>
      </c>
      <c r="C33" s="21" t="n"/>
      <c r="D33" s="21">
        <f>IF(C33="","",VLOOKUP(C33,'_Données Employés'!$B$5:$S$114,3,FALSE))</f>
        <v/>
      </c>
      <c r="E33" s="21">
        <f>IF(C33="","",VLOOKUP(C33,'_Données Employés'!$B$5:$S$114,10,FALSE))</f>
        <v/>
      </c>
      <c r="F33" s="21" t="n"/>
      <c r="G33" s="21" t="n"/>
      <c r="H33" s="21" t="n"/>
      <c r="I33" s="21" t="n"/>
      <c r="J33" s="16">
        <f>IF(OR(G33="",H33=""),"",IFERROR(G33*H33/100,0))</f>
        <v/>
      </c>
      <c r="K33" s="21" t="n"/>
      <c r="L33" s="16">
        <f>IF(I33="","",IF(I33="Non",I33,IFERROR(I33*0.85,0)))</f>
        <v/>
      </c>
      <c r="M33" s="21" t="n"/>
    </row>
    <row r="34" ht="22" customHeight="1">
      <c r="B34" s="22">
        <f>IF(C34="","PRI"&amp;TEXT(COUNTA($C$5:C34),"000"))</f>
        <v/>
      </c>
      <c r="C34" s="22" t="n"/>
      <c r="D34" s="22">
        <f>IF(C34="","",VLOOKUP(C34,'_Données Employés'!$B$5:$S$114,3,FALSE))</f>
        <v/>
      </c>
      <c r="E34" s="22">
        <f>IF(C34="","",VLOOKUP(C34,'_Données Employés'!$B$5:$S$114,10,FALSE))</f>
        <v/>
      </c>
      <c r="F34" s="22" t="n"/>
      <c r="G34" s="22" t="n"/>
      <c r="H34" s="22" t="n"/>
      <c r="I34" s="22" t="n"/>
      <c r="J34" s="18">
        <f>IF(OR(G34="",H34=""),"",IFERROR(G34*H34/100,0))</f>
        <v/>
      </c>
      <c r="K34" s="22" t="n"/>
      <c r="L34" s="18">
        <f>IF(I34="","",IF(I34="Non",I34,IFERROR(I34*0.85,0)))</f>
        <v/>
      </c>
      <c r="M34" s="22" t="n"/>
    </row>
    <row r="35" ht="22" customHeight="1">
      <c r="B35" s="21">
        <f>IF(C35="","PRI"&amp;TEXT(COUNTA($C$5:C35),"000"))</f>
        <v/>
      </c>
      <c r="C35" s="21" t="n"/>
      <c r="D35" s="21">
        <f>IF(C35="","",VLOOKUP(C35,'_Données Employés'!$B$5:$S$114,3,FALSE))</f>
        <v/>
      </c>
      <c r="E35" s="21">
        <f>IF(C35="","",VLOOKUP(C35,'_Données Employés'!$B$5:$S$114,10,FALSE))</f>
        <v/>
      </c>
      <c r="F35" s="21" t="n"/>
      <c r="G35" s="21" t="n"/>
      <c r="H35" s="21" t="n"/>
      <c r="I35" s="21" t="n"/>
      <c r="J35" s="16">
        <f>IF(OR(G35="",H35=""),"",IFERROR(G35*H35/100,0))</f>
        <v/>
      </c>
      <c r="K35" s="21" t="n"/>
      <c r="L35" s="16">
        <f>IF(I35="","",IF(I35="Non",I35,IFERROR(I35*0.85,0)))</f>
        <v/>
      </c>
      <c r="M35" s="21" t="n"/>
    </row>
    <row r="36" ht="22" customHeight="1">
      <c r="B36" s="22">
        <f>IF(C36="","PRI"&amp;TEXT(COUNTA($C$5:C36),"000"))</f>
        <v/>
      </c>
      <c r="C36" s="22" t="n"/>
      <c r="D36" s="22">
        <f>IF(C36="","",VLOOKUP(C36,'_Données Employés'!$B$5:$S$114,3,FALSE))</f>
        <v/>
      </c>
      <c r="E36" s="22">
        <f>IF(C36="","",VLOOKUP(C36,'_Données Employés'!$B$5:$S$114,10,FALSE))</f>
        <v/>
      </c>
      <c r="F36" s="22" t="n"/>
      <c r="G36" s="22" t="n"/>
      <c r="H36" s="22" t="n"/>
      <c r="I36" s="22" t="n"/>
      <c r="J36" s="18">
        <f>IF(OR(G36="",H36=""),"",IFERROR(G36*H36/100,0))</f>
        <v/>
      </c>
      <c r="K36" s="22" t="n"/>
      <c r="L36" s="18">
        <f>IF(I36="","",IF(I36="Non",I36,IFERROR(I36*0.85,0)))</f>
        <v/>
      </c>
      <c r="M36" s="22" t="n"/>
    </row>
    <row r="37" ht="22" customHeight="1">
      <c r="B37" s="21">
        <f>IF(C37="","PRI"&amp;TEXT(COUNTA($C$5:C37),"000"))</f>
        <v/>
      </c>
      <c r="C37" s="21" t="n"/>
      <c r="D37" s="21">
        <f>IF(C37="","",VLOOKUP(C37,'_Données Employés'!$B$5:$S$114,3,FALSE))</f>
        <v/>
      </c>
      <c r="E37" s="21">
        <f>IF(C37="","",VLOOKUP(C37,'_Données Employés'!$B$5:$S$114,10,FALSE))</f>
        <v/>
      </c>
      <c r="F37" s="21" t="n"/>
      <c r="G37" s="21" t="n"/>
      <c r="H37" s="21" t="n"/>
      <c r="I37" s="21" t="n"/>
      <c r="J37" s="16">
        <f>IF(OR(G37="",H37=""),"",IFERROR(G37*H37/100,0))</f>
        <v/>
      </c>
      <c r="K37" s="21" t="n"/>
      <c r="L37" s="16">
        <f>IF(I37="","",IF(I37="Non",I37,IFERROR(I37*0.85,0)))</f>
        <v/>
      </c>
      <c r="M37" s="21" t="n"/>
    </row>
    <row r="38" ht="22" customHeight="1">
      <c r="B38" s="22">
        <f>IF(C38="","PRI"&amp;TEXT(COUNTA($C$5:C38),"000"))</f>
        <v/>
      </c>
      <c r="C38" s="22" t="n"/>
      <c r="D38" s="22">
        <f>IF(C38="","",VLOOKUP(C38,'_Données Employés'!$B$5:$S$114,3,FALSE))</f>
        <v/>
      </c>
      <c r="E38" s="22">
        <f>IF(C38="","",VLOOKUP(C38,'_Données Employés'!$B$5:$S$114,10,FALSE))</f>
        <v/>
      </c>
      <c r="F38" s="22" t="n"/>
      <c r="G38" s="22" t="n"/>
      <c r="H38" s="22" t="n"/>
      <c r="I38" s="22" t="n"/>
      <c r="J38" s="18">
        <f>IF(OR(G38="",H38=""),"",IFERROR(G38*H38/100,0))</f>
        <v/>
      </c>
      <c r="K38" s="22" t="n"/>
      <c r="L38" s="18">
        <f>IF(I38="","",IF(I38="Non",I38,IFERROR(I38*0.85,0)))</f>
        <v/>
      </c>
      <c r="M38" s="22" t="n"/>
    </row>
    <row r="39" ht="22" customHeight="1">
      <c r="B39" s="21">
        <f>IF(C39="","PRI"&amp;TEXT(COUNTA($C$5:C39),"000"))</f>
        <v/>
      </c>
      <c r="C39" s="21" t="n"/>
      <c r="D39" s="21">
        <f>IF(C39="","",VLOOKUP(C39,'_Données Employés'!$B$5:$S$114,3,FALSE))</f>
        <v/>
      </c>
      <c r="E39" s="21">
        <f>IF(C39="","",VLOOKUP(C39,'_Données Employés'!$B$5:$S$114,10,FALSE))</f>
        <v/>
      </c>
      <c r="F39" s="21" t="n"/>
      <c r="G39" s="21" t="n"/>
      <c r="H39" s="21" t="n"/>
      <c r="I39" s="21" t="n"/>
      <c r="J39" s="16">
        <f>IF(OR(G39="",H39=""),"",IFERROR(G39*H39/100,0))</f>
        <v/>
      </c>
      <c r="K39" s="21" t="n"/>
      <c r="L39" s="16">
        <f>IF(I39="","",IF(I39="Non",I39,IFERROR(I39*0.85,0)))</f>
        <v/>
      </c>
      <c r="M39" s="21" t="n"/>
    </row>
    <row r="40" ht="22" customHeight="1">
      <c r="B40" s="22">
        <f>IF(C40="","PRI"&amp;TEXT(COUNTA($C$5:C40),"000"))</f>
        <v/>
      </c>
      <c r="C40" s="22" t="n"/>
      <c r="D40" s="22">
        <f>IF(C40="","",VLOOKUP(C40,'_Données Employés'!$B$5:$S$114,3,FALSE))</f>
        <v/>
      </c>
      <c r="E40" s="22">
        <f>IF(C40="","",VLOOKUP(C40,'_Données Employés'!$B$5:$S$114,10,FALSE))</f>
        <v/>
      </c>
      <c r="F40" s="22" t="n"/>
      <c r="G40" s="22" t="n"/>
      <c r="H40" s="22" t="n"/>
      <c r="I40" s="22" t="n"/>
      <c r="J40" s="18">
        <f>IF(OR(G40="",H40=""),"",IFERROR(G40*H40/100,0))</f>
        <v/>
      </c>
      <c r="K40" s="22" t="n"/>
      <c r="L40" s="18">
        <f>IF(I40="","",IF(I40="Non",I40,IFERROR(I40*0.85,0)))</f>
        <v/>
      </c>
      <c r="M40" s="22" t="n"/>
    </row>
    <row r="41" ht="22" customHeight="1">
      <c r="B41" s="21">
        <f>IF(C41="","PRI"&amp;TEXT(COUNTA($C$5:C41),"000"))</f>
        <v/>
      </c>
      <c r="C41" s="21" t="n"/>
      <c r="D41" s="21">
        <f>IF(C41="","",VLOOKUP(C41,'_Données Employés'!$B$5:$S$114,3,FALSE))</f>
        <v/>
      </c>
      <c r="E41" s="21">
        <f>IF(C41="","",VLOOKUP(C41,'_Données Employés'!$B$5:$S$114,10,FALSE))</f>
        <v/>
      </c>
      <c r="F41" s="21" t="n"/>
      <c r="G41" s="21" t="n"/>
      <c r="H41" s="21" t="n"/>
      <c r="I41" s="21" t="n"/>
      <c r="J41" s="16">
        <f>IF(OR(G41="",H41=""),"",IFERROR(G41*H41/100,0))</f>
        <v/>
      </c>
      <c r="K41" s="21" t="n"/>
      <c r="L41" s="16">
        <f>IF(I41="","",IF(I41="Non",I41,IFERROR(I41*0.85,0)))</f>
        <v/>
      </c>
      <c r="M41" s="21" t="n"/>
    </row>
    <row r="42" ht="22" customHeight="1">
      <c r="B42" s="22">
        <f>IF(C42="","PRI"&amp;TEXT(COUNTA($C$5:C42),"000"))</f>
        <v/>
      </c>
      <c r="C42" s="22" t="n"/>
      <c r="D42" s="22">
        <f>IF(C42="","",VLOOKUP(C42,'_Données Employés'!$B$5:$S$114,3,FALSE))</f>
        <v/>
      </c>
      <c r="E42" s="22">
        <f>IF(C42="","",VLOOKUP(C42,'_Données Employés'!$B$5:$S$114,10,FALSE))</f>
        <v/>
      </c>
      <c r="F42" s="22" t="n"/>
      <c r="G42" s="22" t="n"/>
      <c r="H42" s="22" t="n"/>
      <c r="I42" s="22" t="n"/>
      <c r="J42" s="18">
        <f>IF(OR(G42="",H42=""),"",IFERROR(G42*H42/100,0))</f>
        <v/>
      </c>
      <c r="K42" s="22" t="n"/>
      <c r="L42" s="18">
        <f>IF(I42="","",IF(I42="Non",I42,IFERROR(I42*0.85,0)))</f>
        <v/>
      </c>
      <c r="M42" s="22" t="n"/>
    </row>
    <row r="43" ht="22" customHeight="1">
      <c r="B43" s="21">
        <f>IF(C43="","PRI"&amp;TEXT(COUNTA($C$5:C43),"000"))</f>
        <v/>
      </c>
      <c r="C43" s="21" t="n"/>
      <c r="D43" s="21">
        <f>IF(C43="","",VLOOKUP(C43,'_Données Employés'!$B$5:$S$114,3,FALSE))</f>
        <v/>
      </c>
      <c r="E43" s="21">
        <f>IF(C43="","",VLOOKUP(C43,'_Données Employés'!$B$5:$S$114,10,FALSE))</f>
        <v/>
      </c>
      <c r="F43" s="21" t="n"/>
      <c r="G43" s="21" t="n"/>
      <c r="H43" s="21" t="n"/>
      <c r="I43" s="21" t="n"/>
      <c r="J43" s="16">
        <f>IF(OR(G43="",H43=""),"",IFERROR(G43*H43/100,0))</f>
        <v/>
      </c>
      <c r="K43" s="21" t="n"/>
      <c r="L43" s="16">
        <f>IF(I43="","",IF(I43="Non",I43,IFERROR(I43*0.85,0)))</f>
        <v/>
      </c>
      <c r="M43" s="21" t="n"/>
    </row>
    <row r="44" ht="22" customHeight="1">
      <c r="B44" s="22">
        <f>IF(C44="","PRI"&amp;TEXT(COUNTA($C$5:C44),"000"))</f>
        <v/>
      </c>
      <c r="C44" s="22" t="n"/>
      <c r="D44" s="22">
        <f>IF(C44="","",VLOOKUP(C44,'_Données Employés'!$B$5:$S$114,3,FALSE))</f>
        <v/>
      </c>
      <c r="E44" s="22">
        <f>IF(C44="","",VLOOKUP(C44,'_Données Employés'!$B$5:$S$114,10,FALSE))</f>
        <v/>
      </c>
      <c r="F44" s="22" t="n"/>
      <c r="G44" s="22" t="n"/>
      <c r="H44" s="22" t="n"/>
      <c r="I44" s="22" t="n"/>
      <c r="J44" s="18">
        <f>IF(OR(G44="",H44=""),"",IFERROR(G44*H44/100,0))</f>
        <v/>
      </c>
      <c r="K44" s="22" t="n"/>
      <c r="L44" s="18">
        <f>IF(I44="","",IF(I44="Non",I44,IFERROR(I44*0.85,0)))</f>
        <v/>
      </c>
      <c r="M44" s="22" t="n"/>
    </row>
    <row r="45" ht="22" customHeight="1">
      <c r="B45" s="21">
        <f>IF(C45="","PRI"&amp;TEXT(COUNTA($C$5:C45),"000"))</f>
        <v/>
      </c>
      <c r="C45" s="21" t="n"/>
      <c r="D45" s="21">
        <f>IF(C45="","",VLOOKUP(C45,'_Données Employés'!$B$5:$S$114,3,FALSE))</f>
        <v/>
      </c>
      <c r="E45" s="21">
        <f>IF(C45="","",VLOOKUP(C45,'_Données Employés'!$B$5:$S$114,10,FALSE))</f>
        <v/>
      </c>
      <c r="F45" s="21" t="n"/>
      <c r="G45" s="21" t="n"/>
      <c r="H45" s="21" t="n"/>
      <c r="I45" s="21" t="n"/>
      <c r="J45" s="16">
        <f>IF(OR(G45="",H45=""),"",IFERROR(G45*H45/100,0))</f>
        <v/>
      </c>
      <c r="K45" s="21" t="n"/>
      <c r="L45" s="16">
        <f>IF(I45="","",IF(I45="Non",I45,IFERROR(I45*0.85,0)))</f>
        <v/>
      </c>
      <c r="M45" s="21" t="n"/>
    </row>
    <row r="46" ht="22" customHeight="1">
      <c r="B46" s="22">
        <f>IF(C46="","PRI"&amp;TEXT(COUNTA($C$5:C46),"000"))</f>
        <v/>
      </c>
      <c r="C46" s="22" t="n"/>
      <c r="D46" s="22">
        <f>IF(C46="","",VLOOKUP(C46,'_Données Employés'!$B$5:$S$114,3,FALSE))</f>
        <v/>
      </c>
      <c r="E46" s="22">
        <f>IF(C46="","",VLOOKUP(C46,'_Données Employés'!$B$5:$S$114,10,FALSE))</f>
        <v/>
      </c>
      <c r="F46" s="22" t="n"/>
      <c r="G46" s="22" t="n"/>
      <c r="H46" s="22" t="n"/>
      <c r="I46" s="22" t="n"/>
      <c r="J46" s="18">
        <f>IF(OR(G46="",H46=""),"",IFERROR(G46*H46/100,0))</f>
        <v/>
      </c>
      <c r="K46" s="22" t="n"/>
      <c r="L46" s="18">
        <f>IF(I46="","",IF(I46="Non",I46,IFERROR(I46*0.85,0)))</f>
        <v/>
      </c>
      <c r="M46" s="22" t="n"/>
    </row>
    <row r="47" ht="22" customHeight="1">
      <c r="B47" s="21">
        <f>IF(C47="","PRI"&amp;TEXT(COUNTA($C$5:C47),"000"))</f>
        <v/>
      </c>
      <c r="C47" s="21" t="n"/>
      <c r="D47" s="21">
        <f>IF(C47="","",VLOOKUP(C47,'_Données Employés'!$B$5:$S$114,3,FALSE))</f>
        <v/>
      </c>
      <c r="E47" s="21">
        <f>IF(C47="","",VLOOKUP(C47,'_Données Employés'!$B$5:$S$114,10,FALSE))</f>
        <v/>
      </c>
      <c r="F47" s="21" t="n"/>
      <c r="G47" s="21" t="n"/>
      <c r="H47" s="21" t="n"/>
      <c r="I47" s="21" t="n"/>
      <c r="J47" s="16">
        <f>IF(OR(G47="",H47=""),"",IFERROR(G47*H47/100,0))</f>
        <v/>
      </c>
      <c r="K47" s="21" t="n"/>
      <c r="L47" s="16">
        <f>IF(I47="","",IF(I47="Non",I47,IFERROR(I47*0.85,0)))</f>
        <v/>
      </c>
      <c r="M47" s="21" t="n"/>
    </row>
    <row r="48" ht="22" customHeight="1">
      <c r="B48" s="22">
        <f>IF(C48="","PRI"&amp;TEXT(COUNTA($C$5:C48),"000"))</f>
        <v/>
      </c>
      <c r="C48" s="22" t="n"/>
      <c r="D48" s="22">
        <f>IF(C48="","",VLOOKUP(C48,'_Données Employés'!$B$5:$S$114,3,FALSE))</f>
        <v/>
      </c>
      <c r="E48" s="22">
        <f>IF(C48="","",VLOOKUP(C48,'_Données Employés'!$B$5:$S$114,10,FALSE))</f>
        <v/>
      </c>
      <c r="F48" s="22" t="n"/>
      <c r="G48" s="22" t="n"/>
      <c r="H48" s="22" t="n"/>
      <c r="I48" s="22" t="n"/>
      <c r="J48" s="18">
        <f>IF(OR(G48="",H48=""),"",IFERROR(G48*H48/100,0))</f>
        <v/>
      </c>
      <c r="K48" s="22" t="n"/>
      <c r="L48" s="18">
        <f>IF(I48="","",IF(I48="Non",I48,IFERROR(I48*0.85,0)))</f>
        <v/>
      </c>
      <c r="M48" s="22" t="n"/>
    </row>
    <row r="49" ht="22" customHeight="1">
      <c r="B49" s="21">
        <f>IF(C49="","PRI"&amp;TEXT(COUNTA($C$5:C49),"000"))</f>
        <v/>
      </c>
      <c r="C49" s="21" t="n"/>
      <c r="D49" s="21">
        <f>IF(C49="","",VLOOKUP(C49,'_Données Employés'!$B$5:$S$114,3,FALSE))</f>
        <v/>
      </c>
      <c r="E49" s="21">
        <f>IF(C49="","",VLOOKUP(C49,'_Données Employés'!$B$5:$S$114,10,FALSE))</f>
        <v/>
      </c>
      <c r="F49" s="21" t="n"/>
      <c r="G49" s="21" t="n"/>
      <c r="H49" s="21" t="n"/>
      <c r="I49" s="21" t="n"/>
      <c r="J49" s="16">
        <f>IF(OR(G49="",H49=""),"",IFERROR(G49*H49/100,0))</f>
        <v/>
      </c>
      <c r="K49" s="21" t="n"/>
      <c r="L49" s="16">
        <f>IF(I49="","",IF(I49="Non",I49,IFERROR(I49*0.85,0)))</f>
        <v/>
      </c>
      <c r="M49" s="21" t="n"/>
    </row>
    <row r="50" ht="22" customHeight="1">
      <c r="B50" s="22">
        <f>IF(C50="","PRI"&amp;TEXT(COUNTA($C$5:C50),"000"))</f>
        <v/>
      </c>
      <c r="C50" s="22" t="n"/>
      <c r="D50" s="22">
        <f>IF(C50="","",VLOOKUP(C50,'_Données Employés'!$B$5:$S$114,3,FALSE))</f>
        <v/>
      </c>
      <c r="E50" s="22">
        <f>IF(C50="","",VLOOKUP(C50,'_Données Employés'!$B$5:$S$114,10,FALSE))</f>
        <v/>
      </c>
      <c r="F50" s="22" t="n"/>
      <c r="G50" s="22" t="n"/>
      <c r="H50" s="22" t="n"/>
      <c r="I50" s="22" t="n"/>
      <c r="J50" s="18">
        <f>IF(OR(G50="",H50=""),"",IFERROR(G50*H50/100,0))</f>
        <v/>
      </c>
      <c r="K50" s="22" t="n"/>
      <c r="L50" s="18">
        <f>IF(I50="","",IF(I50="Non",I50,IFERROR(I50*0.85,0)))</f>
        <v/>
      </c>
      <c r="M50" s="22" t="n"/>
    </row>
    <row r="51" ht="22" customHeight="1">
      <c r="B51" s="21">
        <f>IF(C51="","PRI"&amp;TEXT(COUNTA($C$5:C51),"000"))</f>
        <v/>
      </c>
      <c r="C51" s="21" t="n"/>
      <c r="D51" s="21">
        <f>IF(C51="","",VLOOKUP(C51,'_Données Employés'!$B$5:$S$114,3,FALSE))</f>
        <v/>
      </c>
      <c r="E51" s="21">
        <f>IF(C51="","",VLOOKUP(C51,'_Données Employés'!$B$5:$S$114,10,FALSE))</f>
        <v/>
      </c>
      <c r="F51" s="21" t="n"/>
      <c r="G51" s="21" t="n"/>
      <c r="H51" s="21" t="n"/>
      <c r="I51" s="21" t="n"/>
      <c r="J51" s="16">
        <f>IF(OR(G51="",H51=""),"",IFERROR(G51*H51/100,0))</f>
        <v/>
      </c>
      <c r="K51" s="21" t="n"/>
      <c r="L51" s="16">
        <f>IF(I51="","",IF(I51="Non",I51,IFERROR(I51*0.85,0)))</f>
        <v/>
      </c>
      <c r="M51" s="21" t="n"/>
    </row>
    <row r="52" ht="22" customHeight="1">
      <c r="B52" s="22">
        <f>IF(C52="","PRI"&amp;TEXT(COUNTA($C$5:C52),"000"))</f>
        <v/>
      </c>
      <c r="C52" s="22" t="n"/>
      <c r="D52" s="22">
        <f>IF(C52="","",VLOOKUP(C52,'_Données Employés'!$B$5:$S$114,3,FALSE))</f>
        <v/>
      </c>
      <c r="E52" s="22">
        <f>IF(C52="","",VLOOKUP(C52,'_Données Employés'!$B$5:$S$114,10,FALSE))</f>
        <v/>
      </c>
      <c r="F52" s="22" t="n"/>
      <c r="G52" s="22" t="n"/>
      <c r="H52" s="22" t="n"/>
      <c r="I52" s="22" t="n"/>
      <c r="J52" s="18">
        <f>IF(OR(G52="",H52=""),"",IFERROR(G52*H52/100,0))</f>
        <v/>
      </c>
      <c r="K52" s="22" t="n"/>
      <c r="L52" s="18">
        <f>IF(I52="","",IF(I52="Non",I52,IFERROR(I52*0.85,0)))</f>
        <v/>
      </c>
      <c r="M52" s="22" t="n"/>
    </row>
    <row r="53" ht="22" customHeight="1">
      <c r="B53" s="21">
        <f>IF(C53="","PRI"&amp;TEXT(COUNTA($C$5:C53),"000"))</f>
        <v/>
      </c>
      <c r="C53" s="21" t="n"/>
      <c r="D53" s="21">
        <f>IF(C53="","",VLOOKUP(C53,'_Données Employés'!$B$5:$S$114,3,FALSE))</f>
        <v/>
      </c>
      <c r="E53" s="21">
        <f>IF(C53="","",VLOOKUP(C53,'_Données Employés'!$B$5:$S$114,10,FALSE))</f>
        <v/>
      </c>
      <c r="F53" s="21" t="n"/>
      <c r="G53" s="21" t="n"/>
      <c r="H53" s="21" t="n"/>
      <c r="I53" s="21" t="n"/>
      <c r="J53" s="16">
        <f>IF(OR(G53="",H53=""),"",IFERROR(G53*H53/100,0))</f>
        <v/>
      </c>
      <c r="K53" s="21" t="n"/>
      <c r="L53" s="16">
        <f>IF(I53="","",IF(I53="Non",I53,IFERROR(I53*0.85,0)))</f>
        <v/>
      </c>
      <c r="M53" s="21" t="n"/>
    </row>
    <row r="54" ht="22" customHeight="1">
      <c r="B54" s="22">
        <f>IF(C54="","PRI"&amp;TEXT(COUNTA($C$5:C54),"000"))</f>
        <v/>
      </c>
      <c r="C54" s="22" t="n"/>
      <c r="D54" s="22">
        <f>IF(C54="","",VLOOKUP(C54,'_Données Employés'!$B$5:$S$114,3,FALSE))</f>
        <v/>
      </c>
      <c r="E54" s="22">
        <f>IF(C54="","",VLOOKUP(C54,'_Données Employés'!$B$5:$S$114,10,FALSE))</f>
        <v/>
      </c>
      <c r="F54" s="22" t="n"/>
      <c r="G54" s="22" t="n"/>
      <c r="H54" s="22" t="n"/>
      <c r="I54" s="22" t="n"/>
      <c r="J54" s="18">
        <f>IF(OR(G54="",H54=""),"",IFERROR(G54*H54/100,0))</f>
        <v/>
      </c>
      <c r="K54" s="22" t="n"/>
      <c r="L54" s="18">
        <f>IF(I54="","",IF(I54="Non",I54,IFERROR(I54*0.85,0)))</f>
        <v/>
      </c>
      <c r="M54" s="22" t="n"/>
    </row>
    <row r="55" ht="22" customHeight="1">
      <c r="B55" s="21">
        <f>IF(C55="","PRI"&amp;TEXT(COUNTA($C$5:C55),"000"))</f>
        <v/>
      </c>
      <c r="C55" s="21" t="n"/>
      <c r="D55" s="21">
        <f>IF(C55="","",VLOOKUP(C55,'_Données Employés'!$B$5:$S$114,3,FALSE))</f>
        <v/>
      </c>
      <c r="E55" s="21">
        <f>IF(C55="","",VLOOKUP(C55,'_Données Employés'!$B$5:$S$114,10,FALSE))</f>
        <v/>
      </c>
      <c r="F55" s="21" t="n"/>
      <c r="G55" s="21" t="n"/>
      <c r="H55" s="21" t="n"/>
      <c r="I55" s="21" t="n"/>
      <c r="J55" s="16">
        <f>IF(OR(G55="",H55=""),"",IFERROR(G55*H55/100,0))</f>
        <v/>
      </c>
      <c r="K55" s="21" t="n"/>
      <c r="L55" s="16">
        <f>IF(I55="","",IF(I55="Non",I55,IFERROR(I55*0.85,0)))</f>
        <v/>
      </c>
      <c r="M55" s="21" t="n"/>
    </row>
    <row r="56" ht="22" customHeight="1">
      <c r="B56" s="22">
        <f>IF(C56="","PRI"&amp;TEXT(COUNTA($C$5:C56),"000"))</f>
        <v/>
      </c>
      <c r="C56" s="22" t="n"/>
      <c r="D56" s="22">
        <f>IF(C56="","",VLOOKUP(C56,'_Données Employés'!$B$5:$S$114,3,FALSE))</f>
        <v/>
      </c>
      <c r="E56" s="22">
        <f>IF(C56="","",VLOOKUP(C56,'_Données Employés'!$B$5:$S$114,10,FALSE))</f>
        <v/>
      </c>
      <c r="F56" s="22" t="n"/>
      <c r="G56" s="22" t="n"/>
      <c r="H56" s="22" t="n"/>
      <c r="I56" s="22" t="n"/>
      <c r="J56" s="18">
        <f>IF(OR(G56="",H56=""),"",IFERROR(G56*H56/100,0))</f>
        <v/>
      </c>
      <c r="K56" s="22" t="n"/>
      <c r="L56" s="18">
        <f>IF(I56="","",IF(I56="Non",I56,IFERROR(I56*0.85,0)))</f>
        <v/>
      </c>
      <c r="M56" s="22" t="n"/>
    </row>
    <row r="57" ht="22" customHeight="1">
      <c r="B57" s="21">
        <f>IF(C57="","PRI"&amp;TEXT(COUNTA($C$5:C57),"000"))</f>
        <v/>
      </c>
      <c r="C57" s="21" t="n"/>
      <c r="D57" s="21">
        <f>IF(C57="","",VLOOKUP(C57,'_Données Employés'!$B$5:$S$114,3,FALSE))</f>
        <v/>
      </c>
      <c r="E57" s="21">
        <f>IF(C57="","",VLOOKUP(C57,'_Données Employés'!$B$5:$S$114,10,FALSE))</f>
        <v/>
      </c>
      <c r="F57" s="21" t="n"/>
      <c r="G57" s="21" t="n"/>
      <c r="H57" s="21" t="n"/>
      <c r="I57" s="21" t="n"/>
      <c r="J57" s="16">
        <f>IF(OR(G57="",H57=""),"",IFERROR(G57*H57/100,0))</f>
        <v/>
      </c>
      <c r="K57" s="21" t="n"/>
      <c r="L57" s="16">
        <f>IF(I57="","",IF(I57="Non",I57,IFERROR(I57*0.85,0)))</f>
        <v/>
      </c>
      <c r="M57" s="21" t="n"/>
    </row>
    <row r="58" ht="22" customHeight="1">
      <c r="B58" s="22">
        <f>IF(C58="","PRI"&amp;TEXT(COUNTA($C$5:C58),"000"))</f>
        <v/>
      </c>
      <c r="C58" s="22" t="n"/>
      <c r="D58" s="22">
        <f>IF(C58="","",VLOOKUP(C58,'_Données Employés'!$B$5:$S$114,3,FALSE))</f>
        <v/>
      </c>
      <c r="E58" s="22">
        <f>IF(C58="","",VLOOKUP(C58,'_Données Employés'!$B$5:$S$114,10,FALSE))</f>
        <v/>
      </c>
      <c r="F58" s="22" t="n"/>
      <c r="G58" s="22" t="n"/>
      <c r="H58" s="22" t="n"/>
      <c r="I58" s="22" t="n"/>
      <c r="J58" s="18">
        <f>IF(OR(G58="",H58=""),"",IFERROR(G58*H58/100,0))</f>
        <v/>
      </c>
      <c r="K58" s="22" t="n"/>
      <c r="L58" s="18">
        <f>IF(I58="","",IF(I58="Non",I58,IFERROR(I58*0.85,0)))</f>
        <v/>
      </c>
      <c r="M58" s="22" t="n"/>
    </row>
    <row r="59" ht="22" customHeight="1">
      <c r="B59" s="21">
        <f>IF(C59="","PRI"&amp;TEXT(COUNTA($C$5:C59),"000"))</f>
        <v/>
      </c>
      <c r="C59" s="21" t="n"/>
      <c r="D59" s="21">
        <f>IF(C59="","",VLOOKUP(C59,'_Données Employés'!$B$5:$S$114,3,FALSE))</f>
        <v/>
      </c>
      <c r="E59" s="21">
        <f>IF(C59="","",VLOOKUP(C59,'_Données Employés'!$B$5:$S$114,10,FALSE))</f>
        <v/>
      </c>
      <c r="F59" s="21" t="n"/>
      <c r="G59" s="21" t="n"/>
      <c r="H59" s="21" t="n"/>
      <c r="I59" s="21" t="n"/>
      <c r="J59" s="16">
        <f>IF(OR(G59="",H59=""),"",IFERROR(G59*H59/100,0))</f>
        <v/>
      </c>
      <c r="K59" s="21" t="n"/>
      <c r="L59" s="16">
        <f>IF(I59="","",IF(I59="Non",I59,IFERROR(I59*0.85,0)))</f>
        <v/>
      </c>
      <c r="M59" s="21" t="n"/>
    </row>
    <row r="60" ht="22" customHeight="1">
      <c r="B60" s="22">
        <f>IF(C60="","PRI"&amp;TEXT(COUNTA($C$5:C60),"000"))</f>
        <v/>
      </c>
      <c r="C60" s="22" t="n"/>
      <c r="D60" s="22">
        <f>IF(C60="","",VLOOKUP(C60,'_Données Employés'!$B$5:$S$114,3,FALSE))</f>
        <v/>
      </c>
      <c r="E60" s="22">
        <f>IF(C60="","",VLOOKUP(C60,'_Données Employés'!$B$5:$S$114,10,FALSE))</f>
        <v/>
      </c>
      <c r="F60" s="22" t="n"/>
      <c r="G60" s="22" t="n"/>
      <c r="H60" s="22" t="n"/>
      <c r="I60" s="22" t="n"/>
      <c r="J60" s="18">
        <f>IF(OR(G60="",H60=""),"",IFERROR(G60*H60/100,0))</f>
        <v/>
      </c>
      <c r="K60" s="22" t="n"/>
      <c r="L60" s="18">
        <f>IF(I60="","",IF(I60="Non",I60,IFERROR(I60*0.85,0)))</f>
        <v/>
      </c>
      <c r="M60" s="22" t="n"/>
    </row>
    <row r="61" ht="22" customHeight="1">
      <c r="B61" s="21">
        <f>IF(C61="","PRI"&amp;TEXT(COUNTA($C$5:C61),"000"))</f>
        <v/>
      </c>
      <c r="C61" s="21" t="n"/>
      <c r="D61" s="21">
        <f>IF(C61="","",VLOOKUP(C61,'_Données Employés'!$B$5:$S$114,3,FALSE))</f>
        <v/>
      </c>
      <c r="E61" s="21">
        <f>IF(C61="","",VLOOKUP(C61,'_Données Employés'!$B$5:$S$114,10,FALSE))</f>
        <v/>
      </c>
      <c r="F61" s="21" t="n"/>
      <c r="G61" s="21" t="n"/>
      <c r="H61" s="21" t="n"/>
      <c r="I61" s="21" t="n"/>
      <c r="J61" s="16">
        <f>IF(OR(G61="",H61=""),"",IFERROR(G61*H61/100,0))</f>
        <v/>
      </c>
      <c r="K61" s="21" t="n"/>
      <c r="L61" s="16">
        <f>IF(I61="","",IF(I61="Non",I61,IFERROR(I61*0.85,0)))</f>
        <v/>
      </c>
      <c r="M61" s="21" t="n"/>
    </row>
    <row r="62" ht="22" customHeight="1">
      <c r="B62" s="22">
        <f>IF(C62="","PRI"&amp;TEXT(COUNTA($C$5:C62),"000"))</f>
        <v/>
      </c>
      <c r="C62" s="22" t="n"/>
      <c r="D62" s="22">
        <f>IF(C62="","",VLOOKUP(C62,'_Données Employés'!$B$5:$S$114,3,FALSE))</f>
        <v/>
      </c>
      <c r="E62" s="22">
        <f>IF(C62="","",VLOOKUP(C62,'_Données Employés'!$B$5:$S$114,10,FALSE))</f>
        <v/>
      </c>
      <c r="F62" s="22" t="n"/>
      <c r="G62" s="22" t="n"/>
      <c r="H62" s="22" t="n"/>
      <c r="I62" s="22" t="n"/>
      <c r="J62" s="18">
        <f>IF(OR(G62="",H62=""),"",IFERROR(G62*H62/100,0))</f>
        <v/>
      </c>
      <c r="K62" s="22" t="n"/>
      <c r="L62" s="18">
        <f>IF(I62="","",IF(I62="Non",I62,IFERROR(I62*0.85,0)))</f>
        <v/>
      </c>
      <c r="M62" s="22" t="n"/>
    </row>
    <row r="63" ht="22" customHeight="1">
      <c r="B63" s="21">
        <f>IF(C63="","PRI"&amp;TEXT(COUNTA($C$5:C63),"000"))</f>
        <v/>
      </c>
      <c r="C63" s="21" t="n"/>
      <c r="D63" s="21">
        <f>IF(C63="","",VLOOKUP(C63,'_Données Employés'!$B$5:$S$114,3,FALSE))</f>
        <v/>
      </c>
      <c r="E63" s="21">
        <f>IF(C63="","",VLOOKUP(C63,'_Données Employés'!$B$5:$S$114,10,FALSE))</f>
        <v/>
      </c>
      <c r="F63" s="21" t="n"/>
      <c r="G63" s="21" t="n"/>
      <c r="H63" s="21" t="n"/>
      <c r="I63" s="21" t="n"/>
      <c r="J63" s="16">
        <f>IF(OR(G63="",H63=""),"",IFERROR(G63*H63/100,0))</f>
        <v/>
      </c>
      <c r="K63" s="21" t="n"/>
      <c r="L63" s="16">
        <f>IF(I63="","",IF(I63="Non",I63,IFERROR(I63*0.85,0)))</f>
        <v/>
      </c>
      <c r="M63" s="21" t="n"/>
    </row>
    <row r="64" ht="22" customHeight="1">
      <c r="B64" s="22">
        <f>IF(C64="","PRI"&amp;TEXT(COUNTA($C$5:C64),"000"))</f>
        <v/>
      </c>
      <c r="C64" s="22" t="n"/>
      <c r="D64" s="22">
        <f>IF(C64="","",VLOOKUP(C64,'_Données Employés'!$B$5:$S$114,3,FALSE))</f>
        <v/>
      </c>
      <c r="E64" s="22">
        <f>IF(C64="","",VLOOKUP(C64,'_Données Employés'!$B$5:$S$114,10,FALSE))</f>
        <v/>
      </c>
      <c r="F64" s="22" t="n"/>
      <c r="G64" s="22" t="n"/>
      <c r="H64" s="22" t="n"/>
      <c r="I64" s="22" t="n"/>
      <c r="J64" s="18">
        <f>IF(OR(G64="",H64=""),"",IFERROR(G64*H64/100,0))</f>
        <v/>
      </c>
      <c r="K64" s="22" t="n"/>
      <c r="L64" s="18">
        <f>IF(I64="","",IF(I64="Non",I64,IFERROR(I64*0.85,0)))</f>
        <v/>
      </c>
      <c r="M64" s="22" t="n"/>
    </row>
    <row r="65" ht="22" customHeight="1">
      <c r="B65" s="21">
        <f>IF(C65="","PRI"&amp;TEXT(COUNTA($C$5:C65),"000"))</f>
        <v/>
      </c>
      <c r="C65" s="21" t="n"/>
      <c r="D65" s="21">
        <f>IF(C65="","",VLOOKUP(C65,'_Données Employés'!$B$5:$S$114,3,FALSE))</f>
        <v/>
      </c>
      <c r="E65" s="21">
        <f>IF(C65="","",VLOOKUP(C65,'_Données Employés'!$B$5:$S$114,10,FALSE))</f>
        <v/>
      </c>
      <c r="F65" s="21" t="n"/>
      <c r="G65" s="21" t="n"/>
      <c r="H65" s="21" t="n"/>
      <c r="I65" s="21" t="n"/>
      <c r="J65" s="16">
        <f>IF(OR(G65="",H65=""),"",IFERROR(G65*H65/100,0))</f>
        <v/>
      </c>
      <c r="K65" s="21" t="n"/>
      <c r="L65" s="16">
        <f>IF(I65="","",IF(I65="Non",I65,IFERROR(I65*0.85,0)))</f>
        <v/>
      </c>
      <c r="M65" s="21" t="n"/>
    </row>
    <row r="66" ht="22" customHeight="1">
      <c r="B66" s="22">
        <f>IF(C66="","PRI"&amp;TEXT(COUNTA($C$5:C66),"000"))</f>
        <v/>
      </c>
      <c r="C66" s="22" t="n"/>
      <c r="D66" s="22">
        <f>IF(C66="","",VLOOKUP(C66,'_Données Employés'!$B$5:$S$114,3,FALSE))</f>
        <v/>
      </c>
      <c r="E66" s="22">
        <f>IF(C66="","",VLOOKUP(C66,'_Données Employés'!$B$5:$S$114,10,FALSE))</f>
        <v/>
      </c>
      <c r="F66" s="22" t="n"/>
      <c r="G66" s="22" t="n"/>
      <c r="H66" s="22" t="n"/>
      <c r="I66" s="22" t="n"/>
      <c r="J66" s="18">
        <f>IF(OR(G66="",H66=""),"",IFERROR(G66*H66/100,0))</f>
        <v/>
      </c>
      <c r="K66" s="22" t="n"/>
      <c r="L66" s="18">
        <f>IF(I66="","",IF(I66="Non",I66,IFERROR(I66*0.85,0)))</f>
        <v/>
      </c>
      <c r="M66" s="22" t="n"/>
    </row>
    <row r="67" ht="22" customHeight="1">
      <c r="B67" s="21">
        <f>IF(C67="","PRI"&amp;TEXT(COUNTA($C$5:C67),"000"))</f>
        <v/>
      </c>
      <c r="C67" s="21" t="n"/>
      <c r="D67" s="21">
        <f>IF(C67="","",VLOOKUP(C67,'_Données Employés'!$B$5:$S$114,3,FALSE))</f>
        <v/>
      </c>
      <c r="E67" s="21">
        <f>IF(C67="","",VLOOKUP(C67,'_Données Employés'!$B$5:$S$114,10,FALSE))</f>
        <v/>
      </c>
      <c r="F67" s="21" t="n"/>
      <c r="G67" s="21" t="n"/>
      <c r="H67" s="21" t="n"/>
      <c r="I67" s="21" t="n"/>
      <c r="J67" s="16">
        <f>IF(OR(G67="",H67=""),"",IFERROR(G67*H67/100,0))</f>
        <v/>
      </c>
      <c r="K67" s="21" t="n"/>
      <c r="L67" s="16">
        <f>IF(I67="","",IF(I67="Non",I67,IFERROR(I67*0.85,0)))</f>
        <v/>
      </c>
      <c r="M67" s="21" t="n"/>
    </row>
    <row r="68" ht="22" customHeight="1">
      <c r="B68" s="22">
        <f>IF(C68="","PRI"&amp;TEXT(COUNTA($C$5:C68),"000"))</f>
        <v/>
      </c>
      <c r="C68" s="22" t="n"/>
      <c r="D68" s="22">
        <f>IF(C68="","",VLOOKUP(C68,'_Données Employés'!$B$5:$S$114,3,FALSE))</f>
        <v/>
      </c>
      <c r="E68" s="22">
        <f>IF(C68="","",VLOOKUP(C68,'_Données Employés'!$B$5:$S$114,10,FALSE))</f>
        <v/>
      </c>
      <c r="F68" s="22" t="n"/>
      <c r="G68" s="22" t="n"/>
      <c r="H68" s="22" t="n"/>
      <c r="I68" s="22" t="n"/>
      <c r="J68" s="18">
        <f>IF(OR(G68="",H68=""),"",IFERROR(G68*H68/100,0))</f>
        <v/>
      </c>
      <c r="K68" s="22" t="n"/>
      <c r="L68" s="18">
        <f>IF(I68="","",IF(I68="Non",I68,IFERROR(I68*0.85,0)))</f>
        <v/>
      </c>
      <c r="M68" s="22" t="n"/>
    </row>
    <row r="69" ht="22" customHeight="1">
      <c r="B69" s="21">
        <f>IF(C69="","PRI"&amp;TEXT(COUNTA($C$5:C69),"000"))</f>
        <v/>
      </c>
      <c r="C69" s="21" t="n"/>
      <c r="D69" s="21">
        <f>IF(C69="","",VLOOKUP(C69,'_Données Employés'!$B$5:$S$114,3,FALSE))</f>
        <v/>
      </c>
      <c r="E69" s="21">
        <f>IF(C69="","",VLOOKUP(C69,'_Données Employés'!$B$5:$S$114,10,FALSE))</f>
        <v/>
      </c>
      <c r="F69" s="21" t="n"/>
      <c r="G69" s="21" t="n"/>
      <c r="H69" s="21" t="n"/>
      <c r="I69" s="21" t="n"/>
      <c r="J69" s="16">
        <f>IF(OR(G69="",H69=""),"",IFERROR(G69*H69/100,0))</f>
        <v/>
      </c>
      <c r="K69" s="21" t="n"/>
      <c r="L69" s="16">
        <f>IF(I69="","",IF(I69="Non",I69,IFERROR(I69*0.85,0)))</f>
        <v/>
      </c>
      <c r="M69" s="21" t="n"/>
    </row>
    <row r="70" ht="22" customHeight="1">
      <c r="B70" s="22">
        <f>IF(C70="","PRI"&amp;TEXT(COUNTA($C$5:C70),"000"))</f>
        <v/>
      </c>
      <c r="C70" s="22" t="n"/>
      <c r="D70" s="22">
        <f>IF(C70="","",VLOOKUP(C70,'_Données Employés'!$B$5:$S$114,3,FALSE))</f>
        <v/>
      </c>
      <c r="E70" s="22">
        <f>IF(C70="","",VLOOKUP(C70,'_Données Employés'!$B$5:$S$114,10,FALSE))</f>
        <v/>
      </c>
      <c r="F70" s="22" t="n"/>
      <c r="G70" s="22" t="n"/>
      <c r="H70" s="22" t="n"/>
      <c r="I70" s="22" t="n"/>
      <c r="J70" s="18">
        <f>IF(OR(G70="",H70=""),"",IFERROR(G70*H70/100,0))</f>
        <v/>
      </c>
      <c r="K70" s="22" t="n"/>
      <c r="L70" s="18">
        <f>IF(I70="","",IF(I70="Non",I70,IFERROR(I70*0.85,0)))</f>
        <v/>
      </c>
      <c r="M70" s="22" t="n"/>
    </row>
    <row r="71" ht="22" customHeight="1">
      <c r="B71" s="21">
        <f>IF(C71="","PRI"&amp;TEXT(COUNTA($C$5:C71),"000"))</f>
        <v/>
      </c>
      <c r="C71" s="21" t="n"/>
      <c r="D71" s="21">
        <f>IF(C71="","",VLOOKUP(C71,'_Données Employés'!$B$5:$S$114,3,FALSE))</f>
        <v/>
      </c>
      <c r="E71" s="21">
        <f>IF(C71="","",VLOOKUP(C71,'_Données Employés'!$B$5:$S$114,10,FALSE))</f>
        <v/>
      </c>
      <c r="F71" s="21" t="n"/>
      <c r="G71" s="21" t="n"/>
      <c r="H71" s="21" t="n"/>
      <c r="I71" s="21" t="n"/>
      <c r="J71" s="16">
        <f>IF(OR(G71="",H71=""),"",IFERROR(G71*H71/100,0))</f>
        <v/>
      </c>
      <c r="K71" s="21" t="n"/>
      <c r="L71" s="16">
        <f>IF(I71="","",IF(I71="Non",I71,IFERROR(I71*0.85,0)))</f>
        <v/>
      </c>
      <c r="M71" s="21" t="n"/>
    </row>
    <row r="72" ht="22" customHeight="1">
      <c r="B72" s="22">
        <f>IF(C72="","PRI"&amp;TEXT(COUNTA($C$5:C72),"000"))</f>
        <v/>
      </c>
      <c r="C72" s="22" t="n"/>
      <c r="D72" s="22">
        <f>IF(C72="","",VLOOKUP(C72,'_Données Employés'!$B$5:$S$114,3,FALSE))</f>
        <v/>
      </c>
      <c r="E72" s="22">
        <f>IF(C72="","",VLOOKUP(C72,'_Données Employés'!$B$5:$S$114,10,FALSE))</f>
        <v/>
      </c>
      <c r="F72" s="22" t="n"/>
      <c r="G72" s="22" t="n"/>
      <c r="H72" s="22" t="n"/>
      <c r="I72" s="22" t="n"/>
      <c r="J72" s="18">
        <f>IF(OR(G72="",H72=""),"",IFERROR(G72*H72/100,0))</f>
        <v/>
      </c>
      <c r="K72" s="22" t="n"/>
      <c r="L72" s="18">
        <f>IF(I72="","",IF(I72="Non",I72,IFERROR(I72*0.85,0)))</f>
        <v/>
      </c>
      <c r="M72" s="22" t="n"/>
    </row>
    <row r="73" ht="22" customHeight="1">
      <c r="B73" s="21">
        <f>IF(C73="","PRI"&amp;TEXT(COUNTA($C$5:C73),"000"))</f>
        <v/>
      </c>
      <c r="C73" s="21" t="n"/>
      <c r="D73" s="21">
        <f>IF(C73="","",VLOOKUP(C73,'_Données Employés'!$B$5:$S$114,3,FALSE))</f>
        <v/>
      </c>
      <c r="E73" s="21">
        <f>IF(C73="","",VLOOKUP(C73,'_Données Employés'!$B$5:$S$114,10,FALSE))</f>
        <v/>
      </c>
      <c r="F73" s="21" t="n"/>
      <c r="G73" s="21" t="n"/>
      <c r="H73" s="21" t="n"/>
      <c r="I73" s="21" t="n"/>
      <c r="J73" s="16">
        <f>IF(OR(G73="",H73=""),"",IFERROR(G73*H73/100,0))</f>
        <v/>
      </c>
      <c r="K73" s="21" t="n"/>
      <c r="L73" s="16">
        <f>IF(I73="","",IF(I73="Non",I73,IFERROR(I73*0.85,0)))</f>
        <v/>
      </c>
      <c r="M73" s="21" t="n"/>
    </row>
    <row r="74" ht="22" customHeight="1">
      <c r="B74" s="22">
        <f>IF(C74="","PRI"&amp;TEXT(COUNTA($C$5:C74),"000"))</f>
        <v/>
      </c>
      <c r="C74" s="22" t="n"/>
      <c r="D74" s="22">
        <f>IF(C74="","",VLOOKUP(C74,'_Données Employés'!$B$5:$S$114,3,FALSE))</f>
        <v/>
      </c>
      <c r="E74" s="22">
        <f>IF(C74="","",VLOOKUP(C74,'_Données Employés'!$B$5:$S$114,10,FALSE))</f>
        <v/>
      </c>
      <c r="F74" s="22" t="n"/>
      <c r="G74" s="22" t="n"/>
      <c r="H74" s="22" t="n"/>
      <c r="I74" s="22" t="n"/>
      <c r="J74" s="18">
        <f>IF(OR(G74="",H74=""),"",IFERROR(G74*H74/100,0))</f>
        <v/>
      </c>
      <c r="K74" s="22" t="n"/>
      <c r="L74" s="18">
        <f>IF(I74="","",IF(I74="Non",I74,IFERROR(I74*0.85,0)))</f>
        <v/>
      </c>
      <c r="M74" s="22" t="n"/>
    </row>
    <row r="75" ht="22" customHeight="1">
      <c r="B75" s="21">
        <f>IF(C75="","PRI"&amp;TEXT(COUNTA($C$5:C75),"000"))</f>
        <v/>
      </c>
      <c r="C75" s="21" t="n"/>
      <c r="D75" s="21">
        <f>IF(C75="","",VLOOKUP(C75,'_Données Employés'!$B$5:$S$114,3,FALSE))</f>
        <v/>
      </c>
      <c r="E75" s="21">
        <f>IF(C75="","",VLOOKUP(C75,'_Données Employés'!$B$5:$S$114,10,FALSE))</f>
        <v/>
      </c>
      <c r="F75" s="21" t="n"/>
      <c r="G75" s="21" t="n"/>
      <c r="H75" s="21" t="n"/>
      <c r="I75" s="21" t="n"/>
      <c r="J75" s="16">
        <f>IF(OR(G75="",H75=""),"",IFERROR(G75*H75/100,0))</f>
        <v/>
      </c>
      <c r="K75" s="21" t="n"/>
      <c r="L75" s="16">
        <f>IF(I75="","",IF(I75="Non",I75,IFERROR(I75*0.85,0)))</f>
        <v/>
      </c>
      <c r="M75" s="21" t="n"/>
    </row>
    <row r="76" ht="22" customHeight="1">
      <c r="B76" s="22">
        <f>IF(C76="","PRI"&amp;TEXT(COUNTA($C$5:C76),"000"))</f>
        <v/>
      </c>
      <c r="C76" s="22" t="n"/>
      <c r="D76" s="22">
        <f>IF(C76="","",VLOOKUP(C76,'_Données Employés'!$B$5:$S$114,3,FALSE))</f>
        <v/>
      </c>
      <c r="E76" s="22">
        <f>IF(C76="","",VLOOKUP(C76,'_Données Employés'!$B$5:$S$114,10,FALSE))</f>
        <v/>
      </c>
      <c r="F76" s="22" t="n"/>
      <c r="G76" s="22" t="n"/>
      <c r="H76" s="22" t="n"/>
      <c r="I76" s="22" t="n"/>
      <c r="J76" s="18">
        <f>IF(OR(G76="",H76=""),"",IFERROR(G76*H76/100,0))</f>
        <v/>
      </c>
      <c r="K76" s="22" t="n"/>
      <c r="L76" s="18">
        <f>IF(I76="","",IF(I76="Non",I76,IFERROR(I76*0.85,0)))</f>
        <v/>
      </c>
      <c r="M76" s="22" t="n"/>
    </row>
    <row r="77" ht="22" customHeight="1">
      <c r="B77" s="21">
        <f>IF(C77="","PRI"&amp;TEXT(COUNTA($C$5:C77),"000"))</f>
        <v/>
      </c>
      <c r="C77" s="21" t="n"/>
      <c r="D77" s="21">
        <f>IF(C77="","",VLOOKUP(C77,'_Données Employés'!$B$5:$S$114,3,FALSE))</f>
        <v/>
      </c>
      <c r="E77" s="21">
        <f>IF(C77="","",VLOOKUP(C77,'_Données Employés'!$B$5:$S$114,10,FALSE))</f>
        <v/>
      </c>
      <c r="F77" s="21" t="n"/>
      <c r="G77" s="21" t="n"/>
      <c r="H77" s="21" t="n"/>
      <c r="I77" s="21" t="n"/>
      <c r="J77" s="16">
        <f>IF(OR(G77="",H77=""),"",IFERROR(G77*H77/100,0))</f>
        <v/>
      </c>
      <c r="K77" s="21" t="n"/>
      <c r="L77" s="16">
        <f>IF(I77="","",IF(I77="Non",I77,IFERROR(I77*0.85,0)))</f>
        <v/>
      </c>
      <c r="M77" s="21" t="n"/>
    </row>
    <row r="78" ht="22" customHeight="1">
      <c r="B78" s="22">
        <f>IF(C78="","PRI"&amp;TEXT(COUNTA($C$5:C78),"000"))</f>
        <v/>
      </c>
      <c r="C78" s="22" t="n"/>
      <c r="D78" s="22">
        <f>IF(C78="","",VLOOKUP(C78,'_Données Employés'!$B$5:$S$114,3,FALSE))</f>
        <v/>
      </c>
      <c r="E78" s="22">
        <f>IF(C78="","",VLOOKUP(C78,'_Données Employés'!$B$5:$S$114,10,FALSE))</f>
        <v/>
      </c>
      <c r="F78" s="22" t="n"/>
      <c r="G78" s="22" t="n"/>
      <c r="H78" s="22" t="n"/>
      <c r="I78" s="22" t="n"/>
      <c r="J78" s="18">
        <f>IF(OR(G78="",H78=""),"",IFERROR(G78*H78/100,0))</f>
        <v/>
      </c>
      <c r="K78" s="22" t="n"/>
      <c r="L78" s="18">
        <f>IF(I78="","",IF(I78="Non",I78,IFERROR(I78*0.85,0)))</f>
        <v/>
      </c>
      <c r="M78" s="22" t="n"/>
    </row>
    <row r="79" ht="22" customHeight="1">
      <c r="B79" s="21">
        <f>IF(C79="","PRI"&amp;TEXT(COUNTA($C$5:C79),"000"))</f>
        <v/>
      </c>
      <c r="C79" s="21" t="n"/>
      <c r="D79" s="21">
        <f>IF(C79="","",VLOOKUP(C79,'_Données Employés'!$B$5:$S$114,3,FALSE))</f>
        <v/>
      </c>
      <c r="E79" s="21">
        <f>IF(C79="","",VLOOKUP(C79,'_Données Employés'!$B$5:$S$114,10,FALSE))</f>
        <v/>
      </c>
      <c r="F79" s="21" t="n"/>
      <c r="G79" s="21" t="n"/>
      <c r="H79" s="21" t="n"/>
      <c r="I79" s="21" t="n"/>
      <c r="J79" s="16">
        <f>IF(OR(G79="",H79=""),"",IFERROR(G79*H79/100,0))</f>
        <v/>
      </c>
      <c r="K79" s="21" t="n"/>
      <c r="L79" s="16">
        <f>IF(I79="","",IF(I79="Non",I79,IFERROR(I79*0.85,0)))</f>
        <v/>
      </c>
      <c r="M79" s="21" t="n"/>
    </row>
    <row r="80" ht="22" customHeight="1">
      <c r="B80" s="22">
        <f>IF(C80="","PRI"&amp;TEXT(COUNTA($C$5:C80),"000"))</f>
        <v/>
      </c>
      <c r="C80" s="22" t="n"/>
      <c r="D80" s="22">
        <f>IF(C80="","",VLOOKUP(C80,'_Données Employés'!$B$5:$S$114,3,FALSE))</f>
        <v/>
      </c>
      <c r="E80" s="22">
        <f>IF(C80="","",VLOOKUP(C80,'_Données Employés'!$B$5:$S$114,10,FALSE))</f>
        <v/>
      </c>
      <c r="F80" s="22" t="n"/>
      <c r="G80" s="22" t="n"/>
      <c r="H80" s="22" t="n"/>
      <c r="I80" s="22" t="n"/>
      <c r="J80" s="18">
        <f>IF(OR(G80="",H80=""),"",IFERROR(G80*H80/100,0))</f>
        <v/>
      </c>
      <c r="K80" s="22" t="n"/>
      <c r="L80" s="18">
        <f>IF(I80="","",IF(I80="Non",I80,IFERROR(I80*0.85,0)))</f>
        <v/>
      </c>
      <c r="M80" s="22" t="n"/>
    </row>
    <row r="81" ht="22" customHeight="1">
      <c r="B81" s="21">
        <f>IF(C81="","PRI"&amp;TEXT(COUNTA($C$5:C81),"000"))</f>
        <v/>
      </c>
      <c r="C81" s="21" t="n"/>
      <c r="D81" s="21">
        <f>IF(C81="","",VLOOKUP(C81,'_Données Employés'!$B$5:$S$114,3,FALSE))</f>
        <v/>
      </c>
      <c r="E81" s="21">
        <f>IF(C81="","",VLOOKUP(C81,'_Données Employés'!$B$5:$S$114,10,FALSE))</f>
        <v/>
      </c>
      <c r="F81" s="21" t="n"/>
      <c r="G81" s="21" t="n"/>
      <c r="H81" s="21" t="n"/>
      <c r="I81" s="21" t="n"/>
      <c r="J81" s="16">
        <f>IF(OR(G81="",H81=""),"",IFERROR(G81*H81/100,0))</f>
        <v/>
      </c>
      <c r="K81" s="21" t="n"/>
      <c r="L81" s="16">
        <f>IF(I81="","",IF(I81="Non",I81,IFERROR(I81*0.85,0)))</f>
        <v/>
      </c>
      <c r="M81" s="21" t="n"/>
    </row>
    <row r="82" ht="22" customHeight="1">
      <c r="B82" s="22">
        <f>IF(C82="","PRI"&amp;TEXT(COUNTA($C$5:C82),"000"))</f>
        <v/>
      </c>
      <c r="C82" s="22" t="n"/>
      <c r="D82" s="22">
        <f>IF(C82="","",VLOOKUP(C82,'_Données Employés'!$B$5:$S$114,3,FALSE))</f>
        <v/>
      </c>
      <c r="E82" s="22">
        <f>IF(C82="","",VLOOKUP(C82,'_Données Employés'!$B$5:$S$114,10,FALSE))</f>
        <v/>
      </c>
      <c r="F82" s="22" t="n"/>
      <c r="G82" s="22" t="n"/>
      <c r="H82" s="22" t="n"/>
      <c r="I82" s="22" t="n"/>
      <c r="J82" s="18">
        <f>IF(OR(G82="",H82=""),"",IFERROR(G82*H82/100,0))</f>
        <v/>
      </c>
      <c r="K82" s="22" t="n"/>
      <c r="L82" s="18">
        <f>IF(I82="","",IF(I82="Non",I82,IFERROR(I82*0.85,0)))</f>
        <v/>
      </c>
      <c r="M82" s="22" t="n"/>
    </row>
    <row r="83" ht="22" customHeight="1">
      <c r="B83" s="21">
        <f>IF(C83="","PRI"&amp;TEXT(COUNTA($C$5:C83),"000"))</f>
        <v/>
      </c>
      <c r="C83" s="21" t="n"/>
      <c r="D83" s="21">
        <f>IF(C83="","",VLOOKUP(C83,'_Données Employés'!$B$5:$S$114,3,FALSE))</f>
        <v/>
      </c>
      <c r="E83" s="21">
        <f>IF(C83="","",VLOOKUP(C83,'_Données Employés'!$B$5:$S$114,10,FALSE))</f>
        <v/>
      </c>
      <c r="F83" s="21" t="n"/>
      <c r="G83" s="21" t="n"/>
      <c r="H83" s="21" t="n"/>
      <c r="I83" s="21" t="n"/>
      <c r="J83" s="16">
        <f>IF(OR(G83="",H83=""),"",IFERROR(G83*H83/100,0))</f>
        <v/>
      </c>
      <c r="K83" s="21" t="n"/>
      <c r="L83" s="16">
        <f>IF(I83="","",IF(I83="Non",I83,IFERROR(I83*0.85,0)))</f>
        <v/>
      </c>
      <c r="M83" s="21" t="n"/>
    </row>
    <row r="84" ht="22" customHeight="1">
      <c r="B84" s="22">
        <f>IF(C84="","PRI"&amp;TEXT(COUNTA($C$5:C84),"000"))</f>
        <v/>
      </c>
      <c r="C84" s="22" t="n"/>
      <c r="D84" s="22">
        <f>IF(C84="","",VLOOKUP(C84,'_Données Employés'!$B$5:$S$114,3,FALSE))</f>
        <v/>
      </c>
      <c r="E84" s="22">
        <f>IF(C84="","",VLOOKUP(C84,'_Données Employés'!$B$5:$S$114,10,FALSE))</f>
        <v/>
      </c>
      <c r="F84" s="22" t="n"/>
      <c r="G84" s="22" t="n"/>
      <c r="H84" s="22" t="n"/>
      <c r="I84" s="22" t="n"/>
      <c r="J84" s="18">
        <f>IF(OR(G84="",H84=""),"",IFERROR(G84*H84/100,0))</f>
        <v/>
      </c>
      <c r="K84" s="22" t="n"/>
      <c r="L84" s="18">
        <f>IF(I84="","",IF(I84="Non",I84,IFERROR(I84*0.85,0)))</f>
        <v/>
      </c>
      <c r="M84" s="22" t="n"/>
    </row>
    <row r="85" ht="22" customHeight="1">
      <c r="B85" s="21">
        <f>IF(C85="","PRI"&amp;TEXT(COUNTA($C$5:C85),"000"))</f>
        <v/>
      </c>
      <c r="C85" s="21" t="n"/>
      <c r="D85" s="21">
        <f>IF(C85="","",VLOOKUP(C85,'_Données Employés'!$B$5:$S$114,3,FALSE))</f>
        <v/>
      </c>
      <c r="E85" s="21">
        <f>IF(C85="","",VLOOKUP(C85,'_Données Employés'!$B$5:$S$114,10,FALSE))</f>
        <v/>
      </c>
      <c r="F85" s="21" t="n"/>
      <c r="G85" s="21" t="n"/>
      <c r="H85" s="21" t="n"/>
      <c r="I85" s="21" t="n"/>
      <c r="J85" s="16">
        <f>IF(OR(G85="",H85=""),"",IFERROR(G85*H85/100,0))</f>
        <v/>
      </c>
      <c r="K85" s="21" t="n"/>
      <c r="L85" s="16">
        <f>IF(I85="","",IF(I85="Non",I85,IFERROR(I85*0.85,0)))</f>
        <v/>
      </c>
      <c r="M85" s="21" t="n"/>
    </row>
    <row r="86" ht="22" customHeight="1">
      <c r="B86" s="22">
        <f>IF(C86="","PRI"&amp;TEXT(COUNTA($C$5:C86),"000"))</f>
        <v/>
      </c>
      <c r="C86" s="22" t="n"/>
      <c r="D86" s="22">
        <f>IF(C86="","",VLOOKUP(C86,'_Données Employés'!$B$5:$S$114,3,FALSE))</f>
        <v/>
      </c>
      <c r="E86" s="22">
        <f>IF(C86="","",VLOOKUP(C86,'_Données Employés'!$B$5:$S$114,10,FALSE))</f>
        <v/>
      </c>
      <c r="F86" s="22" t="n"/>
      <c r="G86" s="22" t="n"/>
      <c r="H86" s="22" t="n"/>
      <c r="I86" s="22" t="n"/>
      <c r="J86" s="18">
        <f>IF(OR(G86="",H86=""),"",IFERROR(G86*H86/100,0))</f>
        <v/>
      </c>
      <c r="K86" s="22" t="n"/>
      <c r="L86" s="18">
        <f>IF(I86="","",IF(I86="Non",I86,IFERROR(I86*0.85,0)))</f>
        <v/>
      </c>
      <c r="M86" s="22" t="n"/>
    </row>
    <row r="87" ht="22" customHeight="1">
      <c r="B87" s="21">
        <f>IF(C87="","PRI"&amp;TEXT(COUNTA($C$5:C87),"000"))</f>
        <v/>
      </c>
      <c r="C87" s="21" t="n"/>
      <c r="D87" s="21">
        <f>IF(C87="","",VLOOKUP(C87,'_Données Employés'!$B$5:$S$114,3,FALSE))</f>
        <v/>
      </c>
      <c r="E87" s="21">
        <f>IF(C87="","",VLOOKUP(C87,'_Données Employés'!$B$5:$S$114,10,FALSE))</f>
        <v/>
      </c>
      <c r="F87" s="21" t="n"/>
      <c r="G87" s="21" t="n"/>
      <c r="H87" s="21" t="n"/>
      <c r="I87" s="21" t="n"/>
      <c r="J87" s="16">
        <f>IF(OR(G87="",H87=""),"",IFERROR(G87*H87/100,0))</f>
        <v/>
      </c>
      <c r="K87" s="21" t="n"/>
      <c r="L87" s="16">
        <f>IF(I87="","",IF(I87="Non",I87,IFERROR(I87*0.85,0)))</f>
        <v/>
      </c>
      <c r="M87" s="21" t="n"/>
    </row>
    <row r="88" ht="22" customHeight="1">
      <c r="B88" s="22">
        <f>IF(C88="","PRI"&amp;TEXT(COUNTA($C$5:C88),"000"))</f>
        <v/>
      </c>
      <c r="C88" s="22" t="n"/>
      <c r="D88" s="22">
        <f>IF(C88="","",VLOOKUP(C88,'_Données Employés'!$B$5:$S$114,3,FALSE))</f>
        <v/>
      </c>
      <c r="E88" s="22">
        <f>IF(C88="","",VLOOKUP(C88,'_Données Employés'!$B$5:$S$114,10,FALSE))</f>
        <v/>
      </c>
      <c r="F88" s="22" t="n"/>
      <c r="G88" s="22" t="n"/>
      <c r="H88" s="22" t="n"/>
      <c r="I88" s="22" t="n"/>
      <c r="J88" s="18">
        <f>IF(OR(G88="",H88=""),"",IFERROR(G88*H88/100,0))</f>
        <v/>
      </c>
      <c r="K88" s="22" t="n"/>
      <c r="L88" s="18">
        <f>IF(I88="","",IF(I88="Non",I88,IFERROR(I88*0.85,0)))</f>
        <v/>
      </c>
      <c r="M88" s="22" t="n"/>
    </row>
    <row r="89" ht="22" customHeight="1">
      <c r="B89" s="21">
        <f>IF(C89="","PRI"&amp;TEXT(COUNTA($C$5:C89),"000"))</f>
        <v/>
      </c>
      <c r="C89" s="21" t="n"/>
      <c r="D89" s="21">
        <f>IF(C89="","",VLOOKUP(C89,'_Données Employés'!$B$5:$S$114,3,FALSE))</f>
        <v/>
      </c>
      <c r="E89" s="21">
        <f>IF(C89="","",VLOOKUP(C89,'_Données Employés'!$B$5:$S$114,10,FALSE))</f>
        <v/>
      </c>
      <c r="F89" s="21" t="n"/>
      <c r="G89" s="21" t="n"/>
      <c r="H89" s="21" t="n"/>
      <c r="I89" s="21" t="n"/>
      <c r="J89" s="16">
        <f>IF(OR(G89="",H89=""),"",IFERROR(G89*H89/100,0))</f>
        <v/>
      </c>
      <c r="K89" s="21" t="n"/>
      <c r="L89" s="16">
        <f>IF(I89="","",IF(I89="Non",I89,IFERROR(I89*0.85,0)))</f>
        <v/>
      </c>
      <c r="M89" s="21" t="n"/>
    </row>
    <row r="90" ht="22" customHeight="1">
      <c r="B90" s="22">
        <f>IF(C90="","PRI"&amp;TEXT(COUNTA($C$5:C90),"000"))</f>
        <v/>
      </c>
      <c r="C90" s="22" t="n"/>
      <c r="D90" s="22">
        <f>IF(C90="","",VLOOKUP(C90,'_Données Employés'!$B$5:$S$114,3,FALSE))</f>
        <v/>
      </c>
      <c r="E90" s="22">
        <f>IF(C90="","",VLOOKUP(C90,'_Données Employés'!$B$5:$S$114,10,FALSE))</f>
        <v/>
      </c>
      <c r="F90" s="22" t="n"/>
      <c r="G90" s="22" t="n"/>
      <c r="H90" s="22" t="n"/>
      <c r="I90" s="22" t="n"/>
      <c r="J90" s="18">
        <f>IF(OR(G90="",H90=""),"",IFERROR(G90*H90/100,0))</f>
        <v/>
      </c>
      <c r="K90" s="22" t="n"/>
      <c r="L90" s="18">
        <f>IF(I90="","",IF(I90="Non",I90,IFERROR(I90*0.85,0)))</f>
        <v/>
      </c>
      <c r="M90" s="22" t="n"/>
    </row>
    <row r="91" ht="22" customHeight="1">
      <c r="B91" s="21">
        <f>IF(C91="","PRI"&amp;TEXT(COUNTA($C$5:C91),"000"))</f>
        <v/>
      </c>
      <c r="C91" s="21" t="n"/>
      <c r="D91" s="21">
        <f>IF(C91="","",VLOOKUP(C91,'_Données Employés'!$B$5:$S$114,3,FALSE))</f>
        <v/>
      </c>
      <c r="E91" s="21">
        <f>IF(C91="","",VLOOKUP(C91,'_Données Employés'!$B$5:$S$114,10,FALSE))</f>
        <v/>
      </c>
      <c r="F91" s="21" t="n"/>
      <c r="G91" s="21" t="n"/>
      <c r="H91" s="21" t="n"/>
      <c r="I91" s="21" t="n"/>
      <c r="J91" s="16">
        <f>IF(OR(G91="",H91=""),"",IFERROR(G91*H91/100,0))</f>
        <v/>
      </c>
      <c r="K91" s="21" t="n"/>
      <c r="L91" s="16">
        <f>IF(I91="","",IF(I91="Non",I91,IFERROR(I91*0.85,0)))</f>
        <v/>
      </c>
      <c r="M91" s="21" t="n"/>
    </row>
    <row r="92" ht="22" customHeight="1">
      <c r="B92" s="22">
        <f>IF(C92="","PRI"&amp;TEXT(COUNTA($C$5:C92),"000"))</f>
        <v/>
      </c>
      <c r="C92" s="22" t="n"/>
      <c r="D92" s="22">
        <f>IF(C92="","",VLOOKUP(C92,'_Données Employés'!$B$5:$S$114,3,FALSE))</f>
        <v/>
      </c>
      <c r="E92" s="22">
        <f>IF(C92="","",VLOOKUP(C92,'_Données Employés'!$B$5:$S$114,10,FALSE))</f>
        <v/>
      </c>
      <c r="F92" s="22" t="n"/>
      <c r="G92" s="22" t="n"/>
      <c r="H92" s="22" t="n"/>
      <c r="I92" s="22" t="n"/>
      <c r="J92" s="18">
        <f>IF(OR(G92="",H92=""),"",IFERROR(G92*H92/100,0))</f>
        <v/>
      </c>
      <c r="K92" s="22" t="n"/>
      <c r="L92" s="18">
        <f>IF(I92="","",IF(I92="Non",I92,IFERROR(I92*0.85,0)))</f>
        <v/>
      </c>
      <c r="M92" s="22" t="n"/>
    </row>
    <row r="93" ht="22" customHeight="1">
      <c r="B93" s="21">
        <f>IF(C93="","PRI"&amp;TEXT(COUNTA($C$5:C93),"000"))</f>
        <v/>
      </c>
      <c r="C93" s="21" t="n"/>
      <c r="D93" s="21">
        <f>IF(C93="","",VLOOKUP(C93,'_Données Employés'!$B$5:$S$114,3,FALSE))</f>
        <v/>
      </c>
      <c r="E93" s="21">
        <f>IF(C93="","",VLOOKUP(C93,'_Données Employés'!$B$5:$S$114,10,FALSE))</f>
        <v/>
      </c>
      <c r="F93" s="21" t="n"/>
      <c r="G93" s="21" t="n"/>
      <c r="H93" s="21" t="n"/>
      <c r="I93" s="21" t="n"/>
      <c r="J93" s="16">
        <f>IF(OR(G93="",H93=""),"",IFERROR(G93*H93/100,0))</f>
        <v/>
      </c>
      <c r="K93" s="21" t="n"/>
      <c r="L93" s="16">
        <f>IF(I93="","",IF(I93="Non",I93,IFERROR(I93*0.85,0)))</f>
        <v/>
      </c>
      <c r="M93" s="21" t="n"/>
    </row>
    <row r="94" ht="22" customHeight="1">
      <c r="B94" s="22">
        <f>IF(C94="","PRI"&amp;TEXT(COUNTA($C$5:C94),"000"))</f>
        <v/>
      </c>
      <c r="C94" s="22" t="n"/>
      <c r="D94" s="22">
        <f>IF(C94="","",VLOOKUP(C94,'_Données Employés'!$B$5:$S$114,3,FALSE))</f>
        <v/>
      </c>
      <c r="E94" s="22">
        <f>IF(C94="","",VLOOKUP(C94,'_Données Employés'!$B$5:$S$114,10,FALSE))</f>
        <v/>
      </c>
      <c r="F94" s="22" t="n"/>
      <c r="G94" s="22" t="n"/>
      <c r="H94" s="22" t="n"/>
      <c r="I94" s="22" t="n"/>
      <c r="J94" s="18">
        <f>IF(OR(G94="",H94=""),"",IFERROR(G94*H94/100,0))</f>
        <v/>
      </c>
      <c r="K94" s="22" t="n"/>
      <c r="L94" s="18">
        <f>IF(I94="","",IF(I94="Non",I94,IFERROR(I94*0.85,0)))</f>
        <v/>
      </c>
      <c r="M94" s="22" t="n"/>
    </row>
    <row r="95" ht="22" customHeight="1">
      <c r="B95" s="21">
        <f>IF(C95="","PRI"&amp;TEXT(COUNTA($C$5:C95),"000"))</f>
        <v/>
      </c>
      <c r="C95" s="21" t="n"/>
      <c r="D95" s="21">
        <f>IF(C95="","",VLOOKUP(C95,'_Données Employés'!$B$5:$S$114,3,FALSE))</f>
        <v/>
      </c>
      <c r="E95" s="21">
        <f>IF(C95="","",VLOOKUP(C95,'_Données Employés'!$B$5:$S$114,10,FALSE))</f>
        <v/>
      </c>
      <c r="F95" s="21" t="n"/>
      <c r="G95" s="21" t="n"/>
      <c r="H95" s="21" t="n"/>
      <c r="I95" s="21" t="n"/>
      <c r="J95" s="16">
        <f>IF(OR(G95="",H95=""),"",IFERROR(G95*H95/100,0))</f>
        <v/>
      </c>
      <c r="K95" s="21" t="n"/>
      <c r="L95" s="16">
        <f>IF(I95="","",IF(I95="Non",I95,IFERROR(I95*0.85,0)))</f>
        <v/>
      </c>
      <c r="M95" s="21" t="n"/>
    </row>
    <row r="96" ht="22" customHeight="1">
      <c r="B96" s="22">
        <f>IF(C96="","PRI"&amp;TEXT(COUNTA($C$5:C96),"000"))</f>
        <v/>
      </c>
      <c r="C96" s="22" t="n"/>
      <c r="D96" s="22">
        <f>IF(C96="","",VLOOKUP(C96,'_Données Employés'!$B$5:$S$114,3,FALSE))</f>
        <v/>
      </c>
      <c r="E96" s="22">
        <f>IF(C96="","",VLOOKUP(C96,'_Données Employés'!$B$5:$S$114,10,FALSE))</f>
        <v/>
      </c>
      <c r="F96" s="22" t="n"/>
      <c r="G96" s="22" t="n"/>
      <c r="H96" s="22" t="n"/>
      <c r="I96" s="22" t="n"/>
      <c r="J96" s="18">
        <f>IF(OR(G96="",H96=""),"",IFERROR(G96*H96/100,0))</f>
        <v/>
      </c>
      <c r="K96" s="22" t="n"/>
      <c r="L96" s="18">
        <f>IF(I96="","",IF(I96="Non",I96,IFERROR(I96*0.85,0)))</f>
        <v/>
      </c>
      <c r="M96" s="22" t="n"/>
    </row>
    <row r="97" ht="22" customHeight="1">
      <c r="B97" s="21">
        <f>IF(C97="","PRI"&amp;TEXT(COUNTA($C$5:C97),"000"))</f>
        <v/>
      </c>
      <c r="C97" s="21" t="n"/>
      <c r="D97" s="21">
        <f>IF(C97="","",VLOOKUP(C97,'_Données Employés'!$B$5:$S$114,3,FALSE))</f>
        <v/>
      </c>
      <c r="E97" s="21">
        <f>IF(C97="","",VLOOKUP(C97,'_Données Employés'!$B$5:$S$114,10,FALSE))</f>
        <v/>
      </c>
      <c r="F97" s="21" t="n"/>
      <c r="G97" s="21" t="n"/>
      <c r="H97" s="21" t="n"/>
      <c r="I97" s="21" t="n"/>
      <c r="J97" s="16">
        <f>IF(OR(G97="",H97=""),"",IFERROR(G97*H97/100,0))</f>
        <v/>
      </c>
      <c r="K97" s="21" t="n"/>
      <c r="L97" s="16">
        <f>IF(I97="","",IF(I97="Non",I97,IFERROR(I97*0.85,0)))</f>
        <v/>
      </c>
      <c r="M97" s="21" t="n"/>
    </row>
    <row r="98" ht="22" customHeight="1">
      <c r="B98" s="22">
        <f>IF(C98="","PRI"&amp;TEXT(COUNTA($C$5:C98),"000"))</f>
        <v/>
      </c>
      <c r="C98" s="22" t="n"/>
      <c r="D98" s="22">
        <f>IF(C98="","",VLOOKUP(C98,'_Données Employés'!$B$5:$S$114,3,FALSE))</f>
        <v/>
      </c>
      <c r="E98" s="22">
        <f>IF(C98="","",VLOOKUP(C98,'_Données Employés'!$B$5:$S$114,10,FALSE))</f>
        <v/>
      </c>
      <c r="F98" s="22" t="n"/>
      <c r="G98" s="22" t="n"/>
      <c r="H98" s="22" t="n"/>
      <c r="I98" s="22" t="n"/>
      <c r="J98" s="18">
        <f>IF(OR(G98="",H98=""),"",IFERROR(G98*H98/100,0))</f>
        <v/>
      </c>
      <c r="K98" s="22" t="n"/>
      <c r="L98" s="18">
        <f>IF(I98="","",IF(I98="Non",I98,IFERROR(I98*0.85,0)))</f>
        <v/>
      </c>
      <c r="M98" s="22" t="n"/>
    </row>
    <row r="99" ht="22" customHeight="1">
      <c r="B99" s="21">
        <f>IF(C99="","PRI"&amp;TEXT(COUNTA($C$5:C99),"000"))</f>
        <v/>
      </c>
      <c r="C99" s="21" t="n"/>
      <c r="D99" s="21">
        <f>IF(C99="","",VLOOKUP(C99,'_Données Employés'!$B$5:$S$114,3,FALSE))</f>
        <v/>
      </c>
      <c r="E99" s="21">
        <f>IF(C99="","",VLOOKUP(C99,'_Données Employés'!$B$5:$S$114,10,FALSE))</f>
        <v/>
      </c>
      <c r="F99" s="21" t="n"/>
      <c r="G99" s="21" t="n"/>
      <c r="H99" s="21" t="n"/>
      <c r="I99" s="21" t="n"/>
      <c r="J99" s="16">
        <f>IF(OR(G99="",H99=""),"",IFERROR(G99*H99/100,0))</f>
        <v/>
      </c>
      <c r="K99" s="21" t="n"/>
      <c r="L99" s="16">
        <f>IF(I99="","",IF(I99="Non",I99,IFERROR(I99*0.85,0)))</f>
        <v/>
      </c>
      <c r="M99" s="21" t="n"/>
    </row>
    <row r="100" ht="22" customHeight="1">
      <c r="B100" s="22">
        <f>IF(C100="","PRI"&amp;TEXT(COUNTA($C$5:C100),"000"))</f>
        <v/>
      </c>
      <c r="C100" s="22" t="n"/>
      <c r="D100" s="22">
        <f>IF(C100="","",VLOOKUP(C100,'_Données Employés'!$B$5:$S$114,3,FALSE))</f>
        <v/>
      </c>
      <c r="E100" s="22">
        <f>IF(C100="","",VLOOKUP(C100,'_Données Employés'!$B$5:$S$114,10,FALSE))</f>
        <v/>
      </c>
      <c r="F100" s="22" t="n"/>
      <c r="G100" s="22" t="n"/>
      <c r="H100" s="22" t="n"/>
      <c r="I100" s="22" t="n"/>
      <c r="J100" s="18">
        <f>IF(OR(G100="",H100=""),"",IFERROR(G100*H100/100,0))</f>
        <v/>
      </c>
      <c r="K100" s="22" t="n"/>
      <c r="L100" s="18">
        <f>IF(I100="","",IF(I100="Non",I100,IFERROR(I100*0.85,0)))</f>
        <v/>
      </c>
      <c r="M100" s="22" t="n"/>
    </row>
    <row r="101" ht="22" customHeight="1">
      <c r="B101" s="21">
        <f>IF(C101="","PRI"&amp;TEXT(COUNTA($C$5:C101),"000"))</f>
        <v/>
      </c>
      <c r="C101" s="21" t="n"/>
      <c r="D101" s="21">
        <f>IF(C101="","",VLOOKUP(C101,'_Données Employés'!$B$5:$S$114,3,FALSE))</f>
        <v/>
      </c>
      <c r="E101" s="21">
        <f>IF(C101="","",VLOOKUP(C101,'_Données Employés'!$B$5:$S$114,10,FALSE))</f>
        <v/>
      </c>
      <c r="F101" s="21" t="n"/>
      <c r="G101" s="21" t="n"/>
      <c r="H101" s="21" t="n"/>
      <c r="I101" s="21" t="n"/>
      <c r="J101" s="16">
        <f>IF(OR(G101="",H101=""),"",IFERROR(G101*H101/100,0))</f>
        <v/>
      </c>
      <c r="K101" s="21" t="n"/>
      <c r="L101" s="16">
        <f>IF(I101="","",IF(I101="Non",I101,IFERROR(I101*0.85,0)))</f>
        <v/>
      </c>
      <c r="M101" s="21" t="n"/>
    </row>
    <row r="102" ht="22" customHeight="1">
      <c r="B102" s="22">
        <f>IF(C102="","PRI"&amp;TEXT(COUNTA($C$5:C102),"000"))</f>
        <v/>
      </c>
      <c r="C102" s="22" t="n"/>
      <c r="D102" s="22">
        <f>IF(C102="","",VLOOKUP(C102,'_Données Employés'!$B$5:$S$114,3,FALSE))</f>
        <v/>
      </c>
      <c r="E102" s="22">
        <f>IF(C102="","",VLOOKUP(C102,'_Données Employés'!$B$5:$S$114,10,FALSE))</f>
        <v/>
      </c>
      <c r="F102" s="22" t="n"/>
      <c r="G102" s="22" t="n"/>
      <c r="H102" s="22" t="n"/>
      <c r="I102" s="22" t="n"/>
      <c r="J102" s="18">
        <f>IF(OR(G102="",H102=""),"",IFERROR(G102*H102/100,0))</f>
        <v/>
      </c>
      <c r="K102" s="22" t="n"/>
      <c r="L102" s="18">
        <f>IF(I102="","",IF(I102="Non",I102,IFERROR(I102*0.85,0)))</f>
        <v/>
      </c>
      <c r="M102" s="22" t="n"/>
    </row>
    <row r="103" ht="22" customHeight="1">
      <c r="B103" s="21">
        <f>IF(C103="","PRI"&amp;TEXT(COUNTA($C$5:C103),"000"))</f>
        <v/>
      </c>
      <c r="C103" s="21" t="n"/>
      <c r="D103" s="21">
        <f>IF(C103="","",VLOOKUP(C103,'_Données Employés'!$B$5:$S$114,3,FALSE))</f>
        <v/>
      </c>
      <c r="E103" s="21">
        <f>IF(C103="","",VLOOKUP(C103,'_Données Employés'!$B$5:$S$114,10,FALSE))</f>
        <v/>
      </c>
      <c r="F103" s="21" t="n"/>
      <c r="G103" s="21" t="n"/>
      <c r="H103" s="21" t="n"/>
      <c r="I103" s="21" t="n"/>
      <c r="J103" s="16">
        <f>IF(OR(G103="",H103=""),"",IFERROR(G103*H103/100,0))</f>
        <v/>
      </c>
      <c r="K103" s="21" t="n"/>
      <c r="L103" s="16">
        <f>IF(I103="","",IF(I103="Non",I103,IFERROR(I103*0.85,0)))</f>
        <v/>
      </c>
      <c r="M103" s="21" t="n"/>
    </row>
    <row r="104" ht="22" customHeight="1">
      <c r="B104" s="22">
        <f>IF(C104="","PRI"&amp;TEXT(COUNTA($C$5:C104),"000"))</f>
        <v/>
      </c>
      <c r="C104" s="22" t="n"/>
      <c r="D104" s="22">
        <f>IF(C104="","",VLOOKUP(C104,'_Données Employés'!$B$5:$S$114,3,FALSE))</f>
        <v/>
      </c>
      <c r="E104" s="22">
        <f>IF(C104="","",VLOOKUP(C104,'_Données Employés'!$B$5:$S$114,10,FALSE))</f>
        <v/>
      </c>
      <c r="F104" s="22" t="n"/>
      <c r="G104" s="22" t="n"/>
      <c r="H104" s="22" t="n"/>
      <c r="I104" s="22" t="n"/>
      <c r="J104" s="18">
        <f>IF(OR(G104="",H104=""),"",IFERROR(G104*H104/100,0))</f>
        <v/>
      </c>
      <c r="K104" s="22" t="n"/>
      <c r="L104" s="18">
        <f>IF(I104="","",IF(I104="Non",I104,IFERROR(I104*0.85,0)))</f>
        <v/>
      </c>
      <c r="M104" s="22" t="n"/>
    </row>
    <row r="107">
      <c r="B107" s="23" t="inlineStr">
        <is>
          <t>KPI Total brut (FCFA)</t>
        </is>
      </c>
      <c r="C107" s="23" t="inlineStr">
        <is>
          <t>KPI Total net (FCFA)</t>
        </is>
      </c>
      <c r="D107" s="23" t="inlineStr">
        <is>
          <t>KPI Primes approuvées</t>
        </is>
      </c>
    </row>
    <row r="108">
      <c r="B108" s="25">
        <f>SUM(J5:J104)</f>
        <v/>
      </c>
      <c r="C108" s="25">
        <f>SUM(L5:L104)</f>
        <v/>
      </c>
      <c r="D108" s="24">
        <f>COUNTIF(M5:M104,"Approuve")</f>
        <v/>
      </c>
    </row>
  </sheetData>
  <mergeCells count="1">
    <mergeCell ref="B2:M2"/>
  </mergeCells>
  <conditionalFormatting sqref="M5:M104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"Solde"</formula>
    </cfRule>
    <cfRule type="cellIs" priority="4" operator="equal" dxfId="1">
      <formula>"Actif"</formula>
    </cfRule>
    <cfRule type="cellIs" priority="5" operator="equal" dxfId="1">
      <formula>"Oui"</formula>
    </cfRule>
    <cfRule type="cellIs" priority="6" operator="equal" dxfId="2">
      <formula>"Rejete"</formula>
    </cfRule>
    <cfRule type="cellIs" priority="7" operator="equal" dxfId="2">
      <formula>"En retard"</formula>
    </cfRule>
    <cfRule type="cellIs" priority="8" operator="equal" dxfId="2">
      <formula>"Refuse"</formula>
    </cfRule>
    <cfRule type="cellIs" priority="9" operator="equal" dxfId="2">
      <formula>"Annule"</formula>
    </cfRule>
    <cfRule type="cellIs" priority="10" operator="equal" dxfId="2">
      <formula>"Non"</formula>
    </cfRule>
    <cfRule type="cellIs" priority="11" operator="equal" dxfId="3">
      <formula>"En attente"</formula>
    </cfRule>
    <cfRule type="cellIs" priority="12" operator="equal" dxfId="3">
      <formula>"En cours"</formula>
    </cfRule>
    <cfRule type="cellIs" priority="13" operator="equal" dxfId="3">
      <formula>"Brouillon"</formula>
    </cfRule>
    <cfRule type="cellIs" priority="14" operator="equal" dxfId="3">
      <formula>"Demande"</formula>
    </cfRule>
    <cfRule type="cellIs" priority="15" operator="equal" dxfId="3">
      <formula>"Partiellement monetise"</formula>
    </cfRule>
  </conditionalFormatting>
  <conditionalFormatting sqref="J5:J104">
    <cfRule type="dataBar" priority="16">
      <dataBar>
        <cfvo type="num" val="0"/>
        <cfvo type="num" val="1"/>
        <color rgb="001B2A4A"/>
      </dataBar>
    </cfRule>
  </conditionalFormatting>
  <conditionalFormatting sqref="L5:L104">
    <cfRule type="dataBar" priority="17">
      <dataBar>
        <cfvo type="num" val="0"/>
        <cfvo type="num" val="1"/>
        <color rgb="001B2A4A"/>
      </dataBar>
    </cfRule>
  </conditionalFormatting>
  <conditionalFormatting sqref="H5:H104">
    <cfRule type="dataBar" priority="18">
      <dataBar>
        <cfvo type="num" val="0"/>
        <cfvo type="num" val="1"/>
        <color rgb="001B2A4A"/>
      </dataBar>
    </cfRule>
  </conditionalFormatting>
  <conditionalFormatting sqref="I5:I104">
    <cfRule type="dataBar" priority="19">
      <dataBar>
        <cfvo type="num" val="0"/>
        <cfvo type="num" val="1"/>
        <color rgb="001B2A4A"/>
      </dataBar>
    </cfRule>
  </conditionalFormatting>
  <conditionalFormatting sqref="B108">
    <cfRule type="cellIs" priority="20" operator="greaterThan" dxfId="0">
      <formula>0</formula>
    </cfRule>
  </conditionalFormatting>
  <conditionalFormatting sqref="C108">
    <cfRule type="cellIs" priority="21" operator="greaterThan" dxfId="0">
      <formula>0</formula>
    </cfRule>
  </conditionalFormatting>
  <conditionalFormatting sqref="D108">
    <cfRule type="cellIs" priority="22" operator="greaterThan" dxfId="0">
      <formula>0</formula>
    </cfRule>
  </conditionalFormatting>
  <dataValidations count="4">
    <dataValidation sqref="F5:F104" showDropDown="0" showInputMessage="0" showErrorMessage="0" allowBlank="1" type="list">
      <formula1>'_Lists'!$P$2:$P$10</formula1>
    </dataValidation>
    <dataValidation sqref="G5:G104" showDropDown="0" showInputMessage="0" showErrorMessage="0" allowBlank="1" type="list">
      <formula1>'_Lists'!$K$2:$K$13</formula1>
    </dataValidation>
    <dataValidation sqref="M5:M104" showDropDown="0" showInputMessage="0" showErrorMessage="0" allowBlank="1" type="list">
      <formula1>'_Lists'!$N$2:$N$5</formula1>
    </dataValidation>
    <dataValidation sqref="C5:C104" showDropDown="0" showInputMessage="0" showErrorMessage="0" allowBlank="1" promptTitle="Matricule Employé" prompt="Choisir un matricule" type="list">
      <formula1>'_Données Employés'!$B$5:$B$114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M10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18" customWidth="1" min="4" max="4"/>
    <col width="12" customWidth="1" min="5" max="5"/>
    <col width="14" customWidth="1" min="6" max="6"/>
    <col width="14" customWidth="1" min="7" max="7"/>
    <col width="16" customWidth="1" min="8" max="8"/>
    <col width="16" customWidth="1" min="9" max="9"/>
    <col width="18" customWidth="1" min="10" max="10"/>
    <col width="16" customWidth="1" min="11" max="11"/>
    <col width="18" customWidth="1" min="12" max="12"/>
    <col width="10" customWidth="1" min="13" max="13"/>
  </cols>
  <sheetData>
    <row r="1" ht="15" customHeight="1"/>
    <row r="2" ht="32" customHeight="1">
      <c r="B2" s="13" t="inlineStr">
        <is>
          <t>PAIE — 4-Heures Supplementaires</t>
        </is>
      </c>
    </row>
    <row r="3" ht="8" customHeight="1"/>
    <row r="4" ht="28" customHeight="1">
      <c r="B4" s="14" t="inlineStr">
        <is>
          <t>N°</t>
        </is>
      </c>
      <c r="C4" s="14" t="inlineStr">
        <is>
          <t>Matricule</t>
        </is>
      </c>
      <c r="D4" s="14" t="inlineStr">
        <is>
          <t>Nom Employé</t>
        </is>
      </c>
      <c r="E4" s="14" t="inlineStr">
        <is>
          <t>Mois</t>
        </is>
      </c>
      <c r="F4" s="14" t="inlineStr">
        <is>
          <t>Heures Normales</t>
        </is>
      </c>
      <c r="G4" s="14" t="inlineStr">
        <is>
          <t>Heures Supp</t>
        </is>
      </c>
      <c r="H4" s="14" t="inlineStr">
        <is>
          <t>Taux Majoration (%)</t>
        </is>
      </c>
      <c r="I4" s="14" t="inlineStr">
        <is>
          <t>Taux Horaire (FCFA)</t>
        </is>
      </c>
      <c r="J4" s="14" t="inlineStr">
        <is>
          <t>Montant Brut (FCFA)</t>
        </is>
      </c>
      <c r="K4" s="14" t="inlineStr">
        <is>
          <t>Cotisations (FCFA)</t>
        </is>
      </c>
      <c r="L4" s="14" t="inlineStr">
        <is>
          <t>Montant Net (FCFA)</t>
        </is>
      </c>
      <c r="M4" s="14" t="inlineStr">
        <is>
          <t>Statut</t>
        </is>
      </c>
    </row>
    <row r="5" ht="22" customHeight="1">
      <c r="B5" s="15" t="inlineStr">
        <is>
          <t>HS-001</t>
        </is>
      </c>
      <c r="C5" s="15" t="inlineStr">
        <is>
          <t>EMP-004</t>
        </is>
      </c>
      <c r="D5" s="15" t="inlineStr">
        <is>
          <t>Ouedraogo Ibrahim</t>
        </is>
      </c>
      <c r="E5" s="15" t="inlineStr">
        <is>
          <t>Juin</t>
        </is>
      </c>
      <c r="F5" s="16" t="n">
        <v>173</v>
      </c>
      <c r="G5" s="16" t="n">
        <v>12</v>
      </c>
      <c r="H5" s="16" t="n">
        <v>25</v>
      </c>
      <c r="I5" s="16" t="n">
        <v>1197</v>
      </c>
      <c r="J5" s="16" t="n">
        <v>17955</v>
      </c>
      <c r="K5" s="16" t="n">
        <v>1796</v>
      </c>
      <c r="L5" s="16" t="n">
        <v>16160</v>
      </c>
      <c r="M5" s="15" t="inlineStr">
        <is>
          <t>Valide</t>
        </is>
      </c>
    </row>
    <row r="6" ht="22" customHeight="1">
      <c r="B6" s="17" t="inlineStr">
        <is>
          <t>HS-002</t>
        </is>
      </c>
      <c r="C6" s="17" t="inlineStr">
        <is>
          <t>EMP-005</t>
        </is>
      </c>
      <c r="D6" s="17" t="inlineStr">
        <is>
          <t>Diallo Moussa</t>
        </is>
      </c>
      <c r="E6" s="17" t="inlineStr">
        <is>
          <t>Juin</t>
        </is>
      </c>
      <c r="F6" s="18" t="n">
        <v>173</v>
      </c>
      <c r="G6" s="18" t="n">
        <v>8</v>
      </c>
      <c r="H6" s="18" t="n">
        <v>25</v>
      </c>
      <c r="I6" s="18" t="n">
        <v>1462</v>
      </c>
      <c r="J6" s="18" t="n">
        <v>23392</v>
      </c>
      <c r="K6" s="18" t="n">
        <v>2339</v>
      </c>
      <c r="L6" s="18" t="n">
        <v>21053</v>
      </c>
      <c r="M6" s="17" t="inlineStr">
        <is>
          <t>Valide</t>
        </is>
      </c>
    </row>
    <row r="7" ht="22" customHeight="1">
      <c r="B7" s="15" t="inlineStr">
        <is>
          <t>HS-003</t>
        </is>
      </c>
      <c r="C7" s="15" t="inlineStr">
        <is>
          <t>EMP-010</t>
        </is>
      </c>
      <c r="D7" s="15" t="inlineStr">
        <is>
          <t>Atangana Simon</t>
        </is>
      </c>
      <c r="E7" s="15" t="inlineStr">
        <is>
          <t>Juin</t>
        </is>
      </c>
      <c r="F7" s="16" t="n">
        <v>173</v>
      </c>
      <c r="G7" s="16" t="n">
        <v>10</v>
      </c>
      <c r="H7" s="16" t="n">
        <v>25</v>
      </c>
      <c r="I7" s="16" t="n">
        <v>931</v>
      </c>
      <c r="J7" s="16" t="n">
        <v>23275</v>
      </c>
      <c r="K7" s="16" t="n">
        <v>2328</v>
      </c>
      <c r="L7" s="16" t="n">
        <v>20948</v>
      </c>
      <c r="M7" s="15" t="inlineStr">
        <is>
          <t>Valide</t>
        </is>
      </c>
    </row>
    <row r="8" ht="22" customHeight="1">
      <c r="B8" s="19">
        <f>IF(C8="","HS"&amp;TEXT(COUNTA($C$5:C8),"000"))</f>
        <v/>
      </c>
      <c r="C8" s="19" t="n"/>
      <c r="D8" s="19">
        <f>IF(C8="","",VLOOKUP(C8,'_Données Employés'!$B$5:$S$114,3,FALSE))</f>
        <v/>
      </c>
      <c r="E8" s="19" t="n"/>
      <c r="F8" s="19" t="n"/>
      <c r="G8" s="19" t="n"/>
      <c r="H8" s="19" t="n"/>
      <c r="I8" s="20">
        <f>IF(OR(F8="",G8=""),"",IFERROR(E8/173,0))</f>
        <v/>
      </c>
      <c r="J8" s="20">
        <f>IF(H8="","",IFERROR(F8*H8*(1+G8/100)/100,0))</f>
        <v/>
      </c>
      <c r="K8" s="20">
        <f>IF(I8="","",IFERROR(I8*0.1,0))</f>
        <v/>
      </c>
      <c r="L8" s="20">
        <f>IF(I8="","",IFERROR(I8-J8,0))</f>
        <v/>
      </c>
      <c r="M8" s="19" t="n"/>
    </row>
    <row r="9" ht="22" customHeight="1">
      <c r="B9" s="21">
        <f>IF(C9="","HS"&amp;TEXT(COUNTA($C$5:C9),"000"))</f>
        <v/>
      </c>
      <c r="C9" s="21" t="n"/>
      <c r="D9" s="21">
        <f>IF(C9="","",VLOOKUP(C9,'_Données Employés'!$B$5:$S$114,3,FALSE))</f>
        <v/>
      </c>
      <c r="E9" s="21" t="n"/>
      <c r="F9" s="21" t="n"/>
      <c r="G9" s="21" t="n"/>
      <c r="H9" s="21" t="n"/>
      <c r="I9" s="16">
        <f>IF(OR(F9="",G9=""),"",IFERROR(E9/173,0))</f>
        <v/>
      </c>
      <c r="J9" s="16">
        <f>IF(H9="","",IFERROR(F9*H9*(1+G9/100)/100,0))</f>
        <v/>
      </c>
      <c r="K9" s="16">
        <f>IF(I9="","",IFERROR(I9*0.1,0))</f>
        <v/>
      </c>
      <c r="L9" s="16">
        <f>IF(I9="","",IFERROR(I9-J9,0))</f>
        <v/>
      </c>
      <c r="M9" s="21" t="n"/>
    </row>
    <row r="10" ht="22" customHeight="1">
      <c r="B10" s="22">
        <f>IF(C10="","HS"&amp;TEXT(COUNTA($C$5:C10),"000"))</f>
        <v/>
      </c>
      <c r="C10" s="22" t="n"/>
      <c r="D10" s="22">
        <f>IF(C10="","",VLOOKUP(C10,'_Données Employés'!$B$5:$S$114,3,FALSE))</f>
        <v/>
      </c>
      <c r="E10" s="22" t="n"/>
      <c r="F10" s="22" t="n"/>
      <c r="G10" s="22" t="n"/>
      <c r="H10" s="22" t="n"/>
      <c r="I10" s="18">
        <f>IF(OR(F10="",G10=""),"",IFERROR(E10/173,0))</f>
        <v/>
      </c>
      <c r="J10" s="18">
        <f>IF(H10="","",IFERROR(F10*H10*(1+G10/100)/100,0))</f>
        <v/>
      </c>
      <c r="K10" s="18">
        <f>IF(I10="","",IFERROR(I10*0.1,0))</f>
        <v/>
      </c>
      <c r="L10" s="18">
        <f>IF(I10="","",IFERROR(I10-J10,0))</f>
        <v/>
      </c>
      <c r="M10" s="22" t="n"/>
    </row>
    <row r="11" ht="22" customHeight="1">
      <c r="B11" s="21">
        <f>IF(C11="","HS"&amp;TEXT(COUNTA($C$5:C11),"000"))</f>
        <v/>
      </c>
      <c r="C11" s="21" t="n"/>
      <c r="D11" s="21">
        <f>IF(C11="","",VLOOKUP(C11,'_Données Employés'!$B$5:$S$114,3,FALSE))</f>
        <v/>
      </c>
      <c r="E11" s="21" t="n"/>
      <c r="F11" s="21" t="n"/>
      <c r="G11" s="21" t="n"/>
      <c r="H11" s="21" t="n"/>
      <c r="I11" s="16">
        <f>IF(OR(F11="",G11=""),"",IFERROR(E11/173,0))</f>
        <v/>
      </c>
      <c r="J11" s="16">
        <f>IF(H11="","",IFERROR(F11*H11*(1+G11/100)/100,0))</f>
        <v/>
      </c>
      <c r="K11" s="16">
        <f>IF(I11="","",IFERROR(I11*0.1,0))</f>
        <v/>
      </c>
      <c r="L11" s="16">
        <f>IF(I11="","",IFERROR(I11-J11,0))</f>
        <v/>
      </c>
      <c r="M11" s="21" t="n"/>
    </row>
    <row r="12" ht="22" customHeight="1">
      <c r="B12" s="22">
        <f>IF(C12="","HS"&amp;TEXT(COUNTA($C$5:C12),"000"))</f>
        <v/>
      </c>
      <c r="C12" s="22" t="n"/>
      <c r="D12" s="22">
        <f>IF(C12="","",VLOOKUP(C12,'_Données Employés'!$B$5:$S$114,3,FALSE))</f>
        <v/>
      </c>
      <c r="E12" s="22" t="n"/>
      <c r="F12" s="22" t="n"/>
      <c r="G12" s="22" t="n"/>
      <c r="H12" s="22" t="n"/>
      <c r="I12" s="18">
        <f>IF(OR(F12="",G12=""),"",IFERROR(E12/173,0))</f>
        <v/>
      </c>
      <c r="J12" s="18">
        <f>IF(H12="","",IFERROR(F12*H12*(1+G12/100)/100,0))</f>
        <v/>
      </c>
      <c r="K12" s="18">
        <f>IF(I12="","",IFERROR(I12*0.1,0))</f>
        <v/>
      </c>
      <c r="L12" s="18">
        <f>IF(I12="","",IFERROR(I12-J12,0))</f>
        <v/>
      </c>
      <c r="M12" s="22" t="n"/>
    </row>
    <row r="13" ht="22" customHeight="1">
      <c r="B13" s="21">
        <f>IF(C13="","HS"&amp;TEXT(COUNTA($C$5:C13),"000"))</f>
        <v/>
      </c>
      <c r="C13" s="21" t="n"/>
      <c r="D13" s="21">
        <f>IF(C13="","",VLOOKUP(C13,'_Données Employés'!$B$5:$S$114,3,FALSE))</f>
        <v/>
      </c>
      <c r="E13" s="21" t="n"/>
      <c r="F13" s="21" t="n"/>
      <c r="G13" s="21" t="n"/>
      <c r="H13" s="21" t="n"/>
      <c r="I13" s="16">
        <f>IF(OR(F13="",G13=""),"",IFERROR(E13/173,0))</f>
        <v/>
      </c>
      <c r="J13" s="16">
        <f>IF(H13="","",IFERROR(F13*H13*(1+G13/100)/100,0))</f>
        <v/>
      </c>
      <c r="K13" s="16">
        <f>IF(I13="","",IFERROR(I13*0.1,0))</f>
        <v/>
      </c>
      <c r="L13" s="16">
        <f>IF(I13="","",IFERROR(I13-J13,0))</f>
        <v/>
      </c>
      <c r="M13" s="21" t="n"/>
    </row>
    <row r="14" ht="22" customHeight="1">
      <c r="B14" s="22">
        <f>IF(C14="","HS"&amp;TEXT(COUNTA($C$5:C14),"000"))</f>
        <v/>
      </c>
      <c r="C14" s="22" t="n"/>
      <c r="D14" s="22">
        <f>IF(C14="","",VLOOKUP(C14,'_Données Employés'!$B$5:$S$114,3,FALSE))</f>
        <v/>
      </c>
      <c r="E14" s="22" t="n"/>
      <c r="F14" s="22" t="n"/>
      <c r="G14" s="22" t="n"/>
      <c r="H14" s="22" t="n"/>
      <c r="I14" s="18">
        <f>IF(OR(F14="",G14=""),"",IFERROR(E14/173,0))</f>
        <v/>
      </c>
      <c r="J14" s="18">
        <f>IF(H14="","",IFERROR(F14*H14*(1+G14/100)/100,0))</f>
        <v/>
      </c>
      <c r="K14" s="18">
        <f>IF(I14="","",IFERROR(I14*0.1,0))</f>
        <v/>
      </c>
      <c r="L14" s="18">
        <f>IF(I14="","",IFERROR(I14-J14,0))</f>
        <v/>
      </c>
      <c r="M14" s="22" t="n"/>
    </row>
    <row r="15" ht="22" customHeight="1">
      <c r="B15" s="21">
        <f>IF(C15="","HS"&amp;TEXT(COUNTA($C$5:C15),"000"))</f>
        <v/>
      </c>
      <c r="C15" s="21" t="n"/>
      <c r="D15" s="21">
        <f>IF(C15="","",VLOOKUP(C15,'_Données Employés'!$B$5:$S$114,3,FALSE))</f>
        <v/>
      </c>
      <c r="E15" s="21" t="n"/>
      <c r="F15" s="21" t="n"/>
      <c r="G15" s="21" t="n"/>
      <c r="H15" s="21" t="n"/>
      <c r="I15" s="16">
        <f>IF(OR(F15="",G15=""),"",IFERROR(E15/173,0))</f>
        <v/>
      </c>
      <c r="J15" s="16">
        <f>IF(H15="","",IFERROR(F15*H15*(1+G15/100)/100,0))</f>
        <v/>
      </c>
      <c r="K15" s="16">
        <f>IF(I15="","",IFERROR(I15*0.1,0))</f>
        <v/>
      </c>
      <c r="L15" s="16">
        <f>IF(I15="","",IFERROR(I15-J15,0))</f>
        <v/>
      </c>
      <c r="M15" s="21" t="n"/>
    </row>
    <row r="16" ht="22" customHeight="1">
      <c r="B16" s="22">
        <f>IF(C16="","HS"&amp;TEXT(COUNTA($C$5:C16),"000"))</f>
        <v/>
      </c>
      <c r="C16" s="22" t="n"/>
      <c r="D16" s="22">
        <f>IF(C16="","",VLOOKUP(C16,'_Données Employés'!$B$5:$S$114,3,FALSE))</f>
        <v/>
      </c>
      <c r="E16" s="22" t="n"/>
      <c r="F16" s="22" t="n"/>
      <c r="G16" s="22" t="n"/>
      <c r="H16" s="22" t="n"/>
      <c r="I16" s="18">
        <f>IF(OR(F16="",G16=""),"",IFERROR(E16/173,0))</f>
        <v/>
      </c>
      <c r="J16" s="18">
        <f>IF(H16="","",IFERROR(F16*H16*(1+G16/100)/100,0))</f>
        <v/>
      </c>
      <c r="K16" s="18">
        <f>IF(I16="","",IFERROR(I16*0.1,0))</f>
        <v/>
      </c>
      <c r="L16" s="18">
        <f>IF(I16="","",IFERROR(I16-J16,0))</f>
        <v/>
      </c>
      <c r="M16" s="22" t="n"/>
    </row>
    <row r="17" ht="22" customHeight="1">
      <c r="B17" s="21">
        <f>IF(C17="","HS"&amp;TEXT(COUNTA($C$5:C17),"000"))</f>
        <v/>
      </c>
      <c r="C17" s="21" t="n"/>
      <c r="D17" s="21">
        <f>IF(C17="","",VLOOKUP(C17,'_Données Employés'!$B$5:$S$114,3,FALSE))</f>
        <v/>
      </c>
      <c r="E17" s="21" t="n"/>
      <c r="F17" s="21" t="n"/>
      <c r="G17" s="21" t="n"/>
      <c r="H17" s="21" t="n"/>
      <c r="I17" s="16">
        <f>IF(OR(F17="",G17=""),"",IFERROR(E17/173,0))</f>
        <v/>
      </c>
      <c r="J17" s="16">
        <f>IF(H17="","",IFERROR(F17*H17*(1+G17/100)/100,0))</f>
        <v/>
      </c>
      <c r="K17" s="16">
        <f>IF(I17="","",IFERROR(I17*0.1,0))</f>
        <v/>
      </c>
      <c r="L17" s="16">
        <f>IF(I17="","",IFERROR(I17-J17,0))</f>
        <v/>
      </c>
      <c r="M17" s="21" t="n"/>
    </row>
    <row r="18" ht="22" customHeight="1">
      <c r="B18" s="22">
        <f>IF(C18="","HS"&amp;TEXT(COUNTA($C$5:C18),"000"))</f>
        <v/>
      </c>
      <c r="C18" s="22" t="n"/>
      <c r="D18" s="22">
        <f>IF(C18="","",VLOOKUP(C18,'_Données Employés'!$B$5:$S$114,3,FALSE))</f>
        <v/>
      </c>
      <c r="E18" s="22" t="n"/>
      <c r="F18" s="22" t="n"/>
      <c r="G18" s="22" t="n"/>
      <c r="H18" s="22" t="n"/>
      <c r="I18" s="18">
        <f>IF(OR(F18="",G18=""),"",IFERROR(E18/173,0))</f>
        <v/>
      </c>
      <c r="J18" s="18">
        <f>IF(H18="","",IFERROR(F18*H18*(1+G18/100)/100,0))</f>
        <v/>
      </c>
      <c r="K18" s="18">
        <f>IF(I18="","",IFERROR(I18*0.1,0))</f>
        <v/>
      </c>
      <c r="L18" s="18">
        <f>IF(I18="","",IFERROR(I18-J18,0))</f>
        <v/>
      </c>
      <c r="M18" s="22" t="n"/>
    </row>
    <row r="19" ht="22" customHeight="1">
      <c r="B19" s="21">
        <f>IF(C19="","HS"&amp;TEXT(COUNTA($C$5:C19),"000"))</f>
        <v/>
      </c>
      <c r="C19" s="21" t="n"/>
      <c r="D19" s="21">
        <f>IF(C19="","",VLOOKUP(C19,'_Données Employés'!$B$5:$S$114,3,FALSE))</f>
        <v/>
      </c>
      <c r="E19" s="21" t="n"/>
      <c r="F19" s="21" t="n"/>
      <c r="G19" s="21" t="n"/>
      <c r="H19" s="21" t="n"/>
      <c r="I19" s="16">
        <f>IF(OR(F19="",G19=""),"",IFERROR(E19/173,0))</f>
        <v/>
      </c>
      <c r="J19" s="16">
        <f>IF(H19="","",IFERROR(F19*H19*(1+G19/100)/100,0))</f>
        <v/>
      </c>
      <c r="K19" s="16">
        <f>IF(I19="","",IFERROR(I19*0.1,0))</f>
        <v/>
      </c>
      <c r="L19" s="16">
        <f>IF(I19="","",IFERROR(I19-J19,0))</f>
        <v/>
      </c>
      <c r="M19" s="21" t="n"/>
    </row>
    <row r="20" ht="22" customHeight="1">
      <c r="B20" s="22">
        <f>IF(C20="","HS"&amp;TEXT(COUNTA($C$5:C20),"000"))</f>
        <v/>
      </c>
      <c r="C20" s="22" t="n"/>
      <c r="D20" s="22">
        <f>IF(C20="","",VLOOKUP(C20,'_Données Employés'!$B$5:$S$114,3,FALSE))</f>
        <v/>
      </c>
      <c r="E20" s="22" t="n"/>
      <c r="F20" s="22" t="n"/>
      <c r="G20" s="22" t="n"/>
      <c r="H20" s="22" t="n"/>
      <c r="I20" s="18">
        <f>IF(OR(F20="",G20=""),"",IFERROR(E20/173,0))</f>
        <v/>
      </c>
      <c r="J20" s="18">
        <f>IF(H20="","",IFERROR(F20*H20*(1+G20/100)/100,0))</f>
        <v/>
      </c>
      <c r="K20" s="18">
        <f>IF(I20="","",IFERROR(I20*0.1,0))</f>
        <v/>
      </c>
      <c r="L20" s="18">
        <f>IF(I20="","",IFERROR(I20-J20,0))</f>
        <v/>
      </c>
      <c r="M20" s="22" t="n"/>
    </row>
    <row r="21" ht="22" customHeight="1">
      <c r="B21" s="21">
        <f>IF(C21="","HS"&amp;TEXT(COUNTA($C$5:C21),"000"))</f>
        <v/>
      </c>
      <c r="C21" s="21" t="n"/>
      <c r="D21" s="21">
        <f>IF(C21="","",VLOOKUP(C21,'_Données Employés'!$B$5:$S$114,3,FALSE))</f>
        <v/>
      </c>
      <c r="E21" s="21" t="n"/>
      <c r="F21" s="21" t="n"/>
      <c r="G21" s="21" t="n"/>
      <c r="H21" s="21" t="n"/>
      <c r="I21" s="16">
        <f>IF(OR(F21="",G21=""),"",IFERROR(E21/173,0))</f>
        <v/>
      </c>
      <c r="J21" s="16">
        <f>IF(H21="","",IFERROR(F21*H21*(1+G21/100)/100,0))</f>
        <v/>
      </c>
      <c r="K21" s="16">
        <f>IF(I21="","",IFERROR(I21*0.1,0))</f>
        <v/>
      </c>
      <c r="L21" s="16">
        <f>IF(I21="","",IFERROR(I21-J21,0))</f>
        <v/>
      </c>
      <c r="M21" s="21" t="n"/>
    </row>
    <row r="22" ht="22" customHeight="1">
      <c r="B22" s="22">
        <f>IF(C22="","HS"&amp;TEXT(COUNTA($C$5:C22),"000"))</f>
        <v/>
      </c>
      <c r="C22" s="22" t="n"/>
      <c r="D22" s="22">
        <f>IF(C22="","",VLOOKUP(C22,'_Données Employés'!$B$5:$S$114,3,FALSE))</f>
        <v/>
      </c>
      <c r="E22" s="22" t="n"/>
      <c r="F22" s="22" t="n"/>
      <c r="G22" s="22" t="n"/>
      <c r="H22" s="22" t="n"/>
      <c r="I22" s="18">
        <f>IF(OR(F22="",G22=""),"",IFERROR(E22/173,0))</f>
        <v/>
      </c>
      <c r="J22" s="18">
        <f>IF(H22="","",IFERROR(F22*H22*(1+G22/100)/100,0))</f>
        <v/>
      </c>
      <c r="K22" s="18">
        <f>IF(I22="","",IFERROR(I22*0.1,0))</f>
        <v/>
      </c>
      <c r="L22" s="18">
        <f>IF(I22="","",IFERROR(I22-J22,0))</f>
        <v/>
      </c>
      <c r="M22" s="22" t="n"/>
    </row>
    <row r="23" ht="22" customHeight="1">
      <c r="B23" s="21">
        <f>IF(C23="","HS"&amp;TEXT(COUNTA($C$5:C23),"000"))</f>
        <v/>
      </c>
      <c r="C23" s="21" t="n"/>
      <c r="D23" s="21">
        <f>IF(C23="","",VLOOKUP(C23,'_Données Employés'!$B$5:$S$114,3,FALSE))</f>
        <v/>
      </c>
      <c r="E23" s="21" t="n"/>
      <c r="F23" s="21" t="n"/>
      <c r="G23" s="21" t="n"/>
      <c r="H23" s="21" t="n"/>
      <c r="I23" s="16">
        <f>IF(OR(F23="",G23=""),"",IFERROR(E23/173,0))</f>
        <v/>
      </c>
      <c r="J23" s="16">
        <f>IF(H23="","",IFERROR(F23*H23*(1+G23/100)/100,0))</f>
        <v/>
      </c>
      <c r="K23" s="16">
        <f>IF(I23="","",IFERROR(I23*0.1,0))</f>
        <v/>
      </c>
      <c r="L23" s="16">
        <f>IF(I23="","",IFERROR(I23-J23,0))</f>
        <v/>
      </c>
      <c r="M23" s="21" t="n"/>
    </row>
    <row r="24" ht="22" customHeight="1">
      <c r="B24" s="22">
        <f>IF(C24="","HS"&amp;TEXT(COUNTA($C$5:C24),"000"))</f>
        <v/>
      </c>
      <c r="C24" s="22" t="n"/>
      <c r="D24" s="22">
        <f>IF(C24="","",VLOOKUP(C24,'_Données Employés'!$B$5:$S$114,3,FALSE))</f>
        <v/>
      </c>
      <c r="E24" s="22" t="n"/>
      <c r="F24" s="22" t="n"/>
      <c r="G24" s="22" t="n"/>
      <c r="H24" s="22" t="n"/>
      <c r="I24" s="18">
        <f>IF(OR(F24="",G24=""),"",IFERROR(E24/173,0))</f>
        <v/>
      </c>
      <c r="J24" s="18">
        <f>IF(H24="","",IFERROR(F24*H24*(1+G24/100)/100,0))</f>
        <v/>
      </c>
      <c r="K24" s="18">
        <f>IF(I24="","",IFERROR(I24*0.1,0))</f>
        <v/>
      </c>
      <c r="L24" s="18">
        <f>IF(I24="","",IFERROR(I24-J24,0))</f>
        <v/>
      </c>
      <c r="M24" s="22" t="n"/>
    </row>
    <row r="25" ht="22" customHeight="1">
      <c r="B25" s="21">
        <f>IF(C25="","HS"&amp;TEXT(COUNTA($C$5:C25),"000"))</f>
        <v/>
      </c>
      <c r="C25" s="21" t="n"/>
      <c r="D25" s="21">
        <f>IF(C25="","",VLOOKUP(C25,'_Données Employés'!$B$5:$S$114,3,FALSE))</f>
        <v/>
      </c>
      <c r="E25" s="21" t="n"/>
      <c r="F25" s="21" t="n"/>
      <c r="G25" s="21" t="n"/>
      <c r="H25" s="21" t="n"/>
      <c r="I25" s="16">
        <f>IF(OR(F25="",G25=""),"",IFERROR(E25/173,0))</f>
        <v/>
      </c>
      <c r="J25" s="16">
        <f>IF(H25="","",IFERROR(F25*H25*(1+G25/100)/100,0))</f>
        <v/>
      </c>
      <c r="K25" s="16">
        <f>IF(I25="","",IFERROR(I25*0.1,0))</f>
        <v/>
      </c>
      <c r="L25" s="16">
        <f>IF(I25="","",IFERROR(I25-J25,0))</f>
        <v/>
      </c>
      <c r="M25" s="21" t="n"/>
    </row>
    <row r="26" ht="22" customHeight="1">
      <c r="B26" s="22">
        <f>IF(C26="","HS"&amp;TEXT(COUNTA($C$5:C26),"000"))</f>
        <v/>
      </c>
      <c r="C26" s="22" t="n"/>
      <c r="D26" s="22">
        <f>IF(C26="","",VLOOKUP(C26,'_Données Employés'!$B$5:$S$114,3,FALSE))</f>
        <v/>
      </c>
      <c r="E26" s="22" t="n"/>
      <c r="F26" s="22" t="n"/>
      <c r="G26" s="22" t="n"/>
      <c r="H26" s="22" t="n"/>
      <c r="I26" s="18">
        <f>IF(OR(F26="",G26=""),"",IFERROR(E26/173,0))</f>
        <v/>
      </c>
      <c r="J26" s="18">
        <f>IF(H26="","",IFERROR(F26*H26*(1+G26/100)/100,0))</f>
        <v/>
      </c>
      <c r="K26" s="18">
        <f>IF(I26="","",IFERROR(I26*0.1,0))</f>
        <v/>
      </c>
      <c r="L26" s="18">
        <f>IF(I26="","",IFERROR(I26-J26,0))</f>
        <v/>
      </c>
      <c r="M26" s="22" t="n"/>
    </row>
    <row r="27" ht="22" customHeight="1">
      <c r="B27" s="21">
        <f>IF(C27="","HS"&amp;TEXT(COUNTA($C$5:C27),"000"))</f>
        <v/>
      </c>
      <c r="C27" s="21" t="n"/>
      <c r="D27" s="21">
        <f>IF(C27="","",VLOOKUP(C27,'_Données Employés'!$B$5:$S$114,3,FALSE))</f>
        <v/>
      </c>
      <c r="E27" s="21" t="n"/>
      <c r="F27" s="21" t="n"/>
      <c r="G27" s="21" t="n"/>
      <c r="H27" s="21" t="n"/>
      <c r="I27" s="16">
        <f>IF(OR(F27="",G27=""),"",IFERROR(E27/173,0))</f>
        <v/>
      </c>
      <c r="J27" s="16">
        <f>IF(H27="","",IFERROR(F27*H27*(1+G27/100)/100,0))</f>
        <v/>
      </c>
      <c r="K27" s="16">
        <f>IF(I27="","",IFERROR(I27*0.1,0))</f>
        <v/>
      </c>
      <c r="L27" s="16">
        <f>IF(I27="","",IFERROR(I27-J27,0))</f>
        <v/>
      </c>
      <c r="M27" s="21" t="n"/>
    </row>
    <row r="28" ht="22" customHeight="1">
      <c r="B28" s="22">
        <f>IF(C28="","HS"&amp;TEXT(COUNTA($C$5:C28),"000"))</f>
        <v/>
      </c>
      <c r="C28" s="22" t="n"/>
      <c r="D28" s="22">
        <f>IF(C28="","",VLOOKUP(C28,'_Données Employés'!$B$5:$S$114,3,FALSE))</f>
        <v/>
      </c>
      <c r="E28" s="22" t="n"/>
      <c r="F28" s="22" t="n"/>
      <c r="G28" s="22" t="n"/>
      <c r="H28" s="22" t="n"/>
      <c r="I28" s="18">
        <f>IF(OR(F28="",G28=""),"",IFERROR(E28/173,0))</f>
        <v/>
      </c>
      <c r="J28" s="18">
        <f>IF(H28="","",IFERROR(F28*H28*(1+G28/100)/100,0))</f>
        <v/>
      </c>
      <c r="K28" s="18">
        <f>IF(I28="","",IFERROR(I28*0.1,0))</f>
        <v/>
      </c>
      <c r="L28" s="18">
        <f>IF(I28="","",IFERROR(I28-J28,0))</f>
        <v/>
      </c>
      <c r="M28" s="22" t="n"/>
    </row>
    <row r="29" ht="22" customHeight="1">
      <c r="B29" s="21">
        <f>IF(C29="","HS"&amp;TEXT(COUNTA($C$5:C29),"000"))</f>
        <v/>
      </c>
      <c r="C29" s="21" t="n"/>
      <c r="D29" s="21">
        <f>IF(C29="","",VLOOKUP(C29,'_Données Employés'!$B$5:$S$114,3,FALSE))</f>
        <v/>
      </c>
      <c r="E29" s="21" t="n"/>
      <c r="F29" s="21" t="n"/>
      <c r="G29" s="21" t="n"/>
      <c r="H29" s="21" t="n"/>
      <c r="I29" s="16">
        <f>IF(OR(F29="",G29=""),"",IFERROR(E29/173,0))</f>
        <v/>
      </c>
      <c r="J29" s="16">
        <f>IF(H29="","",IFERROR(F29*H29*(1+G29/100)/100,0))</f>
        <v/>
      </c>
      <c r="K29" s="16">
        <f>IF(I29="","",IFERROR(I29*0.1,0))</f>
        <v/>
      </c>
      <c r="L29" s="16">
        <f>IF(I29="","",IFERROR(I29-J29,0))</f>
        <v/>
      </c>
      <c r="M29" s="21" t="n"/>
    </row>
    <row r="30" ht="22" customHeight="1">
      <c r="B30" s="22">
        <f>IF(C30="","HS"&amp;TEXT(COUNTA($C$5:C30),"000"))</f>
        <v/>
      </c>
      <c r="C30" s="22" t="n"/>
      <c r="D30" s="22">
        <f>IF(C30="","",VLOOKUP(C30,'_Données Employés'!$B$5:$S$114,3,FALSE))</f>
        <v/>
      </c>
      <c r="E30" s="22" t="n"/>
      <c r="F30" s="22" t="n"/>
      <c r="G30" s="22" t="n"/>
      <c r="H30" s="22" t="n"/>
      <c r="I30" s="18">
        <f>IF(OR(F30="",G30=""),"",IFERROR(E30/173,0))</f>
        <v/>
      </c>
      <c r="J30" s="18">
        <f>IF(H30="","",IFERROR(F30*H30*(1+G30/100)/100,0))</f>
        <v/>
      </c>
      <c r="K30" s="18">
        <f>IF(I30="","",IFERROR(I30*0.1,0))</f>
        <v/>
      </c>
      <c r="L30" s="18">
        <f>IF(I30="","",IFERROR(I30-J30,0))</f>
        <v/>
      </c>
      <c r="M30" s="22" t="n"/>
    </row>
    <row r="31" ht="22" customHeight="1">
      <c r="B31" s="21">
        <f>IF(C31="","HS"&amp;TEXT(COUNTA($C$5:C31),"000"))</f>
        <v/>
      </c>
      <c r="C31" s="21" t="n"/>
      <c r="D31" s="21">
        <f>IF(C31="","",VLOOKUP(C31,'_Données Employés'!$B$5:$S$114,3,FALSE))</f>
        <v/>
      </c>
      <c r="E31" s="21" t="n"/>
      <c r="F31" s="21" t="n"/>
      <c r="G31" s="21" t="n"/>
      <c r="H31" s="21" t="n"/>
      <c r="I31" s="16">
        <f>IF(OR(F31="",G31=""),"",IFERROR(E31/173,0))</f>
        <v/>
      </c>
      <c r="J31" s="16">
        <f>IF(H31="","",IFERROR(F31*H31*(1+G31/100)/100,0))</f>
        <v/>
      </c>
      <c r="K31" s="16">
        <f>IF(I31="","",IFERROR(I31*0.1,0))</f>
        <v/>
      </c>
      <c r="L31" s="16">
        <f>IF(I31="","",IFERROR(I31-J31,0))</f>
        <v/>
      </c>
      <c r="M31" s="21" t="n"/>
    </row>
    <row r="32" ht="22" customHeight="1">
      <c r="B32" s="22">
        <f>IF(C32="","HS"&amp;TEXT(COUNTA($C$5:C32),"000"))</f>
        <v/>
      </c>
      <c r="C32" s="22" t="n"/>
      <c r="D32" s="22">
        <f>IF(C32="","",VLOOKUP(C32,'_Données Employés'!$B$5:$S$114,3,FALSE))</f>
        <v/>
      </c>
      <c r="E32" s="22" t="n"/>
      <c r="F32" s="22" t="n"/>
      <c r="G32" s="22" t="n"/>
      <c r="H32" s="22" t="n"/>
      <c r="I32" s="18">
        <f>IF(OR(F32="",G32=""),"",IFERROR(E32/173,0))</f>
        <v/>
      </c>
      <c r="J32" s="18">
        <f>IF(H32="","",IFERROR(F32*H32*(1+G32/100)/100,0))</f>
        <v/>
      </c>
      <c r="K32" s="18">
        <f>IF(I32="","",IFERROR(I32*0.1,0))</f>
        <v/>
      </c>
      <c r="L32" s="18">
        <f>IF(I32="","",IFERROR(I32-J32,0))</f>
        <v/>
      </c>
      <c r="M32" s="22" t="n"/>
    </row>
    <row r="33" ht="22" customHeight="1">
      <c r="B33" s="21">
        <f>IF(C33="","HS"&amp;TEXT(COUNTA($C$5:C33),"000"))</f>
        <v/>
      </c>
      <c r="C33" s="21" t="n"/>
      <c r="D33" s="21">
        <f>IF(C33="","",VLOOKUP(C33,'_Données Employés'!$B$5:$S$114,3,FALSE))</f>
        <v/>
      </c>
      <c r="E33" s="21" t="n"/>
      <c r="F33" s="21" t="n"/>
      <c r="G33" s="21" t="n"/>
      <c r="H33" s="21" t="n"/>
      <c r="I33" s="16">
        <f>IF(OR(F33="",G33=""),"",IFERROR(E33/173,0))</f>
        <v/>
      </c>
      <c r="J33" s="16">
        <f>IF(H33="","",IFERROR(F33*H33*(1+G33/100)/100,0))</f>
        <v/>
      </c>
      <c r="K33" s="16">
        <f>IF(I33="","",IFERROR(I33*0.1,0))</f>
        <v/>
      </c>
      <c r="L33" s="16">
        <f>IF(I33="","",IFERROR(I33-J33,0))</f>
        <v/>
      </c>
      <c r="M33" s="21" t="n"/>
    </row>
    <row r="34" ht="22" customHeight="1">
      <c r="B34" s="22">
        <f>IF(C34="","HS"&amp;TEXT(COUNTA($C$5:C34),"000"))</f>
        <v/>
      </c>
      <c r="C34" s="22" t="n"/>
      <c r="D34" s="22">
        <f>IF(C34="","",VLOOKUP(C34,'_Données Employés'!$B$5:$S$114,3,FALSE))</f>
        <v/>
      </c>
      <c r="E34" s="22" t="n"/>
      <c r="F34" s="22" t="n"/>
      <c r="G34" s="22" t="n"/>
      <c r="H34" s="22" t="n"/>
      <c r="I34" s="18">
        <f>IF(OR(F34="",G34=""),"",IFERROR(E34/173,0))</f>
        <v/>
      </c>
      <c r="J34" s="18">
        <f>IF(H34="","",IFERROR(F34*H34*(1+G34/100)/100,0))</f>
        <v/>
      </c>
      <c r="K34" s="18">
        <f>IF(I34="","",IFERROR(I34*0.1,0))</f>
        <v/>
      </c>
      <c r="L34" s="18">
        <f>IF(I34="","",IFERROR(I34-J34,0))</f>
        <v/>
      </c>
      <c r="M34" s="22" t="n"/>
    </row>
    <row r="35" ht="22" customHeight="1">
      <c r="B35" s="21">
        <f>IF(C35="","HS"&amp;TEXT(COUNTA($C$5:C35),"000"))</f>
        <v/>
      </c>
      <c r="C35" s="21" t="n"/>
      <c r="D35" s="21">
        <f>IF(C35="","",VLOOKUP(C35,'_Données Employés'!$B$5:$S$114,3,FALSE))</f>
        <v/>
      </c>
      <c r="E35" s="21" t="n"/>
      <c r="F35" s="21" t="n"/>
      <c r="G35" s="21" t="n"/>
      <c r="H35" s="21" t="n"/>
      <c r="I35" s="16">
        <f>IF(OR(F35="",G35=""),"",IFERROR(E35/173,0))</f>
        <v/>
      </c>
      <c r="J35" s="16">
        <f>IF(H35="","",IFERROR(F35*H35*(1+G35/100)/100,0))</f>
        <v/>
      </c>
      <c r="K35" s="16">
        <f>IF(I35="","",IFERROR(I35*0.1,0))</f>
        <v/>
      </c>
      <c r="L35" s="16">
        <f>IF(I35="","",IFERROR(I35-J35,0))</f>
        <v/>
      </c>
      <c r="M35" s="21" t="n"/>
    </row>
    <row r="36" ht="22" customHeight="1">
      <c r="B36" s="22">
        <f>IF(C36="","HS"&amp;TEXT(COUNTA($C$5:C36),"000"))</f>
        <v/>
      </c>
      <c r="C36" s="22" t="n"/>
      <c r="D36" s="22">
        <f>IF(C36="","",VLOOKUP(C36,'_Données Employés'!$B$5:$S$114,3,FALSE))</f>
        <v/>
      </c>
      <c r="E36" s="22" t="n"/>
      <c r="F36" s="22" t="n"/>
      <c r="G36" s="22" t="n"/>
      <c r="H36" s="22" t="n"/>
      <c r="I36" s="18">
        <f>IF(OR(F36="",G36=""),"",IFERROR(E36/173,0))</f>
        <v/>
      </c>
      <c r="J36" s="18">
        <f>IF(H36="","",IFERROR(F36*H36*(1+G36/100)/100,0))</f>
        <v/>
      </c>
      <c r="K36" s="18">
        <f>IF(I36="","",IFERROR(I36*0.1,0))</f>
        <v/>
      </c>
      <c r="L36" s="18">
        <f>IF(I36="","",IFERROR(I36-J36,0))</f>
        <v/>
      </c>
      <c r="M36" s="22" t="n"/>
    </row>
    <row r="37" ht="22" customHeight="1">
      <c r="B37" s="21">
        <f>IF(C37="","HS"&amp;TEXT(COUNTA($C$5:C37),"000"))</f>
        <v/>
      </c>
      <c r="C37" s="21" t="n"/>
      <c r="D37" s="21">
        <f>IF(C37="","",VLOOKUP(C37,'_Données Employés'!$B$5:$S$114,3,FALSE))</f>
        <v/>
      </c>
      <c r="E37" s="21" t="n"/>
      <c r="F37" s="21" t="n"/>
      <c r="G37" s="21" t="n"/>
      <c r="H37" s="21" t="n"/>
      <c r="I37" s="16">
        <f>IF(OR(F37="",G37=""),"",IFERROR(E37/173,0))</f>
        <v/>
      </c>
      <c r="J37" s="16">
        <f>IF(H37="","",IFERROR(F37*H37*(1+G37/100)/100,0))</f>
        <v/>
      </c>
      <c r="K37" s="16">
        <f>IF(I37="","",IFERROR(I37*0.1,0))</f>
        <v/>
      </c>
      <c r="L37" s="16">
        <f>IF(I37="","",IFERROR(I37-J37,0))</f>
        <v/>
      </c>
      <c r="M37" s="21" t="n"/>
    </row>
    <row r="38" ht="22" customHeight="1">
      <c r="B38" s="22">
        <f>IF(C38="","HS"&amp;TEXT(COUNTA($C$5:C38),"000"))</f>
        <v/>
      </c>
      <c r="C38" s="22" t="n"/>
      <c r="D38" s="22">
        <f>IF(C38="","",VLOOKUP(C38,'_Données Employés'!$B$5:$S$114,3,FALSE))</f>
        <v/>
      </c>
      <c r="E38" s="22" t="n"/>
      <c r="F38" s="22" t="n"/>
      <c r="G38" s="22" t="n"/>
      <c r="H38" s="22" t="n"/>
      <c r="I38" s="18">
        <f>IF(OR(F38="",G38=""),"",IFERROR(E38/173,0))</f>
        <v/>
      </c>
      <c r="J38" s="18">
        <f>IF(H38="","",IFERROR(F38*H38*(1+G38/100)/100,0))</f>
        <v/>
      </c>
      <c r="K38" s="18">
        <f>IF(I38="","",IFERROR(I38*0.1,0))</f>
        <v/>
      </c>
      <c r="L38" s="18">
        <f>IF(I38="","",IFERROR(I38-J38,0))</f>
        <v/>
      </c>
      <c r="M38" s="22" t="n"/>
    </row>
    <row r="39" ht="22" customHeight="1">
      <c r="B39" s="21">
        <f>IF(C39="","HS"&amp;TEXT(COUNTA($C$5:C39),"000"))</f>
        <v/>
      </c>
      <c r="C39" s="21" t="n"/>
      <c r="D39" s="21">
        <f>IF(C39="","",VLOOKUP(C39,'_Données Employés'!$B$5:$S$114,3,FALSE))</f>
        <v/>
      </c>
      <c r="E39" s="21" t="n"/>
      <c r="F39" s="21" t="n"/>
      <c r="G39" s="21" t="n"/>
      <c r="H39" s="21" t="n"/>
      <c r="I39" s="16">
        <f>IF(OR(F39="",G39=""),"",IFERROR(E39/173,0))</f>
        <v/>
      </c>
      <c r="J39" s="16">
        <f>IF(H39="","",IFERROR(F39*H39*(1+G39/100)/100,0))</f>
        <v/>
      </c>
      <c r="K39" s="16">
        <f>IF(I39="","",IFERROR(I39*0.1,0))</f>
        <v/>
      </c>
      <c r="L39" s="16">
        <f>IF(I39="","",IFERROR(I39-J39,0))</f>
        <v/>
      </c>
      <c r="M39" s="21" t="n"/>
    </row>
    <row r="40" ht="22" customHeight="1">
      <c r="B40" s="22">
        <f>IF(C40="","HS"&amp;TEXT(COUNTA($C$5:C40),"000"))</f>
        <v/>
      </c>
      <c r="C40" s="22" t="n"/>
      <c r="D40" s="22">
        <f>IF(C40="","",VLOOKUP(C40,'_Données Employés'!$B$5:$S$114,3,FALSE))</f>
        <v/>
      </c>
      <c r="E40" s="22" t="n"/>
      <c r="F40" s="22" t="n"/>
      <c r="G40" s="22" t="n"/>
      <c r="H40" s="22" t="n"/>
      <c r="I40" s="18">
        <f>IF(OR(F40="",G40=""),"",IFERROR(E40/173,0))</f>
        <v/>
      </c>
      <c r="J40" s="18">
        <f>IF(H40="","",IFERROR(F40*H40*(1+G40/100)/100,0))</f>
        <v/>
      </c>
      <c r="K40" s="18">
        <f>IF(I40="","",IFERROR(I40*0.1,0))</f>
        <v/>
      </c>
      <c r="L40" s="18">
        <f>IF(I40="","",IFERROR(I40-J40,0))</f>
        <v/>
      </c>
      <c r="M40" s="22" t="n"/>
    </row>
    <row r="41" ht="22" customHeight="1">
      <c r="B41" s="21">
        <f>IF(C41="","HS"&amp;TEXT(COUNTA($C$5:C41),"000"))</f>
        <v/>
      </c>
      <c r="C41" s="21" t="n"/>
      <c r="D41" s="21">
        <f>IF(C41="","",VLOOKUP(C41,'_Données Employés'!$B$5:$S$114,3,FALSE))</f>
        <v/>
      </c>
      <c r="E41" s="21" t="n"/>
      <c r="F41" s="21" t="n"/>
      <c r="G41" s="21" t="n"/>
      <c r="H41" s="21" t="n"/>
      <c r="I41" s="16">
        <f>IF(OR(F41="",G41=""),"",IFERROR(E41/173,0))</f>
        <v/>
      </c>
      <c r="J41" s="16">
        <f>IF(H41="","",IFERROR(F41*H41*(1+G41/100)/100,0))</f>
        <v/>
      </c>
      <c r="K41" s="16">
        <f>IF(I41="","",IFERROR(I41*0.1,0))</f>
        <v/>
      </c>
      <c r="L41" s="16">
        <f>IF(I41="","",IFERROR(I41-J41,0))</f>
        <v/>
      </c>
      <c r="M41" s="21" t="n"/>
    </row>
    <row r="42" ht="22" customHeight="1">
      <c r="B42" s="22">
        <f>IF(C42="","HS"&amp;TEXT(COUNTA($C$5:C42),"000"))</f>
        <v/>
      </c>
      <c r="C42" s="22" t="n"/>
      <c r="D42" s="22">
        <f>IF(C42="","",VLOOKUP(C42,'_Données Employés'!$B$5:$S$114,3,FALSE))</f>
        <v/>
      </c>
      <c r="E42" s="22" t="n"/>
      <c r="F42" s="22" t="n"/>
      <c r="G42" s="22" t="n"/>
      <c r="H42" s="22" t="n"/>
      <c r="I42" s="18">
        <f>IF(OR(F42="",G42=""),"",IFERROR(E42/173,0))</f>
        <v/>
      </c>
      <c r="J42" s="18">
        <f>IF(H42="","",IFERROR(F42*H42*(1+G42/100)/100,0))</f>
        <v/>
      </c>
      <c r="K42" s="18">
        <f>IF(I42="","",IFERROR(I42*0.1,0))</f>
        <v/>
      </c>
      <c r="L42" s="18">
        <f>IF(I42="","",IFERROR(I42-J42,0))</f>
        <v/>
      </c>
      <c r="M42" s="22" t="n"/>
    </row>
    <row r="43" ht="22" customHeight="1">
      <c r="B43" s="21">
        <f>IF(C43="","HS"&amp;TEXT(COUNTA($C$5:C43),"000"))</f>
        <v/>
      </c>
      <c r="C43" s="21" t="n"/>
      <c r="D43" s="21">
        <f>IF(C43="","",VLOOKUP(C43,'_Données Employés'!$B$5:$S$114,3,FALSE))</f>
        <v/>
      </c>
      <c r="E43" s="21" t="n"/>
      <c r="F43" s="21" t="n"/>
      <c r="G43" s="21" t="n"/>
      <c r="H43" s="21" t="n"/>
      <c r="I43" s="16">
        <f>IF(OR(F43="",G43=""),"",IFERROR(E43/173,0))</f>
        <v/>
      </c>
      <c r="J43" s="16">
        <f>IF(H43="","",IFERROR(F43*H43*(1+G43/100)/100,0))</f>
        <v/>
      </c>
      <c r="K43" s="16">
        <f>IF(I43="","",IFERROR(I43*0.1,0))</f>
        <v/>
      </c>
      <c r="L43" s="16">
        <f>IF(I43="","",IFERROR(I43-J43,0))</f>
        <v/>
      </c>
      <c r="M43" s="21" t="n"/>
    </row>
    <row r="44" ht="22" customHeight="1">
      <c r="B44" s="22">
        <f>IF(C44="","HS"&amp;TEXT(COUNTA($C$5:C44),"000"))</f>
        <v/>
      </c>
      <c r="C44" s="22" t="n"/>
      <c r="D44" s="22">
        <f>IF(C44="","",VLOOKUP(C44,'_Données Employés'!$B$5:$S$114,3,FALSE))</f>
        <v/>
      </c>
      <c r="E44" s="22" t="n"/>
      <c r="F44" s="22" t="n"/>
      <c r="G44" s="22" t="n"/>
      <c r="H44" s="22" t="n"/>
      <c r="I44" s="18">
        <f>IF(OR(F44="",G44=""),"",IFERROR(E44/173,0))</f>
        <v/>
      </c>
      <c r="J44" s="18">
        <f>IF(H44="","",IFERROR(F44*H44*(1+G44/100)/100,0))</f>
        <v/>
      </c>
      <c r="K44" s="18">
        <f>IF(I44="","",IFERROR(I44*0.1,0))</f>
        <v/>
      </c>
      <c r="L44" s="18">
        <f>IF(I44="","",IFERROR(I44-J44,0))</f>
        <v/>
      </c>
      <c r="M44" s="22" t="n"/>
    </row>
    <row r="45" ht="22" customHeight="1">
      <c r="B45" s="21">
        <f>IF(C45="","HS"&amp;TEXT(COUNTA($C$5:C45),"000"))</f>
        <v/>
      </c>
      <c r="C45" s="21" t="n"/>
      <c r="D45" s="21">
        <f>IF(C45="","",VLOOKUP(C45,'_Données Employés'!$B$5:$S$114,3,FALSE))</f>
        <v/>
      </c>
      <c r="E45" s="21" t="n"/>
      <c r="F45" s="21" t="n"/>
      <c r="G45" s="21" t="n"/>
      <c r="H45" s="21" t="n"/>
      <c r="I45" s="16">
        <f>IF(OR(F45="",G45=""),"",IFERROR(E45/173,0))</f>
        <v/>
      </c>
      <c r="J45" s="16">
        <f>IF(H45="","",IFERROR(F45*H45*(1+G45/100)/100,0))</f>
        <v/>
      </c>
      <c r="K45" s="16">
        <f>IF(I45="","",IFERROR(I45*0.1,0))</f>
        <v/>
      </c>
      <c r="L45" s="16">
        <f>IF(I45="","",IFERROR(I45-J45,0))</f>
        <v/>
      </c>
      <c r="M45" s="21" t="n"/>
    </row>
    <row r="46" ht="22" customHeight="1">
      <c r="B46" s="22">
        <f>IF(C46="","HS"&amp;TEXT(COUNTA($C$5:C46),"000"))</f>
        <v/>
      </c>
      <c r="C46" s="22" t="n"/>
      <c r="D46" s="22">
        <f>IF(C46="","",VLOOKUP(C46,'_Données Employés'!$B$5:$S$114,3,FALSE))</f>
        <v/>
      </c>
      <c r="E46" s="22" t="n"/>
      <c r="F46" s="22" t="n"/>
      <c r="G46" s="22" t="n"/>
      <c r="H46" s="22" t="n"/>
      <c r="I46" s="18">
        <f>IF(OR(F46="",G46=""),"",IFERROR(E46/173,0))</f>
        <v/>
      </c>
      <c r="J46" s="18">
        <f>IF(H46="","",IFERROR(F46*H46*(1+G46/100)/100,0))</f>
        <v/>
      </c>
      <c r="K46" s="18">
        <f>IF(I46="","",IFERROR(I46*0.1,0))</f>
        <v/>
      </c>
      <c r="L46" s="18">
        <f>IF(I46="","",IFERROR(I46-J46,0))</f>
        <v/>
      </c>
      <c r="M46" s="22" t="n"/>
    </row>
    <row r="47" ht="22" customHeight="1">
      <c r="B47" s="21">
        <f>IF(C47="","HS"&amp;TEXT(COUNTA($C$5:C47),"000"))</f>
        <v/>
      </c>
      <c r="C47" s="21" t="n"/>
      <c r="D47" s="21">
        <f>IF(C47="","",VLOOKUP(C47,'_Données Employés'!$B$5:$S$114,3,FALSE))</f>
        <v/>
      </c>
      <c r="E47" s="21" t="n"/>
      <c r="F47" s="21" t="n"/>
      <c r="G47" s="21" t="n"/>
      <c r="H47" s="21" t="n"/>
      <c r="I47" s="16">
        <f>IF(OR(F47="",G47=""),"",IFERROR(E47/173,0))</f>
        <v/>
      </c>
      <c r="J47" s="16">
        <f>IF(H47="","",IFERROR(F47*H47*(1+G47/100)/100,0))</f>
        <v/>
      </c>
      <c r="K47" s="16">
        <f>IF(I47="","",IFERROR(I47*0.1,0))</f>
        <v/>
      </c>
      <c r="L47" s="16">
        <f>IF(I47="","",IFERROR(I47-J47,0))</f>
        <v/>
      </c>
      <c r="M47" s="21" t="n"/>
    </row>
    <row r="48" ht="22" customHeight="1">
      <c r="B48" s="22">
        <f>IF(C48="","HS"&amp;TEXT(COUNTA($C$5:C48),"000"))</f>
        <v/>
      </c>
      <c r="C48" s="22" t="n"/>
      <c r="D48" s="22">
        <f>IF(C48="","",VLOOKUP(C48,'_Données Employés'!$B$5:$S$114,3,FALSE))</f>
        <v/>
      </c>
      <c r="E48" s="22" t="n"/>
      <c r="F48" s="22" t="n"/>
      <c r="G48" s="22" t="n"/>
      <c r="H48" s="22" t="n"/>
      <c r="I48" s="18">
        <f>IF(OR(F48="",G48=""),"",IFERROR(E48/173,0))</f>
        <v/>
      </c>
      <c r="J48" s="18">
        <f>IF(H48="","",IFERROR(F48*H48*(1+G48/100)/100,0))</f>
        <v/>
      </c>
      <c r="K48" s="18">
        <f>IF(I48="","",IFERROR(I48*0.1,0))</f>
        <v/>
      </c>
      <c r="L48" s="18">
        <f>IF(I48="","",IFERROR(I48-J48,0))</f>
        <v/>
      </c>
      <c r="M48" s="22" t="n"/>
    </row>
    <row r="49" ht="22" customHeight="1">
      <c r="B49" s="21">
        <f>IF(C49="","HS"&amp;TEXT(COUNTA($C$5:C49),"000"))</f>
        <v/>
      </c>
      <c r="C49" s="21" t="n"/>
      <c r="D49" s="21">
        <f>IF(C49="","",VLOOKUP(C49,'_Données Employés'!$B$5:$S$114,3,FALSE))</f>
        <v/>
      </c>
      <c r="E49" s="21" t="n"/>
      <c r="F49" s="21" t="n"/>
      <c r="G49" s="21" t="n"/>
      <c r="H49" s="21" t="n"/>
      <c r="I49" s="16">
        <f>IF(OR(F49="",G49=""),"",IFERROR(E49/173,0))</f>
        <v/>
      </c>
      <c r="J49" s="16">
        <f>IF(H49="","",IFERROR(F49*H49*(1+G49/100)/100,0))</f>
        <v/>
      </c>
      <c r="K49" s="16">
        <f>IF(I49="","",IFERROR(I49*0.1,0))</f>
        <v/>
      </c>
      <c r="L49" s="16">
        <f>IF(I49="","",IFERROR(I49-J49,0))</f>
        <v/>
      </c>
      <c r="M49" s="21" t="n"/>
    </row>
    <row r="50" ht="22" customHeight="1">
      <c r="B50" s="22">
        <f>IF(C50="","HS"&amp;TEXT(COUNTA($C$5:C50),"000"))</f>
        <v/>
      </c>
      <c r="C50" s="22" t="n"/>
      <c r="D50" s="22">
        <f>IF(C50="","",VLOOKUP(C50,'_Données Employés'!$B$5:$S$114,3,FALSE))</f>
        <v/>
      </c>
      <c r="E50" s="22" t="n"/>
      <c r="F50" s="22" t="n"/>
      <c r="G50" s="22" t="n"/>
      <c r="H50" s="22" t="n"/>
      <c r="I50" s="18">
        <f>IF(OR(F50="",G50=""),"",IFERROR(E50/173,0))</f>
        <v/>
      </c>
      <c r="J50" s="18">
        <f>IF(H50="","",IFERROR(F50*H50*(1+G50/100)/100,0))</f>
        <v/>
      </c>
      <c r="K50" s="18">
        <f>IF(I50="","",IFERROR(I50*0.1,0))</f>
        <v/>
      </c>
      <c r="L50" s="18">
        <f>IF(I50="","",IFERROR(I50-J50,0))</f>
        <v/>
      </c>
      <c r="M50" s="22" t="n"/>
    </row>
    <row r="51" ht="22" customHeight="1">
      <c r="B51" s="21">
        <f>IF(C51="","HS"&amp;TEXT(COUNTA($C$5:C51),"000"))</f>
        <v/>
      </c>
      <c r="C51" s="21" t="n"/>
      <c r="D51" s="21">
        <f>IF(C51="","",VLOOKUP(C51,'_Données Employés'!$B$5:$S$114,3,FALSE))</f>
        <v/>
      </c>
      <c r="E51" s="21" t="n"/>
      <c r="F51" s="21" t="n"/>
      <c r="G51" s="21" t="n"/>
      <c r="H51" s="21" t="n"/>
      <c r="I51" s="16">
        <f>IF(OR(F51="",G51=""),"",IFERROR(E51/173,0))</f>
        <v/>
      </c>
      <c r="J51" s="16">
        <f>IF(H51="","",IFERROR(F51*H51*(1+G51/100)/100,0))</f>
        <v/>
      </c>
      <c r="K51" s="16">
        <f>IF(I51="","",IFERROR(I51*0.1,0))</f>
        <v/>
      </c>
      <c r="L51" s="16">
        <f>IF(I51="","",IFERROR(I51-J51,0))</f>
        <v/>
      </c>
      <c r="M51" s="21" t="n"/>
    </row>
    <row r="52" ht="22" customHeight="1">
      <c r="B52" s="22">
        <f>IF(C52="","HS"&amp;TEXT(COUNTA($C$5:C52),"000"))</f>
        <v/>
      </c>
      <c r="C52" s="22" t="n"/>
      <c r="D52" s="22">
        <f>IF(C52="","",VLOOKUP(C52,'_Données Employés'!$B$5:$S$114,3,FALSE))</f>
        <v/>
      </c>
      <c r="E52" s="22" t="n"/>
      <c r="F52" s="22" t="n"/>
      <c r="G52" s="22" t="n"/>
      <c r="H52" s="22" t="n"/>
      <c r="I52" s="18">
        <f>IF(OR(F52="",G52=""),"",IFERROR(E52/173,0))</f>
        <v/>
      </c>
      <c r="J52" s="18">
        <f>IF(H52="","",IFERROR(F52*H52*(1+G52/100)/100,0))</f>
        <v/>
      </c>
      <c r="K52" s="18">
        <f>IF(I52="","",IFERROR(I52*0.1,0))</f>
        <v/>
      </c>
      <c r="L52" s="18">
        <f>IF(I52="","",IFERROR(I52-J52,0))</f>
        <v/>
      </c>
      <c r="M52" s="22" t="n"/>
    </row>
    <row r="53" ht="22" customHeight="1">
      <c r="B53" s="21">
        <f>IF(C53="","HS"&amp;TEXT(COUNTA($C$5:C53),"000"))</f>
        <v/>
      </c>
      <c r="C53" s="21" t="n"/>
      <c r="D53" s="21">
        <f>IF(C53="","",VLOOKUP(C53,'_Données Employés'!$B$5:$S$114,3,FALSE))</f>
        <v/>
      </c>
      <c r="E53" s="21" t="n"/>
      <c r="F53" s="21" t="n"/>
      <c r="G53" s="21" t="n"/>
      <c r="H53" s="21" t="n"/>
      <c r="I53" s="16">
        <f>IF(OR(F53="",G53=""),"",IFERROR(E53/173,0))</f>
        <v/>
      </c>
      <c r="J53" s="16">
        <f>IF(H53="","",IFERROR(F53*H53*(1+G53/100)/100,0))</f>
        <v/>
      </c>
      <c r="K53" s="16">
        <f>IF(I53="","",IFERROR(I53*0.1,0))</f>
        <v/>
      </c>
      <c r="L53" s="16">
        <f>IF(I53="","",IFERROR(I53-J53,0))</f>
        <v/>
      </c>
      <c r="M53" s="21" t="n"/>
    </row>
    <row r="54" ht="22" customHeight="1">
      <c r="B54" s="22">
        <f>IF(C54="","HS"&amp;TEXT(COUNTA($C$5:C54),"000"))</f>
        <v/>
      </c>
      <c r="C54" s="22" t="n"/>
      <c r="D54" s="22">
        <f>IF(C54="","",VLOOKUP(C54,'_Données Employés'!$B$5:$S$114,3,FALSE))</f>
        <v/>
      </c>
      <c r="E54" s="22" t="n"/>
      <c r="F54" s="22" t="n"/>
      <c r="G54" s="22" t="n"/>
      <c r="H54" s="22" t="n"/>
      <c r="I54" s="18">
        <f>IF(OR(F54="",G54=""),"",IFERROR(E54/173,0))</f>
        <v/>
      </c>
      <c r="J54" s="18">
        <f>IF(H54="","",IFERROR(F54*H54*(1+G54/100)/100,0))</f>
        <v/>
      </c>
      <c r="K54" s="18">
        <f>IF(I54="","",IFERROR(I54*0.1,0))</f>
        <v/>
      </c>
      <c r="L54" s="18">
        <f>IF(I54="","",IFERROR(I54-J54,0))</f>
        <v/>
      </c>
      <c r="M54" s="22" t="n"/>
    </row>
    <row r="55" ht="22" customHeight="1">
      <c r="B55" s="21">
        <f>IF(C55="","HS"&amp;TEXT(COUNTA($C$5:C55),"000"))</f>
        <v/>
      </c>
      <c r="C55" s="21" t="n"/>
      <c r="D55" s="21">
        <f>IF(C55="","",VLOOKUP(C55,'_Données Employés'!$B$5:$S$114,3,FALSE))</f>
        <v/>
      </c>
      <c r="E55" s="21" t="n"/>
      <c r="F55" s="21" t="n"/>
      <c r="G55" s="21" t="n"/>
      <c r="H55" s="21" t="n"/>
      <c r="I55" s="16">
        <f>IF(OR(F55="",G55=""),"",IFERROR(E55/173,0))</f>
        <v/>
      </c>
      <c r="J55" s="16">
        <f>IF(H55="","",IFERROR(F55*H55*(1+G55/100)/100,0))</f>
        <v/>
      </c>
      <c r="K55" s="16">
        <f>IF(I55="","",IFERROR(I55*0.1,0))</f>
        <v/>
      </c>
      <c r="L55" s="16">
        <f>IF(I55="","",IFERROR(I55-J55,0))</f>
        <v/>
      </c>
      <c r="M55" s="21" t="n"/>
    </row>
    <row r="56" ht="22" customHeight="1">
      <c r="B56" s="22">
        <f>IF(C56="","HS"&amp;TEXT(COUNTA($C$5:C56),"000"))</f>
        <v/>
      </c>
      <c r="C56" s="22" t="n"/>
      <c r="D56" s="22">
        <f>IF(C56="","",VLOOKUP(C56,'_Données Employés'!$B$5:$S$114,3,FALSE))</f>
        <v/>
      </c>
      <c r="E56" s="22" t="n"/>
      <c r="F56" s="22" t="n"/>
      <c r="G56" s="22" t="n"/>
      <c r="H56" s="22" t="n"/>
      <c r="I56" s="18">
        <f>IF(OR(F56="",G56=""),"",IFERROR(E56/173,0))</f>
        <v/>
      </c>
      <c r="J56" s="18">
        <f>IF(H56="","",IFERROR(F56*H56*(1+G56/100)/100,0))</f>
        <v/>
      </c>
      <c r="K56" s="18">
        <f>IF(I56="","",IFERROR(I56*0.1,0))</f>
        <v/>
      </c>
      <c r="L56" s="18">
        <f>IF(I56="","",IFERROR(I56-J56,0))</f>
        <v/>
      </c>
      <c r="M56" s="22" t="n"/>
    </row>
    <row r="57" ht="22" customHeight="1">
      <c r="B57" s="21">
        <f>IF(C57="","HS"&amp;TEXT(COUNTA($C$5:C57),"000"))</f>
        <v/>
      </c>
      <c r="C57" s="21" t="n"/>
      <c r="D57" s="21">
        <f>IF(C57="","",VLOOKUP(C57,'_Données Employés'!$B$5:$S$114,3,FALSE))</f>
        <v/>
      </c>
      <c r="E57" s="21" t="n"/>
      <c r="F57" s="21" t="n"/>
      <c r="G57" s="21" t="n"/>
      <c r="H57" s="21" t="n"/>
      <c r="I57" s="16">
        <f>IF(OR(F57="",G57=""),"",IFERROR(E57/173,0))</f>
        <v/>
      </c>
      <c r="J57" s="16">
        <f>IF(H57="","",IFERROR(F57*H57*(1+G57/100)/100,0))</f>
        <v/>
      </c>
      <c r="K57" s="16">
        <f>IF(I57="","",IFERROR(I57*0.1,0))</f>
        <v/>
      </c>
      <c r="L57" s="16">
        <f>IF(I57="","",IFERROR(I57-J57,0))</f>
        <v/>
      </c>
      <c r="M57" s="21" t="n"/>
    </row>
    <row r="58" ht="22" customHeight="1">
      <c r="B58" s="22">
        <f>IF(C58="","HS"&amp;TEXT(COUNTA($C$5:C58),"000"))</f>
        <v/>
      </c>
      <c r="C58" s="22" t="n"/>
      <c r="D58" s="22">
        <f>IF(C58="","",VLOOKUP(C58,'_Données Employés'!$B$5:$S$114,3,FALSE))</f>
        <v/>
      </c>
      <c r="E58" s="22" t="n"/>
      <c r="F58" s="22" t="n"/>
      <c r="G58" s="22" t="n"/>
      <c r="H58" s="22" t="n"/>
      <c r="I58" s="18">
        <f>IF(OR(F58="",G58=""),"",IFERROR(E58/173,0))</f>
        <v/>
      </c>
      <c r="J58" s="18">
        <f>IF(H58="","",IFERROR(F58*H58*(1+G58/100)/100,0))</f>
        <v/>
      </c>
      <c r="K58" s="18">
        <f>IF(I58="","",IFERROR(I58*0.1,0))</f>
        <v/>
      </c>
      <c r="L58" s="18">
        <f>IF(I58="","",IFERROR(I58-J58,0))</f>
        <v/>
      </c>
      <c r="M58" s="22" t="n"/>
    </row>
    <row r="59" ht="22" customHeight="1">
      <c r="B59" s="21">
        <f>IF(C59="","HS"&amp;TEXT(COUNTA($C$5:C59),"000"))</f>
        <v/>
      </c>
      <c r="C59" s="21" t="n"/>
      <c r="D59" s="21">
        <f>IF(C59="","",VLOOKUP(C59,'_Données Employés'!$B$5:$S$114,3,FALSE))</f>
        <v/>
      </c>
      <c r="E59" s="21" t="n"/>
      <c r="F59" s="21" t="n"/>
      <c r="G59" s="21" t="n"/>
      <c r="H59" s="21" t="n"/>
      <c r="I59" s="16">
        <f>IF(OR(F59="",G59=""),"",IFERROR(E59/173,0))</f>
        <v/>
      </c>
      <c r="J59" s="16">
        <f>IF(H59="","",IFERROR(F59*H59*(1+G59/100)/100,0))</f>
        <v/>
      </c>
      <c r="K59" s="16">
        <f>IF(I59="","",IFERROR(I59*0.1,0))</f>
        <v/>
      </c>
      <c r="L59" s="16">
        <f>IF(I59="","",IFERROR(I59-J59,0))</f>
        <v/>
      </c>
      <c r="M59" s="21" t="n"/>
    </row>
    <row r="60" ht="22" customHeight="1">
      <c r="B60" s="22">
        <f>IF(C60="","HS"&amp;TEXT(COUNTA($C$5:C60),"000"))</f>
        <v/>
      </c>
      <c r="C60" s="22" t="n"/>
      <c r="D60" s="22">
        <f>IF(C60="","",VLOOKUP(C60,'_Données Employés'!$B$5:$S$114,3,FALSE))</f>
        <v/>
      </c>
      <c r="E60" s="22" t="n"/>
      <c r="F60" s="22" t="n"/>
      <c r="G60" s="22" t="n"/>
      <c r="H60" s="22" t="n"/>
      <c r="I60" s="18">
        <f>IF(OR(F60="",G60=""),"",IFERROR(E60/173,0))</f>
        <v/>
      </c>
      <c r="J60" s="18">
        <f>IF(H60="","",IFERROR(F60*H60*(1+G60/100)/100,0))</f>
        <v/>
      </c>
      <c r="K60" s="18">
        <f>IF(I60="","",IFERROR(I60*0.1,0))</f>
        <v/>
      </c>
      <c r="L60" s="18">
        <f>IF(I60="","",IFERROR(I60-J60,0))</f>
        <v/>
      </c>
      <c r="M60" s="22" t="n"/>
    </row>
    <row r="61" ht="22" customHeight="1">
      <c r="B61" s="21">
        <f>IF(C61="","HS"&amp;TEXT(COUNTA($C$5:C61),"000"))</f>
        <v/>
      </c>
      <c r="C61" s="21" t="n"/>
      <c r="D61" s="21">
        <f>IF(C61="","",VLOOKUP(C61,'_Données Employés'!$B$5:$S$114,3,FALSE))</f>
        <v/>
      </c>
      <c r="E61" s="21" t="n"/>
      <c r="F61" s="21" t="n"/>
      <c r="G61" s="21" t="n"/>
      <c r="H61" s="21" t="n"/>
      <c r="I61" s="16">
        <f>IF(OR(F61="",G61=""),"",IFERROR(E61/173,0))</f>
        <v/>
      </c>
      <c r="J61" s="16">
        <f>IF(H61="","",IFERROR(F61*H61*(1+G61/100)/100,0))</f>
        <v/>
      </c>
      <c r="K61" s="16">
        <f>IF(I61="","",IFERROR(I61*0.1,0))</f>
        <v/>
      </c>
      <c r="L61" s="16">
        <f>IF(I61="","",IFERROR(I61-J61,0))</f>
        <v/>
      </c>
      <c r="M61" s="21" t="n"/>
    </row>
    <row r="62" ht="22" customHeight="1">
      <c r="B62" s="22">
        <f>IF(C62="","HS"&amp;TEXT(COUNTA($C$5:C62),"000"))</f>
        <v/>
      </c>
      <c r="C62" s="22" t="n"/>
      <c r="D62" s="22">
        <f>IF(C62="","",VLOOKUP(C62,'_Données Employés'!$B$5:$S$114,3,FALSE))</f>
        <v/>
      </c>
      <c r="E62" s="22" t="n"/>
      <c r="F62" s="22" t="n"/>
      <c r="G62" s="22" t="n"/>
      <c r="H62" s="22" t="n"/>
      <c r="I62" s="18">
        <f>IF(OR(F62="",G62=""),"",IFERROR(E62/173,0))</f>
        <v/>
      </c>
      <c r="J62" s="18">
        <f>IF(H62="","",IFERROR(F62*H62*(1+G62/100)/100,0))</f>
        <v/>
      </c>
      <c r="K62" s="18">
        <f>IF(I62="","",IFERROR(I62*0.1,0))</f>
        <v/>
      </c>
      <c r="L62" s="18">
        <f>IF(I62="","",IFERROR(I62-J62,0))</f>
        <v/>
      </c>
      <c r="M62" s="22" t="n"/>
    </row>
    <row r="63" ht="22" customHeight="1">
      <c r="B63" s="21">
        <f>IF(C63="","HS"&amp;TEXT(COUNTA($C$5:C63),"000"))</f>
        <v/>
      </c>
      <c r="C63" s="21" t="n"/>
      <c r="D63" s="21">
        <f>IF(C63="","",VLOOKUP(C63,'_Données Employés'!$B$5:$S$114,3,FALSE))</f>
        <v/>
      </c>
      <c r="E63" s="21" t="n"/>
      <c r="F63" s="21" t="n"/>
      <c r="G63" s="21" t="n"/>
      <c r="H63" s="21" t="n"/>
      <c r="I63" s="16">
        <f>IF(OR(F63="",G63=""),"",IFERROR(E63/173,0))</f>
        <v/>
      </c>
      <c r="J63" s="16">
        <f>IF(H63="","",IFERROR(F63*H63*(1+G63/100)/100,0))</f>
        <v/>
      </c>
      <c r="K63" s="16">
        <f>IF(I63="","",IFERROR(I63*0.1,0))</f>
        <v/>
      </c>
      <c r="L63" s="16">
        <f>IF(I63="","",IFERROR(I63-J63,0))</f>
        <v/>
      </c>
      <c r="M63" s="21" t="n"/>
    </row>
    <row r="64" ht="22" customHeight="1">
      <c r="B64" s="22">
        <f>IF(C64="","HS"&amp;TEXT(COUNTA($C$5:C64),"000"))</f>
        <v/>
      </c>
      <c r="C64" s="22" t="n"/>
      <c r="D64" s="22">
        <f>IF(C64="","",VLOOKUP(C64,'_Données Employés'!$B$5:$S$114,3,FALSE))</f>
        <v/>
      </c>
      <c r="E64" s="22" t="n"/>
      <c r="F64" s="22" t="n"/>
      <c r="G64" s="22" t="n"/>
      <c r="H64" s="22" t="n"/>
      <c r="I64" s="18">
        <f>IF(OR(F64="",G64=""),"",IFERROR(E64/173,0))</f>
        <v/>
      </c>
      <c r="J64" s="18">
        <f>IF(H64="","",IFERROR(F64*H64*(1+G64/100)/100,0))</f>
        <v/>
      </c>
      <c r="K64" s="18">
        <f>IF(I64="","",IFERROR(I64*0.1,0))</f>
        <v/>
      </c>
      <c r="L64" s="18">
        <f>IF(I64="","",IFERROR(I64-J64,0))</f>
        <v/>
      </c>
      <c r="M64" s="22" t="n"/>
    </row>
    <row r="65" ht="22" customHeight="1">
      <c r="B65" s="21">
        <f>IF(C65="","HS"&amp;TEXT(COUNTA($C$5:C65),"000"))</f>
        <v/>
      </c>
      <c r="C65" s="21" t="n"/>
      <c r="D65" s="21">
        <f>IF(C65="","",VLOOKUP(C65,'_Données Employés'!$B$5:$S$114,3,FALSE))</f>
        <v/>
      </c>
      <c r="E65" s="21" t="n"/>
      <c r="F65" s="21" t="n"/>
      <c r="G65" s="21" t="n"/>
      <c r="H65" s="21" t="n"/>
      <c r="I65" s="16">
        <f>IF(OR(F65="",G65=""),"",IFERROR(E65/173,0))</f>
        <v/>
      </c>
      <c r="J65" s="16">
        <f>IF(H65="","",IFERROR(F65*H65*(1+G65/100)/100,0))</f>
        <v/>
      </c>
      <c r="K65" s="16">
        <f>IF(I65="","",IFERROR(I65*0.1,0))</f>
        <v/>
      </c>
      <c r="L65" s="16">
        <f>IF(I65="","",IFERROR(I65-J65,0))</f>
        <v/>
      </c>
      <c r="M65" s="21" t="n"/>
    </row>
    <row r="66" ht="22" customHeight="1">
      <c r="B66" s="22">
        <f>IF(C66="","HS"&amp;TEXT(COUNTA($C$5:C66),"000"))</f>
        <v/>
      </c>
      <c r="C66" s="22" t="n"/>
      <c r="D66" s="22">
        <f>IF(C66="","",VLOOKUP(C66,'_Données Employés'!$B$5:$S$114,3,FALSE))</f>
        <v/>
      </c>
      <c r="E66" s="22" t="n"/>
      <c r="F66" s="22" t="n"/>
      <c r="G66" s="22" t="n"/>
      <c r="H66" s="22" t="n"/>
      <c r="I66" s="18">
        <f>IF(OR(F66="",G66=""),"",IFERROR(E66/173,0))</f>
        <v/>
      </c>
      <c r="J66" s="18">
        <f>IF(H66="","",IFERROR(F66*H66*(1+G66/100)/100,0))</f>
        <v/>
      </c>
      <c r="K66" s="18">
        <f>IF(I66="","",IFERROR(I66*0.1,0))</f>
        <v/>
      </c>
      <c r="L66" s="18">
        <f>IF(I66="","",IFERROR(I66-J66,0))</f>
        <v/>
      </c>
      <c r="M66" s="22" t="n"/>
    </row>
    <row r="67" ht="22" customHeight="1">
      <c r="B67" s="21">
        <f>IF(C67="","HS"&amp;TEXT(COUNTA($C$5:C67),"000"))</f>
        <v/>
      </c>
      <c r="C67" s="21" t="n"/>
      <c r="D67" s="21">
        <f>IF(C67="","",VLOOKUP(C67,'_Données Employés'!$B$5:$S$114,3,FALSE))</f>
        <v/>
      </c>
      <c r="E67" s="21" t="n"/>
      <c r="F67" s="21" t="n"/>
      <c r="G67" s="21" t="n"/>
      <c r="H67" s="21" t="n"/>
      <c r="I67" s="16">
        <f>IF(OR(F67="",G67=""),"",IFERROR(E67/173,0))</f>
        <v/>
      </c>
      <c r="J67" s="16">
        <f>IF(H67="","",IFERROR(F67*H67*(1+G67/100)/100,0))</f>
        <v/>
      </c>
      <c r="K67" s="16">
        <f>IF(I67="","",IFERROR(I67*0.1,0))</f>
        <v/>
      </c>
      <c r="L67" s="16">
        <f>IF(I67="","",IFERROR(I67-J67,0))</f>
        <v/>
      </c>
      <c r="M67" s="21" t="n"/>
    </row>
    <row r="68" ht="22" customHeight="1">
      <c r="B68" s="22">
        <f>IF(C68="","HS"&amp;TEXT(COUNTA($C$5:C68),"000"))</f>
        <v/>
      </c>
      <c r="C68" s="22" t="n"/>
      <c r="D68" s="22">
        <f>IF(C68="","",VLOOKUP(C68,'_Données Employés'!$B$5:$S$114,3,FALSE))</f>
        <v/>
      </c>
      <c r="E68" s="22" t="n"/>
      <c r="F68" s="22" t="n"/>
      <c r="G68" s="22" t="n"/>
      <c r="H68" s="22" t="n"/>
      <c r="I68" s="18">
        <f>IF(OR(F68="",G68=""),"",IFERROR(E68/173,0))</f>
        <v/>
      </c>
      <c r="J68" s="18">
        <f>IF(H68="","",IFERROR(F68*H68*(1+G68/100)/100,0))</f>
        <v/>
      </c>
      <c r="K68" s="18">
        <f>IF(I68="","",IFERROR(I68*0.1,0))</f>
        <v/>
      </c>
      <c r="L68" s="18">
        <f>IF(I68="","",IFERROR(I68-J68,0))</f>
        <v/>
      </c>
      <c r="M68" s="22" t="n"/>
    </row>
    <row r="69" ht="22" customHeight="1">
      <c r="B69" s="21">
        <f>IF(C69="","HS"&amp;TEXT(COUNTA($C$5:C69),"000"))</f>
        <v/>
      </c>
      <c r="C69" s="21" t="n"/>
      <c r="D69" s="21">
        <f>IF(C69="","",VLOOKUP(C69,'_Données Employés'!$B$5:$S$114,3,FALSE))</f>
        <v/>
      </c>
      <c r="E69" s="21" t="n"/>
      <c r="F69" s="21" t="n"/>
      <c r="G69" s="21" t="n"/>
      <c r="H69" s="21" t="n"/>
      <c r="I69" s="16">
        <f>IF(OR(F69="",G69=""),"",IFERROR(E69/173,0))</f>
        <v/>
      </c>
      <c r="J69" s="16">
        <f>IF(H69="","",IFERROR(F69*H69*(1+G69/100)/100,0))</f>
        <v/>
      </c>
      <c r="K69" s="16">
        <f>IF(I69="","",IFERROR(I69*0.1,0))</f>
        <v/>
      </c>
      <c r="L69" s="16">
        <f>IF(I69="","",IFERROR(I69-J69,0))</f>
        <v/>
      </c>
      <c r="M69" s="21" t="n"/>
    </row>
    <row r="70" ht="22" customHeight="1">
      <c r="B70" s="22">
        <f>IF(C70="","HS"&amp;TEXT(COUNTA($C$5:C70),"000"))</f>
        <v/>
      </c>
      <c r="C70" s="22" t="n"/>
      <c r="D70" s="22">
        <f>IF(C70="","",VLOOKUP(C70,'_Données Employés'!$B$5:$S$114,3,FALSE))</f>
        <v/>
      </c>
      <c r="E70" s="22" t="n"/>
      <c r="F70" s="22" t="n"/>
      <c r="G70" s="22" t="n"/>
      <c r="H70" s="22" t="n"/>
      <c r="I70" s="18">
        <f>IF(OR(F70="",G70=""),"",IFERROR(E70/173,0))</f>
        <v/>
      </c>
      <c r="J70" s="18">
        <f>IF(H70="","",IFERROR(F70*H70*(1+G70/100)/100,0))</f>
        <v/>
      </c>
      <c r="K70" s="18">
        <f>IF(I70="","",IFERROR(I70*0.1,0))</f>
        <v/>
      </c>
      <c r="L70" s="18">
        <f>IF(I70="","",IFERROR(I70-J70,0))</f>
        <v/>
      </c>
      <c r="M70" s="22" t="n"/>
    </row>
    <row r="71" ht="22" customHeight="1">
      <c r="B71" s="21">
        <f>IF(C71="","HS"&amp;TEXT(COUNTA($C$5:C71),"000"))</f>
        <v/>
      </c>
      <c r="C71" s="21" t="n"/>
      <c r="D71" s="21">
        <f>IF(C71="","",VLOOKUP(C71,'_Données Employés'!$B$5:$S$114,3,FALSE))</f>
        <v/>
      </c>
      <c r="E71" s="21" t="n"/>
      <c r="F71" s="21" t="n"/>
      <c r="G71" s="21" t="n"/>
      <c r="H71" s="21" t="n"/>
      <c r="I71" s="16">
        <f>IF(OR(F71="",G71=""),"",IFERROR(E71/173,0))</f>
        <v/>
      </c>
      <c r="J71" s="16">
        <f>IF(H71="","",IFERROR(F71*H71*(1+G71/100)/100,0))</f>
        <v/>
      </c>
      <c r="K71" s="16">
        <f>IF(I71="","",IFERROR(I71*0.1,0))</f>
        <v/>
      </c>
      <c r="L71" s="16">
        <f>IF(I71="","",IFERROR(I71-J71,0))</f>
        <v/>
      </c>
      <c r="M71" s="21" t="n"/>
    </row>
    <row r="72" ht="22" customHeight="1">
      <c r="B72" s="22">
        <f>IF(C72="","HS"&amp;TEXT(COUNTA($C$5:C72),"000"))</f>
        <v/>
      </c>
      <c r="C72" s="22" t="n"/>
      <c r="D72" s="22">
        <f>IF(C72="","",VLOOKUP(C72,'_Données Employés'!$B$5:$S$114,3,FALSE))</f>
        <v/>
      </c>
      <c r="E72" s="22" t="n"/>
      <c r="F72" s="22" t="n"/>
      <c r="G72" s="22" t="n"/>
      <c r="H72" s="22" t="n"/>
      <c r="I72" s="18">
        <f>IF(OR(F72="",G72=""),"",IFERROR(E72/173,0))</f>
        <v/>
      </c>
      <c r="J72" s="18">
        <f>IF(H72="","",IFERROR(F72*H72*(1+G72/100)/100,0))</f>
        <v/>
      </c>
      <c r="K72" s="18">
        <f>IF(I72="","",IFERROR(I72*0.1,0))</f>
        <v/>
      </c>
      <c r="L72" s="18">
        <f>IF(I72="","",IFERROR(I72-J72,0))</f>
        <v/>
      </c>
      <c r="M72" s="22" t="n"/>
    </row>
    <row r="73" ht="22" customHeight="1">
      <c r="B73" s="21">
        <f>IF(C73="","HS"&amp;TEXT(COUNTA($C$5:C73),"000"))</f>
        <v/>
      </c>
      <c r="C73" s="21" t="n"/>
      <c r="D73" s="21">
        <f>IF(C73="","",VLOOKUP(C73,'_Données Employés'!$B$5:$S$114,3,FALSE))</f>
        <v/>
      </c>
      <c r="E73" s="21" t="n"/>
      <c r="F73" s="21" t="n"/>
      <c r="G73" s="21" t="n"/>
      <c r="H73" s="21" t="n"/>
      <c r="I73" s="16">
        <f>IF(OR(F73="",G73=""),"",IFERROR(E73/173,0))</f>
        <v/>
      </c>
      <c r="J73" s="16">
        <f>IF(H73="","",IFERROR(F73*H73*(1+G73/100)/100,0))</f>
        <v/>
      </c>
      <c r="K73" s="16">
        <f>IF(I73="","",IFERROR(I73*0.1,0))</f>
        <v/>
      </c>
      <c r="L73" s="16">
        <f>IF(I73="","",IFERROR(I73-J73,0))</f>
        <v/>
      </c>
      <c r="M73" s="21" t="n"/>
    </row>
    <row r="74" ht="22" customHeight="1">
      <c r="B74" s="22">
        <f>IF(C74="","HS"&amp;TEXT(COUNTA($C$5:C74),"000"))</f>
        <v/>
      </c>
      <c r="C74" s="22" t="n"/>
      <c r="D74" s="22">
        <f>IF(C74="","",VLOOKUP(C74,'_Données Employés'!$B$5:$S$114,3,FALSE))</f>
        <v/>
      </c>
      <c r="E74" s="22" t="n"/>
      <c r="F74" s="22" t="n"/>
      <c r="G74" s="22" t="n"/>
      <c r="H74" s="22" t="n"/>
      <c r="I74" s="18">
        <f>IF(OR(F74="",G74=""),"",IFERROR(E74/173,0))</f>
        <v/>
      </c>
      <c r="J74" s="18">
        <f>IF(H74="","",IFERROR(F74*H74*(1+G74/100)/100,0))</f>
        <v/>
      </c>
      <c r="K74" s="18">
        <f>IF(I74="","",IFERROR(I74*0.1,0))</f>
        <v/>
      </c>
      <c r="L74" s="18">
        <f>IF(I74="","",IFERROR(I74-J74,0))</f>
        <v/>
      </c>
      <c r="M74" s="22" t="n"/>
    </row>
    <row r="75" ht="22" customHeight="1">
      <c r="B75" s="21">
        <f>IF(C75="","HS"&amp;TEXT(COUNTA($C$5:C75),"000"))</f>
        <v/>
      </c>
      <c r="C75" s="21" t="n"/>
      <c r="D75" s="21">
        <f>IF(C75="","",VLOOKUP(C75,'_Données Employés'!$B$5:$S$114,3,FALSE))</f>
        <v/>
      </c>
      <c r="E75" s="21" t="n"/>
      <c r="F75" s="21" t="n"/>
      <c r="G75" s="21" t="n"/>
      <c r="H75" s="21" t="n"/>
      <c r="I75" s="16">
        <f>IF(OR(F75="",G75=""),"",IFERROR(E75/173,0))</f>
        <v/>
      </c>
      <c r="J75" s="16">
        <f>IF(H75="","",IFERROR(F75*H75*(1+G75/100)/100,0))</f>
        <v/>
      </c>
      <c r="K75" s="16">
        <f>IF(I75="","",IFERROR(I75*0.1,0))</f>
        <v/>
      </c>
      <c r="L75" s="16">
        <f>IF(I75="","",IFERROR(I75-J75,0))</f>
        <v/>
      </c>
      <c r="M75" s="21" t="n"/>
    </row>
    <row r="76" ht="22" customHeight="1">
      <c r="B76" s="22">
        <f>IF(C76="","HS"&amp;TEXT(COUNTA($C$5:C76),"000"))</f>
        <v/>
      </c>
      <c r="C76" s="22" t="n"/>
      <c r="D76" s="22">
        <f>IF(C76="","",VLOOKUP(C76,'_Données Employés'!$B$5:$S$114,3,FALSE))</f>
        <v/>
      </c>
      <c r="E76" s="22" t="n"/>
      <c r="F76" s="22" t="n"/>
      <c r="G76" s="22" t="n"/>
      <c r="H76" s="22" t="n"/>
      <c r="I76" s="18">
        <f>IF(OR(F76="",G76=""),"",IFERROR(E76/173,0))</f>
        <v/>
      </c>
      <c r="J76" s="18">
        <f>IF(H76="","",IFERROR(F76*H76*(1+G76/100)/100,0))</f>
        <v/>
      </c>
      <c r="K76" s="18">
        <f>IF(I76="","",IFERROR(I76*0.1,0))</f>
        <v/>
      </c>
      <c r="L76" s="18">
        <f>IF(I76="","",IFERROR(I76-J76,0))</f>
        <v/>
      </c>
      <c r="M76" s="22" t="n"/>
    </row>
    <row r="77" ht="22" customHeight="1">
      <c r="B77" s="21">
        <f>IF(C77="","HS"&amp;TEXT(COUNTA($C$5:C77),"000"))</f>
        <v/>
      </c>
      <c r="C77" s="21" t="n"/>
      <c r="D77" s="21">
        <f>IF(C77="","",VLOOKUP(C77,'_Données Employés'!$B$5:$S$114,3,FALSE))</f>
        <v/>
      </c>
      <c r="E77" s="21" t="n"/>
      <c r="F77" s="21" t="n"/>
      <c r="G77" s="21" t="n"/>
      <c r="H77" s="21" t="n"/>
      <c r="I77" s="16">
        <f>IF(OR(F77="",G77=""),"",IFERROR(E77/173,0))</f>
        <v/>
      </c>
      <c r="J77" s="16">
        <f>IF(H77="","",IFERROR(F77*H77*(1+G77/100)/100,0))</f>
        <v/>
      </c>
      <c r="K77" s="16">
        <f>IF(I77="","",IFERROR(I77*0.1,0))</f>
        <v/>
      </c>
      <c r="L77" s="16">
        <f>IF(I77="","",IFERROR(I77-J77,0))</f>
        <v/>
      </c>
      <c r="M77" s="21" t="n"/>
    </row>
    <row r="78" ht="22" customHeight="1">
      <c r="B78" s="22">
        <f>IF(C78="","HS"&amp;TEXT(COUNTA($C$5:C78),"000"))</f>
        <v/>
      </c>
      <c r="C78" s="22" t="n"/>
      <c r="D78" s="22">
        <f>IF(C78="","",VLOOKUP(C78,'_Données Employés'!$B$5:$S$114,3,FALSE))</f>
        <v/>
      </c>
      <c r="E78" s="22" t="n"/>
      <c r="F78" s="22" t="n"/>
      <c r="G78" s="22" t="n"/>
      <c r="H78" s="22" t="n"/>
      <c r="I78" s="18">
        <f>IF(OR(F78="",G78=""),"",IFERROR(E78/173,0))</f>
        <v/>
      </c>
      <c r="J78" s="18">
        <f>IF(H78="","",IFERROR(F78*H78*(1+G78/100)/100,0))</f>
        <v/>
      </c>
      <c r="K78" s="18">
        <f>IF(I78="","",IFERROR(I78*0.1,0))</f>
        <v/>
      </c>
      <c r="L78" s="18">
        <f>IF(I78="","",IFERROR(I78-J78,0))</f>
        <v/>
      </c>
      <c r="M78" s="22" t="n"/>
    </row>
    <row r="79" ht="22" customHeight="1">
      <c r="B79" s="21">
        <f>IF(C79="","HS"&amp;TEXT(COUNTA($C$5:C79),"000"))</f>
        <v/>
      </c>
      <c r="C79" s="21" t="n"/>
      <c r="D79" s="21">
        <f>IF(C79="","",VLOOKUP(C79,'_Données Employés'!$B$5:$S$114,3,FALSE))</f>
        <v/>
      </c>
      <c r="E79" s="21" t="n"/>
      <c r="F79" s="21" t="n"/>
      <c r="G79" s="21" t="n"/>
      <c r="H79" s="21" t="n"/>
      <c r="I79" s="16">
        <f>IF(OR(F79="",G79=""),"",IFERROR(E79/173,0))</f>
        <v/>
      </c>
      <c r="J79" s="16">
        <f>IF(H79="","",IFERROR(F79*H79*(1+G79/100)/100,0))</f>
        <v/>
      </c>
      <c r="K79" s="16">
        <f>IF(I79="","",IFERROR(I79*0.1,0))</f>
        <v/>
      </c>
      <c r="L79" s="16">
        <f>IF(I79="","",IFERROR(I79-J79,0))</f>
        <v/>
      </c>
      <c r="M79" s="21" t="n"/>
    </row>
    <row r="80" ht="22" customHeight="1">
      <c r="B80" s="22">
        <f>IF(C80="","HS"&amp;TEXT(COUNTA($C$5:C80),"000"))</f>
        <v/>
      </c>
      <c r="C80" s="22" t="n"/>
      <c r="D80" s="22">
        <f>IF(C80="","",VLOOKUP(C80,'_Données Employés'!$B$5:$S$114,3,FALSE))</f>
        <v/>
      </c>
      <c r="E80" s="22" t="n"/>
      <c r="F80" s="22" t="n"/>
      <c r="G80" s="22" t="n"/>
      <c r="H80" s="22" t="n"/>
      <c r="I80" s="18">
        <f>IF(OR(F80="",G80=""),"",IFERROR(E80/173,0))</f>
        <v/>
      </c>
      <c r="J80" s="18">
        <f>IF(H80="","",IFERROR(F80*H80*(1+G80/100)/100,0))</f>
        <v/>
      </c>
      <c r="K80" s="18">
        <f>IF(I80="","",IFERROR(I80*0.1,0))</f>
        <v/>
      </c>
      <c r="L80" s="18">
        <f>IF(I80="","",IFERROR(I80-J80,0))</f>
        <v/>
      </c>
      <c r="M80" s="22" t="n"/>
    </row>
    <row r="81" ht="22" customHeight="1">
      <c r="B81" s="21">
        <f>IF(C81="","HS"&amp;TEXT(COUNTA($C$5:C81),"000"))</f>
        <v/>
      </c>
      <c r="C81" s="21" t="n"/>
      <c r="D81" s="21">
        <f>IF(C81="","",VLOOKUP(C81,'_Données Employés'!$B$5:$S$114,3,FALSE))</f>
        <v/>
      </c>
      <c r="E81" s="21" t="n"/>
      <c r="F81" s="21" t="n"/>
      <c r="G81" s="21" t="n"/>
      <c r="H81" s="21" t="n"/>
      <c r="I81" s="16">
        <f>IF(OR(F81="",G81=""),"",IFERROR(E81/173,0))</f>
        <v/>
      </c>
      <c r="J81" s="16">
        <f>IF(H81="","",IFERROR(F81*H81*(1+G81/100)/100,0))</f>
        <v/>
      </c>
      <c r="K81" s="16">
        <f>IF(I81="","",IFERROR(I81*0.1,0))</f>
        <v/>
      </c>
      <c r="L81" s="16">
        <f>IF(I81="","",IFERROR(I81-J81,0))</f>
        <v/>
      </c>
      <c r="M81" s="21" t="n"/>
    </row>
    <row r="82" ht="22" customHeight="1">
      <c r="B82" s="22">
        <f>IF(C82="","HS"&amp;TEXT(COUNTA($C$5:C82),"000"))</f>
        <v/>
      </c>
      <c r="C82" s="22" t="n"/>
      <c r="D82" s="22">
        <f>IF(C82="","",VLOOKUP(C82,'_Données Employés'!$B$5:$S$114,3,FALSE))</f>
        <v/>
      </c>
      <c r="E82" s="22" t="n"/>
      <c r="F82" s="22" t="n"/>
      <c r="G82" s="22" t="n"/>
      <c r="H82" s="22" t="n"/>
      <c r="I82" s="18">
        <f>IF(OR(F82="",G82=""),"",IFERROR(E82/173,0))</f>
        <v/>
      </c>
      <c r="J82" s="18">
        <f>IF(H82="","",IFERROR(F82*H82*(1+G82/100)/100,0))</f>
        <v/>
      </c>
      <c r="K82" s="18">
        <f>IF(I82="","",IFERROR(I82*0.1,0))</f>
        <v/>
      </c>
      <c r="L82" s="18">
        <f>IF(I82="","",IFERROR(I82-J82,0))</f>
        <v/>
      </c>
      <c r="M82" s="22" t="n"/>
    </row>
    <row r="83" ht="22" customHeight="1">
      <c r="B83" s="21">
        <f>IF(C83="","HS"&amp;TEXT(COUNTA($C$5:C83),"000"))</f>
        <v/>
      </c>
      <c r="C83" s="21" t="n"/>
      <c r="D83" s="21">
        <f>IF(C83="","",VLOOKUP(C83,'_Données Employés'!$B$5:$S$114,3,FALSE))</f>
        <v/>
      </c>
      <c r="E83" s="21" t="n"/>
      <c r="F83" s="21" t="n"/>
      <c r="G83" s="21" t="n"/>
      <c r="H83" s="21" t="n"/>
      <c r="I83" s="16">
        <f>IF(OR(F83="",G83=""),"",IFERROR(E83/173,0))</f>
        <v/>
      </c>
      <c r="J83" s="16">
        <f>IF(H83="","",IFERROR(F83*H83*(1+G83/100)/100,0))</f>
        <v/>
      </c>
      <c r="K83" s="16">
        <f>IF(I83="","",IFERROR(I83*0.1,0))</f>
        <v/>
      </c>
      <c r="L83" s="16">
        <f>IF(I83="","",IFERROR(I83-J83,0))</f>
        <v/>
      </c>
      <c r="M83" s="21" t="n"/>
    </row>
    <row r="84" ht="22" customHeight="1">
      <c r="B84" s="22">
        <f>IF(C84="","HS"&amp;TEXT(COUNTA($C$5:C84),"000"))</f>
        <v/>
      </c>
      <c r="C84" s="22" t="n"/>
      <c r="D84" s="22">
        <f>IF(C84="","",VLOOKUP(C84,'_Données Employés'!$B$5:$S$114,3,FALSE))</f>
        <v/>
      </c>
      <c r="E84" s="22" t="n"/>
      <c r="F84" s="22" t="n"/>
      <c r="G84" s="22" t="n"/>
      <c r="H84" s="22" t="n"/>
      <c r="I84" s="18">
        <f>IF(OR(F84="",G84=""),"",IFERROR(E84/173,0))</f>
        <v/>
      </c>
      <c r="J84" s="18">
        <f>IF(H84="","",IFERROR(F84*H84*(1+G84/100)/100,0))</f>
        <v/>
      </c>
      <c r="K84" s="18">
        <f>IF(I84="","",IFERROR(I84*0.1,0))</f>
        <v/>
      </c>
      <c r="L84" s="18">
        <f>IF(I84="","",IFERROR(I84-J84,0))</f>
        <v/>
      </c>
      <c r="M84" s="22" t="n"/>
    </row>
    <row r="85" ht="22" customHeight="1">
      <c r="B85" s="21">
        <f>IF(C85="","HS"&amp;TEXT(COUNTA($C$5:C85),"000"))</f>
        <v/>
      </c>
      <c r="C85" s="21" t="n"/>
      <c r="D85" s="21">
        <f>IF(C85="","",VLOOKUP(C85,'_Données Employés'!$B$5:$S$114,3,FALSE))</f>
        <v/>
      </c>
      <c r="E85" s="21" t="n"/>
      <c r="F85" s="21" t="n"/>
      <c r="G85" s="21" t="n"/>
      <c r="H85" s="21" t="n"/>
      <c r="I85" s="16">
        <f>IF(OR(F85="",G85=""),"",IFERROR(E85/173,0))</f>
        <v/>
      </c>
      <c r="J85" s="16">
        <f>IF(H85="","",IFERROR(F85*H85*(1+G85/100)/100,0))</f>
        <v/>
      </c>
      <c r="K85" s="16">
        <f>IF(I85="","",IFERROR(I85*0.1,0))</f>
        <v/>
      </c>
      <c r="L85" s="16">
        <f>IF(I85="","",IFERROR(I85-J85,0))</f>
        <v/>
      </c>
      <c r="M85" s="21" t="n"/>
    </row>
    <row r="86" ht="22" customHeight="1">
      <c r="B86" s="22">
        <f>IF(C86="","HS"&amp;TEXT(COUNTA($C$5:C86),"000"))</f>
        <v/>
      </c>
      <c r="C86" s="22" t="n"/>
      <c r="D86" s="22">
        <f>IF(C86="","",VLOOKUP(C86,'_Données Employés'!$B$5:$S$114,3,FALSE))</f>
        <v/>
      </c>
      <c r="E86" s="22" t="n"/>
      <c r="F86" s="22" t="n"/>
      <c r="G86" s="22" t="n"/>
      <c r="H86" s="22" t="n"/>
      <c r="I86" s="18">
        <f>IF(OR(F86="",G86=""),"",IFERROR(E86/173,0))</f>
        <v/>
      </c>
      <c r="J86" s="18">
        <f>IF(H86="","",IFERROR(F86*H86*(1+G86/100)/100,0))</f>
        <v/>
      </c>
      <c r="K86" s="18">
        <f>IF(I86="","",IFERROR(I86*0.1,0))</f>
        <v/>
      </c>
      <c r="L86" s="18">
        <f>IF(I86="","",IFERROR(I86-J86,0))</f>
        <v/>
      </c>
      <c r="M86" s="22" t="n"/>
    </row>
    <row r="87" ht="22" customHeight="1">
      <c r="B87" s="21">
        <f>IF(C87="","HS"&amp;TEXT(COUNTA($C$5:C87),"000"))</f>
        <v/>
      </c>
      <c r="C87" s="21" t="n"/>
      <c r="D87" s="21">
        <f>IF(C87="","",VLOOKUP(C87,'_Données Employés'!$B$5:$S$114,3,FALSE))</f>
        <v/>
      </c>
      <c r="E87" s="21" t="n"/>
      <c r="F87" s="21" t="n"/>
      <c r="G87" s="21" t="n"/>
      <c r="H87" s="21" t="n"/>
      <c r="I87" s="16">
        <f>IF(OR(F87="",G87=""),"",IFERROR(E87/173,0))</f>
        <v/>
      </c>
      <c r="J87" s="16">
        <f>IF(H87="","",IFERROR(F87*H87*(1+G87/100)/100,0))</f>
        <v/>
      </c>
      <c r="K87" s="16">
        <f>IF(I87="","",IFERROR(I87*0.1,0))</f>
        <v/>
      </c>
      <c r="L87" s="16">
        <f>IF(I87="","",IFERROR(I87-J87,0))</f>
        <v/>
      </c>
      <c r="M87" s="21" t="n"/>
    </row>
    <row r="88" ht="22" customHeight="1">
      <c r="B88" s="22">
        <f>IF(C88="","HS"&amp;TEXT(COUNTA($C$5:C88),"000"))</f>
        <v/>
      </c>
      <c r="C88" s="22" t="n"/>
      <c r="D88" s="22">
        <f>IF(C88="","",VLOOKUP(C88,'_Données Employés'!$B$5:$S$114,3,FALSE))</f>
        <v/>
      </c>
      <c r="E88" s="22" t="n"/>
      <c r="F88" s="22" t="n"/>
      <c r="G88" s="22" t="n"/>
      <c r="H88" s="22" t="n"/>
      <c r="I88" s="18">
        <f>IF(OR(F88="",G88=""),"",IFERROR(E88/173,0))</f>
        <v/>
      </c>
      <c r="J88" s="18">
        <f>IF(H88="","",IFERROR(F88*H88*(1+G88/100)/100,0))</f>
        <v/>
      </c>
      <c r="K88" s="18">
        <f>IF(I88="","",IFERROR(I88*0.1,0))</f>
        <v/>
      </c>
      <c r="L88" s="18">
        <f>IF(I88="","",IFERROR(I88-J88,0))</f>
        <v/>
      </c>
      <c r="M88" s="22" t="n"/>
    </row>
    <row r="89" ht="22" customHeight="1">
      <c r="B89" s="21">
        <f>IF(C89="","HS"&amp;TEXT(COUNTA($C$5:C89),"000"))</f>
        <v/>
      </c>
      <c r="C89" s="21" t="n"/>
      <c r="D89" s="21">
        <f>IF(C89="","",VLOOKUP(C89,'_Données Employés'!$B$5:$S$114,3,FALSE))</f>
        <v/>
      </c>
      <c r="E89" s="21" t="n"/>
      <c r="F89" s="21" t="n"/>
      <c r="G89" s="21" t="n"/>
      <c r="H89" s="21" t="n"/>
      <c r="I89" s="16">
        <f>IF(OR(F89="",G89=""),"",IFERROR(E89/173,0))</f>
        <v/>
      </c>
      <c r="J89" s="16">
        <f>IF(H89="","",IFERROR(F89*H89*(1+G89/100)/100,0))</f>
        <v/>
      </c>
      <c r="K89" s="16">
        <f>IF(I89="","",IFERROR(I89*0.1,0))</f>
        <v/>
      </c>
      <c r="L89" s="16">
        <f>IF(I89="","",IFERROR(I89-J89,0))</f>
        <v/>
      </c>
      <c r="M89" s="21" t="n"/>
    </row>
    <row r="90" ht="22" customHeight="1">
      <c r="B90" s="22">
        <f>IF(C90="","HS"&amp;TEXT(COUNTA($C$5:C90),"000"))</f>
        <v/>
      </c>
      <c r="C90" s="22" t="n"/>
      <c r="D90" s="22">
        <f>IF(C90="","",VLOOKUP(C90,'_Données Employés'!$B$5:$S$114,3,FALSE))</f>
        <v/>
      </c>
      <c r="E90" s="22" t="n"/>
      <c r="F90" s="22" t="n"/>
      <c r="G90" s="22" t="n"/>
      <c r="H90" s="22" t="n"/>
      <c r="I90" s="18">
        <f>IF(OR(F90="",G90=""),"",IFERROR(E90/173,0))</f>
        <v/>
      </c>
      <c r="J90" s="18">
        <f>IF(H90="","",IFERROR(F90*H90*(1+G90/100)/100,0))</f>
        <v/>
      </c>
      <c r="K90" s="18">
        <f>IF(I90="","",IFERROR(I90*0.1,0))</f>
        <v/>
      </c>
      <c r="L90" s="18">
        <f>IF(I90="","",IFERROR(I90-J90,0))</f>
        <v/>
      </c>
      <c r="M90" s="22" t="n"/>
    </row>
    <row r="91" ht="22" customHeight="1">
      <c r="B91" s="21">
        <f>IF(C91="","HS"&amp;TEXT(COUNTA($C$5:C91),"000"))</f>
        <v/>
      </c>
      <c r="C91" s="21" t="n"/>
      <c r="D91" s="21">
        <f>IF(C91="","",VLOOKUP(C91,'_Données Employés'!$B$5:$S$114,3,FALSE))</f>
        <v/>
      </c>
      <c r="E91" s="21" t="n"/>
      <c r="F91" s="21" t="n"/>
      <c r="G91" s="21" t="n"/>
      <c r="H91" s="21" t="n"/>
      <c r="I91" s="16">
        <f>IF(OR(F91="",G91=""),"",IFERROR(E91/173,0))</f>
        <v/>
      </c>
      <c r="J91" s="16">
        <f>IF(H91="","",IFERROR(F91*H91*(1+G91/100)/100,0))</f>
        <v/>
      </c>
      <c r="K91" s="16">
        <f>IF(I91="","",IFERROR(I91*0.1,0))</f>
        <v/>
      </c>
      <c r="L91" s="16">
        <f>IF(I91="","",IFERROR(I91-J91,0))</f>
        <v/>
      </c>
      <c r="M91" s="21" t="n"/>
    </row>
    <row r="92" ht="22" customHeight="1">
      <c r="B92" s="22">
        <f>IF(C92="","HS"&amp;TEXT(COUNTA($C$5:C92),"000"))</f>
        <v/>
      </c>
      <c r="C92" s="22" t="n"/>
      <c r="D92" s="22">
        <f>IF(C92="","",VLOOKUP(C92,'_Données Employés'!$B$5:$S$114,3,FALSE))</f>
        <v/>
      </c>
      <c r="E92" s="22" t="n"/>
      <c r="F92" s="22" t="n"/>
      <c r="G92" s="22" t="n"/>
      <c r="H92" s="22" t="n"/>
      <c r="I92" s="18">
        <f>IF(OR(F92="",G92=""),"",IFERROR(E92/173,0))</f>
        <v/>
      </c>
      <c r="J92" s="18">
        <f>IF(H92="","",IFERROR(F92*H92*(1+G92/100)/100,0))</f>
        <v/>
      </c>
      <c r="K92" s="18">
        <f>IF(I92="","",IFERROR(I92*0.1,0))</f>
        <v/>
      </c>
      <c r="L92" s="18">
        <f>IF(I92="","",IFERROR(I92-J92,0))</f>
        <v/>
      </c>
      <c r="M92" s="22" t="n"/>
    </row>
    <row r="93" ht="22" customHeight="1">
      <c r="B93" s="21">
        <f>IF(C93="","HS"&amp;TEXT(COUNTA($C$5:C93),"000"))</f>
        <v/>
      </c>
      <c r="C93" s="21" t="n"/>
      <c r="D93" s="21">
        <f>IF(C93="","",VLOOKUP(C93,'_Données Employés'!$B$5:$S$114,3,FALSE))</f>
        <v/>
      </c>
      <c r="E93" s="21" t="n"/>
      <c r="F93" s="21" t="n"/>
      <c r="G93" s="21" t="n"/>
      <c r="H93" s="21" t="n"/>
      <c r="I93" s="16">
        <f>IF(OR(F93="",G93=""),"",IFERROR(E93/173,0))</f>
        <v/>
      </c>
      <c r="J93" s="16">
        <f>IF(H93="","",IFERROR(F93*H93*(1+G93/100)/100,0))</f>
        <v/>
      </c>
      <c r="K93" s="16">
        <f>IF(I93="","",IFERROR(I93*0.1,0))</f>
        <v/>
      </c>
      <c r="L93" s="16">
        <f>IF(I93="","",IFERROR(I93-J93,0))</f>
        <v/>
      </c>
      <c r="M93" s="21" t="n"/>
    </row>
    <row r="94" ht="22" customHeight="1">
      <c r="B94" s="22">
        <f>IF(C94="","HS"&amp;TEXT(COUNTA($C$5:C94),"000"))</f>
        <v/>
      </c>
      <c r="C94" s="22" t="n"/>
      <c r="D94" s="22">
        <f>IF(C94="","",VLOOKUP(C94,'_Données Employés'!$B$5:$S$114,3,FALSE))</f>
        <v/>
      </c>
      <c r="E94" s="22" t="n"/>
      <c r="F94" s="22" t="n"/>
      <c r="G94" s="22" t="n"/>
      <c r="H94" s="22" t="n"/>
      <c r="I94" s="18">
        <f>IF(OR(F94="",G94=""),"",IFERROR(E94/173,0))</f>
        <v/>
      </c>
      <c r="J94" s="18">
        <f>IF(H94="","",IFERROR(F94*H94*(1+G94/100)/100,0))</f>
        <v/>
      </c>
      <c r="K94" s="18">
        <f>IF(I94="","",IFERROR(I94*0.1,0))</f>
        <v/>
      </c>
      <c r="L94" s="18">
        <f>IF(I94="","",IFERROR(I94-J94,0))</f>
        <v/>
      </c>
      <c r="M94" s="22" t="n"/>
    </row>
    <row r="95" ht="22" customHeight="1">
      <c r="B95" s="21">
        <f>IF(C95="","HS"&amp;TEXT(COUNTA($C$5:C95),"000"))</f>
        <v/>
      </c>
      <c r="C95" s="21" t="n"/>
      <c r="D95" s="21">
        <f>IF(C95="","",VLOOKUP(C95,'_Données Employés'!$B$5:$S$114,3,FALSE))</f>
        <v/>
      </c>
      <c r="E95" s="21" t="n"/>
      <c r="F95" s="21" t="n"/>
      <c r="G95" s="21" t="n"/>
      <c r="H95" s="21" t="n"/>
      <c r="I95" s="16">
        <f>IF(OR(F95="",G95=""),"",IFERROR(E95/173,0))</f>
        <v/>
      </c>
      <c r="J95" s="16">
        <f>IF(H95="","",IFERROR(F95*H95*(1+G95/100)/100,0))</f>
        <v/>
      </c>
      <c r="K95" s="16">
        <f>IF(I95="","",IFERROR(I95*0.1,0))</f>
        <v/>
      </c>
      <c r="L95" s="16">
        <f>IF(I95="","",IFERROR(I95-J95,0))</f>
        <v/>
      </c>
      <c r="M95" s="21" t="n"/>
    </row>
    <row r="96" ht="22" customHeight="1">
      <c r="B96" s="22">
        <f>IF(C96="","HS"&amp;TEXT(COUNTA($C$5:C96),"000"))</f>
        <v/>
      </c>
      <c r="C96" s="22" t="n"/>
      <c r="D96" s="22">
        <f>IF(C96="","",VLOOKUP(C96,'_Données Employés'!$B$5:$S$114,3,FALSE))</f>
        <v/>
      </c>
      <c r="E96" s="22" t="n"/>
      <c r="F96" s="22" t="n"/>
      <c r="G96" s="22" t="n"/>
      <c r="H96" s="22" t="n"/>
      <c r="I96" s="18">
        <f>IF(OR(F96="",G96=""),"",IFERROR(E96/173,0))</f>
        <v/>
      </c>
      <c r="J96" s="18">
        <f>IF(H96="","",IFERROR(F96*H96*(1+G96/100)/100,0))</f>
        <v/>
      </c>
      <c r="K96" s="18">
        <f>IF(I96="","",IFERROR(I96*0.1,0))</f>
        <v/>
      </c>
      <c r="L96" s="18">
        <f>IF(I96="","",IFERROR(I96-J96,0))</f>
        <v/>
      </c>
      <c r="M96" s="22" t="n"/>
    </row>
    <row r="97" ht="22" customHeight="1">
      <c r="B97" s="21">
        <f>IF(C97="","HS"&amp;TEXT(COUNTA($C$5:C97),"000"))</f>
        <v/>
      </c>
      <c r="C97" s="21" t="n"/>
      <c r="D97" s="21">
        <f>IF(C97="","",VLOOKUP(C97,'_Données Employés'!$B$5:$S$114,3,FALSE))</f>
        <v/>
      </c>
      <c r="E97" s="21" t="n"/>
      <c r="F97" s="21" t="n"/>
      <c r="G97" s="21" t="n"/>
      <c r="H97" s="21" t="n"/>
      <c r="I97" s="16">
        <f>IF(OR(F97="",G97=""),"",IFERROR(E97/173,0))</f>
        <v/>
      </c>
      <c r="J97" s="16">
        <f>IF(H97="","",IFERROR(F97*H97*(1+G97/100)/100,0))</f>
        <v/>
      </c>
      <c r="K97" s="16">
        <f>IF(I97="","",IFERROR(I97*0.1,0))</f>
        <v/>
      </c>
      <c r="L97" s="16">
        <f>IF(I97="","",IFERROR(I97-J97,0))</f>
        <v/>
      </c>
      <c r="M97" s="21" t="n"/>
    </row>
    <row r="98" ht="22" customHeight="1">
      <c r="B98" s="22">
        <f>IF(C98="","HS"&amp;TEXT(COUNTA($C$5:C98),"000"))</f>
        <v/>
      </c>
      <c r="C98" s="22" t="n"/>
      <c r="D98" s="22">
        <f>IF(C98="","",VLOOKUP(C98,'_Données Employés'!$B$5:$S$114,3,FALSE))</f>
        <v/>
      </c>
      <c r="E98" s="22" t="n"/>
      <c r="F98" s="22" t="n"/>
      <c r="G98" s="22" t="n"/>
      <c r="H98" s="22" t="n"/>
      <c r="I98" s="18">
        <f>IF(OR(F98="",G98=""),"",IFERROR(E98/173,0))</f>
        <v/>
      </c>
      <c r="J98" s="18">
        <f>IF(H98="","",IFERROR(F98*H98*(1+G98/100)/100,0))</f>
        <v/>
      </c>
      <c r="K98" s="18">
        <f>IF(I98="","",IFERROR(I98*0.1,0))</f>
        <v/>
      </c>
      <c r="L98" s="18">
        <f>IF(I98="","",IFERROR(I98-J98,0))</f>
        <v/>
      </c>
      <c r="M98" s="22" t="n"/>
    </row>
    <row r="99" ht="22" customHeight="1">
      <c r="B99" s="21">
        <f>IF(C99="","HS"&amp;TEXT(COUNTA($C$5:C99),"000"))</f>
        <v/>
      </c>
      <c r="C99" s="21" t="n"/>
      <c r="D99" s="21">
        <f>IF(C99="","",VLOOKUP(C99,'_Données Employés'!$B$5:$S$114,3,FALSE))</f>
        <v/>
      </c>
      <c r="E99" s="21" t="n"/>
      <c r="F99" s="21" t="n"/>
      <c r="G99" s="21" t="n"/>
      <c r="H99" s="21" t="n"/>
      <c r="I99" s="16">
        <f>IF(OR(F99="",G99=""),"",IFERROR(E99/173,0))</f>
        <v/>
      </c>
      <c r="J99" s="16">
        <f>IF(H99="","",IFERROR(F99*H99*(1+G99/100)/100,0))</f>
        <v/>
      </c>
      <c r="K99" s="16">
        <f>IF(I99="","",IFERROR(I99*0.1,0))</f>
        <v/>
      </c>
      <c r="L99" s="16">
        <f>IF(I99="","",IFERROR(I99-J99,0))</f>
        <v/>
      </c>
      <c r="M99" s="21" t="n"/>
    </row>
    <row r="100" ht="22" customHeight="1">
      <c r="B100" s="22">
        <f>IF(C100="","HS"&amp;TEXT(COUNTA($C$5:C100),"000"))</f>
        <v/>
      </c>
      <c r="C100" s="22" t="n"/>
      <c r="D100" s="22">
        <f>IF(C100="","",VLOOKUP(C100,'_Données Employés'!$B$5:$S$114,3,FALSE))</f>
        <v/>
      </c>
      <c r="E100" s="22" t="n"/>
      <c r="F100" s="22" t="n"/>
      <c r="G100" s="22" t="n"/>
      <c r="H100" s="22" t="n"/>
      <c r="I100" s="18">
        <f>IF(OR(F100="",G100=""),"",IFERROR(E100/173,0))</f>
        <v/>
      </c>
      <c r="J100" s="18">
        <f>IF(H100="","",IFERROR(F100*H100*(1+G100/100)/100,0))</f>
        <v/>
      </c>
      <c r="K100" s="18">
        <f>IF(I100="","",IFERROR(I100*0.1,0))</f>
        <v/>
      </c>
      <c r="L100" s="18">
        <f>IF(I100="","",IFERROR(I100-J100,0))</f>
        <v/>
      </c>
      <c r="M100" s="22" t="n"/>
    </row>
    <row r="101" ht="22" customHeight="1">
      <c r="B101" s="21">
        <f>IF(C101="","HS"&amp;TEXT(COUNTA($C$5:C101),"000"))</f>
        <v/>
      </c>
      <c r="C101" s="21" t="n"/>
      <c r="D101" s="21">
        <f>IF(C101="","",VLOOKUP(C101,'_Données Employés'!$B$5:$S$114,3,FALSE))</f>
        <v/>
      </c>
      <c r="E101" s="21" t="n"/>
      <c r="F101" s="21" t="n"/>
      <c r="G101" s="21" t="n"/>
      <c r="H101" s="21" t="n"/>
      <c r="I101" s="16">
        <f>IF(OR(F101="",G101=""),"",IFERROR(E101/173,0))</f>
        <v/>
      </c>
      <c r="J101" s="16">
        <f>IF(H101="","",IFERROR(F101*H101*(1+G101/100)/100,0))</f>
        <v/>
      </c>
      <c r="K101" s="16">
        <f>IF(I101="","",IFERROR(I101*0.1,0))</f>
        <v/>
      </c>
      <c r="L101" s="16">
        <f>IF(I101="","",IFERROR(I101-J101,0))</f>
        <v/>
      </c>
      <c r="M101" s="21" t="n"/>
    </row>
    <row r="102" ht="22" customHeight="1">
      <c r="B102" s="22">
        <f>IF(C102="","HS"&amp;TEXT(COUNTA($C$5:C102),"000"))</f>
        <v/>
      </c>
      <c r="C102" s="22" t="n"/>
      <c r="D102" s="22">
        <f>IF(C102="","",VLOOKUP(C102,'_Données Employés'!$B$5:$S$114,3,FALSE))</f>
        <v/>
      </c>
      <c r="E102" s="22" t="n"/>
      <c r="F102" s="22" t="n"/>
      <c r="G102" s="22" t="n"/>
      <c r="H102" s="22" t="n"/>
      <c r="I102" s="18">
        <f>IF(OR(F102="",G102=""),"",IFERROR(E102/173,0))</f>
        <v/>
      </c>
      <c r="J102" s="18">
        <f>IF(H102="","",IFERROR(F102*H102*(1+G102/100)/100,0))</f>
        <v/>
      </c>
      <c r="K102" s="18">
        <f>IF(I102="","",IFERROR(I102*0.1,0))</f>
        <v/>
      </c>
      <c r="L102" s="18">
        <f>IF(I102="","",IFERROR(I102-J102,0))</f>
        <v/>
      </c>
      <c r="M102" s="22" t="n"/>
    </row>
    <row r="103" ht="22" customHeight="1">
      <c r="B103" s="21">
        <f>IF(C103="","HS"&amp;TEXT(COUNTA($C$5:C103),"000"))</f>
        <v/>
      </c>
      <c r="C103" s="21" t="n"/>
      <c r="D103" s="21">
        <f>IF(C103="","",VLOOKUP(C103,'_Données Employés'!$B$5:$S$114,3,FALSE))</f>
        <v/>
      </c>
      <c r="E103" s="21" t="n"/>
      <c r="F103" s="21" t="n"/>
      <c r="G103" s="21" t="n"/>
      <c r="H103" s="21" t="n"/>
      <c r="I103" s="16">
        <f>IF(OR(F103="",G103=""),"",IFERROR(E103/173,0))</f>
        <v/>
      </c>
      <c r="J103" s="16">
        <f>IF(H103="","",IFERROR(F103*H103*(1+G103/100)/100,0))</f>
        <v/>
      </c>
      <c r="K103" s="16">
        <f>IF(I103="","",IFERROR(I103*0.1,0))</f>
        <v/>
      </c>
      <c r="L103" s="16">
        <f>IF(I103="","",IFERROR(I103-J103,0))</f>
        <v/>
      </c>
      <c r="M103" s="21" t="n"/>
    </row>
    <row r="104" ht="22" customHeight="1">
      <c r="B104" s="22">
        <f>IF(C104="","HS"&amp;TEXT(COUNTA($C$5:C104),"000"))</f>
        <v/>
      </c>
      <c r="C104" s="22" t="n"/>
      <c r="D104" s="22">
        <f>IF(C104="","",VLOOKUP(C104,'_Données Employés'!$B$5:$S$114,3,FALSE))</f>
        <v/>
      </c>
      <c r="E104" s="22" t="n"/>
      <c r="F104" s="22" t="n"/>
      <c r="G104" s="22" t="n"/>
      <c r="H104" s="22" t="n"/>
      <c r="I104" s="18">
        <f>IF(OR(F104="",G104=""),"",IFERROR(E104/173,0))</f>
        <v/>
      </c>
      <c r="J104" s="18">
        <f>IF(H104="","",IFERROR(F104*H104*(1+G104/100)/100,0))</f>
        <v/>
      </c>
      <c r="K104" s="18">
        <f>IF(I104="","",IFERROR(I104*0.1,0))</f>
        <v/>
      </c>
      <c r="L104" s="18">
        <f>IF(I104="","",IFERROR(I104-J104,0))</f>
        <v/>
      </c>
      <c r="M104" s="22" t="n"/>
    </row>
    <row r="107">
      <c r="B107" s="23" t="inlineStr">
        <is>
          <t>KPI Total HS (h)</t>
        </is>
      </c>
      <c r="C107" s="23" t="inlineStr">
        <is>
          <t>KPI Montant brut HS (FCFA)</t>
        </is>
      </c>
      <c r="D107" s="23" t="inlineStr">
        <is>
          <t>KPI Montant net HS (FCFA)</t>
        </is>
      </c>
    </row>
    <row r="108">
      <c r="B108" s="24">
        <f>SUM(G5:G104)</f>
        <v/>
      </c>
      <c r="C108" s="25">
        <f>SUM(I5:I104)</f>
        <v/>
      </c>
      <c r="D108" s="25">
        <f>SUM(K5:K104)</f>
        <v/>
      </c>
    </row>
  </sheetData>
  <mergeCells count="1">
    <mergeCell ref="B2:M2"/>
  </mergeCells>
  <conditionalFormatting sqref="M5:M104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"Solde"</formula>
    </cfRule>
    <cfRule type="cellIs" priority="4" operator="equal" dxfId="1">
      <formula>"Actif"</formula>
    </cfRule>
    <cfRule type="cellIs" priority="5" operator="equal" dxfId="1">
      <formula>"Oui"</formula>
    </cfRule>
    <cfRule type="cellIs" priority="6" operator="equal" dxfId="2">
      <formula>"Rejete"</formula>
    </cfRule>
    <cfRule type="cellIs" priority="7" operator="equal" dxfId="2">
      <formula>"En retard"</formula>
    </cfRule>
    <cfRule type="cellIs" priority="8" operator="equal" dxfId="2">
      <formula>"Refuse"</formula>
    </cfRule>
    <cfRule type="cellIs" priority="9" operator="equal" dxfId="2">
      <formula>"Annule"</formula>
    </cfRule>
    <cfRule type="cellIs" priority="10" operator="equal" dxfId="2">
      <formula>"Non"</formula>
    </cfRule>
    <cfRule type="cellIs" priority="11" operator="equal" dxfId="3">
      <formula>"En attente"</formula>
    </cfRule>
    <cfRule type="cellIs" priority="12" operator="equal" dxfId="3">
      <formula>"En cours"</formula>
    </cfRule>
    <cfRule type="cellIs" priority="13" operator="equal" dxfId="3">
      <formula>"Brouillon"</formula>
    </cfRule>
    <cfRule type="cellIs" priority="14" operator="equal" dxfId="3">
      <formula>"Demande"</formula>
    </cfRule>
    <cfRule type="cellIs" priority="15" operator="equal" dxfId="3">
      <formula>"Partiellement monetise"</formula>
    </cfRule>
  </conditionalFormatting>
  <conditionalFormatting sqref="F5:F104">
    <cfRule type="dataBar" priority="16">
      <dataBar>
        <cfvo type="num" val="0"/>
        <cfvo type="num" val="1"/>
        <color rgb="001B2A4A"/>
      </dataBar>
    </cfRule>
  </conditionalFormatting>
  <conditionalFormatting sqref="G5:G104">
    <cfRule type="dataBar" priority="17">
      <dataBar>
        <cfvo type="num" val="0"/>
        <cfvo type="num" val="1"/>
        <color rgb="001B2A4A"/>
      </dataBar>
    </cfRule>
  </conditionalFormatting>
  <conditionalFormatting sqref="H5:H104">
    <cfRule type="dataBar" priority="18">
      <dataBar>
        <cfvo type="num" val="0"/>
        <cfvo type="num" val="1"/>
        <color rgb="001B2A4A"/>
      </dataBar>
    </cfRule>
  </conditionalFormatting>
  <conditionalFormatting sqref="I5:I104">
    <cfRule type="dataBar" priority="19">
      <dataBar>
        <cfvo type="num" val="0"/>
        <cfvo type="num" val="1"/>
        <color rgb="001B2A4A"/>
      </dataBar>
    </cfRule>
  </conditionalFormatting>
  <conditionalFormatting sqref="J5:J104">
    <cfRule type="dataBar" priority="20">
      <dataBar>
        <cfvo type="num" val="0"/>
        <cfvo type="num" val="1"/>
        <color rgb="001B2A4A"/>
      </dataBar>
    </cfRule>
  </conditionalFormatting>
  <conditionalFormatting sqref="K5:K104">
    <cfRule type="dataBar" priority="21">
      <dataBar>
        <cfvo type="num" val="0"/>
        <cfvo type="num" val="1"/>
        <color rgb="001B2A4A"/>
      </dataBar>
    </cfRule>
  </conditionalFormatting>
  <conditionalFormatting sqref="L5:L104">
    <cfRule type="dataBar" priority="22">
      <dataBar>
        <cfvo type="num" val="0"/>
        <cfvo type="num" val="1"/>
        <color rgb="001B2A4A"/>
      </dataBar>
    </cfRule>
  </conditionalFormatting>
  <conditionalFormatting sqref="B108">
    <cfRule type="cellIs" priority="23" operator="greaterThan" dxfId="0">
      <formula>0</formula>
    </cfRule>
  </conditionalFormatting>
  <conditionalFormatting sqref="C108">
    <cfRule type="cellIs" priority="24" operator="greaterThan" dxfId="0">
      <formula>0</formula>
    </cfRule>
  </conditionalFormatting>
  <conditionalFormatting sqref="D108">
    <cfRule type="cellIs" priority="25" operator="greaterThan" dxfId="0">
      <formula>0</formula>
    </cfRule>
  </conditionalFormatting>
  <dataValidations count="3">
    <dataValidation sqref="E5:E104" showDropDown="0" showInputMessage="0" showErrorMessage="0" allowBlank="1" type="list">
      <formula1>'_Lists'!$K$2:$K$13</formula1>
    </dataValidation>
    <dataValidation sqref="M5:M104" showDropDown="0" showInputMessage="0" showErrorMessage="0" allowBlank="1" type="list">
      <formula1>'_Lists'!$N$2:$N$5</formula1>
    </dataValidation>
    <dataValidation sqref="C5:C104" showDropDown="0" showInputMessage="0" showErrorMessage="0" allowBlank="1" promptTitle="Matricule Employé" prompt="Choisir un matricule" type="list">
      <formula1>'_Données Employés'!$B$5:$B$114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M10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8" customWidth="1" min="11" max="11"/>
    <col width="12" customWidth="1" min="12" max="12"/>
    <col width="10" customWidth="1" min="13" max="13"/>
  </cols>
  <sheetData>
    <row r="1" ht="15" customHeight="1"/>
    <row r="2" ht="32" customHeight="1">
      <c r="B2" s="13" t="inlineStr">
        <is>
          <t>PAIE — 5-Cotisations Salariales</t>
        </is>
      </c>
    </row>
    <row r="3" ht="8" customHeight="1"/>
    <row r="4" ht="28" customHeight="1">
      <c r="B4" s="14" t="inlineStr">
        <is>
          <t>N°</t>
        </is>
      </c>
      <c r="C4" s="14" t="inlineStr">
        <is>
          <t>Matricule</t>
        </is>
      </c>
      <c r="D4" s="14" t="inlineStr">
        <is>
          <t>Nom Employé</t>
        </is>
      </c>
      <c r="E4" s="14" t="inlineStr">
        <is>
          <t>Salaire Brut (FCFA)</t>
        </is>
      </c>
      <c r="F4" s="14" t="inlineStr">
        <is>
          <t>CNPS 2.8%</t>
        </is>
      </c>
      <c r="G4" s="14" t="inlineStr">
        <is>
          <t>CNAMGS 1.5%</t>
        </is>
      </c>
      <c r="H4" s="14" t="inlineStr">
        <is>
          <t>IR Salaires</t>
        </is>
      </c>
      <c r="I4" s="14" t="inlineStr">
        <is>
          <t>Acomptes (FCFA)</t>
        </is>
      </c>
      <c r="J4" s="14" t="inlineStr">
        <is>
          <t>Total Retenues (FCFA)</t>
        </is>
      </c>
      <c r="K4" s="14" t="inlineStr">
        <is>
          <t>Salaire Net (FCFA)</t>
        </is>
      </c>
      <c r="L4" s="14" t="inlineStr">
        <is>
          <t>Mois</t>
        </is>
      </c>
      <c r="M4" s="14" t="inlineStr">
        <is>
          <t>Statut</t>
        </is>
      </c>
    </row>
    <row r="5" ht="22" customHeight="1">
      <c r="B5" s="15" t="inlineStr">
        <is>
          <t>RET-001</t>
        </is>
      </c>
      <c r="C5" s="15" t="inlineStr">
        <is>
          <t>EMP-001</t>
        </is>
      </c>
      <c r="D5" s="15" t="inlineStr">
        <is>
          <t>Nganou Clarisse</t>
        </is>
      </c>
      <c r="E5" s="16" t="n">
        <v>850750</v>
      </c>
      <c r="F5" s="16" t="n">
        <v>23821</v>
      </c>
      <c r="G5" s="16" t="n">
        <v>12761</v>
      </c>
      <c r="H5" s="16" t="n">
        <v>105400</v>
      </c>
      <c r="I5" s="16" t="n">
        <v>0</v>
      </c>
      <c r="J5" s="16" t="n">
        <v>141982</v>
      </c>
      <c r="K5" s="16" t="n">
        <v>708768</v>
      </c>
      <c r="L5" s="15" t="inlineStr">
        <is>
          <t>Juin</t>
        </is>
      </c>
      <c r="M5" s="15" t="inlineStr">
        <is>
          <t>Valide</t>
        </is>
      </c>
    </row>
    <row r="6" ht="22" customHeight="1">
      <c r="B6" s="17" t="inlineStr">
        <is>
          <t>RET-002</t>
        </is>
      </c>
      <c r="C6" s="17" t="inlineStr">
        <is>
          <t>EMP-002</t>
        </is>
      </c>
      <c r="D6" s="17" t="inlineStr">
        <is>
          <t>Tchinda Armand</t>
        </is>
      </c>
      <c r="E6" s="18" t="n">
        <v>648100</v>
      </c>
      <c r="F6" s="18" t="n">
        <v>18147</v>
      </c>
      <c r="G6" s="18" t="n">
        <v>9722</v>
      </c>
      <c r="H6" s="18" t="n">
        <v>52000</v>
      </c>
      <c r="I6" s="18" t="n">
        <v>0</v>
      </c>
      <c r="J6" s="18" t="n">
        <v>79868</v>
      </c>
      <c r="K6" s="18" t="n">
        <v>568233</v>
      </c>
      <c r="L6" s="17" t="inlineStr">
        <is>
          <t>Juin</t>
        </is>
      </c>
      <c r="M6" s="17" t="inlineStr">
        <is>
          <t>Valide</t>
        </is>
      </c>
    </row>
    <row r="7" ht="22" customHeight="1">
      <c r="B7" s="15" t="inlineStr">
        <is>
          <t>RET-003</t>
        </is>
      </c>
      <c r="C7" s="15" t="inlineStr">
        <is>
          <t>EMP-003</t>
        </is>
      </c>
      <c r="D7" s="15" t="inlineStr">
        <is>
          <t>Fotso Marguerite</t>
        </is>
      </c>
      <c r="E7" s="16" t="n">
        <v>383125</v>
      </c>
      <c r="F7" s="16" t="n">
        <v>10727</v>
      </c>
      <c r="G7" s="16" t="n">
        <v>5747</v>
      </c>
      <c r="H7" s="16" t="n">
        <v>20000</v>
      </c>
      <c r="I7" s="16" t="n">
        <v>0</v>
      </c>
      <c r="J7" s="16" t="n">
        <v>36474</v>
      </c>
      <c r="K7" s="16" t="n">
        <v>346651</v>
      </c>
      <c r="L7" s="15" t="inlineStr">
        <is>
          <t>Juin</t>
        </is>
      </c>
      <c r="M7" s="15" t="inlineStr">
        <is>
          <t>Valide</t>
        </is>
      </c>
    </row>
    <row r="8" ht="22" customHeight="1">
      <c r="B8" s="19">
        <f>IF(C8="","RET"&amp;TEXT(COUNTA($C$5:C8),"000"))</f>
        <v/>
      </c>
      <c r="C8" s="19" t="n"/>
      <c r="D8" s="19">
        <f>IF(C8="","",VLOOKUP(C8,'_Données Employés'!$B$5:$S$114,3,FALSE))</f>
        <v/>
      </c>
      <c r="E8" s="19" t="n"/>
      <c r="F8" s="19" t="n"/>
      <c r="G8" s="19" t="n"/>
      <c r="H8" s="19" t="n"/>
      <c r="I8" s="19" t="n"/>
      <c r="J8" s="20">
        <f>IF(D8="","",IFERROR(SUM(E8:H8),0))</f>
        <v/>
      </c>
      <c r="K8" s="20">
        <f>IF(D8="","",IFERROR(D8-J8,0))</f>
        <v/>
      </c>
      <c r="L8" s="19" t="n"/>
      <c r="M8" s="19" t="n"/>
    </row>
    <row r="9" ht="22" customHeight="1">
      <c r="B9" s="21">
        <f>IF(C9="","RET"&amp;TEXT(COUNTA($C$5:C9),"000"))</f>
        <v/>
      </c>
      <c r="C9" s="21" t="n"/>
      <c r="D9" s="21">
        <f>IF(C9="","",VLOOKUP(C9,'_Données Employés'!$B$5:$S$114,3,FALSE))</f>
        <v/>
      </c>
      <c r="E9" s="21" t="n"/>
      <c r="F9" s="21" t="n"/>
      <c r="G9" s="21" t="n"/>
      <c r="H9" s="21" t="n"/>
      <c r="I9" s="21" t="n"/>
      <c r="J9" s="16">
        <f>IF(D9="","",IFERROR(SUM(E9:H9),0))</f>
        <v/>
      </c>
      <c r="K9" s="16">
        <f>IF(D9="","",IFERROR(D9-J9,0))</f>
        <v/>
      </c>
      <c r="L9" s="21" t="n"/>
      <c r="M9" s="21" t="n"/>
    </row>
    <row r="10" ht="22" customHeight="1">
      <c r="B10" s="22">
        <f>IF(C10="","RET"&amp;TEXT(COUNTA($C$5:C10),"000"))</f>
        <v/>
      </c>
      <c r="C10" s="22" t="n"/>
      <c r="D10" s="22">
        <f>IF(C10="","",VLOOKUP(C10,'_Données Employés'!$B$5:$S$114,3,FALSE))</f>
        <v/>
      </c>
      <c r="E10" s="22" t="n"/>
      <c r="F10" s="22" t="n"/>
      <c r="G10" s="22" t="n"/>
      <c r="H10" s="22" t="n"/>
      <c r="I10" s="22" t="n"/>
      <c r="J10" s="18">
        <f>IF(D10="","",IFERROR(SUM(E10:H10),0))</f>
        <v/>
      </c>
      <c r="K10" s="18">
        <f>IF(D10="","",IFERROR(D10-J10,0))</f>
        <v/>
      </c>
      <c r="L10" s="22" t="n"/>
      <c r="M10" s="22" t="n"/>
    </row>
    <row r="11" ht="22" customHeight="1">
      <c r="B11" s="21">
        <f>IF(C11="","RET"&amp;TEXT(COUNTA($C$5:C11),"000"))</f>
        <v/>
      </c>
      <c r="C11" s="21" t="n"/>
      <c r="D11" s="21">
        <f>IF(C11="","",VLOOKUP(C11,'_Données Employés'!$B$5:$S$114,3,FALSE))</f>
        <v/>
      </c>
      <c r="E11" s="21" t="n"/>
      <c r="F11" s="21" t="n"/>
      <c r="G11" s="21" t="n"/>
      <c r="H11" s="21" t="n"/>
      <c r="I11" s="21" t="n"/>
      <c r="J11" s="16">
        <f>IF(D11="","",IFERROR(SUM(E11:H11),0))</f>
        <v/>
      </c>
      <c r="K11" s="16">
        <f>IF(D11="","",IFERROR(D11-J11,0))</f>
        <v/>
      </c>
      <c r="L11" s="21" t="n"/>
      <c r="M11" s="21" t="n"/>
    </row>
    <row r="12" ht="22" customHeight="1">
      <c r="B12" s="22">
        <f>IF(C12="","RET"&amp;TEXT(COUNTA($C$5:C12),"000"))</f>
        <v/>
      </c>
      <c r="C12" s="22" t="n"/>
      <c r="D12" s="22">
        <f>IF(C12="","",VLOOKUP(C12,'_Données Employés'!$B$5:$S$114,3,FALSE))</f>
        <v/>
      </c>
      <c r="E12" s="22" t="n"/>
      <c r="F12" s="22" t="n"/>
      <c r="G12" s="22" t="n"/>
      <c r="H12" s="22" t="n"/>
      <c r="I12" s="22" t="n"/>
      <c r="J12" s="18">
        <f>IF(D12="","",IFERROR(SUM(E12:H12),0))</f>
        <v/>
      </c>
      <c r="K12" s="18">
        <f>IF(D12="","",IFERROR(D12-J12,0))</f>
        <v/>
      </c>
      <c r="L12" s="22" t="n"/>
      <c r="M12" s="22" t="n"/>
    </row>
    <row r="13" ht="22" customHeight="1">
      <c r="B13" s="21">
        <f>IF(C13="","RET"&amp;TEXT(COUNTA($C$5:C13),"000"))</f>
        <v/>
      </c>
      <c r="C13" s="21" t="n"/>
      <c r="D13" s="21">
        <f>IF(C13="","",VLOOKUP(C13,'_Données Employés'!$B$5:$S$114,3,FALSE))</f>
        <v/>
      </c>
      <c r="E13" s="21" t="n"/>
      <c r="F13" s="21" t="n"/>
      <c r="G13" s="21" t="n"/>
      <c r="H13" s="21" t="n"/>
      <c r="I13" s="21" t="n"/>
      <c r="J13" s="16">
        <f>IF(D13="","",IFERROR(SUM(E13:H13),0))</f>
        <v/>
      </c>
      <c r="K13" s="16">
        <f>IF(D13="","",IFERROR(D13-J13,0))</f>
        <v/>
      </c>
      <c r="L13" s="21" t="n"/>
      <c r="M13" s="21" t="n"/>
    </row>
    <row r="14" ht="22" customHeight="1">
      <c r="B14" s="22">
        <f>IF(C14="","RET"&amp;TEXT(COUNTA($C$5:C14),"000"))</f>
        <v/>
      </c>
      <c r="C14" s="22" t="n"/>
      <c r="D14" s="22">
        <f>IF(C14="","",VLOOKUP(C14,'_Données Employés'!$B$5:$S$114,3,FALSE))</f>
        <v/>
      </c>
      <c r="E14" s="22" t="n"/>
      <c r="F14" s="22" t="n"/>
      <c r="G14" s="22" t="n"/>
      <c r="H14" s="22" t="n"/>
      <c r="I14" s="22" t="n"/>
      <c r="J14" s="18">
        <f>IF(D14="","",IFERROR(SUM(E14:H14),0))</f>
        <v/>
      </c>
      <c r="K14" s="18">
        <f>IF(D14="","",IFERROR(D14-J14,0))</f>
        <v/>
      </c>
      <c r="L14" s="22" t="n"/>
      <c r="M14" s="22" t="n"/>
    </row>
    <row r="15" ht="22" customHeight="1">
      <c r="B15" s="21">
        <f>IF(C15="","RET"&amp;TEXT(COUNTA($C$5:C15),"000"))</f>
        <v/>
      </c>
      <c r="C15" s="21" t="n"/>
      <c r="D15" s="21">
        <f>IF(C15="","",VLOOKUP(C15,'_Données Employés'!$B$5:$S$114,3,FALSE))</f>
        <v/>
      </c>
      <c r="E15" s="21" t="n"/>
      <c r="F15" s="21" t="n"/>
      <c r="G15" s="21" t="n"/>
      <c r="H15" s="21" t="n"/>
      <c r="I15" s="21" t="n"/>
      <c r="J15" s="16">
        <f>IF(D15="","",IFERROR(SUM(E15:H15),0))</f>
        <v/>
      </c>
      <c r="K15" s="16">
        <f>IF(D15="","",IFERROR(D15-J15,0))</f>
        <v/>
      </c>
      <c r="L15" s="21" t="n"/>
      <c r="M15" s="21" t="n"/>
    </row>
    <row r="16" ht="22" customHeight="1">
      <c r="B16" s="22">
        <f>IF(C16="","RET"&amp;TEXT(COUNTA($C$5:C16),"000"))</f>
        <v/>
      </c>
      <c r="C16" s="22" t="n"/>
      <c r="D16" s="22">
        <f>IF(C16="","",VLOOKUP(C16,'_Données Employés'!$B$5:$S$114,3,FALSE))</f>
        <v/>
      </c>
      <c r="E16" s="22" t="n"/>
      <c r="F16" s="22" t="n"/>
      <c r="G16" s="22" t="n"/>
      <c r="H16" s="22" t="n"/>
      <c r="I16" s="22" t="n"/>
      <c r="J16" s="18">
        <f>IF(D16="","",IFERROR(SUM(E16:H16),0))</f>
        <v/>
      </c>
      <c r="K16" s="18">
        <f>IF(D16="","",IFERROR(D16-J16,0))</f>
        <v/>
      </c>
      <c r="L16" s="22" t="n"/>
      <c r="M16" s="22" t="n"/>
    </row>
    <row r="17" ht="22" customHeight="1">
      <c r="B17" s="21">
        <f>IF(C17="","RET"&amp;TEXT(COUNTA($C$5:C17),"000"))</f>
        <v/>
      </c>
      <c r="C17" s="21" t="n"/>
      <c r="D17" s="21">
        <f>IF(C17="","",VLOOKUP(C17,'_Données Employés'!$B$5:$S$114,3,FALSE))</f>
        <v/>
      </c>
      <c r="E17" s="21" t="n"/>
      <c r="F17" s="21" t="n"/>
      <c r="G17" s="21" t="n"/>
      <c r="H17" s="21" t="n"/>
      <c r="I17" s="21" t="n"/>
      <c r="J17" s="16">
        <f>IF(D17="","",IFERROR(SUM(E17:H17),0))</f>
        <v/>
      </c>
      <c r="K17" s="16">
        <f>IF(D17="","",IFERROR(D17-J17,0))</f>
        <v/>
      </c>
      <c r="L17" s="21" t="n"/>
      <c r="M17" s="21" t="n"/>
    </row>
    <row r="18" ht="22" customHeight="1">
      <c r="B18" s="22">
        <f>IF(C18="","RET"&amp;TEXT(COUNTA($C$5:C18),"000"))</f>
        <v/>
      </c>
      <c r="C18" s="22" t="n"/>
      <c r="D18" s="22">
        <f>IF(C18="","",VLOOKUP(C18,'_Données Employés'!$B$5:$S$114,3,FALSE))</f>
        <v/>
      </c>
      <c r="E18" s="22" t="n"/>
      <c r="F18" s="22" t="n"/>
      <c r="G18" s="22" t="n"/>
      <c r="H18" s="22" t="n"/>
      <c r="I18" s="22" t="n"/>
      <c r="J18" s="18">
        <f>IF(D18="","",IFERROR(SUM(E18:H18),0))</f>
        <v/>
      </c>
      <c r="K18" s="18">
        <f>IF(D18="","",IFERROR(D18-J18,0))</f>
        <v/>
      </c>
      <c r="L18" s="22" t="n"/>
      <c r="M18" s="22" t="n"/>
    </row>
    <row r="19" ht="22" customHeight="1">
      <c r="B19" s="21">
        <f>IF(C19="","RET"&amp;TEXT(COUNTA($C$5:C19),"000"))</f>
        <v/>
      </c>
      <c r="C19" s="21" t="n"/>
      <c r="D19" s="21">
        <f>IF(C19="","",VLOOKUP(C19,'_Données Employés'!$B$5:$S$114,3,FALSE))</f>
        <v/>
      </c>
      <c r="E19" s="21" t="n"/>
      <c r="F19" s="21" t="n"/>
      <c r="G19" s="21" t="n"/>
      <c r="H19" s="21" t="n"/>
      <c r="I19" s="21" t="n"/>
      <c r="J19" s="16">
        <f>IF(D19="","",IFERROR(SUM(E19:H19),0))</f>
        <v/>
      </c>
      <c r="K19" s="16">
        <f>IF(D19="","",IFERROR(D19-J19,0))</f>
        <v/>
      </c>
      <c r="L19" s="21" t="n"/>
      <c r="M19" s="21" t="n"/>
    </row>
    <row r="20" ht="22" customHeight="1">
      <c r="B20" s="22">
        <f>IF(C20="","RET"&amp;TEXT(COUNTA($C$5:C20),"000"))</f>
        <v/>
      </c>
      <c r="C20" s="22" t="n"/>
      <c r="D20" s="22">
        <f>IF(C20="","",VLOOKUP(C20,'_Données Employés'!$B$5:$S$114,3,FALSE))</f>
        <v/>
      </c>
      <c r="E20" s="22" t="n"/>
      <c r="F20" s="22" t="n"/>
      <c r="G20" s="22" t="n"/>
      <c r="H20" s="22" t="n"/>
      <c r="I20" s="22" t="n"/>
      <c r="J20" s="18">
        <f>IF(D20="","",IFERROR(SUM(E20:H20),0))</f>
        <v/>
      </c>
      <c r="K20" s="18">
        <f>IF(D20="","",IFERROR(D20-J20,0))</f>
        <v/>
      </c>
      <c r="L20" s="22" t="n"/>
      <c r="M20" s="22" t="n"/>
    </row>
    <row r="21" ht="22" customHeight="1">
      <c r="B21" s="21">
        <f>IF(C21="","RET"&amp;TEXT(COUNTA($C$5:C21),"000"))</f>
        <v/>
      </c>
      <c r="C21" s="21" t="n"/>
      <c r="D21" s="21">
        <f>IF(C21="","",VLOOKUP(C21,'_Données Employés'!$B$5:$S$114,3,FALSE))</f>
        <v/>
      </c>
      <c r="E21" s="21" t="n"/>
      <c r="F21" s="21" t="n"/>
      <c r="G21" s="21" t="n"/>
      <c r="H21" s="21" t="n"/>
      <c r="I21" s="21" t="n"/>
      <c r="J21" s="16">
        <f>IF(D21="","",IFERROR(SUM(E21:H21),0))</f>
        <v/>
      </c>
      <c r="K21" s="16">
        <f>IF(D21="","",IFERROR(D21-J21,0))</f>
        <v/>
      </c>
      <c r="L21" s="21" t="n"/>
      <c r="M21" s="21" t="n"/>
    </row>
    <row r="22" ht="22" customHeight="1">
      <c r="B22" s="22">
        <f>IF(C22="","RET"&amp;TEXT(COUNTA($C$5:C22),"000"))</f>
        <v/>
      </c>
      <c r="C22" s="22" t="n"/>
      <c r="D22" s="22">
        <f>IF(C22="","",VLOOKUP(C22,'_Données Employés'!$B$5:$S$114,3,FALSE))</f>
        <v/>
      </c>
      <c r="E22" s="22" t="n"/>
      <c r="F22" s="22" t="n"/>
      <c r="G22" s="22" t="n"/>
      <c r="H22" s="22" t="n"/>
      <c r="I22" s="22" t="n"/>
      <c r="J22" s="18">
        <f>IF(D22="","",IFERROR(SUM(E22:H22),0))</f>
        <v/>
      </c>
      <c r="K22" s="18">
        <f>IF(D22="","",IFERROR(D22-J22,0))</f>
        <v/>
      </c>
      <c r="L22" s="22" t="n"/>
      <c r="M22" s="22" t="n"/>
    </row>
    <row r="23" ht="22" customHeight="1">
      <c r="B23" s="21">
        <f>IF(C23="","RET"&amp;TEXT(COUNTA($C$5:C23),"000"))</f>
        <v/>
      </c>
      <c r="C23" s="21" t="n"/>
      <c r="D23" s="21">
        <f>IF(C23="","",VLOOKUP(C23,'_Données Employés'!$B$5:$S$114,3,FALSE))</f>
        <v/>
      </c>
      <c r="E23" s="21" t="n"/>
      <c r="F23" s="21" t="n"/>
      <c r="G23" s="21" t="n"/>
      <c r="H23" s="21" t="n"/>
      <c r="I23" s="21" t="n"/>
      <c r="J23" s="16">
        <f>IF(D23="","",IFERROR(SUM(E23:H23),0))</f>
        <v/>
      </c>
      <c r="K23" s="16">
        <f>IF(D23="","",IFERROR(D23-J23,0))</f>
        <v/>
      </c>
      <c r="L23" s="21" t="n"/>
      <c r="M23" s="21" t="n"/>
    </row>
    <row r="24" ht="22" customHeight="1">
      <c r="B24" s="22">
        <f>IF(C24="","RET"&amp;TEXT(COUNTA($C$5:C24),"000"))</f>
        <v/>
      </c>
      <c r="C24" s="22" t="n"/>
      <c r="D24" s="22">
        <f>IF(C24="","",VLOOKUP(C24,'_Données Employés'!$B$5:$S$114,3,FALSE))</f>
        <v/>
      </c>
      <c r="E24" s="22" t="n"/>
      <c r="F24" s="22" t="n"/>
      <c r="G24" s="22" t="n"/>
      <c r="H24" s="22" t="n"/>
      <c r="I24" s="22" t="n"/>
      <c r="J24" s="18">
        <f>IF(D24="","",IFERROR(SUM(E24:H24),0))</f>
        <v/>
      </c>
      <c r="K24" s="18">
        <f>IF(D24="","",IFERROR(D24-J24,0))</f>
        <v/>
      </c>
      <c r="L24" s="22" t="n"/>
      <c r="M24" s="22" t="n"/>
    </row>
    <row r="25" ht="22" customHeight="1">
      <c r="B25" s="21">
        <f>IF(C25="","RET"&amp;TEXT(COUNTA($C$5:C25),"000"))</f>
        <v/>
      </c>
      <c r="C25" s="21" t="n"/>
      <c r="D25" s="21">
        <f>IF(C25="","",VLOOKUP(C25,'_Données Employés'!$B$5:$S$114,3,FALSE))</f>
        <v/>
      </c>
      <c r="E25" s="21" t="n"/>
      <c r="F25" s="21" t="n"/>
      <c r="G25" s="21" t="n"/>
      <c r="H25" s="21" t="n"/>
      <c r="I25" s="21" t="n"/>
      <c r="J25" s="16">
        <f>IF(D25="","",IFERROR(SUM(E25:H25),0))</f>
        <v/>
      </c>
      <c r="K25" s="16">
        <f>IF(D25="","",IFERROR(D25-J25,0))</f>
        <v/>
      </c>
      <c r="L25" s="21" t="n"/>
      <c r="M25" s="21" t="n"/>
    </row>
    <row r="26" ht="22" customHeight="1">
      <c r="B26" s="22">
        <f>IF(C26="","RET"&amp;TEXT(COUNTA($C$5:C26),"000"))</f>
        <v/>
      </c>
      <c r="C26" s="22" t="n"/>
      <c r="D26" s="22">
        <f>IF(C26="","",VLOOKUP(C26,'_Données Employés'!$B$5:$S$114,3,FALSE))</f>
        <v/>
      </c>
      <c r="E26" s="22" t="n"/>
      <c r="F26" s="22" t="n"/>
      <c r="G26" s="22" t="n"/>
      <c r="H26" s="22" t="n"/>
      <c r="I26" s="22" t="n"/>
      <c r="J26" s="18">
        <f>IF(D26="","",IFERROR(SUM(E26:H26),0))</f>
        <v/>
      </c>
      <c r="K26" s="18">
        <f>IF(D26="","",IFERROR(D26-J26,0))</f>
        <v/>
      </c>
      <c r="L26" s="22" t="n"/>
      <c r="M26" s="22" t="n"/>
    </row>
    <row r="27" ht="22" customHeight="1">
      <c r="B27" s="21">
        <f>IF(C27="","RET"&amp;TEXT(COUNTA($C$5:C27),"000"))</f>
        <v/>
      </c>
      <c r="C27" s="21" t="n"/>
      <c r="D27" s="21">
        <f>IF(C27="","",VLOOKUP(C27,'_Données Employés'!$B$5:$S$114,3,FALSE))</f>
        <v/>
      </c>
      <c r="E27" s="21" t="n"/>
      <c r="F27" s="21" t="n"/>
      <c r="G27" s="21" t="n"/>
      <c r="H27" s="21" t="n"/>
      <c r="I27" s="21" t="n"/>
      <c r="J27" s="16">
        <f>IF(D27="","",IFERROR(SUM(E27:H27),0))</f>
        <v/>
      </c>
      <c r="K27" s="16">
        <f>IF(D27="","",IFERROR(D27-J27,0))</f>
        <v/>
      </c>
      <c r="L27" s="21" t="n"/>
      <c r="M27" s="21" t="n"/>
    </row>
    <row r="28" ht="22" customHeight="1">
      <c r="B28" s="22">
        <f>IF(C28="","RET"&amp;TEXT(COUNTA($C$5:C28),"000"))</f>
        <v/>
      </c>
      <c r="C28" s="22" t="n"/>
      <c r="D28" s="22">
        <f>IF(C28="","",VLOOKUP(C28,'_Données Employés'!$B$5:$S$114,3,FALSE))</f>
        <v/>
      </c>
      <c r="E28" s="22" t="n"/>
      <c r="F28" s="22" t="n"/>
      <c r="G28" s="22" t="n"/>
      <c r="H28" s="22" t="n"/>
      <c r="I28" s="22" t="n"/>
      <c r="J28" s="18">
        <f>IF(D28="","",IFERROR(SUM(E28:H28),0))</f>
        <v/>
      </c>
      <c r="K28" s="18">
        <f>IF(D28="","",IFERROR(D28-J28,0))</f>
        <v/>
      </c>
      <c r="L28" s="22" t="n"/>
      <c r="M28" s="22" t="n"/>
    </row>
    <row r="29" ht="22" customHeight="1">
      <c r="B29" s="21">
        <f>IF(C29="","RET"&amp;TEXT(COUNTA($C$5:C29),"000"))</f>
        <v/>
      </c>
      <c r="C29" s="21" t="n"/>
      <c r="D29" s="21">
        <f>IF(C29="","",VLOOKUP(C29,'_Données Employés'!$B$5:$S$114,3,FALSE))</f>
        <v/>
      </c>
      <c r="E29" s="21" t="n"/>
      <c r="F29" s="21" t="n"/>
      <c r="G29" s="21" t="n"/>
      <c r="H29" s="21" t="n"/>
      <c r="I29" s="21" t="n"/>
      <c r="J29" s="16">
        <f>IF(D29="","",IFERROR(SUM(E29:H29),0))</f>
        <v/>
      </c>
      <c r="K29" s="16">
        <f>IF(D29="","",IFERROR(D29-J29,0))</f>
        <v/>
      </c>
      <c r="L29" s="21" t="n"/>
      <c r="M29" s="21" t="n"/>
    </row>
    <row r="30" ht="22" customHeight="1">
      <c r="B30" s="22">
        <f>IF(C30="","RET"&amp;TEXT(COUNTA($C$5:C30),"000"))</f>
        <v/>
      </c>
      <c r="C30" s="22" t="n"/>
      <c r="D30" s="22">
        <f>IF(C30="","",VLOOKUP(C30,'_Données Employés'!$B$5:$S$114,3,FALSE))</f>
        <v/>
      </c>
      <c r="E30" s="22" t="n"/>
      <c r="F30" s="22" t="n"/>
      <c r="G30" s="22" t="n"/>
      <c r="H30" s="22" t="n"/>
      <c r="I30" s="22" t="n"/>
      <c r="J30" s="18">
        <f>IF(D30="","",IFERROR(SUM(E30:H30),0))</f>
        <v/>
      </c>
      <c r="K30" s="18">
        <f>IF(D30="","",IFERROR(D30-J30,0))</f>
        <v/>
      </c>
      <c r="L30" s="22" t="n"/>
      <c r="M30" s="22" t="n"/>
    </row>
    <row r="31" ht="22" customHeight="1">
      <c r="B31" s="21">
        <f>IF(C31="","RET"&amp;TEXT(COUNTA($C$5:C31),"000"))</f>
        <v/>
      </c>
      <c r="C31" s="21" t="n"/>
      <c r="D31" s="21">
        <f>IF(C31="","",VLOOKUP(C31,'_Données Employés'!$B$5:$S$114,3,FALSE))</f>
        <v/>
      </c>
      <c r="E31" s="21" t="n"/>
      <c r="F31" s="21" t="n"/>
      <c r="G31" s="21" t="n"/>
      <c r="H31" s="21" t="n"/>
      <c r="I31" s="21" t="n"/>
      <c r="J31" s="16">
        <f>IF(D31="","",IFERROR(SUM(E31:H31),0))</f>
        <v/>
      </c>
      <c r="K31" s="16">
        <f>IF(D31="","",IFERROR(D31-J31,0))</f>
        <v/>
      </c>
      <c r="L31" s="21" t="n"/>
      <c r="M31" s="21" t="n"/>
    </row>
    <row r="32" ht="22" customHeight="1">
      <c r="B32" s="22">
        <f>IF(C32="","RET"&amp;TEXT(COUNTA($C$5:C32),"000"))</f>
        <v/>
      </c>
      <c r="C32" s="22" t="n"/>
      <c r="D32" s="22">
        <f>IF(C32="","",VLOOKUP(C32,'_Données Employés'!$B$5:$S$114,3,FALSE))</f>
        <v/>
      </c>
      <c r="E32" s="22" t="n"/>
      <c r="F32" s="22" t="n"/>
      <c r="G32" s="22" t="n"/>
      <c r="H32" s="22" t="n"/>
      <c r="I32" s="22" t="n"/>
      <c r="J32" s="18">
        <f>IF(D32="","",IFERROR(SUM(E32:H32),0))</f>
        <v/>
      </c>
      <c r="K32" s="18">
        <f>IF(D32="","",IFERROR(D32-J32,0))</f>
        <v/>
      </c>
      <c r="L32" s="22" t="n"/>
      <c r="M32" s="22" t="n"/>
    </row>
    <row r="33" ht="22" customHeight="1">
      <c r="B33" s="21">
        <f>IF(C33="","RET"&amp;TEXT(COUNTA($C$5:C33),"000"))</f>
        <v/>
      </c>
      <c r="C33" s="21" t="n"/>
      <c r="D33" s="21">
        <f>IF(C33="","",VLOOKUP(C33,'_Données Employés'!$B$5:$S$114,3,FALSE))</f>
        <v/>
      </c>
      <c r="E33" s="21" t="n"/>
      <c r="F33" s="21" t="n"/>
      <c r="G33" s="21" t="n"/>
      <c r="H33" s="21" t="n"/>
      <c r="I33" s="21" t="n"/>
      <c r="J33" s="16">
        <f>IF(D33="","",IFERROR(SUM(E33:H33),0))</f>
        <v/>
      </c>
      <c r="K33" s="16">
        <f>IF(D33="","",IFERROR(D33-J33,0))</f>
        <v/>
      </c>
      <c r="L33" s="21" t="n"/>
      <c r="M33" s="21" t="n"/>
    </row>
    <row r="34" ht="22" customHeight="1">
      <c r="B34" s="22">
        <f>IF(C34="","RET"&amp;TEXT(COUNTA($C$5:C34),"000"))</f>
        <v/>
      </c>
      <c r="C34" s="22" t="n"/>
      <c r="D34" s="22">
        <f>IF(C34="","",VLOOKUP(C34,'_Données Employés'!$B$5:$S$114,3,FALSE))</f>
        <v/>
      </c>
      <c r="E34" s="22" t="n"/>
      <c r="F34" s="22" t="n"/>
      <c r="G34" s="22" t="n"/>
      <c r="H34" s="22" t="n"/>
      <c r="I34" s="22" t="n"/>
      <c r="J34" s="18">
        <f>IF(D34="","",IFERROR(SUM(E34:H34),0))</f>
        <v/>
      </c>
      <c r="K34" s="18">
        <f>IF(D34="","",IFERROR(D34-J34,0))</f>
        <v/>
      </c>
      <c r="L34" s="22" t="n"/>
      <c r="M34" s="22" t="n"/>
    </row>
    <row r="35" ht="22" customHeight="1">
      <c r="B35" s="21">
        <f>IF(C35="","RET"&amp;TEXT(COUNTA($C$5:C35),"000"))</f>
        <v/>
      </c>
      <c r="C35" s="21" t="n"/>
      <c r="D35" s="21">
        <f>IF(C35="","",VLOOKUP(C35,'_Données Employés'!$B$5:$S$114,3,FALSE))</f>
        <v/>
      </c>
      <c r="E35" s="21" t="n"/>
      <c r="F35" s="21" t="n"/>
      <c r="G35" s="21" t="n"/>
      <c r="H35" s="21" t="n"/>
      <c r="I35" s="21" t="n"/>
      <c r="J35" s="16">
        <f>IF(D35="","",IFERROR(SUM(E35:H35),0))</f>
        <v/>
      </c>
      <c r="K35" s="16">
        <f>IF(D35="","",IFERROR(D35-J35,0))</f>
        <v/>
      </c>
      <c r="L35" s="21" t="n"/>
      <c r="M35" s="21" t="n"/>
    </row>
    <row r="36" ht="22" customHeight="1">
      <c r="B36" s="22">
        <f>IF(C36="","RET"&amp;TEXT(COUNTA($C$5:C36),"000"))</f>
        <v/>
      </c>
      <c r="C36" s="22" t="n"/>
      <c r="D36" s="22">
        <f>IF(C36="","",VLOOKUP(C36,'_Données Employés'!$B$5:$S$114,3,FALSE))</f>
        <v/>
      </c>
      <c r="E36" s="22" t="n"/>
      <c r="F36" s="22" t="n"/>
      <c r="G36" s="22" t="n"/>
      <c r="H36" s="22" t="n"/>
      <c r="I36" s="22" t="n"/>
      <c r="J36" s="18">
        <f>IF(D36="","",IFERROR(SUM(E36:H36),0))</f>
        <v/>
      </c>
      <c r="K36" s="18">
        <f>IF(D36="","",IFERROR(D36-J36,0))</f>
        <v/>
      </c>
      <c r="L36" s="22" t="n"/>
      <c r="M36" s="22" t="n"/>
    </row>
    <row r="37" ht="22" customHeight="1">
      <c r="B37" s="21">
        <f>IF(C37="","RET"&amp;TEXT(COUNTA($C$5:C37),"000"))</f>
        <v/>
      </c>
      <c r="C37" s="21" t="n"/>
      <c r="D37" s="21">
        <f>IF(C37="","",VLOOKUP(C37,'_Données Employés'!$B$5:$S$114,3,FALSE))</f>
        <v/>
      </c>
      <c r="E37" s="21" t="n"/>
      <c r="F37" s="21" t="n"/>
      <c r="G37" s="21" t="n"/>
      <c r="H37" s="21" t="n"/>
      <c r="I37" s="21" t="n"/>
      <c r="J37" s="16">
        <f>IF(D37="","",IFERROR(SUM(E37:H37),0))</f>
        <v/>
      </c>
      <c r="K37" s="16">
        <f>IF(D37="","",IFERROR(D37-J37,0))</f>
        <v/>
      </c>
      <c r="L37" s="21" t="n"/>
      <c r="M37" s="21" t="n"/>
    </row>
    <row r="38" ht="22" customHeight="1">
      <c r="B38" s="22">
        <f>IF(C38="","RET"&amp;TEXT(COUNTA($C$5:C38),"000"))</f>
        <v/>
      </c>
      <c r="C38" s="22" t="n"/>
      <c r="D38" s="22">
        <f>IF(C38="","",VLOOKUP(C38,'_Données Employés'!$B$5:$S$114,3,FALSE))</f>
        <v/>
      </c>
      <c r="E38" s="22" t="n"/>
      <c r="F38" s="22" t="n"/>
      <c r="G38" s="22" t="n"/>
      <c r="H38" s="22" t="n"/>
      <c r="I38" s="22" t="n"/>
      <c r="J38" s="18">
        <f>IF(D38="","",IFERROR(SUM(E38:H38),0))</f>
        <v/>
      </c>
      <c r="K38" s="18">
        <f>IF(D38="","",IFERROR(D38-J38,0))</f>
        <v/>
      </c>
      <c r="L38" s="22" t="n"/>
      <c r="M38" s="22" t="n"/>
    </row>
    <row r="39" ht="22" customHeight="1">
      <c r="B39" s="21">
        <f>IF(C39="","RET"&amp;TEXT(COUNTA($C$5:C39),"000"))</f>
        <v/>
      </c>
      <c r="C39" s="21" t="n"/>
      <c r="D39" s="21">
        <f>IF(C39="","",VLOOKUP(C39,'_Données Employés'!$B$5:$S$114,3,FALSE))</f>
        <v/>
      </c>
      <c r="E39" s="21" t="n"/>
      <c r="F39" s="21" t="n"/>
      <c r="G39" s="21" t="n"/>
      <c r="H39" s="21" t="n"/>
      <c r="I39" s="21" t="n"/>
      <c r="J39" s="16">
        <f>IF(D39="","",IFERROR(SUM(E39:H39),0))</f>
        <v/>
      </c>
      <c r="K39" s="16">
        <f>IF(D39="","",IFERROR(D39-J39,0))</f>
        <v/>
      </c>
      <c r="L39" s="21" t="n"/>
      <c r="M39" s="21" t="n"/>
    </row>
    <row r="40" ht="22" customHeight="1">
      <c r="B40" s="22">
        <f>IF(C40="","RET"&amp;TEXT(COUNTA($C$5:C40),"000"))</f>
        <v/>
      </c>
      <c r="C40" s="22" t="n"/>
      <c r="D40" s="22">
        <f>IF(C40="","",VLOOKUP(C40,'_Données Employés'!$B$5:$S$114,3,FALSE))</f>
        <v/>
      </c>
      <c r="E40" s="22" t="n"/>
      <c r="F40" s="22" t="n"/>
      <c r="G40" s="22" t="n"/>
      <c r="H40" s="22" t="n"/>
      <c r="I40" s="22" t="n"/>
      <c r="J40" s="18">
        <f>IF(D40="","",IFERROR(SUM(E40:H40),0))</f>
        <v/>
      </c>
      <c r="K40" s="18">
        <f>IF(D40="","",IFERROR(D40-J40,0))</f>
        <v/>
      </c>
      <c r="L40" s="22" t="n"/>
      <c r="M40" s="22" t="n"/>
    </row>
    <row r="41" ht="22" customHeight="1">
      <c r="B41" s="21">
        <f>IF(C41="","RET"&amp;TEXT(COUNTA($C$5:C41),"000"))</f>
        <v/>
      </c>
      <c r="C41" s="21" t="n"/>
      <c r="D41" s="21">
        <f>IF(C41="","",VLOOKUP(C41,'_Données Employés'!$B$5:$S$114,3,FALSE))</f>
        <v/>
      </c>
      <c r="E41" s="21" t="n"/>
      <c r="F41" s="21" t="n"/>
      <c r="G41" s="21" t="n"/>
      <c r="H41" s="21" t="n"/>
      <c r="I41" s="21" t="n"/>
      <c r="J41" s="16">
        <f>IF(D41="","",IFERROR(SUM(E41:H41),0))</f>
        <v/>
      </c>
      <c r="K41" s="16">
        <f>IF(D41="","",IFERROR(D41-J41,0))</f>
        <v/>
      </c>
      <c r="L41" s="21" t="n"/>
      <c r="M41" s="21" t="n"/>
    </row>
    <row r="42" ht="22" customHeight="1">
      <c r="B42" s="22">
        <f>IF(C42="","RET"&amp;TEXT(COUNTA($C$5:C42),"000"))</f>
        <v/>
      </c>
      <c r="C42" s="22" t="n"/>
      <c r="D42" s="22">
        <f>IF(C42="","",VLOOKUP(C42,'_Données Employés'!$B$5:$S$114,3,FALSE))</f>
        <v/>
      </c>
      <c r="E42" s="22" t="n"/>
      <c r="F42" s="22" t="n"/>
      <c r="G42" s="22" t="n"/>
      <c r="H42" s="22" t="n"/>
      <c r="I42" s="22" t="n"/>
      <c r="J42" s="18">
        <f>IF(D42="","",IFERROR(SUM(E42:H42),0))</f>
        <v/>
      </c>
      <c r="K42" s="18">
        <f>IF(D42="","",IFERROR(D42-J42,0))</f>
        <v/>
      </c>
      <c r="L42" s="22" t="n"/>
      <c r="M42" s="22" t="n"/>
    </row>
    <row r="43" ht="22" customHeight="1">
      <c r="B43" s="21">
        <f>IF(C43="","RET"&amp;TEXT(COUNTA($C$5:C43),"000"))</f>
        <v/>
      </c>
      <c r="C43" s="21" t="n"/>
      <c r="D43" s="21">
        <f>IF(C43="","",VLOOKUP(C43,'_Données Employés'!$B$5:$S$114,3,FALSE))</f>
        <v/>
      </c>
      <c r="E43" s="21" t="n"/>
      <c r="F43" s="21" t="n"/>
      <c r="G43" s="21" t="n"/>
      <c r="H43" s="21" t="n"/>
      <c r="I43" s="21" t="n"/>
      <c r="J43" s="16">
        <f>IF(D43="","",IFERROR(SUM(E43:H43),0))</f>
        <v/>
      </c>
      <c r="K43" s="16">
        <f>IF(D43="","",IFERROR(D43-J43,0))</f>
        <v/>
      </c>
      <c r="L43" s="21" t="n"/>
      <c r="M43" s="21" t="n"/>
    </row>
    <row r="44" ht="22" customHeight="1">
      <c r="B44" s="22">
        <f>IF(C44="","RET"&amp;TEXT(COUNTA($C$5:C44),"000"))</f>
        <v/>
      </c>
      <c r="C44" s="22" t="n"/>
      <c r="D44" s="22">
        <f>IF(C44="","",VLOOKUP(C44,'_Données Employés'!$B$5:$S$114,3,FALSE))</f>
        <v/>
      </c>
      <c r="E44" s="22" t="n"/>
      <c r="F44" s="22" t="n"/>
      <c r="G44" s="22" t="n"/>
      <c r="H44" s="22" t="n"/>
      <c r="I44" s="22" t="n"/>
      <c r="J44" s="18">
        <f>IF(D44="","",IFERROR(SUM(E44:H44),0))</f>
        <v/>
      </c>
      <c r="K44" s="18">
        <f>IF(D44="","",IFERROR(D44-J44,0))</f>
        <v/>
      </c>
      <c r="L44" s="22" t="n"/>
      <c r="M44" s="22" t="n"/>
    </row>
    <row r="45" ht="22" customHeight="1">
      <c r="B45" s="21">
        <f>IF(C45="","RET"&amp;TEXT(COUNTA($C$5:C45),"000"))</f>
        <v/>
      </c>
      <c r="C45" s="21" t="n"/>
      <c r="D45" s="21">
        <f>IF(C45="","",VLOOKUP(C45,'_Données Employés'!$B$5:$S$114,3,FALSE))</f>
        <v/>
      </c>
      <c r="E45" s="21" t="n"/>
      <c r="F45" s="21" t="n"/>
      <c r="G45" s="21" t="n"/>
      <c r="H45" s="21" t="n"/>
      <c r="I45" s="21" t="n"/>
      <c r="J45" s="16">
        <f>IF(D45="","",IFERROR(SUM(E45:H45),0))</f>
        <v/>
      </c>
      <c r="K45" s="16">
        <f>IF(D45="","",IFERROR(D45-J45,0))</f>
        <v/>
      </c>
      <c r="L45" s="21" t="n"/>
      <c r="M45" s="21" t="n"/>
    </row>
    <row r="46" ht="22" customHeight="1">
      <c r="B46" s="22">
        <f>IF(C46="","RET"&amp;TEXT(COUNTA($C$5:C46),"000"))</f>
        <v/>
      </c>
      <c r="C46" s="22" t="n"/>
      <c r="D46" s="22">
        <f>IF(C46="","",VLOOKUP(C46,'_Données Employés'!$B$5:$S$114,3,FALSE))</f>
        <v/>
      </c>
      <c r="E46" s="22" t="n"/>
      <c r="F46" s="22" t="n"/>
      <c r="G46" s="22" t="n"/>
      <c r="H46" s="22" t="n"/>
      <c r="I46" s="22" t="n"/>
      <c r="J46" s="18">
        <f>IF(D46="","",IFERROR(SUM(E46:H46),0))</f>
        <v/>
      </c>
      <c r="K46" s="18">
        <f>IF(D46="","",IFERROR(D46-J46,0))</f>
        <v/>
      </c>
      <c r="L46" s="22" t="n"/>
      <c r="M46" s="22" t="n"/>
    </row>
    <row r="47" ht="22" customHeight="1">
      <c r="B47" s="21">
        <f>IF(C47="","RET"&amp;TEXT(COUNTA($C$5:C47),"000"))</f>
        <v/>
      </c>
      <c r="C47" s="21" t="n"/>
      <c r="D47" s="21">
        <f>IF(C47="","",VLOOKUP(C47,'_Données Employés'!$B$5:$S$114,3,FALSE))</f>
        <v/>
      </c>
      <c r="E47" s="21" t="n"/>
      <c r="F47" s="21" t="n"/>
      <c r="G47" s="21" t="n"/>
      <c r="H47" s="21" t="n"/>
      <c r="I47" s="21" t="n"/>
      <c r="J47" s="16">
        <f>IF(D47="","",IFERROR(SUM(E47:H47),0))</f>
        <v/>
      </c>
      <c r="K47" s="16">
        <f>IF(D47="","",IFERROR(D47-J47,0))</f>
        <v/>
      </c>
      <c r="L47" s="21" t="n"/>
      <c r="M47" s="21" t="n"/>
    </row>
    <row r="48" ht="22" customHeight="1">
      <c r="B48" s="22">
        <f>IF(C48="","RET"&amp;TEXT(COUNTA($C$5:C48),"000"))</f>
        <v/>
      </c>
      <c r="C48" s="22" t="n"/>
      <c r="D48" s="22">
        <f>IF(C48="","",VLOOKUP(C48,'_Données Employés'!$B$5:$S$114,3,FALSE))</f>
        <v/>
      </c>
      <c r="E48" s="22" t="n"/>
      <c r="F48" s="22" t="n"/>
      <c r="G48" s="22" t="n"/>
      <c r="H48" s="22" t="n"/>
      <c r="I48" s="22" t="n"/>
      <c r="J48" s="18">
        <f>IF(D48="","",IFERROR(SUM(E48:H48),0))</f>
        <v/>
      </c>
      <c r="K48" s="18">
        <f>IF(D48="","",IFERROR(D48-J48,0))</f>
        <v/>
      </c>
      <c r="L48" s="22" t="n"/>
      <c r="M48" s="22" t="n"/>
    </row>
    <row r="49" ht="22" customHeight="1">
      <c r="B49" s="21">
        <f>IF(C49="","RET"&amp;TEXT(COUNTA($C$5:C49),"000"))</f>
        <v/>
      </c>
      <c r="C49" s="21" t="n"/>
      <c r="D49" s="21">
        <f>IF(C49="","",VLOOKUP(C49,'_Données Employés'!$B$5:$S$114,3,FALSE))</f>
        <v/>
      </c>
      <c r="E49" s="21" t="n"/>
      <c r="F49" s="21" t="n"/>
      <c r="G49" s="21" t="n"/>
      <c r="H49" s="21" t="n"/>
      <c r="I49" s="21" t="n"/>
      <c r="J49" s="16">
        <f>IF(D49="","",IFERROR(SUM(E49:H49),0))</f>
        <v/>
      </c>
      <c r="K49" s="16">
        <f>IF(D49="","",IFERROR(D49-J49,0))</f>
        <v/>
      </c>
      <c r="L49" s="21" t="n"/>
      <c r="M49" s="21" t="n"/>
    </row>
    <row r="50" ht="22" customHeight="1">
      <c r="B50" s="22">
        <f>IF(C50="","RET"&amp;TEXT(COUNTA($C$5:C50),"000"))</f>
        <v/>
      </c>
      <c r="C50" s="22" t="n"/>
      <c r="D50" s="22">
        <f>IF(C50="","",VLOOKUP(C50,'_Données Employés'!$B$5:$S$114,3,FALSE))</f>
        <v/>
      </c>
      <c r="E50" s="22" t="n"/>
      <c r="F50" s="22" t="n"/>
      <c r="G50" s="22" t="n"/>
      <c r="H50" s="22" t="n"/>
      <c r="I50" s="22" t="n"/>
      <c r="J50" s="18">
        <f>IF(D50="","",IFERROR(SUM(E50:H50),0))</f>
        <v/>
      </c>
      <c r="K50" s="18">
        <f>IF(D50="","",IFERROR(D50-J50,0))</f>
        <v/>
      </c>
      <c r="L50" s="22" t="n"/>
      <c r="M50" s="22" t="n"/>
    </row>
    <row r="51" ht="22" customHeight="1">
      <c r="B51" s="21">
        <f>IF(C51="","RET"&amp;TEXT(COUNTA($C$5:C51),"000"))</f>
        <v/>
      </c>
      <c r="C51" s="21" t="n"/>
      <c r="D51" s="21">
        <f>IF(C51="","",VLOOKUP(C51,'_Données Employés'!$B$5:$S$114,3,FALSE))</f>
        <v/>
      </c>
      <c r="E51" s="21" t="n"/>
      <c r="F51" s="21" t="n"/>
      <c r="G51" s="21" t="n"/>
      <c r="H51" s="21" t="n"/>
      <c r="I51" s="21" t="n"/>
      <c r="J51" s="16">
        <f>IF(D51="","",IFERROR(SUM(E51:H51),0))</f>
        <v/>
      </c>
      <c r="K51" s="16">
        <f>IF(D51="","",IFERROR(D51-J51,0))</f>
        <v/>
      </c>
      <c r="L51" s="21" t="n"/>
      <c r="M51" s="21" t="n"/>
    </row>
    <row r="52" ht="22" customHeight="1">
      <c r="B52" s="22">
        <f>IF(C52="","RET"&amp;TEXT(COUNTA($C$5:C52),"000"))</f>
        <v/>
      </c>
      <c r="C52" s="22" t="n"/>
      <c r="D52" s="22">
        <f>IF(C52="","",VLOOKUP(C52,'_Données Employés'!$B$5:$S$114,3,FALSE))</f>
        <v/>
      </c>
      <c r="E52" s="22" t="n"/>
      <c r="F52" s="22" t="n"/>
      <c r="G52" s="22" t="n"/>
      <c r="H52" s="22" t="n"/>
      <c r="I52" s="22" t="n"/>
      <c r="J52" s="18">
        <f>IF(D52="","",IFERROR(SUM(E52:H52),0))</f>
        <v/>
      </c>
      <c r="K52" s="18">
        <f>IF(D52="","",IFERROR(D52-J52,0))</f>
        <v/>
      </c>
      <c r="L52" s="22" t="n"/>
      <c r="M52" s="22" t="n"/>
    </row>
    <row r="53" ht="22" customHeight="1">
      <c r="B53" s="21">
        <f>IF(C53="","RET"&amp;TEXT(COUNTA($C$5:C53),"000"))</f>
        <v/>
      </c>
      <c r="C53" s="21" t="n"/>
      <c r="D53" s="21">
        <f>IF(C53="","",VLOOKUP(C53,'_Données Employés'!$B$5:$S$114,3,FALSE))</f>
        <v/>
      </c>
      <c r="E53" s="21" t="n"/>
      <c r="F53" s="21" t="n"/>
      <c r="G53" s="21" t="n"/>
      <c r="H53" s="21" t="n"/>
      <c r="I53" s="21" t="n"/>
      <c r="J53" s="16">
        <f>IF(D53="","",IFERROR(SUM(E53:H53),0))</f>
        <v/>
      </c>
      <c r="K53" s="16">
        <f>IF(D53="","",IFERROR(D53-J53,0))</f>
        <v/>
      </c>
      <c r="L53" s="21" t="n"/>
      <c r="M53" s="21" t="n"/>
    </row>
    <row r="54" ht="22" customHeight="1">
      <c r="B54" s="22">
        <f>IF(C54="","RET"&amp;TEXT(COUNTA($C$5:C54),"000"))</f>
        <v/>
      </c>
      <c r="C54" s="22" t="n"/>
      <c r="D54" s="22">
        <f>IF(C54="","",VLOOKUP(C54,'_Données Employés'!$B$5:$S$114,3,FALSE))</f>
        <v/>
      </c>
      <c r="E54" s="22" t="n"/>
      <c r="F54" s="22" t="n"/>
      <c r="G54" s="22" t="n"/>
      <c r="H54" s="22" t="n"/>
      <c r="I54" s="22" t="n"/>
      <c r="J54" s="18">
        <f>IF(D54="","",IFERROR(SUM(E54:H54),0))</f>
        <v/>
      </c>
      <c r="K54" s="18">
        <f>IF(D54="","",IFERROR(D54-J54,0))</f>
        <v/>
      </c>
      <c r="L54" s="22" t="n"/>
      <c r="M54" s="22" t="n"/>
    </row>
    <row r="55" ht="22" customHeight="1">
      <c r="B55" s="21">
        <f>IF(C55="","RET"&amp;TEXT(COUNTA($C$5:C55),"000"))</f>
        <v/>
      </c>
      <c r="C55" s="21" t="n"/>
      <c r="D55" s="21">
        <f>IF(C55="","",VLOOKUP(C55,'_Données Employés'!$B$5:$S$114,3,FALSE))</f>
        <v/>
      </c>
      <c r="E55" s="21" t="n"/>
      <c r="F55" s="21" t="n"/>
      <c r="G55" s="21" t="n"/>
      <c r="H55" s="21" t="n"/>
      <c r="I55" s="21" t="n"/>
      <c r="J55" s="16">
        <f>IF(D55="","",IFERROR(SUM(E55:H55),0))</f>
        <v/>
      </c>
      <c r="K55" s="16">
        <f>IF(D55="","",IFERROR(D55-J55,0))</f>
        <v/>
      </c>
      <c r="L55" s="21" t="n"/>
      <c r="M55" s="21" t="n"/>
    </row>
    <row r="56" ht="22" customHeight="1">
      <c r="B56" s="22">
        <f>IF(C56="","RET"&amp;TEXT(COUNTA($C$5:C56),"000"))</f>
        <v/>
      </c>
      <c r="C56" s="22" t="n"/>
      <c r="D56" s="22">
        <f>IF(C56="","",VLOOKUP(C56,'_Données Employés'!$B$5:$S$114,3,FALSE))</f>
        <v/>
      </c>
      <c r="E56" s="22" t="n"/>
      <c r="F56" s="22" t="n"/>
      <c r="G56" s="22" t="n"/>
      <c r="H56" s="22" t="n"/>
      <c r="I56" s="22" t="n"/>
      <c r="J56" s="18">
        <f>IF(D56="","",IFERROR(SUM(E56:H56),0))</f>
        <v/>
      </c>
      <c r="K56" s="18">
        <f>IF(D56="","",IFERROR(D56-J56,0))</f>
        <v/>
      </c>
      <c r="L56" s="22" t="n"/>
      <c r="M56" s="22" t="n"/>
    </row>
    <row r="57" ht="22" customHeight="1">
      <c r="B57" s="21">
        <f>IF(C57="","RET"&amp;TEXT(COUNTA($C$5:C57),"000"))</f>
        <v/>
      </c>
      <c r="C57" s="21" t="n"/>
      <c r="D57" s="21">
        <f>IF(C57="","",VLOOKUP(C57,'_Données Employés'!$B$5:$S$114,3,FALSE))</f>
        <v/>
      </c>
      <c r="E57" s="21" t="n"/>
      <c r="F57" s="21" t="n"/>
      <c r="G57" s="21" t="n"/>
      <c r="H57" s="21" t="n"/>
      <c r="I57" s="21" t="n"/>
      <c r="J57" s="16">
        <f>IF(D57="","",IFERROR(SUM(E57:H57),0))</f>
        <v/>
      </c>
      <c r="K57" s="16">
        <f>IF(D57="","",IFERROR(D57-J57,0))</f>
        <v/>
      </c>
      <c r="L57" s="21" t="n"/>
      <c r="M57" s="21" t="n"/>
    </row>
    <row r="58" ht="22" customHeight="1">
      <c r="B58" s="22">
        <f>IF(C58="","RET"&amp;TEXT(COUNTA($C$5:C58),"000"))</f>
        <v/>
      </c>
      <c r="C58" s="22" t="n"/>
      <c r="D58" s="22">
        <f>IF(C58="","",VLOOKUP(C58,'_Données Employés'!$B$5:$S$114,3,FALSE))</f>
        <v/>
      </c>
      <c r="E58" s="22" t="n"/>
      <c r="F58" s="22" t="n"/>
      <c r="G58" s="22" t="n"/>
      <c r="H58" s="22" t="n"/>
      <c r="I58" s="22" t="n"/>
      <c r="J58" s="18">
        <f>IF(D58="","",IFERROR(SUM(E58:H58),0))</f>
        <v/>
      </c>
      <c r="K58" s="18">
        <f>IF(D58="","",IFERROR(D58-J58,0))</f>
        <v/>
      </c>
      <c r="L58" s="22" t="n"/>
      <c r="M58" s="22" t="n"/>
    </row>
    <row r="59" ht="22" customHeight="1">
      <c r="B59" s="21">
        <f>IF(C59="","RET"&amp;TEXT(COUNTA($C$5:C59),"000"))</f>
        <v/>
      </c>
      <c r="C59" s="21" t="n"/>
      <c r="D59" s="21">
        <f>IF(C59="","",VLOOKUP(C59,'_Données Employés'!$B$5:$S$114,3,FALSE))</f>
        <v/>
      </c>
      <c r="E59" s="21" t="n"/>
      <c r="F59" s="21" t="n"/>
      <c r="G59" s="21" t="n"/>
      <c r="H59" s="21" t="n"/>
      <c r="I59" s="21" t="n"/>
      <c r="J59" s="16">
        <f>IF(D59="","",IFERROR(SUM(E59:H59),0))</f>
        <v/>
      </c>
      <c r="K59" s="16">
        <f>IF(D59="","",IFERROR(D59-J59,0))</f>
        <v/>
      </c>
      <c r="L59" s="21" t="n"/>
      <c r="M59" s="21" t="n"/>
    </row>
    <row r="60" ht="22" customHeight="1">
      <c r="B60" s="22">
        <f>IF(C60="","RET"&amp;TEXT(COUNTA($C$5:C60),"000"))</f>
        <v/>
      </c>
      <c r="C60" s="22" t="n"/>
      <c r="D60" s="22">
        <f>IF(C60="","",VLOOKUP(C60,'_Données Employés'!$B$5:$S$114,3,FALSE))</f>
        <v/>
      </c>
      <c r="E60" s="22" t="n"/>
      <c r="F60" s="22" t="n"/>
      <c r="G60" s="22" t="n"/>
      <c r="H60" s="22" t="n"/>
      <c r="I60" s="22" t="n"/>
      <c r="J60" s="18">
        <f>IF(D60="","",IFERROR(SUM(E60:H60),0))</f>
        <v/>
      </c>
      <c r="K60" s="18">
        <f>IF(D60="","",IFERROR(D60-J60,0))</f>
        <v/>
      </c>
      <c r="L60" s="22" t="n"/>
      <c r="M60" s="22" t="n"/>
    </row>
    <row r="61" ht="22" customHeight="1">
      <c r="B61" s="21">
        <f>IF(C61="","RET"&amp;TEXT(COUNTA($C$5:C61),"000"))</f>
        <v/>
      </c>
      <c r="C61" s="21" t="n"/>
      <c r="D61" s="21">
        <f>IF(C61="","",VLOOKUP(C61,'_Données Employés'!$B$5:$S$114,3,FALSE))</f>
        <v/>
      </c>
      <c r="E61" s="21" t="n"/>
      <c r="F61" s="21" t="n"/>
      <c r="G61" s="21" t="n"/>
      <c r="H61" s="21" t="n"/>
      <c r="I61" s="21" t="n"/>
      <c r="J61" s="16">
        <f>IF(D61="","",IFERROR(SUM(E61:H61),0))</f>
        <v/>
      </c>
      <c r="K61" s="16">
        <f>IF(D61="","",IFERROR(D61-J61,0))</f>
        <v/>
      </c>
      <c r="L61" s="21" t="n"/>
      <c r="M61" s="21" t="n"/>
    </row>
    <row r="62" ht="22" customHeight="1">
      <c r="B62" s="22">
        <f>IF(C62="","RET"&amp;TEXT(COUNTA($C$5:C62),"000"))</f>
        <v/>
      </c>
      <c r="C62" s="22" t="n"/>
      <c r="D62" s="22">
        <f>IF(C62="","",VLOOKUP(C62,'_Données Employés'!$B$5:$S$114,3,FALSE))</f>
        <v/>
      </c>
      <c r="E62" s="22" t="n"/>
      <c r="F62" s="22" t="n"/>
      <c r="G62" s="22" t="n"/>
      <c r="H62" s="22" t="n"/>
      <c r="I62" s="22" t="n"/>
      <c r="J62" s="18">
        <f>IF(D62="","",IFERROR(SUM(E62:H62),0))</f>
        <v/>
      </c>
      <c r="K62" s="18">
        <f>IF(D62="","",IFERROR(D62-J62,0))</f>
        <v/>
      </c>
      <c r="L62" s="22" t="n"/>
      <c r="M62" s="22" t="n"/>
    </row>
    <row r="63" ht="22" customHeight="1">
      <c r="B63" s="21">
        <f>IF(C63="","RET"&amp;TEXT(COUNTA($C$5:C63),"000"))</f>
        <v/>
      </c>
      <c r="C63" s="21" t="n"/>
      <c r="D63" s="21">
        <f>IF(C63="","",VLOOKUP(C63,'_Données Employés'!$B$5:$S$114,3,FALSE))</f>
        <v/>
      </c>
      <c r="E63" s="21" t="n"/>
      <c r="F63" s="21" t="n"/>
      <c r="G63" s="21" t="n"/>
      <c r="H63" s="21" t="n"/>
      <c r="I63" s="21" t="n"/>
      <c r="J63" s="16">
        <f>IF(D63="","",IFERROR(SUM(E63:H63),0))</f>
        <v/>
      </c>
      <c r="K63" s="16">
        <f>IF(D63="","",IFERROR(D63-J63,0))</f>
        <v/>
      </c>
      <c r="L63" s="21" t="n"/>
      <c r="M63" s="21" t="n"/>
    </row>
    <row r="64" ht="22" customHeight="1">
      <c r="B64" s="22">
        <f>IF(C64="","RET"&amp;TEXT(COUNTA($C$5:C64),"000"))</f>
        <v/>
      </c>
      <c r="C64" s="22" t="n"/>
      <c r="D64" s="22">
        <f>IF(C64="","",VLOOKUP(C64,'_Données Employés'!$B$5:$S$114,3,FALSE))</f>
        <v/>
      </c>
      <c r="E64" s="22" t="n"/>
      <c r="F64" s="22" t="n"/>
      <c r="G64" s="22" t="n"/>
      <c r="H64" s="22" t="n"/>
      <c r="I64" s="22" t="n"/>
      <c r="J64" s="18">
        <f>IF(D64="","",IFERROR(SUM(E64:H64),0))</f>
        <v/>
      </c>
      <c r="K64" s="18">
        <f>IF(D64="","",IFERROR(D64-J64,0))</f>
        <v/>
      </c>
      <c r="L64" s="22" t="n"/>
      <c r="M64" s="22" t="n"/>
    </row>
    <row r="65" ht="22" customHeight="1">
      <c r="B65" s="21">
        <f>IF(C65="","RET"&amp;TEXT(COUNTA($C$5:C65),"000"))</f>
        <v/>
      </c>
      <c r="C65" s="21" t="n"/>
      <c r="D65" s="21">
        <f>IF(C65="","",VLOOKUP(C65,'_Données Employés'!$B$5:$S$114,3,FALSE))</f>
        <v/>
      </c>
      <c r="E65" s="21" t="n"/>
      <c r="F65" s="21" t="n"/>
      <c r="G65" s="21" t="n"/>
      <c r="H65" s="21" t="n"/>
      <c r="I65" s="21" t="n"/>
      <c r="J65" s="16">
        <f>IF(D65="","",IFERROR(SUM(E65:H65),0))</f>
        <v/>
      </c>
      <c r="K65" s="16">
        <f>IF(D65="","",IFERROR(D65-J65,0))</f>
        <v/>
      </c>
      <c r="L65" s="21" t="n"/>
      <c r="M65" s="21" t="n"/>
    </row>
    <row r="66" ht="22" customHeight="1">
      <c r="B66" s="22">
        <f>IF(C66="","RET"&amp;TEXT(COUNTA($C$5:C66),"000"))</f>
        <v/>
      </c>
      <c r="C66" s="22" t="n"/>
      <c r="D66" s="22">
        <f>IF(C66="","",VLOOKUP(C66,'_Données Employés'!$B$5:$S$114,3,FALSE))</f>
        <v/>
      </c>
      <c r="E66" s="22" t="n"/>
      <c r="F66" s="22" t="n"/>
      <c r="G66" s="22" t="n"/>
      <c r="H66" s="22" t="n"/>
      <c r="I66" s="22" t="n"/>
      <c r="J66" s="18">
        <f>IF(D66="","",IFERROR(SUM(E66:H66),0))</f>
        <v/>
      </c>
      <c r="K66" s="18">
        <f>IF(D66="","",IFERROR(D66-J66,0))</f>
        <v/>
      </c>
      <c r="L66" s="22" t="n"/>
      <c r="M66" s="22" t="n"/>
    </row>
    <row r="67" ht="22" customHeight="1">
      <c r="B67" s="21">
        <f>IF(C67="","RET"&amp;TEXT(COUNTA($C$5:C67),"000"))</f>
        <v/>
      </c>
      <c r="C67" s="21" t="n"/>
      <c r="D67" s="21">
        <f>IF(C67="","",VLOOKUP(C67,'_Données Employés'!$B$5:$S$114,3,FALSE))</f>
        <v/>
      </c>
      <c r="E67" s="21" t="n"/>
      <c r="F67" s="21" t="n"/>
      <c r="G67" s="21" t="n"/>
      <c r="H67" s="21" t="n"/>
      <c r="I67" s="21" t="n"/>
      <c r="J67" s="16">
        <f>IF(D67="","",IFERROR(SUM(E67:H67),0))</f>
        <v/>
      </c>
      <c r="K67" s="16">
        <f>IF(D67="","",IFERROR(D67-J67,0))</f>
        <v/>
      </c>
      <c r="L67" s="21" t="n"/>
      <c r="M67" s="21" t="n"/>
    </row>
    <row r="68" ht="22" customHeight="1">
      <c r="B68" s="22">
        <f>IF(C68="","RET"&amp;TEXT(COUNTA($C$5:C68),"000"))</f>
        <v/>
      </c>
      <c r="C68" s="22" t="n"/>
      <c r="D68" s="22">
        <f>IF(C68="","",VLOOKUP(C68,'_Données Employés'!$B$5:$S$114,3,FALSE))</f>
        <v/>
      </c>
      <c r="E68" s="22" t="n"/>
      <c r="F68" s="22" t="n"/>
      <c r="G68" s="22" t="n"/>
      <c r="H68" s="22" t="n"/>
      <c r="I68" s="22" t="n"/>
      <c r="J68" s="18">
        <f>IF(D68="","",IFERROR(SUM(E68:H68),0))</f>
        <v/>
      </c>
      <c r="K68" s="18">
        <f>IF(D68="","",IFERROR(D68-J68,0))</f>
        <v/>
      </c>
      <c r="L68" s="22" t="n"/>
      <c r="M68" s="22" t="n"/>
    </row>
    <row r="69" ht="22" customHeight="1">
      <c r="B69" s="21">
        <f>IF(C69="","RET"&amp;TEXT(COUNTA($C$5:C69),"000"))</f>
        <v/>
      </c>
      <c r="C69" s="21" t="n"/>
      <c r="D69" s="21">
        <f>IF(C69="","",VLOOKUP(C69,'_Données Employés'!$B$5:$S$114,3,FALSE))</f>
        <v/>
      </c>
      <c r="E69" s="21" t="n"/>
      <c r="F69" s="21" t="n"/>
      <c r="G69" s="21" t="n"/>
      <c r="H69" s="21" t="n"/>
      <c r="I69" s="21" t="n"/>
      <c r="J69" s="16">
        <f>IF(D69="","",IFERROR(SUM(E69:H69),0))</f>
        <v/>
      </c>
      <c r="K69" s="16">
        <f>IF(D69="","",IFERROR(D69-J69,0))</f>
        <v/>
      </c>
      <c r="L69" s="21" t="n"/>
      <c r="M69" s="21" t="n"/>
    </row>
    <row r="70" ht="22" customHeight="1">
      <c r="B70" s="22">
        <f>IF(C70="","RET"&amp;TEXT(COUNTA($C$5:C70),"000"))</f>
        <v/>
      </c>
      <c r="C70" s="22" t="n"/>
      <c r="D70" s="22">
        <f>IF(C70="","",VLOOKUP(C70,'_Données Employés'!$B$5:$S$114,3,FALSE))</f>
        <v/>
      </c>
      <c r="E70" s="22" t="n"/>
      <c r="F70" s="22" t="n"/>
      <c r="G70" s="22" t="n"/>
      <c r="H70" s="22" t="n"/>
      <c r="I70" s="22" t="n"/>
      <c r="J70" s="18">
        <f>IF(D70="","",IFERROR(SUM(E70:H70),0))</f>
        <v/>
      </c>
      <c r="K70" s="18">
        <f>IF(D70="","",IFERROR(D70-J70,0))</f>
        <v/>
      </c>
      <c r="L70" s="22" t="n"/>
      <c r="M70" s="22" t="n"/>
    </row>
    <row r="71" ht="22" customHeight="1">
      <c r="B71" s="21">
        <f>IF(C71="","RET"&amp;TEXT(COUNTA($C$5:C71),"000"))</f>
        <v/>
      </c>
      <c r="C71" s="21" t="n"/>
      <c r="D71" s="21">
        <f>IF(C71="","",VLOOKUP(C71,'_Données Employés'!$B$5:$S$114,3,FALSE))</f>
        <v/>
      </c>
      <c r="E71" s="21" t="n"/>
      <c r="F71" s="21" t="n"/>
      <c r="G71" s="21" t="n"/>
      <c r="H71" s="21" t="n"/>
      <c r="I71" s="21" t="n"/>
      <c r="J71" s="16">
        <f>IF(D71="","",IFERROR(SUM(E71:H71),0))</f>
        <v/>
      </c>
      <c r="K71" s="16">
        <f>IF(D71="","",IFERROR(D71-J71,0))</f>
        <v/>
      </c>
      <c r="L71" s="21" t="n"/>
      <c r="M71" s="21" t="n"/>
    </row>
    <row r="72" ht="22" customHeight="1">
      <c r="B72" s="22">
        <f>IF(C72="","RET"&amp;TEXT(COUNTA($C$5:C72),"000"))</f>
        <v/>
      </c>
      <c r="C72" s="22" t="n"/>
      <c r="D72" s="22">
        <f>IF(C72="","",VLOOKUP(C72,'_Données Employés'!$B$5:$S$114,3,FALSE))</f>
        <v/>
      </c>
      <c r="E72" s="22" t="n"/>
      <c r="F72" s="22" t="n"/>
      <c r="G72" s="22" t="n"/>
      <c r="H72" s="22" t="n"/>
      <c r="I72" s="22" t="n"/>
      <c r="J72" s="18">
        <f>IF(D72="","",IFERROR(SUM(E72:H72),0))</f>
        <v/>
      </c>
      <c r="K72" s="18">
        <f>IF(D72="","",IFERROR(D72-J72,0))</f>
        <v/>
      </c>
      <c r="L72" s="22" t="n"/>
      <c r="M72" s="22" t="n"/>
    </row>
    <row r="73" ht="22" customHeight="1">
      <c r="B73" s="21">
        <f>IF(C73="","RET"&amp;TEXT(COUNTA($C$5:C73),"000"))</f>
        <v/>
      </c>
      <c r="C73" s="21" t="n"/>
      <c r="D73" s="21">
        <f>IF(C73="","",VLOOKUP(C73,'_Données Employés'!$B$5:$S$114,3,FALSE))</f>
        <v/>
      </c>
      <c r="E73" s="21" t="n"/>
      <c r="F73" s="21" t="n"/>
      <c r="G73" s="21" t="n"/>
      <c r="H73" s="21" t="n"/>
      <c r="I73" s="21" t="n"/>
      <c r="J73" s="16">
        <f>IF(D73="","",IFERROR(SUM(E73:H73),0))</f>
        <v/>
      </c>
      <c r="K73" s="16">
        <f>IF(D73="","",IFERROR(D73-J73,0))</f>
        <v/>
      </c>
      <c r="L73" s="21" t="n"/>
      <c r="M73" s="21" t="n"/>
    </row>
    <row r="74" ht="22" customHeight="1">
      <c r="B74" s="22">
        <f>IF(C74="","RET"&amp;TEXT(COUNTA($C$5:C74),"000"))</f>
        <v/>
      </c>
      <c r="C74" s="22" t="n"/>
      <c r="D74" s="22">
        <f>IF(C74="","",VLOOKUP(C74,'_Données Employés'!$B$5:$S$114,3,FALSE))</f>
        <v/>
      </c>
      <c r="E74" s="22" t="n"/>
      <c r="F74" s="22" t="n"/>
      <c r="G74" s="22" t="n"/>
      <c r="H74" s="22" t="n"/>
      <c r="I74" s="22" t="n"/>
      <c r="J74" s="18">
        <f>IF(D74="","",IFERROR(SUM(E74:H74),0))</f>
        <v/>
      </c>
      <c r="K74" s="18">
        <f>IF(D74="","",IFERROR(D74-J74,0))</f>
        <v/>
      </c>
      <c r="L74" s="22" t="n"/>
      <c r="M74" s="22" t="n"/>
    </row>
    <row r="75" ht="22" customHeight="1">
      <c r="B75" s="21">
        <f>IF(C75="","RET"&amp;TEXT(COUNTA($C$5:C75),"000"))</f>
        <v/>
      </c>
      <c r="C75" s="21" t="n"/>
      <c r="D75" s="21">
        <f>IF(C75="","",VLOOKUP(C75,'_Données Employés'!$B$5:$S$114,3,FALSE))</f>
        <v/>
      </c>
      <c r="E75" s="21" t="n"/>
      <c r="F75" s="21" t="n"/>
      <c r="G75" s="21" t="n"/>
      <c r="H75" s="21" t="n"/>
      <c r="I75" s="21" t="n"/>
      <c r="J75" s="16">
        <f>IF(D75="","",IFERROR(SUM(E75:H75),0))</f>
        <v/>
      </c>
      <c r="K75" s="16">
        <f>IF(D75="","",IFERROR(D75-J75,0))</f>
        <v/>
      </c>
      <c r="L75" s="21" t="n"/>
      <c r="M75" s="21" t="n"/>
    </row>
    <row r="76" ht="22" customHeight="1">
      <c r="B76" s="22">
        <f>IF(C76="","RET"&amp;TEXT(COUNTA($C$5:C76),"000"))</f>
        <v/>
      </c>
      <c r="C76" s="22" t="n"/>
      <c r="D76" s="22">
        <f>IF(C76="","",VLOOKUP(C76,'_Données Employés'!$B$5:$S$114,3,FALSE))</f>
        <v/>
      </c>
      <c r="E76" s="22" t="n"/>
      <c r="F76" s="22" t="n"/>
      <c r="G76" s="22" t="n"/>
      <c r="H76" s="22" t="n"/>
      <c r="I76" s="22" t="n"/>
      <c r="J76" s="18">
        <f>IF(D76="","",IFERROR(SUM(E76:H76),0))</f>
        <v/>
      </c>
      <c r="K76" s="18">
        <f>IF(D76="","",IFERROR(D76-J76,0))</f>
        <v/>
      </c>
      <c r="L76" s="22" t="n"/>
      <c r="M76" s="22" t="n"/>
    </row>
    <row r="77" ht="22" customHeight="1">
      <c r="B77" s="21">
        <f>IF(C77="","RET"&amp;TEXT(COUNTA($C$5:C77),"000"))</f>
        <v/>
      </c>
      <c r="C77" s="21" t="n"/>
      <c r="D77" s="21">
        <f>IF(C77="","",VLOOKUP(C77,'_Données Employés'!$B$5:$S$114,3,FALSE))</f>
        <v/>
      </c>
      <c r="E77" s="21" t="n"/>
      <c r="F77" s="21" t="n"/>
      <c r="G77" s="21" t="n"/>
      <c r="H77" s="21" t="n"/>
      <c r="I77" s="21" t="n"/>
      <c r="J77" s="16">
        <f>IF(D77="","",IFERROR(SUM(E77:H77),0))</f>
        <v/>
      </c>
      <c r="K77" s="16">
        <f>IF(D77="","",IFERROR(D77-J77,0))</f>
        <v/>
      </c>
      <c r="L77" s="21" t="n"/>
      <c r="M77" s="21" t="n"/>
    </row>
    <row r="78" ht="22" customHeight="1">
      <c r="B78" s="22">
        <f>IF(C78="","RET"&amp;TEXT(COUNTA($C$5:C78),"000"))</f>
        <v/>
      </c>
      <c r="C78" s="22" t="n"/>
      <c r="D78" s="22">
        <f>IF(C78="","",VLOOKUP(C78,'_Données Employés'!$B$5:$S$114,3,FALSE))</f>
        <v/>
      </c>
      <c r="E78" s="22" t="n"/>
      <c r="F78" s="22" t="n"/>
      <c r="G78" s="22" t="n"/>
      <c r="H78" s="22" t="n"/>
      <c r="I78" s="22" t="n"/>
      <c r="J78" s="18">
        <f>IF(D78="","",IFERROR(SUM(E78:H78),0))</f>
        <v/>
      </c>
      <c r="K78" s="18">
        <f>IF(D78="","",IFERROR(D78-J78,0))</f>
        <v/>
      </c>
      <c r="L78" s="22" t="n"/>
      <c r="M78" s="22" t="n"/>
    </row>
    <row r="79" ht="22" customHeight="1">
      <c r="B79" s="21">
        <f>IF(C79="","RET"&amp;TEXT(COUNTA($C$5:C79),"000"))</f>
        <v/>
      </c>
      <c r="C79" s="21" t="n"/>
      <c r="D79" s="21">
        <f>IF(C79="","",VLOOKUP(C79,'_Données Employés'!$B$5:$S$114,3,FALSE))</f>
        <v/>
      </c>
      <c r="E79" s="21" t="n"/>
      <c r="F79" s="21" t="n"/>
      <c r="G79" s="21" t="n"/>
      <c r="H79" s="21" t="n"/>
      <c r="I79" s="21" t="n"/>
      <c r="J79" s="16">
        <f>IF(D79="","",IFERROR(SUM(E79:H79),0))</f>
        <v/>
      </c>
      <c r="K79" s="16">
        <f>IF(D79="","",IFERROR(D79-J79,0))</f>
        <v/>
      </c>
      <c r="L79" s="21" t="n"/>
      <c r="M79" s="21" t="n"/>
    </row>
    <row r="80" ht="22" customHeight="1">
      <c r="B80" s="22">
        <f>IF(C80="","RET"&amp;TEXT(COUNTA($C$5:C80),"000"))</f>
        <v/>
      </c>
      <c r="C80" s="22" t="n"/>
      <c r="D80" s="22">
        <f>IF(C80="","",VLOOKUP(C80,'_Données Employés'!$B$5:$S$114,3,FALSE))</f>
        <v/>
      </c>
      <c r="E80" s="22" t="n"/>
      <c r="F80" s="22" t="n"/>
      <c r="G80" s="22" t="n"/>
      <c r="H80" s="22" t="n"/>
      <c r="I80" s="22" t="n"/>
      <c r="J80" s="18">
        <f>IF(D80="","",IFERROR(SUM(E80:H80),0))</f>
        <v/>
      </c>
      <c r="K80" s="18">
        <f>IF(D80="","",IFERROR(D80-J80,0))</f>
        <v/>
      </c>
      <c r="L80" s="22" t="n"/>
      <c r="M80" s="22" t="n"/>
    </row>
    <row r="81" ht="22" customHeight="1">
      <c r="B81" s="21">
        <f>IF(C81="","RET"&amp;TEXT(COUNTA($C$5:C81),"000"))</f>
        <v/>
      </c>
      <c r="C81" s="21" t="n"/>
      <c r="D81" s="21">
        <f>IF(C81="","",VLOOKUP(C81,'_Données Employés'!$B$5:$S$114,3,FALSE))</f>
        <v/>
      </c>
      <c r="E81" s="21" t="n"/>
      <c r="F81" s="21" t="n"/>
      <c r="G81" s="21" t="n"/>
      <c r="H81" s="21" t="n"/>
      <c r="I81" s="21" t="n"/>
      <c r="J81" s="16">
        <f>IF(D81="","",IFERROR(SUM(E81:H81),0))</f>
        <v/>
      </c>
      <c r="K81" s="16">
        <f>IF(D81="","",IFERROR(D81-J81,0))</f>
        <v/>
      </c>
      <c r="L81" s="21" t="n"/>
      <c r="M81" s="21" t="n"/>
    </row>
    <row r="82" ht="22" customHeight="1">
      <c r="B82" s="22">
        <f>IF(C82="","RET"&amp;TEXT(COUNTA($C$5:C82),"000"))</f>
        <v/>
      </c>
      <c r="C82" s="22" t="n"/>
      <c r="D82" s="22">
        <f>IF(C82="","",VLOOKUP(C82,'_Données Employés'!$B$5:$S$114,3,FALSE))</f>
        <v/>
      </c>
      <c r="E82" s="22" t="n"/>
      <c r="F82" s="22" t="n"/>
      <c r="G82" s="22" t="n"/>
      <c r="H82" s="22" t="n"/>
      <c r="I82" s="22" t="n"/>
      <c r="J82" s="18">
        <f>IF(D82="","",IFERROR(SUM(E82:H82),0))</f>
        <v/>
      </c>
      <c r="K82" s="18">
        <f>IF(D82="","",IFERROR(D82-J82,0))</f>
        <v/>
      </c>
      <c r="L82" s="22" t="n"/>
      <c r="M82" s="22" t="n"/>
    </row>
    <row r="83" ht="22" customHeight="1">
      <c r="B83" s="21">
        <f>IF(C83="","RET"&amp;TEXT(COUNTA($C$5:C83),"000"))</f>
        <v/>
      </c>
      <c r="C83" s="21" t="n"/>
      <c r="D83" s="21">
        <f>IF(C83="","",VLOOKUP(C83,'_Données Employés'!$B$5:$S$114,3,FALSE))</f>
        <v/>
      </c>
      <c r="E83" s="21" t="n"/>
      <c r="F83" s="21" t="n"/>
      <c r="G83" s="21" t="n"/>
      <c r="H83" s="21" t="n"/>
      <c r="I83" s="21" t="n"/>
      <c r="J83" s="16">
        <f>IF(D83="","",IFERROR(SUM(E83:H83),0))</f>
        <v/>
      </c>
      <c r="K83" s="16">
        <f>IF(D83="","",IFERROR(D83-J83,0))</f>
        <v/>
      </c>
      <c r="L83" s="21" t="n"/>
      <c r="M83" s="21" t="n"/>
    </row>
    <row r="84" ht="22" customHeight="1">
      <c r="B84" s="22">
        <f>IF(C84="","RET"&amp;TEXT(COUNTA($C$5:C84),"000"))</f>
        <v/>
      </c>
      <c r="C84" s="22" t="n"/>
      <c r="D84" s="22">
        <f>IF(C84="","",VLOOKUP(C84,'_Données Employés'!$B$5:$S$114,3,FALSE))</f>
        <v/>
      </c>
      <c r="E84" s="22" t="n"/>
      <c r="F84" s="22" t="n"/>
      <c r="G84" s="22" t="n"/>
      <c r="H84" s="22" t="n"/>
      <c r="I84" s="22" t="n"/>
      <c r="J84" s="18">
        <f>IF(D84="","",IFERROR(SUM(E84:H84),0))</f>
        <v/>
      </c>
      <c r="K84" s="18">
        <f>IF(D84="","",IFERROR(D84-J84,0))</f>
        <v/>
      </c>
      <c r="L84" s="22" t="n"/>
      <c r="M84" s="22" t="n"/>
    </row>
    <row r="85" ht="22" customHeight="1">
      <c r="B85" s="21">
        <f>IF(C85="","RET"&amp;TEXT(COUNTA($C$5:C85),"000"))</f>
        <v/>
      </c>
      <c r="C85" s="21" t="n"/>
      <c r="D85" s="21">
        <f>IF(C85="","",VLOOKUP(C85,'_Données Employés'!$B$5:$S$114,3,FALSE))</f>
        <v/>
      </c>
      <c r="E85" s="21" t="n"/>
      <c r="F85" s="21" t="n"/>
      <c r="G85" s="21" t="n"/>
      <c r="H85" s="21" t="n"/>
      <c r="I85" s="21" t="n"/>
      <c r="J85" s="16">
        <f>IF(D85="","",IFERROR(SUM(E85:H85),0))</f>
        <v/>
      </c>
      <c r="K85" s="16">
        <f>IF(D85="","",IFERROR(D85-J85,0))</f>
        <v/>
      </c>
      <c r="L85" s="21" t="n"/>
      <c r="M85" s="21" t="n"/>
    </row>
    <row r="86" ht="22" customHeight="1">
      <c r="B86" s="22">
        <f>IF(C86="","RET"&amp;TEXT(COUNTA($C$5:C86),"000"))</f>
        <v/>
      </c>
      <c r="C86" s="22" t="n"/>
      <c r="D86" s="22">
        <f>IF(C86="","",VLOOKUP(C86,'_Données Employés'!$B$5:$S$114,3,FALSE))</f>
        <v/>
      </c>
      <c r="E86" s="22" t="n"/>
      <c r="F86" s="22" t="n"/>
      <c r="G86" s="22" t="n"/>
      <c r="H86" s="22" t="n"/>
      <c r="I86" s="22" t="n"/>
      <c r="J86" s="18">
        <f>IF(D86="","",IFERROR(SUM(E86:H86),0))</f>
        <v/>
      </c>
      <c r="K86" s="18">
        <f>IF(D86="","",IFERROR(D86-J86,0))</f>
        <v/>
      </c>
      <c r="L86" s="22" t="n"/>
      <c r="M86" s="22" t="n"/>
    </row>
    <row r="87" ht="22" customHeight="1">
      <c r="B87" s="21">
        <f>IF(C87="","RET"&amp;TEXT(COUNTA($C$5:C87),"000"))</f>
        <v/>
      </c>
      <c r="C87" s="21" t="n"/>
      <c r="D87" s="21">
        <f>IF(C87="","",VLOOKUP(C87,'_Données Employés'!$B$5:$S$114,3,FALSE))</f>
        <v/>
      </c>
      <c r="E87" s="21" t="n"/>
      <c r="F87" s="21" t="n"/>
      <c r="G87" s="21" t="n"/>
      <c r="H87" s="21" t="n"/>
      <c r="I87" s="21" t="n"/>
      <c r="J87" s="16">
        <f>IF(D87="","",IFERROR(SUM(E87:H87),0))</f>
        <v/>
      </c>
      <c r="K87" s="16">
        <f>IF(D87="","",IFERROR(D87-J87,0))</f>
        <v/>
      </c>
      <c r="L87" s="21" t="n"/>
      <c r="M87" s="21" t="n"/>
    </row>
    <row r="88" ht="22" customHeight="1">
      <c r="B88" s="22">
        <f>IF(C88="","RET"&amp;TEXT(COUNTA($C$5:C88),"000"))</f>
        <v/>
      </c>
      <c r="C88" s="22" t="n"/>
      <c r="D88" s="22">
        <f>IF(C88="","",VLOOKUP(C88,'_Données Employés'!$B$5:$S$114,3,FALSE))</f>
        <v/>
      </c>
      <c r="E88" s="22" t="n"/>
      <c r="F88" s="22" t="n"/>
      <c r="G88" s="22" t="n"/>
      <c r="H88" s="22" t="n"/>
      <c r="I88" s="22" t="n"/>
      <c r="J88" s="18">
        <f>IF(D88="","",IFERROR(SUM(E88:H88),0))</f>
        <v/>
      </c>
      <c r="K88" s="18">
        <f>IF(D88="","",IFERROR(D88-J88,0))</f>
        <v/>
      </c>
      <c r="L88" s="22" t="n"/>
      <c r="M88" s="22" t="n"/>
    </row>
    <row r="89" ht="22" customHeight="1">
      <c r="B89" s="21">
        <f>IF(C89="","RET"&amp;TEXT(COUNTA($C$5:C89),"000"))</f>
        <v/>
      </c>
      <c r="C89" s="21" t="n"/>
      <c r="D89" s="21">
        <f>IF(C89="","",VLOOKUP(C89,'_Données Employés'!$B$5:$S$114,3,FALSE))</f>
        <v/>
      </c>
      <c r="E89" s="21" t="n"/>
      <c r="F89" s="21" t="n"/>
      <c r="G89" s="21" t="n"/>
      <c r="H89" s="21" t="n"/>
      <c r="I89" s="21" t="n"/>
      <c r="J89" s="16">
        <f>IF(D89="","",IFERROR(SUM(E89:H89),0))</f>
        <v/>
      </c>
      <c r="K89" s="16">
        <f>IF(D89="","",IFERROR(D89-J89,0))</f>
        <v/>
      </c>
      <c r="L89" s="21" t="n"/>
      <c r="M89" s="21" t="n"/>
    </row>
    <row r="90" ht="22" customHeight="1">
      <c r="B90" s="22">
        <f>IF(C90="","RET"&amp;TEXT(COUNTA($C$5:C90),"000"))</f>
        <v/>
      </c>
      <c r="C90" s="22" t="n"/>
      <c r="D90" s="22">
        <f>IF(C90="","",VLOOKUP(C90,'_Données Employés'!$B$5:$S$114,3,FALSE))</f>
        <v/>
      </c>
      <c r="E90" s="22" t="n"/>
      <c r="F90" s="22" t="n"/>
      <c r="G90" s="22" t="n"/>
      <c r="H90" s="22" t="n"/>
      <c r="I90" s="22" t="n"/>
      <c r="J90" s="18">
        <f>IF(D90="","",IFERROR(SUM(E90:H90),0))</f>
        <v/>
      </c>
      <c r="K90" s="18">
        <f>IF(D90="","",IFERROR(D90-J90,0))</f>
        <v/>
      </c>
      <c r="L90" s="22" t="n"/>
      <c r="M90" s="22" t="n"/>
    </row>
    <row r="91" ht="22" customHeight="1">
      <c r="B91" s="21">
        <f>IF(C91="","RET"&amp;TEXT(COUNTA($C$5:C91),"000"))</f>
        <v/>
      </c>
      <c r="C91" s="21" t="n"/>
      <c r="D91" s="21">
        <f>IF(C91="","",VLOOKUP(C91,'_Données Employés'!$B$5:$S$114,3,FALSE))</f>
        <v/>
      </c>
      <c r="E91" s="21" t="n"/>
      <c r="F91" s="21" t="n"/>
      <c r="G91" s="21" t="n"/>
      <c r="H91" s="21" t="n"/>
      <c r="I91" s="21" t="n"/>
      <c r="J91" s="16">
        <f>IF(D91="","",IFERROR(SUM(E91:H91),0))</f>
        <v/>
      </c>
      <c r="K91" s="16">
        <f>IF(D91="","",IFERROR(D91-J91,0))</f>
        <v/>
      </c>
      <c r="L91" s="21" t="n"/>
      <c r="M91" s="21" t="n"/>
    </row>
    <row r="92" ht="22" customHeight="1">
      <c r="B92" s="22">
        <f>IF(C92="","RET"&amp;TEXT(COUNTA($C$5:C92),"000"))</f>
        <v/>
      </c>
      <c r="C92" s="22" t="n"/>
      <c r="D92" s="22">
        <f>IF(C92="","",VLOOKUP(C92,'_Données Employés'!$B$5:$S$114,3,FALSE))</f>
        <v/>
      </c>
      <c r="E92" s="22" t="n"/>
      <c r="F92" s="22" t="n"/>
      <c r="G92" s="22" t="n"/>
      <c r="H92" s="22" t="n"/>
      <c r="I92" s="22" t="n"/>
      <c r="J92" s="18">
        <f>IF(D92="","",IFERROR(SUM(E92:H92),0))</f>
        <v/>
      </c>
      <c r="K92" s="18">
        <f>IF(D92="","",IFERROR(D92-J92,0))</f>
        <v/>
      </c>
      <c r="L92" s="22" t="n"/>
      <c r="M92" s="22" t="n"/>
    </row>
    <row r="93" ht="22" customHeight="1">
      <c r="B93" s="21">
        <f>IF(C93="","RET"&amp;TEXT(COUNTA($C$5:C93),"000"))</f>
        <v/>
      </c>
      <c r="C93" s="21" t="n"/>
      <c r="D93" s="21">
        <f>IF(C93="","",VLOOKUP(C93,'_Données Employés'!$B$5:$S$114,3,FALSE))</f>
        <v/>
      </c>
      <c r="E93" s="21" t="n"/>
      <c r="F93" s="21" t="n"/>
      <c r="G93" s="21" t="n"/>
      <c r="H93" s="21" t="n"/>
      <c r="I93" s="21" t="n"/>
      <c r="J93" s="16">
        <f>IF(D93="","",IFERROR(SUM(E93:H93),0))</f>
        <v/>
      </c>
      <c r="K93" s="16">
        <f>IF(D93="","",IFERROR(D93-J93,0))</f>
        <v/>
      </c>
      <c r="L93" s="21" t="n"/>
      <c r="M93" s="21" t="n"/>
    </row>
    <row r="94" ht="22" customHeight="1">
      <c r="B94" s="22">
        <f>IF(C94="","RET"&amp;TEXT(COUNTA($C$5:C94),"000"))</f>
        <v/>
      </c>
      <c r="C94" s="22" t="n"/>
      <c r="D94" s="22">
        <f>IF(C94="","",VLOOKUP(C94,'_Données Employés'!$B$5:$S$114,3,FALSE))</f>
        <v/>
      </c>
      <c r="E94" s="22" t="n"/>
      <c r="F94" s="22" t="n"/>
      <c r="G94" s="22" t="n"/>
      <c r="H94" s="22" t="n"/>
      <c r="I94" s="22" t="n"/>
      <c r="J94" s="18">
        <f>IF(D94="","",IFERROR(SUM(E94:H94),0))</f>
        <v/>
      </c>
      <c r="K94" s="18">
        <f>IF(D94="","",IFERROR(D94-J94,0))</f>
        <v/>
      </c>
      <c r="L94" s="22" t="n"/>
      <c r="M94" s="22" t="n"/>
    </row>
    <row r="95" ht="22" customHeight="1">
      <c r="B95" s="21">
        <f>IF(C95="","RET"&amp;TEXT(COUNTA($C$5:C95),"000"))</f>
        <v/>
      </c>
      <c r="C95" s="21" t="n"/>
      <c r="D95" s="21">
        <f>IF(C95="","",VLOOKUP(C95,'_Données Employés'!$B$5:$S$114,3,FALSE))</f>
        <v/>
      </c>
      <c r="E95" s="21" t="n"/>
      <c r="F95" s="21" t="n"/>
      <c r="G95" s="21" t="n"/>
      <c r="H95" s="21" t="n"/>
      <c r="I95" s="21" t="n"/>
      <c r="J95" s="16">
        <f>IF(D95="","",IFERROR(SUM(E95:H95),0))</f>
        <v/>
      </c>
      <c r="K95" s="16">
        <f>IF(D95="","",IFERROR(D95-J95,0))</f>
        <v/>
      </c>
      <c r="L95" s="21" t="n"/>
      <c r="M95" s="21" t="n"/>
    </row>
    <row r="96" ht="22" customHeight="1">
      <c r="B96" s="22">
        <f>IF(C96="","RET"&amp;TEXT(COUNTA($C$5:C96),"000"))</f>
        <v/>
      </c>
      <c r="C96" s="22" t="n"/>
      <c r="D96" s="22">
        <f>IF(C96="","",VLOOKUP(C96,'_Données Employés'!$B$5:$S$114,3,FALSE))</f>
        <v/>
      </c>
      <c r="E96" s="22" t="n"/>
      <c r="F96" s="22" t="n"/>
      <c r="G96" s="22" t="n"/>
      <c r="H96" s="22" t="n"/>
      <c r="I96" s="22" t="n"/>
      <c r="J96" s="18">
        <f>IF(D96="","",IFERROR(SUM(E96:H96),0))</f>
        <v/>
      </c>
      <c r="K96" s="18">
        <f>IF(D96="","",IFERROR(D96-J96,0))</f>
        <v/>
      </c>
      <c r="L96" s="22" t="n"/>
      <c r="M96" s="22" t="n"/>
    </row>
    <row r="97" ht="22" customHeight="1">
      <c r="B97" s="21">
        <f>IF(C97="","RET"&amp;TEXT(COUNTA($C$5:C97),"000"))</f>
        <v/>
      </c>
      <c r="C97" s="21" t="n"/>
      <c r="D97" s="21">
        <f>IF(C97="","",VLOOKUP(C97,'_Données Employés'!$B$5:$S$114,3,FALSE))</f>
        <v/>
      </c>
      <c r="E97" s="21" t="n"/>
      <c r="F97" s="21" t="n"/>
      <c r="G97" s="21" t="n"/>
      <c r="H97" s="21" t="n"/>
      <c r="I97" s="21" t="n"/>
      <c r="J97" s="16">
        <f>IF(D97="","",IFERROR(SUM(E97:H97),0))</f>
        <v/>
      </c>
      <c r="K97" s="16">
        <f>IF(D97="","",IFERROR(D97-J97,0))</f>
        <v/>
      </c>
      <c r="L97" s="21" t="n"/>
      <c r="M97" s="21" t="n"/>
    </row>
    <row r="98" ht="22" customHeight="1">
      <c r="B98" s="22">
        <f>IF(C98="","RET"&amp;TEXT(COUNTA($C$5:C98),"000"))</f>
        <v/>
      </c>
      <c r="C98" s="22" t="n"/>
      <c r="D98" s="22">
        <f>IF(C98="","",VLOOKUP(C98,'_Données Employés'!$B$5:$S$114,3,FALSE))</f>
        <v/>
      </c>
      <c r="E98" s="22" t="n"/>
      <c r="F98" s="22" t="n"/>
      <c r="G98" s="22" t="n"/>
      <c r="H98" s="22" t="n"/>
      <c r="I98" s="22" t="n"/>
      <c r="J98" s="18">
        <f>IF(D98="","",IFERROR(SUM(E98:H98),0))</f>
        <v/>
      </c>
      <c r="K98" s="18">
        <f>IF(D98="","",IFERROR(D98-J98,0))</f>
        <v/>
      </c>
      <c r="L98" s="22" t="n"/>
      <c r="M98" s="22" t="n"/>
    </row>
    <row r="99" ht="22" customHeight="1">
      <c r="B99" s="21">
        <f>IF(C99="","RET"&amp;TEXT(COUNTA($C$5:C99),"000"))</f>
        <v/>
      </c>
      <c r="C99" s="21" t="n"/>
      <c r="D99" s="21">
        <f>IF(C99="","",VLOOKUP(C99,'_Données Employés'!$B$5:$S$114,3,FALSE))</f>
        <v/>
      </c>
      <c r="E99" s="21" t="n"/>
      <c r="F99" s="21" t="n"/>
      <c r="G99" s="21" t="n"/>
      <c r="H99" s="21" t="n"/>
      <c r="I99" s="21" t="n"/>
      <c r="J99" s="16">
        <f>IF(D99="","",IFERROR(SUM(E99:H99),0))</f>
        <v/>
      </c>
      <c r="K99" s="16">
        <f>IF(D99="","",IFERROR(D99-J99,0))</f>
        <v/>
      </c>
      <c r="L99" s="21" t="n"/>
      <c r="M99" s="21" t="n"/>
    </row>
    <row r="100" ht="22" customHeight="1">
      <c r="B100" s="22">
        <f>IF(C100="","RET"&amp;TEXT(COUNTA($C$5:C100),"000"))</f>
        <v/>
      </c>
      <c r="C100" s="22" t="n"/>
      <c r="D100" s="22">
        <f>IF(C100="","",VLOOKUP(C100,'_Données Employés'!$B$5:$S$114,3,FALSE))</f>
        <v/>
      </c>
      <c r="E100" s="22" t="n"/>
      <c r="F100" s="22" t="n"/>
      <c r="G100" s="22" t="n"/>
      <c r="H100" s="22" t="n"/>
      <c r="I100" s="22" t="n"/>
      <c r="J100" s="18">
        <f>IF(D100="","",IFERROR(SUM(E100:H100),0))</f>
        <v/>
      </c>
      <c r="K100" s="18">
        <f>IF(D100="","",IFERROR(D100-J100,0))</f>
        <v/>
      </c>
      <c r="L100" s="22" t="n"/>
      <c r="M100" s="22" t="n"/>
    </row>
    <row r="101" ht="22" customHeight="1">
      <c r="B101" s="21">
        <f>IF(C101="","RET"&amp;TEXT(COUNTA($C$5:C101),"000"))</f>
        <v/>
      </c>
      <c r="C101" s="21" t="n"/>
      <c r="D101" s="21">
        <f>IF(C101="","",VLOOKUP(C101,'_Données Employés'!$B$5:$S$114,3,FALSE))</f>
        <v/>
      </c>
      <c r="E101" s="21" t="n"/>
      <c r="F101" s="21" t="n"/>
      <c r="G101" s="21" t="n"/>
      <c r="H101" s="21" t="n"/>
      <c r="I101" s="21" t="n"/>
      <c r="J101" s="16">
        <f>IF(D101="","",IFERROR(SUM(E101:H101),0))</f>
        <v/>
      </c>
      <c r="K101" s="16">
        <f>IF(D101="","",IFERROR(D101-J101,0))</f>
        <v/>
      </c>
      <c r="L101" s="21" t="n"/>
      <c r="M101" s="21" t="n"/>
    </row>
    <row r="102" ht="22" customHeight="1">
      <c r="B102" s="22">
        <f>IF(C102="","RET"&amp;TEXT(COUNTA($C$5:C102),"000"))</f>
        <v/>
      </c>
      <c r="C102" s="22" t="n"/>
      <c r="D102" s="22">
        <f>IF(C102="","",VLOOKUP(C102,'_Données Employés'!$B$5:$S$114,3,FALSE))</f>
        <v/>
      </c>
      <c r="E102" s="22" t="n"/>
      <c r="F102" s="22" t="n"/>
      <c r="G102" s="22" t="n"/>
      <c r="H102" s="22" t="n"/>
      <c r="I102" s="22" t="n"/>
      <c r="J102" s="18">
        <f>IF(D102="","",IFERROR(SUM(E102:H102),0))</f>
        <v/>
      </c>
      <c r="K102" s="18">
        <f>IF(D102="","",IFERROR(D102-J102,0))</f>
        <v/>
      </c>
      <c r="L102" s="22" t="n"/>
      <c r="M102" s="22" t="n"/>
    </row>
    <row r="103" ht="22" customHeight="1">
      <c r="B103" s="21">
        <f>IF(C103="","RET"&amp;TEXT(COUNTA($C$5:C103),"000"))</f>
        <v/>
      </c>
      <c r="C103" s="21" t="n"/>
      <c r="D103" s="21">
        <f>IF(C103="","",VLOOKUP(C103,'_Données Employés'!$B$5:$S$114,3,FALSE))</f>
        <v/>
      </c>
      <c r="E103" s="21" t="n"/>
      <c r="F103" s="21" t="n"/>
      <c r="G103" s="21" t="n"/>
      <c r="H103" s="21" t="n"/>
      <c r="I103" s="21" t="n"/>
      <c r="J103" s="16">
        <f>IF(D103="","",IFERROR(SUM(E103:H103),0))</f>
        <v/>
      </c>
      <c r="K103" s="16">
        <f>IF(D103="","",IFERROR(D103-J103,0))</f>
        <v/>
      </c>
      <c r="L103" s="21" t="n"/>
      <c r="M103" s="21" t="n"/>
    </row>
    <row r="104" ht="22" customHeight="1">
      <c r="B104" s="22">
        <f>IF(C104="","RET"&amp;TEXT(COUNTA($C$5:C104),"000"))</f>
        <v/>
      </c>
      <c r="C104" s="22" t="n"/>
      <c r="D104" s="22">
        <f>IF(C104="","",VLOOKUP(C104,'_Données Employés'!$B$5:$S$114,3,FALSE))</f>
        <v/>
      </c>
      <c r="E104" s="22" t="n"/>
      <c r="F104" s="22" t="n"/>
      <c r="G104" s="22" t="n"/>
      <c r="H104" s="22" t="n"/>
      <c r="I104" s="22" t="n"/>
      <c r="J104" s="18">
        <f>IF(D104="","",IFERROR(SUM(E104:H104),0))</f>
        <v/>
      </c>
      <c r="K104" s="18">
        <f>IF(D104="","",IFERROR(D104-J104,0))</f>
        <v/>
      </c>
      <c r="L104" s="22" t="n"/>
      <c r="M104" s="22" t="n"/>
    </row>
    <row r="107">
      <c r="B107" s="23" t="inlineStr">
        <is>
          <t>KPI Total retenues (FCFA)</t>
        </is>
      </c>
      <c r="C107" s="23" t="inlineStr">
        <is>
          <t>KPI Salaire net total (FCFA)</t>
        </is>
      </c>
      <c r="D107" s="23" t="inlineStr">
        <is>
          <t>KPI Taux prélèvement moy.</t>
        </is>
      </c>
    </row>
    <row r="108">
      <c r="B108" s="25">
        <f>SUM(J5:J104)</f>
        <v/>
      </c>
      <c r="C108" s="25">
        <f>SUM(K5:K104)</f>
        <v/>
      </c>
      <c r="D108" s="24">
        <f>IFERROR(AVERAGE(J5:J104)/AVERAGE(D5:D104),0)</f>
        <v/>
      </c>
    </row>
  </sheetData>
  <mergeCells count="1">
    <mergeCell ref="B2:M2"/>
  </mergeCells>
  <conditionalFormatting sqref="M5:M104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"Solde"</formula>
    </cfRule>
    <cfRule type="cellIs" priority="4" operator="equal" dxfId="1">
      <formula>"Actif"</formula>
    </cfRule>
    <cfRule type="cellIs" priority="5" operator="equal" dxfId="1">
      <formula>"Oui"</formula>
    </cfRule>
    <cfRule type="cellIs" priority="6" operator="equal" dxfId="2">
      <formula>"Rejete"</formula>
    </cfRule>
    <cfRule type="cellIs" priority="7" operator="equal" dxfId="2">
      <formula>"En retard"</formula>
    </cfRule>
    <cfRule type="cellIs" priority="8" operator="equal" dxfId="2">
      <formula>"Refuse"</formula>
    </cfRule>
    <cfRule type="cellIs" priority="9" operator="equal" dxfId="2">
      <formula>"Annule"</formula>
    </cfRule>
    <cfRule type="cellIs" priority="10" operator="equal" dxfId="2">
      <formula>"Non"</formula>
    </cfRule>
    <cfRule type="cellIs" priority="11" operator="equal" dxfId="3">
      <formula>"En attente"</formula>
    </cfRule>
    <cfRule type="cellIs" priority="12" operator="equal" dxfId="3">
      <formula>"En cours"</formula>
    </cfRule>
    <cfRule type="cellIs" priority="13" operator="equal" dxfId="3">
      <formula>"Brouillon"</formula>
    </cfRule>
    <cfRule type="cellIs" priority="14" operator="equal" dxfId="3">
      <formula>"Demande"</formula>
    </cfRule>
    <cfRule type="cellIs" priority="15" operator="equal" dxfId="3">
      <formula>"Partiellement monetise"</formula>
    </cfRule>
  </conditionalFormatting>
  <conditionalFormatting sqref="E5:E104">
    <cfRule type="dataBar" priority="16">
      <dataBar>
        <cfvo type="num" val="0"/>
        <cfvo type="num" val="1"/>
        <color rgb="001B2A4A"/>
      </dataBar>
    </cfRule>
  </conditionalFormatting>
  <conditionalFormatting sqref="F5:F104">
    <cfRule type="dataBar" priority="17">
      <dataBar>
        <cfvo type="num" val="0"/>
        <cfvo type="num" val="1"/>
        <color rgb="001B2A4A"/>
      </dataBar>
    </cfRule>
  </conditionalFormatting>
  <conditionalFormatting sqref="G5:G104">
    <cfRule type="dataBar" priority="18">
      <dataBar>
        <cfvo type="num" val="0"/>
        <cfvo type="num" val="1"/>
        <color rgb="001B2A4A"/>
      </dataBar>
    </cfRule>
  </conditionalFormatting>
  <conditionalFormatting sqref="H5:H104">
    <cfRule type="dataBar" priority="19">
      <dataBar>
        <cfvo type="num" val="0"/>
        <cfvo type="num" val="1"/>
        <color rgb="001B2A4A"/>
      </dataBar>
    </cfRule>
  </conditionalFormatting>
  <conditionalFormatting sqref="I5:I104">
    <cfRule type="dataBar" priority="20">
      <dataBar>
        <cfvo type="num" val="0"/>
        <cfvo type="num" val="1"/>
        <color rgb="001B2A4A"/>
      </dataBar>
    </cfRule>
  </conditionalFormatting>
  <conditionalFormatting sqref="J5:J104">
    <cfRule type="dataBar" priority="21">
      <dataBar>
        <cfvo type="num" val="0"/>
        <cfvo type="num" val="1"/>
        <color rgb="001B2A4A"/>
      </dataBar>
    </cfRule>
  </conditionalFormatting>
  <conditionalFormatting sqref="K5:K104">
    <cfRule type="dataBar" priority="22">
      <dataBar>
        <cfvo type="num" val="0"/>
        <cfvo type="num" val="1"/>
        <color rgb="001B2A4A"/>
      </dataBar>
    </cfRule>
  </conditionalFormatting>
  <conditionalFormatting sqref="B108">
    <cfRule type="cellIs" priority="23" operator="greaterThan" dxfId="0">
      <formula>0</formula>
    </cfRule>
  </conditionalFormatting>
  <conditionalFormatting sqref="C108">
    <cfRule type="cellIs" priority="24" operator="greaterThan" dxfId="0">
      <formula>0</formula>
    </cfRule>
  </conditionalFormatting>
  <conditionalFormatting sqref="D108">
    <cfRule type="cellIs" priority="25" operator="greaterThan" dxfId="0">
      <formula>0</formula>
    </cfRule>
  </conditionalFormatting>
  <dataValidations count="3">
    <dataValidation sqref="L5:L104" showDropDown="0" showInputMessage="0" showErrorMessage="0" allowBlank="1" type="list">
      <formula1>'_Lists'!$K$2:$K$13</formula1>
    </dataValidation>
    <dataValidation sqref="M5:M104" showDropDown="0" showInputMessage="0" showErrorMessage="0" allowBlank="1" type="list">
      <formula1>'_Lists'!$N$2:$N$5</formula1>
    </dataValidation>
    <dataValidation sqref="C5:C104" showDropDown="0" showInputMessage="0" showErrorMessage="0" allowBlank="1" promptTitle="Matricule Employé" prompt="Choisir un matricule" type="list">
      <formula1>'_Données Employés'!$B$5:$B$114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K10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18" customWidth="1" min="4" max="4"/>
    <col width="18" customWidth="1" min="5" max="5"/>
    <col width="16" customWidth="1" min="6" max="6"/>
    <col width="10" customWidth="1" min="7" max="7"/>
    <col width="16" customWidth="1" min="8" max="8"/>
    <col width="12" customWidth="1" min="9" max="9"/>
    <col width="10" customWidth="1" min="10" max="10"/>
    <col width="10" customWidth="1" min="11" max="11"/>
  </cols>
  <sheetData>
    <row r="1" ht="15" customHeight="1"/>
    <row r="2" ht="32" customHeight="1">
      <c r="B2" s="13" t="inlineStr">
        <is>
          <t>PAIE — 6-Deductions Retenues</t>
        </is>
      </c>
    </row>
    <row r="3" ht="8" customHeight="1"/>
    <row r="4" ht="28" customHeight="1">
      <c r="B4" s="14" t="inlineStr">
        <is>
          <t>N°</t>
        </is>
      </c>
      <c r="C4" s="14" t="inlineStr">
        <is>
          <t>Matricule</t>
        </is>
      </c>
      <c r="D4" s="14" t="inlineStr">
        <is>
          <t>Nom Employé</t>
        </is>
      </c>
      <c r="E4" s="14" t="inlineStr">
        <is>
          <t>Type Déduction</t>
        </is>
      </c>
      <c r="F4" s="14" t="inlineStr">
        <is>
          <t>Base Calcul (FCFA)</t>
        </is>
      </c>
      <c r="G4" s="14" t="inlineStr">
        <is>
          <t>Taux (%)</t>
        </is>
      </c>
      <c r="H4" s="14" t="inlineStr">
        <is>
          <t>Montant (FCFA)</t>
        </is>
      </c>
      <c r="I4" s="14" t="inlineStr">
        <is>
          <t>Mois</t>
        </is>
      </c>
      <c r="J4" s="14" t="inlineStr">
        <is>
          <t>Priorité</t>
        </is>
      </c>
      <c r="K4" s="14" t="inlineStr">
        <is>
          <t>Statut</t>
        </is>
      </c>
    </row>
    <row r="5" ht="22" customHeight="1">
      <c r="B5" s="15" t="inlineStr">
        <is>
          <t>DED-001</t>
        </is>
      </c>
      <c r="C5" s="15" t="inlineStr">
        <is>
          <t>EMP-001</t>
        </is>
      </c>
      <c r="D5" s="15" t="inlineStr">
        <is>
          <t>Nganou Clarisse</t>
        </is>
      </c>
      <c r="E5" s="15" t="inlineStr">
        <is>
          <t>Acompte</t>
        </is>
      </c>
      <c r="F5" s="16" t="n">
        <v>635000</v>
      </c>
      <c r="G5" s="16" t="n">
        <v>10</v>
      </c>
      <c r="H5" s="16" t="n">
        <v>63500</v>
      </c>
      <c r="I5" s="15" t="inlineStr">
        <is>
          <t>Juin</t>
        </is>
      </c>
      <c r="J5" s="15" t="n">
        <v>1</v>
      </c>
      <c r="K5" s="15" t="inlineStr">
        <is>
          <t>Valide</t>
        </is>
      </c>
    </row>
    <row r="6" ht="22" customHeight="1">
      <c r="B6" s="17" t="inlineStr">
        <is>
          <t>DED-002</t>
        </is>
      </c>
      <c r="C6" s="17" t="inlineStr">
        <is>
          <t>EMP-003</t>
        </is>
      </c>
      <c r="D6" s="17" t="inlineStr">
        <is>
          <t>Fotso Marguerite</t>
        </is>
      </c>
      <c r="E6" s="17" t="inlineStr">
        <is>
          <t>Pret personnel</t>
        </is>
      </c>
      <c r="F6" s="18" t="n">
        <v>287500</v>
      </c>
      <c r="G6" s="18" t="n">
        <v>5</v>
      </c>
      <c r="H6" s="18" t="n">
        <v>14375</v>
      </c>
      <c r="I6" s="17" t="inlineStr">
        <is>
          <t>Juin</t>
        </is>
      </c>
      <c r="J6" s="17" t="n">
        <v>2</v>
      </c>
      <c r="K6" s="17" t="inlineStr">
        <is>
          <t>Valide</t>
        </is>
      </c>
    </row>
    <row r="7" ht="22" customHeight="1">
      <c r="B7" s="15" t="inlineStr">
        <is>
          <t>DED-003</t>
        </is>
      </c>
      <c r="C7" s="15" t="inlineStr">
        <is>
          <t>EMP-007</t>
        </is>
      </c>
      <c r="D7" s="15" t="inlineStr">
        <is>
          <t>Kamga Pierre</t>
        </is>
      </c>
      <c r="E7" s="15" t="inlineStr">
        <is>
          <t>Retard</t>
        </is>
      </c>
      <c r="F7" s="16" t="n">
        <v>149500</v>
      </c>
      <c r="G7" s="16" t="n">
        <v>2</v>
      </c>
      <c r="H7" s="16" t="n">
        <v>2990</v>
      </c>
      <c r="I7" s="15" t="inlineStr">
        <is>
          <t>Juin</t>
        </is>
      </c>
      <c r="J7" s="15" t="n">
        <v>3</v>
      </c>
      <c r="K7" s="15" t="inlineStr">
        <is>
          <t>Valide</t>
        </is>
      </c>
    </row>
    <row r="8" ht="22" customHeight="1">
      <c r="B8" s="19">
        <f>IF(C8="","DED"&amp;TEXT(COUNTA($C$5:C8),"000"))</f>
        <v/>
      </c>
      <c r="C8" s="19" t="n"/>
      <c r="D8" s="19">
        <f>IF(C8="","",VLOOKUP(C8,'_Données Employés'!$B$5:$S$114,3,FALSE))</f>
        <v/>
      </c>
      <c r="E8" s="19" t="n"/>
      <c r="F8" s="19" t="n"/>
      <c r="G8" s="19" t="n"/>
      <c r="H8" s="20">
        <f>IF(OR(E8="",F8=""),"",IFERROR(E8*F8/100,0))</f>
        <v/>
      </c>
      <c r="I8" s="19" t="n"/>
      <c r="J8" s="19" t="n"/>
      <c r="K8" s="19" t="n"/>
    </row>
    <row r="9" ht="22" customHeight="1">
      <c r="B9" s="21">
        <f>IF(C9="","DED"&amp;TEXT(COUNTA($C$5:C9),"000"))</f>
        <v/>
      </c>
      <c r="C9" s="21" t="n"/>
      <c r="D9" s="21">
        <f>IF(C9="","",VLOOKUP(C9,'_Données Employés'!$B$5:$S$114,3,FALSE))</f>
        <v/>
      </c>
      <c r="E9" s="21" t="n"/>
      <c r="F9" s="21" t="n"/>
      <c r="G9" s="21" t="n"/>
      <c r="H9" s="16">
        <f>IF(OR(E9="",F9=""),"",IFERROR(E9*F9/100,0))</f>
        <v/>
      </c>
      <c r="I9" s="21" t="n"/>
      <c r="J9" s="21" t="n"/>
      <c r="K9" s="21" t="n"/>
    </row>
    <row r="10" ht="22" customHeight="1">
      <c r="B10" s="22">
        <f>IF(C10="","DED"&amp;TEXT(COUNTA($C$5:C10),"000"))</f>
        <v/>
      </c>
      <c r="C10" s="22" t="n"/>
      <c r="D10" s="22">
        <f>IF(C10="","",VLOOKUP(C10,'_Données Employés'!$B$5:$S$114,3,FALSE))</f>
        <v/>
      </c>
      <c r="E10" s="22" t="n"/>
      <c r="F10" s="22" t="n"/>
      <c r="G10" s="22" t="n"/>
      <c r="H10" s="18">
        <f>IF(OR(E10="",F10=""),"",IFERROR(E10*F10/100,0))</f>
        <v/>
      </c>
      <c r="I10" s="22" t="n"/>
      <c r="J10" s="22" t="n"/>
      <c r="K10" s="22" t="n"/>
    </row>
    <row r="11" ht="22" customHeight="1">
      <c r="B11" s="21">
        <f>IF(C11="","DED"&amp;TEXT(COUNTA($C$5:C11),"000"))</f>
        <v/>
      </c>
      <c r="C11" s="21" t="n"/>
      <c r="D11" s="21">
        <f>IF(C11="","",VLOOKUP(C11,'_Données Employés'!$B$5:$S$114,3,FALSE))</f>
        <v/>
      </c>
      <c r="E11" s="21" t="n"/>
      <c r="F11" s="21" t="n"/>
      <c r="G11" s="21" t="n"/>
      <c r="H11" s="16">
        <f>IF(OR(E11="",F11=""),"",IFERROR(E11*F11/100,0))</f>
        <v/>
      </c>
      <c r="I11" s="21" t="n"/>
      <c r="J11" s="21" t="n"/>
      <c r="K11" s="21" t="n"/>
    </row>
    <row r="12" ht="22" customHeight="1">
      <c r="B12" s="22">
        <f>IF(C12="","DED"&amp;TEXT(COUNTA($C$5:C12),"000"))</f>
        <v/>
      </c>
      <c r="C12" s="22" t="n"/>
      <c r="D12" s="22">
        <f>IF(C12="","",VLOOKUP(C12,'_Données Employés'!$B$5:$S$114,3,FALSE))</f>
        <v/>
      </c>
      <c r="E12" s="22" t="n"/>
      <c r="F12" s="22" t="n"/>
      <c r="G12" s="22" t="n"/>
      <c r="H12" s="18">
        <f>IF(OR(E12="",F12=""),"",IFERROR(E12*F12/100,0))</f>
        <v/>
      </c>
      <c r="I12" s="22" t="n"/>
      <c r="J12" s="22" t="n"/>
      <c r="K12" s="22" t="n"/>
    </row>
    <row r="13" ht="22" customHeight="1">
      <c r="B13" s="21">
        <f>IF(C13="","DED"&amp;TEXT(COUNTA($C$5:C13),"000"))</f>
        <v/>
      </c>
      <c r="C13" s="21" t="n"/>
      <c r="D13" s="21">
        <f>IF(C13="","",VLOOKUP(C13,'_Données Employés'!$B$5:$S$114,3,FALSE))</f>
        <v/>
      </c>
      <c r="E13" s="21" t="n"/>
      <c r="F13" s="21" t="n"/>
      <c r="G13" s="21" t="n"/>
      <c r="H13" s="16">
        <f>IF(OR(E13="",F13=""),"",IFERROR(E13*F13/100,0))</f>
        <v/>
      </c>
      <c r="I13" s="21" t="n"/>
      <c r="J13" s="21" t="n"/>
      <c r="K13" s="21" t="n"/>
    </row>
    <row r="14" ht="22" customHeight="1">
      <c r="B14" s="22">
        <f>IF(C14="","DED"&amp;TEXT(COUNTA($C$5:C14),"000"))</f>
        <v/>
      </c>
      <c r="C14" s="22" t="n"/>
      <c r="D14" s="22">
        <f>IF(C14="","",VLOOKUP(C14,'_Données Employés'!$B$5:$S$114,3,FALSE))</f>
        <v/>
      </c>
      <c r="E14" s="22" t="n"/>
      <c r="F14" s="22" t="n"/>
      <c r="G14" s="22" t="n"/>
      <c r="H14" s="18">
        <f>IF(OR(E14="",F14=""),"",IFERROR(E14*F14/100,0))</f>
        <v/>
      </c>
      <c r="I14" s="22" t="n"/>
      <c r="J14" s="22" t="n"/>
      <c r="K14" s="22" t="n"/>
    </row>
    <row r="15" ht="22" customHeight="1">
      <c r="B15" s="21">
        <f>IF(C15="","DED"&amp;TEXT(COUNTA($C$5:C15),"000"))</f>
        <v/>
      </c>
      <c r="C15" s="21" t="n"/>
      <c r="D15" s="21">
        <f>IF(C15="","",VLOOKUP(C15,'_Données Employés'!$B$5:$S$114,3,FALSE))</f>
        <v/>
      </c>
      <c r="E15" s="21" t="n"/>
      <c r="F15" s="21" t="n"/>
      <c r="G15" s="21" t="n"/>
      <c r="H15" s="16">
        <f>IF(OR(E15="",F15=""),"",IFERROR(E15*F15/100,0))</f>
        <v/>
      </c>
      <c r="I15" s="21" t="n"/>
      <c r="J15" s="21" t="n"/>
      <c r="K15" s="21" t="n"/>
    </row>
    <row r="16" ht="22" customHeight="1">
      <c r="B16" s="22">
        <f>IF(C16="","DED"&amp;TEXT(COUNTA($C$5:C16),"000"))</f>
        <v/>
      </c>
      <c r="C16" s="22" t="n"/>
      <c r="D16" s="22">
        <f>IF(C16="","",VLOOKUP(C16,'_Données Employés'!$B$5:$S$114,3,FALSE))</f>
        <v/>
      </c>
      <c r="E16" s="22" t="n"/>
      <c r="F16" s="22" t="n"/>
      <c r="G16" s="22" t="n"/>
      <c r="H16" s="18">
        <f>IF(OR(E16="",F16=""),"",IFERROR(E16*F16/100,0))</f>
        <v/>
      </c>
      <c r="I16" s="22" t="n"/>
      <c r="J16" s="22" t="n"/>
      <c r="K16" s="22" t="n"/>
    </row>
    <row r="17" ht="22" customHeight="1">
      <c r="B17" s="21">
        <f>IF(C17="","DED"&amp;TEXT(COUNTA($C$5:C17),"000"))</f>
        <v/>
      </c>
      <c r="C17" s="21" t="n"/>
      <c r="D17" s="21">
        <f>IF(C17="","",VLOOKUP(C17,'_Données Employés'!$B$5:$S$114,3,FALSE))</f>
        <v/>
      </c>
      <c r="E17" s="21" t="n"/>
      <c r="F17" s="21" t="n"/>
      <c r="G17" s="21" t="n"/>
      <c r="H17" s="16">
        <f>IF(OR(E17="",F17=""),"",IFERROR(E17*F17/100,0))</f>
        <v/>
      </c>
      <c r="I17" s="21" t="n"/>
      <c r="J17" s="21" t="n"/>
      <c r="K17" s="21" t="n"/>
    </row>
    <row r="18" ht="22" customHeight="1">
      <c r="B18" s="22">
        <f>IF(C18="","DED"&amp;TEXT(COUNTA($C$5:C18),"000"))</f>
        <v/>
      </c>
      <c r="C18" s="22" t="n"/>
      <c r="D18" s="22">
        <f>IF(C18="","",VLOOKUP(C18,'_Données Employés'!$B$5:$S$114,3,FALSE))</f>
        <v/>
      </c>
      <c r="E18" s="22" t="n"/>
      <c r="F18" s="22" t="n"/>
      <c r="G18" s="22" t="n"/>
      <c r="H18" s="18">
        <f>IF(OR(E18="",F18=""),"",IFERROR(E18*F18/100,0))</f>
        <v/>
      </c>
      <c r="I18" s="22" t="n"/>
      <c r="J18" s="22" t="n"/>
      <c r="K18" s="22" t="n"/>
    </row>
    <row r="19" ht="22" customHeight="1">
      <c r="B19" s="21">
        <f>IF(C19="","DED"&amp;TEXT(COUNTA($C$5:C19),"000"))</f>
        <v/>
      </c>
      <c r="C19" s="21" t="n"/>
      <c r="D19" s="21">
        <f>IF(C19="","",VLOOKUP(C19,'_Données Employés'!$B$5:$S$114,3,FALSE))</f>
        <v/>
      </c>
      <c r="E19" s="21" t="n"/>
      <c r="F19" s="21" t="n"/>
      <c r="G19" s="21" t="n"/>
      <c r="H19" s="16">
        <f>IF(OR(E19="",F19=""),"",IFERROR(E19*F19/100,0))</f>
        <v/>
      </c>
      <c r="I19" s="21" t="n"/>
      <c r="J19" s="21" t="n"/>
      <c r="K19" s="21" t="n"/>
    </row>
    <row r="20" ht="22" customHeight="1">
      <c r="B20" s="22">
        <f>IF(C20="","DED"&amp;TEXT(COUNTA($C$5:C20),"000"))</f>
        <v/>
      </c>
      <c r="C20" s="22" t="n"/>
      <c r="D20" s="22">
        <f>IF(C20="","",VLOOKUP(C20,'_Données Employés'!$B$5:$S$114,3,FALSE))</f>
        <v/>
      </c>
      <c r="E20" s="22" t="n"/>
      <c r="F20" s="22" t="n"/>
      <c r="G20" s="22" t="n"/>
      <c r="H20" s="18">
        <f>IF(OR(E20="",F20=""),"",IFERROR(E20*F20/100,0))</f>
        <v/>
      </c>
      <c r="I20" s="22" t="n"/>
      <c r="J20" s="22" t="n"/>
      <c r="K20" s="22" t="n"/>
    </row>
    <row r="21" ht="22" customHeight="1">
      <c r="B21" s="21">
        <f>IF(C21="","DED"&amp;TEXT(COUNTA($C$5:C21),"000"))</f>
        <v/>
      </c>
      <c r="C21" s="21" t="n"/>
      <c r="D21" s="21">
        <f>IF(C21="","",VLOOKUP(C21,'_Données Employés'!$B$5:$S$114,3,FALSE))</f>
        <v/>
      </c>
      <c r="E21" s="21" t="n"/>
      <c r="F21" s="21" t="n"/>
      <c r="G21" s="21" t="n"/>
      <c r="H21" s="16">
        <f>IF(OR(E21="",F21=""),"",IFERROR(E21*F21/100,0))</f>
        <v/>
      </c>
      <c r="I21" s="21" t="n"/>
      <c r="J21" s="21" t="n"/>
      <c r="K21" s="21" t="n"/>
    </row>
    <row r="22" ht="22" customHeight="1">
      <c r="B22" s="22">
        <f>IF(C22="","DED"&amp;TEXT(COUNTA($C$5:C22),"000"))</f>
        <v/>
      </c>
      <c r="C22" s="22" t="n"/>
      <c r="D22" s="22">
        <f>IF(C22="","",VLOOKUP(C22,'_Données Employés'!$B$5:$S$114,3,FALSE))</f>
        <v/>
      </c>
      <c r="E22" s="22" t="n"/>
      <c r="F22" s="22" t="n"/>
      <c r="G22" s="22" t="n"/>
      <c r="H22" s="18">
        <f>IF(OR(E22="",F22=""),"",IFERROR(E22*F22/100,0))</f>
        <v/>
      </c>
      <c r="I22" s="22" t="n"/>
      <c r="J22" s="22" t="n"/>
      <c r="K22" s="22" t="n"/>
    </row>
    <row r="23" ht="22" customHeight="1">
      <c r="B23" s="21">
        <f>IF(C23="","DED"&amp;TEXT(COUNTA($C$5:C23),"000"))</f>
        <v/>
      </c>
      <c r="C23" s="21" t="n"/>
      <c r="D23" s="21">
        <f>IF(C23="","",VLOOKUP(C23,'_Données Employés'!$B$5:$S$114,3,FALSE))</f>
        <v/>
      </c>
      <c r="E23" s="21" t="n"/>
      <c r="F23" s="21" t="n"/>
      <c r="G23" s="21" t="n"/>
      <c r="H23" s="16">
        <f>IF(OR(E23="",F23=""),"",IFERROR(E23*F23/100,0))</f>
        <v/>
      </c>
      <c r="I23" s="21" t="n"/>
      <c r="J23" s="21" t="n"/>
      <c r="K23" s="21" t="n"/>
    </row>
    <row r="24" ht="22" customHeight="1">
      <c r="B24" s="22">
        <f>IF(C24="","DED"&amp;TEXT(COUNTA($C$5:C24),"000"))</f>
        <v/>
      </c>
      <c r="C24" s="22" t="n"/>
      <c r="D24" s="22">
        <f>IF(C24="","",VLOOKUP(C24,'_Données Employés'!$B$5:$S$114,3,FALSE))</f>
        <v/>
      </c>
      <c r="E24" s="22" t="n"/>
      <c r="F24" s="22" t="n"/>
      <c r="G24" s="22" t="n"/>
      <c r="H24" s="18">
        <f>IF(OR(E24="",F24=""),"",IFERROR(E24*F24/100,0))</f>
        <v/>
      </c>
      <c r="I24" s="22" t="n"/>
      <c r="J24" s="22" t="n"/>
      <c r="K24" s="22" t="n"/>
    </row>
    <row r="25" ht="22" customHeight="1">
      <c r="B25" s="21">
        <f>IF(C25="","DED"&amp;TEXT(COUNTA($C$5:C25),"000"))</f>
        <v/>
      </c>
      <c r="C25" s="21" t="n"/>
      <c r="D25" s="21">
        <f>IF(C25="","",VLOOKUP(C25,'_Données Employés'!$B$5:$S$114,3,FALSE))</f>
        <v/>
      </c>
      <c r="E25" s="21" t="n"/>
      <c r="F25" s="21" t="n"/>
      <c r="G25" s="21" t="n"/>
      <c r="H25" s="16">
        <f>IF(OR(E25="",F25=""),"",IFERROR(E25*F25/100,0))</f>
        <v/>
      </c>
      <c r="I25" s="21" t="n"/>
      <c r="J25" s="21" t="n"/>
      <c r="K25" s="21" t="n"/>
    </row>
    <row r="26" ht="22" customHeight="1">
      <c r="B26" s="22">
        <f>IF(C26="","DED"&amp;TEXT(COUNTA($C$5:C26),"000"))</f>
        <v/>
      </c>
      <c r="C26" s="22" t="n"/>
      <c r="D26" s="22">
        <f>IF(C26="","",VLOOKUP(C26,'_Données Employés'!$B$5:$S$114,3,FALSE))</f>
        <v/>
      </c>
      <c r="E26" s="22" t="n"/>
      <c r="F26" s="22" t="n"/>
      <c r="G26" s="22" t="n"/>
      <c r="H26" s="18">
        <f>IF(OR(E26="",F26=""),"",IFERROR(E26*F26/100,0))</f>
        <v/>
      </c>
      <c r="I26" s="22" t="n"/>
      <c r="J26" s="22" t="n"/>
      <c r="K26" s="22" t="n"/>
    </row>
    <row r="27" ht="22" customHeight="1">
      <c r="B27" s="21">
        <f>IF(C27="","DED"&amp;TEXT(COUNTA($C$5:C27),"000"))</f>
        <v/>
      </c>
      <c r="C27" s="21" t="n"/>
      <c r="D27" s="21">
        <f>IF(C27="","",VLOOKUP(C27,'_Données Employés'!$B$5:$S$114,3,FALSE))</f>
        <v/>
      </c>
      <c r="E27" s="21" t="n"/>
      <c r="F27" s="21" t="n"/>
      <c r="G27" s="21" t="n"/>
      <c r="H27" s="16">
        <f>IF(OR(E27="",F27=""),"",IFERROR(E27*F27/100,0))</f>
        <v/>
      </c>
      <c r="I27" s="21" t="n"/>
      <c r="J27" s="21" t="n"/>
      <c r="K27" s="21" t="n"/>
    </row>
    <row r="28" ht="22" customHeight="1">
      <c r="B28" s="22">
        <f>IF(C28="","DED"&amp;TEXT(COUNTA($C$5:C28),"000"))</f>
        <v/>
      </c>
      <c r="C28" s="22" t="n"/>
      <c r="D28" s="22">
        <f>IF(C28="","",VLOOKUP(C28,'_Données Employés'!$B$5:$S$114,3,FALSE))</f>
        <v/>
      </c>
      <c r="E28" s="22" t="n"/>
      <c r="F28" s="22" t="n"/>
      <c r="G28" s="22" t="n"/>
      <c r="H28" s="18">
        <f>IF(OR(E28="",F28=""),"",IFERROR(E28*F28/100,0))</f>
        <v/>
      </c>
      <c r="I28" s="22" t="n"/>
      <c r="J28" s="22" t="n"/>
      <c r="K28" s="22" t="n"/>
    </row>
    <row r="29" ht="22" customHeight="1">
      <c r="B29" s="21">
        <f>IF(C29="","DED"&amp;TEXT(COUNTA($C$5:C29),"000"))</f>
        <v/>
      </c>
      <c r="C29" s="21" t="n"/>
      <c r="D29" s="21">
        <f>IF(C29="","",VLOOKUP(C29,'_Données Employés'!$B$5:$S$114,3,FALSE))</f>
        <v/>
      </c>
      <c r="E29" s="21" t="n"/>
      <c r="F29" s="21" t="n"/>
      <c r="G29" s="21" t="n"/>
      <c r="H29" s="16">
        <f>IF(OR(E29="",F29=""),"",IFERROR(E29*F29/100,0))</f>
        <v/>
      </c>
      <c r="I29" s="21" t="n"/>
      <c r="J29" s="21" t="n"/>
      <c r="K29" s="21" t="n"/>
    </row>
    <row r="30" ht="22" customHeight="1">
      <c r="B30" s="22">
        <f>IF(C30="","DED"&amp;TEXT(COUNTA($C$5:C30),"000"))</f>
        <v/>
      </c>
      <c r="C30" s="22" t="n"/>
      <c r="D30" s="22">
        <f>IF(C30="","",VLOOKUP(C30,'_Données Employés'!$B$5:$S$114,3,FALSE))</f>
        <v/>
      </c>
      <c r="E30" s="22" t="n"/>
      <c r="F30" s="22" t="n"/>
      <c r="G30" s="22" t="n"/>
      <c r="H30" s="18">
        <f>IF(OR(E30="",F30=""),"",IFERROR(E30*F30/100,0))</f>
        <v/>
      </c>
      <c r="I30" s="22" t="n"/>
      <c r="J30" s="22" t="n"/>
      <c r="K30" s="22" t="n"/>
    </row>
    <row r="31" ht="22" customHeight="1">
      <c r="B31" s="21">
        <f>IF(C31="","DED"&amp;TEXT(COUNTA($C$5:C31),"000"))</f>
        <v/>
      </c>
      <c r="C31" s="21" t="n"/>
      <c r="D31" s="21">
        <f>IF(C31="","",VLOOKUP(C31,'_Données Employés'!$B$5:$S$114,3,FALSE))</f>
        <v/>
      </c>
      <c r="E31" s="21" t="n"/>
      <c r="F31" s="21" t="n"/>
      <c r="G31" s="21" t="n"/>
      <c r="H31" s="16">
        <f>IF(OR(E31="",F31=""),"",IFERROR(E31*F31/100,0))</f>
        <v/>
      </c>
      <c r="I31" s="21" t="n"/>
      <c r="J31" s="21" t="n"/>
      <c r="K31" s="21" t="n"/>
    </row>
    <row r="32" ht="22" customHeight="1">
      <c r="B32" s="22">
        <f>IF(C32="","DED"&amp;TEXT(COUNTA($C$5:C32),"000"))</f>
        <v/>
      </c>
      <c r="C32" s="22" t="n"/>
      <c r="D32" s="22">
        <f>IF(C32="","",VLOOKUP(C32,'_Données Employés'!$B$5:$S$114,3,FALSE))</f>
        <v/>
      </c>
      <c r="E32" s="22" t="n"/>
      <c r="F32" s="22" t="n"/>
      <c r="G32" s="22" t="n"/>
      <c r="H32" s="18">
        <f>IF(OR(E32="",F32=""),"",IFERROR(E32*F32/100,0))</f>
        <v/>
      </c>
      <c r="I32" s="22" t="n"/>
      <c r="J32" s="22" t="n"/>
      <c r="K32" s="22" t="n"/>
    </row>
    <row r="33" ht="22" customHeight="1">
      <c r="B33" s="21">
        <f>IF(C33="","DED"&amp;TEXT(COUNTA($C$5:C33),"000"))</f>
        <v/>
      </c>
      <c r="C33" s="21" t="n"/>
      <c r="D33" s="21">
        <f>IF(C33="","",VLOOKUP(C33,'_Données Employés'!$B$5:$S$114,3,FALSE))</f>
        <v/>
      </c>
      <c r="E33" s="21" t="n"/>
      <c r="F33" s="21" t="n"/>
      <c r="G33" s="21" t="n"/>
      <c r="H33" s="16">
        <f>IF(OR(E33="",F33=""),"",IFERROR(E33*F33/100,0))</f>
        <v/>
      </c>
      <c r="I33" s="21" t="n"/>
      <c r="J33" s="21" t="n"/>
      <c r="K33" s="21" t="n"/>
    </row>
    <row r="34" ht="22" customHeight="1">
      <c r="B34" s="22">
        <f>IF(C34="","DED"&amp;TEXT(COUNTA($C$5:C34),"000"))</f>
        <v/>
      </c>
      <c r="C34" s="22" t="n"/>
      <c r="D34" s="22">
        <f>IF(C34="","",VLOOKUP(C34,'_Données Employés'!$B$5:$S$114,3,FALSE))</f>
        <v/>
      </c>
      <c r="E34" s="22" t="n"/>
      <c r="F34" s="22" t="n"/>
      <c r="G34" s="22" t="n"/>
      <c r="H34" s="18">
        <f>IF(OR(E34="",F34=""),"",IFERROR(E34*F34/100,0))</f>
        <v/>
      </c>
      <c r="I34" s="22" t="n"/>
      <c r="J34" s="22" t="n"/>
      <c r="K34" s="22" t="n"/>
    </row>
    <row r="35" ht="22" customHeight="1">
      <c r="B35" s="21">
        <f>IF(C35="","DED"&amp;TEXT(COUNTA($C$5:C35),"000"))</f>
        <v/>
      </c>
      <c r="C35" s="21" t="n"/>
      <c r="D35" s="21">
        <f>IF(C35="","",VLOOKUP(C35,'_Données Employés'!$B$5:$S$114,3,FALSE))</f>
        <v/>
      </c>
      <c r="E35" s="21" t="n"/>
      <c r="F35" s="21" t="n"/>
      <c r="G35" s="21" t="n"/>
      <c r="H35" s="16">
        <f>IF(OR(E35="",F35=""),"",IFERROR(E35*F35/100,0))</f>
        <v/>
      </c>
      <c r="I35" s="21" t="n"/>
      <c r="J35" s="21" t="n"/>
      <c r="K35" s="21" t="n"/>
    </row>
    <row r="36" ht="22" customHeight="1">
      <c r="B36" s="22">
        <f>IF(C36="","DED"&amp;TEXT(COUNTA($C$5:C36),"000"))</f>
        <v/>
      </c>
      <c r="C36" s="22" t="n"/>
      <c r="D36" s="22">
        <f>IF(C36="","",VLOOKUP(C36,'_Données Employés'!$B$5:$S$114,3,FALSE))</f>
        <v/>
      </c>
      <c r="E36" s="22" t="n"/>
      <c r="F36" s="22" t="n"/>
      <c r="G36" s="22" t="n"/>
      <c r="H36" s="18">
        <f>IF(OR(E36="",F36=""),"",IFERROR(E36*F36/100,0))</f>
        <v/>
      </c>
      <c r="I36" s="22" t="n"/>
      <c r="J36" s="22" t="n"/>
      <c r="K36" s="22" t="n"/>
    </row>
    <row r="37" ht="22" customHeight="1">
      <c r="B37" s="21">
        <f>IF(C37="","DED"&amp;TEXT(COUNTA($C$5:C37),"000"))</f>
        <v/>
      </c>
      <c r="C37" s="21" t="n"/>
      <c r="D37" s="21">
        <f>IF(C37="","",VLOOKUP(C37,'_Données Employés'!$B$5:$S$114,3,FALSE))</f>
        <v/>
      </c>
      <c r="E37" s="21" t="n"/>
      <c r="F37" s="21" t="n"/>
      <c r="G37" s="21" t="n"/>
      <c r="H37" s="16">
        <f>IF(OR(E37="",F37=""),"",IFERROR(E37*F37/100,0))</f>
        <v/>
      </c>
      <c r="I37" s="21" t="n"/>
      <c r="J37" s="21" t="n"/>
      <c r="K37" s="21" t="n"/>
    </row>
    <row r="38" ht="22" customHeight="1">
      <c r="B38" s="22">
        <f>IF(C38="","DED"&amp;TEXT(COUNTA($C$5:C38),"000"))</f>
        <v/>
      </c>
      <c r="C38" s="22" t="n"/>
      <c r="D38" s="22">
        <f>IF(C38="","",VLOOKUP(C38,'_Données Employés'!$B$5:$S$114,3,FALSE))</f>
        <v/>
      </c>
      <c r="E38" s="22" t="n"/>
      <c r="F38" s="22" t="n"/>
      <c r="G38" s="22" t="n"/>
      <c r="H38" s="18">
        <f>IF(OR(E38="",F38=""),"",IFERROR(E38*F38/100,0))</f>
        <v/>
      </c>
      <c r="I38" s="22" t="n"/>
      <c r="J38" s="22" t="n"/>
      <c r="K38" s="22" t="n"/>
    </row>
    <row r="39" ht="22" customHeight="1">
      <c r="B39" s="21">
        <f>IF(C39="","DED"&amp;TEXT(COUNTA($C$5:C39),"000"))</f>
        <v/>
      </c>
      <c r="C39" s="21" t="n"/>
      <c r="D39" s="21">
        <f>IF(C39="","",VLOOKUP(C39,'_Données Employés'!$B$5:$S$114,3,FALSE))</f>
        <v/>
      </c>
      <c r="E39" s="21" t="n"/>
      <c r="F39" s="21" t="n"/>
      <c r="G39" s="21" t="n"/>
      <c r="H39" s="16">
        <f>IF(OR(E39="",F39=""),"",IFERROR(E39*F39/100,0))</f>
        <v/>
      </c>
      <c r="I39" s="21" t="n"/>
      <c r="J39" s="21" t="n"/>
      <c r="K39" s="21" t="n"/>
    </row>
    <row r="40" ht="22" customHeight="1">
      <c r="B40" s="22">
        <f>IF(C40="","DED"&amp;TEXT(COUNTA($C$5:C40),"000"))</f>
        <v/>
      </c>
      <c r="C40" s="22" t="n"/>
      <c r="D40" s="22">
        <f>IF(C40="","",VLOOKUP(C40,'_Données Employés'!$B$5:$S$114,3,FALSE))</f>
        <v/>
      </c>
      <c r="E40" s="22" t="n"/>
      <c r="F40" s="22" t="n"/>
      <c r="G40" s="22" t="n"/>
      <c r="H40" s="18">
        <f>IF(OR(E40="",F40=""),"",IFERROR(E40*F40/100,0))</f>
        <v/>
      </c>
      <c r="I40" s="22" t="n"/>
      <c r="J40" s="22" t="n"/>
      <c r="K40" s="22" t="n"/>
    </row>
    <row r="41" ht="22" customHeight="1">
      <c r="B41" s="21">
        <f>IF(C41="","DED"&amp;TEXT(COUNTA($C$5:C41),"000"))</f>
        <v/>
      </c>
      <c r="C41" s="21" t="n"/>
      <c r="D41" s="21">
        <f>IF(C41="","",VLOOKUP(C41,'_Données Employés'!$B$5:$S$114,3,FALSE))</f>
        <v/>
      </c>
      <c r="E41" s="21" t="n"/>
      <c r="F41" s="21" t="n"/>
      <c r="G41" s="21" t="n"/>
      <c r="H41" s="16">
        <f>IF(OR(E41="",F41=""),"",IFERROR(E41*F41/100,0))</f>
        <v/>
      </c>
      <c r="I41" s="21" t="n"/>
      <c r="J41" s="21" t="n"/>
      <c r="K41" s="21" t="n"/>
    </row>
    <row r="42" ht="22" customHeight="1">
      <c r="B42" s="22">
        <f>IF(C42="","DED"&amp;TEXT(COUNTA($C$5:C42),"000"))</f>
        <v/>
      </c>
      <c r="C42" s="22" t="n"/>
      <c r="D42" s="22">
        <f>IF(C42="","",VLOOKUP(C42,'_Données Employés'!$B$5:$S$114,3,FALSE))</f>
        <v/>
      </c>
      <c r="E42" s="22" t="n"/>
      <c r="F42" s="22" t="n"/>
      <c r="G42" s="22" t="n"/>
      <c r="H42" s="18">
        <f>IF(OR(E42="",F42=""),"",IFERROR(E42*F42/100,0))</f>
        <v/>
      </c>
      <c r="I42" s="22" t="n"/>
      <c r="J42" s="22" t="n"/>
      <c r="K42" s="22" t="n"/>
    </row>
    <row r="43" ht="22" customHeight="1">
      <c r="B43" s="21">
        <f>IF(C43="","DED"&amp;TEXT(COUNTA($C$5:C43),"000"))</f>
        <v/>
      </c>
      <c r="C43" s="21" t="n"/>
      <c r="D43" s="21">
        <f>IF(C43="","",VLOOKUP(C43,'_Données Employés'!$B$5:$S$114,3,FALSE))</f>
        <v/>
      </c>
      <c r="E43" s="21" t="n"/>
      <c r="F43" s="21" t="n"/>
      <c r="G43" s="21" t="n"/>
      <c r="H43" s="16">
        <f>IF(OR(E43="",F43=""),"",IFERROR(E43*F43/100,0))</f>
        <v/>
      </c>
      <c r="I43" s="21" t="n"/>
      <c r="J43" s="21" t="n"/>
      <c r="K43" s="21" t="n"/>
    </row>
    <row r="44" ht="22" customHeight="1">
      <c r="B44" s="22">
        <f>IF(C44="","DED"&amp;TEXT(COUNTA($C$5:C44),"000"))</f>
        <v/>
      </c>
      <c r="C44" s="22" t="n"/>
      <c r="D44" s="22">
        <f>IF(C44="","",VLOOKUP(C44,'_Données Employés'!$B$5:$S$114,3,FALSE))</f>
        <v/>
      </c>
      <c r="E44" s="22" t="n"/>
      <c r="F44" s="22" t="n"/>
      <c r="G44" s="22" t="n"/>
      <c r="H44" s="18">
        <f>IF(OR(E44="",F44=""),"",IFERROR(E44*F44/100,0))</f>
        <v/>
      </c>
      <c r="I44" s="22" t="n"/>
      <c r="J44" s="22" t="n"/>
      <c r="K44" s="22" t="n"/>
    </row>
    <row r="45" ht="22" customHeight="1">
      <c r="B45" s="21">
        <f>IF(C45="","DED"&amp;TEXT(COUNTA($C$5:C45),"000"))</f>
        <v/>
      </c>
      <c r="C45" s="21" t="n"/>
      <c r="D45" s="21">
        <f>IF(C45="","",VLOOKUP(C45,'_Données Employés'!$B$5:$S$114,3,FALSE))</f>
        <v/>
      </c>
      <c r="E45" s="21" t="n"/>
      <c r="F45" s="21" t="n"/>
      <c r="G45" s="21" t="n"/>
      <c r="H45" s="16">
        <f>IF(OR(E45="",F45=""),"",IFERROR(E45*F45/100,0))</f>
        <v/>
      </c>
      <c r="I45" s="21" t="n"/>
      <c r="J45" s="21" t="n"/>
      <c r="K45" s="21" t="n"/>
    </row>
    <row r="46" ht="22" customHeight="1">
      <c r="B46" s="22">
        <f>IF(C46="","DED"&amp;TEXT(COUNTA($C$5:C46),"000"))</f>
        <v/>
      </c>
      <c r="C46" s="22" t="n"/>
      <c r="D46" s="22">
        <f>IF(C46="","",VLOOKUP(C46,'_Données Employés'!$B$5:$S$114,3,FALSE))</f>
        <v/>
      </c>
      <c r="E46" s="22" t="n"/>
      <c r="F46" s="22" t="n"/>
      <c r="G46" s="22" t="n"/>
      <c r="H46" s="18">
        <f>IF(OR(E46="",F46=""),"",IFERROR(E46*F46/100,0))</f>
        <v/>
      </c>
      <c r="I46" s="22" t="n"/>
      <c r="J46" s="22" t="n"/>
      <c r="K46" s="22" t="n"/>
    </row>
    <row r="47" ht="22" customHeight="1">
      <c r="B47" s="21">
        <f>IF(C47="","DED"&amp;TEXT(COUNTA($C$5:C47),"000"))</f>
        <v/>
      </c>
      <c r="C47" s="21" t="n"/>
      <c r="D47" s="21">
        <f>IF(C47="","",VLOOKUP(C47,'_Données Employés'!$B$5:$S$114,3,FALSE))</f>
        <v/>
      </c>
      <c r="E47" s="21" t="n"/>
      <c r="F47" s="21" t="n"/>
      <c r="G47" s="21" t="n"/>
      <c r="H47" s="16">
        <f>IF(OR(E47="",F47=""),"",IFERROR(E47*F47/100,0))</f>
        <v/>
      </c>
      <c r="I47" s="21" t="n"/>
      <c r="J47" s="21" t="n"/>
      <c r="K47" s="21" t="n"/>
    </row>
    <row r="48" ht="22" customHeight="1">
      <c r="B48" s="22">
        <f>IF(C48="","DED"&amp;TEXT(COUNTA($C$5:C48),"000"))</f>
        <v/>
      </c>
      <c r="C48" s="22" t="n"/>
      <c r="D48" s="22">
        <f>IF(C48="","",VLOOKUP(C48,'_Données Employés'!$B$5:$S$114,3,FALSE))</f>
        <v/>
      </c>
      <c r="E48" s="22" t="n"/>
      <c r="F48" s="22" t="n"/>
      <c r="G48" s="22" t="n"/>
      <c r="H48" s="18">
        <f>IF(OR(E48="",F48=""),"",IFERROR(E48*F48/100,0))</f>
        <v/>
      </c>
      <c r="I48" s="22" t="n"/>
      <c r="J48" s="22" t="n"/>
      <c r="K48" s="22" t="n"/>
    </row>
    <row r="49" ht="22" customHeight="1">
      <c r="B49" s="21">
        <f>IF(C49="","DED"&amp;TEXT(COUNTA($C$5:C49),"000"))</f>
        <v/>
      </c>
      <c r="C49" s="21" t="n"/>
      <c r="D49" s="21">
        <f>IF(C49="","",VLOOKUP(C49,'_Données Employés'!$B$5:$S$114,3,FALSE))</f>
        <v/>
      </c>
      <c r="E49" s="21" t="n"/>
      <c r="F49" s="21" t="n"/>
      <c r="G49" s="21" t="n"/>
      <c r="H49" s="16">
        <f>IF(OR(E49="",F49=""),"",IFERROR(E49*F49/100,0))</f>
        <v/>
      </c>
      <c r="I49" s="21" t="n"/>
      <c r="J49" s="21" t="n"/>
      <c r="K49" s="21" t="n"/>
    </row>
    <row r="50" ht="22" customHeight="1">
      <c r="B50" s="22">
        <f>IF(C50="","DED"&amp;TEXT(COUNTA($C$5:C50),"000"))</f>
        <v/>
      </c>
      <c r="C50" s="22" t="n"/>
      <c r="D50" s="22">
        <f>IF(C50="","",VLOOKUP(C50,'_Données Employés'!$B$5:$S$114,3,FALSE))</f>
        <v/>
      </c>
      <c r="E50" s="22" t="n"/>
      <c r="F50" s="22" t="n"/>
      <c r="G50" s="22" t="n"/>
      <c r="H50" s="18">
        <f>IF(OR(E50="",F50=""),"",IFERROR(E50*F50/100,0))</f>
        <v/>
      </c>
      <c r="I50" s="22" t="n"/>
      <c r="J50" s="22" t="n"/>
      <c r="K50" s="22" t="n"/>
    </row>
    <row r="51" ht="22" customHeight="1">
      <c r="B51" s="21">
        <f>IF(C51="","DED"&amp;TEXT(COUNTA($C$5:C51),"000"))</f>
        <v/>
      </c>
      <c r="C51" s="21" t="n"/>
      <c r="D51" s="21">
        <f>IF(C51="","",VLOOKUP(C51,'_Données Employés'!$B$5:$S$114,3,FALSE))</f>
        <v/>
      </c>
      <c r="E51" s="21" t="n"/>
      <c r="F51" s="21" t="n"/>
      <c r="G51" s="21" t="n"/>
      <c r="H51" s="16">
        <f>IF(OR(E51="",F51=""),"",IFERROR(E51*F51/100,0))</f>
        <v/>
      </c>
      <c r="I51" s="21" t="n"/>
      <c r="J51" s="21" t="n"/>
      <c r="K51" s="21" t="n"/>
    </row>
    <row r="52" ht="22" customHeight="1">
      <c r="B52" s="22">
        <f>IF(C52="","DED"&amp;TEXT(COUNTA($C$5:C52),"000"))</f>
        <v/>
      </c>
      <c r="C52" s="22" t="n"/>
      <c r="D52" s="22">
        <f>IF(C52="","",VLOOKUP(C52,'_Données Employés'!$B$5:$S$114,3,FALSE))</f>
        <v/>
      </c>
      <c r="E52" s="22" t="n"/>
      <c r="F52" s="22" t="n"/>
      <c r="G52" s="22" t="n"/>
      <c r="H52" s="18">
        <f>IF(OR(E52="",F52=""),"",IFERROR(E52*F52/100,0))</f>
        <v/>
      </c>
      <c r="I52" s="22" t="n"/>
      <c r="J52" s="22" t="n"/>
      <c r="K52" s="22" t="n"/>
    </row>
    <row r="53" ht="22" customHeight="1">
      <c r="B53" s="21">
        <f>IF(C53="","DED"&amp;TEXT(COUNTA($C$5:C53),"000"))</f>
        <v/>
      </c>
      <c r="C53" s="21" t="n"/>
      <c r="D53" s="21">
        <f>IF(C53="","",VLOOKUP(C53,'_Données Employés'!$B$5:$S$114,3,FALSE))</f>
        <v/>
      </c>
      <c r="E53" s="21" t="n"/>
      <c r="F53" s="21" t="n"/>
      <c r="G53" s="21" t="n"/>
      <c r="H53" s="16">
        <f>IF(OR(E53="",F53=""),"",IFERROR(E53*F53/100,0))</f>
        <v/>
      </c>
      <c r="I53" s="21" t="n"/>
      <c r="J53" s="21" t="n"/>
      <c r="K53" s="21" t="n"/>
    </row>
    <row r="54" ht="22" customHeight="1">
      <c r="B54" s="22">
        <f>IF(C54="","DED"&amp;TEXT(COUNTA($C$5:C54),"000"))</f>
        <v/>
      </c>
      <c r="C54" s="22" t="n"/>
      <c r="D54" s="22">
        <f>IF(C54="","",VLOOKUP(C54,'_Données Employés'!$B$5:$S$114,3,FALSE))</f>
        <v/>
      </c>
      <c r="E54" s="22" t="n"/>
      <c r="F54" s="22" t="n"/>
      <c r="G54" s="22" t="n"/>
      <c r="H54" s="18">
        <f>IF(OR(E54="",F54=""),"",IFERROR(E54*F54/100,0))</f>
        <v/>
      </c>
      <c r="I54" s="22" t="n"/>
      <c r="J54" s="22" t="n"/>
      <c r="K54" s="22" t="n"/>
    </row>
    <row r="55" ht="22" customHeight="1">
      <c r="B55" s="21">
        <f>IF(C55="","DED"&amp;TEXT(COUNTA($C$5:C55),"000"))</f>
        <v/>
      </c>
      <c r="C55" s="21" t="n"/>
      <c r="D55" s="21">
        <f>IF(C55="","",VLOOKUP(C55,'_Données Employés'!$B$5:$S$114,3,FALSE))</f>
        <v/>
      </c>
      <c r="E55" s="21" t="n"/>
      <c r="F55" s="21" t="n"/>
      <c r="G55" s="21" t="n"/>
      <c r="H55" s="16">
        <f>IF(OR(E55="",F55=""),"",IFERROR(E55*F55/100,0))</f>
        <v/>
      </c>
      <c r="I55" s="21" t="n"/>
      <c r="J55" s="21" t="n"/>
      <c r="K55" s="21" t="n"/>
    </row>
    <row r="56" ht="22" customHeight="1">
      <c r="B56" s="22">
        <f>IF(C56="","DED"&amp;TEXT(COUNTA($C$5:C56),"000"))</f>
        <v/>
      </c>
      <c r="C56" s="22" t="n"/>
      <c r="D56" s="22">
        <f>IF(C56="","",VLOOKUP(C56,'_Données Employés'!$B$5:$S$114,3,FALSE))</f>
        <v/>
      </c>
      <c r="E56" s="22" t="n"/>
      <c r="F56" s="22" t="n"/>
      <c r="G56" s="22" t="n"/>
      <c r="H56" s="18">
        <f>IF(OR(E56="",F56=""),"",IFERROR(E56*F56/100,0))</f>
        <v/>
      </c>
      <c r="I56" s="22" t="n"/>
      <c r="J56" s="22" t="n"/>
      <c r="K56" s="22" t="n"/>
    </row>
    <row r="57" ht="22" customHeight="1">
      <c r="B57" s="21">
        <f>IF(C57="","DED"&amp;TEXT(COUNTA($C$5:C57),"000"))</f>
        <v/>
      </c>
      <c r="C57" s="21" t="n"/>
      <c r="D57" s="21">
        <f>IF(C57="","",VLOOKUP(C57,'_Données Employés'!$B$5:$S$114,3,FALSE))</f>
        <v/>
      </c>
      <c r="E57" s="21" t="n"/>
      <c r="F57" s="21" t="n"/>
      <c r="G57" s="21" t="n"/>
      <c r="H57" s="16">
        <f>IF(OR(E57="",F57=""),"",IFERROR(E57*F57/100,0))</f>
        <v/>
      </c>
      <c r="I57" s="21" t="n"/>
      <c r="J57" s="21" t="n"/>
      <c r="K57" s="21" t="n"/>
    </row>
    <row r="58" ht="22" customHeight="1">
      <c r="B58" s="22">
        <f>IF(C58="","DED"&amp;TEXT(COUNTA($C$5:C58),"000"))</f>
        <v/>
      </c>
      <c r="C58" s="22" t="n"/>
      <c r="D58" s="22">
        <f>IF(C58="","",VLOOKUP(C58,'_Données Employés'!$B$5:$S$114,3,FALSE))</f>
        <v/>
      </c>
      <c r="E58" s="22" t="n"/>
      <c r="F58" s="22" t="n"/>
      <c r="G58" s="22" t="n"/>
      <c r="H58" s="18">
        <f>IF(OR(E58="",F58=""),"",IFERROR(E58*F58/100,0))</f>
        <v/>
      </c>
      <c r="I58" s="22" t="n"/>
      <c r="J58" s="22" t="n"/>
      <c r="K58" s="22" t="n"/>
    </row>
    <row r="59" ht="22" customHeight="1">
      <c r="B59" s="21">
        <f>IF(C59="","DED"&amp;TEXT(COUNTA($C$5:C59),"000"))</f>
        <v/>
      </c>
      <c r="C59" s="21" t="n"/>
      <c r="D59" s="21">
        <f>IF(C59="","",VLOOKUP(C59,'_Données Employés'!$B$5:$S$114,3,FALSE))</f>
        <v/>
      </c>
      <c r="E59" s="21" t="n"/>
      <c r="F59" s="21" t="n"/>
      <c r="G59" s="21" t="n"/>
      <c r="H59" s="16">
        <f>IF(OR(E59="",F59=""),"",IFERROR(E59*F59/100,0))</f>
        <v/>
      </c>
      <c r="I59" s="21" t="n"/>
      <c r="J59" s="21" t="n"/>
      <c r="K59" s="21" t="n"/>
    </row>
    <row r="60" ht="22" customHeight="1">
      <c r="B60" s="22">
        <f>IF(C60="","DED"&amp;TEXT(COUNTA($C$5:C60),"000"))</f>
        <v/>
      </c>
      <c r="C60" s="22" t="n"/>
      <c r="D60" s="22">
        <f>IF(C60="","",VLOOKUP(C60,'_Données Employés'!$B$5:$S$114,3,FALSE))</f>
        <v/>
      </c>
      <c r="E60" s="22" t="n"/>
      <c r="F60" s="22" t="n"/>
      <c r="G60" s="22" t="n"/>
      <c r="H60" s="18">
        <f>IF(OR(E60="",F60=""),"",IFERROR(E60*F60/100,0))</f>
        <v/>
      </c>
      <c r="I60" s="22" t="n"/>
      <c r="J60" s="22" t="n"/>
      <c r="K60" s="22" t="n"/>
    </row>
    <row r="61" ht="22" customHeight="1">
      <c r="B61" s="21">
        <f>IF(C61="","DED"&amp;TEXT(COUNTA($C$5:C61),"000"))</f>
        <v/>
      </c>
      <c r="C61" s="21" t="n"/>
      <c r="D61" s="21">
        <f>IF(C61="","",VLOOKUP(C61,'_Données Employés'!$B$5:$S$114,3,FALSE))</f>
        <v/>
      </c>
      <c r="E61" s="21" t="n"/>
      <c r="F61" s="21" t="n"/>
      <c r="G61" s="21" t="n"/>
      <c r="H61" s="16">
        <f>IF(OR(E61="",F61=""),"",IFERROR(E61*F61/100,0))</f>
        <v/>
      </c>
      <c r="I61" s="21" t="n"/>
      <c r="J61" s="21" t="n"/>
      <c r="K61" s="21" t="n"/>
    </row>
    <row r="62" ht="22" customHeight="1">
      <c r="B62" s="22">
        <f>IF(C62="","DED"&amp;TEXT(COUNTA($C$5:C62),"000"))</f>
        <v/>
      </c>
      <c r="C62" s="22" t="n"/>
      <c r="D62" s="22">
        <f>IF(C62="","",VLOOKUP(C62,'_Données Employés'!$B$5:$S$114,3,FALSE))</f>
        <v/>
      </c>
      <c r="E62" s="22" t="n"/>
      <c r="F62" s="22" t="n"/>
      <c r="G62" s="22" t="n"/>
      <c r="H62" s="18">
        <f>IF(OR(E62="",F62=""),"",IFERROR(E62*F62/100,0))</f>
        <v/>
      </c>
      <c r="I62" s="22" t="n"/>
      <c r="J62" s="22" t="n"/>
      <c r="K62" s="22" t="n"/>
    </row>
    <row r="63" ht="22" customHeight="1">
      <c r="B63" s="21">
        <f>IF(C63="","DED"&amp;TEXT(COUNTA($C$5:C63),"000"))</f>
        <v/>
      </c>
      <c r="C63" s="21" t="n"/>
      <c r="D63" s="21">
        <f>IF(C63="","",VLOOKUP(C63,'_Données Employés'!$B$5:$S$114,3,FALSE))</f>
        <v/>
      </c>
      <c r="E63" s="21" t="n"/>
      <c r="F63" s="21" t="n"/>
      <c r="G63" s="21" t="n"/>
      <c r="H63" s="16">
        <f>IF(OR(E63="",F63=""),"",IFERROR(E63*F63/100,0))</f>
        <v/>
      </c>
      <c r="I63" s="21" t="n"/>
      <c r="J63" s="21" t="n"/>
      <c r="K63" s="21" t="n"/>
    </row>
    <row r="64" ht="22" customHeight="1">
      <c r="B64" s="22">
        <f>IF(C64="","DED"&amp;TEXT(COUNTA($C$5:C64),"000"))</f>
        <v/>
      </c>
      <c r="C64" s="22" t="n"/>
      <c r="D64" s="22">
        <f>IF(C64="","",VLOOKUP(C64,'_Données Employés'!$B$5:$S$114,3,FALSE))</f>
        <v/>
      </c>
      <c r="E64" s="22" t="n"/>
      <c r="F64" s="22" t="n"/>
      <c r="G64" s="22" t="n"/>
      <c r="H64" s="18">
        <f>IF(OR(E64="",F64=""),"",IFERROR(E64*F64/100,0))</f>
        <v/>
      </c>
      <c r="I64" s="22" t="n"/>
      <c r="J64" s="22" t="n"/>
      <c r="K64" s="22" t="n"/>
    </row>
    <row r="65" ht="22" customHeight="1">
      <c r="B65" s="21">
        <f>IF(C65="","DED"&amp;TEXT(COUNTA($C$5:C65),"000"))</f>
        <v/>
      </c>
      <c r="C65" s="21" t="n"/>
      <c r="D65" s="21">
        <f>IF(C65="","",VLOOKUP(C65,'_Données Employés'!$B$5:$S$114,3,FALSE))</f>
        <v/>
      </c>
      <c r="E65" s="21" t="n"/>
      <c r="F65" s="21" t="n"/>
      <c r="G65" s="21" t="n"/>
      <c r="H65" s="16">
        <f>IF(OR(E65="",F65=""),"",IFERROR(E65*F65/100,0))</f>
        <v/>
      </c>
      <c r="I65" s="21" t="n"/>
      <c r="J65" s="21" t="n"/>
      <c r="K65" s="21" t="n"/>
    </row>
    <row r="66" ht="22" customHeight="1">
      <c r="B66" s="22">
        <f>IF(C66="","DED"&amp;TEXT(COUNTA($C$5:C66),"000"))</f>
        <v/>
      </c>
      <c r="C66" s="22" t="n"/>
      <c r="D66" s="22">
        <f>IF(C66="","",VLOOKUP(C66,'_Données Employés'!$B$5:$S$114,3,FALSE))</f>
        <v/>
      </c>
      <c r="E66" s="22" t="n"/>
      <c r="F66" s="22" t="n"/>
      <c r="G66" s="22" t="n"/>
      <c r="H66" s="18">
        <f>IF(OR(E66="",F66=""),"",IFERROR(E66*F66/100,0))</f>
        <v/>
      </c>
      <c r="I66" s="22" t="n"/>
      <c r="J66" s="22" t="n"/>
      <c r="K66" s="22" t="n"/>
    </row>
    <row r="67" ht="22" customHeight="1">
      <c r="B67" s="21">
        <f>IF(C67="","DED"&amp;TEXT(COUNTA($C$5:C67),"000"))</f>
        <v/>
      </c>
      <c r="C67" s="21" t="n"/>
      <c r="D67" s="21">
        <f>IF(C67="","",VLOOKUP(C67,'_Données Employés'!$B$5:$S$114,3,FALSE))</f>
        <v/>
      </c>
      <c r="E67" s="21" t="n"/>
      <c r="F67" s="21" t="n"/>
      <c r="G67" s="21" t="n"/>
      <c r="H67" s="16">
        <f>IF(OR(E67="",F67=""),"",IFERROR(E67*F67/100,0))</f>
        <v/>
      </c>
      <c r="I67" s="21" t="n"/>
      <c r="J67" s="21" t="n"/>
      <c r="K67" s="21" t="n"/>
    </row>
    <row r="68" ht="22" customHeight="1">
      <c r="B68" s="22">
        <f>IF(C68="","DED"&amp;TEXT(COUNTA($C$5:C68),"000"))</f>
        <v/>
      </c>
      <c r="C68" s="22" t="n"/>
      <c r="D68" s="22">
        <f>IF(C68="","",VLOOKUP(C68,'_Données Employés'!$B$5:$S$114,3,FALSE))</f>
        <v/>
      </c>
      <c r="E68" s="22" t="n"/>
      <c r="F68" s="22" t="n"/>
      <c r="G68" s="22" t="n"/>
      <c r="H68" s="18">
        <f>IF(OR(E68="",F68=""),"",IFERROR(E68*F68/100,0))</f>
        <v/>
      </c>
      <c r="I68" s="22" t="n"/>
      <c r="J68" s="22" t="n"/>
      <c r="K68" s="22" t="n"/>
    </row>
    <row r="69" ht="22" customHeight="1">
      <c r="B69" s="21">
        <f>IF(C69="","DED"&amp;TEXT(COUNTA($C$5:C69),"000"))</f>
        <v/>
      </c>
      <c r="C69" s="21" t="n"/>
      <c r="D69" s="21">
        <f>IF(C69="","",VLOOKUP(C69,'_Données Employés'!$B$5:$S$114,3,FALSE))</f>
        <v/>
      </c>
      <c r="E69" s="21" t="n"/>
      <c r="F69" s="21" t="n"/>
      <c r="G69" s="21" t="n"/>
      <c r="H69" s="16">
        <f>IF(OR(E69="",F69=""),"",IFERROR(E69*F69/100,0))</f>
        <v/>
      </c>
      <c r="I69" s="21" t="n"/>
      <c r="J69" s="21" t="n"/>
      <c r="K69" s="21" t="n"/>
    </row>
    <row r="70" ht="22" customHeight="1">
      <c r="B70" s="22">
        <f>IF(C70="","DED"&amp;TEXT(COUNTA($C$5:C70),"000"))</f>
        <v/>
      </c>
      <c r="C70" s="22" t="n"/>
      <c r="D70" s="22">
        <f>IF(C70="","",VLOOKUP(C70,'_Données Employés'!$B$5:$S$114,3,FALSE))</f>
        <v/>
      </c>
      <c r="E70" s="22" t="n"/>
      <c r="F70" s="22" t="n"/>
      <c r="G70" s="22" t="n"/>
      <c r="H70" s="18">
        <f>IF(OR(E70="",F70=""),"",IFERROR(E70*F70/100,0))</f>
        <v/>
      </c>
      <c r="I70" s="22" t="n"/>
      <c r="J70" s="22" t="n"/>
      <c r="K70" s="22" t="n"/>
    </row>
    <row r="71" ht="22" customHeight="1">
      <c r="B71" s="21">
        <f>IF(C71="","DED"&amp;TEXT(COUNTA($C$5:C71),"000"))</f>
        <v/>
      </c>
      <c r="C71" s="21" t="n"/>
      <c r="D71" s="21">
        <f>IF(C71="","",VLOOKUP(C71,'_Données Employés'!$B$5:$S$114,3,FALSE))</f>
        <v/>
      </c>
      <c r="E71" s="21" t="n"/>
      <c r="F71" s="21" t="n"/>
      <c r="G71" s="21" t="n"/>
      <c r="H71" s="16">
        <f>IF(OR(E71="",F71=""),"",IFERROR(E71*F71/100,0))</f>
        <v/>
      </c>
      <c r="I71" s="21" t="n"/>
      <c r="J71" s="21" t="n"/>
      <c r="K71" s="21" t="n"/>
    </row>
    <row r="72" ht="22" customHeight="1">
      <c r="B72" s="22">
        <f>IF(C72="","DED"&amp;TEXT(COUNTA($C$5:C72),"000"))</f>
        <v/>
      </c>
      <c r="C72" s="22" t="n"/>
      <c r="D72" s="22">
        <f>IF(C72="","",VLOOKUP(C72,'_Données Employés'!$B$5:$S$114,3,FALSE))</f>
        <v/>
      </c>
      <c r="E72" s="22" t="n"/>
      <c r="F72" s="22" t="n"/>
      <c r="G72" s="22" t="n"/>
      <c r="H72" s="18">
        <f>IF(OR(E72="",F72=""),"",IFERROR(E72*F72/100,0))</f>
        <v/>
      </c>
      <c r="I72" s="22" t="n"/>
      <c r="J72" s="22" t="n"/>
      <c r="K72" s="22" t="n"/>
    </row>
    <row r="73" ht="22" customHeight="1">
      <c r="B73" s="21">
        <f>IF(C73="","DED"&amp;TEXT(COUNTA($C$5:C73),"000"))</f>
        <v/>
      </c>
      <c r="C73" s="21" t="n"/>
      <c r="D73" s="21">
        <f>IF(C73="","",VLOOKUP(C73,'_Données Employés'!$B$5:$S$114,3,FALSE))</f>
        <v/>
      </c>
      <c r="E73" s="21" t="n"/>
      <c r="F73" s="21" t="n"/>
      <c r="G73" s="21" t="n"/>
      <c r="H73" s="16">
        <f>IF(OR(E73="",F73=""),"",IFERROR(E73*F73/100,0))</f>
        <v/>
      </c>
      <c r="I73" s="21" t="n"/>
      <c r="J73" s="21" t="n"/>
      <c r="K73" s="21" t="n"/>
    </row>
    <row r="74" ht="22" customHeight="1">
      <c r="B74" s="22">
        <f>IF(C74="","DED"&amp;TEXT(COUNTA($C$5:C74),"000"))</f>
        <v/>
      </c>
      <c r="C74" s="22" t="n"/>
      <c r="D74" s="22">
        <f>IF(C74="","",VLOOKUP(C74,'_Données Employés'!$B$5:$S$114,3,FALSE))</f>
        <v/>
      </c>
      <c r="E74" s="22" t="n"/>
      <c r="F74" s="22" t="n"/>
      <c r="G74" s="22" t="n"/>
      <c r="H74" s="18">
        <f>IF(OR(E74="",F74=""),"",IFERROR(E74*F74/100,0))</f>
        <v/>
      </c>
      <c r="I74" s="22" t="n"/>
      <c r="J74" s="22" t="n"/>
      <c r="K74" s="22" t="n"/>
    </row>
    <row r="75" ht="22" customHeight="1">
      <c r="B75" s="21">
        <f>IF(C75="","DED"&amp;TEXT(COUNTA($C$5:C75),"000"))</f>
        <v/>
      </c>
      <c r="C75" s="21" t="n"/>
      <c r="D75" s="21">
        <f>IF(C75="","",VLOOKUP(C75,'_Données Employés'!$B$5:$S$114,3,FALSE))</f>
        <v/>
      </c>
      <c r="E75" s="21" t="n"/>
      <c r="F75" s="21" t="n"/>
      <c r="G75" s="21" t="n"/>
      <c r="H75" s="16">
        <f>IF(OR(E75="",F75=""),"",IFERROR(E75*F75/100,0))</f>
        <v/>
      </c>
      <c r="I75" s="21" t="n"/>
      <c r="J75" s="21" t="n"/>
      <c r="K75" s="21" t="n"/>
    </row>
    <row r="76" ht="22" customHeight="1">
      <c r="B76" s="22">
        <f>IF(C76="","DED"&amp;TEXT(COUNTA($C$5:C76),"000"))</f>
        <v/>
      </c>
      <c r="C76" s="22" t="n"/>
      <c r="D76" s="22">
        <f>IF(C76="","",VLOOKUP(C76,'_Données Employés'!$B$5:$S$114,3,FALSE))</f>
        <v/>
      </c>
      <c r="E76" s="22" t="n"/>
      <c r="F76" s="22" t="n"/>
      <c r="G76" s="22" t="n"/>
      <c r="H76" s="18">
        <f>IF(OR(E76="",F76=""),"",IFERROR(E76*F76/100,0))</f>
        <v/>
      </c>
      <c r="I76" s="22" t="n"/>
      <c r="J76" s="22" t="n"/>
      <c r="K76" s="22" t="n"/>
    </row>
    <row r="77" ht="22" customHeight="1">
      <c r="B77" s="21">
        <f>IF(C77="","DED"&amp;TEXT(COUNTA($C$5:C77),"000"))</f>
        <v/>
      </c>
      <c r="C77" s="21" t="n"/>
      <c r="D77" s="21">
        <f>IF(C77="","",VLOOKUP(C77,'_Données Employés'!$B$5:$S$114,3,FALSE))</f>
        <v/>
      </c>
      <c r="E77" s="21" t="n"/>
      <c r="F77" s="21" t="n"/>
      <c r="G77" s="21" t="n"/>
      <c r="H77" s="16">
        <f>IF(OR(E77="",F77=""),"",IFERROR(E77*F77/100,0))</f>
        <v/>
      </c>
      <c r="I77" s="21" t="n"/>
      <c r="J77" s="21" t="n"/>
      <c r="K77" s="21" t="n"/>
    </row>
    <row r="78" ht="22" customHeight="1">
      <c r="B78" s="22">
        <f>IF(C78="","DED"&amp;TEXT(COUNTA($C$5:C78),"000"))</f>
        <v/>
      </c>
      <c r="C78" s="22" t="n"/>
      <c r="D78" s="22">
        <f>IF(C78="","",VLOOKUP(C78,'_Données Employés'!$B$5:$S$114,3,FALSE))</f>
        <v/>
      </c>
      <c r="E78" s="22" t="n"/>
      <c r="F78" s="22" t="n"/>
      <c r="G78" s="22" t="n"/>
      <c r="H78" s="18">
        <f>IF(OR(E78="",F78=""),"",IFERROR(E78*F78/100,0))</f>
        <v/>
      </c>
      <c r="I78" s="22" t="n"/>
      <c r="J78" s="22" t="n"/>
      <c r="K78" s="22" t="n"/>
    </row>
    <row r="79" ht="22" customHeight="1">
      <c r="B79" s="21">
        <f>IF(C79="","DED"&amp;TEXT(COUNTA($C$5:C79),"000"))</f>
        <v/>
      </c>
      <c r="C79" s="21" t="n"/>
      <c r="D79" s="21">
        <f>IF(C79="","",VLOOKUP(C79,'_Données Employés'!$B$5:$S$114,3,FALSE))</f>
        <v/>
      </c>
      <c r="E79" s="21" t="n"/>
      <c r="F79" s="21" t="n"/>
      <c r="G79" s="21" t="n"/>
      <c r="H79" s="16">
        <f>IF(OR(E79="",F79=""),"",IFERROR(E79*F79/100,0))</f>
        <v/>
      </c>
      <c r="I79" s="21" t="n"/>
      <c r="J79" s="21" t="n"/>
      <c r="K79" s="21" t="n"/>
    </row>
    <row r="80" ht="22" customHeight="1">
      <c r="B80" s="22">
        <f>IF(C80="","DED"&amp;TEXT(COUNTA($C$5:C80),"000"))</f>
        <v/>
      </c>
      <c r="C80" s="22" t="n"/>
      <c r="D80" s="22">
        <f>IF(C80="","",VLOOKUP(C80,'_Données Employés'!$B$5:$S$114,3,FALSE))</f>
        <v/>
      </c>
      <c r="E80" s="22" t="n"/>
      <c r="F80" s="22" t="n"/>
      <c r="G80" s="22" t="n"/>
      <c r="H80" s="18">
        <f>IF(OR(E80="",F80=""),"",IFERROR(E80*F80/100,0))</f>
        <v/>
      </c>
      <c r="I80" s="22" t="n"/>
      <c r="J80" s="22" t="n"/>
      <c r="K80" s="22" t="n"/>
    </row>
    <row r="81" ht="22" customHeight="1">
      <c r="B81" s="21">
        <f>IF(C81="","DED"&amp;TEXT(COUNTA($C$5:C81),"000"))</f>
        <v/>
      </c>
      <c r="C81" s="21" t="n"/>
      <c r="D81" s="21">
        <f>IF(C81="","",VLOOKUP(C81,'_Données Employés'!$B$5:$S$114,3,FALSE))</f>
        <v/>
      </c>
      <c r="E81" s="21" t="n"/>
      <c r="F81" s="21" t="n"/>
      <c r="G81" s="21" t="n"/>
      <c r="H81" s="16">
        <f>IF(OR(E81="",F81=""),"",IFERROR(E81*F81/100,0))</f>
        <v/>
      </c>
      <c r="I81" s="21" t="n"/>
      <c r="J81" s="21" t="n"/>
      <c r="K81" s="21" t="n"/>
    </row>
    <row r="82" ht="22" customHeight="1">
      <c r="B82" s="22">
        <f>IF(C82="","DED"&amp;TEXT(COUNTA($C$5:C82),"000"))</f>
        <v/>
      </c>
      <c r="C82" s="22" t="n"/>
      <c r="D82" s="22">
        <f>IF(C82="","",VLOOKUP(C82,'_Données Employés'!$B$5:$S$114,3,FALSE))</f>
        <v/>
      </c>
      <c r="E82" s="22" t="n"/>
      <c r="F82" s="22" t="n"/>
      <c r="G82" s="22" t="n"/>
      <c r="H82" s="18">
        <f>IF(OR(E82="",F82=""),"",IFERROR(E82*F82/100,0))</f>
        <v/>
      </c>
      <c r="I82" s="22" t="n"/>
      <c r="J82" s="22" t="n"/>
      <c r="K82" s="22" t="n"/>
    </row>
    <row r="83" ht="22" customHeight="1">
      <c r="B83" s="21">
        <f>IF(C83="","DED"&amp;TEXT(COUNTA($C$5:C83),"000"))</f>
        <v/>
      </c>
      <c r="C83" s="21" t="n"/>
      <c r="D83" s="21">
        <f>IF(C83="","",VLOOKUP(C83,'_Données Employés'!$B$5:$S$114,3,FALSE))</f>
        <v/>
      </c>
      <c r="E83" s="21" t="n"/>
      <c r="F83" s="21" t="n"/>
      <c r="G83" s="21" t="n"/>
      <c r="H83" s="16">
        <f>IF(OR(E83="",F83=""),"",IFERROR(E83*F83/100,0))</f>
        <v/>
      </c>
      <c r="I83" s="21" t="n"/>
      <c r="J83" s="21" t="n"/>
      <c r="K83" s="21" t="n"/>
    </row>
    <row r="84" ht="22" customHeight="1">
      <c r="B84" s="22">
        <f>IF(C84="","DED"&amp;TEXT(COUNTA($C$5:C84),"000"))</f>
        <v/>
      </c>
      <c r="C84" s="22" t="n"/>
      <c r="D84" s="22">
        <f>IF(C84="","",VLOOKUP(C84,'_Données Employés'!$B$5:$S$114,3,FALSE))</f>
        <v/>
      </c>
      <c r="E84" s="22" t="n"/>
      <c r="F84" s="22" t="n"/>
      <c r="G84" s="22" t="n"/>
      <c r="H84" s="18">
        <f>IF(OR(E84="",F84=""),"",IFERROR(E84*F84/100,0))</f>
        <v/>
      </c>
      <c r="I84" s="22" t="n"/>
      <c r="J84" s="22" t="n"/>
      <c r="K84" s="22" t="n"/>
    </row>
    <row r="85" ht="22" customHeight="1">
      <c r="B85" s="21">
        <f>IF(C85="","DED"&amp;TEXT(COUNTA($C$5:C85),"000"))</f>
        <v/>
      </c>
      <c r="C85" s="21" t="n"/>
      <c r="D85" s="21">
        <f>IF(C85="","",VLOOKUP(C85,'_Données Employés'!$B$5:$S$114,3,FALSE))</f>
        <v/>
      </c>
      <c r="E85" s="21" t="n"/>
      <c r="F85" s="21" t="n"/>
      <c r="G85" s="21" t="n"/>
      <c r="H85" s="16">
        <f>IF(OR(E85="",F85=""),"",IFERROR(E85*F85/100,0))</f>
        <v/>
      </c>
      <c r="I85" s="21" t="n"/>
      <c r="J85" s="21" t="n"/>
      <c r="K85" s="21" t="n"/>
    </row>
    <row r="86" ht="22" customHeight="1">
      <c r="B86" s="22">
        <f>IF(C86="","DED"&amp;TEXT(COUNTA($C$5:C86),"000"))</f>
        <v/>
      </c>
      <c r="C86" s="22" t="n"/>
      <c r="D86" s="22">
        <f>IF(C86="","",VLOOKUP(C86,'_Données Employés'!$B$5:$S$114,3,FALSE))</f>
        <v/>
      </c>
      <c r="E86" s="22" t="n"/>
      <c r="F86" s="22" t="n"/>
      <c r="G86" s="22" t="n"/>
      <c r="H86" s="18">
        <f>IF(OR(E86="",F86=""),"",IFERROR(E86*F86/100,0))</f>
        <v/>
      </c>
      <c r="I86" s="22" t="n"/>
      <c r="J86" s="22" t="n"/>
      <c r="K86" s="22" t="n"/>
    </row>
    <row r="87" ht="22" customHeight="1">
      <c r="B87" s="21">
        <f>IF(C87="","DED"&amp;TEXT(COUNTA($C$5:C87),"000"))</f>
        <v/>
      </c>
      <c r="C87" s="21" t="n"/>
      <c r="D87" s="21">
        <f>IF(C87="","",VLOOKUP(C87,'_Données Employés'!$B$5:$S$114,3,FALSE))</f>
        <v/>
      </c>
      <c r="E87" s="21" t="n"/>
      <c r="F87" s="21" t="n"/>
      <c r="G87" s="21" t="n"/>
      <c r="H87" s="16">
        <f>IF(OR(E87="",F87=""),"",IFERROR(E87*F87/100,0))</f>
        <v/>
      </c>
      <c r="I87" s="21" t="n"/>
      <c r="J87" s="21" t="n"/>
      <c r="K87" s="21" t="n"/>
    </row>
    <row r="88" ht="22" customHeight="1">
      <c r="B88" s="22">
        <f>IF(C88="","DED"&amp;TEXT(COUNTA($C$5:C88),"000"))</f>
        <v/>
      </c>
      <c r="C88" s="22" t="n"/>
      <c r="D88" s="22">
        <f>IF(C88="","",VLOOKUP(C88,'_Données Employés'!$B$5:$S$114,3,FALSE))</f>
        <v/>
      </c>
      <c r="E88" s="22" t="n"/>
      <c r="F88" s="22" t="n"/>
      <c r="G88" s="22" t="n"/>
      <c r="H88" s="18">
        <f>IF(OR(E88="",F88=""),"",IFERROR(E88*F88/100,0))</f>
        <v/>
      </c>
      <c r="I88" s="22" t="n"/>
      <c r="J88" s="22" t="n"/>
      <c r="K88" s="22" t="n"/>
    </row>
    <row r="89" ht="22" customHeight="1">
      <c r="B89" s="21">
        <f>IF(C89="","DED"&amp;TEXT(COUNTA($C$5:C89),"000"))</f>
        <v/>
      </c>
      <c r="C89" s="21" t="n"/>
      <c r="D89" s="21">
        <f>IF(C89="","",VLOOKUP(C89,'_Données Employés'!$B$5:$S$114,3,FALSE))</f>
        <v/>
      </c>
      <c r="E89" s="21" t="n"/>
      <c r="F89" s="21" t="n"/>
      <c r="G89" s="21" t="n"/>
      <c r="H89" s="16">
        <f>IF(OR(E89="",F89=""),"",IFERROR(E89*F89/100,0))</f>
        <v/>
      </c>
      <c r="I89" s="21" t="n"/>
      <c r="J89" s="21" t="n"/>
      <c r="K89" s="21" t="n"/>
    </row>
    <row r="90" ht="22" customHeight="1">
      <c r="B90" s="22">
        <f>IF(C90="","DED"&amp;TEXT(COUNTA($C$5:C90),"000"))</f>
        <v/>
      </c>
      <c r="C90" s="22" t="n"/>
      <c r="D90" s="22">
        <f>IF(C90="","",VLOOKUP(C90,'_Données Employés'!$B$5:$S$114,3,FALSE))</f>
        <v/>
      </c>
      <c r="E90" s="22" t="n"/>
      <c r="F90" s="22" t="n"/>
      <c r="G90" s="22" t="n"/>
      <c r="H90" s="18">
        <f>IF(OR(E90="",F90=""),"",IFERROR(E90*F90/100,0))</f>
        <v/>
      </c>
      <c r="I90" s="22" t="n"/>
      <c r="J90" s="22" t="n"/>
      <c r="K90" s="22" t="n"/>
    </row>
    <row r="91" ht="22" customHeight="1">
      <c r="B91" s="21">
        <f>IF(C91="","DED"&amp;TEXT(COUNTA($C$5:C91),"000"))</f>
        <v/>
      </c>
      <c r="C91" s="21" t="n"/>
      <c r="D91" s="21">
        <f>IF(C91="","",VLOOKUP(C91,'_Données Employés'!$B$5:$S$114,3,FALSE))</f>
        <v/>
      </c>
      <c r="E91" s="21" t="n"/>
      <c r="F91" s="21" t="n"/>
      <c r="G91" s="21" t="n"/>
      <c r="H91" s="16">
        <f>IF(OR(E91="",F91=""),"",IFERROR(E91*F91/100,0))</f>
        <v/>
      </c>
      <c r="I91" s="21" t="n"/>
      <c r="J91" s="21" t="n"/>
      <c r="K91" s="21" t="n"/>
    </row>
    <row r="92" ht="22" customHeight="1">
      <c r="B92" s="22">
        <f>IF(C92="","DED"&amp;TEXT(COUNTA($C$5:C92),"000"))</f>
        <v/>
      </c>
      <c r="C92" s="22" t="n"/>
      <c r="D92" s="22">
        <f>IF(C92="","",VLOOKUP(C92,'_Données Employés'!$B$5:$S$114,3,FALSE))</f>
        <v/>
      </c>
      <c r="E92" s="22" t="n"/>
      <c r="F92" s="22" t="n"/>
      <c r="G92" s="22" t="n"/>
      <c r="H92" s="18">
        <f>IF(OR(E92="",F92=""),"",IFERROR(E92*F92/100,0))</f>
        <v/>
      </c>
      <c r="I92" s="22" t="n"/>
      <c r="J92" s="22" t="n"/>
      <c r="K92" s="22" t="n"/>
    </row>
    <row r="93" ht="22" customHeight="1">
      <c r="B93" s="21">
        <f>IF(C93="","DED"&amp;TEXT(COUNTA($C$5:C93),"000"))</f>
        <v/>
      </c>
      <c r="C93" s="21" t="n"/>
      <c r="D93" s="21">
        <f>IF(C93="","",VLOOKUP(C93,'_Données Employés'!$B$5:$S$114,3,FALSE))</f>
        <v/>
      </c>
      <c r="E93" s="21" t="n"/>
      <c r="F93" s="21" t="n"/>
      <c r="G93" s="21" t="n"/>
      <c r="H93" s="16">
        <f>IF(OR(E93="",F93=""),"",IFERROR(E93*F93/100,0))</f>
        <v/>
      </c>
      <c r="I93" s="21" t="n"/>
      <c r="J93" s="21" t="n"/>
      <c r="K93" s="21" t="n"/>
    </row>
    <row r="94" ht="22" customHeight="1">
      <c r="B94" s="22">
        <f>IF(C94="","DED"&amp;TEXT(COUNTA($C$5:C94),"000"))</f>
        <v/>
      </c>
      <c r="C94" s="22" t="n"/>
      <c r="D94" s="22">
        <f>IF(C94="","",VLOOKUP(C94,'_Données Employés'!$B$5:$S$114,3,FALSE))</f>
        <v/>
      </c>
      <c r="E94" s="22" t="n"/>
      <c r="F94" s="22" t="n"/>
      <c r="G94" s="22" t="n"/>
      <c r="H94" s="18">
        <f>IF(OR(E94="",F94=""),"",IFERROR(E94*F94/100,0))</f>
        <v/>
      </c>
      <c r="I94" s="22" t="n"/>
      <c r="J94" s="22" t="n"/>
      <c r="K94" s="22" t="n"/>
    </row>
    <row r="95" ht="22" customHeight="1">
      <c r="B95" s="21">
        <f>IF(C95="","DED"&amp;TEXT(COUNTA($C$5:C95),"000"))</f>
        <v/>
      </c>
      <c r="C95" s="21" t="n"/>
      <c r="D95" s="21">
        <f>IF(C95="","",VLOOKUP(C95,'_Données Employés'!$B$5:$S$114,3,FALSE))</f>
        <v/>
      </c>
      <c r="E95" s="21" t="n"/>
      <c r="F95" s="21" t="n"/>
      <c r="G95" s="21" t="n"/>
      <c r="H95" s="16">
        <f>IF(OR(E95="",F95=""),"",IFERROR(E95*F95/100,0))</f>
        <v/>
      </c>
      <c r="I95" s="21" t="n"/>
      <c r="J95" s="21" t="n"/>
      <c r="K95" s="21" t="n"/>
    </row>
    <row r="96" ht="22" customHeight="1">
      <c r="B96" s="22">
        <f>IF(C96="","DED"&amp;TEXT(COUNTA($C$5:C96),"000"))</f>
        <v/>
      </c>
      <c r="C96" s="22" t="n"/>
      <c r="D96" s="22">
        <f>IF(C96="","",VLOOKUP(C96,'_Données Employés'!$B$5:$S$114,3,FALSE))</f>
        <v/>
      </c>
      <c r="E96" s="22" t="n"/>
      <c r="F96" s="22" t="n"/>
      <c r="G96" s="22" t="n"/>
      <c r="H96" s="18">
        <f>IF(OR(E96="",F96=""),"",IFERROR(E96*F96/100,0))</f>
        <v/>
      </c>
      <c r="I96" s="22" t="n"/>
      <c r="J96" s="22" t="n"/>
      <c r="K96" s="22" t="n"/>
    </row>
    <row r="97" ht="22" customHeight="1">
      <c r="B97" s="21">
        <f>IF(C97="","DED"&amp;TEXT(COUNTA($C$5:C97),"000"))</f>
        <v/>
      </c>
      <c r="C97" s="21" t="n"/>
      <c r="D97" s="21">
        <f>IF(C97="","",VLOOKUP(C97,'_Données Employés'!$B$5:$S$114,3,FALSE))</f>
        <v/>
      </c>
      <c r="E97" s="21" t="n"/>
      <c r="F97" s="21" t="n"/>
      <c r="G97" s="21" t="n"/>
      <c r="H97" s="16">
        <f>IF(OR(E97="",F97=""),"",IFERROR(E97*F97/100,0))</f>
        <v/>
      </c>
      <c r="I97" s="21" t="n"/>
      <c r="J97" s="21" t="n"/>
      <c r="K97" s="21" t="n"/>
    </row>
    <row r="98" ht="22" customHeight="1">
      <c r="B98" s="22">
        <f>IF(C98="","DED"&amp;TEXT(COUNTA($C$5:C98),"000"))</f>
        <v/>
      </c>
      <c r="C98" s="22" t="n"/>
      <c r="D98" s="22">
        <f>IF(C98="","",VLOOKUP(C98,'_Données Employés'!$B$5:$S$114,3,FALSE))</f>
        <v/>
      </c>
      <c r="E98" s="22" t="n"/>
      <c r="F98" s="22" t="n"/>
      <c r="G98" s="22" t="n"/>
      <c r="H98" s="18">
        <f>IF(OR(E98="",F98=""),"",IFERROR(E98*F98/100,0))</f>
        <v/>
      </c>
      <c r="I98" s="22" t="n"/>
      <c r="J98" s="22" t="n"/>
      <c r="K98" s="22" t="n"/>
    </row>
    <row r="99" ht="22" customHeight="1">
      <c r="B99" s="21">
        <f>IF(C99="","DED"&amp;TEXT(COUNTA($C$5:C99),"000"))</f>
        <v/>
      </c>
      <c r="C99" s="21" t="n"/>
      <c r="D99" s="21">
        <f>IF(C99="","",VLOOKUP(C99,'_Données Employés'!$B$5:$S$114,3,FALSE))</f>
        <v/>
      </c>
      <c r="E99" s="21" t="n"/>
      <c r="F99" s="21" t="n"/>
      <c r="G99" s="21" t="n"/>
      <c r="H99" s="16">
        <f>IF(OR(E99="",F99=""),"",IFERROR(E99*F99/100,0))</f>
        <v/>
      </c>
      <c r="I99" s="21" t="n"/>
      <c r="J99" s="21" t="n"/>
      <c r="K99" s="21" t="n"/>
    </row>
    <row r="100" ht="22" customHeight="1">
      <c r="B100" s="22">
        <f>IF(C100="","DED"&amp;TEXT(COUNTA($C$5:C100),"000"))</f>
        <v/>
      </c>
      <c r="C100" s="22" t="n"/>
      <c r="D100" s="22">
        <f>IF(C100="","",VLOOKUP(C100,'_Données Employés'!$B$5:$S$114,3,FALSE))</f>
        <v/>
      </c>
      <c r="E100" s="22" t="n"/>
      <c r="F100" s="22" t="n"/>
      <c r="G100" s="22" t="n"/>
      <c r="H100" s="18">
        <f>IF(OR(E100="",F100=""),"",IFERROR(E100*F100/100,0))</f>
        <v/>
      </c>
      <c r="I100" s="22" t="n"/>
      <c r="J100" s="22" t="n"/>
      <c r="K100" s="22" t="n"/>
    </row>
    <row r="101" ht="22" customHeight="1">
      <c r="B101" s="21">
        <f>IF(C101="","DED"&amp;TEXT(COUNTA($C$5:C101),"000"))</f>
        <v/>
      </c>
      <c r="C101" s="21" t="n"/>
      <c r="D101" s="21">
        <f>IF(C101="","",VLOOKUP(C101,'_Données Employés'!$B$5:$S$114,3,FALSE))</f>
        <v/>
      </c>
      <c r="E101" s="21" t="n"/>
      <c r="F101" s="21" t="n"/>
      <c r="G101" s="21" t="n"/>
      <c r="H101" s="16">
        <f>IF(OR(E101="",F101=""),"",IFERROR(E101*F101/100,0))</f>
        <v/>
      </c>
      <c r="I101" s="21" t="n"/>
      <c r="J101" s="21" t="n"/>
      <c r="K101" s="21" t="n"/>
    </row>
    <row r="102" ht="22" customHeight="1">
      <c r="B102" s="22">
        <f>IF(C102="","DED"&amp;TEXT(COUNTA($C$5:C102),"000"))</f>
        <v/>
      </c>
      <c r="C102" s="22" t="n"/>
      <c r="D102" s="22">
        <f>IF(C102="","",VLOOKUP(C102,'_Données Employés'!$B$5:$S$114,3,FALSE))</f>
        <v/>
      </c>
      <c r="E102" s="22" t="n"/>
      <c r="F102" s="22" t="n"/>
      <c r="G102" s="22" t="n"/>
      <c r="H102" s="18">
        <f>IF(OR(E102="",F102=""),"",IFERROR(E102*F102/100,0))</f>
        <v/>
      </c>
      <c r="I102" s="22" t="n"/>
      <c r="J102" s="22" t="n"/>
      <c r="K102" s="22" t="n"/>
    </row>
    <row r="103" ht="22" customHeight="1">
      <c r="B103" s="21">
        <f>IF(C103="","DED"&amp;TEXT(COUNTA($C$5:C103),"000"))</f>
        <v/>
      </c>
      <c r="C103" s="21" t="n"/>
      <c r="D103" s="21">
        <f>IF(C103="","",VLOOKUP(C103,'_Données Employés'!$B$5:$S$114,3,FALSE))</f>
        <v/>
      </c>
      <c r="E103" s="21" t="n"/>
      <c r="F103" s="21" t="n"/>
      <c r="G103" s="21" t="n"/>
      <c r="H103" s="16">
        <f>IF(OR(E103="",F103=""),"",IFERROR(E103*F103/100,0))</f>
        <v/>
      </c>
      <c r="I103" s="21" t="n"/>
      <c r="J103" s="21" t="n"/>
      <c r="K103" s="21" t="n"/>
    </row>
    <row r="104" ht="22" customHeight="1">
      <c r="B104" s="22">
        <f>IF(C104="","DED"&amp;TEXT(COUNTA($C$5:C104),"000"))</f>
        <v/>
      </c>
      <c r="C104" s="22" t="n"/>
      <c r="D104" s="22">
        <f>IF(C104="","",VLOOKUP(C104,'_Données Employés'!$B$5:$S$114,3,FALSE))</f>
        <v/>
      </c>
      <c r="E104" s="22" t="n"/>
      <c r="F104" s="22" t="n"/>
      <c r="G104" s="22" t="n"/>
      <c r="H104" s="18">
        <f>IF(OR(E104="",F104=""),"",IFERROR(E104*F104/100,0))</f>
        <v/>
      </c>
      <c r="I104" s="22" t="n"/>
      <c r="J104" s="22" t="n"/>
      <c r="K104" s="22" t="n"/>
    </row>
    <row r="107">
      <c r="B107" s="23" t="inlineStr">
        <is>
          <t>KPI Total déductions (FCFA)</t>
        </is>
      </c>
      <c r="C107" s="23" t="inlineStr">
        <is>
          <t>KPI Nombre retenues</t>
        </is>
      </c>
    </row>
    <row r="108">
      <c r="B108" s="25">
        <f>SUM(G5:G104)</f>
        <v/>
      </c>
      <c r="C108" s="24">
        <f>COUNTA(C5:C104)</f>
        <v/>
      </c>
    </row>
  </sheetData>
  <mergeCells count="1">
    <mergeCell ref="B2:K2"/>
  </mergeCells>
  <conditionalFormatting sqref="K5:K104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"Solde"</formula>
    </cfRule>
    <cfRule type="cellIs" priority="4" operator="equal" dxfId="1">
      <formula>"Actif"</formula>
    </cfRule>
    <cfRule type="cellIs" priority="5" operator="equal" dxfId="1">
      <formula>"Oui"</formula>
    </cfRule>
    <cfRule type="cellIs" priority="6" operator="equal" dxfId="2">
      <formula>"Rejete"</formula>
    </cfRule>
    <cfRule type="cellIs" priority="7" operator="equal" dxfId="2">
      <formula>"En retard"</formula>
    </cfRule>
    <cfRule type="cellIs" priority="8" operator="equal" dxfId="2">
      <formula>"Refuse"</formula>
    </cfRule>
    <cfRule type="cellIs" priority="9" operator="equal" dxfId="2">
      <formula>"Annule"</formula>
    </cfRule>
    <cfRule type="cellIs" priority="10" operator="equal" dxfId="2">
      <formula>"Non"</formula>
    </cfRule>
    <cfRule type="cellIs" priority="11" operator="equal" dxfId="3">
      <formula>"En attente"</formula>
    </cfRule>
    <cfRule type="cellIs" priority="12" operator="equal" dxfId="3">
      <formula>"En cours"</formula>
    </cfRule>
    <cfRule type="cellIs" priority="13" operator="equal" dxfId="3">
      <formula>"Brouillon"</formula>
    </cfRule>
    <cfRule type="cellIs" priority="14" operator="equal" dxfId="3">
      <formula>"Demande"</formula>
    </cfRule>
    <cfRule type="cellIs" priority="15" operator="equal" dxfId="3">
      <formula>"Partiellement monetise"</formula>
    </cfRule>
  </conditionalFormatting>
  <conditionalFormatting sqref="F5:F104">
    <cfRule type="dataBar" priority="16">
      <dataBar>
        <cfvo type="num" val="0"/>
        <cfvo type="num" val="1"/>
        <color rgb="001B2A4A"/>
      </dataBar>
    </cfRule>
  </conditionalFormatting>
  <conditionalFormatting sqref="G5:G104">
    <cfRule type="dataBar" priority="17">
      <dataBar>
        <cfvo type="num" val="0"/>
        <cfvo type="num" val="1"/>
        <color rgb="001B2A4A"/>
      </dataBar>
    </cfRule>
  </conditionalFormatting>
  <conditionalFormatting sqref="H5:H104">
    <cfRule type="dataBar" priority="18">
      <dataBar>
        <cfvo type="num" val="0"/>
        <cfvo type="num" val="1"/>
        <color rgb="001B2A4A"/>
      </dataBar>
    </cfRule>
  </conditionalFormatting>
  <conditionalFormatting sqref="B108">
    <cfRule type="cellIs" priority="19" operator="greaterThan" dxfId="0">
      <formula>0</formula>
    </cfRule>
  </conditionalFormatting>
  <conditionalFormatting sqref="C108">
    <cfRule type="cellIs" priority="20" operator="greaterThan" dxfId="0">
      <formula>0</formula>
    </cfRule>
  </conditionalFormatting>
  <dataValidations count="4">
    <dataValidation sqref="E5:E104" showDropDown="0" showInputMessage="0" showErrorMessage="0" allowBlank="1" type="list">
      <formula1>'_Lists'!$R$2:$R$9</formula1>
    </dataValidation>
    <dataValidation sqref="I5:I104" showDropDown="0" showInputMessage="0" showErrorMessage="0" allowBlank="1" type="list">
      <formula1>'_Lists'!$K$2:$K$13</formula1>
    </dataValidation>
    <dataValidation sqref="K5:K104" showDropDown="0" showInputMessage="0" showErrorMessage="0" allowBlank="1" type="list">
      <formula1>'_Lists'!$N$2:$N$5</formula1>
    </dataValidation>
    <dataValidation sqref="C5:C104" showDropDown="0" showInputMessage="0" showErrorMessage="0" allowBlank="1" promptTitle="Matricule Employé" prompt="Choisir un matricule" type="list">
      <formula1>'_Données Employés'!$B$5:$B$114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10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18" customWidth="1" min="4" max="4"/>
    <col width="16" customWidth="1" min="5" max="5"/>
    <col width="18" customWidth="1" min="6" max="6"/>
    <col width="18" customWidth="1" min="7" max="7"/>
    <col width="14" customWidth="1" min="8" max="8"/>
    <col width="14" customWidth="1" min="9" max="9"/>
    <col width="10" customWidth="1" min="10" max="10"/>
  </cols>
  <sheetData>
    <row r="1" ht="15" customHeight="1"/>
    <row r="2" ht="32" customHeight="1">
      <c r="B2" s="13" t="inlineStr">
        <is>
          <t>PAIE — 7-Acomptes Avances</t>
        </is>
      </c>
    </row>
    <row r="3" ht="8" customHeight="1"/>
    <row r="4" ht="28" customHeight="1">
      <c r="B4" s="14" t="inlineStr">
        <is>
          <t>N°</t>
        </is>
      </c>
      <c r="C4" s="14" t="inlineStr">
        <is>
          <t>Matricule</t>
        </is>
      </c>
      <c r="D4" s="14" t="inlineStr">
        <is>
          <t>Nom Employé</t>
        </is>
      </c>
      <c r="E4" s="14" t="inlineStr">
        <is>
          <t>Type</t>
        </is>
      </c>
      <c r="F4" s="14" t="inlineStr">
        <is>
          <t>Montant Demandé (FCFA)</t>
        </is>
      </c>
      <c r="G4" s="14" t="inlineStr">
        <is>
          <t>Montant Accordé (FCFA)</t>
        </is>
      </c>
      <c r="H4" s="14" t="inlineStr">
        <is>
          <t>Date Demande</t>
        </is>
      </c>
      <c r="I4" s="14" t="inlineStr">
        <is>
          <t>Date Versement</t>
        </is>
      </c>
      <c r="J4" s="14" t="inlineStr">
        <is>
          <t>Statut</t>
        </is>
      </c>
    </row>
    <row r="5" ht="22" customHeight="1">
      <c r="B5" s="15" t="inlineStr">
        <is>
          <t>ACO-001</t>
        </is>
      </c>
      <c r="C5" s="15" t="inlineStr">
        <is>
          <t>EMP-004</t>
        </is>
      </c>
      <c r="D5" s="15" t="inlineStr">
        <is>
          <t>Ouedraogo Ibrahim</t>
        </is>
      </c>
      <c r="E5" s="15" t="inlineStr">
        <is>
          <t>Avance salaire</t>
        </is>
      </c>
      <c r="F5" s="16" t="n">
        <v>50000</v>
      </c>
      <c r="G5" s="16" t="n">
        <v>50000</v>
      </c>
      <c r="H5" s="33" t="inlineStr">
        <is>
          <t>2025-06-01</t>
        </is>
      </c>
      <c r="I5" s="33" t="inlineStr">
        <is>
          <t>2025-06-15</t>
        </is>
      </c>
      <c r="J5" s="15" t="inlineStr">
        <is>
          <t>Approuve</t>
        </is>
      </c>
    </row>
    <row r="6" ht="22" customHeight="1">
      <c r="B6" s="17" t="inlineStr">
        <is>
          <t>ACO-002</t>
        </is>
      </c>
      <c r="C6" s="17" t="inlineStr">
        <is>
          <t>EMP-006</t>
        </is>
      </c>
      <c r="D6" s="17" t="inlineStr">
        <is>
          <t>Ngassa Brigitte</t>
        </is>
      </c>
      <c r="E6" s="17" t="inlineStr">
        <is>
          <t>Acompte</t>
        </is>
      </c>
      <c r="F6" s="18" t="n">
        <v>30000</v>
      </c>
      <c r="G6" s="18" t="n">
        <v>25000</v>
      </c>
      <c r="H6" s="34" t="inlineStr">
        <is>
          <t>2025-06-10</t>
        </is>
      </c>
      <c r="I6" s="34" t="inlineStr">
        <is>
          <t>2025-06-20</t>
        </is>
      </c>
      <c r="J6" s="17" t="inlineStr">
        <is>
          <t>Approuve</t>
        </is>
      </c>
    </row>
    <row r="7" ht="22" customHeight="1">
      <c r="B7" s="19">
        <f>IF(C7="","ACO"&amp;TEXT(COUNTA($C$5:C7),"000"))</f>
        <v/>
      </c>
      <c r="C7" s="19" t="n"/>
      <c r="D7" s="19">
        <f>IF(C7="","",VLOOKUP(C7,'_Données Employés'!$B$5:$S$114,3,FALSE))</f>
        <v/>
      </c>
      <c r="E7" s="19" t="n"/>
      <c r="F7" s="19" t="n"/>
      <c r="G7" s="19" t="n"/>
      <c r="H7" s="19" t="n"/>
      <c r="I7" s="19" t="n"/>
      <c r="J7" s="19" t="n"/>
    </row>
    <row r="8" ht="22" customHeight="1">
      <c r="B8" s="22">
        <f>IF(C8="","ACO"&amp;TEXT(COUNTA($C$5:C8),"000"))</f>
        <v/>
      </c>
      <c r="C8" s="22" t="n"/>
      <c r="D8" s="22">
        <f>IF(C8="","",VLOOKUP(C8,'_Données Employés'!$B$5:$S$114,3,FALSE))</f>
        <v/>
      </c>
      <c r="E8" s="22" t="n"/>
      <c r="F8" s="22" t="n"/>
      <c r="G8" s="22" t="n"/>
      <c r="H8" s="22" t="n"/>
      <c r="I8" s="22" t="n"/>
      <c r="J8" s="22" t="n"/>
    </row>
    <row r="9" ht="22" customHeight="1">
      <c r="B9" s="21">
        <f>IF(C9="","ACO"&amp;TEXT(COUNTA($C$5:C9),"000"))</f>
        <v/>
      </c>
      <c r="C9" s="21" t="n"/>
      <c r="D9" s="21">
        <f>IF(C9="","",VLOOKUP(C9,'_Données Employés'!$B$5:$S$114,3,FALSE))</f>
        <v/>
      </c>
      <c r="E9" s="21" t="n"/>
      <c r="F9" s="21" t="n"/>
      <c r="G9" s="21" t="n"/>
      <c r="H9" s="21" t="n"/>
      <c r="I9" s="21" t="n"/>
      <c r="J9" s="21" t="n"/>
    </row>
    <row r="10" ht="22" customHeight="1">
      <c r="B10" s="22">
        <f>IF(C10="","ACO"&amp;TEXT(COUNTA($C$5:C10),"000"))</f>
        <v/>
      </c>
      <c r="C10" s="22" t="n"/>
      <c r="D10" s="22">
        <f>IF(C10="","",VLOOKUP(C10,'_Données Employés'!$B$5:$S$114,3,FALSE))</f>
        <v/>
      </c>
      <c r="E10" s="22" t="n"/>
      <c r="F10" s="22" t="n"/>
      <c r="G10" s="22" t="n"/>
      <c r="H10" s="22" t="n"/>
      <c r="I10" s="22" t="n"/>
      <c r="J10" s="22" t="n"/>
    </row>
    <row r="11" ht="22" customHeight="1">
      <c r="B11" s="21">
        <f>IF(C11="","ACO"&amp;TEXT(COUNTA($C$5:C11),"000"))</f>
        <v/>
      </c>
      <c r="C11" s="21" t="n"/>
      <c r="D11" s="21">
        <f>IF(C11="","",VLOOKUP(C11,'_Données Employés'!$B$5:$S$114,3,FALSE))</f>
        <v/>
      </c>
      <c r="E11" s="21" t="n"/>
      <c r="F11" s="21" t="n"/>
      <c r="G11" s="21" t="n"/>
      <c r="H11" s="21" t="n"/>
      <c r="I11" s="21" t="n"/>
      <c r="J11" s="21" t="n"/>
    </row>
    <row r="12" ht="22" customHeight="1">
      <c r="B12" s="22">
        <f>IF(C12="","ACO"&amp;TEXT(COUNTA($C$5:C12),"000"))</f>
        <v/>
      </c>
      <c r="C12" s="22" t="n"/>
      <c r="D12" s="22">
        <f>IF(C12="","",VLOOKUP(C12,'_Données Employés'!$B$5:$S$114,3,FALSE))</f>
        <v/>
      </c>
      <c r="E12" s="22" t="n"/>
      <c r="F12" s="22" t="n"/>
      <c r="G12" s="22" t="n"/>
      <c r="H12" s="22" t="n"/>
      <c r="I12" s="22" t="n"/>
      <c r="J12" s="22" t="n"/>
    </row>
    <row r="13" ht="22" customHeight="1">
      <c r="B13" s="21">
        <f>IF(C13="","ACO"&amp;TEXT(COUNTA($C$5:C13),"000"))</f>
        <v/>
      </c>
      <c r="C13" s="21" t="n"/>
      <c r="D13" s="21">
        <f>IF(C13="","",VLOOKUP(C13,'_Données Employés'!$B$5:$S$114,3,FALSE))</f>
        <v/>
      </c>
      <c r="E13" s="21" t="n"/>
      <c r="F13" s="21" t="n"/>
      <c r="G13" s="21" t="n"/>
      <c r="H13" s="21" t="n"/>
      <c r="I13" s="21" t="n"/>
      <c r="J13" s="21" t="n"/>
    </row>
    <row r="14" ht="22" customHeight="1">
      <c r="B14" s="22">
        <f>IF(C14="","ACO"&amp;TEXT(COUNTA($C$5:C14),"000"))</f>
        <v/>
      </c>
      <c r="C14" s="22" t="n"/>
      <c r="D14" s="22">
        <f>IF(C14="","",VLOOKUP(C14,'_Données Employés'!$B$5:$S$114,3,FALSE))</f>
        <v/>
      </c>
      <c r="E14" s="22" t="n"/>
      <c r="F14" s="22" t="n"/>
      <c r="G14" s="22" t="n"/>
      <c r="H14" s="22" t="n"/>
      <c r="I14" s="22" t="n"/>
      <c r="J14" s="22" t="n"/>
    </row>
    <row r="15" ht="22" customHeight="1">
      <c r="B15" s="21">
        <f>IF(C15="","ACO"&amp;TEXT(COUNTA($C$5:C15),"000"))</f>
        <v/>
      </c>
      <c r="C15" s="21" t="n"/>
      <c r="D15" s="21">
        <f>IF(C15="","",VLOOKUP(C15,'_Données Employés'!$B$5:$S$114,3,FALSE))</f>
        <v/>
      </c>
      <c r="E15" s="21" t="n"/>
      <c r="F15" s="21" t="n"/>
      <c r="G15" s="21" t="n"/>
      <c r="H15" s="21" t="n"/>
      <c r="I15" s="21" t="n"/>
      <c r="J15" s="21" t="n"/>
    </row>
    <row r="16" ht="22" customHeight="1">
      <c r="B16" s="22">
        <f>IF(C16="","ACO"&amp;TEXT(COUNTA($C$5:C16),"000"))</f>
        <v/>
      </c>
      <c r="C16" s="22" t="n"/>
      <c r="D16" s="22">
        <f>IF(C16="","",VLOOKUP(C16,'_Données Employés'!$B$5:$S$114,3,FALSE))</f>
        <v/>
      </c>
      <c r="E16" s="22" t="n"/>
      <c r="F16" s="22" t="n"/>
      <c r="G16" s="22" t="n"/>
      <c r="H16" s="22" t="n"/>
      <c r="I16" s="22" t="n"/>
      <c r="J16" s="22" t="n"/>
    </row>
    <row r="17" ht="22" customHeight="1">
      <c r="B17" s="21">
        <f>IF(C17="","ACO"&amp;TEXT(COUNTA($C$5:C17),"000"))</f>
        <v/>
      </c>
      <c r="C17" s="21" t="n"/>
      <c r="D17" s="21">
        <f>IF(C17="","",VLOOKUP(C17,'_Données Employés'!$B$5:$S$114,3,FALSE))</f>
        <v/>
      </c>
      <c r="E17" s="21" t="n"/>
      <c r="F17" s="21" t="n"/>
      <c r="G17" s="21" t="n"/>
      <c r="H17" s="21" t="n"/>
      <c r="I17" s="21" t="n"/>
      <c r="J17" s="21" t="n"/>
    </row>
    <row r="18" ht="22" customHeight="1">
      <c r="B18" s="22">
        <f>IF(C18="","ACO"&amp;TEXT(COUNTA($C$5:C18),"000"))</f>
        <v/>
      </c>
      <c r="C18" s="22" t="n"/>
      <c r="D18" s="22">
        <f>IF(C18="","",VLOOKUP(C18,'_Données Employés'!$B$5:$S$114,3,FALSE))</f>
        <v/>
      </c>
      <c r="E18" s="22" t="n"/>
      <c r="F18" s="22" t="n"/>
      <c r="G18" s="22" t="n"/>
      <c r="H18" s="22" t="n"/>
      <c r="I18" s="22" t="n"/>
      <c r="J18" s="22" t="n"/>
    </row>
    <row r="19" ht="22" customHeight="1">
      <c r="B19" s="21">
        <f>IF(C19="","ACO"&amp;TEXT(COUNTA($C$5:C19),"000"))</f>
        <v/>
      </c>
      <c r="C19" s="21" t="n"/>
      <c r="D19" s="21">
        <f>IF(C19="","",VLOOKUP(C19,'_Données Employés'!$B$5:$S$114,3,FALSE))</f>
        <v/>
      </c>
      <c r="E19" s="21" t="n"/>
      <c r="F19" s="21" t="n"/>
      <c r="G19" s="21" t="n"/>
      <c r="H19" s="21" t="n"/>
      <c r="I19" s="21" t="n"/>
      <c r="J19" s="21" t="n"/>
    </row>
    <row r="20" ht="22" customHeight="1">
      <c r="B20" s="22">
        <f>IF(C20="","ACO"&amp;TEXT(COUNTA($C$5:C20),"000"))</f>
        <v/>
      </c>
      <c r="C20" s="22" t="n"/>
      <c r="D20" s="22">
        <f>IF(C20="","",VLOOKUP(C20,'_Données Employés'!$B$5:$S$114,3,FALSE))</f>
        <v/>
      </c>
      <c r="E20" s="22" t="n"/>
      <c r="F20" s="22" t="n"/>
      <c r="G20" s="22" t="n"/>
      <c r="H20" s="22" t="n"/>
      <c r="I20" s="22" t="n"/>
      <c r="J20" s="22" t="n"/>
    </row>
    <row r="21" ht="22" customHeight="1">
      <c r="B21" s="21">
        <f>IF(C21="","ACO"&amp;TEXT(COUNTA($C$5:C21),"000"))</f>
        <v/>
      </c>
      <c r="C21" s="21" t="n"/>
      <c r="D21" s="21">
        <f>IF(C21="","",VLOOKUP(C21,'_Données Employés'!$B$5:$S$114,3,FALSE))</f>
        <v/>
      </c>
      <c r="E21" s="21" t="n"/>
      <c r="F21" s="21" t="n"/>
      <c r="G21" s="21" t="n"/>
      <c r="H21" s="21" t="n"/>
      <c r="I21" s="21" t="n"/>
      <c r="J21" s="21" t="n"/>
    </row>
    <row r="22" ht="22" customHeight="1">
      <c r="B22" s="22">
        <f>IF(C22="","ACO"&amp;TEXT(COUNTA($C$5:C22),"000"))</f>
        <v/>
      </c>
      <c r="C22" s="22" t="n"/>
      <c r="D22" s="22">
        <f>IF(C22="","",VLOOKUP(C22,'_Données Employés'!$B$5:$S$114,3,FALSE))</f>
        <v/>
      </c>
      <c r="E22" s="22" t="n"/>
      <c r="F22" s="22" t="n"/>
      <c r="G22" s="22" t="n"/>
      <c r="H22" s="22" t="n"/>
      <c r="I22" s="22" t="n"/>
      <c r="J22" s="22" t="n"/>
    </row>
    <row r="23" ht="22" customHeight="1">
      <c r="B23" s="21">
        <f>IF(C23="","ACO"&amp;TEXT(COUNTA($C$5:C23),"000"))</f>
        <v/>
      </c>
      <c r="C23" s="21" t="n"/>
      <c r="D23" s="21">
        <f>IF(C23="","",VLOOKUP(C23,'_Données Employés'!$B$5:$S$114,3,FALSE))</f>
        <v/>
      </c>
      <c r="E23" s="21" t="n"/>
      <c r="F23" s="21" t="n"/>
      <c r="G23" s="21" t="n"/>
      <c r="H23" s="21" t="n"/>
      <c r="I23" s="21" t="n"/>
      <c r="J23" s="21" t="n"/>
    </row>
    <row r="24" ht="22" customHeight="1">
      <c r="B24" s="22">
        <f>IF(C24="","ACO"&amp;TEXT(COUNTA($C$5:C24),"000"))</f>
        <v/>
      </c>
      <c r="C24" s="22" t="n"/>
      <c r="D24" s="22">
        <f>IF(C24="","",VLOOKUP(C24,'_Données Employés'!$B$5:$S$114,3,FALSE))</f>
        <v/>
      </c>
      <c r="E24" s="22" t="n"/>
      <c r="F24" s="22" t="n"/>
      <c r="G24" s="22" t="n"/>
      <c r="H24" s="22" t="n"/>
      <c r="I24" s="22" t="n"/>
      <c r="J24" s="22" t="n"/>
    </row>
    <row r="25" ht="22" customHeight="1">
      <c r="B25" s="21">
        <f>IF(C25="","ACO"&amp;TEXT(COUNTA($C$5:C25),"000"))</f>
        <v/>
      </c>
      <c r="C25" s="21" t="n"/>
      <c r="D25" s="21">
        <f>IF(C25="","",VLOOKUP(C25,'_Données Employés'!$B$5:$S$114,3,FALSE))</f>
        <v/>
      </c>
      <c r="E25" s="21" t="n"/>
      <c r="F25" s="21" t="n"/>
      <c r="G25" s="21" t="n"/>
      <c r="H25" s="21" t="n"/>
      <c r="I25" s="21" t="n"/>
      <c r="J25" s="21" t="n"/>
    </row>
    <row r="26" ht="22" customHeight="1">
      <c r="B26" s="22">
        <f>IF(C26="","ACO"&amp;TEXT(COUNTA($C$5:C26),"000"))</f>
        <v/>
      </c>
      <c r="C26" s="22" t="n"/>
      <c r="D26" s="22">
        <f>IF(C26="","",VLOOKUP(C26,'_Données Employés'!$B$5:$S$114,3,FALSE))</f>
        <v/>
      </c>
      <c r="E26" s="22" t="n"/>
      <c r="F26" s="22" t="n"/>
      <c r="G26" s="22" t="n"/>
      <c r="H26" s="22" t="n"/>
      <c r="I26" s="22" t="n"/>
      <c r="J26" s="22" t="n"/>
    </row>
    <row r="27" ht="22" customHeight="1">
      <c r="B27" s="21">
        <f>IF(C27="","ACO"&amp;TEXT(COUNTA($C$5:C27),"000"))</f>
        <v/>
      </c>
      <c r="C27" s="21" t="n"/>
      <c r="D27" s="21">
        <f>IF(C27="","",VLOOKUP(C27,'_Données Employés'!$B$5:$S$114,3,FALSE))</f>
        <v/>
      </c>
      <c r="E27" s="21" t="n"/>
      <c r="F27" s="21" t="n"/>
      <c r="G27" s="21" t="n"/>
      <c r="H27" s="21" t="n"/>
      <c r="I27" s="21" t="n"/>
      <c r="J27" s="21" t="n"/>
    </row>
    <row r="28" ht="22" customHeight="1">
      <c r="B28" s="22">
        <f>IF(C28="","ACO"&amp;TEXT(COUNTA($C$5:C28),"000"))</f>
        <v/>
      </c>
      <c r="C28" s="22" t="n"/>
      <c r="D28" s="22">
        <f>IF(C28="","",VLOOKUP(C28,'_Données Employés'!$B$5:$S$114,3,FALSE))</f>
        <v/>
      </c>
      <c r="E28" s="22" t="n"/>
      <c r="F28" s="22" t="n"/>
      <c r="G28" s="22" t="n"/>
      <c r="H28" s="22" t="n"/>
      <c r="I28" s="22" t="n"/>
      <c r="J28" s="22" t="n"/>
    </row>
    <row r="29" ht="22" customHeight="1">
      <c r="B29" s="21">
        <f>IF(C29="","ACO"&amp;TEXT(COUNTA($C$5:C29),"000"))</f>
        <v/>
      </c>
      <c r="C29" s="21" t="n"/>
      <c r="D29" s="21">
        <f>IF(C29="","",VLOOKUP(C29,'_Données Employés'!$B$5:$S$114,3,FALSE))</f>
        <v/>
      </c>
      <c r="E29" s="21" t="n"/>
      <c r="F29" s="21" t="n"/>
      <c r="G29" s="21" t="n"/>
      <c r="H29" s="21" t="n"/>
      <c r="I29" s="21" t="n"/>
      <c r="J29" s="21" t="n"/>
    </row>
    <row r="30" ht="22" customHeight="1">
      <c r="B30" s="22">
        <f>IF(C30="","ACO"&amp;TEXT(COUNTA($C$5:C30),"000"))</f>
        <v/>
      </c>
      <c r="C30" s="22" t="n"/>
      <c r="D30" s="22">
        <f>IF(C30="","",VLOOKUP(C30,'_Données Employés'!$B$5:$S$114,3,FALSE))</f>
        <v/>
      </c>
      <c r="E30" s="22" t="n"/>
      <c r="F30" s="22" t="n"/>
      <c r="G30" s="22" t="n"/>
      <c r="H30" s="22" t="n"/>
      <c r="I30" s="22" t="n"/>
      <c r="J30" s="22" t="n"/>
    </row>
    <row r="31" ht="22" customHeight="1">
      <c r="B31" s="21">
        <f>IF(C31="","ACO"&amp;TEXT(COUNTA($C$5:C31),"000"))</f>
        <v/>
      </c>
      <c r="C31" s="21" t="n"/>
      <c r="D31" s="21">
        <f>IF(C31="","",VLOOKUP(C31,'_Données Employés'!$B$5:$S$114,3,FALSE))</f>
        <v/>
      </c>
      <c r="E31" s="21" t="n"/>
      <c r="F31" s="21" t="n"/>
      <c r="G31" s="21" t="n"/>
      <c r="H31" s="21" t="n"/>
      <c r="I31" s="21" t="n"/>
      <c r="J31" s="21" t="n"/>
    </row>
    <row r="32" ht="22" customHeight="1">
      <c r="B32" s="22">
        <f>IF(C32="","ACO"&amp;TEXT(COUNTA($C$5:C32),"000"))</f>
        <v/>
      </c>
      <c r="C32" s="22" t="n"/>
      <c r="D32" s="22">
        <f>IF(C32="","",VLOOKUP(C32,'_Données Employés'!$B$5:$S$114,3,FALSE))</f>
        <v/>
      </c>
      <c r="E32" s="22" t="n"/>
      <c r="F32" s="22" t="n"/>
      <c r="G32" s="22" t="n"/>
      <c r="H32" s="22" t="n"/>
      <c r="I32" s="22" t="n"/>
      <c r="J32" s="22" t="n"/>
    </row>
    <row r="33" ht="22" customHeight="1">
      <c r="B33" s="21">
        <f>IF(C33="","ACO"&amp;TEXT(COUNTA($C$5:C33),"000"))</f>
        <v/>
      </c>
      <c r="C33" s="21" t="n"/>
      <c r="D33" s="21">
        <f>IF(C33="","",VLOOKUP(C33,'_Données Employés'!$B$5:$S$114,3,FALSE))</f>
        <v/>
      </c>
      <c r="E33" s="21" t="n"/>
      <c r="F33" s="21" t="n"/>
      <c r="G33" s="21" t="n"/>
      <c r="H33" s="21" t="n"/>
      <c r="I33" s="21" t="n"/>
      <c r="J33" s="21" t="n"/>
    </row>
    <row r="34" ht="22" customHeight="1">
      <c r="B34" s="22">
        <f>IF(C34="","ACO"&amp;TEXT(COUNTA($C$5:C34),"000"))</f>
        <v/>
      </c>
      <c r="C34" s="22" t="n"/>
      <c r="D34" s="22">
        <f>IF(C34="","",VLOOKUP(C34,'_Données Employés'!$B$5:$S$114,3,FALSE))</f>
        <v/>
      </c>
      <c r="E34" s="22" t="n"/>
      <c r="F34" s="22" t="n"/>
      <c r="G34" s="22" t="n"/>
      <c r="H34" s="22" t="n"/>
      <c r="I34" s="22" t="n"/>
      <c r="J34" s="22" t="n"/>
    </row>
    <row r="35" ht="22" customHeight="1">
      <c r="B35" s="21">
        <f>IF(C35="","ACO"&amp;TEXT(COUNTA($C$5:C35),"000"))</f>
        <v/>
      </c>
      <c r="C35" s="21" t="n"/>
      <c r="D35" s="21">
        <f>IF(C35="","",VLOOKUP(C35,'_Données Employés'!$B$5:$S$114,3,FALSE))</f>
        <v/>
      </c>
      <c r="E35" s="21" t="n"/>
      <c r="F35" s="21" t="n"/>
      <c r="G35" s="21" t="n"/>
      <c r="H35" s="21" t="n"/>
      <c r="I35" s="21" t="n"/>
      <c r="J35" s="21" t="n"/>
    </row>
    <row r="36" ht="22" customHeight="1">
      <c r="B36" s="22">
        <f>IF(C36="","ACO"&amp;TEXT(COUNTA($C$5:C36),"000"))</f>
        <v/>
      </c>
      <c r="C36" s="22" t="n"/>
      <c r="D36" s="22">
        <f>IF(C36="","",VLOOKUP(C36,'_Données Employés'!$B$5:$S$114,3,FALSE))</f>
        <v/>
      </c>
      <c r="E36" s="22" t="n"/>
      <c r="F36" s="22" t="n"/>
      <c r="G36" s="22" t="n"/>
      <c r="H36" s="22" t="n"/>
      <c r="I36" s="22" t="n"/>
      <c r="J36" s="22" t="n"/>
    </row>
    <row r="37" ht="22" customHeight="1">
      <c r="B37" s="21">
        <f>IF(C37="","ACO"&amp;TEXT(COUNTA($C$5:C37),"000"))</f>
        <v/>
      </c>
      <c r="C37" s="21" t="n"/>
      <c r="D37" s="21">
        <f>IF(C37="","",VLOOKUP(C37,'_Données Employés'!$B$5:$S$114,3,FALSE))</f>
        <v/>
      </c>
      <c r="E37" s="21" t="n"/>
      <c r="F37" s="21" t="n"/>
      <c r="G37" s="21" t="n"/>
      <c r="H37" s="21" t="n"/>
      <c r="I37" s="21" t="n"/>
      <c r="J37" s="21" t="n"/>
    </row>
    <row r="38" ht="22" customHeight="1">
      <c r="B38" s="22">
        <f>IF(C38="","ACO"&amp;TEXT(COUNTA($C$5:C38),"000"))</f>
        <v/>
      </c>
      <c r="C38" s="22" t="n"/>
      <c r="D38" s="22">
        <f>IF(C38="","",VLOOKUP(C38,'_Données Employés'!$B$5:$S$114,3,FALSE))</f>
        <v/>
      </c>
      <c r="E38" s="22" t="n"/>
      <c r="F38" s="22" t="n"/>
      <c r="G38" s="22" t="n"/>
      <c r="H38" s="22" t="n"/>
      <c r="I38" s="22" t="n"/>
      <c r="J38" s="22" t="n"/>
    </row>
    <row r="39" ht="22" customHeight="1">
      <c r="B39" s="21">
        <f>IF(C39="","ACO"&amp;TEXT(COUNTA($C$5:C39),"000"))</f>
        <v/>
      </c>
      <c r="C39" s="21" t="n"/>
      <c r="D39" s="21">
        <f>IF(C39="","",VLOOKUP(C39,'_Données Employés'!$B$5:$S$114,3,FALSE))</f>
        <v/>
      </c>
      <c r="E39" s="21" t="n"/>
      <c r="F39" s="21" t="n"/>
      <c r="G39" s="21" t="n"/>
      <c r="H39" s="21" t="n"/>
      <c r="I39" s="21" t="n"/>
      <c r="J39" s="21" t="n"/>
    </row>
    <row r="40" ht="22" customHeight="1">
      <c r="B40" s="22">
        <f>IF(C40="","ACO"&amp;TEXT(COUNTA($C$5:C40),"000"))</f>
        <v/>
      </c>
      <c r="C40" s="22" t="n"/>
      <c r="D40" s="22">
        <f>IF(C40="","",VLOOKUP(C40,'_Données Employés'!$B$5:$S$114,3,FALSE))</f>
        <v/>
      </c>
      <c r="E40" s="22" t="n"/>
      <c r="F40" s="22" t="n"/>
      <c r="G40" s="22" t="n"/>
      <c r="H40" s="22" t="n"/>
      <c r="I40" s="22" t="n"/>
      <c r="J40" s="22" t="n"/>
    </row>
    <row r="41" ht="22" customHeight="1">
      <c r="B41" s="21">
        <f>IF(C41="","ACO"&amp;TEXT(COUNTA($C$5:C41),"000"))</f>
        <v/>
      </c>
      <c r="C41" s="21" t="n"/>
      <c r="D41" s="21">
        <f>IF(C41="","",VLOOKUP(C41,'_Données Employés'!$B$5:$S$114,3,FALSE))</f>
        <v/>
      </c>
      <c r="E41" s="21" t="n"/>
      <c r="F41" s="21" t="n"/>
      <c r="G41" s="21" t="n"/>
      <c r="H41" s="21" t="n"/>
      <c r="I41" s="21" t="n"/>
      <c r="J41" s="21" t="n"/>
    </row>
    <row r="42" ht="22" customHeight="1">
      <c r="B42" s="22">
        <f>IF(C42="","ACO"&amp;TEXT(COUNTA($C$5:C42),"000"))</f>
        <v/>
      </c>
      <c r="C42" s="22" t="n"/>
      <c r="D42" s="22">
        <f>IF(C42="","",VLOOKUP(C42,'_Données Employés'!$B$5:$S$114,3,FALSE))</f>
        <v/>
      </c>
      <c r="E42" s="22" t="n"/>
      <c r="F42" s="22" t="n"/>
      <c r="G42" s="22" t="n"/>
      <c r="H42" s="22" t="n"/>
      <c r="I42" s="22" t="n"/>
      <c r="J42" s="22" t="n"/>
    </row>
    <row r="43" ht="22" customHeight="1">
      <c r="B43" s="21">
        <f>IF(C43="","ACO"&amp;TEXT(COUNTA($C$5:C43),"000"))</f>
        <v/>
      </c>
      <c r="C43" s="21" t="n"/>
      <c r="D43" s="21">
        <f>IF(C43="","",VLOOKUP(C43,'_Données Employés'!$B$5:$S$114,3,FALSE))</f>
        <v/>
      </c>
      <c r="E43" s="21" t="n"/>
      <c r="F43" s="21" t="n"/>
      <c r="G43" s="21" t="n"/>
      <c r="H43" s="21" t="n"/>
      <c r="I43" s="21" t="n"/>
      <c r="J43" s="21" t="n"/>
    </row>
    <row r="44" ht="22" customHeight="1">
      <c r="B44" s="22">
        <f>IF(C44="","ACO"&amp;TEXT(COUNTA($C$5:C44),"000"))</f>
        <v/>
      </c>
      <c r="C44" s="22" t="n"/>
      <c r="D44" s="22">
        <f>IF(C44="","",VLOOKUP(C44,'_Données Employés'!$B$5:$S$114,3,FALSE))</f>
        <v/>
      </c>
      <c r="E44" s="22" t="n"/>
      <c r="F44" s="22" t="n"/>
      <c r="G44" s="22" t="n"/>
      <c r="H44" s="22" t="n"/>
      <c r="I44" s="22" t="n"/>
      <c r="J44" s="22" t="n"/>
    </row>
    <row r="45" ht="22" customHeight="1">
      <c r="B45" s="21">
        <f>IF(C45="","ACO"&amp;TEXT(COUNTA($C$5:C45),"000"))</f>
        <v/>
      </c>
      <c r="C45" s="21" t="n"/>
      <c r="D45" s="21">
        <f>IF(C45="","",VLOOKUP(C45,'_Données Employés'!$B$5:$S$114,3,FALSE))</f>
        <v/>
      </c>
      <c r="E45" s="21" t="n"/>
      <c r="F45" s="21" t="n"/>
      <c r="G45" s="21" t="n"/>
      <c r="H45" s="21" t="n"/>
      <c r="I45" s="21" t="n"/>
      <c r="J45" s="21" t="n"/>
    </row>
    <row r="46" ht="22" customHeight="1">
      <c r="B46" s="22">
        <f>IF(C46="","ACO"&amp;TEXT(COUNTA($C$5:C46),"000"))</f>
        <v/>
      </c>
      <c r="C46" s="22" t="n"/>
      <c r="D46" s="22">
        <f>IF(C46="","",VLOOKUP(C46,'_Données Employés'!$B$5:$S$114,3,FALSE))</f>
        <v/>
      </c>
      <c r="E46" s="22" t="n"/>
      <c r="F46" s="22" t="n"/>
      <c r="G46" s="22" t="n"/>
      <c r="H46" s="22" t="n"/>
      <c r="I46" s="22" t="n"/>
      <c r="J46" s="22" t="n"/>
    </row>
    <row r="47" ht="22" customHeight="1">
      <c r="B47" s="21">
        <f>IF(C47="","ACO"&amp;TEXT(COUNTA($C$5:C47),"000"))</f>
        <v/>
      </c>
      <c r="C47" s="21" t="n"/>
      <c r="D47" s="21">
        <f>IF(C47="","",VLOOKUP(C47,'_Données Employés'!$B$5:$S$114,3,FALSE))</f>
        <v/>
      </c>
      <c r="E47" s="21" t="n"/>
      <c r="F47" s="21" t="n"/>
      <c r="G47" s="21" t="n"/>
      <c r="H47" s="21" t="n"/>
      <c r="I47" s="21" t="n"/>
      <c r="J47" s="21" t="n"/>
    </row>
    <row r="48" ht="22" customHeight="1">
      <c r="B48" s="22">
        <f>IF(C48="","ACO"&amp;TEXT(COUNTA($C$5:C48),"000"))</f>
        <v/>
      </c>
      <c r="C48" s="22" t="n"/>
      <c r="D48" s="22">
        <f>IF(C48="","",VLOOKUP(C48,'_Données Employés'!$B$5:$S$114,3,FALSE))</f>
        <v/>
      </c>
      <c r="E48" s="22" t="n"/>
      <c r="F48" s="22" t="n"/>
      <c r="G48" s="22" t="n"/>
      <c r="H48" s="22" t="n"/>
      <c r="I48" s="22" t="n"/>
      <c r="J48" s="22" t="n"/>
    </row>
    <row r="49" ht="22" customHeight="1">
      <c r="B49" s="21">
        <f>IF(C49="","ACO"&amp;TEXT(COUNTA($C$5:C49),"000"))</f>
        <v/>
      </c>
      <c r="C49" s="21" t="n"/>
      <c r="D49" s="21">
        <f>IF(C49="","",VLOOKUP(C49,'_Données Employés'!$B$5:$S$114,3,FALSE))</f>
        <v/>
      </c>
      <c r="E49" s="21" t="n"/>
      <c r="F49" s="21" t="n"/>
      <c r="G49" s="21" t="n"/>
      <c r="H49" s="21" t="n"/>
      <c r="I49" s="21" t="n"/>
      <c r="J49" s="21" t="n"/>
    </row>
    <row r="50" ht="22" customHeight="1">
      <c r="B50" s="22">
        <f>IF(C50="","ACO"&amp;TEXT(COUNTA($C$5:C50),"000"))</f>
        <v/>
      </c>
      <c r="C50" s="22" t="n"/>
      <c r="D50" s="22">
        <f>IF(C50="","",VLOOKUP(C50,'_Données Employés'!$B$5:$S$114,3,FALSE))</f>
        <v/>
      </c>
      <c r="E50" s="22" t="n"/>
      <c r="F50" s="22" t="n"/>
      <c r="G50" s="22" t="n"/>
      <c r="H50" s="22" t="n"/>
      <c r="I50" s="22" t="n"/>
      <c r="J50" s="22" t="n"/>
    </row>
    <row r="51" ht="22" customHeight="1">
      <c r="B51" s="21">
        <f>IF(C51="","ACO"&amp;TEXT(COUNTA($C$5:C51),"000"))</f>
        <v/>
      </c>
      <c r="C51" s="21" t="n"/>
      <c r="D51" s="21">
        <f>IF(C51="","",VLOOKUP(C51,'_Données Employés'!$B$5:$S$114,3,FALSE))</f>
        <v/>
      </c>
      <c r="E51" s="21" t="n"/>
      <c r="F51" s="21" t="n"/>
      <c r="G51" s="21" t="n"/>
      <c r="H51" s="21" t="n"/>
      <c r="I51" s="21" t="n"/>
      <c r="J51" s="21" t="n"/>
    </row>
    <row r="52" ht="22" customHeight="1">
      <c r="B52" s="22">
        <f>IF(C52="","ACO"&amp;TEXT(COUNTA($C$5:C52),"000"))</f>
        <v/>
      </c>
      <c r="C52" s="22" t="n"/>
      <c r="D52" s="22">
        <f>IF(C52="","",VLOOKUP(C52,'_Données Employés'!$B$5:$S$114,3,FALSE))</f>
        <v/>
      </c>
      <c r="E52" s="22" t="n"/>
      <c r="F52" s="22" t="n"/>
      <c r="G52" s="22" t="n"/>
      <c r="H52" s="22" t="n"/>
      <c r="I52" s="22" t="n"/>
      <c r="J52" s="22" t="n"/>
    </row>
    <row r="53" ht="22" customHeight="1">
      <c r="B53" s="21">
        <f>IF(C53="","ACO"&amp;TEXT(COUNTA($C$5:C53),"000"))</f>
        <v/>
      </c>
      <c r="C53" s="21" t="n"/>
      <c r="D53" s="21">
        <f>IF(C53="","",VLOOKUP(C53,'_Données Employés'!$B$5:$S$114,3,FALSE))</f>
        <v/>
      </c>
      <c r="E53" s="21" t="n"/>
      <c r="F53" s="21" t="n"/>
      <c r="G53" s="21" t="n"/>
      <c r="H53" s="21" t="n"/>
      <c r="I53" s="21" t="n"/>
      <c r="J53" s="21" t="n"/>
    </row>
    <row r="54" ht="22" customHeight="1">
      <c r="B54" s="22">
        <f>IF(C54="","ACO"&amp;TEXT(COUNTA($C$5:C54),"000"))</f>
        <v/>
      </c>
      <c r="C54" s="22" t="n"/>
      <c r="D54" s="22">
        <f>IF(C54="","",VLOOKUP(C54,'_Données Employés'!$B$5:$S$114,3,FALSE))</f>
        <v/>
      </c>
      <c r="E54" s="22" t="n"/>
      <c r="F54" s="22" t="n"/>
      <c r="G54" s="22" t="n"/>
      <c r="H54" s="22" t="n"/>
      <c r="I54" s="22" t="n"/>
      <c r="J54" s="22" t="n"/>
    </row>
    <row r="55" ht="22" customHeight="1">
      <c r="B55" s="21">
        <f>IF(C55="","ACO"&amp;TEXT(COUNTA($C$5:C55),"000"))</f>
        <v/>
      </c>
      <c r="C55" s="21" t="n"/>
      <c r="D55" s="21">
        <f>IF(C55="","",VLOOKUP(C55,'_Données Employés'!$B$5:$S$114,3,FALSE))</f>
        <v/>
      </c>
      <c r="E55" s="21" t="n"/>
      <c r="F55" s="21" t="n"/>
      <c r="G55" s="21" t="n"/>
      <c r="H55" s="21" t="n"/>
      <c r="I55" s="21" t="n"/>
      <c r="J55" s="21" t="n"/>
    </row>
    <row r="56" ht="22" customHeight="1">
      <c r="B56" s="22">
        <f>IF(C56="","ACO"&amp;TEXT(COUNTA($C$5:C56),"000"))</f>
        <v/>
      </c>
      <c r="C56" s="22" t="n"/>
      <c r="D56" s="22">
        <f>IF(C56="","",VLOOKUP(C56,'_Données Employés'!$B$5:$S$114,3,FALSE))</f>
        <v/>
      </c>
      <c r="E56" s="22" t="n"/>
      <c r="F56" s="22" t="n"/>
      <c r="G56" s="22" t="n"/>
      <c r="H56" s="22" t="n"/>
      <c r="I56" s="22" t="n"/>
      <c r="J56" s="22" t="n"/>
    </row>
    <row r="57" ht="22" customHeight="1">
      <c r="B57" s="21">
        <f>IF(C57="","ACO"&amp;TEXT(COUNTA($C$5:C57),"000"))</f>
        <v/>
      </c>
      <c r="C57" s="21" t="n"/>
      <c r="D57" s="21">
        <f>IF(C57="","",VLOOKUP(C57,'_Données Employés'!$B$5:$S$114,3,FALSE))</f>
        <v/>
      </c>
      <c r="E57" s="21" t="n"/>
      <c r="F57" s="21" t="n"/>
      <c r="G57" s="21" t="n"/>
      <c r="H57" s="21" t="n"/>
      <c r="I57" s="21" t="n"/>
      <c r="J57" s="21" t="n"/>
    </row>
    <row r="58" ht="22" customHeight="1">
      <c r="B58" s="22">
        <f>IF(C58="","ACO"&amp;TEXT(COUNTA($C$5:C58),"000"))</f>
        <v/>
      </c>
      <c r="C58" s="22" t="n"/>
      <c r="D58" s="22">
        <f>IF(C58="","",VLOOKUP(C58,'_Données Employés'!$B$5:$S$114,3,FALSE))</f>
        <v/>
      </c>
      <c r="E58" s="22" t="n"/>
      <c r="F58" s="22" t="n"/>
      <c r="G58" s="22" t="n"/>
      <c r="H58" s="22" t="n"/>
      <c r="I58" s="22" t="n"/>
      <c r="J58" s="22" t="n"/>
    </row>
    <row r="59" ht="22" customHeight="1">
      <c r="B59" s="21">
        <f>IF(C59="","ACO"&amp;TEXT(COUNTA($C$5:C59),"000"))</f>
        <v/>
      </c>
      <c r="C59" s="21" t="n"/>
      <c r="D59" s="21">
        <f>IF(C59="","",VLOOKUP(C59,'_Données Employés'!$B$5:$S$114,3,FALSE))</f>
        <v/>
      </c>
      <c r="E59" s="21" t="n"/>
      <c r="F59" s="21" t="n"/>
      <c r="G59" s="21" t="n"/>
      <c r="H59" s="21" t="n"/>
      <c r="I59" s="21" t="n"/>
      <c r="J59" s="21" t="n"/>
    </row>
    <row r="60" ht="22" customHeight="1">
      <c r="B60" s="22">
        <f>IF(C60="","ACO"&amp;TEXT(COUNTA($C$5:C60),"000"))</f>
        <v/>
      </c>
      <c r="C60" s="22" t="n"/>
      <c r="D60" s="22">
        <f>IF(C60="","",VLOOKUP(C60,'_Données Employés'!$B$5:$S$114,3,FALSE))</f>
        <v/>
      </c>
      <c r="E60" s="22" t="n"/>
      <c r="F60" s="22" t="n"/>
      <c r="G60" s="22" t="n"/>
      <c r="H60" s="22" t="n"/>
      <c r="I60" s="22" t="n"/>
      <c r="J60" s="22" t="n"/>
    </row>
    <row r="61" ht="22" customHeight="1">
      <c r="B61" s="21">
        <f>IF(C61="","ACO"&amp;TEXT(COUNTA($C$5:C61),"000"))</f>
        <v/>
      </c>
      <c r="C61" s="21" t="n"/>
      <c r="D61" s="21">
        <f>IF(C61="","",VLOOKUP(C61,'_Données Employés'!$B$5:$S$114,3,FALSE))</f>
        <v/>
      </c>
      <c r="E61" s="21" t="n"/>
      <c r="F61" s="21" t="n"/>
      <c r="G61" s="21" t="n"/>
      <c r="H61" s="21" t="n"/>
      <c r="I61" s="21" t="n"/>
      <c r="J61" s="21" t="n"/>
    </row>
    <row r="62" ht="22" customHeight="1">
      <c r="B62" s="22">
        <f>IF(C62="","ACO"&amp;TEXT(COUNTA($C$5:C62),"000"))</f>
        <v/>
      </c>
      <c r="C62" s="22" t="n"/>
      <c r="D62" s="22">
        <f>IF(C62="","",VLOOKUP(C62,'_Données Employés'!$B$5:$S$114,3,FALSE))</f>
        <v/>
      </c>
      <c r="E62" s="22" t="n"/>
      <c r="F62" s="22" t="n"/>
      <c r="G62" s="22" t="n"/>
      <c r="H62" s="22" t="n"/>
      <c r="I62" s="22" t="n"/>
      <c r="J62" s="22" t="n"/>
    </row>
    <row r="63" ht="22" customHeight="1">
      <c r="B63" s="21">
        <f>IF(C63="","ACO"&amp;TEXT(COUNTA($C$5:C63),"000"))</f>
        <v/>
      </c>
      <c r="C63" s="21" t="n"/>
      <c r="D63" s="21">
        <f>IF(C63="","",VLOOKUP(C63,'_Données Employés'!$B$5:$S$114,3,FALSE))</f>
        <v/>
      </c>
      <c r="E63" s="21" t="n"/>
      <c r="F63" s="21" t="n"/>
      <c r="G63" s="21" t="n"/>
      <c r="H63" s="21" t="n"/>
      <c r="I63" s="21" t="n"/>
      <c r="J63" s="21" t="n"/>
    </row>
    <row r="64" ht="22" customHeight="1">
      <c r="B64" s="22">
        <f>IF(C64="","ACO"&amp;TEXT(COUNTA($C$5:C64),"000"))</f>
        <v/>
      </c>
      <c r="C64" s="22" t="n"/>
      <c r="D64" s="22">
        <f>IF(C64="","",VLOOKUP(C64,'_Données Employés'!$B$5:$S$114,3,FALSE))</f>
        <v/>
      </c>
      <c r="E64" s="22" t="n"/>
      <c r="F64" s="22" t="n"/>
      <c r="G64" s="22" t="n"/>
      <c r="H64" s="22" t="n"/>
      <c r="I64" s="22" t="n"/>
      <c r="J64" s="22" t="n"/>
    </row>
    <row r="65" ht="22" customHeight="1">
      <c r="B65" s="21">
        <f>IF(C65="","ACO"&amp;TEXT(COUNTA($C$5:C65),"000"))</f>
        <v/>
      </c>
      <c r="C65" s="21" t="n"/>
      <c r="D65" s="21">
        <f>IF(C65="","",VLOOKUP(C65,'_Données Employés'!$B$5:$S$114,3,FALSE))</f>
        <v/>
      </c>
      <c r="E65" s="21" t="n"/>
      <c r="F65" s="21" t="n"/>
      <c r="G65" s="21" t="n"/>
      <c r="H65" s="21" t="n"/>
      <c r="I65" s="21" t="n"/>
      <c r="J65" s="21" t="n"/>
    </row>
    <row r="66" ht="22" customHeight="1">
      <c r="B66" s="22">
        <f>IF(C66="","ACO"&amp;TEXT(COUNTA($C$5:C66),"000"))</f>
        <v/>
      </c>
      <c r="C66" s="22" t="n"/>
      <c r="D66" s="22">
        <f>IF(C66="","",VLOOKUP(C66,'_Données Employés'!$B$5:$S$114,3,FALSE))</f>
        <v/>
      </c>
      <c r="E66" s="22" t="n"/>
      <c r="F66" s="22" t="n"/>
      <c r="G66" s="22" t="n"/>
      <c r="H66" s="22" t="n"/>
      <c r="I66" s="22" t="n"/>
      <c r="J66" s="22" t="n"/>
    </row>
    <row r="67" ht="22" customHeight="1">
      <c r="B67" s="21">
        <f>IF(C67="","ACO"&amp;TEXT(COUNTA($C$5:C67),"000"))</f>
        <v/>
      </c>
      <c r="C67" s="21" t="n"/>
      <c r="D67" s="21">
        <f>IF(C67="","",VLOOKUP(C67,'_Données Employés'!$B$5:$S$114,3,FALSE))</f>
        <v/>
      </c>
      <c r="E67" s="21" t="n"/>
      <c r="F67" s="21" t="n"/>
      <c r="G67" s="21" t="n"/>
      <c r="H67" s="21" t="n"/>
      <c r="I67" s="21" t="n"/>
      <c r="J67" s="21" t="n"/>
    </row>
    <row r="68" ht="22" customHeight="1">
      <c r="B68" s="22">
        <f>IF(C68="","ACO"&amp;TEXT(COUNTA($C$5:C68),"000"))</f>
        <v/>
      </c>
      <c r="C68" s="22" t="n"/>
      <c r="D68" s="22">
        <f>IF(C68="","",VLOOKUP(C68,'_Données Employés'!$B$5:$S$114,3,FALSE))</f>
        <v/>
      </c>
      <c r="E68" s="22" t="n"/>
      <c r="F68" s="22" t="n"/>
      <c r="G68" s="22" t="n"/>
      <c r="H68" s="22" t="n"/>
      <c r="I68" s="22" t="n"/>
      <c r="J68" s="22" t="n"/>
    </row>
    <row r="69" ht="22" customHeight="1">
      <c r="B69" s="21">
        <f>IF(C69="","ACO"&amp;TEXT(COUNTA($C$5:C69),"000"))</f>
        <v/>
      </c>
      <c r="C69" s="21" t="n"/>
      <c r="D69" s="21">
        <f>IF(C69="","",VLOOKUP(C69,'_Données Employés'!$B$5:$S$114,3,FALSE))</f>
        <v/>
      </c>
      <c r="E69" s="21" t="n"/>
      <c r="F69" s="21" t="n"/>
      <c r="G69" s="21" t="n"/>
      <c r="H69" s="21" t="n"/>
      <c r="I69" s="21" t="n"/>
      <c r="J69" s="21" t="n"/>
    </row>
    <row r="70" ht="22" customHeight="1">
      <c r="B70" s="22">
        <f>IF(C70="","ACO"&amp;TEXT(COUNTA($C$5:C70),"000"))</f>
        <v/>
      </c>
      <c r="C70" s="22" t="n"/>
      <c r="D70" s="22">
        <f>IF(C70="","",VLOOKUP(C70,'_Données Employés'!$B$5:$S$114,3,FALSE))</f>
        <v/>
      </c>
      <c r="E70" s="22" t="n"/>
      <c r="F70" s="22" t="n"/>
      <c r="G70" s="22" t="n"/>
      <c r="H70" s="22" t="n"/>
      <c r="I70" s="22" t="n"/>
      <c r="J70" s="22" t="n"/>
    </row>
    <row r="71" ht="22" customHeight="1">
      <c r="B71" s="21">
        <f>IF(C71="","ACO"&amp;TEXT(COUNTA($C$5:C71),"000"))</f>
        <v/>
      </c>
      <c r="C71" s="21" t="n"/>
      <c r="D71" s="21">
        <f>IF(C71="","",VLOOKUP(C71,'_Données Employés'!$B$5:$S$114,3,FALSE))</f>
        <v/>
      </c>
      <c r="E71" s="21" t="n"/>
      <c r="F71" s="21" t="n"/>
      <c r="G71" s="21" t="n"/>
      <c r="H71" s="21" t="n"/>
      <c r="I71" s="21" t="n"/>
      <c r="J71" s="21" t="n"/>
    </row>
    <row r="72" ht="22" customHeight="1">
      <c r="B72" s="22">
        <f>IF(C72="","ACO"&amp;TEXT(COUNTA($C$5:C72),"000"))</f>
        <v/>
      </c>
      <c r="C72" s="22" t="n"/>
      <c r="D72" s="22">
        <f>IF(C72="","",VLOOKUP(C72,'_Données Employés'!$B$5:$S$114,3,FALSE))</f>
        <v/>
      </c>
      <c r="E72" s="22" t="n"/>
      <c r="F72" s="22" t="n"/>
      <c r="G72" s="22" t="n"/>
      <c r="H72" s="22" t="n"/>
      <c r="I72" s="22" t="n"/>
      <c r="J72" s="22" t="n"/>
    </row>
    <row r="73" ht="22" customHeight="1">
      <c r="B73" s="21">
        <f>IF(C73="","ACO"&amp;TEXT(COUNTA($C$5:C73),"000"))</f>
        <v/>
      </c>
      <c r="C73" s="21" t="n"/>
      <c r="D73" s="21">
        <f>IF(C73="","",VLOOKUP(C73,'_Données Employés'!$B$5:$S$114,3,FALSE))</f>
        <v/>
      </c>
      <c r="E73" s="21" t="n"/>
      <c r="F73" s="21" t="n"/>
      <c r="G73" s="21" t="n"/>
      <c r="H73" s="21" t="n"/>
      <c r="I73" s="21" t="n"/>
      <c r="J73" s="21" t="n"/>
    </row>
    <row r="74" ht="22" customHeight="1">
      <c r="B74" s="22">
        <f>IF(C74="","ACO"&amp;TEXT(COUNTA($C$5:C74),"000"))</f>
        <v/>
      </c>
      <c r="C74" s="22" t="n"/>
      <c r="D74" s="22">
        <f>IF(C74="","",VLOOKUP(C74,'_Données Employés'!$B$5:$S$114,3,FALSE))</f>
        <v/>
      </c>
      <c r="E74" s="22" t="n"/>
      <c r="F74" s="22" t="n"/>
      <c r="G74" s="22" t="n"/>
      <c r="H74" s="22" t="n"/>
      <c r="I74" s="22" t="n"/>
      <c r="J74" s="22" t="n"/>
    </row>
    <row r="75" ht="22" customHeight="1">
      <c r="B75" s="21">
        <f>IF(C75="","ACO"&amp;TEXT(COUNTA($C$5:C75),"000"))</f>
        <v/>
      </c>
      <c r="C75" s="21" t="n"/>
      <c r="D75" s="21">
        <f>IF(C75="","",VLOOKUP(C75,'_Données Employés'!$B$5:$S$114,3,FALSE))</f>
        <v/>
      </c>
      <c r="E75" s="21" t="n"/>
      <c r="F75" s="21" t="n"/>
      <c r="G75" s="21" t="n"/>
      <c r="H75" s="21" t="n"/>
      <c r="I75" s="21" t="n"/>
      <c r="J75" s="21" t="n"/>
    </row>
    <row r="76" ht="22" customHeight="1">
      <c r="B76" s="22">
        <f>IF(C76="","ACO"&amp;TEXT(COUNTA($C$5:C76),"000"))</f>
        <v/>
      </c>
      <c r="C76" s="22" t="n"/>
      <c r="D76" s="22">
        <f>IF(C76="","",VLOOKUP(C76,'_Données Employés'!$B$5:$S$114,3,FALSE))</f>
        <v/>
      </c>
      <c r="E76" s="22" t="n"/>
      <c r="F76" s="22" t="n"/>
      <c r="G76" s="22" t="n"/>
      <c r="H76" s="22" t="n"/>
      <c r="I76" s="22" t="n"/>
      <c r="J76" s="22" t="n"/>
    </row>
    <row r="77" ht="22" customHeight="1">
      <c r="B77" s="21">
        <f>IF(C77="","ACO"&amp;TEXT(COUNTA($C$5:C77),"000"))</f>
        <v/>
      </c>
      <c r="C77" s="21" t="n"/>
      <c r="D77" s="21">
        <f>IF(C77="","",VLOOKUP(C77,'_Données Employés'!$B$5:$S$114,3,FALSE))</f>
        <v/>
      </c>
      <c r="E77" s="21" t="n"/>
      <c r="F77" s="21" t="n"/>
      <c r="G77" s="21" t="n"/>
      <c r="H77" s="21" t="n"/>
      <c r="I77" s="21" t="n"/>
      <c r="J77" s="21" t="n"/>
    </row>
    <row r="78" ht="22" customHeight="1">
      <c r="B78" s="22">
        <f>IF(C78="","ACO"&amp;TEXT(COUNTA($C$5:C78),"000"))</f>
        <v/>
      </c>
      <c r="C78" s="22" t="n"/>
      <c r="D78" s="22">
        <f>IF(C78="","",VLOOKUP(C78,'_Données Employés'!$B$5:$S$114,3,FALSE))</f>
        <v/>
      </c>
      <c r="E78" s="22" t="n"/>
      <c r="F78" s="22" t="n"/>
      <c r="G78" s="22" t="n"/>
      <c r="H78" s="22" t="n"/>
      <c r="I78" s="22" t="n"/>
      <c r="J78" s="22" t="n"/>
    </row>
    <row r="79" ht="22" customHeight="1">
      <c r="B79" s="21">
        <f>IF(C79="","ACO"&amp;TEXT(COUNTA($C$5:C79),"000"))</f>
        <v/>
      </c>
      <c r="C79" s="21" t="n"/>
      <c r="D79" s="21">
        <f>IF(C79="","",VLOOKUP(C79,'_Données Employés'!$B$5:$S$114,3,FALSE))</f>
        <v/>
      </c>
      <c r="E79" s="21" t="n"/>
      <c r="F79" s="21" t="n"/>
      <c r="G79" s="21" t="n"/>
      <c r="H79" s="21" t="n"/>
      <c r="I79" s="21" t="n"/>
      <c r="J79" s="21" t="n"/>
    </row>
    <row r="80" ht="22" customHeight="1">
      <c r="B80" s="22">
        <f>IF(C80="","ACO"&amp;TEXT(COUNTA($C$5:C80),"000"))</f>
        <v/>
      </c>
      <c r="C80" s="22" t="n"/>
      <c r="D80" s="22">
        <f>IF(C80="","",VLOOKUP(C80,'_Données Employés'!$B$5:$S$114,3,FALSE))</f>
        <v/>
      </c>
      <c r="E80" s="22" t="n"/>
      <c r="F80" s="22" t="n"/>
      <c r="G80" s="22" t="n"/>
      <c r="H80" s="22" t="n"/>
      <c r="I80" s="22" t="n"/>
      <c r="J80" s="22" t="n"/>
    </row>
    <row r="81" ht="22" customHeight="1">
      <c r="B81" s="21">
        <f>IF(C81="","ACO"&amp;TEXT(COUNTA($C$5:C81),"000"))</f>
        <v/>
      </c>
      <c r="C81" s="21" t="n"/>
      <c r="D81" s="21">
        <f>IF(C81="","",VLOOKUP(C81,'_Données Employés'!$B$5:$S$114,3,FALSE))</f>
        <v/>
      </c>
      <c r="E81" s="21" t="n"/>
      <c r="F81" s="21" t="n"/>
      <c r="G81" s="21" t="n"/>
      <c r="H81" s="21" t="n"/>
      <c r="I81" s="21" t="n"/>
      <c r="J81" s="21" t="n"/>
    </row>
    <row r="82" ht="22" customHeight="1">
      <c r="B82" s="22">
        <f>IF(C82="","ACO"&amp;TEXT(COUNTA($C$5:C82),"000"))</f>
        <v/>
      </c>
      <c r="C82" s="22" t="n"/>
      <c r="D82" s="22">
        <f>IF(C82="","",VLOOKUP(C82,'_Données Employés'!$B$5:$S$114,3,FALSE))</f>
        <v/>
      </c>
      <c r="E82" s="22" t="n"/>
      <c r="F82" s="22" t="n"/>
      <c r="G82" s="22" t="n"/>
      <c r="H82" s="22" t="n"/>
      <c r="I82" s="22" t="n"/>
      <c r="J82" s="22" t="n"/>
    </row>
    <row r="83" ht="22" customHeight="1">
      <c r="B83" s="21">
        <f>IF(C83="","ACO"&amp;TEXT(COUNTA($C$5:C83),"000"))</f>
        <v/>
      </c>
      <c r="C83" s="21" t="n"/>
      <c r="D83" s="21">
        <f>IF(C83="","",VLOOKUP(C83,'_Données Employés'!$B$5:$S$114,3,FALSE))</f>
        <v/>
      </c>
      <c r="E83" s="21" t="n"/>
      <c r="F83" s="21" t="n"/>
      <c r="G83" s="21" t="n"/>
      <c r="H83" s="21" t="n"/>
      <c r="I83" s="21" t="n"/>
      <c r="J83" s="21" t="n"/>
    </row>
    <row r="84" ht="22" customHeight="1">
      <c r="B84" s="22">
        <f>IF(C84="","ACO"&amp;TEXT(COUNTA($C$5:C84),"000"))</f>
        <v/>
      </c>
      <c r="C84" s="22" t="n"/>
      <c r="D84" s="22">
        <f>IF(C84="","",VLOOKUP(C84,'_Données Employés'!$B$5:$S$114,3,FALSE))</f>
        <v/>
      </c>
      <c r="E84" s="22" t="n"/>
      <c r="F84" s="22" t="n"/>
      <c r="G84" s="22" t="n"/>
      <c r="H84" s="22" t="n"/>
      <c r="I84" s="22" t="n"/>
      <c r="J84" s="22" t="n"/>
    </row>
    <row r="85" ht="22" customHeight="1">
      <c r="B85" s="21">
        <f>IF(C85="","ACO"&amp;TEXT(COUNTA($C$5:C85),"000"))</f>
        <v/>
      </c>
      <c r="C85" s="21" t="n"/>
      <c r="D85" s="21">
        <f>IF(C85="","",VLOOKUP(C85,'_Données Employés'!$B$5:$S$114,3,FALSE))</f>
        <v/>
      </c>
      <c r="E85" s="21" t="n"/>
      <c r="F85" s="21" t="n"/>
      <c r="G85" s="21" t="n"/>
      <c r="H85" s="21" t="n"/>
      <c r="I85" s="21" t="n"/>
      <c r="J85" s="21" t="n"/>
    </row>
    <row r="86" ht="22" customHeight="1">
      <c r="B86" s="22">
        <f>IF(C86="","ACO"&amp;TEXT(COUNTA($C$5:C86),"000"))</f>
        <v/>
      </c>
      <c r="C86" s="22" t="n"/>
      <c r="D86" s="22">
        <f>IF(C86="","",VLOOKUP(C86,'_Données Employés'!$B$5:$S$114,3,FALSE))</f>
        <v/>
      </c>
      <c r="E86" s="22" t="n"/>
      <c r="F86" s="22" t="n"/>
      <c r="G86" s="22" t="n"/>
      <c r="H86" s="22" t="n"/>
      <c r="I86" s="22" t="n"/>
      <c r="J86" s="22" t="n"/>
    </row>
    <row r="87" ht="22" customHeight="1">
      <c r="B87" s="21">
        <f>IF(C87="","ACO"&amp;TEXT(COUNTA($C$5:C87),"000"))</f>
        <v/>
      </c>
      <c r="C87" s="21" t="n"/>
      <c r="D87" s="21">
        <f>IF(C87="","",VLOOKUP(C87,'_Données Employés'!$B$5:$S$114,3,FALSE))</f>
        <v/>
      </c>
      <c r="E87" s="21" t="n"/>
      <c r="F87" s="21" t="n"/>
      <c r="G87" s="21" t="n"/>
      <c r="H87" s="21" t="n"/>
      <c r="I87" s="21" t="n"/>
      <c r="J87" s="21" t="n"/>
    </row>
    <row r="88" ht="22" customHeight="1">
      <c r="B88" s="22">
        <f>IF(C88="","ACO"&amp;TEXT(COUNTA($C$5:C88),"000"))</f>
        <v/>
      </c>
      <c r="C88" s="22" t="n"/>
      <c r="D88" s="22">
        <f>IF(C88="","",VLOOKUP(C88,'_Données Employés'!$B$5:$S$114,3,FALSE))</f>
        <v/>
      </c>
      <c r="E88" s="22" t="n"/>
      <c r="F88" s="22" t="n"/>
      <c r="G88" s="22" t="n"/>
      <c r="H88" s="22" t="n"/>
      <c r="I88" s="22" t="n"/>
      <c r="J88" s="22" t="n"/>
    </row>
    <row r="89" ht="22" customHeight="1">
      <c r="B89" s="21">
        <f>IF(C89="","ACO"&amp;TEXT(COUNTA($C$5:C89),"000"))</f>
        <v/>
      </c>
      <c r="C89" s="21" t="n"/>
      <c r="D89" s="21">
        <f>IF(C89="","",VLOOKUP(C89,'_Données Employés'!$B$5:$S$114,3,FALSE))</f>
        <v/>
      </c>
      <c r="E89" s="21" t="n"/>
      <c r="F89" s="21" t="n"/>
      <c r="G89" s="21" t="n"/>
      <c r="H89" s="21" t="n"/>
      <c r="I89" s="21" t="n"/>
      <c r="J89" s="21" t="n"/>
    </row>
    <row r="90" ht="22" customHeight="1">
      <c r="B90" s="22">
        <f>IF(C90="","ACO"&amp;TEXT(COUNTA($C$5:C90),"000"))</f>
        <v/>
      </c>
      <c r="C90" s="22" t="n"/>
      <c r="D90" s="22">
        <f>IF(C90="","",VLOOKUP(C90,'_Données Employés'!$B$5:$S$114,3,FALSE))</f>
        <v/>
      </c>
      <c r="E90" s="22" t="n"/>
      <c r="F90" s="22" t="n"/>
      <c r="G90" s="22" t="n"/>
      <c r="H90" s="22" t="n"/>
      <c r="I90" s="22" t="n"/>
      <c r="J90" s="22" t="n"/>
    </row>
    <row r="91" ht="22" customHeight="1">
      <c r="B91" s="21">
        <f>IF(C91="","ACO"&amp;TEXT(COUNTA($C$5:C91),"000"))</f>
        <v/>
      </c>
      <c r="C91" s="21" t="n"/>
      <c r="D91" s="21">
        <f>IF(C91="","",VLOOKUP(C91,'_Données Employés'!$B$5:$S$114,3,FALSE))</f>
        <v/>
      </c>
      <c r="E91" s="21" t="n"/>
      <c r="F91" s="21" t="n"/>
      <c r="G91" s="21" t="n"/>
      <c r="H91" s="21" t="n"/>
      <c r="I91" s="21" t="n"/>
      <c r="J91" s="21" t="n"/>
    </row>
    <row r="92" ht="22" customHeight="1">
      <c r="B92" s="22">
        <f>IF(C92="","ACO"&amp;TEXT(COUNTA($C$5:C92),"000"))</f>
        <v/>
      </c>
      <c r="C92" s="22" t="n"/>
      <c r="D92" s="22">
        <f>IF(C92="","",VLOOKUP(C92,'_Données Employés'!$B$5:$S$114,3,FALSE))</f>
        <v/>
      </c>
      <c r="E92" s="22" t="n"/>
      <c r="F92" s="22" t="n"/>
      <c r="G92" s="22" t="n"/>
      <c r="H92" s="22" t="n"/>
      <c r="I92" s="22" t="n"/>
      <c r="J92" s="22" t="n"/>
    </row>
    <row r="93" ht="22" customHeight="1">
      <c r="B93" s="21">
        <f>IF(C93="","ACO"&amp;TEXT(COUNTA($C$5:C93),"000"))</f>
        <v/>
      </c>
      <c r="C93" s="21" t="n"/>
      <c r="D93" s="21">
        <f>IF(C93="","",VLOOKUP(C93,'_Données Employés'!$B$5:$S$114,3,FALSE))</f>
        <v/>
      </c>
      <c r="E93" s="21" t="n"/>
      <c r="F93" s="21" t="n"/>
      <c r="G93" s="21" t="n"/>
      <c r="H93" s="21" t="n"/>
      <c r="I93" s="21" t="n"/>
      <c r="J93" s="21" t="n"/>
    </row>
    <row r="94" ht="22" customHeight="1">
      <c r="B94" s="22">
        <f>IF(C94="","ACO"&amp;TEXT(COUNTA($C$5:C94),"000"))</f>
        <v/>
      </c>
      <c r="C94" s="22" t="n"/>
      <c r="D94" s="22">
        <f>IF(C94="","",VLOOKUP(C94,'_Données Employés'!$B$5:$S$114,3,FALSE))</f>
        <v/>
      </c>
      <c r="E94" s="22" t="n"/>
      <c r="F94" s="22" t="n"/>
      <c r="G94" s="22" t="n"/>
      <c r="H94" s="22" t="n"/>
      <c r="I94" s="22" t="n"/>
      <c r="J94" s="22" t="n"/>
    </row>
    <row r="95" ht="22" customHeight="1">
      <c r="B95" s="21">
        <f>IF(C95="","ACO"&amp;TEXT(COUNTA($C$5:C95),"000"))</f>
        <v/>
      </c>
      <c r="C95" s="21" t="n"/>
      <c r="D95" s="21">
        <f>IF(C95="","",VLOOKUP(C95,'_Données Employés'!$B$5:$S$114,3,FALSE))</f>
        <v/>
      </c>
      <c r="E95" s="21" t="n"/>
      <c r="F95" s="21" t="n"/>
      <c r="G95" s="21" t="n"/>
      <c r="H95" s="21" t="n"/>
      <c r="I95" s="21" t="n"/>
      <c r="J95" s="21" t="n"/>
    </row>
    <row r="96" ht="22" customHeight="1">
      <c r="B96" s="22">
        <f>IF(C96="","ACO"&amp;TEXT(COUNTA($C$5:C96),"000"))</f>
        <v/>
      </c>
      <c r="C96" s="22" t="n"/>
      <c r="D96" s="22">
        <f>IF(C96="","",VLOOKUP(C96,'_Données Employés'!$B$5:$S$114,3,FALSE))</f>
        <v/>
      </c>
      <c r="E96" s="22" t="n"/>
      <c r="F96" s="22" t="n"/>
      <c r="G96" s="22" t="n"/>
      <c r="H96" s="22" t="n"/>
      <c r="I96" s="22" t="n"/>
      <c r="J96" s="22" t="n"/>
    </row>
    <row r="97" ht="22" customHeight="1">
      <c r="B97" s="21">
        <f>IF(C97="","ACO"&amp;TEXT(COUNTA($C$5:C97),"000"))</f>
        <v/>
      </c>
      <c r="C97" s="21" t="n"/>
      <c r="D97" s="21">
        <f>IF(C97="","",VLOOKUP(C97,'_Données Employés'!$B$5:$S$114,3,FALSE))</f>
        <v/>
      </c>
      <c r="E97" s="21" t="n"/>
      <c r="F97" s="21" t="n"/>
      <c r="G97" s="21" t="n"/>
      <c r="H97" s="21" t="n"/>
      <c r="I97" s="21" t="n"/>
      <c r="J97" s="21" t="n"/>
    </row>
    <row r="98" ht="22" customHeight="1">
      <c r="B98" s="22">
        <f>IF(C98="","ACO"&amp;TEXT(COUNTA($C$5:C98),"000"))</f>
        <v/>
      </c>
      <c r="C98" s="22" t="n"/>
      <c r="D98" s="22">
        <f>IF(C98="","",VLOOKUP(C98,'_Données Employés'!$B$5:$S$114,3,FALSE))</f>
        <v/>
      </c>
      <c r="E98" s="22" t="n"/>
      <c r="F98" s="22" t="n"/>
      <c r="G98" s="22" t="n"/>
      <c r="H98" s="22" t="n"/>
      <c r="I98" s="22" t="n"/>
      <c r="J98" s="22" t="n"/>
    </row>
    <row r="99" ht="22" customHeight="1">
      <c r="B99" s="21">
        <f>IF(C99="","ACO"&amp;TEXT(COUNTA($C$5:C99),"000"))</f>
        <v/>
      </c>
      <c r="C99" s="21" t="n"/>
      <c r="D99" s="21">
        <f>IF(C99="","",VLOOKUP(C99,'_Données Employés'!$B$5:$S$114,3,FALSE))</f>
        <v/>
      </c>
      <c r="E99" s="21" t="n"/>
      <c r="F99" s="21" t="n"/>
      <c r="G99" s="21" t="n"/>
      <c r="H99" s="21" t="n"/>
      <c r="I99" s="21" t="n"/>
      <c r="J99" s="21" t="n"/>
    </row>
    <row r="100" ht="22" customHeight="1">
      <c r="B100" s="22">
        <f>IF(C100="","ACO"&amp;TEXT(COUNTA($C$5:C100),"000"))</f>
        <v/>
      </c>
      <c r="C100" s="22" t="n"/>
      <c r="D100" s="22">
        <f>IF(C100="","",VLOOKUP(C100,'_Données Employés'!$B$5:$S$114,3,FALSE))</f>
        <v/>
      </c>
      <c r="E100" s="22" t="n"/>
      <c r="F100" s="22" t="n"/>
      <c r="G100" s="22" t="n"/>
      <c r="H100" s="22" t="n"/>
      <c r="I100" s="22" t="n"/>
      <c r="J100" s="22" t="n"/>
    </row>
    <row r="101" ht="22" customHeight="1">
      <c r="B101" s="21">
        <f>IF(C101="","ACO"&amp;TEXT(COUNTA($C$5:C101),"000"))</f>
        <v/>
      </c>
      <c r="C101" s="21" t="n"/>
      <c r="D101" s="21">
        <f>IF(C101="","",VLOOKUP(C101,'_Données Employés'!$B$5:$S$114,3,FALSE))</f>
        <v/>
      </c>
      <c r="E101" s="21" t="n"/>
      <c r="F101" s="21" t="n"/>
      <c r="G101" s="21" t="n"/>
      <c r="H101" s="21" t="n"/>
      <c r="I101" s="21" t="n"/>
      <c r="J101" s="21" t="n"/>
    </row>
    <row r="102" ht="22" customHeight="1">
      <c r="B102" s="22">
        <f>IF(C102="","ACO"&amp;TEXT(COUNTA($C$5:C102),"000"))</f>
        <v/>
      </c>
      <c r="C102" s="22" t="n"/>
      <c r="D102" s="22">
        <f>IF(C102="","",VLOOKUP(C102,'_Données Employés'!$B$5:$S$114,3,FALSE))</f>
        <v/>
      </c>
      <c r="E102" s="22" t="n"/>
      <c r="F102" s="22" t="n"/>
      <c r="G102" s="22" t="n"/>
      <c r="H102" s="22" t="n"/>
      <c r="I102" s="22" t="n"/>
      <c r="J102" s="22" t="n"/>
    </row>
    <row r="103" ht="22" customHeight="1">
      <c r="B103" s="21">
        <f>IF(C103="","ACO"&amp;TEXT(COUNTA($C$5:C103),"000"))</f>
        <v/>
      </c>
      <c r="C103" s="21" t="n"/>
      <c r="D103" s="21">
        <f>IF(C103="","",VLOOKUP(C103,'_Données Employés'!$B$5:$S$114,3,FALSE))</f>
        <v/>
      </c>
      <c r="E103" s="21" t="n"/>
      <c r="F103" s="21" t="n"/>
      <c r="G103" s="21" t="n"/>
      <c r="H103" s="21" t="n"/>
      <c r="I103" s="21" t="n"/>
      <c r="J103" s="21" t="n"/>
    </row>
    <row r="104" ht="22" customHeight="1">
      <c r="B104" s="22">
        <f>IF(C104="","ACO"&amp;TEXT(COUNTA($C$5:C104),"000"))</f>
        <v/>
      </c>
      <c r="C104" s="22" t="n"/>
      <c r="D104" s="22">
        <f>IF(C104="","",VLOOKUP(C104,'_Données Employés'!$B$5:$S$114,3,FALSE))</f>
        <v/>
      </c>
      <c r="E104" s="22" t="n"/>
      <c r="F104" s="22" t="n"/>
      <c r="G104" s="22" t="n"/>
      <c r="H104" s="22" t="n"/>
      <c r="I104" s="22" t="n"/>
      <c r="J104" s="22" t="n"/>
    </row>
    <row r="107">
      <c r="B107" s="23" t="inlineStr">
        <is>
          <t>KPI Total accordé (FCFA)</t>
        </is>
      </c>
      <c r="C107" s="23" t="inlineStr">
        <is>
          <t>KPI Acomptes en attente</t>
        </is>
      </c>
    </row>
    <row r="108">
      <c r="B108" s="25">
        <f>SUM(F5:F104)</f>
        <v/>
      </c>
      <c r="C108" s="24">
        <f>COUNTIF(I5:I104,"En attente")</f>
        <v/>
      </c>
    </row>
  </sheetData>
  <mergeCells count="1">
    <mergeCell ref="B2:J2"/>
  </mergeCells>
  <conditionalFormatting sqref="J5:J104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"Solde"</formula>
    </cfRule>
    <cfRule type="cellIs" priority="4" operator="equal" dxfId="1">
      <formula>"Actif"</formula>
    </cfRule>
    <cfRule type="cellIs" priority="5" operator="equal" dxfId="1">
      <formula>"Oui"</formula>
    </cfRule>
    <cfRule type="cellIs" priority="6" operator="equal" dxfId="2">
      <formula>"Rejete"</formula>
    </cfRule>
    <cfRule type="cellIs" priority="7" operator="equal" dxfId="2">
      <formula>"En retard"</formula>
    </cfRule>
    <cfRule type="cellIs" priority="8" operator="equal" dxfId="2">
      <formula>"Refuse"</formula>
    </cfRule>
    <cfRule type="cellIs" priority="9" operator="equal" dxfId="2">
      <formula>"Annule"</formula>
    </cfRule>
    <cfRule type="cellIs" priority="10" operator="equal" dxfId="2">
      <formula>"Non"</formula>
    </cfRule>
    <cfRule type="cellIs" priority="11" operator="equal" dxfId="3">
      <formula>"En attente"</formula>
    </cfRule>
    <cfRule type="cellIs" priority="12" operator="equal" dxfId="3">
      <formula>"En cours"</formula>
    </cfRule>
    <cfRule type="cellIs" priority="13" operator="equal" dxfId="3">
      <formula>"Brouillon"</formula>
    </cfRule>
    <cfRule type="cellIs" priority="14" operator="equal" dxfId="3">
      <formula>"Demande"</formula>
    </cfRule>
    <cfRule type="cellIs" priority="15" operator="equal" dxfId="3">
      <formula>"Partiellement monetise"</formula>
    </cfRule>
  </conditionalFormatting>
  <conditionalFormatting sqref="F5:F104">
    <cfRule type="dataBar" priority="16">
      <dataBar>
        <cfvo type="num" val="0"/>
        <cfvo type="num" val="1"/>
        <color rgb="001B2A4A"/>
      </dataBar>
    </cfRule>
  </conditionalFormatting>
  <conditionalFormatting sqref="G5:G104">
    <cfRule type="dataBar" priority="17">
      <dataBar>
        <cfvo type="num" val="0"/>
        <cfvo type="num" val="1"/>
        <color rgb="001B2A4A"/>
      </dataBar>
    </cfRule>
  </conditionalFormatting>
  <conditionalFormatting sqref="B108">
    <cfRule type="cellIs" priority="18" operator="greaterThan" dxfId="0">
      <formula>0</formula>
    </cfRule>
  </conditionalFormatting>
  <conditionalFormatting sqref="C108">
    <cfRule type="cellIs" priority="19" operator="greaterThan" dxfId="0">
      <formula>0</formula>
    </cfRule>
  </conditionalFormatting>
  <dataValidations count="3">
    <dataValidation sqref="E5:E104" showDropDown="0" showInputMessage="0" showErrorMessage="0" allowBlank="1" type="list">
      <formula1>'_Lists'!$T$2:$T$4</formula1>
    </dataValidation>
    <dataValidation sqref="J5:J104" showDropDown="0" showInputMessage="0" showErrorMessage="0" allowBlank="1" type="list">
      <formula1>'_Lists'!$N$2:$N$5</formula1>
    </dataValidation>
    <dataValidation sqref="C5:C104" showDropDown="0" showInputMessage="0" showErrorMessage="0" allowBlank="1" promptTitle="Matricule Employé" prompt="Choisir un matricule" type="list">
      <formula1>'_Données Employés'!$B$5:$B$114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L10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18" customWidth="1" min="4" max="4"/>
    <col width="16" customWidth="1" min="5" max="5"/>
    <col width="16" customWidth="1" min="6" max="6"/>
    <col width="14" customWidth="1" min="7" max="7"/>
    <col width="12" customWidth="1" min="8" max="8"/>
    <col width="16" customWidth="1" min="9" max="9"/>
    <col width="18" customWidth="1" min="10" max="10"/>
    <col width="18" customWidth="1" min="11" max="11"/>
    <col width="10" customWidth="1" min="12" max="12"/>
  </cols>
  <sheetData>
    <row r="1" ht="15" customHeight="1"/>
    <row r="2" ht="32" customHeight="1">
      <c r="B2" s="13" t="inlineStr">
        <is>
          <t>PAIE — 8-Prets Personnel</t>
        </is>
      </c>
    </row>
    <row r="3" ht="8" customHeight="1"/>
    <row r="4" ht="28" customHeight="1">
      <c r="B4" s="14" t="inlineStr">
        <is>
          <t>N°</t>
        </is>
      </c>
      <c r="C4" s="14" t="inlineStr">
        <is>
          <t>Matricule</t>
        </is>
      </c>
      <c r="D4" s="14" t="inlineStr">
        <is>
          <t>Nom Employé</t>
        </is>
      </c>
      <c r="E4" s="14" t="inlineStr">
        <is>
          <t>Type Prêt</t>
        </is>
      </c>
      <c r="F4" s="14" t="inlineStr">
        <is>
          <t>Montant (FCFA)</t>
        </is>
      </c>
      <c r="G4" s="14" t="inlineStr">
        <is>
          <t>Taux Intérêt (%)</t>
        </is>
      </c>
      <c r="H4" s="14" t="inlineStr">
        <is>
          <t>Durée (mois)</t>
        </is>
      </c>
      <c r="I4" s="14" t="inlineStr">
        <is>
          <t>Mensualité (FCFA)</t>
        </is>
      </c>
      <c r="J4" s="14" t="inlineStr">
        <is>
          <t>Total Remboursé (FCFA)</t>
        </is>
      </c>
      <c r="K4" s="14" t="inlineStr">
        <is>
          <t>Capital Restant (FCFA)</t>
        </is>
      </c>
      <c r="L4" s="14" t="inlineStr">
        <is>
          <t>Statut</t>
        </is>
      </c>
    </row>
    <row r="5" ht="22" customHeight="1">
      <c r="B5" s="15" t="inlineStr">
        <is>
          <t>PRET-001</t>
        </is>
      </c>
      <c r="C5" s="15" t="inlineStr">
        <is>
          <t>EMP-003</t>
        </is>
      </c>
      <c r="D5" s="15" t="inlineStr">
        <is>
          <t>Fotso Marguerite</t>
        </is>
      </c>
      <c r="E5" s="15" t="inlineStr">
        <is>
          <t>Pret logement</t>
        </is>
      </c>
      <c r="F5" s="16" t="n">
        <v>500000</v>
      </c>
      <c r="G5" s="16" t="n">
        <v>2</v>
      </c>
      <c r="H5" s="16" t="n">
        <v>24</v>
      </c>
      <c r="I5" s="16" t="n">
        <v>21540</v>
      </c>
      <c r="J5" s="16" t="n">
        <v>516960</v>
      </c>
      <c r="K5" s="16" t="n">
        <v>483040</v>
      </c>
      <c r="L5" s="15" t="inlineStr">
        <is>
          <t>En cours</t>
        </is>
      </c>
    </row>
    <row r="6" ht="22" customHeight="1">
      <c r="B6" s="17" t="inlineStr">
        <is>
          <t>PRET-002</t>
        </is>
      </c>
      <c r="C6" s="17" t="inlineStr">
        <is>
          <t>EMP-001</t>
        </is>
      </c>
      <c r="D6" s="17" t="inlineStr">
        <is>
          <t>Nganou Clarisse</t>
        </is>
      </c>
      <c r="E6" s="17" t="inlineStr">
        <is>
          <t>Pret social</t>
        </is>
      </c>
      <c r="F6" s="18" t="n">
        <v>200000</v>
      </c>
      <c r="G6" s="18" t="n">
        <v>1.5</v>
      </c>
      <c r="H6" s="18" t="n">
        <v>12</v>
      </c>
      <c r="I6" s="18" t="n">
        <v>16928</v>
      </c>
      <c r="J6" s="18" t="n">
        <v>203136</v>
      </c>
      <c r="K6" s="18" t="n">
        <v>196864</v>
      </c>
      <c r="L6" s="17" t="inlineStr">
        <is>
          <t>En cours</t>
        </is>
      </c>
    </row>
    <row r="7" ht="22" customHeight="1">
      <c r="B7" s="19">
        <f>IF(C7="","PRET"&amp;TEXT(COUNTA($C$5:C7),"000"))</f>
        <v/>
      </c>
      <c r="C7" s="19" t="n"/>
      <c r="D7" s="19">
        <f>IF(C7="","",VLOOKUP(C7,'_Données Employés'!$B$5:$S$114,3,FALSE))</f>
        <v/>
      </c>
      <c r="E7" s="19" t="n"/>
      <c r="F7" s="19" t="n"/>
      <c r="G7" s="19" t="n"/>
      <c r="H7" s="19" t="n"/>
      <c r="I7" s="20">
        <f>IF(OR(F7="",G7=""),"",IFERROR((F7*(1+G7/100*H7/12))/H7,0))</f>
        <v/>
      </c>
      <c r="J7" s="19" t="n"/>
      <c r="K7" s="20">
        <f>IF(F7="","",IFERROR(F7-I7,0))</f>
        <v/>
      </c>
      <c r="L7" s="19" t="n"/>
    </row>
    <row r="8" ht="22" customHeight="1">
      <c r="B8" s="22">
        <f>IF(C8="","PRET"&amp;TEXT(COUNTA($C$5:C8),"000"))</f>
        <v/>
      </c>
      <c r="C8" s="22" t="n"/>
      <c r="D8" s="22">
        <f>IF(C8="","",VLOOKUP(C8,'_Données Employés'!$B$5:$S$114,3,FALSE))</f>
        <v/>
      </c>
      <c r="E8" s="22" t="n"/>
      <c r="F8" s="22" t="n"/>
      <c r="G8" s="22" t="n"/>
      <c r="H8" s="22" t="n"/>
      <c r="I8" s="18">
        <f>IF(OR(F8="",G8=""),"",IFERROR((F8*(1+G8/100*H8/12))/H8,0))</f>
        <v/>
      </c>
      <c r="J8" s="22" t="n"/>
      <c r="K8" s="18">
        <f>IF(F8="","",IFERROR(F8-I8,0))</f>
        <v/>
      </c>
      <c r="L8" s="22" t="n"/>
    </row>
    <row r="9" ht="22" customHeight="1">
      <c r="B9" s="21">
        <f>IF(C9="","PRET"&amp;TEXT(COUNTA($C$5:C9),"000"))</f>
        <v/>
      </c>
      <c r="C9" s="21" t="n"/>
      <c r="D9" s="21">
        <f>IF(C9="","",VLOOKUP(C9,'_Données Employés'!$B$5:$S$114,3,FALSE))</f>
        <v/>
      </c>
      <c r="E9" s="21" t="n"/>
      <c r="F9" s="21" t="n"/>
      <c r="G9" s="21" t="n"/>
      <c r="H9" s="21" t="n"/>
      <c r="I9" s="16">
        <f>IF(OR(F9="",G9=""),"",IFERROR((F9*(1+G9/100*H9/12))/H9,0))</f>
        <v/>
      </c>
      <c r="J9" s="21" t="n"/>
      <c r="K9" s="16">
        <f>IF(F9="","",IFERROR(F9-I9,0))</f>
        <v/>
      </c>
      <c r="L9" s="21" t="n"/>
    </row>
    <row r="10" ht="22" customHeight="1">
      <c r="B10" s="22">
        <f>IF(C10="","PRET"&amp;TEXT(COUNTA($C$5:C10),"000"))</f>
        <v/>
      </c>
      <c r="C10" s="22" t="n"/>
      <c r="D10" s="22">
        <f>IF(C10="","",VLOOKUP(C10,'_Données Employés'!$B$5:$S$114,3,FALSE))</f>
        <v/>
      </c>
      <c r="E10" s="22" t="n"/>
      <c r="F10" s="22" t="n"/>
      <c r="G10" s="22" t="n"/>
      <c r="H10" s="22" t="n"/>
      <c r="I10" s="18">
        <f>IF(OR(F10="",G10=""),"",IFERROR((F10*(1+G10/100*H10/12))/H10,0))</f>
        <v/>
      </c>
      <c r="J10" s="22" t="n"/>
      <c r="K10" s="18">
        <f>IF(F10="","",IFERROR(F10-I10,0))</f>
        <v/>
      </c>
      <c r="L10" s="22" t="n"/>
    </row>
    <row r="11" ht="22" customHeight="1">
      <c r="B11" s="21">
        <f>IF(C11="","PRET"&amp;TEXT(COUNTA($C$5:C11),"000"))</f>
        <v/>
      </c>
      <c r="C11" s="21" t="n"/>
      <c r="D11" s="21">
        <f>IF(C11="","",VLOOKUP(C11,'_Données Employés'!$B$5:$S$114,3,FALSE))</f>
        <v/>
      </c>
      <c r="E11" s="21" t="n"/>
      <c r="F11" s="21" t="n"/>
      <c r="G11" s="21" t="n"/>
      <c r="H11" s="21" t="n"/>
      <c r="I11" s="16">
        <f>IF(OR(F11="",G11=""),"",IFERROR((F11*(1+G11/100*H11/12))/H11,0))</f>
        <v/>
      </c>
      <c r="J11" s="21" t="n"/>
      <c r="K11" s="16">
        <f>IF(F11="","",IFERROR(F11-I11,0))</f>
        <v/>
      </c>
      <c r="L11" s="21" t="n"/>
    </row>
    <row r="12" ht="22" customHeight="1">
      <c r="B12" s="22">
        <f>IF(C12="","PRET"&amp;TEXT(COUNTA($C$5:C12),"000"))</f>
        <v/>
      </c>
      <c r="C12" s="22" t="n"/>
      <c r="D12" s="22">
        <f>IF(C12="","",VLOOKUP(C12,'_Données Employés'!$B$5:$S$114,3,FALSE))</f>
        <v/>
      </c>
      <c r="E12" s="22" t="n"/>
      <c r="F12" s="22" t="n"/>
      <c r="G12" s="22" t="n"/>
      <c r="H12" s="22" t="n"/>
      <c r="I12" s="18">
        <f>IF(OR(F12="",G12=""),"",IFERROR((F12*(1+G12/100*H12/12))/H12,0))</f>
        <v/>
      </c>
      <c r="J12" s="22" t="n"/>
      <c r="K12" s="18">
        <f>IF(F12="","",IFERROR(F12-I12,0))</f>
        <v/>
      </c>
      <c r="L12" s="22" t="n"/>
    </row>
    <row r="13" ht="22" customHeight="1">
      <c r="B13" s="21">
        <f>IF(C13="","PRET"&amp;TEXT(COUNTA($C$5:C13),"000"))</f>
        <v/>
      </c>
      <c r="C13" s="21" t="n"/>
      <c r="D13" s="21">
        <f>IF(C13="","",VLOOKUP(C13,'_Données Employés'!$B$5:$S$114,3,FALSE))</f>
        <v/>
      </c>
      <c r="E13" s="21" t="n"/>
      <c r="F13" s="21" t="n"/>
      <c r="G13" s="21" t="n"/>
      <c r="H13" s="21" t="n"/>
      <c r="I13" s="16">
        <f>IF(OR(F13="",G13=""),"",IFERROR((F13*(1+G13/100*H13/12))/H13,0))</f>
        <v/>
      </c>
      <c r="J13" s="21" t="n"/>
      <c r="K13" s="16">
        <f>IF(F13="","",IFERROR(F13-I13,0))</f>
        <v/>
      </c>
      <c r="L13" s="21" t="n"/>
    </row>
    <row r="14" ht="22" customHeight="1">
      <c r="B14" s="22">
        <f>IF(C14="","PRET"&amp;TEXT(COUNTA($C$5:C14),"000"))</f>
        <v/>
      </c>
      <c r="C14" s="22" t="n"/>
      <c r="D14" s="22">
        <f>IF(C14="","",VLOOKUP(C14,'_Données Employés'!$B$5:$S$114,3,FALSE))</f>
        <v/>
      </c>
      <c r="E14" s="22" t="n"/>
      <c r="F14" s="22" t="n"/>
      <c r="G14" s="22" t="n"/>
      <c r="H14" s="22" t="n"/>
      <c r="I14" s="18">
        <f>IF(OR(F14="",G14=""),"",IFERROR((F14*(1+G14/100*H14/12))/H14,0))</f>
        <v/>
      </c>
      <c r="J14" s="22" t="n"/>
      <c r="K14" s="18">
        <f>IF(F14="","",IFERROR(F14-I14,0))</f>
        <v/>
      </c>
      <c r="L14" s="22" t="n"/>
    </row>
    <row r="15" ht="22" customHeight="1">
      <c r="B15" s="21">
        <f>IF(C15="","PRET"&amp;TEXT(COUNTA($C$5:C15),"000"))</f>
        <v/>
      </c>
      <c r="C15" s="21" t="n"/>
      <c r="D15" s="21">
        <f>IF(C15="","",VLOOKUP(C15,'_Données Employés'!$B$5:$S$114,3,FALSE))</f>
        <v/>
      </c>
      <c r="E15" s="21" t="n"/>
      <c r="F15" s="21" t="n"/>
      <c r="G15" s="21" t="n"/>
      <c r="H15" s="21" t="n"/>
      <c r="I15" s="16">
        <f>IF(OR(F15="",G15=""),"",IFERROR((F15*(1+G15/100*H15/12))/H15,0))</f>
        <v/>
      </c>
      <c r="J15" s="21" t="n"/>
      <c r="K15" s="16">
        <f>IF(F15="","",IFERROR(F15-I15,0))</f>
        <v/>
      </c>
      <c r="L15" s="21" t="n"/>
    </row>
    <row r="16" ht="22" customHeight="1">
      <c r="B16" s="22">
        <f>IF(C16="","PRET"&amp;TEXT(COUNTA($C$5:C16),"000"))</f>
        <v/>
      </c>
      <c r="C16" s="22" t="n"/>
      <c r="D16" s="22">
        <f>IF(C16="","",VLOOKUP(C16,'_Données Employés'!$B$5:$S$114,3,FALSE))</f>
        <v/>
      </c>
      <c r="E16" s="22" t="n"/>
      <c r="F16" s="22" t="n"/>
      <c r="G16" s="22" t="n"/>
      <c r="H16" s="22" t="n"/>
      <c r="I16" s="18">
        <f>IF(OR(F16="",G16=""),"",IFERROR((F16*(1+G16/100*H16/12))/H16,0))</f>
        <v/>
      </c>
      <c r="J16" s="22" t="n"/>
      <c r="K16" s="18">
        <f>IF(F16="","",IFERROR(F16-I16,0))</f>
        <v/>
      </c>
      <c r="L16" s="22" t="n"/>
    </row>
    <row r="17" ht="22" customHeight="1">
      <c r="B17" s="21">
        <f>IF(C17="","PRET"&amp;TEXT(COUNTA($C$5:C17),"000"))</f>
        <v/>
      </c>
      <c r="C17" s="21" t="n"/>
      <c r="D17" s="21">
        <f>IF(C17="","",VLOOKUP(C17,'_Données Employés'!$B$5:$S$114,3,FALSE))</f>
        <v/>
      </c>
      <c r="E17" s="21" t="n"/>
      <c r="F17" s="21" t="n"/>
      <c r="G17" s="21" t="n"/>
      <c r="H17" s="21" t="n"/>
      <c r="I17" s="16">
        <f>IF(OR(F17="",G17=""),"",IFERROR((F17*(1+G17/100*H17/12))/H17,0))</f>
        <v/>
      </c>
      <c r="J17" s="21" t="n"/>
      <c r="K17" s="16">
        <f>IF(F17="","",IFERROR(F17-I17,0))</f>
        <v/>
      </c>
      <c r="L17" s="21" t="n"/>
    </row>
    <row r="18" ht="22" customHeight="1">
      <c r="B18" s="22">
        <f>IF(C18="","PRET"&amp;TEXT(COUNTA($C$5:C18),"000"))</f>
        <v/>
      </c>
      <c r="C18" s="22" t="n"/>
      <c r="D18" s="22">
        <f>IF(C18="","",VLOOKUP(C18,'_Données Employés'!$B$5:$S$114,3,FALSE))</f>
        <v/>
      </c>
      <c r="E18" s="22" t="n"/>
      <c r="F18" s="22" t="n"/>
      <c r="G18" s="22" t="n"/>
      <c r="H18" s="22" t="n"/>
      <c r="I18" s="18">
        <f>IF(OR(F18="",G18=""),"",IFERROR((F18*(1+G18/100*H18/12))/H18,0))</f>
        <v/>
      </c>
      <c r="J18" s="22" t="n"/>
      <c r="K18" s="18">
        <f>IF(F18="","",IFERROR(F18-I18,0))</f>
        <v/>
      </c>
      <c r="L18" s="22" t="n"/>
    </row>
    <row r="19" ht="22" customHeight="1">
      <c r="B19" s="21">
        <f>IF(C19="","PRET"&amp;TEXT(COUNTA($C$5:C19),"000"))</f>
        <v/>
      </c>
      <c r="C19" s="21" t="n"/>
      <c r="D19" s="21">
        <f>IF(C19="","",VLOOKUP(C19,'_Données Employés'!$B$5:$S$114,3,FALSE))</f>
        <v/>
      </c>
      <c r="E19" s="21" t="n"/>
      <c r="F19" s="21" t="n"/>
      <c r="G19" s="21" t="n"/>
      <c r="H19" s="21" t="n"/>
      <c r="I19" s="16">
        <f>IF(OR(F19="",G19=""),"",IFERROR((F19*(1+G19/100*H19/12))/H19,0))</f>
        <v/>
      </c>
      <c r="J19" s="21" t="n"/>
      <c r="K19" s="16">
        <f>IF(F19="","",IFERROR(F19-I19,0))</f>
        <v/>
      </c>
      <c r="L19" s="21" t="n"/>
    </row>
    <row r="20" ht="22" customHeight="1">
      <c r="B20" s="22">
        <f>IF(C20="","PRET"&amp;TEXT(COUNTA($C$5:C20),"000"))</f>
        <v/>
      </c>
      <c r="C20" s="22" t="n"/>
      <c r="D20" s="22">
        <f>IF(C20="","",VLOOKUP(C20,'_Données Employés'!$B$5:$S$114,3,FALSE))</f>
        <v/>
      </c>
      <c r="E20" s="22" t="n"/>
      <c r="F20" s="22" t="n"/>
      <c r="G20" s="22" t="n"/>
      <c r="H20" s="22" t="n"/>
      <c r="I20" s="18">
        <f>IF(OR(F20="",G20=""),"",IFERROR((F20*(1+G20/100*H20/12))/H20,0))</f>
        <v/>
      </c>
      <c r="J20" s="22" t="n"/>
      <c r="K20" s="18">
        <f>IF(F20="","",IFERROR(F20-I20,0))</f>
        <v/>
      </c>
      <c r="L20" s="22" t="n"/>
    </row>
    <row r="21" ht="22" customHeight="1">
      <c r="B21" s="21">
        <f>IF(C21="","PRET"&amp;TEXT(COUNTA($C$5:C21),"000"))</f>
        <v/>
      </c>
      <c r="C21" s="21" t="n"/>
      <c r="D21" s="21">
        <f>IF(C21="","",VLOOKUP(C21,'_Données Employés'!$B$5:$S$114,3,FALSE))</f>
        <v/>
      </c>
      <c r="E21" s="21" t="n"/>
      <c r="F21" s="21" t="n"/>
      <c r="G21" s="21" t="n"/>
      <c r="H21" s="21" t="n"/>
      <c r="I21" s="16">
        <f>IF(OR(F21="",G21=""),"",IFERROR((F21*(1+G21/100*H21/12))/H21,0))</f>
        <v/>
      </c>
      <c r="J21" s="21" t="n"/>
      <c r="K21" s="16">
        <f>IF(F21="","",IFERROR(F21-I21,0))</f>
        <v/>
      </c>
      <c r="L21" s="21" t="n"/>
    </row>
    <row r="22" ht="22" customHeight="1">
      <c r="B22" s="22">
        <f>IF(C22="","PRET"&amp;TEXT(COUNTA($C$5:C22),"000"))</f>
        <v/>
      </c>
      <c r="C22" s="22" t="n"/>
      <c r="D22" s="22">
        <f>IF(C22="","",VLOOKUP(C22,'_Données Employés'!$B$5:$S$114,3,FALSE))</f>
        <v/>
      </c>
      <c r="E22" s="22" t="n"/>
      <c r="F22" s="22" t="n"/>
      <c r="G22" s="22" t="n"/>
      <c r="H22" s="22" t="n"/>
      <c r="I22" s="18">
        <f>IF(OR(F22="",G22=""),"",IFERROR((F22*(1+G22/100*H22/12))/H22,0))</f>
        <v/>
      </c>
      <c r="J22" s="22" t="n"/>
      <c r="K22" s="18">
        <f>IF(F22="","",IFERROR(F22-I22,0))</f>
        <v/>
      </c>
      <c r="L22" s="22" t="n"/>
    </row>
    <row r="23" ht="22" customHeight="1">
      <c r="B23" s="21">
        <f>IF(C23="","PRET"&amp;TEXT(COUNTA($C$5:C23),"000"))</f>
        <v/>
      </c>
      <c r="C23" s="21" t="n"/>
      <c r="D23" s="21">
        <f>IF(C23="","",VLOOKUP(C23,'_Données Employés'!$B$5:$S$114,3,FALSE))</f>
        <v/>
      </c>
      <c r="E23" s="21" t="n"/>
      <c r="F23" s="21" t="n"/>
      <c r="G23" s="21" t="n"/>
      <c r="H23" s="21" t="n"/>
      <c r="I23" s="16">
        <f>IF(OR(F23="",G23=""),"",IFERROR((F23*(1+G23/100*H23/12))/H23,0))</f>
        <v/>
      </c>
      <c r="J23" s="21" t="n"/>
      <c r="K23" s="16">
        <f>IF(F23="","",IFERROR(F23-I23,0))</f>
        <v/>
      </c>
      <c r="L23" s="21" t="n"/>
    </row>
    <row r="24" ht="22" customHeight="1">
      <c r="B24" s="22">
        <f>IF(C24="","PRET"&amp;TEXT(COUNTA($C$5:C24),"000"))</f>
        <v/>
      </c>
      <c r="C24" s="22" t="n"/>
      <c r="D24" s="22">
        <f>IF(C24="","",VLOOKUP(C24,'_Données Employés'!$B$5:$S$114,3,FALSE))</f>
        <v/>
      </c>
      <c r="E24" s="22" t="n"/>
      <c r="F24" s="22" t="n"/>
      <c r="G24" s="22" t="n"/>
      <c r="H24" s="22" t="n"/>
      <c r="I24" s="18">
        <f>IF(OR(F24="",G24=""),"",IFERROR((F24*(1+G24/100*H24/12))/H24,0))</f>
        <v/>
      </c>
      <c r="J24" s="22" t="n"/>
      <c r="K24" s="18">
        <f>IF(F24="","",IFERROR(F24-I24,0))</f>
        <v/>
      </c>
      <c r="L24" s="22" t="n"/>
    </row>
    <row r="25" ht="22" customHeight="1">
      <c r="B25" s="21">
        <f>IF(C25="","PRET"&amp;TEXT(COUNTA($C$5:C25),"000"))</f>
        <v/>
      </c>
      <c r="C25" s="21" t="n"/>
      <c r="D25" s="21">
        <f>IF(C25="","",VLOOKUP(C25,'_Données Employés'!$B$5:$S$114,3,FALSE))</f>
        <v/>
      </c>
      <c r="E25" s="21" t="n"/>
      <c r="F25" s="21" t="n"/>
      <c r="G25" s="21" t="n"/>
      <c r="H25" s="21" t="n"/>
      <c r="I25" s="16">
        <f>IF(OR(F25="",G25=""),"",IFERROR((F25*(1+G25/100*H25/12))/H25,0))</f>
        <v/>
      </c>
      <c r="J25" s="21" t="n"/>
      <c r="K25" s="16">
        <f>IF(F25="","",IFERROR(F25-I25,0))</f>
        <v/>
      </c>
      <c r="L25" s="21" t="n"/>
    </row>
    <row r="26" ht="22" customHeight="1">
      <c r="B26" s="22">
        <f>IF(C26="","PRET"&amp;TEXT(COUNTA($C$5:C26),"000"))</f>
        <v/>
      </c>
      <c r="C26" s="22" t="n"/>
      <c r="D26" s="22">
        <f>IF(C26="","",VLOOKUP(C26,'_Données Employés'!$B$5:$S$114,3,FALSE))</f>
        <v/>
      </c>
      <c r="E26" s="22" t="n"/>
      <c r="F26" s="22" t="n"/>
      <c r="G26" s="22" t="n"/>
      <c r="H26" s="22" t="n"/>
      <c r="I26" s="18">
        <f>IF(OR(F26="",G26=""),"",IFERROR((F26*(1+G26/100*H26/12))/H26,0))</f>
        <v/>
      </c>
      <c r="J26" s="22" t="n"/>
      <c r="K26" s="18">
        <f>IF(F26="","",IFERROR(F26-I26,0))</f>
        <v/>
      </c>
      <c r="L26" s="22" t="n"/>
    </row>
    <row r="27" ht="22" customHeight="1">
      <c r="B27" s="21">
        <f>IF(C27="","PRET"&amp;TEXT(COUNTA($C$5:C27),"000"))</f>
        <v/>
      </c>
      <c r="C27" s="21" t="n"/>
      <c r="D27" s="21">
        <f>IF(C27="","",VLOOKUP(C27,'_Données Employés'!$B$5:$S$114,3,FALSE))</f>
        <v/>
      </c>
      <c r="E27" s="21" t="n"/>
      <c r="F27" s="21" t="n"/>
      <c r="G27" s="21" t="n"/>
      <c r="H27" s="21" t="n"/>
      <c r="I27" s="16">
        <f>IF(OR(F27="",G27=""),"",IFERROR((F27*(1+G27/100*H27/12))/H27,0))</f>
        <v/>
      </c>
      <c r="J27" s="21" t="n"/>
      <c r="K27" s="16">
        <f>IF(F27="","",IFERROR(F27-I27,0))</f>
        <v/>
      </c>
      <c r="L27" s="21" t="n"/>
    </row>
    <row r="28" ht="22" customHeight="1">
      <c r="B28" s="22">
        <f>IF(C28="","PRET"&amp;TEXT(COUNTA($C$5:C28),"000"))</f>
        <v/>
      </c>
      <c r="C28" s="22" t="n"/>
      <c r="D28" s="22">
        <f>IF(C28="","",VLOOKUP(C28,'_Données Employés'!$B$5:$S$114,3,FALSE))</f>
        <v/>
      </c>
      <c r="E28" s="22" t="n"/>
      <c r="F28" s="22" t="n"/>
      <c r="G28" s="22" t="n"/>
      <c r="H28" s="22" t="n"/>
      <c r="I28" s="18">
        <f>IF(OR(F28="",G28=""),"",IFERROR((F28*(1+G28/100*H28/12))/H28,0))</f>
        <v/>
      </c>
      <c r="J28" s="22" t="n"/>
      <c r="K28" s="18">
        <f>IF(F28="","",IFERROR(F28-I28,0))</f>
        <v/>
      </c>
      <c r="L28" s="22" t="n"/>
    </row>
    <row r="29" ht="22" customHeight="1">
      <c r="B29" s="21">
        <f>IF(C29="","PRET"&amp;TEXT(COUNTA($C$5:C29),"000"))</f>
        <v/>
      </c>
      <c r="C29" s="21" t="n"/>
      <c r="D29" s="21">
        <f>IF(C29="","",VLOOKUP(C29,'_Données Employés'!$B$5:$S$114,3,FALSE))</f>
        <v/>
      </c>
      <c r="E29" s="21" t="n"/>
      <c r="F29" s="21" t="n"/>
      <c r="G29" s="21" t="n"/>
      <c r="H29" s="21" t="n"/>
      <c r="I29" s="16">
        <f>IF(OR(F29="",G29=""),"",IFERROR((F29*(1+G29/100*H29/12))/H29,0))</f>
        <v/>
      </c>
      <c r="J29" s="21" t="n"/>
      <c r="K29" s="16">
        <f>IF(F29="","",IFERROR(F29-I29,0))</f>
        <v/>
      </c>
      <c r="L29" s="21" t="n"/>
    </row>
    <row r="30" ht="22" customHeight="1">
      <c r="B30" s="22">
        <f>IF(C30="","PRET"&amp;TEXT(COUNTA($C$5:C30),"000"))</f>
        <v/>
      </c>
      <c r="C30" s="22" t="n"/>
      <c r="D30" s="22">
        <f>IF(C30="","",VLOOKUP(C30,'_Données Employés'!$B$5:$S$114,3,FALSE))</f>
        <v/>
      </c>
      <c r="E30" s="22" t="n"/>
      <c r="F30" s="22" t="n"/>
      <c r="G30" s="22" t="n"/>
      <c r="H30" s="22" t="n"/>
      <c r="I30" s="18">
        <f>IF(OR(F30="",G30=""),"",IFERROR((F30*(1+G30/100*H30/12))/H30,0))</f>
        <v/>
      </c>
      <c r="J30" s="22" t="n"/>
      <c r="K30" s="18">
        <f>IF(F30="","",IFERROR(F30-I30,0))</f>
        <v/>
      </c>
      <c r="L30" s="22" t="n"/>
    </row>
    <row r="31" ht="22" customHeight="1">
      <c r="B31" s="21">
        <f>IF(C31="","PRET"&amp;TEXT(COUNTA($C$5:C31),"000"))</f>
        <v/>
      </c>
      <c r="C31" s="21" t="n"/>
      <c r="D31" s="21">
        <f>IF(C31="","",VLOOKUP(C31,'_Données Employés'!$B$5:$S$114,3,FALSE))</f>
        <v/>
      </c>
      <c r="E31" s="21" t="n"/>
      <c r="F31" s="21" t="n"/>
      <c r="G31" s="21" t="n"/>
      <c r="H31" s="21" t="n"/>
      <c r="I31" s="16">
        <f>IF(OR(F31="",G31=""),"",IFERROR((F31*(1+G31/100*H31/12))/H31,0))</f>
        <v/>
      </c>
      <c r="J31" s="21" t="n"/>
      <c r="K31" s="16">
        <f>IF(F31="","",IFERROR(F31-I31,0))</f>
        <v/>
      </c>
      <c r="L31" s="21" t="n"/>
    </row>
    <row r="32" ht="22" customHeight="1">
      <c r="B32" s="22">
        <f>IF(C32="","PRET"&amp;TEXT(COUNTA($C$5:C32),"000"))</f>
        <v/>
      </c>
      <c r="C32" s="22" t="n"/>
      <c r="D32" s="22">
        <f>IF(C32="","",VLOOKUP(C32,'_Données Employés'!$B$5:$S$114,3,FALSE))</f>
        <v/>
      </c>
      <c r="E32" s="22" t="n"/>
      <c r="F32" s="22" t="n"/>
      <c r="G32" s="22" t="n"/>
      <c r="H32" s="22" t="n"/>
      <c r="I32" s="18">
        <f>IF(OR(F32="",G32=""),"",IFERROR((F32*(1+G32/100*H32/12))/H32,0))</f>
        <v/>
      </c>
      <c r="J32" s="22" t="n"/>
      <c r="K32" s="18">
        <f>IF(F32="","",IFERROR(F32-I32,0))</f>
        <v/>
      </c>
      <c r="L32" s="22" t="n"/>
    </row>
    <row r="33" ht="22" customHeight="1">
      <c r="B33" s="21">
        <f>IF(C33="","PRET"&amp;TEXT(COUNTA($C$5:C33),"000"))</f>
        <v/>
      </c>
      <c r="C33" s="21" t="n"/>
      <c r="D33" s="21">
        <f>IF(C33="","",VLOOKUP(C33,'_Données Employés'!$B$5:$S$114,3,FALSE))</f>
        <v/>
      </c>
      <c r="E33" s="21" t="n"/>
      <c r="F33" s="21" t="n"/>
      <c r="G33" s="21" t="n"/>
      <c r="H33" s="21" t="n"/>
      <c r="I33" s="16">
        <f>IF(OR(F33="",G33=""),"",IFERROR((F33*(1+G33/100*H33/12))/H33,0))</f>
        <v/>
      </c>
      <c r="J33" s="21" t="n"/>
      <c r="K33" s="16">
        <f>IF(F33="","",IFERROR(F33-I33,0))</f>
        <v/>
      </c>
      <c r="L33" s="21" t="n"/>
    </row>
    <row r="34" ht="22" customHeight="1">
      <c r="B34" s="22">
        <f>IF(C34="","PRET"&amp;TEXT(COUNTA($C$5:C34),"000"))</f>
        <v/>
      </c>
      <c r="C34" s="22" t="n"/>
      <c r="D34" s="22">
        <f>IF(C34="","",VLOOKUP(C34,'_Données Employés'!$B$5:$S$114,3,FALSE))</f>
        <v/>
      </c>
      <c r="E34" s="22" t="n"/>
      <c r="F34" s="22" t="n"/>
      <c r="G34" s="22" t="n"/>
      <c r="H34" s="22" t="n"/>
      <c r="I34" s="18">
        <f>IF(OR(F34="",G34=""),"",IFERROR((F34*(1+G34/100*H34/12))/H34,0))</f>
        <v/>
      </c>
      <c r="J34" s="22" t="n"/>
      <c r="K34" s="18">
        <f>IF(F34="","",IFERROR(F34-I34,0))</f>
        <v/>
      </c>
      <c r="L34" s="22" t="n"/>
    </row>
    <row r="35" ht="22" customHeight="1">
      <c r="B35" s="21">
        <f>IF(C35="","PRET"&amp;TEXT(COUNTA($C$5:C35),"000"))</f>
        <v/>
      </c>
      <c r="C35" s="21" t="n"/>
      <c r="D35" s="21">
        <f>IF(C35="","",VLOOKUP(C35,'_Données Employés'!$B$5:$S$114,3,FALSE))</f>
        <v/>
      </c>
      <c r="E35" s="21" t="n"/>
      <c r="F35" s="21" t="n"/>
      <c r="G35" s="21" t="n"/>
      <c r="H35" s="21" t="n"/>
      <c r="I35" s="16">
        <f>IF(OR(F35="",G35=""),"",IFERROR((F35*(1+G35/100*H35/12))/H35,0))</f>
        <v/>
      </c>
      <c r="J35" s="21" t="n"/>
      <c r="K35" s="16">
        <f>IF(F35="","",IFERROR(F35-I35,0))</f>
        <v/>
      </c>
      <c r="L35" s="21" t="n"/>
    </row>
    <row r="36" ht="22" customHeight="1">
      <c r="B36" s="22">
        <f>IF(C36="","PRET"&amp;TEXT(COUNTA($C$5:C36),"000"))</f>
        <v/>
      </c>
      <c r="C36" s="22" t="n"/>
      <c r="D36" s="22">
        <f>IF(C36="","",VLOOKUP(C36,'_Données Employés'!$B$5:$S$114,3,FALSE))</f>
        <v/>
      </c>
      <c r="E36" s="22" t="n"/>
      <c r="F36" s="22" t="n"/>
      <c r="G36" s="22" t="n"/>
      <c r="H36" s="22" t="n"/>
      <c r="I36" s="18">
        <f>IF(OR(F36="",G36=""),"",IFERROR((F36*(1+G36/100*H36/12))/H36,0))</f>
        <v/>
      </c>
      <c r="J36" s="22" t="n"/>
      <c r="K36" s="18">
        <f>IF(F36="","",IFERROR(F36-I36,0))</f>
        <v/>
      </c>
      <c r="L36" s="22" t="n"/>
    </row>
    <row r="37" ht="22" customHeight="1">
      <c r="B37" s="21">
        <f>IF(C37="","PRET"&amp;TEXT(COUNTA($C$5:C37),"000"))</f>
        <v/>
      </c>
      <c r="C37" s="21" t="n"/>
      <c r="D37" s="21">
        <f>IF(C37="","",VLOOKUP(C37,'_Données Employés'!$B$5:$S$114,3,FALSE))</f>
        <v/>
      </c>
      <c r="E37" s="21" t="n"/>
      <c r="F37" s="21" t="n"/>
      <c r="G37" s="21" t="n"/>
      <c r="H37" s="21" t="n"/>
      <c r="I37" s="16">
        <f>IF(OR(F37="",G37=""),"",IFERROR((F37*(1+G37/100*H37/12))/H37,0))</f>
        <v/>
      </c>
      <c r="J37" s="21" t="n"/>
      <c r="K37" s="16">
        <f>IF(F37="","",IFERROR(F37-I37,0))</f>
        <v/>
      </c>
      <c r="L37" s="21" t="n"/>
    </row>
    <row r="38" ht="22" customHeight="1">
      <c r="B38" s="22">
        <f>IF(C38="","PRET"&amp;TEXT(COUNTA($C$5:C38),"000"))</f>
        <v/>
      </c>
      <c r="C38" s="22" t="n"/>
      <c r="D38" s="22">
        <f>IF(C38="","",VLOOKUP(C38,'_Données Employés'!$B$5:$S$114,3,FALSE))</f>
        <v/>
      </c>
      <c r="E38" s="22" t="n"/>
      <c r="F38" s="22" t="n"/>
      <c r="G38" s="22" t="n"/>
      <c r="H38" s="22" t="n"/>
      <c r="I38" s="18">
        <f>IF(OR(F38="",G38=""),"",IFERROR((F38*(1+G38/100*H38/12))/H38,0))</f>
        <v/>
      </c>
      <c r="J38" s="22" t="n"/>
      <c r="K38" s="18">
        <f>IF(F38="","",IFERROR(F38-I38,0))</f>
        <v/>
      </c>
      <c r="L38" s="22" t="n"/>
    </row>
    <row r="39" ht="22" customHeight="1">
      <c r="B39" s="21">
        <f>IF(C39="","PRET"&amp;TEXT(COUNTA($C$5:C39),"000"))</f>
        <v/>
      </c>
      <c r="C39" s="21" t="n"/>
      <c r="D39" s="21">
        <f>IF(C39="","",VLOOKUP(C39,'_Données Employés'!$B$5:$S$114,3,FALSE))</f>
        <v/>
      </c>
      <c r="E39" s="21" t="n"/>
      <c r="F39" s="21" t="n"/>
      <c r="G39" s="21" t="n"/>
      <c r="H39" s="21" t="n"/>
      <c r="I39" s="16">
        <f>IF(OR(F39="",G39=""),"",IFERROR((F39*(1+G39/100*H39/12))/H39,0))</f>
        <v/>
      </c>
      <c r="J39" s="21" t="n"/>
      <c r="K39" s="16">
        <f>IF(F39="","",IFERROR(F39-I39,0))</f>
        <v/>
      </c>
      <c r="L39" s="21" t="n"/>
    </row>
    <row r="40" ht="22" customHeight="1">
      <c r="B40" s="22">
        <f>IF(C40="","PRET"&amp;TEXT(COUNTA($C$5:C40),"000"))</f>
        <v/>
      </c>
      <c r="C40" s="22" t="n"/>
      <c r="D40" s="22">
        <f>IF(C40="","",VLOOKUP(C40,'_Données Employés'!$B$5:$S$114,3,FALSE))</f>
        <v/>
      </c>
      <c r="E40" s="22" t="n"/>
      <c r="F40" s="22" t="n"/>
      <c r="G40" s="22" t="n"/>
      <c r="H40" s="22" t="n"/>
      <c r="I40" s="18">
        <f>IF(OR(F40="",G40=""),"",IFERROR((F40*(1+G40/100*H40/12))/H40,0))</f>
        <v/>
      </c>
      <c r="J40" s="22" t="n"/>
      <c r="K40" s="18">
        <f>IF(F40="","",IFERROR(F40-I40,0))</f>
        <v/>
      </c>
      <c r="L40" s="22" t="n"/>
    </row>
    <row r="41" ht="22" customHeight="1">
      <c r="B41" s="21">
        <f>IF(C41="","PRET"&amp;TEXT(COUNTA($C$5:C41),"000"))</f>
        <v/>
      </c>
      <c r="C41" s="21" t="n"/>
      <c r="D41" s="21">
        <f>IF(C41="","",VLOOKUP(C41,'_Données Employés'!$B$5:$S$114,3,FALSE))</f>
        <v/>
      </c>
      <c r="E41" s="21" t="n"/>
      <c r="F41" s="21" t="n"/>
      <c r="G41" s="21" t="n"/>
      <c r="H41" s="21" t="n"/>
      <c r="I41" s="16">
        <f>IF(OR(F41="",G41=""),"",IFERROR((F41*(1+G41/100*H41/12))/H41,0))</f>
        <v/>
      </c>
      <c r="J41" s="21" t="n"/>
      <c r="K41" s="16">
        <f>IF(F41="","",IFERROR(F41-I41,0))</f>
        <v/>
      </c>
      <c r="L41" s="21" t="n"/>
    </row>
    <row r="42" ht="22" customHeight="1">
      <c r="B42" s="22">
        <f>IF(C42="","PRET"&amp;TEXT(COUNTA($C$5:C42),"000"))</f>
        <v/>
      </c>
      <c r="C42" s="22" t="n"/>
      <c r="D42" s="22">
        <f>IF(C42="","",VLOOKUP(C42,'_Données Employés'!$B$5:$S$114,3,FALSE))</f>
        <v/>
      </c>
      <c r="E42" s="22" t="n"/>
      <c r="F42" s="22" t="n"/>
      <c r="G42" s="22" t="n"/>
      <c r="H42" s="22" t="n"/>
      <c r="I42" s="18">
        <f>IF(OR(F42="",G42=""),"",IFERROR((F42*(1+G42/100*H42/12))/H42,0))</f>
        <v/>
      </c>
      <c r="J42" s="22" t="n"/>
      <c r="K42" s="18">
        <f>IF(F42="","",IFERROR(F42-I42,0))</f>
        <v/>
      </c>
      <c r="L42" s="22" t="n"/>
    </row>
    <row r="43" ht="22" customHeight="1">
      <c r="B43" s="21">
        <f>IF(C43="","PRET"&amp;TEXT(COUNTA($C$5:C43),"000"))</f>
        <v/>
      </c>
      <c r="C43" s="21" t="n"/>
      <c r="D43" s="21">
        <f>IF(C43="","",VLOOKUP(C43,'_Données Employés'!$B$5:$S$114,3,FALSE))</f>
        <v/>
      </c>
      <c r="E43" s="21" t="n"/>
      <c r="F43" s="21" t="n"/>
      <c r="G43" s="21" t="n"/>
      <c r="H43" s="21" t="n"/>
      <c r="I43" s="16">
        <f>IF(OR(F43="",G43=""),"",IFERROR((F43*(1+G43/100*H43/12))/H43,0))</f>
        <v/>
      </c>
      <c r="J43" s="21" t="n"/>
      <c r="K43" s="16">
        <f>IF(F43="","",IFERROR(F43-I43,0))</f>
        <v/>
      </c>
      <c r="L43" s="21" t="n"/>
    </row>
    <row r="44" ht="22" customHeight="1">
      <c r="B44" s="22">
        <f>IF(C44="","PRET"&amp;TEXT(COUNTA($C$5:C44),"000"))</f>
        <v/>
      </c>
      <c r="C44" s="22" t="n"/>
      <c r="D44" s="22">
        <f>IF(C44="","",VLOOKUP(C44,'_Données Employés'!$B$5:$S$114,3,FALSE))</f>
        <v/>
      </c>
      <c r="E44" s="22" t="n"/>
      <c r="F44" s="22" t="n"/>
      <c r="G44" s="22" t="n"/>
      <c r="H44" s="22" t="n"/>
      <c r="I44" s="18">
        <f>IF(OR(F44="",G44=""),"",IFERROR((F44*(1+G44/100*H44/12))/H44,0))</f>
        <v/>
      </c>
      <c r="J44" s="22" t="n"/>
      <c r="K44" s="18">
        <f>IF(F44="","",IFERROR(F44-I44,0))</f>
        <v/>
      </c>
      <c r="L44" s="22" t="n"/>
    </row>
    <row r="45" ht="22" customHeight="1">
      <c r="B45" s="21">
        <f>IF(C45="","PRET"&amp;TEXT(COUNTA($C$5:C45),"000"))</f>
        <v/>
      </c>
      <c r="C45" s="21" t="n"/>
      <c r="D45" s="21">
        <f>IF(C45="","",VLOOKUP(C45,'_Données Employés'!$B$5:$S$114,3,FALSE))</f>
        <v/>
      </c>
      <c r="E45" s="21" t="n"/>
      <c r="F45" s="21" t="n"/>
      <c r="G45" s="21" t="n"/>
      <c r="H45" s="21" t="n"/>
      <c r="I45" s="16">
        <f>IF(OR(F45="",G45=""),"",IFERROR((F45*(1+G45/100*H45/12))/H45,0))</f>
        <v/>
      </c>
      <c r="J45" s="21" t="n"/>
      <c r="K45" s="16">
        <f>IF(F45="","",IFERROR(F45-I45,0))</f>
        <v/>
      </c>
      <c r="L45" s="21" t="n"/>
    </row>
    <row r="46" ht="22" customHeight="1">
      <c r="B46" s="22">
        <f>IF(C46="","PRET"&amp;TEXT(COUNTA($C$5:C46),"000"))</f>
        <v/>
      </c>
      <c r="C46" s="22" t="n"/>
      <c r="D46" s="22">
        <f>IF(C46="","",VLOOKUP(C46,'_Données Employés'!$B$5:$S$114,3,FALSE))</f>
        <v/>
      </c>
      <c r="E46" s="22" t="n"/>
      <c r="F46" s="22" t="n"/>
      <c r="G46" s="22" t="n"/>
      <c r="H46" s="22" t="n"/>
      <c r="I46" s="18">
        <f>IF(OR(F46="",G46=""),"",IFERROR((F46*(1+G46/100*H46/12))/H46,0))</f>
        <v/>
      </c>
      <c r="J46" s="22" t="n"/>
      <c r="K46" s="18">
        <f>IF(F46="","",IFERROR(F46-I46,0))</f>
        <v/>
      </c>
      <c r="L46" s="22" t="n"/>
    </row>
    <row r="47" ht="22" customHeight="1">
      <c r="B47" s="21">
        <f>IF(C47="","PRET"&amp;TEXT(COUNTA($C$5:C47),"000"))</f>
        <v/>
      </c>
      <c r="C47" s="21" t="n"/>
      <c r="D47" s="21">
        <f>IF(C47="","",VLOOKUP(C47,'_Données Employés'!$B$5:$S$114,3,FALSE))</f>
        <v/>
      </c>
      <c r="E47" s="21" t="n"/>
      <c r="F47" s="21" t="n"/>
      <c r="G47" s="21" t="n"/>
      <c r="H47" s="21" t="n"/>
      <c r="I47" s="16">
        <f>IF(OR(F47="",G47=""),"",IFERROR((F47*(1+G47/100*H47/12))/H47,0))</f>
        <v/>
      </c>
      <c r="J47" s="21" t="n"/>
      <c r="K47" s="16">
        <f>IF(F47="","",IFERROR(F47-I47,0))</f>
        <v/>
      </c>
      <c r="L47" s="21" t="n"/>
    </row>
    <row r="48" ht="22" customHeight="1">
      <c r="B48" s="22">
        <f>IF(C48="","PRET"&amp;TEXT(COUNTA($C$5:C48),"000"))</f>
        <v/>
      </c>
      <c r="C48" s="22" t="n"/>
      <c r="D48" s="22">
        <f>IF(C48="","",VLOOKUP(C48,'_Données Employés'!$B$5:$S$114,3,FALSE))</f>
        <v/>
      </c>
      <c r="E48" s="22" t="n"/>
      <c r="F48" s="22" t="n"/>
      <c r="G48" s="22" t="n"/>
      <c r="H48" s="22" t="n"/>
      <c r="I48" s="18">
        <f>IF(OR(F48="",G48=""),"",IFERROR((F48*(1+G48/100*H48/12))/H48,0))</f>
        <v/>
      </c>
      <c r="J48" s="22" t="n"/>
      <c r="K48" s="18">
        <f>IF(F48="","",IFERROR(F48-I48,0))</f>
        <v/>
      </c>
      <c r="L48" s="22" t="n"/>
    </row>
    <row r="49" ht="22" customHeight="1">
      <c r="B49" s="21">
        <f>IF(C49="","PRET"&amp;TEXT(COUNTA($C$5:C49),"000"))</f>
        <v/>
      </c>
      <c r="C49" s="21" t="n"/>
      <c r="D49" s="21">
        <f>IF(C49="","",VLOOKUP(C49,'_Données Employés'!$B$5:$S$114,3,FALSE))</f>
        <v/>
      </c>
      <c r="E49" s="21" t="n"/>
      <c r="F49" s="21" t="n"/>
      <c r="G49" s="21" t="n"/>
      <c r="H49" s="21" t="n"/>
      <c r="I49" s="16">
        <f>IF(OR(F49="",G49=""),"",IFERROR((F49*(1+G49/100*H49/12))/H49,0))</f>
        <v/>
      </c>
      <c r="J49" s="21" t="n"/>
      <c r="K49" s="16">
        <f>IF(F49="","",IFERROR(F49-I49,0))</f>
        <v/>
      </c>
      <c r="L49" s="21" t="n"/>
    </row>
    <row r="50" ht="22" customHeight="1">
      <c r="B50" s="22">
        <f>IF(C50="","PRET"&amp;TEXT(COUNTA($C$5:C50),"000"))</f>
        <v/>
      </c>
      <c r="C50" s="22" t="n"/>
      <c r="D50" s="22">
        <f>IF(C50="","",VLOOKUP(C50,'_Données Employés'!$B$5:$S$114,3,FALSE))</f>
        <v/>
      </c>
      <c r="E50" s="22" t="n"/>
      <c r="F50" s="22" t="n"/>
      <c r="G50" s="22" t="n"/>
      <c r="H50" s="22" t="n"/>
      <c r="I50" s="18">
        <f>IF(OR(F50="",G50=""),"",IFERROR((F50*(1+G50/100*H50/12))/H50,0))</f>
        <v/>
      </c>
      <c r="J50" s="22" t="n"/>
      <c r="K50" s="18">
        <f>IF(F50="","",IFERROR(F50-I50,0))</f>
        <v/>
      </c>
      <c r="L50" s="22" t="n"/>
    </row>
    <row r="51" ht="22" customHeight="1">
      <c r="B51" s="21">
        <f>IF(C51="","PRET"&amp;TEXT(COUNTA($C$5:C51),"000"))</f>
        <v/>
      </c>
      <c r="C51" s="21" t="n"/>
      <c r="D51" s="21">
        <f>IF(C51="","",VLOOKUP(C51,'_Données Employés'!$B$5:$S$114,3,FALSE))</f>
        <v/>
      </c>
      <c r="E51" s="21" t="n"/>
      <c r="F51" s="21" t="n"/>
      <c r="G51" s="21" t="n"/>
      <c r="H51" s="21" t="n"/>
      <c r="I51" s="16">
        <f>IF(OR(F51="",G51=""),"",IFERROR((F51*(1+G51/100*H51/12))/H51,0))</f>
        <v/>
      </c>
      <c r="J51" s="21" t="n"/>
      <c r="K51" s="16">
        <f>IF(F51="","",IFERROR(F51-I51,0))</f>
        <v/>
      </c>
      <c r="L51" s="21" t="n"/>
    </row>
    <row r="52" ht="22" customHeight="1">
      <c r="B52" s="22">
        <f>IF(C52="","PRET"&amp;TEXT(COUNTA($C$5:C52),"000"))</f>
        <v/>
      </c>
      <c r="C52" s="22" t="n"/>
      <c r="D52" s="22">
        <f>IF(C52="","",VLOOKUP(C52,'_Données Employés'!$B$5:$S$114,3,FALSE))</f>
        <v/>
      </c>
      <c r="E52" s="22" t="n"/>
      <c r="F52" s="22" t="n"/>
      <c r="G52" s="22" t="n"/>
      <c r="H52" s="22" t="n"/>
      <c r="I52" s="18">
        <f>IF(OR(F52="",G52=""),"",IFERROR((F52*(1+G52/100*H52/12))/H52,0))</f>
        <v/>
      </c>
      <c r="J52" s="22" t="n"/>
      <c r="K52" s="18">
        <f>IF(F52="","",IFERROR(F52-I52,0))</f>
        <v/>
      </c>
      <c r="L52" s="22" t="n"/>
    </row>
    <row r="53" ht="22" customHeight="1">
      <c r="B53" s="21">
        <f>IF(C53="","PRET"&amp;TEXT(COUNTA($C$5:C53),"000"))</f>
        <v/>
      </c>
      <c r="C53" s="21" t="n"/>
      <c r="D53" s="21">
        <f>IF(C53="","",VLOOKUP(C53,'_Données Employés'!$B$5:$S$114,3,FALSE))</f>
        <v/>
      </c>
      <c r="E53" s="21" t="n"/>
      <c r="F53" s="21" t="n"/>
      <c r="G53" s="21" t="n"/>
      <c r="H53" s="21" t="n"/>
      <c r="I53" s="16">
        <f>IF(OR(F53="",G53=""),"",IFERROR((F53*(1+G53/100*H53/12))/H53,0))</f>
        <v/>
      </c>
      <c r="J53" s="21" t="n"/>
      <c r="K53" s="16">
        <f>IF(F53="","",IFERROR(F53-I53,0))</f>
        <v/>
      </c>
      <c r="L53" s="21" t="n"/>
    </row>
    <row r="54" ht="22" customHeight="1">
      <c r="B54" s="22">
        <f>IF(C54="","PRET"&amp;TEXT(COUNTA($C$5:C54),"000"))</f>
        <v/>
      </c>
      <c r="C54" s="22" t="n"/>
      <c r="D54" s="22">
        <f>IF(C54="","",VLOOKUP(C54,'_Données Employés'!$B$5:$S$114,3,FALSE))</f>
        <v/>
      </c>
      <c r="E54" s="22" t="n"/>
      <c r="F54" s="22" t="n"/>
      <c r="G54" s="22" t="n"/>
      <c r="H54" s="22" t="n"/>
      <c r="I54" s="18">
        <f>IF(OR(F54="",G54=""),"",IFERROR((F54*(1+G54/100*H54/12))/H54,0))</f>
        <v/>
      </c>
      <c r="J54" s="22" t="n"/>
      <c r="K54" s="18">
        <f>IF(F54="","",IFERROR(F54-I54,0))</f>
        <v/>
      </c>
      <c r="L54" s="22" t="n"/>
    </row>
    <row r="55" ht="22" customHeight="1">
      <c r="B55" s="21">
        <f>IF(C55="","PRET"&amp;TEXT(COUNTA($C$5:C55),"000"))</f>
        <v/>
      </c>
      <c r="C55" s="21" t="n"/>
      <c r="D55" s="21">
        <f>IF(C55="","",VLOOKUP(C55,'_Données Employés'!$B$5:$S$114,3,FALSE))</f>
        <v/>
      </c>
      <c r="E55" s="21" t="n"/>
      <c r="F55" s="21" t="n"/>
      <c r="G55" s="21" t="n"/>
      <c r="H55" s="21" t="n"/>
      <c r="I55" s="16">
        <f>IF(OR(F55="",G55=""),"",IFERROR((F55*(1+G55/100*H55/12))/H55,0))</f>
        <v/>
      </c>
      <c r="J55" s="21" t="n"/>
      <c r="K55" s="16">
        <f>IF(F55="","",IFERROR(F55-I55,0))</f>
        <v/>
      </c>
      <c r="L55" s="21" t="n"/>
    </row>
    <row r="56" ht="22" customHeight="1">
      <c r="B56" s="22">
        <f>IF(C56="","PRET"&amp;TEXT(COUNTA($C$5:C56),"000"))</f>
        <v/>
      </c>
      <c r="C56" s="22" t="n"/>
      <c r="D56" s="22">
        <f>IF(C56="","",VLOOKUP(C56,'_Données Employés'!$B$5:$S$114,3,FALSE))</f>
        <v/>
      </c>
      <c r="E56" s="22" t="n"/>
      <c r="F56" s="22" t="n"/>
      <c r="G56" s="22" t="n"/>
      <c r="H56" s="22" t="n"/>
      <c r="I56" s="18">
        <f>IF(OR(F56="",G56=""),"",IFERROR((F56*(1+G56/100*H56/12))/H56,0))</f>
        <v/>
      </c>
      <c r="J56" s="22" t="n"/>
      <c r="K56" s="18">
        <f>IF(F56="","",IFERROR(F56-I56,0))</f>
        <v/>
      </c>
      <c r="L56" s="22" t="n"/>
    </row>
    <row r="57" ht="22" customHeight="1">
      <c r="B57" s="21">
        <f>IF(C57="","PRET"&amp;TEXT(COUNTA($C$5:C57),"000"))</f>
        <v/>
      </c>
      <c r="C57" s="21" t="n"/>
      <c r="D57" s="21">
        <f>IF(C57="","",VLOOKUP(C57,'_Données Employés'!$B$5:$S$114,3,FALSE))</f>
        <v/>
      </c>
      <c r="E57" s="21" t="n"/>
      <c r="F57" s="21" t="n"/>
      <c r="G57" s="21" t="n"/>
      <c r="H57" s="21" t="n"/>
      <c r="I57" s="16">
        <f>IF(OR(F57="",G57=""),"",IFERROR((F57*(1+G57/100*H57/12))/H57,0))</f>
        <v/>
      </c>
      <c r="J57" s="21" t="n"/>
      <c r="K57" s="16">
        <f>IF(F57="","",IFERROR(F57-I57,0))</f>
        <v/>
      </c>
      <c r="L57" s="21" t="n"/>
    </row>
    <row r="58" ht="22" customHeight="1">
      <c r="B58" s="22">
        <f>IF(C58="","PRET"&amp;TEXT(COUNTA($C$5:C58),"000"))</f>
        <v/>
      </c>
      <c r="C58" s="22" t="n"/>
      <c r="D58" s="22">
        <f>IF(C58="","",VLOOKUP(C58,'_Données Employés'!$B$5:$S$114,3,FALSE))</f>
        <v/>
      </c>
      <c r="E58" s="22" t="n"/>
      <c r="F58" s="22" t="n"/>
      <c r="G58" s="22" t="n"/>
      <c r="H58" s="22" t="n"/>
      <c r="I58" s="18">
        <f>IF(OR(F58="",G58=""),"",IFERROR((F58*(1+G58/100*H58/12))/H58,0))</f>
        <v/>
      </c>
      <c r="J58" s="22" t="n"/>
      <c r="K58" s="18">
        <f>IF(F58="","",IFERROR(F58-I58,0))</f>
        <v/>
      </c>
      <c r="L58" s="22" t="n"/>
    </row>
    <row r="59" ht="22" customHeight="1">
      <c r="B59" s="21">
        <f>IF(C59="","PRET"&amp;TEXT(COUNTA($C$5:C59),"000"))</f>
        <v/>
      </c>
      <c r="C59" s="21" t="n"/>
      <c r="D59" s="21">
        <f>IF(C59="","",VLOOKUP(C59,'_Données Employés'!$B$5:$S$114,3,FALSE))</f>
        <v/>
      </c>
      <c r="E59" s="21" t="n"/>
      <c r="F59" s="21" t="n"/>
      <c r="G59" s="21" t="n"/>
      <c r="H59" s="21" t="n"/>
      <c r="I59" s="16">
        <f>IF(OR(F59="",G59=""),"",IFERROR((F59*(1+G59/100*H59/12))/H59,0))</f>
        <v/>
      </c>
      <c r="J59" s="21" t="n"/>
      <c r="K59" s="16">
        <f>IF(F59="","",IFERROR(F59-I59,0))</f>
        <v/>
      </c>
      <c r="L59" s="21" t="n"/>
    </row>
    <row r="60" ht="22" customHeight="1">
      <c r="B60" s="22">
        <f>IF(C60="","PRET"&amp;TEXT(COUNTA($C$5:C60),"000"))</f>
        <v/>
      </c>
      <c r="C60" s="22" t="n"/>
      <c r="D60" s="22">
        <f>IF(C60="","",VLOOKUP(C60,'_Données Employés'!$B$5:$S$114,3,FALSE))</f>
        <v/>
      </c>
      <c r="E60" s="22" t="n"/>
      <c r="F60" s="22" t="n"/>
      <c r="G60" s="22" t="n"/>
      <c r="H60" s="22" t="n"/>
      <c r="I60" s="18">
        <f>IF(OR(F60="",G60=""),"",IFERROR((F60*(1+G60/100*H60/12))/H60,0))</f>
        <v/>
      </c>
      <c r="J60" s="22" t="n"/>
      <c r="K60" s="18">
        <f>IF(F60="","",IFERROR(F60-I60,0))</f>
        <v/>
      </c>
      <c r="L60" s="22" t="n"/>
    </row>
    <row r="61" ht="22" customHeight="1">
      <c r="B61" s="21">
        <f>IF(C61="","PRET"&amp;TEXT(COUNTA($C$5:C61),"000"))</f>
        <v/>
      </c>
      <c r="C61" s="21" t="n"/>
      <c r="D61" s="21">
        <f>IF(C61="","",VLOOKUP(C61,'_Données Employés'!$B$5:$S$114,3,FALSE))</f>
        <v/>
      </c>
      <c r="E61" s="21" t="n"/>
      <c r="F61" s="21" t="n"/>
      <c r="G61" s="21" t="n"/>
      <c r="H61" s="21" t="n"/>
      <c r="I61" s="16">
        <f>IF(OR(F61="",G61=""),"",IFERROR((F61*(1+G61/100*H61/12))/H61,0))</f>
        <v/>
      </c>
      <c r="J61" s="21" t="n"/>
      <c r="K61" s="16">
        <f>IF(F61="","",IFERROR(F61-I61,0))</f>
        <v/>
      </c>
      <c r="L61" s="21" t="n"/>
    </row>
    <row r="62" ht="22" customHeight="1">
      <c r="B62" s="22">
        <f>IF(C62="","PRET"&amp;TEXT(COUNTA($C$5:C62),"000"))</f>
        <v/>
      </c>
      <c r="C62" s="22" t="n"/>
      <c r="D62" s="22">
        <f>IF(C62="","",VLOOKUP(C62,'_Données Employés'!$B$5:$S$114,3,FALSE))</f>
        <v/>
      </c>
      <c r="E62" s="22" t="n"/>
      <c r="F62" s="22" t="n"/>
      <c r="G62" s="22" t="n"/>
      <c r="H62" s="22" t="n"/>
      <c r="I62" s="18">
        <f>IF(OR(F62="",G62=""),"",IFERROR((F62*(1+G62/100*H62/12))/H62,0))</f>
        <v/>
      </c>
      <c r="J62" s="22" t="n"/>
      <c r="K62" s="18">
        <f>IF(F62="","",IFERROR(F62-I62,0))</f>
        <v/>
      </c>
      <c r="L62" s="22" t="n"/>
    </row>
    <row r="63" ht="22" customHeight="1">
      <c r="B63" s="21">
        <f>IF(C63="","PRET"&amp;TEXT(COUNTA($C$5:C63),"000"))</f>
        <v/>
      </c>
      <c r="C63" s="21" t="n"/>
      <c r="D63" s="21">
        <f>IF(C63="","",VLOOKUP(C63,'_Données Employés'!$B$5:$S$114,3,FALSE))</f>
        <v/>
      </c>
      <c r="E63" s="21" t="n"/>
      <c r="F63" s="21" t="n"/>
      <c r="G63" s="21" t="n"/>
      <c r="H63" s="21" t="n"/>
      <c r="I63" s="16">
        <f>IF(OR(F63="",G63=""),"",IFERROR((F63*(1+G63/100*H63/12))/H63,0))</f>
        <v/>
      </c>
      <c r="J63" s="21" t="n"/>
      <c r="K63" s="16">
        <f>IF(F63="","",IFERROR(F63-I63,0))</f>
        <v/>
      </c>
      <c r="L63" s="21" t="n"/>
    </row>
    <row r="64" ht="22" customHeight="1">
      <c r="B64" s="22">
        <f>IF(C64="","PRET"&amp;TEXT(COUNTA($C$5:C64),"000"))</f>
        <v/>
      </c>
      <c r="C64" s="22" t="n"/>
      <c r="D64" s="22">
        <f>IF(C64="","",VLOOKUP(C64,'_Données Employés'!$B$5:$S$114,3,FALSE))</f>
        <v/>
      </c>
      <c r="E64" s="22" t="n"/>
      <c r="F64" s="22" t="n"/>
      <c r="G64" s="22" t="n"/>
      <c r="H64" s="22" t="n"/>
      <c r="I64" s="18">
        <f>IF(OR(F64="",G64=""),"",IFERROR((F64*(1+G64/100*H64/12))/H64,0))</f>
        <v/>
      </c>
      <c r="J64" s="22" t="n"/>
      <c r="K64" s="18">
        <f>IF(F64="","",IFERROR(F64-I64,0))</f>
        <v/>
      </c>
      <c r="L64" s="22" t="n"/>
    </row>
    <row r="65" ht="22" customHeight="1">
      <c r="B65" s="21">
        <f>IF(C65="","PRET"&amp;TEXT(COUNTA($C$5:C65),"000"))</f>
        <v/>
      </c>
      <c r="C65" s="21" t="n"/>
      <c r="D65" s="21">
        <f>IF(C65="","",VLOOKUP(C65,'_Données Employés'!$B$5:$S$114,3,FALSE))</f>
        <v/>
      </c>
      <c r="E65" s="21" t="n"/>
      <c r="F65" s="21" t="n"/>
      <c r="G65" s="21" t="n"/>
      <c r="H65" s="21" t="n"/>
      <c r="I65" s="16">
        <f>IF(OR(F65="",G65=""),"",IFERROR((F65*(1+G65/100*H65/12))/H65,0))</f>
        <v/>
      </c>
      <c r="J65" s="21" t="n"/>
      <c r="K65" s="16">
        <f>IF(F65="","",IFERROR(F65-I65,0))</f>
        <v/>
      </c>
      <c r="L65" s="21" t="n"/>
    </row>
    <row r="66" ht="22" customHeight="1">
      <c r="B66" s="22">
        <f>IF(C66="","PRET"&amp;TEXT(COUNTA($C$5:C66),"000"))</f>
        <v/>
      </c>
      <c r="C66" s="22" t="n"/>
      <c r="D66" s="22">
        <f>IF(C66="","",VLOOKUP(C66,'_Données Employés'!$B$5:$S$114,3,FALSE))</f>
        <v/>
      </c>
      <c r="E66" s="22" t="n"/>
      <c r="F66" s="22" t="n"/>
      <c r="G66" s="22" t="n"/>
      <c r="H66" s="22" t="n"/>
      <c r="I66" s="18">
        <f>IF(OR(F66="",G66=""),"",IFERROR((F66*(1+G66/100*H66/12))/H66,0))</f>
        <v/>
      </c>
      <c r="J66" s="22" t="n"/>
      <c r="K66" s="18">
        <f>IF(F66="","",IFERROR(F66-I66,0))</f>
        <v/>
      </c>
      <c r="L66" s="22" t="n"/>
    </row>
    <row r="67" ht="22" customHeight="1">
      <c r="B67" s="21">
        <f>IF(C67="","PRET"&amp;TEXT(COUNTA($C$5:C67),"000"))</f>
        <v/>
      </c>
      <c r="C67" s="21" t="n"/>
      <c r="D67" s="21">
        <f>IF(C67="","",VLOOKUP(C67,'_Données Employés'!$B$5:$S$114,3,FALSE))</f>
        <v/>
      </c>
      <c r="E67" s="21" t="n"/>
      <c r="F67" s="21" t="n"/>
      <c r="G67" s="21" t="n"/>
      <c r="H67" s="21" t="n"/>
      <c r="I67" s="16">
        <f>IF(OR(F67="",G67=""),"",IFERROR((F67*(1+G67/100*H67/12))/H67,0))</f>
        <v/>
      </c>
      <c r="J67" s="21" t="n"/>
      <c r="K67" s="16">
        <f>IF(F67="","",IFERROR(F67-I67,0))</f>
        <v/>
      </c>
      <c r="L67" s="21" t="n"/>
    </row>
    <row r="68" ht="22" customHeight="1">
      <c r="B68" s="22">
        <f>IF(C68="","PRET"&amp;TEXT(COUNTA($C$5:C68),"000"))</f>
        <v/>
      </c>
      <c r="C68" s="22" t="n"/>
      <c r="D68" s="22">
        <f>IF(C68="","",VLOOKUP(C68,'_Données Employés'!$B$5:$S$114,3,FALSE))</f>
        <v/>
      </c>
      <c r="E68" s="22" t="n"/>
      <c r="F68" s="22" t="n"/>
      <c r="G68" s="22" t="n"/>
      <c r="H68" s="22" t="n"/>
      <c r="I68" s="18">
        <f>IF(OR(F68="",G68=""),"",IFERROR((F68*(1+G68/100*H68/12))/H68,0))</f>
        <v/>
      </c>
      <c r="J68" s="22" t="n"/>
      <c r="K68" s="18">
        <f>IF(F68="","",IFERROR(F68-I68,0))</f>
        <v/>
      </c>
      <c r="L68" s="22" t="n"/>
    </row>
    <row r="69" ht="22" customHeight="1">
      <c r="B69" s="21">
        <f>IF(C69="","PRET"&amp;TEXT(COUNTA($C$5:C69),"000"))</f>
        <v/>
      </c>
      <c r="C69" s="21" t="n"/>
      <c r="D69" s="21">
        <f>IF(C69="","",VLOOKUP(C69,'_Données Employés'!$B$5:$S$114,3,FALSE))</f>
        <v/>
      </c>
      <c r="E69" s="21" t="n"/>
      <c r="F69" s="21" t="n"/>
      <c r="G69" s="21" t="n"/>
      <c r="H69" s="21" t="n"/>
      <c r="I69" s="16">
        <f>IF(OR(F69="",G69=""),"",IFERROR((F69*(1+G69/100*H69/12))/H69,0))</f>
        <v/>
      </c>
      <c r="J69" s="21" t="n"/>
      <c r="K69" s="16">
        <f>IF(F69="","",IFERROR(F69-I69,0))</f>
        <v/>
      </c>
      <c r="L69" s="21" t="n"/>
    </row>
    <row r="70" ht="22" customHeight="1">
      <c r="B70" s="22">
        <f>IF(C70="","PRET"&amp;TEXT(COUNTA($C$5:C70),"000"))</f>
        <v/>
      </c>
      <c r="C70" s="22" t="n"/>
      <c r="D70" s="22">
        <f>IF(C70="","",VLOOKUP(C70,'_Données Employés'!$B$5:$S$114,3,FALSE))</f>
        <v/>
      </c>
      <c r="E70" s="22" t="n"/>
      <c r="F70" s="22" t="n"/>
      <c r="G70" s="22" t="n"/>
      <c r="H70" s="22" t="n"/>
      <c r="I70" s="18">
        <f>IF(OR(F70="",G70=""),"",IFERROR((F70*(1+G70/100*H70/12))/H70,0))</f>
        <v/>
      </c>
      <c r="J70" s="22" t="n"/>
      <c r="K70" s="18">
        <f>IF(F70="","",IFERROR(F70-I70,0))</f>
        <v/>
      </c>
      <c r="L70" s="22" t="n"/>
    </row>
    <row r="71" ht="22" customHeight="1">
      <c r="B71" s="21">
        <f>IF(C71="","PRET"&amp;TEXT(COUNTA($C$5:C71),"000"))</f>
        <v/>
      </c>
      <c r="C71" s="21" t="n"/>
      <c r="D71" s="21">
        <f>IF(C71="","",VLOOKUP(C71,'_Données Employés'!$B$5:$S$114,3,FALSE))</f>
        <v/>
      </c>
      <c r="E71" s="21" t="n"/>
      <c r="F71" s="21" t="n"/>
      <c r="G71" s="21" t="n"/>
      <c r="H71" s="21" t="n"/>
      <c r="I71" s="16">
        <f>IF(OR(F71="",G71=""),"",IFERROR((F71*(1+G71/100*H71/12))/H71,0))</f>
        <v/>
      </c>
      <c r="J71" s="21" t="n"/>
      <c r="K71" s="16">
        <f>IF(F71="","",IFERROR(F71-I71,0))</f>
        <v/>
      </c>
      <c r="L71" s="21" t="n"/>
    </row>
    <row r="72" ht="22" customHeight="1">
      <c r="B72" s="22">
        <f>IF(C72="","PRET"&amp;TEXT(COUNTA($C$5:C72),"000"))</f>
        <v/>
      </c>
      <c r="C72" s="22" t="n"/>
      <c r="D72" s="22">
        <f>IF(C72="","",VLOOKUP(C72,'_Données Employés'!$B$5:$S$114,3,FALSE))</f>
        <v/>
      </c>
      <c r="E72" s="22" t="n"/>
      <c r="F72" s="22" t="n"/>
      <c r="G72" s="22" t="n"/>
      <c r="H72" s="22" t="n"/>
      <c r="I72" s="18">
        <f>IF(OR(F72="",G72=""),"",IFERROR((F72*(1+G72/100*H72/12))/H72,0))</f>
        <v/>
      </c>
      <c r="J72" s="22" t="n"/>
      <c r="K72" s="18">
        <f>IF(F72="","",IFERROR(F72-I72,0))</f>
        <v/>
      </c>
      <c r="L72" s="22" t="n"/>
    </row>
    <row r="73" ht="22" customHeight="1">
      <c r="B73" s="21">
        <f>IF(C73="","PRET"&amp;TEXT(COUNTA($C$5:C73),"000"))</f>
        <v/>
      </c>
      <c r="C73" s="21" t="n"/>
      <c r="D73" s="21">
        <f>IF(C73="","",VLOOKUP(C73,'_Données Employés'!$B$5:$S$114,3,FALSE))</f>
        <v/>
      </c>
      <c r="E73" s="21" t="n"/>
      <c r="F73" s="21" t="n"/>
      <c r="G73" s="21" t="n"/>
      <c r="H73" s="21" t="n"/>
      <c r="I73" s="16">
        <f>IF(OR(F73="",G73=""),"",IFERROR((F73*(1+G73/100*H73/12))/H73,0))</f>
        <v/>
      </c>
      <c r="J73" s="21" t="n"/>
      <c r="K73" s="16">
        <f>IF(F73="","",IFERROR(F73-I73,0))</f>
        <v/>
      </c>
      <c r="L73" s="21" t="n"/>
    </row>
    <row r="74" ht="22" customHeight="1">
      <c r="B74" s="22">
        <f>IF(C74="","PRET"&amp;TEXT(COUNTA($C$5:C74),"000"))</f>
        <v/>
      </c>
      <c r="C74" s="22" t="n"/>
      <c r="D74" s="22">
        <f>IF(C74="","",VLOOKUP(C74,'_Données Employés'!$B$5:$S$114,3,FALSE))</f>
        <v/>
      </c>
      <c r="E74" s="22" t="n"/>
      <c r="F74" s="22" t="n"/>
      <c r="G74" s="22" t="n"/>
      <c r="H74" s="22" t="n"/>
      <c r="I74" s="18">
        <f>IF(OR(F74="",G74=""),"",IFERROR((F74*(1+G74/100*H74/12))/H74,0))</f>
        <v/>
      </c>
      <c r="J74" s="22" t="n"/>
      <c r="K74" s="18">
        <f>IF(F74="","",IFERROR(F74-I74,0))</f>
        <v/>
      </c>
      <c r="L74" s="22" t="n"/>
    </row>
    <row r="75" ht="22" customHeight="1">
      <c r="B75" s="21">
        <f>IF(C75="","PRET"&amp;TEXT(COUNTA($C$5:C75),"000"))</f>
        <v/>
      </c>
      <c r="C75" s="21" t="n"/>
      <c r="D75" s="21">
        <f>IF(C75="","",VLOOKUP(C75,'_Données Employés'!$B$5:$S$114,3,FALSE))</f>
        <v/>
      </c>
      <c r="E75" s="21" t="n"/>
      <c r="F75" s="21" t="n"/>
      <c r="G75" s="21" t="n"/>
      <c r="H75" s="21" t="n"/>
      <c r="I75" s="16">
        <f>IF(OR(F75="",G75=""),"",IFERROR((F75*(1+G75/100*H75/12))/H75,0))</f>
        <v/>
      </c>
      <c r="J75" s="21" t="n"/>
      <c r="K75" s="16">
        <f>IF(F75="","",IFERROR(F75-I75,0))</f>
        <v/>
      </c>
      <c r="L75" s="21" t="n"/>
    </row>
    <row r="76" ht="22" customHeight="1">
      <c r="B76" s="22">
        <f>IF(C76="","PRET"&amp;TEXT(COUNTA($C$5:C76),"000"))</f>
        <v/>
      </c>
      <c r="C76" s="22" t="n"/>
      <c r="D76" s="22">
        <f>IF(C76="","",VLOOKUP(C76,'_Données Employés'!$B$5:$S$114,3,FALSE))</f>
        <v/>
      </c>
      <c r="E76" s="22" t="n"/>
      <c r="F76" s="22" t="n"/>
      <c r="G76" s="22" t="n"/>
      <c r="H76" s="22" t="n"/>
      <c r="I76" s="18">
        <f>IF(OR(F76="",G76=""),"",IFERROR((F76*(1+G76/100*H76/12))/H76,0))</f>
        <v/>
      </c>
      <c r="J76" s="22" t="n"/>
      <c r="K76" s="18">
        <f>IF(F76="","",IFERROR(F76-I76,0))</f>
        <v/>
      </c>
      <c r="L76" s="22" t="n"/>
    </row>
    <row r="77" ht="22" customHeight="1">
      <c r="B77" s="21">
        <f>IF(C77="","PRET"&amp;TEXT(COUNTA($C$5:C77),"000"))</f>
        <v/>
      </c>
      <c r="C77" s="21" t="n"/>
      <c r="D77" s="21">
        <f>IF(C77="","",VLOOKUP(C77,'_Données Employés'!$B$5:$S$114,3,FALSE))</f>
        <v/>
      </c>
      <c r="E77" s="21" t="n"/>
      <c r="F77" s="21" t="n"/>
      <c r="G77" s="21" t="n"/>
      <c r="H77" s="21" t="n"/>
      <c r="I77" s="16">
        <f>IF(OR(F77="",G77=""),"",IFERROR((F77*(1+G77/100*H77/12))/H77,0))</f>
        <v/>
      </c>
      <c r="J77" s="21" t="n"/>
      <c r="K77" s="16">
        <f>IF(F77="","",IFERROR(F77-I77,0))</f>
        <v/>
      </c>
      <c r="L77" s="21" t="n"/>
    </row>
    <row r="78" ht="22" customHeight="1">
      <c r="B78" s="22">
        <f>IF(C78="","PRET"&amp;TEXT(COUNTA($C$5:C78),"000"))</f>
        <v/>
      </c>
      <c r="C78" s="22" t="n"/>
      <c r="D78" s="22">
        <f>IF(C78="","",VLOOKUP(C78,'_Données Employés'!$B$5:$S$114,3,FALSE))</f>
        <v/>
      </c>
      <c r="E78" s="22" t="n"/>
      <c r="F78" s="22" t="n"/>
      <c r="G78" s="22" t="n"/>
      <c r="H78" s="22" t="n"/>
      <c r="I78" s="18">
        <f>IF(OR(F78="",G78=""),"",IFERROR((F78*(1+G78/100*H78/12))/H78,0))</f>
        <v/>
      </c>
      <c r="J78" s="22" t="n"/>
      <c r="K78" s="18">
        <f>IF(F78="","",IFERROR(F78-I78,0))</f>
        <v/>
      </c>
      <c r="L78" s="22" t="n"/>
    </row>
    <row r="79" ht="22" customHeight="1">
      <c r="B79" s="21">
        <f>IF(C79="","PRET"&amp;TEXT(COUNTA($C$5:C79),"000"))</f>
        <v/>
      </c>
      <c r="C79" s="21" t="n"/>
      <c r="D79" s="21">
        <f>IF(C79="","",VLOOKUP(C79,'_Données Employés'!$B$5:$S$114,3,FALSE))</f>
        <v/>
      </c>
      <c r="E79" s="21" t="n"/>
      <c r="F79" s="21" t="n"/>
      <c r="G79" s="21" t="n"/>
      <c r="H79" s="21" t="n"/>
      <c r="I79" s="16">
        <f>IF(OR(F79="",G79=""),"",IFERROR((F79*(1+G79/100*H79/12))/H79,0))</f>
        <v/>
      </c>
      <c r="J79" s="21" t="n"/>
      <c r="K79" s="16">
        <f>IF(F79="","",IFERROR(F79-I79,0))</f>
        <v/>
      </c>
      <c r="L79" s="21" t="n"/>
    </row>
    <row r="80" ht="22" customHeight="1">
      <c r="B80" s="22">
        <f>IF(C80="","PRET"&amp;TEXT(COUNTA($C$5:C80),"000"))</f>
        <v/>
      </c>
      <c r="C80" s="22" t="n"/>
      <c r="D80" s="22">
        <f>IF(C80="","",VLOOKUP(C80,'_Données Employés'!$B$5:$S$114,3,FALSE))</f>
        <v/>
      </c>
      <c r="E80" s="22" t="n"/>
      <c r="F80" s="22" t="n"/>
      <c r="G80" s="22" t="n"/>
      <c r="H80" s="22" t="n"/>
      <c r="I80" s="18">
        <f>IF(OR(F80="",G80=""),"",IFERROR((F80*(1+G80/100*H80/12))/H80,0))</f>
        <v/>
      </c>
      <c r="J80" s="22" t="n"/>
      <c r="K80" s="18">
        <f>IF(F80="","",IFERROR(F80-I80,0))</f>
        <v/>
      </c>
      <c r="L80" s="22" t="n"/>
    </row>
    <row r="81" ht="22" customHeight="1">
      <c r="B81" s="21">
        <f>IF(C81="","PRET"&amp;TEXT(COUNTA($C$5:C81),"000"))</f>
        <v/>
      </c>
      <c r="C81" s="21" t="n"/>
      <c r="D81" s="21">
        <f>IF(C81="","",VLOOKUP(C81,'_Données Employés'!$B$5:$S$114,3,FALSE))</f>
        <v/>
      </c>
      <c r="E81" s="21" t="n"/>
      <c r="F81" s="21" t="n"/>
      <c r="G81" s="21" t="n"/>
      <c r="H81" s="21" t="n"/>
      <c r="I81" s="16">
        <f>IF(OR(F81="",G81=""),"",IFERROR((F81*(1+G81/100*H81/12))/H81,0))</f>
        <v/>
      </c>
      <c r="J81" s="21" t="n"/>
      <c r="K81" s="16">
        <f>IF(F81="","",IFERROR(F81-I81,0))</f>
        <v/>
      </c>
      <c r="L81" s="21" t="n"/>
    </row>
    <row r="82" ht="22" customHeight="1">
      <c r="B82" s="22">
        <f>IF(C82="","PRET"&amp;TEXT(COUNTA($C$5:C82),"000"))</f>
        <v/>
      </c>
      <c r="C82" s="22" t="n"/>
      <c r="D82" s="22">
        <f>IF(C82="","",VLOOKUP(C82,'_Données Employés'!$B$5:$S$114,3,FALSE))</f>
        <v/>
      </c>
      <c r="E82" s="22" t="n"/>
      <c r="F82" s="22" t="n"/>
      <c r="G82" s="22" t="n"/>
      <c r="H82" s="22" t="n"/>
      <c r="I82" s="18">
        <f>IF(OR(F82="",G82=""),"",IFERROR((F82*(1+G82/100*H82/12))/H82,0))</f>
        <v/>
      </c>
      <c r="J82" s="22" t="n"/>
      <c r="K82" s="18">
        <f>IF(F82="","",IFERROR(F82-I82,0))</f>
        <v/>
      </c>
      <c r="L82" s="22" t="n"/>
    </row>
    <row r="83" ht="22" customHeight="1">
      <c r="B83" s="21">
        <f>IF(C83="","PRET"&amp;TEXT(COUNTA($C$5:C83),"000"))</f>
        <v/>
      </c>
      <c r="C83" s="21" t="n"/>
      <c r="D83" s="21">
        <f>IF(C83="","",VLOOKUP(C83,'_Données Employés'!$B$5:$S$114,3,FALSE))</f>
        <v/>
      </c>
      <c r="E83" s="21" t="n"/>
      <c r="F83" s="21" t="n"/>
      <c r="G83" s="21" t="n"/>
      <c r="H83" s="21" t="n"/>
      <c r="I83" s="16">
        <f>IF(OR(F83="",G83=""),"",IFERROR((F83*(1+G83/100*H83/12))/H83,0))</f>
        <v/>
      </c>
      <c r="J83" s="21" t="n"/>
      <c r="K83" s="16">
        <f>IF(F83="","",IFERROR(F83-I83,0))</f>
        <v/>
      </c>
      <c r="L83" s="21" t="n"/>
    </row>
    <row r="84" ht="22" customHeight="1">
      <c r="B84" s="22">
        <f>IF(C84="","PRET"&amp;TEXT(COUNTA($C$5:C84),"000"))</f>
        <v/>
      </c>
      <c r="C84" s="22" t="n"/>
      <c r="D84" s="22">
        <f>IF(C84="","",VLOOKUP(C84,'_Données Employés'!$B$5:$S$114,3,FALSE))</f>
        <v/>
      </c>
      <c r="E84" s="22" t="n"/>
      <c r="F84" s="22" t="n"/>
      <c r="G84" s="22" t="n"/>
      <c r="H84" s="22" t="n"/>
      <c r="I84" s="18">
        <f>IF(OR(F84="",G84=""),"",IFERROR((F84*(1+G84/100*H84/12))/H84,0))</f>
        <v/>
      </c>
      <c r="J84" s="22" t="n"/>
      <c r="K84" s="18">
        <f>IF(F84="","",IFERROR(F84-I84,0))</f>
        <v/>
      </c>
      <c r="L84" s="22" t="n"/>
    </row>
    <row r="85" ht="22" customHeight="1">
      <c r="B85" s="21">
        <f>IF(C85="","PRET"&amp;TEXT(COUNTA($C$5:C85),"000"))</f>
        <v/>
      </c>
      <c r="C85" s="21" t="n"/>
      <c r="D85" s="21">
        <f>IF(C85="","",VLOOKUP(C85,'_Données Employés'!$B$5:$S$114,3,FALSE))</f>
        <v/>
      </c>
      <c r="E85" s="21" t="n"/>
      <c r="F85" s="21" t="n"/>
      <c r="G85" s="21" t="n"/>
      <c r="H85" s="21" t="n"/>
      <c r="I85" s="16">
        <f>IF(OR(F85="",G85=""),"",IFERROR((F85*(1+G85/100*H85/12))/H85,0))</f>
        <v/>
      </c>
      <c r="J85" s="21" t="n"/>
      <c r="K85" s="16">
        <f>IF(F85="","",IFERROR(F85-I85,0))</f>
        <v/>
      </c>
      <c r="L85" s="21" t="n"/>
    </row>
    <row r="86" ht="22" customHeight="1">
      <c r="B86" s="22">
        <f>IF(C86="","PRET"&amp;TEXT(COUNTA($C$5:C86),"000"))</f>
        <v/>
      </c>
      <c r="C86" s="22" t="n"/>
      <c r="D86" s="22">
        <f>IF(C86="","",VLOOKUP(C86,'_Données Employés'!$B$5:$S$114,3,FALSE))</f>
        <v/>
      </c>
      <c r="E86" s="22" t="n"/>
      <c r="F86" s="22" t="n"/>
      <c r="G86" s="22" t="n"/>
      <c r="H86" s="22" t="n"/>
      <c r="I86" s="18">
        <f>IF(OR(F86="",G86=""),"",IFERROR((F86*(1+G86/100*H86/12))/H86,0))</f>
        <v/>
      </c>
      <c r="J86" s="22" t="n"/>
      <c r="K86" s="18">
        <f>IF(F86="","",IFERROR(F86-I86,0))</f>
        <v/>
      </c>
      <c r="L86" s="22" t="n"/>
    </row>
    <row r="87" ht="22" customHeight="1">
      <c r="B87" s="21">
        <f>IF(C87="","PRET"&amp;TEXT(COUNTA($C$5:C87),"000"))</f>
        <v/>
      </c>
      <c r="C87" s="21" t="n"/>
      <c r="D87" s="21">
        <f>IF(C87="","",VLOOKUP(C87,'_Données Employés'!$B$5:$S$114,3,FALSE))</f>
        <v/>
      </c>
      <c r="E87" s="21" t="n"/>
      <c r="F87" s="21" t="n"/>
      <c r="G87" s="21" t="n"/>
      <c r="H87" s="21" t="n"/>
      <c r="I87" s="16">
        <f>IF(OR(F87="",G87=""),"",IFERROR((F87*(1+G87/100*H87/12))/H87,0))</f>
        <v/>
      </c>
      <c r="J87" s="21" t="n"/>
      <c r="K87" s="16">
        <f>IF(F87="","",IFERROR(F87-I87,0))</f>
        <v/>
      </c>
      <c r="L87" s="21" t="n"/>
    </row>
    <row r="88" ht="22" customHeight="1">
      <c r="B88" s="22">
        <f>IF(C88="","PRET"&amp;TEXT(COUNTA($C$5:C88),"000"))</f>
        <v/>
      </c>
      <c r="C88" s="22" t="n"/>
      <c r="D88" s="22">
        <f>IF(C88="","",VLOOKUP(C88,'_Données Employés'!$B$5:$S$114,3,FALSE))</f>
        <v/>
      </c>
      <c r="E88" s="22" t="n"/>
      <c r="F88" s="22" t="n"/>
      <c r="G88" s="22" t="n"/>
      <c r="H88" s="22" t="n"/>
      <c r="I88" s="18">
        <f>IF(OR(F88="",G88=""),"",IFERROR((F88*(1+G88/100*H88/12))/H88,0))</f>
        <v/>
      </c>
      <c r="J88" s="22" t="n"/>
      <c r="K88" s="18">
        <f>IF(F88="","",IFERROR(F88-I88,0))</f>
        <v/>
      </c>
      <c r="L88" s="22" t="n"/>
    </row>
    <row r="89" ht="22" customHeight="1">
      <c r="B89" s="21">
        <f>IF(C89="","PRET"&amp;TEXT(COUNTA($C$5:C89),"000"))</f>
        <v/>
      </c>
      <c r="C89" s="21" t="n"/>
      <c r="D89" s="21">
        <f>IF(C89="","",VLOOKUP(C89,'_Données Employés'!$B$5:$S$114,3,FALSE))</f>
        <v/>
      </c>
      <c r="E89" s="21" t="n"/>
      <c r="F89" s="21" t="n"/>
      <c r="G89" s="21" t="n"/>
      <c r="H89" s="21" t="n"/>
      <c r="I89" s="16">
        <f>IF(OR(F89="",G89=""),"",IFERROR((F89*(1+G89/100*H89/12))/H89,0))</f>
        <v/>
      </c>
      <c r="J89" s="21" t="n"/>
      <c r="K89" s="16">
        <f>IF(F89="","",IFERROR(F89-I89,0))</f>
        <v/>
      </c>
      <c r="L89" s="21" t="n"/>
    </row>
    <row r="90" ht="22" customHeight="1">
      <c r="B90" s="22">
        <f>IF(C90="","PRET"&amp;TEXT(COUNTA($C$5:C90),"000"))</f>
        <v/>
      </c>
      <c r="C90" s="22" t="n"/>
      <c r="D90" s="22">
        <f>IF(C90="","",VLOOKUP(C90,'_Données Employés'!$B$5:$S$114,3,FALSE))</f>
        <v/>
      </c>
      <c r="E90" s="22" t="n"/>
      <c r="F90" s="22" t="n"/>
      <c r="G90" s="22" t="n"/>
      <c r="H90" s="22" t="n"/>
      <c r="I90" s="18">
        <f>IF(OR(F90="",G90=""),"",IFERROR((F90*(1+G90/100*H90/12))/H90,0))</f>
        <v/>
      </c>
      <c r="J90" s="22" t="n"/>
      <c r="K90" s="18">
        <f>IF(F90="","",IFERROR(F90-I90,0))</f>
        <v/>
      </c>
      <c r="L90" s="22" t="n"/>
    </row>
    <row r="91" ht="22" customHeight="1">
      <c r="B91" s="21">
        <f>IF(C91="","PRET"&amp;TEXT(COUNTA($C$5:C91),"000"))</f>
        <v/>
      </c>
      <c r="C91" s="21" t="n"/>
      <c r="D91" s="21">
        <f>IF(C91="","",VLOOKUP(C91,'_Données Employés'!$B$5:$S$114,3,FALSE))</f>
        <v/>
      </c>
      <c r="E91" s="21" t="n"/>
      <c r="F91" s="21" t="n"/>
      <c r="G91" s="21" t="n"/>
      <c r="H91" s="21" t="n"/>
      <c r="I91" s="16">
        <f>IF(OR(F91="",G91=""),"",IFERROR((F91*(1+G91/100*H91/12))/H91,0))</f>
        <v/>
      </c>
      <c r="J91" s="21" t="n"/>
      <c r="K91" s="16">
        <f>IF(F91="","",IFERROR(F91-I91,0))</f>
        <v/>
      </c>
      <c r="L91" s="21" t="n"/>
    </row>
    <row r="92" ht="22" customHeight="1">
      <c r="B92" s="22">
        <f>IF(C92="","PRET"&amp;TEXT(COUNTA($C$5:C92),"000"))</f>
        <v/>
      </c>
      <c r="C92" s="22" t="n"/>
      <c r="D92" s="22">
        <f>IF(C92="","",VLOOKUP(C92,'_Données Employés'!$B$5:$S$114,3,FALSE))</f>
        <v/>
      </c>
      <c r="E92" s="22" t="n"/>
      <c r="F92" s="22" t="n"/>
      <c r="G92" s="22" t="n"/>
      <c r="H92" s="22" t="n"/>
      <c r="I92" s="18">
        <f>IF(OR(F92="",G92=""),"",IFERROR((F92*(1+G92/100*H92/12))/H92,0))</f>
        <v/>
      </c>
      <c r="J92" s="22" t="n"/>
      <c r="K92" s="18">
        <f>IF(F92="","",IFERROR(F92-I92,0))</f>
        <v/>
      </c>
      <c r="L92" s="22" t="n"/>
    </row>
    <row r="93" ht="22" customHeight="1">
      <c r="B93" s="21">
        <f>IF(C93="","PRET"&amp;TEXT(COUNTA($C$5:C93),"000"))</f>
        <v/>
      </c>
      <c r="C93" s="21" t="n"/>
      <c r="D93" s="21">
        <f>IF(C93="","",VLOOKUP(C93,'_Données Employés'!$B$5:$S$114,3,FALSE))</f>
        <v/>
      </c>
      <c r="E93" s="21" t="n"/>
      <c r="F93" s="21" t="n"/>
      <c r="G93" s="21" t="n"/>
      <c r="H93" s="21" t="n"/>
      <c r="I93" s="16">
        <f>IF(OR(F93="",G93=""),"",IFERROR((F93*(1+G93/100*H93/12))/H93,0))</f>
        <v/>
      </c>
      <c r="J93" s="21" t="n"/>
      <c r="K93" s="16">
        <f>IF(F93="","",IFERROR(F93-I93,0))</f>
        <v/>
      </c>
      <c r="L93" s="21" t="n"/>
    </row>
    <row r="94" ht="22" customHeight="1">
      <c r="B94" s="22">
        <f>IF(C94="","PRET"&amp;TEXT(COUNTA($C$5:C94),"000"))</f>
        <v/>
      </c>
      <c r="C94" s="22" t="n"/>
      <c r="D94" s="22">
        <f>IF(C94="","",VLOOKUP(C94,'_Données Employés'!$B$5:$S$114,3,FALSE))</f>
        <v/>
      </c>
      <c r="E94" s="22" t="n"/>
      <c r="F94" s="22" t="n"/>
      <c r="G94" s="22" t="n"/>
      <c r="H94" s="22" t="n"/>
      <c r="I94" s="18">
        <f>IF(OR(F94="",G94=""),"",IFERROR((F94*(1+G94/100*H94/12))/H94,0))</f>
        <v/>
      </c>
      <c r="J94" s="22" t="n"/>
      <c r="K94" s="18">
        <f>IF(F94="","",IFERROR(F94-I94,0))</f>
        <v/>
      </c>
      <c r="L94" s="22" t="n"/>
    </row>
    <row r="95" ht="22" customHeight="1">
      <c r="B95" s="21">
        <f>IF(C95="","PRET"&amp;TEXT(COUNTA($C$5:C95),"000"))</f>
        <v/>
      </c>
      <c r="C95" s="21" t="n"/>
      <c r="D95" s="21">
        <f>IF(C95="","",VLOOKUP(C95,'_Données Employés'!$B$5:$S$114,3,FALSE))</f>
        <v/>
      </c>
      <c r="E95" s="21" t="n"/>
      <c r="F95" s="21" t="n"/>
      <c r="G95" s="21" t="n"/>
      <c r="H95" s="21" t="n"/>
      <c r="I95" s="16">
        <f>IF(OR(F95="",G95=""),"",IFERROR((F95*(1+G95/100*H95/12))/H95,0))</f>
        <v/>
      </c>
      <c r="J95" s="21" t="n"/>
      <c r="K95" s="16">
        <f>IF(F95="","",IFERROR(F95-I95,0))</f>
        <v/>
      </c>
      <c r="L95" s="21" t="n"/>
    </row>
    <row r="96" ht="22" customHeight="1">
      <c r="B96" s="22">
        <f>IF(C96="","PRET"&amp;TEXT(COUNTA($C$5:C96),"000"))</f>
        <v/>
      </c>
      <c r="C96" s="22" t="n"/>
      <c r="D96" s="22">
        <f>IF(C96="","",VLOOKUP(C96,'_Données Employés'!$B$5:$S$114,3,FALSE))</f>
        <v/>
      </c>
      <c r="E96" s="22" t="n"/>
      <c r="F96" s="22" t="n"/>
      <c r="G96" s="22" t="n"/>
      <c r="H96" s="22" t="n"/>
      <c r="I96" s="18">
        <f>IF(OR(F96="",G96=""),"",IFERROR((F96*(1+G96/100*H96/12))/H96,0))</f>
        <v/>
      </c>
      <c r="J96" s="22" t="n"/>
      <c r="K96" s="18">
        <f>IF(F96="","",IFERROR(F96-I96,0))</f>
        <v/>
      </c>
      <c r="L96" s="22" t="n"/>
    </row>
    <row r="97" ht="22" customHeight="1">
      <c r="B97" s="21">
        <f>IF(C97="","PRET"&amp;TEXT(COUNTA($C$5:C97),"000"))</f>
        <v/>
      </c>
      <c r="C97" s="21" t="n"/>
      <c r="D97" s="21">
        <f>IF(C97="","",VLOOKUP(C97,'_Données Employés'!$B$5:$S$114,3,FALSE))</f>
        <v/>
      </c>
      <c r="E97" s="21" t="n"/>
      <c r="F97" s="21" t="n"/>
      <c r="G97" s="21" t="n"/>
      <c r="H97" s="21" t="n"/>
      <c r="I97" s="16">
        <f>IF(OR(F97="",G97=""),"",IFERROR((F97*(1+G97/100*H97/12))/H97,0))</f>
        <v/>
      </c>
      <c r="J97" s="21" t="n"/>
      <c r="K97" s="16">
        <f>IF(F97="","",IFERROR(F97-I97,0))</f>
        <v/>
      </c>
      <c r="L97" s="21" t="n"/>
    </row>
    <row r="98" ht="22" customHeight="1">
      <c r="B98" s="22">
        <f>IF(C98="","PRET"&amp;TEXT(COUNTA($C$5:C98),"000"))</f>
        <v/>
      </c>
      <c r="C98" s="22" t="n"/>
      <c r="D98" s="22">
        <f>IF(C98="","",VLOOKUP(C98,'_Données Employés'!$B$5:$S$114,3,FALSE))</f>
        <v/>
      </c>
      <c r="E98" s="22" t="n"/>
      <c r="F98" s="22" t="n"/>
      <c r="G98" s="22" t="n"/>
      <c r="H98" s="22" t="n"/>
      <c r="I98" s="18">
        <f>IF(OR(F98="",G98=""),"",IFERROR((F98*(1+G98/100*H98/12))/H98,0))</f>
        <v/>
      </c>
      <c r="J98" s="22" t="n"/>
      <c r="K98" s="18">
        <f>IF(F98="","",IFERROR(F98-I98,0))</f>
        <v/>
      </c>
      <c r="L98" s="22" t="n"/>
    </row>
    <row r="99" ht="22" customHeight="1">
      <c r="B99" s="21">
        <f>IF(C99="","PRET"&amp;TEXT(COUNTA($C$5:C99),"000"))</f>
        <v/>
      </c>
      <c r="C99" s="21" t="n"/>
      <c r="D99" s="21">
        <f>IF(C99="","",VLOOKUP(C99,'_Données Employés'!$B$5:$S$114,3,FALSE))</f>
        <v/>
      </c>
      <c r="E99" s="21" t="n"/>
      <c r="F99" s="21" t="n"/>
      <c r="G99" s="21" t="n"/>
      <c r="H99" s="21" t="n"/>
      <c r="I99" s="16">
        <f>IF(OR(F99="",G99=""),"",IFERROR((F99*(1+G99/100*H99/12))/H99,0))</f>
        <v/>
      </c>
      <c r="J99" s="21" t="n"/>
      <c r="K99" s="16">
        <f>IF(F99="","",IFERROR(F99-I99,0))</f>
        <v/>
      </c>
      <c r="L99" s="21" t="n"/>
    </row>
    <row r="100" ht="22" customHeight="1">
      <c r="B100" s="22">
        <f>IF(C100="","PRET"&amp;TEXT(COUNTA($C$5:C100),"000"))</f>
        <v/>
      </c>
      <c r="C100" s="22" t="n"/>
      <c r="D100" s="22">
        <f>IF(C100="","",VLOOKUP(C100,'_Données Employés'!$B$5:$S$114,3,FALSE))</f>
        <v/>
      </c>
      <c r="E100" s="22" t="n"/>
      <c r="F100" s="22" t="n"/>
      <c r="G100" s="22" t="n"/>
      <c r="H100" s="22" t="n"/>
      <c r="I100" s="18">
        <f>IF(OR(F100="",G100=""),"",IFERROR((F100*(1+G100/100*H100/12))/H100,0))</f>
        <v/>
      </c>
      <c r="J100" s="22" t="n"/>
      <c r="K100" s="18">
        <f>IF(F100="","",IFERROR(F100-I100,0))</f>
        <v/>
      </c>
      <c r="L100" s="22" t="n"/>
    </row>
    <row r="101" ht="22" customHeight="1">
      <c r="B101" s="21">
        <f>IF(C101="","PRET"&amp;TEXT(COUNTA($C$5:C101),"000"))</f>
        <v/>
      </c>
      <c r="C101" s="21" t="n"/>
      <c r="D101" s="21">
        <f>IF(C101="","",VLOOKUP(C101,'_Données Employés'!$B$5:$S$114,3,FALSE))</f>
        <v/>
      </c>
      <c r="E101" s="21" t="n"/>
      <c r="F101" s="21" t="n"/>
      <c r="G101" s="21" t="n"/>
      <c r="H101" s="21" t="n"/>
      <c r="I101" s="16">
        <f>IF(OR(F101="",G101=""),"",IFERROR((F101*(1+G101/100*H101/12))/H101,0))</f>
        <v/>
      </c>
      <c r="J101" s="21" t="n"/>
      <c r="K101" s="16">
        <f>IF(F101="","",IFERROR(F101-I101,0))</f>
        <v/>
      </c>
      <c r="L101" s="21" t="n"/>
    </row>
    <row r="102" ht="22" customHeight="1">
      <c r="B102" s="22">
        <f>IF(C102="","PRET"&amp;TEXT(COUNTA($C$5:C102),"000"))</f>
        <v/>
      </c>
      <c r="C102" s="22" t="n"/>
      <c r="D102" s="22">
        <f>IF(C102="","",VLOOKUP(C102,'_Données Employés'!$B$5:$S$114,3,FALSE))</f>
        <v/>
      </c>
      <c r="E102" s="22" t="n"/>
      <c r="F102" s="22" t="n"/>
      <c r="G102" s="22" t="n"/>
      <c r="H102" s="22" t="n"/>
      <c r="I102" s="18">
        <f>IF(OR(F102="",G102=""),"",IFERROR((F102*(1+G102/100*H102/12))/H102,0))</f>
        <v/>
      </c>
      <c r="J102" s="22" t="n"/>
      <c r="K102" s="18">
        <f>IF(F102="","",IFERROR(F102-I102,0))</f>
        <v/>
      </c>
      <c r="L102" s="22" t="n"/>
    </row>
    <row r="103" ht="22" customHeight="1">
      <c r="B103" s="21">
        <f>IF(C103="","PRET"&amp;TEXT(COUNTA($C$5:C103),"000"))</f>
        <v/>
      </c>
      <c r="C103" s="21" t="n"/>
      <c r="D103" s="21">
        <f>IF(C103="","",VLOOKUP(C103,'_Données Employés'!$B$5:$S$114,3,FALSE))</f>
        <v/>
      </c>
      <c r="E103" s="21" t="n"/>
      <c r="F103" s="21" t="n"/>
      <c r="G103" s="21" t="n"/>
      <c r="H103" s="21" t="n"/>
      <c r="I103" s="16">
        <f>IF(OR(F103="",G103=""),"",IFERROR((F103*(1+G103/100*H103/12))/H103,0))</f>
        <v/>
      </c>
      <c r="J103" s="21" t="n"/>
      <c r="K103" s="16">
        <f>IF(F103="","",IFERROR(F103-I103,0))</f>
        <v/>
      </c>
      <c r="L103" s="21" t="n"/>
    </row>
    <row r="104" ht="22" customHeight="1">
      <c r="B104" s="22">
        <f>IF(C104="","PRET"&amp;TEXT(COUNTA($C$5:C104),"000"))</f>
        <v/>
      </c>
      <c r="C104" s="22" t="n"/>
      <c r="D104" s="22">
        <f>IF(C104="","",VLOOKUP(C104,'_Données Employés'!$B$5:$S$114,3,FALSE))</f>
        <v/>
      </c>
      <c r="E104" s="22" t="n"/>
      <c r="F104" s="22" t="n"/>
      <c r="G104" s="22" t="n"/>
      <c r="H104" s="22" t="n"/>
      <c r="I104" s="18">
        <f>IF(OR(F104="",G104=""),"",IFERROR((F104*(1+G104/100*H104/12))/H104,0))</f>
        <v/>
      </c>
      <c r="J104" s="22" t="n"/>
      <c r="K104" s="18">
        <f>IF(F104="","",IFERROR(F104-I104,0))</f>
        <v/>
      </c>
      <c r="L104" s="22" t="n"/>
    </row>
    <row r="107">
      <c r="B107" s="23" t="inlineStr">
        <is>
          <t>KPI Total prêt en cours (FCFA)</t>
        </is>
      </c>
      <c r="C107" s="23" t="inlineStr">
        <is>
          <t>KPI Prêts en retard</t>
        </is>
      </c>
    </row>
    <row r="108">
      <c r="B108" s="25">
        <f>SUM(J5:J104)</f>
        <v/>
      </c>
      <c r="C108" s="24">
        <f>COUNTIF(K5:K104,"En retard")</f>
        <v/>
      </c>
    </row>
  </sheetData>
  <mergeCells count="1">
    <mergeCell ref="B2:L2"/>
  </mergeCells>
  <conditionalFormatting sqref="L5:L104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"Solde"</formula>
    </cfRule>
    <cfRule type="cellIs" priority="4" operator="equal" dxfId="1">
      <formula>"Actif"</formula>
    </cfRule>
    <cfRule type="cellIs" priority="5" operator="equal" dxfId="1">
      <formula>"Oui"</formula>
    </cfRule>
    <cfRule type="cellIs" priority="6" operator="equal" dxfId="2">
      <formula>"Rejete"</formula>
    </cfRule>
    <cfRule type="cellIs" priority="7" operator="equal" dxfId="2">
      <formula>"En retard"</formula>
    </cfRule>
    <cfRule type="cellIs" priority="8" operator="equal" dxfId="2">
      <formula>"Refuse"</formula>
    </cfRule>
    <cfRule type="cellIs" priority="9" operator="equal" dxfId="2">
      <formula>"Annule"</formula>
    </cfRule>
    <cfRule type="cellIs" priority="10" operator="equal" dxfId="2">
      <formula>"Non"</formula>
    </cfRule>
    <cfRule type="cellIs" priority="11" operator="equal" dxfId="3">
      <formula>"En attente"</formula>
    </cfRule>
    <cfRule type="cellIs" priority="12" operator="equal" dxfId="3">
      <formula>"En cours"</formula>
    </cfRule>
    <cfRule type="cellIs" priority="13" operator="equal" dxfId="3">
      <formula>"Brouillon"</formula>
    </cfRule>
    <cfRule type="cellIs" priority="14" operator="equal" dxfId="3">
      <formula>"Demande"</formula>
    </cfRule>
    <cfRule type="cellIs" priority="15" operator="equal" dxfId="3">
      <formula>"Partiellement monetise"</formula>
    </cfRule>
  </conditionalFormatting>
  <conditionalFormatting sqref="F5:F104">
    <cfRule type="dataBar" priority="16">
      <dataBar>
        <cfvo type="num" val="0"/>
        <cfvo type="num" val="1"/>
        <color rgb="001B2A4A"/>
      </dataBar>
    </cfRule>
  </conditionalFormatting>
  <conditionalFormatting sqref="G5:G104">
    <cfRule type="dataBar" priority="17">
      <dataBar>
        <cfvo type="num" val="0"/>
        <cfvo type="num" val="1"/>
        <color rgb="001B2A4A"/>
      </dataBar>
    </cfRule>
  </conditionalFormatting>
  <conditionalFormatting sqref="H5:H104">
    <cfRule type="dataBar" priority="18">
      <dataBar>
        <cfvo type="num" val="0"/>
        <cfvo type="num" val="1"/>
        <color rgb="001B2A4A"/>
      </dataBar>
    </cfRule>
  </conditionalFormatting>
  <conditionalFormatting sqref="I5:I104">
    <cfRule type="dataBar" priority="19">
      <dataBar>
        <cfvo type="num" val="0"/>
        <cfvo type="num" val="1"/>
        <color rgb="001B2A4A"/>
      </dataBar>
    </cfRule>
  </conditionalFormatting>
  <conditionalFormatting sqref="J5:J104">
    <cfRule type="dataBar" priority="20">
      <dataBar>
        <cfvo type="num" val="0"/>
        <cfvo type="num" val="1"/>
        <color rgb="001B2A4A"/>
      </dataBar>
    </cfRule>
  </conditionalFormatting>
  <conditionalFormatting sqref="K5:K104">
    <cfRule type="dataBar" priority="21">
      <dataBar>
        <cfvo type="num" val="0"/>
        <cfvo type="num" val="1"/>
        <color rgb="001B2A4A"/>
      </dataBar>
    </cfRule>
  </conditionalFormatting>
  <conditionalFormatting sqref="B108">
    <cfRule type="cellIs" priority="22" operator="greaterThan" dxfId="0">
      <formula>0</formula>
    </cfRule>
  </conditionalFormatting>
  <conditionalFormatting sqref="C108">
    <cfRule type="cellIs" priority="23" operator="greaterThan" dxfId="0">
      <formula>0</formula>
    </cfRule>
  </conditionalFormatting>
  <dataValidations count="3">
    <dataValidation sqref="E5:E104" showDropDown="0" showInputMessage="0" showErrorMessage="0" allowBlank="1" type="list">
      <formula1>'_Lists'!$T$2:$T$6</formula1>
    </dataValidation>
    <dataValidation sqref="L5:L104" showDropDown="0" showInputMessage="0" showErrorMessage="0" allowBlank="1" type="list">
      <formula1>'_Lists'!$O$2:$O$5</formula1>
    </dataValidation>
    <dataValidation sqref="C5:C104" showDropDown="0" showInputMessage="0" showErrorMessage="0" allowBlank="1" promptTitle="Matricule Employé" prompt="Choisir un matricule" type="list">
      <formula1>'_Données Employés'!$B$5:$B$114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M10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10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6" customWidth="1" min="11" max="11"/>
    <col width="14" customWidth="1" min="12" max="12"/>
    <col width="10" customWidth="1" min="13" max="13"/>
  </cols>
  <sheetData>
    <row r="1" ht="15" customHeight="1"/>
    <row r="2" ht="32" customHeight="1">
      <c r="B2" s="13" t="inlineStr">
        <is>
          <t>PAIE — 9-Historique Paie</t>
        </is>
      </c>
    </row>
    <row r="3" ht="8" customHeight="1"/>
    <row r="4" ht="28" customHeight="1">
      <c r="B4" s="14" t="inlineStr">
        <is>
          <t>N°</t>
        </is>
      </c>
      <c r="C4" s="14" t="inlineStr">
        <is>
          <t>Mois</t>
        </is>
      </c>
      <c r="D4" s="14" t="inlineStr">
        <is>
          <t>Année</t>
        </is>
      </c>
      <c r="E4" s="14" t="inlineStr">
        <is>
          <t>Effectif Payé</t>
        </is>
      </c>
      <c r="F4" s="14" t="inlineStr">
        <is>
          <t>Masse Brute (FCFA)</t>
        </is>
      </c>
      <c r="G4" s="14" t="inlineStr">
        <is>
          <t>Total Cotisations (FCFA)</t>
        </is>
      </c>
      <c r="H4" s="14" t="inlineStr">
        <is>
          <t>Total Déductions (FCFA)</t>
        </is>
      </c>
      <c r="I4" s="14" t="inlineStr">
        <is>
          <t>Masse Nette (FCFA)</t>
        </is>
      </c>
      <c r="J4" s="14" t="inlineStr">
        <is>
          <t>Coût Employeur (FCFA)</t>
        </is>
      </c>
      <c r="K4" s="14" t="inlineStr">
        <is>
          <t>CA Hôtel (FCFA)</t>
        </is>
      </c>
      <c r="L4" s="14" t="inlineStr">
        <is>
          <t>Ratio Masse/CA</t>
        </is>
      </c>
      <c r="M4" s="14" t="inlineStr">
        <is>
          <t>Statut</t>
        </is>
      </c>
    </row>
    <row r="5" ht="22" customHeight="1">
      <c r="B5" s="15" t="inlineStr">
        <is>
          <t>HIS-001</t>
        </is>
      </c>
      <c r="C5" s="15" t="inlineStr">
        <is>
          <t>Janvier</t>
        </is>
      </c>
      <c r="D5" s="15" t="inlineStr">
        <is>
          <t>2025</t>
        </is>
      </c>
      <c r="E5" s="16">
        <f>IF(C5="","",COUNTIF('2-Calcul des Salaires'!D5:D104,C5))</f>
        <v/>
      </c>
      <c r="F5" s="16">
        <f>IF(C5="","",SUMIF('2-Calcul des Salaires'!D5:D104,C5,'2-Calcul des Salaires'!J5:J104))</f>
        <v/>
      </c>
      <c r="G5" s="16">
        <f>IF(C5="","",SUMIF('2-Calcul des Salaires'!D5:D104,C5,'2-Calcul des Salaires'!N5:N104))</f>
        <v/>
      </c>
      <c r="H5" s="16">
        <f>IF(C5="","",SUMIF('2-Calcul des Salaires'!D5:D104,C5,'2-Calcul des Salaires'!N5:N104))</f>
        <v/>
      </c>
      <c r="I5" s="16">
        <f>IF(C5="","",SUMIF('2-Calcul des Salaires'!D5:D104,C5,'2-Calcul des Salaires'!O5:O104))</f>
        <v/>
      </c>
      <c r="J5" s="16">
        <f>IF(C5="","",SUMIF('2-Calcul des Salaires'!D5:D104,C5,'2-Calcul des Salaires'!Q5:Q104))</f>
        <v/>
      </c>
      <c r="K5" s="16" t="n">
        <v>12000000</v>
      </c>
      <c r="L5" s="15" t="inlineStr"/>
      <c r="M5" s="15" t="inlineStr">
        <is>
          <t>Valide</t>
        </is>
      </c>
    </row>
    <row r="6" ht="22" customHeight="1">
      <c r="B6" s="17" t="inlineStr">
        <is>
          <t>HIS-002</t>
        </is>
      </c>
      <c r="C6" s="17" t="inlineStr">
        <is>
          <t>Fevrier</t>
        </is>
      </c>
      <c r="D6" s="17" t="inlineStr">
        <is>
          <t>2025</t>
        </is>
      </c>
      <c r="E6" s="18">
        <f>IF(C6="","",COUNTIF('2-Calcul des Salaires'!D5:D104,C6))</f>
        <v/>
      </c>
      <c r="F6" s="18">
        <f>IF(C6="","",SUMIF('2-Calcul des Salaires'!D5:D104,C6,'2-Calcul des Salaires'!J5:J104))</f>
        <v/>
      </c>
      <c r="G6" s="18">
        <f>IF(C6="","",SUMIF('2-Calcul des Salaires'!D5:D104,C6,'2-Calcul des Salaires'!N5:N104))</f>
        <v/>
      </c>
      <c r="H6" s="18">
        <f>IF(C6="","",SUMIF('2-Calcul des Salaires'!D5:D104,C6,'2-Calcul des Salaires'!N5:N104))</f>
        <v/>
      </c>
      <c r="I6" s="18">
        <f>IF(C6="","",SUMIF('2-Calcul des Salaires'!D5:D104,C6,'2-Calcul des Salaires'!O5:O104))</f>
        <v/>
      </c>
      <c r="J6" s="18">
        <f>IF(C6="","",SUMIF('2-Calcul des Salaires'!D5:D104,C6,'2-Calcul des Salaires'!Q5:Q104))</f>
        <v/>
      </c>
      <c r="K6" s="18" t="n">
        <v>11500000</v>
      </c>
      <c r="L6" s="17" t="inlineStr"/>
      <c r="M6" s="17" t="inlineStr">
        <is>
          <t>Valide</t>
        </is>
      </c>
    </row>
    <row r="7" ht="22" customHeight="1">
      <c r="B7" s="15" t="inlineStr">
        <is>
          <t>HIS-003</t>
        </is>
      </c>
      <c r="C7" s="15" t="inlineStr">
        <is>
          <t>Mars</t>
        </is>
      </c>
      <c r="D7" s="15" t="inlineStr">
        <is>
          <t>2025</t>
        </is>
      </c>
      <c r="E7" s="16">
        <f>IF(C7="","",COUNTIF('2-Calcul des Salaires'!D5:D104,C7))</f>
        <v/>
      </c>
      <c r="F7" s="16">
        <f>IF(C7="","",SUMIF('2-Calcul des Salaires'!D5:D104,C7,'2-Calcul des Salaires'!J5:J104))</f>
        <v/>
      </c>
      <c r="G7" s="16">
        <f>IF(C7="","",SUMIF('2-Calcul des Salaires'!D5:D104,C7,'2-Calcul des Salaires'!N5:N104))</f>
        <v/>
      </c>
      <c r="H7" s="16">
        <f>IF(C7="","",SUMIF('2-Calcul des Salaires'!D5:D104,C7,'2-Calcul des Salaires'!N5:N104))</f>
        <v/>
      </c>
      <c r="I7" s="16">
        <f>IF(C7="","",SUMIF('2-Calcul des Salaires'!D5:D104,C7,'2-Calcul des Salaires'!O5:O104))</f>
        <v/>
      </c>
      <c r="J7" s="16">
        <f>IF(C7="","",SUMIF('2-Calcul des Salaires'!D5:D104,C7,'2-Calcul des Salaires'!Q5:Q104))</f>
        <v/>
      </c>
      <c r="K7" s="16" t="n">
        <v>12500000</v>
      </c>
      <c r="L7" s="15" t="inlineStr"/>
      <c r="M7" s="15" t="inlineStr">
        <is>
          <t>Valide</t>
        </is>
      </c>
    </row>
    <row r="8" ht="22" customHeight="1">
      <c r="B8" s="19">
        <f>IF(C8="","HIS"&amp;TEXT(COUNTA($C$5:C8),"000"))</f>
        <v/>
      </c>
      <c r="C8" s="19" t="n"/>
      <c r="D8" s="19" t="n"/>
      <c r="E8" s="19">
        <f>IF(C8="","",COUNTIF('2-Calcul des Salaires'!D5:D104,C8))</f>
        <v/>
      </c>
      <c r="F8" s="19">
        <f>IF(C8="","",SUMIF('2-Calcul des Salaires'!D5:D104,C8,'2-Calcul des Salaires'!J5:J104))</f>
        <v/>
      </c>
      <c r="G8" s="19">
        <f>IF(C8="","",SUMIF('2-Calcul des Salaires'!D5:D104,C8,'2-Calcul des Salaires'!N5:N104))</f>
        <v/>
      </c>
      <c r="H8" s="19">
        <f>IF(C8="","",SUMIF('2-Calcul des Salaires'!D5:D104,C8,'2-Calcul des Salaires'!N5:N104))</f>
        <v/>
      </c>
      <c r="I8" s="20">
        <f>IF(C8="","",SUMIF('2-Calcul des Salaires'!D5:D104,C8,'2-Calcul des Salaires'!O5:O104))</f>
        <v/>
      </c>
      <c r="J8" s="20">
        <f>IF(C8="","",SUMIF('2-Calcul des Salaires'!D5:D104,C8,'2-Calcul des Salaires'!Q5:Q104))</f>
        <v/>
      </c>
      <c r="K8" s="19" t="n"/>
      <c r="L8" s="19">
        <f>IF(OR(E8="",K8=""),"",IFERROR(E8/K8,0))</f>
        <v/>
      </c>
      <c r="M8" s="19" t="n"/>
    </row>
    <row r="9" ht="22" customHeight="1">
      <c r="B9" s="21">
        <f>IF(C9="","HIS"&amp;TEXT(COUNTA($C$5:C9),"000"))</f>
        <v/>
      </c>
      <c r="C9" s="21" t="n"/>
      <c r="D9" s="21" t="n"/>
      <c r="E9" s="21">
        <f>IF(C9="","",COUNTIF('2-Calcul des Salaires'!D5:D104,C9))</f>
        <v/>
      </c>
      <c r="F9" s="21">
        <f>IF(C9="","",SUMIF('2-Calcul des Salaires'!D5:D104,C9,'2-Calcul des Salaires'!J5:J104))</f>
        <v/>
      </c>
      <c r="G9" s="21">
        <f>IF(C9="","",SUMIF('2-Calcul des Salaires'!D5:D104,C9,'2-Calcul des Salaires'!N5:N104))</f>
        <v/>
      </c>
      <c r="H9" s="21">
        <f>IF(C9="","",SUMIF('2-Calcul des Salaires'!D5:D104,C9,'2-Calcul des Salaires'!N5:N104))</f>
        <v/>
      </c>
      <c r="I9" s="16">
        <f>IF(C9="","",SUMIF('2-Calcul des Salaires'!D5:D104,C9,'2-Calcul des Salaires'!O5:O104))</f>
        <v/>
      </c>
      <c r="J9" s="16">
        <f>IF(C9="","",SUMIF('2-Calcul des Salaires'!D5:D104,C9,'2-Calcul des Salaires'!Q5:Q104))</f>
        <v/>
      </c>
      <c r="K9" s="21" t="n"/>
      <c r="L9" s="21">
        <f>IF(OR(E9="",K9=""),"",IFERROR(E9/K9,0))</f>
        <v/>
      </c>
      <c r="M9" s="21" t="n"/>
    </row>
    <row r="10" ht="22" customHeight="1">
      <c r="B10" s="22">
        <f>IF(C10="","HIS"&amp;TEXT(COUNTA($C$5:C10),"000"))</f>
        <v/>
      </c>
      <c r="C10" s="22" t="n"/>
      <c r="D10" s="22" t="n"/>
      <c r="E10" s="22">
        <f>IF(C10="","",COUNTIF('2-Calcul des Salaires'!D5:D104,C10))</f>
        <v/>
      </c>
      <c r="F10" s="22">
        <f>IF(C10="","",SUMIF('2-Calcul des Salaires'!D5:D104,C10,'2-Calcul des Salaires'!J5:J104))</f>
        <v/>
      </c>
      <c r="G10" s="22">
        <f>IF(C10="","",SUMIF('2-Calcul des Salaires'!D5:D104,C10,'2-Calcul des Salaires'!N5:N104))</f>
        <v/>
      </c>
      <c r="H10" s="22">
        <f>IF(C10="","",SUMIF('2-Calcul des Salaires'!D5:D104,C10,'2-Calcul des Salaires'!N5:N104))</f>
        <v/>
      </c>
      <c r="I10" s="18">
        <f>IF(C10="","",SUMIF('2-Calcul des Salaires'!D5:D104,C10,'2-Calcul des Salaires'!O5:O104))</f>
        <v/>
      </c>
      <c r="J10" s="18">
        <f>IF(C10="","",SUMIF('2-Calcul des Salaires'!D5:D104,C10,'2-Calcul des Salaires'!Q5:Q104))</f>
        <v/>
      </c>
      <c r="K10" s="22" t="n"/>
      <c r="L10" s="22">
        <f>IF(OR(E10="",K10=""),"",IFERROR(E10/K10,0))</f>
        <v/>
      </c>
      <c r="M10" s="22" t="n"/>
    </row>
    <row r="11" ht="22" customHeight="1">
      <c r="B11" s="21">
        <f>IF(C11="","HIS"&amp;TEXT(COUNTA($C$5:C11),"000"))</f>
        <v/>
      </c>
      <c r="C11" s="21" t="n"/>
      <c r="D11" s="21" t="n"/>
      <c r="E11" s="21">
        <f>IF(C11="","",COUNTIF('2-Calcul des Salaires'!D5:D104,C11))</f>
        <v/>
      </c>
      <c r="F11" s="21">
        <f>IF(C11="","",SUMIF('2-Calcul des Salaires'!D5:D104,C11,'2-Calcul des Salaires'!J5:J104))</f>
        <v/>
      </c>
      <c r="G11" s="21">
        <f>IF(C11="","",SUMIF('2-Calcul des Salaires'!D5:D104,C11,'2-Calcul des Salaires'!N5:N104))</f>
        <v/>
      </c>
      <c r="H11" s="21">
        <f>IF(C11="","",SUMIF('2-Calcul des Salaires'!D5:D104,C11,'2-Calcul des Salaires'!N5:N104))</f>
        <v/>
      </c>
      <c r="I11" s="16">
        <f>IF(C11="","",SUMIF('2-Calcul des Salaires'!D5:D104,C11,'2-Calcul des Salaires'!O5:O104))</f>
        <v/>
      </c>
      <c r="J11" s="16">
        <f>IF(C11="","",SUMIF('2-Calcul des Salaires'!D5:D104,C11,'2-Calcul des Salaires'!Q5:Q104))</f>
        <v/>
      </c>
      <c r="K11" s="21" t="n"/>
      <c r="L11" s="21">
        <f>IF(OR(E11="",K11=""),"",IFERROR(E11/K11,0))</f>
        <v/>
      </c>
      <c r="M11" s="21" t="n"/>
    </row>
    <row r="12" ht="22" customHeight="1">
      <c r="B12" s="22">
        <f>IF(C12="","HIS"&amp;TEXT(COUNTA($C$5:C12),"000"))</f>
        <v/>
      </c>
      <c r="C12" s="22" t="n"/>
      <c r="D12" s="22" t="n"/>
      <c r="E12" s="22">
        <f>IF(C12="","",COUNTIF('2-Calcul des Salaires'!D5:D104,C12))</f>
        <v/>
      </c>
      <c r="F12" s="22">
        <f>IF(C12="","",SUMIF('2-Calcul des Salaires'!D5:D104,C12,'2-Calcul des Salaires'!J5:J104))</f>
        <v/>
      </c>
      <c r="G12" s="22">
        <f>IF(C12="","",SUMIF('2-Calcul des Salaires'!D5:D104,C12,'2-Calcul des Salaires'!N5:N104))</f>
        <v/>
      </c>
      <c r="H12" s="22">
        <f>IF(C12="","",SUMIF('2-Calcul des Salaires'!D5:D104,C12,'2-Calcul des Salaires'!N5:N104))</f>
        <v/>
      </c>
      <c r="I12" s="18">
        <f>IF(C12="","",SUMIF('2-Calcul des Salaires'!D5:D104,C12,'2-Calcul des Salaires'!O5:O104))</f>
        <v/>
      </c>
      <c r="J12" s="18">
        <f>IF(C12="","",SUMIF('2-Calcul des Salaires'!D5:D104,C12,'2-Calcul des Salaires'!Q5:Q104))</f>
        <v/>
      </c>
      <c r="K12" s="22" t="n"/>
      <c r="L12" s="22">
        <f>IF(OR(E12="",K12=""),"",IFERROR(E12/K12,0))</f>
        <v/>
      </c>
      <c r="M12" s="22" t="n"/>
    </row>
    <row r="13" ht="22" customHeight="1">
      <c r="B13" s="21">
        <f>IF(C13="","HIS"&amp;TEXT(COUNTA($C$5:C13),"000"))</f>
        <v/>
      </c>
      <c r="C13" s="21" t="n"/>
      <c r="D13" s="21" t="n"/>
      <c r="E13" s="21">
        <f>IF(C13="","",COUNTIF('2-Calcul des Salaires'!D5:D104,C13))</f>
        <v/>
      </c>
      <c r="F13" s="21">
        <f>IF(C13="","",SUMIF('2-Calcul des Salaires'!D5:D104,C13,'2-Calcul des Salaires'!J5:J104))</f>
        <v/>
      </c>
      <c r="G13" s="21">
        <f>IF(C13="","",SUMIF('2-Calcul des Salaires'!D5:D104,C13,'2-Calcul des Salaires'!N5:N104))</f>
        <v/>
      </c>
      <c r="H13" s="21">
        <f>IF(C13="","",SUMIF('2-Calcul des Salaires'!D5:D104,C13,'2-Calcul des Salaires'!N5:N104))</f>
        <v/>
      </c>
      <c r="I13" s="16">
        <f>IF(C13="","",SUMIF('2-Calcul des Salaires'!D5:D104,C13,'2-Calcul des Salaires'!O5:O104))</f>
        <v/>
      </c>
      <c r="J13" s="16">
        <f>IF(C13="","",SUMIF('2-Calcul des Salaires'!D5:D104,C13,'2-Calcul des Salaires'!Q5:Q104))</f>
        <v/>
      </c>
      <c r="K13" s="21" t="n"/>
      <c r="L13" s="21">
        <f>IF(OR(E13="",K13=""),"",IFERROR(E13/K13,0))</f>
        <v/>
      </c>
      <c r="M13" s="21" t="n"/>
    </row>
    <row r="14" ht="22" customHeight="1">
      <c r="B14" s="22">
        <f>IF(C14="","HIS"&amp;TEXT(COUNTA($C$5:C14),"000"))</f>
        <v/>
      </c>
      <c r="C14" s="22" t="n"/>
      <c r="D14" s="22" t="n"/>
      <c r="E14" s="22">
        <f>IF(C14="","",COUNTIF('2-Calcul des Salaires'!D5:D104,C14))</f>
        <v/>
      </c>
      <c r="F14" s="22">
        <f>IF(C14="","",SUMIF('2-Calcul des Salaires'!D5:D104,C14,'2-Calcul des Salaires'!J5:J104))</f>
        <v/>
      </c>
      <c r="G14" s="22">
        <f>IF(C14="","",SUMIF('2-Calcul des Salaires'!D5:D104,C14,'2-Calcul des Salaires'!N5:N104))</f>
        <v/>
      </c>
      <c r="H14" s="22">
        <f>IF(C14="","",SUMIF('2-Calcul des Salaires'!D5:D104,C14,'2-Calcul des Salaires'!N5:N104))</f>
        <v/>
      </c>
      <c r="I14" s="18">
        <f>IF(C14="","",SUMIF('2-Calcul des Salaires'!D5:D104,C14,'2-Calcul des Salaires'!O5:O104))</f>
        <v/>
      </c>
      <c r="J14" s="18">
        <f>IF(C14="","",SUMIF('2-Calcul des Salaires'!D5:D104,C14,'2-Calcul des Salaires'!Q5:Q104))</f>
        <v/>
      </c>
      <c r="K14" s="22" t="n"/>
      <c r="L14" s="22">
        <f>IF(OR(E14="",K14=""),"",IFERROR(E14/K14,0))</f>
        <v/>
      </c>
      <c r="M14" s="22" t="n"/>
    </row>
    <row r="15" ht="22" customHeight="1">
      <c r="B15" s="21">
        <f>IF(C15="","HIS"&amp;TEXT(COUNTA($C$5:C15),"000"))</f>
        <v/>
      </c>
      <c r="C15" s="21" t="n"/>
      <c r="D15" s="21" t="n"/>
      <c r="E15" s="21">
        <f>IF(C15="","",COUNTIF('2-Calcul des Salaires'!D5:D104,C15))</f>
        <v/>
      </c>
      <c r="F15" s="21">
        <f>IF(C15="","",SUMIF('2-Calcul des Salaires'!D5:D104,C15,'2-Calcul des Salaires'!J5:J104))</f>
        <v/>
      </c>
      <c r="G15" s="21">
        <f>IF(C15="","",SUMIF('2-Calcul des Salaires'!D5:D104,C15,'2-Calcul des Salaires'!N5:N104))</f>
        <v/>
      </c>
      <c r="H15" s="21">
        <f>IF(C15="","",SUMIF('2-Calcul des Salaires'!D5:D104,C15,'2-Calcul des Salaires'!N5:N104))</f>
        <v/>
      </c>
      <c r="I15" s="16">
        <f>IF(C15="","",SUMIF('2-Calcul des Salaires'!D5:D104,C15,'2-Calcul des Salaires'!O5:O104))</f>
        <v/>
      </c>
      <c r="J15" s="16">
        <f>IF(C15="","",SUMIF('2-Calcul des Salaires'!D5:D104,C15,'2-Calcul des Salaires'!Q5:Q104))</f>
        <v/>
      </c>
      <c r="K15" s="21" t="n"/>
      <c r="L15" s="21">
        <f>IF(OR(E15="",K15=""),"",IFERROR(E15/K15,0))</f>
        <v/>
      </c>
      <c r="M15" s="21" t="n"/>
    </row>
    <row r="16" ht="22" customHeight="1">
      <c r="B16" s="22">
        <f>IF(C16="","HIS"&amp;TEXT(COUNTA($C$5:C16),"000"))</f>
        <v/>
      </c>
      <c r="C16" s="22" t="n"/>
      <c r="D16" s="22" t="n"/>
      <c r="E16" s="22">
        <f>IF(C16="","",COUNTIF('2-Calcul des Salaires'!D5:D104,C16))</f>
        <v/>
      </c>
      <c r="F16" s="22">
        <f>IF(C16="","",SUMIF('2-Calcul des Salaires'!D5:D104,C16,'2-Calcul des Salaires'!J5:J104))</f>
        <v/>
      </c>
      <c r="G16" s="22">
        <f>IF(C16="","",SUMIF('2-Calcul des Salaires'!D5:D104,C16,'2-Calcul des Salaires'!N5:N104))</f>
        <v/>
      </c>
      <c r="H16" s="22">
        <f>IF(C16="","",SUMIF('2-Calcul des Salaires'!D5:D104,C16,'2-Calcul des Salaires'!N5:N104))</f>
        <v/>
      </c>
      <c r="I16" s="18">
        <f>IF(C16="","",SUMIF('2-Calcul des Salaires'!D5:D104,C16,'2-Calcul des Salaires'!O5:O104))</f>
        <v/>
      </c>
      <c r="J16" s="18">
        <f>IF(C16="","",SUMIF('2-Calcul des Salaires'!D5:D104,C16,'2-Calcul des Salaires'!Q5:Q104))</f>
        <v/>
      </c>
      <c r="K16" s="22" t="n"/>
      <c r="L16" s="22">
        <f>IF(OR(E16="",K16=""),"",IFERROR(E16/K16,0))</f>
        <v/>
      </c>
      <c r="M16" s="22" t="n"/>
    </row>
    <row r="17" ht="22" customHeight="1">
      <c r="B17" s="21">
        <f>IF(C17="","HIS"&amp;TEXT(COUNTA($C$5:C17),"000"))</f>
        <v/>
      </c>
      <c r="C17" s="21" t="n"/>
      <c r="D17" s="21" t="n"/>
      <c r="E17" s="21">
        <f>IF(C17="","",COUNTIF('2-Calcul des Salaires'!D5:D104,C17))</f>
        <v/>
      </c>
      <c r="F17" s="21">
        <f>IF(C17="","",SUMIF('2-Calcul des Salaires'!D5:D104,C17,'2-Calcul des Salaires'!J5:J104))</f>
        <v/>
      </c>
      <c r="G17" s="21">
        <f>IF(C17="","",SUMIF('2-Calcul des Salaires'!D5:D104,C17,'2-Calcul des Salaires'!N5:N104))</f>
        <v/>
      </c>
      <c r="H17" s="21">
        <f>IF(C17="","",SUMIF('2-Calcul des Salaires'!D5:D104,C17,'2-Calcul des Salaires'!N5:N104))</f>
        <v/>
      </c>
      <c r="I17" s="16">
        <f>IF(C17="","",SUMIF('2-Calcul des Salaires'!D5:D104,C17,'2-Calcul des Salaires'!O5:O104))</f>
        <v/>
      </c>
      <c r="J17" s="16">
        <f>IF(C17="","",SUMIF('2-Calcul des Salaires'!D5:D104,C17,'2-Calcul des Salaires'!Q5:Q104))</f>
        <v/>
      </c>
      <c r="K17" s="21" t="n"/>
      <c r="L17" s="21">
        <f>IF(OR(E17="",K17=""),"",IFERROR(E17/K17,0))</f>
        <v/>
      </c>
      <c r="M17" s="21" t="n"/>
    </row>
    <row r="18" ht="22" customHeight="1">
      <c r="B18" s="22">
        <f>IF(C18="","HIS"&amp;TEXT(COUNTA($C$5:C18),"000"))</f>
        <v/>
      </c>
      <c r="C18" s="22" t="n"/>
      <c r="D18" s="22" t="n"/>
      <c r="E18" s="22">
        <f>IF(C18="","",COUNTIF('2-Calcul des Salaires'!D5:D104,C18))</f>
        <v/>
      </c>
      <c r="F18" s="22">
        <f>IF(C18="","",SUMIF('2-Calcul des Salaires'!D5:D104,C18,'2-Calcul des Salaires'!J5:J104))</f>
        <v/>
      </c>
      <c r="G18" s="22">
        <f>IF(C18="","",SUMIF('2-Calcul des Salaires'!D5:D104,C18,'2-Calcul des Salaires'!N5:N104))</f>
        <v/>
      </c>
      <c r="H18" s="22">
        <f>IF(C18="","",SUMIF('2-Calcul des Salaires'!D5:D104,C18,'2-Calcul des Salaires'!N5:N104))</f>
        <v/>
      </c>
      <c r="I18" s="18">
        <f>IF(C18="","",SUMIF('2-Calcul des Salaires'!D5:D104,C18,'2-Calcul des Salaires'!O5:O104))</f>
        <v/>
      </c>
      <c r="J18" s="18">
        <f>IF(C18="","",SUMIF('2-Calcul des Salaires'!D5:D104,C18,'2-Calcul des Salaires'!Q5:Q104))</f>
        <v/>
      </c>
      <c r="K18" s="22" t="n"/>
      <c r="L18" s="22">
        <f>IF(OR(E18="",K18=""),"",IFERROR(E18/K18,0))</f>
        <v/>
      </c>
      <c r="M18" s="22" t="n"/>
    </row>
    <row r="19" ht="22" customHeight="1">
      <c r="B19" s="21">
        <f>IF(C19="","HIS"&amp;TEXT(COUNTA($C$5:C19),"000"))</f>
        <v/>
      </c>
      <c r="C19" s="21" t="n"/>
      <c r="D19" s="21" t="n"/>
      <c r="E19" s="21">
        <f>IF(C19="","",COUNTIF('2-Calcul des Salaires'!D5:D104,C19))</f>
        <v/>
      </c>
      <c r="F19" s="21">
        <f>IF(C19="","",SUMIF('2-Calcul des Salaires'!D5:D104,C19,'2-Calcul des Salaires'!J5:J104))</f>
        <v/>
      </c>
      <c r="G19" s="21">
        <f>IF(C19="","",SUMIF('2-Calcul des Salaires'!D5:D104,C19,'2-Calcul des Salaires'!N5:N104))</f>
        <v/>
      </c>
      <c r="H19" s="21">
        <f>IF(C19="","",SUMIF('2-Calcul des Salaires'!D5:D104,C19,'2-Calcul des Salaires'!N5:N104))</f>
        <v/>
      </c>
      <c r="I19" s="16">
        <f>IF(C19="","",SUMIF('2-Calcul des Salaires'!D5:D104,C19,'2-Calcul des Salaires'!O5:O104))</f>
        <v/>
      </c>
      <c r="J19" s="16">
        <f>IF(C19="","",SUMIF('2-Calcul des Salaires'!D5:D104,C19,'2-Calcul des Salaires'!Q5:Q104))</f>
        <v/>
      </c>
      <c r="K19" s="21" t="n"/>
      <c r="L19" s="21">
        <f>IF(OR(E19="",K19=""),"",IFERROR(E19/K19,0))</f>
        <v/>
      </c>
      <c r="M19" s="21" t="n"/>
    </row>
    <row r="20" ht="22" customHeight="1">
      <c r="B20" s="22">
        <f>IF(C20="","HIS"&amp;TEXT(COUNTA($C$5:C20),"000"))</f>
        <v/>
      </c>
      <c r="C20" s="22" t="n"/>
      <c r="D20" s="22" t="n"/>
      <c r="E20" s="22">
        <f>IF(C20="","",COUNTIF('2-Calcul des Salaires'!D5:D104,C20))</f>
        <v/>
      </c>
      <c r="F20" s="22">
        <f>IF(C20="","",SUMIF('2-Calcul des Salaires'!D5:D104,C20,'2-Calcul des Salaires'!J5:J104))</f>
        <v/>
      </c>
      <c r="G20" s="22">
        <f>IF(C20="","",SUMIF('2-Calcul des Salaires'!D5:D104,C20,'2-Calcul des Salaires'!N5:N104))</f>
        <v/>
      </c>
      <c r="H20" s="22">
        <f>IF(C20="","",SUMIF('2-Calcul des Salaires'!D5:D104,C20,'2-Calcul des Salaires'!N5:N104))</f>
        <v/>
      </c>
      <c r="I20" s="18">
        <f>IF(C20="","",SUMIF('2-Calcul des Salaires'!D5:D104,C20,'2-Calcul des Salaires'!O5:O104))</f>
        <v/>
      </c>
      <c r="J20" s="18">
        <f>IF(C20="","",SUMIF('2-Calcul des Salaires'!D5:D104,C20,'2-Calcul des Salaires'!Q5:Q104))</f>
        <v/>
      </c>
      <c r="K20" s="22" t="n"/>
      <c r="L20" s="22">
        <f>IF(OR(E20="",K20=""),"",IFERROR(E20/K20,0))</f>
        <v/>
      </c>
      <c r="M20" s="22" t="n"/>
    </row>
    <row r="21" ht="22" customHeight="1">
      <c r="B21" s="21">
        <f>IF(C21="","HIS"&amp;TEXT(COUNTA($C$5:C21),"000"))</f>
        <v/>
      </c>
      <c r="C21" s="21" t="n"/>
      <c r="D21" s="21" t="n"/>
      <c r="E21" s="21">
        <f>IF(C21="","",COUNTIF('2-Calcul des Salaires'!D5:D104,C21))</f>
        <v/>
      </c>
      <c r="F21" s="21">
        <f>IF(C21="","",SUMIF('2-Calcul des Salaires'!D5:D104,C21,'2-Calcul des Salaires'!J5:J104))</f>
        <v/>
      </c>
      <c r="G21" s="21">
        <f>IF(C21="","",SUMIF('2-Calcul des Salaires'!D5:D104,C21,'2-Calcul des Salaires'!N5:N104))</f>
        <v/>
      </c>
      <c r="H21" s="21">
        <f>IF(C21="","",SUMIF('2-Calcul des Salaires'!D5:D104,C21,'2-Calcul des Salaires'!N5:N104))</f>
        <v/>
      </c>
      <c r="I21" s="16">
        <f>IF(C21="","",SUMIF('2-Calcul des Salaires'!D5:D104,C21,'2-Calcul des Salaires'!O5:O104))</f>
        <v/>
      </c>
      <c r="J21" s="16">
        <f>IF(C21="","",SUMIF('2-Calcul des Salaires'!D5:D104,C21,'2-Calcul des Salaires'!Q5:Q104))</f>
        <v/>
      </c>
      <c r="K21" s="21" t="n"/>
      <c r="L21" s="21">
        <f>IF(OR(E21="",K21=""),"",IFERROR(E21/K21,0))</f>
        <v/>
      </c>
      <c r="M21" s="21" t="n"/>
    </row>
    <row r="22" ht="22" customHeight="1">
      <c r="B22" s="22">
        <f>IF(C22="","HIS"&amp;TEXT(COUNTA($C$5:C22),"000"))</f>
        <v/>
      </c>
      <c r="C22" s="22" t="n"/>
      <c r="D22" s="22" t="n"/>
      <c r="E22" s="22">
        <f>IF(C22="","",COUNTIF('2-Calcul des Salaires'!D5:D104,C22))</f>
        <v/>
      </c>
      <c r="F22" s="22">
        <f>IF(C22="","",SUMIF('2-Calcul des Salaires'!D5:D104,C22,'2-Calcul des Salaires'!J5:J104))</f>
        <v/>
      </c>
      <c r="G22" s="22">
        <f>IF(C22="","",SUMIF('2-Calcul des Salaires'!D5:D104,C22,'2-Calcul des Salaires'!N5:N104))</f>
        <v/>
      </c>
      <c r="H22" s="22">
        <f>IF(C22="","",SUMIF('2-Calcul des Salaires'!D5:D104,C22,'2-Calcul des Salaires'!N5:N104))</f>
        <v/>
      </c>
      <c r="I22" s="18">
        <f>IF(C22="","",SUMIF('2-Calcul des Salaires'!D5:D104,C22,'2-Calcul des Salaires'!O5:O104))</f>
        <v/>
      </c>
      <c r="J22" s="18">
        <f>IF(C22="","",SUMIF('2-Calcul des Salaires'!D5:D104,C22,'2-Calcul des Salaires'!Q5:Q104))</f>
        <v/>
      </c>
      <c r="K22" s="22" t="n"/>
      <c r="L22" s="22">
        <f>IF(OR(E22="",K22=""),"",IFERROR(E22/K22,0))</f>
        <v/>
      </c>
      <c r="M22" s="22" t="n"/>
    </row>
    <row r="23" ht="22" customHeight="1">
      <c r="B23" s="21">
        <f>IF(C23="","HIS"&amp;TEXT(COUNTA($C$5:C23),"000"))</f>
        <v/>
      </c>
      <c r="C23" s="21" t="n"/>
      <c r="D23" s="21" t="n"/>
      <c r="E23" s="21">
        <f>IF(C23="","",COUNTIF('2-Calcul des Salaires'!D5:D104,C23))</f>
        <v/>
      </c>
      <c r="F23" s="21">
        <f>IF(C23="","",SUMIF('2-Calcul des Salaires'!D5:D104,C23,'2-Calcul des Salaires'!J5:J104))</f>
        <v/>
      </c>
      <c r="G23" s="21">
        <f>IF(C23="","",SUMIF('2-Calcul des Salaires'!D5:D104,C23,'2-Calcul des Salaires'!N5:N104))</f>
        <v/>
      </c>
      <c r="H23" s="21">
        <f>IF(C23="","",SUMIF('2-Calcul des Salaires'!D5:D104,C23,'2-Calcul des Salaires'!N5:N104))</f>
        <v/>
      </c>
      <c r="I23" s="16">
        <f>IF(C23="","",SUMIF('2-Calcul des Salaires'!D5:D104,C23,'2-Calcul des Salaires'!O5:O104))</f>
        <v/>
      </c>
      <c r="J23" s="16">
        <f>IF(C23="","",SUMIF('2-Calcul des Salaires'!D5:D104,C23,'2-Calcul des Salaires'!Q5:Q104))</f>
        <v/>
      </c>
      <c r="K23" s="21" t="n"/>
      <c r="L23" s="21">
        <f>IF(OR(E23="",K23=""),"",IFERROR(E23/K23,0))</f>
        <v/>
      </c>
      <c r="M23" s="21" t="n"/>
    </row>
    <row r="24" ht="22" customHeight="1">
      <c r="B24" s="22">
        <f>IF(C24="","HIS"&amp;TEXT(COUNTA($C$5:C24),"000"))</f>
        <v/>
      </c>
      <c r="C24" s="22" t="n"/>
      <c r="D24" s="22" t="n"/>
      <c r="E24" s="22">
        <f>IF(C24="","",COUNTIF('2-Calcul des Salaires'!D5:D104,C24))</f>
        <v/>
      </c>
      <c r="F24" s="22">
        <f>IF(C24="","",SUMIF('2-Calcul des Salaires'!D5:D104,C24,'2-Calcul des Salaires'!J5:J104))</f>
        <v/>
      </c>
      <c r="G24" s="22">
        <f>IF(C24="","",SUMIF('2-Calcul des Salaires'!D5:D104,C24,'2-Calcul des Salaires'!N5:N104))</f>
        <v/>
      </c>
      <c r="H24" s="22">
        <f>IF(C24="","",SUMIF('2-Calcul des Salaires'!D5:D104,C24,'2-Calcul des Salaires'!N5:N104))</f>
        <v/>
      </c>
      <c r="I24" s="18">
        <f>IF(C24="","",SUMIF('2-Calcul des Salaires'!D5:D104,C24,'2-Calcul des Salaires'!O5:O104))</f>
        <v/>
      </c>
      <c r="J24" s="18">
        <f>IF(C24="","",SUMIF('2-Calcul des Salaires'!D5:D104,C24,'2-Calcul des Salaires'!Q5:Q104))</f>
        <v/>
      </c>
      <c r="K24" s="22" t="n"/>
      <c r="L24" s="22">
        <f>IF(OR(E24="",K24=""),"",IFERROR(E24/K24,0))</f>
        <v/>
      </c>
      <c r="M24" s="22" t="n"/>
    </row>
    <row r="25" ht="22" customHeight="1">
      <c r="B25" s="21">
        <f>IF(C25="","HIS"&amp;TEXT(COUNTA($C$5:C25),"000"))</f>
        <v/>
      </c>
      <c r="C25" s="21" t="n"/>
      <c r="D25" s="21" t="n"/>
      <c r="E25" s="21">
        <f>IF(C25="","",COUNTIF('2-Calcul des Salaires'!D5:D104,C25))</f>
        <v/>
      </c>
      <c r="F25" s="21">
        <f>IF(C25="","",SUMIF('2-Calcul des Salaires'!D5:D104,C25,'2-Calcul des Salaires'!J5:J104))</f>
        <v/>
      </c>
      <c r="G25" s="21">
        <f>IF(C25="","",SUMIF('2-Calcul des Salaires'!D5:D104,C25,'2-Calcul des Salaires'!N5:N104))</f>
        <v/>
      </c>
      <c r="H25" s="21">
        <f>IF(C25="","",SUMIF('2-Calcul des Salaires'!D5:D104,C25,'2-Calcul des Salaires'!N5:N104))</f>
        <v/>
      </c>
      <c r="I25" s="16">
        <f>IF(C25="","",SUMIF('2-Calcul des Salaires'!D5:D104,C25,'2-Calcul des Salaires'!O5:O104))</f>
        <v/>
      </c>
      <c r="J25" s="16">
        <f>IF(C25="","",SUMIF('2-Calcul des Salaires'!D5:D104,C25,'2-Calcul des Salaires'!Q5:Q104))</f>
        <v/>
      </c>
      <c r="K25" s="21" t="n"/>
      <c r="L25" s="21">
        <f>IF(OR(E25="",K25=""),"",IFERROR(E25/K25,0))</f>
        <v/>
      </c>
      <c r="M25" s="21" t="n"/>
    </row>
    <row r="26" ht="22" customHeight="1">
      <c r="B26" s="22">
        <f>IF(C26="","HIS"&amp;TEXT(COUNTA($C$5:C26),"000"))</f>
        <v/>
      </c>
      <c r="C26" s="22" t="n"/>
      <c r="D26" s="22" t="n"/>
      <c r="E26" s="22">
        <f>IF(C26="","",COUNTIF('2-Calcul des Salaires'!D5:D104,C26))</f>
        <v/>
      </c>
      <c r="F26" s="22">
        <f>IF(C26="","",SUMIF('2-Calcul des Salaires'!D5:D104,C26,'2-Calcul des Salaires'!J5:J104))</f>
        <v/>
      </c>
      <c r="G26" s="22">
        <f>IF(C26="","",SUMIF('2-Calcul des Salaires'!D5:D104,C26,'2-Calcul des Salaires'!N5:N104))</f>
        <v/>
      </c>
      <c r="H26" s="22">
        <f>IF(C26="","",SUMIF('2-Calcul des Salaires'!D5:D104,C26,'2-Calcul des Salaires'!N5:N104))</f>
        <v/>
      </c>
      <c r="I26" s="18">
        <f>IF(C26="","",SUMIF('2-Calcul des Salaires'!D5:D104,C26,'2-Calcul des Salaires'!O5:O104))</f>
        <v/>
      </c>
      <c r="J26" s="18">
        <f>IF(C26="","",SUMIF('2-Calcul des Salaires'!D5:D104,C26,'2-Calcul des Salaires'!Q5:Q104))</f>
        <v/>
      </c>
      <c r="K26" s="22" t="n"/>
      <c r="L26" s="22">
        <f>IF(OR(E26="",K26=""),"",IFERROR(E26/K26,0))</f>
        <v/>
      </c>
      <c r="M26" s="22" t="n"/>
    </row>
    <row r="27" ht="22" customHeight="1">
      <c r="B27" s="21">
        <f>IF(C27="","HIS"&amp;TEXT(COUNTA($C$5:C27),"000"))</f>
        <v/>
      </c>
      <c r="C27" s="21" t="n"/>
      <c r="D27" s="21" t="n"/>
      <c r="E27" s="21">
        <f>IF(C27="","",COUNTIF('2-Calcul des Salaires'!D5:D104,C27))</f>
        <v/>
      </c>
      <c r="F27" s="21">
        <f>IF(C27="","",SUMIF('2-Calcul des Salaires'!D5:D104,C27,'2-Calcul des Salaires'!J5:J104))</f>
        <v/>
      </c>
      <c r="G27" s="21">
        <f>IF(C27="","",SUMIF('2-Calcul des Salaires'!D5:D104,C27,'2-Calcul des Salaires'!N5:N104))</f>
        <v/>
      </c>
      <c r="H27" s="21">
        <f>IF(C27="","",SUMIF('2-Calcul des Salaires'!D5:D104,C27,'2-Calcul des Salaires'!N5:N104))</f>
        <v/>
      </c>
      <c r="I27" s="16">
        <f>IF(C27="","",SUMIF('2-Calcul des Salaires'!D5:D104,C27,'2-Calcul des Salaires'!O5:O104))</f>
        <v/>
      </c>
      <c r="J27" s="16">
        <f>IF(C27="","",SUMIF('2-Calcul des Salaires'!D5:D104,C27,'2-Calcul des Salaires'!Q5:Q104))</f>
        <v/>
      </c>
      <c r="K27" s="21" t="n"/>
      <c r="L27" s="21">
        <f>IF(OR(E27="",K27=""),"",IFERROR(E27/K27,0))</f>
        <v/>
      </c>
      <c r="M27" s="21" t="n"/>
    </row>
    <row r="28" ht="22" customHeight="1">
      <c r="B28" s="22">
        <f>IF(C28="","HIS"&amp;TEXT(COUNTA($C$5:C28),"000"))</f>
        <v/>
      </c>
      <c r="C28" s="22" t="n"/>
      <c r="D28" s="22" t="n"/>
      <c r="E28" s="22">
        <f>IF(C28="","",COUNTIF('2-Calcul des Salaires'!D5:D104,C28))</f>
        <v/>
      </c>
      <c r="F28" s="22">
        <f>IF(C28="","",SUMIF('2-Calcul des Salaires'!D5:D104,C28,'2-Calcul des Salaires'!J5:J104))</f>
        <v/>
      </c>
      <c r="G28" s="22">
        <f>IF(C28="","",SUMIF('2-Calcul des Salaires'!D5:D104,C28,'2-Calcul des Salaires'!N5:N104))</f>
        <v/>
      </c>
      <c r="H28" s="22">
        <f>IF(C28="","",SUMIF('2-Calcul des Salaires'!D5:D104,C28,'2-Calcul des Salaires'!N5:N104))</f>
        <v/>
      </c>
      <c r="I28" s="18">
        <f>IF(C28="","",SUMIF('2-Calcul des Salaires'!D5:D104,C28,'2-Calcul des Salaires'!O5:O104))</f>
        <v/>
      </c>
      <c r="J28" s="18">
        <f>IF(C28="","",SUMIF('2-Calcul des Salaires'!D5:D104,C28,'2-Calcul des Salaires'!Q5:Q104))</f>
        <v/>
      </c>
      <c r="K28" s="22" t="n"/>
      <c r="L28" s="22">
        <f>IF(OR(E28="",K28=""),"",IFERROR(E28/K28,0))</f>
        <v/>
      </c>
      <c r="M28" s="22" t="n"/>
    </row>
    <row r="29" ht="22" customHeight="1">
      <c r="B29" s="21">
        <f>IF(C29="","HIS"&amp;TEXT(COUNTA($C$5:C29),"000"))</f>
        <v/>
      </c>
      <c r="C29" s="21" t="n"/>
      <c r="D29" s="21" t="n"/>
      <c r="E29" s="21">
        <f>IF(C29="","",COUNTIF('2-Calcul des Salaires'!D5:D104,C29))</f>
        <v/>
      </c>
      <c r="F29" s="21">
        <f>IF(C29="","",SUMIF('2-Calcul des Salaires'!D5:D104,C29,'2-Calcul des Salaires'!J5:J104))</f>
        <v/>
      </c>
      <c r="G29" s="21">
        <f>IF(C29="","",SUMIF('2-Calcul des Salaires'!D5:D104,C29,'2-Calcul des Salaires'!N5:N104))</f>
        <v/>
      </c>
      <c r="H29" s="21">
        <f>IF(C29="","",SUMIF('2-Calcul des Salaires'!D5:D104,C29,'2-Calcul des Salaires'!N5:N104))</f>
        <v/>
      </c>
      <c r="I29" s="16">
        <f>IF(C29="","",SUMIF('2-Calcul des Salaires'!D5:D104,C29,'2-Calcul des Salaires'!O5:O104))</f>
        <v/>
      </c>
      <c r="J29" s="16">
        <f>IF(C29="","",SUMIF('2-Calcul des Salaires'!D5:D104,C29,'2-Calcul des Salaires'!Q5:Q104))</f>
        <v/>
      </c>
      <c r="K29" s="21" t="n"/>
      <c r="L29" s="21">
        <f>IF(OR(E29="",K29=""),"",IFERROR(E29/K29,0))</f>
        <v/>
      </c>
      <c r="M29" s="21" t="n"/>
    </row>
    <row r="30" ht="22" customHeight="1">
      <c r="B30" s="22">
        <f>IF(C30="","HIS"&amp;TEXT(COUNTA($C$5:C30),"000"))</f>
        <v/>
      </c>
      <c r="C30" s="22" t="n"/>
      <c r="D30" s="22" t="n"/>
      <c r="E30" s="22">
        <f>IF(C30="","",COUNTIF('2-Calcul des Salaires'!D5:D104,C30))</f>
        <v/>
      </c>
      <c r="F30" s="22">
        <f>IF(C30="","",SUMIF('2-Calcul des Salaires'!D5:D104,C30,'2-Calcul des Salaires'!J5:J104))</f>
        <v/>
      </c>
      <c r="G30" s="22">
        <f>IF(C30="","",SUMIF('2-Calcul des Salaires'!D5:D104,C30,'2-Calcul des Salaires'!N5:N104))</f>
        <v/>
      </c>
      <c r="H30" s="22">
        <f>IF(C30="","",SUMIF('2-Calcul des Salaires'!D5:D104,C30,'2-Calcul des Salaires'!N5:N104))</f>
        <v/>
      </c>
      <c r="I30" s="18">
        <f>IF(C30="","",SUMIF('2-Calcul des Salaires'!D5:D104,C30,'2-Calcul des Salaires'!O5:O104))</f>
        <v/>
      </c>
      <c r="J30" s="18">
        <f>IF(C30="","",SUMIF('2-Calcul des Salaires'!D5:D104,C30,'2-Calcul des Salaires'!Q5:Q104))</f>
        <v/>
      </c>
      <c r="K30" s="22" t="n"/>
      <c r="L30" s="22">
        <f>IF(OR(E30="",K30=""),"",IFERROR(E30/K30,0))</f>
        <v/>
      </c>
      <c r="M30" s="22" t="n"/>
    </row>
    <row r="31" ht="22" customHeight="1">
      <c r="B31" s="21">
        <f>IF(C31="","HIS"&amp;TEXT(COUNTA($C$5:C31),"000"))</f>
        <v/>
      </c>
      <c r="C31" s="21" t="n"/>
      <c r="D31" s="21" t="n"/>
      <c r="E31" s="21">
        <f>IF(C31="","",COUNTIF('2-Calcul des Salaires'!D5:D104,C31))</f>
        <v/>
      </c>
      <c r="F31" s="21">
        <f>IF(C31="","",SUMIF('2-Calcul des Salaires'!D5:D104,C31,'2-Calcul des Salaires'!J5:J104))</f>
        <v/>
      </c>
      <c r="G31" s="21">
        <f>IF(C31="","",SUMIF('2-Calcul des Salaires'!D5:D104,C31,'2-Calcul des Salaires'!N5:N104))</f>
        <v/>
      </c>
      <c r="H31" s="21">
        <f>IF(C31="","",SUMIF('2-Calcul des Salaires'!D5:D104,C31,'2-Calcul des Salaires'!N5:N104))</f>
        <v/>
      </c>
      <c r="I31" s="16">
        <f>IF(C31="","",SUMIF('2-Calcul des Salaires'!D5:D104,C31,'2-Calcul des Salaires'!O5:O104))</f>
        <v/>
      </c>
      <c r="J31" s="16">
        <f>IF(C31="","",SUMIF('2-Calcul des Salaires'!D5:D104,C31,'2-Calcul des Salaires'!Q5:Q104))</f>
        <v/>
      </c>
      <c r="K31" s="21" t="n"/>
      <c r="L31" s="21">
        <f>IF(OR(E31="",K31=""),"",IFERROR(E31/K31,0))</f>
        <v/>
      </c>
      <c r="M31" s="21" t="n"/>
    </row>
    <row r="32" ht="22" customHeight="1">
      <c r="B32" s="22">
        <f>IF(C32="","HIS"&amp;TEXT(COUNTA($C$5:C32),"000"))</f>
        <v/>
      </c>
      <c r="C32" s="22" t="n"/>
      <c r="D32" s="22" t="n"/>
      <c r="E32" s="22">
        <f>IF(C32="","",COUNTIF('2-Calcul des Salaires'!D5:D104,C32))</f>
        <v/>
      </c>
      <c r="F32" s="22">
        <f>IF(C32="","",SUMIF('2-Calcul des Salaires'!D5:D104,C32,'2-Calcul des Salaires'!J5:J104))</f>
        <v/>
      </c>
      <c r="G32" s="22">
        <f>IF(C32="","",SUMIF('2-Calcul des Salaires'!D5:D104,C32,'2-Calcul des Salaires'!N5:N104))</f>
        <v/>
      </c>
      <c r="H32" s="22">
        <f>IF(C32="","",SUMIF('2-Calcul des Salaires'!D5:D104,C32,'2-Calcul des Salaires'!N5:N104))</f>
        <v/>
      </c>
      <c r="I32" s="18">
        <f>IF(C32="","",SUMIF('2-Calcul des Salaires'!D5:D104,C32,'2-Calcul des Salaires'!O5:O104))</f>
        <v/>
      </c>
      <c r="J32" s="18">
        <f>IF(C32="","",SUMIF('2-Calcul des Salaires'!D5:D104,C32,'2-Calcul des Salaires'!Q5:Q104))</f>
        <v/>
      </c>
      <c r="K32" s="22" t="n"/>
      <c r="L32" s="22">
        <f>IF(OR(E32="",K32=""),"",IFERROR(E32/K32,0))</f>
        <v/>
      </c>
      <c r="M32" s="22" t="n"/>
    </row>
    <row r="33" ht="22" customHeight="1">
      <c r="B33" s="21">
        <f>IF(C33="","HIS"&amp;TEXT(COUNTA($C$5:C33),"000"))</f>
        <v/>
      </c>
      <c r="C33" s="21" t="n"/>
      <c r="D33" s="21" t="n"/>
      <c r="E33" s="21">
        <f>IF(C33="","",COUNTIF('2-Calcul des Salaires'!D5:D104,C33))</f>
        <v/>
      </c>
      <c r="F33" s="21">
        <f>IF(C33="","",SUMIF('2-Calcul des Salaires'!D5:D104,C33,'2-Calcul des Salaires'!J5:J104))</f>
        <v/>
      </c>
      <c r="G33" s="21">
        <f>IF(C33="","",SUMIF('2-Calcul des Salaires'!D5:D104,C33,'2-Calcul des Salaires'!N5:N104))</f>
        <v/>
      </c>
      <c r="H33" s="21">
        <f>IF(C33="","",SUMIF('2-Calcul des Salaires'!D5:D104,C33,'2-Calcul des Salaires'!N5:N104))</f>
        <v/>
      </c>
      <c r="I33" s="16">
        <f>IF(C33="","",SUMIF('2-Calcul des Salaires'!D5:D104,C33,'2-Calcul des Salaires'!O5:O104))</f>
        <v/>
      </c>
      <c r="J33" s="16">
        <f>IF(C33="","",SUMIF('2-Calcul des Salaires'!D5:D104,C33,'2-Calcul des Salaires'!Q5:Q104))</f>
        <v/>
      </c>
      <c r="K33" s="21" t="n"/>
      <c r="L33" s="21">
        <f>IF(OR(E33="",K33=""),"",IFERROR(E33/K33,0))</f>
        <v/>
      </c>
      <c r="M33" s="21" t="n"/>
    </row>
    <row r="34" ht="22" customHeight="1">
      <c r="B34" s="22">
        <f>IF(C34="","HIS"&amp;TEXT(COUNTA($C$5:C34),"000"))</f>
        <v/>
      </c>
      <c r="C34" s="22" t="n"/>
      <c r="D34" s="22" t="n"/>
      <c r="E34" s="22">
        <f>IF(C34="","",COUNTIF('2-Calcul des Salaires'!D5:D104,C34))</f>
        <v/>
      </c>
      <c r="F34" s="22">
        <f>IF(C34="","",SUMIF('2-Calcul des Salaires'!D5:D104,C34,'2-Calcul des Salaires'!J5:J104))</f>
        <v/>
      </c>
      <c r="G34" s="22">
        <f>IF(C34="","",SUMIF('2-Calcul des Salaires'!D5:D104,C34,'2-Calcul des Salaires'!N5:N104))</f>
        <v/>
      </c>
      <c r="H34" s="22">
        <f>IF(C34="","",SUMIF('2-Calcul des Salaires'!D5:D104,C34,'2-Calcul des Salaires'!N5:N104))</f>
        <v/>
      </c>
      <c r="I34" s="18">
        <f>IF(C34="","",SUMIF('2-Calcul des Salaires'!D5:D104,C34,'2-Calcul des Salaires'!O5:O104))</f>
        <v/>
      </c>
      <c r="J34" s="18">
        <f>IF(C34="","",SUMIF('2-Calcul des Salaires'!D5:D104,C34,'2-Calcul des Salaires'!Q5:Q104))</f>
        <v/>
      </c>
      <c r="K34" s="22" t="n"/>
      <c r="L34" s="22">
        <f>IF(OR(E34="",K34=""),"",IFERROR(E34/K34,0))</f>
        <v/>
      </c>
      <c r="M34" s="22" t="n"/>
    </row>
    <row r="35" ht="22" customHeight="1">
      <c r="B35" s="21">
        <f>IF(C35="","HIS"&amp;TEXT(COUNTA($C$5:C35),"000"))</f>
        <v/>
      </c>
      <c r="C35" s="21" t="n"/>
      <c r="D35" s="21" t="n"/>
      <c r="E35" s="21">
        <f>IF(C35="","",COUNTIF('2-Calcul des Salaires'!D5:D104,C35))</f>
        <v/>
      </c>
      <c r="F35" s="21">
        <f>IF(C35="","",SUMIF('2-Calcul des Salaires'!D5:D104,C35,'2-Calcul des Salaires'!J5:J104))</f>
        <v/>
      </c>
      <c r="G35" s="21">
        <f>IF(C35="","",SUMIF('2-Calcul des Salaires'!D5:D104,C35,'2-Calcul des Salaires'!N5:N104))</f>
        <v/>
      </c>
      <c r="H35" s="21">
        <f>IF(C35="","",SUMIF('2-Calcul des Salaires'!D5:D104,C35,'2-Calcul des Salaires'!N5:N104))</f>
        <v/>
      </c>
      <c r="I35" s="16">
        <f>IF(C35="","",SUMIF('2-Calcul des Salaires'!D5:D104,C35,'2-Calcul des Salaires'!O5:O104))</f>
        <v/>
      </c>
      <c r="J35" s="16">
        <f>IF(C35="","",SUMIF('2-Calcul des Salaires'!D5:D104,C35,'2-Calcul des Salaires'!Q5:Q104))</f>
        <v/>
      </c>
      <c r="K35" s="21" t="n"/>
      <c r="L35" s="21">
        <f>IF(OR(E35="",K35=""),"",IFERROR(E35/K35,0))</f>
        <v/>
      </c>
      <c r="M35" s="21" t="n"/>
    </row>
    <row r="36" ht="22" customHeight="1">
      <c r="B36" s="22">
        <f>IF(C36="","HIS"&amp;TEXT(COUNTA($C$5:C36),"000"))</f>
        <v/>
      </c>
      <c r="C36" s="22" t="n"/>
      <c r="D36" s="22" t="n"/>
      <c r="E36" s="22">
        <f>IF(C36="","",COUNTIF('2-Calcul des Salaires'!D5:D104,C36))</f>
        <v/>
      </c>
      <c r="F36" s="22">
        <f>IF(C36="","",SUMIF('2-Calcul des Salaires'!D5:D104,C36,'2-Calcul des Salaires'!J5:J104))</f>
        <v/>
      </c>
      <c r="G36" s="22">
        <f>IF(C36="","",SUMIF('2-Calcul des Salaires'!D5:D104,C36,'2-Calcul des Salaires'!N5:N104))</f>
        <v/>
      </c>
      <c r="H36" s="22">
        <f>IF(C36="","",SUMIF('2-Calcul des Salaires'!D5:D104,C36,'2-Calcul des Salaires'!N5:N104))</f>
        <v/>
      </c>
      <c r="I36" s="18">
        <f>IF(C36="","",SUMIF('2-Calcul des Salaires'!D5:D104,C36,'2-Calcul des Salaires'!O5:O104))</f>
        <v/>
      </c>
      <c r="J36" s="18">
        <f>IF(C36="","",SUMIF('2-Calcul des Salaires'!D5:D104,C36,'2-Calcul des Salaires'!Q5:Q104))</f>
        <v/>
      </c>
      <c r="K36" s="22" t="n"/>
      <c r="L36" s="22">
        <f>IF(OR(E36="",K36=""),"",IFERROR(E36/K36,0))</f>
        <v/>
      </c>
      <c r="M36" s="22" t="n"/>
    </row>
    <row r="37" ht="22" customHeight="1">
      <c r="B37" s="21">
        <f>IF(C37="","HIS"&amp;TEXT(COUNTA($C$5:C37),"000"))</f>
        <v/>
      </c>
      <c r="C37" s="21" t="n"/>
      <c r="D37" s="21" t="n"/>
      <c r="E37" s="21">
        <f>IF(C37="","",COUNTIF('2-Calcul des Salaires'!D5:D104,C37))</f>
        <v/>
      </c>
      <c r="F37" s="21">
        <f>IF(C37="","",SUMIF('2-Calcul des Salaires'!D5:D104,C37,'2-Calcul des Salaires'!J5:J104))</f>
        <v/>
      </c>
      <c r="G37" s="21">
        <f>IF(C37="","",SUMIF('2-Calcul des Salaires'!D5:D104,C37,'2-Calcul des Salaires'!N5:N104))</f>
        <v/>
      </c>
      <c r="H37" s="21">
        <f>IF(C37="","",SUMIF('2-Calcul des Salaires'!D5:D104,C37,'2-Calcul des Salaires'!N5:N104))</f>
        <v/>
      </c>
      <c r="I37" s="16">
        <f>IF(C37="","",SUMIF('2-Calcul des Salaires'!D5:D104,C37,'2-Calcul des Salaires'!O5:O104))</f>
        <v/>
      </c>
      <c r="J37" s="16">
        <f>IF(C37="","",SUMIF('2-Calcul des Salaires'!D5:D104,C37,'2-Calcul des Salaires'!Q5:Q104))</f>
        <v/>
      </c>
      <c r="K37" s="21" t="n"/>
      <c r="L37" s="21">
        <f>IF(OR(E37="",K37=""),"",IFERROR(E37/K37,0))</f>
        <v/>
      </c>
      <c r="M37" s="21" t="n"/>
    </row>
    <row r="38" ht="22" customHeight="1">
      <c r="B38" s="22">
        <f>IF(C38="","HIS"&amp;TEXT(COUNTA($C$5:C38),"000"))</f>
        <v/>
      </c>
      <c r="C38" s="22" t="n"/>
      <c r="D38" s="22" t="n"/>
      <c r="E38" s="22">
        <f>IF(C38="","",COUNTIF('2-Calcul des Salaires'!D5:D104,C38))</f>
        <v/>
      </c>
      <c r="F38" s="22">
        <f>IF(C38="","",SUMIF('2-Calcul des Salaires'!D5:D104,C38,'2-Calcul des Salaires'!J5:J104))</f>
        <v/>
      </c>
      <c r="G38" s="22">
        <f>IF(C38="","",SUMIF('2-Calcul des Salaires'!D5:D104,C38,'2-Calcul des Salaires'!N5:N104))</f>
        <v/>
      </c>
      <c r="H38" s="22">
        <f>IF(C38="","",SUMIF('2-Calcul des Salaires'!D5:D104,C38,'2-Calcul des Salaires'!N5:N104))</f>
        <v/>
      </c>
      <c r="I38" s="18">
        <f>IF(C38="","",SUMIF('2-Calcul des Salaires'!D5:D104,C38,'2-Calcul des Salaires'!O5:O104))</f>
        <v/>
      </c>
      <c r="J38" s="18">
        <f>IF(C38="","",SUMIF('2-Calcul des Salaires'!D5:D104,C38,'2-Calcul des Salaires'!Q5:Q104))</f>
        <v/>
      </c>
      <c r="K38" s="22" t="n"/>
      <c r="L38" s="22">
        <f>IF(OR(E38="",K38=""),"",IFERROR(E38/K38,0))</f>
        <v/>
      </c>
      <c r="M38" s="22" t="n"/>
    </row>
    <row r="39" ht="22" customHeight="1">
      <c r="B39" s="21">
        <f>IF(C39="","HIS"&amp;TEXT(COUNTA($C$5:C39),"000"))</f>
        <v/>
      </c>
      <c r="C39" s="21" t="n"/>
      <c r="D39" s="21" t="n"/>
      <c r="E39" s="21">
        <f>IF(C39="","",COUNTIF('2-Calcul des Salaires'!D5:D104,C39))</f>
        <v/>
      </c>
      <c r="F39" s="21">
        <f>IF(C39="","",SUMIF('2-Calcul des Salaires'!D5:D104,C39,'2-Calcul des Salaires'!J5:J104))</f>
        <v/>
      </c>
      <c r="G39" s="21">
        <f>IF(C39="","",SUMIF('2-Calcul des Salaires'!D5:D104,C39,'2-Calcul des Salaires'!N5:N104))</f>
        <v/>
      </c>
      <c r="H39" s="21">
        <f>IF(C39="","",SUMIF('2-Calcul des Salaires'!D5:D104,C39,'2-Calcul des Salaires'!N5:N104))</f>
        <v/>
      </c>
      <c r="I39" s="16">
        <f>IF(C39="","",SUMIF('2-Calcul des Salaires'!D5:D104,C39,'2-Calcul des Salaires'!O5:O104))</f>
        <v/>
      </c>
      <c r="J39" s="16">
        <f>IF(C39="","",SUMIF('2-Calcul des Salaires'!D5:D104,C39,'2-Calcul des Salaires'!Q5:Q104))</f>
        <v/>
      </c>
      <c r="K39" s="21" t="n"/>
      <c r="L39" s="21">
        <f>IF(OR(E39="",K39=""),"",IFERROR(E39/K39,0))</f>
        <v/>
      </c>
      <c r="M39" s="21" t="n"/>
    </row>
    <row r="40" ht="22" customHeight="1">
      <c r="B40" s="22">
        <f>IF(C40="","HIS"&amp;TEXT(COUNTA($C$5:C40),"000"))</f>
        <v/>
      </c>
      <c r="C40" s="22" t="n"/>
      <c r="D40" s="22" t="n"/>
      <c r="E40" s="22">
        <f>IF(C40="","",COUNTIF('2-Calcul des Salaires'!D5:D104,C40))</f>
        <v/>
      </c>
      <c r="F40" s="22">
        <f>IF(C40="","",SUMIF('2-Calcul des Salaires'!D5:D104,C40,'2-Calcul des Salaires'!J5:J104))</f>
        <v/>
      </c>
      <c r="G40" s="22">
        <f>IF(C40="","",SUMIF('2-Calcul des Salaires'!D5:D104,C40,'2-Calcul des Salaires'!N5:N104))</f>
        <v/>
      </c>
      <c r="H40" s="22">
        <f>IF(C40="","",SUMIF('2-Calcul des Salaires'!D5:D104,C40,'2-Calcul des Salaires'!N5:N104))</f>
        <v/>
      </c>
      <c r="I40" s="18">
        <f>IF(C40="","",SUMIF('2-Calcul des Salaires'!D5:D104,C40,'2-Calcul des Salaires'!O5:O104))</f>
        <v/>
      </c>
      <c r="J40" s="18">
        <f>IF(C40="","",SUMIF('2-Calcul des Salaires'!D5:D104,C40,'2-Calcul des Salaires'!Q5:Q104))</f>
        <v/>
      </c>
      <c r="K40" s="22" t="n"/>
      <c r="L40" s="22">
        <f>IF(OR(E40="",K40=""),"",IFERROR(E40/K40,0))</f>
        <v/>
      </c>
      <c r="M40" s="22" t="n"/>
    </row>
    <row r="41" ht="22" customHeight="1">
      <c r="B41" s="21">
        <f>IF(C41="","HIS"&amp;TEXT(COUNTA($C$5:C41),"000"))</f>
        <v/>
      </c>
      <c r="C41" s="21" t="n"/>
      <c r="D41" s="21" t="n"/>
      <c r="E41" s="21">
        <f>IF(C41="","",COUNTIF('2-Calcul des Salaires'!D5:D104,C41))</f>
        <v/>
      </c>
      <c r="F41" s="21">
        <f>IF(C41="","",SUMIF('2-Calcul des Salaires'!D5:D104,C41,'2-Calcul des Salaires'!J5:J104))</f>
        <v/>
      </c>
      <c r="G41" s="21">
        <f>IF(C41="","",SUMIF('2-Calcul des Salaires'!D5:D104,C41,'2-Calcul des Salaires'!N5:N104))</f>
        <v/>
      </c>
      <c r="H41" s="21">
        <f>IF(C41="","",SUMIF('2-Calcul des Salaires'!D5:D104,C41,'2-Calcul des Salaires'!N5:N104))</f>
        <v/>
      </c>
      <c r="I41" s="16">
        <f>IF(C41="","",SUMIF('2-Calcul des Salaires'!D5:D104,C41,'2-Calcul des Salaires'!O5:O104))</f>
        <v/>
      </c>
      <c r="J41" s="16">
        <f>IF(C41="","",SUMIF('2-Calcul des Salaires'!D5:D104,C41,'2-Calcul des Salaires'!Q5:Q104))</f>
        <v/>
      </c>
      <c r="K41" s="21" t="n"/>
      <c r="L41" s="21">
        <f>IF(OR(E41="",K41=""),"",IFERROR(E41/K41,0))</f>
        <v/>
      </c>
      <c r="M41" s="21" t="n"/>
    </row>
    <row r="42" ht="22" customHeight="1">
      <c r="B42" s="22">
        <f>IF(C42="","HIS"&amp;TEXT(COUNTA($C$5:C42),"000"))</f>
        <v/>
      </c>
      <c r="C42" s="22" t="n"/>
      <c r="D42" s="22" t="n"/>
      <c r="E42" s="22">
        <f>IF(C42="","",COUNTIF('2-Calcul des Salaires'!D5:D104,C42))</f>
        <v/>
      </c>
      <c r="F42" s="22">
        <f>IF(C42="","",SUMIF('2-Calcul des Salaires'!D5:D104,C42,'2-Calcul des Salaires'!J5:J104))</f>
        <v/>
      </c>
      <c r="G42" s="22">
        <f>IF(C42="","",SUMIF('2-Calcul des Salaires'!D5:D104,C42,'2-Calcul des Salaires'!N5:N104))</f>
        <v/>
      </c>
      <c r="H42" s="22">
        <f>IF(C42="","",SUMIF('2-Calcul des Salaires'!D5:D104,C42,'2-Calcul des Salaires'!N5:N104))</f>
        <v/>
      </c>
      <c r="I42" s="18">
        <f>IF(C42="","",SUMIF('2-Calcul des Salaires'!D5:D104,C42,'2-Calcul des Salaires'!O5:O104))</f>
        <v/>
      </c>
      <c r="J42" s="18">
        <f>IF(C42="","",SUMIF('2-Calcul des Salaires'!D5:D104,C42,'2-Calcul des Salaires'!Q5:Q104))</f>
        <v/>
      </c>
      <c r="K42" s="22" t="n"/>
      <c r="L42" s="22">
        <f>IF(OR(E42="",K42=""),"",IFERROR(E42/K42,0))</f>
        <v/>
      </c>
      <c r="M42" s="22" t="n"/>
    </row>
    <row r="43" ht="22" customHeight="1">
      <c r="B43" s="21">
        <f>IF(C43="","HIS"&amp;TEXT(COUNTA($C$5:C43),"000"))</f>
        <v/>
      </c>
      <c r="C43" s="21" t="n"/>
      <c r="D43" s="21" t="n"/>
      <c r="E43" s="21">
        <f>IF(C43="","",COUNTIF('2-Calcul des Salaires'!D5:D104,C43))</f>
        <v/>
      </c>
      <c r="F43" s="21">
        <f>IF(C43="","",SUMIF('2-Calcul des Salaires'!D5:D104,C43,'2-Calcul des Salaires'!J5:J104))</f>
        <v/>
      </c>
      <c r="G43" s="21">
        <f>IF(C43="","",SUMIF('2-Calcul des Salaires'!D5:D104,C43,'2-Calcul des Salaires'!N5:N104))</f>
        <v/>
      </c>
      <c r="H43" s="21">
        <f>IF(C43="","",SUMIF('2-Calcul des Salaires'!D5:D104,C43,'2-Calcul des Salaires'!N5:N104))</f>
        <v/>
      </c>
      <c r="I43" s="16">
        <f>IF(C43="","",SUMIF('2-Calcul des Salaires'!D5:D104,C43,'2-Calcul des Salaires'!O5:O104))</f>
        <v/>
      </c>
      <c r="J43" s="16">
        <f>IF(C43="","",SUMIF('2-Calcul des Salaires'!D5:D104,C43,'2-Calcul des Salaires'!Q5:Q104))</f>
        <v/>
      </c>
      <c r="K43" s="21" t="n"/>
      <c r="L43" s="21">
        <f>IF(OR(E43="",K43=""),"",IFERROR(E43/K43,0))</f>
        <v/>
      </c>
      <c r="M43" s="21" t="n"/>
    </row>
    <row r="44" ht="22" customHeight="1">
      <c r="B44" s="22">
        <f>IF(C44="","HIS"&amp;TEXT(COUNTA($C$5:C44),"000"))</f>
        <v/>
      </c>
      <c r="C44" s="22" t="n"/>
      <c r="D44" s="22" t="n"/>
      <c r="E44" s="22">
        <f>IF(C44="","",COUNTIF('2-Calcul des Salaires'!D5:D104,C44))</f>
        <v/>
      </c>
      <c r="F44" s="22">
        <f>IF(C44="","",SUMIF('2-Calcul des Salaires'!D5:D104,C44,'2-Calcul des Salaires'!J5:J104))</f>
        <v/>
      </c>
      <c r="G44" s="22">
        <f>IF(C44="","",SUMIF('2-Calcul des Salaires'!D5:D104,C44,'2-Calcul des Salaires'!N5:N104))</f>
        <v/>
      </c>
      <c r="H44" s="22">
        <f>IF(C44="","",SUMIF('2-Calcul des Salaires'!D5:D104,C44,'2-Calcul des Salaires'!N5:N104))</f>
        <v/>
      </c>
      <c r="I44" s="18">
        <f>IF(C44="","",SUMIF('2-Calcul des Salaires'!D5:D104,C44,'2-Calcul des Salaires'!O5:O104))</f>
        <v/>
      </c>
      <c r="J44" s="18">
        <f>IF(C44="","",SUMIF('2-Calcul des Salaires'!D5:D104,C44,'2-Calcul des Salaires'!Q5:Q104))</f>
        <v/>
      </c>
      <c r="K44" s="22" t="n"/>
      <c r="L44" s="22">
        <f>IF(OR(E44="",K44=""),"",IFERROR(E44/K44,0))</f>
        <v/>
      </c>
      <c r="M44" s="22" t="n"/>
    </row>
    <row r="45" ht="22" customHeight="1">
      <c r="B45" s="21">
        <f>IF(C45="","HIS"&amp;TEXT(COUNTA($C$5:C45),"000"))</f>
        <v/>
      </c>
      <c r="C45" s="21" t="n"/>
      <c r="D45" s="21" t="n"/>
      <c r="E45" s="21">
        <f>IF(C45="","",COUNTIF('2-Calcul des Salaires'!D5:D104,C45))</f>
        <v/>
      </c>
      <c r="F45" s="21">
        <f>IF(C45="","",SUMIF('2-Calcul des Salaires'!D5:D104,C45,'2-Calcul des Salaires'!J5:J104))</f>
        <v/>
      </c>
      <c r="G45" s="21">
        <f>IF(C45="","",SUMIF('2-Calcul des Salaires'!D5:D104,C45,'2-Calcul des Salaires'!N5:N104))</f>
        <v/>
      </c>
      <c r="H45" s="21">
        <f>IF(C45="","",SUMIF('2-Calcul des Salaires'!D5:D104,C45,'2-Calcul des Salaires'!N5:N104))</f>
        <v/>
      </c>
      <c r="I45" s="16">
        <f>IF(C45="","",SUMIF('2-Calcul des Salaires'!D5:D104,C45,'2-Calcul des Salaires'!O5:O104))</f>
        <v/>
      </c>
      <c r="J45" s="16">
        <f>IF(C45="","",SUMIF('2-Calcul des Salaires'!D5:D104,C45,'2-Calcul des Salaires'!Q5:Q104))</f>
        <v/>
      </c>
      <c r="K45" s="21" t="n"/>
      <c r="L45" s="21">
        <f>IF(OR(E45="",K45=""),"",IFERROR(E45/K45,0))</f>
        <v/>
      </c>
      <c r="M45" s="21" t="n"/>
    </row>
    <row r="46" ht="22" customHeight="1">
      <c r="B46" s="22">
        <f>IF(C46="","HIS"&amp;TEXT(COUNTA($C$5:C46),"000"))</f>
        <v/>
      </c>
      <c r="C46" s="22" t="n"/>
      <c r="D46" s="22" t="n"/>
      <c r="E46" s="22">
        <f>IF(C46="","",COUNTIF('2-Calcul des Salaires'!D5:D104,C46))</f>
        <v/>
      </c>
      <c r="F46" s="22">
        <f>IF(C46="","",SUMIF('2-Calcul des Salaires'!D5:D104,C46,'2-Calcul des Salaires'!J5:J104))</f>
        <v/>
      </c>
      <c r="G46" s="22">
        <f>IF(C46="","",SUMIF('2-Calcul des Salaires'!D5:D104,C46,'2-Calcul des Salaires'!N5:N104))</f>
        <v/>
      </c>
      <c r="H46" s="22">
        <f>IF(C46="","",SUMIF('2-Calcul des Salaires'!D5:D104,C46,'2-Calcul des Salaires'!N5:N104))</f>
        <v/>
      </c>
      <c r="I46" s="18">
        <f>IF(C46="","",SUMIF('2-Calcul des Salaires'!D5:D104,C46,'2-Calcul des Salaires'!O5:O104))</f>
        <v/>
      </c>
      <c r="J46" s="18">
        <f>IF(C46="","",SUMIF('2-Calcul des Salaires'!D5:D104,C46,'2-Calcul des Salaires'!Q5:Q104))</f>
        <v/>
      </c>
      <c r="K46" s="22" t="n"/>
      <c r="L46" s="22">
        <f>IF(OR(E46="",K46=""),"",IFERROR(E46/K46,0))</f>
        <v/>
      </c>
      <c r="M46" s="22" t="n"/>
    </row>
    <row r="47" ht="22" customHeight="1">
      <c r="B47" s="21">
        <f>IF(C47="","HIS"&amp;TEXT(COUNTA($C$5:C47),"000"))</f>
        <v/>
      </c>
      <c r="C47" s="21" t="n"/>
      <c r="D47" s="21" t="n"/>
      <c r="E47" s="21">
        <f>IF(C47="","",COUNTIF('2-Calcul des Salaires'!D5:D104,C47))</f>
        <v/>
      </c>
      <c r="F47" s="21">
        <f>IF(C47="","",SUMIF('2-Calcul des Salaires'!D5:D104,C47,'2-Calcul des Salaires'!J5:J104))</f>
        <v/>
      </c>
      <c r="G47" s="21">
        <f>IF(C47="","",SUMIF('2-Calcul des Salaires'!D5:D104,C47,'2-Calcul des Salaires'!N5:N104))</f>
        <v/>
      </c>
      <c r="H47" s="21">
        <f>IF(C47="","",SUMIF('2-Calcul des Salaires'!D5:D104,C47,'2-Calcul des Salaires'!N5:N104))</f>
        <v/>
      </c>
      <c r="I47" s="16">
        <f>IF(C47="","",SUMIF('2-Calcul des Salaires'!D5:D104,C47,'2-Calcul des Salaires'!O5:O104))</f>
        <v/>
      </c>
      <c r="J47" s="16">
        <f>IF(C47="","",SUMIF('2-Calcul des Salaires'!D5:D104,C47,'2-Calcul des Salaires'!Q5:Q104))</f>
        <v/>
      </c>
      <c r="K47" s="21" t="n"/>
      <c r="L47" s="21">
        <f>IF(OR(E47="",K47=""),"",IFERROR(E47/K47,0))</f>
        <v/>
      </c>
      <c r="M47" s="21" t="n"/>
    </row>
    <row r="48" ht="22" customHeight="1">
      <c r="B48" s="22">
        <f>IF(C48="","HIS"&amp;TEXT(COUNTA($C$5:C48),"000"))</f>
        <v/>
      </c>
      <c r="C48" s="22" t="n"/>
      <c r="D48" s="22" t="n"/>
      <c r="E48" s="22">
        <f>IF(C48="","",COUNTIF('2-Calcul des Salaires'!D5:D104,C48))</f>
        <v/>
      </c>
      <c r="F48" s="22">
        <f>IF(C48="","",SUMIF('2-Calcul des Salaires'!D5:D104,C48,'2-Calcul des Salaires'!J5:J104))</f>
        <v/>
      </c>
      <c r="G48" s="22">
        <f>IF(C48="","",SUMIF('2-Calcul des Salaires'!D5:D104,C48,'2-Calcul des Salaires'!N5:N104))</f>
        <v/>
      </c>
      <c r="H48" s="22">
        <f>IF(C48="","",SUMIF('2-Calcul des Salaires'!D5:D104,C48,'2-Calcul des Salaires'!N5:N104))</f>
        <v/>
      </c>
      <c r="I48" s="18">
        <f>IF(C48="","",SUMIF('2-Calcul des Salaires'!D5:D104,C48,'2-Calcul des Salaires'!O5:O104))</f>
        <v/>
      </c>
      <c r="J48" s="18">
        <f>IF(C48="","",SUMIF('2-Calcul des Salaires'!D5:D104,C48,'2-Calcul des Salaires'!Q5:Q104))</f>
        <v/>
      </c>
      <c r="K48" s="22" t="n"/>
      <c r="L48" s="22">
        <f>IF(OR(E48="",K48=""),"",IFERROR(E48/K48,0))</f>
        <v/>
      </c>
      <c r="M48" s="22" t="n"/>
    </row>
    <row r="49" ht="22" customHeight="1">
      <c r="B49" s="21">
        <f>IF(C49="","HIS"&amp;TEXT(COUNTA($C$5:C49),"000"))</f>
        <v/>
      </c>
      <c r="C49" s="21" t="n"/>
      <c r="D49" s="21" t="n"/>
      <c r="E49" s="21">
        <f>IF(C49="","",COUNTIF('2-Calcul des Salaires'!D5:D104,C49))</f>
        <v/>
      </c>
      <c r="F49" s="21">
        <f>IF(C49="","",SUMIF('2-Calcul des Salaires'!D5:D104,C49,'2-Calcul des Salaires'!J5:J104))</f>
        <v/>
      </c>
      <c r="G49" s="21">
        <f>IF(C49="","",SUMIF('2-Calcul des Salaires'!D5:D104,C49,'2-Calcul des Salaires'!N5:N104))</f>
        <v/>
      </c>
      <c r="H49" s="21">
        <f>IF(C49="","",SUMIF('2-Calcul des Salaires'!D5:D104,C49,'2-Calcul des Salaires'!N5:N104))</f>
        <v/>
      </c>
      <c r="I49" s="16">
        <f>IF(C49="","",SUMIF('2-Calcul des Salaires'!D5:D104,C49,'2-Calcul des Salaires'!O5:O104))</f>
        <v/>
      </c>
      <c r="J49" s="16">
        <f>IF(C49="","",SUMIF('2-Calcul des Salaires'!D5:D104,C49,'2-Calcul des Salaires'!Q5:Q104))</f>
        <v/>
      </c>
      <c r="K49" s="21" t="n"/>
      <c r="L49" s="21">
        <f>IF(OR(E49="",K49=""),"",IFERROR(E49/K49,0))</f>
        <v/>
      </c>
      <c r="M49" s="21" t="n"/>
    </row>
    <row r="50" ht="22" customHeight="1">
      <c r="B50" s="22">
        <f>IF(C50="","HIS"&amp;TEXT(COUNTA($C$5:C50),"000"))</f>
        <v/>
      </c>
      <c r="C50" s="22" t="n"/>
      <c r="D50" s="22" t="n"/>
      <c r="E50" s="22">
        <f>IF(C50="","",COUNTIF('2-Calcul des Salaires'!D5:D104,C50))</f>
        <v/>
      </c>
      <c r="F50" s="22">
        <f>IF(C50="","",SUMIF('2-Calcul des Salaires'!D5:D104,C50,'2-Calcul des Salaires'!J5:J104))</f>
        <v/>
      </c>
      <c r="G50" s="22">
        <f>IF(C50="","",SUMIF('2-Calcul des Salaires'!D5:D104,C50,'2-Calcul des Salaires'!N5:N104))</f>
        <v/>
      </c>
      <c r="H50" s="22">
        <f>IF(C50="","",SUMIF('2-Calcul des Salaires'!D5:D104,C50,'2-Calcul des Salaires'!N5:N104))</f>
        <v/>
      </c>
      <c r="I50" s="18">
        <f>IF(C50="","",SUMIF('2-Calcul des Salaires'!D5:D104,C50,'2-Calcul des Salaires'!O5:O104))</f>
        <v/>
      </c>
      <c r="J50" s="18">
        <f>IF(C50="","",SUMIF('2-Calcul des Salaires'!D5:D104,C50,'2-Calcul des Salaires'!Q5:Q104))</f>
        <v/>
      </c>
      <c r="K50" s="22" t="n"/>
      <c r="L50" s="22">
        <f>IF(OR(E50="",K50=""),"",IFERROR(E50/K50,0))</f>
        <v/>
      </c>
      <c r="M50" s="22" t="n"/>
    </row>
    <row r="51" ht="22" customHeight="1">
      <c r="B51" s="21">
        <f>IF(C51="","HIS"&amp;TEXT(COUNTA($C$5:C51),"000"))</f>
        <v/>
      </c>
      <c r="C51" s="21" t="n"/>
      <c r="D51" s="21" t="n"/>
      <c r="E51" s="21">
        <f>IF(C51="","",COUNTIF('2-Calcul des Salaires'!D5:D104,C51))</f>
        <v/>
      </c>
      <c r="F51" s="21">
        <f>IF(C51="","",SUMIF('2-Calcul des Salaires'!D5:D104,C51,'2-Calcul des Salaires'!J5:J104))</f>
        <v/>
      </c>
      <c r="G51" s="21">
        <f>IF(C51="","",SUMIF('2-Calcul des Salaires'!D5:D104,C51,'2-Calcul des Salaires'!N5:N104))</f>
        <v/>
      </c>
      <c r="H51" s="21">
        <f>IF(C51="","",SUMIF('2-Calcul des Salaires'!D5:D104,C51,'2-Calcul des Salaires'!N5:N104))</f>
        <v/>
      </c>
      <c r="I51" s="16">
        <f>IF(C51="","",SUMIF('2-Calcul des Salaires'!D5:D104,C51,'2-Calcul des Salaires'!O5:O104))</f>
        <v/>
      </c>
      <c r="J51" s="16">
        <f>IF(C51="","",SUMIF('2-Calcul des Salaires'!D5:D104,C51,'2-Calcul des Salaires'!Q5:Q104))</f>
        <v/>
      </c>
      <c r="K51" s="21" t="n"/>
      <c r="L51" s="21">
        <f>IF(OR(E51="",K51=""),"",IFERROR(E51/K51,0))</f>
        <v/>
      </c>
      <c r="M51" s="21" t="n"/>
    </row>
    <row r="52" ht="22" customHeight="1">
      <c r="B52" s="22">
        <f>IF(C52="","HIS"&amp;TEXT(COUNTA($C$5:C52),"000"))</f>
        <v/>
      </c>
      <c r="C52" s="22" t="n"/>
      <c r="D52" s="22" t="n"/>
      <c r="E52" s="22">
        <f>IF(C52="","",COUNTIF('2-Calcul des Salaires'!D5:D104,C52))</f>
        <v/>
      </c>
      <c r="F52" s="22">
        <f>IF(C52="","",SUMIF('2-Calcul des Salaires'!D5:D104,C52,'2-Calcul des Salaires'!J5:J104))</f>
        <v/>
      </c>
      <c r="G52" s="22">
        <f>IF(C52="","",SUMIF('2-Calcul des Salaires'!D5:D104,C52,'2-Calcul des Salaires'!N5:N104))</f>
        <v/>
      </c>
      <c r="H52" s="22">
        <f>IF(C52="","",SUMIF('2-Calcul des Salaires'!D5:D104,C52,'2-Calcul des Salaires'!N5:N104))</f>
        <v/>
      </c>
      <c r="I52" s="18">
        <f>IF(C52="","",SUMIF('2-Calcul des Salaires'!D5:D104,C52,'2-Calcul des Salaires'!O5:O104))</f>
        <v/>
      </c>
      <c r="J52" s="18">
        <f>IF(C52="","",SUMIF('2-Calcul des Salaires'!D5:D104,C52,'2-Calcul des Salaires'!Q5:Q104))</f>
        <v/>
      </c>
      <c r="K52" s="22" t="n"/>
      <c r="L52" s="22">
        <f>IF(OR(E52="",K52=""),"",IFERROR(E52/K52,0))</f>
        <v/>
      </c>
      <c r="M52" s="22" t="n"/>
    </row>
    <row r="53" ht="22" customHeight="1">
      <c r="B53" s="21">
        <f>IF(C53="","HIS"&amp;TEXT(COUNTA($C$5:C53),"000"))</f>
        <v/>
      </c>
      <c r="C53" s="21" t="n"/>
      <c r="D53" s="21" t="n"/>
      <c r="E53" s="21">
        <f>IF(C53="","",COUNTIF('2-Calcul des Salaires'!D5:D104,C53))</f>
        <v/>
      </c>
      <c r="F53" s="21">
        <f>IF(C53="","",SUMIF('2-Calcul des Salaires'!D5:D104,C53,'2-Calcul des Salaires'!J5:J104))</f>
        <v/>
      </c>
      <c r="G53" s="21">
        <f>IF(C53="","",SUMIF('2-Calcul des Salaires'!D5:D104,C53,'2-Calcul des Salaires'!N5:N104))</f>
        <v/>
      </c>
      <c r="H53" s="21">
        <f>IF(C53="","",SUMIF('2-Calcul des Salaires'!D5:D104,C53,'2-Calcul des Salaires'!N5:N104))</f>
        <v/>
      </c>
      <c r="I53" s="16">
        <f>IF(C53="","",SUMIF('2-Calcul des Salaires'!D5:D104,C53,'2-Calcul des Salaires'!O5:O104))</f>
        <v/>
      </c>
      <c r="J53" s="16">
        <f>IF(C53="","",SUMIF('2-Calcul des Salaires'!D5:D104,C53,'2-Calcul des Salaires'!Q5:Q104))</f>
        <v/>
      </c>
      <c r="K53" s="21" t="n"/>
      <c r="L53" s="21">
        <f>IF(OR(E53="",K53=""),"",IFERROR(E53/K53,0))</f>
        <v/>
      </c>
      <c r="M53" s="21" t="n"/>
    </row>
    <row r="54" ht="22" customHeight="1">
      <c r="B54" s="22">
        <f>IF(C54="","HIS"&amp;TEXT(COUNTA($C$5:C54),"000"))</f>
        <v/>
      </c>
      <c r="C54" s="22" t="n"/>
      <c r="D54" s="22" t="n"/>
      <c r="E54" s="22">
        <f>IF(C54="","",COUNTIF('2-Calcul des Salaires'!D5:D104,C54))</f>
        <v/>
      </c>
      <c r="F54" s="22">
        <f>IF(C54="","",SUMIF('2-Calcul des Salaires'!D5:D104,C54,'2-Calcul des Salaires'!J5:J104))</f>
        <v/>
      </c>
      <c r="G54" s="22">
        <f>IF(C54="","",SUMIF('2-Calcul des Salaires'!D5:D104,C54,'2-Calcul des Salaires'!N5:N104))</f>
        <v/>
      </c>
      <c r="H54" s="22">
        <f>IF(C54="","",SUMIF('2-Calcul des Salaires'!D5:D104,C54,'2-Calcul des Salaires'!N5:N104))</f>
        <v/>
      </c>
      <c r="I54" s="18">
        <f>IF(C54="","",SUMIF('2-Calcul des Salaires'!D5:D104,C54,'2-Calcul des Salaires'!O5:O104))</f>
        <v/>
      </c>
      <c r="J54" s="18">
        <f>IF(C54="","",SUMIF('2-Calcul des Salaires'!D5:D104,C54,'2-Calcul des Salaires'!Q5:Q104))</f>
        <v/>
      </c>
      <c r="K54" s="22" t="n"/>
      <c r="L54" s="22">
        <f>IF(OR(E54="",K54=""),"",IFERROR(E54/K54,0))</f>
        <v/>
      </c>
      <c r="M54" s="22" t="n"/>
    </row>
    <row r="55" ht="22" customHeight="1">
      <c r="B55" s="21">
        <f>IF(C55="","HIS"&amp;TEXT(COUNTA($C$5:C55),"000"))</f>
        <v/>
      </c>
      <c r="C55" s="21" t="n"/>
      <c r="D55" s="21" t="n"/>
      <c r="E55" s="21">
        <f>IF(C55="","",COUNTIF('2-Calcul des Salaires'!D5:D104,C55))</f>
        <v/>
      </c>
      <c r="F55" s="21">
        <f>IF(C55="","",SUMIF('2-Calcul des Salaires'!D5:D104,C55,'2-Calcul des Salaires'!J5:J104))</f>
        <v/>
      </c>
      <c r="G55" s="21">
        <f>IF(C55="","",SUMIF('2-Calcul des Salaires'!D5:D104,C55,'2-Calcul des Salaires'!N5:N104))</f>
        <v/>
      </c>
      <c r="H55" s="21">
        <f>IF(C55="","",SUMIF('2-Calcul des Salaires'!D5:D104,C55,'2-Calcul des Salaires'!N5:N104))</f>
        <v/>
      </c>
      <c r="I55" s="16">
        <f>IF(C55="","",SUMIF('2-Calcul des Salaires'!D5:D104,C55,'2-Calcul des Salaires'!O5:O104))</f>
        <v/>
      </c>
      <c r="J55" s="16">
        <f>IF(C55="","",SUMIF('2-Calcul des Salaires'!D5:D104,C55,'2-Calcul des Salaires'!Q5:Q104))</f>
        <v/>
      </c>
      <c r="K55" s="21" t="n"/>
      <c r="L55" s="21">
        <f>IF(OR(E55="",K55=""),"",IFERROR(E55/K55,0))</f>
        <v/>
      </c>
      <c r="M55" s="21" t="n"/>
    </row>
    <row r="56" ht="22" customHeight="1">
      <c r="B56" s="22">
        <f>IF(C56="","HIS"&amp;TEXT(COUNTA($C$5:C56),"000"))</f>
        <v/>
      </c>
      <c r="C56" s="22" t="n"/>
      <c r="D56" s="22" t="n"/>
      <c r="E56" s="22">
        <f>IF(C56="","",COUNTIF('2-Calcul des Salaires'!D5:D104,C56))</f>
        <v/>
      </c>
      <c r="F56" s="22">
        <f>IF(C56="","",SUMIF('2-Calcul des Salaires'!D5:D104,C56,'2-Calcul des Salaires'!J5:J104))</f>
        <v/>
      </c>
      <c r="G56" s="22">
        <f>IF(C56="","",SUMIF('2-Calcul des Salaires'!D5:D104,C56,'2-Calcul des Salaires'!N5:N104))</f>
        <v/>
      </c>
      <c r="H56" s="22">
        <f>IF(C56="","",SUMIF('2-Calcul des Salaires'!D5:D104,C56,'2-Calcul des Salaires'!N5:N104))</f>
        <v/>
      </c>
      <c r="I56" s="18">
        <f>IF(C56="","",SUMIF('2-Calcul des Salaires'!D5:D104,C56,'2-Calcul des Salaires'!O5:O104))</f>
        <v/>
      </c>
      <c r="J56" s="18">
        <f>IF(C56="","",SUMIF('2-Calcul des Salaires'!D5:D104,C56,'2-Calcul des Salaires'!Q5:Q104))</f>
        <v/>
      </c>
      <c r="K56" s="22" t="n"/>
      <c r="L56" s="22">
        <f>IF(OR(E56="",K56=""),"",IFERROR(E56/K56,0))</f>
        <v/>
      </c>
      <c r="M56" s="22" t="n"/>
    </row>
    <row r="57" ht="22" customHeight="1">
      <c r="B57" s="21">
        <f>IF(C57="","HIS"&amp;TEXT(COUNTA($C$5:C57),"000"))</f>
        <v/>
      </c>
      <c r="C57" s="21" t="n"/>
      <c r="D57" s="21" t="n"/>
      <c r="E57" s="21">
        <f>IF(C57="","",COUNTIF('2-Calcul des Salaires'!D5:D104,C57))</f>
        <v/>
      </c>
      <c r="F57" s="21">
        <f>IF(C57="","",SUMIF('2-Calcul des Salaires'!D5:D104,C57,'2-Calcul des Salaires'!J5:J104))</f>
        <v/>
      </c>
      <c r="G57" s="21">
        <f>IF(C57="","",SUMIF('2-Calcul des Salaires'!D5:D104,C57,'2-Calcul des Salaires'!N5:N104))</f>
        <v/>
      </c>
      <c r="H57" s="21">
        <f>IF(C57="","",SUMIF('2-Calcul des Salaires'!D5:D104,C57,'2-Calcul des Salaires'!N5:N104))</f>
        <v/>
      </c>
      <c r="I57" s="16">
        <f>IF(C57="","",SUMIF('2-Calcul des Salaires'!D5:D104,C57,'2-Calcul des Salaires'!O5:O104))</f>
        <v/>
      </c>
      <c r="J57" s="16">
        <f>IF(C57="","",SUMIF('2-Calcul des Salaires'!D5:D104,C57,'2-Calcul des Salaires'!Q5:Q104))</f>
        <v/>
      </c>
      <c r="K57" s="21" t="n"/>
      <c r="L57" s="21">
        <f>IF(OR(E57="",K57=""),"",IFERROR(E57/K57,0))</f>
        <v/>
      </c>
      <c r="M57" s="21" t="n"/>
    </row>
    <row r="58" ht="22" customHeight="1">
      <c r="B58" s="22">
        <f>IF(C58="","HIS"&amp;TEXT(COUNTA($C$5:C58),"000"))</f>
        <v/>
      </c>
      <c r="C58" s="22" t="n"/>
      <c r="D58" s="22" t="n"/>
      <c r="E58" s="22">
        <f>IF(C58="","",COUNTIF('2-Calcul des Salaires'!D5:D104,C58))</f>
        <v/>
      </c>
      <c r="F58" s="22">
        <f>IF(C58="","",SUMIF('2-Calcul des Salaires'!D5:D104,C58,'2-Calcul des Salaires'!J5:J104))</f>
        <v/>
      </c>
      <c r="G58" s="22">
        <f>IF(C58="","",SUMIF('2-Calcul des Salaires'!D5:D104,C58,'2-Calcul des Salaires'!N5:N104))</f>
        <v/>
      </c>
      <c r="H58" s="22">
        <f>IF(C58="","",SUMIF('2-Calcul des Salaires'!D5:D104,C58,'2-Calcul des Salaires'!N5:N104))</f>
        <v/>
      </c>
      <c r="I58" s="18">
        <f>IF(C58="","",SUMIF('2-Calcul des Salaires'!D5:D104,C58,'2-Calcul des Salaires'!O5:O104))</f>
        <v/>
      </c>
      <c r="J58" s="18">
        <f>IF(C58="","",SUMIF('2-Calcul des Salaires'!D5:D104,C58,'2-Calcul des Salaires'!Q5:Q104))</f>
        <v/>
      </c>
      <c r="K58" s="22" t="n"/>
      <c r="L58" s="22">
        <f>IF(OR(E58="",K58=""),"",IFERROR(E58/K58,0))</f>
        <v/>
      </c>
      <c r="M58" s="22" t="n"/>
    </row>
    <row r="59" ht="22" customHeight="1">
      <c r="B59" s="21">
        <f>IF(C59="","HIS"&amp;TEXT(COUNTA($C$5:C59),"000"))</f>
        <v/>
      </c>
      <c r="C59" s="21" t="n"/>
      <c r="D59" s="21" t="n"/>
      <c r="E59" s="21">
        <f>IF(C59="","",COUNTIF('2-Calcul des Salaires'!D5:D104,C59))</f>
        <v/>
      </c>
      <c r="F59" s="21">
        <f>IF(C59="","",SUMIF('2-Calcul des Salaires'!D5:D104,C59,'2-Calcul des Salaires'!J5:J104))</f>
        <v/>
      </c>
      <c r="G59" s="21">
        <f>IF(C59="","",SUMIF('2-Calcul des Salaires'!D5:D104,C59,'2-Calcul des Salaires'!N5:N104))</f>
        <v/>
      </c>
      <c r="H59" s="21">
        <f>IF(C59="","",SUMIF('2-Calcul des Salaires'!D5:D104,C59,'2-Calcul des Salaires'!N5:N104))</f>
        <v/>
      </c>
      <c r="I59" s="16">
        <f>IF(C59="","",SUMIF('2-Calcul des Salaires'!D5:D104,C59,'2-Calcul des Salaires'!O5:O104))</f>
        <v/>
      </c>
      <c r="J59" s="16">
        <f>IF(C59="","",SUMIF('2-Calcul des Salaires'!D5:D104,C59,'2-Calcul des Salaires'!Q5:Q104))</f>
        <v/>
      </c>
      <c r="K59" s="21" t="n"/>
      <c r="L59" s="21">
        <f>IF(OR(E59="",K59=""),"",IFERROR(E59/K59,0))</f>
        <v/>
      </c>
      <c r="M59" s="21" t="n"/>
    </row>
    <row r="60" ht="22" customHeight="1">
      <c r="B60" s="22">
        <f>IF(C60="","HIS"&amp;TEXT(COUNTA($C$5:C60),"000"))</f>
        <v/>
      </c>
      <c r="C60" s="22" t="n"/>
      <c r="D60" s="22" t="n"/>
      <c r="E60" s="22">
        <f>IF(C60="","",COUNTIF('2-Calcul des Salaires'!D5:D104,C60))</f>
        <v/>
      </c>
      <c r="F60" s="22">
        <f>IF(C60="","",SUMIF('2-Calcul des Salaires'!D5:D104,C60,'2-Calcul des Salaires'!J5:J104))</f>
        <v/>
      </c>
      <c r="G60" s="22">
        <f>IF(C60="","",SUMIF('2-Calcul des Salaires'!D5:D104,C60,'2-Calcul des Salaires'!N5:N104))</f>
        <v/>
      </c>
      <c r="H60" s="22">
        <f>IF(C60="","",SUMIF('2-Calcul des Salaires'!D5:D104,C60,'2-Calcul des Salaires'!N5:N104))</f>
        <v/>
      </c>
      <c r="I60" s="18">
        <f>IF(C60="","",SUMIF('2-Calcul des Salaires'!D5:D104,C60,'2-Calcul des Salaires'!O5:O104))</f>
        <v/>
      </c>
      <c r="J60" s="18">
        <f>IF(C60="","",SUMIF('2-Calcul des Salaires'!D5:D104,C60,'2-Calcul des Salaires'!Q5:Q104))</f>
        <v/>
      </c>
      <c r="K60" s="22" t="n"/>
      <c r="L60" s="22">
        <f>IF(OR(E60="",K60=""),"",IFERROR(E60/K60,0))</f>
        <v/>
      </c>
      <c r="M60" s="22" t="n"/>
    </row>
    <row r="61" ht="22" customHeight="1">
      <c r="B61" s="21">
        <f>IF(C61="","HIS"&amp;TEXT(COUNTA($C$5:C61),"000"))</f>
        <v/>
      </c>
      <c r="C61" s="21" t="n"/>
      <c r="D61" s="21" t="n"/>
      <c r="E61" s="21">
        <f>IF(C61="","",COUNTIF('2-Calcul des Salaires'!D5:D104,C61))</f>
        <v/>
      </c>
      <c r="F61" s="21">
        <f>IF(C61="","",SUMIF('2-Calcul des Salaires'!D5:D104,C61,'2-Calcul des Salaires'!J5:J104))</f>
        <v/>
      </c>
      <c r="G61" s="21">
        <f>IF(C61="","",SUMIF('2-Calcul des Salaires'!D5:D104,C61,'2-Calcul des Salaires'!N5:N104))</f>
        <v/>
      </c>
      <c r="H61" s="21">
        <f>IF(C61="","",SUMIF('2-Calcul des Salaires'!D5:D104,C61,'2-Calcul des Salaires'!N5:N104))</f>
        <v/>
      </c>
      <c r="I61" s="16">
        <f>IF(C61="","",SUMIF('2-Calcul des Salaires'!D5:D104,C61,'2-Calcul des Salaires'!O5:O104))</f>
        <v/>
      </c>
      <c r="J61" s="16">
        <f>IF(C61="","",SUMIF('2-Calcul des Salaires'!D5:D104,C61,'2-Calcul des Salaires'!Q5:Q104))</f>
        <v/>
      </c>
      <c r="K61" s="21" t="n"/>
      <c r="L61" s="21">
        <f>IF(OR(E61="",K61=""),"",IFERROR(E61/K61,0))</f>
        <v/>
      </c>
      <c r="M61" s="21" t="n"/>
    </row>
    <row r="62" ht="22" customHeight="1">
      <c r="B62" s="22">
        <f>IF(C62="","HIS"&amp;TEXT(COUNTA($C$5:C62),"000"))</f>
        <v/>
      </c>
      <c r="C62" s="22" t="n"/>
      <c r="D62" s="22" t="n"/>
      <c r="E62" s="22">
        <f>IF(C62="","",COUNTIF('2-Calcul des Salaires'!D5:D104,C62))</f>
        <v/>
      </c>
      <c r="F62" s="22">
        <f>IF(C62="","",SUMIF('2-Calcul des Salaires'!D5:D104,C62,'2-Calcul des Salaires'!J5:J104))</f>
        <v/>
      </c>
      <c r="G62" s="22">
        <f>IF(C62="","",SUMIF('2-Calcul des Salaires'!D5:D104,C62,'2-Calcul des Salaires'!N5:N104))</f>
        <v/>
      </c>
      <c r="H62" s="22">
        <f>IF(C62="","",SUMIF('2-Calcul des Salaires'!D5:D104,C62,'2-Calcul des Salaires'!N5:N104))</f>
        <v/>
      </c>
      <c r="I62" s="18">
        <f>IF(C62="","",SUMIF('2-Calcul des Salaires'!D5:D104,C62,'2-Calcul des Salaires'!O5:O104))</f>
        <v/>
      </c>
      <c r="J62" s="18">
        <f>IF(C62="","",SUMIF('2-Calcul des Salaires'!D5:D104,C62,'2-Calcul des Salaires'!Q5:Q104))</f>
        <v/>
      </c>
      <c r="K62" s="22" t="n"/>
      <c r="L62" s="22">
        <f>IF(OR(E62="",K62=""),"",IFERROR(E62/K62,0))</f>
        <v/>
      </c>
      <c r="M62" s="22" t="n"/>
    </row>
    <row r="63" ht="22" customHeight="1">
      <c r="B63" s="21">
        <f>IF(C63="","HIS"&amp;TEXT(COUNTA($C$5:C63),"000"))</f>
        <v/>
      </c>
      <c r="C63" s="21" t="n"/>
      <c r="D63" s="21" t="n"/>
      <c r="E63" s="21">
        <f>IF(C63="","",COUNTIF('2-Calcul des Salaires'!D5:D104,C63))</f>
        <v/>
      </c>
      <c r="F63" s="21">
        <f>IF(C63="","",SUMIF('2-Calcul des Salaires'!D5:D104,C63,'2-Calcul des Salaires'!J5:J104))</f>
        <v/>
      </c>
      <c r="G63" s="21">
        <f>IF(C63="","",SUMIF('2-Calcul des Salaires'!D5:D104,C63,'2-Calcul des Salaires'!N5:N104))</f>
        <v/>
      </c>
      <c r="H63" s="21">
        <f>IF(C63="","",SUMIF('2-Calcul des Salaires'!D5:D104,C63,'2-Calcul des Salaires'!N5:N104))</f>
        <v/>
      </c>
      <c r="I63" s="16">
        <f>IF(C63="","",SUMIF('2-Calcul des Salaires'!D5:D104,C63,'2-Calcul des Salaires'!O5:O104))</f>
        <v/>
      </c>
      <c r="J63" s="16">
        <f>IF(C63="","",SUMIF('2-Calcul des Salaires'!D5:D104,C63,'2-Calcul des Salaires'!Q5:Q104))</f>
        <v/>
      </c>
      <c r="K63" s="21" t="n"/>
      <c r="L63" s="21">
        <f>IF(OR(E63="",K63=""),"",IFERROR(E63/K63,0))</f>
        <v/>
      </c>
      <c r="M63" s="21" t="n"/>
    </row>
    <row r="64" ht="22" customHeight="1">
      <c r="B64" s="22">
        <f>IF(C64="","HIS"&amp;TEXT(COUNTA($C$5:C64),"000"))</f>
        <v/>
      </c>
      <c r="C64" s="22" t="n"/>
      <c r="D64" s="22" t="n"/>
      <c r="E64" s="22">
        <f>IF(C64="","",COUNTIF('2-Calcul des Salaires'!D5:D104,C64))</f>
        <v/>
      </c>
      <c r="F64" s="22">
        <f>IF(C64="","",SUMIF('2-Calcul des Salaires'!D5:D104,C64,'2-Calcul des Salaires'!J5:J104))</f>
        <v/>
      </c>
      <c r="G64" s="22">
        <f>IF(C64="","",SUMIF('2-Calcul des Salaires'!D5:D104,C64,'2-Calcul des Salaires'!N5:N104))</f>
        <v/>
      </c>
      <c r="H64" s="22">
        <f>IF(C64="","",SUMIF('2-Calcul des Salaires'!D5:D104,C64,'2-Calcul des Salaires'!N5:N104))</f>
        <v/>
      </c>
      <c r="I64" s="18">
        <f>IF(C64="","",SUMIF('2-Calcul des Salaires'!D5:D104,C64,'2-Calcul des Salaires'!O5:O104))</f>
        <v/>
      </c>
      <c r="J64" s="18">
        <f>IF(C64="","",SUMIF('2-Calcul des Salaires'!D5:D104,C64,'2-Calcul des Salaires'!Q5:Q104))</f>
        <v/>
      </c>
      <c r="K64" s="22" t="n"/>
      <c r="L64" s="22">
        <f>IF(OR(E64="",K64=""),"",IFERROR(E64/K64,0))</f>
        <v/>
      </c>
      <c r="M64" s="22" t="n"/>
    </row>
    <row r="65" ht="22" customHeight="1">
      <c r="B65" s="21">
        <f>IF(C65="","HIS"&amp;TEXT(COUNTA($C$5:C65),"000"))</f>
        <v/>
      </c>
      <c r="C65" s="21" t="n"/>
      <c r="D65" s="21" t="n"/>
      <c r="E65" s="21">
        <f>IF(C65="","",COUNTIF('2-Calcul des Salaires'!D5:D104,C65))</f>
        <v/>
      </c>
      <c r="F65" s="21">
        <f>IF(C65="","",SUMIF('2-Calcul des Salaires'!D5:D104,C65,'2-Calcul des Salaires'!J5:J104))</f>
        <v/>
      </c>
      <c r="G65" s="21">
        <f>IF(C65="","",SUMIF('2-Calcul des Salaires'!D5:D104,C65,'2-Calcul des Salaires'!N5:N104))</f>
        <v/>
      </c>
      <c r="H65" s="21">
        <f>IF(C65="","",SUMIF('2-Calcul des Salaires'!D5:D104,C65,'2-Calcul des Salaires'!N5:N104))</f>
        <v/>
      </c>
      <c r="I65" s="16">
        <f>IF(C65="","",SUMIF('2-Calcul des Salaires'!D5:D104,C65,'2-Calcul des Salaires'!O5:O104))</f>
        <v/>
      </c>
      <c r="J65" s="16">
        <f>IF(C65="","",SUMIF('2-Calcul des Salaires'!D5:D104,C65,'2-Calcul des Salaires'!Q5:Q104))</f>
        <v/>
      </c>
      <c r="K65" s="21" t="n"/>
      <c r="L65" s="21">
        <f>IF(OR(E65="",K65=""),"",IFERROR(E65/K65,0))</f>
        <v/>
      </c>
      <c r="M65" s="21" t="n"/>
    </row>
    <row r="66" ht="22" customHeight="1">
      <c r="B66" s="22">
        <f>IF(C66="","HIS"&amp;TEXT(COUNTA($C$5:C66),"000"))</f>
        <v/>
      </c>
      <c r="C66" s="22" t="n"/>
      <c r="D66" s="22" t="n"/>
      <c r="E66" s="22">
        <f>IF(C66="","",COUNTIF('2-Calcul des Salaires'!D5:D104,C66))</f>
        <v/>
      </c>
      <c r="F66" s="22">
        <f>IF(C66="","",SUMIF('2-Calcul des Salaires'!D5:D104,C66,'2-Calcul des Salaires'!J5:J104))</f>
        <v/>
      </c>
      <c r="G66" s="22">
        <f>IF(C66="","",SUMIF('2-Calcul des Salaires'!D5:D104,C66,'2-Calcul des Salaires'!N5:N104))</f>
        <v/>
      </c>
      <c r="H66" s="22">
        <f>IF(C66="","",SUMIF('2-Calcul des Salaires'!D5:D104,C66,'2-Calcul des Salaires'!N5:N104))</f>
        <v/>
      </c>
      <c r="I66" s="18">
        <f>IF(C66="","",SUMIF('2-Calcul des Salaires'!D5:D104,C66,'2-Calcul des Salaires'!O5:O104))</f>
        <v/>
      </c>
      <c r="J66" s="18">
        <f>IF(C66="","",SUMIF('2-Calcul des Salaires'!D5:D104,C66,'2-Calcul des Salaires'!Q5:Q104))</f>
        <v/>
      </c>
      <c r="K66" s="22" t="n"/>
      <c r="L66" s="22">
        <f>IF(OR(E66="",K66=""),"",IFERROR(E66/K66,0))</f>
        <v/>
      </c>
      <c r="M66" s="22" t="n"/>
    </row>
    <row r="67" ht="22" customHeight="1">
      <c r="B67" s="21">
        <f>IF(C67="","HIS"&amp;TEXT(COUNTA($C$5:C67),"000"))</f>
        <v/>
      </c>
      <c r="C67" s="21" t="n"/>
      <c r="D67" s="21" t="n"/>
      <c r="E67" s="21">
        <f>IF(C67="","",COUNTIF('2-Calcul des Salaires'!D5:D104,C67))</f>
        <v/>
      </c>
      <c r="F67" s="21">
        <f>IF(C67="","",SUMIF('2-Calcul des Salaires'!D5:D104,C67,'2-Calcul des Salaires'!J5:J104))</f>
        <v/>
      </c>
      <c r="G67" s="21">
        <f>IF(C67="","",SUMIF('2-Calcul des Salaires'!D5:D104,C67,'2-Calcul des Salaires'!N5:N104))</f>
        <v/>
      </c>
      <c r="H67" s="21">
        <f>IF(C67="","",SUMIF('2-Calcul des Salaires'!D5:D104,C67,'2-Calcul des Salaires'!N5:N104))</f>
        <v/>
      </c>
      <c r="I67" s="16">
        <f>IF(C67="","",SUMIF('2-Calcul des Salaires'!D5:D104,C67,'2-Calcul des Salaires'!O5:O104))</f>
        <v/>
      </c>
      <c r="J67" s="16">
        <f>IF(C67="","",SUMIF('2-Calcul des Salaires'!D5:D104,C67,'2-Calcul des Salaires'!Q5:Q104))</f>
        <v/>
      </c>
      <c r="K67" s="21" t="n"/>
      <c r="L67" s="21">
        <f>IF(OR(E67="",K67=""),"",IFERROR(E67/K67,0))</f>
        <v/>
      </c>
      <c r="M67" s="21" t="n"/>
    </row>
    <row r="68" ht="22" customHeight="1">
      <c r="B68" s="22">
        <f>IF(C68="","HIS"&amp;TEXT(COUNTA($C$5:C68),"000"))</f>
        <v/>
      </c>
      <c r="C68" s="22" t="n"/>
      <c r="D68" s="22" t="n"/>
      <c r="E68" s="22">
        <f>IF(C68="","",COUNTIF('2-Calcul des Salaires'!D5:D104,C68))</f>
        <v/>
      </c>
      <c r="F68" s="22">
        <f>IF(C68="","",SUMIF('2-Calcul des Salaires'!D5:D104,C68,'2-Calcul des Salaires'!J5:J104))</f>
        <v/>
      </c>
      <c r="G68" s="22">
        <f>IF(C68="","",SUMIF('2-Calcul des Salaires'!D5:D104,C68,'2-Calcul des Salaires'!N5:N104))</f>
        <v/>
      </c>
      <c r="H68" s="22">
        <f>IF(C68="","",SUMIF('2-Calcul des Salaires'!D5:D104,C68,'2-Calcul des Salaires'!N5:N104))</f>
        <v/>
      </c>
      <c r="I68" s="18">
        <f>IF(C68="","",SUMIF('2-Calcul des Salaires'!D5:D104,C68,'2-Calcul des Salaires'!O5:O104))</f>
        <v/>
      </c>
      <c r="J68" s="18">
        <f>IF(C68="","",SUMIF('2-Calcul des Salaires'!D5:D104,C68,'2-Calcul des Salaires'!Q5:Q104))</f>
        <v/>
      </c>
      <c r="K68" s="22" t="n"/>
      <c r="L68" s="22">
        <f>IF(OR(E68="",K68=""),"",IFERROR(E68/K68,0))</f>
        <v/>
      </c>
      <c r="M68" s="22" t="n"/>
    </row>
    <row r="69" ht="22" customHeight="1">
      <c r="B69" s="21">
        <f>IF(C69="","HIS"&amp;TEXT(COUNTA($C$5:C69),"000"))</f>
        <v/>
      </c>
      <c r="C69" s="21" t="n"/>
      <c r="D69" s="21" t="n"/>
      <c r="E69" s="21">
        <f>IF(C69="","",COUNTIF('2-Calcul des Salaires'!D5:D104,C69))</f>
        <v/>
      </c>
      <c r="F69" s="21">
        <f>IF(C69="","",SUMIF('2-Calcul des Salaires'!D5:D104,C69,'2-Calcul des Salaires'!J5:J104))</f>
        <v/>
      </c>
      <c r="G69" s="21">
        <f>IF(C69="","",SUMIF('2-Calcul des Salaires'!D5:D104,C69,'2-Calcul des Salaires'!N5:N104))</f>
        <v/>
      </c>
      <c r="H69" s="21">
        <f>IF(C69="","",SUMIF('2-Calcul des Salaires'!D5:D104,C69,'2-Calcul des Salaires'!N5:N104))</f>
        <v/>
      </c>
      <c r="I69" s="16">
        <f>IF(C69="","",SUMIF('2-Calcul des Salaires'!D5:D104,C69,'2-Calcul des Salaires'!O5:O104))</f>
        <v/>
      </c>
      <c r="J69" s="16">
        <f>IF(C69="","",SUMIF('2-Calcul des Salaires'!D5:D104,C69,'2-Calcul des Salaires'!Q5:Q104))</f>
        <v/>
      </c>
      <c r="K69" s="21" t="n"/>
      <c r="L69" s="21">
        <f>IF(OR(E69="",K69=""),"",IFERROR(E69/K69,0))</f>
        <v/>
      </c>
      <c r="M69" s="21" t="n"/>
    </row>
    <row r="70" ht="22" customHeight="1">
      <c r="B70" s="22">
        <f>IF(C70="","HIS"&amp;TEXT(COUNTA($C$5:C70),"000"))</f>
        <v/>
      </c>
      <c r="C70" s="22" t="n"/>
      <c r="D70" s="22" t="n"/>
      <c r="E70" s="22">
        <f>IF(C70="","",COUNTIF('2-Calcul des Salaires'!D5:D104,C70))</f>
        <v/>
      </c>
      <c r="F70" s="22">
        <f>IF(C70="","",SUMIF('2-Calcul des Salaires'!D5:D104,C70,'2-Calcul des Salaires'!J5:J104))</f>
        <v/>
      </c>
      <c r="G70" s="22">
        <f>IF(C70="","",SUMIF('2-Calcul des Salaires'!D5:D104,C70,'2-Calcul des Salaires'!N5:N104))</f>
        <v/>
      </c>
      <c r="H70" s="22">
        <f>IF(C70="","",SUMIF('2-Calcul des Salaires'!D5:D104,C70,'2-Calcul des Salaires'!N5:N104))</f>
        <v/>
      </c>
      <c r="I70" s="18">
        <f>IF(C70="","",SUMIF('2-Calcul des Salaires'!D5:D104,C70,'2-Calcul des Salaires'!O5:O104))</f>
        <v/>
      </c>
      <c r="J70" s="18">
        <f>IF(C70="","",SUMIF('2-Calcul des Salaires'!D5:D104,C70,'2-Calcul des Salaires'!Q5:Q104))</f>
        <v/>
      </c>
      <c r="K70" s="22" t="n"/>
      <c r="L70" s="22">
        <f>IF(OR(E70="",K70=""),"",IFERROR(E70/K70,0))</f>
        <v/>
      </c>
      <c r="M70" s="22" t="n"/>
    </row>
    <row r="71" ht="22" customHeight="1">
      <c r="B71" s="21">
        <f>IF(C71="","HIS"&amp;TEXT(COUNTA($C$5:C71),"000"))</f>
        <v/>
      </c>
      <c r="C71" s="21" t="n"/>
      <c r="D71" s="21" t="n"/>
      <c r="E71" s="21">
        <f>IF(C71="","",COUNTIF('2-Calcul des Salaires'!D5:D104,C71))</f>
        <v/>
      </c>
      <c r="F71" s="21">
        <f>IF(C71="","",SUMIF('2-Calcul des Salaires'!D5:D104,C71,'2-Calcul des Salaires'!J5:J104))</f>
        <v/>
      </c>
      <c r="G71" s="21">
        <f>IF(C71="","",SUMIF('2-Calcul des Salaires'!D5:D104,C71,'2-Calcul des Salaires'!N5:N104))</f>
        <v/>
      </c>
      <c r="H71" s="21">
        <f>IF(C71="","",SUMIF('2-Calcul des Salaires'!D5:D104,C71,'2-Calcul des Salaires'!N5:N104))</f>
        <v/>
      </c>
      <c r="I71" s="16">
        <f>IF(C71="","",SUMIF('2-Calcul des Salaires'!D5:D104,C71,'2-Calcul des Salaires'!O5:O104))</f>
        <v/>
      </c>
      <c r="J71" s="16">
        <f>IF(C71="","",SUMIF('2-Calcul des Salaires'!D5:D104,C71,'2-Calcul des Salaires'!Q5:Q104))</f>
        <v/>
      </c>
      <c r="K71" s="21" t="n"/>
      <c r="L71" s="21">
        <f>IF(OR(E71="",K71=""),"",IFERROR(E71/K71,0))</f>
        <v/>
      </c>
      <c r="M71" s="21" t="n"/>
    </row>
    <row r="72" ht="22" customHeight="1">
      <c r="B72" s="22">
        <f>IF(C72="","HIS"&amp;TEXT(COUNTA($C$5:C72),"000"))</f>
        <v/>
      </c>
      <c r="C72" s="22" t="n"/>
      <c r="D72" s="22" t="n"/>
      <c r="E72" s="22">
        <f>IF(C72="","",COUNTIF('2-Calcul des Salaires'!D5:D104,C72))</f>
        <v/>
      </c>
      <c r="F72" s="22">
        <f>IF(C72="","",SUMIF('2-Calcul des Salaires'!D5:D104,C72,'2-Calcul des Salaires'!J5:J104))</f>
        <v/>
      </c>
      <c r="G72" s="22">
        <f>IF(C72="","",SUMIF('2-Calcul des Salaires'!D5:D104,C72,'2-Calcul des Salaires'!N5:N104))</f>
        <v/>
      </c>
      <c r="H72" s="22">
        <f>IF(C72="","",SUMIF('2-Calcul des Salaires'!D5:D104,C72,'2-Calcul des Salaires'!N5:N104))</f>
        <v/>
      </c>
      <c r="I72" s="18">
        <f>IF(C72="","",SUMIF('2-Calcul des Salaires'!D5:D104,C72,'2-Calcul des Salaires'!O5:O104))</f>
        <v/>
      </c>
      <c r="J72" s="18">
        <f>IF(C72="","",SUMIF('2-Calcul des Salaires'!D5:D104,C72,'2-Calcul des Salaires'!Q5:Q104))</f>
        <v/>
      </c>
      <c r="K72" s="22" t="n"/>
      <c r="L72" s="22">
        <f>IF(OR(E72="",K72=""),"",IFERROR(E72/K72,0))</f>
        <v/>
      </c>
      <c r="M72" s="22" t="n"/>
    </row>
    <row r="73" ht="22" customHeight="1">
      <c r="B73" s="21">
        <f>IF(C73="","HIS"&amp;TEXT(COUNTA($C$5:C73),"000"))</f>
        <v/>
      </c>
      <c r="C73" s="21" t="n"/>
      <c r="D73" s="21" t="n"/>
      <c r="E73" s="21">
        <f>IF(C73="","",COUNTIF('2-Calcul des Salaires'!D5:D104,C73))</f>
        <v/>
      </c>
      <c r="F73" s="21">
        <f>IF(C73="","",SUMIF('2-Calcul des Salaires'!D5:D104,C73,'2-Calcul des Salaires'!J5:J104))</f>
        <v/>
      </c>
      <c r="G73" s="21">
        <f>IF(C73="","",SUMIF('2-Calcul des Salaires'!D5:D104,C73,'2-Calcul des Salaires'!N5:N104))</f>
        <v/>
      </c>
      <c r="H73" s="21">
        <f>IF(C73="","",SUMIF('2-Calcul des Salaires'!D5:D104,C73,'2-Calcul des Salaires'!N5:N104))</f>
        <v/>
      </c>
      <c r="I73" s="16">
        <f>IF(C73="","",SUMIF('2-Calcul des Salaires'!D5:D104,C73,'2-Calcul des Salaires'!O5:O104))</f>
        <v/>
      </c>
      <c r="J73" s="16">
        <f>IF(C73="","",SUMIF('2-Calcul des Salaires'!D5:D104,C73,'2-Calcul des Salaires'!Q5:Q104))</f>
        <v/>
      </c>
      <c r="K73" s="21" t="n"/>
      <c r="L73" s="21">
        <f>IF(OR(E73="",K73=""),"",IFERROR(E73/K73,0))</f>
        <v/>
      </c>
      <c r="M73" s="21" t="n"/>
    </row>
    <row r="74" ht="22" customHeight="1">
      <c r="B74" s="22">
        <f>IF(C74="","HIS"&amp;TEXT(COUNTA($C$5:C74),"000"))</f>
        <v/>
      </c>
      <c r="C74" s="22" t="n"/>
      <c r="D74" s="22" t="n"/>
      <c r="E74" s="22">
        <f>IF(C74="","",COUNTIF('2-Calcul des Salaires'!D5:D104,C74))</f>
        <v/>
      </c>
      <c r="F74" s="22">
        <f>IF(C74="","",SUMIF('2-Calcul des Salaires'!D5:D104,C74,'2-Calcul des Salaires'!J5:J104))</f>
        <v/>
      </c>
      <c r="G74" s="22">
        <f>IF(C74="","",SUMIF('2-Calcul des Salaires'!D5:D104,C74,'2-Calcul des Salaires'!N5:N104))</f>
        <v/>
      </c>
      <c r="H74" s="22">
        <f>IF(C74="","",SUMIF('2-Calcul des Salaires'!D5:D104,C74,'2-Calcul des Salaires'!N5:N104))</f>
        <v/>
      </c>
      <c r="I74" s="18">
        <f>IF(C74="","",SUMIF('2-Calcul des Salaires'!D5:D104,C74,'2-Calcul des Salaires'!O5:O104))</f>
        <v/>
      </c>
      <c r="J74" s="18">
        <f>IF(C74="","",SUMIF('2-Calcul des Salaires'!D5:D104,C74,'2-Calcul des Salaires'!Q5:Q104))</f>
        <v/>
      </c>
      <c r="K74" s="22" t="n"/>
      <c r="L74" s="22">
        <f>IF(OR(E74="",K74=""),"",IFERROR(E74/K74,0))</f>
        <v/>
      </c>
      <c r="M74" s="22" t="n"/>
    </row>
    <row r="75" ht="22" customHeight="1">
      <c r="B75" s="21">
        <f>IF(C75="","HIS"&amp;TEXT(COUNTA($C$5:C75),"000"))</f>
        <v/>
      </c>
      <c r="C75" s="21" t="n"/>
      <c r="D75" s="21" t="n"/>
      <c r="E75" s="21">
        <f>IF(C75="","",COUNTIF('2-Calcul des Salaires'!D5:D104,C75))</f>
        <v/>
      </c>
      <c r="F75" s="21">
        <f>IF(C75="","",SUMIF('2-Calcul des Salaires'!D5:D104,C75,'2-Calcul des Salaires'!J5:J104))</f>
        <v/>
      </c>
      <c r="G75" s="21">
        <f>IF(C75="","",SUMIF('2-Calcul des Salaires'!D5:D104,C75,'2-Calcul des Salaires'!N5:N104))</f>
        <v/>
      </c>
      <c r="H75" s="21">
        <f>IF(C75="","",SUMIF('2-Calcul des Salaires'!D5:D104,C75,'2-Calcul des Salaires'!N5:N104))</f>
        <v/>
      </c>
      <c r="I75" s="16">
        <f>IF(C75="","",SUMIF('2-Calcul des Salaires'!D5:D104,C75,'2-Calcul des Salaires'!O5:O104))</f>
        <v/>
      </c>
      <c r="J75" s="16">
        <f>IF(C75="","",SUMIF('2-Calcul des Salaires'!D5:D104,C75,'2-Calcul des Salaires'!Q5:Q104))</f>
        <v/>
      </c>
      <c r="K75" s="21" t="n"/>
      <c r="L75" s="21">
        <f>IF(OR(E75="",K75=""),"",IFERROR(E75/K75,0))</f>
        <v/>
      </c>
      <c r="M75" s="21" t="n"/>
    </row>
    <row r="76" ht="22" customHeight="1">
      <c r="B76" s="22">
        <f>IF(C76="","HIS"&amp;TEXT(COUNTA($C$5:C76),"000"))</f>
        <v/>
      </c>
      <c r="C76" s="22" t="n"/>
      <c r="D76" s="22" t="n"/>
      <c r="E76" s="22">
        <f>IF(C76="","",COUNTIF('2-Calcul des Salaires'!D5:D104,C76))</f>
        <v/>
      </c>
      <c r="F76" s="22">
        <f>IF(C76="","",SUMIF('2-Calcul des Salaires'!D5:D104,C76,'2-Calcul des Salaires'!J5:J104))</f>
        <v/>
      </c>
      <c r="G76" s="22">
        <f>IF(C76="","",SUMIF('2-Calcul des Salaires'!D5:D104,C76,'2-Calcul des Salaires'!N5:N104))</f>
        <v/>
      </c>
      <c r="H76" s="22">
        <f>IF(C76="","",SUMIF('2-Calcul des Salaires'!D5:D104,C76,'2-Calcul des Salaires'!N5:N104))</f>
        <v/>
      </c>
      <c r="I76" s="18">
        <f>IF(C76="","",SUMIF('2-Calcul des Salaires'!D5:D104,C76,'2-Calcul des Salaires'!O5:O104))</f>
        <v/>
      </c>
      <c r="J76" s="18">
        <f>IF(C76="","",SUMIF('2-Calcul des Salaires'!D5:D104,C76,'2-Calcul des Salaires'!Q5:Q104))</f>
        <v/>
      </c>
      <c r="K76" s="22" t="n"/>
      <c r="L76" s="22">
        <f>IF(OR(E76="",K76=""),"",IFERROR(E76/K76,0))</f>
        <v/>
      </c>
      <c r="M76" s="22" t="n"/>
    </row>
    <row r="77" ht="22" customHeight="1">
      <c r="B77" s="21">
        <f>IF(C77="","HIS"&amp;TEXT(COUNTA($C$5:C77),"000"))</f>
        <v/>
      </c>
      <c r="C77" s="21" t="n"/>
      <c r="D77" s="21" t="n"/>
      <c r="E77" s="21">
        <f>IF(C77="","",COUNTIF('2-Calcul des Salaires'!D5:D104,C77))</f>
        <v/>
      </c>
      <c r="F77" s="21">
        <f>IF(C77="","",SUMIF('2-Calcul des Salaires'!D5:D104,C77,'2-Calcul des Salaires'!J5:J104))</f>
        <v/>
      </c>
      <c r="G77" s="21">
        <f>IF(C77="","",SUMIF('2-Calcul des Salaires'!D5:D104,C77,'2-Calcul des Salaires'!N5:N104))</f>
        <v/>
      </c>
      <c r="H77" s="21">
        <f>IF(C77="","",SUMIF('2-Calcul des Salaires'!D5:D104,C77,'2-Calcul des Salaires'!N5:N104))</f>
        <v/>
      </c>
      <c r="I77" s="16">
        <f>IF(C77="","",SUMIF('2-Calcul des Salaires'!D5:D104,C77,'2-Calcul des Salaires'!O5:O104))</f>
        <v/>
      </c>
      <c r="J77" s="16">
        <f>IF(C77="","",SUMIF('2-Calcul des Salaires'!D5:D104,C77,'2-Calcul des Salaires'!Q5:Q104))</f>
        <v/>
      </c>
      <c r="K77" s="21" t="n"/>
      <c r="L77" s="21">
        <f>IF(OR(E77="",K77=""),"",IFERROR(E77/K77,0))</f>
        <v/>
      </c>
      <c r="M77" s="21" t="n"/>
    </row>
    <row r="78" ht="22" customHeight="1">
      <c r="B78" s="22">
        <f>IF(C78="","HIS"&amp;TEXT(COUNTA($C$5:C78),"000"))</f>
        <v/>
      </c>
      <c r="C78" s="22" t="n"/>
      <c r="D78" s="22" t="n"/>
      <c r="E78" s="22">
        <f>IF(C78="","",COUNTIF('2-Calcul des Salaires'!D5:D104,C78))</f>
        <v/>
      </c>
      <c r="F78" s="22">
        <f>IF(C78="","",SUMIF('2-Calcul des Salaires'!D5:D104,C78,'2-Calcul des Salaires'!J5:J104))</f>
        <v/>
      </c>
      <c r="G78" s="22">
        <f>IF(C78="","",SUMIF('2-Calcul des Salaires'!D5:D104,C78,'2-Calcul des Salaires'!N5:N104))</f>
        <v/>
      </c>
      <c r="H78" s="22">
        <f>IF(C78="","",SUMIF('2-Calcul des Salaires'!D5:D104,C78,'2-Calcul des Salaires'!N5:N104))</f>
        <v/>
      </c>
      <c r="I78" s="18">
        <f>IF(C78="","",SUMIF('2-Calcul des Salaires'!D5:D104,C78,'2-Calcul des Salaires'!O5:O104))</f>
        <v/>
      </c>
      <c r="J78" s="18">
        <f>IF(C78="","",SUMIF('2-Calcul des Salaires'!D5:D104,C78,'2-Calcul des Salaires'!Q5:Q104))</f>
        <v/>
      </c>
      <c r="K78" s="22" t="n"/>
      <c r="L78" s="22">
        <f>IF(OR(E78="",K78=""),"",IFERROR(E78/K78,0))</f>
        <v/>
      </c>
      <c r="M78" s="22" t="n"/>
    </row>
    <row r="79" ht="22" customHeight="1">
      <c r="B79" s="21">
        <f>IF(C79="","HIS"&amp;TEXT(COUNTA($C$5:C79),"000"))</f>
        <v/>
      </c>
      <c r="C79" s="21" t="n"/>
      <c r="D79" s="21" t="n"/>
      <c r="E79" s="21">
        <f>IF(C79="","",COUNTIF('2-Calcul des Salaires'!D5:D104,C79))</f>
        <v/>
      </c>
      <c r="F79" s="21">
        <f>IF(C79="","",SUMIF('2-Calcul des Salaires'!D5:D104,C79,'2-Calcul des Salaires'!J5:J104))</f>
        <v/>
      </c>
      <c r="G79" s="21">
        <f>IF(C79="","",SUMIF('2-Calcul des Salaires'!D5:D104,C79,'2-Calcul des Salaires'!N5:N104))</f>
        <v/>
      </c>
      <c r="H79" s="21">
        <f>IF(C79="","",SUMIF('2-Calcul des Salaires'!D5:D104,C79,'2-Calcul des Salaires'!N5:N104))</f>
        <v/>
      </c>
      <c r="I79" s="16">
        <f>IF(C79="","",SUMIF('2-Calcul des Salaires'!D5:D104,C79,'2-Calcul des Salaires'!O5:O104))</f>
        <v/>
      </c>
      <c r="J79" s="16">
        <f>IF(C79="","",SUMIF('2-Calcul des Salaires'!D5:D104,C79,'2-Calcul des Salaires'!Q5:Q104))</f>
        <v/>
      </c>
      <c r="K79" s="21" t="n"/>
      <c r="L79" s="21">
        <f>IF(OR(E79="",K79=""),"",IFERROR(E79/K79,0))</f>
        <v/>
      </c>
      <c r="M79" s="21" t="n"/>
    </row>
    <row r="80" ht="22" customHeight="1">
      <c r="B80" s="22">
        <f>IF(C80="","HIS"&amp;TEXT(COUNTA($C$5:C80),"000"))</f>
        <v/>
      </c>
      <c r="C80" s="22" t="n"/>
      <c r="D80" s="22" t="n"/>
      <c r="E80" s="22">
        <f>IF(C80="","",COUNTIF('2-Calcul des Salaires'!D5:D104,C80))</f>
        <v/>
      </c>
      <c r="F80" s="22">
        <f>IF(C80="","",SUMIF('2-Calcul des Salaires'!D5:D104,C80,'2-Calcul des Salaires'!J5:J104))</f>
        <v/>
      </c>
      <c r="G80" s="22">
        <f>IF(C80="","",SUMIF('2-Calcul des Salaires'!D5:D104,C80,'2-Calcul des Salaires'!N5:N104))</f>
        <v/>
      </c>
      <c r="H80" s="22">
        <f>IF(C80="","",SUMIF('2-Calcul des Salaires'!D5:D104,C80,'2-Calcul des Salaires'!N5:N104))</f>
        <v/>
      </c>
      <c r="I80" s="18">
        <f>IF(C80="","",SUMIF('2-Calcul des Salaires'!D5:D104,C80,'2-Calcul des Salaires'!O5:O104))</f>
        <v/>
      </c>
      <c r="J80" s="18">
        <f>IF(C80="","",SUMIF('2-Calcul des Salaires'!D5:D104,C80,'2-Calcul des Salaires'!Q5:Q104))</f>
        <v/>
      </c>
      <c r="K80" s="22" t="n"/>
      <c r="L80" s="22">
        <f>IF(OR(E80="",K80=""),"",IFERROR(E80/K80,0))</f>
        <v/>
      </c>
      <c r="M80" s="22" t="n"/>
    </row>
    <row r="81" ht="22" customHeight="1">
      <c r="B81" s="21">
        <f>IF(C81="","HIS"&amp;TEXT(COUNTA($C$5:C81),"000"))</f>
        <v/>
      </c>
      <c r="C81" s="21" t="n"/>
      <c r="D81" s="21" t="n"/>
      <c r="E81" s="21">
        <f>IF(C81="","",COUNTIF('2-Calcul des Salaires'!D5:D104,C81))</f>
        <v/>
      </c>
      <c r="F81" s="21">
        <f>IF(C81="","",SUMIF('2-Calcul des Salaires'!D5:D104,C81,'2-Calcul des Salaires'!J5:J104))</f>
        <v/>
      </c>
      <c r="G81" s="21">
        <f>IF(C81="","",SUMIF('2-Calcul des Salaires'!D5:D104,C81,'2-Calcul des Salaires'!N5:N104))</f>
        <v/>
      </c>
      <c r="H81" s="21">
        <f>IF(C81="","",SUMIF('2-Calcul des Salaires'!D5:D104,C81,'2-Calcul des Salaires'!N5:N104))</f>
        <v/>
      </c>
      <c r="I81" s="16">
        <f>IF(C81="","",SUMIF('2-Calcul des Salaires'!D5:D104,C81,'2-Calcul des Salaires'!O5:O104))</f>
        <v/>
      </c>
      <c r="J81" s="16">
        <f>IF(C81="","",SUMIF('2-Calcul des Salaires'!D5:D104,C81,'2-Calcul des Salaires'!Q5:Q104))</f>
        <v/>
      </c>
      <c r="K81" s="21" t="n"/>
      <c r="L81" s="21">
        <f>IF(OR(E81="",K81=""),"",IFERROR(E81/K81,0))</f>
        <v/>
      </c>
      <c r="M81" s="21" t="n"/>
    </row>
    <row r="82" ht="22" customHeight="1">
      <c r="B82" s="22">
        <f>IF(C82="","HIS"&amp;TEXT(COUNTA($C$5:C82),"000"))</f>
        <v/>
      </c>
      <c r="C82" s="22" t="n"/>
      <c r="D82" s="22" t="n"/>
      <c r="E82" s="22">
        <f>IF(C82="","",COUNTIF('2-Calcul des Salaires'!D5:D104,C82))</f>
        <v/>
      </c>
      <c r="F82" s="22">
        <f>IF(C82="","",SUMIF('2-Calcul des Salaires'!D5:D104,C82,'2-Calcul des Salaires'!J5:J104))</f>
        <v/>
      </c>
      <c r="G82" s="22">
        <f>IF(C82="","",SUMIF('2-Calcul des Salaires'!D5:D104,C82,'2-Calcul des Salaires'!N5:N104))</f>
        <v/>
      </c>
      <c r="H82" s="22">
        <f>IF(C82="","",SUMIF('2-Calcul des Salaires'!D5:D104,C82,'2-Calcul des Salaires'!N5:N104))</f>
        <v/>
      </c>
      <c r="I82" s="18">
        <f>IF(C82="","",SUMIF('2-Calcul des Salaires'!D5:D104,C82,'2-Calcul des Salaires'!O5:O104))</f>
        <v/>
      </c>
      <c r="J82" s="18">
        <f>IF(C82="","",SUMIF('2-Calcul des Salaires'!D5:D104,C82,'2-Calcul des Salaires'!Q5:Q104))</f>
        <v/>
      </c>
      <c r="K82" s="22" t="n"/>
      <c r="L82" s="22">
        <f>IF(OR(E82="",K82=""),"",IFERROR(E82/K82,0))</f>
        <v/>
      </c>
      <c r="M82" s="22" t="n"/>
    </row>
    <row r="83" ht="22" customHeight="1">
      <c r="B83" s="21">
        <f>IF(C83="","HIS"&amp;TEXT(COUNTA($C$5:C83),"000"))</f>
        <v/>
      </c>
      <c r="C83" s="21" t="n"/>
      <c r="D83" s="21" t="n"/>
      <c r="E83" s="21">
        <f>IF(C83="","",COUNTIF('2-Calcul des Salaires'!D5:D104,C83))</f>
        <v/>
      </c>
      <c r="F83" s="21">
        <f>IF(C83="","",SUMIF('2-Calcul des Salaires'!D5:D104,C83,'2-Calcul des Salaires'!J5:J104))</f>
        <v/>
      </c>
      <c r="G83" s="21">
        <f>IF(C83="","",SUMIF('2-Calcul des Salaires'!D5:D104,C83,'2-Calcul des Salaires'!N5:N104))</f>
        <v/>
      </c>
      <c r="H83" s="21">
        <f>IF(C83="","",SUMIF('2-Calcul des Salaires'!D5:D104,C83,'2-Calcul des Salaires'!N5:N104))</f>
        <v/>
      </c>
      <c r="I83" s="16">
        <f>IF(C83="","",SUMIF('2-Calcul des Salaires'!D5:D104,C83,'2-Calcul des Salaires'!O5:O104))</f>
        <v/>
      </c>
      <c r="J83" s="16">
        <f>IF(C83="","",SUMIF('2-Calcul des Salaires'!D5:D104,C83,'2-Calcul des Salaires'!Q5:Q104))</f>
        <v/>
      </c>
      <c r="K83" s="21" t="n"/>
      <c r="L83" s="21">
        <f>IF(OR(E83="",K83=""),"",IFERROR(E83/K83,0))</f>
        <v/>
      </c>
      <c r="M83" s="21" t="n"/>
    </row>
    <row r="84" ht="22" customHeight="1">
      <c r="B84" s="22">
        <f>IF(C84="","HIS"&amp;TEXT(COUNTA($C$5:C84),"000"))</f>
        <v/>
      </c>
      <c r="C84" s="22" t="n"/>
      <c r="D84" s="22" t="n"/>
      <c r="E84" s="22">
        <f>IF(C84="","",COUNTIF('2-Calcul des Salaires'!D5:D104,C84))</f>
        <v/>
      </c>
      <c r="F84" s="22">
        <f>IF(C84="","",SUMIF('2-Calcul des Salaires'!D5:D104,C84,'2-Calcul des Salaires'!J5:J104))</f>
        <v/>
      </c>
      <c r="G84" s="22">
        <f>IF(C84="","",SUMIF('2-Calcul des Salaires'!D5:D104,C84,'2-Calcul des Salaires'!N5:N104))</f>
        <v/>
      </c>
      <c r="H84" s="22">
        <f>IF(C84="","",SUMIF('2-Calcul des Salaires'!D5:D104,C84,'2-Calcul des Salaires'!N5:N104))</f>
        <v/>
      </c>
      <c r="I84" s="18">
        <f>IF(C84="","",SUMIF('2-Calcul des Salaires'!D5:D104,C84,'2-Calcul des Salaires'!O5:O104))</f>
        <v/>
      </c>
      <c r="J84" s="18">
        <f>IF(C84="","",SUMIF('2-Calcul des Salaires'!D5:D104,C84,'2-Calcul des Salaires'!Q5:Q104))</f>
        <v/>
      </c>
      <c r="K84" s="22" t="n"/>
      <c r="L84" s="22">
        <f>IF(OR(E84="",K84=""),"",IFERROR(E84/K84,0))</f>
        <v/>
      </c>
      <c r="M84" s="22" t="n"/>
    </row>
    <row r="85" ht="22" customHeight="1">
      <c r="B85" s="21">
        <f>IF(C85="","HIS"&amp;TEXT(COUNTA($C$5:C85),"000"))</f>
        <v/>
      </c>
      <c r="C85" s="21" t="n"/>
      <c r="D85" s="21" t="n"/>
      <c r="E85" s="21">
        <f>IF(C85="","",COUNTIF('2-Calcul des Salaires'!D5:D104,C85))</f>
        <v/>
      </c>
      <c r="F85" s="21">
        <f>IF(C85="","",SUMIF('2-Calcul des Salaires'!D5:D104,C85,'2-Calcul des Salaires'!J5:J104))</f>
        <v/>
      </c>
      <c r="G85" s="21">
        <f>IF(C85="","",SUMIF('2-Calcul des Salaires'!D5:D104,C85,'2-Calcul des Salaires'!N5:N104))</f>
        <v/>
      </c>
      <c r="H85" s="21">
        <f>IF(C85="","",SUMIF('2-Calcul des Salaires'!D5:D104,C85,'2-Calcul des Salaires'!N5:N104))</f>
        <v/>
      </c>
      <c r="I85" s="16">
        <f>IF(C85="","",SUMIF('2-Calcul des Salaires'!D5:D104,C85,'2-Calcul des Salaires'!O5:O104))</f>
        <v/>
      </c>
      <c r="J85" s="16">
        <f>IF(C85="","",SUMIF('2-Calcul des Salaires'!D5:D104,C85,'2-Calcul des Salaires'!Q5:Q104))</f>
        <v/>
      </c>
      <c r="K85" s="21" t="n"/>
      <c r="L85" s="21">
        <f>IF(OR(E85="",K85=""),"",IFERROR(E85/K85,0))</f>
        <v/>
      </c>
      <c r="M85" s="21" t="n"/>
    </row>
    <row r="86" ht="22" customHeight="1">
      <c r="B86" s="22">
        <f>IF(C86="","HIS"&amp;TEXT(COUNTA($C$5:C86),"000"))</f>
        <v/>
      </c>
      <c r="C86" s="22" t="n"/>
      <c r="D86" s="22" t="n"/>
      <c r="E86" s="22">
        <f>IF(C86="","",COUNTIF('2-Calcul des Salaires'!D5:D104,C86))</f>
        <v/>
      </c>
      <c r="F86" s="22">
        <f>IF(C86="","",SUMIF('2-Calcul des Salaires'!D5:D104,C86,'2-Calcul des Salaires'!J5:J104))</f>
        <v/>
      </c>
      <c r="G86" s="22">
        <f>IF(C86="","",SUMIF('2-Calcul des Salaires'!D5:D104,C86,'2-Calcul des Salaires'!N5:N104))</f>
        <v/>
      </c>
      <c r="H86" s="22">
        <f>IF(C86="","",SUMIF('2-Calcul des Salaires'!D5:D104,C86,'2-Calcul des Salaires'!N5:N104))</f>
        <v/>
      </c>
      <c r="I86" s="18">
        <f>IF(C86="","",SUMIF('2-Calcul des Salaires'!D5:D104,C86,'2-Calcul des Salaires'!O5:O104))</f>
        <v/>
      </c>
      <c r="J86" s="18">
        <f>IF(C86="","",SUMIF('2-Calcul des Salaires'!D5:D104,C86,'2-Calcul des Salaires'!Q5:Q104))</f>
        <v/>
      </c>
      <c r="K86" s="22" t="n"/>
      <c r="L86" s="22">
        <f>IF(OR(E86="",K86=""),"",IFERROR(E86/K86,0))</f>
        <v/>
      </c>
      <c r="M86" s="22" t="n"/>
    </row>
    <row r="87" ht="22" customHeight="1">
      <c r="B87" s="21">
        <f>IF(C87="","HIS"&amp;TEXT(COUNTA($C$5:C87),"000"))</f>
        <v/>
      </c>
      <c r="C87" s="21" t="n"/>
      <c r="D87" s="21" t="n"/>
      <c r="E87" s="21">
        <f>IF(C87="","",COUNTIF('2-Calcul des Salaires'!D5:D104,C87))</f>
        <v/>
      </c>
      <c r="F87" s="21">
        <f>IF(C87="","",SUMIF('2-Calcul des Salaires'!D5:D104,C87,'2-Calcul des Salaires'!J5:J104))</f>
        <v/>
      </c>
      <c r="G87" s="21">
        <f>IF(C87="","",SUMIF('2-Calcul des Salaires'!D5:D104,C87,'2-Calcul des Salaires'!N5:N104))</f>
        <v/>
      </c>
      <c r="H87" s="21">
        <f>IF(C87="","",SUMIF('2-Calcul des Salaires'!D5:D104,C87,'2-Calcul des Salaires'!N5:N104))</f>
        <v/>
      </c>
      <c r="I87" s="16">
        <f>IF(C87="","",SUMIF('2-Calcul des Salaires'!D5:D104,C87,'2-Calcul des Salaires'!O5:O104))</f>
        <v/>
      </c>
      <c r="J87" s="16">
        <f>IF(C87="","",SUMIF('2-Calcul des Salaires'!D5:D104,C87,'2-Calcul des Salaires'!Q5:Q104))</f>
        <v/>
      </c>
      <c r="K87" s="21" t="n"/>
      <c r="L87" s="21">
        <f>IF(OR(E87="",K87=""),"",IFERROR(E87/K87,0))</f>
        <v/>
      </c>
      <c r="M87" s="21" t="n"/>
    </row>
    <row r="88" ht="22" customHeight="1">
      <c r="B88" s="22">
        <f>IF(C88="","HIS"&amp;TEXT(COUNTA($C$5:C88),"000"))</f>
        <v/>
      </c>
      <c r="C88" s="22" t="n"/>
      <c r="D88" s="22" t="n"/>
      <c r="E88" s="22">
        <f>IF(C88="","",COUNTIF('2-Calcul des Salaires'!D5:D104,C88))</f>
        <v/>
      </c>
      <c r="F88" s="22">
        <f>IF(C88="","",SUMIF('2-Calcul des Salaires'!D5:D104,C88,'2-Calcul des Salaires'!J5:J104))</f>
        <v/>
      </c>
      <c r="G88" s="22">
        <f>IF(C88="","",SUMIF('2-Calcul des Salaires'!D5:D104,C88,'2-Calcul des Salaires'!N5:N104))</f>
        <v/>
      </c>
      <c r="H88" s="22">
        <f>IF(C88="","",SUMIF('2-Calcul des Salaires'!D5:D104,C88,'2-Calcul des Salaires'!N5:N104))</f>
        <v/>
      </c>
      <c r="I88" s="18">
        <f>IF(C88="","",SUMIF('2-Calcul des Salaires'!D5:D104,C88,'2-Calcul des Salaires'!O5:O104))</f>
        <v/>
      </c>
      <c r="J88" s="18">
        <f>IF(C88="","",SUMIF('2-Calcul des Salaires'!D5:D104,C88,'2-Calcul des Salaires'!Q5:Q104))</f>
        <v/>
      </c>
      <c r="K88" s="22" t="n"/>
      <c r="L88" s="22">
        <f>IF(OR(E88="",K88=""),"",IFERROR(E88/K88,0))</f>
        <v/>
      </c>
      <c r="M88" s="22" t="n"/>
    </row>
    <row r="89" ht="22" customHeight="1">
      <c r="B89" s="21">
        <f>IF(C89="","HIS"&amp;TEXT(COUNTA($C$5:C89),"000"))</f>
        <v/>
      </c>
      <c r="C89" s="21" t="n"/>
      <c r="D89" s="21" t="n"/>
      <c r="E89" s="21">
        <f>IF(C89="","",COUNTIF('2-Calcul des Salaires'!D5:D104,C89))</f>
        <v/>
      </c>
      <c r="F89" s="21">
        <f>IF(C89="","",SUMIF('2-Calcul des Salaires'!D5:D104,C89,'2-Calcul des Salaires'!J5:J104))</f>
        <v/>
      </c>
      <c r="G89" s="21">
        <f>IF(C89="","",SUMIF('2-Calcul des Salaires'!D5:D104,C89,'2-Calcul des Salaires'!N5:N104))</f>
        <v/>
      </c>
      <c r="H89" s="21">
        <f>IF(C89="","",SUMIF('2-Calcul des Salaires'!D5:D104,C89,'2-Calcul des Salaires'!N5:N104))</f>
        <v/>
      </c>
      <c r="I89" s="16">
        <f>IF(C89="","",SUMIF('2-Calcul des Salaires'!D5:D104,C89,'2-Calcul des Salaires'!O5:O104))</f>
        <v/>
      </c>
      <c r="J89" s="16">
        <f>IF(C89="","",SUMIF('2-Calcul des Salaires'!D5:D104,C89,'2-Calcul des Salaires'!Q5:Q104))</f>
        <v/>
      </c>
      <c r="K89" s="21" t="n"/>
      <c r="L89" s="21">
        <f>IF(OR(E89="",K89=""),"",IFERROR(E89/K89,0))</f>
        <v/>
      </c>
      <c r="M89" s="21" t="n"/>
    </row>
    <row r="90" ht="22" customHeight="1">
      <c r="B90" s="22">
        <f>IF(C90="","HIS"&amp;TEXT(COUNTA($C$5:C90),"000"))</f>
        <v/>
      </c>
      <c r="C90" s="22" t="n"/>
      <c r="D90" s="22" t="n"/>
      <c r="E90" s="22">
        <f>IF(C90="","",COUNTIF('2-Calcul des Salaires'!D5:D104,C90))</f>
        <v/>
      </c>
      <c r="F90" s="22">
        <f>IF(C90="","",SUMIF('2-Calcul des Salaires'!D5:D104,C90,'2-Calcul des Salaires'!J5:J104))</f>
        <v/>
      </c>
      <c r="G90" s="22">
        <f>IF(C90="","",SUMIF('2-Calcul des Salaires'!D5:D104,C90,'2-Calcul des Salaires'!N5:N104))</f>
        <v/>
      </c>
      <c r="H90" s="22">
        <f>IF(C90="","",SUMIF('2-Calcul des Salaires'!D5:D104,C90,'2-Calcul des Salaires'!N5:N104))</f>
        <v/>
      </c>
      <c r="I90" s="18">
        <f>IF(C90="","",SUMIF('2-Calcul des Salaires'!D5:D104,C90,'2-Calcul des Salaires'!O5:O104))</f>
        <v/>
      </c>
      <c r="J90" s="18">
        <f>IF(C90="","",SUMIF('2-Calcul des Salaires'!D5:D104,C90,'2-Calcul des Salaires'!Q5:Q104))</f>
        <v/>
      </c>
      <c r="K90" s="22" t="n"/>
      <c r="L90" s="22">
        <f>IF(OR(E90="",K90=""),"",IFERROR(E90/K90,0))</f>
        <v/>
      </c>
      <c r="M90" s="22" t="n"/>
    </row>
    <row r="91" ht="22" customHeight="1">
      <c r="B91" s="21">
        <f>IF(C91="","HIS"&amp;TEXT(COUNTA($C$5:C91),"000"))</f>
        <v/>
      </c>
      <c r="C91" s="21" t="n"/>
      <c r="D91" s="21" t="n"/>
      <c r="E91" s="21">
        <f>IF(C91="","",COUNTIF('2-Calcul des Salaires'!D5:D104,C91))</f>
        <v/>
      </c>
      <c r="F91" s="21">
        <f>IF(C91="","",SUMIF('2-Calcul des Salaires'!D5:D104,C91,'2-Calcul des Salaires'!J5:J104))</f>
        <v/>
      </c>
      <c r="G91" s="21">
        <f>IF(C91="","",SUMIF('2-Calcul des Salaires'!D5:D104,C91,'2-Calcul des Salaires'!N5:N104))</f>
        <v/>
      </c>
      <c r="H91" s="21">
        <f>IF(C91="","",SUMIF('2-Calcul des Salaires'!D5:D104,C91,'2-Calcul des Salaires'!N5:N104))</f>
        <v/>
      </c>
      <c r="I91" s="16">
        <f>IF(C91="","",SUMIF('2-Calcul des Salaires'!D5:D104,C91,'2-Calcul des Salaires'!O5:O104))</f>
        <v/>
      </c>
      <c r="J91" s="16">
        <f>IF(C91="","",SUMIF('2-Calcul des Salaires'!D5:D104,C91,'2-Calcul des Salaires'!Q5:Q104))</f>
        <v/>
      </c>
      <c r="K91" s="21" t="n"/>
      <c r="L91" s="21">
        <f>IF(OR(E91="",K91=""),"",IFERROR(E91/K91,0))</f>
        <v/>
      </c>
      <c r="M91" s="21" t="n"/>
    </row>
    <row r="92" ht="22" customHeight="1">
      <c r="B92" s="22">
        <f>IF(C92="","HIS"&amp;TEXT(COUNTA($C$5:C92),"000"))</f>
        <v/>
      </c>
      <c r="C92" s="22" t="n"/>
      <c r="D92" s="22" t="n"/>
      <c r="E92" s="22">
        <f>IF(C92="","",COUNTIF('2-Calcul des Salaires'!D5:D104,C92))</f>
        <v/>
      </c>
      <c r="F92" s="22">
        <f>IF(C92="","",SUMIF('2-Calcul des Salaires'!D5:D104,C92,'2-Calcul des Salaires'!J5:J104))</f>
        <v/>
      </c>
      <c r="G92" s="22">
        <f>IF(C92="","",SUMIF('2-Calcul des Salaires'!D5:D104,C92,'2-Calcul des Salaires'!N5:N104))</f>
        <v/>
      </c>
      <c r="H92" s="22">
        <f>IF(C92="","",SUMIF('2-Calcul des Salaires'!D5:D104,C92,'2-Calcul des Salaires'!N5:N104))</f>
        <v/>
      </c>
      <c r="I92" s="18">
        <f>IF(C92="","",SUMIF('2-Calcul des Salaires'!D5:D104,C92,'2-Calcul des Salaires'!O5:O104))</f>
        <v/>
      </c>
      <c r="J92" s="18">
        <f>IF(C92="","",SUMIF('2-Calcul des Salaires'!D5:D104,C92,'2-Calcul des Salaires'!Q5:Q104))</f>
        <v/>
      </c>
      <c r="K92" s="22" t="n"/>
      <c r="L92" s="22">
        <f>IF(OR(E92="",K92=""),"",IFERROR(E92/K92,0))</f>
        <v/>
      </c>
      <c r="M92" s="22" t="n"/>
    </row>
    <row r="93" ht="22" customHeight="1">
      <c r="B93" s="21">
        <f>IF(C93="","HIS"&amp;TEXT(COUNTA($C$5:C93),"000"))</f>
        <v/>
      </c>
      <c r="C93" s="21" t="n"/>
      <c r="D93" s="21" t="n"/>
      <c r="E93" s="21">
        <f>IF(C93="","",COUNTIF('2-Calcul des Salaires'!D5:D104,C93))</f>
        <v/>
      </c>
      <c r="F93" s="21">
        <f>IF(C93="","",SUMIF('2-Calcul des Salaires'!D5:D104,C93,'2-Calcul des Salaires'!J5:J104))</f>
        <v/>
      </c>
      <c r="G93" s="21">
        <f>IF(C93="","",SUMIF('2-Calcul des Salaires'!D5:D104,C93,'2-Calcul des Salaires'!N5:N104))</f>
        <v/>
      </c>
      <c r="H93" s="21">
        <f>IF(C93="","",SUMIF('2-Calcul des Salaires'!D5:D104,C93,'2-Calcul des Salaires'!N5:N104))</f>
        <v/>
      </c>
      <c r="I93" s="16">
        <f>IF(C93="","",SUMIF('2-Calcul des Salaires'!D5:D104,C93,'2-Calcul des Salaires'!O5:O104))</f>
        <v/>
      </c>
      <c r="J93" s="16">
        <f>IF(C93="","",SUMIF('2-Calcul des Salaires'!D5:D104,C93,'2-Calcul des Salaires'!Q5:Q104))</f>
        <v/>
      </c>
      <c r="K93" s="21" t="n"/>
      <c r="L93" s="21">
        <f>IF(OR(E93="",K93=""),"",IFERROR(E93/K93,0))</f>
        <v/>
      </c>
      <c r="M93" s="21" t="n"/>
    </row>
    <row r="94" ht="22" customHeight="1">
      <c r="B94" s="22">
        <f>IF(C94="","HIS"&amp;TEXT(COUNTA($C$5:C94),"000"))</f>
        <v/>
      </c>
      <c r="C94" s="22" t="n"/>
      <c r="D94" s="22" t="n"/>
      <c r="E94" s="22">
        <f>IF(C94="","",COUNTIF('2-Calcul des Salaires'!D5:D104,C94))</f>
        <v/>
      </c>
      <c r="F94" s="22">
        <f>IF(C94="","",SUMIF('2-Calcul des Salaires'!D5:D104,C94,'2-Calcul des Salaires'!J5:J104))</f>
        <v/>
      </c>
      <c r="G94" s="22">
        <f>IF(C94="","",SUMIF('2-Calcul des Salaires'!D5:D104,C94,'2-Calcul des Salaires'!N5:N104))</f>
        <v/>
      </c>
      <c r="H94" s="22">
        <f>IF(C94="","",SUMIF('2-Calcul des Salaires'!D5:D104,C94,'2-Calcul des Salaires'!N5:N104))</f>
        <v/>
      </c>
      <c r="I94" s="18">
        <f>IF(C94="","",SUMIF('2-Calcul des Salaires'!D5:D104,C94,'2-Calcul des Salaires'!O5:O104))</f>
        <v/>
      </c>
      <c r="J94" s="18">
        <f>IF(C94="","",SUMIF('2-Calcul des Salaires'!D5:D104,C94,'2-Calcul des Salaires'!Q5:Q104))</f>
        <v/>
      </c>
      <c r="K94" s="22" t="n"/>
      <c r="L94" s="22">
        <f>IF(OR(E94="",K94=""),"",IFERROR(E94/K94,0))</f>
        <v/>
      </c>
      <c r="M94" s="22" t="n"/>
    </row>
    <row r="95" ht="22" customHeight="1">
      <c r="B95" s="21">
        <f>IF(C95="","HIS"&amp;TEXT(COUNTA($C$5:C95),"000"))</f>
        <v/>
      </c>
      <c r="C95" s="21" t="n"/>
      <c r="D95" s="21" t="n"/>
      <c r="E95" s="21">
        <f>IF(C95="","",COUNTIF('2-Calcul des Salaires'!D5:D104,C95))</f>
        <v/>
      </c>
      <c r="F95" s="21">
        <f>IF(C95="","",SUMIF('2-Calcul des Salaires'!D5:D104,C95,'2-Calcul des Salaires'!J5:J104))</f>
        <v/>
      </c>
      <c r="G95" s="21">
        <f>IF(C95="","",SUMIF('2-Calcul des Salaires'!D5:D104,C95,'2-Calcul des Salaires'!N5:N104))</f>
        <v/>
      </c>
      <c r="H95" s="21">
        <f>IF(C95="","",SUMIF('2-Calcul des Salaires'!D5:D104,C95,'2-Calcul des Salaires'!N5:N104))</f>
        <v/>
      </c>
      <c r="I95" s="16">
        <f>IF(C95="","",SUMIF('2-Calcul des Salaires'!D5:D104,C95,'2-Calcul des Salaires'!O5:O104))</f>
        <v/>
      </c>
      <c r="J95" s="16">
        <f>IF(C95="","",SUMIF('2-Calcul des Salaires'!D5:D104,C95,'2-Calcul des Salaires'!Q5:Q104))</f>
        <v/>
      </c>
      <c r="K95" s="21" t="n"/>
      <c r="L95" s="21">
        <f>IF(OR(E95="",K95=""),"",IFERROR(E95/K95,0))</f>
        <v/>
      </c>
      <c r="M95" s="21" t="n"/>
    </row>
    <row r="96" ht="22" customHeight="1">
      <c r="B96" s="22">
        <f>IF(C96="","HIS"&amp;TEXT(COUNTA($C$5:C96),"000"))</f>
        <v/>
      </c>
      <c r="C96" s="22" t="n"/>
      <c r="D96" s="22" t="n"/>
      <c r="E96" s="22">
        <f>IF(C96="","",COUNTIF('2-Calcul des Salaires'!D5:D104,C96))</f>
        <v/>
      </c>
      <c r="F96" s="22">
        <f>IF(C96="","",SUMIF('2-Calcul des Salaires'!D5:D104,C96,'2-Calcul des Salaires'!J5:J104))</f>
        <v/>
      </c>
      <c r="G96" s="22">
        <f>IF(C96="","",SUMIF('2-Calcul des Salaires'!D5:D104,C96,'2-Calcul des Salaires'!N5:N104))</f>
        <v/>
      </c>
      <c r="H96" s="22">
        <f>IF(C96="","",SUMIF('2-Calcul des Salaires'!D5:D104,C96,'2-Calcul des Salaires'!N5:N104))</f>
        <v/>
      </c>
      <c r="I96" s="18">
        <f>IF(C96="","",SUMIF('2-Calcul des Salaires'!D5:D104,C96,'2-Calcul des Salaires'!O5:O104))</f>
        <v/>
      </c>
      <c r="J96" s="18">
        <f>IF(C96="","",SUMIF('2-Calcul des Salaires'!D5:D104,C96,'2-Calcul des Salaires'!Q5:Q104))</f>
        <v/>
      </c>
      <c r="K96" s="22" t="n"/>
      <c r="L96" s="22">
        <f>IF(OR(E96="",K96=""),"",IFERROR(E96/K96,0))</f>
        <v/>
      </c>
      <c r="M96" s="22" t="n"/>
    </row>
    <row r="97" ht="22" customHeight="1">
      <c r="B97" s="21">
        <f>IF(C97="","HIS"&amp;TEXT(COUNTA($C$5:C97),"000"))</f>
        <v/>
      </c>
      <c r="C97" s="21" t="n"/>
      <c r="D97" s="21" t="n"/>
      <c r="E97" s="21">
        <f>IF(C97="","",COUNTIF('2-Calcul des Salaires'!D5:D104,C97))</f>
        <v/>
      </c>
      <c r="F97" s="21">
        <f>IF(C97="","",SUMIF('2-Calcul des Salaires'!D5:D104,C97,'2-Calcul des Salaires'!J5:J104))</f>
        <v/>
      </c>
      <c r="G97" s="21">
        <f>IF(C97="","",SUMIF('2-Calcul des Salaires'!D5:D104,C97,'2-Calcul des Salaires'!N5:N104))</f>
        <v/>
      </c>
      <c r="H97" s="21">
        <f>IF(C97="","",SUMIF('2-Calcul des Salaires'!D5:D104,C97,'2-Calcul des Salaires'!N5:N104))</f>
        <v/>
      </c>
      <c r="I97" s="16">
        <f>IF(C97="","",SUMIF('2-Calcul des Salaires'!D5:D104,C97,'2-Calcul des Salaires'!O5:O104))</f>
        <v/>
      </c>
      <c r="J97" s="16">
        <f>IF(C97="","",SUMIF('2-Calcul des Salaires'!D5:D104,C97,'2-Calcul des Salaires'!Q5:Q104))</f>
        <v/>
      </c>
      <c r="K97" s="21" t="n"/>
      <c r="L97" s="21">
        <f>IF(OR(E97="",K97=""),"",IFERROR(E97/K97,0))</f>
        <v/>
      </c>
      <c r="M97" s="21" t="n"/>
    </row>
    <row r="98" ht="22" customHeight="1">
      <c r="B98" s="22">
        <f>IF(C98="","HIS"&amp;TEXT(COUNTA($C$5:C98),"000"))</f>
        <v/>
      </c>
      <c r="C98" s="22" t="n"/>
      <c r="D98" s="22" t="n"/>
      <c r="E98" s="22">
        <f>IF(C98="","",COUNTIF('2-Calcul des Salaires'!D5:D104,C98))</f>
        <v/>
      </c>
      <c r="F98" s="22">
        <f>IF(C98="","",SUMIF('2-Calcul des Salaires'!D5:D104,C98,'2-Calcul des Salaires'!J5:J104))</f>
        <v/>
      </c>
      <c r="G98" s="22">
        <f>IF(C98="","",SUMIF('2-Calcul des Salaires'!D5:D104,C98,'2-Calcul des Salaires'!N5:N104))</f>
        <v/>
      </c>
      <c r="H98" s="22">
        <f>IF(C98="","",SUMIF('2-Calcul des Salaires'!D5:D104,C98,'2-Calcul des Salaires'!N5:N104))</f>
        <v/>
      </c>
      <c r="I98" s="18">
        <f>IF(C98="","",SUMIF('2-Calcul des Salaires'!D5:D104,C98,'2-Calcul des Salaires'!O5:O104))</f>
        <v/>
      </c>
      <c r="J98" s="18">
        <f>IF(C98="","",SUMIF('2-Calcul des Salaires'!D5:D104,C98,'2-Calcul des Salaires'!Q5:Q104))</f>
        <v/>
      </c>
      <c r="K98" s="22" t="n"/>
      <c r="L98" s="22">
        <f>IF(OR(E98="",K98=""),"",IFERROR(E98/K98,0))</f>
        <v/>
      </c>
      <c r="M98" s="22" t="n"/>
    </row>
    <row r="99" ht="22" customHeight="1">
      <c r="B99" s="21">
        <f>IF(C99="","HIS"&amp;TEXT(COUNTA($C$5:C99),"000"))</f>
        <v/>
      </c>
      <c r="C99" s="21" t="n"/>
      <c r="D99" s="21" t="n"/>
      <c r="E99" s="21">
        <f>IF(C99="","",COUNTIF('2-Calcul des Salaires'!D5:D104,C99))</f>
        <v/>
      </c>
      <c r="F99" s="21">
        <f>IF(C99="","",SUMIF('2-Calcul des Salaires'!D5:D104,C99,'2-Calcul des Salaires'!J5:J104))</f>
        <v/>
      </c>
      <c r="G99" s="21">
        <f>IF(C99="","",SUMIF('2-Calcul des Salaires'!D5:D104,C99,'2-Calcul des Salaires'!N5:N104))</f>
        <v/>
      </c>
      <c r="H99" s="21">
        <f>IF(C99="","",SUMIF('2-Calcul des Salaires'!D5:D104,C99,'2-Calcul des Salaires'!N5:N104))</f>
        <v/>
      </c>
      <c r="I99" s="16">
        <f>IF(C99="","",SUMIF('2-Calcul des Salaires'!D5:D104,C99,'2-Calcul des Salaires'!O5:O104))</f>
        <v/>
      </c>
      <c r="J99" s="16">
        <f>IF(C99="","",SUMIF('2-Calcul des Salaires'!D5:D104,C99,'2-Calcul des Salaires'!Q5:Q104))</f>
        <v/>
      </c>
      <c r="K99" s="21" t="n"/>
      <c r="L99" s="21">
        <f>IF(OR(E99="",K99=""),"",IFERROR(E99/K99,0))</f>
        <v/>
      </c>
      <c r="M99" s="21" t="n"/>
    </row>
    <row r="100" ht="22" customHeight="1">
      <c r="B100" s="22">
        <f>IF(C100="","HIS"&amp;TEXT(COUNTA($C$5:C100),"000"))</f>
        <v/>
      </c>
      <c r="C100" s="22" t="n"/>
      <c r="D100" s="22" t="n"/>
      <c r="E100" s="22">
        <f>IF(C100="","",COUNTIF('2-Calcul des Salaires'!D5:D104,C100))</f>
        <v/>
      </c>
      <c r="F100" s="22">
        <f>IF(C100="","",SUMIF('2-Calcul des Salaires'!D5:D104,C100,'2-Calcul des Salaires'!J5:J104))</f>
        <v/>
      </c>
      <c r="G100" s="22">
        <f>IF(C100="","",SUMIF('2-Calcul des Salaires'!D5:D104,C100,'2-Calcul des Salaires'!N5:N104))</f>
        <v/>
      </c>
      <c r="H100" s="22">
        <f>IF(C100="","",SUMIF('2-Calcul des Salaires'!D5:D104,C100,'2-Calcul des Salaires'!N5:N104))</f>
        <v/>
      </c>
      <c r="I100" s="18">
        <f>IF(C100="","",SUMIF('2-Calcul des Salaires'!D5:D104,C100,'2-Calcul des Salaires'!O5:O104))</f>
        <v/>
      </c>
      <c r="J100" s="18">
        <f>IF(C100="","",SUMIF('2-Calcul des Salaires'!D5:D104,C100,'2-Calcul des Salaires'!Q5:Q104))</f>
        <v/>
      </c>
      <c r="K100" s="22" t="n"/>
      <c r="L100" s="22">
        <f>IF(OR(E100="",K100=""),"",IFERROR(E100/K100,0))</f>
        <v/>
      </c>
      <c r="M100" s="22" t="n"/>
    </row>
    <row r="101" ht="22" customHeight="1">
      <c r="B101" s="21">
        <f>IF(C101="","HIS"&amp;TEXT(COUNTA($C$5:C101),"000"))</f>
        <v/>
      </c>
      <c r="C101" s="21" t="n"/>
      <c r="D101" s="21" t="n"/>
      <c r="E101" s="21">
        <f>IF(C101="","",COUNTIF('2-Calcul des Salaires'!D5:D104,C101))</f>
        <v/>
      </c>
      <c r="F101" s="21">
        <f>IF(C101="","",SUMIF('2-Calcul des Salaires'!D5:D104,C101,'2-Calcul des Salaires'!J5:J104))</f>
        <v/>
      </c>
      <c r="G101" s="21">
        <f>IF(C101="","",SUMIF('2-Calcul des Salaires'!D5:D104,C101,'2-Calcul des Salaires'!N5:N104))</f>
        <v/>
      </c>
      <c r="H101" s="21">
        <f>IF(C101="","",SUMIF('2-Calcul des Salaires'!D5:D104,C101,'2-Calcul des Salaires'!N5:N104))</f>
        <v/>
      </c>
      <c r="I101" s="16">
        <f>IF(C101="","",SUMIF('2-Calcul des Salaires'!D5:D104,C101,'2-Calcul des Salaires'!O5:O104))</f>
        <v/>
      </c>
      <c r="J101" s="16">
        <f>IF(C101="","",SUMIF('2-Calcul des Salaires'!D5:D104,C101,'2-Calcul des Salaires'!Q5:Q104))</f>
        <v/>
      </c>
      <c r="K101" s="21" t="n"/>
      <c r="L101" s="21">
        <f>IF(OR(E101="",K101=""),"",IFERROR(E101/K101,0))</f>
        <v/>
      </c>
      <c r="M101" s="21" t="n"/>
    </row>
    <row r="102" ht="22" customHeight="1">
      <c r="B102" s="22">
        <f>IF(C102="","HIS"&amp;TEXT(COUNTA($C$5:C102),"000"))</f>
        <v/>
      </c>
      <c r="C102" s="22" t="n"/>
      <c r="D102" s="22" t="n"/>
      <c r="E102" s="22">
        <f>IF(C102="","",COUNTIF('2-Calcul des Salaires'!D5:D104,C102))</f>
        <v/>
      </c>
      <c r="F102" s="22">
        <f>IF(C102="","",SUMIF('2-Calcul des Salaires'!D5:D104,C102,'2-Calcul des Salaires'!J5:J104))</f>
        <v/>
      </c>
      <c r="G102" s="22">
        <f>IF(C102="","",SUMIF('2-Calcul des Salaires'!D5:D104,C102,'2-Calcul des Salaires'!N5:N104))</f>
        <v/>
      </c>
      <c r="H102" s="22">
        <f>IF(C102="","",SUMIF('2-Calcul des Salaires'!D5:D104,C102,'2-Calcul des Salaires'!N5:N104))</f>
        <v/>
      </c>
      <c r="I102" s="18">
        <f>IF(C102="","",SUMIF('2-Calcul des Salaires'!D5:D104,C102,'2-Calcul des Salaires'!O5:O104))</f>
        <v/>
      </c>
      <c r="J102" s="18">
        <f>IF(C102="","",SUMIF('2-Calcul des Salaires'!D5:D104,C102,'2-Calcul des Salaires'!Q5:Q104))</f>
        <v/>
      </c>
      <c r="K102" s="22" t="n"/>
      <c r="L102" s="22">
        <f>IF(OR(E102="",K102=""),"",IFERROR(E102/K102,0))</f>
        <v/>
      </c>
      <c r="M102" s="22" t="n"/>
    </row>
    <row r="103" ht="22" customHeight="1">
      <c r="B103" s="21">
        <f>IF(C103="","HIS"&amp;TEXT(COUNTA($C$5:C103),"000"))</f>
        <v/>
      </c>
      <c r="C103" s="21" t="n"/>
      <c r="D103" s="21" t="n"/>
      <c r="E103" s="21">
        <f>IF(C103="","",COUNTIF('2-Calcul des Salaires'!D5:D104,C103))</f>
        <v/>
      </c>
      <c r="F103" s="21">
        <f>IF(C103="","",SUMIF('2-Calcul des Salaires'!D5:D104,C103,'2-Calcul des Salaires'!J5:J104))</f>
        <v/>
      </c>
      <c r="G103" s="21">
        <f>IF(C103="","",SUMIF('2-Calcul des Salaires'!D5:D104,C103,'2-Calcul des Salaires'!N5:N104))</f>
        <v/>
      </c>
      <c r="H103" s="21">
        <f>IF(C103="","",SUMIF('2-Calcul des Salaires'!D5:D104,C103,'2-Calcul des Salaires'!N5:N104))</f>
        <v/>
      </c>
      <c r="I103" s="16">
        <f>IF(C103="","",SUMIF('2-Calcul des Salaires'!D5:D104,C103,'2-Calcul des Salaires'!O5:O104))</f>
        <v/>
      </c>
      <c r="J103" s="16">
        <f>IF(C103="","",SUMIF('2-Calcul des Salaires'!D5:D104,C103,'2-Calcul des Salaires'!Q5:Q104))</f>
        <v/>
      </c>
      <c r="K103" s="21" t="n"/>
      <c r="L103" s="21">
        <f>IF(OR(E103="",K103=""),"",IFERROR(E103/K103,0))</f>
        <v/>
      </c>
      <c r="M103" s="21" t="n"/>
    </row>
    <row r="104" ht="22" customHeight="1">
      <c r="B104" s="22">
        <f>IF(C104="","HIS"&amp;TEXT(COUNTA($C$5:C104),"000"))</f>
        <v/>
      </c>
      <c r="C104" s="22" t="n"/>
      <c r="D104" s="22" t="n"/>
      <c r="E104" s="22">
        <f>IF(C104="","",COUNTIF('2-Calcul des Salaires'!D5:D104,C104))</f>
        <v/>
      </c>
      <c r="F104" s="22">
        <f>IF(C104="","",SUMIF('2-Calcul des Salaires'!D5:D104,C104,'2-Calcul des Salaires'!J5:J104))</f>
        <v/>
      </c>
      <c r="G104" s="22">
        <f>IF(C104="","",SUMIF('2-Calcul des Salaires'!D5:D104,C104,'2-Calcul des Salaires'!N5:N104))</f>
        <v/>
      </c>
      <c r="H104" s="22">
        <f>IF(C104="","",SUMIF('2-Calcul des Salaires'!D5:D104,C104,'2-Calcul des Salaires'!N5:N104))</f>
        <v/>
      </c>
      <c r="I104" s="18">
        <f>IF(C104="","",SUMIF('2-Calcul des Salaires'!D5:D104,C104,'2-Calcul des Salaires'!O5:O104))</f>
        <v/>
      </c>
      <c r="J104" s="18">
        <f>IF(C104="","",SUMIF('2-Calcul des Salaires'!D5:D104,C104,'2-Calcul des Salaires'!Q5:Q104))</f>
        <v/>
      </c>
      <c r="K104" s="22" t="n"/>
      <c r="L104" s="22">
        <f>IF(OR(E104="",K104=""),"",IFERROR(E104/K104,0))</f>
        <v/>
      </c>
      <c r="M104" s="22" t="n"/>
    </row>
    <row r="105">
      <c r="E105">
        <f>IF(C105="","",COUNTIF('2-Calcul des Salaires'!D5:D104,C105))</f>
        <v/>
      </c>
      <c r="F105">
        <f>IF(C105="","",SUMIF('2-Calcul des Salaires'!D5:D104,C105,'2-Calcul des Salaires'!J5:J104))</f>
        <v/>
      </c>
      <c r="G105">
        <f>IF(C105="","",SUMIF('2-Calcul des Salaires'!D5:D104,C105,'2-Calcul des Salaires'!N5:N104))</f>
        <v/>
      </c>
      <c r="H105">
        <f>IF(C105="","",SUMIF('2-Calcul des Salaires'!D5:D104,C105,'2-Calcul des Salaires'!N5:N104))</f>
        <v/>
      </c>
      <c r="I105">
        <f>IF(C105="","",SUMIF('2-Calcul des Salaires'!D5:D104,C105,'2-Calcul des Salaires'!O5:O104))</f>
        <v/>
      </c>
      <c r="J105">
        <f>IF(C105="","",SUMIF('2-Calcul des Salaires'!D5:D104,C105,'2-Calcul des Salaires'!Q5:Q104))</f>
        <v/>
      </c>
    </row>
    <row r="106">
      <c r="E106">
        <f>IF(C106="","",COUNTIF('2-Calcul des Salaires'!D5:D104,C106))</f>
        <v/>
      </c>
      <c r="F106">
        <f>IF(C106="","",SUMIF('2-Calcul des Salaires'!D5:D104,C106,'2-Calcul des Salaires'!J5:J104))</f>
        <v/>
      </c>
      <c r="G106">
        <f>IF(C106="","",SUMIF('2-Calcul des Salaires'!D5:D104,C106,'2-Calcul des Salaires'!N5:N104))</f>
        <v/>
      </c>
      <c r="H106">
        <f>IF(C106="","",SUMIF('2-Calcul des Salaires'!D5:D104,C106,'2-Calcul des Salaires'!N5:N104))</f>
        <v/>
      </c>
      <c r="I106">
        <f>IF(C106="","",SUMIF('2-Calcul des Salaires'!D5:D104,C106,'2-Calcul des Salaires'!O5:O104))</f>
        <v/>
      </c>
      <c r="J106">
        <f>IF(C106="","",SUMIF('2-Calcul des Salaires'!D5:D104,C106,'2-Calcul des Salaires'!Q5:Q104))</f>
        <v/>
      </c>
    </row>
    <row r="107">
      <c r="B107" s="23" t="inlineStr">
        <is>
          <t>KPI Dernière masse brute (FCFA)</t>
        </is>
      </c>
      <c r="C107" s="23" t="inlineStr">
        <is>
          <t>KPI Ratio moyen</t>
        </is>
      </c>
      <c r="E107">
        <f>IF(C107="","",COUNTIF('2-Calcul des Salaires'!D5:D104,C107))</f>
        <v/>
      </c>
      <c r="F107">
        <f>IF(C107="","",SUMIF('2-Calcul des Salaires'!D5:D104,C107,'2-Calcul des Salaires'!J5:J104))</f>
        <v/>
      </c>
      <c r="G107">
        <f>IF(C107="","",SUMIF('2-Calcul des Salaires'!D5:D104,C107,'2-Calcul des Salaires'!N5:N104))</f>
        <v/>
      </c>
      <c r="H107">
        <f>IF(C107="","",SUMIF('2-Calcul des Salaires'!D5:D104,C107,'2-Calcul des Salaires'!N5:N104))</f>
        <v/>
      </c>
      <c r="I107">
        <f>IF(C107="","",SUMIF('2-Calcul des Salaires'!D5:D104,C107,'2-Calcul des Salaires'!O5:O104))</f>
        <v/>
      </c>
      <c r="J107">
        <f>IF(C107="","",SUMIF('2-Calcul des Salaires'!D5:D104,C107,'2-Calcul des Salaires'!Q5:Q104))</f>
        <v/>
      </c>
    </row>
    <row r="108">
      <c r="B108" s="25">
        <f>IFERROR(INDEX(F5:F104,MATCH("Juin",C5:C104,0)),0)</f>
        <v/>
      </c>
      <c r="C108" s="24">
        <f>IFERROR(AVERAGE(L5:L104),0)</f>
        <v/>
      </c>
      <c r="E108">
        <f>IF(C108="","",COUNTIF('2-Calcul des Salaires'!D5:D104,C108))</f>
        <v/>
      </c>
      <c r="F108">
        <f>IF(C108="","",SUMIF('2-Calcul des Salaires'!D5:D104,C108,'2-Calcul des Salaires'!J5:J104))</f>
        <v/>
      </c>
      <c r="G108">
        <f>IF(C108="","",SUMIF('2-Calcul des Salaires'!D5:D104,C108,'2-Calcul des Salaires'!N5:N104))</f>
        <v/>
      </c>
      <c r="H108">
        <f>IF(C108="","",SUMIF('2-Calcul des Salaires'!D5:D104,C108,'2-Calcul des Salaires'!N5:N104))</f>
        <v/>
      </c>
      <c r="I108">
        <f>IF(C108="","",SUMIF('2-Calcul des Salaires'!D5:D104,C108,'2-Calcul des Salaires'!O5:O104))</f>
        <v/>
      </c>
      <c r="J108">
        <f>IF(C108="","",SUMIF('2-Calcul des Salaires'!D5:D104,C108,'2-Calcul des Salaires'!Q5:Q104))</f>
        <v/>
      </c>
    </row>
  </sheetData>
  <mergeCells count="1">
    <mergeCell ref="B2:M2"/>
  </mergeCells>
  <conditionalFormatting sqref="M5:M104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"Solde"</formula>
    </cfRule>
    <cfRule type="cellIs" priority="4" operator="equal" dxfId="1">
      <formula>"Actif"</formula>
    </cfRule>
    <cfRule type="cellIs" priority="5" operator="equal" dxfId="1">
      <formula>"Oui"</formula>
    </cfRule>
    <cfRule type="cellIs" priority="6" operator="equal" dxfId="2">
      <formula>"Rejete"</formula>
    </cfRule>
    <cfRule type="cellIs" priority="7" operator="equal" dxfId="2">
      <formula>"En retard"</formula>
    </cfRule>
    <cfRule type="cellIs" priority="8" operator="equal" dxfId="2">
      <formula>"Refuse"</formula>
    </cfRule>
    <cfRule type="cellIs" priority="9" operator="equal" dxfId="2">
      <formula>"Annule"</formula>
    </cfRule>
    <cfRule type="cellIs" priority="10" operator="equal" dxfId="2">
      <formula>"Non"</formula>
    </cfRule>
    <cfRule type="cellIs" priority="11" operator="equal" dxfId="3">
      <formula>"En attente"</formula>
    </cfRule>
    <cfRule type="cellIs" priority="12" operator="equal" dxfId="3">
      <formula>"En cours"</formula>
    </cfRule>
    <cfRule type="cellIs" priority="13" operator="equal" dxfId="3">
      <formula>"Brouillon"</formula>
    </cfRule>
    <cfRule type="cellIs" priority="14" operator="equal" dxfId="3">
      <formula>"Demande"</formula>
    </cfRule>
    <cfRule type="cellIs" priority="15" operator="equal" dxfId="3">
      <formula>"Partiellement monetise"</formula>
    </cfRule>
  </conditionalFormatting>
  <conditionalFormatting sqref="E5:E104">
    <cfRule type="dataBar" priority="16">
      <dataBar>
        <cfvo type="num" val="0"/>
        <cfvo type="num" val="1"/>
        <color rgb="001B2A4A"/>
      </dataBar>
    </cfRule>
  </conditionalFormatting>
  <conditionalFormatting sqref="F5:F104">
    <cfRule type="dataBar" priority="17">
      <dataBar>
        <cfvo type="num" val="0"/>
        <cfvo type="num" val="1"/>
        <color rgb="001B2A4A"/>
      </dataBar>
    </cfRule>
  </conditionalFormatting>
  <conditionalFormatting sqref="G5:G104">
    <cfRule type="dataBar" priority="18">
      <dataBar>
        <cfvo type="num" val="0"/>
        <cfvo type="num" val="1"/>
        <color rgb="001B2A4A"/>
      </dataBar>
    </cfRule>
  </conditionalFormatting>
  <conditionalFormatting sqref="H5:H104">
    <cfRule type="dataBar" priority="19">
      <dataBar>
        <cfvo type="num" val="0"/>
        <cfvo type="num" val="1"/>
        <color rgb="001B2A4A"/>
      </dataBar>
    </cfRule>
  </conditionalFormatting>
  <conditionalFormatting sqref="I5:I104">
    <cfRule type="dataBar" priority="20">
      <dataBar>
        <cfvo type="num" val="0"/>
        <cfvo type="num" val="1"/>
        <color rgb="001B2A4A"/>
      </dataBar>
    </cfRule>
  </conditionalFormatting>
  <conditionalFormatting sqref="J5:J104">
    <cfRule type="dataBar" priority="21">
      <dataBar>
        <cfvo type="num" val="0"/>
        <cfvo type="num" val="1"/>
        <color rgb="001B2A4A"/>
      </dataBar>
    </cfRule>
  </conditionalFormatting>
  <conditionalFormatting sqref="K5:K104">
    <cfRule type="dataBar" priority="22">
      <dataBar>
        <cfvo type="num" val="0"/>
        <cfvo type="num" val="1"/>
        <color rgb="001B2A4A"/>
      </dataBar>
    </cfRule>
  </conditionalFormatting>
  <conditionalFormatting sqref="B108">
    <cfRule type="cellIs" priority="23" operator="greaterThan" dxfId="0">
      <formula>0</formula>
    </cfRule>
  </conditionalFormatting>
  <conditionalFormatting sqref="C108">
    <cfRule type="cellIs" priority="24" operator="greaterThan" dxfId="0">
      <formula>0</formula>
    </cfRule>
  </conditionalFormatting>
  <dataValidations count="3">
    <dataValidation sqref="C5:C104" showDropDown="0" showInputMessage="0" showErrorMessage="0" allowBlank="1" type="list">
      <formula1>'_Lists'!$K$2:$K$13</formula1>
    </dataValidation>
    <dataValidation sqref="D5:D104" showDropDown="0" showInputMessage="0" showErrorMessage="0" allowBlank="1" type="list">
      <formula1>'_Lists'!$M$2:$M$4</formula1>
    </dataValidation>
    <dataValidation sqref="M5:M104" showDropDown="0" showInputMessage="0" showErrorMessage="0" allowBlank="1" type="list">
      <formula1>'_Lists'!$N$2:$N$5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M10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4" customWidth="1" min="7" max="7"/>
    <col width="18" customWidth="1" min="8" max="8"/>
    <col width="18" customWidth="1" min="9" max="9"/>
    <col width="16" customWidth="1" min="10" max="10"/>
    <col width="14" customWidth="1" min="11" max="11"/>
    <col width="16" customWidth="1" min="12" max="12"/>
    <col width="10" customWidth="1" min="13" max="13"/>
  </cols>
  <sheetData>
    <row r="1" ht="15" customHeight="1"/>
    <row r="2" ht="32" customHeight="1">
      <c r="B2" s="13" t="inlineStr">
        <is>
          <t>REMUNERATION — 10-Evolutions Salariales</t>
        </is>
      </c>
    </row>
    <row r="3" ht="8" customHeight="1"/>
    <row r="4" ht="28" customHeight="1">
      <c r="B4" s="14" t="inlineStr">
        <is>
          <t>N°</t>
        </is>
      </c>
      <c r="C4" s="14" t="inlineStr">
        <is>
          <t>Matricule</t>
        </is>
      </c>
      <c r="D4" s="14" t="inlineStr">
        <is>
          <t>Nom Employé</t>
        </is>
      </c>
      <c r="E4" s="14" t="inlineStr">
        <is>
          <t>Poste</t>
        </is>
      </c>
      <c r="F4" s="14" t="inlineStr">
        <is>
          <t>Type Évolution</t>
        </is>
      </c>
      <c r="G4" s="14" t="inlineStr">
        <is>
          <t>Date Effet</t>
        </is>
      </c>
      <c r="H4" s="14" t="inlineStr">
        <is>
          <t>Ancien Salaire (FCFA)</t>
        </is>
      </c>
      <c r="I4" s="14" t="inlineStr">
        <is>
          <t>Nouveau Salaire (FCFA)</t>
        </is>
      </c>
      <c r="J4" s="14" t="inlineStr">
        <is>
          <t>Augmentation (FCFA)</t>
        </is>
      </c>
      <c r="K4" s="14" t="inlineStr">
        <is>
          <t>Taux Augmentation</t>
        </is>
      </c>
      <c r="L4" s="14" t="inlineStr">
        <is>
          <t>Motif</t>
        </is>
      </c>
      <c r="M4" s="14" t="inlineStr">
        <is>
          <t>Statut</t>
        </is>
      </c>
    </row>
    <row r="5" ht="22" customHeight="1">
      <c r="B5" s="15" t="inlineStr">
        <is>
          <t>EVO-001</t>
        </is>
      </c>
      <c r="C5" s="15" t="inlineStr">
        <is>
          <t>EMP-002</t>
        </is>
      </c>
      <c r="D5" s="15" t="inlineStr">
        <is>
          <t>Tchinda Armand</t>
        </is>
      </c>
      <c r="E5" s="15" t="inlineStr">
        <is>
          <t>Chef Comptable</t>
        </is>
      </c>
      <c r="F5" s="15" t="inlineStr">
        <is>
          <t>Promotion</t>
        </is>
      </c>
      <c r="G5" s="33" t="inlineStr">
        <is>
          <t>2025-07-01</t>
        </is>
      </c>
      <c r="H5" s="16" t="n">
        <v>484000</v>
      </c>
      <c r="I5" s="16" t="n">
        <v>550000</v>
      </c>
      <c r="J5" s="16" t="n">
        <v>66000</v>
      </c>
      <c r="K5" s="15" t="inlineStr"/>
      <c r="L5" s="15" t="inlineStr">
        <is>
          <t>Excellence</t>
        </is>
      </c>
      <c r="M5" s="15" t="inlineStr">
        <is>
          <t>Approuve</t>
        </is>
      </c>
    </row>
    <row r="6" ht="22" customHeight="1">
      <c r="B6" s="17" t="inlineStr">
        <is>
          <t>EVO-002</t>
        </is>
      </c>
      <c r="C6" s="17" t="inlineStr">
        <is>
          <t>EMP-004</t>
        </is>
      </c>
      <c r="D6" s="17" t="inlineStr">
        <is>
          <t>Ouedraogo Ibrahim</t>
        </is>
      </c>
      <c r="E6" s="17" t="inlineStr">
        <is>
          <t>Receptionniste</t>
        </is>
      </c>
      <c r="F6" s="17" t="inlineStr">
        <is>
          <t>Augmentation</t>
        </is>
      </c>
      <c r="G6" s="34" t="inlineStr">
        <is>
          <t>2025-07-01</t>
        </is>
      </c>
      <c r="H6" s="18" t="n">
        <v>207000</v>
      </c>
      <c r="I6" s="18" t="n">
        <v>225000</v>
      </c>
      <c r="J6" s="18" t="n">
        <v>18000</v>
      </c>
      <c r="K6" s="17" t="inlineStr"/>
      <c r="L6" s="17" t="inlineStr">
        <is>
          <t>Mérite</t>
        </is>
      </c>
      <c r="M6" s="17" t="inlineStr">
        <is>
          <t>En attente</t>
        </is>
      </c>
    </row>
    <row r="7" ht="22" customHeight="1">
      <c r="B7" s="19">
        <f>IF(C7="","EVO"&amp;TEXT(COUNTA($C$5:C7),"000"))</f>
        <v/>
      </c>
      <c r="C7" s="19" t="n"/>
      <c r="D7" s="19">
        <f>IF(C7="","",VLOOKUP(C7,'_Données Employés'!$B$5:$S$114,3,FALSE))</f>
        <v/>
      </c>
      <c r="E7" s="19">
        <f>IF(C7="","",VLOOKUP(C7,'_Données Employés'!$B$5:$S$114,9,FALSE))</f>
        <v/>
      </c>
      <c r="F7" s="19" t="n"/>
      <c r="G7" s="19" t="n"/>
      <c r="H7" s="19" t="n"/>
      <c r="I7" s="19" t="n"/>
      <c r="J7" s="20">
        <f>IF(OR(G7="",H7=""),"",IFERROR(H7-G7,0))</f>
        <v/>
      </c>
      <c r="K7" s="19">
        <f>IF(G7="","",IFERROR(I7/G7,0))</f>
        <v/>
      </c>
      <c r="L7" s="19" t="n"/>
      <c r="M7" s="19" t="n"/>
    </row>
    <row r="8" ht="22" customHeight="1">
      <c r="B8" s="22">
        <f>IF(C8="","EVO"&amp;TEXT(COUNTA($C$5:C8),"000"))</f>
        <v/>
      </c>
      <c r="C8" s="22" t="n"/>
      <c r="D8" s="22">
        <f>IF(C8="","",VLOOKUP(C8,'_Données Employés'!$B$5:$S$114,3,FALSE))</f>
        <v/>
      </c>
      <c r="E8" s="22">
        <f>IF(C8="","",VLOOKUP(C8,'_Données Employés'!$B$5:$S$114,9,FALSE))</f>
        <v/>
      </c>
      <c r="F8" s="22" t="n"/>
      <c r="G8" s="22" t="n"/>
      <c r="H8" s="22" t="n"/>
      <c r="I8" s="22" t="n"/>
      <c r="J8" s="18">
        <f>IF(OR(G8="",H8=""),"",IFERROR(H8-G8,0))</f>
        <v/>
      </c>
      <c r="K8" s="22">
        <f>IF(G8="","",IFERROR(I8/G8,0))</f>
        <v/>
      </c>
      <c r="L8" s="22" t="n"/>
      <c r="M8" s="22" t="n"/>
    </row>
    <row r="9" ht="22" customHeight="1">
      <c r="B9" s="21">
        <f>IF(C9="","EVO"&amp;TEXT(COUNTA($C$5:C9),"000"))</f>
        <v/>
      </c>
      <c r="C9" s="21" t="n"/>
      <c r="D9" s="21">
        <f>IF(C9="","",VLOOKUP(C9,'_Données Employés'!$B$5:$S$114,3,FALSE))</f>
        <v/>
      </c>
      <c r="E9" s="21">
        <f>IF(C9="","",VLOOKUP(C9,'_Données Employés'!$B$5:$S$114,9,FALSE))</f>
        <v/>
      </c>
      <c r="F9" s="21" t="n"/>
      <c r="G9" s="21" t="n"/>
      <c r="H9" s="21" t="n"/>
      <c r="I9" s="21" t="n"/>
      <c r="J9" s="16">
        <f>IF(OR(G9="",H9=""),"",IFERROR(H9-G9,0))</f>
        <v/>
      </c>
      <c r="K9" s="21">
        <f>IF(G9="","",IFERROR(I9/G9,0))</f>
        <v/>
      </c>
      <c r="L9" s="21" t="n"/>
      <c r="M9" s="21" t="n"/>
    </row>
    <row r="10" ht="22" customHeight="1">
      <c r="B10" s="22">
        <f>IF(C10="","EVO"&amp;TEXT(COUNTA($C$5:C10),"000"))</f>
        <v/>
      </c>
      <c r="C10" s="22" t="n"/>
      <c r="D10" s="22">
        <f>IF(C10="","",VLOOKUP(C10,'_Données Employés'!$B$5:$S$114,3,FALSE))</f>
        <v/>
      </c>
      <c r="E10" s="22">
        <f>IF(C10="","",VLOOKUP(C10,'_Données Employés'!$B$5:$S$114,9,FALSE))</f>
        <v/>
      </c>
      <c r="F10" s="22" t="n"/>
      <c r="G10" s="22" t="n"/>
      <c r="H10" s="22" t="n"/>
      <c r="I10" s="22" t="n"/>
      <c r="J10" s="18">
        <f>IF(OR(G10="",H10=""),"",IFERROR(H10-G10,0))</f>
        <v/>
      </c>
      <c r="K10" s="22">
        <f>IF(G10="","",IFERROR(I10/G10,0))</f>
        <v/>
      </c>
      <c r="L10" s="22" t="n"/>
      <c r="M10" s="22" t="n"/>
    </row>
    <row r="11" ht="22" customHeight="1">
      <c r="B11" s="21">
        <f>IF(C11="","EVO"&amp;TEXT(COUNTA($C$5:C11),"000"))</f>
        <v/>
      </c>
      <c r="C11" s="21" t="n"/>
      <c r="D11" s="21">
        <f>IF(C11="","",VLOOKUP(C11,'_Données Employés'!$B$5:$S$114,3,FALSE))</f>
        <v/>
      </c>
      <c r="E11" s="21">
        <f>IF(C11="","",VLOOKUP(C11,'_Données Employés'!$B$5:$S$114,9,FALSE))</f>
        <v/>
      </c>
      <c r="F11" s="21" t="n"/>
      <c r="G11" s="21" t="n"/>
      <c r="H11" s="21" t="n"/>
      <c r="I11" s="21" t="n"/>
      <c r="J11" s="16">
        <f>IF(OR(G11="",H11=""),"",IFERROR(H11-G11,0))</f>
        <v/>
      </c>
      <c r="K11" s="21">
        <f>IF(G11="","",IFERROR(I11/G11,0))</f>
        <v/>
      </c>
      <c r="L11" s="21" t="n"/>
      <c r="M11" s="21" t="n"/>
    </row>
    <row r="12" ht="22" customHeight="1">
      <c r="B12" s="22">
        <f>IF(C12="","EVO"&amp;TEXT(COUNTA($C$5:C12),"000"))</f>
        <v/>
      </c>
      <c r="C12" s="22" t="n"/>
      <c r="D12" s="22">
        <f>IF(C12="","",VLOOKUP(C12,'_Données Employés'!$B$5:$S$114,3,FALSE))</f>
        <v/>
      </c>
      <c r="E12" s="22">
        <f>IF(C12="","",VLOOKUP(C12,'_Données Employés'!$B$5:$S$114,9,FALSE))</f>
        <v/>
      </c>
      <c r="F12" s="22" t="n"/>
      <c r="G12" s="22" t="n"/>
      <c r="H12" s="22" t="n"/>
      <c r="I12" s="22" t="n"/>
      <c r="J12" s="18">
        <f>IF(OR(G12="",H12=""),"",IFERROR(H12-G12,0))</f>
        <v/>
      </c>
      <c r="K12" s="22">
        <f>IF(G12="","",IFERROR(I12/G12,0))</f>
        <v/>
      </c>
      <c r="L12" s="22" t="n"/>
      <c r="M12" s="22" t="n"/>
    </row>
    <row r="13" ht="22" customHeight="1">
      <c r="B13" s="21">
        <f>IF(C13="","EVO"&amp;TEXT(COUNTA($C$5:C13),"000"))</f>
        <v/>
      </c>
      <c r="C13" s="21" t="n"/>
      <c r="D13" s="21">
        <f>IF(C13="","",VLOOKUP(C13,'_Données Employés'!$B$5:$S$114,3,FALSE))</f>
        <v/>
      </c>
      <c r="E13" s="21">
        <f>IF(C13="","",VLOOKUP(C13,'_Données Employés'!$B$5:$S$114,9,FALSE))</f>
        <v/>
      </c>
      <c r="F13" s="21" t="n"/>
      <c r="G13" s="21" t="n"/>
      <c r="H13" s="21" t="n"/>
      <c r="I13" s="21" t="n"/>
      <c r="J13" s="16">
        <f>IF(OR(G13="",H13=""),"",IFERROR(H13-G13,0))</f>
        <v/>
      </c>
      <c r="K13" s="21">
        <f>IF(G13="","",IFERROR(I13/G13,0))</f>
        <v/>
      </c>
      <c r="L13" s="21" t="n"/>
      <c r="M13" s="21" t="n"/>
    </row>
    <row r="14" ht="22" customHeight="1">
      <c r="B14" s="22">
        <f>IF(C14="","EVO"&amp;TEXT(COUNTA($C$5:C14),"000"))</f>
        <v/>
      </c>
      <c r="C14" s="22" t="n"/>
      <c r="D14" s="22">
        <f>IF(C14="","",VLOOKUP(C14,'_Données Employés'!$B$5:$S$114,3,FALSE))</f>
        <v/>
      </c>
      <c r="E14" s="22">
        <f>IF(C14="","",VLOOKUP(C14,'_Données Employés'!$B$5:$S$114,9,FALSE))</f>
        <v/>
      </c>
      <c r="F14" s="22" t="n"/>
      <c r="G14" s="22" t="n"/>
      <c r="H14" s="22" t="n"/>
      <c r="I14" s="22" t="n"/>
      <c r="J14" s="18">
        <f>IF(OR(G14="",H14=""),"",IFERROR(H14-G14,0))</f>
        <v/>
      </c>
      <c r="K14" s="22">
        <f>IF(G14="","",IFERROR(I14/G14,0))</f>
        <v/>
      </c>
      <c r="L14" s="22" t="n"/>
      <c r="M14" s="22" t="n"/>
    </row>
    <row r="15" ht="22" customHeight="1">
      <c r="B15" s="21">
        <f>IF(C15="","EVO"&amp;TEXT(COUNTA($C$5:C15),"000"))</f>
        <v/>
      </c>
      <c r="C15" s="21" t="n"/>
      <c r="D15" s="21">
        <f>IF(C15="","",VLOOKUP(C15,'_Données Employés'!$B$5:$S$114,3,FALSE))</f>
        <v/>
      </c>
      <c r="E15" s="21">
        <f>IF(C15="","",VLOOKUP(C15,'_Données Employés'!$B$5:$S$114,9,FALSE))</f>
        <v/>
      </c>
      <c r="F15" s="21" t="n"/>
      <c r="G15" s="21" t="n"/>
      <c r="H15" s="21" t="n"/>
      <c r="I15" s="21" t="n"/>
      <c r="J15" s="16">
        <f>IF(OR(G15="",H15=""),"",IFERROR(H15-G15,0))</f>
        <v/>
      </c>
      <c r="K15" s="21">
        <f>IF(G15="","",IFERROR(I15/G15,0))</f>
        <v/>
      </c>
      <c r="L15" s="21" t="n"/>
      <c r="M15" s="21" t="n"/>
    </row>
    <row r="16" ht="22" customHeight="1">
      <c r="B16" s="22">
        <f>IF(C16="","EVO"&amp;TEXT(COUNTA($C$5:C16),"000"))</f>
        <v/>
      </c>
      <c r="C16" s="22" t="n"/>
      <c r="D16" s="22">
        <f>IF(C16="","",VLOOKUP(C16,'_Données Employés'!$B$5:$S$114,3,FALSE))</f>
        <v/>
      </c>
      <c r="E16" s="22">
        <f>IF(C16="","",VLOOKUP(C16,'_Données Employés'!$B$5:$S$114,9,FALSE))</f>
        <v/>
      </c>
      <c r="F16" s="22" t="n"/>
      <c r="G16" s="22" t="n"/>
      <c r="H16" s="22" t="n"/>
      <c r="I16" s="22" t="n"/>
      <c r="J16" s="18">
        <f>IF(OR(G16="",H16=""),"",IFERROR(H16-G16,0))</f>
        <v/>
      </c>
      <c r="K16" s="22">
        <f>IF(G16="","",IFERROR(I16/G16,0))</f>
        <v/>
      </c>
      <c r="L16" s="22" t="n"/>
      <c r="M16" s="22" t="n"/>
    </row>
    <row r="17" ht="22" customHeight="1">
      <c r="B17" s="21">
        <f>IF(C17="","EVO"&amp;TEXT(COUNTA($C$5:C17),"000"))</f>
        <v/>
      </c>
      <c r="C17" s="21" t="n"/>
      <c r="D17" s="21">
        <f>IF(C17="","",VLOOKUP(C17,'_Données Employés'!$B$5:$S$114,3,FALSE))</f>
        <v/>
      </c>
      <c r="E17" s="21">
        <f>IF(C17="","",VLOOKUP(C17,'_Données Employés'!$B$5:$S$114,9,FALSE))</f>
        <v/>
      </c>
      <c r="F17" s="21" t="n"/>
      <c r="G17" s="21" t="n"/>
      <c r="H17" s="21" t="n"/>
      <c r="I17" s="21" t="n"/>
      <c r="J17" s="16">
        <f>IF(OR(G17="",H17=""),"",IFERROR(H17-G17,0))</f>
        <v/>
      </c>
      <c r="K17" s="21">
        <f>IF(G17="","",IFERROR(I17/G17,0))</f>
        <v/>
      </c>
      <c r="L17" s="21" t="n"/>
      <c r="M17" s="21" t="n"/>
    </row>
    <row r="18" ht="22" customHeight="1">
      <c r="B18" s="22">
        <f>IF(C18="","EVO"&amp;TEXT(COUNTA($C$5:C18),"000"))</f>
        <v/>
      </c>
      <c r="C18" s="22" t="n"/>
      <c r="D18" s="22">
        <f>IF(C18="","",VLOOKUP(C18,'_Données Employés'!$B$5:$S$114,3,FALSE))</f>
        <v/>
      </c>
      <c r="E18" s="22">
        <f>IF(C18="","",VLOOKUP(C18,'_Données Employés'!$B$5:$S$114,9,FALSE))</f>
        <v/>
      </c>
      <c r="F18" s="22" t="n"/>
      <c r="G18" s="22" t="n"/>
      <c r="H18" s="22" t="n"/>
      <c r="I18" s="22" t="n"/>
      <c r="J18" s="18">
        <f>IF(OR(G18="",H18=""),"",IFERROR(H18-G18,0))</f>
        <v/>
      </c>
      <c r="K18" s="22">
        <f>IF(G18="","",IFERROR(I18/G18,0))</f>
        <v/>
      </c>
      <c r="L18" s="22" t="n"/>
      <c r="M18" s="22" t="n"/>
    </row>
    <row r="19" ht="22" customHeight="1">
      <c r="B19" s="21">
        <f>IF(C19="","EVO"&amp;TEXT(COUNTA($C$5:C19),"000"))</f>
        <v/>
      </c>
      <c r="C19" s="21" t="n"/>
      <c r="D19" s="21">
        <f>IF(C19="","",VLOOKUP(C19,'_Données Employés'!$B$5:$S$114,3,FALSE))</f>
        <v/>
      </c>
      <c r="E19" s="21">
        <f>IF(C19="","",VLOOKUP(C19,'_Données Employés'!$B$5:$S$114,9,FALSE))</f>
        <v/>
      </c>
      <c r="F19" s="21" t="n"/>
      <c r="G19" s="21" t="n"/>
      <c r="H19" s="21" t="n"/>
      <c r="I19" s="21" t="n"/>
      <c r="J19" s="16">
        <f>IF(OR(G19="",H19=""),"",IFERROR(H19-G19,0))</f>
        <v/>
      </c>
      <c r="K19" s="21">
        <f>IF(G19="","",IFERROR(I19/G19,0))</f>
        <v/>
      </c>
      <c r="L19" s="21" t="n"/>
      <c r="M19" s="21" t="n"/>
    </row>
    <row r="20" ht="22" customHeight="1">
      <c r="B20" s="22">
        <f>IF(C20="","EVO"&amp;TEXT(COUNTA($C$5:C20),"000"))</f>
        <v/>
      </c>
      <c r="C20" s="22" t="n"/>
      <c r="D20" s="22">
        <f>IF(C20="","",VLOOKUP(C20,'_Données Employés'!$B$5:$S$114,3,FALSE))</f>
        <v/>
      </c>
      <c r="E20" s="22">
        <f>IF(C20="","",VLOOKUP(C20,'_Données Employés'!$B$5:$S$114,9,FALSE))</f>
        <v/>
      </c>
      <c r="F20" s="22" t="n"/>
      <c r="G20" s="22" t="n"/>
      <c r="H20" s="22" t="n"/>
      <c r="I20" s="22" t="n"/>
      <c r="J20" s="18">
        <f>IF(OR(G20="",H20=""),"",IFERROR(H20-G20,0))</f>
        <v/>
      </c>
      <c r="K20" s="22">
        <f>IF(G20="","",IFERROR(I20/G20,0))</f>
        <v/>
      </c>
      <c r="L20" s="22" t="n"/>
      <c r="M20" s="22" t="n"/>
    </row>
    <row r="21" ht="22" customHeight="1">
      <c r="B21" s="21">
        <f>IF(C21="","EVO"&amp;TEXT(COUNTA($C$5:C21),"000"))</f>
        <v/>
      </c>
      <c r="C21" s="21" t="n"/>
      <c r="D21" s="21">
        <f>IF(C21="","",VLOOKUP(C21,'_Données Employés'!$B$5:$S$114,3,FALSE))</f>
        <v/>
      </c>
      <c r="E21" s="21">
        <f>IF(C21="","",VLOOKUP(C21,'_Données Employés'!$B$5:$S$114,9,FALSE))</f>
        <v/>
      </c>
      <c r="F21" s="21" t="n"/>
      <c r="G21" s="21" t="n"/>
      <c r="H21" s="21" t="n"/>
      <c r="I21" s="21" t="n"/>
      <c r="J21" s="16">
        <f>IF(OR(G21="",H21=""),"",IFERROR(H21-G21,0))</f>
        <v/>
      </c>
      <c r="K21" s="21">
        <f>IF(G21="","",IFERROR(I21/G21,0))</f>
        <v/>
      </c>
      <c r="L21" s="21" t="n"/>
      <c r="M21" s="21" t="n"/>
    </row>
    <row r="22" ht="22" customHeight="1">
      <c r="B22" s="22">
        <f>IF(C22="","EVO"&amp;TEXT(COUNTA($C$5:C22),"000"))</f>
        <v/>
      </c>
      <c r="C22" s="22" t="n"/>
      <c r="D22" s="22">
        <f>IF(C22="","",VLOOKUP(C22,'_Données Employés'!$B$5:$S$114,3,FALSE))</f>
        <v/>
      </c>
      <c r="E22" s="22">
        <f>IF(C22="","",VLOOKUP(C22,'_Données Employés'!$B$5:$S$114,9,FALSE))</f>
        <v/>
      </c>
      <c r="F22" s="22" t="n"/>
      <c r="G22" s="22" t="n"/>
      <c r="H22" s="22" t="n"/>
      <c r="I22" s="22" t="n"/>
      <c r="J22" s="18">
        <f>IF(OR(G22="",H22=""),"",IFERROR(H22-G22,0))</f>
        <v/>
      </c>
      <c r="K22" s="22">
        <f>IF(G22="","",IFERROR(I22/G22,0))</f>
        <v/>
      </c>
      <c r="L22" s="22" t="n"/>
      <c r="M22" s="22" t="n"/>
    </row>
    <row r="23" ht="22" customHeight="1">
      <c r="B23" s="21">
        <f>IF(C23="","EVO"&amp;TEXT(COUNTA($C$5:C23),"000"))</f>
        <v/>
      </c>
      <c r="C23" s="21" t="n"/>
      <c r="D23" s="21">
        <f>IF(C23="","",VLOOKUP(C23,'_Données Employés'!$B$5:$S$114,3,FALSE))</f>
        <v/>
      </c>
      <c r="E23" s="21">
        <f>IF(C23="","",VLOOKUP(C23,'_Données Employés'!$B$5:$S$114,9,FALSE))</f>
        <v/>
      </c>
      <c r="F23" s="21" t="n"/>
      <c r="G23" s="21" t="n"/>
      <c r="H23" s="21" t="n"/>
      <c r="I23" s="21" t="n"/>
      <c r="J23" s="16">
        <f>IF(OR(G23="",H23=""),"",IFERROR(H23-G23,0))</f>
        <v/>
      </c>
      <c r="K23" s="21">
        <f>IF(G23="","",IFERROR(I23/G23,0))</f>
        <v/>
      </c>
      <c r="L23" s="21" t="n"/>
      <c r="M23" s="21" t="n"/>
    </row>
    <row r="24" ht="22" customHeight="1">
      <c r="B24" s="22">
        <f>IF(C24="","EVO"&amp;TEXT(COUNTA($C$5:C24),"000"))</f>
        <v/>
      </c>
      <c r="C24" s="22" t="n"/>
      <c r="D24" s="22">
        <f>IF(C24="","",VLOOKUP(C24,'_Données Employés'!$B$5:$S$114,3,FALSE))</f>
        <v/>
      </c>
      <c r="E24" s="22">
        <f>IF(C24="","",VLOOKUP(C24,'_Données Employés'!$B$5:$S$114,9,FALSE))</f>
        <v/>
      </c>
      <c r="F24" s="22" t="n"/>
      <c r="G24" s="22" t="n"/>
      <c r="H24" s="22" t="n"/>
      <c r="I24" s="22" t="n"/>
      <c r="J24" s="18">
        <f>IF(OR(G24="",H24=""),"",IFERROR(H24-G24,0))</f>
        <v/>
      </c>
      <c r="K24" s="22">
        <f>IF(G24="","",IFERROR(I24/G24,0))</f>
        <v/>
      </c>
      <c r="L24" s="22" t="n"/>
      <c r="M24" s="22" t="n"/>
    </row>
    <row r="25" ht="22" customHeight="1">
      <c r="B25" s="21">
        <f>IF(C25="","EVO"&amp;TEXT(COUNTA($C$5:C25),"000"))</f>
        <v/>
      </c>
      <c r="C25" s="21" t="n"/>
      <c r="D25" s="21">
        <f>IF(C25="","",VLOOKUP(C25,'_Données Employés'!$B$5:$S$114,3,FALSE))</f>
        <v/>
      </c>
      <c r="E25" s="21">
        <f>IF(C25="","",VLOOKUP(C25,'_Données Employés'!$B$5:$S$114,9,FALSE))</f>
        <v/>
      </c>
      <c r="F25" s="21" t="n"/>
      <c r="G25" s="21" t="n"/>
      <c r="H25" s="21" t="n"/>
      <c r="I25" s="21" t="n"/>
      <c r="J25" s="16">
        <f>IF(OR(G25="",H25=""),"",IFERROR(H25-G25,0))</f>
        <v/>
      </c>
      <c r="K25" s="21">
        <f>IF(G25="","",IFERROR(I25/G25,0))</f>
        <v/>
      </c>
      <c r="L25" s="21" t="n"/>
      <c r="M25" s="21" t="n"/>
    </row>
    <row r="26" ht="22" customHeight="1">
      <c r="B26" s="22">
        <f>IF(C26="","EVO"&amp;TEXT(COUNTA($C$5:C26),"000"))</f>
        <v/>
      </c>
      <c r="C26" s="22" t="n"/>
      <c r="D26" s="22">
        <f>IF(C26="","",VLOOKUP(C26,'_Données Employés'!$B$5:$S$114,3,FALSE))</f>
        <v/>
      </c>
      <c r="E26" s="22">
        <f>IF(C26="","",VLOOKUP(C26,'_Données Employés'!$B$5:$S$114,9,FALSE))</f>
        <v/>
      </c>
      <c r="F26" s="22" t="n"/>
      <c r="G26" s="22" t="n"/>
      <c r="H26" s="22" t="n"/>
      <c r="I26" s="22" t="n"/>
      <c r="J26" s="18">
        <f>IF(OR(G26="",H26=""),"",IFERROR(H26-G26,0))</f>
        <v/>
      </c>
      <c r="K26" s="22">
        <f>IF(G26="","",IFERROR(I26/G26,0))</f>
        <v/>
      </c>
      <c r="L26" s="22" t="n"/>
      <c r="M26" s="22" t="n"/>
    </row>
    <row r="27" ht="22" customHeight="1">
      <c r="B27" s="21">
        <f>IF(C27="","EVO"&amp;TEXT(COUNTA($C$5:C27),"000"))</f>
        <v/>
      </c>
      <c r="C27" s="21" t="n"/>
      <c r="D27" s="21">
        <f>IF(C27="","",VLOOKUP(C27,'_Données Employés'!$B$5:$S$114,3,FALSE))</f>
        <v/>
      </c>
      <c r="E27" s="21">
        <f>IF(C27="","",VLOOKUP(C27,'_Données Employés'!$B$5:$S$114,9,FALSE))</f>
        <v/>
      </c>
      <c r="F27" s="21" t="n"/>
      <c r="G27" s="21" t="n"/>
      <c r="H27" s="21" t="n"/>
      <c r="I27" s="21" t="n"/>
      <c r="J27" s="16">
        <f>IF(OR(G27="",H27=""),"",IFERROR(H27-G27,0))</f>
        <v/>
      </c>
      <c r="K27" s="21">
        <f>IF(G27="","",IFERROR(I27/G27,0))</f>
        <v/>
      </c>
      <c r="L27" s="21" t="n"/>
      <c r="M27" s="21" t="n"/>
    </row>
    <row r="28" ht="22" customHeight="1">
      <c r="B28" s="22">
        <f>IF(C28="","EVO"&amp;TEXT(COUNTA($C$5:C28),"000"))</f>
        <v/>
      </c>
      <c r="C28" s="22" t="n"/>
      <c r="D28" s="22">
        <f>IF(C28="","",VLOOKUP(C28,'_Données Employés'!$B$5:$S$114,3,FALSE))</f>
        <v/>
      </c>
      <c r="E28" s="22">
        <f>IF(C28="","",VLOOKUP(C28,'_Données Employés'!$B$5:$S$114,9,FALSE))</f>
        <v/>
      </c>
      <c r="F28" s="22" t="n"/>
      <c r="G28" s="22" t="n"/>
      <c r="H28" s="22" t="n"/>
      <c r="I28" s="22" t="n"/>
      <c r="J28" s="18">
        <f>IF(OR(G28="",H28=""),"",IFERROR(H28-G28,0))</f>
        <v/>
      </c>
      <c r="K28" s="22">
        <f>IF(G28="","",IFERROR(I28/G28,0))</f>
        <v/>
      </c>
      <c r="L28" s="22" t="n"/>
      <c r="M28" s="22" t="n"/>
    </row>
    <row r="29" ht="22" customHeight="1">
      <c r="B29" s="21">
        <f>IF(C29="","EVO"&amp;TEXT(COUNTA($C$5:C29),"000"))</f>
        <v/>
      </c>
      <c r="C29" s="21" t="n"/>
      <c r="D29" s="21">
        <f>IF(C29="","",VLOOKUP(C29,'_Données Employés'!$B$5:$S$114,3,FALSE))</f>
        <v/>
      </c>
      <c r="E29" s="21">
        <f>IF(C29="","",VLOOKUP(C29,'_Données Employés'!$B$5:$S$114,9,FALSE))</f>
        <v/>
      </c>
      <c r="F29" s="21" t="n"/>
      <c r="G29" s="21" t="n"/>
      <c r="H29" s="21" t="n"/>
      <c r="I29" s="21" t="n"/>
      <c r="J29" s="16">
        <f>IF(OR(G29="",H29=""),"",IFERROR(H29-G29,0))</f>
        <v/>
      </c>
      <c r="K29" s="21">
        <f>IF(G29="","",IFERROR(I29/G29,0))</f>
        <v/>
      </c>
      <c r="L29" s="21" t="n"/>
      <c r="M29" s="21" t="n"/>
    </row>
    <row r="30" ht="22" customHeight="1">
      <c r="B30" s="22">
        <f>IF(C30="","EVO"&amp;TEXT(COUNTA($C$5:C30),"000"))</f>
        <v/>
      </c>
      <c r="C30" s="22" t="n"/>
      <c r="D30" s="22">
        <f>IF(C30="","",VLOOKUP(C30,'_Données Employés'!$B$5:$S$114,3,FALSE))</f>
        <v/>
      </c>
      <c r="E30" s="22">
        <f>IF(C30="","",VLOOKUP(C30,'_Données Employés'!$B$5:$S$114,9,FALSE))</f>
        <v/>
      </c>
      <c r="F30" s="22" t="n"/>
      <c r="G30" s="22" t="n"/>
      <c r="H30" s="22" t="n"/>
      <c r="I30" s="22" t="n"/>
      <c r="J30" s="18">
        <f>IF(OR(G30="",H30=""),"",IFERROR(H30-G30,0))</f>
        <v/>
      </c>
      <c r="K30" s="22">
        <f>IF(G30="","",IFERROR(I30/G30,0))</f>
        <v/>
      </c>
      <c r="L30" s="22" t="n"/>
      <c r="M30" s="22" t="n"/>
    </row>
    <row r="31" ht="22" customHeight="1">
      <c r="B31" s="21">
        <f>IF(C31="","EVO"&amp;TEXT(COUNTA($C$5:C31),"000"))</f>
        <v/>
      </c>
      <c r="C31" s="21" t="n"/>
      <c r="D31" s="21">
        <f>IF(C31="","",VLOOKUP(C31,'_Données Employés'!$B$5:$S$114,3,FALSE))</f>
        <v/>
      </c>
      <c r="E31" s="21">
        <f>IF(C31="","",VLOOKUP(C31,'_Données Employés'!$B$5:$S$114,9,FALSE))</f>
        <v/>
      </c>
      <c r="F31" s="21" t="n"/>
      <c r="G31" s="21" t="n"/>
      <c r="H31" s="21" t="n"/>
      <c r="I31" s="21" t="n"/>
      <c r="J31" s="16">
        <f>IF(OR(G31="",H31=""),"",IFERROR(H31-G31,0))</f>
        <v/>
      </c>
      <c r="K31" s="21">
        <f>IF(G31="","",IFERROR(I31/G31,0))</f>
        <v/>
      </c>
      <c r="L31" s="21" t="n"/>
      <c r="M31" s="21" t="n"/>
    </row>
    <row r="32" ht="22" customHeight="1">
      <c r="B32" s="22">
        <f>IF(C32="","EVO"&amp;TEXT(COUNTA($C$5:C32),"000"))</f>
        <v/>
      </c>
      <c r="C32" s="22" t="n"/>
      <c r="D32" s="22">
        <f>IF(C32="","",VLOOKUP(C32,'_Données Employés'!$B$5:$S$114,3,FALSE))</f>
        <v/>
      </c>
      <c r="E32" s="22">
        <f>IF(C32="","",VLOOKUP(C32,'_Données Employés'!$B$5:$S$114,9,FALSE))</f>
        <v/>
      </c>
      <c r="F32" s="22" t="n"/>
      <c r="G32" s="22" t="n"/>
      <c r="H32" s="22" t="n"/>
      <c r="I32" s="22" t="n"/>
      <c r="J32" s="18">
        <f>IF(OR(G32="",H32=""),"",IFERROR(H32-G32,0))</f>
        <v/>
      </c>
      <c r="K32" s="22">
        <f>IF(G32="","",IFERROR(I32/G32,0))</f>
        <v/>
      </c>
      <c r="L32" s="22" t="n"/>
      <c r="M32" s="22" t="n"/>
    </row>
    <row r="33" ht="22" customHeight="1">
      <c r="B33" s="21">
        <f>IF(C33="","EVO"&amp;TEXT(COUNTA($C$5:C33),"000"))</f>
        <v/>
      </c>
      <c r="C33" s="21" t="n"/>
      <c r="D33" s="21">
        <f>IF(C33="","",VLOOKUP(C33,'_Données Employés'!$B$5:$S$114,3,FALSE))</f>
        <v/>
      </c>
      <c r="E33" s="21">
        <f>IF(C33="","",VLOOKUP(C33,'_Données Employés'!$B$5:$S$114,9,FALSE))</f>
        <v/>
      </c>
      <c r="F33" s="21" t="n"/>
      <c r="G33" s="21" t="n"/>
      <c r="H33" s="21" t="n"/>
      <c r="I33" s="21" t="n"/>
      <c r="J33" s="16">
        <f>IF(OR(G33="",H33=""),"",IFERROR(H33-G33,0))</f>
        <v/>
      </c>
      <c r="K33" s="21">
        <f>IF(G33="","",IFERROR(I33/G33,0))</f>
        <v/>
      </c>
      <c r="L33" s="21" t="n"/>
      <c r="M33" s="21" t="n"/>
    </row>
    <row r="34" ht="22" customHeight="1">
      <c r="B34" s="22">
        <f>IF(C34="","EVO"&amp;TEXT(COUNTA($C$5:C34),"000"))</f>
        <v/>
      </c>
      <c r="C34" s="22" t="n"/>
      <c r="D34" s="22">
        <f>IF(C34="","",VLOOKUP(C34,'_Données Employés'!$B$5:$S$114,3,FALSE))</f>
        <v/>
      </c>
      <c r="E34" s="22">
        <f>IF(C34="","",VLOOKUP(C34,'_Données Employés'!$B$5:$S$114,9,FALSE))</f>
        <v/>
      </c>
      <c r="F34" s="22" t="n"/>
      <c r="G34" s="22" t="n"/>
      <c r="H34" s="22" t="n"/>
      <c r="I34" s="22" t="n"/>
      <c r="J34" s="18">
        <f>IF(OR(G34="",H34=""),"",IFERROR(H34-G34,0))</f>
        <v/>
      </c>
      <c r="K34" s="22">
        <f>IF(G34="","",IFERROR(I34/G34,0))</f>
        <v/>
      </c>
      <c r="L34" s="22" t="n"/>
      <c r="M34" s="22" t="n"/>
    </row>
    <row r="35" ht="22" customHeight="1">
      <c r="B35" s="21">
        <f>IF(C35="","EVO"&amp;TEXT(COUNTA($C$5:C35),"000"))</f>
        <v/>
      </c>
      <c r="C35" s="21" t="n"/>
      <c r="D35" s="21">
        <f>IF(C35="","",VLOOKUP(C35,'_Données Employés'!$B$5:$S$114,3,FALSE))</f>
        <v/>
      </c>
      <c r="E35" s="21">
        <f>IF(C35="","",VLOOKUP(C35,'_Données Employés'!$B$5:$S$114,9,FALSE))</f>
        <v/>
      </c>
      <c r="F35" s="21" t="n"/>
      <c r="G35" s="21" t="n"/>
      <c r="H35" s="21" t="n"/>
      <c r="I35" s="21" t="n"/>
      <c r="J35" s="16">
        <f>IF(OR(G35="",H35=""),"",IFERROR(H35-G35,0))</f>
        <v/>
      </c>
      <c r="K35" s="21">
        <f>IF(G35="","",IFERROR(I35/G35,0))</f>
        <v/>
      </c>
      <c r="L35" s="21" t="n"/>
      <c r="M35" s="21" t="n"/>
    </row>
    <row r="36" ht="22" customHeight="1">
      <c r="B36" s="22">
        <f>IF(C36="","EVO"&amp;TEXT(COUNTA($C$5:C36),"000"))</f>
        <v/>
      </c>
      <c r="C36" s="22" t="n"/>
      <c r="D36" s="22">
        <f>IF(C36="","",VLOOKUP(C36,'_Données Employés'!$B$5:$S$114,3,FALSE))</f>
        <v/>
      </c>
      <c r="E36" s="22">
        <f>IF(C36="","",VLOOKUP(C36,'_Données Employés'!$B$5:$S$114,9,FALSE))</f>
        <v/>
      </c>
      <c r="F36" s="22" t="n"/>
      <c r="G36" s="22" t="n"/>
      <c r="H36" s="22" t="n"/>
      <c r="I36" s="22" t="n"/>
      <c r="J36" s="18">
        <f>IF(OR(G36="",H36=""),"",IFERROR(H36-G36,0))</f>
        <v/>
      </c>
      <c r="K36" s="22">
        <f>IF(G36="","",IFERROR(I36/G36,0))</f>
        <v/>
      </c>
      <c r="L36" s="22" t="n"/>
      <c r="M36" s="22" t="n"/>
    </row>
    <row r="37" ht="22" customHeight="1">
      <c r="B37" s="21">
        <f>IF(C37="","EVO"&amp;TEXT(COUNTA($C$5:C37),"000"))</f>
        <v/>
      </c>
      <c r="C37" s="21" t="n"/>
      <c r="D37" s="21">
        <f>IF(C37="","",VLOOKUP(C37,'_Données Employés'!$B$5:$S$114,3,FALSE))</f>
        <v/>
      </c>
      <c r="E37" s="21">
        <f>IF(C37="","",VLOOKUP(C37,'_Données Employés'!$B$5:$S$114,9,FALSE))</f>
        <v/>
      </c>
      <c r="F37" s="21" t="n"/>
      <c r="G37" s="21" t="n"/>
      <c r="H37" s="21" t="n"/>
      <c r="I37" s="21" t="n"/>
      <c r="J37" s="16">
        <f>IF(OR(G37="",H37=""),"",IFERROR(H37-G37,0))</f>
        <v/>
      </c>
      <c r="K37" s="21">
        <f>IF(G37="","",IFERROR(I37/G37,0))</f>
        <v/>
      </c>
      <c r="L37" s="21" t="n"/>
      <c r="M37" s="21" t="n"/>
    </row>
    <row r="38" ht="22" customHeight="1">
      <c r="B38" s="22">
        <f>IF(C38="","EVO"&amp;TEXT(COUNTA($C$5:C38),"000"))</f>
        <v/>
      </c>
      <c r="C38" s="22" t="n"/>
      <c r="D38" s="22">
        <f>IF(C38="","",VLOOKUP(C38,'_Données Employés'!$B$5:$S$114,3,FALSE))</f>
        <v/>
      </c>
      <c r="E38" s="22">
        <f>IF(C38="","",VLOOKUP(C38,'_Données Employés'!$B$5:$S$114,9,FALSE))</f>
        <v/>
      </c>
      <c r="F38" s="22" t="n"/>
      <c r="G38" s="22" t="n"/>
      <c r="H38" s="22" t="n"/>
      <c r="I38" s="22" t="n"/>
      <c r="J38" s="18">
        <f>IF(OR(G38="",H38=""),"",IFERROR(H38-G38,0))</f>
        <v/>
      </c>
      <c r="K38" s="22">
        <f>IF(G38="","",IFERROR(I38/G38,0))</f>
        <v/>
      </c>
      <c r="L38" s="22" t="n"/>
      <c r="M38" s="22" t="n"/>
    </row>
    <row r="39" ht="22" customHeight="1">
      <c r="B39" s="21">
        <f>IF(C39="","EVO"&amp;TEXT(COUNTA($C$5:C39),"000"))</f>
        <v/>
      </c>
      <c r="C39" s="21" t="n"/>
      <c r="D39" s="21">
        <f>IF(C39="","",VLOOKUP(C39,'_Données Employés'!$B$5:$S$114,3,FALSE))</f>
        <v/>
      </c>
      <c r="E39" s="21">
        <f>IF(C39="","",VLOOKUP(C39,'_Données Employés'!$B$5:$S$114,9,FALSE))</f>
        <v/>
      </c>
      <c r="F39" s="21" t="n"/>
      <c r="G39" s="21" t="n"/>
      <c r="H39" s="21" t="n"/>
      <c r="I39" s="21" t="n"/>
      <c r="J39" s="16">
        <f>IF(OR(G39="",H39=""),"",IFERROR(H39-G39,0))</f>
        <v/>
      </c>
      <c r="K39" s="21">
        <f>IF(G39="","",IFERROR(I39/G39,0))</f>
        <v/>
      </c>
      <c r="L39" s="21" t="n"/>
      <c r="M39" s="21" t="n"/>
    </row>
    <row r="40" ht="22" customHeight="1">
      <c r="B40" s="22">
        <f>IF(C40="","EVO"&amp;TEXT(COUNTA($C$5:C40),"000"))</f>
        <v/>
      </c>
      <c r="C40" s="22" t="n"/>
      <c r="D40" s="22">
        <f>IF(C40="","",VLOOKUP(C40,'_Données Employés'!$B$5:$S$114,3,FALSE))</f>
        <v/>
      </c>
      <c r="E40" s="22">
        <f>IF(C40="","",VLOOKUP(C40,'_Données Employés'!$B$5:$S$114,9,FALSE))</f>
        <v/>
      </c>
      <c r="F40" s="22" t="n"/>
      <c r="G40" s="22" t="n"/>
      <c r="H40" s="22" t="n"/>
      <c r="I40" s="22" t="n"/>
      <c r="J40" s="18">
        <f>IF(OR(G40="",H40=""),"",IFERROR(H40-G40,0))</f>
        <v/>
      </c>
      <c r="K40" s="22">
        <f>IF(G40="","",IFERROR(I40/G40,0))</f>
        <v/>
      </c>
      <c r="L40" s="22" t="n"/>
      <c r="M40" s="22" t="n"/>
    </row>
    <row r="41" ht="22" customHeight="1">
      <c r="B41" s="21">
        <f>IF(C41="","EVO"&amp;TEXT(COUNTA($C$5:C41),"000"))</f>
        <v/>
      </c>
      <c r="C41" s="21" t="n"/>
      <c r="D41" s="21">
        <f>IF(C41="","",VLOOKUP(C41,'_Données Employés'!$B$5:$S$114,3,FALSE))</f>
        <v/>
      </c>
      <c r="E41" s="21">
        <f>IF(C41="","",VLOOKUP(C41,'_Données Employés'!$B$5:$S$114,9,FALSE))</f>
        <v/>
      </c>
      <c r="F41" s="21" t="n"/>
      <c r="G41" s="21" t="n"/>
      <c r="H41" s="21" t="n"/>
      <c r="I41" s="21" t="n"/>
      <c r="J41" s="16">
        <f>IF(OR(G41="",H41=""),"",IFERROR(H41-G41,0))</f>
        <v/>
      </c>
      <c r="K41" s="21">
        <f>IF(G41="","",IFERROR(I41/G41,0))</f>
        <v/>
      </c>
      <c r="L41" s="21" t="n"/>
      <c r="M41" s="21" t="n"/>
    </row>
    <row r="42" ht="22" customHeight="1">
      <c r="B42" s="22">
        <f>IF(C42="","EVO"&amp;TEXT(COUNTA($C$5:C42),"000"))</f>
        <v/>
      </c>
      <c r="C42" s="22" t="n"/>
      <c r="D42" s="22">
        <f>IF(C42="","",VLOOKUP(C42,'_Données Employés'!$B$5:$S$114,3,FALSE))</f>
        <v/>
      </c>
      <c r="E42" s="22">
        <f>IF(C42="","",VLOOKUP(C42,'_Données Employés'!$B$5:$S$114,9,FALSE))</f>
        <v/>
      </c>
      <c r="F42" s="22" t="n"/>
      <c r="G42" s="22" t="n"/>
      <c r="H42" s="22" t="n"/>
      <c r="I42" s="22" t="n"/>
      <c r="J42" s="18">
        <f>IF(OR(G42="",H42=""),"",IFERROR(H42-G42,0))</f>
        <v/>
      </c>
      <c r="K42" s="22">
        <f>IF(G42="","",IFERROR(I42/G42,0))</f>
        <v/>
      </c>
      <c r="L42" s="22" t="n"/>
      <c r="M42" s="22" t="n"/>
    </row>
    <row r="43" ht="22" customHeight="1">
      <c r="B43" s="21">
        <f>IF(C43="","EVO"&amp;TEXT(COUNTA($C$5:C43),"000"))</f>
        <v/>
      </c>
      <c r="C43" s="21" t="n"/>
      <c r="D43" s="21">
        <f>IF(C43="","",VLOOKUP(C43,'_Données Employés'!$B$5:$S$114,3,FALSE))</f>
        <v/>
      </c>
      <c r="E43" s="21">
        <f>IF(C43="","",VLOOKUP(C43,'_Données Employés'!$B$5:$S$114,9,FALSE))</f>
        <v/>
      </c>
      <c r="F43" s="21" t="n"/>
      <c r="G43" s="21" t="n"/>
      <c r="H43" s="21" t="n"/>
      <c r="I43" s="21" t="n"/>
      <c r="J43" s="16">
        <f>IF(OR(G43="",H43=""),"",IFERROR(H43-G43,0))</f>
        <v/>
      </c>
      <c r="K43" s="21">
        <f>IF(G43="","",IFERROR(I43/G43,0))</f>
        <v/>
      </c>
      <c r="L43" s="21" t="n"/>
      <c r="M43" s="21" t="n"/>
    </row>
    <row r="44" ht="22" customHeight="1">
      <c r="B44" s="22">
        <f>IF(C44="","EVO"&amp;TEXT(COUNTA($C$5:C44),"000"))</f>
        <v/>
      </c>
      <c r="C44" s="22" t="n"/>
      <c r="D44" s="22">
        <f>IF(C44="","",VLOOKUP(C44,'_Données Employés'!$B$5:$S$114,3,FALSE))</f>
        <v/>
      </c>
      <c r="E44" s="22">
        <f>IF(C44="","",VLOOKUP(C44,'_Données Employés'!$B$5:$S$114,9,FALSE))</f>
        <v/>
      </c>
      <c r="F44" s="22" t="n"/>
      <c r="G44" s="22" t="n"/>
      <c r="H44" s="22" t="n"/>
      <c r="I44" s="22" t="n"/>
      <c r="J44" s="18">
        <f>IF(OR(G44="",H44=""),"",IFERROR(H44-G44,0))</f>
        <v/>
      </c>
      <c r="K44" s="22">
        <f>IF(G44="","",IFERROR(I44/G44,0))</f>
        <v/>
      </c>
      <c r="L44" s="22" t="n"/>
      <c r="M44" s="22" t="n"/>
    </row>
    <row r="45" ht="22" customHeight="1">
      <c r="B45" s="21">
        <f>IF(C45="","EVO"&amp;TEXT(COUNTA($C$5:C45),"000"))</f>
        <v/>
      </c>
      <c r="C45" s="21" t="n"/>
      <c r="D45" s="21">
        <f>IF(C45="","",VLOOKUP(C45,'_Données Employés'!$B$5:$S$114,3,FALSE))</f>
        <v/>
      </c>
      <c r="E45" s="21">
        <f>IF(C45="","",VLOOKUP(C45,'_Données Employés'!$B$5:$S$114,9,FALSE))</f>
        <v/>
      </c>
      <c r="F45" s="21" t="n"/>
      <c r="G45" s="21" t="n"/>
      <c r="H45" s="21" t="n"/>
      <c r="I45" s="21" t="n"/>
      <c r="J45" s="16">
        <f>IF(OR(G45="",H45=""),"",IFERROR(H45-G45,0))</f>
        <v/>
      </c>
      <c r="K45" s="21">
        <f>IF(G45="","",IFERROR(I45/G45,0))</f>
        <v/>
      </c>
      <c r="L45" s="21" t="n"/>
      <c r="M45" s="21" t="n"/>
    </row>
    <row r="46" ht="22" customHeight="1">
      <c r="B46" s="22">
        <f>IF(C46="","EVO"&amp;TEXT(COUNTA($C$5:C46),"000"))</f>
        <v/>
      </c>
      <c r="C46" s="22" t="n"/>
      <c r="D46" s="22">
        <f>IF(C46="","",VLOOKUP(C46,'_Données Employés'!$B$5:$S$114,3,FALSE))</f>
        <v/>
      </c>
      <c r="E46" s="22">
        <f>IF(C46="","",VLOOKUP(C46,'_Données Employés'!$B$5:$S$114,9,FALSE))</f>
        <v/>
      </c>
      <c r="F46" s="22" t="n"/>
      <c r="G46" s="22" t="n"/>
      <c r="H46" s="22" t="n"/>
      <c r="I46" s="22" t="n"/>
      <c r="J46" s="18">
        <f>IF(OR(G46="",H46=""),"",IFERROR(H46-G46,0))</f>
        <v/>
      </c>
      <c r="K46" s="22">
        <f>IF(G46="","",IFERROR(I46/G46,0))</f>
        <v/>
      </c>
      <c r="L46" s="22" t="n"/>
      <c r="M46" s="22" t="n"/>
    </row>
    <row r="47" ht="22" customHeight="1">
      <c r="B47" s="21">
        <f>IF(C47="","EVO"&amp;TEXT(COUNTA($C$5:C47),"000"))</f>
        <v/>
      </c>
      <c r="C47" s="21" t="n"/>
      <c r="D47" s="21">
        <f>IF(C47="","",VLOOKUP(C47,'_Données Employés'!$B$5:$S$114,3,FALSE))</f>
        <v/>
      </c>
      <c r="E47" s="21">
        <f>IF(C47="","",VLOOKUP(C47,'_Données Employés'!$B$5:$S$114,9,FALSE))</f>
        <v/>
      </c>
      <c r="F47" s="21" t="n"/>
      <c r="G47" s="21" t="n"/>
      <c r="H47" s="21" t="n"/>
      <c r="I47" s="21" t="n"/>
      <c r="J47" s="16">
        <f>IF(OR(G47="",H47=""),"",IFERROR(H47-G47,0))</f>
        <v/>
      </c>
      <c r="K47" s="21">
        <f>IF(G47="","",IFERROR(I47/G47,0))</f>
        <v/>
      </c>
      <c r="L47" s="21" t="n"/>
      <c r="M47" s="21" t="n"/>
    </row>
    <row r="48" ht="22" customHeight="1">
      <c r="B48" s="22">
        <f>IF(C48="","EVO"&amp;TEXT(COUNTA($C$5:C48),"000"))</f>
        <v/>
      </c>
      <c r="C48" s="22" t="n"/>
      <c r="D48" s="22">
        <f>IF(C48="","",VLOOKUP(C48,'_Données Employés'!$B$5:$S$114,3,FALSE))</f>
        <v/>
      </c>
      <c r="E48" s="22">
        <f>IF(C48="","",VLOOKUP(C48,'_Données Employés'!$B$5:$S$114,9,FALSE))</f>
        <v/>
      </c>
      <c r="F48" s="22" t="n"/>
      <c r="G48" s="22" t="n"/>
      <c r="H48" s="22" t="n"/>
      <c r="I48" s="22" t="n"/>
      <c r="J48" s="18">
        <f>IF(OR(G48="",H48=""),"",IFERROR(H48-G48,0))</f>
        <v/>
      </c>
      <c r="K48" s="22">
        <f>IF(G48="","",IFERROR(I48/G48,0))</f>
        <v/>
      </c>
      <c r="L48" s="22" t="n"/>
      <c r="M48" s="22" t="n"/>
    </row>
    <row r="49" ht="22" customHeight="1">
      <c r="B49" s="21">
        <f>IF(C49="","EVO"&amp;TEXT(COUNTA($C$5:C49),"000"))</f>
        <v/>
      </c>
      <c r="C49" s="21" t="n"/>
      <c r="D49" s="21">
        <f>IF(C49="","",VLOOKUP(C49,'_Données Employés'!$B$5:$S$114,3,FALSE))</f>
        <v/>
      </c>
      <c r="E49" s="21">
        <f>IF(C49="","",VLOOKUP(C49,'_Données Employés'!$B$5:$S$114,9,FALSE))</f>
        <v/>
      </c>
      <c r="F49" s="21" t="n"/>
      <c r="G49" s="21" t="n"/>
      <c r="H49" s="21" t="n"/>
      <c r="I49" s="21" t="n"/>
      <c r="J49" s="16">
        <f>IF(OR(G49="",H49=""),"",IFERROR(H49-G49,0))</f>
        <v/>
      </c>
      <c r="K49" s="21">
        <f>IF(G49="","",IFERROR(I49/G49,0))</f>
        <v/>
      </c>
      <c r="L49" s="21" t="n"/>
      <c r="M49" s="21" t="n"/>
    </row>
    <row r="50" ht="22" customHeight="1">
      <c r="B50" s="22">
        <f>IF(C50="","EVO"&amp;TEXT(COUNTA($C$5:C50),"000"))</f>
        <v/>
      </c>
      <c r="C50" s="22" t="n"/>
      <c r="D50" s="22">
        <f>IF(C50="","",VLOOKUP(C50,'_Données Employés'!$B$5:$S$114,3,FALSE))</f>
        <v/>
      </c>
      <c r="E50" s="22">
        <f>IF(C50="","",VLOOKUP(C50,'_Données Employés'!$B$5:$S$114,9,FALSE))</f>
        <v/>
      </c>
      <c r="F50" s="22" t="n"/>
      <c r="G50" s="22" t="n"/>
      <c r="H50" s="22" t="n"/>
      <c r="I50" s="22" t="n"/>
      <c r="J50" s="18">
        <f>IF(OR(G50="",H50=""),"",IFERROR(H50-G50,0))</f>
        <v/>
      </c>
      <c r="K50" s="22">
        <f>IF(G50="","",IFERROR(I50/G50,0))</f>
        <v/>
      </c>
      <c r="L50" s="22" t="n"/>
      <c r="M50" s="22" t="n"/>
    </row>
    <row r="51" ht="22" customHeight="1">
      <c r="B51" s="21">
        <f>IF(C51="","EVO"&amp;TEXT(COUNTA($C$5:C51),"000"))</f>
        <v/>
      </c>
      <c r="C51" s="21" t="n"/>
      <c r="D51" s="21">
        <f>IF(C51="","",VLOOKUP(C51,'_Données Employés'!$B$5:$S$114,3,FALSE))</f>
        <v/>
      </c>
      <c r="E51" s="21">
        <f>IF(C51="","",VLOOKUP(C51,'_Données Employés'!$B$5:$S$114,9,FALSE))</f>
        <v/>
      </c>
      <c r="F51" s="21" t="n"/>
      <c r="G51" s="21" t="n"/>
      <c r="H51" s="21" t="n"/>
      <c r="I51" s="21" t="n"/>
      <c r="J51" s="16">
        <f>IF(OR(G51="",H51=""),"",IFERROR(H51-G51,0))</f>
        <v/>
      </c>
      <c r="K51" s="21">
        <f>IF(G51="","",IFERROR(I51/G51,0))</f>
        <v/>
      </c>
      <c r="L51" s="21" t="n"/>
      <c r="M51" s="21" t="n"/>
    </row>
    <row r="52" ht="22" customHeight="1">
      <c r="B52" s="22">
        <f>IF(C52="","EVO"&amp;TEXT(COUNTA($C$5:C52),"000"))</f>
        <v/>
      </c>
      <c r="C52" s="22" t="n"/>
      <c r="D52" s="22">
        <f>IF(C52="","",VLOOKUP(C52,'_Données Employés'!$B$5:$S$114,3,FALSE))</f>
        <v/>
      </c>
      <c r="E52" s="22">
        <f>IF(C52="","",VLOOKUP(C52,'_Données Employés'!$B$5:$S$114,9,FALSE))</f>
        <v/>
      </c>
      <c r="F52" s="22" t="n"/>
      <c r="G52" s="22" t="n"/>
      <c r="H52" s="22" t="n"/>
      <c r="I52" s="22" t="n"/>
      <c r="J52" s="18">
        <f>IF(OR(G52="",H52=""),"",IFERROR(H52-G52,0))</f>
        <v/>
      </c>
      <c r="K52" s="22">
        <f>IF(G52="","",IFERROR(I52/G52,0))</f>
        <v/>
      </c>
      <c r="L52" s="22" t="n"/>
      <c r="M52" s="22" t="n"/>
    </row>
    <row r="53" ht="22" customHeight="1">
      <c r="B53" s="21">
        <f>IF(C53="","EVO"&amp;TEXT(COUNTA($C$5:C53),"000"))</f>
        <v/>
      </c>
      <c r="C53" s="21" t="n"/>
      <c r="D53" s="21">
        <f>IF(C53="","",VLOOKUP(C53,'_Données Employés'!$B$5:$S$114,3,FALSE))</f>
        <v/>
      </c>
      <c r="E53" s="21">
        <f>IF(C53="","",VLOOKUP(C53,'_Données Employés'!$B$5:$S$114,9,FALSE))</f>
        <v/>
      </c>
      <c r="F53" s="21" t="n"/>
      <c r="G53" s="21" t="n"/>
      <c r="H53" s="21" t="n"/>
      <c r="I53" s="21" t="n"/>
      <c r="J53" s="16">
        <f>IF(OR(G53="",H53=""),"",IFERROR(H53-G53,0))</f>
        <v/>
      </c>
      <c r="K53" s="21">
        <f>IF(G53="","",IFERROR(I53/G53,0))</f>
        <v/>
      </c>
      <c r="L53" s="21" t="n"/>
      <c r="M53" s="21" t="n"/>
    </row>
    <row r="54" ht="22" customHeight="1">
      <c r="B54" s="22">
        <f>IF(C54="","EVO"&amp;TEXT(COUNTA($C$5:C54),"000"))</f>
        <v/>
      </c>
      <c r="C54" s="22" t="n"/>
      <c r="D54" s="22">
        <f>IF(C54="","",VLOOKUP(C54,'_Données Employés'!$B$5:$S$114,3,FALSE))</f>
        <v/>
      </c>
      <c r="E54" s="22">
        <f>IF(C54="","",VLOOKUP(C54,'_Données Employés'!$B$5:$S$114,9,FALSE))</f>
        <v/>
      </c>
      <c r="F54" s="22" t="n"/>
      <c r="G54" s="22" t="n"/>
      <c r="H54" s="22" t="n"/>
      <c r="I54" s="22" t="n"/>
      <c r="J54" s="18">
        <f>IF(OR(G54="",H54=""),"",IFERROR(H54-G54,0))</f>
        <v/>
      </c>
      <c r="K54" s="22">
        <f>IF(G54="","",IFERROR(I54/G54,0))</f>
        <v/>
      </c>
      <c r="L54" s="22" t="n"/>
      <c r="M54" s="22" t="n"/>
    </row>
    <row r="55" ht="22" customHeight="1">
      <c r="B55" s="21">
        <f>IF(C55="","EVO"&amp;TEXT(COUNTA($C$5:C55),"000"))</f>
        <v/>
      </c>
      <c r="C55" s="21" t="n"/>
      <c r="D55" s="21">
        <f>IF(C55="","",VLOOKUP(C55,'_Données Employés'!$B$5:$S$114,3,FALSE))</f>
        <v/>
      </c>
      <c r="E55" s="21">
        <f>IF(C55="","",VLOOKUP(C55,'_Données Employés'!$B$5:$S$114,9,FALSE))</f>
        <v/>
      </c>
      <c r="F55" s="21" t="n"/>
      <c r="G55" s="21" t="n"/>
      <c r="H55" s="21" t="n"/>
      <c r="I55" s="21" t="n"/>
      <c r="J55" s="16">
        <f>IF(OR(G55="",H55=""),"",IFERROR(H55-G55,0))</f>
        <v/>
      </c>
      <c r="K55" s="21">
        <f>IF(G55="","",IFERROR(I55/G55,0))</f>
        <v/>
      </c>
      <c r="L55" s="21" t="n"/>
      <c r="M55" s="21" t="n"/>
    </row>
    <row r="56" ht="22" customHeight="1">
      <c r="B56" s="22">
        <f>IF(C56="","EVO"&amp;TEXT(COUNTA($C$5:C56),"000"))</f>
        <v/>
      </c>
      <c r="C56" s="22" t="n"/>
      <c r="D56" s="22">
        <f>IF(C56="","",VLOOKUP(C56,'_Données Employés'!$B$5:$S$114,3,FALSE))</f>
        <v/>
      </c>
      <c r="E56" s="22">
        <f>IF(C56="","",VLOOKUP(C56,'_Données Employés'!$B$5:$S$114,9,FALSE))</f>
        <v/>
      </c>
      <c r="F56" s="22" t="n"/>
      <c r="G56" s="22" t="n"/>
      <c r="H56" s="22" t="n"/>
      <c r="I56" s="22" t="n"/>
      <c r="J56" s="18">
        <f>IF(OR(G56="",H56=""),"",IFERROR(H56-G56,0))</f>
        <v/>
      </c>
      <c r="K56" s="22">
        <f>IF(G56="","",IFERROR(I56/G56,0))</f>
        <v/>
      </c>
      <c r="L56" s="22" t="n"/>
      <c r="M56" s="22" t="n"/>
    </row>
    <row r="57" ht="22" customHeight="1">
      <c r="B57" s="21">
        <f>IF(C57="","EVO"&amp;TEXT(COUNTA($C$5:C57),"000"))</f>
        <v/>
      </c>
      <c r="C57" s="21" t="n"/>
      <c r="D57" s="21">
        <f>IF(C57="","",VLOOKUP(C57,'_Données Employés'!$B$5:$S$114,3,FALSE))</f>
        <v/>
      </c>
      <c r="E57" s="21">
        <f>IF(C57="","",VLOOKUP(C57,'_Données Employés'!$B$5:$S$114,9,FALSE))</f>
        <v/>
      </c>
      <c r="F57" s="21" t="n"/>
      <c r="G57" s="21" t="n"/>
      <c r="H57" s="21" t="n"/>
      <c r="I57" s="21" t="n"/>
      <c r="J57" s="16">
        <f>IF(OR(G57="",H57=""),"",IFERROR(H57-G57,0))</f>
        <v/>
      </c>
      <c r="K57" s="21">
        <f>IF(G57="","",IFERROR(I57/G57,0))</f>
        <v/>
      </c>
      <c r="L57" s="21" t="n"/>
      <c r="M57" s="21" t="n"/>
    </row>
    <row r="58" ht="22" customHeight="1">
      <c r="B58" s="22">
        <f>IF(C58="","EVO"&amp;TEXT(COUNTA($C$5:C58),"000"))</f>
        <v/>
      </c>
      <c r="C58" s="22" t="n"/>
      <c r="D58" s="22">
        <f>IF(C58="","",VLOOKUP(C58,'_Données Employés'!$B$5:$S$114,3,FALSE))</f>
        <v/>
      </c>
      <c r="E58" s="22">
        <f>IF(C58="","",VLOOKUP(C58,'_Données Employés'!$B$5:$S$114,9,FALSE))</f>
        <v/>
      </c>
      <c r="F58" s="22" t="n"/>
      <c r="G58" s="22" t="n"/>
      <c r="H58" s="22" t="n"/>
      <c r="I58" s="22" t="n"/>
      <c r="J58" s="18">
        <f>IF(OR(G58="",H58=""),"",IFERROR(H58-G58,0))</f>
        <v/>
      </c>
      <c r="K58" s="22">
        <f>IF(G58="","",IFERROR(I58/G58,0))</f>
        <v/>
      </c>
      <c r="L58" s="22" t="n"/>
      <c r="M58" s="22" t="n"/>
    </row>
    <row r="59" ht="22" customHeight="1">
      <c r="B59" s="21">
        <f>IF(C59="","EVO"&amp;TEXT(COUNTA($C$5:C59),"000"))</f>
        <v/>
      </c>
      <c r="C59" s="21" t="n"/>
      <c r="D59" s="21">
        <f>IF(C59="","",VLOOKUP(C59,'_Données Employés'!$B$5:$S$114,3,FALSE))</f>
        <v/>
      </c>
      <c r="E59" s="21">
        <f>IF(C59="","",VLOOKUP(C59,'_Données Employés'!$B$5:$S$114,9,FALSE))</f>
        <v/>
      </c>
      <c r="F59" s="21" t="n"/>
      <c r="G59" s="21" t="n"/>
      <c r="H59" s="21" t="n"/>
      <c r="I59" s="21" t="n"/>
      <c r="J59" s="16">
        <f>IF(OR(G59="",H59=""),"",IFERROR(H59-G59,0))</f>
        <v/>
      </c>
      <c r="K59" s="21">
        <f>IF(G59="","",IFERROR(I59/G59,0))</f>
        <v/>
      </c>
      <c r="L59" s="21" t="n"/>
      <c r="M59" s="21" t="n"/>
    </row>
    <row r="60" ht="22" customHeight="1">
      <c r="B60" s="22">
        <f>IF(C60="","EVO"&amp;TEXT(COUNTA($C$5:C60),"000"))</f>
        <v/>
      </c>
      <c r="C60" s="22" t="n"/>
      <c r="D60" s="22">
        <f>IF(C60="","",VLOOKUP(C60,'_Données Employés'!$B$5:$S$114,3,FALSE))</f>
        <v/>
      </c>
      <c r="E60" s="22">
        <f>IF(C60="","",VLOOKUP(C60,'_Données Employés'!$B$5:$S$114,9,FALSE))</f>
        <v/>
      </c>
      <c r="F60" s="22" t="n"/>
      <c r="G60" s="22" t="n"/>
      <c r="H60" s="22" t="n"/>
      <c r="I60" s="22" t="n"/>
      <c r="J60" s="18">
        <f>IF(OR(G60="",H60=""),"",IFERROR(H60-G60,0))</f>
        <v/>
      </c>
      <c r="K60" s="22">
        <f>IF(G60="","",IFERROR(I60/G60,0))</f>
        <v/>
      </c>
      <c r="L60" s="22" t="n"/>
      <c r="M60" s="22" t="n"/>
    </row>
    <row r="61" ht="22" customHeight="1">
      <c r="B61" s="21">
        <f>IF(C61="","EVO"&amp;TEXT(COUNTA($C$5:C61),"000"))</f>
        <v/>
      </c>
      <c r="C61" s="21" t="n"/>
      <c r="D61" s="21">
        <f>IF(C61="","",VLOOKUP(C61,'_Données Employés'!$B$5:$S$114,3,FALSE))</f>
        <v/>
      </c>
      <c r="E61" s="21">
        <f>IF(C61="","",VLOOKUP(C61,'_Données Employés'!$B$5:$S$114,9,FALSE))</f>
        <v/>
      </c>
      <c r="F61" s="21" t="n"/>
      <c r="G61" s="21" t="n"/>
      <c r="H61" s="21" t="n"/>
      <c r="I61" s="21" t="n"/>
      <c r="J61" s="16">
        <f>IF(OR(G61="",H61=""),"",IFERROR(H61-G61,0))</f>
        <v/>
      </c>
      <c r="K61" s="21">
        <f>IF(G61="","",IFERROR(I61/G61,0))</f>
        <v/>
      </c>
      <c r="L61" s="21" t="n"/>
      <c r="M61" s="21" t="n"/>
    </row>
    <row r="62" ht="22" customHeight="1">
      <c r="B62" s="22">
        <f>IF(C62="","EVO"&amp;TEXT(COUNTA($C$5:C62),"000"))</f>
        <v/>
      </c>
      <c r="C62" s="22" t="n"/>
      <c r="D62" s="22">
        <f>IF(C62="","",VLOOKUP(C62,'_Données Employés'!$B$5:$S$114,3,FALSE))</f>
        <v/>
      </c>
      <c r="E62" s="22">
        <f>IF(C62="","",VLOOKUP(C62,'_Données Employés'!$B$5:$S$114,9,FALSE))</f>
        <v/>
      </c>
      <c r="F62" s="22" t="n"/>
      <c r="G62" s="22" t="n"/>
      <c r="H62" s="22" t="n"/>
      <c r="I62" s="22" t="n"/>
      <c r="J62" s="18">
        <f>IF(OR(G62="",H62=""),"",IFERROR(H62-G62,0))</f>
        <v/>
      </c>
      <c r="K62" s="22">
        <f>IF(G62="","",IFERROR(I62/G62,0))</f>
        <v/>
      </c>
      <c r="L62" s="22" t="n"/>
      <c r="M62" s="22" t="n"/>
    </row>
    <row r="63" ht="22" customHeight="1">
      <c r="B63" s="21">
        <f>IF(C63="","EVO"&amp;TEXT(COUNTA($C$5:C63),"000"))</f>
        <v/>
      </c>
      <c r="C63" s="21" t="n"/>
      <c r="D63" s="21">
        <f>IF(C63="","",VLOOKUP(C63,'_Données Employés'!$B$5:$S$114,3,FALSE))</f>
        <v/>
      </c>
      <c r="E63" s="21">
        <f>IF(C63="","",VLOOKUP(C63,'_Données Employés'!$B$5:$S$114,9,FALSE))</f>
        <v/>
      </c>
      <c r="F63" s="21" t="n"/>
      <c r="G63" s="21" t="n"/>
      <c r="H63" s="21" t="n"/>
      <c r="I63" s="21" t="n"/>
      <c r="J63" s="16">
        <f>IF(OR(G63="",H63=""),"",IFERROR(H63-G63,0))</f>
        <v/>
      </c>
      <c r="K63" s="21">
        <f>IF(G63="","",IFERROR(I63/G63,0))</f>
        <v/>
      </c>
      <c r="L63" s="21" t="n"/>
      <c r="M63" s="21" t="n"/>
    </row>
    <row r="64" ht="22" customHeight="1">
      <c r="B64" s="22">
        <f>IF(C64="","EVO"&amp;TEXT(COUNTA($C$5:C64),"000"))</f>
        <v/>
      </c>
      <c r="C64" s="22" t="n"/>
      <c r="D64" s="22">
        <f>IF(C64="","",VLOOKUP(C64,'_Données Employés'!$B$5:$S$114,3,FALSE))</f>
        <v/>
      </c>
      <c r="E64" s="22">
        <f>IF(C64="","",VLOOKUP(C64,'_Données Employés'!$B$5:$S$114,9,FALSE))</f>
        <v/>
      </c>
      <c r="F64" s="22" t="n"/>
      <c r="G64" s="22" t="n"/>
      <c r="H64" s="22" t="n"/>
      <c r="I64" s="22" t="n"/>
      <c r="J64" s="18">
        <f>IF(OR(G64="",H64=""),"",IFERROR(H64-G64,0))</f>
        <v/>
      </c>
      <c r="K64" s="22">
        <f>IF(G64="","",IFERROR(I64/G64,0))</f>
        <v/>
      </c>
      <c r="L64" s="22" t="n"/>
      <c r="M64" s="22" t="n"/>
    </row>
    <row r="65" ht="22" customHeight="1">
      <c r="B65" s="21">
        <f>IF(C65="","EVO"&amp;TEXT(COUNTA($C$5:C65),"000"))</f>
        <v/>
      </c>
      <c r="C65" s="21" t="n"/>
      <c r="D65" s="21">
        <f>IF(C65="","",VLOOKUP(C65,'_Données Employés'!$B$5:$S$114,3,FALSE))</f>
        <v/>
      </c>
      <c r="E65" s="21">
        <f>IF(C65="","",VLOOKUP(C65,'_Données Employés'!$B$5:$S$114,9,FALSE))</f>
        <v/>
      </c>
      <c r="F65" s="21" t="n"/>
      <c r="G65" s="21" t="n"/>
      <c r="H65" s="21" t="n"/>
      <c r="I65" s="21" t="n"/>
      <c r="J65" s="16">
        <f>IF(OR(G65="",H65=""),"",IFERROR(H65-G65,0))</f>
        <v/>
      </c>
      <c r="K65" s="21">
        <f>IF(G65="","",IFERROR(I65/G65,0))</f>
        <v/>
      </c>
      <c r="L65" s="21" t="n"/>
      <c r="M65" s="21" t="n"/>
    </row>
    <row r="66" ht="22" customHeight="1">
      <c r="B66" s="22">
        <f>IF(C66="","EVO"&amp;TEXT(COUNTA($C$5:C66),"000"))</f>
        <v/>
      </c>
      <c r="C66" s="22" t="n"/>
      <c r="D66" s="22">
        <f>IF(C66="","",VLOOKUP(C66,'_Données Employés'!$B$5:$S$114,3,FALSE))</f>
        <v/>
      </c>
      <c r="E66" s="22">
        <f>IF(C66="","",VLOOKUP(C66,'_Données Employés'!$B$5:$S$114,9,FALSE))</f>
        <v/>
      </c>
      <c r="F66" s="22" t="n"/>
      <c r="G66" s="22" t="n"/>
      <c r="H66" s="22" t="n"/>
      <c r="I66" s="22" t="n"/>
      <c r="J66" s="18">
        <f>IF(OR(G66="",H66=""),"",IFERROR(H66-G66,0))</f>
        <v/>
      </c>
      <c r="K66" s="22">
        <f>IF(G66="","",IFERROR(I66/G66,0))</f>
        <v/>
      </c>
      <c r="L66" s="22" t="n"/>
      <c r="M66" s="22" t="n"/>
    </row>
    <row r="67" ht="22" customHeight="1">
      <c r="B67" s="21">
        <f>IF(C67="","EVO"&amp;TEXT(COUNTA($C$5:C67),"000"))</f>
        <v/>
      </c>
      <c r="C67" s="21" t="n"/>
      <c r="D67" s="21">
        <f>IF(C67="","",VLOOKUP(C67,'_Données Employés'!$B$5:$S$114,3,FALSE))</f>
        <v/>
      </c>
      <c r="E67" s="21">
        <f>IF(C67="","",VLOOKUP(C67,'_Données Employés'!$B$5:$S$114,9,FALSE))</f>
        <v/>
      </c>
      <c r="F67" s="21" t="n"/>
      <c r="G67" s="21" t="n"/>
      <c r="H67" s="21" t="n"/>
      <c r="I67" s="21" t="n"/>
      <c r="J67" s="16">
        <f>IF(OR(G67="",H67=""),"",IFERROR(H67-G67,0))</f>
        <v/>
      </c>
      <c r="K67" s="21">
        <f>IF(G67="","",IFERROR(I67/G67,0))</f>
        <v/>
      </c>
      <c r="L67" s="21" t="n"/>
      <c r="M67" s="21" t="n"/>
    </row>
    <row r="68" ht="22" customHeight="1">
      <c r="B68" s="22">
        <f>IF(C68="","EVO"&amp;TEXT(COUNTA($C$5:C68),"000"))</f>
        <v/>
      </c>
      <c r="C68" s="22" t="n"/>
      <c r="D68" s="22">
        <f>IF(C68="","",VLOOKUP(C68,'_Données Employés'!$B$5:$S$114,3,FALSE))</f>
        <v/>
      </c>
      <c r="E68" s="22">
        <f>IF(C68="","",VLOOKUP(C68,'_Données Employés'!$B$5:$S$114,9,FALSE))</f>
        <v/>
      </c>
      <c r="F68" s="22" t="n"/>
      <c r="G68" s="22" t="n"/>
      <c r="H68" s="22" t="n"/>
      <c r="I68" s="22" t="n"/>
      <c r="J68" s="18">
        <f>IF(OR(G68="",H68=""),"",IFERROR(H68-G68,0))</f>
        <v/>
      </c>
      <c r="K68" s="22">
        <f>IF(G68="","",IFERROR(I68/G68,0))</f>
        <v/>
      </c>
      <c r="L68" s="22" t="n"/>
      <c r="M68" s="22" t="n"/>
    </row>
    <row r="69" ht="22" customHeight="1">
      <c r="B69" s="21">
        <f>IF(C69="","EVO"&amp;TEXT(COUNTA($C$5:C69),"000"))</f>
        <v/>
      </c>
      <c r="C69" s="21" t="n"/>
      <c r="D69" s="21">
        <f>IF(C69="","",VLOOKUP(C69,'_Données Employés'!$B$5:$S$114,3,FALSE))</f>
        <v/>
      </c>
      <c r="E69" s="21">
        <f>IF(C69="","",VLOOKUP(C69,'_Données Employés'!$B$5:$S$114,9,FALSE))</f>
        <v/>
      </c>
      <c r="F69" s="21" t="n"/>
      <c r="G69" s="21" t="n"/>
      <c r="H69" s="21" t="n"/>
      <c r="I69" s="21" t="n"/>
      <c r="J69" s="16">
        <f>IF(OR(G69="",H69=""),"",IFERROR(H69-G69,0))</f>
        <v/>
      </c>
      <c r="K69" s="21">
        <f>IF(G69="","",IFERROR(I69/G69,0))</f>
        <v/>
      </c>
      <c r="L69" s="21" t="n"/>
      <c r="M69" s="21" t="n"/>
    </row>
    <row r="70" ht="22" customHeight="1">
      <c r="B70" s="22">
        <f>IF(C70="","EVO"&amp;TEXT(COUNTA($C$5:C70),"000"))</f>
        <v/>
      </c>
      <c r="C70" s="22" t="n"/>
      <c r="D70" s="22">
        <f>IF(C70="","",VLOOKUP(C70,'_Données Employés'!$B$5:$S$114,3,FALSE))</f>
        <v/>
      </c>
      <c r="E70" s="22">
        <f>IF(C70="","",VLOOKUP(C70,'_Données Employés'!$B$5:$S$114,9,FALSE))</f>
        <v/>
      </c>
      <c r="F70" s="22" t="n"/>
      <c r="G70" s="22" t="n"/>
      <c r="H70" s="22" t="n"/>
      <c r="I70" s="22" t="n"/>
      <c r="J70" s="18">
        <f>IF(OR(G70="",H70=""),"",IFERROR(H70-G70,0))</f>
        <v/>
      </c>
      <c r="K70" s="22">
        <f>IF(G70="","",IFERROR(I70/G70,0))</f>
        <v/>
      </c>
      <c r="L70" s="22" t="n"/>
      <c r="M70" s="22" t="n"/>
    </row>
    <row r="71" ht="22" customHeight="1">
      <c r="B71" s="21">
        <f>IF(C71="","EVO"&amp;TEXT(COUNTA($C$5:C71),"000"))</f>
        <v/>
      </c>
      <c r="C71" s="21" t="n"/>
      <c r="D71" s="21">
        <f>IF(C71="","",VLOOKUP(C71,'_Données Employés'!$B$5:$S$114,3,FALSE))</f>
        <v/>
      </c>
      <c r="E71" s="21">
        <f>IF(C71="","",VLOOKUP(C71,'_Données Employés'!$B$5:$S$114,9,FALSE))</f>
        <v/>
      </c>
      <c r="F71" s="21" t="n"/>
      <c r="G71" s="21" t="n"/>
      <c r="H71" s="21" t="n"/>
      <c r="I71" s="21" t="n"/>
      <c r="J71" s="16">
        <f>IF(OR(G71="",H71=""),"",IFERROR(H71-G71,0))</f>
        <v/>
      </c>
      <c r="K71" s="21">
        <f>IF(G71="","",IFERROR(I71/G71,0))</f>
        <v/>
      </c>
      <c r="L71" s="21" t="n"/>
      <c r="M71" s="21" t="n"/>
    </row>
    <row r="72" ht="22" customHeight="1">
      <c r="B72" s="22">
        <f>IF(C72="","EVO"&amp;TEXT(COUNTA($C$5:C72),"000"))</f>
        <v/>
      </c>
      <c r="C72" s="22" t="n"/>
      <c r="D72" s="22">
        <f>IF(C72="","",VLOOKUP(C72,'_Données Employés'!$B$5:$S$114,3,FALSE))</f>
        <v/>
      </c>
      <c r="E72" s="22">
        <f>IF(C72="","",VLOOKUP(C72,'_Données Employés'!$B$5:$S$114,9,FALSE))</f>
        <v/>
      </c>
      <c r="F72" s="22" t="n"/>
      <c r="G72" s="22" t="n"/>
      <c r="H72" s="22" t="n"/>
      <c r="I72" s="22" t="n"/>
      <c r="J72" s="18">
        <f>IF(OR(G72="",H72=""),"",IFERROR(H72-G72,0))</f>
        <v/>
      </c>
      <c r="K72" s="22">
        <f>IF(G72="","",IFERROR(I72/G72,0))</f>
        <v/>
      </c>
      <c r="L72" s="22" t="n"/>
      <c r="M72" s="22" t="n"/>
    </row>
    <row r="73" ht="22" customHeight="1">
      <c r="B73" s="21">
        <f>IF(C73="","EVO"&amp;TEXT(COUNTA($C$5:C73),"000"))</f>
        <v/>
      </c>
      <c r="C73" s="21" t="n"/>
      <c r="D73" s="21">
        <f>IF(C73="","",VLOOKUP(C73,'_Données Employés'!$B$5:$S$114,3,FALSE))</f>
        <v/>
      </c>
      <c r="E73" s="21">
        <f>IF(C73="","",VLOOKUP(C73,'_Données Employés'!$B$5:$S$114,9,FALSE))</f>
        <v/>
      </c>
      <c r="F73" s="21" t="n"/>
      <c r="G73" s="21" t="n"/>
      <c r="H73" s="21" t="n"/>
      <c r="I73" s="21" t="n"/>
      <c r="J73" s="16">
        <f>IF(OR(G73="",H73=""),"",IFERROR(H73-G73,0))</f>
        <v/>
      </c>
      <c r="K73" s="21">
        <f>IF(G73="","",IFERROR(I73/G73,0))</f>
        <v/>
      </c>
      <c r="L73" s="21" t="n"/>
      <c r="M73" s="21" t="n"/>
    </row>
    <row r="74" ht="22" customHeight="1">
      <c r="B74" s="22">
        <f>IF(C74="","EVO"&amp;TEXT(COUNTA($C$5:C74),"000"))</f>
        <v/>
      </c>
      <c r="C74" s="22" t="n"/>
      <c r="D74" s="22">
        <f>IF(C74="","",VLOOKUP(C74,'_Données Employés'!$B$5:$S$114,3,FALSE))</f>
        <v/>
      </c>
      <c r="E74" s="22">
        <f>IF(C74="","",VLOOKUP(C74,'_Données Employés'!$B$5:$S$114,9,FALSE))</f>
        <v/>
      </c>
      <c r="F74" s="22" t="n"/>
      <c r="G74" s="22" t="n"/>
      <c r="H74" s="22" t="n"/>
      <c r="I74" s="22" t="n"/>
      <c r="J74" s="18">
        <f>IF(OR(G74="",H74=""),"",IFERROR(H74-G74,0))</f>
        <v/>
      </c>
      <c r="K74" s="22">
        <f>IF(G74="","",IFERROR(I74/G74,0))</f>
        <v/>
      </c>
      <c r="L74" s="22" t="n"/>
      <c r="M74" s="22" t="n"/>
    </row>
    <row r="75" ht="22" customHeight="1">
      <c r="B75" s="21">
        <f>IF(C75="","EVO"&amp;TEXT(COUNTA($C$5:C75),"000"))</f>
        <v/>
      </c>
      <c r="C75" s="21" t="n"/>
      <c r="D75" s="21">
        <f>IF(C75="","",VLOOKUP(C75,'_Données Employés'!$B$5:$S$114,3,FALSE))</f>
        <v/>
      </c>
      <c r="E75" s="21">
        <f>IF(C75="","",VLOOKUP(C75,'_Données Employés'!$B$5:$S$114,9,FALSE))</f>
        <v/>
      </c>
      <c r="F75" s="21" t="n"/>
      <c r="G75" s="21" t="n"/>
      <c r="H75" s="21" t="n"/>
      <c r="I75" s="21" t="n"/>
      <c r="J75" s="16">
        <f>IF(OR(G75="",H75=""),"",IFERROR(H75-G75,0))</f>
        <v/>
      </c>
      <c r="K75" s="21">
        <f>IF(G75="","",IFERROR(I75/G75,0))</f>
        <v/>
      </c>
      <c r="L75" s="21" t="n"/>
      <c r="M75" s="21" t="n"/>
    </row>
    <row r="76" ht="22" customHeight="1">
      <c r="B76" s="22">
        <f>IF(C76="","EVO"&amp;TEXT(COUNTA($C$5:C76),"000"))</f>
        <v/>
      </c>
      <c r="C76" s="22" t="n"/>
      <c r="D76" s="22">
        <f>IF(C76="","",VLOOKUP(C76,'_Données Employés'!$B$5:$S$114,3,FALSE))</f>
        <v/>
      </c>
      <c r="E76" s="22">
        <f>IF(C76="","",VLOOKUP(C76,'_Données Employés'!$B$5:$S$114,9,FALSE))</f>
        <v/>
      </c>
      <c r="F76" s="22" t="n"/>
      <c r="G76" s="22" t="n"/>
      <c r="H76" s="22" t="n"/>
      <c r="I76" s="22" t="n"/>
      <c r="J76" s="18">
        <f>IF(OR(G76="",H76=""),"",IFERROR(H76-G76,0))</f>
        <v/>
      </c>
      <c r="K76" s="22">
        <f>IF(G76="","",IFERROR(I76/G76,0))</f>
        <v/>
      </c>
      <c r="L76" s="22" t="n"/>
      <c r="M76" s="22" t="n"/>
    </row>
    <row r="77" ht="22" customHeight="1">
      <c r="B77" s="21">
        <f>IF(C77="","EVO"&amp;TEXT(COUNTA($C$5:C77),"000"))</f>
        <v/>
      </c>
      <c r="C77" s="21" t="n"/>
      <c r="D77" s="21">
        <f>IF(C77="","",VLOOKUP(C77,'_Données Employés'!$B$5:$S$114,3,FALSE))</f>
        <v/>
      </c>
      <c r="E77" s="21">
        <f>IF(C77="","",VLOOKUP(C77,'_Données Employés'!$B$5:$S$114,9,FALSE))</f>
        <v/>
      </c>
      <c r="F77" s="21" t="n"/>
      <c r="G77" s="21" t="n"/>
      <c r="H77" s="21" t="n"/>
      <c r="I77" s="21" t="n"/>
      <c r="J77" s="16">
        <f>IF(OR(G77="",H77=""),"",IFERROR(H77-G77,0))</f>
        <v/>
      </c>
      <c r="K77" s="21">
        <f>IF(G77="","",IFERROR(I77/G77,0))</f>
        <v/>
      </c>
      <c r="L77" s="21" t="n"/>
      <c r="M77" s="21" t="n"/>
    </row>
    <row r="78" ht="22" customHeight="1">
      <c r="B78" s="22">
        <f>IF(C78="","EVO"&amp;TEXT(COUNTA($C$5:C78),"000"))</f>
        <v/>
      </c>
      <c r="C78" s="22" t="n"/>
      <c r="D78" s="22">
        <f>IF(C78="","",VLOOKUP(C78,'_Données Employés'!$B$5:$S$114,3,FALSE))</f>
        <v/>
      </c>
      <c r="E78" s="22">
        <f>IF(C78="","",VLOOKUP(C78,'_Données Employés'!$B$5:$S$114,9,FALSE))</f>
        <v/>
      </c>
      <c r="F78" s="22" t="n"/>
      <c r="G78" s="22" t="n"/>
      <c r="H78" s="22" t="n"/>
      <c r="I78" s="22" t="n"/>
      <c r="J78" s="18">
        <f>IF(OR(G78="",H78=""),"",IFERROR(H78-G78,0))</f>
        <v/>
      </c>
      <c r="K78" s="22">
        <f>IF(G78="","",IFERROR(I78/G78,0))</f>
        <v/>
      </c>
      <c r="L78" s="22" t="n"/>
      <c r="M78" s="22" t="n"/>
    </row>
    <row r="79" ht="22" customHeight="1">
      <c r="B79" s="21">
        <f>IF(C79="","EVO"&amp;TEXT(COUNTA($C$5:C79),"000"))</f>
        <v/>
      </c>
      <c r="C79" s="21" t="n"/>
      <c r="D79" s="21">
        <f>IF(C79="","",VLOOKUP(C79,'_Données Employés'!$B$5:$S$114,3,FALSE))</f>
        <v/>
      </c>
      <c r="E79" s="21">
        <f>IF(C79="","",VLOOKUP(C79,'_Données Employés'!$B$5:$S$114,9,FALSE))</f>
        <v/>
      </c>
      <c r="F79" s="21" t="n"/>
      <c r="G79" s="21" t="n"/>
      <c r="H79" s="21" t="n"/>
      <c r="I79" s="21" t="n"/>
      <c r="J79" s="16">
        <f>IF(OR(G79="",H79=""),"",IFERROR(H79-G79,0))</f>
        <v/>
      </c>
      <c r="K79" s="21">
        <f>IF(G79="","",IFERROR(I79/G79,0))</f>
        <v/>
      </c>
      <c r="L79" s="21" t="n"/>
      <c r="M79" s="21" t="n"/>
    </row>
    <row r="80" ht="22" customHeight="1">
      <c r="B80" s="22">
        <f>IF(C80="","EVO"&amp;TEXT(COUNTA($C$5:C80),"000"))</f>
        <v/>
      </c>
      <c r="C80" s="22" t="n"/>
      <c r="D80" s="22">
        <f>IF(C80="","",VLOOKUP(C80,'_Données Employés'!$B$5:$S$114,3,FALSE))</f>
        <v/>
      </c>
      <c r="E80" s="22">
        <f>IF(C80="","",VLOOKUP(C80,'_Données Employés'!$B$5:$S$114,9,FALSE))</f>
        <v/>
      </c>
      <c r="F80" s="22" t="n"/>
      <c r="G80" s="22" t="n"/>
      <c r="H80" s="22" t="n"/>
      <c r="I80" s="22" t="n"/>
      <c r="J80" s="18">
        <f>IF(OR(G80="",H80=""),"",IFERROR(H80-G80,0))</f>
        <v/>
      </c>
      <c r="K80" s="22">
        <f>IF(G80="","",IFERROR(I80/G80,0))</f>
        <v/>
      </c>
      <c r="L80" s="22" t="n"/>
      <c r="M80" s="22" t="n"/>
    </row>
    <row r="81" ht="22" customHeight="1">
      <c r="B81" s="21">
        <f>IF(C81="","EVO"&amp;TEXT(COUNTA($C$5:C81),"000"))</f>
        <v/>
      </c>
      <c r="C81" s="21" t="n"/>
      <c r="D81" s="21">
        <f>IF(C81="","",VLOOKUP(C81,'_Données Employés'!$B$5:$S$114,3,FALSE))</f>
        <v/>
      </c>
      <c r="E81" s="21">
        <f>IF(C81="","",VLOOKUP(C81,'_Données Employés'!$B$5:$S$114,9,FALSE))</f>
        <v/>
      </c>
      <c r="F81" s="21" t="n"/>
      <c r="G81" s="21" t="n"/>
      <c r="H81" s="21" t="n"/>
      <c r="I81" s="21" t="n"/>
      <c r="J81" s="16">
        <f>IF(OR(G81="",H81=""),"",IFERROR(H81-G81,0))</f>
        <v/>
      </c>
      <c r="K81" s="21">
        <f>IF(G81="","",IFERROR(I81/G81,0))</f>
        <v/>
      </c>
      <c r="L81" s="21" t="n"/>
      <c r="M81" s="21" t="n"/>
    </row>
    <row r="82" ht="22" customHeight="1">
      <c r="B82" s="22">
        <f>IF(C82="","EVO"&amp;TEXT(COUNTA($C$5:C82),"000"))</f>
        <v/>
      </c>
      <c r="C82" s="22" t="n"/>
      <c r="D82" s="22">
        <f>IF(C82="","",VLOOKUP(C82,'_Données Employés'!$B$5:$S$114,3,FALSE))</f>
        <v/>
      </c>
      <c r="E82" s="22">
        <f>IF(C82="","",VLOOKUP(C82,'_Données Employés'!$B$5:$S$114,9,FALSE))</f>
        <v/>
      </c>
      <c r="F82" s="22" t="n"/>
      <c r="G82" s="22" t="n"/>
      <c r="H82" s="22" t="n"/>
      <c r="I82" s="22" t="n"/>
      <c r="J82" s="18">
        <f>IF(OR(G82="",H82=""),"",IFERROR(H82-G82,0))</f>
        <v/>
      </c>
      <c r="K82" s="22">
        <f>IF(G82="","",IFERROR(I82/G82,0))</f>
        <v/>
      </c>
      <c r="L82" s="22" t="n"/>
      <c r="M82" s="22" t="n"/>
    </row>
    <row r="83" ht="22" customHeight="1">
      <c r="B83" s="21">
        <f>IF(C83="","EVO"&amp;TEXT(COUNTA($C$5:C83),"000"))</f>
        <v/>
      </c>
      <c r="C83" s="21" t="n"/>
      <c r="D83" s="21">
        <f>IF(C83="","",VLOOKUP(C83,'_Données Employés'!$B$5:$S$114,3,FALSE))</f>
        <v/>
      </c>
      <c r="E83" s="21">
        <f>IF(C83="","",VLOOKUP(C83,'_Données Employés'!$B$5:$S$114,9,FALSE))</f>
        <v/>
      </c>
      <c r="F83" s="21" t="n"/>
      <c r="G83" s="21" t="n"/>
      <c r="H83" s="21" t="n"/>
      <c r="I83" s="21" t="n"/>
      <c r="J83" s="16">
        <f>IF(OR(G83="",H83=""),"",IFERROR(H83-G83,0))</f>
        <v/>
      </c>
      <c r="K83" s="21">
        <f>IF(G83="","",IFERROR(I83/G83,0))</f>
        <v/>
      </c>
      <c r="L83" s="21" t="n"/>
      <c r="M83" s="21" t="n"/>
    </row>
    <row r="84" ht="22" customHeight="1">
      <c r="B84" s="22">
        <f>IF(C84="","EVO"&amp;TEXT(COUNTA($C$5:C84),"000"))</f>
        <v/>
      </c>
      <c r="C84" s="22" t="n"/>
      <c r="D84" s="22">
        <f>IF(C84="","",VLOOKUP(C84,'_Données Employés'!$B$5:$S$114,3,FALSE))</f>
        <v/>
      </c>
      <c r="E84" s="22">
        <f>IF(C84="","",VLOOKUP(C84,'_Données Employés'!$B$5:$S$114,9,FALSE))</f>
        <v/>
      </c>
      <c r="F84" s="22" t="n"/>
      <c r="G84" s="22" t="n"/>
      <c r="H84" s="22" t="n"/>
      <c r="I84" s="22" t="n"/>
      <c r="J84" s="18">
        <f>IF(OR(G84="",H84=""),"",IFERROR(H84-G84,0))</f>
        <v/>
      </c>
      <c r="K84" s="22">
        <f>IF(G84="","",IFERROR(I84/G84,0))</f>
        <v/>
      </c>
      <c r="L84" s="22" t="n"/>
      <c r="M84" s="22" t="n"/>
    </row>
    <row r="85" ht="22" customHeight="1">
      <c r="B85" s="21">
        <f>IF(C85="","EVO"&amp;TEXT(COUNTA($C$5:C85),"000"))</f>
        <v/>
      </c>
      <c r="C85" s="21" t="n"/>
      <c r="D85" s="21">
        <f>IF(C85="","",VLOOKUP(C85,'_Données Employés'!$B$5:$S$114,3,FALSE))</f>
        <v/>
      </c>
      <c r="E85" s="21">
        <f>IF(C85="","",VLOOKUP(C85,'_Données Employés'!$B$5:$S$114,9,FALSE))</f>
        <v/>
      </c>
      <c r="F85" s="21" t="n"/>
      <c r="G85" s="21" t="n"/>
      <c r="H85" s="21" t="n"/>
      <c r="I85" s="21" t="n"/>
      <c r="J85" s="16">
        <f>IF(OR(G85="",H85=""),"",IFERROR(H85-G85,0))</f>
        <v/>
      </c>
      <c r="K85" s="21">
        <f>IF(G85="","",IFERROR(I85/G85,0))</f>
        <v/>
      </c>
      <c r="L85" s="21" t="n"/>
      <c r="M85" s="21" t="n"/>
    </row>
    <row r="86" ht="22" customHeight="1">
      <c r="B86" s="22">
        <f>IF(C86="","EVO"&amp;TEXT(COUNTA($C$5:C86),"000"))</f>
        <v/>
      </c>
      <c r="C86" s="22" t="n"/>
      <c r="D86" s="22">
        <f>IF(C86="","",VLOOKUP(C86,'_Données Employés'!$B$5:$S$114,3,FALSE))</f>
        <v/>
      </c>
      <c r="E86" s="22">
        <f>IF(C86="","",VLOOKUP(C86,'_Données Employés'!$B$5:$S$114,9,FALSE))</f>
        <v/>
      </c>
      <c r="F86" s="22" t="n"/>
      <c r="G86" s="22" t="n"/>
      <c r="H86" s="22" t="n"/>
      <c r="I86" s="22" t="n"/>
      <c r="J86" s="18">
        <f>IF(OR(G86="",H86=""),"",IFERROR(H86-G86,0))</f>
        <v/>
      </c>
      <c r="K86" s="22">
        <f>IF(G86="","",IFERROR(I86/G86,0))</f>
        <v/>
      </c>
      <c r="L86" s="22" t="n"/>
      <c r="M86" s="22" t="n"/>
    </row>
    <row r="87" ht="22" customHeight="1">
      <c r="B87" s="21">
        <f>IF(C87="","EVO"&amp;TEXT(COUNTA($C$5:C87),"000"))</f>
        <v/>
      </c>
      <c r="C87" s="21" t="n"/>
      <c r="D87" s="21">
        <f>IF(C87="","",VLOOKUP(C87,'_Données Employés'!$B$5:$S$114,3,FALSE))</f>
        <v/>
      </c>
      <c r="E87" s="21">
        <f>IF(C87="","",VLOOKUP(C87,'_Données Employés'!$B$5:$S$114,9,FALSE))</f>
        <v/>
      </c>
      <c r="F87" s="21" t="n"/>
      <c r="G87" s="21" t="n"/>
      <c r="H87" s="21" t="n"/>
      <c r="I87" s="21" t="n"/>
      <c r="J87" s="16">
        <f>IF(OR(G87="",H87=""),"",IFERROR(H87-G87,0))</f>
        <v/>
      </c>
      <c r="K87" s="21">
        <f>IF(G87="","",IFERROR(I87/G87,0))</f>
        <v/>
      </c>
      <c r="L87" s="21" t="n"/>
      <c r="M87" s="21" t="n"/>
    </row>
    <row r="88" ht="22" customHeight="1">
      <c r="B88" s="22">
        <f>IF(C88="","EVO"&amp;TEXT(COUNTA($C$5:C88),"000"))</f>
        <v/>
      </c>
      <c r="C88" s="22" t="n"/>
      <c r="D88" s="22">
        <f>IF(C88="","",VLOOKUP(C88,'_Données Employés'!$B$5:$S$114,3,FALSE))</f>
        <v/>
      </c>
      <c r="E88" s="22">
        <f>IF(C88="","",VLOOKUP(C88,'_Données Employés'!$B$5:$S$114,9,FALSE))</f>
        <v/>
      </c>
      <c r="F88" s="22" t="n"/>
      <c r="G88" s="22" t="n"/>
      <c r="H88" s="22" t="n"/>
      <c r="I88" s="22" t="n"/>
      <c r="J88" s="18">
        <f>IF(OR(G88="",H88=""),"",IFERROR(H88-G88,0))</f>
        <v/>
      </c>
      <c r="K88" s="22">
        <f>IF(G88="","",IFERROR(I88/G88,0))</f>
        <v/>
      </c>
      <c r="L88" s="22" t="n"/>
      <c r="M88" s="22" t="n"/>
    </row>
    <row r="89" ht="22" customHeight="1">
      <c r="B89" s="21">
        <f>IF(C89="","EVO"&amp;TEXT(COUNTA($C$5:C89),"000"))</f>
        <v/>
      </c>
      <c r="C89" s="21" t="n"/>
      <c r="D89" s="21">
        <f>IF(C89="","",VLOOKUP(C89,'_Données Employés'!$B$5:$S$114,3,FALSE))</f>
        <v/>
      </c>
      <c r="E89" s="21">
        <f>IF(C89="","",VLOOKUP(C89,'_Données Employés'!$B$5:$S$114,9,FALSE))</f>
        <v/>
      </c>
      <c r="F89" s="21" t="n"/>
      <c r="G89" s="21" t="n"/>
      <c r="H89" s="21" t="n"/>
      <c r="I89" s="21" t="n"/>
      <c r="J89" s="16">
        <f>IF(OR(G89="",H89=""),"",IFERROR(H89-G89,0))</f>
        <v/>
      </c>
      <c r="K89" s="21">
        <f>IF(G89="","",IFERROR(I89/G89,0))</f>
        <v/>
      </c>
      <c r="L89" s="21" t="n"/>
      <c r="M89" s="21" t="n"/>
    </row>
    <row r="90" ht="22" customHeight="1">
      <c r="B90" s="22">
        <f>IF(C90="","EVO"&amp;TEXT(COUNTA($C$5:C90),"000"))</f>
        <v/>
      </c>
      <c r="C90" s="22" t="n"/>
      <c r="D90" s="22">
        <f>IF(C90="","",VLOOKUP(C90,'_Données Employés'!$B$5:$S$114,3,FALSE))</f>
        <v/>
      </c>
      <c r="E90" s="22">
        <f>IF(C90="","",VLOOKUP(C90,'_Données Employés'!$B$5:$S$114,9,FALSE))</f>
        <v/>
      </c>
      <c r="F90" s="22" t="n"/>
      <c r="G90" s="22" t="n"/>
      <c r="H90" s="22" t="n"/>
      <c r="I90" s="22" t="n"/>
      <c r="J90" s="18">
        <f>IF(OR(G90="",H90=""),"",IFERROR(H90-G90,0))</f>
        <v/>
      </c>
      <c r="K90" s="22">
        <f>IF(G90="","",IFERROR(I90/G90,0))</f>
        <v/>
      </c>
      <c r="L90" s="22" t="n"/>
      <c r="M90" s="22" t="n"/>
    </row>
    <row r="91" ht="22" customHeight="1">
      <c r="B91" s="21">
        <f>IF(C91="","EVO"&amp;TEXT(COUNTA($C$5:C91),"000"))</f>
        <v/>
      </c>
      <c r="C91" s="21" t="n"/>
      <c r="D91" s="21">
        <f>IF(C91="","",VLOOKUP(C91,'_Données Employés'!$B$5:$S$114,3,FALSE))</f>
        <v/>
      </c>
      <c r="E91" s="21">
        <f>IF(C91="","",VLOOKUP(C91,'_Données Employés'!$B$5:$S$114,9,FALSE))</f>
        <v/>
      </c>
      <c r="F91" s="21" t="n"/>
      <c r="G91" s="21" t="n"/>
      <c r="H91" s="21" t="n"/>
      <c r="I91" s="21" t="n"/>
      <c r="J91" s="16">
        <f>IF(OR(G91="",H91=""),"",IFERROR(H91-G91,0))</f>
        <v/>
      </c>
      <c r="K91" s="21">
        <f>IF(G91="","",IFERROR(I91/G91,0))</f>
        <v/>
      </c>
      <c r="L91" s="21" t="n"/>
      <c r="M91" s="21" t="n"/>
    </row>
    <row r="92" ht="22" customHeight="1">
      <c r="B92" s="22">
        <f>IF(C92="","EVO"&amp;TEXT(COUNTA($C$5:C92),"000"))</f>
        <v/>
      </c>
      <c r="C92" s="22" t="n"/>
      <c r="D92" s="22">
        <f>IF(C92="","",VLOOKUP(C92,'_Données Employés'!$B$5:$S$114,3,FALSE))</f>
        <v/>
      </c>
      <c r="E92" s="22">
        <f>IF(C92="","",VLOOKUP(C92,'_Données Employés'!$B$5:$S$114,9,FALSE))</f>
        <v/>
      </c>
      <c r="F92" s="22" t="n"/>
      <c r="G92" s="22" t="n"/>
      <c r="H92" s="22" t="n"/>
      <c r="I92" s="22" t="n"/>
      <c r="J92" s="18">
        <f>IF(OR(G92="",H92=""),"",IFERROR(H92-G92,0))</f>
        <v/>
      </c>
      <c r="K92" s="22">
        <f>IF(G92="","",IFERROR(I92/G92,0))</f>
        <v/>
      </c>
      <c r="L92" s="22" t="n"/>
      <c r="M92" s="22" t="n"/>
    </row>
    <row r="93" ht="22" customHeight="1">
      <c r="B93" s="21">
        <f>IF(C93="","EVO"&amp;TEXT(COUNTA($C$5:C93),"000"))</f>
        <v/>
      </c>
      <c r="C93" s="21" t="n"/>
      <c r="D93" s="21">
        <f>IF(C93="","",VLOOKUP(C93,'_Données Employés'!$B$5:$S$114,3,FALSE))</f>
        <v/>
      </c>
      <c r="E93" s="21">
        <f>IF(C93="","",VLOOKUP(C93,'_Données Employés'!$B$5:$S$114,9,FALSE))</f>
        <v/>
      </c>
      <c r="F93" s="21" t="n"/>
      <c r="G93" s="21" t="n"/>
      <c r="H93" s="21" t="n"/>
      <c r="I93" s="21" t="n"/>
      <c r="J93" s="16">
        <f>IF(OR(G93="",H93=""),"",IFERROR(H93-G93,0))</f>
        <v/>
      </c>
      <c r="K93" s="21">
        <f>IF(G93="","",IFERROR(I93/G93,0))</f>
        <v/>
      </c>
      <c r="L93" s="21" t="n"/>
      <c r="M93" s="21" t="n"/>
    </row>
    <row r="94" ht="22" customHeight="1">
      <c r="B94" s="22">
        <f>IF(C94="","EVO"&amp;TEXT(COUNTA($C$5:C94),"000"))</f>
        <v/>
      </c>
      <c r="C94" s="22" t="n"/>
      <c r="D94" s="22">
        <f>IF(C94="","",VLOOKUP(C94,'_Données Employés'!$B$5:$S$114,3,FALSE))</f>
        <v/>
      </c>
      <c r="E94" s="22">
        <f>IF(C94="","",VLOOKUP(C94,'_Données Employés'!$B$5:$S$114,9,FALSE))</f>
        <v/>
      </c>
      <c r="F94" s="22" t="n"/>
      <c r="G94" s="22" t="n"/>
      <c r="H94" s="22" t="n"/>
      <c r="I94" s="22" t="n"/>
      <c r="J94" s="18">
        <f>IF(OR(G94="",H94=""),"",IFERROR(H94-G94,0))</f>
        <v/>
      </c>
      <c r="K94" s="22">
        <f>IF(G94="","",IFERROR(I94/G94,0))</f>
        <v/>
      </c>
      <c r="L94" s="22" t="n"/>
      <c r="M94" s="22" t="n"/>
    </row>
    <row r="95" ht="22" customHeight="1">
      <c r="B95" s="21">
        <f>IF(C95="","EVO"&amp;TEXT(COUNTA($C$5:C95),"000"))</f>
        <v/>
      </c>
      <c r="C95" s="21" t="n"/>
      <c r="D95" s="21">
        <f>IF(C95="","",VLOOKUP(C95,'_Données Employés'!$B$5:$S$114,3,FALSE))</f>
        <v/>
      </c>
      <c r="E95" s="21">
        <f>IF(C95="","",VLOOKUP(C95,'_Données Employés'!$B$5:$S$114,9,FALSE))</f>
        <v/>
      </c>
      <c r="F95" s="21" t="n"/>
      <c r="G95" s="21" t="n"/>
      <c r="H95" s="21" t="n"/>
      <c r="I95" s="21" t="n"/>
      <c r="J95" s="16">
        <f>IF(OR(G95="",H95=""),"",IFERROR(H95-G95,0))</f>
        <v/>
      </c>
      <c r="K95" s="21">
        <f>IF(G95="","",IFERROR(I95/G95,0))</f>
        <v/>
      </c>
      <c r="L95" s="21" t="n"/>
      <c r="M95" s="21" t="n"/>
    </row>
    <row r="96" ht="22" customHeight="1">
      <c r="B96" s="22">
        <f>IF(C96="","EVO"&amp;TEXT(COUNTA($C$5:C96),"000"))</f>
        <v/>
      </c>
      <c r="C96" s="22" t="n"/>
      <c r="D96" s="22">
        <f>IF(C96="","",VLOOKUP(C96,'_Données Employés'!$B$5:$S$114,3,FALSE))</f>
        <v/>
      </c>
      <c r="E96" s="22">
        <f>IF(C96="","",VLOOKUP(C96,'_Données Employés'!$B$5:$S$114,9,FALSE))</f>
        <v/>
      </c>
      <c r="F96" s="22" t="n"/>
      <c r="G96" s="22" t="n"/>
      <c r="H96" s="22" t="n"/>
      <c r="I96" s="22" t="n"/>
      <c r="J96" s="18">
        <f>IF(OR(G96="",H96=""),"",IFERROR(H96-G96,0))</f>
        <v/>
      </c>
      <c r="K96" s="22">
        <f>IF(G96="","",IFERROR(I96/G96,0))</f>
        <v/>
      </c>
      <c r="L96" s="22" t="n"/>
      <c r="M96" s="22" t="n"/>
    </row>
    <row r="97" ht="22" customHeight="1">
      <c r="B97" s="21">
        <f>IF(C97="","EVO"&amp;TEXT(COUNTA($C$5:C97),"000"))</f>
        <v/>
      </c>
      <c r="C97" s="21" t="n"/>
      <c r="D97" s="21">
        <f>IF(C97="","",VLOOKUP(C97,'_Données Employés'!$B$5:$S$114,3,FALSE))</f>
        <v/>
      </c>
      <c r="E97" s="21">
        <f>IF(C97="","",VLOOKUP(C97,'_Données Employés'!$B$5:$S$114,9,FALSE))</f>
        <v/>
      </c>
      <c r="F97" s="21" t="n"/>
      <c r="G97" s="21" t="n"/>
      <c r="H97" s="21" t="n"/>
      <c r="I97" s="21" t="n"/>
      <c r="J97" s="16">
        <f>IF(OR(G97="",H97=""),"",IFERROR(H97-G97,0))</f>
        <v/>
      </c>
      <c r="K97" s="21">
        <f>IF(G97="","",IFERROR(I97/G97,0))</f>
        <v/>
      </c>
      <c r="L97" s="21" t="n"/>
      <c r="M97" s="21" t="n"/>
    </row>
    <row r="98" ht="22" customHeight="1">
      <c r="B98" s="22">
        <f>IF(C98="","EVO"&amp;TEXT(COUNTA($C$5:C98),"000"))</f>
        <v/>
      </c>
      <c r="C98" s="22" t="n"/>
      <c r="D98" s="22">
        <f>IF(C98="","",VLOOKUP(C98,'_Données Employés'!$B$5:$S$114,3,FALSE))</f>
        <v/>
      </c>
      <c r="E98" s="22">
        <f>IF(C98="","",VLOOKUP(C98,'_Données Employés'!$B$5:$S$114,9,FALSE))</f>
        <v/>
      </c>
      <c r="F98" s="22" t="n"/>
      <c r="G98" s="22" t="n"/>
      <c r="H98" s="22" t="n"/>
      <c r="I98" s="22" t="n"/>
      <c r="J98" s="18">
        <f>IF(OR(G98="",H98=""),"",IFERROR(H98-G98,0))</f>
        <v/>
      </c>
      <c r="K98" s="22">
        <f>IF(G98="","",IFERROR(I98/G98,0))</f>
        <v/>
      </c>
      <c r="L98" s="22" t="n"/>
      <c r="M98" s="22" t="n"/>
    </row>
    <row r="99" ht="22" customHeight="1">
      <c r="B99" s="21">
        <f>IF(C99="","EVO"&amp;TEXT(COUNTA($C$5:C99),"000"))</f>
        <v/>
      </c>
      <c r="C99" s="21" t="n"/>
      <c r="D99" s="21">
        <f>IF(C99="","",VLOOKUP(C99,'_Données Employés'!$B$5:$S$114,3,FALSE))</f>
        <v/>
      </c>
      <c r="E99" s="21">
        <f>IF(C99="","",VLOOKUP(C99,'_Données Employés'!$B$5:$S$114,9,FALSE))</f>
        <v/>
      </c>
      <c r="F99" s="21" t="n"/>
      <c r="G99" s="21" t="n"/>
      <c r="H99" s="21" t="n"/>
      <c r="I99" s="21" t="n"/>
      <c r="J99" s="16">
        <f>IF(OR(G99="",H99=""),"",IFERROR(H99-G99,0))</f>
        <v/>
      </c>
      <c r="K99" s="21">
        <f>IF(G99="","",IFERROR(I99/G99,0))</f>
        <v/>
      </c>
      <c r="L99" s="21" t="n"/>
      <c r="M99" s="21" t="n"/>
    </row>
    <row r="100" ht="22" customHeight="1">
      <c r="B100" s="22">
        <f>IF(C100="","EVO"&amp;TEXT(COUNTA($C$5:C100),"000"))</f>
        <v/>
      </c>
      <c r="C100" s="22" t="n"/>
      <c r="D100" s="22">
        <f>IF(C100="","",VLOOKUP(C100,'_Données Employés'!$B$5:$S$114,3,FALSE))</f>
        <v/>
      </c>
      <c r="E100" s="22">
        <f>IF(C100="","",VLOOKUP(C100,'_Données Employés'!$B$5:$S$114,9,FALSE))</f>
        <v/>
      </c>
      <c r="F100" s="22" t="n"/>
      <c r="G100" s="22" t="n"/>
      <c r="H100" s="22" t="n"/>
      <c r="I100" s="22" t="n"/>
      <c r="J100" s="18">
        <f>IF(OR(G100="",H100=""),"",IFERROR(H100-G100,0))</f>
        <v/>
      </c>
      <c r="K100" s="22">
        <f>IF(G100="","",IFERROR(I100/G100,0))</f>
        <v/>
      </c>
      <c r="L100" s="22" t="n"/>
      <c r="M100" s="22" t="n"/>
    </row>
    <row r="101" ht="22" customHeight="1">
      <c r="B101" s="21">
        <f>IF(C101="","EVO"&amp;TEXT(COUNTA($C$5:C101),"000"))</f>
        <v/>
      </c>
      <c r="C101" s="21" t="n"/>
      <c r="D101" s="21">
        <f>IF(C101="","",VLOOKUP(C101,'_Données Employés'!$B$5:$S$114,3,FALSE))</f>
        <v/>
      </c>
      <c r="E101" s="21">
        <f>IF(C101="","",VLOOKUP(C101,'_Données Employés'!$B$5:$S$114,9,FALSE))</f>
        <v/>
      </c>
      <c r="F101" s="21" t="n"/>
      <c r="G101" s="21" t="n"/>
      <c r="H101" s="21" t="n"/>
      <c r="I101" s="21" t="n"/>
      <c r="J101" s="16">
        <f>IF(OR(G101="",H101=""),"",IFERROR(H101-G101,0))</f>
        <v/>
      </c>
      <c r="K101" s="21">
        <f>IF(G101="","",IFERROR(I101/G101,0))</f>
        <v/>
      </c>
      <c r="L101" s="21" t="n"/>
      <c r="M101" s="21" t="n"/>
    </row>
    <row r="102" ht="22" customHeight="1">
      <c r="B102" s="22">
        <f>IF(C102="","EVO"&amp;TEXT(COUNTA($C$5:C102),"000"))</f>
        <v/>
      </c>
      <c r="C102" s="22" t="n"/>
      <c r="D102" s="22">
        <f>IF(C102="","",VLOOKUP(C102,'_Données Employés'!$B$5:$S$114,3,FALSE))</f>
        <v/>
      </c>
      <c r="E102" s="22">
        <f>IF(C102="","",VLOOKUP(C102,'_Données Employés'!$B$5:$S$114,9,FALSE))</f>
        <v/>
      </c>
      <c r="F102" s="22" t="n"/>
      <c r="G102" s="22" t="n"/>
      <c r="H102" s="22" t="n"/>
      <c r="I102" s="22" t="n"/>
      <c r="J102" s="18">
        <f>IF(OR(G102="",H102=""),"",IFERROR(H102-G102,0))</f>
        <v/>
      </c>
      <c r="K102" s="22">
        <f>IF(G102="","",IFERROR(I102/G102,0))</f>
        <v/>
      </c>
      <c r="L102" s="22" t="n"/>
      <c r="M102" s="22" t="n"/>
    </row>
    <row r="103" ht="22" customHeight="1">
      <c r="B103" s="21">
        <f>IF(C103="","EVO"&amp;TEXT(COUNTA($C$5:C103),"000"))</f>
        <v/>
      </c>
      <c r="C103" s="21" t="n"/>
      <c r="D103" s="21">
        <f>IF(C103="","",VLOOKUP(C103,'_Données Employés'!$B$5:$S$114,3,FALSE))</f>
        <v/>
      </c>
      <c r="E103" s="21">
        <f>IF(C103="","",VLOOKUP(C103,'_Données Employés'!$B$5:$S$114,9,FALSE))</f>
        <v/>
      </c>
      <c r="F103" s="21" t="n"/>
      <c r="G103" s="21" t="n"/>
      <c r="H103" s="21" t="n"/>
      <c r="I103" s="21" t="n"/>
      <c r="J103" s="16">
        <f>IF(OR(G103="",H103=""),"",IFERROR(H103-G103,0))</f>
        <v/>
      </c>
      <c r="K103" s="21">
        <f>IF(G103="","",IFERROR(I103/G103,0))</f>
        <v/>
      </c>
      <c r="L103" s="21" t="n"/>
      <c r="M103" s="21" t="n"/>
    </row>
    <row r="104" ht="22" customHeight="1">
      <c r="B104" s="22">
        <f>IF(C104="","EVO"&amp;TEXT(COUNTA($C$5:C104),"000"))</f>
        <v/>
      </c>
      <c r="C104" s="22" t="n"/>
      <c r="D104" s="22">
        <f>IF(C104="","",VLOOKUP(C104,'_Données Employés'!$B$5:$S$114,3,FALSE))</f>
        <v/>
      </c>
      <c r="E104" s="22">
        <f>IF(C104="","",VLOOKUP(C104,'_Données Employés'!$B$5:$S$114,9,FALSE))</f>
        <v/>
      </c>
      <c r="F104" s="22" t="n"/>
      <c r="G104" s="22" t="n"/>
      <c r="H104" s="22" t="n"/>
      <c r="I104" s="22" t="n"/>
      <c r="J104" s="18">
        <f>IF(OR(G104="",H104=""),"",IFERROR(H104-G104,0))</f>
        <v/>
      </c>
      <c r="K104" s="22">
        <f>IF(G104="","",IFERROR(I104/G104,0))</f>
        <v/>
      </c>
      <c r="L104" s="22" t="n"/>
      <c r="M104" s="22" t="n"/>
    </row>
    <row r="107">
      <c r="B107" s="23" t="inlineStr">
        <is>
          <t>KPI Total augmentations (FCFA)</t>
        </is>
      </c>
      <c r="C107" s="23" t="inlineStr">
        <is>
          <t>KPI Évolutions approuvées</t>
        </is>
      </c>
    </row>
    <row r="108">
      <c r="B108" s="25">
        <f>SUM(I5:I104)</f>
        <v/>
      </c>
      <c r="C108" s="24">
        <f>COUNTIF(M5:M104,"Approuve")</f>
        <v/>
      </c>
    </row>
  </sheetData>
  <mergeCells count="1">
    <mergeCell ref="B2:M2"/>
  </mergeCells>
  <conditionalFormatting sqref="M5:M104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"Solde"</formula>
    </cfRule>
    <cfRule type="cellIs" priority="4" operator="equal" dxfId="1">
      <formula>"Actif"</formula>
    </cfRule>
    <cfRule type="cellIs" priority="5" operator="equal" dxfId="1">
      <formula>"Oui"</formula>
    </cfRule>
    <cfRule type="cellIs" priority="6" operator="equal" dxfId="2">
      <formula>"Rejete"</formula>
    </cfRule>
    <cfRule type="cellIs" priority="7" operator="equal" dxfId="2">
      <formula>"En retard"</formula>
    </cfRule>
    <cfRule type="cellIs" priority="8" operator="equal" dxfId="2">
      <formula>"Refuse"</formula>
    </cfRule>
    <cfRule type="cellIs" priority="9" operator="equal" dxfId="2">
      <formula>"Annule"</formula>
    </cfRule>
    <cfRule type="cellIs" priority="10" operator="equal" dxfId="2">
      <formula>"Non"</formula>
    </cfRule>
    <cfRule type="cellIs" priority="11" operator="equal" dxfId="3">
      <formula>"En attente"</formula>
    </cfRule>
    <cfRule type="cellIs" priority="12" operator="equal" dxfId="3">
      <formula>"En cours"</formula>
    </cfRule>
    <cfRule type="cellIs" priority="13" operator="equal" dxfId="3">
      <formula>"Brouillon"</formula>
    </cfRule>
    <cfRule type="cellIs" priority="14" operator="equal" dxfId="3">
      <formula>"Demande"</formula>
    </cfRule>
    <cfRule type="cellIs" priority="15" operator="equal" dxfId="3">
      <formula>"Partiellement monetise"</formula>
    </cfRule>
  </conditionalFormatting>
  <conditionalFormatting sqref="J5:J104">
    <cfRule type="dataBar" priority="16">
      <dataBar>
        <cfvo type="num" val="0"/>
        <cfvo type="num" val="1"/>
        <color rgb="001B2A4A"/>
      </dataBar>
    </cfRule>
  </conditionalFormatting>
  <conditionalFormatting sqref="H5:H104">
    <cfRule type="dataBar" priority="17">
      <dataBar>
        <cfvo type="num" val="0"/>
        <cfvo type="num" val="1"/>
        <color rgb="001B2A4A"/>
      </dataBar>
    </cfRule>
  </conditionalFormatting>
  <conditionalFormatting sqref="I5:I104">
    <cfRule type="dataBar" priority="18">
      <dataBar>
        <cfvo type="num" val="0"/>
        <cfvo type="num" val="1"/>
        <color rgb="001B2A4A"/>
      </dataBar>
    </cfRule>
  </conditionalFormatting>
  <conditionalFormatting sqref="B108">
    <cfRule type="cellIs" priority="19" operator="greaterThan" dxfId="0">
      <formula>0</formula>
    </cfRule>
  </conditionalFormatting>
  <conditionalFormatting sqref="C108">
    <cfRule type="cellIs" priority="20" operator="greaterThan" dxfId="0">
      <formula>0</formula>
    </cfRule>
  </conditionalFormatting>
  <dataValidations count="3">
    <dataValidation sqref="F5:F104" showDropDown="0" showInputMessage="0" showErrorMessage="0" allowBlank="1" type="list">
      <formula1>'_Lists'!$S$2:$S$6</formula1>
    </dataValidation>
    <dataValidation sqref="M5:M104" showDropDown="0" showInputMessage="0" showErrorMessage="0" allowBlank="1" type="list">
      <formula1>'_Lists'!$N$2:$N$5</formula1>
    </dataValidation>
    <dataValidation sqref="C5:C104" showDropDown="0" showInputMessage="0" showErrorMessage="0" allowBlank="1" promptTitle="Matricule Employé" prompt="Choisir un matricule" type="list">
      <formula1>'_Données Employés'!$B$5:$B$114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K10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18" customWidth="1" min="4" max="4"/>
    <col width="24" customWidth="1" min="5" max="5"/>
    <col width="24" customWidth="1" min="6" max="6"/>
    <col width="20" customWidth="1" min="7" max="7"/>
    <col width="18" customWidth="1" min="8" max="8"/>
    <col width="26" customWidth="1" min="9" max="9"/>
    <col width="18" customWidth="1" min="10" max="10"/>
    <col width="16" customWidth="1" min="11" max="11"/>
  </cols>
  <sheetData>
    <row r="1" ht="15" customHeight="1"/>
    <row r="2" ht="32" customHeight="1">
      <c r="B2" s="13" t="inlineStr">
        <is>
          <t>REMUNERATION — 11-Cout Salarie</t>
        </is>
      </c>
    </row>
    <row r="3" ht="8" customHeight="1"/>
    <row r="4" ht="28" customHeight="1">
      <c r="B4" s="14" t="inlineStr">
        <is>
          <t>N°</t>
        </is>
      </c>
      <c r="C4" s="14" t="inlineStr">
        <is>
          <t>Matricule</t>
        </is>
      </c>
      <c r="D4" s="14" t="inlineStr">
        <is>
          <t>Nom Employé</t>
        </is>
      </c>
      <c r="E4" s="14" t="inlineStr">
        <is>
          <t>Département</t>
        </is>
      </c>
      <c r="F4" s="14" t="inlineStr">
        <is>
          <t>Salaire Brut Mensuel (FCFA)</t>
        </is>
      </c>
      <c r="G4" s="14" t="inlineStr">
        <is>
          <t>Charges Patronales (FCFA)</t>
        </is>
      </c>
      <c r="H4" s="14" t="inlineStr">
        <is>
          <t>Avantages Nature (FCFA)</t>
        </is>
      </c>
      <c r="I4" s="14" t="inlineStr">
        <is>
          <t>Coût Total Employeur/mois (FCFA)</t>
        </is>
      </c>
      <c r="J4" s="14" t="inlineStr">
        <is>
          <t>Coût Annuel (FCFA)</t>
        </is>
      </c>
      <c r="K4" s="14" t="inlineStr">
        <is>
          <t>Ratio Coût/Brut (%)</t>
        </is>
      </c>
    </row>
    <row r="5" ht="22" customHeight="1">
      <c r="B5" s="15" t="inlineStr">
        <is>
          <t>COUT-001</t>
        </is>
      </c>
      <c r="C5" s="15" t="inlineStr">
        <is>
          <t>EMP-001</t>
        </is>
      </c>
      <c r="D5" s="15" t="inlineStr">
        <is>
          <t>Nganou Clarisse</t>
        </is>
      </c>
      <c r="E5" s="15" t="inlineStr">
        <is>
          <t>Ressources Humaines</t>
        </is>
      </c>
      <c r="F5" s="16" t="n">
        <v>850750</v>
      </c>
      <c r="G5" s="16" t="n">
        <v>69762</v>
      </c>
      <c r="H5" s="16" t="n">
        <v>65000</v>
      </c>
      <c r="I5" s="16" t="n">
        <v>985512</v>
      </c>
      <c r="J5" s="16" t="n">
        <v>11826144</v>
      </c>
      <c r="K5" s="16" t="inlineStr"/>
    </row>
    <row r="6" ht="22" customHeight="1">
      <c r="B6" s="17" t="inlineStr">
        <is>
          <t>COUT-002</t>
        </is>
      </c>
      <c r="C6" s="17" t="inlineStr">
        <is>
          <t>EMP-002</t>
        </is>
      </c>
      <c r="D6" s="17" t="inlineStr">
        <is>
          <t>Tchinda Armand</t>
        </is>
      </c>
      <c r="E6" s="17" t="inlineStr">
        <is>
          <t>Finance &amp; Comptabilite</t>
        </is>
      </c>
      <c r="F6" s="18" t="n">
        <v>648100</v>
      </c>
      <c r="G6" s="18" t="n">
        <v>53144</v>
      </c>
      <c r="H6" s="18" t="n">
        <v>50000</v>
      </c>
      <c r="I6" s="18" t="n">
        <v>751244</v>
      </c>
      <c r="J6" s="18" t="n">
        <v>9014928</v>
      </c>
      <c r="K6" s="18" t="inlineStr"/>
    </row>
    <row r="7" ht="22" customHeight="1">
      <c r="B7" s="15" t="inlineStr">
        <is>
          <t>COUT-003</t>
        </is>
      </c>
      <c r="C7" s="15" t="inlineStr">
        <is>
          <t>EMP-003</t>
        </is>
      </c>
      <c r="D7" s="15" t="inlineStr">
        <is>
          <t>Fotso Marguerite</t>
        </is>
      </c>
      <c r="E7" s="15" t="inlineStr">
        <is>
          <t>Finance &amp; Comptabilite</t>
        </is>
      </c>
      <c r="F7" s="16" t="n">
        <v>383125</v>
      </c>
      <c r="G7" s="16" t="n">
        <v>31416</v>
      </c>
      <c r="H7" s="16" t="n">
        <v>0</v>
      </c>
      <c r="I7" s="16" t="n">
        <v>414541</v>
      </c>
      <c r="J7" s="16" t="n">
        <v>4974492</v>
      </c>
      <c r="K7" s="16" t="inlineStr"/>
    </row>
    <row r="8" ht="22" customHeight="1">
      <c r="B8" s="19">
        <f>IF(C8="","COUT"&amp;TEXT(COUNTA($C$5:C8),"000"))</f>
        <v/>
      </c>
      <c r="C8" s="19" t="n"/>
      <c r="D8" s="19">
        <f>IF(C8="","",VLOOKUP(C8,'_Données Employés'!$B$5:$S$114,3,FALSE))</f>
        <v/>
      </c>
      <c r="E8" s="19">
        <f>IF(C8="","",VLOOKUP(C8,'_Données Employés'!$B$5:$S$114,10,FALSE))</f>
        <v/>
      </c>
      <c r="F8" s="19" t="n"/>
      <c r="G8" s="19" t="n"/>
      <c r="H8" s="19" t="n"/>
      <c r="I8" s="20">
        <f>IF(F8="","",IFERROR(F8+G8+H8,0))</f>
        <v/>
      </c>
      <c r="J8" s="20">
        <f>IF(I8="","",IFERROR(I8*12,0))</f>
        <v/>
      </c>
      <c r="K8" s="20">
        <f>IF(F8="","",IFERROR(I8/F8,0))</f>
        <v/>
      </c>
    </row>
    <row r="9" ht="22" customHeight="1">
      <c r="B9" s="21">
        <f>IF(C9="","COUT"&amp;TEXT(COUNTA($C$5:C9),"000"))</f>
        <v/>
      </c>
      <c r="C9" s="21" t="n"/>
      <c r="D9" s="21">
        <f>IF(C9="","",VLOOKUP(C9,'_Données Employés'!$B$5:$S$114,3,FALSE))</f>
        <v/>
      </c>
      <c r="E9" s="21">
        <f>IF(C9="","",VLOOKUP(C9,'_Données Employés'!$B$5:$S$114,10,FALSE))</f>
        <v/>
      </c>
      <c r="F9" s="21" t="n"/>
      <c r="G9" s="21" t="n"/>
      <c r="H9" s="21" t="n"/>
      <c r="I9" s="16">
        <f>IF(F9="","",IFERROR(F9+G9+H9,0))</f>
        <v/>
      </c>
      <c r="J9" s="16">
        <f>IF(I9="","",IFERROR(I9*12,0))</f>
        <v/>
      </c>
      <c r="K9" s="16">
        <f>IF(F9="","",IFERROR(I9/F9,0))</f>
        <v/>
      </c>
    </row>
    <row r="10" ht="22" customHeight="1">
      <c r="B10" s="22">
        <f>IF(C10="","COUT"&amp;TEXT(COUNTA($C$5:C10),"000"))</f>
        <v/>
      </c>
      <c r="C10" s="22" t="n"/>
      <c r="D10" s="22">
        <f>IF(C10="","",VLOOKUP(C10,'_Données Employés'!$B$5:$S$114,3,FALSE))</f>
        <v/>
      </c>
      <c r="E10" s="22">
        <f>IF(C10="","",VLOOKUP(C10,'_Données Employés'!$B$5:$S$114,10,FALSE))</f>
        <v/>
      </c>
      <c r="F10" s="22" t="n"/>
      <c r="G10" s="22" t="n"/>
      <c r="H10" s="22" t="n"/>
      <c r="I10" s="18">
        <f>IF(F10="","",IFERROR(F10+G10+H10,0))</f>
        <v/>
      </c>
      <c r="J10" s="18">
        <f>IF(I10="","",IFERROR(I10*12,0))</f>
        <v/>
      </c>
      <c r="K10" s="18">
        <f>IF(F10="","",IFERROR(I10/F10,0))</f>
        <v/>
      </c>
    </row>
    <row r="11" ht="22" customHeight="1">
      <c r="B11" s="21">
        <f>IF(C11="","COUT"&amp;TEXT(COUNTA($C$5:C11),"000"))</f>
        <v/>
      </c>
      <c r="C11" s="21" t="n"/>
      <c r="D11" s="21">
        <f>IF(C11="","",VLOOKUP(C11,'_Données Employés'!$B$5:$S$114,3,FALSE))</f>
        <v/>
      </c>
      <c r="E11" s="21">
        <f>IF(C11="","",VLOOKUP(C11,'_Données Employés'!$B$5:$S$114,10,FALSE))</f>
        <v/>
      </c>
      <c r="F11" s="21" t="n"/>
      <c r="G11" s="21" t="n"/>
      <c r="H11" s="21" t="n"/>
      <c r="I11" s="16">
        <f>IF(F11="","",IFERROR(F11+G11+H11,0))</f>
        <v/>
      </c>
      <c r="J11" s="16">
        <f>IF(I11="","",IFERROR(I11*12,0))</f>
        <v/>
      </c>
      <c r="K11" s="16">
        <f>IF(F11="","",IFERROR(I11/F11,0))</f>
        <v/>
      </c>
    </row>
    <row r="12" ht="22" customHeight="1">
      <c r="B12" s="22">
        <f>IF(C12="","COUT"&amp;TEXT(COUNTA($C$5:C12),"000"))</f>
        <v/>
      </c>
      <c r="C12" s="22" t="n"/>
      <c r="D12" s="22">
        <f>IF(C12="","",VLOOKUP(C12,'_Données Employés'!$B$5:$S$114,3,FALSE))</f>
        <v/>
      </c>
      <c r="E12" s="22">
        <f>IF(C12="","",VLOOKUP(C12,'_Données Employés'!$B$5:$S$114,10,FALSE))</f>
        <v/>
      </c>
      <c r="F12" s="22" t="n"/>
      <c r="G12" s="22" t="n"/>
      <c r="H12" s="22" t="n"/>
      <c r="I12" s="18">
        <f>IF(F12="","",IFERROR(F12+G12+H12,0))</f>
        <v/>
      </c>
      <c r="J12" s="18">
        <f>IF(I12="","",IFERROR(I12*12,0))</f>
        <v/>
      </c>
      <c r="K12" s="18">
        <f>IF(F12="","",IFERROR(I12/F12,0))</f>
        <v/>
      </c>
    </row>
    <row r="13" ht="22" customHeight="1">
      <c r="B13" s="21">
        <f>IF(C13="","COUT"&amp;TEXT(COUNTA($C$5:C13),"000"))</f>
        <v/>
      </c>
      <c r="C13" s="21" t="n"/>
      <c r="D13" s="21">
        <f>IF(C13="","",VLOOKUP(C13,'_Données Employés'!$B$5:$S$114,3,FALSE))</f>
        <v/>
      </c>
      <c r="E13" s="21">
        <f>IF(C13="","",VLOOKUP(C13,'_Données Employés'!$B$5:$S$114,10,FALSE))</f>
        <v/>
      </c>
      <c r="F13" s="21" t="n"/>
      <c r="G13" s="21" t="n"/>
      <c r="H13" s="21" t="n"/>
      <c r="I13" s="16">
        <f>IF(F13="","",IFERROR(F13+G13+H13,0))</f>
        <v/>
      </c>
      <c r="J13" s="16">
        <f>IF(I13="","",IFERROR(I13*12,0))</f>
        <v/>
      </c>
      <c r="K13" s="16">
        <f>IF(F13="","",IFERROR(I13/F13,0))</f>
        <v/>
      </c>
    </row>
    <row r="14" ht="22" customHeight="1">
      <c r="B14" s="22">
        <f>IF(C14="","COUT"&amp;TEXT(COUNTA($C$5:C14),"000"))</f>
        <v/>
      </c>
      <c r="C14" s="22" t="n"/>
      <c r="D14" s="22">
        <f>IF(C14="","",VLOOKUP(C14,'_Données Employés'!$B$5:$S$114,3,FALSE))</f>
        <v/>
      </c>
      <c r="E14" s="22">
        <f>IF(C14="","",VLOOKUP(C14,'_Données Employés'!$B$5:$S$114,10,FALSE))</f>
        <v/>
      </c>
      <c r="F14" s="22" t="n"/>
      <c r="G14" s="22" t="n"/>
      <c r="H14" s="22" t="n"/>
      <c r="I14" s="18">
        <f>IF(F14="","",IFERROR(F14+G14+H14,0))</f>
        <v/>
      </c>
      <c r="J14" s="18">
        <f>IF(I14="","",IFERROR(I14*12,0))</f>
        <v/>
      </c>
      <c r="K14" s="18">
        <f>IF(F14="","",IFERROR(I14/F14,0))</f>
        <v/>
      </c>
    </row>
    <row r="15" ht="22" customHeight="1">
      <c r="B15" s="21">
        <f>IF(C15="","COUT"&amp;TEXT(COUNTA($C$5:C15),"000"))</f>
        <v/>
      </c>
      <c r="C15" s="21" t="n"/>
      <c r="D15" s="21">
        <f>IF(C15="","",VLOOKUP(C15,'_Données Employés'!$B$5:$S$114,3,FALSE))</f>
        <v/>
      </c>
      <c r="E15" s="21">
        <f>IF(C15="","",VLOOKUP(C15,'_Données Employés'!$B$5:$S$114,10,FALSE))</f>
        <v/>
      </c>
      <c r="F15" s="21" t="n"/>
      <c r="G15" s="21" t="n"/>
      <c r="H15" s="21" t="n"/>
      <c r="I15" s="16">
        <f>IF(F15="","",IFERROR(F15+G15+H15,0))</f>
        <v/>
      </c>
      <c r="J15" s="16">
        <f>IF(I15="","",IFERROR(I15*12,0))</f>
        <v/>
      </c>
      <c r="K15" s="16">
        <f>IF(F15="","",IFERROR(I15/F15,0))</f>
        <v/>
      </c>
    </row>
    <row r="16" ht="22" customHeight="1">
      <c r="B16" s="22">
        <f>IF(C16="","COUT"&amp;TEXT(COUNTA($C$5:C16),"000"))</f>
        <v/>
      </c>
      <c r="C16" s="22" t="n"/>
      <c r="D16" s="22">
        <f>IF(C16="","",VLOOKUP(C16,'_Données Employés'!$B$5:$S$114,3,FALSE))</f>
        <v/>
      </c>
      <c r="E16" s="22">
        <f>IF(C16="","",VLOOKUP(C16,'_Données Employés'!$B$5:$S$114,10,FALSE))</f>
        <v/>
      </c>
      <c r="F16" s="22" t="n"/>
      <c r="G16" s="22" t="n"/>
      <c r="H16" s="22" t="n"/>
      <c r="I16" s="18">
        <f>IF(F16="","",IFERROR(F16+G16+H16,0))</f>
        <v/>
      </c>
      <c r="J16" s="18">
        <f>IF(I16="","",IFERROR(I16*12,0))</f>
        <v/>
      </c>
      <c r="K16" s="18">
        <f>IF(F16="","",IFERROR(I16/F16,0))</f>
        <v/>
      </c>
    </row>
    <row r="17" ht="22" customHeight="1">
      <c r="B17" s="21">
        <f>IF(C17="","COUT"&amp;TEXT(COUNTA($C$5:C17),"000"))</f>
        <v/>
      </c>
      <c r="C17" s="21" t="n"/>
      <c r="D17" s="21">
        <f>IF(C17="","",VLOOKUP(C17,'_Données Employés'!$B$5:$S$114,3,FALSE))</f>
        <v/>
      </c>
      <c r="E17" s="21">
        <f>IF(C17="","",VLOOKUP(C17,'_Données Employés'!$B$5:$S$114,10,FALSE))</f>
        <v/>
      </c>
      <c r="F17" s="21" t="n"/>
      <c r="G17" s="21" t="n"/>
      <c r="H17" s="21" t="n"/>
      <c r="I17" s="16">
        <f>IF(F17="","",IFERROR(F17+G17+H17,0))</f>
        <v/>
      </c>
      <c r="J17" s="16">
        <f>IF(I17="","",IFERROR(I17*12,0))</f>
        <v/>
      </c>
      <c r="K17" s="16">
        <f>IF(F17="","",IFERROR(I17/F17,0))</f>
        <v/>
      </c>
    </row>
    <row r="18" ht="22" customHeight="1">
      <c r="B18" s="22">
        <f>IF(C18="","COUT"&amp;TEXT(COUNTA($C$5:C18),"000"))</f>
        <v/>
      </c>
      <c r="C18" s="22" t="n"/>
      <c r="D18" s="22">
        <f>IF(C18="","",VLOOKUP(C18,'_Données Employés'!$B$5:$S$114,3,FALSE))</f>
        <v/>
      </c>
      <c r="E18" s="22">
        <f>IF(C18="","",VLOOKUP(C18,'_Données Employés'!$B$5:$S$114,10,FALSE))</f>
        <v/>
      </c>
      <c r="F18" s="22" t="n"/>
      <c r="G18" s="22" t="n"/>
      <c r="H18" s="22" t="n"/>
      <c r="I18" s="18">
        <f>IF(F18="","",IFERROR(F18+G18+H18,0))</f>
        <v/>
      </c>
      <c r="J18" s="18">
        <f>IF(I18="","",IFERROR(I18*12,0))</f>
        <v/>
      </c>
      <c r="K18" s="18">
        <f>IF(F18="","",IFERROR(I18/F18,0))</f>
        <v/>
      </c>
    </row>
    <row r="19" ht="22" customHeight="1">
      <c r="B19" s="21">
        <f>IF(C19="","COUT"&amp;TEXT(COUNTA($C$5:C19),"000"))</f>
        <v/>
      </c>
      <c r="C19" s="21" t="n"/>
      <c r="D19" s="21">
        <f>IF(C19="","",VLOOKUP(C19,'_Données Employés'!$B$5:$S$114,3,FALSE))</f>
        <v/>
      </c>
      <c r="E19" s="21">
        <f>IF(C19="","",VLOOKUP(C19,'_Données Employés'!$B$5:$S$114,10,FALSE))</f>
        <v/>
      </c>
      <c r="F19" s="21" t="n"/>
      <c r="G19" s="21" t="n"/>
      <c r="H19" s="21" t="n"/>
      <c r="I19" s="16">
        <f>IF(F19="","",IFERROR(F19+G19+H19,0))</f>
        <v/>
      </c>
      <c r="J19" s="16">
        <f>IF(I19="","",IFERROR(I19*12,0))</f>
        <v/>
      </c>
      <c r="K19" s="16">
        <f>IF(F19="","",IFERROR(I19/F19,0))</f>
        <v/>
      </c>
    </row>
    <row r="20" ht="22" customHeight="1">
      <c r="B20" s="22">
        <f>IF(C20="","COUT"&amp;TEXT(COUNTA($C$5:C20),"000"))</f>
        <v/>
      </c>
      <c r="C20" s="22" t="n"/>
      <c r="D20" s="22">
        <f>IF(C20="","",VLOOKUP(C20,'_Données Employés'!$B$5:$S$114,3,FALSE))</f>
        <v/>
      </c>
      <c r="E20" s="22">
        <f>IF(C20="","",VLOOKUP(C20,'_Données Employés'!$B$5:$S$114,10,FALSE))</f>
        <v/>
      </c>
      <c r="F20" s="22" t="n"/>
      <c r="G20" s="22" t="n"/>
      <c r="H20" s="22" t="n"/>
      <c r="I20" s="18">
        <f>IF(F20="","",IFERROR(F20+G20+H20,0))</f>
        <v/>
      </c>
      <c r="J20" s="18">
        <f>IF(I20="","",IFERROR(I20*12,0))</f>
        <v/>
      </c>
      <c r="K20" s="18">
        <f>IF(F20="","",IFERROR(I20/F20,0))</f>
        <v/>
      </c>
    </row>
    <row r="21" ht="22" customHeight="1">
      <c r="B21" s="21">
        <f>IF(C21="","COUT"&amp;TEXT(COUNTA($C$5:C21),"000"))</f>
        <v/>
      </c>
      <c r="C21" s="21" t="n"/>
      <c r="D21" s="21">
        <f>IF(C21="","",VLOOKUP(C21,'_Données Employés'!$B$5:$S$114,3,FALSE))</f>
        <v/>
      </c>
      <c r="E21" s="21">
        <f>IF(C21="","",VLOOKUP(C21,'_Données Employés'!$B$5:$S$114,10,FALSE))</f>
        <v/>
      </c>
      <c r="F21" s="21" t="n"/>
      <c r="G21" s="21" t="n"/>
      <c r="H21" s="21" t="n"/>
      <c r="I21" s="16">
        <f>IF(F21="","",IFERROR(F21+G21+H21,0))</f>
        <v/>
      </c>
      <c r="J21" s="16">
        <f>IF(I21="","",IFERROR(I21*12,0))</f>
        <v/>
      </c>
      <c r="K21" s="16">
        <f>IF(F21="","",IFERROR(I21/F21,0))</f>
        <v/>
      </c>
    </row>
    <row r="22" ht="22" customHeight="1">
      <c r="B22" s="22">
        <f>IF(C22="","COUT"&amp;TEXT(COUNTA($C$5:C22),"000"))</f>
        <v/>
      </c>
      <c r="C22" s="22" t="n"/>
      <c r="D22" s="22">
        <f>IF(C22="","",VLOOKUP(C22,'_Données Employés'!$B$5:$S$114,3,FALSE))</f>
        <v/>
      </c>
      <c r="E22" s="22">
        <f>IF(C22="","",VLOOKUP(C22,'_Données Employés'!$B$5:$S$114,10,FALSE))</f>
        <v/>
      </c>
      <c r="F22" s="22" t="n"/>
      <c r="G22" s="22" t="n"/>
      <c r="H22" s="22" t="n"/>
      <c r="I22" s="18">
        <f>IF(F22="","",IFERROR(F22+G22+H22,0))</f>
        <v/>
      </c>
      <c r="J22" s="18">
        <f>IF(I22="","",IFERROR(I22*12,0))</f>
        <v/>
      </c>
      <c r="K22" s="18">
        <f>IF(F22="","",IFERROR(I22/F22,0))</f>
        <v/>
      </c>
    </row>
    <row r="23" ht="22" customHeight="1">
      <c r="B23" s="21">
        <f>IF(C23="","COUT"&amp;TEXT(COUNTA($C$5:C23),"000"))</f>
        <v/>
      </c>
      <c r="C23" s="21" t="n"/>
      <c r="D23" s="21">
        <f>IF(C23="","",VLOOKUP(C23,'_Données Employés'!$B$5:$S$114,3,FALSE))</f>
        <v/>
      </c>
      <c r="E23" s="21">
        <f>IF(C23="","",VLOOKUP(C23,'_Données Employés'!$B$5:$S$114,10,FALSE))</f>
        <v/>
      </c>
      <c r="F23" s="21" t="n"/>
      <c r="G23" s="21" t="n"/>
      <c r="H23" s="21" t="n"/>
      <c r="I23" s="16">
        <f>IF(F23="","",IFERROR(F23+G23+H23,0))</f>
        <v/>
      </c>
      <c r="J23" s="16">
        <f>IF(I23="","",IFERROR(I23*12,0))</f>
        <v/>
      </c>
      <c r="K23" s="16">
        <f>IF(F23="","",IFERROR(I23/F23,0))</f>
        <v/>
      </c>
    </row>
    <row r="24" ht="22" customHeight="1">
      <c r="B24" s="22">
        <f>IF(C24="","COUT"&amp;TEXT(COUNTA($C$5:C24),"000"))</f>
        <v/>
      </c>
      <c r="C24" s="22" t="n"/>
      <c r="D24" s="22">
        <f>IF(C24="","",VLOOKUP(C24,'_Données Employés'!$B$5:$S$114,3,FALSE))</f>
        <v/>
      </c>
      <c r="E24" s="22">
        <f>IF(C24="","",VLOOKUP(C24,'_Données Employés'!$B$5:$S$114,10,FALSE))</f>
        <v/>
      </c>
      <c r="F24" s="22" t="n"/>
      <c r="G24" s="22" t="n"/>
      <c r="H24" s="22" t="n"/>
      <c r="I24" s="18">
        <f>IF(F24="","",IFERROR(F24+G24+H24,0))</f>
        <v/>
      </c>
      <c r="J24" s="18">
        <f>IF(I24="","",IFERROR(I24*12,0))</f>
        <v/>
      </c>
      <c r="K24" s="18">
        <f>IF(F24="","",IFERROR(I24/F24,0))</f>
        <v/>
      </c>
    </row>
    <row r="25" ht="22" customHeight="1">
      <c r="B25" s="21">
        <f>IF(C25="","COUT"&amp;TEXT(COUNTA($C$5:C25),"000"))</f>
        <v/>
      </c>
      <c r="C25" s="21" t="n"/>
      <c r="D25" s="21">
        <f>IF(C25="","",VLOOKUP(C25,'_Données Employés'!$B$5:$S$114,3,FALSE))</f>
        <v/>
      </c>
      <c r="E25" s="21">
        <f>IF(C25="","",VLOOKUP(C25,'_Données Employés'!$B$5:$S$114,10,FALSE))</f>
        <v/>
      </c>
      <c r="F25" s="21" t="n"/>
      <c r="G25" s="21" t="n"/>
      <c r="H25" s="21" t="n"/>
      <c r="I25" s="16">
        <f>IF(F25="","",IFERROR(F25+G25+H25,0))</f>
        <v/>
      </c>
      <c r="J25" s="16">
        <f>IF(I25="","",IFERROR(I25*12,0))</f>
        <v/>
      </c>
      <c r="K25" s="16">
        <f>IF(F25="","",IFERROR(I25/F25,0))</f>
        <v/>
      </c>
    </row>
    <row r="26" ht="22" customHeight="1">
      <c r="B26" s="22">
        <f>IF(C26="","COUT"&amp;TEXT(COUNTA($C$5:C26),"000"))</f>
        <v/>
      </c>
      <c r="C26" s="22" t="n"/>
      <c r="D26" s="22">
        <f>IF(C26="","",VLOOKUP(C26,'_Données Employés'!$B$5:$S$114,3,FALSE))</f>
        <v/>
      </c>
      <c r="E26" s="22">
        <f>IF(C26="","",VLOOKUP(C26,'_Données Employés'!$B$5:$S$114,10,FALSE))</f>
        <v/>
      </c>
      <c r="F26" s="22" t="n"/>
      <c r="G26" s="22" t="n"/>
      <c r="H26" s="22" t="n"/>
      <c r="I26" s="18">
        <f>IF(F26="","",IFERROR(F26+G26+H26,0))</f>
        <v/>
      </c>
      <c r="J26" s="18">
        <f>IF(I26="","",IFERROR(I26*12,0))</f>
        <v/>
      </c>
      <c r="K26" s="18">
        <f>IF(F26="","",IFERROR(I26/F26,0))</f>
        <v/>
      </c>
    </row>
    <row r="27" ht="22" customHeight="1">
      <c r="B27" s="21">
        <f>IF(C27="","COUT"&amp;TEXT(COUNTA($C$5:C27),"000"))</f>
        <v/>
      </c>
      <c r="C27" s="21" t="n"/>
      <c r="D27" s="21">
        <f>IF(C27="","",VLOOKUP(C27,'_Données Employés'!$B$5:$S$114,3,FALSE))</f>
        <v/>
      </c>
      <c r="E27" s="21">
        <f>IF(C27="","",VLOOKUP(C27,'_Données Employés'!$B$5:$S$114,10,FALSE))</f>
        <v/>
      </c>
      <c r="F27" s="21" t="n"/>
      <c r="G27" s="21" t="n"/>
      <c r="H27" s="21" t="n"/>
      <c r="I27" s="16">
        <f>IF(F27="","",IFERROR(F27+G27+H27,0))</f>
        <v/>
      </c>
      <c r="J27" s="16">
        <f>IF(I27="","",IFERROR(I27*12,0))</f>
        <v/>
      </c>
      <c r="K27" s="16">
        <f>IF(F27="","",IFERROR(I27/F27,0))</f>
        <v/>
      </c>
    </row>
    <row r="28" ht="22" customHeight="1">
      <c r="B28" s="22">
        <f>IF(C28="","COUT"&amp;TEXT(COUNTA($C$5:C28),"000"))</f>
        <v/>
      </c>
      <c r="C28" s="22" t="n"/>
      <c r="D28" s="22">
        <f>IF(C28="","",VLOOKUP(C28,'_Données Employés'!$B$5:$S$114,3,FALSE))</f>
        <v/>
      </c>
      <c r="E28" s="22">
        <f>IF(C28="","",VLOOKUP(C28,'_Données Employés'!$B$5:$S$114,10,FALSE))</f>
        <v/>
      </c>
      <c r="F28" s="22" t="n"/>
      <c r="G28" s="22" t="n"/>
      <c r="H28" s="22" t="n"/>
      <c r="I28" s="18">
        <f>IF(F28="","",IFERROR(F28+G28+H28,0))</f>
        <v/>
      </c>
      <c r="J28" s="18">
        <f>IF(I28="","",IFERROR(I28*12,0))</f>
        <v/>
      </c>
      <c r="K28" s="18">
        <f>IF(F28="","",IFERROR(I28/F28,0))</f>
        <v/>
      </c>
    </row>
    <row r="29" ht="22" customHeight="1">
      <c r="B29" s="21">
        <f>IF(C29="","COUT"&amp;TEXT(COUNTA($C$5:C29),"000"))</f>
        <v/>
      </c>
      <c r="C29" s="21" t="n"/>
      <c r="D29" s="21">
        <f>IF(C29="","",VLOOKUP(C29,'_Données Employés'!$B$5:$S$114,3,FALSE))</f>
        <v/>
      </c>
      <c r="E29" s="21">
        <f>IF(C29="","",VLOOKUP(C29,'_Données Employés'!$B$5:$S$114,10,FALSE))</f>
        <v/>
      </c>
      <c r="F29" s="21" t="n"/>
      <c r="G29" s="21" t="n"/>
      <c r="H29" s="21" t="n"/>
      <c r="I29" s="16">
        <f>IF(F29="","",IFERROR(F29+G29+H29,0))</f>
        <v/>
      </c>
      <c r="J29" s="16">
        <f>IF(I29="","",IFERROR(I29*12,0))</f>
        <v/>
      </c>
      <c r="K29" s="16">
        <f>IF(F29="","",IFERROR(I29/F29,0))</f>
        <v/>
      </c>
    </row>
    <row r="30" ht="22" customHeight="1">
      <c r="B30" s="22">
        <f>IF(C30="","COUT"&amp;TEXT(COUNTA($C$5:C30),"000"))</f>
        <v/>
      </c>
      <c r="C30" s="22" t="n"/>
      <c r="D30" s="22">
        <f>IF(C30="","",VLOOKUP(C30,'_Données Employés'!$B$5:$S$114,3,FALSE))</f>
        <v/>
      </c>
      <c r="E30" s="22">
        <f>IF(C30="","",VLOOKUP(C30,'_Données Employés'!$B$5:$S$114,10,FALSE))</f>
        <v/>
      </c>
      <c r="F30" s="22" t="n"/>
      <c r="G30" s="22" t="n"/>
      <c r="H30" s="22" t="n"/>
      <c r="I30" s="18">
        <f>IF(F30="","",IFERROR(F30+G30+H30,0))</f>
        <v/>
      </c>
      <c r="J30" s="18">
        <f>IF(I30="","",IFERROR(I30*12,0))</f>
        <v/>
      </c>
      <c r="K30" s="18">
        <f>IF(F30="","",IFERROR(I30/F30,0))</f>
        <v/>
      </c>
    </row>
    <row r="31" ht="22" customHeight="1">
      <c r="B31" s="21">
        <f>IF(C31="","COUT"&amp;TEXT(COUNTA($C$5:C31),"000"))</f>
        <v/>
      </c>
      <c r="C31" s="21" t="n"/>
      <c r="D31" s="21">
        <f>IF(C31="","",VLOOKUP(C31,'_Données Employés'!$B$5:$S$114,3,FALSE))</f>
        <v/>
      </c>
      <c r="E31" s="21">
        <f>IF(C31="","",VLOOKUP(C31,'_Données Employés'!$B$5:$S$114,10,FALSE))</f>
        <v/>
      </c>
      <c r="F31" s="21" t="n"/>
      <c r="G31" s="21" t="n"/>
      <c r="H31" s="21" t="n"/>
      <c r="I31" s="16">
        <f>IF(F31="","",IFERROR(F31+G31+H31,0))</f>
        <v/>
      </c>
      <c r="J31" s="16">
        <f>IF(I31="","",IFERROR(I31*12,0))</f>
        <v/>
      </c>
      <c r="K31" s="16">
        <f>IF(F31="","",IFERROR(I31/F31,0))</f>
        <v/>
      </c>
    </row>
    <row r="32" ht="22" customHeight="1">
      <c r="B32" s="22">
        <f>IF(C32="","COUT"&amp;TEXT(COUNTA($C$5:C32),"000"))</f>
        <v/>
      </c>
      <c r="C32" s="22" t="n"/>
      <c r="D32" s="22">
        <f>IF(C32="","",VLOOKUP(C32,'_Données Employés'!$B$5:$S$114,3,FALSE))</f>
        <v/>
      </c>
      <c r="E32" s="22">
        <f>IF(C32="","",VLOOKUP(C32,'_Données Employés'!$B$5:$S$114,10,FALSE))</f>
        <v/>
      </c>
      <c r="F32" s="22" t="n"/>
      <c r="G32" s="22" t="n"/>
      <c r="H32" s="22" t="n"/>
      <c r="I32" s="18">
        <f>IF(F32="","",IFERROR(F32+G32+H32,0))</f>
        <v/>
      </c>
      <c r="J32" s="18">
        <f>IF(I32="","",IFERROR(I32*12,0))</f>
        <v/>
      </c>
      <c r="K32" s="18">
        <f>IF(F32="","",IFERROR(I32/F32,0))</f>
        <v/>
      </c>
    </row>
    <row r="33" ht="22" customHeight="1">
      <c r="B33" s="21">
        <f>IF(C33="","COUT"&amp;TEXT(COUNTA($C$5:C33),"000"))</f>
        <v/>
      </c>
      <c r="C33" s="21" t="n"/>
      <c r="D33" s="21">
        <f>IF(C33="","",VLOOKUP(C33,'_Données Employés'!$B$5:$S$114,3,FALSE))</f>
        <v/>
      </c>
      <c r="E33" s="21">
        <f>IF(C33="","",VLOOKUP(C33,'_Données Employés'!$B$5:$S$114,10,FALSE))</f>
        <v/>
      </c>
      <c r="F33" s="21" t="n"/>
      <c r="G33" s="21" t="n"/>
      <c r="H33" s="21" t="n"/>
      <c r="I33" s="16">
        <f>IF(F33="","",IFERROR(F33+G33+H33,0))</f>
        <v/>
      </c>
      <c r="J33" s="16">
        <f>IF(I33="","",IFERROR(I33*12,0))</f>
        <v/>
      </c>
      <c r="K33" s="16">
        <f>IF(F33="","",IFERROR(I33/F33,0))</f>
        <v/>
      </c>
    </row>
    <row r="34" ht="22" customHeight="1">
      <c r="B34" s="22">
        <f>IF(C34="","COUT"&amp;TEXT(COUNTA($C$5:C34),"000"))</f>
        <v/>
      </c>
      <c r="C34" s="22" t="n"/>
      <c r="D34" s="22">
        <f>IF(C34="","",VLOOKUP(C34,'_Données Employés'!$B$5:$S$114,3,FALSE))</f>
        <v/>
      </c>
      <c r="E34" s="22">
        <f>IF(C34="","",VLOOKUP(C34,'_Données Employés'!$B$5:$S$114,10,FALSE))</f>
        <v/>
      </c>
      <c r="F34" s="22" t="n"/>
      <c r="G34" s="22" t="n"/>
      <c r="H34" s="22" t="n"/>
      <c r="I34" s="18">
        <f>IF(F34="","",IFERROR(F34+G34+H34,0))</f>
        <v/>
      </c>
      <c r="J34" s="18">
        <f>IF(I34="","",IFERROR(I34*12,0))</f>
        <v/>
      </c>
      <c r="K34" s="18">
        <f>IF(F34="","",IFERROR(I34/F34,0))</f>
        <v/>
      </c>
    </row>
    <row r="35" ht="22" customHeight="1">
      <c r="B35" s="21">
        <f>IF(C35="","COUT"&amp;TEXT(COUNTA($C$5:C35),"000"))</f>
        <v/>
      </c>
      <c r="C35" s="21" t="n"/>
      <c r="D35" s="21">
        <f>IF(C35="","",VLOOKUP(C35,'_Données Employés'!$B$5:$S$114,3,FALSE))</f>
        <v/>
      </c>
      <c r="E35" s="21">
        <f>IF(C35="","",VLOOKUP(C35,'_Données Employés'!$B$5:$S$114,10,FALSE))</f>
        <v/>
      </c>
      <c r="F35" s="21" t="n"/>
      <c r="G35" s="21" t="n"/>
      <c r="H35" s="21" t="n"/>
      <c r="I35" s="16">
        <f>IF(F35="","",IFERROR(F35+G35+H35,0))</f>
        <v/>
      </c>
      <c r="J35" s="16">
        <f>IF(I35="","",IFERROR(I35*12,0))</f>
        <v/>
      </c>
      <c r="K35" s="16">
        <f>IF(F35="","",IFERROR(I35/F35,0))</f>
        <v/>
      </c>
    </row>
    <row r="36" ht="22" customHeight="1">
      <c r="B36" s="22">
        <f>IF(C36="","COUT"&amp;TEXT(COUNTA($C$5:C36),"000"))</f>
        <v/>
      </c>
      <c r="C36" s="22" t="n"/>
      <c r="D36" s="22">
        <f>IF(C36="","",VLOOKUP(C36,'_Données Employés'!$B$5:$S$114,3,FALSE))</f>
        <v/>
      </c>
      <c r="E36" s="22">
        <f>IF(C36="","",VLOOKUP(C36,'_Données Employés'!$B$5:$S$114,10,FALSE))</f>
        <v/>
      </c>
      <c r="F36" s="22" t="n"/>
      <c r="G36" s="22" t="n"/>
      <c r="H36" s="22" t="n"/>
      <c r="I36" s="18">
        <f>IF(F36="","",IFERROR(F36+G36+H36,0))</f>
        <v/>
      </c>
      <c r="J36" s="18">
        <f>IF(I36="","",IFERROR(I36*12,0))</f>
        <v/>
      </c>
      <c r="K36" s="18">
        <f>IF(F36="","",IFERROR(I36/F36,0))</f>
        <v/>
      </c>
    </row>
    <row r="37" ht="22" customHeight="1">
      <c r="B37" s="21">
        <f>IF(C37="","COUT"&amp;TEXT(COUNTA($C$5:C37),"000"))</f>
        <v/>
      </c>
      <c r="C37" s="21" t="n"/>
      <c r="D37" s="21">
        <f>IF(C37="","",VLOOKUP(C37,'_Données Employés'!$B$5:$S$114,3,FALSE))</f>
        <v/>
      </c>
      <c r="E37" s="21">
        <f>IF(C37="","",VLOOKUP(C37,'_Données Employés'!$B$5:$S$114,10,FALSE))</f>
        <v/>
      </c>
      <c r="F37" s="21" t="n"/>
      <c r="G37" s="21" t="n"/>
      <c r="H37" s="21" t="n"/>
      <c r="I37" s="16">
        <f>IF(F37="","",IFERROR(F37+G37+H37,0))</f>
        <v/>
      </c>
      <c r="J37" s="16">
        <f>IF(I37="","",IFERROR(I37*12,0))</f>
        <v/>
      </c>
      <c r="K37" s="16">
        <f>IF(F37="","",IFERROR(I37/F37,0))</f>
        <v/>
      </c>
    </row>
    <row r="38" ht="22" customHeight="1">
      <c r="B38" s="22">
        <f>IF(C38="","COUT"&amp;TEXT(COUNTA($C$5:C38),"000"))</f>
        <v/>
      </c>
      <c r="C38" s="22" t="n"/>
      <c r="D38" s="22">
        <f>IF(C38="","",VLOOKUP(C38,'_Données Employés'!$B$5:$S$114,3,FALSE))</f>
        <v/>
      </c>
      <c r="E38" s="22">
        <f>IF(C38="","",VLOOKUP(C38,'_Données Employés'!$B$5:$S$114,10,FALSE))</f>
        <v/>
      </c>
      <c r="F38" s="22" t="n"/>
      <c r="G38" s="22" t="n"/>
      <c r="H38" s="22" t="n"/>
      <c r="I38" s="18">
        <f>IF(F38="","",IFERROR(F38+G38+H38,0))</f>
        <v/>
      </c>
      <c r="J38" s="18">
        <f>IF(I38="","",IFERROR(I38*12,0))</f>
        <v/>
      </c>
      <c r="K38" s="18">
        <f>IF(F38="","",IFERROR(I38/F38,0))</f>
        <v/>
      </c>
    </row>
    <row r="39" ht="22" customHeight="1">
      <c r="B39" s="21">
        <f>IF(C39="","COUT"&amp;TEXT(COUNTA($C$5:C39),"000"))</f>
        <v/>
      </c>
      <c r="C39" s="21" t="n"/>
      <c r="D39" s="21">
        <f>IF(C39="","",VLOOKUP(C39,'_Données Employés'!$B$5:$S$114,3,FALSE))</f>
        <v/>
      </c>
      <c r="E39" s="21">
        <f>IF(C39="","",VLOOKUP(C39,'_Données Employés'!$B$5:$S$114,10,FALSE))</f>
        <v/>
      </c>
      <c r="F39" s="21" t="n"/>
      <c r="G39" s="21" t="n"/>
      <c r="H39" s="21" t="n"/>
      <c r="I39" s="16">
        <f>IF(F39="","",IFERROR(F39+G39+H39,0))</f>
        <v/>
      </c>
      <c r="J39" s="16">
        <f>IF(I39="","",IFERROR(I39*12,0))</f>
        <v/>
      </c>
      <c r="K39" s="16">
        <f>IF(F39="","",IFERROR(I39/F39,0))</f>
        <v/>
      </c>
    </row>
    <row r="40" ht="22" customHeight="1">
      <c r="B40" s="22">
        <f>IF(C40="","COUT"&amp;TEXT(COUNTA($C$5:C40),"000"))</f>
        <v/>
      </c>
      <c r="C40" s="22" t="n"/>
      <c r="D40" s="22">
        <f>IF(C40="","",VLOOKUP(C40,'_Données Employés'!$B$5:$S$114,3,FALSE))</f>
        <v/>
      </c>
      <c r="E40" s="22">
        <f>IF(C40="","",VLOOKUP(C40,'_Données Employés'!$B$5:$S$114,10,FALSE))</f>
        <v/>
      </c>
      <c r="F40" s="22" t="n"/>
      <c r="G40" s="22" t="n"/>
      <c r="H40" s="22" t="n"/>
      <c r="I40" s="18">
        <f>IF(F40="","",IFERROR(F40+G40+H40,0))</f>
        <v/>
      </c>
      <c r="J40" s="18">
        <f>IF(I40="","",IFERROR(I40*12,0))</f>
        <v/>
      </c>
      <c r="K40" s="18">
        <f>IF(F40="","",IFERROR(I40/F40,0))</f>
        <v/>
      </c>
    </row>
    <row r="41" ht="22" customHeight="1">
      <c r="B41" s="21">
        <f>IF(C41="","COUT"&amp;TEXT(COUNTA($C$5:C41),"000"))</f>
        <v/>
      </c>
      <c r="C41" s="21" t="n"/>
      <c r="D41" s="21">
        <f>IF(C41="","",VLOOKUP(C41,'_Données Employés'!$B$5:$S$114,3,FALSE))</f>
        <v/>
      </c>
      <c r="E41" s="21">
        <f>IF(C41="","",VLOOKUP(C41,'_Données Employés'!$B$5:$S$114,10,FALSE))</f>
        <v/>
      </c>
      <c r="F41" s="21" t="n"/>
      <c r="G41" s="21" t="n"/>
      <c r="H41" s="21" t="n"/>
      <c r="I41" s="16">
        <f>IF(F41="","",IFERROR(F41+G41+H41,0))</f>
        <v/>
      </c>
      <c r="J41" s="16">
        <f>IF(I41="","",IFERROR(I41*12,0))</f>
        <v/>
      </c>
      <c r="K41" s="16">
        <f>IF(F41="","",IFERROR(I41/F41,0))</f>
        <v/>
      </c>
    </row>
    <row r="42" ht="22" customHeight="1">
      <c r="B42" s="22">
        <f>IF(C42="","COUT"&amp;TEXT(COUNTA($C$5:C42),"000"))</f>
        <v/>
      </c>
      <c r="C42" s="22" t="n"/>
      <c r="D42" s="22">
        <f>IF(C42="","",VLOOKUP(C42,'_Données Employés'!$B$5:$S$114,3,FALSE))</f>
        <v/>
      </c>
      <c r="E42" s="22">
        <f>IF(C42="","",VLOOKUP(C42,'_Données Employés'!$B$5:$S$114,10,FALSE))</f>
        <v/>
      </c>
      <c r="F42" s="22" t="n"/>
      <c r="G42" s="22" t="n"/>
      <c r="H42" s="22" t="n"/>
      <c r="I42" s="18">
        <f>IF(F42="","",IFERROR(F42+G42+H42,0))</f>
        <v/>
      </c>
      <c r="J42" s="18">
        <f>IF(I42="","",IFERROR(I42*12,0))</f>
        <v/>
      </c>
      <c r="K42" s="18">
        <f>IF(F42="","",IFERROR(I42/F42,0))</f>
        <v/>
      </c>
    </row>
    <row r="43" ht="22" customHeight="1">
      <c r="B43" s="21">
        <f>IF(C43="","COUT"&amp;TEXT(COUNTA($C$5:C43),"000"))</f>
        <v/>
      </c>
      <c r="C43" s="21" t="n"/>
      <c r="D43" s="21">
        <f>IF(C43="","",VLOOKUP(C43,'_Données Employés'!$B$5:$S$114,3,FALSE))</f>
        <v/>
      </c>
      <c r="E43" s="21">
        <f>IF(C43="","",VLOOKUP(C43,'_Données Employés'!$B$5:$S$114,10,FALSE))</f>
        <v/>
      </c>
      <c r="F43" s="21" t="n"/>
      <c r="G43" s="21" t="n"/>
      <c r="H43" s="21" t="n"/>
      <c r="I43" s="16">
        <f>IF(F43="","",IFERROR(F43+G43+H43,0))</f>
        <v/>
      </c>
      <c r="J43" s="16">
        <f>IF(I43="","",IFERROR(I43*12,0))</f>
        <v/>
      </c>
      <c r="K43" s="16">
        <f>IF(F43="","",IFERROR(I43/F43,0))</f>
        <v/>
      </c>
    </row>
    <row r="44" ht="22" customHeight="1">
      <c r="B44" s="22">
        <f>IF(C44="","COUT"&amp;TEXT(COUNTA($C$5:C44),"000"))</f>
        <v/>
      </c>
      <c r="C44" s="22" t="n"/>
      <c r="D44" s="22">
        <f>IF(C44="","",VLOOKUP(C44,'_Données Employés'!$B$5:$S$114,3,FALSE))</f>
        <v/>
      </c>
      <c r="E44" s="22">
        <f>IF(C44="","",VLOOKUP(C44,'_Données Employés'!$B$5:$S$114,10,FALSE))</f>
        <v/>
      </c>
      <c r="F44" s="22" t="n"/>
      <c r="G44" s="22" t="n"/>
      <c r="H44" s="22" t="n"/>
      <c r="I44" s="18">
        <f>IF(F44="","",IFERROR(F44+G44+H44,0))</f>
        <v/>
      </c>
      <c r="J44" s="18">
        <f>IF(I44="","",IFERROR(I44*12,0))</f>
        <v/>
      </c>
      <c r="K44" s="18">
        <f>IF(F44="","",IFERROR(I44/F44,0))</f>
        <v/>
      </c>
    </row>
    <row r="45" ht="22" customHeight="1">
      <c r="B45" s="21">
        <f>IF(C45="","COUT"&amp;TEXT(COUNTA($C$5:C45),"000"))</f>
        <v/>
      </c>
      <c r="C45" s="21" t="n"/>
      <c r="D45" s="21">
        <f>IF(C45="","",VLOOKUP(C45,'_Données Employés'!$B$5:$S$114,3,FALSE))</f>
        <v/>
      </c>
      <c r="E45" s="21">
        <f>IF(C45="","",VLOOKUP(C45,'_Données Employés'!$B$5:$S$114,10,FALSE))</f>
        <v/>
      </c>
      <c r="F45" s="21" t="n"/>
      <c r="G45" s="21" t="n"/>
      <c r="H45" s="21" t="n"/>
      <c r="I45" s="16">
        <f>IF(F45="","",IFERROR(F45+G45+H45,0))</f>
        <v/>
      </c>
      <c r="J45" s="16">
        <f>IF(I45="","",IFERROR(I45*12,0))</f>
        <v/>
      </c>
      <c r="K45" s="16">
        <f>IF(F45="","",IFERROR(I45/F45,0))</f>
        <v/>
      </c>
    </row>
    <row r="46" ht="22" customHeight="1">
      <c r="B46" s="22">
        <f>IF(C46="","COUT"&amp;TEXT(COUNTA($C$5:C46),"000"))</f>
        <v/>
      </c>
      <c r="C46" s="22" t="n"/>
      <c r="D46" s="22">
        <f>IF(C46="","",VLOOKUP(C46,'_Données Employés'!$B$5:$S$114,3,FALSE))</f>
        <v/>
      </c>
      <c r="E46" s="22">
        <f>IF(C46="","",VLOOKUP(C46,'_Données Employés'!$B$5:$S$114,10,FALSE))</f>
        <v/>
      </c>
      <c r="F46" s="22" t="n"/>
      <c r="G46" s="22" t="n"/>
      <c r="H46" s="22" t="n"/>
      <c r="I46" s="18">
        <f>IF(F46="","",IFERROR(F46+G46+H46,0))</f>
        <v/>
      </c>
      <c r="J46" s="18">
        <f>IF(I46="","",IFERROR(I46*12,0))</f>
        <v/>
      </c>
      <c r="K46" s="18">
        <f>IF(F46="","",IFERROR(I46/F46,0))</f>
        <v/>
      </c>
    </row>
    <row r="47" ht="22" customHeight="1">
      <c r="B47" s="21">
        <f>IF(C47="","COUT"&amp;TEXT(COUNTA($C$5:C47),"000"))</f>
        <v/>
      </c>
      <c r="C47" s="21" t="n"/>
      <c r="D47" s="21">
        <f>IF(C47="","",VLOOKUP(C47,'_Données Employés'!$B$5:$S$114,3,FALSE))</f>
        <v/>
      </c>
      <c r="E47" s="21">
        <f>IF(C47="","",VLOOKUP(C47,'_Données Employés'!$B$5:$S$114,10,FALSE))</f>
        <v/>
      </c>
      <c r="F47" s="21" t="n"/>
      <c r="G47" s="21" t="n"/>
      <c r="H47" s="21" t="n"/>
      <c r="I47" s="16">
        <f>IF(F47="","",IFERROR(F47+G47+H47,0))</f>
        <v/>
      </c>
      <c r="J47" s="16">
        <f>IF(I47="","",IFERROR(I47*12,0))</f>
        <v/>
      </c>
      <c r="K47" s="16">
        <f>IF(F47="","",IFERROR(I47/F47,0))</f>
        <v/>
      </c>
    </row>
    <row r="48" ht="22" customHeight="1">
      <c r="B48" s="22">
        <f>IF(C48="","COUT"&amp;TEXT(COUNTA($C$5:C48),"000"))</f>
        <v/>
      </c>
      <c r="C48" s="22" t="n"/>
      <c r="D48" s="22">
        <f>IF(C48="","",VLOOKUP(C48,'_Données Employés'!$B$5:$S$114,3,FALSE))</f>
        <v/>
      </c>
      <c r="E48" s="22">
        <f>IF(C48="","",VLOOKUP(C48,'_Données Employés'!$B$5:$S$114,10,FALSE))</f>
        <v/>
      </c>
      <c r="F48" s="22" t="n"/>
      <c r="G48" s="22" t="n"/>
      <c r="H48" s="22" t="n"/>
      <c r="I48" s="18">
        <f>IF(F48="","",IFERROR(F48+G48+H48,0))</f>
        <v/>
      </c>
      <c r="J48" s="18">
        <f>IF(I48="","",IFERROR(I48*12,0))</f>
        <v/>
      </c>
      <c r="K48" s="18">
        <f>IF(F48="","",IFERROR(I48/F48,0))</f>
        <v/>
      </c>
    </row>
    <row r="49" ht="22" customHeight="1">
      <c r="B49" s="21">
        <f>IF(C49="","COUT"&amp;TEXT(COUNTA($C$5:C49),"000"))</f>
        <v/>
      </c>
      <c r="C49" s="21" t="n"/>
      <c r="D49" s="21">
        <f>IF(C49="","",VLOOKUP(C49,'_Données Employés'!$B$5:$S$114,3,FALSE))</f>
        <v/>
      </c>
      <c r="E49" s="21">
        <f>IF(C49="","",VLOOKUP(C49,'_Données Employés'!$B$5:$S$114,10,FALSE))</f>
        <v/>
      </c>
      <c r="F49" s="21" t="n"/>
      <c r="G49" s="21" t="n"/>
      <c r="H49" s="21" t="n"/>
      <c r="I49" s="16">
        <f>IF(F49="","",IFERROR(F49+G49+H49,0))</f>
        <v/>
      </c>
      <c r="J49" s="16">
        <f>IF(I49="","",IFERROR(I49*12,0))</f>
        <v/>
      </c>
      <c r="K49" s="16">
        <f>IF(F49="","",IFERROR(I49/F49,0))</f>
        <v/>
      </c>
    </row>
    <row r="50" ht="22" customHeight="1">
      <c r="B50" s="22">
        <f>IF(C50="","COUT"&amp;TEXT(COUNTA($C$5:C50),"000"))</f>
        <v/>
      </c>
      <c r="C50" s="22" t="n"/>
      <c r="D50" s="22">
        <f>IF(C50="","",VLOOKUP(C50,'_Données Employés'!$B$5:$S$114,3,FALSE))</f>
        <v/>
      </c>
      <c r="E50" s="22">
        <f>IF(C50="","",VLOOKUP(C50,'_Données Employés'!$B$5:$S$114,10,FALSE))</f>
        <v/>
      </c>
      <c r="F50" s="22" t="n"/>
      <c r="G50" s="22" t="n"/>
      <c r="H50" s="22" t="n"/>
      <c r="I50" s="18">
        <f>IF(F50="","",IFERROR(F50+G50+H50,0))</f>
        <v/>
      </c>
      <c r="J50" s="18">
        <f>IF(I50="","",IFERROR(I50*12,0))</f>
        <v/>
      </c>
      <c r="K50" s="18">
        <f>IF(F50="","",IFERROR(I50/F50,0))</f>
        <v/>
      </c>
    </row>
    <row r="51" ht="22" customHeight="1">
      <c r="B51" s="21">
        <f>IF(C51="","COUT"&amp;TEXT(COUNTA($C$5:C51),"000"))</f>
        <v/>
      </c>
      <c r="C51" s="21" t="n"/>
      <c r="D51" s="21">
        <f>IF(C51="","",VLOOKUP(C51,'_Données Employés'!$B$5:$S$114,3,FALSE))</f>
        <v/>
      </c>
      <c r="E51" s="21">
        <f>IF(C51="","",VLOOKUP(C51,'_Données Employés'!$B$5:$S$114,10,FALSE))</f>
        <v/>
      </c>
      <c r="F51" s="21" t="n"/>
      <c r="G51" s="21" t="n"/>
      <c r="H51" s="21" t="n"/>
      <c r="I51" s="16">
        <f>IF(F51="","",IFERROR(F51+G51+H51,0))</f>
        <v/>
      </c>
      <c r="J51" s="16">
        <f>IF(I51="","",IFERROR(I51*12,0))</f>
        <v/>
      </c>
      <c r="K51" s="16">
        <f>IF(F51="","",IFERROR(I51/F51,0))</f>
        <v/>
      </c>
    </row>
    <row r="52" ht="22" customHeight="1">
      <c r="B52" s="22">
        <f>IF(C52="","COUT"&amp;TEXT(COUNTA($C$5:C52),"000"))</f>
        <v/>
      </c>
      <c r="C52" s="22" t="n"/>
      <c r="D52" s="22">
        <f>IF(C52="","",VLOOKUP(C52,'_Données Employés'!$B$5:$S$114,3,FALSE))</f>
        <v/>
      </c>
      <c r="E52" s="22">
        <f>IF(C52="","",VLOOKUP(C52,'_Données Employés'!$B$5:$S$114,10,FALSE))</f>
        <v/>
      </c>
      <c r="F52" s="22" t="n"/>
      <c r="G52" s="22" t="n"/>
      <c r="H52" s="22" t="n"/>
      <c r="I52" s="18">
        <f>IF(F52="","",IFERROR(F52+G52+H52,0))</f>
        <v/>
      </c>
      <c r="J52" s="18">
        <f>IF(I52="","",IFERROR(I52*12,0))</f>
        <v/>
      </c>
      <c r="K52" s="18">
        <f>IF(F52="","",IFERROR(I52/F52,0))</f>
        <v/>
      </c>
    </row>
    <row r="53" ht="22" customHeight="1">
      <c r="B53" s="21">
        <f>IF(C53="","COUT"&amp;TEXT(COUNTA($C$5:C53),"000"))</f>
        <v/>
      </c>
      <c r="C53" s="21" t="n"/>
      <c r="D53" s="21">
        <f>IF(C53="","",VLOOKUP(C53,'_Données Employés'!$B$5:$S$114,3,FALSE))</f>
        <v/>
      </c>
      <c r="E53" s="21">
        <f>IF(C53="","",VLOOKUP(C53,'_Données Employés'!$B$5:$S$114,10,FALSE))</f>
        <v/>
      </c>
      <c r="F53" s="21" t="n"/>
      <c r="G53" s="21" t="n"/>
      <c r="H53" s="21" t="n"/>
      <c r="I53" s="16">
        <f>IF(F53="","",IFERROR(F53+G53+H53,0))</f>
        <v/>
      </c>
      <c r="J53" s="16">
        <f>IF(I53="","",IFERROR(I53*12,0))</f>
        <v/>
      </c>
      <c r="K53" s="16">
        <f>IF(F53="","",IFERROR(I53/F53,0))</f>
        <v/>
      </c>
    </row>
    <row r="54" ht="22" customHeight="1">
      <c r="B54" s="22">
        <f>IF(C54="","COUT"&amp;TEXT(COUNTA($C$5:C54),"000"))</f>
        <v/>
      </c>
      <c r="C54" s="22" t="n"/>
      <c r="D54" s="22">
        <f>IF(C54="","",VLOOKUP(C54,'_Données Employés'!$B$5:$S$114,3,FALSE))</f>
        <v/>
      </c>
      <c r="E54" s="22">
        <f>IF(C54="","",VLOOKUP(C54,'_Données Employés'!$B$5:$S$114,10,FALSE))</f>
        <v/>
      </c>
      <c r="F54" s="22" t="n"/>
      <c r="G54" s="22" t="n"/>
      <c r="H54" s="22" t="n"/>
      <c r="I54" s="18">
        <f>IF(F54="","",IFERROR(F54+G54+H54,0))</f>
        <v/>
      </c>
      <c r="J54" s="18">
        <f>IF(I54="","",IFERROR(I54*12,0))</f>
        <v/>
      </c>
      <c r="K54" s="18">
        <f>IF(F54="","",IFERROR(I54/F54,0))</f>
        <v/>
      </c>
    </row>
    <row r="55" ht="22" customHeight="1">
      <c r="B55" s="21">
        <f>IF(C55="","COUT"&amp;TEXT(COUNTA($C$5:C55),"000"))</f>
        <v/>
      </c>
      <c r="C55" s="21" t="n"/>
      <c r="D55" s="21">
        <f>IF(C55="","",VLOOKUP(C55,'_Données Employés'!$B$5:$S$114,3,FALSE))</f>
        <v/>
      </c>
      <c r="E55" s="21">
        <f>IF(C55="","",VLOOKUP(C55,'_Données Employés'!$B$5:$S$114,10,FALSE))</f>
        <v/>
      </c>
      <c r="F55" s="21" t="n"/>
      <c r="G55" s="21" t="n"/>
      <c r="H55" s="21" t="n"/>
      <c r="I55" s="16">
        <f>IF(F55="","",IFERROR(F55+G55+H55,0))</f>
        <v/>
      </c>
      <c r="J55" s="16">
        <f>IF(I55="","",IFERROR(I55*12,0))</f>
        <v/>
      </c>
      <c r="K55" s="16">
        <f>IF(F55="","",IFERROR(I55/F55,0))</f>
        <v/>
      </c>
    </row>
    <row r="56" ht="22" customHeight="1">
      <c r="B56" s="22">
        <f>IF(C56="","COUT"&amp;TEXT(COUNTA($C$5:C56),"000"))</f>
        <v/>
      </c>
      <c r="C56" s="22" t="n"/>
      <c r="D56" s="22">
        <f>IF(C56="","",VLOOKUP(C56,'_Données Employés'!$B$5:$S$114,3,FALSE))</f>
        <v/>
      </c>
      <c r="E56" s="22">
        <f>IF(C56="","",VLOOKUP(C56,'_Données Employés'!$B$5:$S$114,10,FALSE))</f>
        <v/>
      </c>
      <c r="F56" s="22" t="n"/>
      <c r="G56" s="22" t="n"/>
      <c r="H56" s="22" t="n"/>
      <c r="I56" s="18">
        <f>IF(F56="","",IFERROR(F56+G56+H56,0))</f>
        <v/>
      </c>
      <c r="J56" s="18">
        <f>IF(I56="","",IFERROR(I56*12,0))</f>
        <v/>
      </c>
      <c r="K56" s="18">
        <f>IF(F56="","",IFERROR(I56/F56,0))</f>
        <v/>
      </c>
    </row>
    <row r="57" ht="22" customHeight="1">
      <c r="B57" s="21">
        <f>IF(C57="","COUT"&amp;TEXT(COUNTA($C$5:C57),"000"))</f>
        <v/>
      </c>
      <c r="C57" s="21" t="n"/>
      <c r="D57" s="21">
        <f>IF(C57="","",VLOOKUP(C57,'_Données Employés'!$B$5:$S$114,3,FALSE))</f>
        <v/>
      </c>
      <c r="E57" s="21">
        <f>IF(C57="","",VLOOKUP(C57,'_Données Employés'!$B$5:$S$114,10,FALSE))</f>
        <v/>
      </c>
      <c r="F57" s="21" t="n"/>
      <c r="G57" s="21" t="n"/>
      <c r="H57" s="21" t="n"/>
      <c r="I57" s="16">
        <f>IF(F57="","",IFERROR(F57+G57+H57,0))</f>
        <v/>
      </c>
      <c r="J57" s="16">
        <f>IF(I57="","",IFERROR(I57*12,0))</f>
        <v/>
      </c>
      <c r="K57" s="16">
        <f>IF(F57="","",IFERROR(I57/F57,0))</f>
        <v/>
      </c>
    </row>
    <row r="58" ht="22" customHeight="1">
      <c r="B58" s="22">
        <f>IF(C58="","COUT"&amp;TEXT(COUNTA($C$5:C58),"000"))</f>
        <v/>
      </c>
      <c r="C58" s="22" t="n"/>
      <c r="D58" s="22">
        <f>IF(C58="","",VLOOKUP(C58,'_Données Employés'!$B$5:$S$114,3,FALSE))</f>
        <v/>
      </c>
      <c r="E58" s="22">
        <f>IF(C58="","",VLOOKUP(C58,'_Données Employés'!$B$5:$S$114,10,FALSE))</f>
        <v/>
      </c>
      <c r="F58" s="22" t="n"/>
      <c r="G58" s="22" t="n"/>
      <c r="H58" s="22" t="n"/>
      <c r="I58" s="18">
        <f>IF(F58="","",IFERROR(F58+G58+H58,0))</f>
        <v/>
      </c>
      <c r="J58" s="18">
        <f>IF(I58="","",IFERROR(I58*12,0))</f>
        <v/>
      </c>
      <c r="K58" s="18">
        <f>IF(F58="","",IFERROR(I58/F58,0))</f>
        <v/>
      </c>
    </row>
    <row r="59" ht="22" customHeight="1">
      <c r="B59" s="21">
        <f>IF(C59="","COUT"&amp;TEXT(COUNTA($C$5:C59),"000"))</f>
        <v/>
      </c>
      <c r="C59" s="21" t="n"/>
      <c r="D59" s="21">
        <f>IF(C59="","",VLOOKUP(C59,'_Données Employés'!$B$5:$S$114,3,FALSE))</f>
        <v/>
      </c>
      <c r="E59" s="21">
        <f>IF(C59="","",VLOOKUP(C59,'_Données Employés'!$B$5:$S$114,10,FALSE))</f>
        <v/>
      </c>
      <c r="F59" s="21" t="n"/>
      <c r="G59" s="21" t="n"/>
      <c r="H59" s="21" t="n"/>
      <c r="I59" s="16">
        <f>IF(F59="","",IFERROR(F59+G59+H59,0))</f>
        <v/>
      </c>
      <c r="J59" s="16">
        <f>IF(I59="","",IFERROR(I59*12,0))</f>
        <v/>
      </c>
      <c r="K59" s="16">
        <f>IF(F59="","",IFERROR(I59/F59,0))</f>
        <v/>
      </c>
    </row>
    <row r="60" ht="22" customHeight="1">
      <c r="B60" s="22">
        <f>IF(C60="","COUT"&amp;TEXT(COUNTA($C$5:C60),"000"))</f>
        <v/>
      </c>
      <c r="C60" s="22" t="n"/>
      <c r="D60" s="22">
        <f>IF(C60="","",VLOOKUP(C60,'_Données Employés'!$B$5:$S$114,3,FALSE))</f>
        <v/>
      </c>
      <c r="E60" s="22">
        <f>IF(C60="","",VLOOKUP(C60,'_Données Employés'!$B$5:$S$114,10,FALSE))</f>
        <v/>
      </c>
      <c r="F60" s="22" t="n"/>
      <c r="G60" s="22" t="n"/>
      <c r="H60" s="22" t="n"/>
      <c r="I60" s="18">
        <f>IF(F60="","",IFERROR(F60+G60+H60,0))</f>
        <v/>
      </c>
      <c r="J60" s="18">
        <f>IF(I60="","",IFERROR(I60*12,0))</f>
        <v/>
      </c>
      <c r="K60" s="18">
        <f>IF(F60="","",IFERROR(I60/F60,0))</f>
        <v/>
      </c>
    </row>
    <row r="61" ht="22" customHeight="1">
      <c r="B61" s="21">
        <f>IF(C61="","COUT"&amp;TEXT(COUNTA($C$5:C61),"000"))</f>
        <v/>
      </c>
      <c r="C61" s="21" t="n"/>
      <c r="D61" s="21">
        <f>IF(C61="","",VLOOKUP(C61,'_Données Employés'!$B$5:$S$114,3,FALSE))</f>
        <v/>
      </c>
      <c r="E61" s="21">
        <f>IF(C61="","",VLOOKUP(C61,'_Données Employés'!$B$5:$S$114,10,FALSE))</f>
        <v/>
      </c>
      <c r="F61" s="21" t="n"/>
      <c r="G61" s="21" t="n"/>
      <c r="H61" s="21" t="n"/>
      <c r="I61" s="16">
        <f>IF(F61="","",IFERROR(F61+G61+H61,0))</f>
        <v/>
      </c>
      <c r="J61" s="16">
        <f>IF(I61="","",IFERROR(I61*12,0))</f>
        <v/>
      </c>
      <c r="K61" s="16">
        <f>IF(F61="","",IFERROR(I61/F61,0))</f>
        <v/>
      </c>
    </row>
    <row r="62" ht="22" customHeight="1">
      <c r="B62" s="22">
        <f>IF(C62="","COUT"&amp;TEXT(COUNTA($C$5:C62),"000"))</f>
        <v/>
      </c>
      <c r="C62" s="22" t="n"/>
      <c r="D62" s="22">
        <f>IF(C62="","",VLOOKUP(C62,'_Données Employés'!$B$5:$S$114,3,FALSE))</f>
        <v/>
      </c>
      <c r="E62" s="22">
        <f>IF(C62="","",VLOOKUP(C62,'_Données Employés'!$B$5:$S$114,10,FALSE))</f>
        <v/>
      </c>
      <c r="F62" s="22" t="n"/>
      <c r="G62" s="22" t="n"/>
      <c r="H62" s="22" t="n"/>
      <c r="I62" s="18">
        <f>IF(F62="","",IFERROR(F62+G62+H62,0))</f>
        <v/>
      </c>
      <c r="J62" s="18">
        <f>IF(I62="","",IFERROR(I62*12,0))</f>
        <v/>
      </c>
      <c r="K62" s="18">
        <f>IF(F62="","",IFERROR(I62/F62,0))</f>
        <v/>
      </c>
    </row>
    <row r="63" ht="22" customHeight="1">
      <c r="B63" s="21">
        <f>IF(C63="","COUT"&amp;TEXT(COUNTA($C$5:C63),"000"))</f>
        <v/>
      </c>
      <c r="C63" s="21" t="n"/>
      <c r="D63" s="21">
        <f>IF(C63="","",VLOOKUP(C63,'_Données Employés'!$B$5:$S$114,3,FALSE))</f>
        <v/>
      </c>
      <c r="E63" s="21">
        <f>IF(C63="","",VLOOKUP(C63,'_Données Employés'!$B$5:$S$114,10,FALSE))</f>
        <v/>
      </c>
      <c r="F63" s="21" t="n"/>
      <c r="G63" s="21" t="n"/>
      <c r="H63" s="21" t="n"/>
      <c r="I63" s="16">
        <f>IF(F63="","",IFERROR(F63+G63+H63,0))</f>
        <v/>
      </c>
      <c r="J63" s="16">
        <f>IF(I63="","",IFERROR(I63*12,0))</f>
        <v/>
      </c>
      <c r="K63" s="16">
        <f>IF(F63="","",IFERROR(I63/F63,0))</f>
        <v/>
      </c>
    </row>
    <row r="64" ht="22" customHeight="1">
      <c r="B64" s="22">
        <f>IF(C64="","COUT"&amp;TEXT(COUNTA($C$5:C64),"000"))</f>
        <v/>
      </c>
      <c r="C64" s="22" t="n"/>
      <c r="D64" s="22">
        <f>IF(C64="","",VLOOKUP(C64,'_Données Employés'!$B$5:$S$114,3,FALSE))</f>
        <v/>
      </c>
      <c r="E64" s="22">
        <f>IF(C64="","",VLOOKUP(C64,'_Données Employés'!$B$5:$S$114,10,FALSE))</f>
        <v/>
      </c>
      <c r="F64" s="22" t="n"/>
      <c r="G64" s="22" t="n"/>
      <c r="H64" s="22" t="n"/>
      <c r="I64" s="18">
        <f>IF(F64="","",IFERROR(F64+G64+H64,0))</f>
        <v/>
      </c>
      <c r="J64" s="18">
        <f>IF(I64="","",IFERROR(I64*12,0))</f>
        <v/>
      </c>
      <c r="K64" s="18">
        <f>IF(F64="","",IFERROR(I64/F64,0))</f>
        <v/>
      </c>
    </row>
    <row r="65" ht="22" customHeight="1">
      <c r="B65" s="21">
        <f>IF(C65="","COUT"&amp;TEXT(COUNTA($C$5:C65),"000"))</f>
        <v/>
      </c>
      <c r="C65" s="21" t="n"/>
      <c r="D65" s="21">
        <f>IF(C65="","",VLOOKUP(C65,'_Données Employés'!$B$5:$S$114,3,FALSE))</f>
        <v/>
      </c>
      <c r="E65" s="21">
        <f>IF(C65="","",VLOOKUP(C65,'_Données Employés'!$B$5:$S$114,10,FALSE))</f>
        <v/>
      </c>
      <c r="F65" s="21" t="n"/>
      <c r="G65" s="21" t="n"/>
      <c r="H65" s="21" t="n"/>
      <c r="I65" s="16">
        <f>IF(F65="","",IFERROR(F65+G65+H65,0))</f>
        <v/>
      </c>
      <c r="J65" s="16">
        <f>IF(I65="","",IFERROR(I65*12,0))</f>
        <v/>
      </c>
      <c r="K65" s="16">
        <f>IF(F65="","",IFERROR(I65/F65,0))</f>
        <v/>
      </c>
    </row>
    <row r="66" ht="22" customHeight="1">
      <c r="B66" s="22">
        <f>IF(C66="","COUT"&amp;TEXT(COUNTA($C$5:C66),"000"))</f>
        <v/>
      </c>
      <c r="C66" s="22" t="n"/>
      <c r="D66" s="22">
        <f>IF(C66="","",VLOOKUP(C66,'_Données Employés'!$B$5:$S$114,3,FALSE))</f>
        <v/>
      </c>
      <c r="E66" s="22">
        <f>IF(C66="","",VLOOKUP(C66,'_Données Employés'!$B$5:$S$114,10,FALSE))</f>
        <v/>
      </c>
      <c r="F66" s="22" t="n"/>
      <c r="G66" s="22" t="n"/>
      <c r="H66" s="22" t="n"/>
      <c r="I66" s="18">
        <f>IF(F66="","",IFERROR(F66+G66+H66,0))</f>
        <v/>
      </c>
      <c r="J66" s="18">
        <f>IF(I66="","",IFERROR(I66*12,0))</f>
        <v/>
      </c>
      <c r="K66" s="18">
        <f>IF(F66="","",IFERROR(I66/F66,0))</f>
        <v/>
      </c>
    </row>
    <row r="67" ht="22" customHeight="1">
      <c r="B67" s="21">
        <f>IF(C67="","COUT"&amp;TEXT(COUNTA($C$5:C67),"000"))</f>
        <v/>
      </c>
      <c r="C67" s="21" t="n"/>
      <c r="D67" s="21">
        <f>IF(C67="","",VLOOKUP(C67,'_Données Employés'!$B$5:$S$114,3,FALSE))</f>
        <v/>
      </c>
      <c r="E67" s="21">
        <f>IF(C67="","",VLOOKUP(C67,'_Données Employés'!$B$5:$S$114,10,FALSE))</f>
        <v/>
      </c>
      <c r="F67" s="21" t="n"/>
      <c r="G67" s="21" t="n"/>
      <c r="H67" s="21" t="n"/>
      <c r="I67" s="16">
        <f>IF(F67="","",IFERROR(F67+G67+H67,0))</f>
        <v/>
      </c>
      <c r="J67" s="16">
        <f>IF(I67="","",IFERROR(I67*12,0))</f>
        <v/>
      </c>
      <c r="K67" s="16">
        <f>IF(F67="","",IFERROR(I67/F67,0))</f>
        <v/>
      </c>
    </row>
    <row r="68" ht="22" customHeight="1">
      <c r="B68" s="22">
        <f>IF(C68="","COUT"&amp;TEXT(COUNTA($C$5:C68),"000"))</f>
        <v/>
      </c>
      <c r="C68" s="22" t="n"/>
      <c r="D68" s="22">
        <f>IF(C68="","",VLOOKUP(C68,'_Données Employés'!$B$5:$S$114,3,FALSE))</f>
        <v/>
      </c>
      <c r="E68" s="22">
        <f>IF(C68="","",VLOOKUP(C68,'_Données Employés'!$B$5:$S$114,10,FALSE))</f>
        <v/>
      </c>
      <c r="F68" s="22" t="n"/>
      <c r="G68" s="22" t="n"/>
      <c r="H68" s="22" t="n"/>
      <c r="I68" s="18">
        <f>IF(F68="","",IFERROR(F68+G68+H68,0))</f>
        <v/>
      </c>
      <c r="J68" s="18">
        <f>IF(I68="","",IFERROR(I68*12,0))</f>
        <v/>
      </c>
      <c r="K68" s="18">
        <f>IF(F68="","",IFERROR(I68/F68,0))</f>
        <v/>
      </c>
    </row>
    <row r="69" ht="22" customHeight="1">
      <c r="B69" s="21">
        <f>IF(C69="","COUT"&amp;TEXT(COUNTA($C$5:C69),"000"))</f>
        <v/>
      </c>
      <c r="C69" s="21" t="n"/>
      <c r="D69" s="21">
        <f>IF(C69="","",VLOOKUP(C69,'_Données Employés'!$B$5:$S$114,3,FALSE))</f>
        <v/>
      </c>
      <c r="E69" s="21">
        <f>IF(C69="","",VLOOKUP(C69,'_Données Employés'!$B$5:$S$114,10,FALSE))</f>
        <v/>
      </c>
      <c r="F69" s="21" t="n"/>
      <c r="G69" s="21" t="n"/>
      <c r="H69" s="21" t="n"/>
      <c r="I69" s="16">
        <f>IF(F69="","",IFERROR(F69+G69+H69,0))</f>
        <v/>
      </c>
      <c r="J69" s="16">
        <f>IF(I69="","",IFERROR(I69*12,0))</f>
        <v/>
      </c>
      <c r="K69" s="16">
        <f>IF(F69="","",IFERROR(I69/F69,0))</f>
        <v/>
      </c>
    </row>
    <row r="70" ht="22" customHeight="1">
      <c r="B70" s="22">
        <f>IF(C70="","COUT"&amp;TEXT(COUNTA($C$5:C70),"000"))</f>
        <v/>
      </c>
      <c r="C70" s="22" t="n"/>
      <c r="D70" s="22">
        <f>IF(C70="","",VLOOKUP(C70,'_Données Employés'!$B$5:$S$114,3,FALSE))</f>
        <v/>
      </c>
      <c r="E70" s="22">
        <f>IF(C70="","",VLOOKUP(C70,'_Données Employés'!$B$5:$S$114,10,FALSE))</f>
        <v/>
      </c>
      <c r="F70" s="22" t="n"/>
      <c r="G70" s="22" t="n"/>
      <c r="H70" s="22" t="n"/>
      <c r="I70" s="18">
        <f>IF(F70="","",IFERROR(F70+G70+H70,0))</f>
        <v/>
      </c>
      <c r="J70" s="18">
        <f>IF(I70="","",IFERROR(I70*12,0))</f>
        <v/>
      </c>
      <c r="K70" s="18">
        <f>IF(F70="","",IFERROR(I70/F70,0))</f>
        <v/>
      </c>
    </row>
    <row r="71" ht="22" customHeight="1">
      <c r="B71" s="21">
        <f>IF(C71="","COUT"&amp;TEXT(COUNTA($C$5:C71),"000"))</f>
        <v/>
      </c>
      <c r="C71" s="21" t="n"/>
      <c r="D71" s="21">
        <f>IF(C71="","",VLOOKUP(C71,'_Données Employés'!$B$5:$S$114,3,FALSE))</f>
        <v/>
      </c>
      <c r="E71" s="21">
        <f>IF(C71="","",VLOOKUP(C71,'_Données Employés'!$B$5:$S$114,10,FALSE))</f>
        <v/>
      </c>
      <c r="F71" s="21" t="n"/>
      <c r="G71" s="21" t="n"/>
      <c r="H71" s="21" t="n"/>
      <c r="I71" s="16">
        <f>IF(F71="","",IFERROR(F71+G71+H71,0))</f>
        <v/>
      </c>
      <c r="J71" s="16">
        <f>IF(I71="","",IFERROR(I71*12,0))</f>
        <v/>
      </c>
      <c r="K71" s="16">
        <f>IF(F71="","",IFERROR(I71/F71,0))</f>
        <v/>
      </c>
    </row>
    <row r="72" ht="22" customHeight="1">
      <c r="B72" s="22">
        <f>IF(C72="","COUT"&amp;TEXT(COUNTA($C$5:C72),"000"))</f>
        <v/>
      </c>
      <c r="C72" s="22" t="n"/>
      <c r="D72" s="22">
        <f>IF(C72="","",VLOOKUP(C72,'_Données Employés'!$B$5:$S$114,3,FALSE))</f>
        <v/>
      </c>
      <c r="E72" s="22">
        <f>IF(C72="","",VLOOKUP(C72,'_Données Employés'!$B$5:$S$114,10,FALSE))</f>
        <v/>
      </c>
      <c r="F72" s="22" t="n"/>
      <c r="G72" s="22" t="n"/>
      <c r="H72" s="22" t="n"/>
      <c r="I72" s="18">
        <f>IF(F72="","",IFERROR(F72+G72+H72,0))</f>
        <v/>
      </c>
      <c r="J72" s="18">
        <f>IF(I72="","",IFERROR(I72*12,0))</f>
        <v/>
      </c>
      <c r="K72" s="18">
        <f>IF(F72="","",IFERROR(I72/F72,0))</f>
        <v/>
      </c>
    </row>
    <row r="73" ht="22" customHeight="1">
      <c r="B73" s="21">
        <f>IF(C73="","COUT"&amp;TEXT(COUNTA($C$5:C73),"000"))</f>
        <v/>
      </c>
      <c r="C73" s="21" t="n"/>
      <c r="D73" s="21">
        <f>IF(C73="","",VLOOKUP(C73,'_Données Employés'!$B$5:$S$114,3,FALSE))</f>
        <v/>
      </c>
      <c r="E73" s="21">
        <f>IF(C73="","",VLOOKUP(C73,'_Données Employés'!$B$5:$S$114,10,FALSE))</f>
        <v/>
      </c>
      <c r="F73" s="21" t="n"/>
      <c r="G73" s="21" t="n"/>
      <c r="H73" s="21" t="n"/>
      <c r="I73" s="16">
        <f>IF(F73="","",IFERROR(F73+G73+H73,0))</f>
        <v/>
      </c>
      <c r="J73" s="16">
        <f>IF(I73="","",IFERROR(I73*12,0))</f>
        <v/>
      </c>
      <c r="K73" s="16">
        <f>IF(F73="","",IFERROR(I73/F73,0))</f>
        <v/>
      </c>
    </row>
    <row r="74" ht="22" customHeight="1">
      <c r="B74" s="22">
        <f>IF(C74="","COUT"&amp;TEXT(COUNTA($C$5:C74),"000"))</f>
        <v/>
      </c>
      <c r="C74" s="22" t="n"/>
      <c r="D74" s="22">
        <f>IF(C74="","",VLOOKUP(C74,'_Données Employés'!$B$5:$S$114,3,FALSE))</f>
        <v/>
      </c>
      <c r="E74" s="22">
        <f>IF(C74="","",VLOOKUP(C74,'_Données Employés'!$B$5:$S$114,10,FALSE))</f>
        <v/>
      </c>
      <c r="F74" s="22" t="n"/>
      <c r="G74" s="22" t="n"/>
      <c r="H74" s="22" t="n"/>
      <c r="I74" s="18">
        <f>IF(F74="","",IFERROR(F74+G74+H74,0))</f>
        <v/>
      </c>
      <c r="J74" s="18">
        <f>IF(I74="","",IFERROR(I74*12,0))</f>
        <v/>
      </c>
      <c r="K74" s="18">
        <f>IF(F74="","",IFERROR(I74/F74,0))</f>
        <v/>
      </c>
    </row>
    <row r="75" ht="22" customHeight="1">
      <c r="B75" s="21">
        <f>IF(C75="","COUT"&amp;TEXT(COUNTA($C$5:C75),"000"))</f>
        <v/>
      </c>
      <c r="C75" s="21" t="n"/>
      <c r="D75" s="21">
        <f>IF(C75="","",VLOOKUP(C75,'_Données Employés'!$B$5:$S$114,3,FALSE))</f>
        <v/>
      </c>
      <c r="E75" s="21">
        <f>IF(C75="","",VLOOKUP(C75,'_Données Employés'!$B$5:$S$114,10,FALSE))</f>
        <v/>
      </c>
      <c r="F75" s="21" t="n"/>
      <c r="G75" s="21" t="n"/>
      <c r="H75" s="21" t="n"/>
      <c r="I75" s="16">
        <f>IF(F75="","",IFERROR(F75+G75+H75,0))</f>
        <v/>
      </c>
      <c r="J75" s="16">
        <f>IF(I75="","",IFERROR(I75*12,0))</f>
        <v/>
      </c>
      <c r="K75" s="16">
        <f>IF(F75="","",IFERROR(I75/F75,0))</f>
        <v/>
      </c>
    </row>
    <row r="76" ht="22" customHeight="1">
      <c r="B76" s="22">
        <f>IF(C76="","COUT"&amp;TEXT(COUNTA($C$5:C76),"000"))</f>
        <v/>
      </c>
      <c r="C76" s="22" t="n"/>
      <c r="D76" s="22">
        <f>IF(C76="","",VLOOKUP(C76,'_Données Employés'!$B$5:$S$114,3,FALSE))</f>
        <v/>
      </c>
      <c r="E76" s="22">
        <f>IF(C76="","",VLOOKUP(C76,'_Données Employés'!$B$5:$S$114,10,FALSE))</f>
        <v/>
      </c>
      <c r="F76" s="22" t="n"/>
      <c r="G76" s="22" t="n"/>
      <c r="H76" s="22" t="n"/>
      <c r="I76" s="18">
        <f>IF(F76="","",IFERROR(F76+G76+H76,0))</f>
        <v/>
      </c>
      <c r="J76" s="18">
        <f>IF(I76="","",IFERROR(I76*12,0))</f>
        <v/>
      </c>
      <c r="K76" s="18">
        <f>IF(F76="","",IFERROR(I76/F76,0))</f>
        <v/>
      </c>
    </row>
    <row r="77" ht="22" customHeight="1">
      <c r="B77" s="21">
        <f>IF(C77="","COUT"&amp;TEXT(COUNTA($C$5:C77),"000"))</f>
        <v/>
      </c>
      <c r="C77" s="21" t="n"/>
      <c r="D77" s="21">
        <f>IF(C77="","",VLOOKUP(C77,'_Données Employés'!$B$5:$S$114,3,FALSE))</f>
        <v/>
      </c>
      <c r="E77" s="21">
        <f>IF(C77="","",VLOOKUP(C77,'_Données Employés'!$B$5:$S$114,10,FALSE))</f>
        <v/>
      </c>
      <c r="F77" s="21" t="n"/>
      <c r="G77" s="21" t="n"/>
      <c r="H77" s="21" t="n"/>
      <c r="I77" s="16">
        <f>IF(F77="","",IFERROR(F77+G77+H77,0))</f>
        <v/>
      </c>
      <c r="J77" s="16">
        <f>IF(I77="","",IFERROR(I77*12,0))</f>
        <v/>
      </c>
      <c r="K77" s="16">
        <f>IF(F77="","",IFERROR(I77/F77,0))</f>
        <v/>
      </c>
    </row>
    <row r="78" ht="22" customHeight="1">
      <c r="B78" s="22">
        <f>IF(C78="","COUT"&amp;TEXT(COUNTA($C$5:C78),"000"))</f>
        <v/>
      </c>
      <c r="C78" s="22" t="n"/>
      <c r="D78" s="22">
        <f>IF(C78="","",VLOOKUP(C78,'_Données Employés'!$B$5:$S$114,3,FALSE))</f>
        <v/>
      </c>
      <c r="E78" s="22">
        <f>IF(C78="","",VLOOKUP(C78,'_Données Employés'!$B$5:$S$114,10,FALSE))</f>
        <v/>
      </c>
      <c r="F78" s="22" t="n"/>
      <c r="G78" s="22" t="n"/>
      <c r="H78" s="22" t="n"/>
      <c r="I78" s="18">
        <f>IF(F78="","",IFERROR(F78+G78+H78,0))</f>
        <v/>
      </c>
      <c r="J78" s="18">
        <f>IF(I78="","",IFERROR(I78*12,0))</f>
        <v/>
      </c>
      <c r="K78" s="18">
        <f>IF(F78="","",IFERROR(I78/F78,0))</f>
        <v/>
      </c>
    </row>
    <row r="79" ht="22" customHeight="1">
      <c r="B79" s="21">
        <f>IF(C79="","COUT"&amp;TEXT(COUNTA($C$5:C79),"000"))</f>
        <v/>
      </c>
      <c r="C79" s="21" t="n"/>
      <c r="D79" s="21">
        <f>IF(C79="","",VLOOKUP(C79,'_Données Employés'!$B$5:$S$114,3,FALSE))</f>
        <v/>
      </c>
      <c r="E79" s="21">
        <f>IF(C79="","",VLOOKUP(C79,'_Données Employés'!$B$5:$S$114,10,FALSE))</f>
        <v/>
      </c>
      <c r="F79" s="21" t="n"/>
      <c r="G79" s="21" t="n"/>
      <c r="H79" s="21" t="n"/>
      <c r="I79" s="16">
        <f>IF(F79="","",IFERROR(F79+G79+H79,0))</f>
        <v/>
      </c>
      <c r="J79" s="16">
        <f>IF(I79="","",IFERROR(I79*12,0))</f>
        <v/>
      </c>
      <c r="K79" s="16">
        <f>IF(F79="","",IFERROR(I79/F79,0))</f>
        <v/>
      </c>
    </row>
    <row r="80" ht="22" customHeight="1">
      <c r="B80" s="22">
        <f>IF(C80="","COUT"&amp;TEXT(COUNTA($C$5:C80),"000"))</f>
        <v/>
      </c>
      <c r="C80" s="22" t="n"/>
      <c r="D80" s="22">
        <f>IF(C80="","",VLOOKUP(C80,'_Données Employés'!$B$5:$S$114,3,FALSE))</f>
        <v/>
      </c>
      <c r="E80" s="22">
        <f>IF(C80="","",VLOOKUP(C80,'_Données Employés'!$B$5:$S$114,10,FALSE))</f>
        <v/>
      </c>
      <c r="F80" s="22" t="n"/>
      <c r="G80" s="22" t="n"/>
      <c r="H80" s="22" t="n"/>
      <c r="I80" s="18">
        <f>IF(F80="","",IFERROR(F80+G80+H80,0))</f>
        <v/>
      </c>
      <c r="J80" s="18">
        <f>IF(I80="","",IFERROR(I80*12,0))</f>
        <v/>
      </c>
      <c r="K80" s="18">
        <f>IF(F80="","",IFERROR(I80/F80,0))</f>
        <v/>
      </c>
    </row>
    <row r="81" ht="22" customHeight="1">
      <c r="B81" s="21">
        <f>IF(C81="","COUT"&amp;TEXT(COUNTA($C$5:C81),"000"))</f>
        <v/>
      </c>
      <c r="C81" s="21" t="n"/>
      <c r="D81" s="21">
        <f>IF(C81="","",VLOOKUP(C81,'_Données Employés'!$B$5:$S$114,3,FALSE))</f>
        <v/>
      </c>
      <c r="E81" s="21">
        <f>IF(C81="","",VLOOKUP(C81,'_Données Employés'!$B$5:$S$114,10,FALSE))</f>
        <v/>
      </c>
      <c r="F81" s="21" t="n"/>
      <c r="G81" s="21" t="n"/>
      <c r="H81" s="21" t="n"/>
      <c r="I81" s="16">
        <f>IF(F81="","",IFERROR(F81+G81+H81,0))</f>
        <v/>
      </c>
      <c r="J81" s="16">
        <f>IF(I81="","",IFERROR(I81*12,0))</f>
        <v/>
      </c>
      <c r="K81" s="16">
        <f>IF(F81="","",IFERROR(I81/F81,0))</f>
        <v/>
      </c>
    </row>
    <row r="82" ht="22" customHeight="1">
      <c r="B82" s="22">
        <f>IF(C82="","COUT"&amp;TEXT(COUNTA($C$5:C82),"000"))</f>
        <v/>
      </c>
      <c r="C82" s="22" t="n"/>
      <c r="D82" s="22">
        <f>IF(C82="","",VLOOKUP(C82,'_Données Employés'!$B$5:$S$114,3,FALSE))</f>
        <v/>
      </c>
      <c r="E82" s="22">
        <f>IF(C82="","",VLOOKUP(C82,'_Données Employés'!$B$5:$S$114,10,FALSE))</f>
        <v/>
      </c>
      <c r="F82" s="22" t="n"/>
      <c r="G82" s="22" t="n"/>
      <c r="H82" s="22" t="n"/>
      <c r="I82" s="18">
        <f>IF(F82="","",IFERROR(F82+G82+H82,0))</f>
        <v/>
      </c>
      <c r="J82" s="18">
        <f>IF(I82="","",IFERROR(I82*12,0))</f>
        <v/>
      </c>
      <c r="K82" s="18">
        <f>IF(F82="","",IFERROR(I82/F82,0))</f>
        <v/>
      </c>
    </row>
    <row r="83" ht="22" customHeight="1">
      <c r="B83" s="21">
        <f>IF(C83="","COUT"&amp;TEXT(COUNTA($C$5:C83),"000"))</f>
        <v/>
      </c>
      <c r="C83" s="21" t="n"/>
      <c r="D83" s="21">
        <f>IF(C83="","",VLOOKUP(C83,'_Données Employés'!$B$5:$S$114,3,FALSE))</f>
        <v/>
      </c>
      <c r="E83" s="21">
        <f>IF(C83="","",VLOOKUP(C83,'_Données Employés'!$B$5:$S$114,10,FALSE))</f>
        <v/>
      </c>
      <c r="F83" s="21" t="n"/>
      <c r="G83" s="21" t="n"/>
      <c r="H83" s="21" t="n"/>
      <c r="I83" s="16">
        <f>IF(F83="","",IFERROR(F83+G83+H83,0))</f>
        <v/>
      </c>
      <c r="J83" s="16">
        <f>IF(I83="","",IFERROR(I83*12,0))</f>
        <v/>
      </c>
      <c r="K83" s="16">
        <f>IF(F83="","",IFERROR(I83/F83,0))</f>
        <v/>
      </c>
    </row>
    <row r="84" ht="22" customHeight="1">
      <c r="B84" s="22">
        <f>IF(C84="","COUT"&amp;TEXT(COUNTA($C$5:C84),"000"))</f>
        <v/>
      </c>
      <c r="C84" s="22" t="n"/>
      <c r="D84" s="22">
        <f>IF(C84="","",VLOOKUP(C84,'_Données Employés'!$B$5:$S$114,3,FALSE))</f>
        <v/>
      </c>
      <c r="E84" s="22">
        <f>IF(C84="","",VLOOKUP(C84,'_Données Employés'!$B$5:$S$114,10,FALSE))</f>
        <v/>
      </c>
      <c r="F84" s="22" t="n"/>
      <c r="G84" s="22" t="n"/>
      <c r="H84" s="22" t="n"/>
      <c r="I84" s="18">
        <f>IF(F84="","",IFERROR(F84+G84+H84,0))</f>
        <v/>
      </c>
      <c r="J84" s="18">
        <f>IF(I84="","",IFERROR(I84*12,0))</f>
        <v/>
      </c>
      <c r="K84" s="18">
        <f>IF(F84="","",IFERROR(I84/F84,0))</f>
        <v/>
      </c>
    </row>
    <row r="85" ht="22" customHeight="1">
      <c r="B85" s="21">
        <f>IF(C85="","COUT"&amp;TEXT(COUNTA($C$5:C85),"000"))</f>
        <v/>
      </c>
      <c r="C85" s="21" t="n"/>
      <c r="D85" s="21">
        <f>IF(C85="","",VLOOKUP(C85,'_Données Employés'!$B$5:$S$114,3,FALSE))</f>
        <v/>
      </c>
      <c r="E85" s="21">
        <f>IF(C85="","",VLOOKUP(C85,'_Données Employés'!$B$5:$S$114,10,FALSE))</f>
        <v/>
      </c>
      <c r="F85" s="21" t="n"/>
      <c r="G85" s="21" t="n"/>
      <c r="H85" s="21" t="n"/>
      <c r="I85" s="16">
        <f>IF(F85="","",IFERROR(F85+G85+H85,0))</f>
        <v/>
      </c>
      <c r="J85" s="16">
        <f>IF(I85="","",IFERROR(I85*12,0))</f>
        <v/>
      </c>
      <c r="K85" s="16">
        <f>IF(F85="","",IFERROR(I85/F85,0))</f>
        <v/>
      </c>
    </row>
    <row r="86" ht="22" customHeight="1">
      <c r="B86" s="22">
        <f>IF(C86="","COUT"&amp;TEXT(COUNTA($C$5:C86),"000"))</f>
        <v/>
      </c>
      <c r="C86" s="22" t="n"/>
      <c r="D86" s="22">
        <f>IF(C86="","",VLOOKUP(C86,'_Données Employés'!$B$5:$S$114,3,FALSE))</f>
        <v/>
      </c>
      <c r="E86" s="22">
        <f>IF(C86="","",VLOOKUP(C86,'_Données Employés'!$B$5:$S$114,10,FALSE))</f>
        <v/>
      </c>
      <c r="F86" s="22" t="n"/>
      <c r="G86" s="22" t="n"/>
      <c r="H86" s="22" t="n"/>
      <c r="I86" s="18">
        <f>IF(F86="","",IFERROR(F86+G86+H86,0))</f>
        <v/>
      </c>
      <c r="J86" s="18">
        <f>IF(I86="","",IFERROR(I86*12,0))</f>
        <v/>
      </c>
      <c r="K86" s="18">
        <f>IF(F86="","",IFERROR(I86/F86,0))</f>
        <v/>
      </c>
    </row>
    <row r="87" ht="22" customHeight="1">
      <c r="B87" s="21">
        <f>IF(C87="","COUT"&amp;TEXT(COUNTA($C$5:C87),"000"))</f>
        <v/>
      </c>
      <c r="C87" s="21" t="n"/>
      <c r="D87" s="21">
        <f>IF(C87="","",VLOOKUP(C87,'_Données Employés'!$B$5:$S$114,3,FALSE))</f>
        <v/>
      </c>
      <c r="E87" s="21">
        <f>IF(C87="","",VLOOKUP(C87,'_Données Employés'!$B$5:$S$114,10,FALSE))</f>
        <v/>
      </c>
      <c r="F87" s="21" t="n"/>
      <c r="G87" s="21" t="n"/>
      <c r="H87" s="21" t="n"/>
      <c r="I87" s="16">
        <f>IF(F87="","",IFERROR(F87+G87+H87,0))</f>
        <v/>
      </c>
      <c r="J87" s="16">
        <f>IF(I87="","",IFERROR(I87*12,0))</f>
        <v/>
      </c>
      <c r="K87" s="16">
        <f>IF(F87="","",IFERROR(I87/F87,0))</f>
        <v/>
      </c>
    </row>
    <row r="88" ht="22" customHeight="1">
      <c r="B88" s="22">
        <f>IF(C88="","COUT"&amp;TEXT(COUNTA($C$5:C88),"000"))</f>
        <v/>
      </c>
      <c r="C88" s="22" t="n"/>
      <c r="D88" s="22">
        <f>IF(C88="","",VLOOKUP(C88,'_Données Employés'!$B$5:$S$114,3,FALSE))</f>
        <v/>
      </c>
      <c r="E88" s="22">
        <f>IF(C88="","",VLOOKUP(C88,'_Données Employés'!$B$5:$S$114,10,FALSE))</f>
        <v/>
      </c>
      <c r="F88" s="22" t="n"/>
      <c r="G88" s="22" t="n"/>
      <c r="H88" s="22" t="n"/>
      <c r="I88" s="18">
        <f>IF(F88="","",IFERROR(F88+G88+H88,0))</f>
        <v/>
      </c>
      <c r="J88" s="18">
        <f>IF(I88="","",IFERROR(I88*12,0))</f>
        <v/>
      </c>
      <c r="K88" s="18">
        <f>IF(F88="","",IFERROR(I88/F88,0))</f>
        <v/>
      </c>
    </row>
    <row r="89" ht="22" customHeight="1">
      <c r="B89" s="21">
        <f>IF(C89="","COUT"&amp;TEXT(COUNTA($C$5:C89),"000"))</f>
        <v/>
      </c>
      <c r="C89" s="21" t="n"/>
      <c r="D89" s="21">
        <f>IF(C89="","",VLOOKUP(C89,'_Données Employés'!$B$5:$S$114,3,FALSE))</f>
        <v/>
      </c>
      <c r="E89" s="21">
        <f>IF(C89="","",VLOOKUP(C89,'_Données Employés'!$B$5:$S$114,10,FALSE))</f>
        <v/>
      </c>
      <c r="F89" s="21" t="n"/>
      <c r="G89" s="21" t="n"/>
      <c r="H89" s="21" t="n"/>
      <c r="I89" s="16">
        <f>IF(F89="","",IFERROR(F89+G89+H89,0))</f>
        <v/>
      </c>
      <c r="J89" s="16">
        <f>IF(I89="","",IFERROR(I89*12,0))</f>
        <v/>
      </c>
      <c r="K89" s="16">
        <f>IF(F89="","",IFERROR(I89/F89,0))</f>
        <v/>
      </c>
    </row>
    <row r="90" ht="22" customHeight="1">
      <c r="B90" s="22">
        <f>IF(C90="","COUT"&amp;TEXT(COUNTA($C$5:C90),"000"))</f>
        <v/>
      </c>
      <c r="C90" s="22" t="n"/>
      <c r="D90" s="22">
        <f>IF(C90="","",VLOOKUP(C90,'_Données Employés'!$B$5:$S$114,3,FALSE))</f>
        <v/>
      </c>
      <c r="E90" s="22">
        <f>IF(C90="","",VLOOKUP(C90,'_Données Employés'!$B$5:$S$114,10,FALSE))</f>
        <v/>
      </c>
      <c r="F90" s="22" t="n"/>
      <c r="G90" s="22" t="n"/>
      <c r="H90" s="22" t="n"/>
      <c r="I90" s="18">
        <f>IF(F90="","",IFERROR(F90+G90+H90,0))</f>
        <v/>
      </c>
      <c r="J90" s="18">
        <f>IF(I90="","",IFERROR(I90*12,0))</f>
        <v/>
      </c>
      <c r="K90" s="18">
        <f>IF(F90="","",IFERROR(I90/F90,0))</f>
        <v/>
      </c>
    </row>
    <row r="91" ht="22" customHeight="1">
      <c r="B91" s="21">
        <f>IF(C91="","COUT"&amp;TEXT(COUNTA($C$5:C91),"000"))</f>
        <v/>
      </c>
      <c r="C91" s="21" t="n"/>
      <c r="D91" s="21">
        <f>IF(C91="","",VLOOKUP(C91,'_Données Employés'!$B$5:$S$114,3,FALSE))</f>
        <v/>
      </c>
      <c r="E91" s="21">
        <f>IF(C91="","",VLOOKUP(C91,'_Données Employés'!$B$5:$S$114,10,FALSE))</f>
        <v/>
      </c>
      <c r="F91" s="21" t="n"/>
      <c r="G91" s="21" t="n"/>
      <c r="H91" s="21" t="n"/>
      <c r="I91" s="16">
        <f>IF(F91="","",IFERROR(F91+G91+H91,0))</f>
        <v/>
      </c>
      <c r="J91" s="16">
        <f>IF(I91="","",IFERROR(I91*12,0))</f>
        <v/>
      </c>
      <c r="K91" s="16">
        <f>IF(F91="","",IFERROR(I91/F91,0))</f>
        <v/>
      </c>
    </row>
    <row r="92" ht="22" customHeight="1">
      <c r="B92" s="22">
        <f>IF(C92="","COUT"&amp;TEXT(COUNTA($C$5:C92),"000"))</f>
        <v/>
      </c>
      <c r="C92" s="22" t="n"/>
      <c r="D92" s="22">
        <f>IF(C92="","",VLOOKUP(C92,'_Données Employés'!$B$5:$S$114,3,FALSE))</f>
        <v/>
      </c>
      <c r="E92" s="22">
        <f>IF(C92="","",VLOOKUP(C92,'_Données Employés'!$B$5:$S$114,10,FALSE))</f>
        <v/>
      </c>
      <c r="F92" s="22" t="n"/>
      <c r="G92" s="22" t="n"/>
      <c r="H92" s="22" t="n"/>
      <c r="I92" s="18">
        <f>IF(F92="","",IFERROR(F92+G92+H92,0))</f>
        <v/>
      </c>
      <c r="J92" s="18">
        <f>IF(I92="","",IFERROR(I92*12,0))</f>
        <v/>
      </c>
      <c r="K92" s="18">
        <f>IF(F92="","",IFERROR(I92/F92,0))</f>
        <v/>
      </c>
    </row>
    <row r="93" ht="22" customHeight="1">
      <c r="B93" s="21">
        <f>IF(C93="","COUT"&amp;TEXT(COUNTA($C$5:C93),"000"))</f>
        <v/>
      </c>
      <c r="C93" s="21" t="n"/>
      <c r="D93" s="21">
        <f>IF(C93="","",VLOOKUP(C93,'_Données Employés'!$B$5:$S$114,3,FALSE))</f>
        <v/>
      </c>
      <c r="E93" s="21">
        <f>IF(C93="","",VLOOKUP(C93,'_Données Employés'!$B$5:$S$114,10,FALSE))</f>
        <v/>
      </c>
      <c r="F93" s="21" t="n"/>
      <c r="G93" s="21" t="n"/>
      <c r="H93" s="21" t="n"/>
      <c r="I93" s="16">
        <f>IF(F93="","",IFERROR(F93+G93+H93,0))</f>
        <v/>
      </c>
      <c r="J93" s="16">
        <f>IF(I93="","",IFERROR(I93*12,0))</f>
        <v/>
      </c>
      <c r="K93" s="16">
        <f>IF(F93="","",IFERROR(I93/F93,0))</f>
        <v/>
      </c>
    </row>
    <row r="94" ht="22" customHeight="1">
      <c r="B94" s="22">
        <f>IF(C94="","COUT"&amp;TEXT(COUNTA($C$5:C94),"000"))</f>
        <v/>
      </c>
      <c r="C94" s="22" t="n"/>
      <c r="D94" s="22">
        <f>IF(C94="","",VLOOKUP(C94,'_Données Employés'!$B$5:$S$114,3,FALSE))</f>
        <v/>
      </c>
      <c r="E94" s="22">
        <f>IF(C94="","",VLOOKUP(C94,'_Données Employés'!$B$5:$S$114,10,FALSE))</f>
        <v/>
      </c>
      <c r="F94" s="22" t="n"/>
      <c r="G94" s="22" t="n"/>
      <c r="H94" s="22" t="n"/>
      <c r="I94" s="18">
        <f>IF(F94="","",IFERROR(F94+G94+H94,0))</f>
        <v/>
      </c>
      <c r="J94" s="18">
        <f>IF(I94="","",IFERROR(I94*12,0))</f>
        <v/>
      </c>
      <c r="K94" s="18">
        <f>IF(F94="","",IFERROR(I94/F94,0))</f>
        <v/>
      </c>
    </row>
    <row r="95" ht="22" customHeight="1">
      <c r="B95" s="21">
        <f>IF(C95="","COUT"&amp;TEXT(COUNTA($C$5:C95),"000"))</f>
        <v/>
      </c>
      <c r="C95" s="21" t="n"/>
      <c r="D95" s="21">
        <f>IF(C95="","",VLOOKUP(C95,'_Données Employés'!$B$5:$S$114,3,FALSE))</f>
        <v/>
      </c>
      <c r="E95" s="21">
        <f>IF(C95="","",VLOOKUP(C95,'_Données Employés'!$B$5:$S$114,10,FALSE))</f>
        <v/>
      </c>
      <c r="F95" s="21" t="n"/>
      <c r="G95" s="21" t="n"/>
      <c r="H95" s="21" t="n"/>
      <c r="I95" s="16">
        <f>IF(F95="","",IFERROR(F95+G95+H95,0))</f>
        <v/>
      </c>
      <c r="J95" s="16">
        <f>IF(I95="","",IFERROR(I95*12,0))</f>
        <v/>
      </c>
      <c r="K95" s="16">
        <f>IF(F95="","",IFERROR(I95/F95,0))</f>
        <v/>
      </c>
    </row>
    <row r="96" ht="22" customHeight="1">
      <c r="B96" s="22">
        <f>IF(C96="","COUT"&amp;TEXT(COUNTA($C$5:C96),"000"))</f>
        <v/>
      </c>
      <c r="C96" s="22" t="n"/>
      <c r="D96" s="22">
        <f>IF(C96="","",VLOOKUP(C96,'_Données Employés'!$B$5:$S$114,3,FALSE))</f>
        <v/>
      </c>
      <c r="E96" s="22">
        <f>IF(C96="","",VLOOKUP(C96,'_Données Employés'!$B$5:$S$114,10,FALSE))</f>
        <v/>
      </c>
      <c r="F96" s="22" t="n"/>
      <c r="G96" s="22" t="n"/>
      <c r="H96" s="22" t="n"/>
      <c r="I96" s="18">
        <f>IF(F96="","",IFERROR(F96+G96+H96,0))</f>
        <v/>
      </c>
      <c r="J96" s="18">
        <f>IF(I96="","",IFERROR(I96*12,0))</f>
        <v/>
      </c>
      <c r="K96" s="18">
        <f>IF(F96="","",IFERROR(I96/F96,0))</f>
        <v/>
      </c>
    </row>
    <row r="97" ht="22" customHeight="1">
      <c r="B97" s="21">
        <f>IF(C97="","COUT"&amp;TEXT(COUNTA($C$5:C97),"000"))</f>
        <v/>
      </c>
      <c r="C97" s="21" t="n"/>
      <c r="D97" s="21">
        <f>IF(C97="","",VLOOKUP(C97,'_Données Employés'!$B$5:$S$114,3,FALSE))</f>
        <v/>
      </c>
      <c r="E97" s="21">
        <f>IF(C97="","",VLOOKUP(C97,'_Données Employés'!$B$5:$S$114,10,FALSE))</f>
        <v/>
      </c>
      <c r="F97" s="21" t="n"/>
      <c r="G97" s="21" t="n"/>
      <c r="H97" s="21" t="n"/>
      <c r="I97" s="16">
        <f>IF(F97="","",IFERROR(F97+G97+H97,0))</f>
        <v/>
      </c>
      <c r="J97" s="16">
        <f>IF(I97="","",IFERROR(I97*12,0))</f>
        <v/>
      </c>
      <c r="K97" s="16">
        <f>IF(F97="","",IFERROR(I97/F97,0))</f>
        <v/>
      </c>
    </row>
    <row r="98" ht="22" customHeight="1">
      <c r="B98" s="22">
        <f>IF(C98="","COUT"&amp;TEXT(COUNTA($C$5:C98),"000"))</f>
        <v/>
      </c>
      <c r="C98" s="22" t="n"/>
      <c r="D98" s="22">
        <f>IF(C98="","",VLOOKUP(C98,'_Données Employés'!$B$5:$S$114,3,FALSE))</f>
        <v/>
      </c>
      <c r="E98" s="22">
        <f>IF(C98="","",VLOOKUP(C98,'_Données Employés'!$B$5:$S$114,10,FALSE))</f>
        <v/>
      </c>
      <c r="F98" s="22" t="n"/>
      <c r="G98" s="22" t="n"/>
      <c r="H98" s="22" t="n"/>
      <c r="I98" s="18">
        <f>IF(F98="","",IFERROR(F98+G98+H98,0))</f>
        <v/>
      </c>
      <c r="J98" s="18">
        <f>IF(I98="","",IFERROR(I98*12,0))</f>
        <v/>
      </c>
      <c r="K98" s="18">
        <f>IF(F98="","",IFERROR(I98/F98,0))</f>
        <v/>
      </c>
    </row>
    <row r="99" ht="22" customHeight="1">
      <c r="B99" s="21">
        <f>IF(C99="","COUT"&amp;TEXT(COUNTA($C$5:C99),"000"))</f>
        <v/>
      </c>
      <c r="C99" s="21" t="n"/>
      <c r="D99" s="21">
        <f>IF(C99="","",VLOOKUP(C99,'_Données Employés'!$B$5:$S$114,3,FALSE))</f>
        <v/>
      </c>
      <c r="E99" s="21">
        <f>IF(C99="","",VLOOKUP(C99,'_Données Employés'!$B$5:$S$114,10,FALSE))</f>
        <v/>
      </c>
      <c r="F99" s="21" t="n"/>
      <c r="G99" s="21" t="n"/>
      <c r="H99" s="21" t="n"/>
      <c r="I99" s="16">
        <f>IF(F99="","",IFERROR(F99+G99+H99,0))</f>
        <v/>
      </c>
      <c r="J99" s="16">
        <f>IF(I99="","",IFERROR(I99*12,0))</f>
        <v/>
      </c>
      <c r="K99" s="16">
        <f>IF(F99="","",IFERROR(I99/F99,0))</f>
        <v/>
      </c>
    </row>
    <row r="100" ht="22" customHeight="1">
      <c r="B100" s="22">
        <f>IF(C100="","COUT"&amp;TEXT(COUNTA($C$5:C100),"000"))</f>
        <v/>
      </c>
      <c r="C100" s="22" t="n"/>
      <c r="D100" s="22">
        <f>IF(C100="","",VLOOKUP(C100,'_Données Employés'!$B$5:$S$114,3,FALSE))</f>
        <v/>
      </c>
      <c r="E100" s="22">
        <f>IF(C100="","",VLOOKUP(C100,'_Données Employés'!$B$5:$S$114,10,FALSE))</f>
        <v/>
      </c>
      <c r="F100" s="22" t="n"/>
      <c r="G100" s="22" t="n"/>
      <c r="H100" s="22" t="n"/>
      <c r="I100" s="18">
        <f>IF(F100="","",IFERROR(F100+G100+H100,0))</f>
        <v/>
      </c>
      <c r="J100" s="18">
        <f>IF(I100="","",IFERROR(I100*12,0))</f>
        <v/>
      </c>
      <c r="K100" s="18">
        <f>IF(F100="","",IFERROR(I100/F100,0))</f>
        <v/>
      </c>
    </row>
    <row r="101" ht="22" customHeight="1">
      <c r="B101" s="21">
        <f>IF(C101="","COUT"&amp;TEXT(COUNTA($C$5:C101),"000"))</f>
        <v/>
      </c>
      <c r="C101" s="21" t="n"/>
      <c r="D101" s="21">
        <f>IF(C101="","",VLOOKUP(C101,'_Données Employés'!$B$5:$S$114,3,FALSE))</f>
        <v/>
      </c>
      <c r="E101" s="21">
        <f>IF(C101="","",VLOOKUP(C101,'_Données Employés'!$B$5:$S$114,10,FALSE))</f>
        <v/>
      </c>
      <c r="F101" s="21" t="n"/>
      <c r="G101" s="21" t="n"/>
      <c r="H101" s="21" t="n"/>
      <c r="I101" s="16">
        <f>IF(F101="","",IFERROR(F101+G101+H101,0))</f>
        <v/>
      </c>
      <c r="J101" s="16">
        <f>IF(I101="","",IFERROR(I101*12,0))</f>
        <v/>
      </c>
      <c r="K101" s="16">
        <f>IF(F101="","",IFERROR(I101/F101,0))</f>
        <v/>
      </c>
    </row>
    <row r="102" ht="22" customHeight="1">
      <c r="B102" s="22">
        <f>IF(C102="","COUT"&amp;TEXT(COUNTA($C$5:C102),"000"))</f>
        <v/>
      </c>
      <c r="C102" s="22" t="n"/>
      <c r="D102" s="22">
        <f>IF(C102="","",VLOOKUP(C102,'_Données Employés'!$B$5:$S$114,3,FALSE))</f>
        <v/>
      </c>
      <c r="E102" s="22">
        <f>IF(C102="","",VLOOKUP(C102,'_Données Employés'!$B$5:$S$114,10,FALSE))</f>
        <v/>
      </c>
      <c r="F102" s="22" t="n"/>
      <c r="G102" s="22" t="n"/>
      <c r="H102" s="22" t="n"/>
      <c r="I102" s="18">
        <f>IF(F102="","",IFERROR(F102+G102+H102,0))</f>
        <v/>
      </c>
      <c r="J102" s="18">
        <f>IF(I102="","",IFERROR(I102*12,0))</f>
        <v/>
      </c>
      <c r="K102" s="18">
        <f>IF(F102="","",IFERROR(I102/F102,0))</f>
        <v/>
      </c>
    </row>
    <row r="103" ht="22" customHeight="1">
      <c r="B103" s="21">
        <f>IF(C103="","COUT"&amp;TEXT(COUNTA($C$5:C103),"000"))</f>
        <v/>
      </c>
      <c r="C103" s="21" t="n"/>
      <c r="D103" s="21">
        <f>IF(C103="","",VLOOKUP(C103,'_Données Employés'!$B$5:$S$114,3,FALSE))</f>
        <v/>
      </c>
      <c r="E103" s="21">
        <f>IF(C103="","",VLOOKUP(C103,'_Données Employés'!$B$5:$S$114,10,FALSE))</f>
        <v/>
      </c>
      <c r="F103" s="21" t="n"/>
      <c r="G103" s="21" t="n"/>
      <c r="H103" s="21" t="n"/>
      <c r="I103" s="16">
        <f>IF(F103="","",IFERROR(F103+G103+H103,0))</f>
        <v/>
      </c>
      <c r="J103" s="16">
        <f>IF(I103="","",IFERROR(I103*12,0))</f>
        <v/>
      </c>
      <c r="K103" s="16">
        <f>IF(F103="","",IFERROR(I103/F103,0))</f>
        <v/>
      </c>
    </row>
    <row r="104" ht="22" customHeight="1">
      <c r="B104" s="22">
        <f>IF(C104="","COUT"&amp;TEXT(COUNTA($C$5:C104),"000"))</f>
        <v/>
      </c>
      <c r="C104" s="22" t="n"/>
      <c r="D104" s="22">
        <f>IF(C104="","",VLOOKUP(C104,'_Données Employés'!$B$5:$S$114,3,FALSE))</f>
        <v/>
      </c>
      <c r="E104" s="22">
        <f>IF(C104="","",VLOOKUP(C104,'_Données Employés'!$B$5:$S$114,10,FALSE))</f>
        <v/>
      </c>
      <c r="F104" s="22" t="n"/>
      <c r="G104" s="22" t="n"/>
      <c r="H104" s="22" t="n"/>
      <c r="I104" s="18">
        <f>IF(F104="","",IFERROR(F104+G104+H104,0))</f>
        <v/>
      </c>
      <c r="J104" s="18">
        <f>IF(I104="","",IFERROR(I104*12,0))</f>
        <v/>
      </c>
      <c r="K104" s="18">
        <f>IF(F104="","",IFERROR(I104/F104,0))</f>
        <v/>
      </c>
    </row>
    <row r="107">
      <c r="B107" s="23" t="inlineStr">
        <is>
          <t>KPI Coût total annuel (FCFA)</t>
        </is>
      </c>
      <c r="C107" s="23" t="inlineStr">
        <is>
          <t>KPI Coût moyen/employé/mois (FCFA)</t>
        </is>
      </c>
    </row>
    <row r="108">
      <c r="B108" s="25">
        <f>SUM(J5:J104)</f>
        <v/>
      </c>
      <c r="C108" s="25">
        <f>IFERROR(AVERAGE(I5:I104),0)</f>
        <v/>
      </c>
    </row>
  </sheetData>
  <mergeCells count="1">
    <mergeCell ref="B2:K2"/>
  </mergeCells>
  <conditionalFormatting sqref="F5:F104">
    <cfRule type="dataBar" priority="1">
      <dataBar>
        <cfvo type="num" val="0"/>
        <cfvo type="num" val="1"/>
        <color rgb="001B2A4A"/>
      </dataBar>
    </cfRule>
  </conditionalFormatting>
  <conditionalFormatting sqref="G5:G104">
    <cfRule type="dataBar" priority="2">
      <dataBar>
        <cfvo type="num" val="0"/>
        <cfvo type="num" val="1"/>
        <color rgb="001B2A4A"/>
      </dataBar>
    </cfRule>
  </conditionalFormatting>
  <conditionalFormatting sqref="H5:H104">
    <cfRule type="dataBar" priority="3">
      <dataBar>
        <cfvo type="num" val="0"/>
        <cfvo type="num" val="1"/>
        <color rgb="001B2A4A"/>
      </dataBar>
    </cfRule>
  </conditionalFormatting>
  <conditionalFormatting sqref="I5:I104">
    <cfRule type="dataBar" priority="4">
      <dataBar>
        <cfvo type="num" val="0"/>
        <cfvo type="num" val="1"/>
        <color rgb="001B2A4A"/>
      </dataBar>
    </cfRule>
  </conditionalFormatting>
  <conditionalFormatting sqref="J5:J104">
    <cfRule type="dataBar" priority="5">
      <dataBar>
        <cfvo type="num" val="0"/>
        <cfvo type="num" val="1"/>
        <color rgb="001B2A4A"/>
      </dataBar>
    </cfRule>
  </conditionalFormatting>
  <conditionalFormatting sqref="K5:K104">
    <cfRule type="dataBar" priority="6">
      <dataBar>
        <cfvo type="num" val="0"/>
        <cfvo type="num" val="1"/>
        <color rgb="001B2A4A"/>
      </dataBar>
    </cfRule>
  </conditionalFormatting>
  <conditionalFormatting sqref="B108">
    <cfRule type="cellIs" priority="7" operator="greaterThan" dxfId="0">
      <formula>0</formula>
    </cfRule>
  </conditionalFormatting>
  <conditionalFormatting sqref="C108">
    <cfRule type="cellIs" priority="8" operator="greaterThan" dxfId="0">
      <formula>0</formula>
    </cfRule>
  </conditionalFormatting>
  <dataValidations count="1">
    <dataValidation sqref="C5:C104" showDropDown="0" showInputMessage="0" showErrorMessage="0" allowBlank="1" promptTitle="Matricule Employé" prompt="Choisir un matricule" type="list">
      <formula1>'_Données Employés'!$B$5:$B$114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L10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10" customWidth="1" min="4" max="4"/>
    <col width="10" customWidth="1" min="5" max="5"/>
    <col width="18" customWidth="1" min="6" max="6"/>
    <col width="18" customWidth="1" min="7" max="7"/>
    <col width="18" customWidth="1" min="8" max="8"/>
    <col width="18" customWidth="1" min="9" max="9"/>
    <col width="16" customWidth="1" min="10" max="10"/>
    <col width="14" customWidth="1" min="11" max="11"/>
    <col width="22" customWidth="1" min="12" max="12"/>
  </cols>
  <sheetData>
    <row r="1" ht="15" customHeight="1"/>
    <row r="2" ht="32" customHeight="1">
      <c r="B2" s="13" t="inlineStr">
        <is>
          <t>REMUNERATION — 12-Masse Salariale</t>
        </is>
      </c>
    </row>
    <row r="3" ht="8" customHeight="1"/>
    <row r="4" ht="28" customHeight="1">
      <c r="B4" s="14" t="inlineStr">
        <is>
          <t>N°</t>
        </is>
      </c>
      <c r="C4" s="14" t="inlineStr">
        <is>
          <t>Mois</t>
        </is>
      </c>
      <c r="D4" s="14" t="inlineStr">
        <is>
          <t>Année</t>
        </is>
      </c>
      <c r="E4" s="14" t="inlineStr">
        <is>
          <t>Effectif</t>
        </is>
      </c>
      <c r="F4" s="14" t="inlineStr">
        <is>
          <t>Masse Brute (FCFA)</t>
        </is>
      </c>
      <c r="G4" s="14" t="inlineStr">
        <is>
          <t>Masse Nette (FCFA)</t>
        </is>
      </c>
      <c r="H4" s="14" t="inlineStr">
        <is>
          <t>Charges Patronales (FCFA)</t>
        </is>
      </c>
      <c r="I4" s="14" t="inlineStr">
        <is>
          <t>Coût Total (FCFA)</t>
        </is>
      </c>
      <c r="J4" s="14" t="inlineStr">
        <is>
          <t>CA Hôtel (FCFA)</t>
        </is>
      </c>
      <c r="K4" s="14" t="inlineStr">
        <is>
          <t>Ratio Masse/CA</t>
        </is>
      </c>
      <c r="L4" s="14" t="inlineStr">
        <is>
          <t>Coût Moyen/Employé (FCFA)</t>
        </is>
      </c>
    </row>
    <row r="5" ht="22" customHeight="1">
      <c r="B5" s="15" t="inlineStr">
        <is>
          <t>MS-001</t>
        </is>
      </c>
      <c r="C5" s="15" t="inlineStr">
        <is>
          <t>Janvier</t>
        </is>
      </c>
      <c r="D5" s="15" t="inlineStr">
        <is>
          <t>2025</t>
        </is>
      </c>
      <c r="E5" s="16">
        <f>IF(C5="","",COUNTIF('2-Calcul des Salaires'!D5:D104,C5))</f>
        <v/>
      </c>
      <c r="F5" s="16">
        <f>IF(C5="","",SUMIF('2-Calcul des Salaires'!D5:D104,C5,'2-Calcul des Salaires'!J5:J104))</f>
        <v/>
      </c>
      <c r="G5" s="16">
        <f>IF(C5="","",SUMIF('2-Calcul des Salaires'!D5:D104,C5,'2-Calcul des Salaires'!O5:O104))</f>
        <v/>
      </c>
      <c r="H5" s="16">
        <f>IF(C5="","",SUMIF('2-Calcul des Salaires'!D5:D104,C5,'2-Calcul des Salaires'!Q5:Q104)-SUMIF('2-Calcul des Salaires'!D5:D104,C5,'2-Calcul des Salaires'!O5:O104))</f>
        <v/>
      </c>
      <c r="I5" s="16">
        <f>IF(C5="","",SUMIF('2-Calcul des Salaires'!D5:D104,C5,'2-Calcul des Salaires'!Q5:Q104))</f>
        <v/>
      </c>
      <c r="J5" s="16" t="n">
        <v>12000000</v>
      </c>
      <c r="K5" s="15" t="inlineStr"/>
      <c r="L5" s="16" t="n">
        <v>448635</v>
      </c>
    </row>
    <row r="6" ht="22" customHeight="1">
      <c r="B6" s="17" t="inlineStr">
        <is>
          <t>MS-002</t>
        </is>
      </c>
      <c r="C6" s="17" t="inlineStr">
        <is>
          <t>Fevrier</t>
        </is>
      </c>
      <c r="D6" s="17" t="inlineStr">
        <is>
          <t>2025</t>
        </is>
      </c>
      <c r="E6" s="18">
        <f>IF(C6="","",COUNTIF('2-Calcul des Salaires'!D5:D104,C6))</f>
        <v/>
      </c>
      <c r="F6" s="18">
        <f>IF(C6="","",SUMIF('2-Calcul des Salaires'!D5:D104,C6,'2-Calcul des Salaires'!J5:J104))</f>
        <v/>
      </c>
      <c r="G6" s="18">
        <f>IF(C6="","",SUMIF('2-Calcul des Salaires'!D5:D104,C6,'2-Calcul des Salaires'!O5:O104))</f>
        <v/>
      </c>
      <c r="H6" s="18">
        <f>IF(C6="","",SUMIF('2-Calcul des Salaires'!D5:D104,C6,'2-Calcul des Salaires'!Q5:Q104)-SUMIF('2-Calcul des Salaires'!D5:D104,C6,'2-Calcul des Salaires'!O5:O104))</f>
        <v/>
      </c>
      <c r="I6" s="18">
        <f>IF(C6="","",SUMIF('2-Calcul des Salaires'!D5:D104,C6,'2-Calcul des Salaires'!Q5:Q104))</f>
        <v/>
      </c>
      <c r="J6" s="18" t="n">
        <v>11500000</v>
      </c>
      <c r="K6" s="17" t="inlineStr"/>
      <c r="L6" s="18" t="n">
        <v>448635</v>
      </c>
    </row>
    <row r="7" ht="22" customHeight="1">
      <c r="B7" s="15" t="inlineStr">
        <is>
          <t>MS-003</t>
        </is>
      </c>
      <c r="C7" s="15" t="inlineStr">
        <is>
          <t>Mars</t>
        </is>
      </c>
      <c r="D7" s="15" t="inlineStr">
        <is>
          <t>2025</t>
        </is>
      </c>
      <c r="E7" s="16">
        <f>IF(C7="","",COUNTIF('2-Calcul des Salaires'!D5:D104,C7))</f>
        <v/>
      </c>
      <c r="F7" s="16">
        <f>IF(C7="","",SUMIF('2-Calcul des Salaires'!D5:D104,C7,'2-Calcul des Salaires'!J5:J104))</f>
        <v/>
      </c>
      <c r="G7" s="16">
        <f>IF(C7="","",SUMIF('2-Calcul des Salaires'!D5:D104,C7,'2-Calcul des Salaires'!O5:O104))</f>
        <v/>
      </c>
      <c r="H7" s="16">
        <f>IF(C7="","",SUMIF('2-Calcul des Salaires'!D5:D104,C7,'2-Calcul des Salaires'!Q5:Q104)-SUMIF('2-Calcul des Salaires'!D5:D104,C7,'2-Calcul des Salaires'!O5:O104))</f>
        <v/>
      </c>
      <c r="I7" s="16">
        <f>IF(C7="","",SUMIF('2-Calcul des Salaires'!D5:D104,C7,'2-Calcul des Salaires'!Q5:Q104))</f>
        <v/>
      </c>
      <c r="J7" s="16" t="n">
        <v>12500000</v>
      </c>
      <c r="K7" s="15" t="inlineStr"/>
      <c r="L7" s="16" t="n">
        <v>452500</v>
      </c>
    </row>
    <row r="8" ht="22" customHeight="1">
      <c r="B8" s="19">
        <f>IF(C8="","MS"&amp;TEXT(COUNTA($C$5:C8),"000"))</f>
        <v/>
      </c>
      <c r="C8" s="19" t="n"/>
      <c r="D8" s="19" t="n"/>
      <c r="E8" s="19">
        <f>IF(C8="","",COUNTIF('2-Calcul des Salaires'!D5:D104,C8))</f>
        <v/>
      </c>
      <c r="F8" s="19">
        <f>IF(C8="","",SUMIF('2-Calcul des Salaires'!D5:D104,C8,'2-Calcul des Salaires'!J5:J104))</f>
        <v/>
      </c>
      <c r="G8" s="19">
        <f>IF(C8="","",SUMIF('2-Calcul des Salaires'!D5:D104,C8,'2-Calcul des Salaires'!O5:O104))</f>
        <v/>
      </c>
      <c r="H8" s="19">
        <f>IF(C8="","",SUMIF('2-Calcul des Salaires'!D5:D104,C8,'2-Calcul des Salaires'!Q5:Q104)-SUMIF('2-Calcul des Salaires'!D5:D104,C8,'2-Calcul des Salaires'!O5:O104))</f>
        <v/>
      </c>
      <c r="I8" s="20">
        <f>IF(C8="","",SUMIF('2-Calcul des Salaires'!D5:D104,C8,'2-Calcul des Salaires'!Q5:Q104))</f>
        <v/>
      </c>
      <c r="J8" s="19" t="n"/>
      <c r="K8" s="19">
        <f>IF(OR(F8="",J8=""),"",IFERROR(F8/J8,0))</f>
        <v/>
      </c>
      <c r="L8" s="20">
        <f>IF(OR(E8="",I8=""),"",IFERROR(I8/E8,0))</f>
        <v/>
      </c>
    </row>
    <row r="9" ht="22" customHeight="1">
      <c r="B9" s="21">
        <f>IF(C9="","MS"&amp;TEXT(COUNTA($C$5:C9),"000"))</f>
        <v/>
      </c>
      <c r="C9" s="21" t="n"/>
      <c r="D9" s="21" t="n"/>
      <c r="E9" s="21">
        <f>IF(C9="","",COUNTIF('2-Calcul des Salaires'!D5:D104,C9))</f>
        <v/>
      </c>
      <c r="F9" s="21">
        <f>IF(C9="","",SUMIF('2-Calcul des Salaires'!D5:D104,C9,'2-Calcul des Salaires'!J5:J104))</f>
        <v/>
      </c>
      <c r="G9" s="21">
        <f>IF(C9="","",SUMIF('2-Calcul des Salaires'!D5:D104,C9,'2-Calcul des Salaires'!O5:O104))</f>
        <v/>
      </c>
      <c r="H9" s="21">
        <f>IF(C9="","",SUMIF('2-Calcul des Salaires'!D5:D104,C9,'2-Calcul des Salaires'!Q5:Q104)-SUMIF('2-Calcul des Salaires'!D5:D104,C9,'2-Calcul des Salaires'!O5:O104))</f>
        <v/>
      </c>
      <c r="I9" s="16">
        <f>IF(C9="","",SUMIF('2-Calcul des Salaires'!D5:D104,C9,'2-Calcul des Salaires'!Q5:Q104))</f>
        <v/>
      </c>
      <c r="J9" s="21" t="n"/>
      <c r="K9" s="21">
        <f>IF(OR(F9="",J9=""),"",IFERROR(F9/J9,0))</f>
        <v/>
      </c>
      <c r="L9" s="16">
        <f>IF(OR(E9="",I9=""),"",IFERROR(I9/E9,0))</f>
        <v/>
      </c>
    </row>
    <row r="10" ht="22" customHeight="1">
      <c r="B10" s="22">
        <f>IF(C10="","MS"&amp;TEXT(COUNTA($C$5:C10),"000"))</f>
        <v/>
      </c>
      <c r="C10" s="22" t="n"/>
      <c r="D10" s="22" t="n"/>
      <c r="E10" s="22">
        <f>IF(C10="","",COUNTIF('2-Calcul des Salaires'!D5:D104,C10))</f>
        <v/>
      </c>
      <c r="F10" s="22">
        <f>IF(C10="","",SUMIF('2-Calcul des Salaires'!D5:D104,C10,'2-Calcul des Salaires'!J5:J104))</f>
        <v/>
      </c>
      <c r="G10" s="22">
        <f>IF(C10="","",SUMIF('2-Calcul des Salaires'!D5:D104,C10,'2-Calcul des Salaires'!O5:O104))</f>
        <v/>
      </c>
      <c r="H10" s="22">
        <f>IF(C10="","",SUMIF('2-Calcul des Salaires'!D5:D104,C10,'2-Calcul des Salaires'!Q5:Q104)-SUMIF('2-Calcul des Salaires'!D5:D104,C10,'2-Calcul des Salaires'!O5:O104))</f>
        <v/>
      </c>
      <c r="I10" s="18">
        <f>IF(C10="","",SUMIF('2-Calcul des Salaires'!D5:D104,C10,'2-Calcul des Salaires'!Q5:Q104))</f>
        <v/>
      </c>
      <c r="J10" s="22" t="n"/>
      <c r="K10" s="22">
        <f>IF(OR(F10="",J10=""),"",IFERROR(F10/J10,0))</f>
        <v/>
      </c>
      <c r="L10" s="18">
        <f>IF(OR(E10="",I10=""),"",IFERROR(I10/E10,0))</f>
        <v/>
      </c>
    </row>
    <row r="11" ht="22" customHeight="1">
      <c r="B11" s="21">
        <f>IF(C11="","MS"&amp;TEXT(COUNTA($C$5:C11),"000"))</f>
        <v/>
      </c>
      <c r="C11" s="21" t="n"/>
      <c r="D11" s="21" t="n"/>
      <c r="E11" s="21">
        <f>IF(C11="","",COUNTIF('2-Calcul des Salaires'!D5:D104,C11))</f>
        <v/>
      </c>
      <c r="F11" s="21">
        <f>IF(C11="","",SUMIF('2-Calcul des Salaires'!D5:D104,C11,'2-Calcul des Salaires'!J5:J104))</f>
        <v/>
      </c>
      <c r="G11" s="21">
        <f>IF(C11="","",SUMIF('2-Calcul des Salaires'!D5:D104,C11,'2-Calcul des Salaires'!O5:O104))</f>
        <v/>
      </c>
      <c r="H11" s="21">
        <f>IF(C11="","",SUMIF('2-Calcul des Salaires'!D5:D104,C11,'2-Calcul des Salaires'!Q5:Q104)-SUMIF('2-Calcul des Salaires'!D5:D104,C11,'2-Calcul des Salaires'!O5:O104))</f>
        <v/>
      </c>
      <c r="I11" s="16">
        <f>IF(C11="","",SUMIF('2-Calcul des Salaires'!D5:D104,C11,'2-Calcul des Salaires'!Q5:Q104))</f>
        <v/>
      </c>
      <c r="J11" s="21" t="n"/>
      <c r="K11" s="21">
        <f>IF(OR(F11="",J11=""),"",IFERROR(F11/J11,0))</f>
        <v/>
      </c>
      <c r="L11" s="16">
        <f>IF(OR(E11="",I11=""),"",IFERROR(I11/E11,0))</f>
        <v/>
      </c>
    </row>
    <row r="12" ht="22" customHeight="1">
      <c r="B12" s="22">
        <f>IF(C12="","MS"&amp;TEXT(COUNTA($C$5:C12),"000"))</f>
        <v/>
      </c>
      <c r="C12" s="22" t="n"/>
      <c r="D12" s="22" t="n"/>
      <c r="E12" s="22">
        <f>IF(C12="","",COUNTIF('2-Calcul des Salaires'!D5:D104,C12))</f>
        <v/>
      </c>
      <c r="F12" s="22">
        <f>IF(C12="","",SUMIF('2-Calcul des Salaires'!D5:D104,C12,'2-Calcul des Salaires'!J5:J104))</f>
        <v/>
      </c>
      <c r="G12" s="22">
        <f>IF(C12="","",SUMIF('2-Calcul des Salaires'!D5:D104,C12,'2-Calcul des Salaires'!O5:O104))</f>
        <v/>
      </c>
      <c r="H12" s="22">
        <f>IF(C12="","",SUMIF('2-Calcul des Salaires'!D5:D104,C12,'2-Calcul des Salaires'!Q5:Q104)-SUMIF('2-Calcul des Salaires'!D5:D104,C12,'2-Calcul des Salaires'!O5:O104))</f>
        <v/>
      </c>
      <c r="I12" s="18">
        <f>IF(C12="","",SUMIF('2-Calcul des Salaires'!D5:D104,C12,'2-Calcul des Salaires'!Q5:Q104))</f>
        <v/>
      </c>
      <c r="J12" s="22" t="n"/>
      <c r="K12" s="22">
        <f>IF(OR(F12="",J12=""),"",IFERROR(F12/J12,0))</f>
        <v/>
      </c>
      <c r="L12" s="18">
        <f>IF(OR(E12="",I12=""),"",IFERROR(I12/E12,0))</f>
        <v/>
      </c>
    </row>
    <row r="13" ht="22" customHeight="1">
      <c r="B13" s="21">
        <f>IF(C13="","MS"&amp;TEXT(COUNTA($C$5:C13),"000"))</f>
        <v/>
      </c>
      <c r="C13" s="21" t="n"/>
      <c r="D13" s="21" t="n"/>
      <c r="E13" s="21">
        <f>IF(C13="","",COUNTIF('2-Calcul des Salaires'!D5:D104,C13))</f>
        <v/>
      </c>
      <c r="F13" s="21">
        <f>IF(C13="","",SUMIF('2-Calcul des Salaires'!D5:D104,C13,'2-Calcul des Salaires'!J5:J104))</f>
        <v/>
      </c>
      <c r="G13" s="21">
        <f>IF(C13="","",SUMIF('2-Calcul des Salaires'!D5:D104,C13,'2-Calcul des Salaires'!O5:O104))</f>
        <v/>
      </c>
      <c r="H13" s="21">
        <f>IF(C13="","",SUMIF('2-Calcul des Salaires'!D5:D104,C13,'2-Calcul des Salaires'!Q5:Q104)-SUMIF('2-Calcul des Salaires'!D5:D104,C13,'2-Calcul des Salaires'!O5:O104))</f>
        <v/>
      </c>
      <c r="I13" s="16">
        <f>IF(C13="","",SUMIF('2-Calcul des Salaires'!D5:D104,C13,'2-Calcul des Salaires'!Q5:Q104))</f>
        <v/>
      </c>
      <c r="J13" s="21" t="n"/>
      <c r="K13" s="21">
        <f>IF(OR(F13="",J13=""),"",IFERROR(F13/J13,0))</f>
        <v/>
      </c>
      <c r="L13" s="16">
        <f>IF(OR(E13="",I13=""),"",IFERROR(I13/E13,0))</f>
        <v/>
      </c>
    </row>
    <row r="14" ht="22" customHeight="1">
      <c r="B14" s="22">
        <f>IF(C14="","MS"&amp;TEXT(COUNTA($C$5:C14),"000"))</f>
        <v/>
      </c>
      <c r="C14" s="22" t="n"/>
      <c r="D14" s="22" t="n"/>
      <c r="E14" s="22">
        <f>IF(C14="","",COUNTIF('2-Calcul des Salaires'!D5:D104,C14))</f>
        <v/>
      </c>
      <c r="F14" s="22">
        <f>IF(C14="","",SUMIF('2-Calcul des Salaires'!D5:D104,C14,'2-Calcul des Salaires'!J5:J104))</f>
        <v/>
      </c>
      <c r="G14" s="22">
        <f>IF(C14="","",SUMIF('2-Calcul des Salaires'!D5:D104,C14,'2-Calcul des Salaires'!O5:O104))</f>
        <v/>
      </c>
      <c r="H14" s="22">
        <f>IF(C14="","",SUMIF('2-Calcul des Salaires'!D5:D104,C14,'2-Calcul des Salaires'!Q5:Q104)-SUMIF('2-Calcul des Salaires'!D5:D104,C14,'2-Calcul des Salaires'!O5:O104))</f>
        <v/>
      </c>
      <c r="I14" s="18">
        <f>IF(C14="","",SUMIF('2-Calcul des Salaires'!D5:D104,C14,'2-Calcul des Salaires'!Q5:Q104))</f>
        <v/>
      </c>
      <c r="J14" s="22" t="n"/>
      <c r="K14" s="22">
        <f>IF(OR(F14="",J14=""),"",IFERROR(F14/J14,0))</f>
        <v/>
      </c>
      <c r="L14" s="18">
        <f>IF(OR(E14="",I14=""),"",IFERROR(I14/E14,0))</f>
        <v/>
      </c>
    </row>
    <row r="15" ht="22" customHeight="1">
      <c r="B15" s="21">
        <f>IF(C15="","MS"&amp;TEXT(COUNTA($C$5:C15),"000"))</f>
        <v/>
      </c>
      <c r="C15" s="21" t="n"/>
      <c r="D15" s="21" t="n"/>
      <c r="E15" s="21">
        <f>IF(C15="","",COUNTIF('2-Calcul des Salaires'!D5:D104,C15))</f>
        <v/>
      </c>
      <c r="F15" s="21">
        <f>IF(C15="","",SUMIF('2-Calcul des Salaires'!D5:D104,C15,'2-Calcul des Salaires'!J5:J104))</f>
        <v/>
      </c>
      <c r="G15" s="21">
        <f>IF(C15="","",SUMIF('2-Calcul des Salaires'!D5:D104,C15,'2-Calcul des Salaires'!O5:O104))</f>
        <v/>
      </c>
      <c r="H15" s="21">
        <f>IF(C15="","",SUMIF('2-Calcul des Salaires'!D5:D104,C15,'2-Calcul des Salaires'!Q5:Q104)-SUMIF('2-Calcul des Salaires'!D5:D104,C15,'2-Calcul des Salaires'!O5:O104))</f>
        <v/>
      </c>
      <c r="I15" s="16">
        <f>IF(C15="","",SUMIF('2-Calcul des Salaires'!D5:D104,C15,'2-Calcul des Salaires'!Q5:Q104))</f>
        <v/>
      </c>
      <c r="J15" s="21" t="n"/>
      <c r="K15" s="21">
        <f>IF(OR(F15="",J15=""),"",IFERROR(F15/J15,0))</f>
        <v/>
      </c>
      <c r="L15" s="16">
        <f>IF(OR(E15="",I15=""),"",IFERROR(I15/E15,0))</f>
        <v/>
      </c>
    </row>
    <row r="16" ht="22" customHeight="1">
      <c r="B16" s="22">
        <f>IF(C16="","MS"&amp;TEXT(COUNTA($C$5:C16),"000"))</f>
        <v/>
      </c>
      <c r="C16" s="22" t="n"/>
      <c r="D16" s="22" t="n"/>
      <c r="E16" s="22">
        <f>IF(C16="","",COUNTIF('2-Calcul des Salaires'!D5:D104,C16))</f>
        <v/>
      </c>
      <c r="F16" s="22">
        <f>IF(C16="","",SUMIF('2-Calcul des Salaires'!D5:D104,C16,'2-Calcul des Salaires'!J5:J104))</f>
        <v/>
      </c>
      <c r="G16" s="22">
        <f>IF(C16="","",SUMIF('2-Calcul des Salaires'!D5:D104,C16,'2-Calcul des Salaires'!O5:O104))</f>
        <v/>
      </c>
      <c r="H16" s="22">
        <f>IF(C16="","",SUMIF('2-Calcul des Salaires'!D5:D104,C16,'2-Calcul des Salaires'!Q5:Q104)-SUMIF('2-Calcul des Salaires'!D5:D104,C16,'2-Calcul des Salaires'!O5:O104))</f>
        <v/>
      </c>
      <c r="I16" s="18">
        <f>IF(C16="","",SUMIF('2-Calcul des Salaires'!D5:D104,C16,'2-Calcul des Salaires'!Q5:Q104))</f>
        <v/>
      </c>
      <c r="J16" s="22" t="n"/>
      <c r="K16" s="22">
        <f>IF(OR(F16="",J16=""),"",IFERROR(F16/J16,0))</f>
        <v/>
      </c>
      <c r="L16" s="18">
        <f>IF(OR(E16="",I16=""),"",IFERROR(I16/E16,0))</f>
        <v/>
      </c>
    </row>
    <row r="17" ht="22" customHeight="1">
      <c r="B17" s="21">
        <f>IF(C17="","MS"&amp;TEXT(COUNTA($C$5:C17),"000"))</f>
        <v/>
      </c>
      <c r="C17" s="21" t="n"/>
      <c r="D17" s="21" t="n"/>
      <c r="E17" s="21">
        <f>IF(C17="","",COUNTIF('2-Calcul des Salaires'!D5:D104,C17))</f>
        <v/>
      </c>
      <c r="F17" s="21">
        <f>IF(C17="","",SUMIF('2-Calcul des Salaires'!D5:D104,C17,'2-Calcul des Salaires'!J5:J104))</f>
        <v/>
      </c>
      <c r="G17" s="21">
        <f>IF(C17="","",SUMIF('2-Calcul des Salaires'!D5:D104,C17,'2-Calcul des Salaires'!O5:O104))</f>
        <v/>
      </c>
      <c r="H17" s="21">
        <f>IF(C17="","",SUMIF('2-Calcul des Salaires'!D5:D104,C17,'2-Calcul des Salaires'!Q5:Q104)-SUMIF('2-Calcul des Salaires'!D5:D104,C17,'2-Calcul des Salaires'!O5:O104))</f>
        <v/>
      </c>
      <c r="I17" s="16">
        <f>IF(C17="","",SUMIF('2-Calcul des Salaires'!D5:D104,C17,'2-Calcul des Salaires'!Q5:Q104))</f>
        <v/>
      </c>
      <c r="J17" s="21" t="n"/>
      <c r="K17" s="21">
        <f>IF(OR(F17="",J17=""),"",IFERROR(F17/J17,0))</f>
        <v/>
      </c>
      <c r="L17" s="16">
        <f>IF(OR(E17="",I17=""),"",IFERROR(I17/E17,0))</f>
        <v/>
      </c>
    </row>
    <row r="18" ht="22" customHeight="1">
      <c r="B18" s="22">
        <f>IF(C18="","MS"&amp;TEXT(COUNTA($C$5:C18),"000"))</f>
        <v/>
      </c>
      <c r="C18" s="22" t="n"/>
      <c r="D18" s="22" t="n"/>
      <c r="E18" s="22">
        <f>IF(C18="","",COUNTIF('2-Calcul des Salaires'!D5:D104,C18))</f>
        <v/>
      </c>
      <c r="F18" s="22">
        <f>IF(C18="","",SUMIF('2-Calcul des Salaires'!D5:D104,C18,'2-Calcul des Salaires'!J5:J104))</f>
        <v/>
      </c>
      <c r="G18" s="22">
        <f>IF(C18="","",SUMIF('2-Calcul des Salaires'!D5:D104,C18,'2-Calcul des Salaires'!O5:O104))</f>
        <v/>
      </c>
      <c r="H18" s="22">
        <f>IF(C18="","",SUMIF('2-Calcul des Salaires'!D5:D104,C18,'2-Calcul des Salaires'!Q5:Q104)-SUMIF('2-Calcul des Salaires'!D5:D104,C18,'2-Calcul des Salaires'!O5:O104))</f>
        <v/>
      </c>
      <c r="I18" s="18">
        <f>IF(C18="","",SUMIF('2-Calcul des Salaires'!D5:D104,C18,'2-Calcul des Salaires'!Q5:Q104))</f>
        <v/>
      </c>
      <c r="J18" s="22" t="n"/>
      <c r="K18" s="22">
        <f>IF(OR(F18="",J18=""),"",IFERROR(F18/J18,0))</f>
        <v/>
      </c>
      <c r="L18" s="18">
        <f>IF(OR(E18="",I18=""),"",IFERROR(I18/E18,0))</f>
        <v/>
      </c>
    </row>
    <row r="19" ht="22" customHeight="1">
      <c r="B19" s="21">
        <f>IF(C19="","MS"&amp;TEXT(COUNTA($C$5:C19),"000"))</f>
        <v/>
      </c>
      <c r="C19" s="21" t="n"/>
      <c r="D19" s="21" t="n"/>
      <c r="E19" s="21">
        <f>IF(C19="","",COUNTIF('2-Calcul des Salaires'!D5:D104,C19))</f>
        <v/>
      </c>
      <c r="F19" s="21">
        <f>IF(C19="","",SUMIF('2-Calcul des Salaires'!D5:D104,C19,'2-Calcul des Salaires'!J5:J104))</f>
        <v/>
      </c>
      <c r="G19" s="21">
        <f>IF(C19="","",SUMIF('2-Calcul des Salaires'!D5:D104,C19,'2-Calcul des Salaires'!O5:O104))</f>
        <v/>
      </c>
      <c r="H19" s="21">
        <f>IF(C19="","",SUMIF('2-Calcul des Salaires'!D5:D104,C19,'2-Calcul des Salaires'!Q5:Q104)-SUMIF('2-Calcul des Salaires'!D5:D104,C19,'2-Calcul des Salaires'!O5:O104))</f>
        <v/>
      </c>
      <c r="I19" s="16">
        <f>IF(C19="","",SUMIF('2-Calcul des Salaires'!D5:D104,C19,'2-Calcul des Salaires'!Q5:Q104))</f>
        <v/>
      </c>
      <c r="J19" s="21" t="n"/>
      <c r="K19" s="21">
        <f>IF(OR(F19="",J19=""),"",IFERROR(F19/J19,0))</f>
        <v/>
      </c>
      <c r="L19" s="16">
        <f>IF(OR(E19="",I19=""),"",IFERROR(I19/E19,0))</f>
        <v/>
      </c>
    </row>
    <row r="20" ht="22" customHeight="1">
      <c r="B20" s="22">
        <f>IF(C20="","MS"&amp;TEXT(COUNTA($C$5:C20),"000"))</f>
        <v/>
      </c>
      <c r="C20" s="22" t="n"/>
      <c r="D20" s="22" t="n"/>
      <c r="E20" s="22">
        <f>IF(C20="","",COUNTIF('2-Calcul des Salaires'!D5:D104,C20))</f>
        <v/>
      </c>
      <c r="F20" s="22">
        <f>IF(C20="","",SUMIF('2-Calcul des Salaires'!D5:D104,C20,'2-Calcul des Salaires'!J5:J104))</f>
        <v/>
      </c>
      <c r="G20" s="22">
        <f>IF(C20="","",SUMIF('2-Calcul des Salaires'!D5:D104,C20,'2-Calcul des Salaires'!O5:O104))</f>
        <v/>
      </c>
      <c r="H20" s="22">
        <f>IF(C20="","",SUMIF('2-Calcul des Salaires'!D5:D104,C20,'2-Calcul des Salaires'!Q5:Q104)-SUMIF('2-Calcul des Salaires'!D5:D104,C20,'2-Calcul des Salaires'!O5:O104))</f>
        <v/>
      </c>
      <c r="I20" s="18">
        <f>IF(C20="","",SUMIF('2-Calcul des Salaires'!D5:D104,C20,'2-Calcul des Salaires'!Q5:Q104))</f>
        <v/>
      </c>
      <c r="J20" s="22" t="n"/>
      <c r="K20" s="22">
        <f>IF(OR(F20="",J20=""),"",IFERROR(F20/J20,0))</f>
        <v/>
      </c>
      <c r="L20" s="18">
        <f>IF(OR(E20="",I20=""),"",IFERROR(I20/E20,0))</f>
        <v/>
      </c>
    </row>
    <row r="21" ht="22" customHeight="1">
      <c r="B21" s="21">
        <f>IF(C21="","MS"&amp;TEXT(COUNTA($C$5:C21),"000"))</f>
        <v/>
      </c>
      <c r="C21" s="21" t="n"/>
      <c r="D21" s="21" t="n"/>
      <c r="E21" s="21">
        <f>IF(C21="","",COUNTIF('2-Calcul des Salaires'!D5:D104,C21))</f>
        <v/>
      </c>
      <c r="F21" s="21">
        <f>IF(C21="","",SUMIF('2-Calcul des Salaires'!D5:D104,C21,'2-Calcul des Salaires'!J5:J104))</f>
        <v/>
      </c>
      <c r="G21" s="21">
        <f>IF(C21="","",SUMIF('2-Calcul des Salaires'!D5:D104,C21,'2-Calcul des Salaires'!O5:O104))</f>
        <v/>
      </c>
      <c r="H21" s="21">
        <f>IF(C21="","",SUMIF('2-Calcul des Salaires'!D5:D104,C21,'2-Calcul des Salaires'!Q5:Q104)-SUMIF('2-Calcul des Salaires'!D5:D104,C21,'2-Calcul des Salaires'!O5:O104))</f>
        <v/>
      </c>
      <c r="I21" s="16">
        <f>IF(C21="","",SUMIF('2-Calcul des Salaires'!D5:D104,C21,'2-Calcul des Salaires'!Q5:Q104))</f>
        <v/>
      </c>
      <c r="J21" s="21" t="n"/>
      <c r="K21" s="21">
        <f>IF(OR(F21="",J21=""),"",IFERROR(F21/J21,0))</f>
        <v/>
      </c>
      <c r="L21" s="16">
        <f>IF(OR(E21="",I21=""),"",IFERROR(I21/E21,0))</f>
        <v/>
      </c>
    </row>
    <row r="22" ht="22" customHeight="1">
      <c r="B22" s="22">
        <f>IF(C22="","MS"&amp;TEXT(COUNTA($C$5:C22),"000"))</f>
        <v/>
      </c>
      <c r="C22" s="22" t="n"/>
      <c r="D22" s="22" t="n"/>
      <c r="E22" s="22">
        <f>IF(C22="","",COUNTIF('2-Calcul des Salaires'!D5:D104,C22))</f>
        <v/>
      </c>
      <c r="F22" s="22">
        <f>IF(C22="","",SUMIF('2-Calcul des Salaires'!D5:D104,C22,'2-Calcul des Salaires'!J5:J104))</f>
        <v/>
      </c>
      <c r="G22" s="22">
        <f>IF(C22="","",SUMIF('2-Calcul des Salaires'!D5:D104,C22,'2-Calcul des Salaires'!O5:O104))</f>
        <v/>
      </c>
      <c r="H22" s="22">
        <f>IF(C22="","",SUMIF('2-Calcul des Salaires'!D5:D104,C22,'2-Calcul des Salaires'!Q5:Q104)-SUMIF('2-Calcul des Salaires'!D5:D104,C22,'2-Calcul des Salaires'!O5:O104))</f>
        <v/>
      </c>
      <c r="I22" s="18">
        <f>IF(C22="","",SUMIF('2-Calcul des Salaires'!D5:D104,C22,'2-Calcul des Salaires'!Q5:Q104))</f>
        <v/>
      </c>
      <c r="J22" s="22" t="n"/>
      <c r="K22" s="22">
        <f>IF(OR(F22="",J22=""),"",IFERROR(F22/J22,0))</f>
        <v/>
      </c>
      <c r="L22" s="18">
        <f>IF(OR(E22="",I22=""),"",IFERROR(I22/E22,0))</f>
        <v/>
      </c>
    </row>
    <row r="23" ht="22" customHeight="1">
      <c r="B23" s="21">
        <f>IF(C23="","MS"&amp;TEXT(COUNTA($C$5:C23),"000"))</f>
        <v/>
      </c>
      <c r="C23" s="21" t="n"/>
      <c r="D23" s="21" t="n"/>
      <c r="E23" s="21">
        <f>IF(C23="","",COUNTIF('2-Calcul des Salaires'!D5:D104,C23))</f>
        <v/>
      </c>
      <c r="F23" s="21">
        <f>IF(C23="","",SUMIF('2-Calcul des Salaires'!D5:D104,C23,'2-Calcul des Salaires'!J5:J104))</f>
        <v/>
      </c>
      <c r="G23" s="21">
        <f>IF(C23="","",SUMIF('2-Calcul des Salaires'!D5:D104,C23,'2-Calcul des Salaires'!O5:O104))</f>
        <v/>
      </c>
      <c r="H23" s="21">
        <f>IF(C23="","",SUMIF('2-Calcul des Salaires'!D5:D104,C23,'2-Calcul des Salaires'!Q5:Q104)-SUMIF('2-Calcul des Salaires'!D5:D104,C23,'2-Calcul des Salaires'!O5:O104))</f>
        <v/>
      </c>
      <c r="I23" s="16">
        <f>IF(C23="","",SUMIF('2-Calcul des Salaires'!D5:D104,C23,'2-Calcul des Salaires'!Q5:Q104))</f>
        <v/>
      </c>
      <c r="J23" s="21" t="n"/>
      <c r="K23" s="21">
        <f>IF(OR(F23="",J23=""),"",IFERROR(F23/J23,0))</f>
        <v/>
      </c>
      <c r="L23" s="16">
        <f>IF(OR(E23="",I23=""),"",IFERROR(I23/E23,0))</f>
        <v/>
      </c>
    </row>
    <row r="24" ht="22" customHeight="1">
      <c r="B24" s="22">
        <f>IF(C24="","MS"&amp;TEXT(COUNTA($C$5:C24),"000"))</f>
        <v/>
      </c>
      <c r="C24" s="22" t="n"/>
      <c r="D24" s="22" t="n"/>
      <c r="E24" s="22">
        <f>IF(C24="","",COUNTIF('2-Calcul des Salaires'!D5:D104,C24))</f>
        <v/>
      </c>
      <c r="F24" s="22">
        <f>IF(C24="","",SUMIF('2-Calcul des Salaires'!D5:D104,C24,'2-Calcul des Salaires'!J5:J104))</f>
        <v/>
      </c>
      <c r="G24" s="22">
        <f>IF(C24="","",SUMIF('2-Calcul des Salaires'!D5:D104,C24,'2-Calcul des Salaires'!O5:O104))</f>
        <v/>
      </c>
      <c r="H24" s="22">
        <f>IF(C24="","",SUMIF('2-Calcul des Salaires'!D5:D104,C24,'2-Calcul des Salaires'!Q5:Q104)-SUMIF('2-Calcul des Salaires'!D5:D104,C24,'2-Calcul des Salaires'!O5:O104))</f>
        <v/>
      </c>
      <c r="I24" s="18">
        <f>IF(C24="","",SUMIF('2-Calcul des Salaires'!D5:D104,C24,'2-Calcul des Salaires'!Q5:Q104))</f>
        <v/>
      </c>
      <c r="J24" s="22" t="n"/>
      <c r="K24" s="22">
        <f>IF(OR(F24="",J24=""),"",IFERROR(F24/J24,0))</f>
        <v/>
      </c>
      <c r="L24" s="18">
        <f>IF(OR(E24="",I24=""),"",IFERROR(I24/E24,0))</f>
        <v/>
      </c>
    </row>
    <row r="25" ht="22" customHeight="1">
      <c r="B25" s="21">
        <f>IF(C25="","MS"&amp;TEXT(COUNTA($C$5:C25),"000"))</f>
        <v/>
      </c>
      <c r="C25" s="21" t="n"/>
      <c r="D25" s="21" t="n"/>
      <c r="E25" s="21">
        <f>IF(C25="","",COUNTIF('2-Calcul des Salaires'!D5:D104,C25))</f>
        <v/>
      </c>
      <c r="F25" s="21">
        <f>IF(C25="","",SUMIF('2-Calcul des Salaires'!D5:D104,C25,'2-Calcul des Salaires'!J5:J104))</f>
        <v/>
      </c>
      <c r="G25" s="21">
        <f>IF(C25="","",SUMIF('2-Calcul des Salaires'!D5:D104,C25,'2-Calcul des Salaires'!O5:O104))</f>
        <v/>
      </c>
      <c r="H25" s="21">
        <f>IF(C25="","",SUMIF('2-Calcul des Salaires'!D5:D104,C25,'2-Calcul des Salaires'!Q5:Q104)-SUMIF('2-Calcul des Salaires'!D5:D104,C25,'2-Calcul des Salaires'!O5:O104))</f>
        <v/>
      </c>
      <c r="I25" s="16">
        <f>IF(C25="","",SUMIF('2-Calcul des Salaires'!D5:D104,C25,'2-Calcul des Salaires'!Q5:Q104))</f>
        <v/>
      </c>
      <c r="J25" s="21" t="n"/>
      <c r="K25" s="21">
        <f>IF(OR(F25="",J25=""),"",IFERROR(F25/J25,0))</f>
        <v/>
      </c>
      <c r="L25" s="16">
        <f>IF(OR(E25="",I25=""),"",IFERROR(I25/E25,0))</f>
        <v/>
      </c>
    </row>
    <row r="26" ht="22" customHeight="1">
      <c r="B26" s="22">
        <f>IF(C26="","MS"&amp;TEXT(COUNTA($C$5:C26),"000"))</f>
        <v/>
      </c>
      <c r="C26" s="22" t="n"/>
      <c r="D26" s="22" t="n"/>
      <c r="E26" s="22">
        <f>IF(C26="","",COUNTIF('2-Calcul des Salaires'!D5:D104,C26))</f>
        <v/>
      </c>
      <c r="F26" s="22">
        <f>IF(C26="","",SUMIF('2-Calcul des Salaires'!D5:D104,C26,'2-Calcul des Salaires'!J5:J104))</f>
        <v/>
      </c>
      <c r="G26" s="22">
        <f>IF(C26="","",SUMIF('2-Calcul des Salaires'!D5:D104,C26,'2-Calcul des Salaires'!O5:O104))</f>
        <v/>
      </c>
      <c r="H26" s="22">
        <f>IF(C26="","",SUMIF('2-Calcul des Salaires'!D5:D104,C26,'2-Calcul des Salaires'!Q5:Q104)-SUMIF('2-Calcul des Salaires'!D5:D104,C26,'2-Calcul des Salaires'!O5:O104))</f>
        <v/>
      </c>
      <c r="I26" s="18">
        <f>IF(C26="","",SUMIF('2-Calcul des Salaires'!D5:D104,C26,'2-Calcul des Salaires'!Q5:Q104))</f>
        <v/>
      </c>
      <c r="J26" s="22" t="n"/>
      <c r="K26" s="22">
        <f>IF(OR(F26="",J26=""),"",IFERROR(F26/J26,0))</f>
        <v/>
      </c>
      <c r="L26" s="18">
        <f>IF(OR(E26="",I26=""),"",IFERROR(I26/E26,0))</f>
        <v/>
      </c>
    </row>
    <row r="27" ht="22" customHeight="1">
      <c r="B27" s="21">
        <f>IF(C27="","MS"&amp;TEXT(COUNTA($C$5:C27),"000"))</f>
        <v/>
      </c>
      <c r="C27" s="21" t="n"/>
      <c r="D27" s="21" t="n"/>
      <c r="E27" s="21">
        <f>IF(C27="","",COUNTIF('2-Calcul des Salaires'!D5:D104,C27))</f>
        <v/>
      </c>
      <c r="F27" s="21">
        <f>IF(C27="","",SUMIF('2-Calcul des Salaires'!D5:D104,C27,'2-Calcul des Salaires'!J5:J104))</f>
        <v/>
      </c>
      <c r="G27" s="21">
        <f>IF(C27="","",SUMIF('2-Calcul des Salaires'!D5:D104,C27,'2-Calcul des Salaires'!O5:O104))</f>
        <v/>
      </c>
      <c r="H27" s="21">
        <f>IF(C27="","",SUMIF('2-Calcul des Salaires'!D5:D104,C27,'2-Calcul des Salaires'!Q5:Q104)-SUMIF('2-Calcul des Salaires'!D5:D104,C27,'2-Calcul des Salaires'!O5:O104))</f>
        <v/>
      </c>
      <c r="I27" s="16">
        <f>IF(C27="","",SUMIF('2-Calcul des Salaires'!D5:D104,C27,'2-Calcul des Salaires'!Q5:Q104))</f>
        <v/>
      </c>
      <c r="J27" s="21" t="n"/>
      <c r="K27" s="21">
        <f>IF(OR(F27="",J27=""),"",IFERROR(F27/J27,0))</f>
        <v/>
      </c>
      <c r="L27" s="16">
        <f>IF(OR(E27="",I27=""),"",IFERROR(I27/E27,0))</f>
        <v/>
      </c>
    </row>
    <row r="28" ht="22" customHeight="1">
      <c r="B28" s="22">
        <f>IF(C28="","MS"&amp;TEXT(COUNTA($C$5:C28),"000"))</f>
        <v/>
      </c>
      <c r="C28" s="22" t="n"/>
      <c r="D28" s="22" t="n"/>
      <c r="E28" s="22">
        <f>IF(C28="","",COUNTIF('2-Calcul des Salaires'!D5:D104,C28))</f>
        <v/>
      </c>
      <c r="F28" s="22">
        <f>IF(C28="","",SUMIF('2-Calcul des Salaires'!D5:D104,C28,'2-Calcul des Salaires'!J5:J104))</f>
        <v/>
      </c>
      <c r="G28" s="22">
        <f>IF(C28="","",SUMIF('2-Calcul des Salaires'!D5:D104,C28,'2-Calcul des Salaires'!O5:O104))</f>
        <v/>
      </c>
      <c r="H28" s="22">
        <f>IF(C28="","",SUMIF('2-Calcul des Salaires'!D5:D104,C28,'2-Calcul des Salaires'!Q5:Q104)-SUMIF('2-Calcul des Salaires'!D5:D104,C28,'2-Calcul des Salaires'!O5:O104))</f>
        <v/>
      </c>
      <c r="I28" s="18">
        <f>IF(C28="","",SUMIF('2-Calcul des Salaires'!D5:D104,C28,'2-Calcul des Salaires'!Q5:Q104))</f>
        <v/>
      </c>
      <c r="J28" s="22" t="n"/>
      <c r="K28" s="22">
        <f>IF(OR(F28="",J28=""),"",IFERROR(F28/J28,0))</f>
        <v/>
      </c>
      <c r="L28" s="18">
        <f>IF(OR(E28="",I28=""),"",IFERROR(I28/E28,0))</f>
        <v/>
      </c>
    </row>
    <row r="29" ht="22" customHeight="1">
      <c r="B29" s="21">
        <f>IF(C29="","MS"&amp;TEXT(COUNTA($C$5:C29),"000"))</f>
        <v/>
      </c>
      <c r="C29" s="21" t="n"/>
      <c r="D29" s="21" t="n"/>
      <c r="E29" s="21">
        <f>IF(C29="","",COUNTIF('2-Calcul des Salaires'!D5:D104,C29))</f>
        <v/>
      </c>
      <c r="F29" s="21">
        <f>IF(C29="","",SUMIF('2-Calcul des Salaires'!D5:D104,C29,'2-Calcul des Salaires'!J5:J104))</f>
        <v/>
      </c>
      <c r="G29" s="21">
        <f>IF(C29="","",SUMIF('2-Calcul des Salaires'!D5:D104,C29,'2-Calcul des Salaires'!O5:O104))</f>
        <v/>
      </c>
      <c r="H29" s="21">
        <f>IF(C29="","",SUMIF('2-Calcul des Salaires'!D5:D104,C29,'2-Calcul des Salaires'!Q5:Q104)-SUMIF('2-Calcul des Salaires'!D5:D104,C29,'2-Calcul des Salaires'!O5:O104))</f>
        <v/>
      </c>
      <c r="I29" s="16">
        <f>IF(C29="","",SUMIF('2-Calcul des Salaires'!D5:D104,C29,'2-Calcul des Salaires'!Q5:Q104))</f>
        <v/>
      </c>
      <c r="J29" s="21" t="n"/>
      <c r="K29" s="21">
        <f>IF(OR(F29="",J29=""),"",IFERROR(F29/J29,0))</f>
        <v/>
      </c>
      <c r="L29" s="16">
        <f>IF(OR(E29="",I29=""),"",IFERROR(I29/E29,0))</f>
        <v/>
      </c>
    </row>
    <row r="30" ht="22" customHeight="1">
      <c r="B30" s="22">
        <f>IF(C30="","MS"&amp;TEXT(COUNTA($C$5:C30),"000"))</f>
        <v/>
      </c>
      <c r="C30" s="22" t="n"/>
      <c r="D30" s="22" t="n"/>
      <c r="E30" s="22">
        <f>IF(C30="","",COUNTIF('2-Calcul des Salaires'!D5:D104,C30))</f>
        <v/>
      </c>
      <c r="F30" s="22">
        <f>IF(C30="","",SUMIF('2-Calcul des Salaires'!D5:D104,C30,'2-Calcul des Salaires'!J5:J104))</f>
        <v/>
      </c>
      <c r="G30" s="22">
        <f>IF(C30="","",SUMIF('2-Calcul des Salaires'!D5:D104,C30,'2-Calcul des Salaires'!O5:O104))</f>
        <v/>
      </c>
      <c r="H30" s="22">
        <f>IF(C30="","",SUMIF('2-Calcul des Salaires'!D5:D104,C30,'2-Calcul des Salaires'!Q5:Q104)-SUMIF('2-Calcul des Salaires'!D5:D104,C30,'2-Calcul des Salaires'!O5:O104))</f>
        <v/>
      </c>
      <c r="I30" s="18">
        <f>IF(C30="","",SUMIF('2-Calcul des Salaires'!D5:D104,C30,'2-Calcul des Salaires'!Q5:Q104))</f>
        <v/>
      </c>
      <c r="J30" s="22" t="n"/>
      <c r="K30" s="22">
        <f>IF(OR(F30="",J30=""),"",IFERROR(F30/J30,0))</f>
        <v/>
      </c>
      <c r="L30" s="18">
        <f>IF(OR(E30="",I30=""),"",IFERROR(I30/E30,0))</f>
        <v/>
      </c>
    </row>
    <row r="31" ht="22" customHeight="1">
      <c r="B31" s="21">
        <f>IF(C31="","MS"&amp;TEXT(COUNTA($C$5:C31),"000"))</f>
        <v/>
      </c>
      <c r="C31" s="21" t="n"/>
      <c r="D31" s="21" t="n"/>
      <c r="E31" s="21">
        <f>IF(C31="","",COUNTIF('2-Calcul des Salaires'!D5:D104,C31))</f>
        <v/>
      </c>
      <c r="F31" s="21">
        <f>IF(C31="","",SUMIF('2-Calcul des Salaires'!D5:D104,C31,'2-Calcul des Salaires'!J5:J104))</f>
        <v/>
      </c>
      <c r="G31" s="21">
        <f>IF(C31="","",SUMIF('2-Calcul des Salaires'!D5:D104,C31,'2-Calcul des Salaires'!O5:O104))</f>
        <v/>
      </c>
      <c r="H31" s="21">
        <f>IF(C31="","",SUMIF('2-Calcul des Salaires'!D5:D104,C31,'2-Calcul des Salaires'!Q5:Q104)-SUMIF('2-Calcul des Salaires'!D5:D104,C31,'2-Calcul des Salaires'!O5:O104))</f>
        <v/>
      </c>
      <c r="I31" s="16">
        <f>IF(C31="","",SUMIF('2-Calcul des Salaires'!D5:D104,C31,'2-Calcul des Salaires'!Q5:Q104))</f>
        <v/>
      </c>
      <c r="J31" s="21" t="n"/>
      <c r="K31" s="21">
        <f>IF(OR(F31="",J31=""),"",IFERROR(F31/J31,0))</f>
        <v/>
      </c>
      <c r="L31" s="16">
        <f>IF(OR(E31="",I31=""),"",IFERROR(I31/E31,0))</f>
        <v/>
      </c>
    </row>
    <row r="32" ht="22" customHeight="1">
      <c r="B32" s="22">
        <f>IF(C32="","MS"&amp;TEXT(COUNTA($C$5:C32),"000"))</f>
        <v/>
      </c>
      <c r="C32" s="22" t="n"/>
      <c r="D32" s="22" t="n"/>
      <c r="E32" s="22">
        <f>IF(C32="","",COUNTIF('2-Calcul des Salaires'!D5:D104,C32))</f>
        <v/>
      </c>
      <c r="F32" s="22">
        <f>IF(C32="","",SUMIF('2-Calcul des Salaires'!D5:D104,C32,'2-Calcul des Salaires'!J5:J104))</f>
        <v/>
      </c>
      <c r="G32" s="22">
        <f>IF(C32="","",SUMIF('2-Calcul des Salaires'!D5:D104,C32,'2-Calcul des Salaires'!O5:O104))</f>
        <v/>
      </c>
      <c r="H32" s="22">
        <f>IF(C32="","",SUMIF('2-Calcul des Salaires'!D5:D104,C32,'2-Calcul des Salaires'!Q5:Q104)-SUMIF('2-Calcul des Salaires'!D5:D104,C32,'2-Calcul des Salaires'!O5:O104))</f>
        <v/>
      </c>
      <c r="I32" s="18">
        <f>IF(C32="","",SUMIF('2-Calcul des Salaires'!D5:D104,C32,'2-Calcul des Salaires'!Q5:Q104))</f>
        <v/>
      </c>
      <c r="J32" s="22" t="n"/>
      <c r="K32" s="22">
        <f>IF(OR(F32="",J32=""),"",IFERROR(F32/J32,0))</f>
        <v/>
      </c>
      <c r="L32" s="18">
        <f>IF(OR(E32="",I32=""),"",IFERROR(I32/E32,0))</f>
        <v/>
      </c>
    </row>
    <row r="33" ht="22" customHeight="1">
      <c r="B33" s="21">
        <f>IF(C33="","MS"&amp;TEXT(COUNTA($C$5:C33),"000"))</f>
        <v/>
      </c>
      <c r="C33" s="21" t="n"/>
      <c r="D33" s="21" t="n"/>
      <c r="E33" s="21">
        <f>IF(C33="","",COUNTIF('2-Calcul des Salaires'!D5:D104,C33))</f>
        <v/>
      </c>
      <c r="F33" s="21">
        <f>IF(C33="","",SUMIF('2-Calcul des Salaires'!D5:D104,C33,'2-Calcul des Salaires'!J5:J104))</f>
        <v/>
      </c>
      <c r="G33" s="21">
        <f>IF(C33="","",SUMIF('2-Calcul des Salaires'!D5:D104,C33,'2-Calcul des Salaires'!O5:O104))</f>
        <v/>
      </c>
      <c r="H33" s="21">
        <f>IF(C33="","",SUMIF('2-Calcul des Salaires'!D5:D104,C33,'2-Calcul des Salaires'!Q5:Q104)-SUMIF('2-Calcul des Salaires'!D5:D104,C33,'2-Calcul des Salaires'!O5:O104))</f>
        <v/>
      </c>
      <c r="I33" s="16">
        <f>IF(C33="","",SUMIF('2-Calcul des Salaires'!D5:D104,C33,'2-Calcul des Salaires'!Q5:Q104))</f>
        <v/>
      </c>
      <c r="J33" s="21" t="n"/>
      <c r="K33" s="21">
        <f>IF(OR(F33="",J33=""),"",IFERROR(F33/J33,0))</f>
        <v/>
      </c>
      <c r="L33" s="16">
        <f>IF(OR(E33="",I33=""),"",IFERROR(I33/E33,0))</f>
        <v/>
      </c>
    </row>
    <row r="34" ht="22" customHeight="1">
      <c r="B34" s="22">
        <f>IF(C34="","MS"&amp;TEXT(COUNTA($C$5:C34),"000"))</f>
        <v/>
      </c>
      <c r="C34" s="22" t="n"/>
      <c r="D34" s="22" t="n"/>
      <c r="E34" s="22">
        <f>IF(C34="","",COUNTIF('2-Calcul des Salaires'!D5:D104,C34))</f>
        <v/>
      </c>
      <c r="F34" s="22">
        <f>IF(C34="","",SUMIF('2-Calcul des Salaires'!D5:D104,C34,'2-Calcul des Salaires'!J5:J104))</f>
        <v/>
      </c>
      <c r="G34" s="22">
        <f>IF(C34="","",SUMIF('2-Calcul des Salaires'!D5:D104,C34,'2-Calcul des Salaires'!O5:O104))</f>
        <v/>
      </c>
      <c r="H34" s="22">
        <f>IF(C34="","",SUMIF('2-Calcul des Salaires'!D5:D104,C34,'2-Calcul des Salaires'!Q5:Q104)-SUMIF('2-Calcul des Salaires'!D5:D104,C34,'2-Calcul des Salaires'!O5:O104))</f>
        <v/>
      </c>
      <c r="I34" s="18">
        <f>IF(C34="","",SUMIF('2-Calcul des Salaires'!D5:D104,C34,'2-Calcul des Salaires'!Q5:Q104))</f>
        <v/>
      </c>
      <c r="J34" s="22" t="n"/>
      <c r="K34" s="22">
        <f>IF(OR(F34="",J34=""),"",IFERROR(F34/J34,0))</f>
        <v/>
      </c>
      <c r="L34" s="18">
        <f>IF(OR(E34="",I34=""),"",IFERROR(I34/E34,0))</f>
        <v/>
      </c>
    </row>
    <row r="35" ht="22" customHeight="1">
      <c r="B35" s="21">
        <f>IF(C35="","MS"&amp;TEXT(COUNTA($C$5:C35),"000"))</f>
        <v/>
      </c>
      <c r="C35" s="21" t="n"/>
      <c r="D35" s="21" t="n"/>
      <c r="E35" s="21">
        <f>IF(C35="","",COUNTIF('2-Calcul des Salaires'!D5:D104,C35))</f>
        <v/>
      </c>
      <c r="F35" s="21">
        <f>IF(C35="","",SUMIF('2-Calcul des Salaires'!D5:D104,C35,'2-Calcul des Salaires'!J5:J104))</f>
        <v/>
      </c>
      <c r="G35" s="21">
        <f>IF(C35="","",SUMIF('2-Calcul des Salaires'!D5:D104,C35,'2-Calcul des Salaires'!O5:O104))</f>
        <v/>
      </c>
      <c r="H35" s="21">
        <f>IF(C35="","",SUMIF('2-Calcul des Salaires'!D5:D104,C35,'2-Calcul des Salaires'!Q5:Q104)-SUMIF('2-Calcul des Salaires'!D5:D104,C35,'2-Calcul des Salaires'!O5:O104))</f>
        <v/>
      </c>
      <c r="I35" s="16">
        <f>IF(C35="","",SUMIF('2-Calcul des Salaires'!D5:D104,C35,'2-Calcul des Salaires'!Q5:Q104))</f>
        <v/>
      </c>
      <c r="J35" s="21" t="n"/>
      <c r="K35" s="21">
        <f>IF(OR(F35="",J35=""),"",IFERROR(F35/J35,0))</f>
        <v/>
      </c>
      <c r="L35" s="16">
        <f>IF(OR(E35="",I35=""),"",IFERROR(I35/E35,0))</f>
        <v/>
      </c>
    </row>
    <row r="36" ht="22" customHeight="1">
      <c r="B36" s="22">
        <f>IF(C36="","MS"&amp;TEXT(COUNTA($C$5:C36),"000"))</f>
        <v/>
      </c>
      <c r="C36" s="22" t="n"/>
      <c r="D36" s="22" t="n"/>
      <c r="E36" s="22">
        <f>IF(C36="","",COUNTIF('2-Calcul des Salaires'!D5:D104,C36))</f>
        <v/>
      </c>
      <c r="F36" s="22">
        <f>IF(C36="","",SUMIF('2-Calcul des Salaires'!D5:D104,C36,'2-Calcul des Salaires'!J5:J104))</f>
        <v/>
      </c>
      <c r="G36" s="22">
        <f>IF(C36="","",SUMIF('2-Calcul des Salaires'!D5:D104,C36,'2-Calcul des Salaires'!O5:O104))</f>
        <v/>
      </c>
      <c r="H36" s="22">
        <f>IF(C36="","",SUMIF('2-Calcul des Salaires'!D5:D104,C36,'2-Calcul des Salaires'!Q5:Q104)-SUMIF('2-Calcul des Salaires'!D5:D104,C36,'2-Calcul des Salaires'!O5:O104))</f>
        <v/>
      </c>
      <c r="I36" s="18">
        <f>IF(C36="","",SUMIF('2-Calcul des Salaires'!D5:D104,C36,'2-Calcul des Salaires'!Q5:Q104))</f>
        <v/>
      </c>
      <c r="J36" s="22" t="n"/>
      <c r="K36" s="22">
        <f>IF(OR(F36="",J36=""),"",IFERROR(F36/J36,0))</f>
        <v/>
      </c>
      <c r="L36" s="18">
        <f>IF(OR(E36="",I36=""),"",IFERROR(I36/E36,0))</f>
        <v/>
      </c>
    </row>
    <row r="37" ht="22" customHeight="1">
      <c r="B37" s="21">
        <f>IF(C37="","MS"&amp;TEXT(COUNTA($C$5:C37),"000"))</f>
        <v/>
      </c>
      <c r="C37" s="21" t="n"/>
      <c r="D37" s="21" t="n"/>
      <c r="E37" s="21">
        <f>IF(C37="","",COUNTIF('2-Calcul des Salaires'!D5:D104,C37))</f>
        <v/>
      </c>
      <c r="F37" s="21">
        <f>IF(C37="","",SUMIF('2-Calcul des Salaires'!D5:D104,C37,'2-Calcul des Salaires'!J5:J104))</f>
        <v/>
      </c>
      <c r="G37" s="21">
        <f>IF(C37="","",SUMIF('2-Calcul des Salaires'!D5:D104,C37,'2-Calcul des Salaires'!O5:O104))</f>
        <v/>
      </c>
      <c r="H37" s="21">
        <f>IF(C37="","",SUMIF('2-Calcul des Salaires'!D5:D104,C37,'2-Calcul des Salaires'!Q5:Q104)-SUMIF('2-Calcul des Salaires'!D5:D104,C37,'2-Calcul des Salaires'!O5:O104))</f>
        <v/>
      </c>
      <c r="I37" s="16">
        <f>IF(C37="","",SUMIF('2-Calcul des Salaires'!D5:D104,C37,'2-Calcul des Salaires'!Q5:Q104))</f>
        <v/>
      </c>
      <c r="J37" s="21" t="n"/>
      <c r="K37" s="21">
        <f>IF(OR(F37="",J37=""),"",IFERROR(F37/J37,0))</f>
        <v/>
      </c>
      <c r="L37" s="16">
        <f>IF(OR(E37="",I37=""),"",IFERROR(I37/E37,0))</f>
        <v/>
      </c>
    </row>
    <row r="38" ht="22" customHeight="1">
      <c r="B38" s="22">
        <f>IF(C38="","MS"&amp;TEXT(COUNTA($C$5:C38),"000"))</f>
        <v/>
      </c>
      <c r="C38" s="22" t="n"/>
      <c r="D38" s="22" t="n"/>
      <c r="E38" s="22">
        <f>IF(C38="","",COUNTIF('2-Calcul des Salaires'!D5:D104,C38))</f>
        <v/>
      </c>
      <c r="F38" s="22">
        <f>IF(C38="","",SUMIF('2-Calcul des Salaires'!D5:D104,C38,'2-Calcul des Salaires'!J5:J104))</f>
        <v/>
      </c>
      <c r="G38" s="22">
        <f>IF(C38="","",SUMIF('2-Calcul des Salaires'!D5:D104,C38,'2-Calcul des Salaires'!O5:O104))</f>
        <v/>
      </c>
      <c r="H38" s="22">
        <f>IF(C38="","",SUMIF('2-Calcul des Salaires'!D5:D104,C38,'2-Calcul des Salaires'!Q5:Q104)-SUMIF('2-Calcul des Salaires'!D5:D104,C38,'2-Calcul des Salaires'!O5:O104))</f>
        <v/>
      </c>
      <c r="I38" s="18">
        <f>IF(C38="","",SUMIF('2-Calcul des Salaires'!D5:D104,C38,'2-Calcul des Salaires'!Q5:Q104))</f>
        <v/>
      </c>
      <c r="J38" s="22" t="n"/>
      <c r="K38" s="22">
        <f>IF(OR(F38="",J38=""),"",IFERROR(F38/J38,0))</f>
        <v/>
      </c>
      <c r="L38" s="18">
        <f>IF(OR(E38="",I38=""),"",IFERROR(I38/E38,0))</f>
        <v/>
      </c>
    </row>
    <row r="39" ht="22" customHeight="1">
      <c r="B39" s="21">
        <f>IF(C39="","MS"&amp;TEXT(COUNTA($C$5:C39),"000"))</f>
        <v/>
      </c>
      <c r="C39" s="21" t="n"/>
      <c r="D39" s="21" t="n"/>
      <c r="E39" s="21">
        <f>IF(C39="","",COUNTIF('2-Calcul des Salaires'!D5:D104,C39))</f>
        <v/>
      </c>
      <c r="F39" s="21">
        <f>IF(C39="","",SUMIF('2-Calcul des Salaires'!D5:D104,C39,'2-Calcul des Salaires'!J5:J104))</f>
        <v/>
      </c>
      <c r="G39" s="21">
        <f>IF(C39="","",SUMIF('2-Calcul des Salaires'!D5:D104,C39,'2-Calcul des Salaires'!O5:O104))</f>
        <v/>
      </c>
      <c r="H39" s="21">
        <f>IF(C39="","",SUMIF('2-Calcul des Salaires'!D5:D104,C39,'2-Calcul des Salaires'!Q5:Q104)-SUMIF('2-Calcul des Salaires'!D5:D104,C39,'2-Calcul des Salaires'!O5:O104))</f>
        <v/>
      </c>
      <c r="I39" s="16">
        <f>IF(C39="","",SUMIF('2-Calcul des Salaires'!D5:D104,C39,'2-Calcul des Salaires'!Q5:Q104))</f>
        <v/>
      </c>
      <c r="J39" s="21" t="n"/>
      <c r="K39" s="21">
        <f>IF(OR(F39="",J39=""),"",IFERROR(F39/J39,0))</f>
        <v/>
      </c>
      <c r="L39" s="16">
        <f>IF(OR(E39="",I39=""),"",IFERROR(I39/E39,0))</f>
        <v/>
      </c>
    </row>
    <row r="40" ht="22" customHeight="1">
      <c r="B40" s="22">
        <f>IF(C40="","MS"&amp;TEXT(COUNTA($C$5:C40),"000"))</f>
        <v/>
      </c>
      <c r="C40" s="22" t="n"/>
      <c r="D40" s="22" t="n"/>
      <c r="E40" s="22">
        <f>IF(C40="","",COUNTIF('2-Calcul des Salaires'!D5:D104,C40))</f>
        <v/>
      </c>
      <c r="F40" s="22">
        <f>IF(C40="","",SUMIF('2-Calcul des Salaires'!D5:D104,C40,'2-Calcul des Salaires'!J5:J104))</f>
        <v/>
      </c>
      <c r="G40" s="22">
        <f>IF(C40="","",SUMIF('2-Calcul des Salaires'!D5:D104,C40,'2-Calcul des Salaires'!O5:O104))</f>
        <v/>
      </c>
      <c r="H40" s="22">
        <f>IF(C40="","",SUMIF('2-Calcul des Salaires'!D5:D104,C40,'2-Calcul des Salaires'!Q5:Q104)-SUMIF('2-Calcul des Salaires'!D5:D104,C40,'2-Calcul des Salaires'!O5:O104))</f>
        <v/>
      </c>
      <c r="I40" s="18">
        <f>IF(C40="","",SUMIF('2-Calcul des Salaires'!D5:D104,C40,'2-Calcul des Salaires'!Q5:Q104))</f>
        <v/>
      </c>
      <c r="J40" s="22" t="n"/>
      <c r="K40" s="22">
        <f>IF(OR(F40="",J40=""),"",IFERROR(F40/J40,0))</f>
        <v/>
      </c>
      <c r="L40" s="18">
        <f>IF(OR(E40="",I40=""),"",IFERROR(I40/E40,0))</f>
        <v/>
      </c>
    </row>
    <row r="41" ht="22" customHeight="1">
      <c r="B41" s="21">
        <f>IF(C41="","MS"&amp;TEXT(COUNTA($C$5:C41),"000"))</f>
        <v/>
      </c>
      <c r="C41" s="21" t="n"/>
      <c r="D41" s="21" t="n"/>
      <c r="E41" s="21">
        <f>IF(C41="","",COUNTIF('2-Calcul des Salaires'!D5:D104,C41))</f>
        <v/>
      </c>
      <c r="F41" s="21">
        <f>IF(C41="","",SUMIF('2-Calcul des Salaires'!D5:D104,C41,'2-Calcul des Salaires'!J5:J104))</f>
        <v/>
      </c>
      <c r="G41" s="21">
        <f>IF(C41="","",SUMIF('2-Calcul des Salaires'!D5:D104,C41,'2-Calcul des Salaires'!O5:O104))</f>
        <v/>
      </c>
      <c r="H41" s="21">
        <f>IF(C41="","",SUMIF('2-Calcul des Salaires'!D5:D104,C41,'2-Calcul des Salaires'!Q5:Q104)-SUMIF('2-Calcul des Salaires'!D5:D104,C41,'2-Calcul des Salaires'!O5:O104))</f>
        <v/>
      </c>
      <c r="I41" s="16">
        <f>IF(C41="","",SUMIF('2-Calcul des Salaires'!D5:D104,C41,'2-Calcul des Salaires'!Q5:Q104))</f>
        <v/>
      </c>
      <c r="J41" s="21" t="n"/>
      <c r="K41" s="21">
        <f>IF(OR(F41="",J41=""),"",IFERROR(F41/J41,0))</f>
        <v/>
      </c>
      <c r="L41" s="16">
        <f>IF(OR(E41="",I41=""),"",IFERROR(I41/E41,0))</f>
        <v/>
      </c>
    </row>
    <row r="42" ht="22" customHeight="1">
      <c r="B42" s="22">
        <f>IF(C42="","MS"&amp;TEXT(COUNTA($C$5:C42),"000"))</f>
        <v/>
      </c>
      <c r="C42" s="22" t="n"/>
      <c r="D42" s="22" t="n"/>
      <c r="E42" s="22">
        <f>IF(C42="","",COUNTIF('2-Calcul des Salaires'!D5:D104,C42))</f>
        <v/>
      </c>
      <c r="F42" s="22">
        <f>IF(C42="","",SUMIF('2-Calcul des Salaires'!D5:D104,C42,'2-Calcul des Salaires'!J5:J104))</f>
        <v/>
      </c>
      <c r="G42" s="22">
        <f>IF(C42="","",SUMIF('2-Calcul des Salaires'!D5:D104,C42,'2-Calcul des Salaires'!O5:O104))</f>
        <v/>
      </c>
      <c r="H42" s="22">
        <f>IF(C42="","",SUMIF('2-Calcul des Salaires'!D5:D104,C42,'2-Calcul des Salaires'!Q5:Q104)-SUMIF('2-Calcul des Salaires'!D5:D104,C42,'2-Calcul des Salaires'!O5:O104))</f>
        <v/>
      </c>
      <c r="I42" s="18">
        <f>IF(C42="","",SUMIF('2-Calcul des Salaires'!D5:D104,C42,'2-Calcul des Salaires'!Q5:Q104))</f>
        <v/>
      </c>
      <c r="J42" s="22" t="n"/>
      <c r="K42" s="22">
        <f>IF(OR(F42="",J42=""),"",IFERROR(F42/J42,0))</f>
        <v/>
      </c>
      <c r="L42" s="18">
        <f>IF(OR(E42="",I42=""),"",IFERROR(I42/E42,0))</f>
        <v/>
      </c>
    </row>
    <row r="43" ht="22" customHeight="1">
      <c r="B43" s="21">
        <f>IF(C43="","MS"&amp;TEXT(COUNTA($C$5:C43),"000"))</f>
        <v/>
      </c>
      <c r="C43" s="21" t="n"/>
      <c r="D43" s="21" t="n"/>
      <c r="E43" s="21">
        <f>IF(C43="","",COUNTIF('2-Calcul des Salaires'!D5:D104,C43))</f>
        <v/>
      </c>
      <c r="F43" s="21">
        <f>IF(C43="","",SUMIF('2-Calcul des Salaires'!D5:D104,C43,'2-Calcul des Salaires'!J5:J104))</f>
        <v/>
      </c>
      <c r="G43" s="21">
        <f>IF(C43="","",SUMIF('2-Calcul des Salaires'!D5:D104,C43,'2-Calcul des Salaires'!O5:O104))</f>
        <v/>
      </c>
      <c r="H43" s="21">
        <f>IF(C43="","",SUMIF('2-Calcul des Salaires'!D5:D104,C43,'2-Calcul des Salaires'!Q5:Q104)-SUMIF('2-Calcul des Salaires'!D5:D104,C43,'2-Calcul des Salaires'!O5:O104))</f>
        <v/>
      </c>
      <c r="I43" s="16">
        <f>IF(C43="","",SUMIF('2-Calcul des Salaires'!D5:D104,C43,'2-Calcul des Salaires'!Q5:Q104))</f>
        <v/>
      </c>
      <c r="J43" s="21" t="n"/>
      <c r="K43" s="21">
        <f>IF(OR(F43="",J43=""),"",IFERROR(F43/J43,0))</f>
        <v/>
      </c>
      <c r="L43" s="16">
        <f>IF(OR(E43="",I43=""),"",IFERROR(I43/E43,0))</f>
        <v/>
      </c>
    </row>
    <row r="44" ht="22" customHeight="1">
      <c r="B44" s="22">
        <f>IF(C44="","MS"&amp;TEXT(COUNTA($C$5:C44),"000"))</f>
        <v/>
      </c>
      <c r="C44" s="22" t="n"/>
      <c r="D44" s="22" t="n"/>
      <c r="E44" s="22">
        <f>IF(C44="","",COUNTIF('2-Calcul des Salaires'!D5:D104,C44))</f>
        <v/>
      </c>
      <c r="F44" s="22">
        <f>IF(C44="","",SUMIF('2-Calcul des Salaires'!D5:D104,C44,'2-Calcul des Salaires'!J5:J104))</f>
        <v/>
      </c>
      <c r="G44" s="22">
        <f>IF(C44="","",SUMIF('2-Calcul des Salaires'!D5:D104,C44,'2-Calcul des Salaires'!O5:O104))</f>
        <v/>
      </c>
      <c r="H44" s="22">
        <f>IF(C44="","",SUMIF('2-Calcul des Salaires'!D5:D104,C44,'2-Calcul des Salaires'!Q5:Q104)-SUMIF('2-Calcul des Salaires'!D5:D104,C44,'2-Calcul des Salaires'!O5:O104))</f>
        <v/>
      </c>
      <c r="I44" s="18">
        <f>IF(C44="","",SUMIF('2-Calcul des Salaires'!D5:D104,C44,'2-Calcul des Salaires'!Q5:Q104))</f>
        <v/>
      </c>
      <c r="J44" s="22" t="n"/>
      <c r="K44" s="22">
        <f>IF(OR(F44="",J44=""),"",IFERROR(F44/J44,0))</f>
        <v/>
      </c>
      <c r="L44" s="18">
        <f>IF(OR(E44="",I44=""),"",IFERROR(I44/E44,0))</f>
        <v/>
      </c>
    </row>
    <row r="45" ht="22" customHeight="1">
      <c r="B45" s="21">
        <f>IF(C45="","MS"&amp;TEXT(COUNTA($C$5:C45),"000"))</f>
        <v/>
      </c>
      <c r="C45" s="21" t="n"/>
      <c r="D45" s="21" t="n"/>
      <c r="E45" s="21">
        <f>IF(C45="","",COUNTIF('2-Calcul des Salaires'!D5:D104,C45))</f>
        <v/>
      </c>
      <c r="F45" s="21">
        <f>IF(C45="","",SUMIF('2-Calcul des Salaires'!D5:D104,C45,'2-Calcul des Salaires'!J5:J104))</f>
        <v/>
      </c>
      <c r="G45" s="21">
        <f>IF(C45="","",SUMIF('2-Calcul des Salaires'!D5:D104,C45,'2-Calcul des Salaires'!O5:O104))</f>
        <v/>
      </c>
      <c r="H45" s="21">
        <f>IF(C45="","",SUMIF('2-Calcul des Salaires'!D5:D104,C45,'2-Calcul des Salaires'!Q5:Q104)-SUMIF('2-Calcul des Salaires'!D5:D104,C45,'2-Calcul des Salaires'!O5:O104))</f>
        <v/>
      </c>
      <c r="I45" s="16">
        <f>IF(C45="","",SUMIF('2-Calcul des Salaires'!D5:D104,C45,'2-Calcul des Salaires'!Q5:Q104))</f>
        <v/>
      </c>
      <c r="J45" s="21" t="n"/>
      <c r="K45" s="21">
        <f>IF(OR(F45="",J45=""),"",IFERROR(F45/J45,0))</f>
        <v/>
      </c>
      <c r="L45" s="16">
        <f>IF(OR(E45="",I45=""),"",IFERROR(I45/E45,0))</f>
        <v/>
      </c>
    </row>
    <row r="46" ht="22" customHeight="1">
      <c r="B46" s="22">
        <f>IF(C46="","MS"&amp;TEXT(COUNTA($C$5:C46),"000"))</f>
        <v/>
      </c>
      <c r="C46" s="22" t="n"/>
      <c r="D46" s="22" t="n"/>
      <c r="E46" s="22">
        <f>IF(C46="","",COUNTIF('2-Calcul des Salaires'!D5:D104,C46))</f>
        <v/>
      </c>
      <c r="F46" s="22">
        <f>IF(C46="","",SUMIF('2-Calcul des Salaires'!D5:D104,C46,'2-Calcul des Salaires'!J5:J104))</f>
        <v/>
      </c>
      <c r="G46" s="22">
        <f>IF(C46="","",SUMIF('2-Calcul des Salaires'!D5:D104,C46,'2-Calcul des Salaires'!O5:O104))</f>
        <v/>
      </c>
      <c r="H46" s="22">
        <f>IF(C46="","",SUMIF('2-Calcul des Salaires'!D5:D104,C46,'2-Calcul des Salaires'!Q5:Q104)-SUMIF('2-Calcul des Salaires'!D5:D104,C46,'2-Calcul des Salaires'!O5:O104))</f>
        <v/>
      </c>
      <c r="I46" s="18">
        <f>IF(C46="","",SUMIF('2-Calcul des Salaires'!D5:D104,C46,'2-Calcul des Salaires'!Q5:Q104))</f>
        <v/>
      </c>
      <c r="J46" s="22" t="n"/>
      <c r="K46" s="22">
        <f>IF(OR(F46="",J46=""),"",IFERROR(F46/J46,0))</f>
        <v/>
      </c>
      <c r="L46" s="18">
        <f>IF(OR(E46="",I46=""),"",IFERROR(I46/E46,0))</f>
        <v/>
      </c>
    </row>
    <row r="47" ht="22" customHeight="1">
      <c r="B47" s="21">
        <f>IF(C47="","MS"&amp;TEXT(COUNTA($C$5:C47),"000"))</f>
        <v/>
      </c>
      <c r="C47" s="21" t="n"/>
      <c r="D47" s="21" t="n"/>
      <c r="E47" s="21">
        <f>IF(C47="","",COUNTIF('2-Calcul des Salaires'!D5:D104,C47))</f>
        <v/>
      </c>
      <c r="F47" s="21">
        <f>IF(C47="","",SUMIF('2-Calcul des Salaires'!D5:D104,C47,'2-Calcul des Salaires'!J5:J104))</f>
        <v/>
      </c>
      <c r="G47" s="21">
        <f>IF(C47="","",SUMIF('2-Calcul des Salaires'!D5:D104,C47,'2-Calcul des Salaires'!O5:O104))</f>
        <v/>
      </c>
      <c r="H47" s="21">
        <f>IF(C47="","",SUMIF('2-Calcul des Salaires'!D5:D104,C47,'2-Calcul des Salaires'!Q5:Q104)-SUMIF('2-Calcul des Salaires'!D5:D104,C47,'2-Calcul des Salaires'!O5:O104))</f>
        <v/>
      </c>
      <c r="I47" s="16">
        <f>IF(C47="","",SUMIF('2-Calcul des Salaires'!D5:D104,C47,'2-Calcul des Salaires'!Q5:Q104))</f>
        <v/>
      </c>
      <c r="J47" s="21" t="n"/>
      <c r="K47" s="21">
        <f>IF(OR(F47="",J47=""),"",IFERROR(F47/J47,0))</f>
        <v/>
      </c>
      <c r="L47" s="16">
        <f>IF(OR(E47="",I47=""),"",IFERROR(I47/E47,0))</f>
        <v/>
      </c>
    </row>
    <row r="48" ht="22" customHeight="1">
      <c r="B48" s="22">
        <f>IF(C48="","MS"&amp;TEXT(COUNTA($C$5:C48),"000"))</f>
        <v/>
      </c>
      <c r="C48" s="22" t="n"/>
      <c r="D48" s="22" t="n"/>
      <c r="E48" s="22">
        <f>IF(C48="","",COUNTIF('2-Calcul des Salaires'!D5:D104,C48))</f>
        <v/>
      </c>
      <c r="F48" s="22">
        <f>IF(C48="","",SUMIF('2-Calcul des Salaires'!D5:D104,C48,'2-Calcul des Salaires'!J5:J104))</f>
        <v/>
      </c>
      <c r="G48" s="22">
        <f>IF(C48="","",SUMIF('2-Calcul des Salaires'!D5:D104,C48,'2-Calcul des Salaires'!O5:O104))</f>
        <v/>
      </c>
      <c r="H48" s="22">
        <f>IF(C48="","",SUMIF('2-Calcul des Salaires'!D5:D104,C48,'2-Calcul des Salaires'!Q5:Q104)-SUMIF('2-Calcul des Salaires'!D5:D104,C48,'2-Calcul des Salaires'!O5:O104))</f>
        <v/>
      </c>
      <c r="I48" s="18">
        <f>IF(C48="","",SUMIF('2-Calcul des Salaires'!D5:D104,C48,'2-Calcul des Salaires'!Q5:Q104))</f>
        <v/>
      </c>
      <c r="J48" s="22" t="n"/>
      <c r="K48" s="22">
        <f>IF(OR(F48="",J48=""),"",IFERROR(F48/J48,0))</f>
        <v/>
      </c>
      <c r="L48" s="18">
        <f>IF(OR(E48="",I48=""),"",IFERROR(I48/E48,0))</f>
        <v/>
      </c>
    </row>
    <row r="49" ht="22" customHeight="1">
      <c r="B49" s="21">
        <f>IF(C49="","MS"&amp;TEXT(COUNTA($C$5:C49),"000"))</f>
        <v/>
      </c>
      <c r="C49" s="21" t="n"/>
      <c r="D49" s="21" t="n"/>
      <c r="E49" s="21">
        <f>IF(C49="","",COUNTIF('2-Calcul des Salaires'!D5:D104,C49))</f>
        <v/>
      </c>
      <c r="F49" s="21">
        <f>IF(C49="","",SUMIF('2-Calcul des Salaires'!D5:D104,C49,'2-Calcul des Salaires'!J5:J104))</f>
        <v/>
      </c>
      <c r="G49" s="21">
        <f>IF(C49="","",SUMIF('2-Calcul des Salaires'!D5:D104,C49,'2-Calcul des Salaires'!O5:O104))</f>
        <v/>
      </c>
      <c r="H49" s="21">
        <f>IF(C49="","",SUMIF('2-Calcul des Salaires'!D5:D104,C49,'2-Calcul des Salaires'!Q5:Q104)-SUMIF('2-Calcul des Salaires'!D5:D104,C49,'2-Calcul des Salaires'!O5:O104))</f>
        <v/>
      </c>
      <c r="I49" s="16">
        <f>IF(C49="","",SUMIF('2-Calcul des Salaires'!D5:D104,C49,'2-Calcul des Salaires'!Q5:Q104))</f>
        <v/>
      </c>
      <c r="J49" s="21" t="n"/>
      <c r="K49" s="21">
        <f>IF(OR(F49="",J49=""),"",IFERROR(F49/J49,0))</f>
        <v/>
      </c>
      <c r="L49" s="16">
        <f>IF(OR(E49="",I49=""),"",IFERROR(I49/E49,0))</f>
        <v/>
      </c>
    </row>
    <row r="50" ht="22" customHeight="1">
      <c r="B50" s="22">
        <f>IF(C50="","MS"&amp;TEXT(COUNTA($C$5:C50),"000"))</f>
        <v/>
      </c>
      <c r="C50" s="22" t="n"/>
      <c r="D50" s="22" t="n"/>
      <c r="E50" s="22">
        <f>IF(C50="","",COUNTIF('2-Calcul des Salaires'!D5:D104,C50))</f>
        <v/>
      </c>
      <c r="F50" s="22">
        <f>IF(C50="","",SUMIF('2-Calcul des Salaires'!D5:D104,C50,'2-Calcul des Salaires'!J5:J104))</f>
        <v/>
      </c>
      <c r="G50" s="22">
        <f>IF(C50="","",SUMIF('2-Calcul des Salaires'!D5:D104,C50,'2-Calcul des Salaires'!O5:O104))</f>
        <v/>
      </c>
      <c r="H50" s="22">
        <f>IF(C50="","",SUMIF('2-Calcul des Salaires'!D5:D104,C50,'2-Calcul des Salaires'!Q5:Q104)-SUMIF('2-Calcul des Salaires'!D5:D104,C50,'2-Calcul des Salaires'!O5:O104))</f>
        <v/>
      </c>
      <c r="I50" s="18">
        <f>IF(C50="","",SUMIF('2-Calcul des Salaires'!D5:D104,C50,'2-Calcul des Salaires'!Q5:Q104))</f>
        <v/>
      </c>
      <c r="J50" s="22" t="n"/>
      <c r="K50" s="22">
        <f>IF(OR(F50="",J50=""),"",IFERROR(F50/J50,0))</f>
        <v/>
      </c>
      <c r="L50" s="18">
        <f>IF(OR(E50="",I50=""),"",IFERROR(I50/E50,0))</f>
        <v/>
      </c>
    </row>
    <row r="51" ht="22" customHeight="1">
      <c r="B51" s="21">
        <f>IF(C51="","MS"&amp;TEXT(COUNTA($C$5:C51),"000"))</f>
        <v/>
      </c>
      <c r="C51" s="21" t="n"/>
      <c r="D51" s="21" t="n"/>
      <c r="E51" s="21">
        <f>IF(C51="","",COUNTIF('2-Calcul des Salaires'!D5:D104,C51))</f>
        <v/>
      </c>
      <c r="F51" s="21">
        <f>IF(C51="","",SUMIF('2-Calcul des Salaires'!D5:D104,C51,'2-Calcul des Salaires'!J5:J104))</f>
        <v/>
      </c>
      <c r="G51" s="21">
        <f>IF(C51="","",SUMIF('2-Calcul des Salaires'!D5:D104,C51,'2-Calcul des Salaires'!O5:O104))</f>
        <v/>
      </c>
      <c r="H51" s="21">
        <f>IF(C51="","",SUMIF('2-Calcul des Salaires'!D5:D104,C51,'2-Calcul des Salaires'!Q5:Q104)-SUMIF('2-Calcul des Salaires'!D5:D104,C51,'2-Calcul des Salaires'!O5:O104))</f>
        <v/>
      </c>
      <c r="I51" s="16">
        <f>IF(C51="","",SUMIF('2-Calcul des Salaires'!D5:D104,C51,'2-Calcul des Salaires'!Q5:Q104))</f>
        <v/>
      </c>
      <c r="J51" s="21" t="n"/>
      <c r="K51" s="21">
        <f>IF(OR(F51="",J51=""),"",IFERROR(F51/J51,0))</f>
        <v/>
      </c>
      <c r="L51" s="16">
        <f>IF(OR(E51="",I51=""),"",IFERROR(I51/E51,0))</f>
        <v/>
      </c>
    </row>
    <row r="52" ht="22" customHeight="1">
      <c r="B52" s="22">
        <f>IF(C52="","MS"&amp;TEXT(COUNTA($C$5:C52),"000"))</f>
        <v/>
      </c>
      <c r="C52" s="22" t="n"/>
      <c r="D52" s="22" t="n"/>
      <c r="E52" s="22">
        <f>IF(C52="","",COUNTIF('2-Calcul des Salaires'!D5:D104,C52))</f>
        <v/>
      </c>
      <c r="F52" s="22">
        <f>IF(C52="","",SUMIF('2-Calcul des Salaires'!D5:D104,C52,'2-Calcul des Salaires'!J5:J104))</f>
        <v/>
      </c>
      <c r="G52" s="22">
        <f>IF(C52="","",SUMIF('2-Calcul des Salaires'!D5:D104,C52,'2-Calcul des Salaires'!O5:O104))</f>
        <v/>
      </c>
      <c r="H52" s="22">
        <f>IF(C52="","",SUMIF('2-Calcul des Salaires'!D5:D104,C52,'2-Calcul des Salaires'!Q5:Q104)-SUMIF('2-Calcul des Salaires'!D5:D104,C52,'2-Calcul des Salaires'!O5:O104))</f>
        <v/>
      </c>
      <c r="I52" s="18">
        <f>IF(C52="","",SUMIF('2-Calcul des Salaires'!D5:D104,C52,'2-Calcul des Salaires'!Q5:Q104))</f>
        <v/>
      </c>
      <c r="J52" s="22" t="n"/>
      <c r="K52" s="22">
        <f>IF(OR(F52="",J52=""),"",IFERROR(F52/J52,0))</f>
        <v/>
      </c>
      <c r="L52" s="18">
        <f>IF(OR(E52="",I52=""),"",IFERROR(I52/E52,0))</f>
        <v/>
      </c>
    </row>
    <row r="53" ht="22" customHeight="1">
      <c r="B53" s="21">
        <f>IF(C53="","MS"&amp;TEXT(COUNTA($C$5:C53),"000"))</f>
        <v/>
      </c>
      <c r="C53" s="21" t="n"/>
      <c r="D53" s="21" t="n"/>
      <c r="E53" s="21">
        <f>IF(C53="","",COUNTIF('2-Calcul des Salaires'!D5:D104,C53))</f>
        <v/>
      </c>
      <c r="F53" s="21">
        <f>IF(C53="","",SUMIF('2-Calcul des Salaires'!D5:D104,C53,'2-Calcul des Salaires'!J5:J104))</f>
        <v/>
      </c>
      <c r="G53" s="21">
        <f>IF(C53="","",SUMIF('2-Calcul des Salaires'!D5:D104,C53,'2-Calcul des Salaires'!O5:O104))</f>
        <v/>
      </c>
      <c r="H53" s="21">
        <f>IF(C53="","",SUMIF('2-Calcul des Salaires'!D5:D104,C53,'2-Calcul des Salaires'!Q5:Q104)-SUMIF('2-Calcul des Salaires'!D5:D104,C53,'2-Calcul des Salaires'!O5:O104))</f>
        <v/>
      </c>
      <c r="I53" s="16">
        <f>IF(C53="","",SUMIF('2-Calcul des Salaires'!D5:D104,C53,'2-Calcul des Salaires'!Q5:Q104))</f>
        <v/>
      </c>
      <c r="J53" s="21" t="n"/>
      <c r="K53" s="21">
        <f>IF(OR(F53="",J53=""),"",IFERROR(F53/J53,0))</f>
        <v/>
      </c>
      <c r="L53" s="16">
        <f>IF(OR(E53="",I53=""),"",IFERROR(I53/E53,0))</f>
        <v/>
      </c>
    </row>
    <row r="54" ht="22" customHeight="1">
      <c r="B54" s="22">
        <f>IF(C54="","MS"&amp;TEXT(COUNTA($C$5:C54),"000"))</f>
        <v/>
      </c>
      <c r="C54" s="22" t="n"/>
      <c r="D54" s="22" t="n"/>
      <c r="E54" s="22">
        <f>IF(C54="","",COUNTIF('2-Calcul des Salaires'!D5:D104,C54))</f>
        <v/>
      </c>
      <c r="F54" s="22">
        <f>IF(C54="","",SUMIF('2-Calcul des Salaires'!D5:D104,C54,'2-Calcul des Salaires'!J5:J104))</f>
        <v/>
      </c>
      <c r="G54" s="22">
        <f>IF(C54="","",SUMIF('2-Calcul des Salaires'!D5:D104,C54,'2-Calcul des Salaires'!O5:O104))</f>
        <v/>
      </c>
      <c r="H54" s="22">
        <f>IF(C54="","",SUMIF('2-Calcul des Salaires'!D5:D104,C54,'2-Calcul des Salaires'!Q5:Q104)-SUMIF('2-Calcul des Salaires'!D5:D104,C54,'2-Calcul des Salaires'!O5:O104))</f>
        <v/>
      </c>
      <c r="I54" s="18">
        <f>IF(C54="","",SUMIF('2-Calcul des Salaires'!D5:D104,C54,'2-Calcul des Salaires'!Q5:Q104))</f>
        <v/>
      </c>
      <c r="J54" s="22" t="n"/>
      <c r="K54" s="22">
        <f>IF(OR(F54="",J54=""),"",IFERROR(F54/J54,0))</f>
        <v/>
      </c>
      <c r="L54" s="18">
        <f>IF(OR(E54="",I54=""),"",IFERROR(I54/E54,0))</f>
        <v/>
      </c>
    </row>
    <row r="55" ht="22" customHeight="1">
      <c r="B55" s="21">
        <f>IF(C55="","MS"&amp;TEXT(COUNTA($C$5:C55),"000"))</f>
        <v/>
      </c>
      <c r="C55" s="21" t="n"/>
      <c r="D55" s="21" t="n"/>
      <c r="E55" s="21">
        <f>IF(C55="","",COUNTIF('2-Calcul des Salaires'!D5:D104,C55))</f>
        <v/>
      </c>
      <c r="F55" s="21">
        <f>IF(C55="","",SUMIF('2-Calcul des Salaires'!D5:D104,C55,'2-Calcul des Salaires'!J5:J104))</f>
        <v/>
      </c>
      <c r="G55" s="21">
        <f>IF(C55="","",SUMIF('2-Calcul des Salaires'!D5:D104,C55,'2-Calcul des Salaires'!O5:O104))</f>
        <v/>
      </c>
      <c r="H55" s="21">
        <f>IF(C55="","",SUMIF('2-Calcul des Salaires'!D5:D104,C55,'2-Calcul des Salaires'!Q5:Q104)-SUMIF('2-Calcul des Salaires'!D5:D104,C55,'2-Calcul des Salaires'!O5:O104))</f>
        <v/>
      </c>
      <c r="I55" s="16">
        <f>IF(C55="","",SUMIF('2-Calcul des Salaires'!D5:D104,C55,'2-Calcul des Salaires'!Q5:Q104))</f>
        <v/>
      </c>
      <c r="J55" s="21" t="n"/>
      <c r="K55" s="21">
        <f>IF(OR(F55="",J55=""),"",IFERROR(F55/J55,0))</f>
        <v/>
      </c>
      <c r="L55" s="16">
        <f>IF(OR(E55="",I55=""),"",IFERROR(I55/E55,0))</f>
        <v/>
      </c>
    </row>
    <row r="56" ht="22" customHeight="1">
      <c r="B56" s="22">
        <f>IF(C56="","MS"&amp;TEXT(COUNTA($C$5:C56),"000"))</f>
        <v/>
      </c>
      <c r="C56" s="22" t="n"/>
      <c r="D56" s="22" t="n"/>
      <c r="E56" s="22">
        <f>IF(C56="","",COUNTIF('2-Calcul des Salaires'!D5:D104,C56))</f>
        <v/>
      </c>
      <c r="F56" s="22">
        <f>IF(C56="","",SUMIF('2-Calcul des Salaires'!D5:D104,C56,'2-Calcul des Salaires'!J5:J104))</f>
        <v/>
      </c>
      <c r="G56" s="22">
        <f>IF(C56="","",SUMIF('2-Calcul des Salaires'!D5:D104,C56,'2-Calcul des Salaires'!O5:O104))</f>
        <v/>
      </c>
      <c r="H56" s="22">
        <f>IF(C56="","",SUMIF('2-Calcul des Salaires'!D5:D104,C56,'2-Calcul des Salaires'!Q5:Q104)-SUMIF('2-Calcul des Salaires'!D5:D104,C56,'2-Calcul des Salaires'!O5:O104))</f>
        <v/>
      </c>
      <c r="I56" s="18">
        <f>IF(C56="","",SUMIF('2-Calcul des Salaires'!D5:D104,C56,'2-Calcul des Salaires'!Q5:Q104))</f>
        <v/>
      </c>
      <c r="J56" s="22" t="n"/>
      <c r="K56" s="22">
        <f>IF(OR(F56="",J56=""),"",IFERROR(F56/J56,0))</f>
        <v/>
      </c>
      <c r="L56" s="18">
        <f>IF(OR(E56="",I56=""),"",IFERROR(I56/E56,0))</f>
        <v/>
      </c>
    </row>
    <row r="57" ht="22" customHeight="1">
      <c r="B57" s="21">
        <f>IF(C57="","MS"&amp;TEXT(COUNTA($C$5:C57),"000"))</f>
        <v/>
      </c>
      <c r="C57" s="21" t="n"/>
      <c r="D57" s="21" t="n"/>
      <c r="E57" s="21">
        <f>IF(C57="","",COUNTIF('2-Calcul des Salaires'!D5:D104,C57))</f>
        <v/>
      </c>
      <c r="F57" s="21">
        <f>IF(C57="","",SUMIF('2-Calcul des Salaires'!D5:D104,C57,'2-Calcul des Salaires'!J5:J104))</f>
        <v/>
      </c>
      <c r="G57" s="21">
        <f>IF(C57="","",SUMIF('2-Calcul des Salaires'!D5:D104,C57,'2-Calcul des Salaires'!O5:O104))</f>
        <v/>
      </c>
      <c r="H57" s="21">
        <f>IF(C57="","",SUMIF('2-Calcul des Salaires'!D5:D104,C57,'2-Calcul des Salaires'!Q5:Q104)-SUMIF('2-Calcul des Salaires'!D5:D104,C57,'2-Calcul des Salaires'!O5:O104))</f>
        <v/>
      </c>
      <c r="I57" s="16">
        <f>IF(C57="","",SUMIF('2-Calcul des Salaires'!D5:D104,C57,'2-Calcul des Salaires'!Q5:Q104))</f>
        <v/>
      </c>
      <c r="J57" s="21" t="n"/>
      <c r="K57" s="21">
        <f>IF(OR(F57="",J57=""),"",IFERROR(F57/J57,0))</f>
        <v/>
      </c>
      <c r="L57" s="16">
        <f>IF(OR(E57="",I57=""),"",IFERROR(I57/E57,0))</f>
        <v/>
      </c>
    </row>
    <row r="58" ht="22" customHeight="1">
      <c r="B58" s="22">
        <f>IF(C58="","MS"&amp;TEXT(COUNTA($C$5:C58),"000"))</f>
        <v/>
      </c>
      <c r="C58" s="22" t="n"/>
      <c r="D58" s="22" t="n"/>
      <c r="E58" s="22">
        <f>IF(C58="","",COUNTIF('2-Calcul des Salaires'!D5:D104,C58))</f>
        <v/>
      </c>
      <c r="F58" s="22">
        <f>IF(C58="","",SUMIF('2-Calcul des Salaires'!D5:D104,C58,'2-Calcul des Salaires'!J5:J104))</f>
        <v/>
      </c>
      <c r="G58" s="22">
        <f>IF(C58="","",SUMIF('2-Calcul des Salaires'!D5:D104,C58,'2-Calcul des Salaires'!O5:O104))</f>
        <v/>
      </c>
      <c r="H58" s="22">
        <f>IF(C58="","",SUMIF('2-Calcul des Salaires'!D5:D104,C58,'2-Calcul des Salaires'!Q5:Q104)-SUMIF('2-Calcul des Salaires'!D5:D104,C58,'2-Calcul des Salaires'!O5:O104))</f>
        <v/>
      </c>
      <c r="I58" s="18">
        <f>IF(C58="","",SUMIF('2-Calcul des Salaires'!D5:D104,C58,'2-Calcul des Salaires'!Q5:Q104))</f>
        <v/>
      </c>
      <c r="J58" s="22" t="n"/>
      <c r="K58" s="22">
        <f>IF(OR(F58="",J58=""),"",IFERROR(F58/J58,0))</f>
        <v/>
      </c>
      <c r="L58" s="18">
        <f>IF(OR(E58="",I58=""),"",IFERROR(I58/E58,0))</f>
        <v/>
      </c>
    </row>
    <row r="59" ht="22" customHeight="1">
      <c r="B59" s="21">
        <f>IF(C59="","MS"&amp;TEXT(COUNTA($C$5:C59),"000"))</f>
        <v/>
      </c>
      <c r="C59" s="21" t="n"/>
      <c r="D59" s="21" t="n"/>
      <c r="E59" s="21">
        <f>IF(C59="","",COUNTIF('2-Calcul des Salaires'!D5:D104,C59))</f>
        <v/>
      </c>
      <c r="F59" s="21">
        <f>IF(C59="","",SUMIF('2-Calcul des Salaires'!D5:D104,C59,'2-Calcul des Salaires'!J5:J104))</f>
        <v/>
      </c>
      <c r="G59" s="21">
        <f>IF(C59="","",SUMIF('2-Calcul des Salaires'!D5:D104,C59,'2-Calcul des Salaires'!O5:O104))</f>
        <v/>
      </c>
      <c r="H59" s="21">
        <f>IF(C59="","",SUMIF('2-Calcul des Salaires'!D5:D104,C59,'2-Calcul des Salaires'!Q5:Q104)-SUMIF('2-Calcul des Salaires'!D5:D104,C59,'2-Calcul des Salaires'!O5:O104))</f>
        <v/>
      </c>
      <c r="I59" s="16">
        <f>IF(C59="","",SUMIF('2-Calcul des Salaires'!D5:D104,C59,'2-Calcul des Salaires'!Q5:Q104))</f>
        <v/>
      </c>
      <c r="J59" s="21" t="n"/>
      <c r="K59" s="21">
        <f>IF(OR(F59="",J59=""),"",IFERROR(F59/J59,0))</f>
        <v/>
      </c>
      <c r="L59" s="16">
        <f>IF(OR(E59="",I59=""),"",IFERROR(I59/E59,0))</f>
        <v/>
      </c>
    </row>
    <row r="60" ht="22" customHeight="1">
      <c r="B60" s="22">
        <f>IF(C60="","MS"&amp;TEXT(COUNTA($C$5:C60),"000"))</f>
        <v/>
      </c>
      <c r="C60" s="22" t="n"/>
      <c r="D60" s="22" t="n"/>
      <c r="E60" s="22">
        <f>IF(C60="","",COUNTIF('2-Calcul des Salaires'!D5:D104,C60))</f>
        <v/>
      </c>
      <c r="F60" s="22">
        <f>IF(C60="","",SUMIF('2-Calcul des Salaires'!D5:D104,C60,'2-Calcul des Salaires'!J5:J104))</f>
        <v/>
      </c>
      <c r="G60" s="22">
        <f>IF(C60="","",SUMIF('2-Calcul des Salaires'!D5:D104,C60,'2-Calcul des Salaires'!O5:O104))</f>
        <v/>
      </c>
      <c r="H60" s="22">
        <f>IF(C60="","",SUMIF('2-Calcul des Salaires'!D5:D104,C60,'2-Calcul des Salaires'!Q5:Q104)-SUMIF('2-Calcul des Salaires'!D5:D104,C60,'2-Calcul des Salaires'!O5:O104))</f>
        <v/>
      </c>
      <c r="I60" s="18">
        <f>IF(C60="","",SUMIF('2-Calcul des Salaires'!D5:D104,C60,'2-Calcul des Salaires'!Q5:Q104))</f>
        <v/>
      </c>
      <c r="J60" s="22" t="n"/>
      <c r="K60" s="22">
        <f>IF(OR(F60="",J60=""),"",IFERROR(F60/J60,0))</f>
        <v/>
      </c>
      <c r="L60" s="18">
        <f>IF(OR(E60="",I60=""),"",IFERROR(I60/E60,0))</f>
        <v/>
      </c>
    </row>
    <row r="61" ht="22" customHeight="1">
      <c r="B61" s="21">
        <f>IF(C61="","MS"&amp;TEXT(COUNTA($C$5:C61),"000"))</f>
        <v/>
      </c>
      <c r="C61" s="21" t="n"/>
      <c r="D61" s="21" t="n"/>
      <c r="E61" s="21">
        <f>IF(C61="","",COUNTIF('2-Calcul des Salaires'!D5:D104,C61))</f>
        <v/>
      </c>
      <c r="F61" s="21">
        <f>IF(C61="","",SUMIF('2-Calcul des Salaires'!D5:D104,C61,'2-Calcul des Salaires'!J5:J104))</f>
        <v/>
      </c>
      <c r="G61" s="21">
        <f>IF(C61="","",SUMIF('2-Calcul des Salaires'!D5:D104,C61,'2-Calcul des Salaires'!O5:O104))</f>
        <v/>
      </c>
      <c r="H61" s="21">
        <f>IF(C61="","",SUMIF('2-Calcul des Salaires'!D5:D104,C61,'2-Calcul des Salaires'!Q5:Q104)-SUMIF('2-Calcul des Salaires'!D5:D104,C61,'2-Calcul des Salaires'!O5:O104))</f>
        <v/>
      </c>
      <c r="I61" s="16">
        <f>IF(C61="","",SUMIF('2-Calcul des Salaires'!D5:D104,C61,'2-Calcul des Salaires'!Q5:Q104))</f>
        <v/>
      </c>
      <c r="J61" s="21" t="n"/>
      <c r="K61" s="21">
        <f>IF(OR(F61="",J61=""),"",IFERROR(F61/J61,0))</f>
        <v/>
      </c>
      <c r="L61" s="16">
        <f>IF(OR(E61="",I61=""),"",IFERROR(I61/E61,0))</f>
        <v/>
      </c>
    </row>
    <row r="62" ht="22" customHeight="1">
      <c r="B62" s="22">
        <f>IF(C62="","MS"&amp;TEXT(COUNTA($C$5:C62),"000"))</f>
        <v/>
      </c>
      <c r="C62" s="22" t="n"/>
      <c r="D62" s="22" t="n"/>
      <c r="E62" s="22">
        <f>IF(C62="","",COUNTIF('2-Calcul des Salaires'!D5:D104,C62))</f>
        <v/>
      </c>
      <c r="F62" s="22">
        <f>IF(C62="","",SUMIF('2-Calcul des Salaires'!D5:D104,C62,'2-Calcul des Salaires'!J5:J104))</f>
        <v/>
      </c>
      <c r="G62" s="22">
        <f>IF(C62="","",SUMIF('2-Calcul des Salaires'!D5:D104,C62,'2-Calcul des Salaires'!O5:O104))</f>
        <v/>
      </c>
      <c r="H62" s="22">
        <f>IF(C62="","",SUMIF('2-Calcul des Salaires'!D5:D104,C62,'2-Calcul des Salaires'!Q5:Q104)-SUMIF('2-Calcul des Salaires'!D5:D104,C62,'2-Calcul des Salaires'!O5:O104))</f>
        <v/>
      </c>
      <c r="I62" s="18">
        <f>IF(C62="","",SUMIF('2-Calcul des Salaires'!D5:D104,C62,'2-Calcul des Salaires'!Q5:Q104))</f>
        <v/>
      </c>
      <c r="J62" s="22" t="n"/>
      <c r="K62" s="22">
        <f>IF(OR(F62="",J62=""),"",IFERROR(F62/J62,0))</f>
        <v/>
      </c>
      <c r="L62" s="18">
        <f>IF(OR(E62="",I62=""),"",IFERROR(I62/E62,0))</f>
        <v/>
      </c>
    </row>
    <row r="63" ht="22" customHeight="1">
      <c r="B63" s="21">
        <f>IF(C63="","MS"&amp;TEXT(COUNTA($C$5:C63),"000"))</f>
        <v/>
      </c>
      <c r="C63" s="21" t="n"/>
      <c r="D63" s="21" t="n"/>
      <c r="E63" s="21">
        <f>IF(C63="","",COUNTIF('2-Calcul des Salaires'!D5:D104,C63))</f>
        <v/>
      </c>
      <c r="F63" s="21">
        <f>IF(C63="","",SUMIF('2-Calcul des Salaires'!D5:D104,C63,'2-Calcul des Salaires'!J5:J104))</f>
        <v/>
      </c>
      <c r="G63" s="21">
        <f>IF(C63="","",SUMIF('2-Calcul des Salaires'!D5:D104,C63,'2-Calcul des Salaires'!O5:O104))</f>
        <v/>
      </c>
      <c r="H63" s="21">
        <f>IF(C63="","",SUMIF('2-Calcul des Salaires'!D5:D104,C63,'2-Calcul des Salaires'!Q5:Q104)-SUMIF('2-Calcul des Salaires'!D5:D104,C63,'2-Calcul des Salaires'!O5:O104))</f>
        <v/>
      </c>
      <c r="I63" s="16">
        <f>IF(C63="","",SUMIF('2-Calcul des Salaires'!D5:D104,C63,'2-Calcul des Salaires'!Q5:Q104))</f>
        <v/>
      </c>
      <c r="J63" s="21" t="n"/>
      <c r="K63" s="21">
        <f>IF(OR(F63="",J63=""),"",IFERROR(F63/J63,0))</f>
        <v/>
      </c>
      <c r="L63" s="16">
        <f>IF(OR(E63="",I63=""),"",IFERROR(I63/E63,0))</f>
        <v/>
      </c>
    </row>
    <row r="64" ht="22" customHeight="1">
      <c r="B64" s="22">
        <f>IF(C64="","MS"&amp;TEXT(COUNTA($C$5:C64),"000"))</f>
        <v/>
      </c>
      <c r="C64" s="22" t="n"/>
      <c r="D64" s="22" t="n"/>
      <c r="E64" s="22">
        <f>IF(C64="","",COUNTIF('2-Calcul des Salaires'!D5:D104,C64))</f>
        <v/>
      </c>
      <c r="F64" s="22">
        <f>IF(C64="","",SUMIF('2-Calcul des Salaires'!D5:D104,C64,'2-Calcul des Salaires'!J5:J104))</f>
        <v/>
      </c>
      <c r="G64" s="22">
        <f>IF(C64="","",SUMIF('2-Calcul des Salaires'!D5:D104,C64,'2-Calcul des Salaires'!O5:O104))</f>
        <v/>
      </c>
      <c r="H64" s="22">
        <f>IF(C64="","",SUMIF('2-Calcul des Salaires'!D5:D104,C64,'2-Calcul des Salaires'!Q5:Q104)-SUMIF('2-Calcul des Salaires'!D5:D104,C64,'2-Calcul des Salaires'!O5:O104))</f>
        <v/>
      </c>
      <c r="I64" s="18">
        <f>IF(C64="","",SUMIF('2-Calcul des Salaires'!D5:D104,C64,'2-Calcul des Salaires'!Q5:Q104))</f>
        <v/>
      </c>
      <c r="J64" s="22" t="n"/>
      <c r="K64" s="22">
        <f>IF(OR(F64="",J64=""),"",IFERROR(F64/J64,0))</f>
        <v/>
      </c>
      <c r="L64" s="18">
        <f>IF(OR(E64="",I64=""),"",IFERROR(I64/E64,0))</f>
        <v/>
      </c>
    </row>
    <row r="65" ht="22" customHeight="1">
      <c r="B65" s="21">
        <f>IF(C65="","MS"&amp;TEXT(COUNTA($C$5:C65),"000"))</f>
        <v/>
      </c>
      <c r="C65" s="21" t="n"/>
      <c r="D65" s="21" t="n"/>
      <c r="E65" s="21">
        <f>IF(C65="","",COUNTIF('2-Calcul des Salaires'!D5:D104,C65))</f>
        <v/>
      </c>
      <c r="F65" s="21">
        <f>IF(C65="","",SUMIF('2-Calcul des Salaires'!D5:D104,C65,'2-Calcul des Salaires'!J5:J104))</f>
        <v/>
      </c>
      <c r="G65" s="21">
        <f>IF(C65="","",SUMIF('2-Calcul des Salaires'!D5:D104,C65,'2-Calcul des Salaires'!O5:O104))</f>
        <v/>
      </c>
      <c r="H65" s="21">
        <f>IF(C65="","",SUMIF('2-Calcul des Salaires'!D5:D104,C65,'2-Calcul des Salaires'!Q5:Q104)-SUMIF('2-Calcul des Salaires'!D5:D104,C65,'2-Calcul des Salaires'!O5:O104))</f>
        <v/>
      </c>
      <c r="I65" s="16">
        <f>IF(C65="","",SUMIF('2-Calcul des Salaires'!D5:D104,C65,'2-Calcul des Salaires'!Q5:Q104))</f>
        <v/>
      </c>
      <c r="J65" s="21" t="n"/>
      <c r="K65" s="21">
        <f>IF(OR(F65="",J65=""),"",IFERROR(F65/J65,0))</f>
        <v/>
      </c>
      <c r="L65" s="16">
        <f>IF(OR(E65="",I65=""),"",IFERROR(I65/E65,0))</f>
        <v/>
      </c>
    </row>
    <row r="66" ht="22" customHeight="1">
      <c r="B66" s="22">
        <f>IF(C66="","MS"&amp;TEXT(COUNTA($C$5:C66),"000"))</f>
        <v/>
      </c>
      <c r="C66" s="22" t="n"/>
      <c r="D66" s="22" t="n"/>
      <c r="E66" s="22">
        <f>IF(C66="","",COUNTIF('2-Calcul des Salaires'!D5:D104,C66))</f>
        <v/>
      </c>
      <c r="F66" s="22">
        <f>IF(C66="","",SUMIF('2-Calcul des Salaires'!D5:D104,C66,'2-Calcul des Salaires'!J5:J104))</f>
        <v/>
      </c>
      <c r="G66" s="22">
        <f>IF(C66="","",SUMIF('2-Calcul des Salaires'!D5:D104,C66,'2-Calcul des Salaires'!O5:O104))</f>
        <v/>
      </c>
      <c r="H66" s="22">
        <f>IF(C66="","",SUMIF('2-Calcul des Salaires'!D5:D104,C66,'2-Calcul des Salaires'!Q5:Q104)-SUMIF('2-Calcul des Salaires'!D5:D104,C66,'2-Calcul des Salaires'!O5:O104))</f>
        <v/>
      </c>
      <c r="I66" s="18">
        <f>IF(C66="","",SUMIF('2-Calcul des Salaires'!D5:D104,C66,'2-Calcul des Salaires'!Q5:Q104))</f>
        <v/>
      </c>
      <c r="J66" s="22" t="n"/>
      <c r="K66" s="22">
        <f>IF(OR(F66="",J66=""),"",IFERROR(F66/J66,0))</f>
        <v/>
      </c>
      <c r="L66" s="18">
        <f>IF(OR(E66="",I66=""),"",IFERROR(I66/E66,0))</f>
        <v/>
      </c>
    </row>
    <row r="67" ht="22" customHeight="1">
      <c r="B67" s="21">
        <f>IF(C67="","MS"&amp;TEXT(COUNTA($C$5:C67),"000"))</f>
        <v/>
      </c>
      <c r="C67" s="21" t="n"/>
      <c r="D67" s="21" t="n"/>
      <c r="E67" s="21">
        <f>IF(C67="","",COUNTIF('2-Calcul des Salaires'!D5:D104,C67))</f>
        <v/>
      </c>
      <c r="F67" s="21">
        <f>IF(C67="","",SUMIF('2-Calcul des Salaires'!D5:D104,C67,'2-Calcul des Salaires'!J5:J104))</f>
        <v/>
      </c>
      <c r="G67" s="21">
        <f>IF(C67="","",SUMIF('2-Calcul des Salaires'!D5:D104,C67,'2-Calcul des Salaires'!O5:O104))</f>
        <v/>
      </c>
      <c r="H67" s="21">
        <f>IF(C67="","",SUMIF('2-Calcul des Salaires'!D5:D104,C67,'2-Calcul des Salaires'!Q5:Q104)-SUMIF('2-Calcul des Salaires'!D5:D104,C67,'2-Calcul des Salaires'!O5:O104))</f>
        <v/>
      </c>
      <c r="I67" s="16">
        <f>IF(C67="","",SUMIF('2-Calcul des Salaires'!D5:D104,C67,'2-Calcul des Salaires'!Q5:Q104))</f>
        <v/>
      </c>
      <c r="J67" s="21" t="n"/>
      <c r="K67" s="21">
        <f>IF(OR(F67="",J67=""),"",IFERROR(F67/J67,0))</f>
        <v/>
      </c>
      <c r="L67" s="16">
        <f>IF(OR(E67="",I67=""),"",IFERROR(I67/E67,0))</f>
        <v/>
      </c>
    </row>
    <row r="68" ht="22" customHeight="1">
      <c r="B68" s="22">
        <f>IF(C68="","MS"&amp;TEXT(COUNTA($C$5:C68),"000"))</f>
        <v/>
      </c>
      <c r="C68" s="22" t="n"/>
      <c r="D68" s="22" t="n"/>
      <c r="E68" s="22">
        <f>IF(C68="","",COUNTIF('2-Calcul des Salaires'!D5:D104,C68))</f>
        <v/>
      </c>
      <c r="F68" s="22">
        <f>IF(C68="","",SUMIF('2-Calcul des Salaires'!D5:D104,C68,'2-Calcul des Salaires'!J5:J104))</f>
        <v/>
      </c>
      <c r="G68" s="22">
        <f>IF(C68="","",SUMIF('2-Calcul des Salaires'!D5:D104,C68,'2-Calcul des Salaires'!O5:O104))</f>
        <v/>
      </c>
      <c r="H68" s="22">
        <f>IF(C68="","",SUMIF('2-Calcul des Salaires'!D5:D104,C68,'2-Calcul des Salaires'!Q5:Q104)-SUMIF('2-Calcul des Salaires'!D5:D104,C68,'2-Calcul des Salaires'!O5:O104))</f>
        <v/>
      </c>
      <c r="I68" s="18">
        <f>IF(C68="","",SUMIF('2-Calcul des Salaires'!D5:D104,C68,'2-Calcul des Salaires'!Q5:Q104))</f>
        <v/>
      </c>
      <c r="J68" s="22" t="n"/>
      <c r="K68" s="22">
        <f>IF(OR(F68="",J68=""),"",IFERROR(F68/J68,0))</f>
        <v/>
      </c>
      <c r="L68" s="18">
        <f>IF(OR(E68="",I68=""),"",IFERROR(I68/E68,0))</f>
        <v/>
      </c>
    </row>
    <row r="69" ht="22" customHeight="1">
      <c r="B69" s="21">
        <f>IF(C69="","MS"&amp;TEXT(COUNTA($C$5:C69),"000"))</f>
        <v/>
      </c>
      <c r="C69" s="21" t="n"/>
      <c r="D69" s="21" t="n"/>
      <c r="E69" s="21">
        <f>IF(C69="","",COUNTIF('2-Calcul des Salaires'!D5:D104,C69))</f>
        <v/>
      </c>
      <c r="F69" s="21">
        <f>IF(C69="","",SUMIF('2-Calcul des Salaires'!D5:D104,C69,'2-Calcul des Salaires'!J5:J104))</f>
        <v/>
      </c>
      <c r="G69" s="21">
        <f>IF(C69="","",SUMIF('2-Calcul des Salaires'!D5:D104,C69,'2-Calcul des Salaires'!O5:O104))</f>
        <v/>
      </c>
      <c r="H69" s="21">
        <f>IF(C69="","",SUMIF('2-Calcul des Salaires'!D5:D104,C69,'2-Calcul des Salaires'!Q5:Q104)-SUMIF('2-Calcul des Salaires'!D5:D104,C69,'2-Calcul des Salaires'!O5:O104))</f>
        <v/>
      </c>
      <c r="I69" s="16">
        <f>IF(C69="","",SUMIF('2-Calcul des Salaires'!D5:D104,C69,'2-Calcul des Salaires'!Q5:Q104))</f>
        <v/>
      </c>
      <c r="J69" s="21" t="n"/>
      <c r="K69" s="21">
        <f>IF(OR(F69="",J69=""),"",IFERROR(F69/J69,0))</f>
        <v/>
      </c>
      <c r="L69" s="16">
        <f>IF(OR(E69="",I69=""),"",IFERROR(I69/E69,0))</f>
        <v/>
      </c>
    </row>
    <row r="70" ht="22" customHeight="1">
      <c r="B70" s="22">
        <f>IF(C70="","MS"&amp;TEXT(COUNTA($C$5:C70),"000"))</f>
        <v/>
      </c>
      <c r="C70" s="22" t="n"/>
      <c r="D70" s="22" t="n"/>
      <c r="E70" s="22">
        <f>IF(C70="","",COUNTIF('2-Calcul des Salaires'!D5:D104,C70))</f>
        <v/>
      </c>
      <c r="F70" s="22">
        <f>IF(C70="","",SUMIF('2-Calcul des Salaires'!D5:D104,C70,'2-Calcul des Salaires'!J5:J104))</f>
        <v/>
      </c>
      <c r="G70" s="22">
        <f>IF(C70="","",SUMIF('2-Calcul des Salaires'!D5:D104,C70,'2-Calcul des Salaires'!O5:O104))</f>
        <v/>
      </c>
      <c r="H70" s="22">
        <f>IF(C70="","",SUMIF('2-Calcul des Salaires'!D5:D104,C70,'2-Calcul des Salaires'!Q5:Q104)-SUMIF('2-Calcul des Salaires'!D5:D104,C70,'2-Calcul des Salaires'!O5:O104))</f>
        <v/>
      </c>
      <c r="I70" s="18">
        <f>IF(C70="","",SUMIF('2-Calcul des Salaires'!D5:D104,C70,'2-Calcul des Salaires'!Q5:Q104))</f>
        <v/>
      </c>
      <c r="J70" s="22" t="n"/>
      <c r="K70" s="22">
        <f>IF(OR(F70="",J70=""),"",IFERROR(F70/J70,0))</f>
        <v/>
      </c>
      <c r="L70" s="18">
        <f>IF(OR(E70="",I70=""),"",IFERROR(I70/E70,0))</f>
        <v/>
      </c>
    </row>
    <row r="71" ht="22" customHeight="1">
      <c r="B71" s="21">
        <f>IF(C71="","MS"&amp;TEXT(COUNTA($C$5:C71),"000"))</f>
        <v/>
      </c>
      <c r="C71" s="21" t="n"/>
      <c r="D71" s="21" t="n"/>
      <c r="E71" s="21">
        <f>IF(C71="","",COUNTIF('2-Calcul des Salaires'!D5:D104,C71))</f>
        <v/>
      </c>
      <c r="F71" s="21">
        <f>IF(C71="","",SUMIF('2-Calcul des Salaires'!D5:D104,C71,'2-Calcul des Salaires'!J5:J104))</f>
        <v/>
      </c>
      <c r="G71" s="21">
        <f>IF(C71="","",SUMIF('2-Calcul des Salaires'!D5:D104,C71,'2-Calcul des Salaires'!O5:O104))</f>
        <v/>
      </c>
      <c r="H71" s="21">
        <f>IF(C71="","",SUMIF('2-Calcul des Salaires'!D5:D104,C71,'2-Calcul des Salaires'!Q5:Q104)-SUMIF('2-Calcul des Salaires'!D5:D104,C71,'2-Calcul des Salaires'!O5:O104))</f>
        <v/>
      </c>
      <c r="I71" s="16">
        <f>IF(C71="","",SUMIF('2-Calcul des Salaires'!D5:D104,C71,'2-Calcul des Salaires'!Q5:Q104))</f>
        <v/>
      </c>
      <c r="J71" s="21" t="n"/>
      <c r="K71" s="21">
        <f>IF(OR(F71="",J71=""),"",IFERROR(F71/J71,0))</f>
        <v/>
      </c>
      <c r="L71" s="16">
        <f>IF(OR(E71="",I71=""),"",IFERROR(I71/E71,0))</f>
        <v/>
      </c>
    </row>
    <row r="72" ht="22" customHeight="1">
      <c r="B72" s="22">
        <f>IF(C72="","MS"&amp;TEXT(COUNTA($C$5:C72),"000"))</f>
        <v/>
      </c>
      <c r="C72" s="22" t="n"/>
      <c r="D72" s="22" t="n"/>
      <c r="E72" s="22">
        <f>IF(C72="","",COUNTIF('2-Calcul des Salaires'!D5:D104,C72))</f>
        <v/>
      </c>
      <c r="F72" s="22">
        <f>IF(C72="","",SUMIF('2-Calcul des Salaires'!D5:D104,C72,'2-Calcul des Salaires'!J5:J104))</f>
        <v/>
      </c>
      <c r="G72" s="22">
        <f>IF(C72="","",SUMIF('2-Calcul des Salaires'!D5:D104,C72,'2-Calcul des Salaires'!O5:O104))</f>
        <v/>
      </c>
      <c r="H72" s="22">
        <f>IF(C72="","",SUMIF('2-Calcul des Salaires'!D5:D104,C72,'2-Calcul des Salaires'!Q5:Q104)-SUMIF('2-Calcul des Salaires'!D5:D104,C72,'2-Calcul des Salaires'!O5:O104))</f>
        <v/>
      </c>
      <c r="I72" s="18">
        <f>IF(C72="","",SUMIF('2-Calcul des Salaires'!D5:D104,C72,'2-Calcul des Salaires'!Q5:Q104))</f>
        <v/>
      </c>
      <c r="J72" s="22" t="n"/>
      <c r="K72" s="22">
        <f>IF(OR(F72="",J72=""),"",IFERROR(F72/J72,0))</f>
        <v/>
      </c>
      <c r="L72" s="18">
        <f>IF(OR(E72="",I72=""),"",IFERROR(I72/E72,0))</f>
        <v/>
      </c>
    </row>
    <row r="73" ht="22" customHeight="1">
      <c r="B73" s="21">
        <f>IF(C73="","MS"&amp;TEXT(COUNTA($C$5:C73),"000"))</f>
        <v/>
      </c>
      <c r="C73" s="21" t="n"/>
      <c r="D73" s="21" t="n"/>
      <c r="E73" s="21">
        <f>IF(C73="","",COUNTIF('2-Calcul des Salaires'!D5:D104,C73))</f>
        <v/>
      </c>
      <c r="F73" s="21">
        <f>IF(C73="","",SUMIF('2-Calcul des Salaires'!D5:D104,C73,'2-Calcul des Salaires'!J5:J104))</f>
        <v/>
      </c>
      <c r="G73" s="21">
        <f>IF(C73="","",SUMIF('2-Calcul des Salaires'!D5:D104,C73,'2-Calcul des Salaires'!O5:O104))</f>
        <v/>
      </c>
      <c r="H73" s="21">
        <f>IF(C73="","",SUMIF('2-Calcul des Salaires'!D5:D104,C73,'2-Calcul des Salaires'!Q5:Q104)-SUMIF('2-Calcul des Salaires'!D5:D104,C73,'2-Calcul des Salaires'!O5:O104))</f>
        <v/>
      </c>
      <c r="I73" s="16">
        <f>IF(C73="","",SUMIF('2-Calcul des Salaires'!D5:D104,C73,'2-Calcul des Salaires'!Q5:Q104))</f>
        <v/>
      </c>
      <c r="J73" s="21" t="n"/>
      <c r="K73" s="21">
        <f>IF(OR(F73="",J73=""),"",IFERROR(F73/J73,0))</f>
        <v/>
      </c>
      <c r="L73" s="16">
        <f>IF(OR(E73="",I73=""),"",IFERROR(I73/E73,0))</f>
        <v/>
      </c>
    </row>
    <row r="74" ht="22" customHeight="1">
      <c r="B74" s="22">
        <f>IF(C74="","MS"&amp;TEXT(COUNTA($C$5:C74),"000"))</f>
        <v/>
      </c>
      <c r="C74" s="22" t="n"/>
      <c r="D74" s="22" t="n"/>
      <c r="E74" s="22">
        <f>IF(C74="","",COUNTIF('2-Calcul des Salaires'!D5:D104,C74))</f>
        <v/>
      </c>
      <c r="F74" s="22">
        <f>IF(C74="","",SUMIF('2-Calcul des Salaires'!D5:D104,C74,'2-Calcul des Salaires'!J5:J104))</f>
        <v/>
      </c>
      <c r="G74" s="22">
        <f>IF(C74="","",SUMIF('2-Calcul des Salaires'!D5:D104,C74,'2-Calcul des Salaires'!O5:O104))</f>
        <v/>
      </c>
      <c r="H74" s="22">
        <f>IF(C74="","",SUMIF('2-Calcul des Salaires'!D5:D104,C74,'2-Calcul des Salaires'!Q5:Q104)-SUMIF('2-Calcul des Salaires'!D5:D104,C74,'2-Calcul des Salaires'!O5:O104))</f>
        <v/>
      </c>
      <c r="I74" s="18">
        <f>IF(C74="","",SUMIF('2-Calcul des Salaires'!D5:D104,C74,'2-Calcul des Salaires'!Q5:Q104))</f>
        <v/>
      </c>
      <c r="J74" s="22" t="n"/>
      <c r="K74" s="22">
        <f>IF(OR(F74="",J74=""),"",IFERROR(F74/J74,0))</f>
        <v/>
      </c>
      <c r="L74" s="18">
        <f>IF(OR(E74="",I74=""),"",IFERROR(I74/E74,0))</f>
        <v/>
      </c>
    </row>
    <row r="75" ht="22" customHeight="1">
      <c r="B75" s="21">
        <f>IF(C75="","MS"&amp;TEXT(COUNTA($C$5:C75),"000"))</f>
        <v/>
      </c>
      <c r="C75" s="21" t="n"/>
      <c r="D75" s="21" t="n"/>
      <c r="E75" s="21">
        <f>IF(C75="","",COUNTIF('2-Calcul des Salaires'!D5:D104,C75))</f>
        <v/>
      </c>
      <c r="F75" s="21">
        <f>IF(C75="","",SUMIF('2-Calcul des Salaires'!D5:D104,C75,'2-Calcul des Salaires'!J5:J104))</f>
        <v/>
      </c>
      <c r="G75" s="21">
        <f>IF(C75="","",SUMIF('2-Calcul des Salaires'!D5:D104,C75,'2-Calcul des Salaires'!O5:O104))</f>
        <v/>
      </c>
      <c r="H75" s="21">
        <f>IF(C75="","",SUMIF('2-Calcul des Salaires'!D5:D104,C75,'2-Calcul des Salaires'!Q5:Q104)-SUMIF('2-Calcul des Salaires'!D5:D104,C75,'2-Calcul des Salaires'!O5:O104))</f>
        <v/>
      </c>
      <c r="I75" s="16">
        <f>IF(C75="","",SUMIF('2-Calcul des Salaires'!D5:D104,C75,'2-Calcul des Salaires'!Q5:Q104))</f>
        <v/>
      </c>
      <c r="J75" s="21" t="n"/>
      <c r="K75" s="21">
        <f>IF(OR(F75="",J75=""),"",IFERROR(F75/J75,0))</f>
        <v/>
      </c>
      <c r="L75" s="16">
        <f>IF(OR(E75="",I75=""),"",IFERROR(I75/E75,0))</f>
        <v/>
      </c>
    </row>
    <row r="76" ht="22" customHeight="1">
      <c r="B76" s="22">
        <f>IF(C76="","MS"&amp;TEXT(COUNTA($C$5:C76),"000"))</f>
        <v/>
      </c>
      <c r="C76" s="22" t="n"/>
      <c r="D76" s="22" t="n"/>
      <c r="E76" s="22">
        <f>IF(C76="","",COUNTIF('2-Calcul des Salaires'!D5:D104,C76))</f>
        <v/>
      </c>
      <c r="F76" s="22">
        <f>IF(C76="","",SUMIF('2-Calcul des Salaires'!D5:D104,C76,'2-Calcul des Salaires'!J5:J104))</f>
        <v/>
      </c>
      <c r="G76" s="22">
        <f>IF(C76="","",SUMIF('2-Calcul des Salaires'!D5:D104,C76,'2-Calcul des Salaires'!O5:O104))</f>
        <v/>
      </c>
      <c r="H76" s="22">
        <f>IF(C76="","",SUMIF('2-Calcul des Salaires'!D5:D104,C76,'2-Calcul des Salaires'!Q5:Q104)-SUMIF('2-Calcul des Salaires'!D5:D104,C76,'2-Calcul des Salaires'!O5:O104))</f>
        <v/>
      </c>
      <c r="I76" s="18">
        <f>IF(C76="","",SUMIF('2-Calcul des Salaires'!D5:D104,C76,'2-Calcul des Salaires'!Q5:Q104))</f>
        <v/>
      </c>
      <c r="J76" s="22" t="n"/>
      <c r="K76" s="22">
        <f>IF(OR(F76="",J76=""),"",IFERROR(F76/J76,0))</f>
        <v/>
      </c>
      <c r="L76" s="18">
        <f>IF(OR(E76="",I76=""),"",IFERROR(I76/E76,0))</f>
        <v/>
      </c>
    </row>
    <row r="77" ht="22" customHeight="1">
      <c r="B77" s="21">
        <f>IF(C77="","MS"&amp;TEXT(COUNTA($C$5:C77),"000"))</f>
        <v/>
      </c>
      <c r="C77" s="21" t="n"/>
      <c r="D77" s="21" t="n"/>
      <c r="E77" s="21">
        <f>IF(C77="","",COUNTIF('2-Calcul des Salaires'!D5:D104,C77))</f>
        <v/>
      </c>
      <c r="F77" s="21">
        <f>IF(C77="","",SUMIF('2-Calcul des Salaires'!D5:D104,C77,'2-Calcul des Salaires'!J5:J104))</f>
        <v/>
      </c>
      <c r="G77" s="21">
        <f>IF(C77="","",SUMIF('2-Calcul des Salaires'!D5:D104,C77,'2-Calcul des Salaires'!O5:O104))</f>
        <v/>
      </c>
      <c r="H77" s="21">
        <f>IF(C77="","",SUMIF('2-Calcul des Salaires'!D5:D104,C77,'2-Calcul des Salaires'!Q5:Q104)-SUMIF('2-Calcul des Salaires'!D5:D104,C77,'2-Calcul des Salaires'!O5:O104))</f>
        <v/>
      </c>
      <c r="I77" s="16">
        <f>IF(C77="","",SUMIF('2-Calcul des Salaires'!D5:D104,C77,'2-Calcul des Salaires'!Q5:Q104))</f>
        <v/>
      </c>
      <c r="J77" s="21" t="n"/>
      <c r="K77" s="21">
        <f>IF(OR(F77="",J77=""),"",IFERROR(F77/J77,0))</f>
        <v/>
      </c>
      <c r="L77" s="16">
        <f>IF(OR(E77="",I77=""),"",IFERROR(I77/E77,0))</f>
        <v/>
      </c>
    </row>
    <row r="78" ht="22" customHeight="1">
      <c r="B78" s="22">
        <f>IF(C78="","MS"&amp;TEXT(COUNTA($C$5:C78),"000"))</f>
        <v/>
      </c>
      <c r="C78" s="22" t="n"/>
      <c r="D78" s="22" t="n"/>
      <c r="E78" s="22">
        <f>IF(C78="","",COUNTIF('2-Calcul des Salaires'!D5:D104,C78))</f>
        <v/>
      </c>
      <c r="F78" s="22">
        <f>IF(C78="","",SUMIF('2-Calcul des Salaires'!D5:D104,C78,'2-Calcul des Salaires'!J5:J104))</f>
        <v/>
      </c>
      <c r="G78" s="22">
        <f>IF(C78="","",SUMIF('2-Calcul des Salaires'!D5:D104,C78,'2-Calcul des Salaires'!O5:O104))</f>
        <v/>
      </c>
      <c r="H78" s="22">
        <f>IF(C78="","",SUMIF('2-Calcul des Salaires'!D5:D104,C78,'2-Calcul des Salaires'!Q5:Q104)-SUMIF('2-Calcul des Salaires'!D5:D104,C78,'2-Calcul des Salaires'!O5:O104))</f>
        <v/>
      </c>
      <c r="I78" s="18">
        <f>IF(C78="","",SUMIF('2-Calcul des Salaires'!D5:D104,C78,'2-Calcul des Salaires'!Q5:Q104))</f>
        <v/>
      </c>
      <c r="J78" s="22" t="n"/>
      <c r="K78" s="22">
        <f>IF(OR(F78="",J78=""),"",IFERROR(F78/J78,0))</f>
        <v/>
      </c>
      <c r="L78" s="18">
        <f>IF(OR(E78="",I78=""),"",IFERROR(I78/E78,0))</f>
        <v/>
      </c>
    </row>
    <row r="79" ht="22" customHeight="1">
      <c r="B79" s="21">
        <f>IF(C79="","MS"&amp;TEXT(COUNTA($C$5:C79),"000"))</f>
        <v/>
      </c>
      <c r="C79" s="21" t="n"/>
      <c r="D79" s="21" t="n"/>
      <c r="E79" s="21">
        <f>IF(C79="","",COUNTIF('2-Calcul des Salaires'!D5:D104,C79))</f>
        <v/>
      </c>
      <c r="F79" s="21">
        <f>IF(C79="","",SUMIF('2-Calcul des Salaires'!D5:D104,C79,'2-Calcul des Salaires'!J5:J104))</f>
        <v/>
      </c>
      <c r="G79" s="21">
        <f>IF(C79="","",SUMIF('2-Calcul des Salaires'!D5:D104,C79,'2-Calcul des Salaires'!O5:O104))</f>
        <v/>
      </c>
      <c r="H79" s="21">
        <f>IF(C79="","",SUMIF('2-Calcul des Salaires'!D5:D104,C79,'2-Calcul des Salaires'!Q5:Q104)-SUMIF('2-Calcul des Salaires'!D5:D104,C79,'2-Calcul des Salaires'!O5:O104))</f>
        <v/>
      </c>
      <c r="I79" s="16">
        <f>IF(C79="","",SUMIF('2-Calcul des Salaires'!D5:D104,C79,'2-Calcul des Salaires'!Q5:Q104))</f>
        <v/>
      </c>
      <c r="J79" s="21" t="n"/>
      <c r="K79" s="21">
        <f>IF(OR(F79="",J79=""),"",IFERROR(F79/J79,0))</f>
        <v/>
      </c>
      <c r="L79" s="16">
        <f>IF(OR(E79="",I79=""),"",IFERROR(I79/E79,0))</f>
        <v/>
      </c>
    </row>
    <row r="80" ht="22" customHeight="1">
      <c r="B80" s="22">
        <f>IF(C80="","MS"&amp;TEXT(COUNTA($C$5:C80),"000"))</f>
        <v/>
      </c>
      <c r="C80" s="22" t="n"/>
      <c r="D80" s="22" t="n"/>
      <c r="E80" s="22">
        <f>IF(C80="","",COUNTIF('2-Calcul des Salaires'!D5:D104,C80))</f>
        <v/>
      </c>
      <c r="F80" s="22">
        <f>IF(C80="","",SUMIF('2-Calcul des Salaires'!D5:D104,C80,'2-Calcul des Salaires'!J5:J104))</f>
        <v/>
      </c>
      <c r="G80" s="22">
        <f>IF(C80="","",SUMIF('2-Calcul des Salaires'!D5:D104,C80,'2-Calcul des Salaires'!O5:O104))</f>
        <v/>
      </c>
      <c r="H80" s="22">
        <f>IF(C80="","",SUMIF('2-Calcul des Salaires'!D5:D104,C80,'2-Calcul des Salaires'!Q5:Q104)-SUMIF('2-Calcul des Salaires'!D5:D104,C80,'2-Calcul des Salaires'!O5:O104))</f>
        <v/>
      </c>
      <c r="I80" s="18">
        <f>IF(C80="","",SUMIF('2-Calcul des Salaires'!D5:D104,C80,'2-Calcul des Salaires'!Q5:Q104))</f>
        <v/>
      </c>
      <c r="J80" s="22" t="n"/>
      <c r="K80" s="22">
        <f>IF(OR(F80="",J80=""),"",IFERROR(F80/J80,0))</f>
        <v/>
      </c>
      <c r="L80" s="18">
        <f>IF(OR(E80="",I80=""),"",IFERROR(I80/E80,0))</f>
        <v/>
      </c>
    </row>
    <row r="81" ht="22" customHeight="1">
      <c r="B81" s="21">
        <f>IF(C81="","MS"&amp;TEXT(COUNTA($C$5:C81),"000"))</f>
        <v/>
      </c>
      <c r="C81" s="21" t="n"/>
      <c r="D81" s="21" t="n"/>
      <c r="E81" s="21">
        <f>IF(C81="","",COUNTIF('2-Calcul des Salaires'!D5:D104,C81))</f>
        <v/>
      </c>
      <c r="F81" s="21">
        <f>IF(C81="","",SUMIF('2-Calcul des Salaires'!D5:D104,C81,'2-Calcul des Salaires'!J5:J104))</f>
        <v/>
      </c>
      <c r="G81" s="21">
        <f>IF(C81="","",SUMIF('2-Calcul des Salaires'!D5:D104,C81,'2-Calcul des Salaires'!O5:O104))</f>
        <v/>
      </c>
      <c r="H81" s="21">
        <f>IF(C81="","",SUMIF('2-Calcul des Salaires'!D5:D104,C81,'2-Calcul des Salaires'!Q5:Q104)-SUMIF('2-Calcul des Salaires'!D5:D104,C81,'2-Calcul des Salaires'!O5:O104))</f>
        <v/>
      </c>
      <c r="I81" s="16">
        <f>IF(C81="","",SUMIF('2-Calcul des Salaires'!D5:D104,C81,'2-Calcul des Salaires'!Q5:Q104))</f>
        <v/>
      </c>
      <c r="J81" s="21" t="n"/>
      <c r="K81" s="21">
        <f>IF(OR(F81="",J81=""),"",IFERROR(F81/J81,0))</f>
        <v/>
      </c>
      <c r="L81" s="16">
        <f>IF(OR(E81="",I81=""),"",IFERROR(I81/E81,0))</f>
        <v/>
      </c>
    </row>
    <row r="82" ht="22" customHeight="1">
      <c r="B82" s="22">
        <f>IF(C82="","MS"&amp;TEXT(COUNTA($C$5:C82),"000"))</f>
        <v/>
      </c>
      <c r="C82" s="22" t="n"/>
      <c r="D82" s="22" t="n"/>
      <c r="E82" s="22">
        <f>IF(C82="","",COUNTIF('2-Calcul des Salaires'!D5:D104,C82))</f>
        <v/>
      </c>
      <c r="F82" s="22">
        <f>IF(C82="","",SUMIF('2-Calcul des Salaires'!D5:D104,C82,'2-Calcul des Salaires'!J5:J104))</f>
        <v/>
      </c>
      <c r="G82" s="22">
        <f>IF(C82="","",SUMIF('2-Calcul des Salaires'!D5:D104,C82,'2-Calcul des Salaires'!O5:O104))</f>
        <v/>
      </c>
      <c r="H82" s="22">
        <f>IF(C82="","",SUMIF('2-Calcul des Salaires'!D5:D104,C82,'2-Calcul des Salaires'!Q5:Q104)-SUMIF('2-Calcul des Salaires'!D5:D104,C82,'2-Calcul des Salaires'!O5:O104))</f>
        <v/>
      </c>
      <c r="I82" s="18">
        <f>IF(C82="","",SUMIF('2-Calcul des Salaires'!D5:D104,C82,'2-Calcul des Salaires'!Q5:Q104))</f>
        <v/>
      </c>
      <c r="J82" s="22" t="n"/>
      <c r="K82" s="22">
        <f>IF(OR(F82="",J82=""),"",IFERROR(F82/J82,0))</f>
        <v/>
      </c>
      <c r="L82" s="18">
        <f>IF(OR(E82="",I82=""),"",IFERROR(I82/E82,0))</f>
        <v/>
      </c>
    </row>
    <row r="83" ht="22" customHeight="1">
      <c r="B83" s="21">
        <f>IF(C83="","MS"&amp;TEXT(COUNTA($C$5:C83),"000"))</f>
        <v/>
      </c>
      <c r="C83" s="21" t="n"/>
      <c r="D83" s="21" t="n"/>
      <c r="E83" s="21">
        <f>IF(C83="","",COUNTIF('2-Calcul des Salaires'!D5:D104,C83))</f>
        <v/>
      </c>
      <c r="F83" s="21">
        <f>IF(C83="","",SUMIF('2-Calcul des Salaires'!D5:D104,C83,'2-Calcul des Salaires'!J5:J104))</f>
        <v/>
      </c>
      <c r="G83" s="21">
        <f>IF(C83="","",SUMIF('2-Calcul des Salaires'!D5:D104,C83,'2-Calcul des Salaires'!O5:O104))</f>
        <v/>
      </c>
      <c r="H83" s="21">
        <f>IF(C83="","",SUMIF('2-Calcul des Salaires'!D5:D104,C83,'2-Calcul des Salaires'!Q5:Q104)-SUMIF('2-Calcul des Salaires'!D5:D104,C83,'2-Calcul des Salaires'!O5:O104))</f>
        <v/>
      </c>
      <c r="I83" s="16">
        <f>IF(C83="","",SUMIF('2-Calcul des Salaires'!D5:D104,C83,'2-Calcul des Salaires'!Q5:Q104))</f>
        <v/>
      </c>
      <c r="J83" s="21" t="n"/>
      <c r="K83" s="21">
        <f>IF(OR(F83="",J83=""),"",IFERROR(F83/J83,0))</f>
        <v/>
      </c>
      <c r="L83" s="16">
        <f>IF(OR(E83="",I83=""),"",IFERROR(I83/E83,0))</f>
        <v/>
      </c>
    </row>
    <row r="84" ht="22" customHeight="1">
      <c r="B84" s="22">
        <f>IF(C84="","MS"&amp;TEXT(COUNTA($C$5:C84),"000"))</f>
        <v/>
      </c>
      <c r="C84" s="22" t="n"/>
      <c r="D84" s="22" t="n"/>
      <c r="E84" s="22">
        <f>IF(C84="","",COUNTIF('2-Calcul des Salaires'!D5:D104,C84))</f>
        <v/>
      </c>
      <c r="F84" s="22">
        <f>IF(C84="","",SUMIF('2-Calcul des Salaires'!D5:D104,C84,'2-Calcul des Salaires'!J5:J104))</f>
        <v/>
      </c>
      <c r="G84" s="22">
        <f>IF(C84="","",SUMIF('2-Calcul des Salaires'!D5:D104,C84,'2-Calcul des Salaires'!O5:O104))</f>
        <v/>
      </c>
      <c r="H84" s="22">
        <f>IF(C84="","",SUMIF('2-Calcul des Salaires'!D5:D104,C84,'2-Calcul des Salaires'!Q5:Q104)-SUMIF('2-Calcul des Salaires'!D5:D104,C84,'2-Calcul des Salaires'!O5:O104))</f>
        <v/>
      </c>
      <c r="I84" s="18">
        <f>IF(C84="","",SUMIF('2-Calcul des Salaires'!D5:D104,C84,'2-Calcul des Salaires'!Q5:Q104))</f>
        <v/>
      </c>
      <c r="J84" s="22" t="n"/>
      <c r="K84" s="22">
        <f>IF(OR(F84="",J84=""),"",IFERROR(F84/J84,0))</f>
        <v/>
      </c>
      <c r="L84" s="18">
        <f>IF(OR(E84="",I84=""),"",IFERROR(I84/E84,0))</f>
        <v/>
      </c>
    </row>
    <row r="85" ht="22" customHeight="1">
      <c r="B85" s="21">
        <f>IF(C85="","MS"&amp;TEXT(COUNTA($C$5:C85),"000"))</f>
        <v/>
      </c>
      <c r="C85" s="21" t="n"/>
      <c r="D85" s="21" t="n"/>
      <c r="E85" s="21">
        <f>IF(C85="","",COUNTIF('2-Calcul des Salaires'!D5:D104,C85))</f>
        <v/>
      </c>
      <c r="F85" s="21">
        <f>IF(C85="","",SUMIF('2-Calcul des Salaires'!D5:D104,C85,'2-Calcul des Salaires'!J5:J104))</f>
        <v/>
      </c>
      <c r="G85" s="21">
        <f>IF(C85="","",SUMIF('2-Calcul des Salaires'!D5:D104,C85,'2-Calcul des Salaires'!O5:O104))</f>
        <v/>
      </c>
      <c r="H85" s="21">
        <f>IF(C85="","",SUMIF('2-Calcul des Salaires'!D5:D104,C85,'2-Calcul des Salaires'!Q5:Q104)-SUMIF('2-Calcul des Salaires'!D5:D104,C85,'2-Calcul des Salaires'!O5:O104))</f>
        <v/>
      </c>
      <c r="I85" s="16">
        <f>IF(C85="","",SUMIF('2-Calcul des Salaires'!D5:D104,C85,'2-Calcul des Salaires'!Q5:Q104))</f>
        <v/>
      </c>
      <c r="J85" s="21" t="n"/>
      <c r="K85" s="21">
        <f>IF(OR(F85="",J85=""),"",IFERROR(F85/J85,0))</f>
        <v/>
      </c>
      <c r="L85" s="16">
        <f>IF(OR(E85="",I85=""),"",IFERROR(I85/E85,0))</f>
        <v/>
      </c>
    </row>
    <row r="86" ht="22" customHeight="1">
      <c r="B86" s="22">
        <f>IF(C86="","MS"&amp;TEXT(COUNTA($C$5:C86),"000"))</f>
        <v/>
      </c>
      <c r="C86" s="22" t="n"/>
      <c r="D86" s="22" t="n"/>
      <c r="E86" s="22">
        <f>IF(C86="","",COUNTIF('2-Calcul des Salaires'!D5:D104,C86))</f>
        <v/>
      </c>
      <c r="F86" s="22">
        <f>IF(C86="","",SUMIF('2-Calcul des Salaires'!D5:D104,C86,'2-Calcul des Salaires'!J5:J104))</f>
        <v/>
      </c>
      <c r="G86" s="22">
        <f>IF(C86="","",SUMIF('2-Calcul des Salaires'!D5:D104,C86,'2-Calcul des Salaires'!O5:O104))</f>
        <v/>
      </c>
      <c r="H86" s="22">
        <f>IF(C86="","",SUMIF('2-Calcul des Salaires'!D5:D104,C86,'2-Calcul des Salaires'!Q5:Q104)-SUMIF('2-Calcul des Salaires'!D5:D104,C86,'2-Calcul des Salaires'!O5:O104))</f>
        <v/>
      </c>
      <c r="I86" s="18">
        <f>IF(C86="","",SUMIF('2-Calcul des Salaires'!D5:D104,C86,'2-Calcul des Salaires'!Q5:Q104))</f>
        <v/>
      </c>
      <c r="J86" s="22" t="n"/>
      <c r="K86" s="22">
        <f>IF(OR(F86="",J86=""),"",IFERROR(F86/J86,0))</f>
        <v/>
      </c>
      <c r="L86" s="18">
        <f>IF(OR(E86="",I86=""),"",IFERROR(I86/E86,0))</f>
        <v/>
      </c>
    </row>
    <row r="87" ht="22" customHeight="1">
      <c r="B87" s="21">
        <f>IF(C87="","MS"&amp;TEXT(COUNTA($C$5:C87),"000"))</f>
        <v/>
      </c>
      <c r="C87" s="21" t="n"/>
      <c r="D87" s="21" t="n"/>
      <c r="E87" s="21">
        <f>IF(C87="","",COUNTIF('2-Calcul des Salaires'!D5:D104,C87))</f>
        <v/>
      </c>
      <c r="F87" s="21">
        <f>IF(C87="","",SUMIF('2-Calcul des Salaires'!D5:D104,C87,'2-Calcul des Salaires'!J5:J104))</f>
        <v/>
      </c>
      <c r="G87" s="21">
        <f>IF(C87="","",SUMIF('2-Calcul des Salaires'!D5:D104,C87,'2-Calcul des Salaires'!O5:O104))</f>
        <v/>
      </c>
      <c r="H87" s="21">
        <f>IF(C87="","",SUMIF('2-Calcul des Salaires'!D5:D104,C87,'2-Calcul des Salaires'!Q5:Q104)-SUMIF('2-Calcul des Salaires'!D5:D104,C87,'2-Calcul des Salaires'!O5:O104))</f>
        <v/>
      </c>
      <c r="I87" s="16">
        <f>IF(C87="","",SUMIF('2-Calcul des Salaires'!D5:D104,C87,'2-Calcul des Salaires'!Q5:Q104))</f>
        <v/>
      </c>
      <c r="J87" s="21" t="n"/>
      <c r="K87" s="21">
        <f>IF(OR(F87="",J87=""),"",IFERROR(F87/J87,0))</f>
        <v/>
      </c>
      <c r="L87" s="16">
        <f>IF(OR(E87="",I87=""),"",IFERROR(I87/E87,0))</f>
        <v/>
      </c>
    </row>
    <row r="88" ht="22" customHeight="1">
      <c r="B88" s="22">
        <f>IF(C88="","MS"&amp;TEXT(COUNTA($C$5:C88),"000"))</f>
        <v/>
      </c>
      <c r="C88" s="22" t="n"/>
      <c r="D88" s="22" t="n"/>
      <c r="E88" s="22">
        <f>IF(C88="","",COUNTIF('2-Calcul des Salaires'!D5:D104,C88))</f>
        <v/>
      </c>
      <c r="F88" s="22">
        <f>IF(C88="","",SUMIF('2-Calcul des Salaires'!D5:D104,C88,'2-Calcul des Salaires'!J5:J104))</f>
        <v/>
      </c>
      <c r="G88" s="22">
        <f>IF(C88="","",SUMIF('2-Calcul des Salaires'!D5:D104,C88,'2-Calcul des Salaires'!O5:O104))</f>
        <v/>
      </c>
      <c r="H88" s="22">
        <f>IF(C88="","",SUMIF('2-Calcul des Salaires'!D5:D104,C88,'2-Calcul des Salaires'!Q5:Q104)-SUMIF('2-Calcul des Salaires'!D5:D104,C88,'2-Calcul des Salaires'!O5:O104))</f>
        <v/>
      </c>
      <c r="I88" s="18">
        <f>IF(C88="","",SUMIF('2-Calcul des Salaires'!D5:D104,C88,'2-Calcul des Salaires'!Q5:Q104))</f>
        <v/>
      </c>
      <c r="J88" s="22" t="n"/>
      <c r="K88" s="22">
        <f>IF(OR(F88="",J88=""),"",IFERROR(F88/J88,0))</f>
        <v/>
      </c>
      <c r="L88" s="18">
        <f>IF(OR(E88="",I88=""),"",IFERROR(I88/E88,0))</f>
        <v/>
      </c>
    </row>
    <row r="89" ht="22" customHeight="1">
      <c r="B89" s="21">
        <f>IF(C89="","MS"&amp;TEXT(COUNTA($C$5:C89),"000"))</f>
        <v/>
      </c>
      <c r="C89" s="21" t="n"/>
      <c r="D89" s="21" t="n"/>
      <c r="E89" s="21">
        <f>IF(C89="","",COUNTIF('2-Calcul des Salaires'!D5:D104,C89))</f>
        <v/>
      </c>
      <c r="F89" s="21">
        <f>IF(C89="","",SUMIF('2-Calcul des Salaires'!D5:D104,C89,'2-Calcul des Salaires'!J5:J104))</f>
        <v/>
      </c>
      <c r="G89" s="21">
        <f>IF(C89="","",SUMIF('2-Calcul des Salaires'!D5:D104,C89,'2-Calcul des Salaires'!O5:O104))</f>
        <v/>
      </c>
      <c r="H89" s="21">
        <f>IF(C89="","",SUMIF('2-Calcul des Salaires'!D5:D104,C89,'2-Calcul des Salaires'!Q5:Q104)-SUMIF('2-Calcul des Salaires'!D5:D104,C89,'2-Calcul des Salaires'!O5:O104))</f>
        <v/>
      </c>
      <c r="I89" s="16">
        <f>IF(C89="","",SUMIF('2-Calcul des Salaires'!D5:D104,C89,'2-Calcul des Salaires'!Q5:Q104))</f>
        <v/>
      </c>
      <c r="J89" s="21" t="n"/>
      <c r="K89" s="21">
        <f>IF(OR(F89="",J89=""),"",IFERROR(F89/J89,0))</f>
        <v/>
      </c>
      <c r="L89" s="16">
        <f>IF(OR(E89="",I89=""),"",IFERROR(I89/E89,0))</f>
        <v/>
      </c>
    </row>
    <row r="90" ht="22" customHeight="1">
      <c r="B90" s="22">
        <f>IF(C90="","MS"&amp;TEXT(COUNTA($C$5:C90),"000"))</f>
        <v/>
      </c>
      <c r="C90" s="22" t="n"/>
      <c r="D90" s="22" t="n"/>
      <c r="E90" s="22">
        <f>IF(C90="","",COUNTIF('2-Calcul des Salaires'!D5:D104,C90))</f>
        <v/>
      </c>
      <c r="F90" s="22">
        <f>IF(C90="","",SUMIF('2-Calcul des Salaires'!D5:D104,C90,'2-Calcul des Salaires'!J5:J104))</f>
        <v/>
      </c>
      <c r="G90" s="22">
        <f>IF(C90="","",SUMIF('2-Calcul des Salaires'!D5:D104,C90,'2-Calcul des Salaires'!O5:O104))</f>
        <v/>
      </c>
      <c r="H90" s="22">
        <f>IF(C90="","",SUMIF('2-Calcul des Salaires'!D5:D104,C90,'2-Calcul des Salaires'!Q5:Q104)-SUMIF('2-Calcul des Salaires'!D5:D104,C90,'2-Calcul des Salaires'!O5:O104))</f>
        <v/>
      </c>
      <c r="I90" s="18">
        <f>IF(C90="","",SUMIF('2-Calcul des Salaires'!D5:D104,C90,'2-Calcul des Salaires'!Q5:Q104))</f>
        <v/>
      </c>
      <c r="J90" s="22" t="n"/>
      <c r="K90" s="22">
        <f>IF(OR(F90="",J90=""),"",IFERROR(F90/J90,0))</f>
        <v/>
      </c>
      <c r="L90" s="18">
        <f>IF(OR(E90="",I90=""),"",IFERROR(I90/E90,0))</f>
        <v/>
      </c>
    </row>
    <row r="91" ht="22" customHeight="1">
      <c r="B91" s="21">
        <f>IF(C91="","MS"&amp;TEXT(COUNTA($C$5:C91),"000"))</f>
        <v/>
      </c>
      <c r="C91" s="21" t="n"/>
      <c r="D91" s="21" t="n"/>
      <c r="E91" s="21">
        <f>IF(C91="","",COUNTIF('2-Calcul des Salaires'!D5:D104,C91))</f>
        <v/>
      </c>
      <c r="F91" s="21">
        <f>IF(C91="","",SUMIF('2-Calcul des Salaires'!D5:D104,C91,'2-Calcul des Salaires'!J5:J104))</f>
        <v/>
      </c>
      <c r="G91" s="21">
        <f>IF(C91="","",SUMIF('2-Calcul des Salaires'!D5:D104,C91,'2-Calcul des Salaires'!O5:O104))</f>
        <v/>
      </c>
      <c r="H91" s="21">
        <f>IF(C91="","",SUMIF('2-Calcul des Salaires'!D5:D104,C91,'2-Calcul des Salaires'!Q5:Q104)-SUMIF('2-Calcul des Salaires'!D5:D104,C91,'2-Calcul des Salaires'!O5:O104))</f>
        <v/>
      </c>
      <c r="I91" s="16">
        <f>IF(C91="","",SUMIF('2-Calcul des Salaires'!D5:D104,C91,'2-Calcul des Salaires'!Q5:Q104))</f>
        <v/>
      </c>
      <c r="J91" s="21" t="n"/>
      <c r="K91" s="21">
        <f>IF(OR(F91="",J91=""),"",IFERROR(F91/J91,0))</f>
        <v/>
      </c>
      <c r="L91" s="16">
        <f>IF(OR(E91="",I91=""),"",IFERROR(I91/E91,0))</f>
        <v/>
      </c>
    </row>
    <row r="92" ht="22" customHeight="1">
      <c r="B92" s="22">
        <f>IF(C92="","MS"&amp;TEXT(COUNTA($C$5:C92),"000"))</f>
        <v/>
      </c>
      <c r="C92" s="22" t="n"/>
      <c r="D92" s="22" t="n"/>
      <c r="E92" s="22">
        <f>IF(C92="","",COUNTIF('2-Calcul des Salaires'!D5:D104,C92))</f>
        <v/>
      </c>
      <c r="F92" s="22">
        <f>IF(C92="","",SUMIF('2-Calcul des Salaires'!D5:D104,C92,'2-Calcul des Salaires'!J5:J104))</f>
        <v/>
      </c>
      <c r="G92" s="22">
        <f>IF(C92="","",SUMIF('2-Calcul des Salaires'!D5:D104,C92,'2-Calcul des Salaires'!O5:O104))</f>
        <v/>
      </c>
      <c r="H92" s="22">
        <f>IF(C92="","",SUMIF('2-Calcul des Salaires'!D5:D104,C92,'2-Calcul des Salaires'!Q5:Q104)-SUMIF('2-Calcul des Salaires'!D5:D104,C92,'2-Calcul des Salaires'!O5:O104))</f>
        <v/>
      </c>
      <c r="I92" s="18">
        <f>IF(C92="","",SUMIF('2-Calcul des Salaires'!D5:D104,C92,'2-Calcul des Salaires'!Q5:Q104))</f>
        <v/>
      </c>
      <c r="J92" s="22" t="n"/>
      <c r="K92" s="22">
        <f>IF(OR(F92="",J92=""),"",IFERROR(F92/J92,0))</f>
        <v/>
      </c>
      <c r="L92" s="18">
        <f>IF(OR(E92="",I92=""),"",IFERROR(I92/E92,0))</f>
        <v/>
      </c>
    </row>
    <row r="93" ht="22" customHeight="1">
      <c r="B93" s="21">
        <f>IF(C93="","MS"&amp;TEXT(COUNTA($C$5:C93),"000"))</f>
        <v/>
      </c>
      <c r="C93" s="21" t="n"/>
      <c r="D93" s="21" t="n"/>
      <c r="E93" s="21">
        <f>IF(C93="","",COUNTIF('2-Calcul des Salaires'!D5:D104,C93))</f>
        <v/>
      </c>
      <c r="F93" s="21">
        <f>IF(C93="","",SUMIF('2-Calcul des Salaires'!D5:D104,C93,'2-Calcul des Salaires'!J5:J104))</f>
        <v/>
      </c>
      <c r="G93" s="21">
        <f>IF(C93="","",SUMIF('2-Calcul des Salaires'!D5:D104,C93,'2-Calcul des Salaires'!O5:O104))</f>
        <v/>
      </c>
      <c r="H93" s="21">
        <f>IF(C93="","",SUMIF('2-Calcul des Salaires'!D5:D104,C93,'2-Calcul des Salaires'!Q5:Q104)-SUMIF('2-Calcul des Salaires'!D5:D104,C93,'2-Calcul des Salaires'!O5:O104))</f>
        <v/>
      </c>
      <c r="I93" s="16">
        <f>IF(C93="","",SUMIF('2-Calcul des Salaires'!D5:D104,C93,'2-Calcul des Salaires'!Q5:Q104))</f>
        <v/>
      </c>
      <c r="J93" s="21" t="n"/>
      <c r="K93" s="21">
        <f>IF(OR(F93="",J93=""),"",IFERROR(F93/J93,0))</f>
        <v/>
      </c>
      <c r="L93" s="16">
        <f>IF(OR(E93="",I93=""),"",IFERROR(I93/E93,0))</f>
        <v/>
      </c>
    </row>
    <row r="94" ht="22" customHeight="1">
      <c r="B94" s="22">
        <f>IF(C94="","MS"&amp;TEXT(COUNTA($C$5:C94),"000"))</f>
        <v/>
      </c>
      <c r="C94" s="22" t="n"/>
      <c r="D94" s="22" t="n"/>
      <c r="E94" s="22">
        <f>IF(C94="","",COUNTIF('2-Calcul des Salaires'!D5:D104,C94))</f>
        <v/>
      </c>
      <c r="F94" s="22">
        <f>IF(C94="","",SUMIF('2-Calcul des Salaires'!D5:D104,C94,'2-Calcul des Salaires'!J5:J104))</f>
        <v/>
      </c>
      <c r="G94" s="22">
        <f>IF(C94="","",SUMIF('2-Calcul des Salaires'!D5:D104,C94,'2-Calcul des Salaires'!O5:O104))</f>
        <v/>
      </c>
      <c r="H94" s="22">
        <f>IF(C94="","",SUMIF('2-Calcul des Salaires'!D5:D104,C94,'2-Calcul des Salaires'!Q5:Q104)-SUMIF('2-Calcul des Salaires'!D5:D104,C94,'2-Calcul des Salaires'!O5:O104))</f>
        <v/>
      </c>
      <c r="I94" s="18">
        <f>IF(C94="","",SUMIF('2-Calcul des Salaires'!D5:D104,C94,'2-Calcul des Salaires'!Q5:Q104))</f>
        <v/>
      </c>
      <c r="J94" s="22" t="n"/>
      <c r="K94" s="22">
        <f>IF(OR(F94="",J94=""),"",IFERROR(F94/J94,0))</f>
        <v/>
      </c>
      <c r="L94" s="18">
        <f>IF(OR(E94="",I94=""),"",IFERROR(I94/E94,0))</f>
        <v/>
      </c>
    </row>
    <row r="95" ht="22" customHeight="1">
      <c r="B95" s="21">
        <f>IF(C95="","MS"&amp;TEXT(COUNTA($C$5:C95),"000"))</f>
        <v/>
      </c>
      <c r="C95" s="21" t="n"/>
      <c r="D95" s="21" t="n"/>
      <c r="E95" s="21">
        <f>IF(C95="","",COUNTIF('2-Calcul des Salaires'!D5:D104,C95))</f>
        <v/>
      </c>
      <c r="F95" s="21">
        <f>IF(C95="","",SUMIF('2-Calcul des Salaires'!D5:D104,C95,'2-Calcul des Salaires'!J5:J104))</f>
        <v/>
      </c>
      <c r="G95" s="21">
        <f>IF(C95="","",SUMIF('2-Calcul des Salaires'!D5:D104,C95,'2-Calcul des Salaires'!O5:O104))</f>
        <v/>
      </c>
      <c r="H95" s="21">
        <f>IF(C95="","",SUMIF('2-Calcul des Salaires'!D5:D104,C95,'2-Calcul des Salaires'!Q5:Q104)-SUMIF('2-Calcul des Salaires'!D5:D104,C95,'2-Calcul des Salaires'!O5:O104))</f>
        <v/>
      </c>
      <c r="I95" s="16">
        <f>IF(C95="","",SUMIF('2-Calcul des Salaires'!D5:D104,C95,'2-Calcul des Salaires'!Q5:Q104))</f>
        <v/>
      </c>
      <c r="J95" s="21" t="n"/>
      <c r="K95" s="21">
        <f>IF(OR(F95="",J95=""),"",IFERROR(F95/J95,0))</f>
        <v/>
      </c>
      <c r="L95" s="16">
        <f>IF(OR(E95="",I95=""),"",IFERROR(I95/E95,0))</f>
        <v/>
      </c>
    </row>
    <row r="96" ht="22" customHeight="1">
      <c r="B96" s="22">
        <f>IF(C96="","MS"&amp;TEXT(COUNTA($C$5:C96),"000"))</f>
        <v/>
      </c>
      <c r="C96" s="22" t="n"/>
      <c r="D96" s="22" t="n"/>
      <c r="E96" s="22">
        <f>IF(C96="","",COUNTIF('2-Calcul des Salaires'!D5:D104,C96))</f>
        <v/>
      </c>
      <c r="F96" s="22">
        <f>IF(C96="","",SUMIF('2-Calcul des Salaires'!D5:D104,C96,'2-Calcul des Salaires'!J5:J104))</f>
        <v/>
      </c>
      <c r="G96" s="22">
        <f>IF(C96="","",SUMIF('2-Calcul des Salaires'!D5:D104,C96,'2-Calcul des Salaires'!O5:O104))</f>
        <v/>
      </c>
      <c r="H96" s="22">
        <f>IF(C96="","",SUMIF('2-Calcul des Salaires'!D5:D104,C96,'2-Calcul des Salaires'!Q5:Q104)-SUMIF('2-Calcul des Salaires'!D5:D104,C96,'2-Calcul des Salaires'!O5:O104))</f>
        <v/>
      </c>
      <c r="I96" s="18">
        <f>IF(C96="","",SUMIF('2-Calcul des Salaires'!D5:D104,C96,'2-Calcul des Salaires'!Q5:Q104))</f>
        <v/>
      </c>
      <c r="J96" s="22" t="n"/>
      <c r="K96" s="22">
        <f>IF(OR(F96="",J96=""),"",IFERROR(F96/J96,0))</f>
        <v/>
      </c>
      <c r="L96" s="18">
        <f>IF(OR(E96="",I96=""),"",IFERROR(I96/E96,0))</f>
        <v/>
      </c>
    </row>
    <row r="97" ht="22" customHeight="1">
      <c r="B97" s="21">
        <f>IF(C97="","MS"&amp;TEXT(COUNTA($C$5:C97),"000"))</f>
        <v/>
      </c>
      <c r="C97" s="21" t="n"/>
      <c r="D97" s="21" t="n"/>
      <c r="E97" s="21">
        <f>IF(C97="","",COUNTIF('2-Calcul des Salaires'!D5:D104,C97))</f>
        <v/>
      </c>
      <c r="F97" s="21">
        <f>IF(C97="","",SUMIF('2-Calcul des Salaires'!D5:D104,C97,'2-Calcul des Salaires'!J5:J104))</f>
        <v/>
      </c>
      <c r="G97" s="21">
        <f>IF(C97="","",SUMIF('2-Calcul des Salaires'!D5:D104,C97,'2-Calcul des Salaires'!O5:O104))</f>
        <v/>
      </c>
      <c r="H97" s="21">
        <f>IF(C97="","",SUMIF('2-Calcul des Salaires'!D5:D104,C97,'2-Calcul des Salaires'!Q5:Q104)-SUMIF('2-Calcul des Salaires'!D5:D104,C97,'2-Calcul des Salaires'!O5:O104))</f>
        <v/>
      </c>
      <c r="I97" s="16">
        <f>IF(C97="","",SUMIF('2-Calcul des Salaires'!D5:D104,C97,'2-Calcul des Salaires'!Q5:Q104))</f>
        <v/>
      </c>
      <c r="J97" s="21" t="n"/>
      <c r="K97" s="21">
        <f>IF(OR(F97="",J97=""),"",IFERROR(F97/J97,0))</f>
        <v/>
      </c>
      <c r="L97" s="16">
        <f>IF(OR(E97="",I97=""),"",IFERROR(I97/E97,0))</f>
        <v/>
      </c>
    </row>
    <row r="98" ht="22" customHeight="1">
      <c r="B98" s="22">
        <f>IF(C98="","MS"&amp;TEXT(COUNTA($C$5:C98),"000"))</f>
        <v/>
      </c>
      <c r="C98" s="22" t="n"/>
      <c r="D98" s="22" t="n"/>
      <c r="E98" s="22">
        <f>IF(C98="","",COUNTIF('2-Calcul des Salaires'!D5:D104,C98))</f>
        <v/>
      </c>
      <c r="F98" s="22">
        <f>IF(C98="","",SUMIF('2-Calcul des Salaires'!D5:D104,C98,'2-Calcul des Salaires'!J5:J104))</f>
        <v/>
      </c>
      <c r="G98" s="22">
        <f>IF(C98="","",SUMIF('2-Calcul des Salaires'!D5:D104,C98,'2-Calcul des Salaires'!O5:O104))</f>
        <v/>
      </c>
      <c r="H98" s="22">
        <f>IF(C98="","",SUMIF('2-Calcul des Salaires'!D5:D104,C98,'2-Calcul des Salaires'!Q5:Q104)-SUMIF('2-Calcul des Salaires'!D5:D104,C98,'2-Calcul des Salaires'!O5:O104))</f>
        <v/>
      </c>
      <c r="I98" s="18">
        <f>IF(C98="","",SUMIF('2-Calcul des Salaires'!D5:D104,C98,'2-Calcul des Salaires'!Q5:Q104))</f>
        <v/>
      </c>
      <c r="J98" s="22" t="n"/>
      <c r="K98" s="22">
        <f>IF(OR(F98="",J98=""),"",IFERROR(F98/J98,0))</f>
        <v/>
      </c>
      <c r="L98" s="18">
        <f>IF(OR(E98="",I98=""),"",IFERROR(I98/E98,0))</f>
        <v/>
      </c>
    </row>
    <row r="99" ht="22" customHeight="1">
      <c r="B99" s="21">
        <f>IF(C99="","MS"&amp;TEXT(COUNTA($C$5:C99),"000"))</f>
        <v/>
      </c>
      <c r="C99" s="21" t="n"/>
      <c r="D99" s="21" t="n"/>
      <c r="E99" s="21">
        <f>IF(C99="","",COUNTIF('2-Calcul des Salaires'!D5:D104,C99))</f>
        <v/>
      </c>
      <c r="F99" s="21">
        <f>IF(C99="","",SUMIF('2-Calcul des Salaires'!D5:D104,C99,'2-Calcul des Salaires'!J5:J104))</f>
        <v/>
      </c>
      <c r="G99" s="21">
        <f>IF(C99="","",SUMIF('2-Calcul des Salaires'!D5:D104,C99,'2-Calcul des Salaires'!O5:O104))</f>
        <v/>
      </c>
      <c r="H99" s="21">
        <f>IF(C99="","",SUMIF('2-Calcul des Salaires'!D5:D104,C99,'2-Calcul des Salaires'!Q5:Q104)-SUMIF('2-Calcul des Salaires'!D5:D104,C99,'2-Calcul des Salaires'!O5:O104))</f>
        <v/>
      </c>
      <c r="I99" s="16">
        <f>IF(C99="","",SUMIF('2-Calcul des Salaires'!D5:D104,C99,'2-Calcul des Salaires'!Q5:Q104))</f>
        <v/>
      </c>
      <c r="J99" s="21" t="n"/>
      <c r="K99" s="21">
        <f>IF(OR(F99="",J99=""),"",IFERROR(F99/J99,0))</f>
        <v/>
      </c>
      <c r="L99" s="16">
        <f>IF(OR(E99="",I99=""),"",IFERROR(I99/E99,0))</f>
        <v/>
      </c>
    </row>
    <row r="100" ht="22" customHeight="1">
      <c r="B100" s="22">
        <f>IF(C100="","MS"&amp;TEXT(COUNTA($C$5:C100),"000"))</f>
        <v/>
      </c>
      <c r="C100" s="22" t="n"/>
      <c r="D100" s="22" t="n"/>
      <c r="E100" s="22">
        <f>IF(C100="","",COUNTIF('2-Calcul des Salaires'!D5:D104,C100))</f>
        <v/>
      </c>
      <c r="F100" s="22">
        <f>IF(C100="","",SUMIF('2-Calcul des Salaires'!D5:D104,C100,'2-Calcul des Salaires'!J5:J104))</f>
        <v/>
      </c>
      <c r="G100" s="22">
        <f>IF(C100="","",SUMIF('2-Calcul des Salaires'!D5:D104,C100,'2-Calcul des Salaires'!O5:O104))</f>
        <v/>
      </c>
      <c r="H100" s="22">
        <f>IF(C100="","",SUMIF('2-Calcul des Salaires'!D5:D104,C100,'2-Calcul des Salaires'!Q5:Q104)-SUMIF('2-Calcul des Salaires'!D5:D104,C100,'2-Calcul des Salaires'!O5:O104))</f>
        <v/>
      </c>
      <c r="I100" s="18">
        <f>IF(C100="","",SUMIF('2-Calcul des Salaires'!D5:D104,C100,'2-Calcul des Salaires'!Q5:Q104))</f>
        <v/>
      </c>
      <c r="J100" s="22" t="n"/>
      <c r="K100" s="22">
        <f>IF(OR(F100="",J100=""),"",IFERROR(F100/J100,0))</f>
        <v/>
      </c>
      <c r="L100" s="18">
        <f>IF(OR(E100="",I100=""),"",IFERROR(I100/E100,0))</f>
        <v/>
      </c>
    </row>
    <row r="101" ht="22" customHeight="1">
      <c r="B101" s="21">
        <f>IF(C101="","MS"&amp;TEXT(COUNTA($C$5:C101),"000"))</f>
        <v/>
      </c>
      <c r="C101" s="21" t="n"/>
      <c r="D101" s="21" t="n"/>
      <c r="E101" s="21">
        <f>IF(C101="","",COUNTIF('2-Calcul des Salaires'!D5:D104,C101))</f>
        <v/>
      </c>
      <c r="F101" s="21">
        <f>IF(C101="","",SUMIF('2-Calcul des Salaires'!D5:D104,C101,'2-Calcul des Salaires'!J5:J104))</f>
        <v/>
      </c>
      <c r="G101" s="21">
        <f>IF(C101="","",SUMIF('2-Calcul des Salaires'!D5:D104,C101,'2-Calcul des Salaires'!O5:O104))</f>
        <v/>
      </c>
      <c r="H101" s="21">
        <f>IF(C101="","",SUMIF('2-Calcul des Salaires'!D5:D104,C101,'2-Calcul des Salaires'!Q5:Q104)-SUMIF('2-Calcul des Salaires'!D5:D104,C101,'2-Calcul des Salaires'!O5:O104))</f>
        <v/>
      </c>
      <c r="I101" s="16">
        <f>IF(C101="","",SUMIF('2-Calcul des Salaires'!D5:D104,C101,'2-Calcul des Salaires'!Q5:Q104))</f>
        <v/>
      </c>
      <c r="J101" s="21" t="n"/>
      <c r="K101" s="21">
        <f>IF(OR(F101="",J101=""),"",IFERROR(F101/J101,0))</f>
        <v/>
      </c>
      <c r="L101" s="16">
        <f>IF(OR(E101="",I101=""),"",IFERROR(I101/E101,0))</f>
        <v/>
      </c>
    </row>
    <row r="102" ht="22" customHeight="1">
      <c r="B102" s="22">
        <f>IF(C102="","MS"&amp;TEXT(COUNTA($C$5:C102),"000"))</f>
        <v/>
      </c>
      <c r="C102" s="22" t="n"/>
      <c r="D102" s="22" t="n"/>
      <c r="E102" s="22">
        <f>IF(C102="","",COUNTIF('2-Calcul des Salaires'!D5:D104,C102))</f>
        <v/>
      </c>
      <c r="F102" s="22">
        <f>IF(C102="","",SUMIF('2-Calcul des Salaires'!D5:D104,C102,'2-Calcul des Salaires'!J5:J104))</f>
        <v/>
      </c>
      <c r="G102" s="22">
        <f>IF(C102="","",SUMIF('2-Calcul des Salaires'!D5:D104,C102,'2-Calcul des Salaires'!O5:O104))</f>
        <v/>
      </c>
      <c r="H102" s="22">
        <f>IF(C102="","",SUMIF('2-Calcul des Salaires'!D5:D104,C102,'2-Calcul des Salaires'!Q5:Q104)-SUMIF('2-Calcul des Salaires'!D5:D104,C102,'2-Calcul des Salaires'!O5:O104))</f>
        <v/>
      </c>
      <c r="I102" s="18">
        <f>IF(C102="","",SUMIF('2-Calcul des Salaires'!D5:D104,C102,'2-Calcul des Salaires'!Q5:Q104))</f>
        <v/>
      </c>
      <c r="J102" s="22" t="n"/>
      <c r="K102" s="22">
        <f>IF(OR(F102="",J102=""),"",IFERROR(F102/J102,0))</f>
        <v/>
      </c>
      <c r="L102" s="18">
        <f>IF(OR(E102="",I102=""),"",IFERROR(I102/E102,0))</f>
        <v/>
      </c>
    </row>
    <row r="103" ht="22" customHeight="1">
      <c r="B103" s="21">
        <f>IF(C103="","MS"&amp;TEXT(COUNTA($C$5:C103),"000"))</f>
        <v/>
      </c>
      <c r="C103" s="21" t="n"/>
      <c r="D103" s="21" t="n"/>
      <c r="E103" s="21">
        <f>IF(C103="","",COUNTIF('2-Calcul des Salaires'!D5:D104,C103))</f>
        <v/>
      </c>
      <c r="F103" s="21">
        <f>IF(C103="","",SUMIF('2-Calcul des Salaires'!D5:D104,C103,'2-Calcul des Salaires'!J5:J104))</f>
        <v/>
      </c>
      <c r="G103" s="21">
        <f>IF(C103="","",SUMIF('2-Calcul des Salaires'!D5:D104,C103,'2-Calcul des Salaires'!O5:O104))</f>
        <v/>
      </c>
      <c r="H103" s="21">
        <f>IF(C103="","",SUMIF('2-Calcul des Salaires'!D5:D104,C103,'2-Calcul des Salaires'!Q5:Q104)-SUMIF('2-Calcul des Salaires'!D5:D104,C103,'2-Calcul des Salaires'!O5:O104))</f>
        <v/>
      </c>
      <c r="I103" s="16">
        <f>IF(C103="","",SUMIF('2-Calcul des Salaires'!D5:D104,C103,'2-Calcul des Salaires'!Q5:Q104))</f>
        <v/>
      </c>
      <c r="J103" s="21" t="n"/>
      <c r="K103" s="21">
        <f>IF(OR(F103="",J103=""),"",IFERROR(F103/J103,0))</f>
        <v/>
      </c>
      <c r="L103" s="16">
        <f>IF(OR(E103="",I103=""),"",IFERROR(I103/E103,0))</f>
        <v/>
      </c>
    </row>
    <row r="104" ht="22" customHeight="1">
      <c r="B104" s="22">
        <f>IF(C104="","MS"&amp;TEXT(COUNTA($C$5:C104),"000"))</f>
        <v/>
      </c>
      <c r="C104" s="22" t="n"/>
      <c r="D104" s="22" t="n"/>
      <c r="E104" s="22">
        <f>IF(C104="","",COUNTIF('2-Calcul des Salaires'!D5:D104,C104))</f>
        <v/>
      </c>
      <c r="F104" s="22">
        <f>IF(C104="","",SUMIF('2-Calcul des Salaires'!D5:D104,C104,'2-Calcul des Salaires'!J5:J104))</f>
        <v/>
      </c>
      <c r="G104" s="22">
        <f>IF(C104="","",SUMIF('2-Calcul des Salaires'!D5:D104,C104,'2-Calcul des Salaires'!O5:O104))</f>
        <v/>
      </c>
      <c r="H104" s="22">
        <f>IF(C104="","",SUMIF('2-Calcul des Salaires'!D5:D104,C104,'2-Calcul des Salaires'!Q5:Q104)-SUMIF('2-Calcul des Salaires'!D5:D104,C104,'2-Calcul des Salaires'!O5:O104))</f>
        <v/>
      </c>
      <c r="I104" s="18">
        <f>IF(C104="","",SUMIF('2-Calcul des Salaires'!D5:D104,C104,'2-Calcul des Salaires'!Q5:Q104))</f>
        <v/>
      </c>
      <c r="J104" s="22" t="n"/>
      <c r="K104" s="22">
        <f>IF(OR(F104="",J104=""),"",IFERROR(F104/J104,0))</f>
        <v/>
      </c>
      <c r="L104" s="18">
        <f>IF(OR(E104="",I104=""),"",IFERROR(I104/E104,0))</f>
        <v/>
      </c>
    </row>
    <row r="105">
      <c r="E105">
        <f>IF(C105="","",COUNTIF('2-Calcul des Salaires'!D5:D104,C105))</f>
        <v/>
      </c>
      <c r="F105">
        <f>IF(C105="","",SUMIF('2-Calcul des Salaires'!D5:D104,C105,'2-Calcul des Salaires'!J5:J104))</f>
        <v/>
      </c>
      <c r="G105">
        <f>IF(C105="","",SUMIF('2-Calcul des Salaires'!D5:D104,C105,'2-Calcul des Salaires'!O5:O104))</f>
        <v/>
      </c>
      <c r="H105">
        <f>IF(C105="","",SUMIF('2-Calcul des Salaires'!D5:D104,C105,'2-Calcul des Salaires'!Q5:Q104)-SUMIF('2-Calcul des Salaires'!D5:D104,C105,'2-Calcul des Salaires'!O5:O104))</f>
        <v/>
      </c>
      <c r="I105">
        <f>IF(C105="","",SUMIF('2-Calcul des Salaires'!D5:D104,C105,'2-Calcul des Salaires'!Q5:Q104))</f>
        <v/>
      </c>
    </row>
    <row r="106">
      <c r="E106">
        <f>IF(C106="","",COUNTIF('2-Calcul des Salaires'!D5:D104,C106))</f>
        <v/>
      </c>
      <c r="F106">
        <f>IF(C106="","",SUMIF('2-Calcul des Salaires'!D5:D104,C106,'2-Calcul des Salaires'!J5:J104))</f>
        <v/>
      </c>
      <c r="G106">
        <f>IF(C106="","",SUMIF('2-Calcul des Salaires'!D5:D104,C106,'2-Calcul des Salaires'!O5:O104))</f>
        <v/>
      </c>
      <c r="H106">
        <f>IF(C106="","",SUMIF('2-Calcul des Salaires'!D5:D104,C106,'2-Calcul des Salaires'!Q5:Q104)-SUMIF('2-Calcul des Salaires'!D5:D104,C106,'2-Calcul des Salaires'!O5:O104))</f>
        <v/>
      </c>
      <c r="I106">
        <f>IF(C106="","",SUMIF('2-Calcul des Salaires'!D5:D104,C106,'2-Calcul des Salaires'!Q5:Q104))</f>
        <v/>
      </c>
    </row>
    <row r="107">
      <c r="B107" s="23" t="inlineStr">
        <is>
          <t>KPI Dernière masse brute (FCFA)</t>
        </is>
      </c>
      <c r="C107" s="23" t="inlineStr">
        <is>
          <t>KPI Ratio moyen</t>
        </is>
      </c>
      <c r="E107">
        <f>IF(C107="","",COUNTIF('2-Calcul des Salaires'!D5:D104,C107))</f>
        <v/>
      </c>
      <c r="F107">
        <f>IF(C107="","",SUMIF('2-Calcul des Salaires'!D5:D104,C107,'2-Calcul des Salaires'!J5:J104))</f>
        <v/>
      </c>
      <c r="G107">
        <f>IF(C107="","",SUMIF('2-Calcul des Salaires'!D5:D104,C107,'2-Calcul des Salaires'!O5:O104))</f>
        <v/>
      </c>
      <c r="H107">
        <f>IF(C107="","",SUMIF('2-Calcul des Salaires'!D5:D104,C107,'2-Calcul des Salaires'!Q5:Q104)-SUMIF('2-Calcul des Salaires'!D5:D104,C107,'2-Calcul des Salaires'!O5:O104))</f>
        <v/>
      </c>
      <c r="I107">
        <f>IF(C107="","",SUMIF('2-Calcul des Salaires'!D5:D104,C107,'2-Calcul des Salaires'!Q5:Q104))</f>
        <v/>
      </c>
    </row>
    <row r="108">
      <c r="B108" s="25">
        <f>IFERROR(INDEX(F5:F104,MATCH(1,(C5:C104&lt;&gt;""),0)),0)</f>
        <v/>
      </c>
      <c r="C108" s="24">
        <f>IFERROR(AVERAGE(K5:K104),0)</f>
        <v/>
      </c>
      <c r="E108">
        <f>IF(C108="","",COUNTIF('2-Calcul des Salaires'!D5:D104,C108))</f>
        <v/>
      </c>
      <c r="F108">
        <f>IF(C108="","",SUMIF('2-Calcul des Salaires'!D5:D104,C108,'2-Calcul des Salaires'!J5:J104))</f>
        <v/>
      </c>
      <c r="G108">
        <f>IF(C108="","",SUMIF('2-Calcul des Salaires'!D5:D104,C108,'2-Calcul des Salaires'!O5:O104))</f>
        <v/>
      </c>
      <c r="H108">
        <f>IF(C108="","",SUMIF('2-Calcul des Salaires'!D5:D104,C108,'2-Calcul des Salaires'!Q5:Q104)-SUMIF('2-Calcul des Salaires'!D5:D104,C108,'2-Calcul des Salaires'!O5:O104))</f>
        <v/>
      </c>
      <c r="I108">
        <f>IF(C108="","",SUMIF('2-Calcul des Salaires'!D5:D104,C108,'2-Calcul des Salaires'!Q5:Q104))</f>
        <v/>
      </c>
    </row>
  </sheetData>
  <mergeCells count="1">
    <mergeCell ref="B2:L2"/>
  </mergeCells>
  <conditionalFormatting sqref="E5:E104">
    <cfRule type="dataBar" priority="1">
      <dataBar>
        <cfvo type="num" val="0"/>
        <cfvo type="num" val="1"/>
        <color rgb="001B2A4A"/>
      </dataBar>
    </cfRule>
  </conditionalFormatting>
  <conditionalFormatting sqref="F5:F104">
    <cfRule type="dataBar" priority="2">
      <dataBar>
        <cfvo type="num" val="0"/>
        <cfvo type="num" val="1"/>
        <color rgb="001B2A4A"/>
      </dataBar>
    </cfRule>
  </conditionalFormatting>
  <conditionalFormatting sqref="G5:G104">
    <cfRule type="dataBar" priority="3">
      <dataBar>
        <cfvo type="num" val="0"/>
        <cfvo type="num" val="1"/>
        <color rgb="001B2A4A"/>
      </dataBar>
    </cfRule>
  </conditionalFormatting>
  <conditionalFormatting sqref="H5:H104">
    <cfRule type="dataBar" priority="4">
      <dataBar>
        <cfvo type="num" val="0"/>
        <cfvo type="num" val="1"/>
        <color rgb="001B2A4A"/>
      </dataBar>
    </cfRule>
  </conditionalFormatting>
  <conditionalFormatting sqref="I5:I104">
    <cfRule type="dataBar" priority="5">
      <dataBar>
        <cfvo type="num" val="0"/>
        <cfvo type="num" val="1"/>
        <color rgb="001B2A4A"/>
      </dataBar>
    </cfRule>
  </conditionalFormatting>
  <conditionalFormatting sqref="J5:J104">
    <cfRule type="dataBar" priority="6">
      <dataBar>
        <cfvo type="num" val="0"/>
        <cfvo type="num" val="1"/>
        <color rgb="001B2A4A"/>
      </dataBar>
    </cfRule>
  </conditionalFormatting>
  <conditionalFormatting sqref="L5:L104">
    <cfRule type="dataBar" priority="7">
      <dataBar>
        <cfvo type="num" val="0"/>
        <cfvo type="num" val="1"/>
        <color rgb="001B2A4A"/>
      </dataBar>
    </cfRule>
  </conditionalFormatting>
  <conditionalFormatting sqref="B108">
    <cfRule type="cellIs" priority="8" operator="greaterThan" dxfId="0">
      <formula>0</formula>
    </cfRule>
  </conditionalFormatting>
  <conditionalFormatting sqref="C108">
    <cfRule type="cellIs" priority="9" operator="greaterThan" dxfId="0">
      <formula>0</formula>
    </cfRule>
  </conditionalFormatting>
  <dataValidations count="2">
    <dataValidation sqref="C5:C104" showDropDown="0" showInputMessage="0" showErrorMessage="0" allowBlank="1" type="list">
      <formula1>'_Lists'!$K$2:$K$13</formula1>
    </dataValidation>
    <dataValidation sqref="D5:D104" showDropDown="0" showInputMessage="0" showErrorMessage="0" allowBlank="1" type="list">
      <formula1>'_Lists'!$M$2:$M$4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18" customWidth="1" min="4" max="4"/>
    <col width="24" customWidth="1" min="5" max="5"/>
    <col width="10" customWidth="1" min="6" max="6"/>
    <col width="18" customWidth="1" min="7" max="7"/>
    <col width="20" customWidth="1" min="8" max="8"/>
    <col width="18" customWidth="1" min="9" max="9"/>
    <col width="10" customWidth="1" min="10" max="10"/>
  </cols>
  <sheetData>
    <row r="1" ht="15" customHeight="1"/>
    <row r="2" ht="32" customHeight="1">
      <c r="B2" s="13" t="inlineStr">
        <is>
          <t>REMUNERATION — 13-13eme Mois</t>
        </is>
      </c>
    </row>
    <row r="3" ht="8" customHeight="1"/>
    <row r="4" ht="28" customHeight="1">
      <c r="B4" s="14" t="inlineStr">
        <is>
          <t>N°</t>
        </is>
      </c>
      <c r="C4" s="14" t="inlineStr">
        <is>
          <t>Matricule</t>
        </is>
      </c>
      <c r="D4" s="14" t="inlineStr">
        <is>
          <t>Nom Employé</t>
        </is>
      </c>
      <c r="E4" s="14" t="inlineStr">
        <is>
          <t>Département</t>
        </is>
      </c>
      <c r="F4" s="14" t="inlineStr">
        <is>
          <t>Année</t>
        </is>
      </c>
      <c r="G4" s="14" t="inlineStr">
        <is>
          <t>Base 13ème Mois (FCFA)</t>
        </is>
      </c>
      <c r="H4" s="14" t="inlineStr">
        <is>
          <t>Prime Fin d'Année (FCFA)</t>
        </is>
      </c>
      <c r="I4" s="14" t="inlineStr">
        <is>
          <t>Total Dû (FCFA)</t>
        </is>
      </c>
      <c r="J4" s="14" t="inlineStr">
        <is>
          <t>Statut</t>
        </is>
      </c>
    </row>
    <row r="5" ht="22" customHeight="1">
      <c r="B5" s="15" t="inlineStr">
        <is>
          <t>13M-001</t>
        </is>
      </c>
      <c r="C5" s="15" t="inlineStr">
        <is>
          <t>EMP-001</t>
        </is>
      </c>
      <c r="D5" s="15" t="inlineStr">
        <is>
          <t>Nganou Clarisse</t>
        </is>
      </c>
      <c r="E5" s="15" t="inlineStr">
        <is>
          <t>Ressources Humaines</t>
        </is>
      </c>
      <c r="F5" s="15" t="inlineStr">
        <is>
          <t>2025</t>
        </is>
      </c>
      <c r="G5" s="16" t="n">
        <v>850750</v>
      </c>
      <c r="H5" s="16" t="n">
        <v>100000</v>
      </c>
      <c r="I5" s="16" t="n">
        <v>950750</v>
      </c>
      <c r="J5" s="15" t="inlineStr">
        <is>
          <t>En attente</t>
        </is>
      </c>
    </row>
    <row r="6" ht="22" customHeight="1">
      <c r="B6" s="17" t="inlineStr">
        <is>
          <t>13M-002</t>
        </is>
      </c>
      <c r="C6" s="17" t="inlineStr">
        <is>
          <t>EMP-002</t>
        </is>
      </c>
      <c r="D6" s="17" t="inlineStr">
        <is>
          <t>Tchinda Armand</t>
        </is>
      </c>
      <c r="E6" s="17" t="inlineStr">
        <is>
          <t>Finance &amp; Comptabilite</t>
        </is>
      </c>
      <c r="F6" s="17" t="inlineStr">
        <is>
          <t>2025</t>
        </is>
      </c>
      <c r="G6" s="18" t="n">
        <v>648100</v>
      </c>
      <c r="H6" s="18" t="n">
        <v>75000</v>
      </c>
      <c r="I6" s="18" t="n">
        <v>723100</v>
      </c>
      <c r="J6" s="17" t="inlineStr">
        <is>
          <t>En attente</t>
        </is>
      </c>
    </row>
    <row r="7" ht="22" customHeight="1">
      <c r="B7" s="15" t="inlineStr">
        <is>
          <t>13M-003</t>
        </is>
      </c>
      <c r="C7" s="15" t="inlineStr">
        <is>
          <t>EMP-005</t>
        </is>
      </c>
      <c r="D7" s="15" t="inlineStr">
        <is>
          <t>Diallo Moussa</t>
        </is>
      </c>
      <c r="E7" s="15" t="inlineStr">
        <is>
          <t>Cuisine &amp; Restauration</t>
        </is>
      </c>
      <c r="F7" s="15" t="inlineStr">
        <is>
          <t>2025</t>
        </is>
      </c>
      <c r="G7" s="16" t="n">
        <v>253000</v>
      </c>
      <c r="H7" s="16" t="n">
        <v>50000</v>
      </c>
      <c r="I7" s="16" t="n">
        <v>303000</v>
      </c>
      <c r="J7" s="15" t="inlineStr">
        <is>
          <t>En attente</t>
        </is>
      </c>
    </row>
    <row r="8" ht="22" customHeight="1">
      <c r="B8" s="19">
        <f>IF(C8="","13M"&amp;TEXT(COUNTA($C$5:C8),"000"))</f>
        <v/>
      </c>
      <c r="C8" s="19" t="n"/>
      <c r="D8" s="19">
        <f>IF(C8="","",VLOOKUP(C8,'_Données Employés'!$B$5:$S$114,3,FALSE))</f>
        <v/>
      </c>
      <c r="E8" s="19">
        <f>IF(C8="","",VLOOKUP(C8,'_Données Employés'!$B$5:$S$114,10,FALSE))</f>
        <v/>
      </c>
      <c r="F8" s="19" t="n"/>
      <c r="G8" s="19" t="n"/>
      <c r="H8" s="19" t="n"/>
      <c r="I8" s="20">
        <f>IF(F8="","",IFERROR(F8+G8,0))</f>
        <v/>
      </c>
      <c r="J8" s="19" t="n"/>
    </row>
    <row r="9" ht="22" customHeight="1">
      <c r="B9" s="21">
        <f>IF(C9="","13M"&amp;TEXT(COUNTA($C$5:C9),"000"))</f>
        <v/>
      </c>
      <c r="C9" s="21" t="n"/>
      <c r="D9" s="21">
        <f>IF(C9="","",VLOOKUP(C9,'_Données Employés'!$B$5:$S$114,3,FALSE))</f>
        <v/>
      </c>
      <c r="E9" s="21">
        <f>IF(C9="","",VLOOKUP(C9,'_Données Employés'!$B$5:$S$114,10,FALSE))</f>
        <v/>
      </c>
      <c r="F9" s="21" t="n"/>
      <c r="G9" s="21" t="n"/>
      <c r="H9" s="21" t="n"/>
      <c r="I9" s="16">
        <f>IF(F9="","",IFERROR(F9+G9,0))</f>
        <v/>
      </c>
      <c r="J9" s="21" t="n"/>
    </row>
    <row r="10" ht="22" customHeight="1">
      <c r="B10" s="22">
        <f>IF(C10="","13M"&amp;TEXT(COUNTA($C$5:C10),"000"))</f>
        <v/>
      </c>
      <c r="C10" s="22" t="n"/>
      <c r="D10" s="22">
        <f>IF(C10="","",VLOOKUP(C10,'_Données Employés'!$B$5:$S$114,3,FALSE))</f>
        <v/>
      </c>
      <c r="E10" s="22">
        <f>IF(C10="","",VLOOKUP(C10,'_Données Employés'!$B$5:$S$114,10,FALSE))</f>
        <v/>
      </c>
      <c r="F10" s="22" t="n"/>
      <c r="G10" s="22" t="n"/>
      <c r="H10" s="22" t="n"/>
      <c r="I10" s="18">
        <f>IF(F10="","",IFERROR(F10+G10,0))</f>
        <v/>
      </c>
      <c r="J10" s="22" t="n"/>
    </row>
    <row r="11" ht="22" customHeight="1">
      <c r="B11" s="21">
        <f>IF(C11="","13M"&amp;TEXT(COUNTA($C$5:C11),"000"))</f>
        <v/>
      </c>
      <c r="C11" s="21" t="n"/>
      <c r="D11" s="21">
        <f>IF(C11="","",VLOOKUP(C11,'_Données Employés'!$B$5:$S$114,3,FALSE))</f>
        <v/>
      </c>
      <c r="E11" s="21">
        <f>IF(C11="","",VLOOKUP(C11,'_Données Employés'!$B$5:$S$114,10,FALSE))</f>
        <v/>
      </c>
      <c r="F11" s="21" t="n"/>
      <c r="G11" s="21" t="n"/>
      <c r="H11" s="21" t="n"/>
      <c r="I11" s="16">
        <f>IF(F11="","",IFERROR(F11+G11,0))</f>
        <v/>
      </c>
      <c r="J11" s="21" t="n"/>
    </row>
    <row r="12" ht="22" customHeight="1">
      <c r="B12" s="22">
        <f>IF(C12="","13M"&amp;TEXT(COUNTA($C$5:C12),"000"))</f>
        <v/>
      </c>
      <c r="C12" s="22" t="n"/>
      <c r="D12" s="22">
        <f>IF(C12="","",VLOOKUP(C12,'_Données Employés'!$B$5:$S$114,3,FALSE))</f>
        <v/>
      </c>
      <c r="E12" s="22">
        <f>IF(C12="","",VLOOKUP(C12,'_Données Employés'!$B$5:$S$114,10,FALSE))</f>
        <v/>
      </c>
      <c r="F12" s="22" t="n"/>
      <c r="G12" s="22" t="n"/>
      <c r="H12" s="22" t="n"/>
      <c r="I12" s="18">
        <f>IF(F12="","",IFERROR(F12+G12,0))</f>
        <v/>
      </c>
      <c r="J12" s="22" t="n"/>
    </row>
    <row r="13" ht="22" customHeight="1">
      <c r="B13" s="21">
        <f>IF(C13="","13M"&amp;TEXT(COUNTA($C$5:C13),"000"))</f>
        <v/>
      </c>
      <c r="C13" s="21" t="n"/>
      <c r="D13" s="21">
        <f>IF(C13="","",VLOOKUP(C13,'_Données Employés'!$B$5:$S$114,3,FALSE))</f>
        <v/>
      </c>
      <c r="E13" s="21">
        <f>IF(C13="","",VLOOKUP(C13,'_Données Employés'!$B$5:$S$114,10,FALSE))</f>
        <v/>
      </c>
      <c r="F13" s="21" t="n"/>
      <c r="G13" s="21" t="n"/>
      <c r="H13" s="21" t="n"/>
      <c r="I13" s="16">
        <f>IF(F13="","",IFERROR(F13+G13,0))</f>
        <v/>
      </c>
      <c r="J13" s="21" t="n"/>
    </row>
    <row r="14" ht="22" customHeight="1">
      <c r="B14" s="22">
        <f>IF(C14="","13M"&amp;TEXT(COUNTA($C$5:C14),"000"))</f>
        <v/>
      </c>
      <c r="C14" s="22" t="n"/>
      <c r="D14" s="22">
        <f>IF(C14="","",VLOOKUP(C14,'_Données Employés'!$B$5:$S$114,3,FALSE))</f>
        <v/>
      </c>
      <c r="E14" s="22">
        <f>IF(C14="","",VLOOKUP(C14,'_Données Employés'!$B$5:$S$114,10,FALSE))</f>
        <v/>
      </c>
      <c r="F14" s="22" t="n"/>
      <c r="G14" s="22" t="n"/>
      <c r="H14" s="22" t="n"/>
      <c r="I14" s="18">
        <f>IF(F14="","",IFERROR(F14+G14,0))</f>
        <v/>
      </c>
      <c r="J14" s="22" t="n"/>
    </row>
    <row r="15" ht="22" customHeight="1">
      <c r="B15" s="21">
        <f>IF(C15="","13M"&amp;TEXT(COUNTA($C$5:C15),"000"))</f>
        <v/>
      </c>
      <c r="C15" s="21" t="n"/>
      <c r="D15" s="21">
        <f>IF(C15="","",VLOOKUP(C15,'_Données Employés'!$B$5:$S$114,3,FALSE))</f>
        <v/>
      </c>
      <c r="E15" s="21">
        <f>IF(C15="","",VLOOKUP(C15,'_Données Employés'!$B$5:$S$114,10,FALSE))</f>
        <v/>
      </c>
      <c r="F15" s="21" t="n"/>
      <c r="G15" s="21" t="n"/>
      <c r="H15" s="21" t="n"/>
      <c r="I15" s="16">
        <f>IF(F15="","",IFERROR(F15+G15,0))</f>
        <v/>
      </c>
      <c r="J15" s="21" t="n"/>
    </row>
    <row r="16" ht="22" customHeight="1">
      <c r="B16" s="22">
        <f>IF(C16="","13M"&amp;TEXT(COUNTA($C$5:C16),"000"))</f>
        <v/>
      </c>
      <c r="C16" s="22" t="n"/>
      <c r="D16" s="22">
        <f>IF(C16="","",VLOOKUP(C16,'_Données Employés'!$B$5:$S$114,3,FALSE))</f>
        <v/>
      </c>
      <c r="E16" s="22">
        <f>IF(C16="","",VLOOKUP(C16,'_Données Employés'!$B$5:$S$114,10,FALSE))</f>
        <v/>
      </c>
      <c r="F16" s="22" t="n"/>
      <c r="G16" s="22" t="n"/>
      <c r="H16" s="22" t="n"/>
      <c r="I16" s="18">
        <f>IF(F16="","",IFERROR(F16+G16,0))</f>
        <v/>
      </c>
      <c r="J16" s="22" t="n"/>
    </row>
    <row r="17" ht="22" customHeight="1">
      <c r="B17" s="21">
        <f>IF(C17="","13M"&amp;TEXT(COUNTA($C$5:C17),"000"))</f>
        <v/>
      </c>
      <c r="C17" s="21" t="n"/>
      <c r="D17" s="21">
        <f>IF(C17="","",VLOOKUP(C17,'_Données Employés'!$B$5:$S$114,3,FALSE))</f>
        <v/>
      </c>
      <c r="E17" s="21">
        <f>IF(C17="","",VLOOKUP(C17,'_Données Employés'!$B$5:$S$114,10,FALSE))</f>
        <v/>
      </c>
      <c r="F17" s="21" t="n"/>
      <c r="G17" s="21" t="n"/>
      <c r="H17" s="21" t="n"/>
      <c r="I17" s="16">
        <f>IF(F17="","",IFERROR(F17+G17,0))</f>
        <v/>
      </c>
      <c r="J17" s="21" t="n"/>
    </row>
    <row r="18" ht="22" customHeight="1">
      <c r="B18" s="22">
        <f>IF(C18="","13M"&amp;TEXT(COUNTA($C$5:C18),"000"))</f>
        <v/>
      </c>
      <c r="C18" s="22" t="n"/>
      <c r="D18" s="22">
        <f>IF(C18="","",VLOOKUP(C18,'_Données Employés'!$B$5:$S$114,3,FALSE))</f>
        <v/>
      </c>
      <c r="E18" s="22">
        <f>IF(C18="","",VLOOKUP(C18,'_Données Employés'!$B$5:$S$114,10,FALSE))</f>
        <v/>
      </c>
      <c r="F18" s="22" t="n"/>
      <c r="G18" s="22" t="n"/>
      <c r="H18" s="22" t="n"/>
      <c r="I18" s="18">
        <f>IF(F18="","",IFERROR(F18+G18,0))</f>
        <v/>
      </c>
      <c r="J18" s="22" t="n"/>
    </row>
    <row r="19" ht="22" customHeight="1">
      <c r="B19" s="21">
        <f>IF(C19="","13M"&amp;TEXT(COUNTA($C$5:C19),"000"))</f>
        <v/>
      </c>
      <c r="C19" s="21" t="n"/>
      <c r="D19" s="21">
        <f>IF(C19="","",VLOOKUP(C19,'_Données Employés'!$B$5:$S$114,3,FALSE))</f>
        <v/>
      </c>
      <c r="E19" s="21">
        <f>IF(C19="","",VLOOKUP(C19,'_Données Employés'!$B$5:$S$114,10,FALSE))</f>
        <v/>
      </c>
      <c r="F19" s="21" t="n"/>
      <c r="G19" s="21" t="n"/>
      <c r="H19" s="21" t="n"/>
      <c r="I19" s="16">
        <f>IF(F19="","",IFERROR(F19+G19,0))</f>
        <v/>
      </c>
      <c r="J19" s="21" t="n"/>
    </row>
    <row r="20" ht="22" customHeight="1">
      <c r="B20" s="22">
        <f>IF(C20="","13M"&amp;TEXT(COUNTA($C$5:C20),"000"))</f>
        <v/>
      </c>
      <c r="C20" s="22" t="n"/>
      <c r="D20" s="22">
        <f>IF(C20="","",VLOOKUP(C20,'_Données Employés'!$B$5:$S$114,3,FALSE))</f>
        <v/>
      </c>
      <c r="E20" s="22">
        <f>IF(C20="","",VLOOKUP(C20,'_Données Employés'!$B$5:$S$114,10,FALSE))</f>
        <v/>
      </c>
      <c r="F20" s="22" t="n"/>
      <c r="G20" s="22" t="n"/>
      <c r="H20" s="22" t="n"/>
      <c r="I20" s="18">
        <f>IF(F20="","",IFERROR(F20+G20,0))</f>
        <v/>
      </c>
      <c r="J20" s="22" t="n"/>
    </row>
    <row r="21" ht="22" customHeight="1">
      <c r="B21" s="21">
        <f>IF(C21="","13M"&amp;TEXT(COUNTA($C$5:C21),"000"))</f>
        <v/>
      </c>
      <c r="C21" s="21" t="n"/>
      <c r="D21" s="21">
        <f>IF(C21="","",VLOOKUP(C21,'_Données Employés'!$B$5:$S$114,3,FALSE))</f>
        <v/>
      </c>
      <c r="E21" s="21">
        <f>IF(C21="","",VLOOKUP(C21,'_Données Employés'!$B$5:$S$114,10,FALSE))</f>
        <v/>
      </c>
      <c r="F21" s="21" t="n"/>
      <c r="G21" s="21" t="n"/>
      <c r="H21" s="21" t="n"/>
      <c r="I21" s="16">
        <f>IF(F21="","",IFERROR(F21+G21,0))</f>
        <v/>
      </c>
      <c r="J21" s="21" t="n"/>
    </row>
    <row r="22" ht="22" customHeight="1">
      <c r="B22" s="22">
        <f>IF(C22="","13M"&amp;TEXT(COUNTA($C$5:C22),"000"))</f>
        <v/>
      </c>
      <c r="C22" s="22" t="n"/>
      <c r="D22" s="22">
        <f>IF(C22="","",VLOOKUP(C22,'_Données Employés'!$B$5:$S$114,3,FALSE))</f>
        <v/>
      </c>
      <c r="E22" s="22">
        <f>IF(C22="","",VLOOKUP(C22,'_Données Employés'!$B$5:$S$114,10,FALSE))</f>
        <v/>
      </c>
      <c r="F22" s="22" t="n"/>
      <c r="G22" s="22" t="n"/>
      <c r="H22" s="22" t="n"/>
      <c r="I22" s="18">
        <f>IF(F22="","",IFERROR(F22+G22,0))</f>
        <v/>
      </c>
      <c r="J22" s="22" t="n"/>
    </row>
    <row r="23" ht="22" customHeight="1">
      <c r="B23" s="21">
        <f>IF(C23="","13M"&amp;TEXT(COUNTA($C$5:C23),"000"))</f>
        <v/>
      </c>
      <c r="C23" s="21" t="n"/>
      <c r="D23" s="21">
        <f>IF(C23="","",VLOOKUP(C23,'_Données Employés'!$B$5:$S$114,3,FALSE))</f>
        <v/>
      </c>
      <c r="E23" s="21">
        <f>IF(C23="","",VLOOKUP(C23,'_Données Employés'!$B$5:$S$114,10,FALSE))</f>
        <v/>
      </c>
      <c r="F23" s="21" t="n"/>
      <c r="G23" s="21" t="n"/>
      <c r="H23" s="21" t="n"/>
      <c r="I23" s="16">
        <f>IF(F23="","",IFERROR(F23+G23,0))</f>
        <v/>
      </c>
      <c r="J23" s="21" t="n"/>
    </row>
    <row r="24" ht="22" customHeight="1">
      <c r="B24" s="22">
        <f>IF(C24="","13M"&amp;TEXT(COUNTA($C$5:C24),"000"))</f>
        <v/>
      </c>
      <c r="C24" s="22" t="n"/>
      <c r="D24" s="22">
        <f>IF(C24="","",VLOOKUP(C24,'_Données Employés'!$B$5:$S$114,3,FALSE))</f>
        <v/>
      </c>
      <c r="E24" s="22">
        <f>IF(C24="","",VLOOKUP(C24,'_Données Employés'!$B$5:$S$114,10,FALSE))</f>
        <v/>
      </c>
      <c r="F24" s="22" t="n"/>
      <c r="G24" s="22" t="n"/>
      <c r="H24" s="22" t="n"/>
      <c r="I24" s="18">
        <f>IF(F24="","",IFERROR(F24+G24,0))</f>
        <v/>
      </c>
      <c r="J24" s="22" t="n"/>
    </row>
    <row r="25" ht="22" customHeight="1">
      <c r="B25" s="21">
        <f>IF(C25="","13M"&amp;TEXT(COUNTA($C$5:C25),"000"))</f>
        <v/>
      </c>
      <c r="C25" s="21" t="n"/>
      <c r="D25" s="21">
        <f>IF(C25="","",VLOOKUP(C25,'_Données Employés'!$B$5:$S$114,3,FALSE))</f>
        <v/>
      </c>
      <c r="E25" s="21">
        <f>IF(C25="","",VLOOKUP(C25,'_Données Employés'!$B$5:$S$114,10,FALSE))</f>
        <v/>
      </c>
      <c r="F25" s="21" t="n"/>
      <c r="G25" s="21" t="n"/>
      <c r="H25" s="21" t="n"/>
      <c r="I25" s="16">
        <f>IF(F25="","",IFERROR(F25+G25,0))</f>
        <v/>
      </c>
      <c r="J25" s="21" t="n"/>
    </row>
    <row r="26" ht="22" customHeight="1">
      <c r="B26" s="22">
        <f>IF(C26="","13M"&amp;TEXT(COUNTA($C$5:C26),"000"))</f>
        <v/>
      </c>
      <c r="C26" s="22" t="n"/>
      <c r="D26" s="22">
        <f>IF(C26="","",VLOOKUP(C26,'_Données Employés'!$B$5:$S$114,3,FALSE))</f>
        <v/>
      </c>
      <c r="E26" s="22">
        <f>IF(C26="","",VLOOKUP(C26,'_Données Employés'!$B$5:$S$114,10,FALSE))</f>
        <v/>
      </c>
      <c r="F26" s="22" t="n"/>
      <c r="G26" s="22" t="n"/>
      <c r="H26" s="22" t="n"/>
      <c r="I26" s="18">
        <f>IF(F26="","",IFERROR(F26+G26,0))</f>
        <v/>
      </c>
      <c r="J26" s="22" t="n"/>
    </row>
    <row r="27" ht="22" customHeight="1">
      <c r="B27" s="21">
        <f>IF(C27="","13M"&amp;TEXT(COUNTA($C$5:C27),"000"))</f>
        <v/>
      </c>
      <c r="C27" s="21" t="n"/>
      <c r="D27" s="21">
        <f>IF(C27="","",VLOOKUP(C27,'_Données Employés'!$B$5:$S$114,3,FALSE))</f>
        <v/>
      </c>
      <c r="E27" s="21">
        <f>IF(C27="","",VLOOKUP(C27,'_Données Employés'!$B$5:$S$114,10,FALSE))</f>
        <v/>
      </c>
      <c r="F27" s="21" t="n"/>
      <c r="G27" s="21" t="n"/>
      <c r="H27" s="21" t="n"/>
      <c r="I27" s="16">
        <f>IF(F27="","",IFERROR(F27+G27,0))</f>
        <v/>
      </c>
      <c r="J27" s="21" t="n"/>
    </row>
    <row r="28" ht="22" customHeight="1">
      <c r="B28" s="22">
        <f>IF(C28="","13M"&amp;TEXT(COUNTA($C$5:C28),"000"))</f>
        <v/>
      </c>
      <c r="C28" s="22" t="n"/>
      <c r="D28" s="22">
        <f>IF(C28="","",VLOOKUP(C28,'_Données Employés'!$B$5:$S$114,3,FALSE))</f>
        <v/>
      </c>
      <c r="E28" s="22">
        <f>IF(C28="","",VLOOKUP(C28,'_Données Employés'!$B$5:$S$114,10,FALSE))</f>
        <v/>
      </c>
      <c r="F28" s="22" t="n"/>
      <c r="G28" s="22" t="n"/>
      <c r="H28" s="22" t="n"/>
      <c r="I28" s="18">
        <f>IF(F28="","",IFERROR(F28+G28,0))</f>
        <v/>
      </c>
      <c r="J28" s="22" t="n"/>
    </row>
    <row r="29" ht="22" customHeight="1">
      <c r="B29" s="21">
        <f>IF(C29="","13M"&amp;TEXT(COUNTA($C$5:C29),"000"))</f>
        <v/>
      </c>
      <c r="C29" s="21" t="n"/>
      <c r="D29" s="21">
        <f>IF(C29="","",VLOOKUP(C29,'_Données Employés'!$B$5:$S$114,3,FALSE))</f>
        <v/>
      </c>
      <c r="E29" s="21">
        <f>IF(C29="","",VLOOKUP(C29,'_Données Employés'!$B$5:$S$114,10,FALSE))</f>
        <v/>
      </c>
      <c r="F29" s="21" t="n"/>
      <c r="G29" s="21" t="n"/>
      <c r="H29" s="21" t="n"/>
      <c r="I29" s="16">
        <f>IF(F29="","",IFERROR(F29+G29,0))</f>
        <v/>
      </c>
      <c r="J29" s="21" t="n"/>
    </row>
    <row r="30" ht="22" customHeight="1">
      <c r="B30" s="22">
        <f>IF(C30="","13M"&amp;TEXT(COUNTA($C$5:C30),"000"))</f>
        <v/>
      </c>
      <c r="C30" s="22" t="n"/>
      <c r="D30" s="22">
        <f>IF(C30="","",VLOOKUP(C30,'_Données Employés'!$B$5:$S$114,3,FALSE))</f>
        <v/>
      </c>
      <c r="E30" s="22">
        <f>IF(C30="","",VLOOKUP(C30,'_Données Employés'!$B$5:$S$114,10,FALSE))</f>
        <v/>
      </c>
      <c r="F30" s="22" t="n"/>
      <c r="G30" s="22" t="n"/>
      <c r="H30" s="22" t="n"/>
      <c r="I30" s="18">
        <f>IF(F30="","",IFERROR(F30+G30,0))</f>
        <v/>
      </c>
      <c r="J30" s="22" t="n"/>
    </row>
    <row r="31" ht="22" customHeight="1">
      <c r="B31" s="21">
        <f>IF(C31="","13M"&amp;TEXT(COUNTA($C$5:C31),"000"))</f>
        <v/>
      </c>
      <c r="C31" s="21" t="n"/>
      <c r="D31" s="21">
        <f>IF(C31="","",VLOOKUP(C31,'_Données Employés'!$B$5:$S$114,3,FALSE))</f>
        <v/>
      </c>
      <c r="E31" s="21">
        <f>IF(C31="","",VLOOKUP(C31,'_Données Employés'!$B$5:$S$114,10,FALSE))</f>
        <v/>
      </c>
      <c r="F31" s="21" t="n"/>
      <c r="G31" s="21" t="n"/>
      <c r="H31" s="21" t="n"/>
      <c r="I31" s="16">
        <f>IF(F31="","",IFERROR(F31+G31,0))</f>
        <v/>
      </c>
      <c r="J31" s="21" t="n"/>
    </row>
    <row r="32" ht="22" customHeight="1">
      <c r="B32" s="22">
        <f>IF(C32="","13M"&amp;TEXT(COUNTA($C$5:C32),"000"))</f>
        <v/>
      </c>
      <c r="C32" s="22" t="n"/>
      <c r="D32" s="22">
        <f>IF(C32="","",VLOOKUP(C32,'_Données Employés'!$B$5:$S$114,3,FALSE))</f>
        <v/>
      </c>
      <c r="E32" s="22">
        <f>IF(C32="","",VLOOKUP(C32,'_Données Employés'!$B$5:$S$114,10,FALSE))</f>
        <v/>
      </c>
      <c r="F32" s="22" t="n"/>
      <c r="G32" s="22" t="n"/>
      <c r="H32" s="22" t="n"/>
      <c r="I32" s="18">
        <f>IF(F32="","",IFERROR(F32+G32,0))</f>
        <v/>
      </c>
      <c r="J32" s="22" t="n"/>
    </row>
    <row r="33" ht="22" customHeight="1">
      <c r="B33" s="21">
        <f>IF(C33="","13M"&amp;TEXT(COUNTA($C$5:C33),"000"))</f>
        <v/>
      </c>
      <c r="C33" s="21" t="n"/>
      <c r="D33" s="21">
        <f>IF(C33="","",VLOOKUP(C33,'_Données Employés'!$B$5:$S$114,3,FALSE))</f>
        <v/>
      </c>
      <c r="E33" s="21">
        <f>IF(C33="","",VLOOKUP(C33,'_Données Employés'!$B$5:$S$114,10,FALSE))</f>
        <v/>
      </c>
      <c r="F33" s="21" t="n"/>
      <c r="G33" s="21" t="n"/>
      <c r="H33" s="21" t="n"/>
      <c r="I33" s="16">
        <f>IF(F33="","",IFERROR(F33+G33,0))</f>
        <v/>
      </c>
      <c r="J33" s="21" t="n"/>
    </row>
    <row r="34" ht="22" customHeight="1">
      <c r="B34" s="22">
        <f>IF(C34="","13M"&amp;TEXT(COUNTA($C$5:C34),"000"))</f>
        <v/>
      </c>
      <c r="C34" s="22" t="n"/>
      <c r="D34" s="22">
        <f>IF(C34="","",VLOOKUP(C34,'_Données Employés'!$B$5:$S$114,3,FALSE))</f>
        <v/>
      </c>
      <c r="E34" s="22">
        <f>IF(C34="","",VLOOKUP(C34,'_Données Employés'!$B$5:$S$114,10,FALSE))</f>
        <v/>
      </c>
      <c r="F34" s="22" t="n"/>
      <c r="G34" s="22" t="n"/>
      <c r="H34" s="22" t="n"/>
      <c r="I34" s="18">
        <f>IF(F34="","",IFERROR(F34+G34,0))</f>
        <v/>
      </c>
      <c r="J34" s="22" t="n"/>
    </row>
    <row r="35" ht="22" customHeight="1">
      <c r="B35" s="21">
        <f>IF(C35="","13M"&amp;TEXT(COUNTA($C$5:C35),"000"))</f>
        <v/>
      </c>
      <c r="C35" s="21" t="n"/>
      <c r="D35" s="21">
        <f>IF(C35="","",VLOOKUP(C35,'_Données Employés'!$B$5:$S$114,3,FALSE))</f>
        <v/>
      </c>
      <c r="E35" s="21">
        <f>IF(C35="","",VLOOKUP(C35,'_Données Employés'!$B$5:$S$114,10,FALSE))</f>
        <v/>
      </c>
      <c r="F35" s="21" t="n"/>
      <c r="G35" s="21" t="n"/>
      <c r="H35" s="21" t="n"/>
      <c r="I35" s="16">
        <f>IF(F35="","",IFERROR(F35+G35,0))</f>
        <v/>
      </c>
      <c r="J35" s="21" t="n"/>
    </row>
    <row r="36" ht="22" customHeight="1">
      <c r="B36" s="22">
        <f>IF(C36="","13M"&amp;TEXT(COUNTA($C$5:C36),"000"))</f>
        <v/>
      </c>
      <c r="C36" s="22" t="n"/>
      <c r="D36" s="22">
        <f>IF(C36="","",VLOOKUP(C36,'_Données Employés'!$B$5:$S$114,3,FALSE))</f>
        <v/>
      </c>
      <c r="E36" s="22">
        <f>IF(C36="","",VLOOKUP(C36,'_Données Employés'!$B$5:$S$114,10,FALSE))</f>
        <v/>
      </c>
      <c r="F36" s="22" t="n"/>
      <c r="G36" s="22" t="n"/>
      <c r="H36" s="22" t="n"/>
      <c r="I36" s="18">
        <f>IF(F36="","",IFERROR(F36+G36,0))</f>
        <v/>
      </c>
      <c r="J36" s="22" t="n"/>
    </row>
    <row r="37" ht="22" customHeight="1">
      <c r="B37" s="21">
        <f>IF(C37="","13M"&amp;TEXT(COUNTA($C$5:C37),"000"))</f>
        <v/>
      </c>
      <c r="C37" s="21" t="n"/>
      <c r="D37" s="21">
        <f>IF(C37="","",VLOOKUP(C37,'_Données Employés'!$B$5:$S$114,3,FALSE))</f>
        <v/>
      </c>
      <c r="E37" s="21">
        <f>IF(C37="","",VLOOKUP(C37,'_Données Employés'!$B$5:$S$114,10,FALSE))</f>
        <v/>
      </c>
      <c r="F37" s="21" t="n"/>
      <c r="G37" s="21" t="n"/>
      <c r="H37" s="21" t="n"/>
      <c r="I37" s="16">
        <f>IF(F37="","",IFERROR(F37+G37,0))</f>
        <v/>
      </c>
      <c r="J37" s="21" t="n"/>
    </row>
    <row r="38" ht="22" customHeight="1">
      <c r="B38" s="22">
        <f>IF(C38="","13M"&amp;TEXT(COUNTA($C$5:C38),"000"))</f>
        <v/>
      </c>
      <c r="C38" s="22" t="n"/>
      <c r="D38" s="22">
        <f>IF(C38="","",VLOOKUP(C38,'_Données Employés'!$B$5:$S$114,3,FALSE))</f>
        <v/>
      </c>
      <c r="E38" s="22">
        <f>IF(C38="","",VLOOKUP(C38,'_Données Employés'!$B$5:$S$114,10,FALSE))</f>
        <v/>
      </c>
      <c r="F38" s="22" t="n"/>
      <c r="G38" s="22" t="n"/>
      <c r="H38" s="22" t="n"/>
      <c r="I38" s="18">
        <f>IF(F38="","",IFERROR(F38+G38,0))</f>
        <v/>
      </c>
      <c r="J38" s="22" t="n"/>
    </row>
    <row r="39" ht="22" customHeight="1">
      <c r="B39" s="21">
        <f>IF(C39="","13M"&amp;TEXT(COUNTA($C$5:C39),"000"))</f>
        <v/>
      </c>
      <c r="C39" s="21" t="n"/>
      <c r="D39" s="21">
        <f>IF(C39="","",VLOOKUP(C39,'_Données Employés'!$B$5:$S$114,3,FALSE))</f>
        <v/>
      </c>
      <c r="E39" s="21">
        <f>IF(C39="","",VLOOKUP(C39,'_Données Employés'!$B$5:$S$114,10,FALSE))</f>
        <v/>
      </c>
      <c r="F39" s="21" t="n"/>
      <c r="G39" s="21" t="n"/>
      <c r="H39" s="21" t="n"/>
      <c r="I39" s="16">
        <f>IF(F39="","",IFERROR(F39+G39,0))</f>
        <v/>
      </c>
      <c r="J39" s="21" t="n"/>
    </row>
    <row r="40" ht="22" customHeight="1">
      <c r="B40" s="22">
        <f>IF(C40="","13M"&amp;TEXT(COUNTA($C$5:C40),"000"))</f>
        <v/>
      </c>
      <c r="C40" s="22" t="n"/>
      <c r="D40" s="22">
        <f>IF(C40="","",VLOOKUP(C40,'_Données Employés'!$B$5:$S$114,3,FALSE))</f>
        <v/>
      </c>
      <c r="E40" s="22">
        <f>IF(C40="","",VLOOKUP(C40,'_Données Employés'!$B$5:$S$114,10,FALSE))</f>
        <v/>
      </c>
      <c r="F40" s="22" t="n"/>
      <c r="G40" s="22" t="n"/>
      <c r="H40" s="22" t="n"/>
      <c r="I40" s="18">
        <f>IF(F40="","",IFERROR(F40+G40,0))</f>
        <v/>
      </c>
      <c r="J40" s="22" t="n"/>
    </row>
    <row r="41" ht="22" customHeight="1">
      <c r="B41" s="21">
        <f>IF(C41="","13M"&amp;TEXT(COUNTA($C$5:C41),"000"))</f>
        <v/>
      </c>
      <c r="C41" s="21" t="n"/>
      <c r="D41" s="21">
        <f>IF(C41="","",VLOOKUP(C41,'_Données Employés'!$B$5:$S$114,3,FALSE))</f>
        <v/>
      </c>
      <c r="E41" s="21">
        <f>IF(C41="","",VLOOKUP(C41,'_Données Employés'!$B$5:$S$114,10,FALSE))</f>
        <v/>
      </c>
      <c r="F41" s="21" t="n"/>
      <c r="G41" s="21" t="n"/>
      <c r="H41" s="21" t="n"/>
      <c r="I41" s="16">
        <f>IF(F41="","",IFERROR(F41+G41,0))</f>
        <v/>
      </c>
      <c r="J41" s="21" t="n"/>
    </row>
    <row r="42" ht="22" customHeight="1">
      <c r="B42" s="22">
        <f>IF(C42="","13M"&amp;TEXT(COUNTA($C$5:C42),"000"))</f>
        <v/>
      </c>
      <c r="C42" s="22" t="n"/>
      <c r="D42" s="22">
        <f>IF(C42="","",VLOOKUP(C42,'_Données Employés'!$B$5:$S$114,3,FALSE))</f>
        <v/>
      </c>
      <c r="E42" s="22">
        <f>IF(C42="","",VLOOKUP(C42,'_Données Employés'!$B$5:$S$114,10,FALSE))</f>
        <v/>
      </c>
      <c r="F42" s="22" t="n"/>
      <c r="G42" s="22" t="n"/>
      <c r="H42" s="22" t="n"/>
      <c r="I42" s="18">
        <f>IF(F42="","",IFERROR(F42+G42,0))</f>
        <v/>
      </c>
      <c r="J42" s="22" t="n"/>
    </row>
    <row r="43" ht="22" customHeight="1">
      <c r="B43" s="21">
        <f>IF(C43="","13M"&amp;TEXT(COUNTA($C$5:C43),"000"))</f>
        <v/>
      </c>
      <c r="C43" s="21" t="n"/>
      <c r="D43" s="21">
        <f>IF(C43="","",VLOOKUP(C43,'_Données Employés'!$B$5:$S$114,3,FALSE))</f>
        <v/>
      </c>
      <c r="E43" s="21">
        <f>IF(C43="","",VLOOKUP(C43,'_Données Employés'!$B$5:$S$114,10,FALSE))</f>
        <v/>
      </c>
      <c r="F43" s="21" t="n"/>
      <c r="G43" s="21" t="n"/>
      <c r="H43" s="21" t="n"/>
      <c r="I43" s="16">
        <f>IF(F43="","",IFERROR(F43+G43,0))</f>
        <v/>
      </c>
      <c r="J43" s="21" t="n"/>
    </row>
    <row r="44" ht="22" customHeight="1">
      <c r="B44" s="22">
        <f>IF(C44="","13M"&amp;TEXT(COUNTA($C$5:C44),"000"))</f>
        <v/>
      </c>
      <c r="C44" s="22" t="n"/>
      <c r="D44" s="22">
        <f>IF(C44="","",VLOOKUP(C44,'_Données Employés'!$B$5:$S$114,3,FALSE))</f>
        <v/>
      </c>
      <c r="E44" s="22">
        <f>IF(C44="","",VLOOKUP(C44,'_Données Employés'!$B$5:$S$114,10,FALSE))</f>
        <v/>
      </c>
      <c r="F44" s="22" t="n"/>
      <c r="G44" s="22" t="n"/>
      <c r="H44" s="22" t="n"/>
      <c r="I44" s="18">
        <f>IF(F44="","",IFERROR(F44+G44,0))</f>
        <v/>
      </c>
      <c r="J44" s="22" t="n"/>
    </row>
    <row r="45" ht="22" customHeight="1">
      <c r="B45" s="21">
        <f>IF(C45="","13M"&amp;TEXT(COUNTA($C$5:C45),"000"))</f>
        <v/>
      </c>
      <c r="C45" s="21" t="n"/>
      <c r="D45" s="21">
        <f>IF(C45="","",VLOOKUP(C45,'_Données Employés'!$B$5:$S$114,3,FALSE))</f>
        <v/>
      </c>
      <c r="E45" s="21">
        <f>IF(C45="","",VLOOKUP(C45,'_Données Employés'!$B$5:$S$114,10,FALSE))</f>
        <v/>
      </c>
      <c r="F45" s="21" t="n"/>
      <c r="G45" s="21" t="n"/>
      <c r="H45" s="21" t="n"/>
      <c r="I45" s="16">
        <f>IF(F45="","",IFERROR(F45+G45,0))</f>
        <v/>
      </c>
      <c r="J45" s="21" t="n"/>
    </row>
    <row r="46" ht="22" customHeight="1">
      <c r="B46" s="22">
        <f>IF(C46="","13M"&amp;TEXT(COUNTA($C$5:C46),"000"))</f>
        <v/>
      </c>
      <c r="C46" s="22" t="n"/>
      <c r="D46" s="22">
        <f>IF(C46="","",VLOOKUP(C46,'_Données Employés'!$B$5:$S$114,3,FALSE))</f>
        <v/>
      </c>
      <c r="E46" s="22">
        <f>IF(C46="","",VLOOKUP(C46,'_Données Employés'!$B$5:$S$114,10,FALSE))</f>
        <v/>
      </c>
      <c r="F46" s="22" t="n"/>
      <c r="G46" s="22" t="n"/>
      <c r="H46" s="22" t="n"/>
      <c r="I46" s="18">
        <f>IF(F46="","",IFERROR(F46+G46,0))</f>
        <v/>
      </c>
      <c r="J46" s="22" t="n"/>
    </row>
    <row r="47" ht="22" customHeight="1">
      <c r="B47" s="21">
        <f>IF(C47="","13M"&amp;TEXT(COUNTA($C$5:C47),"000"))</f>
        <v/>
      </c>
      <c r="C47" s="21" t="n"/>
      <c r="D47" s="21">
        <f>IF(C47="","",VLOOKUP(C47,'_Données Employés'!$B$5:$S$114,3,FALSE))</f>
        <v/>
      </c>
      <c r="E47" s="21">
        <f>IF(C47="","",VLOOKUP(C47,'_Données Employés'!$B$5:$S$114,10,FALSE))</f>
        <v/>
      </c>
      <c r="F47" s="21" t="n"/>
      <c r="G47" s="21" t="n"/>
      <c r="H47" s="21" t="n"/>
      <c r="I47" s="16">
        <f>IF(F47="","",IFERROR(F47+G47,0))</f>
        <v/>
      </c>
      <c r="J47" s="21" t="n"/>
    </row>
    <row r="48" ht="22" customHeight="1">
      <c r="B48" s="22">
        <f>IF(C48="","13M"&amp;TEXT(COUNTA($C$5:C48),"000"))</f>
        <v/>
      </c>
      <c r="C48" s="22" t="n"/>
      <c r="D48" s="22">
        <f>IF(C48="","",VLOOKUP(C48,'_Données Employés'!$B$5:$S$114,3,FALSE))</f>
        <v/>
      </c>
      <c r="E48" s="22">
        <f>IF(C48="","",VLOOKUP(C48,'_Données Employés'!$B$5:$S$114,10,FALSE))</f>
        <v/>
      </c>
      <c r="F48" s="22" t="n"/>
      <c r="G48" s="22" t="n"/>
      <c r="H48" s="22" t="n"/>
      <c r="I48" s="18">
        <f>IF(F48="","",IFERROR(F48+G48,0))</f>
        <v/>
      </c>
      <c r="J48" s="22" t="n"/>
    </row>
    <row r="49" ht="22" customHeight="1">
      <c r="B49" s="21">
        <f>IF(C49="","13M"&amp;TEXT(COUNTA($C$5:C49),"000"))</f>
        <v/>
      </c>
      <c r="C49" s="21" t="n"/>
      <c r="D49" s="21">
        <f>IF(C49="","",VLOOKUP(C49,'_Données Employés'!$B$5:$S$114,3,FALSE))</f>
        <v/>
      </c>
      <c r="E49" s="21">
        <f>IF(C49="","",VLOOKUP(C49,'_Données Employés'!$B$5:$S$114,10,FALSE))</f>
        <v/>
      </c>
      <c r="F49" s="21" t="n"/>
      <c r="G49" s="21" t="n"/>
      <c r="H49" s="21" t="n"/>
      <c r="I49" s="16">
        <f>IF(F49="","",IFERROR(F49+G49,0))</f>
        <v/>
      </c>
      <c r="J49" s="21" t="n"/>
    </row>
    <row r="50" ht="22" customHeight="1">
      <c r="B50" s="22">
        <f>IF(C50="","13M"&amp;TEXT(COUNTA($C$5:C50),"000"))</f>
        <v/>
      </c>
      <c r="C50" s="22" t="n"/>
      <c r="D50" s="22">
        <f>IF(C50="","",VLOOKUP(C50,'_Données Employés'!$B$5:$S$114,3,FALSE))</f>
        <v/>
      </c>
      <c r="E50" s="22">
        <f>IF(C50="","",VLOOKUP(C50,'_Données Employés'!$B$5:$S$114,10,FALSE))</f>
        <v/>
      </c>
      <c r="F50" s="22" t="n"/>
      <c r="G50" s="22" t="n"/>
      <c r="H50" s="22" t="n"/>
      <c r="I50" s="18">
        <f>IF(F50="","",IFERROR(F50+G50,0))</f>
        <v/>
      </c>
      <c r="J50" s="22" t="n"/>
    </row>
    <row r="51" ht="22" customHeight="1">
      <c r="B51" s="21">
        <f>IF(C51="","13M"&amp;TEXT(COUNTA($C$5:C51),"000"))</f>
        <v/>
      </c>
      <c r="C51" s="21" t="n"/>
      <c r="D51" s="21">
        <f>IF(C51="","",VLOOKUP(C51,'_Données Employés'!$B$5:$S$114,3,FALSE))</f>
        <v/>
      </c>
      <c r="E51" s="21">
        <f>IF(C51="","",VLOOKUP(C51,'_Données Employés'!$B$5:$S$114,10,FALSE))</f>
        <v/>
      </c>
      <c r="F51" s="21" t="n"/>
      <c r="G51" s="21" t="n"/>
      <c r="H51" s="21" t="n"/>
      <c r="I51" s="16">
        <f>IF(F51="","",IFERROR(F51+G51,0))</f>
        <v/>
      </c>
      <c r="J51" s="21" t="n"/>
    </row>
    <row r="52" ht="22" customHeight="1">
      <c r="B52" s="22">
        <f>IF(C52="","13M"&amp;TEXT(COUNTA($C$5:C52),"000"))</f>
        <v/>
      </c>
      <c r="C52" s="22" t="n"/>
      <c r="D52" s="22">
        <f>IF(C52="","",VLOOKUP(C52,'_Données Employés'!$B$5:$S$114,3,FALSE))</f>
        <v/>
      </c>
      <c r="E52" s="22">
        <f>IF(C52="","",VLOOKUP(C52,'_Données Employés'!$B$5:$S$114,10,FALSE))</f>
        <v/>
      </c>
      <c r="F52" s="22" t="n"/>
      <c r="G52" s="22" t="n"/>
      <c r="H52" s="22" t="n"/>
      <c r="I52" s="18">
        <f>IF(F52="","",IFERROR(F52+G52,0))</f>
        <v/>
      </c>
      <c r="J52" s="22" t="n"/>
    </row>
    <row r="53" ht="22" customHeight="1">
      <c r="B53" s="21">
        <f>IF(C53="","13M"&amp;TEXT(COUNTA($C$5:C53),"000"))</f>
        <v/>
      </c>
      <c r="C53" s="21" t="n"/>
      <c r="D53" s="21">
        <f>IF(C53="","",VLOOKUP(C53,'_Données Employés'!$B$5:$S$114,3,FALSE))</f>
        <v/>
      </c>
      <c r="E53" s="21">
        <f>IF(C53="","",VLOOKUP(C53,'_Données Employés'!$B$5:$S$114,10,FALSE))</f>
        <v/>
      </c>
      <c r="F53" s="21" t="n"/>
      <c r="G53" s="21" t="n"/>
      <c r="H53" s="21" t="n"/>
      <c r="I53" s="16">
        <f>IF(F53="","",IFERROR(F53+G53,0))</f>
        <v/>
      </c>
      <c r="J53" s="21" t="n"/>
    </row>
    <row r="54" ht="22" customHeight="1">
      <c r="B54" s="22">
        <f>IF(C54="","13M"&amp;TEXT(COUNTA($C$5:C54),"000"))</f>
        <v/>
      </c>
      <c r="C54" s="22" t="n"/>
      <c r="D54" s="22">
        <f>IF(C54="","",VLOOKUP(C54,'_Données Employés'!$B$5:$S$114,3,FALSE))</f>
        <v/>
      </c>
      <c r="E54" s="22">
        <f>IF(C54="","",VLOOKUP(C54,'_Données Employés'!$B$5:$S$114,10,FALSE))</f>
        <v/>
      </c>
      <c r="F54" s="22" t="n"/>
      <c r="G54" s="22" t="n"/>
      <c r="H54" s="22" t="n"/>
      <c r="I54" s="18">
        <f>IF(F54="","",IFERROR(F54+G54,0))</f>
        <v/>
      </c>
      <c r="J54" s="22" t="n"/>
    </row>
    <row r="55" ht="22" customHeight="1">
      <c r="B55" s="21">
        <f>IF(C55="","13M"&amp;TEXT(COUNTA($C$5:C55),"000"))</f>
        <v/>
      </c>
      <c r="C55" s="21" t="n"/>
      <c r="D55" s="21">
        <f>IF(C55="","",VLOOKUP(C55,'_Données Employés'!$B$5:$S$114,3,FALSE))</f>
        <v/>
      </c>
      <c r="E55" s="21">
        <f>IF(C55="","",VLOOKUP(C55,'_Données Employés'!$B$5:$S$114,10,FALSE))</f>
        <v/>
      </c>
      <c r="F55" s="21" t="n"/>
      <c r="G55" s="21" t="n"/>
      <c r="H55" s="21" t="n"/>
      <c r="I55" s="16">
        <f>IF(F55="","",IFERROR(F55+G55,0))</f>
        <v/>
      </c>
      <c r="J55" s="21" t="n"/>
    </row>
    <row r="56" ht="22" customHeight="1">
      <c r="B56" s="22">
        <f>IF(C56="","13M"&amp;TEXT(COUNTA($C$5:C56),"000"))</f>
        <v/>
      </c>
      <c r="C56" s="22" t="n"/>
      <c r="D56" s="22">
        <f>IF(C56="","",VLOOKUP(C56,'_Données Employés'!$B$5:$S$114,3,FALSE))</f>
        <v/>
      </c>
      <c r="E56" s="22">
        <f>IF(C56="","",VLOOKUP(C56,'_Données Employés'!$B$5:$S$114,10,FALSE))</f>
        <v/>
      </c>
      <c r="F56" s="22" t="n"/>
      <c r="G56" s="22" t="n"/>
      <c r="H56" s="22" t="n"/>
      <c r="I56" s="18">
        <f>IF(F56="","",IFERROR(F56+G56,0))</f>
        <v/>
      </c>
      <c r="J56" s="22" t="n"/>
    </row>
    <row r="57" ht="22" customHeight="1">
      <c r="B57" s="21">
        <f>IF(C57="","13M"&amp;TEXT(COUNTA($C$5:C57),"000"))</f>
        <v/>
      </c>
      <c r="C57" s="21" t="n"/>
      <c r="D57" s="21">
        <f>IF(C57="","",VLOOKUP(C57,'_Données Employés'!$B$5:$S$114,3,FALSE))</f>
        <v/>
      </c>
      <c r="E57" s="21">
        <f>IF(C57="","",VLOOKUP(C57,'_Données Employés'!$B$5:$S$114,10,FALSE))</f>
        <v/>
      </c>
      <c r="F57" s="21" t="n"/>
      <c r="G57" s="21" t="n"/>
      <c r="H57" s="21" t="n"/>
      <c r="I57" s="16">
        <f>IF(F57="","",IFERROR(F57+G57,0))</f>
        <v/>
      </c>
      <c r="J57" s="21" t="n"/>
    </row>
    <row r="58" ht="22" customHeight="1">
      <c r="B58" s="22">
        <f>IF(C58="","13M"&amp;TEXT(COUNTA($C$5:C58),"000"))</f>
        <v/>
      </c>
      <c r="C58" s="22" t="n"/>
      <c r="D58" s="22">
        <f>IF(C58="","",VLOOKUP(C58,'_Données Employés'!$B$5:$S$114,3,FALSE))</f>
        <v/>
      </c>
      <c r="E58" s="22">
        <f>IF(C58="","",VLOOKUP(C58,'_Données Employés'!$B$5:$S$114,10,FALSE))</f>
        <v/>
      </c>
      <c r="F58" s="22" t="n"/>
      <c r="G58" s="22" t="n"/>
      <c r="H58" s="22" t="n"/>
      <c r="I58" s="18">
        <f>IF(F58="","",IFERROR(F58+G58,0))</f>
        <v/>
      </c>
      <c r="J58" s="22" t="n"/>
    </row>
    <row r="59" ht="22" customHeight="1">
      <c r="B59" s="21">
        <f>IF(C59="","13M"&amp;TEXT(COUNTA($C$5:C59),"000"))</f>
        <v/>
      </c>
      <c r="C59" s="21" t="n"/>
      <c r="D59" s="21">
        <f>IF(C59="","",VLOOKUP(C59,'_Données Employés'!$B$5:$S$114,3,FALSE))</f>
        <v/>
      </c>
      <c r="E59" s="21">
        <f>IF(C59="","",VLOOKUP(C59,'_Données Employés'!$B$5:$S$114,10,FALSE))</f>
        <v/>
      </c>
      <c r="F59" s="21" t="n"/>
      <c r="G59" s="21" t="n"/>
      <c r="H59" s="21" t="n"/>
      <c r="I59" s="16">
        <f>IF(F59="","",IFERROR(F59+G59,0))</f>
        <v/>
      </c>
      <c r="J59" s="21" t="n"/>
    </row>
    <row r="60" ht="22" customHeight="1">
      <c r="B60" s="22">
        <f>IF(C60="","13M"&amp;TEXT(COUNTA($C$5:C60),"000"))</f>
        <v/>
      </c>
      <c r="C60" s="22" t="n"/>
      <c r="D60" s="22">
        <f>IF(C60="","",VLOOKUP(C60,'_Données Employés'!$B$5:$S$114,3,FALSE))</f>
        <v/>
      </c>
      <c r="E60" s="22">
        <f>IF(C60="","",VLOOKUP(C60,'_Données Employés'!$B$5:$S$114,10,FALSE))</f>
        <v/>
      </c>
      <c r="F60" s="22" t="n"/>
      <c r="G60" s="22" t="n"/>
      <c r="H60" s="22" t="n"/>
      <c r="I60" s="18">
        <f>IF(F60="","",IFERROR(F60+G60,0))</f>
        <v/>
      </c>
      <c r="J60" s="22" t="n"/>
    </row>
    <row r="61" ht="22" customHeight="1">
      <c r="B61" s="21">
        <f>IF(C61="","13M"&amp;TEXT(COUNTA($C$5:C61),"000"))</f>
        <v/>
      </c>
      <c r="C61" s="21" t="n"/>
      <c r="D61" s="21">
        <f>IF(C61="","",VLOOKUP(C61,'_Données Employés'!$B$5:$S$114,3,FALSE))</f>
        <v/>
      </c>
      <c r="E61" s="21">
        <f>IF(C61="","",VLOOKUP(C61,'_Données Employés'!$B$5:$S$114,10,FALSE))</f>
        <v/>
      </c>
      <c r="F61" s="21" t="n"/>
      <c r="G61" s="21" t="n"/>
      <c r="H61" s="21" t="n"/>
      <c r="I61" s="16">
        <f>IF(F61="","",IFERROR(F61+G61,0))</f>
        <v/>
      </c>
      <c r="J61" s="21" t="n"/>
    </row>
    <row r="62" ht="22" customHeight="1">
      <c r="B62" s="22">
        <f>IF(C62="","13M"&amp;TEXT(COUNTA($C$5:C62),"000"))</f>
        <v/>
      </c>
      <c r="C62" s="22" t="n"/>
      <c r="D62" s="22">
        <f>IF(C62="","",VLOOKUP(C62,'_Données Employés'!$B$5:$S$114,3,FALSE))</f>
        <v/>
      </c>
      <c r="E62" s="22">
        <f>IF(C62="","",VLOOKUP(C62,'_Données Employés'!$B$5:$S$114,10,FALSE))</f>
        <v/>
      </c>
      <c r="F62" s="22" t="n"/>
      <c r="G62" s="22" t="n"/>
      <c r="H62" s="22" t="n"/>
      <c r="I62" s="18">
        <f>IF(F62="","",IFERROR(F62+G62,0))</f>
        <v/>
      </c>
      <c r="J62" s="22" t="n"/>
    </row>
    <row r="63" ht="22" customHeight="1">
      <c r="B63" s="21">
        <f>IF(C63="","13M"&amp;TEXT(COUNTA($C$5:C63),"000"))</f>
        <v/>
      </c>
      <c r="C63" s="21" t="n"/>
      <c r="D63" s="21">
        <f>IF(C63="","",VLOOKUP(C63,'_Données Employés'!$B$5:$S$114,3,FALSE))</f>
        <v/>
      </c>
      <c r="E63" s="21">
        <f>IF(C63="","",VLOOKUP(C63,'_Données Employés'!$B$5:$S$114,10,FALSE))</f>
        <v/>
      </c>
      <c r="F63" s="21" t="n"/>
      <c r="G63" s="21" t="n"/>
      <c r="H63" s="21" t="n"/>
      <c r="I63" s="16">
        <f>IF(F63="","",IFERROR(F63+G63,0))</f>
        <v/>
      </c>
      <c r="J63" s="21" t="n"/>
    </row>
    <row r="64" ht="22" customHeight="1">
      <c r="B64" s="22">
        <f>IF(C64="","13M"&amp;TEXT(COUNTA($C$5:C64),"000"))</f>
        <v/>
      </c>
      <c r="C64" s="22" t="n"/>
      <c r="D64" s="22">
        <f>IF(C64="","",VLOOKUP(C64,'_Données Employés'!$B$5:$S$114,3,FALSE))</f>
        <v/>
      </c>
      <c r="E64" s="22">
        <f>IF(C64="","",VLOOKUP(C64,'_Données Employés'!$B$5:$S$114,10,FALSE))</f>
        <v/>
      </c>
      <c r="F64" s="22" t="n"/>
      <c r="G64" s="22" t="n"/>
      <c r="H64" s="22" t="n"/>
      <c r="I64" s="18">
        <f>IF(F64="","",IFERROR(F64+G64,0))</f>
        <v/>
      </c>
      <c r="J64" s="22" t="n"/>
    </row>
    <row r="65" ht="22" customHeight="1">
      <c r="B65" s="21">
        <f>IF(C65="","13M"&amp;TEXT(COUNTA($C$5:C65),"000"))</f>
        <v/>
      </c>
      <c r="C65" s="21" t="n"/>
      <c r="D65" s="21">
        <f>IF(C65="","",VLOOKUP(C65,'_Données Employés'!$B$5:$S$114,3,FALSE))</f>
        <v/>
      </c>
      <c r="E65" s="21">
        <f>IF(C65="","",VLOOKUP(C65,'_Données Employés'!$B$5:$S$114,10,FALSE))</f>
        <v/>
      </c>
      <c r="F65" s="21" t="n"/>
      <c r="G65" s="21" t="n"/>
      <c r="H65" s="21" t="n"/>
      <c r="I65" s="16">
        <f>IF(F65="","",IFERROR(F65+G65,0))</f>
        <v/>
      </c>
      <c r="J65" s="21" t="n"/>
    </row>
    <row r="66" ht="22" customHeight="1">
      <c r="B66" s="22">
        <f>IF(C66="","13M"&amp;TEXT(COUNTA($C$5:C66),"000"))</f>
        <v/>
      </c>
      <c r="C66" s="22" t="n"/>
      <c r="D66" s="22">
        <f>IF(C66="","",VLOOKUP(C66,'_Données Employés'!$B$5:$S$114,3,FALSE))</f>
        <v/>
      </c>
      <c r="E66" s="22">
        <f>IF(C66="","",VLOOKUP(C66,'_Données Employés'!$B$5:$S$114,10,FALSE))</f>
        <v/>
      </c>
      <c r="F66" s="22" t="n"/>
      <c r="G66" s="22" t="n"/>
      <c r="H66" s="22" t="n"/>
      <c r="I66" s="18">
        <f>IF(F66="","",IFERROR(F66+G66,0))</f>
        <v/>
      </c>
      <c r="J66" s="22" t="n"/>
    </row>
    <row r="67" ht="22" customHeight="1">
      <c r="B67" s="21">
        <f>IF(C67="","13M"&amp;TEXT(COUNTA($C$5:C67),"000"))</f>
        <v/>
      </c>
      <c r="C67" s="21" t="n"/>
      <c r="D67" s="21">
        <f>IF(C67="","",VLOOKUP(C67,'_Données Employés'!$B$5:$S$114,3,FALSE))</f>
        <v/>
      </c>
      <c r="E67" s="21">
        <f>IF(C67="","",VLOOKUP(C67,'_Données Employés'!$B$5:$S$114,10,FALSE))</f>
        <v/>
      </c>
      <c r="F67" s="21" t="n"/>
      <c r="G67" s="21" t="n"/>
      <c r="H67" s="21" t="n"/>
      <c r="I67" s="16">
        <f>IF(F67="","",IFERROR(F67+G67,0))</f>
        <v/>
      </c>
      <c r="J67" s="21" t="n"/>
    </row>
    <row r="68" ht="22" customHeight="1">
      <c r="B68" s="22">
        <f>IF(C68="","13M"&amp;TEXT(COUNTA($C$5:C68),"000"))</f>
        <v/>
      </c>
      <c r="C68" s="22" t="n"/>
      <c r="D68" s="22">
        <f>IF(C68="","",VLOOKUP(C68,'_Données Employés'!$B$5:$S$114,3,FALSE))</f>
        <v/>
      </c>
      <c r="E68" s="22">
        <f>IF(C68="","",VLOOKUP(C68,'_Données Employés'!$B$5:$S$114,10,FALSE))</f>
        <v/>
      </c>
      <c r="F68" s="22" t="n"/>
      <c r="G68" s="22" t="n"/>
      <c r="H68" s="22" t="n"/>
      <c r="I68" s="18">
        <f>IF(F68="","",IFERROR(F68+G68,0))</f>
        <v/>
      </c>
      <c r="J68" s="22" t="n"/>
    </row>
    <row r="69" ht="22" customHeight="1">
      <c r="B69" s="21">
        <f>IF(C69="","13M"&amp;TEXT(COUNTA($C$5:C69),"000"))</f>
        <v/>
      </c>
      <c r="C69" s="21" t="n"/>
      <c r="D69" s="21">
        <f>IF(C69="","",VLOOKUP(C69,'_Données Employés'!$B$5:$S$114,3,FALSE))</f>
        <v/>
      </c>
      <c r="E69" s="21">
        <f>IF(C69="","",VLOOKUP(C69,'_Données Employés'!$B$5:$S$114,10,FALSE))</f>
        <v/>
      </c>
      <c r="F69" s="21" t="n"/>
      <c r="G69" s="21" t="n"/>
      <c r="H69" s="21" t="n"/>
      <c r="I69" s="16">
        <f>IF(F69="","",IFERROR(F69+G69,0))</f>
        <v/>
      </c>
      <c r="J69" s="21" t="n"/>
    </row>
    <row r="70" ht="22" customHeight="1">
      <c r="B70" s="22">
        <f>IF(C70="","13M"&amp;TEXT(COUNTA($C$5:C70),"000"))</f>
        <v/>
      </c>
      <c r="C70" s="22" t="n"/>
      <c r="D70" s="22">
        <f>IF(C70="","",VLOOKUP(C70,'_Données Employés'!$B$5:$S$114,3,FALSE))</f>
        <v/>
      </c>
      <c r="E70" s="22">
        <f>IF(C70="","",VLOOKUP(C70,'_Données Employés'!$B$5:$S$114,10,FALSE))</f>
        <v/>
      </c>
      <c r="F70" s="22" t="n"/>
      <c r="G70" s="22" t="n"/>
      <c r="H70" s="22" t="n"/>
      <c r="I70" s="18">
        <f>IF(F70="","",IFERROR(F70+G70,0))</f>
        <v/>
      </c>
      <c r="J70" s="22" t="n"/>
    </row>
    <row r="71" ht="22" customHeight="1">
      <c r="B71" s="21">
        <f>IF(C71="","13M"&amp;TEXT(COUNTA($C$5:C71),"000"))</f>
        <v/>
      </c>
      <c r="C71" s="21" t="n"/>
      <c r="D71" s="21">
        <f>IF(C71="","",VLOOKUP(C71,'_Données Employés'!$B$5:$S$114,3,FALSE))</f>
        <v/>
      </c>
      <c r="E71" s="21">
        <f>IF(C71="","",VLOOKUP(C71,'_Données Employés'!$B$5:$S$114,10,FALSE))</f>
        <v/>
      </c>
      <c r="F71" s="21" t="n"/>
      <c r="G71" s="21" t="n"/>
      <c r="H71" s="21" t="n"/>
      <c r="I71" s="16">
        <f>IF(F71="","",IFERROR(F71+G71,0))</f>
        <v/>
      </c>
      <c r="J71" s="21" t="n"/>
    </row>
    <row r="72" ht="22" customHeight="1">
      <c r="B72" s="22">
        <f>IF(C72="","13M"&amp;TEXT(COUNTA($C$5:C72),"000"))</f>
        <v/>
      </c>
      <c r="C72" s="22" t="n"/>
      <c r="D72" s="22">
        <f>IF(C72="","",VLOOKUP(C72,'_Données Employés'!$B$5:$S$114,3,FALSE))</f>
        <v/>
      </c>
      <c r="E72" s="22">
        <f>IF(C72="","",VLOOKUP(C72,'_Données Employés'!$B$5:$S$114,10,FALSE))</f>
        <v/>
      </c>
      <c r="F72" s="22" t="n"/>
      <c r="G72" s="22" t="n"/>
      <c r="H72" s="22" t="n"/>
      <c r="I72" s="18">
        <f>IF(F72="","",IFERROR(F72+G72,0))</f>
        <v/>
      </c>
      <c r="J72" s="22" t="n"/>
    </row>
    <row r="73" ht="22" customHeight="1">
      <c r="B73" s="21">
        <f>IF(C73="","13M"&amp;TEXT(COUNTA($C$5:C73),"000"))</f>
        <v/>
      </c>
      <c r="C73" s="21" t="n"/>
      <c r="D73" s="21">
        <f>IF(C73="","",VLOOKUP(C73,'_Données Employés'!$B$5:$S$114,3,FALSE))</f>
        <v/>
      </c>
      <c r="E73" s="21">
        <f>IF(C73="","",VLOOKUP(C73,'_Données Employés'!$B$5:$S$114,10,FALSE))</f>
        <v/>
      </c>
      <c r="F73" s="21" t="n"/>
      <c r="G73" s="21" t="n"/>
      <c r="H73" s="21" t="n"/>
      <c r="I73" s="16">
        <f>IF(F73="","",IFERROR(F73+G73,0))</f>
        <v/>
      </c>
      <c r="J73" s="21" t="n"/>
    </row>
    <row r="74" ht="22" customHeight="1">
      <c r="B74" s="22">
        <f>IF(C74="","13M"&amp;TEXT(COUNTA($C$5:C74),"000"))</f>
        <v/>
      </c>
      <c r="C74" s="22" t="n"/>
      <c r="D74" s="22">
        <f>IF(C74="","",VLOOKUP(C74,'_Données Employés'!$B$5:$S$114,3,FALSE))</f>
        <v/>
      </c>
      <c r="E74" s="22">
        <f>IF(C74="","",VLOOKUP(C74,'_Données Employés'!$B$5:$S$114,10,FALSE))</f>
        <v/>
      </c>
      <c r="F74" s="22" t="n"/>
      <c r="G74" s="22" t="n"/>
      <c r="H74" s="22" t="n"/>
      <c r="I74" s="18">
        <f>IF(F74="","",IFERROR(F74+G74,0))</f>
        <v/>
      </c>
      <c r="J74" s="22" t="n"/>
    </row>
    <row r="75" ht="22" customHeight="1">
      <c r="B75" s="21">
        <f>IF(C75="","13M"&amp;TEXT(COUNTA($C$5:C75),"000"))</f>
        <v/>
      </c>
      <c r="C75" s="21" t="n"/>
      <c r="D75" s="21">
        <f>IF(C75="","",VLOOKUP(C75,'_Données Employés'!$B$5:$S$114,3,FALSE))</f>
        <v/>
      </c>
      <c r="E75" s="21">
        <f>IF(C75="","",VLOOKUP(C75,'_Données Employés'!$B$5:$S$114,10,FALSE))</f>
        <v/>
      </c>
      <c r="F75" s="21" t="n"/>
      <c r="G75" s="21" t="n"/>
      <c r="H75" s="21" t="n"/>
      <c r="I75" s="16">
        <f>IF(F75="","",IFERROR(F75+G75,0))</f>
        <v/>
      </c>
      <c r="J75" s="21" t="n"/>
    </row>
    <row r="76" ht="22" customHeight="1">
      <c r="B76" s="22">
        <f>IF(C76="","13M"&amp;TEXT(COUNTA($C$5:C76),"000"))</f>
        <v/>
      </c>
      <c r="C76" s="22" t="n"/>
      <c r="D76" s="22">
        <f>IF(C76="","",VLOOKUP(C76,'_Données Employés'!$B$5:$S$114,3,FALSE))</f>
        <v/>
      </c>
      <c r="E76" s="22">
        <f>IF(C76="","",VLOOKUP(C76,'_Données Employés'!$B$5:$S$114,10,FALSE))</f>
        <v/>
      </c>
      <c r="F76" s="22" t="n"/>
      <c r="G76" s="22" t="n"/>
      <c r="H76" s="22" t="n"/>
      <c r="I76" s="18">
        <f>IF(F76="","",IFERROR(F76+G76,0))</f>
        <v/>
      </c>
      <c r="J76" s="22" t="n"/>
    </row>
    <row r="77" ht="22" customHeight="1">
      <c r="B77" s="21">
        <f>IF(C77="","13M"&amp;TEXT(COUNTA($C$5:C77),"000"))</f>
        <v/>
      </c>
      <c r="C77" s="21" t="n"/>
      <c r="D77" s="21">
        <f>IF(C77="","",VLOOKUP(C77,'_Données Employés'!$B$5:$S$114,3,FALSE))</f>
        <v/>
      </c>
      <c r="E77" s="21">
        <f>IF(C77="","",VLOOKUP(C77,'_Données Employés'!$B$5:$S$114,10,FALSE))</f>
        <v/>
      </c>
      <c r="F77" s="21" t="n"/>
      <c r="G77" s="21" t="n"/>
      <c r="H77" s="21" t="n"/>
      <c r="I77" s="16">
        <f>IF(F77="","",IFERROR(F77+G77,0))</f>
        <v/>
      </c>
      <c r="J77" s="21" t="n"/>
    </row>
    <row r="78" ht="22" customHeight="1">
      <c r="B78" s="22">
        <f>IF(C78="","13M"&amp;TEXT(COUNTA($C$5:C78),"000"))</f>
        <v/>
      </c>
      <c r="C78" s="22" t="n"/>
      <c r="D78" s="22">
        <f>IF(C78="","",VLOOKUP(C78,'_Données Employés'!$B$5:$S$114,3,FALSE))</f>
        <v/>
      </c>
      <c r="E78" s="22">
        <f>IF(C78="","",VLOOKUP(C78,'_Données Employés'!$B$5:$S$114,10,FALSE))</f>
        <v/>
      </c>
      <c r="F78" s="22" t="n"/>
      <c r="G78" s="22" t="n"/>
      <c r="H78" s="22" t="n"/>
      <c r="I78" s="18">
        <f>IF(F78="","",IFERROR(F78+G78,0))</f>
        <v/>
      </c>
      <c r="J78" s="22" t="n"/>
    </row>
    <row r="79" ht="22" customHeight="1">
      <c r="B79" s="21">
        <f>IF(C79="","13M"&amp;TEXT(COUNTA($C$5:C79),"000"))</f>
        <v/>
      </c>
      <c r="C79" s="21" t="n"/>
      <c r="D79" s="21">
        <f>IF(C79="","",VLOOKUP(C79,'_Données Employés'!$B$5:$S$114,3,FALSE))</f>
        <v/>
      </c>
      <c r="E79" s="21">
        <f>IF(C79="","",VLOOKUP(C79,'_Données Employés'!$B$5:$S$114,10,FALSE))</f>
        <v/>
      </c>
      <c r="F79" s="21" t="n"/>
      <c r="G79" s="21" t="n"/>
      <c r="H79" s="21" t="n"/>
      <c r="I79" s="16">
        <f>IF(F79="","",IFERROR(F79+G79,0))</f>
        <v/>
      </c>
      <c r="J79" s="21" t="n"/>
    </row>
    <row r="80" ht="22" customHeight="1">
      <c r="B80" s="22">
        <f>IF(C80="","13M"&amp;TEXT(COUNTA($C$5:C80),"000"))</f>
        <v/>
      </c>
      <c r="C80" s="22" t="n"/>
      <c r="D80" s="22">
        <f>IF(C80="","",VLOOKUP(C80,'_Données Employés'!$B$5:$S$114,3,FALSE))</f>
        <v/>
      </c>
      <c r="E80" s="22">
        <f>IF(C80="","",VLOOKUP(C80,'_Données Employés'!$B$5:$S$114,10,FALSE))</f>
        <v/>
      </c>
      <c r="F80" s="22" t="n"/>
      <c r="G80" s="22" t="n"/>
      <c r="H80" s="22" t="n"/>
      <c r="I80" s="18">
        <f>IF(F80="","",IFERROR(F80+G80,0))</f>
        <v/>
      </c>
      <c r="J80" s="22" t="n"/>
    </row>
    <row r="81" ht="22" customHeight="1">
      <c r="B81" s="21">
        <f>IF(C81="","13M"&amp;TEXT(COUNTA($C$5:C81),"000"))</f>
        <v/>
      </c>
      <c r="C81" s="21" t="n"/>
      <c r="D81" s="21">
        <f>IF(C81="","",VLOOKUP(C81,'_Données Employés'!$B$5:$S$114,3,FALSE))</f>
        <v/>
      </c>
      <c r="E81" s="21">
        <f>IF(C81="","",VLOOKUP(C81,'_Données Employés'!$B$5:$S$114,10,FALSE))</f>
        <v/>
      </c>
      <c r="F81" s="21" t="n"/>
      <c r="G81" s="21" t="n"/>
      <c r="H81" s="21" t="n"/>
      <c r="I81" s="16">
        <f>IF(F81="","",IFERROR(F81+G81,0))</f>
        <v/>
      </c>
      <c r="J81" s="21" t="n"/>
    </row>
    <row r="82" ht="22" customHeight="1">
      <c r="B82" s="22">
        <f>IF(C82="","13M"&amp;TEXT(COUNTA($C$5:C82),"000"))</f>
        <v/>
      </c>
      <c r="C82" s="22" t="n"/>
      <c r="D82" s="22">
        <f>IF(C82="","",VLOOKUP(C82,'_Données Employés'!$B$5:$S$114,3,FALSE))</f>
        <v/>
      </c>
      <c r="E82" s="22">
        <f>IF(C82="","",VLOOKUP(C82,'_Données Employés'!$B$5:$S$114,10,FALSE))</f>
        <v/>
      </c>
      <c r="F82" s="22" t="n"/>
      <c r="G82" s="22" t="n"/>
      <c r="H82" s="22" t="n"/>
      <c r="I82" s="18">
        <f>IF(F82="","",IFERROR(F82+G82,0))</f>
        <v/>
      </c>
      <c r="J82" s="22" t="n"/>
    </row>
    <row r="83" ht="22" customHeight="1">
      <c r="B83" s="21">
        <f>IF(C83="","13M"&amp;TEXT(COUNTA($C$5:C83),"000"))</f>
        <v/>
      </c>
      <c r="C83" s="21" t="n"/>
      <c r="D83" s="21">
        <f>IF(C83="","",VLOOKUP(C83,'_Données Employés'!$B$5:$S$114,3,FALSE))</f>
        <v/>
      </c>
      <c r="E83" s="21">
        <f>IF(C83="","",VLOOKUP(C83,'_Données Employés'!$B$5:$S$114,10,FALSE))</f>
        <v/>
      </c>
      <c r="F83" s="21" t="n"/>
      <c r="G83" s="21" t="n"/>
      <c r="H83" s="21" t="n"/>
      <c r="I83" s="16">
        <f>IF(F83="","",IFERROR(F83+G83,0))</f>
        <v/>
      </c>
      <c r="J83" s="21" t="n"/>
    </row>
    <row r="84" ht="22" customHeight="1">
      <c r="B84" s="22">
        <f>IF(C84="","13M"&amp;TEXT(COUNTA($C$5:C84),"000"))</f>
        <v/>
      </c>
      <c r="C84" s="22" t="n"/>
      <c r="D84" s="22">
        <f>IF(C84="","",VLOOKUP(C84,'_Données Employés'!$B$5:$S$114,3,FALSE))</f>
        <v/>
      </c>
      <c r="E84" s="22">
        <f>IF(C84="","",VLOOKUP(C84,'_Données Employés'!$B$5:$S$114,10,FALSE))</f>
        <v/>
      </c>
      <c r="F84" s="22" t="n"/>
      <c r="G84" s="22" t="n"/>
      <c r="H84" s="22" t="n"/>
      <c r="I84" s="18">
        <f>IF(F84="","",IFERROR(F84+G84,0))</f>
        <v/>
      </c>
      <c r="J84" s="22" t="n"/>
    </row>
    <row r="85" ht="22" customHeight="1">
      <c r="B85" s="21">
        <f>IF(C85="","13M"&amp;TEXT(COUNTA($C$5:C85),"000"))</f>
        <v/>
      </c>
      <c r="C85" s="21" t="n"/>
      <c r="D85" s="21">
        <f>IF(C85="","",VLOOKUP(C85,'_Données Employés'!$B$5:$S$114,3,FALSE))</f>
        <v/>
      </c>
      <c r="E85" s="21">
        <f>IF(C85="","",VLOOKUP(C85,'_Données Employés'!$B$5:$S$114,10,FALSE))</f>
        <v/>
      </c>
      <c r="F85" s="21" t="n"/>
      <c r="G85" s="21" t="n"/>
      <c r="H85" s="21" t="n"/>
      <c r="I85" s="16">
        <f>IF(F85="","",IFERROR(F85+G85,0))</f>
        <v/>
      </c>
      <c r="J85" s="21" t="n"/>
    </row>
    <row r="86" ht="22" customHeight="1">
      <c r="B86" s="22">
        <f>IF(C86="","13M"&amp;TEXT(COUNTA($C$5:C86),"000"))</f>
        <v/>
      </c>
      <c r="C86" s="22" t="n"/>
      <c r="D86" s="22">
        <f>IF(C86="","",VLOOKUP(C86,'_Données Employés'!$B$5:$S$114,3,FALSE))</f>
        <v/>
      </c>
      <c r="E86" s="22">
        <f>IF(C86="","",VLOOKUP(C86,'_Données Employés'!$B$5:$S$114,10,FALSE))</f>
        <v/>
      </c>
      <c r="F86" s="22" t="n"/>
      <c r="G86" s="22" t="n"/>
      <c r="H86" s="22" t="n"/>
      <c r="I86" s="18">
        <f>IF(F86="","",IFERROR(F86+G86,0))</f>
        <v/>
      </c>
      <c r="J86" s="22" t="n"/>
    </row>
    <row r="87" ht="22" customHeight="1">
      <c r="B87" s="21">
        <f>IF(C87="","13M"&amp;TEXT(COUNTA($C$5:C87),"000"))</f>
        <v/>
      </c>
      <c r="C87" s="21" t="n"/>
      <c r="D87" s="21">
        <f>IF(C87="","",VLOOKUP(C87,'_Données Employés'!$B$5:$S$114,3,FALSE))</f>
        <v/>
      </c>
      <c r="E87" s="21">
        <f>IF(C87="","",VLOOKUP(C87,'_Données Employés'!$B$5:$S$114,10,FALSE))</f>
        <v/>
      </c>
      <c r="F87" s="21" t="n"/>
      <c r="G87" s="21" t="n"/>
      <c r="H87" s="21" t="n"/>
      <c r="I87" s="16">
        <f>IF(F87="","",IFERROR(F87+G87,0))</f>
        <v/>
      </c>
      <c r="J87" s="21" t="n"/>
    </row>
    <row r="88" ht="22" customHeight="1">
      <c r="B88" s="22">
        <f>IF(C88="","13M"&amp;TEXT(COUNTA($C$5:C88),"000"))</f>
        <v/>
      </c>
      <c r="C88" s="22" t="n"/>
      <c r="D88" s="22">
        <f>IF(C88="","",VLOOKUP(C88,'_Données Employés'!$B$5:$S$114,3,FALSE))</f>
        <v/>
      </c>
      <c r="E88" s="22">
        <f>IF(C88="","",VLOOKUP(C88,'_Données Employés'!$B$5:$S$114,10,FALSE))</f>
        <v/>
      </c>
      <c r="F88" s="22" t="n"/>
      <c r="G88" s="22" t="n"/>
      <c r="H88" s="22" t="n"/>
      <c r="I88" s="18">
        <f>IF(F88="","",IFERROR(F88+G88,0))</f>
        <v/>
      </c>
      <c r="J88" s="22" t="n"/>
    </row>
    <row r="89" ht="22" customHeight="1">
      <c r="B89" s="21">
        <f>IF(C89="","13M"&amp;TEXT(COUNTA($C$5:C89),"000"))</f>
        <v/>
      </c>
      <c r="C89" s="21" t="n"/>
      <c r="D89" s="21">
        <f>IF(C89="","",VLOOKUP(C89,'_Données Employés'!$B$5:$S$114,3,FALSE))</f>
        <v/>
      </c>
      <c r="E89" s="21">
        <f>IF(C89="","",VLOOKUP(C89,'_Données Employés'!$B$5:$S$114,10,FALSE))</f>
        <v/>
      </c>
      <c r="F89" s="21" t="n"/>
      <c r="G89" s="21" t="n"/>
      <c r="H89" s="21" t="n"/>
      <c r="I89" s="16">
        <f>IF(F89="","",IFERROR(F89+G89,0))</f>
        <v/>
      </c>
      <c r="J89" s="21" t="n"/>
    </row>
    <row r="90" ht="22" customHeight="1">
      <c r="B90" s="22">
        <f>IF(C90="","13M"&amp;TEXT(COUNTA($C$5:C90),"000"))</f>
        <v/>
      </c>
      <c r="C90" s="22" t="n"/>
      <c r="D90" s="22">
        <f>IF(C90="","",VLOOKUP(C90,'_Données Employés'!$B$5:$S$114,3,FALSE))</f>
        <v/>
      </c>
      <c r="E90" s="22">
        <f>IF(C90="","",VLOOKUP(C90,'_Données Employés'!$B$5:$S$114,10,FALSE))</f>
        <v/>
      </c>
      <c r="F90" s="22" t="n"/>
      <c r="G90" s="22" t="n"/>
      <c r="H90" s="22" t="n"/>
      <c r="I90" s="18">
        <f>IF(F90="","",IFERROR(F90+G90,0))</f>
        <v/>
      </c>
      <c r="J90" s="22" t="n"/>
    </row>
    <row r="91" ht="22" customHeight="1">
      <c r="B91" s="21">
        <f>IF(C91="","13M"&amp;TEXT(COUNTA($C$5:C91),"000"))</f>
        <v/>
      </c>
      <c r="C91" s="21" t="n"/>
      <c r="D91" s="21">
        <f>IF(C91="","",VLOOKUP(C91,'_Données Employés'!$B$5:$S$114,3,FALSE))</f>
        <v/>
      </c>
      <c r="E91" s="21">
        <f>IF(C91="","",VLOOKUP(C91,'_Données Employés'!$B$5:$S$114,10,FALSE))</f>
        <v/>
      </c>
      <c r="F91" s="21" t="n"/>
      <c r="G91" s="21" t="n"/>
      <c r="H91" s="21" t="n"/>
      <c r="I91" s="16">
        <f>IF(F91="","",IFERROR(F91+G91,0))</f>
        <v/>
      </c>
      <c r="J91" s="21" t="n"/>
    </row>
    <row r="92" ht="22" customHeight="1">
      <c r="B92" s="22">
        <f>IF(C92="","13M"&amp;TEXT(COUNTA($C$5:C92),"000"))</f>
        <v/>
      </c>
      <c r="C92" s="22" t="n"/>
      <c r="D92" s="22">
        <f>IF(C92="","",VLOOKUP(C92,'_Données Employés'!$B$5:$S$114,3,FALSE))</f>
        <v/>
      </c>
      <c r="E92" s="22">
        <f>IF(C92="","",VLOOKUP(C92,'_Données Employés'!$B$5:$S$114,10,FALSE))</f>
        <v/>
      </c>
      <c r="F92" s="22" t="n"/>
      <c r="G92" s="22" t="n"/>
      <c r="H92" s="22" t="n"/>
      <c r="I92" s="18">
        <f>IF(F92="","",IFERROR(F92+G92,0))</f>
        <v/>
      </c>
      <c r="J92" s="22" t="n"/>
    </row>
    <row r="93" ht="22" customHeight="1">
      <c r="B93" s="21">
        <f>IF(C93="","13M"&amp;TEXT(COUNTA($C$5:C93),"000"))</f>
        <v/>
      </c>
      <c r="C93" s="21" t="n"/>
      <c r="D93" s="21">
        <f>IF(C93="","",VLOOKUP(C93,'_Données Employés'!$B$5:$S$114,3,FALSE))</f>
        <v/>
      </c>
      <c r="E93" s="21">
        <f>IF(C93="","",VLOOKUP(C93,'_Données Employés'!$B$5:$S$114,10,FALSE))</f>
        <v/>
      </c>
      <c r="F93" s="21" t="n"/>
      <c r="G93" s="21" t="n"/>
      <c r="H93" s="21" t="n"/>
      <c r="I93" s="16">
        <f>IF(F93="","",IFERROR(F93+G93,0))</f>
        <v/>
      </c>
      <c r="J93" s="21" t="n"/>
    </row>
    <row r="94" ht="22" customHeight="1">
      <c r="B94" s="22">
        <f>IF(C94="","13M"&amp;TEXT(COUNTA($C$5:C94),"000"))</f>
        <v/>
      </c>
      <c r="C94" s="22" t="n"/>
      <c r="D94" s="22">
        <f>IF(C94="","",VLOOKUP(C94,'_Données Employés'!$B$5:$S$114,3,FALSE))</f>
        <v/>
      </c>
      <c r="E94" s="22">
        <f>IF(C94="","",VLOOKUP(C94,'_Données Employés'!$B$5:$S$114,10,FALSE))</f>
        <v/>
      </c>
      <c r="F94" s="22" t="n"/>
      <c r="G94" s="22" t="n"/>
      <c r="H94" s="22" t="n"/>
      <c r="I94" s="18">
        <f>IF(F94="","",IFERROR(F94+G94,0))</f>
        <v/>
      </c>
      <c r="J94" s="22" t="n"/>
    </row>
    <row r="95" ht="22" customHeight="1">
      <c r="B95" s="21">
        <f>IF(C95="","13M"&amp;TEXT(COUNTA($C$5:C95),"000"))</f>
        <v/>
      </c>
      <c r="C95" s="21" t="n"/>
      <c r="D95" s="21">
        <f>IF(C95="","",VLOOKUP(C95,'_Données Employés'!$B$5:$S$114,3,FALSE))</f>
        <v/>
      </c>
      <c r="E95" s="21">
        <f>IF(C95="","",VLOOKUP(C95,'_Données Employés'!$B$5:$S$114,10,FALSE))</f>
        <v/>
      </c>
      <c r="F95" s="21" t="n"/>
      <c r="G95" s="21" t="n"/>
      <c r="H95" s="21" t="n"/>
      <c r="I95" s="16">
        <f>IF(F95="","",IFERROR(F95+G95,0))</f>
        <v/>
      </c>
      <c r="J95" s="21" t="n"/>
    </row>
    <row r="96" ht="22" customHeight="1">
      <c r="B96" s="22">
        <f>IF(C96="","13M"&amp;TEXT(COUNTA($C$5:C96),"000"))</f>
        <v/>
      </c>
      <c r="C96" s="22" t="n"/>
      <c r="D96" s="22">
        <f>IF(C96="","",VLOOKUP(C96,'_Données Employés'!$B$5:$S$114,3,FALSE))</f>
        <v/>
      </c>
      <c r="E96" s="22">
        <f>IF(C96="","",VLOOKUP(C96,'_Données Employés'!$B$5:$S$114,10,FALSE))</f>
        <v/>
      </c>
      <c r="F96" s="22" t="n"/>
      <c r="G96" s="22" t="n"/>
      <c r="H96" s="22" t="n"/>
      <c r="I96" s="18">
        <f>IF(F96="","",IFERROR(F96+G96,0))</f>
        <v/>
      </c>
      <c r="J96" s="22" t="n"/>
    </row>
    <row r="97" ht="22" customHeight="1">
      <c r="B97" s="21">
        <f>IF(C97="","13M"&amp;TEXT(COUNTA($C$5:C97),"000"))</f>
        <v/>
      </c>
      <c r="C97" s="21" t="n"/>
      <c r="D97" s="21">
        <f>IF(C97="","",VLOOKUP(C97,'_Données Employés'!$B$5:$S$114,3,FALSE))</f>
        <v/>
      </c>
      <c r="E97" s="21">
        <f>IF(C97="","",VLOOKUP(C97,'_Données Employés'!$B$5:$S$114,10,FALSE))</f>
        <v/>
      </c>
      <c r="F97" s="21" t="n"/>
      <c r="G97" s="21" t="n"/>
      <c r="H97" s="21" t="n"/>
      <c r="I97" s="16">
        <f>IF(F97="","",IFERROR(F97+G97,0))</f>
        <v/>
      </c>
      <c r="J97" s="21" t="n"/>
    </row>
    <row r="98" ht="22" customHeight="1">
      <c r="B98" s="22">
        <f>IF(C98="","13M"&amp;TEXT(COUNTA($C$5:C98),"000"))</f>
        <v/>
      </c>
      <c r="C98" s="22" t="n"/>
      <c r="D98" s="22">
        <f>IF(C98="","",VLOOKUP(C98,'_Données Employés'!$B$5:$S$114,3,FALSE))</f>
        <v/>
      </c>
      <c r="E98" s="22">
        <f>IF(C98="","",VLOOKUP(C98,'_Données Employés'!$B$5:$S$114,10,FALSE))</f>
        <v/>
      </c>
      <c r="F98" s="22" t="n"/>
      <c r="G98" s="22" t="n"/>
      <c r="H98" s="22" t="n"/>
      <c r="I98" s="18">
        <f>IF(F98="","",IFERROR(F98+G98,0))</f>
        <v/>
      </c>
      <c r="J98" s="22" t="n"/>
    </row>
    <row r="99" ht="22" customHeight="1">
      <c r="B99" s="21">
        <f>IF(C99="","13M"&amp;TEXT(COUNTA($C$5:C99),"000"))</f>
        <v/>
      </c>
      <c r="C99" s="21" t="n"/>
      <c r="D99" s="21">
        <f>IF(C99="","",VLOOKUP(C99,'_Données Employés'!$B$5:$S$114,3,FALSE))</f>
        <v/>
      </c>
      <c r="E99" s="21">
        <f>IF(C99="","",VLOOKUP(C99,'_Données Employés'!$B$5:$S$114,10,FALSE))</f>
        <v/>
      </c>
      <c r="F99" s="21" t="n"/>
      <c r="G99" s="21" t="n"/>
      <c r="H99" s="21" t="n"/>
      <c r="I99" s="16">
        <f>IF(F99="","",IFERROR(F99+G99,0))</f>
        <v/>
      </c>
      <c r="J99" s="21" t="n"/>
    </row>
    <row r="100" ht="22" customHeight="1">
      <c r="B100" s="22">
        <f>IF(C100="","13M"&amp;TEXT(COUNTA($C$5:C100),"000"))</f>
        <v/>
      </c>
      <c r="C100" s="22" t="n"/>
      <c r="D100" s="22">
        <f>IF(C100="","",VLOOKUP(C100,'_Données Employés'!$B$5:$S$114,3,FALSE))</f>
        <v/>
      </c>
      <c r="E100" s="22">
        <f>IF(C100="","",VLOOKUP(C100,'_Données Employés'!$B$5:$S$114,10,FALSE))</f>
        <v/>
      </c>
      <c r="F100" s="22" t="n"/>
      <c r="G100" s="22" t="n"/>
      <c r="H100" s="22" t="n"/>
      <c r="I100" s="18">
        <f>IF(F100="","",IFERROR(F100+G100,0))</f>
        <v/>
      </c>
      <c r="J100" s="22" t="n"/>
    </row>
    <row r="101" ht="22" customHeight="1">
      <c r="B101" s="21">
        <f>IF(C101="","13M"&amp;TEXT(COUNTA($C$5:C101),"000"))</f>
        <v/>
      </c>
      <c r="C101" s="21" t="n"/>
      <c r="D101" s="21">
        <f>IF(C101="","",VLOOKUP(C101,'_Données Employés'!$B$5:$S$114,3,FALSE))</f>
        <v/>
      </c>
      <c r="E101" s="21">
        <f>IF(C101="","",VLOOKUP(C101,'_Données Employés'!$B$5:$S$114,10,FALSE))</f>
        <v/>
      </c>
      <c r="F101" s="21" t="n"/>
      <c r="G101" s="21" t="n"/>
      <c r="H101" s="21" t="n"/>
      <c r="I101" s="16">
        <f>IF(F101="","",IFERROR(F101+G101,0))</f>
        <v/>
      </c>
      <c r="J101" s="21" t="n"/>
    </row>
    <row r="102" ht="22" customHeight="1">
      <c r="B102" s="22">
        <f>IF(C102="","13M"&amp;TEXT(COUNTA($C$5:C102),"000"))</f>
        <v/>
      </c>
      <c r="C102" s="22" t="n"/>
      <c r="D102" s="22">
        <f>IF(C102="","",VLOOKUP(C102,'_Données Employés'!$B$5:$S$114,3,FALSE))</f>
        <v/>
      </c>
      <c r="E102" s="22">
        <f>IF(C102="","",VLOOKUP(C102,'_Données Employés'!$B$5:$S$114,10,FALSE))</f>
        <v/>
      </c>
      <c r="F102" s="22" t="n"/>
      <c r="G102" s="22" t="n"/>
      <c r="H102" s="22" t="n"/>
      <c r="I102" s="18">
        <f>IF(F102="","",IFERROR(F102+G102,0))</f>
        <v/>
      </c>
      <c r="J102" s="22" t="n"/>
    </row>
    <row r="103" ht="22" customHeight="1">
      <c r="B103" s="21">
        <f>IF(C103="","13M"&amp;TEXT(COUNTA($C$5:C103),"000"))</f>
        <v/>
      </c>
      <c r="C103" s="21" t="n"/>
      <c r="D103" s="21">
        <f>IF(C103="","",VLOOKUP(C103,'_Données Employés'!$B$5:$S$114,3,FALSE))</f>
        <v/>
      </c>
      <c r="E103" s="21">
        <f>IF(C103="","",VLOOKUP(C103,'_Données Employés'!$B$5:$S$114,10,FALSE))</f>
        <v/>
      </c>
      <c r="F103" s="21" t="n"/>
      <c r="G103" s="21" t="n"/>
      <c r="H103" s="21" t="n"/>
      <c r="I103" s="16">
        <f>IF(F103="","",IFERROR(F103+G103,0))</f>
        <v/>
      </c>
      <c r="J103" s="21" t="n"/>
    </row>
    <row r="104" ht="22" customHeight="1">
      <c r="B104" s="22">
        <f>IF(C104="","13M"&amp;TEXT(COUNTA($C$5:C104),"000"))</f>
        <v/>
      </c>
      <c r="C104" s="22" t="n"/>
      <c r="D104" s="22">
        <f>IF(C104="","",VLOOKUP(C104,'_Données Employés'!$B$5:$S$114,3,FALSE))</f>
        <v/>
      </c>
      <c r="E104" s="22">
        <f>IF(C104="","",VLOOKUP(C104,'_Données Employés'!$B$5:$S$114,10,FALSE))</f>
        <v/>
      </c>
      <c r="F104" s="22" t="n"/>
      <c r="G104" s="22" t="n"/>
      <c r="H104" s="22" t="n"/>
      <c r="I104" s="18">
        <f>IF(F104="","",IFERROR(F104+G104,0))</f>
        <v/>
      </c>
      <c r="J104" s="22" t="n"/>
    </row>
    <row r="107">
      <c r="B107" s="23" t="inlineStr">
        <is>
          <t>KPI Total 13ème mois (FCFA)</t>
        </is>
      </c>
      <c r="C107" s="23" t="inlineStr">
        <is>
          <t>KPI Bénéficiaires</t>
        </is>
      </c>
    </row>
    <row r="108">
      <c r="B108" s="25">
        <f>SUM(H5:H104)</f>
        <v/>
      </c>
      <c r="C108" s="24">
        <f>COUNTA(C5:C104)</f>
        <v/>
      </c>
    </row>
  </sheetData>
  <mergeCells count="1">
    <mergeCell ref="B2:J2"/>
  </mergeCells>
  <conditionalFormatting sqref="J5:J104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"Solde"</formula>
    </cfRule>
    <cfRule type="cellIs" priority="4" operator="equal" dxfId="1">
      <formula>"Actif"</formula>
    </cfRule>
    <cfRule type="cellIs" priority="5" operator="equal" dxfId="1">
      <formula>"Oui"</formula>
    </cfRule>
    <cfRule type="cellIs" priority="6" operator="equal" dxfId="2">
      <formula>"Rejete"</formula>
    </cfRule>
    <cfRule type="cellIs" priority="7" operator="equal" dxfId="2">
      <formula>"En retard"</formula>
    </cfRule>
    <cfRule type="cellIs" priority="8" operator="equal" dxfId="2">
      <formula>"Refuse"</formula>
    </cfRule>
    <cfRule type="cellIs" priority="9" operator="equal" dxfId="2">
      <formula>"Annule"</formula>
    </cfRule>
    <cfRule type="cellIs" priority="10" operator="equal" dxfId="2">
      <formula>"Non"</formula>
    </cfRule>
    <cfRule type="cellIs" priority="11" operator="equal" dxfId="3">
      <formula>"En attente"</formula>
    </cfRule>
    <cfRule type="cellIs" priority="12" operator="equal" dxfId="3">
      <formula>"En cours"</formula>
    </cfRule>
    <cfRule type="cellIs" priority="13" operator="equal" dxfId="3">
      <formula>"Brouillon"</formula>
    </cfRule>
    <cfRule type="cellIs" priority="14" operator="equal" dxfId="3">
      <formula>"Demande"</formula>
    </cfRule>
    <cfRule type="cellIs" priority="15" operator="equal" dxfId="3">
      <formula>"Partiellement monetise"</formula>
    </cfRule>
  </conditionalFormatting>
  <conditionalFormatting sqref="G5:G104">
    <cfRule type="dataBar" priority="16">
      <dataBar>
        <cfvo type="num" val="0"/>
        <cfvo type="num" val="1"/>
        <color rgb="001B2A4A"/>
      </dataBar>
    </cfRule>
  </conditionalFormatting>
  <conditionalFormatting sqref="H5:H104">
    <cfRule type="dataBar" priority="17">
      <dataBar>
        <cfvo type="num" val="0"/>
        <cfvo type="num" val="1"/>
        <color rgb="001B2A4A"/>
      </dataBar>
    </cfRule>
  </conditionalFormatting>
  <conditionalFormatting sqref="I5:I104">
    <cfRule type="dataBar" priority="18">
      <dataBar>
        <cfvo type="num" val="0"/>
        <cfvo type="num" val="1"/>
        <color rgb="001B2A4A"/>
      </dataBar>
    </cfRule>
  </conditionalFormatting>
  <conditionalFormatting sqref="B108">
    <cfRule type="cellIs" priority="19" operator="greaterThan" dxfId="0">
      <formula>0</formula>
    </cfRule>
  </conditionalFormatting>
  <conditionalFormatting sqref="C108">
    <cfRule type="cellIs" priority="20" operator="greaterThan" dxfId="0">
      <formula>0</formula>
    </cfRule>
  </conditionalFormatting>
  <dataValidations count="3">
    <dataValidation sqref="F5:F104" showDropDown="0" showInputMessage="0" showErrorMessage="0" allowBlank="1" type="list">
      <formula1>'_Lists'!$M$2:$M$4</formula1>
    </dataValidation>
    <dataValidation sqref="J5:J104" showDropDown="0" showInputMessage="0" showErrorMessage="0" allowBlank="1" type="list">
      <formula1>'_Lists'!$N$2:$N$5</formula1>
    </dataValidation>
    <dataValidation sqref="C5:C104" showDropDown="0" showInputMessage="0" showErrorMessage="0" allowBlank="1" promptTitle="Matricule Employé" prompt="Choisir un matricule" type="list">
      <formula1>'_Données Employés'!$B$5:$B$114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L10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18" customWidth="1" min="4" max="4"/>
    <col width="14" customWidth="1" min="5" max="5"/>
    <col width="12" customWidth="1" min="6" max="6"/>
    <col width="16" customWidth="1" min="7" max="7"/>
    <col width="16" customWidth="1" min="8" max="8"/>
    <col width="20" customWidth="1" min="9" max="9"/>
    <col width="16" customWidth="1" min="10" max="10"/>
    <col width="18" customWidth="1" min="11" max="11"/>
    <col width="10" customWidth="1" min="12" max="12"/>
  </cols>
  <sheetData>
    <row r="1" ht="15" customHeight="1"/>
    <row r="2" ht="32" customHeight="1">
      <c r="B2" s="13" t="inlineStr">
        <is>
          <t>REMUNERATION — 14-Variables Pourboires</t>
        </is>
      </c>
    </row>
    <row r="3" ht="8" customHeight="1"/>
    <row r="4" ht="28" customHeight="1">
      <c r="B4" s="14" t="inlineStr">
        <is>
          <t>N°</t>
        </is>
      </c>
      <c r="C4" s="14" t="inlineStr">
        <is>
          <t>Matricule</t>
        </is>
      </c>
      <c r="D4" s="14" t="inlineStr">
        <is>
          <t>Nom Employé</t>
        </is>
      </c>
      <c r="E4" s="14" t="inlineStr">
        <is>
          <t>Service</t>
        </is>
      </c>
      <c r="F4" s="14" t="inlineStr">
        <is>
          <t>Mois</t>
        </is>
      </c>
      <c r="G4" s="14" t="inlineStr">
        <is>
          <t>CA Service (FCFA)</t>
        </is>
      </c>
      <c r="H4" s="14" t="inlineStr">
        <is>
          <t>Taux Distribution (%)</t>
        </is>
      </c>
      <c r="I4" s="14" t="inlineStr">
        <is>
          <t>Pourboire Individuel (FCFA)</t>
        </is>
      </c>
      <c r="J4" s="14" t="inlineStr">
        <is>
          <t>Commission (FCFA)</t>
        </is>
      </c>
      <c r="K4" s="14" t="inlineStr">
        <is>
          <t>Variable Total (FCFA)</t>
        </is>
      </c>
      <c r="L4" s="14" t="inlineStr">
        <is>
          <t>Statut</t>
        </is>
      </c>
    </row>
    <row r="5" ht="22" customHeight="1">
      <c r="B5" s="15" t="inlineStr">
        <is>
          <t>VAR-001</t>
        </is>
      </c>
      <c r="C5" s="15" t="inlineStr">
        <is>
          <t>EMP-004</t>
        </is>
      </c>
      <c r="D5" s="15" t="inlineStr">
        <is>
          <t>Ouedraogo Ibrahim</t>
        </is>
      </c>
      <c r="E5" s="15" t="inlineStr">
        <is>
          <t>Reception</t>
        </is>
      </c>
      <c r="F5" s="15" t="inlineStr">
        <is>
          <t>Juin</t>
        </is>
      </c>
      <c r="G5" s="16" t="n">
        <v>5000000</v>
      </c>
      <c r="H5" s="16" t="n">
        <v>2</v>
      </c>
      <c r="I5" s="16" t="n">
        <v>100000</v>
      </c>
      <c r="J5" s="16" t="n">
        <v>0</v>
      </c>
      <c r="K5" s="16" t="n">
        <v>100000</v>
      </c>
      <c r="L5" s="15" t="inlineStr">
        <is>
          <t>Approuve</t>
        </is>
      </c>
    </row>
    <row r="6" ht="22" customHeight="1">
      <c r="B6" s="17" t="inlineStr">
        <is>
          <t>VAR-002</t>
        </is>
      </c>
      <c r="C6" s="17" t="inlineStr">
        <is>
          <t>EMP-010</t>
        </is>
      </c>
      <c r="D6" s="17" t="inlineStr">
        <is>
          <t>Atangana Simon</t>
        </is>
      </c>
      <c r="E6" s="17" t="inlineStr">
        <is>
          <t>Bar</t>
        </is>
      </c>
      <c r="F6" s="17" t="inlineStr">
        <is>
          <t>Juin</t>
        </is>
      </c>
      <c r="G6" s="18" t="n">
        <v>3000000</v>
      </c>
      <c r="H6" s="18" t="n">
        <v>3</v>
      </c>
      <c r="I6" s="18" t="n">
        <v>90000</v>
      </c>
      <c r="J6" s="18" t="n">
        <v>0</v>
      </c>
      <c r="K6" s="18" t="n">
        <v>90000</v>
      </c>
      <c r="L6" s="17" t="inlineStr">
        <is>
          <t>Approuve</t>
        </is>
      </c>
    </row>
    <row r="7" ht="22" customHeight="1">
      <c r="B7" s="15" t="inlineStr">
        <is>
          <t>VAR-003</t>
        </is>
      </c>
      <c r="C7" s="15" t="inlineStr">
        <is>
          <t>EMP-006</t>
        </is>
      </c>
      <c r="D7" s="15" t="inlineStr">
        <is>
          <t>Ngassa Brigitte</t>
        </is>
      </c>
      <c r="E7" s="15" t="inlineStr">
        <is>
          <t>Restaurant</t>
        </is>
      </c>
      <c r="F7" s="15" t="inlineStr">
        <is>
          <t>Juin</t>
        </is>
      </c>
      <c r="G7" s="16" t="n">
        <v>4000000</v>
      </c>
      <c r="H7" s="16" t="n">
        <v>1.5</v>
      </c>
      <c r="I7" s="16" t="n">
        <v>60000</v>
      </c>
      <c r="J7" s="16" t="n">
        <v>0</v>
      </c>
      <c r="K7" s="16" t="n">
        <v>60000</v>
      </c>
      <c r="L7" s="15" t="inlineStr">
        <is>
          <t>Approuve</t>
        </is>
      </c>
    </row>
    <row r="8" ht="22" customHeight="1">
      <c r="B8" s="19">
        <f>IF(C8="","VAR"&amp;TEXT(COUNTA($C$5:C8),"000"))</f>
        <v/>
      </c>
      <c r="C8" s="19" t="n"/>
      <c r="D8" s="19">
        <f>IF(C8="","",VLOOKUP(C8,'_Données Employés'!$B$5:$S$114,3,FALSE))</f>
        <v/>
      </c>
      <c r="E8" s="19" t="n"/>
      <c r="F8" s="19" t="n"/>
      <c r="G8" s="19" t="n"/>
      <c r="H8" s="19" t="n"/>
      <c r="I8" s="20">
        <f>IF(OR(F8="",G8=""),"",IFERROR(F8*G8/100,0))</f>
        <v/>
      </c>
      <c r="J8" s="19" t="n"/>
      <c r="K8" s="20">
        <f>IF(H8="","",IFERROR(H8+I8,0))</f>
        <v/>
      </c>
      <c r="L8" s="19" t="n"/>
    </row>
    <row r="9" ht="22" customHeight="1">
      <c r="B9" s="21">
        <f>IF(C9="","VAR"&amp;TEXT(COUNTA($C$5:C9),"000"))</f>
        <v/>
      </c>
      <c r="C9" s="21" t="n"/>
      <c r="D9" s="21">
        <f>IF(C9="","",VLOOKUP(C9,'_Données Employés'!$B$5:$S$114,3,FALSE))</f>
        <v/>
      </c>
      <c r="E9" s="21" t="n"/>
      <c r="F9" s="21" t="n"/>
      <c r="G9" s="21" t="n"/>
      <c r="H9" s="21" t="n"/>
      <c r="I9" s="16">
        <f>IF(OR(F9="",G9=""),"",IFERROR(F9*G9/100,0))</f>
        <v/>
      </c>
      <c r="J9" s="21" t="n"/>
      <c r="K9" s="16">
        <f>IF(H9="","",IFERROR(H9+I9,0))</f>
        <v/>
      </c>
      <c r="L9" s="21" t="n"/>
    </row>
    <row r="10" ht="22" customHeight="1">
      <c r="B10" s="22">
        <f>IF(C10="","VAR"&amp;TEXT(COUNTA($C$5:C10),"000"))</f>
        <v/>
      </c>
      <c r="C10" s="22" t="n"/>
      <c r="D10" s="22">
        <f>IF(C10="","",VLOOKUP(C10,'_Données Employés'!$B$5:$S$114,3,FALSE))</f>
        <v/>
      </c>
      <c r="E10" s="22" t="n"/>
      <c r="F10" s="22" t="n"/>
      <c r="G10" s="22" t="n"/>
      <c r="H10" s="22" t="n"/>
      <c r="I10" s="18">
        <f>IF(OR(F10="",G10=""),"",IFERROR(F10*G10/100,0))</f>
        <v/>
      </c>
      <c r="J10" s="22" t="n"/>
      <c r="K10" s="18">
        <f>IF(H10="","",IFERROR(H10+I10,0))</f>
        <v/>
      </c>
      <c r="L10" s="22" t="n"/>
    </row>
    <row r="11" ht="22" customHeight="1">
      <c r="B11" s="21">
        <f>IF(C11="","VAR"&amp;TEXT(COUNTA($C$5:C11),"000"))</f>
        <v/>
      </c>
      <c r="C11" s="21" t="n"/>
      <c r="D11" s="21">
        <f>IF(C11="","",VLOOKUP(C11,'_Données Employés'!$B$5:$S$114,3,FALSE))</f>
        <v/>
      </c>
      <c r="E11" s="21" t="n"/>
      <c r="F11" s="21" t="n"/>
      <c r="G11" s="21" t="n"/>
      <c r="H11" s="21" t="n"/>
      <c r="I11" s="16">
        <f>IF(OR(F11="",G11=""),"",IFERROR(F11*G11/100,0))</f>
        <v/>
      </c>
      <c r="J11" s="21" t="n"/>
      <c r="K11" s="16">
        <f>IF(H11="","",IFERROR(H11+I11,0))</f>
        <v/>
      </c>
      <c r="L11" s="21" t="n"/>
    </row>
    <row r="12" ht="22" customHeight="1">
      <c r="B12" s="22">
        <f>IF(C12="","VAR"&amp;TEXT(COUNTA($C$5:C12),"000"))</f>
        <v/>
      </c>
      <c r="C12" s="22" t="n"/>
      <c r="D12" s="22">
        <f>IF(C12="","",VLOOKUP(C12,'_Données Employés'!$B$5:$S$114,3,FALSE))</f>
        <v/>
      </c>
      <c r="E12" s="22" t="n"/>
      <c r="F12" s="22" t="n"/>
      <c r="G12" s="22" t="n"/>
      <c r="H12" s="22" t="n"/>
      <c r="I12" s="18">
        <f>IF(OR(F12="",G12=""),"",IFERROR(F12*G12/100,0))</f>
        <v/>
      </c>
      <c r="J12" s="22" t="n"/>
      <c r="K12" s="18">
        <f>IF(H12="","",IFERROR(H12+I12,0))</f>
        <v/>
      </c>
      <c r="L12" s="22" t="n"/>
    </row>
    <row r="13" ht="22" customHeight="1">
      <c r="B13" s="21">
        <f>IF(C13="","VAR"&amp;TEXT(COUNTA($C$5:C13),"000"))</f>
        <v/>
      </c>
      <c r="C13" s="21" t="n"/>
      <c r="D13" s="21">
        <f>IF(C13="","",VLOOKUP(C13,'_Données Employés'!$B$5:$S$114,3,FALSE))</f>
        <v/>
      </c>
      <c r="E13" s="21" t="n"/>
      <c r="F13" s="21" t="n"/>
      <c r="G13" s="21" t="n"/>
      <c r="H13" s="21" t="n"/>
      <c r="I13" s="16">
        <f>IF(OR(F13="",G13=""),"",IFERROR(F13*G13/100,0))</f>
        <v/>
      </c>
      <c r="J13" s="21" t="n"/>
      <c r="K13" s="16">
        <f>IF(H13="","",IFERROR(H13+I13,0))</f>
        <v/>
      </c>
      <c r="L13" s="21" t="n"/>
    </row>
    <row r="14" ht="22" customHeight="1">
      <c r="B14" s="22">
        <f>IF(C14="","VAR"&amp;TEXT(COUNTA($C$5:C14),"000"))</f>
        <v/>
      </c>
      <c r="C14" s="22" t="n"/>
      <c r="D14" s="22">
        <f>IF(C14="","",VLOOKUP(C14,'_Données Employés'!$B$5:$S$114,3,FALSE))</f>
        <v/>
      </c>
      <c r="E14" s="22" t="n"/>
      <c r="F14" s="22" t="n"/>
      <c r="G14" s="22" t="n"/>
      <c r="H14" s="22" t="n"/>
      <c r="I14" s="18">
        <f>IF(OR(F14="",G14=""),"",IFERROR(F14*G14/100,0))</f>
        <v/>
      </c>
      <c r="J14" s="22" t="n"/>
      <c r="K14" s="18">
        <f>IF(H14="","",IFERROR(H14+I14,0))</f>
        <v/>
      </c>
      <c r="L14" s="22" t="n"/>
    </row>
    <row r="15" ht="22" customHeight="1">
      <c r="B15" s="21">
        <f>IF(C15="","VAR"&amp;TEXT(COUNTA($C$5:C15),"000"))</f>
        <v/>
      </c>
      <c r="C15" s="21" t="n"/>
      <c r="D15" s="21">
        <f>IF(C15="","",VLOOKUP(C15,'_Données Employés'!$B$5:$S$114,3,FALSE))</f>
        <v/>
      </c>
      <c r="E15" s="21" t="n"/>
      <c r="F15" s="21" t="n"/>
      <c r="G15" s="21" t="n"/>
      <c r="H15" s="21" t="n"/>
      <c r="I15" s="16">
        <f>IF(OR(F15="",G15=""),"",IFERROR(F15*G15/100,0))</f>
        <v/>
      </c>
      <c r="J15" s="21" t="n"/>
      <c r="K15" s="16">
        <f>IF(H15="","",IFERROR(H15+I15,0))</f>
        <v/>
      </c>
      <c r="L15" s="21" t="n"/>
    </row>
    <row r="16" ht="22" customHeight="1">
      <c r="B16" s="22">
        <f>IF(C16="","VAR"&amp;TEXT(COUNTA($C$5:C16),"000"))</f>
        <v/>
      </c>
      <c r="C16" s="22" t="n"/>
      <c r="D16" s="22">
        <f>IF(C16="","",VLOOKUP(C16,'_Données Employés'!$B$5:$S$114,3,FALSE))</f>
        <v/>
      </c>
      <c r="E16" s="22" t="n"/>
      <c r="F16" s="22" t="n"/>
      <c r="G16" s="22" t="n"/>
      <c r="H16" s="22" t="n"/>
      <c r="I16" s="18">
        <f>IF(OR(F16="",G16=""),"",IFERROR(F16*G16/100,0))</f>
        <v/>
      </c>
      <c r="J16" s="22" t="n"/>
      <c r="K16" s="18">
        <f>IF(H16="","",IFERROR(H16+I16,0))</f>
        <v/>
      </c>
      <c r="L16" s="22" t="n"/>
    </row>
    <row r="17" ht="22" customHeight="1">
      <c r="B17" s="21">
        <f>IF(C17="","VAR"&amp;TEXT(COUNTA($C$5:C17),"000"))</f>
        <v/>
      </c>
      <c r="C17" s="21" t="n"/>
      <c r="D17" s="21">
        <f>IF(C17="","",VLOOKUP(C17,'_Données Employés'!$B$5:$S$114,3,FALSE))</f>
        <v/>
      </c>
      <c r="E17" s="21" t="n"/>
      <c r="F17" s="21" t="n"/>
      <c r="G17" s="21" t="n"/>
      <c r="H17" s="21" t="n"/>
      <c r="I17" s="16">
        <f>IF(OR(F17="",G17=""),"",IFERROR(F17*G17/100,0))</f>
        <v/>
      </c>
      <c r="J17" s="21" t="n"/>
      <c r="K17" s="16">
        <f>IF(H17="","",IFERROR(H17+I17,0))</f>
        <v/>
      </c>
      <c r="L17" s="21" t="n"/>
    </row>
    <row r="18" ht="22" customHeight="1">
      <c r="B18" s="22">
        <f>IF(C18="","VAR"&amp;TEXT(COUNTA($C$5:C18),"000"))</f>
        <v/>
      </c>
      <c r="C18" s="22" t="n"/>
      <c r="D18" s="22">
        <f>IF(C18="","",VLOOKUP(C18,'_Données Employés'!$B$5:$S$114,3,FALSE))</f>
        <v/>
      </c>
      <c r="E18" s="22" t="n"/>
      <c r="F18" s="22" t="n"/>
      <c r="G18" s="22" t="n"/>
      <c r="H18" s="22" t="n"/>
      <c r="I18" s="18">
        <f>IF(OR(F18="",G18=""),"",IFERROR(F18*G18/100,0))</f>
        <v/>
      </c>
      <c r="J18" s="22" t="n"/>
      <c r="K18" s="18">
        <f>IF(H18="","",IFERROR(H18+I18,0))</f>
        <v/>
      </c>
      <c r="L18" s="22" t="n"/>
    </row>
    <row r="19" ht="22" customHeight="1">
      <c r="B19" s="21">
        <f>IF(C19="","VAR"&amp;TEXT(COUNTA($C$5:C19),"000"))</f>
        <v/>
      </c>
      <c r="C19" s="21" t="n"/>
      <c r="D19" s="21">
        <f>IF(C19="","",VLOOKUP(C19,'_Données Employés'!$B$5:$S$114,3,FALSE))</f>
        <v/>
      </c>
      <c r="E19" s="21" t="n"/>
      <c r="F19" s="21" t="n"/>
      <c r="G19" s="21" t="n"/>
      <c r="H19" s="21" t="n"/>
      <c r="I19" s="16">
        <f>IF(OR(F19="",G19=""),"",IFERROR(F19*G19/100,0))</f>
        <v/>
      </c>
      <c r="J19" s="21" t="n"/>
      <c r="K19" s="16">
        <f>IF(H19="","",IFERROR(H19+I19,0))</f>
        <v/>
      </c>
      <c r="L19" s="21" t="n"/>
    </row>
    <row r="20" ht="22" customHeight="1">
      <c r="B20" s="22">
        <f>IF(C20="","VAR"&amp;TEXT(COUNTA($C$5:C20),"000"))</f>
        <v/>
      </c>
      <c r="C20" s="22" t="n"/>
      <c r="D20" s="22">
        <f>IF(C20="","",VLOOKUP(C20,'_Données Employés'!$B$5:$S$114,3,FALSE))</f>
        <v/>
      </c>
      <c r="E20" s="22" t="n"/>
      <c r="F20" s="22" t="n"/>
      <c r="G20" s="22" t="n"/>
      <c r="H20" s="22" t="n"/>
      <c r="I20" s="18">
        <f>IF(OR(F20="",G20=""),"",IFERROR(F20*G20/100,0))</f>
        <v/>
      </c>
      <c r="J20" s="22" t="n"/>
      <c r="K20" s="18">
        <f>IF(H20="","",IFERROR(H20+I20,0))</f>
        <v/>
      </c>
      <c r="L20" s="22" t="n"/>
    </row>
    <row r="21" ht="22" customHeight="1">
      <c r="B21" s="21">
        <f>IF(C21="","VAR"&amp;TEXT(COUNTA($C$5:C21),"000"))</f>
        <v/>
      </c>
      <c r="C21" s="21" t="n"/>
      <c r="D21" s="21">
        <f>IF(C21="","",VLOOKUP(C21,'_Données Employés'!$B$5:$S$114,3,FALSE))</f>
        <v/>
      </c>
      <c r="E21" s="21" t="n"/>
      <c r="F21" s="21" t="n"/>
      <c r="G21" s="21" t="n"/>
      <c r="H21" s="21" t="n"/>
      <c r="I21" s="16">
        <f>IF(OR(F21="",G21=""),"",IFERROR(F21*G21/100,0))</f>
        <v/>
      </c>
      <c r="J21" s="21" t="n"/>
      <c r="K21" s="16">
        <f>IF(H21="","",IFERROR(H21+I21,0))</f>
        <v/>
      </c>
      <c r="L21" s="21" t="n"/>
    </row>
    <row r="22" ht="22" customHeight="1">
      <c r="B22" s="22">
        <f>IF(C22="","VAR"&amp;TEXT(COUNTA($C$5:C22),"000"))</f>
        <v/>
      </c>
      <c r="C22" s="22" t="n"/>
      <c r="D22" s="22">
        <f>IF(C22="","",VLOOKUP(C22,'_Données Employés'!$B$5:$S$114,3,FALSE))</f>
        <v/>
      </c>
      <c r="E22" s="22" t="n"/>
      <c r="F22" s="22" t="n"/>
      <c r="G22" s="22" t="n"/>
      <c r="H22" s="22" t="n"/>
      <c r="I22" s="18">
        <f>IF(OR(F22="",G22=""),"",IFERROR(F22*G22/100,0))</f>
        <v/>
      </c>
      <c r="J22" s="22" t="n"/>
      <c r="K22" s="18">
        <f>IF(H22="","",IFERROR(H22+I22,0))</f>
        <v/>
      </c>
      <c r="L22" s="22" t="n"/>
    </row>
    <row r="23" ht="22" customHeight="1">
      <c r="B23" s="21">
        <f>IF(C23="","VAR"&amp;TEXT(COUNTA($C$5:C23),"000"))</f>
        <v/>
      </c>
      <c r="C23" s="21" t="n"/>
      <c r="D23" s="21">
        <f>IF(C23="","",VLOOKUP(C23,'_Données Employés'!$B$5:$S$114,3,FALSE))</f>
        <v/>
      </c>
      <c r="E23" s="21" t="n"/>
      <c r="F23" s="21" t="n"/>
      <c r="G23" s="21" t="n"/>
      <c r="H23" s="21" t="n"/>
      <c r="I23" s="16">
        <f>IF(OR(F23="",G23=""),"",IFERROR(F23*G23/100,0))</f>
        <v/>
      </c>
      <c r="J23" s="21" t="n"/>
      <c r="K23" s="16">
        <f>IF(H23="","",IFERROR(H23+I23,0))</f>
        <v/>
      </c>
      <c r="L23" s="21" t="n"/>
    </row>
    <row r="24" ht="22" customHeight="1">
      <c r="B24" s="22">
        <f>IF(C24="","VAR"&amp;TEXT(COUNTA($C$5:C24),"000"))</f>
        <v/>
      </c>
      <c r="C24" s="22" t="n"/>
      <c r="D24" s="22">
        <f>IF(C24="","",VLOOKUP(C24,'_Données Employés'!$B$5:$S$114,3,FALSE))</f>
        <v/>
      </c>
      <c r="E24" s="22" t="n"/>
      <c r="F24" s="22" t="n"/>
      <c r="G24" s="22" t="n"/>
      <c r="H24" s="22" t="n"/>
      <c r="I24" s="18">
        <f>IF(OR(F24="",G24=""),"",IFERROR(F24*G24/100,0))</f>
        <v/>
      </c>
      <c r="J24" s="22" t="n"/>
      <c r="K24" s="18">
        <f>IF(H24="","",IFERROR(H24+I24,0))</f>
        <v/>
      </c>
      <c r="L24" s="22" t="n"/>
    </row>
    <row r="25" ht="22" customHeight="1">
      <c r="B25" s="21">
        <f>IF(C25="","VAR"&amp;TEXT(COUNTA($C$5:C25),"000"))</f>
        <v/>
      </c>
      <c r="C25" s="21" t="n"/>
      <c r="D25" s="21">
        <f>IF(C25="","",VLOOKUP(C25,'_Données Employés'!$B$5:$S$114,3,FALSE))</f>
        <v/>
      </c>
      <c r="E25" s="21" t="n"/>
      <c r="F25" s="21" t="n"/>
      <c r="G25" s="21" t="n"/>
      <c r="H25" s="21" t="n"/>
      <c r="I25" s="16">
        <f>IF(OR(F25="",G25=""),"",IFERROR(F25*G25/100,0))</f>
        <v/>
      </c>
      <c r="J25" s="21" t="n"/>
      <c r="K25" s="16">
        <f>IF(H25="","",IFERROR(H25+I25,0))</f>
        <v/>
      </c>
      <c r="L25" s="21" t="n"/>
    </row>
    <row r="26" ht="22" customHeight="1">
      <c r="B26" s="22">
        <f>IF(C26="","VAR"&amp;TEXT(COUNTA($C$5:C26),"000"))</f>
        <v/>
      </c>
      <c r="C26" s="22" t="n"/>
      <c r="D26" s="22">
        <f>IF(C26="","",VLOOKUP(C26,'_Données Employés'!$B$5:$S$114,3,FALSE))</f>
        <v/>
      </c>
      <c r="E26" s="22" t="n"/>
      <c r="F26" s="22" t="n"/>
      <c r="G26" s="22" t="n"/>
      <c r="H26" s="22" t="n"/>
      <c r="I26" s="18">
        <f>IF(OR(F26="",G26=""),"",IFERROR(F26*G26/100,0))</f>
        <v/>
      </c>
      <c r="J26" s="22" t="n"/>
      <c r="K26" s="18">
        <f>IF(H26="","",IFERROR(H26+I26,0))</f>
        <v/>
      </c>
      <c r="L26" s="22" t="n"/>
    </row>
    <row r="27" ht="22" customHeight="1">
      <c r="B27" s="21">
        <f>IF(C27="","VAR"&amp;TEXT(COUNTA($C$5:C27),"000"))</f>
        <v/>
      </c>
      <c r="C27" s="21" t="n"/>
      <c r="D27" s="21">
        <f>IF(C27="","",VLOOKUP(C27,'_Données Employés'!$B$5:$S$114,3,FALSE))</f>
        <v/>
      </c>
      <c r="E27" s="21" t="n"/>
      <c r="F27" s="21" t="n"/>
      <c r="G27" s="21" t="n"/>
      <c r="H27" s="21" t="n"/>
      <c r="I27" s="16">
        <f>IF(OR(F27="",G27=""),"",IFERROR(F27*G27/100,0))</f>
        <v/>
      </c>
      <c r="J27" s="21" t="n"/>
      <c r="K27" s="16">
        <f>IF(H27="","",IFERROR(H27+I27,0))</f>
        <v/>
      </c>
      <c r="L27" s="21" t="n"/>
    </row>
    <row r="28" ht="22" customHeight="1">
      <c r="B28" s="22">
        <f>IF(C28="","VAR"&amp;TEXT(COUNTA($C$5:C28),"000"))</f>
        <v/>
      </c>
      <c r="C28" s="22" t="n"/>
      <c r="D28" s="22">
        <f>IF(C28="","",VLOOKUP(C28,'_Données Employés'!$B$5:$S$114,3,FALSE))</f>
        <v/>
      </c>
      <c r="E28" s="22" t="n"/>
      <c r="F28" s="22" t="n"/>
      <c r="G28" s="22" t="n"/>
      <c r="H28" s="22" t="n"/>
      <c r="I28" s="18">
        <f>IF(OR(F28="",G28=""),"",IFERROR(F28*G28/100,0))</f>
        <v/>
      </c>
      <c r="J28" s="22" t="n"/>
      <c r="K28" s="18">
        <f>IF(H28="","",IFERROR(H28+I28,0))</f>
        <v/>
      </c>
      <c r="L28" s="22" t="n"/>
    </row>
    <row r="29" ht="22" customHeight="1">
      <c r="B29" s="21">
        <f>IF(C29="","VAR"&amp;TEXT(COUNTA($C$5:C29),"000"))</f>
        <v/>
      </c>
      <c r="C29" s="21" t="n"/>
      <c r="D29" s="21">
        <f>IF(C29="","",VLOOKUP(C29,'_Données Employés'!$B$5:$S$114,3,FALSE))</f>
        <v/>
      </c>
      <c r="E29" s="21" t="n"/>
      <c r="F29" s="21" t="n"/>
      <c r="G29" s="21" t="n"/>
      <c r="H29" s="21" t="n"/>
      <c r="I29" s="16">
        <f>IF(OR(F29="",G29=""),"",IFERROR(F29*G29/100,0))</f>
        <v/>
      </c>
      <c r="J29" s="21" t="n"/>
      <c r="K29" s="16">
        <f>IF(H29="","",IFERROR(H29+I29,0))</f>
        <v/>
      </c>
      <c r="L29" s="21" t="n"/>
    </row>
    <row r="30" ht="22" customHeight="1">
      <c r="B30" s="22">
        <f>IF(C30="","VAR"&amp;TEXT(COUNTA($C$5:C30),"000"))</f>
        <v/>
      </c>
      <c r="C30" s="22" t="n"/>
      <c r="D30" s="22">
        <f>IF(C30="","",VLOOKUP(C30,'_Données Employés'!$B$5:$S$114,3,FALSE))</f>
        <v/>
      </c>
      <c r="E30" s="22" t="n"/>
      <c r="F30" s="22" t="n"/>
      <c r="G30" s="22" t="n"/>
      <c r="H30" s="22" t="n"/>
      <c r="I30" s="18">
        <f>IF(OR(F30="",G30=""),"",IFERROR(F30*G30/100,0))</f>
        <v/>
      </c>
      <c r="J30" s="22" t="n"/>
      <c r="K30" s="18">
        <f>IF(H30="","",IFERROR(H30+I30,0))</f>
        <v/>
      </c>
      <c r="L30" s="22" t="n"/>
    </row>
    <row r="31" ht="22" customHeight="1">
      <c r="B31" s="21">
        <f>IF(C31="","VAR"&amp;TEXT(COUNTA($C$5:C31),"000"))</f>
        <v/>
      </c>
      <c r="C31" s="21" t="n"/>
      <c r="D31" s="21">
        <f>IF(C31="","",VLOOKUP(C31,'_Données Employés'!$B$5:$S$114,3,FALSE))</f>
        <v/>
      </c>
      <c r="E31" s="21" t="n"/>
      <c r="F31" s="21" t="n"/>
      <c r="G31" s="21" t="n"/>
      <c r="H31" s="21" t="n"/>
      <c r="I31" s="16">
        <f>IF(OR(F31="",G31=""),"",IFERROR(F31*G31/100,0))</f>
        <v/>
      </c>
      <c r="J31" s="21" t="n"/>
      <c r="K31" s="16">
        <f>IF(H31="","",IFERROR(H31+I31,0))</f>
        <v/>
      </c>
      <c r="L31" s="21" t="n"/>
    </row>
    <row r="32" ht="22" customHeight="1">
      <c r="B32" s="22">
        <f>IF(C32="","VAR"&amp;TEXT(COUNTA($C$5:C32),"000"))</f>
        <v/>
      </c>
      <c r="C32" s="22" t="n"/>
      <c r="D32" s="22">
        <f>IF(C32="","",VLOOKUP(C32,'_Données Employés'!$B$5:$S$114,3,FALSE))</f>
        <v/>
      </c>
      <c r="E32" s="22" t="n"/>
      <c r="F32" s="22" t="n"/>
      <c r="G32" s="22" t="n"/>
      <c r="H32" s="22" t="n"/>
      <c r="I32" s="18">
        <f>IF(OR(F32="",G32=""),"",IFERROR(F32*G32/100,0))</f>
        <v/>
      </c>
      <c r="J32" s="22" t="n"/>
      <c r="K32" s="18">
        <f>IF(H32="","",IFERROR(H32+I32,0))</f>
        <v/>
      </c>
      <c r="L32" s="22" t="n"/>
    </row>
    <row r="33" ht="22" customHeight="1">
      <c r="B33" s="21">
        <f>IF(C33="","VAR"&amp;TEXT(COUNTA($C$5:C33),"000"))</f>
        <v/>
      </c>
      <c r="C33" s="21" t="n"/>
      <c r="D33" s="21">
        <f>IF(C33="","",VLOOKUP(C33,'_Données Employés'!$B$5:$S$114,3,FALSE))</f>
        <v/>
      </c>
      <c r="E33" s="21" t="n"/>
      <c r="F33" s="21" t="n"/>
      <c r="G33" s="21" t="n"/>
      <c r="H33" s="21" t="n"/>
      <c r="I33" s="16">
        <f>IF(OR(F33="",G33=""),"",IFERROR(F33*G33/100,0))</f>
        <v/>
      </c>
      <c r="J33" s="21" t="n"/>
      <c r="K33" s="16">
        <f>IF(H33="","",IFERROR(H33+I33,0))</f>
        <v/>
      </c>
      <c r="L33" s="21" t="n"/>
    </row>
    <row r="34" ht="22" customHeight="1">
      <c r="B34" s="22">
        <f>IF(C34="","VAR"&amp;TEXT(COUNTA($C$5:C34),"000"))</f>
        <v/>
      </c>
      <c r="C34" s="22" t="n"/>
      <c r="D34" s="22">
        <f>IF(C34="","",VLOOKUP(C34,'_Données Employés'!$B$5:$S$114,3,FALSE))</f>
        <v/>
      </c>
      <c r="E34" s="22" t="n"/>
      <c r="F34" s="22" t="n"/>
      <c r="G34" s="22" t="n"/>
      <c r="H34" s="22" t="n"/>
      <c r="I34" s="18">
        <f>IF(OR(F34="",G34=""),"",IFERROR(F34*G34/100,0))</f>
        <v/>
      </c>
      <c r="J34" s="22" t="n"/>
      <c r="K34" s="18">
        <f>IF(H34="","",IFERROR(H34+I34,0))</f>
        <v/>
      </c>
      <c r="L34" s="22" t="n"/>
    </row>
    <row r="35" ht="22" customHeight="1">
      <c r="B35" s="21">
        <f>IF(C35="","VAR"&amp;TEXT(COUNTA($C$5:C35),"000"))</f>
        <v/>
      </c>
      <c r="C35" s="21" t="n"/>
      <c r="D35" s="21">
        <f>IF(C35="","",VLOOKUP(C35,'_Données Employés'!$B$5:$S$114,3,FALSE))</f>
        <v/>
      </c>
      <c r="E35" s="21" t="n"/>
      <c r="F35" s="21" t="n"/>
      <c r="G35" s="21" t="n"/>
      <c r="H35" s="21" t="n"/>
      <c r="I35" s="16">
        <f>IF(OR(F35="",G35=""),"",IFERROR(F35*G35/100,0))</f>
        <v/>
      </c>
      <c r="J35" s="21" t="n"/>
      <c r="K35" s="16">
        <f>IF(H35="","",IFERROR(H35+I35,0))</f>
        <v/>
      </c>
      <c r="L35" s="21" t="n"/>
    </row>
    <row r="36" ht="22" customHeight="1">
      <c r="B36" s="22">
        <f>IF(C36="","VAR"&amp;TEXT(COUNTA($C$5:C36),"000"))</f>
        <v/>
      </c>
      <c r="C36" s="22" t="n"/>
      <c r="D36" s="22">
        <f>IF(C36="","",VLOOKUP(C36,'_Données Employés'!$B$5:$S$114,3,FALSE))</f>
        <v/>
      </c>
      <c r="E36" s="22" t="n"/>
      <c r="F36" s="22" t="n"/>
      <c r="G36" s="22" t="n"/>
      <c r="H36" s="22" t="n"/>
      <c r="I36" s="18">
        <f>IF(OR(F36="",G36=""),"",IFERROR(F36*G36/100,0))</f>
        <v/>
      </c>
      <c r="J36" s="22" t="n"/>
      <c r="K36" s="18">
        <f>IF(H36="","",IFERROR(H36+I36,0))</f>
        <v/>
      </c>
      <c r="L36" s="22" t="n"/>
    </row>
    <row r="37" ht="22" customHeight="1">
      <c r="B37" s="21">
        <f>IF(C37="","VAR"&amp;TEXT(COUNTA($C$5:C37),"000"))</f>
        <v/>
      </c>
      <c r="C37" s="21" t="n"/>
      <c r="D37" s="21">
        <f>IF(C37="","",VLOOKUP(C37,'_Données Employés'!$B$5:$S$114,3,FALSE))</f>
        <v/>
      </c>
      <c r="E37" s="21" t="n"/>
      <c r="F37" s="21" t="n"/>
      <c r="G37" s="21" t="n"/>
      <c r="H37" s="21" t="n"/>
      <c r="I37" s="16">
        <f>IF(OR(F37="",G37=""),"",IFERROR(F37*G37/100,0))</f>
        <v/>
      </c>
      <c r="J37" s="21" t="n"/>
      <c r="K37" s="16">
        <f>IF(H37="","",IFERROR(H37+I37,0))</f>
        <v/>
      </c>
      <c r="L37" s="21" t="n"/>
    </row>
    <row r="38" ht="22" customHeight="1">
      <c r="B38" s="22">
        <f>IF(C38="","VAR"&amp;TEXT(COUNTA($C$5:C38),"000"))</f>
        <v/>
      </c>
      <c r="C38" s="22" t="n"/>
      <c r="D38" s="22">
        <f>IF(C38="","",VLOOKUP(C38,'_Données Employés'!$B$5:$S$114,3,FALSE))</f>
        <v/>
      </c>
      <c r="E38" s="22" t="n"/>
      <c r="F38" s="22" t="n"/>
      <c r="G38" s="22" t="n"/>
      <c r="H38" s="22" t="n"/>
      <c r="I38" s="18">
        <f>IF(OR(F38="",G38=""),"",IFERROR(F38*G38/100,0))</f>
        <v/>
      </c>
      <c r="J38" s="22" t="n"/>
      <c r="K38" s="18">
        <f>IF(H38="","",IFERROR(H38+I38,0))</f>
        <v/>
      </c>
      <c r="L38" s="22" t="n"/>
    </row>
    <row r="39" ht="22" customHeight="1">
      <c r="B39" s="21">
        <f>IF(C39="","VAR"&amp;TEXT(COUNTA($C$5:C39),"000"))</f>
        <v/>
      </c>
      <c r="C39" s="21" t="n"/>
      <c r="D39" s="21">
        <f>IF(C39="","",VLOOKUP(C39,'_Données Employés'!$B$5:$S$114,3,FALSE))</f>
        <v/>
      </c>
      <c r="E39" s="21" t="n"/>
      <c r="F39" s="21" t="n"/>
      <c r="G39" s="21" t="n"/>
      <c r="H39" s="21" t="n"/>
      <c r="I39" s="16">
        <f>IF(OR(F39="",G39=""),"",IFERROR(F39*G39/100,0))</f>
        <v/>
      </c>
      <c r="J39" s="21" t="n"/>
      <c r="K39" s="16">
        <f>IF(H39="","",IFERROR(H39+I39,0))</f>
        <v/>
      </c>
      <c r="L39" s="21" t="n"/>
    </row>
    <row r="40" ht="22" customHeight="1">
      <c r="B40" s="22">
        <f>IF(C40="","VAR"&amp;TEXT(COUNTA($C$5:C40),"000"))</f>
        <v/>
      </c>
      <c r="C40" s="22" t="n"/>
      <c r="D40" s="22">
        <f>IF(C40="","",VLOOKUP(C40,'_Données Employés'!$B$5:$S$114,3,FALSE))</f>
        <v/>
      </c>
      <c r="E40" s="22" t="n"/>
      <c r="F40" s="22" t="n"/>
      <c r="G40" s="22" t="n"/>
      <c r="H40" s="22" t="n"/>
      <c r="I40" s="18">
        <f>IF(OR(F40="",G40=""),"",IFERROR(F40*G40/100,0))</f>
        <v/>
      </c>
      <c r="J40" s="22" t="n"/>
      <c r="K40" s="18">
        <f>IF(H40="","",IFERROR(H40+I40,0))</f>
        <v/>
      </c>
      <c r="L40" s="22" t="n"/>
    </row>
    <row r="41" ht="22" customHeight="1">
      <c r="B41" s="21">
        <f>IF(C41="","VAR"&amp;TEXT(COUNTA($C$5:C41),"000"))</f>
        <v/>
      </c>
      <c r="C41" s="21" t="n"/>
      <c r="D41" s="21">
        <f>IF(C41="","",VLOOKUP(C41,'_Données Employés'!$B$5:$S$114,3,FALSE))</f>
        <v/>
      </c>
      <c r="E41" s="21" t="n"/>
      <c r="F41" s="21" t="n"/>
      <c r="G41" s="21" t="n"/>
      <c r="H41" s="21" t="n"/>
      <c r="I41" s="16">
        <f>IF(OR(F41="",G41=""),"",IFERROR(F41*G41/100,0))</f>
        <v/>
      </c>
      <c r="J41" s="21" t="n"/>
      <c r="K41" s="16">
        <f>IF(H41="","",IFERROR(H41+I41,0))</f>
        <v/>
      </c>
      <c r="L41" s="21" t="n"/>
    </row>
    <row r="42" ht="22" customHeight="1">
      <c r="B42" s="22">
        <f>IF(C42="","VAR"&amp;TEXT(COUNTA($C$5:C42),"000"))</f>
        <v/>
      </c>
      <c r="C42" s="22" t="n"/>
      <c r="D42" s="22">
        <f>IF(C42="","",VLOOKUP(C42,'_Données Employés'!$B$5:$S$114,3,FALSE))</f>
        <v/>
      </c>
      <c r="E42" s="22" t="n"/>
      <c r="F42" s="22" t="n"/>
      <c r="G42" s="22" t="n"/>
      <c r="H42" s="22" t="n"/>
      <c r="I42" s="18">
        <f>IF(OR(F42="",G42=""),"",IFERROR(F42*G42/100,0))</f>
        <v/>
      </c>
      <c r="J42" s="22" t="n"/>
      <c r="K42" s="18">
        <f>IF(H42="","",IFERROR(H42+I42,0))</f>
        <v/>
      </c>
      <c r="L42" s="22" t="n"/>
    </row>
    <row r="43" ht="22" customHeight="1">
      <c r="B43" s="21">
        <f>IF(C43="","VAR"&amp;TEXT(COUNTA($C$5:C43),"000"))</f>
        <v/>
      </c>
      <c r="C43" s="21" t="n"/>
      <c r="D43" s="21">
        <f>IF(C43="","",VLOOKUP(C43,'_Données Employés'!$B$5:$S$114,3,FALSE))</f>
        <v/>
      </c>
      <c r="E43" s="21" t="n"/>
      <c r="F43" s="21" t="n"/>
      <c r="G43" s="21" t="n"/>
      <c r="H43" s="21" t="n"/>
      <c r="I43" s="16">
        <f>IF(OR(F43="",G43=""),"",IFERROR(F43*G43/100,0))</f>
        <v/>
      </c>
      <c r="J43" s="21" t="n"/>
      <c r="K43" s="16">
        <f>IF(H43="","",IFERROR(H43+I43,0))</f>
        <v/>
      </c>
      <c r="L43" s="21" t="n"/>
    </row>
    <row r="44" ht="22" customHeight="1">
      <c r="B44" s="22">
        <f>IF(C44="","VAR"&amp;TEXT(COUNTA($C$5:C44),"000"))</f>
        <v/>
      </c>
      <c r="C44" s="22" t="n"/>
      <c r="D44" s="22">
        <f>IF(C44="","",VLOOKUP(C44,'_Données Employés'!$B$5:$S$114,3,FALSE))</f>
        <v/>
      </c>
      <c r="E44" s="22" t="n"/>
      <c r="F44" s="22" t="n"/>
      <c r="G44" s="22" t="n"/>
      <c r="H44" s="22" t="n"/>
      <c r="I44" s="18">
        <f>IF(OR(F44="",G44=""),"",IFERROR(F44*G44/100,0))</f>
        <v/>
      </c>
      <c r="J44" s="22" t="n"/>
      <c r="K44" s="18">
        <f>IF(H44="","",IFERROR(H44+I44,0))</f>
        <v/>
      </c>
      <c r="L44" s="22" t="n"/>
    </row>
    <row r="45" ht="22" customHeight="1">
      <c r="B45" s="21">
        <f>IF(C45="","VAR"&amp;TEXT(COUNTA($C$5:C45),"000"))</f>
        <v/>
      </c>
      <c r="C45" s="21" t="n"/>
      <c r="D45" s="21">
        <f>IF(C45="","",VLOOKUP(C45,'_Données Employés'!$B$5:$S$114,3,FALSE))</f>
        <v/>
      </c>
      <c r="E45" s="21" t="n"/>
      <c r="F45" s="21" t="n"/>
      <c r="G45" s="21" t="n"/>
      <c r="H45" s="21" t="n"/>
      <c r="I45" s="16">
        <f>IF(OR(F45="",G45=""),"",IFERROR(F45*G45/100,0))</f>
        <v/>
      </c>
      <c r="J45" s="21" t="n"/>
      <c r="K45" s="16">
        <f>IF(H45="","",IFERROR(H45+I45,0))</f>
        <v/>
      </c>
      <c r="L45" s="21" t="n"/>
    </row>
    <row r="46" ht="22" customHeight="1">
      <c r="B46" s="22">
        <f>IF(C46="","VAR"&amp;TEXT(COUNTA($C$5:C46),"000"))</f>
        <v/>
      </c>
      <c r="C46" s="22" t="n"/>
      <c r="D46" s="22">
        <f>IF(C46="","",VLOOKUP(C46,'_Données Employés'!$B$5:$S$114,3,FALSE))</f>
        <v/>
      </c>
      <c r="E46" s="22" t="n"/>
      <c r="F46" s="22" t="n"/>
      <c r="G46" s="22" t="n"/>
      <c r="H46" s="22" t="n"/>
      <c r="I46" s="18">
        <f>IF(OR(F46="",G46=""),"",IFERROR(F46*G46/100,0))</f>
        <v/>
      </c>
      <c r="J46" s="22" t="n"/>
      <c r="K46" s="18">
        <f>IF(H46="","",IFERROR(H46+I46,0))</f>
        <v/>
      </c>
      <c r="L46" s="22" t="n"/>
    </row>
    <row r="47" ht="22" customHeight="1">
      <c r="B47" s="21">
        <f>IF(C47="","VAR"&amp;TEXT(COUNTA($C$5:C47),"000"))</f>
        <v/>
      </c>
      <c r="C47" s="21" t="n"/>
      <c r="D47" s="21">
        <f>IF(C47="","",VLOOKUP(C47,'_Données Employés'!$B$5:$S$114,3,FALSE))</f>
        <v/>
      </c>
      <c r="E47" s="21" t="n"/>
      <c r="F47" s="21" t="n"/>
      <c r="G47" s="21" t="n"/>
      <c r="H47" s="21" t="n"/>
      <c r="I47" s="16">
        <f>IF(OR(F47="",G47=""),"",IFERROR(F47*G47/100,0))</f>
        <v/>
      </c>
      <c r="J47" s="21" t="n"/>
      <c r="K47" s="16">
        <f>IF(H47="","",IFERROR(H47+I47,0))</f>
        <v/>
      </c>
      <c r="L47" s="21" t="n"/>
    </row>
    <row r="48" ht="22" customHeight="1">
      <c r="B48" s="22">
        <f>IF(C48="","VAR"&amp;TEXT(COUNTA($C$5:C48),"000"))</f>
        <v/>
      </c>
      <c r="C48" s="22" t="n"/>
      <c r="D48" s="22">
        <f>IF(C48="","",VLOOKUP(C48,'_Données Employés'!$B$5:$S$114,3,FALSE))</f>
        <v/>
      </c>
      <c r="E48" s="22" t="n"/>
      <c r="F48" s="22" t="n"/>
      <c r="G48" s="22" t="n"/>
      <c r="H48" s="22" t="n"/>
      <c r="I48" s="18">
        <f>IF(OR(F48="",G48=""),"",IFERROR(F48*G48/100,0))</f>
        <v/>
      </c>
      <c r="J48" s="22" t="n"/>
      <c r="K48" s="18">
        <f>IF(H48="","",IFERROR(H48+I48,0))</f>
        <v/>
      </c>
      <c r="L48" s="22" t="n"/>
    </row>
    <row r="49" ht="22" customHeight="1">
      <c r="B49" s="21">
        <f>IF(C49="","VAR"&amp;TEXT(COUNTA($C$5:C49),"000"))</f>
        <v/>
      </c>
      <c r="C49" s="21" t="n"/>
      <c r="D49" s="21">
        <f>IF(C49="","",VLOOKUP(C49,'_Données Employés'!$B$5:$S$114,3,FALSE))</f>
        <v/>
      </c>
      <c r="E49" s="21" t="n"/>
      <c r="F49" s="21" t="n"/>
      <c r="G49" s="21" t="n"/>
      <c r="H49" s="21" t="n"/>
      <c r="I49" s="16">
        <f>IF(OR(F49="",G49=""),"",IFERROR(F49*G49/100,0))</f>
        <v/>
      </c>
      <c r="J49" s="21" t="n"/>
      <c r="K49" s="16">
        <f>IF(H49="","",IFERROR(H49+I49,0))</f>
        <v/>
      </c>
      <c r="L49" s="21" t="n"/>
    </row>
    <row r="50" ht="22" customHeight="1">
      <c r="B50" s="22">
        <f>IF(C50="","VAR"&amp;TEXT(COUNTA($C$5:C50),"000"))</f>
        <v/>
      </c>
      <c r="C50" s="22" t="n"/>
      <c r="D50" s="22">
        <f>IF(C50="","",VLOOKUP(C50,'_Données Employés'!$B$5:$S$114,3,FALSE))</f>
        <v/>
      </c>
      <c r="E50" s="22" t="n"/>
      <c r="F50" s="22" t="n"/>
      <c r="G50" s="22" t="n"/>
      <c r="H50" s="22" t="n"/>
      <c r="I50" s="18">
        <f>IF(OR(F50="",G50=""),"",IFERROR(F50*G50/100,0))</f>
        <v/>
      </c>
      <c r="J50" s="22" t="n"/>
      <c r="K50" s="18">
        <f>IF(H50="","",IFERROR(H50+I50,0))</f>
        <v/>
      </c>
      <c r="L50" s="22" t="n"/>
    </row>
    <row r="51" ht="22" customHeight="1">
      <c r="B51" s="21">
        <f>IF(C51="","VAR"&amp;TEXT(COUNTA($C$5:C51),"000"))</f>
        <v/>
      </c>
      <c r="C51" s="21" t="n"/>
      <c r="D51" s="21">
        <f>IF(C51="","",VLOOKUP(C51,'_Données Employés'!$B$5:$S$114,3,FALSE))</f>
        <v/>
      </c>
      <c r="E51" s="21" t="n"/>
      <c r="F51" s="21" t="n"/>
      <c r="G51" s="21" t="n"/>
      <c r="H51" s="21" t="n"/>
      <c r="I51" s="16">
        <f>IF(OR(F51="",G51=""),"",IFERROR(F51*G51/100,0))</f>
        <v/>
      </c>
      <c r="J51" s="21" t="n"/>
      <c r="K51" s="16">
        <f>IF(H51="","",IFERROR(H51+I51,0))</f>
        <v/>
      </c>
      <c r="L51" s="21" t="n"/>
    </row>
    <row r="52" ht="22" customHeight="1">
      <c r="B52" s="22">
        <f>IF(C52="","VAR"&amp;TEXT(COUNTA($C$5:C52),"000"))</f>
        <v/>
      </c>
      <c r="C52" s="22" t="n"/>
      <c r="D52" s="22">
        <f>IF(C52="","",VLOOKUP(C52,'_Données Employés'!$B$5:$S$114,3,FALSE))</f>
        <v/>
      </c>
      <c r="E52" s="22" t="n"/>
      <c r="F52" s="22" t="n"/>
      <c r="G52" s="22" t="n"/>
      <c r="H52" s="22" t="n"/>
      <c r="I52" s="18">
        <f>IF(OR(F52="",G52=""),"",IFERROR(F52*G52/100,0))</f>
        <v/>
      </c>
      <c r="J52" s="22" t="n"/>
      <c r="K52" s="18">
        <f>IF(H52="","",IFERROR(H52+I52,0))</f>
        <v/>
      </c>
      <c r="L52" s="22" t="n"/>
    </row>
    <row r="53" ht="22" customHeight="1">
      <c r="B53" s="21">
        <f>IF(C53="","VAR"&amp;TEXT(COUNTA($C$5:C53),"000"))</f>
        <v/>
      </c>
      <c r="C53" s="21" t="n"/>
      <c r="D53" s="21">
        <f>IF(C53="","",VLOOKUP(C53,'_Données Employés'!$B$5:$S$114,3,FALSE))</f>
        <v/>
      </c>
      <c r="E53" s="21" t="n"/>
      <c r="F53" s="21" t="n"/>
      <c r="G53" s="21" t="n"/>
      <c r="H53" s="21" t="n"/>
      <c r="I53" s="16">
        <f>IF(OR(F53="",G53=""),"",IFERROR(F53*G53/100,0))</f>
        <v/>
      </c>
      <c r="J53" s="21" t="n"/>
      <c r="K53" s="16">
        <f>IF(H53="","",IFERROR(H53+I53,0))</f>
        <v/>
      </c>
      <c r="L53" s="21" t="n"/>
    </row>
    <row r="54" ht="22" customHeight="1">
      <c r="B54" s="22">
        <f>IF(C54="","VAR"&amp;TEXT(COUNTA($C$5:C54),"000"))</f>
        <v/>
      </c>
      <c r="C54" s="22" t="n"/>
      <c r="D54" s="22">
        <f>IF(C54="","",VLOOKUP(C54,'_Données Employés'!$B$5:$S$114,3,FALSE))</f>
        <v/>
      </c>
      <c r="E54" s="22" t="n"/>
      <c r="F54" s="22" t="n"/>
      <c r="G54" s="22" t="n"/>
      <c r="H54" s="22" t="n"/>
      <c r="I54" s="18">
        <f>IF(OR(F54="",G54=""),"",IFERROR(F54*G54/100,0))</f>
        <v/>
      </c>
      <c r="J54" s="22" t="n"/>
      <c r="K54" s="18">
        <f>IF(H54="","",IFERROR(H54+I54,0))</f>
        <v/>
      </c>
      <c r="L54" s="22" t="n"/>
    </row>
    <row r="55" ht="22" customHeight="1">
      <c r="B55" s="21">
        <f>IF(C55="","VAR"&amp;TEXT(COUNTA($C$5:C55),"000"))</f>
        <v/>
      </c>
      <c r="C55" s="21" t="n"/>
      <c r="D55" s="21">
        <f>IF(C55="","",VLOOKUP(C55,'_Données Employés'!$B$5:$S$114,3,FALSE))</f>
        <v/>
      </c>
      <c r="E55" s="21" t="n"/>
      <c r="F55" s="21" t="n"/>
      <c r="G55" s="21" t="n"/>
      <c r="H55" s="21" t="n"/>
      <c r="I55" s="16">
        <f>IF(OR(F55="",G55=""),"",IFERROR(F55*G55/100,0))</f>
        <v/>
      </c>
      <c r="J55" s="21" t="n"/>
      <c r="K55" s="16">
        <f>IF(H55="","",IFERROR(H55+I55,0))</f>
        <v/>
      </c>
      <c r="L55" s="21" t="n"/>
    </row>
    <row r="56" ht="22" customHeight="1">
      <c r="B56" s="22">
        <f>IF(C56="","VAR"&amp;TEXT(COUNTA($C$5:C56),"000"))</f>
        <v/>
      </c>
      <c r="C56" s="22" t="n"/>
      <c r="D56" s="22">
        <f>IF(C56="","",VLOOKUP(C56,'_Données Employés'!$B$5:$S$114,3,FALSE))</f>
        <v/>
      </c>
      <c r="E56" s="22" t="n"/>
      <c r="F56" s="22" t="n"/>
      <c r="G56" s="22" t="n"/>
      <c r="H56" s="22" t="n"/>
      <c r="I56" s="18">
        <f>IF(OR(F56="",G56=""),"",IFERROR(F56*G56/100,0))</f>
        <v/>
      </c>
      <c r="J56" s="22" t="n"/>
      <c r="K56" s="18">
        <f>IF(H56="","",IFERROR(H56+I56,0))</f>
        <v/>
      </c>
      <c r="L56" s="22" t="n"/>
    </row>
    <row r="57" ht="22" customHeight="1">
      <c r="B57" s="21">
        <f>IF(C57="","VAR"&amp;TEXT(COUNTA($C$5:C57),"000"))</f>
        <v/>
      </c>
      <c r="C57" s="21" t="n"/>
      <c r="D57" s="21">
        <f>IF(C57="","",VLOOKUP(C57,'_Données Employés'!$B$5:$S$114,3,FALSE))</f>
        <v/>
      </c>
      <c r="E57" s="21" t="n"/>
      <c r="F57" s="21" t="n"/>
      <c r="G57" s="21" t="n"/>
      <c r="H57" s="21" t="n"/>
      <c r="I57" s="16">
        <f>IF(OR(F57="",G57=""),"",IFERROR(F57*G57/100,0))</f>
        <v/>
      </c>
      <c r="J57" s="21" t="n"/>
      <c r="K57" s="16">
        <f>IF(H57="","",IFERROR(H57+I57,0))</f>
        <v/>
      </c>
      <c r="L57" s="21" t="n"/>
    </row>
    <row r="58" ht="22" customHeight="1">
      <c r="B58" s="22">
        <f>IF(C58="","VAR"&amp;TEXT(COUNTA($C$5:C58),"000"))</f>
        <v/>
      </c>
      <c r="C58" s="22" t="n"/>
      <c r="D58" s="22">
        <f>IF(C58="","",VLOOKUP(C58,'_Données Employés'!$B$5:$S$114,3,FALSE))</f>
        <v/>
      </c>
      <c r="E58" s="22" t="n"/>
      <c r="F58" s="22" t="n"/>
      <c r="G58" s="22" t="n"/>
      <c r="H58" s="22" t="n"/>
      <c r="I58" s="18">
        <f>IF(OR(F58="",G58=""),"",IFERROR(F58*G58/100,0))</f>
        <v/>
      </c>
      <c r="J58" s="22" t="n"/>
      <c r="K58" s="18">
        <f>IF(H58="","",IFERROR(H58+I58,0))</f>
        <v/>
      </c>
      <c r="L58" s="22" t="n"/>
    </row>
    <row r="59" ht="22" customHeight="1">
      <c r="B59" s="21">
        <f>IF(C59="","VAR"&amp;TEXT(COUNTA($C$5:C59),"000"))</f>
        <v/>
      </c>
      <c r="C59" s="21" t="n"/>
      <c r="D59" s="21">
        <f>IF(C59="","",VLOOKUP(C59,'_Données Employés'!$B$5:$S$114,3,FALSE))</f>
        <v/>
      </c>
      <c r="E59" s="21" t="n"/>
      <c r="F59" s="21" t="n"/>
      <c r="G59" s="21" t="n"/>
      <c r="H59" s="21" t="n"/>
      <c r="I59" s="16">
        <f>IF(OR(F59="",G59=""),"",IFERROR(F59*G59/100,0))</f>
        <v/>
      </c>
      <c r="J59" s="21" t="n"/>
      <c r="K59" s="16">
        <f>IF(H59="","",IFERROR(H59+I59,0))</f>
        <v/>
      </c>
      <c r="L59" s="21" t="n"/>
    </row>
    <row r="60" ht="22" customHeight="1">
      <c r="B60" s="22">
        <f>IF(C60="","VAR"&amp;TEXT(COUNTA($C$5:C60),"000"))</f>
        <v/>
      </c>
      <c r="C60" s="22" t="n"/>
      <c r="D60" s="22">
        <f>IF(C60="","",VLOOKUP(C60,'_Données Employés'!$B$5:$S$114,3,FALSE))</f>
        <v/>
      </c>
      <c r="E60" s="22" t="n"/>
      <c r="F60" s="22" t="n"/>
      <c r="G60" s="22" t="n"/>
      <c r="H60" s="22" t="n"/>
      <c r="I60" s="18">
        <f>IF(OR(F60="",G60=""),"",IFERROR(F60*G60/100,0))</f>
        <v/>
      </c>
      <c r="J60" s="22" t="n"/>
      <c r="K60" s="18">
        <f>IF(H60="","",IFERROR(H60+I60,0))</f>
        <v/>
      </c>
      <c r="L60" s="22" t="n"/>
    </row>
    <row r="61" ht="22" customHeight="1">
      <c r="B61" s="21">
        <f>IF(C61="","VAR"&amp;TEXT(COUNTA($C$5:C61),"000"))</f>
        <v/>
      </c>
      <c r="C61" s="21" t="n"/>
      <c r="D61" s="21">
        <f>IF(C61="","",VLOOKUP(C61,'_Données Employés'!$B$5:$S$114,3,FALSE))</f>
        <v/>
      </c>
      <c r="E61" s="21" t="n"/>
      <c r="F61" s="21" t="n"/>
      <c r="G61" s="21" t="n"/>
      <c r="H61" s="21" t="n"/>
      <c r="I61" s="16">
        <f>IF(OR(F61="",G61=""),"",IFERROR(F61*G61/100,0))</f>
        <v/>
      </c>
      <c r="J61" s="21" t="n"/>
      <c r="K61" s="16">
        <f>IF(H61="","",IFERROR(H61+I61,0))</f>
        <v/>
      </c>
      <c r="L61" s="21" t="n"/>
    </row>
    <row r="62" ht="22" customHeight="1">
      <c r="B62" s="22">
        <f>IF(C62="","VAR"&amp;TEXT(COUNTA($C$5:C62),"000"))</f>
        <v/>
      </c>
      <c r="C62" s="22" t="n"/>
      <c r="D62" s="22">
        <f>IF(C62="","",VLOOKUP(C62,'_Données Employés'!$B$5:$S$114,3,FALSE))</f>
        <v/>
      </c>
      <c r="E62" s="22" t="n"/>
      <c r="F62" s="22" t="n"/>
      <c r="G62" s="22" t="n"/>
      <c r="H62" s="22" t="n"/>
      <c r="I62" s="18">
        <f>IF(OR(F62="",G62=""),"",IFERROR(F62*G62/100,0))</f>
        <v/>
      </c>
      <c r="J62" s="22" t="n"/>
      <c r="K62" s="18">
        <f>IF(H62="","",IFERROR(H62+I62,0))</f>
        <v/>
      </c>
      <c r="L62" s="22" t="n"/>
    </row>
    <row r="63" ht="22" customHeight="1">
      <c r="B63" s="21">
        <f>IF(C63="","VAR"&amp;TEXT(COUNTA($C$5:C63),"000"))</f>
        <v/>
      </c>
      <c r="C63" s="21" t="n"/>
      <c r="D63" s="21">
        <f>IF(C63="","",VLOOKUP(C63,'_Données Employés'!$B$5:$S$114,3,FALSE))</f>
        <v/>
      </c>
      <c r="E63" s="21" t="n"/>
      <c r="F63" s="21" t="n"/>
      <c r="G63" s="21" t="n"/>
      <c r="H63" s="21" t="n"/>
      <c r="I63" s="16">
        <f>IF(OR(F63="",G63=""),"",IFERROR(F63*G63/100,0))</f>
        <v/>
      </c>
      <c r="J63" s="21" t="n"/>
      <c r="K63" s="16">
        <f>IF(H63="","",IFERROR(H63+I63,0))</f>
        <v/>
      </c>
      <c r="L63" s="21" t="n"/>
    </row>
    <row r="64" ht="22" customHeight="1">
      <c r="B64" s="22">
        <f>IF(C64="","VAR"&amp;TEXT(COUNTA($C$5:C64),"000"))</f>
        <v/>
      </c>
      <c r="C64" s="22" t="n"/>
      <c r="D64" s="22">
        <f>IF(C64="","",VLOOKUP(C64,'_Données Employés'!$B$5:$S$114,3,FALSE))</f>
        <v/>
      </c>
      <c r="E64" s="22" t="n"/>
      <c r="F64" s="22" t="n"/>
      <c r="G64" s="22" t="n"/>
      <c r="H64" s="22" t="n"/>
      <c r="I64" s="18">
        <f>IF(OR(F64="",G64=""),"",IFERROR(F64*G64/100,0))</f>
        <v/>
      </c>
      <c r="J64" s="22" t="n"/>
      <c r="K64" s="18">
        <f>IF(H64="","",IFERROR(H64+I64,0))</f>
        <v/>
      </c>
      <c r="L64" s="22" t="n"/>
    </row>
    <row r="65" ht="22" customHeight="1">
      <c r="B65" s="21">
        <f>IF(C65="","VAR"&amp;TEXT(COUNTA($C$5:C65),"000"))</f>
        <v/>
      </c>
      <c r="C65" s="21" t="n"/>
      <c r="D65" s="21">
        <f>IF(C65="","",VLOOKUP(C65,'_Données Employés'!$B$5:$S$114,3,FALSE))</f>
        <v/>
      </c>
      <c r="E65" s="21" t="n"/>
      <c r="F65" s="21" t="n"/>
      <c r="G65" s="21" t="n"/>
      <c r="H65" s="21" t="n"/>
      <c r="I65" s="16">
        <f>IF(OR(F65="",G65=""),"",IFERROR(F65*G65/100,0))</f>
        <v/>
      </c>
      <c r="J65" s="21" t="n"/>
      <c r="K65" s="16">
        <f>IF(H65="","",IFERROR(H65+I65,0))</f>
        <v/>
      </c>
      <c r="L65" s="21" t="n"/>
    </row>
    <row r="66" ht="22" customHeight="1">
      <c r="B66" s="22">
        <f>IF(C66="","VAR"&amp;TEXT(COUNTA($C$5:C66),"000"))</f>
        <v/>
      </c>
      <c r="C66" s="22" t="n"/>
      <c r="D66" s="22">
        <f>IF(C66="","",VLOOKUP(C66,'_Données Employés'!$B$5:$S$114,3,FALSE))</f>
        <v/>
      </c>
      <c r="E66" s="22" t="n"/>
      <c r="F66" s="22" t="n"/>
      <c r="G66" s="22" t="n"/>
      <c r="H66" s="22" t="n"/>
      <c r="I66" s="18">
        <f>IF(OR(F66="",G66=""),"",IFERROR(F66*G66/100,0))</f>
        <v/>
      </c>
      <c r="J66" s="22" t="n"/>
      <c r="K66" s="18">
        <f>IF(H66="","",IFERROR(H66+I66,0))</f>
        <v/>
      </c>
      <c r="L66" s="22" t="n"/>
    </row>
    <row r="67" ht="22" customHeight="1">
      <c r="B67" s="21">
        <f>IF(C67="","VAR"&amp;TEXT(COUNTA($C$5:C67),"000"))</f>
        <v/>
      </c>
      <c r="C67" s="21" t="n"/>
      <c r="D67" s="21">
        <f>IF(C67="","",VLOOKUP(C67,'_Données Employés'!$B$5:$S$114,3,FALSE))</f>
        <v/>
      </c>
      <c r="E67" s="21" t="n"/>
      <c r="F67" s="21" t="n"/>
      <c r="G67" s="21" t="n"/>
      <c r="H67" s="21" t="n"/>
      <c r="I67" s="16">
        <f>IF(OR(F67="",G67=""),"",IFERROR(F67*G67/100,0))</f>
        <v/>
      </c>
      <c r="J67" s="21" t="n"/>
      <c r="K67" s="16">
        <f>IF(H67="","",IFERROR(H67+I67,0))</f>
        <v/>
      </c>
      <c r="L67" s="21" t="n"/>
    </row>
    <row r="68" ht="22" customHeight="1">
      <c r="B68" s="22">
        <f>IF(C68="","VAR"&amp;TEXT(COUNTA($C$5:C68),"000"))</f>
        <v/>
      </c>
      <c r="C68" s="22" t="n"/>
      <c r="D68" s="22">
        <f>IF(C68="","",VLOOKUP(C68,'_Données Employés'!$B$5:$S$114,3,FALSE))</f>
        <v/>
      </c>
      <c r="E68" s="22" t="n"/>
      <c r="F68" s="22" t="n"/>
      <c r="G68" s="22" t="n"/>
      <c r="H68" s="22" t="n"/>
      <c r="I68" s="18">
        <f>IF(OR(F68="",G68=""),"",IFERROR(F68*G68/100,0))</f>
        <v/>
      </c>
      <c r="J68" s="22" t="n"/>
      <c r="K68" s="18">
        <f>IF(H68="","",IFERROR(H68+I68,0))</f>
        <v/>
      </c>
      <c r="L68" s="22" t="n"/>
    </row>
    <row r="69" ht="22" customHeight="1">
      <c r="B69" s="21">
        <f>IF(C69="","VAR"&amp;TEXT(COUNTA($C$5:C69),"000"))</f>
        <v/>
      </c>
      <c r="C69" s="21" t="n"/>
      <c r="D69" s="21">
        <f>IF(C69="","",VLOOKUP(C69,'_Données Employés'!$B$5:$S$114,3,FALSE))</f>
        <v/>
      </c>
      <c r="E69" s="21" t="n"/>
      <c r="F69" s="21" t="n"/>
      <c r="G69" s="21" t="n"/>
      <c r="H69" s="21" t="n"/>
      <c r="I69" s="16">
        <f>IF(OR(F69="",G69=""),"",IFERROR(F69*G69/100,0))</f>
        <v/>
      </c>
      <c r="J69" s="21" t="n"/>
      <c r="K69" s="16">
        <f>IF(H69="","",IFERROR(H69+I69,0))</f>
        <v/>
      </c>
      <c r="L69" s="21" t="n"/>
    </row>
    <row r="70" ht="22" customHeight="1">
      <c r="B70" s="22">
        <f>IF(C70="","VAR"&amp;TEXT(COUNTA($C$5:C70),"000"))</f>
        <v/>
      </c>
      <c r="C70" s="22" t="n"/>
      <c r="D70" s="22">
        <f>IF(C70="","",VLOOKUP(C70,'_Données Employés'!$B$5:$S$114,3,FALSE))</f>
        <v/>
      </c>
      <c r="E70" s="22" t="n"/>
      <c r="F70" s="22" t="n"/>
      <c r="G70" s="22" t="n"/>
      <c r="H70" s="22" t="n"/>
      <c r="I70" s="18">
        <f>IF(OR(F70="",G70=""),"",IFERROR(F70*G70/100,0))</f>
        <v/>
      </c>
      <c r="J70" s="22" t="n"/>
      <c r="K70" s="18">
        <f>IF(H70="","",IFERROR(H70+I70,0))</f>
        <v/>
      </c>
      <c r="L70" s="22" t="n"/>
    </row>
    <row r="71" ht="22" customHeight="1">
      <c r="B71" s="21">
        <f>IF(C71="","VAR"&amp;TEXT(COUNTA($C$5:C71),"000"))</f>
        <v/>
      </c>
      <c r="C71" s="21" t="n"/>
      <c r="D71" s="21">
        <f>IF(C71="","",VLOOKUP(C71,'_Données Employés'!$B$5:$S$114,3,FALSE))</f>
        <v/>
      </c>
      <c r="E71" s="21" t="n"/>
      <c r="F71" s="21" t="n"/>
      <c r="G71" s="21" t="n"/>
      <c r="H71" s="21" t="n"/>
      <c r="I71" s="16">
        <f>IF(OR(F71="",G71=""),"",IFERROR(F71*G71/100,0))</f>
        <v/>
      </c>
      <c r="J71" s="21" t="n"/>
      <c r="K71" s="16">
        <f>IF(H71="","",IFERROR(H71+I71,0))</f>
        <v/>
      </c>
      <c r="L71" s="21" t="n"/>
    </row>
    <row r="72" ht="22" customHeight="1">
      <c r="B72" s="22">
        <f>IF(C72="","VAR"&amp;TEXT(COUNTA($C$5:C72),"000"))</f>
        <v/>
      </c>
      <c r="C72" s="22" t="n"/>
      <c r="D72" s="22">
        <f>IF(C72="","",VLOOKUP(C72,'_Données Employés'!$B$5:$S$114,3,FALSE))</f>
        <v/>
      </c>
      <c r="E72" s="22" t="n"/>
      <c r="F72" s="22" t="n"/>
      <c r="G72" s="22" t="n"/>
      <c r="H72" s="22" t="n"/>
      <c r="I72" s="18">
        <f>IF(OR(F72="",G72=""),"",IFERROR(F72*G72/100,0))</f>
        <v/>
      </c>
      <c r="J72" s="22" t="n"/>
      <c r="K72" s="18">
        <f>IF(H72="","",IFERROR(H72+I72,0))</f>
        <v/>
      </c>
      <c r="L72" s="22" t="n"/>
    </row>
    <row r="73" ht="22" customHeight="1">
      <c r="B73" s="21">
        <f>IF(C73="","VAR"&amp;TEXT(COUNTA($C$5:C73),"000"))</f>
        <v/>
      </c>
      <c r="C73" s="21" t="n"/>
      <c r="D73" s="21">
        <f>IF(C73="","",VLOOKUP(C73,'_Données Employés'!$B$5:$S$114,3,FALSE))</f>
        <v/>
      </c>
      <c r="E73" s="21" t="n"/>
      <c r="F73" s="21" t="n"/>
      <c r="G73" s="21" t="n"/>
      <c r="H73" s="21" t="n"/>
      <c r="I73" s="16">
        <f>IF(OR(F73="",G73=""),"",IFERROR(F73*G73/100,0))</f>
        <v/>
      </c>
      <c r="J73" s="21" t="n"/>
      <c r="K73" s="16">
        <f>IF(H73="","",IFERROR(H73+I73,0))</f>
        <v/>
      </c>
      <c r="L73" s="21" t="n"/>
    </row>
    <row r="74" ht="22" customHeight="1">
      <c r="B74" s="22">
        <f>IF(C74="","VAR"&amp;TEXT(COUNTA($C$5:C74),"000"))</f>
        <v/>
      </c>
      <c r="C74" s="22" t="n"/>
      <c r="D74" s="22">
        <f>IF(C74="","",VLOOKUP(C74,'_Données Employés'!$B$5:$S$114,3,FALSE))</f>
        <v/>
      </c>
      <c r="E74" s="22" t="n"/>
      <c r="F74" s="22" t="n"/>
      <c r="G74" s="22" t="n"/>
      <c r="H74" s="22" t="n"/>
      <c r="I74" s="18">
        <f>IF(OR(F74="",G74=""),"",IFERROR(F74*G74/100,0))</f>
        <v/>
      </c>
      <c r="J74" s="22" t="n"/>
      <c r="K74" s="18">
        <f>IF(H74="","",IFERROR(H74+I74,0))</f>
        <v/>
      </c>
      <c r="L74" s="22" t="n"/>
    </row>
    <row r="75" ht="22" customHeight="1">
      <c r="B75" s="21">
        <f>IF(C75="","VAR"&amp;TEXT(COUNTA($C$5:C75),"000"))</f>
        <v/>
      </c>
      <c r="C75" s="21" t="n"/>
      <c r="D75" s="21">
        <f>IF(C75="","",VLOOKUP(C75,'_Données Employés'!$B$5:$S$114,3,FALSE))</f>
        <v/>
      </c>
      <c r="E75" s="21" t="n"/>
      <c r="F75" s="21" t="n"/>
      <c r="G75" s="21" t="n"/>
      <c r="H75" s="21" t="n"/>
      <c r="I75" s="16">
        <f>IF(OR(F75="",G75=""),"",IFERROR(F75*G75/100,0))</f>
        <v/>
      </c>
      <c r="J75" s="21" t="n"/>
      <c r="K75" s="16">
        <f>IF(H75="","",IFERROR(H75+I75,0))</f>
        <v/>
      </c>
      <c r="L75" s="21" t="n"/>
    </row>
    <row r="76" ht="22" customHeight="1">
      <c r="B76" s="22">
        <f>IF(C76="","VAR"&amp;TEXT(COUNTA($C$5:C76),"000"))</f>
        <v/>
      </c>
      <c r="C76" s="22" t="n"/>
      <c r="D76" s="22">
        <f>IF(C76="","",VLOOKUP(C76,'_Données Employés'!$B$5:$S$114,3,FALSE))</f>
        <v/>
      </c>
      <c r="E76" s="22" t="n"/>
      <c r="F76" s="22" t="n"/>
      <c r="G76" s="22" t="n"/>
      <c r="H76" s="22" t="n"/>
      <c r="I76" s="18">
        <f>IF(OR(F76="",G76=""),"",IFERROR(F76*G76/100,0))</f>
        <v/>
      </c>
      <c r="J76" s="22" t="n"/>
      <c r="K76" s="18">
        <f>IF(H76="","",IFERROR(H76+I76,0))</f>
        <v/>
      </c>
      <c r="L76" s="22" t="n"/>
    </row>
    <row r="77" ht="22" customHeight="1">
      <c r="B77" s="21">
        <f>IF(C77="","VAR"&amp;TEXT(COUNTA($C$5:C77),"000"))</f>
        <v/>
      </c>
      <c r="C77" s="21" t="n"/>
      <c r="D77" s="21">
        <f>IF(C77="","",VLOOKUP(C77,'_Données Employés'!$B$5:$S$114,3,FALSE))</f>
        <v/>
      </c>
      <c r="E77" s="21" t="n"/>
      <c r="F77" s="21" t="n"/>
      <c r="G77" s="21" t="n"/>
      <c r="H77" s="21" t="n"/>
      <c r="I77" s="16">
        <f>IF(OR(F77="",G77=""),"",IFERROR(F77*G77/100,0))</f>
        <v/>
      </c>
      <c r="J77" s="21" t="n"/>
      <c r="K77" s="16">
        <f>IF(H77="","",IFERROR(H77+I77,0))</f>
        <v/>
      </c>
      <c r="L77" s="21" t="n"/>
    </row>
    <row r="78" ht="22" customHeight="1">
      <c r="B78" s="22">
        <f>IF(C78="","VAR"&amp;TEXT(COUNTA($C$5:C78),"000"))</f>
        <v/>
      </c>
      <c r="C78" s="22" t="n"/>
      <c r="D78" s="22">
        <f>IF(C78="","",VLOOKUP(C78,'_Données Employés'!$B$5:$S$114,3,FALSE))</f>
        <v/>
      </c>
      <c r="E78" s="22" t="n"/>
      <c r="F78" s="22" t="n"/>
      <c r="G78" s="22" t="n"/>
      <c r="H78" s="22" t="n"/>
      <c r="I78" s="18">
        <f>IF(OR(F78="",G78=""),"",IFERROR(F78*G78/100,0))</f>
        <v/>
      </c>
      <c r="J78" s="22" t="n"/>
      <c r="K78" s="18">
        <f>IF(H78="","",IFERROR(H78+I78,0))</f>
        <v/>
      </c>
      <c r="L78" s="22" t="n"/>
    </row>
    <row r="79" ht="22" customHeight="1">
      <c r="B79" s="21">
        <f>IF(C79="","VAR"&amp;TEXT(COUNTA($C$5:C79),"000"))</f>
        <v/>
      </c>
      <c r="C79" s="21" t="n"/>
      <c r="D79" s="21">
        <f>IF(C79="","",VLOOKUP(C79,'_Données Employés'!$B$5:$S$114,3,FALSE))</f>
        <v/>
      </c>
      <c r="E79" s="21" t="n"/>
      <c r="F79" s="21" t="n"/>
      <c r="G79" s="21" t="n"/>
      <c r="H79" s="21" t="n"/>
      <c r="I79" s="16">
        <f>IF(OR(F79="",G79=""),"",IFERROR(F79*G79/100,0))</f>
        <v/>
      </c>
      <c r="J79" s="21" t="n"/>
      <c r="K79" s="16">
        <f>IF(H79="","",IFERROR(H79+I79,0))</f>
        <v/>
      </c>
      <c r="L79" s="21" t="n"/>
    </row>
    <row r="80" ht="22" customHeight="1">
      <c r="B80" s="22">
        <f>IF(C80="","VAR"&amp;TEXT(COUNTA($C$5:C80),"000"))</f>
        <v/>
      </c>
      <c r="C80" s="22" t="n"/>
      <c r="D80" s="22">
        <f>IF(C80="","",VLOOKUP(C80,'_Données Employés'!$B$5:$S$114,3,FALSE))</f>
        <v/>
      </c>
      <c r="E80" s="22" t="n"/>
      <c r="F80" s="22" t="n"/>
      <c r="G80" s="22" t="n"/>
      <c r="H80" s="22" t="n"/>
      <c r="I80" s="18">
        <f>IF(OR(F80="",G80=""),"",IFERROR(F80*G80/100,0))</f>
        <v/>
      </c>
      <c r="J80" s="22" t="n"/>
      <c r="K80" s="18">
        <f>IF(H80="","",IFERROR(H80+I80,0))</f>
        <v/>
      </c>
      <c r="L80" s="22" t="n"/>
    </row>
    <row r="81" ht="22" customHeight="1">
      <c r="B81" s="21">
        <f>IF(C81="","VAR"&amp;TEXT(COUNTA($C$5:C81),"000"))</f>
        <v/>
      </c>
      <c r="C81" s="21" t="n"/>
      <c r="D81" s="21">
        <f>IF(C81="","",VLOOKUP(C81,'_Données Employés'!$B$5:$S$114,3,FALSE))</f>
        <v/>
      </c>
      <c r="E81" s="21" t="n"/>
      <c r="F81" s="21" t="n"/>
      <c r="G81" s="21" t="n"/>
      <c r="H81" s="21" t="n"/>
      <c r="I81" s="16">
        <f>IF(OR(F81="",G81=""),"",IFERROR(F81*G81/100,0))</f>
        <v/>
      </c>
      <c r="J81" s="21" t="n"/>
      <c r="K81" s="16">
        <f>IF(H81="","",IFERROR(H81+I81,0))</f>
        <v/>
      </c>
      <c r="L81" s="21" t="n"/>
    </row>
    <row r="82" ht="22" customHeight="1">
      <c r="B82" s="22">
        <f>IF(C82="","VAR"&amp;TEXT(COUNTA($C$5:C82),"000"))</f>
        <v/>
      </c>
      <c r="C82" s="22" t="n"/>
      <c r="D82" s="22">
        <f>IF(C82="","",VLOOKUP(C82,'_Données Employés'!$B$5:$S$114,3,FALSE))</f>
        <v/>
      </c>
      <c r="E82" s="22" t="n"/>
      <c r="F82" s="22" t="n"/>
      <c r="G82" s="22" t="n"/>
      <c r="H82" s="22" t="n"/>
      <c r="I82" s="18">
        <f>IF(OR(F82="",G82=""),"",IFERROR(F82*G82/100,0))</f>
        <v/>
      </c>
      <c r="J82" s="22" t="n"/>
      <c r="K82" s="18">
        <f>IF(H82="","",IFERROR(H82+I82,0))</f>
        <v/>
      </c>
      <c r="L82" s="22" t="n"/>
    </row>
    <row r="83" ht="22" customHeight="1">
      <c r="B83" s="21">
        <f>IF(C83="","VAR"&amp;TEXT(COUNTA($C$5:C83),"000"))</f>
        <v/>
      </c>
      <c r="C83" s="21" t="n"/>
      <c r="D83" s="21">
        <f>IF(C83="","",VLOOKUP(C83,'_Données Employés'!$B$5:$S$114,3,FALSE))</f>
        <v/>
      </c>
      <c r="E83" s="21" t="n"/>
      <c r="F83" s="21" t="n"/>
      <c r="G83" s="21" t="n"/>
      <c r="H83" s="21" t="n"/>
      <c r="I83" s="16">
        <f>IF(OR(F83="",G83=""),"",IFERROR(F83*G83/100,0))</f>
        <v/>
      </c>
      <c r="J83" s="21" t="n"/>
      <c r="K83" s="16">
        <f>IF(H83="","",IFERROR(H83+I83,0))</f>
        <v/>
      </c>
      <c r="L83" s="21" t="n"/>
    </row>
    <row r="84" ht="22" customHeight="1">
      <c r="B84" s="22">
        <f>IF(C84="","VAR"&amp;TEXT(COUNTA($C$5:C84),"000"))</f>
        <v/>
      </c>
      <c r="C84" s="22" t="n"/>
      <c r="D84" s="22">
        <f>IF(C84="","",VLOOKUP(C84,'_Données Employés'!$B$5:$S$114,3,FALSE))</f>
        <v/>
      </c>
      <c r="E84" s="22" t="n"/>
      <c r="F84" s="22" t="n"/>
      <c r="G84" s="22" t="n"/>
      <c r="H84" s="22" t="n"/>
      <c r="I84" s="18">
        <f>IF(OR(F84="",G84=""),"",IFERROR(F84*G84/100,0))</f>
        <v/>
      </c>
      <c r="J84" s="22" t="n"/>
      <c r="K84" s="18">
        <f>IF(H84="","",IFERROR(H84+I84,0))</f>
        <v/>
      </c>
      <c r="L84" s="22" t="n"/>
    </row>
    <row r="85" ht="22" customHeight="1">
      <c r="B85" s="21">
        <f>IF(C85="","VAR"&amp;TEXT(COUNTA($C$5:C85),"000"))</f>
        <v/>
      </c>
      <c r="C85" s="21" t="n"/>
      <c r="D85" s="21">
        <f>IF(C85="","",VLOOKUP(C85,'_Données Employés'!$B$5:$S$114,3,FALSE))</f>
        <v/>
      </c>
      <c r="E85" s="21" t="n"/>
      <c r="F85" s="21" t="n"/>
      <c r="G85" s="21" t="n"/>
      <c r="H85" s="21" t="n"/>
      <c r="I85" s="16">
        <f>IF(OR(F85="",G85=""),"",IFERROR(F85*G85/100,0))</f>
        <v/>
      </c>
      <c r="J85" s="21" t="n"/>
      <c r="K85" s="16">
        <f>IF(H85="","",IFERROR(H85+I85,0))</f>
        <v/>
      </c>
      <c r="L85" s="21" t="n"/>
    </row>
    <row r="86" ht="22" customHeight="1">
      <c r="B86" s="22">
        <f>IF(C86="","VAR"&amp;TEXT(COUNTA($C$5:C86),"000"))</f>
        <v/>
      </c>
      <c r="C86" s="22" t="n"/>
      <c r="D86" s="22">
        <f>IF(C86="","",VLOOKUP(C86,'_Données Employés'!$B$5:$S$114,3,FALSE))</f>
        <v/>
      </c>
      <c r="E86" s="22" t="n"/>
      <c r="F86" s="22" t="n"/>
      <c r="G86" s="22" t="n"/>
      <c r="H86" s="22" t="n"/>
      <c r="I86" s="18">
        <f>IF(OR(F86="",G86=""),"",IFERROR(F86*G86/100,0))</f>
        <v/>
      </c>
      <c r="J86" s="22" t="n"/>
      <c r="K86" s="18">
        <f>IF(H86="","",IFERROR(H86+I86,0))</f>
        <v/>
      </c>
      <c r="L86" s="22" t="n"/>
    </row>
    <row r="87" ht="22" customHeight="1">
      <c r="B87" s="21">
        <f>IF(C87="","VAR"&amp;TEXT(COUNTA($C$5:C87),"000"))</f>
        <v/>
      </c>
      <c r="C87" s="21" t="n"/>
      <c r="D87" s="21">
        <f>IF(C87="","",VLOOKUP(C87,'_Données Employés'!$B$5:$S$114,3,FALSE))</f>
        <v/>
      </c>
      <c r="E87" s="21" t="n"/>
      <c r="F87" s="21" t="n"/>
      <c r="G87" s="21" t="n"/>
      <c r="H87" s="21" t="n"/>
      <c r="I87" s="16">
        <f>IF(OR(F87="",G87=""),"",IFERROR(F87*G87/100,0))</f>
        <v/>
      </c>
      <c r="J87" s="21" t="n"/>
      <c r="K87" s="16">
        <f>IF(H87="","",IFERROR(H87+I87,0))</f>
        <v/>
      </c>
      <c r="L87" s="21" t="n"/>
    </row>
    <row r="88" ht="22" customHeight="1">
      <c r="B88" s="22">
        <f>IF(C88="","VAR"&amp;TEXT(COUNTA($C$5:C88),"000"))</f>
        <v/>
      </c>
      <c r="C88" s="22" t="n"/>
      <c r="D88" s="22">
        <f>IF(C88="","",VLOOKUP(C88,'_Données Employés'!$B$5:$S$114,3,FALSE))</f>
        <v/>
      </c>
      <c r="E88" s="22" t="n"/>
      <c r="F88" s="22" t="n"/>
      <c r="G88" s="22" t="n"/>
      <c r="H88" s="22" t="n"/>
      <c r="I88" s="18">
        <f>IF(OR(F88="",G88=""),"",IFERROR(F88*G88/100,0))</f>
        <v/>
      </c>
      <c r="J88" s="22" t="n"/>
      <c r="K88" s="18">
        <f>IF(H88="","",IFERROR(H88+I88,0))</f>
        <v/>
      </c>
      <c r="L88" s="22" t="n"/>
    </row>
    <row r="89" ht="22" customHeight="1">
      <c r="B89" s="21">
        <f>IF(C89="","VAR"&amp;TEXT(COUNTA($C$5:C89),"000"))</f>
        <v/>
      </c>
      <c r="C89" s="21" t="n"/>
      <c r="D89" s="21">
        <f>IF(C89="","",VLOOKUP(C89,'_Données Employés'!$B$5:$S$114,3,FALSE))</f>
        <v/>
      </c>
      <c r="E89" s="21" t="n"/>
      <c r="F89" s="21" t="n"/>
      <c r="G89" s="21" t="n"/>
      <c r="H89" s="21" t="n"/>
      <c r="I89" s="16">
        <f>IF(OR(F89="",G89=""),"",IFERROR(F89*G89/100,0))</f>
        <v/>
      </c>
      <c r="J89" s="21" t="n"/>
      <c r="K89" s="16">
        <f>IF(H89="","",IFERROR(H89+I89,0))</f>
        <v/>
      </c>
      <c r="L89" s="21" t="n"/>
    </row>
    <row r="90" ht="22" customHeight="1">
      <c r="B90" s="22">
        <f>IF(C90="","VAR"&amp;TEXT(COUNTA($C$5:C90),"000"))</f>
        <v/>
      </c>
      <c r="C90" s="22" t="n"/>
      <c r="D90" s="22">
        <f>IF(C90="","",VLOOKUP(C90,'_Données Employés'!$B$5:$S$114,3,FALSE))</f>
        <v/>
      </c>
      <c r="E90" s="22" t="n"/>
      <c r="F90" s="22" t="n"/>
      <c r="G90" s="22" t="n"/>
      <c r="H90" s="22" t="n"/>
      <c r="I90" s="18">
        <f>IF(OR(F90="",G90=""),"",IFERROR(F90*G90/100,0))</f>
        <v/>
      </c>
      <c r="J90" s="22" t="n"/>
      <c r="K90" s="18">
        <f>IF(H90="","",IFERROR(H90+I90,0))</f>
        <v/>
      </c>
      <c r="L90" s="22" t="n"/>
    </row>
    <row r="91" ht="22" customHeight="1">
      <c r="B91" s="21">
        <f>IF(C91="","VAR"&amp;TEXT(COUNTA($C$5:C91),"000"))</f>
        <v/>
      </c>
      <c r="C91" s="21" t="n"/>
      <c r="D91" s="21">
        <f>IF(C91="","",VLOOKUP(C91,'_Données Employés'!$B$5:$S$114,3,FALSE))</f>
        <v/>
      </c>
      <c r="E91" s="21" t="n"/>
      <c r="F91" s="21" t="n"/>
      <c r="G91" s="21" t="n"/>
      <c r="H91" s="21" t="n"/>
      <c r="I91" s="16">
        <f>IF(OR(F91="",G91=""),"",IFERROR(F91*G91/100,0))</f>
        <v/>
      </c>
      <c r="J91" s="21" t="n"/>
      <c r="K91" s="16">
        <f>IF(H91="","",IFERROR(H91+I91,0))</f>
        <v/>
      </c>
      <c r="L91" s="21" t="n"/>
    </row>
    <row r="92" ht="22" customHeight="1">
      <c r="B92" s="22">
        <f>IF(C92="","VAR"&amp;TEXT(COUNTA($C$5:C92),"000"))</f>
        <v/>
      </c>
      <c r="C92" s="22" t="n"/>
      <c r="D92" s="22">
        <f>IF(C92="","",VLOOKUP(C92,'_Données Employés'!$B$5:$S$114,3,FALSE))</f>
        <v/>
      </c>
      <c r="E92" s="22" t="n"/>
      <c r="F92" s="22" t="n"/>
      <c r="G92" s="22" t="n"/>
      <c r="H92" s="22" t="n"/>
      <c r="I92" s="18">
        <f>IF(OR(F92="",G92=""),"",IFERROR(F92*G92/100,0))</f>
        <v/>
      </c>
      <c r="J92" s="22" t="n"/>
      <c r="K92" s="18">
        <f>IF(H92="","",IFERROR(H92+I92,0))</f>
        <v/>
      </c>
      <c r="L92" s="22" t="n"/>
    </row>
    <row r="93" ht="22" customHeight="1">
      <c r="B93" s="21">
        <f>IF(C93="","VAR"&amp;TEXT(COUNTA($C$5:C93),"000"))</f>
        <v/>
      </c>
      <c r="C93" s="21" t="n"/>
      <c r="D93" s="21">
        <f>IF(C93="","",VLOOKUP(C93,'_Données Employés'!$B$5:$S$114,3,FALSE))</f>
        <v/>
      </c>
      <c r="E93" s="21" t="n"/>
      <c r="F93" s="21" t="n"/>
      <c r="G93" s="21" t="n"/>
      <c r="H93" s="21" t="n"/>
      <c r="I93" s="16">
        <f>IF(OR(F93="",G93=""),"",IFERROR(F93*G93/100,0))</f>
        <v/>
      </c>
      <c r="J93" s="21" t="n"/>
      <c r="K93" s="16">
        <f>IF(H93="","",IFERROR(H93+I93,0))</f>
        <v/>
      </c>
      <c r="L93" s="21" t="n"/>
    </row>
    <row r="94" ht="22" customHeight="1">
      <c r="B94" s="22">
        <f>IF(C94="","VAR"&amp;TEXT(COUNTA($C$5:C94),"000"))</f>
        <v/>
      </c>
      <c r="C94" s="22" t="n"/>
      <c r="D94" s="22">
        <f>IF(C94="","",VLOOKUP(C94,'_Données Employés'!$B$5:$S$114,3,FALSE))</f>
        <v/>
      </c>
      <c r="E94" s="22" t="n"/>
      <c r="F94" s="22" t="n"/>
      <c r="G94" s="22" t="n"/>
      <c r="H94" s="22" t="n"/>
      <c r="I94" s="18">
        <f>IF(OR(F94="",G94=""),"",IFERROR(F94*G94/100,0))</f>
        <v/>
      </c>
      <c r="J94" s="22" t="n"/>
      <c r="K94" s="18">
        <f>IF(H94="","",IFERROR(H94+I94,0))</f>
        <v/>
      </c>
      <c r="L94" s="22" t="n"/>
    </row>
    <row r="95" ht="22" customHeight="1">
      <c r="B95" s="21">
        <f>IF(C95="","VAR"&amp;TEXT(COUNTA($C$5:C95),"000"))</f>
        <v/>
      </c>
      <c r="C95" s="21" t="n"/>
      <c r="D95" s="21">
        <f>IF(C95="","",VLOOKUP(C95,'_Données Employés'!$B$5:$S$114,3,FALSE))</f>
        <v/>
      </c>
      <c r="E95" s="21" t="n"/>
      <c r="F95" s="21" t="n"/>
      <c r="G95" s="21" t="n"/>
      <c r="H95" s="21" t="n"/>
      <c r="I95" s="16">
        <f>IF(OR(F95="",G95=""),"",IFERROR(F95*G95/100,0))</f>
        <v/>
      </c>
      <c r="J95" s="21" t="n"/>
      <c r="K95" s="16">
        <f>IF(H95="","",IFERROR(H95+I95,0))</f>
        <v/>
      </c>
      <c r="L95" s="21" t="n"/>
    </row>
    <row r="96" ht="22" customHeight="1">
      <c r="B96" s="22">
        <f>IF(C96="","VAR"&amp;TEXT(COUNTA($C$5:C96),"000"))</f>
        <v/>
      </c>
      <c r="C96" s="22" t="n"/>
      <c r="D96" s="22">
        <f>IF(C96="","",VLOOKUP(C96,'_Données Employés'!$B$5:$S$114,3,FALSE))</f>
        <v/>
      </c>
      <c r="E96" s="22" t="n"/>
      <c r="F96" s="22" t="n"/>
      <c r="G96" s="22" t="n"/>
      <c r="H96" s="22" t="n"/>
      <c r="I96" s="18">
        <f>IF(OR(F96="",G96=""),"",IFERROR(F96*G96/100,0))</f>
        <v/>
      </c>
      <c r="J96" s="22" t="n"/>
      <c r="K96" s="18">
        <f>IF(H96="","",IFERROR(H96+I96,0))</f>
        <v/>
      </c>
      <c r="L96" s="22" t="n"/>
    </row>
    <row r="97" ht="22" customHeight="1">
      <c r="B97" s="21">
        <f>IF(C97="","VAR"&amp;TEXT(COUNTA($C$5:C97),"000"))</f>
        <v/>
      </c>
      <c r="C97" s="21" t="n"/>
      <c r="D97" s="21">
        <f>IF(C97="","",VLOOKUP(C97,'_Données Employés'!$B$5:$S$114,3,FALSE))</f>
        <v/>
      </c>
      <c r="E97" s="21" t="n"/>
      <c r="F97" s="21" t="n"/>
      <c r="G97" s="21" t="n"/>
      <c r="H97" s="21" t="n"/>
      <c r="I97" s="16">
        <f>IF(OR(F97="",G97=""),"",IFERROR(F97*G97/100,0))</f>
        <v/>
      </c>
      <c r="J97" s="21" t="n"/>
      <c r="K97" s="16">
        <f>IF(H97="","",IFERROR(H97+I97,0))</f>
        <v/>
      </c>
      <c r="L97" s="21" t="n"/>
    </row>
    <row r="98" ht="22" customHeight="1">
      <c r="B98" s="22">
        <f>IF(C98="","VAR"&amp;TEXT(COUNTA($C$5:C98),"000"))</f>
        <v/>
      </c>
      <c r="C98" s="22" t="n"/>
      <c r="D98" s="22">
        <f>IF(C98="","",VLOOKUP(C98,'_Données Employés'!$B$5:$S$114,3,FALSE))</f>
        <v/>
      </c>
      <c r="E98" s="22" t="n"/>
      <c r="F98" s="22" t="n"/>
      <c r="G98" s="22" t="n"/>
      <c r="H98" s="22" t="n"/>
      <c r="I98" s="18">
        <f>IF(OR(F98="",G98=""),"",IFERROR(F98*G98/100,0))</f>
        <v/>
      </c>
      <c r="J98" s="22" t="n"/>
      <c r="K98" s="18">
        <f>IF(H98="","",IFERROR(H98+I98,0))</f>
        <v/>
      </c>
      <c r="L98" s="22" t="n"/>
    </row>
    <row r="99" ht="22" customHeight="1">
      <c r="B99" s="21">
        <f>IF(C99="","VAR"&amp;TEXT(COUNTA($C$5:C99),"000"))</f>
        <v/>
      </c>
      <c r="C99" s="21" t="n"/>
      <c r="D99" s="21">
        <f>IF(C99="","",VLOOKUP(C99,'_Données Employés'!$B$5:$S$114,3,FALSE))</f>
        <v/>
      </c>
      <c r="E99" s="21" t="n"/>
      <c r="F99" s="21" t="n"/>
      <c r="G99" s="21" t="n"/>
      <c r="H99" s="21" t="n"/>
      <c r="I99" s="16">
        <f>IF(OR(F99="",G99=""),"",IFERROR(F99*G99/100,0))</f>
        <v/>
      </c>
      <c r="J99" s="21" t="n"/>
      <c r="K99" s="16">
        <f>IF(H99="","",IFERROR(H99+I99,0))</f>
        <v/>
      </c>
      <c r="L99" s="21" t="n"/>
    </row>
    <row r="100" ht="22" customHeight="1">
      <c r="B100" s="22">
        <f>IF(C100="","VAR"&amp;TEXT(COUNTA($C$5:C100),"000"))</f>
        <v/>
      </c>
      <c r="C100" s="22" t="n"/>
      <c r="D100" s="22">
        <f>IF(C100="","",VLOOKUP(C100,'_Données Employés'!$B$5:$S$114,3,FALSE))</f>
        <v/>
      </c>
      <c r="E100" s="22" t="n"/>
      <c r="F100" s="22" t="n"/>
      <c r="G100" s="22" t="n"/>
      <c r="H100" s="22" t="n"/>
      <c r="I100" s="18">
        <f>IF(OR(F100="",G100=""),"",IFERROR(F100*G100/100,0))</f>
        <v/>
      </c>
      <c r="J100" s="22" t="n"/>
      <c r="K100" s="18">
        <f>IF(H100="","",IFERROR(H100+I100,0))</f>
        <v/>
      </c>
      <c r="L100" s="22" t="n"/>
    </row>
    <row r="101" ht="22" customHeight="1">
      <c r="B101" s="21">
        <f>IF(C101="","VAR"&amp;TEXT(COUNTA($C$5:C101),"000"))</f>
        <v/>
      </c>
      <c r="C101" s="21" t="n"/>
      <c r="D101" s="21">
        <f>IF(C101="","",VLOOKUP(C101,'_Données Employés'!$B$5:$S$114,3,FALSE))</f>
        <v/>
      </c>
      <c r="E101" s="21" t="n"/>
      <c r="F101" s="21" t="n"/>
      <c r="G101" s="21" t="n"/>
      <c r="H101" s="21" t="n"/>
      <c r="I101" s="16">
        <f>IF(OR(F101="",G101=""),"",IFERROR(F101*G101/100,0))</f>
        <v/>
      </c>
      <c r="J101" s="21" t="n"/>
      <c r="K101" s="16">
        <f>IF(H101="","",IFERROR(H101+I101,0))</f>
        <v/>
      </c>
      <c r="L101" s="21" t="n"/>
    </row>
    <row r="102" ht="22" customHeight="1">
      <c r="B102" s="22">
        <f>IF(C102="","VAR"&amp;TEXT(COUNTA($C$5:C102),"000"))</f>
        <v/>
      </c>
      <c r="C102" s="22" t="n"/>
      <c r="D102" s="22">
        <f>IF(C102="","",VLOOKUP(C102,'_Données Employés'!$B$5:$S$114,3,FALSE))</f>
        <v/>
      </c>
      <c r="E102" s="22" t="n"/>
      <c r="F102" s="22" t="n"/>
      <c r="G102" s="22" t="n"/>
      <c r="H102" s="22" t="n"/>
      <c r="I102" s="18">
        <f>IF(OR(F102="",G102=""),"",IFERROR(F102*G102/100,0))</f>
        <v/>
      </c>
      <c r="J102" s="22" t="n"/>
      <c r="K102" s="18">
        <f>IF(H102="","",IFERROR(H102+I102,0))</f>
        <v/>
      </c>
      <c r="L102" s="22" t="n"/>
    </row>
    <row r="103" ht="22" customHeight="1">
      <c r="B103" s="21">
        <f>IF(C103="","VAR"&amp;TEXT(COUNTA($C$5:C103),"000"))</f>
        <v/>
      </c>
      <c r="C103" s="21" t="n"/>
      <c r="D103" s="21">
        <f>IF(C103="","",VLOOKUP(C103,'_Données Employés'!$B$5:$S$114,3,FALSE))</f>
        <v/>
      </c>
      <c r="E103" s="21" t="n"/>
      <c r="F103" s="21" t="n"/>
      <c r="G103" s="21" t="n"/>
      <c r="H103" s="21" t="n"/>
      <c r="I103" s="16">
        <f>IF(OR(F103="",G103=""),"",IFERROR(F103*G103/100,0))</f>
        <v/>
      </c>
      <c r="J103" s="21" t="n"/>
      <c r="K103" s="16">
        <f>IF(H103="","",IFERROR(H103+I103,0))</f>
        <v/>
      </c>
      <c r="L103" s="21" t="n"/>
    </row>
    <row r="104" ht="22" customHeight="1">
      <c r="B104" s="22">
        <f>IF(C104="","VAR"&amp;TEXT(COUNTA($C$5:C104),"000"))</f>
        <v/>
      </c>
      <c r="C104" s="22" t="n"/>
      <c r="D104" s="22">
        <f>IF(C104="","",VLOOKUP(C104,'_Données Employés'!$B$5:$S$114,3,FALSE))</f>
        <v/>
      </c>
      <c r="E104" s="22" t="n"/>
      <c r="F104" s="22" t="n"/>
      <c r="G104" s="22" t="n"/>
      <c r="H104" s="22" t="n"/>
      <c r="I104" s="18">
        <f>IF(OR(F104="",G104=""),"",IFERROR(F104*G104/100,0))</f>
        <v/>
      </c>
      <c r="J104" s="22" t="n"/>
      <c r="K104" s="18">
        <f>IF(H104="","",IFERROR(H104+I104,0))</f>
        <v/>
      </c>
      <c r="L104" s="22" t="n"/>
    </row>
    <row r="107">
      <c r="B107" s="23" t="inlineStr">
        <is>
          <t>KPI Total variables (FCFA)</t>
        </is>
      </c>
      <c r="C107" s="23" t="inlineStr">
        <is>
          <t>KPI Moyenne/employé (FCFA)</t>
        </is>
      </c>
    </row>
    <row r="108">
      <c r="B108" s="25">
        <f>SUM(K5:K104)</f>
        <v/>
      </c>
      <c r="C108" s="25">
        <f>IFERROR(AVERAGE(K5:K104),0)</f>
        <v/>
      </c>
    </row>
  </sheetData>
  <mergeCells count="1">
    <mergeCell ref="B2:L2"/>
  </mergeCells>
  <conditionalFormatting sqref="L5:L104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"Solde"</formula>
    </cfRule>
    <cfRule type="cellIs" priority="4" operator="equal" dxfId="1">
      <formula>"Actif"</formula>
    </cfRule>
    <cfRule type="cellIs" priority="5" operator="equal" dxfId="1">
      <formula>"Oui"</formula>
    </cfRule>
    <cfRule type="cellIs" priority="6" operator="equal" dxfId="2">
      <formula>"Rejete"</formula>
    </cfRule>
    <cfRule type="cellIs" priority="7" operator="equal" dxfId="2">
      <formula>"En retard"</formula>
    </cfRule>
    <cfRule type="cellIs" priority="8" operator="equal" dxfId="2">
      <formula>"Refuse"</formula>
    </cfRule>
    <cfRule type="cellIs" priority="9" operator="equal" dxfId="2">
      <formula>"Annule"</formula>
    </cfRule>
    <cfRule type="cellIs" priority="10" operator="equal" dxfId="2">
      <formula>"Non"</formula>
    </cfRule>
    <cfRule type="cellIs" priority="11" operator="equal" dxfId="3">
      <formula>"En attente"</formula>
    </cfRule>
    <cfRule type="cellIs" priority="12" operator="equal" dxfId="3">
      <formula>"En cours"</formula>
    </cfRule>
    <cfRule type="cellIs" priority="13" operator="equal" dxfId="3">
      <formula>"Brouillon"</formula>
    </cfRule>
    <cfRule type="cellIs" priority="14" operator="equal" dxfId="3">
      <formula>"Demande"</formula>
    </cfRule>
    <cfRule type="cellIs" priority="15" operator="equal" dxfId="3">
      <formula>"Partiellement monetise"</formula>
    </cfRule>
  </conditionalFormatting>
  <conditionalFormatting sqref="G5:G104">
    <cfRule type="dataBar" priority="16">
      <dataBar>
        <cfvo type="num" val="0"/>
        <cfvo type="num" val="1"/>
        <color rgb="001B2A4A"/>
      </dataBar>
    </cfRule>
  </conditionalFormatting>
  <conditionalFormatting sqref="H5:H104">
    <cfRule type="dataBar" priority="17">
      <dataBar>
        <cfvo type="num" val="0"/>
        <cfvo type="num" val="1"/>
        <color rgb="001B2A4A"/>
      </dataBar>
    </cfRule>
  </conditionalFormatting>
  <conditionalFormatting sqref="I5:I104">
    <cfRule type="dataBar" priority="18">
      <dataBar>
        <cfvo type="num" val="0"/>
        <cfvo type="num" val="1"/>
        <color rgb="001B2A4A"/>
      </dataBar>
    </cfRule>
  </conditionalFormatting>
  <conditionalFormatting sqref="J5:J104">
    <cfRule type="dataBar" priority="19">
      <dataBar>
        <cfvo type="num" val="0"/>
        <cfvo type="num" val="1"/>
        <color rgb="001B2A4A"/>
      </dataBar>
    </cfRule>
  </conditionalFormatting>
  <conditionalFormatting sqref="K5:K104">
    <cfRule type="dataBar" priority="20">
      <dataBar>
        <cfvo type="num" val="0"/>
        <cfvo type="num" val="1"/>
        <color rgb="001B2A4A"/>
      </dataBar>
    </cfRule>
  </conditionalFormatting>
  <conditionalFormatting sqref="B108">
    <cfRule type="cellIs" priority="21" operator="greaterThan" dxfId="0">
      <formula>0</formula>
    </cfRule>
  </conditionalFormatting>
  <conditionalFormatting sqref="C108">
    <cfRule type="cellIs" priority="22" operator="greaterThan" dxfId="0">
      <formula>0</formula>
    </cfRule>
  </conditionalFormatting>
  <dataValidations count="3">
    <dataValidation sqref="F5:F104" showDropDown="0" showInputMessage="0" showErrorMessage="0" allowBlank="1" type="list">
      <formula1>'_Lists'!$K$2:$K$13</formula1>
    </dataValidation>
    <dataValidation sqref="L5:L104" showDropDown="0" showInputMessage="0" showErrorMessage="0" allowBlank="1" type="list">
      <formula1>'_Lists'!$N$2:$N$5</formula1>
    </dataValidation>
    <dataValidation sqref="C5:C104" showDropDown="0" showInputMessage="0" showErrorMessage="0" allowBlank="1" promptTitle="Matricule Employé" prompt="Choisir un matricule" type="list">
      <formula1>'_Données Employés'!$B$5:$B$114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10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18" customWidth="1" min="4" max="4"/>
    <col width="24" customWidth="1" min="5" max="5"/>
    <col width="16" customWidth="1" min="6" max="6"/>
    <col width="20" customWidth="1" min="7" max="7"/>
    <col width="18" customWidth="1" min="8" max="8"/>
    <col width="14" customWidth="1" min="9" max="9"/>
    <col width="10" customWidth="1" min="10" max="10"/>
  </cols>
  <sheetData>
    <row r="1" ht="15" customHeight="1"/>
    <row r="2" ht="32" customHeight="1">
      <c r="B2" s="13" t="inlineStr">
        <is>
          <t>AVANTAGES SOCIAUX — 15-Avantages Nature</t>
        </is>
      </c>
    </row>
    <row r="3" ht="8" customHeight="1"/>
    <row r="4" ht="28" customHeight="1">
      <c r="B4" s="14" t="inlineStr">
        <is>
          <t>N°</t>
        </is>
      </c>
      <c r="C4" s="14" t="inlineStr">
        <is>
          <t>Matricule</t>
        </is>
      </c>
      <c r="D4" s="14" t="inlineStr">
        <is>
          <t>Nom Employé</t>
        </is>
      </c>
      <c r="E4" s="14" t="inlineStr">
        <is>
          <t>Département</t>
        </is>
      </c>
      <c r="F4" s="14" t="inlineStr">
        <is>
          <t>Type Avantage</t>
        </is>
      </c>
      <c r="G4" s="14" t="inlineStr">
        <is>
          <t>Montant Mensuel (FCFA)</t>
        </is>
      </c>
      <c r="H4" s="14" t="inlineStr">
        <is>
          <t>Base Imposable (FCFA)</t>
        </is>
      </c>
      <c r="I4" s="14" t="inlineStr">
        <is>
          <t>Date Début</t>
        </is>
      </c>
      <c r="J4" s="14" t="inlineStr">
        <is>
          <t>Statut</t>
        </is>
      </c>
    </row>
    <row r="5" ht="22" customHeight="1">
      <c r="B5" s="15" t="inlineStr">
        <is>
          <t>AV-001</t>
        </is>
      </c>
      <c r="C5" s="15" t="inlineStr">
        <is>
          <t>EMP-001</t>
        </is>
      </c>
      <c r="D5" s="15" t="inlineStr">
        <is>
          <t>Nganou Clarisse</t>
        </is>
      </c>
      <c r="E5" s="15" t="inlineStr">
        <is>
          <t>Ressources Humaines</t>
        </is>
      </c>
      <c r="F5" s="15" t="inlineStr">
        <is>
          <t>Logement</t>
        </is>
      </c>
      <c r="G5" s="16" t="n">
        <v>50000</v>
      </c>
      <c r="H5" s="16" t="n">
        <v>50000</v>
      </c>
      <c r="I5" s="33" t="inlineStr">
        <is>
          <t>2005-06-01</t>
        </is>
      </c>
      <c r="J5" s="15" t="inlineStr">
        <is>
          <t>Actif</t>
        </is>
      </c>
    </row>
    <row r="6" ht="22" customHeight="1">
      <c r="B6" s="17" t="inlineStr">
        <is>
          <t>AV-002</t>
        </is>
      </c>
      <c r="C6" s="17" t="inlineStr">
        <is>
          <t>EMP-001</t>
        </is>
      </c>
      <c r="D6" s="17" t="inlineStr">
        <is>
          <t>Nganou Clarisse</t>
        </is>
      </c>
      <c r="E6" s="17" t="inlineStr">
        <is>
          <t>Ressources Humaines</t>
        </is>
      </c>
      <c r="F6" s="17" t="inlineStr">
        <is>
          <t>Telephone</t>
        </is>
      </c>
      <c r="G6" s="18" t="n">
        <v>15000</v>
      </c>
      <c r="H6" s="18" t="n">
        <v>15000</v>
      </c>
      <c r="I6" s="34" t="inlineStr">
        <is>
          <t>2005-06-01</t>
        </is>
      </c>
      <c r="J6" s="17" t="inlineStr">
        <is>
          <t>Actif</t>
        </is>
      </c>
    </row>
    <row r="7" ht="22" customHeight="1">
      <c r="B7" s="15" t="inlineStr">
        <is>
          <t>AV-003</t>
        </is>
      </c>
      <c r="C7" s="15" t="inlineStr">
        <is>
          <t>EMP-002</t>
        </is>
      </c>
      <c r="D7" s="15" t="inlineStr">
        <is>
          <t>Tchinda Armand</t>
        </is>
      </c>
      <c r="E7" s="15" t="inlineStr">
        <is>
          <t>Finance &amp; Comptabilite</t>
        </is>
      </c>
      <c r="F7" s="15" t="inlineStr">
        <is>
          <t>Vehicule</t>
        </is>
      </c>
      <c r="G7" s="16" t="n">
        <v>75000</v>
      </c>
      <c r="H7" s="16" t="n">
        <v>50000</v>
      </c>
      <c r="I7" s="33" t="inlineStr">
        <is>
          <t>2010-01-15</t>
        </is>
      </c>
      <c r="J7" s="15" t="inlineStr">
        <is>
          <t>Actif</t>
        </is>
      </c>
    </row>
    <row r="8" ht="22" customHeight="1">
      <c r="B8" s="17" t="inlineStr">
        <is>
          <t>AV-004</t>
        </is>
      </c>
      <c r="C8" s="17" t="inlineStr">
        <is>
          <t>EMP-005</t>
        </is>
      </c>
      <c r="D8" s="17" t="inlineStr">
        <is>
          <t>Diallo Moussa</t>
        </is>
      </c>
      <c r="E8" s="17" t="inlineStr">
        <is>
          <t>Cuisine &amp; Restauration</t>
        </is>
      </c>
      <c r="F8" s="17" t="inlineStr">
        <is>
          <t>Repas</t>
        </is>
      </c>
      <c r="G8" s="18" t="n">
        <v>33000</v>
      </c>
      <c r="H8" s="18" t="n">
        <v>0</v>
      </c>
      <c r="I8" s="34" t="inlineStr">
        <is>
          <t>2012-04-01</t>
        </is>
      </c>
      <c r="J8" s="17" t="inlineStr">
        <is>
          <t>Actif</t>
        </is>
      </c>
    </row>
    <row r="9" ht="22" customHeight="1">
      <c r="B9" s="19">
        <f>IF(C9="","AV"&amp;TEXT(COUNTA($C$5:C9),"000"))</f>
        <v/>
      </c>
      <c r="C9" s="19" t="n"/>
      <c r="D9" s="19">
        <f>IF(C9="","",VLOOKUP(C9,'_Données Employés'!$B$5:$S$114,3,FALSE))</f>
        <v/>
      </c>
      <c r="E9" s="19">
        <f>IF(C9="","",VLOOKUP(C9,'_Données Employés'!$B$5:$S$114,10,FALSE))</f>
        <v/>
      </c>
      <c r="F9" s="19" t="n"/>
      <c r="G9" s="19" t="n"/>
      <c r="H9" s="19" t="n"/>
      <c r="I9" s="19" t="n"/>
      <c r="J9" s="19" t="n"/>
    </row>
    <row r="10" ht="22" customHeight="1">
      <c r="B10" s="22">
        <f>IF(C10="","AV"&amp;TEXT(COUNTA($C$5:C10),"000"))</f>
        <v/>
      </c>
      <c r="C10" s="22" t="n"/>
      <c r="D10" s="22">
        <f>IF(C10="","",VLOOKUP(C10,'_Données Employés'!$B$5:$S$114,3,FALSE))</f>
        <v/>
      </c>
      <c r="E10" s="22">
        <f>IF(C10="","",VLOOKUP(C10,'_Données Employés'!$B$5:$S$114,10,FALSE))</f>
        <v/>
      </c>
      <c r="F10" s="22" t="n"/>
      <c r="G10" s="22" t="n"/>
      <c r="H10" s="22" t="n"/>
      <c r="I10" s="22" t="n"/>
      <c r="J10" s="22" t="n"/>
    </row>
    <row r="11" ht="22" customHeight="1">
      <c r="B11" s="21">
        <f>IF(C11="","AV"&amp;TEXT(COUNTA($C$5:C11),"000"))</f>
        <v/>
      </c>
      <c r="C11" s="21" t="n"/>
      <c r="D11" s="21">
        <f>IF(C11="","",VLOOKUP(C11,'_Données Employés'!$B$5:$S$114,3,FALSE))</f>
        <v/>
      </c>
      <c r="E11" s="21">
        <f>IF(C11="","",VLOOKUP(C11,'_Données Employés'!$B$5:$S$114,10,FALSE))</f>
        <v/>
      </c>
      <c r="F11" s="21" t="n"/>
      <c r="G11" s="21" t="n"/>
      <c r="H11" s="21" t="n"/>
      <c r="I11" s="21" t="n"/>
      <c r="J11" s="21" t="n"/>
    </row>
    <row r="12" ht="22" customHeight="1">
      <c r="B12" s="22">
        <f>IF(C12="","AV"&amp;TEXT(COUNTA($C$5:C12),"000"))</f>
        <v/>
      </c>
      <c r="C12" s="22" t="n"/>
      <c r="D12" s="22">
        <f>IF(C12="","",VLOOKUP(C12,'_Données Employés'!$B$5:$S$114,3,FALSE))</f>
        <v/>
      </c>
      <c r="E12" s="22">
        <f>IF(C12="","",VLOOKUP(C12,'_Données Employés'!$B$5:$S$114,10,FALSE))</f>
        <v/>
      </c>
      <c r="F12" s="22" t="n"/>
      <c r="G12" s="22" t="n"/>
      <c r="H12" s="22" t="n"/>
      <c r="I12" s="22" t="n"/>
      <c r="J12" s="22" t="n"/>
    </row>
    <row r="13" ht="22" customHeight="1">
      <c r="B13" s="21">
        <f>IF(C13="","AV"&amp;TEXT(COUNTA($C$5:C13),"000"))</f>
        <v/>
      </c>
      <c r="C13" s="21" t="n"/>
      <c r="D13" s="21">
        <f>IF(C13="","",VLOOKUP(C13,'_Données Employés'!$B$5:$S$114,3,FALSE))</f>
        <v/>
      </c>
      <c r="E13" s="21">
        <f>IF(C13="","",VLOOKUP(C13,'_Données Employés'!$B$5:$S$114,10,FALSE))</f>
        <v/>
      </c>
      <c r="F13" s="21" t="n"/>
      <c r="G13" s="21" t="n"/>
      <c r="H13" s="21" t="n"/>
      <c r="I13" s="21" t="n"/>
      <c r="J13" s="21" t="n"/>
    </row>
    <row r="14" ht="22" customHeight="1">
      <c r="B14" s="22">
        <f>IF(C14="","AV"&amp;TEXT(COUNTA($C$5:C14),"000"))</f>
        <v/>
      </c>
      <c r="C14" s="22" t="n"/>
      <c r="D14" s="22">
        <f>IF(C14="","",VLOOKUP(C14,'_Données Employés'!$B$5:$S$114,3,FALSE))</f>
        <v/>
      </c>
      <c r="E14" s="22">
        <f>IF(C14="","",VLOOKUP(C14,'_Données Employés'!$B$5:$S$114,10,FALSE))</f>
        <v/>
      </c>
      <c r="F14" s="22" t="n"/>
      <c r="G14" s="22" t="n"/>
      <c r="H14" s="22" t="n"/>
      <c r="I14" s="22" t="n"/>
      <c r="J14" s="22" t="n"/>
    </row>
    <row r="15" ht="22" customHeight="1">
      <c r="B15" s="21">
        <f>IF(C15="","AV"&amp;TEXT(COUNTA($C$5:C15),"000"))</f>
        <v/>
      </c>
      <c r="C15" s="21" t="n"/>
      <c r="D15" s="21">
        <f>IF(C15="","",VLOOKUP(C15,'_Données Employés'!$B$5:$S$114,3,FALSE))</f>
        <v/>
      </c>
      <c r="E15" s="21">
        <f>IF(C15="","",VLOOKUP(C15,'_Données Employés'!$B$5:$S$114,10,FALSE))</f>
        <v/>
      </c>
      <c r="F15" s="21" t="n"/>
      <c r="G15" s="21" t="n"/>
      <c r="H15" s="21" t="n"/>
      <c r="I15" s="21" t="n"/>
      <c r="J15" s="21" t="n"/>
    </row>
    <row r="16" ht="22" customHeight="1">
      <c r="B16" s="22">
        <f>IF(C16="","AV"&amp;TEXT(COUNTA($C$5:C16),"000"))</f>
        <v/>
      </c>
      <c r="C16" s="22" t="n"/>
      <c r="D16" s="22">
        <f>IF(C16="","",VLOOKUP(C16,'_Données Employés'!$B$5:$S$114,3,FALSE))</f>
        <v/>
      </c>
      <c r="E16" s="22">
        <f>IF(C16="","",VLOOKUP(C16,'_Données Employés'!$B$5:$S$114,10,FALSE))</f>
        <v/>
      </c>
      <c r="F16" s="22" t="n"/>
      <c r="G16" s="22" t="n"/>
      <c r="H16" s="22" t="n"/>
      <c r="I16" s="22" t="n"/>
      <c r="J16" s="22" t="n"/>
    </row>
    <row r="17" ht="22" customHeight="1">
      <c r="B17" s="21">
        <f>IF(C17="","AV"&amp;TEXT(COUNTA($C$5:C17),"000"))</f>
        <v/>
      </c>
      <c r="C17" s="21" t="n"/>
      <c r="D17" s="21">
        <f>IF(C17="","",VLOOKUP(C17,'_Données Employés'!$B$5:$S$114,3,FALSE))</f>
        <v/>
      </c>
      <c r="E17" s="21">
        <f>IF(C17="","",VLOOKUP(C17,'_Données Employés'!$B$5:$S$114,10,FALSE))</f>
        <v/>
      </c>
      <c r="F17" s="21" t="n"/>
      <c r="G17" s="21" t="n"/>
      <c r="H17" s="21" t="n"/>
      <c r="I17" s="21" t="n"/>
      <c r="J17" s="21" t="n"/>
    </row>
    <row r="18" ht="22" customHeight="1">
      <c r="B18" s="22">
        <f>IF(C18="","AV"&amp;TEXT(COUNTA($C$5:C18),"000"))</f>
        <v/>
      </c>
      <c r="C18" s="22" t="n"/>
      <c r="D18" s="22">
        <f>IF(C18="","",VLOOKUP(C18,'_Données Employés'!$B$5:$S$114,3,FALSE))</f>
        <v/>
      </c>
      <c r="E18" s="22">
        <f>IF(C18="","",VLOOKUP(C18,'_Données Employés'!$B$5:$S$114,10,FALSE))</f>
        <v/>
      </c>
      <c r="F18" s="22" t="n"/>
      <c r="G18" s="22" t="n"/>
      <c r="H18" s="22" t="n"/>
      <c r="I18" s="22" t="n"/>
      <c r="J18" s="22" t="n"/>
    </row>
    <row r="19" ht="22" customHeight="1">
      <c r="B19" s="21">
        <f>IF(C19="","AV"&amp;TEXT(COUNTA($C$5:C19),"000"))</f>
        <v/>
      </c>
      <c r="C19" s="21" t="n"/>
      <c r="D19" s="21">
        <f>IF(C19="","",VLOOKUP(C19,'_Données Employés'!$B$5:$S$114,3,FALSE))</f>
        <v/>
      </c>
      <c r="E19" s="21">
        <f>IF(C19="","",VLOOKUP(C19,'_Données Employés'!$B$5:$S$114,10,FALSE))</f>
        <v/>
      </c>
      <c r="F19" s="21" t="n"/>
      <c r="G19" s="21" t="n"/>
      <c r="H19" s="21" t="n"/>
      <c r="I19" s="21" t="n"/>
      <c r="J19" s="21" t="n"/>
    </row>
    <row r="20" ht="22" customHeight="1">
      <c r="B20" s="22">
        <f>IF(C20="","AV"&amp;TEXT(COUNTA($C$5:C20),"000"))</f>
        <v/>
      </c>
      <c r="C20" s="22" t="n"/>
      <c r="D20" s="22">
        <f>IF(C20="","",VLOOKUP(C20,'_Données Employés'!$B$5:$S$114,3,FALSE))</f>
        <v/>
      </c>
      <c r="E20" s="22">
        <f>IF(C20="","",VLOOKUP(C20,'_Données Employés'!$B$5:$S$114,10,FALSE))</f>
        <v/>
      </c>
      <c r="F20" s="22" t="n"/>
      <c r="G20" s="22" t="n"/>
      <c r="H20" s="22" t="n"/>
      <c r="I20" s="22" t="n"/>
      <c r="J20" s="22" t="n"/>
    </row>
    <row r="21" ht="22" customHeight="1">
      <c r="B21" s="21">
        <f>IF(C21="","AV"&amp;TEXT(COUNTA($C$5:C21),"000"))</f>
        <v/>
      </c>
      <c r="C21" s="21" t="n"/>
      <c r="D21" s="21">
        <f>IF(C21="","",VLOOKUP(C21,'_Données Employés'!$B$5:$S$114,3,FALSE))</f>
        <v/>
      </c>
      <c r="E21" s="21">
        <f>IF(C21="","",VLOOKUP(C21,'_Données Employés'!$B$5:$S$114,10,FALSE))</f>
        <v/>
      </c>
      <c r="F21" s="21" t="n"/>
      <c r="G21" s="21" t="n"/>
      <c r="H21" s="21" t="n"/>
      <c r="I21" s="21" t="n"/>
      <c r="J21" s="21" t="n"/>
    </row>
    <row r="22" ht="22" customHeight="1">
      <c r="B22" s="22">
        <f>IF(C22="","AV"&amp;TEXT(COUNTA($C$5:C22),"000"))</f>
        <v/>
      </c>
      <c r="C22" s="22" t="n"/>
      <c r="D22" s="22">
        <f>IF(C22="","",VLOOKUP(C22,'_Données Employés'!$B$5:$S$114,3,FALSE))</f>
        <v/>
      </c>
      <c r="E22" s="22">
        <f>IF(C22="","",VLOOKUP(C22,'_Données Employés'!$B$5:$S$114,10,FALSE))</f>
        <v/>
      </c>
      <c r="F22" s="22" t="n"/>
      <c r="G22" s="22" t="n"/>
      <c r="H22" s="22" t="n"/>
      <c r="I22" s="22" t="n"/>
      <c r="J22" s="22" t="n"/>
    </row>
    <row r="23" ht="22" customHeight="1">
      <c r="B23" s="21">
        <f>IF(C23="","AV"&amp;TEXT(COUNTA($C$5:C23),"000"))</f>
        <v/>
      </c>
      <c r="C23" s="21" t="n"/>
      <c r="D23" s="21">
        <f>IF(C23="","",VLOOKUP(C23,'_Données Employés'!$B$5:$S$114,3,FALSE))</f>
        <v/>
      </c>
      <c r="E23" s="21">
        <f>IF(C23="","",VLOOKUP(C23,'_Données Employés'!$B$5:$S$114,10,FALSE))</f>
        <v/>
      </c>
      <c r="F23" s="21" t="n"/>
      <c r="G23" s="21" t="n"/>
      <c r="H23" s="21" t="n"/>
      <c r="I23" s="21" t="n"/>
      <c r="J23" s="21" t="n"/>
    </row>
    <row r="24" ht="22" customHeight="1">
      <c r="B24" s="22">
        <f>IF(C24="","AV"&amp;TEXT(COUNTA($C$5:C24),"000"))</f>
        <v/>
      </c>
      <c r="C24" s="22" t="n"/>
      <c r="D24" s="22">
        <f>IF(C24="","",VLOOKUP(C24,'_Données Employés'!$B$5:$S$114,3,FALSE))</f>
        <v/>
      </c>
      <c r="E24" s="22">
        <f>IF(C24="","",VLOOKUP(C24,'_Données Employés'!$B$5:$S$114,10,FALSE))</f>
        <v/>
      </c>
      <c r="F24" s="22" t="n"/>
      <c r="G24" s="22" t="n"/>
      <c r="H24" s="22" t="n"/>
      <c r="I24" s="22" t="n"/>
      <c r="J24" s="22" t="n"/>
    </row>
    <row r="25" ht="22" customHeight="1">
      <c r="B25" s="21">
        <f>IF(C25="","AV"&amp;TEXT(COUNTA($C$5:C25),"000"))</f>
        <v/>
      </c>
      <c r="C25" s="21" t="n"/>
      <c r="D25" s="21">
        <f>IF(C25="","",VLOOKUP(C25,'_Données Employés'!$B$5:$S$114,3,FALSE))</f>
        <v/>
      </c>
      <c r="E25" s="21">
        <f>IF(C25="","",VLOOKUP(C25,'_Données Employés'!$B$5:$S$114,10,FALSE))</f>
        <v/>
      </c>
      <c r="F25" s="21" t="n"/>
      <c r="G25" s="21" t="n"/>
      <c r="H25" s="21" t="n"/>
      <c r="I25" s="21" t="n"/>
      <c r="J25" s="21" t="n"/>
    </row>
    <row r="26" ht="22" customHeight="1">
      <c r="B26" s="22">
        <f>IF(C26="","AV"&amp;TEXT(COUNTA($C$5:C26),"000"))</f>
        <v/>
      </c>
      <c r="C26" s="22" t="n"/>
      <c r="D26" s="22">
        <f>IF(C26="","",VLOOKUP(C26,'_Données Employés'!$B$5:$S$114,3,FALSE))</f>
        <v/>
      </c>
      <c r="E26" s="22">
        <f>IF(C26="","",VLOOKUP(C26,'_Données Employés'!$B$5:$S$114,10,FALSE))</f>
        <v/>
      </c>
      <c r="F26" s="22" t="n"/>
      <c r="G26" s="22" t="n"/>
      <c r="H26" s="22" t="n"/>
      <c r="I26" s="22" t="n"/>
      <c r="J26" s="22" t="n"/>
    </row>
    <row r="27" ht="22" customHeight="1">
      <c r="B27" s="21">
        <f>IF(C27="","AV"&amp;TEXT(COUNTA($C$5:C27),"000"))</f>
        <v/>
      </c>
      <c r="C27" s="21" t="n"/>
      <c r="D27" s="21">
        <f>IF(C27="","",VLOOKUP(C27,'_Données Employés'!$B$5:$S$114,3,FALSE))</f>
        <v/>
      </c>
      <c r="E27" s="21">
        <f>IF(C27="","",VLOOKUP(C27,'_Données Employés'!$B$5:$S$114,10,FALSE))</f>
        <v/>
      </c>
      <c r="F27" s="21" t="n"/>
      <c r="G27" s="21" t="n"/>
      <c r="H27" s="21" t="n"/>
      <c r="I27" s="21" t="n"/>
      <c r="J27" s="21" t="n"/>
    </row>
    <row r="28" ht="22" customHeight="1">
      <c r="B28" s="22">
        <f>IF(C28="","AV"&amp;TEXT(COUNTA($C$5:C28),"000"))</f>
        <v/>
      </c>
      <c r="C28" s="22" t="n"/>
      <c r="D28" s="22">
        <f>IF(C28="","",VLOOKUP(C28,'_Données Employés'!$B$5:$S$114,3,FALSE))</f>
        <v/>
      </c>
      <c r="E28" s="22">
        <f>IF(C28="","",VLOOKUP(C28,'_Données Employés'!$B$5:$S$114,10,FALSE))</f>
        <v/>
      </c>
      <c r="F28" s="22" t="n"/>
      <c r="G28" s="22" t="n"/>
      <c r="H28" s="22" t="n"/>
      <c r="I28" s="22" t="n"/>
      <c r="J28" s="22" t="n"/>
    </row>
    <row r="29" ht="22" customHeight="1">
      <c r="B29" s="21">
        <f>IF(C29="","AV"&amp;TEXT(COUNTA($C$5:C29),"000"))</f>
        <v/>
      </c>
      <c r="C29" s="21" t="n"/>
      <c r="D29" s="21">
        <f>IF(C29="","",VLOOKUP(C29,'_Données Employés'!$B$5:$S$114,3,FALSE))</f>
        <v/>
      </c>
      <c r="E29" s="21">
        <f>IF(C29="","",VLOOKUP(C29,'_Données Employés'!$B$5:$S$114,10,FALSE))</f>
        <v/>
      </c>
      <c r="F29" s="21" t="n"/>
      <c r="G29" s="21" t="n"/>
      <c r="H29" s="21" t="n"/>
      <c r="I29" s="21" t="n"/>
      <c r="J29" s="21" t="n"/>
    </row>
    <row r="30" ht="22" customHeight="1">
      <c r="B30" s="22">
        <f>IF(C30="","AV"&amp;TEXT(COUNTA($C$5:C30),"000"))</f>
        <v/>
      </c>
      <c r="C30" s="22" t="n"/>
      <c r="D30" s="22">
        <f>IF(C30="","",VLOOKUP(C30,'_Données Employés'!$B$5:$S$114,3,FALSE))</f>
        <v/>
      </c>
      <c r="E30" s="22">
        <f>IF(C30="","",VLOOKUP(C30,'_Données Employés'!$B$5:$S$114,10,FALSE))</f>
        <v/>
      </c>
      <c r="F30" s="22" t="n"/>
      <c r="G30" s="22" t="n"/>
      <c r="H30" s="22" t="n"/>
      <c r="I30" s="22" t="n"/>
      <c r="J30" s="22" t="n"/>
    </row>
    <row r="31" ht="22" customHeight="1">
      <c r="B31" s="21">
        <f>IF(C31="","AV"&amp;TEXT(COUNTA($C$5:C31),"000"))</f>
        <v/>
      </c>
      <c r="C31" s="21" t="n"/>
      <c r="D31" s="21">
        <f>IF(C31="","",VLOOKUP(C31,'_Données Employés'!$B$5:$S$114,3,FALSE))</f>
        <v/>
      </c>
      <c r="E31" s="21">
        <f>IF(C31="","",VLOOKUP(C31,'_Données Employés'!$B$5:$S$114,10,FALSE))</f>
        <v/>
      </c>
      <c r="F31" s="21" t="n"/>
      <c r="G31" s="21" t="n"/>
      <c r="H31" s="21" t="n"/>
      <c r="I31" s="21" t="n"/>
      <c r="J31" s="21" t="n"/>
    </row>
    <row r="32" ht="22" customHeight="1">
      <c r="B32" s="22">
        <f>IF(C32="","AV"&amp;TEXT(COUNTA($C$5:C32),"000"))</f>
        <v/>
      </c>
      <c r="C32" s="22" t="n"/>
      <c r="D32" s="22">
        <f>IF(C32="","",VLOOKUP(C32,'_Données Employés'!$B$5:$S$114,3,FALSE))</f>
        <v/>
      </c>
      <c r="E32" s="22">
        <f>IF(C32="","",VLOOKUP(C32,'_Données Employés'!$B$5:$S$114,10,FALSE))</f>
        <v/>
      </c>
      <c r="F32" s="22" t="n"/>
      <c r="G32" s="22" t="n"/>
      <c r="H32" s="22" t="n"/>
      <c r="I32" s="22" t="n"/>
      <c r="J32" s="22" t="n"/>
    </row>
    <row r="33" ht="22" customHeight="1">
      <c r="B33" s="21">
        <f>IF(C33="","AV"&amp;TEXT(COUNTA($C$5:C33),"000"))</f>
        <v/>
      </c>
      <c r="C33" s="21" t="n"/>
      <c r="D33" s="21">
        <f>IF(C33="","",VLOOKUP(C33,'_Données Employés'!$B$5:$S$114,3,FALSE))</f>
        <v/>
      </c>
      <c r="E33" s="21">
        <f>IF(C33="","",VLOOKUP(C33,'_Données Employés'!$B$5:$S$114,10,FALSE))</f>
        <v/>
      </c>
      <c r="F33" s="21" t="n"/>
      <c r="G33" s="21" t="n"/>
      <c r="H33" s="21" t="n"/>
      <c r="I33" s="21" t="n"/>
      <c r="J33" s="21" t="n"/>
    </row>
    <row r="34" ht="22" customHeight="1">
      <c r="B34" s="22">
        <f>IF(C34="","AV"&amp;TEXT(COUNTA($C$5:C34),"000"))</f>
        <v/>
      </c>
      <c r="C34" s="22" t="n"/>
      <c r="D34" s="22">
        <f>IF(C34="","",VLOOKUP(C34,'_Données Employés'!$B$5:$S$114,3,FALSE))</f>
        <v/>
      </c>
      <c r="E34" s="22">
        <f>IF(C34="","",VLOOKUP(C34,'_Données Employés'!$B$5:$S$114,10,FALSE))</f>
        <v/>
      </c>
      <c r="F34" s="22" t="n"/>
      <c r="G34" s="22" t="n"/>
      <c r="H34" s="22" t="n"/>
      <c r="I34" s="22" t="n"/>
      <c r="J34" s="22" t="n"/>
    </row>
    <row r="35" ht="22" customHeight="1">
      <c r="B35" s="21">
        <f>IF(C35="","AV"&amp;TEXT(COUNTA($C$5:C35),"000"))</f>
        <v/>
      </c>
      <c r="C35" s="21" t="n"/>
      <c r="D35" s="21">
        <f>IF(C35="","",VLOOKUP(C35,'_Données Employés'!$B$5:$S$114,3,FALSE))</f>
        <v/>
      </c>
      <c r="E35" s="21">
        <f>IF(C35="","",VLOOKUP(C35,'_Données Employés'!$B$5:$S$114,10,FALSE))</f>
        <v/>
      </c>
      <c r="F35" s="21" t="n"/>
      <c r="G35" s="21" t="n"/>
      <c r="H35" s="21" t="n"/>
      <c r="I35" s="21" t="n"/>
      <c r="J35" s="21" t="n"/>
    </row>
    <row r="36" ht="22" customHeight="1">
      <c r="B36" s="22">
        <f>IF(C36="","AV"&amp;TEXT(COUNTA($C$5:C36),"000"))</f>
        <v/>
      </c>
      <c r="C36" s="22" t="n"/>
      <c r="D36" s="22">
        <f>IF(C36="","",VLOOKUP(C36,'_Données Employés'!$B$5:$S$114,3,FALSE))</f>
        <v/>
      </c>
      <c r="E36" s="22">
        <f>IF(C36="","",VLOOKUP(C36,'_Données Employés'!$B$5:$S$114,10,FALSE))</f>
        <v/>
      </c>
      <c r="F36" s="22" t="n"/>
      <c r="G36" s="22" t="n"/>
      <c r="H36" s="22" t="n"/>
      <c r="I36" s="22" t="n"/>
      <c r="J36" s="22" t="n"/>
    </row>
    <row r="37" ht="22" customHeight="1">
      <c r="B37" s="21">
        <f>IF(C37="","AV"&amp;TEXT(COUNTA($C$5:C37),"000"))</f>
        <v/>
      </c>
      <c r="C37" s="21" t="n"/>
      <c r="D37" s="21">
        <f>IF(C37="","",VLOOKUP(C37,'_Données Employés'!$B$5:$S$114,3,FALSE))</f>
        <v/>
      </c>
      <c r="E37" s="21">
        <f>IF(C37="","",VLOOKUP(C37,'_Données Employés'!$B$5:$S$114,10,FALSE))</f>
        <v/>
      </c>
      <c r="F37" s="21" t="n"/>
      <c r="G37" s="21" t="n"/>
      <c r="H37" s="21" t="n"/>
      <c r="I37" s="21" t="n"/>
      <c r="J37" s="21" t="n"/>
    </row>
    <row r="38" ht="22" customHeight="1">
      <c r="B38" s="22">
        <f>IF(C38="","AV"&amp;TEXT(COUNTA($C$5:C38),"000"))</f>
        <v/>
      </c>
      <c r="C38" s="22" t="n"/>
      <c r="D38" s="22">
        <f>IF(C38="","",VLOOKUP(C38,'_Données Employés'!$B$5:$S$114,3,FALSE))</f>
        <v/>
      </c>
      <c r="E38" s="22">
        <f>IF(C38="","",VLOOKUP(C38,'_Données Employés'!$B$5:$S$114,10,FALSE))</f>
        <v/>
      </c>
      <c r="F38" s="22" t="n"/>
      <c r="G38" s="22" t="n"/>
      <c r="H38" s="22" t="n"/>
      <c r="I38" s="22" t="n"/>
      <c r="J38" s="22" t="n"/>
    </row>
    <row r="39" ht="22" customHeight="1">
      <c r="B39" s="21">
        <f>IF(C39="","AV"&amp;TEXT(COUNTA($C$5:C39),"000"))</f>
        <v/>
      </c>
      <c r="C39" s="21" t="n"/>
      <c r="D39" s="21">
        <f>IF(C39="","",VLOOKUP(C39,'_Données Employés'!$B$5:$S$114,3,FALSE))</f>
        <v/>
      </c>
      <c r="E39" s="21">
        <f>IF(C39="","",VLOOKUP(C39,'_Données Employés'!$B$5:$S$114,10,FALSE))</f>
        <v/>
      </c>
      <c r="F39" s="21" t="n"/>
      <c r="G39" s="21" t="n"/>
      <c r="H39" s="21" t="n"/>
      <c r="I39" s="21" t="n"/>
      <c r="J39" s="21" t="n"/>
    </row>
    <row r="40" ht="22" customHeight="1">
      <c r="B40" s="22">
        <f>IF(C40="","AV"&amp;TEXT(COUNTA($C$5:C40),"000"))</f>
        <v/>
      </c>
      <c r="C40" s="22" t="n"/>
      <c r="D40" s="22">
        <f>IF(C40="","",VLOOKUP(C40,'_Données Employés'!$B$5:$S$114,3,FALSE))</f>
        <v/>
      </c>
      <c r="E40" s="22">
        <f>IF(C40="","",VLOOKUP(C40,'_Données Employés'!$B$5:$S$114,10,FALSE))</f>
        <v/>
      </c>
      <c r="F40" s="22" t="n"/>
      <c r="G40" s="22" t="n"/>
      <c r="H40" s="22" t="n"/>
      <c r="I40" s="22" t="n"/>
      <c r="J40" s="22" t="n"/>
    </row>
    <row r="41" ht="22" customHeight="1">
      <c r="B41" s="21">
        <f>IF(C41="","AV"&amp;TEXT(COUNTA($C$5:C41),"000"))</f>
        <v/>
      </c>
      <c r="C41" s="21" t="n"/>
      <c r="D41" s="21">
        <f>IF(C41="","",VLOOKUP(C41,'_Données Employés'!$B$5:$S$114,3,FALSE))</f>
        <v/>
      </c>
      <c r="E41" s="21">
        <f>IF(C41="","",VLOOKUP(C41,'_Données Employés'!$B$5:$S$114,10,FALSE))</f>
        <v/>
      </c>
      <c r="F41" s="21" t="n"/>
      <c r="G41" s="21" t="n"/>
      <c r="H41" s="21" t="n"/>
      <c r="I41" s="21" t="n"/>
      <c r="J41" s="21" t="n"/>
    </row>
    <row r="42" ht="22" customHeight="1">
      <c r="B42" s="22">
        <f>IF(C42="","AV"&amp;TEXT(COUNTA($C$5:C42),"000"))</f>
        <v/>
      </c>
      <c r="C42" s="22" t="n"/>
      <c r="D42" s="22">
        <f>IF(C42="","",VLOOKUP(C42,'_Données Employés'!$B$5:$S$114,3,FALSE))</f>
        <v/>
      </c>
      <c r="E42" s="22">
        <f>IF(C42="","",VLOOKUP(C42,'_Données Employés'!$B$5:$S$114,10,FALSE))</f>
        <v/>
      </c>
      <c r="F42" s="22" t="n"/>
      <c r="G42" s="22" t="n"/>
      <c r="H42" s="22" t="n"/>
      <c r="I42" s="22" t="n"/>
      <c r="J42" s="22" t="n"/>
    </row>
    <row r="43" ht="22" customHeight="1">
      <c r="B43" s="21">
        <f>IF(C43="","AV"&amp;TEXT(COUNTA($C$5:C43),"000"))</f>
        <v/>
      </c>
      <c r="C43" s="21" t="n"/>
      <c r="D43" s="21">
        <f>IF(C43="","",VLOOKUP(C43,'_Données Employés'!$B$5:$S$114,3,FALSE))</f>
        <v/>
      </c>
      <c r="E43" s="21">
        <f>IF(C43="","",VLOOKUP(C43,'_Données Employés'!$B$5:$S$114,10,FALSE))</f>
        <v/>
      </c>
      <c r="F43" s="21" t="n"/>
      <c r="G43" s="21" t="n"/>
      <c r="H43" s="21" t="n"/>
      <c r="I43" s="21" t="n"/>
      <c r="J43" s="21" t="n"/>
    </row>
    <row r="44" ht="22" customHeight="1">
      <c r="B44" s="22">
        <f>IF(C44="","AV"&amp;TEXT(COUNTA($C$5:C44),"000"))</f>
        <v/>
      </c>
      <c r="C44" s="22" t="n"/>
      <c r="D44" s="22">
        <f>IF(C44="","",VLOOKUP(C44,'_Données Employés'!$B$5:$S$114,3,FALSE))</f>
        <v/>
      </c>
      <c r="E44" s="22">
        <f>IF(C44="","",VLOOKUP(C44,'_Données Employés'!$B$5:$S$114,10,FALSE))</f>
        <v/>
      </c>
      <c r="F44" s="22" t="n"/>
      <c r="G44" s="22" t="n"/>
      <c r="H44" s="22" t="n"/>
      <c r="I44" s="22" t="n"/>
      <c r="J44" s="22" t="n"/>
    </row>
    <row r="45" ht="22" customHeight="1">
      <c r="B45" s="21">
        <f>IF(C45="","AV"&amp;TEXT(COUNTA($C$5:C45),"000"))</f>
        <v/>
      </c>
      <c r="C45" s="21" t="n"/>
      <c r="D45" s="21">
        <f>IF(C45="","",VLOOKUP(C45,'_Données Employés'!$B$5:$S$114,3,FALSE))</f>
        <v/>
      </c>
      <c r="E45" s="21">
        <f>IF(C45="","",VLOOKUP(C45,'_Données Employés'!$B$5:$S$114,10,FALSE))</f>
        <v/>
      </c>
      <c r="F45" s="21" t="n"/>
      <c r="G45" s="21" t="n"/>
      <c r="H45" s="21" t="n"/>
      <c r="I45" s="21" t="n"/>
      <c r="J45" s="21" t="n"/>
    </row>
    <row r="46" ht="22" customHeight="1">
      <c r="B46" s="22">
        <f>IF(C46="","AV"&amp;TEXT(COUNTA($C$5:C46),"000"))</f>
        <v/>
      </c>
      <c r="C46" s="22" t="n"/>
      <c r="D46" s="22">
        <f>IF(C46="","",VLOOKUP(C46,'_Données Employés'!$B$5:$S$114,3,FALSE))</f>
        <v/>
      </c>
      <c r="E46" s="22">
        <f>IF(C46="","",VLOOKUP(C46,'_Données Employés'!$B$5:$S$114,10,FALSE))</f>
        <v/>
      </c>
      <c r="F46" s="22" t="n"/>
      <c r="G46" s="22" t="n"/>
      <c r="H46" s="22" t="n"/>
      <c r="I46" s="22" t="n"/>
      <c r="J46" s="22" t="n"/>
    </row>
    <row r="47" ht="22" customHeight="1">
      <c r="B47" s="21">
        <f>IF(C47="","AV"&amp;TEXT(COUNTA($C$5:C47),"000"))</f>
        <v/>
      </c>
      <c r="C47" s="21" t="n"/>
      <c r="D47" s="21">
        <f>IF(C47="","",VLOOKUP(C47,'_Données Employés'!$B$5:$S$114,3,FALSE))</f>
        <v/>
      </c>
      <c r="E47" s="21">
        <f>IF(C47="","",VLOOKUP(C47,'_Données Employés'!$B$5:$S$114,10,FALSE))</f>
        <v/>
      </c>
      <c r="F47" s="21" t="n"/>
      <c r="G47" s="21" t="n"/>
      <c r="H47" s="21" t="n"/>
      <c r="I47" s="21" t="n"/>
      <c r="J47" s="21" t="n"/>
    </row>
    <row r="48" ht="22" customHeight="1">
      <c r="B48" s="22">
        <f>IF(C48="","AV"&amp;TEXT(COUNTA($C$5:C48),"000"))</f>
        <v/>
      </c>
      <c r="C48" s="22" t="n"/>
      <c r="D48" s="22">
        <f>IF(C48="","",VLOOKUP(C48,'_Données Employés'!$B$5:$S$114,3,FALSE))</f>
        <v/>
      </c>
      <c r="E48" s="22">
        <f>IF(C48="","",VLOOKUP(C48,'_Données Employés'!$B$5:$S$114,10,FALSE))</f>
        <v/>
      </c>
      <c r="F48" s="22" t="n"/>
      <c r="G48" s="22" t="n"/>
      <c r="H48" s="22" t="n"/>
      <c r="I48" s="22" t="n"/>
      <c r="J48" s="22" t="n"/>
    </row>
    <row r="49" ht="22" customHeight="1">
      <c r="B49" s="21">
        <f>IF(C49="","AV"&amp;TEXT(COUNTA($C$5:C49),"000"))</f>
        <v/>
      </c>
      <c r="C49" s="21" t="n"/>
      <c r="D49" s="21">
        <f>IF(C49="","",VLOOKUP(C49,'_Données Employés'!$B$5:$S$114,3,FALSE))</f>
        <v/>
      </c>
      <c r="E49" s="21">
        <f>IF(C49="","",VLOOKUP(C49,'_Données Employés'!$B$5:$S$114,10,FALSE))</f>
        <v/>
      </c>
      <c r="F49" s="21" t="n"/>
      <c r="G49" s="21" t="n"/>
      <c r="H49" s="21" t="n"/>
      <c r="I49" s="21" t="n"/>
      <c r="J49" s="21" t="n"/>
    </row>
    <row r="50" ht="22" customHeight="1">
      <c r="B50" s="22">
        <f>IF(C50="","AV"&amp;TEXT(COUNTA($C$5:C50),"000"))</f>
        <v/>
      </c>
      <c r="C50" s="22" t="n"/>
      <c r="D50" s="22">
        <f>IF(C50="","",VLOOKUP(C50,'_Données Employés'!$B$5:$S$114,3,FALSE))</f>
        <v/>
      </c>
      <c r="E50" s="22">
        <f>IF(C50="","",VLOOKUP(C50,'_Données Employés'!$B$5:$S$114,10,FALSE))</f>
        <v/>
      </c>
      <c r="F50" s="22" t="n"/>
      <c r="G50" s="22" t="n"/>
      <c r="H50" s="22" t="n"/>
      <c r="I50" s="22" t="n"/>
      <c r="J50" s="22" t="n"/>
    </row>
    <row r="51" ht="22" customHeight="1">
      <c r="B51" s="21">
        <f>IF(C51="","AV"&amp;TEXT(COUNTA($C$5:C51),"000"))</f>
        <v/>
      </c>
      <c r="C51" s="21" t="n"/>
      <c r="D51" s="21">
        <f>IF(C51="","",VLOOKUP(C51,'_Données Employés'!$B$5:$S$114,3,FALSE))</f>
        <v/>
      </c>
      <c r="E51" s="21">
        <f>IF(C51="","",VLOOKUP(C51,'_Données Employés'!$B$5:$S$114,10,FALSE))</f>
        <v/>
      </c>
      <c r="F51" s="21" t="n"/>
      <c r="G51" s="21" t="n"/>
      <c r="H51" s="21" t="n"/>
      <c r="I51" s="21" t="n"/>
      <c r="J51" s="21" t="n"/>
    </row>
    <row r="52" ht="22" customHeight="1">
      <c r="B52" s="22">
        <f>IF(C52="","AV"&amp;TEXT(COUNTA($C$5:C52),"000"))</f>
        <v/>
      </c>
      <c r="C52" s="22" t="n"/>
      <c r="D52" s="22">
        <f>IF(C52="","",VLOOKUP(C52,'_Données Employés'!$B$5:$S$114,3,FALSE))</f>
        <v/>
      </c>
      <c r="E52" s="22">
        <f>IF(C52="","",VLOOKUP(C52,'_Données Employés'!$B$5:$S$114,10,FALSE))</f>
        <v/>
      </c>
      <c r="F52" s="22" t="n"/>
      <c r="G52" s="22" t="n"/>
      <c r="H52" s="22" t="n"/>
      <c r="I52" s="22" t="n"/>
      <c r="J52" s="22" t="n"/>
    </row>
    <row r="53" ht="22" customHeight="1">
      <c r="B53" s="21">
        <f>IF(C53="","AV"&amp;TEXT(COUNTA($C$5:C53),"000"))</f>
        <v/>
      </c>
      <c r="C53" s="21" t="n"/>
      <c r="D53" s="21">
        <f>IF(C53="","",VLOOKUP(C53,'_Données Employés'!$B$5:$S$114,3,FALSE))</f>
        <v/>
      </c>
      <c r="E53" s="21">
        <f>IF(C53="","",VLOOKUP(C53,'_Données Employés'!$B$5:$S$114,10,FALSE))</f>
        <v/>
      </c>
      <c r="F53" s="21" t="n"/>
      <c r="G53" s="21" t="n"/>
      <c r="H53" s="21" t="n"/>
      <c r="I53" s="21" t="n"/>
      <c r="J53" s="21" t="n"/>
    </row>
    <row r="54" ht="22" customHeight="1">
      <c r="B54" s="22">
        <f>IF(C54="","AV"&amp;TEXT(COUNTA($C$5:C54),"000"))</f>
        <v/>
      </c>
      <c r="C54" s="22" t="n"/>
      <c r="D54" s="22">
        <f>IF(C54="","",VLOOKUP(C54,'_Données Employés'!$B$5:$S$114,3,FALSE))</f>
        <v/>
      </c>
      <c r="E54" s="22">
        <f>IF(C54="","",VLOOKUP(C54,'_Données Employés'!$B$5:$S$114,10,FALSE))</f>
        <v/>
      </c>
      <c r="F54" s="22" t="n"/>
      <c r="G54" s="22" t="n"/>
      <c r="H54" s="22" t="n"/>
      <c r="I54" s="22" t="n"/>
      <c r="J54" s="22" t="n"/>
    </row>
    <row r="55" ht="22" customHeight="1">
      <c r="B55" s="21">
        <f>IF(C55="","AV"&amp;TEXT(COUNTA($C$5:C55),"000"))</f>
        <v/>
      </c>
      <c r="C55" s="21" t="n"/>
      <c r="D55" s="21">
        <f>IF(C55="","",VLOOKUP(C55,'_Données Employés'!$B$5:$S$114,3,FALSE))</f>
        <v/>
      </c>
      <c r="E55" s="21">
        <f>IF(C55="","",VLOOKUP(C55,'_Données Employés'!$B$5:$S$114,10,FALSE))</f>
        <v/>
      </c>
      <c r="F55" s="21" t="n"/>
      <c r="G55" s="21" t="n"/>
      <c r="H55" s="21" t="n"/>
      <c r="I55" s="21" t="n"/>
      <c r="J55" s="21" t="n"/>
    </row>
    <row r="56" ht="22" customHeight="1">
      <c r="B56" s="22">
        <f>IF(C56="","AV"&amp;TEXT(COUNTA($C$5:C56),"000"))</f>
        <v/>
      </c>
      <c r="C56" s="22" t="n"/>
      <c r="D56" s="22">
        <f>IF(C56="","",VLOOKUP(C56,'_Données Employés'!$B$5:$S$114,3,FALSE))</f>
        <v/>
      </c>
      <c r="E56" s="22">
        <f>IF(C56="","",VLOOKUP(C56,'_Données Employés'!$B$5:$S$114,10,FALSE))</f>
        <v/>
      </c>
      <c r="F56" s="22" t="n"/>
      <c r="G56" s="22" t="n"/>
      <c r="H56" s="22" t="n"/>
      <c r="I56" s="22" t="n"/>
      <c r="J56" s="22" t="n"/>
    </row>
    <row r="57" ht="22" customHeight="1">
      <c r="B57" s="21">
        <f>IF(C57="","AV"&amp;TEXT(COUNTA($C$5:C57),"000"))</f>
        <v/>
      </c>
      <c r="C57" s="21" t="n"/>
      <c r="D57" s="21">
        <f>IF(C57="","",VLOOKUP(C57,'_Données Employés'!$B$5:$S$114,3,FALSE))</f>
        <v/>
      </c>
      <c r="E57" s="21">
        <f>IF(C57="","",VLOOKUP(C57,'_Données Employés'!$B$5:$S$114,10,FALSE))</f>
        <v/>
      </c>
      <c r="F57" s="21" t="n"/>
      <c r="G57" s="21" t="n"/>
      <c r="H57" s="21" t="n"/>
      <c r="I57" s="21" t="n"/>
      <c r="J57" s="21" t="n"/>
    </row>
    <row r="58" ht="22" customHeight="1">
      <c r="B58" s="22">
        <f>IF(C58="","AV"&amp;TEXT(COUNTA($C$5:C58),"000"))</f>
        <v/>
      </c>
      <c r="C58" s="22" t="n"/>
      <c r="D58" s="22">
        <f>IF(C58="","",VLOOKUP(C58,'_Données Employés'!$B$5:$S$114,3,FALSE))</f>
        <v/>
      </c>
      <c r="E58" s="22">
        <f>IF(C58="","",VLOOKUP(C58,'_Données Employés'!$B$5:$S$114,10,FALSE))</f>
        <v/>
      </c>
      <c r="F58" s="22" t="n"/>
      <c r="G58" s="22" t="n"/>
      <c r="H58" s="22" t="n"/>
      <c r="I58" s="22" t="n"/>
      <c r="J58" s="22" t="n"/>
    </row>
    <row r="59" ht="22" customHeight="1">
      <c r="B59" s="21">
        <f>IF(C59="","AV"&amp;TEXT(COUNTA($C$5:C59),"000"))</f>
        <v/>
      </c>
      <c r="C59" s="21" t="n"/>
      <c r="D59" s="21">
        <f>IF(C59="","",VLOOKUP(C59,'_Données Employés'!$B$5:$S$114,3,FALSE))</f>
        <v/>
      </c>
      <c r="E59" s="21">
        <f>IF(C59="","",VLOOKUP(C59,'_Données Employés'!$B$5:$S$114,10,FALSE))</f>
        <v/>
      </c>
      <c r="F59" s="21" t="n"/>
      <c r="G59" s="21" t="n"/>
      <c r="H59" s="21" t="n"/>
      <c r="I59" s="21" t="n"/>
      <c r="J59" s="21" t="n"/>
    </row>
    <row r="60" ht="22" customHeight="1">
      <c r="B60" s="22">
        <f>IF(C60="","AV"&amp;TEXT(COUNTA($C$5:C60),"000"))</f>
        <v/>
      </c>
      <c r="C60" s="22" t="n"/>
      <c r="D60" s="22">
        <f>IF(C60="","",VLOOKUP(C60,'_Données Employés'!$B$5:$S$114,3,FALSE))</f>
        <v/>
      </c>
      <c r="E60" s="22">
        <f>IF(C60="","",VLOOKUP(C60,'_Données Employés'!$B$5:$S$114,10,FALSE))</f>
        <v/>
      </c>
      <c r="F60" s="22" t="n"/>
      <c r="G60" s="22" t="n"/>
      <c r="H60" s="22" t="n"/>
      <c r="I60" s="22" t="n"/>
      <c r="J60" s="22" t="n"/>
    </row>
    <row r="61" ht="22" customHeight="1">
      <c r="B61" s="21">
        <f>IF(C61="","AV"&amp;TEXT(COUNTA($C$5:C61),"000"))</f>
        <v/>
      </c>
      <c r="C61" s="21" t="n"/>
      <c r="D61" s="21">
        <f>IF(C61="","",VLOOKUP(C61,'_Données Employés'!$B$5:$S$114,3,FALSE))</f>
        <v/>
      </c>
      <c r="E61" s="21">
        <f>IF(C61="","",VLOOKUP(C61,'_Données Employés'!$B$5:$S$114,10,FALSE))</f>
        <v/>
      </c>
      <c r="F61" s="21" t="n"/>
      <c r="G61" s="21" t="n"/>
      <c r="H61" s="21" t="n"/>
      <c r="I61" s="21" t="n"/>
      <c r="J61" s="21" t="n"/>
    </row>
    <row r="62" ht="22" customHeight="1">
      <c r="B62" s="22">
        <f>IF(C62="","AV"&amp;TEXT(COUNTA($C$5:C62),"000"))</f>
        <v/>
      </c>
      <c r="C62" s="22" t="n"/>
      <c r="D62" s="22">
        <f>IF(C62="","",VLOOKUP(C62,'_Données Employés'!$B$5:$S$114,3,FALSE))</f>
        <v/>
      </c>
      <c r="E62" s="22">
        <f>IF(C62="","",VLOOKUP(C62,'_Données Employés'!$B$5:$S$114,10,FALSE))</f>
        <v/>
      </c>
      <c r="F62" s="22" t="n"/>
      <c r="G62" s="22" t="n"/>
      <c r="H62" s="22" t="n"/>
      <c r="I62" s="22" t="n"/>
      <c r="J62" s="22" t="n"/>
    </row>
    <row r="63" ht="22" customHeight="1">
      <c r="B63" s="21">
        <f>IF(C63="","AV"&amp;TEXT(COUNTA($C$5:C63),"000"))</f>
        <v/>
      </c>
      <c r="C63" s="21" t="n"/>
      <c r="D63" s="21">
        <f>IF(C63="","",VLOOKUP(C63,'_Données Employés'!$B$5:$S$114,3,FALSE))</f>
        <v/>
      </c>
      <c r="E63" s="21">
        <f>IF(C63="","",VLOOKUP(C63,'_Données Employés'!$B$5:$S$114,10,FALSE))</f>
        <v/>
      </c>
      <c r="F63" s="21" t="n"/>
      <c r="G63" s="21" t="n"/>
      <c r="H63" s="21" t="n"/>
      <c r="I63" s="21" t="n"/>
      <c r="J63" s="21" t="n"/>
    </row>
    <row r="64" ht="22" customHeight="1">
      <c r="B64" s="22">
        <f>IF(C64="","AV"&amp;TEXT(COUNTA($C$5:C64),"000"))</f>
        <v/>
      </c>
      <c r="C64" s="22" t="n"/>
      <c r="D64" s="22">
        <f>IF(C64="","",VLOOKUP(C64,'_Données Employés'!$B$5:$S$114,3,FALSE))</f>
        <v/>
      </c>
      <c r="E64" s="22">
        <f>IF(C64="","",VLOOKUP(C64,'_Données Employés'!$B$5:$S$114,10,FALSE))</f>
        <v/>
      </c>
      <c r="F64" s="22" t="n"/>
      <c r="G64" s="22" t="n"/>
      <c r="H64" s="22" t="n"/>
      <c r="I64" s="22" t="n"/>
      <c r="J64" s="22" t="n"/>
    </row>
    <row r="65" ht="22" customHeight="1">
      <c r="B65" s="21">
        <f>IF(C65="","AV"&amp;TEXT(COUNTA($C$5:C65),"000"))</f>
        <v/>
      </c>
      <c r="C65" s="21" t="n"/>
      <c r="D65" s="21">
        <f>IF(C65="","",VLOOKUP(C65,'_Données Employés'!$B$5:$S$114,3,FALSE))</f>
        <v/>
      </c>
      <c r="E65" s="21">
        <f>IF(C65="","",VLOOKUP(C65,'_Données Employés'!$B$5:$S$114,10,FALSE))</f>
        <v/>
      </c>
      <c r="F65" s="21" t="n"/>
      <c r="G65" s="21" t="n"/>
      <c r="H65" s="21" t="n"/>
      <c r="I65" s="21" t="n"/>
      <c r="J65" s="21" t="n"/>
    </row>
    <row r="66" ht="22" customHeight="1">
      <c r="B66" s="22">
        <f>IF(C66="","AV"&amp;TEXT(COUNTA($C$5:C66),"000"))</f>
        <v/>
      </c>
      <c r="C66" s="22" t="n"/>
      <c r="D66" s="22">
        <f>IF(C66="","",VLOOKUP(C66,'_Données Employés'!$B$5:$S$114,3,FALSE))</f>
        <v/>
      </c>
      <c r="E66" s="22">
        <f>IF(C66="","",VLOOKUP(C66,'_Données Employés'!$B$5:$S$114,10,FALSE))</f>
        <v/>
      </c>
      <c r="F66" s="22" t="n"/>
      <c r="G66" s="22" t="n"/>
      <c r="H66" s="22" t="n"/>
      <c r="I66" s="22" t="n"/>
      <c r="J66" s="22" t="n"/>
    </row>
    <row r="67" ht="22" customHeight="1">
      <c r="B67" s="21">
        <f>IF(C67="","AV"&amp;TEXT(COUNTA($C$5:C67),"000"))</f>
        <v/>
      </c>
      <c r="C67" s="21" t="n"/>
      <c r="D67" s="21">
        <f>IF(C67="","",VLOOKUP(C67,'_Données Employés'!$B$5:$S$114,3,FALSE))</f>
        <v/>
      </c>
      <c r="E67" s="21">
        <f>IF(C67="","",VLOOKUP(C67,'_Données Employés'!$B$5:$S$114,10,FALSE))</f>
        <v/>
      </c>
      <c r="F67" s="21" t="n"/>
      <c r="G67" s="21" t="n"/>
      <c r="H67" s="21" t="n"/>
      <c r="I67" s="21" t="n"/>
      <c r="J67" s="21" t="n"/>
    </row>
    <row r="68" ht="22" customHeight="1">
      <c r="B68" s="22">
        <f>IF(C68="","AV"&amp;TEXT(COUNTA($C$5:C68),"000"))</f>
        <v/>
      </c>
      <c r="C68" s="22" t="n"/>
      <c r="D68" s="22">
        <f>IF(C68="","",VLOOKUP(C68,'_Données Employés'!$B$5:$S$114,3,FALSE))</f>
        <v/>
      </c>
      <c r="E68" s="22">
        <f>IF(C68="","",VLOOKUP(C68,'_Données Employés'!$B$5:$S$114,10,FALSE))</f>
        <v/>
      </c>
      <c r="F68" s="22" t="n"/>
      <c r="G68" s="22" t="n"/>
      <c r="H68" s="22" t="n"/>
      <c r="I68" s="22" t="n"/>
      <c r="J68" s="22" t="n"/>
    </row>
    <row r="69" ht="22" customHeight="1">
      <c r="B69" s="21">
        <f>IF(C69="","AV"&amp;TEXT(COUNTA($C$5:C69),"000"))</f>
        <v/>
      </c>
      <c r="C69" s="21" t="n"/>
      <c r="D69" s="21">
        <f>IF(C69="","",VLOOKUP(C69,'_Données Employés'!$B$5:$S$114,3,FALSE))</f>
        <v/>
      </c>
      <c r="E69" s="21">
        <f>IF(C69="","",VLOOKUP(C69,'_Données Employés'!$B$5:$S$114,10,FALSE))</f>
        <v/>
      </c>
      <c r="F69" s="21" t="n"/>
      <c r="G69" s="21" t="n"/>
      <c r="H69" s="21" t="n"/>
      <c r="I69" s="21" t="n"/>
      <c r="J69" s="21" t="n"/>
    </row>
    <row r="70" ht="22" customHeight="1">
      <c r="B70" s="22">
        <f>IF(C70="","AV"&amp;TEXT(COUNTA($C$5:C70),"000"))</f>
        <v/>
      </c>
      <c r="C70" s="22" t="n"/>
      <c r="D70" s="22">
        <f>IF(C70="","",VLOOKUP(C70,'_Données Employés'!$B$5:$S$114,3,FALSE))</f>
        <v/>
      </c>
      <c r="E70" s="22">
        <f>IF(C70="","",VLOOKUP(C70,'_Données Employés'!$B$5:$S$114,10,FALSE))</f>
        <v/>
      </c>
      <c r="F70" s="22" t="n"/>
      <c r="G70" s="22" t="n"/>
      <c r="H70" s="22" t="n"/>
      <c r="I70" s="22" t="n"/>
      <c r="J70" s="22" t="n"/>
    </row>
    <row r="71" ht="22" customHeight="1">
      <c r="B71" s="21">
        <f>IF(C71="","AV"&amp;TEXT(COUNTA($C$5:C71),"000"))</f>
        <v/>
      </c>
      <c r="C71" s="21" t="n"/>
      <c r="D71" s="21">
        <f>IF(C71="","",VLOOKUP(C71,'_Données Employés'!$B$5:$S$114,3,FALSE))</f>
        <v/>
      </c>
      <c r="E71" s="21">
        <f>IF(C71="","",VLOOKUP(C71,'_Données Employés'!$B$5:$S$114,10,FALSE))</f>
        <v/>
      </c>
      <c r="F71" s="21" t="n"/>
      <c r="G71" s="21" t="n"/>
      <c r="H71" s="21" t="n"/>
      <c r="I71" s="21" t="n"/>
      <c r="J71" s="21" t="n"/>
    </row>
    <row r="72" ht="22" customHeight="1">
      <c r="B72" s="22">
        <f>IF(C72="","AV"&amp;TEXT(COUNTA($C$5:C72),"000"))</f>
        <v/>
      </c>
      <c r="C72" s="22" t="n"/>
      <c r="D72" s="22">
        <f>IF(C72="","",VLOOKUP(C72,'_Données Employés'!$B$5:$S$114,3,FALSE))</f>
        <v/>
      </c>
      <c r="E72" s="22">
        <f>IF(C72="","",VLOOKUP(C72,'_Données Employés'!$B$5:$S$114,10,FALSE))</f>
        <v/>
      </c>
      <c r="F72" s="22" t="n"/>
      <c r="G72" s="22" t="n"/>
      <c r="H72" s="22" t="n"/>
      <c r="I72" s="22" t="n"/>
      <c r="J72" s="22" t="n"/>
    </row>
    <row r="73" ht="22" customHeight="1">
      <c r="B73" s="21">
        <f>IF(C73="","AV"&amp;TEXT(COUNTA($C$5:C73),"000"))</f>
        <v/>
      </c>
      <c r="C73" s="21" t="n"/>
      <c r="D73" s="21">
        <f>IF(C73="","",VLOOKUP(C73,'_Données Employés'!$B$5:$S$114,3,FALSE))</f>
        <v/>
      </c>
      <c r="E73" s="21">
        <f>IF(C73="","",VLOOKUP(C73,'_Données Employés'!$B$5:$S$114,10,FALSE))</f>
        <v/>
      </c>
      <c r="F73" s="21" t="n"/>
      <c r="G73" s="21" t="n"/>
      <c r="H73" s="21" t="n"/>
      <c r="I73" s="21" t="n"/>
      <c r="J73" s="21" t="n"/>
    </row>
    <row r="74" ht="22" customHeight="1">
      <c r="B74" s="22">
        <f>IF(C74="","AV"&amp;TEXT(COUNTA($C$5:C74),"000"))</f>
        <v/>
      </c>
      <c r="C74" s="22" t="n"/>
      <c r="D74" s="22">
        <f>IF(C74="","",VLOOKUP(C74,'_Données Employés'!$B$5:$S$114,3,FALSE))</f>
        <v/>
      </c>
      <c r="E74" s="22">
        <f>IF(C74="","",VLOOKUP(C74,'_Données Employés'!$B$5:$S$114,10,FALSE))</f>
        <v/>
      </c>
      <c r="F74" s="22" t="n"/>
      <c r="G74" s="22" t="n"/>
      <c r="H74" s="22" t="n"/>
      <c r="I74" s="22" t="n"/>
      <c r="J74" s="22" t="n"/>
    </row>
    <row r="75" ht="22" customHeight="1">
      <c r="B75" s="21">
        <f>IF(C75="","AV"&amp;TEXT(COUNTA($C$5:C75),"000"))</f>
        <v/>
      </c>
      <c r="C75" s="21" t="n"/>
      <c r="D75" s="21">
        <f>IF(C75="","",VLOOKUP(C75,'_Données Employés'!$B$5:$S$114,3,FALSE))</f>
        <v/>
      </c>
      <c r="E75" s="21">
        <f>IF(C75="","",VLOOKUP(C75,'_Données Employés'!$B$5:$S$114,10,FALSE))</f>
        <v/>
      </c>
      <c r="F75" s="21" t="n"/>
      <c r="G75" s="21" t="n"/>
      <c r="H75" s="21" t="n"/>
      <c r="I75" s="21" t="n"/>
      <c r="J75" s="21" t="n"/>
    </row>
    <row r="76" ht="22" customHeight="1">
      <c r="B76" s="22">
        <f>IF(C76="","AV"&amp;TEXT(COUNTA($C$5:C76),"000"))</f>
        <v/>
      </c>
      <c r="C76" s="22" t="n"/>
      <c r="D76" s="22">
        <f>IF(C76="","",VLOOKUP(C76,'_Données Employés'!$B$5:$S$114,3,FALSE))</f>
        <v/>
      </c>
      <c r="E76" s="22">
        <f>IF(C76="","",VLOOKUP(C76,'_Données Employés'!$B$5:$S$114,10,FALSE))</f>
        <v/>
      </c>
      <c r="F76" s="22" t="n"/>
      <c r="G76" s="22" t="n"/>
      <c r="H76" s="22" t="n"/>
      <c r="I76" s="22" t="n"/>
      <c r="J76" s="22" t="n"/>
    </row>
    <row r="77" ht="22" customHeight="1">
      <c r="B77" s="21">
        <f>IF(C77="","AV"&amp;TEXT(COUNTA($C$5:C77),"000"))</f>
        <v/>
      </c>
      <c r="C77" s="21" t="n"/>
      <c r="D77" s="21">
        <f>IF(C77="","",VLOOKUP(C77,'_Données Employés'!$B$5:$S$114,3,FALSE))</f>
        <v/>
      </c>
      <c r="E77" s="21">
        <f>IF(C77="","",VLOOKUP(C77,'_Données Employés'!$B$5:$S$114,10,FALSE))</f>
        <v/>
      </c>
      <c r="F77" s="21" t="n"/>
      <c r="G77" s="21" t="n"/>
      <c r="H77" s="21" t="n"/>
      <c r="I77" s="21" t="n"/>
      <c r="J77" s="21" t="n"/>
    </row>
    <row r="78" ht="22" customHeight="1">
      <c r="B78" s="22">
        <f>IF(C78="","AV"&amp;TEXT(COUNTA($C$5:C78),"000"))</f>
        <v/>
      </c>
      <c r="C78" s="22" t="n"/>
      <c r="D78" s="22">
        <f>IF(C78="","",VLOOKUP(C78,'_Données Employés'!$B$5:$S$114,3,FALSE))</f>
        <v/>
      </c>
      <c r="E78" s="22">
        <f>IF(C78="","",VLOOKUP(C78,'_Données Employés'!$B$5:$S$114,10,FALSE))</f>
        <v/>
      </c>
      <c r="F78" s="22" t="n"/>
      <c r="G78" s="22" t="n"/>
      <c r="H78" s="22" t="n"/>
      <c r="I78" s="22" t="n"/>
      <c r="J78" s="22" t="n"/>
    </row>
    <row r="79" ht="22" customHeight="1">
      <c r="B79" s="21">
        <f>IF(C79="","AV"&amp;TEXT(COUNTA($C$5:C79),"000"))</f>
        <v/>
      </c>
      <c r="C79" s="21" t="n"/>
      <c r="D79" s="21">
        <f>IF(C79="","",VLOOKUP(C79,'_Données Employés'!$B$5:$S$114,3,FALSE))</f>
        <v/>
      </c>
      <c r="E79" s="21">
        <f>IF(C79="","",VLOOKUP(C79,'_Données Employés'!$B$5:$S$114,10,FALSE))</f>
        <v/>
      </c>
      <c r="F79" s="21" t="n"/>
      <c r="G79" s="21" t="n"/>
      <c r="H79" s="21" t="n"/>
      <c r="I79" s="21" t="n"/>
      <c r="J79" s="21" t="n"/>
    </row>
    <row r="80" ht="22" customHeight="1">
      <c r="B80" s="22">
        <f>IF(C80="","AV"&amp;TEXT(COUNTA($C$5:C80),"000"))</f>
        <v/>
      </c>
      <c r="C80" s="22" t="n"/>
      <c r="D80" s="22">
        <f>IF(C80="","",VLOOKUP(C80,'_Données Employés'!$B$5:$S$114,3,FALSE))</f>
        <v/>
      </c>
      <c r="E80" s="22">
        <f>IF(C80="","",VLOOKUP(C80,'_Données Employés'!$B$5:$S$114,10,FALSE))</f>
        <v/>
      </c>
      <c r="F80" s="22" t="n"/>
      <c r="G80" s="22" t="n"/>
      <c r="H80" s="22" t="n"/>
      <c r="I80" s="22" t="n"/>
      <c r="J80" s="22" t="n"/>
    </row>
    <row r="81" ht="22" customHeight="1">
      <c r="B81" s="21">
        <f>IF(C81="","AV"&amp;TEXT(COUNTA($C$5:C81),"000"))</f>
        <v/>
      </c>
      <c r="C81" s="21" t="n"/>
      <c r="D81" s="21">
        <f>IF(C81="","",VLOOKUP(C81,'_Données Employés'!$B$5:$S$114,3,FALSE))</f>
        <v/>
      </c>
      <c r="E81" s="21">
        <f>IF(C81="","",VLOOKUP(C81,'_Données Employés'!$B$5:$S$114,10,FALSE))</f>
        <v/>
      </c>
      <c r="F81" s="21" t="n"/>
      <c r="G81" s="21" t="n"/>
      <c r="H81" s="21" t="n"/>
      <c r="I81" s="21" t="n"/>
      <c r="J81" s="21" t="n"/>
    </row>
    <row r="82" ht="22" customHeight="1">
      <c r="B82" s="22">
        <f>IF(C82="","AV"&amp;TEXT(COUNTA($C$5:C82),"000"))</f>
        <v/>
      </c>
      <c r="C82" s="22" t="n"/>
      <c r="D82" s="22">
        <f>IF(C82="","",VLOOKUP(C82,'_Données Employés'!$B$5:$S$114,3,FALSE))</f>
        <v/>
      </c>
      <c r="E82" s="22">
        <f>IF(C82="","",VLOOKUP(C82,'_Données Employés'!$B$5:$S$114,10,FALSE))</f>
        <v/>
      </c>
      <c r="F82" s="22" t="n"/>
      <c r="G82" s="22" t="n"/>
      <c r="H82" s="22" t="n"/>
      <c r="I82" s="22" t="n"/>
      <c r="J82" s="22" t="n"/>
    </row>
    <row r="83" ht="22" customHeight="1">
      <c r="B83" s="21">
        <f>IF(C83="","AV"&amp;TEXT(COUNTA($C$5:C83),"000"))</f>
        <v/>
      </c>
      <c r="C83" s="21" t="n"/>
      <c r="D83" s="21">
        <f>IF(C83="","",VLOOKUP(C83,'_Données Employés'!$B$5:$S$114,3,FALSE))</f>
        <v/>
      </c>
      <c r="E83" s="21">
        <f>IF(C83="","",VLOOKUP(C83,'_Données Employés'!$B$5:$S$114,10,FALSE))</f>
        <v/>
      </c>
      <c r="F83" s="21" t="n"/>
      <c r="G83" s="21" t="n"/>
      <c r="H83" s="21" t="n"/>
      <c r="I83" s="21" t="n"/>
      <c r="J83" s="21" t="n"/>
    </row>
    <row r="84" ht="22" customHeight="1">
      <c r="B84" s="22">
        <f>IF(C84="","AV"&amp;TEXT(COUNTA($C$5:C84),"000"))</f>
        <v/>
      </c>
      <c r="C84" s="22" t="n"/>
      <c r="D84" s="22">
        <f>IF(C84="","",VLOOKUP(C84,'_Données Employés'!$B$5:$S$114,3,FALSE))</f>
        <v/>
      </c>
      <c r="E84" s="22">
        <f>IF(C84="","",VLOOKUP(C84,'_Données Employés'!$B$5:$S$114,10,FALSE))</f>
        <v/>
      </c>
      <c r="F84" s="22" t="n"/>
      <c r="G84" s="22" t="n"/>
      <c r="H84" s="22" t="n"/>
      <c r="I84" s="22" t="n"/>
      <c r="J84" s="22" t="n"/>
    </row>
    <row r="85" ht="22" customHeight="1">
      <c r="B85" s="21">
        <f>IF(C85="","AV"&amp;TEXT(COUNTA($C$5:C85),"000"))</f>
        <v/>
      </c>
      <c r="C85" s="21" t="n"/>
      <c r="D85" s="21">
        <f>IF(C85="","",VLOOKUP(C85,'_Données Employés'!$B$5:$S$114,3,FALSE))</f>
        <v/>
      </c>
      <c r="E85" s="21">
        <f>IF(C85="","",VLOOKUP(C85,'_Données Employés'!$B$5:$S$114,10,FALSE))</f>
        <v/>
      </c>
      <c r="F85" s="21" t="n"/>
      <c r="G85" s="21" t="n"/>
      <c r="H85" s="21" t="n"/>
      <c r="I85" s="21" t="n"/>
      <c r="J85" s="21" t="n"/>
    </row>
    <row r="86" ht="22" customHeight="1">
      <c r="B86" s="22">
        <f>IF(C86="","AV"&amp;TEXT(COUNTA($C$5:C86),"000"))</f>
        <v/>
      </c>
      <c r="C86" s="22" t="n"/>
      <c r="D86" s="22">
        <f>IF(C86="","",VLOOKUP(C86,'_Données Employés'!$B$5:$S$114,3,FALSE))</f>
        <v/>
      </c>
      <c r="E86" s="22">
        <f>IF(C86="","",VLOOKUP(C86,'_Données Employés'!$B$5:$S$114,10,FALSE))</f>
        <v/>
      </c>
      <c r="F86" s="22" t="n"/>
      <c r="G86" s="22" t="n"/>
      <c r="H86" s="22" t="n"/>
      <c r="I86" s="22" t="n"/>
      <c r="J86" s="22" t="n"/>
    </row>
    <row r="87" ht="22" customHeight="1">
      <c r="B87" s="21">
        <f>IF(C87="","AV"&amp;TEXT(COUNTA($C$5:C87),"000"))</f>
        <v/>
      </c>
      <c r="C87" s="21" t="n"/>
      <c r="D87" s="21">
        <f>IF(C87="","",VLOOKUP(C87,'_Données Employés'!$B$5:$S$114,3,FALSE))</f>
        <v/>
      </c>
      <c r="E87" s="21">
        <f>IF(C87="","",VLOOKUP(C87,'_Données Employés'!$B$5:$S$114,10,FALSE))</f>
        <v/>
      </c>
      <c r="F87" s="21" t="n"/>
      <c r="G87" s="21" t="n"/>
      <c r="H87" s="21" t="n"/>
      <c r="I87" s="21" t="n"/>
      <c r="J87" s="21" t="n"/>
    </row>
    <row r="88" ht="22" customHeight="1">
      <c r="B88" s="22">
        <f>IF(C88="","AV"&amp;TEXT(COUNTA($C$5:C88),"000"))</f>
        <v/>
      </c>
      <c r="C88" s="22" t="n"/>
      <c r="D88" s="22">
        <f>IF(C88="","",VLOOKUP(C88,'_Données Employés'!$B$5:$S$114,3,FALSE))</f>
        <v/>
      </c>
      <c r="E88" s="22">
        <f>IF(C88="","",VLOOKUP(C88,'_Données Employés'!$B$5:$S$114,10,FALSE))</f>
        <v/>
      </c>
      <c r="F88" s="22" t="n"/>
      <c r="G88" s="22" t="n"/>
      <c r="H88" s="22" t="n"/>
      <c r="I88" s="22" t="n"/>
      <c r="J88" s="22" t="n"/>
    </row>
    <row r="89" ht="22" customHeight="1">
      <c r="B89" s="21">
        <f>IF(C89="","AV"&amp;TEXT(COUNTA($C$5:C89),"000"))</f>
        <v/>
      </c>
      <c r="C89" s="21" t="n"/>
      <c r="D89" s="21">
        <f>IF(C89="","",VLOOKUP(C89,'_Données Employés'!$B$5:$S$114,3,FALSE))</f>
        <v/>
      </c>
      <c r="E89" s="21">
        <f>IF(C89="","",VLOOKUP(C89,'_Données Employés'!$B$5:$S$114,10,FALSE))</f>
        <v/>
      </c>
      <c r="F89" s="21" t="n"/>
      <c r="G89" s="21" t="n"/>
      <c r="H89" s="21" t="n"/>
      <c r="I89" s="21" t="n"/>
      <c r="J89" s="21" t="n"/>
    </row>
    <row r="90" ht="22" customHeight="1">
      <c r="B90" s="22">
        <f>IF(C90="","AV"&amp;TEXT(COUNTA($C$5:C90),"000"))</f>
        <v/>
      </c>
      <c r="C90" s="22" t="n"/>
      <c r="D90" s="22">
        <f>IF(C90="","",VLOOKUP(C90,'_Données Employés'!$B$5:$S$114,3,FALSE))</f>
        <v/>
      </c>
      <c r="E90" s="22">
        <f>IF(C90="","",VLOOKUP(C90,'_Données Employés'!$B$5:$S$114,10,FALSE))</f>
        <v/>
      </c>
      <c r="F90" s="22" t="n"/>
      <c r="G90" s="22" t="n"/>
      <c r="H90" s="22" t="n"/>
      <c r="I90" s="22" t="n"/>
      <c r="J90" s="22" t="n"/>
    </row>
    <row r="91" ht="22" customHeight="1">
      <c r="B91" s="21">
        <f>IF(C91="","AV"&amp;TEXT(COUNTA($C$5:C91),"000"))</f>
        <v/>
      </c>
      <c r="C91" s="21" t="n"/>
      <c r="D91" s="21">
        <f>IF(C91="","",VLOOKUP(C91,'_Données Employés'!$B$5:$S$114,3,FALSE))</f>
        <v/>
      </c>
      <c r="E91" s="21">
        <f>IF(C91="","",VLOOKUP(C91,'_Données Employés'!$B$5:$S$114,10,FALSE))</f>
        <v/>
      </c>
      <c r="F91" s="21" t="n"/>
      <c r="G91" s="21" t="n"/>
      <c r="H91" s="21" t="n"/>
      <c r="I91" s="21" t="n"/>
      <c r="J91" s="21" t="n"/>
    </row>
    <row r="92" ht="22" customHeight="1">
      <c r="B92" s="22">
        <f>IF(C92="","AV"&amp;TEXT(COUNTA($C$5:C92),"000"))</f>
        <v/>
      </c>
      <c r="C92" s="22" t="n"/>
      <c r="D92" s="22">
        <f>IF(C92="","",VLOOKUP(C92,'_Données Employés'!$B$5:$S$114,3,FALSE))</f>
        <v/>
      </c>
      <c r="E92" s="22">
        <f>IF(C92="","",VLOOKUP(C92,'_Données Employés'!$B$5:$S$114,10,FALSE))</f>
        <v/>
      </c>
      <c r="F92" s="22" t="n"/>
      <c r="G92" s="22" t="n"/>
      <c r="H92" s="22" t="n"/>
      <c r="I92" s="22" t="n"/>
      <c r="J92" s="22" t="n"/>
    </row>
    <row r="93" ht="22" customHeight="1">
      <c r="B93" s="21">
        <f>IF(C93="","AV"&amp;TEXT(COUNTA($C$5:C93),"000"))</f>
        <v/>
      </c>
      <c r="C93" s="21" t="n"/>
      <c r="D93" s="21">
        <f>IF(C93="","",VLOOKUP(C93,'_Données Employés'!$B$5:$S$114,3,FALSE))</f>
        <v/>
      </c>
      <c r="E93" s="21">
        <f>IF(C93="","",VLOOKUP(C93,'_Données Employés'!$B$5:$S$114,10,FALSE))</f>
        <v/>
      </c>
      <c r="F93" s="21" t="n"/>
      <c r="G93" s="21" t="n"/>
      <c r="H93" s="21" t="n"/>
      <c r="I93" s="21" t="n"/>
      <c r="J93" s="21" t="n"/>
    </row>
    <row r="94" ht="22" customHeight="1">
      <c r="B94" s="22">
        <f>IF(C94="","AV"&amp;TEXT(COUNTA($C$5:C94),"000"))</f>
        <v/>
      </c>
      <c r="C94" s="22" t="n"/>
      <c r="D94" s="22">
        <f>IF(C94="","",VLOOKUP(C94,'_Données Employés'!$B$5:$S$114,3,FALSE))</f>
        <v/>
      </c>
      <c r="E94" s="22">
        <f>IF(C94="","",VLOOKUP(C94,'_Données Employés'!$B$5:$S$114,10,FALSE))</f>
        <v/>
      </c>
      <c r="F94" s="22" t="n"/>
      <c r="G94" s="22" t="n"/>
      <c r="H94" s="22" t="n"/>
      <c r="I94" s="22" t="n"/>
      <c r="J94" s="22" t="n"/>
    </row>
    <row r="95" ht="22" customHeight="1">
      <c r="B95" s="21">
        <f>IF(C95="","AV"&amp;TEXT(COUNTA($C$5:C95),"000"))</f>
        <v/>
      </c>
      <c r="C95" s="21" t="n"/>
      <c r="D95" s="21">
        <f>IF(C95="","",VLOOKUP(C95,'_Données Employés'!$B$5:$S$114,3,FALSE))</f>
        <v/>
      </c>
      <c r="E95" s="21">
        <f>IF(C95="","",VLOOKUP(C95,'_Données Employés'!$B$5:$S$114,10,FALSE))</f>
        <v/>
      </c>
      <c r="F95" s="21" t="n"/>
      <c r="G95" s="21" t="n"/>
      <c r="H95" s="21" t="n"/>
      <c r="I95" s="21" t="n"/>
      <c r="J95" s="21" t="n"/>
    </row>
    <row r="96" ht="22" customHeight="1">
      <c r="B96" s="22">
        <f>IF(C96="","AV"&amp;TEXT(COUNTA($C$5:C96),"000"))</f>
        <v/>
      </c>
      <c r="C96" s="22" t="n"/>
      <c r="D96" s="22">
        <f>IF(C96="","",VLOOKUP(C96,'_Données Employés'!$B$5:$S$114,3,FALSE))</f>
        <v/>
      </c>
      <c r="E96" s="22">
        <f>IF(C96="","",VLOOKUP(C96,'_Données Employés'!$B$5:$S$114,10,FALSE))</f>
        <v/>
      </c>
      <c r="F96" s="22" t="n"/>
      <c r="G96" s="22" t="n"/>
      <c r="H96" s="22" t="n"/>
      <c r="I96" s="22" t="n"/>
      <c r="J96" s="22" t="n"/>
    </row>
    <row r="97" ht="22" customHeight="1">
      <c r="B97" s="21">
        <f>IF(C97="","AV"&amp;TEXT(COUNTA($C$5:C97),"000"))</f>
        <v/>
      </c>
      <c r="C97" s="21" t="n"/>
      <c r="D97" s="21">
        <f>IF(C97="","",VLOOKUP(C97,'_Données Employés'!$B$5:$S$114,3,FALSE))</f>
        <v/>
      </c>
      <c r="E97" s="21">
        <f>IF(C97="","",VLOOKUP(C97,'_Données Employés'!$B$5:$S$114,10,FALSE))</f>
        <v/>
      </c>
      <c r="F97" s="21" t="n"/>
      <c r="G97" s="21" t="n"/>
      <c r="H97" s="21" t="n"/>
      <c r="I97" s="21" t="n"/>
      <c r="J97" s="21" t="n"/>
    </row>
    <row r="98" ht="22" customHeight="1">
      <c r="B98" s="22">
        <f>IF(C98="","AV"&amp;TEXT(COUNTA($C$5:C98),"000"))</f>
        <v/>
      </c>
      <c r="C98" s="22" t="n"/>
      <c r="D98" s="22">
        <f>IF(C98="","",VLOOKUP(C98,'_Données Employés'!$B$5:$S$114,3,FALSE))</f>
        <v/>
      </c>
      <c r="E98" s="22">
        <f>IF(C98="","",VLOOKUP(C98,'_Données Employés'!$B$5:$S$114,10,FALSE))</f>
        <v/>
      </c>
      <c r="F98" s="22" t="n"/>
      <c r="G98" s="22" t="n"/>
      <c r="H98" s="22" t="n"/>
      <c r="I98" s="22" t="n"/>
      <c r="J98" s="22" t="n"/>
    </row>
    <row r="99" ht="22" customHeight="1">
      <c r="B99" s="21">
        <f>IF(C99="","AV"&amp;TEXT(COUNTA($C$5:C99),"000"))</f>
        <v/>
      </c>
      <c r="C99" s="21" t="n"/>
      <c r="D99" s="21">
        <f>IF(C99="","",VLOOKUP(C99,'_Données Employés'!$B$5:$S$114,3,FALSE))</f>
        <v/>
      </c>
      <c r="E99" s="21">
        <f>IF(C99="","",VLOOKUP(C99,'_Données Employés'!$B$5:$S$114,10,FALSE))</f>
        <v/>
      </c>
      <c r="F99" s="21" t="n"/>
      <c r="G99" s="21" t="n"/>
      <c r="H99" s="21" t="n"/>
      <c r="I99" s="21" t="n"/>
      <c r="J99" s="21" t="n"/>
    </row>
    <row r="100" ht="22" customHeight="1">
      <c r="B100" s="22">
        <f>IF(C100="","AV"&amp;TEXT(COUNTA($C$5:C100),"000"))</f>
        <v/>
      </c>
      <c r="C100" s="22" t="n"/>
      <c r="D100" s="22">
        <f>IF(C100="","",VLOOKUP(C100,'_Données Employés'!$B$5:$S$114,3,FALSE))</f>
        <v/>
      </c>
      <c r="E100" s="22">
        <f>IF(C100="","",VLOOKUP(C100,'_Données Employés'!$B$5:$S$114,10,FALSE))</f>
        <v/>
      </c>
      <c r="F100" s="22" t="n"/>
      <c r="G100" s="22" t="n"/>
      <c r="H100" s="22" t="n"/>
      <c r="I100" s="22" t="n"/>
      <c r="J100" s="22" t="n"/>
    </row>
    <row r="101" ht="22" customHeight="1">
      <c r="B101" s="21">
        <f>IF(C101="","AV"&amp;TEXT(COUNTA($C$5:C101),"000"))</f>
        <v/>
      </c>
      <c r="C101" s="21" t="n"/>
      <c r="D101" s="21">
        <f>IF(C101="","",VLOOKUP(C101,'_Données Employés'!$B$5:$S$114,3,FALSE))</f>
        <v/>
      </c>
      <c r="E101" s="21">
        <f>IF(C101="","",VLOOKUP(C101,'_Données Employés'!$B$5:$S$114,10,FALSE))</f>
        <v/>
      </c>
      <c r="F101" s="21" t="n"/>
      <c r="G101" s="21" t="n"/>
      <c r="H101" s="21" t="n"/>
      <c r="I101" s="21" t="n"/>
      <c r="J101" s="21" t="n"/>
    </row>
    <row r="102" ht="22" customHeight="1">
      <c r="B102" s="22">
        <f>IF(C102="","AV"&amp;TEXT(COUNTA($C$5:C102),"000"))</f>
        <v/>
      </c>
      <c r="C102" s="22" t="n"/>
      <c r="D102" s="22">
        <f>IF(C102="","",VLOOKUP(C102,'_Données Employés'!$B$5:$S$114,3,FALSE))</f>
        <v/>
      </c>
      <c r="E102" s="22">
        <f>IF(C102="","",VLOOKUP(C102,'_Données Employés'!$B$5:$S$114,10,FALSE))</f>
        <v/>
      </c>
      <c r="F102" s="22" t="n"/>
      <c r="G102" s="22" t="n"/>
      <c r="H102" s="22" t="n"/>
      <c r="I102" s="22" t="n"/>
      <c r="J102" s="22" t="n"/>
    </row>
    <row r="103" ht="22" customHeight="1">
      <c r="B103" s="21">
        <f>IF(C103="","AV"&amp;TEXT(COUNTA($C$5:C103),"000"))</f>
        <v/>
      </c>
      <c r="C103" s="21" t="n"/>
      <c r="D103" s="21">
        <f>IF(C103="","",VLOOKUP(C103,'_Données Employés'!$B$5:$S$114,3,FALSE))</f>
        <v/>
      </c>
      <c r="E103" s="21">
        <f>IF(C103="","",VLOOKUP(C103,'_Données Employés'!$B$5:$S$114,10,FALSE))</f>
        <v/>
      </c>
      <c r="F103" s="21" t="n"/>
      <c r="G103" s="21" t="n"/>
      <c r="H103" s="21" t="n"/>
      <c r="I103" s="21" t="n"/>
      <c r="J103" s="21" t="n"/>
    </row>
    <row r="104" ht="22" customHeight="1">
      <c r="B104" s="22">
        <f>IF(C104="","AV"&amp;TEXT(COUNTA($C$5:C104),"000"))</f>
        <v/>
      </c>
      <c r="C104" s="22" t="n"/>
      <c r="D104" s="22">
        <f>IF(C104="","",VLOOKUP(C104,'_Données Employés'!$B$5:$S$114,3,FALSE))</f>
        <v/>
      </c>
      <c r="E104" s="22">
        <f>IF(C104="","",VLOOKUP(C104,'_Données Employés'!$B$5:$S$114,10,FALSE))</f>
        <v/>
      </c>
      <c r="F104" s="22" t="n"/>
      <c r="G104" s="22" t="n"/>
      <c r="H104" s="22" t="n"/>
      <c r="I104" s="22" t="n"/>
      <c r="J104" s="22" t="n"/>
    </row>
    <row r="107">
      <c r="B107" s="23" t="inlineStr">
        <is>
          <t>KPI Total avantages (FCFA)</t>
        </is>
      </c>
      <c r="C107" s="23" t="inlineStr">
        <is>
          <t>KPI Bénéficiaires</t>
        </is>
      </c>
    </row>
    <row r="108">
      <c r="B108" s="25">
        <f>SUM(G5:G104)</f>
        <v/>
      </c>
      <c r="C108" s="24">
        <f>COUNTA(C5:C104)</f>
        <v/>
      </c>
    </row>
  </sheetData>
  <mergeCells count="1">
    <mergeCell ref="B2:J2"/>
  </mergeCells>
  <conditionalFormatting sqref="J5:J104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"Solde"</formula>
    </cfRule>
    <cfRule type="cellIs" priority="4" operator="equal" dxfId="1">
      <formula>"Actif"</formula>
    </cfRule>
    <cfRule type="cellIs" priority="5" operator="equal" dxfId="1">
      <formula>"Oui"</formula>
    </cfRule>
    <cfRule type="cellIs" priority="6" operator="equal" dxfId="2">
      <formula>"Rejete"</formula>
    </cfRule>
    <cfRule type="cellIs" priority="7" operator="equal" dxfId="2">
      <formula>"En retard"</formula>
    </cfRule>
    <cfRule type="cellIs" priority="8" operator="equal" dxfId="2">
      <formula>"Refuse"</formula>
    </cfRule>
    <cfRule type="cellIs" priority="9" operator="equal" dxfId="2">
      <formula>"Annule"</formula>
    </cfRule>
    <cfRule type="cellIs" priority="10" operator="equal" dxfId="2">
      <formula>"Non"</formula>
    </cfRule>
    <cfRule type="cellIs" priority="11" operator="equal" dxfId="3">
      <formula>"En attente"</formula>
    </cfRule>
    <cfRule type="cellIs" priority="12" operator="equal" dxfId="3">
      <formula>"En cours"</formula>
    </cfRule>
    <cfRule type="cellIs" priority="13" operator="equal" dxfId="3">
      <formula>"Brouillon"</formula>
    </cfRule>
    <cfRule type="cellIs" priority="14" operator="equal" dxfId="3">
      <formula>"Demande"</formula>
    </cfRule>
    <cfRule type="cellIs" priority="15" operator="equal" dxfId="3">
      <formula>"Partiellement monetise"</formula>
    </cfRule>
  </conditionalFormatting>
  <conditionalFormatting sqref="G5:G104">
    <cfRule type="dataBar" priority="16">
      <dataBar>
        <cfvo type="num" val="0"/>
        <cfvo type="num" val="1"/>
        <color rgb="001B2A4A"/>
      </dataBar>
    </cfRule>
  </conditionalFormatting>
  <conditionalFormatting sqref="H5:H104">
    <cfRule type="dataBar" priority="17">
      <dataBar>
        <cfvo type="num" val="0"/>
        <cfvo type="num" val="1"/>
        <color rgb="001B2A4A"/>
      </dataBar>
    </cfRule>
  </conditionalFormatting>
  <conditionalFormatting sqref="B108">
    <cfRule type="cellIs" priority="18" operator="greaterThan" dxfId="0">
      <formula>0</formula>
    </cfRule>
  </conditionalFormatting>
  <conditionalFormatting sqref="C108">
    <cfRule type="cellIs" priority="19" operator="greaterThan" dxfId="0">
      <formula>0</formula>
    </cfRule>
  </conditionalFormatting>
  <dataValidations count="3">
    <dataValidation sqref="F5:F104" showDropDown="0" showInputMessage="0" showErrorMessage="0" allowBlank="1" type="list">
      <formula1>'_Lists'!$Q$2:$Q$9</formula1>
    </dataValidation>
    <dataValidation sqref="J5:J104" showDropDown="0" showInputMessage="0" showErrorMessage="0" allowBlank="1" type="list">
      <formula1>'_Lists'!$H$2:$H$4</formula1>
    </dataValidation>
    <dataValidation sqref="C5:C104" showDropDown="0" showInputMessage="0" showErrorMessage="0" allowBlank="1" promptTitle="Matricule Employé" prompt="Choisir un matricule" type="list">
      <formula1>'_Données Employés'!$B$5:$B$114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N10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18" customWidth="1" min="4" max="4"/>
    <col width="24" customWidth="1" min="5" max="5"/>
    <col width="16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2" customWidth="1" min="13" max="13"/>
    <col width="10" customWidth="1" min="14" max="14"/>
  </cols>
  <sheetData>
    <row r="1" ht="15" customHeight="1"/>
    <row r="2" ht="32" customHeight="1">
      <c r="B2" s="13" t="inlineStr">
        <is>
          <t>AVANTAGES SOCIAUX — 16-Tickets Restaurant</t>
        </is>
      </c>
    </row>
    <row r="3" ht="8" customHeight="1"/>
    <row r="4" ht="28" customHeight="1">
      <c r="B4" s="14" t="inlineStr">
        <is>
          <t>N°</t>
        </is>
      </c>
      <c r="C4" s="14" t="inlineStr">
        <is>
          <t>Matricule</t>
        </is>
      </c>
      <c r="D4" s="14" t="inlineStr">
        <is>
          <t>Nom Employé</t>
        </is>
      </c>
      <c r="E4" s="14" t="inlineStr">
        <is>
          <t>Département</t>
        </is>
      </c>
      <c r="F4" s="14" t="inlineStr">
        <is>
          <t>Jours Ouvrables</t>
        </is>
      </c>
      <c r="G4" s="14" t="inlineStr">
        <is>
          <t>Jours Présents</t>
        </is>
      </c>
      <c r="H4" s="14" t="inlineStr">
        <is>
          <t>Tickets Distribués</t>
        </is>
      </c>
      <c r="I4" s="14" t="inlineStr">
        <is>
          <t>Valeur Unitaire (FCFA)</t>
        </is>
      </c>
      <c r="J4" s="14" t="inlineStr">
        <is>
          <t>Part Employeur (FCFA)</t>
        </is>
      </c>
      <c r="K4" s="14" t="inlineStr">
        <is>
          <t>Part Employé (FCFA)</t>
        </is>
      </c>
      <c r="L4" s="14" t="inlineStr">
        <is>
          <t>Coût Total (FCFA)</t>
        </is>
      </c>
      <c r="M4" s="14" t="inlineStr">
        <is>
          <t>Mois</t>
        </is>
      </c>
      <c r="N4" s="14" t="inlineStr">
        <is>
          <t>Statut</t>
        </is>
      </c>
    </row>
    <row r="5" ht="22" customHeight="1">
      <c r="B5" s="15" t="inlineStr">
        <is>
          <t>TR-001</t>
        </is>
      </c>
      <c r="C5" s="15" t="inlineStr">
        <is>
          <t>EMP-001</t>
        </is>
      </c>
      <c r="D5" s="15" t="inlineStr">
        <is>
          <t>Nganou Clarisse</t>
        </is>
      </c>
      <c r="E5" s="15" t="inlineStr">
        <is>
          <t>Ressources Humaines</t>
        </is>
      </c>
      <c r="F5" s="16" t="n">
        <v>22</v>
      </c>
      <c r="G5" s="16" t="n">
        <v>22</v>
      </c>
      <c r="H5" s="16" t="n">
        <v>22</v>
      </c>
      <c r="I5" s="16" t="n">
        <v>1500</v>
      </c>
      <c r="J5" s="16" t="n">
        <v>990</v>
      </c>
      <c r="K5" s="16" t="n">
        <v>510</v>
      </c>
      <c r="L5" s="16" t="n">
        <v>21780</v>
      </c>
      <c r="M5" s="15" t="inlineStr">
        <is>
          <t>Juin</t>
        </is>
      </c>
      <c r="N5" s="15" t="inlineStr">
        <is>
          <t>Valide</t>
        </is>
      </c>
    </row>
    <row r="6" ht="22" customHeight="1">
      <c r="B6" s="17" t="inlineStr">
        <is>
          <t>TR-002</t>
        </is>
      </c>
      <c r="C6" s="17" t="inlineStr">
        <is>
          <t>EMP-004</t>
        </is>
      </c>
      <c r="D6" s="17" t="inlineStr">
        <is>
          <t>Ouedraogo Ibrahim</t>
        </is>
      </c>
      <c r="E6" s="17" t="inlineStr">
        <is>
          <t>Reception &amp; Front Office</t>
        </is>
      </c>
      <c r="F6" s="18" t="n">
        <v>22</v>
      </c>
      <c r="G6" s="18" t="n">
        <v>21</v>
      </c>
      <c r="H6" s="18" t="n">
        <v>21</v>
      </c>
      <c r="I6" s="18" t="n">
        <v>1500</v>
      </c>
      <c r="J6" s="18" t="n">
        <v>990</v>
      </c>
      <c r="K6" s="18" t="n">
        <v>510</v>
      </c>
      <c r="L6" s="18" t="n">
        <v>20790</v>
      </c>
      <c r="M6" s="17" t="inlineStr">
        <is>
          <t>Juin</t>
        </is>
      </c>
      <c r="N6" s="17" t="inlineStr">
        <is>
          <t>Valide</t>
        </is>
      </c>
    </row>
    <row r="7" ht="22" customHeight="1">
      <c r="B7" s="15" t="inlineStr">
        <is>
          <t>TR-003</t>
        </is>
      </c>
      <c r="C7" s="15" t="inlineStr">
        <is>
          <t>EMP-005</t>
        </is>
      </c>
      <c r="D7" s="15" t="inlineStr">
        <is>
          <t>Diallo Moussa</t>
        </is>
      </c>
      <c r="E7" s="15" t="inlineStr">
        <is>
          <t>Cuisine &amp; Restauration</t>
        </is>
      </c>
      <c r="F7" s="16" t="n">
        <v>22</v>
      </c>
      <c r="G7" s="16" t="n">
        <v>22</v>
      </c>
      <c r="H7" s="16" t="n">
        <v>22</v>
      </c>
      <c r="I7" s="16" t="n">
        <v>1500</v>
      </c>
      <c r="J7" s="16" t="n">
        <v>1500</v>
      </c>
      <c r="K7" s="16" t="n">
        <v>0</v>
      </c>
      <c r="L7" s="16" t="n">
        <v>33000</v>
      </c>
      <c r="M7" s="15" t="inlineStr">
        <is>
          <t>Juin</t>
        </is>
      </c>
      <c r="N7" s="15" t="inlineStr">
        <is>
          <t>Valide</t>
        </is>
      </c>
    </row>
    <row r="8" ht="22" customHeight="1">
      <c r="B8" s="19">
        <f>IF(C8="","TR"&amp;TEXT(COUNTA($C$5:C8),"000"))</f>
        <v/>
      </c>
      <c r="C8" s="19" t="n"/>
      <c r="D8" s="19">
        <f>IF(C8="","",VLOOKUP(C8,'_Données Employés'!$B$5:$S$114,3,FALSE))</f>
        <v/>
      </c>
      <c r="E8" s="19">
        <f>IF(C8="","",VLOOKUP(C8,'_Données Employés'!$B$5:$S$114,10,FALSE))</f>
        <v/>
      </c>
      <c r="F8" s="19" t="n"/>
      <c r="G8" s="19" t="n"/>
      <c r="H8" s="20">
        <f>IF(F8="","",MIN(E8,F8))</f>
        <v/>
      </c>
      <c r="I8" s="19" t="n"/>
      <c r="J8" s="19" t="n"/>
      <c r="K8" s="19" t="n"/>
      <c r="L8" s="20">
        <f>IF(G8="","",IFERROR(G8*H8,0))</f>
        <v/>
      </c>
      <c r="M8" s="19" t="n"/>
      <c r="N8" s="19" t="n"/>
    </row>
    <row r="9" ht="22" customHeight="1">
      <c r="B9" s="21">
        <f>IF(C9="","TR"&amp;TEXT(COUNTA($C$5:C9),"000"))</f>
        <v/>
      </c>
      <c r="C9" s="21" t="n"/>
      <c r="D9" s="21">
        <f>IF(C9="","",VLOOKUP(C9,'_Données Employés'!$B$5:$S$114,3,FALSE))</f>
        <v/>
      </c>
      <c r="E9" s="21">
        <f>IF(C9="","",VLOOKUP(C9,'_Données Employés'!$B$5:$S$114,10,FALSE))</f>
        <v/>
      </c>
      <c r="F9" s="21" t="n"/>
      <c r="G9" s="21" t="n"/>
      <c r="H9" s="16">
        <f>IF(F9="","",MIN(E9,F9))</f>
        <v/>
      </c>
      <c r="I9" s="21" t="n"/>
      <c r="J9" s="21" t="n"/>
      <c r="K9" s="21" t="n"/>
      <c r="L9" s="16">
        <f>IF(G9="","",IFERROR(G9*H9,0))</f>
        <v/>
      </c>
      <c r="M9" s="21" t="n"/>
      <c r="N9" s="21" t="n"/>
    </row>
    <row r="10" ht="22" customHeight="1">
      <c r="B10" s="22">
        <f>IF(C10="","TR"&amp;TEXT(COUNTA($C$5:C10),"000"))</f>
        <v/>
      </c>
      <c r="C10" s="22" t="n"/>
      <c r="D10" s="22">
        <f>IF(C10="","",VLOOKUP(C10,'_Données Employés'!$B$5:$S$114,3,FALSE))</f>
        <v/>
      </c>
      <c r="E10" s="22">
        <f>IF(C10="","",VLOOKUP(C10,'_Données Employés'!$B$5:$S$114,10,FALSE))</f>
        <v/>
      </c>
      <c r="F10" s="22" t="n"/>
      <c r="G10" s="22" t="n"/>
      <c r="H10" s="18">
        <f>IF(F10="","",MIN(E10,F10))</f>
        <v/>
      </c>
      <c r="I10" s="22" t="n"/>
      <c r="J10" s="22" t="n"/>
      <c r="K10" s="22" t="n"/>
      <c r="L10" s="18">
        <f>IF(G10="","",IFERROR(G10*H10,0))</f>
        <v/>
      </c>
      <c r="M10" s="22" t="n"/>
      <c r="N10" s="22" t="n"/>
    </row>
    <row r="11" ht="22" customHeight="1">
      <c r="B11" s="21">
        <f>IF(C11="","TR"&amp;TEXT(COUNTA($C$5:C11),"000"))</f>
        <v/>
      </c>
      <c r="C11" s="21" t="n"/>
      <c r="D11" s="21">
        <f>IF(C11="","",VLOOKUP(C11,'_Données Employés'!$B$5:$S$114,3,FALSE))</f>
        <v/>
      </c>
      <c r="E11" s="21">
        <f>IF(C11="","",VLOOKUP(C11,'_Données Employés'!$B$5:$S$114,10,FALSE))</f>
        <v/>
      </c>
      <c r="F11" s="21" t="n"/>
      <c r="G11" s="21" t="n"/>
      <c r="H11" s="16">
        <f>IF(F11="","",MIN(E11,F11))</f>
        <v/>
      </c>
      <c r="I11" s="21" t="n"/>
      <c r="J11" s="21" t="n"/>
      <c r="K11" s="21" t="n"/>
      <c r="L11" s="16">
        <f>IF(G11="","",IFERROR(G11*H11,0))</f>
        <v/>
      </c>
      <c r="M11" s="21" t="n"/>
      <c r="N11" s="21" t="n"/>
    </row>
    <row r="12" ht="22" customHeight="1">
      <c r="B12" s="22">
        <f>IF(C12="","TR"&amp;TEXT(COUNTA($C$5:C12),"000"))</f>
        <v/>
      </c>
      <c r="C12" s="22" t="n"/>
      <c r="D12" s="22">
        <f>IF(C12="","",VLOOKUP(C12,'_Données Employés'!$B$5:$S$114,3,FALSE))</f>
        <v/>
      </c>
      <c r="E12" s="22">
        <f>IF(C12="","",VLOOKUP(C12,'_Données Employés'!$B$5:$S$114,10,FALSE))</f>
        <v/>
      </c>
      <c r="F12" s="22" t="n"/>
      <c r="G12" s="22" t="n"/>
      <c r="H12" s="18">
        <f>IF(F12="","",MIN(E12,F12))</f>
        <v/>
      </c>
      <c r="I12" s="22" t="n"/>
      <c r="J12" s="22" t="n"/>
      <c r="K12" s="22" t="n"/>
      <c r="L12" s="18">
        <f>IF(G12="","",IFERROR(G12*H12,0))</f>
        <v/>
      </c>
      <c r="M12" s="22" t="n"/>
      <c r="N12" s="22" t="n"/>
    </row>
    <row r="13" ht="22" customHeight="1">
      <c r="B13" s="21">
        <f>IF(C13="","TR"&amp;TEXT(COUNTA($C$5:C13),"000"))</f>
        <v/>
      </c>
      <c r="C13" s="21" t="n"/>
      <c r="D13" s="21">
        <f>IF(C13="","",VLOOKUP(C13,'_Données Employés'!$B$5:$S$114,3,FALSE))</f>
        <v/>
      </c>
      <c r="E13" s="21">
        <f>IF(C13="","",VLOOKUP(C13,'_Données Employés'!$B$5:$S$114,10,FALSE))</f>
        <v/>
      </c>
      <c r="F13" s="21" t="n"/>
      <c r="G13" s="21" t="n"/>
      <c r="H13" s="16">
        <f>IF(F13="","",MIN(E13,F13))</f>
        <v/>
      </c>
      <c r="I13" s="21" t="n"/>
      <c r="J13" s="21" t="n"/>
      <c r="K13" s="21" t="n"/>
      <c r="L13" s="16">
        <f>IF(G13="","",IFERROR(G13*H13,0))</f>
        <v/>
      </c>
      <c r="M13" s="21" t="n"/>
      <c r="N13" s="21" t="n"/>
    </row>
    <row r="14" ht="22" customHeight="1">
      <c r="B14" s="22">
        <f>IF(C14="","TR"&amp;TEXT(COUNTA($C$5:C14),"000"))</f>
        <v/>
      </c>
      <c r="C14" s="22" t="n"/>
      <c r="D14" s="22">
        <f>IF(C14="","",VLOOKUP(C14,'_Données Employés'!$B$5:$S$114,3,FALSE))</f>
        <v/>
      </c>
      <c r="E14" s="22">
        <f>IF(C14="","",VLOOKUP(C14,'_Données Employés'!$B$5:$S$114,10,FALSE))</f>
        <v/>
      </c>
      <c r="F14" s="22" t="n"/>
      <c r="G14" s="22" t="n"/>
      <c r="H14" s="18">
        <f>IF(F14="","",MIN(E14,F14))</f>
        <v/>
      </c>
      <c r="I14" s="22" t="n"/>
      <c r="J14" s="22" t="n"/>
      <c r="K14" s="22" t="n"/>
      <c r="L14" s="18">
        <f>IF(G14="","",IFERROR(G14*H14,0))</f>
        <v/>
      </c>
      <c r="M14" s="22" t="n"/>
      <c r="N14" s="22" t="n"/>
    </row>
    <row r="15" ht="22" customHeight="1">
      <c r="B15" s="21">
        <f>IF(C15="","TR"&amp;TEXT(COUNTA($C$5:C15),"000"))</f>
        <v/>
      </c>
      <c r="C15" s="21" t="n"/>
      <c r="D15" s="21">
        <f>IF(C15="","",VLOOKUP(C15,'_Données Employés'!$B$5:$S$114,3,FALSE))</f>
        <v/>
      </c>
      <c r="E15" s="21">
        <f>IF(C15="","",VLOOKUP(C15,'_Données Employés'!$B$5:$S$114,10,FALSE))</f>
        <v/>
      </c>
      <c r="F15" s="21" t="n"/>
      <c r="G15" s="21" t="n"/>
      <c r="H15" s="16">
        <f>IF(F15="","",MIN(E15,F15))</f>
        <v/>
      </c>
      <c r="I15" s="21" t="n"/>
      <c r="J15" s="21" t="n"/>
      <c r="K15" s="21" t="n"/>
      <c r="L15" s="16">
        <f>IF(G15="","",IFERROR(G15*H15,0))</f>
        <v/>
      </c>
      <c r="M15" s="21" t="n"/>
      <c r="N15" s="21" t="n"/>
    </row>
    <row r="16" ht="22" customHeight="1">
      <c r="B16" s="22">
        <f>IF(C16="","TR"&amp;TEXT(COUNTA($C$5:C16),"000"))</f>
        <v/>
      </c>
      <c r="C16" s="22" t="n"/>
      <c r="D16" s="22">
        <f>IF(C16="","",VLOOKUP(C16,'_Données Employés'!$B$5:$S$114,3,FALSE))</f>
        <v/>
      </c>
      <c r="E16" s="22">
        <f>IF(C16="","",VLOOKUP(C16,'_Données Employés'!$B$5:$S$114,10,FALSE))</f>
        <v/>
      </c>
      <c r="F16" s="22" t="n"/>
      <c r="G16" s="22" t="n"/>
      <c r="H16" s="18">
        <f>IF(F16="","",MIN(E16,F16))</f>
        <v/>
      </c>
      <c r="I16" s="22" t="n"/>
      <c r="J16" s="22" t="n"/>
      <c r="K16" s="22" t="n"/>
      <c r="L16" s="18">
        <f>IF(G16="","",IFERROR(G16*H16,0))</f>
        <v/>
      </c>
      <c r="M16" s="22" t="n"/>
      <c r="N16" s="22" t="n"/>
    </row>
    <row r="17" ht="22" customHeight="1">
      <c r="B17" s="21">
        <f>IF(C17="","TR"&amp;TEXT(COUNTA($C$5:C17),"000"))</f>
        <v/>
      </c>
      <c r="C17" s="21" t="n"/>
      <c r="D17" s="21">
        <f>IF(C17="","",VLOOKUP(C17,'_Données Employés'!$B$5:$S$114,3,FALSE))</f>
        <v/>
      </c>
      <c r="E17" s="21">
        <f>IF(C17="","",VLOOKUP(C17,'_Données Employés'!$B$5:$S$114,10,FALSE))</f>
        <v/>
      </c>
      <c r="F17" s="21" t="n"/>
      <c r="G17" s="21" t="n"/>
      <c r="H17" s="16">
        <f>IF(F17="","",MIN(E17,F17))</f>
        <v/>
      </c>
      <c r="I17" s="21" t="n"/>
      <c r="J17" s="21" t="n"/>
      <c r="K17" s="21" t="n"/>
      <c r="L17" s="16">
        <f>IF(G17="","",IFERROR(G17*H17,0))</f>
        <v/>
      </c>
      <c r="M17" s="21" t="n"/>
      <c r="N17" s="21" t="n"/>
    </row>
    <row r="18" ht="22" customHeight="1">
      <c r="B18" s="22">
        <f>IF(C18="","TR"&amp;TEXT(COUNTA($C$5:C18),"000"))</f>
        <v/>
      </c>
      <c r="C18" s="22" t="n"/>
      <c r="D18" s="22">
        <f>IF(C18="","",VLOOKUP(C18,'_Données Employés'!$B$5:$S$114,3,FALSE))</f>
        <v/>
      </c>
      <c r="E18" s="22">
        <f>IF(C18="","",VLOOKUP(C18,'_Données Employés'!$B$5:$S$114,10,FALSE))</f>
        <v/>
      </c>
      <c r="F18" s="22" t="n"/>
      <c r="G18" s="22" t="n"/>
      <c r="H18" s="18">
        <f>IF(F18="","",MIN(E18,F18))</f>
        <v/>
      </c>
      <c r="I18" s="22" t="n"/>
      <c r="J18" s="22" t="n"/>
      <c r="K18" s="22" t="n"/>
      <c r="L18" s="18">
        <f>IF(G18="","",IFERROR(G18*H18,0))</f>
        <v/>
      </c>
      <c r="M18" s="22" t="n"/>
      <c r="N18" s="22" t="n"/>
    </row>
    <row r="19" ht="22" customHeight="1">
      <c r="B19" s="21">
        <f>IF(C19="","TR"&amp;TEXT(COUNTA($C$5:C19),"000"))</f>
        <v/>
      </c>
      <c r="C19" s="21" t="n"/>
      <c r="D19" s="21">
        <f>IF(C19="","",VLOOKUP(C19,'_Données Employés'!$B$5:$S$114,3,FALSE))</f>
        <v/>
      </c>
      <c r="E19" s="21">
        <f>IF(C19="","",VLOOKUP(C19,'_Données Employés'!$B$5:$S$114,10,FALSE))</f>
        <v/>
      </c>
      <c r="F19" s="21" t="n"/>
      <c r="G19" s="21" t="n"/>
      <c r="H19" s="16">
        <f>IF(F19="","",MIN(E19,F19))</f>
        <v/>
      </c>
      <c r="I19" s="21" t="n"/>
      <c r="J19" s="21" t="n"/>
      <c r="K19" s="21" t="n"/>
      <c r="L19" s="16">
        <f>IF(G19="","",IFERROR(G19*H19,0))</f>
        <v/>
      </c>
      <c r="M19" s="21" t="n"/>
      <c r="N19" s="21" t="n"/>
    </row>
    <row r="20" ht="22" customHeight="1">
      <c r="B20" s="22">
        <f>IF(C20="","TR"&amp;TEXT(COUNTA($C$5:C20),"000"))</f>
        <v/>
      </c>
      <c r="C20" s="22" t="n"/>
      <c r="D20" s="22">
        <f>IF(C20="","",VLOOKUP(C20,'_Données Employés'!$B$5:$S$114,3,FALSE))</f>
        <v/>
      </c>
      <c r="E20" s="22">
        <f>IF(C20="","",VLOOKUP(C20,'_Données Employés'!$B$5:$S$114,10,FALSE))</f>
        <v/>
      </c>
      <c r="F20" s="22" t="n"/>
      <c r="G20" s="22" t="n"/>
      <c r="H20" s="18">
        <f>IF(F20="","",MIN(E20,F20))</f>
        <v/>
      </c>
      <c r="I20" s="22" t="n"/>
      <c r="J20" s="22" t="n"/>
      <c r="K20" s="22" t="n"/>
      <c r="L20" s="18">
        <f>IF(G20="","",IFERROR(G20*H20,0))</f>
        <v/>
      </c>
      <c r="M20" s="22" t="n"/>
      <c r="N20" s="22" t="n"/>
    </row>
    <row r="21" ht="22" customHeight="1">
      <c r="B21" s="21">
        <f>IF(C21="","TR"&amp;TEXT(COUNTA($C$5:C21),"000"))</f>
        <v/>
      </c>
      <c r="C21" s="21" t="n"/>
      <c r="D21" s="21">
        <f>IF(C21="","",VLOOKUP(C21,'_Données Employés'!$B$5:$S$114,3,FALSE))</f>
        <v/>
      </c>
      <c r="E21" s="21">
        <f>IF(C21="","",VLOOKUP(C21,'_Données Employés'!$B$5:$S$114,10,FALSE))</f>
        <v/>
      </c>
      <c r="F21" s="21" t="n"/>
      <c r="G21" s="21" t="n"/>
      <c r="H21" s="16">
        <f>IF(F21="","",MIN(E21,F21))</f>
        <v/>
      </c>
      <c r="I21" s="21" t="n"/>
      <c r="J21" s="21" t="n"/>
      <c r="K21" s="21" t="n"/>
      <c r="L21" s="16">
        <f>IF(G21="","",IFERROR(G21*H21,0))</f>
        <v/>
      </c>
      <c r="M21" s="21" t="n"/>
      <c r="N21" s="21" t="n"/>
    </row>
    <row r="22" ht="22" customHeight="1">
      <c r="B22" s="22">
        <f>IF(C22="","TR"&amp;TEXT(COUNTA($C$5:C22),"000"))</f>
        <v/>
      </c>
      <c r="C22" s="22" t="n"/>
      <c r="D22" s="22">
        <f>IF(C22="","",VLOOKUP(C22,'_Données Employés'!$B$5:$S$114,3,FALSE))</f>
        <v/>
      </c>
      <c r="E22" s="22">
        <f>IF(C22="","",VLOOKUP(C22,'_Données Employés'!$B$5:$S$114,10,FALSE))</f>
        <v/>
      </c>
      <c r="F22" s="22" t="n"/>
      <c r="G22" s="22" t="n"/>
      <c r="H22" s="18">
        <f>IF(F22="","",MIN(E22,F22))</f>
        <v/>
      </c>
      <c r="I22" s="22" t="n"/>
      <c r="J22" s="22" t="n"/>
      <c r="K22" s="22" t="n"/>
      <c r="L22" s="18">
        <f>IF(G22="","",IFERROR(G22*H22,0))</f>
        <v/>
      </c>
      <c r="M22" s="22" t="n"/>
      <c r="N22" s="22" t="n"/>
    </row>
    <row r="23" ht="22" customHeight="1">
      <c r="B23" s="21">
        <f>IF(C23="","TR"&amp;TEXT(COUNTA($C$5:C23),"000"))</f>
        <v/>
      </c>
      <c r="C23" s="21" t="n"/>
      <c r="D23" s="21">
        <f>IF(C23="","",VLOOKUP(C23,'_Données Employés'!$B$5:$S$114,3,FALSE))</f>
        <v/>
      </c>
      <c r="E23" s="21">
        <f>IF(C23="","",VLOOKUP(C23,'_Données Employés'!$B$5:$S$114,10,FALSE))</f>
        <v/>
      </c>
      <c r="F23" s="21" t="n"/>
      <c r="G23" s="21" t="n"/>
      <c r="H23" s="16">
        <f>IF(F23="","",MIN(E23,F23))</f>
        <v/>
      </c>
      <c r="I23" s="21" t="n"/>
      <c r="J23" s="21" t="n"/>
      <c r="K23" s="21" t="n"/>
      <c r="L23" s="16">
        <f>IF(G23="","",IFERROR(G23*H23,0))</f>
        <v/>
      </c>
      <c r="M23" s="21" t="n"/>
      <c r="N23" s="21" t="n"/>
    </row>
    <row r="24" ht="22" customHeight="1">
      <c r="B24" s="22">
        <f>IF(C24="","TR"&amp;TEXT(COUNTA($C$5:C24),"000"))</f>
        <v/>
      </c>
      <c r="C24" s="22" t="n"/>
      <c r="D24" s="22">
        <f>IF(C24="","",VLOOKUP(C24,'_Données Employés'!$B$5:$S$114,3,FALSE))</f>
        <v/>
      </c>
      <c r="E24" s="22">
        <f>IF(C24="","",VLOOKUP(C24,'_Données Employés'!$B$5:$S$114,10,FALSE))</f>
        <v/>
      </c>
      <c r="F24" s="22" t="n"/>
      <c r="G24" s="22" t="n"/>
      <c r="H24" s="18">
        <f>IF(F24="","",MIN(E24,F24))</f>
        <v/>
      </c>
      <c r="I24" s="22" t="n"/>
      <c r="J24" s="22" t="n"/>
      <c r="K24" s="22" t="n"/>
      <c r="L24" s="18">
        <f>IF(G24="","",IFERROR(G24*H24,0))</f>
        <v/>
      </c>
      <c r="M24" s="22" t="n"/>
      <c r="N24" s="22" t="n"/>
    </row>
    <row r="25" ht="22" customHeight="1">
      <c r="B25" s="21">
        <f>IF(C25="","TR"&amp;TEXT(COUNTA($C$5:C25),"000"))</f>
        <v/>
      </c>
      <c r="C25" s="21" t="n"/>
      <c r="D25" s="21">
        <f>IF(C25="","",VLOOKUP(C25,'_Données Employés'!$B$5:$S$114,3,FALSE))</f>
        <v/>
      </c>
      <c r="E25" s="21">
        <f>IF(C25="","",VLOOKUP(C25,'_Données Employés'!$B$5:$S$114,10,FALSE))</f>
        <v/>
      </c>
      <c r="F25" s="21" t="n"/>
      <c r="G25" s="21" t="n"/>
      <c r="H25" s="16">
        <f>IF(F25="","",MIN(E25,F25))</f>
        <v/>
      </c>
      <c r="I25" s="21" t="n"/>
      <c r="J25" s="21" t="n"/>
      <c r="K25" s="21" t="n"/>
      <c r="L25" s="16">
        <f>IF(G25="","",IFERROR(G25*H25,0))</f>
        <v/>
      </c>
      <c r="M25" s="21" t="n"/>
      <c r="N25" s="21" t="n"/>
    </row>
    <row r="26" ht="22" customHeight="1">
      <c r="B26" s="22">
        <f>IF(C26="","TR"&amp;TEXT(COUNTA($C$5:C26),"000"))</f>
        <v/>
      </c>
      <c r="C26" s="22" t="n"/>
      <c r="D26" s="22">
        <f>IF(C26="","",VLOOKUP(C26,'_Données Employés'!$B$5:$S$114,3,FALSE))</f>
        <v/>
      </c>
      <c r="E26" s="22">
        <f>IF(C26="","",VLOOKUP(C26,'_Données Employés'!$B$5:$S$114,10,FALSE))</f>
        <v/>
      </c>
      <c r="F26" s="22" t="n"/>
      <c r="G26" s="22" t="n"/>
      <c r="H26" s="18">
        <f>IF(F26="","",MIN(E26,F26))</f>
        <v/>
      </c>
      <c r="I26" s="22" t="n"/>
      <c r="J26" s="22" t="n"/>
      <c r="K26" s="22" t="n"/>
      <c r="L26" s="18">
        <f>IF(G26="","",IFERROR(G26*H26,0))</f>
        <v/>
      </c>
      <c r="M26" s="22" t="n"/>
      <c r="N26" s="22" t="n"/>
    </row>
    <row r="27" ht="22" customHeight="1">
      <c r="B27" s="21">
        <f>IF(C27="","TR"&amp;TEXT(COUNTA($C$5:C27),"000"))</f>
        <v/>
      </c>
      <c r="C27" s="21" t="n"/>
      <c r="D27" s="21">
        <f>IF(C27="","",VLOOKUP(C27,'_Données Employés'!$B$5:$S$114,3,FALSE))</f>
        <v/>
      </c>
      <c r="E27" s="21">
        <f>IF(C27="","",VLOOKUP(C27,'_Données Employés'!$B$5:$S$114,10,FALSE))</f>
        <v/>
      </c>
      <c r="F27" s="21" t="n"/>
      <c r="G27" s="21" t="n"/>
      <c r="H27" s="16">
        <f>IF(F27="","",MIN(E27,F27))</f>
        <v/>
      </c>
      <c r="I27" s="21" t="n"/>
      <c r="J27" s="21" t="n"/>
      <c r="K27" s="21" t="n"/>
      <c r="L27" s="16">
        <f>IF(G27="","",IFERROR(G27*H27,0))</f>
        <v/>
      </c>
      <c r="M27" s="21" t="n"/>
      <c r="N27" s="21" t="n"/>
    </row>
    <row r="28" ht="22" customHeight="1">
      <c r="B28" s="22">
        <f>IF(C28="","TR"&amp;TEXT(COUNTA($C$5:C28),"000"))</f>
        <v/>
      </c>
      <c r="C28" s="22" t="n"/>
      <c r="D28" s="22">
        <f>IF(C28="","",VLOOKUP(C28,'_Données Employés'!$B$5:$S$114,3,FALSE))</f>
        <v/>
      </c>
      <c r="E28" s="22">
        <f>IF(C28="","",VLOOKUP(C28,'_Données Employés'!$B$5:$S$114,10,FALSE))</f>
        <v/>
      </c>
      <c r="F28" s="22" t="n"/>
      <c r="G28" s="22" t="n"/>
      <c r="H28" s="18">
        <f>IF(F28="","",MIN(E28,F28))</f>
        <v/>
      </c>
      <c r="I28" s="22" t="n"/>
      <c r="J28" s="22" t="n"/>
      <c r="K28" s="22" t="n"/>
      <c r="L28" s="18">
        <f>IF(G28="","",IFERROR(G28*H28,0))</f>
        <v/>
      </c>
      <c r="M28" s="22" t="n"/>
      <c r="N28" s="22" t="n"/>
    </row>
    <row r="29" ht="22" customHeight="1">
      <c r="B29" s="21">
        <f>IF(C29="","TR"&amp;TEXT(COUNTA($C$5:C29),"000"))</f>
        <v/>
      </c>
      <c r="C29" s="21" t="n"/>
      <c r="D29" s="21">
        <f>IF(C29="","",VLOOKUP(C29,'_Données Employés'!$B$5:$S$114,3,FALSE))</f>
        <v/>
      </c>
      <c r="E29" s="21">
        <f>IF(C29="","",VLOOKUP(C29,'_Données Employés'!$B$5:$S$114,10,FALSE))</f>
        <v/>
      </c>
      <c r="F29" s="21" t="n"/>
      <c r="G29" s="21" t="n"/>
      <c r="H29" s="16">
        <f>IF(F29="","",MIN(E29,F29))</f>
        <v/>
      </c>
      <c r="I29" s="21" t="n"/>
      <c r="J29" s="21" t="n"/>
      <c r="K29" s="21" t="n"/>
      <c r="L29" s="16">
        <f>IF(G29="","",IFERROR(G29*H29,0))</f>
        <v/>
      </c>
      <c r="M29" s="21" t="n"/>
      <c r="N29" s="21" t="n"/>
    </row>
    <row r="30" ht="22" customHeight="1">
      <c r="B30" s="22">
        <f>IF(C30="","TR"&amp;TEXT(COUNTA($C$5:C30),"000"))</f>
        <v/>
      </c>
      <c r="C30" s="22" t="n"/>
      <c r="D30" s="22">
        <f>IF(C30="","",VLOOKUP(C30,'_Données Employés'!$B$5:$S$114,3,FALSE))</f>
        <v/>
      </c>
      <c r="E30" s="22">
        <f>IF(C30="","",VLOOKUP(C30,'_Données Employés'!$B$5:$S$114,10,FALSE))</f>
        <v/>
      </c>
      <c r="F30" s="22" t="n"/>
      <c r="G30" s="22" t="n"/>
      <c r="H30" s="18">
        <f>IF(F30="","",MIN(E30,F30))</f>
        <v/>
      </c>
      <c r="I30" s="22" t="n"/>
      <c r="J30" s="22" t="n"/>
      <c r="K30" s="22" t="n"/>
      <c r="L30" s="18">
        <f>IF(G30="","",IFERROR(G30*H30,0))</f>
        <v/>
      </c>
      <c r="M30" s="22" t="n"/>
      <c r="N30" s="22" t="n"/>
    </row>
    <row r="31" ht="22" customHeight="1">
      <c r="B31" s="21">
        <f>IF(C31="","TR"&amp;TEXT(COUNTA($C$5:C31),"000"))</f>
        <v/>
      </c>
      <c r="C31" s="21" t="n"/>
      <c r="D31" s="21">
        <f>IF(C31="","",VLOOKUP(C31,'_Données Employés'!$B$5:$S$114,3,FALSE))</f>
        <v/>
      </c>
      <c r="E31" s="21">
        <f>IF(C31="","",VLOOKUP(C31,'_Données Employés'!$B$5:$S$114,10,FALSE))</f>
        <v/>
      </c>
      <c r="F31" s="21" t="n"/>
      <c r="G31" s="21" t="n"/>
      <c r="H31" s="16">
        <f>IF(F31="","",MIN(E31,F31))</f>
        <v/>
      </c>
      <c r="I31" s="21" t="n"/>
      <c r="J31" s="21" t="n"/>
      <c r="K31" s="21" t="n"/>
      <c r="L31" s="16">
        <f>IF(G31="","",IFERROR(G31*H31,0))</f>
        <v/>
      </c>
      <c r="M31" s="21" t="n"/>
      <c r="N31" s="21" t="n"/>
    </row>
    <row r="32" ht="22" customHeight="1">
      <c r="B32" s="22">
        <f>IF(C32="","TR"&amp;TEXT(COUNTA($C$5:C32),"000"))</f>
        <v/>
      </c>
      <c r="C32" s="22" t="n"/>
      <c r="D32" s="22">
        <f>IF(C32="","",VLOOKUP(C32,'_Données Employés'!$B$5:$S$114,3,FALSE))</f>
        <v/>
      </c>
      <c r="E32" s="22">
        <f>IF(C32="","",VLOOKUP(C32,'_Données Employés'!$B$5:$S$114,10,FALSE))</f>
        <v/>
      </c>
      <c r="F32" s="22" t="n"/>
      <c r="G32" s="22" t="n"/>
      <c r="H32" s="18">
        <f>IF(F32="","",MIN(E32,F32))</f>
        <v/>
      </c>
      <c r="I32" s="22" t="n"/>
      <c r="J32" s="22" t="n"/>
      <c r="K32" s="22" t="n"/>
      <c r="L32" s="18">
        <f>IF(G32="","",IFERROR(G32*H32,0))</f>
        <v/>
      </c>
      <c r="M32" s="22" t="n"/>
      <c r="N32" s="22" t="n"/>
    </row>
    <row r="33" ht="22" customHeight="1">
      <c r="B33" s="21">
        <f>IF(C33="","TR"&amp;TEXT(COUNTA($C$5:C33),"000"))</f>
        <v/>
      </c>
      <c r="C33" s="21" t="n"/>
      <c r="D33" s="21">
        <f>IF(C33="","",VLOOKUP(C33,'_Données Employés'!$B$5:$S$114,3,FALSE))</f>
        <v/>
      </c>
      <c r="E33" s="21">
        <f>IF(C33="","",VLOOKUP(C33,'_Données Employés'!$B$5:$S$114,10,FALSE))</f>
        <v/>
      </c>
      <c r="F33" s="21" t="n"/>
      <c r="G33" s="21" t="n"/>
      <c r="H33" s="16">
        <f>IF(F33="","",MIN(E33,F33))</f>
        <v/>
      </c>
      <c r="I33" s="21" t="n"/>
      <c r="J33" s="21" t="n"/>
      <c r="K33" s="21" t="n"/>
      <c r="L33" s="16">
        <f>IF(G33="","",IFERROR(G33*H33,0))</f>
        <v/>
      </c>
      <c r="M33" s="21" t="n"/>
      <c r="N33" s="21" t="n"/>
    </row>
    <row r="34" ht="22" customHeight="1">
      <c r="B34" s="22">
        <f>IF(C34="","TR"&amp;TEXT(COUNTA($C$5:C34),"000"))</f>
        <v/>
      </c>
      <c r="C34" s="22" t="n"/>
      <c r="D34" s="22">
        <f>IF(C34="","",VLOOKUP(C34,'_Données Employés'!$B$5:$S$114,3,FALSE))</f>
        <v/>
      </c>
      <c r="E34" s="22">
        <f>IF(C34="","",VLOOKUP(C34,'_Données Employés'!$B$5:$S$114,10,FALSE))</f>
        <v/>
      </c>
      <c r="F34" s="22" t="n"/>
      <c r="G34" s="22" t="n"/>
      <c r="H34" s="18">
        <f>IF(F34="","",MIN(E34,F34))</f>
        <v/>
      </c>
      <c r="I34" s="22" t="n"/>
      <c r="J34" s="22" t="n"/>
      <c r="K34" s="22" t="n"/>
      <c r="L34" s="18">
        <f>IF(G34="","",IFERROR(G34*H34,0))</f>
        <v/>
      </c>
      <c r="M34" s="22" t="n"/>
      <c r="N34" s="22" t="n"/>
    </row>
    <row r="35" ht="22" customHeight="1">
      <c r="B35" s="21">
        <f>IF(C35="","TR"&amp;TEXT(COUNTA($C$5:C35),"000"))</f>
        <v/>
      </c>
      <c r="C35" s="21" t="n"/>
      <c r="D35" s="21">
        <f>IF(C35="","",VLOOKUP(C35,'_Données Employés'!$B$5:$S$114,3,FALSE))</f>
        <v/>
      </c>
      <c r="E35" s="21">
        <f>IF(C35="","",VLOOKUP(C35,'_Données Employés'!$B$5:$S$114,10,FALSE))</f>
        <v/>
      </c>
      <c r="F35" s="21" t="n"/>
      <c r="G35" s="21" t="n"/>
      <c r="H35" s="16">
        <f>IF(F35="","",MIN(E35,F35))</f>
        <v/>
      </c>
      <c r="I35" s="21" t="n"/>
      <c r="J35" s="21" t="n"/>
      <c r="K35" s="21" t="n"/>
      <c r="L35" s="16">
        <f>IF(G35="","",IFERROR(G35*H35,0))</f>
        <v/>
      </c>
      <c r="M35" s="21" t="n"/>
      <c r="N35" s="21" t="n"/>
    </row>
    <row r="36" ht="22" customHeight="1">
      <c r="B36" s="22">
        <f>IF(C36="","TR"&amp;TEXT(COUNTA($C$5:C36),"000"))</f>
        <v/>
      </c>
      <c r="C36" s="22" t="n"/>
      <c r="D36" s="22">
        <f>IF(C36="","",VLOOKUP(C36,'_Données Employés'!$B$5:$S$114,3,FALSE))</f>
        <v/>
      </c>
      <c r="E36" s="22">
        <f>IF(C36="","",VLOOKUP(C36,'_Données Employés'!$B$5:$S$114,10,FALSE))</f>
        <v/>
      </c>
      <c r="F36" s="22" t="n"/>
      <c r="G36" s="22" t="n"/>
      <c r="H36" s="18">
        <f>IF(F36="","",MIN(E36,F36))</f>
        <v/>
      </c>
      <c r="I36" s="22" t="n"/>
      <c r="J36" s="22" t="n"/>
      <c r="K36" s="22" t="n"/>
      <c r="L36" s="18">
        <f>IF(G36="","",IFERROR(G36*H36,0))</f>
        <v/>
      </c>
      <c r="M36" s="22" t="n"/>
      <c r="N36" s="22" t="n"/>
    </row>
    <row r="37" ht="22" customHeight="1">
      <c r="B37" s="21">
        <f>IF(C37="","TR"&amp;TEXT(COUNTA($C$5:C37),"000"))</f>
        <v/>
      </c>
      <c r="C37" s="21" t="n"/>
      <c r="D37" s="21">
        <f>IF(C37="","",VLOOKUP(C37,'_Données Employés'!$B$5:$S$114,3,FALSE))</f>
        <v/>
      </c>
      <c r="E37" s="21">
        <f>IF(C37="","",VLOOKUP(C37,'_Données Employés'!$B$5:$S$114,10,FALSE))</f>
        <v/>
      </c>
      <c r="F37" s="21" t="n"/>
      <c r="G37" s="21" t="n"/>
      <c r="H37" s="16">
        <f>IF(F37="","",MIN(E37,F37))</f>
        <v/>
      </c>
      <c r="I37" s="21" t="n"/>
      <c r="J37" s="21" t="n"/>
      <c r="K37" s="21" t="n"/>
      <c r="L37" s="16">
        <f>IF(G37="","",IFERROR(G37*H37,0))</f>
        <v/>
      </c>
      <c r="M37" s="21" t="n"/>
      <c r="N37" s="21" t="n"/>
    </row>
    <row r="38" ht="22" customHeight="1">
      <c r="B38" s="22">
        <f>IF(C38="","TR"&amp;TEXT(COUNTA($C$5:C38),"000"))</f>
        <v/>
      </c>
      <c r="C38" s="22" t="n"/>
      <c r="D38" s="22">
        <f>IF(C38="","",VLOOKUP(C38,'_Données Employés'!$B$5:$S$114,3,FALSE))</f>
        <v/>
      </c>
      <c r="E38" s="22">
        <f>IF(C38="","",VLOOKUP(C38,'_Données Employés'!$B$5:$S$114,10,FALSE))</f>
        <v/>
      </c>
      <c r="F38" s="22" t="n"/>
      <c r="G38" s="22" t="n"/>
      <c r="H38" s="18">
        <f>IF(F38="","",MIN(E38,F38))</f>
        <v/>
      </c>
      <c r="I38" s="22" t="n"/>
      <c r="J38" s="22" t="n"/>
      <c r="K38" s="22" t="n"/>
      <c r="L38" s="18">
        <f>IF(G38="","",IFERROR(G38*H38,0))</f>
        <v/>
      </c>
      <c r="M38" s="22" t="n"/>
      <c r="N38" s="22" t="n"/>
    </row>
    <row r="39" ht="22" customHeight="1">
      <c r="B39" s="21">
        <f>IF(C39="","TR"&amp;TEXT(COUNTA($C$5:C39),"000"))</f>
        <v/>
      </c>
      <c r="C39" s="21" t="n"/>
      <c r="D39" s="21">
        <f>IF(C39="","",VLOOKUP(C39,'_Données Employés'!$B$5:$S$114,3,FALSE))</f>
        <v/>
      </c>
      <c r="E39" s="21">
        <f>IF(C39="","",VLOOKUP(C39,'_Données Employés'!$B$5:$S$114,10,FALSE))</f>
        <v/>
      </c>
      <c r="F39" s="21" t="n"/>
      <c r="G39" s="21" t="n"/>
      <c r="H39" s="16">
        <f>IF(F39="","",MIN(E39,F39))</f>
        <v/>
      </c>
      <c r="I39" s="21" t="n"/>
      <c r="J39" s="21" t="n"/>
      <c r="K39" s="21" t="n"/>
      <c r="L39" s="16">
        <f>IF(G39="","",IFERROR(G39*H39,0))</f>
        <v/>
      </c>
      <c r="M39" s="21" t="n"/>
      <c r="N39" s="21" t="n"/>
    </row>
    <row r="40" ht="22" customHeight="1">
      <c r="B40" s="22">
        <f>IF(C40="","TR"&amp;TEXT(COUNTA($C$5:C40),"000"))</f>
        <v/>
      </c>
      <c r="C40" s="22" t="n"/>
      <c r="D40" s="22">
        <f>IF(C40="","",VLOOKUP(C40,'_Données Employés'!$B$5:$S$114,3,FALSE))</f>
        <v/>
      </c>
      <c r="E40" s="22">
        <f>IF(C40="","",VLOOKUP(C40,'_Données Employés'!$B$5:$S$114,10,FALSE))</f>
        <v/>
      </c>
      <c r="F40" s="22" t="n"/>
      <c r="G40" s="22" t="n"/>
      <c r="H40" s="18">
        <f>IF(F40="","",MIN(E40,F40))</f>
        <v/>
      </c>
      <c r="I40" s="22" t="n"/>
      <c r="J40" s="22" t="n"/>
      <c r="K40" s="22" t="n"/>
      <c r="L40" s="18">
        <f>IF(G40="","",IFERROR(G40*H40,0))</f>
        <v/>
      </c>
      <c r="M40" s="22" t="n"/>
      <c r="N40" s="22" t="n"/>
    </row>
    <row r="41" ht="22" customHeight="1">
      <c r="B41" s="21">
        <f>IF(C41="","TR"&amp;TEXT(COUNTA($C$5:C41),"000"))</f>
        <v/>
      </c>
      <c r="C41" s="21" t="n"/>
      <c r="D41" s="21">
        <f>IF(C41="","",VLOOKUP(C41,'_Données Employés'!$B$5:$S$114,3,FALSE))</f>
        <v/>
      </c>
      <c r="E41" s="21">
        <f>IF(C41="","",VLOOKUP(C41,'_Données Employés'!$B$5:$S$114,10,FALSE))</f>
        <v/>
      </c>
      <c r="F41" s="21" t="n"/>
      <c r="G41" s="21" t="n"/>
      <c r="H41" s="16">
        <f>IF(F41="","",MIN(E41,F41))</f>
        <v/>
      </c>
      <c r="I41" s="21" t="n"/>
      <c r="J41" s="21" t="n"/>
      <c r="K41" s="21" t="n"/>
      <c r="L41" s="16">
        <f>IF(G41="","",IFERROR(G41*H41,0))</f>
        <v/>
      </c>
      <c r="M41" s="21" t="n"/>
      <c r="N41" s="21" t="n"/>
    </row>
    <row r="42" ht="22" customHeight="1">
      <c r="B42" s="22">
        <f>IF(C42="","TR"&amp;TEXT(COUNTA($C$5:C42),"000"))</f>
        <v/>
      </c>
      <c r="C42" s="22" t="n"/>
      <c r="D42" s="22">
        <f>IF(C42="","",VLOOKUP(C42,'_Données Employés'!$B$5:$S$114,3,FALSE))</f>
        <v/>
      </c>
      <c r="E42" s="22">
        <f>IF(C42="","",VLOOKUP(C42,'_Données Employés'!$B$5:$S$114,10,FALSE))</f>
        <v/>
      </c>
      <c r="F42" s="22" t="n"/>
      <c r="G42" s="22" t="n"/>
      <c r="H42" s="18">
        <f>IF(F42="","",MIN(E42,F42))</f>
        <v/>
      </c>
      <c r="I42" s="22" t="n"/>
      <c r="J42" s="22" t="n"/>
      <c r="K42" s="22" t="n"/>
      <c r="L42" s="18">
        <f>IF(G42="","",IFERROR(G42*H42,0))</f>
        <v/>
      </c>
      <c r="M42" s="22" t="n"/>
      <c r="N42" s="22" t="n"/>
    </row>
    <row r="43" ht="22" customHeight="1">
      <c r="B43" s="21">
        <f>IF(C43="","TR"&amp;TEXT(COUNTA($C$5:C43),"000"))</f>
        <v/>
      </c>
      <c r="C43" s="21" t="n"/>
      <c r="D43" s="21">
        <f>IF(C43="","",VLOOKUP(C43,'_Données Employés'!$B$5:$S$114,3,FALSE))</f>
        <v/>
      </c>
      <c r="E43" s="21">
        <f>IF(C43="","",VLOOKUP(C43,'_Données Employés'!$B$5:$S$114,10,FALSE))</f>
        <v/>
      </c>
      <c r="F43" s="21" t="n"/>
      <c r="G43" s="21" t="n"/>
      <c r="H43" s="16">
        <f>IF(F43="","",MIN(E43,F43))</f>
        <v/>
      </c>
      <c r="I43" s="21" t="n"/>
      <c r="J43" s="21" t="n"/>
      <c r="K43" s="21" t="n"/>
      <c r="L43" s="16">
        <f>IF(G43="","",IFERROR(G43*H43,0))</f>
        <v/>
      </c>
      <c r="M43" s="21" t="n"/>
      <c r="N43" s="21" t="n"/>
    </row>
    <row r="44" ht="22" customHeight="1">
      <c r="B44" s="22">
        <f>IF(C44="","TR"&amp;TEXT(COUNTA($C$5:C44),"000"))</f>
        <v/>
      </c>
      <c r="C44" s="22" t="n"/>
      <c r="D44" s="22">
        <f>IF(C44="","",VLOOKUP(C44,'_Données Employés'!$B$5:$S$114,3,FALSE))</f>
        <v/>
      </c>
      <c r="E44" s="22">
        <f>IF(C44="","",VLOOKUP(C44,'_Données Employés'!$B$5:$S$114,10,FALSE))</f>
        <v/>
      </c>
      <c r="F44" s="22" t="n"/>
      <c r="G44" s="22" t="n"/>
      <c r="H44" s="18">
        <f>IF(F44="","",MIN(E44,F44))</f>
        <v/>
      </c>
      <c r="I44" s="22" t="n"/>
      <c r="J44" s="22" t="n"/>
      <c r="K44" s="22" t="n"/>
      <c r="L44" s="18">
        <f>IF(G44="","",IFERROR(G44*H44,0))</f>
        <v/>
      </c>
      <c r="M44" s="22" t="n"/>
      <c r="N44" s="22" t="n"/>
    </row>
    <row r="45" ht="22" customHeight="1">
      <c r="B45" s="21">
        <f>IF(C45="","TR"&amp;TEXT(COUNTA($C$5:C45),"000"))</f>
        <v/>
      </c>
      <c r="C45" s="21" t="n"/>
      <c r="D45" s="21">
        <f>IF(C45="","",VLOOKUP(C45,'_Données Employés'!$B$5:$S$114,3,FALSE))</f>
        <v/>
      </c>
      <c r="E45" s="21">
        <f>IF(C45="","",VLOOKUP(C45,'_Données Employés'!$B$5:$S$114,10,FALSE))</f>
        <v/>
      </c>
      <c r="F45" s="21" t="n"/>
      <c r="G45" s="21" t="n"/>
      <c r="H45" s="16">
        <f>IF(F45="","",MIN(E45,F45))</f>
        <v/>
      </c>
      <c r="I45" s="21" t="n"/>
      <c r="J45" s="21" t="n"/>
      <c r="K45" s="21" t="n"/>
      <c r="L45" s="16">
        <f>IF(G45="","",IFERROR(G45*H45,0))</f>
        <v/>
      </c>
      <c r="M45" s="21" t="n"/>
      <c r="N45" s="21" t="n"/>
    </row>
    <row r="46" ht="22" customHeight="1">
      <c r="B46" s="22">
        <f>IF(C46="","TR"&amp;TEXT(COUNTA($C$5:C46),"000"))</f>
        <v/>
      </c>
      <c r="C46" s="22" t="n"/>
      <c r="D46" s="22">
        <f>IF(C46="","",VLOOKUP(C46,'_Données Employés'!$B$5:$S$114,3,FALSE))</f>
        <v/>
      </c>
      <c r="E46" s="22">
        <f>IF(C46="","",VLOOKUP(C46,'_Données Employés'!$B$5:$S$114,10,FALSE))</f>
        <v/>
      </c>
      <c r="F46" s="22" t="n"/>
      <c r="G46" s="22" t="n"/>
      <c r="H46" s="18">
        <f>IF(F46="","",MIN(E46,F46))</f>
        <v/>
      </c>
      <c r="I46" s="22" t="n"/>
      <c r="J46" s="22" t="n"/>
      <c r="K46" s="22" t="n"/>
      <c r="L46" s="18">
        <f>IF(G46="","",IFERROR(G46*H46,0))</f>
        <v/>
      </c>
      <c r="M46" s="22" t="n"/>
      <c r="N46" s="22" t="n"/>
    </row>
    <row r="47" ht="22" customHeight="1">
      <c r="B47" s="21">
        <f>IF(C47="","TR"&amp;TEXT(COUNTA($C$5:C47),"000"))</f>
        <v/>
      </c>
      <c r="C47" s="21" t="n"/>
      <c r="D47" s="21">
        <f>IF(C47="","",VLOOKUP(C47,'_Données Employés'!$B$5:$S$114,3,FALSE))</f>
        <v/>
      </c>
      <c r="E47" s="21">
        <f>IF(C47="","",VLOOKUP(C47,'_Données Employés'!$B$5:$S$114,10,FALSE))</f>
        <v/>
      </c>
      <c r="F47" s="21" t="n"/>
      <c r="G47" s="21" t="n"/>
      <c r="H47" s="16">
        <f>IF(F47="","",MIN(E47,F47))</f>
        <v/>
      </c>
      <c r="I47" s="21" t="n"/>
      <c r="J47" s="21" t="n"/>
      <c r="K47" s="21" t="n"/>
      <c r="L47" s="16">
        <f>IF(G47="","",IFERROR(G47*H47,0))</f>
        <v/>
      </c>
      <c r="M47" s="21" t="n"/>
      <c r="N47" s="21" t="n"/>
    </row>
    <row r="48" ht="22" customHeight="1">
      <c r="B48" s="22">
        <f>IF(C48="","TR"&amp;TEXT(COUNTA($C$5:C48),"000"))</f>
        <v/>
      </c>
      <c r="C48" s="22" t="n"/>
      <c r="D48" s="22">
        <f>IF(C48="","",VLOOKUP(C48,'_Données Employés'!$B$5:$S$114,3,FALSE))</f>
        <v/>
      </c>
      <c r="E48" s="22">
        <f>IF(C48="","",VLOOKUP(C48,'_Données Employés'!$B$5:$S$114,10,FALSE))</f>
        <v/>
      </c>
      <c r="F48" s="22" t="n"/>
      <c r="G48" s="22" t="n"/>
      <c r="H48" s="18">
        <f>IF(F48="","",MIN(E48,F48))</f>
        <v/>
      </c>
      <c r="I48" s="22" t="n"/>
      <c r="J48" s="22" t="n"/>
      <c r="K48" s="22" t="n"/>
      <c r="L48" s="18">
        <f>IF(G48="","",IFERROR(G48*H48,0))</f>
        <v/>
      </c>
      <c r="M48" s="22" t="n"/>
      <c r="N48" s="22" t="n"/>
    </row>
    <row r="49" ht="22" customHeight="1">
      <c r="B49" s="21">
        <f>IF(C49="","TR"&amp;TEXT(COUNTA($C$5:C49),"000"))</f>
        <v/>
      </c>
      <c r="C49" s="21" t="n"/>
      <c r="D49" s="21">
        <f>IF(C49="","",VLOOKUP(C49,'_Données Employés'!$B$5:$S$114,3,FALSE))</f>
        <v/>
      </c>
      <c r="E49" s="21">
        <f>IF(C49="","",VLOOKUP(C49,'_Données Employés'!$B$5:$S$114,10,FALSE))</f>
        <v/>
      </c>
      <c r="F49" s="21" t="n"/>
      <c r="G49" s="21" t="n"/>
      <c r="H49" s="16">
        <f>IF(F49="","",MIN(E49,F49))</f>
        <v/>
      </c>
      <c r="I49" s="21" t="n"/>
      <c r="J49" s="21" t="n"/>
      <c r="K49" s="21" t="n"/>
      <c r="L49" s="16">
        <f>IF(G49="","",IFERROR(G49*H49,0))</f>
        <v/>
      </c>
      <c r="M49" s="21" t="n"/>
      <c r="N49" s="21" t="n"/>
    </row>
    <row r="50" ht="22" customHeight="1">
      <c r="B50" s="22">
        <f>IF(C50="","TR"&amp;TEXT(COUNTA($C$5:C50),"000"))</f>
        <v/>
      </c>
      <c r="C50" s="22" t="n"/>
      <c r="D50" s="22">
        <f>IF(C50="","",VLOOKUP(C50,'_Données Employés'!$B$5:$S$114,3,FALSE))</f>
        <v/>
      </c>
      <c r="E50" s="22">
        <f>IF(C50="","",VLOOKUP(C50,'_Données Employés'!$B$5:$S$114,10,FALSE))</f>
        <v/>
      </c>
      <c r="F50" s="22" t="n"/>
      <c r="G50" s="22" t="n"/>
      <c r="H50" s="18">
        <f>IF(F50="","",MIN(E50,F50))</f>
        <v/>
      </c>
      <c r="I50" s="22" t="n"/>
      <c r="J50" s="22" t="n"/>
      <c r="K50" s="22" t="n"/>
      <c r="L50" s="18">
        <f>IF(G50="","",IFERROR(G50*H50,0))</f>
        <v/>
      </c>
      <c r="M50" s="22" t="n"/>
      <c r="N50" s="22" t="n"/>
    </row>
    <row r="51" ht="22" customHeight="1">
      <c r="B51" s="21">
        <f>IF(C51="","TR"&amp;TEXT(COUNTA($C$5:C51),"000"))</f>
        <v/>
      </c>
      <c r="C51" s="21" t="n"/>
      <c r="D51" s="21">
        <f>IF(C51="","",VLOOKUP(C51,'_Données Employés'!$B$5:$S$114,3,FALSE))</f>
        <v/>
      </c>
      <c r="E51" s="21">
        <f>IF(C51="","",VLOOKUP(C51,'_Données Employés'!$B$5:$S$114,10,FALSE))</f>
        <v/>
      </c>
      <c r="F51" s="21" t="n"/>
      <c r="G51" s="21" t="n"/>
      <c r="H51" s="16">
        <f>IF(F51="","",MIN(E51,F51))</f>
        <v/>
      </c>
      <c r="I51" s="21" t="n"/>
      <c r="J51" s="21" t="n"/>
      <c r="K51" s="21" t="n"/>
      <c r="L51" s="16">
        <f>IF(G51="","",IFERROR(G51*H51,0))</f>
        <v/>
      </c>
      <c r="M51" s="21" t="n"/>
      <c r="N51" s="21" t="n"/>
    </row>
    <row r="52" ht="22" customHeight="1">
      <c r="B52" s="22">
        <f>IF(C52="","TR"&amp;TEXT(COUNTA($C$5:C52),"000"))</f>
        <v/>
      </c>
      <c r="C52" s="22" t="n"/>
      <c r="D52" s="22">
        <f>IF(C52="","",VLOOKUP(C52,'_Données Employés'!$B$5:$S$114,3,FALSE))</f>
        <v/>
      </c>
      <c r="E52" s="22">
        <f>IF(C52="","",VLOOKUP(C52,'_Données Employés'!$B$5:$S$114,10,FALSE))</f>
        <v/>
      </c>
      <c r="F52" s="22" t="n"/>
      <c r="G52" s="22" t="n"/>
      <c r="H52" s="18">
        <f>IF(F52="","",MIN(E52,F52))</f>
        <v/>
      </c>
      <c r="I52" s="22" t="n"/>
      <c r="J52" s="22" t="n"/>
      <c r="K52" s="22" t="n"/>
      <c r="L52" s="18">
        <f>IF(G52="","",IFERROR(G52*H52,0))</f>
        <v/>
      </c>
      <c r="M52" s="22" t="n"/>
      <c r="N52" s="22" t="n"/>
    </row>
    <row r="53" ht="22" customHeight="1">
      <c r="B53" s="21">
        <f>IF(C53="","TR"&amp;TEXT(COUNTA($C$5:C53),"000"))</f>
        <v/>
      </c>
      <c r="C53" s="21" t="n"/>
      <c r="D53" s="21">
        <f>IF(C53="","",VLOOKUP(C53,'_Données Employés'!$B$5:$S$114,3,FALSE))</f>
        <v/>
      </c>
      <c r="E53" s="21">
        <f>IF(C53="","",VLOOKUP(C53,'_Données Employés'!$B$5:$S$114,10,FALSE))</f>
        <v/>
      </c>
      <c r="F53" s="21" t="n"/>
      <c r="G53" s="21" t="n"/>
      <c r="H53" s="16">
        <f>IF(F53="","",MIN(E53,F53))</f>
        <v/>
      </c>
      <c r="I53" s="21" t="n"/>
      <c r="J53" s="21" t="n"/>
      <c r="K53" s="21" t="n"/>
      <c r="L53" s="16">
        <f>IF(G53="","",IFERROR(G53*H53,0))</f>
        <v/>
      </c>
      <c r="M53" s="21" t="n"/>
      <c r="N53" s="21" t="n"/>
    </row>
    <row r="54" ht="22" customHeight="1">
      <c r="B54" s="22">
        <f>IF(C54="","TR"&amp;TEXT(COUNTA($C$5:C54),"000"))</f>
        <v/>
      </c>
      <c r="C54" s="22" t="n"/>
      <c r="D54" s="22">
        <f>IF(C54="","",VLOOKUP(C54,'_Données Employés'!$B$5:$S$114,3,FALSE))</f>
        <v/>
      </c>
      <c r="E54" s="22">
        <f>IF(C54="","",VLOOKUP(C54,'_Données Employés'!$B$5:$S$114,10,FALSE))</f>
        <v/>
      </c>
      <c r="F54" s="22" t="n"/>
      <c r="G54" s="22" t="n"/>
      <c r="H54" s="18">
        <f>IF(F54="","",MIN(E54,F54))</f>
        <v/>
      </c>
      <c r="I54" s="22" t="n"/>
      <c r="J54" s="22" t="n"/>
      <c r="K54" s="22" t="n"/>
      <c r="L54" s="18">
        <f>IF(G54="","",IFERROR(G54*H54,0))</f>
        <v/>
      </c>
      <c r="M54" s="22" t="n"/>
      <c r="N54" s="22" t="n"/>
    </row>
    <row r="55" ht="22" customHeight="1">
      <c r="B55" s="21">
        <f>IF(C55="","TR"&amp;TEXT(COUNTA($C$5:C55),"000"))</f>
        <v/>
      </c>
      <c r="C55" s="21" t="n"/>
      <c r="D55" s="21">
        <f>IF(C55="","",VLOOKUP(C55,'_Données Employés'!$B$5:$S$114,3,FALSE))</f>
        <v/>
      </c>
      <c r="E55" s="21">
        <f>IF(C55="","",VLOOKUP(C55,'_Données Employés'!$B$5:$S$114,10,FALSE))</f>
        <v/>
      </c>
      <c r="F55" s="21" t="n"/>
      <c r="G55" s="21" t="n"/>
      <c r="H55" s="16">
        <f>IF(F55="","",MIN(E55,F55))</f>
        <v/>
      </c>
      <c r="I55" s="21" t="n"/>
      <c r="J55" s="21" t="n"/>
      <c r="K55" s="21" t="n"/>
      <c r="L55" s="16">
        <f>IF(G55="","",IFERROR(G55*H55,0))</f>
        <v/>
      </c>
      <c r="M55" s="21" t="n"/>
      <c r="N55" s="21" t="n"/>
    </row>
    <row r="56" ht="22" customHeight="1">
      <c r="B56" s="22">
        <f>IF(C56="","TR"&amp;TEXT(COUNTA($C$5:C56),"000"))</f>
        <v/>
      </c>
      <c r="C56" s="22" t="n"/>
      <c r="D56" s="22">
        <f>IF(C56="","",VLOOKUP(C56,'_Données Employés'!$B$5:$S$114,3,FALSE))</f>
        <v/>
      </c>
      <c r="E56" s="22">
        <f>IF(C56="","",VLOOKUP(C56,'_Données Employés'!$B$5:$S$114,10,FALSE))</f>
        <v/>
      </c>
      <c r="F56" s="22" t="n"/>
      <c r="G56" s="22" t="n"/>
      <c r="H56" s="18">
        <f>IF(F56="","",MIN(E56,F56))</f>
        <v/>
      </c>
      <c r="I56" s="22" t="n"/>
      <c r="J56" s="22" t="n"/>
      <c r="K56" s="22" t="n"/>
      <c r="L56" s="18">
        <f>IF(G56="","",IFERROR(G56*H56,0))</f>
        <v/>
      </c>
      <c r="M56" s="22" t="n"/>
      <c r="N56" s="22" t="n"/>
    </row>
    <row r="57" ht="22" customHeight="1">
      <c r="B57" s="21">
        <f>IF(C57="","TR"&amp;TEXT(COUNTA($C$5:C57),"000"))</f>
        <v/>
      </c>
      <c r="C57" s="21" t="n"/>
      <c r="D57" s="21">
        <f>IF(C57="","",VLOOKUP(C57,'_Données Employés'!$B$5:$S$114,3,FALSE))</f>
        <v/>
      </c>
      <c r="E57" s="21">
        <f>IF(C57="","",VLOOKUP(C57,'_Données Employés'!$B$5:$S$114,10,FALSE))</f>
        <v/>
      </c>
      <c r="F57" s="21" t="n"/>
      <c r="G57" s="21" t="n"/>
      <c r="H57" s="16">
        <f>IF(F57="","",MIN(E57,F57))</f>
        <v/>
      </c>
      <c r="I57" s="21" t="n"/>
      <c r="J57" s="21" t="n"/>
      <c r="K57" s="21" t="n"/>
      <c r="L57" s="16">
        <f>IF(G57="","",IFERROR(G57*H57,0))</f>
        <v/>
      </c>
      <c r="M57" s="21" t="n"/>
      <c r="N57" s="21" t="n"/>
    </row>
    <row r="58" ht="22" customHeight="1">
      <c r="B58" s="22">
        <f>IF(C58="","TR"&amp;TEXT(COUNTA($C$5:C58),"000"))</f>
        <v/>
      </c>
      <c r="C58" s="22" t="n"/>
      <c r="D58" s="22">
        <f>IF(C58="","",VLOOKUP(C58,'_Données Employés'!$B$5:$S$114,3,FALSE))</f>
        <v/>
      </c>
      <c r="E58" s="22">
        <f>IF(C58="","",VLOOKUP(C58,'_Données Employés'!$B$5:$S$114,10,FALSE))</f>
        <v/>
      </c>
      <c r="F58" s="22" t="n"/>
      <c r="G58" s="22" t="n"/>
      <c r="H58" s="18">
        <f>IF(F58="","",MIN(E58,F58))</f>
        <v/>
      </c>
      <c r="I58" s="22" t="n"/>
      <c r="J58" s="22" t="n"/>
      <c r="K58" s="22" t="n"/>
      <c r="L58" s="18">
        <f>IF(G58="","",IFERROR(G58*H58,0))</f>
        <v/>
      </c>
      <c r="M58" s="22" t="n"/>
      <c r="N58" s="22" t="n"/>
    </row>
    <row r="59" ht="22" customHeight="1">
      <c r="B59" s="21">
        <f>IF(C59="","TR"&amp;TEXT(COUNTA($C$5:C59),"000"))</f>
        <v/>
      </c>
      <c r="C59" s="21" t="n"/>
      <c r="D59" s="21">
        <f>IF(C59="","",VLOOKUP(C59,'_Données Employés'!$B$5:$S$114,3,FALSE))</f>
        <v/>
      </c>
      <c r="E59" s="21">
        <f>IF(C59="","",VLOOKUP(C59,'_Données Employés'!$B$5:$S$114,10,FALSE))</f>
        <v/>
      </c>
      <c r="F59" s="21" t="n"/>
      <c r="G59" s="21" t="n"/>
      <c r="H59" s="16">
        <f>IF(F59="","",MIN(E59,F59))</f>
        <v/>
      </c>
      <c r="I59" s="21" t="n"/>
      <c r="J59" s="21" t="n"/>
      <c r="K59" s="21" t="n"/>
      <c r="L59" s="16">
        <f>IF(G59="","",IFERROR(G59*H59,0))</f>
        <v/>
      </c>
      <c r="M59" s="21" t="n"/>
      <c r="N59" s="21" t="n"/>
    </row>
    <row r="60" ht="22" customHeight="1">
      <c r="B60" s="22">
        <f>IF(C60="","TR"&amp;TEXT(COUNTA($C$5:C60),"000"))</f>
        <v/>
      </c>
      <c r="C60" s="22" t="n"/>
      <c r="D60" s="22">
        <f>IF(C60="","",VLOOKUP(C60,'_Données Employés'!$B$5:$S$114,3,FALSE))</f>
        <v/>
      </c>
      <c r="E60" s="22">
        <f>IF(C60="","",VLOOKUP(C60,'_Données Employés'!$B$5:$S$114,10,FALSE))</f>
        <v/>
      </c>
      <c r="F60" s="22" t="n"/>
      <c r="G60" s="22" t="n"/>
      <c r="H60" s="18">
        <f>IF(F60="","",MIN(E60,F60))</f>
        <v/>
      </c>
      <c r="I60" s="22" t="n"/>
      <c r="J60" s="22" t="n"/>
      <c r="K60" s="22" t="n"/>
      <c r="L60" s="18">
        <f>IF(G60="","",IFERROR(G60*H60,0))</f>
        <v/>
      </c>
      <c r="M60" s="22" t="n"/>
      <c r="N60" s="22" t="n"/>
    </row>
    <row r="61" ht="22" customHeight="1">
      <c r="B61" s="21">
        <f>IF(C61="","TR"&amp;TEXT(COUNTA($C$5:C61),"000"))</f>
        <v/>
      </c>
      <c r="C61" s="21" t="n"/>
      <c r="D61" s="21">
        <f>IF(C61="","",VLOOKUP(C61,'_Données Employés'!$B$5:$S$114,3,FALSE))</f>
        <v/>
      </c>
      <c r="E61" s="21">
        <f>IF(C61="","",VLOOKUP(C61,'_Données Employés'!$B$5:$S$114,10,FALSE))</f>
        <v/>
      </c>
      <c r="F61" s="21" t="n"/>
      <c r="G61" s="21" t="n"/>
      <c r="H61" s="16">
        <f>IF(F61="","",MIN(E61,F61))</f>
        <v/>
      </c>
      <c r="I61" s="21" t="n"/>
      <c r="J61" s="21" t="n"/>
      <c r="K61" s="21" t="n"/>
      <c r="L61" s="16">
        <f>IF(G61="","",IFERROR(G61*H61,0))</f>
        <v/>
      </c>
      <c r="M61" s="21" t="n"/>
      <c r="N61" s="21" t="n"/>
    </row>
    <row r="62" ht="22" customHeight="1">
      <c r="B62" s="22">
        <f>IF(C62="","TR"&amp;TEXT(COUNTA($C$5:C62),"000"))</f>
        <v/>
      </c>
      <c r="C62" s="22" t="n"/>
      <c r="D62" s="22">
        <f>IF(C62="","",VLOOKUP(C62,'_Données Employés'!$B$5:$S$114,3,FALSE))</f>
        <v/>
      </c>
      <c r="E62" s="22">
        <f>IF(C62="","",VLOOKUP(C62,'_Données Employés'!$B$5:$S$114,10,FALSE))</f>
        <v/>
      </c>
      <c r="F62" s="22" t="n"/>
      <c r="G62" s="22" t="n"/>
      <c r="H62" s="18">
        <f>IF(F62="","",MIN(E62,F62))</f>
        <v/>
      </c>
      <c r="I62" s="22" t="n"/>
      <c r="J62" s="22" t="n"/>
      <c r="K62" s="22" t="n"/>
      <c r="L62" s="18">
        <f>IF(G62="","",IFERROR(G62*H62,0))</f>
        <v/>
      </c>
      <c r="M62" s="22" t="n"/>
      <c r="N62" s="22" t="n"/>
    </row>
    <row r="63" ht="22" customHeight="1">
      <c r="B63" s="21">
        <f>IF(C63="","TR"&amp;TEXT(COUNTA($C$5:C63),"000"))</f>
        <v/>
      </c>
      <c r="C63" s="21" t="n"/>
      <c r="D63" s="21">
        <f>IF(C63="","",VLOOKUP(C63,'_Données Employés'!$B$5:$S$114,3,FALSE))</f>
        <v/>
      </c>
      <c r="E63" s="21">
        <f>IF(C63="","",VLOOKUP(C63,'_Données Employés'!$B$5:$S$114,10,FALSE))</f>
        <v/>
      </c>
      <c r="F63" s="21" t="n"/>
      <c r="G63" s="21" t="n"/>
      <c r="H63" s="16">
        <f>IF(F63="","",MIN(E63,F63))</f>
        <v/>
      </c>
      <c r="I63" s="21" t="n"/>
      <c r="J63" s="21" t="n"/>
      <c r="K63" s="21" t="n"/>
      <c r="L63" s="16">
        <f>IF(G63="","",IFERROR(G63*H63,0))</f>
        <v/>
      </c>
      <c r="M63" s="21" t="n"/>
      <c r="N63" s="21" t="n"/>
    </row>
    <row r="64" ht="22" customHeight="1">
      <c r="B64" s="22">
        <f>IF(C64="","TR"&amp;TEXT(COUNTA($C$5:C64),"000"))</f>
        <v/>
      </c>
      <c r="C64" s="22" t="n"/>
      <c r="D64" s="22">
        <f>IF(C64="","",VLOOKUP(C64,'_Données Employés'!$B$5:$S$114,3,FALSE))</f>
        <v/>
      </c>
      <c r="E64" s="22">
        <f>IF(C64="","",VLOOKUP(C64,'_Données Employés'!$B$5:$S$114,10,FALSE))</f>
        <v/>
      </c>
      <c r="F64" s="22" t="n"/>
      <c r="G64" s="22" t="n"/>
      <c r="H64" s="18">
        <f>IF(F64="","",MIN(E64,F64))</f>
        <v/>
      </c>
      <c r="I64" s="22" t="n"/>
      <c r="J64" s="22" t="n"/>
      <c r="K64" s="22" t="n"/>
      <c r="L64" s="18">
        <f>IF(G64="","",IFERROR(G64*H64,0))</f>
        <v/>
      </c>
      <c r="M64" s="22" t="n"/>
      <c r="N64" s="22" t="n"/>
    </row>
    <row r="65" ht="22" customHeight="1">
      <c r="B65" s="21">
        <f>IF(C65="","TR"&amp;TEXT(COUNTA($C$5:C65),"000"))</f>
        <v/>
      </c>
      <c r="C65" s="21" t="n"/>
      <c r="D65" s="21">
        <f>IF(C65="","",VLOOKUP(C65,'_Données Employés'!$B$5:$S$114,3,FALSE))</f>
        <v/>
      </c>
      <c r="E65" s="21">
        <f>IF(C65="","",VLOOKUP(C65,'_Données Employés'!$B$5:$S$114,10,FALSE))</f>
        <v/>
      </c>
      <c r="F65" s="21" t="n"/>
      <c r="G65" s="21" t="n"/>
      <c r="H65" s="16">
        <f>IF(F65="","",MIN(E65,F65))</f>
        <v/>
      </c>
      <c r="I65" s="21" t="n"/>
      <c r="J65" s="21" t="n"/>
      <c r="K65" s="21" t="n"/>
      <c r="L65" s="16">
        <f>IF(G65="","",IFERROR(G65*H65,0))</f>
        <v/>
      </c>
      <c r="M65" s="21" t="n"/>
      <c r="N65" s="21" t="n"/>
    </row>
    <row r="66" ht="22" customHeight="1">
      <c r="B66" s="22">
        <f>IF(C66="","TR"&amp;TEXT(COUNTA($C$5:C66),"000"))</f>
        <v/>
      </c>
      <c r="C66" s="22" t="n"/>
      <c r="D66" s="22">
        <f>IF(C66="","",VLOOKUP(C66,'_Données Employés'!$B$5:$S$114,3,FALSE))</f>
        <v/>
      </c>
      <c r="E66" s="22">
        <f>IF(C66="","",VLOOKUP(C66,'_Données Employés'!$B$5:$S$114,10,FALSE))</f>
        <v/>
      </c>
      <c r="F66" s="22" t="n"/>
      <c r="G66" s="22" t="n"/>
      <c r="H66" s="18">
        <f>IF(F66="","",MIN(E66,F66))</f>
        <v/>
      </c>
      <c r="I66" s="22" t="n"/>
      <c r="J66" s="22" t="n"/>
      <c r="K66" s="22" t="n"/>
      <c r="L66" s="18">
        <f>IF(G66="","",IFERROR(G66*H66,0))</f>
        <v/>
      </c>
      <c r="M66" s="22" t="n"/>
      <c r="N66" s="22" t="n"/>
    </row>
    <row r="67" ht="22" customHeight="1">
      <c r="B67" s="21">
        <f>IF(C67="","TR"&amp;TEXT(COUNTA($C$5:C67),"000"))</f>
        <v/>
      </c>
      <c r="C67" s="21" t="n"/>
      <c r="D67" s="21">
        <f>IF(C67="","",VLOOKUP(C67,'_Données Employés'!$B$5:$S$114,3,FALSE))</f>
        <v/>
      </c>
      <c r="E67" s="21">
        <f>IF(C67="","",VLOOKUP(C67,'_Données Employés'!$B$5:$S$114,10,FALSE))</f>
        <v/>
      </c>
      <c r="F67" s="21" t="n"/>
      <c r="G67" s="21" t="n"/>
      <c r="H67" s="16">
        <f>IF(F67="","",MIN(E67,F67))</f>
        <v/>
      </c>
      <c r="I67" s="21" t="n"/>
      <c r="J67" s="21" t="n"/>
      <c r="K67" s="21" t="n"/>
      <c r="L67" s="16">
        <f>IF(G67="","",IFERROR(G67*H67,0))</f>
        <v/>
      </c>
      <c r="M67" s="21" t="n"/>
      <c r="N67" s="21" t="n"/>
    </row>
    <row r="68" ht="22" customHeight="1">
      <c r="B68" s="22">
        <f>IF(C68="","TR"&amp;TEXT(COUNTA($C$5:C68),"000"))</f>
        <v/>
      </c>
      <c r="C68" s="22" t="n"/>
      <c r="D68" s="22">
        <f>IF(C68="","",VLOOKUP(C68,'_Données Employés'!$B$5:$S$114,3,FALSE))</f>
        <v/>
      </c>
      <c r="E68" s="22">
        <f>IF(C68="","",VLOOKUP(C68,'_Données Employés'!$B$5:$S$114,10,FALSE))</f>
        <v/>
      </c>
      <c r="F68" s="22" t="n"/>
      <c r="G68" s="22" t="n"/>
      <c r="H68" s="18">
        <f>IF(F68="","",MIN(E68,F68))</f>
        <v/>
      </c>
      <c r="I68" s="22" t="n"/>
      <c r="J68" s="22" t="n"/>
      <c r="K68" s="22" t="n"/>
      <c r="L68" s="18">
        <f>IF(G68="","",IFERROR(G68*H68,0))</f>
        <v/>
      </c>
      <c r="M68" s="22" t="n"/>
      <c r="N68" s="22" t="n"/>
    </row>
    <row r="69" ht="22" customHeight="1">
      <c r="B69" s="21">
        <f>IF(C69="","TR"&amp;TEXT(COUNTA($C$5:C69),"000"))</f>
        <v/>
      </c>
      <c r="C69" s="21" t="n"/>
      <c r="D69" s="21">
        <f>IF(C69="","",VLOOKUP(C69,'_Données Employés'!$B$5:$S$114,3,FALSE))</f>
        <v/>
      </c>
      <c r="E69" s="21">
        <f>IF(C69="","",VLOOKUP(C69,'_Données Employés'!$B$5:$S$114,10,FALSE))</f>
        <v/>
      </c>
      <c r="F69" s="21" t="n"/>
      <c r="G69" s="21" t="n"/>
      <c r="H69" s="16">
        <f>IF(F69="","",MIN(E69,F69))</f>
        <v/>
      </c>
      <c r="I69" s="21" t="n"/>
      <c r="J69" s="21" t="n"/>
      <c r="K69" s="21" t="n"/>
      <c r="L69" s="16">
        <f>IF(G69="","",IFERROR(G69*H69,0))</f>
        <v/>
      </c>
      <c r="M69" s="21" t="n"/>
      <c r="N69" s="21" t="n"/>
    </row>
    <row r="70" ht="22" customHeight="1">
      <c r="B70" s="22">
        <f>IF(C70="","TR"&amp;TEXT(COUNTA($C$5:C70),"000"))</f>
        <v/>
      </c>
      <c r="C70" s="22" t="n"/>
      <c r="D70" s="22">
        <f>IF(C70="","",VLOOKUP(C70,'_Données Employés'!$B$5:$S$114,3,FALSE))</f>
        <v/>
      </c>
      <c r="E70" s="22">
        <f>IF(C70="","",VLOOKUP(C70,'_Données Employés'!$B$5:$S$114,10,FALSE))</f>
        <v/>
      </c>
      <c r="F70" s="22" t="n"/>
      <c r="G70" s="22" t="n"/>
      <c r="H70" s="18">
        <f>IF(F70="","",MIN(E70,F70))</f>
        <v/>
      </c>
      <c r="I70" s="22" t="n"/>
      <c r="J70" s="22" t="n"/>
      <c r="K70" s="22" t="n"/>
      <c r="L70" s="18">
        <f>IF(G70="","",IFERROR(G70*H70,0))</f>
        <v/>
      </c>
      <c r="M70" s="22" t="n"/>
      <c r="N70" s="22" t="n"/>
    </row>
    <row r="71" ht="22" customHeight="1">
      <c r="B71" s="21">
        <f>IF(C71="","TR"&amp;TEXT(COUNTA($C$5:C71),"000"))</f>
        <v/>
      </c>
      <c r="C71" s="21" t="n"/>
      <c r="D71" s="21">
        <f>IF(C71="","",VLOOKUP(C71,'_Données Employés'!$B$5:$S$114,3,FALSE))</f>
        <v/>
      </c>
      <c r="E71" s="21">
        <f>IF(C71="","",VLOOKUP(C71,'_Données Employés'!$B$5:$S$114,10,FALSE))</f>
        <v/>
      </c>
      <c r="F71" s="21" t="n"/>
      <c r="G71" s="21" t="n"/>
      <c r="H71" s="16">
        <f>IF(F71="","",MIN(E71,F71))</f>
        <v/>
      </c>
      <c r="I71" s="21" t="n"/>
      <c r="J71" s="21" t="n"/>
      <c r="K71" s="21" t="n"/>
      <c r="L71" s="16">
        <f>IF(G71="","",IFERROR(G71*H71,0))</f>
        <v/>
      </c>
      <c r="M71" s="21" t="n"/>
      <c r="N71" s="21" t="n"/>
    </row>
    <row r="72" ht="22" customHeight="1">
      <c r="B72" s="22">
        <f>IF(C72="","TR"&amp;TEXT(COUNTA($C$5:C72),"000"))</f>
        <v/>
      </c>
      <c r="C72" s="22" t="n"/>
      <c r="D72" s="22">
        <f>IF(C72="","",VLOOKUP(C72,'_Données Employés'!$B$5:$S$114,3,FALSE))</f>
        <v/>
      </c>
      <c r="E72" s="22">
        <f>IF(C72="","",VLOOKUP(C72,'_Données Employés'!$B$5:$S$114,10,FALSE))</f>
        <v/>
      </c>
      <c r="F72" s="22" t="n"/>
      <c r="G72" s="22" t="n"/>
      <c r="H72" s="18">
        <f>IF(F72="","",MIN(E72,F72))</f>
        <v/>
      </c>
      <c r="I72" s="22" t="n"/>
      <c r="J72" s="22" t="n"/>
      <c r="K72" s="22" t="n"/>
      <c r="L72" s="18">
        <f>IF(G72="","",IFERROR(G72*H72,0))</f>
        <v/>
      </c>
      <c r="M72" s="22" t="n"/>
      <c r="N72" s="22" t="n"/>
    </row>
    <row r="73" ht="22" customHeight="1">
      <c r="B73" s="21">
        <f>IF(C73="","TR"&amp;TEXT(COUNTA($C$5:C73),"000"))</f>
        <v/>
      </c>
      <c r="C73" s="21" t="n"/>
      <c r="D73" s="21">
        <f>IF(C73="","",VLOOKUP(C73,'_Données Employés'!$B$5:$S$114,3,FALSE))</f>
        <v/>
      </c>
      <c r="E73" s="21">
        <f>IF(C73="","",VLOOKUP(C73,'_Données Employés'!$B$5:$S$114,10,FALSE))</f>
        <v/>
      </c>
      <c r="F73" s="21" t="n"/>
      <c r="G73" s="21" t="n"/>
      <c r="H73" s="16">
        <f>IF(F73="","",MIN(E73,F73))</f>
        <v/>
      </c>
      <c r="I73" s="21" t="n"/>
      <c r="J73" s="21" t="n"/>
      <c r="K73" s="21" t="n"/>
      <c r="L73" s="16">
        <f>IF(G73="","",IFERROR(G73*H73,0))</f>
        <v/>
      </c>
      <c r="M73" s="21" t="n"/>
      <c r="N73" s="21" t="n"/>
    </row>
    <row r="74" ht="22" customHeight="1">
      <c r="B74" s="22">
        <f>IF(C74="","TR"&amp;TEXT(COUNTA($C$5:C74),"000"))</f>
        <v/>
      </c>
      <c r="C74" s="22" t="n"/>
      <c r="D74" s="22">
        <f>IF(C74="","",VLOOKUP(C74,'_Données Employés'!$B$5:$S$114,3,FALSE))</f>
        <v/>
      </c>
      <c r="E74" s="22">
        <f>IF(C74="","",VLOOKUP(C74,'_Données Employés'!$B$5:$S$114,10,FALSE))</f>
        <v/>
      </c>
      <c r="F74" s="22" t="n"/>
      <c r="G74" s="22" t="n"/>
      <c r="H74" s="18">
        <f>IF(F74="","",MIN(E74,F74))</f>
        <v/>
      </c>
      <c r="I74" s="22" t="n"/>
      <c r="J74" s="22" t="n"/>
      <c r="K74" s="22" t="n"/>
      <c r="L74" s="18">
        <f>IF(G74="","",IFERROR(G74*H74,0))</f>
        <v/>
      </c>
      <c r="M74" s="22" t="n"/>
      <c r="N74" s="22" t="n"/>
    </row>
    <row r="75" ht="22" customHeight="1">
      <c r="B75" s="21">
        <f>IF(C75="","TR"&amp;TEXT(COUNTA($C$5:C75),"000"))</f>
        <v/>
      </c>
      <c r="C75" s="21" t="n"/>
      <c r="D75" s="21">
        <f>IF(C75="","",VLOOKUP(C75,'_Données Employés'!$B$5:$S$114,3,FALSE))</f>
        <v/>
      </c>
      <c r="E75" s="21">
        <f>IF(C75="","",VLOOKUP(C75,'_Données Employés'!$B$5:$S$114,10,FALSE))</f>
        <v/>
      </c>
      <c r="F75" s="21" t="n"/>
      <c r="G75" s="21" t="n"/>
      <c r="H75" s="16">
        <f>IF(F75="","",MIN(E75,F75))</f>
        <v/>
      </c>
      <c r="I75" s="21" t="n"/>
      <c r="J75" s="21" t="n"/>
      <c r="K75" s="21" t="n"/>
      <c r="L75" s="16">
        <f>IF(G75="","",IFERROR(G75*H75,0))</f>
        <v/>
      </c>
      <c r="M75" s="21" t="n"/>
      <c r="N75" s="21" t="n"/>
    </row>
    <row r="76" ht="22" customHeight="1">
      <c r="B76" s="22">
        <f>IF(C76="","TR"&amp;TEXT(COUNTA($C$5:C76),"000"))</f>
        <v/>
      </c>
      <c r="C76" s="22" t="n"/>
      <c r="D76" s="22">
        <f>IF(C76="","",VLOOKUP(C76,'_Données Employés'!$B$5:$S$114,3,FALSE))</f>
        <v/>
      </c>
      <c r="E76" s="22">
        <f>IF(C76="","",VLOOKUP(C76,'_Données Employés'!$B$5:$S$114,10,FALSE))</f>
        <v/>
      </c>
      <c r="F76" s="22" t="n"/>
      <c r="G76" s="22" t="n"/>
      <c r="H76" s="18">
        <f>IF(F76="","",MIN(E76,F76))</f>
        <v/>
      </c>
      <c r="I76" s="22" t="n"/>
      <c r="J76" s="22" t="n"/>
      <c r="K76" s="22" t="n"/>
      <c r="L76" s="18">
        <f>IF(G76="","",IFERROR(G76*H76,0))</f>
        <v/>
      </c>
      <c r="M76" s="22" t="n"/>
      <c r="N76" s="22" t="n"/>
    </row>
    <row r="77" ht="22" customHeight="1">
      <c r="B77" s="21">
        <f>IF(C77="","TR"&amp;TEXT(COUNTA($C$5:C77),"000"))</f>
        <v/>
      </c>
      <c r="C77" s="21" t="n"/>
      <c r="D77" s="21">
        <f>IF(C77="","",VLOOKUP(C77,'_Données Employés'!$B$5:$S$114,3,FALSE))</f>
        <v/>
      </c>
      <c r="E77" s="21">
        <f>IF(C77="","",VLOOKUP(C77,'_Données Employés'!$B$5:$S$114,10,FALSE))</f>
        <v/>
      </c>
      <c r="F77" s="21" t="n"/>
      <c r="G77" s="21" t="n"/>
      <c r="H77" s="16">
        <f>IF(F77="","",MIN(E77,F77))</f>
        <v/>
      </c>
      <c r="I77" s="21" t="n"/>
      <c r="J77" s="21" t="n"/>
      <c r="K77" s="21" t="n"/>
      <c r="L77" s="16">
        <f>IF(G77="","",IFERROR(G77*H77,0))</f>
        <v/>
      </c>
      <c r="M77" s="21" t="n"/>
      <c r="N77" s="21" t="n"/>
    </row>
    <row r="78" ht="22" customHeight="1">
      <c r="B78" s="22">
        <f>IF(C78="","TR"&amp;TEXT(COUNTA($C$5:C78),"000"))</f>
        <v/>
      </c>
      <c r="C78" s="22" t="n"/>
      <c r="D78" s="22">
        <f>IF(C78="","",VLOOKUP(C78,'_Données Employés'!$B$5:$S$114,3,FALSE))</f>
        <v/>
      </c>
      <c r="E78" s="22">
        <f>IF(C78="","",VLOOKUP(C78,'_Données Employés'!$B$5:$S$114,10,FALSE))</f>
        <v/>
      </c>
      <c r="F78" s="22" t="n"/>
      <c r="G78" s="22" t="n"/>
      <c r="H78" s="18">
        <f>IF(F78="","",MIN(E78,F78))</f>
        <v/>
      </c>
      <c r="I78" s="22" t="n"/>
      <c r="J78" s="22" t="n"/>
      <c r="K78" s="22" t="n"/>
      <c r="L78" s="18">
        <f>IF(G78="","",IFERROR(G78*H78,0))</f>
        <v/>
      </c>
      <c r="M78" s="22" t="n"/>
      <c r="N78" s="22" t="n"/>
    </row>
    <row r="79" ht="22" customHeight="1">
      <c r="B79" s="21">
        <f>IF(C79="","TR"&amp;TEXT(COUNTA($C$5:C79),"000"))</f>
        <v/>
      </c>
      <c r="C79" s="21" t="n"/>
      <c r="D79" s="21">
        <f>IF(C79="","",VLOOKUP(C79,'_Données Employés'!$B$5:$S$114,3,FALSE))</f>
        <v/>
      </c>
      <c r="E79" s="21">
        <f>IF(C79="","",VLOOKUP(C79,'_Données Employés'!$B$5:$S$114,10,FALSE))</f>
        <v/>
      </c>
      <c r="F79" s="21" t="n"/>
      <c r="G79" s="21" t="n"/>
      <c r="H79" s="16">
        <f>IF(F79="","",MIN(E79,F79))</f>
        <v/>
      </c>
      <c r="I79" s="21" t="n"/>
      <c r="J79" s="21" t="n"/>
      <c r="K79" s="21" t="n"/>
      <c r="L79" s="16">
        <f>IF(G79="","",IFERROR(G79*H79,0))</f>
        <v/>
      </c>
      <c r="M79" s="21" t="n"/>
      <c r="N79" s="21" t="n"/>
    </row>
    <row r="80" ht="22" customHeight="1">
      <c r="B80" s="22">
        <f>IF(C80="","TR"&amp;TEXT(COUNTA($C$5:C80),"000"))</f>
        <v/>
      </c>
      <c r="C80" s="22" t="n"/>
      <c r="D80" s="22">
        <f>IF(C80="","",VLOOKUP(C80,'_Données Employés'!$B$5:$S$114,3,FALSE))</f>
        <v/>
      </c>
      <c r="E80" s="22">
        <f>IF(C80="","",VLOOKUP(C80,'_Données Employés'!$B$5:$S$114,10,FALSE))</f>
        <v/>
      </c>
      <c r="F80" s="22" t="n"/>
      <c r="G80" s="22" t="n"/>
      <c r="H80" s="18">
        <f>IF(F80="","",MIN(E80,F80))</f>
        <v/>
      </c>
      <c r="I80" s="22" t="n"/>
      <c r="J80" s="22" t="n"/>
      <c r="K80" s="22" t="n"/>
      <c r="L80" s="18">
        <f>IF(G80="","",IFERROR(G80*H80,0))</f>
        <v/>
      </c>
      <c r="M80" s="22" t="n"/>
      <c r="N80" s="22" t="n"/>
    </row>
    <row r="81" ht="22" customHeight="1">
      <c r="B81" s="21">
        <f>IF(C81="","TR"&amp;TEXT(COUNTA($C$5:C81),"000"))</f>
        <v/>
      </c>
      <c r="C81" s="21" t="n"/>
      <c r="D81" s="21">
        <f>IF(C81="","",VLOOKUP(C81,'_Données Employés'!$B$5:$S$114,3,FALSE))</f>
        <v/>
      </c>
      <c r="E81" s="21">
        <f>IF(C81="","",VLOOKUP(C81,'_Données Employés'!$B$5:$S$114,10,FALSE))</f>
        <v/>
      </c>
      <c r="F81" s="21" t="n"/>
      <c r="G81" s="21" t="n"/>
      <c r="H81" s="16">
        <f>IF(F81="","",MIN(E81,F81))</f>
        <v/>
      </c>
      <c r="I81" s="21" t="n"/>
      <c r="J81" s="21" t="n"/>
      <c r="K81" s="21" t="n"/>
      <c r="L81" s="16">
        <f>IF(G81="","",IFERROR(G81*H81,0))</f>
        <v/>
      </c>
      <c r="M81" s="21" t="n"/>
      <c r="N81" s="21" t="n"/>
    </row>
    <row r="82" ht="22" customHeight="1">
      <c r="B82" s="22">
        <f>IF(C82="","TR"&amp;TEXT(COUNTA($C$5:C82),"000"))</f>
        <v/>
      </c>
      <c r="C82" s="22" t="n"/>
      <c r="D82" s="22">
        <f>IF(C82="","",VLOOKUP(C82,'_Données Employés'!$B$5:$S$114,3,FALSE))</f>
        <v/>
      </c>
      <c r="E82" s="22">
        <f>IF(C82="","",VLOOKUP(C82,'_Données Employés'!$B$5:$S$114,10,FALSE))</f>
        <v/>
      </c>
      <c r="F82" s="22" t="n"/>
      <c r="G82" s="22" t="n"/>
      <c r="H82" s="18">
        <f>IF(F82="","",MIN(E82,F82))</f>
        <v/>
      </c>
      <c r="I82" s="22" t="n"/>
      <c r="J82" s="22" t="n"/>
      <c r="K82" s="22" t="n"/>
      <c r="L82" s="18">
        <f>IF(G82="","",IFERROR(G82*H82,0))</f>
        <v/>
      </c>
      <c r="M82" s="22" t="n"/>
      <c r="N82" s="22" t="n"/>
    </row>
    <row r="83" ht="22" customHeight="1">
      <c r="B83" s="21">
        <f>IF(C83="","TR"&amp;TEXT(COUNTA($C$5:C83),"000"))</f>
        <v/>
      </c>
      <c r="C83" s="21" t="n"/>
      <c r="D83" s="21">
        <f>IF(C83="","",VLOOKUP(C83,'_Données Employés'!$B$5:$S$114,3,FALSE))</f>
        <v/>
      </c>
      <c r="E83" s="21">
        <f>IF(C83="","",VLOOKUP(C83,'_Données Employés'!$B$5:$S$114,10,FALSE))</f>
        <v/>
      </c>
      <c r="F83" s="21" t="n"/>
      <c r="G83" s="21" t="n"/>
      <c r="H83" s="16">
        <f>IF(F83="","",MIN(E83,F83))</f>
        <v/>
      </c>
      <c r="I83" s="21" t="n"/>
      <c r="J83" s="21" t="n"/>
      <c r="K83" s="21" t="n"/>
      <c r="L83" s="16">
        <f>IF(G83="","",IFERROR(G83*H83,0))</f>
        <v/>
      </c>
      <c r="M83" s="21" t="n"/>
      <c r="N83" s="21" t="n"/>
    </row>
    <row r="84" ht="22" customHeight="1">
      <c r="B84" s="22">
        <f>IF(C84="","TR"&amp;TEXT(COUNTA($C$5:C84),"000"))</f>
        <v/>
      </c>
      <c r="C84" s="22" t="n"/>
      <c r="D84" s="22">
        <f>IF(C84="","",VLOOKUP(C84,'_Données Employés'!$B$5:$S$114,3,FALSE))</f>
        <v/>
      </c>
      <c r="E84" s="22">
        <f>IF(C84="","",VLOOKUP(C84,'_Données Employés'!$B$5:$S$114,10,FALSE))</f>
        <v/>
      </c>
      <c r="F84" s="22" t="n"/>
      <c r="G84" s="22" t="n"/>
      <c r="H84" s="18">
        <f>IF(F84="","",MIN(E84,F84))</f>
        <v/>
      </c>
      <c r="I84" s="22" t="n"/>
      <c r="J84" s="22" t="n"/>
      <c r="K84" s="22" t="n"/>
      <c r="L84" s="18">
        <f>IF(G84="","",IFERROR(G84*H84,0))</f>
        <v/>
      </c>
      <c r="M84" s="22" t="n"/>
      <c r="N84" s="22" t="n"/>
    </row>
    <row r="85" ht="22" customHeight="1">
      <c r="B85" s="21">
        <f>IF(C85="","TR"&amp;TEXT(COUNTA($C$5:C85),"000"))</f>
        <v/>
      </c>
      <c r="C85" s="21" t="n"/>
      <c r="D85" s="21">
        <f>IF(C85="","",VLOOKUP(C85,'_Données Employés'!$B$5:$S$114,3,FALSE))</f>
        <v/>
      </c>
      <c r="E85" s="21">
        <f>IF(C85="","",VLOOKUP(C85,'_Données Employés'!$B$5:$S$114,10,FALSE))</f>
        <v/>
      </c>
      <c r="F85" s="21" t="n"/>
      <c r="G85" s="21" t="n"/>
      <c r="H85" s="16">
        <f>IF(F85="","",MIN(E85,F85))</f>
        <v/>
      </c>
      <c r="I85" s="21" t="n"/>
      <c r="J85" s="21" t="n"/>
      <c r="K85" s="21" t="n"/>
      <c r="L85" s="16">
        <f>IF(G85="","",IFERROR(G85*H85,0))</f>
        <v/>
      </c>
      <c r="M85" s="21" t="n"/>
      <c r="N85" s="21" t="n"/>
    </row>
    <row r="86" ht="22" customHeight="1">
      <c r="B86" s="22">
        <f>IF(C86="","TR"&amp;TEXT(COUNTA($C$5:C86),"000"))</f>
        <v/>
      </c>
      <c r="C86" s="22" t="n"/>
      <c r="D86" s="22">
        <f>IF(C86="","",VLOOKUP(C86,'_Données Employés'!$B$5:$S$114,3,FALSE))</f>
        <v/>
      </c>
      <c r="E86" s="22">
        <f>IF(C86="","",VLOOKUP(C86,'_Données Employés'!$B$5:$S$114,10,FALSE))</f>
        <v/>
      </c>
      <c r="F86" s="22" t="n"/>
      <c r="G86" s="22" t="n"/>
      <c r="H86" s="18">
        <f>IF(F86="","",MIN(E86,F86))</f>
        <v/>
      </c>
      <c r="I86" s="22" t="n"/>
      <c r="J86" s="22" t="n"/>
      <c r="K86" s="22" t="n"/>
      <c r="L86" s="18">
        <f>IF(G86="","",IFERROR(G86*H86,0))</f>
        <v/>
      </c>
      <c r="M86" s="22" t="n"/>
      <c r="N86" s="22" t="n"/>
    </row>
    <row r="87" ht="22" customHeight="1">
      <c r="B87" s="21">
        <f>IF(C87="","TR"&amp;TEXT(COUNTA($C$5:C87),"000"))</f>
        <v/>
      </c>
      <c r="C87" s="21" t="n"/>
      <c r="D87" s="21">
        <f>IF(C87="","",VLOOKUP(C87,'_Données Employés'!$B$5:$S$114,3,FALSE))</f>
        <v/>
      </c>
      <c r="E87" s="21">
        <f>IF(C87="","",VLOOKUP(C87,'_Données Employés'!$B$5:$S$114,10,FALSE))</f>
        <v/>
      </c>
      <c r="F87" s="21" t="n"/>
      <c r="G87" s="21" t="n"/>
      <c r="H87" s="16">
        <f>IF(F87="","",MIN(E87,F87))</f>
        <v/>
      </c>
      <c r="I87" s="21" t="n"/>
      <c r="J87" s="21" t="n"/>
      <c r="K87" s="21" t="n"/>
      <c r="L87" s="16">
        <f>IF(G87="","",IFERROR(G87*H87,0))</f>
        <v/>
      </c>
      <c r="M87" s="21" t="n"/>
      <c r="N87" s="21" t="n"/>
    </row>
    <row r="88" ht="22" customHeight="1">
      <c r="B88" s="22">
        <f>IF(C88="","TR"&amp;TEXT(COUNTA($C$5:C88),"000"))</f>
        <v/>
      </c>
      <c r="C88" s="22" t="n"/>
      <c r="D88" s="22">
        <f>IF(C88="","",VLOOKUP(C88,'_Données Employés'!$B$5:$S$114,3,FALSE))</f>
        <v/>
      </c>
      <c r="E88" s="22">
        <f>IF(C88="","",VLOOKUP(C88,'_Données Employés'!$B$5:$S$114,10,FALSE))</f>
        <v/>
      </c>
      <c r="F88" s="22" t="n"/>
      <c r="G88" s="22" t="n"/>
      <c r="H88" s="18">
        <f>IF(F88="","",MIN(E88,F88))</f>
        <v/>
      </c>
      <c r="I88" s="22" t="n"/>
      <c r="J88" s="22" t="n"/>
      <c r="K88" s="22" t="n"/>
      <c r="L88" s="18">
        <f>IF(G88="","",IFERROR(G88*H88,0))</f>
        <v/>
      </c>
      <c r="M88" s="22" t="n"/>
      <c r="N88" s="22" t="n"/>
    </row>
    <row r="89" ht="22" customHeight="1">
      <c r="B89" s="21">
        <f>IF(C89="","TR"&amp;TEXT(COUNTA($C$5:C89),"000"))</f>
        <v/>
      </c>
      <c r="C89" s="21" t="n"/>
      <c r="D89" s="21">
        <f>IF(C89="","",VLOOKUP(C89,'_Données Employés'!$B$5:$S$114,3,FALSE))</f>
        <v/>
      </c>
      <c r="E89" s="21">
        <f>IF(C89="","",VLOOKUP(C89,'_Données Employés'!$B$5:$S$114,10,FALSE))</f>
        <v/>
      </c>
      <c r="F89" s="21" t="n"/>
      <c r="G89" s="21" t="n"/>
      <c r="H89" s="16">
        <f>IF(F89="","",MIN(E89,F89))</f>
        <v/>
      </c>
      <c r="I89" s="21" t="n"/>
      <c r="J89" s="21" t="n"/>
      <c r="K89" s="21" t="n"/>
      <c r="L89" s="16">
        <f>IF(G89="","",IFERROR(G89*H89,0))</f>
        <v/>
      </c>
      <c r="M89" s="21" t="n"/>
      <c r="N89" s="21" t="n"/>
    </row>
    <row r="90" ht="22" customHeight="1">
      <c r="B90" s="22">
        <f>IF(C90="","TR"&amp;TEXT(COUNTA($C$5:C90),"000"))</f>
        <v/>
      </c>
      <c r="C90" s="22" t="n"/>
      <c r="D90" s="22">
        <f>IF(C90="","",VLOOKUP(C90,'_Données Employés'!$B$5:$S$114,3,FALSE))</f>
        <v/>
      </c>
      <c r="E90" s="22">
        <f>IF(C90="","",VLOOKUP(C90,'_Données Employés'!$B$5:$S$114,10,FALSE))</f>
        <v/>
      </c>
      <c r="F90" s="22" t="n"/>
      <c r="G90" s="22" t="n"/>
      <c r="H90" s="18">
        <f>IF(F90="","",MIN(E90,F90))</f>
        <v/>
      </c>
      <c r="I90" s="22" t="n"/>
      <c r="J90" s="22" t="n"/>
      <c r="K90" s="22" t="n"/>
      <c r="L90" s="18">
        <f>IF(G90="","",IFERROR(G90*H90,0))</f>
        <v/>
      </c>
      <c r="M90" s="22" t="n"/>
      <c r="N90" s="22" t="n"/>
    </row>
    <row r="91" ht="22" customHeight="1">
      <c r="B91" s="21">
        <f>IF(C91="","TR"&amp;TEXT(COUNTA($C$5:C91),"000"))</f>
        <v/>
      </c>
      <c r="C91" s="21" t="n"/>
      <c r="D91" s="21">
        <f>IF(C91="","",VLOOKUP(C91,'_Données Employés'!$B$5:$S$114,3,FALSE))</f>
        <v/>
      </c>
      <c r="E91" s="21">
        <f>IF(C91="","",VLOOKUP(C91,'_Données Employés'!$B$5:$S$114,10,FALSE))</f>
        <v/>
      </c>
      <c r="F91" s="21" t="n"/>
      <c r="G91" s="21" t="n"/>
      <c r="H91" s="16">
        <f>IF(F91="","",MIN(E91,F91))</f>
        <v/>
      </c>
      <c r="I91" s="21" t="n"/>
      <c r="J91" s="21" t="n"/>
      <c r="K91" s="21" t="n"/>
      <c r="L91" s="16">
        <f>IF(G91="","",IFERROR(G91*H91,0))</f>
        <v/>
      </c>
      <c r="M91" s="21" t="n"/>
      <c r="N91" s="21" t="n"/>
    </row>
    <row r="92" ht="22" customHeight="1">
      <c r="B92" s="22">
        <f>IF(C92="","TR"&amp;TEXT(COUNTA($C$5:C92),"000"))</f>
        <v/>
      </c>
      <c r="C92" s="22" t="n"/>
      <c r="D92" s="22">
        <f>IF(C92="","",VLOOKUP(C92,'_Données Employés'!$B$5:$S$114,3,FALSE))</f>
        <v/>
      </c>
      <c r="E92" s="22">
        <f>IF(C92="","",VLOOKUP(C92,'_Données Employés'!$B$5:$S$114,10,FALSE))</f>
        <v/>
      </c>
      <c r="F92" s="22" t="n"/>
      <c r="G92" s="22" t="n"/>
      <c r="H92" s="18">
        <f>IF(F92="","",MIN(E92,F92))</f>
        <v/>
      </c>
      <c r="I92" s="22" t="n"/>
      <c r="J92" s="22" t="n"/>
      <c r="K92" s="22" t="n"/>
      <c r="L92" s="18">
        <f>IF(G92="","",IFERROR(G92*H92,0))</f>
        <v/>
      </c>
      <c r="M92" s="22" t="n"/>
      <c r="N92" s="22" t="n"/>
    </row>
    <row r="93" ht="22" customHeight="1">
      <c r="B93" s="21">
        <f>IF(C93="","TR"&amp;TEXT(COUNTA($C$5:C93),"000"))</f>
        <v/>
      </c>
      <c r="C93" s="21" t="n"/>
      <c r="D93" s="21">
        <f>IF(C93="","",VLOOKUP(C93,'_Données Employés'!$B$5:$S$114,3,FALSE))</f>
        <v/>
      </c>
      <c r="E93" s="21">
        <f>IF(C93="","",VLOOKUP(C93,'_Données Employés'!$B$5:$S$114,10,FALSE))</f>
        <v/>
      </c>
      <c r="F93" s="21" t="n"/>
      <c r="G93" s="21" t="n"/>
      <c r="H93" s="16">
        <f>IF(F93="","",MIN(E93,F93))</f>
        <v/>
      </c>
      <c r="I93" s="21" t="n"/>
      <c r="J93" s="21" t="n"/>
      <c r="K93" s="21" t="n"/>
      <c r="L93" s="16">
        <f>IF(G93="","",IFERROR(G93*H93,0))</f>
        <v/>
      </c>
      <c r="M93" s="21" t="n"/>
      <c r="N93" s="21" t="n"/>
    </row>
    <row r="94" ht="22" customHeight="1">
      <c r="B94" s="22">
        <f>IF(C94="","TR"&amp;TEXT(COUNTA($C$5:C94),"000"))</f>
        <v/>
      </c>
      <c r="C94" s="22" t="n"/>
      <c r="D94" s="22">
        <f>IF(C94="","",VLOOKUP(C94,'_Données Employés'!$B$5:$S$114,3,FALSE))</f>
        <v/>
      </c>
      <c r="E94" s="22">
        <f>IF(C94="","",VLOOKUP(C94,'_Données Employés'!$B$5:$S$114,10,FALSE))</f>
        <v/>
      </c>
      <c r="F94" s="22" t="n"/>
      <c r="G94" s="22" t="n"/>
      <c r="H94" s="18">
        <f>IF(F94="","",MIN(E94,F94))</f>
        <v/>
      </c>
      <c r="I94" s="22" t="n"/>
      <c r="J94" s="22" t="n"/>
      <c r="K94" s="22" t="n"/>
      <c r="L94" s="18">
        <f>IF(G94="","",IFERROR(G94*H94,0))</f>
        <v/>
      </c>
      <c r="M94" s="22" t="n"/>
      <c r="N94" s="22" t="n"/>
    </row>
    <row r="95" ht="22" customHeight="1">
      <c r="B95" s="21">
        <f>IF(C95="","TR"&amp;TEXT(COUNTA($C$5:C95),"000"))</f>
        <v/>
      </c>
      <c r="C95" s="21" t="n"/>
      <c r="D95" s="21">
        <f>IF(C95="","",VLOOKUP(C95,'_Données Employés'!$B$5:$S$114,3,FALSE))</f>
        <v/>
      </c>
      <c r="E95" s="21">
        <f>IF(C95="","",VLOOKUP(C95,'_Données Employés'!$B$5:$S$114,10,FALSE))</f>
        <v/>
      </c>
      <c r="F95" s="21" t="n"/>
      <c r="G95" s="21" t="n"/>
      <c r="H95" s="16">
        <f>IF(F95="","",MIN(E95,F95))</f>
        <v/>
      </c>
      <c r="I95" s="21" t="n"/>
      <c r="J95" s="21" t="n"/>
      <c r="K95" s="21" t="n"/>
      <c r="L95" s="16">
        <f>IF(G95="","",IFERROR(G95*H95,0))</f>
        <v/>
      </c>
      <c r="M95" s="21" t="n"/>
      <c r="N95" s="21" t="n"/>
    </row>
    <row r="96" ht="22" customHeight="1">
      <c r="B96" s="22">
        <f>IF(C96="","TR"&amp;TEXT(COUNTA($C$5:C96),"000"))</f>
        <v/>
      </c>
      <c r="C96" s="22" t="n"/>
      <c r="D96" s="22">
        <f>IF(C96="","",VLOOKUP(C96,'_Données Employés'!$B$5:$S$114,3,FALSE))</f>
        <v/>
      </c>
      <c r="E96" s="22">
        <f>IF(C96="","",VLOOKUP(C96,'_Données Employés'!$B$5:$S$114,10,FALSE))</f>
        <v/>
      </c>
      <c r="F96" s="22" t="n"/>
      <c r="G96" s="22" t="n"/>
      <c r="H96" s="18">
        <f>IF(F96="","",MIN(E96,F96))</f>
        <v/>
      </c>
      <c r="I96" s="22" t="n"/>
      <c r="J96" s="22" t="n"/>
      <c r="K96" s="22" t="n"/>
      <c r="L96" s="18">
        <f>IF(G96="","",IFERROR(G96*H96,0))</f>
        <v/>
      </c>
      <c r="M96" s="22" t="n"/>
      <c r="N96" s="22" t="n"/>
    </row>
    <row r="97" ht="22" customHeight="1">
      <c r="B97" s="21">
        <f>IF(C97="","TR"&amp;TEXT(COUNTA($C$5:C97),"000"))</f>
        <v/>
      </c>
      <c r="C97" s="21" t="n"/>
      <c r="D97" s="21">
        <f>IF(C97="","",VLOOKUP(C97,'_Données Employés'!$B$5:$S$114,3,FALSE))</f>
        <v/>
      </c>
      <c r="E97" s="21">
        <f>IF(C97="","",VLOOKUP(C97,'_Données Employés'!$B$5:$S$114,10,FALSE))</f>
        <v/>
      </c>
      <c r="F97" s="21" t="n"/>
      <c r="G97" s="21" t="n"/>
      <c r="H97" s="16">
        <f>IF(F97="","",MIN(E97,F97))</f>
        <v/>
      </c>
      <c r="I97" s="21" t="n"/>
      <c r="J97" s="21" t="n"/>
      <c r="K97" s="21" t="n"/>
      <c r="L97" s="16">
        <f>IF(G97="","",IFERROR(G97*H97,0))</f>
        <v/>
      </c>
      <c r="M97" s="21" t="n"/>
      <c r="N97" s="21" t="n"/>
    </row>
    <row r="98" ht="22" customHeight="1">
      <c r="B98" s="22">
        <f>IF(C98="","TR"&amp;TEXT(COUNTA($C$5:C98),"000"))</f>
        <v/>
      </c>
      <c r="C98" s="22" t="n"/>
      <c r="D98" s="22">
        <f>IF(C98="","",VLOOKUP(C98,'_Données Employés'!$B$5:$S$114,3,FALSE))</f>
        <v/>
      </c>
      <c r="E98" s="22">
        <f>IF(C98="","",VLOOKUP(C98,'_Données Employés'!$B$5:$S$114,10,FALSE))</f>
        <v/>
      </c>
      <c r="F98" s="22" t="n"/>
      <c r="G98" s="22" t="n"/>
      <c r="H98" s="18">
        <f>IF(F98="","",MIN(E98,F98))</f>
        <v/>
      </c>
      <c r="I98" s="22" t="n"/>
      <c r="J98" s="22" t="n"/>
      <c r="K98" s="22" t="n"/>
      <c r="L98" s="18">
        <f>IF(G98="","",IFERROR(G98*H98,0))</f>
        <v/>
      </c>
      <c r="M98" s="22" t="n"/>
      <c r="N98" s="22" t="n"/>
    </row>
    <row r="99" ht="22" customHeight="1">
      <c r="B99" s="21">
        <f>IF(C99="","TR"&amp;TEXT(COUNTA($C$5:C99),"000"))</f>
        <v/>
      </c>
      <c r="C99" s="21" t="n"/>
      <c r="D99" s="21">
        <f>IF(C99="","",VLOOKUP(C99,'_Données Employés'!$B$5:$S$114,3,FALSE))</f>
        <v/>
      </c>
      <c r="E99" s="21">
        <f>IF(C99="","",VLOOKUP(C99,'_Données Employés'!$B$5:$S$114,10,FALSE))</f>
        <v/>
      </c>
      <c r="F99" s="21" t="n"/>
      <c r="G99" s="21" t="n"/>
      <c r="H99" s="16">
        <f>IF(F99="","",MIN(E99,F99))</f>
        <v/>
      </c>
      <c r="I99" s="21" t="n"/>
      <c r="J99" s="21" t="n"/>
      <c r="K99" s="21" t="n"/>
      <c r="L99" s="16">
        <f>IF(G99="","",IFERROR(G99*H99,0))</f>
        <v/>
      </c>
      <c r="M99" s="21" t="n"/>
      <c r="N99" s="21" t="n"/>
    </row>
    <row r="100" ht="22" customHeight="1">
      <c r="B100" s="22">
        <f>IF(C100="","TR"&amp;TEXT(COUNTA($C$5:C100),"000"))</f>
        <v/>
      </c>
      <c r="C100" s="22" t="n"/>
      <c r="D100" s="22">
        <f>IF(C100="","",VLOOKUP(C100,'_Données Employés'!$B$5:$S$114,3,FALSE))</f>
        <v/>
      </c>
      <c r="E100" s="22">
        <f>IF(C100="","",VLOOKUP(C100,'_Données Employés'!$B$5:$S$114,10,FALSE))</f>
        <v/>
      </c>
      <c r="F100" s="22" t="n"/>
      <c r="G100" s="22" t="n"/>
      <c r="H100" s="18">
        <f>IF(F100="","",MIN(E100,F100))</f>
        <v/>
      </c>
      <c r="I100" s="22" t="n"/>
      <c r="J100" s="22" t="n"/>
      <c r="K100" s="22" t="n"/>
      <c r="L100" s="18">
        <f>IF(G100="","",IFERROR(G100*H100,0))</f>
        <v/>
      </c>
      <c r="M100" s="22" t="n"/>
      <c r="N100" s="22" t="n"/>
    </row>
    <row r="101" ht="22" customHeight="1">
      <c r="B101" s="21">
        <f>IF(C101="","TR"&amp;TEXT(COUNTA($C$5:C101),"000"))</f>
        <v/>
      </c>
      <c r="C101" s="21" t="n"/>
      <c r="D101" s="21">
        <f>IF(C101="","",VLOOKUP(C101,'_Données Employés'!$B$5:$S$114,3,FALSE))</f>
        <v/>
      </c>
      <c r="E101" s="21">
        <f>IF(C101="","",VLOOKUP(C101,'_Données Employés'!$B$5:$S$114,10,FALSE))</f>
        <v/>
      </c>
      <c r="F101" s="21" t="n"/>
      <c r="G101" s="21" t="n"/>
      <c r="H101" s="16">
        <f>IF(F101="","",MIN(E101,F101))</f>
        <v/>
      </c>
      <c r="I101" s="21" t="n"/>
      <c r="J101" s="21" t="n"/>
      <c r="K101" s="21" t="n"/>
      <c r="L101" s="16">
        <f>IF(G101="","",IFERROR(G101*H101,0))</f>
        <v/>
      </c>
      <c r="M101" s="21" t="n"/>
      <c r="N101" s="21" t="n"/>
    </row>
    <row r="102" ht="22" customHeight="1">
      <c r="B102" s="22">
        <f>IF(C102="","TR"&amp;TEXT(COUNTA($C$5:C102),"000"))</f>
        <v/>
      </c>
      <c r="C102" s="22" t="n"/>
      <c r="D102" s="22">
        <f>IF(C102="","",VLOOKUP(C102,'_Données Employés'!$B$5:$S$114,3,FALSE))</f>
        <v/>
      </c>
      <c r="E102" s="22">
        <f>IF(C102="","",VLOOKUP(C102,'_Données Employés'!$B$5:$S$114,10,FALSE))</f>
        <v/>
      </c>
      <c r="F102" s="22" t="n"/>
      <c r="G102" s="22" t="n"/>
      <c r="H102" s="18">
        <f>IF(F102="","",MIN(E102,F102))</f>
        <v/>
      </c>
      <c r="I102" s="22" t="n"/>
      <c r="J102" s="22" t="n"/>
      <c r="K102" s="22" t="n"/>
      <c r="L102" s="18">
        <f>IF(G102="","",IFERROR(G102*H102,0))</f>
        <v/>
      </c>
      <c r="M102" s="22" t="n"/>
      <c r="N102" s="22" t="n"/>
    </row>
    <row r="103" ht="22" customHeight="1">
      <c r="B103" s="21">
        <f>IF(C103="","TR"&amp;TEXT(COUNTA($C$5:C103),"000"))</f>
        <v/>
      </c>
      <c r="C103" s="21" t="n"/>
      <c r="D103" s="21">
        <f>IF(C103="","",VLOOKUP(C103,'_Données Employés'!$B$5:$S$114,3,FALSE))</f>
        <v/>
      </c>
      <c r="E103" s="21">
        <f>IF(C103="","",VLOOKUP(C103,'_Données Employés'!$B$5:$S$114,10,FALSE))</f>
        <v/>
      </c>
      <c r="F103" s="21" t="n"/>
      <c r="G103" s="21" t="n"/>
      <c r="H103" s="16">
        <f>IF(F103="","",MIN(E103,F103))</f>
        <v/>
      </c>
      <c r="I103" s="21" t="n"/>
      <c r="J103" s="21" t="n"/>
      <c r="K103" s="21" t="n"/>
      <c r="L103" s="16">
        <f>IF(G103="","",IFERROR(G103*H103,0))</f>
        <v/>
      </c>
      <c r="M103" s="21" t="n"/>
      <c r="N103" s="21" t="n"/>
    </row>
    <row r="104" ht="22" customHeight="1">
      <c r="B104" s="22">
        <f>IF(C104="","TR"&amp;TEXT(COUNTA($C$5:C104),"000"))</f>
        <v/>
      </c>
      <c r="C104" s="22" t="n"/>
      <c r="D104" s="22">
        <f>IF(C104="","",VLOOKUP(C104,'_Données Employés'!$B$5:$S$114,3,FALSE))</f>
        <v/>
      </c>
      <c r="E104" s="22">
        <f>IF(C104="","",VLOOKUP(C104,'_Données Employés'!$B$5:$S$114,10,FALSE))</f>
        <v/>
      </c>
      <c r="F104" s="22" t="n"/>
      <c r="G104" s="22" t="n"/>
      <c r="H104" s="18">
        <f>IF(F104="","",MIN(E104,F104))</f>
        <v/>
      </c>
      <c r="I104" s="22" t="n"/>
      <c r="J104" s="22" t="n"/>
      <c r="K104" s="22" t="n"/>
      <c r="L104" s="18">
        <f>IF(G104="","",IFERROR(G104*H104,0))</f>
        <v/>
      </c>
      <c r="M104" s="22" t="n"/>
      <c r="N104" s="22" t="n"/>
    </row>
    <row r="107">
      <c r="B107" s="23" t="inlineStr">
        <is>
          <t>KPI Coût total (FCFA)</t>
        </is>
      </c>
      <c r="C107" s="23" t="inlineStr">
        <is>
          <t>KPI Part employeur (FCFA)</t>
        </is>
      </c>
      <c r="D107" s="23" t="inlineStr">
        <is>
          <t>KPI Tickets distribués</t>
        </is>
      </c>
    </row>
    <row r="108">
      <c r="B108" s="25">
        <f>SUM(K5:K104)</f>
        <v/>
      </c>
      <c r="C108" s="25">
        <f>SUM(I5:I104)</f>
        <v/>
      </c>
      <c r="D108" s="24">
        <f>SUM(H5:H104)</f>
        <v/>
      </c>
    </row>
  </sheetData>
  <mergeCells count="1">
    <mergeCell ref="B2:N2"/>
  </mergeCells>
  <conditionalFormatting sqref="N5:N104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"Solde"</formula>
    </cfRule>
    <cfRule type="cellIs" priority="4" operator="equal" dxfId="1">
      <formula>"Actif"</formula>
    </cfRule>
    <cfRule type="cellIs" priority="5" operator="equal" dxfId="1">
      <formula>"Oui"</formula>
    </cfRule>
    <cfRule type="cellIs" priority="6" operator="equal" dxfId="2">
      <formula>"Rejete"</formula>
    </cfRule>
    <cfRule type="cellIs" priority="7" operator="equal" dxfId="2">
      <formula>"En retard"</formula>
    </cfRule>
    <cfRule type="cellIs" priority="8" operator="equal" dxfId="2">
      <formula>"Refuse"</formula>
    </cfRule>
    <cfRule type="cellIs" priority="9" operator="equal" dxfId="2">
      <formula>"Annule"</formula>
    </cfRule>
    <cfRule type="cellIs" priority="10" operator="equal" dxfId="2">
      <formula>"Non"</formula>
    </cfRule>
    <cfRule type="cellIs" priority="11" operator="equal" dxfId="3">
      <formula>"En attente"</formula>
    </cfRule>
    <cfRule type="cellIs" priority="12" operator="equal" dxfId="3">
      <formula>"En cours"</formula>
    </cfRule>
    <cfRule type="cellIs" priority="13" operator="equal" dxfId="3">
      <formula>"Brouillon"</formula>
    </cfRule>
    <cfRule type="cellIs" priority="14" operator="equal" dxfId="3">
      <formula>"Demande"</formula>
    </cfRule>
    <cfRule type="cellIs" priority="15" operator="equal" dxfId="3">
      <formula>"Partiellement monetise"</formula>
    </cfRule>
  </conditionalFormatting>
  <conditionalFormatting sqref="F5:F104">
    <cfRule type="dataBar" priority="16">
      <dataBar>
        <cfvo type="num" val="0"/>
        <cfvo type="num" val="1"/>
        <color rgb="001B2A4A"/>
      </dataBar>
    </cfRule>
  </conditionalFormatting>
  <conditionalFormatting sqref="G5:G104">
    <cfRule type="dataBar" priority="17">
      <dataBar>
        <cfvo type="num" val="0"/>
        <cfvo type="num" val="1"/>
        <color rgb="001B2A4A"/>
      </dataBar>
    </cfRule>
  </conditionalFormatting>
  <conditionalFormatting sqref="H5:H104">
    <cfRule type="dataBar" priority="18">
      <dataBar>
        <cfvo type="num" val="0"/>
        <cfvo type="num" val="1"/>
        <color rgb="001B2A4A"/>
      </dataBar>
    </cfRule>
  </conditionalFormatting>
  <conditionalFormatting sqref="I5:I104">
    <cfRule type="dataBar" priority="19">
      <dataBar>
        <cfvo type="num" val="0"/>
        <cfvo type="num" val="1"/>
        <color rgb="001B2A4A"/>
      </dataBar>
    </cfRule>
  </conditionalFormatting>
  <conditionalFormatting sqref="J5:J104">
    <cfRule type="dataBar" priority="20">
      <dataBar>
        <cfvo type="num" val="0"/>
        <cfvo type="num" val="1"/>
        <color rgb="001B2A4A"/>
      </dataBar>
    </cfRule>
  </conditionalFormatting>
  <conditionalFormatting sqref="K5:K104">
    <cfRule type="dataBar" priority="21">
      <dataBar>
        <cfvo type="num" val="0"/>
        <cfvo type="num" val="1"/>
        <color rgb="001B2A4A"/>
      </dataBar>
    </cfRule>
  </conditionalFormatting>
  <conditionalFormatting sqref="L5:L104">
    <cfRule type="dataBar" priority="22">
      <dataBar>
        <cfvo type="num" val="0"/>
        <cfvo type="num" val="1"/>
        <color rgb="001B2A4A"/>
      </dataBar>
    </cfRule>
  </conditionalFormatting>
  <conditionalFormatting sqref="B108">
    <cfRule type="cellIs" priority="23" operator="greaterThan" dxfId="0">
      <formula>0</formula>
    </cfRule>
  </conditionalFormatting>
  <conditionalFormatting sqref="C108">
    <cfRule type="cellIs" priority="24" operator="greaterThan" dxfId="0">
      <formula>0</formula>
    </cfRule>
  </conditionalFormatting>
  <conditionalFormatting sqref="D108">
    <cfRule type="cellIs" priority="25" operator="greaterThan" dxfId="0">
      <formula>0</formula>
    </cfRule>
  </conditionalFormatting>
  <dataValidations count="3">
    <dataValidation sqref="M5:M104" showDropDown="0" showInputMessage="0" showErrorMessage="0" allowBlank="1" type="list">
      <formula1>'_Lists'!$K$2:$K$13</formula1>
    </dataValidation>
    <dataValidation sqref="N5:N104" showDropDown="0" showInputMessage="0" showErrorMessage="0" allowBlank="1" type="list">
      <formula1>'_Lists'!$N$2:$N$5</formula1>
    </dataValidation>
    <dataValidation sqref="C5:C104" showDropDown="0" showInputMessage="0" showErrorMessage="0" allowBlank="1" promptTitle="Matricule Employé" prompt="Choisir un matricule" type="list">
      <formula1>'_Données Employés'!$B$5:$B$114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N10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18" customWidth="1" min="4" max="4"/>
    <col width="24" customWidth="1" min="5" max="5"/>
    <col width="18" customWidth="1" min="6" max="6"/>
    <col width="16" customWidth="1" min="7" max="7"/>
    <col width="18" customWidth="1" min="8" max="8"/>
    <col width="20" customWidth="1" min="9" max="9"/>
    <col width="16" customWidth="1" min="10" max="10"/>
    <col width="18" customWidth="1" min="11" max="11"/>
    <col width="16" customWidth="1" min="12" max="12"/>
    <col width="16" customWidth="1" min="13" max="13"/>
    <col width="18" customWidth="1" min="14" max="14"/>
  </cols>
  <sheetData>
    <row r="1" ht="15" customHeight="1"/>
    <row r="2" ht="32" customHeight="1">
      <c r="B2" s="13" t="inlineStr">
        <is>
          <t>AVANTAGES SOCIAUX — 17-Compte Epargne Temps</t>
        </is>
      </c>
    </row>
    <row r="3" ht="8" customHeight="1"/>
    <row r="4" ht="28" customHeight="1">
      <c r="B4" s="14" t="inlineStr">
        <is>
          <t>N°</t>
        </is>
      </c>
      <c r="C4" s="14" t="inlineStr">
        <is>
          <t>Matricule</t>
        </is>
      </c>
      <c r="D4" s="14" t="inlineStr">
        <is>
          <t>Nom Employé</t>
        </is>
      </c>
      <c r="E4" s="14" t="inlineStr">
        <is>
          <t>Département</t>
        </is>
      </c>
      <c r="F4" s="14" t="inlineStr">
        <is>
          <t>Solde Année Préc. (jrs)</t>
        </is>
      </c>
      <c r="G4" s="14" t="inlineStr">
        <is>
          <t>Jours Acquis Année</t>
        </is>
      </c>
      <c r="H4" s="14" t="inlineStr">
        <is>
          <t>Jours Congés Posés</t>
        </is>
      </c>
      <c r="I4" s="14" t="inlineStr">
        <is>
          <t>Jours Repos Comp. Posés</t>
        </is>
      </c>
      <c r="J4" s="14" t="inlineStr">
        <is>
          <t>Solde CET Total (jrs)</t>
        </is>
      </c>
      <c r="K4" s="14" t="inlineStr">
        <is>
          <t>Monétisation (FCFA/jr)</t>
        </is>
      </c>
      <c r="L4" s="14" t="inlineStr">
        <is>
          <t>Valeur CET (FCFA)</t>
        </is>
      </c>
      <c r="M4" s="14" t="inlineStr">
        <is>
          <t>Date Évaluation</t>
        </is>
      </c>
      <c r="N4" s="14" t="inlineStr">
        <is>
          <t>Statut</t>
        </is>
      </c>
    </row>
    <row r="5" ht="22" customHeight="1">
      <c r="B5" s="15" t="inlineStr">
        <is>
          <t>CET-001</t>
        </is>
      </c>
      <c r="C5" s="15" t="inlineStr">
        <is>
          <t>EMP-001</t>
        </is>
      </c>
      <c r="D5" s="15" t="inlineStr">
        <is>
          <t>Nganou Clarisse</t>
        </is>
      </c>
      <c r="E5" s="15" t="inlineStr">
        <is>
          <t>Ressources Humaines</t>
        </is>
      </c>
      <c r="F5" s="16" t="n">
        <v>2</v>
      </c>
      <c r="G5" s="16" t="n">
        <v>5</v>
      </c>
      <c r="H5" s="16" t="n">
        <v>0</v>
      </c>
      <c r="I5" s="16" t="n">
        <v>0</v>
      </c>
      <c r="J5" s="16" t="n">
        <v>7</v>
      </c>
      <c r="K5" s="16" t="n">
        <v>15000</v>
      </c>
      <c r="L5" s="16" t="n">
        <v>105000</v>
      </c>
      <c r="M5" s="33" t="inlineStr">
        <is>
          <t>2025-06-30</t>
        </is>
      </c>
      <c r="N5" s="15" t="inlineStr">
        <is>
          <t>Actif</t>
        </is>
      </c>
    </row>
    <row r="6" ht="22" customHeight="1">
      <c r="B6" s="17" t="inlineStr">
        <is>
          <t>CET-002</t>
        </is>
      </c>
      <c r="C6" s="17" t="inlineStr">
        <is>
          <t>EMP-003</t>
        </is>
      </c>
      <c r="D6" s="17" t="inlineStr">
        <is>
          <t>Fotso Marguerite</t>
        </is>
      </c>
      <c r="E6" s="17" t="inlineStr">
        <is>
          <t>Finance &amp; Comptabilite</t>
        </is>
      </c>
      <c r="F6" s="18" t="n">
        <v>1</v>
      </c>
      <c r="G6" s="18" t="n">
        <v>3</v>
      </c>
      <c r="H6" s="18" t="n">
        <v>0</v>
      </c>
      <c r="I6" s="18" t="n">
        <v>0</v>
      </c>
      <c r="J6" s="18" t="n">
        <v>4</v>
      </c>
      <c r="K6" s="18" t="n">
        <v>15000</v>
      </c>
      <c r="L6" s="18" t="n">
        <v>60000</v>
      </c>
      <c r="M6" s="34" t="inlineStr">
        <is>
          <t>2025-06-30</t>
        </is>
      </c>
      <c r="N6" s="17" t="inlineStr">
        <is>
          <t>Actif</t>
        </is>
      </c>
    </row>
    <row r="7" ht="22" customHeight="1">
      <c r="B7" s="15" t="inlineStr">
        <is>
          <t>CET-003</t>
        </is>
      </c>
      <c r="C7" s="15" t="inlineStr">
        <is>
          <t>EMP-007</t>
        </is>
      </c>
      <c r="D7" s="15" t="inlineStr">
        <is>
          <t>Kamga Pierre</t>
        </is>
      </c>
      <c r="E7" s="15" t="inlineStr">
        <is>
          <t>Securite</t>
        </is>
      </c>
      <c r="F7" s="16" t="n">
        <v>3</v>
      </c>
      <c r="G7" s="16" t="n">
        <v>2</v>
      </c>
      <c r="H7" s="16" t="n">
        <v>0</v>
      </c>
      <c r="I7" s="16" t="n">
        <v>2</v>
      </c>
      <c r="J7" s="16" t="n">
        <v>3</v>
      </c>
      <c r="K7" s="16" t="n">
        <v>12000</v>
      </c>
      <c r="L7" s="16" t="n">
        <v>36000</v>
      </c>
      <c r="M7" s="33" t="inlineStr">
        <is>
          <t>2025-06-30</t>
        </is>
      </c>
      <c r="N7" s="15" t="inlineStr">
        <is>
          <t>Actif</t>
        </is>
      </c>
    </row>
    <row r="8" ht="22" customHeight="1">
      <c r="B8" s="19">
        <f>IF(C8="","CET"&amp;TEXT(COUNTA($C$5:C8),"000"))</f>
        <v/>
      </c>
      <c r="C8" s="19" t="n"/>
      <c r="D8" s="19">
        <f>IF(C8="","",VLOOKUP(C8,'_Données Employés'!$B$5:$S$114,3,FALSE))</f>
        <v/>
      </c>
      <c r="E8" s="19">
        <f>IF(C8="","",VLOOKUP(C8,'_Données Employés'!$B$5:$S$114,10,FALSE))</f>
        <v/>
      </c>
      <c r="F8" s="19" t="n"/>
      <c r="G8" s="19" t="n"/>
      <c r="H8" s="19" t="n"/>
      <c r="I8" s="19" t="n"/>
      <c r="J8" s="20">
        <f>IF(OR(E8="",F8="",G8="",H8=""),"",IFERROR(E8+F8-G8-H8,0))</f>
        <v/>
      </c>
      <c r="K8" s="20">
        <f>IF(K8="","",IFERROR(E8+I8,0))</f>
        <v/>
      </c>
      <c r="L8" s="20">
        <f>IF(K8="","",IFERROR(K8*L8,0))</f>
        <v/>
      </c>
      <c r="M8" s="19" t="n"/>
      <c r="N8" s="19" t="n"/>
    </row>
    <row r="9" ht="22" customHeight="1">
      <c r="B9" s="21">
        <f>IF(C9="","CET"&amp;TEXT(COUNTA($C$5:C9),"000"))</f>
        <v/>
      </c>
      <c r="C9" s="21" t="n"/>
      <c r="D9" s="21">
        <f>IF(C9="","",VLOOKUP(C9,'_Données Employés'!$B$5:$S$114,3,FALSE))</f>
        <v/>
      </c>
      <c r="E9" s="21">
        <f>IF(C9="","",VLOOKUP(C9,'_Données Employés'!$B$5:$S$114,10,FALSE))</f>
        <v/>
      </c>
      <c r="F9" s="21" t="n"/>
      <c r="G9" s="21" t="n"/>
      <c r="H9" s="21" t="n"/>
      <c r="I9" s="21" t="n"/>
      <c r="J9" s="16">
        <f>IF(OR(E9="",F9="",G9="",H9=""),"",IFERROR(E9+F9-G9-H9,0))</f>
        <v/>
      </c>
      <c r="K9" s="16">
        <f>IF(K9="","",IFERROR(E9+I9,0))</f>
        <v/>
      </c>
      <c r="L9" s="16">
        <f>IF(K9="","",IFERROR(K9*L9,0))</f>
        <v/>
      </c>
      <c r="M9" s="21" t="n"/>
      <c r="N9" s="21" t="n"/>
    </row>
    <row r="10" ht="22" customHeight="1">
      <c r="B10" s="22">
        <f>IF(C10="","CET"&amp;TEXT(COUNTA($C$5:C10),"000"))</f>
        <v/>
      </c>
      <c r="C10" s="22" t="n"/>
      <c r="D10" s="22">
        <f>IF(C10="","",VLOOKUP(C10,'_Données Employés'!$B$5:$S$114,3,FALSE))</f>
        <v/>
      </c>
      <c r="E10" s="22">
        <f>IF(C10="","",VLOOKUP(C10,'_Données Employés'!$B$5:$S$114,10,FALSE))</f>
        <v/>
      </c>
      <c r="F10" s="22" t="n"/>
      <c r="G10" s="22" t="n"/>
      <c r="H10" s="22" t="n"/>
      <c r="I10" s="22" t="n"/>
      <c r="J10" s="18">
        <f>IF(OR(E10="",F10="",G10="",H10=""),"",IFERROR(E10+F10-G10-H10,0))</f>
        <v/>
      </c>
      <c r="K10" s="18">
        <f>IF(K10="","",IFERROR(E10+I10,0))</f>
        <v/>
      </c>
      <c r="L10" s="18">
        <f>IF(K10="","",IFERROR(K10*L10,0))</f>
        <v/>
      </c>
      <c r="M10" s="22" t="n"/>
      <c r="N10" s="22" t="n"/>
    </row>
    <row r="11" ht="22" customHeight="1">
      <c r="B11" s="21">
        <f>IF(C11="","CET"&amp;TEXT(COUNTA($C$5:C11),"000"))</f>
        <v/>
      </c>
      <c r="C11" s="21" t="n"/>
      <c r="D11" s="21">
        <f>IF(C11="","",VLOOKUP(C11,'_Données Employés'!$B$5:$S$114,3,FALSE))</f>
        <v/>
      </c>
      <c r="E11" s="21">
        <f>IF(C11="","",VLOOKUP(C11,'_Données Employés'!$B$5:$S$114,10,FALSE))</f>
        <v/>
      </c>
      <c r="F11" s="21" t="n"/>
      <c r="G11" s="21" t="n"/>
      <c r="H11" s="21" t="n"/>
      <c r="I11" s="21" t="n"/>
      <c r="J11" s="16">
        <f>IF(OR(E11="",F11="",G11="",H11=""),"",IFERROR(E11+F11-G11-H11,0))</f>
        <v/>
      </c>
      <c r="K11" s="16">
        <f>IF(K11="","",IFERROR(E11+I11,0))</f>
        <v/>
      </c>
      <c r="L11" s="16">
        <f>IF(K11="","",IFERROR(K11*L11,0))</f>
        <v/>
      </c>
      <c r="M11" s="21" t="n"/>
      <c r="N11" s="21" t="n"/>
    </row>
    <row r="12" ht="22" customHeight="1">
      <c r="B12" s="22">
        <f>IF(C12="","CET"&amp;TEXT(COUNTA($C$5:C12),"000"))</f>
        <v/>
      </c>
      <c r="C12" s="22" t="n"/>
      <c r="D12" s="22">
        <f>IF(C12="","",VLOOKUP(C12,'_Données Employés'!$B$5:$S$114,3,FALSE))</f>
        <v/>
      </c>
      <c r="E12" s="22">
        <f>IF(C12="","",VLOOKUP(C12,'_Données Employés'!$B$5:$S$114,10,FALSE))</f>
        <v/>
      </c>
      <c r="F12" s="22" t="n"/>
      <c r="G12" s="22" t="n"/>
      <c r="H12" s="22" t="n"/>
      <c r="I12" s="22" t="n"/>
      <c r="J12" s="18">
        <f>IF(OR(E12="",F12="",G12="",H12=""),"",IFERROR(E12+F12-G12-H12,0))</f>
        <v/>
      </c>
      <c r="K12" s="18">
        <f>IF(K12="","",IFERROR(E12+I12,0))</f>
        <v/>
      </c>
      <c r="L12" s="18">
        <f>IF(K12="","",IFERROR(K12*L12,0))</f>
        <v/>
      </c>
      <c r="M12" s="22" t="n"/>
      <c r="N12" s="22" t="n"/>
    </row>
    <row r="13" ht="22" customHeight="1">
      <c r="B13" s="21">
        <f>IF(C13="","CET"&amp;TEXT(COUNTA($C$5:C13),"000"))</f>
        <v/>
      </c>
      <c r="C13" s="21" t="n"/>
      <c r="D13" s="21">
        <f>IF(C13="","",VLOOKUP(C13,'_Données Employés'!$B$5:$S$114,3,FALSE))</f>
        <v/>
      </c>
      <c r="E13" s="21">
        <f>IF(C13="","",VLOOKUP(C13,'_Données Employés'!$B$5:$S$114,10,FALSE))</f>
        <v/>
      </c>
      <c r="F13" s="21" t="n"/>
      <c r="G13" s="21" t="n"/>
      <c r="H13" s="21" t="n"/>
      <c r="I13" s="21" t="n"/>
      <c r="J13" s="16">
        <f>IF(OR(E13="",F13="",G13="",H13=""),"",IFERROR(E13+F13-G13-H13,0))</f>
        <v/>
      </c>
      <c r="K13" s="16">
        <f>IF(K13="","",IFERROR(E13+I13,0))</f>
        <v/>
      </c>
      <c r="L13" s="16">
        <f>IF(K13="","",IFERROR(K13*L13,0))</f>
        <v/>
      </c>
      <c r="M13" s="21" t="n"/>
      <c r="N13" s="21" t="n"/>
    </row>
    <row r="14" ht="22" customHeight="1">
      <c r="B14" s="22">
        <f>IF(C14="","CET"&amp;TEXT(COUNTA($C$5:C14),"000"))</f>
        <v/>
      </c>
      <c r="C14" s="22" t="n"/>
      <c r="D14" s="22">
        <f>IF(C14="","",VLOOKUP(C14,'_Données Employés'!$B$5:$S$114,3,FALSE))</f>
        <v/>
      </c>
      <c r="E14" s="22">
        <f>IF(C14="","",VLOOKUP(C14,'_Données Employés'!$B$5:$S$114,10,FALSE))</f>
        <v/>
      </c>
      <c r="F14" s="22" t="n"/>
      <c r="G14" s="22" t="n"/>
      <c r="H14" s="22" t="n"/>
      <c r="I14" s="22" t="n"/>
      <c r="J14" s="18">
        <f>IF(OR(E14="",F14="",G14="",H14=""),"",IFERROR(E14+F14-G14-H14,0))</f>
        <v/>
      </c>
      <c r="K14" s="18">
        <f>IF(K14="","",IFERROR(E14+I14,0))</f>
        <v/>
      </c>
      <c r="L14" s="18">
        <f>IF(K14="","",IFERROR(K14*L14,0))</f>
        <v/>
      </c>
      <c r="M14" s="22" t="n"/>
      <c r="N14" s="22" t="n"/>
    </row>
    <row r="15" ht="22" customHeight="1">
      <c r="B15" s="21">
        <f>IF(C15="","CET"&amp;TEXT(COUNTA($C$5:C15),"000"))</f>
        <v/>
      </c>
      <c r="C15" s="21" t="n"/>
      <c r="D15" s="21">
        <f>IF(C15="","",VLOOKUP(C15,'_Données Employés'!$B$5:$S$114,3,FALSE))</f>
        <v/>
      </c>
      <c r="E15" s="21">
        <f>IF(C15="","",VLOOKUP(C15,'_Données Employés'!$B$5:$S$114,10,FALSE))</f>
        <v/>
      </c>
      <c r="F15" s="21" t="n"/>
      <c r="G15" s="21" t="n"/>
      <c r="H15" s="21" t="n"/>
      <c r="I15" s="21" t="n"/>
      <c r="J15" s="16">
        <f>IF(OR(E15="",F15="",G15="",H15=""),"",IFERROR(E15+F15-G15-H15,0))</f>
        <v/>
      </c>
      <c r="K15" s="16">
        <f>IF(K15="","",IFERROR(E15+I15,0))</f>
        <v/>
      </c>
      <c r="L15" s="16">
        <f>IF(K15="","",IFERROR(K15*L15,0))</f>
        <v/>
      </c>
      <c r="M15" s="21" t="n"/>
      <c r="N15" s="21" t="n"/>
    </row>
    <row r="16" ht="22" customHeight="1">
      <c r="B16" s="22">
        <f>IF(C16="","CET"&amp;TEXT(COUNTA($C$5:C16),"000"))</f>
        <v/>
      </c>
      <c r="C16" s="22" t="n"/>
      <c r="D16" s="22">
        <f>IF(C16="","",VLOOKUP(C16,'_Données Employés'!$B$5:$S$114,3,FALSE))</f>
        <v/>
      </c>
      <c r="E16" s="22">
        <f>IF(C16="","",VLOOKUP(C16,'_Données Employés'!$B$5:$S$114,10,FALSE))</f>
        <v/>
      </c>
      <c r="F16" s="22" t="n"/>
      <c r="G16" s="22" t="n"/>
      <c r="H16" s="22" t="n"/>
      <c r="I16" s="22" t="n"/>
      <c r="J16" s="18">
        <f>IF(OR(E16="",F16="",G16="",H16=""),"",IFERROR(E16+F16-G16-H16,0))</f>
        <v/>
      </c>
      <c r="K16" s="18">
        <f>IF(K16="","",IFERROR(E16+I16,0))</f>
        <v/>
      </c>
      <c r="L16" s="18">
        <f>IF(K16="","",IFERROR(K16*L16,0))</f>
        <v/>
      </c>
      <c r="M16" s="22" t="n"/>
      <c r="N16" s="22" t="n"/>
    </row>
    <row r="17" ht="22" customHeight="1">
      <c r="B17" s="21">
        <f>IF(C17="","CET"&amp;TEXT(COUNTA($C$5:C17),"000"))</f>
        <v/>
      </c>
      <c r="C17" s="21" t="n"/>
      <c r="D17" s="21">
        <f>IF(C17="","",VLOOKUP(C17,'_Données Employés'!$B$5:$S$114,3,FALSE))</f>
        <v/>
      </c>
      <c r="E17" s="21">
        <f>IF(C17="","",VLOOKUP(C17,'_Données Employés'!$B$5:$S$114,10,FALSE))</f>
        <v/>
      </c>
      <c r="F17" s="21" t="n"/>
      <c r="G17" s="21" t="n"/>
      <c r="H17" s="21" t="n"/>
      <c r="I17" s="21" t="n"/>
      <c r="J17" s="16">
        <f>IF(OR(E17="",F17="",G17="",H17=""),"",IFERROR(E17+F17-G17-H17,0))</f>
        <v/>
      </c>
      <c r="K17" s="16">
        <f>IF(K17="","",IFERROR(E17+I17,0))</f>
        <v/>
      </c>
      <c r="L17" s="16">
        <f>IF(K17="","",IFERROR(K17*L17,0))</f>
        <v/>
      </c>
      <c r="M17" s="21" t="n"/>
      <c r="N17" s="21" t="n"/>
    </row>
    <row r="18" ht="22" customHeight="1">
      <c r="B18" s="22">
        <f>IF(C18="","CET"&amp;TEXT(COUNTA($C$5:C18),"000"))</f>
        <v/>
      </c>
      <c r="C18" s="22" t="n"/>
      <c r="D18" s="22">
        <f>IF(C18="","",VLOOKUP(C18,'_Données Employés'!$B$5:$S$114,3,FALSE))</f>
        <v/>
      </c>
      <c r="E18" s="22">
        <f>IF(C18="","",VLOOKUP(C18,'_Données Employés'!$B$5:$S$114,10,FALSE))</f>
        <v/>
      </c>
      <c r="F18" s="22" t="n"/>
      <c r="G18" s="22" t="n"/>
      <c r="H18" s="22" t="n"/>
      <c r="I18" s="22" t="n"/>
      <c r="J18" s="18">
        <f>IF(OR(E18="",F18="",G18="",H18=""),"",IFERROR(E18+F18-G18-H18,0))</f>
        <v/>
      </c>
      <c r="K18" s="18">
        <f>IF(K18="","",IFERROR(E18+I18,0))</f>
        <v/>
      </c>
      <c r="L18" s="18">
        <f>IF(K18="","",IFERROR(K18*L18,0))</f>
        <v/>
      </c>
      <c r="M18" s="22" t="n"/>
      <c r="N18" s="22" t="n"/>
    </row>
    <row r="19" ht="22" customHeight="1">
      <c r="B19" s="21">
        <f>IF(C19="","CET"&amp;TEXT(COUNTA($C$5:C19),"000"))</f>
        <v/>
      </c>
      <c r="C19" s="21" t="n"/>
      <c r="D19" s="21">
        <f>IF(C19="","",VLOOKUP(C19,'_Données Employés'!$B$5:$S$114,3,FALSE))</f>
        <v/>
      </c>
      <c r="E19" s="21">
        <f>IF(C19="","",VLOOKUP(C19,'_Données Employés'!$B$5:$S$114,10,FALSE))</f>
        <v/>
      </c>
      <c r="F19" s="21" t="n"/>
      <c r="G19" s="21" t="n"/>
      <c r="H19" s="21" t="n"/>
      <c r="I19" s="21" t="n"/>
      <c r="J19" s="16">
        <f>IF(OR(E19="",F19="",G19="",H19=""),"",IFERROR(E19+F19-G19-H19,0))</f>
        <v/>
      </c>
      <c r="K19" s="16">
        <f>IF(K19="","",IFERROR(E19+I19,0))</f>
        <v/>
      </c>
      <c r="L19" s="16">
        <f>IF(K19="","",IFERROR(K19*L19,0))</f>
        <v/>
      </c>
      <c r="M19" s="21" t="n"/>
      <c r="N19" s="21" t="n"/>
    </row>
    <row r="20" ht="22" customHeight="1">
      <c r="B20" s="22">
        <f>IF(C20="","CET"&amp;TEXT(COUNTA($C$5:C20),"000"))</f>
        <v/>
      </c>
      <c r="C20" s="22" t="n"/>
      <c r="D20" s="22">
        <f>IF(C20="","",VLOOKUP(C20,'_Données Employés'!$B$5:$S$114,3,FALSE))</f>
        <v/>
      </c>
      <c r="E20" s="22">
        <f>IF(C20="","",VLOOKUP(C20,'_Données Employés'!$B$5:$S$114,10,FALSE))</f>
        <v/>
      </c>
      <c r="F20" s="22" t="n"/>
      <c r="G20" s="22" t="n"/>
      <c r="H20" s="22" t="n"/>
      <c r="I20" s="22" t="n"/>
      <c r="J20" s="18">
        <f>IF(OR(E20="",F20="",G20="",H20=""),"",IFERROR(E20+F20-G20-H20,0))</f>
        <v/>
      </c>
      <c r="K20" s="18">
        <f>IF(K20="","",IFERROR(E20+I20,0))</f>
        <v/>
      </c>
      <c r="L20" s="18">
        <f>IF(K20="","",IFERROR(K20*L20,0))</f>
        <v/>
      </c>
      <c r="M20" s="22" t="n"/>
      <c r="N20" s="22" t="n"/>
    </row>
    <row r="21" ht="22" customHeight="1">
      <c r="B21" s="21">
        <f>IF(C21="","CET"&amp;TEXT(COUNTA($C$5:C21),"000"))</f>
        <v/>
      </c>
      <c r="C21" s="21" t="n"/>
      <c r="D21" s="21">
        <f>IF(C21="","",VLOOKUP(C21,'_Données Employés'!$B$5:$S$114,3,FALSE))</f>
        <v/>
      </c>
      <c r="E21" s="21">
        <f>IF(C21="","",VLOOKUP(C21,'_Données Employés'!$B$5:$S$114,10,FALSE))</f>
        <v/>
      </c>
      <c r="F21" s="21" t="n"/>
      <c r="G21" s="21" t="n"/>
      <c r="H21" s="21" t="n"/>
      <c r="I21" s="21" t="n"/>
      <c r="J21" s="16">
        <f>IF(OR(E21="",F21="",G21="",H21=""),"",IFERROR(E21+F21-G21-H21,0))</f>
        <v/>
      </c>
      <c r="K21" s="16">
        <f>IF(K21="","",IFERROR(E21+I21,0))</f>
        <v/>
      </c>
      <c r="L21" s="16">
        <f>IF(K21="","",IFERROR(K21*L21,0))</f>
        <v/>
      </c>
      <c r="M21" s="21" t="n"/>
      <c r="N21" s="21" t="n"/>
    </row>
    <row r="22" ht="22" customHeight="1">
      <c r="B22" s="22">
        <f>IF(C22="","CET"&amp;TEXT(COUNTA($C$5:C22),"000"))</f>
        <v/>
      </c>
      <c r="C22" s="22" t="n"/>
      <c r="D22" s="22">
        <f>IF(C22="","",VLOOKUP(C22,'_Données Employés'!$B$5:$S$114,3,FALSE))</f>
        <v/>
      </c>
      <c r="E22" s="22">
        <f>IF(C22="","",VLOOKUP(C22,'_Données Employés'!$B$5:$S$114,10,FALSE))</f>
        <v/>
      </c>
      <c r="F22" s="22" t="n"/>
      <c r="G22" s="22" t="n"/>
      <c r="H22" s="22" t="n"/>
      <c r="I22" s="22" t="n"/>
      <c r="J22" s="18">
        <f>IF(OR(E22="",F22="",G22="",H22=""),"",IFERROR(E22+F22-G22-H22,0))</f>
        <v/>
      </c>
      <c r="K22" s="18">
        <f>IF(K22="","",IFERROR(E22+I22,0))</f>
        <v/>
      </c>
      <c r="L22" s="18">
        <f>IF(K22="","",IFERROR(K22*L22,0))</f>
        <v/>
      </c>
      <c r="M22" s="22" t="n"/>
      <c r="N22" s="22" t="n"/>
    </row>
    <row r="23" ht="22" customHeight="1">
      <c r="B23" s="21">
        <f>IF(C23="","CET"&amp;TEXT(COUNTA($C$5:C23),"000"))</f>
        <v/>
      </c>
      <c r="C23" s="21" t="n"/>
      <c r="D23" s="21">
        <f>IF(C23="","",VLOOKUP(C23,'_Données Employés'!$B$5:$S$114,3,FALSE))</f>
        <v/>
      </c>
      <c r="E23" s="21">
        <f>IF(C23="","",VLOOKUP(C23,'_Données Employés'!$B$5:$S$114,10,FALSE))</f>
        <v/>
      </c>
      <c r="F23" s="21" t="n"/>
      <c r="G23" s="21" t="n"/>
      <c r="H23" s="21" t="n"/>
      <c r="I23" s="21" t="n"/>
      <c r="J23" s="16">
        <f>IF(OR(E23="",F23="",G23="",H23=""),"",IFERROR(E23+F23-G23-H23,0))</f>
        <v/>
      </c>
      <c r="K23" s="16">
        <f>IF(K23="","",IFERROR(E23+I23,0))</f>
        <v/>
      </c>
      <c r="L23" s="16">
        <f>IF(K23="","",IFERROR(K23*L23,0))</f>
        <v/>
      </c>
      <c r="M23" s="21" t="n"/>
      <c r="N23" s="21" t="n"/>
    </row>
    <row r="24" ht="22" customHeight="1">
      <c r="B24" s="22">
        <f>IF(C24="","CET"&amp;TEXT(COUNTA($C$5:C24),"000"))</f>
        <v/>
      </c>
      <c r="C24" s="22" t="n"/>
      <c r="D24" s="22">
        <f>IF(C24="","",VLOOKUP(C24,'_Données Employés'!$B$5:$S$114,3,FALSE))</f>
        <v/>
      </c>
      <c r="E24" s="22">
        <f>IF(C24="","",VLOOKUP(C24,'_Données Employés'!$B$5:$S$114,10,FALSE))</f>
        <v/>
      </c>
      <c r="F24" s="22" t="n"/>
      <c r="G24" s="22" t="n"/>
      <c r="H24" s="22" t="n"/>
      <c r="I24" s="22" t="n"/>
      <c r="J24" s="18">
        <f>IF(OR(E24="",F24="",G24="",H24=""),"",IFERROR(E24+F24-G24-H24,0))</f>
        <v/>
      </c>
      <c r="K24" s="18">
        <f>IF(K24="","",IFERROR(E24+I24,0))</f>
        <v/>
      </c>
      <c r="L24" s="18">
        <f>IF(K24="","",IFERROR(K24*L24,0))</f>
        <v/>
      </c>
      <c r="M24" s="22" t="n"/>
      <c r="N24" s="22" t="n"/>
    </row>
    <row r="25" ht="22" customHeight="1">
      <c r="B25" s="21">
        <f>IF(C25="","CET"&amp;TEXT(COUNTA($C$5:C25),"000"))</f>
        <v/>
      </c>
      <c r="C25" s="21" t="n"/>
      <c r="D25" s="21">
        <f>IF(C25="","",VLOOKUP(C25,'_Données Employés'!$B$5:$S$114,3,FALSE))</f>
        <v/>
      </c>
      <c r="E25" s="21">
        <f>IF(C25="","",VLOOKUP(C25,'_Données Employés'!$B$5:$S$114,10,FALSE))</f>
        <v/>
      </c>
      <c r="F25" s="21" t="n"/>
      <c r="G25" s="21" t="n"/>
      <c r="H25" s="21" t="n"/>
      <c r="I25" s="21" t="n"/>
      <c r="J25" s="16">
        <f>IF(OR(E25="",F25="",G25="",H25=""),"",IFERROR(E25+F25-G25-H25,0))</f>
        <v/>
      </c>
      <c r="K25" s="16">
        <f>IF(K25="","",IFERROR(E25+I25,0))</f>
        <v/>
      </c>
      <c r="L25" s="16">
        <f>IF(K25="","",IFERROR(K25*L25,0))</f>
        <v/>
      </c>
      <c r="M25" s="21" t="n"/>
      <c r="N25" s="21" t="n"/>
    </row>
    <row r="26" ht="22" customHeight="1">
      <c r="B26" s="22">
        <f>IF(C26="","CET"&amp;TEXT(COUNTA($C$5:C26),"000"))</f>
        <v/>
      </c>
      <c r="C26" s="22" t="n"/>
      <c r="D26" s="22">
        <f>IF(C26="","",VLOOKUP(C26,'_Données Employés'!$B$5:$S$114,3,FALSE))</f>
        <v/>
      </c>
      <c r="E26" s="22">
        <f>IF(C26="","",VLOOKUP(C26,'_Données Employés'!$B$5:$S$114,10,FALSE))</f>
        <v/>
      </c>
      <c r="F26" s="22" t="n"/>
      <c r="G26" s="22" t="n"/>
      <c r="H26" s="22" t="n"/>
      <c r="I26" s="22" t="n"/>
      <c r="J26" s="18">
        <f>IF(OR(E26="",F26="",G26="",H26=""),"",IFERROR(E26+F26-G26-H26,0))</f>
        <v/>
      </c>
      <c r="K26" s="18">
        <f>IF(K26="","",IFERROR(E26+I26,0))</f>
        <v/>
      </c>
      <c r="L26" s="18">
        <f>IF(K26="","",IFERROR(K26*L26,0))</f>
        <v/>
      </c>
      <c r="M26" s="22" t="n"/>
      <c r="N26" s="22" t="n"/>
    </row>
    <row r="27" ht="22" customHeight="1">
      <c r="B27" s="21">
        <f>IF(C27="","CET"&amp;TEXT(COUNTA($C$5:C27),"000"))</f>
        <v/>
      </c>
      <c r="C27" s="21" t="n"/>
      <c r="D27" s="21">
        <f>IF(C27="","",VLOOKUP(C27,'_Données Employés'!$B$5:$S$114,3,FALSE))</f>
        <v/>
      </c>
      <c r="E27" s="21">
        <f>IF(C27="","",VLOOKUP(C27,'_Données Employés'!$B$5:$S$114,10,FALSE))</f>
        <v/>
      </c>
      <c r="F27" s="21" t="n"/>
      <c r="G27" s="21" t="n"/>
      <c r="H27" s="21" t="n"/>
      <c r="I27" s="21" t="n"/>
      <c r="J27" s="16">
        <f>IF(OR(E27="",F27="",G27="",H27=""),"",IFERROR(E27+F27-G27-H27,0))</f>
        <v/>
      </c>
      <c r="K27" s="16">
        <f>IF(K27="","",IFERROR(E27+I27,0))</f>
        <v/>
      </c>
      <c r="L27" s="16">
        <f>IF(K27="","",IFERROR(K27*L27,0))</f>
        <v/>
      </c>
      <c r="M27" s="21" t="n"/>
      <c r="N27" s="21" t="n"/>
    </row>
    <row r="28" ht="22" customHeight="1">
      <c r="B28" s="22">
        <f>IF(C28="","CET"&amp;TEXT(COUNTA($C$5:C28),"000"))</f>
        <v/>
      </c>
      <c r="C28" s="22" t="n"/>
      <c r="D28" s="22">
        <f>IF(C28="","",VLOOKUP(C28,'_Données Employés'!$B$5:$S$114,3,FALSE))</f>
        <v/>
      </c>
      <c r="E28" s="22">
        <f>IF(C28="","",VLOOKUP(C28,'_Données Employés'!$B$5:$S$114,10,FALSE))</f>
        <v/>
      </c>
      <c r="F28" s="22" t="n"/>
      <c r="G28" s="22" t="n"/>
      <c r="H28" s="22" t="n"/>
      <c r="I28" s="22" t="n"/>
      <c r="J28" s="18">
        <f>IF(OR(E28="",F28="",G28="",H28=""),"",IFERROR(E28+F28-G28-H28,0))</f>
        <v/>
      </c>
      <c r="K28" s="18">
        <f>IF(K28="","",IFERROR(E28+I28,0))</f>
        <v/>
      </c>
      <c r="L28" s="18">
        <f>IF(K28="","",IFERROR(K28*L28,0))</f>
        <v/>
      </c>
      <c r="M28" s="22" t="n"/>
      <c r="N28" s="22" t="n"/>
    </row>
    <row r="29" ht="22" customHeight="1">
      <c r="B29" s="21">
        <f>IF(C29="","CET"&amp;TEXT(COUNTA($C$5:C29),"000"))</f>
        <v/>
      </c>
      <c r="C29" s="21" t="n"/>
      <c r="D29" s="21">
        <f>IF(C29="","",VLOOKUP(C29,'_Données Employés'!$B$5:$S$114,3,FALSE))</f>
        <v/>
      </c>
      <c r="E29" s="21">
        <f>IF(C29="","",VLOOKUP(C29,'_Données Employés'!$B$5:$S$114,10,FALSE))</f>
        <v/>
      </c>
      <c r="F29" s="21" t="n"/>
      <c r="G29" s="21" t="n"/>
      <c r="H29" s="21" t="n"/>
      <c r="I29" s="21" t="n"/>
      <c r="J29" s="16">
        <f>IF(OR(E29="",F29="",G29="",H29=""),"",IFERROR(E29+F29-G29-H29,0))</f>
        <v/>
      </c>
      <c r="K29" s="16">
        <f>IF(K29="","",IFERROR(E29+I29,0))</f>
        <v/>
      </c>
      <c r="L29" s="16">
        <f>IF(K29="","",IFERROR(K29*L29,0))</f>
        <v/>
      </c>
      <c r="M29" s="21" t="n"/>
      <c r="N29" s="21" t="n"/>
    </row>
    <row r="30" ht="22" customHeight="1">
      <c r="B30" s="22">
        <f>IF(C30="","CET"&amp;TEXT(COUNTA($C$5:C30),"000"))</f>
        <v/>
      </c>
      <c r="C30" s="22" t="n"/>
      <c r="D30" s="22">
        <f>IF(C30="","",VLOOKUP(C30,'_Données Employés'!$B$5:$S$114,3,FALSE))</f>
        <v/>
      </c>
      <c r="E30" s="22">
        <f>IF(C30="","",VLOOKUP(C30,'_Données Employés'!$B$5:$S$114,10,FALSE))</f>
        <v/>
      </c>
      <c r="F30" s="22" t="n"/>
      <c r="G30" s="22" t="n"/>
      <c r="H30" s="22" t="n"/>
      <c r="I30" s="22" t="n"/>
      <c r="J30" s="18">
        <f>IF(OR(E30="",F30="",G30="",H30=""),"",IFERROR(E30+F30-G30-H30,0))</f>
        <v/>
      </c>
      <c r="K30" s="18">
        <f>IF(K30="","",IFERROR(E30+I30,0))</f>
        <v/>
      </c>
      <c r="L30" s="18">
        <f>IF(K30="","",IFERROR(K30*L30,0))</f>
        <v/>
      </c>
      <c r="M30" s="22" t="n"/>
      <c r="N30" s="22" t="n"/>
    </row>
    <row r="31" ht="22" customHeight="1">
      <c r="B31" s="21">
        <f>IF(C31="","CET"&amp;TEXT(COUNTA($C$5:C31),"000"))</f>
        <v/>
      </c>
      <c r="C31" s="21" t="n"/>
      <c r="D31" s="21">
        <f>IF(C31="","",VLOOKUP(C31,'_Données Employés'!$B$5:$S$114,3,FALSE))</f>
        <v/>
      </c>
      <c r="E31" s="21">
        <f>IF(C31="","",VLOOKUP(C31,'_Données Employés'!$B$5:$S$114,10,FALSE))</f>
        <v/>
      </c>
      <c r="F31" s="21" t="n"/>
      <c r="G31" s="21" t="n"/>
      <c r="H31" s="21" t="n"/>
      <c r="I31" s="21" t="n"/>
      <c r="J31" s="16">
        <f>IF(OR(E31="",F31="",G31="",H31=""),"",IFERROR(E31+F31-G31-H31,0))</f>
        <v/>
      </c>
      <c r="K31" s="16">
        <f>IF(K31="","",IFERROR(E31+I31,0))</f>
        <v/>
      </c>
      <c r="L31" s="16">
        <f>IF(K31="","",IFERROR(K31*L31,0))</f>
        <v/>
      </c>
      <c r="M31" s="21" t="n"/>
      <c r="N31" s="21" t="n"/>
    </row>
    <row r="32" ht="22" customHeight="1">
      <c r="B32" s="22">
        <f>IF(C32="","CET"&amp;TEXT(COUNTA($C$5:C32),"000"))</f>
        <v/>
      </c>
      <c r="C32" s="22" t="n"/>
      <c r="D32" s="22">
        <f>IF(C32="","",VLOOKUP(C32,'_Données Employés'!$B$5:$S$114,3,FALSE))</f>
        <v/>
      </c>
      <c r="E32" s="22">
        <f>IF(C32="","",VLOOKUP(C32,'_Données Employés'!$B$5:$S$114,10,FALSE))</f>
        <v/>
      </c>
      <c r="F32" s="22" t="n"/>
      <c r="G32" s="22" t="n"/>
      <c r="H32" s="22" t="n"/>
      <c r="I32" s="22" t="n"/>
      <c r="J32" s="18">
        <f>IF(OR(E32="",F32="",G32="",H32=""),"",IFERROR(E32+F32-G32-H32,0))</f>
        <v/>
      </c>
      <c r="K32" s="18">
        <f>IF(K32="","",IFERROR(E32+I32,0))</f>
        <v/>
      </c>
      <c r="L32" s="18">
        <f>IF(K32="","",IFERROR(K32*L32,0))</f>
        <v/>
      </c>
      <c r="M32" s="22" t="n"/>
      <c r="N32" s="22" t="n"/>
    </row>
    <row r="33" ht="22" customHeight="1">
      <c r="B33" s="21">
        <f>IF(C33="","CET"&amp;TEXT(COUNTA($C$5:C33),"000"))</f>
        <v/>
      </c>
      <c r="C33" s="21" t="n"/>
      <c r="D33" s="21">
        <f>IF(C33="","",VLOOKUP(C33,'_Données Employés'!$B$5:$S$114,3,FALSE))</f>
        <v/>
      </c>
      <c r="E33" s="21">
        <f>IF(C33="","",VLOOKUP(C33,'_Données Employés'!$B$5:$S$114,10,FALSE))</f>
        <v/>
      </c>
      <c r="F33" s="21" t="n"/>
      <c r="G33" s="21" t="n"/>
      <c r="H33" s="21" t="n"/>
      <c r="I33" s="21" t="n"/>
      <c r="J33" s="16">
        <f>IF(OR(E33="",F33="",G33="",H33=""),"",IFERROR(E33+F33-G33-H33,0))</f>
        <v/>
      </c>
      <c r="K33" s="16">
        <f>IF(K33="","",IFERROR(E33+I33,0))</f>
        <v/>
      </c>
      <c r="L33" s="16">
        <f>IF(K33="","",IFERROR(K33*L33,0))</f>
        <v/>
      </c>
      <c r="M33" s="21" t="n"/>
      <c r="N33" s="21" t="n"/>
    </row>
    <row r="34" ht="22" customHeight="1">
      <c r="B34" s="22">
        <f>IF(C34="","CET"&amp;TEXT(COUNTA($C$5:C34),"000"))</f>
        <v/>
      </c>
      <c r="C34" s="22" t="n"/>
      <c r="D34" s="22">
        <f>IF(C34="","",VLOOKUP(C34,'_Données Employés'!$B$5:$S$114,3,FALSE))</f>
        <v/>
      </c>
      <c r="E34" s="22">
        <f>IF(C34="","",VLOOKUP(C34,'_Données Employés'!$B$5:$S$114,10,FALSE))</f>
        <v/>
      </c>
      <c r="F34" s="22" t="n"/>
      <c r="G34" s="22" t="n"/>
      <c r="H34" s="22" t="n"/>
      <c r="I34" s="22" t="n"/>
      <c r="J34" s="18">
        <f>IF(OR(E34="",F34="",G34="",H34=""),"",IFERROR(E34+F34-G34-H34,0))</f>
        <v/>
      </c>
      <c r="K34" s="18">
        <f>IF(K34="","",IFERROR(E34+I34,0))</f>
        <v/>
      </c>
      <c r="L34" s="18">
        <f>IF(K34="","",IFERROR(K34*L34,0))</f>
        <v/>
      </c>
      <c r="M34" s="22" t="n"/>
      <c r="N34" s="22" t="n"/>
    </row>
    <row r="35" ht="22" customHeight="1">
      <c r="B35" s="21">
        <f>IF(C35="","CET"&amp;TEXT(COUNTA($C$5:C35),"000"))</f>
        <v/>
      </c>
      <c r="C35" s="21" t="n"/>
      <c r="D35" s="21">
        <f>IF(C35="","",VLOOKUP(C35,'_Données Employés'!$B$5:$S$114,3,FALSE))</f>
        <v/>
      </c>
      <c r="E35" s="21">
        <f>IF(C35="","",VLOOKUP(C35,'_Données Employés'!$B$5:$S$114,10,FALSE))</f>
        <v/>
      </c>
      <c r="F35" s="21" t="n"/>
      <c r="G35" s="21" t="n"/>
      <c r="H35" s="21" t="n"/>
      <c r="I35" s="21" t="n"/>
      <c r="J35" s="16">
        <f>IF(OR(E35="",F35="",G35="",H35=""),"",IFERROR(E35+F35-G35-H35,0))</f>
        <v/>
      </c>
      <c r="K35" s="16">
        <f>IF(K35="","",IFERROR(E35+I35,0))</f>
        <v/>
      </c>
      <c r="L35" s="16">
        <f>IF(K35="","",IFERROR(K35*L35,0))</f>
        <v/>
      </c>
      <c r="M35" s="21" t="n"/>
      <c r="N35" s="21" t="n"/>
    </row>
    <row r="36" ht="22" customHeight="1">
      <c r="B36" s="22">
        <f>IF(C36="","CET"&amp;TEXT(COUNTA($C$5:C36),"000"))</f>
        <v/>
      </c>
      <c r="C36" s="22" t="n"/>
      <c r="D36" s="22">
        <f>IF(C36="","",VLOOKUP(C36,'_Données Employés'!$B$5:$S$114,3,FALSE))</f>
        <v/>
      </c>
      <c r="E36" s="22">
        <f>IF(C36="","",VLOOKUP(C36,'_Données Employés'!$B$5:$S$114,10,FALSE))</f>
        <v/>
      </c>
      <c r="F36" s="22" t="n"/>
      <c r="G36" s="22" t="n"/>
      <c r="H36" s="22" t="n"/>
      <c r="I36" s="22" t="n"/>
      <c r="J36" s="18">
        <f>IF(OR(E36="",F36="",G36="",H36=""),"",IFERROR(E36+F36-G36-H36,0))</f>
        <v/>
      </c>
      <c r="K36" s="18">
        <f>IF(K36="","",IFERROR(E36+I36,0))</f>
        <v/>
      </c>
      <c r="L36" s="18">
        <f>IF(K36="","",IFERROR(K36*L36,0))</f>
        <v/>
      </c>
      <c r="M36" s="22" t="n"/>
      <c r="N36" s="22" t="n"/>
    </row>
    <row r="37" ht="22" customHeight="1">
      <c r="B37" s="21">
        <f>IF(C37="","CET"&amp;TEXT(COUNTA($C$5:C37),"000"))</f>
        <v/>
      </c>
      <c r="C37" s="21" t="n"/>
      <c r="D37" s="21">
        <f>IF(C37="","",VLOOKUP(C37,'_Données Employés'!$B$5:$S$114,3,FALSE))</f>
        <v/>
      </c>
      <c r="E37" s="21">
        <f>IF(C37="","",VLOOKUP(C37,'_Données Employés'!$B$5:$S$114,10,FALSE))</f>
        <v/>
      </c>
      <c r="F37" s="21" t="n"/>
      <c r="G37" s="21" t="n"/>
      <c r="H37" s="21" t="n"/>
      <c r="I37" s="21" t="n"/>
      <c r="J37" s="16">
        <f>IF(OR(E37="",F37="",G37="",H37=""),"",IFERROR(E37+F37-G37-H37,0))</f>
        <v/>
      </c>
      <c r="K37" s="16">
        <f>IF(K37="","",IFERROR(E37+I37,0))</f>
        <v/>
      </c>
      <c r="L37" s="16">
        <f>IF(K37="","",IFERROR(K37*L37,0))</f>
        <v/>
      </c>
      <c r="M37" s="21" t="n"/>
      <c r="N37" s="21" t="n"/>
    </row>
    <row r="38" ht="22" customHeight="1">
      <c r="B38" s="22">
        <f>IF(C38="","CET"&amp;TEXT(COUNTA($C$5:C38),"000"))</f>
        <v/>
      </c>
      <c r="C38" s="22" t="n"/>
      <c r="D38" s="22">
        <f>IF(C38="","",VLOOKUP(C38,'_Données Employés'!$B$5:$S$114,3,FALSE))</f>
        <v/>
      </c>
      <c r="E38" s="22">
        <f>IF(C38="","",VLOOKUP(C38,'_Données Employés'!$B$5:$S$114,10,FALSE))</f>
        <v/>
      </c>
      <c r="F38" s="22" t="n"/>
      <c r="G38" s="22" t="n"/>
      <c r="H38" s="22" t="n"/>
      <c r="I38" s="22" t="n"/>
      <c r="J38" s="18">
        <f>IF(OR(E38="",F38="",G38="",H38=""),"",IFERROR(E38+F38-G38-H38,0))</f>
        <v/>
      </c>
      <c r="K38" s="18">
        <f>IF(K38="","",IFERROR(E38+I38,0))</f>
        <v/>
      </c>
      <c r="L38" s="18">
        <f>IF(K38="","",IFERROR(K38*L38,0))</f>
        <v/>
      </c>
      <c r="M38" s="22" t="n"/>
      <c r="N38" s="22" t="n"/>
    </row>
    <row r="39" ht="22" customHeight="1">
      <c r="B39" s="21">
        <f>IF(C39="","CET"&amp;TEXT(COUNTA($C$5:C39),"000"))</f>
        <v/>
      </c>
      <c r="C39" s="21" t="n"/>
      <c r="D39" s="21">
        <f>IF(C39="","",VLOOKUP(C39,'_Données Employés'!$B$5:$S$114,3,FALSE))</f>
        <v/>
      </c>
      <c r="E39" s="21">
        <f>IF(C39="","",VLOOKUP(C39,'_Données Employés'!$B$5:$S$114,10,FALSE))</f>
        <v/>
      </c>
      <c r="F39" s="21" t="n"/>
      <c r="G39" s="21" t="n"/>
      <c r="H39" s="21" t="n"/>
      <c r="I39" s="21" t="n"/>
      <c r="J39" s="16">
        <f>IF(OR(E39="",F39="",G39="",H39=""),"",IFERROR(E39+F39-G39-H39,0))</f>
        <v/>
      </c>
      <c r="K39" s="16">
        <f>IF(K39="","",IFERROR(E39+I39,0))</f>
        <v/>
      </c>
      <c r="L39" s="16">
        <f>IF(K39="","",IFERROR(K39*L39,0))</f>
        <v/>
      </c>
      <c r="M39" s="21" t="n"/>
      <c r="N39" s="21" t="n"/>
    </row>
    <row r="40" ht="22" customHeight="1">
      <c r="B40" s="22">
        <f>IF(C40="","CET"&amp;TEXT(COUNTA($C$5:C40),"000"))</f>
        <v/>
      </c>
      <c r="C40" s="22" t="n"/>
      <c r="D40" s="22">
        <f>IF(C40="","",VLOOKUP(C40,'_Données Employés'!$B$5:$S$114,3,FALSE))</f>
        <v/>
      </c>
      <c r="E40" s="22">
        <f>IF(C40="","",VLOOKUP(C40,'_Données Employés'!$B$5:$S$114,10,FALSE))</f>
        <v/>
      </c>
      <c r="F40" s="22" t="n"/>
      <c r="G40" s="22" t="n"/>
      <c r="H40" s="22" t="n"/>
      <c r="I40" s="22" t="n"/>
      <c r="J40" s="18">
        <f>IF(OR(E40="",F40="",G40="",H40=""),"",IFERROR(E40+F40-G40-H40,0))</f>
        <v/>
      </c>
      <c r="K40" s="18">
        <f>IF(K40="","",IFERROR(E40+I40,0))</f>
        <v/>
      </c>
      <c r="L40" s="18">
        <f>IF(K40="","",IFERROR(K40*L40,0))</f>
        <v/>
      </c>
      <c r="M40" s="22" t="n"/>
      <c r="N40" s="22" t="n"/>
    </row>
    <row r="41" ht="22" customHeight="1">
      <c r="B41" s="21">
        <f>IF(C41="","CET"&amp;TEXT(COUNTA($C$5:C41),"000"))</f>
        <v/>
      </c>
      <c r="C41" s="21" t="n"/>
      <c r="D41" s="21">
        <f>IF(C41="","",VLOOKUP(C41,'_Données Employés'!$B$5:$S$114,3,FALSE))</f>
        <v/>
      </c>
      <c r="E41" s="21">
        <f>IF(C41="","",VLOOKUP(C41,'_Données Employés'!$B$5:$S$114,10,FALSE))</f>
        <v/>
      </c>
      <c r="F41" s="21" t="n"/>
      <c r="G41" s="21" t="n"/>
      <c r="H41" s="21" t="n"/>
      <c r="I41" s="21" t="n"/>
      <c r="J41" s="16">
        <f>IF(OR(E41="",F41="",G41="",H41=""),"",IFERROR(E41+F41-G41-H41,0))</f>
        <v/>
      </c>
      <c r="K41" s="16">
        <f>IF(K41="","",IFERROR(E41+I41,0))</f>
        <v/>
      </c>
      <c r="L41" s="16">
        <f>IF(K41="","",IFERROR(K41*L41,0))</f>
        <v/>
      </c>
      <c r="M41" s="21" t="n"/>
      <c r="N41" s="21" t="n"/>
    </row>
    <row r="42" ht="22" customHeight="1">
      <c r="B42" s="22">
        <f>IF(C42="","CET"&amp;TEXT(COUNTA($C$5:C42),"000"))</f>
        <v/>
      </c>
      <c r="C42" s="22" t="n"/>
      <c r="D42" s="22">
        <f>IF(C42="","",VLOOKUP(C42,'_Données Employés'!$B$5:$S$114,3,FALSE))</f>
        <v/>
      </c>
      <c r="E42" s="22">
        <f>IF(C42="","",VLOOKUP(C42,'_Données Employés'!$B$5:$S$114,10,FALSE))</f>
        <v/>
      </c>
      <c r="F42" s="22" t="n"/>
      <c r="G42" s="22" t="n"/>
      <c r="H42" s="22" t="n"/>
      <c r="I42" s="22" t="n"/>
      <c r="J42" s="18">
        <f>IF(OR(E42="",F42="",G42="",H42=""),"",IFERROR(E42+F42-G42-H42,0))</f>
        <v/>
      </c>
      <c r="K42" s="18">
        <f>IF(K42="","",IFERROR(E42+I42,0))</f>
        <v/>
      </c>
      <c r="L42" s="18">
        <f>IF(K42="","",IFERROR(K42*L42,0))</f>
        <v/>
      </c>
      <c r="M42" s="22" t="n"/>
      <c r="N42" s="22" t="n"/>
    </row>
    <row r="43" ht="22" customHeight="1">
      <c r="B43" s="21">
        <f>IF(C43="","CET"&amp;TEXT(COUNTA($C$5:C43),"000"))</f>
        <v/>
      </c>
      <c r="C43" s="21" t="n"/>
      <c r="D43" s="21">
        <f>IF(C43="","",VLOOKUP(C43,'_Données Employés'!$B$5:$S$114,3,FALSE))</f>
        <v/>
      </c>
      <c r="E43" s="21">
        <f>IF(C43="","",VLOOKUP(C43,'_Données Employés'!$B$5:$S$114,10,FALSE))</f>
        <v/>
      </c>
      <c r="F43" s="21" t="n"/>
      <c r="G43" s="21" t="n"/>
      <c r="H43" s="21" t="n"/>
      <c r="I43" s="21" t="n"/>
      <c r="J43" s="16">
        <f>IF(OR(E43="",F43="",G43="",H43=""),"",IFERROR(E43+F43-G43-H43,0))</f>
        <v/>
      </c>
      <c r="K43" s="16">
        <f>IF(K43="","",IFERROR(E43+I43,0))</f>
        <v/>
      </c>
      <c r="L43" s="16">
        <f>IF(K43="","",IFERROR(K43*L43,0))</f>
        <v/>
      </c>
      <c r="M43" s="21" t="n"/>
      <c r="N43" s="21" t="n"/>
    </row>
    <row r="44" ht="22" customHeight="1">
      <c r="B44" s="22">
        <f>IF(C44="","CET"&amp;TEXT(COUNTA($C$5:C44),"000"))</f>
        <v/>
      </c>
      <c r="C44" s="22" t="n"/>
      <c r="D44" s="22">
        <f>IF(C44="","",VLOOKUP(C44,'_Données Employés'!$B$5:$S$114,3,FALSE))</f>
        <v/>
      </c>
      <c r="E44" s="22">
        <f>IF(C44="","",VLOOKUP(C44,'_Données Employés'!$B$5:$S$114,10,FALSE))</f>
        <v/>
      </c>
      <c r="F44" s="22" t="n"/>
      <c r="G44" s="22" t="n"/>
      <c r="H44" s="22" t="n"/>
      <c r="I44" s="22" t="n"/>
      <c r="J44" s="18">
        <f>IF(OR(E44="",F44="",G44="",H44=""),"",IFERROR(E44+F44-G44-H44,0))</f>
        <v/>
      </c>
      <c r="K44" s="18">
        <f>IF(K44="","",IFERROR(E44+I44,0))</f>
        <v/>
      </c>
      <c r="L44" s="18">
        <f>IF(K44="","",IFERROR(K44*L44,0))</f>
        <v/>
      </c>
      <c r="M44" s="22" t="n"/>
      <c r="N44" s="22" t="n"/>
    </row>
    <row r="45" ht="22" customHeight="1">
      <c r="B45" s="21">
        <f>IF(C45="","CET"&amp;TEXT(COUNTA($C$5:C45),"000"))</f>
        <v/>
      </c>
      <c r="C45" s="21" t="n"/>
      <c r="D45" s="21">
        <f>IF(C45="","",VLOOKUP(C45,'_Données Employés'!$B$5:$S$114,3,FALSE))</f>
        <v/>
      </c>
      <c r="E45" s="21">
        <f>IF(C45="","",VLOOKUP(C45,'_Données Employés'!$B$5:$S$114,10,FALSE))</f>
        <v/>
      </c>
      <c r="F45" s="21" t="n"/>
      <c r="G45" s="21" t="n"/>
      <c r="H45" s="21" t="n"/>
      <c r="I45" s="21" t="n"/>
      <c r="J45" s="16">
        <f>IF(OR(E45="",F45="",G45="",H45=""),"",IFERROR(E45+F45-G45-H45,0))</f>
        <v/>
      </c>
      <c r="K45" s="16">
        <f>IF(K45="","",IFERROR(E45+I45,0))</f>
        <v/>
      </c>
      <c r="L45" s="16">
        <f>IF(K45="","",IFERROR(K45*L45,0))</f>
        <v/>
      </c>
      <c r="M45" s="21" t="n"/>
      <c r="N45" s="21" t="n"/>
    </row>
    <row r="46" ht="22" customHeight="1">
      <c r="B46" s="22">
        <f>IF(C46="","CET"&amp;TEXT(COUNTA($C$5:C46),"000"))</f>
        <v/>
      </c>
      <c r="C46" s="22" t="n"/>
      <c r="D46" s="22">
        <f>IF(C46="","",VLOOKUP(C46,'_Données Employés'!$B$5:$S$114,3,FALSE))</f>
        <v/>
      </c>
      <c r="E46" s="22">
        <f>IF(C46="","",VLOOKUP(C46,'_Données Employés'!$B$5:$S$114,10,FALSE))</f>
        <v/>
      </c>
      <c r="F46" s="22" t="n"/>
      <c r="G46" s="22" t="n"/>
      <c r="H46" s="22" t="n"/>
      <c r="I46" s="22" t="n"/>
      <c r="J46" s="18">
        <f>IF(OR(E46="",F46="",G46="",H46=""),"",IFERROR(E46+F46-G46-H46,0))</f>
        <v/>
      </c>
      <c r="K46" s="18">
        <f>IF(K46="","",IFERROR(E46+I46,0))</f>
        <v/>
      </c>
      <c r="L46" s="18">
        <f>IF(K46="","",IFERROR(K46*L46,0))</f>
        <v/>
      </c>
      <c r="M46" s="22" t="n"/>
      <c r="N46" s="22" t="n"/>
    </row>
    <row r="47" ht="22" customHeight="1">
      <c r="B47" s="21">
        <f>IF(C47="","CET"&amp;TEXT(COUNTA($C$5:C47),"000"))</f>
        <v/>
      </c>
      <c r="C47" s="21" t="n"/>
      <c r="D47" s="21">
        <f>IF(C47="","",VLOOKUP(C47,'_Données Employés'!$B$5:$S$114,3,FALSE))</f>
        <v/>
      </c>
      <c r="E47" s="21">
        <f>IF(C47="","",VLOOKUP(C47,'_Données Employés'!$B$5:$S$114,10,FALSE))</f>
        <v/>
      </c>
      <c r="F47" s="21" t="n"/>
      <c r="G47" s="21" t="n"/>
      <c r="H47" s="21" t="n"/>
      <c r="I47" s="21" t="n"/>
      <c r="J47" s="16">
        <f>IF(OR(E47="",F47="",G47="",H47=""),"",IFERROR(E47+F47-G47-H47,0))</f>
        <v/>
      </c>
      <c r="K47" s="16">
        <f>IF(K47="","",IFERROR(E47+I47,0))</f>
        <v/>
      </c>
      <c r="L47" s="16">
        <f>IF(K47="","",IFERROR(K47*L47,0))</f>
        <v/>
      </c>
      <c r="M47" s="21" t="n"/>
      <c r="N47" s="21" t="n"/>
    </row>
    <row r="48" ht="22" customHeight="1">
      <c r="B48" s="22">
        <f>IF(C48="","CET"&amp;TEXT(COUNTA($C$5:C48),"000"))</f>
        <v/>
      </c>
      <c r="C48" s="22" t="n"/>
      <c r="D48" s="22">
        <f>IF(C48="","",VLOOKUP(C48,'_Données Employés'!$B$5:$S$114,3,FALSE))</f>
        <v/>
      </c>
      <c r="E48" s="22">
        <f>IF(C48="","",VLOOKUP(C48,'_Données Employés'!$B$5:$S$114,10,FALSE))</f>
        <v/>
      </c>
      <c r="F48" s="22" t="n"/>
      <c r="G48" s="22" t="n"/>
      <c r="H48" s="22" t="n"/>
      <c r="I48" s="22" t="n"/>
      <c r="J48" s="18">
        <f>IF(OR(E48="",F48="",G48="",H48=""),"",IFERROR(E48+F48-G48-H48,0))</f>
        <v/>
      </c>
      <c r="K48" s="18">
        <f>IF(K48="","",IFERROR(E48+I48,0))</f>
        <v/>
      </c>
      <c r="L48" s="18">
        <f>IF(K48="","",IFERROR(K48*L48,0))</f>
        <v/>
      </c>
      <c r="M48" s="22" t="n"/>
      <c r="N48" s="22" t="n"/>
    </row>
    <row r="49" ht="22" customHeight="1">
      <c r="B49" s="21">
        <f>IF(C49="","CET"&amp;TEXT(COUNTA($C$5:C49),"000"))</f>
        <v/>
      </c>
      <c r="C49" s="21" t="n"/>
      <c r="D49" s="21">
        <f>IF(C49="","",VLOOKUP(C49,'_Données Employés'!$B$5:$S$114,3,FALSE))</f>
        <v/>
      </c>
      <c r="E49" s="21">
        <f>IF(C49="","",VLOOKUP(C49,'_Données Employés'!$B$5:$S$114,10,FALSE))</f>
        <v/>
      </c>
      <c r="F49" s="21" t="n"/>
      <c r="G49" s="21" t="n"/>
      <c r="H49" s="21" t="n"/>
      <c r="I49" s="21" t="n"/>
      <c r="J49" s="16">
        <f>IF(OR(E49="",F49="",G49="",H49=""),"",IFERROR(E49+F49-G49-H49,0))</f>
        <v/>
      </c>
      <c r="K49" s="16">
        <f>IF(K49="","",IFERROR(E49+I49,0))</f>
        <v/>
      </c>
      <c r="L49" s="16">
        <f>IF(K49="","",IFERROR(K49*L49,0))</f>
        <v/>
      </c>
      <c r="M49" s="21" t="n"/>
      <c r="N49" s="21" t="n"/>
    </row>
    <row r="50" ht="22" customHeight="1">
      <c r="B50" s="22">
        <f>IF(C50="","CET"&amp;TEXT(COUNTA($C$5:C50),"000"))</f>
        <v/>
      </c>
      <c r="C50" s="22" t="n"/>
      <c r="D50" s="22">
        <f>IF(C50="","",VLOOKUP(C50,'_Données Employés'!$B$5:$S$114,3,FALSE))</f>
        <v/>
      </c>
      <c r="E50" s="22">
        <f>IF(C50="","",VLOOKUP(C50,'_Données Employés'!$B$5:$S$114,10,FALSE))</f>
        <v/>
      </c>
      <c r="F50" s="22" t="n"/>
      <c r="G50" s="22" t="n"/>
      <c r="H50" s="22" t="n"/>
      <c r="I50" s="22" t="n"/>
      <c r="J50" s="18">
        <f>IF(OR(E50="",F50="",G50="",H50=""),"",IFERROR(E50+F50-G50-H50,0))</f>
        <v/>
      </c>
      <c r="K50" s="18">
        <f>IF(K50="","",IFERROR(E50+I50,0))</f>
        <v/>
      </c>
      <c r="L50" s="18">
        <f>IF(K50="","",IFERROR(K50*L50,0))</f>
        <v/>
      </c>
      <c r="M50" s="22" t="n"/>
      <c r="N50" s="22" t="n"/>
    </row>
    <row r="51" ht="22" customHeight="1">
      <c r="B51" s="21">
        <f>IF(C51="","CET"&amp;TEXT(COUNTA($C$5:C51),"000"))</f>
        <v/>
      </c>
      <c r="C51" s="21" t="n"/>
      <c r="D51" s="21">
        <f>IF(C51="","",VLOOKUP(C51,'_Données Employés'!$B$5:$S$114,3,FALSE))</f>
        <v/>
      </c>
      <c r="E51" s="21">
        <f>IF(C51="","",VLOOKUP(C51,'_Données Employés'!$B$5:$S$114,10,FALSE))</f>
        <v/>
      </c>
      <c r="F51" s="21" t="n"/>
      <c r="G51" s="21" t="n"/>
      <c r="H51" s="21" t="n"/>
      <c r="I51" s="21" t="n"/>
      <c r="J51" s="16">
        <f>IF(OR(E51="",F51="",G51="",H51=""),"",IFERROR(E51+F51-G51-H51,0))</f>
        <v/>
      </c>
      <c r="K51" s="16">
        <f>IF(K51="","",IFERROR(E51+I51,0))</f>
        <v/>
      </c>
      <c r="L51" s="16">
        <f>IF(K51="","",IFERROR(K51*L51,0))</f>
        <v/>
      </c>
      <c r="M51" s="21" t="n"/>
      <c r="N51" s="21" t="n"/>
    </row>
    <row r="52" ht="22" customHeight="1">
      <c r="B52" s="22">
        <f>IF(C52="","CET"&amp;TEXT(COUNTA($C$5:C52),"000"))</f>
        <v/>
      </c>
      <c r="C52" s="22" t="n"/>
      <c r="D52" s="22">
        <f>IF(C52="","",VLOOKUP(C52,'_Données Employés'!$B$5:$S$114,3,FALSE))</f>
        <v/>
      </c>
      <c r="E52" s="22">
        <f>IF(C52="","",VLOOKUP(C52,'_Données Employés'!$B$5:$S$114,10,FALSE))</f>
        <v/>
      </c>
      <c r="F52" s="22" t="n"/>
      <c r="G52" s="22" t="n"/>
      <c r="H52" s="22" t="n"/>
      <c r="I52" s="22" t="n"/>
      <c r="J52" s="18">
        <f>IF(OR(E52="",F52="",G52="",H52=""),"",IFERROR(E52+F52-G52-H52,0))</f>
        <v/>
      </c>
      <c r="K52" s="18">
        <f>IF(K52="","",IFERROR(E52+I52,0))</f>
        <v/>
      </c>
      <c r="L52" s="18">
        <f>IF(K52="","",IFERROR(K52*L52,0))</f>
        <v/>
      </c>
      <c r="M52" s="22" t="n"/>
      <c r="N52" s="22" t="n"/>
    </row>
    <row r="53" ht="22" customHeight="1">
      <c r="B53" s="21">
        <f>IF(C53="","CET"&amp;TEXT(COUNTA($C$5:C53),"000"))</f>
        <v/>
      </c>
      <c r="C53" s="21" t="n"/>
      <c r="D53" s="21">
        <f>IF(C53="","",VLOOKUP(C53,'_Données Employés'!$B$5:$S$114,3,FALSE))</f>
        <v/>
      </c>
      <c r="E53" s="21">
        <f>IF(C53="","",VLOOKUP(C53,'_Données Employés'!$B$5:$S$114,10,FALSE))</f>
        <v/>
      </c>
      <c r="F53" s="21" t="n"/>
      <c r="G53" s="21" t="n"/>
      <c r="H53" s="21" t="n"/>
      <c r="I53" s="21" t="n"/>
      <c r="J53" s="16">
        <f>IF(OR(E53="",F53="",G53="",H53=""),"",IFERROR(E53+F53-G53-H53,0))</f>
        <v/>
      </c>
      <c r="K53" s="16">
        <f>IF(K53="","",IFERROR(E53+I53,0))</f>
        <v/>
      </c>
      <c r="L53" s="16">
        <f>IF(K53="","",IFERROR(K53*L53,0))</f>
        <v/>
      </c>
      <c r="M53" s="21" t="n"/>
      <c r="N53" s="21" t="n"/>
    </row>
    <row r="54" ht="22" customHeight="1">
      <c r="B54" s="22">
        <f>IF(C54="","CET"&amp;TEXT(COUNTA($C$5:C54),"000"))</f>
        <v/>
      </c>
      <c r="C54" s="22" t="n"/>
      <c r="D54" s="22">
        <f>IF(C54="","",VLOOKUP(C54,'_Données Employés'!$B$5:$S$114,3,FALSE))</f>
        <v/>
      </c>
      <c r="E54" s="22">
        <f>IF(C54="","",VLOOKUP(C54,'_Données Employés'!$B$5:$S$114,10,FALSE))</f>
        <v/>
      </c>
      <c r="F54" s="22" t="n"/>
      <c r="G54" s="22" t="n"/>
      <c r="H54" s="22" t="n"/>
      <c r="I54" s="22" t="n"/>
      <c r="J54" s="18">
        <f>IF(OR(E54="",F54="",G54="",H54=""),"",IFERROR(E54+F54-G54-H54,0))</f>
        <v/>
      </c>
      <c r="K54" s="18">
        <f>IF(K54="","",IFERROR(E54+I54,0))</f>
        <v/>
      </c>
      <c r="L54" s="18">
        <f>IF(K54="","",IFERROR(K54*L54,0))</f>
        <v/>
      </c>
      <c r="M54" s="22" t="n"/>
      <c r="N54" s="22" t="n"/>
    </row>
    <row r="55" ht="22" customHeight="1">
      <c r="B55" s="21">
        <f>IF(C55="","CET"&amp;TEXT(COUNTA($C$5:C55),"000"))</f>
        <v/>
      </c>
      <c r="C55" s="21" t="n"/>
      <c r="D55" s="21">
        <f>IF(C55="","",VLOOKUP(C55,'_Données Employés'!$B$5:$S$114,3,FALSE))</f>
        <v/>
      </c>
      <c r="E55" s="21">
        <f>IF(C55="","",VLOOKUP(C55,'_Données Employés'!$B$5:$S$114,10,FALSE))</f>
        <v/>
      </c>
      <c r="F55" s="21" t="n"/>
      <c r="G55" s="21" t="n"/>
      <c r="H55" s="21" t="n"/>
      <c r="I55" s="21" t="n"/>
      <c r="J55" s="16">
        <f>IF(OR(E55="",F55="",G55="",H55=""),"",IFERROR(E55+F55-G55-H55,0))</f>
        <v/>
      </c>
      <c r="K55" s="16">
        <f>IF(K55="","",IFERROR(E55+I55,0))</f>
        <v/>
      </c>
      <c r="L55" s="16">
        <f>IF(K55="","",IFERROR(K55*L55,0))</f>
        <v/>
      </c>
      <c r="M55" s="21" t="n"/>
      <c r="N55" s="21" t="n"/>
    </row>
    <row r="56" ht="22" customHeight="1">
      <c r="B56" s="22">
        <f>IF(C56="","CET"&amp;TEXT(COUNTA($C$5:C56),"000"))</f>
        <v/>
      </c>
      <c r="C56" s="22" t="n"/>
      <c r="D56" s="22">
        <f>IF(C56="","",VLOOKUP(C56,'_Données Employés'!$B$5:$S$114,3,FALSE))</f>
        <v/>
      </c>
      <c r="E56" s="22">
        <f>IF(C56="","",VLOOKUP(C56,'_Données Employés'!$B$5:$S$114,10,FALSE))</f>
        <v/>
      </c>
      <c r="F56" s="22" t="n"/>
      <c r="G56" s="22" t="n"/>
      <c r="H56" s="22" t="n"/>
      <c r="I56" s="22" t="n"/>
      <c r="J56" s="18">
        <f>IF(OR(E56="",F56="",G56="",H56=""),"",IFERROR(E56+F56-G56-H56,0))</f>
        <v/>
      </c>
      <c r="K56" s="18">
        <f>IF(K56="","",IFERROR(E56+I56,0))</f>
        <v/>
      </c>
      <c r="L56" s="18">
        <f>IF(K56="","",IFERROR(K56*L56,0))</f>
        <v/>
      </c>
      <c r="M56" s="22" t="n"/>
      <c r="N56" s="22" t="n"/>
    </row>
    <row r="57" ht="22" customHeight="1">
      <c r="B57" s="21">
        <f>IF(C57="","CET"&amp;TEXT(COUNTA($C$5:C57),"000"))</f>
        <v/>
      </c>
      <c r="C57" s="21" t="n"/>
      <c r="D57" s="21">
        <f>IF(C57="","",VLOOKUP(C57,'_Données Employés'!$B$5:$S$114,3,FALSE))</f>
        <v/>
      </c>
      <c r="E57" s="21">
        <f>IF(C57="","",VLOOKUP(C57,'_Données Employés'!$B$5:$S$114,10,FALSE))</f>
        <v/>
      </c>
      <c r="F57" s="21" t="n"/>
      <c r="G57" s="21" t="n"/>
      <c r="H57" s="21" t="n"/>
      <c r="I57" s="21" t="n"/>
      <c r="J57" s="16">
        <f>IF(OR(E57="",F57="",G57="",H57=""),"",IFERROR(E57+F57-G57-H57,0))</f>
        <v/>
      </c>
      <c r="K57" s="16">
        <f>IF(K57="","",IFERROR(E57+I57,0))</f>
        <v/>
      </c>
      <c r="L57" s="16">
        <f>IF(K57="","",IFERROR(K57*L57,0))</f>
        <v/>
      </c>
      <c r="M57" s="21" t="n"/>
      <c r="N57" s="21" t="n"/>
    </row>
    <row r="58" ht="22" customHeight="1">
      <c r="B58" s="22">
        <f>IF(C58="","CET"&amp;TEXT(COUNTA($C$5:C58),"000"))</f>
        <v/>
      </c>
      <c r="C58" s="22" t="n"/>
      <c r="D58" s="22">
        <f>IF(C58="","",VLOOKUP(C58,'_Données Employés'!$B$5:$S$114,3,FALSE))</f>
        <v/>
      </c>
      <c r="E58" s="22">
        <f>IF(C58="","",VLOOKUP(C58,'_Données Employés'!$B$5:$S$114,10,FALSE))</f>
        <v/>
      </c>
      <c r="F58" s="22" t="n"/>
      <c r="G58" s="22" t="n"/>
      <c r="H58" s="22" t="n"/>
      <c r="I58" s="22" t="n"/>
      <c r="J58" s="18">
        <f>IF(OR(E58="",F58="",G58="",H58=""),"",IFERROR(E58+F58-G58-H58,0))</f>
        <v/>
      </c>
      <c r="K58" s="18">
        <f>IF(K58="","",IFERROR(E58+I58,0))</f>
        <v/>
      </c>
      <c r="L58" s="18">
        <f>IF(K58="","",IFERROR(K58*L58,0))</f>
        <v/>
      </c>
      <c r="M58" s="22" t="n"/>
      <c r="N58" s="22" t="n"/>
    </row>
    <row r="59" ht="22" customHeight="1">
      <c r="B59" s="21">
        <f>IF(C59="","CET"&amp;TEXT(COUNTA($C$5:C59),"000"))</f>
        <v/>
      </c>
      <c r="C59" s="21" t="n"/>
      <c r="D59" s="21">
        <f>IF(C59="","",VLOOKUP(C59,'_Données Employés'!$B$5:$S$114,3,FALSE))</f>
        <v/>
      </c>
      <c r="E59" s="21">
        <f>IF(C59="","",VLOOKUP(C59,'_Données Employés'!$B$5:$S$114,10,FALSE))</f>
        <v/>
      </c>
      <c r="F59" s="21" t="n"/>
      <c r="G59" s="21" t="n"/>
      <c r="H59" s="21" t="n"/>
      <c r="I59" s="21" t="n"/>
      <c r="J59" s="16">
        <f>IF(OR(E59="",F59="",G59="",H59=""),"",IFERROR(E59+F59-G59-H59,0))</f>
        <v/>
      </c>
      <c r="K59" s="16">
        <f>IF(K59="","",IFERROR(E59+I59,0))</f>
        <v/>
      </c>
      <c r="L59" s="16">
        <f>IF(K59="","",IFERROR(K59*L59,0))</f>
        <v/>
      </c>
      <c r="M59" s="21" t="n"/>
      <c r="N59" s="21" t="n"/>
    </row>
    <row r="60" ht="22" customHeight="1">
      <c r="B60" s="22">
        <f>IF(C60="","CET"&amp;TEXT(COUNTA($C$5:C60),"000"))</f>
        <v/>
      </c>
      <c r="C60" s="22" t="n"/>
      <c r="D60" s="22">
        <f>IF(C60="","",VLOOKUP(C60,'_Données Employés'!$B$5:$S$114,3,FALSE))</f>
        <v/>
      </c>
      <c r="E60" s="22">
        <f>IF(C60="","",VLOOKUP(C60,'_Données Employés'!$B$5:$S$114,10,FALSE))</f>
        <v/>
      </c>
      <c r="F60" s="22" t="n"/>
      <c r="G60" s="22" t="n"/>
      <c r="H60" s="22" t="n"/>
      <c r="I60" s="22" t="n"/>
      <c r="J60" s="18">
        <f>IF(OR(E60="",F60="",G60="",H60=""),"",IFERROR(E60+F60-G60-H60,0))</f>
        <v/>
      </c>
      <c r="K60" s="18">
        <f>IF(K60="","",IFERROR(E60+I60,0))</f>
        <v/>
      </c>
      <c r="L60" s="18">
        <f>IF(K60="","",IFERROR(K60*L60,0))</f>
        <v/>
      </c>
      <c r="M60" s="22" t="n"/>
      <c r="N60" s="22" t="n"/>
    </row>
    <row r="61" ht="22" customHeight="1">
      <c r="B61" s="21">
        <f>IF(C61="","CET"&amp;TEXT(COUNTA($C$5:C61),"000"))</f>
        <v/>
      </c>
      <c r="C61" s="21" t="n"/>
      <c r="D61" s="21">
        <f>IF(C61="","",VLOOKUP(C61,'_Données Employés'!$B$5:$S$114,3,FALSE))</f>
        <v/>
      </c>
      <c r="E61" s="21">
        <f>IF(C61="","",VLOOKUP(C61,'_Données Employés'!$B$5:$S$114,10,FALSE))</f>
        <v/>
      </c>
      <c r="F61" s="21" t="n"/>
      <c r="G61" s="21" t="n"/>
      <c r="H61" s="21" t="n"/>
      <c r="I61" s="21" t="n"/>
      <c r="J61" s="16">
        <f>IF(OR(E61="",F61="",G61="",H61=""),"",IFERROR(E61+F61-G61-H61,0))</f>
        <v/>
      </c>
      <c r="K61" s="16">
        <f>IF(K61="","",IFERROR(E61+I61,0))</f>
        <v/>
      </c>
      <c r="L61" s="16">
        <f>IF(K61="","",IFERROR(K61*L61,0))</f>
        <v/>
      </c>
      <c r="M61" s="21" t="n"/>
      <c r="N61" s="21" t="n"/>
    </row>
    <row r="62" ht="22" customHeight="1">
      <c r="B62" s="22">
        <f>IF(C62="","CET"&amp;TEXT(COUNTA($C$5:C62),"000"))</f>
        <v/>
      </c>
      <c r="C62" s="22" t="n"/>
      <c r="D62" s="22">
        <f>IF(C62="","",VLOOKUP(C62,'_Données Employés'!$B$5:$S$114,3,FALSE))</f>
        <v/>
      </c>
      <c r="E62" s="22">
        <f>IF(C62="","",VLOOKUP(C62,'_Données Employés'!$B$5:$S$114,10,FALSE))</f>
        <v/>
      </c>
      <c r="F62" s="22" t="n"/>
      <c r="G62" s="22" t="n"/>
      <c r="H62" s="22" t="n"/>
      <c r="I62" s="22" t="n"/>
      <c r="J62" s="18">
        <f>IF(OR(E62="",F62="",G62="",H62=""),"",IFERROR(E62+F62-G62-H62,0))</f>
        <v/>
      </c>
      <c r="K62" s="18">
        <f>IF(K62="","",IFERROR(E62+I62,0))</f>
        <v/>
      </c>
      <c r="L62" s="18">
        <f>IF(K62="","",IFERROR(K62*L62,0))</f>
        <v/>
      </c>
      <c r="M62" s="22" t="n"/>
      <c r="N62" s="22" t="n"/>
    </row>
    <row r="63" ht="22" customHeight="1">
      <c r="B63" s="21">
        <f>IF(C63="","CET"&amp;TEXT(COUNTA($C$5:C63),"000"))</f>
        <v/>
      </c>
      <c r="C63" s="21" t="n"/>
      <c r="D63" s="21">
        <f>IF(C63="","",VLOOKUP(C63,'_Données Employés'!$B$5:$S$114,3,FALSE))</f>
        <v/>
      </c>
      <c r="E63" s="21">
        <f>IF(C63="","",VLOOKUP(C63,'_Données Employés'!$B$5:$S$114,10,FALSE))</f>
        <v/>
      </c>
      <c r="F63" s="21" t="n"/>
      <c r="G63" s="21" t="n"/>
      <c r="H63" s="21" t="n"/>
      <c r="I63" s="21" t="n"/>
      <c r="J63" s="16">
        <f>IF(OR(E63="",F63="",G63="",H63=""),"",IFERROR(E63+F63-G63-H63,0))</f>
        <v/>
      </c>
      <c r="K63" s="16">
        <f>IF(K63="","",IFERROR(E63+I63,0))</f>
        <v/>
      </c>
      <c r="L63" s="16">
        <f>IF(K63="","",IFERROR(K63*L63,0))</f>
        <v/>
      </c>
      <c r="M63" s="21" t="n"/>
      <c r="N63" s="21" t="n"/>
    </row>
    <row r="64" ht="22" customHeight="1">
      <c r="B64" s="22">
        <f>IF(C64="","CET"&amp;TEXT(COUNTA($C$5:C64),"000"))</f>
        <v/>
      </c>
      <c r="C64" s="22" t="n"/>
      <c r="D64" s="22">
        <f>IF(C64="","",VLOOKUP(C64,'_Données Employés'!$B$5:$S$114,3,FALSE))</f>
        <v/>
      </c>
      <c r="E64" s="22">
        <f>IF(C64="","",VLOOKUP(C64,'_Données Employés'!$B$5:$S$114,10,FALSE))</f>
        <v/>
      </c>
      <c r="F64" s="22" t="n"/>
      <c r="G64" s="22" t="n"/>
      <c r="H64" s="22" t="n"/>
      <c r="I64" s="22" t="n"/>
      <c r="J64" s="18">
        <f>IF(OR(E64="",F64="",G64="",H64=""),"",IFERROR(E64+F64-G64-H64,0))</f>
        <v/>
      </c>
      <c r="K64" s="18">
        <f>IF(K64="","",IFERROR(E64+I64,0))</f>
        <v/>
      </c>
      <c r="L64" s="18">
        <f>IF(K64="","",IFERROR(K64*L64,0))</f>
        <v/>
      </c>
      <c r="M64" s="22" t="n"/>
      <c r="N64" s="22" t="n"/>
    </row>
    <row r="65" ht="22" customHeight="1">
      <c r="B65" s="21">
        <f>IF(C65="","CET"&amp;TEXT(COUNTA($C$5:C65),"000"))</f>
        <v/>
      </c>
      <c r="C65" s="21" t="n"/>
      <c r="D65" s="21">
        <f>IF(C65="","",VLOOKUP(C65,'_Données Employés'!$B$5:$S$114,3,FALSE))</f>
        <v/>
      </c>
      <c r="E65" s="21">
        <f>IF(C65="","",VLOOKUP(C65,'_Données Employés'!$B$5:$S$114,10,FALSE))</f>
        <v/>
      </c>
      <c r="F65" s="21" t="n"/>
      <c r="G65" s="21" t="n"/>
      <c r="H65" s="21" t="n"/>
      <c r="I65" s="21" t="n"/>
      <c r="J65" s="16">
        <f>IF(OR(E65="",F65="",G65="",H65=""),"",IFERROR(E65+F65-G65-H65,0))</f>
        <v/>
      </c>
      <c r="K65" s="16">
        <f>IF(K65="","",IFERROR(E65+I65,0))</f>
        <v/>
      </c>
      <c r="L65" s="16">
        <f>IF(K65="","",IFERROR(K65*L65,0))</f>
        <v/>
      </c>
      <c r="M65" s="21" t="n"/>
      <c r="N65" s="21" t="n"/>
    </row>
    <row r="66" ht="22" customHeight="1">
      <c r="B66" s="22">
        <f>IF(C66="","CET"&amp;TEXT(COUNTA($C$5:C66),"000"))</f>
        <v/>
      </c>
      <c r="C66" s="22" t="n"/>
      <c r="D66" s="22">
        <f>IF(C66="","",VLOOKUP(C66,'_Données Employés'!$B$5:$S$114,3,FALSE))</f>
        <v/>
      </c>
      <c r="E66" s="22">
        <f>IF(C66="","",VLOOKUP(C66,'_Données Employés'!$B$5:$S$114,10,FALSE))</f>
        <v/>
      </c>
      <c r="F66" s="22" t="n"/>
      <c r="G66" s="22" t="n"/>
      <c r="H66" s="22" t="n"/>
      <c r="I66" s="22" t="n"/>
      <c r="J66" s="18">
        <f>IF(OR(E66="",F66="",G66="",H66=""),"",IFERROR(E66+F66-G66-H66,0))</f>
        <v/>
      </c>
      <c r="K66" s="18">
        <f>IF(K66="","",IFERROR(E66+I66,0))</f>
        <v/>
      </c>
      <c r="L66" s="18">
        <f>IF(K66="","",IFERROR(K66*L66,0))</f>
        <v/>
      </c>
      <c r="M66" s="22" t="n"/>
      <c r="N66" s="22" t="n"/>
    </row>
    <row r="67" ht="22" customHeight="1">
      <c r="B67" s="21">
        <f>IF(C67="","CET"&amp;TEXT(COUNTA($C$5:C67),"000"))</f>
        <v/>
      </c>
      <c r="C67" s="21" t="n"/>
      <c r="D67" s="21">
        <f>IF(C67="","",VLOOKUP(C67,'_Données Employés'!$B$5:$S$114,3,FALSE))</f>
        <v/>
      </c>
      <c r="E67" s="21">
        <f>IF(C67="","",VLOOKUP(C67,'_Données Employés'!$B$5:$S$114,10,FALSE))</f>
        <v/>
      </c>
      <c r="F67" s="21" t="n"/>
      <c r="G67" s="21" t="n"/>
      <c r="H67" s="21" t="n"/>
      <c r="I67" s="21" t="n"/>
      <c r="J67" s="16">
        <f>IF(OR(E67="",F67="",G67="",H67=""),"",IFERROR(E67+F67-G67-H67,0))</f>
        <v/>
      </c>
      <c r="K67" s="16">
        <f>IF(K67="","",IFERROR(E67+I67,0))</f>
        <v/>
      </c>
      <c r="L67" s="16">
        <f>IF(K67="","",IFERROR(K67*L67,0))</f>
        <v/>
      </c>
      <c r="M67" s="21" t="n"/>
      <c r="N67" s="21" t="n"/>
    </row>
    <row r="68" ht="22" customHeight="1">
      <c r="B68" s="22">
        <f>IF(C68="","CET"&amp;TEXT(COUNTA($C$5:C68),"000"))</f>
        <v/>
      </c>
      <c r="C68" s="22" t="n"/>
      <c r="D68" s="22">
        <f>IF(C68="","",VLOOKUP(C68,'_Données Employés'!$B$5:$S$114,3,FALSE))</f>
        <v/>
      </c>
      <c r="E68" s="22">
        <f>IF(C68="","",VLOOKUP(C68,'_Données Employés'!$B$5:$S$114,10,FALSE))</f>
        <v/>
      </c>
      <c r="F68" s="22" t="n"/>
      <c r="G68" s="22" t="n"/>
      <c r="H68" s="22" t="n"/>
      <c r="I68" s="22" t="n"/>
      <c r="J68" s="18">
        <f>IF(OR(E68="",F68="",G68="",H68=""),"",IFERROR(E68+F68-G68-H68,0))</f>
        <v/>
      </c>
      <c r="K68" s="18">
        <f>IF(K68="","",IFERROR(E68+I68,0))</f>
        <v/>
      </c>
      <c r="L68" s="18">
        <f>IF(K68="","",IFERROR(K68*L68,0))</f>
        <v/>
      </c>
      <c r="M68" s="22" t="n"/>
      <c r="N68" s="22" t="n"/>
    </row>
    <row r="69" ht="22" customHeight="1">
      <c r="B69" s="21">
        <f>IF(C69="","CET"&amp;TEXT(COUNTA($C$5:C69),"000"))</f>
        <v/>
      </c>
      <c r="C69" s="21" t="n"/>
      <c r="D69" s="21">
        <f>IF(C69="","",VLOOKUP(C69,'_Données Employés'!$B$5:$S$114,3,FALSE))</f>
        <v/>
      </c>
      <c r="E69" s="21">
        <f>IF(C69="","",VLOOKUP(C69,'_Données Employés'!$B$5:$S$114,10,FALSE))</f>
        <v/>
      </c>
      <c r="F69" s="21" t="n"/>
      <c r="G69" s="21" t="n"/>
      <c r="H69" s="21" t="n"/>
      <c r="I69" s="21" t="n"/>
      <c r="J69" s="16">
        <f>IF(OR(E69="",F69="",G69="",H69=""),"",IFERROR(E69+F69-G69-H69,0))</f>
        <v/>
      </c>
      <c r="K69" s="16">
        <f>IF(K69="","",IFERROR(E69+I69,0))</f>
        <v/>
      </c>
      <c r="L69" s="16">
        <f>IF(K69="","",IFERROR(K69*L69,0))</f>
        <v/>
      </c>
      <c r="M69" s="21" t="n"/>
      <c r="N69" s="21" t="n"/>
    </row>
    <row r="70" ht="22" customHeight="1">
      <c r="B70" s="22">
        <f>IF(C70="","CET"&amp;TEXT(COUNTA($C$5:C70),"000"))</f>
        <v/>
      </c>
      <c r="C70" s="22" t="n"/>
      <c r="D70" s="22">
        <f>IF(C70="","",VLOOKUP(C70,'_Données Employés'!$B$5:$S$114,3,FALSE))</f>
        <v/>
      </c>
      <c r="E70" s="22">
        <f>IF(C70="","",VLOOKUP(C70,'_Données Employés'!$B$5:$S$114,10,FALSE))</f>
        <v/>
      </c>
      <c r="F70" s="22" t="n"/>
      <c r="G70" s="22" t="n"/>
      <c r="H70" s="22" t="n"/>
      <c r="I70" s="22" t="n"/>
      <c r="J70" s="18">
        <f>IF(OR(E70="",F70="",G70="",H70=""),"",IFERROR(E70+F70-G70-H70,0))</f>
        <v/>
      </c>
      <c r="K70" s="18">
        <f>IF(K70="","",IFERROR(E70+I70,0))</f>
        <v/>
      </c>
      <c r="L70" s="18">
        <f>IF(K70="","",IFERROR(K70*L70,0))</f>
        <v/>
      </c>
      <c r="M70" s="22" t="n"/>
      <c r="N70" s="22" t="n"/>
    </row>
    <row r="71" ht="22" customHeight="1">
      <c r="B71" s="21">
        <f>IF(C71="","CET"&amp;TEXT(COUNTA($C$5:C71),"000"))</f>
        <v/>
      </c>
      <c r="C71" s="21" t="n"/>
      <c r="D71" s="21">
        <f>IF(C71="","",VLOOKUP(C71,'_Données Employés'!$B$5:$S$114,3,FALSE))</f>
        <v/>
      </c>
      <c r="E71" s="21">
        <f>IF(C71="","",VLOOKUP(C71,'_Données Employés'!$B$5:$S$114,10,FALSE))</f>
        <v/>
      </c>
      <c r="F71" s="21" t="n"/>
      <c r="G71" s="21" t="n"/>
      <c r="H71" s="21" t="n"/>
      <c r="I71" s="21" t="n"/>
      <c r="J71" s="16">
        <f>IF(OR(E71="",F71="",G71="",H71=""),"",IFERROR(E71+F71-G71-H71,0))</f>
        <v/>
      </c>
      <c r="K71" s="16">
        <f>IF(K71="","",IFERROR(E71+I71,0))</f>
        <v/>
      </c>
      <c r="L71" s="16">
        <f>IF(K71="","",IFERROR(K71*L71,0))</f>
        <v/>
      </c>
      <c r="M71" s="21" t="n"/>
      <c r="N71" s="21" t="n"/>
    </row>
    <row r="72" ht="22" customHeight="1">
      <c r="B72" s="22">
        <f>IF(C72="","CET"&amp;TEXT(COUNTA($C$5:C72),"000"))</f>
        <v/>
      </c>
      <c r="C72" s="22" t="n"/>
      <c r="D72" s="22">
        <f>IF(C72="","",VLOOKUP(C72,'_Données Employés'!$B$5:$S$114,3,FALSE))</f>
        <v/>
      </c>
      <c r="E72" s="22">
        <f>IF(C72="","",VLOOKUP(C72,'_Données Employés'!$B$5:$S$114,10,FALSE))</f>
        <v/>
      </c>
      <c r="F72" s="22" t="n"/>
      <c r="G72" s="22" t="n"/>
      <c r="H72" s="22" t="n"/>
      <c r="I72" s="22" t="n"/>
      <c r="J72" s="18">
        <f>IF(OR(E72="",F72="",G72="",H72=""),"",IFERROR(E72+F72-G72-H72,0))</f>
        <v/>
      </c>
      <c r="K72" s="18">
        <f>IF(K72="","",IFERROR(E72+I72,0))</f>
        <v/>
      </c>
      <c r="L72" s="18">
        <f>IF(K72="","",IFERROR(K72*L72,0))</f>
        <v/>
      </c>
      <c r="M72" s="22" t="n"/>
      <c r="N72" s="22" t="n"/>
    </row>
    <row r="73" ht="22" customHeight="1">
      <c r="B73" s="21">
        <f>IF(C73="","CET"&amp;TEXT(COUNTA($C$5:C73),"000"))</f>
        <v/>
      </c>
      <c r="C73" s="21" t="n"/>
      <c r="D73" s="21">
        <f>IF(C73="","",VLOOKUP(C73,'_Données Employés'!$B$5:$S$114,3,FALSE))</f>
        <v/>
      </c>
      <c r="E73" s="21">
        <f>IF(C73="","",VLOOKUP(C73,'_Données Employés'!$B$5:$S$114,10,FALSE))</f>
        <v/>
      </c>
      <c r="F73" s="21" t="n"/>
      <c r="G73" s="21" t="n"/>
      <c r="H73" s="21" t="n"/>
      <c r="I73" s="21" t="n"/>
      <c r="J73" s="16">
        <f>IF(OR(E73="",F73="",G73="",H73=""),"",IFERROR(E73+F73-G73-H73,0))</f>
        <v/>
      </c>
      <c r="K73" s="16">
        <f>IF(K73="","",IFERROR(E73+I73,0))</f>
        <v/>
      </c>
      <c r="L73" s="16">
        <f>IF(K73="","",IFERROR(K73*L73,0))</f>
        <v/>
      </c>
      <c r="M73" s="21" t="n"/>
      <c r="N73" s="21" t="n"/>
    </row>
    <row r="74" ht="22" customHeight="1">
      <c r="B74" s="22">
        <f>IF(C74="","CET"&amp;TEXT(COUNTA($C$5:C74),"000"))</f>
        <v/>
      </c>
      <c r="C74" s="22" t="n"/>
      <c r="D74" s="22">
        <f>IF(C74="","",VLOOKUP(C74,'_Données Employés'!$B$5:$S$114,3,FALSE))</f>
        <v/>
      </c>
      <c r="E74" s="22">
        <f>IF(C74="","",VLOOKUP(C74,'_Données Employés'!$B$5:$S$114,10,FALSE))</f>
        <v/>
      </c>
      <c r="F74" s="22" t="n"/>
      <c r="G74" s="22" t="n"/>
      <c r="H74" s="22" t="n"/>
      <c r="I74" s="22" t="n"/>
      <c r="J74" s="18">
        <f>IF(OR(E74="",F74="",G74="",H74=""),"",IFERROR(E74+F74-G74-H74,0))</f>
        <v/>
      </c>
      <c r="K74" s="18">
        <f>IF(K74="","",IFERROR(E74+I74,0))</f>
        <v/>
      </c>
      <c r="L74" s="18">
        <f>IF(K74="","",IFERROR(K74*L74,0))</f>
        <v/>
      </c>
      <c r="M74" s="22" t="n"/>
      <c r="N74" s="22" t="n"/>
    </row>
    <row r="75" ht="22" customHeight="1">
      <c r="B75" s="21">
        <f>IF(C75="","CET"&amp;TEXT(COUNTA($C$5:C75),"000"))</f>
        <v/>
      </c>
      <c r="C75" s="21" t="n"/>
      <c r="D75" s="21">
        <f>IF(C75="","",VLOOKUP(C75,'_Données Employés'!$B$5:$S$114,3,FALSE))</f>
        <v/>
      </c>
      <c r="E75" s="21">
        <f>IF(C75="","",VLOOKUP(C75,'_Données Employés'!$B$5:$S$114,10,FALSE))</f>
        <v/>
      </c>
      <c r="F75" s="21" t="n"/>
      <c r="G75" s="21" t="n"/>
      <c r="H75" s="21" t="n"/>
      <c r="I75" s="21" t="n"/>
      <c r="J75" s="16">
        <f>IF(OR(E75="",F75="",G75="",H75=""),"",IFERROR(E75+F75-G75-H75,0))</f>
        <v/>
      </c>
      <c r="K75" s="16">
        <f>IF(K75="","",IFERROR(E75+I75,0))</f>
        <v/>
      </c>
      <c r="L75" s="16">
        <f>IF(K75="","",IFERROR(K75*L75,0))</f>
        <v/>
      </c>
      <c r="M75" s="21" t="n"/>
      <c r="N75" s="21" t="n"/>
    </row>
    <row r="76" ht="22" customHeight="1">
      <c r="B76" s="22">
        <f>IF(C76="","CET"&amp;TEXT(COUNTA($C$5:C76),"000"))</f>
        <v/>
      </c>
      <c r="C76" s="22" t="n"/>
      <c r="D76" s="22">
        <f>IF(C76="","",VLOOKUP(C76,'_Données Employés'!$B$5:$S$114,3,FALSE))</f>
        <v/>
      </c>
      <c r="E76" s="22">
        <f>IF(C76="","",VLOOKUP(C76,'_Données Employés'!$B$5:$S$114,10,FALSE))</f>
        <v/>
      </c>
      <c r="F76" s="22" t="n"/>
      <c r="G76" s="22" t="n"/>
      <c r="H76" s="22" t="n"/>
      <c r="I76" s="22" t="n"/>
      <c r="J76" s="18">
        <f>IF(OR(E76="",F76="",G76="",H76=""),"",IFERROR(E76+F76-G76-H76,0))</f>
        <v/>
      </c>
      <c r="K76" s="18">
        <f>IF(K76="","",IFERROR(E76+I76,0))</f>
        <v/>
      </c>
      <c r="L76" s="18">
        <f>IF(K76="","",IFERROR(K76*L76,0))</f>
        <v/>
      </c>
      <c r="M76" s="22" t="n"/>
      <c r="N76" s="22" t="n"/>
    </row>
    <row r="77" ht="22" customHeight="1">
      <c r="B77" s="21">
        <f>IF(C77="","CET"&amp;TEXT(COUNTA($C$5:C77),"000"))</f>
        <v/>
      </c>
      <c r="C77" s="21" t="n"/>
      <c r="D77" s="21">
        <f>IF(C77="","",VLOOKUP(C77,'_Données Employés'!$B$5:$S$114,3,FALSE))</f>
        <v/>
      </c>
      <c r="E77" s="21">
        <f>IF(C77="","",VLOOKUP(C77,'_Données Employés'!$B$5:$S$114,10,FALSE))</f>
        <v/>
      </c>
      <c r="F77" s="21" t="n"/>
      <c r="G77" s="21" t="n"/>
      <c r="H77" s="21" t="n"/>
      <c r="I77" s="21" t="n"/>
      <c r="J77" s="16">
        <f>IF(OR(E77="",F77="",G77="",H77=""),"",IFERROR(E77+F77-G77-H77,0))</f>
        <v/>
      </c>
      <c r="K77" s="16">
        <f>IF(K77="","",IFERROR(E77+I77,0))</f>
        <v/>
      </c>
      <c r="L77" s="16">
        <f>IF(K77="","",IFERROR(K77*L77,0))</f>
        <v/>
      </c>
      <c r="M77" s="21" t="n"/>
      <c r="N77" s="21" t="n"/>
    </row>
    <row r="78" ht="22" customHeight="1">
      <c r="B78" s="22">
        <f>IF(C78="","CET"&amp;TEXT(COUNTA($C$5:C78),"000"))</f>
        <v/>
      </c>
      <c r="C78" s="22" t="n"/>
      <c r="D78" s="22">
        <f>IF(C78="","",VLOOKUP(C78,'_Données Employés'!$B$5:$S$114,3,FALSE))</f>
        <v/>
      </c>
      <c r="E78" s="22">
        <f>IF(C78="","",VLOOKUP(C78,'_Données Employés'!$B$5:$S$114,10,FALSE))</f>
        <v/>
      </c>
      <c r="F78" s="22" t="n"/>
      <c r="G78" s="22" t="n"/>
      <c r="H78" s="22" t="n"/>
      <c r="I78" s="22" t="n"/>
      <c r="J78" s="18">
        <f>IF(OR(E78="",F78="",G78="",H78=""),"",IFERROR(E78+F78-G78-H78,0))</f>
        <v/>
      </c>
      <c r="K78" s="18">
        <f>IF(K78="","",IFERROR(E78+I78,0))</f>
        <v/>
      </c>
      <c r="L78" s="18">
        <f>IF(K78="","",IFERROR(K78*L78,0))</f>
        <v/>
      </c>
      <c r="M78" s="22" t="n"/>
      <c r="N78" s="22" t="n"/>
    </row>
    <row r="79" ht="22" customHeight="1">
      <c r="B79" s="21">
        <f>IF(C79="","CET"&amp;TEXT(COUNTA($C$5:C79),"000"))</f>
        <v/>
      </c>
      <c r="C79" s="21" t="n"/>
      <c r="D79" s="21">
        <f>IF(C79="","",VLOOKUP(C79,'_Données Employés'!$B$5:$S$114,3,FALSE))</f>
        <v/>
      </c>
      <c r="E79" s="21">
        <f>IF(C79="","",VLOOKUP(C79,'_Données Employés'!$B$5:$S$114,10,FALSE))</f>
        <v/>
      </c>
      <c r="F79" s="21" t="n"/>
      <c r="G79" s="21" t="n"/>
      <c r="H79" s="21" t="n"/>
      <c r="I79" s="21" t="n"/>
      <c r="J79" s="16">
        <f>IF(OR(E79="",F79="",G79="",H79=""),"",IFERROR(E79+F79-G79-H79,0))</f>
        <v/>
      </c>
      <c r="K79" s="16">
        <f>IF(K79="","",IFERROR(E79+I79,0))</f>
        <v/>
      </c>
      <c r="L79" s="16">
        <f>IF(K79="","",IFERROR(K79*L79,0))</f>
        <v/>
      </c>
      <c r="M79" s="21" t="n"/>
      <c r="N79" s="21" t="n"/>
    </row>
    <row r="80" ht="22" customHeight="1">
      <c r="B80" s="22">
        <f>IF(C80="","CET"&amp;TEXT(COUNTA($C$5:C80),"000"))</f>
        <v/>
      </c>
      <c r="C80" s="22" t="n"/>
      <c r="D80" s="22">
        <f>IF(C80="","",VLOOKUP(C80,'_Données Employés'!$B$5:$S$114,3,FALSE))</f>
        <v/>
      </c>
      <c r="E80" s="22">
        <f>IF(C80="","",VLOOKUP(C80,'_Données Employés'!$B$5:$S$114,10,FALSE))</f>
        <v/>
      </c>
      <c r="F80" s="22" t="n"/>
      <c r="G80" s="22" t="n"/>
      <c r="H80" s="22" t="n"/>
      <c r="I80" s="22" t="n"/>
      <c r="J80" s="18">
        <f>IF(OR(E80="",F80="",G80="",H80=""),"",IFERROR(E80+F80-G80-H80,0))</f>
        <v/>
      </c>
      <c r="K80" s="18">
        <f>IF(K80="","",IFERROR(E80+I80,0))</f>
        <v/>
      </c>
      <c r="L80" s="18">
        <f>IF(K80="","",IFERROR(K80*L80,0))</f>
        <v/>
      </c>
      <c r="M80" s="22" t="n"/>
      <c r="N80" s="22" t="n"/>
    </row>
    <row r="81" ht="22" customHeight="1">
      <c r="B81" s="21">
        <f>IF(C81="","CET"&amp;TEXT(COUNTA($C$5:C81),"000"))</f>
        <v/>
      </c>
      <c r="C81" s="21" t="n"/>
      <c r="D81" s="21">
        <f>IF(C81="","",VLOOKUP(C81,'_Données Employés'!$B$5:$S$114,3,FALSE))</f>
        <v/>
      </c>
      <c r="E81" s="21">
        <f>IF(C81="","",VLOOKUP(C81,'_Données Employés'!$B$5:$S$114,10,FALSE))</f>
        <v/>
      </c>
      <c r="F81" s="21" t="n"/>
      <c r="G81" s="21" t="n"/>
      <c r="H81" s="21" t="n"/>
      <c r="I81" s="21" t="n"/>
      <c r="J81" s="16">
        <f>IF(OR(E81="",F81="",G81="",H81=""),"",IFERROR(E81+F81-G81-H81,0))</f>
        <v/>
      </c>
      <c r="K81" s="16">
        <f>IF(K81="","",IFERROR(E81+I81,0))</f>
        <v/>
      </c>
      <c r="L81" s="16">
        <f>IF(K81="","",IFERROR(K81*L81,0))</f>
        <v/>
      </c>
      <c r="M81" s="21" t="n"/>
      <c r="N81" s="21" t="n"/>
    </row>
    <row r="82" ht="22" customHeight="1">
      <c r="B82" s="22">
        <f>IF(C82="","CET"&amp;TEXT(COUNTA($C$5:C82),"000"))</f>
        <v/>
      </c>
      <c r="C82" s="22" t="n"/>
      <c r="D82" s="22">
        <f>IF(C82="","",VLOOKUP(C82,'_Données Employés'!$B$5:$S$114,3,FALSE))</f>
        <v/>
      </c>
      <c r="E82" s="22">
        <f>IF(C82="","",VLOOKUP(C82,'_Données Employés'!$B$5:$S$114,10,FALSE))</f>
        <v/>
      </c>
      <c r="F82" s="22" t="n"/>
      <c r="G82" s="22" t="n"/>
      <c r="H82" s="22" t="n"/>
      <c r="I82" s="22" t="n"/>
      <c r="J82" s="18">
        <f>IF(OR(E82="",F82="",G82="",H82=""),"",IFERROR(E82+F82-G82-H82,0))</f>
        <v/>
      </c>
      <c r="K82" s="18">
        <f>IF(K82="","",IFERROR(E82+I82,0))</f>
        <v/>
      </c>
      <c r="L82" s="18">
        <f>IF(K82="","",IFERROR(K82*L82,0))</f>
        <v/>
      </c>
      <c r="M82" s="22" t="n"/>
      <c r="N82" s="22" t="n"/>
    </row>
    <row r="83" ht="22" customHeight="1">
      <c r="B83" s="21">
        <f>IF(C83="","CET"&amp;TEXT(COUNTA($C$5:C83),"000"))</f>
        <v/>
      </c>
      <c r="C83" s="21" t="n"/>
      <c r="D83" s="21">
        <f>IF(C83="","",VLOOKUP(C83,'_Données Employés'!$B$5:$S$114,3,FALSE))</f>
        <v/>
      </c>
      <c r="E83" s="21">
        <f>IF(C83="","",VLOOKUP(C83,'_Données Employés'!$B$5:$S$114,10,FALSE))</f>
        <v/>
      </c>
      <c r="F83" s="21" t="n"/>
      <c r="G83" s="21" t="n"/>
      <c r="H83" s="21" t="n"/>
      <c r="I83" s="21" t="n"/>
      <c r="J83" s="16">
        <f>IF(OR(E83="",F83="",G83="",H83=""),"",IFERROR(E83+F83-G83-H83,0))</f>
        <v/>
      </c>
      <c r="K83" s="16">
        <f>IF(K83="","",IFERROR(E83+I83,0))</f>
        <v/>
      </c>
      <c r="L83" s="16">
        <f>IF(K83="","",IFERROR(K83*L83,0))</f>
        <v/>
      </c>
      <c r="M83" s="21" t="n"/>
      <c r="N83" s="21" t="n"/>
    </row>
    <row r="84" ht="22" customHeight="1">
      <c r="B84" s="22">
        <f>IF(C84="","CET"&amp;TEXT(COUNTA($C$5:C84),"000"))</f>
        <v/>
      </c>
      <c r="C84" s="22" t="n"/>
      <c r="D84" s="22">
        <f>IF(C84="","",VLOOKUP(C84,'_Données Employés'!$B$5:$S$114,3,FALSE))</f>
        <v/>
      </c>
      <c r="E84" s="22">
        <f>IF(C84="","",VLOOKUP(C84,'_Données Employés'!$B$5:$S$114,10,FALSE))</f>
        <v/>
      </c>
      <c r="F84" s="22" t="n"/>
      <c r="G84" s="22" t="n"/>
      <c r="H84" s="22" t="n"/>
      <c r="I84" s="22" t="n"/>
      <c r="J84" s="18">
        <f>IF(OR(E84="",F84="",G84="",H84=""),"",IFERROR(E84+F84-G84-H84,0))</f>
        <v/>
      </c>
      <c r="K84" s="18">
        <f>IF(K84="","",IFERROR(E84+I84,0))</f>
        <v/>
      </c>
      <c r="L84" s="18">
        <f>IF(K84="","",IFERROR(K84*L84,0))</f>
        <v/>
      </c>
      <c r="M84" s="22" t="n"/>
      <c r="N84" s="22" t="n"/>
    </row>
    <row r="85" ht="22" customHeight="1">
      <c r="B85" s="21">
        <f>IF(C85="","CET"&amp;TEXT(COUNTA($C$5:C85),"000"))</f>
        <v/>
      </c>
      <c r="C85" s="21" t="n"/>
      <c r="D85" s="21">
        <f>IF(C85="","",VLOOKUP(C85,'_Données Employés'!$B$5:$S$114,3,FALSE))</f>
        <v/>
      </c>
      <c r="E85" s="21">
        <f>IF(C85="","",VLOOKUP(C85,'_Données Employés'!$B$5:$S$114,10,FALSE))</f>
        <v/>
      </c>
      <c r="F85" s="21" t="n"/>
      <c r="G85" s="21" t="n"/>
      <c r="H85" s="21" t="n"/>
      <c r="I85" s="21" t="n"/>
      <c r="J85" s="16">
        <f>IF(OR(E85="",F85="",G85="",H85=""),"",IFERROR(E85+F85-G85-H85,0))</f>
        <v/>
      </c>
      <c r="K85" s="16">
        <f>IF(K85="","",IFERROR(E85+I85,0))</f>
        <v/>
      </c>
      <c r="L85" s="16">
        <f>IF(K85="","",IFERROR(K85*L85,0))</f>
        <v/>
      </c>
      <c r="M85" s="21" t="n"/>
      <c r="N85" s="21" t="n"/>
    </row>
    <row r="86" ht="22" customHeight="1">
      <c r="B86" s="22">
        <f>IF(C86="","CET"&amp;TEXT(COUNTA($C$5:C86),"000"))</f>
        <v/>
      </c>
      <c r="C86" s="22" t="n"/>
      <c r="D86" s="22">
        <f>IF(C86="","",VLOOKUP(C86,'_Données Employés'!$B$5:$S$114,3,FALSE))</f>
        <v/>
      </c>
      <c r="E86" s="22">
        <f>IF(C86="","",VLOOKUP(C86,'_Données Employés'!$B$5:$S$114,10,FALSE))</f>
        <v/>
      </c>
      <c r="F86" s="22" t="n"/>
      <c r="G86" s="22" t="n"/>
      <c r="H86" s="22" t="n"/>
      <c r="I86" s="22" t="n"/>
      <c r="J86" s="18">
        <f>IF(OR(E86="",F86="",G86="",H86=""),"",IFERROR(E86+F86-G86-H86,0))</f>
        <v/>
      </c>
      <c r="K86" s="18">
        <f>IF(K86="","",IFERROR(E86+I86,0))</f>
        <v/>
      </c>
      <c r="L86" s="18">
        <f>IF(K86="","",IFERROR(K86*L86,0))</f>
        <v/>
      </c>
      <c r="M86" s="22" t="n"/>
      <c r="N86" s="22" t="n"/>
    </row>
    <row r="87" ht="22" customHeight="1">
      <c r="B87" s="21">
        <f>IF(C87="","CET"&amp;TEXT(COUNTA($C$5:C87),"000"))</f>
        <v/>
      </c>
      <c r="C87" s="21" t="n"/>
      <c r="D87" s="21">
        <f>IF(C87="","",VLOOKUP(C87,'_Données Employés'!$B$5:$S$114,3,FALSE))</f>
        <v/>
      </c>
      <c r="E87" s="21">
        <f>IF(C87="","",VLOOKUP(C87,'_Données Employés'!$B$5:$S$114,10,FALSE))</f>
        <v/>
      </c>
      <c r="F87" s="21" t="n"/>
      <c r="G87" s="21" t="n"/>
      <c r="H87" s="21" t="n"/>
      <c r="I87" s="21" t="n"/>
      <c r="J87" s="16">
        <f>IF(OR(E87="",F87="",G87="",H87=""),"",IFERROR(E87+F87-G87-H87,0))</f>
        <v/>
      </c>
      <c r="K87" s="16">
        <f>IF(K87="","",IFERROR(E87+I87,0))</f>
        <v/>
      </c>
      <c r="L87" s="16">
        <f>IF(K87="","",IFERROR(K87*L87,0))</f>
        <v/>
      </c>
      <c r="M87" s="21" t="n"/>
      <c r="N87" s="21" t="n"/>
    </row>
    <row r="88" ht="22" customHeight="1">
      <c r="B88" s="22">
        <f>IF(C88="","CET"&amp;TEXT(COUNTA($C$5:C88),"000"))</f>
        <v/>
      </c>
      <c r="C88" s="22" t="n"/>
      <c r="D88" s="22">
        <f>IF(C88="","",VLOOKUP(C88,'_Données Employés'!$B$5:$S$114,3,FALSE))</f>
        <v/>
      </c>
      <c r="E88" s="22">
        <f>IF(C88="","",VLOOKUP(C88,'_Données Employés'!$B$5:$S$114,10,FALSE))</f>
        <v/>
      </c>
      <c r="F88" s="22" t="n"/>
      <c r="G88" s="22" t="n"/>
      <c r="H88" s="22" t="n"/>
      <c r="I88" s="22" t="n"/>
      <c r="J88" s="18">
        <f>IF(OR(E88="",F88="",G88="",H88=""),"",IFERROR(E88+F88-G88-H88,0))</f>
        <v/>
      </c>
      <c r="K88" s="18">
        <f>IF(K88="","",IFERROR(E88+I88,0))</f>
        <v/>
      </c>
      <c r="L88" s="18">
        <f>IF(K88="","",IFERROR(K88*L88,0))</f>
        <v/>
      </c>
      <c r="M88" s="22" t="n"/>
      <c r="N88" s="22" t="n"/>
    </row>
    <row r="89" ht="22" customHeight="1">
      <c r="B89" s="21">
        <f>IF(C89="","CET"&amp;TEXT(COUNTA($C$5:C89),"000"))</f>
        <v/>
      </c>
      <c r="C89" s="21" t="n"/>
      <c r="D89" s="21">
        <f>IF(C89="","",VLOOKUP(C89,'_Données Employés'!$B$5:$S$114,3,FALSE))</f>
        <v/>
      </c>
      <c r="E89" s="21">
        <f>IF(C89="","",VLOOKUP(C89,'_Données Employés'!$B$5:$S$114,10,FALSE))</f>
        <v/>
      </c>
      <c r="F89" s="21" t="n"/>
      <c r="G89" s="21" t="n"/>
      <c r="H89" s="21" t="n"/>
      <c r="I89" s="21" t="n"/>
      <c r="J89" s="16">
        <f>IF(OR(E89="",F89="",G89="",H89=""),"",IFERROR(E89+F89-G89-H89,0))</f>
        <v/>
      </c>
      <c r="K89" s="16">
        <f>IF(K89="","",IFERROR(E89+I89,0))</f>
        <v/>
      </c>
      <c r="L89" s="16">
        <f>IF(K89="","",IFERROR(K89*L89,0))</f>
        <v/>
      </c>
      <c r="M89" s="21" t="n"/>
      <c r="N89" s="21" t="n"/>
    </row>
    <row r="90" ht="22" customHeight="1">
      <c r="B90" s="22">
        <f>IF(C90="","CET"&amp;TEXT(COUNTA($C$5:C90),"000"))</f>
        <v/>
      </c>
      <c r="C90" s="22" t="n"/>
      <c r="D90" s="22">
        <f>IF(C90="","",VLOOKUP(C90,'_Données Employés'!$B$5:$S$114,3,FALSE))</f>
        <v/>
      </c>
      <c r="E90" s="22">
        <f>IF(C90="","",VLOOKUP(C90,'_Données Employés'!$B$5:$S$114,10,FALSE))</f>
        <v/>
      </c>
      <c r="F90" s="22" t="n"/>
      <c r="G90" s="22" t="n"/>
      <c r="H90" s="22" t="n"/>
      <c r="I90" s="22" t="n"/>
      <c r="J90" s="18">
        <f>IF(OR(E90="",F90="",G90="",H90=""),"",IFERROR(E90+F90-G90-H90,0))</f>
        <v/>
      </c>
      <c r="K90" s="18">
        <f>IF(K90="","",IFERROR(E90+I90,0))</f>
        <v/>
      </c>
      <c r="L90" s="18">
        <f>IF(K90="","",IFERROR(K90*L90,0))</f>
        <v/>
      </c>
      <c r="M90" s="22" t="n"/>
      <c r="N90" s="22" t="n"/>
    </row>
    <row r="91" ht="22" customHeight="1">
      <c r="B91" s="21">
        <f>IF(C91="","CET"&amp;TEXT(COUNTA($C$5:C91),"000"))</f>
        <v/>
      </c>
      <c r="C91" s="21" t="n"/>
      <c r="D91" s="21">
        <f>IF(C91="","",VLOOKUP(C91,'_Données Employés'!$B$5:$S$114,3,FALSE))</f>
        <v/>
      </c>
      <c r="E91" s="21">
        <f>IF(C91="","",VLOOKUP(C91,'_Données Employés'!$B$5:$S$114,10,FALSE))</f>
        <v/>
      </c>
      <c r="F91" s="21" t="n"/>
      <c r="G91" s="21" t="n"/>
      <c r="H91" s="21" t="n"/>
      <c r="I91" s="21" t="n"/>
      <c r="J91" s="16">
        <f>IF(OR(E91="",F91="",G91="",H91=""),"",IFERROR(E91+F91-G91-H91,0))</f>
        <v/>
      </c>
      <c r="K91" s="16">
        <f>IF(K91="","",IFERROR(E91+I91,0))</f>
        <v/>
      </c>
      <c r="L91" s="16">
        <f>IF(K91="","",IFERROR(K91*L91,0))</f>
        <v/>
      </c>
      <c r="M91" s="21" t="n"/>
      <c r="N91" s="21" t="n"/>
    </row>
    <row r="92" ht="22" customHeight="1">
      <c r="B92" s="22">
        <f>IF(C92="","CET"&amp;TEXT(COUNTA($C$5:C92),"000"))</f>
        <v/>
      </c>
      <c r="C92" s="22" t="n"/>
      <c r="D92" s="22">
        <f>IF(C92="","",VLOOKUP(C92,'_Données Employés'!$B$5:$S$114,3,FALSE))</f>
        <v/>
      </c>
      <c r="E92" s="22">
        <f>IF(C92="","",VLOOKUP(C92,'_Données Employés'!$B$5:$S$114,10,FALSE))</f>
        <v/>
      </c>
      <c r="F92" s="22" t="n"/>
      <c r="G92" s="22" t="n"/>
      <c r="H92" s="22" t="n"/>
      <c r="I92" s="22" t="n"/>
      <c r="J92" s="18">
        <f>IF(OR(E92="",F92="",G92="",H92=""),"",IFERROR(E92+F92-G92-H92,0))</f>
        <v/>
      </c>
      <c r="K92" s="18">
        <f>IF(K92="","",IFERROR(E92+I92,0))</f>
        <v/>
      </c>
      <c r="L92" s="18">
        <f>IF(K92="","",IFERROR(K92*L92,0))</f>
        <v/>
      </c>
      <c r="M92" s="22" t="n"/>
      <c r="N92" s="22" t="n"/>
    </row>
    <row r="93" ht="22" customHeight="1">
      <c r="B93" s="21">
        <f>IF(C93="","CET"&amp;TEXT(COUNTA($C$5:C93),"000"))</f>
        <v/>
      </c>
      <c r="C93" s="21" t="n"/>
      <c r="D93" s="21">
        <f>IF(C93="","",VLOOKUP(C93,'_Données Employés'!$B$5:$S$114,3,FALSE))</f>
        <v/>
      </c>
      <c r="E93" s="21">
        <f>IF(C93="","",VLOOKUP(C93,'_Données Employés'!$B$5:$S$114,10,FALSE))</f>
        <v/>
      </c>
      <c r="F93" s="21" t="n"/>
      <c r="G93" s="21" t="n"/>
      <c r="H93" s="21" t="n"/>
      <c r="I93" s="21" t="n"/>
      <c r="J93" s="16">
        <f>IF(OR(E93="",F93="",G93="",H93=""),"",IFERROR(E93+F93-G93-H93,0))</f>
        <v/>
      </c>
      <c r="K93" s="16">
        <f>IF(K93="","",IFERROR(E93+I93,0))</f>
        <v/>
      </c>
      <c r="L93" s="16">
        <f>IF(K93="","",IFERROR(K93*L93,0))</f>
        <v/>
      </c>
      <c r="M93" s="21" t="n"/>
      <c r="N93" s="21" t="n"/>
    </row>
    <row r="94" ht="22" customHeight="1">
      <c r="B94" s="22">
        <f>IF(C94="","CET"&amp;TEXT(COUNTA($C$5:C94),"000"))</f>
        <v/>
      </c>
      <c r="C94" s="22" t="n"/>
      <c r="D94" s="22">
        <f>IF(C94="","",VLOOKUP(C94,'_Données Employés'!$B$5:$S$114,3,FALSE))</f>
        <v/>
      </c>
      <c r="E94" s="22">
        <f>IF(C94="","",VLOOKUP(C94,'_Données Employés'!$B$5:$S$114,10,FALSE))</f>
        <v/>
      </c>
      <c r="F94" s="22" t="n"/>
      <c r="G94" s="22" t="n"/>
      <c r="H94" s="22" t="n"/>
      <c r="I94" s="22" t="n"/>
      <c r="J94" s="18">
        <f>IF(OR(E94="",F94="",G94="",H94=""),"",IFERROR(E94+F94-G94-H94,0))</f>
        <v/>
      </c>
      <c r="K94" s="18">
        <f>IF(K94="","",IFERROR(E94+I94,0))</f>
        <v/>
      </c>
      <c r="L94" s="18">
        <f>IF(K94="","",IFERROR(K94*L94,0))</f>
        <v/>
      </c>
      <c r="M94" s="22" t="n"/>
      <c r="N94" s="22" t="n"/>
    </row>
    <row r="95" ht="22" customHeight="1">
      <c r="B95" s="21">
        <f>IF(C95="","CET"&amp;TEXT(COUNTA($C$5:C95),"000"))</f>
        <v/>
      </c>
      <c r="C95" s="21" t="n"/>
      <c r="D95" s="21">
        <f>IF(C95="","",VLOOKUP(C95,'_Données Employés'!$B$5:$S$114,3,FALSE))</f>
        <v/>
      </c>
      <c r="E95" s="21">
        <f>IF(C95="","",VLOOKUP(C95,'_Données Employés'!$B$5:$S$114,10,FALSE))</f>
        <v/>
      </c>
      <c r="F95" s="21" t="n"/>
      <c r="G95" s="21" t="n"/>
      <c r="H95" s="21" t="n"/>
      <c r="I95" s="21" t="n"/>
      <c r="J95" s="16">
        <f>IF(OR(E95="",F95="",G95="",H95=""),"",IFERROR(E95+F95-G95-H95,0))</f>
        <v/>
      </c>
      <c r="K95" s="16">
        <f>IF(K95="","",IFERROR(E95+I95,0))</f>
        <v/>
      </c>
      <c r="L95" s="16">
        <f>IF(K95="","",IFERROR(K95*L95,0))</f>
        <v/>
      </c>
      <c r="M95" s="21" t="n"/>
      <c r="N95" s="21" t="n"/>
    </row>
    <row r="96" ht="22" customHeight="1">
      <c r="B96" s="22">
        <f>IF(C96="","CET"&amp;TEXT(COUNTA($C$5:C96),"000"))</f>
        <v/>
      </c>
      <c r="C96" s="22" t="n"/>
      <c r="D96" s="22">
        <f>IF(C96="","",VLOOKUP(C96,'_Données Employés'!$B$5:$S$114,3,FALSE))</f>
        <v/>
      </c>
      <c r="E96" s="22">
        <f>IF(C96="","",VLOOKUP(C96,'_Données Employés'!$B$5:$S$114,10,FALSE))</f>
        <v/>
      </c>
      <c r="F96" s="22" t="n"/>
      <c r="G96" s="22" t="n"/>
      <c r="H96" s="22" t="n"/>
      <c r="I96" s="22" t="n"/>
      <c r="J96" s="18">
        <f>IF(OR(E96="",F96="",G96="",H96=""),"",IFERROR(E96+F96-G96-H96,0))</f>
        <v/>
      </c>
      <c r="K96" s="18">
        <f>IF(K96="","",IFERROR(E96+I96,0))</f>
        <v/>
      </c>
      <c r="L96" s="18">
        <f>IF(K96="","",IFERROR(K96*L96,0))</f>
        <v/>
      </c>
      <c r="M96" s="22" t="n"/>
      <c r="N96" s="22" t="n"/>
    </row>
    <row r="97" ht="22" customHeight="1">
      <c r="B97" s="21">
        <f>IF(C97="","CET"&amp;TEXT(COUNTA($C$5:C97),"000"))</f>
        <v/>
      </c>
      <c r="C97" s="21" t="n"/>
      <c r="D97" s="21">
        <f>IF(C97="","",VLOOKUP(C97,'_Données Employés'!$B$5:$S$114,3,FALSE))</f>
        <v/>
      </c>
      <c r="E97" s="21">
        <f>IF(C97="","",VLOOKUP(C97,'_Données Employés'!$B$5:$S$114,10,FALSE))</f>
        <v/>
      </c>
      <c r="F97" s="21" t="n"/>
      <c r="G97" s="21" t="n"/>
      <c r="H97" s="21" t="n"/>
      <c r="I97" s="21" t="n"/>
      <c r="J97" s="16">
        <f>IF(OR(E97="",F97="",G97="",H97=""),"",IFERROR(E97+F97-G97-H97,0))</f>
        <v/>
      </c>
      <c r="K97" s="16">
        <f>IF(K97="","",IFERROR(E97+I97,0))</f>
        <v/>
      </c>
      <c r="L97" s="16">
        <f>IF(K97="","",IFERROR(K97*L97,0))</f>
        <v/>
      </c>
      <c r="M97" s="21" t="n"/>
      <c r="N97" s="21" t="n"/>
    </row>
    <row r="98" ht="22" customHeight="1">
      <c r="B98" s="22">
        <f>IF(C98="","CET"&amp;TEXT(COUNTA($C$5:C98),"000"))</f>
        <v/>
      </c>
      <c r="C98" s="22" t="n"/>
      <c r="D98" s="22">
        <f>IF(C98="","",VLOOKUP(C98,'_Données Employés'!$B$5:$S$114,3,FALSE))</f>
        <v/>
      </c>
      <c r="E98" s="22">
        <f>IF(C98="","",VLOOKUP(C98,'_Données Employés'!$B$5:$S$114,10,FALSE))</f>
        <v/>
      </c>
      <c r="F98" s="22" t="n"/>
      <c r="G98" s="22" t="n"/>
      <c r="H98" s="22" t="n"/>
      <c r="I98" s="22" t="n"/>
      <c r="J98" s="18">
        <f>IF(OR(E98="",F98="",G98="",H98=""),"",IFERROR(E98+F98-G98-H98,0))</f>
        <v/>
      </c>
      <c r="K98" s="18">
        <f>IF(K98="","",IFERROR(E98+I98,0))</f>
        <v/>
      </c>
      <c r="L98" s="18">
        <f>IF(K98="","",IFERROR(K98*L98,0))</f>
        <v/>
      </c>
      <c r="M98" s="22" t="n"/>
      <c r="N98" s="22" t="n"/>
    </row>
    <row r="99" ht="22" customHeight="1">
      <c r="B99" s="21">
        <f>IF(C99="","CET"&amp;TEXT(COUNTA($C$5:C99),"000"))</f>
        <v/>
      </c>
      <c r="C99" s="21" t="n"/>
      <c r="D99" s="21">
        <f>IF(C99="","",VLOOKUP(C99,'_Données Employés'!$B$5:$S$114,3,FALSE))</f>
        <v/>
      </c>
      <c r="E99" s="21">
        <f>IF(C99="","",VLOOKUP(C99,'_Données Employés'!$B$5:$S$114,10,FALSE))</f>
        <v/>
      </c>
      <c r="F99" s="21" t="n"/>
      <c r="G99" s="21" t="n"/>
      <c r="H99" s="21" t="n"/>
      <c r="I99" s="21" t="n"/>
      <c r="J99" s="16">
        <f>IF(OR(E99="",F99="",G99="",H99=""),"",IFERROR(E99+F99-G99-H99,0))</f>
        <v/>
      </c>
      <c r="K99" s="16">
        <f>IF(K99="","",IFERROR(E99+I99,0))</f>
        <v/>
      </c>
      <c r="L99" s="16">
        <f>IF(K99="","",IFERROR(K99*L99,0))</f>
        <v/>
      </c>
      <c r="M99" s="21" t="n"/>
      <c r="N99" s="21" t="n"/>
    </row>
    <row r="100" ht="22" customHeight="1">
      <c r="B100" s="22">
        <f>IF(C100="","CET"&amp;TEXT(COUNTA($C$5:C100),"000"))</f>
        <v/>
      </c>
      <c r="C100" s="22" t="n"/>
      <c r="D100" s="22">
        <f>IF(C100="","",VLOOKUP(C100,'_Données Employés'!$B$5:$S$114,3,FALSE))</f>
        <v/>
      </c>
      <c r="E100" s="22">
        <f>IF(C100="","",VLOOKUP(C100,'_Données Employés'!$B$5:$S$114,10,FALSE))</f>
        <v/>
      </c>
      <c r="F100" s="22" t="n"/>
      <c r="G100" s="22" t="n"/>
      <c r="H100" s="22" t="n"/>
      <c r="I100" s="22" t="n"/>
      <c r="J100" s="18">
        <f>IF(OR(E100="",F100="",G100="",H100=""),"",IFERROR(E100+F100-G100-H100,0))</f>
        <v/>
      </c>
      <c r="K100" s="18">
        <f>IF(K100="","",IFERROR(E100+I100,0))</f>
        <v/>
      </c>
      <c r="L100" s="18">
        <f>IF(K100="","",IFERROR(K100*L100,0))</f>
        <v/>
      </c>
      <c r="M100" s="22" t="n"/>
      <c r="N100" s="22" t="n"/>
    </row>
    <row r="101" ht="22" customHeight="1">
      <c r="B101" s="21">
        <f>IF(C101="","CET"&amp;TEXT(COUNTA($C$5:C101),"000"))</f>
        <v/>
      </c>
      <c r="C101" s="21" t="n"/>
      <c r="D101" s="21">
        <f>IF(C101="","",VLOOKUP(C101,'_Données Employés'!$B$5:$S$114,3,FALSE))</f>
        <v/>
      </c>
      <c r="E101" s="21">
        <f>IF(C101="","",VLOOKUP(C101,'_Données Employés'!$B$5:$S$114,10,FALSE))</f>
        <v/>
      </c>
      <c r="F101" s="21" t="n"/>
      <c r="G101" s="21" t="n"/>
      <c r="H101" s="21" t="n"/>
      <c r="I101" s="21" t="n"/>
      <c r="J101" s="16">
        <f>IF(OR(E101="",F101="",G101="",H101=""),"",IFERROR(E101+F101-G101-H101,0))</f>
        <v/>
      </c>
      <c r="K101" s="16">
        <f>IF(K101="","",IFERROR(E101+I101,0))</f>
        <v/>
      </c>
      <c r="L101" s="16">
        <f>IF(K101="","",IFERROR(K101*L101,0))</f>
        <v/>
      </c>
      <c r="M101" s="21" t="n"/>
      <c r="N101" s="21" t="n"/>
    </row>
    <row r="102" ht="22" customHeight="1">
      <c r="B102" s="22">
        <f>IF(C102="","CET"&amp;TEXT(COUNTA($C$5:C102),"000"))</f>
        <v/>
      </c>
      <c r="C102" s="22" t="n"/>
      <c r="D102" s="22">
        <f>IF(C102="","",VLOOKUP(C102,'_Données Employés'!$B$5:$S$114,3,FALSE))</f>
        <v/>
      </c>
      <c r="E102" s="22">
        <f>IF(C102="","",VLOOKUP(C102,'_Données Employés'!$B$5:$S$114,10,FALSE))</f>
        <v/>
      </c>
      <c r="F102" s="22" t="n"/>
      <c r="G102" s="22" t="n"/>
      <c r="H102" s="22" t="n"/>
      <c r="I102" s="22" t="n"/>
      <c r="J102" s="18">
        <f>IF(OR(E102="",F102="",G102="",H102=""),"",IFERROR(E102+F102-G102-H102,0))</f>
        <v/>
      </c>
      <c r="K102" s="18">
        <f>IF(K102="","",IFERROR(E102+I102,0))</f>
        <v/>
      </c>
      <c r="L102" s="18">
        <f>IF(K102="","",IFERROR(K102*L102,0))</f>
        <v/>
      </c>
      <c r="M102" s="22" t="n"/>
      <c r="N102" s="22" t="n"/>
    </row>
    <row r="103" ht="22" customHeight="1">
      <c r="B103" s="21">
        <f>IF(C103="","CET"&amp;TEXT(COUNTA($C$5:C103),"000"))</f>
        <v/>
      </c>
      <c r="C103" s="21" t="n"/>
      <c r="D103" s="21">
        <f>IF(C103="","",VLOOKUP(C103,'_Données Employés'!$B$5:$S$114,3,FALSE))</f>
        <v/>
      </c>
      <c r="E103" s="21">
        <f>IF(C103="","",VLOOKUP(C103,'_Données Employés'!$B$5:$S$114,10,FALSE))</f>
        <v/>
      </c>
      <c r="F103" s="21" t="n"/>
      <c r="G103" s="21" t="n"/>
      <c r="H103" s="21" t="n"/>
      <c r="I103" s="21" t="n"/>
      <c r="J103" s="16">
        <f>IF(OR(E103="",F103="",G103="",H103=""),"",IFERROR(E103+F103-G103-H103,0))</f>
        <v/>
      </c>
      <c r="K103" s="16">
        <f>IF(K103="","",IFERROR(E103+I103,0))</f>
        <v/>
      </c>
      <c r="L103" s="16">
        <f>IF(K103="","",IFERROR(K103*L103,0))</f>
        <v/>
      </c>
      <c r="M103" s="21" t="n"/>
      <c r="N103" s="21" t="n"/>
    </row>
    <row r="104" ht="22" customHeight="1">
      <c r="B104" s="22">
        <f>IF(C104="","CET"&amp;TEXT(COUNTA($C$5:C104),"000"))</f>
        <v/>
      </c>
      <c r="C104" s="22" t="n"/>
      <c r="D104" s="22">
        <f>IF(C104="","",VLOOKUP(C104,'_Données Employés'!$B$5:$S$114,3,FALSE))</f>
        <v/>
      </c>
      <c r="E104" s="22">
        <f>IF(C104="","",VLOOKUP(C104,'_Données Employés'!$B$5:$S$114,10,FALSE))</f>
        <v/>
      </c>
      <c r="F104" s="22" t="n"/>
      <c r="G104" s="22" t="n"/>
      <c r="H104" s="22" t="n"/>
      <c r="I104" s="22" t="n"/>
      <c r="J104" s="18">
        <f>IF(OR(E104="",F104="",G104="",H104=""),"",IFERROR(E104+F104-G104-H104,0))</f>
        <v/>
      </c>
      <c r="K104" s="18">
        <f>IF(K104="","",IFERROR(E104+I104,0))</f>
        <v/>
      </c>
      <c r="L104" s="18">
        <f>IF(K104="","",IFERROR(K104*L104,0))</f>
        <v/>
      </c>
      <c r="M104" s="22" t="n"/>
      <c r="N104" s="22" t="n"/>
    </row>
    <row r="107">
      <c r="B107" s="23" t="inlineStr">
        <is>
          <t>KPI Valeur CET totale (FCFA)</t>
        </is>
      </c>
      <c r="C107" s="23" t="inlineStr">
        <is>
          <t>KPI Jours CET épargnés</t>
        </is>
      </c>
      <c r="D107" s="23" t="inlineStr">
        <is>
          <t>KPI Demandes monétisation</t>
        </is>
      </c>
    </row>
    <row r="108">
      <c r="B108" s="25">
        <f>SUM(L5:L104)</f>
        <v/>
      </c>
      <c r="C108" s="24">
        <f>SUM(I5:I104)</f>
        <v/>
      </c>
      <c r="D108" s="24">
        <f>COUNTIF(M5:M104,"Demande")</f>
        <v/>
      </c>
    </row>
  </sheetData>
  <mergeCells count="1">
    <mergeCell ref="B2:N2"/>
  </mergeCells>
  <conditionalFormatting sqref="N5:N104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"Solde"</formula>
    </cfRule>
    <cfRule type="cellIs" priority="4" operator="equal" dxfId="1">
      <formula>"Actif"</formula>
    </cfRule>
    <cfRule type="cellIs" priority="5" operator="equal" dxfId="1">
      <formula>"Oui"</formula>
    </cfRule>
    <cfRule type="cellIs" priority="6" operator="equal" dxfId="2">
      <formula>"Rejete"</formula>
    </cfRule>
    <cfRule type="cellIs" priority="7" operator="equal" dxfId="2">
      <formula>"En retard"</formula>
    </cfRule>
    <cfRule type="cellIs" priority="8" operator="equal" dxfId="2">
      <formula>"Refuse"</formula>
    </cfRule>
    <cfRule type="cellIs" priority="9" operator="equal" dxfId="2">
      <formula>"Annule"</formula>
    </cfRule>
    <cfRule type="cellIs" priority="10" operator="equal" dxfId="2">
      <formula>"Non"</formula>
    </cfRule>
    <cfRule type="cellIs" priority="11" operator="equal" dxfId="3">
      <formula>"En attente"</formula>
    </cfRule>
    <cfRule type="cellIs" priority="12" operator="equal" dxfId="3">
      <formula>"En cours"</formula>
    </cfRule>
    <cfRule type="cellIs" priority="13" operator="equal" dxfId="3">
      <formula>"Brouillon"</formula>
    </cfRule>
    <cfRule type="cellIs" priority="14" operator="equal" dxfId="3">
      <formula>"Demande"</formula>
    </cfRule>
    <cfRule type="cellIs" priority="15" operator="equal" dxfId="3">
      <formula>"Partiellement monetise"</formula>
    </cfRule>
  </conditionalFormatting>
  <conditionalFormatting sqref="F5:F104">
    <cfRule type="dataBar" priority="16">
      <dataBar>
        <cfvo type="num" val="0"/>
        <cfvo type="num" val="1"/>
        <color rgb="001B2A4A"/>
      </dataBar>
    </cfRule>
  </conditionalFormatting>
  <conditionalFormatting sqref="G5:G104">
    <cfRule type="dataBar" priority="17">
      <dataBar>
        <cfvo type="num" val="0"/>
        <cfvo type="num" val="1"/>
        <color rgb="001B2A4A"/>
      </dataBar>
    </cfRule>
  </conditionalFormatting>
  <conditionalFormatting sqref="H5:H104">
    <cfRule type="dataBar" priority="18">
      <dataBar>
        <cfvo type="num" val="0"/>
        <cfvo type="num" val="1"/>
        <color rgb="001B2A4A"/>
      </dataBar>
    </cfRule>
  </conditionalFormatting>
  <conditionalFormatting sqref="I5:I104">
    <cfRule type="dataBar" priority="19">
      <dataBar>
        <cfvo type="num" val="0"/>
        <cfvo type="num" val="1"/>
        <color rgb="001B2A4A"/>
      </dataBar>
    </cfRule>
  </conditionalFormatting>
  <conditionalFormatting sqref="J5:J104">
    <cfRule type="dataBar" priority="20">
      <dataBar>
        <cfvo type="num" val="0"/>
        <cfvo type="num" val="1"/>
        <color rgb="001B2A4A"/>
      </dataBar>
    </cfRule>
  </conditionalFormatting>
  <conditionalFormatting sqref="K5:K104">
    <cfRule type="dataBar" priority="21">
      <dataBar>
        <cfvo type="num" val="0"/>
        <cfvo type="num" val="1"/>
        <color rgb="001B2A4A"/>
      </dataBar>
    </cfRule>
  </conditionalFormatting>
  <conditionalFormatting sqref="L5:L104">
    <cfRule type="dataBar" priority="22">
      <dataBar>
        <cfvo type="num" val="0"/>
        <cfvo type="num" val="1"/>
        <color rgb="001B2A4A"/>
      </dataBar>
    </cfRule>
  </conditionalFormatting>
  <conditionalFormatting sqref="B108">
    <cfRule type="cellIs" priority="23" operator="greaterThan" dxfId="0">
      <formula>0</formula>
    </cfRule>
  </conditionalFormatting>
  <conditionalFormatting sqref="C108">
    <cfRule type="cellIs" priority="24" operator="greaterThan" dxfId="0">
      <formula>0</formula>
    </cfRule>
  </conditionalFormatting>
  <conditionalFormatting sqref="D108">
    <cfRule type="cellIs" priority="25" operator="greaterThan" dxfId="0">
      <formula>0</formula>
    </cfRule>
  </conditionalFormatting>
  <dataValidations count="2">
    <dataValidation sqref="N5:N104" showDropDown="0" showInputMessage="0" showErrorMessage="0" allowBlank="1" type="list">
      <formula1>'_Lists'!$V$2:$V$5</formula1>
    </dataValidation>
    <dataValidation sqref="C5:C104" showDropDown="0" showInputMessage="0" showErrorMessage="0" allowBlank="1" promptTitle="Matricule Employé" prompt="Choisir un matricule" type="list">
      <formula1>'_Données Employés'!$B$5:$B$114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L10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18" customWidth="1" min="4" max="4"/>
    <col width="18" customWidth="1" min="5" max="5"/>
    <col width="14" customWidth="1" min="6" max="6"/>
    <col width="14" customWidth="1" min="7" max="7"/>
    <col width="20" customWidth="1" min="8" max="8"/>
    <col width="18" customWidth="1" min="9" max="9"/>
    <col width="22" customWidth="1" min="10" max="10"/>
    <col width="18" customWidth="1" min="11" max="11"/>
    <col width="10" customWidth="1" min="12" max="12"/>
  </cols>
  <sheetData>
    <row r="1" ht="15" customHeight="1"/>
    <row r="2" ht="32" customHeight="1">
      <c r="B2" s="13" t="inlineStr">
        <is>
          <t>AVANTAGES SOCIAUX — 18-Indemnites Depart</t>
        </is>
      </c>
    </row>
    <row r="3" ht="8" customHeight="1"/>
    <row r="4" ht="28" customHeight="1">
      <c r="B4" s="14" t="inlineStr">
        <is>
          <t>N°</t>
        </is>
      </c>
      <c r="C4" s="14" t="inlineStr">
        <is>
          <t>Matricule</t>
        </is>
      </c>
      <c r="D4" s="14" t="inlineStr">
        <is>
          <t>Nom Employé</t>
        </is>
      </c>
      <c r="E4" s="14" t="inlineStr">
        <is>
          <t>Motif Départ</t>
        </is>
      </c>
      <c r="F4" s="14" t="inlineStr">
        <is>
          <t>Date Départ</t>
        </is>
      </c>
      <c r="G4" s="14" t="inlineStr">
        <is>
          <t>Ancienneté (ans)</t>
        </is>
      </c>
      <c r="H4" s="14" t="inlineStr">
        <is>
          <t>Salaire Brut Moyen (FCFA)</t>
        </is>
      </c>
      <c r="I4" s="14" t="inlineStr">
        <is>
          <t>Indemnité Légale (FCFA)</t>
        </is>
      </c>
      <c r="J4" s="14" t="inlineStr">
        <is>
          <t>Indemnité Conventionnelle (FCFA)</t>
        </is>
      </c>
      <c r="K4" s="14" t="inlineStr">
        <is>
          <t>Total Indemnité (FCFA)</t>
        </is>
      </c>
      <c r="L4" s="14" t="inlineStr">
        <is>
          <t>Statut</t>
        </is>
      </c>
    </row>
    <row r="5" ht="22" customHeight="1">
      <c r="B5" s="15" t="inlineStr">
        <is>
          <t>IND-001</t>
        </is>
      </c>
      <c r="C5" s="15" t="inlineStr">
        <is>
          <t>EMP-099</t>
        </is>
      </c>
      <c r="D5" s="15" t="inlineStr">
        <is>
          <t>Ex-Employé A</t>
        </is>
      </c>
      <c r="E5" s="15" t="inlineStr">
        <is>
          <t>Demission</t>
        </is>
      </c>
      <c r="F5" s="33" t="inlineStr">
        <is>
          <t>2025-05-31</t>
        </is>
      </c>
      <c r="G5" s="16" t="n">
        <v>5</v>
      </c>
      <c r="H5" s="16" t="n">
        <v>250000</v>
      </c>
      <c r="I5" s="16" t="n">
        <v>375000</v>
      </c>
      <c r="J5" s="16" t="n">
        <v>500000</v>
      </c>
      <c r="K5" s="16" t="n">
        <v>875000</v>
      </c>
      <c r="L5" s="15" t="inlineStr">
        <is>
          <t>Solde</t>
        </is>
      </c>
    </row>
    <row r="6" ht="22" customHeight="1">
      <c r="B6" s="19">
        <f>IF(C6="","IND"&amp;TEXT(COUNTA($C$5:C6),"000"))</f>
        <v/>
      </c>
      <c r="C6" s="19" t="n"/>
      <c r="D6" s="19">
        <f>IF(C6="","",VLOOKUP(C6,'_Données Employés'!$B$5:$S$114,3,FALSE))</f>
        <v/>
      </c>
      <c r="E6" s="19" t="n"/>
      <c r="F6" s="19" t="n"/>
      <c r="G6" s="20">
        <f>IF(F6="","",IFERROR((F6-DATE(YEAR(F6),1,1))/365.25,0))</f>
        <v/>
      </c>
      <c r="H6" s="19" t="n"/>
      <c r="I6" s="20">
        <f>IF(H6="","",IFERROR(H6*G6*0.3,0))</f>
        <v/>
      </c>
      <c r="J6" s="20">
        <f>IF(H6="","",IFERROR(H6*G6*0.4,0))</f>
        <v/>
      </c>
      <c r="K6" s="20">
        <f>IF(I6="","",IFERROR(I6+J6,0))</f>
        <v/>
      </c>
      <c r="L6" s="19" t="n"/>
    </row>
    <row r="7" ht="22" customHeight="1">
      <c r="B7" s="21">
        <f>IF(C7="","IND"&amp;TEXT(COUNTA($C$5:C7),"000"))</f>
        <v/>
      </c>
      <c r="C7" s="21" t="n"/>
      <c r="D7" s="21">
        <f>IF(C7="","",VLOOKUP(C7,'_Données Employés'!$B$5:$S$114,3,FALSE))</f>
        <v/>
      </c>
      <c r="E7" s="21" t="n"/>
      <c r="F7" s="21" t="n"/>
      <c r="G7" s="16">
        <f>IF(F7="","",IFERROR((F7-DATE(YEAR(F7),1,1))/365.25,0))</f>
        <v/>
      </c>
      <c r="H7" s="21" t="n"/>
      <c r="I7" s="16">
        <f>IF(H7="","",IFERROR(H7*G7*0.3,0))</f>
        <v/>
      </c>
      <c r="J7" s="16">
        <f>IF(H7="","",IFERROR(H7*G7*0.4,0))</f>
        <v/>
      </c>
      <c r="K7" s="16">
        <f>IF(I7="","",IFERROR(I7+J7,0))</f>
        <v/>
      </c>
      <c r="L7" s="21" t="n"/>
    </row>
    <row r="8" ht="22" customHeight="1">
      <c r="B8" s="22">
        <f>IF(C8="","IND"&amp;TEXT(COUNTA($C$5:C8),"000"))</f>
        <v/>
      </c>
      <c r="C8" s="22" t="n"/>
      <c r="D8" s="22">
        <f>IF(C8="","",VLOOKUP(C8,'_Données Employés'!$B$5:$S$114,3,FALSE))</f>
        <v/>
      </c>
      <c r="E8" s="22" t="n"/>
      <c r="F8" s="22" t="n"/>
      <c r="G8" s="18">
        <f>IF(F8="","",IFERROR((F8-DATE(YEAR(F8),1,1))/365.25,0))</f>
        <v/>
      </c>
      <c r="H8" s="22" t="n"/>
      <c r="I8" s="18">
        <f>IF(H8="","",IFERROR(H8*G8*0.3,0))</f>
        <v/>
      </c>
      <c r="J8" s="18">
        <f>IF(H8="","",IFERROR(H8*G8*0.4,0))</f>
        <v/>
      </c>
      <c r="K8" s="18">
        <f>IF(I8="","",IFERROR(I8+J8,0))</f>
        <v/>
      </c>
      <c r="L8" s="22" t="n"/>
    </row>
    <row r="9" ht="22" customHeight="1">
      <c r="B9" s="21">
        <f>IF(C9="","IND"&amp;TEXT(COUNTA($C$5:C9),"000"))</f>
        <v/>
      </c>
      <c r="C9" s="21" t="n"/>
      <c r="D9" s="21">
        <f>IF(C9="","",VLOOKUP(C9,'_Données Employés'!$B$5:$S$114,3,FALSE))</f>
        <v/>
      </c>
      <c r="E9" s="21" t="n"/>
      <c r="F9" s="21" t="n"/>
      <c r="G9" s="16">
        <f>IF(F9="","",IFERROR((F9-DATE(YEAR(F9),1,1))/365.25,0))</f>
        <v/>
      </c>
      <c r="H9" s="21" t="n"/>
      <c r="I9" s="16">
        <f>IF(H9="","",IFERROR(H9*G9*0.3,0))</f>
        <v/>
      </c>
      <c r="J9" s="16">
        <f>IF(H9="","",IFERROR(H9*G9*0.4,0))</f>
        <v/>
      </c>
      <c r="K9" s="16">
        <f>IF(I9="","",IFERROR(I9+J9,0))</f>
        <v/>
      </c>
      <c r="L9" s="21" t="n"/>
    </row>
    <row r="10" ht="22" customHeight="1">
      <c r="B10" s="22">
        <f>IF(C10="","IND"&amp;TEXT(COUNTA($C$5:C10),"000"))</f>
        <v/>
      </c>
      <c r="C10" s="22" t="n"/>
      <c r="D10" s="22">
        <f>IF(C10="","",VLOOKUP(C10,'_Données Employés'!$B$5:$S$114,3,FALSE))</f>
        <v/>
      </c>
      <c r="E10" s="22" t="n"/>
      <c r="F10" s="22" t="n"/>
      <c r="G10" s="18">
        <f>IF(F10="","",IFERROR((F10-DATE(YEAR(F10),1,1))/365.25,0))</f>
        <v/>
      </c>
      <c r="H10" s="22" t="n"/>
      <c r="I10" s="18">
        <f>IF(H10="","",IFERROR(H10*G10*0.3,0))</f>
        <v/>
      </c>
      <c r="J10" s="18">
        <f>IF(H10="","",IFERROR(H10*G10*0.4,0))</f>
        <v/>
      </c>
      <c r="K10" s="18">
        <f>IF(I10="","",IFERROR(I10+J10,0))</f>
        <v/>
      </c>
      <c r="L10" s="22" t="n"/>
    </row>
    <row r="11" ht="22" customHeight="1">
      <c r="B11" s="21">
        <f>IF(C11="","IND"&amp;TEXT(COUNTA($C$5:C11),"000"))</f>
        <v/>
      </c>
      <c r="C11" s="21" t="n"/>
      <c r="D11" s="21">
        <f>IF(C11="","",VLOOKUP(C11,'_Données Employés'!$B$5:$S$114,3,FALSE))</f>
        <v/>
      </c>
      <c r="E11" s="21" t="n"/>
      <c r="F11" s="21" t="n"/>
      <c r="G11" s="16">
        <f>IF(F11="","",IFERROR((F11-DATE(YEAR(F11),1,1))/365.25,0))</f>
        <v/>
      </c>
      <c r="H11" s="21" t="n"/>
      <c r="I11" s="16">
        <f>IF(H11="","",IFERROR(H11*G11*0.3,0))</f>
        <v/>
      </c>
      <c r="J11" s="16">
        <f>IF(H11="","",IFERROR(H11*G11*0.4,0))</f>
        <v/>
      </c>
      <c r="K11" s="16">
        <f>IF(I11="","",IFERROR(I11+J11,0))</f>
        <v/>
      </c>
      <c r="L11" s="21" t="n"/>
    </row>
    <row r="12" ht="22" customHeight="1">
      <c r="B12" s="22">
        <f>IF(C12="","IND"&amp;TEXT(COUNTA($C$5:C12),"000"))</f>
        <v/>
      </c>
      <c r="C12" s="22" t="n"/>
      <c r="D12" s="22">
        <f>IF(C12="","",VLOOKUP(C12,'_Données Employés'!$B$5:$S$114,3,FALSE))</f>
        <v/>
      </c>
      <c r="E12" s="22" t="n"/>
      <c r="F12" s="22" t="n"/>
      <c r="G12" s="18">
        <f>IF(F12="","",IFERROR((F12-DATE(YEAR(F12),1,1))/365.25,0))</f>
        <v/>
      </c>
      <c r="H12" s="22" t="n"/>
      <c r="I12" s="18">
        <f>IF(H12="","",IFERROR(H12*G12*0.3,0))</f>
        <v/>
      </c>
      <c r="J12" s="18">
        <f>IF(H12="","",IFERROR(H12*G12*0.4,0))</f>
        <v/>
      </c>
      <c r="K12" s="18">
        <f>IF(I12="","",IFERROR(I12+J12,0))</f>
        <v/>
      </c>
      <c r="L12" s="22" t="n"/>
    </row>
    <row r="13" ht="22" customHeight="1">
      <c r="B13" s="21">
        <f>IF(C13="","IND"&amp;TEXT(COUNTA($C$5:C13),"000"))</f>
        <v/>
      </c>
      <c r="C13" s="21" t="n"/>
      <c r="D13" s="21">
        <f>IF(C13="","",VLOOKUP(C13,'_Données Employés'!$B$5:$S$114,3,FALSE))</f>
        <v/>
      </c>
      <c r="E13" s="21" t="n"/>
      <c r="F13" s="21" t="n"/>
      <c r="G13" s="16">
        <f>IF(F13="","",IFERROR((F13-DATE(YEAR(F13),1,1))/365.25,0))</f>
        <v/>
      </c>
      <c r="H13" s="21" t="n"/>
      <c r="I13" s="16">
        <f>IF(H13="","",IFERROR(H13*G13*0.3,0))</f>
        <v/>
      </c>
      <c r="J13" s="16">
        <f>IF(H13="","",IFERROR(H13*G13*0.4,0))</f>
        <v/>
      </c>
      <c r="K13" s="16">
        <f>IF(I13="","",IFERROR(I13+J13,0))</f>
        <v/>
      </c>
      <c r="L13" s="21" t="n"/>
    </row>
    <row r="14" ht="22" customHeight="1">
      <c r="B14" s="22">
        <f>IF(C14="","IND"&amp;TEXT(COUNTA($C$5:C14),"000"))</f>
        <v/>
      </c>
      <c r="C14" s="22" t="n"/>
      <c r="D14" s="22">
        <f>IF(C14="","",VLOOKUP(C14,'_Données Employés'!$B$5:$S$114,3,FALSE))</f>
        <v/>
      </c>
      <c r="E14" s="22" t="n"/>
      <c r="F14" s="22" t="n"/>
      <c r="G14" s="18">
        <f>IF(F14="","",IFERROR((F14-DATE(YEAR(F14),1,1))/365.25,0))</f>
        <v/>
      </c>
      <c r="H14" s="22" t="n"/>
      <c r="I14" s="18">
        <f>IF(H14="","",IFERROR(H14*G14*0.3,0))</f>
        <v/>
      </c>
      <c r="J14" s="18">
        <f>IF(H14="","",IFERROR(H14*G14*0.4,0))</f>
        <v/>
      </c>
      <c r="K14" s="18">
        <f>IF(I14="","",IFERROR(I14+J14,0))</f>
        <v/>
      </c>
      <c r="L14" s="22" t="n"/>
    </row>
    <row r="15" ht="22" customHeight="1">
      <c r="B15" s="21">
        <f>IF(C15="","IND"&amp;TEXT(COUNTA($C$5:C15),"000"))</f>
        <v/>
      </c>
      <c r="C15" s="21" t="n"/>
      <c r="D15" s="21">
        <f>IF(C15="","",VLOOKUP(C15,'_Données Employés'!$B$5:$S$114,3,FALSE))</f>
        <v/>
      </c>
      <c r="E15" s="21" t="n"/>
      <c r="F15" s="21" t="n"/>
      <c r="G15" s="16">
        <f>IF(F15="","",IFERROR((F15-DATE(YEAR(F15),1,1))/365.25,0))</f>
        <v/>
      </c>
      <c r="H15" s="21" t="n"/>
      <c r="I15" s="16">
        <f>IF(H15="","",IFERROR(H15*G15*0.3,0))</f>
        <v/>
      </c>
      <c r="J15" s="16">
        <f>IF(H15="","",IFERROR(H15*G15*0.4,0))</f>
        <v/>
      </c>
      <c r="K15" s="16">
        <f>IF(I15="","",IFERROR(I15+J15,0))</f>
        <v/>
      </c>
      <c r="L15" s="21" t="n"/>
    </row>
    <row r="16" ht="22" customHeight="1">
      <c r="B16" s="22">
        <f>IF(C16="","IND"&amp;TEXT(COUNTA($C$5:C16),"000"))</f>
        <v/>
      </c>
      <c r="C16" s="22" t="n"/>
      <c r="D16" s="22">
        <f>IF(C16="","",VLOOKUP(C16,'_Données Employés'!$B$5:$S$114,3,FALSE))</f>
        <v/>
      </c>
      <c r="E16" s="22" t="n"/>
      <c r="F16" s="22" t="n"/>
      <c r="G16" s="18">
        <f>IF(F16="","",IFERROR((F16-DATE(YEAR(F16),1,1))/365.25,0))</f>
        <v/>
      </c>
      <c r="H16" s="22" t="n"/>
      <c r="I16" s="18">
        <f>IF(H16="","",IFERROR(H16*G16*0.3,0))</f>
        <v/>
      </c>
      <c r="J16" s="18">
        <f>IF(H16="","",IFERROR(H16*G16*0.4,0))</f>
        <v/>
      </c>
      <c r="K16" s="18">
        <f>IF(I16="","",IFERROR(I16+J16,0))</f>
        <v/>
      </c>
      <c r="L16" s="22" t="n"/>
    </row>
    <row r="17" ht="22" customHeight="1">
      <c r="B17" s="21">
        <f>IF(C17="","IND"&amp;TEXT(COUNTA($C$5:C17),"000"))</f>
        <v/>
      </c>
      <c r="C17" s="21" t="n"/>
      <c r="D17" s="21">
        <f>IF(C17="","",VLOOKUP(C17,'_Données Employés'!$B$5:$S$114,3,FALSE))</f>
        <v/>
      </c>
      <c r="E17" s="21" t="n"/>
      <c r="F17" s="21" t="n"/>
      <c r="G17" s="16">
        <f>IF(F17="","",IFERROR((F17-DATE(YEAR(F17),1,1))/365.25,0))</f>
        <v/>
      </c>
      <c r="H17" s="21" t="n"/>
      <c r="I17" s="16">
        <f>IF(H17="","",IFERROR(H17*G17*0.3,0))</f>
        <v/>
      </c>
      <c r="J17" s="16">
        <f>IF(H17="","",IFERROR(H17*G17*0.4,0))</f>
        <v/>
      </c>
      <c r="K17" s="16">
        <f>IF(I17="","",IFERROR(I17+J17,0))</f>
        <v/>
      </c>
      <c r="L17" s="21" t="n"/>
    </row>
    <row r="18" ht="22" customHeight="1">
      <c r="B18" s="22">
        <f>IF(C18="","IND"&amp;TEXT(COUNTA($C$5:C18),"000"))</f>
        <v/>
      </c>
      <c r="C18" s="22" t="n"/>
      <c r="D18" s="22">
        <f>IF(C18="","",VLOOKUP(C18,'_Données Employés'!$B$5:$S$114,3,FALSE))</f>
        <v/>
      </c>
      <c r="E18" s="22" t="n"/>
      <c r="F18" s="22" t="n"/>
      <c r="G18" s="18">
        <f>IF(F18="","",IFERROR((F18-DATE(YEAR(F18),1,1))/365.25,0))</f>
        <v/>
      </c>
      <c r="H18" s="22" t="n"/>
      <c r="I18" s="18">
        <f>IF(H18="","",IFERROR(H18*G18*0.3,0))</f>
        <v/>
      </c>
      <c r="J18" s="18">
        <f>IF(H18="","",IFERROR(H18*G18*0.4,0))</f>
        <v/>
      </c>
      <c r="K18" s="18">
        <f>IF(I18="","",IFERROR(I18+J18,0))</f>
        <v/>
      </c>
      <c r="L18" s="22" t="n"/>
    </row>
    <row r="19" ht="22" customHeight="1">
      <c r="B19" s="21">
        <f>IF(C19="","IND"&amp;TEXT(COUNTA($C$5:C19),"000"))</f>
        <v/>
      </c>
      <c r="C19" s="21" t="n"/>
      <c r="D19" s="21">
        <f>IF(C19="","",VLOOKUP(C19,'_Données Employés'!$B$5:$S$114,3,FALSE))</f>
        <v/>
      </c>
      <c r="E19" s="21" t="n"/>
      <c r="F19" s="21" t="n"/>
      <c r="G19" s="16">
        <f>IF(F19="","",IFERROR((F19-DATE(YEAR(F19),1,1))/365.25,0))</f>
        <v/>
      </c>
      <c r="H19" s="21" t="n"/>
      <c r="I19" s="16">
        <f>IF(H19="","",IFERROR(H19*G19*0.3,0))</f>
        <v/>
      </c>
      <c r="J19" s="16">
        <f>IF(H19="","",IFERROR(H19*G19*0.4,0))</f>
        <v/>
      </c>
      <c r="K19" s="16">
        <f>IF(I19="","",IFERROR(I19+J19,0))</f>
        <v/>
      </c>
      <c r="L19" s="21" t="n"/>
    </row>
    <row r="20" ht="22" customHeight="1">
      <c r="B20" s="22">
        <f>IF(C20="","IND"&amp;TEXT(COUNTA($C$5:C20),"000"))</f>
        <v/>
      </c>
      <c r="C20" s="22" t="n"/>
      <c r="D20" s="22">
        <f>IF(C20="","",VLOOKUP(C20,'_Données Employés'!$B$5:$S$114,3,FALSE))</f>
        <v/>
      </c>
      <c r="E20" s="22" t="n"/>
      <c r="F20" s="22" t="n"/>
      <c r="G20" s="18">
        <f>IF(F20="","",IFERROR((F20-DATE(YEAR(F20),1,1))/365.25,0))</f>
        <v/>
      </c>
      <c r="H20" s="22" t="n"/>
      <c r="I20" s="18">
        <f>IF(H20="","",IFERROR(H20*G20*0.3,0))</f>
        <v/>
      </c>
      <c r="J20" s="18">
        <f>IF(H20="","",IFERROR(H20*G20*0.4,0))</f>
        <v/>
      </c>
      <c r="K20" s="18">
        <f>IF(I20="","",IFERROR(I20+J20,0))</f>
        <v/>
      </c>
      <c r="L20" s="22" t="n"/>
    </row>
    <row r="21" ht="22" customHeight="1">
      <c r="B21" s="21">
        <f>IF(C21="","IND"&amp;TEXT(COUNTA($C$5:C21),"000"))</f>
        <v/>
      </c>
      <c r="C21" s="21" t="n"/>
      <c r="D21" s="21">
        <f>IF(C21="","",VLOOKUP(C21,'_Données Employés'!$B$5:$S$114,3,FALSE))</f>
        <v/>
      </c>
      <c r="E21" s="21" t="n"/>
      <c r="F21" s="21" t="n"/>
      <c r="G21" s="16">
        <f>IF(F21="","",IFERROR((F21-DATE(YEAR(F21),1,1))/365.25,0))</f>
        <v/>
      </c>
      <c r="H21" s="21" t="n"/>
      <c r="I21" s="16">
        <f>IF(H21="","",IFERROR(H21*G21*0.3,0))</f>
        <v/>
      </c>
      <c r="J21" s="16">
        <f>IF(H21="","",IFERROR(H21*G21*0.4,0))</f>
        <v/>
      </c>
      <c r="K21" s="16">
        <f>IF(I21="","",IFERROR(I21+J21,0))</f>
        <v/>
      </c>
      <c r="L21" s="21" t="n"/>
    </row>
    <row r="22" ht="22" customHeight="1">
      <c r="B22" s="22">
        <f>IF(C22="","IND"&amp;TEXT(COUNTA($C$5:C22),"000"))</f>
        <v/>
      </c>
      <c r="C22" s="22" t="n"/>
      <c r="D22" s="22">
        <f>IF(C22="","",VLOOKUP(C22,'_Données Employés'!$B$5:$S$114,3,FALSE))</f>
        <v/>
      </c>
      <c r="E22" s="22" t="n"/>
      <c r="F22" s="22" t="n"/>
      <c r="G22" s="18">
        <f>IF(F22="","",IFERROR((F22-DATE(YEAR(F22),1,1))/365.25,0))</f>
        <v/>
      </c>
      <c r="H22" s="22" t="n"/>
      <c r="I22" s="18">
        <f>IF(H22="","",IFERROR(H22*G22*0.3,0))</f>
        <v/>
      </c>
      <c r="J22" s="18">
        <f>IF(H22="","",IFERROR(H22*G22*0.4,0))</f>
        <v/>
      </c>
      <c r="K22" s="18">
        <f>IF(I22="","",IFERROR(I22+J22,0))</f>
        <v/>
      </c>
      <c r="L22" s="22" t="n"/>
    </row>
    <row r="23" ht="22" customHeight="1">
      <c r="B23" s="21">
        <f>IF(C23="","IND"&amp;TEXT(COUNTA($C$5:C23),"000"))</f>
        <v/>
      </c>
      <c r="C23" s="21" t="n"/>
      <c r="D23" s="21">
        <f>IF(C23="","",VLOOKUP(C23,'_Données Employés'!$B$5:$S$114,3,FALSE))</f>
        <v/>
      </c>
      <c r="E23" s="21" t="n"/>
      <c r="F23" s="21" t="n"/>
      <c r="G23" s="16">
        <f>IF(F23="","",IFERROR((F23-DATE(YEAR(F23),1,1))/365.25,0))</f>
        <v/>
      </c>
      <c r="H23" s="21" t="n"/>
      <c r="I23" s="16">
        <f>IF(H23="","",IFERROR(H23*G23*0.3,0))</f>
        <v/>
      </c>
      <c r="J23" s="16">
        <f>IF(H23="","",IFERROR(H23*G23*0.4,0))</f>
        <v/>
      </c>
      <c r="K23" s="16">
        <f>IF(I23="","",IFERROR(I23+J23,0))</f>
        <v/>
      </c>
      <c r="L23" s="21" t="n"/>
    </row>
    <row r="24" ht="22" customHeight="1">
      <c r="B24" s="22">
        <f>IF(C24="","IND"&amp;TEXT(COUNTA($C$5:C24),"000"))</f>
        <v/>
      </c>
      <c r="C24" s="22" t="n"/>
      <c r="D24" s="22">
        <f>IF(C24="","",VLOOKUP(C24,'_Données Employés'!$B$5:$S$114,3,FALSE))</f>
        <v/>
      </c>
      <c r="E24" s="22" t="n"/>
      <c r="F24" s="22" t="n"/>
      <c r="G24" s="18">
        <f>IF(F24="","",IFERROR((F24-DATE(YEAR(F24),1,1))/365.25,0))</f>
        <v/>
      </c>
      <c r="H24" s="22" t="n"/>
      <c r="I24" s="18">
        <f>IF(H24="","",IFERROR(H24*G24*0.3,0))</f>
        <v/>
      </c>
      <c r="J24" s="18">
        <f>IF(H24="","",IFERROR(H24*G24*0.4,0))</f>
        <v/>
      </c>
      <c r="K24" s="18">
        <f>IF(I24="","",IFERROR(I24+J24,0))</f>
        <v/>
      </c>
      <c r="L24" s="22" t="n"/>
    </row>
    <row r="25" ht="22" customHeight="1">
      <c r="B25" s="21">
        <f>IF(C25="","IND"&amp;TEXT(COUNTA($C$5:C25),"000"))</f>
        <v/>
      </c>
      <c r="C25" s="21" t="n"/>
      <c r="D25" s="21">
        <f>IF(C25="","",VLOOKUP(C25,'_Données Employés'!$B$5:$S$114,3,FALSE))</f>
        <v/>
      </c>
      <c r="E25" s="21" t="n"/>
      <c r="F25" s="21" t="n"/>
      <c r="G25" s="16">
        <f>IF(F25="","",IFERROR((F25-DATE(YEAR(F25),1,1))/365.25,0))</f>
        <v/>
      </c>
      <c r="H25" s="21" t="n"/>
      <c r="I25" s="16">
        <f>IF(H25="","",IFERROR(H25*G25*0.3,0))</f>
        <v/>
      </c>
      <c r="J25" s="16">
        <f>IF(H25="","",IFERROR(H25*G25*0.4,0))</f>
        <v/>
      </c>
      <c r="K25" s="16">
        <f>IF(I25="","",IFERROR(I25+J25,0))</f>
        <v/>
      </c>
      <c r="L25" s="21" t="n"/>
    </row>
    <row r="26" ht="22" customHeight="1">
      <c r="B26" s="22">
        <f>IF(C26="","IND"&amp;TEXT(COUNTA($C$5:C26),"000"))</f>
        <v/>
      </c>
      <c r="C26" s="22" t="n"/>
      <c r="D26" s="22">
        <f>IF(C26="","",VLOOKUP(C26,'_Données Employés'!$B$5:$S$114,3,FALSE))</f>
        <v/>
      </c>
      <c r="E26" s="22" t="n"/>
      <c r="F26" s="22" t="n"/>
      <c r="G26" s="18">
        <f>IF(F26="","",IFERROR((F26-DATE(YEAR(F26),1,1))/365.25,0))</f>
        <v/>
      </c>
      <c r="H26" s="22" t="n"/>
      <c r="I26" s="18">
        <f>IF(H26="","",IFERROR(H26*G26*0.3,0))</f>
        <v/>
      </c>
      <c r="J26" s="18">
        <f>IF(H26="","",IFERROR(H26*G26*0.4,0))</f>
        <v/>
      </c>
      <c r="K26" s="18">
        <f>IF(I26="","",IFERROR(I26+J26,0))</f>
        <v/>
      </c>
      <c r="L26" s="22" t="n"/>
    </row>
    <row r="27" ht="22" customHeight="1">
      <c r="B27" s="21">
        <f>IF(C27="","IND"&amp;TEXT(COUNTA($C$5:C27),"000"))</f>
        <v/>
      </c>
      <c r="C27" s="21" t="n"/>
      <c r="D27" s="21">
        <f>IF(C27="","",VLOOKUP(C27,'_Données Employés'!$B$5:$S$114,3,FALSE))</f>
        <v/>
      </c>
      <c r="E27" s="21" t="n"/>
      <c r="F27" s="21" t="n"/>
      <c r="G27" s="16">
        <f>IF(F27="","",IFERROR((F27-DATE(YEAR(F27),1,1))/365.25,0))</f>
        <v/>
      </c>
      <c r="H27" s="21" t="n"/>
      <c r="I27" s="16">
        <f>IF(H27="","",IFERROR(H27*G27*0.3,0))</f>
        <v/>
      </c>
      <c r="J27" s="16">
        <f>IF(H27="","",IFERROR(H27*G27*0.4,0))</f>
        <v/>
      </c>
      <c r="K27" s="16">
        <f>IF(I27="","",IFERROR(I27+J27,0))</f>
        <v/>
      </c>
      <c r="L27" s="21" t="n"/>
    </row>
    <row r="28" ht="22" customHeight="1">
      <c r="B28" s="22">
        <f>IF(C28="","IND"&amp;TEXT(COUNTA($C$5:C28),"000"))</f>
        <v/>
      </c>
      <c r="C28" s="22" t="n"/>
      <c r="D28" s="22">
        <f>IF(C28="","",VLOOKUP(C28,'_Données Employés'!$B$5:$S$114,3,FALSE))</f>
        <v/>
      </c>
      <c r="E28" s="22" t="n"/>
      <c r="F28" s="22" t="n"/>
      <c r="G28" s="18">
        <f>IF(F28="","",IFERROR((F28-DATE(YEAR(F28),1,1))/365.25,0))</f>
        <v/>
      </c>
      <c r="H28" s="22" t="n"/>
      <c r="I28" s="18">
        <f>IF(H28="","",IFERROR(H28*G28*0.3,0))</f>
        <v/>
      </c>
      <c r="J28" s="18">
        <f>IF(H28="","",IFERROR(H28*G28*0.4,0))</f>
        <v/>
      </c>
      <c r="K28" s="18">
        <f>IF(I28="","",IFERROR(I28+J28,0))</f>
        <v/>
      </c>
      <c r="L28" s="22" t="n"/>
    </row>
    <row r="29" ht="22" customHeight="1">
      <c r="B29" s="21">
        <f>IF(C29="","IND"&amp;TEXT(COUNTA($C$5:C29),"000"))</f>
        <v/>
      </c>
      <c r="C29" s="21" t="n"/>
      <c r="D29" s="21">
        <f>IF(C29="","",VLOOKUP(C29,'_Données Employés'!$B$5:$S$114,3,FALSE))</f>
        <v/>
      </c>
      <c r="E29" s="21" t="n"/>
      <c r="F29" s="21" t="n"/>
      <c r="G29" s="16">
        <f>IF(F29="","",IFERROR((F29-DATE(YEAR(F29),1,1))/365.25,0))</f>
        <v/>
      </c>
      <c r="H29" s="21" t="n"/>
      <c r="I29" s="16">
        <f>IF(H29="","",IFERROR(H29*G29*0.3,0))</f>
        <v/>
      </c>
      <c r="J29" s="16">
        <f>IF(H29="","",IFERROR(H29*G29*0.4,0))</f>
        <v/>
      </c>
      <c r="K29" s="16">
        <f>IF(I29="","",IFERROR(I29+J29,0))</f>
        <v/>
      </c>
      <c r="L29" s="21" t="n"/>
    </row>
    <row r="30" ht="22" customHeight="1">
      <c r="B30" s="22">
        <f>IF(C30="","IND"&amp;TEXT(COUNTA($C$5:C30),"000"))</f>
        <v/>
      </c>
      <c r="C30" s="22" t="n"/>
      <c r="D30" s="22">
        <f>IF(C30="","",VLOOKUP(C30,'_Données Employés'!$B$5:$S$114,3,FALSE))</f>
        <v/>
      </c>
      <c r="E30" s="22" t="n"/>
      <c r="F30" s="22" t="n"/>
      <c r="G30" s="18">
        <f>IF(F30="","",IFERROR((F30-DATE(YEAR(F30),1,1))/365.25,0))</f>
        <v/>
      </c>
      <c r="H30" s="22" t="n"/>
      <c r="I30" s="18">
        <f>IF(H30="","",IFERROR(H30*G30*0.3,0))</f>
        <v/>
      </c>
      <c r="J30" s="18">
        <f>IF(H30="","",IFERROR(H30*G30*0.4,0))</f>
        <v/>
      </c>
      <c r="K30" s="18">
        <f>IF(I30="","",IFERROR(I30+J30,0))</f>
        <v/>
      </c>
      <c r="L30" s="22" t="n"/>
    </row>
    <row r="31" ht="22" customHeight="1">
      <c r="B31" s="21">
        <f>IF(C31="","IND"&amp;TEXT(COUNTA($C$5:C31),"000"))</f>
        <v/>
      </c>
      <c r="C31" s="21" t="n"/>
      <c r="D31" s="21">
        <f>IF(C31="","",VLOOKUP(C31,'_Données Employés'!$B$5:$S$114,3,FALSE))</f>
        <v/>
      </c>
      <c r="E31" s="21" t="n"/>
      <c r="F31" s="21" t="n"/>
      <c r="G31" s="16">
        <f>IF(F31="","",IFERROR((F31-DATE(YEAR(F31),1,1))/365.25,0))</f>
        <v/>
      </c>
      <c r="H31" s="21" t="n"/>
      <c r="I31" s="16">
        <f>IF(H31="","",IFERROR(H31*G31*0.3,0))</f>
        <v/>
      </c>
      <c r="J31" s="16">
        <f>IF(H31="","",IFERROR(H31*G31*0.4,0))</f>
        <v/>
      </c>
      <c r="K31" s="16">
        <f>IF(I31="","",IFERROR(I31+J31,0))</f>
        <v/>
      </c>
      <c r="L31" s="21" t="n"/>
    </row>
    <row r="32" ht="22" customHeight="1">
      <c r="B32" s="22">
        <f>IF(C32="","IND"&amp;TEXT(COUNTA($C$5:C32),"000"))</f>
        <v/>
      </c>
      <c r="C32" s="22" t="n"/>
      <c r="D32" s="22">
        <f>IF(C32="","",VLOOKUP(C32,'_Données Employés'!$B$5:$S$114,3,FALSE))</f>
        <v/>
      </c>
      <c r="E32" s="22" t="n"/>
      <c r="F32" s="22" t="n"/>
      <c r="G32" s="18">
        <f>IF(F32="","",IFERROR((F32-DATE(YEAR(F32),1,1))/365.25,0))</f>
        <v/>
      </c>
      <c r="H32" s="22" t="n"/>
      <c r="I32" s="18">
        <f>IF(H32="","",IFERROR(H32*G32*0.3,0))</f>
        <v/>
      </c>
      <c r="J32" s="18">
        <f>IF(H32="","",IFERROR(H32*G32*0.4,0))</f>
        <v/>
      </c>
      <c r="K32" s="18">
        <f>IF(I32="","",IFERROR(I32+J32,0))</f>
        <v/>
      </c>
      <c r="L32" s="22" t="n"/>
    </row>
    <row r="33" ht="22" customHeight="1">
      <c r="B33" s="21">
        <f>IF(C33="","IND"&amp;TEXT(COUNTA($C$5:C33),"000"))</f>
        <v/>
      </c>
      <c r="C33" s="21" t="n"/>
      <c r="D33" s="21">
        <f>IF(C33="","",VLOOKUP(C33,'_Données Employés'!$B$5:$S$114,3,FALSE))</f>
        <v/>
      </c>
      <c r="E33" s="21" t="n"/>
      <c r="F33" s="21" t="n"/>
      <c r="G33" s="16">
        <f>IF(F33="","",IFERROR((F33-DATE(YEAR(F33),1,1))/365.25,0))</f>
        <v/>
      </c>
      <c r="H33" s="21" t="n"/>
      <c r="I33" s="16">
        <f>IF(H33="","",IFERROR(H33*G33*0.3,0))</f>
        <v/>
      </c>
      <c r="J33" s="16">
        <f>IF(H33="","",IFERROR(H33*G33*0.4,0))</f>
        <v/>
      </c>
      <c r="K33" s="16">
        <f>IF(I33="","",IFERROR(I33+J33,0))</f>
        <v/>
      </c>
      <c r="L33" s="21" t="n"/>
    </row>
    <row r="34" ht="22" customHeight="1">
      <c r="B34" s="22">
        <f>IF(C34="","IND"&amp;TEXT(COUNTA($C$5:C34),"000"))</f>
        <v/>
      </c>
      <c r="C34" s="22" t="n"/>
      <c r="D34" s="22">
        <f>IF(C34="","",VLOOKUP(C34,'_Données Employés'!$B$5:$S$114,3,FALSE))</f>
        <v/>
      </c>
      <c r="E34" s="22" t="n"/>
      <c r="F34" s="22" t="n"/>
      <c r="G34" s="18">
        <f>IF(F34="","",IFERROR((F34-DATE(YEAR(F34),1,1))/365.25,0))</f>
        <v/>
      </c>
      <c r="H34" s="22" t="n"/>
      <c r="I34" s="18">
        <f>IF(H34="","",IFERROR(H34*G34*0.3,0))</f>
        <v/>
      </c>
      <c r="J34" s="18">
        <f>IF(H34="","",IFERROR(H34*G34*0.4,0))</f>
        <v/>
      </c>
      <c r="K34" s="18">
        <f>IF(I34="","",IFERROR(I34+J34,0))</f>
        <v/>
      </c>
      <c r="L34" s="22" t="n"/>
    </row>
    <row r="35" ht="22" customHeight="1">
      <c r="B35" s="21">
        <f>IF(C35="","IND"&amp;TEXT(COUNTA($C$5:C35),"000"))</f>
        <v/>
      </c>
      <c r="C35" s="21" t="n"/>
      <c r="D35" s="21">
        <f>IF(C35="","",VLOOKUP(C35,'_Données Employés'!$B$5:$S$114,3,FALSE))</f>
        <v/>
      </c>
      <c r="E35" s="21" t="n"/>
      <c r="F35" s="21" t="n"/>
      <c r="G35" s="16">
        <f>IF(F35="","",IFERROR((F35-DATE(YEAR(F35),1,1))/365.25,0))</f>
        <v/>
      </c>
      <c r="H35" s="21" t="n"/>
      <c r="I35" s="16">
        <f>IF(H35="","",IFERROR(H35*G35*0.3,0))</f>
        <v/>
      </c>
      <c r="J35" s="16">
        <f>IF(H35="","",IFERROR(H35*G35*0.4,0))</f>
        <v/>
      </c>
      <c r="K35" s="16">
        <f>IF(I35="","",IFERROR(I35+J35,0))</f>
        <v/>
      </c>
      <c r="L35" s="21" t="n"/>
    </row>
    <row r="36" ht="22" customHeight="1">
      <c r="B36" s="22">
        <f>IF(C36="","IND"&amp;TEXT(COUNTA($C$5:C36),"000"))</f>
        <v/>
      </c>
      <c r="C36" s="22" t="n"/>
      <c r="D36" s="22">
        <f>IF(C36="","",VLOOKUP(C36,'_Données Employés'!$B$5:$S$114,3,FALSE))</f>
        <v/>
      </c>
      <c r="E36" s="22" t="n"/>
      <c r="F36" s="22" t="n"/>
      <c r="G36" s="18">
        <f>IF(F36="","",IFERROR((F36-DATE(YEAR(F36),1,1))/365.25,0))</f>
        <v/>
      </c>
      <c r="H36" s="22" t="n"/>
      <c r="I36" s="18">
        <f>IF(H36="","",IFERROR(H36*G36*0.3,0))</f>
        <v/>
      </c>
      <c r="J36" s="18">
        <f>IF(H36="","",IFERROR(H36*G36*0.4,0))</f>
        <v/>
      </c>
      <c r="K36" s="18">
        <f>IF(I36="","",IFERROR(I36+J36,0))</f>
        <v/>
      </c>
      <c r="L36" s="22" t="n"/>
    </row>
    <row r="37" ht="22" customHeight="1">
      <c r="B37" s="21">
        <f>IF(C37="","IND"&amp;TEXT(COUNTA($C$5:C37),"000"))</f>
        <v/>
      </c>
      <c r="C37" s="21" t="n"/>
      <c r="D37" s="21">
        <f>IF(C37="","",VLOOKUP(C37,'_Données Employés'!$B$5:$S$114,3,FALSE))</f>
        <v/>
      </c>
      <c r="E37" s="21" t="n"/>
      <c r="F37" s="21" t="n"/>
      <c r="G37" s="16">
        <f>IF(F37="","",IFERROR((F37-DATE(YEAR(F37),1,1))/365.25,0))</f>
        <v/>
      </c>
      <c r="H37" s="21" t="n"/>
      <c r="I37" s="16">
        <f>IF(H37="","",IFERROR(H37*G37*0.3,0))</f>
        <v/>
      </c>
      <c r="J37" s="16">
        <f>IF(H37="","",IFERROR(H37*G37*0.4,0))</f>
        <v/>
      </c>
      <c r="K37" s="16">
        <f>IF(I37="","",IFERROR(I37+J37,0))</f>
        <v/>
      </c>
      <c r="L37" s="21" t="n"/>
    </row>
    <row r="38" ht="22" customHeight="1">
      <c r="B38" s="22">
        <f>IF(C38="","IND"&amp;TEXT(COUNTA($C$5:C38),"000"))</f>
        <v/>
      </c>
      <c r="C38" s="22" t="n"/>
      <c r="D38" s="22">
        <f>IF(C38="","",VLOOKUP(C38,'_Données Employés'!$B$5:$S$114,3,FALSE))</f>
        <v/>
      </c>
      <c r="E38" s="22" t="n"/>
      <c r="F38" s="22" t="n"/>
      <c r="G38" s="18">
        <f>IF(F38="","",IFERROR((F38-DATE(YEAR(F38),1,1))/365.25,0))</f>
        <v/>
      </c>
      <c r="H38" s="22" t="n"/>
      <c r="I38" s="18">
        <f>IF(H38="","",IFERROR(H38*G38*0.3,0))</f>
        <v/>
      </c>
      <c r="J38" s="18">
        <f>IF(H38="","",IFERROR(H38*G38*0.4,0))</f>
        <v/>
      </c>
      <c r="K38" s="18">
        <f>IF(I38="","",IFERROR(I38+J38,0))</f>
        <v/>
      </c>
      <c r="L38" s="22" t="n"/>
    </row>
    <row r="39" ht="22" customHeight="1">
      <c r="B39" s="21">
        <f>IF(C39="","IND"&amp;TEXT(COUNTA($C$5:C39),"000"))</f>
        <v/>
      </c>
      <c r="C39" s="21" t="n"/>
      <c r="D39" s="21">
        <f>IF(C39="","",VLOOKUP(C39,'_Données Employés'!$B$5:$S$114,3,FALSE))</f>
        <v/>
      </c>
      <c r="E39" s="21" t="n"/>
      <c r="F39" s="21" t="n"/>
      <c r="G39" s="16">
        <f>IF(F39="","",IFERROR((F39-DATE(YEAR(F39),1,1))/365.25,0))</f>
        <v/>
      </c>
      <c r="H39" s="21" t="n"/>
      <c r="I39" s="16">
        <f>IF(H39="","",IFERROR(H39*G39*0.3,0))</f>
        <v/>
      </c>
      <c r="J39" s="16">
        <f>IF(H39="","",IFERROR(H39*G39*0.4,0))</f>
        <v/>
      </c>
      <c r="K39" s="16">
        <f>IF(I39="","",IFERROR(I39+J39,0))</f>
        <v/>
      </c>
      <c r="L39" s="21" t="n"/>
    </row>
    <row r="40" ht="22" customHeight="1">
      <c r="B40" s="22">
        <f>IF(C40="","IND"&amp;TEXT(COUNTA($C$5:C40),"000"))</f>
        <v/>
      </c>
      <c r="C40" s="22" t="n"/>
      <c r="D40" s="22">
        <f>IF(C40="","",VLOOKUP(C40,'_Données Employés'!$B$5:$S$114,3,FALSE))</f>
        <v/>
      </c>
      <c r="E40" s="22" t="n"/>
      <c r="F40" s="22" t="n"/>
      <c r="G40" s="18">
        <f>IF(F40="","",IFERROR((F40-DATE(YEAR(F40),1,1))/365.25,0))</f>
        <v/>
      </c>
      <c r="H40" s="22" t="n"/>
      <c r="I40" s="18">
        <f>IF(H40="","",IFERROR(H40*G40*0.3,0))</f>
        <v/>
      </c>
      <c r="J40" s="18">
        <f>IF(H40="","",IFERROR(H40*G40*0.4,0))</f>
        <v/>
      </c>
      <c r="K40" s="18">
        <f>IF(I40="","",IFERROR(I40+J40,0))</f>
        <v/>
      </c>
      <c r="L40" s="22" t="n"/>
    </row>
    <row r="41" ht="22" customHeight="1">
      <c r="B41" s="21">
        <f>IF(C41="","IND"&amp;TEXT(COUNTA($C$5:C41),"000"))</f>
        <v/>
      </c>
      <c r="C41" s="21" t="n"/>
      <c r="D41" s="21">
        <f>IF(C41="","",VLOOKUP(C41,'_Données Employés'!$B$5:$S$114,3,FALSE))</f>
        <v/>
      </c>
      <c r="E41" s="21" t="n"/>
      <c r="F41" s="21" t="n"/>
      <c r="G41" s="16">
        <f>IF(F41="","",IFERROR((F41-DATE(YEAR(F41),1,1))/365.25,0))</f>
        <v/>
      </c>
      <c r="H41" s="21" t="n"/>
      <c r="I41" s="16">
        <f>IF(H41="","",IFERROR(H41*G41*0.3,0))</f>
        <v/>
      </c>
      <c r="J41" s="16">
        <f>IF(H41="","",IFERROR(H41*G41*0.4,0))</f>
        <v/>
      </c>
      <c r="K41" s="16">
        <f>IF(I41="","",IFERROR(I41+J41,0))</f>
        <v/>
      </c>
      <c r="L41" s="21" t="n"/>
    </row>
    <row r="42" ht="22" customHeight="1">
      <c r="B42" s="22">
        <f>IF(C42="","IND"&amp;TEXT(COUNTA($C$5:C42),"000"))</f>
        <v/>
      </c>
      <c r="C42" s="22" t="n"/>
      <c r="D42" s="22">
        <f>IF(C42="","",VLOOKUP(C42,'_Données Employés'!$B$5:$S$114,3,FALSE))</f>
        <v/>
      </c>
      <c r="E42" s="22" t="n"/>
      <c r="F42" s="22" t="n"/>
      <c r="G42" s="18">
        <f>IF(F42="","",IFERROR((F42-DATE(YEAR(F42),1,1))/365.25,0))</f>
        <v/>
      </c>
      <c r="H42" s="22" t="n"/>
      <c r="I42" s="18">
        <f>IF(H42="","",IFERROR(H42*G42*0.3,0))</f>
        <v/>
      </c>
      <c r="J42" s="18">
        <f>IF(H42="","",IFERROR(H42*G42*0.4,0))</f>
        <v/>
      </c>
      <c r="K42" s="18">
        <f>IF(I42="","",IFERROR(I42+J42,0))</f>
        <v/>
      </c>
      <c r="L42" s="22" t="n"/>
    </row>
    <row r="43" ht="22" customHeight="1">
      <c r="B43" s="21">
        <f>IF(C43="","IND"&amp;TEXT(COUNTA($C$5:C43),"000"))</f>
        <v/>
      </c>
      <c r="C43" s="21" t="n"/>
      <c r="D43" s="21">
        <f>IF(C43="","",VLOOKUP(C43,'_Données Employés'!$B$5:$S$114,3,FALSE))</f>
        <v/>
      </c>
      <c r="E43" s="21" t="n"/>
      <c r="F43" s="21" t="n"/>
      <c r="G43" s="16">
        <f>IF(F43="","",IFERROR((F43-DATE(YEAR(F43),1,1))/365.25,0))</f>
        <v/>
      </c>
      <c r="H43" s="21" t="n"/>
      <c r="I43" s="16">
        <f>IF(H43="","",IFERROR(H43*G43*0.3,0))</f>
        <v/>
      </c>
      <c r="J43" s="16">
        <f>IF(H43="","",IFERROR(H43*G43*0.4,0))</f>
        <v/>
      </c>
      <c r="K43" s="16">
        <f>IF(I43="","",IFERROR(I43+J43,0))</f>
        <v/>
      </c>
      <c r="L43" s="21" t="n"/>
    </row>
    <row r="44" ht="22" customHeight="1">
      <c r="B44" s="22">
        <f>IF(C44="","IND"&amp;TEXT(COUNTA($C$5:C44),"000"))</f>
        <v/>
      </c>
      <c r="C44" s="22" t="n"/>
      <c r="D44" s="22">
        <f>IF(C44="","",VLOOKUP(C44,'_Données Employés'!$B$5:$S$114,3,FALSE))</f>
        <v/>
      </c>
      <c r="E44" s="22" t="n"/>
      <c r="F44" s="22" t="n"/>
      <c r="G44" s="18">
        <f>IF(F44="","",IFERROR((F44-DATE(YEAR(F44),1,1))/365.25,0))</f>
        <v/>
      </c>
      <c r="H44" s="22" t="n"/>
      <c r="I44" s="18">
        <f>IF(H44="","",IFERROR(H44*G44*0.3,0))</f>
        <v/>
      </c>
      <c r="J44" s="18">
        <f>IF(H44="","",IFERROR(H44*G44*0.4,0))</f>
        <v/>
      </c>
      <c r="K44" s="18">
        <f>IF(I44="","",IFERROR(I44+J44,0))</f>
        <v/>
      </c>
      <c r="L44" s="22" t="n"/>
    </row>
    <row r="45" ht="22" customHeight="1">
      <c r="B45" s="21">
        <f>IF(C45="","IND"&amp;TEXT(COUNTA($C$5:C45),"000"))</f>
        <v/>
      </c>
      <c r="C45" s="21" t="n"/>
      <c r="D45" s="21">
        <f>IF(C45="","",VLOOKUP(C45,'_Données Employés'!$B$5:$S$114,3,FALSE))</f>
        <v/>
      </c>
      <c r="E45" s="21" t="n"/>
      <c r="F45" s="21" t="n"/>
      <c r="G45" s="16">
        <f>IF(F45="","",IFERROR((F45-DATE(YEAR(F45),1,1))/365.25,0))</f>
        <v/>
      </c>
      <c r="H45" s="21" t="n"/>
      <c r="I45" s="16">
        <f>IF(H45="","",IFERROR(H45*G45*0.3,0))</f>
        <v/>
      </c>
      <c r="J45" s="16">
        <f>IF(H45="","",IFERROR(H45*G45*0.4,0))</f>
        <v/>
      </c>
      <c r="K45" s="16">
        <f>IF(I45="","",IFERROR(I45+J45,0))</f>
        <v/>
      </c>
      <c r="L45" s="21" t="n"/>
    </row>
    <row r="46" ht="22" customHeight="1">
      <c r="B46" s="22">
        <f>IF(C46="","IND"&amp;TEXT(COUNTA($C$5:C46),"000"))</f>
        <v/>
      </c>
      <c r="C46" s="22" t="n"/>
      <c r="D46" s="22">
        <f>IF(C46="","",VLOOKUP(C46,'_Données Employés'!$B$5:$S$114,3,FALSE))</f>
        <v/>
      </c>
      <c r="E46" s="22" t="n"/>
      <c r="F46" s="22" t="n"/>
      <c r="G46" s="18">
        <f>IF(F46="","",IFERROR((F46-DATE(YEAR(F46),1,1))/365.25,0))</f>
        <v/>
      </c>
      <c r="H46" s="22" t="n"/>
      <c r="I46" s="18">
        <f>IF(H46="","",IFERROR(H46*G46*0.3,0))</f>
        <v/>
      </c>
      <c r="J46" s="18">
        <f>IF(H46="","",IFERROR(H46*G46*0.4,0))</f>
        <v/>
      </c>
      <c r="K46" s="18">
        <f>IF(I46="","",IFERROR(I46+J46,0))</f>
        <v/>
      </c>
      <c r="L46" s="22" t="n"/>
    </row>
    <row r="47" ht="22" customHeight="1">
      <c r="B47" s="21">
        <f>IF(C47="","IND"&amp;TEXT(COUNTA($C$5:C47),"000"))</f>
        <v/>
      </c>
      <c r="C47" s="21" t="n"/>
      <c r="D47" s="21">
        <f>IF(C47="","",VLOOKUP(C47,'_Données Employés'!$B$5:$S$114,3,FALSE))</f>
        <v/>
      </c>
      <c r="E47" s="21" t="n"/>
      <c r="F47" s="21" t="n"/>
      <c r="G47" s="16">
        <f>IF(F47="","",IFERROR((F47-DATE(YEAR(F47),1,1))/365.25,0))</f>
        <v/>
      </c>
      <c r="H47" s="21" t="n"/>
      <c r="I47" s="16">
        <f>IF(H47="","",IFERROR(H47*G47*0.3,0))</f>
        <v/>
      </c>
      <c r="J47" s="16">
        <f>IF(H47="","",IFERROR(H47*G47*0.4,0))</f>
        <v/>
      </c>
      <c r="K47" s="16">
        <f>IF(I47="","",IFERROR(I47+J47,0))</f>
        <v/>
      </c>
      <c r="L47" s="21" t="n"/>
    </row>
    <row r="48" ht="22" customHeight="1">
      <c r="B48" s="22">
        <f>IF(C48="","IND"&amp;TEXT(COUNTA($C$5:C48),"000"))</f>
        <v/>
      </c>
      <c r="C48" s="22" t="n"/>
      <c r="D48" s="22">
        <f>IF(C48="","",VLOOKUP(C48,'_Données Employés'!$B$5:$S$114,3,FALSE))</f>
        <v/>
      </c>
      <c r="E48" s="22" t="n"/>
      <c r="F48" s="22" t="n"/>
      <c r="G48" s="18">
        <f>IF(F48="","",IFERROR((F48-DATE(YEAR(F48),1,1))/365.25,0))</f>
        <v/>
      </c>
      <c r="H48" s="22" t="n"/>
      <c r="I48" s="18">
        <f>IF(H48="","",IFERROR(H48*G48*0.3,0))</f>
        <v/>
      </c>
      <c r="J48" s="18">
        <f>IF(H48="","",IFERROR(H48*G48*0.4,0))</f>
        <v/>
      </c>
      <c r="K48" s="18">
        <f>IF(I48="","",IFERROR(I48+J48,0))</f>
        <v/>
      </c>
      <c r="L48" s="22" t="n"/>
    </row>
    <row r="49" ht="22" customHeight="1">
      <c r="B49" s="21">
        <f>IF(C49="","IND"&amp;TEXT(COUNTA($C$5:C49),"000"))</f>
        <v/>
      </c>
      <c r="C49" s="21" t="n"/>
      <c r="D49" s="21">
        <f>IF(C49="","",VLOOKUP(C49,'_Données Employés'!$B$5:$S$114,3,FALSE))</f>
        <v/>
      </c>
      <c r="E49" s="21" t="n"/>
      <c r="F49" s="21" t="n"/>
      <c r="G49" s="16">
        <f>IF(F49="","",IFERROR((F49-DATE(YEAR(F49),1,1))/365.25,0))</f>
        <v/>
      </c>
      <c r="H49" s="21" t="n"/>
      <c r="I49" s="16">
        <f>IF(H49="","",IFERROR(H49*G49*0.3,0))</f>
        <v/>
      </c>
      <c r="J49" s="16">
        <f>IF(H49="","",IFERROR(H49*G49*0.4,0))</f>
        <v/>
      </c>
      <c r="K49" s="16">
        <f>IF(I49="","",IFERROR(I49+J49,0))</f>
        <v/>
      </c>
      <c r="L49" s="21" t="n"/>
    </row>
    <row r="50" ht="22" customHeight="1">
      <c r="B50" s="22">
        <f>IF(C50="","IND"&amp;TEXT(COUNTA($C$5:C50),"000"))</f>
        <v/>
      </c>
      <c r="C50" s="22" t="n"/>
      <c r="D50" s="22">
        <f>IF(C50="","",VLOOKUP(C50,'_Données Employés'!$B$5:$S$114,3,FALSE))</f>
        <v/>
      </c>
      <c r="E50" s="22" t="n"/>
      <c r="F50" s="22" t="n"/>
      <c r="G50" s="18">
        <f>IF(F50="","",IFERROR((F50-DATE(YEAR(F50),1,1))/365.25,0))</f>
        <v/>
      </c>
      <c r="H50" s="22" t="n"/>
      <c r="I50" s="18">
        <f>IF(H50="","",IFERROR(H50*G50*0.3,0))</f>
        <v/>
      </c>
      <c r="J50" s="18">
        <f>IF(H50="","",IFERROR(H50*G50*0.4,0))</f>
        <v/>
      </c>
      <c r="K50" s="18">
        <f>IF(I50="","",IFERROR(I50+J50,0))</f>
        <v/>
      </c>
      <c r="L50" s="22" t="n"/>
    </row>
    <row r="51" ht="22" customHeight="1">
      <c r="B51" s="21">
        <f>IF(C51="","IND"&amp;TEXT(COUNTA($C$5:C51),"000"))</f>
        <v/>
      </c>
      <c r="C51" s="21" t="n"/>
      <c r="D51" s="21">
        <f>IF(C51="","",VLOOKUP(C51,'_Données Employés'!$B$5:$S$114,3,FALSE))</f>
        <v/>
      </c>
      <c r="E51" s="21" t="n"/>
      <c r="F51" s="21" t="n"/>
      <c r="G51" s="16">
        <f>IF(F51="","",IFERROR((F51-DATE(YEAR(F51),1,1))/365.25,0))</f>
        <v/>
      </c>
      <c r="H51" s="21" t="n"/>
      <c r="I51" s="16">
        <f>IF(H51="","",IFERROR(H51*G51*0.3,0))</f>
        <v/>
      </c>
      <c r="J51" s="16">
        <f>IF(H51="","",IFERROR(H51*G51*0.4,0))</f>
        <v/>
      </c>
      <c r="K51" s="16">
        <f>IF(I51="","",IFERROR(I51+J51,0))</f>
        <v/>
      </c>
      <c r="L51" s="21" t="n"/>
    </row>
    <row r="52" ht="22" customHeight="1">
      <c r="B52" s="22">
        <f>IF(C52="","IND"&amp;TEXT(COUNTA($C$5:C52),"000"))</f>
        <v/>
      </c>
      <c r="C52" s="22" t="n"/>
      <c r="D52" s="22">
        <f>IF(C52="","",VLOOKUP(C52,'_Données Employés'!$B$5:$S$114,3,FALSE))</f>
        <v/>
      </c>
      <c r="E52" s="22" t="n"/>
      <c r="F52" s="22" t="n"/>
      <c r="G52" s="18">
        <f>IF(F52="","",IFERROR((F52-DATE(YEAR(F52),1,1))/365.25,0))</f>
        <v/>
      </c>
      <c r="H52" s="22" t="n"/>
      <c r="I52" s="18">
        <f>IF(H52="","",IFERROR(H52*G52*0.3,0))</f>
        <v/>
      </c>
      <c r="J52" s="18">
        <f>IF(H52="","",IFERROR(H52*G52*0.4,0))</f>
        <v/>
      </c>
      <c r="K52" s="18">
        <f>IF(I52="","",IFERROR(I52+J52,0))</f>
        <v/>
      </c>
      <c r="L52" s="22" t="n"/>
    </row>
    <row r="53" ht="22" customHeight="1">
      <c r="B53" s="21">
        <f>IF(C53="","IND"&amp;TEXT(COUNTA($C$5:C53),"000"))</f>
        <v/>
      </c>
      <c r="C53" s="21" t="n"/>
      <c r="D53" s="21">
        <f>IF(C53="","",VLOOKUP(C53,'_Données Employés'!$B$5:$S$114,3,FALSE))</f>
        <v/>
      </c>
      <c r="E53" s="21" t="n"/>
      <c r="F53" s="21" t="n"/>
      <c r="G53" s="16">
        <f>IF(F53="","",IFERROR((F53-DATE(YEAR(F53),1,1))/365.25,0))</f>
        <v/>
      </c>
      <c r="H53" s="21" t="n"/>
      <c r="I53" s="16">
        <f>IF(H53="","",IFERROR(H53*G53*0.3,0))</f>
        <v/>
      </c>
      <c r="J53" s="16">
        <f>IF(H53="","",IFERROR(H53*G53*0.4,0))</f>
        <v/>
      </c>
      <c r="K53" s="16">
        <f>IF(I53="","",IFERROR(I53+J53,0))</f>
        <v/>
      </c>
      <c r="L53" s="21" t="n"/>
    </row>
    <row r="54" ht="22" customHeight="1">
      <c r="B54" s="22">
        <f>IF(C54="","IND"&amp;TEXT(COUNTA($C$5:C54),"000"))</f>
        <v/>
      </c>
      <c r="C54" s="22" t="n"/>
      <c r="D54" s="22">
        <f>IF(C54="","",VLOOKUP(C54,'_Données Employés'!$B$5:$S$114,3,FALSE))</f>
        <v/>
      </c>
      <c r="E54" s="22" t="n"/>
      <c r="F54" s="22" t="n"/>
      <c r="G54" s="18">
        <f>IF(F54="","",IFERROR((F54-DATE(YEAR(F54),1,1))/365.25,0))</f>
        <v/>
      </c>
      <c r="H54" s="22" t="n"/>
      <c r="I54" s="18">
        <f>IF(H54="","",IFERROR(H54*G54*0.3,0))</f>
        <v/>
      </c>
      <c r="J54" s="18">
        <f>IF(H54="","",IFERROR(H54*G54*0.4,0))</f>
        <v/>
      </c>
      <c r="K54" s="18">
        <f>IF(I54="","",IFERROR(I54+J54,0))</f>
        <v/>
      </c>
      <c r="L54" s="22" t="n"/>
    </row>
    <row r="55" ht="22" customHeight="1">
      <c r="B55" s="21">
        <f>IF(C55="","IND"&amp;TEXT(COUNTA($C$5:C55),"000"))</f>
        <v/>
      </c>
      <c r="C55" s="21" t="n"/>
      <c r="D55" s="21">
        <f>IF(C55="","",VLOOKUP(C55,'_Données Employés'!$B$5:$S$114,3,FALSE))</f>
        <v/>
      </c>
      <c r="E55" s="21" t="n"/>
      <c r="F55" s="21" t="n"/>
      <c r="G55" s="16">
        <f>IF(F55="","",IFERROR((F55-DATE(YEAR(F55),1,1))/365.25,0))</f>
        <v/>
      </c>
      <c r="H55" s="21" t="n"/>
      <c r="I55" s="16">
        <f>IF(H55="","",IFERROR(H55*G55*0.3,0))</f>
        <v/>
      </c>
      <c r="J55" s="16">
        <f>IF(H55="","",IFERROR(H55*G55*0.4,0))</f>
        <v/>
      </c>
      <c r="K55" s="16">
        <f>IF(I55="","",IFERROR(I55+J55,0))</f>
        <v/>
      </c>
      <c r="L55" s="21" t="n"/>
    </row>
    <row r="56" ht="22" customHeight="1">
      <c r="B56" s="22">
        <f>IF(C56="","IND"&amp;TEXT(COUNTA($C$5:C56),"000"))</f>
        <v/>
      </c>
      <c r="C56" s="22" t="n"/>
      <c r="D56" s="22">
        <f>IF(C56="","",VLOOKUP(C56,'_Données Employés'!$B$5:$S$114,3,FALSE))</f>
        <v/>
      </c>
      <c r="E56" s="22" t="n"/>
      <c r="F56" s="22" t="n"/>
      <c r="G56" s="18">
        <f>IF(F56="","",IFERROR((F56-DATE(YEAR(F56),1,1))/365.25,0))</f>
        <v/>
      </c>
      <c r="H56" s="22" t="n"/>
      <c r="I56" s="18">
        <f>IF(H56="","",IFERROR(H56*G56*0.3,0))</f>
        <v/>
      </c>
      <c r="J56" s="18">
        <f>IF(H56="","",IFERROR(H56*G56*0.4,0))</f>
        <v/>
      </c>
      <c r="K56" s="18">
        <f>IF(I56="","",IFERROR(I56+J56,0))</f>
        <v/>
      </c>
      <c r="L56" s="22" t="n"/>
    </row>
    <row r="57" ht="22" customHeight="1">
      <c r="B57" s="21">
        <f>IF(C57="","IND"&amp;TEXT(COUNTA($C$5:C57),"000"))</f>
        <v/>
      </c>
      <c r="C57" s="21" t="n"/>
      <c r="D57" s="21">
        <f>IF(C57="","",VLOOKUP(C57,'_Données Employés'!$B$5:$S$114,3,FALSE))</f>
        <v/>
      </c>
      <c r="E57" s="21" t="n"/>
      <c r="F57" s="21" t="n"/>
      <c r="G57" s="16">
        <f>IF(F57="","",IFERROR((F57-DATE(YEAR(F57),1,1))/365.25,0))</f>
        <v/>
      </c>
      <c r="H57" s="21" t="n"/>
      <c r="I57" s="16">
        <f>IF(H57="","",IFERROR(H57*G57*0.3,0))</f>
        <v/>
      </c>
      <c r="J57" s="16">
        <f>IF(H57="","",IFERROR(H57*G57*0.4,0))</f>
        <v/>
      </c>
      <c r="K57" s="16">
        <f>IF(I57="","",IFERROR(I57+J57,0))</f>
        <v/>
      </c>
      <c r="L57" s="21" t="n"/>
    </row>
    <row r="58" ht="22" customHeight="1">
      <c r="B58" s="22">
        <f>IF(C58="","IND"&amp;TEXT(COUNTA($C$5:C58),"000"))</f>
        <v/>
      </c>
      <c r="C58" s="22" t="n"/>
      <c r="D58" s="22">
        <f>IF(C58="","",VLOOKUP(C58,'_Données Employés'!$B$5:$S$114,3,FALSE))</f>
        <v/>
      </c>
      <c r="E58" s="22" t="n"/>
      <c r="F58" s="22" t="n"/>
      <c r="G58" s="18">
        <f>IF(F58="","",IFERROR((F58-DATE(YEAR(F58),1,1))/365.25,0))</f>
        <v/>
      </c>
      <c r="H58" s="22" t="n"/>
      <c r="I58" s="18">
        <f>IF(H58="","",IFERROR(H58*G58*0.3,0))</f>
        <v/>
      </c>
      <c r="J58" s="18">
        <f>IF(H58="","",IFERROR(H58*G58*0.4,0))</f>
        <v/>
      </c>
      <c r="K58" s="18">
        <f>IF(I58="","",IFERROR(I58+J58,0))</f>
        <v/>
      </c>
      <c r="L58" s="22" t="n"/>
    </row>
    <row r="59" ht="22" customHeight="1">
      <c r="B59" s="21">
        <f>IF(C59="","IND"&amp;TEXT(COUNTA($C$5:C59),"000"))</f>
        <v/>
      </c>
      <c r="C59" s="21" t="n"/>
      <c r="D59" s="21">
        <f>IF(C59="","",VLOOKUP(C59,'_Données Employés'!$B$5:$S$114,3,FALSE))</f>
        <v/>
      </c>
      <c r="E59" s="21" t="n"/>
      <c r="F59" s="21" t="n"/>
      <c r="G59" s="16">
        <f>IF(F59="","",IFERROR((F59-DATE(YEAR(F59),1,1))/365.25,0))</f>
        <v/>
      </c>
      <c r="H59" s="21" t="n"/>
      <c r="I59" s="16">
        <f>IF(H59="","",IFERROR(H59*G59*0.3,0))</f>
        <v/>
      </c>
      <c r="J59" s="16">
        <f>IF(H59="","",IFERROR(H59*G59*0.4,0))</f>
        <v/>
      </c>
      <c r="K59" s="16">
        <f>IF(I59="","",IFERROR(I59+J59,0))</f>
        <v/>
      </c>
      <c r="L59" s="21" t="n"/>
    </row>
    <row r="60" ht="22" customHeight="1">
      <c r="B60" s="22">
        <f>IF(C60="","IND"&amp;TEXT(COUNTA($C$5:C60),"000"))</f>
        <v/>
      </c>
      <c r="C60" s="22" t="n"/>
      <c r="D60" s="22">
        <f>IF(C60="","",VLOOKUP(C60,'_Données Employés'!$B$5:$S$114,3,FALSE))</f>
        <v/>
      </c>
      <c r="E60" s="22" t="n"/>
      <c r="F60" s="22" t="n"/>
      <c r="G60" s="18">
        <f>IF(F60="","",IFERROR((F60-DATE(YEAR(F60),1,1))/365.25,0))</f>
        <v/>
      </c>
      <c r="H60" s="22" t="n"/>
      <c r="I60" s="18">
        <f>IF(H60="","",IFERROR(H60*G60*0.3,0))</f>
        <v/>
      </c>
      <c r="J60" s="18">
        <f>IF(H60="","",IFERROR(H60*G60*0.4,0))</f>
        <v/>
      </c>
      <c r="K60" s="18">
        <f>IF(I60="","",IFERROR(I60+J60,0))</f>
        <v/>
      </c>
      <c r="L60" s="22" t="n"/>
    </row>
    <row r="61" ht="22" customHeight="1">
      <c r="B61" s="21">
        <f>IF(C61="","IND"&amp;TEXT(COUNTA($C$5:C61),"000"))</f>
        <v/>
      </c>
      <c r="C61" s="21" t="n"/>
      <c r="D61" s="21">
        <f>IF(C61="","",VLOOKUP(C61,'_Données Employés'!$B$5:$S$114,3,FALSE))</f>
        <v/>
      </c>
      <c r="E61" s="21" t="n"/>
      <c r="F61" s="21" t="n"/>
      <c r="G61" s="16">
        <f>IF(F61="","",IFERROR((F61-DATE(YEAR(F61),1,1))/365.25,0))</f>
        <v/>
      </c>
      <c r="H61" s="21" t="n"/>
      <c r="I61" s="16">
        <f>IF(H61="","",IFERROR(H61*G61*0.3,0))</f>
        <v/>
      </c>
      <c r="J61" s="16">
        <f>IF(H61="","",IFERROR(H61*G61*0.4,0))</f>
        <v/>
      </c>
      <c r="K61" s="16">
        <f>IF(I61="","",IFERROR(I61+J61,0))</f>
        <v/>
      </c>
      <c r="L61" s="21" t="n"/>
    </row>
    <row r="62" ht="22" customHeight="1">
      <c r="B62" s="22">
        <f>IF(C62="","IND"&amp;TEXT(COUNTA($C$5:C62),"000"))</f>
        <v/>
      </c>
      <c r="C62" s="22" t="n"/>
      <c r="D62" s="22">
        <f>IF(C62="","",VLOOKUP(C62,'_Données Employés'!$B$5:$S$114,3,FALSE))</f>
        <v/>
      </c>
      <c r="E62" s="22" t="n"/>
      <c r="F62" s="22" t="n"/>
      <c r="G62" s="18">
        <f>IF(F62="","",IFERROR((F62-DATE(YEAR(F62),1,1))/365.25,0))</f>
        <v/>
      </c>
      <c r="H62" s="22" t="n"/>
      <c r="I62" s="18">
        <f>IF(H62="","",IFERROR(H62*G62*0.3,0))</f>
        <v/>
      </c>
      <c r="J62" s="18">
        <f>IF(H62="","",IFERROR(H62*G62*0.4,0))</f>
        <v/>
      </c>
      <c r="K62" s="18">
        <f>IF(I62="","",IFERROR(I62+J62,0))</f>
        <v/>
      </c>
      <c r="L62" s="22" t="n"/>
    </row>
    <row r="63" ht="22" customHeight="1">
      <c r="B63" s="21">
        <f>IF(C63="","IND"&amp;TEXT(COUNTA($C$5:C63),"000"))</f>
        <v/>
      </c>
      <c r="C63" s="21" t="n"/>
      <c r="D63" s="21">
        <f>IF(C63="","",VLOOKUP(C63,'_Données Employés'!$B$5:$S$114,3,FALSE))</f>
        <v/>
      </c>
      <c r="E63" s="21" t="n"/>
      <c r="F63" s="21" t="n"/>
      <c r="G63" s="16">
        <f>IF(F63="","",IFERROR((F63-DATE(YEAR(F63),1,1))/365.25,0))</f>
        <v/>
      </c>
      <c r="H63" s="21" t="n"/>
      <c r="I63" s="16">
        <f>IF(H63="","",IFERROR(H63*G63*0.3,0))</f>
        <v/>
      </c>
      <c r="J63" s="16">
        <f>IF(H63="","",IFERROR(H63*G63*0.4,0))</f>
        <v/>
      </c>
      <c r="K63" s="16">
        <f>IF(I63="","",IFERROR(I63+J63,0))</f>
        <v/>
      </c>
      <c r="L63" s="21" t="n"/>
    </row>
    <row r="64" ht="22" customHeight="1">
      <c r="B64" s="22">
        <f>IF(C64="","IND"&amp;TEXT(COUNTA($C$5:C64),"000"))</f>
        <v/>
      </c>
      <c r="C64" s="22" t="n"/>
      <c r="D64" s="22">
        <f>IF(C64="","",VLOOKUP(C64,'_Données Employés'!$B$5:$S$114,3,FALSE))</f>
        <v/>
      </c>
      <c r="E64" s="22" t="n"/>
      <c r="F64" s="22" t="n"/>
      <c r="G64" s="18">
        <f>IF(F64="","",IFERROR((F64-DATE(YEAR(F64),1,1))/365.25,0))</f>
        <v/>
      </c>
      <c r="H64" s="22" t="n"/>
      <c r="I64" s="18">
        <f>IF(H64="","",IFERROR(H64*G64*0.3,0))</f>
        <v/>
      </c>
      <c r="J64" s="18">
        <f>IF(H64="","",IFERROR(H64*G64*0.4,0))</f>
        <v/>
      </c>
      <c r="K64" s="18">
        <f>IF(I64="","",IFERROR(I64+J64,0))</f>
        <v/>
      </c>
      <c r="L64" s="22" t="n"/>
    </row>
    <row r="65" ht="22" customHeight="1">
      <c r="B65" s="21">
        <f>IF(C65="","IND"&amp;TEXT(COUNTA($C$5:C65),"000"))</f>
        <v/>
      </c>
      <c r="C65" s="21" t="n"/>
      <c r="D65" s="21">
        <f>IF(C65="","",VLOOKUP(C65,'_Données Employés'!$B$5:$S$114,3,FALSE))</f>
        <v/>
      </c>
      <c r="E65" s="21" t="n"/>
      <c r="F65" s="21" t="n"/>
      <c r="G65" s="16">
        <f>IF(F65="","",IFERROR((F65-DATE(YEAR(F65),1,1))/365.25,0))</f>
        <v/>
      </c>
      <c r="H65" s="21" t="n"/>
      <c r="I65" s="16">
        <f>IF(H65="","",IFERROR(H65*G65*0.3,0))</f>
        <v/>
      </c>
      <c r="J65" s="16">
        <f>IF(H65="","",IFERROR(H65*G65*0.4,0))</f>
        <v/>
      </c>
      <c r="K65" s="16">
        <f>IF(I65="","",IFERROR(I65+J65,0))</f>
        <v/>
      </c>
      <c r="L65" s="21" t="n"/>
    </row>
    <row r="66" ht="22" customHeight="1">
      <c r="B66" s="22">
        <f>IF(C66="","IND"&amp;TEXT(COUNTA($C$5:C66),"000"))</f>
        <v/>
      </c>
      <c r="C66" s="22" t="n"/>
      <c r="D66" s="22">
        <f>IF(C66="","",VLOOKUP(C66,'_Données Employés'!$B$5:$S$114,3,FALSE))</f>
        <v/>
      </c>
      <c r="E66" s="22" t="n"/>
      <c r="F66" s="22" t="n"/>
      <c r="G66" s="18">
        <f>IF(F66="","",IFERROR((F66-DATE(YEAR(F66),1,1))/365.25,0))</f>
        <v/>
      </c>
      <c r="H66" s="22" t="n"/>
      <c r="I66" s="18">
        <f>IF(H66="","",IFERROR(H66*G66*0.3,0))</f>
        <v/>
      </c>
      <c r="J66" s="18">
        <f>IF(H66="","",IFERROR(H66*G66*0.4,0))</f>
        <v/>
      </c>
      <c r="K66" s="18">
        <f>IF(I66="","",IFERROR(I66+J66,0))</f>
        <v/>
      </c>
      <c r="L66" s="22" t="n"/>
    </row>
    <row r="67" ht="22" customHeight="1">
      <c r="B67" s="21">
        <f>IF(C67="","IND"&amp;TEXT(COUNTA($C$5:C67),"000"))</f>
        <v/>
      </c>
      <c r="C67" s="21" t="n"/>
      <c r="D67" s="21">
        <f>IF(C67="","",VLOOKUP(C67,'_Données Employés'!$B$5:$S$114,3,FALSE))</f>
        <v/>
      </c>
      <c r="E67" s="21" t="n"/>
      <c r="F67" s="21" t="n"/>
      <c r="G67" s="16">
        <f>IF(F67="","",IFERROR((F67-DATE(YEAR(F67),1,1))/365.25,0))</f>
        <v/>
      </c>
      <c r="H67" s="21" t="n"/>
      <c r="I67" s="16">
        <f>IF(H67="","",IFERROR(H67*G67*0.3,0))</f>
        <v/>
      </c>
      <c r="J67" s="16">
        <f>IF(H67="","",IFERROR(H67*G67*0.4,0))</f>
        <v/>
      </c>
      <c r="K67" s="16">
        <f>IF(I67="","",IFERROR(I67+J67,0))</f>
        <v/>
      </c>
      <c r="L67" s="21" t="n"/>
    </row>
    <row r="68" ht="22" customHeight="1">
      <c r="B68" s="22">
        <f>IF(C68="","IND"&amp;TEXT(COUNTA($C$5:C68),"000"))</f>
        <v/>
      </c>
      <c r="C68" s="22" t="n"/>
      <c r="D68" s="22">
        <f>IF(C68="","",VLOOKUP(C68,'_Données Employés'!$B$5:$S$114,3,FALSE))</f>
        <v/>
      </c>
      <c r="E68" s="22" t="n"/>
      <c r="F68" s="22" t="n"/>
      <c r="G68" s="18">
        <f>IF(F68="","",IFERROR((F68-DATE(YEAR(F68),1,1))/365.25,0))</f>
        <v/>
      </c>
      <c r="H68" s="22" t="n"/>
      <c r="I68" s="18">
        <f>IF(H68="","",IFERROR(H68*G68*0.3,0))</f>
        <v/>
      </c>
      <c r="J68" s="18">
        <f>IF(H68="","",IFERROR(H68*G68*0.4,0))</f>
        <v/>
      </c>
      <c r="K68" s="18">
        <f>IF(I68="","",IFERROR(I68+J68,0))</f>
        <v/>
      </c>
      <c r="L68" s="22" t="n"/>
    </row>
    <row r="69" ht="22" customHeight="1">
      <c r="B69" s="21">
        <f>IF(C69="","IND"&amp;TEXT(COUNTA($C$5:C69),"000"))</f>
        <v/>
      </c>
      <c r="C69" s="21" t="n"/>
      <c r="D69" s="21">
        <f>IF(C69="","",VLOOKUP(C69,'_Données Employés'!$B$5:$S$114,3,FALSE))</f>
        <v/>
      </c>
      <c r="E69" s="21" t="n"/>
      <c r="F69" s="21" t="n"/>
      <c r="G69" s="16">
        <f>IF(F69="","",IFERROR((F69-DATE(YEAR(F69),1,1))/365.25,0))</f>
        <v/>
      </c>
      <c r="H69" s="21" t="n"/>
      <c r="I69" s="16">
        <f>IF(H69="","",IFERROR(H69*G69*0.3,0))</f>
        <v/>
      </c>
      <c r="J69" s="16">
        <f>IF(H69="","",IFERROR(H69*G69*0.4,0))</f>
        <v/>
      </c>
      <c r="K69" s="16">
        <f>IF(I69="","",IFERROR(I69+J69,0))</f>
        <v/>
      </c>
      <c r="L69" s="21" t="n"/>
    </row>
    <row r="70" ht="22" customHeight="1">
      <c r="B70" s="22">
        <f>IF(C70="","IND"&amp;TEXT(COUNTA($C$5:C70),"000"))</f>
        <v/>
      </c>
      <c r="C70" s="22" t="n"/>
      <c r="D70" s="22">
        <f>IF(C70="","",VLOOKUP(C70,'_Données Employés'!$B$5:$S$114,3,FALSE))</f>
        <v/>
      </c>
      <c r="E70" s="22" t="n"/>
      <c r="F70" s="22" t="n"/>
      <c r="G70" s="18">
        <f>IF(F70="","",IFERROR((F70-DATE(YEAR(F70),1,1))/365.25,0))</f>
        <v/>
      </c>
      <c r="H70" s="22" t="n"/>
      <c r="I70" s="18">
        <f>IF(H70="","",IFERROR(H70*G70*0.3,0))</f>
        <v/>
      </c>
      <c r="J70" s="18">
        <f>IF(H70="","",IFERROR(H70*G70*0.4,0))</f>
        <v/>
      </c>
      <c r="K70" s="18">
        <f>IF(I70="","",IFERROR(I70+J70,0))</f>
        <v/>
      </c>
      <c r="L70" s="22" t="n"/>
    </row>
    <row r="71" ht="22" customHeight="1">
      <c r="B71" s="21">
        <f>IF(C71="","IND"&amp;TEXT(COUNTA($C$5:C71),"000"))</f>
        <v/>
      </c>
      <c r="C71" s="21" t="n"/>
      <c r="D71" s="21">
        <f>IF(C71="","",VLOOKUP(C71,'_Données Employés'!$B$5:$S$114,3,FALSE))</f>
        <v/>
      </c>
      <c r="E71" s="21" t="n"/>
      <c r="F71" s="21" t="n"/>
      <c r="G71" s="16">
        <f>IF(F71="","",IFERROR((F71-DATE(YEAR(F71),1,1))/365.25,0))</f>
        <v/>
      </c>
      <c r="H71" s="21" t="n"/>
      <c r="I71" s="16">
        <f>IF(H71="","",IFERROR(H71*G71*0.3,0))</f>
        <v/>
      </c>
      <c r="J71" s="16">
        <f>IF(H71="","",IFERROR(H71*G71*0.4,0))</f>
        <v/>
      </c>
      <c r="K71" s="16">
        <f>IF(I71="","",IFERROR(I71+J71,0))</f>
        <v/>
      </c>
      <c r="L71" s="21" t="n"/>
    </row>
    <row r="72" ht="22" customHeight="1">
      <c r="B72" s="22">
        <f>IF(C72="","IND"&amp;TEXT(COUNTA($C$5:C72),"000"))</f>
        <v/>
      </c>
      <c r="C72" s="22" t="n"/>
      <c r="D72" s="22">
        <f>IF(C72="","",VLOOKUP(C72,'_Données Employés'!$B$5:$S$114,3,FALSE))</f>
        <v/>
      </c>
      <c r="E72" s="22" t="n"/>
      <c r="F72" s="22" t="n"/>
      <c r="G72" s="18">
        <f>IF(F72="","",IFERROR((F72-DATE(YEAR(F72),1,1))/365.25,0))</f>
        <v/>
      </c>
      <c r="H72" s="22" t="n"/>
      <c r="I72" s="18">
        <f>IF(H72="","",IFERROR(H72*G72*0.3,0))</f>
        <v/>
      </c>
      <c r="J72" s="18">
        <f>IF(H72="","",IFERROR(H72*G72*0.4,0))</f>
        <v/>
      </c>
      <c r="K72" s="18">
        <f>IF(I72="","",IFERROR(I72+J72,0))</f>
        <v/>
      </c>
      <c r="L72" s="22" t="n"/>
    </row>
    <row r="73" ht="22" customHeight="1">
      <c r="B73" s="21">
        <f>IF(C73="","IND"&amp;TEXT(COUNTA($C$5:C73),"000"))</f>
        <v/>
      </c>
      <c r="C73" s="21" t="n"/>
      <c r="D73" s="21">
        <f>IF(C73="","",VLOOKUP(C73,'_Données Employés'!$B$5:$S$114,3,FALSE))</f>
        <v/>
      </c>
      <c r="E73" s="21" t="n"/>
      <c r="F73" s="21" t="n"/>
      <c r="G73" s="16">
        <f>IF(F73="","",IFERROR((F73-DATE(YEAR(F73),1,1))/365.25,0))</f>
        <v/>
      </c>
      <c r="H73" s="21" t="n"/>
      <c r="I73" s="16">
        <f>IF(H73="","",IFERROR(H73*G73*0.3,0))</f>
        <v/>
      </c>
      <c r="J73" s="16">
        <f>IF(H73="","",IFERROR(H73*G73*0.4,0))</f>
        <v/>
      </c>
      <c r="K73" s="16">
        <f>IF(I73="","",IFERROR(I73+J73,0))</f>
        <v/>
      </c>
      <c r="L73" s="21" t="n"/>
    </row>
    <row r="74" ht="22" customHeight="1">
      <c r="B74" s="22">
        <f>IF(C74="","IND"&amp;TEXT(COUNTA($C$5:C74),"000"))</f>
        <v/>
      </c>
      <c r="C74" s="22" t="n"/>
      <c r="D74" s="22">
        <f>IF(C74="","",VLOOKUP(C74,'_Données Employés'!$B$5:$S$114,3,FALSE))</f>
        <v/>
      </c>
      <c r="E74" s="22" t="n"/>
      <c r="F74" s="22" t="n"/>
      <c r="G74" s="18">
        <f>IF(F74="","",IFERROR((F74-DATE(YEAR(F74),1,1))/365.25,0))</f>
        <v/>
      </c>
      <c r="H74" s="22" t="n"/>
      <c r="I74" s="18">
        <f>IF(H74="","",IFERROR(H74*G74*0.3,0))</f>
        <v/>
      </c>
      <c r="J74" s="18">
        <f>IF(H74="","",IFERROR(H74*G74*0.4,0))</f>
        <v/>
      </c>
      <c r="K74" s="18">
        <f>IF(I74="","",IFERROR(I74+J74,0))</f>
        <v/>
      </c>
      <c r="L74" s="22" t="n"/>
    </row>
    <row r="75" ht="22" customHeight="1">
      <c r="B75" s="21">
        <f>IF(C75="","IND"&amp;TEXT(COUNTA($C$5:C75),"000"))</f>
        <v/>
      </c>
      <c r="C75" s="21" t="n"/>
      <c r="D75" s="21">
        <f>IF(C75="","",VLOOKUP(C75,'_Données Employés'!$B$5:$S$114,3,FALSE))</f>
        <v/>
      </c>
      <c r="E75" s="21" t="n"/>
      <c r="F75" s="21" t="n"/>
      <c r="G75" s="16">
        <f>IF(F75="","",IFERROR((F75-DATE(YEAR(F75),1,1))/365.25,0))</f>
        <v/>
      </c>
      <c r="H75" s="21" t="n"/>
      <c r="I75" s="16">
        <f>IF(H75="","",IFERROR(H75*G75*0.3,0))</f>
        <v/>
      </c>
      <c r="J75" s="16">
        <f>IF(H75="","",IFERROR(H75*G75*0.4,0))</f>
        <v/>
      </c>
      <c r="K75" s="16">
        <f>IF(I75="","",IFERROR(I75+J75,0))</f>
        <v/>
      </c>
      <c r="L75" s="21" t="n"/>
    </row>
    <row r="76" ht="22" customHeight="1">
      <c r="B76" s="22">
        <f>IF(C76="","IND"&amp;TEXT(COUNTA($C$5:C76),"000"))</f>
        <v/>
      </c>
      <c r="C76" s="22" t="n"/>
      <c r="D76" s="22">
        <f>IF(C76="","",VLOOKUP(C76,'_Données Employés'!$B$5:$S$114,3,FALSE))</f>
        <v/>
      </c>
      <c r="E76" s="22" t="n"/>
      <c r="F76" s="22" t="n"/>
      <c r="G76" s="18">
        <f>IF(F76="","",IFERROR((F76-DATE(YEAR(F76),1,1))/365.25,0))</f>
        <v/>
      </c>
      <c r="H76" s="22" t="n"/>
      <c r="I76" s="18">
        <f>IF(H76="","",IFERROR(H76*G76*0.3,0))</f>
        <v/>
      </c>
      <c r="J76" s="18">
        <f>IF(H76="","",IFERROR(H76*G76*0.4,0))</f>
        <v/>
      </c>
      <c r="K76" s="18">
        <f>IF(I76="","",IFERROR(I76+J76,0))</f>
        <v/>
      </c>
      <c r="L76" s="22" t="n"/>
    </row>
    <row r="77" ht="22" customHeight="1">
      <c r="B77" s="21">
        <f>IF(C77="","IND"&amp;TEXT(COUNTA($C$5:C77),"000"))</f>
        <v/>
      </c>
      <c r="C77" s="21" t="n"/>
      <c r="D77" s="21">
        <f>IF(C77="","",VLOOKUP(C77,'_Données Employés'!$B$5:$S$114,3,FALSE))</f>
        <v/>
      </c>
      <c r="E77" s="21" t="n"/>
      <c r="F77" s="21" t="n"/>
      <c r="G77" s="16">
        <f>IF(F77="","",IFERROR((F77-DATE(YEAR(F77),1,1))/365.25,0))</f>
        <v/>
      </c>
      <c r="H77" s="21" t="n"/>
      <c r="I77" s="16">
        <f>IF(H77="","",IFERROR(H77*G77*0.3,0))</f>
        <v/>
      </c>
      <c r="J77" s="16">
        <f>IF(H77="","",IFERROR(H77*G77*0.4,0))</f>
        <v/>
      </c>
      <c r="K77" s="16">
        <f>IF(I77="","",IFERROR(I77+J77,0))</f>
        <v/>
      </c>
      <c r="L77" s="21" t="n"/>
    </row>
    <row r="78" ht="22" customHeight="1">
      <c r="B78" s="22">
        <f>IF(C78="","IND"&amp;TEXT(COUNTA($C$5:C78),"000"))</f>
        <v/>
      </c>
      <c r="C78" s="22" t="n"/>
      <c r="D78" s="22">
        <f>IF(C78="","",VLOOKUP(C78,'_Données Employés'!$B$5:$S$114,3,FALSE))</f>
        <v/>
      </c>
      <c r="E78" s="22" t="n"/>
      <c r="F78" s="22" t="n"/>
      <c r="G78" s="18">
        <f>IF(F78="","",IFERROR((F78-DATE(YEAR(F78),1,1))/365.25,0))</f>
        <v/>
      </c>
      <c r="H78" s="22" t="n"/>
      <c r="I78" s="18">
        <f>IF(H78="","",IFERROR(H78*G78*0.3,0))</f>
        <v/>
      </c>
      <c r="J78" s="18">
        <f>IF(H78="","",IFERROR(H78*G78*0.4,0))</f>
        <v/>
      </c>
      <c r="K78" s="18">
        <f>IF(I78="","",IFERROR(I78+J78,0))</f>
        <v/>
      </c>
      <c r="L78" s="22" t="n"/>
    </row>
    <row r="79" ht="22" customHeight="1">
      <c r="B79" s="21">
        <f>IF(C79="","IND"&amp;TEXT(COUNTA($C$5:C79),"000"))</f>
        <v/>
      </c>
      <c r="C79" s="21" t="n"/>
      <c r="D79" s="21">
        <f>IF(C79="","",VLOOKUP(C79,'_Données Employés'!$B$5:$S$114,3,FALSE))</f>
        <v/>
      </c>
      <c r="E79" s="21" t="n"/>
      <c r="F79" s="21" t="n"/>
      <c r="G79" s="16">
        <f>IF(F79="","",IFERROR((F79-DATE(YEAR(F79),1,1))/365.25,0))</f>
        <v/>
      </c>
      <c r="H79" s="21" t="n"/>
      <c r="I79" s="16">
        <f>IF(H79="","",IFERROR(H79*G79*0.3,0))</f>
        <v/>
      </c>
      <c r="J79" s="16">
        <f>IF(H79="","",IFERROR(H79*G79*0.4,0))</f>
        <v/>
      </c>
      <c r="K79" s="16">
        <f>IF(I79="","",IFERROR(I79+J79,0))</f>
        <v/>
      </c>
      <c r="L79" s="21" t="n"/>
    </row>
    <row r="80" ht="22" customHeight="1">
      <c r="B80" s="22">
        <f>IF(C80="","IND"&amp;TEXT(COUNTA($C$5:C80),"000"))</f>
        <v/>
      </c>
      <c r="C80" s="22" t="n"/>
      <c r="D80" s="22">
        <f>IF(C80="","",VLOOKUP(C80,'_Données Employés'!$B$5:$S$114,3,FALSE))</f>
        <v/>
      </c>
      <c r="E80" s="22" t="n"/>
      <c r="F80" s="22" t="n"/>
      <c r="G80" s="18">
        <f>IF(F80="","",IFERROR((F80-DATE(YEAR(F80),1,1))/365.25,0))</f>
        <v/>
      </c>
      <c r="H80" s="22" t="n"/>
      <c r="I80" s="18">
        <f>IF(H80="","",IFERROR(H80*G80*0.3,0))</f>
        <v/>
      </c>
      <c r="J80" s="18">
        <f>IF(H80="","",IFERROR(H80*G80*0.4,0))</f>
        <v/>
      </c>
      <c r="K80" s="18">
        <f>IF(I80="","",IFERROR(I80+J80,0))</f>
        <v/>
      </c>
      <c r="L80" s="22" t="n"/>
    </row>
    <row r="81" ht="22" customHeight="1">
      <c r="B81" s="21">
        <f>IF(C81="","IND"&amp;TEXT(COUNTA($C$5:C81),"000"))</f>
        <v/>
      </c>
      <c r="C81" s="21" t="n"/>
      <c r="D81" s="21">
        <f>IF(C81="","",VLOOKUP(C81,'_Données Employés'!$B$5:$S$114,3,FALSE))</f>
        <v/>
      </c>
      <c r="E81" s="21" t="n"/>
      <c r="F81" s="21" t="n"/>
      <c r="G81" s="16">
        <f>IF(F81="","",IFERROR((F81-DATE(YEAR(F81),1,1))/365.25,0))</f>
        <v/>
      </c>
      <c r="H81" s="21" t="n"/>
      <c r="I81" s="16">
        <f>IF(H81="","",IFERROR(H81*G81*0.3,0))</f>
        <v/>
      </c>
      <c r="J81" s="16">
        <f>IF(H81="","",IFERROR(H81*G81*0.4,0))</f>
        <v/>
      </c>
      <c r="K81" s="16">
        <f>IF(I81="","",IFERROR(I81+J81,0))</f>
        <v/>
      </c>
      <c r="L81" s="21" t="n"/>
    </row>
    <row r="82" ht="22" customHeight="1">
      <c r="B82" s="22">
        <f>IF(C82="","IND"&amp;TEXT(COUNTA($C$5:C82),"000"))</f>
        <v/>
      </c>
      <c r="C82" s="22" t="n"/>
      <c r="D82" s="22">
        <f>IF(C82="","",VLOOKUP(C82,'_Données Employés'!$B$5:$S$114,3,FALSE))</f>
        <v/>
      </c>
      <c r="E82" s="22" t="n"/>
      <c r="F82" s="22" t="n"/>
      <c r="G82" s="18">
        <f>IF(F82="","",IFERROR((F82-DATE(YEAR(F82),1,1))/365.25,0))</f>
        <v/>
      </c>
      <c r="H82" s="22" t="n"/>
      <c r="I82" s="18">
        <f>IF(H82="","",IFERROR(H82*G82*0.3,0))</f>
        <v/>
      </c>
      <c r="J82" s="18">
        <f>IF(H82="","",IFERROR(H82*G82*0.4,0))</f>
        <v/>
      </c>
      <c r="K82" s="18">
        <f>IF(I82="","",IFERROR(I82+J82,0))</f>
        <v/>
      </c>
      <c r="L82" s="22" t="n"/>
    </row>
    <row r="83" ht="22" customHeight="1">
      <c r="B83" s="21">
        <f>IF(C83="","IND"&amp;TEXT(COUNTA($C$5:C83),"000"))</f>
        <v/>
      </c>
      <c r="C83" s="21" t="n"/>
      <c r="D83" s="21">
        <f>IF(C83="","",VLOOKUP(C83,'_Données Employés'!$B$5:$S$114,3,FALSE))</f>
        <v/>
      </c>
      <c r="E83" s="21" t="n"/>
      <c r="F83" s="21" t="n"/>
      <c r="G83" s="16">
        <f>IF(F83="","",IFERROR((F83-DATE(YEAR(F83),1,1))/365.25,0))</f>
        <v/>
      </c>
      <c r="H83" s="21" t="n"/>
      <c r="I83" s="16">
        <f>IF(H83="","",IFERROR(H83*G83*0.3,0))</f>
        <v/>
      </c>
      <c r="J83" s="16">
        <f>IF(H83="","",IFERROR(H83*G83*0.4,0))</f>
        <v/>
      </c>
      <c r="K83" s="16">
        <f>IF(I83="","",IFERROR(I83+J83,0))</f>
        <v/>
      </c>
      <c r="L83" s="21" t="n"/>
    </row>
    <row r="84" ht="22" customHeight="1">
      <c r="B84" s="22">
        <f>IF(C84="","IND"&amp;TEXT(COUNTA($C$5:C84),"000"))</f>
        <v/>
      </c>
      <c r="C84" s="22" t="n"/>
      <c r="D84" s="22">
        <f>IF(C84="","",VLOOKUP(C84,'_Données Employés'!$B$5:$S$114,3,FALSE))</f>
        <v/>
      </c>
      <c r="E84" s="22" t="n"/>
      <c r="F84" s="22" t="n"/>
      <c r="G84" s="18">
        <f>IF(F84="","",IFERROR((F84-DATE(YEAR(F84),1,1))/365.25,0))</f>
        <v/>
      </c>
      <c r="H84" s="22" t="n"/>
      <c r="I84" s="18">
        <f>IF(H84="","",IFERROR(H84*G84*0.3,0))</f>
        <v/>
      </c>
      <c r="J84" s="18">
        <f>IF(H84="","",IFERROR(H84*G84*0.4,0))</f>
        <v/>
      </c>
      <c r="K84" s="18">
        <f>IF(I84="","",IFERROR(I84+J84,0))</f>
        <v/>
      </c>
      <c r="L84" s="22" t="n"/>
    </row>
    <row r="85" ht="22" customHeight="1">
      <c r="B85" s="21">
        <f>IF(C85="","IND"&amp;TEXT(COUNTA($C$5:C85),"000"))</f>
        <v/>
      </c>
      <c r="C85" s="21" t="n"/>
      <c r="D85" s="21">
        <f>IF(C85="","",VLOOKUP(C85,'_Données Employés'!$B$5:$S$114,3,FALSE))</f>
        <v/>
      </c>
      <c r="E85" s="21" t="n"/>
      <c r="F85" s="21" t="n"/>
      <c r="G85" s="16">
        <f>IF(F85="","",IFERROR((F85-DATE(YEAR(F85),1,1))/365.25,0))</f>
        <v/>
      </c>
      <c r="H85" s="21" t="n"/>
      <c r="I85" s="16">
        <f>IF(H85="","",IFERROR(H85*G85*0.3,0))</f>
        <v/>
      </c>
      <c r="J85" s="16">
        <f>IF(H85="","",IFERROR(H85*G85*0.4,0))</f>
        <v/>
      </c>
      <c r="K85" s="16">
        <f>IF(I85="","",IFERROR(I85+J85,0))</f>
        <v/>
      </c>
      <c r="L85" s="21" t="n"/>
    </row>
    <row r="86" ht="22" customHeight="1">
      <c r="B86" s="22">
        <f>IF(C86="","IND"&amp;TEXT(COUNTA($C$5:C86),"000"))</f>
        <v/>
      </c>
      <c r="C86" s="22" t="n"/>
      <c r="D86" s="22">
        <f>IF(C86="","",VLOOKUP(C86,'_Données Employés'!$B$5:$S$114,3,FALSE))</f>
        <v/>
      </c>
      <c r="E86" s="22" t="n"/>
      <c r="F86" s="22" t="n"/>
      <c r="G86" s="18">
        <f>IF(F86="","",IFERROR((F86-DATE(YEAR(F86),1,1))/365.25,0))</f>
        <v/>
      </c>
      <c r="H86" s="22" t="n"/>
      <c r="I86" s="18">
        <f>IF(H86="","",IFERROR(H86*G86*0.3,0))</f>
        <v/>
      </c>
      <c r="J86" s="18">
        <f>IF(H86="","",IFERROR(H86*G86*0.4,0))</f>
        <v/>
      </c>
      <c r="K86" s="18">
        <f>IF(I86="","",IFERROR(I86+J86,0))</f>
        <v/>
      </c>
      <c r="L86" s="22" t="n"/>
    </row>
    <row r="87" ht="22" customHeight="1">
      <c r="B87" s="21">
        <f>IF(C87="","IND"&amp;TEXT(COUNTA($C$5:C87),"000"))</f>
        <v/>
      </c>
      <c r="C87" s="21" t="n"/>
      <c r="D87" s="21">
        <f>IF(C87="","",VLOOKUP(C87,'_Données Employés'!$B$5:$S$114,3,FALSE))</f>
        <v/>
      </c>
      <c r="E87" s="21" t="n"/>
      <c r="F87" s="21" t="n"/>
      <c r="G87" s="16">
        <f>IF(F87="","",IFERROR((F87-DATE(YEAR(F87),1,1))/365.25,0))</f>
        <v/>
      </c>
      <c r="H87" s="21" t="n"/>
      <c r="I87" s="16">
        <f>IF(H87="","",IFERROR(H87*G87*0.3,0))</f>
        <v/>
      </c>
      <c r="J87" s="16">
        <f>IF(H87="","",IFERROR(H87*G87*0.4,0))</f>
        <v/>
      </c>
      <c r="K87" s="16">
        <f>IF(I87="","",IFERROR(I87+J87,0))</f>
        <v/>
      </c>
      <c r="L87" s="21" t="n"/>
    </row>
    <row r="88" ht="22" customHeight="1">
      <c r="B88" s="22">
        <f>IF(C88="","IND"&amp;TEXT(COUNTA($C$5:C88),"000"))</f>
        <v/>
      </c>
      <c r="C88" s="22" t="n"/>
      <c r="D88" s="22">
        <f>IF(C88="","",VLOOKUP(C88,'_Données Employés'!$B$5:$S$114,3,FALSE))</f>
        <v/>
      </c>
      <c r="E88" s="22" t="n"/>
      <c r="F88" s="22" t="n"/>
      <c r="G88" s="18">
        <f>IF(F88="","",IFERROR((F88-DATE(YEAR(F88),1,1))/365.25,0))</f>
        <v/>
      </c>
      <c r="H88" s="22" t="n"/>
      <c r="I88" s="18">
        <f>IF(H88="","",IFERROR(H88*G88*0.3,0))</f>
        <v/>
      </c>
      <c r="J88" s="18">
        <f>IF(H88="","",IFERROR(H88*G88*0.4,0))</f>
        <v/>
      </c>
      <c r="K88" s="18">
        <f>IF(I88="","",IFERROR(I88+J88,0))</f>
        <v/>
      </c>
      <c r="L88" s="22" t="n"/>
    </row>
    <row r="89" ht="22" customHeight="1">
      <c r="B89" s="21">
        <f>IF(C89="","IND"&amp;TEXT(COUNTA($C$5:C89),"000"))</f>
        <v/>
      </c>
      <c r="C89" s="21" t="n"/>
      <c r="D89" s="21">
        <f>IF(C89="","",VLOOKUP(C89,'_Données Employés'!$B$5:$S$114,3,FALSE))</f>
        <v/>
      </c>
      <c r="E89" s="21" t="n"/>
      <c r="F89" s="21" t="n"/>
      <c r="G89" s="16">
        <f>IF(F89="","",IFERROR((F89-DATE(YEAR(F89),1,1))/365.25,0))</f>
        <v/>
      </c>
      <c r="H89" s="21" t="n"/>
      <c r="I89" s="16">
        <f>IF(H89="","",IFERROR(H89*G89*0.3,0))</f>
        <v/>
      </c>
      <c r="J89" s="16">
        <f>IF(H89="","",IFERROR(H89*G89*0.4,0))</f>
        <v/>
      </c>
      <c r="K89" s="16">
        <f>IF(I89="","",IFERROR(I89+J89,0))</f>
        <v/>
      </c>
      <c r="L89" s="21" t="n"/>
    </row>
    <row r="90" ht="22" customHeight="1">
      <c r="B90" s="22">
        <f>IF(C90="","IND"&amp;TEXT(COUNTA($C$5:C90),"000"))</f>
        <v/>
      </c>
      <c r="C90" s="22" t="n"/>
      <c r="D90" s="22">
        <f>IF(C90="","",VLOOKUP(C90,'_Données Employés'!$B$5:$S$114,3,FALSE))</f>
        <v/>
      </c>
      <c r="E90" s="22" t="n"/>
      <c r="F90" s="22" t="n"/>
      <c r="G90" s="18">
        <f>IF(F90="","",IFERROR((F90-DATE(YEAR(F90),1,1))/365.25,0))</f>
        <v/>
      </c>
      <c r="H90" s="22" t="n"/>
      <c r="I90" s="18">
        <f>IF(H90="","",IFERROR(H90*G90*0.3,0))</f>
        <v/>
      </c>
      <c r="J90" s="18">
        <f>IF(H90="","",IFERROR(H90*G90*0.4,0))</f>
        <v/>
      </c>
      <c r="K90" s="18">
        <f>IF(I90="","",IFERROR(I90+J90,0))</f>
        <v/>
      </c>
      <c r="L90" s="22" t="n"/>
    </row>
    <row r="91" ht="22" customHeight="1">
      <c r="B91" s="21">
        <f>IF(C91="","IND"&amp;TEXT(COUNTA($C$5:C91),"000"))</f>
        <v/>
      </c>
      <c r="C91" s="21" t="n"/>
      <c r="D91" s="21">
        <f>IF(C91="","",VLOOKUP(C91,'_Données Employés'!$B$5:$S$114,3,FALSE))</f>
        <v/>
      </c>
      <c r="E91" s="21" t="n"/>
      <c r="F91" s="21" t="n"/>
      <c r="G91" s="16">
        <f>IF(F91="","",IFERROR((F91-DATE(YEAR(F91),1,1))/365.25,0))</f>
        <v/>
      </c>
      <c r="H91" s="21" t="n"/>
      <c r="I91" s="16">
        <f>IF(H91="","",IFERROR(H91*G91*0.3,0))</f>
        <v/>
      </c>
      <c r="J91" s="16">
        <f>IF(H91="","",IFERROR(H91*G91*0.4,0))</f>
        <v/>
      </c>
      <c r="K91" s="16">
        <f>IF(I91="","",IFERROR(I91+J91,0))</f>
        <v/>
      </c>
      <c r="L91" s="21" t="n"/>
    </row>
    <row r="92" ht="22" customHeight="1">
      <c r="B92" s="22">
        <f>IF(C92="","IND"&amp;TEXT(COUNTA($C$5:C92),"000"))</f>
        <v/>
      </c>
      <c r="C92" s="22" t="n"/>
      <c r="D92" s="22">
        <f>IF(C92="","",VLOOKUP(C92,'_Données Employés'!$B$5:$S$114,3,FALSE))</f>
        <v/>
      </c>
      <c r="E92" s="22" t="n"/>
      <c r="F92" s="22" t="n"/>
      <c r="G92" s="18">
        <f>IF(F92="","",IFERROR((F92-DATE(YEAR(F92),1,1))/365.25,0))</f>
        <v/>
      </c>
      <c r="H92" s="22" t="n"/>
      <c r="I92" s="18">
        <f>IF(H92="","",IFERROR(H92*G92*0.3,0))</f>
        <v/>
      </c>
      <c r="J92" s="18">
        <f>IF(H92="","",IFERROR(H92*G92*0.4,0))</f>
        <v/>
      </c>
      <c r="K92" s="18">
        <f>IF(I92="","",IFERROR(I92+J92,0))</f>
        <v/>
      </c>
      <c r="L92" s="22" t="n"/>
    </row>
    <row r="93" ht="22" customHeight="1">
      <c r="B93" s="21">
        <f>IF(C93="","IND"&amp;TEXT(COUNTA($C$5:C93),"000"))</f>
        <v/>
      </c>
      <c r="C93" s="21" t="n"/>
      <c r="D93" s="21">
        <f>IF(C93="","",VLOOKUP(C93,'_Données Employés'!$B$5:$S$114,3,FALSE))</f>
        <v/>
      </c>
      <c r="E93" s="21" t="n"/>
      <c r="F93" s="21" t="n"/>
      <c r="G93" s="16">
        <f>IF(F93="","",IFERROR((F93-DATE(YEAR(F93),1,1))/365.25,0))</f>
        <v/>
      </c>
      <c r="H93" s="21" t="n"/>
      <c r="I93" s="16">
        <f>IF(H93="","",IFERROR(H93*G93*0.3,0))</f>
        <v/>
      </c>
      <c r="J93" s="16">
        <f>IF(H93="","",IFERROR(H93*G93*0.4,0))</f>
        <v/>
      </c>
      <c r="K93" s="16">
        <f>IF(I93="","",IFERROR(I93+J93,0))</f>
        <v/>
      </c>
      <c r="L93" s="21" t="n"/>
    </row>
    <row r="94" ht="22" customHeight="1">
      <c r="B94" s="22">
        <f>IF(C94="","IND"&amp;TEXT(COUNTA($C$5:C94),"000"))</f>
        <v/>
      </c>
      <c r="C94" s="22" t="n"/>
      <c r="D94" s="22">
        <f>IF(C94="","",VLOOKUP(C94,'_Données Employés'!$B$5:$S$114,3,FALSE))</f>
        <v/>
      </c>
      <c r="E94" s="22" t="n"/>
      <c r="F94" s="22" t="n"/>
      <c r="G94" s="18">
        <f>IF(F94="","",IFERROR((F94-DATE(YEAR(F94),1,1))/365.25,0))</f>
        <v/>
      </c>
      <c r="H94" s="22" t="n"/>
      <c r="I94" s="18">
        <f>IF(H94="","",IFERROR(H94*G94*0.3,0))</f>
        <v/>
      </c>
      <c r="J94" s="18">
        <f>IF(H94="","",IFERROR(H94*G94*0.4,0))</f>
        <v/>
      </c>
      <c r="K94" s="18">
        <f>IF(I94="","",IFERROR(I94+J94,0))</f>
        <v/>
      </c>
      <c r="L94" s="22" t="n"/>
    </row>
    <row r="95" ht="22" customHeight="1">
      <c r="B95" s="21">
        <f>IF(C95="","IND"&amp;TEXT(COUNTA($C$5:C95),"000"))</f>
        <v/>
      </c>
      <c r="C95" s="21" t="n"/>
      <c r="D95" s="21">
        <f>IF(C95="","",VLOOKUP(C95,'_Données Employés'!$B$5:$S$114,3,FALSE))</f>
        <v/>
      </c>
      <c r="E95" s="21" t="n"/>
      <c r="F95" s="21" t="n"/>
      <c r="G95" s="16">
        <f>IF(F95="","",IFERROR((F95-DATE(YEAR(F95),1,1))/365.25,0))</f>
        <v/>
      </c>
      <c r="H95" s="21" t="n"/>
      <c r="I95" s="16">
        <f>IF(H95="","",IFERROR(H95*G95*0.3,0))</f>
        <v/>
      </c>
      <c r="J95" s="16">
        <f>IF(H95="","",IFERROR(H95*G95*0.4,0))</f>
        <v/>
      </c>
      <c r="K95" s="16">
        <f>IF(I95="","",IFERROR(I95+J95,0))</f>
        <v/>
      </c>
      <c r="L95" s="21" t="n"/>
    </row>
    <row r="96" ht="22" customHeight="1">
      <c r="B96" s="22">
        <f>IF(C96="","IND"&amp;TEXT(COUNTA($C$5:C96),"000"))</f>
        <v/>
      </c>
      <c r="C96" s="22" t="n"/>
      <c r="D96" s="22">
        <f>IF(C96="","",VLOOKUP(C96,'_Données Employés'!$B$5:$S$114,3,FALSE))</f>
        <v/>
      </c>
      <c r="E96" s="22" t="n"/>
      <c r="F96" s="22" t="n"/>
      <c r="G96" s="18">
        <f>IF(F96="","",IFERROR((F96-DATE(YEAR(F96),1,1))/365.25,0))</f>
        <v/>
      </c>
      <c r="H96" s="22" t="n"/>
      <c r="I96" s="18">
        <f>IF(H96="","",IFERROR(H96*G96*0.3,0))</f>
        <v/>
      </c>
      <c r="J96" s="18">
        <f>IF(H96="","",IFERROR(H96*G96*0.4,0))</f>
        <v/>
      </c>
      <c r="K96" s="18">
        <f>IF(I96="","",IFERROR(I96+J96,0))</f>
        <v/>
      </c>
      <c r="L96" s="22" t="n"/>
    </row>
    <row r="97" ht="22" customHeight="1">
      <c r="B97" s="21">
        <f>IF(C97="","IND"&amp;TEXT(COUNTA($C$5:C97),"000"))</f>
        <v/>
      </c>
      <c r="C97" s="21" t="n"/>
      <c r="D97" s="21">
        <f>IF(C97="","",VLOOKUP(C97,'_Données Employés'!$B$5:$S$114,3,FALSE))</f>
        <v/>
      </c>
      <c r="E97" s="21" t="n"/>
      <c r="F97" s="21" t="n"/>
      <c r="G97" s="16">
        <f>IF(F97="","",IFERROR((F97-DATE(YEAR(F97),1,1))/365.25,0))</f>
        <v/>
      </c>
      <c r="H97" s="21" t="n"/>
      <c r="I97" s="16">
        <f>IF(H97="","",IFERROR(H97*G97*0.3,0))</f>
        <v/>
      </c>
      <c r="J97" s="16">
        <f>IF(H97="","",IFERROR(H97*G97*0.4,0))</f>
        <v/>
      </c>
      <c r="K97" s="16">
        <f>IF(I97="","",IFERROR(I97+J97,0))</f>
        <v/>
      </c>
      <c r="L97" s="21" t="n"/>
    </row>
    <row r="98" ht="22" customHeight="1">
      <c r="B98" s="22">
        <f>IF(C98="","IND"&amp;TEXT(COUNTA($C$5:C98),"000"))</f>
        <v/>
      </c>
      <c r="C98" s="22" t="n"/>
      <c r="D98" s="22">
        <f>IF(C98="","",VLOOKUP(C98,'_Données Employés'!$B$5:$S$114,3,FALSE))</f>
        <v/>
      </c>
      <c r="E98" s="22" t="n"/>
      <c r="F98" s="22" t="n"/>
      <c r="G98" s="18">
        <f>IF(F98="","",IFERROR((F98-DATE(YEAR(F98),1,1))/365.25,0))</f>
        <v/>
      </c>
      <c r="H98" s="22" t="n"/>
      <c r="I98" s="18">
        <f>IF(H98="","",IFERROR(H98*G98*0.3,0))</f>
        <v/>
      </c>
      <c r="J98" s="18">
        <f>IF(H98="","",IFERROR(H98*G98*0.4,0))</f>
        <v/>
      </c>
      <c r="K98" s="18">
        <f>IF(I98="","",IFERROR(I98+J98,0))</f>
        <v/>
      </c>
      <c r="L98" s="22" t="n"/>
    </row>
    <row r="99" ht="22" customHeight="1">
      <c r="B99" s="21">
        <f>IF(C99="","IND"&amp;TEXT(COUNTA($C$5:C99),"000"))</f>
        <v/>
      </c>
      <c r="C99" s="21" t="n"/>
      <c r="D99" s="21">
        <f>IF(C99="","",VLOOKUP(C99,'_Données Employés'!$B$5:$S$114,3,FALSE))</f>
        <v/>
      </c>
      <c r="E99" s="21" t="n"/>
      <c r="F99" s="21" t="n"/>
      <c r="G99" s="16">
        <f>IF(F99="","",IFERROR((F99-DATE(YEAR(F99),1,1))/365.25,0))</f>
        <v/>
      </c>
      <c r="H99" s="21" t="n"/>
      <c r="I99" s="16">
        <f>IF(H99="","",IFERROR(H99*G99*0.3,0))</f>
        <v/>
      </c>
      <c r="J99" s="16">
        <f>IF(H99="","",IFERROR(H99*G99*0.4,0))</f>
        <v/>
      </c>
      <c r="K99" s="16">
        <f>IF(I99="","",IFERROR(I99+J99,0))</f>
        <v/>
      </c>
      <c r="L99" s="21" t="n"/>
    </row>
    <row r="100" ht="22" customHeight="1">
      <c r="B100" s="22">
        <f>IF(C100="","IND"&amp;TEXT(COUNTA($C$5:C100),"000"))</f>
        <v/>
      </c>
      <c r="C100" s="22" t="n"/>
      <c r="D100" s="22">
        <f>IF(C100="","",VLOOKUP(C100,'_Données Employés'!$B$5:$S$114,3,FALSE))</f>
        <v/>
      </c>
      <c r="E100" s="22" t="n"/>
      <c r="F100" s="22" t="n"/>
      <c r="G100" s="18">
        <f>IF(F100="","",IFERROR((F100-DATE(YEAR(F100),1,1))/365.25,0))</f>
        <v/>
      </c>
      <c r="H100" s="22" t="n"/>
      <c r="I100" s="18">
        <f>IF(H100="","",IFERROR(H100*G100*0.3,0))</f>
        <v/>
      </c>
      <c r="J100" s="18">
        <f>IF(H100="","",IFERROR(H100*G100*0.4,0))</f>
        <v/>
      </c>
      <c r="K100" s="18">
        <f>IF(I100="","",IFERROR(I100+J100,0))</f>
        <v/>
      </c>
      <c r="L100" s="22" t="n"/>
    </row>
    <row r="101" ht="22" customHeight="1">
      <c r="B101" s="21">
        <f>IF(C101="","IND"&amp;TEXT(COUNTA($C$5:C101),"000"))</f>
        <v/>
      </c>
      <c r="C101" s="21" t="n"/>
      <c r="D101" s="21">
        <f>IF(C101="","",VLOOKUP(C101,'_Données Employés'!$B$5:$S$114,3,FALSE))</f>
        <v/>
      </c>
      <c r="E101" s="21" t="n"/>
      <c r="F101" s="21" t="n"/>
      <c r="G101" s="16">
        <f>IF(F101="","",IFERROR((F101-DATE(YEAR(F101),1,1))/365.25,0))</f>
        <v/>
      </c>
      <c r="H101" s="21" t="n"/>
      <c r="I101" s="16">
        <f>IF(H101="","",IFERROR(H101*G101*0.3,0))</f>
        <v/>
      </c>
      <c r="J101" s="16">
        <f>IF(H101="","",IFERROR(H101*G101*0.4,0))</f>
        <v/>
      </c>
      <c r="K101" s="16">
        <f>IF(I101="","",IFERROR(I101+J101,0))</f>
        <v/>
      </c>
      <c r="L101" s="21" t="n"/>
    </row>
    <row r="102" ht="22" customHeight="1">
      <c r="B102" s="22">
        <f>IF(C102="","IND"&amp;TEXT(COUNTA($C$5:C102),"000"))</f>
        <v/>
      </c>
      <c r="C102" s="22" t="n"/>
      <c r="D102" s="22">
        <f>IF(C102="","",VLOOKUP(C102,'_Données Employés'!$B$5:$S$114,3,FALSE))</f>
        <v/>
      </c>
      <c r="E102" s="22" t="n"/>
      <c r="F102" s="22" t="n"/>
      <c r="G102" s="18">
        <f>IF(F102="","",IFERROR((F102-DATE(YEAR(F102),1,1))/365.25,0))</f>
        <v/>
      </c>
      <c r="H102" s="22" t="n"/>
      <c r="I102" s="18">
        <f>IF(H102="","",IFERROR(H102*G102*0.3,0))</f>
        <v/>
      </c>
      <c r="J102" s="18">
        <f>IF(H102="","",IFERROR(H102*G102*0.4,0))</f>
        <v/>
      </c>
      <c r="K102" s="18">
        <f>IF(I102="","",IFERROR(I102+J102,0))</f>
        <v/>
      </c>
      <c r="L102" s="22" t="n"/>
    </row>
    <row r="103" ht="22" customHeight="1">
      <c r="B103" s="21">
        <f>IF(C103="","IND"&amp;TEXT(COUNTA($C$5:C103),"000"))</f>
        <v/>
      </c>
      <c r="C103" s="21" t="n"/>
      <c r="D103" s="21">
        <f>IF(C103="","",VLOOKUP(C103,'_Données Employés'!$B$5:$S$114,3,FALSE))</f>
        <v/>
      </c>
      <c r="E103" s="21" t="n"/>
      <c r="F103" s="21" t="n"/>
      <c r="G103" s="16">
        <f>IF(F103="","",IFERROR((F103-DATE(YEAR(F103),1,1))/365.25,0))</f>
        <v/>
      </c>
      <c r="H103" s="21" t="n"/>
      <c r="I103" s="16">
        <f>IF(H103="","",IFERROR(H103*G103*0.3,0))</f>
        <v/>
      </c>
      <c r="J103" s="16">
        <f>IF(H103="","",IFERROR(H103*G103*0.4,0))</f>
        <v/>
      </c>
      <c r="K103" s="16">
        <f>IF(I103="","",IFERROR(I103+J103,0))</f>
        <v/>
      </c>
      <c r="L103" s="21" t="n"/>
    </row>
    <row r="104" ht="22" customHeight="1">
      <c r="B104" s="22">
        <f>IF(C104="","IND"&amp;TEXT(COUNTA($C$5:C104),"000"))</f>
        <v/>
      </c>
      <c r="C104" s="22" t="n"/>
      <c r="D104" s="22">
        <f>IF(C104="","",VLOOKUP(C104,'_Données Employés'!$B$5:$S$114,3,FALSE))</f>
        <v/>
      </c>
      <c r="E104" s="22" t="n"/>
      <c r="F104" s="22" t="n"/>
      <c r="G104" s="18">
        <f>IF(F104="","",IFERROR((F104-DATE(YEAR(F104),1,1))/365.25,0))</f>
        <v/>
      </c>
      <c r="H104" s="22" t="n"/>
      <c r="I104" s="18">
        <f>IF(H104="","",IFERROR(H104*G104*0.3,0))</f>
        <v/>
      </c>
      <c r="J104" s="18">
        <f>IF(H104="","",IFERROR(H104*G104*0.4,0))</f>
        <v/>
      </c>
      <c r="K104" s="18">
        <f>IF(I104="","",IFERROR(I104+J104,0))</f>
        <v/>
      </c>
      <c r="L104" s="22" t="n"/>
    </row>
    <row r="107">
      <c r="B107" s="23" t="inlineStr">
        <is>
          <t>KPI Total indemnités (FCFA)</t>
        </is>
      </c>
      <c r="C107" s="23" t="inlineStr">
        <is>
          <t>KPI Ancienneté moyenne</t>
        </is>
      </c>
    </row>
    <row r="108">
      <c r="B108" s="25">
        <f>SUM(K5:K104)</f>
        <v/>
      </c>
      <c r="C108" s="24">
        <f>IFERROR(AVERAGE(G5:G104),0)</f>
        <v/>
      </c>
    </row>
  </sheetData>
  <mergeCells count="1">
    <mergeCell ref="B2:L2"/>
  </mergeCells>
  <conditionalFormatting sqref="L5:L104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"Solde"</formula>
    </cfRule>
    <cfRule type="cellIs" priority="4" operator="equal" dxfId="1">
      <formula>"Actif"</formula>
    </cfRule>
    <cfRule type="cellIs" priority="5" operator="equal" dxfId="1">
      <formula>"Oui"</formula>
    </cfRule>
    <cfRule type="cellIs" priority="6" operator="equal" dxfId="2">
      <formula>"Rejete"</formula>
    </cfRule>
    <cfRule type="cellIs" priority="7" operator="equal" dxfId="2">
      <formula>"En retard"</formula>
    </cfRule>
    <cfRule type="cellIs" priority="8" operator="equal" dxfId="2">
      <formula>"Refuse"</formula>
    </cfRule>
    <cfRule type="cellIs" priority="9" operator="equal" dxfId="2">
      <formula>"Annule"</formula>
    </cfRule>
    <cfRule type="cellIs" priority="10" operator="equal" dxfId="2">
      <formula>"Non"</formula>
    </cfRule>
    <cfRule type="cellIs" priority="11" operator="equal" dxfId="3">
      <formula>"En attente"</formula>
    </cfRule>
    <cfRule type="cellIs" priority="12" operator="equal" dxfId="3">
      <formula>"En cours"</formula>
    </cfRule>
    <cfRule type="cellIs" priority="13" operator="equal" dxfId="3">
      <formula>"Brouillon"</formula>
    </cfRule>
    <cfRule type="cellIs" priority="14" operator="equal" dxfId="3">
      <formula>"Demande"</formula>
    </cfRule>
    <cfRule type="cellIs" priority="15" operator="equal" dxfId="3">
      <formula>"Partiellement monetise"</formula>
    </cfRule>
  </conditionalFormatting>
  <conditionalFormatting sqref="G5:G104">
    <cfRule type="dataBar" priority="16">
      <dataBar>
        <cfvo type="num" val="0"/>
        <cfvo type="num" val="1"/>
        <color rgb="001B2A4A"/>
      </dataBar>
    </cfRule>
  </conditionalFormatting>
  <conditionalFormatting sqref="H5:H104">
    <cfRule type="dataBar" priority="17">
      <dataBar>
        <cfvo type="num" val="0"/>
        <cfvo type="num" val="1"/>
        <color rgb="001B2A4A"/>
      </dataBar>
    </cfRule>
  </conditionalFormatting>
  <conditionalFormatting sqref="I5:I104">
    <cfRule type="dataBar" priority="18">
      <dataBar>
        <cfvo type="num" val="0"/>
        <cfvo type="num" val="1"/>
        <color rgb="001B2A4A"/>
      </dataBar>
    </cfRule>
  </conditionalFormatting>
  <conditionalFormatting sqref="J5:J104">
    <cfRule type="dataBar" priority="19">
      <dataBar>
        <cfvo type="num" val="0"/>
        <cfvo type="num" val="1"/>
        <color rgb="001B2A4A"/>
      </dataBar>
    </cfRule>
  </conditionalFormatting>
  <conditionalFormatting sqref="K5:K104">
    <cfRule type="dataBar" priority="20">
      <dataBar>
        <cfvo type="num" val="0"/>
        <cfvo type="num" val="1"/>
        <color rgb="001B2A4A"/>
      </dataBar>
    </cfRule>
  </conditionalFormatting>
  <conditionalFormatting sqref="B108">
    <cfRule type="cellIs" priority="21" operator="greaterThan" dxfId="0">
      <formula>0</formula>
    </cfRule>
  </conditionalFormatting>
  <conditionalFormatting sqref="C108">
    <cfRule type="cellIs" priority="22" operator="greaterThan" dxfId="0">
      <formula>0</formula>
    </cfRule>
  </conditionalFormatting>
  <dataValidations count="3">
    <dataValidation sqref="E5:E104" showDropDown="0" showInputMessage="0" showErrorMessage="0" allowBlank="1" type="list">
      <formula1>'_Lists'!$X$2:$X$7</formula1>
    </dataValidation>
    <dataValidation sqref="L5:L104" showDropDown="0" showInputMessage="0" showErrorMessage="0" allowBlank="1" type="list">
      <formula1>'_Lists'!$N$2:$N$5</formula1>
    </dataValidation>
    <dataValidation sqref="C5:C104" showDropDown="0" showInputMessage="0" showErrorMessage="0" allowBlank="1" promptTitle="Matricule Employé" prompt="Choisir un matricule" type="list">
      <formula1>'_Données Employés'!$B$5:$B$114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K10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18" customWidth="1" min="4" max="4"/>
    <col width="14" customWidth="1" min="5" max="5"/>
    <col width="14" customWidth="1" min="6" max="6"/>
    <col width="28" customWidth="1" min="7" max="7"/>
    <col width="16" customWidth="1" min="8" max="8"/>
    <col width="12" customWidth="1" min="9" max="9"/>
    <col width="14" customWidth="1" min="10" max="10"/>
    <col width="10" customWidth="1" min="11" max="11"/>
  </cols>
  <sheetData>
    <row r="1" ht="15" customHeight="1"/>
    <row r="2" ht="32" customHeight="1">
      <c r="B2" s="13" t="inlineStr">
        <is>
          <t>AVANTAGES SOCIAUX — 19-Notes de Frais</t>
        </is>
      </c>
    </row>
    <row r="3" ht="8" customHeight="1"/>
    <row r="4" ht="28" customHeight="1">
      <c r="B4" s="14" t="inlineStr">
        <is>
          <t>N°</t>
        </is>
      </c>
      <c r="C4" s="14" t="inlineStr">
        <is>
          <t>Matricule</t>
        </is>
      </c>
      <c r="D4" s="14" t="inlineStr">
        <is>
          <t>Nom Employé</t>
        </is>
      </c>
      <c r="E4" s="14" t="inlineStr">
        <is>
          <t>Type Frais</t>
        </is>
      </c>
      <c r="F4" s="14" t="inlineStr">
        <is>
          <t>Date</t>
        </is>
      </c>
      <c r="G4" s="14" t="inlineStr">
        <is>
          <t>Description</t>
        </is>
      </c>
      <c r="H4" s="14" t="inlineStr">
        <is>
          <t>Montant (FCFA)</t>
        </is>
      </c>
      <c r="I4" s="14" t="inlineStr">
        <is>
          <t>Justificatif</t>
        </is>
      </c>
      <c r="J4" s="14" t="inlineStr">
        <is>
          <t>Validation N+1</t>
        </is>
      </c>
      <c r="K4" s="14" t="inlineStr">
        <is>
          <t>Statut</t>
        </is>
      </c>
    </row>
    <row r="5" ht="22" customHeight="1">
      <c r="B5" s="15" t="inlineStr">
        <is>
          <t>NF-001</t>
        </is>
      </c>
      <c r="C5" s="15" t="inlineStr">
        <is>
          <t>EMP-001</t>
        </is>
      </c>
      <c r="D5" s="15" t="inlineStr">
        <is>
          <t>Nganou Clarisse</t>
        </is>
      </c>
      <c r="E5" s="15" t="inlineStr">
        <is>
          <t>Deplacement</t>
        </is>
      </c>
      <c r="F5" s="33" t="inlineStr">
        <is>
          <t>2025-06-10</t>
        </is>
      </c>
      <c r="G5" s="15" t="inlineStr">
        <is>
          <t>Mission Douala-Bafoussam</t>
        </is>
      </c>
      <c r="H5" s="16" t="n">
        <v>35000</v>
      </c>
      <c r="I5" s="15" t="inlineStr">
        <is>
          <t>Oui</t>
        </is>
      </c>
      <c r="J5" s="15" t="inlineStr">
        <is>
          <t>Approuve</t>
        </is>
      </c>
      <c r="K5" s="15" t="inlineStr">
        <is>
          <t>Approuve</t>
        </is>
      </c>
    </row>
    <row r="6" ht="22" customHeight="1">
      <c r="B6" s="17" t="inlineStr">
        <is>
          <t>NF-002</t>
        </is>
      </c>
      <c r="C6" s="17" t="inlineStr">
        <is>
          <t>EMP-002</t>
        </is>
      </c>
      <c r="D6" s="17" t="inlineStr">
        <is>
          <t>Tchinda Armand</t>
        </is>
      </c>
      <c r="E6" s="17" t="inlineStr">
        <is>
          <t>Repas</t>
        </is>
      </c>
      <c r="F6" s="34" t="inlineStr">
        <is>
          <t>2025-06-12</t>
        </is>
      </c>
      <c r="G6" s="17" t="inlineStr">
        <is>
          <t>Repas client fournisseur</t>
        </is>
      </c>
      <c r="H6" s="18" t="n">
        <v>15000</v>
      </c>
      <c r="I6" s="17" t="inlineStr">
        <is>
          <t>Oui</t>
        </is>
      </c>
      <c r="J6" s="17" t="inlineStr">
        <is>
          <t>Approuve</t>
        </is>
      </c>
      <c r="K6" s="17" t="inlineStr">
        <is>
          <t>Approuve</t>
        </is>
      </c>
    </row>
    <row r="7" ht="22" customHeight="1">
      <c r="B7" s="15" t="inlineStr">
        <is>
          <t>NF-003</t>
        </is>
      </c>
      <c r="C7" s="15" t="inlineStr">
        <is>
          <t>EMP-005</t>
        </is>
      </c>
      <c r="D7" s="15" t="inlineStr">
        <is>
          <t>Diallo Moussa</t>
        </is>
      </c>
      <c r="E7" s="15" t="inlineStr">
        <is>
          <t>Transport</t>
        </is>
      </c>
      <c r="F7" s="33" t="inlineStr">
        <is>
          <t>2025-06-15</t>
        </is>
      </c>
      <c r="G7" s="15" t="inlineStr">
        <is>
          <t>Approvisionnement marché</t>
        </is>
      </c>
      <c r="H7" s="16" t="n">
        <v>8000</v>
      </c>
      <c r="I7" s="15" t="inlineStr">
        <is>
          <t>Oui</t>
        </is>
      </c>
      <c r="J7" s="15" t="inlineStr">
        <is>
          <t>Approuve</t>
        </is>
      </c>
      <c r="K7" s="15" t="inlineStr">
        <is>
          <t>Approuve</t>
        </is>
      </c>
    </row>
    <row r="8" ht="22" customHeight="1">
      <c r="B8" s="19">
        <f>IF(C8="","NF"&amp;TEXT(COUNTA($C$5:C8),"000"))</f>
        <v/>
      </c>
      <c r="C8" s="19" t="n"/>
      <c r="D8" s="19">
        <f>IF(C8="","",VLOOKUP(C8,'_Données Employés'!$B$5:$S$114,3,FALSE))</f>
        <v/>
      </c>
      <c r="E8" s="19" t="n"/>
      <c r="F8" s="19" t="n"/>
      <c r="G8" s="19" t="n"/>
      <c r="H8" s="19" t="n"/>
      <c r="I8" s="19" t="n"/>
      <c r="J8" s="19" t="n"/>
      <c r="K8" s="19" t="n"/>
    </row>
    <row r="9" ht="22" customHeight="1">
      <c r="B9" s="21">
        <f>IF(C9="","NF"&amp;TEXT(COUNTA($C$5:C9),"000"))</f>
        <v/>
      </c>
      <c r="C9" s="21" t="n"/>
      <c r="D9" s="21">
        <f>IF(C9="","",VLOOKUP(C9,'_Données Employés'!$B$5:$S$114,3,FALSE))</f>
        <v/>
      </c>
      <c r="E9" s="21" t="n"/>
      <c r="F9" s="21" t="n"/>
      <c r="G9" s="21" t="n"/>
      <c r="H9" s="21" t="n"/>
      <c r="I9" s="21" t="n"/>
      <c r="J9" s="21" t="n"/>
      <c r="K9" s="21" t="n"/>
    </row>
    <row r="10" ht="22" customHeight="1">
      <c r="B10" s="22">
        <f>IF(C10="","NF"&amp;TEXT(COUNTA($C$5:C10),"000"))</f>
        <v/>
      </c>
      <c r="C10" s="22" t="n"/>
      <c r="D10" s="22">
        <f>IF(C10="","",VLOOKUP(C10,'_Données Employés'!$B$5:$S$114,3,FALSE))</f>
        <v/>
      </c>
      <c r="E10" s="22" t="n"/>
      <c r="F10" s="22" t="n"/>
      <c r="G10" s="22" t="n"/>
      <c r="H10" s="22" t="n"/>
      <c r="I10" s="22" t="n"/>
      <c r="J10" s="22" t="n"/>
      <c r="K10" s="22" t="n"/>
    </row>
    <row r="11" ht="22" customHeight="1">
      <c r="B11" s="21">
        <f>IF(C11="","NF"&amp;TEXT(COUNTA($C$5:C11),"000"))</f>
        <v/>
      </c>
      <c r="C11" s="21" t="n"/>
      <c r="D11" s="21">
        <f>IF(C11="","",VLOOKUP(C11,'_Données Employés'!$B$5:$S$114,3,FALSE))</f>
        <v/>
      </c>
      <c r="E11" s="21" t="n"/>
      <c r="F11" s="21" t="n"/>
      <c r="G11" s="21" t="n"/>
      <c r="H11" s="21" t="n"/>
      <c r="I11" s="21" t="n"/>
      <c r="J11" s="21" t="n"/>
      <c r="K11" s="21" t="n"/>
    </row>
    <row r="12" ht="22" customHeight="1">
      <c r="B12" s="22">
        <f>IF(C12="","NF"&amp;TEXT(COUNTA($C$5:C12),"000"))</f>
        <v/>
      </c>
      <c r="C12" s="22" t="n"/>
      <c r="D12" s="22">
        <f>IF(C12="","",VLOOKUP(C12,'_Données Employés'!$B$5:$S$114,3,FALSE))</f>
        <v/>
      </c>
      <c r="E12" s="22" t="n"/>
      <c r="F12" s="22" t="n"/>
      <c r="G12" s="22" t="n"/>
      <c r="H12" s="22" t="n"/>
      <c r="I12" s="22" t="n"/>
      <c r="J12" s="22" t="n"/>
      <c r="K12" s="22" t="n"/>
    </row>
    <row r="13" ht="22" customHeight="1">
      <c r="B13" s="21">
        <f>IF(C13="","NF"&amp;TEXT(COUNTA($C$5:C13),"000"))</f>
        <v/>
      </c>
      <c r="C13" s="21" t="n"/>
      <c r="D13" s="21">
        <f>IF(C13="","",VLOOKUP(C13,'_Données Employés'!$B$5:$S$114,3,FALSE))</f>
        <v/>
      </c>
      <c r="E13" s="21" t="n"/>
      <c r="F13" s="21" t="n"/>
      <c r="G13" s="21" t="n"/>
      <c r="H13" s="21" t="n"/>
      <c r="I13" s="21" t="n"/>
      <c r="J13" s="21" t="n"/>
      <c r="K13" s="21" t="n"/>
    </row>
    <row r="14" ht="22" customHeight="1">
      <c r="B14" s="22">
        <f>IF(C14="","NF"&amp;TEXT(COUNTA($C$5:C14),"000"))</f>
        <v/>
      </c>
      <c r="C14" s="22" t="n"/>
      <c r="D14" s="22">
        <f>IF(C14="","",VLOOKUP(C14,'_Données Employés'!$B$5:$S$114,3,FALSE))</f>
        <v/>
      </c>
      <c r="E14" s="22" t="n"/>
      <c r="F14" s="22" t="n"/>
      <c r="G14" s="22" t="n"/>
      <c r="H14" s="22" t="n"/>
      <c r="I14" s="22" t="n"/>
      <c r="J14" s="22" t="n"/>
      <c r="K14" s="22" t="n"/>
    </row>
    <row r="15" ht="22" customHeight="1">
      <c r="B15" s="21">
        <f>IF(C15="","NF"&amp;TEXT(COUNTA($C$5:C15),"000"))</f>
        <v/>
      </c>
      <c r="C15" s="21" t="n"/>
      <c r="D15" s="21">
        <f>IF(C15="","",VLOOKUP(C15,'_Données Employés'!$B$5:$S$114,3,FALSE))</f>
        <v/>
      </c>
      <c r="E15" s="21" t="n"/>
      <c r="F15" s="21" t="n"/>
      <c r="G15" s="21" t="n"/>
      <c r="H15" s="21" t="n"/>
      <c r="I15" s="21" t="n"/>
      <c r="J15" s="21" t="n"/>
      <c r="K15" s="21" t="n"/>
    </row>
    <row r="16" ht="22" customHeight="1">
      <c r="B16" s="22">
        <f>IF(C16="","NF"&amp;TEXT(COUNTA($C$5:C16),"000"))</f>
        <v/>
      </c>
      <c r="C16" s="22" t="n"/>
      <c r="D16" s="22">
        <f>IF(C16="","",VLOOKUP(C16,'_Données Employés'!$B$5:$S$114,3,FALSE))</f>
        <v/>
      </c>
      <c r="E16" s="22" t="n"/>
      <c r="F16" s="22" t="n"/>
      <c r="G16" s="22" t="n"/>
      <c r="H16" s="22" t="n"/>
      <c r="I16" s="22" t="n"/>
      <c r="J16" s="22" t="n"/>
      <c r="K16" s="22" t="n"/>
    </row>
    <row r="17" ht="22" customHeight="1">
      <c r="B17" s="21">
        <f>IF(C17="","NF"&amp;TEXT(COUNTA($C$5:C17),"000"))</f>
        <v/>
      </c>
      <c r="C17" s="21" t="n"/>
      <c r="D17" s="21">
        <f>IF(C17="","",VLOOKUP(C17,'_Données Employés'!$B$5:$S$114,3,FALSE))</f>
        <v/>
      </c>
      <c r="E17" s="21" t="n"/>
      <c r="F17" s="21" t="n"/>
      <c r="G17" s="21" t="n"/>
      <c r="H17" s="21" t="n"/>
      <c r="I17" s="21" t="n"/>
      <c r="J17" s="21" t="n"/>
      <c r="K17" s="21" t="n"/>
    </row>
    <row r="18" ht="22" customHeight="1">
      <c r="B18" s="22">
        <f>IF(C18="","NF"&amp;TEXT(COUNTA($C$5:C18),"000"))</f>
        <v/>
      </c>
      <c r="C18" s="22" t="n"/>
      <c r="D18" s="22">
        <f>IF(C18="","",VLOOKUP(C18,'_Données Employés'!$B$5:$S$114,3,FALSE))</f>
        <v/>
      </c>
      <c r="E18" s="22" t="n"/>
      <c r="F18" s="22" t="n"/>
      <c r="G18" s="22" t="n"/>
      <c r="H18" s="22" t="n"/>
      <c r="I18" s="22" t="n"/>
      <c r="J18" s="22" t="n"/>
      <c r="K18" s="22" t="n"/>
    </row>
    <row r="19" ht="22" customHeight="1">
      <c r="B19" s="21">
        <f>IF(C19="","NF"&amp;TEXT(COUNTA($C$5:C19),"000"))</f>
        <v/>
      </c>
      <c r="C19" s="21" t="n"/>
      <c r="D19" s="21">
        <f>IF(C19="","",VLOOKUP(C19,'_Données Employés'!$B$5:$S$114,3,FALSE))</f>
        <v/>
      </c>
      <c r="E19" s="21" t="n"/>
      <c r="F19" s="21" t="n"/>
      <c r="G19" s="21" t="n"/>
      <c r="H19" s="21" t="n"/>
      <c r="I19" s="21" t="n"/>
      <c r="J19" s="21" t="n"/>
      <c r="K19" s="21" t="n"/>
    </row>
    <row r="20" ht="22" customHeight="1">
      <c r="B20" s="22">
        <f>IF(C20="","NF"&amp;TEXT(COUNTA($C$5:C20),"000"))</f>
        <v/>
      </c>
      <c r="C20" s="22" t="n"/>
      <c r="D20" s="22">
        <f>IF(C20="","",VLOOKUP(C20,'_Données Employés'!$B$5:$S$114,3,FALSE))</f>
        <v/>
      </c>
      <c r="E20" s="22" t="n"/>
      <c r="F20" s="22" t="n"/>
      <c r="G20" s="22" t="n"/>
      <c r="H20" s="22" t="n"/>
      <c r="I20" s="22" t="n"/>
      <c r="J20" s="22" t="n"/>
      <c r="K20" s="22" t="n"/>
    </row>
    <row r="21" ht="22" customHeight="1">
      <c r="B21" s="21">
        <f>IF(C21="","NF"&amp;TEXT(COUNTA($C$5:C21),"000"))</f>
        <v/>
      </c>
      <c r="C21" s="21" t="n"/>
      <c r="D21" s="21">
        <f>IF(C21="","",VLOOKUP(C21,'_Données Employés'!$B$5:$S$114,3,FALSE))</f>
        <v/>
      </c>
      <c r="E21" s="21" t="n"/>
      <c r="F21" s="21" t="n"/>
      <c r="G21" s="21" t="n"/>
      <c r="H21" s="21" t="n"/>
      <c r="I21" s="21" t="n"/>
      <c r="J21" s="21" t="n"/>
      <c r="K21" s="21" t="n"/>
    </row>
    <row r="22" ht="22" customHeight="1">
      <c r="B22" s="22">
        <f>IF(C22="","NF"&amp;TEXT(COUNTA($C$5:C22),"000"))</f>
        <v/>
      </c>
      <c r="C22" s="22" t="n"/>
      <c r="D22" s="22">
        <f>IF(C22="","",VLOOKUP(C22,'_Données Employés'!$B$5:$S$114,3,FALSE))</f>
        <v/>
      </c>
      <c r="E22" s="22" t="n"/>
      <c r="F22" s="22" t="n"/>
      <c r="G22" s="22" t="n"/>
      <c r="H22" s="22" t="n"/>
      <c r="I22" s="22" t="n"/>
      <c r="J22" s="22" t="n"/>
      <c r="K22" s="22" t="n"/>
    </row>
    <row r="23" ht="22" customHeight="1">
      <c r="B23" s="21">
        <f>IF(C23="","NF"&amp;TEXT(COUNTA($C$5:C23),"000"))</f>
        <v/>
      </c>
      <c r="C23" s="21" t="n"/>
      <c r="D23" s="21">
        <f>IF(C23="","",VLOOKUP(C23,'_Données Employés'!$B$5:$S$114,3,FALSE))</f>
        <v/>
      </c>
      <c r="E23" s="21" t="n"/>
      <c r="F23" s="21" t="n"/>
      <c r="G23" s="21" t="n"/>
      <c r="H23" s="21" t="n"/>
      <c r="I23" s="21" t="n"/>
      <c r="J23" s="21" t="n"/>
      <c r="K23" s="21" t="n"/>
    </row>
    <row r="24" ht="22" customHeight="1">
      <c r="B24" s="22">
        <f>IF(C24="","NF"&amp;TEXT(COUNTA($C$5:C24),"000"))</f>
        <v/>
      </c>
      <c r="C24" s="22" t="n"/>
      <c r="D24" s="22">
        <f>IF(C24="","",VLOOKUP(C24,'_Données Employés'!$B$5:$S$114,3,FALSE))</f>
        <v/>
      </c>
      <c r="E24" s="22" t="n"/>
      <c r="F24" s="22" t="n"/>
      <c r="G24" s="22" t="n"/>
      <c r="H24" s="22" t="n"/>
      <c r="I24" s="22" t="n"/>
      <c r="J24" s="22" t="n"/>
      <c r="K24" s="22" t="n"/>
    </row>
    <row r="25" ht="22" customHeight="1">
      <c r="B25" s="21">
        <f>IF(C25="","NF"&amp;TEXT(COUNTA($C$5:C25),"000"))</f>
        <v/>
      </c>
      <c r="C25" s="21" t="n"/>
      <c r="D25" s="21">
        <f>IF(C25="","",VLOOKUP(C25,'_Données Employés'!$B$5:$S$114,3,FALSE))</f>
        <v/>
      </c>
      <c r="E25" s="21" t="n"/>
      <c r="F25" s="21" t="n"/>
      <c r="G25" s="21" t="n"/>
      <c r="H25" s="21" t="n"/>
      <c r="I25" s="21" t="n"/>
      <c r="J25" s="21" t="n"/>
      <c r="K25" s="21" t="n"/>
    </row>
    <row r="26" ht="22" customHeight="1">
      <c r="B26" s="22">
        <f>IF(C26="","NF"&amp;TEXT(COUNTA($C$5:C26),"000"))</f>
        <v/>
      </c>
      <c r="C26" s="22" t="n"/>
      <c r="D26" s="22">
        <f>IF(C26="","",VLOOKUP(C26,'_Données Employés'!$B$5:$S$114,3,FALSE))</f>
        <v/>
      </c>
      <c r="E26" s="22" t="n"/>
      <c r="F26" s="22" t="n"/>
      <c r="G26" s="22" t="n"/>
      <c r="H26" s="22" t="n"/>
      <c r="I26" s="22" t="n"/>
      <c r="J26" s="22" t="n"/>
      <c r="K26" s="22" t="n"/>
    </row>
    <row r="27" ht="22" customHeight="1">
      <c r="B27" s="21">
        <f>IF(C27="","NF"&amp;TEXT(COUNTA($C$5:C27),"000"))</f>
        <v/>
      </c>
      <c r="C27" s="21" t="n"/>
      <c r="D27" s="21">
        <f>IF(C27="","",VLOOKUP(C27,'_Données Employés'!$B$5:$S$114,3,FALSE))</f>
        <v/>
      </c>
      <c r="E27" s="21" t="n"/>
      <c r="F27" s="21" t="n"/>
      <c r="G27" s="21" t="n"/>
      <c r="H27" s="21" t="n"/>
      <c r="I27" s="21" t="n"/>
      <c r="J27" s="21" t="n"/>
      <c r="K27" s="21" t="n"/>
    </row>
    <row r="28" ht="22" customHeight="1">
      <c r="B28" s="22">
        <f>IF(C28="","NF"&amp;TEXT(COUNTA($C$5:C28),"000"))</f>
        <v/>
      </c>
      <c r="C28" s="22" t="n"/>
      <c r="D28" s="22">
        <f>IF(C28="","",VLOOKUP(C28,'_Données Employés'!$B$5:$S$114,3,FALSE))</f>
        <v/>
      </c>
      <c r="E28" s="22" t="n"/>
      <c r="F28" s="22" t="n"/>
      <c r="G28" s="22" t="n"/>
      <c r="H28" s="22" t="n"/>
      <c r="I28" s="22" t="n"/>
      <c r="J28" s="22" t="n"/>
      <c r="K28" s="22" t="n"/>
    </row>
    <row r="29" ht="22" customHeight="1">
      <c r="B29" s="21">
        <f>IF(C29="","NF"&amp;TEXT(COUNTA($C$5:C29),"000"))</f>
        <v/>
      </c>
      <c r="C29" s="21" t="n"/>
      <c r="D29" s="21">
        <f>IF(C29="","",VLOOKUP(C29,'_Données Employés'!$B$5:$S$114,3,FALSE))</f>
        <v/>
      </c>
      <c r="E29" s="21" t="n"/>
      <c r="F29" s="21" t="n"/>
      <c r="G29" s="21" t="n"/>
      <c r="H29" s="21" t="n"/>
      <c r="I29" s="21" t="n"/>
      <c r="J29" s="21" t="n"/>
      <c r="K29" s="21" t="n"/>
    </row>
    <row r="30" ht="22" customHeight="1">
      <c r="B30" s="22">
        <f>IF(C30="","NF"&amp;TEXT(COUNTA($C$5:C30),"000"))</f>
        <v/>
      </c>
      <c r="C30" s="22" t="n"/>
      <c r="D30" s="22">
        <f>IF(C30="","",VLOOKUP(C30,'_Données Employés'!$B$5:$S$114,3,FALSE))</f>
        <v/>
      </c>
      <c r="E30" s="22" t="n"/>
      <c r="F30" s="22" t="n"/>
      <c r="G30" s="22" t="n"/>
      <c r="H30" s="22" t="n"/>
      <c r="I30" s="22" t="n"/>
      <c r="J30" s="22" t="n"/>
      <c r="K30" s="22" t="n"/>
    </row>
    <row r="31" ht="22" customHeight="1">
      <c r="B31" s="21">
        <f>IF(C31="","NF"&amp;TEXT(COUNTA($C$5:C31),"000"))</f>
        <v/>
      </c>
      <c r="C31" s="21" t="n"/>
      <c r="D31" s="21">
        <f>IF(C31="","",VLOOKUP(C31,'_Données Employés'!$B$5:$S$114,3,FALSE))</f>
        <v/>
      </c>
      <c r="E31" s="21" t="n"/>
      <c r="F31" s="21" t="n"/>
      <c r="G31" s="21" t="n"/>
      <c r="H31" s="21" t="n"/>
      <c r="I31" s="21" t="n"/>
      <c r="J31" s="21" t="n"/>
      <c r="K31" s="21" t="n"/>
    </row>
    <row r="32" ht="22" customHeight="1">
      <c r="B32" s="22">
        <f>IF(C32="","NF"&amp;TEXT(COUNTA($C$5:C32),"000"))</f>
        <v/>
      </c>
      <c r="C32" s="22" t="n"/>
      <c r="D32" s="22">
        <f>IF(C32="","",VLOOKUP(C32,'_Données Employés'!$B$5:$S$114,3,FALSE))</f>
        <v/>
      </c>
      <c r="E32" s="22" t="n"/>
      <c r="F32" s="22" t="n"/>
      <c r="G32" s="22" t="n"/>
      <c r="H32" s="22" t="n"/>
      <c r="I32" s="22" t="n"/>
      <c r="J32" s="22" t="n"/>
      <c r="K32" s="22" t="n"/>
    </row>
    <row r="33" ht="22" customHeight="1">
      <c r="B33" s="21">
        <f>IF(C33="","NF"&amp;TEXT(COUNTA($C$5:C33),"000"))</f>
        <v/>
      </c>
      <c r="C33" s="21" t="n"/>
      <c r="D33" s="21">
        <f>IF(C33="","",VLOOKUP(C33,'_Données Employés'!$B$5:$S$114,3,FALSE))</f>
        <v/>
      </c>
      <c r="E33" s="21" t="n"/>
      <c r="F33" s="21" t="n"/>
      <c r="G33" s="21" t="n"/>
      <c r="H33" s="21" t="n"/>
      <c r="I33" s="21" t="n"/>
      <c r="J33" s="21" t="n"/>
      <c r="K33" s="21" t="n"/>
    </row>
    <row r="34" ht="22" customHeight="1">
      <c r="B34" s="22">
        <f>IF(C34="","NF"&amp;TEXT(COUNTA($C$5:C34),"000"))</f>
        <v/>
      </c>
      <c r="C34" s="22" t="n"/>
      <c r="D34" s="22">
        <f>IF(C34="","",VLOOKUP(C34,'_Données Employés'!$B$5:$S$114,3,FALSE))</f>
        <v/>
      </c>
      <c r="E34" s="22" t="n"/>
      <c r="F34" s="22" t="n"/>
      <c r="G34" s="22" t="n"/>
      <c r="H34" s="22" t="n"/>
      <c r="I34" s="22" t="n"/>
      <c r="J34" s="22" t="n"/>
      <c r="K34" s="22" t="n"/>
    </row>
    <row r="35" ht="22" customHeight="1">
      <c r="B35" s="21">
        <f>IF(C35="","NF"&amp;TEXT(COUNTA($C$5:C35),"000"))</f>
        <v/>
      </c>
      <c r="C35" s="21" t="n"/>
      <c r="D35" s="21">
        <f>IF(C35="","",VLOOKUP(C35,'_Données Employés'!$B$5:$S$114,3,FALSE))</f>
        <v/>
      </c>
      <c r="E35" s="21" t="n"/>
      <c r="F35" s="21" t="n"/>
      <c r="G35" s="21" t="n"/>
      <c r="H35" s="21" t="n"/>
      <c r="I35" s="21" t="n"/>
      <c r="J35" s="21" t="n"/>
      <c r="K35" s="21" t="n"/>
    </row>
    <row r="36" ht="22" customHeight="1">
      <c r="B36" s="22">
        <f>IF(C36="","NF"&amp;TEXT(COUNTA($C$5:C36),"000"))</f>
        <v/>
      </c>
      <c r="C36" s="22" t="n"/>
      <c r="D36" s="22">
        <f>IF(C36="","",VLOOKUP(C36,'_Données Employés'!$B$5:$S$114,3,FALSE))</f>
        <v/>
      </c>
      <c r="E36" s="22" t="n"/>
      <c r="F36" s="22" t="n"/>
      <c r="G36" s="22" t="n"/>
      <c r="H36" s="22" t="n"/>
      <c r="I36" s="22" t="n"/>
      <c r="J36" s="22" t="n"/>
      <c r="K36" s="22" t="n"/>
    </row>
    <row r="37" ht="22" customHeight="1">
      <c r="B37" s="21">
        <f>IF(C37="","NF"&amp;TEXT(COUNTA($C$5:C37),"000"))</f>
        <v/>
      </c>
      <c r="C37" s="21" t="n"/>
      <c r="D37" s="21">
        <f>IF(C37="","",VLOOKUP(C37,'_Données Employés'!$B$5:$S$114,3,FALSE))</f>
        <v/>
      </c>
      <c r="E37" s="21" t="n"/>
      <c r="F37" s="21" t="n"/>
      <c r="G37" s="21" t="n"/>
      <c r="H37" s="21" t="n"/>
      <c r="I37" s="21" t="n"/>
      <c r="J37" s="21" t="n"/>
      <c r="K37" s="21" t="n"/>
    </row>
    <row r="38" ht="22" customHeight="1">
      <c r="B38" s="22">
        <f>IF(C38="","NF"&amp;TEXT(COUNTA($C$5:C38),"000"))</f>
        <v/>
      </c>
      <c r="C38" s="22" t="n"/>
      <c r="D38" s="22">
        <f>IF(C38="","",VLOOKUP(C38,'_Données Employés'!$B$5:$S$114,3,FALSE))</f>
        <v/>
      </c>
      <c r="E38" s="22" t="n"/>
      <c r="F38" s="22" t="n"/>
      <c r="G38" s="22" t="n"/>
      <c r="H38" s="22" t="n"/>
      <c r="I38" s="22" t="n"/>
      <c r="J38" s="22" t="n"/>
      <c r="K38" s="22" t="n"/>
    </row>
    <row r="39" ht="22" customHeight="1">
      <c r="B39" s="21">
        <f>IF(C39="","NF"&amp;TEXT(COUNTA($C$5:C39),"000"))</f>
        <v/>
      </c>
      <c r="C39" s="21" t="n"/>
      <c r="D39" s="21">
        <f>IF(C39="","",VLOOKUP(C39,'_Données Employés'!$B$5:$S$114,3,FALSE))</f>
        <v/>
      </c>
      <c r="E39" s="21" t="n"/>
      <c r="F39" s="21" t="n"/>
      <c r="G39" s="21" t="n"/>
      <c r="H39" s="21" t="n"/>
      <c r="I39" s="21" t="n"/>
      <c r="J39" s="21" t="n"/>
      <c r="K39" s="21" t="n"/>
    </row>
    <row r="40" ht="22" customHeight="1">
      <c r="B40" s="22">
        <f>IF(C40="","NF"&amp;TEXT(COUNTA($C$5:C40),"000"))</f>
        <v/>
      </c>
      <c r="C40" s="22" t="n"/>
      <c r="D40" s="22">
        <f>IF(C40="","",VLOOKUP(C40,'_Données Employés'!$B$5:$S$114,3,FALSE))</f>
        <v/>
      </c>
      <c r="E40" s="22" t="n"/>
      <c r="F40" s="22" t="n"/>
      <c r="G40" s="22" t="n"/>
      <c r="H40" s="22" t="n"/>
      <c r="I40" s="22" t="n"/>
      <c r="J40" s="22" t="n"/>
      <c r="K40" s="22" t="n"/>
    </row>
    <row r="41" ht="22" customHeight="1">
      <c r="B41" s="21">
        <f>IF(C41="","NF"&amp;TEXT(COUNTA($C$5:C41),"000"))</f>
        <v/>
      </c>
      <c r="C41" s="21" t="n"/>
      <c r="D41" s="21">
        <f>IF(C41="","",VLOOKUP(C41,'_Données Employés'!$B$5:$S$114,3,FALSE))</f>
        <v/>
      </c>
      <c r="E41" s="21" t="n"/>
      <c r="F41" s="21" t="n"/>
      <c r="G41" s="21" t="n"/>
      <c r="H41" s="21" t="n"/>
      <c r="I41" s="21" t="n"/>
      <c r="J41" s="21" t="n"/>
      <c r="K41" s="21" t="n"/>
    </row>
    <row r="42" ht="22" customHeight="1">
      <c r="B42" s="22">
        <f>IF(C42="","NF"&amp;TEXT(COUNTA($C$5:C42),"000"))</f>
        <v/>
      </c>
      <c r="C42" s="22" t="n"/>
      <c r="D42" s="22">
        <f>IF(C42="","",VLOOKUP(C42,'_Données Employés'!$B$5:$S$114,3,FALSE))</f>
        <v/>
      </c>
      <c r="E42" s="22" t="n"/>
      <c r="F42" s="22" t="n"/>
      <c r="G42" s="22" t="n"/>
      <c r="H42" s="22" t="n"/>
      <c r="I42" s="22" t="n"/>
      <c r="J42" s="22" t="n"/>
      <c r="K42" s="22" t="n"/>
    </row>
    <row r="43" ht="22" customHeight="1">
      <c r="B43" s="21">
        <f>IF(C43="","NF"&amp;TEXT(COUNTA($C$5:C43),"000"))</f>
        <v/>
      </c>
      <c r="C43" s="21" t="n"/>
      <c r="D43" s="21">
        <f>IF(C43="","",VLOOKUP(C43,'_Données Employés'!$B$5:$S$114,3,FALSE))</f>
        <v/>
      </c>
      <c r="E43" s="21" t="n"/>
      <c r="F43" s="21" t="n"/>
      <c r="G43" s="21" t="n"/>
      <c r="H43" s="21" t="n"/>
      <c r="I43" s="21" t="n"/>
      <c r="J43" s="21" t="n"/>
      <c r="K43" s="21" t="n"/>
    </row>
    <row r="44" ht="22" customHeight="1">
      <c r="B44" s="22">
        <f>IF(C44="","NF"&amp;TEXT(COUNTA($C$5:C44),"000"))</f>
        <v/>
      </c>
      <c r="C44" s="22" t="n"/>
      <c r="D44" s="22">
        <f>IF(C44="","",VLOOKUP(C44,'_Données Employés'!$B$5:$S$114,3,FALSE))</f>
        <v/>
      </c>
      <c r="E44" s="22" t="n"/>
      <c r="F44" s="22" t="n"/>
      <c r="G44" s="22" t="n"/>
      <c r="H44" s="22" t="n"/>
      <c r="I44" s="22" t="n"/>
      <c r="J44" s="22" t="n"/>
      <c r="K44" s="22" t="n"/>
    </row>
    <row r="45" ht="22" customHeight="1">
      <c r="B45" s="21">
        <f>IF(C45="","NF"&amp;TEXT(COUNTA($C$5:C45),"000"))</f>
        <v/>
      </c>
      <c r="C45" s="21" t="n"/>
      <c r="D45" s="21">
        <f>IF(C45="","",VLOOKUP(C45,'_Données Employés'!$B$5:$S$114,3,FALSE))</f>
        <v/>
      </c>
      <c r="E45" s="21" t="n"/>
      <c r="F45" s="21" t="n"/>
      <c r="G45" s="21" t="n"/>
      <c r="H45" s="21" t="n"/>
      <c r="I45" s="21" t="n"/>
      <c r="J45" s="21" t="n"/>
      <c r="K45" s="21" t="n"/>
    </row>
    <row r="46" ht="22" customHeight="1">
      <c r="B46" s="22">
        <f>IF(C46="","NF"&amp;TEXT(COUNTA($C$5:C46),"000"))</f>
        <v/>
      </c>
      <c r="C46" s="22" t="n"/>
      <c r="D46" s="22">
        <f>IF(C46="","",VLOOKUP(C46,'_Données Employés'!$B$5:$S$114,3,FALSE))</f>
        <v/>
      </c>
      <c r="E46" s="22" t="n"/>
      <c r="F46" s="22" t="n"/>
      <c r="G46" s="22" t="n"/>
      <c r="H46" s="22" t="n"/>
      <c r="I46" s="22" t="n"/>
      <c r="J46" s="22" t="n"/>
      <c r="K46" s="22" t="n"/>
    </row>
    <row r="47" ht="22" customHeight="1">
      <c r="B47" s="21">
        <f>IF(C47="","NF"&amp;TEXT(COUNTA($C$5:C47),"000"))</f>
        <v/>
      </c>
      <c r="C47" s="21" t="n"/>
      <c r="D47" s="21">
        <f>IF(C47="","",VLOOKUP(C47,'_Données Employés'!$B$5:$S$114,3,FALSE))</f>
        <v/>
      </c>
      <c r="E47" s="21" t="n"/>
      <c r="F47" s="21" t="n"/>
      <c r="G47" s="21" t="n"/>
      <c r="H47" s="21" t="n"/>
      <c r="I47" s="21" t="n"/>
      <c r="J47" s="21" t="n"/>
      <c r="K47" s="21" t="n"/>
    </row>
    <row r="48" ht="22" customHeight="1">
      <c r="B48" s="22">
        <f>IF(C48="","NF"&amp;TEXT(COUNTA($C$5:C48),"000"))</f>
        <v/>
      </c>
      <c r="C48" s="22" t="n"/>
      <c r="D48" s="22">
        <f>IF(C48="","",VLOOKUP(C48,'_Données Employés'!$B$5:$S$114,3,FALSE))</f>
        <v/>
      </c>
      <c r="E48" s="22" t="n"/>
      <c r="F48" s="22" t="n"/>
      <c r="G48" s="22" t="n"/>
      <c r="H48" s="22" t="n"/>
      <c r="I48" s="22" t="n"/>
      <c r="J48" s="22" t="n"/>
      <c r="K48" s="22" t="n"/>
    </row>
    <row r="49" ht="22" customHeight="1">
      <c r="B49" s="21">
        <f>IF(C49="","NF"&amp;TEXT(COUNTA($C$5:C49),"000"))</f>
        <v/>
      </c>
      <c r="C49" s="21" t="n"/>
      <c r="D49" s="21">
        <f>IF(C49="","",VLOOKUP(C49,'_Données Employés'!$B$5:$S$114,3,FALSE))</f>
        <v/>
      </c>
      <c r="E49" s="21" t="n"/>
      <c r="F49" s="21" t="n"/>
      <c r="G49" s="21" t="n"/>
      <c r="H49" s="21" t="n"/>
      <c r="I49" s="21" t="n"/>
      <c r="J49" s="21" t="n"/>
      <c r="K49" s="21" t="n"/>
    </row>
    <row r="50" ht="22" customHeight="1">
      <c r="B50" s="22">
        <f>IF(C50="","NF"&amp;TEXT(COUNTA($C$5:C50),"000"))</f>
        <v/>
      </c>
      <c r="C50" s="22" t="n"/>
      <c r="D50" s="22">
        <f>IF(C50="","",VLOOKUP(C50,'_Données Employés'!$B$5:$S$114,3,FALSE))</f>
        <v/>
      </c>
      <c r="E50" s="22" t="n"/>
      <c r="F50" s="22" t="n"/>
      <c r="G50" s="22" t="n"/>
      <c r="H50" s="22" t="n"/>
      <c r="I50" s="22" t="n"/>
      <c r="J50" s="22" t="n"/>
      <c r="K50" s="22" t="n"/>
    </row>
    <row r="51" ht="22" customHeight="1">
      <c r="B51" s="21">
        <f>IF(C51="","NF"&amp;TEXT(COUNTA($C$5:C51),"000"))</f>
        <v/>
      </c>
      <c r="C51" s="21" t="n"/>
      <c r="D51" s="21">
        <f>IF(C51="","",VLOOKUP(C51,'_Données Employés'!$B$5:$S$114,3,FALSE))</f>
        <v/>
      </c>
      <c r="E51" s="21" t="n"/>
      <c r="F51" s="21" t="n"/>
      <c r="G51" s="21" t="n"/>
      <c r="H51" s="21" t="n"/>
      <c r="I51" s="21" t="n"/>
      <c r="J51" s="21" t="n"/>
      <c r="K51" s="21" t="n"/>
    </row>
    <row r="52" ht="22" customHeight="1">
      <c r="B52" s="22">
        <f>IF(C52="","NF"&amp;TEXT(COUNTA($C$5:C52),"000"))</f>
        <v/>
      </c>
      <c r="C52" s="22" t="n"/>
      <c r="D52" s="22">
        <f>IF(C52="","",VLOOKUP(C52,'_Données Employés'!$B$5:$S$114,3,FALSE))</f>
        <v/>
      </c>
      <c r="E52" s="22" t="n"/>
      <c r="F52" s="22" t="n"/>
      <c r="G52" s="22" t="n"/>
      <c r="H52" s="22" t="n"/>
      <c r="I52" s="22" t="n"/>
      <c r="J52" s="22" t="n"/>
      <c r="K52" s="22" t="n"/>
    </row>
    <row r="53" ht="22" customHeight="1">
      <c r="B53" s="21">
        <f>IF(C53="","NF"&amp;TEXT(COUNTA($C$5:C53),"000"))</f>
        <v/>
      </c>
      <c r="C53" s="21" t="n"/>
      <c r="D53" s="21">
        <f>IF(C53="","",VLOOKUP(C53,'_Données Employés'!$B$5:$S$114,3,FALSE))</f>
        <v/>
      </c>
      <c r="E53" s="21" t="n"/>
      <c r="F53" s="21" t="n"/>
      <c r="G53" s="21" t="n"/>
      <c r="H53" s="21" t="n"/>
      <c r="I53" s="21" t="n"/>
      <c r="J53" s="21" t="n"/>
      <c r="K53" s="21" t="n"/>
    </row>
    <row r="54" ht="22" customHeight="1">
      <c r="B54" s="22">
        <f>IF(C54="","NF"&amp;TEXT(COUNTA($C$5:C54),"000"))</f>
        <v/>
      </c>
      <c r="C54" s="22" t="n"/>
      <c r="D54" s="22">
        <f>IF(C54="","",VLOOKUP(C54,'_Données Employés'!$B$5:$S$114,3,FALSE))</f>
        <v/>
      </c>
      <c r="E54" s="22" t="n"/>
      <c r="F54" s="22" t="n"/>
      <c r="G54" s="22" t="n"/>
      <c r="H54" s="22" t="n"/>
      <c r="I54" s="22" t="n"/>
      <c r="J54" s="22" t="n"/>
      <c r="K54" s="22" t="n"/>
    </row>
    <row r="55" ht="22" customHeight="1">
      <c r="B55" s="21">
        <f>IF(C55="","NF"&amp;TEXT(COUNTA($C$5:C55),"000"))</f>
        <v/>
      </c>
      <c r="C55" s="21" t="n"/>
      <c r="D55" s="21">
        <f>IF(C55="","",VLOOKUP(C55,'_Données Employés'!$B$5:$S$114,3,FALSE))</f>
        <v/>
      </c>
      <c r="E55" s="21" t="n"/>
      <c r="F55" s="21" t="n"/>
      <c r="G55" s="21" t="n"/>
      <c r="H55" s="21" t="n"/>
      <c r="I55" s="21" t="n"/>
      <c r="J55" s="21" t="n"/>
      <c r="K55" s="21" t="n"/>
    </row>
    <row r="56" ht="22" customHeight="1">
      <c r="B56" s="22">
        <f>IF(C56="","NF"&amp;TEXT(COUNTA($C$5:C56),"000"))</f>
        <v/>
      </c>
      <c r="C56" s="22" t="n"/>
      <c r="D56" s="22">
        <f>IF(C56="","",VLOOKUP(C56,'_Données Employés'!$B$5:$S$114,3,FALSE))</f>
        <v/>
      </c>
      <c r="E56" s="22" t="n"/>
      <c r="F56" s="22" t="n"/>
      <c r="G56" s="22" t="n"/>
      <c r="H56" s="22" t="n"/>
      <c r="I56" s="22" t="n"/>
      <c r="J56" s="22" t="n"/>
      <c r="K56" s="22" t="n"/>
    </row>
    <row r="57" ht="22" customHeight="1">
      <c r="B57" s="21">
        <f>IF(C57="","NF"&amp;TEXT(COUNTA($C$5:C57),"000"))</f>
        <v/>
      </c>
      <c r="C57" s="21" t="n"/>
      <c r="D57" s="21">
        <f>IF(C57="","",VLOOKUP(C57,'_Données Employés'!$B$5:$S$114,3,FALSE))</f>
        <v/>
      </c>
      <c r="E57" s="21" t="n"/>
      <c r="F57" s="21" t="n"/>
      <c r="G57" s="21" t="n"/>
      <c r="H57" s="21" t="n"/>
      <c r="I57" s="21" t="n"/>
      <c r="J57" s="21" t="n"/>
      <c r="K57" s="21" t="n"/>
    </row>
    <row r="58" ht="22" customHeight="1">
      <c r="B58" s="22">
        <f>IF(C58="","NF"&amp;TEXT(COUNTA($C$5:C58),"000"))</f>
        <v/>
      </c>
      <c r="C58" s="22" t="n"/>
      <c r="D58" s="22">
        <f>IF(C58="","",VLOOKUP(C58,'_Données Employés'!$B$5:$S$114,3,FALSE))</f>
        <v/>
      </c>
      <c r="E58" s="22" t="n"/>
      <c r="F58" s="22" t="n"/>
      <c r="G58" s="22" t="n"/>
      <c r="H58" s="22" t="n"/>
      <c r="I58" s="22" t="n"/>
      <c r="J58" s="22" t="n"/>
      <c r="K58" s="22" t="n"/>
    </row>
    <row r="59" ht="22" customHeight="1">
      <c r="B59" s="21">
        <f>IF(C59="","NF"&amp;TEXT(COUNTA($C$5:C59),"000"))</f>
        <v/>
      </c>
      <c r="C59" s="21" t="n"/>
      <c r="D59" s="21">
        <f>IF(C59="","",VLOOKUP(C59,'_Données Employés'!$B$5:$S$114,3,FALSE))</f>
        <v/>
      </c>
      <c r="E59" s="21" t="n"/>
      <c r="F59" s="21" t="n"/>
      <c r="G59" s="21" t="n"/>
      <c r="H59" s="21" t="n"/>
      <c r="I59" s="21" t="n"/>
      <c r="J59" s="21" t="n"/>
      <c r="K59" s="21" t="n"/>
    </row>
    <row r="60" ht="22" customHeight="1">
      <c r="B60" s="22">
        <f>IF(C60="","NF"&amp;TEXT(COUNTA($C$5:C60),"000"))</f>
        <v/>
      </c>
      <c r="C60" s="22" t="n"/>
      <c r="D60" s="22">
        <f>IF(C60="","",VLOOKUP(C60,'_Données Employés'!$B$5:$S$114,3,FALSE))</f>
        <v/>
      </c>
      <c r="E60" s="22" t="n"/>
      <c r="F60" s="22" t="n"/>
      <c r="G60" s="22" t="n"/>
      <c r="H60" s="22" t="n"/>
      <c r="I60" s="22" t="n"/>
      <c r="J60" s="22" t="n"/>
      <c r="K60" s="22" t="n"/>
    </row>
    <row r="61" ht="22" customHeight="1">
      <c r="B61" s="21">
        <f>IF(C61="","NF"&amp;TEXT(COUNTA($C$5:C61),"000"))</f>
        <v/>
      </c>
      <c r="C61" s="21" t="n"/>
      <c r="D61" s="21">
        <f>IF(C61="","",VLOOKUP(C61,'_Données Employés'!$B$5:$S$114,3,FALSE))</f>
        <v/>
      </c>
      <c r="E61" s="21" t="n"/>
      <c r="F61" s="21" t="n"/>
      <c r="G61" s="21" t="n"/>
      <c r="H61" s="21" t="n"/>
      <c r="I61" s="21" t="n"/>
      <c r="J61" s="21" t="n"/>
      <c r="K61" s="21" t="n"/>
    </row>
    <row r="62" ht="22" customHeight="1">
      <c r="B62" s="22">
        <f>IF(C62="","NF"&amp;TEXT(COUNTA($C$5:C62),"000"))</f>
        <v/>
      </c>
      <c r="C62" s="22" t="n"/>
      <c r="D62" s="22">
        <f>IF(C62="","",VLOOKUP(C62,'_Données Employés'!$B$5:$S$114,3,FALSE))</f>
        <v/>
      </c>
      <c r="E62" s="22" t="n"/>
      <c r="F62" s="22" t="n"/>
      <c r="G62" s="22" t="n"/>
      <c r="H62" s="22" t="n"/>
      <c r="I62" s="22" t="n"/>
      <c r="J62" s="22" t="n"/>
      <c r="K62" s="22" t="n"/>
    </row>
    <row r="63" ht="22" customHeight="1">
      <c r="B63" s="21">
        <f>IF(C63="","NF"&amp;TEXT(COUNTA($C$5:C63),"000"))</f>
        <v/>
      </c>
      <c r="C63" s="21" t="n"/>
      <c r="D63" s="21">
        <f>IF(C63="","",VLOOKUP(C63,'_Données Employés'!$B$5:$S$114,3,FALSE))</f>
        <v/>
      </c>
      <c r="E63" s="21" t="n"/>
      <c r="F63" s="21" t="n"/>
      <c r="G63" s="21" t="n"/>
      <c r="H63" s="21" t="n"/>
      <c r="I63" s="21" t="n"/>
      <c r="J63" s="21" t="n"/>
      <c r="K63" s="21" t="n"/>
    </row>
    <row r="64" ht="22" customHeight="1">
      <c r="B64" s="22">
        <f>IF(C64="","NF"&amp;TEXT(COUNTA($C$5:C64),"000"))</f>
        <v/>
      </c>
      <c r="C64" s="22" t="n"/>
      <c r="D64" s="22">
        <f>IF(C64="","",VLOOKUP(C64,'_Données Employés'!$B$5:$S$114,3,FALSE))</f>
        <v/>
      </c>
      <c r="E64" s="22" t="n"/>
      <c r="F64" s="22" t="n"/>
      <c r="G64" s="22" t="n"/>
      <c r="H64" s="22" t="n"/>
      <c r="I64" s="22" t="n"/>
      <c r="J64" s="22" t="n"/>
      <c r="K64" s="22" t="n"/>
    </row>
    <row r="65" ht="22" customHeight="1">
      <c r="B65" s="21">
        <f>IF(C65="","NF"&amp;TEXT(COUNTA($C$5:C65),"000"))</f>
        <v/>
      </c>
      <c r="C65" s="21" t="n"/>
      <c r="D65" s="21">
        <f>IF(C65="","",VLOOKUP(C65,'_Données Employés'!$B$5:$S$114,3,FALSE))</f>
        <v/>
      </c>
      <c r="E65" s="21" t="n"/>
      <c r="F65" s="21" t="n"/>
      <c r="G65" s="21" t="n"/>
      <c r="H65" s="21" t="n"/>
      <c r="I65" s="21" t="n"/>
      <c r="J65" s="21" t="n"/>
      <c r="K65" s="21" t="n"/>
    </row>
    <row r="66" ht="22" customHeight="1">
      <c r="B66" s="22">
        <f>IF(C66="","NF"&amp;TEXT(COUNTA($C$5:C66),"000"))</f>
        <v/>
      </c>
      <c r="C66" s="22" t="n"/>
      <c r="D66" s="22">
        <f>IF(C66="","",VLOOKUP(C66,'_Données Employés'!$B$5:$S$114,3,FALSE))</f>
        <v/>
      </c>
      <c r="E66" s="22" t="n"/>
      <c r="F66" s="22" t="n"/>
      <c r="G66" s="22" t="n"/>
      <c r="H66" s="22" t="n"/>
      <c r="I66" s="22" t="n"/>
      <c r="J66" s="22" t="n"/>
      <c r="K66" s="22" t="n"/>
    </row>
    <row r="67" ht="22" customHeight="1">
      <c r="B67" s="21">
        <f>IF(C67="","NF"&amp;TEXT(COUNTA($C$5:C67),"000"))</f>
        <v/>
      </c>
      <c r="C67" s="21" t="n"/>
      <c r="D67" s="21">
        <f>IF(C67="","",VLOOKUP(C67,'_Données Employés'!$B$5:$S$114,3,FALSE))</f>
        <v/>
      </c>
      <c r="E67" s="21" t="n"/>
      <c r="F67" s="21" t="n"/>
      <c r="G67" s="21" t="n"/>
      <c r="H67" s="21" t="n"/>
      <c r="I67" s="21" t="n"/>
      <c r="J67" s="21" t="n"/>
      <c r="K67" s="21" t="n"/>
    </row>
    <row r="68" ht="22" customHeight="1">
      <c r="B68" s="22">
        <f>IF(C68="","NF"&amp;TEXT(COUNTA($C$5:C68),"000"))</f>
        <v/>
      </c>
      <c r="C68" s="22" t="n"/>
      <c r="D68" s="22">
        <f>IF(C68="","",VLOOKUP(C68,'_Données Employés'!$B$5:$S$114,3,FALSE))</f>
        <v/>
      </c>
      <c r="E68" s="22" t="n"/>
      <c r="F68" s="22" t="n"/>
      <c r="G68" s="22" t="n"/>
      <c r="H68" s="22" t="n"/>
      <c r="I68" s="22" t="n"/>
      <c r="J68" s="22" t="n"/>
      <c r="K68" s="22" t="n"/>
    </row>
    <row r="69" ht="22" customHeight="1">
      <c r="B69" s="21">
        <f>IF(C69="","NF"&amp;TEXT(COUNTA($C$5:C69),"000"))</f>
        <v/>
      </c>
      <c r="C69" s="21" t="n"/>
      <c r="D69" s="21">
        <f>IF(C69="","",VLOOKUP(C69,'_Données Employés'!$B$5:$S$114,3,FALSE))</f>
        <v/>
      </c>
      <c r="E69" s="21" t="n"/>
      <c r="F69" s="21" t="n"/>
      <c r="G69" s="21" t="n"/>
      <c r="H69" s="21" t="n"/>
      <c r="I69" s="21" t="n"/>
      <c r="J69" s="21" t="n"/>
      <c r="K69" s="21" t="n"/>
    </row>
    <row r="70" ht="22" customHeight="1">
      <c r="B70" s="22">
        <f>IF(C70="","NF"&amp;TEXT(COUNTA($C$5:C70),"000"))</f>
        <v/>
      </c>
      <c r="C70" s="22" t="n"/>
      <c r="D70" s="22">
        <f>IF(C70="","",VLOOKUP(C70,'_Données Employés'!$B$5:$S$114,3,FALSE))</f>
        <v/>
      </c>
      <c r="E70" s="22" t="n"/>
      <c r="F70" s="22" t="n"/>
      <c r="G70" s="22" t="n"/>
      <c r="H70" s="22" t="n"/>
      <c r="I70" s="22" t="n"/>
      <c r="J70" s="22" t="n"/>
      <c r="K70" s="22" t="n"/>
    </row>
    <row r="71" ht="22" customHeight="1">
      <c r="B71" s="21">
        <f>IF(C71="","NF"&amp;TEXT(COUNTA($C$5:C71),"000"))</f>
        <v/>
      </c>
      <c r="C71" s="21" t="n"/>
      <c r="D71" s="21">
        <f>IF(C71="","",VLOOKUP(C71,'_Données Employés'!$B$5:$S$114,3,FALSE))</f>
        <v/>
      </c>
      <c r="E71" s="21" t="n"/>
      <c r="F71" s="21" t="n"/>
      <c r="G71" s="21" t="n"/>
      <c r="H71" s="21" t="n"/>
      <c r="I71" s="21" t="n"/>
      <c r="J71" s="21" t="n"/>
      <c r="K71" s="21" t="n"/>
    </row>
    <row r="72" ht="22" customHeight="1">
      <c r="B72" s="22">
        <f>IF(C72="","NF"&amp;TEXT(COUNTA($C$5:C72),"000"))</f>
        <v/>
      </c>
      <c r="C72" s="22" t="n"/>
      <c r="D72" s="22">
        <f>IF(C72="","",VLOOKUP(C72,'_Données Employés'!$B$5:$S$114,3,FALSE))</f>
        <v/>
      </c>
      <c r="E72" s="22" t="n"/>
      <c r="F72" s="22" t="n"/>
      <c r="G72" s="22" t="n"/>
      <c r="H72" s="22" t="n"/>
      <c r="I72" s="22" t="n"/>
      <c r="J72" s="22" t="n"/>
      <c r="K72" s="22" t="n"/>
    </row>
    <row r="73" ht="22" customHeight="1">
      <c r="B73" s="21">
        <f>IF(C73="","NF"&amp;TEXT(COUNTA($C$5:C73),"000"))</f>
        <v/>
      </c>
      <c r="C73" s="21" t="n"/>
      <c r="D73" s="21">
        <f>IF(C73="","",VLOOKUP(C73,'_Données Employés'!$B$5:$S$114,3,FALSE))</f>
        <v/>
      </c>
      <c r="E73" s="21" t="n"/>
      <c r="F73" s="21" t="n"/>
      <c r="G73" s="21" t="n"/>
      <c r="H73" s="21" t="n"/>
      <c r="I73" s="21" t="n"/>
      <c r="J73" s="21" t="n"/>
      <c r="K73" s="21" t="n"/>
    </row>
    <row r="74" ht="22" customHeight="1">
      <c r="B74" s="22">
        <f>IF(C74="","NF"&amp;TEXT(COUNTA($C$5:C74),"000"))</f>
        <v/>
      </c>
      <c r="C74" s="22" t="n"/>
      <c r="D74" s="22">
        <f>IF(C74="","",VLOOKUP(C74,'_Données Employés'!$B$5:$S$114,3,FALSE))</f>
        <v/>
      </c>
      <c r="E74" s="22" t="n"/>
      <c r="F74" s="22" t="n"/>
      <c r="G74" s="22" t="n"/>
      <c r="H74" s="22" t="n"/>
      <c r="I74" s="22" t="n"/>
      <c r="J74" s="22" t="n"/>
      <c r="K74" s="22" t="n"/>
    </row>
    <row r="75" ht="22" customHeight="1">
      <c r="B75" s="21">
        <f>IF(C75="","NF"&amp;TEXT(COUNTA($C$5:C75),"000"))</f>
        <v/>
      </c>
      <c r="C75" s="21" t="n"/>
      <c r="D75" s="21">
        <f>IF(C75="","",VLOOKUP(C75,'_Données Employés'!$B$5:$S$114,3,FALSE))</f>
        <v/>
      </c>
      <c r="E75" s="21" t="n"/>
      <c r="F75" s="21" t="n"/>
      <c r="G75" s="21" t="n"/>
      <c r="H75" s="21" t="n"/>
      <c r="I75" s="21" t="n"/>
      <c r="J75" s="21" t="n"/>
      <c r="K75" s="21" t="n"/>
    </row>
    <row r="76" ht="22" customHeight="1">
      <c r="B76" s="22">
        <f>IF(C76="","NF"&amp;TEXT(COUNTA($C$5:C76),"000"))</f>
        <v/>
      </c>
      <c r="C76" s="22" t="n"/>
      <c r="D76" s="22">
        <f>IF(C76="","",VLOOKUP(C76,'_Données Employés'!$B$5:$S$114,3,FALSE))</f>
        <v/>
      </c>
      <c r="E76" s="22" t="n"/>
      <c r="F76" s="22" t="n"/>
      <c r="G76" s="22" t="n"/>
      <c r="H76" s="22" t="n"/>
      <c r="I76" s="22" t="n"/>
      <c r="J76" s="22" t="n"/>
      <c r="K76" s="22" t="n"/>
    </row>
    <row r="77" ht="22" customHeight="1">
      <c r="B77" s="21">
        <f>IF(C77="","NF"&amp;TEXT(COUNTA($C$5:C77),"000"))</f>
        <v/>
      </c>
      <c r="C77" s="21" t="n"/>
      <c r="D77" s="21">
        <f>IF(C77="","",VLOOKUP(C77,'_Données Employés'!$B$5:$S$114,3,FALSE))</f>
        <v/>
      </c>
      <c r="E77" s="21" t="n"/>
      <c r="F77" s="21" t="n"/>
      <c r="G77" s="21" t="n"/>
      <c r="H77" s="21" t="n"/>
      <c r="I77" s="21" t="n"/>
      <c r="J77" s="21" t="n"/>
      <c r="K77" s="21" t="n"/>
    </row>
    <row r="78" ht="22" customHeight="1">
      <c r="B78" s="22">
        <f>IF(C78="","NF"&amp;TEXT(COUNTA($C$5:C78),"000"))</f>
        <v/>
      </c>
      <c r="C78" s="22" t="n"/>
      <c r="D78" s="22">
        <f>IF(C78="","",VLOOKUP(C78,'_Données Employés'!$B$5:$S$114,3,FALSE))</f>
        <v/>
      </c>
      <c r="E78" s="22" t="n"/>
      <c r="F78" s="22" t="n"/>
      <c r="G78" s="22" t="n"/>
      <c r="H78" s="22" t="n"/>
      <c r="I78" s="22" t="n"/>
      <c r="J78" s="22" t="n"/>
      <c r="K78" s="22" t="n"/>
    </row>
    <row r="79" ht="22" customHeight="1">
      <c r="B79" s="21">
        <f>IF(C79="","NF"&amp;TEXT(COUNTA($C$5:C79),"000"))</f>
        <v/>
      </c>
      <c r="C79" s="21" t="n"/>
      <c r="D79" s="21">
        <f>IF(C79="","",VLOOKUP(C79,'_Données Employés'!$B$5:$S$114,3,FALSE))</f>
        <v/>
      </c>
      <c r="E79" s="21" t="n"/>
      <c r="F79" s="21" t="n"/>
      <c r="G79" s="21" t="n"/>
      <c r="H79" s="21" t="n"/>
      <c r="I79" s="21" t="n"/>
      <c r="J79" s="21" t="n"/>
      <c r="K79" s="21" t="n"/>
    </row>
    <row r="80" ht="22" customHeight="1">
      <c r="B80" s="22">
        <f>IF(C80="","NF"&amp;TEXT(COUNTA($C$5:C80),"000"))</f>
        <v/>
      </c>
      <c r="C80" s="22" t="n"/>
      <c r="D80" s="22">
        <f>IF(C80="","",VLOOKUP(C80,'_Données Employés'!$B$5:$S$114,3,FALSE))</f>
        <v/>
      </c>
      <c r="E80" s="22" t="n"/>
      <c r="F80" s="22" t="n"/>
      <c r="G80" s="22" t="n"/>
      <c r="H80" s="22" t="n"/>
      <c r="I80" s="22" t="n"/>
      <c r="J80" s="22" t="n"/>
      <c r="K80" s="22" t="n"/>
    </row>
    <row r="81" ht="22" customHeight="1">
      <c r="B81" s="21">
        <f>IF(C81="","NF"&amp;TEXT(COUNTA($C$5:C81),"000"))</f>
        <v/>
      </c>
      <c r="C81" s="21" t="n"/>
      <c r="D81" s="21">
        <f>IF(C81="","",VLOOKUP(C81,'_Données Employés'!$B$5:$S$114,3,FALSE))</f>
        <v/>
      </c>
      <c r="E81" s="21" t="n"/>
      <c r="F81" s="21" t="n"/>
      <c r="G81" s="21" t="n"/>
      <c r="H81" s="21" t="n"/>
      <c r="I81" s="21" t="n"/>
      <c r="J81" s="21" t="n"/>
      <c r="K81" s="21" t="n"/>
    </row>
    <row r="82" ht="22" customHeight="1">
      <c r="B82" s="22">
        <f>IF(C82="","NF"&amp;TEXT(COUNTA($C$5:C82),"000"))</f>
        <v/>
      </c>
      <c r="C82" s="22" t="n"/>
      <c r="D82" s="22">
        <f>IF(C82="","",VLOOKUP(C82,'_Données Employés'!$B$5:$S$114,3,FALSE))</f>
        <v/>
      </c>
      <c r="E82" s="22" t="n"/>
      <c r="F82" s="22" t="n"/>
      <c r="G82" s="22" t="n"/>
      <c r="H82" s="22" t="n"/>
      <c r="I82" s="22" t="n"/>
      <c r="J82" s="22" t="n"/>
      <c r="K82" s="22" t="n"/>
    </row>
    <row r="83" ht="22" customHeight="1">
      <c r="B83" s="21">
        <f>IF(C83="","NF"&amp;TEXT(COUNTA($C$5:C83),"000"))</f>
        <v/>
      </c>
      <c r="C83" s="21" t="n"/>
      <c r="D83" s="21">
        <f>IF(C83="","",VLOOKUP(C83,'_Données Employés'!$B$5:$S$114,3,FALSE))</f>
        <v/>
      </c>
      <c r="E83" s="21" t="n"/>
      <c r="F83" s="21" t="n"/>
      <c r="G83" s="21" t="n"/>
      <c r="H83" s="21" t="n"/>
      <c r="I83" s="21" t="n"/>
      <c r="J83" s="21" t="n"/>
      <c r="K83" s="21" t="n"/>
    </row>
    <row r="84" ht="22" customHeight="1">
      <c r="B84" s="22">
        <f>IF(C84="","NF"&amp;TEXT(COUNTA($C$5:C84),"000"))</f>
        <v/>
      </c>
      <c r="C84" s="22" t="n"/>
      <c r="D84" s="22">
        <f>IF(C84="","",VLOOKUP(C84,'_Données Employés'!$B$5:$S$114,3,FALSE))</f>
        <v/>
      </c>
      <c r="E84" s="22" t="n"/>
      <c r="F84" s="22" t="n"/>
      <c r="G84" s="22" t="n"/>
      <c r="H84" s="22" t="n"/>
      <c r="I84" s="22" t="n"/>
      <c r="J84" s="22" t="n"/>
      <c r="K84" s="22" t="n"/>
    </row>
    <row r="85" ht="22" customHeight="1">
      <c r="B85" s="21">
        <f>IF(C85="","NF"&amp;TEXT(COUNTA($C$5:C85),"000"))</f>
        <v/>
      </c>
      <c r="C85" s="21" t="n"/>
      <c r="D85" s="21">
        <f>IF(C85="","",VLOOKUP(C85,'_Données Employés'!$B$5:$S$114,3,FALSE))</f>
        <v/>
      </c>
      <c r="E85" s="21" t="n"/>
      <c r="F85" s="21" t="n"/>
      <c r="G85" s="21" t="n"/>
      <c r="H85" s="21" t="n"/>
      <c r="I85" s="21" t="n"/>
      <c r="J85" s="21" t="n"/>
      <c r="K85" s="21" t="n"/>
    </row>
    <row r="86" ht="22" customHeight="1">
      <c r="B86" s="22">
        <f>IF(C86="","NF"&amp;TEXT(COUNTA($C$5:C86),"000"))</f>
        <v/>
      </c>
      <c r="C86" s="22" t="n"/>
      <c r="D86" s="22">
        <f>IF(C86="","",VLOOKUP(C86,'_Données Employés'!$B$5:$S$114,3,FALSE))</f>
        <v/>
      </c>
      <c r="E86" s="22" t="n"/>
      <c r="F86" s="22" t="n"/>
      <c r="G86" s="22" t="n"/>
      <c r="H86" s="22" t="n"/>
      <c r="I86" s="22" t="n"/>
      <c r="J86" s="22" t="n"/>
      <c r="K86" s="22" t="n"/>
    </row>
    <row r="87" ht="22" customHeight="1">
      <c r="B87" s="21">
        <f>IF(C87="","NF"&amp;TEXT(COUNTA($C$5:C87),"000"))</f>
        <v/>
      </c>
      <c r="C87" s="21" t="n"/>
      <c r="D87" s="21">
        <f>IF(C87="","",VLOOKUP(C87,'_Données Employés'!$B$5:$S$114,3,FALSE))</f>
        <v/>
      </c>
      <c r="E87" s="21" t="n"/>
      <c r="F87" s="21" t="n"/>
      <c r="G87" s="21" t="n"/>
      <c r="H87" s="21" t="n"/>
      <c r="I87" s="21" t="n"/>
      <c r="J87" s="21" t="n"/>
      <c r="K87" s="21" t="n"/>
    </row>
    <row r="88" ht="22" customHeight="1">
      <c r="B88" s="22">
        <f>IF(C88="","NF"&amp;TEXT(COUNTA($C$5:C88),"000"))</f>
        <v/>
      </c>
      <c r="C88" s="22" t="n"/>
      <c r="D88" s="22">
        <f>IF(C88="","",VLOOKUP(C88,'_Données Employés'!$B$5:$S$114,3,FALSE))</f>
        <v/>
      </c>
      <c r="E88" s="22" t="n"/>
      <c r="F88" s="22" t="n"/>
      <c r="G88" s="22" t="n"/>
      <c r="H88" s="22" t="n"/>
      <c r="I88" s="22" t="n"/>
      <c r="J88" s="22" t="n"/>
      <c r="K88" s="22" t="n"/>
    </row>
    <row r="89" ht="22" customHeight="1">
      <c r="B89" s="21">
        <f>IF(C89="","NF"&amp;TEXT(COUNTA($C$5:C89),"000"))</f>
        <v/>
      </c>
      <c r="C89" s="21" t="n"/>
      <c r="D89" s="21">
        <f>IF(C89="","",VLOOKUP(C89,'_Données Employés'!$B$5:$S$114,3,FALSE))</f>
        <v/>
      </c>
      <c r="E89" s="21" t="n"/>
      <c r="F89" s="21" t="n"/>
      <c r="G89" s="21" t="n"/>
      <c r="H89" s="21" t="n"/>
      <c r="I89" s="21" t="n"/>
      <c r="J89" s="21" t="n"/>
      <c r="K89" s="21" t="n"/>
    </row>
    <row r="90" ht="22" customHeight="1">
      <c r="B90" s="22">
        <f>IF(C90="","NF"&amp;TEXT(COUNTA($C$5:C90),"000"))</f>
        <v/>
      </c>
      <c r="C90" s="22" t="n"/>
      <c r="D90" s="22">
        <f>IF(C90="","",VLOOKUP(C90,'_Données Employés'!$B$5:$S$114,3,FALSE))</f>
        <v/>
      </c>
      <c r="E90" s="22" t="n"/>
      <c r="F90" s="22" t="n"/>
      <c r="G90" s="22" t="n"/>
      <c r="H90" s="22" t="n"/>
      <c r="I90" s="22" t="n"/>
      <c r="J90" s="22" t="n"/>
      <c r="K90" s="22" t="n"/>
    </row>
    <row r="91" ht="22" customHeight="1">
      <c r="B91" s="21">
        <f>IF(C91="","NF"&amp;TEXT(COUNTA($C$5:C91),"000"))</f>
        <v/>
      </c>
      <c r="C91" s="21" t="n"/>
      <c r="D91" s="21">
        <f>IF(C91="","",VLOOKUP(C91,'_Données Employés'!$B$5:$S$114,3,FALSE))</f>
        <v/>
      </c>
      <c r="E91" s="21" t="n"/>
      <c r="F91" s="21" t="n"/>
      <c r="G91" s="21" t="n"/>
      <c r="H91" s="21" t="n"/>
      <c r="I91" s="21" t="n"/>
      <c r="J91" s="21" t="n"/>
      <c r="K91" s="21" t="n"/>
    </row>
    <row r="92" ht="22" customHeight="1">
      <c r="B92" s="22">
        <f>IF(C92="","NF"&amp;TEXT(COUNTA($C$5:C92),"000"))</f>
        <v/>
      </c>
      <c r="C92" s="22" t="n"/>
      <c r="D92" s="22">
        <f>IF(C92="","",VLOOKUP(C92,'_Données Employés'!$B$5:$S$114,3,FALSE))</f>
        <v/>
      </c>
      <c r="E92" s="22" t="n"/>
      <c r="F92" s="22" t="n"/>
      <c r="G92" s="22" t="n"/>
      <c r="H92" s="22" t="n"/>
      <c r="I92" s="22" t="n"/>
      <c r="J92" s="22" t="n"/>
      <c r="K92" s="22" t="n"/>
    </row>
    <row r="93" ht="22" customHeight="1">
      <c r="B93" s="21">
        <f>IF(C93="","NF"&amp;TEXT(COUNTA($C$5:C93),"000"))</f>
        <v/>
      </c>
      <c r="C93" s="21" t="n"/>
      <c r="D93" s="21">
        <f>IF(C93="","",VLOOKUP(C93,'_Données Employés'!$B$5:$S$114,3,FALSE))</f>
        <v/>
      </c>
      <c r="E93" s="21" t="n"/>
      <c r="F93" s="21" t="n"/>
      <c r="G93" s="21" t="n"/>
      <c r="H93" s="21" t="n"/>
      <c r="I93" s="21" t="n"/>
      <c r="J93" s="21" t="n"/>
      <c r="K93" s="21" t="n"/>
    </row>
    <row r="94" ht="22" customHeight="1">
      <c r="B94" s="22">
        <f>IF(C94="","NF"&amp;TEXT(COUNTA($C$5:C94),"000"))</f>
        <v/>
      </c>
      <c r="C94" s="22" t="n"/>
      <c r="D94" s="22">
        <f>IF(C94="","",VLOOKUP(C94,'_Données Employés'!$B$5:$S$114,3,FALSE))</f>
        <v/>
      </c>
      <c r="E94" s="22" t="n"/>
      <c r="F94" s="22" t="n"/>
      <c r="G94" s="22" t="n"/>
      <c r="H94" s="22" t="n"/>
      <c r="I94" s="22" t="n"/>
      <c r="J94" s="22" t="n"/>
      <c r="K94" s="22" t="n"/>
    </row>
    <row r="95" ht="22" customHeight="1">
      <c r="B95" s="21">
        <f>IF(C95="","NF"&amp;TEXT(COUNTA($C$5:C95),"000"))</f>
        <v/>
      </c>
      <c r="C95" s="21" t="n"/>
      <c r="D95" s="21">
        <f>IF(C95="","",VLOOKUP(C95,'_Données Employés'!$B$5:$S$114,3,FALSE))</f>
        <v/>
      </c>
      <c r="E95" s="21" t="n"/>
      <c r="F95" s="21" t="n"/>
      <c r="G95" s="21" t="n"/>
      <c r="H95" s="21" t="n"/>
      <c r="I95" s="21" t="n"/>
      <c r="J95" s="21" t="n"/>
      <c r="K95" s="21" t="n"/>
    </row>
    <row r="96" ht="22" customHeight="1">
      <c r="B96" s="22">
        <f>IF(C96="","NF"&amp;TEXT(COUNTA($C$5:C96),"000"))</f>
        <v/>
      </c>
      <c r="C96" s="22" t="n"/>
      <c r="D96" s="22">
        <f>IF(C96="","",VLOOKUP(C96,'_Données Employés'!$B$5:$S$114,3,FALSE))</f>
        <v/>
      </c>
      <c r="E96" s="22" t="n"/>
      <c r="F96" s="22" t="n"/>
      <c r="G96" s="22" t="n"/>
      <c r="H96" s="22" t="n"/>
      <c r="I96" s="22" t="n"/>
      <c r="J96" s="22" t="n"/>
      <c r="K96" s="22" t="n"/>
    </row>
    <row r="97" ht="22" customHeight="1">
      <c r="B97" s="21">
        <f>IF(C97="","NF"&amp;TEXT(COUNTA($C$5:C97),"000"))</f>
        <v/>
      </c>
      <c r="C97" s="21" t="n"/>
      <c r="D97" s="21">
        <f>IF(C97="","",VLOOKUP(C97,'_Données Employés'!$B$5:$S$114,3,FALSE))</f>
        <v/>
      </c>
      <c r="E97" s="21" t="n"/>
      <c r="F97" s="21" t="n"/>
      <c r="G97" s="21" t="n"/>
      <c r="H97" s="21" t="n"/>
      <c r="I97" s="21" t="n"/>
      <c r="J97" s="21" t="n"/>
      <c r="K97" s="21" t="n"/>
    </row>
    <row r="98" ht="22" customHeight="1">
      <c r="B98" s="22">
        <f>IF(C98="","NF"&amp;TEXT(COUNTA($C$5:C98),"000"))</f>
        <v/>
      </c>
      <c r="C98" s="22" t="n"/>
      <c r="D98" s="22">
        <f>IF(C98="","",VLOOKUP(C98,'_Données Employés'!$B$5:$S$114,3,FALSE))</f>
        <v/>
      </c>
      <c r="E98" s="22" t="n"/>
      <c r="F98" s="22" t="n"/>
      <c r="G98" s="22" t="n"/>
      <c r="H98" s="22" t="n"/>
      <c r="I98" s="22" t="n"/>
      <c r="J98" s="22" t="n"/>
      <c r="K98" s="22" t="n"/>
    </row>
    <row r="99" ht="22" customHeight="1">
      <c r="B99" s="21">
        <f>IF(C99="","NF"&amp;TEXT(COUNTA($C$5:C99),"000"))</f>
        <v/>
      </c>
      <c r="C99" s="21" t="n"/>
      <c r="D99" s="21">
        <f>IF(C99="","",VLOOKUP(C99,'_Données Employés'!$B$5:$S$114,3,FALSE))</f>
        <v/>
      </c>
      <c r="E99" s="21" t="n"/>
      <c r="F99" s="21" t="n"/>
      <c r="G99" s="21" t="n"/>
      <c r="H99" s="21" t="n"/>
      <c r="I99" s="21" t="n"/>
      <c r="J99" s="21" t="n"/>
      <c r="K99" s="21" t="n"/>
    </row>
    <row r="100" ht="22" customHeight="1">
      <c r="B100" s="22">
        <f>IF(C100="","NF"&amp;TEXT(COUNTA($C$5:C100),"000"))</f>
        <v/>
      </c>
      <c r="C100" s="22" t="n"/>
      <c r="D100" s="22">
        <f>IF(C100="","",VLOOKUP(C100,'_Données Employés'!$B$5:$S$114,3,FALSE))</f>
        <v/>
      </c>
      <c r="E100" s="22" t="n"/>
      <c r="F100" s="22" t="n"/>
      <c r="G100" s="22" t="n"/>
      <c r="H100" s="22" t="n"/>
      <c r="I100" s="22" t="n"/>
      <c r="J100" s="22" t="n"/>
      <c r="K100" s="22" t="n"/>
    </row>
    <row r="101" ht="22" customHeight="1">
      <c r="B101" s="21">
        <f>IF(C101="","NF"&amp;TEXT(COUNTA($C$5:C101),"000"))</f>
        <v/>
      </c>
      <c r="C101" s="21" t="n"/>
      <c r="D101" s="21">
        <f>IF(C101="","",VLOOKUP(C101,'_Données Employés'!$B$5:$S$114,3,FALSE))</f>
        <v/>
      </c>
      <c r="E101" s="21" t="n"/>
      <c r="F101" s="21" t="n"/>
      <c r="G101" s="21" t="n"/>
      <c r="H101" s="21" t="n"/>
      <c r="I101" s="21" t="n"/>
      <c r="J101" s="21" t="n"/>
      <c r="K101" s="21" t="n"/>
    </row>
    <row r="102" ht="22" customHeight="1">
      <c r="B102" s="22">
        <f>IF(C102="","NF"&amp;TEXT(COUNTA($C$5:C102),"000"))</f>
        <v/>
      </c>
      <c r="C102" s="22" t="n"/>
      <c r="D102" s="22">
        <f>IF(C102="","",VLOOKUP(C102,'_Données Employés'!$B$5:$S$114,3,FALSE))</f>
        <v/>
      </c>
      <c r="E102" s="22" t="n"/>
      <c r="F102" s="22" t="n"/>
      <c r="G102" s="22" t="n"/>
      <c r="H102" s="22" t="n"/>
      <c r="I102" s="22" t="n"/>
      <c r="J102" s="22" t="n"/>
      <c r="K102" s="22" t="n"/>
    </row>
    <row r="103" ht="22" customHeight="1">
      <c r="B103" s="21">
        <f>IF(C103="","NF"&amp;TEXT(COUNTA($C$5:C103),"000"))</f>
        <v/>
      </c>
      <c r="C103" s="21" t="n"/>
      <c r="D103" s="21">
        <f>IF(C103="","",VLOOKUP(C103,'_Données Employés'!$B$5:$S$114,3,FALSE))</f>
        <v/>
      </c>
      <c r="E103" s="21" t="n"/>
      <c r="F103" s="21" t="n"/>
      <c r="G103" s="21" t="n"/>
      <c r="H103" s="21" t="n"/>
      <c r="I103" s="21" t="n"/>
      <c r="J103" s="21" t="n"/>
      <c r="K103" s="21" t="n"/>
    </row>
    <row r="104" ht="22" customHeight="1">
      <c r="B104" s="22">
        <f>IF(C104="","NF"&amp;TEXT(COUNTA($C$5:C104),"000"))</f>
        <v/>
      </c>
      <c r="C104" s="22" t="n"/>
      <c r="D104" s="22">
        <f>IF(C104="","",VLOOKUP(C104,'_Données Employés'!$B$5:$S$114,3,FALSE))</f>
        <v/>
      </c>
      <c r="E104" s="22" t="n"/>
      <c r="F104" s="22" t="n"/>
      <c r="G104" s="22" t="n"/>
      <c r="H104" s="22" t="n"/>
      <c r="I104" s="22" t="n"/>
      <c r="J104" s="22" t="n"/>
      <c r="K104" s="22" t="n"/>
    </row>
    <row r="107">
      <c r="B107" s="23" t="inlineStr">
        <is>
          <t>KPI Total frais (FCFA)</t>
        </is>
      </c>
      <c r="C107" s="23" t="inlineStr">
        <is>
          <t>KPI En attente validation</t>
        </is>
      </c>
    </row>
    <row r="108">
      <c r="B108" s="25">
        <f>SUM(H5:H104)</f>
        <v/>
      </c>
      <c r="C108" s="24">
        <f>COUNTIF(J5:J104,"En attente")</f>
        <v/>
      </c>
    </row>
  </sheetData>
  <mergeCells count="1">
    <mergeCell ref="B2:K2"/>
  </mergeCells>
  <conditionalFormatting sqref="K5:K104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"Solde"</formula>
    </cfRule>
    <cfRule type="cellIs" priority="4" operator="equal" dxfId="1">
      <formula>"Actif"</formula>
    </cfRule>
    <cfRule type="cellIs" priority="5" operator="equal" dxfId="1">
      <formula>"Oui"</formula>
    </cfRule>
    <cfRule type="cellIs" priority="6" operator="equal" dxfId="2">
      <formula>"Rejete"</formula>
    </cfRule>
    <cfRule type="cellIs" priority="7" operator="equal" dxfId="2">
      <formula>"En retard"</formula>
    </cfRule>
    <cfRule type="cellIs" priority="8" operator="equal" dxfId="2">
      <formula>"Refuse"</formula>
    </cfRule>
    <cfRule type="cellIs" priority="9" operator="equal" dxfId="2">
      <formula>"Annule"</formula>
    </cfRule>
    <cfRule type="cellIs" priority="10" operator="equal" dxfId="2">
      <formula>"Non"</formula>
    </cfRule>
    <cfRule type="cellIs" priority="11" operator="equal" dxfId="3">
      <formula>"En attente"</formula>
    </cfRule>
    <cfRule type="cellIs" priority="12" operator="equal" dxfId="3">
      <formula>"En cours"</formula>
    </cfRule>
    <cfRule type="cellIs" priority="13" operator="equal" dxfId="3">
      <formula>"Brouillon"</formula>
    </cfRule>
    <cfRule type="cellIs" priority="14" operator="equal" dxfId="3">
      <formula>"Demande"</formula>
    </cfRule>
    <cfRule type="cellIs" priority="15" operator="equal" dxfId="3">
      <formula>"Partiellement monetise"</formula>
    </cfRule>
  </conditionalFormatting>
  <conditionalFormatting sqref="H5:H104">
    <cfRule type="dataBar" priority="16">
      <dataBar>
        <cfvo type="num" val="0"/>
        <cfvo type="num" val="1"/>
        <color rgb="001B2A4A"/>
      </dataBar>
    </cfRule>
  </conditionalFormatting>
  <conditionalFormatting sqref="B108">
    <cfRule type="cellIs" priority="17" operator="greaterThan" dxfId="0">
      <formula>0</formula>
    </cfRule>
  </conditionalFormatting>
  <conditionalFormatting sqref="C108">
    <cfRule type="cellIs" priority="18" operator="greaterThan" dxfId="0">
      <formula>0</formula>
    </cfRule>
  </conditionalFormatting>
  <dataValidations count="5">
    <dataValidation sqref="E5:E104" showDropDown="0" showInputMessage="0" showErrorMessage="0" allowBlank="1" type="list">
      <formula1>'_Lists'!$U$2:$U$8</formula1>
    </dataValidation>
    <dataValidation sqref="I5:I104" showDropDown="0" showInputMessage="0" showErrorMessage="0" allowBlank="1" type="list">
      <formula1>'_Lists'!$Y$2:$Y$3</formula1>
    </dataValidation>
    <dataValidation sqref="J5:J104" showDropDown="0" showInputMessage="0" showErrorMessage="0" allowBlank="1" type="list">
      <formula1>'_Lists'!$N$2:$N$5</formula1>
    </dataValidation>
    <dataValidation sqref="K5:K104" showDropDown="0" showInputMessage="0" showErrorMessage="0" allowBlank="1" type="list">
      <formula1>'_Lists'!$N$2:$N$5</formula1>
    </dataValidation>
    <dataValidation sqref="C5:C104" showDropDown="0" showInputMessage="0" showErrorMessage="0" allowBlank="1" promptTitle="Matricule Employé" prompt="Choisir un matricule" type="list">
      <formula1>'_Données Employés'!$B$5:$B$114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L10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18" customWidth="1" min="4" max="4"/>
    <col width="16" customWidth="1" min="5" max="5"/>
    <col width="12" customWidth="1" min="6" max="6"/>
    <col width="14" customWidth="1" min="7" max="7"/>
    <col width="14" customWidth="1" min="8" max="8"/>
    <col width="20" customWidth="1" min="9" max="9"/>
    <col width="16" customWidth="1" min="10" max="10"/>
    <col width="16" customWidth="1" min="11" max="11"/>
    <col width="10" customWidth="1" min="12" max="12"/>
  </cols>
  <sheetData>
    <row r="1" ht="15" customHeight="1"/>
    <row r="2" ht="32" customHeight="1">
      <c r="B2" s="13" t="inlineStr">
        <is>
          <t>AVANTAGES SOCIAUX — 20-Mutuelle Prevoyance</t>
        </is>
      </c>
    </row>
    <row r="3" ht="8" customHeight="1"/>
    <row r="4" ht="28" customHeight="1">
      <c r="B4" s="14" t="inlineStr">
        <is>
          <t>N°</t>
        </is>
      </c>
      <c r="C4" s="14" t="inlineStr">
        <is>
          <t>Matricule</t>
        </is>
      </c>
      <c r="D4" s="14" t="inlineStr">
        <is>
          <t>Nom Employé</t>
        </is>
      </c>
      <c r="E4" s="14" t="inlineStr">
        <is>
          <t>Organisme</t>
        </is>
      </c>
      <c r="F4" s="14" t="inlineStr">
        <is>
          <t>N° Adhérent</t>
        </is>
      </c>
      <c r="G4" s="14" t="inlineStr">
        <is>
          <t>Date Adhésion</t>
        </is>
      </c>
      <c r="H4" s="14" t="inlineStr">
        <is>
          <t>Couverture</t>
        </is>
      </c>
      <c r="I4" s="14" t="inlineStr">
        <is>
          <t>Cotisation Mensuelle (FCFA)</t>
        </is>
      </c>
      <c r="J4" s="14" t="inlineStr">
        <is>
          <t>Part Employé (FCFA)</t>
        </is>
      </c>
      <c r="K4" s="14" t="inlineStr">
        <is>
          <t>Part Employeur (FCFA)</t>
        </is>
      </c>
      <c r="L4" s="14" t="inlineStr">
        <is>
          <t>Statut</t>
        </is>
      </c>
    </row>
    <row r="5" ht="22" customHeight="1">
      <c r="B5" s="15" t="inlineStr">
        <is>
          <t>MUT-001</t>
        </is>
      </c>
      <c r="C5" s="15" t="inlineStr">
        <is>
          <t>EMP-001</t>
        </is>
      </c>
      <c r="D5" s="15" t="inlineStr">
        <is>
          <t>Nganou Clarisse</t>
        </is>
      </c>
      <c r="E5" s="15" t="inlineStr">
        <is>
          <t>CNPS</t>
        </is>
      </c>
      <c r="F5" s="15" t="inlineStr">
        <is>
          <t>12345</t>
        </is>
      </c>
      <c r="G5" s="33" t="inlineStr">
        <is>
          <t>2005-06-01</t>
        </is>
      </c>
      <c r="H5" s="15" t="inlineStr">
        <is>
          <t>Complete</t>
        </is>
      </c>
      <c r="I5" s="16" t="n">
        <v>15000</v>
      </c>
      <c r="J5" s="16" t="n">
        <v>5250</v>
      </c>
      <c r="K5" s="16" t="n">
        <v>9750</v>
      </c>
      <c r="L5" s="15" t="inlineStr">
        <is>
          <t>Actif</t>
        </is>
      </c>
    </row>
    <row r="6" ht="22" customHeight="1">
      <c r="B6" s="17" t="inlineStr">
        <is>
          <t>MUT-002</t>
        </is>
      </c>
      <c r="C6" s="17" t="inlineStr">
        <is>
          <t>EMP-002</t>
        </is>
      </c>
      <c r="D6" s="17" t="inlineStr">
        <is>
          <t>Tchinda Armand</t>
        </is>
      </c>
      <c r="E6" s="17" t="inlineStr">
        <is>
          <t>Mutuelle Hotel</t>
        </is>
      </c>
      <c r="F6" s="17" t="inlineStr">
        <is>
          <t>67890</t>
        </is>
      </c>
      <c r="G6" s="34" t="inlineStr">
        <is>
          <t>2010-01-15</t>
        </is>
      </c>
      <c r="H6" s="17" t="inlineStr">
        <is>
          <t>Sante</t>
        </is>
      </c>
      <c r="I6" s="18" t="n">
        <v>12000</v>
      </c>
      <c r="J6" s="18" t="n">
        <v>4200</v>
      </c>
      <c r="K6" s="18" t="n">
        <v>7800</v>
      </c>
      <c r="L6" s="17" t="inlineStr">
        <is>
          <t>Actif</t>
        </is>
      </c>
    </row>
    <row r="7" ht="22" customHeight="1">
      <c r="B7" s="15" t="inlineStr">
        <is>
          <t>MUT-003</t>
        </is>
      </c>
      <c r="C7" s="15" t="inlineStr">
        <is>
          <t>EMP-003</t>
        </is>
      </c>
      <c r="D7" s="15" t="inlineStr">
        <is>
          <t>Fotso Marguerite</t>
        </is>
      </c>
      <c r="E7" s="15" t="inlineStr">
        <is>
          <t>CNAMGS</t>
        </is>
      </c>
      <c r="F7" s="15" t="inlineStr">
        <is>
          <t>11111</t>
        </is>
      </c>
      <c r="G7" s="33" t="inlineStr">
        <is>
          <t>2015-03-01</t>
        </is>
      </c>
      <c r="H7" s="15" t="inlineStr">
        <is>
          <t>Hospitalisation</t>
        </is>
      </c>
      <c r="I7" s="16" t="n">
        <v>10000</v>
      </c>
      <c r="J7" s="16" t="n">
        <v>3500</v>
      </c>
      <c r="K7" s="16" t="n">
        <v>6500</v>
      </c>
      <c r="L7" s="15" t="inlineStr">
        <is>
          <t>Actif</t>
        </is>
      </c>
    </row>
    <row r="8" ht="22" customHeight="1">
      <c r="B8" s="19">
        <f>IF(C8="","MUT"&amp;TEXT(COUNTA($C$5:C8),"000"))</f>
        <v/>
      </c>
      <c r="C8" s="19" t="n"/>
      <c r="D8" s="19">
        <f>IF(C8="","",VLOOKUP(C8,'_Données Employés'!$B$5:$S$114,3,FALSE))</f>
        <v/>
      </c>
      <c r="E8" s="19" t="n"/>
      <c r="F8" s="19" t="n"/>
      <c r="G8" s="19" t="n"/>
      <c r="H8" s="19" t="n"/>
      <c r="I8" s="19" t="n"/>
      <c r="J8" s="19" t="n"/>
      <c r="K8" s="19" t="n"/>
      <c r="L8" s="19" t="n"/>
    </row>
    <row r="9" ht="22" customHeight="1">
      <c r="B9" s="21">
        <f>IF(C9="","MUT"&amp;TEXT(COUNTA($C$5:C9),"000"))</f>
        <v/>
      </c>
      <c r="C9" s="21" t="n"/>
      <c r="D9" s="21">
        <f>IF(C9="","",VLOOKUP(C9,'_Données Employés'!$B$5:$S$114,3,FALSE))</f>
        <v/>
      </c>
      <c r="E9" s="21" t="n"/>
      <c r="F9" s="21" t="n"/>
      <c r="G9" s="21" t="n"/>
      <c r="H9" s="21" t="n"/>
      <c r="I9" s="21" t="n"/>
      <c r="J9" s="21" t="n"/>
      <c r="K9" s="21" t="n"/>
      <c r="L9" s="21" t="n"/>
    </row>
    <row r="10" ht="22" customHeight="1">
      <c r="B10" s="22">
        <f>IF(C10="","MUT"&amp;TEXT(COUNTA($C$5:C10),"000"))</f>
        <v/>
      </c>
      <c r="C10" s="22" t="n"/>
      <c r="D10" s="22">
        <f>IF(C10="","",VLOOKUP(C10,'_Données Employés'!$B$5:$S$114,3,FALSE))</f>
        <v/>
      </c>
      <c r="E10" s="22" t="n"/>
      <c r="F10" s="22" t="n"/>
      <c r="G10" s="22" t="n"/>
      <c r="H10" s="22" t="n"/>
      <c r="I10" s="22" t="n"/>
      <c r="J10" s="22" t="n"/>
      <c r="K10" s="22" t="n"/>
      <c r="L10" s="22" t="n"/>
    </row>
    <row r="11" ht="22" customHeight="1">
      <c r="B11" s="21">
        <f>IF(C11="","MUT"&amp;TEXT(COUNTA($C$5:C11),"000"))</f>
        <v/>
      </c>
      <c r="C11" s="21" t="n"/>
      <c r="D11" s="21">
        <f>IF(C11="","",VLOOKUP(C11,'_Données Employés'!$B$5:$S$114,3,FALSE))</f>
        <v/>
      </c>
      <c r="E11" s="21" t="n"/>
      <c r="F11" s="21" t="n"/>
      <c r="G11" s="21" t="n"/>
      <c r="H11" s="21" t="n"/>
      <c r="I11" s="21" t="n"/>
      <c r="J11" s="21" t="n"/>
      <c r="K11" s="21" t="n"/>
      <c r="L11" s="21" t="n"/>
    </row>
    <row r="12" ht="22" customHeight="1">
      <c r="B12" s="22">
        <f>IF(C12="","MUT"&amp;TEXT(COUNTA($C$5:C12),"000"))</f>
        <v/>
      </c>
      <c r="C12" s="22" t="n"/>
      <c r="D12" s="22">
        <f>IF(C12="","",VLOOKUP(C12,'_Données Employés'!$B$5:$S$114,3,FALSE))</f>
        <v/>
      </c>
      <c r="E12" s="22" t="n"/>
      <c r="F12" s="22" t="n"/>
      <c r="G12" s="22" t="n"/>
      <c r="H12" s="22" t="n"/>
      <c r="I12" s="22" t="n"/>
      <c r="J12" s="22" t="n"/>
      <c r="K12" s="22" t="n"/>
      <c r="L12" s="22" t="n"/>
    </row>
    <row r="13" ht="22" customHeight="1">
      <c r="B13" s="21">
        <f>IF(C13="","MUT"&amp;TEXT(COUNTA($C$5:C13),"000"))</f>
        <v/>
      </c>
      <c r="C13" s="21" t="n"/>
      <c r="D13" s="21">
        <f>IF(C13="","",VLOOKUP(C13,'_Données Employés'!$B$5:$S$114,3,FALSE))</f>
        <v/>
      </c>
      <c r="E13" s="21" t="n"/>
      <c r="F13" s="21" t="n"/>
      <c r="G13" s="21" t="n"/>
      <c r="H13" s="21" t="n"/>
      <c r="I13" s="21" t="n"/>
      <c r="J13" s="21" t="n"/>
      <c r="K13" s="21" t="n"/>
      <c r="L13" s="21" t="n"/>
    </row>
    <row r="14" ht="22" customHeight="1">
      <c r="B14" s="22">
        <f>IF(C14="","MUT"&amp;TEXT(COUNTA($C$5:C14),"000"))</f>
        <v/>
      </c>
      <c r="C14" s="22" t="n"/>
      <c r="D14" s="22">
        <f>IF(C14="","",VLOOKUP(C14,'_Données Employés'!$B$5:$S$114,3,FALSE))</f>
        <v/>
      </c>
      <c r="E14" s="22" t="n"/>
      <c r="F14" s="22" t="n"/>
      <c r="G14" s="22" t="n"/>
      <c r="H14" s="22" t="n"/>
      <c r="I14" s="22" t="n"/>
      <c r="J14" s="22" t="n"/>
      <c r="K14" s="22" t="n"/>
      <c r="L14" s="22" t="n"/>
    </row>
    <row r="15" ht="22" customHeight="1">
      <c r="B15" s="21">
        <f>IF(C15="","MUT"&amp;TEXT(COUNTA($C$5:C15),"000"))</f>
        <v/>
      </c>
      <c r="C15" s="21" t="n"/>
      <c r="D15" s="21">
        <f>IF(C15="","",VLOOKUP(C15,'_Données Employés'!$B$5:$S$114,3,FALSE))</f>
        <v/>
      </c>
      <c r="E15" s="21" t="n"/>
      <c r="F15" s="21" t="n"/>
      <c r="G15" s="21" t="n"/>
      <c r="H15" s="21" t="n"/>
      <c r="I15" s="21" t="n"/>
      <c r="J15" s="21" t="n"/>
      <c r="K15" s="21" t="n"/>
      <c r="L15" s="21" t="n"/>
    </row>
    <row r="16" ht="22" customHeight="1">
      <c r="B16" s="22">
        <f>IF(C16="","MUT"&amp;TEXT(COUNTA($C$5:C16),"000"))</f>
        <v/>
      </c>
      <c r="C16" s="22" t="n"/>
      <c r="D16" s="22">
        <f>IF(C16="","",VLOOKUP(C16,'_Données Employés'!$B$5:$S$114,3,FALSE))</f>
        <v/>
      </c>
      <c r="E16" s="22" t="n"/>
      <c r="F16" s="22" t="n"/>
      <c r="G16" s="22" t="n"/>
      <c r="H16" s="22" t="n"/>
      <c r="I16" s="22" t="n"/>
      <c r="J16" s="22" t="n"/>
      <c r="K16" s="22" t="n"/>
      <c r="L16" s="22" t="n"/>
    </row>
    <row r="17" ht="22" customHeight="1">
      <c r="B17" s="21">
        <f>IF(C17="","MUT"&amp;TEXT(COUNTA($C$5:C17),"000"))</f>
        <v/>
      </c>
      <c r="C17" s="21" t="n"/>
      <c r="D17" s="21">
        <f>IF(C17="","",VLOOKUP(C17,'_Données Employés'!$B$5:$S$114,3,FALSE))</f>
        <v/>
      </c>
      <c r="E17" s="21" t="n"/>
      <c r="F17" s="21" t="n"/>
      <c r="G17" s="21" t="n"/>
      <c r="H17" s="21" t="n"/>
      <c r="I17" s="21" t="n"/>
      <c r="J17" s="21" t="n"/>
      <c r="K17" s="21" t="n"/>
      <c r="L17" s="21" t="n"/>
    </row>
    <row r="18" ht="22" customHeight="1">
      <c r="B18" s="22">
        <f>IF(C18="","MUT"&amp;TEXT(COUNTA($C$5:C18),"000"))</f>
        <v/>
      </c>
      <c r="C18" s="22" t="n"/>
      <c r="D18" s="22">
        <f>IF(C18="","",VLOOKUP(C18,'_Données Employés'!$B$5:$S$114,3,FALSE))</f>
        <v/>
      </c>
      <c r="E18" s="22" t="n"/>
      <c r="F18" s="22" t="n"/>
      <c r="G18" s="22" t="n"/>
      <c r="H18" s="22" t="n"/>
      <c r="I18" s="22" t="n"/>
      <c r="J18" s="22" t="n"/>
      <c r="K18" s="22" t="n"/>
      <c r="L18" s="22" t="n"/>
    </row>
    <row r="19" ht="22" customHeight="1">
      <c r="B19" s="21">
        <f>IF(C19="","MUT"&amp;TEXT(COUNTA($C$5:C19),"000"))</f>
        <v/>
      </c>
      <c r="C19" s="21" t="n"/>
      <c r="D19" s="21">
        <f>IF(C19="","",VLOOKUP(C19,'_Données Employés'!$B$5:$S$114,3,FALSE))</f>
        <v/>
      </c>
      <c r="E19" s="21" t="n"/>
      <c r="F19" s="21" t="n"/>
      <c r="G19" s="21" t="n"/>
      <c r="H19" s="21" t="n"/>
      <c r="I19" s="21" t="n"/>
      <c r="J19" s="21" t="n"/>
      <c r="K19" s="21" t="n"/>
      <c r="L19" s="21" t="n"/>
    </row>
    <row r="20" ht="22" customHeight="1">
      <c r="B20" s="22">
        <f>IF(C20="","MUT"&amp;TEXT(COUNTA($C$5:C20),"000"))</f>
        <v/>
      </c>
      <c r="C20" s="22" t="n"/>
      <c r="D20" s="22">
        <f>IF(C20="","",VLOOKUP(C20,'_Données Employés'!$B$5:$S$114,3,FALSE))</f>
        <v/>
      </c>
      <c r="E20" s="22" t="n"/>
      <c r="F20" s="22" t="n"/>
      <c r="G20" s="22" t="n"/>
      <c r="H20" s="22" t="n"/>
      <c r="I20" s="22" t="n"/>
      <c r="J20" s="22" t="n"/>
      <c r="K20" s="22" t="n"/>
      <c r="L20" s="22" t="n"/>
    </row>
    <row r="21" ht="22" customHeight="1">
      <c r="B21" s="21">
        <f>IF(C21="","MUT"&amp;TEXT(COUNTA($C$5:C21),"000"))</f>
        <v/>
      </c>
      <c r="C21" s="21" t="n"/>
      <c r="D21" s="21">
        <f>IF(C21="","",VLOOKUP(C21,'_Données Employés'!$B$5:$S$114,3,FALSE))</f>
        <v/>
      </c>
      <c r="E21" s="21" t="n"/>
      <c r="F21" s="21" t="n"/>
      <c r="G21" s="21" t="n"/>
      <c r="H21" s="21" t="n"/>
      <c r="I21" s="21" t="n"/>
      <c r="J21" s="21" t="n"/>
      <c r="K21" s="21" t="n"/>
      <c r="L21" s="21" t="n"/>
    </row>
    <row r="22" ht="22" customHeight="1">
      <c r="B22" s="22">
        <f>IF(C22="","MUT"&amp;TEXT(COUNTA($C$5:C22),"000"))</f>
        <v/>
      </c>
      <c r="C22" s="22" t="n"/>
      <c r="D22" s="22">
        <f>IF(C22="","",VLOOKUP(C22,'_Données Employés'!$B$5:$S$114,3,FALSE))</f>
        <v/>
      </c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 ht="22" customHeight="1">
      <c r="B23" s="21">
        <f>IF(C23="","MUT"&amp;TEXT(COUNTA($C$5:C23),"000"))</f>
        <v/>
      </c>
      <c r="C23" s="21" t="n"/>
      <c r="D23" s="21">
        <f>IF(C23="","",VLOOKUP(C23,'_Données Employés'!$B$5:$S$114,3,FALSE))</f>
        <v/>
      </c>
      <c r="E23" s="21" t="n"/>
      <c r="F23" s="21" t="n"/>
      <c r="G23" s="21" t="n"/>
      <c r="H23" s="21" t="n"/>
      <c r="I23" s="21" t="n"/>
      <c r="J23" s="21" t="n"/>
      <c r="K23" s="21" t="n"/>
      <c r="L23" s="21" t="n"/>
    </row>
    <row r="24" ht="22" customHeight="1">
      <c r="B24" s="22">
        <f>IF(C24="","MUT"&amp;TEXT(COUNTA($C$5:C24),"000"))</f>
        <v/>
      </c>
      <c r="C24" s="22" t="n"/>
      <c r="D24" s="22">
        <f>IF(C24="","",VLOOKUP(C24,'_Données Employés'!$B$5:$S$114,3,FALSE))</f>
        <v/>
      </c>
      <c r="E24" s="22" t="n"/>
      <c r="F24" s="22" t="n"/>
      <c r="G24" s="22" t="n"/>
      <c r="H24" s="22" t="n"/>
      <c r="I24" s="22" t="n"/>
      <c r="J24" s="22" t="n"/>
      <c r="K24" s="22" t="n"/>
      <c r="L24" s="22" t="n"/>
    </row>
    <row r="25" ht="22" customHeight="1">
      <c r="B25" s="21">
        <f>IF(C25="","MUT"&amp;TEXT(COUNTA($C$5:C25),"000"))</f>
        <v/>
      </c>
      <c r="C25" s="21" t="n"/>
      <c r="D25" s="21">
        <f>IF(C25="","",VLOOKUP(C25,'_Données Employés'!$B$5:$S$114,3,FALSE))</f>
        <v/>
      </c>
      <c r="E25" s="21" t="n"/>
      <c r="F25" s="21" t="n"/>
      <c r="G25" s="21" t="n"/>
      <c r="H25" s="21" t="n"/>
      <c r="I25" s="21" t="n"/>
      <c r="J25" s="21" t="n"/>
      <c r="K25" s="21" t="n"/>
      <c r="L25" s="21" t="n"/>
    </row>
    <row r="26" ht="22" customHeight="1">
      <c r="B26" s="22">
        <f>IF(C26="","MUT"&amp;TEXT(COUNTA($C$5:C26),"000"))</f>
        <v/>
      </c>
      <c r="C26" s="22" t="n"/>
      <c r="D26" s="22">
        <f>IF(C26="","",VLOOKUP(C26,'_Données Employés'!$B$5:$S$114,3,FALSE))</f>
        <v/>
      </c>
      <c r="E26" s="22" t="n"/>
      <c r="F26" s="22" t="n"/>
      <c r="G26" s="22" t="n"/>
      <c r="H26" s="22" t="n"/>
      <c r="I26" s="22" t="n"/>
      <c r="J26" s="22" t="n"/>
      <c r="K26" s="22" t="n"/>
      <c r="L26" s="22" t="n"/>
    </row>
    <row r="27" ht="22" customHeight="1">
      <c r="B27" s="21">
        <f>IF(C27="","MUT"&amp;TEXT(COUNTA($C$5:C27),"000"))</f>
        <v/>
      </c>
      <c r="C27" s="21" t="n"/>
      <c r="D27" s="21">
        <f>IF(C27="","",VLOOKUP(C27,'_Données Employés'!$B$5:$S$114,3,FALSE))</f>
        <v/>
      </c>
      <c r="E27" s="21" t="n"/>
      <c r="F27" s="21" t="n"/>
      <c r="G27" s="21" t="n"/>
      <c r="H27" s="21" t="n"/>
      <c r="I27" s="21" t="n"/>
      <c r="J27" s="21" t="n"/>
      <c r="K27" s="21" t="n"/>
      <c r="L27" s="21" t="n"/>
    </row>
    <row r="28" ht="22" customHeight="1">
      <c r="B28" s="22">
        <f>IF(C28="","MUT"&amp;TEXT(COUNTA($C$5:C28),"000"))</f>
        <v/>
      </c>
      <c r="C28" s="22" t="n"/>
      <c r="D28" s="22">
        <f>IF(C28="","",VLOOKUP(C28,'_Données Employés'!$B$5:$S$114,3,FALSE))</f>
        <v/>
      </c>
      <c r="E28" s="22" t="n"/>
      <c r="F28" s="22" t="n"/>
      <c r="G28" s="22" t="n"/>
      <c r="H28" s="22" t="n"/>
      <c r="I28" s="22" t="n"/>
      <c r="J28" s="22" t="n"/>
      <c r="K28" s="22" t="n"/>
      <c r="L28" s="22" t="n"/>
    </row>
    <row r="29" ht="22" customHeight="1">
      <c r="B29" s="21">
        <f>IF(C29="","MUT"&amp;TEXT(COUNTA($C$5:C29),"000"))</f>
        <v/>
      </c>
      <c r="C29" s="21" t="n"/>
      <c r="D29" s="21">
        <f>IF(C29="","",VLOOKUP(C29,'_Données Employés'!$B$5:$S$114,3,FALSE))</f>
        <v/>
      </c>
      <c r="E29" s="21" t="n"/>
      <c r="F29" s="21" t="n"/>
      <c r="G29" s="21" t="n"/>
      <c r="H29" s="21" t="n"/>
      <c r="I29" s="21" t="n"/>
      <c r="J29" s="21" t="n"/>
      <c r="K29" s="21" t="n"/>
      <c r="L29" s="21" t="n"/>
    </row>
    <row r="30" ht="22" customHeight="1">
      <c r="B30" s="22">
        <f>IF(C30="","MUT"&amp;TEXT(COUNTA($C$5:C30),"000"))</f>
        <v/>
      </c>
      <c r="C30" s="22" t="n"/>
      <c r="D30" s="22">
        <f>IF(C30="","",VLOOKUP(C30,'_Données Employés'!$B$5:$S$114,3,FALSE))</f>
        <v/>
      </c>
      <c r="E30" s="22" t="n"/>
      <c r="F30" s="22" t="n"/>
      <c r="G30" s="22" t="n"/>
      <c r="H30" s="22" t="n"/>
      <c r="I30" s="22" t="n"/>
      <c r="J30" s="22" t="n"/>
      <c r="K30" s="22" t="n"/>
      <c r="L30" s="22" t="n"/>
    </row>
    <row r="31" ht="22" customHeight="1">
      <c r="B31" s="21">
        <f>IF(C31="","MUT"&amp;TEXT(COUNTA($C$5:C31),"000"))</f>
        <v/>
      </c>
      <c r="C31" s="21" t="n"/>
      <c r="D31" s="21">
        <f>IF(C31="","",VLOOKUP(C31,'_Données Employés'!$B$5:$S$114,3,FALSE))</f>
        <v/>
      </c>
      <c r="E31" s="21" t="n"/>
      <c r="F31" s="21" t="n"/>
      <c r="G31" s="21" t="n"/>
      <c r="H31" s="21" t="n"/>
      <c r="I31" s="21" t="n"/>
      <c r="J31" s="21" t="n"/>
      <c r="K31" s="21" t="n"/>
      <c r="L31" s="21" t="n"/>
    </row>
    <row r="32" ht="22" customHeight="1">
      <c r="B32" s="22">
        <f>IF(C32="","MUT"&amp;TEXT(COUNTA($C$5:C32),"000"))</f>
        <v/>
      </c>
      <c r="C32" s="22" t="n"/>
      <c r="D32" s="22">
        <f>IF(C32="","",VLOOKUP(C32,'_Données Employés'!$B$5:$S$114,3,FALSE))</f>
        <v/>
      </c>
      <c r="E32" s="22" t="n"/>
      <c r="F32" s="22" t="n"/>
      <c r="G32" s="22" t="n"/>
      <c r="H32" s="22" t="n"/>
      <c r="I32" s="22" t="n"/>
      <c r="J32" s="22" t="n"/>
      <c r="K32" s="22" t="n"/>
      <c r="L32" s="22" t="n"/>
    </row>
    <row r="33" ht="22" customHeight="1">
      <c r="B33" s="21">
        <f>IF(C33="","MUT"&amp;TEXT(COUNTA($C$5:C33),"000"))</f>
        <v/>
      </c>
      <c r="C33" s="21" t="n"/>
      <c r="D33" s="21">
        <f>IF(C33="","",VLOOKUP(C33,'_Données Employés'!$B$5:$S$114,3,FALSE))</f>
        <v/>
      </c>
      <c r="E33" s="21" t="n"/>
      <c r="F33" s="21" t="n"/>
      <c r="G33" s="21" t="n"/>
      <c r="H33" s="21" t="n"/>
      <c r="I33" s="21" t="n"/>
      <c r="J33" s="21" t="n"/>
      <c r="K33" s="21" t="n"/>
      <c r="L33" s="21" t="n"/>
    </row>
    <row r="34" ht="22" customHeight="1">
      <c r="B34" s="22">
        <f>IF(C34="","MUT"&amp;TEXT(COUNTA($C$5:C34),"000"))</f>
        <v/>
      </c>
      <c r="C34" s="22" t="n"/>
      <c r="D34" s="22">
        <f>IF(C34="","",VLOOKUP(C34,'_Données Employés'!$B$5:$S$114,3,FALSE))</f>
        <v/>
      </c>
      <c r="E34" s="22" t="n"/>
      <c r="F34" s="22" t="n"/>
      <c r="G34" s="22" t="n"/>
      <c r="H34" s="22" t="n"/>
      <c r="I34" s="22" t="n"/>
      <c r="J34" s="22" t="n"/>
      <c r="K34" s="22" t="n"/>
      <c r="L34" s="22" t="n"/>
    </row>
    <row r="35" ht="22" customHeight="1">
      <c r="B35" s="21">
        <f>IF(C35="","MUT"&amp;TEXT(COUNTA($C$5:C35),"000"))</f>
        <v/>
      </c>
      <c r="C35" s="21" t="n"/>
      <c r="D35" s="21">
        <f>IF(C35="","",VLOOKUP(C35,'_Données Employés'!$B$5:$S$114,3,FALSE))</f>
        <v/>
      </c>
      <c r="E35" s="21" t="n"/>
      <c r="F35" s="21" t="n"/>
      <c r="G35" s="21" t="n"/>
      <c r="H35" s="21" t="n"/>
      <c r="I35" s="21" t="n"/>
      <c r="J35" s="21" t="n"/>
      <c r="K35" s="21" t="n"/>
      <c r="L35" s="21" t="n"/>
    </row>
    <row r="36" ht="22" customHeight="1">
      <c r="B36" s="22">
        <f>IF(C36="","MUT"&amp;TEXT(COUNTA($C$5:C36),"000"))</f>
        <v/>
      </c>
      <c r="C36" s="22" t="n"/>
      <c r="D36" s="22">
        <f>IF(C36="","",VLOOKUP(C36,'_Données Employés'!$B$5:$S$114,3,FALSE))</f>
        <v/>
      </c>
      <c r="E36" s="22" t="n"/>
      <c r="F36" s="22" t="n"/>
      <c r="G36" s="22" t="n"/>
      <c r="H36" s="22" t="n"/>
      <c r="I36" s="22" t="n"/>
      <c r="J36" s="22" t="n"/>
      <c r="K36" s="22" t="n"/>
      <c r="L36" s="22" t="n"/>
    </row>
    <row r="37" ht="22" customHeight="1">
      <c r="B37" s="21">
        <f>IF(C37="","MUT"&amp;TEXT(COUNTA($C$5:C37),"000"))</f>
        <v/>
      </c>
      <c r="C37" s="21" t="n"/>
      <c r="D37" s="21">
        <f>IF(C37="","",VLOOKUP(C37,'_Données Employés'!$B$5:$S$114,3,FALSE))</f>
        <v/>
      </c>
      <c r="E37" s="21" t="n"/>
      <c r="F37" s="21" t="n"/>
      <c r="G37" s="21" t="n"/>
      <c r="H37" s="21" t="n"/>
      <c r="I37" s="21" t="n"/>
      <c r="J37" s="21" t="n"/>
      <c r="K37" s="21" t="n"/>
      <c r="L37" s="21" t="n"/>
    </row>
    <row r="38" ht="22" customHeight="1">
      <c r="B38" s="22">
        <f>IF(C38="","MUT"&amp;TEXT(COUNTA($C$5:C38),"000"))</f>
        <v/>
      </c>
      <c r="C38" s="22" t="n"/>
      <c r="D38" s="22">
        <f>IF(C38="","",VLOOKUP(C38,'_Données Employés'!$B$5:$S$114,3,FALSE))</f>
        <v/>
      </c>
      <c r="E38" s="22" t="n"/>
      <c r="F38" s="22" t="n"/>
      <c r="G38" s="22" t="n"/>
      <c r="H38" s="22" t="n"/>
      <c r="I38" s="22" t="n"/>
      <c r="J38" s="22" t="n"/>
      <c r="K38" s="22" t="n"/>
      <c r="L38" s="22" t="n"/>
    </row>
    <row r="39" ht="22" customHeight="1">
      <c r="B39" s="21">
        <f>IF(C39="","MUT"&amp;TEXT(COUNTA($C$5:C39),"000"))</f>
        <v/>
      </c>
      <c r="C39" s="21" t="n"/>
      <c r="D39" s="21">
        <f>IF(C39="","",VLOOKUP(C39,'_Données Employés'!$B$5:$S$114,3,FALSE))</f>
        <v/>
      </c>
      <c r="E39" s="21" t="n"/>
      <c r="F39" s="21" t="n"/>
      <c r="G39" s="21" t="n"/>
      <c r="H39" s="21" t="n"/>
      <c r="I39" s="21" t="n"/>
      <c r="J39" s="21" t="n"/>
      <c r="K39" s="21" t="n"/>
      <c r="L39" s="21" t="n"/>
    </row>
    <row r="40" ht="22" customHeight="1">
      <c r="B40" s="22">
        <f>IF(C40="","MUT"&amp;TEXT(COUNTA($C$5:C40),"000"))</f>
        <v/>
      </c>
      <c r="C40" s="22" t="n"/>
      <c r="D40" s="22">
        <f>IF(C40="","",VLOOKUP(C40,'_Données Employés'!$B$5:$S$114,3,FALSE))</f>
        <v/>
      </c>
      <c r="E40" s="22" t="n"/>
      <c r="F40" s="22" t="n"/>
      <c r="G40" s="22" t="n"/>
      <c r="H40" s="22" t="n"/>
      <c r="I40" s="22" t="n"/>
      <c r="J40" s="22" t="n"/>
      <c r="K40" s="22" t="n"/>
      <c r="L40" s="22" t="n"/>
    </row>
    <row r="41" ht="22" customHeight="1">
      <c r="B41" s="21">
        <f>IF(C41="","MUT"&amp;TEXT(COUNTA($C$5:C41),"000"))</f>
        <v/>
      </c>
      <c r="C41" s="21" t="n"/>
      <c r="D41" s="21">
        <f>IF(C41="","",VLOOKUP(C41,'_Données Employés'!$B$5:$S$114,3,FALSE))</f>
        <v/>
      </c>
      <c r="E41" s="21" t="n"/>
      <c r="F41" s="21" t="n"/>
      <c r="G41" s="21" t="n"/>
      <c r="H41" s="21" t="n"/>
      <c r="I41" s="21" t="n"/>
      <c r="J41" s="21" t="n"/>
      <c r="K41" s="21" t="n"/>
      <c r="L41" s="21" t="n"/>
    </row>
    <row r="42" ht="22" customHeight="1">
      <c r="B42" s="22">
        <f>IF(C42="","MUT"&amp;TEXT(COUNTA($C$5:C42),"000"))</f>
        <v/>
      </c>
      <c r="C42" s="22" t="n"/>
      <c r="D42" s="22">
        <f>IF(C42="","",VLOOKUP(C42,'_Données Employés'!$B$5:$S$114,3,FALSE))</f>
        <v/>
      </c>
      <c r="E42" s="22" t="n"/>
      <c r="F42" s="22" t="n"/>
      <c r="G42" s="22" t="n"/>
      <c r="H42" s="22" t="n"/>
      <c r="I42" s="22" t="n"/>
      <c r="J42" s="22" t="n"/>
      <c r="K42" s="22" t="n"/>
      <c r="L42" s="22" t="n"/>
    </row>
    <row r="43" ht="22" customHeight="1">
      <c r="B43" s="21">
        <f>IF(C43="","MUT"&amp;TEXT(COUNTA($C$5:C43),"000"))</f>
        <v/>
      </c>
      <c r="C43" s="21" t="n"/>
      <c r="D43" s="21">
        <f>IF(C43="","",VLOOKUP(C43,'_Données Employés'!$B$5:$S$114,3,FALSE))</f>
        <v/>
      </c>
      <c r="E43" s="21" t="n"/>
      <c r="F43" s="21" t="n"/>
      <c r="G43" s="21" t="n"/>
      <c r="H43" s="21" t="n"/>
      <c r="I43" s="21" t="n"/>
      <c r="J43" s="21" t="n"/>
      <c r="K43" s="21" t="n"/>
      <c r="L43" s="21" t="n"/>
    </row>
    <row r="44" ht="22" customHeight="1">
      <c r="B44" s="22">
        <f>IF(C44="","MUT"&amp;TEXT(COUNTA($C$5:C44),"000"))</f>
        <v/>
      </c>
      <c r="C44" s="22" t="n"/>
      <c r="D44" s="22">
        <f>IF(C44="","",VLOOKUP(C44,'_Données Employés'!$B$5:$S$114,3,FALSE))</f>
        <v/>
      </c>
      <c r="E44" s="22" t="n"/>
      <c r="F44" s="22" t="n"/>
      <c r="G44" s="22" t="n"/>
      <c r="H44" s="22" t="n"/>
      <c r="I44" s="22" t="n"/>
      <c r="J44" s="22" t="n"/>
      <c r="K44" s="22" t="n"/>
      <c r="L44" s="22" t="n"/>
    </row>
    <row r="45" ht="22" customHeight="1">
      <c r="B45" s="21">
        <f>IF(C45="","MUT"&amp;TEXT(COUNTA($C$5:C45),"000"))</f>
        <v/>
      </c>
      <c r="C45" s="21" t="n"/>
      <c r="D45" s="21">
        <f>IF(C45="","",VLOOKUP(C45,'_Données Employés'!$B$5:$S$114,3,FALSE))</f>
        <v/>
      </c>
      <c r="E45" s="21" t="n"/>
      <c r="F45" s="21" t="n"/>
      <c r="G45" s="21" t="n"/>
      <c r="H45" s="21" t="n"/>
      <c r="I45" s="21" t="n"/>
      <c r="J45" s="21" t="n"/>
      <c r="K45" s="21" t="n"/>
      <c r="L45" s="21" t="n"/>
    </row>
    <row r="46" ht="22" customHeight="1">
      <c r="B46" s="22">
        <f>IF(C46="","MUT"&amp;TEXT(COUNTA($C$5:C46),"000"))</f>
        <v/>
      </c>
      <c r="C46" s="22" t="n"/>
      <c r="D46" s="22">
        <f>IF(C46="","",VLOOKUP(C46,'_Données Employés'!$B$5:$S$114,3,FALSE))</f>
        <v/>
      </c>
      <c r="E46" s="22" t="n"/>
      <c r="F46" s="22" t="n"/>
      <c r="G46" s="22" t="n"/>
      <c r="H46" s="22" t="n"/>
      <c r="I46" s="22" t="n"/>
      <c r="J46" s="22" t="n"/>
      <c r="K46" s="22" t="n"/>
      <c r="L46" s="22" t="n"/>
    </row>
    <row r="47" ht="22" customHeight="1">
      <c r="B47" s="21">
        <f>IF(C47="","MUT"&amp;TEXT(COUNTA($C$5:C47),"000"))</f>
        <v/>
      </c>
      <c r="C47" s="21" t="n"/>
      <c r="D47" s="21">
        <f>IF(C47="","",VLOOKUP(C47,'_Données Employés'!$B$5:$S$114,3,FALSE))</f>
        <v/>
      </c>
      <c r="E47" s="21" t="n"/>
      <c r="F47" s="21" t="n"/>
      <c r="G47" s="21" t="n"/>
      <c r="H47" s="21" t="n"/>
      <c r="I47" s="21" t="n"/>
      <c r="J47" s="21" t="n"/>
      <c r="K47" s="21" t="n"/>
      <c r="L47" s="21" t="n"/>
    </row>
    <row r="48" ht="22" customHeight="1">
      <c r="B48" s="22">
        <f>IF(C48="","MUT"&amp;TEXT(COUNTA($C$5:C48),"000"))</f>
        <v/>
      </c>
      <c r="C48" s="22" t="n"/>
      <c r="D48" s="22">
        <f>IF(C48="","",VLOOKUP(C48,'_Données Employés'!$B$5:$S$114,3,FALSE))</f>
        <v/>
      </c>
      <c r="E48" s="22" t="n"/>
      <c r="F48" s="22" t="n"/>
      <c r="G48" s="22" t="n"/>
      <c r="H48" s="22" t="n"/>
      <c r="I48" s="22" t="n"/>
      <c r="J48" s="22" t="n"/>
      <c r="K48" s="22" t="n"/>
      <c r="L48" s="22" t="n"/>
    </row>
    <row r="49" ht="22" customHeight="1">
      <c r="B49" s="21">
        <f>IF(C49="","MUT"&amp;TEXT(COUNTA($C$5:C49),"000"))</f>
        <v/>
      </c>
      <c r="C49" s="21" t="n"/>
      <c r="D49" s="21">
        <f>IF(C49="","",VLOOKUP(C49,'_Données Employés'!$B$5:$S$114,3,FALSE))</f>
        <v/>
      </c>
      <c r="E49" s="21" t="n"/>
      <c r="F49" s="21" t="n"/>
      <c r="G49" s="21" t="n"/>
      <c r="H49" s="21" t="n"/>
      <c r="I49" s="21" t="n"/>
      <c r="J49" s="21" t="n"/>
      <c r="K49" s="21" t="n"/>
      <c r="L49" s="21" t="n"/>
    </row>
    <row r="50" ht="22" customHeight="1">
      <c r="B50" s="22">
        <f>IF(C50="","MUT"&amp;TEXT(COUNTA($C$5:C50),"000"))</f>
        <v/>
      </c>
      <c r="C50" s="22" t="n"/>
      <c r="D50" s="22">
        <f>IF(C50="","",VLOOKUP(C50,'_Données Employés'!$B$5:$S$114,3,FALSE))</f>
        <v/>
      </c>
      <c r="E50" s="22" t="n"/>
      <c r="F50" s="22" t="n"/>
      <c r="G50" s="22" t="n"/>
      <c r="H50" s="22" t="n"/>
      <c r="I50" s="22" t="n"/>
      <c r="J50" s="22" t="n"/>
      <c r="K50" s="22" t="n"/>
      <c r="L50" s="22" t="n"/>
    </row>
    <row r="51" ht="22" customHeight="1">
      <c r="B51" s="21">
        <f>IF(C51="","MUT"&amp;TEXT(COUNTA($C$5:C51),"000"))</f>
        <v/>
      </c>
      <c r="C51" s="21" t="n"/>
      <c r="D51" s="21">
        <f>IF(C51="","",VLOOKUP(C51,'_Données Employés'!$B$5:$S$114,3,FALSE))</f>
        <v/>
      </c>
      <c r="E51" s="21" t="n"/>
      <c r="F51" s="21" t="n"/>
      <c r="G51" s="21" t="n"/>
      <c r="H51" s="21" t="n"/>
      <c r="I51" s="21" t="n"/>
      <c r="J51" s="21" t="n"/>
      <c r="K51" s="21" t="n"/>
      <c r="L51" s="21" t="n"/>
    </row>
    <row r="52" ht="22" customHeight="1">
      <c r="B52" s="22">
        <f>IF(C52="","MUT"&amp;TEXT(COUNTA($C$5:C52),"000"))</f>
        <v/>
      </c>
      <c r="C52" s="22" t="n"/>
      <c r="D52" s="22">
        <f>IF(C52="","",VLOOKUP(C52,'_Données Employés'!$B$5:$S$114,3,FALSE))</f>
        <v/>
      </c>
      <c r="E52" s="22" t="n"/>
      <c r="F52" s="22" t="n"/>
      <c r="G52" s="22" t="n"/>
      <c r="H52" s="22" t="n"/>
      <c r="I52" s="22" t="n"/>
      <c r="J52" s="22" t="n"/>
      <c r="K52" s="22" t="n"/>
      <c r="L52" s="22" t="n"/>
    </row>
    <row r="53" ht="22" customHeight="1">
      <c r="B53" s="21">
        <f>IF(C53="","MUT"&amp;TEXT(COUNTA($C$5:C53),"000"))</f>
        <v/>
      </c>
      <c r="C53" s="21" t="n"/>
      <c r="D53" s="21">
        <f>IF(C53="","",VLOOKUP(C53,'_Données Employés'!$B$5:$S$114,3,FALSE))</f>
        <v/>
      </c>
      <c r="E53" s="21" t="n"/>
      <c r="F53" s="21" t="n"/>
      <c r="G53" s="21" t="n"/>
      <c r="H53" s="21" t="n"/>
      <c r="I53" s="21" t="n"/>
      <c r="J53" s="21" t="n"/>
      <c r="K53" s="21" t="n"/>
      <c r="L53" s="21" t="n"/>
    </row>
    <row r="54" ht="22" customHeight="1">
      <c r="B54" s="22">
        <f>IF(C54="","MUT"&amp;TEXT(COUNTA($C$5:C54),"000"))</f>
        <v/>
      </c>
      <c r="C54" s="22" t="n"/>
      <c r="D54" s="22">
        <f>IF(C54="","",VLOOKUP(C54,'_Données Employés'!$B$5:$S$114,3,FALSE))</f>
        <v/>
      </c>
      <c r="E54" s="22" t="n"/>
      <c r="F54" s="22" t="n"/>
      <c r="G54" s="22" t="n"/>
      <c r="H54" s="22" t="n"/>
      <c r="I54" s="22" t="n"/>
      <c r="J54" s="22" t="n"/>
      <c r="K54" s="22" t="n"/>
      <c r="L54" s="22" t="n"/>
    </row>
    <row r="55" ht="22" customHeight="1">
      <c r="B55" s="21">
        <f>IF(C55="","MUT"&amp;TEXT(COUNTA($C$5:C55),"000"))</f>
        <v/>
      </c>
      <c r="C55" s="21" t="n"/>
      <c r="D55" s="21">
        <f>IF(C55="","",VLOOKUP(C55,'_Données Employés'!$B$5:$S$114,3,FALSE))</f>
        <v/>
      </c>
      <c r="E55" s="21" t="n"/>
      <c r="F55" s="21" t="n"/>
      <c r="G55" s="21" t="n"/>
      <c r="H55" s="21" t="n"/>
      <c r="I55" s="21" t="n"/>
      <c r="J55" s="21" t="n"/>
      <c r="K55" s="21" t="n"/>
      <c r="L55" s="21" t="n"/>
    </row>
    <row r="56" ht="22" customHeight="1">
      <c r="B56" s="22">
        <f>IF(C56="","MUT"&amp;TEXT(COUNTA($C$5:C56),"000"))</f>
        <v/>
      </c>
      <c r="C56" s="22" t="n"/>
      <c r="D56" s="22">
        <f>IF(C56="","",VLOOKUP(C56,'_Données Employés'!$B$5:$S$114,3,FALSE))</f>
        <v/>
      </c>
      <c r="E56" s="22" t="n"/>
      <c r="F56" s="22" t="n"/>
      <c r="G56" s="22" t="n"/>
      <c r="H56" s="22" t="n"/>
      <c r="I56" s="22" t="n"/>
      <c r="J56" s="22" t="n"/>
      <c r="K56" s="22" t="n"/>
      <c r="L56" s="22" t="n"/>
    </row>
    <row r="57" ht="22" customHeight="1">
      <c r="B57" s="21">
        <f>IF(C57="","MUT"&amp;TEXT(COUNTA($C$5:C57),"000"))</f>
        <v/>
      </c>
      <c r="C57" s="21" t="n"/>
      <c r="D57" s="21">
        <f>IF(C57="","",VLOOKUP(C57,'_Données Employés'!$B$5:$S$114,3,FALSE))</f>
        <v/>
      </c>
      <c r="E57" s="21" t="n"/>
      <c r="F57" s="21" t="n"/>
      <c r="G57" s="21" t="n"/>
      <c r="H57" s="21" t="n"/>
      <c r="I57" s="21" t="n"/>
      <c r="J57" s="21" t="n"/>
      <c r="K57" s="21" t="n"/>
      <c r="L57" s="21" t="n"/>
    </row>
    <row r="58" ht="22" customHeight="1">
      <c r="B58" s="22">
        <f>IF(C58="","MUT"&amp;TEXT(COUNTA($C$5:C58),"000"))</f>
        <v/>
      </c>
      <c r="C58" s="22" t="n"/>
      <c r="D58" s="22">
        <f>IF(C58="","",VLOOKUP(C58,'_Données Employés'!$B$5:$S$114,3,FALSE))</f>
        <v/>
      </c>
      <c r="E58" s="22" t="n"/>
      <c r="F58" s="22" t="n"/>
      <c r="G58" s="22" t="n"/>
      <c r="H58" s="22" t="n"/>
      <c r="I58" s="22" t="n"/>
      <c r="J58" s="22" t="n"/>
      <c r="K58" s="22" t="n"/>
      <c r="L58" s="22" t="n"/>
    </row>
    <row r="59" ht="22" customHeight="1">
      <c r="B59" s="21">
        <f>IF(C59="","MUT"&amp;TEXT(COUNTA($C$5:C59),"000"))</f>
        <v/>
      </c>
      <c r="C59" s="21" t="n"/>
      <c r="D59" s="21">
        <f>IF(C59="","",VLOOKUP(C59,'_Données Employés'!$B$5:$S$114,3,FALSE))</f>
        <v/>
      </c>
      <c r="E59" s="21" t="n"/>
      <c r="F59" s="21" t="n"/>
      <c r="G59" s="21" t="n"/>
      <c r="H59" s="21" t="n"/>
      <c r="I59" s="21" t="n"/>
      <c r="J59" s="21" t="n"/>
      <c r="K59" s="21" t="n"/>
      <c r="L59" s="21" t="n"/>
    </row>
    <row r="60" ht="22" customHeight="1">
      <c r="B60" s="22">
        <f>IF(C60="","MUT"&amp;TEXT(COUNTA($C$5:C60),"000"))</f>
        <v/>
      </c>
      <c r="C60" s="22" t="n"/>
      <c r="D60" s="22">
        <f>IF(C60="","",VLOOKUP(C60,'_Données Employés'!$B$5:$S$114,3,FALSE))</f>
        <v/>
      </c>
      <c r="E60" s="22" t="n"/>
      <c r="F60" s="22" t="n"/>
      <c r="G60" s="22" t="n"/>
      <c r="H60" s="22" t="n"/>
      <c r="I60" s="22" t="n"/>
      <c r="J60" s="22" t="n"/>
      <c r="K60" s="22" t="n"/>
      <c r="L60" s="22" t="n"/>
    </row>
    <row r="61" ht="22" customHeight="1">
      <c r="B61" s="21">
        <f>IF(C61="","MUT"&amp;TEXT(COUNTA($C$5:C61),"000"))</f>
        <v/>
      </c>
      <c r="C61" s="21" t="n"/>
      <c r="D61" s="21">
        <f>IF(C61="","",VLOOKUP(C61,'_Données Employés'!$B$5:$S$114,3,FALSE))</f>
        <v/>
      </c>
      <c r="E61" s="21" t="n"/>
      <c r="F61" s="21" t="n"/>
      <c r="G61" s="21" t="n"/>
      <c r="H61" s="21" t="n"/>
      <c r="I61" s="21" t="n"/>
      <c r="J61" s="21" t="n"/>
      <c r="K61" s="21" t="n"/>
      <c r="L61" s="21" t="n"/>
    </row>
    <row r="62" ht="22" customHeight="1">
      <c r="B62" s="22">
        <f>IF(C62="","MUT"&amp;TEXT(COUNTA($C$5:C62),"000"))</f>
        <v/>
      </c>
      <c r="C62" s="22" t="n"/>
      <c r="D62" s="22">
        <f>IF(C62="","",VLOOKUP(C62,'_Données Employés'!$B$5:$S$114,3,FALSE))</f>
        <v/>
      </c>
      <c r="E62" s="22" t="n"/>
      <c r="F62" s="22" t="n"/>
      <c r="G62" s="22" t="n"/>
      <c r="H62" s="22" t="n"/>
      <c r="I62" s="22" t="n"/>
      <c r="J62" s="22" t="n"/>
      <c r="K62" s="22" t="n"/>
      <c r="L62" s="22" t="n"/>
    </row>
    <row r="63" ht="22" customHeight="1">
      <c r="B63" s="21">
        <f>IF(C63="","MUT"&amp;TEXT(COUNTA($C$5:C63),"000"))</f>
        <v/>
      </c>
      <c r="C63" s="21" t="n"/>
      <c r="D63" s="21">
        <f>IF(C63="","",VLOOKUP(C63,'_Données Employés'!$B$5:$S$114,3,FALSE))</f>
        <v/>
      </c>
      <c r="E63" s="21" t="n"/>
      <c r="F63" s="21" t="n"/>
      <c r="G63" s="21" t="n"/>
      <c r="H63" s="21" t="n"/>
      <c r="I63" s="21" t="n"/>
      <c r="J63" s="21" t="n"/>
      <c r="K63" s="21" t="n"/>
      <c r="L63" s="21" t="n"/>
    </row>
    <row r="64" ht="22" customHeight="1">
      <c r="B64" s="22">
        <f>IF(C64="","MUT"&amp;TEXT(COUNTA($C$5:C64),"000"))</f>
        <v/>
      </c>
      <c r="C64" s="22" t="n"/>
      <c r="D64" s="22">
        <f>IF(C64="","",VLOOKUP(C64,'_Données Employés'!$B$5:$S$114,3,FALSE))</f>
        <v/>
      </c>
      <c r="E64" s="22" t="n"/>
      <c r="F64" s="22" t="n"/>
      <c r="G64" s="22" t="n"/>
      <c r="H64" s="22" t="n"/>
      <c r="I64" s="22" t="n"/>
      <c r="J64" s="22" t="n"/>
      <c r="K64" s="22" t="n"/>
      <c r="L64" s="22" t="n"/>
    </row>
    <row r="65" ht="22" customHeight="1">
      <c r="B65" s="21">
        <f>IF(C65="","MUT"&amp;TEXT(COUNTA($C$5:C65),"000"))</f>
        <v/>
      </c>
      <c r="C65" s="21" t="n"/>
      <c r="D65" s="21">
        <f>IF(C65="","",VLOOKUP(C65,'_Données Employés'!$B$5:$S$114,3,FALSE))</f>
        <v/>
      </c>
      <c r="E65" s="21" t="n"/>
      <c r="F65" s="21" t="n"/>
      <c r="G65" s="21" t="n"/>
      <c r="H65" s="21" t="n"/>
      <c r="I65" s="21" t="n"/>
      <c r="J65" s="21" t="n"/>
      <c r="K65" s="21" t="n"/>
      <c r="L65" s="21" t="n"/>
    </row>
    <row r="66" ht="22" customHeight="1">
      <c r="B66" s="22">
        <f>IF(C66="","MUT"&amp;TEXT(COUNTA($C$5:C66),"000"))</f>
        <v/>
      </c>
      <c r="C66" s="22" t="n"/>
      <c r="D66" s="22">
        <f>IF(C66="","",VLOOKUP(C66,'_Données Employés'!$B$5:$S$114,3,FALSE))</f>
        <v/>
      </c>
      <c r="E66" s="22" t="n"/>
      <c r="F66" s="22" t="n"/>
      <c r="G66" s="22" t="n"/>
      <c r="H66" s="22" t="n"/>
      <c r="I66" s="22" t="n"/>
      <c r="J66" s="22" t="n"/>
      <c r="K66" s="22" t="n"/>
      <c r="L66" s="22" t="n"/>
    </row>
    <row r="67" ht="22" customHeight="1">
      <c r="B67" s="21">
        <f>IF(C67="","MUT"&amp;TEXT(COUNTA($C$5:C67),"000"))</f>
        <v/>
      </c>
      <c r="C67" s="21" t="n"/>
      <c r="D67" s="21">
        <f>IF(C67="","",VLOOKUP(C67,'_Données Employés'!$B$5:$S$114,3,FALSE))</f>
        <v/>
      </c>
      <c r="E67" s="21" t="n"/>
      <c r="F67" s="21" t="n"/>
      <c r="G67" s="21" t="n"/>
      <c r="H67" s="21" t="n"/>
      <c r="I67" s="21" t="n"/>
      <c r="J67" s="21" t="n"/>
      <c r="K67" s="21" t="n"/>
      <c r="L67" s="21" t="n"/>
    </row>
    <row r="68" ht="22" customHeight="1">
      <c r="B68" s="22">
        <f>IF(C68="","MUT"&amp;TEXT(COUNTA($C$5:C68),"000"))</f>
        <v/>
      </c>
      <c r="C68" s="22" t="n"/>
      <c r="D68" s="22">
        <f>IF(C68="","",VLOOKUP(C68,'_Données Employés'!$B$5:$S$114,3,FALSE))</f>
        <v/>
      </c>
      <c r="E68" s="22" t="n"/>
      <c r="F68" s="22" t="n"/>
      <c r="G68" s="22" t="n"/>
      <c r="H68" s="22" t="n"/>
      <c r="I68" s="22" t="n"/>
      <c r="J68" s="22" t="n"/>
      <c r="K68" s="22" t="n"/>
      <c r="L68" s="22" t="n"/>
    </row>
    <row r="69" ht="22" customHeight="1">
      <c r="B69" s="21">
        <f>IF(C69="","MUT"&amp;TEXT(COUNTA($C$5:C69),"000"))</f>
        <v/>
      </c>
      <c r="C69" s="21" t="n"/>
      <c r="D69" s="21">
        <f>IF(C69="","",VLOOKUP(C69,'_Données Employés'!$B$5:$S$114,3,FALSE))</f>
        <v/>
      </c>
      <c r="E69" s="21" t="n"/>
      <c r="F69" s="21" t="n"/>
      <c r="G69" s="21" t="n"/>
      <c r="H69" s="21" t="n"/>
      <c r="I69" s="21" t="n"/>
      <c r="J69" s="21" t="n"/>
      <c r="K69" s="21" t="n"/>
      <c r="L69" s="21" t="n"/>
    </row>
    <row r="70" ht="22" customHeight="1">
      <c r="B70" s="22">
        <f>IF(C70="","MUT"&amp;TEXT(COUNTA($C$5:C70),"000"))</f>
        <v/>
      </c>
      <c r="C70" s="22" t="n"/>
      <c r="D70" s="22">
        <f>IF(C70="","",VLOOKUP(C70,'_Données Employés'!$B$5:$S$114,3,FALSE))</f>
        <v/>
      </c>
      <c r="E70" s="22" t="n"/>
      <c r="F70" s="22" t="n"/>
      <c r="G70" s="22" t="n"/>
      <c r="H70" s="22" t="n"/>
      <c r="I70" s="22" t="n"/>
      <c r="J70" s="22" t="n"/>
      <c r="K70" s="22" t="n"/>
      <c r="L70" s="22" t="n"/>
    </row>
    <row r="71" ht="22" customHeight="1">
      <c r="B71" s="21">
        <f>IF(C71="","MUT"&amp;TEXT(COUNTA($C$5:C71),"000"))</f>
        <v/>
      </c>
      <c r="C71" s="21" t="n"/>
      <c r="D71" s="21">
        <f>IF(C71="","",VLOOKUP(C71,'_Données Employés'!$B$5:$S$114,3,FALSE))</f>
        <v/>
      </c>
      <c r="E71" s="21" t="n"/>
      <c r="F71" s="21" t="n"/>
      <c r="G71" s="21" t="n"/>
      <c r="H71" s="21" t="n"/>
      <c r="I71" s="21" t="n"/>
      <c r="J71" s="21" t="n"/>
      <c r="K71" s="21" t="n"/>
      <c r="L71" s="21" t="n"/>
    </row>
    <row r="72" ht="22" customHeight="1">
      <c r="B72" s="22">
        <f>IF(C72="","MUT"&amp;TEXT(COUNTA($C$5:C72),"000"))</f>
        <v/>
      </c>
      <c r="C72" s="22" t="n"/>
      <c r="D72" s="22">
        <f>IF(C72="","",VLOOKUP(C72,'_Données Employés'!$B$5:$S$114,3,FALSE))</f>
        <v/>
      </c>
      <c r="E72" s="22" t="n"/>
      <c r="F72" s="22" t="n"/>
      <c r="G72" s="22" t="n"/>
      <c r="H72" s="22" t="n"/>
      <c r="I72" s="22" t="n"/>
      <c r="J72" s="22" t="n"/>
      <c r="K72" s="22" t="n"/>
      <c r="L72" s="22" t="n"/>
    </row>
    <row r="73" ht="22" customHeight="1">
      <c r="B73" s="21">
        <f>IF(C73="","MUT"&amp;TEXT(COUNTA($C$5:C73),"000"))</f>
        <v/>
      </c>
      <c r="C73" s="21" t="n"/>
      <c r="D73" s="21">
        <f>IF(C73="","",VLOOKUP(C73,'_Données Employés'!$B$5:$S$114,3,FALSE))</f>
        <v/>
      </c>
      <c r="E73" s="21" t="n"/>
      <c r="F73" s="21" t="n"/>
      <c r="G73" s="21" t="n"/>
      <c r="H73" s="21" t="n"/>
      <c r="I73" s="21" t="n"/>
      <c r="J73" s="21" t="n"/>
      <c r="K73" s="21" t="n"/>
      <c r="L73" s="21" t="n"/>
    </row>
    <row r="74" ht="22" customHeight="1">
      <c r="B74" s="22">
        <f>IF(C74="","MUT"&amp;TEXT(COUNTA($C$5:C74),"000"))</f>
        <v/>
      </c>
      <c r="C74" s="22" t="n"/>
      <c r="D74" s="22">
        <f>IF(C74="","",VLOOKUP(C74,'_Données Employés'!$B$5:$S$114,3,FALSE))</f>
        <v/>
      </c>
      <c r="E74" s="22" t="n"/>
      <c r="F74" s="22" t="n"/>
      <c r="G74" s="22" t="n"/>
      <c r="H74" s="22" t="n"/>
      <c r="I74" s="22" t="n"/>
      <c r="J74" s="22" t="n"/>
      <c r="K74" s="22" t="n"/>
      <c r="L74" s="22" t="n"/>
    </row>
    <row r="75" ht="22" customHeight="1">
      <c r="B75" s="21">
        <f>IF(C75="","MUT"&amp;TEXT(COUNTA($C$5:C75),"000"))</f>
        <v/>
      </c>
      <c r="C75" s="21" t="n"/>
      <c r="D75" s="21">
        <f>IF(C75="","",VLOOKUP(C75,'_Données Employés'!$B$5:$S$114,3,FALSE))</f>
        <v/>
      </c>
      <c r="E75" s="21" t="n"/>
      <c r="F75" s="21" t="n"/>
      <c r="G75" s="21" t="n"/>
      <c r="H75" s="21" t="n"/>
      <c r="I75" s="21" t="n"/>
      <c r="J75" s="21" t="n"/>
      <c r="K75" s="21" t="n"/>
      <c r="L75" s="21" t="n"/>
    </row>
    <row r="76" ht="22" customHeight="1">
      <c r="B76" s="22">
        <f>IF(C76="","MUT"&amp;TEXT(COUNTA($C$5:C76),"000"))</f>
        <v/>
      </c>
      <c r="C76" s="22" t="n"/>
      <c r="D76" s="22">
        <f>IF(C76="","",VLOOKUP(C76,'_Données Employés'!$B$5:$S$114,3,FALSE))</f>
        <v/>
      </c>
      <c r="E76" s="22" t="n"/>
      <c r="F76" s="22" t="n"/>
      <c r="G76" s="22" t="n"/>
      <c r="H76" s="22" t="n"/>
      <c r="I76" s="22" t="n"/>
      <c r="J76" s="22" t="n"/>
      <c r="K76" s="22" t="n"/>
      <c r="L76" s="22" t="n"/>
    </row>
    <row r="77" ht="22" customHeight="1">
      <c r="B77" s="21">
        <f>IF(C77="","MUT"&amp;TEXT(COUNTA($C$5:C77),"000"))</f>
        <v/>
      </c>
      <c r="C77" s="21" t="n"/>
      <c r="D77" s="21">
        <f>IF(C77="","",VLOOKUP(C77,'_Données Employés'!$B$5:$S$114,3,FALSE))</f>
        <v/>
      </c>
      <c r="E77" s="21" t="n"/>
      <c r="F77" s="21" t="n"/>
      <c r="G77" s="21" t="n"/>
      <c r="H77" s="21" t="n"/>
      <c r="I77" s="21" t="n"/>
      <c r="J77" s="21" t="n"/>
      <c r="K77" s="21" t="n"/>
      <c r="L77" s="21" t="n"/>
    </row>
    <row r="78" ht="22" customHeight="1">
      <c r="B78" s="22">
        <f>IF(C78="","MUT"&amp;TEXT(COUNTA($C$5:C78),"000"))</f>
        <v/>
      </c>
      <c r="C78" s="22" t="n"/>
      <c r="D78" s="22">
        <f>IF(C78="","",VLOOKUP(C78,'_Données Employés'!$B$5:$S$114,3,FALSE))</f>
        <v/>
      </c>
      <c r="E78" s="22" t="n"/>
      <c r="F78" s="22" t="n"/>
      <c r="G78" s="22" t="n"/>
      <c r="H78" s="22" t="n"/>
      <c r="I78" s="22" t="n"/>
      <c r="J78" s="22" t="n"/>
      <c r="K78" s="22" t="n"/>
      <c r="L78" s="22" t="n"/>
    </row>
    <row r="79" ht="22" customHeight="1">
      <c r="B79" s="21">
        <f>IF(C79="","MUT"&amp;TEXT(COUNTA($C$5:C79),"000"))</f>
        <v/>
      </c>
      <c r="C79" s="21" t="n"/>
      <c r="D79" s="21">
        <f>IF(C79="","",VLOOKUP(C79,'_Données Employés'!$B$5:$S$114,3,FALSE))</f>
        <v/>
      </c>
      <c r="E79" s="21" t="n"/>
      <c r="F79" s="21" t="n"/>
      <c r="G79" s="21" t="n"/>
      <c r="H79" s="21" t="n"/>
      <c r="I79" s="21" t="n"/>
      <c r="J79" s="21" t="n"/>
      <c r="K79" s="21" t="n"/>
      <c r="L79" s="21" t="n"/>
    </row>
    <row r="80" ht="22" customHeight="1">
      <c r="B80" s="22">
        <f>IF(C80="","MUT"&amp;TEXT(COUNTA($C$5:C80),"000"))</f>
        <v/>
      </c>
      <c r="C80" s="22" t="n"/>
      <c r="D80" s="22">
        <f>IF(C80="","",VLOOKUP(C80,'_Données Employés'!$B$5:$S$114,3,FALSE))</f>
        <v/>
      </c>
      <c r="E80" s="22" t="n"/>
      <c r="F80" s="22" t="n"/>
      <c r="G80" s="22" t="n"/>
      <c r="H80" s="22" t="n"/>
      <c r="I80" s="22" t="n"/>
      <c r="J80" s="22" t="n"/>
      <c r="K80" s="22" t="n"/>
      <c r="L80" s="22" t="n"/>
    </row>
    <row r="81" ht="22" customHeight="1">
      <c r="B81" s="21">
        <f>IF(C81="","MUT"&amp;TEXT(COUNTA($C$5:C81),"000"))</f>
        <v/>
      </c>
      <c r="C81" s="21" t="n"/>
      <c r="D81" s="21">
        <f>IF(C81="","",VLOOKUP(C81,'_Données Employés'!$B$5:$S$114,3,FALSE))</f>
        <v/>
      </c>
      <c r="E81" s="21" t="n"/>
      <c r="F81" s="21" t="n"/>
      <c r="G81" s="21" t="n"/>
      <c r="H81" s="21" t="n"/>
      <c r="I81" s="21" t="n"/>
      <c r="J81" s="21" t="n"/>
      <c r="K81" s="21" t="n"/>
      <c r="L81" s="21" t="n"/>
    </row>
    <row r="82" ht="22" customHeight="1">
      <c r="B82" s="22">
        <f>IF(C82="","MUT"&amp;TEXT(COUNTA($C$5:C82),"000"))</f>
        <v/>
      </c>
      <c r="C82" s="22" t="n"/>
      <c r="D82" s="22">
        <f>IF(C82="","",VLOOKUP(C82,'_Données Employés'!$B$5:$S$114,3,FALSE))</f>
        <v/>
      </c>
      <c r="E82" s="22" t="n"/>
      <c r="F82" s="22" t="n"/>
      <c r="G82" s="22" t="n"/>
      <c r="H82" s="22" t="n"/>
      <c r="I82" s="22" t="n"/>
      <c r="J82" s="22" t="n"/>
      <c r="K82" s="22" t="n"/>
      <c r="L82" s="22" t="n"/>
    </row>
    <row r="83" ht="22" customHeight="1">
      <c r="B83" s="21">
        <f>IF(C83="","MUT"&amp;TEXT(COUNTA($C$5:C83),"000"))</f>
        <v/>
      </c>
      <c r="C83" s="21" t="n"/>
      <c r="D83" s="21">
        <f>IF(C83="","",VLOOKUP(C83,'_Données Employés'!$B$5:$S$114,3,FALSE))</f>
        <v/>
      </c>
      <c r="E83" s="21" t="n"/>
      <c r="F83" s="21" t="n"/>
      <c r="G83" s="21" t="n"/>
      <c r="H83" s="21" t="n"/>
      <c r="I83" s="21" t="n"/>
      <c r="J83" s="21" t="n"/>
      <c r="K83" s="21" t="n"/>
      <c r="L83" s="21" t="n"/>
    </row>
    <row r="84" ht="22" customHeight="1">
      <c r="B84" s="22">
        <f>IF(C84="","MUT"&amp;TEXT(COUNTA($C$5:C84),"000"))</f>
        <v/>
      </c>
      <c r="C84" s="22" t="n"/>
      <c r="D84" s="22">
        <f>IF(C84="","",VLOOKUP(C84,'_Données Employés'!$B$5:$S$114,3,FALSE))</f>
        <v/>
      </c>
      <c r="E84" s="22" t="n"/>
      <c r="F84" s="22" t="n"/>
      <c r="G84" s="22" t="n"/>
      <c r="H84" s="22" t="n"/>
      <c r="I84" s="22" t="n"/>
      <c r="J84" s="22" t="n"/>
      <c r="K84" s="22" t="n"/>
      <c r="L84" s="22" t="n"/>
    </row>
    <row r="85" ht="22" customHeight="1">
      <c r="B85" s="21">
        <f>IF(C85="","MUT"&amp;TEXT(COUNTA($C$5:C85),"000"))</f>
        <v/>
      </c>
      <c r="C85" s="21" t="n"/>
      <c r="D85" s="21">
        <f>IF(C85="","",VLOOKUP(C85,'_Données Employés'!$B$5:$S$114,3,FALSE))</f>
        <v/>
      </c>
      <c r="E85" s="21" t="n"/>
      <c r="F85" s="21" t="n"/>
      <c r="G85" s="21" t="n"/>
      <c r="H85" s="21" t="n"/>
      <c r="I85" s="21" t="n"/>
      <c r="J85" s="21" t="n"/>
      <c r="K85" s="21" t="n"/>
      <c r="L85" s="21" t="n"/>
    </row>
    <row r="86" ht="22" customHeight="1">
      <c r="B86" s="22">
        <f>IF(C86="","MUT"&amp;TEXT(COUNTA($C$5:C86),"000"))</f>
        <v/>
      </c>
      <c r="C86" s="22" t="n"/>
      <c r="D86" s="22">
        <f>IF(C86="","",VLOOKUP(C86,'_Données Employés'!$B$5:$S$114,3,FALSE))</f>
        <v/>
      </c>
      <c r="E86" s="22" t="n"/>
      <c r="F86" s="22" t="n"/>
      <c r="G86" s="22" t="n"/>
      <c r="H86" s="22" t="n"/>
      <c r="I86" s="22" t="n"/>
      <c r="J86" s="22" t="n"/>
      <c r="K86" s="22" t="n"/>
      <c r="L86" s="22" t="n"/>
    </row>
    <row r="87" ht="22" customHeight="1">
      <c r="B87" s="21">
        <f>IF(C87="","MUT"&amp;TEXT(COUNTA($C$5:C87),"000"))</f>
        <v/>
      </c>
      <c r="C87" s="21" t="n"/>
      <c r="D87" s="21">
        <f>IF(C87="","",VLOOKUP(C87,'_Données Employés'!$B$5:$S$114,3,FALSE))</f>
        <v/>
      </c>
      <c r="E87" s="21" t="n"/>
      <c r="F87" s="21" t="n"/>
      <c r="G87" s="21" t="n"/>
      <c r="H87" s="21" t="n"/>
      <c r="I87" s="21" t="n"/>
      <c r="J87" s="21" t="n"/>
      <c r="K87" s="21" t="n"/>
      <c r="L87" s="21" t="n"/>
    </row>
    <row r="88" ht="22" customHeight="1">
      <c r="B88" s="22">
        <f>IF(C88="","MUT"&amp;TEXT(COUNTA($C$5:C88),"000"))</f>
        <v/>
      </c>
      <c r="C88" s="22" t="n"/>
      <c r="D88" s="22">
        <f>IF(C88="","",VLOOKUP(C88,'_Données Employés'!$B$5:$S$114,3,FALSE))</f>
        <v/>
      </c>
      <c r="E88" s="22" t="n"/>
      <c r="F88" s="22" t="n"/>
      <c r="G88" s="22" t="n"/>
      <c r="H88" s="22" t="n"/>
      <c r="I88" s="22" t="n"/>
      <c r="J88" s="22" t="n"/>
      <c r="K88" s="22" t="n"/>
      <c r="L88" s="22" t="n"/>
    </row>
    <row r="89" ht="22" customHeight="1">
      <c r="B89" s="21">
        <f>IF(C89="","MUT"&amp;TEXT(COUNTA($C$5:C89),"000"))</f>
        <v/>
      </c>
      <c r="C89" s="21" t="n"/>
      <c r="D89" s="21">
        <f>IF(C89="","",VLOOKUP(C89,'_Données Employés'!$B$5:$S$114,3,FALSE))</f>
        <v/>
      </c>
      <c r="E89" s="21" t="n"/>
      <c r="F89" s="21" t="n"/>
      <c r="G89" s="21" t="n"/>
      <c r="H89" s="21" t="n"/>
      <c r="I89" s="21" t="n"/>
      <c r="J89" s="21" t="n"/>
      <c r="K89" s="21" t="n"/>
      <c r="L89" s="21" t="n"/>
    </row>
    <row r="90" ht="22" customHeight="1">
      <c r="B90" s="22">
        <f>IF(C90="","MUT"&amp;TEXT(COUNTA($C$5:C90),"000"))</f>
        <v/>
      </c>
      <c r="C90" s="22" t="n"/>
      <c r="D90" s="22">
        <f>IF(C90="","",VLOOKUP(C90,'_Données Employés'!$B$5:$S$114,3,FALSE))</f>
        <v/>
      </c>
      <c r="E90" s="22" t="n"/>
      <c r="F90" s="22" t="n"/>
      <c r="G90" s="22" t="n"/>
      <c r="H90" s="22" t="n"/>
      <c r="I90" s="22" t="n"/>
      <c r="J90" s="22" t="n"/>
      <c r="K90" s="22" t="n"/>
      <c r="L90" s="22" t="n"/>
    </row>
    <row r="91" ht="22" customHeight="1">
      <c r="B91" s="21">
        <f>IF(C91="","MUT"&amp;TEXT(COUNTA($C$5:C91),"000"))</f>
        <v/>
      </c>
      <c r="C91" s="21" t="n"/>
      <c r="D91" s="21">
        <f>IF(C91="","",VLOOKUP(C91,'_Données Employés'!$B$5:$S$114,3,FALSE))</f>
        <v/>
      </c>
      <c r="E91" s="21" t="n"/>
      <c r="F91" s="21" t="n"/>
      <c r="G91" s="21" t="n"/>
      <c r="H91" s="21" t="n"/>
      <c r="I91" s="21" t="n"/>
      <c r="J91" s="21" t="n"/>
      <c r="K91" s="21" t="n"/>
      <c r="L91" s="21" t="n"/>
    </row>
    <row r="92" ht="22" customHeight="1">
      <c r="B92" s="22">
        <f>IF(C92="","MUT"&amp;TEXT(COUNTA($C$5:C92),"000"))</f>
        <v/>
      </c>
      <c r="C92" s="22" t="n"/>
      <c r="D92" s="22">
        <f>IF(C92="","",VLOOKUP(C92,'_Données Employés'!$B$5:$S$114,3,FALSE))</f>
        <v/>
      </c>
      <c r="E92" s="22" t="n"/>
      <c r="F92" s="22" t="n"/>
      <c r="G92" s="22" t="n"/>
      <c r="H92" s="22" t="n"/>
      <c r="I92" s="22" t="n"/>
      <c r="J92" s="22" t="n"/>
      <c r="K92" s="22" t="n"/>
      <c r="L92" s="22" t="n"/>
    </row>
    <row r="93" ht="22" customHeight="1">
      <c r="B93" s="21">
        <f>IF(C93="","MUT"&amp;TEXT(COUNTA($C$5:C93),"000"))</f>
        <v/>
      </c>
      <c r="C93" s="21" t="n"/>
      <c r="D93" s="21">
        <f>IF(C93="","",VLOOKUP(C93,'_Données Employés'!$B$5:$S$114,3,FALSE))</f>
        <v/>
      </c>
      <c r="E93" s="21" t="n"/>
      <c r="F93" s="21" t="n"/>
      <c r="G93" s="21" t="n"/>
      <c r="H93" s="21" t="n"/>
      <c r="I93" s="21" t="n"/>
      <c r="J93" s="21" t="n"/>
      <c r="K93" s="21" t="n"/>
      <c r="L93" s="21" t="n"/>
    </row>
    <row r="94" ht="22" customHeight="1">
      <c r="B94" s="22">
        <f>IF(C94="","MUT"&amp;TEXT(COUNTA($C$5:C94),"000"))</f>
        <v/>
      </c>
      <c r="C94" s="22" t="n"/>
      <c r="D94" s="22">
        <f>IF(C94="","",VLOOKUP(C94,'_Données Employés'!$B$5:$S$114,3,FALSE))</f>
        <v/>
      </c>
      <c r="E94" s="22" t="n"/>
      <c r="F94" s="22" t="n"/>
      <c r="G94" s="22" t="n"/>
      <c r="H94" s="22" t="n"/>
      <c r="I94" s="22" t="n"/>
      <c r="J94" s="22" t="n"/>
      <c r="K94" s="22" t="n"/>
      <c r="L94" s="22" t="n"/>
    </row>
    <row r="95" ht="22" customHeight="1">
      <c r="B95" s="21">
        <f>IF(C95="","MUT"&amp;TEXT(COUNTA($C$5:C95),"000"))</f>
        <v/>
      </c>
      <c r="C95" s="21" t="n"/>
      <c r="D95" s="21">
        <f>IF(C95="","",VLOOKUP(C95,'_Données Employés'!$B$5:$S$114,3,FALSE))</f>
        <v/>
      </c>
      <c r="E95" s="21" t="n"/>
      <c r="F95" s="21" t="n"/>
      <c r="G95" s="21" t="n"/>
      <c r="H95" s="21" t="n"/>
      <c r="I95" s="21" t="n"/>
      <c r="J95" s="21" t="n"/>
      <c r="K95" s="21" t="n"/>
      <c r="L95" s="21" t="n"/>
    </row>
    <row r="96" ht="22" customHeight="1">
      <c r="B96" s="22">
        <f>IF(C96="","MUT"&amp;TEXT(COUNTA($C$5:C96),"000"))</f>
        <v/>
      </c>
      <c r="C96" s="22" t="n"/>
      <c r="D96" s="22">
        <f>IF(C96="","",VLOOKUP(C96,'_Données Employés'!$B$5:$S$114,3,FALSE))</f>
        <v/>
      </c>
      <c r="E96" s="22" t="n"/>
      <c r="F96" s="22" t="n"/>
      <c r="G96" s="22" t="n"/>
      <c r="H96" s="22" t="n"/>
      <c r="I96" s="22" t="n"/>
      <c r="J96" s="22" t="n"/>
      <c r="K96" s="22" t="n"/>
      <c r="L96" s="22" t="n"/>
    </row>
    <row r="97" ht="22" customHeight="1">
      <c r="B97" s="21">
        <f>IF(C97="","MUT"&amp;TEXT(COUNTA($C$5:C97),"000"))</f>
        <v/>
      </c>
      <c r="C97" s="21" t="n"/>
      <c r="D97" s="21">
        <f>IF(C97="","",VLOOKUP(C97,'_Données Employés'!$B$5:$S$114,3,FALSE))</f>
        <v/>
      </c>
      <c r="E97" s="21" t="n"/>
      <c r="F97" s="21" t="n"/>
      <c r="G97" s="21" t="n"/>
      <c r="H97" s="21" t="n"/>
      <c r="I97" s="21" t="n"/>
      <c r="J97" s="21" t="n"/>
      <c r="K97" s="21" t="n"/>
      <c r="L97" s="21" t="n"/>
    </row>
    <row r="98" ht="22" customHeight="1">
      <c r="B98" s="22">
        <f>IF(C98="","MUT"&amp;TEXT(COUNTA($C$5:C98),"000"))</f>
        <v/>
      </c>
      <c r="C98" s="22" t="n"/>
      <c r="D98" s="22">
        <f>IF(C98="","",VLOOKUP(C98,'_Données Employés'!$B$5:$S$114,3,FALSE))</f>
        <v/>
      </c>
      <c r="E98" s="22" t="n"/>
      <c r="F98" s="22" t="n"/>
      <c r="G98" s="22" t="n"/>
      <c r="H98" s="22" t="n"/>
      <c r="I98" s="22" t="n"/>
      <c r="J98" s="22" t="n"/>
      <c r="K98" s="22" t="n"/>
      <c r="L98" s="22" t="n"/>
    </row>
    <row r="99" ht="22" customHeight="1">
      <c r="B99" s="21">
        <f>IF(C99="","MUT"&amp;TEXT(COUNTA($C$5:C99),"000"))</f>
        <v/>
      </c>
      <c r="C99" s="21" t="n"/>
      <c r="D99" s="21">
        <f>IF(C99="","",VLOOKUP(C99,'_Données Employés'!$B$5:$S$114,3,FALSE))</f>
        <v/>
      </c>
      <c r="E99" s="21" t="n"/>
      <c r="F99" s="21" t="n"/>
      <c r="G99" s="21" t="n"/>
      <c r="H99" s="21" t="n"/>
      <c r="I99" s="21" t="n"/>
      <c r="J99" s="21" t="n"/>
      <c r="K99" s="21" t="n"/>
      <c r="L99" s="21" t="n"/>
    </row>
    <row r="100" ht="22" customHeight="1">
      <c r="B100" s="22">
        <f>IF(C100="","MUT"&amp;TEXT(COUNTA($C$5:C100),"000"))</f>
        <v/>
      </c>
      <c r="C100" s="22" t="n"/>
      <c r="D100" s="22">
        <f>IF(C100="","",VLOOKUP(C100,'_Données Employés'!$B$5:$S$114,3,FALSE))</f>
        <v/>
      </c>
      <c r="E100" s="22" t="n"/>
      <c r="F100" s="22" t="n"/>
      <c r="G100" s="22" t="n"/>
      <c r="H100" s="22" t="n"/>
      <c r="I100" s="22" t="n"/>
      <c r="J100" s="22" t="n"/>
      <c r="K100" s="22" t="n"/>
      <c r="L100" s="22" t="n"/>
    </row>
    <row r="101" ht="22" customHeight="1">
      <c r="B101" s="21">
        <f>IF(C101="","MUT"&amp;TEXT(COUNTA($C$5:C101),"000"))</f>
        <v/>
      </c>
      <c r="C101" s="21" t="n"/>
      <c r="D101" s="21">
        <f>IF(C101="","",VLOOKUP(C101,'_Données Employés'!$B$5:$S$114,3,FALSE))</f>
        <v/>
      </c>
      <c r="E101" s="21" t="n"/>
      <c r="F101" s="21" t="n"/>
      <c r="G101" s="21" t="n"/>
      <c r="H101" s="21" t="n"/>
      <c r="I101" s="21" t="n"/>
      <c r="J101" s="21" t="n"/>
      <c r="K101" s="21" t="n"/>
      <c r="L101" s="21" t="n"/>
    </row>
    <row r="102" ht="22" customHeight="1">
      <c r="B102" s="22">
        <f>IF(C102="","MUT"&amp;TEXT(COUNTA($C$5:C102),"000"))</f>
        <v/>
      </c>
      <c r="C102" s="22" t="n"/>
      <c r="D102" s="22">
        <f>IF(C102="","",VLOOKUP(C102,'_Données Employés'!$B$5:$S$114,3,FALSE))</f>
        <v/>
      </c>
      <c r="E102" s="22" t="n"/>
      <c r="F102" s="22" t="n"/>
      <c r="G102" s="22" t="n"/>
      <c r="H102" s="22" t="n"/>
      <c r="I102" s="22" t="n"/>
      <c r="J102" s="22" t="n"/>
      <c r="K102" s="22" t="n"/>
      <c r="L102" s="22" t="n"/>
    </row>
    <row r="103" ht="22" customHeight="1">
      <c r="B103" s="21">
        <f>IF(C103="","MUT"&amp;TEXT(COUNTA($C$5:C103),"000"))</f>
        <v/>
      </c>
      <c r="C103" s="21" t="n"/>
      <c r="D103" s="21">
        <f>IF(C103="","",VLOOKUP(C103,'_Données Employés'!$B$5:$S$114,3,FALSE))</f>
        <v/>
      </c>
      <c r="E103" s="21" t="n"/>
      <c r="F103" s="21" t="n"/>
      <c r="G103" s="21" t="n"/>
      <c r="H103" s="21" t="n"/>
      <c r="I103" s="21" t="n"/>
      <c r="J103" s="21" t="n"/>
      <c r="K103" s="21" t="n"/>
      <c r="L103" s="21" t="n"/>
    </row>
    <row r="104" ht="22" customHeight="1">
      <c r="B104" s="22">
        <f>IF(C104="","MUT"&amp;TEXT(COUNTA($C$5:C104),"000"))</f>
        <v/>
      </c>
      <c r="C104" s="22" t="n"/>
      <c r="D104" s="22">
        <f>IF(C104="","",VLOOKUP(C104,'_Données Employés'!$B$5:$S$114,3,FALSE))</f>
        <v/>
      </c>
      <c r="E104" s="22" t="n"/>
      <c r="F104" s="22" t="n"/>
      <c r="G104" s="22" t="n"/>
      <c r="H104" s="22" t="n"/>
      <c r="I104" s="22" t="n"/>
      <c r="J104" s="22" t="n"/>
      <c r="K104" s="22" t="n"/>
      <c r="L104" s="22" t="n"/>
    </row>
    <row r="107">
      <c r="B107" s="23" t="inlineStr">
        <is>
          <t>KPI Total cotisations (FCFA)</t>
        </is>
      </c>
      <c r="C107" s="23" t="inlineStr">
        <is>
          <t>KPI Part employeur totale (FCFA)</t>
        </is>
      </c>
      <c r="D107" s="23" t="inlineStr">
        <is>
          <t>KPI Adhérents actifs</t>
        </is>
      </c>
    </row>
    <row r="108">
      <c r="B108" s="25">
        <f>SUM(H5:H104)</f>
        <v/>
      </c>
      <c r="C108" s="25">
        <f>SUM(K5:K104)</f>
        <v/>
      </c>
      <c r="D108" s="24">
        <f>COUNTIF(L5:L104,"Actif")</f>
        <v/>
      </c>
    </row>
  </sheetData>
  <mergeCells count="1">
    <mergeCell ref="B2:L2"/>
  </mergeCells>
  <conditionalFormatting sqref="L5:L104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"Solde"</formula>
    </cfRule>
    <cfRule type="cellIs" priority="4" operator="equal" dxfId="1">
      <formula>"Actif"</formula>
    </cfRule>
    <cfRule type="cellIs" priority="5" operator="equal" dxfId="1">
      <formula>"Oui"</formula>
    </cfRule>
    <cfRule type="cellIs" priority="6" operator="equal" dxfId="2">
      <formula>"Rejete"</formula>
    </cfRule>
    <cfRule type="cellIs" priority="7" operator="equal" dxfId="2">
      <formula>"En retard"</formula>
    </cfRule>
    <cfRule type="cellIs" priority="8" operator="equal" dxfId="2">
      <formula>"Refuse"</formula>
    </cfRule>
    <cfRule type="cellIs" priority="9" operator="equal" dxfId="2">
      <formula>"Annule"</formula>
    </cfRule>
    <cfRule type="cellIs" priority="10" operator="equal" dxfId="2">
      <formula>"Non"</formula>
    </cfRule>
    <cfRule type="cellIs" priority="11" operator="equal" dxfId="3">
      <formula>"En attente"</formula>
    </cfRule>
    <cfRule type="cellIs" priority="12" operator="equal" dxfId="3">
      <formula>"En cours"</formula>
    </cfRule>
    <cfRule type="cellIs" priority="13" operator="equal" dxfId="3">
      <formula>"Brouillon"</formula>
    </cfRule>
    <cfRule type="cellIs" priority="14" operator="equal" dxfId="3">
      <formula>"Demande"</formula>
    </cfRule>
    <cfRule type="cellIs" priority="15" operator="equal" dxfId="3">
      <formula>"Partiellement monetise"</formula>
    </cfRule>
  </conditionalFormatting>
  <conditionalFormatting sqref="J5:J104">
    <cfRule type="dataBar" priority="16">
      <dataBar>
        <cfvo type="num" val="0"/>
        <cfvo type="num" val="1"/>
        <color rgb="001B2A4A"/>
      </dataBar>
    </cfRule>
  </conditionalFormatting>
  <conditionalFormatting sqref="K5:K104">
    <cfRule type="dataBar" priority="17">
      <dataBar>
        <cfvo type="num" val="0"/>
        <cfvo type="num" val="1"/>
        <color rgb="001B2A4A"/>
      </dataBar>
    </cfRule>
  </conditionalFormatting>
  <conditionalFormatting sqref="I5:I104">
    <cfRule type="dataBar" priority="18">
      <dataBar>
        <cfvo type="num" val="0"/>
        <cfvo type="num" val="1"/>
        <color rgb="001B2A4A"/>
      </dataBar>
    </cfRule>
  </conditionalFormatting>
  <conditionalFormatting sqref="B108">
    <cfRule type="cellIs" priority="19" operator="greaterThan" dxfId="0">
      <formula>0</formula>
    </cfRule>
  </conditionalFormatting>
  <conditionalFormatting sqref="C108">
    <cfRule type="cellIs" priority="20" operator="greaterThan" dxfId="0">
      <formula>0</formula>
    </cfRule>
  </conditionalFormatting>
  <conditionalFormatting sqref="D108">
    <cfRule type="cellIs" priority="21" operator="greaterThan" dxfId="0">
      <formula>0</formula>
    </cfRule>
  </conditionalFormatting>
  <dataValidations count="3">
    <dataValidation sqref="H5:H104" showDropDown="0" showInputMessage="0" showErrorMessage="0" allowBlank="1" type="list">
      <formula1>'_Lists'!$Z$2:$Z$6</formula1>
    </dataValidation>
    <dataValidation sqref="L5:L104" showDropDown="0" showInputMessage="0" showErrorMessage="0" allowBlank="1" type="list">
      <formula1>'_Lists'!$W$2:$W$4</formula1>
    </dataValidation>
    <dataValidation sqref="C5:C104" showDropDown="0" showInputMessage="0" showErrorMessage="0" allowBlank="1" promptTitle="Matricule Employé" prompt="Choisir un matricule" type="list">
      <formula1>'_Données Employés'!$B$5:$B$114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F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22" customWidth="1" min="4" max="4"/>
    <col width="18" customWidth="1" min="5" max="5"/>
  </cols>
  <sheetData>
    <row r="2" ht="32" customHeight="1">
      <c r="B2" s="58" t="inlineStr">
        <is>
          <t>PARAMÈTRES DE PAIE — Taux et barèmes applicables</t>
        </is>
      </c>
    </row>
    <row r="4">
      <c r="B4" s="35" t="inlineStr">
        <is>
          <t>COTISATIONS SOCIALES</t>
        </is>
      </c>
      <c r="C4" s="27" t="inlineStr"/>
      <c r="D4" s="59" t="inlineStr"/>
      <c r="E4" s="59" t="inlineStr"/>
    </row>
    <row r="5">
      <c r="B5" s="27" t="inlineStr"/>
      <c r="C5" s="60" t="inlineStr">
        <is>
          <t>Type</t>
        </is>
      </c>
      <c r="D5" s="60" t="inlineStr">
        <is>
          <t>Taux Employé (%)</t>
        </is>
      </c>
      <c r="E5" s="60" t="inlineStr">
        <is>
          <t>Taux Employeur (%)</t>
        </is>
      </c>
    </row>
    <row r="6">
      <c r="B6" s="27" t="inlineStr"/>
      <c r="C6" s="61" t="inlineStr">
        <is>
          <t>CNPS</t>
        </is>
      </c>
      <c r="D6" s="59" t="n">
        <v>2.8</v>
      </c>
      <c r="E6" s="59" t="n">
        <v>4.2</v>
      </c>
    </row>
    <row r="7">
      <c r="B7" s="27" t="inlineStr"/>
      <c r="C7" s="61" t="inlineStr">
        <is>
          <t>CNAMGS</t>
        </is>
      </c>
      <c r="D7" s="59" t="n">
        <v>1.5</v>
      </c>
      <c r="E7" s="59" t="n">
        <v>3</v>
      </c>
    </row>
    <row r="8">
      <c r="B8" s="27" t="inlineStr"/>
      <c r="C8" s="61" t="inlineStr">
        <is>
          <t>Fonds de Garantie</t>
        </is>
      </c>
      <c r="D8" s="59" t="n">
        <v>0</v>
      </c>
      <c r="E8" s="59" t="n">
        <v>1</v>
      </c>
    </row>
    <row r="9">
      <c r="B9" s="27" t="inlineStr"/>
      <c r="C9" s="61" t="inlineStr"/>
      <c r="D9" s="81">
        <f>SUM(D7:D9)/100</f>
        <v/>
      </c>
      <c r="E9" s="81">
        <f>SUM(E7:E9)/100</f>
        <v/>
      </c>
    </row>
    <row r="10">
      <c r="B10" s="27" t="inlineStr"/>
      <c r="C10" s="27" t="inlineStr"/>
      <c r="D10" s="59" t="inlineStr"/>
      <c r="E10" s="59" t="inlineStr"/>
    </row>
    <row r="11">
      <c r="B11" s="35" t="inlineStr">
        <is>
          <t>BARÈME IR SUR SALAIRES</t>
        </is>
      </c>
      <c r="C11" s="27" t="inlineStr"/>
      <c r="D11" s="59" t="inlineStr"/>
      <c r="E11" s="59" t="inlineStr"/>
    </row>
    <row r="12">
      <c r="B12" s="27" t="inlineStr"/>
      <c r="C12" s="61" t="inlineStr">
        <is>
          <t>Tranche Inf. (FCFA)</t>
        </is>
      </c>
      <c r="D12" s="59" t="inlineStr">
        <is>
          <t>Tranche Sup. (FCFA)</t>
        </is>
      </c>
      <c r="E12" s="59" t="inlineStr">
        <is>
          <t>Taux (%)</t>
        </is>
      </c>
    </row>
    <row r="13">
      <c r="B13" s="27" t="inlineStr"/>
      <c r="C13" s="27" t="n">
        <v>0</v>
      </c>
      <c r="D13" s="29" t="n">
        <v>62000</v>
      </c>
      <c r="E13" s="59" t="n">
        <v>0</v>
      </c>
    </row>
    <row r="14">
      <c r="B14" s="27" t="inlineStr"/>
      <c r="C14" s="61" t="n">
        <v>62001</v>
      </c>
      <c r="D14" s="29" t="n">
        <v>146000</v>
      </c>
      <c r="E14" s="59" t="n">
        <v>10</v>
      </c>
    </row>
    <row r="15">
      <c r="B15" s="27" t="inlineStr"/>
      <c r="C15" s="61" t="n">
        <v>146001</v>
      </c>
      <c r="D15" s="29" t="n">
        <v>236000</v>
      </c>
      <c r="E15" s="59" t="n">
        <v>15</v>
      </c>
    </row>
    <row r="16">
      <c r="B16" s="27" t="inlineStr"/>
      <c r="C16" s="61" t="n">
        <v>236001</v>
      </c>
      <c r="D16" s="29" t="n">
        <v>360000</v>
      </c>
      <c r="E16" s="59" t="n">
        <v>25</v>
      </c>
    </row>
    <row r="17">
      <c r="B17" s="27" t="inlineStr"/>
      <c r="C17" s="61" t="n">
        <v>360001</v>
      </c>
      <c r="D17" s="29" t="n">
        <v>550000</v>
      </c>
      <c r="E17" s="59" t="n">
        <v>35</v>
      </c>
    </row>
    <row r="18">
      <c r="B18" s="27" t="inlineStr"/>
      <c r="C18" s="61" t="n">
        <v>550001</v>
      </c>
      <c r="D18" s="29" t="n">
        <v>99999999</v>
      </c>
      <c r="E18" s="59" t="n">
        <v>40</v>
      </c>
    </row>
    <row r="19">
      <c r="B19" s="27" t="inlineStr"/>
      <c r="C19" s="27" t="inlineStr"/>
      <c r="D19" s="59" t="inlineStr"/>
      <c r="E19" s="59" t="inlineStr"/>
    </row>
    <row r="20">
      <c r="B20" s="35" t="inlineStr">
        <is>
          <t>PRIMES RÉGLEMENTAIRES</t>
        </is>
      </c>
      <c r="C20" s="27" t="inlineStr"/>
      <c r="D20" s="59" t="inlineStr"/>
      <c r="E20" s="59" t="inlineStr"/>
    </row>
    <row r="21">
      <c r="B21" s="27" t="inlineStr"/>
      <c r="C21" s="60" t="inlineStr">
        <is>
          <t>Type</t>
        </is>
      </c>
      <c r="D21" s="60" t="inlineStr">
        <is>
          <t>Base Calcul</t>
        </is>
      </c>
      <c r="E21" s="60" t="inlineStr">
        <is>
          <t>Imposable</t>
        </is>
      </c>
    </row>
    <row r="22">
      <c r="B22" s="27" t="inlineStr"/>
      <c r="C22" s="61" t="inlineStr">
        <is>
          <t>Prime ancienneté</t>
        </is>
      </c>
      <c r="D22" s="59" t="inlineStr">
        <is>
          <t>5% du salaire base</t>
        </is>
      </c>
      <c r="E22" s="59" t="inlineStr">
        <is>
          <t>Oui</t>
        </is>
      </c>
    </row>
    <row r="23">
      <c r="B23" s="27" t="inlineStr"/>
      <c r="C23" s="61" t="inlineStr">
        <is>
          <t>Indemnité logement</t>
        </is>
      </c>
      <c r="D23" s="59" t="inlineStr">
        <is>
          <t>30% du salaire base</t>
        </is>
      </c>
      <c r="E23" s="59" t="inlineStr">
        <is>
          <t>Non</t>
        </is>
      </c>
    </row>
    <row r="24">
      <c r="B24" s="27" t="inlineStr"/>
      <c r="C24" s="61" t="inlineStr">
        <is>
          <t>Prime transport</t>
        </is>
      </c>
      <c r="D24" s="59" t="inlineStr">
        <is>
          <t>25 000 FCFA fixe</t>
        </is>
      </c>
      <c r="E24" s="59" t="inlineStr">
        <is>
          <t>Non</t>
        </is>
      </c>
    </row>
    <row r="25">
      <c r="B25" s="27" t="inlineStr"/>
      <c r="C25" s="61" t="inlineStr">
        <is>
          <t>Prime responsabilité</t>
        </is>
      </c>
      <c r="D25" s="59" t="inlineStr">
        <is>
          <t>5-15% du salaire base</t>
        </is>
      </c>
      <c r="E25" s="59" t="inlineStr">
        <is>
          <t>Oui</t>
        </is>
      </c>
    </row>
    <row r="26">
      <c r="B26" s="27" t="inlineStr"/>
      <c r="C26" s="61" t="inlineStr">
        <is>
          <t>Prime rendement</t>
        </is>
      </c>
      <c r="D26" s="59" t="inlineStr">
        <is>
          <t>Variable</t>
        </is>
      </c>
      <c r="E26" s="59" t="inlineStr">
        <is>
          <t>Oui</t>
        </is>
      </c>
    </row>
    <row r="27">
      <c r="B27" s="27" t="inlineStr"/>
      <c r="C27" s="27" t="inlineStr"/>
      <c r="D27" s="59" t="inlineStr"/>
      <c r="E27" s="59" t="inlineStr"/>
    </row>
    <row r="28">
      <c r="B28" s="35" t="inlineStr">
        <is>
          <t>AVANTAGES EN NATURE</t>
        </is>
      </c>
      <c r="C28" s="27" t="inlineStr"/>
      <c r="D28" s="59" t="inlineStr"/>
      <c r="E28" s="59" t="inlineStr"/>
    </row>
    <row r="29">
      <c r="B29" s="27" t="inlineStr"/>
      <c r="C29" s="60" t="inlineStr">
        <is>
          <t>Type</t>
        </is>
      </c>
      <c r="D29" s="60" t="inlineStr">
        <is>
          <t>Valeur Mensuelle (FCFA)</t>
        </is>
      </c>
      <c r="E29" s="60" t="inlineStr">
        <is>
          <t>Base Imposable</t>
        </is>
      </c>
    </row>
    <row r="30">
      <c r="B30" s="27" t="inlineStr"/>
      <c r="C30" s="61" t="inlineStr">
        <is>
          <t>Logement</t>
        </is>
      </c>
      <c r="D30" s="29" t="n">
        <v>50000</v>
      </c>
      <c r="E30" s="29" t="n">
        <v>50000</v>
      </c>
    </row>
    <row r="31">
      <c r="B31" s="27" t="inlineStr"/>
      <c r="C31" s="61" t="inlineStr">
        <is>
          <t>Véhicule</t>
        </is>
      </c>
      <c r="D31" s="29" t="n">
        <v>75000</v>
      </c>
      <c r="E31" s="29" t="n">
        <v>50000</v>
      </c>
    </row>
    <row r="32">
      <c r="B32" s="27" t="inlineStr"/>
      <c r="C32" s="61" t="inlineStr">
        <is>
          <t>Téléphone</t>
        </is>
      </c>
      <c r="D32" s="29" t="n">
        <v>15000</v>
      </c>
      <c r="E32" s="29" t="n">
        <v>15000</v>
      </c>
    </row>
    <row r="33">
      <c r="B33" s="27" t="inlineStr"/>
      <c r="C33" s="61" t="inlineStr">
        <is>
          <t>Repas (tickets)</t>
        </is>
      </c>
      <c r="D33" s="29" t="n">
        <v>33000</v>
      </c>
      <c r="E33" s="59" t="n">
        <v>0</v>
      </c>
    </row>
  </sheetData>
  <mergeCells count="1">
    <mergeCell ref="B2:F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S1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0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  <col width="16" customWidth="1" min="9" max="9"/>
    <col width="18" customWidth="1" min="10" max="10"/>
    <col width="22" customWidth="1" min="11" max="11"/>
    <col width="12" customWidth="1" min="12" max="12"/>
    <col width="14" customWidth="1" min="13" max="13"/>
    <col width="14" customWidth="1" min="14" max="14"/>
    <col width="12" customWidth="1" min="15" max="15"/>
    <col width="10" customWidth="1" min="16" max="16"/>
    <col width="16" customWidth="1" min="17" max="17"/>
    <col width="16" customWidth="1" min="18" max="18"/>
    <col width="14" customWidth="1" min="19" max="19"/>
  </cols>
  <sheetData>
    <row r="2" ht="32" customHeight="1">
      <c r="B2" s="58" t="inlineStr">
        <is>
          <t>DONNÉES EMPLOYÉS — Référence centrale (toutes les feuilles s'y connectent)</t>
        </is>
      </c>
    </row>
    <row r="3">
      <c r="B3" s="2" t="inlineStr">
        <is>
          <t>Ajoutez/modifiez un employé ici → toutes les feuilles se mettent à jour automatiquement</t>
        </is>
      </c>
    </row>
    <row r="4" ht="30" customHeight="1">
      <c r="B4" s="26" t="inlineStr">
        <is>
          <t>Matricule</t>
        </is>
      </c>
      <c r="C4" s="26" t="inlineStr">
        <is>
          <t>Civilité</t>
        </is>
      </c>
      <c r="D4" s="26" t="inlineStr">
        <is>
          <t>Nom</t>
        </is>
      </c>
      <c r="E4" s="26" t="inlineStr">
        <is>
          <t>Prénom</t>
        </is>
      </c>
      <c r="F4" s="26" t="inlineStr">
        <is>
          <t>Date Naissance</t>
        </is>
      </c>
      <c r="G4" s="26" t="inlineStr">
        <is>
          <t>Genre</t>
        </is>
      </c>
      <c r="H4" s="26" t="inlineStr">
        <is>
          <t>Nationalité</t>
        </is>
      </c>
      <c r="I4" s="26" t="inlineStr">
        <is>
          <t>Catégorie</t>
        </is>
      </c>
      <c r="J4" s="26" t="inlineStr">
        <is>
          <t>Poste</t>
        </is>
      </c>
      <c r="K4" s="26" t="inlineStr">
        <is>
          <t>Département</t>
        </is>
      </c>
      <c r="L4" s="26" t="inlineStr">
        <is>
          <t>Type Contrat</t>
        </is>
      </c>
      <c r="M4" s="26" t="inlineStr">
        <is>
          <t>Régime Travail</t>
        </is>
      </c>
      <c r="N4" s="26" t="inlineStr">
        <is>
          <t>Date Embauche</t>
        </is>
      </c>
      <c r="O4" s="26" t="inlineStr">
        <is>
          <t>Échelon</t>
        </is>
      </c>
      <c r="P4" s="26" t="inlineStr">
        <is>
          <t>Statut</t>
        </is>
      </c>
      <c r="Q4" s="26" t="inlineStr">
        <is>
          <t>Salaire Base (FCFA)</t>
        </is>
      </c>
      <c r="R4" s="26" t="inlineStr">
        <is>
          <t>Salaire Brut (FCFA)</t>
        </is>
      </c>
      <c r="S4" s="26" t="inlineStr">
        <is>
          <t>Ancienneté (ans)</t>
        </is>
      </c>
    </row>
    <row r="5" ht="22" customHeight="1">
      <c r="B5" s="21" t="inlineStr">
        <is>
          <t>EMP-001</t>
        </is>
      </c>
      <c r="C5" s="21" t="inlineStr">
        <is>
          <t>M.</t>
        </is>
      </c>
      <c r="D5" s="21" t="inlineStr">
        <is>
          <t>Nganou</t>
        </is>
      </c>
      <c r="E5" s="21" t="inlineStr">
        <is>
          <t>Clarisse</t>
        </is>
      </c>
      <c r="F5" s="33" t="inlineStr">
        <is>
          <t>Cuisine &amp; Restauration</t>
        </is>
      </c>
      <c r="G5" s="21" t="inlineStr">
        <is>
          <t>Chef cuisinier</t>
        </is>
      </c>
      <c r="H5" s="21" t="n">
        <v>450000</v>
      </c>
      <c r="I5" s="21" t="inlineStr">
        <is>
          <t>Cadre superieur</t>
        </is>
      </c>
      <c r="J5" s="21" t="inlineStr">
        <is>
          <t>DRH</t>
        </is>
      </c>
      <c r="K5" s="21" t="inlineStr">
        <is>
          <t>Ressources Humaines</t>
        </is>
      </c>
      <c r="L5" s="21" t="inlineStr">
        <is>
          <t>CDI</t>
        </is>
      </c>
      <c r="M5" s="21" t="inlineStr">
        <is>
          <t>Temps plein</t>
        </is>
      </c>
      <c r="N5" s="33" t="inlineStr">
        <is>
          <t>2005-06-01</t>
        </is>
      </c>
      <c r="O5" s="21" t="inlineStr">
        <is>
          <t>Echelon 5</t>
        </is>
      </c>
      <c r="P5" s="21" t="inlineStr">
        <is>
          <t>Actif</t>
        </is>
      </c>
      <c r="Q5" s="16" t="n">
        <v>635000</v>
      </c>
      <c r="R5" s="63">
        <f>Q5+Q5*0.05+Q5*0.3+25000</f>
        <v/>
      </c>
      <c r="S5" s="82">
        <f>IF(N5="","",IFERROR((TODAY()-N5)/365.25,0))</f>
        <v/>
      </c>
    </row>
    <row r="6" ht="22" customHeight="1">
      <c r="B6" s="22" t="inlineStr">
        <is>
          <t>EMP-002</t>
        </is>
      </c>
      <c r="C6" s="22" t="inlineStr">
        <is>
          <t>M.</t>
        </is>
      </c>
      <c r="D6" s="22" t="inlineStr">
        <is>
          <t>Tchinda</t>
        </is>
      </c>
      <c r="E6" s="22" t="inlineStr">
        <is>
          <t>Armand</t>
        </is>
      </c>
      <c r="F6" s="34" t="inlineStr">
        <is>
          <t>Réception &amp; Front Office</t>
        </is>
      </c>
      <c r="G6" s="22" t="inlineStr">
        <is>
          <t>Réceptionniste</t>
        </is>
      </c>
      <c r="H6" s="22" t="n">
        <v>220000</v>
      </c>
      <c r="I6" s="22" t="inlineStr">
        <is>
          <t>Cadre</t>
        </is>
      </c>
      <c r="J6" s="22" t="inlineStr">
        <is>
          <t>Chef Comptable</t>
        </is>
      </c>
      <c r="K6" s="22" t="inlineStr">
        <is>
          <t>Finance &amp; Comptabilite</t>
        </is>
      </c>
      <c r="L6" s="22" t="inlineStr">
        <is>
          <t>CDI</t>
        </is>
      </c>
      <c r="M6" s="22" t="inlineStr">
        <is>
          <t>Temps plein</t>
        </is>
      </c>
      <c r="N6" s="34" t="inlineStr">
        <is>
          <t>2010-01-15</t>
        </is>
      </c>
      <c r="O6" s="22" t="inlineStr">
        <is>
          <t>Echelon 4</t>
        </is>
      </c>
      <c r="P6" s="22" t="inlineStr">
        <is>
          <t>Actif</t>
        </is>
      </c>
      <c r="Q6" s="18" t="n">
        <v>484000</v>
      </c>
      <c r="R6" s="65">
        <f>Q6+Q6*0.05+Q6*0.3+25000</f>
        <v/>
      </c>
      <c r="S6" s="83">
        <f>IF(N6="","",IFERROR((TODAY()-N6)/365.25,0))</f>
        <v/>
      </c>
    </row>
    <row r="7" ht="22" customHeight="1">
      <c r="B7" s="21" t="inlineStr">
        <is>
          <t>EMP-003</t>
        </is>
      </c>
      <c r="C7" s="21" t="inlineStr">
        <is>
          <t>Mme</t>
        </is>
      </c>
      <c r="D7" s="21" t="inlineStr">
        <is>
          <t>Fotso</t>
        </is>
      </c>
      <c r="E7" s="21" t="inlineStr">
        <is>
          <t>Marguerite</t>
        </is>
      </c>
      <c r="F7" s="33" t="inlineStr">
        <is>
          <t>Finance &amp; Comptabilité</t>
        </is>
      </c>
      <c r="G7" s="21" t="inlineStr">
        <is>
          <t>Comptable senior</t>
        </is>
      </c>
      <c r="H7" s="21" t="n">
        <v>380000</v>
      </c>
      <c r="I7" s="21" t="inlineStr">
        <is>
          <t>Employe</t>
        </is>
      </c>
      <c r="J7" s="21" t="inlineStr">
        <is>
          <t>Comptable</t>
        </is>
      </c>
      <c r="K7" s="21" t="inlineStr">
        <is>
          <t>Finance &amp; Comptabilite</t>
        </is>
      </c>
      <c r="L7" s="21" t="inlineStr">
        <is>
          <t>CDI</t>
        </is>
      </c>
      <c r="M7" s="21" t="inlineStr">
        <is>
          <t>Temps plein</t>
        </is>
      </c>
      <c r="N7" s="33" t="inlineStr">
        <is>
          <t>2015-03-01</t>
        </is>
      </c>
      <c r="O7" s="21" t="inlineStr">
        <is>
          <t>Echelon 3</t>
        </is>
      </c>
      <c r="P7" s="21" t="inlineStr">
        <is>
          <t>Actif</t>
        </is>
      </c>
      <c r="Q7" s="16" t="n">
        <v>287500</v>
      </c>
      <c r="R7" s="63">
        <f>Q7+Q7*0.05+Q7*0.3+25000</f>
        <v/>
      </c>
      <c r="S7" s="82">
        <f>IF(N7="","",IFERROR((TODAY()-N7)/365.25,0))</f>
        <v/>
      </c>
    </row>
    <row r="8" ht="22" customHeight="1">
      <c r="B8" s="22" t="inlineStr">
        <is>
          <t>EMP-004</t>
        </is>
      </c>
      <c r="C8" s="22" t="inlineStr">
        <is>
          <t>M.</t>
        </is>
      </c>
      <c r="D8" s="22" t="inlineStr">
        <is>
          <t>Nkoulou</t>
        </is>
      </c>
      <c r="E8" s="22" t="inlineStr">
        <is>
          <t>Mbarga</t>
        </is>
      </c>
      <c r="F8" s="34" t="inlineStr">
        <is>
          <t>Étage &amp; Housekeeping</t>
        </is>
      </c>
      <c r="G8" s="22" t="inlineStr">
        <is>
          <t>Gouvernant</t>
        </is>
      </c>
      <c r="H8" s="22" t="n">
        <v>195000</v>
      </c>
      <c r="I8" s="22" t="inlineStr">
        <is>
          <t>Employe</t>
        </is>
      </c>
      <c r="J8" s="22" t="inlineStr">
        <is>
          <t>Receptionniste</t>
        </is>
      </c>
      <c r="K8" s="22" t="inlineStr">
        <is>
          <t>Reception &amp; Front Office</t>
        </is>
      </c>
      <c r="L8" s="22" t="inlineStr">
        <is>
          <t>CDI</t>
        </is>
      </c>
      <c r="M8" s="22" t="inlineStr">
        <is>
          <t>Temps plein</t>
        </is>
      </c>
      <c r="N8" s="34" t="inlineStr">
        <is>
          <t>2018-09-01</t>
        </is>
      </c>
      <c r="O8" s="22" t="inlineStr">
        <is>
          <t>Echelon 3</t>
        </is>
      </c>
      <c r="P8" s="22" t="inlineStr">
        <is>
          <t>Actif</t>
        </is>
      </c>
      <c r="Q8" s="18" t="n">
        <v>207000</v>
      </c>
      <c r="R8" s="65">
        <f>Q8+Q8*0.05+Q8*0.3+25000</f>
        <v/>
      </c>
      <c r="S8" s="83">
        <f>IF(N8="","",IFERROR((TODAY()-N8)/365.25,0))</f>
        <v/>
      </c>
    </row>
    <row r="9" ht="22" customHeight="1">
      <c r="B9" s="21" t="inlineStr">
        <is>
          <t>EMP-005</t>
        </is>
      </c>
      <c r="C9" s="21" t="inlineStr">
        <is>
          <t>M.</t>
        </is>
      </c>
      <c r="D9" s="21" t="inlineStr">
        <is>
          <t>Kamga</t>
        </is>
      </c>
      <c r="E9" s="21" t="inlineStr">
        <is>
          <t>Paul</t>
        </is>
      </c>
      <c r="F9" s="33" t="inlineStr">
        <is>
          <t>Maintenance</t>
        </is>
      </c>
      <c r="G9" s="21" t="inlineStr">
        <is>
          <t>Technicien maintenance</t>
        </is>
      </c>
      <c r="H9" s="21" t="n">
        <v>165000</v>
      </c>
      <c r="I9" s="21" t="inlineStr">
        <is>
          <t>Maitrise</t>
        </is>
      </c>
      <c r="J9" s="21" t="inlineStr">
        <is>
          <t>Chef cuisinier</t>
        </is>
      </c>
      <c r="K9" s="21" t="inlineStr">
        <is>
          <t>Cuisine &amp; Restauration</t>
        </is>
      </c>
      <c r="L9" s="21" t="inlineStr">
        <is>
          <t>CDI</t>
        </is>
      </c>
      <c r="M9" s="21" t="inlineStr">
        <is>
          <t>Temps plein</t>
        </is>
      </c>
      <c r="N9" s="33" t="inlineStr">
        <is>
          <t>2012-04-01</t>
        </is>
      </c>
      <c r="O9" s="21" t="inlineStr">
        <is>
          <t>Echelon 3</t>
        </is>
      </c>
      <c r="P9" s="21" t="inlineStr">
        <is>
          <t>Actif</t>
        </is>
      </c>
      <c r="Q9" s="16" t="n">
        <v>253000</v>
      </c>
      <c r="R9" s="63">
        <f>Q9+Q9*0.05+Q9*0.3+25000</f>
        <v/>
      </c>
      <c r="S9" s="82">
        <f>IF(N9="","",IFERROR((TODAY()-N9)/365.25,0))</f>
        <v/>
      </c>
    </row>
    <row r="10" ht="22" customHeight="1">
      <c r="B10" s="22" t="inlineStr">
        <is>
          <t>EMP-006</t>
        </is>
      </c>
      <c r="C10" s="22" t="inlineStr">
        <is>
          <t>Mme</t>
        </is>
      </c>
      <c r="D10" s="22" t="inlineStr">
        <is>
          <t>Ngo</t>
        </is>
      </c>
      <c r="E10" s="22" t="inlineStr">
        <is>
          <t>Delphine</t>
        </is>
      </c>
      <c r="F10" s="34" t="inlineStr">
        <is>
          <t>Service Client</t>
        </is>
      </c>
      <c r="G10" s="22" t="inlineStr">
        <is>
          <t>Conseiller clientèle</t>
        </is>
      </c>
      <c r="H10" s="22" t="n">
        <v>160000</v>
      </c>
      <c r="I10" s="22" t="inlineStr">
        <is>
          <t>Employe</t>
        </is>
      </c>
      <c r="J10" s="22" t="inlineStr">
        <is>
          <t>Serveuse</t>
        </is>
      </c>
      <c r="K10" s="22" t="inlineStr">
        <is>
          <t>Cuisine &amp; Restauration</t>
        </is>
      </c>
      <c r="L10" s="22" t="inlineStr">
        <is>
          <t>CDD</t>
        </is>
      </c>
      <c r="M10" s="22" t="inlineStr">
        <is>
          <t>Temps plein</t>
        </is>
      </c>
      <c r="N10" s="34" t="inlineStr">
        <is>
          <t>2024-01-15</t>
        </is>
      </c>
      <c r="O10" s="22" t="inlineStr">
        <is>
          <t>Echelon 1</t>
        </is>
      </c>
      <c r="P10" s="22" t="inlineStr">
        <is>
          <t>Actif</t>
        </is>
      </c>
      <c r="Q10" s="18" t="n">
        <v>149500</v>
      </c>
      <c r="R10" s="65">
        <f>Q10+Q10*0.05+Q10*0.3+25000</f>
        <v/>
      </c>
      <c r="S10" s="83">
        <f>IF(N10="","",IFERROR((TODAY()-N10)/365.25,0))</f>
        <v/>
      </c>
    </row>
    <row r="11" ht="22" customHeight="1">
      <c r="B11" s="21" t="inlineStr">
        <is>
          <t>EMP-007</t>
        </is>
      </c>
      <c r="C11" s="21" t="inlineStr">
        <is>
          <t>M.</t>
        </is>
      </c>
      <c r="D11" s="21" t="inlineStr">
        <is>
          <t>Essomba</t>
        </is>
      </c>
      <c r="E11" s="21" t="inlineStr">
        <is>
          <t>Serge</t>
        </is>
      </c>
      <c r="F11" s="33" t="inlineStr">
        <is>
          <t>Maintenance</t>
        </is>
      </c>
      <c r="G11" s="21" t="inlineStr">
        <is>
          <t>Agent entretien</t>
        </is>
      </c>
      <c r="H11" s="21" t="n">
        <v>130000</v>
      </c>
      <c r="I11" s="21" t="inlineStr">
        <is>
          <t>Ouvrier</t>
        </is>
      </c>
      <c r="J11" s="21" t="inlineStr">
        <is>
          <t>Agent securite</t>
        </is>
      </c>
      <c r="K11" s="21" t="inlineStr">
        <is>
          <t>Securite</t>
        </is>
      </c>
      <c r="L11" s="21" t="inlineStr">
        <is>
          <t>CDI</t>
        </is>
      </c>
      <c r="M11" s="21" t="inlineStr">
        <is>
          <t>Temps plein</t>
        </is>
      </c>
      <c r="N11" s="33" t="inlineStr">
        <is>
          <t>2008-11-01</t>
        </is>
      </c>
      <c r="O11" s="21" t="inlineStr">
        <is>
          <t>Echelon 4</t>
        </is>
      </c>
      <c r="P11" s="21" t="inlineStr">
        <is>
          <t>Actif</t>
        </is>
      </c>
      <c r="Q11" s="16" t="n">
        <v>149500</v>
      </c>
      <c r="R11" s="63">
        <f>Q11+Q11*0.05+Q11*0.3+25000</f>
        <v/>
      </c>
      <c r="S11" s="82">
        <f>IF(N11="","",IFERROR((TODAY()-N11)/365.25,0))</f>
        <v/>
      </c>
    </row>
    <row r="12" ht="22" customHeight="1">
      <c r="B12" s="22" t="inlineStr">
        <is>
          <t>EMP-008</t>
        </is>
      </c>
      <c r="C12" s="22" t="inlineStr">
        <is>
          <t>M.</t>
        </is>
      </c>
      <c r="D12" s="22" t="inlineStr">
        <is>
          <t>Tchouankou</t>
        </is>
      </c>
      <c r="E12" s="22" t="inlineStr">
        <is>
          <t>Paul</t>
        </is>
      </c>
      <c r="F12" s="34" t="inlineStr">
        <is>
          <t>Commercial</t>
        </is>
      </c>
      <c r="G12" s="22" t="inlineStr">
        <is>
          <t>Commercial</t>
        </is>
      </c>
      <c r="H12" s="22" t="n">
        <v>150000</v>
      </c>
      <c r="I12" s="22" t="inlineStr">
        <is>
          <t>Employe</t>
        </is>
      </c>
      <c r="J12" s="22" t="inlineStr">
        <is>
          <t>Gouvernante</t>
        </is>
      </c>
      <c r="K12" s="22" t="inlineStr">
        <is>
          <t>Reception &amp; Front Office</t>
        </is>
      </c>
      <c r="L12" s="22" t="inlineStr">
        <is>
          <t>CDI</t>
        </is>
      </c>
      <c r="M12" s="22" t="inlineStr">
        <is>
          <t>Temps plein</t>
        </is>
      </c>
      <c r="N12" s="34" t="inlineStr">
        <is>
          <t>2016-07-01</t>
        </is>
      </c>
      <c r="O12" s="22" t="inlineStr">
        <is>
          <t>Echelon 2</t>
        </is>
      </c>
      <c r="P12" s="22" t="inlineStr">
        <is>
          <t>Actif</t>
        </is>
      </c>
      <c r="Q12" s="18" t="n">
        <v>184000</v>
      </c>
      <c r="R12" s="65">
        <f>Q12+Q12*0.05+Q12*0.3+25000</f>
        <v/>
      </c>
      <c r="S12" s="83">
        <f>IF(N12="","",IFERROR((TODAY()-N12)/365.25,0))</f>
        <v/>
      </c>
    </row>
    <row r="13" ht="22" customHeight="1">
      <c r="B13" s="21" t="inlineStr">
        <is>
          <t>EMP-009</t>
        </is>
      </c>
      <c r="C13" s="21" t="inlineStr">
        <is>
          <t>M.</t>
        </is>
      </c>
      <c r="D13" s="21" t="inlineStr">
        <is>
          <t>Fokam</t>
        </is>
      </c>
      <c r="E13" s="21" t="inlineStr">
        <is>
          <t>Eric</t>
        </is>
      </c>
      <c r="F13" s="33" t="inlineStr">
        <is>
          <t>Maintenance</t>
        </is>
      </c>
      <c r="G13" s="21" t="inlineStr">
        <is>
          <t>Technicien</t>
        </is>
      </c>
      <c r="H13" s="21" t="n">
        <v>140000</v>
      </c>
      <c r="I13" s="21" t="inlineStr">
        <is>
          <t>Ouvrier</t>
        </is>
      </c>
      <c r="J13" s="21" t="inlineStr">
        <is>
          <t>Agent entretien</t>
        </is>
      </c>
      <c r="K13" s="21" t="inlineStr">
        <is>
          <t>Entretien &amp; Maintenance</t>
        </is>
      </c>
      <c r="L13" s="21" t="inlineStr">
        <is>
          <t>CDI</t>
        </is>
      </c>
      <c r="M13" s="21" t="inlineStr">
        <is>
          <t>Temps plein</t>
        </is>
      </c>
      <c r="N13" s="33" t="inlineStr">
        <is>
          <t>2014-02-01</t>
        </is>
      </c>
      <c r="O13" s="21" t="inlineStr">
        <is>
          <t>Echelon 3</t>
        </is>
      </c>
      <c r="P13" s="21" t="inlineStr">
        <is>
          <t>Actif</t>
        </is>
      </c>
      <c r="Q13" s="16" t="n">
        <v>138000</v>
      </c>
      <c r="R13" s="63">
        <f>Q13+Q13*0.05+Q13*0.3+25000</f>
        <v/>
      </c>
      <c r="S13" s="82">
        <f>IF(N13="","",IFERROR((TODAY()-N13)/365.25,0))</f>
        <v/>
      </c>
    </row>
    <row r="14" ht="22" customHeight="1">
      <c r="B14" s="22" t="inlineStr">
        <is>
          <t>EMP-010</t>
        </is>
      </c>
      <c r="C14" s="22" t="inlineStr">
        <is>
          <t>M.</t>
        </is>
      </c>
      <c r="D14" s="22" t="inlineStr">
        <is>
          <t>Tagne</t>
        </is>
      </c>
      <c r="E14" s="22" t="inlineStr">
        <is>
          <t>René</t>
        </is>
      </c>
      <c r="F14" s="34" t="inlineStr">
        <is>
          <t>Cuisine &amp; Restauration</t>
        </is>
      </c>
      <c r="G14" s="22" t="inlineStr">
        <is>
          <t>Plongeur</t>
        </is>
      </c>
      <c r="H14" s="22" t="n">
        <v>90000</v>
      </c>
      <c r="I14" s="22" t="inlineStr">
        <is>
          <t>Employe</t>
        </is>
      </c>
      <c r="J14" s="22" t="inlineStr">
        <is>
          <t>Barman</t>
        </is>
      </c>
      <c r="K14" s="22" t="inlineStr">
        <is>
          <t>Cuisine &amp; Restauration</t>
        </is>
      </c>
      <c r="L14" s="22" t="inlineStr">
        <is>
          <t>CDI</t>
        </is>
      </c>
      <c r="M14" s="22" t="inlineStr">
        <is>
          <t>Temps plein</t>
        </is>
      </c>
      <c r="N14" s="34" t="inlineStr">
        <is>
          <t>2019-05-01</t>
        </is>
      </c>
      <c r="O14" s="22" t="inlineStr">
        <is>
          <t>Echelon 2</t>
        </is>
      </c>
      <c r="P14" s="22" t="inlineStr">
        <is>
          <t>Actif</t>
        </is>
      </c>
      <c r="Q14" s="18" t="n">
        <v>161000</v>
      </c>
      <c r="R14" s="65">
        <f>Q14+Q14*0.05+Q14*0.3+25000</f>
        <v/>
      </c>
      <c r="S14" s="83">
        <f>IF(N14="","",IFERROR((TODAY()-N14)/365.25,0))</f>
        <v/>
      </c>
    </row>
    <row r="15" ht="22" customHeight="1">
      <c r="B15" s="19" t="inlineStr">
        <is>
          <t>EMP-011</t>
        </is>
      </c>
      <c r="C15" s="19" t="inlineStr">
        <is>
          <t>M.</t>
        </is>
      </c>
      <c r="D15" s="19" t="inlineStr">
        <is>
          <t>Bouba</t>
        </is>
      </c>
      <c r="E15" s="19" t="inlineStr">
        <is>
          <t>Ahmed</t>
        </is>
      </c>
      <c r="F15" s="19" t="inlineStr">
        <is>
          <t>Sécurité</t>
        </is>
      </c>
      <c r="G15" s="19" t="inlineStr">
        <is>
          <t>Agent Sécurité</t>
        </is>
      </c>
      <c r="H15" s="19" t="n">
        <v>120000</v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67">
        <f>IF(Q15="","",Q15+Q15*0.05+Q15*0.3+25000)</f>
        <v/>
      </c>
      <c r="S15" s="84">
        <f>IF(N15="","",IFERROR((TODAY()-N15)/365.25,0))</f>
        <v/>
      </c>
    </row>
    <row r="16" ht="22" customHeight="1">
      <c r="B16" s="22" t="inlineStr">
        <is>
          <t>EMP-012</t>
        </is>
      </c>
      <c r="C16" s="22" t="inlineStr">
        <is>
          <t>Mme</t>
        </is>
      </c>
      <c r="D16" s="22" t="inlineStr">
        <is>
          <t>Awa</t>
        </is>
      </c>
      <c r="E16" s="22" t="inlineStr">
        <is>
          <t>Fatou</t>
        </is>
      </c>
      <c r="F16" s="22" t="inlineStr">
        <is>
          <t>Réception &amp; Front Office</t>
        </is>
      </c>
      <c r="G16" s="22" t="inlineStr">
        <is>
          <t>Standardiste</t>
        </is>
      </c>
      <c r="H16" s="22" t="n">
        <v>155000</v>
      </c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69">
        <f>IF(Q16="","",Q16+Q16*0.05+Q16*0.3+25000)</f>
        <v/>
      </c>
      <c r="S16" s="85">
        <f>IF(N16="","",IFERROR((TODAY()-N16)/365.25,0))</f>
        <v/>
      </c>
    </row>
    <row r="17" ht="22" customHeight="1">
      <c r="B17" s="21" t="inlineStr">
        <is>
          <t>EMP-028</t>
        </is>
      </c>
      <c r="C17" s="21" t="inlineStr">
        <is>
          <t>M.</t>
        </is>
      </c>
      <c r="D17" s="21" t="inlineStr">
        <is>
          <t>Nkoulou</t>
        </is>
      </c>
      <c r="E17" s="21" t="inlineStr">
        <is>
          <t>Joel</t>
        </is>
      </c>
      <c r="F17" s="21" t="inlineStr">
        <is>
          <t>Sécurité</t>
        </is>
      </c>
      <c r="G17" s="21" t="inlineStr">
        <is>
          <t>Agent Sécurité</t>
        </is>
      </c>
      <c r="H17" s="21" t="n">
        <v>140000</v>
      </c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71">
        <f>IF(Q17="","",Q17+Q17*0.05+Q17*0.3+25000)</f>
        <v/>
      </c>
      <c r="S17" s="86">
        <f>IF(N17="","",IFERROR((TODAY()-N17)/365.25,0))</f>
        <v/>
      </c>
    </row>
    <row r="18" ht="22" customHeight="1">
      <c r="B18" s="22" t="inlineStr">
        <is>
          <t>EMP-029</t>
        </is>
      </c>
      <c r="C18" s="22" t="inlineStr">
        <is>
          <t>M.</t>
        </is>
      </c>
      <c r="D18" s="22" t="inlineStr">
        <is>
          <t>Kamga</t>
        </is>
      </c>
      <c r="E18" s="22" t="inlineStr">
        <is>
          <t>Patrice</t>
        </is>
      </c>
      <c r="F18" s="22" t="inlineStr">
        <is>
          <t>Sécurité</t>
        </is>
      </c>
      <c r="G18" s="22" t="inlineStr">
        <is>
          <t>Chef Sécurité</t>
        </is>
      </c>
      <c r="H18" s="22" t="n">
        <v>210000</v>
      </c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69">
        <f>IF(Q18="","",Q18+Q18*0.05+Q18*0.3+25000)</f>
        <v/>
      </c>
      <c r="S18" s="85">
        <f>IF(N18="","",IFERROR((TODAY()-N18)/365.25,0))</f>
        <v/>
      </c>
    </row>
    <row r="19" ht="22" customHeight="1"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71" t="n"/>
      <c r="S19" s="86" t="n"/>
    </row>
    <row r="20" ht="22" customHeight="1"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69" t="n"/>
      <c r="S20" s="85" t="n"/>
    </row>
    <row r="21" ht="22" customHeight="1"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71" t="n"/>
      <c r="S21" s="86" t="n"/>
    </row>
    <row r="22" ht="22" customHeight="1"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69" t="n"/>
      <c r="S22" s="85" t="n"/>
    </row>
    <row r="23" ht="22" customHeight="1"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71" t="n"/>
      <c r="S23" s="86" t="n"/>
    </row>
    <row r="24" ht="22" customHeight="1"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69" t="n"/>
      <c r="S24" s="85" t="n"/>
    </row>
    <row r="25" ht="22" customHeight="1"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71" t="n"/>
      <c r="S25" s="86" t="n"/>
    </row>
    <row r="26" ht="22" customHeight="1"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69" t="n"/>
      <c r="S26" s="85" t="n"/>
    </row>
    <row r="27" ht="22" customHeight="1"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71" t="n"/>
      <c r="S27" s="86" t="n"/>
    </row>
    <row r="28" ht="22" customHeight="1"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69" t="n"/>
      <c r="S28" s="85" t="n"/>
    </row>
    <row r="29" ht="22" customHeight="1"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71" t="n"/>
      <c r="S29" s="86" t="n"/>
    </row>
    <row r="30" ht="22" customHeight="1"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69" t="n"/>
      <c r="S30" s="85" t="n"/>
    </row>
    <row r="31" ht="22" customHeight="1"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71" t="n"/>
      <c r="S31" s="86" t="n"/>
    </row>
    <row r="32" ht="22" customHeight="1"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69" t="n"/>
      <c r="S32" s="85" t="n"/>
    </row>
    <row r="33" ht="22" customHeight="1"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71" t="n"/>
      <c r="S33" s="86" t="n"/>
    </row>
    <row r="34" ht="22" customHeight="1"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69" t="n"/>
      <c r="S34" s="85" t="n"/>
    </row>
    <row r="35" ht="22" customHeight="1"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71" t="n"/>
      <c r="S35" s="86" t="n"/>
    </row>
    <row r="36" ht="22" customHeight="1"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69" t="n"/>
      <c r="S36" s="85" t="n"/>
    </row>
    <row r="37" ht="22" customHeight="1"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71" t="n"/>
      <c r="S37" s="86" t="n"/>
    </row>
    <row r="38" ht="22" customHeight="1"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69" t="n"/>
      <c r="S38" s="85" t="n"/>
    </row>
    <row r="39" ht="22" customHeight="1"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71" t="n"/>
      <c r="S39" s="86" t="n"/>
    </row>
    <row r="40" ht="22" customHeight="1"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69" t="n"/>
      <c r="S40" s="85" t="n"/>
    </row>
    <row r="41" ht="22" customHeight="1"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71" t="n"/>
      <c r="S41" s="86" t="n"/>
    </row>
    <row r="42" ht="22" customHeight="1"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69" t="n"/>
      <c r="S42" s="85" t="n"/>
    </row>
    <row r="43" ht="22" customHeight="1"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71" t="n"/>
      <c r="S43" s="86" t="n"/>
    </row>
    <row r="44" ht="22" customHeight="1"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69" t="n"/>
      <c r="S44" s="85" t="n"/>
    </row>
    <row r="45" ht="22" customHeight="1"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71" t="n"/>
      <c r="S45" s="86" t="n"/>
    </row>
    <row r="46" ht="22" customHeight="1"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69" t="n"/>
      <c r="S46" s="85" t="n"/>
    </row>
    <row r="47" ht="22" customHeight="1"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71" t="n"/>
      <c r="S47" s="86" t="n"/>
    </row>
    <row r="48" ht="22" customHeight="1"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69" t="n"/>
      <c r="S48" s="85" t="n"/>
    </row>
    <row r="49" ht="22" customHeight="1"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71" t="n"/>
      <c r="S49" s="86" t="n"/>
    </row>
    <row r="50" ht="22" customHeight="1"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69" t="n"/>
      <c r="S50" s="85" t="n"/>
    </row>
    <row r="51" ht="22" customHeight="1"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71" t="n"/>
      <c r="S51" s="86" t="n"/>
    </row>
    <row r="52" ht="22" customHeight="1"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69" t="n"/>
      <c r="S52" s="85" t="n"/>
    </row>
    <row r="53" ht="22" customHeight="1"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71" t="n"/>
      <c r="S53" s="86" t="n"/>
    </row>
    <row r="54" ht="22" customHeight="1"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69" t="n"/>
      <c r="S54" s="85" t="n"/>
    </row>
    <row r="55" ht="22" customHeight="1"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71" t="n"/>
      <c r="S55" s="86" t="n"/>
    </row>
    <row r="56" ht="22" customHeight="1"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69" t="n"/>
      <c r="S56" s="85" t="n"/>
    </row>
    <row r="57" ht="22" customHeight="1"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71" t="n"/>
      <c r="S57" s="86" t="n"/>
    </row>
    <row r="58" ht="22" customHeight="1"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69" t="n"/>
      <c r="S58" s="85" t="n"/>
    </row>
    <row r="59" ht="22" customHeight="1"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71" t="n"/>
      <c r="S59" s="86" t="n"/>
    </row>
    <row r="60" ht="22" customHeight="1"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69" t="n"/>
      <c r="S60" s="85" t="n"/>
    </row>
    <row r="61" ht="22" customHeight="1"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71" t="n"/>
      <c r="S61" s="86" t="n"/>
    </row>
    <row r="62" ht="22" customHeight="1"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69" t="n"/>
      <c r="S62" s="85" t="n"/>
    </row>
    <row r="63" ht="22" customHeight="1"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71" t="n"/>
      <c r="S63" s="86" t="n"/>
    </row>
    <row r="64" ht="22" customHeight="1"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69" t="n"/>
      <c r="S64" s="85" t="n"/>
    </row>
    <row r="65" ht="22" customHeight="1"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71" t="n"/>
      <c r="S65" s="86" t="n"/>
    </row>
    <row r="66" ht="22" customHeight="1"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69" t="n"/>
      <c r="S66" s="85" t="n"/>
    </row>
    <row r="67" ht="22" customHeight="1"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71" t="n"/>
      <c r="S67" s="86" t="n"/>
    </row>
    <row r="68" ht="22" customHeight="1"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69" t="n"/>
      <c r="S68" s="85" t="n"/>
    </row>
    <row r="69" ht="22" customHeight="1"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71" t="n"/>
      <c r="S69" s="86" t="n"/>
    </row>
    <row r="70" ht="22" customHeight="1"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69" t="n"/>
      <c r="S70" s="85" t="n"/>
    </row>
    <row r="71" ht="22" customHeight="1"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71" t="n"/>
      <c r="S71" s="86" t="n"/>
    </row>
    <row r="72" ht="22" customHeight="1"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69" t="n"/>
      <c r="S72" s="85" t="n"/>
    </row>
    <row r="73" ht="22" customHeight="1"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71" t="n"/>
      <c r="S73" s="86" t="n"/>
    </row>
    <row r="74" ht="22" customHeight="1"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69" t="n"/>
      <c r="S74" s="85" t="n"/>
    </row>
    <row r="75" ht="22" customHeight="1"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71" t="n"/>
      <c r="S75" s="86" t="n"/>
    </row>
    <row r="76" ht="22" customHeight="1"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69" t="n"/>
      <c r="S76" s="85" t="n"/>
    </row>
    <row r="77" ht="22" customHeight="1"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71" t="n"/>
      <c r="S77" s="86" t="n"/>
    </row>
    <row r="78" ht="22" customHeight="1"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69" t="n"/>
      <c r="S78" s="85" t="n"/>
    </row>
    <row r="79" ht="22" customHeight="1"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71" t="n"/>
      <c r="S79" s="86" t="n"/>
    </row>
    <row r="80" ht="22" customHeight="1"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69" t="n"/>
      <c r="S80" s="85" t="n"/>
    </row>
    <row r="81" ht="22" customHeight="1"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71" t="n"/>
      <c r="S81" s="86" t="n"/>
    </row>
    <row r="82" ht="22" customHeight="1"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69" t="n"/>
      <c r="S82" s="85" t="n"/>
    </row>
    <row r="83" ht="22" customHeight="1"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71" t="n"/>
      <c r="S83" s="86" t="n"/>
    </row>
    <row r="84" ht="22" customHeight="1"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69" t="n"/>
      <c r="S84" s="85" t="n"/>
    </row>
    <row r="85" ht="22" customHeight="1"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71" t="n"/>
      <c r="S85" s="86" t="n"/>
    </row>
    <row r="86" ht="22" customHeight="1"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69" t="n"/>
      <c r="S86" s="85" t="n"/>
    </row>
    <row r="87" ht="22" customHeight="1"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71" t="n"/>
      <c r="S87" s="86" t="n"/>
    </row>
    <row r="88" ht="22" customHeight="1"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69" t="n"/>
      <c r="S88" s="85" t="n"/>
    </row>
    <row r="89" ht="22" customHeight="1"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71" t="n"/>
      <c r="S89" s="86" t="n"/>
    </row>
    <row r="90" ht="22" customHeight="1"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69" t="n"/>
      <c r="S90" s="85" t="n"/>
    </row>
    <row r="91" ht="22" customHeight="1"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71" t="n"/>
      <c r="S91" s="86" t="n"/>
    </row>
    <row r="92" ht="22" customHeight="1"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69" t="n"/>
      <c r="S92" s="85" t="n"/>
    </row>
    <row r="93" ht="22" customHeight="1"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71" t="n"/>
      <c r="S93" s="86" t="n"/>
    </row>
    <row r="94" ht="22" customHeight="1"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69" t="n"/>
      <c r="S94" s="85" t="n"/>
    </row>
    <row r="95" ht="22" customHeight="1"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71" t="n"/>
      <c r="S95" s="86" t="n"/>
    </row>
    <row r="96" ht="22" customHeight="1"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69" t="n"/>
      <c r="S96" s="85" t="n"/>
    </row>
    <row r="97" ht="22" customHeight="1"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71" t="n"/>
      <c r="S97" s="86" t="n"/>
    </row>
    <row r="98" ht="22" customHeight="1"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69" t="n"/>
      <c r="S98" s="85" t="n"/>
    </row>
    <row r="99" ht="22" customHeight="1"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71" t="n"/>
      <c r="S99" s="86" t="n"/>
    </row>
    <row r="100" ht="22" customHeight="1"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69" t="n"/>
      <c r="S100" s="85" t="n"/>
    </row>
    <row r="101" ht="22" customHeight="1"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71" t="n"/>
      <c r="S101" s="86" t="n"/>
    </row>
    <row r="102" ht="22" customHeight="1"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69" t="n"/>
      <c r="S102" s="85" t="n"/>
    </row>
    <row r="103" ht="22" customHeight="1"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71" t="n"/>
      <c r="S103" s="86" t="n"/>
    </row>
    <row r="104" ht="22" customHeight="1"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69" t="n"/>
      <c r="S104" s="85" t="n"/>
    </row>
    <row r="105" ht="22" customHeight="1"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71" t="n"/>
      <c r="S105" s="86" t="n"/>
    </row>
    <row r="106" ht="22" customHeight="1"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69" t="n"/>
      <c r="S106" s="85" t="n"/>
    </row>
    <row r="107" ht="22" customHeight="1"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71" t="n"/>
      <c r="S107" s="86" t="n"/>
    </row>
    <row r="108" ht="22" customHeight="1"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69" t="n"/>
      <c r="S108" s="85" t="n"/>
    </row>
    <row r="109" ht="22" customHeight="1"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71" t="n"/>
      <c r="S109" s="86" t="n"/>
    </row>
    <row r="110" ht="22" customHeight="1"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69" t="n"/>
      <c r="S110" s="85" t="n"/>
    </row>
    <row r="111" ht="22" customHeight="1"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71" t="n"/>
      <c r="S111" s="86" t="n"/>
    </row>
    <row r="112" ht="22" customHeight="1"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69" t="n"/>
      <c r="S112" s="85" t="n"/>
    </row>
    <row r="113" ht="22" customHeight="1"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71" t="n"/>
      <c r="S113" s="86" t="n"/>
    </row>
    <row r="114" ht="22" customHeight="1"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69" t="n"/>
      <c r="S114" s="85" t="n"/>
    </row>
  </sheetData>
  <mergeCells count="2">
    <mergeCell ref="B3:S3"/>
    <mergeCell ref="B2:S2"/>
  </mergeCells>
  <dataValidations count="8">
    <dataValidation sqref="D5:D114" showDropDown="0" showInputMessage="0" showErrorMessage="0" allowBlank="1" type="list">
      <formula1>'_Lists'!$B$2:$B$4</formula1>
    </dataValidation>
    <dataValidation sqref="H5:H114" showDropDown="0" showInputMessage="0" showErrorMessage="0" allowBlank="1" type="list">
      <formula1>'_Lists'!$C$2:$C$3</formula1>
    </dataValidation>
    <dataValidation sqref="I5:I114" showDropDown="0" showInputMessage="0" showErrorMessage="0" allowBlank="1" type="list">
      <formula1>'_Lists'!$D$2:$D$9</formula1>
    </dataValidation>
    <dataValidation sqref="J5:J114" showDropDown="0" showInputMessage="0" showErrorMessage="0" allowBlank="1" type="list">
      <formula1>'_Lists'!$E$2:$E$7</formula1>
    </dataValidation>
    <dataValidation sqref="K5:K114" showDropDown="0" showInputMessage="0" showErrorMessage="0" allowBlank="1" type="list">
      <formula1>'_Lists'!$F$2:$F$6</formula1>
    </dataValidation>
    <dataValidation sqref="L5:L114" showDropDown="0" showInputMessage="0" showErrorMessage="0" allowBlank="1" type="list">
      <formula1>'_Lists'!$G$2:$G$4</formula1>
    </dataValidation>
    <dataValidation sqref="O5:O114" showDropDown="0" showInputMessage="0" showErrorMessage="0" allowBlank="1" type="list">
      <formula1>'_Lists'!$J$2:$J$6</formula1>
    </dataValidation>
    <dataValidation sqref="P5:P114" showDropDown="0" showInputMessage="0" showErrorMessage="0" allowBlank="1" type="list">
      <formula1>'_Lists'!$H$2:$H$6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Z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0" customWidth="1" min="3" max="3"/>
    <col width="14" customWidth="1" min="4" max="4"/>
    <col width="19" customWidth="1" min="5" max="5"/>
    <col width="14" customWidth="1" min="6" max="6"/>
    <col width="19" customWidth="1" min="7" max="7"/>
    <col width="18" customWidth="1" min="8" max="8"/>
    <col width="32" customWidth="1" min="9" max="9"/>
    <col width="11" customWidth="1" min="10" max="10"/>
    <col width="11" customWidth="1" min="11" max="11"/>
    <col width="16" customWidth="1" min="12" max="12"/>
    <col width="7" customWidth="1" min="13" max="13"/>
    <col width="13" customWidth="1" min="14" max="14"/>
    <col width="13" customWidth="1" min="15" max="15"/>
    <col width="25" customWidth="1" min="16" max="16"/>
    <col width="15" customWidth="1" min="17" max="17"/>
    <col width="23" customWidth="1" min="18" max="18"/>
    <col width="20" customWidth="1" min="19" max="19"/>
    <col width="16" customWidth="1" min="20" max="20"/>
    <col width="15" customWidth="1" min="21" max="21"/>
    <col width="12" customWidth="1" min="22" max="22"/>
    <col width="17" customWidth="1" min="23" max="23"/>
    <col width="14" customWidth="1" min="24" max="24"/>
    <col width="9" customWidth="1" min="25" max="25"/>
    <col width="21" customWidth="1" min="26" max="26"/>
  </cols>
  <sheetData>
    <row r="1">
      <c r="B1" s="73" t="inlineStr">
        <is>
          <t>civilite</t>
        </is>
      </c>
      <c r="C1" s="73" t="inlineStr">
        <is>
          <t>genre</t>
        </is>
      </c>
      <c r="D1" s="73" t="inlineStr">
        <is>
          <t>nationalite</t>
        </is>
      </c>
      <c r="E1" s="73" t="inlineStr">
        <is>
          <t>categorie</t>
        </is>
      </c>
      <c r="F1" s="73" t="inlineStr">
        <is>
          <t>type_contrat</t>
        </is>
      </c>
      <c r="G1" s="73" t="inlineStr">
        <is>
          <t>regime_travail</t>
        </is>
      </c>
      <c r="H1" s="73" t="inlineStr">
        <is>
          <t>statut_emp</t>
        </is>
      </c>
      <c r="I1" s="73" t="inlineStr">
        <is>
          <t>departement</t>
        </is>
      </c>
      <c r="J1" s="73" t="inlineStr">
        <is>
          <t>echelon</t>
        </is>
      </c>
      <c r="K1" s="73" t="inlineStr">
        <is>
          <t>mois</t>
        </is>
      </c>
      <c r="L1" s="73" t="inlineStr">
        <is>
          <t>mois_annee</t>
        </is>
      </c>
      <c r="M1" s="73" t="inlineStr">
        <is>
          <t>annee</t>
        </is>
      </c>
      <c r="N1" s="73" t="inlineStr">
        <is>
          <t>matricules_bulletin</t>
        </is>
      </c>
      <c r="O1" s="73" t="inlineStr">
        <is>
          <t>statut_pret</t>
        </is>
      </c>
      <c r="P1" s="73" t="inlineStr">
        <is>
          <t>type_prime</t>
        </is>
      </c>
      <c r="Q1" s="73" t="inlineStr">
        <is>
          <t>type_avantage</t>
        </is>
      </c>
      <c r="R1" s="73" t="inlineStr">
        <is>
          <t>type_deduction</t>
        </is>
      </c>
      <c r="S1" s="73" t="inlineStr">
        <is>
          <t>type_evolution</t>
        </is>
      </c>
      <c r="T1" s="73" t="inlineStr">
        <is>
          <t>type_pret</t>
        </is>
      </c>
      <c r="U1" s="73" t="inlineStr">
        <is>
          <t>type_frais</t>
        </is>
      </c>
      <c r="V1" s="73" t="inlineStr">
        <is>
          <t>statut_cet</t>
        </is>
      </c>
      <c r="W1" s="73" t="inlineStr">
        <is>
          <t>statut_mutuelle</t>
        </is>
      </c>
      <c r="X1" s="73" t="inlineStr">
        <is>
          <t>motif_depart</t>
        </is>
      </c>
      <c r="Y1" s="73" t="inlineStr">
        <is>
          <t>oui_non</t>
        </is>
      </c>
      <c r="Z1" s="73" t="inlineStr">
        <is>
          <t>couverture_mutuelle</t>
        </is>
      </c>
    </row>
    <row r="2">
      <c r="B2" t="inlineStr">
        <is>
          <t>M.</t>
        </is>
      </c>
      <c r="C2" t="inlineStr">
        <is>
          <t>Masculin</t>
        </is>
      </c>
      <c r="D2" t="inlineStr">
        <is>
          <t>Camerounaise</t>
        </is>
      </c>
      <c r="E2" t="inlineStr">
        <is>
          <t>Cadre superieur</t>
        </is>
      </c>
      <c r="F2" t="inlineStr">
        <is>
          <t>CDI</t>
        </is>
      </c>
      <c r="G2" t="inlineStr">
        <is>
          <t>Temps plein</t>
        </is>
      </c>
      <c r="H2" t="inlineStr">
        <is>
          <t>Actif</t>
        </is>
      </c>
      <c r="I2" t="inlineStr">
        <is>
          <t>Direction Generale</t>
        </is>
      </c>
      <c r="J2" t="inlineStr">
        <is>
          <t>Echelon 1</t>
        </is>
      </c>
      <c r="K2" t="inlineStr">
        <is>
          <t>Janvier</t>
        </is>
      </c>
      <c r="L2" t="inlineStr">
        <is>
          <t>Janvier 2025</t>
        </is>
      </c>
      <c r="M2" t="inlineStr">
        <is>
          <t>2024</t>
        </is>
      </c>
      <c r="N2" t="inlineStr">
        <is>
          <t>EMP-001</t>
        </is>
      </c>
      <c r="O2" t="inlineStr">
        <is>
          <t>En cours</t>
        </is>
      </c>
      <c r="P2" t="inlineStr">
        <is>
          <t>Prime d'anciennete</t>
        </is>
      </c>
      <c r="Q2" t="inlineStr">
        <is>
          <t>Logement</t>
        </is>
      </c>
      <c r="R2" t="inlineStr">
        <is>
          <t>CNPS Employe</t>
        </is>
      </c>
      <c r="S2" t="inlineStr">
        <is>
          <t>Augmentation</t>
        </is>
      </c>
      <c r="T2" t="inlineStr">
        <is>
          <t>Pret social</t>
        </is>
      </c>
      <c r="U2" t="inlineStr">
        <is>
          <t>Deplacement</t>
        </is>
      </c>
      <c r="V2" t="inlineStr">
        <is>
          <t>Actif</t>
        </is>
      </c>
      <c r="W2" t="inlineStr">
        <is>
          <t>Actif</t>
        </is>
      </c>
      <c r="X2" t="inlineStr">
        <is>
          <t>Demission</t>
        </is>
      </c>
      <c r="Y2" t="inlineStr">
        <is>
          <t>Oui</t>
        </is>
      </c>
      <c r="Z2" t="inlineStr">
        <is>
          <t>Complete</t>
        </is>
      </c>
    </row>
    <row r="3">
      <c r="B3" t="inlineStr">
        <is>
          <t>Mme</t>
        </is>
      </c>
      <c r="C3" t="inlineStr">
        <is>
          <t>Feminin</t>
        </is>
      </c>
      <c r="D3" t="inlineStr">
        <is>
          <t>Ivoirienne</t>
        </is>
      </c>
      <c r="E3" t="inlineStr">
        <is>
          <t>Cadre</t>
        </is>
      </c>
      <c r="F3" t="inlineStr">
        <is>
          <t>CDD</t>
        </is>
      </c>
      <c r="G3" t="inlineStr">
        <is>
          <t>Temps partiel</t>
        </is>
      </c>
      <c r="H3" t="inlineStr">
        <is>
          <t>En conge</t>
        </is>
      </c>
      <c r="I3" t="inlineStr">
        <is>
          <t>Ressources Humaines</t>
        </is>
      </c>
      <c r="J3" t="inlineStr">
        <is>
          <t>Echelon 2</t>
        </is>
      </c>
      <c r="K3" t="inlineStr">
        <is>
          <t>Fevrier</t>
        </is>
      </c>
      <c r="L3" t="inlineStr">
        <is>
          <t>Fevrier 2025</t>
        </is>
      </c>
      <c r="M3" t="inlineStr">
        <is>
          <t>2025</t>
        </is>
      </c>
      <c r="N3" t="inlineStr">
        <is>
          <t>EMP-002</t>
        </is>
      </c>
      <c r="O3" t="inlineStr">
        <is>
          <t>Solde</t>
        </is>
      </c>
      <c r="P3" t="inlineStr">
        <is>
          <t>Prime de transport</t>
        </is>
      </c>
      <c r="Q3" t="inlineStr">
        <is>
          <t>Vehicule</t>
        </is>
      </c>
      <c r="R3" t="inlineStr">
        <is>
          <t>CNAMGS Employe</t>
        </is>
      </c>
      <c r="S3" t="inlineStr">
        <is>
          <t>Promotion</t>
        </is>
      </c>
      <c r="T3" t="inlineStr">
        <is>
          <t>Pret logement</t>
        </is>
      </c>
      <c r="U3" t="inlineStr">
        <is>
          <t>Repas</t>
        </is>
      </c>
      <c r="V3" t="inlineStr">
        <is>
          <t>Monetise</t>
        </is>
      </c>
      <c r="W3" t="inlineStr">
        <is>
          <t>Suspendu</t>
        </is>
      </c>
      <c r="X3" t="inlineStr">
        <is>
          <t>Licenciement</t>
        </is>
      </c>
      <c r="Y3" t="inlineStr">
        <is>
          <t>Non</t>
        </is>
      </c>
      <c r="Z3" t="inlineStr">
        <is>
          <t>Sante</t>
        </is>
      </c>
    </row>
    <row r="4">
      <c r="B4" t="inlineStr">
        <is>
          <t>Mlle</t>
        </is>
      </c>
      <c r="D4" t="inlineStr">
        <is>
          <t>Maliane</t>
        </is>
      </c>
      <c r="E4" t="inlineStr">
        <is>
          <t>Agent de maitrise</t>
        </is>
      </c>
      <c r="F4" t="inlineStr">
        <is>
          <t>Stage</t>
        </is>
      </c>
      <c r="G4" t="inlineStr">
        <is>
          <t>Horaires amenages</t>
        </is>
      </c>
      <c r="H4" t="inlineStr">
        <is>
          <t>En arret maladie</t>
        </is>
      </c>
      <c r="I4" t="inlineStr">
        <is>
          <t>Finance &amp; Comptabilite</t>
        </is>
      </c>
      <c r="J4" t="inlineStr">
        <is>
          <t>Echelon 3</t>
        </is>
      </c>
      <c r="K4" t="inlineStr">
        <is>
          <t>Mars</t>
        </is>
      </c>
      <c r="L4" t="inlineStr">
        <is>
          <t>Mars 2025</t>
        </is>
      </c>
      <c r="M4" t="inlineStr">
        <is>
          <t>2026</t>
        </is>
      </c>
      <c r="N4" t="inlineStr">
        <is>
          <t>EMP-003</t>
        </is>
      </c>
      <c r="O4" t="inlineStr">
        <is>
          <t>En retard</t>
        </is>
      </c>
      <c r="P4" t="inlineStr">
        <is>
          <t>Prime de logement</t>
        </is>
      </c>
      <c r="Q4" t="inlineStr">
        <is>
          <t>Telephone</t>
        </is>
      </c>
      <c r="R4" t="inlineStr">
        <is>
          <t>IR Salaires</t>
        </is>
      </c>
      <c r="S4" t="inlineStr">
        <is>
          <t>Revalorisation</t>
        </is>
      </c>
      <c r="T4" t="inlineStr">
        <is>
          <t>Pret urgence</t>
        </is>
      </c>
      <c r="U4" t="inlineStr">
        <is>
          <t>Transport</t>
        </is>
      </c>
      <c r="V4" t="inlineStr">
        <is>
          <t>Demande</t>
        </is>
      </c>
      <c r="W4" t="inlineStr">
        <is>
          <t>Resilie</t>
        </is>
      </c>
      <c r="X4" t="inlineStr">
        <is>
          <t>Fin CDD</t>
        </is>
      </c>
      <c r="Z4" t="inlineStr">
        <is>
          <t>Hospitalisation</t>
        </is>
      </c>
    </row>
    <row r="5">
      <c r="D5" t="inlineStr">
        <is>
          <t>Burkinabe</t>
        </is>
      </c>
      <c r="E5" t="inlineStr">
        <is>
          <t>Employe</t>
        </is>
      </c>
      <c r="F5" t="inlineStr">
        <is>
          <t>Interim</t>
        </is>
      </c>
      <c r="H5" t="inlineStr">
        <is>
          <t>Suspendu</t>
        </is>
      </c>
      <c r="I5" t="inlineStr">
        <is>
          <t>Reception &amp; Front Office</t>
        </is>
      </c>
      <c r="J5" t="inlineStr">
        <is>
          <t>Echelon 4</t>
        </is>
      </c>
      <c r="K5" t="inlineStr">
        <is>
          <t>Avril</t>
        </is>
      </c>
      <c r="L5" t="inlineStr">
        <is>
          <t>Avril 2025</t>
        </is>
      </c>
      <c r="N5" t="inlineStr">
        <is>
          <t>EMP-004</t>
        </is>
      </c>
      <c r="O5" t="inlineStr">
        <is>
          <t>Refuse</t>
        </is>
      </c>
      <c r="P5" t="inlineStr">
        <is>
          <t>Prime de responsabilite</t>
        </is>
      </c>
      <c r="Q5" t="inlineStr">
        <is>
          <t>Repas</t>
        </is>
      </c>
      <c r="R5" t="inlineStr">
        <is>
          <t>Acompte</t>
        </is>
      </c>
      <c r="S5" t="inlineStr">
        <is>
          <t>Changement echelon</t>
        </is>
      </c>
      <c r="T5" t="inlineStr">
        <is>
          <t>Pret formation</t>
        </is>
      </c>
      <c r="U5" t="inlineStr">
        <is>
          <t>Hebergement</t>
        </is>
      </c>
      <c r="V5" t="inlineStr">
        <is>
          <t>Cloture</t>
        </is>
      </c>
      <c r="X5" t="inlineStr">
        <is>
          <t>Retraite</t>
        </is>
      </c>
      <c r="Z5" t="inlineStr">
        <is>
          <t>Dentaire</t>
        </is>
      </c>
    </row>
    <row r="6">
      <c r="D6" t="inlineStr">
        <is>
          <t>Nigeriane</t>
        </is>
      </c>
      <c r="E6" t="inlineStr">
        <is>
          <t>Ouvrier</t>
        </is>
      </c>
      <c r="F6" t="inlineStr">
        <is>
          <t>Alternance</t>
        </is>
      </c>
      <c r="H6" t="inlineStr">
        <is>
          <t>Depart</t>
        </is>
      </c>
      <c r="I6" t="inlineStr">
        <is>
          <t>Cuisine &amp; Restauration</t>
        </is>
      </c>
      <c r="J6" t="inlineStr">
        <is>
          <t>Echelon 5</t>
        </is>
      </c>
      <c r="K6" t="inlineStr">
        <is>
          <t>Mai</t>
        </is>
      </c>
      <c r="L6" t="inlineStr">
        <is>
          <t>Mai 2025</t>
        </is>
      </c>
      <c r="N6" t="inlineStr">
        <is>
          <t>EMP-005</t>
        </is>
      </c>
      <c r="P6" t="inlineStr">
        <is>
          <t>Prime de rendement</t>
        </is>
      </c>
      <c r="Q6" t="inlineStr">
        <is>
          <t>Fournitures</t>
        </is>
      </c>
      <c r="R6" t="inlineStr">
        <is>
          <t>Pret personnel</t>
        </is>
      </c>
      <c r="S6" t="inlineStr">
        <is>
          <t>Changement poste</t>
        </is>
      </c>
      <c r="T6" t="inlineStr">
        <is>
          <t>Avance salaire</t>
        </is>
      </c>
      <c r="U6" t="inlineStr">
        <is>
          <t>Fournitures</t>
        </is>
      </c>
      <c r="X6" t="inlineStr">
        <is>
          <t>Deces</t>
        </is>
      </c>
      <c r="Z6" t="inlineStr">
        <is>
          <t>Optique</t>
        </is>
      </c>
    </row>
    <row r="7">
      <c r="D7" t="inlineStr">
        <is>
          <t>Tchadienne</t>
        </is>
      </c>
      <c r="E7" t="inlineStr">
        <is>
          <t>Stagiaire</t>
        </is>
      </c>
      <c r="I7" t="inlineStr">
        <is>
          <t>Securite</t>
        </is>
      </c>
      <c r="K7" t="inlineStr">
        <is>
          <t>Juin</t>
        </is>
      </c>
      <c r="L7" t="inlineStr">
        <is>
          <t>Juin 2025</t>
        </is>
      </c>
      <c r="N7" t="inlineStr">
        <is>
          <t>EMP-006</t>
        </is>
      </c>
      <c r="P7" t="inlineStr">
        <is>
          <t>Prime exceptionnelle</t>
        </is>
      </c>
      <c r="Q7" t="inlineStr">
        <is>
          <t>Formation</t>
        </is>
      </c>
      <c r="R7" t="inlineStr">
        <is>
          <t>Saisie-arret</t>
        </is>
      </c>
      <c r="U7" t="inlineStr">
        <is>
          <t>Communication</t>
        </is>
      </c>
      <c r="X7" t="inlineStr">
        <is>
          <t>Pre-retraite</t>
        </is>
      </c>
    </row>
    <row r="8">
      <c r="D8" t="inlineStr">
        <is>
          <t>Ghanéenne</t>
        </is>
      </c>
      <c r="I8" t="inlineStr">
        <is>
          <t>Entretien &amp; Maintenance</t>
        </is>
      </c>
      <c r="K8" t="inlineStr">
        <is>
          <t>Juillet</t>
        </is>
      </c>
      <c r="L8" t="inlineStr">
        <is>
          <t>Juillet 2025</t>
        </is>
      </c>
      <c r="N8" t="inlineStr">
        <is>
          <t>EMP-007</t>
        </is>
      </c>
      <c r="P8" t="inlineStr">
        <is>
          <t>Indemnite de danger</t>
        </is>
      </c>
      <c r="Q8" t="inlineStr">
        <is>
          <t>Sante</t>
        </is>
      </c>
      <c r="R8" t="inlineStr">
        <is>
          <t>Retard</t>
        </is>
      </c>
      <c r="U8" t="inlineStr">
        <is>
          <t>Autre</t>
        </is>
      </c>
    </row>
    <row r="9">
      <c r="D9" t="inlineStr">
        <is>
          <t>Autre</t>
        </is>
      </c>
      <c r="I9" t="inlineStr">
        <is>
          <t>Informatique</t>
        </is>
      </c>
      <c r="K9" t="inlineStr">
        <is>
          <t>Aout</t>
        </is>
      </c>
      <c r="L9" t="inlineStr">
        <is>
          <t>Aout 2025</t>
        </is>
      </c>
      <c r="N9" t="inlineStr">
        <is>
          <t>EMP-008</t>
        </is>
      </c>
      <c r="P9" t="inlineStr">
        <is>
          <t>Indemnite de nuit</t>
        </is>
      </c>
      <c r="Q9" t="inlineStr">
        <is>
          <t>Autre</t>
        </is>
      </c>
      <c r="R9" t="inlineStr">
        <is>
          <t>Absence non justifiee</t>
        </is>
      </c>
    </row>
    <row r="10">
      <c r="I10" t="inlineStr">
        <is>
          <t>Marketing &amp; Communication</t>
        </is>
      </c>
      <c r="K10" t="inlineStr">
        <is>
          <t>Septembre</t>
        </is>
      </c>
      <c r="L10" t="inlineStr">
        <is>
          <t>Septembre 2025</t>
        </is>
      </c>
      <c r="N10" t="inlineStr">
        <is>
          <t>EMP-009</t>
        </is>
      </c>
      <c r="P10" t="inlineStr">
        <is>
          <t>Pourboire collecte</t>
        </is>
      </c>
    </row>
    <row r="11">
      <c r="I11" t="inlineStr">
        <is>
          <t>Commercial</t>
        </is>
      </c>
      <c r="K11" t="inlineStr">
        <is>
          <t>Octobre</t>
        </is>
      </c>
      <c r="L11" t="inlineStr">
        <is>
          <t>Octobre 2025</t>
        </is>
      </c>
      <c r="N11" t="inlineStr">
        <is>
          <t>EMP-010</t>
        </is>
      </c>
    </row>
    <row r="12">
      <c r="I12" t="inlineStr">
        <is>
          <t>Service Client</t>
        </is>
      </c>
      <c r="K12" t="inlineStr">
        <is>
          <t>Novembre</t>
        </is>
      </c>
      <c r="L12" t="inlineStr">
        <is>
          <t>Novembre 2025</t>
        </is>
      </c>
    </row>
    <row r="13">
      <c r="I13" t="inlineStr">
        <is>
          <t>Logistique &amp; Approvisionnement</t>
        </is>
      </c>
      <c r="K13" t="inlineStr">
        <is>
          <t>Decembre</t>
        </is>
      </c>
      <c r="L13" t="inlineStr">
        <is>
          <t>Decembre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2026-07-08T12:12:57Z</dcterms:created>
  <dcterms:modified xmlns:dcterms="http://purl.org/dc/terms/" xmlns:xsi="http://www.w3.org/2001/XMLSchema-instance" xsi:type="dcterms:W3CDTF">2026-07-09T12:20:09Z</dcterms:modified>
</cp:coreProperties>
</file>